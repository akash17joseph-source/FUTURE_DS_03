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640e4e3d18ca9a/Desktop/Marketing Funnel ^0 Conversion Performance Analysis/Cleaned/"/>
    </mc:Choice>
  </mc:AlternateContent>
  <xr:revisionPtr revIDLastSave="174" documentId="8_{D7D1E671-77B8-43A0-90D4-CE5EB51D1AD7}" xr6:coauthVersionLast="47" xr6:coauthVersionMax="47" xr10:uidLastSave="{8EBA1840-6465-4ADB-87AF-729D6B43F8D0}"/>
  <bookViews>
    <workbookView xWindow="-120" yWindow="-120" windowWidth="24240" windowHeight="13020" firstSheet="2" activeTab="4" xr2:uid="{75E7F5FA-0052-4406-BD6E-58353825B7ED}"/>
  </bookViews>
  <sheets>
    <sheet name="leads" sheetId="1" r:id="rId1"/>
    <sheet name="The Core Funnel" sheetId="2" r:id="rId2"/>
    <sheet name="Funnel By Channel" sheetId="3" r:id="rId3"/>
    <sheet name="Funnel trend Over Time" sheetId="4" r:id="rId4"/>
    <sheet name="Revenue By Channel &amp;Plan" sheetId="5" r:id="rId5"/>
  </sheets>
  <calcPr calcId="191029"/>
  <pivotCaches>
    <pivotCache cacheId="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09" i="1" l="1"/>
  <c r="O2150" i="1"/>
  <c r="O2490" i="1"/>
  <c r="O2608" i="1"/>
  <c r="O2781" i="1"/>
  <c r="O2825" i="1"/>
  <c r="O3192" i="1"/>
  <c r="O3280" i="1"/>
  <c r="O3619" i="1"/>
  <c r="O3695" i="1"/>
  <c r="O3733" i="1"/>
  <c r="O3899" i="1"/>
  <c r="O3960" i="1"/>
  <c r="O3996" i="1"/>
  <c r="O4117" i="1"/>
  <c r="O4270" i="1"/>
  <c r="O4496" i="1"/>
  <c r="O4519" i="1"/>
  <c r="O4662" i="1"/>
  <c r="O4707" i="1"/>
  <c r="O4758" i="1"/>
  <c r="O4897" i="1"/>
  <c r="O4899" i="1"/>
  <c r="O4944" i="1"/>
  <c r="O4990" i="1"/>
  <c r="O5199" i="1"/>
  <c r="O5227" i="1"/>
  <c r="O5243" i="1"/>
  <c r="O5347" i="1"/>
  <c r="O5365" i="1"/>
  <c r="O5407" i="1"/>
  <c r="O5679" i="1"/>
  <c r="O5694" i="1"/>
  <c r="O5727" i="1"/>
  <c r="O5746" i="1"/>
  <c r="O5883" i="1"/>
  <c r="O5924" i="1"/>
  <c r="O5933" i="1"/>
  <c r="O6036" i="1"/>
  <c r="O6038" i="1"/>
  <c r="O6087" i="1"/>
  <c r="O6191" i="1"/>
  <c r="O6219" i="1"/>
  <c r="O6283" i="1"/>
  <c r="O6292" i="1"/>
  <c r="O6294" i="1"/>
  <c r="O6383" i="1"/>
  <c r="O6470" i="1"/>
  <c r="O6493" i="1"/>
  <c r="O6596" i="1"/>
  <c r="O6676" i="1"/>
  <c r="O6699" i="1"/>
  <c r="O6716" i="1"/>
  <c r="O6731" i="1"/>
  <c r="N2631" i="1"/>
  <c r="N4424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K2" i="1" a="1"/>
  <c r="K2" i="1" s="1"/>
  <c r="O2" i="1" s="1"/>
  <c r="K3" i="1" a="1"/>
  <c r="K3" i="1" s="1"/>
  <c r="O3" i="1" s="1"/>
  <c r="K4" i="1" a="1"/>
  <c r="K4" i="1" s="1"/>
  <c r="O4" i="1" s="1"/>
  <c r="K5" i="1" a="1"/>
  <c r="K5" i="1" s="1"/>
  <c r="O5" i="1" s="1"/>
  <c r="K6" i="1" a="1"/>
  <c r="K6" i="1" s="1"/>
  <c r="O6" i="1" s="1"/>
  <c r="K7" i="1" a="1"/>
  <c r="K7" i="1" s="1"/>
  <c r="O7" i="1" s="1"/>
  <c r="K8" i="1" a="1"/>
  <c r="K8" i="1" s="1"/>
  <c r="O8" i="1" s="1"/>
  <c r="K9" i="1" a="1"/>
  <c r="K9" i="1" s="1"/>
  <c r="O9" i="1" s="1"/>
  <c r="K10" i="1" a="1"/>
  <c r="K10" i="1" s="1"/>
  <c r="O10" i="1" s="1"/>
  <c r="K11" i="1" a="1"/>
  <c r="K11" i="1" s="1"/>
  <c r="O11" i="1" s="1"/>
  <c r="K12" i="1" a="1"/>
  <c r="K12" i="1" s="1"/>
  <c r="O12" i="1" s="1"/>
  <c r="K13" i="1" a="1"/>
  <c r="K13" i="1" s="1"/>
  <c r="O13" i="1" s="1"/>
  <c r="K14" i="1" a="1"/>
  <c r="K14" i="1" s="1"/>
  <c r="O14" i="1" s="1"/>
  <c r="K15" i="1" a="1"/>
  <c r="K15" i="1" s="1"/>
  <c r="O15" i="1" s="1"/>
  <c r="K16" i="1" a="1"/>
  <c r="K16" i="1" s="1"/>
  <c r="O16" i="1" s="1"/>
  <c r="K17" i="1" a="1"/>
  <c r="K17" i="1" s="1"/>
  <c r="O17" i="1" s="1"/>
  <c r="K18" i="1" a="1"/>
  <c r="K18" i="1" s="1"/>
  <c r="O18" i="1" s="1"/>
  <c r="K19" i="1" a="1"/>
  <c r="K19" i="1" s="1"/>
  <c r="O19" i="1" s="1"/>
  <c r="K20" i="1" a="1"/>
  <c r="K20" i="1" s="1"/>
  <c r="O20" i="1" s="1"/>
  <c r="K21" i="1" a="1"/>
  <c r="K21" i="1" s="1"/>
  <c r="O21" i="1" s="1"/>
  <c r="K22" i="1" a="1"/>
  <c r="K22" i="1" s="1"/>
  <c r="O22" i="1" s="1"/>
  <c r="K23" i="1" a="1"/>
  <c r="K23" i="1" s="1"/>
  <c r="O23" i="1" s="1"/>
  <c r="K24" i="1" a="1"/>
  <c r="K24" i="1" s="1"/>
  <c r="O24" i="1" s="1"/>
  <c r="K25" i="1" a="1"/>
  <c r="K25" i="1" s="1"/>
  <c r="O25" i="1" s="1"/>
  <c r="K26" i="1" a="1"/>
  <c r="K26" i="1" s="1"/>
  <c r="O26" i="1" s="1"/>
  <c r="K27" i="1" a="1"/>
  <c r="K27" i="1" s="1"/>
  <c r="O27" i="1" s="1"/>
  <c r="K28" i="1" a="1"/>
  <c r="K28" i="1" s="1"/>
  <c r="O28" i="1" s="1"/>
  <c r="K29" i="1" a="1"/>
  <c r="K29" i="1" s="1"/>
  <c r="O29" i="1" s="1"/>
  <c r="K30" i="1" a="1"/>
  <c r="K30" i="1" s="1"/>
  <c r="O30" i="1" s="1"/>
  <c r="K31" i="1" a="1"/>
  <c r="K31" i="1" s="1"/>
  <c r="O31" i="1" s="1"/>
  <c r="K32" i="1" a="1"/>
  <c r="K32" i="1" s="1"/>
  <c r="O32" i="1" s="1"/>
  <c r="K33" i="1" a="1"/>
  <c r="K33" i="1" s="1"/>
  <c r="O33" i="1" s="1"/>
  <c r="K34" i="1" a="1"/>
  <c r="K34" i="1" s="1"/>
  <c r="O34" i="1" s="1"/>
  <c r="K35" i="1" a="1"/>
  <c r="K35" i="1" s="1"/>
  <c r="O35" i="1" s="1"/>
  <c r="K36" i="1" a="1"/>
  <c r="K36" i="1" s="1"/>
  <c r="O36" i="1" s="1"/>
  <c r="K37" i="1" a="1"/>
  <c r="K37" i="1" s="1"/>
  <c r="O37" i="1" s="1"/>
  <c r="K38" i="1" a="1"/>
  <c r="K38" i="1" s="1"/>
  <c r="O38" i="1" s="1"/>
  <c r="K39" i="1" a="1"/>
  <c r="K39" i="1" s="1"/>
  <c r="O39" i="1" s="1"/>
  <c r="K40" i="1" a="1"/>
  <c r="K40" i="1" s="1"/>
  <c r="O40" i="1" s="1"/>
  <c r="K41" i="1" a="1"/>
  <c r="K41" i="1" s="1"/>
  <c r="O41" i="1" s="1"/>
  <c r="K42" i="1" a="1"/>
  <c r="K42" i="1" s="1"/>
  <c r="O42" i="1" s="1"/>
  <c r="K43" i="1" a="1"/>
  <c r="K43" i="1" s="1"/>
  <c r="O43" i="1" s="1"/>
  <c r="K44" i="1" a="1"/>
  <c r="K44" i="1" s="1"/>
  <c r="O44" i="1" s="1"/>
  <c r="K45" i="1" a="1"/>
  <c r="K45" i="1" s="1"/>
  <c r="O45" i="1" s="1"/>
  <c r="K46" i="1" a="1"/>
  <c r="K46" i="1" s="1"/>
  <c r="O46" i="1" s="1"/>
  <c r="K47" i="1" a="1"/>
  <c r="K47" i="1" s="1"/>
  <c r="O47" i="1" s="1"/>
  <c r="K48" i="1" a="1"/>
  <c r="K48" i="1" s="1"/>
  <c r="O48" i="1" s="1"/>
  <c r="K49" i="1" a="1"/>
  <c r="K49" i="1" s="1"/>
  <c r="O49" i="1" s="1"/>
  <c r="K50" i="1" a="1"/>
  <c r="K50" i="1" s="1"/>
  <c r="O50" i="1" s="1"/>
  <c r="K51" i="1" a="1"/>
  <c r="K51" i="1" s="1"/>
  <c r="O51" i="1" s="1"/>
  <c r="K52" i="1" a="1"/>
  <c r="K52" i="1" s="1"/>
  <c r="O52" i="1" s="1"/>
  <c r="K53" i="1" a="1"/>
  <c r="K53" i="1" s="1"/>
  <c r="O53" i="1" s="1"/>
  <c r="K54" i="1" a="1"/>
  <c r="K54" i="1" s="1"/>
  <c r="O54" i="1" s="1"/>
  <c r="K55" i="1" a="1"/>
  <c r="K55" i="1" s="1"/>
  <c r="O55" i="1" s="1"/>
  <c r="K56" i="1" a="1"/>
  <c r="K56" i="1" s="1"/>
  <c r="O56" i="1" s="1"/>
  <c r="K57" i="1" a="1"/>
  <c r="K57" i="1" s="1"/>
  <c r="O57" i="1" s="1"/>
  <c r="K58" i="1" a="1"/>
  <c r="K58" i="1" s="1"/>
  <c r="O58" i="1" s="1"/>
  <c r="K59" i="1" a="1"/>
  <c r="K59" i="1" s="1"/>
  <c r="O59" i="1" s="1"/>
  <c r="K60" i="1" a="1"/>
  <c r="K60" i="1" s="1"/>
  <c r="O60" i="1" s="1"/>
  <c r="K61" i="1" a="1"/>
  <c r="K61" i="1" s="1"/>
  <c r="O61" i="1" s="1"/>
  <c r="K62" i="1" a="1"/>
  <c r="K62" i="1" s="1"/>
  <c r="O62" i="1" s="1"/>
  <c r="K63" i="1" a="1"/>
  <c r="K63" i="1" s="1"/>
  <c r="O63" i="1" s="1"/>
  <c r="K64" i="1" a="1"/>
  <c r="K64" i="1" s="1"/>
  <c r="O64" i="1" s="1"/>
  <c r="K65" i="1" a="1"/>
  <c r="K65" i="1" s="1"/>
  <c r="O65" i="1" s="1"/>
  <c r="K66" i="1" a="1"/>
  <c r="K66" i="1" s="1"/>
  <c r="O66" i="1" s="1"/>
  <c r="K67" i="1" a="1"/>
  <c r="K67" i="1" s="1"/>
  <c r="O67" i="1" s="1"/>
  <c r="K68" i="1" a="1"/>
  <c r="K68" i="1" s="1"/>
  <c r="O68" i="1" s="1"/>
  <c r="K69" i="1" a="1"/>
  <c r="K69" i="1" s="1"/>
  <c r="O69" i="1" s="1"/>
  <c r="K70" i="1" a="1"/>
  <c r="K70" i="1" s="1"/>
  <c r="O70" i="1" s="1"/>
  <c r="K71" i="1" a="1"/>
  <c r="K71" i="1" s="1"/>
  <c r="O71" i="1" s="1"/>
  <c r="K72" i="1" a="1"/>
  <c r="K72" i="1" s="1"/>
  <c r="O72" i="1" s="1"/>
  <c r="K73" i="1" a="1"/>
  <c r="K73" i="1" s="1"/>
  <c r="O73" i="1" s="1"/>
  <c r="K74" i="1" a="1"/>
  <c r="K74" i="1" s="1"/>
  <c r="O74" i="1" s="1"/>
  <c r="K75" i="1" a="1"/>
  <c r="K75" i="1" s="1"/>
  <c r="O75" i="1" s="1"/>
  <c r="K76" i="1" a="1"/>
  <c r="K76" i="1" s="1"/>
  <c r="O76" i="1" s="1"/>
  <c r="K77" i="1" a="1"/>
  <c r="K77" i="1" s="1"/>
  <c r="O77" i="1" s="1"/>
  <c r="K78" i="1" a="1"/>
  <c r="K78" i="1" s="1"/>
  <c r="O78" i="1" s="1"/>
  <c r="K79" i="1" a="1"/>
  <c r="K79" i="1" s="1"/>
  <c r="O79" i="1" s="1"/>
  <c r="K80" i="1" a="1"/>
  <c r="K80" i="1" s="1"/>
  <c r="O80" i="1" s="1"/>
  <c r="K81" i="1" a="1"/>
  <c r="K81" i="1" s="1"/>
  <c r="O81" i="1" s="1"/>
  <c r="K82" i="1" a="1"/>
  <c r="K82" i="1" s="1"/>
  <c r="O82" i="1" s="1"/>
  <c r="K83" i="1" a="1"/>
  <c r="K83" i="1" s="1"/>
  <c r="O83" i="1" s="1"/>
  <c r="K84" i="1" a="1"/>
  <c r="K84" i="1" s="1"/>
  <c r="O84" i="1" s="1"/>
  <c r="K85" i="1" a="1"/>
  <c r="K85" i="1" s="1"/>
  <c r="O85" i="1" s="1"/>
  <c r="K86" i="1" a="1"/>
  <c r="K86" i="1" s="1"/>
  <c r="O86" i="1" s="1"/>
  <c r="K87" i="1" a="1"/>
  <c r="K87" i="1" s="1"/>
  <c r="O87" i="1" s="1"/>
  <c r="K88" i="1" a="1"/>
  <c r="K88" i="1" s="1"/>
  <c r="O88" i="1" s="1"/>
  <c r="K89" i="1" a="1"/>
  <c r="K89" i="1" s="1"/>
  <c r="O89" i="1" s="1"/>
  <c r="K90" i="1" a="1"/>
  <c r="K90" i="1" s="1"/>
  <c r="O90" i="1" s="1"/>
  <c r="K91" i="1" a="1"/>
  <c r="K91" i="1" s="1"/>
  <c r="O91" i="1" s="1"/>
  <c r="K92" i="1" a="1"/>
  <c r="K92" i="1" s="1"/>
  <c r="O92" i="1" s="1"/>
  <c r="K93" i="1" a="1"/>
  <c r="K93" i="1" s="1"/>
  <c r="O93" i="1" s="1"/>
  <c r="K94" i="1" a="1"/>
  <c r="K94" i="1" s="1"/>
  <c r="O94" i="1" s="1"/>
  <c r="K95" i="1" a="1"/>
  <c r="K95" i="1" s="1"/>
  <c r="O95" i="1" s="1"/>
  <c r="K96" i="1" a="1"/>
  <c r="K96" i="1" s="1"/>
  <c r="O96" i="1" s="1"/>
  <c r="K97" i="1" a="1"/>
  <c r="K97" i="1" s="1"/>
  <c r="O97" i="1" s="1"/>
  <c r="K98" i="1" a="1"/>
  <c r="K98" i="1" s="1"/>
  <c r="O98" i="1" s="1"/>
  <c r="K99" i="1" a="1"/>
  <c r="K99" i="1" s="1"/>
  <c r="O99" i="1" s="1"/>
  <c r="K100" i="1" a="1"/>
  <c r="K100" i="1" s="1"/>
  <c r="O100" i="1" s="1"/>
  <c r="K101" i="1" a="1"/>
  <c r="K101" i="1" s="1"/>
  <c r="O101" i="1" s="1"/>
  <c r="K102" i="1" a="1"/>
  <c r="K102" i="1" s="1"/>
  <c r="O102" i="1" s="1"/>
  <c r="K103" i="1" a="1"/>
  <c r="K103" i="1" s="1"/>
  <c r="O103" i="1" s="1"/>
  <c r="K104" i="1" a="1"/>
  <c r="K104" i="1" s="1"/>
  <c r="O104" i="1" s="1"/>
  <c r="K105" i="1" a="1"/>
  <c r="K105" i="1"/>
  <c r="O105" i="1" s="1"/>
  <c r="K106" i="1" a="1"/>
  <c r="K106" i="1" s="1"/>
  <c r="O106" i="1" s="1"/>
  <c r="K107" i="1" a="1"/>
  <c r="K107" i="1" s="1"/>
  <c r="O107" i="1" s="1"/>
  <c r="K108" i="1" a="1"/>
  <c r="K108" i="1" s="1"/>
  <c r="O108" i="1" s="1"/>
  <c r="K109" i="1" a="1"/>
  <c r="K109" i="1" s="1"/>
  <c r="O109" i="1" s="1"/>
  <c r="K110" i="1" a="1"/>
  <c r="K110" i="1" s="1"/>
  <c r="O110" i="1" s="1"/>
  <c r="K111" i="1" a="1"/>
  <c r="K111" i="1" s="1"/>
  <c r="O111" i="1" s="1"/>
  <c r="K112" i="1" a="1"/>
  <c r="K112" i="1" s="1"/>
  <c r="O112" i="1" s="1"/>
  <c r="K113" i="1" a="1"/>
  <c r="K113" i="1" s="1"/>
  <c r="O113" i="1" s="1"/>
  <c r="K114" i="1" a="1"/>
  <c r="K114" i="1" s="1"/>
  <c r="O114" i="1" s="1"/>
  <c r="K115" i="1" a="1"/>
  <c r="K115" i="1" s="1"/>
  <c r="O115" i="1" s="1"/>
  <c r="K116" i="1" a="1"/>
  <c r="K116" i="1" s="1"/>
  <c r="O116" i="1" s="1"/>
  <c r="K117" i="1" a="1"/>
  <c r="K117" i="1" s="1"/>
  <c r="O117" i="1" s="1"/>
  <c r="K118" i="1" a="1"/>
  <c r="K118" i="1" s="1"/>
  <c r="O118" i="1" s="1"/>
  <c r="K119" i="1" a="1"/>
  <c r="K119" i="1" s="1"/>
  <c r="O119" i="1" s="1"/>
  <c r="K120" i="1" a="1"/>
  <c r="K120" i="1" s="1"/>
  <c r="O120" i="1" s="1"/>
  <c r="K121" i="1" a="1"/>
  <c r="K121" i="1" s="1"/>
  <c r="O121" i="1" s="1"/>
  <c r="K122" i="1" a="1"/>
  <c r="K122" i="1" s="1"/>
  <c r="O122" i="1" s="1"/>
  <c r="K123" i="1" a="1"/>
  <c r="K123" i="1" s="1"/>
  <c r="O123" i="1" s="1"/>
  <c r="K124" i="1" a="1"/>
  <c r="K124" i="1" s="1"/>
  <c r="O124" i="1" s="1"/>
  <c r="K125" i="1" a="1"/>
  <c r="K125" i="1" s="1"/>
  <c r="O125" i="1" s="1"/>
  <c r="K126" i="1" a="1"/>
  <c r="K126" i="1" s="1"/>
  <c r="O126" i="1" s="1"/>
  <c r="K127" i="1" a="1"/>
  <c r="K127" i="1" s="1"/>
  <c r="O127" i="1" s="1"/>
  <c r="K128" i="1" a="1"/>
  <c r="K128" i="1" s="1"/>
  <c r="O128" i="1" s="1"/>
  <c r="K129" i="1" a="1"/>
  <c r="K129" i="1" s="1"/>
  <c r="O129" i="1" s="1"/>
  <c r="K130" i="1" a="1"/>
  <c r="K130" i="1" s="1"/>
  <c r="O130" i="1" s="1"/>
  <c r="K131" i="1" a="1"/>
  <c r="K131" i="1" s="1"/>
  <c r="O131" i="1" s="1"/>
  <c r="K132" i="1" a="1"/>
  <c r="K132" i="1" s="1"/>
  <c r="O132" i="1" s="1"/>
  <c r="K133" i="1" a="1"/>
  <c r="K133" i="1" s="1"/>
  <c r="O133" i="1" s="1"/>
  <c r="K134" i="1" a="1"/>
  <c r="K134" i="1" s="1"/>
  <c r="O134" i="1" s="1"/>
  <c r="K135" i="1" a="1"/>
  <c r="K135" i="1" s="1"/>
  <c r="O135" i="1" s="1"/>
  <c r="K136" i="1" a="1"/>
  <c r="K136" i="1" s="1"/>
  <c r="O136" i="1" s="1"/>
  <c r="K137" i="1" a="1"/>
  <c r="K137" i="1" s="1"/>
  <c r="O137" i="1" s="1"/>
  <c r="K138" i="1" a="1"/>
  <c r="K138" i="1" s="1"/>
  <c r="O138" i="1" s="1"/>
  <c r="K139" i="1" a="1"/>
  <c r="K139" i="1" s="1"/>
  <c r="O139" i="1" s="1"/>
  <c r="K140" i="1" a="1"/>
  <c r="K140" i="1" s="1"/>
  <c r="O140" i="1" s="1"/>
  <c r="K141" i="1" a="1"/>
  <c r="K141" i="1" s="1"/>
  <c r="O141" i="1" s="1"/>
  <c r="K142" i="1" a="1"/>
  <c r="K142" i="1" s="1"/>
  <c r="O142" i="1" s="1"/>
  <c r="K143" i="1" a="1"/>
  <c r="K143" i="1" s="1"/>
  <c r="O143" i="1" s="1"/>
  <c r="K144" i="1" a="1"/>
  <c r="K144" i="1" s="1"/>
  <c r="O144" i="1" s="1"/>
  <c r="K145" i="1" a="1"/>
  <c r="K145" i="1" s="1"/>
  <c r="O145" i="1" s="1"/>
  <c r="K146" i="1" a="1"/>
  <c r="K146" i="1" s="1"/>
  <c r="O146" i="1" s="1"/>
  <c r="K147" i="1" a="1"/>
  <c r="K147" i="1" s="1"/>
  <c r="O147" i="1" s="1"/>
  <c r="K148" i="1" a="1"/>
  <c r="K148" i="1" s="1"/>
  <c r="O148" i="1" s="1"/>
  <c r="K149" i="1" a="1"/>
  <c r="K149" i="1" s="1"/>
  <c r="O149" i="1" s="1"/>
  <c r="K150" i="1" a="1"/>
  <c r="K150" i="1" s="1"/>
  <c r="O150" i="1" s="1"/>
  <c r="K151" i="1" a="1"/>
  <c r="K151" i="1" s="1"/>
  <c r="O151" i="1" s="1"/>
  <c r="K152" i="1" a="1"/>
  <c r="K152" i="1" s="1"/>
  <c r="O152" i="1" s="1"/>
  <c r="K153" i="1" a="1"/>
  <c r="K153" i="1" s="1"/>
  <c r="O153" i="1" s="1"/>
  <c r="K154" i="1" a="1"/>
  <c r="K154" i="1" s="1"/>
  <c r="O154" i="1" s="1"/>
  <c r="K155" i="1" a="1"/>
  <c r="K155" i="1" s="1"/>
  <c r="O155" i="1" s="1"/>
  <c r="K156" i="1" a="1"/>
  <c r="K156" i="1" s="1"/>
  <c r="O156" i="1" s="1"/>
  <c r="K157" i="1" a="1"/>
  <c r="K157" i="1" s="1"/>
  <c r="O157" i="1" s="1"/>
  <c r="K158" i="1" a="1"/>
  <c r="K158" i="1" s="1"/>
  <c r="O158" i="1" s="1"/>
  <c r="K159" i="1" a="1"/>
  <c r="K159" i="1" s="1"/>
  <c r="O159" i="1" s="1"/>
  <c r="K160" i="1" a="1"/>
  <c r="K160" i="1" s="1"/>
  <c r="O160" i="1" s="1"/>
  <c r="K161" i="1" a="1"/>
  <c r="K161" i="1"/>
  <c r="O161" i="1" s="1"/>
  <c r="K162" i="1" a="1"/>
  <c r="K162" i="1" s="1"/>
  <c r="O162" i="1" s="1"/>
  <c r="K163" i="1" a="1"/>
  <c r="K163" i="1" s="1"/>
  <c r="O163" i="1" s="1"/>
  <c r="K164" i="1" a="1"/>
  <c r="K164" i="1" s="1"/>
  <c r="O164" i="1" s="1"/>
  <c r="K165" i="1" a="1"/>
  <c r="K165" i="1" s="1"/>
  <c r="O165" i="1" s="1"/>
  <c r="K166" i="1" a="1"/>
  <c r="K166" i="1" s="1"/>
  <c r="O166" i="1" s="1"/>
  <c r="K167" i="1" a="1"/>
  <c r="K167" i="1" s="1"/>
  <c r="O167" i="1" s="1"/>
  <c r="K168" i="1" a="1"/>
  <c r="K168" i="1" s="1"/>
  <c r="O168" i="1" s="1"/>
  <c r="K169" i="1" a="1"/>
  <c r="K169" i="1" s="1"/>
  <c r="O169" i="1" s="1"/>
  <c r="K170" i="1" a="1"/>
  <c r="K170" i="1" s="1"/>
  <c r="O170" i="1" s="1"/>
  <c r="K171" i="1" a="1"/>
  <c r="K171" i="1" s="1"/>
  <c r="O171" i="1" s="1"/>
  <c r="K172" i="1" a="1"/>
  <c r="K172" i="1" s="1"/>
  <c r="O172" i="1" s="1"/>
  <c r="K173" i="1" a="1"/>
  <c r="K173" i="1" s="1"/>
  <c r="O173" i="1" s="1"/>
  <c r="K174" i="1" a="1"/>
  <c r="K174" i="1" s="1"/>
  <c r="O174" i="1" s="1"/>
  <c r="K175" i="1" a="1"/>
  <c r="K175" i="1" s="1"/>
  <c r="O175" i="1" s="1"/>
  <c r="K176" i="1" a="1"/>
  <c r="K176" i="1" s="1"/>
  <c r="O176" i="1" s="1"/>
  <c r="K177" i="1" a="1"/>
  <c r="K177" i="1" s="1"/>
  <c r="O177" i="1" s="1"/>
  <c r="K178" i="1" a="1"/>
  <c r="K178" i="1" s="1"/>
  <c r="O178" i="1" s="1"/>
  <c r="K179" i="1" a="1"/>
  <c r="K179" i="1" s="1"/>
  <c r="O179" i="1" s="1"/>
  <c r="K180" i="1" a="1"/>
  <c r="K180" i="1" s="1"/>
  <c r="O180" i="1" s="1"/>
  <c r="K181" i="1" a="1"/>
  <c r="K181" i="1" s="1"/>
  <c r="O181" i="1" s="1"/>
  <c r="K182" i="1" a="1"/>
  <c r="K182" i="1" s="1"/>
  <c r="O182" i="1" s="1"/>
  <c r="K183" i="1" a="1"/>
  <c r="K183" i="1" s="1"/>
  <c r="O183" i="1" s="1"/>
  <c r="K184" i="1" a="1"/>
  <c r="K184" i="1" s="1"/>
  <c r="O184" i="1" s="1"/>
  <c r="K185" i="1" a="1"/>
  <c r="K185" i="1" s="1"/>
  <c r="O185" i="1" s="1"/>
  <c r="K186" i="1" a="1"/>
  <c r="K186" i="1" s="1"/>
  <c r="O186" i="1" s="1"/>
  <c r="K187" i="1" a="1"/>
  <c r="K187" i="1" s="1"/>
  <c r="O187" i="1" s="1"/>
  <c r="K188" i="1" a="1"/>
  <c r="K188" i="1" s="1"/>
  <c r="O188" i="1" s="1"/>
  <c r="K189" i="1" a="1"/>
  <c r="K189" i="1" s="1"/>
  <c r="O189" i="1" s="1"/>
  <c r="K190" i="1" a="1"/>
  <c r="K190" i="1" s="1"/>
  <c r="O190" i="1" s="1"/>
  <c r="K191" i="1" a="1"/>
  <c r="K191" i="1" s="1"/>
  <c r="O191" i="1" s="1"/>
  <c r="K192" i="1" a="1"/>
  <c r="K192" i="1" s="1"/>
  <c r="O192" i="1" s="1"/>
  <c r="K193" i="1" a="1"/>
  <c r="K193" i="1" s="1"/>
  <c r="O193" i="1" s="1"/>
  <c r="K194" i="1" a="1"/>
  <c r="K194" i="1" s="1"/>
  <c r="O194" i="1" s="1"/>
  <c r="K195" i="1" a="1"/>
  <c r="K195" i="1" s="1"/>
  <c r="O195" i="1" s="1"/>
  <c r="K196" i="1" a="1"/>
  <c r="K196" i="1" s="1"/>
  <c r="O196" i="1" s="1"/>
  <c r="K197" i="1" a="1"/>
  <c r="K197" i="1" s="1"/>
  <c r="O197" i="1" s="1"/>
  <c r="K198" i="1" a="1"/>
  <c r="K198" i="1" s="1"/>
  <c r="O198" i="1" s="1"/>
  <c r="K199" i="1" a="1"/>
  <c r="K199" i="1" s="1"/>
  <c r="O199" i="1" s="1"/>
  <c r="K200" i="1" a="1"/>
  <c r="K200" i="1" s="1"/>
  <c r="O200" i="1" s="1"/>
  <c r="K201" i="1" a="1"/>
  <c r="K201" i="1" s="1"/>
  <c r="O201" i="1" s="1"/>
  <c r="K202" i="1" a="1"/>
  <c r="K202" i="1" s="1"/>
  <c r="O202" i="1" s="1"/>
  <c r="K203" i="1" a="1"/>
  <c r="K203" i="1" s="1"/>
  <c r="O203" i="1" s="1"/>
  <c r="K204" i="1" a="1"/>
  <c r="K204" i="1" s="1"/>
  <c r="O204" i="1" s="1"/>
  <c r="K205" i="1" a="1"/>
  <c r="K205" i="1" s="1"/>
  <c r="O205" i="1" s="1"/>
  <c r="K206" i="1" a="1"/>
  <c r="K206" i="1" s="1"/>
  <c r="O206" i="1" s="1"/>
  <c r="K207" i="1" a="1"/>
  <c r="K207" i="1" s="1"/>
  <c r="O207" i="1" s="1"/>
  <c r="K208" i="1" a="1"/>
  <c r="K208" i="1" s="1"/>
  <c r="O208" i="1" s="1"/>
  <c r="K209" i="1" a="1"/>
  <c r="K209" i="1" s="1"/>
  <c r="O209" i="1" s="1"/>
  <c r="K210" i="1" a="1"/>
  <c r="K210" i="1" s="1"/>
  <c r="O210" i="1" s="1"/>
  <c r="K211" i="1" a="1"/>
  <c r="K211" i="1" s="1"/>
  <c r="O211" i="1" s="1"/>
  <c r="K212" i="1" a="1"/>
  <c r="K212" i="1" s="1"/>
  <c r="O212" i="1" s="1"/>
  <c r="K213" i="1" a="1"/>
  <c r="K213" i="1" s="1"/>
  <c r="O213" i="1" s="1"/>
  <c r="K214" i="1" a="1"/>
  <c r="K214" i="1" s="1"/>
  <c r="O214" i="1" s="1"/>
  <c r="K215" i="1" a="1"/>
  <c r="K215" i="1" s="1"/>
  <c r="O215" i="1" s="1"/>
  <c r="K216" i="1" a="1"/>
  <c r="K216" i="1" s="1"/>
  <c r="O216" i="1" s="1"/>
  <c r="K217" i="1" a="1"/>
  <c r="K217" i="1" s="1"/>
  <c r="O217" i="1" s="1"/>
  <c r="K218" i="1" a="1"/>
  <c r="K218" i="1" s="1"/>
  <c r="O218" i="1" s="1"/>
  <c r="K219" i="1" a="1"/>
  <c r="K219" i="1" s="1"/>
  <c r="O219" i="1" s="1"/>
  <c r="K220" i="1" a="1"/>
  <c r="K220" i="1" s="1"/>
  <c r="O220" i="1" s="1"/>
  <c r="K221" i="1" a="1"/>
  <c r="K221" i="1" s="1"/>
  <c r="O221" i="1" s="1"/>
  <c r="K222" i="1" a="1"/>
  <c r="K222" i="1" s="1"/>
  <c r="O222" i="1" s="1"/>
  <c r="K223" i="1" a="1"/>
  <c r="K223" i="1" s="1"/>
  <c r="O223" i="1" s="1"/>
  <c r="K224" i="1" a="1"/>
  <c r="K224" i="1" s="1"/>
  <c r="O224" i="1" s="1"/>
  <c r="K225" i="1" a="1"/>
  <c r="K225" i="1" s="1"/>
  <c r="O225" i="1" s="1"/>
  <c r="K226" i="1" a="1"/>
  <c r="K226" i="1" s="1"/>
  <c r="O226" i="1" s="1"/>
  <c r="K227" i="1" a="1"/>
  <c r="K227" i="1" s="1"/>
  <c r="O227" i="1" s="1"/>
  <c r="K228" i="1" a="1"/>
  <c r="K228" i="1" s="1"/>
  <c r="O228" i="1" s="1"/>
  <c r="K229" i="1" a="1"/>
  <c r="K229" i="1" s="1"/>
  <c r="O229" i="1" s="1"/>
  <c r="K230" i="1" a="1"/>
  <c r="K230" i="1" s="1"/>
  <c r="O230" i="1" s="1"/>
  <c r="K231" i="1" a="1"/>
  <c r="K231" i="1" s="1"/>
  <c r="O231" i="1" s="1"/>
  <c r="K232" i="1" a="1"/>
  <c r="K232" i="1" s="1"/>
  <c r="O232" i="1" s="1"/>
  <c r="K233" i="1" a="1"/>
  <c r="K233" i="1"/>
  <c r="O233" i="1" s="1"/>
  <c r="K234" i="1" a="1"/>
  <c r="K234" i="1" s="1"/>
  <c r="O234" i="1" s="1"/>
  <c r="K235" i="1" a="1"/>
  <c r="K235" i="1" s="1"/>
  <c r="O235" i="1" s="1"/>
  <c r="K236" i="1" a="1"/>
  <c r="K236" i="1" s="1"/>
  <c r="O236" i="1" s="1"/>
  <c r="K237" i="1" a="1"/>
  <c r="K237" i="1" s="1"/>
  <c r="O237" i="1" s="1"/>
  <c r="K238" i="1" a="1"/>
  <c r="K238" i="1" s="1"/>
  <c r="O238" i="1" s="1"/>
  <c r="K239" i="1" a="1"/>
  <c r="K239" i="1" s="1"/>
  <c r="O239" i="1" s="1"/>
  <c r="K240" i="1" a="1"/>
  <c r="K240" i="1" s="1"/>
  <c r="O240" i="1" s="1"/>
  <c r="K241" i="1" a="1"/>
  <c r="K241" i="1" s="1"/>
  <c r="O241" i="1" s="1"/>
  <c r="K242" i="1" a="1"/>
  <c r="K242" i="1" s="1"/>
  <c r="O242" i="1" s="1"/>
  <c r="K243" i="1" a="1"/>
  <c r="K243" i="1" s="1"/>
  <c r="O243" i="1" s="1"/>
  <c r="K244" i="1" a="1"/>
  <c r="K244" i="1" s="1"/>
  <c r="O244" i="1" s="1"/>
  <c r="K245" i="1" a="1"/>
  <c r="K245" i="1" s="1"/>
  <c r="O245" i="1" s="1"/>
  <c r="K246" i="1" a="1"/>
  <c r="K246" i="1" s="1"/>
  <c r="O246" i="1" s="1"/>
  <c r="K247" i="1" a="1"/>
  <c r="K247" i="1" s="1"/>
  <c r="O247" i="1" s="1"/>
  <c r="K248" i="1" a="1"/>
  <c r="K248" i="1" s="1"/>
  <c r="O248" i="1" s="1"/>
  <c r="K249" i="1" a="1"/>
  <c r="K249" i="1" s="1"/>
  <c r="O249" i="1" s="1"/>
  <c r="K250" i="1" a="1"/>
  <c r="K250" i="1" s="1"/>
  <c r="O250" i="1" s="1"/>
  <c r="K251" i="1" a="1"/>
  <c r="K251" i="1" s="1"/>
  <c r="O251" i="1" s="1"/>
  <c r="K252" i="1" a="1"/>
  <c r="K252" i="1" s="1"/>
  <c r="O252" i="1" s="1"/>
  <c r="K253" i="1" a="1"/>
  <c r="K253" i="1" s="1"/>
  <c r="O253" i="1" s="1"/>
  <c r="K254" i="1" a="1"/>
  <c r="K254" i="1" s="1"/>
  <c r="O254" i="1" s="1"/>
  <c r="K255" i="1" a="1"/>
  <c r="K255" i="1" s="1"/>
  <c r="O255" i="1" s="1"/>
  <c r="K256" i="1" a="1"/>
  <c r="K256" i="1" s="1"/>
  <c r="O256" i="1" s="1"/>
  <c r="K257" i="1" a="1"/>
  <c r="K257" i="1" s="1"/>
  <c r="O257" i="1" s="1"/>
  <c r="K258" i="1" a="1"/>
  <c r="K258" i="1" s="1"/>
  <c r="O258" i="1" s="1"/>
  <c r="K259" i="1" a="1"/>
  <c r="K259" i="1" s="1"/>
  <c r="O259" i="1" s="1"/>
  <c r="K260" i="1" a="1"/>
  <c r="K260" i="1" s="1"/>
  <c r="O260" i="1" s="1"/>
  <c r="K261" i="1" a="1"/>
  <c r="K261" i="1" s="1"/>
  <c r="O261" i="1" s="1"/>
  <c r="K262" i="1" a="1"/>
  <c r="K262" i="1" s="1"/>
  <c r="O262" i="1" s="1"/>
  <c r="K263" i="1" a="1"/>
  <c r="K263" i="1" s="1"/>
  <c r="O263" i="1" s="1"/>
  <c r="K264" i="1" a="1"/>
  <c r="K264" i="1" s="1"/>
  <c r="O264" i="1" s="1"/>
  <c r="K265" i="1" a="1"/>
  <c r="K265" i="1" s="1"/>
  <c r="O265" i="1" s="1"/>
  <c r="K266" i="1" a="1"/>
  <c r="K266" i="1" s="1"/>
  <c r="O266" i="1" s="1"/>
  <c r="K267" i="1" a="1"/>
  <c r="K267" i="1" s="1"/>
  <c r="O267" i="1" s="1"/>
  <c r="K268" i="1" a="1"/>
  <c r="K268" i="1" s="1"/>
  <c r="O268" i="1" s="1"/>
  <c r="K269" i="1" a="1"/>
  <c r="K269" i="1" s="1"/>
  <c r="O269" i="1" s="1"/>
  <c r="K270" i="1" a="1"/>
  <c r="K270" i="1" s="1"/>
  <c r="O270" i="1" s="1"/>
  <c r="K271" i="1" a="1"/>
  <c r="K271" i="1" s="1"/>
  <c r="O271" i="1" s="1"/>
  <c r="K272" i="1" a="1"/>
  <c r="K272" i="1" s="1"/>
  <c r="O272" i="1" s="1"/>
  <c r="K273" i="1" a="1"/>
  <c r="K273" i="1" s="1"/>
  <c r="O273" i="1" s="1"/>
  <c r="K274" i="1" a="1"/>
  <c r="K274" i="1" s="1"/>
  <c r="O274" i="1" s="1"/>
  <c r="K275" i="1" a="1"/>
  <c r="K275" i="1" s="1"/>
  <c r="O275" i="1" s="1"/>
  <c r="K276" i="1" a="1"/>
  <c r="K276" i="1" s="1"/>
  <c r="O276" i="1" s="1"/>
  <c r="K277" i="1" a="1"/>
  <c r="K277" i="1" s="1"/>
  <c r="O277" i="1" s="1"/>
  <c r="K278" i="1" a="1"/>
  <c r="K278" i="1" s="1"/>
  <c r="O278" i="1" s="1"/>
  <c r="K279" i="1" a="1"/>
  <c r="K279" i="1" s="1"/>
  <c r="O279" i="1" s="1"/>
  <c r="K280" i="1" a="1"/>
  <c r="K280" i="1" s="1"/>
  <c r="O280" i="1" s="1"/>
  <c r="K281" i="1" a="1"/>
  <c r="K281" i="1" s="1"/>
  <c r="O281" i="1" s="1"/>
  <c r="K282" i="1" a="1"/>
  <c r="K282" i="1" s="1"/>
  <c r="O282" i="1" s="1"/>
  <c r="K283" i="1" a="1"/>
  <c r="K283" i="1" s="1"/>
  <c r="O283" i="1" s="1"/>
  <c r="K284" i="1" a="1"/>
  <c r="K284" i="1" s="1"/>
  <c r="O284" i="1" s="1"/>
  <c r="K285" i="1" a="1"/>
  <c r="K285" i="1" s="1"/>
  <c r="O285" i="1" s="1"/>
  <c r="K286" i="1" a="1"/>
  <c r="K286" i="1" s="1"/>
  <c r="O286" i="1" s="1"/>
  <c r="K287" i="1" a="1"/>
  <c r="K287" i="1" s="1"/>
  <c r="O287" i="1" s="1"/>
  <c r="K288" i="1" a="1"/>
  <c r="K288" i="1" s="1"/>
  <c r="O288" i="1" s="1"/>
  <c r="K289" i="1" a="1"/>
  <c r="K289" i="1" s="1"/>
  <c r="O289" i="1" s="1"/>
  <c r="K290" i="1" a="1"/>
  <c r="K290" i="1" s="1"/>
  <c r="O290" i="1" s="1"/>
  <c r="K291" i="1" a="1"/>
  <c r="K291" i="1" s="1"/>
  <c r="O291" i="1" s="1"/>
  <c r="K292" i="1" a="1"/>
  <c r="K292" i="1" s="1"/>
  <c r="O292" i="1" s="1"/>
  <c r="K293" i="1" a="1"/>
  <c r="K293" i="1" s="1"/>
  <c r="O293" i="1" s="1"/>
  <c r="K294" i="1" a="1"/>
  <c r="K294" i="1" s="1"/>
  <c r="O294" i="1" s="1"/>
  <c r="K295" i="1" a="1"/>
  <c r="K295" i="1" s="1"/>
  <c r="O295" i="1" s="1"/>
  <c r="K296" i="1" a="1"/>
  <c r="K296" i="1" s="1"/>
  <c r="O296" i="1" s="1"/>
  <c r="K297" i="1" a="1"/>
  <c r="K297" i="1" s="1"/>
  <c r="O297" i="1" s="1"/>
  <c r="K298" i="1" a="1"/>
  <c r="K298" i="1" s="1"/>
  <c r="O298" i="1" s="1"/>
  <c r="K299" i="1" a="1"/>
  <c r="K299" i="1" s="1"/>
  <c r="O299" i="1" s="1"/>
  <c r="K300" i="1" a="1"/>
  <c r="K300" i="1" s="1"/>
  <c r="O300" i="1" s="1"/>
  <c r="K301" i="1" a="1"/>
  <c r="K301" i="1" s="1"/>
  <c r="O301" i="1" s="1"/>
  <c r="K302" i="1" a="1"/>
  <c r="K302" i="1" s="1"/>
  <c r="O302" i="1" s="1"/>
  <c r="K303" i="1" a="1"/>
  <c r="K303" i="1" s="1"/>
  <c r="O303" i="1" s="1"/>
  <c r="K304" i="1" a="1"/>
  <c r="K304" i="1" s="1"/>
  <c r="O304" i="1" s="1"/>
  <c r="K305" i="1" a="1"/>
  <c r="K305" i="1" s="1"/>
  <c r="O305" i="1" s="1"/>
  <c r="K306" i="1" a="1"/>
  <c r="K306" i="1" s="1"/>
  <c r="O306" i="1" s="1"/>
  <c r="K307" i="1" a="1"/>
  <c r="K307" i="1" s="1"/>
  <c r="O307" i="1" s="1"/>
  <c r="K308" i="1" a="1"/>
  <c r="K308" i="1" s="1"/>
  <c r="O308" i="1" s="1"/>
  <c r="K309" i="1" a="1"/>
  <c r="K309" i="1" s="1"/>
  <c r="O309" i="1" s="1"/>
  <c r="K310" i="1" a="1"/>
  <c r="K310" i="1" s="1"/>
  <c r="O310" i="1" s="1"/>
  <c r="K311" i="1" a="1"/>
  <c r="K311" i="1" s="1"/>
  <c r="O311" i="1" s="1"/>
  <c r="K312" i="1" a="1"/>
  <c r="K312" i="1" s="1"/>
  <c r="O312" i="1" s="1"/>
  <c r="K313" i="1" a="1"/>
  <c r="K313" i="1" s="1"/>
  <c r="O313" i="1" s="1"/>
  <c r="K314" i="1" a="1"/>
  <c r="K314" i="1" s="1"/>
  <c r="O314" i="1" s="1"/>
  <c r="K315" i="1" a="1"/>
  <c r="K315" i="1" s="1"/>
  <c r="O315" i="1" s="1"/>
  <c r="K316" i="1" a="1"/>
  <c r="K316" i="1" s="1"/>
  <c r="O316" i="1" s="1"/>
  <c r="K317" i="1" a="1"/>
  <c r="K317" i="1" s="1"/>
  <c r="O317" i="1" s="1"/>
  <c r="K318" i="1" a="1"/>
  <c r="K318" i="1" s="1"/>
  <c r="O318" i="1" s="1"/>
  <c r="K319" i="1" a="1"/>
  <c r="K319" i="1" s="1"/>
  <c r="O319" i="1" s="1"/>
  <c r="K320" i="1" a="1"/>
  <c r="K320" i="1" s="1"/>
  <c r="O320" i="1" s="1"/>
  <c r="K321" i="1" a="1"/>
  <c r="K321" i="1" s="1"/>
  <c r="O321" i="1" s="1"/>
  <c r="K322" i="1" a="1"/>
  <c r="K322" i="1" s="1"/>
  <c r="O322" i="1" s="1"/>
  <c r="K323" i="1" a="1"/>
  <c r="K323" i="1" s="1"/>
  <c r="O323" i="1" s="1"/>
  <c r="K324" i="1" a="1"/>
  <c r="K324" i="1" s="1"/>
  <c r="O324" i="1" s="1"/>
  <c r="K325" i="1" a="1"/>
  <c r="K325" i="1" s="1"/>
  <c r="O325" i="1" s="1"/>
  <c r="K326" i="1" a="1"/>
  <c r="K326" i="1" s="1"/>
  <c r="O326" i="1" s="1"/>
  <c r="K327" i="1" a="1"/>
  <c r="K327" i="1" s="1"/>
  <c r="O327" i="1" s="1"/>
  <c r="K328" i="1" a="1"/>
  <c r="K328" i="1" s="1"/>
  <c r="O328" i="1" s="1"/>
  <c r="K329" i="1" a="1"/>
  <c r="K329" i="1" s="1"/>
  <c r="O329" i="1" s="1"/>
  <c r="K330" i="1" a="1"/>
  <c r="K330" i="1" s="1"/>
  <c r="O330" i="1" s="1"/>
  <c r="K331" i="1" a="1"/>
  <c r="K331" i="1" s="1"/>
  <c r="O331" i="1" s="1"/>
  <c r="K332" i="1" a="1"/>
  <c r="K332" i="1" s="1"/>
  <c r="O332" i="1" s="1"/>
  <c r="K333" i="1" a="1"/>
  <c r="K333" i="1" s="1"/>
  <c r="O333" i="1" s="1"/>
  <c r="K334" i="1" a="1"/>
  <c r="K334" i="1" s="1"/>
  <c r="O334" i="1" s="1"/>
  <c r="K335" i="1" a="1"/>
  <c r="K335" i="1" s="1"/>
  <c r="O335" i="1" s="1"/>
  <c r="K336" i="1" a="1"/>
  <c r="K336" i="1" s="1"/>
  <c r="O336" i="1" s="1"/>
  <c r="K337" i="1" a="1"/>
  <c r="K337" i="1" s="1"/>
  <c r="O337" i="1" s="1"/>
  <c r="K338" i="1" a="1"/>
  <c r="K338" i="1" s="1"/>
  <c r="O338" i="1" s="1"/>
  <c r="K339" i="1" a="1"/>
  <c r="K339" i="1" s="1"/>
  <c r="O339" i="1" s="1"/>
  <c r="K340" i="1" a="1"/>
  <c r="K340" i="1" s="1"/>
  <c r="O340" i="1" s="1"/>
  <c r="K341" i="1" a="1"/>
  <c r="K341" i="1" s="1"/>
  <c r="O341" i="1" s="1"/>
  <c r="K342" i="1" a="1"/>
  <c r="K342" i="1" s="1"/>
  <c r="O342" i="1" s="1"/>
  <c r="K343" i="1" a="1"/>
  <c r="K343" i="1" s="1"/>
  <c r="O343" i="1" s="1"/>
  <c r="K344" i="1" a="1"/>
  <c r="K344" i="1" s="1"/>
  <c r="O344" i="1" s="1"/>
  <c r="K345" i="1" a="1"/>
  <c r="K345" i="1" s="1"/>
  <c r="O345" i="1" s="1"/>
  <c r="K346" i="1" a="1"/>
  <c r="K346" i="1" s="1"/>
  <c r="O346" i="1" s="1"/>
  <c r="K347" i="1" a="1"/>
  <c r="K347" i="1" s="1"/>
  <c r="O347" i="1" s="1"/>
  <c r="K348" i="1" a="1"/>
  <c r="K348" i="1" s="1"/>
  <c r="O348" i="1" s="1"/>
  <c r="K349" i="1" a="1"/>
  <c r="K349" i="1" s="1"/>
  <c r="O349" i="1" s="1"/>
  <c r="K350" i="1" a="1"/>
  <c r="K350" i="1" s="1"/>
  <c r="O350" i="1" s="1"/>
  <c r="K351" i="1" a="1"/>
  <c r="K351" i="1" s="1"/>
  <c r="O351" i="1" s="1"/>
  <c r="K352" i="1" a="1"/>
  <c r="K352" i="1" s="1"/>
  <c r="O352" i="1" s="1"/>
  <c r="K353" i="1" a="1"/>
  <c r="K353" i="1" s="1"/>
  <c r="O353" i="1" s="1"/>
  <c r="K354" i="1" a="1"/>
  <c r="K354" i="1" s="1"/>
  <c r="O354" i="1" s="1"/>
  <c r="K355" i="1" a="1"/>
  <c r="K355" i="1" s="1"/>
  <c r="O355" i="1" s="1"/>
  <c r="K356" i="1" a="1"/>
  <c r="K356" i="1" s="1"/>
  <c r="O356" i="1" s="1"/>
  <c r="K357" i="1" a="1"/>
  <c r="K357" i="1" s="1"/>
  <c r="O357" i="1" s="1"/>
  <c r="K358" i="1" a="1"/>
  <c r="K358" i="1" s="1"/>
  <c r="O358" i="1" s="1"/>
  <c r="K359" i="1" a="1"/>
  <c r="K359" i="1" s="1"/>
  <c r="O359" i="1" s="1"/>
  <c r="K360" i="1" a="1"/>
  <c r="K360" i="1" s="1"/>
  <c r="O360" i="1" s="1"/>
  <c r="K361" i="1" a="1"/>
  <c r="K361" i="1" s="1"/>
  <c r="O361" i="1" s="1"/>
  <c r="K362" i="1" a="1"/>
  <c r="K362" i="1" s="1"/>
  <c r="O362" i="1" s="1"/>
  <c r="K363" i="1" a="1"/>
  <c r="K363" i="1" s="1"/>
  <c r="O363" i="1" s="1"/>
  <c r="K364" i="1" a="1"/>
  <c r="K364" i="1" s="1"/>
  <c r="O364" i="1" s="1"/>
  <c r="K365" i="1" a="1"/>
  <c r="K365" i="1" s="1"/>
  <c r="O365" i="1" s="1"/>
  <c r="K366" i="1" a="1"/>
  <c r="K366" i="1" s="1"/>
  <c r="O366" i="1" s="1"/>
  <c r="K367" i="1" a="1"/>
  <c r="K367" i="1" s="1"/>
  <c r="O367" i="1" s="1"/>
  <c r="K368" i="1" a="1"/>
  <c r="K368" i="1" s="1"/>
  <c r="O368" i="1" s="1"/>
  <c r="K369" i="1" a="1"/>
  <c r="K369" i="1" s="1"/>
  <c r="O369" i="1" s="1"/>
  <c r="K370" i="1" a="1"/>
  <c r="K370" i="1" s="1"/>
  <c r="O370" i="1" s="1"/>
  <c r="K371" i="1" a="1"/>
  <c r="K371" i="1" s="1"/>
  <c r="O371" i="1" s="1"/>
  <c r="K372" i="1" a="1"/>
  <c r="K372" i="1" s="1"/>
  <c r="O372" i="1" s="1"/>
  <c r="K373" i="1" a="1"/>
  <c r="K373" i="1" s="1"/>
  <c r="O373" i="1" s="1"/>
  <c r="K374" i="1" a="1"/>
  <c r="K374" i="1" s="1"/>
  <c r="O374" i="1" s="1"/>
  <c r="K375" i="1" a="1"/>
  <c r="K375" i="1" s="1"/>
  <c r="O375" i="1" s="1"/>
  <c r="K376" i="1" a="1"/>
  <c r="K376" i="1" s="1"/>
  <c r="O376" i="1" s="1"/>
  <c r="K377" i="1" a="1"/>
  <c r="K377" i="1" s="1"/>
  <c r="O377" i="1" s="1"/>
  <c r="K378" i="1" a="1"/>
  <c r="K378" i="1" s="1"/>
  <c r="O378" i="1" s="1"/>
  <c r="K379" i="1" a="1"/>
  <c r="K379" i="1" s="1"/>
  <c r="O379" i="1" s="1"/>
  <c r="K380" i="1" a="1"/>
  <c r="K380" i="1" s="1"/>
  <c r="O380" i="1" s="1"/>
  <c r="K381" i="1" a="1"/>
  <c r="K381" i="1" s="1"/>
  <c r="O381" i="1" s="1"/>
  <c r="K382" i="1" a="1"/>
  <c r="K382" i="1" s="1"/>
  <c r="O382" i="1" s="1"/>
  <c r="K383" i="1" a="1"/>
  <c r="K383" i="1" s="1"/>
  <c r="O383" i="1" s="1"/>
  <c r="K384" i="1" a="1"/>
  <c r="K384" i="1" s="1"/>
  <c r="O384" i="1" s="1"/>
  <c r="K385" i="1" a="1"/>
  <c r="K385" i="1" s="1"/>
  <c r="O385" i="1" s="1"/>
  <c r="K386" i="1" a="1"/>
  <c r="K386" i="1" s="1"/>
  <c r="O386" i="1" s="1"/>
  <c r="K387" i="1" a="1"/>
  <c r="K387" i="1" s="1"/>
  <c r="O387" i="1" s="1"/>
  <c r="K388" i="1" a="1"/>
  <c r="K388" i="1" s="1"/>
  <c r="O388" i="1" s="1"/>
  <c r="K389" i="1" a="1"/>
  <c r="K389" i="1" s="1"/>
  <c r="O389" i="1" s="1"/>
  <c r="K390" i="1" a="1"/>
  <c r="K390" i="1" s="1"/>
  <c r="O390" i="1" s="1"/>
  <c r="K391" i="1" a="1"/>
  <c r="K391" i="1" s="1"/>
  <c r="O391" i="1" s="1"/>
  <c r="K392" i="1" a="1"/>
  <c r="K392" i="1" s="1"/>
  <c r="O392" i="1" s="1"/>
  <c r="K393" i="1" a="1"/>
  <c r="K393" i="1" s="1"/>
  <c r="O393" i="1" s="1"/>
  <c r="K394" i="1" a="1"/>
  <c r="K394" i="1" s="1"/>
  <c r="O394" i="1" s="1"/>
  <c r="K395" i="1" a="1"/>
  <c r="K395" i="1" s="1"/>
  <c r="O395" i="1" s="1"/>
  <c r="K396" i="1" a="1"/>
  <c r="K396" i="1" s="1"/>
  <c r="O396" i="1" s="1"/>
  <c r="K397" i="1" a="1"/>
  <c r="K397" i="1" s="1"/>
  <c r="O397" i="1" s="1"/>
  <c r="K398" i="1" a="1"/>
  <c r="K398" i="1" s="1"/>
  <c r="O398" i="1" s="1"/>
  <c r="K399" i="1" a="1"/>
  <c r="K399" i="1" s="1"/>
  <c r="O399" i="1" s="1"/>
  <c r="K400" i="1" a="1"/>
  <c r="K400" i="1" s="1"/>
  <c r="O400" i="1" s="1"/>
  <c r="K401" i="1" a="1"/>
  <c r="K401" i="1" s="1"/>
  <c r="O401" i="1" s="1"/>
  <c r="K402" i="1" a="1"/>
  <c r="K402" i="1"/>
  <c r="O402" i="1" s="1"/>
  <c r="K403" i="1" a="1"/>
  <c r="K403" i="1" s="1"/>
  <c r="O403" i="1" s="1"/>
  <c r="K404" i="1" a="1"/>
  <c r="K404" i="1" s="1"/>
  <c r="O404" i="1" s="1"/>
  <c r="K405" i="1" a="1"/>
  <c r="K405" i="1" s="1"/>
  <c r="O405" i="1" s="1"/>
  <c r="K406" i="1" a="1"/>
  <c r="K406" i="1" s="1"/>
  <c r="O406" i="1" s="1"/>
  <c r="K407" i="1" a="1"/>
  <c r="K407" i="1" s="1"/>
  <c r="O407" i="1" s="1"/>
  <c r="K408" i="1" a="1"/>
  <c r="K408" i="1" s="1"/>
  <c r="O408" i="1" s="1"/>
  <c r="K409" i="1" a="1"/>
  <c r="K409" i="1" s="1"/>
  <c r="O409" i="1" s="1"/>
  <c r="K410" i="1" a="1"/>
  <c r="K410" i="1" s="1"/>
  <c r="O410" i="1" s="1"/>
  <c r="K411" i="1" a="1"/>
  <c r="K411" i="1" s="1"/>
  <c r="O411" i="1" s="1"/>
  <c r="K412" i="1" a="1"/>
  <c r="K412" i="1" s="1"/>
  <c r="O412" i="1" s="1"/>
  <c r="K413" i="1" a="1"/>
  <c r="K413" i="1" s="1"/>
  <c r="O413" i="1" s="1"/>
  <c r="K414" i="1" a="1"/>
  <c r="K414" i="1" s="1"/>
  <c r="O414" i="1" s="1"/>
  <c r="K415" i="1" a="1"/>
  <c r="K415" i="1" s="1"/>
  <c r="O415" i="1" s="1"/>
  <c r="K416" i="1" a="1"/>
  <c r="K416" i="1" s="1"/>
  <c r="O416" i="1" s="1"/>
  <c r="K417" i="1" a="1"/>
  <c r="K417" i="1" s="1"/>
  <c r="O417" i="1" s="1"/>
  <c r="K418" i="1" a="1"/>
  <c r="K418" i="1" s="1"/>
  <c r="O418" i="1" s="1"/>
  <c r="K419" i="1" a="1"/>
  <c r="K419" i="1" s="1"/>
  <c r="O419" i="1" s="1"/>
  <c r="K420" i="1" a="1"/>
  <c r="K420" i="1" s="1"/>
  <c r="O420" i="1" s="1"/>
  <c r="K421" i="1" a="1"/>
  <c r="K421" i="1" s="1"/>
  <c r="O421" i="1" s="1"/>
  <c r="K422" i="1" a="1"/>
  <c r="K422" i="1" s="1"/>
  <c r="O422" i="1" s="1"/>
  <c r="K423" i="1" a="1"/>
  <c r="K423" i="1" s="1"/>
  <c r="O423" i="1" s="1"/>
  <c r="K424" i="1" a="1"/>
  <c r="K424" i="1" s="1"/>
  <c r="O424" i="1" s="1"/>
  <c r="K425" i="1" a="1"/>
  <c r="K425" i="1" s="1"/>
  <c r="O425" i="1" s="1"/>
  <c r="K426" i="1" a="1"/>
  <c r="K426" i="1" s="1"/>
  <c r="O426" i="1" s="1"/>
  <c r="K427" i="1" a="1"/>
  <c r="K427" i="1" s="1"/>
  <c r="O427" i="1" s="1"/>
  <c r="K428" i="1" a="1"/>
  <c r="K428" i="1" s="1"/>
  <c r="O428" i="1" s="1"/>
  <c r="K429" i="1" a="1"/>
  <c r="K429" i="1" s="1"/>
  <c r="O429" i="1" s="1"/>
  <c r="K430" i="1" a="1"/>
  <c r="K430" i="1" s="1"/>
  <c r="O430" i="1" s="1"/>
  <c r="K431" i="1" a="1"/>
  <c r="K431" i="1" s="1"/>
  <c r="O431" i="1" s="1"/>
  <c r="K432" i="1" a="1"/>
  <c r="K432" i="1" s="1"/>
  <c r="O432" i="1" s="1"/>
  <c r="K433" i="1" a="1"/>
  <c r="K433" i="1" s="1"/>
  <c r="O433" i="1" s="1"/>
  <c r="K434" i="1" a="1"/>
  <c r="K434" i="1" s="1"/>
  <c r="O434" i="1" s="1"/>
  <c r="K435" i="1" a="1"/>
  <c r="K435" i="1" s="1"/>
  <c r="O435" i="1" s="1"/>
  <c r="K436" i="1" a="1"/>
  <c r="K436" i="1" s="1"/>
  <c r="O436" i="1" s="1"/>
  <c r="K437" i="1" a="1"/>
  <c r="K437" i="1" s="1"/>
  <c r="O437" i="1" s="1"/>
  <c r="K438" i="1" a="1"/>
  <c r="K438" i="1" s="1"/>
  <c r="O438" i="1" s="1"/>
  <c r="K439" i="1" a="1"/>
  <c r="K439" i="1" s="1"/>
  <c r="O439" i="1" s="1"/>
  <c r="K440" i="1" a="1"/>
  <c r="K440" i="1" s="1"/>
  <c r="O440" i="1" s="1"/>
  <c r="K441" i="1" a="1"/>
  <c r="K441" i="1" s="1"/>
  <c r="O441" i="1" s="1"/>
  <c r="K442" i="1" a="1"/>
  <c r="K442" i="1" s="1"/>
  <c r="O442" i="1" s="1"/>
  <c r="K443" i="1" a="1"/>
  <c r="K443" i="1" s="1"/>
  <c r="O443" i="1" s="1"/>
  <c r="K444" i="1" a="1"/>
  <c r="K444" i="1" s="1"/>
  <c r="O444" i="1" s="1"/>
  <c r="K445" i="1" a="1"/>
  <c r="K445" i="1" s="1"/>
  <c r="O445" i="1" s="1"/>
  <c r="K446" i="1" a="1"/>
  <c r="K446" i="1" s="1"/>
  <c r="O446" i="1" s="1"/>
  <c r="K447" i="1" a="1"/>
  <c r="K447" i="1" s="1"/>
  <c r="O447" i="1" s="1"/>
  <c r="K448" i="1" a="1"/>
  <c r="K448" i="1" s="1"/>
  <c r="O448" i="1" s="1"/>
  <c r="K449" i="1" a="1"/>
  <c r="K449" i="1" s="1"/>
  <c r="O449" i="1" s="1"/>
  <c r="K450" i="1" a="1"/>
  <c r="K450" i="1" s="1"/>
  <c r="O450" i="1" s="1"/>
  <c r="K451" i="1" a="1"/>
  <c r="K451" i="1" s="1"/>
  <c r="O451" i="1" s="1"/>
  <c r="K452" i="1" a="1"/>
  <c r="K452" i="1" s="1"/>
  <c r="O452" i="1" s="1"/>
  <c r="K453" i="1" a="1"/>
  <c r="K453" i="1" s="1"/>
  <c r="O453" i="1" s="1"/>
  <c r="K454" i="1" a="1"/>
  <c r="K454" i="1" s="1"/>
  <c r="O454" i="1" s="1"/>
  <c r="K455" i="1" a="1"/>
  <c r="K455" i="1" s="1"/>
  <c r="O455" i="1" s="1"/>
  <c r="K456" i="1" a="1"/>
  <c r="K456" i="1" s="1"/>
  <c r="O456" i="1" s="1"/>
  <c r="K457" i="1" a="1"/>
  <c r="K457" i="1" s="1"/>
  <c r="O457" i="1" s="1"/>
  <c r="K458" i="1" a="1"/>
  <c r="K458" i="1" s="1"/>
  <c r="O458" i="1" s="1"/>
  <c r="K459" i="1" a="1"/>
  <c r="K459" i="1" s="1"/>
  <c r="O459" i="1" s="1"/>
  <c r="K460" i="1" a="1"/>
  <c r="K460" i="1" s="1"/>
  <c r="O460" i="1" s="1"/>
  <c r="K461" i="1" a="1"/>
  <c r="K461" i="1" s="1"/>
  <c r="O461" i="1" s="1"/>
  <c r="K462" i="1" a="1"/>
  <c r="K462" i="1" s="1"/>
  <c r="O462" i="1" s="1"/>
  <c r="K463" i="1" a="1"/>
  <c r="K463" i="1" s="1"/>
  <c r="O463" i="1" s="1"/>
  <c r="K464" i="1" a="1"/>
  <c r="K464" i="1" s="1"/>
  <c r="O464" i="1" s="1"/>
  <c r="K465" i="1" a="1"/>
  <c r="K465" i="1" s="1"/>
  <c r="O465" i="1" s="1"/>
  <c r="K466" i="1" a="1"/>
  <c r="K466" i="1" s="1"/>
  <c r="O466" i="1" s="1"/>
  <c r="K467" i="1" a="1"/>
  <c r="K467" i="1" s="1"/>
  <c r="O467" i="1" s="1"/>
  <c r="K468" i="1" a="1"/>
  <c r="K468" i="1" s="1"/>
  <c r="O468" i="1" s="1"/>
  <c r="K469" i="1" a="1"/>
  <c r="K469" i="1" s="1"/>
  <c r="O469" i="1" s="1"/>
  <c r="K470" i="1" a="1"/>
  <c r="K470" i="1" s="1"/>
  <c r="O470" i="1" s="1"/>
  <c r="K471" i="1" a="1"/>
  <c r="K471" i="1" s="1"/>
  <c r="O471" i="1" s="1"/>
  <c r="K472" i="1" a="1"/>
  <c r="K472" i="1" s="1"/>
  <c r="O472" i="1" s="1"/>
  <c r="K473" i="1" a="1"/>
  <c r="K473" i="1" s="1"/>
  <c r="O473" i="1" s="1"/>
  <c r="K474" i="1" a="1"/>
  <c r="K474" i="1" s="1"/>
  <c r="O474" i="1" s="1"/>
  <c r="K475" i="1" a="1"/>
  <c r="K475" i="1" s="1"/>
  <c r="O475" i="1" s="1"/>
  <c r="K476" i="1" a="1"/>
  <c r="K476" i="1" s="1"/>
  <c r="O476" i="1" s="1"/>
  <c r="K477" i="1" a="1"/>
  <c r="K477" i="1" s="1"/>
  <c r="O477" i="1" s="1"/>
  <c r="K478" i="1" a="1"/>
  <c r="K478" i="1"/>
  <c r="O478" i="1" s="1"/>
  <c r="K479" i="1" a="1"/>
  <c r="K479" i="1" s="1"/>
  <c r="O479" i="1" s="1"/>
  <c r="K480" i="1" a="1"/>
  <c r="K480" i="1" s="1"/>
  <c r="O480" i="1" s="1"/>
  <c r="K481" i="1" a="1"/>
  <c r="K481" i="1" s="1"/>
  <c r="O481" i="1" s="1"/>
  <c r="K482" i="1" a="1"/>
  <c r="K482" i="1" s="1"/>
  <c r="O482" i="1" s="1"/>
  <c r="K483" i="1" a="1"/>
  <c r="K483" i="1" s="1"/>
  <c r="O483" i="1" s="1"/>
  <c r="K484" i="1" a="1"/>
  <c r="K484" i="1" s="1"/>
  <c r="O484" i="1" s="1"/>
  <c r="K485" i="1" a="1"/>
  <c r="K485" i="1" s="1"/>
  <c r="O485" i="1" s="1"/>
  <c r="K486" i="1" a="1"/>
  <c r="K486" i="1" s="1"/>
  <c r="O486" i="1" s="1"/>
  <c r="K487" i="1" a="1"/>
  <c r="K487" i="1" s="1"/>
  <c r="O487" i="1" s="1"/>
  <c r="K488" i="1" a="1"/>
  <c r="K488" i="1" s="1"/>
  <c r="O488" i="1" s="1"/>
  <c r="K489" i="1" a="1"/>
  <c r="K489" i="1" s="1"/>
  <c r="O489" i="1" s="1"/>
  <c r="K490" i="1" a="1"/>
  <c r="K490" i="1" s="1"/>
  <c r="O490" i="1" s="1"/>
  <c r="K491" i="1" a="1"/>
  <c r="K491" i="1" s="1"/>
  <c r="O491" i="1" s="1"/>
  <c r="K492" i="1" a="1"/>
  <c r="K492" i="1" s="1"/>
  <c r="O492" i="1" s="1"/>
  <c r="K493" i="1" a="1"/>
  <c r="K493" i="1" s="1"/>
  <c r="O493" i="1" s="1"/>
  <c r="K494" i="1" a="1"/>
  <c r="K494" i="1" s="1"/>
  <c r="O494" i="1" s="1"/>
  <c r="K495" i="1" a="1"/>
  <c r="K495" i="1" s="1"/>
  <c r="O495" i="1" s="1"/>
  <c r="K496" i="1" a="1"/>
  <c r="K496" i="1" s="1"/>
  <c r="O496" i="1" s="1"/>
  <c r="K497" i="1" a="1"/>
  <c r="K497" i="1" s="1"/>
  <c r="O497" i="1" s="1"/>
  <c r="K498" i="1" a="1"/>
  <c r="K498" i="1" s="1"/>
  <c r="O498" i="1" s="1"/>
  <c r="K499" i="1" a="1"/>
  <c r="K499" i="1" s="1"/>
  <c r="O499" i="1" s="1"/>
  <c r="K500" i="1" a="1"/>
  <c r="K500" i="1" s="1"/>
  <c r="O500" i="1" s="1"/>
  <c r="K501" i="1" a="1"/>
  <c r="K501" i="1" s="1"/>
  <c r="O501" i="1" s="1"/>
  <c r="K502" i="1" a="1"/>
  <c r="K502" i="1" s="1"/>
  <c r="O502" i="1" s="1"/>
  <c r="K503" i="1" a="1"/>
  <c r="K503" i="1" s="1"/>
  <c r="O503" i="1" s="1"/>
  <c r="K504" i="1" a="1"/>
  <c r="K504" i="1" s="1"/>
  <c r="O504" i="1" s="1"/>
  <c r="K505" i="1" a="1"/>
  <c r="K505" i="1" s="1"/>
  <c r="O505" i="1" s="1"/>
  <c r="K506" i="1" a="1"/>
  <c r="K506" i="1" s="1"/>
  <c r="O506" i="1" s="1"/>
  <c r="K507" i="1" a="1"/>
  <c r="K507" i="1" s="1"/>
  <c r="O507" i="1" s="1"/>
  <c r="K508" i="1" a="1"/>
  <c r="K508" i="1" s="1"/>
  <c r="O508" i="1" s="1"/>
  <c r="K509" i="1" a="1"/>
  <c r="K509" i="1" s="1"/>
  <c r="O509" i="1" s="1"/>
  <c r="K510" i="1" a="1"/>
  <c r="K510" i="1" s="1"/>
  <c r="O510" i="1" s="1"/>
  <c r="K511" i="1" a="1"/>
  <c r="K511" i="1" s="1"/>
  <c r="O511" i="1" s="1"/>
  <c r="K512" i="1" a="1"/>
  <c r="K512" i="1" s="1"/>
  <c r="O512" i="1" s="1"/>
  <c r="K513" i="1" a="1"/>
  <c r="K513" i="1" s="1"/>
  <c r="O513" i="1" s="1"/>
  <c r="K514" i="1" a="1"/>
  <c r="K514" i="1"/>
  <c r="O514" i="1" s="1"/>
  <c r="K515" i="1" a="1"/>
  <c r="K515" i="1" s="1"/>
  <c r="O515" i="1" s="1"/>
  <c r="K516" i="1" a="1"/>
  <c r="K516" i="1" s="1"/>
  <c r="O516" i="1" s="1"/>
  <c r="K517" i="1" a="1"/>
  <c r="K517" i="1" s="1"/>
  <c r="O517" i="1" s="1"/>
  <c r="K518" i="1" a="1"/>
  <c r="K518" i="1" s="1"/>
  <c r="O518" i="1" s="1"/>
  <c r="K519" i="1" a="1"/>
  <c r="K519" i="1" s="1"/>
  <c r="O519" i="1" s="1"/>
  <c r="K520" i="1" a="1"/>
  <c r="K520" i="1" s="1"/>
  <c r="O520" i="1" s="1"/>
  <c r="K521" i="1" a="1"/>
  <c r="K521" i="1" s="1"/>
  <c r="O521" i="1" s="1"/>
  <c r="K522" i="1" a="1"/>
  <c r="K522" i="1" s="1"/>
  <c r="O522" i="1" s="1"/>
  <c r="K523" i="1" a="1"/>
  <c r="K523" i="1" s="1"/>
  <c r="O523" i="1" s="1"/>
  <c r="K524" i="1" a="1"/>
  <c r="K524" i="1" s="1"/>
  <c r="O524" i="1" s="1"/>
  <c r="K525" i="1" a="1"/>
  <c r="K525" i="1" s="1"/>
  <c r="O525" i="1" s="1"/>
  <c r="K526" i="1" a="1"/>
  <c r="K526" i="1" s="1"/>
  <c r="O526" i="1" s="1"/>
  <c r="K527" i="1" a="1"/>
  <c r="K527" i="1" s="1"/>
  <c r="O527" i="1" s="1"/>
  <c r="K528" i="1" a="1"/>
  <c r="K528" i="1" s="1"/>
  <c r="O528" i="1" s="1"/>
  <c r="K529" i="1" a="1"/>
  <c r="K529" i="1" s="1"/>
  <c r="O529" i="1" s="1"/>
  <c r="K530" i="1" a="1"/>
  <c r="K530" i="1" s="1"/>
  <c r="O530" i="1" s="1"/>
  <c r="K531" i="1" a="1"/>
  <c r="K531" i="1" s="1"/>
  <c r="O531" i="1" s="1"/>
  <c r="K532" i="1" a="1"/>
  <c r="K532" i="1" s="1"/>
  <c r="O532" i="1" s="1"/>
  <c r="K533" i="1" a="1"/>
  <c r="K533" i="1" s="1"/>
  <c r="O533" i="1" s="1"/>
  <c r="K534" i="1" a="1"/>
  <c r="K534" i="1" s="1"/>
  <c r="O534" i="1" s="1"/>
  <c r="K535" i="1" a="1"/>
  <c r="K535" i="1" s="1"/>
  <c r="O535" i="1" s="1"/>
  <c r="K536" i="1" a="1"/>
  <c r="K536" i="1" s="1"/>
  <c r="O536" i="1" s="1"/>
  <c r="K537" i="1" a="1"/>
  <c r="K537" i="1" s="1"/>
  <c r="O537" i="1" s="1"/>
  <c r="K538" i="1" a="1"/>
  <c r="K538" i="1" s="1"/>
  <c r="O538" i="1" s="1"/>
  <c r="K539" i="1" a="1"/>
  <c r="K539" i="1" s="1"/>
  <c r="O539" i="1" s="1"/>
  <c r="K540" i="1" a="1"/>
  <c r="K540" i="1" s="1"/>
  <c r="O540" i="1" s="1"/>
  <c r="K541" i="1" a="1"/>
  <c r="K541" i="1" s="1"/>
  <c r="O541" i="1" s="1"/>
  <c r="K542" i="1" a="1"/>
  <c r="K542" i="1" s="1"/>
  <c r="O542" i="1" s="1"/>
  <c r="K543" i="1" a="1"/>
  <c r="K543" i="1" s="1"/>
  <c r="O543" i="1" s="1"/>
  <c r="K544" i="1" a="1"/>
  <c r="K544" i="1" s="1"/>
  <c r="O544" i="1" s="1"/>
  <c r="K545" i="1" a="1"/>
  <c r="K545" i="1" s="1"/>
  <c r="O545" i="1" s="1"/>
  <c r="K546" i="1" a="1"/>
  <c r="K546" i="1" s="1"/>
  <c r="O546" i="1" s="1"/>
  <c r="K547" i="1" a="1"/>
  <c r="K547" i="1" s="1"/>
  <c r="O547" i="1" s="1"/>
  <c r="K548" i="1" a="1"/>
  <c r="K548" i="1" s="1"/>
  <c r="O548" i="1" s="1"/>
  <c r="K549" i="1" a="1"/>
  <c r="K549" i="1" s="1"/>
  <c r="O549" i="1" s="1"/>
  <c r="K550" i="1" a="1"/>
  <c r="K550" i="1" s="1"/>
  <c r="O550" i="1" s="1"/>
  <c r="K551" i="1" a="1"/>
  <c r="K551" i="1" s="1"/>
  <c r="O551" i="1" s="1"/>
  <c r="K552" i="1" a="1"/>
  <c r="K552" i="1" s="1"/>
  <c r="O552" i="1" s="1"/>
  <c r="K553" i="1" a="1"/>
  <c r="K553" i="1" s="1"/>
  <c r="O553" i="1" s="1"/>
  <c r="K554" i="1" a="1"/>
  <c r="K554" i="1" s="1"/>
  <c r="O554" i="1" s="1"/>
  <c r="K555" i="1" a="1"/>
  <c r="K555" i="1" s="1"/>
  <c r="O555" i="1" s="1"/>
  <c r="K556" i="1" a="1"/>
  <c r="K556" i="1" s="1"/>
  <c r="O556" i="1" s="1"/>
  <c r="K557" i="1" a="1"/>
  <c r="K557" i="1" s="1"/>
  <c r="O557" i="1" s="1"/>
  <c r="K558" i="1" a="1"/>
  <c r="K558" i="1" s="1"/>
  <c r="O558" i="1" s="1"/>
  <c r="K559" i="1" a="1"/>
  <c r="K559" i="1" s="1"/>
  <c r="O559" i="1" s="1"/>
  <c r="K560" i="1" a="1"/>
  <c r="K560" i="1" s="1"/>
  <c r="O560" i="1" s="1"/>
  <c r="K561" i="1" a="1"/>
  <c r="K561" i="1" s="1"/>
  <c r="O561" i="1" s="1"/>
  <c r="K562" i="1" a="1"/>
  <c r="K562" i="1" s="1"/>
  <c r="O562" i="1" s="1"/>
  <c r="K563" i="1" a="1"/>
  <c r="K563" i="1" s="1"/>
  <c r="O563" i="1" s="1"/>
  <c r="K564" i="1" a="1"/>
  <c r="K564" i="1" s="1"/>
  <c r="O564" i="1" s="1"/>
  <c r="K565" i="1" a="1"/>
  <c r="K565" i="1" s="1"/>
  <c r="O565" i="1" s="1"/>
  <c r="K566" i="1" a="1"/>
  <c r="K566" i="1" s="1"/>
  <c r="O566" i="1" s="1"/>
  <c r="K567" i="1" a="1"/>
  <c r="K567" i="1" s="1"/>
  <c r="O567" i="1" s="1"/>
  <c r="K568" i="1" a="1"/>
  <c r="K568" i="1" s="1"/>
  <c r="O568" i="1" s="1"/>
  <c r="K569" i="1" a="1"/>
  <c r="K569" i="1" s="1"/>
  <c r="O569" i="1" s="1"/>
  <c r="K570" i="1" a="1"/>
  <c r="K570" i="1" s="1"/>
  <c r="O570" i="1" s="1"/>
  <c r="K571" i="1" a="1"/>
  <c r="K571" i="1" s="1"/>
  <c r="O571" i="1" s="1"/>
  <c r="K572" i="1" a="1"/>
  <c r="K572" i="1" s="1"/>
  <c r="O572" i="1" s="1"/>
  <c r="K573" i="1" a="1"/>
  <c r="K573" i="1" s="1"/>
  <c r="O573" i="1" s="1"/>
  <c r="K574" i="1" a="1"/>
  <c r="K574" i="1" s="1"/>
  <c r="O574" i="1" s="1"/>
  <c r="K575" i="1" a="1"/>
  <c r="K575" i="1" s="1"/>
  <c r="O575" i="1" s="1"/>
  <c r="K576" i="1" a="1"/>
  <c r="K576" i="1" s="1"/>
  <c r="O576" i="1" s="1"/>
  <c r="K577" i="1" a="1"/>
  <c r="K577" i="1" s="1"/>
  <c r="O577" i="1" s="1"/>
  <c r="K578" i="1" a="1"/>
  <c r="K578" i="1" s="1"/>
  <c r="O578" i="1" s="1"/>
  <c r="K579" i="1" a="1"/>
  <c r="K579" i="1" s="1"/>
  <c r="O579" i="1" s="1"/>
  <c r="K580" i="1" a="1"/>
  <c r="K580" i="1" s="1"/>
  <c r="O580" i="1" s="1"/>
  <c r="K581" i="1" a="1"/>
  <c r="K581" i="1" s="1"/>
  <c r="O581" i="1" s="1"/>
  <c r="K582" i="1" a="1"/>
  <c r="K582" i="1" s="1"/>
  <c r="O582" i="1" s="1"/>
  <c r="K583" i="1" a="1"/>
  <c r="K583" i="1" s="1"/>
  <c r="O583" i="1" s="1"/>
  <c r="K584" i="1" a="1"/>
  <c r="K584" i="1" s="1"/>
  <c r="O584" i="1" s="1"/>
  <c r="K585" i="1" a="1"/>
  <c r="K585" i="1" s="1"/>
  <c r="O585" i="1" s="1"/>
  <c r="K586" i="1" a="1"/>
  <c r="K586" i="1" s="1"/>
  <c r="O586" i="1" s="1"/>
  <c r="K587" i="1" a="1"/>
  <c r="K587" i="1" s="1"/>
  <c r="O587" i="1" s="1"/>
  <c r="K588" i="1" a="1"/>
  <c r="K588" i="1" s="1"/>
  <c r="O588" i="1" s="1"/>
  <c r="K589" i="1" a="1"/>
  <c r="K589" i="1" s="1"/>
  <c r="O589" i="1" s="1"/>
  <c r="K590" i="1" a="1"/>
  <c r="K590" i="1" s="1"/>
  <c r="O590" i="1" s="1"/>
  <c r="K591" i="1" a="1"/>
  <c r="K591" i="1" s="1"/>
  <c r="O591" i="1" s="1"/>
  <c r="K592" i="1" a="1"/>
  <c r="K592" i="1" s="1"/>
  <c r="O592" i="1" s="1"/>
  <c r="K593" i="1" a="1"/>
  <c r="K593" i="1" s="1"/>
  <c r="O593" i="1" s="1"/>
  <c r="K594" i="1" a="1"/>
  <c r="K594" i="1"/>
  <c r="O594" i="1" s="1"/>
  <c r="K595" i="1" a="1"/>
  <c r="K595" i="1" s="1"/>
  <c r="O595" i="1" s="1"/>
  <c r="K596" i="1" a="1"/>
  <c r="K596" i="1" s="1"/>
  <c r="O596" i="1" s="1"/>
  <c r="K597" i="1" a="1"/>
  <c r="K597" i="1" s="1"/>
  <c r="O597" i="1" s="1"/>
  <c r="K598" i="1" a="1"/>
  <c r="K598" i="1" s="1"/>
  <c r="O598" i="1" s="1"/>
  <c r="K599" i="1" a="1"/>
  <c r="K599" i="1" s="1"/>
  <c r="O599" i="1" s="1"/>
  <c r="K600" i="1" a="1"/>
  <c r="K600" i="1" s="1"/>
  <c r="O600" i="1" s="1"/>
  <c r="K601" i="1" a="1"/>
  <c r="K601" i="1" s="1"/>
  <c r="O601" i="1" s="1"/>
  <c r="K602" i="1" a="1"/>
  <c r="K602" i="1" s="1"/>
  <c r="O602" i="1" s="1"/>
  <c r="K603" i="1" a="1"/>
  <c r="K603" i="1" s="1"/>
  <c r="O603" i="1" s="1"/>
  <c r="K604" i="1" a="1"/>
  <c r="K604" i="1" s="1"/>
  <c r="O604" i="1" s="1"/>
  <c r="K605" i="1" a="1"/>
  <c r="K605" i="1" s="1"/>
  <c r="O605" i="1" s="1"/>
  <c r="K606" i="1" a="1"/>
  <c r="K606" i="1" s="1"/>
  <c r="O606" i="1" s="1"/>
  <c r="K607" i="1" a="1"/>
  <c r="K607" i="1" s="1"/>
  <c r="O607" i="1" s="1"/>
  <c r="K608" i="1" a="1"/>
  <c r="K608" i="1" s="1"/>
  <c r="O608" i="1" s="1"/>
  <c r="K609" i="1" a="1"/>
  <c r="K609" i="1" s="1"/>
  <c r="O609" i="1" s="1"/>
  <c r="K610" i="1" a="1"/>
  <c r="K610" i="1" s="1"/>
  <c r="O610" i="1" s="1"/>
  <c r="K611" i="1" a="1"/>
  <c r="K611" i="1" s="1"/>
  <c r="O611" i="1" s="1"/>
  <c r="K612" i="1" a="1"/>
  <c r="K612" i="1" s="1"/>
  <c r="O612" i="1" s="1"/>
  <c r="K613" i="1" a="1"/>
  <c r="K613" i="1" s="1"/>
  <c r="O613" i="1" s="1"/>
  <c r="K614" i="1" a="1"/>
  <c r="K614" i="1" s="1"/>
  <c r="O614" i="1" s="1"/>
  <c r="K615" i="1" a="1"/>
  <c r="K615" i="1" s="1"/>
  <c r="O615" i="1" s="1"/>
  <c r="K616" i="1" a="1"/>
  <c r="K616" i="1" s="1"/>
  <c r="O616" i="1" s="1"/>
  <c r="K617" i="1" a="1"/>
  <c r="K617" i="1" s="1"/>
  <c r="O617" i="1" s="1"/>
  <c r="K618" i="1" a="1"/>
  <c r="K618" i="1" s="1"/>
  <c r="O618" i="1" s="1"/>
  <c r="K619" i="1" a="1"/>
  <c r="K619" i="1" s="1"/>
  <c r="O619" i="1" s="1"/>
  <c r="K620" i="1" a="1"/>
  <c r="K620" i="1" s="1"/>
  <c r="O620" i="1" s="1"/>
  <c r="K621" i="1" a="1"/>
  <c r="K621" i="1" s="1"/>
  <c r="O621" i="1" s="1"/>
  <c r="K622" i="1" a="1"/>
  <c r="K622" i="1" s="1"/>
  <c r="O622" i="1" s="1"/>
  <c r="K623" i="1" a="1"/>
  <c r="K623" i="1" s="1"/>
  <c r="O623" i="1" s="1"/>
  <c r="K624" i="1" a="1"/>
  <c r="K624" i="1" s="1"/>
  <c r="O624" i="1" s="1"/>
  <c r="K625" i="1" a="1"/>
  <c r="K625" i="1" s="1"/>
  <c r="O625" i="1" s="1"/>
  <c r="K626" i="1" a="1"/>
  <c r="K626" i="1" s="1"/>
  <c r="O626" i="1" s="1"/>
  <c r="K627" i="1" a="1"/>
  <c r="K627" i="1" s="1"/>
  <c r="O627" i="1" s="1"/>
  <c r="K628" i="1" a="1"/>
  <c r="K628" i="1" s="1"/>
  <c r="O628" i="1" s="1"/>
  <c r="K629" i="1" a="1"/>
  <c r="K629" i="1" s="1"/>
  <c r="O629" i="1" s="1"/>
  <c r="K630" i="1" a="1"/>
  <c r="K630" i="1" s="1"/>
  <c r="O630" i="1" s="1"/>
  <c r="K631" i="1" a="1"/>
  <c r="K631" i="1" s="1"/>
  <c r="O631" i="1" s="1"/>
  <c r="K632" i="1" a="1"/>
  <c r="K632" i="1" s="1"/>
  <c r="O632" i="1" s="1"/>
  <c r="K633" i="1" a="1"/>
  <c r="K633" i="1" s="1"/>
  <c r="O633" i="1" s="1"/>
  <c r="K634" i="1" a="1"/>
  <c r="K634" i="1" s="1"/>
  <c r="O634" i="1" s="1"/>
  <c r="K635" i="1" a="1"/>
  <c r="K635" i="1" s="1"/>
  <c r="O635" i="1" s="1"/>
  <c r="K636" i="1" a="1"/>
  <c r="K636" i="1" s="1"/>
  <c r="O636" i="1" s="1"/>
  <c r="K637" i="1" a="1"/>
  <c r="K637" i="1" s="1"/>
  <c r="O637" i="1" s="1"/>
  <c r="K638" i="1" a="1"/>
  <c r="K638" i="1" s="1"/>
  <c r="O638" i="1" s="1"/>
  <c r="K639" i="1" a="1"/>
  <c r="K639" i="1" s="1"/>
  <c r="O639" i="1" s="1"/>
  <c r="K640" i="1" a="1"/>
  <c r="K640" i="1" s="1"/>
  <c r="O640" i="1" s="1"/>
  <c r="K641" i="1" a="1"/>
  <c r="K641" i="1" s="1"/>
  <c r="O641" i="1" s="1"/>
  <c r="K642" i="1" a="1"/>
  <c r="K642" i="1" s="1"/>
  <c r="O642" i="1" s="1"/>
  <c r="K643" i="1" a="1"/>
  <c r="K643" i="1" s="1"/>
  <c r="O643" i="1" s="1"/>
  <c r="K644" i="1" a="1"/>
  <c r="K644" i="1" s="1"/>
  <c r="O644" i="1" s="1"/>
  <c r="K645" i="1" a="1"/>
  <c r="K645" i="1" s="1"/>
  <c r="O645" i="1" s="1"/>
  <c r="K646" i="1" a="1"/>
  <c r="K646" i="1" s="1"/>
  <c r="O646" i="1" s="1"/>
  <c r="K647" i="1" a="1"/>
  <c r="K647" i="1" s="1"/>
  <c r="O647" i="1" s="1"/>
  <c r="K648" i="1" a="1"/>
  <c r="K648" i="1" s="1"/>
  <c r="O648" i="1" s="1"/>
  <c r="K649" i="1" a="1"/>
  <c r="K649" i="1" s="1"/>
  <c r="O649" i="1" s="1"/>
  <c r="K650" i="1" a="1"/>
  <c r="K650" i="1" s="1"/>
  <c r="O650" i="1" s="1"/>
  <c r="K651" i="1" a="1"/>
  <c r="K651" i="1" s="1"/>
  <c r="O651" i="1" s="1"/>
  <c r="K652" i="1" a="1"/>
  <c r="K652" i="1" s="1"/>
  <c r="O652" i="1" s="1"/>
  <c r="K653" i="1" a="1"/>
  <c r="K653" i="1" s="1"/>
  <c r="O653" i="1" s="1"/>
  <c r="K654" i="1" a="1"/>
  <c r="K654" i="1" s="1"/>
  <c r="O654" i="1" s="1"/>
  <c r="K655" i="1" a="1"/>
  <c r="K655" i="1" s="1"/>
  <c r="O655" i="1" s="1"/>
  <c r="K656" i="1" a="1"/>
  <c r="K656" i="1" s="1"/>
  <c r="O656" i="1" s="1"/>
  <c r="K657" i="1" a="1"/>
  <c r="K657" i="1" s="1"/>
  <c r="O657" i="1" s="1"/>
  <c r="K658" i="1" a="1"/>
  <c r="K658" i="1" s="1"/>
  <c r="O658" i="1" s="1"/>
  <c r="K659" i="1" a="1"/>
  <c r="K659" i="1" s="1"/>
  <c r="O659" i="1" s="1"/>
  <c r="K660" i="1" a="1"/>
  <c r="K660" i="1" s="1"/>
  <c r="O660" i="1" s="1"/>
  <c r="K661" i="1" a="1"/>
  <c r="K661" i="1" s="1"/>
  <c r="O661" i="1" s="1"/>
  <c r="K662" i="1" a="1"/>
  <c r="K662" i="1" s="1"/>
  <c r="O662" i="1" s="1"/>
  <c r="K663" i="1" a="1"/>
  <c r="K663" i="1" s="1"/>
  <c r="O663" i="1" s="1"/>
  <c r="K664" i="1" a="1"/>
  <c r="K664" i="1" s="1"/>
  <c r="O664" i="1" s="1"/>
  <c r="K665" i="1" a="1"/>
  <c r="K665" i="1" s="1"/>
  <c r="O665" i="1" s="1"/>
  <c r="K666" i="1" a="1"/>
  <c r="K666" i="1"/>
  <c r="O666" i="1" s="1"/>
  <c r="K667" i="1" a="1"/>
  <c r="K667" i="1" s="1"/>
  <c r="O667" i="1" s="1"/>
  <c r="K668" i="1" a="1"/>
  <c r="K668" i="1" s="1"/>
  <c r="O668" i="1" s="1"/>
  <c r="K669" i="1" a="1"/>
  <c r="K669" i="1" s="1"/>
  <c r="O669" i="1" s="1"/>
  <c r="K670" i="1" a="1"/>
  <c r="K670" i="1" s="1"/>
  <c r="O670" i="1" s="1"/>
  <c r="K671" i="1" a="1"/>
  <c r="K671" i="1" s="1"/>
  <c r="O671" i="1" s="1"/>
  <c r="K672" i="1" a="1"/>
  <c r="K672" i="1" s="1"/>
  <c r="O672" i="1" s="1"/>
  <c r="K673" i="1" a="1"/>
  <c r="K673" i="1" s="1"/>
  <c r="O673" i="1" s="1"/>
  <c r="K674" i="1" a="1"/>
  <c r="K674" i="1" s="1"/>
  <c r="O674" i="1" s="1"/>
  <c r="K675" i="1" a="1"/>
  <c r="K675" i="1" s="1"/>
  <c r="O675" i="1" s="1"/>
  <c r="K676" i="1" a="1"/>
  <c r="K676" i="1" s="1"/>
  <c r="O676" i="1" s="1"/>
  <c r="K677" i="1" a="1"/>
  <c r="K677" i="1" s="1"/>
  <c r="O677" i="1" s="1"/>
  <c r="K678" i="1" a="1"/>
  <c r="K678" i="1" s="1"/>
  <c r="O678" i="1" s="1"/>
  <c r="K679" i="1" a="1"/>
  <c r="K679" i="1" s="1"/>
  <c r="O679" i="1" s="1"/>
  <c r="K680" i="1" a="1"/>
  <c r="K680" i="1" s="1"/>
  <c r="O680" i="1" s="1"/>
  <c r="K681" i="1" a="1"/>
  <c r="K681" i="1" s="1"/>
  <c r="O681" i="1" s="1"/>
  <c r="K682" i="1" a="1"/>
  <c r="K682" i="1" s="1"/>
  <c r="O682" i="1" s="1"/>
  <c r="K683" i="1" a="1"/>
  <c r="K683" i="1" s="1"/>
  <c r="O683" i="1" s="1"/>
  <c r="K684" i="1" a="1"/>
  <c r="K684" i="1" s="1"/>
  <c r="O684" i="1" s="1"/>
  <c r="K685" i="1" a="1"/>
  <c r="K685" i="1" s="1"/>
  <c r="O685" i="1" s="1"/>
  <c r="K686" i="1" a="1"/>
  <c r="K686" i="1" s="1"/>
  <c r="O686" i="1" s="1"/>
  <c r="K687" i="1" a="1"/>
  <c r="K687" i="1" s="1"/>
  <c r="O687" i="1" s="1"/>
  <c r="K688" i="1" a="1"/>
  <c r="K688" i="1" s="1"/>
  <c r="O688" i="1" s="1"/>
  <c r="K689" i="1" a="1"/>
  <c r="K689" i="1" s="1"/>
  <c r="O689" i="1" s="1"/>
  <c r="K690" i="1" a="1"/>
  <c r="K690" i="1" s="1"/>
  <c r="O690" i="1" s="1"/>
  <c r="K691" i="1" a="1"/>
  <c r="K691" i="1" s="1"/>
  <c r="O691" i="1" s="1"/>
  <c r="K692" i="1" a="1"/>
  <c r="K692" i="1" s="1"/>
  <c r="O692" i="1" s="1"/>
  <c r="K693" i="1" a="1"/>
  <c r="K693" i="1" s="1"/>
  <c r="O693" i="1" s="1"/>
  <c r="K694" i="1" a="1"/>
  <c r="K694" i="1" s="1"/>
  <c r="O694" i="1" s="1"/>
  <c r="K695" i="1" a="1"/>
  <c r="K695" i="1" s="1"/>
  <c r="O695" i="1" s="1"/>
  <c r="K696" i="1" a="1"/>
  <c r="K696" i="1" s="1"/>
  <c r="O696" i="1" s="1"/>
  <c r="K697" i="1" a="1"/>
  <c r="K697" i="1" s="1"/>
  <c r="O697" i="1" s="1"/>
  <c r="K698" i="1" a="1"/>
  <c r="K698" i="1" s="1"/>
  <c r="O698" i="1" s="1"/>
  <c r="K699" i="1" a="1"/>
  <c r="K699" i="1" s="1"/>
  <c r="O699" i="1" s="1"/>
  <c r="K700" i="1" a="1"/>
  <c r="K700" i="1" s="1"/>
  <c r="O700" i="1" s="1"/>
  <c r="K701" i="1" a="1"/>
  <c r="K701" i="1" s="1"/>
  <c r="O701" i="1" s="1"/>
  <c r="K702" i="1" a="1"/>
  <c r="K702" i="1" s="1"/>
  <c r="O702" i="1" s="1"/>
  <c r="K703" i="1" a="1"/>
  <c r="K703" i="1" s="1"/>
  <c r="O703" i="1" s="1"/>
  <c r="K704" i="1" a="1"/>
  <c r="K704" i="1" s="1"/>
  <c r="O704" i="1" s="1"/>
  <c r="K705" i="1" a="1"/>
  <c r="K705" i="1" s="1"/>
  <c r="O705" i="1" s="1"/>
  <c r="K706" i="1" a="1"/>
  <c r="K706" i="1" s="1"/>
  <c r="O706" i="1" s="1"/>
  <c r="K707" i="1" a="1"/>
  <c r="K707" i="1" s="1"/>
  <c r="O707" i="1" s="1"/>
  <c r="K708" i="1" a="1"/>
  <c r="K708" i="1" s="1"/>
  <c r="O708" i="1" s="1"/>
  <c r="K709" i="1" a="1"/>
  <c r="K709" i="1" s="1"/>
  <c r="O709" i="1" s="1"/>
  <c r="K710" i="1" a="1"/>
  <c r="K710" i="1" s="1"/>
  <c r="O710" i="1" s="1"/>
  <c r="K711" i="1" a="1"/>
  <c r="K711" i="1" s="1"/>
  <c r="O711" i="1" s="1"/>
  <c r="K712" i="1" a="1"/>
  <c r="K712" i="1" s="1"/>
  <c r="O712" i="1" s="1"/>
  <c r="K713" i="1" a="1"/>
  <c r="K713" i="1" s="1"/>
  <c r="O713" i="1" s="1"/>
  <c r="K714" i="1" a="1"/>
  <c r="K714" i="1" s="1"/>
  <c r="O714" i="1" s="1"/>
  <c r="K715" i="1" a="1"/>
  <c r="K715" i="1" s="1"/>
  <c r="O715" i="1" s="1"/>
  <c r="K716" i="1" a="1"/>
  <c r="K716" i="1" s="1"/>
  <c r="O716" i="1" s="1"/>
  <c r="K717" i="1" a="1"/>
  <c r="K717" i="1" s="1"/>
  <c r="O717" i="1" s="1"/>
  <c r="K718" i="1" a="1"/>
  <c r="K718" i="1" s="1"/>
  <c r="O718" i="1" s="1"/>
  <c r="K719" i="1" a="1"/>
  <c r="K719" i="1" s="1"/>
  <c r="O719" i="1" s="1"/>
  <c r="K720" i="1" a="1"/>
  <c r="K720" i="1" s="1"/>
  <c r="O720" i="1" s="1"/>
  <c r="K721" i="1" a="1"/>
  <c r="K721" i="1" s="1"/>
  <c r="O721" i="1" s="1"/>
  <c r="K722" i="1" a="1"/>
  <c r="K722" i="1" s="1"/>
  <c r="O722" i="1" s="1"/>
  <c r="K723" i="1" a="1"/>
  <c r="K723" i="1" s="1"/>
  <c r="O723" i="1" s="1"/>
  <c r="K724" i="1" a="1"/>
  <c r="K724" i="1" s="1"/>
  <c r="O724" i="1" s="1"/>
  <c r="K725" i="1" a="1"/>
  <c r="K725" i="1" s="1"/>
  <c r="O725" i="1" s="1"/>
  <c r="K726" i="1" a="1"/>
  <c r="K726" i="1" s="1"/>
  <c r="O726" i="1" s="1"/>
  <c r="K727" i="1" a="1"/>
  <c r="K727" i="1" s="1"/>
  <c r="O727" i="1" s="1"/>
  <c r="K728" i="1" a="1"/>
  <c r="K728" i="1" s="1"/>
  <c r="O728" i="1" s="1"/>
  <c r="K729" i="1" a="1"/>
  <c r="K729" i="1" s="1"/>
  <c r="O729" i="1" s="1"/>
  <c r="K730" i="1" a="1"/>
  <c r="K730" i="1" s="1"/>
  <c r="O730" i="1" s="1"/>
  <c r="K731" i="1" a="1"/>
  <c r="K731" i="1" s="1"/>
  <c r="O731" i="1" s="1"/>
  <c r="K732" i="1" a="1"/>
  <c r="K732" i="1" s="1"/>
  <c r="O732" i="1" s="1"/>
  <c r="K733" i="1" a="1"/>
  <c r="K733" i="1" s="1"/>
  <c r="O733" i="1" s="1"/>
  <c r="K734" i="1" a="1"/>
  <c r="K734" i="1" s="1"/>
  <c r="O734" i="1" s="1"/>
  <c r="K735" i="1" a="1"/>
  <c r="K735" i="1" s="1"/>
  <c r="O735" i="1" s="1"/>
  <c r="K736" i="1" a="1"/>
  <c r="K736" i="1" s="1"/>
  <c r="O736" i="1" s="1"/>
  <c r="K737" i="1" a="1"/>
  <c r="K737" i="1" s="1"/>
  <c r="O737" i="1" s="1"/>
  <c r="K738" i="1" a="1"/>
  <c r="K738" i="1" s="1"/>
  <c r="O738" i="1" s="1"/>
  <c r="K739" i="1" a="1"/>
  <c r="K739" i="1" s="1"/>
  <c r="O739" i="1" s="1"/>
  <c r="K740" i="1" a="1"/>
  <c r="K740" i="1" s="1"/>
  <c r="O740" i="1" s="1"/>
  <c r="K741" i="1" a="1"/>
  <c r="K741" i="1" s="1"/>
  <c r="O741" i="1" s="1"/>
  <c r="K742" i="1" a="1"/>
  <c r="K742" i="1" s="1"/>
  <c r="O742" i="1" s="1"/>
  <c r="K743" i="1" a="1"/>
  <c r="K743" i="1" s="1"/>
  <c r="O743" i="1" s="1"/>
  <c r="K744" i="1" a="1"/>
  <c r="K744" i="1" s="1"/>
  <c r="O744" i="1" s="1"/>
  <c r="K745" i="1" a="1"/>
  <c r="K745" i="1" s="1"/>
  <c r="O745" i="1" s="1"/>
  <c r="K746" i="1" a="1"/>
  <c r="K746" i="1" s="1"/>
  <c r="O746" i="1" s="1"/>
  <c r="K747" i="1" a="1"/>
  <c r="K747" i="1" s="1"/>
  <c r="O747" i="1" s="1"/>
  <c r="K748" i="1" a="1"/>
  <c r="K748" i="1" s="1"/>
  <c r="O748" i="1" s="1"/>
  <c r="K749" i="1" a="1"/>
  <c r="K749" i="1" s="1"/>
  <c r="O749" i="1" s="1"/>
  <c r="K750" i="1" a="1"/>
  <c r="K750" i="1" s="1"/>
  <c r="O750" i="1" s="1"/>
  <c r="K751" i="1" a="1"/>
  <c r="K751" i="1" s="1"/>
  <c r="O751" i="1" s="1"/>
  <c r="K752" i="1" a="1"/>
  <c r="K752" i="1" s="1"/>
  <c r="O752" i="1" s="1"/>
  <c r="K753" i="1" a="1"/>
  <c r="K753" i="1" s="1"/>
  <c r="O753" i="1" s="1"/>
  <c r="K754" i="1" a="1"/>
  <c r="K754" i="1" s="1"/>
  <c r="O754" i="1" s="1"/>
  <c r="K755" i="1" a="1"/>
  <c r="K755" i="1" s="1"/>
  <c r="O755" i="1" s="1"/>
  <c r="K756" i="1" a="1"/>
  <c r="K756" i="1" s="1"/>
  <c r="O756" i="1" s="1"/>
  <c r="K757" i="1" a="1"/>
  <c r="K757" i="1" s="1"/>
  <c r="O757" i="1" s="1"/>
  <c r="K758" i="1" a="1"/>
  <c r="K758" i="1" s="1"/>
  <c r="O758" i="1" s="1"/>
  <c r="K759" i="1" a="1"/>
  <c r="K759" i="1" s="1"/>
  <c r="O759" i="1" s="1"/>
  <c r="K760" i="1" a="1"/>
  <c r="K760" i="1" s="1"/>
  <c r="O760" i="1" s="1"/>
  <c r="K761" i="1" a="1"/>
  <c r="K761" i="1" s="1"/>
  <c r="O761" i="1" s="1"/>
  <c r="K762" i="1" a="1"/>
  <c r="K762" i="1" s="1"/>
  <c r="O762" i="1" s="1"/>
  <c r="K763" i="1" a="1"/>
  <c r="K763" i="1" s="1"/>
  <c r="O763" i="1" s="1"/>
  <c r="K764" i="1" a="1"/>
  <c r="K764" i="1" s="1"/>
  <c r="O764" i="1" s="1"/>
  <c r="K765" i="1" a="1"/>
  <c r="K765" i="1" s="1"/>
  <c r="O765" i="1" s="1"/>
  <c r="K766" i="1" a="1"/>
  <c r="K766" i="1" s="1"/>
  <c r="O766" i="1" s="1"/>
  <c r="K767" i="1" a="1"/>
  <c r="K767" i="1" s="1"/>
  <c r="O767" i="1" s="1"/>
  <c r="K768" i="1" a="1"/>
  <c r="K768" i="1" s="1"/>
  <c r="O768" i="1" s="1"/>
  <c r="K769" i="1" a="1"/>
  <c r="K769" i="1" s="1"/>
  <c r="O769" i="1" s="1"/>
  <c r="K770" i="1" a="1"/>
  <c r="K770" i="1" s="1"/>
  <c r="O770" i="1" s="1"/>
  <c r="K771" i="1" a="1"/>
  <c r="K771" i="1" s="1"/>
  <c r="O771" i="1" s="1"/>
  <c r="K772" i="1" a="1"/>
  <c r="K772" i="1" s="1"/>
  <c r="O772" i="1" s="1"/>
  <c r="K773" i="1" a="1"/>
  <c r="K773" i="1" s="1"/>
  <c r="O773" i="1" s="1"/>
  <c r="K774" i="1" a="1"/>
  <c r="K774" i="1" s="1"/>
  <c r="O774" i="1" s="1"/>
  <c r="K775" i="1" a="1"/>
  <c r="K775" i="1" s="1"/>
  <c r="O775" i="1" s="1"/>
  <c r="K776" i="1" a="1"/>
  <c r="K776" i="1" s="1"/>
  <c r="O776" i="1" s="1"/>
  <c r="K777" i="1" a="1"/>
  <c r="K777" i="1" s="1"/>
  <c r="O777" i="1" s="1"/>
  <c r="K778" i="1" a="1"/>
  <c r="K778" i="1" s="1"/>
  <c r="O778" i="1" s="1"/>
  <c r="K779" i="1" a="1"/>
  <c r="K779" i="1" s="1"/>
  <c r="O779" i="1" s="1"/>
  <c r="K780" i="1" a="1"/>
  <c r="K780" i="1" s="1"/>
  <c r="O780" i="1" s="1"/>
  <c r="K781" i="1" a="1"/>
  <c r="K781" i="1" s="1"/>
  <c r="O781" i="1" s="1"/>
  <c r="K782" i="1" a="1"/>
  <c r="K782" i="1" s="1"/>
  <c r="O782" i="1" s="1"/>
  <c r="K783" i="1" a="1"/>
  <c r="K783" i="1" s="1"/>
  <c r="O783" i="1" s="1"/>
  <c r="K784" i="1" a="1"/>
  <c r="K784" i="1" s="1"/>
  <c r="O784" i="1" s="1"/>
  <c r="K785" i="1" a="1"/>
  <c r="K785" i="1" s="1"/>
  <c r="O785" i="1" s="1"/>
  <c r="K786" i="1" a="1"/>
  <c r="K786" i="1" s="1"/>
  <c r="O786" i="1" s="1"/>
  <c r="K787" i="1" a="1"/>
  <c r="K787" i="1" s="1"/>
  <c r="O787" i="1" s="1"/>
  <c r="K788" i="1" a="1"/>
  <c r="K788" i="1" s="1"/>
  <c r="O788" i="1" s="1"/>
  <c r="K789" i="1" a="1"/>
  <c r="K789" i="1" s="1"/>
  <c r="O789" i="1" s="1"/>
  <c r="K790" i="1" a="1"/>
  <c r="K790" i="1" s="1"/>
  <c r="O790" i="1" s="1"/>
  <c r="K791" i="1" a="1"/>
  <c r="K791" i="1" s="1"/>
  <c r="O791" i="1" s="1"/>
  <c r="K792" i="1" a="1"/>
  <c r="K792" i="1" s="1"/>
  <c r="O792" i="1" s="1"/>
  <c r="K793" i="1" a="1"/>
  <c r="K793" i="1" s="1"/>
  <c r="O793" i="1" s="1"/>
  <c r="K794" i="1" a="1"/>
  <c r="K794" i="1" s="1"/>
  <c r="O794" i="1" s="1"/>
  <c r="K795" i="1" a="1"/>
  <c r="K795" i="1" s="1"/>
  <c r="O795" i="1" s="1"/>
  <c r="K796" i="1" a="1"/>
  <c r="K796" i="1" s="1"/>
  <c r="O796" i="1" s="1"/>
  <c r="K797" i="1" a="1"/>
  <c r="K797" i="1" s="1"/>
  <c r="O797" i="1" s="1"/>
  <c r="K798" i="1" a="1"/>
  <c r="K798" i="1" s="1"/>
  <c r="O798" i="1" s="1"/>
  <c r="K799" i="1" a="1"/>
  <c r="K799" i="1" s="1"/>
  <c r="O799" i="1" s="1"/>
  <c r="K800" i="1" a="1"/>
  <c r="K800" i="1" s="1"/>
  <c r="O800" i="1" s="1"/>
  <c r="K801" i="1" a="1"/>
  <c r="K801" i="1" s="1"/>
  <c r="O801" i="1" s="1"/>
  <c r="K802" i="1" a="1"/>
  <c r="K802" i="1" s="1"/>
  <c r="O802" i="1" s="1"/>
  <c r="K803" i="1" a="1"/>
  <c r="K803" i="1" s="1"/>
  <c r="O803" i="1" s="1"/>
  <c r="K804" i="1" a="1"/>
  <c r="K804" i="1" s="1"/>
  <c r="O804" i="1" s="1"/>
  <c r="K805" i="1" a="1"/>
  <c r="K805" i="1" s="1"/>
  <c r="O805" i="1" s="1"/>
  <c r="K806" i="1" a="1"/>
  <c r="K806" i="1" s="1"/>
  <c r="O806" i="1" s="1"/>
  <c r="K807" i="1" a="1"/>
  <c r="K807" i="1" s="1"/>
  <c r="O807" i="1" s="1"/>
  <c r="K808" i="1" a="1"/>
  <c r="K808" i="1" s="1"/>
  <c r="O808" i="1" s="1"/>
  <c r="K809" i="1" a="1"/>
  <c r="K809" i="1" s="1"/>
  <c r="O809" i="1" s="1"/>
  <c r="K810" i="1" a="1"/>
  <c r="K810" i="1" s="1"/>
  <c r="O810" i="1" s="1"/>
  <c r="K811" i="1" a="1"/>
  <c r="K811" i="1" s="1"/>
  <c r="O811" i="1" s="1"/>
  <c r="K812" i="1" a="1"/>
  <c r="K812" i="1" s="1"/>
  <c r="O812" i="1" s="1"/>
  <c r="K813" i="1" a="1"/>
  <c r="K813" i="1" s="1"/>
  <c r="O813" i="1" s="1"/>
  <c r="K814" i="1" a="1"/>
  <c r="K814" i="1" s="1"/>
  <c r="O814" i="1" s="1"/>
  <c r="K815" i="1" a="1"/>
  <c r="K815" i="1" s="1"/>
  <c r="O815" i="1" s="1"/>
  <c r="K816" i="1" a="1"/>
  <c r="K816" i="1" s="1"/>
  <c r="O816" i="1" s="1"/>
  <c r="K817" i="1" a="1"/>
  <c r="K817" i="1" s="1"/>
  <c r="O817" i="1" s="1"/>
  <c r="K818" i="1" a="1"/>
  <c r="K818" i="1" s="1"/>
  <c r="O818" i="1" s="1"/>
  <c r="K819" i="1" a="1"/>
  <c r="K819" i="1" s="1"/>
  <c r="O819" i="1" s="1"/>
  <c r="K820" i="1" a="1"/>
  <c r="K820" i="1" s="1"/>
  <c r="O820" i="1" s="1"/>
  <c r="K821" i="1" a="1"/>
  <c r="K821" i="1" s="1"/>
  <c r="O821" i="1" s="1"/>
  <c r="K822" i="1" a="1"/>
  <c r="K822" i="1" s="1"/>
  <c r="O822" i="1" s="1"/>
  <c r="K823" i="1" a="1"/>
  <c r="K823" i="1" s="1"/>
  <c r="O823" i="1" s="1"/>
  <c r="K824" i="1" a="1"/>
  <c r="K824" i="1" s="1"/>
  <c r="O824" i="1" s="1"/>
  <c r="K825" i="1" a="1"/>
  <c r="K825" i="1" s="1"/>
  <c r="O825" i="1" s="1"/>
  <c r="K826" i="1" a="1"/>
  <c r="K826" i="1" s="1"/>
  <c r="O826" i="1" s="1"/>
  <c r="K827" i="1" a="1"/>
  <c r="K827" i="1" s="1"/>
  <c r="O827" i="1" s="1"/>
  <c r="K828" i="1" a="1"/>
  <c r="K828" i="1" s="1"/>
  <c r="O828" i="1" s="1"/>
  <c r="K829" i="1" a="1"/>
  <c r="K829" i="1" s="1"/>
  <c r="O829" i="1" s="1"/>
  <c r="K830" i="1" a="1"/>
  <c r="K830" i="1" s="1"/>
  <c r="O830" i="1" s="1"/>
  <c r="K831" i="1" a="1"/>
  <c r="K831" i="1" s="1"/>
  <c r="O831" i="1" s="1"/>
  <c r="K832" i="1" a="1"/>
  <c r="K832" i="1" s="1"/>
  <c r="O832" i="1" s="1"/>
  <c r="K833" i="1" a="1"/>
  <c r="K833" i="1" s="1"/>
  <c r="O833" i="1" s="1"/>
  <c r="K834" i="1" a="1"/>
  <c r="K834" i="1" s="1"/>
  <c r="O834" i="1" s="1"/>
  <c r="K835" i="1" a="1"/>
  <c r="K835" i="1" s="1"/>
  <c r="O835" i="1" s="1"/>
  <c r="K836" i="1" a="1"/>
  <c r="K836" i="1" s="1"/>
  <c r="O836" i="1" s="1"/>
  <c r="K837" i="1" a="1"/>
  <c r="K837" i="1" s="1"/>
  <c r="O837" i="1" s="1"/>
  <c r="K838" i="1" a="1"/>
  <c r="K838" i="1" s="1"/>
  <c r="O838" i="1" s="1"/>
  <c r="K839" i="1" a="1"/>
  <c r="K839" i="1" s="1"/>
  <c r="O839" i="1" s="1"/>
  <c r="K840" i="1" a="1"/>
  <c r="K840" i="1" s="1"/>
  <c r="O840" i="1" s="1"/>
  <c r="K841" i="1" a="1"/>
  <c r="K841" i="1" s="1"/>
  <c r="O841" i="1" s="1"/>
  <c r="K842" i="1" a="1"/>
  <c r="K842" i="1" s="1"/>
  <c r="O842" i="1" s="1"/>
  <c r="K843" i="1" a="1"/>
  <c r="K843" i="1" s="1"/>
  <c r="O843" i="1" s="1"/>
  <c r="K844" i="1" a="1"/>
  <c r="K844" i="1" s="1"/>
  <c r="O844" i="1" s="1"/>
  <c r="K845" i="1" a="1"/>
  <c r="K845" i="1" s="1"/>
  <c r="O845" i="1" s="1"/>
  <c r="K846" i="1" a="1"/>
  <c r="K846" i="1" s="1"/>
  <c r="O846" i="1" s="1"/>
  <c r="K847" i="1" a="1"/>
  <c r="K847" i="1" s="1"/>
  <c r="O847" i="1" s="1"/>
  <c r="K848" i="1" a="1"/>
  <c r="K848" i="1" s="1"/>
  <c r="O848" i="1" s="1"/>
  <c r="K849" i="1" a="1"/>
  <c r="K849" i="1" s="1"/>
  <c r="O849" i="1" s="1"/>
  <c r="K850" i="1" a="1"/>
  <c r="K850" i="1" s="1"/>
  <c r="O850" i="1" s="1"/>
  <c r="K851" i="1" a="1"/>
  <c r="K851" i="1" s="1"/>
  <c r="O851" i="1" s="1"/>
  <c r="K852" i="1" a="1"/>
  <c r="K852" i="1" s="1"/>
  <c r="O852" i="1" s="1"/>
  <c r="K853" i="1" a="1"/>
  <c r="K853" i="1" s="1"/>
  <c r="O853" i="1" s="1"/>
  <c r="K854" i="1" a="1"/>
  <c r="K854" i="1" s="1"/>
  <c r="O854" i="1" s="1"/>
  <c r="K855" i="1" a="1"/>
  <c r="K855" i="1" s="1"/>
  <c r="O855" i="1" s="1"/>
  <c r="K856" i="1" a="1"/>
  <c r="K856" i="1" s="1"/>
  <c r="O856" i="1" s="1"/>
  <c r="K857" i="1" a="1"/>
  <c r="K857" i="1" s="1"/>
  <c r="O857" i="1" s="1"/>
  <c r="K858" i="1" a="1"/>
  <c r="K858" i="1" s="1"/>
  <c r="O858" i="1" s="1"/>
  <c r="K859" i="1" a="1"/>
  <c r="K859" i="1" s="1"/>
  <c r="O859" i="1" s="1"/>
  <c r="K860" i="1" a="1"/>
  <c r="K860" i="1" s="1"/>
  <c r="O860" i="1" s="1"/>
  <c r="K861" i="1" a="1"/>
  <c r="K861" i="1" s="1"/>
  <c r="O861" i="1" s="1"/>
  <c r="K862" i="1" a="1"/>
  <c r="K862" i="1" s="1"/>
  <c r="O862" i="1" s="1"/>
  <c r="K863" i="1" a="1"/>
  <c r="K863" i="1" s="1"/>
  <c r="O863" i="1" s="1"/>
  <c r="K864" i="1" a="1"/>
  <c r="K864" i="1" s="1"/>
  <c r="O864" i="1" s="1"/>
  <c r="K865" i="1" a="1"/>
  <c r="K865" i="1" s="1"/>
  <c r="O865" i="1" s="1"/>
  <c r="K866" i="1" a="1"/>
  <c r="K866" i="1" s="1"/>
  <c r="O866" i="1" s="1"/>
  <c r="K867" i="1" a="1"/>
  <c r="K867" i="1" s="1"/>
  <c r="O867" i="1" s="1"/>
  <c r="K868" i="1" a="1"/>
  <c r="K868" i="1" s="1"/>
  <c r="O868" i="1" s="1"/>
  <c r="K869" i="1" a="1"/>
  <c r="K869" i="1" s="1"/>
  <c r="O869" i="1" s="1"/>
  <c r="K870" i="1" a="1"/>
  <c r="K870" i="1" s="1"/>
  <c r="O870" i="1" s="1"/>
  <c r="K871" i="1" a="1"/>
  <c r="K871" i="1" s="1"/>
  <c r="O871" i="1" s="1"/>
  <c r="K872" i="1" a="1"/>
  <c r="K872" i="1" s="1"/>
  <c r="O872" i="1" s="1"/>
  <c r="K873" i="1" a="1"/>
  <c r="K873" i="1" s="1"/>
  <c r="O873" i="1" s="1"/>
  <c r="K874" i="1" a="1"/>
  <c r="K874" i="1" s="1"/>
  <c r="O874" i="1" s="1"/>
  <c r="K875" i="1" a="1"/>
  <c r="K875" i="1" s="1"/>
  <c r="O875" i="1" s="1"/>
  <c r="K876" i="1" a="1"/>
  <c r="K876" i="1" s="1"/>
  <c r="O876" i="1" s="1"/>
  <c r="K877" i="1" a="1"/>
  <c r="K877" i="1" s="1"/>
  <c r="O877" i="1" s="1"/>
  <c r="K878" i="1" a="1"/>
  <c r="K878" i="1" s="1"/>
  <c r="O878" i="1" s="1"/>
  <c r="K879" i="1" a="1"/>
  <c r="K879" i="1" s="1"/>
  <c r="O879" i="1" s="1"/>
  <c r="K880" i="1" a="1"/>
  <c r="K880" i="1" s="1"/>
  <c r="O880" i="1" s="1"/>
  <c r="K881" i="1" a="1"/>
  <c r="K881" i="1" s="1"/>
  <c r="O881" i="1" s="1"/>
  <c r="K882" i="1" a="1"/>
  <c r="K882" i="1" s="1"/>
  <c r="O882" i="1" s="1"/>
  <c r="K883" i="1" a="1"/>
  <c r="K883" i="1" s="1"/>
  <c r="O883" i="1" s="1"/>
  <c r="K884" i="1" a="1"/>
  <c r="K884" i="1" s="1"/>
  <c r="O884" i="1" s="1"/>
  <c r="K885" i="1" a="1"/>
  <c r="K885" i="1" s="1"/>
  <c r="O885" i="1" s="1"/>
  <c r="K886" i="1" a="1"/>
  <c r="K886" i="1" s="1"/>
  <c r="O886" i="1" s="1"/>
  <c r="K887" i="1" a="1"/>
  <c r="K887" i="1" s="1"/>
  <c r="O887" i="1" s="1"/>
  <c r="K888" i="1" a="1"/>
  <c r="K888" i="1" s="1"/>
  <c r="O888" i="1" s="1"/>
  <c r="K889" i="1" a="1"/>
  <c r="K889" i="1"/>
  <c r="O889" i="1" s="1"/>
  <c r="K890" i="1" a="1"/>
  <c r="K890" i="1" s="1"/>
  <c r="O890" i="1" s="1"/>
  <c r="K891" i="1" a="1"/>
  <c r="K891" i="1" s="1"/>
  <c r="O891" i="1" s="1"/>
  <c r="K892" i="1" a="1"/>
  <c r="K892" i="1" s="1"/>
  <c r="O892" i="1" s="1"/>
  <c r="K893" i="1" a="1"/>
  <c r="K893" i="1" s="1"/>
  <c r="O893" i="1" s="1"/>
  <c r="K894" i="1" a="1"/>
  <c r="K894" i="1" s="1"/>
  <c r="O894" i="1" s="1"/>
  <c r="K895" i="1" a="1"/>
  <c r="K895" i="1" s="1"/>
  <c r="K896" i="1" a="1"/>
  <c r="K896" i="1" s="1"/>
  <c r="O896" i="1" s="1"/>
  <c r="K897" i="1" a="1"/>
  <c r="K897" i="1" s="1"/>
  <c r="O897" i="1" s="1"/>
  <c r="K898" i="1" a="1"/>
  <c r="K898" i="1" s="1"/>
  <c r="O898" i="1" s="1"/>
  <c r="K899" i="1" a="1"/>
  <c r="K899" i="1" s="1"/>
  <c r="O899" i="1" s="1"/>
  <c r="K900" i="1" a="1"/>
  <c r="K900" i="1" s="1"/>
  <c r="O900" i="1" s="1"/>
  <c r="K901" i="1" a="1"/>
  <c r="K901" i="1" s="1"/>
  <c r="O901" i="1" s="1"/>
  <c r="K902" i="1" a="1"/>
  <c r="K902" i="1" s="1"/>
  <c r="O902" i="1" s="1"/>
  <c r="K903" i="1" a="1"/>
  <c r="K903" i="1" s="1"/>
  <c r="O903" i="1" s="1"/>
  <c r="K904" i="1" a="1"/>
  <c r="K904" i="1" s="1"/>
  <c r="O904" i="1" s="1"/>
  <c r="K905" i="1" a="1"/>
  <c r="K905" i="1" s="1"/>
  <c r="O905" i="1" s="1"/>
  <c r="K906" i="1" a="1"/>
  <c r="K906" i="1" s="1"/>
  <c r="O906" i="1" s="1"/>
  <c r="K907" i="1" a="1"/>
  <c r="K907" i="1" s="1"/>
  <c r="O907" i="1" s="1"/>
  <c r="K908" i="1" a="1"/>
  <c r="K908" i="1" s="1"/>
  <c r="O908" i="1" s="1"/>
  <c r="K909" i="1" a="1"/>
  <c r="K909" i="1" s="1"/>
  <c r="O909" i="1" s="1"/>
  <c r="K910" i="1" a="1"/>
  <c r="K910" i="1" s="1"/>
  <c r="O910" i="1" s="1"/>
  <c r="K911" i="1" a="1"/>
  <c r="K911" i="1" s="1"/>
  <c r="O911" i="1" s="1"/>
  <c r="K912" i="1" a="1"/>
  <c r="K912" i="1" s="1"/>
  <c r="O912" i="1" s="1"/>
  <c r="K913" i="1" a="1"/>
  <c r="K913" i="1" s="1"/>
  <c r="O913" i="1" s="1"/>
  <c r="K914" i="1" a="1"/>
  <c r="K914" i="1" s="1"/>
  <c r="O914" i="1" s="1"/>
  <c r="K915" i="1" a="1"/>
  <c r="K915" i="1" s="1"/>
  <c r="O915" i="1" s="1"/>
  <c r="K916" i="1" a="1"/>
  <c r="K916" i="1" s="1"/>
  <c r="O916" i="1" s="1"/>
  <c r="K917" i="1" a="1"/>
  <c r="K917" i="1" s="1"/>
  <c r="O917" i="1" s="1"/>
  <c r="K918" i="1" a="1"/>
  <c r="K918" i="1" s="1"/>
  <c r="O918" i="1" s="1"/>
  <c r="K919" i="1" a="1"/>
  <c r="K919" i="1" s="1"/>
  <c r="O919" i="1" s="1"/>
  <c r="K920" i="1" a="1"/>
  <c r="K920" i="1" s="1"/>
  <c r="O920" i="1" s="1"/>
  <c r="K921" i="1" a="1"/>
  <c r="K921" i="1" s="1"/>
  <c r="O921" i="1" s="1"/>
  <c r="K922" i="1" a="1"/>
  <c r="K922" i="1" s="1"/>
  <c r="O922" i="1" s="1"/>
  <c r="K923" i="1" a="1"/>
  <c r="K923" i="1" s="1"/>
  <c r="O923" i="1" s="1"/>
  <c r="K924" i="1" a="1"/>
  <c r="K924" i="1" s="1"/>
  <c r="O924" i="1" s="1"/>
  <c r="K925" i="1" a="1"/>
  <c r="K925" i="1" s="1"/>
  <c r="O925" i="1" s="1"/>
  <c r="K926" i="1" a="1"/>
  <c r="K926" i="1" s="1"/>
  <c r="O926" i="1" s="1"/>
  <c r="K927" i="1" a="1"/>
  <c r="K927" i="1" s="1"/>
  <c r="O927" i="1" s="1"/>
  <c r="K928" i="1" a="1"/>
  <c r="K928" i="1" s="1"/>
  <c r="O928" i="1" s="1"/>
  <c r="K929" i="1" a="1"/>
  <c r="K929" i="1" s="1"/>
  <c r="O929" i="1" s="1"/>
  <c r="K930" i="1" a="1"/>
  <c r="K930" i="1" s="1"/>
  <c r="O930" i="1" s="1"/>
  <c r="K931" i="1" a="1"/>
  <c r="K931" i="1" s="1"/>
  <c r="O931" i="1" s="1"/>
  <c r="K932" i="1" a="1"/>
  <c r="K932" i="1" s="1"/>
  <c r="O932" i="1" s="1"/>
  <c r="K933" i="1" a="1"/>
  <c r="K933" i="1" s="1"/>
  <c r="O933" i="1" s="1"/>
  <c r="K934" i="1" a="1"/>
  <c r="K934" i="1" s="1"/>
  <c r="O934" i="1" s="1"/>
  <c r="K935" i="1" a="1"/>
  <c r="K935" i="1" s="1"/>
  <c r="O935" i="1" s="1"/>
  <c r="K936" i="1" a="1"/>
  <c r="K936" i="1"/>
  <c r="O936" i="1" s="1"/>
  <c r="K937" i="1" a="1"/>
  <c r="K937" i="1" s="1"/>
  <c r="O937" i="1" s="1"/>
  <c r="K938" i="1" a="1"/>
  <c r="K938" i="1" s="1"/>
  <c r="O938" i="1" s="1"/>
  <c r="K939" i="1" a="1"/>
  <c r="K939" i="1" s="1"/>
  <c r="O939" i="1" s="1"/>
  <c r="K940" i="1" a="1"/>
  <c r="K940" i="1" s="1"/>
  <c r="O940" i="1" s="1"/>
  <c r="K941" i="1" a="1"/>
  <c r="K941" i="1" s="1"/>
  <c r="O941" i="1" s="1"/>
  <c r="K942" i="1" a="1"/>
  <c r="K942" i="1" s="1"/>
  <c r="O942" i="1" s="1"/>
  <c r="K943" i="1" a="1"/>
  <c r="K943" i="1" s="1"/>
  <c r="O943" i="1" s="1"/>
  <c r="K944" i="1" a="1"/>
  <c r="K944" i="1" s="1"/>
  <c r="O944" i="1" s="1"/>
  <c r="K945" i="1" a="1"/>
  <c r="K945" i="1" s="1"/>
  <c r="O945" i="1" s="1"/>
  <c r="K946" i="1" a="1"/>
  <c r="K946" i="1" s="1"/>
  <c r="O946" i="1" s="1"/>
  <c r="K947" i="1" a="1"/>
  <c r="K947" i="1"/>
  <c r="O947" i="1" s="1"/>
  <c r="K948" i="1" a="1"/>
  <c r="K948" i="1" s="1"/>
  <c r="O948" i="1" s="1"/>
  <c r="K949" i="1" a="1"/>
  <c r="K949" i="1" s="1"/>
  <c r="O949" i="1" s="1"/>
  <c r="K950" i="1" a="1"/>
  <c r="K950" i="1" s="1"/>
  <c r="O950" i="1" s="1"/>
  <c r="K951" i="1" a="1"/>
  <c r="K951" i="1" s="1"/>
  <c r="O951" i="1" s="1"/>
  <c r="K952" i="1" a="1"/>
  <c r="K952" i="1" s="1"/>
  <c r="O952" i="1" s="1"/>
  <c r="K953" i="1" a="1"/>
  <c r="K953" i="1" s="1"/>
  <c r="O953" i="1" s="1"/>
  <c r="K954" i="1" a="1"/>
  <c r="K954" i="1" s="1"/>
  <c r="K955" i="1" a="1"/>
  <c r="K955" i="1" s="1"/>
  <c r="O955" i="1" s="1"/>
  <c r="K956" i="1" a="1"/>
  <c r="K956" i="1" s="1"/>
  <c r="O956" i="1" s="1"/>
  <c r="K957" i="1" a="1"/>
  <c r="K957" i="1" s="1"/>
  <c r="O957" i="1" s="1"/>
  <c r="K958" i="1" a="1"/>
  <c r="K958" i="1" s="1"/>
  <c r="O958" i="1" s="1"/>
  <c r="K959" i="1" a="1"/>
  <c r="K959" i="1" s="1"/>
  <c r="O959" i="1" s="1"/>
  <c r="K960" i="1" a="1"/>
  <c r="K960" i="1" s="1"/>
  <c r="O960" i="1" s="1"/>
  <c r="K961" i="1" a="1"/>
  <c r="K961" i="1" s="1"/>
  <c r="O961" i="1" s="1"/>
  <c r="K962" i="1" a="1"/>
  <c r="K962" i="1" s="1"/>
  <c r="O962" i="1" s="1"/>
  <c r="K963" i="1" a="1"/>
  <c r="K963" i="1" s="1"/>
  <c r="O963" i="1" s="1"/>
  <c r="K964" i="1" a="1"/>
  <c r="K964" i="1" s="1"/>
  <c r="O964" i="1" s="1"/>
  <c r="K965" i="1" a="1"/>
  <c r="K965" i="1" s="1"/>
  <c r="O965" i="1" s="1"/>
  <c r="K966" i="1" a="1"/>
  <c r="K966" i="1" s="1"/>
  <c r="O966" i="1" s="1"/>
  <c r="K967" i="1" a="1"/>
  <c r="K967" i="1" s="1"/>
  <c r="O967" i="1" s="1"/>
  <c r="K968" i="1" a="1"/>
  <c r="K968" i="1" s="1"/>
  <c r="O968" i="1" s="1"/>
  <c r="K969" i="1" a="1"/>
  <c r="K969" i="1" s="1"/>
  <c r="O969" i="1" s="1"/>
  <c r="K970" i="1" a="1"/>
  <c r="K970" i="1" s="1"/>
  <c r="O970" i="1" s="1"/>
  <c r="K971" i="1" a="1"/>
  <c r="K971" i="1" s="1"/>
  <c r="O971" i="1" s="1"/>
  <c r="K972" i="1" a="1"/>
  <c r="K972" i="1" s="1"/>
  <c r="O972" i="1" s="1"/>
  <c r="K973" i="1" a="1"/>
  <c r="K973" i="1" s="1"/>
  <c r="O973" i="1" s="1"/>
  <c r="K974" i="1" a="1"/>
  <c r="K974" i="1" s="1"/>
  <c r="O974" i="1" s="1"/>
  <c r="K975" i="1" a="1"/>
  <c r="K975" i="1" s="1"/>
  <c r="O975" i="1" s="1"/>
  <c r="K976" i="1" a="1"/>
  <c r="K976" i="1" s="1"/>
  <c r="O976" i="1" s="1"/>
  <c r="K977" i="1" a="1"/>
  <c r="K977" i="1" s="1"/>
  <c r="O977" i="1" s="1"/>
  <c r="K978" i="1" a="1"/>
  <c r="K978" i="1" s="1"/>
  <c r="O978" i="1" s="1"/>
  <c r="K979" i="1" a="1"/>
  <c r="K979" i="1" s="1"/>
  <c r="O979" i="1" s="1"/>
  <c r="K980" i="1" a="1"/>
  <c r="K980" i="1" s="1"/>
  <c r="O980" i="1" s="1"/>
  <c r="K981" i="1" a="1"/>
  <c r="K981" i="1" s="1"/>
  <c r="O981" i="1" s="1"/>
  <c r="K982" i="1" a="1"/>
  <c r="K982" i="1" s="1"/>
  <c r="O982" i="1" s="1"/>
  <c r="K983" i="1" a="1"/>
  <c r="K983" i="1" s="1"/>
  <c r="O983" i="1" s="1"/>
  <c r="K984" i="1" a="1"/>
  <c r="K984" i="1" s="1"/>
  <c r="O984" i="1" s="1"/>
  <c r="K985" i="1" a="1"/>
  <c r="K985" i="1" s="1"/>
  <c r="O985" i="1" s="1"/>
  <c r="K986" i="1" a="1"/>
  <c r="K986" i="1" s="1"/>
  <c r="O986" i="1" s="1"/>
  <c r="K987" i="1" a="1"/>
  <c r="K987" i="1" s="1"/>
  <c r="O987" i="1" s="1"/>
  <c r="K988" i="1" a="1"/>
  <c r="K988" i="1" s="1"/>
  <c r="O988" i="1" s="1"/>
  <c r="K989" i="1" a="1"/>
  <c r="K989" i="1" s="1"/>
  <c r="O989" i="1" s="1"/>
  <c r="K990" i="1" a="1"/>
  <c r="K990" i="1" s="1"/>
  <c r="O990" i="1" s="1"/>
  <c r="K991" i="1" a="1"/>
  <c r="K991" i="1" s="1"/>
  <c r="O991" i="1" s="1"/>
  <c r="K992" i="1" a="1"/>
  <c r="K992" i="1" s="1"/>
  <c r="O992" i="1" s="1"/>
  <c r="K993" i="1" a="1"/>
  <c r="K993" i="1" s="1"/>
  <c r="O993" i="1" s="1"/>
  <c r="K994" i="1" a="1"/>
  <c r="K994" i="1" s="1"/>
  <c r="O994" i="1" s="1"/>
  <c r="K995" i="1" a="1"/>
  <c r="K995" i="1" s="1"/>
  <c r="O995" i="1" s="1"/>
  <c r="K996" i="1" a="1"/>
  <c r="K996" i="1" s="1"/>
  <c r="O996" i="1" s="1"/>
  <c r="K997" i="1" a="1"/>
  <c r="K997" i="1" s="1"/>
  <c r="O997" i="1" s="1"/>
  <c r="K998" i="1" a="1"/>
  <c r="K998" i="1" s="1"/>
  <c r="O998" i="1" s="1"/>
  <c r="K999" i="1" a="1"/>
  <c r="K999" i="1" s="1"/>
  <c r="O999" i="1" s="1"/>
  <c r="K1000" i="1" a="1"/>
  <c r="K1000" i="1" s="1"/>
  <c r="O1000" i="1" s="1"/>
  <c r="K1001" i="1" a="1"/>
  <c r="K1001" i="1"/>
  <c r="O1001" i="1" s="1"/>
  <c r="K1002" i="1" a="1"/>
  <c r="K1002" i="1" s="1"/>
  <c r="O1002" i="1" s="1"/>
  <c r="K1003" i="1" a="1"/>
  <c r="K1003" i="1" s="1"/>
  <c r="O1003" i="1" s="1"/>
  <c r="K1004" i="1" a="1"/>
  <c r="K1004" i="1" s="1"/>
  <c r="O1004" i="1" s="1"/>
  <c r="K1005" i="1" a="1"/>
  <c r="K1005" i="1" s="1"/>
  <c r="O1005" i="1" s="1"/>
  <c r="K1006" i="1" a="1"/>
  <c r="K1006" i="1" s="1"/>
  <c r="O1006" i="1" s="1"/>
  <c r="K1007" i="1" a="1"/>
  <c r="K1007" i="1" s="1"/>
  <c r="O1007" i="1" s="1"/>
  <c r="K1008" i="1" a="1"/>
  <c r="K1008" i="1"/>
  <c r="O1008" i="1" s="1"/>
  <c r="K1009" i="1" a="1"/>
  <c r="K1009" i="1" s="1"/>
  <c r="O1009" i="1" s="1"/>
  <c r="K1010" i="1" a="1"/>
  <c r="K1010" i="1" s="1"/>
  <c r="O1010" i="1" s="1"/>
  <c r="K1011" i="1" a="1"/>
  <c r="K1011" i="1" s="1"/>
  <c r="O1011" i="1" s="1"/>
  <c r="K1012" i="1" a="1"/>
  <c r="K1012" i="1" s="1"/>
  <c r="O1012" i="1" s="1"/>
  <c r="K1013" i="1" a="1"/>
  <c r="K1013" i="1" s="1"/>
  <c r="O1013" i="1" s="1"/>
  <c r="K1014" i="1" a="1"/>
  <c r="K1014" i="1" s="1"/>
  <c r="O1014" i="1" s="1"/>
  <c r="K1015" i="1" a="1"/>
  <c r="K1015" i="1" s="1"/>
  <c r="O1015" i="1" s="1"/>
  <c r="K1016" i="1" a="1"/>
  <c r="K1016" i="1" s="1"/>
  <c r="O1016" i="1" s="1"/>
  <c r="K1017" i="1" a="1"/>
  <c r="K1017" i="1" s="1"/>
  <c r="O1017" i="1" s="1"/>
  <c r="K1018" i="1" a="1"/>
  <c r="K1018" i="1" s="1"/>
  <c r="O1018" i="1" s="1"/>
  <c r="K1019" i="1" a="1"/>
  <c r="K1019" i="1" s="1"/>
  <c r="O1019" i="1" s="1"/>
  <c r="K1020" i="1" a="1"/>
  <c r="K1020" i="1" s="1"/>
  <c r="O1020" i="1" s="1"/>
  <c r="K1021" i="1" a="1"/>
  <c r="K1021" i="1" s="1"/>
  <c r="O1021" i="1" s="1"/>
  <c r="K1022" i="1" a="1"/>
  <c r="K1022" i="1" s="1"/>
  <c r="O1022" i="1" s="1"/>
  <c r="K1023" i="1" a="1"/>
  <c r="K1023" i="1" s="1"/>
  <c r="O1023" i="1" s="1"/>
  <c r="K1024" i="1" a="1"/>
  <c r="K1024" i="1" s="1"/>
  <c r="O1024" i="1" s="1"/>
  <c r="K1025" i="1" a="1"/>
  <c r="K1025" i="1" s="1"/>
  <c r="O1025" i="1" s="1"/>
  <c r="K1026" i="1" a="1"/>
  <c r="K1026" i="1" s="1"/>
  <c r="O1026" i="1" s="1"/>
  <c r="K1027" i="1" a="1"/>
  <c r="K1027" i="1" s="1"/>
  <c r="O1027" i="1" s="1"/>
  <c r="K1028" i="1" a="1"/>
  <c r="K1028" i="1" s="1"/>
  <c r="O1028" i="1" s="1"/>
  <c r="K1029" i="1" a="1"/>
  <c r="K1029" i="1" s="1"/>
  <c r="O1029" i="1" s="1"/>
  <c r="K1030" i="1" a="1"/>
  <c r="K1030" i="1" s="1"/>
  <c r="O1030" i="1" s="1"/>
  <c r="K1031" i="1" a="1"/>
  <c r="K1031" i="1" s="1"/>
  <c r="O1031" i="1" s="1"/>
  <c r="K1032" i="1" a="1"/>
  <c r="K1032" i="1" s="1"/>
  <c r="O1032" i="1" s="1"/>
  <c r="K1033" i="1" a="1"/>
  <c r="K1033" i="1" s="1"/>
  <c r="O1033" i="1" s="1"/>
  <c r="K1034" i="1" a="1"/>
  <c r="K1034" i="1" s="1"/>
  <c r="O1034" i="1" s="1"/>
  <c r="K1035" i="1" a="1"/>
  <c r="K1035" i="1" s="1"/>
  <c r="O1035" i="1" s="1"/>
  <c r="K1036" i="1" a="1"/>
  <c r="K1036" i="1" s="1"/>
  <c r="O1036" i="1" s="1"/>
  <c r="K1037" i="1" a="1"/>
  <c r="K1037" i="1" s="1"/>
  <c r="O1037" i="1" s="1"/>
  <c r="K1038" i="1" a="1"/>
  <c r="K1038" i="1" s="1"/>
  <c r="O1038" i="1" s="1"/>
  <c r="K1039" i="1" a="1"/>
  <c r="K1039" i="1" s="1"/>
  <c r="O1039" i="1" s="1"/>
  <c r="K1040" i="1" a="1"/>
  <c r="K1040" i="1" s="1"/>
  <c r="O1040" i="1" s="1"/>
  <c r="K1041" i="1" a="1"/>
  <c r="K1041" i="1" s="1"/>
  <c r="O1041" i="1" s="1"/>
  <c r="K1042" i="1" a="1"/>
  <c r="K1042" i="1" s="1"/>
  <c r="O1042" i="1" s="1"/>
  <c r="K1043" i="1" a="1"/>
  <c r="K1043" i="1" s="1"/>
  <c r="O1043" i="1" s="1"/>
  <c r="K1044" i="1" a="1"/>
  <c r="K1044" i="1" s="1"/>
  <c r="O1044" i="1" s="1"/>
  <c r="K1045" i="1" a="1"/>
  <c r="K1045" i="1" s="1"/>
  <c r="O1045" i="1" s="1"/>
  <c r="K1046" i="1" a="1"/>
  <c r="K1046" i="1" s="1"/>
  <c r="O1046" i="1" s="1"/>
  <c r="K1047" i="1" a="1"/>
  <c r="K1047" i="1" s="1"/>
  <c r="O1047" i="1" s="1"/>
  <c r="K1048" i="1" a="1"/>
  <c r="K1048" i="1" s="1"/>
  <c r="O1048" i="1" s="1"/>
  <c r="K1049" i="1" a="1"/>
  <c r="K1049" i="1"/>
  <c r="O1049" i="1" s="1"/>
  <c r="K1050" i="1" a="1"/>
  <c r="K1050" i="1" s="1"/>
  <c r="O1050" i="1" s="1"/>
  <c r="K1051" i="1" a="1"/>
  <c r="K1051" i="1" s="1"/>
  <c r="O1051" i="1" s="1"/>
  <c r="K1052" i="1" a="1"/>
  <c r="K1052" i="1" s="1"/>
  <c r="O1052" i="1" s="1"/>
  <c r="K1053" i="1" a="1"/>
  <c r="K1053" i="1" s="1"/>
  <c r="O1053" i="1" s="1"/>
  <c r="K1054" i="1" a="1"/>
  <c r="K1054" i="1" s="1"/>
  <c r="O1054" i="1" s="1"/>
  <c r="K1055" i="1" a="1"/>
  <c r="K1055" i="1" s="1"/>
  <c r="O1055" i="1" s="1"/>
  <c r="K1056" i="1" a="1"/>
  <c r="K1056" i="1" s="1"/>
  <c r="O1056" i="1" s="1"/>
  <c r="K1057" i="1" a="1"/>
  <c r="K1057" i="1" s="1"/>
  <c r="O1057" i="1" s="1"/>
  <c r="K1058" i="1" a="1"/>
  <c r="K1058" i="1" s="1"/>
  <c r="O1058" i="1" s="1"/>
  <c r="K1059" i="1" a="1"/>
  <c r="K1059" i="1" s="1"/>
  <c r="O1059" i="1" s="1"/>
  <c r="K1060" i="1" a="1"/>
  <c r="K1060" i="1" s="1"/>
  <c r="O1060" i="1" s="1"/>
  <c r="K1061" i="1" a="1"/>
  <c r="K1061" i="1" s="1"/>
  <c r="O1061" i="1" s="1"/>
  <c r="K1062" i="1" a="1"/>
  <c r="K1062" i="1" s="1"/>
  <c r="O1062" i="1" s="1"/>
  <c r="K1063" i="1" a="1"/>
  <c r="K1063" i="1" s="1"/>
  <c r="O1063" i="1" s="1"/>
  <c r="K1064" i="1" a="1"/>
  <c r="K1064" i="1" s="1"/>
  <c r="O1064" i="1" s="1"/>
  <c r="K1065" i="1" a="1"/>
  <c r="K1065" i="1" s="1"/>
  <c r="O1065" i="1" s="1"/>
  <c r="K1066" i="1" a="1"/>
  <c r="K1066" i="1" s="1"/>
  <c r="O1066" i="1" s="1"/>
  <c r="K1067" i="1" a="1"/>
  <c r="K1067" i="1" s="1"/>
  <c r="O1067" i="1" s="1"/>
  <c r="K1068" i="1" a="1"/>
  <c r="K1068" i="1" s="1"/>
  <c r="O1068" i="1" s="1"/>
  <c r="K1069" i="1" a="1"/>
  <c r="K1069" i="1" s="1"/>
  <c r="O1069" i="1" s="1"/>
  <c r="K1070" i="1" a="1"/>
  <c r="K1070" i="1" s="1"/>
  <c r="O1070" i="1" s="1"/>
  <c r="K1071" i="1" a="1"/>
  <c r="K1071" i="1" s="1"/>
  <c r="O1071" i="1" s="1"/>
  <c r="K1072" i="1" a="1"/>
  <c r="K1072" i="1" s="1"/>
  <c r="O1072" i="1" s="1"/>
  <c r="K1073" i="1" a="1"/>
  <c r="K1073" i="1" s="1"/>
  <c r="O1073" i="1" s="1"/>
  <c r="K1074" i="1" a="1"/>
  <c r="K1074" i="1" s="1"/>
  <c r="O1074" i="1" s="1"/>
  <c r="K1075" i="1" a="1"/>
  <c r="K1075" i="1" s="1"/>
  <c r="O1075" i="1" s="1"/>
  <c r="K1076" i="1" a="1"/>
  <c r="K1076" i="1" s="1"/>
  <c r="O1076" i="1" s="1"/>
  <c r="K1077" i="1" a="1"/>
  <c r="K1077" i="1" s="1"/>
  <c r="O1077" i="1" s="1"/>
  <c r="K1078" i="1" a="1"/>
  <c r="K1078" i="1" s="1"/>
  <c r="O1078" i="1" s="1"/>
  <c r="K1079" i="1" a="1"/>
  <c r="K1079" i="1" s="1"/>
  <c r="O1079" i="1" s="1"/>
  <c r="K1080" i="1" a="1"/>
  <c r="K1080" i="1" s="1"/>
  <c r="O1080" i="1" s="1"/>
  <c r="K1081" i="1" a="1"/>
  <c r="K1081" i="1" s="1"/>
  <c r="O1081" i="1" s="1"/>
  <c r="K1082" i="1" a="1"/>
  <c r="K1082" i="1" s="1"/>
  <c r="O1082" i="1" s="1"/>
  <c r="K1083" i="1" a="1"/>
  <c r="K1083" i="1" s="1"/>
  <c r="O1083" i="1" s="1"/>
  <c r="K1084" i="1" a="1"/>
  <c r="K1084" i="1" s="1"/>
  <c r="O1084" i="1" s="1"/>
  <c r="K1085" i="1" a="1"/>
  <c r="K1085" i="1" s="1"/>
  <c r="O1085" i="1" s="1"/>
  <c r="K1086" i="1" a="1"/>
  <c r="K1086" i="1" s="1"/>
  <c r="O1086" i="1" s="1"/>
  <c r="K1087" i="1" a="1"/>
  <c r="K1087" i="1" s="1"/>
  <c r="O1087" i="1" s="1"/>
  <c r="K1088" i="1" a="1"/>
  <c r="K1088" i="1" s="1"/>
  <c r="O1088" i="1" s="1"/>
  <c r="K1089" i="1" a="1"/>
  <c r="K1089" i="1" s="1"/>
  <c r="O1089" i="1" s="1"/>
  <c r="K1090" i="1" a="1"/>
  <c r="K1090" i="1" s="1"/>
  <c r="O1090" i="1" s="1"/>
  <c r="K1091" i="1" a="1"/>
  <c r="K1091" i="1" s="1"/>
  <c r="O1091" i="1" s="1"/>
  <c r="K1092" i="1" a="1"/>
  <c r="K1092" i="1" s="1"/>
  <c r="O1092" i="1" s="1"/>
  <c r="K1093" i="1" a="1"/>
  <c r="K1093" i="1"/>
  <c r="O1093" i="1" s="1"/>
  <c r="K1094" i="1" a="1"/>
  <c r="K1094" i="1" s="1"/>
  <c r="O1094" i="1" s="1"/>
  <c r="K1095" i="1" a="1"/>
  <c r="K1095" i="1" s="1"/>
  <c r="O1095" i="1" s="1"/>
  <c r="K1096" i="1" a="1"/>
  <c r="K1096" i="1" s="1"/>
  <c r="O1096" i="1" s="1"/>
  <c r="K1097" i="1" a="1"/>
  <c r="K1097" i="1" s="1"/>
  <c r="O1097" i="1" s="1"/>
  <c r="K1098" i="1" a="1"/>
  <c r="K1098" i="1" s="1"/>
  <c r="O1098" i="1" s="1"/>
  <c r="K1099" i="1" a="1"/>
  <c r="K1099" i="1" s="1"/>
  <c r="O1099" i="1" s="1"/>
  <c r="K1100" i="1" a="1"/>
  <c r="K1100" i="1" s="1"/>
  <c r="O1100" i="1" s="1"/>
  <c r="K1101" i="1" a="1"/>
  <c r="K1101" i="1" s="1"/>
  <c r="O1101" i="1" s="1"/>
  <c r="K1102" i="1" a="1"/>
  <c r="K1102" i="1" s="1"/>
  <c r="O1102" i="1" s="1"/>
  <c r="K1103" i="1" a="1"/>
  <c r="K1103" i="1" s="1"/>
  <c r="O1103" i="1" s="1"/>
  <c r="K1104" i="1" a="1"/>
  <c r="K1104" i="1" s="1"/>
  <c r="O1104" i="1" s="1"/>
  <c r="K1105" i="1" a="1"/>
  <c r="K1105" i="1" s="1"/>
  <c r="O1105" i="1" s="1"/>
  <c r="K1106" i="1" a="1"/>
  <c r="K1106" i="1" s="1"/>
  <c r="O1106" i="1" s="1"/>
  <c r="K1107" i="1" a="1"/>
  <c r="K1107" i="1" s="1"/>
  <c r="O1107" i="1" s="1"/>
  <c r="K1108" i="1" a="1"/>
  <c r="K1108" i="1" s="1"/>
  <c r="O1108" i="1" s="1"/>
  <c r="K1109" i="1" a="1"/>
  <c r="K1109" i="1" s="1"/>
  <c r="O1109" i="1" s="1"/>
  <c r="K1110" i="1" a="1"/>
  <c r="K1110" i="1" s="1"/>
  <c r="O1110" i="1" s="1"/>
  <c r="K1111" i="1" a="1"/>
  <c r="K1111" i="1" s="1"/>
  <c r="O1111" i="1" s="1"/>
  <c r="K1112" i="1" a="1"/>
  <c r="K1112" i="1" s="1"/>
  <c r="O1112" i="1" s="1"/>
  <c r="K1113" i="1" a="1"/>
  <c r="K1113" i="1" s="1"/>
  <c r="O1113" i="1" s="1"/>
  <c r="K1114" i="1" a="1"/>
  <c r="K1114" i="1" s="1"/>
  <c r="O1114" i="1" s="1"/>
  <c r="K1115" i="1" a="1"/>
  <c r="K1115" i="1" s="1"/>
  <c r="O1115" i="1" s="1"/>
  <c r="K1116" i="1" a="1"/>
  <c r="K1116" i="1" s="1"/>
  <c r="O1116" i="1" s="1"/>
  <c r="K1117" i="1" a="1"/>
  <c r="K1117" i="1" s="1"/>
  <c r="O1117" i="1" s="1"/>
  <c r="K1118" i="1" a="1"/>
  <c r="K1118" i="1" s="1"/>
  <c r="O1118" i="1" s="1"/>
  <c r="K1119" i="1" a="1"/>
  <c r="K1119" i="1" s="1"/>
  <c r="O1119" i="1" s="1"/>
  <c r="K1120" i="1" a="1"/>
  <c r="K1120" i="1" s="1"/>
  <c r="O1120" i="1" s="1"/>
  <c r="K1121" i="1" a="1"/>
  <c r="K1121" i="1" s="1"/>
  <c r="O1121" i="1" s="1"/>
  <c r="K1122" i="1" a="1"/>
  <c r="K1122" i="1" s="1"/>
  <c r="O1122" i="1" s="1"/>
  <c r="K1123" i="1" a="1"/>
  <c r="K1123" i="1" s="1"/>
  <c r="O1123" i="1" s="1"/>
  <c r="K1124" i="1" a="1"/>
  <c r="K1124" i="1" s="1"/>
  <c r="O1124" i="1" s="1"/>
  <c r="K1125" i="1" a="1"/>
  <c r="K1125" i="1" s="1"/>
  <c r="O1125" i="1" s="1"/>
  <c r="K1126" i="1" a="1"/>
  <c r="K1126" i="1" s="1"/>
  <c r="O1126" i="1" s="1"/>
  <c r="K1127" i="1" a="1"/>
  <c r="K1127" i="1" s="1"/>
  <c r="O1127" i="1" s="1"/>
  <c r="K1128" i="1" a="1"/>
  <c r="K1128" i="1" s="1"/>
  <c r="O1128" i="1" s="1"/>
  <c r="K1129" i="1" a="1"/>
  <c r="K1129" i="1" s="1"/>
  <c r="O1129" i="1" s="1"/>
  <c r="K1130" i="1" a="1"/>
  <c r="K1130" i="1" s="1"/>
  <c r="O1130" i="1" s="1"/>
  <c r="K1131" i="1" a="1"/>
  <c r="K1131" i="1" s="1"/>
  <c r="O1131" i="1" s="1"/>
  <c r="K1132" i="1" a="1"/>
  <c r="K1132" i="1" s="1"/>
  <c r="O1132" i="1" s="1"/>
  <c r="K1133" i="1" a="1"/>
  <c r="K1133" i="1" s="1"/>
  <c r="O1133" i="1" s="1"/>
  <c r="K1134" i="1" a="1"/>
  <c r="K1134" i="1" s="1"/>
  <c r="K1135" i="1" a="1"/>
  <c r="K1135" i="1" s="1"/>
  <c r="O1135" i="1" s="1"/>
  <c r="K1136" i="1" a="1"/>
  <c r="K1136" i="1" s="1"/>
  <c r="O1136" i="1" s="1"/>
  <c r="K1137" i="1" a="1"/>
  <c r="K1137" i="1" s="1"/>
  <c r="O1137" i="1" s="1"/>
  <c r="K1138" i="1" a="1"/>
  <c r="K1138" i="1" s="1"/>
  <c r="O1138" i="1" s="1"/>
  <c r="K1139" i="1" a="1"/>
  <c r="K1139" i="1" s="1"/>
  <c r="O1139" i="1" s="1"/>
  <c r="K1140" i="1" a="1"/>
  <c r="K1140" i="1" s="1"/>
  <c r="O1140" i="1" s="1"/>
  <c r="K1141" i="1" a="1"/>
  <c r="K1141" i="1" s="1"/>
  <c r="O1141" i="1" s="1"/>
  <c r="K1142" i="1" a="1"/>
  <c r="K1142" i="1" s="1"/>
  <c r="O1142" i="1" s="1"/>
  <c r="K1143" i="1" a="1"/>
  <c r="K1143" i="1" s="1"/>
  <c r="O1143" i="1" s="1"/>
  <c r="K1144" i="1" a="1"/>
  <c r="K1144" i="1" s="1"/>
  <c r="O1144" i="1" s="1"/>
  <c r="K1145" i="1" a="1"/>
  <c r="K1145" i="1" s="1"/>
  <c r="O1145" i="1" s="1"/>
  <c r="K1146" i="1" a="1"/>
  <c r="K1146" i="1" s="1"/>
  <c r="O1146" i="1" s="1"/>
  <c r="K1147" i="1" a="1"/>
  <c r="K1147" i="1"/>
  <c r="O1147" i="1" s="1"/>
  <c r="K1148" i="1" a="1"/>
  <c r="K1148" i="1" s="1"/>
  <c r="O1148" i="1" s="1"/>
  <c r="K1149" i="1" a="1"/>
  <c r="K1149" i="1" s="1"/>
  <c r="O1149" i="1" s="1"/>
  <c r="K1150" i="1" a="1"/>
  <c r="K1150" i="1" s="1"/>
  <c r="O1150" i="1" s="1"/>
  <c r="K1151" i="1" a="1"/>
  <c r="K1151" i="1" s="1"/>
  <c r="O1151" i="1" s="1"/>
  <c r="K1152" i="1" a="1"/>
  <c r="K1152" i="1" s="1"/>
  <c r="O1152" i="1" s="1"/>
  <c r="K1153" i="1" a="1"/>
  <c r="K1153" i="1" s="1"/>
  <c r="O1153" i="1" s="1"/>
  <c r="K1154" i="1" a="1"/>
  <c r="K1154" i="1" s="1"/>
  <c r="O1154" i="1" s="1"/>
  <c r="K1155" i="1" a="1"/>
  <c r="K1155" i="1" s="1"/>
  <c r="O1155" i="1" s="1"/>
  <c r="K1156" i="1" a="1"/>
  <c r="K1156" i="1" s="1"/>
  <c r="O1156" i="1" s="1"/>
  <c r="K1157" i="1" a="1"/>
  <c r="K1157" i="1" s="1"/>
  <c r="O1157" i="1" s="1"/>
  <c r="K1158" i="1" a="1"/>
  <c r="K1158" i="1" s="1"/>
  <c r="O1158" i="1" s="1"/>
  <c r="K1159" i="1" a="1"/>
  <c r="K1159" i="1" s="1"/>
  <c r="O1159" i="1" s="1"/>
  <c r="K1160" i="1" a="1"/>
  <c r="K1160" i="1" s="1"/>
  <c r="O1160" i="1" s="1"/>
  <c r="K1161" i="1" a="1"/>
  <c r="K1161" i="1" s="1"/>
  <c r="O1161" i="1" s="1"/>
  <c r="K1162" i="1" a="1"/>
  <c r="K1162" i="1" s="1"/>
  <c r="O1162" i="1" s="1"/>
  <c r="K1163" i="1" a="1"/>
  <c r="K1163" i="1" s="1"/>
  <c r="O1163" i="1" s="1"/>
  <c r="K1164" i="1" a="1"/>
  <c r="K1164" i="1" s="1"/>
  <c r="O1164" i="1" s="1"/>
  <c r="K1165" i="1" a="1"/>
  <c r="K1165" i="1" s="1"/>
  <c r="O1165" i="1" s="1"/>
  <c r="K1166" i="1" a="1"/>
  <c r="K1166" i="1" s="1"/>
  <c r="O1166" i="1" s="1"/>
  <c r="K1167" i="1" a="1"/>
  <c r="K1167" i="1" s="1"/>
  <c r="O1167" i="1" s="1"/>
  <c r="K1168" i="1" a="1"/>
  <c r="K1168" i="1" s="1"/>
  <c r="O1168" i="1" s="1"/>
  <c r="K1169" i="1" a="1"/>
  <c r="K1169" i="1" s="1"/>
  <c r="O1169" i="1" s="1"/>
  <c r="K1170" i="1" a="1"/>
  <c r="K1170" i="1" s="1"/>
  <c r="O1170" i="1" s="1"/>
  <c r="K1171" i="1" a="1"/>
  <c r="K1171" i="1" s="1"/>
  <c r="O1171" i="1" s="1"/>
  <c r="K1172" i="1" a="1"/>
  <c r="K1172" i="1" s="1"/>
  <c r="O1172" i="1" s="1"/>
  <c r="K1173" i="1" a="1"/>
  <c r="K1173" i="1" s="1"/>
  <c r="O1173" i="1" s="1"/>
  <c r="K1174" i="1" a="1"/>
  <c r="K1174" i="1" s="1"/>
  <c r="O1174" i="1" s="1"/>
  <c r="K1175" i="1" a="1"/>
  <c r="K1175" i="1" s="1"/>
  <c r="O1175" i="1" s="1"/>
  <c r="K1176" i="1" a="1"/>
  <c r="K1176" i="1" s="1"/>
  <c r="O1176" i="1" s="1"/>
  <c r="K1177" i="1" a="1"/>
  <c r="K1177" i="1" s="1"/>
  <c r="O1177" i="1" s="1"/>
  <c r="K1178" i="1" a="1"/>
  <c r="K1178" i="1" s="1"/>
  <c r="O1178" i="1" s="1"/>
  <c r="K1179" i="1" a="1"/>
  <c r="K1179" i="1" s="1"/>
  <c r="O1179" i="1" s="1"/>
  <c r="K1180" i="1" a="1"/>
  <c r="K1180" i="1" s="1"/>
  <c r="O1180" i="1" s="1"/>
  <c r="K1181" i="1" a="1"/>
  <c r="K1181" i="1" s="1"/>
  <c r="O1181" i="1" s="1"/>
  <c r="K1182" i="1" a="1"/>
  <c r="K1182" i="1" s="1"/>
  <c r="O1182" i="1" s="1"/>
  <c r="K1183" i="1" a="1"/>
  <c r="K1183" i="1" s="1"/>
  <c r="O1183" i="1" s="1"/>
  <c r="K1184" i="1" a="1"/>
  <c r="K1184" i="1" s="1"/>
  <c r="O1184" i="1" s="1"/>
  <c r="K1185" i="1" a="1"/>
  <c r="K1185" i="1" s="1"/>
  <c r="O1185" i="1" s="1"/>
  <c r="K1186" i="1" a="1"/>
  <c r="K1186" i="1" s="1"/>
  <c r="O1186" i="1" s="1"/>
  <c r="K1187" i="1" a="1"/>
  <c r="K1187" i="1" s="1"/>
  <c r="O1187" i="1" s="1"/>
  <c r="K1188" i="1" a="1"/>
  <c r="K1188" i="1" s="1"/>
  <c r="O1188" i="1" s="1"/>
  <c r="K1189" i="1" a="1"/>
  <c r="K1189" i="1" s="1"/>
  <c r="O1189" i="1" s="1"/>
  <c r="K1190" i="1" a="1"/>
  <c r="K1190" i="1" s="1"/>
  <c r="O1190" i="1" s="1"/>
  <c r="K1191" i="1" a="1"/>
  <c r="K1191" i="1" s="1"/>
  <c r="O1191" i="1" s="1"/>
  <c r="K1192" i="1" a="1"/>
  <c r="K1192" i="1" s="1"/>
  <c r="O1192" i="1" s="1"/>
  <c r="K1193" i="1" a="1"/>
  <c r="K1193" i="1" s="1"/>
  <c r="O1193" i="1" s="1"/>
  <c r="K1194" i="1" a="1"/>
  <c r="K1194" i="1" s="1"/>
  <c r="O1194" i="1" s="1"/>
  <c r="K1195" i="1" a="1"/>
  <c r="K1195" i="1" s="1"/>
  <c r="O1195" i="1" s="1"/>
  <c r="K1196" i="1" a="1"/>
  <c r="K1196" i="1" s="1"/>
  <c r="O1196" i="1" s="1"/>
  <c r="K1197" i="1" a="1"/>
  <c r="K1197" i="1" s="1"/>
  <c r="O1197" i="1" s="1"/>
  <c r="K1198" i="1" a="1"/>
  <c r="K1198" i="1" s="1"/>
  <c r="O1198" i="1" s="1"/>
  <c r="K1199" i="1" a="1"/>
  <c r="K1199" i="1" s="1"/>
  <c r="O1199" i="1" s="1"/>
  <c r="K1200" i="1" a="1"/>
  <c r="K1200" i="1" s="1"/>
  <c r="O1200" i="1" s="1"/>
  <c r="K1201" i="1" a="1"/>
  <c r="K1201" i="1"/>
  <c r="O1201" i="1" s="1"/>
  <c r="K1202" i="1" a="1"/>
  <c r="K1202" i="1" s="1"/>
  <c r="O1202" i="1" s="1"/>
  <c r="K1203" i="1" a="1"/>
  <c r="K1203" i="1" s="1"/>
  <c r="O1203" i="1" s="1"/>
  <c r="K1204" i="1" a="1"/>
  <c r="K1204" i="1" s="1"/>
  <c r="O1204" i="1" s="1"/>
  <c r="K1205" i="1" a="1"/>
  <c r="K1205" i="1" s="1"/>
  <c r="O1205" i="1" s="1"/>
  <c r="K1206" i="1" a="1"/>
  <c r="K1206" i="1" s="1"/>
  <c r="O1206" i="1" s="1"/>
  <c r="K1207" i="1" a="1"/>
  <c r="K1207" i="1" s="1"/>
  <c r="O1207" i="1" s="1"/>
  <c r="K1208" i="1" a="1"/>
  <c r="K1208" i="1" s="1"/>
  <c r="O1208" i="1" s="1"/>
  <c r="K1209" i="1" a="1"/>
  <c r="K1209" i="1" s="1"/>
  <c r="O1209" i="1" s="1"/>
  <c r="K1210" i="1" a="1"/>
  <c r="K1210" i="1" s="1"/>
  <c r="O1210" i="1" s="1"/>
  <c r="K1211" i="1" a="1"/>
  <c r="K1211" i="1" s="1"/>
  <c r="O1211" i="1" s="1"/>
  <c r="K1212" i="1" a="1"/>
  <c r="K1212" i="1" s="1"/>
  <c r="O1212" i="1" s="1"/>
  <c r="K1213" i="1" a="1"/>
  <c r="K1213" i="1" s="1"/>
  <c r="O1213" i="1" s="1"/>
  <c r="K1214" i="1" a="1"/>
  <c r="K1214" i="1" s="1"/>
  <c r="O1214" i="1" s="1"/>
  <c r="K1215" i="1" a="1"/>
  <c r="K1215" i="1" s="1"/>
  <c r="O1215" i="1" s="1"/>
  <c r="K1216" i="1" a="1"/>
  <c r="K1216" i="1" s="1"/>
  <c r="O1216" i="1" s="1"/>
  <c r="K1217" i="1" a="1"/>
  <c r="K1217" i="1" s="1"/>
  <c r="O1217" i="1" s="1"/>
  <c r="K1218" i="1" a="1"/>
  <c r="K1218" i="1" s="1"/>
  <c r="O1218" i="1" s="1"/>
  <c r="K1219" i="1" a="1"/>
  <c r="K1219" i="1" s="1"/>
  <c r="O1219" i="1" s="1"/>
  <c r="K1220" i="1" a="1"/>
  <c r="K1220" i="1" s="1"/>
  <c r="O1220" i="1" s="1"/>
  <c r="K1221" i="1" a="1"/>
  <c r="K1221" i="1" s="1"/>
  <c r="O1221" i="1" s="1"/>
  <c r="K1222" i="1" a="1"/>
  <c r="K1222" i="1" s="1"/>
  <c r="O1222" i="1" s="1"/>
  <c r="K1223" i="1" a="1"/>
  <c r="K1223" i="1" s="1"/>
  <c r="O1223" i="1" s="1"/>
  <c r="K1224" i="1" a="1"/>
  <c r="K1224" i="1"/>
  <c r="O1224" i="1" s="1"/>
  <c r="K1225" i="1" a="1"/>
  <c r="K1225" i="1" s="1"/>
  <c r="O1225" i="1" s="1"/>
  <c r="K1226" i="1" a="1"/>
  <c r="K1226" i="1" s="1"/>
  <c r="O1226" i="1" s="1"/>
  <c r="K1227" i="1" a="1"/>
  <c r="K1227" i="1" s="1"/>
  <c r="O1227" i="1" s="1"/>
  <c r="K1228" i="1" a="1"/>
  <c r="K1228" i="1" s="1"/>
  <c r="O1228" i="1" s="1"/>
  <c r="K1229" i="1" a="1"/>
  <c r="K1229" i="1" s="1"/>
  <c r="O1229" i="1" s="1"/>
  <c r="K1230" i="1" a="1"/>
  <c r="K1230" i="1" s="1"/>
  <c r="O1230" i="1" s="1"/>
  <c r="K1231" i="1" a="1"/>
  <c r="K1231" i="1" s="1"/>
  <c r="O1231" i="1" s="1"/>
  <c r="K1232" i="1" a="1"/>
  <c r="K1232" i="1" s="1"/>
  <c r="O1232" i="1" s="1"/>
  <c r="K1233" i="1" a="1"/>
  <c r="K1233" i="1" s="1"/>
  <c r="O1233" i="1" s="1"/>
  <c r="K1234" i="1" a="1"/>
  <c r="K1234" i="1" s="1"/>
  <c r="O1234" i="1" s="1"/>
  <c r="K1235" i="1" a="1"/>
  <c r="K1235" i="1" s="1"/>
  <c r="O1235" i="1" s="1"/>
  <c r="K1236" i="1" a="1"/>
  <c r="K1236" i="1" s="1"/>
  <c r="O1236" i="1" s="1"/>
  <c r="K1237" i="1" a="1"/>
  <c r="K1237" i="1" s="1"/>
  <c r="O1237" i="1" s="1"/>
  <c r="K1238" i="1" a="1"/>
  <c r="K1238" i="1" s="1"/>
  <c r="O1238" i="1" s="1"/>
  <c r="K1239" i="1" a="1"/>
  <c r="K1239" i="1" s="1"/>
  <c r="O1239" i="1" s="1"/>
  <c r="K1240" i="1" a="1"/>
  <c r="K1240" i="1" s="1"/>
  <c r="O1240" i="1" s="1"/>
  <c r="K1241" i="1" a="1"/>
  <c r="K1241" i="1"/>
  <c r="O1241" i="1" s="1"/>
  <c r="K1242" i="1" a="1"/>
  <c r="K1242" i="1" s="1"/>
  <c r="O1242" i="1" s="1"/>
  <c r="K1243" i="1" a="1"/>
  <c r="K1243" i="1" s="1"/>
  <c r="O1243" i="1" s="1"/>
  <c r="K1244" i="1" a="1"/>
  <c r="K1244" i="1" s="1"/>
  <c r="O1244" i="1" s="1"/>
  <c r="K1245" i="1" a="1"/>
  <c r="K1245" i="1" s="1"/>
  <c r="O1245" i="1" s="1"/>
  <c r="K1246" i="1" a="1"/>
  <c r="K1246" i="1" s="1"/>
  <c r="O1246" i="1" s="1"/>
  <c r="K1247" i="1" a="1"/>
  <c r="K1247" i="1" s="1"/>
  <c r="O1247" i="1" s="1"/>
  <c r="K1248" i="1" a="1"/>
  <c r="K1248" i="1"/>
  <c r="O1248" i="1" s="1"/>
  <c r="K1249" i="1" a="1"/>
  <c r="K1249" i="1" s="1"/>
  <c r="O1249" i="1" s="1"/>
  <c r="K1250" i="1" a="1"/>
  <c r="K1250" i="1" s="1"/>
  <c r="O1250" i="1" s="1"/>
  <c r="K1251" i="1" a="1"/>
  <c r="K1251" i="1" s="1"/>
  <c r="O1251" i="1" s="1"/>
  <c r="K1252" i="1" a="1"/>
  <c r="K1252" i="1" s="1"/>
  <c r="O1252" i="1" s="1"/>
  <c r="K1253" i="1" a="1"/>
  <c r="K1253" i="1" s="1"/>
  <c r="O1253" i="1" s="1"/>
  <c r="K1254" i="1" a="1"/>
  <c r="K1254" i="1" s="1"/>
  <c r="O1254" i="1" s="1"/>
  <c r="K1255" i="1" a="1"/>
  <c r="K1255" i="1"/>
  <c r="O1255" i="1" s="1"/>
  <c r="K1256" i="1" a="1"/>
  <c r="K1256" i="1" s="1"/>
  <c r="O1256" i="1" s="1"/>
  <c r="K1257" i="1" a="1"/>
  <c r="K1257" i="1" s="1"/>
  <c r="O1257" i="1" s="1"/>
  <c r="K1258" i="1" a="1"/>
  <c r="K1258" i="1" s="1"/>
  <c r="O1258" i="1" s="1"/>
  <c r="K1259" i="1" a="1"/>
  <c r="K1259" i="1" s="1"/>
  <c r="O1259" i="1" s="1"/>
  <c r="K1260" i="1" a="1"/>
  <c r="K1260" i="1" s="1"/>
  <c r="O1260" i="1" s="1"/>
  <c r="K1261" i="1" a="1"/>
  <c r="K1261" i="1" s="1"/>
  <c r="O1261" i="1" s="1"/>
  <c r="K1262" i="1" a="1"/>
  <c r="K1262" i="1" s="1"/>
  <c r="O1262" i="1" s="1"/>
  <c r="K1263" i="1" a="1"/>
  <c r="K1263" i="1" s="1"/>
  <c r="O1263" i="1" s="1"/>
  <c r="K1264" i="1" a="1"/>
  <c r="K1264" i="1" s="1"/>
  <c r="O1264" i="1" s="1"/>
  <c r="K1265" i="1" a="1"/>
  <c r="K1265" i="1"/>
  <c r="O1265" i="1" s="1"/>
  <c r="K1266" i="1" a="1"/>
  <c r="K1266" i="1" s="1"/>
  <c r="O1266" i="1" s="1"/>
  <c r="K1267" i="1" a="1"/>
  <c r="K1267" i="1" s="1"/>
  <c r="O1267" i="1" s="1"/>
  <c r="K1268" i="1" a="1"/>
  <c r="K1268" i="1" s="1"/>
  <c r="O1268" i="1" s="1"/>
  <c r="K1269" i="1" a="1"/>
  <c r="K1269" i="1" s="1"/>
  <c r="O1269" i="1" s="1"/>
  <c r="K1270" i="1" a="1"/>
  <c r="K1270" i="1" s="1"/>
  <c r="O1270" i="1" s="1"/>
  <c r="K1271" i="1" a="1"/>
  <c r="K1271" i="1" s="1"/>
  <c r="O1271" i="1" s="1"/>
  <c r="K1272" i="1" a="1"/>
  <c r="K1272" i="1" s="1"/>
  <c r="O1272" i="1" s="1"/>
  <c r="K1273" i="1" a="1"/>
  <c r="K1273" i="1" s="1"/>
  <c r="O1273" i="1" s="1"/>
  <c r="K1274" i="1" a="1"/>
  <c r="K1274" i="1" s="1"/>
  <c r="O1274" i="1" s="1"/>
  <c r="K1275" i="1" a="1"/>
  <c r="K1275" i="1" s="1"/>
  <c r="O1275" i="1" s="1"/>
  <c r="K1276" i="1" a="1"/>
  <c r="K1276" i="1" s="1"/>
  <c r="O1276" i="1" s="1"/>
  <c r="K1277" i="1" a="1"/>
  <c r="K1277" i="1" s="1"/>
  <c r="O1277" i="1" s="1"/>
  <c r="K1278" i="1" a="1"/>
  <c r="K1278" i="1" s="1"/>
  <c r="O1278" i="1" s="1"/>
  <c r="K1279" i="1" a="1"/>
  <c r="K1279" i="1" s="1"/>
  <c r="O1279" i="1" s="1"/>
  <c r="K1280" i="1" a="1"/>
  <c r="K1280" i="1" s="1"/>
  <c r="O1280" i="1" s="1"/>
  <c r="K1281" i="1" a="1"/>
  <c r="K1281" i="1" s="1"/>
  <c r="O1281" i="1" s="1"/>
  <c r="K1282" i="1" a="1"/>
  <c r="K1282" i="1" s="1"/>
  <c r="O1282" i="1" s="1"/>
  <c r="K1283" i="1" a="1"/>
  <c r="K1283" i="1" s="1"/>
  <c r="O1283" i="1" s="1"/>
  <c r="K1284" i="1" a="1"/>
  <c r="K1284" i="1" s="1"/>
  <c r="O1284" i="1" s="1"/>
  <c r="K1285" i="1" a="1"/>
  <c r="K1285" i="1" s="1"/>
  <c r="O1285" i="1" s="1"/>
  <c r="K1286" i="1" a="1"/>
  <c r="K1286" i="1" s="1"/>
  <c r="O1286" i="1" s="1"/>
  <c r="K1287" i="1" a="1"/>
  <c r="K1287" i="1" s="1"/>
  <c r="O1287" i="1" s="1"/>
  <c r="K1288" i="1" a="1"/>
  <c r="K1288" i="1" s="1"/>
  <c r="O1288" i="1" s="1"/>
  <c r="K1289" i="1" a="1"/>
  <c r="K1289" i="1" s="1"/>
  <c r="O1289" i="1" s="1"/>
  <c r="K1290" i="1" a="1"/>
  <c r="K1290" i="1" s="1"/>
  <c r="O1290" i="1" s="1"/>
  <c r="K1291" i="1" a="1"/>
  <c r="K1291" i="1" s="1"/>
  <c r="O1291" i="1" s="1"/>
  <c r="K1292" i="1" a="1"/>
  <c r="K1292" i="1" s="1"/>
  <c r="O1292" i="1" s="1"/>
  <c r="K1293" i="1" a="1"/>
  <c r="K1293" i="1" s="1"/>
  <c r="O1293" i="1" s="1"/>
  <c r="K1294" i="1" a="1"/>
  <c r="K1294" i="1" s="1"/>
  <c r="O1294" i="1" s="1"/>
  <c r="K1295" i="1" a="1"/>
  <c r="K1295" i="1" s="1"/>
  <c r="O1295" i="1" s="1"/>
  <c r="K1296" i="1" a="1"/>
  <c r="K1296" i="1" s="1"/>
  <c r="O1296" i="1" s="1"/>
  <c r="K1297" i="1" a="1"/>
  <c r="K1297" i="1" s="1"/>
  <c r="O1297" i="1" s="1"/>
  <c r="K1298" i="1" a="1"/>
  <c r="K1298" i="1" s="1"/>
  <c r="O1298" i="1" s="1"/>
  <c r="K1299" i="1" a="1"/>
  <c r="K1299" i="1" s="1"/>
  <c r="O1299" i="1" s="1"/>
  <c r="K1300" i="1" a="1"/>
  <c r="K1300" i="1" s="1"/>
  <c r="O1300" i="1" s="1"/>
  <c r="K1301" i="1" a="1"/>
  <c r="K1301" i="1" s="1"/>
  <c r="O1301" i="1" s="1"/>
  <c r="K1302" i="1" a="1"/>
  <c r="K1302" i="1" s="1"/>
  <c r="O1302" i="1" s="1"/>
  <c r="K1303" i="1" a="1"/>
  <c r="K1303" i="1" s="1"/>
  <c r="O1303" i="1" s="1"/>
  <c r="K1304" i="1" a="1"/>
  <c r="K1304" i="1" s="1"/>
  <c r="O1304" i="1" s="1"/>
  <c r="K1305" i="1" a="1"/>
  <c r="K1305" i="1" s="1"/>
  <c r="O1305" i="1" s="1"/>
  <c r="K1306" i="1" a="1"/>
  <c r="K1306" i="1" s="1"/>
  <c r="O1306" i="1" s="1"/>
  <c r="K1307" i="1" a="1"/>
  <c r="K1307" i="1" s="1"/>
  <c r="O1307" i="1" s="1"/>
  <c r="K1308" i="1" a="1"/>
  <c r="K1308" i="1" s="1"/>
  <c r="O1308" i="1" s="1"/>
  <c r="K1309" i="1" a="1"/>
  <c r="K1309" i="1" s="1"/>
  <c r="O1309" i="1" s="1"/>
  <c r="K1310" i="1" a="1"/>
  <c r="K1310" i="1" s="1"/>
  <c r="O1310" i="1" s="1"/>
  <c r="K1311" i="1" a="1"/>
  <c r="K1311" i="1"/>
  <c r="O1311" i="1" s="1"/>
  <c r="K1312" i="1" a="1"/>
  <c r="K1312" i="1" s="1"/>
  <c r="O1312" i="1" s="1"/>
  <c r="K1313" i="1" a="1"/>
  <c r="K1313" i="1" s="1"/>
  <c r="O1313" i="1" s="1"/>
  <c r="K1314" i="1" a="1"/>
  <c r="K1314" i="1" s="1"/>
  <c r="O1314" i="1" s="1"/>
  <c r="K1315" i="1" a="1"/>
  <c r="K1315" i="1" s="1"/>
  <c r="O1315" i="1" s="1"/>
  <c r="K1316" i="1" a="1"/>
  <c r="K1316" i="1"/>
  <c r="O1316" i="1" s="1"/>
  <c r="K1317" i="1" a="1"/>
  <c r="K1317" i="1" s="1"/>
  <c r="O1317" i="1" s="1"/>
  <c r="K1318" i="1" a="1"/>
  <c r="K1318" i="1" s="1"/>
  <c r="O1318" i="1" s="1"/>
  <c r="K1319" i="1" a="1"/>
  <c r="K1319" i="1" s="1"/>
  <c r="O1319" i="1" s="1"/>
  <c r="K1320" i="1" a="1"/>
  <c r="K1320" i="1" s="1"/>
  <c r="O1320" i="1" s="1"/>
  <c r="K1321" i="1" a="1"/>
  <c r="K1321" i="1" s="1"/>
  <c r="O1321" i="1" s="1"/>
  <c r="K1322" i="1" a="1"/>
  <c r="K1322" i="1" s="1"/>
  <c r="O1322" i="1" s="1"/>
  <c r="K1323" i="1" a="1"/>
  <c r="K1323" i="1" s="1"/>
  <c r="O1323" i="1" s="1"/>
  <c r="K1324" i="1" a="1"/>
  <c r="K1324" i="1" s="1"/>
  <c r="O1324" i="1" s="1"/>
  <c r="K1325" i="1" a="1"/>
  <c r="K1325" i="1" s="1"/>
  <c r="O1325" i="1" s="1"/>
  <c r="K1326" i="1" a="1"/>
  <c r="K1326" i="1" s="1"/>
  <c r="O1326" i="1" s="1"/>
  <c r="K1327" i="1" a="1"/>
  <c r="K1327" i="1" s="1"/>
  <c r="O1327" i="1" s="1"/>
  <c r="K1328" i="1" a="1"/>
  <c r="K1328" i="1" s="1"/>
  <c r="O1328" i="1" s="1"/>
  <c r="K1329" i="1" a="1"/>
  <c r="K1329" i="1" s="1"/>
  <c r="O1329" i="1" s="1"/>
  <c r="K1330" i="1" a="1"/>
  <c r="K1330" i="1" s="1"/>
  <c r="K1331" i="1" a="1"/>
  <c r="K1331" i="1" s="1"/>
  <c r="O1331" i="1" s="1"/>
  <c r="K1332" i="1" a="1"/>
  <c r="K1332" i="1" s="1"/>
  <c r="O1332" i="1" s="1"/>
  <c r="K1333" i="1" a="1"/>
  <c r="K1333" i="1" s="1"/>
  <c r="O1333" i="1" s="1"/>
  <c r="K1334" i="1" a="1"/>
  <c r="K1334" i="1" s="1"/>
  <c r="O1334" i="1" s="1"/>
  <c r="K1335" i="1" a="1"/>
  <c r="K1335" i="1" s="1"/>
  <c r="O1335" i="1" s="1"/>
  <c r="K1336" i="1" a="1"/>
  <c r="K1336" i="1" s="1"/>
  <c r="O1336" i="1" s="1"/>
  <c r="K1337" i="1" a="1"/>
  <c r="K1337" i="1" s="1"/>
  <c r="O1337" i="1" s="1"/>
  <c r="K1338" i="1" a="1"/>
  <c r="K1338" i="1" s="1"/>
  <c r="O1338" i="1" s="1"/>
  <c r="K1339" i="1" a="1"/>
  <c r="K1339" i="1" s="1"/>
  <c r="O1339" i="1" s="1"/>
  <c r="K1340" i="1" a="1"/>
  <c r="K1340" i="1" s="1"/>
  <c r="O1340" i="1" s="1"/>
  <c r="K1341" i="1" a="1"/>
  <c r="K1341" i="1" s="1"/>
  <c r="O1341" i="1" s="1"/>
  <c r="K1342" i="1" a="1"/>
  <c r="K1342" i="1" s="1"/>
  <c r="O1342" i="1" s="1"/>
  <c r="K1343" i="1" a="1"/>
  <c r="K1343" i="1" s="1"/>
  <c r="O1343" i="1" s="1"/>
  <c r="K1344" i="1" a="1"/>
  <c r="K1344" i="1" s="1"/>
  <c r="O1344" i="1" s="1"/>
  <c r="K1345" i="1" a="1"/>
  <c r="K1345" i="1" s="1"/>
  <c r="O1345" i="1" s="1"/>
  <c r="K1346" i="1" a="1"/>
  <c r="K1346" i="1" s="1"/>
  <c r="N1346" i="1" s="1"/>
  <c r="K1347" i="1" a="1"/>
  <c r="K1347" i="1" s="1"/>
  <c r="O1347" i="1" s="1"/>
  <c r="K1348" i="1" a="1"/>
  <c r="K1348" i="1" s="1"/>
  <c r="K1349" i="1" a="1"/>
  <c r="K1349" i="1" s="1"/>
  <c r="O1349" i="1" s="1"/>
  <c r="K1350" i="1" a="1"/>
  <c r="K1350" i="1" s="1"/>
  <c r="O1350" i="1" s="1"/>
  <c r="K1351" i="1" a="1"/>
  <c r="K1351" i="1" s="1"/>
  <c r="O1351" i="1" s="1"/>
  <c r="K1352" i="1" a="1"/>
  <c r="K1352" i="1" s="1"/>
  <c r="O1352" i="1" s="1"/>
  <c r="K1353" i="1" a="1"/>
  <c r="K1353" i="1" s="1"/>
  <c r="O1353" i="1" s="1"/>
  <c r="K1354" i="1" a="1"/>
  <c r="K1354" i="1" s="1"/>
  <c r="O1354" i="1" s="1"/>
  <c r="K1355" i="1" a="1"/>
  <c r="K1355" i="1" s="1"/>
  <c r="O1355" i="1" s="1"/>
  <c r="K1356" i="1" a="1"/>
  <c r="K1356" i="1" s="1"/>
  <c r="O1356" i="1" s="1"/>
  <c r="K1357" i="1" a="1"/>
  <c r="K1357" i="1" s="1"/>
  <c r="O1357" i="1" s="1"/>
  <c r="K1358" i="1" a="1"/>
  <c r="K1358" i="1" s="1"/>
  <c r="O1358" i="1" s="1"/>
  <c r="K1359" i="1" a="1"/>
  <c r="K1359" i="1" s="1"/>
  <c r="O1359" i="1" s="1"/>
  <c r="K1360" i="1" a="1"/>
  <c r="K1360" i="1" s="1"/>
  <c r="O1360" i="1" s="1"/>
  <c r="K1361" i="1" a="1"/>
  <c r="K1361" i="1" s="1"/>
  <c r="O1361" i="1" s="1"/>
  <c r="K1362" i="1" a="1"/>
  <c r="K1362" i="1" s="1"/>
  <c r="O1362" i="1" s="1"/>
  <c r="K1363" i="1" a="1"/>
  <c r="K1363" i="1" s="1"/>
  <c r="O1363" i="1" s="1"/>
  <c r="K1364" i="1" a="1"/>
  <c r="K1364" i="1" s="1"/>
  <c r="O1364" i="1" s="1"/>
  <c r="K1365" i="1" a="1"/>
  <c r="K1365" i="1" s="1"/>
  <c r="O1365" i="1" s="1"/>
  <c r="K1366" i="1" a="1"/>
  <c r="K1366" i="1" s="1"/>
  <c r="O1366" i="1" s="1"/>
  <c r="K1367" i="1" a="1"/>
  <c r="K1367" i="1" s="1"/>
  <c r="O1367" i="1" s="1"/>
  <c r="K1368" i="1" a="1"/>
  <c r="K1368" i="1" s="1"/>
  <c r="O1368" i="1" s="1"/>
  <c r="K1369" i="1" a="1"/>
  <c r="K1369" i="1" s="1"/>
  <c r="O1369" i="1" s="1"/>
  <c r="K1370" i="1" a="1"/>
  <c r="K1370" i="1" s="1"/>
  <c r="O1370" i="1" s="1"/>
  <c r="K1371" i="1" a="1"/>
  <c r="K1371" i="1"/>
  <c r="O1371" i="1" s="1"/>
  <c r="K1372" i="1" a="1"/>
  <c r="K1372" i="1"/>
  <c r="O1372" i="1" s="1"/>
  <c r="K1373" i="1" a="1"/>
  <c r="K1373" i="1" s="1"/>
  <c r="O1373" i="1" s="1"/>
  <c r="K1374" i="1" a="1"/>
  <c r="K1374" i="1" s="1"/>
  <c r="O1374" i="1" s="1"/>
  <c r="K1375" i="1" a="1"/>
  <c r="K1375" i="1" s="1"/>
  <c r="O1375" i="1" s="1"/>
  <c r="K1376" i="1" a="1"/>
  <c r="K1376" i="1"/>
  <c r="O1376" i="1" s="1"/>
  <c r="K1377" i="1" a="1"/>
  <c r="K1377" i="1" s="1"/>
  <c r="O1377" i="1" s="1"/>
  <c r="K1378" i="1" a="1"/>
  <c r="K1378" i="1" s="1"/>
  <c r="O1378" i="1" s="1"/>
  <c r="K1379" i="1" a="1"/>
  <c r="K1379" i="1" s="1"/>
  <c r="O1379" i="1" s="1"/>
  <c r="K1380" i="1" a="1"/>
  <c r="K1380" i="1" s="1"/>
  <c r="O1380" i="1" s="1"/>
  <c r="K1381" i="1" a="1"/>
  <c r="K1381" i="1" s="1"/>
  <c r="O1381" i="1" s="1"/>
  <c r="K1382" i="1" a="1"/>
  <c r="K1382" i="1" s="1"/>
  <c r="O1382" i="1" s="1"/>
  <c r="K1383" i="1" a="1"/>
  <c r="K1383" i="1" s="1"/>
  <c r="O1383" i="1" s="1"/>
  <c r="K1384" i="1" a="1"/>
  <c r="K1384" i="1" s="1"/>
  <c r="O1384" i="1" s="1"/>
  <c r="K1385" i="1" a="1"/>
  <c r="K1385" i="1" s="1"/>
  <c r="O1385" i="1" s="1"/>
  <c r="K1386" i="1" a="1"/>
  <c r="K1386" i="1" s="1"/>
  <c r="O1386" i="1" s="1"/>
  <c r="K1387" i="1" a="1"/>
  <c r="K1387" i="1" s="1"/>
  <c r="O1387" i="1" s="1"/>
  <c r="K1388" i="1" a="1"/>
  <c r="K1388" i="1" s="1"/>
  <c r="O1388" i="1" s="1"/>
  <c r="K1389" i="1" a="1"/>
  <c r="K1389" i="1" s="1"/>
  <c r="O1389" i="1" s="1"/>
  <c r="K1390" i="1" a="1"/>
  <c r="K1390" i="1" s="1"/>
  <c r="O1390" i="1" s="1"/>
  <c r="K1391" i="1" a="1"/>
  <c r="K1391" i="1" s="1"/>
  <c r="O1391" i="1" s="1"/>
  <c r="K1392" i="1" a="1"/>
  <c r="K1392" i="1" s="1"/>
  <c r="O1392" i="1" s="1"/>
  <c r="K1393" i="1" a="1"/>
  <c r="K1393" i="1" s="1"/>
  <c r="O1393" i="1" s="1"/>
  <c r="K1394" i="1" a="1"/>
  <c r="K1394" i="1" s="1"/>
  <c r="O1394" i="1" s="1"/>
  <c r="K1395" i="1" a="1"/>
  <c r="K1395" i="1" s="1"/>
  <c r="O1395" i="1" s="1"/>
  <c r="K1396" i="1" a="1"/>
  <c r="K1396" i="1" s="1"/>
  <c r="O1396" i="1" s="1"/>
  <c r="K1397" i="1" a="1"/>
  <c r="K1397" i="1" s="1"/>
  <c r="O1397" i="1" s="1"/>
  <c r="K1398" i="1" a="1"/>
  <c r="K1398" i="1" s="1"/>
  <c r="O1398" i="1" s="1"/>
  <c r="K1399" i="1" a="1"/>
  <c r="K1399" i="1" s="1"/>
  <c r="O1399" i="1" s="1"/>
  <c r="K1400" i="1" a="1"/>
  <c r="K1400" i="1" s="1"/>
  <c r="O1400" i="1" s="1"/>
  <c r="K1401" i="1" a="1"/>
  <c r="K1401" i="1" s="1"/>
  <c r="O1401" i="1" s="1"/>
  <c r="K1402" i="1" a="1"/>
  <c r="K1402" i="1" s="1"/>
  <c r="O1402" i="1" s="1"/>
  <c r="K1403" i="1" a="1"/>
  <c r="K1403" i="1" s="1"/>
  <c r="O1403" i="1" s="1"/>
  <c r="K1404" i="1" a="1"/>
  <c r="K1404" i="1" s="1"/>
  <c r="O1404" i="1" s="1"/>
  <c r="K1405" i="1" a="1"/>
  <c r="K1405" i="1" s="1"/>
  <c r="O1405" i="1" s="1"/>
  <c r="K1406" i="1" a="1"/>
  <c r="K1406" i="1" s="1"/>
  <c r="O1406" i="1" s="1"/>
  <c r="K1407" i="1" a="1"/>
  <c r="K1407" i="1" s="1"/>
  <c r="O1407" i="1" s="1"/>
  <c r="K1408" i="1" a="1"/>
  <c r="K1408" i="1" s="1"/>
  <c r="O1408" i="1" s="1"/>
  <c r="K1409" i="1" a="1"/>
  <c r="K1409" i="1" s="1"/>
  <c r="O1409" i="1" s="1"/>
  <c r="K1410" i="1" a="1"/>
  <c r="K1410" i="1" s="1"/>
  <c r="O1410" i="1" s="1"/>
  <c r="K1411" i="1" a="1"/>
  <c r="K1411" i="1" s="1"/>
  <c r="O1411" i="1" s="1"/>
  <c r="K1412" i="1" a="1"/>
  <c r="K1412" i="1" s="1"/>
  <c r="O1412" i="1" s="1"/>
  <c r="K1413" i="1" a="1"/>
  <c r="K1413" i="1" s="1"/>
  <c r="O1413" i="1" s="1"/>
  <c r="K1414" i="1" a="1"/>
  <c r="K1414" i="1" s="1"/>
  <c r="O1414" i="1" s="1"/>
  <c r="K1415" i="1" a="1"/>
  <c r="K1415" i="1" s="1"/>
  <c r="O1415" i="1" s="1"/>
  <c r="K1416" i="1" a="1"/>
  <c r="K1416" i="1"/>
  <c r="O1416" i="1" s="1"/>
  <c r="K1417" i="1" a="1"/>
  <c r="K1417" i="1" s="1"/>
  <c r="O1417" i="1" s="1"/>
  <c r="K1418" i="1" a="1"/>
  <c r="K1418" i="1" s="1"/>
  <c r="O1418" i="1" s="1"/>
  <c r="K1419" i="1" a="1"/>
  <c r="K1419" i="1" s="1"/>
  <c r="O1419" i="1" s="1"/>
  <c r="K1420" i="1" a="1"/>
  <c r="K1420" i="1" s="1"/>
  <c r="O1420" i="1" s="1"/>
  <c r="K1421" i="1" a="1"/>
  <c r="K1421" i="1" s="1"/>
  <c r="O1421" i="1" s="1"/>
  <c r="K1422" i="1" a="1"/>
  <c r="K1422" i="1" s="1"/>
  <c r="O1422" i="1" s="1"/>
  <c r="K1423" i="1" a="1"/>
  <c r="K1423" i="1" s="1"/>
  <c r="O1423" i="1" s="1"/>
  <c r="K1424" i="1" a="1"/>
  <c r="K1424" i="1" s="1"/>
  <c r="O1424" i="1" s="1"/>
  <c r="K1425" i="1" a="1"/>
  <c r="K1425" i="1" s="1"/>
  <c r="O1425" i="1" s="1"/>
  <c r="K1426" i="1" a="1"/>
  <c r="K1426" i="1" s="1"/>
  <c r="O1426" i="1" s="1"/>
  <c r="K1427" i="1" a="1"/>
  <c r="K1427" i="1" s="1"/>
  <c r="O1427" i="1" s="1"/>
  <c r="K1428" i="1" a="1"/>
  <c r="K1428" i="1" s="1"/>
  <c r="O1428" i="1" s="1"/>
  <c r="K1429" i="1" a="1"/>
  <c r="K1429" i="1" s="1"/>
  <c r="O1429" i="1" s="1"/>
  <c r="K1430" i="1" a="1"/>
  <c r="K1430" i="1" s="1"/>
  <c r="O1430" i="1" s="1"/>
  <c r="K1431" i="1" a="1"/>
  <c r="K1431" i="1" s="1"/>
  <c r="O1431" i="1" s="1"/>
  <c r="K1432" i="1" a="1"/>
  <c r="K1432" i="1" s="1"/>
  <c r="O1432" i="1" s="1"/>
  <c r="K1433" i="1" a="1"/>
  <c r="K1433" i="1" s="1"/>
  <c r="O1433" i="1" s="1"/>
  <c r="K1434" i="1" a="1"/>
  <c r="K1434" i="1" s="1"/>
  <c r="O1434" i="1" s="1"/>
  <c r="K1435" i="1" a="1"/>
  <c r="K1435" i="1" s="1"/>
  <c r="O1435" i="1" s="1"/>
  <c r="K1436" i="1" a="1"/>
  <c r="K1436" i="1" s="1"/>
  <c r="O1436" i="1" s="1"/>
  <c r="K1437" i="1" a="1"/>
  <c r="K1437" i="1" s="1"/>
  <c r="O1437" i="1" s="1"/>
  <c r="K1438" i="1" a="1"/>
  <c r="K1438" i="1" s="1"/>
  <c r="O1438" i="1" s="1"/>
  <c r="K1439" i="1" a="1"/>
  <c r="K1439" i="1" s="1"/>
  <c r="O1439" i="1" s="1"/>
  <c r="K1440" i="1" a="1"/>
  <c r="K1440" i="1" s="1"/>
  <c r="O1440" i="1" s="1"/>
  <c r="K1441" i="1" a="1"/>
  <c r="K1441" i="1"/>
  <c r="O1441" i="1" s="1"/>
  <c r="K1442" i="1" a="1"/>
  <c r="K1442" i="1" s="1"/>
  <c r="O1442" i="1" s="1"/>
  <c r="K1443" i="1" a="1"/>
  <c r="K1443" i="1" s="1"/>
  <c r="O1443" i="1" s="1"/>
  <c r="K1444" i="1" a="1"/>
  <c r="K1444" i="1" s="1"/>
  <c r="O1444" i="1" s="1"/>
  <c r="K1445" i="1" a="1"/>
  <c r="K1445" i="1" s="1"/>
  <c r="O1445" i="1" s="1"/>
  <c r="K1446" i="1" a="1"/>
  <c r="K1446" i="1" s="1"/>
  <c r="O1446" i="1" s="1"/>
  <c r="K1447" i="1" a="1"/>
  <c r="K1447" i="1" s="1"/>
  <c r="O1447" i="1" s="1"/>
  <c r="K1448" i="1" a="1"/>
  <c r="K1448" i="1" s="1"/>
  <c r="O1448" i="1" s="1"/>
  <c r="K1449" i="1" a="1"/>
  <c r="K1449" i="1" s="1"/>
  <c r="O1449" i="1" s="1"/>
  <c r="K1450" i="1" a="1"/>
  <c r="K1450" i="1" s="1"/>
  <c r="O1450" i="1" s="1"/>
  <c r="K1451" i="1" a="1"/>
  <c r="K1451" i="1" s="1"/>
  <c r="O1451" i="1" s="1"/>
  <c r="K1452" i="1" a="1"/>
  <c r="K1452" i="1" s="1"/>
  <c r="O1452" i="1" s="1"/>
  <c r="K1453" i="1" a="1"/>
  <c r="K1453" i="1" s="1"/>
  <c r="O1453" i="1" s="1"/>
  <c r="K1454" i="1" a="1"/>
  <c r="K1454" i="1" s="1"/>
  <c r="O1454" i="1" s="1"/>
  <c r="K1455" i="1" a="1"/>
  <c r="K1455" i="1"/>
  <c r="O1455" i="1" s="1"/>
  <c r="K1456" i="1" a="1"/>
  <c r="K1456" i="1" s="1"/>
  <c r="O1456" i="1" s="1"/>
  <c r="K1457" i="1" a="1"/>
  <c r="K1457" i="1" s="1"/>
  <c r="O1457" i="1" s="1"/>
  <c r="K1458" i="1" a="1"/>
  <c r="K1458" i="1"/>
  <c r="O1458" i="1" s="1"/>
  <c r="K1459" i="1" a="1"/>
  <c r="K1459" i="1" s="1"/>
  <c r="O1459" i="1" s="1"/>
  <c r="K1460" i="1" a="1"/>
  <c r="K1460" i="1" s="1"/>
  <c r="O1460" i="1" s="1"/>
  <c r="K1461" i="1" a="1"/>
  <c r="K1461" i="1" s="1"/>
  <c r="O1461" i="1" s="1"/>
  <c r="K1462" i="1" a="1"/>
  <c r="K1462" i="1" s="1"/>
  <c r="O1462" i="1" s="1"/>
  <c r="K1463" i="1" a="1"/>
  <c r="K1463" i="1" s="1"/>
  <c r="O1463" i="1" s="1"/>
  <c r="K1464" i="1" a="1"/>
  <c r="K1464" i="1" s="1"/>
  <c r="O1464" i="1" s="1"/>
  <c r="K1465" i="1" a="1"/>
  <c r="K1465" i="1"/>
  <c r="O1465" i="1" s="1"/>
  <c r="K1466" i="1" a="1"/>
  <c r="K1466" i="1" s="1"/>
  <c r="O1466" i="1" s="1"/>
  <c r="K1467" i="1" a="1"/>
  <c r="K1467" i="1" s="1"/>
  <c r="O1467" i="1" s="1"/>
  <c r="K1468" i="1" a="1"/>
  <c r="K1468" i="1" s="1"/>
  <c r="O1468" i="1" s="1"/>
  <c r="K1469" i="1" a="1"/>
  <c r="K1469" i="1" s="1"/>
  <c r="O1469" i="1" s="1"/>
  <c r="K1470" i="1" a="1"/>
  <c r="K1470" i="1" s="1"/>
  <c r="O1470" i="1" s="1"/>
  <c r="K1471" i="1" a="1"/>
  <c r="K1471" i="1" s="1"/>
  <c r="O1471" i="1" s="1"/>
  <c r="K1472" i="1" a="1"/>
  <c r="K1472" i="1" s="1"/>
  <c r="O1472" i="1" s="1"/>
  <c r="K1473" i="1" a="1"/>
  <c r="K1473" i="1" s="1"/>
  <c r="O1473" i="1" s="1"/>
  <c r="K1474" i="1" a="1"/>
  <c r="K1474" i="1" s="1"/>
  <c r="O1474" i="1" s="1"/>
  <c r="K1475" i="1" a="1"/>
  <c r="K1475" i="1" s="1"/>
  <c r="O1475" i="1" s="1"/>
  <c r="K1476" i="1" a="1"/>
  <c r="K1476" i="1" s="1"/>
  <c r="O1476" i="1" s="1"/>
  <c r="K1477" i="1" a="1"/>
  <c r="K1477" i="1" s="1"/>
  <c r="O1477" i="1" s="1"/>
  <c r="K1478" i="1" a="1"/>
  <c r="K1478" i="1" s="1"/>
  <c r="O1478" i="1" s="1"/>
  <c r="K1479" i="1" a="1"/>
  <c r="K1479" i="1" s="1"/>
  <c r="O1479" i="1" s="1"/>
  <c r="K1480" i="1" a="1"/>
  <c r="K1480" i="1" s="1"/>
  <c r="O1480" i="1" s="1"/>
  <c r="K1481" i="1" a="1"/>
  <c r="K1481" i="1" s="1"/>
  <c r="O1481" i="1" s="1"/>
  <c r="K1482" i="1" a="1"/>
  <c r="K1482" i="1" s="1"/>
  <c r="O1482" i="1" s="1"/>
  <c r="K1483" i="1" a="1"/>
  <c r="K1483" i="1" s="1"/>
  <c r="O1483" i="1" s="1"/>
  <c r="K1484" i="1" a="1"/>
  <c r="K1484" i="1" s="1"/>
  <c r="O1484" i="1" s="1"/>
  <c r="K1485" i="1" a="1"/>
  <c r="K1485" i="1" s="1"/>
  <c r="O1485" i="1" s="1"/>
  <c r="K1486" i="1" a="1"/>
  <c r="K1486" i="1" s="1"/>
  <c r="O1486" i="1" s="1"/>
  <c r="K1487" i="1" a="1"/>
  <c r="K1487" i="1" s="1"/>
  <c r="O1487" i="1" s="1"/>
  <c r="K1488" i="1" a="1"/>
  <c r="K1488" i="1" s="1"/>
  <c r="O1488" i="1" s="1"/>
  <c r="K1489" i="1" a="1"/>
  <c r="K1489" i="1" s="1"/>
  <c r="O1489" i="1" s="1"/>
  <c r="K1490" i="1" a="1"/>
  <c r="K1490" i="1" s="1"/>
  <c r="O1490" i="1" s="1"/>
  <c r="K1491" i="1" a="1"/>
  <c r="K1491" i="1" s="1"/>
  <c r="O1491" i="1" s="1"/>
  <c r="K1492" i="1" a="1"/>
  <c r="K1492" i="1" s="1"/>
  <c r="O1492" i="1" s="1"/>
  <c r="K1493" i="1" a="1"/>
  <c r="K1493" i="1" s="1"/>
  <c r="O1493" i="1" s="1"/>
  <c r="K1494" i="1" a="1"/>
  <c r="K1494" i="1" s="1"/>
  <c r="O1494" i="1" s="1"/>
  <c r="K1495" i="1" a="1"/>
  <c r="K1495" i="1" s="1"/>
  <c r="O1495" i="1" s="1"/>
  <c r="K1496" i="1" a="1"/>
  <c r="K1496" i="1" s="1"/>
  <c r="O1496" i="1" s="1"/>
  <c r="K1497" i="1" a="1"/>
  <c r="K1497" i="1" s="1"/>
  <c r="O1497" i="1" s="1"/>
  <c r="K1498" i="1" a="1"/>
  <c r="K1498" i="1" s="1"/>
  <c r="O1498" i="1" s="1"/>
  <c r="K1499" i="1" a="1"/>
  <c r="K1499" i="1" s="1"/>
  <c r="O1499" i="1" s="1"/>
  <c r="K1500" i="1" a="1"/>
  <c r="K1500" i="1" s="1"/>
  <c r="O1500" i="1" s="1"/>
  <c r="K1501" i="1" a="1"/>
  <c r="K1501" i="1" s="1"/>
  <c r="O1501" i="1" s="1"/>
  <c r="K1502" i="1" a="1"/>
  <c r="K1502" i="1" s="1"/>
  <c r="O1502" i="1" s="1"/>
  <c r="K1503" i="1" a="1"/>
  <c r="K1503" i="1" s="1"/>
  <c r="O1503" i="1" s="1"/>
  <c r="K1504" i="1" a="1"/>
  <c r="K1504" i="1" s="1"/>
  <c r="O1504" i="1" s="1"/>
  <c r="K1505" i="1" a="1"/>
  <c r="K1505" i="1" s="1"/>
  <c r="O1505" i="1" s="1"/>
  <c r="K1506" i="1" a="1"/>
  <c r="K1506" i="1" s="1"/>
  <c r="O1506" i="1" s="1"/>
  <c r="K1507" i="1" a="1"/>
  <c r="K1507" i="1" s="1"/>
  <c r="O1507" i="1" s="1"/>
  <c r="K1508" i="1" a="1"/>
  <c r="K1508" i="1" s="1"/>
  <c r="O1508" i="1" s="1"/>
  <c r="K1509" i="1" a="1"/>
  <c r="K1509" i="1" s="1"/>
  <c r="O1509" i="1" s="1"/>
  <c r="K1510" i="1" a="1"/>
  <c r="K1510" i="1" s="1"/>
  <c r="O1510" i="1" s="1"/>
  <c r="K1511" i="1" a="1"/>
  <c r="K1511" i="1" s="1"/>
  <c r="O1511" i="1" s="1"/>
  <c r="K1512" i="1" a="1"/>
  <c r="K1512" i="1" s="1"/>
  <c r="O1512" i="1" s="1"/>
  <c r="K1513" i="1" a="1"/>
  <c r="K1513" i="1" s="1"/>
  <c r="O1513" i="1" s="1"/>
  <c r="K1514" i="1" a="1"/>
  <c r="K1514" i="1" s="1"/>
  <c r="K1515" i="1" a="1"/>
  <c r="K1515" i="1" s="1"/>
  <c r="O1515" i="1" s="1"/>
  <c r="K1516" i="1" a="1"/>
  <c r="K1516" i="1" s="1"/>
  <c r="O1516" i="1" s="1"/>
  <c r="K1517" i="1" a="1"/>
  <c r="K1517" i="1" s="1"/>
  <c r="O1517" i="1" s="1"/>
  <c r="K1518" i="1" a="1"/>
  <c r="K1518" i="1" s="1"/>
  <c r="O1518" i="1" s="1"/>
  <c r="K1519" i="1" a="1"/>
  <c r="K1519" i="1" s="1"/>
  <c r="O1519" i="1" s="1"/>
  <c r="K1520" i="1" a="1"/>
  <c r="K1520" i="1" s="1"/>
  <c r="O1520" i="1" s="1"/>
  <c r="K1521" i="1" a="1"/>
  <c r="K1521" i="1" s="1"/>
  <c r="O1521" i="1" s="1"/>
  <c r="K1522" i="1" a="1"/>
  <c r="K1522" i="1" s="1"/>
  <c r="O1522" i="1" s="1"/>
  <c r="K1523" i="1" a="1"/>
  <c r="K1523" i="1" s="1"/>
  <c r="O1523" i="1" s="1"/>
  <c r="K1524" i="1" a="1"/>
  <c r="K1524" i="1" s="1"/>
  <c r="O1524" i="1" s="1"/>
  <c r="K1525" i="1" a="1"/>
  <c r="K1525" i="1" s="1"/>
  <c r="O1525" i="1" s="1"/>
  <c r="K1526" i="1" a="1"/>
  <c r="K1526" i="1" s="1"/>
  <c r="O1526" i="1" s="1"/>
  <c r="K1527" i="1" a="1"/>
  <c r="K1527" i="1" s="1"/>
  <c r="O1527" i="1" s="1"/>
  <c r="K1528" i="1" a="1"/>
  <c r="K1528" i="1" s="1"/>
  <c r="O1528" i="1" s="1"/>
  <c r="K1529" i="1" a="1"/>
  <c r="K1529" i="1" s="1"/>
  <c r="O1529" i="1" s="1"/>
  <c r="K1530" i="1" a="1"/>
  <c r="K1530" i="1" s="1"/>
  <c r="O1530" i="1" s="1"/>
  <c r="K1531" i="1" a="1"/>
  <c r="K1531" i="1" s="1"/>
  <c r="O1531" i="1" s="1"/>
  <c r="K1532" i="1" a="1"/>
  <c r="K1532" i="1" s="1"/>
  <c r="O1532" i="1" s="1"/>
  <c r="K1533" i="1" a="1"/>
  <c r="K1533" i="1" s="1"/>
  <c r="O1533" i="1" s="1"/>
  <c r="K1534" i="1" a="1"/>
  <c r="K1534" i="1" s="1"/>
  <c r="O1534" i="1" s="1"/>
  <c r="K1535" i="1" a="1"/>
  <c r="K1535" i="1" s="1"/>
  <c r="O1535" i="1" s="1"/>
  <c r="K1536" i="1" a="1"/>
  <c r="K1536" i="1" s="1"/>
  <c r="O1536" i="1" s="1"/>
  <c r="K1537" i="1" a="1"/>
  <c r="K1537" i="1" s="1"/>
  <c r="O1537" i="1" s="1"/>
  <c r="K1538" i="1" a="1"/>
  <c r="K1538" i="1" s="1"/>
  <c r="O1538" i="1" s="1"/>
  <c r="K1539" i="1" a="1"/>
  <c r="K1539" i="1" s="1"/>
  <c r="O1539" i="1" s="1"/>
  <c r="K1540" i="1" a="1"/>
  <c r="K1540" i="1" s="1"/>
  <c r="O1540" i="1" s="1"/>
  <c r="K1541" i="1" a="1"/>
  <c r="K1541" i="1" s="1"/>
  <c r="O1541" i="1" s="1"/>
  <c r="K1542" i="1" a="1"/>
  <c r="K1542" i="1" s="1"/>
  <c r="O1542" i="1" s="1"/>
  <c r="K1543" i="1" a="1"/>
  <c r="K1543" i="1" s="1"/>
  <c r="O1543" i="1" s="1"/>
  <c r="K1544" i="1" a="1"/>
  <c r="K1544" i="1" s="1"/>
  <c r="O1544" i="1" s="1"/>
  <c r="K1545" i="1" a="1"/>
  <c r="K1545" i="1" s="1"/>
  <c r="O1545" i="1" s="1"/>
  <c r="K1546" i="1" a="1"/>
  <c r="K1546" i="1" s="1"/>
  <c r="O1546" i="1" s="1"/>
  <c r="K1547" i="1" a="1"/>
  <c r="K1547" i="1" s="1"/>
  <c r="O1547" i="1" s="1"/>
  <c r="K1548" i="1" a="1"/>
  <c r="K1548" i="1" s="1"/>
  <c r="O1548" i="1" s="1"/>
  <c r="K1549" i="1" a="1"/>
  <c r="K1549" i="1" s="1"/>
  <c r="O1549" i="1" s="1"/>
  <c r="K1550" i="1" a="1"/>
  <c r="K1550" i="1" s="1"/>
  <c r="O1550" i="1" s="1"/>
  <c r="K1551" i="1" a="1"/>
  <c r="K1551" i="1" s="1"/>
  <c r="O1551" i="1" s="1"/>
  <c r="K1552" i="1" a="1"/>
  <c r="K1552" i="1" s="1"/>
  <c r="O1552" i="1" s="1"/>
  <c r="K1553" i="1" a="1"/>
  <c r="K1553" i="1" s="1"/>
  <c r="O1553" i="1" s="1"/>
  <c r="K1554" i="1" a="1"/>
  <c r="K1554" i="1" s="1"/>
  <c r="O1554" i="1" s="1"/>
  <c r="K1555" i="1" a="1"/>
  <c r="K1555" i="1" s="1"/>
  <c r="O1555" i="1" s="1"/>
  <c r="K1556" i="1" a="1"/>
  <c r="K1556" i="1" s="1"/>
  <c r="O1556" i="1" s="1"/>
  <c r="K1557" i="1" a="1"/>
  <c r="K1557" i="1" s="1"/>
  <c r="O1557" i="1" s="1"/>
  <c r="K1558" i="1" a="1"/>
  <c r="K1558" i="1" s="1"/>
  <c r="O1558" i="1" s="1"/>
  <c r="K1559" i="1" a="1"/>
  <c r="K1559" i="1" s="1"/>
  <c r="O1559" i="1" s="1"/>
  <c r="K1560" i="1" a="1"/>
  <c r="K1560" i="1" s="1"/>
  <c r="O1560" i="1" s="1"/>
  <c r="K1561" i="1" a="1"/>
  <c r="K1561" i="1" s="1"/>
  <c r="O1561" i="1" s="1"/>
  <c r="K1562" i="1" a="1"/>
  <c r="K1562" i="1" s="1"/>
  <c r="O1562" i="1" s="1"/>
  <c r="K1563" i="1" a="1"/>
  <c r="K1563" i="1" s="1"/>
  <c r="O1563" i="1" s="1"/>
  <c r="K1564" i="1" a="1"/>
  <c r="K1564" i="1" s="1"/>
  <c r="O1564" i="1" s="1"/>
  <c r="K1565" i="1" a="1"/>
  <c r="K1565" i="1" s="1"/>
  <c r="O1565" i="1" s="1"/>
  <c r="K1566" i="1" a="1"/>
  <c r="K1566" i="1" s="1"/>
  <c r="O1566" i="1" s="1"/>
  <c r="K1567" i="1" a="1"/>
  <c r="K1567" i="1" s="1"/>
  <c r="O1567" i="1" s="1"/>
  <c r="K1568" i="1" a="1"/>
  <c r="K1568" i="1" s="1"/>
  <c r="O1568" i="1" s="1"/>
  <c r="K1569" i="1" a="1"/>
  <c r="K1569" i="1" s="1"/>
  <c r="O1569" i="1" s="1"/>
  <c r="K1570" i="1" a="1"/>
  <c r="K1570" i="1" s="1"/>
  <c r="O1570" i="1" s="1"/>
  <c r="K1571" i="1" a="1"/>
  <c r="K1571" i="1" s="1"/>
  <c r="O1571" i="1" s="1"/>
  <c r="K1572" i="1" a="1"/>
  <c r="K1572" i="1" s="1"/>
  <c r="O1572" i="1" s="1"/>
  <c r="K1573" i="1" a="1"/>
  <c r="K1573" i="1" s="1"/>
  <c r="O1573" i="1" s="1"/>
  <c r="K1574" i="1" a="1"/>
  <c r="K1574" i="1" s="1"/>
  <c r="O1574" i="1" s="1"/>
  <c r="K1575" i="1" a="1"/>
  <c r="K1575" i="1" s="1"/>
  <c r="O1575" i="1" s="1"/>
  <c r="K1576" i="1" a="1"/>
  <c r="K1576" i="1" s="1"/>
  <c r="O1576" i="1" s="1"/>
  <c r="K1577" i="1" a="1"/>
  <c r="K1577" i="1" s="1"/>
  <c r="O1577" i="1" s="1"/>
  <c r="K1578" i="1" a="1"/>
  <c r="K1578" i="1" s="1"/>
  <c r="O1578" i="1" s="1"/>
  <c r="K1579" i="1" a="1"/>
  <c r="K1579" i="1" s="1"/>
  <c r="O1579" i="1" s="1"/>
  <c r="K1580" i="1" a="1"/>
  <c r="K1580" i="1" s="1"/>
  <c r="O1580" i="1" s="1"/>
  <c r="K1581" i="1" a="1"/>
  <c r="K1581" i="1" s="1"/>
  <c r="O1581" i="1" s="1"/>
  <c r="K1582" i="1" a="1"/>
  <c r="K1582" i="1" s="1"/>
  <c r="O1582" i="1" s="1"/>
  <c r="K1583" i="1" a="1"/>
  <c r="K1583" i="1" s="1"/>
  <c r="O1583" i="1" s="1"/>
  <c r="K1584" i="1" a="1"/>
  <c r="K1584" i="1" s="1"/>
  <c r="O1584" i="1" s="1"/>
  <c r="K1585" i="1" a="1"/>
  <c r="K1585" i="1"/>
  <c r="O1585" i="1" s="1"/>
  <c r="K1586" i="1" a="1"/>
  <c r="K1586" i="1" s="1"/>
  <c r="O1586" i="1" s="1"/>
  <c r="K1587" i="1" a="1"/>
  <c r="K1587" i="1" s="1"/>
  <c r="O1587" i="1" s="1"/>
  <c r="K1588" i="1" a="1"/>
  <c r="K1588" i="1" s="1"/>
  <c r="O1588" i="1" s="1"/>
  <c r="K1589" i="1" a="1"/>
  <c r="K1589" i="1" s="1"/>
  <c r="O1589" i="1" s="1"/>
  <c r="K1590" i="1" a="1"/>
  <c r="K1590" i="1" s="1"/>
  <c r="O1590" i="1" s="1"/>
  <c r="K1591" i="1" a="1"/>
  <c r="K1591" i="1" s="1"/>
  <c r="O1591" i="1" s="1"/>
  <c r="K1592" i="1" a="1"/>
  <c r="K1592" i="1"/>
  <c r="O1592" i="1" s="1"/>
  <c r="K1593" i="1" a="1"/>
  <c r="K1593" i="1" s="1"/>
  <c r="O1593" i="1" s="1"/>
  <c r="K1594" i="1" a="1"/>
  <c r="K1594" i="1" s="1"/>
  <c r="O1594" i="1" s="1"/>
  <c r="K1595" i="1" a="1"/>
  <c r="K1595" i="1" s="1"/>
  <c r="O1595" i="1" s="1"/>
  <c r="K1596" i="1" a="1"/>
  <c r="K1596" i="1" s="1"/>
  <c r="O1596" i="1" s="1"/>
  <c r="K1597" i="1" a="1"/>
  <c r="K1597" i="1" s="1"/>
  <c r="O1597" i="1" s="1"/>
  <c r="K1598" i="1" a="1"/>
  <c r="K1598" i="1" s="1"/>
  <c r="O1598" i="1" s="1"/>
  <c r="K1599" i="1" a="1"/>
  <c r="K1599" i="1" s="1"/>
  <c r="O1599" i="1" s="1"/>
  <c r="K1600" i="1" a="1"/>
  <c r="K1600" i="1" s="1"/>
  <c r="O1600" i="1" s="1"/>
  <c r="K1601" i="1" a="1"/>
  <c r="K1601" i="1" s="1"/>
  <c r="O1601" i="1" s="1"/>
  <c r="K1602" i="1" a="1"/>
  <c r="K1602" i="1" s="1"/>
  <c r="O1602" i="1" s="1"/>
  <c r="K1603" i="1" a="1"/>
  <c r="K1603" i="1" s="1"/>
  <c r="O1603" i="1" s="1"/>
  <c r="K1604" i="1" a="1"/>
  <c r="K1604" i="1" s="1"/>
  <c r="O1604" i="1" s="1"/>
  <c r="K1605" i="1" a="1"/>
  <c r="K1605" i="1" s="1"/>
  <c r="O1605" i="1" s="1"/>
  <c r="K1606" i="1" a="1"/>
  <c r="K1606" i="1" s="1"/>
  <c r="O1606" i="1" s="1"/>
  <c r="K1607" i="1" a="1"/>
  <c r="K1607" i="1" s="1"/>
  <c r="O1607" i="1" s="1"/>
  <c r="K1608" i="1" a="1"/>
  <c r="K1608" i="1" s="1"/>
  <c r="O1608" i="1" s="1"/>
  <c r="K1609" i="1" a="1"/>
  <c r="K1609" i="1" s="1"/>
  <c r="O1609" i="1" s="1"/>
  <c r="K1610" i="1" a="1"/>
  <c r="K1610" i="1" s="1"/>
  <c r="O1610" i="1" s="1"/>
  <c r="K1611" i="1" a="1"/>
  <c r="K1611" i="1" s="1"/>
  <c r="O1611" i="1" s="1"/>
  <c r="K1612" i="1" a="1"/>
  <c r="K1612" i="1" s="1"/>
  <c r="O1612" i="1" s="1"/>
  <c r="K1613" i="1" a="1"/>
  <c r="K1613" i="1" s="1"/>
  <c r="O1613" i="1" s="1"/>
  <c r="K1614" i="1" a="1"/>
  <c r="K1614" i="1" s="1"/>
  <c r="O1614" i="1" s="1"/>
  <c r="K1615" i="1" a="1"/>
  <c r="K1615" i="1" s="1"/>
  <c r="O1615" i="1" s="1"/>
  <c r="K1616" i="1" a="1"/>
  <c r="K1616" i="1" s="1"/>
  <c r="O1616" i="1" s="1"/>
  <c r="K1617" i="1" a="1"/>
  <c r="K1617" i="1" s="1"/>
  <c r="O1617" i="1" s="1"/>
  <c r="K1618" i="1" a="1"/>
  <c r="K1618" i="1" s="1"/>
  <c r="O1618" i="1" s="1"/>
  <c r="K1619" i="1" a="1"/>
  <c r="K1619" i="1" s="1"/>
  <c r="O1619" i="1" s="1"/>
  <c r="K1620" i="1" a="1"/>
  <c r="K1620" i="1" s="1"/>
  <c r="O1620" i="1" s="1"/>
  <c r="K1621" i="1" a="1"/>
  <c r="K1621" i="1" s="1"/>
  <c r="O1621" i="1" s="1"/>
  <c r="K1622" i="1" a="1"/>
  <c r="K1622" i="1" s="1"/>
  <c r="O1622" i="1" s="1"/>
  <c r="K1623" i="1" a="1"/>
  <c r="K1623" i="1" s="1"/>
  <c r="O1623" i="1" s="1"/>
  <c r="K1624" i="1" a="1"/>
  <c r="K1624" i="1" s="1"/>
  <c r="O1624" i="1" s="1"/>
  <c r="K1625" i="1" a="1"/>
  <c r="K1625" i="1" s="1"/>
  <c r="O1625" i="1" s="1"/>
  <c r="K1626" i="1" a="1"/>
  <c r="K1626" i="1" s="1"/>
  <c r="O1626" i="1" s="1"/>
  <c r="K1627" i="1" a="1"/>
  <c r="K1627" i="1" s="1"/>
  <c r="O1627" i="1" s="1"/>
  <c r="K1628" i="1" a="1"/>
  <c r="K1628" i="1" s="1"/>
  <c r="O1628" i="1" s="1"/>
  <c r="K1629" i="1" a="1"/>
  <c r="K1629" i="1" s="1"/>
  <c r="O1629" i="1" s="1"/>
  <c r="K1630" i="1" a="1"/>
  <c r="K1630" i="1" s="1"/>
  <c r="O1630" i="1" s="1"/>
  <c r="K1631" i="1" a="1"/>
  <c r="K1631" i="1" s="1"/>
  <c r="O1631" i="1" s="1"/>
  <c r="K1632" i="1" a="1"/>
  <c r="K1632" i="1" s="1"/>
  <c r="O1632" i="1" s="1"/>
  <c r="K1633" i="1" a="1"/>
  <c r="K1633" i="1" s="1"/>
  <c r="O1633" i="1" s="1"/>
  <c r="K1634" i="1" a="1"/>
  <c r="K1634" i="1" s="1"/>
  <c r="O1634" i="1" s="1"/>
  <c r="K1635" i="1" a="1"/>
  <c r="K1635" i="1" s="1"/>
  <c r="O1635" i="1" s="1"/>
  <c r="K1636" i="1" a="1"/>
  <c r="K1636" i="1" s="1"/>
  <c r="O1636" i="1" s="1"/>
  <c r="K1637" i="1" a="1"/>
  <c r="K1637" i="1" s="1"/>
  <c r="O1637" i="1" s="1"/>
  <c r="K1638" i="1" a="1"/>
  <c r="K1638" i="1" s="1"/>
  <c r="O1638" i="1" s="1"/>
  <c r="K1639" i="1" a="1"/>
  <c r="K1639" i="1" s="1"/>
  <c r="O1639" i="1" s="1"/>
  <c r="K1640" i="1" a="1"/>
  <c r="K1640" i="1" s="1"/>
  <c r="O1640" i="1" s="1"/>
  <c r="K1641" i="1" a="1"/>
  <c r="K1641" i="1" s="1"/>
  <c r="O1641" i="1" s="1"/>
  <c r="K1642" i="1" a="1"/>
  <c r="K1642" i="1" s="1"/>
  <c r="O1642" i="1" s="1"/>
  <c r="K1643" i="1" a="1"/>
  <c r="K1643" i="1" s="1"/>
  <c r="O1643" i="1" s="1"/>
  <c r="K1644" i="1" a="1"/>
  <c r="K1644" i="1" s="1"/>
  <c r="O1644" i="1" s="1"/>
  <c r="K1645" i="1" a="1"/>
  <c r="K1645" i="1" s="1"/>
  <c r="O1645" i="1" s="1"/>
  <c r="K1646" i="1" a="1"/>
  <c r="K1646" i="1" s="1"/>
  <c r="O1646" i="1" s="1"/>
  <c r="K1647" i="1" a="1"/>
  <c r="K1647" i="1" s="1"/>
  <c r="O1647" i="1" s="1"/>
  <c r="K1648" i="1" a="1"/>
  <c r="K1648" i="1" s="1"/>
  <c r="O1648" i="1" s="1"/>
  <c r="K1649" i="1" a="1"/>
  <c r="K1649" i="1" s="1"/>
  <c r="O1649" i="1" s="1"/>
  <c r="K1650" i="1" a="1"/>
  <c r="K1650" i="1" s="1"/>
  <c r="O1650" i="1" s="1"/>
  <c r="K1651" i="1" a="1"/>
  <c r="K1651" i="1" s="1"/>
  <c r="O1651" i="1" s="1"/>
  <c r="K1652" i="1" a="1"/>
  <c r="K1652" i="1" s="1"/>
  <c r="O1652" i="1" s="1"/>
  <c r="K1653" i="1" a="1"/>
  <c r="K1653" i="1" s="1"/>
  <c r="O1653" i="1" s="1"/>
  <c r="K1654" i="1" a="1"/>
  <c r="K1654" i="1" s="1"/>
  <c r="O1654" i="1" s="1"/>
  <c r="K1655" i="1" a="1"/>
  <c r="K1655" i="1" s="1"/>
  <c r="O1655" i="1" s="1"/>
  <c r="K1656" i="1" a="1"/>
  <c r="K1656" i="1" s="1"/>
  <c r="O1656" i="1" s="1"/>
  <c r="K1657" i="1" a="1"/>
  <c r="K1657" i="1" s="1"/>
  <c r="O1657" i="1" s="1"/>
  <c r="K1658" i="1" a="1"/>
  <c r="K1658" i="1" s="1"/>
  <c r="O1658" i="1" s="1"/>
  <c r="K1659" i="1" a="1"/>
  <c r="K1659" i="1" s="1"/>
  <c r="O1659" i="1" s="1"/>
  <c r="K1660" i="1" a="1"/>
  <c r="K1660" i="1" s="1"/>
  <c r="O1660" i="1" s="1"/>
  <c r="K1661" i="1" a="1"/>
  <c r="K1661" i="1" s="1"/>
  <c r="O1661" i="1" s="1"/>
  <c r="K1662" i="1" a="1"/>
  <c r="K1662" i="1" s="1"/>
  <c r="O1662" i="1" s="1"/>
  <c r="K1663" i="1" a="1"/>
  <c r="K1663" i="1" s="1"/>
  <c r="O1663" i="1" s="1"/>
  <c r="K1664" i="1" a="1"/>
  <c r="K1664" i="1" s="1"/>
  <c r="O1664" i="1" s="1"/>
  <c r="K1665" i="1" a="1"/>
  <c r="K1665" i="1" s="1"/>
  <c r="O1665" i="1" s="1"/>
  <c r="K1666" i="1" a="1"/>
  <c r="K1666" i="1" s="1"/>
  <c r="O1666" i="1" s="1"/>
  <c r="K1667" i="1" a="1"/>
  <c r="K1667" i="1" s="1"/>
  <c r="O1667" i="1" s="1"/>
  <c r="K1668" i="1" a="1"/>
  <c r="K1668" i="1" s="1"/>
  <c r="O1668" i="1" s="1"/>
  <c r="K1669" i="1" a="1"/>
  <c r="K1669" i="1" s="1"/>
  <c r="O1669" i="1" s="1"/>
  <c r="K1670" i="1" a="1"/>
  <c r="K1670" i="1" s="1"/>
  <c r="O1670" i="1" s="1"/>
  <c r="K1671" i="1" a="1"/>
  <c r="K1671" i="1" s="1"/>
  <c r="O1671" i="1" s="1"/>
  <c r="K1672" i="1" a="1"/>
  <c r="K1672" i="1" s="1"/>
  <c r="O1672" i="1" s="1"/>
  <c r="K1673" i="1" a="1"/>
  <c r="K1673" i="1" s="1"/>
  <c r="O1673" i="1" s="1"/>
  <c r="K1674" i="1" a="1"/>
  <c r="K1674" i="1" s="1"/>
  <c r="O1674" i="1" s="1"/>
  <c r="K1675" i="1" a="1"/>
  <c r="K1675" i="1" s="1"/>
  <c r="O1675" i="1" s="1"/>
  <c r="K1676" i="1" a="1"/>
  <c r="K1676" i="1" s="1"/>
  <c r="O1676" i="1" s="1"/>
  <c r="K1677" i="1" a="1"/>
  <c r="K1677" i="1" s="1"/>
  <c r="O1677" i="1" s="1"/>
  <c r="K1678" i="1" a="1"/>
  <c r="K1678" i="1" s="1"/>
  <c r="K1679" i="1" a="1"/>
  <c r="K1679" i="1" s="1"/>
  <c r="O1679" i="1" s="1"/>
  <c r="K1680" i="1" a="1"/>
  <c r="K1680" i="1" s="1"/>
  <c r="O1680" i="1" s="1"/>
  <c r="K1681" i="1" a="1"/>
  <c r="K1681" i="1" s="1"/>
  <c r="O1681" i="1" s="1"/>
  <c r="K1682" i="1" a="1"/>
  <c r="K1682" i="1" s="1"/>
  <c r="O1682" i="1" s="1"/>
  <c r="K1683" i="1" a="1"/>
  <c r="K1683" i="1" s="1"/>
  <c r="O1683" i="1" s="1"/>
  <c r="K1684" i="1" a="1"/>
  <c r="K1684" i="1" s="1"/>
  <c r="O1684" i="1" s="1"/>
  <c r="K1685" i="1" a="1"/>
  <c r="K1685" i="1" s="1"/>
  <c r="O1685" i="1" s="1"/>
  <c r="K1686" i="1" a="1"/>
  <c r="K1686" i="1" s="1"/>
  <c r="O1686" i="1" s="1"/>
  <c r="K1687" i="1" a="1"/>
  <c r="K1687" i="1" s="1"/>
  <c r="K1688" i="1" a="1"/>
  <c r="K1688" i="1" s="1"/>
  <c r="O1688" i="1" s="1"/>
  <c r="K1689" i="1" a="1"/>
  <c r="K1689" i="1" s="1"/>
  <c r="O1689" i="1" s="1"/>
  <c r="K1690" i="1" a="1"/>
  <c r="K1690" i="1" s="1"/>
  <c r="O1690" i="1" s="1"/>
  <c r="K1691" i="1" a="1"/>
  <c r="K1691" i="1" s="1"/>
  <c r="O1691" i="1" s="1"/>
  <c r="K1692" i="1" a="1"/>
  <c r="K1692" i="1" s="1"/>
  <c r="O1692" i="1" s="1"/>
  <c r="K1693" i="1" a="1"/>
  <c r="K1693" i="1" s="1"/>
  <c r="O1693" i="1" s="1"/>
  <c r="K1694" i="1" a="1"/>
  <c r="K1694" i="1" s="1"/>
  <c r="O1694" i="1" s="1"/>
  <c r="K1695" i="1" a="1"/>
  <c r="K1695" i="1" s="1"/>
  <c r="O1695" i="1" s="1"/>
  <c r="K1696" i="1" a="1"/>
  <c r="K1696" i="1" s="1"/>
  <c r="O1696" i="1" s="1"/>
  <c r="K1697" i="1" a="1"/>
  <c r="K1697" i="1" s="1"/>
  <c r="O1697" i="1" s="1"/>
  <c r="K1698" i="1" a="1"/>
  <c r="K1698" i="1" s="1"/>
  <c r="O1698" i="1" s="1"/>
  <c r="K1699" i="1" a="1"/>
  <c r="K1699" i="1" s="1"/>
  <c r="O1699" i="1" s="1"/>
  <c r="K1700" i="1" a="1"/>
  <c r="K1700" i="1"/>
  <c r="O1700" i="1" s="1"/>
  <c r="K1701" i="1" a="1"/>
  <c r="K1701" i="1" s="1"/>
  <c r="O1701" i="1" s="1"/>
  <c r="K1702" i="1" a="1"/>
  <c r="K1702" i="1" s="1"/>
  <c r="O1702" i="1" s="1"/>
  <c r="K1703" i="1" a="1"/>
  <c r="K1703" i="1" s="1"/>
  <c r="O1703" i="1" s="1"/>
  <c r="K1704" i="1" a="1"/>
  <c r="K1704" i="1" s="1"/>
  <c r="O1704" i="1" s="1"/>
  <c r="K1705" i="1" a="1"/>
  <c r="K1705" i="1" s="1"/>
  <c r="O1705" i="1" s="1"/>
  <c r="K1706" i="1" a="1"/>
  <c r="K1706" i="1" s="1"/>
  <c r="O1706" i="1" s="1"/>
  <c r="K1707" i="1" a="1"/>
  <c r="K1707" i="1" s="1"/>
  <c r="O1707" i="1" s="1"/>
  <c r="K1708" i="1" a="1"/>
  <c r="K1708" i="1" s="1"/>
  <c r="O1708" i="1" s="1"/>
  <c r="K1709" i="1" a="1"/>
  <c r="K1709" i="1" s="1"/>
  <c r="K1710" i="1" a="1"/>
  <c r="K1710" i="1" s="1"/>
  <c r="O1710" i="1" s="1"/>
  <c r="K1711" i="1" a="1"/>
  <c r="K1711" i="1" s="1"/>
  <c r="O1711" i="1" s="1"/>
  <c r="K1712" i="1" a="1"/>
  <c r="K1712" i="1" s="1"/>
  <c r="O1712" i="1" s="1"/>
  <c r="K1713" i="1" a="1"/>
  <c r="K1713" i="1" s="1"/>
  <c r="O1713" i="1" s="1"/>
  <c r="K1714" i="1" a="1"/>
  <c r="K1714" i="1" s="1"/>
  <c r="O1714" i="1" s="1"/>
  <c r="K1715" i="1" a="1"/>
  <c r="K1715" i="1" s="1"/>
  <c r="O1715" i="1" s="1"/>
  <c r="K1716" i="1" a="1"/>
  <c r="K1716" i="1" s="1"/>
  <c r="O1716" i="1" s="1"/>
  <c r="K1717" i="1" a="1"/>
  <c r="K1717" i="1" s="1"/>
  <c r="O1717" i="1" s="1"/>
  <c r="K1718" i="1" a="1"/>
  <c r="K1718" i="1" s="1"/>
  <c r="O1718" i="1" s="1"/>
  <c r="K1719" i="1" a="1"/>
  <c r="K1719" i="1" s="1"/>
  <c r="O1719" i="1" s="1"/>
  <c r="K1720" i="1" a="1"/>
  <c r="K1720" i="1" s="1"/>
  <c r="O1720" i="1" s="1"/>
  <c r="K1721" i="1" a="1"/>
  <c r="K1721" i="1" s="1"/>
  <c r="O1721" i="1" s="1"/>
  <c r="K1722" i="1" a="1"/>
  <c r="K1722" i="1" s="1"/>
  <c r="O1722" i="1" s="1"/>
  <c r="K1723" i="1" a="1"/>
  <c r="K1723" i="1" s="1"/>
  <c r="O1723" i="1" s="1"/>
  <c r="K1724" i="1" a="1"/>
  <c r="K1724" i="1" s="1"/>
  <c r="O1724" i="1" s="1"/>
  <c r="K1725" i="1" a="1"/>
  <c r="K1725" i="1" s="1"/>
  <c r="O1725" i="1" s="1"/>
  <c r="K1726" i="1" a="1"/>
  <c r="K1726" i="1" s="1"/>
  <c r="O1726" i="1" s="1"/>
  <c r="K1727" i="1" a="1"/>
  <c r="K1727" i="1" s="1"/>
  <c r="O1727" i="1" s="1"/>
  <c r="K1728" i="1" a="1"/>
  <c r="K1728" i="1" s="1"/>
  <c r="O1728" i="1" s="1"/>
  <c r="K1729" i="1" a="1"/>
  <c r="K1729" i="1" s="1"/>
  <c r="O1729" i="1" s="1"/>
  <c r="K1730" i="1" a="1"/>
  <c r="K1730" i="1" s="1"/>
  <c r="O1730" i="1" s="1"/>
  <c r="K1731" i="1" a="1"/>
  <c r="K1731" i="1" s="1"/>
  <c r="O1731" i="1" s="1"/>
  <c r="K1732" i="1" a="1"/>
  <c r="K1732" i="1" s="1"/>
  <c r="O1732" i="1" s="1"/>
  <c r="K1733" i="1" a="1"/>
  <c r="K1733" i="1" s="1"/>
  <c r="O1733" i="1" s="1"/>
  <c r="K1734" i="1" a="1"/>
  <c r="K1734" i="1" s="1"/>
  <c r="O1734" i="1" s="1"/>
  <c r="K1735" i="1" a="1"/>
  <c r="K1735" i="1" s="1"/>
  <c r="O1735" i="1" s="1"/>
  <c r="K1736" i="1" a="1"/>
  <c r="K1736" i="1" s="1"/>
  <c r="O1736" i="1" s="1"/>
  <c r="K1737" i="1" a="1"/>
  <c r="K1737" i="1" s="1"/>
  <c r="O1737" i="1" s="1"/>
  <c r="K1738" i="1" a="1"/>
  <c r="K1738" i="1" s="1"/>
  <c r="O1738" i="1" s="1"/>
  <c r="K1739" i="1" a="1"/>
  <c r="K1739" i="1" s="1"/>
  <c r="O1739" i="1" s="1"/>
  <c r="K1740" i="1" a="1"/>
  <c r="K1740" i="1" s="1"/>
  <c r="O1740" i="1" s="1"/>
  <c r="K1741" i="1" a="1"/>
  <c r="K1741" i="1" s="1"/>
  <c r="O1741" i="1" s="1"/>
  <c r="K1742" i="1" a="1"/>
  <c r="K1742" i="1" s="1"/>
  <c r="O1742" i="1" s="1"/>
  <c r="K1743" i="1" a="1"/>
  <c r="K1743" i="1" s="1"/>
  <c r="O1743" i="1" s="1"/>
  <c r="K1744" i="1" a="1"/>
  <c r="K1744" i="1" s="1"/>
  <c r="O1744" i="1" s="1"/>
  <c r="K1745" i="1" a="1"/>
  <c r="K1745" i="1" s="1"/>
  <c r="O1745" i="1" s="1"/>
  <c r="K1746" i="1" a="1"/>
  <c r="K1746" i="1" s="1"/>
  <c r="O1746" i="1" s="1"/>
  <c r="K1747" i="1" a="1"/>
  <c r="K1747" i="1" s="1"/>
  <c r="O1747" i="1" s="1"/>
  <c r="K1748" i="1" a="1"/>
  <c r="K1748" i="1" s="1"/>
  <c r="O1748" i="1" s="1"/>
  <c r="K1749" i="1" a="1"/>
  <c r="K1749" i="1" s="1"/>
  <c r="O1749" i="1" s="1"/>
  <c r="K1750" i="1" a="1"/>
  <c r="K1750" i="1" s="1"/>
  <c r="O1750" i="1" s="1"/>
  <c r="K1751" i="1" a="1"/>
  <c r="K1751" i="1" s="1"/>
  <c r="O1751" i="1" s="1"/>
  <c r="K1752" i="1" a="1"/>
  <c r="K1752" i="1" s="1"/>
  <c r="O1752" i="1" s="1"/>
  <c r="K1753" i="1" a="1"/>
  <c r="K1753" i="1" s="1"/>
  <c r="O1753" i="1" s="1"/>
  <c r="K1754" i="1" a="1"/>
  <c r="K1754" i="1" s="1"/>
  <c r="O1754" i="1" s="1"/>
  <c r="K1755" i="1" a="1"/>
  <c r="K1755" i="1" s="1"/>
  <c r="O1755" i="1" s="1"/>
  <c r="K1756" i="1" a="1"/>
  <c r="K1756" i="1" s="1"/>
  <c r="O1756" i="1" s="1"/>
  <c r="K1757" i="1" a="1"/>
  <c r="K1757" i="1" s="1"/>
  <c r="O1757" i="1" s="1"/>
  <c r="K1758" i="1" a="1"/>
  <c r="K1758" i="1" s="1"/>
  <c r="O1758" i="1" s="1"/>
  <c r="K1759" i="1" a="1"/>
  <c r="K1759" i="1" s="1"/>
  <c r="O1759" i="1" s="1"/>
  <c r="K1760" i="1" a="1"/>
  <c r="K1760" i="1" s="1"/>
  <c r="O1760" i="1" s="1"/>
  <c r="K1761" i="1" a="1"/>
  <c r="K1761" i="1" s="1"/>
  <c r="O1761" i="1" s="1"/>
  <c r="K1762" i="1" a="1"/>
  <c r="K1762" i="1" s="1"/>
  <c r="O1762" i="1" s="1"/>
  <c r="K1763" i="1" a="1"/>
  <c r="K1763" i="1" s="1"/>
  <c r="O1763" i="1" s="1"/>
  <c r="K1764" i="1" a="1"/>
  <c r="K1764" i="1" s="1"/>
  <c r="O1764" i="1" s="1"/>
  <c r="K1765" i="1" a="1"/>
  <c r="K1765" i="1" s="1"/>
  <c r="O1765" i="1" s="1"/>
  <c r="K1766" i="1" a="1"/>
  <c r="K1766" i="1" s="1"/>
  <c r="O1766" i="1" s="1"/>
  <c r="K1767" i="1" a="1"/>
  <c r="K1767" i="1" s="1"/>
  <c r="O1767" i="1" s="1"/>
  <c r="K1768" i="1" a="1"/>
  <c r="K1768" i="1" s="1"/>
  <c r="O1768" i="1" s="1"/>
  <c r="K1769" i="1" a="1"/>
  <c r="K1769" i="1" s="1"/>
  <c r="O1769" i="1" s="1"/>
  <c r="K1770" i="1" a="1"/>
  <c r="K1770" i="1" s="1"/>
  <c r="O1770" i="1" s="1"/>
  <c r="K1771" i="1" a="1"/>
  <c r="K1771" i="1" s="1"/>
  <c r="O1771" i="1" s="1"/>
  <c r="K1772" i="1" a="1"/>
  <c r="K1772" i="1" s="1"/>
  <c r="O1772" i="1" s="1"/>
  <c r="K1773" i="1" a="1"/>
  <c r="K1773" i="1" s="1"/>
  <c r="O1773" i="1" s="1"/>
  <c r="K1774" i="1" a="1"/>
  <c r="K1774" i="1" s="1"/>
  <c r="O1774" i="1" s="1"/>
  <c r="K1775" i="1" a="1"/>
  <c r="K1775" i="1" s="1"/>
  <c r="O1775" i="1" s="1"/>
  <c r="K1776" i="1" a="1"/>
  <c r="K1776" i="1" s="1"/>
  <c r="O1776" i="1" s="1"/>
  <c r="K1777" i="1" a="1"/>
  <c r="K1777" i="1" s="1"/>
  <c r="O1777" i="1" s="1"/>
  <c r="K1778" i="1" a="1"/>
  <c r="K1778" i="1" s="1"/>
  <c r="O1778" i="1" s="1"/>
  <c r="K1779" i="1" a="1"/>
  <c r="K1779" i="1" s="1"/>
  <c r="O1779" i="1" s="1"/>
  <c r="K1780" i="1" a="1"/>
  <c r="K1780" i="1" s="1"/>
  <c r="O1780" i="1" s="1"/>
  <c r="K1781" i="1" a="1"/>
  <c r="K1781" i="1" s="1"/>
  <c r="O1781" i="1" s="1"/>
  <c r="K1782" i="1" a="1"/>
  <c r="K1782" i="1" s="1"/>
  <c r="O1782" i="1" s="1"/>
  <c r="K1783" i="1" a="1"/>
  <c r="K1783" i="1" s="1"/>
  <c r="O1783" i="1" s="1"/>
  <c r="K1784" i="1" a="1"/>
  <c r="K1784" i="1" s="1"/>
  <c r="O1784" i="1" s="1"/>
  <c r="K1785" i="1" a="1"/>
  <c r="K1785" i="1" s="1"/>
  <c r="O1785" i="1" s="1"/>
  <c r="K1786" i="1" a="1"/>
  <c r="K1786" i="1" s="1"/>
  <c r="O1786" i="1" s="1"/>
  <c r="K1787" i="1" a="1"/>
  <c r="K1787" i="1" s="1"/>
  <c r="O1787" i="1" s="1"/>
  <c r="K1788" i="1" a="1"/>
  <c r="K1788" i="1" s="1"/>
  <c r="O1788" i="1" s="1"/>
  <c r="K1789" i="1" a="1"/>
  <c r="K1789" i="1" s="1"/>
  <c r="O1789" i="1" s="1"/>
  <c r="K1790" i="1" a="1"/>
  <c r="K1790" i="1" s="1"/>
  <c r="O1790" i="1" s="1"/>
  <c r="K1791" i="1" a="1"/>
  <c r="K1791" i="1" s="1"/>
  <c r="O1791" i="1" s="1"/>
  <c r="K1792" i="1" a="1"/>
  <c r="K1792" i="1" s="1"/>
  <c r="O1792" i="1" s="1"/>
  <c r="K1793" i="1" a="1"/>
  <c r="K1793" i="1" s="1"/>
  <c r="O1793" i="1" s="1"/>
  <c r="K1794" i="1" a="1"/>
  <c r="K1794" i="1" s="1"/>
  <c r="O1794" i="1" s="1"/>
  <c r="K1795" i="1" a="1"/>
  <c r="K1795" i="1" s="1"/>
  <c r="O1795" i="1" s="1"/>
  <c r="K1796" i="1" a="1"/>
  <c r="K1796" i="1" s="1"/>
  <c r="O1796" i="1" s="1"/>
  <c r="K1797" i="1" a="1"/>
  <c r="K1797" i="1" s="1"/>
  <c r="O1797" i="1" s="1"/>
  <c r="K1798" i="1" a="1"/>
  <c r="K1798" i="1" s="1"/>
  <c r="O1798" i="1" s="1"/>
  <c r="K1799" i="1" a="1"/>
  <c r="K1799" i="1" s="1"/>
  <c r="O1799" i="1" s="1"/>
  <c r="K1800" i="1" a="1"/>
  <c r="K1800" i="1" s="1"/>
  <c r="O1800" i="1" s="1"/>
  <c r="K1801" i="1" a="1"/>
  <c r="K1801" i="1" s="1"/>
  <c r="O1801" i="1" s="1"/>
  <c r="K1802" i="1" a="1"/>
  <c r="K1802" i="1" s="1"/>
  <c r="O1802" i="1" s="1"/>
  <c r="K1803" i="1" a="1"/>
  <c r="K1803" i="1" s="1"/>
  <c r="O1803" i="1" s="1"/>
  <c r="K1804" i="1" a="1"/>
  <c r="K1804" i="1" s="1"/>
  <c r="O1804" i="1" s="1"/>
  <c r="K1805" i="1" a="1"/>
  <c r="K1805" i="1" s="1"/>
  <c r="O1805" i="1" s="1"/>
  <c r="K1806" i="1" a="1"/>
  <c r="K1806" i="1" s="1"/>
  <c r="O1806" i="1" s="1"/>
  <c r="K1807" i="1" a="1"/>
  <c r="K1807" i="1" s="1"/>
  <c r="O1807" i="1" s="1"/>
  <c r="K1808" i="1" a="1"/>
  <c r="K1808" i="1" s="1"/>
  <c r="O1808" i="1" s="1"/>
  <c r="K1809" i="1" a="1"/>
  <c r="K1809" i="1" s="1"/>
  <c r="O1809" i="1" s="1"/>
  <c r="K1810" i="1" a="1"/>
  <c r="K1810" i="1" s="1"/>
  <c r="O1810" i="1" s="1"/>
  <c r="K1811" i="1" a="1"/>
  <c r="K1811" i="1" s="1"/>
  <c r="O1811" i="1" s="1"/>
  <c r="K1812" i="1" a="1"/>
  <c r="K1812" i="1" s="1"/>
  <c r="O1812" i="1" s="1"/>
  <c r="K1813" i="1" a="1"/>
  <c r="K1813" i="1" s="1"/>
  <c r="O1813" i="1" s="1"/>
  <c r="K1814" i="1" a="1"/>
  <c r="K1814" i="1" s="1"/>
  <c r="O1814" i="1" s="1"/>
  <c r="K1815" i="1" a="1"/>
  <c r="K1815" i="1" s="1"/>
  <c r="O1815" i="1" s="1"/>
  <c r="K1816" i="1" a="1"/>
  <c r="K1816" i="1" s="1"/>
  <c r="O1816" i="1" s="1"/>
  <c r="K1817" i="1" a="1"/>
  <c r="K1817" i="1" s="1"/>
  <c r="O1817" i="1" s="1"/>
  <c r="K1818" i="1" a="1"/>
  <c r="K1818" i="1" s="1"/>
  <c r="O1818" i="1" s="1"/>
  <c r="K1819" i="1" a="1"/>
  <c r="K1819" i="1" s="1"/>
  <c r="O1819" i="1" s="1"/>
  <c r="K1820" i="1" a="1"/>
  <c r="K1820" i="1" s="1"/>
  <c r="O1820" i="1" s="1"/>
  <c r="K1821" i="1" a="1"/>
  <c r="K1821" i="1" s="1"/>
  <c r="O1821" i="1" s="1"/>
  <c r="K1822" i="1" a="1"/>
  <c r="K1822" i="1" s="1"/>
  <c r="O1822" i="1" s="1"/>
  <c r="K1823" i="1" a="1"/>
  <c r="K1823" i="1" s="1"/>
  <c r="O1823" i="1" s="1"/>
  <c r="K1824" i="1" a="1"/>
  <c r="K1824" i="1" s="1"/>
  <c r="O1824" i="1" s="1"/>
  <c r="K1825" i="1" a="1"/>
  <c r="K1825" i="1" s="1"/>
  <c r="O1825" i="1" s="1"/>
  <c r="K1826" i="1" a="1"/>
  <c r="K1826" i="1" s="1"/>
  <c r="O1826" i="1" s="1"/>
  <c r="K1827" i="1" a="1"/>
  <c r="K1827" i="1" s="1"/>
  <c r="O1827" i="1" s="1"/>
  <c r="K1828" i="1" a="1"/>
  <c r="K1828" i="1" s="1"/>
  <c r="K1829" i="1" a="1"/>
  <c r="K1829" i="1" s="1"/>
  <c r="O1829" i="1" s="1"/>
  <c r="K1830" i="1" a="1"/>
  <c r="K1830" i="1" s="1"/>
  <c r="O1830" i="1" s="1"/>
  <c r="K1831" i="1" a="1"/>
  <c r="K1831" i="1" s="1"/>
  <c r="O1831" i="1" s="1"/>
  <c r="K1832" i="1" a="1"/>
  <c r="K1832" i="1" s="1"/>
  <c r="O1832" i="1" s="1"/>
  <c r="K1833" i="1" a="1"/>
  <c r="K1833" i="1" s="1"/>
  <c r="O1833" i="1" s="1"/>
  <c r="K1834" i="1" a="1"/>
  <c r="K1834" i="1" s="1"/>
  <c r="O1834" i="1" s="1"/>
  <c r="K1835" i="1" a="1"/>
  <c r="K1835" i="1" s="1"/>
  <c r="O1835" i="1" s="1"/>
  <c r="K1836" i="1" a="1"/>
  <c r="K1836" i="1" s="1"/>
  <c r="O1836" i="1" s="1"/>
  <c r="K1837" i="1" a="1"/>
  <c r="K1837" i="1" s="1"/>
  <c r="O1837" i="1" s="1"/>
  <c r="K1838" i="1" a="1"/>
  <c r="K1838" i="1" s="1"/>
  <c r="O1838" i="1" s="1"/>
  <c r="K1839" i="1" a="1"/>
  <c r="K1839" i="1" s="1"/>
  <c r="O1839" i="1" s="1"/>
  <c r="K1840" i="1" a="1"/>
  <c r="K1840" i="1" s="1"/>
  <c r="O1840" i="1" s="1"/>
  <c r="K1841" i="1" a="1"/>
  <c r="K1841" i="1" s="1"/>
  <c r="O1841" i="1" s="1"/>
  <c r="K1842" i="1" a="1"/>
  <c r="K1842" i="1" s="1"/>
  <c r="O1842" i="1" s="1"/>
  <c r="K1843" i="1" a="1"/>
  <c r="K1843" i="1" s="1"/>
  <c r="O1843" i="1" s="1"/>
  <c r="K1844" i="1" a="1"/>
  <c r="K1844" i="1" s="1"/>
  <c r="O1844" i="1" s="1"/>
  <c r="K1845" i="1" a="1"/>
  <c r="K1845" i="1" s="1"/>
  <c r="O1845" i="1" s="1"/>
  <c r="K1846" i="1" a="1"/>
  <c r="K1846" i="1" s="1"/>
  <c r="O1846" i="1" s="1"/>
  <c r="K1847" i="1" a="1"/>
  <c r="K1847" i="1" s="1"/>
  <c r="O1847" i="1" s="1"/>
  <c r="K1848" i="1" a="1"/>
  <c r="K1848" i="1" s="1"/>
  <c r="O1848" i="1" s="1"/>
  <c r="K1849" i="1" a="1"/>
  <c r="K1849" i="1" s="1"/>
  <c r="O1849" i="1" s="1"/>
  <c r="K1850" i="1" a="1"/>
  <c r="K1850" i="1" s="1"/>
  <c r="K1851" i="1" a="1"/>
  <c r="K1851" i="1" s="1"/>
  <c r="O1851" i="1" s="1"/>
  <c r="K1852" i="1" a="1"/>
  <c r="K1852" i="1" s="1"/>
  <c r="O1852" i="1" s="1"/>
  <c r="K1853" i="1" a="1"/>
  <c r="K1853" i="1" s="1"/>
  <c r="O1853" i="1" s="1"/>
  <c r="K1854" i="1" a="1"/>
  <c r="K1854" i="1" s="1"/>
  <c r="O1854" i="1" s="1"/>
  <c r="K1855" i="1" a="1"/>
  <c r="K1855" i="1" s="1"/>
  <c r="O1855" i="1" s="1"/>
  <c r="K1856" i="1" a="1"/>
  <c r="K1856" i="1" s="1"/>
  <c r="O1856" i="1" s="1"/>
  <c r="K1857" i="1" a="1"/>
  <c r="K1857" i="1" s="1"/>
  <c r="O1857" i="1" s="1"/>
  <c r="K1858" i="1" a="1"/>
  <c r="K1858" i="1" s="1"/>
  <c r="O1858" i="1" s="1"/>
  <c r="K1859" i="1" a="1"/>
  <c r="K1859" i="1" s="1"/>
  <c r="O1859" i="1" s="1"/>
  <c r="K1860" i="1" a="1"/>
  <c r="K1860" i="1" s="1"/>
  <c r="O1860" i="1" s="1"/>
  <c r="K1861" i="1" a="1"/>
  <c r="K1861" i="1" s="1"/>
  <c r="O1861" i="1" s="1"/>
  <c r="K1862" i="1" a="1"/>
  <c r="K1862" i="1" s="1"/>
  <c r="O1862" i="1" s="1"/>
  <c r="K1863" i="1" a="1"/>
  <c r="K1863" i="1" s="1"/>
  <c r="O1863" i="1" s="1"/>
  <c r="K1864" i="1" a="1"/>
  <c r="K1864" i="1" s="1"/>
  <c r="O1864" i="1" s="1"/>
  <c r="K1865" i="1" a="1"/>
  <c r="K1865" i="1" s="1"/>
  <c r="O1865" i="1" s="1"/>
  <c r="K1866" i="1" a="1"/>
  <c r="K1866" i="1" s="1"/>
  <c r="O1866" i="1" s="1"/>
  <c r="K1867" i="1" a="1"/>
  <c r="K1867" i="1" s="1"/>
  <c r="O1867" i="1" s="1"/>
  <c r="K1868" i="1" a="1"/>
  <c r="K1868" i="1" s="1"/>
  <c r="O1868" i="1" s="1"/>
  <c r="K1869" i="1" a="1"/>
  <c r="K1869" i="1" s="1"/>
  <c r="O1869" i="1" s="1"/>
  <c r="K1870" i="1" a="1"/>
  <c r="K1870" i="1" s="1"/>
  <c r="O1870" i="1" s="1"/>
  <c r="K1871" i="1" a="1"/>
  <c r="K1871" i="1" s="1"/>
  <c r="O1871" i="1" s="1"/>
  <c r="K1872" i="1" a="1"/>
  <c r="K1872" i="1" s="1"/>
  <c r="O1872" i="1" s="1"/>
  <c r="K1873" i="1" a="1"/>
  <c r="K1873" i="1" s="1"/>
  <c r="O1873" i="1" s="1"/>
  <c r="K1874" i="1" a="1"/>
  <c r="K1874" i="1" s="1"/>
  <c r="O1874" i="1" s="1"/>
  <c r="K1875" i="1" a="1"/>
  <c r="K1875" i="1" s="1"/>
  <c r="O1875" i="1" s="1"/>
  <c r="K1876" i="1" a="1"/>
  <c r="K1876" i="1"/>
  <c r="O1876" i="1" s="1"/>
  <c r="K1877" i="1" a="1"/>
  <c r="K1877" i="1" s="1"/>
  <c r="O1877" i="1" s="1"/>
  <c r="K1878" i="1" a="1"/>
  <c r="K1878" i="1" s="1"/>
  <c r="O1878" i="1" s="1"/>
  <c r="K1879" i="1" a="1"/>
  <c r="K1879" i="1" s="1"/>
  <c r="O1879" i="1" s="1"/>
  <c r="K1880" i="1" a="1"/>
  <c r="K1880" i="1" s="1"/>
  <c r="O1880" i="1" s="1"/>
  <c r="K1881" i="1" a="1"/>
  <c r="K1881" i="1" s="1"/>
  <c r="O1881" i="1" s="1"/>
  <c r="K1882" i="1" a="1"/>
  <c r="K1882" i="1" s="1"/>
  <c r="O1882" i="1" s="1"/>
  <c r="K1883" i="1" a="1"/>
  <c r="K1883" i="1" s="1"/>
  <c r="O1883" i="1" s="1"/>
  <c r="K1884" i="1" a="1"/>
  <c r="K1884" i="1" s="1"/>
  <c r="O1884" i="1" s="1"/>
  <c r="K1885" i="1" a="1"/>
  <c r="K1885" i="1" s="1"/>
  <c r="O1885" i="1" s="1"/>
  <c r="K1886" i="1" a="1"/>
  <c r="K1886" i="1" s="1"/>
  <c r="O1886" i="1" s="1"/>
  <c r="K1887" i="1" a="1"/>
  <c r="K1887" i="1" s="1"/>
  <c r="O1887" i="1" s="1"/>
  <c r="K1888" i="1" a="1"/>
  <c r="K1888" i="1" s="1"/>
  <c r="O1888" i="1" s="1"/>
  <c r="K1889" i="1" a="1"/>
  <c r="K1889" i="1" s="1"/>
  <c r="O1889" i="1" s="1"/>
  <c r="K1890" i="1" a="1"/>
  <c r="K1890" i="1" s="1"/>
  <c r="O1890" i="1" s="1"/>
  <c r="K1891" i="1" a="1"/>
  <c r="K1891" i="1" s="1"/>
  <c r="O1891" i="1" s="1"/>
  <c r="K1892" i="1" a="1"/>
  <c r="K1892" i="1" s="1"/>
  <c r="O1892" i="1" s="1"/>
  <c r="K1893" i="1" a="1"/>
  <c r="K1893" i="1" s="1"/>
  <c r="O1893" i="1" s="1"/>
  <c r="K1894" i="1" a="1"/>
  <c r="K1894" i="1" s="1"/>
  <c r="O1894" i="1" s="1"/>
  <c r="K1895" i="1" a="1"/>
  <c r="K1895" i="1" s="1"/>
  <c r="O1895" i="1" s="1"/>
  <c r="K1896" i="1" a="1"/>
  <c r="K1896" i="1" s="1"/>
  <c r="O1896" i="1" s="1"/>
  <c r="K1897" i="1" a="1"/>
  <c r="K1897" i="1" s="1"/>
  <c r="O1897" i="1" s="1"/>
  <c r="K1898" i="1" a="1"/>
  <c r="K1898" i="1" s="1"/>
  <c r="O1898" i="1" s="1"/>
  <c r="K1899" i="1" a="1"/>
  <c r="K1899" i="1" s="1"/>
  <c r="O1899" i="1" s="1"/>
  <c r="K1900" i="1" a="1"/>
  <c r="K1900" i="1" s="1"/>
  <c r="O1900" i="1" s="1"/>
  <c r="K1901" i="1" a="1"/>
  <c r="K1901" i="1" s="1"/>
  <c r="O1901" i="1" s="1"/>
  <c r="K1902" i="1" a="1"/>
  <c r="K1902" i="1" s="1"/>
  <c r="O1902" i="1" s="1"/>
  <c r="K1903" i="1" a="1"/>
  <c r="K1903" i="1" s="1"/>
  <c r="O1903" i="1" s="1"/>
  <c r="K1904" i="1" a="1"/>
  <c r="K1904" i="1" s="1"/>
  <c r="O1904" i="1" s="1"/>
  <c r="K1905" i="1" a="1"/>
  <c r="K1905" i="1" s="1"/>
  <c r="O1905" i="1" s="1"/>
  <c r="K1906" i="1" a="1"/>
  <c r="K1906" i="1"/>
  <c r="O1906" i="1" s="1"/>
  <c r="K1907" i="1" a="1"/>
  <c r="K1907" i="1" s="1"/>
  <c r="O1907" i="1" s="1"/>
  <c r="K1908" i="1" a="1"/>
  <c r="K1908" i="1" s="1"/>
  <c r="O1908" i="1" s="1"/>
  <c r="K1909" i="1" a="1"/>
  <c r="K1909" i="1" s="1"/>
  <c r="O1909" i="1" s="1"/>
  <c r="K1910" i="1" a="1"/>
  <c r="K1910" i="1" s="1"/>
  <c r="O1910" i="1" s="1"/>
  <c r="K1911" i="1" a="1"/>
  <c r="K1911" i="1" s="1"/>
  <c r="O1911" i="1" s="1"/>
  <c r="K1912" i="1" a="1"/>
  <c r="K1912" i="1" s="1"/>
  <c r="O1912" i="1" s="1"/>
  <c r="K1913" i="1" a="1"/>
  <c r="K1913" i="1" s="1"/>
  <c r="O1913" i="1" s="1"/>
  <c r="K1914" i="1" a="1"/>
  <c r="K1914" i="1" s="1"/>
  <c r="O1914" i="1" s="1"/>
  <c r="K1915" i="1" a="1"/>
  <c r="K1915" i="1" s="1"/>
  <c r="O1915" i="1" s="1"/>
  <c r="K1916" i="1" a="1"/>
  <c r="K1916" i="1" s="1"/>
  <c r="O1916" i="1" s="1"/>
  <c r="K1917" i="1" a="1"/>
  <c r="K1917" i="1" s="1"/>
  <c r="O1917" i="1" s="1"/>
  <c r="K1918" i="1" a="1"/>
  <c r="K1918" i="1" s="1"/>
  <c r="O1918" i="1" s="1"/>
  <c r="K1919" i="1" a="1"/>
  <c r="K1919" i="1" s="1"/>
  <c r="O1919" i="1" s="1"/>
  <c r="K1920" i="1" a="1"/>
  <c r="K1920" i="1" s="1"/>
  <c r="O1920" i="1" s="1"/>
  <c r="K1921" i="1" a="1"/>
  <c r="K1921" i="1" s="1"/>
  <c r="O1921" i="1" s="1"/>
  <c r="K1922" i="1" a="1"/>
  <c r="K1922" i="1" s="1"/>
  <c r="O1922" i="1" s="1"/>
  <c r="K1923" i="1" a="1"/>
  <c r="K1923" i="1" s="1"/>
  <c r="O1923" i="1" s="1"/>
  <c r="K1924" i="1" a="1"/>
  <c r="K1924" i="1" s="1"/>
  <c r="O1924" i="1" s="1"/>
  <c r="K1925" i="1" a="1"/>
  <c r="K1925" i="1" s="1"/>
  <c r="O1925" i="1" s="1"/>
  <c r="K1926" i="1" a="1"/>
  <c r="K1926" i="1" s="1"/>
  <c r="O1926" i="1" s="1"/>
  <c r="K1927" i="1" a="1"/>
  <c r="K1927" i="1" s="1"/>
  <c r="O1927" i="1" s="1"/>
  <c r="K1928" i="1" a="1"/>
  <c r="K1928" i="1" s="1"/>
  <c r="O1928" i="1" s="1"/>
  <c r="K1929" i="1" a="1"/>
  <c r="K1929" i="1" s="1"/>
  <c r="O1929" i="1" s="1"/>
  <c r="K1930" i="1" a="1"/>
  <c r="K1930" i="1" s="1"/>
  <c r="O1930" i="1" s="1"/>
  <c r="K1931" i="1" a="1"/>
  <c r="K1931" i="1" s="1"/>
  <c r="O1931" i="1" s="1"/>
  <c r="K1932" i="1" a="1"/>
  <c r="K1932" i="1" s="1"/>
  <c r="O1932" i="1" s="1"/>
  <c r="K1933" i="1" a="1"/>
  <c r="K1933" i="1" s="1"/>
  <c r="O1933" i="1" s="1"/>
  <c r="K1934" i="1" a="1"/>
  <c r="K1934" i="1" s="1"/>
  <c r="O1934" i="1" s="1"/>
  <c r="K1935" i="1" a="1"/>
  <c r="K1935" i="1" s="1"/>
  <c r="O1935" i="1" s="1"/>
  <c r="K1936" i="1" a="1"/>
  <c r="K1936" i="1" s="1"/>
  <c r="O1936" i="1" s="1"/>
  <c r="K1937" i="1" a="1"/>
  <c r="K1937" i="1" s="1"/>
  <c r="O1937" i="1" s="1"/>
  <c r="K1938" i="1" a="1"/>
  <c r="K1938" i="1" s="1"/>
  <c r="O1938" i="1" s="1"/>
  <c r="K1939" i="1" a="1"/>
  <c r="K1939" i="1" s="1"/>
  <c r="O1939" i="1" s="1"/>
  <c r="K1940" i="1" a="1"/>
  <c r="K1940" i="1" s="1"/>
  <c r="O1940" i="1" s="1"/>
  <c r="K1941" i="1" a="1"/>
  <c r="K1941" i="1" s="1"/>
  <c r="O1941" i="1" s="1"/>
  <c r="K1942" i="1" a="1"/>
  <c r="K1942" i="1" s="1"/>
  <c r="O1942" i="1" s="1"/>
  <c r="K1943" i="1" a="1"/>
  <c r="K1943" i="1" s="1"/>
  <c r="O1943" i="1" s="1"/>
  <c r="K1944" i="1" a="1"/>
  <c r="K1944" i="1" s="1"/>
  <c r="O1944" i="1" s="1"/>
  <c r="K1945" i="1" a="1"/>
  <c r="K1945" i="1" s="1"/>
  <c r="O1945" i="1" s="1"/>
  <c r="K1946" i="1" a="1"/>
  <c r="K1946" i="1" s="1"/>
  <c r="O1946" i="1" s="1"/>
  <c r="K1947" i="1" a="1"/>
  <c r="K1947" i="1" s="1"/>
  <c r="O1947" i="1" s="1"/>
  <c r="K1948" i="1" a="1"/>
  <c r="K1948" i="1" s="1"/>
  <c r="O1948" i="1" s="1"/>
  <c r="K1949" i="1" a="1"/>
  <c r="K1949" i="1" s="1"/>
  <c r="O1949" i="1" s="1"/>
  <c r="K1950" i="1" a="1"/>
  <c r="K1950" i="1" s="1"/>
  <c r="O1950" i="1" s="1"/>
  <c r="K1951" i="1" a="1"/>
  <c r="K1951" i="1" s="1"/>
  <c r="O1951" i="1" s="1"/>
  <c r="K1952" i="1" a="1"/>
  <c r="K1952" i="1" s="1"/>
  <c r="O1952" i="1" s="1"/>
  <c r="K1953" i="1" a="1"/>
  <c r="K1953" i="1" s="1"/>
  <c r="O1953" i="1" s="1"/>
  <c r="K1954" i="1" a="1"/>
  <c r="K1954" i="1" s="1"/>
  <c r="N1954" i="1" s="1"/>
  <c r="K1955" i="1" a="1"/>
  <c r="K1955" i="1" s="1"/>
  <c r="O1955" i="1" s="1"/>
  <c r="K1956" i="1" a="1"/>
  <c r="K1956" i="1"/>
  <c r="O1956" i="1" s="1"/>
  <c r="K1957" i="1" a="1"/>
  <c r="K1957" i="1" s="1"/>
  <c r="O1957" i="1" s="1"/>
  <c r="K1958" i="1" a="1"/>
  <c r="K1958" i="1" s="1"/>
  <c r="O1958" i="1" s="1"/>
  <c r="K1959" i="1" a="1"/>
  <c r="K1959" i="1" s="1"/>
  <c r="O1959" i="1" s="1"/>
  <c r="K1960" i="1" a="1"/>
  <c r="K1960" i="1" s="1"/>
  <c r="O1960" i="1" s="1"/>
  <c r="K1961" i="1" a="1"/>
  <c r="K1961" i="1" s="1"/>
  <c r="O1961" i="1" s="1"/>
  <c r="K1962" i="1" a="1"/>
  <c r="K1962" i="1"/>
  <c r="O1962" i="1" s="1"/>
  <c r="K1963" i="1" a="1"/>
  <c r="K1963" i="1"/>
  <c r="O1963" i="1" s="1"/>
  <c r="K1964" i="1" a="1"/>
  <c r="K1964" i="1" s="1"/>
  <c r="O1964" i="1" s="1"/>
  <c r="K1965" i="1" a="1"/>
  <c r="K1965" i="1" s="1"/>
  <c r="O1965" i="1" s="1"/>
  <c r="K1966" i="1" a="1"/>
  <c r="K1966" i="1" s="1"/>
  <c r="O1966" i="1" s="1"/>
  <c r="K1967" i="1" a="1"/>
  <c r="K1967" i="1" s="1"/>
  <c r="O1967" i="1" s="1"/>
  <c r="K1968" i="1" a="1"/>
  <c r="K1968" i="1" s="1"/>
  <c r="O1968" i="1" s="1"/>
  <c r="K1969" i="1" a="1"/>
  <c r="K1969" i="1" s="1"/>
  <c r="O1969" i="1" s="1"/>
  <c r="K1970" i="1" a="1"/>
  <c r="K1970" i="1" s="1"/>
  <c r="O1970" i="1" s="1"/>
  <c r="K1971" i="1" a="1"/>
  <c r="K1971" i="1" s="1"/>
  <c r="O1971" i="1" s="1"/>
  <c r="K1972" i="1" a="1"/>
  <c r="K1972" i="1" s="1"/>
  <c r="O1972" i="1" s="1"/>
  <c r="K1973" i="1" a="1"/>
  <c r="K1973" i="1" s="1"/>
  <c r="O1973" i="1" s="1"/>
  <c r="K1974" i="1" a="1"/>
  <c r="K1974" i="1" s="1"/>
  <c r="O1974" i="1" s="1"/>
  <c r="K1975" i="1" a="1"/>
  <c r="K1975" i="1" s="1"/>
  <c r="K1976" i="1" a="1"/>
  <c r="K1976" i="1"/>
  <c r="O1976" i="1" s="1"/>
  <c r="K1977" i="1" a="1"/>
  <c r="K1977" i="1" s="1"/>
  <c r="O1977" i="1" s="1"/>
  <c r="K1978" i="1" a="1"/>
  <c r="K1978" i="1" s="1"/>
  <c r="O1978" i="1" s="1"/>
  <c r="K1979" i="1" a="1"/>
  <c r="K1979" i="1" s="1"/>
  <c r="O1979" i="1" s="1"/>
  <c r="K1980" i="1" a="1"/>
  <c r="K1980" i="1" s="1"/>
  <c r="O1980" i="1" s="1"/>
  <c r="K1981" i="1" a="1"/>
  <c r="K1981" i="1" s="1"/>
  <c r="O1981" i="1" s="1"/>
  <c r="K1982" i="1" a="1"/>
  <c r="K1982" i="1" s="1"/>
  <c r="O1982" i="1" s="1"/>
  <c r="K1983" i="1" a="1"/>
  <c r="K1983" i="1" s="1"/>
  <c r="O1983" i="1" s="1"/>
  <c r="K1984" i="1" a="1"/>
  <c r="K1984" i="1" s="1"/>
  <c r="O1984" i="1" s="1"/>
  <c r="K1985" i="1" a="1"/>
  <c r="K1985" i="1" s="1"/>
  <c r="O1985" i="1" s="1"/>
  <c r="K1986" i="1" a="1"/>
  <c r="K1986" i="1" s="1"/>
  <c r="O1986" i="1" s="1"/>
  <c r="K1987" i="1" a="1"/>
  <c r="K1987" i="1" s="1"/>
  <c r="O1987" i="1" s="1"/>
  <c r="K1988" i="1" a="1"/>
  <c r="K1988" i="1" s="1"/>
  <c r="K1989" i="1" a="1"/>
  <c r="K1989" i="1" s="1"/>
  <c r="O1989" i="1" s="1"/>
  <c r="K1990" i="1" a="1"/>
  <c r="K1990" i="1" s="1"/>
  <c r="O1990" i="1" s="1"/>
  <c r="K1991" i="1" a="1"/>
  <c r="K1991" i="1" s="1"/>
  <c r="O1991" i="1" s="1"/>
  <c r="K1992" i="1" a="1"/>
  <c r="K1992" i="1" s="1"/>
  <c r="O1992" i="1" s="1"/>
  <c r="K1993" i="1" a="1"/>
  <c r="K1993" i="1" s="1"/>
  <c r="O1993" i="1" s="1"/>
  <c r="K1994" i="1" a="1"/>
  <c r="K1994" i="1" s="1"/>
  <c r="O1994" i="1" s="1"/>
  <c r="K1995" i="1" a="1"/>
  <c r="K1995" i="1" s="1"/>
  <c r="O1995" i="1" s="1"/>
  <c r="K1996" i="1" a="1"/>
  <c r="K1996" i="1" s="1"/>
  <c r="O1996" i="1" s="1"/>
  <c r="K1997" i="1" a="1"/>
  <c r="K1997" i="1" s="1"/>
  <c r="O1997" i="1" s="1"/>
  <c r="K1998" i="1" a="1"/>
  <c r="K1998" i="1" s="1"/>
  <c r="O1998" i="1" s="1"/>
  <c r="K1999" i="1" a="1"/>
  <c r="K1999" i="1" s="1"/>
  <c r="O1999" i="1" s="1"/>
  <c r="K2000" i="1" a="1"/>
  <c r="K2000" i="1" s="1"/>
  <c r="O2000" i="1" s="1"/>
  <c r="K2001" i="1" a="1"/>
  <c r="K2001" i="1" s="1"/>
  <c r="O2001" i="1" s="1"/>
  <c r="K2002" i="1" a="1"/>
  <c r="K2002" i="1" s="1"/>
  <c r="O2002" i="1" s="1"/>
  <c r="K2003" i="1" a="1"/>
  <c r="K2003" i="1" s="1"/>
  <c r="O2003" i="1" s="1"/>
  <c r="K2004" i="1" a="1"/>
  <c r="K2004" i="1" s="1"/>
  <c r="O2004" i="1" s="1"/>
  <c r="K2005" i="1" a="1"/>
  <c r="K2005" i="1" s="1"/>
  <c r="O2005" i="1" s="1"/>
  <c r="K2006" i="1" a="1"/>
  <c r="K2006" i="1" s="1"/>
  <c r="O2006" i="1" s="1"/>
  <c r="K2007" i="1" a="1"/>
  <c r="K2007" i="1" s="1"/>
  <c r="O2007" i="1" s="1"/>
  <c r="K2008" i="1" a="1"/>
  <c r="K2008" i="1" s="1"/>
  <c r="O2008" i="1" s="1"/>
  <c r="K2009" i="1" a="1"/>
  <c r="K2009" i="1" s="1"/>
  <c r="O2009" i="1" s="1"/>
  <c r="K2010" i="1" a="1"/>
  <c r="K2010" i="1" s="1"/>
  <c r="O2010" i="1" s="1"/>
  <c r="K2011" i="1" a="1"/>
  <c r="K2011" i="1" s="1"/>
  <c r="O2011" i="1" s="1"/>
  <c r="K2012" i="1" a="1"/>
  <c r="K2012" i="1" s="1"/>
  <c r="O2012" i="1" s="1"/>
  <c r="K2013" i="1" a="1"/>
  <c r="K2013" i="1" s="1"/>
  <c r="O2013" i="1" s="1"/>
  <c r="K2014" i="1" a="1"/>
  <c r="K2014" i="1" s="1"/>
  <c r="O2014" i="1" s="1"/>
  <c r="K2015" i="1" a="1"/>
  <c r="K2015" i="1" s="1"/>
  <c r="O2015" i="1" s="1"/>
  <c r="K2016" i="1" a="1"/>
  <c r="K2016" i="1" s="1"/>
  <c r="O2016" i="1" s="1"/>
  <c r="K2017" i="1" a="1"/>
  <c r="K2017" i="1" s="1"/>
  <c r="O2017" i="1" s="1"/>
  <c r="K2018" i="1" a="1"/>
  <c r="K2018" i="1" s="1"/>
  <c r="O2018" i="1" s="1"/>
  <c r="K2019" i="1" a="1"/>
  <c r="K2019" i="1" s="1"/>
  <c r="O2019" i="1" s="1"/>
  <c r="K2020" i="1" a="1"/>
  <c r="K2020" i="1" s="1"/>
  <c r="O2020" i="1" s="1"/>
  <c r="K2021" i="1" a="1"/>
  <c r="K2021" i="1" s="1"/>
  <c r="O2021" i="1" s="1"/>
  <c r="K2022" i="1" a="1"/>
  <c r="K2022" i="1" s="1"/>
  <c r="O2022" i="1" s="1"/>
  <c r="K2023" i="1" a="1"/>
  <c r="K2023" i="1" s="1"/>
  <c r="O2023" i="1" s="1"/>
  <c r="K2024" i="1" a="1"/>
  <c r="K2024" i="1" s="1"/>
  <c r="O2024" i="1" s="1"/>
  <c r="K2025" i="1" a="1"/>
  <c r="K2025" i="1" s="1"/>
  <c r="O2025" i="1" s="1"/>
  <c r="K2026" i="1" a="1"/>
  <c r="K2026" i="1" s="1"/>
  <c r="O2026" i="1" s="1"/>
  <c r="K2027" i="1" a="1"/>
  <c r="K2027" i="1" s="1"/>
  <c r="O2027" i="1" s="1"/>
  <c r="K2028" i="1" a="1"/>
  <c r="K2028" i="1" s="1"/>
  <c r="O2028" i="1" s="1"/>
  <c r="K2029" i="1" a="1"/>
  <c r="K2029" i="1" s="1"/>
  <c r="O2029" i="1" s="1"/>
  <c r="K2030" i="1" a="1"/>
  <c r="K2030" i="1" s="1"/>
  <c r="O2030" i="1" s="1"/>
  <c r="K2031" i="1" a="1"/>
  <c r="K2031" i="1" s="1"/>
  <c r="O2031" i="1" s="1"/>
  <c r="K2032" i="1" a="1"/>
  <c r="K2032" i="1" s="1"/>
  <c r="O2032" i="1" s="1"/>
  <c r="K2033" i="1" a="1"/>
  <c r="K2033" i="1" s="1"/>
  <c r="O2033" i="1" s="1"/>
  <c r="K2034" i="1" a="1"/>
  <c r="K2034" i="1" s="1"/>
  <c r="O2034" i="1" s="1"/>
  <c r="K2035" i="1" a="1"/>
  <c r="K2035" i="1" s="1"/>
  <c r="O2035" i="1" s="1"/>
  <c r="K2036" i="1" a="1"/>
  <c r="K2036" i="1" s="1"/>
  <c r="O2036" i="1" s="1"/>
  <c r="K2037" i="1" a="1"/>
  <c r="K2037" i="1" s="1"/>
  <c r="O2037" i="1" s="1"/>
  <c r="K2038" i="1" a="1"/>
  <c r="K2038" i="1" s="1"/>
  <c r="O2038" i="1" s="1"/>
  <c r="K2039" i="1" a="1"/>
  <c r="K2039" i="1" s="1"/>
  <c r="O2039" i="1" s="1"/>
  <c r="K2040" i="1" a="1"/>
  <c r="K2040" i="1"/>
  <c r="O2040" i="1" s="1"/>
  <c r="K2041" i="1" a="1"/>
  <c r="K2041" i="1" s="1"/>
  <c r="O2041" i="1" s="1"/>
  <c r="K2042" i="1" a="1"/>
  <c r="K2042" i="1" s="1"/>
  <c r="O2042" i="1" s="1"/>
  <c r="K2043" i="1" a="1"/>
  <c r="K2043" i="1" s="1"/>
  <c r="O2043" i="1" s="1"/>
  <c r="K2044" i="1" a="1"/>
  <c r="K2044" i="1" s="1"/>
  <c r="K2045" i="1" a="1"/>
  <c r="K2045" i="1" s="1"/>
  <c r="O2045" i="1" s="1"/>
  <c r="K2046" i="1" a="1"/>
  <c r="K2046" i="1" s="1"/>
  <c r="O2046" i="1" s="1"/>
  <c r="K2047" i="1" a="1"/>
  <c r="K2047" i="1" s="1"/>
  <c r="O2047" i="1" s="1"/>
  <c r="K2048" i="1" a="1"/>
  <c r="K2048" i="1" s="1"/>
  <c r="O2048" i="1" s="1"/>
  <c r="K2049" i="1" a="1"/>
  <c r="K2049" i="1" s="1"/>
  <c r="O2049" i="1" s="1"/>
  <c r="K2050" i="1" a="1"/>
  <c r="K2050" i="1" s="1"/>
  <c r="O2050" i="1" s="1"/>
  <c r="K2051" i="1" a="1"/>
  <c r="K2051" i="1" s="1"/>
  <c r="O2051" i="1" s="1"/>
  <c r="K2052" i="1" a="1"/>
  <c r="K2052" i="1" s="1"/>
  <c r="O2052" i="1" s="1"/>
  <c r="K2053" i="1" a="1"/>
  <c r="K2053" i="1" s="1"/>
  <c r="O2053" i="1" s="1"/>
  <c r="K2054" i="1" a="1"/>
  <c r="K2054" i="1" s="1"/>
  <c r="O2054" i="1" s="1"/>
  <c r="K2055" i="1" a="1"/>
  <c r="K2055" i="1" s="1"/>
  <c r="O2055" i="1" s="1"/>
  <c r="K2056" i="1" a="1"/>
  <c r="K2056" i="1" s="1"/>
  <c r="O2056" i="1" s="1"/>
  <c r="K2057" i="1" a="1"/>
  <c r="K2057" i="1" s="1"/>
  <c r="O2057" i="1" s="1"/>
  <c r="K2058" i="1" a="1"/>
  <c r="K2058" i="1" s="1"/>
  <c r="O2058" i="1" s="1"/>
  <c r="K2059" i="1" a="1"/>
  <c r="K2059" i="1" s="1"/>
  <c r="O2059" i="1" s="1"/>
  <c r="K2060" i="1" a="1"/>
  <c r="K2060" i="1" s="1"/>
  <c r="O2060" i="1" s="1"/>
  <c r="K2061" i="1" a="1"/>
  <c r="K2061" i="1" s="1"/>
  <c r="O2061" i="1" s="1"/>
  <c r="K2062" i="1" a="1"/>
  <c r="K2062" i="1" s="1"/>
  <c r="O2062" i="1" s="1"/>
  <c r="K2063" i="1" a="1"/>
  <c r="K2063" i="1" s="1"/>
  <c r="O2063" i="1" s="1"/>
  <c r="K2064" i="1" a="1"/>
  <c r="K2064" i="1" s="1"/>
  <c r="O2064" i="1" s="1"/>
  <c r="K2065" i="1" a="1"/>
  <c r="K2065" i="1" s="1"/>
  <c r="O2065" i="1" s="1"/>
  <c r="K2066" i="1" a="1"/>
  <c r="K2066" i="1" s="1"/>
  <c r="O2066" i="1" s="1"/>
  <c r="K2067" i="1" a="1"/>
  <c r="K2067" i="1" s="1"/>
  <c r="O2067" i="1" s="1"/>
  <c r="K2068" i="1" a="1"/>
  <c r="K2068" i="1" s="1"/>
  <c r="M2068" i="1" s="1"/>
  <c r="K2069" i="1" a="1"/>
  <c r="K2069" i="1" s="1"/>
  <c r="O2069" i="1" s="1"/>
  <c r="K2070" i="1" a="1"/>
  <c r="K2070" i="1" s="1"/>
  <c r="O2070" i="1" s="1"/>
  <c r="K2071" i="1" a="1"/>
  <c r="K2071" i="1" s="1"/>
  <c r="O2071" i="1" s="1"/>
  <c r="K2072" i="1" a="1"/>
  <c r="K2072" i="1" s="1"/>
  <c r="O2072" i="1" s="1"/>
  <c r="K2073" i="1" a="1"/>
  <c r="K2073" i="1" s="1"/>
  <c r="O2073" i="1" s="1"/>
  <c r="K2074" i="1" a="1"/>
  <c r="K2074" i="1" s="1"/>
  <c r="O2074" i="1" s="1"/>
  <c r="K2075" i="1" a="1"/>
  <c r="K2075" i="1" s="1"/>
  <c r="O2075" i="1" s="1"/>
  <c r="K2076" i="1" a="1"/>
  <c r="K2076" i="1" s="1"/>
  <c r="O2076" i="1" s="1"/>
  <c r="K2077" i="1" a="1"/>
  <c r="K2077" i="1" s="1"/>
  <c r="O2077" i="1" s="1"/>
  <c r="K2078" i="1" a="1"/>
  <c r="K2078" i="1" s="1"/>
  <c r="O2078" i="1" s="1"/>
  <c r="K2079" i="1" a="1"/>
  <c r="K2079" i="1" s="1"/>
  <c r="O2079" i="1" s="1"/>
  <c r="K2080" i="1" a="1"/>
  <c r="K2080" i="1" s="1"/>
  <c r="O2080" i="1" s="1"/>
  <c r="K2081" i="1" a="1"/>
  <c r="K2081" i="1" s="1"/>
  <c r="O2081" i="1" s="1"/>
  <c r="K2082" i="1" a="1"/>
  <c r="K2082" i="1" s="1"/>
  <c r="O2082" i="1" s="1"/>
  <c r="K2083" i="1" a="1"/>
  <c r="K2083" i="1" s="1"/>
  <c r="O2083" i="1" s="1"/>
  <c r="K2084" i="1" a="1"/>
  <c r="K2084" i="1" s="1"/>
  <c r="O2084" i="1" s="1"/>
  <c r="K2085" i="1" a="1"/>
  <c r="K2085" i="1" s="1"/>
  <c r="O2085" i="1" s="1"/>
  <c r="K2086" i="1" a="1"/>
  <c r="K2086" i="1" s="1"/>
  <c r="O2086" i="1" s="1"/>
  <c r="K2087" i="1" a="1"/>
  <c r="K2087" i="1" s="1"/>
  <c r="O2087" i="1" s="1"/>
  <c r="K2088" i="1" a="1"/>
  <c r="K2088" i="1" s="1"/>
  <c r="O2088" i="1" s="1"/>
  <c r="K2089" i="1" a="1"/>
  <c r="K2089" i="1" s="1"/>
  <c r="O2089" i="1" s="1"/>
  <c r="K2090" i="1" a="1"/>
  <c r="K2090" i="1" s="1"/>
  <c r="O2090" i="1" s="1"/>
  <c r="K2091" i="1" a="1"/>
  <c r="K2091" i="1" s="1"/>
  <c r="O2091" i="1" s="1"/>
  <c r="K2092" i="1" a="1"/>
  <c r="K2092" i="1" s="1"/>
  <c r="O2092" i="1" s="1"/>
  <c r="K2093" i="1" a="1"/>
  <c r="K2093" i="1" s="1"/>
  <c r="O2093" i="1" s="1"/>
  <c r="K2094" i="1" a="1"/>
  <c r="K2094" i="1" s="1"/>
  <c r="O2094" i="1" s="1"/>
  <c r="K2095" i="1" a="1"/>
  <c r="K2095" i="1" s="1"/>
  <c r="O2095" i="1" s="1"/>
  <c r="K2096" i="1" a="1"/>
  <c r="K2096" i="1" s="1"/>
  <c r="O2096" i="1" s="1"/>
  <c r="K2097" i="1" a="1"/>
  <c r="K2097" i="1" s="1"/>
  <c r="O2097" i="1" s="1"/>
  <c r="K2098" i="1" a="1"/>
  <c r="K2098" i="1" s="1"/>
  <c r="O2098" i="1" s="1"/>
  <c r="K2099" i="1" a="1"/>
  <c r="K2099" i="1" s="1"/>
  <c r="O2099" i="1" s="1"/>
  <c r="K2100" i="1" a="1"/>
  <c r="K2100" i="1" s="1"/>
  <c r="O2100" i="1" s="1"/>
  <c r="K2101" i="1" a="1"/>
  <c r="K2101" i="1" s="1"/>
  <c r="O2101" i="1" s="1"/>
  <c r="K2102" i="1" a="1"/>
  <c r="K2102" i="1" s="1"/>
  <c r="O2102" i="1" s="1"/>
  <c r="K2103" i="1" a="1"/>
  <c r="K2103" i="1" s="1"/>
  <c r="O2103" i="1" s="1"/>
  <c r="K2104" i="1" a="1"/>
  <c r="K2104" i="1" s="1"/>
  <c r="O2104" i="1" s="1"/>
  <c r="K2105" i="1" a="1"/>
  <c r="K2105" i="1" s="1"/>
  <c r="O2105" i="1" s="1"/>
  <c r="K2106" i="1" a="1"/>
  <c r="K2106" i="1" s="1"/>
  <c r="O2106" i="1" s="1"/>
  <c r="K2107" i="1" a="1"/>
  <c r="K2107" i="1" s="1"/>
  <c r="O2107" i="1" s="1"/>
  <c r="K2108" i="1" a="1"/>
  <c r="K2108" i="1"/>
  <c r="O2108" i="1" s="1"/>
  <c r="K2109" i="1" a="1"/>
  <c r="K2109" i="1" s="1"/>
  <c r="O2109" i="1" s="1"/>
  <c r="K2110" i="1" a="1"/>
  <c r="K2110" i="1" s="1"/>
  <c r="O2110" i="1" s="1"/>
  <c r="K2111" i="1" a="1"/>
  <c r="K2111" i="1" s="1"/>
  <c r="O2111" i="1" s="1"/>
  <c r="K2112" i="1" a="1"/>
  <c r="K2112" i="1" s="1"/>
  <c r="O2112" i="1" s="1"/>
  <c r="K2113" i="1" a="1"/>
  <c r="K2113" i="1" s="1"/>
  <c r="O2113" i="1" s="1"/>
  <c r="K2114" i="1" a="1"/>
  <c r="K2114" i="1" s="1"/>
  <c r="O2114" i="1" s="1"/>
  <c r="K2115" i="1" a="1"/>
  <c r="K2115" i="1"/>
  <c r="O2115" i="1" s="1"/>
  <c r="K2116" i="1" a="1"/>
  <c r="K2116" i="1" s="1"/>
  <c r="O2116" i="1" s="1"/>
  <c r="K2117" i="1" a="1"/>
  <c r="K2117" i="1" s="1"/>
  <c r="O2117" i="1" s="1"/>
  <c r="K2118" i="1" a="1"/>
  <c r="K2118" i="1" s="1"/>
  <c r="O2118" i="1" s="1"/>
  <c r="K2119" i="1" a="1"/>
  <c r="K2119" i="1" s="1"/>
  <c r="O2119" i="1" s="1"/>
  <c r="K2120" i="1" a="1"/>
  <c r="K2120" i="1" s="1"/>
  <c r="O2120" i="1" s="1"/>
  <c r="K2121" i="1" a="1"/>
  <c r="K2121" i="1" s="1"/>
  <c r="O2121" i="1" s="1"/>
  <c r="K2122" i="1" a="1"/>
  <c r="K2122" i="1" s="1"/>
  <c r="O2122" i="1" s="1"/>
  <c r="K2123" i="1" a="1"/>
  <c r="K2123" i="1" s="1"/>
  <c r="O2123" i="1" s="1"/>
  <c r="K2124" i="1" a="1"/>
  <c r="K2124" i="1" s="1"/>
  <c r="O2124" i="1" s="1"/>
  <c r="K2125" i="1" a="1"/>
  <c r="K2125" i="1" s="1"/>
  <c r="O2125" i="1" s="1"/>
  <c r="K2126" i="1" a="1"/>
  <c r="K2126" i="1" s="1"/>
  <c r="O2126" i="1" s="1"/>
  <c r="K2127" i="1" a="1"/>
  <c r="K2127" i="1" s="1"/>
  <c r="O2127" i="1" s="1"/>
  <c r="K2128" i="1" a="1"/>
  <c r="K2128" i="1" s="1"/>
  <c r="O2128" i="1" s="1"/>
  <c r="K2129" i="1" a="1"/>
  <c r="K2129" i="1" s="1"/>
  <c r="O2129" i="1" s="1"/>
  <c r="K2130" i="1" a="1"/>
  <c r="K2130" i="1" s="1"/>
  <c r="O2130" i="1" s="1"/>
  <c r="K2131" i="1" a="1"/>
  <c r="K2131" i="1" s="1"/>
  <c r="O2131" i="1" s="1"/>
  <c r="K2132" i="1" a="1"/>
  <c r="K2132" i="1" s="1"/>
  <c r="O2132" i="1" s="1"/>
  <c r="K2133" i="1" a="1"/>
  <c r="K2133" i="1" s="1"/>
  <c r="O2133" i="1" s="1"/>
  <c r="K2134" i="1" a="1"/>
  <c r="K2134" i="1" s="1"/>
  <c r="K2135" i="1" a="1"/>
  <c r="K2135" i="1" s="1"/>
  <c r="O2135" i="1" s="1"/>
  <c r="K2136" i="1" a="1"/>
  <c r="K2136" i="1" s="1"/>
  <c r="O2136" i="1" s="1"/>
  <c r="K2137" i="1" a="1"/>
  <c r="K2137" i="1" s="1"/>
  <c r="O2137" i="1" s="1"/>
  <c r="K2138" i="1" a="1"/>
  <c r="K2138" i="1" s="1"/>
  <c r="O2138" i="1" s="1"/>
  <c r="K2139" i="1" a="1"/>
  <c r="K2139" i="1" s="1"/>
  <c r="O2139" i="1" s="1"/>
  <c r="K2140" i="1" a="1"/>
  <c r="K2140" i="1" s="1"/>
  <c r="O2140" i="1" s="1"/>
  <c r="K2141" i="1" a="1"/>
  <c r="K2141" i="1" s="1"/>
  <c r="O2141" i="1" s="1"/>
  <c r="K2142" i="1" a="1"/>
  <c r="K2142" i="1" s="1"/>
  <c r="O2142" i="1" s="1"/>
  <c r="K2143" i="1" a="1"/>
  <c r="K2143" i="1" s="1"/>
  <c r="O2143" i="1" s="1"/>
  <c r="K2144" i="1" a="1"/>
  <c r="K2144" i="1" s="1"/>
  <c r="O2144" i="1" s="1"/>
  <c r="K2145" i="1" a="1"/>
  <c r="K2145" i="1" s="1"/>
  <c r="O2145" i="1" s="1"/>
  <c r="K2146" i="1" a="1"/>
  <c r="K2146" i="1" s="1"/>
  <c r="O2146" i="1" s="1"/>
  <c r="K2147" i="1" a="1"/>
  <c r="K2147" i="1" s="1"/>
  <c r="O2147" i="1" s="1"/>
  <c r="K2148" i="1" a="1"/>
  <c r="K2148" i="1" s="1"/>
  <c r="O2148" i="1" s="1"/>
  <c r="K2149" i="1" a="1"/>
  <c r="K2149" i="1" s="1"/>
  <c r="O2149" i="1" s="1"/>
  <c r="K2150" i="1" a="1"/>
  <c r="K2150" i="1" s="1"/>
  <c r="K2151" i="1" a="1"/>
  <c r="K2151" i="1" s="1"/>
  <c r="O2151" i="1" s="1"/>
  <c r="K2152" i="1" a="1"/>
  <c r="K2152" i="1" s="1"/>
  <c r="O2152" i="1" s="1"/>
  <c r="K2153" i="1" a="1"/>
  <c r="K2153" i="1" s="1"/>
  <c r="O2153" i="1" s="1"/>
  <c r="K2154" i="1" a="1"/>
  <c r="K2154" i="1"/>
  <c r="O2154" i="1" s="1"/>
  <c r="K2155" i="1" a="1"/>
  <c r="K2155" i="1" s="1"/>
  <c r="O2155" i="1" s="1"/>
  <c r="K2156" i="1" a="1"/>
  <c r="K2156" i="1" s="1"/>
  <c r="O2156" i="1" s="1"/>
  <c r="K2157" i="1" a="1"/>
  <c r="K2157" i="1" s="1"/>
  <c r="K2158" i="1" a="1"/>
  <c r="K2158" i="1" s="1"/>
  <c r="O2158" i="1" s="1"/>
  <c r="K2159" i="1" a="1"/>
  <c r="K2159" i="1" s="1"/>
  <c r="O2159" i="1" s="1"/>
  <c r="K2160" i="1" a="1"/>
  <c r="K2160" i="1" s="1"/>
  <c r="O2160" i="1" s="1"/>
  <c r="K2161" i="1" a="1"/>
  <c r="K2161" i="1" s="1"/>
  <c r="O2161" i="1" s="1"/>
  <c r="K2162" i="1" a="1"/>
  <c r="K2162" i="1" s="1"/>
  <c r="O2162" i="1" s="1"/>
  <c r="K2163" i="1" a="1"/>
  <c r="K2163" i="1" s="1"/>
  <c r="O2163" i="1" s="1"/>
  <c r="K2164" i="1" a="1"/>
  <c r="K2164" i="1" s="1"/>
  <c r="O2164" i="1" s="1"/>
  <c r="K2165" i="1" a="1"/>
  <c r="K2165" i="1" s="1"/>
  <c r="O2165" i="1" s="1"/>
  <c r="K2166" i="1" a="1"/>
  <c r="K2166" i="1" s="1"/>
  <c r="O2166" i="1" s="1"/>
  <c r="K2167" i="1" a="1"/>
  <c r="K2167" i="1" s="1"/>
  <c r="O2167" i="1" s="1"/>
  <c r="K2168" i="1" a="1"/>
  <c r="K2168" i="1" s="1"/>
  <c r="O2168" i="1" s="1"/>
  <c r="K2169" i="1" a="1"/>
  <c r="K2169" i="1" s="1"/>
  <c r="O2169" i="1" s="1"/>
  <c r="K2170" i="1" a="1"/>
  <c r="K2170" i="1" s="1"/>
  <c r="O2170" i="1" s="1"/>
  <c r="K2171" i="1" a="1"/>
  <c r="K2171" i="1" s="1"/>
  <c r="O2171" i="1" s="1"/>
  <c r="K2172" i="1" a="1"/>
  <c r="K2172" i="1" s="1"/>
  <c r="O2172" i="1" s="1"/>
  <c r="K2173" i="1" a="1"/>
  <c r="K2173" i="1" s="1"/>
  <c r="O2173" i="1" s="1"/>
  <c r="K2174" i="1" a="1"/>
  <c r="K2174" i="1" s="1"/>
  <c r="O2174" i="1" s="1"/>
  <c r="K2175" i="1" a="1"/>
  <c r="K2175" i="1" s="1"/>
  <c r="O2175" i="1" s="1"/>
  <c r="K2176" i="1" a="1"/>
  <c r="K2176" i="1" s="1"/>
  <c r="O2176" i="1" s="1"/>
  <c r="K2177" i="1" a="1"/>
  <c r="K2177" i="1" s="1"/>
  <c r="O2177" i="1" s="1"/>
  <c r="K2178" i="1" a="1"/>
  <c r="K2178" i="1" s="1"/>
  <c r="O2178" i="1" s="1"/>
  <c r="K2179" i="1" a="1"/>
  <c r="K2179" i="1" s="1"/>
  <c r="O2179" i="1" s="1"/>
  <c r="K2180" i="1" a="1"/>
  <c r="K2180" i="1" s="1"/>
  <c r="O2180" i="1" s="1"/>
  <c r="K2181" i="1" a="1"/>
  <c r="K2181" i="1" s="1"/>
  <c r="O2181" i="1" s="1"/>
  <c r="K2182" i="1" a="1"/>
  <c r="K2182" i="1" s="1"/>
  <c r="O2182" i="1" s="1"/>
  <c r="K2183" i="1" a="1"/>
  <c r="K2183" i="1" s="1"/>
  <c r="O2183" i="1" s="1"/>
  <c r="K2184" i="1" a="1"/>
  <c r="K2184" i="1" s="1"/>
  <c r="O2184" i="1" s="1"/>
  <c r="K2185" i="1" a="1"/>
  <c r="K2185" i="1" s="1"/>
  <c r="O2185" i="1" s="1"/>
  <c r="K2186" i="1" a="1"/>
  <c r="K2186" i="1" s="1"/>
  <c r="O2186" i="1" s="1"/>
  <c r="K2187" i="1" a="1"/>
  <c r="K2187" i="1" s="1"/>
  <c r="O2187" i="1" s="1"/>
  <c r="K2188" i="1" a="1"/>
  <c r="K2188" i="1" s="1"/>
  <c r="O2188" i="1" s="1"/>
  <c r="K2189" i="1" a="1"/>
  <c r="K2189" i="1" s="1"/>
  <c r="O2189" i="1" s="1"/>
  <c r="K2190" i="1" a="1"/>
  <c r="K2190" i="1" s="1"/>
  <c r="O2190" i="1" s="1"/>
  <c r="K2191" i="1" a="1"/>
  <c r="K2191" i="1" s="1"/>
  <c r="O2191" i="1" s="1"/>
  <c r="K2192" i="1" a="1"/>
  <c r="K2192" i="1" s="1"/>
  <c r="O2192" i="1" s="1"/>
  <c r="K2193" i="1" a="1"/>
  <c r="K2193" i="1" s="1"/>
  <c r="O2193" i="1" s="1"/>
  <c r="K2194" i="1" a="1"/>
  <c r="K2194" i="1" s="1"/>
  <c r="O2194" i="1" s="1"/>
  <c r="K2195" i="1" a="1"/>
  <c r="K2195" i="1" s="1"/>
  <c r="O2195" i="1" s="1"/>
  <c r="K2196" i="1" a="1"/>
  <c r="K2196" i="1" s="1"/>
  <c r="O2196" i="1" s="1"/>
  <c r="K2197" i="1" a="1"/>
  <c r="K2197" i="1" s="1"/>
  <c r="O2197" i="1" s="1"/>
  <c r="K2198" i="1" a="1"/>
  <c r="K2198" i="1" s="1"/>
  <c r="O2198" i="1" s="1"/>
  <c r="K2199" i="1" a="1"/>
  <c r="K2199" i="1" s="1"/>
  <c r="O2199" i="1" s="1"/>
  <c r="K2200" i="1" a="1"/>
  <c r="K2200" i="1" s="1"/>
  <c r="O2200" i="1" s="1"/>
  <c r="K2201" i="1" a="1"/>
  <c r="K2201" i="1" s="1"/>
  <c r="O2201" i="1" s="1"/>
  <c r="K2202" i="1" a="1"/>
  <c r="K2202" i="1" s="1"/>
  <c r="O2202" i="1" s="1"/>
  <c r="K2203" i="1" a="1"/>
  <c r="K2203" i="1" s="1"/>
  <c r="O2203" i="1" s="1"/>
  <c r="K2204" i="1" a="1"/>
  <c r="K2204" i="1" s="1"/>
  <c r="O2204" i="1" s="1"/>
  <c r="K2205" i="1" a="1"/>
  <c r="K2205" i="1" s="1"/>
  <c r="O2205" i="1" s="1"/>
  <c r="K2206" i="1" a="1"/>
  <c r="K2206" i="1" s="1"/>
  <c r="O2206" i="1" s="1"/>
  <c r="K2207" i="1" a="1"/>
  <c r="K2207" i="1" s="1"/>
  <c r="O2207" i="1" s="1"/>
  <c r="K2208" i="1" a="1"/>
  <c r="K2208" i="1" s="1"/>
  <c r="O2208" i="1" s="1"/>
  <c r="K2209" i="1" a="1"/>
  <c r="K2209" i="1" s="1"/>
  <c r="O2209" i="1" s="1"/>
  <c r="K2210" i="1" a="1"/>
  <c r="K2210" i="1" s="1"/>
  <c r="O2210" i="1" s="1"/>
  <c r="K2211" i="1" a="1"/>
  <c r="K2211" i="1" s="1"/>
  <c r="O2211" i="1" s="1"/>
  <c r="K2212" i="1" a="1"/>
  <c r="K2212" i="1" s="1"/>
  <c r="O2212" i="1" s="1"/>
  <c r="K2213" i="1" a="1"/>
  <c r="K2213" i="1" s="1"/>
  <c r="O2213" i="1" s="1"/>
  <c r="K2214" i="1" a="1"/>
  <c r="K2214" i="1" s="1"/>
  <c r="O2214" i="1" s="1"/>
  <c r="K2215" i="1" a="1"/>
  <c r="K2215" i="1" s="1"/>
  <c r="O2215" i="1" s="1"/>
  <c r="K2216" i="1" a="1"/>
  <c r="K2216" i="1" s="1"/>
  <c r="O2216" i="1" s="1"/>
  <c r="K2217" i="1" a="1"/>
  <c r="K2217" i="1" s="1"/>
  <c r="O2217" i="1" s="1"/>
  <c r="K2218" i="1" a="1"/>
  <c r="K2218" i="1" s="1"/>
  <c r="O2218" i="1" s="1"/>
  <c r="K2219" i="1" a="1"/>
  <c r="K2219" i="1" s="1"/>
  <c r="O2219" i="1" s="1"/>
  <c r="K2220" i="1" a="1"/>
  <c r="K2220" i="1" s="1"/>
  <c r="O2220" i="1" s="1"/>
  <c r="K2221" i="1" a="1"/>
  <c r="K2221" i="1" s="1"/>
  <c r="O2221" i="1" s="1"/>
  <c r="K2222" i="1" a="1"/>
  <c r="K2222" i="1" s="1"/>
  <c r="O2222" i="1" s="1"/>
  <c r="K2223" i="1" a="1"/>
  <c r="K2223" i="1" s="1"/>
  <c r="O2223" i="1" s="1"/>
  <c r="K2224" i="1" a="1"/>
  <c r="K2224" i="1" s="1"/>
  <c r="O2224" i="1" s="1"/>
  <c r="K2225" i="1" a="1"/>
  <c r="K2225" i="1" s="1"/>
  <c r="O2225" i="1" s="1"/>
  <c r="K2226" i="1" a="1"/>
  <c r="K2226" i="1" s="1"/>
  <c r="O2226" i="1" s="1"/>
  <c r="K2227" i="1" a="1"/>
  <c r="K2227" i="1" s="1"/>
  <c r="O2227" i="1" s="1"/>
  <c r="K2228" i="1" a="1"/>
  <c r="K2228" i="1" s="1"/>
  <c r="O2228" i="1" s="1"/>
  <c r="K2229" i="1" a="1"/>
  <c r="K2229" i="1" s="1"/>
  <c r="O2229" i="1" s="1"/>
  <c r="K2230" i="1" a="1"/>
  <c r="K2230" i="1" s="1"/>
  <c r="O2230" i="1" s="1"/>
  <c r="K2231" i="1" a="1"/>
  <c r="K2231" i="1" s="1"/>
  <c r="O2231" i="1" s="1"/>
  <c r="K2232" i="1" a="1"/>
  <c r="K2232" i="1" s="1"/>
  <c r="O2232" i="1" s="1"/>
  <c r="K2233" i="1" a="1"/>
  <c r="K2233" i="1" s="1"/>
  <c r="O2233" i="1" s="1"/>
  <c r="K2234" i="1" a="1"/>
  <c r="K2234" i="1" s="1"/>
  <c r="O2234" i="1" s="1"/>
  <c r="K2235" i="1" a="1"/>
  <c r="K2235" i="1" s="1"/>
  <c r="O2235" i="1" s="1"/>
  <c r="K2236" i="1" a="1"/>
  <c r="K2236" i="1"/>
  <c r="O2236" i="1" s="1"/>
  <c r="K2237" i="1" a="1"/>
  <c r="K2237" i="1" s="1"/>
  <c r="O2237" i="1" s="1"/>
  <c r="K2238" i="1" a="1"/>
  <c r="K2238" i="1" s="1"/>
  <c r="O2238" i="1" s="1"/>
  <c r="K2239" i="1" a="1"/>
  <c r="K2239" i="1" s="1"/>
  <c r="O2239" i="1" s="1"/>
  <c r="K2240" i="1" a="1"/>
  <c r="K2240" i="1" s="1"/>
  <c r="O2240" i="1" s="1"/>
  <c r="K2241" i="1" a="1"/>
  <c r="K2241" i="1" s="1"/>
  <c r="O2241" i="1" s="1"/>
  <c r="K2242" i="1" a="1"/>
  <c r="K2242" i="1" s="1"/>
  <c r="O2242" i="1" s="1"/>
  <c r="K2243" i="1" a="1"/>
  <c r="K2243" i="1" s="1"/>
  <c r="O2243" i="1" s="1"/>
  <c r="K2244" i="1" a="1"/>
  <c r="K2244" i="1" s="1"/>
  <c r="O2244" i="1" s="1"/>
  <c r="K2245" i="1" a="1"/>
  <c r="K2245" i="1" s="1"/>
  <c r="O2245" i="1" s="1"/>
  <c r="K2246" i="1" a="1"/>
  <c r="K2246" i="1" s="1"/>
  <c r="O2246" i="1" s="1"/>
  <c r="K2247" i="1" a="1"/>
  <c r="K2247" i="1" s="1"/>
  <c r="O2247" i="1" s="1"/>
  <c r="K2248" i="1" a="1"/>
  <c r="K2248" i="1" s="1"/>
  <c r="O2248" i="1" s="1"/>
  <c r="K2249" i="1" a="1"/>
  <c r="K2249" i="1" s="1"/>
  <c r="O2249" i="1" s="1"/>
  <c r="K2250" i="1" a="1"/>
  <c r="K2250" i="1" s="1"/>
  <c r="O2250" i="1" s="1"/>
  <c r="K2251" i="1" a="1"/>
  <c r="K2251" i="1"/>
  <c r="O2251" i="1" s="1"/>
  <c r="K2252" i="1" a="1"/>
  <c r="K2252" i="1" s="1"/>
  <c r="O2252" i="1" s="1"/>
  <c r="K2253" i="1" a="1"/>
  <c r="K2253" i="1" s="1"/>
  <c r="O2253" i="1" s="1"/>
  <c r="K2254" i="1" a="1"/>
  <c r="K2254" i="1" s="1"/>
  <c r="O2254" i="1" s="1"/>
  <c r="K2255" i="1" a="1"/>
  <c r="K2255" i="1" s="1"/>
  <c r="O2255" i="1" s="1"/>
  <c r="K2256" i="1" a="1"/>
  <c r="K2256" i="1" s="1"/>
  <c r="O2256" i="1" s="1"/>
  <c r="K2257" i="1" a="1"/>
  <c r="K2257" i="1" s="1"/>
  <c r="O2257" i="1" s="1"/>
  <c r="K2258" i="1" a="1"/>
  <c r="K2258" i="1" s="1"/>
  <c r="O2258" i="1" s="1"/>
  <c r="K2259" i="1" a="1"/>
  <c r="K2259" i="1" s="1"/>
  <c r="O2259" i="1" s="1"/>
  <c r="K2260" i="1" a="1"/>
  <c r="K2260" i="1" s="1"/>
  <c r="O2260" i="1" s="1"/>
  <c r="K2261" i="1" a="1"/>
  <c r="K2261" i="1" s="1"/>
  <c r="O2261" i="1" s="1"/>
  <c r="K2262" i="1" a="1"/>
  <c r="K2262" i="1" s="1"/>
  <c r="O2262" i="1" s="1"/>
  <c r="K2263" i="1" a="1"/>
  <c r="K2263" i="1" s="1"/>
  <c r="O2263" i="1" s="1"/>
  <c r="K2264" i="1" a="1"/>
  <c r="K2264" i="1" s="1"/>
  <c r="O2264" i="1" s="1"/>
  <c r="K2265" i="1" a="1"/>
  <c r="K2265" i="1" s="1"/>
  <c r="O2265" i="1" s="1"/>
  <c r="K2266" i="1" a="1"/>
  <c r="K2266" i="1" s="1"/>
  <c r="O2266" i="1" s="1"/>
  <c r="K2267" i="1" a="1"/>
  <c r="K2267" i="1" s="1"/>
  <c r="O2267" i="1" s="1"/>
  <c r="K2268" i="1" a="1"/>
  <c r="K2268" i="1" s="1"/>
  <c r="O2268" i="1" s="1"/>
  <c r="K2269" i="1" a="1"/>
  <c r="K2269" i="1" s="1"/>
  <c r="O2269" i="1" s="1"/>
  <c r="K2270" i="1" a="1"/>
  <c r="K2270" i="1" s="1"/>
  <c r="O2270" i="1" s="1"/>
  <c r="K2271" i="1" a="1"/>
  <c r="K2271" i="1" s="1"/>
  <c r="O2271" i="1" s="1"/>
  <c r="K2272" i="1" a="1"/>
  <c r="K2272" i="1" s="1"/>
  <c r="O2272" i="1" s="1"/>
  <c r="K2273" i="1" a="1"/>
  <c r="K2273" i="1" s="1"/>
  <c r="O2273" i="1" s="1"/>
  <c r="K2274" i="1" a="1"/>
  <c r="K2274" i="1" s="1"/>
  <c r="O2274" i="1" s="1"/>
  <c r="K2275" i="1" a="1"/>
  <c r="K2275" i="1" s="1"/>
  <c r="O2275" i="1" s="1"/>
  <c r="K2276" i="1" a="1"/>
  <c r="K2276" i="1" s="1"/>
  <c r="O2276" i="1" s="1"/>
  <c r="K2277" i="1" a="1"/>
  <c r="K2277" i="1" s="1"/>
  <c r="O2277" i="1" s="1"/>
  <c r="K2278" i="1" a="1"/>
  <c r="K2278" i="1" s="1"/>
  <c r="O2278" i="1" s="1"/>
  <c r="K2279" i="1" a="1"/>
  <c r="K2279" i="1" s="1"/>
  <c r="O2279" i="1" s="1"/>
  <c r="K2280" i="1" a="1"/>
  <c r="K2280" i="1" s="1"/>
  <c r="O2280" i="1" s="1"/>
  <c r="K2281" i="1" a="1"/>
  <c r="K2281" i="1" s="1"/>
  <c r="O2281" i="1" s="1"/>
  <c r="K2282" i="1" a="1"/>
  <c r="K2282" i="1" s="1"/>
  <c r="O2282" i="1" s="1"/>
  <c r="K2283" i="1" a="1"/>
  <c r="K2283" i="1" s="1"/>
  <c r="O2283" i="1" s="1"/>
  <c r="K2284" i="1" a="1"/>
  <c r="K2284" i="1"/>
  <c r="O2284" i="1" s="1"/>
  <c r="K2285" i="1" a="1"/>
  <c r="K2285" i="1" s="1"/>
  <c r="O2285" i="1" s="1"/>
  <c r="K2286" i="1" a="1"/>
  <c r="K2286" i="1" s="1"/>
  <c r="O2286" i="1" s="1"/>
  <c r="K2287" i="1" a="1"/>
  <c r="K2287" i="1" s="1"/>
  <c r="O2287" i="1" s="1"/>
  <c r="K2288" i="1" a="1"/>
  <c r="K2288" i="1" s="1"/>
  <c r="O2288" i="1" s="1"/>
  <c r="K2289" i="1" a="1"/>
  <c r="K2289" i="1" s="1"/>
  <c r="O2289" i="1" s="1"/>
  <c r="K2290" i="1" a="1"/>
  <c r="K2290" i="1"/>
  <c r="O2290" i="1" s="1"/>
  <c r="K2291" i="1" a="1"/>
  <c r="K2291" i="1" s="1"/>
  <c r="O2291" i="1" s="1"/>
  <c r="K2292" i="1" a="1"/>
  <c r="K2292" i="1" s="1"/>
  <c r="O2292" i="1" s="1"/>
  <c r="K2293" i="1" a="1"/>
  <c r="K2293" i="1" s="1"/>
  <c r="O2293" i="1" s="1"/>
  <c r="K2294" i="1" a="1"/>
  <c r="K2294" i="1" s="1"/>
  <c r="O2294" i="1" s="1"/>
  <c r="K2295" i="1" a="1"/>
  <c r="K2295" i="1" s="1"/>
  <c r="O2295" i="1" s="1"/>
  <c r="K2296" i="1" a="1"/>
  <c r="K2296" i="1" s="1"/>
  <c r="O2296" i="1" s="1"/>
  <c r="K2297" i="1" a="1"/>
  <c r="K2297" i="1" s="1"/>
  <c r="O2297" i="1" s="1"/>
  <c r="K2298" i="1" a="1"/>
  <c r="K2298" i="1" s="1"/>
  <c r="O2298" i="1" s="1"/>
  <c r="K2299" i="1" a="1"/>
  <c r="K2299" i="1" s="1"/>
  <c r="O2299" i="1" s="1"/>
  <c r="K2300" i="1" a="1"/>
  <c r="K2300" i="1" s="1"/>
  <c r="O2300" i="1" s="1"/>
  <c r="K2301" i="1" a="1"/>
  <c r="K2301" i="1" s="1"/>
  <c r="O2301" i="1" s="1"/>
  <c r="K2302" i="1" a="1"/>
  <c r="K2302" i="1" s="1"/>
  <c r="O2302" i="1" s="1"/>
  <c r="K2303" i="1" a="1"/>
  <c r="K2303" i="1" s="1"/>
  <c r="O2303" i="1" s="1"/>
  <c r="K2304" i="1" a="1"/>
  <c r="K2304" i="1" s="1"/>
  <c r="O2304" i="1" s="1"/>
  <c r="K2305" i="1" a="1"/>
  <c r="K2305" i="1" s="1"/>
  <c r="O2305" i="1" s="1"/>
  <c r="K2306" i="1" a="1"/>
  <c r="K2306" i="1" s="1"/>
  <c r="O2306" i="1" s="1"/>
  <c r="K2307" i="1" a="1"/>
  <c r="K2307" i="1" s="1"/>
  <c r="O2307" i="1" s="1"/>
  <c r="K2308" i="1" a="1"/>
  <c r="K2308" i="1" s="1"/>
  <c r="O2308" i="1" s="1"/>
  <c r="K2309" i="1" a="1"/>
  <c r="K2309" i="1" s="1"/>
  <c r="O2309" i="1" s="1"/>
  <c r="K2310" i="1" a="1"/>
  <c r="K2310" i="1" s="1"/>
  <c r="O2310" i="1" s="1"/>
  <c r="K2311" i="1" a="1"/>
  <c r="K2311" i="1" s="1"/>
  <c r="O2311" i="1" s="1"/>
  <c r="K2312" i="1" a="1"/>
  <c r="K2312" i="1" s="1"/>
  <c r="O2312" i="1" s="1"/>
  <c r="K2313" i="1" a="1"/>
  <c r="K2313" i="1" s="1"/>
  <c r="O2313" i="1" s="1"/>
  <c r="K2314" i="1" a="1"/>
  <c r="K2314" i="1" s="1"/>
  <c r="O2314" i="1" s="1"/>
  <c r="K2315" i="1" a="1"/>
  <c r="K2315" i="1" s="1"/>
  <c r="O2315" i="1" s="1"/>
  <c r="K2316" i="1" a="1"/>
  <c r="K2316" i="1" s="1"/>
  <c r="O2316" i="1" s="1"/>
  <c r="K2317" i="1" a="1"/>
  <c r="K2317" i="1" s="1"/>
  <c r="O2317" i="1" s="1"/>
  <c r="K2318" i="1" a="1"/>
  <c r="K2318" i="1" s="1"/>
  <c r="K2319" i="1" a="1"/>
  <c r="K2319" i="1" s="1"/>
  <c r="O2319" i="1" s="1"/>
  <c r="K2320" i="1" a="1"/>
  <c r="K2320" i="1" s="1"/>
  <c r="O2320" i="1" s="1"/>
  <c r="K2321" i="1" a="1"/>
  <c r="K2321" i="1" s="1"/>
  <c r="O2321" i="1" s="1"/>
  <c r="K2322" i="1" a="1"/>
  <c r="K2322" i="1" s="1"/>
  <c r="O2322" i="1" s="1"/>
  <c r="K2323" i="1" a="1"/>
  <c r="K2323" i="1" s="1"/>
  <c r="O2323" i="1" s="1"/>
  <c r="K2324" i="1" a="1"/>
  <c r="K2324" i="1" s="1"/>
  <c r="O2324" i="1" s="1"/>
  <c r="K2325" i="1" a="1"/>
  <c r="K2325" i="1" s="1"/>
  <c r="O2325" i="1" s="1"/>
  <c r="K2326" i="1" a="1"/>
  <c r="K2326" i="1" s="1"/>
  <c r="O2326" i="1" s="1"/>
  <c r="K2327" i="1" a="1"/>
  <c r="K2327" i="1" s="1"/>
  <c r="O2327" i="1" s="1"/>
  <c r="K2328" i="1" a="1"/>
  <c r="K2328" i="1" s="1"/>
  <c r="O2328" i="1" s="1"/>
  <c r="K2329" i="1" a="1"/>
  <c r="K2329" i="1" s="1"/>
  <c r="O2329" i="1" s="1"/>
  <c r="K2330" i="1" a="1"/>
  <c r="K2330" i="1" s="1"/>
  <c r="O2330" i="1" s="1"/>
  <c r="K2331" i="1" a="1"/>
  <c r="K2331" i="1" s="1"/>
  <c r="O2331" i="1" s="1"/>
  <c r="K2332" i="1" a="1"/>
  <c r="K2332" i="1" s="1"/>
  <c r="O2332" i="1" s="1"/>
  <c r="K2333" i="1" a="1"/>
  <c r="K2333" i="1" s="1"/>
  <c r="O2333" i="1" s="1"/>
  <c r="K2334" i="1" a="1"/>
  <c r="K2334" i="1" s="1"/>
  <c r="N2334" i="1" s="1"/>
  <c r="K2335" i="1" a="1"/>
  <c r="K2335" i="1" s="1"/>
  <c r="O2335" i="1" s="1"/>
  <c r="K2336" i="1" a="1"/>
  <c r="K2336" i="1" s="1"/>
  <c r="O2336" i="1" s="1"/>
  <c r="K2337" i="1" a="1"/>
  <c r="K2337" i="1" s="1"/>
  <c r="O2337" i="1" s="1"/>
  <c r="K2338" i="1" a="1"/>
  <c r="K2338" i="1"/>
  <c r="O2338" i="1" s="1"/>
  <c r="K2339" i="1" a="1"/>
  <c r="K2339" i="1" s="1"/>
  <c r="O2339" i="1" s="1"/>
  <c r="K2340" i="1" a="1"/>
  <c r="K2340" i="1" s="1"/>
  <c r="O2340" i="1" s="1"/>
  <c r="K2341" i="1" a="1"/>
  <c r="K2341" i="1" s="1"/>
  <c r="O2341" i="1" s="1"/>
  <c r="K2342" i="1" a="1"/>
  <c r="K2342" i="1" s="1"/>
  <c r="O2342" i="1" s="1"/>
  <c r="K2343" i="1" a="1"/>
  <c r="K2343" i="1" s="1"/>
  <c r="O2343" i="1" s="1"/>
  <c r="K2344" i="1" a="1"/>
  <c r="K2344" i="1" s="1"/>
  <c r="O2344" i="1" s="1"/>
  <c r="K2345" i="1" a="1"/>
  <c r="K2345" i="1" s="1"/>
  <c r="O2345" i="1" s="1"/>
  <c r="K2346" i="1" a="1"/>
  <c r="K2346" i="1" s="1"/>
  <c r="O2346" i="1" s="1"/>
  <c r="K2347" i="1" a="1"/>
  <c r="K2347" i="1" s="1"/>
  <c r="O2347" i="1" s="1"/>
  <c r="K2348" i="1" a="1"/>
  <c r="K2348" i="1" s="1"/>
  <c r="O2348" i="1" s="1"/>
  <c r="K2349" i="1" a="1"/>
  <c r="K2349" i="1" s="1"/>
  <c r="O2349" i="1" s="1"/>
  <c r="K2350" i="1" a="1"/>
  <c r="K2350" i="1" s="1"/>
  <c r="O2350" i="1" s="1"/>
  <c r="K2351" i="1" a="1"/>
  <c r="K2351" i="1" s="1"/>
  <c r="O2351" i="1" s="1"/>
  <c r="K2352" i="1" a="1"/>
  <c r="K2352" i="1" s="1"/>
  <c r="O2352" i="1" s="1"/>
  <c r="K2353" i="1" a="1"/>
  <c r="K2353" i="1" s="1"/>
  <c r="O2353" i="1" s="1"/>
  <c r="K2354" i="1" a="1"/>
  <c r="K2354" i="1" s="1"/>
  <c r="O2354" i="1" s="1"/>
  <c r="K2355" i="1" a="1"/>
  <c r="K2355" i="1" s="1"/>
  <c r="O2355" i="1" s="1"/>
  <c r="K2356" i="1" a="1"/>
  <c r="K2356" i="1" s="1"/>
  <c r="O2356" i="1" s="1"/>
  <c r="K2357" i="1" a="1"/>
  <c r="K2357" i="1" s="1"/>
  <c r="O2357" i="1" s="1"/>
  <c r="K2358" i="1" a="1"/>
  <c r="K2358" i="1" s="1"/>
  <c r="O2358" i="1" s="1"/>
  <c r="K2359" i="1" a="1"/>
  <c r="K2359" i="1" s="1"/>
  <c r="O2359" i="1" s="1"/>
  <c r="K2360" i="1" a="1"/>
  <c r="K2360" i="1" s="1"/>
  <c r="O2360" i="1" s="1"/>
  <c r="K2361" i="1" a="1"/>
  <c r="K2361" i="1" s="1"/>
  <c r="O2361" i="1" s="1"/>
  <c r="K2362" i="1" a="1"/>
  <c r="K2362" i="1" s="1"/>
  <c r="O2362" i="1" s="1"/>
  <c r="K2363" i="1" a="1"/>
  <c r="K2363" i="1" s="1"/>
  <c r="O2363" i="1" s="1"/>
  <c r="K2364" i="1" a="1"/>
  <c r="K2364" i="1" s="1"/>
  <c r="O2364" i="1" s="1"/>
  <c r="K2365" i="1" a="1"/>
  <c r="K2365" i="1" s="1"/>
  <c r="O2365" i="1" s="1"/>
  <c r="K2366" i="1" a="1"/>
  <c r="K2366" i="1" s="1"/>
  <c r="O2366" i="1" s="1"/>
  <c r="K2367" i="1" a="1"/>
  <c r="K2367" i="1" s="1"/>
  <c r="O2367" i="1" s="1"/>
  <c r="K2368" i="1" a="1"/>
  <c r="K2368" i="1" s="1"/>
  <c r="O2368" i="1" s="1"/>
  <c r="K2369" i="1" a="1"/>
  <c r="K2369" i="1" s="1"/>
  <c r="O2369" i="1" s="1"/>
  <c r="K2370" i="1" a="1"/>
  <c r="K2370" i="1" s="1"/>
  <c r="O2370" i="1" s="1"/>
  <c r="K2371" i="1" a="1"/>
  <c r="K2371" i="1" s="1"/>
  <c r="O2371" i="1" s="1"/>
  <c r="K2372" i="1" a="1"/>
  <c r="K2372" i="1" s="1"/>
  <c r="O2372" i="1" s="1"/>
  <c r="K2373" i="1" a="1"/>
  <c r="K2373" i="1" s="1"/>
  <c r="O2373" i="1" s="1"/>
  <c r="K2374" i="1" a="1"/>
  <c r="K2374" i="1" s="1"/>
  <c r="O2374" i="1" s="1"/>
  <c r="K2375" i="1" a="1"/>
  <c r="K2375" i="1" s="1"/>
  <c r="O2375" i="1" s="1"/>
  <c r="K2376" i="1" a="1"/>
  <c r="K2376" i="1" s="1"/>
  <c r="O2376" i="1" s="1"/>
  <c r="K2377" i="1" a="1"/>
  <c r="K2377" i="1" s="1"/>
  <c r="O2377" i="1" s="1"/>
  <c r="K2378" i="1" a="1"/>
  <c r="K2378" i="1" s="1"/>
  <c r="O2378" i="1" s="1"/>
  <c r="K2379" i="1" a="1"/>
  <c r="K2379" i="1" s="1"/>
  <c r="O2379" i="1" s="1"/>
  <c r="K2380" i="1" a="1"/>
  <c r="K2380" i="1" s="1"/>
  <c r="O2380" i="1" s="1"/>
  <c r="K2381" i="1" a="1"/>
  <c r="K2381" i="1" s="1"/>
  <c r="O2381" i="1" s="1"/>
  <c r="K2382" i="1" a="1"/>
  <c r="K2382" i="1" s="1"/>
  <c r="O2382" i="1" s="1"/>
  <c r="K2383" i="1" a="1"/>
  <c r="K2383" i="1" s="1"/>
  <c r="O2383" i="1" s="1"/>
  <c r="K2384" i="1" a="1"/>
  <c r="K2384" i="1" s="1"/>
  <c r="O2384" i="1" s="1"/>
  <c r="K2385" i="1" a="1"/>
  <c r="K2385" i="1" s="1"/>
  <c r="O2385" i="1" s="1"/>
  <c r="K2386" i="1" a="1"/>
  <c r="K2386" i="1" s="1"/>
  <c r="O2386" i="1" s="1"/>
  <c r="K2387" i="1" a="1"/>
  <c r="K2387" i="1" s="1"/>
  <c r="O2387" i="1" s="1"/>
  <c r="K2388" i="1" a="1"/>
  <c r="K2388" i="1" s="1"/>
  <c r="O2388" i="1" s="1"/>
  <c r="K2389" i="1" a="1"/>
  <c r="K2389" i="1" s="1"/>
  <c r="O2389" i="1" s="1"/>
  <c r="K2390" i="1" a="1"/>
  <c r="K2390" i="1" s="1"/>
  <c r="O2390" i="1" s="1"/>
  <c r="K2391" i="1" a="1"/>
  <c r="K2391" i="1" s="1"/>
  <c r="O2391" i="1" s="1"/>
  <c r="K2392" i="1" a="1"/>
  <c r="K2392" i="1" s="1"/>
  <c r="O2392" i="1" s="1"/>
  <c r="K2393" i="1" a="1"/>
  <c r="K2393" i="1" s="1"/>
  <c r="O2393" i="1" s="1"/>
  <c r="K2394" i="1" a="1"/>
  <c r="K2394" i="1" s="1"/>
  <c r="O2394" i="1" s="1"/>
  <c r="K2395" i="1" a="1"/>
  <c r="K2395" i="1" s="1"/>
  <c r="O2395" i="1" s="1"/>
  <c r="K2396" i="1" a="1"/>
  <c r="K2396" i="1" s="1"/>
  <c r="O2396" i="1" s="1"/>
  <c r="K2397" i="1" a="1"/>
  <c r="K2397" i="1" s="1"/>
  <c r="O2397" i="1" s="1"/>
  <c r="K2398" i="1" a="1"/>
  <c r="K2398" i="1" s="1"/>
  <c r="O2398" i="1" s="1"/>
  <c r="K2399" i="1" a="1"/>
  <c r="K2399" i="1" s="1"/>
  <c r="O2399" i="1" s="1"/>
  <c r="K2400" i="1" a="1"/>
  <c r="K2400" i="1" s="1"/>
  <c r="O2400" i="1" s="1"/>
  <c r="K2401" i="1" a="1"/>
  <c r="K2401" i="1" s="1"/>
  <c r="O2401" i="1" s="1"/>
  <c r="K2402" i="1" a="1"/>
  <c r="K2402" i="1" s="1"/>
  <c r="O2402" i="1" s="1"/>
  <c r="K2403" i="1" a="1"/>
  <c r="K2403" i="1" s="1"/>
  <c r="O2403" i="1" s="1"/>
  <c r="K2404" i="1" a="1"/>
  <c r="K2404" i="1" s="1"/>
  <c r="O2404" i="1" s="1"/>
  <c r="K2405" i="1" a="1"/>
  <c r="K2405" i="1" s="1"/>
  <c r="O2405" i="1" s="1"/>
  <c r="K2406" i="1" a="1"/>
  <c r="K2406" i="1" s="1"/>
  <c r="O2406" i="1" s="1"/>
  <c r="K2407" i="1" a="1"/>
  <c r="K2407" i="1" s="1"/>
  <c r="O2407" i="1" s="1"/>
  <c r="K2408" i="1" a="1"/>
  <c r="K2408" i="1" s="1"/>
  <c r="O2408" i="1" s="1"/>
  <c r="K2409" i="1" a="1"/>
  <c r="K2409" i="1" s="1"/>
  <c r="O2409" i="1" s="1"/>
  <c r="K2410" i="1" a="1"/>
  <c r="K2410" i="1" s="1"/>
  <c r="O2410" i="1" s="1"/>
  <c r="K2411" i="1" a="1"/>
  <c r="K2411" i="1" s="1"/>
  <c r="O2411" i="1" s="1"/>
  <c r="K2412" i="1" a="1"/>
  <c r="K2412" i="1" s="1"/>
  <c r="O2412" i="1" s="1"/>
  <c r="K2413" i="1" a="1"/>
  <c r="K2413" i="1" s="1"/>
  <c r="O2413" i="1" s="1"/>
  <c r="K2414" i="1" a="1"/>
  <c r="K2414" i="1" s="1"/>
  <c r="O2414" i="1" s="1"/>
  <c r="K2415" i="1" a="1"/>
  <c r="K2415" i="1" s="1"/>
  <c r="O2415" i="1" s="1"/>
  <c r="K2416" i="1" a="1"/>
  <c r="K2416" i="1" s="1"/>
  <c r="O2416" i="1" s="1"/>
  <c r="K2417" i="1" a="1"/>
  <c r="K2417" i="1" s="1"/>
  <c r="O2417" i="1" s="1"/>
  <c r="K2418" i="1" a="1"/>
  <c r="K2418" i="1" s="1"/>
  <c r="O2418" i="1" s="1"/>
  <c r="K2419" i="1" a="1"/>
  <c r="K2419" i="1" s="1"/>
  <c r="O2419" i="1" s="1"/>
  <c r="K2420" i="1" a="1"/>
  <c r="K2420" i="1" s="1"/>
  <c r="O2420" i="1" s="1"/>
  <c r="K2421" i="1" a="1"/>
  <c r="K2421" i="1" s="1"/>
  <c r="O2421" i="1" s="1"/>
  <c r="K2422" i="1" a="1"/>
  <c r="K2422" i="1" s="1"/>
  <c r="O2422" i="1" s="1"/>
  <c r="K2423" i="1" a="1"/>
  <c r="K2423" i="1" s="1"/>
  <c r="O2423" i="1" s="1"/>
  <c r="K2424" i="1" a="1"/>
  <c r="K2424" i="1" s="1"/>
  <c r="O2424" i="1" s="1"/>
  <c r="K2425" i="1" a="1"/>
  <c r="K2425" i="1" s="1"/>
  <c r="O2425" i="1" s="1"/>
  <c r="K2426" i="1" a="1"/>
  <c r="K2426" i="1" s="1"/>
  <c r="O2426" i="1" s="1"/>
  <c r="K2427" i="1" a="1"/>
  <c r="K2427" i="1" s="1"/>
  <c r="O2427" i="1" s="1"/>
  <c r="K2428" i="1" a="1"/>
  <c r="K2428" i="1" s="1"/>
  <c r="O2428" i="1" s="1"/>
  <c r="K2429" i="1" a="1"/>
  <c r="K2429" i="1" s="1"/>
  <c r="O2429" i="1" s="1"/>
  <c r="K2430" i="1" a="1"/>
  <c r="K2430" i="1" s="1"/>
  <c r="O2430" i="1" s="1"/>
  <c r="K2431" i="1" a="1"/>
  <c r="K2431" i="1" s="1"/>
  <c r="O2431" i="1" s="1"/>
  <c r="K2432" i="1" a="1"/>
  <c r="K2432" i="1" s="1"/>
  <c r="O2432" i="1" s="1"/>
  <c r="K2433" i="1" a="1"/>
  <c r="K2433" i="1" s="1"/>
  <c r="O2433" i="1" s="1"/>
  <c r="K2434" i="1" a="1"/>
  <c r="K2434" i="1" s="1"/>
  <c r="O2434" i="1" s="1"/>
  <c r="K2435" i="1" a="1"/>
  <c r="K2435" i="1" s="1"/>
  <c r="O2435" i="1" s="1"/>
  <c r="K2436" i="1" a="1"/>
  <c r="K2436" i="1" s="1"/>
  <c r="O2436" i="1" s="1"/>
  <c r="K2437" i="1" a="1"/>
  <c r="K2437" i="1" s="1"/>
  <c r="O2437" i="1" s="1"/>
  <c r="K2438" i="1" a="1"/>
  <c r="K2438" i="1" s="1"/>
  <c r="O2438" i="1" s="1"/>
  <c r="K2439" i="1" a="1"/>
  <c r="K2439" i="1" s="1"/>
  <c r="O2439" i="1" s="1"/>
  <c r="K2440" i="1" a="1"/>
  <c r="K2440" i="1" s="1"/>
  <c r="O2440" i="1" s="1"/>
  <c r="K2441" i="1" a="1"/>
  <c r="K2441" i="1" s="1"/>
  <c r="O2441" i="1" s="1"/>
  <c r="K2442" i="1" a="1"/>
  <c r="K2442" i="1" s="1"/>
  <c r="O2442" i="1" s="1"/>
  <c r="K2443" i="1" a="1"/>
  <c r="K2443" i="1" s="1"/>
  <c r="O2443" i="1" s="1"/>
  <c r="K2444" i="1" a="1"/>
  <c r="K2444" i="1" s="1"/>
  <c r="O2444" i="1" s="1"/>
  <c r="K2445" i="1" a="1"/>
  <c r="K2445" i="1" s="1"/>
  <c r="O2445" i="1" s="1"/>
  <c r="K2446" i="1" a="1"/>
  <c r="K2446" i="1" s="1"/>
  <c r="O2446" i="1" s="1"/>
  <c r="K2447" i="1" a="1"/>
  <c r="K2447" i="1" s="1"/>
  <c r="O2447" i="1" s="1"/>
  <c r="K2448" i="1" a="1"/>
  <c r="K2448" i="1" s="1"/>
  <c r="O2448" i="1" s="1"/>
  <c r="K2449" i="1" a="1"/>
  <c r="K2449" i="1" s="1"/>
  <c r="O2449" i="1" s="1"/>
  <c r="K2450" i="1" a="1"/>
  <c r="K2450" i="1" s="1"/>
  <c r="O2450" i="1" s="1"/>
  <c r="K2451" i="1" a="1"/>
  <c r="K2451" i="1" s="1"/>
  <c r="O2451" i="1" s="1"/>
  <c r="K2452" i="1" a="1"/>
  <c r="K2452" i="1" s="1"/>
  <c r="O2452" i="1" s="1"/>
  <c r="K2453" i="1" a="1"/>
  <c r="K2453" i="1" s="1"/>
  <c r="O2453" i="1" s="1"/>
  <c r="K2454" i="1" a="1"/>
  <c r="K2454" i="1" s="1"/>
  <c r="O2454" i="1" s="1"/>
  <c r="K2455" i="1" a="1"/>
  <c r="K2455" i="1" s="1"/>
  <c r="O2455" i="1" s="1"/>
  <c r="K2456" i="1" a="1"/>
  <c r="K2456" i="1" s="1"/>
  <c r="O2456" i="1" s="1"/>
  <c r="K2457" i="1" a="1"/>
  <c r="K2457" i="1" s="1"/>
  <c r="O2457" i="1" s="1"/>
  <c r="K2458" i="1" a="1"/>
  <c r="K2458" i="1" s="1"/>
  <c r="O2458" i="1" s="1"/>
  <c r="K2459" i="1" a="1"/>
  <c r="K2459" i="1" s="1"/>
  <c r="O2459" i="1" s="1"/>
  <c r="K2460" i="1" a="1"/>
  <c r="K2460" i="1" s="1"/>
  <c r="O2460" i="1" s="1"/>
  <c r="K2461" i="1" a="1"/>
  <c r="K2461" i="1" s="1"/>
  <c r="O2461" i="1" s="1"/>
  <c r="K2462" i="1" a="1"/>
  <c r="K2462" i="1" s="1"/>
  <c r="O2462" i="1" s="1"/>
  <c r="K2463" i="1" a="1"/>
  <c r="K2463" i="1" s="1"/>
  <c r="O2463" i="1" s="1"/>
  <c r="K2464" i="1" a="1"/>
  <c r="K2464" i="1" s="1"/>
  <c r="O2464" i="1" s="1"/>
  <c r="K2465" i="1" a="1"/>
  <c r="K2465" i="1" s="1"/>
  <c r="O2465" i="1" s="1"/>
  <c r="K2466" i="1" a="1"/>
  <c r="K2466" i="1" s="1"/>
  <c r="O2466" i="1" s="1"/>
  <c r="K2467" i="1" a="1"/>
  <c r="K2467" i="1" s="1"/>
  <c r="O2467" i="1" s="1"/>
  <c r="K2468" i="1" a="1"/>
  <c r="K2468" i="1" s="1"/>
  <c r="O2468" i="1" s="1"/>
  <c r="K2469" i="1" a="1"/>
  <c r="K2469" i="1" s="1"/>
  <c r="O2469" i="1" s="1"/>
  <c r="K2470" i="1" a="1"/>
  <c r="K2470" i="1" s="1"/>
  <c r="O2470" i="1" s="1"/>
  <c r="K2471" i="1" a="1"/>
  <c r="K2471" i="1" s="1"/>
  <c r="O2471" i="1" s="1"/>
  <c r="K2472" i="1" a="1"/>
  <c r="K2472" i="1" s="1"/>
  <c r="O2472" i="1" s="1"/>
  <c r="K2473" i="1" a="1"/>
  <c r="K2473" i="1" s="1"/>
  <c r="O2473" i="1" s="1"/>
  <c r="K2474" i="1" a="1"/>
  <c r="K2474" i="1" s="1"/>
  <c r="O2474" i="1" s="1"/>
  <c r="K2475" i="1" a="1"/>
  <c r="K2475" i="1" s="1"/>
  <c r="O2475" i="1" s="1"/>
  <c r="K2476" i="1" a="1"/>
  <c r="K2476" i="1"/>
  <c r="O2476" i="1" s="1"/>
  <c r="K2477" i="1" a="1"/>
  <c r="K2477" i="1" s="1"/>
  <c r="O2477" i="1" s="1"/>
  <c r="K2478" i="1" a="1"/>
  <c r="K2478" i="1" s="1"/>
  <c r="O2478" i="1" s="1"/>
  <c r="K2479" i="1" a="1"/>
  <c r="K2479" i="1"/>
  <c r="O2479" i="1" s="1"/>
  <c r="K2480" i="1" a="1"/>
  <c r="K2480" i="1" s="1"/>
  <c r="O2480" i="1" s="1"/>
  <c r="K2481" i="1" a="1"/>
  <c r="K2481" i="1" s="1"/>
  <c r="O2481" i="1" s="1"/>
  <c r="K2482" i="1" a="1"/>
  <c r="K2482" i="1" s="1"/>
  <c r="O2482" i="1" s="1"/>
  <c r="K2483" i="1" a="1"/>
  <c r="K2483" i="1" s="1"/>
  <c r="O2483" i="1" s="1"/>
  <c r="K2484" i="1" a="1"/>
  <c r="K2484" i="1" s="1"/>
  <c r="O2484" i="1" s="1"/>
  <c r="K2485" i="1" a="1"/>
  <c r="K2485" i="1" s="1"/>
  <c r="O2485" i="1" s="1"/>
  <c r="K2486" i="1" a="1"/>
  <c r="K2486" i="1" s="1"/>
  <c r="O2486" i="1" s="1"/>
  <c r="K2487" i="1" a="1"/>
  <c r="K2487" i="1" s="1"/>
  <c r="O2487" i="1" s="1"/>
  <c r="K2488" i="1" a="1"/>
  <c r="K2488" i="1" s="1"/>
  <c r="O2488" i="1" s="1"/>
  <c r="K2489" i="1" a="1"/>
  <c r="K2489" i="1" s="1"/>
  <c r="O2489" i="1" s="1"/>
  <c r="K2490" i="1" a="1"/>
  <c r="K2490" i="1" s="1"/>
  <c r="K2491" i="1" a="1"/>
  <c r="K2491" i="1" s="1"/>
  <c r="K2492" i="1" a="1"/>
  <c r="K2492" i="1" s="1"/>
  <c r="K2493" i="1" a="1"/>
  <c r="K2493" i="1" s="1"/>
  <c r="O2493" i="1" s="1"/>
  <c r="K2494" i="1" a="1"/>
  <c r="K2494" i="1" s="1"/>
  <c r="O2494" i="1" s="1"/>
  <c r="K2495" i="1" a="1"/>
  <c r="K2495" i="1" s="1"/>
  <c r="O2495" i="1" s="1"/>
  <c r="K2496" i="1" a="1"/>
  <c r="K2496" i="1" s="1"/>
  <c r="O2496" i="1" s="1"/>
  <c r="K2497" i="1" a="1"/>
  <c r="K2497" i="1" s="1"/>
  <c r="O2497" i="1" s="1"/>
  <c r="K2498" i="1" a="1"/>
  <c r="K2498" i="1" s="1"/>
  <c r="O2498" i="1" s="1"/>
  <c r="K2499" i="1" a="1"/>
  <c r="K2499" i="1" s="1"/>
  <c r="O2499" i="1" s="1"/>
  <c r="K2500" i="1" a="1"/>
  <c r="K2500" i="1" s="1"/>
  <c r="O2500" i="1" s="1"/>
  <c r="K2501" i="1" a="1"/>
  <c r="K2501" i="1" s="1"/>
  <c r="O2501" i="1" s="1"/>
  <c r="K2502" i="1" a="1"/>
  <c r="K2502" i="1" s="1"/>
  <c r="O2502" i="1" s="1"/>
  <c r="K2503" i="1" a="1"/>
  <c r="K2503" i="1" s="1"/>
  <c r="O2503" i="1" s="1"/>
  <c r="K2504" i="1" a="1"/>
  <c r="K2504" i="1" s="1"/>
  <c r="O2504" i="1" s="1"/>
  <c r="K2505" i="1" a="1"/>
  <c r="K2505" i="1" s="1"/>
  <c r="O2505" i="1" s="1"/>
  <c r="K2506" i="1" a="1"/>
  <c r="K2506" i="1" s="1"/>
  <c r="O2506" i="1" s="1"/>
  <c r="K2507" i="1" a="1"/>
  <c r="K2507" i="1" s="1"/>
  <c r="O2507" i="1" s="1"/>
  <c r="K2508" i="1" a="1"/>
  <c r="K2508" i="1" s="1"/>
  <c r="O2508" i="1" s="1"/>
  <c r="K2509" i="1" a="1"/>
  <c r="K2509" i="1" s="1"/>
  <c r="O2509" i="1" s="1"/>
  <c r="K2510" i="1" a="1"/>
  <c r="K2510" i="1" s="1"/>
  <c r="O2510" i="1" s="1"/>
  <c r="K2511" i="1" a="1"/>
  <c r="K2511" i="1" s="1"/>
  <c r="O2511" i="1" s="1"/>
  <c r="K2512" i="1" a="1"/>
  <c r="K2512" i="1" s="1"/>
  <c r="O2512" i="1" s="1"/>
  <c r="K2513" i="1" a="1"/>
  <c r="K2513" i="1" s="1"/>
  <c r="O2513" i="1" s="1"/>
  <c r="K2514" i="1" a="1"/>
  <c r="K2514" i="1" s="1"/>
  <c r="O2514" i="1" s="1"/>
  <c r="K2515" i="1" a="1"/>
  <c r="K2515" i="1" s="1"/>
  <c r="O2515" i="1" s="1"/>
  <c r="K2516" i="1" a="1"/>
  <c r="K2516" i="1" s="1"/>
  <c r="O2516" i="1" s="1"/>
  <c r="K2517" i="1" a="1"/>
  <c r="K2517" i="1" s="1"/>
  <c r="O2517" i="1" s="1"/>
  <c r="K2518" i="1" a="1"/>
  <c r="K2518" i="1" s="1"/>
  <c r="O2518" i="1" s="1"/>
  <c r="K2519" i="1" a="1"/>
  <c r="K2519" i="1" s="1"/>
  <c r="O2519" i="1" s="1"/>
  <c r="K2520" i="1" a="1"/>
  <c r="K2520" i="1" s="1"/>
  <c r="O2520" i="1" s="1"/>
  <c r="K2521" i="1" a="1"/>
  <c r="K2521" i="1" s="1"/>
  <c r="O2521" i="1" s="1"/>
  <c r="K2522" i="1" a="1"/>
  <c r="K2522" i="1" s="1"/>
  <c r="O2522" i="1" s="1"/>
  <c r="K2523" i="1" a="1"/>
  <c r="K2523" i="1" s="1"/>
  <c r="O2523" i="1" s="1"/>
  <c r="K2524" i="1" a="1"/>
  <c r="K2524" i="1" s="1"/>
  <c r="O2524" i="1" s="1"/>
  <c r="K2525" i="1" a="1"/>
  <c r="K2525" i="1" s="1"/>
  <c r="O2525" i="1" s="1"/>
  <c r="K2526" i="1" a="1"/>
  <c r="K2526" i="1" s="1"/>
  <c r="O2526" i="1" s="1"/>
  <c r="K2527" i="1" a="1"/>
  <c r="K2527" i="1" s="1"/>
  <c r="O2527" i="1" s="1"/>
  <c r="K2528" i="1" a="1"/>
  <c r="K2528" i="1" s="1"/>
  <c r="O2528" i="1" s="1"/>
  <c r="K2529" i="1" a="1"/>
  <c r="K2529" i="1" s="1"/>
  <c r="O2529" i="1" s="1"/>
  <c r="K2530" i="1" a="1"/>
  <c r="K2530" i="1" s="1"/>
  <c r="O2530" i="1" s="1"/>
  <c r="K2531" i="1" a="1"/>
  <c r="K2531" i="1" s="1"/>
  <c r="O2531" i="1" s="1"/>
  <c r="K2532" i="1" a="1"/>
  <c r="K2532" i="1" s="1"/>
  <c r="O2532" i="1" s="1"/>
  <c r="K2533" i="1" a="1"/>
  <c r="K2533" i="1" s="1"/>
  <c r="O2533" i="1" s="1"/>
  <c r="K2534" i="1" a="1"/>
  <c r="K2534" i="1" s="1"/>
  <c r="O2534" i="1" s="1"/>
  <c r="K2535" i="1" a="1"/>
  <c r="K2535" i="1" s="1"/>
  <c r="O2535" i="1" s="1"/>
  <c r="K2536" i="1" a="1"/>
  <c r="K2536" i="1" s="1"/>
  <c r="O2536" i="1" s="1"/>
  <c r="K2537" i="1" a="1"/>
  <c r="K2537" i="1" s="1"/>
  <c r="O2537" i="1" s="1"/>
  <c r="K2538" i="1" a="1"/>
  <c r="K2538" i="1" s="1"/>
  <c r="O2538" i="1" s="1"/>
  <c r="K2539" i="1" a="1"/>
  <c r="K2539" i="1" s="1"/>
  <c r="O2539" i="1" s="1"/>
  <c r="K2540" i="1" a="1"/>
  <c r="K2540" i="1" s="1"/>
  <c r="O2540" i="1" s="1"/>
  <c r="K2541" i="1" a="1"/>
  <c r="K2541" i="1" s="1"/>
  <c r="O2541" i="1" s="1"/>
  <c r="K2542" i="1" a="1"/>
  <c r="K2542" i="1" s="1"/>
  <c r="O2542" i="1" s="1"/>
  <c r="K2543" i="1" a="1"/>
  <c r="K2543" i="1" s="1"/>
  <c r="O2543" i="1" s="1"/>
  <c r="K2544" i="1" a="1"/>
  <c r="K2544" i="1" s="1"/>
  <c r="O2544" i="1" s="1"/>
  <c r="K2545" i="1" a="1"/>
  <c r="K2545" i="1" s="1"/>
  <c r="O2545" i="1" s="1"/>
  <c r="K2546" i="1" a="1"/>
  <c r="K2546" i="1" s="1"/>
  <c r="K2547" i="1" a="1"/>
  <c r="K2547" i="1" s="1"/>
  <c r="O2547" i="1" s="1"/>
  <c r="K2548" i="1" a="1"/>
  <c r="K2548" i="1" s="1"/>
  <c r="O2548" i="1" s="1"/>
  <c r="K2549" i="1" a="1"/>
  <c r="K2549" i="1" s="1"/>
  <c r="O2549" i="1" s="1"/>
  <c r="K2550" i="1" a="1"/>
  <c r="K2550" i="1" s="1"/>
  <c r="O2550" i="1" s="1"/>
  <c r="K2551" i="1" a="1"/>
  <c r="K2551" i="1" s="1"/>
  <c r="O2551" i="1" s="1"/>
  <c r="K2552" i="1" a="1"/>
  <c r="K2552" i="1" s="1"/>
  <c r="O2552" i="1" s="1"/>
  <c r="K2553" i="1" a="1"/>
  <c r="K2553" i="1" s="1"/>
  <c r="O2553" i="1" s="1"/>
  <c r="K2554" i="1" a="1"/>
  <c r="K2554" i="1" s="1"/>
  <c r="O2554" i="1" s="1"/>
  <c r="K2555" i="1" a="1"/>
  <c r="K2555" i="1" s="1"/>
  <c r="O2555" i="1" s="1"/>
  <c r="K2556" i="1" a="1"/>
  <c r="K2556" i="1" s="1"/>
  <c r="O2556" i="1" s="1"/>
  <c r="K2557" i="1" a="1"/>
  <c r="K2557" i="1" s="1"/>
  <c r="O2557" i="1" s="1"/>
  <c r="K2558" i="1" a="1"/>
  <c r="K2558" i="1" s="1"/>
  <c r="O2558" i="1" s="1"/>
  <c r="K2559" i="1" a="1"/>
  <c r="K2559" i="1" s="1"/>
  <c r="O2559" i="1" s="1"/>
  <c r="K2560" i="1" a="1"/>
  <c r="K2560" i="1" s="1"/>
  <c r="O2560" i="1" s="1"/>
  <c r="K2561" i="1" a="1"/>
  <c r="K2561" i="1" s="1"/>
  <c r="O2561" i="1" s="1"/>
  <c r="K2562" i="1" a="1"/>
  <c r="K2562" i="1" s="1"/>
  <c r="K2563" i="1" a="1"/>
  <c r="K2563" i="1" s="1"/>
  <c r="O2563" i="1" s="1"/>
  <c r="K2564" i="1" a="1"/>
  <c r="K2564" i="1" s="1"/>
  <c r="O2564" i="1" s="1"/>
  <c r="K2565" i="1" a="1"/>
  <c r="K2565" i="1" s="1"/>
  <c r="O2565" i="1" s="1"/>
  <c r="K2566" i="1" a="1"/>
  <c r="K2566" i="1"/>
  <c r="O2566" i="1" s="1"/>
  <c r="K2567" i="1" a="1"/>
  <c r="K2567" i="1" s="1"/>
  <c r="O2567" i="1" s="1"/>
  <c r="K2568" i="1" a="1"/>
  <c r="K2568" i="1" s="1"/>
  <c r="O2568" i="1" s="1"/>
  <c r="K2569" i="1" a="1"/>
  <c r="K2569" i="1" s="1"/>
  <c r="O2569" i="1" s="1"/>
  <c r="K2570" i="1" a="1"/>
  <c r="K2570" i="1" s="1"/>
  <c r="O2570" i="1" s="1"/>
  <c r="K2571" i="1" a="1"/>
  <c r="K2571" i="1" s="1"/>
  <c r="O2571" i="1" s="1"/>
  <c r="K2572" i="1" a="1"/>
  <c r="K2572" i="1" s="1"/>
  <c r="O2572" i="1" s="1"/>
  <c r="K2573" i="1" a="1"/>
  <c r="K2573" i="1" s="1"/>
  <c r="O2573" i="1" s="1"/>
  <c r="K2574" i="1" a="1"/>
  <c r="K2574" i="1" s="1"/>
  <c r="O2574" i="1" s="1"/>
  <c r="K2575" i="1" a="1"/>
  <c r="K2575" i="1" s="1"/>
  <c r="O2575" i="1" s="1"/>
  <c r="K2576" i="1" a="1"/>
  <c r="K2576" i="1" s="1"/>
  <c r="O2576" i="1" s="1"/>
  <c r="K2577" i="1" a="1"/>
  <c r="K2577" i="1" s="1"/>
  <c r="O2577" i="1" s="1"/>
  <c r="K2578" i="1" a="1"/>
  <c r="K2578" i="1" s="1"/>
  <c r="O2578" i="1" s="1"/>
  <c r="K2579" i="1" a="1"/>
  <c r="K2579" i="1" s="1"/>
  <c r="O2579" i="1" s="1"/>
  <c r="K2580" i="1" a="1"/>
  <c r="K2580" i="1" s="1"/>
  <c r="O2580" i="1" s="1"/>
  <c r="K2581" i="1" a="1"/>
  <c r="K2581" i="1" s="1"/>
  <c r="O2581" i="1" s="1"/>
  <c r="K2582" i="1" a="1"/>
  <c r="K2582" i="1" s="1"/>
  <c r="O2582" i="1" s="1"/>
  <c r="K2583" i="1" a="1"/>
  <c r="K2583" i="1" s="1"/>
  <c r="O2583" i="1" s="1"/>
  <c r="K2584" i="1" a="1"/>
  <c r="K2584" i="1" s="1"/>
  <c r="O2584" i="1" s="1"/>
  <c r="K2585" i="1" a="1"/>
  <c r="K2585" i="1" s="1"/>
  <c r="O2585" i="1" s="1"/>
  <c r="K2586" i="1" a="1"/>
  <c r="K2586" i="1" s="1"/>
  <c r="O2586" i="1" s="1"/>
  <c r="K2587" i="1" a="1"/>
  <c r="K2587" i="1" s="1"/>
  <c r="O2587" i="1" s="1"/>
  <c r="K2588" i="1" a="1"/>
  <c r="K2588" i="1" s="1"/>
  <c r="O2588" i="1" s="1"/>
  <c r="K2589" i="1" a="1"/>
  <c r="K2589" i="1" s="1"/>
  <c r="O2589" i="1" s="1"/>
  <c r="K2590" i="1" a="1"/>
  <c r="K2590" i="1" s="1"/>
  <c r="O2590" i="1" s="1"/>
  <c r="K2591" i="1" a="1"/>
  <c r="K2591" i="1" s="1"/>
  <c r="O2591" i="1" s="1"/>
  <c r="K2592" i="1" a="1"/>
  <c r="K2592" i="1" s="1"/>
  <c r="O2592" i="1" s="1"/>
  <c r="K2593" i="1" a="1"/>
  <c r="K2593" i="1" s="1"/>
  <c r="O2593" i="1" s="1"/>
  <c r="K2594" i="1" a="1"/>
  <c r="K2594" i="1" s="1"/>
  <c r="O2594" i="1" s="1"/>
  <c r="K2595" i="1" a="1"/>
  <c r="K2595" i="1" s="1"/>
  <c r="O2595" i="1" s="1"/>
  <c r="K2596" i="1" a="1"/>
  <c r="K2596" i="1" s="1"/>
  <c r="O2596" i="1" s="1"/>
  <c r="K2597" i="1" a="1"/>
  <c r="K2597" i="1" s="1"/>
  <c r="O2597" i="1" s="1"/>
  <c r="K2598" i="1" a="1"/>
  <c r="K2598" i="1" s="1"/>
  <c r="O2598" i="1" s="1"/>
  <c r="K2599" i="1" a="1"/>
  <c r="K2599" i="1" s="1"/>
  <c r="O2599" i="1" s="1"/>
  <c r="K2600" i="1" a="1"/>
  <c r="K2600" i="1" s="1"/>
  <c r="O2600" i="1" s="1"/>
  <c r="K2601" i="1" a="1"/>
  <c r="K2601" i="1" s="1"/>
  <c r="O2601" i="1" s="1"/>
  <c r="K2602" i="1" a="1"/>
  <c r="K2602" i="1" s="1"/>
  <c r="O2602" i="1" s="1"/>
  <c r="K2603" i="1" a="1"/>
  <c r="K2603" i="1"/>
  <c r="O2603" i="1" s="1"/>
  <c r="K2604" i="1" a="1"/>
  <c r="K2604" i="1" s="1"/>
  <c r="O2604" i="1" s="1"/>
  <c r="K2605" i="1" a="1"/>
  <c r="K2605" i="1" s="1"/>
  <c r="O2605" i="1" s="1"/>
  <c r="K2606" i="1" a="1"/>
  <c r="K2606" i="1" s="1"/>
  <c r="O2606" i="1" s="1"/>
  <c r="K2607" i="1" a="1"/>
  <c r="K2607" i="1" s="1"/>
  <c r="O2607" i="1" s="1"/>
  <c r="K2608" i="1" a="1"/>
  <c r="K2608" i="1" s="1"/>
  <c r="K2609" i="1" a="1"/>
  <c r="K2609" i="1" s="1"/>
  <c r="O2609" i="1" s="1"/>
  <c r="K2610" i="1" a="1"/>
  <c r="K2610" i="1" s="1"/>
  <c r="O2610" i="1" s="1"/>
  <c r="K2611" i="1" a="1"/>
  <c r="K2611" i="1" s="1"/>
  <c r="O2611" i="1" s="1"/>
  <c r="K2612" i="1" a="1"/>
  <c r="K2612" i="1" s="1"/>
  <c r="O2612" i="1" s="1"/>
  <c r="K2613" i="1" a="1"/>
  <c r="K2613" i="1" s="1"/>
  <c r="O2613" i="1" s="1"/>
  <c r="K2614" i="1" a="1"/>
  <c r="K2614" i="1" s="1"/>
  <c r="O2614" i="1" s="1"/>
  <c r="K2615" i="1" a="1"/>
  <c r="K2615" i="1" s="1"/>
  <c r="O2615" i="1" s="1"/>
  <c r="K2616" i="1" a="1"/>
  <c r="K2616" i="1" s="1"/>
  <c r="O2616" i="1" s="1"/>
  <c r="K2617" i="1" a="1"/>
  <c r="K2617" i="1" s="1"/>
  <c r="O2617" i="1" s="1"/>
  <c r="K2618" i="1" a="1"/>
  <c r="K2618" i="1" s="1"/>
  <c r="O2618" i="1" s="1"/>
  <c r="K2619" i="1" a="1"/>
  <c r="K2619" i="1" s="1"/>
  <c r="O2619" i="1" s="1"/>
  <c r="K2620" i="1" a="1"/>
  <c r="K2620" i="1" s="1"/>
  <c r="O2620" i="1" s="1"/>
  <c r="K2621" i="1" a="1"/>
  <c r="K2621" i="1" s="1"/>
  <c r="O2621" i="1" s="1"/>
  <c r="K2622" i="1" a="1"/>
  <c r="K2622" i="1" s="1"/>
  <c r="O2622" i="1" s="1"/>
  <c r="K2623" i="1" a="1"/>
  <c r="K2623" i="1" s="1"/>
  <c r="O2623" i="1" s="1"/>
  <c r="K2624" i="1" a="1"/>
  <c r="K2624" i="1" s="1"/>
  <c r="O2624" i="1" s="1"/>
  <c r="K2625" i="1" a="1"/>
  <c r="K2625" i="1" s="1"/>
  <c r="O2625" i="1" s="1"/>
  <c r="K2626" i="1" a="1"/>
  <c r="K2626" i="1"/>
  <c r="O2626" i="1" s="1"/>
  <c r="K2627" i="1" a="1"/>
  <c r="K2627" i="1" s="1"/>
  <c r="O2627" i="1" s="1"/>
  <c r="K2628" i="1" a="1"/>
  <c r="K2628" i="1" s="1"/>
  <c r="O2628" i="1" s="1"/>
  <c r="K2629" i="1" a="1"/>
  <c r="K2629" i="1" s="1"/>
  <c r="O2629" i="1" s="1"/>
  <c r="K2630" i="1" a="1"/>
  <c r="K2630" i="1" s="1"/>
  <c r="K2631" i="1" a="1"/>
  <c r="K2631" i="1" s="1"/>
  <c r="K2632" i="1" a="1"/>
  <c r="K2632" i="1"/>
  <c r="O2632" i="1" s="1"/>
  <c r="K2633" i="1" a="1"/>
  <c r="K2633" i="1" s="1"/>
  <c r="O2633" i="1" s="1"/>
  <c r="K2634" i="1" a="1"/>
  <c r="K2634" i="1" s="1"/>
  <c r="O2634" i="1" s="1"/>
  <c r="K2635" i="1" a="1"/>
  <c r="K2635" i="1" s="1"/>
  <c r="O2635" i="1" s="1"/>
  <c r="K2636" i="1" a="1"/>
  <c r="K2636" i="1" s="1"/>
  <c r="K2637" i="1" a="1"/>
  <c r="K2637" i="1" s="1"/>
  <c r="O2637" i="1" s="1"/>
  <c r="K2638" i="1" a="1"/>
  <c r="K2638" i="1" s="1"/>
  <c r="O2638" i="1" s="1"/>
  <c r="K2639" i="1" a="1"/>
  <c r="K2639" i="1" s="1"/>
  <c r="O2639" i="1" s="1"/>
  <c r="K2640" i="1" a="1"/>
  <c r="K2640" i="1" s="1"/>
  <c r="O2640" i="1" s="1"/>
  <c r="K2641" i="1" a="1"/>
  <c r="K2641" i="1" s="1"/>
  <c r="O2641" i="1" s="1"/>
  <c r="K2642" i="1" a="1"/>
  <c r="K2642" i="1" s="1"/>
  <c r="O2642" i="1" s="1"/>
  <c r="K2643" i="1" a="1"/>
  <c r="K2643" i="1" s="1"/>
  <c r="O2643" i="1" s="1"/>
  <c r="K2644" i="1" a="1"/>
  <c r="K2644" i="1" s="1"/>
  <c r="O2644" i="1" s="1"/>
  <c r="K2645" i="1" a="1"/>
  <c r="K2645" i="1" s="1"/>
  <c r="O2645" i="1" s="1"/>
  <c r="K2646" i="1" a="1"/>
  <c r="K2646" i="1" s="1"/>
  <c r="O2646" i="1" s="1"/>
  <c r="K2647" i="1" a="1"/>
  <c r="K2647" i="1" s="1"/>
  <c r="O2647" i="1" s="1"/>
  <c r="K2648" i="1" a="1"/>
  <c r="K2648" i="1"/>
  <c r="O2648" i="1" s="1"/>
  <c r="K2649" i="1" a="1"/>
  <c r="K2649" i="1" s="1"/>
  <c r="O2649" i="1" s="1"/>
  <c r="K2650" i="1" a="1"/>
  <c r="K2650" i="1" s="1"/>
  <c r="O2650" i="1" s="1"/>
  <c r="K2651" i="1" a="1"/>
  <c r="K2651" i="1" s="1"/>
  <c r="O2651" i="1" s="1"/>
  <c r="K2652" i="1" a="1"/>
  <c r="K2652" i="1" s="1"/>
  <c r="O2652" i="1" s="1"/>
  <c r="K2653" i="1" a="1"/>
  <c r="K2653" i="1" s="1"/>
  <c r="O2653" i="1" s="1"/>
  <c r="K2654" i="1" a="1"/>
  <c r="K2654" i="1" s="1"/>
  <c r="O2654" i="1" s="1"/>
  <c r="K2655" i="1" a="1"/>
  <c r="K2655" i="1"/>
  <c r="O2655" i="1" s="1"/>
  <c r="K2656" i="1" a="1"/>
  <c r="K2656" i="1" s="1"/>
  <c r="O2656" i="1" s="1"/>
  <c r="K2657" i="1" a="1"/>
  <c r="K2657" i="1" s="1"/>
  <c r="O2657" i="1" s="1"/>
  <c r="K2658" i="1" a="1"/>
  <c r="K2658" i="1" s="1"/>
  <c r="O2658" i="1" s="1"/>
  <c r="K2659" i="1" a="1"/>
  <c r="K2659" i="1" s="1"/>
  <c r="O2659" i="1" s="1"/>
  <c r="K2660" i="1" a="1"/>
  <c r="K2660" i="1" s="1"/>
  <c r="O2660" i="1" s="1"/>
  <c r="K2661" i="1" a="1"/>
  <c r="K2661" i="1" s="1"/>
  <c r="O2661" i="1" s="1"/>
  <c r="K2662" i="1" a="1"/>
  <c r="K2662" i="1"/>
  <c r="O2662" i="1" s="1"/>
  <c r="K2663" i="1" a="1"/>
  <c r="K2663" i="1" s="1"/>
  <c r="O2663" i="1" s="1"/>
  <c r="K2664" i="1" a="1"/>
  <c r="K2664" i="1" s="1"/>
  <c r="O2664" i="1" s="1"/>
  <c r="K2665" i="1" a="1"/>
  <c r="K2665" i="1" s="1"/>
  <c r="O2665" i="1" s="1"/>
  <c r="K2666" i="1" a="1"/>
  <c r="K2666" i="1" s="1"/>
  <c r="O2666" i="1" s="1"/>
  <c r="K2667" i="1" a="1"/>
  <c r="K2667" i="1" s="1"/>
  <c r="O2667" i="1" s="1"/>
  <c r="K2668" i="1" a="1"/>
  <c r="K2668" i="1"/>
  <c r="O2668" i="1" s="1"/>
  <c r="K2669" i="1" a="1"/>
  <c r="K2669" i="1" s="1"/>
  <c r="O2669" i="1" s="1"/>
  <c r="K2670" i="1" a="1"/>
  <c r="K2670" i="1" s="1"/>
  <c r="O2670" i="1" s="1"/>
  <c r="K2671" i="1" a="1"/>
  <c r="K2671" i="1" s="1"/>
  <c r="O2671" i="1" s="1"/>
  <c r="K2672" i="1" a="1"/>
  <c r="K2672" i="1" s="1"/>
  <c r="O2672" i="1" s="1"/>
  <c r="K2673" i="1" a="1"/>
  <c r="K2673" i="1" s="1"/>
  <c r="O2673" i="1" s="1"/>
  <c r="K2674" i="1" a="1"/>
  <c r="K2674" i="1" s="1"/>
  <c r="O2674" i="1" s="1"/>
  <c r="K2675" i="1" a="1"/>
  <c r="K2675" i="1" s="1"/>
  <c r="O2675" i="1" s="1"/>
  <c r="K2676" i="1" a="1"/>
  <c r="K2676" i="1" s="1"/>
  <c r="O2676" i="1" s="1"/>
  <c r="K2677" i="1" a="1"/>
  <c r="K2677" i="1" s="1"/>
  <c r="O2677" i="1" s="1"/>
  <c r="K2678" i="1" a="1"/>
  <c r="K2678" i="1" s="1"/>
  <c r="O2678" i="1" s="1"/>
  <c r="K2679" i="1" a="1"/>
  <c r="K2679" i="1" s="1"/>
  <c r="O2679" i="1" s="1"/>
  <c r="K2680" i="1" a="1"/>
  <c r="K2680" i="1" s="1"/>
  <c r="O2680" i="1" s="1"/>
  <c r="K2681" i="1" a="1"/>
  <c r="K2681" i="1" s="1"/>
  <c r="O2681" i="1" s="1"/>
  <c r="K2682" i="1" a="1"/>
  <c r="K2682" i="1" s="1"/>
  <c r="O2682" i="1" s="1"/>
  <c r="K2683" i="1" a="1"/>
  <c r="K2683" i="1" s="1"/>
  <c r="O2683" i="1" s="1"/>
  <c r="K2684" i="1" a="1"/>
  <c r="K2684" i="1" s="1"/>
  <c r="O2684" i="1" s="1"/>
  <c r="K2685" i="1" a="1"/>
  <c r="K2685" i="1" s="1"/>
  <c r="O2685" i="1" s="1"/>
  <c r="K2686" i="1" a="1"/>
  <c r="K2686" i="1" s="1"/>
  <c r="O2686" i="1" s="1"/>
  <c r="K2687" i="1" a="1"/>
  <c r="K2687" i="1" s="1"/>
  <c r="O2687" i="1" s="1"/>
  <c r="K2688" i="1" a="1"/>
  <c r="K2688" i="1" s="1"/>
  <c r="O2688" i="1" s="1"/>
  <c r="K2689" i="1" a="1"/>
  <c r="K2689" i="1" s="1"/>
  <c r="O2689" i="1" s="1"/>
  <c r="K2690" i="1" a="1"/>
  <c r="K2690" i="1" s="1"/>
  <c r="O2690" i="1" s="1"/>
  <c r="K2691" i="1" a="1"/>
  <c r="K2691" i="1"/>
  <c r="O2691" i="1" s="1"/>
  <c r="K2692" i="1" a="1"/>
  <c r="K2692" i="1" s="1"/>
  <c r="O2692" i="1" s="1"/>
  <c r="K2693" i="1" a="1"/>
  <c r="K2693" i="1" s="1"/>
  <c r="O2693" i="1" s="1"/>
  <c r="K2694" i="1" a="1"/>
  <c r="K2694" i="1" s="1"/>
  <c r="O2694" i="1" s="1"/>
  <c r="K2695" i="1" a="1"/>
  <c r="K2695" i="1" s="1"/>
  <c r="O2695" i="1" s="1"/>
  <c r="K2696" i="1" a="1"/>
  <c r="K2696" i="1" s="1"/>
  <c r="O2696" i="1" s="1"/>
  <c r="K2697" i="1" a="1"/>
  <c r="K2697" i="1" s="1"/>
  <c r="O2697" i="1" s="1"/>
  <c r="K2698" i="1" a="1"/>
  <c r="K2698" i="1" s="1"/>
  <c r="O2698" i="1" s="1"/>
  <c r="K2699" i="1" a="1"/>
  <c r="K2699" i="1" s="1"/>
  <c r="O2699" i="1" s="1"/>
  <c r="K2700" i="1" a="1"/>
  <c r="K2700" i="1" s="1"/>
  <c r="O2700" i="1" s="1"/>
  <c r="K2701" i="1" a="1"/>
  <c r="K2701" i="1" s="1"/>
  <c r="O2701" i="1" s="1"/>
  <c r="K2702" i="1" a="1"/>
  <c r="K2702" i="1" s="1"/>
  <c r="O2702" i="1" s="1"/>
  <c r="K2703" i="1" a="1"/>
  <c r="K2703" i="1" s="1"/>
  <c r="O2703" i="1" s="1"/>
  <c r="K2704" i="1" a="1"/>
  <c r="K2704" i="1" s="1"/>
  <c r="O2704" i="1" s="1"/>
  <c r="K2705" i="1" a="1"/>
  <c r="K2705" i="1" s="1"/>
  <c r="O2705" i="1" s="1"/>
  <c r="K2706" i="1" a="1"/>
  <c r="K2706" i="1" s="1"/>
  <c r="O2706" i="1" s="1"/>
  <c r="K2707" i="1" a="1"/>
  <c r="K2707" i="1" s="1"/>
  <c r="O2707" i="1" s="1"/>
  <c r="K2708" i="1" a="1"/>
  <c r="K2708" i="1" s="1"/>
  <c r="O2708" i="1" s="1"/>
  <c r="K2709" i="1" a="1"/>
  <c r="K2709" i="1" s="1"/>
  <c r="O2709" i="1" s="1"/>
  <c r="K2710" i="1" a="1"/>
  <c r="K2710" i="1" s="1"/>
  <c r="O2710" i="1" s="1"/>
  <c r="K2711" i="1" a="1"/>
  <c r="K2711" i="1" s="1"/>
  <c r="O2711" i="1" s="1"/>
  <c r="K2712" i="1" a="1"/>
  <c r="K2712" i="1" s="1"/>
  <c r="O2712" i="1" s="1"/>
  <c r="K2713" i="1" a="1"/>
  <c r="K2713" i="1" s="1"/>
  <c r="O2713" i="1" s="1"/>
  <c r="K2714" i="1" a="1"/>
  <c r="K2714" i="1" s="1"/>
  <c r="O2714" i="1" s="1"/>
  <c r="K2715" i="1" a="1"/>
  <c r="K2715" i="1" s="1"/>
  <c r="O2715" i="1" s="1"/>
  <c r="K2716" i="1" a="1"/>
  <c r="K2716" i="1" s="1"/>
  <c r="O2716" i="1" s="1"/>
  <c r="K2717" i="1" a="1"/>
  <c r="K2717" i="1" s="1"/>
  <c r="O2717" i="1" s="1"/>
  <c r="K2718" i="1" a="1"/>
  <c r="K2718" i="1" s="1"/>
  <c r="O2718" i="1" s="1"/>
  <c r="K2719" i="1" a="1"/>
  <c r="K2719" i="1" s="1"/>
  <c r="O2719" i="1" s="1"/>
  <c r="K2720" i="1" a="1"/>
  <c r="K2720" i="1" s="1"/>
  <c r="O2720" i="1" s="1"/>
  <c r="K2721" i="1" a="1"/>
  <c r="K2721" i="1" s="1"/>
  <c r="O2721" i="1" s="1"/>
  <c r="K2722" i="1" a="1"/>
  <c r="K2722" i="1" s="1"/>
  <c r="O2722" i="1" s="1"/>
  <c r="K2723" i="1" a="1"/>
  <c r="K2723" i="1" s="1"/>
  <c r="O2723" i="1" s="1"/>
  <c r="K2724" i="1" a="1"/>
  <c r="K2724" i="1" s="1"/>
  <c r="O2724" i="1" s="1"/>
  <c r="K2725" i="1" a="1"/>
  <c r="K2725" i="1" s="1"/>
  <c r="O2725" i="1" s="1"/>
  <c r="K2726" i="1" a="1"/>
  <c r="K2726" i="1" s="1"/>
  <c r="O2726" i="1" s="1"/>
  <c r="K2727" i="1" a="1"/>
  <c r="K2727" i="1" s="1"/>
  <c r="O2727" i="1" s="1"/>
  <c r="K2728" i="1" a="1"/>
  <c r="K2728" i="1" s="1"/>
  <c r="O2728" i="1" s="1"/>
  <c r="K2729" i="1" a="1"/>
  <c r="K2729" i="1" s="1"/>
  <c r="O2729" i="1" s="1"/>
  <c r="K2730" i="1" a="1"/>
  <c r="K2730" i="1" s="1"/>
  <c r="O2730" i="1" s="1"/>
  <c r="K2731" i="1" a="1"/>
  <c r="K2731" i="1" s="1"/>
  <c r="O2731" i="1" s="1"/>
  <c r="K2732" i="1" a="1"/>
  <c r="K2732" i="1" s="1"/>
  <c r="O2732" i="1" s="1"/>
  <c r="K2733" i="1" a="1"/>
  <c r="K2733" i="1" s="1"/>
  <c r="O2733" i="1" s="1"/>
  <c r="K2734" i="1" a="1"/>
  <c r="K2734" i="1" s="1"/>
  <c r="O2734" i="1" s="1"/>
  <c r="K2735" i="1" a="1"/>
  <c r="K2735" i="1" s="1"/>
  <c r="O2735" i="1" s="1"/>
  <c r="K2736" i="1" a="1"/>
  <c r="K2736" i="1" s="1"/>
  <c r="O2736" i="1" s="1"/>
  <c r="K2737" i="1" a="1"/>
  <c r="K2737" i="1" s="1"/>
  <c r="O2737" i="1" s="1"/>
  <c r="K2738" i="1" a="1"/>
  <c r="K2738" i="1" s="1"/>
  <c r="O2738" i="1" s="1"/>
  <c r="K2739" i="1" a="1"/>
  <c r="K2739" i="1" s="1"/>
  <c r="O2739" i="1" s="1"/>
  <c r="K2740" i="1" a="1"/>
  <c r="K2740" i="1" s="1"/>
  <c r="O2740" i="1" s="1"/>
  <c r="K2741" i="1" a="1"/>
  <c r="K2741" i="1" s="1"/>
  <c r="O2741" i="1" s="1"/>
  <c r="K2742" i="1" a="1"/>
  <c r="K2742" i="1" s="1"/>
  <c r="O2742" i="1" s="1"/>
  <c r="K2743" i="1" a="1"/>
  <c r="K2743" i="1" s="1"/>
  <c r="O2743" i="1" s="1"/>
  <c r="K2744" i="1" a="1"/>
  <c r="K2744" i="1" s="1"/>
  <c r="O2744" i="1" s="1"/>
  <c r="K2745" i="1" a="1"/>
  <c r="K2745" i="1" s="1"/>
  <c r="O2745" i="1" s="1"/>
  <c r="K2746" i="1" a="1"/>
  <c r="K2746" i="1" s="1"/>
  <c r="O2746" i="1" s="1"/>
  <c r="K2747" i="1" a="1"/>
  <c r="K2747" i="1" s="1"/>
  <c r="O2747" i="1" s="1"/>
  <c r="K2748" i="1" a="1"/>
  <c r="K2748" i="1" s="1"/>
  <c r="O2748" i="1" s="1"/>
  <c r="K2749" i="1" a="1"/>
  <c r="K2749" i="1" s="1"/>
  <c r="O2749" i="1" s="1"/>
  <c r="K2750" i="1" a="1"/>
  <c r="K2750" i="1" s="1"/>
  <c r="O2750" i="1" s="1"/>
  <c r="K2751" i="1" a="1"/>
  <c r="K2751" i="1" s="1"/>
  <c r="O2751" i="1" s="1"/>
  <c r="K2752" i="1" a="1"/>
  <c r="K2752" i="1" s="1"/>
  <c r="O2752" i="1" s="1"/>
  <c r="K2753" i="1" a="1"/>
  <c r="K2753" i="1" s="1"/>
  <c r="O2753" i="1" s="1"/>
  <c r="K2754" i="1" a="1"/>
  <c r="K2754" i="1" s="1"/>
  <c r="O2754" i="1" s="1"/>
  <c r="K2755" i="1" a="1"/>
  <c r="K2755" i="1" s="1"/>
  <c r="O2755" i="1" s="1"/>
  <c r="K2756" i="1" a="1"/>
  <c r="K2756" i="1" s="1"/>
  <c r="O2756" i="1" s="1"/>
  <c r="K2757" i="1" a="1"/>
  <c r="K2757" i="1" s="1"/>
  <c r="O2757" i="1" s="1"/>
  <c r="K2758" i="1" a="1"/>
  <c r="K2758" i="1" s="1"/>
  <c r="O2758" i="1" s="1"/>
  <c r="K2759" i="1" a="1"/>
  <c r="K2759" i="1" s="1"/>
  <c r="O2759" i="1" s="1"/>
  <c r="K2760" i="1" a="1"/>
  <c r="K2760" i="1" s="1"/>
  <c r="O2760" i="1" s="1"/>
  <c r="K2761" i="1" a="1"/>
  <c r="K2761" i="1" s="1"/>
  <c r="O2761" i="1" s="1"/>
  <c r="K2762" i="1" a="1"/>
  <c r="K2762" i="1" s="1"/>
  <c r="O2762" i="1" s="1"/>
  <c r="K2763" i="1" a="1"/>
  <c r="K2763" i="1" s="1"/>
  <c r="O2763" i="1" s="1"/>
  <c r="K2764" i="1" a="1"/>
  <c r="K2764" i="1" s="1"/>
  <c r="O2764" i="1" s="1"/>
  <c r="K2765" i="1" a="1"/>
  <c r="K2765" i="1" s="1"/>
  <c r="O2765" i="1" s="1"/>
  <c r="K2766" i="1" a="1"/>
  <c r="K2766" i="1" s="1"/>
  <c r="O2766" i="1" s="1"/>
  <c r="K2767" i="1" a="1"/>
  <c r="K2767" i="1" s="1"/>
  <c r="O2767" i="1" s="1"/>
  <c r="K2768" i="1" a="1"/>
  <c r="K2768" i="1" s="1"/>
  <c r="O2768" i="1" s="1"/>
  <c r="K2769" i="1" a="1"/>
  <c r="K2769" i="1" s="1"/>
  <c r="O2769" i="1" s="1"/>
  <c r="K2770" i="1" a="1"/>
  <c r="K2770" i="1" s="1"/>
  <c r="O2770" i="1" s="1"/>
  <c r="K2771" i="1" a="1"/>
  <c r="K2771" i="1" s="1"/>
  <c r="O2771" i="1" s="1"/>
  <c r="K2772" i="1" a="1"/>
  <c r="K2772" i="1" s="1"/>
  <c r="O2772" i="1" s="1"/>
  <c r="K2773" i="1" a="1"/>
  <c r="K2773" i="1" s="1"/>
  <c r="O2773" i="1" s="1"/>
  <c r="K2774" i="1" a="1"/>
  <c r="K2774" i="1" s="1"/>
  <c r="O2774" i="1" s="1"/>
  <c r="K2775" i="1" a="1"/>
  <c r="K2775" i="1" s="1"/>
  <c r="O2775" i="1" s="1"/>
  <c r="K2776" i="1" a="1"/>
  <c r="K2776" i="1" s="1"/>
  <c r="O2776" i="1" s="1"/>
  <c r="K2777" i="1" a="1"/>
  <c r="K2777" i="1" s="1"/>
  <c r="O2777" i="1" s="1"/>
  <c r="K2778" i="1" a="1"/>
  <c r="K2778" i="1" s="1"/>
  <c r="O2778" i="1" s="1"/>
  <c r="K2779" i="1" a="1"/>
  <c r="K2779" i="1" s="1"/>
  <c r="O2779" i="1" s="1"/>
  <c r="K2780" i="1" a="1"/>
  <c r="K2780" i="1" s="1"/>
  <c r="O2780" i="1" s="1"/>
  <c r="K2781" i="1" a="1"/>
  <c r="K2781" i="1" s="1"/>
  <c r="K2782" i="1" a="1"/>
  <c r="K2782" i="1" s="1"/>
  <c r="O2782" i="1" s="1"/>
  <c r="K2783" i="1" a="1"/>
  <c r="K2783" i="1" s="1"/>
  <c r="O2783" i="1" s="1"/>
  <c r="K2784" i="1" a="1"/>
  <c r="K2784" i="1" s="1"/>
  <c r="O2784" i="1" s="1"/>
  <c r="K2785" i="1" a="1"/>
  <c r="K2785" i="1" s="1"/>
  <c r="O2785" i="1" s="1"/>
  <c r="K2786" i="1" a="1"/>
  <c r="K2786" i="1" s="1"/>
  <c r="O2786" i="1" s="1"/>
  <c r="K2787" i="1" a="1"/>
  <c r="K2787" i="1"/>
  <c r="O2787" i="1" s="1"/>
  <c r="K2788" i="1" a="1"/>
  <c r="K2788" i="1" s="1"/>
  <c r="O2788" i="1" s="1"/>
  <c r="K2789" i="1" a="1"/>
  <c r="K2789" i="1" s="1"/>
  <c r="O2789" i="1" s="1"/>
  <c r="K2790" i="1" a="1"/>
  <c r="K2790" i="1" s="1"/>
  <c r="O2790" i="1" s="1"/>
  <c r="K2791" i="1" a="1"/>
  <c r="K2791" i="1" s="1"/>
  <c r="O2791" i="1" s="1"/>
  <c r="K2792" i="1" a="1"/>
  <c r="K2792" i="1" s="1"/>
  <c r="O2792" i="1" s="1"/>
  <c r="K2793" i="1" a="1"/>
  <c r="K2793" i="1" s="1"/>
  <c r="O2793" i="1" s="1"/>
  <c r="K2794" i="1" a="1"/>
  <c r="K2794" i="1" s="1"/>
  <c r="O2794" i="1" s="1"/>
  <c r="K2795" i="1" a="1"/>
  <c r="K2795" i="1" s="1"/>
  <c r="O2795" i="1" s="1"/>
  <c r="K2796" i="1" a="1"/>
  <c r="K2796" i="1" s="1"/>
  <c r="O2796" i="1" s="1"/>
  <c r="K2797" i="1" a="1"/>
  <c r="K2797" i="1" s="1"/>
  <c r="O2797" i="1" s="1"/>
  <c r="K2798" i="1" a="1"/>
  <c r="K2798" i="1" s="1"/>
  <c r="O2798" i="1" s="1"/>
  <c r="K2799" i="1" a="1"/>
  <c r="K2799" i="1" s="1"/>
  <c r="O2799" i="1" s="1"/>
  <c r="K2800" i="1" a="1"/>
  <c r="K2800" i="1" s="1"/>
  <c r="O2800" i="1" s="1"/>
  <c r="K2801" i="1" a="1"/>
  <c r="K2801" i="1" s="1"/>
  <c r="O2801" i="1" s="1"/>
  <c r="K2802" i="1" a="1"/>
  <c r="K2802" i="1" s="1"/>
  <c r="O2802" i="1" s="1"/>
  <c r="K2803" i="1" a="1"/>
  <c r="K2803" i="1" s="1"/>
  <c r="O2803" i="1" s="1"/>
  <c r="K2804" i="1" a="1"/>
  <c r="K2804" i="1" s="1"/>
  <c r="O2804" i="1" s="1"/>
  <c r="K2805" i="1" a="1"/>
  <c r="K2805" i="1" s="1"/>
  <c r="O2805" i="1" s="1"/>
  <c r="K2806" i="1" a="1"/>
  <c r="K2806" i="1" s="1"/>
  <c r="O2806" i="1" s="1"/>
  <c r="K2807" i="1" a="1"/>
  <c r="K2807" i="1" s="1"/>
  <c r="K2808" i="1" a="1"/>
  <c r="K2808" i="1" s="1"/>
  <c r="O2808" i="1" s="1"/>
  <c r="K2809" i="1" a="1"/>
  <c r="K2809" i="1" s="1"/>
  <c r="O2809" i="1" s="1"/>
  <c r="K2810" i="1" a="1"/>
  <c r="K2810" i="1" s="1"/>
  <c r="O2810" i="1" s="1"/>
  <c r="K2811" i="1" a="1"/>
  <c r="K2811" i="1" s="1"/>
  <c r="O2811" i="1" s="1"/>
  <c r="K2812" i="1" a="1"/>
  <c r="K2812" i="1" s="1"/>
  <c r="O2812" i="1" s="1"/>
  <c r="K2813" i="1" a="1"/>
  <c r="K2813" i="1" s="1"/>
  <c r="O2813" i="1" s="1"/>
  <c r="K2814" i="1" a="1"/>
  <c r="K2814" i="1" s="1"/>
  <c r="O2814" i="1" s="1"/>
  <c r="K2815" i="1" a="1"/>
  <c r="K2815" i="1" s="1"/>
  <c r="O2815" i="1" s="1"/>
  <c r="K2816" i="1" a="1"/>
  <c r="K2816" i="1" s="1"/>
  <c r="O2816" i="1" s="1"/>
  <c r="K2817" i="1" a="1"/>
  <c r="K2817" i="1" s="1"/>
  <c r="O2817" i="1" s="1"/>
  <c r="K2818" i="1" a="1"/>
  <c r="K2818" i="1" s="1"/>
  <c r="O2818" i="1" s="1"/>
  <c r="K2819" i="1" a="1"/>
  <c r="K2819" i="1" s="1"/>
  <c r="O2819" i="1" s="1"/>
  <c r="K2820" i="1" a="1"/>
  <c r="K2820" i="1" s="1"/>
  <c r="O2820" i="1" s="1"/>
  <c r="K2821" i="1" a="1"/>
  <c r="K2821" i="1" s="1"/>
  <c r="O2821" i="1" s="1"/>
  <c r="K2822" i="1" a="1"/>
  <c r="K2822" i="1" s="1"/>
  <c r="O2822" i="1" s="1"/>
  <c r="K2823" i="1" a="1"/>
  <c r="K2823" i="1" s="1"/>
  <c r="O2823" i="1" s="1"/>
  <c r="K2824" i="1" a="1"/>
  <c r="K2824" i="1" s="1"/>
  <c r="O2824" i="1" s="1"/>
  <c r="K2825" i="1" a="1"/>
  <c r="K2825" i="1" s="1"/>
  <c r="K2826" i="1" a="1"/>
  <c r="K2826" i="1" s="1"/>
  <c r="O2826" i="1" s="1"/>
  <c r="K2827" i="1" a="1"/>
  <c r="K2827" i="1" s="1"/>
  <c r="O2827" i="1" s="1"/>
  <c r="K2828" i="1" a="1"/>
  <c r="K2828" i="1" s="1"/>
  <c r="O2828" i="1" s="1"/>
  <c r="K2829" i="1" a="1"/>
  <c r="K2829" i="1" s="1"/>
  <c r="O2829" i="1" s="1"/>
  <c r="K2830" i="1" a="1"/>
  <c r="K2830" i="1" s="1"/>
  <c r="O2830" i="1" s="1"/>
  <c r="K2831" i="1" a="1"/>
  <c r="K2831" i="1" s="1"/>
  <c r="O2831" i="1" s="1"/>
  <c r="K2832" i="1" a="1"/>
  <c r="K2832" i="1" s="1"/>
  <c r="O2832" i="1" s="1"/>
  <c r="K2833" i="1" a="1"/>
  <c r="K2833" i="1" s="1"/>
  <c r="O2833" i="1" s="1"/>
  <c r="K2834" i="1" a="1"/>
  <c r="K2834" i="1" s="1"/>
  <c r="O2834" i="1" s="1"/>
  <c r="K2835" i="1" a="1"/>
  <c r="K2835" i="1" s="1"/>
  <c r="O2835" i="1" s="1"/>
  <c r="K2836" i="1" a="1"/>
  <c r="K2836" i="1" s="1"/>
  <c r="O2836" i="1" s="1"/>
  <c r="K2837" i="1" a="1"/>
  <c r="K2837" i="1" s="1"/>
  <c r="O2837" i="1" s="1"/>
  <c r="K2838" i="1" a="1"/>
  <c r="K2838" i="1" s="1"/>
  <c r="O2838" i="1" s="1"/>
  <c r="K2839" i="1" a="1"/>
  <c r="K2839" i="1" s="1"/>
  <c r="O2839" i="1" s="1"/>
  <c r="K2840" i="1" a="1"/>
  <c r="K2840" i="1" s="1"/>
  <c r="O2840" i="1" s="1"/>
  <c r="K2841" i="1" a="1"/>
  <c r="K2841" i="1" s="1"/>
  <c r="O2841" i="1" s="1"/>
  <c r="K2842" i="1" a="1"/>
  <c r="K2842" i="1" s="1"/>
  <c r="O2842" i="1" s="1"/>
  <c r="K2843" i="1" a="1"/>
  <c r="K2843" i="1" s="1"/>
  <c r="O2843" i="1" s="1"/>
  <c r="K2844" i="1" a="1"/>
  <c r="K2844" i="1" s="1"/>
  <c r="O2844" i="1" s="1"/>
  <c r="K2845" i="1" a="1"/>
  <c r="K2845" i="1" s="1"/>
  <c r="O2845" i="1" s="1"/>
  <c r="K2846" i="1" a="1"/>
  <c r="K2846" i="1" s="1"/>
  <c r="O2846" i="1" s="1"/>
  <c r="K2847" i="1" a="1"/>
  <c r="K2847" i="1" s="1"/>
  <c r="O2847" i="1" s="1"/>
  <c r="K2848" i="1" a="1"/>
  <c r="K2848" i="1" s="1"/>
  <c r="O2848" i="1" s="1"/>
  <c r="K2849" i="1" a="1"/>
  <c r="K2849" i="1" s="1"/>
  <c r="O2849" i="1" s="1"/>
  <c r="K2850" i="1" a="1"/>
  <c r="K2850" i="1" s="1"/>
  <c r="O2850" i="1" s="1"/>
  <c r="K2851" i="1" a="1"/>
  <c r="K2851" i="1" s="1"/>
  <c r="O2851" i="1" s="1"/>
  <c r="K2852" i="1" a="1"/>
  <c r="K2852" i="1" s="1"/>
  <c r="O2852" i="1" s="1"/>
  <c r="K2853" i="1" a="1"/>
  <c r="K2853" i="1" s="1"/>
  <c r="O2853" i="1" s="1"/>
  <c r="K2854" i="1" a="1"/>
  <c r="K2854" i="1" s="1"/>
  <c r="O2854" i="1" s="1"/>
  <c r="K2855" i="1" a="1"/>
  <c r="K2855" i="1" s="1"/>
  <c r="O2855" i="1" s="1"/>
  <c r="K2856" i="1" a="1"/>
  <c r="K2856" i="1" s="1"/>
  <c r="O2856" i="1" s="1"/>
  <c r="K2857" i="1" a="1"/>
  <c r="K2857" i="1" s="1"/>
  <c r="O2857" i="1" s="1"/>
  <c r="K2858" i="1" a="1"/>
  <c r="K2858" i="1" s="1"/>
  <c r="O2858" i="1" s="1"/>
  <c r="K2859" i="1" a="1"/>
  <c r="K2859" i="1" s="1"/>
  <c r="K2860" i="1" a="1"/>
  <c r="K2860" i="1" s="1"/>
  <c r="O2860" i="1" s="1"/>
  <c r="K2861" i="1" a="1"/>
  <c r="K2861" i="1" s="1"/>
  <c r="O2861" i="1" s="1"/>
  <c r="K2862" i="1" a="1"/>
  <c r="K2862" i="1" s="1"/>
  <c r="O2862" i="1" s="1"/>
  <c r="K2863" i="1" a="1"/>
  <c r="K2863" i="1"/>
  <c r="O2863" i="1" s="1"/>
  <c r="K2864" i="1" a="1"/>
  <c r="K2864" i="1" s="1"/>
  <c r="O2864" i="1" s="1"/>
  <c r="K2865" i="1" a="1"/>
  <c r="K2865" i="1" s="1"/>
  <c r="O2865" i="1" s="1"/>
  <c r="K2866" i="1" a="1"/>
  <c r="K2866" i="1" s="1"/>
  <c r="O2866" i="1" s="1"/>
  <c r="K2867" i="1" a="1"/>
  <c r="K2867" i="1" s="1"/>
  <c r="O2867" i="1" s="1"/>
  <c r="K2868" i="1" a="1"/>
  <c r="K2868" i="1" s="1"/>
  <c r="O2868" i="1" s="1"/>
  <c r="K2869" i="1" a="1"/>
  <c r="K2869" i="1" s="1"/>
  <c r="O2869" i="1" s="1"/>
  <c r="K2870" i="1" a="1"/>
  <c r="K2870" i="1" s="1"/>
  <c r="O2870" i="1" s="1"/>
  <c r="K2871" i="1" a="1"/>
  <c r="K2871" i="1" s="1"/>
  <c r="O2871" i="1" s="1"/>
  <c r="K2872" i="1" a="1"/>
  <c r="K2872" i="1" s="1"/>
  <c r="O2872" i="1" s="1"/>
  <c r="K2873" i="1" a="1"/>
  <c r="K2873" i="1" s="1"/>
  <c r="O2873" i="1" s="1"/>
  <c r="K2874" i="1" a="1"/>
  <c r="K2874" i="1" s="1"/>
  <c r="O2874" i="1" s="1"/>
  <c r="K2875" i="1" a="1"/>
  <c r="K2875" i="1" s="1"/>
  <c r="O2875" i="1" s="1"/>
  <c r="K2876" i="1" a="1"/>
  <c r="K2876" i="1" s="1"/>
  <c r="O2876" i="1" s="1"/>
  <c r="K2877" i="1" a="1"/>
  <c r="K2877" i="1" s="1"/>
  <c r="O2877" i="1" s="1"/>
  <c r="K2878" i="1" a="1"/>
  <c r="K2878" i="1" s="1"/>
  <c r="O2878" i="1" s="1"/>
  <c r="K2879" i="1" a="1"/>
  <c r="K2879" i="1" s="1"/>
  <c r="O2879" i="1" s="1"/>
  <c r="K2880" i="1" a="1"/>
  <c r="K2880" i="1" s="1"/>
  <c r="O2880" i="1" s="1"/>
  <c r="K2881" i="1" a="1"/>
  <c r="K2881" i="1" s="1"/>
  <c r="O2881" i="1" s="1"/>
  <c r="K2882" i="1" a="1"/>
  <c r="K2882" i="1" s="1"/>
  <c r="O2882" i="1" s="1"/>
  <c r="K2883" i="1" a="1"/>
  <c r="K2883" i="1" s="1"/>
  <c r="O2883" i="1" s="1"/>
  <c r="K2884" i="1" a="1"/>
  <c r="K2884" i="1" s="1"/>
  <c r="O2884" i="1" s="1"/>
  <c r="K2885" i="1" a="1"/>
  <c r="K2885" i="1" s="1"/>
  <c r="O2885" i="1" s="1"/>
  <c r="K2886" i="1" a="1"/>
  <c r="K2886" i="1" s="1"/>
  <c r="O2886" i="1" s="1"/>
  <c r="K2887" i="1" a="1"/>
  <c r="K2887" i="1" s="1"/>
  <c r="O2887" i="1" s="1"/>
  <c r="K2888" i="1" a="1"/>
  <c r="K2888" i="1" s="1"/>
  <c r="O2888" i="1" s="1"/>
  <c r="K2889" i="1" a="1"/>
  <c r="K2889" i="1" s="1"/>
  <c r="O2889" i="1" s="1"/>
  <c r="K2890" i="1" a="1"/>
  <c r="K2890" i="1" s="1"/>
  <c r="O2890" i="1" s="1"/>
  <c r="K2891" i="1" a="1"/>
  <c r="K2891" i="1" s="1"/>
  <c r="O2891" i="1" s="1"/>
  <c r="K2892" i="1" a="1"/>
  <c r="K2892" i="1" s="1"/>
  <c r="O2892" i="1" s="1"/>
  <c r="K2893" i="1" a="1"/>
  <c r="K2893" i="1" s="1"/>
  <c r="O2893" i="1" s="1"/>
  <c r="K2894" i="1" a="1"/>
  <c r="K2894" i="1" s="1"/>
  <c r="O2894" i="1" s="1"/>
  <c r="K2895" i="1" a="1"/>
  <c r="K2895" i="1" s="1"/>
  <c r="O2895" i="1" s="1"/>
  <c r="K2896" i="1" a="1"/>
  <c r="K2896" i="1" s="1"/>
  <c r="O2896" i="1" s="1"/>
  <c r="K2897" i="1" a="1"/>
  <c r="K2897" i="1" s="1"/>
  <c r="O2897" i="1" s="1"/>
  <c r="K2898" i="1" a="1"/>
  <c r="K2898" i="1" s="1"/>
  <c r="O2898" i="1" s="1"/>
  <c r="K2899" i="1" a="1"/>
  <c r="K2899" i="1" s="1"/>
  <c r="O2899" i="1" s="1"/>
  <c r="K2900" i="1" a="1"/>
  <c r="K2900" i="1"/>
  <c r="O2900" i="1" s="1"/>
  <c r="K2901" i="1" a="1"/>
  <c r="K2901" i="1" s="1"/>
  <c r="O2901" i="1" s="1"/>
  <c r="K2902" i="1" a="1"/>
  <c r="K2902" i="1" s="1"/>
  <c r="O2902" i="1" s="1"/>
  <c r="K2903" i="1" a="1"/>
  <c r="K2903" i="1" s="1"/>
  <c r="O2903" i="1" s="1"/>
  <c r="K2904" i="1" a="1"/>
  <c r="K2904" i="1" s="1"/>
  <c r="O2904" i="1" s="1"/>
  <c r="K2905" i="1" a="1"/>
  <c r="K2905" i="1" s="1"/>
  <c r="O2905" i="1" s="1"/>
  <c r="K2906" i="1" a="1"/>
  <c r="K2906" i="1" s="1"/>
  <c r="O2906" i="1" s="1"/>
  <c r="K2907" i="1" a="1"/>
  <c r="K2907" i="1" s="1"/>
  <c r="O2907" i="1" s="1"/>
  <c r="K2908" i="1" a="1"/>
  <c r="K2908" i="1" s="1"/>
  <c r="O2908" i="1" s="1"/>
  <c r="K2909" i="1" a="1"/>
  <c r="K2909" i="1" s="1"/>
  <c r="O2909" i="1" s="1"/>
  <c r="K2910" i="1" a="1"/>
  <c r="K2910" i="1" s="1"/>
  <c r="O2910" i="1" s="1"/>
  <c r="K2911" i="1" a="1"/>
  <c r="K2911" i="1" s="1"/>
  <c r="O2911" i="1" s="1"/>
  <c r="K2912" i="1" a="1"/>
  <c r="K2912" i="1" s="1"/>
  <c r="O2912" i="1" s="1"/>
  <c r="K2913" i="1" a="1"/>
  <c r="K2913" i="1" s="1"/>
  <c r="O2913" i="1" s="1"/>
  <c r="K2914" i="1" a="1"/>
  <c r="K2914" i="1" s="1"/>
  <c r="O2914" i="1" s="1"/>
  <c r="K2915" i="1" a="1"/>
  <c r="K2915" i="1" s="1"/>
  <c r="O2915" i="1" s="1"/>
  <c r="K2916" i="1" a="1"/>
  <c r="K2916" i="1" s="1"/>
  <c r="O2916" i="1" s="1"/>
  <c r="K2917" i="1" a="1"/>
  <c r="K2917" i="1" s="1"/>
  <c r="O2917" i="1" s="1"/>
  <c r="K2918" i="1" a="1"/>
  <c r="K2918" i="1" s="1"/>
  <c r="O2918" i="1" s="1"/>
  <c r="K2919" i="1" a="1"/>
  <c r="K2919" i="1" s="1"/>
  <c r="O2919" i="1" s="1"/>
  <c r="K2920" i="1" a="1"/>
  <c r="K2920" i="1" s="1"/>
  <c r="O2920" i="1" s="1"/>
  <c r="K2921" i="1" a="1"/>
  <c r="K2921" i="1" s="1"/>
  <c r="O2921" i="1" s="1"/>
  <c r="K2922" i="1" a="1"/>
  <c r="K2922" i="1" s="1"/>
  <c r="O2922" i="1" s="1"/>
  <c r="K2923" i="1" a="1"/>
  <c r="K2923" i="1" s="1"/>
  <c r="O2923" i="1" s="1"/>
  <c r="K2924" i="1" a="1"/>
  <c r="K2924" i="1" s="1"/>
  <c r="O2924" i="1" s="1"/>
  <c r="K2925" i="1" a="1"/>
  <c r="K2925" i="1" s="1"/>
  <c r="O2925" i="1" s="1"/>
  <c r="K2926" i="1" a="1"/>
  <c r="K2926" i="1" s="1"/>
  <c r="O2926" i="1" s="1"/>
  <c r="K2927" i="1" a="1"/>
  <c r="K2927" i="1" s="1"/>
  <c r="O2927" i="1" s="1"/>
  <c r="K2928" i="1" a="1"/>
  <c r="K2928" i="1" s="1"/>
  <c r="O2928" i="1" s="1"/>
  <c r="K2929" i="1" a="1"/>
  <c r="K2929" i="1" s="1"/>
  <c r="O2929" i="1" s="1"/>
  <c r="K2930" i="1" a="1"/>
  <c r="K2930" i="1" s="1"/>
  <c r="O2930" i="1" s="1"/>
  <c r="K2931" i="1" a="1"/>
  <c r="K2931" i="1" s="1"/>
  <c r="K2932" i="1" a="1"/>
  <c r="K2932" i="1" s="1"/>
  <c r="O2932" i="1" s="1"/>
  <c r="K2933" i="1" a="1"/>
  <c r="K2933" i="1" s="1"/>
  <c r="O2933" i="1" s="1"/>
  <c r="K2934" i="1" a="1"/>
  <c r="K2934" i="1" s="1"/>
  <c r="O2934" i="1" s="1"/>
  <c r="K2935" i="1" a="1"/>
  <c r="K2935" i="1" s="1"/>
  <c r="O2935" i="1" s="1"/>
  <c r="K2936" i="1" a="1"/>
  <c r="K2936" i="1" s="1"/>
  <c r="O2936" i="1" s="1"/>
  <c r="K2937" i="1" a="1"/>
  <c r="K2937" i="1" s="1"/>
  <c r="O2937" i="1" s="1"/>
  <c r="K2938" i="1" a="1"/>
  <c r="K2938" i="1" s="1"/>
  <c r="O2938" i="1" s="1"/>
  <c r="K2939" i="1" a="1"/>
  <c r="K2939" i="1" s="1"/>
  <c r="O2939" i="1" s="1"/>
  <c r="K2940" i="1" a="1"/>
  <c r="K2940" i="1" s="1"/>
  <c r="O2940" i="1" s="1"/>
  <c r="K2941" i="1" a="1"/>
  <c r="K2941" i="1" s="1"/>
  <c r="O2941" i="1" s="1"/>
  <c r="K2942" i="1" a="1"/>
  <c r="K2942" i="1" s="1"/>
  <c r="O2942" i="1" s="1"/>
  <c r="K2943" i="1" a="1"/>
  <c r="K2943" i="1" s="1"/>
  <c r="O2943" i="1" s="1"/>
  <c r="K2944" i="1" a="1"/>
  <c r="K2944" i="1" s="1"/>
  <c r="O2944" i="1" s="1"/>
  <c r="K2945" i="1" a="1"/>
  <c r="K2945" i="1" s="1"/>
  <c r="O2945" i="1" s="1"/>
  <c r="K2946" i="1" a="1"/>
  <c r="K2946" i="1" s="1"/>
  <c r="O2946" i="1" s="1"/>
  <c r="K2947" i="1" a="1"/>
  <c r="K2947" i="1" s="1"/>
  <c r="O2947" i="1" s="1"/>
  <c r="K2948" i="1" a="1"/>
  <c r="K2948" i="1" s="1"/>
  <c r="O2948" i="1" s="1"/>
  <c r="K2949" i="1" a="1"/>
  <c r="K2949" i="1"/>
  <c r="O2949" i="1" s="1"/>
  <c r="K2950" i="1" a="1"/>
  <c r="K2950" i="1" s="1"/>
  <c r="O2950" i="1" s="1"/>
  <c r="K2951" i="1" a="1"/>
  <c r="K2951" i="1" s="1"/>
  <c r="O2951" i="1" s="1"/>
  <c r="K2952" i="1" a="1"/>
  <c r="K2952" i="1" s="1"/>
  <c r="O2952" i="1" s="1"/>
  <c r="K2953" i="1" a="1"/>
  <c r="K2953" i="1" s="1"/>
  <c r="O2953" i="1" s="1"/>
  <c r="K2954" i="1" a="1"/>
  <c r="K2954" i="1" s="1"/>
  <c r="O2954" i="1" s="1"/>
  <c r="K2955" i="1" a="1"/>
  <c r="K2955" i="1" s="1"/>
  <c r="O2955" i="1" s="1"/>
  <c r="K2956" i="1" a="1"/>
  <c r="K2956" i="1"/>
  <c r="O2956" i="1" s="1"/>
  <c r="K2957" i="1" a="1"/>
  <c r="K2957" i="1" s="1"/>
  <c r="O2957" i="1" s="1"/>
  <c r="K2958" i="1" a="1"/>
  <c r="K2958" i="1" s="1"/>
  <c r="O2958" i="1" s="1"/>
  <c r="K2959" i="1" a="1"/>
  <c r="K2959" i="1" s="1"/>
  <c r="K2960" i="1" a="1"/>
  <c r="K2960" i="1" s="1"/>
  <c r="O2960" i="1" s="1"/>
  <c r="K2961" i="1" a="1"/>
  <c r="K2961" i="1" s="1"/>
  <c r="O2961" i="1" s="1"/>
  <c r="K2962" i="1" a="1"/>
  <c r="K2962" i="1" s="1"/>
  <c r="O2962" i="1" s="1"/>
  <c r="K2963" i="1" a="1"/>
  <c r="K2963" i="1" s="1"/>
  <c r="O2963" i="1" s="1"/>
  <c r="K2964" i="1" a="1"/>
  <c r="K2964" i="1" s="1"/>
  <c r="O2964" i="1" s="1"/>
  <c r="K2965" i="1" a="1"/>
  <c r="K2965" i="1" s="1"/>
  <c r="K2966" i="1" a="1"/>
  <c r="K2966" i="1" s="1"/>
  <c r="O2966" i="1" s="1"/>
  <c r="K2967" i="1" a="1"/>
  <c r="K2967" i="1" s="1"/>
  <c r="O2967" i="1" s="1"/>
  <c r="K2968" i="1" a="1"/>
  <c r="K2968" i="1" s="1"/>
  <c r="O2968" i="1" s="1"/>
  <c r="K2969" i="1" a="1"/>
  <c r="K2969" i="1" s="1"/>
  <c r="O2969" i="1" s="1"/>
  <c r="K2970" i="1" a="1"/>
  <c r="K2970" i="1" s="1"/>
  <c r="O2970" i="1" s="1"/>
  <c r="K2971" i="1" a="1"/>
  <c r="K2971" i="1" s="1"/>
  <c r="O2971" i="1" s="1"/>
  <c r="K2972" i="1" a="1"/>
  <c r="K2972" i="1" s="1"/>
  <c r="O2972" i="1" s="1"/>
  <c r="K2973" i="1" a="1"/>
  <c r="K2973" i="1" s="1"/>
  <c r="O2973" i="1" s="1"/>
  <c r="K2974" i="1" a="1"/>
  <c r="K2974" i="1" s="1"/>
  <c r="O2974" i="1" s="1"/>
  <c r="K2975" i="1" a="1"/>
  <c r="K2975" i="1" s="1"/>
  <c r="O2975" i="1" s="1"/>
  <c r="K2976" i="1" a="1"/>
  <c r="K2976" i="1" s="1"/>
  <c r="O2976" i="1" s="1"/>
  <c r="K2977" i="1" a="1"/>
  <c r="K2977" i="1" s="1"/>
  <c r="O2977" i="1" s="1"/>
  <c r="K2978" i="1" a="1"/>
  <c r="K2978" i="1" s="1"/>
  <c r="O2978" i="1" s="1"/>
  <c r="K2979" i="1" a="1"/>
  <c r="K2979" i="1" s="1"/>
  <c r="O2979" i="1" s="1"/>
  <c r="K2980" i="1" a="1"/>
  <c r="K2980" i="1" s="1"/>
  <c r="O2980" i="1" s="1"/>
  <c r="K2981" i="1" a="1"/>
  <c r="K2981" i="1" s="1"/>
  <c r="O2981" i="1" s="1"/>
  <c r="K2982" i="1" a="1"/>
  <c r="K2982" i="1" s="1"/>
  <c r="O2982" i="1" s="1"/>
  <c r="K2983" i="1" a="1"/>
  <c r="K2983" i="1" s="1"/>
  <c r="O2983" i="1" s="1"/>
  <c r="K2984" i="1" a="1"/>
  <c r="K2984" i="1" s="1"/>
  <c r="O2984" i="1" s="1"/>
  <c r="K2985" i="1" a="1"/>
  <c r="K2985" i="1" s="1"/>
  <c r="O2985" i="1" s="1"/>
  <c r="K2986" i="1" a="1"/>
  <c r="K2986" i="1" s="1"/>
  <c r="O2986" i="1" s="1"/>
  <c r="K2987" i="1" a="1"/>
  <c r="K2987" i="1" s="1"/>
  <c r="O2987" i="1" s="1"/>
  <c r="K2988" i="1" a="1"/>
  <c r="K2988" i="1" s="1"/>
  <c r="O2988" i="1" s="1"/>
  <c r="K2989" i="1" a="1"/>
  <c r="K2989" i="1" s="1"/>
  <c r="O2989" i="1" s="1"/>
  <c r="K2990" i="1" a="1"/>
  <c r="K2990" i="1" s="1"/>
  <c r="O2990" i="1" s="1"/>
  <c r="K2991" i="1" a="1"/>
  <c r="K2991" i="1" s="1"/>
  <c r="O2991" i="1" s="1"/>
  <c r="K2992" i="1" a="1"/>
  <c r="K2992" i="1" s="1"/>
  <c r="O2992" i="1" s="1"/>
  <c r="K2993" i="1" a="1"/>
  <c r="K2993" i="1" s="1"/>
  <c r="O2993" i="1" s="1"/>
  <c r="K2994" i="1" a="1"/>
  <c r="K2994" i="1" s="1"/>
  <c r="O2994" i="1" s="1"/>
  <c r="K2995" i="1" a="1"/>
  <c r="K2995" i="1" s="1"/>
  <c r="O2995" i="1" s="1"/>
  <c r="K2996" i="1" a="1"/>
  <c r="K2996" i="1" s="1"/>
  <c r="O2996" i="1" s="1"/>
  <c r="K2997" i="1" a="1"/>
  <c r="K2997" i="1" s="1"/>
  <c r="O2997" i="1" s="1"/>
  <c r="K2998" i="1" a="1"/>
  <c r="K2998" i="1" s="1"/>
  <c r="O2998" i="1" s="1"/>
  <c r="K2999" i="1" a="1"/>
  <c r="K2999" i="1" s="1"/>
  <c r="O2999" i="1" s="1"/>
  <c r="K3000" i="1" a="1"/>
  <c r="K3000" i="1" s="1"/>
  <c r="O3000" i="1" s="1"/>
  <c r="K3001" i="1" a="1"/>
  <c r="K3001" i="1" s="1"/>
  <c r="O3001" i="1" s="1"/>
  <c r="K3002" i="1" a="1"/>
  <c r="K3002" i="1" s="1"/>
  <c r="O3002" i="1" s="1"/>
  <c r="K3003" i="1" a="1"/>
  <c r="K3003" i="1" s="1"/>
  <c r="K3004" i="1" a="1"/>
  <c r="K3004" i="1" s="1"/>
  <c r="O3004" i="1" s="1"/>
  <c r="K3005" i="1" a="1"/>
  <c r="K3005" i="1" s="1"/>
  <c r="O3005" i="1" s="1"/>
  <c r="K3006" i="1" a="1"/>
  <c r="K3006" i="1" s="1"/>
  <c r="O3006" i="1" s="1"/>
  <c r="K3007" i="1" a="1"/>
  <c r="K3007" i="1" s="1"/>
  <c r="O3007" i="1" s="1"/>
  <c r="K3008" i="1" a="1"/>
  <c r="K3008" i="1" s="1"/>
  <c r="O3008" i="1" s="1"/>
  <c r="K3009" i="1" a="1"/>
  <c r="K3009" i="1" s="1"/>
  <c r="O3009" i="1" s="1"/>
  <c r="K3010" i="1" a="1"/>
  <c r="K3010" i="1" s="1"/>
  <c r="O3010" i="1" s="1"/>
  <c r="K3011" i="1" a="1"/>
  <c r="K3011" i="1" s="1"/>
  <c r="O3011" i="1" s="1"/>
  <c r="K3012" i="1" a="1"/>
  <c r="K3012" i="1" s="1"/>
  <c r="O3012" i="1" s="1"/>
  <c r="K3013" i="1" a="1"/>
  <c r="K3013" i="1" s="1"/>
  <c r="O3013" i="1" s="1"/>
  <c r="K3014" i="1" a="1"/>
  <c r="K3014" i="1" s="1"/>
  <c r="O3014" i="1" s="1"/>
  <c r="K3015" i="1" a="1"/>
  <c r="K3015" i="1" s="1"/>
  <c r="O3015" i="1" s="1"/>
  <c r="K3016" i="1" a="1"/>
  <c r="K3016" i="1" s="1"/>
  <c r="O3016" i="1" s="1"/>
  <c r="K3017" i="1" a="1"/>
  <c r="K3017" i="1" s="1"/>
  <c r="O3017" i="1" s="1"/>
  <c r="K3018" i="1" a="1"/>
  <c r="K3018" i="1" s="1"/>
  <c r="O3018" i="1" s="1"/>
  <c r="K3019" i="1" a="1"/>
  <c r="K3019" i="1" s="1"/>
  <c r="K3020" i="1" a="1"/>
  <c r="K3020" i="1" s="1"/>
  <c r="O3020" i="1" s="1"/>
  <c r="K3021" i="1" a="1"/>
  <c r="K3021" i="1" s="1"/>
  <c r="O3021" i="1" s="1"/>
  <c r="K3022" i="1" a="1"/>
  <c r="K3022" i="1" s="1"/>
  <c r="O3022" i="1" s="1"/>
  <c r="K3023" i="1" a="1"/>
  <c r="K3023" i="1" s="1"/>
  <c r="O3023" i="1" s="1"/>
  <c r="K3024" i="1" a="1"/>
  <c r="K3024" i="1" s="1"/>
  <c r="O3024" i="1" s="1"/>
  <c r="K3025" i="1" a="1"/>
  <c r="K3025" i="1" s="1"/>
  <c r="O3025" i="1" s="1"/>
  <c r="K3026" i="1" a="1"/>
  <c r="K3026" i="1" s="1"/>
  <c r="K3027" i="1" a="1"/>
  <c r="K3027" i="1" s="1"/>
  <c r="O3027" i="1" s="1"/>
  <c r="K3028" i="1" a="1"/>
  <c r="K3028" i="1" s="1"/>
  <c r="O3028" i="1" s="1"/>
  <c r="K3029" i="1" a="1"/>
  <c r="K3029" i="1" s="1"/>
  <c r="O3029" i="1" s="1"/>
  <c r="K3030" i="1" a="1"/>
  <c r="K3030" i="1" s="1"/>
  <c r="O3030" i="1" s="1"/>
  <c r="K3031" i="1" a="1"/>
  <c r="K3031" i="1" s="1"/>
  <c r="O3031" i="1" s="1"/>
  <c r="K3032" i="1" a="1"/>
  <c r="K3032" i="1"/>
  <c r="O3032" i="1" s="1"/>
  <c r="K3033" i="1" a="1"/>
  <c r="K3033" i="1" s="1"/>
  <c r="O3033" i="1" s="1"/>
  <c r="K3034" i="1" a="1"/>
  <c r="K3034" i="1" s="1"/>
  <c r="O3034" i="1" s="1"/>
  <c r="K3035" i="1" a="1"/>
  <c r="K3035" i="1" s="1"/>
  <c r="O3035" i="1" s="1"/>
  <c r="K3036" i="1" a="1"/>
  <c r="K3036" i="1" s="1"/>
  <c r="O3036" i="1" s="1"/>
  <c r="K3037" i="1" a="1"/>
  <c r="K3037" i="1" s="1"/>
  <c r="O3037" i="1" s="1"/>
  <c r="K3038" i="1" a="1"/>
  <c r="K3038" i="1" s="1"/>
  <c r="O3038" i="1" s="1"/>
  <c r="K3039" i="1" a="1"/>
  <c r="K3039" i="1" s="1"/>
  <c r="O3039" i="1" s="1"/>
  <c r="K3040" i="1" a="1"/>
  <c r="K3040" i="1" s="1"/>
  <c r="O3040" i="1" s="1"/>
  <c r="K3041" i="1" a="1"/>
  <c r="K3041" i="1" s="1"/>
  <c r="O3041" i="1" s="1"/>
  <c r="K3042" i="1" a="1"/>
  <c r="K3042" i="1" s="1"/>
  <c r="O3042" i="1" s="1"/>
  <c r="K3043" i="1" a="1"/>
  <c r="K3043" i="1" s="1"/>
  <c r="O3043" i="1" s="1"/>
  <c r="K3044" i="1" a="1"/>
  <c r="K3044" i="1" s="1"/>
  <c r="O3044" i="1" s="1"/>
  <c r="K3045" i="1" a="1"/>
  <c r="K3045" i="1" s="1"/>
  <c r="O3045" i="1" s="1"/>
  <c r="K3046" i="1" a="1"/>
  <c r="K3046" i="1" s="1"/>
  <c r="O3046" i="1" s="1"/>
  <c r="K3047" i="1" a="1"/>
  <c r="K3047" i="1" s="1"/>
  <c r="O3047" i="1" s="1"/>
  <c r="K3048" i="1" a="1"/>
  <c r="K3048" i="1" s="1"/>
  <c r="O3048" i="1" s="1"/>
  <c r="K3049" i="1" a="1"/>
  <c r="K3049" i="1" s="1"/>
  <c r="O3049" i="1" s="1"/>
  <c r="K3050" i="1" a="1"/>
  <c r="K3050" i="1" s="1"/>
  <c r="O3050" i="1" s="1"/>
  <c r="K3051" i="1" a="1"/>
  <c r="K3051" i="1" s="1"/>
  <c r="O3051" i="1" s="1"/>
  <c r="K3052" i="1" a="1"/>
  <c r="K3052" i="1" s="1"/>
  <c r="O3052" i="1" s="1"/>
  <c r="K3053" i="1" a="1"/>
  <c r="K3053" i="1" s="1"/>
  <c r="O3053" i="1" s="1"/>
  <c r="K3054" i="1" a="1"/>
  <c r="K3054" i="1" s="1"/>
  <c r="O3054" i="1" s="1"/>
  <c r="K3055" i="1" a="1"/>
  <c r="K3055" i="1" s="1"/>
  <c r="O3055" i="1" s="1"/>
  <c r="K3056" i="1" a="1"/>
  <c r="K3056" i="1" s="1"/>
  <c r="O3056" i="1" s="1"/>
  <c r="K3057" i="1" a="1"/>
  <c r="K3057" i="1" s="1"/>
  <c r="O3057" i="1" s="1"/>
  <c r="K3058" i="1" a="1"/>
  <c r="K3058" i="1" s="1"/>
  <c r="O3058" i="1" s="1"/>
  <c r="K3059" i="1" a="1"/>
  <c r="K3059" i="1" s="1"/>
  <c r="O3059" i="1" s="1"/>
  <c r="K3060" i="1" a="1"/>
  <c r="K3060" i="1" s="1"/>
  <c r="O3060" i="1" s="1"/>
  <c r="K3061" i="1" a="1"/>
  <c r="K3061" i="1" s="1"/>
  <c r="O3061" i="1" s="1"/>
  <c r="K3062" i="1" a="1"/>
  <c r="K3062" i="1" s="1"/>
  <c r="O3062" i="1" s="1"/>
  <c r="K3063" i="1" a="1"/>
  <c r="K3063" i="1" s="1"/>
  <c r="O3063" i="1" s="1"/>
  <c r="K3064" i="1" a="1"/>
  <c r="K3064" i="1" s="1"/>
  <c r="O3064" i="1" s="1"/>
  <c r="K3065" i="1" a="1"/>
  <c r="K3065" i="1" s="1"/>
  <c r="O3065" i="1" s="1"/>
  <c r="K3066" i="1" a="1"/>
  <c r="K3066" i="1" s="1"/>
  <c r="O3066" i="1" s="1"/>
  <c r="K3067" i="1" a="1"/>
  <c r="K3067" i="1" s="1"/>
  <c r="O3067" i="1" s="1"/>
  <c r="K3068" i="1" a="1"/>
  <c r="K3068" i="1" s="1"/>
  <c r="O3068" i="1" s="1"/>
  <c r="K3069" i="1" a="1"/>
  <c r="K3069" i="1" s="1"/>
  <c r="O3069" i="1" s="1"/>
  <c r="K3070" i="1" a="1"/>
  <c r="K3070" i="1" s="1"/>
  <c r="O3070" i="1" s="1"/>
  <c r="K3071" i="1" a="1"/>
  <c r="K3071" i="1" s="1"/>
  <c r="O3071" i="1" s="1"/>
  <c r="K3072" i="1" a="1"/>
  <c r="K3072" i="1" s="1"/>
  <c r="O3072" i="1" s="1"/>
  <c r="K3073" i="1" a="1"/>
  <c r="K3073" i="1" s="1"/>
  <c r="O3073" i="1" s="1"/>
  <c r="K3074" i="1" a="1"/>
  <c r="K3074" i="1" s="1"/>
  <c r="O3074" i="1" s="1"/>
  <c r="K3075" i="1" a="1"/>
  <c r="K3075" i="1" s="1"/>
  <c r="O3075" i="1" s="1"/>
  <c r="K3076" i="1" a="1"/>
  <c r="K3076" i="1" s="1"/>
  <c r="O3076" i="1" s="1"/>
  <c r="K3077" i="1" a="1"/>
  <c r="K3077" i="1" s="1"/>
  <c r="K3078" i="1" a="1"/>
  <c r="K3078" i="1" s="1"/>
  <c r="M3078" i="1" s="1"/>
  <c r="K3079" i="1" a="1"/>
  <c r="K3079" i="1" s="1"/>
  <c r="O3079" i="1" s="1"/>
  <c r="K3080" i="1" a="1"/>
  <c r="K3080" i="1" s="1"/>
  <c r="O3080" i="1" s="1"/>
  <c r="K3081" i="1" a="1"/>
  <c r="K3081" i="1" s="1"/>
  <c r="O3081" i="1" s="1"/>
  <c r="K3082" i="1" a="1"/>
  <c r="K3082" i="1" s="1"/>
  <c r="O3082" i="1" s="1"/>
  <c r="K3083" i="1" a="1"/>
  <c r="K3083" i="1" s="1"/>
  <c r="N3083" i="1" s="1"/>
  <c r="K3084" i="1" a="1"/>
  <c r="K3084" i="1" s="1"/>
  <c r="O3084" i="1" s="1"/>
  <c r="K3085" i="1" a="1"/>
  <c r="K3085" i="1" s="1"/>
  <c r="O3085" i="1" s="1"/>
  <c r="K3086" i="1" a="1"/>
  <c r="K3086" i="1"/>
  <c r="O3086" i="1" s="1"/>
  <c r="K3087" i="1" a="1"/>
  <c r="K3087" i="1" s="1"/>
  <c r="O3087" i="1" s="1"/>
  <c r="K3088" i="1" a="1"/>
  <c r="K3088" i="1" s="1"/>
  <c r="O3088" i="1" s="1"/>
  <c r="K3089" i="1" a="1"/>
  <c r="K3089" i="1" s="1"/>
  <c r="O3089" i="1" s="1"/>
  <c r="K3090" i="1" a="1"/>
  <c r="K3090" i="1" s="1"/>
  <c r="O3090" i="1" s="1"/>
  <c r="K3091" i="1" a="1"/>
  <c r="K3091" i="1" s="1"/>
  <c r="O3091" i="1" s="1"/>
  <c r="K3092" i="1" a="1"/>
  <c r="K3092" i="1" s="1"/>
  <c r="O3092" i="1" s="1"/>
  <c r="K3093" i="1" a="1"/>
  <c r="K3093" i="1" s="1"/>
  <c r="O3093" i="1" s="1"/>
  <c r="K3094" i="1" a="1"/>
  <c r="K3094" i="1" s="1"/>
  <c r="O3094" i="1" s="1"/>
  <c r="K3095" i="1" a="1"/>
  <c r="K3095" i="1" s="1"/>
  <c r="O3095" i="1" s="1"/>
  <c r="K3096" i="1" a="1"/>
  <c r="K3096" i="1" s="1"/>
  <c r="O3096" i="1" s="1"/>
  <c r="K3097" i="1" a="1"/>
  <c r="K3097" i="1" s="1"/>
  <c r="O3097" i="1" s="1"/>
  <c r="K3098" i="1" a="1"/>
  <c r="K3098" i="1" s="1"/>
  <c r="O3098" i="1" s="1"/>
  <c r="K3099" i="1" a="1"/>
  <c r="K3099" i="1" s="1"/>
  <c r="O3099" i="1" s="1"/>
  <c r="K3100" i="1" a="1"/>
  <c r="K3100" i="1" s="1"/>
  <c r="O3100" i="1" s="1"/>
  <c r="K3101" i="1" a="1"/>
  <c r="K3101" i="1" s="1"/>
  <c r="O3101" i="1" s="1"/>
  <c r="K3102" i="1" a="1"/>
  <c r="K3102" i="1" s="1"/>
  <c r="O3102" i="1" s="1"/>
  <c r="K3103" i="1" a="1"/>
  <c r="K3103" i="1" s="1"/>
  <c r="O3103" i="1" s="1"/>
  <c r="K3104" i="1" a="1"/>
  <c r="K3104" i="1" s="1"/>
  <c r="O3104" i="1" s="1"/>
  <c r="K3105" i="1" a="1"/>
  <c r="K3105" i="1" s="1"/>
  <c r="O3105" i="1" s="1"/>
  <c r="K3106" i="1" a="1"/>
  <c r="K3106" i="1" s="1"/>
  <c r="O3106" i="1" s="1"/>
  <c r="K3107" i="1" a="1"/>
  <c r="K3107" i="1" s="1"/>
  <c r="O3107" i="1" s="1"/>
  <c r="K3108" i="1" a="1"/>
  <c r="K3108" i="1" s="1"/>
  <c r="O3108" i="1" s="1"/>
  <c r="K3109" i="1" a="1"/>
  <c r="K3109" i="1"/>
  <c r="O3109" i="1" s="1"/>
  <c r="K3110" i="1" a="1"/>
  <c r="K3110" i="1" s="1"/>
  <c r="O3110" i="1" s="1"/>
  <c r="K3111" i="1" a="1"/>
  <c r="K3111" i="1" s="1"/>
  <c r="O3111" i="1" s="1"/>
  <c r="K3112" i="1" a="1"/>
  <c r="K3112" i="1" s="1"/>
  <c r="O3112" i="1" s="1"/>
  <c r="K3113" i="1" a="1"/>
  <c r="K3113" i="1" s="1"/>
  <c r="O3113" i="1" s="1"/>
  <c r="K3114" i="1" a="1"/>
  <c r="K3114" i="1" s="1"/>
  <c r="O3114" i="1" s="1"/>
  <c r="K3115" i="1" a="1"/>
  <c r="K3115" i="1" s="1"/>
  <c r="O3115" i="1" s="1"/>
  <c r="K3116" i="1" a="1"/>
  <c r="K3116" i="1"/>
  <c r="O3116" i="1" s="1"/>
  <c r="K3117" i="1" a="1"/>
  <c r="K3117" i="1" s="1"/>
  <c r="O3117" i="1" s="1"/>
  <c r="K3118" i="1" a="1"/>
  <c r="K3118" i="1" s="1"/>
  <c r="O3118" i="1" s="1"/>
  <c r="K3119" i="1" a="1"/>
  <c r="K3119" i="1" s="1"/>
  <c r="O3119" i="1" s="1"/>
  <c r="K3120" i="1" a="1"/>
  <c r="K3120" i="1" s="1"/>
  <c r="O3120" i="1" s="1"/>
  <c r="K3121" i="1" a="1"/>
  <c r="K3121" i="1" s="1"/>
  <c r="O3121" i="1" s="1"/>
  <c r="K3122" i="1" a="1"/>
  <c r="K3122" i="1" s="1"/>
  <c r="O3122" i="1" s="1"/>
  <c r="K3123" i="1" a="1"/>
  <c r="K3123" i="1" s="1"/>
  <c r="O3123" i="1" s="1"/>
  <c r="K3124" i="1" a="1"/>
  <c r="K3124" i="1" s="1"/>
  <c r="O3124" i="1" s="1"/>
  <c r="K3125" i="1" a="1"/>
  <c r="K3125" i="1" s="1"/>
  <c r="O3125" i="1" s="1"/>
  <c r="K3126" i="1" a="1"/>
  <c r="K3126" i="1" s="1"/>
  <c r="O3126" i="1" s="1"/>
  <c r="K3127" i="1" a="1"/>
  <c r="K3127" i="1" s="1"/>
  <c r="O3127" i="1" s="1"/>
  <c r="K3128" i="1" a="1"/>
  <c r="K3128" i="1" s="1"/>
  <c r="O3128" i="1" s="1"/>
  <c r="K3129" i="1" a="1"/>
  <c r="K3129" i="1" s="1"/>
  <c r="O3129" i="1" s="1"/>
  <c r="K3130" i="1" a="1"/>
  <c r="K3130" i="1" s="1"/>
  <c r="O3130" i="1" s="1"/>
  <c r="K3131" i="1" a="1"/>
  <c r="K3131" i="1" s="1"/>
  <c r="O3131" i="1" s="1"/>
  <c r="K3132" i="1" a="1"/>
  <c r="K3132" i="1" s="1"/>
  <c r="O3132" i="1" s="1"/>
  <c r="K3133" i="1" a="1"/>
  <c r="K3133" i="1" s="1"/>
  <c r="O3133" i="1" s="1"/>
  <c r="K3134" i="1" a="1"/>
  <c r="K3134" i="1" s="1"/>
  <c r="O3134" i="1" s="1"/>
  <c r="K3135" i="1" a="1"/>
  <c r="K3135" i="1" s="1"/>
  <c r="O3135" i="1" s="1"/>
  <c r="K3136" i="1" a="1"/>
  <c r="K3136" i="1" s="1"/>
  <c r="O3136" i="1" s="1"/>
  <c r="K3137" i="1" a="1"/>
  <c r="K3137" i="1" s="1"/>
  <c r="O3137" i="1" s="1"/>
  <c r="K3138" i="1" a="1"/>
  <c r="K3138" i="1" s="1"/>
  <c r="O3138" i="1" s="1"/>
  <c r="K3139" i="1" a="1"/>
  <c r="K3139" i="1" s="1"/>
  <c r="O3139" i="1" s="1"/>
  <c r="K3140" i="1" a="1"/>
  <c r="K3140" i="1" s="1"/>
  <c r="O3140" i="1" s="1"/>
  <c r="K3141" i="1" a="1"/>
  <c r="K3141" i="1" s="1"/>
  <c r="O3141" i="1" s="1"/>
  <c r="K3142" i="1" a="1"/>
  <c r="K3142" i="1" s="1"/>
  <c r="O3142" i="1" s="1"/>
  <c r="K3143" i="1" a="1"/>
  <c r="K3143" i="1" s="1"/>
  <c r="O3143" i="1" s="1"/>
  <c r="K3144" i="1" a="1"/>
  <c r="K3144" i="1" s="1"/>
  <c r="O3144" i="1" s="1"/>
  <c r="K3145" i="1" a="1"/>
  <c r="K3145" i="1" s="1"/>
  <c r="O3145" i="1" s="1"/>
  <c r="K3146" i="1" a="1"/>
  <c r="K3146" i="1" s="1"/>
  <c r="O3146" i="1" s="1"/>
  <c r="K3147" i="1" a="1"/>
  <c r="K3147" i="1" s="1"/>
  <c r="O3147" i="1" s="1"/>
  <c r="K3148" i="1" a="1"/>
  <c r="K3148" i="1" s="1"/>
  <c r="O3148" i="1" s="1"/>
  <c r="K3149" i="1" a="1"/>
  <c r="K3149" i="1" s="1"/>
  <c r="O3149" i="1" s="1"/>
  <c r="K3150" i="1" a="1"/>
  <c r="K3150" i="1" s="1"/>
  <c r="O3150" i="1" s="1"/>
  <c r="K3151" i="1" a="1"/>
  <c r="K3151" i="1" s="1"/>
  <c r="O3151" i="1" s="1"/>
  <c r="K3152" i="1" a="1"/>
  <c r="K3152" i="1" s="1"/>
  <c r="O3152" i="1" s="1"/>
  <c r="K3153" i="1" a="1"/>
  <c r="K3153" i="1" s="1"/>
  <c r="O3153" i="1" s="1"/>
  <c r="K3154" i="1" a="1"/>
  <c r="K3154" i="1" s="1"/>
  <c r="O3154" i="1" s="1"/>
  <c r="K3155" i="1" a="1"/>
  <c r="K3155" i="1" s="1"/>
  <c r="O3155" i="1" s="1"/>
  <c r="K3156" i="1" a="1"/>
  <c r="K3156" i="1" s="1"/>
  <c r="O3156" i="1" s="1"/>
  <c r="K3157" i="1" a="1"/>
  <c r="K3157" i="1" s="1"/>
  <c r="O3157" i="1" s="1"/>
  <c r="K3158" i="1" a="1"/>
  <c r="K3158" i="1" s="1"/>
  <c r="O3158" i="1" s="1"/>
  <c r="K3159" i="1" a="1"/>
  <c r="K3159" i="1" s="1"/>
  <c r="O3159" i="1" s="1"/>
  <c r="K3160" i="1" a="1"/>
  <c r="K3160" i="1" s="1"/>
  <c r="O3160" i="1" s="1"/>
  <c r="K3161" i="1" a="1"/>
  <c r="K3161" i="1" s="1"/>
  <c r="O3161" i="1" s="1"/>
  <c r="K3162" i="1" a="1"/>
  <c r="K3162" i="1" s="1"/>
  <c r="O3162" i="1" s="1"/>
  <c r="K3163" i="1" a="1"/>
  <c r="K3163" i="1" s="1"/>
  <c r="O3163" i="1" s="1"/>
  <c r="K3164" i="1" a="1"/>
  <c r="K3164" i="1"/>
  <c r="O3164" i="1" s="1"/>
  <c r="K3165" i="1" a="1"/>
  <c r="K3165" i="1" s="1"/>
  <c r="O3165" i="1" s="1"/>
  <c r="K3166" i="1" a="1"/>
  <c r="K3166" i="1" s="1"/>
  <c r="O3166" i="1" s="1"/>
  <c r="K3167" i="1" a="1"/>
  <c r="K3167" i="1" s="1"/>
  <c r="O3167" i="1" s="1"/>
  <c r="K3168" i="1" a="1"/>
  <c r="K3168" i="1" s="1"/>
  <c r="O3168" i="1" s="1"/>
  <c r="K3169" i="1" a="1"/>
  <c r="K3169" i="1" s="1"/>
  <c r="O3169" i="1" s="1"/>
  <c r="K3170" i="1" a="1"/>
  <c r="K3170" i="1" s="1"/>
  <c r="O3170" i="1" s="1"/>
  <c r="K3171" i="1" a="1"/>
  <c r="K3171" i="1" s="1"/>
  <c r="O3171" i="1" s="1"/>
  <c r="K3172" i="1" a="1"/>
  <c r="K3172" i="1" s="1"/>
  <c r="O3172" i="1" s="1"/>
  <c r="K3173" i="1" a="1"/>
  <c r="K3173" i="1" s="1"/>
  <c r="O3173" i="1" s="1"/>
  <c r="K3174" i="1" a="1"/>
  <c r="K3174" i="1" s="1"/>
  <c r="O3174" i="1" s="1"/>
  <c r="K3175" i="1" a="1"/>
  <c r="K3175" i="1" s="1"/>
  <c r="O3175" i="1" s="1"/>
  <c r="K3176" i="1" a="1"/>
  <c r="K3176" i="1" s="1"/>
  <c r="O3176" i="1" s="1"/>
  <c r="K3177" i="1" a="1"/>
  <c r="K3177" i="1" s="1"/>
  <c r="O3177" i="1" s="1"/>
  <c r="K3178" i="1" a="1"/>
  <c r="K3178" i="1" s="1"/>
  <c r="O3178" i="1" s="1"/>
  <c r="K3179" i="1" a="1"/>
  <c r="K3179" i="1" s="1"/>
  <c r="O3179" i="1" s="1"/>
  <c r="K3180" i="1" a="1"/>
  <c r="K3180" i="1" s="1"/>
  <c r="O3180" i="1" s="1"/>
  <c r="K3181" i="1" a="1"/>
  <c r="K3181" i="1" s="1"/>
  <c r="M3181" i="1" s="1"/>
  <c r="K3182" i="1" a="1"/>
  <c r="K3182" i="1" s="1"/>
  <c r="O3182" i="1" s="1"/>
  <c r="K3183" i="1" a="1"/>
  <c r="K3183" i="1" s="1"/>
  <c r="O3183" i="1" s="1"/>
  <c r="K3184" i="1" a="1"/>
  <c r="K3184" i="1" s="1"/>
  <c r="O3184" i="1" s="1"/>
  <c r="K3185" i="1" a="1"/>
  <c r="K3185" i="1" s="1"/>
  <c r="O3185" i="1" s="1"/>
  <c r="K3186" i="1" a="1"/>
  <c r="K3186" i="1" s="1"/>
  <c r="O3186" i="1" s="1"/>
  <c r="K3187" i="1" a="1"/>
  <c r="K3187" i="1" s="1"/>
  <c r="O3187" i="1" s="1"/>
  <c r="K3188" i="1" a="1"/>
  <c r="K3188" i="1" s="1"/>
  <c r="O3188" i="1" s="1"/>
  <c r="K3189" i="1" a="1"/>
  <c r="K3189" i="1" s="1"/>
  <c r="K3190" i="1" a="1"/>
  <c r="K3190" i="1" s="1"/>
  <c r="O3190" i="1" s="1"/>
  <c r="K3191" i="1" a="1"/>
  <c r="K3191" i="1" s="1"/>
  <c r="O3191" i="1" s="1"/>
  <c r="K3192" i="1" a="1"/>
  <c r="K3192" i="1" s="1"/>
  <c r="K3193" i="1" a="1"/>
  <c r="K3193" i="1" s="1"/>
  <c r="O3193" i="1" s="1"/>
  <c r="K3194" i="1" a="1"/>
  <c r="K3194" i="1" s="1"/>
  <c r="O3194" i="1" s="1"/>
  <c r="K3195" i="1" a="1"/>
  <c r="K3195" i="1" s="1"/>
  <c r="O3195" i="1" s="1"/>
  <c r="K3196" i="1" a="1"/>
  <c r="K3196" i="1" s="1"/>
  <c r="O3196" i="1" s="1"/>
  <c r="K3197" i="1" a="1"/>
  <c r="K3197" i="1" s="1"/>
  <c r="O3197" i="1" s="1"/>
  <c r="K3198" i="1" a="1"/>
  <c r="K3198" i="1" s="1"/>
  <c r="O3198" i="1" s="1"/>
  <c r="K3199" i="1" a="1"/>
  <c r="K3199" i="1" s="1"/>
  <c r="O3199" i="1" s="1"/>
  <c r="K3200" i="1" a="1"/>
  <c r="K3200" i="1" s="1"/>
  <c r="O3200" i="1" s="1"/>
  <c r="K3201" i="1" a="1"/>
  <c r="K3201" i="1" s="1"/>
  <c r="O3201" i="1" s="1"/>
  <c r="K3202" i="1" a="1"/>
  <c r="K3202" i="1" s="1"/>
  <c r="O3202" i="1" s="1"/>
  <c r="K3203" i="1" a="1"/>
  <c r="K3203" i="1" s="1"/>
  <c r="O3203" i="1" s="1"/>
  <c r="K3204" i="1" a="1"/>
  <c r="K3204" i="1" s="1"/>
  <c r="O3204" i="1" s="1"/>
  <c r="K3205" i="1" a="1"/>
  <c r="K3205" i="1" s="1"/>
  <c r="O3205" i="1" s="1"/>
  <c r="K3206" i="1" a="1"/>
  <c r="K3206" i="1" s="1"/>
  <c r="O3206" i="1" s="1"/>
  <c r="K3207" i="1" a="1"/>
  <c r="K3207" i="1" s="1"/>
  <c r="O3207" i="1" s="1"/>
  <c r="K3208" i="1" a="1"/>
  <c r="K3208" i="1" s="1"/>
  <c r="O3208" i="1" s="1"/>
  <c r="K3209" i="1" a="1"/>
  <c r="K3209" i="1" s="1"/>
  <c r="O3209" i="1" s="1"/>
  <c r="K3210" i="1" a="1"/>
  <c r="K3210" i="1" s="1"/>
  <c r="O3210" i="1" s="1"/>
  <c r="K3211" i="1" a="1"/>
  <c r="K3211" i="1" s="1"/>
  <c r="O3211" i="1" s="1"/>
  <c r="K3212" i="1" a="1"/>
  <c r="K3212" i="1" s="1"/>
  <c r="O3212" i="1" s="1"/>
  <c r="K3213" i="1" a="1"/>
  <c r="K3213" i="1" s="1"/>
  <c r="O3213" i="1" s="1"/>
  <c r="K3214" i="1" a="1"/>
  <c r="K3214" i="1" s="1"/>
  <c r="O3214" i="1" s="1"/>
  <c r="K3215" i="1" a="1"/>
  <c r="K3215" i="1" s="1"/>
  <c r="O3215" i="1" s="1"/>
  <c r="K3216" i="1" a="1"/>
  <c r="K3216" i="1" s="1"/>
  <c r="O3216" i="1" s="1"/>
  <c r="K3217" i="1" a="1"/>
  <c r="K3217" i="1" s="1"/>
  <c r="O3217" i="1" s="1"/>
  <c r="K3218" i="1" a="1"/>
  <c r="K3218" i="1" s="1"/>
  <c r="O3218" i="1" s="1"/>
  <c r="K3219" i="1" a="1"/>
  <c r="K3219" i="1" s="1"/>
  <c r="O3219" i="1" s="1"/>
  <c r="K3220" i="1" a="1"/>
  <c r="K3220" i="1" s="1"/>
  <c r="O3220" i="1" s="1"/>
  <c r="K3221" i="1" a="1"/>
  <c r="K3221" i="1" s="1"/>
  <c r="O3221" i="1" s="1"/>
  <c r="K3222" i="1" a="1"/>
  <c r="K3222" i="1" s="1"/>
  <c r="O3222" i="1" s="1"/>
  <c r="K3223" i="1" a="1"/>
  <c r="K3223" i="1" s="1"/>
  <c r="O3223" i="1" s="1"/>
  <c r="K3224" i="1" a="1"/>
  <c r="K3224" i="1" s="1"/>
  <c r="O3224" i="1" s="1"/>
  <c r="K3225" i="1" a="1"/>
  <c r="K3225" i="1" s="1"/>
  <c r="O3225" i="1" s="1"/>
  <c r="K3226" i="1" a="1"/>
  <c r="K3226" i="1" s="1"/>
  <c r="O3226" i="1" s="1"/>
  <c r="K3227" i="1" a="1"/>
  <c r="K3227" i="1" s="1"/>
  <c r="O3227" i="1" s="1"/>
  <c r="K3228" i="1" a="1"/>
  <c r="K3228" i="1" s="1"/>
  <c r="O3228" i="1" s="1"/>
  <c r="K3229" i="1" a="1"/>
  <c r="K3229" i="1" s="1"/>
  <c r="O3229" i="1" s="1"/>
  <c r="K3230" i="1" a="1"/>
  <c r="K3230" i="1" s="1"/>
  <c r="O3230" i="1" s="1"/>
  <c r="K3231" i="1" a="1"/>
  <c r="K3231" i="1" s="1"/>
  <c r="K3232" i="1" a="1"/>
  <c r="K3232" i="1" s="1"/>
  <c r="O3232" i="1" s="1"/>
  <c r="K3233" i="1" a="1"/>
  <c r="K3233" i="1" s="1"/>
  <c r="O3233" i="1" s="1"/>
  <c r="K3234" i="1" a="1"/>
  <c r="K3234" i="1" s="1"/>
  <c r="O3234" i="1" s="1"/>
  <c r="K3235" i="1" a="1"/>
  <c r="K3235" i="1" s="1"/>
  <c r="O3235" i="1" s="1"/>
  <c r="K3236" i="1" a="1"/>
  <c r="K3236" i="1" s="1"/>
  <c r="O3236" i="1" s="1"/>
  <c r="K3237" i="1" a="1"/>
  <c r="K3237" i="1" s="1"/>
  <c r="O3237" i="1" s="1"/>
  <c r="K3238" i="1" a="1"/>
  <c r="K3238" i="1" s="1"/>
  <c r="K3239" i="1" a="1"/>
  <c r="K3239" i="1" s="1"/>
  <c r="O3239" i="1" s="1"/>
  <c r="K3240" i="1" a="1"/>
  <c r="K3240" i="1" s="1"/>
  <c r="O3240" i="1" s="1"/>
  <c r="K3241" i="1" a="1"/>
  <c r="K3241" i="1" s="1"/>
  <c r="O3241" i="1" s="1"/>
  <c r="K3242" i="1" a="1"/>
  <c r="K3242" i="1" s="1"/>
  <c r="O3242" i="1" s="1"/>
  <c r="K3243" i="1" a="1"/>
  <c r="K3243" i="1" s="1"/>
  <c r="O3243" i="1" s="1"/>
  <c r="K3244" i="1" a="1"/>
  <c r="K3244" i="1" s="1"/>
  <c r="O3244" i="1" s="1"/>
  <c r="K3245" i="1" a="1"/>
  <c r="K3245" i="1" s="1"/>
  <c r="O3245" i="1" s="1"/>
  <c r="K3246" i="1" a="1"/>
  <c r="K3246" i="1" s="1"/>
  <c r="O3246" i="1" s="1"/>
  <c r="K3247" i="1" a="1"/>
  <c r="K3247" i="1" s="1"/>
  <c r="O3247" i="1" s="1"/>
  <c r="K3248" i="1" a="1"/>
  <c r="K3248" i="1" s="1"/>
  <c r="O3248" i="1" s="1"/>
  <c r="K3249" i="1" a="1"/>
  <c r="K3249" i="1" s="1"/>
  <c r="O3249" i="1" s="1"/>
  <c r="K3250" i="1" a="1"/>
  <c r="K3250" i="1" s="1"/>
  <c r="O3250" i="1" s="1"/>
  <c r="K3251" i="1" a="1"/>
  <c r="K3251" i="1" s="1"/>
  <c r="O3251" i="1" s="1"/>
  <c r="K3252" i="1" a="1"/>
  <c r="K3252" i="1" s="1"/>
  <c r="O3252" i="1" s="1"/>
  <c r="K3253" i="1" a="1"/>
  <c r="K3253" i="1" s="1"/>
  <c r="O3253" i="1" s="1"/>
  <c r="K3254" i="1" a="1"/>
  <c r="K3254" i="1" s="1"/>
  <c r="O3254" i="1" s="1"/>
  <c r="K3255" i="1" a="1"/>
  <c r="K3255" i="1" s="1"/>
  <c r="O3255" i="1" s="1"/>
  <c r="K3256" i="1" a="1"/>
  <c r="K3256" i="1" s="1"/>
  <c r="O3256" i="1" s="1"/>
  <c r="K3257" i="1" a="1"/>
  <c r="K3257" i="1" s="1"/>
  <c r="O3257" i="1" s="1"/>
  <c r="K3258" i="1" a="1"/>
  <c r="K3258" i="1" s="1"/>
  <c r="O3258" i="1" s="1"/>
  <c r="K3259" i="1" a="1"/>
  <c r="K3259" i="1" s="1"/>
  <c r="O3259" i="1" s="1"/>
  <c r="K3260" i="1" a="1"/>
  <c r="K3260" i="1" s="1"/>
  <c r="O3260" i="1" s="1"/>
  <c r="K3261" i="1" a="1"/>
  <c r="K3261" i="1" s="1"/>
  <c r="O3261" i="1" s="1"/>
  <c r="K3262" i="1" a="1"/>
  <c r="K3262" i="1" s="1"/>
  <c r="O3262" i="1" s="1"/>
  <c r="K3263" i="1" a="1"/>
  <c r="K3263" i="1" s="1"/>
  <c r="O3263" i="1" s="1"/>
  <c r="K3264" i="1" a="1"/>
  <c r="K3264" i="1" s="1"/>
  <c r="O3264" i="1" s="1"/>
  <c r="K3265" i="1" a="1"/>
  <c r="K3265" i="1" s="1"/>
  <c r="O3265" i="1" s="1"/>
  <c r="K3266" i="1" a="1"/>
  <c r="K3266" i="1" s="1"/>
  <c r="O3266" i="1" s="1"/>
  <c r="K3267" i="1" a="1"/>
  <c r="K3267" i="1" s="1"/>
  <c r="O3267" i="1" s="1"/>
  <c r="K3268" i="1" a="1"/>
  <c r="K3268" i="1" s="1"/>
  <c r="O3268" i="1" s="1"/>
  <c r="K3269" i="1" a="1"/>
  <c r="K3269" i="1" s="1"/>
  <c r="O3269" i="1" s="1"/>
  <c r="K3270" i="1" a="1"/>
  <c r="K3270" i="1" s="1"/>
  <c r="O3270" i="1" s="1"/>
  <c r="K3271" i="1" a="1"/>
  <c r="K3271" i="1" s="1"/>
  <c r="O3271" i="1" s="1"/>
  <c r="K3272" i="1" a="1"/>
  <c r="K3272" i="1" s="1"/>
  <c r="O3272" i="1" s="1"/>
  <c r="K3273" i="1" a="1"/>
  <c r="K3273" i="1" s="1"/>
  <c r="O3273" i="1" s="1"/>
  <c r="K3274" i="1" a="1"/>
  <c r="K3274" i="1" s="1"/>
  <c r="O3274" i="1" s="1"/>
  <c r="K3275" i="1" a="1"/>
  <c r="K3275" i="1" s="1"/>
  <c r="O3275" i="1" s="1"/>
  <c r="K3276" i="1" a="1"/>
  <c r="K3276" i="1" s="1"/>
  <c r="O3276" i="1" s="1"/>
  <c r="K3277" i="1" a="1"/>
  <c r="K3277" i="1" s="1"/>
  <c r="O3277" i="1" s="1"/>
  <c r="K3278" i="1" a="1"/>
  <c r="K3278" i="1" s="1"/>
  <c r="O3278" i="1" s="1"/>
  <c r="K3279" i="1" a="1"/>
  <c r="K3279" i="1" s="1"/>
  <c r="O3279" i="1" s="1"/>
  <c r="K3280" i="1" a="1"/>
  <c r="K3280" i="1" s="1"/>
  <c r="K3281" i="1" a="1"/>
  <c r="K3281" i="1" s="1"/>
  <c r="O3281" i="1" s="1"/>
  <c r="K3282" i="1" a="1"/>
  <c r="K3282" i="1" s="1"/>
  <c r="K3283" i="1" a="1"/>
  <c r="K3283" i="1" s="1"/>
  <c r="O3283" i="1" s="1"/>
  <c r="K3284" i="1" a="1"/>
  <c r="K3284" i="1" s="1"/>
  <c r="O3284" i="1" s="1"/>
  <c r="K3285" i="1" a="1"/>
  <c r="K3285" i="1" s="1"/>
  <c r="O3285" i="1" s="1"/>
  <c r="K3286" i="1" a="1"/>
  <c r="K3286" i="1" s="1"/>
  <c r="O3286" i="1" s="1"/>
  <c r="K3287" i="1" a="1"/>
  <c r="K3287" i="1" s="1"/>
  <c r="O3287" i="1" s="1"/>
  <c r="K3288" i="1" a="1"/>
  <c r="K3288" i="1" s="1"/>
  <c r="O3288" i="1" s="1"/>
  <c r="K3289" i="1" a="1"/>
  <c r="K3289" i="1" s="1"/>
  <c r="O3289" i="1" s="1"/>
  <c r="K3290" i="1" a="1"/>
  <c r="K3290" i="1" s="1"/>
  <c r="O3290" i="1" s="1"/>
  <c r="K3291" i="1" a="1"/>
  <c r="K3291" i="1" s="1"/>
  <c r="O3291" i="1" s="1"/>
  <c r="K3292" i="1" a="1"/>
  <c r="K3292" i="1" s="1"/>
  <c r="O3292" i="1" s="1"/>
  <c r="K3293" i="1" a="1"/>
  <c r="K3293" i="1" s="1"/>
  <c r="O3293" i="1" s="1"/>
  <c r="K3294" i="1" a="1"/>
  <c r="K3294" i="1" s="1"/>
  <c r="O3294" i="1" s="1"/>
  <c r="K3295" i="1" a="1"/>
  <c r="K3295" i="1" s="1"/>
  <c r="O3295" i="1" s="1"/>
  <c r="K3296" i="1" a="1"/>
  <c r="K3296" i="1" s="1"/>
  <c r="O3296" i="1" s="1"/>
  <c r="K3297" i="1" a="1"/>
  <c r="K3297" i="1" s="1"/>
  <c r="O3297" i="1" s="1"/>
  <c r="K3298" i="1" a="1"/>
  <c r="K3298" i="1" s="1"/>
  <c r="O3298" i="1" s="1"/>
  <c r="K3299" i="1" a="1"/>
  <c r="K3299" i="1" s="1"/>
  <c r="O3299" i="1" s="1"/>
  <c r="K3300" i="1" a="1"/>
  <c r="K3300" i="1" s="1"/>
  <c r="O3300" i="1" s="1"/>
  <c r="K3301" i="1" a="1"/>
  <c r="K3301" i="1" s="1"/>
  <c r="O3301" i="1" s="1"/>
  <c r="K3302" i="1" a="1"/>
  <c r="K3302" i="1" s="1"/>
  <c r="O3302" i="1" s="1"/>
  <c r="K3303" i="1" a="1"/>
  <c r="K3303" i="1" s="1"/>
  <c r="O3303" i="1" s="1"/>
  <c r="K3304" i="1" a="1"/>
  <c r="K3304" i="1" s="1"/>
  <c r="O3304" i="1" s="1"/>
  <c r="K3305" i="1" a="1"/>
  <c r="K3305" i="1" s="1"/>
  <c r="O3305" i="1" s="1"/>
  <c r="K3306" i="1" a="1"/>
  <c r="K3306" i="1" s="1"/>
  <c r="O3306" i="1" s="1"/>
  <c r="K3307" i="1" a="1"/>
  <c r="K3307" i="1" s="1"/>
  <c r="O3307" i="1" s="1"/>
  <c r="K3308" i="1" a="1"/>
  <c r="K3308" i="1" s="1"/>
  <c r="O3308" i="1" s="1"/>
  <c r="K3309" i="1" a="1"/>
  <c r="K3309" i="1" s="1"/>
  <c r="O3309" i="1" s="1"/>
  <c r="K3310" i="1" a="1"/>
  <c r="K3310" i="1" s="1"/>
  <c r="O3310" i="1" s="1"/>
  <c r="K3311" i="1" a="1"/>
  <c r="K3311" i="1" s="1"/>
  <c r="O3311" i="1" s="1"/>
  <c r="K3312" i="1" a="1"/>
  <c r="K3312" i="1" s="1"/>
  <c r="O3312" i="1" s="1"/>
  <c r="K3313" i="1" a="1"/>
  <c r="K3313" i="1" s="1"/>
  <c r="O3313" i="1" s="1"/>
  <c r="K3314" i="1" a="1"/>
  <c r="K3314" i="1" s="1"/>
  <c r="O3314" i="1" s="1"/>
  <c r="K3315" i="1" a="1"/>
  <c r="K3315" i="1" s="1"/>
  <c r="O3315" i="1" s="1"/>
  <c r="K3316" i="1" a="1"/>
  <c r="K3316" i="1" s="1"/>
  <c r="O3316" i="1" s="1"/>
  <c r="K3317" i="1" a="1"/>
  <c r="K3317" i="1" s="1"/>
  <c r="O3317" i="1" s="1"/>
  <c r="K3318" i="1" a="1"/>
  <c r="K3318" i="1" s="1"/>
  <c r="O3318" i="1" s="1"/>
  <c r="K3319" i="1" a="1"/>
  <c r="K3319" i="1" s="1"/>
  <c r="O3319" i="1" s="1"/>
  <c r="K3320" i="1" a="1"/>
  <c r="K3320" i="1" s="1"/>
  <c r="O3320" i="1" s="1"/>
  <c r="K3321" i="1" a="1"/>
  <c r="K3321" i="1" s="1"/>
  <c r="O3321" i="1" s="1"/>
  <c r="K3322" i="1" a="1"/>
  <c r="K3322" i="1" s="1"/>
  <c r="O3322" i="1" s="1"/>
  <c r="K3323" i="1" a="1"/>
  <c r="K3323" i="1" s="1"/>
  <c r="O3323" i="1" s="1"/>
  <c r="K3324" i="1" a="1"/>
  <c r="K3324" i="1" s="1"/>
  <c r="O3324" i="1" s="1"/>
  <c r="K3325" i="1" a="1"/>
  <c r="K3325" i="1" s="1"/>
  <c r="O3325" i="1" s="1"/>
  <c r="K3326" i="1" a="1"/>
  <c r="K3326" i="1" s="1"/>
  <c r="O3326" i="1" s="1"/>
  <c r="K3327" i="1" a="1"/>
  <c r="K3327" i="1" s="1"/>
  <c r="O3327" i="1" s="1"/>
  <c r="K3328" i="1" a="1"/>
  <c r="K3328" i="1" s="1"/>
  <c r="O3328" i="1" s="1"/>
  <c r="K3329" i="1" a="1"/>
  <c r="K3329" i="1" s="1"/>
  <c r="O3329" i="1" s="1"/>
  <c r="K3330" i="1" a="1"/>
  <c r="K3330" i="1" s="1"/>
  <c r="O3330" i="1" s="1"/>
  <c r="K3331" i="1" a="1"/>
  <c r="K3331" i="1" s="1"/>
  <c r="O3331" i="1" s="1"/>
  <c r="K3332" i="1" a="1"/>
  <c r="K3332" i="1" s="1"/>
  <c r="O3332" i="1" s="1"/>
  <c r="K3333" i="1" a="1"/>
  <c r="K3333" i="1" s="1"/>
  <c r="O3333" i="1" s="1"/>
  <c r="K3334" i="1" a="1"/>
  <c r="K3334" i="1" s="1"/>
  <c r="O3334" i="1" s="1"/>
  <c r="K3335" i="1" a="1"/>
  <c r="K3335" i="1" s="1"/>
  <c r="O3335" i="1" s="1"/>
  <c r="K3336" i="1" a="1"/>
  <c r="K3336" i="1" s="1"/>
  <c r="O3336" i="1" s="1"/>
  <c r="K3337" i="1" a="1"/>
  <c r="K3337" i="1" s="1"/>
  <c r="O3337" i="1" s="1"/>
  <c r="K3338" i="1" a="1"/>
  <c r="K3338" i="1" s="1"/>
  <c r="O3338" i="1" s="1"/>
  <c r="K3339" i="1" a="1"/>
  <c r="K3339" i="1" s="1"/>
  <c r="O3339" i="1" s="1"/>
  <c r="K3340" i="1" a="1"/>
  <c r="K3340" i="1" s="1"/>
  <c r="O3340" i="1" s="1"/>
  <c r="K3341" i="1" a="1"/>
  <c r="K3341" i="1" s="1"/>
  <c r="O3341" i="1" s="1"/>
  <c r="K3342" i="1" a="1"/>
  <c r="K3342" i="1" s="1"/>
  <c r="O3342" i="1" s="1"/>
  <c r="K3343" i="1" a="1"/>
  <c r="K3343" i="1" s="1"/>
  <c r="O3343" i="1" s="1"/>
  <c r="K3344" i="1" a="1"/>
  <c r="K3344" i="1" s="1"/>
  <c r="O3344" i="1" s="1"/>
  <c r="K3345" i="1" a="1"/>
  <c r="K3345" i="1" s="1"/>
  <c r="O3345" i="1" s="1"/>
  <c r="K3346" i="1" a="1"/>
  <c r="K3346" i="1" s="1"/>
  <c r="O3346" i="1" s="1"/>
  <c r="K3347" i="1" a="1"/>
  <c r="K3347" i="1" s="1"/>
  <c r="O3347" i="1" s="1"/>
  <c r="K3348" i="1" a="1"/>
  <c r="K3348" i="1" s="1"/>
  <c r="O3348" i="1" s="1"/>
  <c r="K3349" i="1" a="1"/>
  <c r="K3349" i="1" s="1"/>
  <c r="O3349" i="1" s="1"/>
  <c r="K3350" i="1" a="1"/>
  <c r="K3350" i="1" s="1"/>
  <c r="O3350" i="1" s="1"/>
  <c r="K3351" i="1" a="1"/>
  <c r="K3351" i="1" s="1"/>
  <c r="O3351" i="1" s="1"/>
  <c r="K3352" i="1" a="1"/>
  <c r="K3352" i="1" s="1"/>
  <c r="O3352" i="1" s="1"/>
  <c r="K3353" i="1" a="1"/>
  <c r="K3353" i="1" s="1"/>
  <c r="O3353" i="1" s="1"/>
  <c r="K3354" i="1" a="1"/>
  <c r="K3354" i="1" s="1"/>
  <c r="O3354" i="1" s="1"/>
  <c r="K3355" i="1" a="1"/>
  <c r="K3355" i="1" s="1"/>
  <c r="O3355" i="1" s="1"/>
  <c r="K3356" i="1" a="1"/>
  <c r="K3356" i="1" s="1"/>
  <c r="O3356" i="1" s="1"/>
  <c r="K3357" i="1" a="1"/>
  <c r="K3357" i="1" s="1"/>
  <c r="O3357" i="1" s="1"/>
  <c r="K3358" i="1" a="1"/>
  <c r="K3358" i="1" s="1"/>
  <c r="O3358" i="1" s="1"/>
  <c r="K3359" i="1" a="1"/>
  <c r="K3359" i="1" s="1"/>
  <c r="O3359" i="1" s="1"/>
  <c r="K3360" i="1" a="1"/>
  <c r="K3360" i="1" s="1"/>
  <c r="O3360" i="1" s="1"/>
  <c r="K3361" i="1" a="1"/>
  <c r="K3361" i="1" s="1"/>
  <c r="O3361" i="1" s="1"/>
  <c r="K3362" i="1" a="1"/>
  <c r="K3362" i="1" s="1"/>
  <c r="O3362" i="1" s="1"/>
  <c r="K3363" i="1" a="1"/>
  <c r="K3363" i="1" s="1"/>
  <c r="O3363" i="1" s="1"/>
  <c r="K3364" i="1" a="1"/>
  <c r="K3364" i="1" s="1"/>
  <c r="O3364" i="1" s="1"/>
  <c r="K3365" i="1" a="1"/>
  <c r="K3365" i="1" s="1"/>
  <c r="O3365" i="1" s="1"/>
  <c r="K3366" i="1" a="1"/>
  <c r="K3366" i="1" s="1"/>
  <c r="K3367" i="1" a="1"/>
  <c r="K3367" i="1" s="1"/>
  <c r="O3367" i="1" s="1"/>
  <c r="K3368" i="1" a="1"/>
  <c r="K3368" i="1" s="1"/>
  <c r="O3368" i="1" s="1"/>
  <c r="K3369" i="1" a="1"/>
  <c r="K3369" i="1" s="1"/>
  <c r="O3369" i="1" s="1"/>
  <c r="K3370" i="1" a="1"/>
  <c r="K3370" i="1" s="1"/>
  <c r="O3370" i="1" s="1"/>
  <c r="K3371" i="1" a="1"/>
  <c r="K3371" i="1" s="1"/>
  <c r="O3371" i="1" s="1"/>
  <c r="K3372" i="1" a="1"/>
  <c r="K3372" i="1" s="1"/>
  <c r="O3372" i="1" s="1"/>
  <c r="K3373" i="1" a="1"/>
  <c r="K3373" i="1" s="1"/>
  <c r="K3374" i="1" a="1"/>
  <c r="K3374" i="1" s="1"/>
  <c r="O3374" i="1" s="1"/>
  <c r="K3375" i="1" a="1"/>
  <c r="K3375" i="1" s="1"/>
  <c r="M3375" i="1" s="1"/>
  <c r="K3376" i="1" a="1"/>
  <c r="K3376" i="1" s="1"/>
  <c r="O3376" i="1" s="1"/>
  <c r="K3377" i="1" a="1"/>
  <c r="K3377" i="1" s="1"/>
  <c r="O3377" i="1" s="1"/>
  <c r="K3378" i="1" a="1"/>
  <c r="K3378" i="1" s="1"/>
  <c r="O3378" i="1" s="1"/>
  <c r="K3379" i="1" a="1"/>
  <c r="K3379" i="1" s="1"/>
  <c r="O3379" i="1" s="1"/>
  <c r="K3380" i="1" a="1"/>
  <c r="K3380" i="1" s="1"/>
  <c r="O3380" i="1" s="1"/>
  <c r="K3381" i="1" a="1"/>
  <c r="K3381" i="1" s="1"/>
  <c r="O3381" i="1" s="1"/>
  <c r="K3382" i="1" a="1"/>
  <c r="K3382" i="1" s="1"/>
  <c r="O3382" i="1" s="1"/>
  <c r="K3383" i="1" a="1"/>
  <c r="K3383" i="1" s="1"/>
  <c r="O3383" i="1" s="1"/>
  <c r="K3384" i="1" a="1"/>
  <c r="K3384" i="1" s="1"/>
  <c r="O3384" i="1" s="1"/>
  <c r="K3385" i="1" a="1"/>
  <c r="K3385" i="1"/>
  <c r="O3385" i="1" s="1"/>
  <c r="K3386" i="1" a="1"/>
  <c r="K3386" i="1" s="1"/>
  <c r="O3386" i="1" s="1"/>
  <c r="K3387" i="1" a="1"/>
  <c r="K3387" i="1" s="1"/>
  <c r="O3387" i="1" s="1"/>
  <c r="K3388" i="1" a="1"/>
  <c r="K3388" i="1" s="1"/>
  <c r="O3388" i="1" s="1"/>
  <c r="K3389" i="1" a="1"/>
  <c r="K3389" i="1" s="1"/>
  <c r="O3389" i="1" s="1"/>
  <c r="K3390" i="1" a="1"/>
  <c r="K3390" i="1" s="1"/>
  <c r="O3390" i="1" s="1"/>
  <c r="K3391" i="1" a="1"/>
  <c r="K3391" i="1" s="1"/>
  <c r="O3391" i="1" s="1"/>
  <c r="K3392" i="1" a="1"/>
  <c r="K3392" i="1" s="1"/>
  <c r="O3392" i="1" s="1"/>
  <c r="K3393" i="1" a="1"/>
  <c r="K3393" i="1" s="1"/>
  <c r="O3393" i="1" s="1"/>
  <c r="K3394" i="1" a="1"/>
  <c r="K3394" i="1" s="1"/>
  <c r="O3394" i="1" s="1"/>
  <c r="K3395" i="1" a="1"/>
  <c r="K3395" i="1" s="1"/>
  <c r="O3395" i="1" s="1"/>
  <c r="K3396" i="1" a="1"/>
  <c r="K3396" i="1" s="1"/>
  <c r="O3396" i="1" s="1"/>
  <c r="K3397" i="1" a="1"/>
  <c r="K3397" i="1" s="1"/>
  <c r="O3397" i="1" s="1"/>
  <c r="K3398" i="1" a="1"/>
  <c r="K3398" i="1" s="1"/>
  <c r="O3398" i="1" s="1"/>
  <c r="K3399" i="1" a="1"/>
  <c r="K3399" i="1"/>
  <c r="O3399" i="1" s="1"/>
  <c r="K3400" i="1" a="1"/>
  <c r="K3400" i="1" s="1"/>
  <c r="O3400" i="1" s="1"/>
  <c r="K3401" i="1" a="1"/>
  <c r="K3401" i="1" s="1"/>
  <c r="O3401" i="1" s="1"/>
  <c r="K3402" i="1" a="1"/>
  <c r="K3402" i="1" s="1"/>
  <c r="O3402" i="1" s="1"/>
  <c r="K3403" i="1" a="1"/>
  <c r="K3403" i="1" s="1"/>
  <c r="O3403" i="1" s="1"/>
  <c r="K3404" i="1" a="1"/>
  <c r="K3404" i="1" s="1"/>
  <c r="O3404" i="1" s="1"/>
  <c r="K3405" i="1" a="1"/>
  <c r="K3405" i="1" s="1"/>
  <c r="O3405" i="1" s="1"/>
  <c r="K3406" i="1" a="1"/>
  <c r="K3406" i="1" s="1"/>
  <c r="O3406" i="1" s="1"/>
  <c r="K3407" i="1" a="1"/>
  <c r="K3407" i="1" s="1"/>
  <c r="O3407" i="1" s="1"/>
  <c r="K3408" i="1" a="1"/>
  <c r="K3408" i="1" s="1"/>
  <c r="O3408" i="1" s="1"/>
  <c r="K3409" i="1" a="1"/>
  <c r="K3409" i="1" s="1"/>
  <c r="O3409" i="1" s="1"/>
  <c r="K3410" i="1" a="1"/>
  <c r="K3410" i="1" s="1"/>
  <c r="M3410" i="1" s="1"/>
  <c r="K3411" i="1" a="1"/>
  <c r="K3411" i="1" s="1"/>
  <c r="O3411" i="1" s="1"/>
  <c r="K3412" i="1" a="1"/>
  <c r="K3412" i="1" s="1"/>
  <c r="O3412" i="1" s="1"/>
  <c r="K3413" i="1" a="1"/>
  <c r="K3413" i="1" s="1"/>
  <c r="O3413" i="1" s="1"/>
  <c r="K3414" i="1" a="1"/>
  <c r="K3414" i="1" s="1"/>
  <c r="O3414" i="1" s="1"/>
  <c r="K3415" i="1" a="1"/>
  <c r="K3415" i="1" s="1"/>
  <c r="O3415" i="1" s="1"/>
  <c r="K3416" i="1" a="1"/>
  <c r="K3416" i="1" s="1"/>
  <c r="O3416" i="1" s="1"/>
  <c r="K3417" i="1" a="1"/>
  <c r="K3417" i="1"/>
  <c r="O3417" i="1" s="1"/>
  <c r="K3418" i="1" a="1"/>
  <c r="K3418" i="1" s="1"/>
  <c r="O3418" i="1" s="1"/>
  <c r="K3419" i="1" a="1"/>
  <c r="K3419" i="1" s="1"/>
  <c r="O3419" i="1" s="1"/>
  <c r="K3420" i="1" a="1"/>
  <c r="K3420" i="1" s="1"/>
  <c r="K3421" i="1" a="1"/>
  <c r="K3421" i="1" s="1"/>
  <c r="O3421" i="1" s="1"/>
  <c r="K3422" i="1" a="1"/>
  <c r="K3422" i="1" s="1"/>
  <c r="O3422" i="1" s="1"/>
  <c r="K3423" i="1" a="1"/>
  <c r="K3423" i="1" s="1"/>
  <c r="O3423" i="1" s="1"/>
  <c r="K3424" i="1" a="1"/>
  <c r="K3424" i="1" s="1"/>
  <c r="O3424" i="1" s="1"/>
  <c r="K3425" i="1" a="1"/>
  <c r="K3425" i="1" s="1"/>
  <c r="O3425" i="1" s="1"/>
  <c r="K3426" i="1" a="1"/>
  <c r="K3426" i="1" s="1"/>
  <c r="O3426" i="1" s="1"/>
  <c r="K3427" i="1" a="1"/>
  <c r="K3427" i="1" s="1"/>
  <c r="O3427" i="1" s="1"/>
  <c r="K3428" i="1" a="1"/>
  <c r="K3428" i="1" s="1"/>
  <c r="O3428" i="1" s="1"/>
  <c r="K3429" i="1" a="1"/>
  <c r="K3429" i="1" s="1"/>
  <c r="O3429" i="1" s="1"/>
  <c r="K3430" i="1" a="1"/>
  <c r="K3430" i="1" s="1"/>
  <c r="O3430" i="1" s="1"/>
  <c r="K3431" i="1" a="1"/>
  <c r="K3431" i="1" s="1"/>
  <c r="O3431" i="1" s="1"/>
  <c r="K3432" i="1" a="1"/>
  <c r="K3432" i="1" s="1"/>
  <c r="O3432" i="1" s="1"/>
  <c r="K3433" i="1" a="1"/>
  <c r="K3433" i="1" s="1"/>
  <c r="O3433" i="1" s="1"/>
  <c r="K3434" i="1" a="1"/>
  <c r="K3434" i="1" s="1"/>
  <c r="O3434" i="1" s="1"/>
  <c r="K3435" i="1" a="1"/>
  <c r="K3435" i="1" s="1"/>
  <c r="O3435" i="1" s="1"/>
  <c r="K3436" i="1" a="1"/>
  <c r="K3436" i="1" s="1"/>
  <c r="O3436" i="1" s="1"/>
  <c r="K3437" i="1" a="1"/>
  <c r="K3437" i="1" s="1"/>
  <c r="O3437" i="1" s="1"/>
  <c r="K3438" i="1" a="1"/>
  <c r="K3438" i="1" s="1"/>
  <c r="O3438" i="1" s="1"/>
  <c r="K3439" i="1" a="1"/>
  <c r="K3439" i="1" s="1"/>
  <c r="O3439" i="1" s="1"/>
  <c r="K3440" i="1" a="1"/>
  <c r="K3440" i="1" s="1"/>
  <c r="O3440" i="1" s="1"/>
  <c r="K3441" i="1" a="1"/>
  <c r="K3441" i="1" s="1"/>
  <c r="O3441" i="1" s="1"/>
  <c r="K3442" i="1" a="1"/>
  <c r="K3442" i="1" s="1"/>
  <c r="O3442" i="1" s="1"/>
  <c r="K3443" i="1" a="1"/>
  <c r="K3443" i="1" s="1"/>
  <c r="O3443" i="1" s="1"/>
  <c r="K3444" i="1" a="1"/>
  <c r="K3444" i="1" s="1"/>
  <c r="O3444" i="1" s="1"/>
  <c r="K3445" i="1" a="1"/>
  <c r="K3445" i="1" s="1"/>
  <c r="O3445" i="1" s="1"/>
  <c r="K3446" i="1" a="1"/>
  <c r="K3446" i="1" s="1"/>
  <c r="O3446" i="1" s="1"/>
  <c r="K3447" i="1" a="1"/>
  <c r="K3447" i="1" s="1"/>
  <c r="O3447" i="1" s="1"/>
  <c r="K3448" i="1" a="1"/>
  <c r="K3448" i="1" s="1"/>
  <c r="O3448" i="1" s="1"/>
  <c r="K3449" i="1" a="1"/>
  <c r="K3449" i="1" s="1"/>
  <c r="O3449" i="1" s="1"/>
  <c r="K3450" i="1" a="1"/>
  <c r="K3450" i="1" s="1"/>
  <c r="O3450" i="1" s="1"/>
  <c r="K3451" i="1" a="1"/>
  <c r="K3451" i="1" s="1"/>
  <c r="O3451" i="1" s="1"/>
  <c r="K3452" i="1" a="1"/>
  <c r="K3452" i="1" s="1"/>
  <c r="O3452" i="1" s="1"/>
  <c r="K3453" i="1" a="1"/>
  <c r="K3453" i="1" s="1"/>
  <c r="O3453" i="1" s="1"/>
  <c r="K3454" i="1" a="1"/>
  <c r="K3454" i="1" s="1"/>
  <c r="O3454" i="1" s="1"/>
  <c r="K3455" i="1" a="1"/>
  <c r="K3455" i="1" s="1"/>
  <c r="O3455" i="1" s="1"/>
  <c r="K3456" i="1" a="1"/>
  <c r="K3456" i="1" s="1"/>
  <c r="O3456" i="1" s="1"/>
  <c r="K3457" i="1" a="1"/>
  <c r="K3457" i="1" s="1"/>
  <c r="O3457" i="1" s="1"/>
  <c r="K3458" i="1" a="1"/>
  <c r="K3458" i="1" s="1"/>
  <c r="O3458" i="1" s="1"/>
  <c r="K3459" i="1" a="1"/>
  <c r="K3459" i="1" s="1"/>
  <c r="O3459" i="1" s="1"/>
  <c r="K3460" i="1" a="1"/>
  <c r="K3460" i="1" s="1"/>
  <c r="O3460" i="1" s="1"/>
  <c r="K3461" i="1" a="1"/>
  <c r="K3461" i="1" s="1"/>
  <c r="O3461" i="1" s="1"/>
  <c r="K3462" i="1" a="1"/>
  <c r="K3462" i="1" s="1"/>
  <c r="O3462" i="1" s="1"/>
  <c r="K3463" i="1" a="1"/>
  <c r="K3463" i="1" s="1"/>
  <c r="O3463" i="1" s="1"/>
  <c r="K3464" i="1" a="1"/>
  <c r="K3464" i="1" s="1"/>
  <c r="O3464" i="1" s="1"/>
  <c r="K3465" i="1" a="1"/>
  <c r="K3465" i="1" s="1"/>
  <c r="O3465" i="1" s="1"/>
  <c r="K3466" i="1" a="1"/>
  <c r="K3466" i="1" s="1"/>
  <c r="O3466" i="1" s="1"/>
  <c r="K3467" i="1" a="1"/>
  <c r="K3467" i="1" s="1"/>
  <c r="M3467" i="1" s="1"/>
  <c r="K3468" i="1" a="1"/>
  <c r="K3468" i="1" s="1"/>
  <c r="O3468" i="1" s="1"/>
  <c r="K3469" i="1" a="1"/>
  <c r="K3469" i="1" s="1"/>
  <c r="K3470" i="1" a="1"/>
  <c r="K3470" i="1" s="1"/>
  <c r="K3471" i="1" a="1"/>
  <c r="K3471" i="1" s="1"/>
  <c r="O3471" i="1" s="1"/>
  <c r="K3472" i="1" a="1"/>
  <c r="K3472" i="1" s="1"/>
  <c r="O3472" i="1" s="1"/>
  <c r="K3473" i="1" a="1"/>
  <c r="K3473" i="1" s="1"/>
  <c r="O3473" i="1" s="1"/>
  <c r="K3474" i="1" a="1"/>
  <c r="K3474" i="1" s="1"/>
  <c r="O3474" i="1" s="1"/>
  <c r="K3475" i="1" a="1"/>
  <c r="K3475" i="1" s="1"/>
  <c r="O3475" i="1" s="1"/>
  <c r="K3476" i="1" a="1"/>
  <c r="K3476" i="1" s="1"/>
  <c r="O3476" i="1" s="1"/>
  <c r="K3477" i="1" a="1"/>
  <c r="K3477" i="1" s="1"/>
  <c r="O3477" i="1" s="1"/>
  <c r="K3478" i="1" a="1"/>
  <c r="K3478" i="1" s="1"/>
  <c r="O3478" i="1" s="1"/>
  <c r="K3479" i="1" a="1"/>
  <c r="K3479" i="1" s="1"/>
  <c r="O3479" i="1" s="1"/>
  <c r="K3480" i="1" a="1"/>
  <c r="K3480" i="1" s="1"/>
  <c r="O3480" i="1" s="1"/>
  <c r="K3481" i="1" a="1"/>
  <c r="K3481" i="1" s="1"/>
  <c r="O3481" i="1" s="1"/>
  <c r="K3482" i="1" a="1"/>
  <c r="K3482" i="1" s="1"/>
  <c r="O3482" i="1" s="1"/>
  <c r="K3483" i="1" a="1"/>
  <c r="K3483" i="1" s="1"/>
  <c r="O3483" i="1" s="1"/>
  <c r="K3484" i="1" a="1"/>
  <c r="K3484" i="1" s="1"/>
  <c r="O3484" i="1" s="1"/>
  <c r="K3485" i="1" a="1"/>
  <c r="K3485" i="1" s="1"/>
  <c r="O3485" i="1" s="1"/>
  <c r="K3486" i="1" a="1"/>
  <c r="K3486" i="1" s="1"/>
  <c r="O3486" i="1" s="1"/>
  <c r="K3487" i="1" a="1"/>
  <c r="K3487" i="1" s="1"/>
  <c r="O3487" i="1" s="1"/>
  <c r="K3488" i="1" a="1"/>
  <c r="K3488" i="1" s="1"/>
  <c r="O3488" i="1" s="1"/>
  <c r="K3489" i="1" a="1"/>
  <c r="K3489" i="1" s="1"/>
  <c r="O3489" i="1" s="1"/>
  <c r="K3490" i="1" a="1"/>
  <c r="K3490" i="1" s="1"/>
  <c r="O3490" i="1" s="1"/>
  <c r="K3491" i="1" a="1"/>
  <c r="K3491" i="1" s="1"/>
  <c r="O3491" i="1" s="1"/>
  <c r="K3492" i="1" a="1"/>
  <c r="K3492" i="1" s="1"/>
  <c r="O3492" i="1" s="1"/>
  <c r="K3493" i="1" a="1"/>
  <c r="K3493" i="1" s="1"/>
  <c r="O3493" i="1" s="1"/>
  <c r="K3494" i="1" a="1"/>
  <c r="K3494" i="1" s="1"/>
  <c r="O3494" i="1" s="1"/>
  <c r="K3495" i="1" a="1"/>
  <c r="K3495" i="1" s="1"/>
  <c r="O3495" i="1" s="1"/>
  <c r="K3496" i="1" a="1"/>
  <c r="K3496" i="1" s="1"/>
  <c r="O3496" i="1" s="1"/>
  <c r="K3497" i="1" a="1"/>
  <c r="K3497" i="1" s="1"/>
  <c r="O3497" i="1" s="1"/>
  <c r="K3498" i="1" a="1"/>
  <c r="K3498" i="1" s="1"/>
  <c r="O3498" i="1" s="1"/>
  <c r="K3499" i="1" a="1"/>
  <c r="K3499" i="1" s="1"/>
  <c r="O3499" i="1" s="1"/>
  <c r="K3500" i="1" a="1"/>
  <c r="K3500" i="1" s="1"/>
  <c r="O3500" i="1" s="1"/>
  <c r="K3501" i="1" a="1"/>
  <c r="K3501" i="1" s="1"/>
  <c r="O3501" i="1" s="1"/>
  <c r="K3502" i="1" a="1"/>
  <c r="K3502" i="1" s="1"/>
  <c r="O3502" i="1" s="1"/>
  <c r="K3503" i="1" a="1"/>
  <c r="K3503" i="1" s="1"/>
  <c r="O3503" i="1" s="1"/>
  <c r="K3504" i="1" a="1"/>
  <c r="K3504" i="1" s="1"/>
  <c r="O3504" i="1" s="1"/>
  <c r="K3505" i="1" a="1"/>
  <c r="K3505" i="1" s="1"/>
  <c r="O3505" i="1" s="1"/>
  <c r="K3506" i="1" a="1"/>
  <c r="K3506" i="1" s="1"/>
  <c r="O3506" i="1" s="1"/>
  <c r="K3507" i="1" a="1"/>
  <c r="K3507" i="1" s="1"/>
  <c r="O3507" i="1" s="1"/>
  <c r="K3508" i="1" a="1"/>
  <c r="K3508" i="1" s="1"/>
  <c r="O3508" i="1" s="1"/>
  <c r="K3509" i="1" a="1"/>
  <c r="K3509" i="1" s="1"/>
  <c r="O3509" i="1" s="1"/>
  <c r="K3510" i="1" a="1"/>
  <c r="K3510" i="1" s="1"/>
  <c r="O3510" i="1" s="1"/>
  <c r="K3511" i="1" a="1"/>
  <c r="K3511" i="1" s="1"/>
  <c r="O3511" i="1" s="1"/>
  <c r="K3512" i="1" a="1"/>
  <c r="K3512" i="1" s="1"/>
  <c r="O3512" i="1" s="1"/>
  <c r="K3513" i="1" a="1"/>
  <c r="K3513" i="1" s="1"/>
  <c r="O3513" i="1" s="1"/>
  <c r="K3514" i="1" a="1"/>
  <c r="K3514" i="1" s="1"/>
  <c r="O3514" i="1" s="1"/>
  <c r="K3515" i="1" a="1"/>
  <c r="K3515" i="1" s="1"/>
  <c r="O3515" i="1" s="1"/>
  <c r="K3516" i="1" a="1"/>
  <c r="K3516" i="1" s="1"/>
  <c r="O3516" i="1" s="1"/>
  <c r="K3517" i="1" a="1"/>
  <c r="K3517" i="1" s="1"/>
  <c r="O3517" i="1" s="1"/>
  <c r="K3518" i="1" a="1"/>
  <c r="K3518" i="1" s="1"/>
  <c r="O3518" i="1" s="1"/>
  <c r="K3519" i="1" a="1"/>
  <c r="K3519" i="1" s="1"/>
  <c r="O3519" i="1" s="1"/>
  <c r="K3520" i="1" a="1"/>
  <c r="K3520" i="1" s="1"/>
  <c r="O3520" i="1" s="1"/>
  <c r="K3521" i="1" a="1"/>
  <c r="K3521" i="1" s="1"/>
  <c r="O3521" i="1" s="1"/>
  <c r="K3522" i="1" a="1"/>
  <c r="K3522" i="1" s="1"/>
  <c r="O3522" i="1" s="1"/>
  <c r="K3523" i="1" a="1"/>
  <c r="K3523" i="1" s="1"/>
  <c r="O3523" i="1" s="1"/>
  <c r="K3524" i="1" a="1"/>
  <c r="K3524" i="1" s="1"/>
  <c r="O3524" i="1" s="1"/>
  <c r="K3525" i="1" a="1"/>
  <c r="K3525" i="1" s="1"/>
  <c r="O3525" i="1" s="1"/>
  <c r="K3526" i="1" a="1"/>
  <c r="K3526" i="1" s="1"/>
  <c r="O3526" i="1" s="1"/>
  <c r="K3527" i="1" a="1"/>
  <c r="K3527" i="1" s="1"/>
  <c r="O3527" i="1" s="1"/>
  <c r="K3528" i="1" a="1"/>
  <c r="K3528" i="1" s="1"/>
  <c r="O3528" i="1" s="1"/>
  <c r="K3529" i="1" a="1"/>
  <c r="K3529" i="1" s="1"/>
  <c r="O3529" i="1" s="1"/>
  <c r="K3530" i="1" a="1"/>
  <c r="K3530" i="1" s="1"/>
  <c r="O3530" i="1" s="1"/>
  <c r="K3531" i="1" a="1"/>
  <c r="K3531" i="1" s="1"/>
  <c r="O3531" i="1" s="1"/>
  <c r="K3532" i="1" a="1"/>
  <c r="K3532" i="1"/>
  <c r="O3532" i="1" s="1"/>
  <c r="K3533" i="1" a="1"/>
  <c r="K3533" i="1" s="1"/>
  <c r="O3533" i="1" s="1"/>
  <c r="K3534" i="1" a="1"/>
  <c r="K3534" i="1" s="1"/>
  <c r="O3534" i="1" s="1"/>
  <c r="K3535" i="1" a="1"/>
  <c r="K3535" i="1" s="1"/>
  <c r="O3535" i="1" s="1"/>
  <c r="K3536" i="1" a="1"/>
  <c r="K3536" i="1" s="1"/>
  <c r="O3536" i="1" s="1"/>
  <c r="K3537" i="1" a="1"/>
  <c r="K3537" i="1" s="1"/>
  <c r="O3537" i="1" s="1"/>
  <c r="K3538" i="1" a="1"/>
  <c r="K3538" i="1" s="1"/>
  <c r="O3538" i="1" s="1"/>
  <c r="K3539" i="1" a="1"/>
  <c r="K3539" i="1" s="1"/>
  <c r="O3539" i="1" s="1"/>
  <c r="K3540" i="1" a="1"/>
  <c r="K3540" i="1" s="1"/>
  <c r="O3540" i="1" s="1"/>
  <c r="K3541" i="1" a="1"/>
  <c r="K3541" i="1" s="1"/>
  <c r="O3541" i="1" s="1"/>
  <c r="K3542" i="1" a="1"/>
  <c r="K3542" i="1" s="1"/>
  <c r="O3542" i="1" s="1"/>
  <c r="K3543" i="1" a="1"/>
  <c r="K3543" i="1" s="1"/>
  <c r="O3543" i="1" s="1"/>
  <c r="K3544" i="1" a="1"/>
  <c r="K3544" i="1" s="1"/>
  <c r="O3544" i="1" s="1"/>
  <c r="K3545" i="1" a="1"/>
  <c r="K3545" i="1" s="1"/>
  <c r="O3545" i="1" s="1"/>
  <c r="K3546" i="1" a="1"/>
  <c r="K3546" i="1" s="1"/>
  <c r="O3546" i="1" s="1"/>
  <c r="K3547" i="1" a="1"/>
  <c r="K3547" i="1" s="1"/>
  <c r="K3548" i="1" a="1"/>
  <c r="K3548" i="1" s="1"/>
  <c r="O3548" i="1" s="1"/>
  <c r="K3549" i="1" a="1"/>
  <c r="K3549" i="1" s="1"/>
  <c r="O3549" i="1" s="1"/>
  <c r="K3550" i="1" a="1"/>
  <c r="K3550" i="1" s="1"/>
  <c r="O3550" i="1" s="1"/>
  <c r="K3551" i="1" a="1"/>
  <c r="K3551" i="1" s="1"/>
  <c r="O3551" i="1" s="1"/>
  <c r="K3552" i="1" a="1"/>
  <c r="K3552" i="1" s="1"/>
  <c r="O3552" i="1" s="1"/>
  <c r="K3553" i="1" a="1"/>
  <c r="K3553" i="1" s="1"/>
  <c r="O3553" i="1" s="1"/>
  <c r="K3554" i="1" a="1"/>
  <c r="K3554" i="1" s="1"/>
  <c r="O3554" i="1" s="1"/>
  <c r="K3555" i="1" a="1"/>
  <c r="K3555" i="1" s="1"/>
  <c r="O3555" i="1" s="1"/>
  <c r="K3556" i="1" a="1"/>
  <c r="K3556" i="1" s="1"/>
  <c r="O3556" i="1" s="1"/>
  <c r="K3557" i="1" a="1"/>
  <c r="K3557" i="1" s="1"/>
  <c r="K3558" i="1" a="1"/>
  <c r="K3558" i="1" s="1"/>
  <c r="K3559" i="1" a="1"/>
  <c r="K3559" i="1" s="1"/>
  <c r="O3559" i="1" s="1"/>
  <c r="K3560" i="1" a="1"/>
  <c r="K3560" i="1" s="1"/>
  <c r="O3560" i="1" s="1"/>
  <c r="K3561" i="1" a="1"/>
  <c r="K3561" i="1" s="1"/>
  <c r="O3561" i="1" s="1"/>
  <c r="K3562" i="1" a="1"/>
  <c r="K3562" i="1" s="1"/>
  <c r="O3562" i="1" s="1"/>
  <c r="K3563" i="1" a="1"/>
  <c r="K3563" i="1" s="1"/>
  <c r="O3563" i="1" s="1"/>
  <c r="K3564" i="1" a="1"/>
  <c r="K3564" i="1" s="1"/>
  <c r="O3564" i="1" s="1"/>
  <c r="K3565" i="1" a="1"/>
  <c r="K3565" i="1" s="1"/>
  <c r="O3565" i="1" s="1"/>
  <c r="K3566" i="1" a="1"/>
  <c r="K3566" i="1" s="1"/>
  <c r="O3566" i="1" s="1"/>
  <c r="K3567" i="1" a="1"/>
  <c r="K3567" i="1" s="1"/>
  <c r="O3567" i="1" s="1"/>
  <c r="K3568" i="1" a="1"/>
  <c r="K3568" i="1" s="1"/>
  <c r="O3568" i="1" s="1"/>
  <c r="K3569" i="1" a="1"/>
  <c r="K3569" i="1" s="1"/>
  <c r="O3569" i="1" s="1"/>
  <c r="K3570" i="1" a="1"/>
  <c r="K3570" i="1" s="1"/>
  <c r="O3570" i="1" s="1"/>
  <c r="K3571" i="1" a="1"/>
  <c r="K3571" i="1" s="1"/>
  <c r="O3571" i="1" s="1"/>
  <c r="K3572" i="1" a="1"/>
  <c r="K3572" i="1" s="1"/>
  <c r="O3572" i="1" s="1"/>
  <c r="K3573" i="1" a="1"/>
  <c r="K3573" i="1" s="1"/>
  <c r="O3573" i="1" s="1"/>
  <c r="K3574" i="1" a="1"/>
  <c r="K3574" i="1" s="1"/>
  <c r="O3574" i="1" s="1"/>
  <c r="K3575" i="1" a="1"/>
  <c r="K3575" i="1" s="1"/>
  <c r="O3575" i="1" s="1"/>
  <c r="K3576" i="1" a="1"/>
  <c r="K3576" i="1" s="1"/>
  <c r="O3576" i="1" s="1"/>
  <c r="K3577" i="1" a="1"/>
  <c r="K3577" i="1" s="1"/>
  <c r="O3577" i="1" s="1"/>
  <c r="K3578" i="1" a="1"/>
  <c r="K3578" i="1" s="1"/>
  <c r="O3578" i="1" s="1"/>
  <c r="K3579" i="1" a="1"/>
  <c r="K3579" i="1" s="1"/>
  <c r="O3579" i="1" s="1"/>
  <c r="K3580" i="1" a="1"/>
  <c r="K3580" i="1" s="1"/>
  <c r="O3580" i="1" s="1"/>
  <c r="K3581" i="1" a="1"/>
  <c r="K3581" i="1" s="1"/>
  <c r="O3581" i="1" s="1"/>
  <c r="K3582" i="1" a="1"/>
  <c r="K3582" i="1" s="1"/>
  <c r="O3582" i="1" s="1"/>
  <c r="K3583" i="1" a="1"/>
  <c r="K3583" i="1" s="1"/>
  <c r="O3583" i="1" s="1"/>
  <c r="K3584" i="1" a="1"/>
  <c r="K3584" i="1" s="1"/>
  <c r="O3584" i="1" s="1"/>
  <c r="K3585" i="1" a="1"/>
  <c r="K3585" i="1" s="1"/>
  <c r="O3585" i="1" s="1"/>
  <c r="K3586" i="1" a="1"/>
  <c r="K3586" i="1" s="1"/>
  <c r="O3586" i="1" s="1"/>
  <c r="K3587" i="1" a="1"/>
  <c r="K3587" i="1"/>
  <c r="O3587" i="1" s="1"/>
  <c r="K3588" i="1" a="1"/>
  <c r="K3588" i="1" s="1"/>
  <c r="O3588" i="1" s="1"/>
  <c r="K3589" i="1" a="1"/>
  <c r="K3589" i="1" s="1"/>
  <c r="O3589" i="1" s="1"/>
  <c r="K3590" i="1" a="1"/>
  <c r="K3590" i="1" s="1"/>
  <c r="O3590" i="1" s="1"/>
  <c r="K3591" i="1" a="1"/>
  <c r="K3591" i="1" s="1"/>
  <c r="O3591" i="1" s="1"/>
  <c r="K3592" i="1" a="1"/>
  <c r="K3592" i="1" s="1"/>
  <c r="O3592" i="1" s="1"/>
  <c r="K3593" i="1" a="1"/>
  <c r="K3593" i="1" s="1"/>
  <c r="O3593" i="1" s="1"/>
  <c r="K3594" i="1" a="1"/>
  <c r="K3594" i="1" s="1"/>
  <c r="O3594" i="1" s="1"/>
  <c r="K3595" i="1" a="1"/>
  <c r="K3595" i="1" s="1"/>
  <c r="O3595" i="1" s="1"/>
  <c r="K3596" i="1" a="1"/>
  <c r="K3596" i="1" s="1"/>
  <c r="O3596" i="1" s="1"/>
  <c r="K3597" i="1" a="1"/>
  <c r="K3597" i="1" s="1"/>
  <c r="O3597" i="1" s="1"/>
  <c r="K3598" i="1" a="1"/>
  <c r="K3598" i="1" s="1"/>
  <c r="O3598" i="1" s="1"/>
  <c r="K3599" i="1" a="1"/>
  <c r="K3599" i="1" s="1"/>
  <c r="O3599" i="1" s="1"/>
  <c r="K3600" i="1" a="1"/>
  <c r="K3600" i="1" s="1"/>
  <c r="O3600" i="1" s="1"/>
  <c r="K3601" i="1" a="1"/>
  <c r="K3601" i="1" s="1"/>
  <c r="O3601" i="1" s="1"/>
  <c r="K3602" i="1" a="1"/>
  <c r="K3602" i="1" s="1"/>
  <c r="O3602" i="1" s="1"/>
  <c r="K3603" i="1" a="1"/>
  <c r="K3603" i="1" s="1"/>
  <c r="O3603" i="1" s="1"/>
  <c r="K3604" i="1" a="1"/>
  <c r="K3604" i="1" s="1"/>
  <c r="O3604" i="1" s="1"/>
  <c r="K3605" i="1" a="1"/>
  <c r="K3605" i="1" s="1"/>
  <c r="K3606" i="1" a="1"/>
  <c r="K3606" i="1" s="1"/>
  <c r="O3606" i="1" s="1"/>
  <c r="K3607" i="1" a="1"/>
  <c r="K3607" i="1" s="1"/>
  <c r="O3607" i="1" s="1"/>
  <c r="K3608" i="1" a="1"/>
  <c r="K3608" i="1" s="1"/>
  <c r="O3608" i="1" s="1"/>
  <c r="K3609" i="1" a="1"/>
  <c r="K3609" i="1" s="1"/>
  <c r="O3609" i="1" s="1"/>
  <c r="K3610" i="1" a="1"/>
  <c r="K3610" i="1" s="1"/>
  <c r="O3610" i="1" s="1"/>
  <c r="K3611" i="1" a="1"/>
  <c r="K3611" i="1" s="1"/>
  <c r="O3611" i="1" s="1"/>
  <c r="K3612" i="1" a="1"/>
  <c r="K3612" i="1" s="1"/>
  <c r="O3612" i="1" s="1"/>
  <c r="K3613" i="1" a="1"/>
  <c r="K3613" i="1" s="1"/>
  <c r="O3613" i="1" s="1"/>
  <c r="K3614" i="1" a="1"/>
  <c r="K3614" i="1" s="1"/>
  <c r="O3614" i="1" s="1"/>
  <c r="K3615" i="1" a="1"/>
  <c r="K3615" i="1" s="1"/>
  <c r="O3615" i="1" s="1"/>
  <c r="K3616" i="1" a="1"/>
  <c r="K3616" i="1" s="1"/>
  <c r="O3616" i="1" s="1"/>
  <c r="K3617" i="1" a="1"/>
  <c r="K3617" i="1" s="1"/>
  <c r="O3617" i="1" s="1"/>
  <c r="K3618" i="1" a="1"/>
  <c r="K3618" i="1" s="1"/>
  <c r="O3618" i="1" s="1"/>
  <c r="K3619" i="1" a="1"/>
  <c r="K3619" i="1" s="1"/>
  <c r="K3620" i="1" a="1"/>
  <c r="K3620" i="1" s="1"/>
  <c r="O3620" i="1" s="1"/>
  <c r="K3621" i="1" a="1"/>
  <c r="K3621" i="1" s="1"/>
  <c r="O3621" i="1" s="1"/>
  <c r="K3622" i="1" a="1"/>
  <c r="K3622" i="1" s="1"/>
  <c r="O3622" i="1" s="1"/>
  <c r="K3623" i="1" a="1"/>
  <c r="K3623" i="1" s="1"/>
  <c r="O3623" i="1" s="1"/>
  <c r="K3624" i="1" a="1"/>
  <c r="K3624" i="1" s="1"/>
  <c r="O3624" i="1" s="1"/>
  <c r="K3625" i="1" a="1"/>
  <c r="K3625" i="1" s="1"/>
  <c r="O3625" i="1" s="1"/>
  <c r="K3626" i="1" a="1"/>
  <c r="K3626" i="1" s="1"/>
  <c r="O3626" i="1" s="1"/>
  <c r="K3627" i="1" a="1"/>
  <c r="K3627" i="1"/>
  <c r="O3627" i="1" s="1"/>
  <c r="K3628" i="1" a="1"/>
  <c r="K3628" i="1" s="1"/>
  <c r="O3628" i="1" s="1"/>
  <c r="K3629" i="1" a="1"/>
  <c r="K3629" i="1" s="1"/>
  <c r="O3629" i="1" s="1"/>
  <c r="K3630" i="1" a="1"/>
  <c r="K3630" i="1" s="1"/>
  <c r="O3630" i="1" s="1"/>
  <c r="K3631" i="1" a="1"/>
  <c r="K3631" i="1" s="1"/>
  <c r="O3631" i="1" s="1"/>
  <c r="K3632" i="1" a="1"/>
  <c r="K3632" i="1" s="1"/>
  <c r="O3632" i="1" s="1"/>
  <c r="K3633" i="1" a="1"/>
  <c r="K3633" i="1" s="1"/>
  <c r="O3633" i="1" s="1"/>
  <c r="K3634" i="1" a="1"/>
  <c r="K3634" i="1" s="1"/>
  <c r="O3634" i="1" s="1"/>
  <c r="K3635" i="1" a="1"/>
  <c r="K3635" i="1" s="1"/>
  <c r="O3635" i="1" s="1"/>
  <c r="K3636" i="1" a="1"/>
  <c r="K3636" i="1" s="1"/>
  <c r="O3636" i="1" s="1"/>
  <c r="K3637" i="1" a="1"/>
  <c r="K3637" i="1" s="1"/>
  <c r="O3637" i="1" s="1"/>
  <c r="K3638" i="1" a="1"/>
  <c r="K3638" i="1" s="1"/>
  <c r="O3638" i="1" s="1"/>
  <c r="K3639" i="1" a="1"/>
  <c r="K3639" i="1" s="1"/>
  <c r="O3639" i="1" s="1"/>
  <c r="K3640" i="1" a="1"/>
  <c r="K3640" i="1" s="1"/>
  <c r="O3640" i="1" s="1"/>
  <c r="K3641" i="1" a="1"/>
  <c r="K3641" i="1" s="1"/>
  <c r="O3641" i="1" s="1"/>
  <c r="K3642" i="1" a="1"/>
  <c r="K3642" i="1" s="1"/>
  <c r="N3642" i="1" s="1"/>
  <c r="K3643" i="1" a="1"/>
  <c r="K3643" i="1" s="1"/>
  <c r="O3643" i="1" s="1"/>
  <c r="K3644" i="1" a="1"/>
  <c r="K3644" i="1" s="1"/>
  <c r="O3644" i="1" s="1"/>
  <c r="K3645" i="1" a="1"/>
  <c r="K3645" i="1" s="1"/>
  <c r="O3645" i="1" s="1"/>
  <c r="K3646" i="1" a="1"/>
  <c r="K3646" i="1" s="1"/>
  <c r="O3646" i="1" s="1"/>
  <c r="K3647" i="1" a="1"/>
  <c r="K3647" i="1"/>
  <c r="O3647" i="1" s="1"/>
  <c r="K3648" i="1" a="1"/>
  <c r="K3648" i="1" s="1"/>
  <c r="O3648" i="1" s="1"/>
  <c r="K3649" i="1" a="1"/>
  <c r="K3649" i="1" s="1"/>
  <c r="O3649" i="1" s="1"/>
  <c r="K3650" i="1" a="1"/>
  <c r="K3650" i="1" s="1"/>
  <c r="O3650" i="1" s="1"/>
  <c r="K3651" i="1" a="1"/>
  <c r="K3651" i="1" s="1"/>
  <c r="N3651" i="1" s="1"/>
  <c r="K3652" i="1" a="1"/>
  <c r="K3652" i="1" s="1"/>
  <c r="O3652" i="1" s="1"/>
  <c r="K3653" i="1" a="1"/>
  <c r="K3653" i="1" s="1"/>
  <c r="O3653" i="1" s="1"/>
  <c r="K3654" i="1" a="1"/>
  <c r="K3654" i="1" s="1"/>
  <c r="O3654" i="1" s="1"/>
  <c r="K3655" i="1" a="1"/>
  <c r="K3655" i="1" s="1"/>
  <c r="O3655" i="1" s="1"/>
  <c r="K3656" i="1" a="1"/>
  <c r="K3656" i="1" s="1"/>
  <c r="O3656" i="1" s="1"/>
  <c r="K3657" i="1" a="1"/>
  <c r="K3657" i="1" s="1"/>
  <c r="O3657" i="1" s="1"/>
  <c r="K3658" i="1" a="1"/>
  <c r="K3658" i="1" s="1"/>
  <c r="O3658" i="1" s="1"/>
  <c r="K3659" i="1" a="1"/>
  <c r="K3659" i="1" s="1"/>
  <c r="O3659" i="1" s="1"/>
  <c r="K3660" i="1" a="1"/>
  <c r="K3660" i="1" s="1"/>
  <c r="O3660" i="1" s="1"/>
  <c r="K3661" i="1" a="1"/>
  <c r="K3661" i="1" s="1"/>
  <c r="O3661" i="1" s="1"/>
  <c r="K3662" i="1" a="1"/>
  <c r="K3662" i="1" s="1"/>
  <c r="O3662" i="1" s="1"/>
  <c r="K3663" i="1" a="1"/>
  <c r="K3663" i="1" s="1"/>
  <c r="O3663" i="1" s="1"/>
  <c r="K3664" i="1" a="1"/>
  <c r="K3664" i="1" s="1"/>
  <c r="O3664" i="1" s="1"/>
  <c r="K3665" i="1" a="1"/>
  <c r="K3665" i="1" s="1"/>
  <c r="O3665" i="1" s="1"/>
  <c r="K3666" i="1" a="1"/>
  <c r="K3666" i="1" s="1"/>
  <c r="O3666" i="1" s="1"/>
  <c r="K3667" i="1" a="1"/>
  <c r="K3667" i="1" s="1"/>
  <c r="O3667" i="1" s="1"/>
  <c r="K3668" i="1" a="1"/>
  <c r="K3668" i="1" s="1"/>
  <c r="O3668" i="1" s="1"/>
  <c r="K3669" i="1" a="1"/>
  <c r="K3669" i="1" s="1"/>
  <c r="O3669" i="1" s="1"/>
  <c r="K3670" i="1" a="1"/>
  <c r="K3670" i="1" s="1"/>
  <c r="O3670" i="1" s="1"/>
  <c r="K3671" i="1" a="1"/>
  <c r="K3671" i="1" s="1"/>
  <c r="O3671" i="1" s="1"/>
  <c r="K3672" i="1" a="1"/>
  <c r="K3672" i="1" s="1"/>
  <c r="O3672" i="1" s="1"/>
  <c r="K3673" i="1" a="1"/>
  <c r="K3673" i="1" s="1"/>
  <c r="O3673" i="1" s="1"/>
  <c r="K3674" i="1" a="1"/>
  <c r="K3674" i="1" s="1"/>
  <c r="O3674" i="1" s="1"/>
  <c r="K3675" i="1" a="1"/>
  <c r="K3675" i="1" s="1"/>
  <c r="O3675" i="1" s="1"/>
  <c r="K3676" i="1" a="1"/>
  <c r="K3676" i="1" s="1"/>
  <c r="O3676" i="1" s="1"/>
  <c r="K3677" i="1" a="1"/>
  <c r="K3677" i="1"/>
  <c r="O3677" i="1" s="1"/>
  <c r="K3678" i="1" a="1"/>
  <c r="K3678" i="1" s="1"/>
  <c r="O3678" i="1" s="1"/>
  <c r="K3679" i="1" a="1"/>
  <c r="K3679" i="1" s="1"/>
  <c r="O3679" i="1" s="1"/>
  <c r="K3680" i="1" a="1"/>
  <c r="K3680" i="1" s="1"/>
  <c r="O3680" i="1" s="1"/>
  <c r="K3681" i="1" a="1"/>
  <c r="K3681" i="1" s="1"/>
  <c r="O3681" i="1" s="1"/>
  <c r="K3682" i="1" a="1"/>
  <c r="K3682" i="1" s="1"/>
  <c r="O3682" i="1" s="1"/>
  <c r="K3683" i="1" a="1"/>
  <c r="K3683" i="1" s="1"/>
  <c r="O3683" i="1" s="1"/>
  <c r="K3684" i="1" a="1"/>
  <c r="K3684" i="1" s="1"/>
  <c r="O3684" i="1" s="1"/>
  <c r="K3685" i="1" a="1"/>
  <c r="K3685" i="1" s="1"/>
  <c r="O3685" i="1" s="1"/>
  <c r="K3686" i="1" a="1"/>
  <c r="K3686" i="1" s="1"/>
  <c r="O3686" i="1" s="1"/>
  <c r="K3687" i="1" a="1"/>
  <c r="K3687" i="1" s="1"/>
  <c r="O3687" i="1" s="1"/>
  <c r="K3688" i="1" a="1"/>
  <c r="K3688" i="1" s="1"/>
  <c r="O3688" i="1" s="1"/>
  <c r="K3689" i="1" a="1"/>
  <c r="K3689" i="1" s="1"/>
  <c r="O3689" i="1" s="1"/>
  <c r="K3690" i="1" a="1"/>
  <c r="K3690" i="1" s="1"/>
  <c r="O3690" i="1" s="1"/>
  <c r="K3691" i="1" a="1"/>
  <c r="K3691" i="1" s="1"/>
  <c r="O3691" i="1" s="1"/>
  <c r="K3692" i="1" a="1"/>
  <c r="K3692" i="1" s="1"/>
  <c r="O3692" i="1" s="1"/>
  <c r="K3693" i="1" a="1"/>
  <c r="K3693" i="1" s="1"/>
  <c r="O3693" i="1" s="1"/>
  <c r="K3694" i="1" a="1"/>
  <c r="K3694" i="1" s="1"/>
  <c r="O3694" i="1" s="1"/>
  <c r="K3695" i="1" a="1"/>
  <c r="K3695" i="1" s="1"/>
  <c r="K3696" i="1" a="1"/>
  <c r="K3696" i="1" s="1"/>
  <c r="O3696" i="1" s="1"/>
  <c r="K3697" i="1" a="1"/>
  <c r="K3697" i="1" s="1"/>
  <c r="O3697" i="1" s="1"/>
  <c r="K3698" i="1" a="1"/>
  <c r="K3698" i="1" s="1"/>
  <c r="O3698" i="1" s="1"/>
  <c r="K3699" i="1" a="1"/>
  <c r="K3699" i="1" s="1"/>
  <c r="O3699" i="1" s="1"/>
  <c r="K3700" i="1" a="1"/>
  <c r="K3700" i="1" s="1"/>
  <c r="O3700" i="1" s="1"/>
  <c r="K3701" i="1" a="1"/>
  <c r="K3701" i="1" s="1"/>
  <c r="O3701" i="1" s="1"/>
  <c r="K3702" i="1" a="1"/>
  <c r="K3702" i="1" s="1"/>
  <c r="O3702" i="1" s="1"/>
  <c r="K3703" i="1" a="1"/>
  <c r="K3703" i="1" s="1"/>
  <c r="O3703" i="1" s="1"/>
  <c r="K3704" i="1" a="1"/>
  <c r="K3704" i="1" s="1"/>
  <c r="O3704" i="1" s="1"/>
  <c r="K3705" i="1" a="1"/>
  <c r="K3705" i="1" s="1"/>
  <c r="O3705" i="1" s="1"/>
  <c r="K3706" i="1" a="1"/>
  <c r="K3706" i="1" s="1"/>
  <c r="O3706" i="1" s="1"/>
  <c r="K3707" i="1" a="1"/>
  <c r="K3707" i="1" s="1"/>
  <c r="O3707" i="1" s="1"/>
  <c r="K3708" i="1" a="1"/>
  <c r="K3708" i="1" s="1"/>
  <c r="O3708" i="1" s="1"/>
  <c r="K3709" i="1" a="1"/>
  <c r="K3709" i="1" s="1"/>
  <c r="O3709" i="1" s="1"/>
  <c r="K3710" i="1" a="1"/>
  <c r="K3710" i="1" s="1"/>
  <c r="O3710" i="1" s="1"/>
  <c r="K3711" i="1" a="1"/>
  <c r="K3711" i="1" s="1"/>
  <c r="O3711" i="1" s="1"/>
  <c r="K3712" i="1" a="1"/>
  <c r="K3712" i="1" s="1"/>
  <c r="O3712" i="1" s="1"/>
  <c r="K3713" i="1" a="1"/>
  <c r="K3713" i="1" s="1"/>
  <c r="O3713" i="1" s="1"/>
  <c r="K3714" i="1" a="1"/>
  <c r="K3714" i="1" s="1"/>
  <c r="O3714" i="1" s="1"/>
  <c r="K3715" i="1" a="1"/>
  <c r="K3715" i="1" s="1"/>
  <c r="O3715" i="1" s="1"/>
  <c r="K3716" i="1" a="1"/>
  <c r="K3716" i="1" s="1"/>
  <c r="O3716" i="1" s="1"/>
  <c r="K3717" i="1" a="1"/>
  <c r="K3717" i="1" s="1"/>
  <c r="O3717" i="1" s="1"/>
  <c r="K3718" i="1" a="1"/>
  <c r="K3718" i="1" s="1"/>
  <c r="O3718" i="1" s="1"/>
  <c r="K3719" i="1" a="1"/>
  <c r="K3719" i="1" s="1"/>
  <c r="O3719" i="1" s="1"/>
  <c r="K3720" i="1" a="1"/>
  <c r="K3720" i="1" s="1"/>
  <c r="O3720" i="1" s="1"/>
  <c r="K3721" i="1" a="1"/>
  <c r="K3721" i="1" s="1"/>
  <c r="O3721" i="1" s="1"/>
  <c r="K3722" i="1" a="1"/>
  <c r="K3722" i="1" s="1"/>
  <c r="O3722" i="1" s="1"/>
  <c r="K3723" i="1" a="1"/>
  <c r="K3723" i="1" s="1"/>
  <c r="O3723" i="1" s="1"/>
  <c r="K3724" i="1" a="1"/>
  <c r="K3724" i="1" s="1"/>
  <c r="O3724" i="1" s="1"/>
  <c r="K3725" i="1" a="1"/>
  <c r="K3725" i="1" s="1"/>
  <c r="O3725" i="1" s="1"/>
  <c r="K3726" i="1" a="1"/>
  <c r="K3726" i="1" s="1"/>
  <c r="O3726" i="1" s="1"/>
  <c r="K3727" i="1" a="1"/>
  <c r="K3727" i="1" s="1"/>
  <c r="O3727" i="1" s="1"/>
  <c r="K3728" i="1" a="1"/>
  <c r="K3728" i="1" s="1"/>
  <c r="O3728" i="1" s="1"/>
  <c r="K3729" i="1" a="1"/>
  <c r="K3729" i="1" s="1"/>
  <c r="O3729" i="1" s="1"/>
  <c r="K3730" i="1" a="1"/>
  <c r="K3730" i="1" s="1"/>
  <c r="O3730" i="1" s="1"/>
  <c r="K3731" i="1" a="1"/>
  <c r="K3731" i="1" s="1"/>
  <c r="O3731" i="1" s="1"/>
  <c r="K3732" i="1" a="1"/>
  <c r="K3732" i="1" s="1"/>
  <c r="O3732" i="1" s="1"/>
  <c r="K3733" i="1" a="1"/>
  <c r="K3733" i="1" s="1"/>
  <c r="K3734" i="1" a="1"/>
  <c r="K3734" i="1" s="1"/>
  <c r="O3734" i="1" s="1"/>
  <c r="K3735" i="1" a="1"/>
  <c r="K3735" i="1" s="1"/>
  <c r="N3735" i="1" s="1"/>
  <c r="K3736" i="1" a="1"/>
  <c r="K3736" i="1" s="1"/>
  <c r="O3736" i="1" s="1"/>
  <c r="K3737" i="1" a="1"/>
  <c r="K3737" i="1" s="1"/>
  <c r="O3737" i="1" s="1"/>
  <c r="K3738" i="1" a="1"/>
  <c r="K3738" i="1" s="1"/>
  <c r="O3738" i="1" s="1"/>
  <c r="K3739" i="1" a="1"/>
  <c r="K3739" i="1" s="1"/>
  <c r="O3739" i="1" s="1"/>
  <c r="K3740" i="1" a="1"/>
  <c r="K3740" i="1" s="1"/>
  <c r="O3740" i="1" s="1"/>
  <c r="K3741" i="1" a="1"/>
  <c r="K3741" i="1" s="1"/>
  <c r="O3741" i="1" s="1"/>
  <c r="K3742" i="1" a="1"/>
  <c r="K3742" i="1" s="1"/>
  <c r="O3742" i="1" s="1"/>
  <c r="K3743" i="1" a="1"/>
  <c r="K3743" i="1" s="1"/>
  <c r="K3744" i="1" a="1"/>
  <c r="K3744" i="1" s="1"/>
  <c r="O3744" i="1" s="1"/>
  <c r="K3745" i="1" a="1"/>
  <c r="K3745" i="1" s="1"/>
  <c r="O3745" i="1" s="1"/>
  <c r="K3746" i="1" a="1"/>
  <c r="K3746" i="1" s="1"/>
  <c r="O3746" i="1" s="1"/>
  <c r="K3747" i="1" a="1"/>
  <c r="K3747" i="1" s="1"/>
  <c r="O3747" i="1" s="1"/>
  <c r="K3748" i="1" a="1"/>
  <c r="K3748" i="1" s="1"/>
  <c r="O3748" i="1" s="1"/>
  <c r="K3749" i="1" a="1"/>
  <c r="K3749" i="1" s="1"/>
  <c r="O3749" i="1" s="1"/>
  <c r="K3750" i="1" a="1"/>
  <c r="K3750" i="1" s="1"/>
  <c r="O3750" i="1" s="1"/>
  <c r="K3751" i="1" a="1"/>
  <c r="K3751" i="1" s="1"/>
  <c r="O3751" i="1" s="1"/>
  <c r="K3752" i="1" a="1"/>
  <c r="K3752" i="1" s="1"/>
  <c r="O3752" i="1" s="1"/>
  <c r="K3753" i="1" a="1"/>
  <c r="K3753" i="1" s="1"/>
  <c r="O3753" i="1" s="1"/>
  <c r="K3754" i="1" a="1"/>
  <c r="K3754" i="1" s="1"/>
  <c r="O3754" i="1" s="1"/>
  <c r="K3755" i="1" a="1"/>
  <c r="K3755" i="1" s="1"/>
  <c r="O3755" i="1" s="1"/>
  <c r="K3756" i="1" a="1"/>
  <c r="K3756" i="1" s="1"/>
  <c r="O3756" i="1" s="1"/>
  <c r="K3757" i="1" a="1"/>
  <c r="K3757" i="1" s="1"/>
  <c r="O3757" i="1" s="1"/>
  <c r="K3758" i="1" a="1"/>
  <c r="K3758" i="1" s="1"/>
  <c r="O3758" i="1" s="1"/>
  <c r="K3759" i="1" a="1"/>
  <c r="K3759" i="1" s="1"/>
  <c r="O3759" i="1" s="1"/>
  <c r="K3760" i="1" a="1"/>
  <c r="K3760" i="1" s="1"/>
  <c r="O3760" i="1" s="1"/>
  <c r="K3761" i="1" a="1"/>
  <c r="K3761" i="1" s="1"/>
  <c r="O3761" i="1" s="1"/>
  <c r="K3762" i="1" a="1"/>
  <c r="K3762" i="1" s="1"/>
  <c r="O3762" i="1" s="1"/>
  <c r="K3763" i="1" a="1"/>
  <c r="K3763" i="1" s="1"/>
  <c r="O3763" i="1" s="1"/>
  <c r="K3764" i="1" a="1"/>
  <c r="K3764" i="1" s="1"/>
  <c r="O3764" i="1" s="1"/>
  <c r="K3765" i="1" a="1"/>
  <c r="K3765" i="1" s="1"/>
  <c r="O3765" i="1" s="1"/>
  <c r="K3766" i="1" a="1"/>
  <c r="K3766" i="1" s="1"/>
  <c r="O3766" i="1" s="1"/>
  <c r="K3767" i="1" a="1"/>
  <c r="K3767" i="1" s="1"/>
  <c r="O3767" i="1" s="1"/>
  <c r="K3768" i="1" a="1"/>
  <c r="K3768" i="1" s="1"/>
  <c r="O3768" i="1" s="1"/>
  <c r="K3769" i="1" a="1"/>
  <c r="K3769" i="1" s="1"/>
  <c r="O3769" i="1" s="1"/>
  <c r="K3770" i="1" a="1"/>
  <c r="K3770" i="1" s="1"/>
  <c r="O3770" i="1" s="1"/>
  <c r="K3771" i="1" a="1"/>
  <c r="K3771" i="1" s="1"/>
  <c r="O3771" i="1" s="1"/>
  <c r="K3772" i="1" a="1"/>
  <c r="K3772" i="1" s="1"/>
  <c r="O3772" i="1" s="1"/>
  <c r="K3773" i="1" a="1"/>
  <c r="K3773" i="1" s="1"/>
  <c r="O3773" i="1" s="1"/>
  <c r="K3774" i="1" a="1"/>
  <c r="K3774" i="1" s="1"/>
  <c r="O3774" i="1" s="1"/>
  <c r="K3775" i="1" a="1"/>
  <c r="K3775" i="1" s="1"/>
  <c r="O3775" i="1" s="1"/>
  <c r="K3776" i="1" a="1"/>
  <c r="K3776" i="1" s="1"/>
  <c r="O3776" i="1" s="1"/>
  <c r="K3777" i="1" a="1"/>
  <c r="K3777" i="1" s="1"/>
  <c r="O3777" i="1" s="1"/>
  <c r="K3778" i="1" a="1"/>
  <c r="K3778" i="1" s="1"/>
  <c r="O3778" i="1" s="1"/>
  <c r="K3779" i="1" a="1"/>
  <c r="K3779" i="1" s="1"/>
  <c r="O3779" i="1" s="1"/>
  <c r="K3780" i="1" a="1"/>
  <c r="K3780" i="1" s="1"/>
  <c r="O3780" i="1" s="1"/>
  <c r="K3781" i="1" a="1"/>
  <c r="K3781" i="1" s="1"/>
  <c r="O3781" i="1" s="1"/>
  <c r="K3782" i="1" a="1"/>
  <c r="K3782" i="1" s="1"/>
  <c r="K3783" i="1" a="1"/>
  <c r="K3783" i="1" s="1"/>
  <c r="O3783" i="1" s="1"/>
  <c r="K3784" i="1" a="1"/>
  <c r="K3784" i="1" s="1"/>
  <c r="O3784" i="1" s="1"/>
  <c r="K3785" i="1" a="1"/>
  <c r="K3785" i="1" s="1"/>
  <c r="O3785" i="1" s="1"/>
  <c r="K3786" i="1" a="1"/>
  <c r="K3786" i="1" s="1"/>
  <c r="O3786" i="1" s="1"/>
  <c r="K3787" i="1" a="1"/>
  <c r="K3787" i="1" s="1"/>
  <c r="O3787" i="1" s="1"/>
  <c r="K3788" i="1" a="1"/>
  <c r="K3788" i="1" s="1"/>
  <c r="O3788" i="1" s="1"/>
  <c r="K3789" i="1" a="1"/>
  <c r="K3789" i="1" s="1"/>
  <c r="O3789" i="1" s="1"/>
  <c r="K3790" i="1" a="1"/>
  <c r="K3790" i="1" s="1"/>
  <c r="O3790" i="1" s="1"/>
  <c r="K3791" i="1" a="1"/>
  <c r="K3791" i="1" s="1"/>
  <c r="O3791" i="1" s="1"/>
  <c r="K3792" i="1" a="1"/>
  <c r="K3792" i="1" s="1"/>
  <c r="O3792" i="1" s="1"/>
  <c r="K3793" i="1" a="1"/>
  <c r="K3793" i="1" s="1"/>
  <c r="O3793" i="1" s="1"/>
  <c r="K3794" i="1" a="1"/>
  <c r="K3794" i="1" s="1"/>
  <c r="O3794" i="1" s="1"/>
  <c r="K3795" i="1" a="1"/>
  <c r="K3795" i="1" s="1"/>
  <c r="O3795" i="1" s="1"/>
  <c r="K3796" i="1" a="1"/>
  <c r="K3796" i="1" s="1"/>
  <c r="O3796" i="1" s="1"/>
  <c r="K3797" i="1" a="1"/>
  <c r="K3797" i="1" s="1"/>
  <c r="O3797" i="1" s="1"/>
  <c r="K3798" i="1" a="1"/>
  <c r="K3798" i="1"/>
  <c r="O3798" i="1" s="1"/>
  <c r="K3799" i="1" a="1"/>
  <c r="K3799" i="1" s="1"/>
  <c r="O3799" i="1" s="1"/>
  <c r="K3800" i="1" a="1"/>
  <c r="K3800" i="1" s="1"/>
  <c r="O3800" i="1" s="1"/>
  <c r="K3801" i="1" a="1"/>
  <c r="K3801" i="1" s="1"/>
  <c r="O3801" i="1" s="1"/>
  <c r="K3802" i="1" a="1"/>
  <c r="K3802" i="1" s="1"/>
  <c r="O3802" i="1" s="1"/>
  <c r="K3803" i="1" a="1"/>
  <c r="K3803" i="1" s="1"/>
  <c r="O3803" i="1" s="1"/>
  <c r="K3804" i="1" a="1"/>
  <c r="K3804" i="1" s="1"/>
  <c r="O3804" i="1" s="1"/>
  <c r="K3805" i="1" a="1"/>
  <c r="K3805" i="1" s="1"/>
  <c r="O3805" i="1" s="1"/>
  <c r="K3806" i="1" a="1"/>
  <c r="K3806" i="1" s="1"/>
  <c r="O3806" i="1" s="1"/>
  <c r="K3807" i="1" a="1"/>
  <c r="K3807" i="1" s="1"/>
  <c r="O3807" i="1" s="1"/>
  <c r="K3808" i="1" a="1"/>
  <c r="K3808" i="1" s="1"/>
  <c r="O3808" i="1" s="1"/>
  <c r="K3809" i="1" a="1"/>
  <c r="K3809" i="1" s="1"/>
  <c r="O3809" i="1" s="1"/>
  <c r="K3810" i="1" a="1"/>
  <c r="K3810" i="1" s="1"/>
  <c r="O3810" i="1" s="1"/>
  <c r="K3811" i="1" a="1"/>
  <c r="K3811" i="1" s="1"/>
  <c r="O3811" i="1" s="1"/>
  <c r="K3812" i="1" a="1"/>
  <c r="K3812" i="1" s="1"/>
  <c r="O3812" i="1" s="1"/>
  <c r="K3813" i="1" a="1"/>
  <c r="K3813" i="1" s="1"/>
  <c r="O3813" i="1" s="1"/>
  <c r="K3814" i="1" a="1"/>
  <c r="K3814" i="1" s="1"/>
  <c r="O3814" i="1" s="1"/>
  <c r="K3815" i="1" a="1"/>
  <c r="K3815" i="1" s="1"/>
  <c r="O3815" i="1" s="1"/>
  <c r="K3816" i="1" a="1"/>
  <c r="K3816" i="1" s="1"/>
  <c r="O3816" i="1" s="1"/>
  <c r="K3817" i="1" a="1"/>
  <c r="K3817" i="1" s="1"/>
  <c r="O3817" i="1" s="1"/>
  <c r="K3818" i="1" a="1"/>
  <c r="K3818" i="1" s="1"/>
  <c r="O3818" i="1" s="1"/>
  <c r="K3819" i="1" a="1"/>
  <c r="K3819" i="1" s="1"/>
  <c r="O3819" i="1" s="1"/>
  <c r="K3820" i="1" a="1"/>
  <c r="K3820" i="1" s="1"/>
  <c r="O3820" i="1" s="1"/>
  <c r="K3821" i="1" a="1"/>
  <c r="K3821" i="1" s="1"/>
  <c r="O3821" i="1" s="1"/>
  <c r="K3822" i="1" a="1"/>
  <c r="K3822" i="1" s="1"/>
  <c r="O3822" i="1" s="1"/>
  <c r="K3823" i="1" a="1"/>
  <c r="K3823" i="1" s="1"/>
  <c r="O3823" i="1" s="1"/>
  <c r="K3824" i="1" a="1"/>
  <c r="K3824" i="1" s="1"/>
  <c r="O3824" i="1" s="1"/>
  <c r="K3825" i="1" a="1"/>
  <c r="K3825" i="1" s="1"/>
  <c r="O3825" i="1" s="1"/>
  <c r="K3826" i="1" a="1"/>
  <c r="K3826" i="1" s="1"/>
  <c r="O3826" i="1" s="1"/>
  <c r="K3827" i="1" a="1"/>
  <c r="K3827" i="1" s="1"/>
  <c r="O3827" i="1" s="1"/>
  <c r="K3828" i="1" a="1"/>
  <c r="K3828" i="1" s="1"/>
  <c r="O3828" i="1" s="1"/>
  <c r="K3829" i="1" a="1"/>
  <c r="K3829" i="1" s="1"/>
  <c r="O3829" i="1" s="1"/>
  <c r="K3830" i="1" a="1"/>
  <c r="K3830" i="1" s="1"/>
  <c r="O3830" i="1" s="1"/>
  <c r="K3831" i="1" a="1"/>
  <c r="K3831" i="1" s="1"/>
  <c r="K3832" i="1" a="1"/>
  <c r="K3832" i="1" s="1"/>
  <c r="O3832" i="1" s="1"/>
  <c r="K3833" i="1" a="1"/>
  <c r="K3833" i="1" s="1"/>
  <c r="O3833" i="1" s="1"/>
  <c r="K3834" i="1" a="1"/>
  <c r="K3834" i="1" s="1"/>
  <c r="K3835" i="1" a="1"/>
  <c r="K3835" i="1" s="1"/>
  <c r="O3835" i="1" s="1"/>
  <c r="K3836" i="1" a="1"/>
  <c r="K3836" i="1" s="1"/>
  <c r="O3836" i="1" s="1"/>
  <c r="K3837" i="1" a="1"/>
  <c r="K3837" i="1" s="1"/>
  <c r="O3837" i="1" s="1"/>
  <c r="K3838" i="1" a="1"/>
  <c r="K3838" i="1" s="1"/>
  <c r="O3838" i="1" s="1"/>
  <c r="K3839" i="1" a="1"/>
  <c r="K3839" i="1" s="1"/>
  <c r="O3839" i="1" s="1"/>
  <c r="K3840" i="1" a="1"/>
  <c r="K3840" i="1" s="1"/>
  <c r="O3840" i="1" s="1"/>
  <c r="K3841" i="1" a="1"/>
  <c r="K3841" i="1" s="1"/>
  <c r="O3841" i="1" s="1"/>
  <c r="K3842" i="1" a="1"/>
  <c r="K3842" i="1" s="1"/>
  <c r="O3842" i="1" s="1"/>
  <c r="K3843" i="1" a="1"/>
  <c r="K3843" i="1" s="1"/>
  <c r="O3843" i="1" s="1"/>
  <c r="K3844" i="1" a="1"/>
  <c r="K3844" i="1" s="1"/>
  <c r="O3844" i="1" s="1"/>
  <c r="K3845" i="1" a="1"/>
  <c r="K3845" i="1" s="1"/>
  <c r="O3845" i="1" s="1"/>
  <c r="K3846" i="1" a="1"/>
  <c r="K3846" i="1" s="1"/>
  <c r="O3846" i="1" s="1"/>
  <c r="K3847" i="1" a="1"/>
  <c r="K3847" i="1" s="1"/>
  <c r="O3847" i="1" s="1"/>
  <c r="K3848" i="1" a="1"/>
  <c r="K3848" i="1" s="1"/>
  <c r="O3848" i="1" s="1"/>
  <c r="K3849" i="1" a="1"/>
  <c r="K3849" i="1" s="1"/>
  <c r="O3849" i="1" s="1"/>
  <c r="K3850" i="1" a="1"/>
  <c r="K3850" i="1" s="1"/>
  <c r="O3850" i="1" s="1"/>
  <c r="K3851" i="1" a="1"/>
  <c r="K3851" i="1" s="1"/>
  <c r="O3851" i="1" s="1"/>
  <c r="K3852" i="1" a="1"/>
  <c r="K3852" i="1" s="1"/>
  <c r="O3852" i="1" s="1"/>
  <c r="K3853" i="1" a="1"/>
  <c r="K3853" i="1" s="1"/>
  <c r="O3853" i="1" s="1"/>
  <c r="K3854" i="1" a="1"/>
  <c r="K3854" i="1" s="1"/>
  <c r="O3854" i="1" s="1"/>
  <c r="K3855" i="1" a="1"/>
  <c r="K3855" i="1" s="1"/>
  <c r="O3855" i="1" s="1"/>
  <c r="K3856" i="1" a="1"/>
  <c r="K3856" i="1" s="1"/>
  <c r="O3856" i="1" s="1"/>
  <c r="K3857" i="1" a="1"/>
  <c r="K3857" i="1" s="1"/>
  <c r="O3857" i="1" s="1"/>
  <c r="K3858" i="1" a="1"/>
  <c r="K3858" i="1" s="1"/>
  <c r="O3858" i="1" s="1"/>
  <c r="K3859" i="1" a="1"/>
  <c r="K3859" i="1" s="1"/>
  <c r="O3859" i="1" s="1"/>
  <c r="K3860" i="1" a="1"/>
  <c r="K3860" i="1" s="1"/>
  <c r="O3860" i="1" s="1"/>
  <c r="K3861" i="1" a="1"/>
  <c r="K3861" i="1" s="1"/>
  <c r="O3861" i="1" s="1"/>
  <c r="K3862" i="1" a="1"/>
  <c r="K3862" i="1" s="1"/>
  <c r="O3862" i="1" s="1"/>
  <c r="K3863" i="1" a="1"/>
  <c r="K3863" i="1" s="1"/>
  <c r="O3863" i="1" s="1"/>
  <c r="K3864" i="1" a="1"/>
  <c r="K3864" i="1" s="1"/>
  <c r="O3864" i="1" s="1"/>
  <c r="K3865" i="1" a="1"/>
  <c r="K3865" i="1" s="1"/>
  <c r="O3865" i="1" s="1"/>
  <c r="K3866" i="1" a="1"/>
  <c r="K3866" i="1" s="1"/>
  <c r="O3866" i="1" s="1"/>
  <c r="K3867" i="1" a="1"/>
  <c r="K3867" i="1" s="1"/>
  <c r="O3867" i="1" s="1"/>
  <c r="K3868" i="1" a="1"/>
  <c r="K3868" i="1" s="1"/>
  <c r="O3868" i="1" s="1"/>
  <c r="K3869" i="1" a="1"/>
  <c r="K3869" i="1" s="1"/>
  <c r="O3869" i="1" s="1"/>
  <c r="K3870" i="1" a="1"/>
  <c r="K3870" i="1" s="1"/>
  <c r="O3870" i="1" s="1"/>
  <c r="K3871" i="1" a="1"/>
  <c r="K3871" i="1" s="1"/>
  <c r="O3871" i="1" s="1"/>
  <c r="K3872" i="1" a="1"/>
  <c r="K3872" i="1" s="1"/>
  <c r="O3872" i="1" s="1"/>
  <c r="K3873" i="1" a="1"/>
  <c r="K3873" i="1" s="1"/>
  <c r="O3873" i="1" s="1"/>
  <c r="K3874" i="1" a="1"/>
  <c r="K3874" i="1" s="1"/>
  <c r="O3874" i="1" s="1"/>
  <c r="K3875" i="1" a="1"/>
  <c r="K3875" i="1" s="1"/>
  <c r="O3875" i="1" s="1"/>
  <c r="K3876" i="1" a="1"/>
  <c r="K3876" i="1" s="1"/>
  <c r="O3876" i="1" s="1"/>
  <c r="K3877" i="1" a="1"/>
  <c r="K3877" i="1" s="1"/>
  <c r="O3877" i="1" s="1"/>
  <c r="K3878" i="1" a="1"/>
  <c r="K3878" i="1" s="1"/>
  <c r="O3878" i="1" s="1"/>
  <c r="K3879" i="1" a="1"/>
  <c r="K3879" i="1" s="1"/>
  <c r="O3879" i="1" s="1"/>
  <c r="K3880" i="1" a="1"/>
  <c r="K3880" i="1" s="1"/>
  <c r="O3880" i="1" s="1"/>
  <c r="K3881" i="1" a="1"/>
  <c r="K3881" i="1" s="1"/>
  <c r="O3881" i="1" s="1"/>
  <c r="K3882" i="1" a="1"/>
  <c r="K3882" i="1" s="1"/>
  <c r="O3882" i="1" s="1"/>
  <c r="K3883" i="1" a="1"/>
  <c r="K3883" i="1" s="1"/>
  <c r="O3883" i="1" s="1"/>
  <c r="K3884" i="1" a="1"/>
  <c r="K3884" i="1" s="1"/>
  <c r="O3884" i="1" s="1"/>
  <c r="K3885" i="1" a="1"/>
  <c r="K3885" i="1" s="1"/>
  <c r="O3885" i="1" s="1"/>
  <c r="K3886" i="1" a="1"/>
  <c r="K3886" i="1" s="1"/>
  <c r="O3886" i="1" s="1"/>
  <c r="K3887" i="1" a="1"/>
  <c r="K3887" i="1" s="1"/>
  <c r="O3887" i="1" s="1"/>
  <c r="K3888" i="1" a="1"/>
  <c r="K3888" i="1" s="1"/>
  <c r="O3888" i="1" s="1"/>
  <c r="K3889" i="1" a="1"/>
  <c r="K3889" i="1" s="1"/>
  <c r="O3889" i="1" s="1"/>
  <c r="K3890" i="1" a="1"/>
  <c r="K3890" i="1" s="1"/>
  <c r="O3890" i="1" s="1"/>
  <c r="K3891" i="1" a="1"/>
  <c r="K3891" i="1" s="1"/>
  <c r="O3891" i="1" s="1"/>
  <c r="K3892" i="1" a="1"/>
  <c r="K3892" i="1" s="1"/>
  <c r="O3892" i="1" s="1"/>
  <c r="K3893" i="1" a="1"/>
  <c r="K3893" i="1" s="1"/>
  <c r="O3893" i="1" s="1"/>
  <c r="K3894" i="1" a="1"/>
  <c r="K3894" i="1" s="1"/>
  <c r="O3894" i="1" s="1"/>
  <c r="K3895" i="1" a="1"/>
  <c r="K3895" i="1" s="1"/>
  <c r="O3895" i="1" s="1"/>
  <c r="K3896" i="1" a="1"/>
  <c r="K3896" i="1" s="1"/>
  <c r="O3896" i="1" s="1"/>
  <c r="K3897" i="1" a="1"/>
  <c r="K3897" i="1" s="1"/>
  <c r="O3897" i="1" s="1"/>
  <c r="K3898" i="1" a="1"/>
  <c r="K3898" i="1" s="1"/>
  <c r="O3898" i="1" s="1"/>
  <c r="K3899" i="1" a="1"/>
  <c r="K3899" i="1" s="1"/>
  <c r="K3900" i="1" a="1"/>
  <c r="K3900" i="1" s="1"/>
  <c r="O3900" i="1" s="1"/>
  <c r="K3901" i="1" a="1"/>
  <c r="K3901" i="1" s="1"/>
  <c r="O3901" i="1" s="1"/>
  <c r="K3902" i="1" a="1"/>
  <c r="K3902" i="1" s="1"/>
  <c r="O3902" i="1" s="1"/>
  <c r="K3903" i="1" a="1"/>
  <c r="K3903" i="1" s="1"/>
  <c r="O3903" i="1" s="1"/>
  <c r="K3904" i="1" a="1"/>
  <c r="K3904" i="1" s="1"/>
  <c r="O3904" i="1" s="1"/>
  <c r="K3905" i="1" a="1"/>
  <c r="K3905" i="1" s="1"/>
  <c r="O3905" i="1" s="1"/>
  <c r="K3906" i="1" a="1"/>
  <c r="K3906" i="1" s="1"/>
  <c r="O3906" i="1" s="1"/>
  <c r="K3907" i="1" a="1"/>
  <c r="K3907" i="1" s="1"/>
  <c r="O3907" i="1" s="1"/>
  <c r="K3908" i="1" a="1"/>
  <c r="K3908" i="1" s="1"/>
  <c r="O3908" i="1" s="1"/>
  <c r="K3909" i="1" a="1"/>
  <c r="K3909" i="1" s="1"/>
  <c r="O3909" i="1" s="1"/>
  <c r="K3910" i="1" a="1"/>
  <c r="K3910" i="1" s="1"/>
  <c r="O3910" i="1" s="1"/>
  <c r="K3911" i="1" a="1"/>
  <c r="K3911" i="1" s="1"/>
  <c r="O3911" i="1" s="1"/>
  <c r="K3912" i="1" a="1"/>
  <c r="K3912" i="1" s="1"/>
  <c r="O3912" i="1" s="1"/>
  <c r="K3913" i="1" a="1"/>
  <c r="K3913" i="1" s="1"/>
  <c r="O3913" i="1" s="1"/>
  <c r="K3914" i="1" a="1"/>
  <c r="K3914" i="1" s="1"/>
  <c r="O3914" i="1" s="1"/>
  <c r="K3915" i="1" a="1"/>
  <c r="K3915" i="1" s="1"/>
  <c r="O3915" i="1" s="1"/>
  <c r="K3916" i="1" a="1"/>
  <c r="K3916" i="1" s="1"/>
  <c r="O3916" i="1" s="1"/>
  <c r="K3917" i="1" a="1"/>
  <c r="K3917" i="1" s="1"/>
  <c r="O3917" i="1" s="1"/>
  <c r="K3918" i="1" a="1"/>
  <c r="K3918" i="1" s="1"/>
  <c r="N3918" i="1" s="1"/>
  <c r="K3919" i="1" a="1"/>
  <c r="K3919" i="1" s="1"/>
  <c r="K3920" i="1" a="1"/>
  <c r="K3920" i="1" s="1"/>
  <c r="O3920" i="1" s="1"/>
  <c r="K3921" i="1" a="1"/>
  <c r="K3921" i="1" s="1"/>
  <c r="O3921" i="1" s="1"/>
  <c r="K3922" i="1" a="1"/>
  <c r="K3922" i="1" s="1"/>
  <c r="O3922" i="1" s="1"/>
  <c r="K3923" i="1" a="1"/>
  <c r="K3923" i="1" s="1"/>
  <c r="O3923" i="1" s="1"/>
  <c r="K3924" i="1" a="1"/>
  <c r="K3924" i="1" s="1"/>
  <c r="O3924" i="1" s="1"/>
  <c r="K3925" i="1" a="1"/>
  <c r="K3925" i="1" s="1"/>
  <c r="O3925" i="1" s="1"/>
  <c r="K3926" i="1" a="1"/>
  <c r="K3926" i="1" s="1"/>
  <c r="O3926" i="1" s="1"/>
  <c r="K3927" i="1" a="1"/>
  <c r="K3927" i="1" s="1"/>
  <c r="O3927" i="1" s="1"/>
  <c r="K3928" i="1" a="1"/>
  <c r="K3928" i="1" s="1"/>
  <c r="O3928" i="1" s="1"/>
  <c r="K3929" i="1" a="1"/>
  <c r="K3929" i="1" s="1"/>
  <c r="O3929" i="1" s="1"/>
  <c r="K3930" i="1" a="1"/>
  <c r="K3930" i="1" s="1"/>
  <c r="O3930" i="1" s="1"/>
  <c r="K3931" i="1" a="1"/>
  <c r="K3931" i="1" s="1"/>
  <c r="O3931" i="1" s="1"/>
  <c r="K3932" i="1" a="1"/>
  <c r="K3932" i="1" s="1"/>
  <c r="O3932" i="1" s="1"/>
  <c r="K3933" i="1" a="1"/>
  <c r="K3933" i="1" s="1"/>
  <c r="O3933" i="1" s="1"/>
  <c r="K3934" i="1" a="1"/>
  <c r="K3934" i="1" s="1"/>
  <c r="O3934" i="1" s="1"/>
  <c r="K3935" i="1" a="1"/>
  <c r="K3935" i="1" s="1"/>
  <c r="O3935" i="1" s="1"/>
  <c r="K3936" i="1" a="1"/>
  <c r="K3936" i="1" s="1"/>
  <c r="O3936" i="1" s="1"/>
  <c r="K3937" i="1" a="1"/>
  <c r="K3937" i="1" s="1"/>
  <c r="O3937" i="1" s="1"/>
  <c r="K3938" i="1" a="1"/>
  <c r="K3938" i="1" s="1"/>
  <c r="O3938" i="1" s="1"/>
  <c r="K3939" i="1" a="1"/>
  <c r="K3939" i="1" s="1"/>
  <c r="O3939" i="1" s="1"/>
  <c r="K3940" i="1" a="1"/>
  <c r="K3940" i="1" s="1"/>
  <c r="O3940" i="1" s="1"/>
  <c r="K3941" i="1" a="1"/>
  <c r="K3941" i="1" s="1"/>
  <c r="O3941" i="1" s="1"/>
  <c r="K3942" i="1" a="1"/>
  <c r="K3942" i="1" s="1"/>
  <c r="O3942" i="1" s="1"/>
  <c r="K3943" i="1" a="1"/>
  <c r="K3943" i="1" s="1"/>
  <c r="O3943" i="1" s="1"/>
  <c r="K3944" i="1" a="1"/>
  <c r="K3944" i="1" s="1"/>
  <c r="O3944" i="1" s="1"/>
  <c r="K3945" i="1" a="1"/>
  <c r="K3945" i="1" s="1"/>
  <c r="O3945" i="1" s="1"/>
  <c r="K3946" i="1" a="1"/>
  <c r="K3946" i="1" s="1"/>
  <c r="O3946" i="1" s="1"/>
  <c r="K3947" i="1" a="1"/>
  <c r="K3947" i="1" s="1"/>
  <c r="O3947" i="1" s="1"/>
  <c r="K3948" i="1" a="1"/>
  <c r="K3948" i="1" s="1"/>
  <c r="O3948" i="1" s="1"/>
  <c r="K3949" i="1" a="1"/>
  <c r="K3949" i="1" s="1"/>
  <c r="O3949" i="1" s="1"/>
  <c r="K3950" i="1" a="1"/>
  <c r="K3950" i="1" s="1"/>
  <c r="O3950" i="1" s="1"/>
  <c r="K3951" i="1" a="1"/>
  <c r="K3951" i="1" s="1"/>
  <c r="O3951" i="1" s="1"/>
  <c r="K3952" i="1" a="1"/>
  <c r="K3952" i="1" s="1"/>
  <c r="O3952" i="1" s="1"/>
  <c r="K3953" i="1" a="1"/>
  <c r="K3953" i="1" s="1"/>
  <c r="O3953" i="1" s="1"/>
  <c r="K3954" i="1" a="1"/>
  <c r="K3954" i="1" s="1"/>
  <c r="O3954" i="1" s="1"/>
  <c r="K3955" i="1" a="1"/>
  <c r="K3955" i="1" s="1"/>
  <c r="O3955" i="1" s="1"/>
  <c r="K3956" i="1" a="1"/>
  <c r="K3956" i="1" s="1"/>
  <c r="O3956" i="1" s="1"/>
  <c r="K3957" i="1" a="1"/>
  <c r="K3957" i="1" s="1"/>
  <c r="O3957" i="1" s="1"/>
  <c r="K3958" i="1" a="1"/>
  <c r="K3958" i="1" s="1"/>
  <c r="O3958" i="1" s="1"/>
  <c r="K3959" i="1" a="1"/>
  <c r="K3959" i="1" s="1"/>
  <c r="O3959" i="1" s="1"/>
  <c r="K3960" i="1" a="1"/>
  <c r="K3960" i="1" s="1"/>
  <c r="K3961" i="1" a="1"/>
  <c r="K3961" i="1" s="1"/>
  <c r="O3961" i="1" s="1"/>
  <c r="K3962" i="1" a="1"/>
  <c r="K3962" i="1" s="1"/>
  <c r="O3962" i="1" s="1"/>
  <c r="K3963" i="1" a="1"/>
  <c r="K3963" i="1" s="1"/>
  <c r="O3963" i="1" s="1"/>
  <c r="K3964" i="1" a="1"/>
  <c r="K3964" i="1" s="1"/>
  <c r="K3965" i="1" a="1"/>
  <c r="K3965" i="1" s="1"/>
  <c r="O3965" i="1" s="1"/>
  <c r="K3966" i="1" a="1"/>
  <c r="K3966" i="1" s="1"/>
  <c r="O3966" i="1" s="1"/>
  <c r="K3967" i="1" a="1"/>
  <c r="K3967" i="1" s="1"/>
  <c r="O3967" i="1" s="1"/>
  <c r="K3968" i="1" a="1"/>
  <c r="K3968" i="1" s="1"/>
  <c r="O3968" i="1" s="1"/>
  <c r="K3969" i="1" a="1"/>
  <c r="K3969" i="1" s="1"/>
  <c r="O3969" i="1" s="1"/>
  <c r="K3970" i="1" a="1"/>
  <c r="K3970" i="1" s="1"/>
  <c r="O3970" i="1" s="1"/>
  <c r="K3971" i="1" a="1"/>
  <c r="K3971" i="1" s="1"/>
  <c r="K3972" i="1" a="1"/>
  <c r="K3972" i="1" s="1"/>
  <c r="O3972" i="1" s="1"/>
  <c r="K3973" i="1" a="1"/>
  <c r="K3973" i="1" s="1"/>
  <c r="O3973" i="1" s="1"/>
  <c r="K3974" i="1" a="1"/>
  <c r="K3974" i="1" s="1"/>
  <c r="O3974" i="1" s="1"/>
  <c r="K3975" i="1" a="1"/>
  <c r="K3975" i="1" s="1"/>
  <c r="O3975" i="1" s="1"/>
  <c r="K3976" i="1" a="1"/>
  <c r="K3976" i="1" s="1"/>
  <c r="O3976" i="1" s="1"/>
  <c r="K3977" i="1" a="1"/>
  <c r="K3977" i="1" s="1"/>
  <c r="O3977" i="1" s="1"/>
  <c r="K3978" i="1" a="1"/>
  <c r="K3978" i="1" s="1"/>
  <c r="O3978" i="1" s="1"/>
  <c r="K3979" i="1" a="1"/>
  <c r="K3979" i="1" s="1"/>
  <c r="O3979" i="1" s="1"/>
  <c r="K3980" i="1" a="1"/>
  <c r="K3980" i="1" s="1"/>
  <c r="O3980" i="1" s="1"/>
  <c r="K3981" i="1" a="1"/>
  <c r="K3981" i="1" s="1"/>
  <c r="O3981" i="1" s="1"/>
  <c r="K3982" i="1" a="1"/>
  <c r="K3982" i="1" s="1"/>
  <c r="O3982" i="1" s="1"/>
  <c r="K3983" i="1" a="1"/>
  <c r="K3983" i="1" s="1"/>
  <c r="O3983" i="1" s="1"/>
  <c r="K3984" i="1" a="1"/>
  <c r="K3984" i="1" s="1"/>
  <c r="O3984" i="1" s="1"/>
  <c r="K3985" i="1" a="1"/>
  <c r="K3985" i="1" s="1"/>
  <c r="O3985" i="1" s="1"/>
  <c r="K3986" i="1" a="1"/>
  <c r="K3986" i="1" s="1"/>
  <c r="O3986" i="1" s="1"/>
  <c r="K3987" i="1" a="1"/>
  <c r="K3987" i="1" s="1"/>
  <c r="O3987" i="1" s="1"/>
  <c r="K3988" i="1" a="1"/>
  <c r="K3988" i="1" s="1"/>
  <c r="O3988" i="1" s="1"/>
  <c r="K3989" i="1" a="1"/>
  <c r="K3989" i="1" s="1"/>
  <c r="O3989" i="1" s="1"/>
  <c r="K3990" i="1" a="1"/>
  <c r="K3990" i="1" s="1"/>
  <c r="O3990" i="1" s="1"/>
  <c r="K3991" i="1" a="1"/>
  <c r="K3991" i="1" s="1"/>
  <c r="O3991" i="1" s="1"/>
  <c r="K3992" i="1" a="1"/>
  <c r="K3992" i="1" s="1"/>
  <c r="O3992" i="1" s="1"/>
  <c r="K3993" i="1" a="1"/>
  <c r="K3993" i="1" s="1"/>
  <c r="O3993" i="1" s="1"/>
  <c r="K3994" i="1" a="1"/>
  <c r="K3994" i="1" s="1"/>
  <c r="O3994" i="1" s="1"/>
  <c r="K3995" i="1" a="1"/>
  <c r="K3995" i="1" s="1"/>
  <c r="O3995" i="1" s="1"/>
  <c r="K3996" i="1" a="1"/>
  <c r="K3996" i="1" s="1"/>
  <c r="K3997" i="1" a="1"/>
  <c r="K3997" i="1" s="1"/>
  <c r="O3997" i="1" s="1"/>
  <c r="K3998" i="1" a="1"/>
  <c r="K3998" i="1" s="1"/>
  <c r="O3998" i="1" s="1"/>
  <c r="K3999" i="1" a="1"/>
  <c r="K3999" i="1" s="1"/>
  <c r="O3999" i="1" s="1"/>
  <c r="K4000" i="1" a="1"/>
  <c r="K4000" i="1" s="1"/>
  <c r="O4000" i="1" s="1"/>
  <c r="K4001" i="1" a="1"/>
  <c r="K4001" i="1" s="1"/>
  <c r="O4001" i="1" s="1"/>
  <c r="K4002" i="1" a="1"/>
  <c r="K4002" i="1" s="1"/>
  <c r="O4002" i="1" s="1"/>
  <c r="K4003" i="1" a="1"/>
  <c r="K4003" i="1" s="1"/>
  <c r="O4003" i="1" s="1"/>
  <c r="K4004" i="1" a="1"/>
  <c r="K4004" i="1" s="1"/>
  <c r="K4005" i="1" a="1"/>
  <c r="K4005" i="1" s="1"/>
  <c r="O4005" i="1" s="1"/>
  <c r="K4006" i="1" a="1"/>
  <c r="K4006" i="1" s="1"/>
  <c r="K4007" i="1" a="1"/>
  <c r="K4007" i="1" s="1"/>
  <c r="O4007" i="1" s="1"/>
  <c r="K4008" i="1" a="1"/>
  <c r="K4008" i="1" s="1"/>
  <c r="O4008" i="1" s="1"/>
  <c r="K4009" i="1" a="1"/>
  <c r="K4009" i="1" s="1"/>
  <c r="O4009" i="1" s="1"/>
  <c r="K4010" i="1" a="1"/>
  <c r="K4010" i="1" s="1"/>
  <c r="O4010" i="1" s="1"/>
  <c r="K4011" i="1" a="1"/>
  <c r="K4011" i="1" s="1"/>
  <c r="O4011" i="1" s="1"/>
  <c r="K4012" i="1" a="1"/>
  <c r="K4012" i="1" s="1"/>
  <c r="O4012" i="1" s="1"/>
  <c r="K4013" i="1" a="1"/>
  <c r="K4013" i="1" s="1"/>
  <c r="O4013" i="1" s="1"/>
  <c r="K4014" i="1" a="1"/>
  <c r="K4014" i="1" s="1"/>
  <c r="N4014" i="1" s="1"/>
  <c r="K4015" i="1" a="1"/>
  <c r="K4015" i="1" s="1"/>
  <c r="O4015" i="1" s="1"/>
  <c r="K4016" i="1" a="1"/>
  <c r="K4016" i="1" s="1"/>
  <c r="O4016" i="1" s="1"/>
  <c r="K4017" i="1" a="1"/>
  <c r="K4017" i="1" s="1"/>
  <c r="O4017" i="1" s="1"/>
  <c r="K4018" i="1" a="1"/>
  <c r="K4018" i="1" s="1"/>
  <c r="O4018" i="1" s="1"/>
  <c r="K4019" i="1" a="1"/>
  <c r="K4019" i="1" s="1"/>
  <c r="O4019" i="1" s="1"/>
  <c r="K4020" i="1" a="1"/>
  <c r="K4020" i="1" s="1"/>
  <c r="O4020" i="1" s="1"/>
  <c r="K4021" i="1" a="1"/>
  <c r="K4021" i="1" s="1"/>
  <c r="O4021" i="1" s="1"/>
  <c r="K4022" i="1" a="1"/>
  <c r="K4022" i="1" s="1"/>
  <c r="O4022" i="1" s="1"/>
  <c r="K4023" i="1" a="1"/>
  <c r="K4023" i="1" s="1"/>
  <c r="O4023" i="1" s="1"/>
  <c r="K4024" i="1" a="1"/>
  <c r="K4024" i="1" s="1"/>
  <c r="O4024" i="1" s="1"/>
  <c r="K4025" i="1" a="1"/>
  <c r="K4025" i="1" s="1"/>
  <c r="O4025" i="1" s="1"/>
  <c r="K4026" i="1" a="1"/>
  <c r="K4026" i="1" s="1"/>
  <c r="O4026" i="1" s="1"/>
  <c r="K4027" i="1" a="1"/>
  <c r="K4027" i="1" s="1"/>
  <c r="O4027" i="1" s="1"/>
  <c r="K4028" i="1" a="1"/>
  <c r="K4028" i="1" s="1"/>
  <c r="O4028" i="1" s="1"/>
  <c r="K4029" i="1" a="1"/>
  <c r="K4029" i="1" s="1"/>
  <c r="O4029" i="1" s="1"/>
  <c r="K4030" i="1" a="1"/>
  <c r="K4030" i="1" s="1"/>
  <c r="O4030" i="1" s="1"/>
  <c r="K4031" i="1" a="1"/>
  <c r="K4031" i="1" s="1"/>
  <c r="O4031" i="1" s="1"/>
  <c r="K4032" i="1" a="1"/>
  <c r="K4032" i="1" s="1"/>
  <c r="O4032" i="1" s="1"/>
  <c r="K4033" i="1" a="1"/>
  <c r="K4033" i="1" s="1"/>
  <c r="O4033" i="1" s="1"/>
  <c r="K4034" i="1" a="1"/>
  <c r="K4034" i="1" s="1"/>
  <c r="O4034" i="1" s="1"/>
  <c r="K4035" i="1" a="1"/>
  <c r="K4035" i="1" s="1"/>
  <c r="O4035" i="1" s="1"/>
  <c r="K4036" i="1" a="1"/>
  <c r="K4036" i="1" s="1"/>
  <c r="O4036" i="1" s="1"/>
  <c r="K4037" i="1" a="1"/>
  <c r="K4037" i="1"/>
  <c r="O4037" i="1" s="1"/>
  <c r="K4038" i="1" a="1"/>
  <c r="K4038" i="1" s="1"/>
  <c r="O4038" i="1" s="1"/>
  <c r="K4039" i="1" a="1"/>
  <c r="K4039" i="1" s="1"/>
  <c r="O4039" i="1" s="1"/>
  <c r="K4040" i="1" a="1"/>
  <c r="K4040" i="1" s="1"/>
  <c r="O4040" i="1" s="1"/>
  <c r="K4041" i="1" a="1"/>
  <c r="K4041" i="1" s="1"/>
  <c r="O4041" i="1" s="1"/>
  <c r="K4042" i="1" a="1"/>
  <c r="K4042" i="1" s="1"/>
  <c r="O4042" i="1" s="1"/>
  <c r="K4043" i="1" a="1"/>
  <c r="K4043" i="1" s="1"/>
  <c r="O4043" i="1" s="1"/>
  <c r="K4044" i="1" a="1"/>
  <c r="K4044" i="1" s="1"/>
  <c r="O4044" i="1" s="1"/>
  <c r="K4045" i="1" a="1"/>
  <c r="K4045" i="1" s="1"/>
  <c r="O4045" i="1" s="1"/>
  <c r="K4046" i="1" a="1"/>
  <c r="K4046" i="1" s="1"/>
  <c r="O4046" i="1" s="1"/>
  <c r="K4047" i="1" a="1"/>
  <c r="K4047" i="1" s="1"/>
  <c r="O4047" i="1" s="1"/>
  <c r="K4048" i="1" a="1"/>
  <c r="K4048" i="1" s="1"/>
  <c r="O4048" i="1" s="1"/>
  <c r="K4049" i="1" a="1"/>
  <c r="K4049" i="1" s="1"/>
  <c r="O4049" i="1" s="1"/>
  <c r="K4050" i="1" a="1"/>
  <c r="K4050" i="1" s="1"/>
  <c r="O4050" i="1" s="1"/>
  <c r="K4051" i="1" a="1"/>
  <c r="K4051" i="1" s="1"/>
  <c r="O4051" i="1" s="1"/>
  <c r="K4052" i="1" a="1"/>
  <c r="K4052" i="1"/>
  <c r="O4052" i="1" s="1"/>
  <c r="K4053" i="1" a="1"/>
  <c r="K4053" i="1" s="1"/>
  <c r="O4053" i="1" s="1"/>
  <c r="K4054" i="1" a="1"/>
  <c r="K4054" i="1" s="1"/>
  <c r="O4054" i="1" s="1"/>
  <c r="K4055" i="1" a="1"/>
  <c r="K4055" i="1" s="1"/>
  <c r="O4055" i="1" s="1"/>
  <c r="K4056" i="1" a="1"/>
  <c r="K4056" i="1" s="1"/>
  <c r="O4056" i="1" s="1"/>
  <c r="K4057" i="1" a="1"/>
  <c r="K4057" i="1" s="1"/>
  <c r="O4057" i="1" s="1"/>
  <c r="K4058" i="1" a="1"/>
  <c r="K4058" i="1" s="1"/>
  <c r="O4058" i="1" s="1"/>
  <c r="K4059" i="1" a="1"/>
  <c r="K4059" i="1" s="1"/>
  <c r="O4059" i="1" s="1"/>
  <c r="K4060" i="1" a="1"/>
  <c r="K4060" i="1" s="1"/>
  <c r="O4060" i="1" s="1"/>
  <c r="K4061" i="1" a="1"/>
  <c r="K4061" i="1" s="1"/>
  <c r="O4061" i="1" s="1"/>
  <c r="K4062" i="1" a="1"/>
  <c r="K4062" i="1" s="1"/>
  <c r="O4062" i="1" s="1"/>
  <c r="K4063" i="1" a="1"/>
  <c r="K4063" i="1" s="1"/>
  <c r="O4063" i="1" s="1"/>
  <c r="K4064" i="1" a="1"/>
  <c r="K4064" i="1" s="1"/>
  <c r="O4064" i="1" s="1"/>
  <c r="K4065" i="1" a="1"/>
  <c r="K4065" i="1" s="1"/>
  <c r="O4065" i="1" s="1"/>
  <c r="K4066" i="1" a="1"/>
  <c r="K4066" i="1" s="1"/>
  <c r="O4066" i="1" s="1"/>
  <c r="K4067" i="1" a="1"/>
  <c r="K4067" i="1" s="1"/>
  <c r="K4068" i="1" a="1"/>
  <c r="K4068" i="1" s="1"/>
  <c r="O4068" i="1" s="1"/>
  <c r="K4069" i="1" a="1"/>
  <c r="K4069" i="1" s="1"/>
  <c r="O4069" i="1" s="1"/>
  <c r="K4070" i="1" a="1"/>
  <c r="K4070" i="1" s="1"/>
  <c r="O4070" i="1" s="1"/>
  <c r="K4071" i="1" a="1"/>
  <c r="K4071" i="1" s="1"/>
  <c r="O4071" i="1" s="1"/>
  <c r="K4072" i="1" a="1"/>
  <c r="K4072" i="1" s="1"/>
  <c r="O4072" i="1" s="1"/>
  <c r="K4073" i="1" a="1"/>
  <c r="K4073" i="1" s="1"/>
  <c r="O4073" i="1" s="1"/>
  <c r="K4074" i="1" a="1"/>
  <c r="K4074" i="1" s="1"/>
  <c r="O4074" i="1" s="1"/>
  <c r="K4075" i="1" a="1"/>
  <c r="K4075" i="1" s="1"/>
  <c r="O4075" i="1" s="1"/>
  <c r="K4076" i="1" a="1"/>
  <c r="K4076" i="1" s="1"/>
  <c r="O4076" i="1" s="1"/>
  <c r="K4077" i="1" a="1"/>
  <c r="K4077" i="1" s="1"/>
  <c r="O4077" i="1" s="1"/>
  <c r="K4078" i="1" a="1"/>
  <c r="K4078" i="1" s="1"/>
  <c r="O4078" i="1" s="1"/>
  <c r="K4079" i="1" a="1"/>
  <c r="K4079" i="1" s="1"/>
  <c r="O4079" i="1" s="1"/>
  <c r="K4080" i="1" a="1"/>
  <c r="K4080" i="1" s="1"/>
  <c r="O4080" i="1" s="1"/>
  <c r="K4081" i="1" a="1"/>
  <c r="K4081" i="1" s="1"/>
  <c r="O4081" i="1" s="1"/>
  <c r="K4082" i="1" a="1"/>
  <c r="K4082" i="1" s="1"/>
  <c r="O4082" i="1" s="1"/>
  <c r="K4083" i="1" a="1"/>
  <c r="K4083" i="1" s="1"/>
  <c r="O4083" i="1" s="1"/>
  <c r="K4084" i="1" a="1"/>
  <c r="K4084" i="1" s="1"/>
  <c r="O4084" i="1" s="1"/>
  <c r="K4085" i="1" a="1"/>
  <c r="K4085" i="1" s="1"/>
  <c r="O4085" i="1" s="1"/>
  <c r="K4086" i="1" a="1"/>
  <c r="K4086" i="1" s="1"/>
  <c r="O4086" i="1" s="1"/>
  <c r="K4087" i="1" a="1"/>
  <c r="K4087" i="1" s="1"/>
  <c r="O4087" i="1" s="1"/>
  <c r="K4088" i="1" a="1"/>
  <c r="K4088" i="1" s="1"/>
  <c r="O4088" i="1" s="1"/>
  <c r="K4089" i="1" a="1"/>
  <c r="K4089" i="1" s="1"/>
  <c r="O4089" i="1" s="1"/>
  <c r="K4090" i="1" a="1"/>
  <c r="K4090" i="1" s="1"/>
  <c r="O4090" i="1" s="1"/>
  <c r="K4091" i="1" a="1"/>
  <c r="K4091" i="1" s="1"/>
  <c r="O4091" i="1" s="1"/>
  <c r="K4092" i="1" a="1"/>
  <c r="K4092" i="1" s="1"/>
  <c r="O4092" i="1" s="1"/>
  <c r="K4093" i="1" a="1"/>
  <c r="K4093" i="1" s="1"/>
  <c r="O4093" i="1" s="1"/>
  <c r="K4094" i="1" a="1"/>
  <c r="K4094" i="1" s="1"/>
  <c r="O4094" i="1" s="1"/>
  <c r="K4095" i="1" a="1"/>
  <c r="K4095" i="1" s="1"/>
  <c r="O4095" i="1" s="1"/>
  <c r="K4096" i="1" a="1"/>
  <c r="K4096" i="1" s="1"/>
  <c r="O4096" i="1" s="1"/>
  <c r="K4097" i="1" a="1"/>
  <c r="K4097" i="1" s="1"/>
  <c r="O4097" i="1" s="1"/>
  <c r="K4098" i="1" a="1"/>
  <c r="K4098" i="1" s="1"/>
  <c r="O4098" i="1" s="1"/>
  <c r="K4099" i="1" a="1"/>
  <c r="K4099" i="1" s="1"/>
  <c r="O4099" i="1" s="1"/>
  <c r="K4100" i="1" a="1"/>
  <c r="K4100" i="1" s="1"/>
  <c r="O4100" i="1" s="1"/>
  <c r="K4101" i="1" a="1"/>
  <c r="K4101" i="1" s="1"/>
  <c r="O4101" i="1" s="1"/>
  <c r="K4102" i="1" a="1"/>
  <c r="K4102" i="1" s="1"/>
  <c r="O4102" i="1" s="1"/>
  <c r="K4103" i="1" a="1"/>
  <c r="K4103" i="1" s="1"/>
  <c r="O4103" i="1" s="1"/>
  <c r="K4104" i="1" a="1"/>
  <c r="K4104" i="1" s="1"/>
  <c r="O4104" i="1" s="1"/>
  <c r="K4105" i="1" a="1"/>
  <c r="K4105" i="1"/>
  <c r="O4105" i="1" s="1"/>
  <c r="K4106" i="1" a="1"/>
  <c r="K4106" i="1" s="1"/>
  <c r="O4106" i="1" s="1"/>
  <c r="K4107" i="1" a="1"/>
  <c r="K4107" i="1" s="1"/>
  <c r="O4107" i="1" s="1"/>
  <c r="K4108" i="1" a="1"/>
  <c r="K4108" i="1" s="1"/>
  <c r="O4108" i="1" s="1"/>
  <c r="K4109" i="1" a="1"/>
  <c r="K4109" i="1" s="1"/>
  <c r="O4109" i="1" s="1"/>
  <c r="K4110" i="1" a="1"/>
  <c r="K4110" i="1" s="1"/>
  <c r="O4110" i="1" s="1"/>
  <c r="K4111" i="1" a="1"/>
  <c r="K4111" i="1" s="1"/>
  <c r="O4111" i="1" s="1"/>
  <c r="K4112" i="1" a="1"/>
  <c r="K4112" i="1" s="1"/>
  <c r="O4112" i="1" s="1"/>
  <c r="K4113" i="1" a="1"/>
  <c r="K4113" i="1" s="1"/>
  <c r="O4113" i="1" s="1"/>
  <c r="K4114" i="1" a="1"/>
  <c r="K4114" i="1" s="1"/>
  <c r="O4114" i="1" s="1"/>
  <c r="K4115" i="1" a="1"/>
  <c r="K4115" i="1" s="1"/>
  <c r="O4115" i="1" s="1"/>
  <c r="K4116" i="1" a="1"/>
  <c r="K4116" i="1" s="1"/>
  <c r="O4116" i="1" s="1"/>
  <c r="K4117" i="1" a="1"/>
  <c r="K4117" i="1" s="1"/>
  <c r="K4118" i="1" a="1"/>
  <c r="K4118" i="1" s="1"/>
  <c r="O4118" i="1" s="1"/>
  <c r="K4119" i="1" a="1"/>
  <c r="K4119" i="1" s="1"/>
  <c r="K4120" i="1" a="1"/>
  <c r="K4120" i="1" s="1"/>
  <c r="O4120" i="1" s="1"/>
  <c r="K4121" i="1" a="1"/>
  <c r="K4121" i="1" s="1"/>
  <c r="O4121" i="1" s="1"/>
  <c r="K4122" i="1" a="1"/>
  <c r="K4122" i="1" s="1"/>
  <c r="O4122" i="1" s="1"/>
  <c r="K4123" i="1" a="1"/>
  <c r="K4123" i="1" s="1"/>
  <c r="O4123" i="1" s="1"/>
  <c r="K4124" i="1" a="1"/>
  <c r="K4124" i="1" s="1"/>
  <c r="O4124" i="1" s="1"/>
  <c r="K4125" i="1" a="1"/>
  <c r="K4125" i="1" s="1"/>
  <c r="O4125" i="1" s="1"/>
  <c r="K4126" i="1" a="1"/>
  <c r="K4126" i="1" s="1"/>
  <c r="O4126" i="1" s="1"/>
  <c r="K4127" i="1" a="1"/>
  <c r="K4127" i="1" s="1"/>
  <c r="O4127" i="1" s="1"/>
  <c r="K4128" i="1" a="1"/>
  <c r="K4128" i="1" s="1"/>
  <c r="O4128" i="1" s="1"/>
  <c r="K4129" i="1" a="1"/>
  <c r="K4129" i="1" s="1"/>
  <c r="O4129" i="1" s="1"/>
  <c r="K4130" i="1" a="1"/>
  <c r="K4130" i="1" s="1"/>
  <c r="O4130" i="1" s="1"/>
  <c r="K4131" i="1" a="1"/>
  <c r="K4131" i="1" s="1"/>
  <c r="O4131" i="1" s="1"/>
  <c r="K4132" i="1" a="1"/>
  <c r="K4132" i="1" s="1"/>
  <c r="O4132" i="1" s="1"/>
  <c r="K4133" i="1" a="1"/>
  <c r="K4133" i="1" s="1"/>
  <c r="O4133" i="1" s="1"/>
  <c r="K4134" i="1" a="1"/>
  <c r="K4134" i="1" s="1"/>
  <c r="O4134" i="1" s="1"/>
  <c r="K4135" i="1" a="1"/>
  <c r="K4135" i="1" s="1"/>
  <c r="O4135" i="1" s="1"/>
  <c r="K4136" i="1" a="1"/>
  <c r="K4136" i="1" s="1"/>
  <c r="O4136" i="1" s="1"/>
  <c r="K4137" i="1" a="1"/>
  <c r="K4137" i="1" s="1"/>
  <c r="O4137" i="1" s="1"/>
  <c r="K4138" i="1" a="1"/>
  <c r="K4138" i="1" s="1"/>
  <c r="O4138" i="1" s="1"/>
  <c r="K4139" i="1" a="1"/>
  <c r="K4139" i="1" s="1"/>
  <c r="O4139" i="1" s="1"/>
  <c r="K4140" i="1" a="1"/>
  <c r="K4140" i="1" s="1"/>
  <c r="O4140" i="1" s="1"/>
  <c r="K4141" i="1" a="1"/>
  <c r="K4141" i="1" s="1"/>
  <c r="K4142" i="1" a="1"/>
  <c r="K4142" i="1" s="1"/>
  <c r="O4142" i="1" s="1"/>
  <c r="K4143" i="1" a="1"/>
  <c r="K4143" i="1" s="1"/>
  <c r="O4143" i="1" s="1"/>
  <c r="K4144" i="1" a="1"/>
  <c r="K4144" i="1" s="1"/>
  <c r="O4144" i="1" s="1"/>
  <c r="K4145" i="1" a="1"/>
  <c r="K4145" i="1" s="1"/>
  <c r="O4145" i="1" s="1"/>
  <c r="K4146" i="1" a="1"/>
  <c r="K4146" i="1" s="1"/>
  <c r="O4146" i="1" s="1"/>
  <c r="K4147" i="1" a="1"/>
  <c r="K4147" i="1" s="1"/>
  <c r="O4147" i="1" s="1"/>
  <c r="K4148" i="1" a="1"/>
  <c r="K4148" i="1" s="1"/>
  <c r="O4148" i="1" s="1"/>
  <c r="K4149" i="1" a="1"/>
  <c r="K4149" i="1" s="1"/>
  <c r="O4149" i="1" s="1"/>
  <c r="K4150" i="1" a="1"/>
  <c r="K4150" i="1" s="1"/>
  <c r="O4150" i="1" s="1"/>
  <c r="K4151" i="1" a="1"/>
  <c r="K4151" i="1" s="1"/>
  <c r="K4152" i="1" a="1"/>
  <c r="K4152" i="1" s="1"/>
  <c r="O4152" i="1" s="1"/>
  <c r="K4153" i="1" a="1"/>
  <c r="K4153" i="1" s="1"/>
  <c r="O4153" i="1" s="1"/>
  <c r="K4154" i="1" a="1"/>
  <c r="K4154" i="1" s="1"/>
  <c r="K4155" i="1" a="1"/>
  <c r="K4155" i="1" s="1"/>
  <c r="O4155" i="1" s="1"/>
  <c r="K4156" i="1" a="1"/>
  <c r="K4156" i="1" s="1"/>
  <c r="O4156" i="1" s="1"/>
  <c r="K4157" i="1" a="1"/>
  <c r="K4157" i="1" s="1"/>
  <c r="O4157" i="1" s="1"/>
  <c r="K4158" i="1" a="1"/>
  <c r="K4158" i="1" s="1"/>
  <c r="O4158" i="1" s="1"/>
  <c r="K4159" i="1" a="1"/>
  <c r="K4159" i="1" s="1"/>
  <c r="O4159" i="1" s="1"/>
  <c r="K4160" i="1" a="1"/>
  <c r="K4160" i="1" s="1"/>
  <c r="O4160" i="1" s="1"/>
  <c r="K4161" i="1" a="1"/>
  <c r="K4161" i="1" s="1"/>
  <c r="O4161" i="1" s="1"/>
  <c r="K4162" i="1" a="1"/>
  <c r="K4162" i="1" s="1"/>
  <c r="O4162" i="1" s="1"/>
  <c r="K4163" i="1" a="1"/>
  <c r="K4163" i="1" s="1"/>
  <c r="O4163" i="1" s="1"/>
  <c r="K4164" i="1" a="1"/>
  <c r="K4164" i="1" s="1"/>
  <c r="O4164" i="1" s="1"/>
  <c r="K4165" i="1" a="1"/>
  <c r="K4165" i="1" s="1"/>
  <c r="O4165" i="1" s="1"/>
  <c r="K4166" i="1" a="1"/>
  <c r="K4166" i="1"/>
  <c r="O4166" i="1" s="1"/>
  <c r="K4167" i="1" a="1"/>
  <c r="K4167" i="1" s="1"/>
  <c r="O4167" i="1" s="1"/>
  <c r="K4168" i="1" a="1"/>
  <c r="K4168" i="1" s="1"/>
  <c r="O4168" i="1" s="1"/>
  <c r="K4169" i="1" a="1"/>
  <c r="K4169" i="1" s="1"/>
  <c r="O4169" i="1" s="1"/>
  <c r="K4170" i="1" a="1"/>
  <c r="K4170" i="1" s="1"/>
  <c r="O4170" i="1" s="1"/>
  <c r="K4171" i="1" a="1"/>
  <c r="K4171" i="1" s="1"/>
  <c r="O4171" i="1" s="1"/>
  <c r="K4172" i="1" a="1"/>
  <c r="K4172" i="1" s="1"/>
  <c r="O4172" i="1" s="1"/>
  <c r="K4173" i="1" a="1"/>
  <c r="K4173" i="1" s="1"/>
  <c r="O4173" i="1" s="1"/>
  <c r="K4174" i="1" a="1"/>
  <c r="K4174" i="1" s="1"/>
  <c r="O4174" i="1" s="1"/>
  <c r="K4175" i="1" a="1"/>
  <c r="K4175" i="1" s="1"/>
  <c r="O4175" i="1" s="1"/>
  <c r="K4176" i="1" a="1"/>
  <c r="K4176" i="1" s="1"/>
  <c r="O4176" i="1" s="1"/>
  <c r="K4177" i="1" a="1"/>
  <c r="K4177" i="1" s="1"/>
  <c r="O4177" i="1" s="1"/>
  <c r="K4178" i="1" a="1"/>
  <c r="K4178" i="1" s="1"/>
  <c r="O4178" i="1" s="1"/>
  <c r="K4179" i="1" a="1"/>
  <c r="K4179" i="1" s="1"/>
  <c r="O4179" i="1" s="1"/>
  <c r="K4180" i="1" a="1"/>
  <c r="K4180" i="1"/>
  <c r="O4180" i="1" s="1"/>
  <c r="K4181" i="1" a="1"/>
  <c r="K4181" i="1" s="1"/>
  <c r="O4181" i="1" s="1"/>
  <c r="K4182" i="1" a="1"/>
  <c r="K4182" i="1" s="1"/>
  <c r="O4182" i="1" s="1"/>
  <c r="K4183" i="1" a="1"/>
  <c r="K4183" i="1" s="1"/>
  <c r="O4183" i="1" s="1"/>
  <c r="K4184" i="1" a="1"/>
  <c r="K4184" i="1" s="1"/>
  <c r="O4184" i="1" s="1"/>
  <c r="K4185" i="1" a="1"/>
  <c r="K4185" i="1" s="1"/>
  <c r="O4185" i="1" s="1"/>
  <c r="K4186" i="1" a="1"/>
  <c r="K4186" i="1" s="1"/>
  <c r="O4186" i="1" s="1"/>
  <c r="K4187" i="1" a="1"/>
  <c r="K4187" i="1" s="1"/>
  <c r="O4187" i="1" s="1"/>
  <c r="K4188" i="1" a="1"/>
  <c r="K4188" i="1" s="1"/>
  <c r="O4188" i="1" s="1"/>
  <c r="K4189" i="1" a="1"/>
  <c r="K4189" i="1" s="1"/>
  <c r="O4189" i="1" s="1"/>
  <c r="K4190" i="1" a="1"/>
  <c r="K4190" i="1" s="1"/>
  <c r="O4190" i="1" s="1"/>
  <c r="K4191" i="1" a="1"/>
  <c r="K4191" i="1" s="1"/>
  <c r="O4191" i="1" s="1"/>
  <c r="K4192" i="1" a="1"/>
  <c r="K4192" i="1" s="1"/>
  <c r="O4192" i="1" s="1"/>
  <c r="K4193" i="1" a="1"/>
  <c r="K4193" i="1" s="1"/>
  <c r="O4193" i="1" s="1"/>
  <c r="K4194" i="1" a="1"/>
  <c r="K4194" i="1" s="1"/>
  <c r="O4194" i="1" s="1"/>
  <c r="K4195" i="1" a="1"/>
  <c r="K4195" i="1" s="1"/>
  <c r="O4195" i="1" s="1"/>
  <c r="K4196" i="1" a="1"/>
  <c r="K4196" i="1" s="1"/>
  <c r="O4196" i="1" s="1"/>
  <c r="K4197" i="1" a="1"/>
  <c r="K4197" i="1" s="1"/>
  <c r="O4197" i="1" s="1"/>
  <c r="K4198" i="1" a="1"/>
  <c r="K4198" i="1" s="1"/>
  <c r="O4198" i="1" s="1"/>
  <c r="K4199" i="1" a="1"/>
  <c r="K4199" i="1" s="1"/>
  <c r="O4199" i="1" s="1"/>
  <c r="K4200" i="1" a="1"/>
  <c r="K4200" i="1" s="1"/>
  <c r="O4200" i="1" s="1"/>
  <c r="K4201" i="1" a="1"/>
  <c r="K4201" i="1" s="1"/>
  <c r="O4201" i="1" s="1"/>
  <c r="K4202" i="1" a="1"/>
  <c r="K4202" i="1" s="1"/>
  <c r="O4202" i="1" s="1"/>
  <c r="K4203" i="1" a="1"/>
  <c r="K4203" i="1" s="1"/>
  <c r="O4203" i="1" s="1"/>
  <c r="K4204" i="1" a="1"/>
  <c r="K4204" i="1" s="1"/>
  <c r="O4204" i="1" s="1"/>
  <c r="K4205" i="1" a="1"/>
  <c r="K4205" i="1" s="1"/>
  <c r="O4205" i="1" s="1"/>
  <c r="K4206" i="1" a="1"/>
  <c r="K4206" i="1" s="1"/>
  <c r="O4206" i="1" s="1"/>
  <c r="K4207" i="1" a="1"/>
  <c r="K4207" i="1" s="1"/>
  <c r="O4207" i="1" s="1"/>
  <c r="K4208" i="1" a="1"/>
  <c r="K4208" i="1" s="1"/>
  <c r="O4208" i="1" s="1"/>
  <c r="K4209" i="1" a="1"/>
  <c r="K4209" i="1" s="1"/>
  <c r="O4209" i="1" s="1"/>
  <c r="K4210" i="1" a="1"/>
  <c r="K4210" i="1" s="1"/>
  <c r="O4210" i="1" s="1"/>
  <c r="K4211" i="1" a="1"/>
  <c r="K4211" i="1" s="1"/>
  <c r="O4211" i="1" s="1"/>
  <c r="K4212" i="1" a="1"/>
  <c r="K4212" i="1" s="1"/>
  <c r="O4212" i="1" s="1"/>
  <c r="K4213" i="1" a="1"/>
  <c r="K4213" i="1" s="1"/>
  <c r="O4213" i="1" s="1"/>
  <c r="K4214" i="1" a="1"/>
  <c r="K4214" i="1" s="1"/>
  <c r="O4214" i="1" s="1"/>
  <c r="K4215" i="1" a="1"/>
  <c r="K4215" i="1" s="1"/>
  <c r="O4215" i="1" s="1"/>
  <c r="K4216" i="1" a="1"/>
  <c r="K4216" i="1" s="1"/>
  <c r="O4216" i="1" s="1"/>
  <c r="K4217" i="1" a="1"/>
  <c r="K4217" i="1" s="1"/>
  <c r="O4217" i="1" s="1"/>
  <c r="K4218" i="1" a="1"/>
  <c r="K4218" i="1" s="1"/>
  <c r="O4218" i="1" s="1"/>
  <c r="K4219" i="1" a="1"/>
  <c r="K4219" i="1" s="1"/>
  <c r="O4219" i="1" s="1"/>
  <c r="K4220" i="1" a="1"/>
  <c r="K4220" i="1" s="1"/>
  <c r="O4220" i="1" s="1"/>
  <c r="K4221" i="1" a="1"/>
  <c r="K4221" i="1" s="1"/>
  <c r="O4221" i="1" s="1"/>
  <c r="K4222" i="1" a="1"/>
  <c r="K4222" i="1" s="1"/>
  <c r="O4222" i="1" s="1"/>
  <c r="K4223" i="1" a="1"/>
  <c r="K4223" i="1" s="1"/>
  <c r="K4224" i="1" a="1"/>
  <c r="K4224" i="1" s="1"/>
  <c r="O4224" i="1" s="1"/>
  <c r="K4225" i="1" a="1"/>
  <c r="K4225" i="1" s="1"/>
  <c r="O4225" i="1" s="1"/>
  <c r="K4226" i="1" a="1"/>
  <c r="K4226" i="1" s="1"/>
  <c r="O4226" i="1" s="1"/>
  <c r="K4227" i="1" a="1"/>
  <c r="K4227" i="1" s="1"/>
  <c r="O4227" i="1" s="1"/>
  <c r="K4228" i="1" a="1"/>
  <c r="K4228" i="1" s="1"/>
  <c r="O4228" i="1" s="1"/>
  <c r="K4229" i="1" a="1"/>
  <c r="K4229" i="1" s="1"/>
  <c r="O4229" i="1" s="1"/>
  <c r="K4230" i="1" a="1"/>
  <c r="K4230" i="1" s="1"/>
  <c r="O4230" i="1" s="1"/>
  <c r="K4231" i="1" a="1"/>
  <c r="K4231" i="1" s="1"/>
  <c r="O4231" i="1" s="1"/>
  <c r="K4232" i="1" a="1"/>
  <c r="K4232" i="1" s="1"/>
  <c r="O4232" i="1" s="1"/>
  <c r="K4233" i="1" a="1"/>
  <c r="K4233" i="1" s="1"/>
  <c r="O4233" i="1" s="1"/>
  <c r="K4234" i="1" a="1"/>
  <c r="K4234" i="1" s="1"/>
  <c r="O4234" i="1" s="1"/>
  <c r="K4235" i="1" a="1"/>
  <c r="K4235" i="1" s="1"/>
  <c r="O4235" i="1" s="1"/>
  <c r="K4236" i="1" a="1"/>
  <c r="K4236" i="1" s="1"/>
  <c r="O4236" i="1" s="1"/>
  <c r="K4237" i="1" a="1"/>
  <c r="K4237" i="1" s="1"/>
  <c r="O4237" i="1" s="1"/>
  <c r="K4238" i="1" a="1"/>
  <c r="K4238" i="1" s="1"/>
  <c r="O4238" i="1" s="1"/>
  <c r="K4239" i="1" a="1"/>
  <c r="K4239" i="1" s="1"/>
  <c r="O4239" i="1" s="1"/>
  <c r="K4240" i="1" a="1"/>
  <c r="K4240" i="1" s="1"/>
  <c r="O4240" i="1" s="1"/>
  <c r="K4241" i="1" a="1"/>
  <c r="K4241" i="1" s="1"/>
  <c r="O4241" i="1" s="1"/>
  <c r="K4242" i="1" a="1"/>
  <c r="K4242" i="1" s="1"/>
  <c r="O4242" i="1" s="1"/>
  <c r="K4243" i="1" a="1"/>
  <c r="K4243" i="1" s="1"/>
  <c r="O4243" i="1" s="1"/>
  <c r="K4244" i="1" a="1"/>
  <c r="K4244" i="1" s="1"/>
  <c r="O4244" i="1" s="1"/>
  <c r="K4245" i="1" a="1"/>
  <c r="K4245" i="1" s="1"/>
  <c r="O4245" i="1" s="1"/>
  <c r="K4246" i="1" a="1"/>
  <c r="K4246" i="1" s="1"/>
  <c r="O4246" i="1" s="1"/>
  <c r="K4247" i="1" a="1"/>
  <c r="K4247" i="1" s="1"/>
  <c r="O4247" i="1" s="1"/>
  <c r="K4248" i="1" a="1"/>
  <c r="K4248" i="1" s="1"/>
  <c r="O4248" i="1" s="1"/>
  <c r="K4249" i="1" a="1"/>
  <c r="K4249" i="1" s="1"/>
  <c r="O4249" i="1" s="1"/>
  <c r="K4250" i="1" a="1"/>
  <c r="K4250" i="1" s="1"/>
  <c r="O4250" i="1" s="1"/>
  <c r="K4251" i="1" a="1"/>
  <c r="K4251" i="1" s="1"/>
  <c r="O4251" i="1" s="1"/>
  <c r="K4252" i="1" a="1"/>
  <c r="K4252" i="1" s="1"/>
  <c r="O4252" i="1" s="1"/>
  <c r="K4253" i="1" a="1"/>
  <c r="K4253" i="1" s="1"/>
  <c r="O4253" i="1" s="1"/>
  <c r="K4254" i="1" a="1"/>
  <c r="K4254" i="1" s="1"/>
  <c r="O4254" i="1" s="1"/>
  <c r="K4255" i="1" a="1"/>
  <c r="K4255" i="1" s="1"/>
  <c r="O4255" i="1" s="1"/>
  <c r="K4256" i="1" a="1"/>
  <c r="K4256" i="1" s="1"/>
  <c r="O4256" i="1" s="1"/>
  <c r="K4257" i="1" a="1"/>
  <c r="K4257" i="1" s="1"/>
  <c r="O4257" i="1" s="1"/>
  <c r="K4258" i="1" a="1"/>
  <c r="K4258" i="1" s="1"/>
  <c r="O4258" i="1" s="1"/>
  <c r="K4259" i="1" a="1"/>
  <c r="K4259" i="1" s="1"/>
  <c r="O4259" i="1" s="1"/>
  <c r="K4260" i="1" a="1"/>
  <c r="K4260" i="1" s="1"/>
  <c r="O4260" i="1" s="1"/>
  <c r="K4261" i="1" a="1"/>
  <c r="K4261" i="1" s="1"/>
  <c r="K4262" i="1" a="1"/>
  <c r="K4262" i="1" s="1"/>
  <c r="O4262" i="1" s="1"/>
  <c r="K4263" i="1" a="1"/>
  <c r="K4263" i="1" s="1"/>
  <c r="O4263" i="1" s="1"/>
  <c r="K4264" i="1" a="1"/>
  <c r="K4264" i="1" s="1"/>
  <c r="O4264" i="1" s="1"/>
  <c r="K4265" i="1" a="1"/>
  <c r="K4265" i="1" s="1"/>
  <c r="O4265" i="1" s="1"/>
  <c r="K4266" i="1" a="1"/>
  <c r="K4266" i="1" s="1"/>
  <c r="O4266" i="1" s="1"/>
  <c r="K4267" i="1" a="1"/>
  <c r="K4267" i="1" s="1"/>
  <c r="O4267" i="1" s="1"/>
  <c r="K4268" i="1" a="1"/>
  <c r="K4268" i="1" s="1"/>
  <c r="O4268" i="1" s="1"/>
  <c r="K4269" i="1" a="1"/>
  <c r="K4269" i="1" s="1"/>
  <c r="O4269" i="1" s="1"/>
  <c r="K4270" i="1" a="1"/>
  <c r="K4270" i="1" s="1"/>
  <c r="K4271" i="1" a="1"/>
  <c r="K4271" i="1" s="1"/>
  <c r="O4271" i="1" s="1"/>
  <c r="K4272" i="1" a="1"/>
  <c r="K4272" i="1" s="1"/>
  <c r="O4272" i="1" s="1"/>
  <c r="K4273" i="1" a="1"/>
  <c r="K4273" i="1" s="1"/>
  <c r="O4273" i="1" s="1"/>
  <c r="K4274" i="1" a="1"/>
  <c r="K4274" i="1" s="1"/>
  <c r="O4274" i="1" s="1"/>
  <c r="K4275" i="1" a="1"/>
  <c r="K4275" i="1" s="1"/>
  <c r="O4275" i="1" s="1"/>
  <c r="K4276" i="1" a="1"/>
  <c r="K4276" i="1" s="1"/>
  <c r="O4276" i="1" s="1"/>
  <c r="K4277" i="1" a="1"/>
  <c r="K4277" i="1" s="1"/>
  <c r="O4277" i="1" s="1"/>
  <c r="K4278" i="1" a="1"/>
  <c r="K4278" i="1" s="1"/>
  <c r="O4278" i="1" s="1"/>
  <c r="K4279" i="1" a="1"/>
  <c r="K4279" i="1" s="1"/>
  <c r="O4279" i="1" s="1"/>
  <c r="K4280" i="1" a="1"/>
  <c r="K4280" i="1" s="1"/>
  <c r="O4280" i="1" s="1"/>
  <c r="K4281" i="1" a="1"/>
  <c r="K4281" i="1" s="1"/>
  <c r="O4281" i="1" s="1"/>
  <c r="K4282" i="1" a="1"/>
  <c r="K4282" i="1" s="1"/>
  <c r="O4282" i="1" s="1"/>
  <c r="K4283" i="1" a="1"/>
  <c r="K4283" i="1" s="1"/>
  <c r="O4283" i="1" s="1"/>
  <c r="K4284" i="1" a="1"/>
  <c r="K4284" i="1" s="1"/>
  <c r="O4284" i="1" s="1"/>
  <c r="K4285" i="1" a="1"/>
  <c r="K4285" i="1" s="1"/>
  <c r="O4285" i="1" s="1"/>
  <c r="K4286" i="1" a="1"/>
  <c r="K4286" i="1" s="1"/>
  <c r="O4286" i="1" s="1"/>
  <c r="K4287" i="1" a="1"/>
  <c r="K4287" i="1" s="1"/>
  <c r="O4287" i="1" s="1"/>
  <c r="K4288" i="1" a="1"/>
  <c r="K4288" i="1" s="1"/>
  <c r="O4288" i="1" s="1"/>
  <c r="K4289" i="1" a="1"/>
  <c r="K4289" i="1" s="1"/>
  <c r="O4289" i="1" s="1"/>
  <c r="K4290" i="1" a="1"/>
  <c r="K4290" i="1" s="1"/>
  <c r="O4290" i="1" s="1"/>
  <c r="K4291" i="1" a="1"/>
  <c r="K4291" i="1" s="1"/>
  <c r="K4292" i="1" a="1"/>
  <c r="K4292" i="1" s="1"/>
  <c r="K4293" i="1" a="1"/>
  <c r="K4293" i="1" s="1"/>
  <c r="O4293" i="1" s="1"/>
  <c r="K4294" i="1" a="1"/>
  <c r="K4294" i="1" s="1"/>
  <c r="O4294" i="1" s="1"/>
  <c r="K4295" i="1" a="1"/>
  <c r="K4295" i="1" s="1"/>
  <c r="O4295" i="1" s="1"/>
  <c r="K4296" i="1" a="1"/>
  <c r="K4296" i="1" s="1"/>
  <c r="O4296" i="1" s="1"/>
  <c r="K4297" i="1" a="1"/>
  <c r="K4297" i="1" s="1"/>
  <c r="O4297" i="1" s="1"/>
  <c r="K4298" i="1" a="1"/>
  <c r="K4298" i="1" s="1"/>
  <c r="O4298" i="1" s="1"/>
  <c r="K4299" i="1" a="1"/>
  <c r="K4299" i="1" s="1"/>
  <c r="K4300" i="1" a="1"/>
  <c r="K4300" i="1" s="1"/>
  <c r="O4300" i="1" s="1"/>
  <c r="K4301" i="1" a="1"/>
  <c r="K4301" i="1" s="1"/>
  <c r="O4301" i="1" s="1"/>
  <c r="K4302" i="1" a="1"/>
  <c r="K4302" i="1" s="1"/>
  <c r="O4302" i="1" s="1"/>
  <c r="K4303" i="1" a="1"/>
  <c r="K4303" i="1" s="1"/>
  <c r="O4303" i="1" s="1"/>
  <c r="K4304" i="1" a="1"/>
  <c r="K4304" i="1" s="1"/>
  <c r="O4304" i="1" s="1"/>
  <c r="K4305" i="1" a="1"/>
  <c r="K4305" i="1" s="1"/>
  <c r="O4305" i="1" s="1"/>
  <c r="K4306" i="1" a="1"/>
  <c r="K4306" i="1" s="1"/>
  <c r="O4306" i="1" s="1"/>
  <c r="K4307" i="1" a="1"/>
  <c r="K4307" i="1" s="1"/>
  <c r="O4307" i="1" s="1"/>
  <c r="K4308" i="1" a="1"/>
  <c r="K4308" i="1" s="1"/>
  <c r="O4308" i="1" s="1"/>
  <c r="K4309" i="1" a="1"/>
  <c r="K4309" i="1" s="1"/>
  <c r="O4309" i="1" s="1"/>
  <c r="K4310" i="1" a="1"/>
  <c r="K4310" i="1" s="1"/>
  <c r="O4310" i="1" s="1"/>
  <c r="K4311" i="1" a="1"/>
  <c r="K4311" i="1" s="1"/>
  <c r="O4311" i="1" s="1"/>
  <c r="K4312" i="1" a="1"/>
  <c r="K4312" i="1"/>
  <c r="O4312" i="1" s="1"/>
  <c r="K4313" i="1" a="1"/>
  <c r="K4313" i="1" s="1"/>
  <c r="O4313" i="1" s="1"/>
  <c r="K4314" i="1" a="1"/>
  <c r="K4314" i="1" s="1"/>
  <c r="O4314" i="1" s="1"/>
  <c r="K4315" i="1" a="1"/>
  <c r="K4315" i="1" s="1"/>
  <c r="O4315" i="1" s="1"/>
  <c r="K4316" i="1" a="1"/>
  <c r="K4316" i="1" s="1"/>
  <c r="O4316" i="1" s="1"/>
  <c r="K4317" i="1" a="1"/>
  <c r="K4317" i="1" s="1"/>
  <c r="O4317" i="1" s="1"/>
  <c r="K4318" i="1" a="1"/>
  <c r="K4318" i="1" s="1"/>
  <c r="O4318" i="1" s="1"/>
  <c r="K4319" i="1" a="1"/>
  <c r="K4319" i="1" s="1"/>
  <c r="O4319" i="1" s="1"/>
  <c r="K4320" i="1" a="1"/>
  <c r="K4320" i="1" s="1"/>
  <c r="O4320" i="1" s="1"/>
  <c r="K4321" i="1" a="1"/>
  <c r="K4321" i="1"/>
  <c r="O4321" i="1" s="1"/>
  <c r="K4322" i="1" a="1"/>
  <c r="K4322" i="1" s="1"/>
  <c r="O4322" i="1" s="1"/>
  <c r="K4323" i="1" a="1"/>
  <c r="K4323" i="1" s="1"/>
  <c r="O4323" i="1" s="1"/>
  <c r="K4324" i="1" a="1"/>
  <c r="K4324" i="1" s="1"/>
  <c r="O4324" i="1" s="1"/>
  <c r="K4325" i="1" a="1"/>
  <c r="K4325" i="1" s="1"/>
  <c r="O4325" i="1" s="1"/>
  <c r="K4326" i="1" a="1"/>
  <c r="K4326" i="1" s="1"/>
  <c r="K4327" i="1" a="1"/>
  <c r="K4327" i="1" s="1"/>
  <c r="O4327" i="1" s="1"/>
  <c r="K4328" i="1" a="1"/>
  <c r="K4328" i="1" s="1"/>
  <c r="O4328" i="1" s="1"/>
  <c r="K4329" i="1" a="1"/>
  <c r="K4329" i="1" s="1"/>
  <c r="O4329" i="1" s="1"/>
  <c r="K4330" i="1" a="1"/>
  <c r="K4330" i="1" s="1"/>
  <c r="O4330" i="1" s="1"/>
  <c r="K4331" i="1" a="1"/>
  <c r="K4331" i="1" s="1"/>
  <c r="O4331" i="1" s="1"/>
  <c r="K4332" i="1" a="1"/>
  <c r="K4332" i="1" s="1"/>
  <c r="O4332" i="1" s="1"/>
  <c r="K4333" i="1" a="1"/>
  <c r="K4333" i="1" s="1"/>
  <c r="K4334" i="1" a="1"/>
  <c r="K4334" i="1" s="1"/>
  <c r="O4334" i="1" s="1"/>
  <c r="K4335" i="1" a="1"/>
  <c r="K4335" i="1" s="1"/>
  <c r="O4335" i="1" s="1"/>
  <c r="K4336" i="1" a="1"/>
  <c r="K4336" i="1" s="1"/>
  <c r="O4336" i="1" s="1"/>
  <c r="K4337" i="1" a="1"/>
  <c r="K4337" i="1" s="1"/>
  <c r="O4337" i="1" s="1"/>
  <c r="K4338" i="1" a="1"/>
  <c r="K4338" i="1" s="1"/>
  <c r="O4338" i="1" s="1"/>
  <c r="K4339" i="1" a="1"/>
  <c r="K4339" i="1" s="1"/>
  <c r="O4339" i="1" s="1"/>
  <c r="K4340" i="1" a="1"/>
  <c r="K4340" i="1" s="1"/>
  <c r="O4340" i="1" s="1"/>
  <c r="K4341" i="1" a="1"/>
  <c r="K4341" i="1" s="1"/>
  <c r="O4341" i="1" s="1"/>
  <c r="K4342" i="1" a="1"/>
  <c r="K4342" i="1" s="1"/>
  <c r="O4342" i="1" s="1"/>
  <c r="K4343" i="1" a="1"/>
  <c r="K4343" i="1" s="1"/>
  <c r="O4343" i="1" s="1"/>
  <c r="K4344" i="1" a="1"/>
  <c r="K4344" i="1" s="1"/>
  <c r="O4344" i="1" s="1"/>
  <c r="K4345" i="1" a="1"/>
  <c r="K4345" i="1" s="1"/>
  <c r="O4345" i="1" s="1"/>
  <c r="K4346" i="1" a="1"/>
  <c r="K4346" i="1" s="1"/>
  <c r="O4346" i="1" s="1"/>
  <c r="K4347" i="1" a="1"/>
  <c r="K4347" i="1" s="1"/>
  <c r="O4347" i="1" s="1"/>
  <c r="K4348" i="1" a="1"/>
  <c r="K4348" i="1" s="1"/>
  <c r="O4348" i="1" s="1"/>
  <c r="K4349" i="1" a="1"/>
  <c r="K4349" i="1" s="1"/>
  <c r="O4349" i="1" s="1"/>
  <c r="K4350" i="1" a="1"/>
  <c r="K4350" i="1" s="1"/>
  <c r="O4350" i="1" s="1"/>
  <c r="K4351" i="1" a="1"/>
  <c r="K4351" i="1" s="1"/>
  <c r="O4351" i="1" s="1"/>
  <c r="K4352" i="1" a="1"/>
  <c r="K4352" i="1" s="1"/>
  <c r="O4352" i="1" s="1"/>
  <c r="K4353" i="1" a="1"/>
  <c r="K4353" i="1" s="1"/>
  <c r="O4353" i="1" s="1"/>
  <c r="K4354" i="1" a="1"/>
  <c r="K4354" i="1" s="1"/>
  <c r="O4354" i="1" s="1"/>
  <c r="K4355" i="1" a="1"/>
  <c r="K4355" i="1" s="1"/>
  <c r="O4355" i="1" s="1"/>
  <c r="K4356" i="1" a="1"/>
  <c r="K4356" i="1" s="1"/>
  <c r="O4356" i="1" s="1"/>
  <c r="K4357" i="1" a="1"/>
  <c r="K4357" i="1" s="1"/>
  <c r="O4357" i="1" s="1"/>
  <c r="K4358" i="1" a="1"/>
  <c r="K4358" i="1" s="1"/>
  <c r="K4359" i="1" a="1"/>
  <c r="K4359" i="1" s="1"/>
  <c r="O4359" i="1" s="1"/>
  <c r="K4360" i="1" a="1"/>
  <c r="K4360" i="1" s="1"/>
  <c r="O4360" i="1" s="1"/>
  <c r="K4361" i="1" a="1"/>
  <c r="K4361" i="1" s="1"/>
  <c r="O4361" i="1" s="1"/>
  <c r="K4362" i="1" a="1"/>
  <c r="K4362" i="1" s="1"/>
  <c r="O4362" i="1" s="1"/>
  <c r="K4363" i="1" a="1"/>
  <c r="K4363" i="1" s="1"/>
  <c r="O4363" i="1" s="1"/>
  <c r="K4364" i="1" a="1"/>
  <c r="K4364" i="1" s="1"/>
  <c r="O4364" i="1" s="1"/>
  <c r="K4365" i="1" a="1"/>
  <c r="K4365" i="1" s="1"/>
  <c r="O4365" i="1" s="1"/>
  <c r="K4366" i="1" a="1"/>
  <c r="K4366" i="1" s="1"/>
  <c r="K4367" i="1" a="1"/>
  <c r="K4367" i="1" s="1"/>
  <c r="O4367" i="1" s="1"/>
  <c r="K4368" i="1" a="1"/>
  <c r="K4368" i="1" s="1"/>
  <c r="O4368" i="1" s="1"/>
  <c r="K4369" i="1" a="1"/>
  <c r="K4369" i="1" s="1"/>
  <c r="O4369" i="1" s="1"/>
  <c r="K4370" i="1" a="1"/>
  <c r="K4370" i="1" s="1"/>
  <c r="O4370" i="1" s="1"/>
  <c r="K4371" i="1" a="1"/>
  <c r="K4371" i="1" s="1"/>
  <c r="O4371" i="1" s="1"/>
  <c r="K4372" i="1" a="1"/>
  <c r="K4372" i="1" s="1"/>
  <c r="O4372" i="1" s="1"/>
  <c r="K4373" i="1" a="1"/>
  <c r="K4373" i="1" s="1"/>
  <c r="O4373" i="1" s="1"/>
  <c r="K4374" i="1" a="1"/>
  <c r="K4374" i="1" s="1"/>
  <c r="O4374" i="1" s="1"/>
  <c r="K4375" i="1" a="1"/>
  <c r="K4375" i="1" s="1"/>
  <c r="O4375" i="1" s="1"/>
  <c r="K4376" i="1" a="1"/>
  <c r="K4376" i="1" s="1"/>
  <c r="O4376" i="1" s="1"/>
  <c r="K4377" i="1" a="1"/>
  <c r="K4377" i="1" s="1"/>
  <c r="O4377" i="1" s="1"/>
  <c r="K4378" i="1" a="1"/>
  <c r="K4378" i="1" s="1"/>
  <c r="O4378" i="1" s="1"/>
  <c r="K4379" i="1" a="1"/>
  <c r="K4379" i="1" s="1"/>
  <c r="O4379" i="1" s="1"/>
  <c r="K4380" i="1" a="1"/>
  <c r="K4380" i="1" s="1"/>
  <c r="O4380" i="1" s="1"/>
  <c r="K4381" i="1" a="1"/>
  <c r="K4381" i="1" s="1"/>
  <c r="O4381" i="1" s="1"/>
  <c r="K4382" i="1" a="1"/>
  <c r="K4382" i="1" s="1"/>
  <c r="O4382" i="1" s="1"/>
  <c r="K4383" i="1" a="1"/>
  <c r="K4383" i="1" s="1"/>
  <c r="O4383" i="1" s="1"/>
  <c r="K4384" i="1" a="1"/>
  <c r="K4384" i="1" s="1"/>
  <c r="O4384" i="1" s="1"/>
  <c r="K4385" i="1" a="1"/>
  <c r="K4385" i="1" s="1"/>
  <c r="O4385" i="1" s="1"/>
  <c r="K4386" i="1" a="1"/>
  <c r="K4386" i="1" s="1"/>
  <c r="O4386" i="1" s="1"/>
  <c r="K4387" i="1" a="1"/>
  <c r="K4387" i="1" s="1"/>
  <c r="O4387" i="1" s="1"/>
  <c r="K4388" i="1" a="1"/>
  <c r="K4388" i="1" s="1"/>
  <c r="O4388" i="1" s="1"/>
  <c r="K4389" i="1" a="1"/>
  <c r="K4389" i="1" s="1"/>
  <c r="O4389" i="1" s="1"/>
  <c r="K4390" i="1" a="1"/>
  <c r="K4390" i="1" s="1"/>
  <c r="O4390" i="1" s="1"/>
  <c r="K4391" i="1" a="1"/>
  <c r="K4391" i="1" s="1"/>
  <c r="O4391" i="1" s="1"/>
  <c r="K4392" i="1" a="1"/>
  <c r="K4392" i="1" s="1"/>
  <c r="O4392" i="1" s="1"/>
  <c r="K4393" i="1" a="1"/>
  <c r="K4393" i="1" s="1"/>
  <c r="O4393" i="1" s="1"/>
  <c r="K4394" i="1" a="1"/>
  <c r="K4394" i="1" s="1"/>
  <c r="O4394" i="1" s="1"/>
  <c r="K4395" i="1" a="1"/>
  <c r="K4395" i="1" s="1"/>
  <c r="O4395" i="1" s="1"/>
  <c r="K4396" i="1" a="1"/>
  <c r="K4396" i="1" s="1"/>
  <c r="O4396" i="1" s="1"/>
  <c r="K4397" i="1" a="1"/>
  <c r="K4397" i="1" s="1"/>
  <c r="O4397" i="1" s="1"/>
  <c r="K4398" i="1" a="1"/>
  <c r="K4398" i="1" s="1"/>
  <c r="O4398" i="1" s="1"/>
  <c r="K4399" i="1" a="1"/>
  <c r="K4399" i="1" s="1"/>
  <c r="O4399" i="1" s="1"/>
  <c r="K4400" i="1" a="1"/>
  <c r="K4400" i="1" s="1"/>
  <c r="O4400" i="1" s="1"/>
  <c r="K4401" i="1" a="1"/>
  <c r="K4401" i="1" s="1"/>
  <c r="O4401" i="1" s="1"/>
  <c r="K4402" i="1" a="1"/>
  <c r="K4402" i="1" s="1"/>
  <c r="O4402" i="1" s="1"/>
  <c r="K4403" i="1" a="1"/>
  <c r="K4403" i="1" s="1"/>
  <c r="O4403" i="1" s="1"/>
  <c r="K4404" i="1" a="1"/>
  <c r="K4404" i="1" s="1"/>
  <c r="O4404" i="1" s="1"/>
  <c r="K4405" i="1" a="1"/>
  <c r="K4405" i="1" s="1"/>
  <c r="O4405" i="1" s="1"/>
  <c r="K4406" i="1" a="1"/>
  <c r="K4406" i="1" s="1"/>
  <c r="O4406" i="1" s="1"/>
  <c r="K4407" i="1" a="1"/>
  <c r="K4407" i="1" s="1"/>
  <c r="O4407" i="1" s="1"/>
  <c r="K4408" i="1" a="1"/>
  <c r="K4408" i="1" s="1"/>
  <c r="O4408" i="1" s="1"/>
  <c r="K4409" i="1" a="1"/>
  <c r="K4409" i="1" s="1"/>
  <c r="O4409" i="1" s="1"/>
  <c r="K4410" i="1" a="1"/>
  <c r="K4410" i="1" s="1"/>
  <c r="O4410" i="1" s="1"/>
  <c r="K4411" i="1" a="1"/>
  <c r="K4411" i="1" s="1"/>
  <c r="O4411" i="1" s="1"/>
  <c r="K4412" i="1" a="1"/>
  <c r="K4412" i="1" s="1"/>
  <c r="O4412" i="1" s="1"/>
  <c r="K4413" i="1" a="1"/>
  <c r="K4413" i="1" s="1"/>
  <c r="O4413" i="1" s="1"/>
  <c r="K4414" i="1" a="1"/>
  <c r="K4414" i="1" s="1"/>
  <c r="O4414" i="1" s="1"/>
  <c r="K4415" i="1" a="1"/>
  <c r="K4415" i="1" s="1"/>
  <c r="O4415" i="1" s="1"/>
  <c r="K4416" i="1" a="1"/>
  <c r="K4416" i="1" s="1"/>
  <c r="M4416" i="1" s="1"/>
  <c r="K4417" i="1" a="1"/>
  <c r="K4417" i="1"/>
  <c r="O4417" i="1" s="1"/>
  <c r="K4418" i="1" a="1"/>
  <c r="K4418" i="1" s="1"/>
  <c r="O4418" i="1" s="1"/>
  <c r="K4419" i="1" a="1"/>
  <c r="K4419" i="1" s="1"/>
  <c r="O4419" i="1" s="1"/>
  <c r="K4420" i="1" a="1"/>
  <c r="K4420" i="1" s="1"/>
  <c r="O4420" i="1" s="1"/>
  <c r="K4421" i="1" a="1"/>
  <c r="K4421" i="1" s="1"/>
  <c r="O4421" i="1" s="1"/>
  <c r="K4422" i="1" a="1"/>
  <c r="K4422" i="1" s="1"/>
  <c r="O4422" i="1" s="1"/>
  <c r="K4423" i="1" a="1"/>
  <c r="K4423" i="1" s="1"/>
  <c r="M4423" i="1" s="1"/>
  <c r="K4424" i="1" a="1"/>
  <c r="K4424" i="1" s="1"/>
  <c r="K4425" i="1" a="1"/>
  <c r="K4425" i="1" s="1"/>
  <c r="O4425" i="1" s="1"/>
  <c r="K4426" i="1" a="1"/>
  <c r="K4426" i="1" s="1"/>
  <c r="O4426" i="1" s="1"/>
  <c r="K4427" i="1" a="1"/>
  <c r="K4427" i="1" s="1"/>
  <c r="O4427" i="1" s="1"/>
  <c r="K4428" i="1" a="1"/>
  <c r="K4428" i="1" s="1"/>
  <c r="O4428" i="1" s="1"/>
  <c r="K4429" i="1" a="1"/>
  <c r="K4429" i="1" s="1"/>
  <c r="O4429" i="1" s="1"/>
  <c r="K4430" i="1" a="1"/>
  <c r="K4430" i="1" s="1"/>
  <c r="O4430" i="1" s="1"/>
  <c r="K4431" i="1" a="1"/>
  <c r="K4431" i="1" s="1"/>
  <c r="O4431" i="1" s="1"/>
  <c r="K4432" i="1" a="1"/>
  <c r="K4432" i="1"/>
  <c r="O4432" i="1" s="1"/>
  <c r="K4433" i="1" a="1"/>
  <c r="K4433" i="1" s="1"/>
  <c r="O4433" i="1" s="1"/>
  <c r="K4434" i="1" a="1"/>
  <c r="K4434" i="1" s="1"/>
  <c r="O4434" i="1" s="1"/>
  <c r="K4435" i="1" a="1"/>
  <c r="K4435" i="1" s="1"/>
  <c r="O4435" i="1" s="1"/>
  <c r="K4436" i="1" a="1"/>
  <c r="K4436" i="1" s="1"/>
  <c r="O4436" i="1" s="1"/>
  <c r="K4437" i="1" a="1"/>
  <c r="K4437" i="1" s="1"/>
  <c r="O4437" i="1" s="1"/>
  <c r="K4438" i="1" a="1"/>
  <c r="K4438" i="1" s="1"/>
  <c r="O4438" i="1" s="1"/>
  <c r="K4439" i="1" a="1"/>
  <c r="K4439" i="1" s="1"/>
  <c r="O4439" i="1" s="1"/>
  <c r="K4440" i="1" a="1"/>
  <c r="K4440" i="1" s="1"/>
  <c r="O4440" i="1" s="1"/>
  <c r="K4441" i="1" a="1"/>
  <c r="K4441" i="1" s="1"/>
  <c r="O4441" i="1" s="1"/>
  <c r="K4442" i="1" a="1"/>
  <c r="K4442" i="1" s="1"/>
  <c r="O4442" i="1" s="1"/>
  <c r="K4443" i="1" a="1"/>
  <c r="K4443" i="1" s="1"/>
  <c r="K4444" i="1" a="1"/>
  <c r="K4444" i="1" s="1"/>
  <c r="O4444" i="1" s="1"/>
  <c r="K4445" i="1" a="1"/>
  <c r="K4445" i="1" s="1"/>
  <c r="O4445" i="1" s="1"/>
  <c r="K4446" i="1" a="1"/>
  <c r="K4446" i="1" s="1"/>
  <c r="O4446" i="1" s="1"/>
  <c r="K4447" i="1" a="1"/>
  <c r="K4447" i="1" s="1"/>
  <c r="O4447" i="1" s="1"/>
  <c r="K4448" i="1" a="1"/>
  <c r="K4448" i="1" s="1"/>
  <c r="O4448" i="1" s="1"/>
  <c r="K4449" i="1" a="1"/>
  <c r="K4449" i="1"/>
  <c r="O4449" i="1" s="1"/>
  <c r="K4450" i="1" a="1"/>
  <c r="K4450" i="1" s="1"/>
  <c r="O4450" i="1" s="1"/>
  <c r="K4451" i="1" a="1"/>
  <c r="K4451" i="1" s="1"/>
  <c r="O4451" i="1" s="1"/>
  <c r="K4452" i="1" a="1"/>
  <c r="K4452" i="1" s="1"/>
  <c r="O4452" i="1" s="1"/>
  <c r="K4453" i="1" a="1"/>
  <c r="K4453" i="1" s="1"/>
  <c r="O4453" i="1" s="1"/>
  <c r="K4454" i="1" a="1"/>
  <c r="K4454" i="1" s="1"/>
  <c r="O4454" i="1" s="1"/>
  <c r="K4455" i="1" a="1"/>
  <c r="K4455" i="1" s="1"/>
  <c r="O4455" i="1" s="1"/>
  <c r="K4456" i="1" a="1"/>
  <c r="K4456" i="1" s="1"/>
  <c r="O4456" i="1" s="1"/>
  <c r="K4457" i="1" a="1"/>
  <c r="K4457" i="1" s="1"/>
  <c r="O4457" i="1" s="1"/>
  <c r="K4458" i="1" a="1"/>
  <c r="K4458" i="1" s="1"/>
  <c r="O4458" i="1" s="1"/>
  <c r="K4459" i="1" a="1"/>
  <c r="K4459" i="1" s="1"/>
  <c r="O4459" i="1" s="1"/>
  <c r="K4460" i="1" a="1"/>
  <c r="K4460" i="1" s="1"/>
  <c r="O4460" i="1" s="1"/>
  <c r="K4461" i="1" a="1"/>
  <c r="K4461" i="1" s="1"/>
  <c r="O4461" i="1" s="1"/>
  <c r="K4462" i="1" a="1"/>
  <c r="K4462" i="1" s="1"/>
  <c r="O4462" i="1" s="1"/>
  <c r="K4463" i="1" a="1"/>
  <c r="K4463" i="1" s="1"/>
  <c r="O4463" i="1" s="1"/>
  <c r="K4464" i="1" a="1"/>
  <c r="K4464" i="1" s="1"/>
  <c r="O4464" i="1" s="1"/>
  <c r="K4465" i="1" a="1"/>
  <c r="K4465" i="1" s="1"/>
  <c r="O4465" i="1" s="1"/>
  <c r="K4466" i="1" a="1"/>
  <c r="K4466" i="1" s="1"/>
  <c r="O4466" i="1" s="1"/>
  <c r="K4467" i="1" a="1"/>
  <c r="K4467" i="1" s="1"/>
  <c r="O4467" i="1" s="1"/>
  <c r="K4468" i="1" a="1"/>
  <c r="K4468" i="1"/>
  <c r="O4468" i="1" s="1"/>
  <c r="K4469" i="1" a="1"/>
  <c r="K4469" i="1" s="1"/>
  <c r="O4469" i="1" s="1"/>
  <c r="K4470" i="1" a="1"/>
  <c r="K4470" i="1" s="1"/>
  <c r="O4470" i="1" s="1"/>
  <c r="K4471" i="1" a="1"/>
  <c r="K4471" i="1" s="1"/>
  <c r="O4471" i="1" s="1"/>
  <c r="K4472" i="1" a="1"/>
  <c r="K4472" i="1" s="1"/>
  <c r="O4472" i="1" s="1"/>
  <c r="K4473" i="1" a="1"/>
  <c r="K4473" i="1" s="1"/>
  <c r="O4473" i="1" s="1"/>
  <c r="K4474" i="1" a="1"/>
  <c r="K4474" i="1" s="1"/>
  <c r="O4474" i="1" s="1"/>
  <c r="K4475" i="1" a="1"/>
  <c r="K4475" i="1" s="1"/>
  <c r="O4475" i="1" s="1"/>
  <c r="K4476" i="1" a="1"/>
  <c r="K4476" i="1" s="1"/>
  <c r="O4476" i="1" s="1"/>
  <c r="K4477" i="1" a="1"/>
  <c r="K4477" i="1" s="1"/>
  <c r="O4477" i="1" s="1"/>
  <c r="K4478" i="1" a="1"/>
  <c r="K4478" i="1" s="1"/>
  <c r="O4478" i="1" s="1"/>
  <c r="K4479" i="1" a="1"/>
  <c r="K4479" i="1" s="1"/>
  <c r="O4479" i="1" s="1"/>
  <c r="K4480" i="1" a="1"/>
  <c r="K4480" i="1" s="1"/>
  <c r="O4480" i="1" s="1"/>
  <c r="K4481" i="1" a="1"/>
  <c r="K4481" i="1" s="1"/>
  <c r="O4481" i="1" s="1"/>
  <c r="K4482" i="1" a="1"/>
  <c r="K4482" i="1" s="1"/>
  <c r="O4482" i="1" s="1"/>
  <c r="K4483" i="1" a="1"/>
  <c r="K4483" i="1" s="1"/>
  <c r="O4483" i="1" s="1"/>
  <c r="K4484" i="1" a="1"/>
  <c r="K4484" i="1" s="1"/>
  <c r="O4484" i="1" s="1"/>
  <c r="K4485" i="1" a="1"/>
  <c r="K4485" i="1" s="1"/>
  <c r="O4485" i="1" s="1"/>
  <c r="K4486" i="1" a="1"/>
  <c r="K4486" i="1" s="1"/>
  <c r="O4486" i="1" s="1"/>
  <c r="K4487" i="1" a="1"/>
  <c r="K4487" i="1" s="1"/>
  <c r="O4487" i="1" s="1"/>
  <c r="K4488" i="1" a="1"/>
  <c r="K4488" i="1" s="1"/>
  <c r="O4488" i="1" s="1"/>
  <c r="K4489" i="1" a="1"/>
  <c r="K4489" i="1" s="1"/>
  <c r="O4489" i="1" s="1"/>
  <c r="K4490" i="1" a="1"/>
  <c r="K4490" i="1" s="1"/>
  <c r="O4490" i="1" s="1"/>
  <c r="K4491" i="1" a="1"/>
  <c r="K4491" i="1" s="1"/>
  <c r="O4491" i="1" s="1"/>
  <c r="K4492" i="1" a="1"/>
  <c r="K4492" i="1" s="1"/>
  <c r="O4492" i="1" s="1"/>
  <c r="K4493" i="1" a="1"/>
  <c r="K4493" i="1" s="1"/>
  <c r="O4493" i="1" s="1"/>
  <c r="K4494" i="1" a="1"/>
  <c r="K4494" i="1" s="1"/>
  <c r="K4495" i="1" a="1"/>
  <c r="K4495" i="1" s="1"/>
  <c r="O4495" i="1" s="1"/>
  <c r="K4496" i="1" a="1"/>
  <c r="K4496" i="1" s="1"/>
  <c r="K4497" i="1" a="1"/>
  <c r="K4497" i="1" s="1"/>
  <c r="O4497" i="1" s="1"/>
  <c r="K4498" i="1" a="1"/>
  <c r="K4498" i="1"/>
  <c r="O4498" i="1" s="1"/>
  <c r="K4499" i="1" a="1"/>
  <c r="K4499" i="1" s="1"/>
  <c r="K4500" i="1" a="1"/>
  <c r="K4500" i="1" s="1"/>
  <c r="O4500" i="1" s="1"/>
  <c r="K4501" i="1" a="1"/>
  <c r="K4501" i="1" s="1"/>
  <c r="O4501" i="1" s="1"/>
  <c r="K4502" i="1" a="1"/>
  <c r="K4502" i="1" s="1"/>
  <c r="O4502" i="1" s="1"/>
  <c r="K4503" i="1" a="1"/>
  <c r="K4503" i="1" s="1"/>
  <c r="O4503" i="1" s="1"/>
  <c r="K4504" i="1" a="1"/>
  <c r="K4504" i="1" s="1"/>
  <c r="O4504" i="1" s="1"/>
  <c r="K4505" i="1" a="1"/>
  <c r="K4505" i="1" s="1"/>
  <c r="O4505" i="1" s="1"/>
  <c r="K4506" i="1" a="1"/>
  <c r="K4506" i="1" s="1"/>
  <c r="O4506" i="1" s="1"/>
  <c r="K4507" i="1" a="1"/>
  <c r="K4507" i="1" s="1"/>
  <c r="M4507" i="1" s="1"/>
  <c r="K4508" i="1" a="1"/>
  <c r="K4508" i="1" s="1"/>
  <c r="O4508" i="1" s="1"/>
  <c r="K4509" i="1" a="1"/>
  <c r="K4509" i="1" s="1"/>
  <c r="O4509" i="1" s="1"/>
  <c r="K4510" i="1" a="1"/>
  <c r="K4510" i="1" s="1"/>
  <c r="O4510" i="1" s="1"/>
  <c r="K4511" i="1" a="1"/>
  <c r="K4511" i="1"/>
  <c r="O4511" i="1" s="1"/>
  <c r="K4512" i="1" a="1"/>
  <c r="K4512" i="1" s="1"/>
  <c r="O4512" i="1" s="1"/>
  <c r="K4513" i="1" a="1"/>
  <c r="K4513" i="1" s="1"/>
  <c r="O4513" i="1" s="1"/>
  <c r="K4514" i="1" a="1"/>
  <c r="K4514" i="1" s="1"/>
  <c r="O4514" i="1" s="1"/>
  <c r="K4515" i="1" a="1"/>
  <c r="K4515" i="1" s="1"/>
  <c r="O4515" i="1" s="1"/>
  <c r="K4516" i="1" a="1"/>
  <c r="K4516" i="1" s="1"/>
  <c r="O4516" i="1" s="1"/>
  <c r="K4517" i="1" a="1"/>
  <c r="K4517" i="1" s="1"/>
  <c r="O4517" i="1" s="1"/>
  <c r="K4518" i="1" a="1"/>
  <c r="K4518" i="1" s="1"/>
  <c r="O4518" i="1" s="1"/>
  <c r="K4519" i="1" a="1"/>
  <c r="K4519" i="1" s="1"/>
  <c r="K4520" i="1" a="1"/>
  <c r="K4520" i="1" s="1"/>
  <c r="O4520" i="1" s="1"/>
  <c r="K4521" i="1" a="1"/>
  <c r="K4521" i="1" s="1"/>
  <c r="O4521" i="1" s="1"/>
  <c r="K4522" i="1" a="1"/>
  <c r="K4522" i="1" s="1"/>
  <c r="O4522" i="1" s="1"/>
  <c r="K4523" i="1" a="1"/>
  <c r="K4523" i="1" s="1"/>
  <c r="O4523" i="1" s="1"/>
  <c r="K4524" i="1" a="1"/>
  <c r="K4524" i="1" s="1"/>
  <c r="O4524" i="1" s="1"/>
  <c r="K4525" i="1" a="1"/>
  <c r="K4525" i="1" s="1"/>
  <c r="O4525" i="1" s="1"/>
  <c r="K4526" i="1" a="1"/>
  <c r="K4526" i="1" s="1"/>
  <c r="O4526" i="1" s="1"/>
  <c r="K4527" i="1" a="1"/>
  <c r="K4527" i="1" s="1"/>
  <c r="K4528" i="1" a="1"/>
  <c r="K4528" i="1" s="1"/>
  <c r="K4529" i="1" a="1"/>
  <c r="K4529" i="1" s="1"/>
  <c r="O4529" i="1" s="1"/>
  <c r="K4530" i="1" a="1"/>
  <c r="K4530" i="1"/>
  <c r="O4530" i="1" s="1"/>
  <c r="K4531" i="1" a="1"/>
  <c r="K4531" i="1" s="1"/>
  <c r="O4531" i="1" s="1"/>
  <c r="K4532" i="1" a="1"/>
  <c r="K4532" i="1" s="1"/>
  <c r="O4532" i="1" s="1"/>
  <c r="K4533" i="1" a="1"/>
  <c r="K4533" i="1" s="1"/>
  <c r="O4533" i="1" s="1"/>
  <c r="K4534" i="1" a="1"/>
  <c r="K4534" i="1" s="1"/>
  <c r="O4534" i="1" s="1"/>
  <c r="K4535" i="1" a="1"/>
  <c r="K4535" i="1" s="1"/>
  <c r="O4535" i="1" s="1"/>
  <c r="K4536" i="1" a="1"/>
  <c r="K4536" i="1" s="1"/>
  <c r="O4536" i="1" s="1"/>
  <c r="K4537" i="1" a="1"/>
  <c r="K4537" i="1" s="1"/>
  <c r="O4537" i="1" s="1"/>
  <c r="K4538" i="1" a="1"/>
  <c r="K4538" i="1" s="1"/>
  <c r="O4538" i="1" s="1"/>
  <c r="K4539" i="1" a="1"/>
  <c r="K4539" i="1" s="1"/>
  <c r="O4539" i="1" s="1"/>
  <c r="K4540" i="1" a="1"/>
  <c r="K4540" i="1" s="1"/>
  <c r="O4540" i="1" s="1"/>
  <c r="K4541" i="1" a="1"/>
  <c r="K4541" i="1" s="1"/>
  <c r="O4541" i="1" s="1"/>
  <c r="K4542" i="1" a="1"/>
  <c r="K4542" i="1" s="1"/>
  <c r="O4542" i="1" s="1"/>
  <c r="K4543" i="1" a="1"/>
  <c r="K4543" i="1" s="1"/>
  <c r="O4543" i="1" s="1"/>
  <c r="K4544" i="1" a="1"/>
  <c r="K4544" i="1" s="1"/>
  <c r="O4544" i="1" s="1"/>
  <c r="K4545" i="1" a="1"/>
  <c r="K4545" i="1" s="1"/>
  <c r="O4545" i="1" s="1"/>
  <c r="K4546" i="1" a="1"/>
  <c r="K4546" i="1" s="1"/>
  <c r="O4546" i="1" s="1"/>
  <c r="K4547" i="1" a="1"/>
  <c r="K4547" i="1" s="1"/>
  <c r="O4547" i="1" s="1"/>
  <c r="K4548" i="1" a="1"/>
  <c r="K4548" i="1" s="1"/>
  <c r="O4548" i="1" s="1"/>
  <c r="K4549" i="1" a="1"/>
  <c r="K4549" i="1" s="1"/>
  <c r="O4549" i="1" s="1"/>
  <c r="K4550" i="1" a="1"/>
  <c r="K4550" i="1" s="1"/>
  <c r="O4550" i="1" s="1"/>
  <c r="K4551" i="1" a="1"/>
  <c r="K4551" i="1" s="1"/>
  <c r="O4551" i="1" s="1"/>
  <c r="K4552" i="1" a="1"/>
  <c r="K4552" i="1" s="1"/>
  <c r="O4552" i="1" s="1"/>
  <c r="K4553" i="1" a="1"/>
  <c r="K4553" i="1" s="1"/>
  <c r="O4553" i="1" s="1"/>
  <c r="K4554" i="1" a="1"/>
  <c r="K4554" i="1" s="1"/>
  <c r="O4554" i="1" s="1"/>
  <c r="K4555" i="1" a="1"/>
  <c r="K4555" i="1" s="1"/>
  <c r="O4555" i="1" s="1"/>
  <c r="K4556" i="1" a="1"/>
  <c r="K4556" i="1" s="1"/>
  <c r="O4556" i="1" s="1"/>
  <c r="K4557" i="1" a="1"/>
  <c r="K4557" i="1" s="1"/>
  <c r="O4557" i="1" s="1"/>
  <c r="K4558" i="1" a="1"/>
  <c r="K4558" i="1" s="1"/>
  <c r="O4558" i="1" s="1"/>
  <c r="K4559" i="1" a="1"/>
  <c r="K4559" i="1" s="1"/>
  <c r="O4559" i="1" s="1"/>
  <c r="K4560" i="1" a="1"/>
  <c r="K4560" i="1" s="1"/>
  <c r="O4560" i="1" s="1"/>
  <c r="K4561" i="1" a="1"/>
  <c r="K4561" i="1" s="1"/>
  <c r="O4561" i="1" s="1"/>
  <c r="K4562" i="1" a="1"/>
  <c r="K4562" i="1" s="1"/>
  <c r="O4562" i="1" s="1"/>
  <c r="K4563" i="1" a="1"/>
  <c r="K4563" i="1" s="1"/>
  <c r="O4563" i="1" s="1"/>
  <c r="K4564" i="1" a="1"/>
  <c r="K4564" i="1" s="1"/>
  <c r="O4564" i="1" s="1"/>
  <c r="K4565" i="1" a="1"/>
  <c r="K4565" i="1" s="1"/>
  <c r="O4565" i="1" s="1"/>
  <c r="K4566" i="1" a="1"/>
  <c r="K4566" i="1" s="1"/>
  <c r="O4566" i="1" s="1"/>
  <c r="K4567" i="1" a="1"/>
  <c r="K4567" i="1" s="1"/>
  <c r="O4567" i="1" s="1"/>
  <c r="K4568" i="1" a="1"/>
  <c r="K4568" i="1" s="1"/>
  <c r="O4568" i="1" s="1"/>
  <c r="K4569" i="1" a="1"/>
  <c r="K4569" i="1" s="1"/>
  <c r="O4569" i="1" s="1"/>
  <c r="K4570" i="1" a="1"/>
  <c r="K4570" i="1" s="1"/>
  <c r="O4570" i="1" s="1"/>
  <c r="K4571" i="1" a="1"/>
  <c r="K4571" i="1" s="1"/>
  <c r="O4571" i="1" s="1"/>
  <c r="K4572" i="1" a="1"/>
  <c r="K4572" i="1" s="1"/>
  <c r="O4572" i="1" s="1"/>
  <c r="K4573" i="1" a="1"/>
  <c r="K4573" i="1"/>
  <c r="O4573" i="1" s="1"/>
  <c r="K4574" i="1" a="1"/>
  <c r="K4574" i="1" s="1"/>
  <c r="O4574" i="1" s="1"/>
  <c r="K4575" i="1" a="1"/>
  <c r="K4575" i="1" s="1"/>
  <c r="O4575" i="1" s="1"/>
  <c r="K4576" i="1" a="1"/>
  <c r="K4576" i="1" s="1"/>
  <c r="O4576" i="1" s="1"/>
  <c r="K4577" i="1" a="1"/>
  <c r="K4577" i="1" s="1"/>
  <c r="O4577" i="1" s="1"/>
  <c r="K4578" i="1" a="1"/>
  <c r="K4578" i="1" s="1"/>
  <c r="O4578" i="1" s="1"/>
  <c r="K4579" i="1" a="1"/>
  <c r="K4579" i="1" s="1"/>
  <c r="O4579" i="1" s="1"/>
  <c r="K4580" i="1" a="1"/>
  <c r="K4580" i="1" s="1"/>
  <c r="O4580" i="1" s="1"/>
  <c r="K4581" i="1" a="1"/>
  <c r="K4581" i="1" s="1"/>
  <c r="O4581" i="1" s="1"/>
  <c r="K4582" i="1" a="1"/>
  <c r="K4582" i="1" s="1"/>
  <c r="O4582" i="1" s="1"/>
  <c r="K4583" i="1" a="1"/>
  <c r="K4583" i="1" s="1"/>
  <c r="O4583" i="1" s="1"/>
  <c r="K4584" i="1" a="1"/>
  <c r="K4584" i="1" s="1"/>
  <c r="O4584" i="1" s="1"/>
  <c r="K4585" i="1" a="1"/>
  <c r="K4585" i="1" s="1"/>
  <c r="O4585" i="1" s="1"/>
  <c r="K4586" i="1" a="1"/>
  <c r="K4586" i="1" s="1"/>
  <c r="O4586" i="1" s="1"/>
  <c r="K4587" i="1" a="1"/>
  <c r="K4587" i="1" s="1"/>
  <c r="O4587" i="1" s="1"/>
  <c r="K4588" i="1" a="1"/>
  <c r="K4588" i="1" s="1"/>
  <c r="O4588" i="1" s="1"/>
  <c r="K4589" i="1" a="1"/>
  <c r="K4589" i="1" s="1"/>
  <c r="O4589" i="1" s="1"/>
  <c r="K4590" i="1" a="1"/>
  <c r="K4590" i="1" s="1"/>
  <c r="K4591" i="1" a="1"/>
  <c r="K4591" i="1"/>
  <c r="O4591" i="1" s="1"/>
  <c r="K4592" i="1" a="1"/>
  <c r="K4592" i="1" s="1"/>
  <c r="O4592" i="1" s="1"/>
  <c r="K4593" i="1" a="1"/>
  <c r="K4593" i="1" s="1"/>
  <c r="O4593" i="1" s="1"/>
  <c r="K4594" i="1" a="1"/>
  <c r="K4594" i="1" s="1"/>
  <c r="O4594" i="1" s="1"/>
  <c r="K4595" i="1" a="1"/>
  <c r="K4595" i="1" s="1"/>
  <c r="O4595" i="1" s="1"/>
  <c r="K4596" i="1" a="1"/>
  <c r="K4596" i="1" s="1"/>
  <c r="O4596" i="1" s="1"/>
  <c r="K4597" i="1" a="1"/>
  <c r="K4597" i="1"/>
  <c r="O4597" i="1" s="1"/>
  <c r="K4598" i="1" a="1"/>
  <c r="K4598" i="1" s="1"/>
  <c r="O4598" i="1" s="1"/>
  <c r="K4599" i="1" a="1"/>
  <c r="K4599" i="1" s="1"/>
  <c r="O4599" i="1" s="1"/>
  <c r="K4600" i="1" a="1"/>
  <c r="K4600" i="1" s="1"/>
  <c r="O4600" i="1" s="1"/>
  <c r="K4601" i="1" a="1"/>
  <c r="K4601" i="1" s="1"/>
  <c r="O4601" i="1" s="1"/>
  <c r="K4602" i="1" a="1"/>
  <c r="K4602" i="1" s="1"/>
  <c r="O4602" i="1" s="1"/>
  <c r="K4603" i="1" a="1"/>
  <c r="K4603" i="1" s="1"/>
  <c r="O4603" i="1" s="1"/>
  <c r="K4604" i="1" a="1"/>
  <c r="K4604" i="1" s="1"/>
  <c r="O4604" i="1" s="1"/>
  <c r="K4605" i="1" a="1"/>
  <c r="K4605" i="1" s="1"/>
  <c r="O4605" i="1" s="1"/>
  <c r="K4606" i="1" a="1"/>
  <c r="K4606" i="1"/>
  <c r="O4606" i="1" s="1"/>
  <c r="K4607" i="1" a="1"/>
  <c r="K4607" i="1" s="1"/>
  <c r="O4607" i="1" s="1"/>
  <c r="K4608" i="1" a="1"/>
  <c r="K4608" i="1" s="1"/>
  <c r="O4608" i="1" s="1"/>
  <c r="K4609" i="1" a="1"/>
  <c r="K4609" i="1" s="1"/>
  <c r="O4609" i="1" s="1"/>
  <c r="K4610" i="1" a="1"/>
  <c r="K4610" i="1" s="1"/>
  <c r="O4610" i="1" s="1"/>
  <c r="K4611" i="1" a="1"/>
  <c r="K4611" i="1" s="1"/>
  <c r="O4611" i="1" s="1"/>
  <c r="K4612" i="1" a="1"/>
  <c r="K4612" i="1" s="1"/>
  <c r="O4612" i="1" s="1"/>
  <c r="K4613" i="1" a="1"/>
  <c r="K4613" i="1" s="1"/>
  <c r="O4613" i="1" s="1"/>
  <c r="K4614" i="1" a="1"/>
  <c r="K4614" i="1" s="1"/>
  <c r="O4614" i="1" s="1"/>
  <c r="K4615" i="1" a="1"/>
  <c r="K4615" i="1" s="1"/>
  <c r="O4615" i="1" s="1"/>
  <c r="K4616" i="1" a="1"/>
  <c r="K4616" i="1" s="1"/>
  <c r="O4616" i="1" s="1"/>
  <c r="K4617" i="1" a="1"/>
  <c r="K4617" i="1" s="1"/>
  <c r="O4617" i="1" s="1"/>
  <c r="K4618" i="1" a="1"/>
  <c r="K4618" i="1" s="1"/>
  <c r="O4618" i="1" s="1"/>
  <c r="K4619" i="1" a="1"/>
  <c r="K4619" i="1" s="1"/>
  <c r="O4619" i="1" s="1"/>
  <c r="K4620" i="1" a="1"/>
  <c r="K4620" i="1" s="1"/>
  <c r="O4620" i="1" s="1"/>
  <c r="K4621" i="1" a="1"/>
  <c r="K4621" i="1" s="1"/>
  <c r="O4621" i="1" s="1"/>
  <c r="K4622" i="1" a="1"/>
  <c r="K4622" i="1" s="1"/>
  <c r="O4622" i="1" s="1"/>
  <c r="K4623" i="1" a="1"/>
  <c r="K4623" i="1" s="1"/>
  <c r="O4623" i="1" s="1"/>
  <c r="K4624" i="1" a="1"/>
  <c r="K4624" i="1" s="1"/>
  <c r="O4624" i="1" s="1"/>
  <c r="K4625" i="1" a="1"/>
  <c r="K4625" i="1" s="1"/>
  <c r="O4625" i="1" s="1"/>
  <c r="K4626" i="1" a="1"/>
  <c r="K4626" i="1" s="1"/>
  <c r="O4626" i="1" s="1"/>
  <c r="K4627" i="1" a="1"/>
  <c r="K4627" i="1" s="1"/>
  <c r="O4627" i="1" s="1"/>
  <c r="K4628" i="1" a="1"/>
  <c r="K4628" i="1" s="1"/>
  <c r="O4628" i="1" s="1"/>
  <c r="K4629" i="1" a="1"/>
  <c r="K4629" i="1"/>
  <c r="O4629" i="1" s="1"/>
  <c r="K4630" i="1" a="1"/>
  <c r="K4630" i="1" s="1"/>
  <c r="O4630" i="1" s="1"/>
  <c r="K4631" i="1" a="1"/>
  <c r="K4631" i="1" s="1"/>
  <c r="O4631" i="1" s="1"/>
  <c r="K4632" i="1" a="1"/>
  <c r="K4632" i="1" s="1"/>
  <c r="K4633" i="1" a="1"/>
  <c r="K4633" i="1" s="1"/>
  <c r="O4633" i="1" s="1"/>
  <c r="K4634" i="1" a="1"/>
  <c r="K4634" i="1" s="1"/>
  <c r="O4634" i="1" s="1"/>
  <c r="K4635" i="1" a="1"/>
  <c r="K4635" i="1" s="1"/>
  <c r="O4635" i="1" s="1"/>
  <c r="K4636" i="1" a="1"/>
  <c r="K4636" i="1" s="1"/>
  <c r="O4636" i="1" s="1"/>
  <c r="K4637" i="1" a="1"/>
  <c r="K4637" i="1" s="1"/>
  <c r="O4637" i="1" s="1"/>
  <c r="K4638" i="1" a="1"/>
  <c r="K4638" i="1" s="1"/>
  <c r="O4638" i="1" s="1"/>
  <c r="K4639" i="1" a="1"/>
  <c r="K4639" i="1" s="1"/>
  <c r="O4639" i="1" s="1"/>
  <c r="K4640" i="1" a="1"/>
  <c r="K4640" i="1" s="1"/>
  <c r="O4640" i="1" s="1"/>
  <c r="K4641" i="1" a="1"/>
  <c r="K4641" i="1" s="1"/>
  <c r="O4641" i="1" s="1"/>
  <c r="K4642" i="1" a="1"/>
  <c r="K4642" i="1" s="1"/>
  <c r="O4642" i="1" s="1"/>
  <c r="K4643" i="1" a="1"/>
  <c r="K4643" i="1"/>
  <c r="O4643" i="1" s="1"/>
  <c r="K4644" i="1" a="1"/>
  <c r="K4644" i="1" s="1"/>
  <c r="O4644" i="1" s="1"/>
  <c r="K4645" i="1" a="1"/>
  <c r="K4645" i="1" s="1"/>
  <c r="K4646" i="1" a="1"/>
  <c r="K4646" i="1" s="1"/>
  <c r="O4646" i="1" s="1"/>
  <c r="K4647" i="1" a="1"/>
  <c r="K4647" i="1" s="1"/>
  <c r="O4647" i="1" s="1"/>
  <c r="K4648" i="1" a="1"/>
  <c r="K4648" i="1" s="1"/>
  <c r="O4648" i="1" s="1"/>
  <c r="K4649" i="1" a="1"/>
  <c r="K4649" i="1" s="1"/>
  <c r="O4649" i="1" s="1"/>
  <c r="K4650" i="1" a="1"/>
  <c r="K4650" i="1"/>
  <c r="O4650" i="1" s="1"/>
  <c r="K4651" i="1" a="1"/>
  <c r="K4651" i="1" s="1"/>
  <c r="O4651" i="1" s="1"/>
  <c r="K4652" i="1" a="1"/>
  <c r="K4652" i="1" s="1"/>
  <c r="O4652" i="1" s="1"/>
  <c r="K4653" i="1" a="1"/>
  <c r="K4653" i="1" s="1"/>
  <c r="O4653" i="1" s="1"/>
  <c r="K4654" i="1" a="1"/>
  <c r="K4654" i="1" s="1"/>
  <c r="O4654" i="1" s="1"/>
  <c r="K4655" i="1" a="1"/>
  <c r="K4655" i="1" s="1"/>
  <c r="O4655" i="1" s="1"/>
  <c r="K4656" i="1" a="1"/>
  <c r="K4656" i="1" s="1"/>
  <c r="O4656" i="1" s="1"/>
  <c r="K4657" i="1" a="1"/>
  <c r="K4657" i="1" s="1"/>
  <c r="O4657" i="1" s="1"/>
  <c r="K4658" i="1" a="1"/>
  <c r="K4658" i="1" s="1"/>
  <c r="O4658" i="1" s="1"/>
  <c r="K4659" i="1" a="1"/>
  <c r="K4659" i="1" s="1"/>
  <c r="O4659" i="1" s="1"/>
  <c r="K4660" i="1" a="1"/>
  <c r="K4660" i="1" s="1"/>
  <c r="O4660" i="1" s="1"/>
  <c r="K4661" i="1" a="1"/>
  <c r="K4661" i="1" s="1"/>
  <c r="O4661" i="1" s="1"/>
  <c r="K4662" i="1" a="1"/>
  <c r="K4662" i="1" s="1"/>
  <c r="K4663" i="1" a="1"/>
  <c r="K4663" i="1" s="1"/>
  <c r="O4663" i="1" s="1"/>
  <c r="K4664" i="1" a="1"/>
  <c r="K4664" i="1" s="1"/>
  <c r="O4664" i="1" s="1"/>
  <c r="K4665" i="1" a="1"/>
  <c r="K4665" i="1" s="1"/>
  <c r="K4666" i="1" a="1"/>
  <c r="K4666" i="1" s="1"/>
  <c r="O4666" i="1" s="1"/>
  <c r="K4667" i="1" a="1"/>
  <c r="K4667" i="1" s="1"/>
  <c r="O4667" i="1" s="1"/>
  <c r="K4668" i="1" a="1"/>
  <c r="K4668" i="1" s="1"/>
  <c r="O4668" i="1" s="1"/>
  <c r="K4669" i="1" a="1"/>
  <c r="K4669" i="1" s="1"/>
  <c r="O4669" i="1" s="1"/>
  <c r="K4670" i="1" a="1"/>
  <c r="K4670" i="1" s="1"/>
  <c r="O4670" i="1" s="1"/>
  <c r="K4671" i="1" a="1"/>
  <c r="K4671" i="1" s="1"/>
  <c r="O4671" i="1" s="1"/>
  <c r="K4672" i="1" a="1"/>
  <c r="K4672" i="1" s="1"/>
  <c r="O4672" i="1" s="1"/>
  <c r="K4673" i="1" a="1"/>
  <c r="K4673" i="1" s="1"/>
  <c r="O4673" i="1" s="1"/>
  <c r="K4674" i="1" a="1"/>
  <c r="K4674" i="1" s="1"/>
  <c r="O4674" i="1" s="1"/>
  <c r="K4675" i="1" a="1"/>
  <c r="K4675" i="1" s="1"/>
  <c r="O4675" i="1" s="1"/>
  <c r="K4676" i="1" a="1"/>
  <c r="K4676" i="1" s="1"/>
  <c r="O4676" i="1" s="1"/>
  <c r="K4677" i="1" a="1"/>
  <c r="K4677" i="1" s="1"/>
  <c r="O4677" i="1" s="1"/>
  <c r="K4678" i="1" a="1"/>
  <c r="K4678" i="1" s="1"/>
  <c r="O4678" i="1" s="1"/>
  <c r="K4679" i="1" a="1"/>
  <c r="K4679" i="1" s="1"/>
  <c r="O4679" i="1" s="1"/>
  <c r="K4680" i="1" a="1"/>
  <c r="K4680" i="1" s="1"/>
  <c r="O4680" i="1" s="1"/>
  <c r="K4681" i="1" a="1"/>
  <c r="K4681" i="1" s="1"/>
  <c r="O4681" i="1" s="1"/>
  <c r="K4682" i="1" a="1"/>
  <c r="K4682" i="1" s="1"/>
  <c r="O4682" i="1" s="1"/>
  <c r="K4683" i="1" a="1"/>
  <c r="K4683" i="1" s="1"/>
  <c r="O4683" i="1" s="1"/>
  <c r="K4684" i="1" a="1"/>
  <c r="K4684" i="1" s="1"/>
  <c r="O4684" i="1" s="1"/>
  <c r="K4685" i="1" a="1"/>
  <c r="K4685" i="1" s="1"/>
  <c r="O4685" i="1" s="1"/>
  <c r="K4686" i="1" a="1"/>
  <c r="K4686" i="1" s="1"/>
  <c r="O4686" i="1" s="1"/>
  <c r="K4687" i="1" a="1"/>
  <c r="K4687" i="1" s="1"/>
  <c r="O4687" i="1" s="1"/>
  <c r="K4688" i="1" a="1"/>
  <c r="K4688" i="1" s="1"/>
  <c r="O4688" i="1" s="1"/>
  <c r="K4689" i="1" a="1"/>
  <c r="K4689" i="1" s="1"/>
  <c r="O4689" i="1" s="1"/>
  <c r="K4690" i="1" a="1"/>
  <c r="K4690" i="1" s="1"/>
  <c r="O4690" i="1" s="1"/>
  <c r="K4691" i="1" a="1"/>
  <c r="K4691" i="1" s="1"/>
  <c r="O4691" i="1" s="1"/>
  <c r="K4692" i="1" a="1"/>
  <c r="K4692" i="1" s="1"/>
  <c r="O4692" i="1" s="1"/>
  <c r="K4693" i="1" a="1"/>
  <c r="K4693" i="1" s="1"/>
  <c r="O4693" i="1" s="1"/>
  <c r="K4694" i="1" a="1"/>
  <c r="K4694" i="1" s="1"/>
  <c r="O4694" i="1" s="1"/>
  <c r="K4695" i="1" a="1"/>
  <c r="K4695" i="1" s="1"/>
  <c r="K4696" i="1" a="1"/>
  <c r="K4696" i="1" s="1"/>
  <c r="O4696" i="1" s="1"/>
  <c r="K4697" i="1" a="1"/>
  <c r="K4697" i="1" s="1"/>
  <c r="O4697" i="1" s="1"/>
  <c r="K4698" i="1" a="1"/>
  <c r="K4698" i="1" s="1"/>
  <c r="O4698" i="1" s="1"/>
  <c r="K4699" i="1" a="1"/>
  <c r="K4699" i="1" s="1"/>
  <c r="O4699" i="1" s="1"/>
  <c r="K4700" i="1" a="1"/>
  <c r="K4700" i="1" s="1"/>
  <c r="O4700" i="1" s="1"/>
  <c r="K4701" i="1" a="1"/>
  <c r="K4701" i="1" s="1"/>
  <c r="O4701" i="1" s="1"/>
  <c r="K4702" i="1" a="1"/>
  <c r="K4702" i="1" s="1"/>
  <c r="O4702" i="1" s="1"/>
  <c r="K4703" i="1" a="1"/>
  <c r="K4703" i="1" s="1"/>
  <c r="O4703" i="1" s="1"/>
  <c r="K4704" i="1" a="1"/>
  <c r="K4704" i="1" s="1"/>
  <c r="O4704" i="1" s="1"/>
  <c r="K4705" i="1" a="1"/>
  <c r="K4705" i="1" s="1"/>
  <c r="O4705" i="1" s="1"/>
  <c r="K4706" i="1" a="1"/>
  <c r="K4706" i="1" s="1"/>
  <c r="O4706" i="1" s="1"/>
  <c r="K4707" i="1" a="1"/>
  <c r="K4707" i="1" s="1"/>
  <c r="K4708" i="1" a="1"/>
  <c r="K4708" i="1" s="1"/>
  <c r="O4708" i="1" s="1"/>
  <c r="K4709" i="1" a="1"/>
  <c r="K4709" i="1" s="1"/>
  <c r="O4709" i="1" s="1"/>
  <c r="K4710" i="1" a="1"/>
  <c r="K4710" i="1" s="1"/>
  <c r="O4710" i="1" s="1"/>
  <c r="K4711" i="1" a="1"/>
  <c r="K4711" i="1" s="1"/>
  <c r="O4711" i="1" s="1"/>
  <c r="K4712" i="1" a="1"/>
  <c r="K4712" i="1" s="1"/>
  <c r="O4712" i="1" s="1"/>
  <c r="K4713" i="1" a="1"/>
  <c r="K4713" i="1" s="1"/>
  <c r="O4713" i="1" s="1"/>
  <c r="K4714" i="1" a="1"/>
  <c r="K4714" i="1" s="1"/>
  <c r="O4714" i="1" s="1"/>
  <c r="K4715" i="1" a="1"/>
  <c r="K4715" i="1" s="1"/>
  <c r="O4715" i="1" s="1"/>
  <c r="K4716" i="1" a="1"/>
  <c r="K4716" i="1" s="1"/>
  <c r="O4716" i="1" s="1"/>
  <c r="K4717" i="1" a="1"/>
  <c r="K4717" i="1" s="1"/>
  <c r="O4717" i="1" s="1"/>
  <c r="K4718" i="1" a="1"/>
  <c r="K4718" i="1" s="1"/>
  <c r="K4719" i="1" a="1"/>
  <c r="K4719" i="1" s="1"/>
  <c r="K4720" i="1" a="1"/>
  <c r="K4720" i="1" s="1"/>
  <c r="O4720" i="1" s="1"/>
  <c r="K4721" i="1" a="1"/>
  <c r="K4721" i="1" s="1"/>
  <c r="O4721" i="1" s="1"/>
  <c r="K4722" i="1" a="1"/>
  <c r="K4722" i="1" s="1"/>
  <c r="O4722" i="1" s="1"/>
  <c r="K4723" i="1" a="1"/>
  <c r="K4723" i="1" s="1"/>
  <c r="O4723" i="1" s="1"/>
  <c r="K4724" i="1" a="1"/>
  <c r="K4724" i="1" s="1"/>
  <c r="O4724" i="1" s="1"/>
  <c r="K4725" i="1" a="1"/>
  <c r="K4725" i="1" s="1"/>
  <c r="O4725" i="1" s="1"/>
  <c r="K4726" i="1" a="1"/>
  <c r="K4726" i="1" s="1"/>
  <c r="O4726" i="1" s="1"/>
  <c r="K4727" i="1" a="1"/>
  <c r="K4727" i="1" s="1"/>
  <c r="O4727" i="1" s="1"/>
  <c r="K4728" i="1" a="1"/>
  <c r="K4728" i="1" s="1"/>
  <c r="O4728" i="1" s="1"/>
  <c r="K4729" i="1" a="1"/>
  <c r="K4729" i="1" s="1"/>
  <c r="O4729" i="1" s="1"/>
  <c r="K4730" i="1" a="1"/>
  <c r="K4730" i="1" s="1"/>
  <c r="O4730" i="1" s="1"/>
  <c r="K4731" i="1" a="1"/>
  <c r="K4731" i="1" s="1"/>
  <c r="O4731" i="1" s="1"/>
  <c r="K4732" i="1" a="1"/>
  <c r="K4732" i="1" s="1"/>
  <c r="O4732" i="1" s="1"/>
  <c r="K4733" i="1" a="1"/>
  <c r="K4733" i="1" s="1"/>
  <c r="O4733" i="1" s="1"/>
  <c r="K4734" i="1" a="1"/>
  <c r="K4734" i="1" s="1"/>
  <c r="O4734" i="1" s="1"/>
  <c r="K4735" i="1" a="1"/>
  <c r="K4735" i="1" s="1"/>
  <c r="O4735" i="1" s="1"/>
  <c r="K4736" i="1" a="1"/>
  <c r="K4736" i="1" s="1"/>
  <c r="O4736" i="1" s="1"/>
  <c r="K4737" i="1" a="1"/>
  <c r="K4737" i="1" s="1"/>
  <c r="O4737" i="1" s="1"/>
  <c r="K4738" i="1" a="1"/>
  <c r="K4738" i="1" s="1"/>
  <c r="O4738" i="1" s="1"/>
  <c r="K4739" i="1" a="1"/>
  <c r="K4739" i="1" s="1"/>
  <c r="O4739" i="1" s="1"/>
  <c r="K4740" i="1" a="1"/>
  <c r="K4740" i="1" s="1"/>
  <c r="O4740" i="1" s="1"/>
  <c r="K4741" i="1" a="1"/>
  <c r="K4741" i="1" s="1"/>
  <c r="O4741" i="1" s="1"/>
  <c r="K4742" i="1" a="1"/>
  <c r="K4742" i="1" s="1"/>
  <c r="O4742" i="1" s="1"/>
  <c r="K4743" i="1" a="1"/>
  <c r="K4743" i="1" s="1"/>
  <c r="O4743" i="1" s="1"/>
  <c r="K4744" i="1" a="1"/>
  <c r="K4744" i="1" s="1"/>
  <c r="O4744" i="1" s="1"/>
  <c r="K4745" i="1" a="1"/>
  <c r="K4745" i="1" s="1"/>
  <c r="O4745" i="1" s="1"/>
  <c r="K4746" i="1" a="1"/>
  <c r="K4746" i="1" s="1"/>
  <c r="O4746" i="1" s="1"/>
  <c r="K4747" i="1" a="1"/>
  <c r="K4747" i="1" s="1"/>
  <c r="O4747" i="1" s="1"/>
  <c r="K4748" i="1" a="1"/>
  <c r="K4748" i="1" s="1"/>
  <c r="O4748" i="1" s="1"/>
  <c r="K4749" i="1" a="1"/>
  <c r="K4749" i="1" s="1"/>
  <c r="N4749" i="1" s="1"/>
  <c r="K4750" i="1" a="1"/>
  <c r="K4750" i="1" s="1"/>
  <c r="O4750" i="1" s="1"/>
  <c r="K4751" i="1" a="1"/>
  <c r="K4751" i="1" s="1"/>
  <c r="O4751" i="1" s="1"/>
  <c r="K4752" i="1" a="1"/>
  <c r="K4752" i="1" s="1"/>
  <c r="O4752" i="1" s="1"/>
  <c r="K4753" i="1" a="1"/>
  <c r="K4753" i="1" s="1"/>
  <c r="O4753" i="1" s="1"/>
  <c r="K4754" i="1" a="1"/>
  <c r="K4754" i="1" s="1"/>
  <c r="O4754" i="1" s="1"/>
  <c r="K4755" i="1" a="1"/>
  <c r="K4755" i="1" s="1"/>
  <c r="O4755" i="1" s="1"/>
  <c r="K4756" i="1" a="1"/>
  <c r="K4756" i="1" s="1"/>
  <c r="O4756" i="1" s="1"/>
  <c r="K4757" i="1" a="1"/>
  <c r="K4757" i="1" s="1"/>
  <c r="O4757" i="1" s="1"/>
  <c r="K4758" i="1" a="1"/>
  <c r="K4758" i="1" s="1"/>
  <c r="K4759" i="1" a="1"/>
  <c r="K4759" i="1" s="1"/>
  <c r="O4759" i="1" s="1"/>
  <c r="K4760" i="1" a="1"/>
  <c r="K4760" i="1" s="1"/>
  <c r="O4760" i="1" s="1"/>
  <c r="K4761" i="1" a="1"/>
  <c r="K4761" i="1" s="1"/>
  <c r="O4761" i="1" s="1"/>
  <c r="K4762" i="1" a="1"/>
  <c r="K4762" i="1" s="1"/>
  <c r="O4762" i="1" s="1"/>
  <c r="K4763" i="1" a="1"/>
  <c r="K4763" i="1" s="1"/>
  <c r="O4763" i="1" s="1"/>
  <c r="K4764" i="1" a="1"/>
  <c r="K4764" i="1" s="1"/>
  <c r="O4764" i="1" s="1"/>
  <c r="K4765" i="1" a="1"/>
  <c r="K4765" i="1" s="1"/>
  <c r="O4765" i="1" s="1"/>
  <c r="K4766" i="1" a="1"/>
  <c r="K4766" i="1" s="1"/>
  <c r="O4766" i="1" s="1"/>
  <c r="K4767" i="1" a="1"/>
  <c r="K4767" i="1"/>
  <c r="O4767" i="1" s="1"/>
  <c r="K4768" i="1" a="1"/>
  <c r="K4768" i="1" s="1"/>
  <c r="O4768" i="1" s="1"/>
  <c r="K4769" i="1" a="1"/>
  <c r="K4769" i="1" s="1"/>
  <c r="O4769" i="1" s="1"/>
  <c r="K4770" i="1" a="1"/>
  <c r="K4770" i="1" s="1"/>
  <c r="O4770" i="1" s="1"/>
  <c r="K4771" i="1" a="1"/>
  <c r="K4771" i="1" s="1"/>
  <c r="O4771" i="1" s="1"/>
  <c r="K4772" i="1" a="1"/>
  <c r="K4772" i="1" s="1"/>
  <c r="O4772" i="1" s="1"/>
  <c r="K4773" i="1" a="1"/>
  <c r="K4773" i="1" s="1"/>
  <c r="O4773" i="1" s="1"/>
  <c r="K4774" i="1" a="1"/>
  <c r="K4774" i="1" s="1"/>
  <c r="O4774" i="1" s="1"/>
  <c r="K4775" i="1" a="1"/>
  <c r="K4775" i="1" s="1"/>
  <c r="O4775" i="1" s="1"/>
  <c r="K4776" i="1" a="1"/>
  <c r="K4776" i="1" s="1"/>
  <c r="O4776" i="1" s="1"/>
  <c r="K4777" i="1" a="1"/>
  <c r="K4777" i="1" s="1"/>
  <c r="O4777" i="1" s="1"/>
  <c r="K4778" i="1" a="1"/>
  <c r="K4778" i="1" s="1"/>
  <c r="O4778" i="1" s="1"/>
  <c r="K4779" i="1" a="1"/>
  <c r="K4779" i="1" s="1"/>
  <c r="O4779" i="1" s="1"/>
  <c r="K4780" i="1" a="1"/>
  <c r="K4780" i="1" s="1"/>
  <c r="O4780" i="1" s="1"/>
  <c r="K4781" i="1" a="1"/>
  <c r="K4781" i="1" s="1"/>
  <c r="O4781" i="1" s="1"/>
  <c r="K4782" i="1" a="1"/>
  <c r="K4782" i="1" s="1"/>
  <c r="O4782" i="1" s="1"/>
  <c r="K4783" i="1" a="1"/>
  <c r="K4783" i="1" s="1"/>
  <c r="O4783" i="1" s="1"/>
  <c r="K4784" i="1" a="1"/>
  <c r="K4784" i="1" s="1"/>
  <c r="O4784" i="1" s="1"/>
  <c r="K4785" i="1" a="1"/>
  <c r="K4785" i="1" s="1"/>
  <c r="O4785" i="1" s="1"/>
  <c r="K4786" i="1" a="1"/>
  <c r="K4786" i="1" s="1"/>
  <c r="O4786" i="1" s="1"/>
  <c r="K4787" i="1" a="1"/>
  <c r="K4787" i="1" s="1"/>
  <c r="O4787" i="1" s="1"/>
  <c r="K4788" i="1" a="1"/>
  <c r="K4788" i="1" s="1"/>
  <c r="O4788" i="1" s="1"/>
  <c r="K4789" i="1" a="1"/>
  <c r="K4789" i="1" s="1"/>
  <c r="O4789" i="1" s="1"/>
  <c r="K4790" i="1" a="1"/>
  <c r="K4790" i="1" s="1"/>
  <c r="O4790" i="1" s="1"/>
  <c r="K4791" i="1" a="1"/>
  <c r="K4791" i="1" s="1"/>
  <c r="O4791" i="1" s="1"/>
  <c r="K4792" i="1" a="1"/>
  <c r="K4792" i="1" s="1"/>
  <c r="O4792" i="1" s="1"/>
  <c r="K4793" i="1" a="1"/>
  <c r="K4793" i="1" s="1"/>
  <c r="O4793" i="1" s="1"/>
  <c r="K4794" i="1" a="1"/>
  <c r="K4794" i="1" s="1"/>
  <c r="O4794" i="1" s="1"/>
  <c r="K4795" i="1" a="1"/>
  <c r="K4795" i="1" s="1"/>
  <c r="O4795" i="1" s="1"/>
  <c r="K4796" i="1" a="1"/>
  <c r="K4796" i="1" s="1"/>
  <c r="O4796" i="1" s="1"/>
  <c r="K4797" i="1" a="1"/>
  <c r="K4797" i="1" s="1"/>
  <c r="O4797" i="1" s="1"/>
  <c r="K4798" i="1" a="1"/>
  <c r="K4798" i="1" s="1"/>
  <c r="O4798" i="1" s="1"/>
  <c r="K4799" i="1" a="1"/>
  <c r="K4799" i="1" s="1"/>
  <c r="O4799" i="1" s="1"/>
  <c r="K4800" i="1" a="1"/>
  <c r="K4800" i="1" s="1"/>
  <c r="K4801" i="1" a="1"/>
  <c r="K4801" i="1" s="1"/>
  <c r="O4801" i="1" s="1"/>
  <c r="K4802" i="1" a="1"/>
  <c r="K4802" i="1" s="1"/>
  <c r="O4802" i="1" s="1"/>
  <c r="K4803" i="1" a="1"/>
  <c r="K4803" i="1" s="1"/>
  <c r="O4803" i="1" s="1"/>
  <c r="K4804" i="1" a="1"/>
  <c r="K4804" i="1" s="1"/>
  <c r="O4804" i="1" s="1"/>
  <c r="K4805" i="1" a="1"/>
  <c r="K4805" i="1" s="1"/>
  <c r="O4805" i="1" s="1"/>
  <c r="K4806" i="1" a="1"/>
  <c r="K4806" i="1" s="1"/>
  <c r="O4806" i="1" s="1"/>
  <c r="K4807" i="1" a="1"/>
  <c r="K4807" i="1" s="1"/>
  <c r="O4807" i="1" s="1"/>
  <c r="K4808" i="1" a="1"/>
  <c r="K4808" i="1" s="1"/>
  <c r="O4808" i="1" s="1"/>
  <c r="K4809" i="1" a="1"/>
  <c r="K4809" i="1" s="1"/>
  <c r="O4809" i="1" s="1"/>
  <c r="K4810" i="1" a="1"/>
  <c r="K4810" i="1" s="1"/>
  <c r="O4810" i="1" s="1"/>
  <c r="K4811" i="1" a="1"/>
  <c r="K4811" i="1" s="1"/>
  <c r="O4811" i="1" s="1"/>
  <c r="K4812" i="1" a="1"/>
  <c r="K4812" i="1" s="1"/>
  <c r="O4812" i="1" s="1"/>
  <c r="K4813" i="1" a="1"/>
  <c r="K4813" i="1" s="1"/>
  <c r="O4813" i="1" s="1"/>
  <c r="K4814" i="1" a="1"/>
  <c r="K4814" i="1" s="1"/>
  <c r="O4814" i="1" s="1"/>
  <c r="K4815" i="1" a="1"/>
  <c r="K4815" i="1" s="1"/>
  <c r="O4815" i="1" s="1"/>
  <c r="K4816" i="1" a="1"/>
  <c r="K4816" i="1" s="1"/>
  <c r="O4816" i="1" s="1"/>
  <c r="K4817" i="1" a="1"/>
  <c r="K4817" i="1" s="1"/>
  <c r="O4817" i="1" s="1"/>
  <c r="K4818" i="1" a="1"/>
  <c r="K4818" i="1" s="1"/>
  <c r="O4818" i="1" s="1"/>
  <c r="K4819" i="1" a="1"/>
  <c r="K4819" i="1" s="1"/>
  <c r="O4819" i="1" s="1"/>
  <c r="K4820" i="1" a="1"/>
  <c r="K4820" i="1" s="1"/>
  <c r="O4820" i="1" s="1"/>
  <c r="K4821" i="1" a="1"/>
  <c r="K4821" i="1" s="1"/>
  <c r="O4821" i="1" s="1"/>
  <c r="K4822" i="1" a="1"/>
  <c r="K4822" i="1" s="1"/>
  <c r="O4822" i="1" s="1"/>
  <c r="K4823" i="1" a="1"/>
  <c r="K4823" i="1" s="1"/>
  <c r="O4823" i="1" s="1"/>
  <c r="K4824" i="1" a="1"/>
  <c r="K4824" i="1" s="1"/>
  <c r="O4824" i="1" s="1"/>
  <c r="K4825" i="1" a="1"/>
  <c r="K4825" i="1" s="1"/>
  <c r="O4825" i="1" s="1"/>
  <c r="K4826" i="1" a="1"/>
  <c r="K4826" i="1" s="1"/>
  <c r="O4826" i="1" s="1"/>
  <c r="K4827" i="1" a="1"/>
  <c r="K4827" i="1" s="1"/>
  <c r="O4827" i="1" s="1"/>
  <c r="K4828" i="1" a="1"/>
  <c r="K4828" i="1" s="1"/>
  <c r="O4828" i="1" s="1"/>
  <c r="K4829" i="1" a="1"/>
  <c r="K4829" i="1" s="1"/>
  <c r="O4829" i="1" s="1"/>
  <c r="K4830" i="1" a="1"/>
  <c r="K4830" i="1" s="1"/>
  <c r="O4830" i="1" s="1"/>
  <c r="K4831" i="1" a="1"/>
  <c r="K4831" i="1" s="1"/>
  <c r="O4831" i="1" s="1"/>
  <c r="K4832" i="1" a="1"/>
  <c r="K4832" i="1" s="1"/>
  <c r="K4833" i="1" a="1"/>
  <c r="K4833" i="1" s="1"/>
  <c r="O4833" i="1" s="1"/>
  <c r="K4834" i="1" a="1"/>
  <c r="K4834" i="1" s="1"/>
  <c r="O4834" i="1" s="1"/>
  <c r="K4835" i="1" a="1"/>
  <c r="K4835" i="1" s="1"/>
  <c r="O4835" i="1" s="1"/>
  <c r="K4836" i="1" a="1"/>
  <c r="K4836" i="1" s="1"/>
  <c r="O4836" i="1" s="1"/>
  <c r="K4837" i="1" a="1"/>
  <c r="K4837" i="1" s="1"/>
  <c r="O4837" i="1" s="1"/>
  <c r="K4838" i="1" a="1"/>
  <c r="K4838" i="1" s="1"/>
  <c r="O4838" i="1" s="1"/>
  <c r="K4839" i="1" a="1"/>
  <c r="K4839" i="1" s="1"/>
  <c r="O4839" i="1" s="1"/>
  <c r="K4840" i="1" a="1"/>
  <c r="K4840" i="1" s="1"/>
  <c r="K4841" i="1" a="1"/>
  <c r="K4841" i="1" s="1"/>
  <c r="O4841" i="1" s="1"/>
  <c r="K4842" i="1" a="1"/>
  <c r="K4842" i="1" s="1"/>
  <c r="O4842" i="1" s="1"/>
  <c r="K4843" i="1" a="1"/>
  <c r="K4843" i="1" s="1"/>
  <c r="O4843" i="1" s="1"/>
  <c r="K4844" i="1" a="1"/>
  <c r="K4844" i="1" s="1"/>
  <c r="O4844" i="1" s="1"/>
  <c r="K4845" i="1" a="1"/>
  <c r="K4845" i="1" s="1"/>
  <c r="O4845" i="1" s="1"/>
  <c r="K4846" i="1" a="1"/>
  <c r="K4846" i="1" s="1"/>
  <c r="O4846" i="1" s="1"/>
  <c r="K4847" i="1" a="1"/>
  <c r="K4847" i="1" s="1"/>
  <c r="O4847" i="1" s="1"/>
  <c r="K4848" i="1" a="1"/>
  <c r="K4848" i="1" s="1"/>
  <c r="O4848" i="1" s="1"/>
  <c r="K4849" i="1" a="1"/>
  <c r="K4849" i="1" s="1"/>
  <c r="O4849" i="1" s="1"/>
  <c r="K4850" i="1" a="1"/>
  <c r="K4850" i="1" s="1"/>
  <c r="O4850" i="1" s="1"/>
  <c r="K4851" i="1" a="1"/>
  <c r="K4851" i="1" s="1"/>
  <c r="K4852" i="1" a="1"/>
  <c r="K4852" i="1" s="1"/>
  <c r="O4852" i="1" s="1"/>
  <c r="K4853" i="1" a="1"/>
  <c r="K4853" i="1" s="1"/>
  <c r="O4853" i="1" s="1"/>
  <c r="K4854" i="1" a="1"/>
  <c r="K4854" i="1" s="1"/>
  <c r="O4854" i="1" s="1"/>
  <c r="K4855" i="1" a="1"/>
  <c r="K4855" i="1" s="1"/>
  <c r="O4855" i="1" s="1"/>
  <c r="K4856" i="1" a="1"/>
  <c r="K4856" i="1" s="1"/>
  <c r="O4856" i="1" s="1"/>
  <c r="K4857" i="1" a="1"/>
  <c r="K4857" i="1" s="1"/>
  <c r="O4857" i="1" s="1"/>
  <c r="K4858" i="1" a="1"/>
  <c r="K4858" i="1" s="1"/>
  <c r="O4858" i="1" s="1"/>
  <c r="K4859" i="1" a="1"/>
  <c r="K4859" i="1" s="1"/>
  <c r="O4859" i="1" s="1"/>
  <c r="K4860" i="1" a="1"/>
  <c r="K4860" i="1" s="1"/>
  <c r="O4860" i="1" s="1"/>
  <c r="K4861" i="1" a="1"/>
  <c r="K4861" i="1" s="1"/>
  <c r="O4861" i="1" s="1"/>
  <c r="K4862" i="1" a="1"/>
  <c r="K4862" i="1" s="1"/>
  <c r="K4863" i="1" a="1"/>
  <c r="K4863" i="1" s="1"/>
  <c r="O4863" i="1" s="1"/>
  <c r="K4864" i="1" a="1"/>
  <c r="K4864" i="1" s="1"/>
  <c r="O4864" i="1" s="1"/>
  <c r="K4865" i="1" a="1"/>
  <c r="K4865" i="1" s="1"/>
  <c r="O4865" i="1" s="1"/>
  <c r="K4866" i="1" a="1"/>
  <c r="K4866" i="1" s="1"/>
  <c r="O4866" i="1" s="1"/>
  <c r="K4867" i="1" a="1"/>
  <c r="K4867" i="1" s="1"/>
  <c r="O4867" i="1" s="1"/>
  <c r="K4868" i="1" a="1"/>
  <c r="K4868" i="1" s="1"/>
  <c r="O4868" i="1" s="1"/>
  <c r="K4869" i="1" a="1"/>
  <c r="K4869" i="1" s="1"/>
  <c r="O4869" i="1" s="1"/>
  <c r="K4870" i="1" a="1"/>
  <c r="K4870" i="1" s="1"/>
  <c r="O4870" i="1" s="1"/>
  <c r="K4871" i="1" a="1"/>
  <c r="K4871" i="1" s="1"/>
  <c r="O4871" i="1" s="1"/>
  <c r="K4872" i="1" a="1"/>
  <c r="K4872" i="1" s="1"/>
  <c r="O4872" i="1" s="1"/>
  <c r="K4873" i="1" a="1"/>
  <c r="K4873" i="1" s="1"/>
  <c r="O4873" i="1" s="1"/>
  <c r="K4874" i="1" a="1"/>
  <c r="K4874" i="1" s="1"/>
  <c r="O4874" i="1" s="1"/>
  <c r="K4875" i="1" a="1"/>
  <c r="K4875" i="1" s="1"/>
  <c r="O4875" i="1" s="1"/>
  <c r="K4876" i="1" a="1"/>
  <c r="K4876" i="1" s="1"/>
  <c r="O4876" i="1" s="1"/>
  <c r="K4877" i="1" a="1"/>
  <c r="K4877" i="1" s="1"/>
  <c r="O4877" i="1" s="1"/>
  <c r="K4878" i="1" a="1"/>
  <c r="K4878" i="1" s="1"/>
  <c r="K4879" i="1" a="1"/>
  <c r="K4879" i="1" s="1"/>
  <c r="O4879" i="1" s="1"/>
  <c r="K4880" i="1" a="1"/>
  <c r="K4880" i="1" s="1"/>
  <c r="O4880" i="1" s="1"/>
  <c r="K4881" i="1" a="1"/>
  <c r="K4881" i="1" s="1"/>
  <c r="O4881" i="1" s="1"/>
  <c r="K4882" i="1" a="1"/>
  <c r="K4882" i="1" s="1"/>
  <c r="O4882" i="1" s="1"/>
  <c r="K4883" i="1" a="1"/>
  <c r="K4883" i="1" s="1"/>
  <c r="O4883" i="1" s="1"/>
  <c r="K4884" i="1" a="1"/>
  <c r="K4884" i="1" s="1"/>
  <c r="O4884" i="1" s="1"/>
  <c r="K4885" i="1" a="1"/>
  <c r="K4885" i="1" s="1"/>
  <c r="O4885" i="1" s="1"/>
  <c r="K4886" i="1" a="1"/>
  <c r="K4886" i="1" s="1"/>
  <c r="K4887" i="1" a="1"/>
  <c r="K4887" i="1" s="1"/>
  <c r="O4887" i="1" s="1"/>
  <c r="K4888" i="1" a="1"/>
  <c r="K4888" i="1" s="1"/>
  <c r="O4888" i="1" s="1"/>
  <c r="K4889" i="1" a="1"/>
  <c r="K4889" i="1" s="1"/>
  <c r="O4889" i="1" s="1"/>
  <c r="K4890" i="1" a="1"/>
  <c r="K4890" i="1" s="1"/>
  <c r="O4890" i="1" s="1"/>
  <c r="K4891" i="1" a="1"/>
  <c r="K4891" i="1" s="1"/>
  <c r="O4891" i="1" s="1"/>
  <c r="K4892" i="1" a="1"/>
  <c r="K4892" i="1" s="1"/>
  <c r="O4892" i="1" s="1"/>
  <c r="K4893" i="1" a="1"/>
  <c r="K4893" i="1" s="1"/>
  <c r="O4893" i="1" s="1"/>
  <c r="K4894" i="1" a="1"/>
  <c r="K4894" i="1" s="1"/>
  <c r="O4894" i="1" s="1"/>
  <c r="K4895" i="1" a="1"/>
  <c r="K4895" i="1" s="1"/>
  <c r="O4895" i="1" s="1"/>
  <c r="K4896" i="1" a="1"/>
  <c r="K4896" i="1" s="1"/>
  <c r="O4896" i="1" s="1"/>
  <c r="K4897" i="1" a="1"/>
  <c r="K4897" i="1" s="1"/>
  <c r="K4898" i="1" a="1"/>
  <c r="K4898" i="1" s="1"/>
  <c r="O4898" i="1" s="1"/>
  <c r="K4899" i="1" a="1"/>
  <c r="K4899" i="1" s="1"/>
  <c r="K4900" i="1" a="1"/>
  <c r="K4900" i="1" s="1"/>
  <c r="O4900" i="1" s="1"/>
  <c r="K4901" i="1" a="1"/>
  <c r="K4901" i="1" s="1"/>
  <c r="O4901" i="1" s="1"/>
  <c r="K4902" i="1" a="1"/>
  <c r="K4902" i="1" s="1"/>
  <c r="O4902" i="1" s="1"/>
  <c r="K4903" i="1" a="1"/>
  <c r="K4903" i="1" s="1"/>
  <c r="O4903" i="1" s="1"/>
  <c r="K4904" i="1" a="1"/>
  <c r="K4904" i="1" s="1"/>
  <c r="O4904" i="1" s="1"/>
  <c r="K4905" i="1" a="1"/>
  <c r="K4905" i="1" s="1"/>
  <c r="O4905" i="1" s="1"/>
  <c r="K4906" i="1" a="1"/>
  <c r="K4906" i="1" s="1"/>
  <c r="O4906" i="1" s="1"/>
  <c r="K4907" i="1" a="1"/>
  <c r="K4907" i="1" s="1"/>
  <c r="O4907" i="1" s="1"/>
  <c r="K4908" i="1" a="1"/>
  <c r="K4908" i="1" s="1"/>
  <c r="O4908" i="1" s="1"/>
  <c r="K4909" i="1" a="1"/>
  <c r="K4909" i="1" s="1"/>
  <c r="K4910" i="1" a="1"/>
  <c r="K4910" i="1" s="1"/>
  <c r="O4910" i="1" s="1"/>
  <c r="K4911" i="1" a="1"/>
  <c r="K4911" i="1" s="1"/>
  <c r="O4911" i="1" s="1"/>
  <c r="K4912" i="1" a="1"/>
  <c r="K4912" i="1" s="1"/>
  <c r="O4912" i="1" s="1"/>
  <c r="K4913" i="1" a="1"/>
  <c r="K4913" i="1" s="1"/>
  <c r="O4913" i="1" s="1"/>
  <c r="K4914" i="1" a="1"/>
  <c r="K4914" i="1" s="1"/>
  <c r="O4914" i="1" s="1"/>
  <c r="K4915" i="1" a="1"/>
  <c r="K4915" i="1" s="1"/>
  <c r="O4915" i="1" s="1"/>
  <c r="K4916" i="1" a="1"/>
  <c r="K4916" i="1" s="1"/>
  <c r="O4916" i="1" s="1"/>
  <c r="K4917" i="1" a="1"/>
  <c r="K4917" i="1" s="1"/>
  <c r="K4918" i="1" a="1"/>
  <c r="K4918" i="1" s="1"/>
  <c r="O4918" i="1" s="1"/>
  <c r="K4919" i="1" a="1"/>
  <c r="K4919" i="1"/>
  <c r="O4919" i="1" s="1"/>
  <c r="K4920" i="1" a="1"/>
  <c r="K4920" i="1" s="1"/>
  <c r="O4920" i="1" s="1"/>
  <c r="K4921" i="1" a="1"/>
  <c r="K4921" i="1" s="1"/>
  <c r="O4921" i="1" s="1"/>
  <c r="K4922" i="1" a="1"/>
  <c r="K4922" i="1" s="1"/>
  <c r="O4922" i="1" s="1"/>
  <c r="K4923" i="1" a="1"/>
  <c r="K4923" i="1" s="1"/>
  <c r="O4923" i="1" s="1"/>
  <c r="K4924" i="1" a="1"/>
  <c r="K4924" i="1" s="1"/>
  <c r="O4924" i="1" s="1"/>
  <c r="K4925" i="1" a="1"/>
  <c r="K4925" i="1" s="1"/>
  <c r="O4925" i="1" s="1"/>
  <c r="K4926" i="1" a="1"/>
  <c r="K4926" i="1" s="1"/>
  <c r="O4926" i="1" s="1"/>
  <c r="K4927" i="1" a="1"/>
  <c r="K4927" i="1" s="1"/>
  <c r="O4927" i="1" s="1"/>
  <c r="K4928" i="1" a="1"/>
  <c r="K4928" i="1" s="1"/>
  <c r="O4928" i="1" s="1"/>
  <c r="K4929" i="1" a="1"/>
  <c r="K4929" i="1" s="1"/>
  <c r="O4929" i="1" s="1"/>
  <c r="K4930" i="1" a="1"/>
  <c r="K4930" i="1" s="1"/>
  <c r="O4930" i="1" s="1"/>
  <c r="K4931" i="1" a="1"/>
  <c r="K4931" i="1" s="1"/>
  <c r="O4931" i="1" s="1"/>
  <c r="K4932" i="1" a="1"/>
  <c r="K4932" i="1" s="1"/>
  <c r="O4932" i="1" s="1"/>
  <c r="K4933" i="1" a="1"/>
  <c r="K4933" i="1" s="1"/>
  <c r="O4933" i="1" s="1"/>
  <c r="K4934" i="1" a="1"/>
  <c r="K4934" i="1" s="1"/>
  <c r="O4934" i="1" s="1"/>
  <c r="K4935" i="1" a="1"/>
  <c r="K4935" i="1" s="1"/>
  <c r="O4935" i="1" s="1"/>
  <c r="K4936" i="1" a="1"/>
  <c r="K4936" i="1" s="1"/>
  <c r="O4936" i="1" s="1"/>
  <c r="K4937" i="1" a="1"/>
  <c r="K4937" i="1" s="1"/>
  <c r="O4937" i="1" s="1"/>
  <c r="K4938" i="1" a="1"/>
  <c r="K4938" i="1" s="1"/>
  <c r="O4938" i="1" s="1"/>
  <c r="K4939" i="1" a="1"/>
  <c r="K4939" i="1" s="1"/>
  <c r="O4939" i="1" s="1"/>
  <c r="K4940" i="1" a="1"/>
  <c r="K4940" i="1" s="1"/>
  <c r="O4940" i="1" s="1"/>
  <c r="K4941" i="1" a="1"/>
  <c r="K4941" i="1" s="1"/>
  <c r="K4942" i="1" a="1"/>
  <c r="K4942" i="1" s="1"/>
  <c r="O4942" i="1" s="1"/>
  <c r="K4943" i="1" a="1"/>
  <c r="K4943" i="1" s="1"/>
  <c r="O4943" i="1" s="1"/>
  <c r="K4944" i="1" a="1"/>
  <c r="K4944" i="1" s="1"/>
  <c r="K4945" i="1" a="1"/>
  <c r="K4945" i="1" s="1"/>
  <c r="O4945" i="1" s="1"/>
  <c r="K4946" i="1" a="1"/>
  <c r="K4946" i="1" s="1"/>
  <c r="O4946" i="1" s="1"/>
  <c r="K4947" i="1" a="1"/>
  <c r="K4947" i="1" s="1"/>
  <c r="O4947" i="1" s="1"/>
  <c r="K4948" i="1" a="1"/>
  <c r="K4948" i="1" s="1"/>
  <c r="O4948" i="1" s="1"/>
  <c r="K4949" i="1" a="1"/>
  <c r="K4949" i="1" s="1"/>
  <c r="O4949" i="1" s="1"/>
  <c r="K4950" i="1" a="1"/>
  <c r="K4950" i="1" s="1"/>
  <c r="O4950" i="1" s="1"/>
  <c r="K4951" i="1" a="1"/>
  <c r="K4951" i="1" s="1"/>
  <c r="O4951" i="1" s="1"/>
  <c r="K4952" i="1" a="1"/>
  <c r="K4952" i="1" s="1"/>
  <c r="O4952" i="1" s="1"/>
  <c r="K4953" i="1" a="1"/>
  <c r="K4953" i="1" s="1"/>
  <c r="O4953" i="1" s="1"/>
  <c r="K4954" i="1" a="1"/>
  <c r="K4954" i="1" s="1"/>
  <c r="O4954" i="1" s="1"/>
  <c r="K4955" i="1" a="1"/>
  <c r="K4955" i="1" s="1"/>
  <c r="O4955" i="1" s="1"/>
  <c r="K4956" i="1" a="1"/>
  <c r="K4956" i="1" s="1"/>
  <c r="O4956" i="1" s="1"/>
  <c r="K4957" i="1" a="1"/>
  <c r="K4957" i="1" s="1"/>
  <c r="O4957" i="1" s="1"/>
  <c r="K4958" i="1" a="1"/>
  <c r="K4958" i="1" s="1"/>
  <c r="O4958" i="1" s="1"/>
  <c r="K4959" i="1" a="1"/>
  <c r="K4959" i="1" s="1"/>
  <c r="M4959" i="1" s="1"/>
  <c r="K4960" i="1" a="1"/>
  <c r="K4960" i="1" s="1"/>
  <c r="O4960" i="1" s="1"/>
  <c r="K4961" i="1" a="1"/>
  <c r="K4961" i="1" s="1"/>
  <c r="O4961" i="1" s="1"/>
  <c r="K4962" i="1" a="1"/>
  <c r="K4962" i="1" s="1"/>
  <c r="O4962" i="1" s="1"/>
  <c r="K4963" i="1" a="1"/>
  <c r="K4963" i="1" s="1"/>
  <c r="O4963" i="1" s="1"/>
  <c r="K4964" i="1" a="1"/>
  <c r="K4964" i="1" s="1"/>
  <c r="O4964" i="1" s="1"/>
  <c r="K4965" i="1" a="1"/>
  <c r="K4965" i="1" s="1"/>
  <c r="O4965" i="1" s="1"/>
  <c r="K4966" i="1" a="1"/>
  <c r="K4966" i="1" s="1"/>
  <c r="O4966" i="1" s="1"/>
  <c r="K4967" i="1" a="1"/>
  <c r="K4967" i="1" s="1"/>
  <c r="N4967" i="1" s="1"/>
  <c r="K4968" i="1" a="1"/>
  <c r="K4968" i="1" s="1"/>
  <c r="O4968" i="1" s="1"/>
  <c r="K4969" i="1" a="1"/>
  <c r="K4969" i="1" s="1"/>
  <c r="O4969" i="1" s="1"/>
  <c r="K4970" i="1" a="1"/>
  <c r="K4970" i="1" s="1"/>
  <c r="O4970" i="1" s="1"/>
  <c r="K4971" i="1" a="1"/>
  <c r="K4971" i="1" s="1"/>
  <c r="O4971" i="1" s="1"/>
  <c r="K4972" i="1" a="1"/>
  <c r="K4972" i="1" s="1"/>
  <c r="O4972" i="1" s="1"/>
  <c r="K4973" i="1" a="1"/>
  <c r="K4973" i="1" s="1"/>
  <c r="O4973" i="1" s="1"/>
  <c r="K4974" i="1" a="1"/>
  <c r="K4974" i="1" s="1"/>
  <c r="O4974" i="1" s="1"/>
  <c r="K4975" i="1" a="1"/>
  <c r="K4975" i="1" s="1"/>
  <c r="O4975" i="1" s="1"/>
  <c r="K4976" i="1" a="1"/>
  <c r="K4976" i="1" s="1"/>
  <c r="O4976" i="1" s="1"/>
  <c r="K4977" i="1" a="1"/>
  <c r="K4977" i="1" s="1"/>
  <c r="O4977" i="1" s="1"/>
  <c r="K4978" i="1" a="1"/>
  <c r="K4978" i="1" s="1"/>
  <c r="O4978" i="1" s="1"/>
  <c r="K4979" i="1" a="1"/>
  <c r="K4979" i="1" s="1"/>
  <c r="O4979" i="1" s="1"/>
  <c r="K4980" i="1" a="1"/>
  <c r="K4980" i="1" s="1"/>
  <c r="O4980" i="1" s="1"/>
  <c r="K4981" i="1" a="1"/>
  <c r="K4981" i="1" s="1"/>
  <c r="O4981" i="1" s="1"/>
  <c r="K4982" i="1" a="1"/>
  <c r="K4982" i="1" s="1"/>
  <c r="O4982" i="1" s="1"/>
  <c r="K4983" i="1" a="1"/>
  <c r="K4983" i="1" s="1"/>
  <c r="O4983" i="1" s="1"/>
  <c r="K4984" i="1" a="1"/>
  <c r="K4984" i="1" s="1"/>
  <c r="O4984" i="1" s="1"/>
  <c r="K4985" i="1" a="1"/>
  <c r="K4985" i="1" s="1"/>
  <c r="O4985" i="1" s="1"/>
  <c r="K4986" i="1" a="1"/>
  <c r="K4986" i="1" s="1"/>
  <c r="O4986" i="1" s="1"/>
  <c r="K4987" i="1" a="1"/>
  <c r="K4987" i="1" s="1"/>
  <c r="O4987" i="1" s="1"/>
  <c r="K4988" i="1" a="1"/>
  <c r="K4988" i="1" s="1"/>
  <c r="O4988" i="1" s="1"/>
  <c r="K4989" i="1" a="1"/>
  <c r="K4989" i="1" s="1"/>
  <c r="O4989" i="1" s="1"/>
  <c r="K4990" i="1" a="1"/>
  <c r="K4990" i="1" s="1"/>
  <c r="K4991" i="1" a="1"/>
  <c r="K4991" i="1" s="1"/>
  <c r="O4991" i="1" s="1"/>
  <c r="K4992" i="1" a="1"/>
  <c r="K4992" i="1" s="1"/>
  <c r="O4992" i="1" s="1"/>
  <c r="K4993" i="1" a="1"/>
  <c r="K4993" i="1" s="1"/>
  <c r="O4993" i="1" s="1"/>
  <c r="K4994" i="1" a="1"/>
  <c r="K4994" i="1" s="1"/>
  <c r="O4994" i="1" s="1"/>
  <c r="K4995" i="1" a="1"/>
  <c r="K4995" i="1" s="1"/>
  <c r="O4995" i="1" s="1"/>
  <c r="K4996" i="1" a="1"/>
  <c r="K4996" i="1" s="1"/>
  <c r="O4996" i="1" s="1"/>
  <c r="K4997" i="1" a="1"/>
  <c r="K4997" i="1" s="1"/>
  <c r="O4997" i="1" s="1"/>
  <c r="K4998" i="1" a="1"/>
  <c r="K4998" i="1" s="1"/>
  <c r="O4998" i="1" s="1"/>
  <c r="K4999" i="1" a="1"/>
  <c r="K4999" i="1" s="1"/>
  <c r="O4999" i="1" s="1"/>
  <c r="K5000" i="1" a="1"/>
  <c r="K5000" i="1" s="1"/>
  <c r="O5000" i="1" s="1"/>
  <c r="K5001" i="1" a="1"/>
  <c r="K5001" i="1" s="1"/>
  <c r="O5001" i="1" s="1"/>
  <c r="K5002" i="1" a="1"/>
  <c r="K5002" i="1" s="1"/>
  <c r="O5002" i="1" s="1"/>
  <c r="K5003" i="1" a="1"/>
  <c r="K5003" i="1" s="1"/>
  <c r="O5003" i="1" s="1"/>
  <c r="K5004" i="1" a="1"/>
  <c r="K5004" i="1" s="1"/>
  <c r="O5004" i="1" s="1"/>
  <c r="K5005" i="1" a="1"/>
  <c r="K5005" i="1" s="1"/>
  <c r="O5005" i="1" s="1"/>
  <c r="K5006" i="1" a="1"/>
  <c r="K5006" i="1" s="1"/>
  <c r="O5006" i="1" s="1"/>
  <c r="K5007" i="1" a="1"/>
  <c r="K5007" i="1" s="1"/>
  <c r="O5007" i="1" s="1"/>
  <c r="K5008" i="1" a="1"/>
  <c r="K5008" i="1" s="1"/>
  <c r="O5008" i="1" s="1"/>
  <c r="K5009" i="1" a="1"/>
  <c r="K5009" i="1" s="1"/>
  <c r="O5009" i="1" s="1"/>
  <c r="K5010" i="1" a="1"/>
  <c r="K5010" i="1" s="1"/>
  <c r="O5010" i="1" s="1"/>
  <c r="K5011" i="1" a="1"/>
  <c r="K5011" i="1" s="1"/>
  <c r="O5011" i="1" s="1"/>
  <c r="K5012" i="1" a="1"/>
  <c r="K5012" i="1" s="1"/>
  <c r="O5012" i="1" s="1"/>
  <c r="K5013" i="1" a="1"/>
  <c r="K5013" i="1" s="1"/>
  <c r="O5013" i="1" s="1"/>
  <c r="K5014" i="1" a="1"/>
  <c r="K5014" i="1" s="1"/>
  <c r="O5014" i="1" s="1"/>
  <c r="K5015" i="1" a="1"/>
  <c r="K5015" i="1" s="1"/>
  <c r="M5015" i="1" s="1"/>
  <c r="K5016" i="1" a="1"/>
  <c r="K5016" i="1" s="1"/>
  <c r="O5016" i="1" s="1"/>
  <c r="K5017" i="1" a="1"/>
  <c r="K5017" i="1" s="1"/>
  <c r="O5017" i="1" s="1"/>
  <c r="K5018" i="1" a="1"/>
  <c r="K5018" i="1" s="1"/>
  <c r="O5018" i="1" s="1"/>
  <c r="K5019" i="1" a="1"/>
  <c r="K5019" i="1" s="1"/>
  <c r="K5020" i="1" a="1"/>
  <c r="K5020" i="1" s="1"/>
  <c r="O5020" i="1" s="1"/>
  <c r="K5021" i="1" a="1"/>
  <c r="K5021" i="1" s="1"/>
  <c r="O5021" i="1" s="1"/>
  <c r="K5022" i="1" a="1"/>
  <c r="K5022" i="1" s="1"/>
  <c r="O5022" i="1" s="1"/>
  <c r="K5023" i="1" a="1"/>
  <c r="K5023" i="1" s="1"/>
  <c r="K5024" i="1" a="1"/>
  <c r="K5024" i="1" s="1"/>
  <c r="K5025" i="1" a="1"/>
  <c r="K5025" i="1" s="1"/>
  <c r="O5025" i="1" s="1"/>
  <c r="K5026" i="1" a="1"/>
  <c r="K5026" i="1" s="1"/>
  <c r="O5026" i="1" s="1"/>
  <c r="K5027" i="1" a="1"/>
  <c r="K5027" i="1" s="1"/>
  <c r="O5027" i="1" s="1"/>
  <c r="K5028" i="1" a="1"/>
  <c r="K5028" i="1" s="1"/>
  <c r="O5028" i="1" s="1"/>
  <c r="K5029" i="1" a="1"/>
  <c r="K5029" i="1" s="1"/>
  <c r="O5029" i="1" s="1"/>
  <c r="K5030" i="1" a="1"/>
  <c r="K5030" i="1" s="1"/>
  <c r="O5030" i="1" s="1"/>
  <c r="K5031" i="1" a="1"/>
  <c r="K5031" i="1" s="1"/>
  <c r="O5031" i="1" s="1"/>
  <c r="K5032" i="1" a="1"/>
  <c r="K5032" i="1" s="1"/>
  <c r="O5032" i="1" s="1"/>
  <c r="K5033" i="1" a="1"/>
  <c r="K5033" i="1" s="1"/>
  <c r="O5033" i="1" s="1"/>
  <c r="K5034" i="1" a="1"/>
  <c r="K5034" i="1" s="1"/>
  <c r="O5034" i="1" s="1"/>
  <c r="K5035" i="1" a="1"/>
  <c r="K5035" i="1" s="1"/>
  <c r="O5035" i="1" s="1"/>
  <c r="K5036" i="1" a="1"/>
  <c r="K5036" i="1" s="1"/>
  <c r="O5036" i="1" s="1"/>
  <c r="K5037" i="1" a="1"/>
  <c r="K5037" i="1" s="1"/>
  <c r="O5037" i="1" s="1"/>
  <c r="K5038" i="1" a="1"/>
  <c r="K5038" i="1" s="1"/>
  <c r="O5038" i="1" s="1"/>
  <c r="K5039" i="1" a="1"/>
  <c r="K5039" i="1" s="1"/>
  <c r="O5039" i="1" s="1"/>
  <c r="K5040" i="1" a="1"/>
  <c r="K5040" i="1" s="1"/>
  <c r="O5040" i="1" s="1"/>
  <c r="K5041" i="1" a="1"/>
  <c r="K5041" i="1" s="1"/>
  <c r="O5041" i="1" s="1"/>
  <c r="K5042" i="1" a="1"/>
  <c r="K5042" i="1" s="1"/>
  <c r="O5042" i="1" s="1"/>
  <c r="K5043" i="1" a="1"/>
  <c r="K5043" i="1" s="1"/>
  <c r="O5043" i="1" s="1"/>
  <c r="K5044" i="1" a="1"/>
  <c r="K5044" i="1" s="1"/>
  <c r="O5044" i="1" s="1"/>
  <c r="K5045" i="1" a="1"/>
  <c r="K5045" i="1" s="1"/>
  <c r="O5045" i="1" s="1"/>
  <c r="K5046" i="1" a="1"/>
  <c r="K5046" i="1" s="1"/>
  <c r="O5046" i="1" s="1"/>
  <c r="K5047" i="1" a="1"/>
  <c r="K5047" i="1" s="1"/>
  <c r="O5047" i="1" s="1"/>
  <c r="K5048" i="1" a="1"/>
  <c r="K5048" i="1" s="1"/>
  <c r="O5048" i="1" s="1"/>
  <c r="K5049" i="1" a="1"/>
  <c r="K5049" i="1" s="1"/>
  <c r="O5049" i="1" s="1"/>
  <c r="K5050" i="1" a="1"/>
  <c r="K5050" i="1" s="1"/>
  <c r="O5050" i="1" s="1"/>
  <c r="K5051" i="1" a="1"/>
  <c r="K5051" i="1" s="1"/>
  <c r="O5051" i="1" s="1"/>
  <c r="K5052" i="1" a="1"/>
  <c r="K5052" i="1" s="1"/>
  <c r="O5052" i="1" s="1"/>
  <c r="K5053" i="1" a="1"/>
  <c r="K5053" i="1" s="1"/>
  <c r="O5053" i="1" s="1"/>
  <c r="K5054" i="1" a="1"/>
  <c r="K5054" i="1" s="1"/>
  <c r="O5054" i="1" s="1"/>
  <c r="K5055" i="1" a="1"/>
  <c r="K5055" i="1" s="1"/>
  <c r="O5055" i="1" s="1"/>
  <c r="K5056" i="1" a="1"/>
  <c r="K5056" i="1" s="1"/>
  <c r="O5056" i="1" s="1"/>
  <c r="K5057" i="1" a="1"/>
  <c r="K5057" i="1" s="1"/>
  <c r="O5057" i="1" s="1"/>
  <c r="K5058" i="1" a="1"/>
  <c r="K5058" i="1" s="1"/>
  <c r="O5058" i="1" s="1"/>
  <c r="K5059" i="1" a="1"/>
  <c r="K5059" i="1" s="1"/>
  <c r="O5059" i="1" s="1"/>
  <c r="K5060" i="1" a="1"/>
  <c r="K5060" i="1" s="1"/>
  <c r="O5060" i="1" s="1"/>
  <c r="K5061" i="1" a="1"/>
  <c r="K5061" i="1" s="1"/>
  <c r="O5061" i="1" s="1"/>
  <c r="K5062" i="1" a="1"/>
  <c r="K5062" i="1" s="1"/>
  <c r="O5062" i="1" s="1"/>
  <c r="K5063" i="1" a="1"/>
  <c r="K5063" i="1" s="1"/>
  <c r="O5063" i="1" s="1"/>
  <c r="K5064" i="1" a="1"/>
  <c r="K5064" i="1" s="1"/>
  <c r="O5064" i="1" s="1"/>
  <c r="K5065" i="1" a="1"/>
  <c r="K5065" i="1" s="1"/>
  <c r="O5065" i="1" s="1"/>
  <c r="K5066" i="1" a="1"/>
  <c r="K5066" i="1" s="1"/>
  <c r="O5066" i="1" s="1"/>
  <c r="K5067" i="1" a="1"/>
  <c r="K5067" i="1" s="1"/>
  <c r="O5067" i="1" s="1"/>
  <c r="K5068" i="1" a="1"/>
  <c r="K5068" i="1" s="1"/>
  <c r="O5068" i="1" s="1"/>
  <c r="K5069" i="1" a="1"/>
  <c r="K5069" i="1" s="1"/>
  <c r="O5069" i="1" s="1"/>
  <c r="K5070" i="1" a="1"/>
  <c r="K5070" i="1" s="1"/>
  <c r="O5070" i="1" s="1"/>
  <c r="K5071" i="1" a="1"/>
  <c r="K5071" i="1" s="1"/>
  <c r="O5071" i="1" s="1"/>
  <c r="K5072" i="1" a="1"/>
  <c r="K5072" i="1" s="1"/>
  <c r="O5072" i="1" s="1"/>
  <c r="K5073" i="1" a="1"/>
  <c r="K5073" i="1" s="1"/>
  <c r="O5073" i="1" s="1"/>
  <c r="K5074" i="1" a="1"/>
  <c r="K5074" i="1" s="1"/>
  <c r="O5074" i="1" s="1"/>
  <c r="K5075" i="1" a="1"/>
  <c r="K5075" i="1" s="1"/>
  <c r="O5075" i="1" s="1"/>
  <c r="K5076" i="1" a="1"/>
  <c r="K5076" i="1" s="1"/>
  <c r="O5076" i="1" s="1"/>
  <c r="K5077" i="1" a="1"/>
  <c r="K5077" i="1" s="1"/>
  <c r="O5077" i="1" s="1"/>
  <c r="K5078" i="1" a="1"/>
  <c r="K5078" i="1" s="1"/>
  <c r="O5078" i="1" s="1"/>
  <c r="K5079" i="1" a="1"/>
  <c r="K5079" i="1" s="1"/>
  <c r="O5079" i="1" s="1"/>
  <c r="K5080" i="1" a="1"/>
  <c r="K5080" i="1" s="1"/>
  <c r="O5080" i="1" s="1"/>
  <c r="K5081" i="1" a="1"/>
  <c r="K5081" i="1" s="1"/>
  <c r="O5081" i="1" s="1"/>
  <c r="K5082" i="1" a="1"/>
  <c r="K5082" i="1" s="1"/>
  <c r="O5082" i="1" s="1"/>
  <c r="K5083" i="1" a="1"/>
  <c r="K5083" i="1" s="1"/>
  <c r="O5083" i="1" s="1"/>
  <c r="K5084" i="1" a="1"/>
  <c r="K5084" i="1" s="1"/>
  <c r="O5084" i="1" s="1"/>
  <c r="K5085" i="1" a="1"/>
  <c r="K5085" i="1" s="1"/>
  <c r="O5085" i="1" s="1"/>
  <c r="K5086" i="1" a="1"/>
  <c r="K5086" i="1" s="1"/>
  <c r="O5086" i="1" s="1"/>
  <c r="K5087" i="1" a="1"/>
  <c r="K5087" i="1" s="1"/>
  <c r="O5087" i="1" s="1"/>
  <c r="K5088" i="1" a="1"/>
  <c r="K5088" i="1" s="1"/>
  <c r="K5089" i="1" a="1"/>
  <c r="K5089" i="1" s="1"/>
  <c r="O5089" i="1" s="1"/>
  <c r="K5090" i="1" a="1"/>
  <c r="K5090" i="1" s="1"/>
  <c r="O5090" i="1" s="1"/>
  <c r="K5091" i="1" a="1"/>
  <c r="K5091" i="1" s="1"/>
  <c r="O5091" i="1" s="1"/>
  <c r="K5092" i="1" a="1"/>
  <c r="K5092" i="1" s="1"/>
  <c r="O5092" i="1" s="1"/>
  <c r="K5093" i="1" a="1"/>
  <c r="K5093" i="1" s="1"/>
  <c r="O5093" i="1" s="1"/>
  <c r="K5094" i="1" a="1"/>
  <c r="K5094" i="1" s="1"/>
  <c r="O5094" i="1" s="1"/>
  <c r="K5095" i="1" a="1"/>
  <c r="K5095" i="1" s="1"/>
  <c r="O5095" i="1" s="1"/>
  <c r="K5096" i="1" a="1"/>
  <c r="K5096" i="1" s="1"/>
  <c r="O5096" i="1" s="1"/>
  <c r="K5097" i="1" a="1"/>
  <c r="K5097" i="1" s="1"/>
  <c r="O5097" i="1" s="1"/>
  <c r="K5098" i="1" a="1"/>
  <c r="K5098" i="1" s="1"/>
  <c r="O5098" i="1" s="1"/>
  <c r="K5099" i="1" a="1"/>
  <c r="K5099" i="1" s="1"/>
  <c r="O5099" i="1" s="1"/>
  <c r="K5100" i="1" a="1"/>
  <c r="K5100" i="1" s="1"/>
  <c r="O5100" i="1" s="1"/>
  <c r="K5101" i="1" a="1"/>
  <c r="K5101" i="1" s="1"/>
  <c r="O5101" i="1" s="1"/>
  <c r="K5102" i="1" a="1"/>
  <c r="K5102" i="1" s="1"/>
  <c r="O5102" i="1" s="1"/>
  <c r="K5103" i="1" a="1"/>
  <c r="K5103" i="1" s="1"/>
  <c r="O5103" i="1" s="1"/>
  <c r="K5104" i="1" a="1"/>
  <c r="K5104" i="1" s="1"/>
  <c r="O5104" i="1" s="1"/>
  <c r="K5105" i="1" a="1"/>
  <c r="K5105" i="1" s="1"/>
  <c r="O5105" i="1" s="1"/>
  <c r="K5106" i="1" a="1"/>
  <c r="K5106" i="1" s="1"/>
  <c r="O5106" i="1" s="1"/>
  <c r="K5107" i="1" a="1"/>
  <c r="K5107" i="1" s="1"/>
  <c r="O5107" i="1" s="1"/>
  <c r="K5108" i="1" a="1"/>
  <c r="K5108" i="1" s="1"/>
  <c r="O5108" i="1" s="1"/>
  <c r="K5109" i="1" a="1"/>
  <c r="K5109" i="1" s="1"/>
  <c r="O5109" i="1" s="1"/>
  <c r="K5110" i="1" a="1"/>
  <c r="K5110" i="1" s="1"/>
  <c r="O5110" i="1" s="1"/>
  <c r="K5111" i="1" a="1"/>
  <c r="K5111" i="1" s="1"/>
  <c r="O5111" i="1" s="1"/>
  <c r="K5112" i="1" a="1"/>
  <c r="K5112" i="1" s="1"/>
  <c r="O5112" i="1" s="1"/>
  <c r="K5113" i="1" a="1"/>
  <c r="K5113" i="1" s="1"/>
  <c r="O5113" i="1" s="1"/>
  <c r="K5114" i="1" a="1"/>
  <c r="K5114" i="1" s="1"/>
  <c r="O5114" i="1" s="1"/>
  <c r="K5115" i="1" a="1"/>
  <c r="K5115" i="1" s="1"/>
  <c r="O5115" i="1" s="1"/>
  <c r="K5116" i="1" a="1"/>
  <c r="K5116" i="1" s="1"/>
  <c r="K5117" i="1" a="1"/>
  <c r="K5117" i="1" s="1"/>
  <c r="K5118" i="1" a="1"/>
  <c r="K5118" i="1" s="1"/>
  <c r="O5118" i="1" s="1"/>
  <c r="K5119" i="1" a="1"/>
  <c r="K5119" i="1" s="1"/>
  <c r="O5119" i="1" s="1"/>
  <c r="K5120" i="1" a="1"/>
  <c r="K5120" i="1" s="1"/>
  <c r="O5120" i="1" s="1"/>
  <c r="K5121" i="1" a="1"/>
  <c r="K5121" i="1" s="1"/>
  <c r="O5121" i="1" s="1"/>
  <c r="K5122" i="1" a="1"/>
  <c r="K5122" i="1" s="1"/>
  <c r="O5122" i="1" s="1"/>
  <c r="K5123" i="1" a="1"/>
  <c r="K5123" i="1" s="1"/>
  <c r="O5123" i="1" s="1"/>
  <c r="K5124" i="1" a="1"/>
  <c r="K5124" i="1" s="1"/>
  <c r="O5124" i="1" s="1"/>
  <c r="K5125" i="1" a="1"/>
  <c r="K5125" i="1" s="1"/>
  <c r="O5125" i="1" s="1"/>
  <c r="K5126" i="1" a="1"/>
  <c r="K5126" i="1" s="1"/>
  <c r="O5126" i="1" s="1"/>
  <c r="K5127" i="1" a="1"/>
  <c r="K5127" i="1" s="1"/>
  <c r="O5127" i="1" s="1"/>
  <c r="K5128" i="1" a="1"/>
  <c r="K5128" i="1" s="1"/>
  <c r="O5128" i="1" s="1"/>
  <c r="K5129" i="1" a="1"/>
  <c r="K5129" i="1" s="1"/>
  <c r="O5129" i="1" s="1"/>
  <c r="K5130" i="1" a="1"/>
  <c r="K5130" i="1" s="1"/>
  <c r="O5130" i="1" s="1"/>
  <c r="K5131" i="1" a="1"/>
  <c r="K5131" i="1" s="1"/>
  <c r="O5131" i="1" s="1"/>
  <c r="K5132" i="1" a="1"/>
  <c r="K5132" i="1" s="1"/>
  <c r="O5132" i="1" s="1"/>
  <c r="K5133" i="1" a="1"/>
  <c r="K5133" i="1" s="1"/>
  <c r="O5133" i="1" s="1"/>
  <c r="K5134" i="1" a="1"/>
  <c r="K5134" i="1" s="1"/>
  <c r="O5134" i="1" s="1"/>
  <c r="K5135" i="1" a="1"/>
  <c r="K5135" i="1" s="1"/>
  <c r="O5135" i="1" s="1"/>
  <c r="K5136" i="1" a="1"/>
  <c r="K5136" i="1" s="1"/>
  <c r="O5136" i="1" s="1"/>
  <c r="K5137" i="1" a="1"/>
  <c r="K5137" i="1" s="1"/>
  <c r="O5137" i="1" s="1"/>
  <c r="K5138" i="1" a="1"/>
  <c r="K5138" i="1" s="1"/>
  <c r="O5138" i="1" s="1"/>
  <c r="K5139" i="1" a="1"/>
  <c r="K5139" i="1" s="1"/>
  <c r="O5139" i="1" s="1"/>
  <c r="K5140" i="1" a="1"/>
  <c r="K5140" i="1" s="1"/>
  <c r="O5140" i="1" s="1"/>
  <c r="K5141" i="1" a="1"/>
  <c r="K5141" i="1" s="1"/>
  <c r="O5141" i="1" s="1"/>
  <c r="K5142" i="1" a="1"/>
  <c r="K5142" i="1" s="1"/>
  <c r="O5142" i="1" s="1"/>
  <c r="K5143" i="1" a="1"/>
  <c r="K5143" i="1" s="1"/>
  <c r="O5143" i="1" s="1"/>
  <c r="K5144" i="1" a="1"/>
  <c r="K5144" i="1" s="1"/>
  <c r="O5144" i="1" s="1"/>
  <c r="K5145" i="1" a="1"/>
  <c r="K5145" i="1" s="1"/>
  <c r="O5145" i="1" s="1"/>
  <c r="K5146" i="1" a="1"/>
  <c r="K5146" i="1" s="1"/>
  <c r="O5146" i="1" s="1"/>
  <c r="K5147" i="1" a="1"/>
  <c r="K5147" i="1" s="1"/>
  <c r="O5147" i="1" s="1"/>
  <c r="K5148" i="1" a="1"/>
  <c r="K5148" i="1" s="1"/>
  <c r="K5149" i="1" a="1"/>
  <c r="K5149" i="1" s="1"/>
  <c r="O5149" i="1" s="1"/>
  <c r="K5150" i="1" a="1"/>
  <c r="K5150" i="1" s="1"/>
  <c r="O5150" i="1" s="1"/>
  <c r="K5151" i="1" a="1"/>
  <c r="K5151" i="1" s="1"/>
  <c r="O5151" i="1" s="1"/>
  <c r="K5152" i="1" a="1"/>
  <c r="K5152" i="1" s="1"/>
  <c r="O5152" i="1" s="1"/>
  <c r="K5153" i="1" a="1"/>
  <c r="K5153" i="1" s="1"/>
  <c r="O5153" i="1" s="1"/>
  <c r="K5154" i="1" a="1"/>
  <c r="K5154" i="1" s="1"/>
  <c r="O5154" i="1" s="1"/>
  <c r="K5155" i="1" a="1"/>
  <c r="K5155" i="1" s="1"/>
  <c r="O5155" i="1" s="1"/>
  <c r="K5156" i="1" a="1"/>
  <c r="K5156" i="1" s="1"/>
  <c r="O5156" i="1" s="1"/>
  <c r="K5157" i="1" a="1"/>
  <c r="K5157" i="1" s="1"/>
  <c r="O5157" i="1" s="1"/>
  <c r="K5158" i="1" a="1"/>
  <c r="K5158" i="1" s="1"/>
  <c r="O5158" i="1" s="1"/>
  <c r="K5159" i="1" a="1"/>
  <c r="K5159" i="1" s="1"/>
  <c r="O5159" i="1" s="1"/>
  <c r="K5160" i="1" a="1"/>
  <c r="K5160" i="1" s="1"/>
  <c r="O5160" i="1" s="1"/>
  <c r="K5161" i="1" a="1"/>
  <c r="K5161" i="1" s="1"/>
  <c r="O5161" i="1" s="1"/>
  <c r="K5162" i="1" a="1"/>
  <c r="K5162" i="1" s="1"/>
  <c r="O5162" i="1" s="1"/>
  <c r="K5163" i="1" a="1"/>
  <c r="K5163" i="1" s="1"/>
  <c r="O5163" i="1" s="1"/>
  <c r="K5164" i="1" a="1"/>
  <c r="K5164" i="1" s="1"/>
  <c r="O5164" i="1" s="1"/>
  <c r="K5165" i="1" a="1"/>
  <c r="K5165" i="1" s="1"/>
  <c r="K5166" i="1" a="1"/>
  <c r="K5166" i="1" s="1"/>
  <c r="O5166" i="1" s="1"/>
  <c r="K5167" i="1" a="1"/>
  <c r="K5167" i="1" s="1"/>
  <c r="O5167" i="1" s="1"/>
  <c r="K5168" i="1" a="1"/>
  <c r="K5168" i="1" s="1"/>
  <c r="O5168" i="1" s="1"/>
  <c r="K5169" i="1" a="1"/>
  <c r="K5169" i="1" s="1"/>
  <c r="O5169" i="1" s="1"/>
  <c r="K5170" i="1" a="1"/>
  <c r="K5170" i="1" s="1"/>
  <c r="O5170" i="1" s="1"/>
  <c r="K5171" i="1" a="1"/>
  <c r="K5171" i="1" s="1"/>
  <c r="K5172" i="1" a="1"/>
  <c r="K5172" i="1" s="1"/>
  <c r="O5172" i="1" s="1"/>
  <c r="K5173" i="1" a="1"/>
  <c r="K5173" i="1" s="1"/>
  <c r="O5173" i="1" s="1"/>
  <c r="K5174" i="1" a="1"/>
  <c r="K5174" i="1" s="1"/>
  <c r="O5174" i="1" s="1"/>
  <c r="K5175" i="1" a="1"/>
  <c r="K5175" i="1" s="1"/>
  <c r="O5175" i="1" s="1"/>
  <c r="K5176" i="1" a="1"/>
  <c r="K5176" i="1" s="1"/>
  <c r="O5176" i="1" s="1"/>
  <c r="K5177" i="1" a="1"/>
  <c r="K5177" i="1" s="1"/>
  <c r="O5177" i="1" s="1"/>
  <c r="K5178" i="1" a="1"/>
  <c r="K5178" i="1" s="1"/>
  <c r="O5178" i="1" s="1"/>
  <c r="K5179" i="1" a="1"/>
  <c r="K5179" i="1" s="1"/>
  <c r="O5179" i="1" s="1"/>
  <c r="K5180" i="1" a="1"/>
  <c r="K5180" i="1" s="1"/>
  <c r="O5180" i="1" s="1"/>
  <c r="K5181" i="1" a="1"/>
  <c r="K5181" i="1" s="1"/>
  <c r="O5181" i="1" s="1"/>
  <c r="K5182" i="1" a="1"/>
  <c r="K5182" i="1" s="1"/>
  <c r="O5182" i="1" s="1"/>
  <c r="K5183" i="1" a="1"/>
  <c r="K5183" i="1" s="1"/>
  <c r="O5183" i="1" s="1"/>
  <c r="K5184" i="1" a="1"/>
  <c r="K5184" i="1" s="1"/>
  <c r="O5184" i="1" s="1"/>
  <c r="K5185" i="1" a="1"/>
  <c r="K5185" i="1"/>
  <c r="O5185" i="1" s="1"/>
  <c r="K5186" i="1" a="1"/>
  <c r="K5186" i="1" s="1"/>
  <c r="O5186" i="1" s="1"/>
  <c r="K5187" i="1" a="1"/>
  <c r="K5187" i="1" s="1"/>
  <c r="O5187" i="1" s="1"/>
  <c r="K5188" i="1" a="1"/>
  <c r="K5188" i="1" s="1"/>
  <c r="O5188" i="1" s="1"/>
  <c r="K5189" i="1" a="1"/>
  <c r="K5189" i="1" s="1"/>
  <c r="O5189" i="1" s="1"/>
  <c r="K5190" i="1" a="1"/>
  <c r="K5190" i="1" s="1"/>
  <c r="O5190" i="1" s="1"/>
  <c r="K5191" i="1" a="1"/>
  <c r="K5191" i="1" s="1"/>
  <c r="O5191" i="1" s="1"/>
  <c r="K5192" i="1" a="1"/>
  <c r="K5192" i="1" s="1"/>
  <c r="K5193" i="1" a="1"/>
  <c r="K5193" i="1" s="1"/>
  <c r="K5194" i="1" a="1"/>
  <c r="K5194" i="1" s="1"/>
  <c r="O5194" i="1" s="1"/>
  <c r="K5195" i="1" a="1"/>
  <c r="K5195" i="1" s="1"/>
  <c r="O5195" i="1" s="1"/>
  <c r="K5196" i="1" a="1"/>
  <c r="K5196" i="1" s="1"/>
  <c r="O5196" i="1" s="1"/>
  <c r="K5197" i="1" a="1"/>
  <c r="K5197" i="1" s="1"/>
  <c r="O5197" i="1" s="1"/>
  <c r="K5198" i="1" a="1"/>
  <c r="K5198" i="1" s="1"/>
  <c r="O5198" i="1" s="1"/>
  <c r="K5199" i="1" a="1"/>
  <c r="K5199" i="1" s="1"/>
  <c r="K5200" i="1" a="1"/>
  <c r="K5200" i="1" s="1"/>
  <c r="O5200" i="1" s="1"/>
  <c r="K5201" i="1" a="1"/>
  <c r="K5201" i="1"/>
  <c r="O5201" i="1" s="1"/>
  <c r="K5202" i="1" a="1"/>
  <c r="K5202" i="1" s="1"/>
  <c r="O5202" i="1" s="1"/>
  <c r="K5203" i="1" a="1"/>
  <c r="K5203" i="1" s="1"/>
  <c r="O5203" i="1" s="1"/>
  <c r="K5204" i="1" a="1"/>
  <c r="K5204" i="1" s="1"/>
  <c r="M5204" i="1" s="1"/>
  <c r="K5205" i="1" a="1"/>
  <c r="K5205" i="1" s="1"/>
  <c r="O5205" i="1" s="1"/>
  <c r="K5206" i="1" a="1"/>
  <c r="K5206" i="1" s="1"/>
  <c r="O5206" i="1" s="1"/>
  <c r="K5207" i="1" a="1"/>
  <c r="K5207" i="1" s="1"/>
  <c r="O5207" i="1" s="1"/>
  <c r="K5208" i="1" a="1"/>
  <c r="K5208" i="1" s="1"/>
  <c r="O5208" i="1" s="1"/>
  <c r="K5209" i="1" a="1"/>
  <c r="K5209" i="1" s="1"/>
  <c r="O5209" i="1" s="1"/>
  <c r="K5210" i="1" a="1"/>
  <c r="K5210" i="1" s="1"/>
  <c r="O5210" i="1" s="1"/>
  <c r="K5211" i="1" a="1"/>
  <c r="K5211" i="1" s="1"/>
  <c r="O5211" i="1" s="1"/>
  <c r="K5212" i="1" a="1"/>
  <c r="K5212" i="1" s="1"/>
  <c r="O5212" i="1" s="1"/>
  <c r="K5213" i="1" a="1"/>
  <c r="K5213" i="1" s="1"/>
  <c r="O5213" i="1" s="1"/>
  <c r="K5214" i="1" a="1"/>
  <c r="K5214" i="1" s="1"/>
  <c r="K5215" i="1" a="1"/>
  <c r="K5215" i="1" s="1"/>
  <c r="O5215" i="1" s="1"/>
  <c r="K5216" i="1" a="1"/>
  <c r="K5216" i="1" s="1"/>
  <c r="O5216" i="1" s="1"/>
  <c r="K5217" i="1" a="1"/>
  <c r="K5217" i="1" s="1"/>
  <c r="O5217" i="1" s="1"/>
  <c r="K5218" i="1" a="1"/>
  <c r="K5218" i="1" s="1"/>
  <c r="O5218" i="1" s="1"/>
  <c r="K5219" i="1" a="1"/>
  <c r="K5219" i="1"/>
  <c r="O5219" i="1" s="1"/>
  <c r="K5220" i="1" a="1"/>
  <c r="K5220" i="1" s="1"/>
  <c r="O5220" i="1" s="1"/>
  <c r="K5221" i="1" a="1"/>
  <c r="K5221" i="1" s="1"/>
  <c r="O5221" i="1" s="1"/>
  <c r="K5222" i="1" a="1"/>
  <c r="K5222" i="1" s="1"/>
  <c r="O5222" i="1" s="1"/>
  <c r="K5223" i="1" a="1"/>
  <c r="K5223" i="1" s="1"/>
  <c r="O5223" i="1" s="1"/>
  <c r="K5224" i="1" a="1"/>
  <c r="K5224" i="1" s="1"/>
  <c r="O5224" i="1" s="1"/>
  <c r="K5225" i="1" a="1"/>
  <c r="K5225" i="1" s="1"/>
  <c r="O5225" i="1" s="1"/>
  <c r="K5226" i="1" a="1"/>
  <c r="K5226" i="1"/>
  <c r="O5226" i="1" s="1"/>
  <c r="K5227" i="1" a="1"/>
  <c r="K5227" i="1" s="1"/>
  <c r="K5228" i="1" a="1"/>
  <c r="K5228" i="1" s="1"/>
  <c r="K5229" i="1" a="1"/>
  <c r="K5229" i="1" s="1"/>
  <c r="O5229" i="1" s="1"/>
  <c r="K5230" i="1" a="1"/>
  <c r="K5230" i="1" s="1"/>
  <c r="O5230" i="1" s="1"/>
  <c r="K5231" i="1" a="1"/>
  <c r="K5231" i="1" s="1"/>
  <c r="O5231" i="1" s="1"/>
  <c r="K5232" i="1" a="1"/>
  <c r="K5232" i="1" s="1"/>
  <c r="O5232" i="1" s="1"/>
  <c r="K5233" i="1" a="1"/>
  <c r="K5233" i="1" s="1"/>
  <c r="O5233" i="1" s="1"/>
  <c r="K5234" i="1" a="1"/>
  <c r="K5234" i="1" s="1"/>
  <c r="O5234" i="1" s="1"/>
  <c r="K5235" i="1" a="1"/>
  <c r="K5235" i="1" s="1"/>
  <c r="O5235" i="1" s="1"/>
  <c r="K5236" i="1" a="1"/>
  <c r="K5236" i="1" s="1"/>
  <c r="O5236" i="1" s="1"/>
  <c r="K5237" i="1" a="1"/>
  <c r="K5237" i="1" s="1"/>
  <c r="O5237" i="1" s="1"/>
  <c r="K5238" i="1" a="1"/>
  <c r="K5238" i="1" s="1"/>
  <c r="O5238" i="1" s="1"/>
  <c r="K5239" i="1" a="1"/>
  <c r="K5239" i="1" s="1"/>
  <c r="O5239" i="1" s="1"/>
  <c r="K5240" i="1" a="1"/>
  <c r="K5240" i="1" s="1"/>
  <c r="O5240" i="1" s="1"/>
  <c r="K5241" i="1" a="1"/>
  <c r="K5241" i="1" s="1"/>
  <c r="O5241" i="1" s="1"/>
  <c r="K5242" i="1" a="1"/>
  <c r="K5242" i="1" s="1"/>
  <c r="O5242" i="1" s="1"/>
  <c r="K5243" i="1" a="1"/>
  <c r="K5243" i="1" s="1"/>
  <c r="K5244" i="1" a="1"/>
  <c r="K5244" i="1" s="1"/>
  <c r="O5244" i="1" s="1"/>
  <c r="K5245" i="1" a="1"/>
  <c r="K5245" i="1" s="1"/>
  <c r="O5245" i="1" s="1"/>
  <c r="K5246" i="1" a="1"/>
  <c r="K5246" i="1" s="1"/>
  <c r="O5246" i="1" s="1"/>
  <c r="K5247" i="1" a="1"/>
  <c r="K5247" i="1" s="1"/>
  <c r="O5247" i="1" s="1"/>
  <c r="K5248" i="1" a="1"/>
  <c r="K5248" i="1" s="1"/>
  <c r="O5248" i="1" s="1"/>
  <c r="K5249" i="1" a="1"/>
  <c r="K5249" i="1" s="1"/>
  <c r="O5249" i="1" s="1"/>
  <c r="K5250" i="1" a="1"/>
  <c r="K5250" i="1" s="1"/>
  <c r="O5250" i="1" s="1"/>
  <c r="K5251" i="1" a="1"/>
  <c r="K5251" i="1" s="1"/>
  <c r="O5251" i="1" s="1"/>
  <c r="K5252" i="1" a="1"/>
  <c r="K5252" i="1" s="1"/>
  <c r="O5252" i="1" s="1"/>
  <c r="K5253" i="1" a="1"/>
  <c r="K5253" i="1" s="1"/>
  <c r="O5253" i="1" s="1"/>
  <c r="K5254" i="1" a="1"/>
  <c r="K5254" i="1" s="1"/>
  <c r="O5254" i="1" s="1"/>
  <c r="K5255" i="1" a="1"/>
  <c r="K5255" i="1" s="1"/>
  <c r="O5255" i="1" s="1"/>
  <c r="K5256" i="1" a="1"/>
  <c r="K5256" i="1" s="1"/>
  <c r="K5257" i="1" a="1"/>
  <c r="K5257" i="1" s="1"/>
  <c r="O5257" i="1" s="1"/>
  <c r="K5258" i="1" a="1"/>
  <c r="K5258" i="1" s="1"/>
  <c r="O5258" i="1" s="1"/>
  <c r="K5259" i="1" a="1"/>
  <c r="K5259" i="1" s="1"/>
  <c r="O5259" i="1" s="1"/>
  <c r="K5260" i="1" a="1"/>
  <c r="K5260" i="1" s="1"/>
  <c r="O5260" i="1" s="1"/>
  <c r="K5261" i="1" a="1"/>
  <c r="K5261" i="1" s="1"/>
  <c r="O5261" i="1" s="1"/>
  <c r="K5262" i="1" a="1"/>
  <c r="K5262" i="1" s="1"/>
  <c r="O5262" i="1" s="1"/>
  <c r="K5263" i="1" a="1"/>
  <c r="K5263" i="1" s="1"/>
  <c r="O5263" i="1" s="1"/>
  <c r="K5264" i="1" a="1"/>
  <c r="K5264" i="1" s="1"/>
  <c r="O5264" i="1" s="1"/>
  <c r="K5265" i="1" a="1"/>
  <c r="K5265" i="1" s="1"/>
  <c r="O5265" i="1" s="1"/>
  <c r="K5266" i="1" a="1"/>
  <c r="K5266" i="1" s="1"/>
  <c r="O5266" i="1" s="1"/>
  <c r="K5267" i="1" a="1"/>
  <c r="K5267" i="1" s="1"/>
  <c r="O5267" i="1" s="1"/>
  <c r="K5268" i="1" a="1"/>
  <c r="K5268" i="1" s="1"/>
  <c r="O5268" i="1" s="1"/>
  <c r="K5269" i="1" a="1"/>
  <c r="K5269" i="1" s="1"/>
  <c r="O5269" i="1" s="1"/>
  <c r="K5270" i="1" a="1"/>
  <c r="K5270" i="1" s="1"/>
  <c r="O5270" i="1" s="1"/>
  <c r="K5271" i="1" a="1"/>
  <c r="K5271" i="1" s="1"/>
  <c r="O5271" i="1" s="1"/>
  <c r="K5272" i="1" a="1"/>
  <c r="K5272" i="1" s="1"/>
  <c r="O5272" i="1" s="1"/>
  <c r="K5273" i="1" a="1"/>
  <c r="K5273" i="1" s="1"/>
  <c r="O5273" i="1" s="1"/>
  <c r="K5274" i="1" a="1"/>
  <c r="K5274" i="1" s="1"/>
  <c r="O5274" i="1" s="1"/>
  <c r="K5275" i="1" a="1"/>
  <c r="K5275" i="1" s="1"/>
  <c r="O5275" i="1" s="1"/>
  <c r="K5276" i="1" a="1"/>
  <c r="K5276" i="1" s="1"/>
  <c r="O5276" i="1" s="1"/>
  <c r="K5277" i="1" a="1"/>
  <c r="K5277" i="1" s="1"/>
  <c r="O5277" i="1" s="1"/>
  <c r="K5278" i="1" a="1"/>
  <c r="K5278" i="1" s="1"/>
  <c r="O5278" i="1" s="1"/>
  <c r="K5279" i="1" a="1"/>
  <c r="K5279" i="1" s="1"/>
  <c r="O5279" i="1" s="1"/>
  <c r="K5280" i="1" a="1"/>
  <c r="K5280" i="1" s="1"/>
  <c r="O5280" i="1" s="1"/>
  <c r="K5281" i="1" a="1"/>
  <c r="K5281" i="1" s="1"/>
  <c r="O5281" i="1" s="1"/>
  <c r="K5282" i="1" a="1"/>
  <c r="K5282" i="1" s="1"/>
  <c r="O5282" i="1" s="1"/>
  <c r="K5283" i="1" a="1"/>
  <c r="K5283" i="1" s="1"/>
  <c r="O5283" i="1" s="1"/>
  <c r="K5284" i="1" a="1"/>
  <c r="K5284" i="1" s="1"/>
  <c r="O5284" i="1" s="1"/>
  <c r="K5285" i="1" a="1"/>
  <c r="K5285" i="1" s="1"/>
  <c r="O5285" i="1" s="1"/>
  <c r="K5286" i="1" a="1"/>
  <c r="K5286" i="1" s="1"/>
  <c r="O5286" i="1" s="1"/>
  <c r="K5287" i="1" a="1"/>
  <c r="K5287" i="1" s="1"/>
  <c r="O5287" i="1" s="1"/>
  <c r="K5288" i="1" a="1"/>
  <c r="K5288" i="1" s="1"/>
  <c r="O5288" i="1" s="1"/>
  <c r="K5289" i="1" a="1"/>
  <c r="K5289" i="1" s="1"/>
  <c r="O5289" i="1" s="1"/>
  <c r="K5290" i="1" a="1"/>
  <c r="K5290" i="1" s="1"/>
  <c r="O5290" i="1" s="1"/>
  <c r="K5291" i="1" a="1"/>
  <c r="K5291" i="1" s="1"/>
  <c r="O5291" i="1" s="1"/>
  <c r="K5292" i="1" a="1"/>
  <c r="K5292" i="1" s="1"/>
  <c r="O5292" i="1" s="1"/>
  <c r="K5293" i="1" a="1"/>
  <c r="K5293" i="1" s="1"/>
  <c r="O5293" i="1" s="1"/>
  <c r="K5294" i="1" a="1"/>
  <c r="K5294" i="1" s="1"/>
  <c r="O5294" i="1" s="1"/>
  <c r="K5295" i="1" a="1"/>
  <c r="K5295" i="1" s="1"/>
  <c r="O5295" i="1" s="1"/>
  <c r="K5296" i="1" a="1"/>
  <c r="K5296" i="1" s="1"/>
  <c r="O5296" i="1" s="1"/>
  <c r="K5297" i="1" a="1"/>
  <c r="K5297" i="1" s="1"/>
  <c r="O5297" i="1" s="1"/>
  <c r="K5298" i="1" a="1"/>
  <c r="K5298" i="1" s="1"/>
  <c r="O5298" i="1" s="1"/>
  <c r="K5299" i="1" a="1"/>
  <c r="K5299" i="1" s="1"/>
  <c r="O5299" i="1" s="1"/>
  <c r="K5300" i="1" a="1"/>
  <c r="K5300" i="1" s="1"/>
  <c r="K5301" i="1" a="1"/>
  <c r="K5301" i="1" s="1"/>
  <c r="K5302" i="1" a="1"/>
  <c r="K5302" i="1" s="1"/>
  <c r="M5302" i="1" s="1"/>
  <c r="K5303" i="1" a="1"/>
  <c r="K5303" i="1" s="1"/>
  <c r="O5303" i="1" s="1"/>
  <c r="K5304" i="1" a="1"/>
  <c r="K5304" i="1" s="1"/>
  <c r="O5304" i="1" s="1"/>
  <c r="K5305" i="1" a="1"/>
  <c r="K5305" i="1" s="1"/>
  <c r="O5305" i="1" s="1"/>
  <c r="K5306" i="1" a="1"/>
  <c r="K5306" i="1" s="1"/>
  <c r="O5306" i="1" s="1"/>
  <c r="K5307" i="1" a="1"/>
  <c r="K5307" i="1" s="1"/>
  <c r="O5307" i="1" s="1"/>
  <c r="K5308" i="1" a="1"/>
  <c r="K5308" i="1" s="1"/>
  <c r="O5308" i="1" s="1"/>
  <c r="K5309" i="1" a="1"/>
  <c r="K5309" i="1"/>
  <c r="O5309" i="1" s="1"/>
  <c r="K5310" i="1" a="1"/>
  <c r="K5310" i="1" s="1"/>
  <c r="O5310" i="1" s="1"/>
  <c r="K5311" i="1" a="1"/>
  <c r="K5311" i="1" s="1"/>
  <c r="O5311" i="1" s="1"/>
  <c r="K5312" i="1" a="1"/>
  <c r="K5312" i="1" s="1"/>
  <c r="O5312" i="1" s="1"/>
  <c r="K5313" i="1" a="1"/>
  <c r="K5313" i="1" s="1"/>
  <c r="O5313" i="1" s="1"/>
  <c r="K5314" i="1" a="1"/>
  <c r="K5314" i="1" s="1"/>
  <c r="O5314" i="1" s="1"/>
  <c r="K5315" i="1" a="1"/>
  <c r="K5315" i="1" s="1"/>
  <c r="O5315" i="1" s="1"/>
  <c r="K5316" i="1" a="1"/>
  <c r="K5316" i="1" s="1"/>
  <c r="O5316" i="1" s="1"/>
  <c r="K5317" i="1" a="1"/>
  <c r="K5317" i="1"/>
  <c r="O5317" i="1" s="1"/>
  <c r="K5318" i="1" a="1"/>
  <c r="K5318" i="1" s="1"/>
  <c r="O5318" i="1" s="1"/>
  <c r="K5319" i="1" a="1"/>
  <c r="K5319" i="1"/>
  <c r="O5319" i="1" s="1"/>
  <c r="K5320" i="1" a="1"/>
  <c r="K5320" i="1" s="1"/>
  <c r="O5320" i="1" s="1"/>
  <c r="K5321" i="1" a="1"/>
  <c r="K5321" i="1" s="1"/>
  <c r="O5321" i="1" s="1"/>
  <c r="K5322" i="1" a="1"/>
  <c r="K5322" i="1" s="1"/>
  <c r="O5322" i="1" s="1"/>
  <c r="K5323" i="1" a="1"/>
  <c r="K5323" i="1" s="1"/>
  <c r="O5323" i="1" s="1"/>
  <c r="K5324" i="1" a="1"/>
  <c r="K5324" i="1" s="1"/>
  <c r="O5324" i="1" s="1"/>
  <c r="K5325" i="1" a="1"/>
  <c r="K5325" i="1" s="1"/>
  <c r="O5325" i="1" s="1"/>
  <c r="K5326" i="1" a="1"/>
  <c r="K5326" i="1"/>
  <c r="O5326" i="1" s="1"/>
  <c r="K5327" i="1" a="1"/>
  <c r="K5327" i="1" s="1"/>
  <c r="O5327" i="1" s="1"/>
  <c r="K5328" i="1" a="1"/>
  <c r="K5328" i="1" s="1"/>
  <c r="O5328" i="1" s="1"/>
  <c r="K5329" i="1" a="1"/>
  <c r="K5329" i="1"/>
  <c r="O5329" i="1" s="1"/>
  <c r="K5330" i="1" a="1"/>
  <c r="K5330" i="1" s="1"/>
  <c r="O5330" i="1" s="1"/>
  <c r="K5331" i="1" a="1"/>
  <c r="K5331" i="1"/>
  <c r="O5331" i="1" s="1"/>
  <c r="K5332" i="1" a="1"/>
  <c r="K5332" i="1" s="1"/>
  <c r="O5332" i="1" s="1"/>
  <c r="K5333" i="1" a="1"/>
  <c r="K5333" i="1" s="1"/>
  <c r="O5333" i="1" s="1"/>
  <c r="K5334" i="1" a="1"/>
  <c r="K5334" i="1" s="1"/>
  <c r="O5334" i="1" s="1"/>
  <c r="K5335" i="1" a="1"/>
  <c r="K5335" i="1"/>
  <c r="O5335" i="1" s="1"/>
  <c r="K5336" i="1" a="1"/>
  <c r="K5336" i="1" s="1"/>
  <c r="O5336" i="1" s="1"/>
  <c r="K5337" i="1" a="1"/>
  <c r="K5337" i="1"/>
  <c r="O5337" i="1" s="1"/>
  <c r="K5338" i="1" a="1"/>
  <c r="K5338" i="1" s="1"/>
  <c r="O5338" i="1" s="1"/>
  <c r="K5339" i="1" a="1"/>
  <c r="K5339" i="1" s="1"/>
  <c r="O5339" i="1" s="1"/>
  <c r="K5340" i="1" a="1"/>
  <c r="K5340" i="1" s="1"/>
  <c r="O5340" i="1" s="1"/>
  <c r="K5341" i="1" a="1"/>
  <c r="K5341" i="1"/>
  <c r="O5341" i="1" s="1"/>
  <c r="K5342" i="1" a="1"/>
  <c r="K5342" i="1" s="1"/>
  <c r="O5342" i="1" s="1"/>
  <c r="K5343" i="1" a="1"/>
  <c r="K5343" i="1" s="1"/>
  <c r="O5343" i="1" s="1"/>
  <c r="K5344" i="1" a="1"/>
  <c r="K5344" i="1" s="1"/>
  <c r="K5345" i="1" a="1"/>
  <c r="K5345" i="1" s="1"/>
  <c r="O5345" i="1" s="1"/>
  <c r="K5346" i="1" a="1"/>
  <c r="K5346" i="1" s="1"/>
  <c r="O5346" i="1" s="1"/>
  <c r="K5347" i="1" a="1"/>
  <c r="K5347" i="1" s="1"/>
  <c r="K5348" i="1" a="1"/>
  <c r="K5348" i="1" s="1"/>
  <c r="O5348" i="1" s="1"/>
  <c r="K5349" i="1" a="1"/>
  <c r="K5349" i="1" s="1"/>
  <c r="O5349" i="1" s="1"/>
  <c r="K5350" i="1" a="1"/>
  <c r="K5350" i="1" s="1"/>
  <c r="O5350" i="1" s="1"/>
  <c r="K5351" i="1" a="1"/>
  <c r="K5351" i="1" s="1"/>
  <c r="K5352" i="1" a="1"/>
  <c r="K5352" i="1" s="1"/>
  <c r="O5352" i="1" s="1"/>
  <c r="K5353" i="1" a="1"/>
  <c r="K5353" i="1" s="1"/>
  <c r="O5353" i="1" s="1"/>
  <c r="K5354" i="1" a="1"/>
  <c r="K5354" i="1" s="1"/>
  <c r="O5354" i="1" s="1"/>
  <c r="K5355" i="1" a="1"/>
  <c r="K5355" i="1" s="1"/>
  <c r="O5355" i="1" s="1"/>
  <c r="K5356" i="1" a="1"/>
  <c r="K5356" i="1" s="1"/>
  <c r="O5356" i="1" s="1"/>
  <c r="K5357" i="1" a="1"/>
  <c r="K5357" i="1" s="1"/>
  <c r="O5357" i="1" s="1"/>
  <c r="K5358" i="1" a="1"/>
  <c r="K5358" i="1" s="1"/>
  <c r="O5358" i="1" s="1"/>
  <c r="K5359" i="1" a="1"/>
  <c r="K5359" i="1" s="1"/>
  <c r="O5359" i="1" s="1"/>
  <c r="K5360" i="1" a="1"/>
  <c r="K5360" i="1" s="1"/>
  <c r="O5360" i="1" s="1"/>
  <c r="K5361" i="1" a="1"/>
  <c r="K5361" i="1" s="1"/>
  <c r="O5361" i="1" s="1"/>
  <c r="K5362" i="1" a="1"/>
  <c r="K5362" i="1" s="1"/>
  <c r="O5362" i="1" s="1"/>
  <c r="K5363" i="1" a="1"/>
  <c r="K5363" i="1" s="1"/>
  <c r="O5363" i="1" s="1"/>
  <c r="K5364" i="1" a="1"/>
  <c r="K5364" i="1" s="1"/>
  <c r="O5364" i="1" s="1"/>
  <c r="K5365" i="1" a="1"/>
  <c r="K5365" i="1" s="1"/>
  <c r="K5366" i="1" a="1"/>
  <c r="K5366" i="1" s="1"/>
  <c r="O5366" i="1" s="1"/>
  <c r="K5367" i="1" a="1"/>
  <c r="K5367" i="1" s="1"/>
  <c r="O5367" i="1" s="1"/>
  <c r="K5368" i="1" a="1"/>
  <c r="K5368" i="1" s="1"/>
  <c r="O5368" i="1" s="1"/>
  <c r="K5369" i="1" a="1"/>
  <c r="K5369" i="1" s="1"/>
  <c r="O5369" i="1" s="1"/>
  <c r="K5370" i="1" a="1"/>
  <c r="K5370" i="1" s="1"/>
  <c r="O5370" i="1" s="1"/>
  <c r="K5371" i="1" a="1"/>
  <c r="K5371" i="1" s="1"/>
  <c r="O5371" i="1" s="1"/>
  <c r="K5372" i="1" a="1"/>
  <c r="K5372" i="1" s="1"/>
  <c r="O5372" i="1" s="1"/>
  <c r="K5373" i="1" a="1"/>
  <c r="K5373" i="1" s="1"/>
  <c r="O5373" i="1" s="1"/>
  <c r="K5374" i="1" a="1"/>
  <c r="K5374" i="1" s="1"/>
  <c r="O5374" i="1" s="1"/>
  <c r="K5375" i="1" a="1"/>
  <c r="K5375" i="1" s="1"/>
  <c r="O5375" i="1" s="1"/>
  <c r="K5376" i="1" a="1"/>
  <c r="K5376" i="1" s="1"/>
  <c r="O5376" i="1" s="1"/>
  <c r="K5377" i="1" a="1"/>
  <c r="K5377" i="1" s="1"/>
  <c r="O5377" i="1" s="1"/>
  <c r="K5378" i="1" a="1"/>
  <c r="K5378" i="1" s="1"/>
  <c r="O5378" i="1" s="1"/>
  <c r="K5379" i="1" a="1"/>
  <c r="K5379" i="1" s="1"/>
  <c r="O5379" i="1" s="1"/>
  <c r="K5380" i="1" a="1"/>
  <c r="K5380" i="1" s="1"/>
  <c r="O5380" i="1" s="1"/>
  <c r="K5381" i="1" a="1"/>
  <c r="K5381" i="1"/>
  <c r="O5381" i="1" s="1"/>
  <c r="K5382" i="1" a="1"/>
  <c r="K5382" i="1" s="1"/>
  <c r="O5382" i="1" s="1"/>
  <c r="K5383" i="1" a="1"/>
  <c r="K5383" i="1" s="1"/>
  <c r="O5383" i="1" s="1"/>
  <c r="K5384" i="1" a="1"/>
  <c r="K5384" i="1" s="1"/>
  <c r="O5384" i="1" s="1"/>
  <c r="K5385" i="1" a="1"/>
  <c r="K5385" i="1" s="1"/>
  <c r="O5385" i="1" s="1"/>
  <c r="K5386" i="1" a="1"/>
  <c r="K5386" i="1"/>
  <c r="O5386" i="1" s="1"/>
  <c r="K5387" i="1" a="1"/>
  <c r="K5387" i="1" s="1"/>
  <c r="N5387" i="1" s="1"/>
  <c r="K5388" i="1" a="1"/>
  <c r="K5388" i="1" s="1"/>
  <c r="O5388" i="1" s="1"/>
  <c r="K5389" i="1" a="1"/>
  <c r="K5389" i="1" s="1"/>
  <c r="O5389" i="1" s="1"/>
  <c r="K5390" i="1" a="1"/>
  <c r="K5390" i="1" s="1"/>
  <c r="O5390" i="1" s="1"/>
  <c r="K5391" i="1" a="1"/>
  <c r="K5391" i="1" s="1"/>
  <c r="O5391" i="1" s="1"/>
  <c r="K5392" i="1" a="1"/>
  <c r="K5392" i="1" s="1"/>
  <c r="O5392" i="1" s="1"/>
  <c r="K5393" i="1" a="1"/>
  <c r="K5393" i="1" s="1"/>
  <c r="O5393" i="1" s="1"/>
  <c r="K5394" i="1" a="1"/>
  <c r="K5394" i="1" s="1"/>
  <c r="O5394" i="1" s="1"/>
  <c r="K5395" i="1" a="1"/>
  <c r="K5395" i="1" s="1"/>
  <c r="N5395" i="1" s="1"/>
  <c r="K5396" i="1" a="1"/>
  <c r="K5396" i="1" s="1"/>
  <c r="O5396" i="1" s="1"/>
  <c r="K5397" i="1" a="1"/>
  <c r="K5397" i="1"/>
  <c r="K5398" i="1" a="1"/>
  <c r="K5398" i="1" s="1"/>
  <c r="O5398" i="1" s="1"/>
  <c r="K5399" i="1" a="1"/>
  <c r="K5399" i="1" s="1"/>
  <c r="O5399" i="1" s="1"/>
  <c r="K5400" i="1" a="1"/>
  <c r="K5400" i="1" s="1"/>
  <c r="O5400" i="1" s="1"/>
  <c r="K5401" i="1" a="1"/>
  <c r="K5401" i="1" s="1"/>
  <c r="O5401" i="1" s="1"/>
  <c r="K5402" i="1" a="1"/>
  <c r="K5402" i="1"/>
  <c r="O5402" i="1" s="1"/>
  <c r="K5403" i="1" a="1"/>
  <c r="K5403" i="1" s="1"/>
  <c r="O5403" i="1" s="1"/>
  <c r="K5404" i="1" a="1"/>
  <c r="K5404" i="1" s="1"/>
  <c r="O5404" i="1" s="1"/>
  <c r="K5405" i="1" a="1"/>
  <c r="K5405" i="1" s="1"/>
  <c r="O5405" i="1" s="1"/>
  <c r="K5406" i="1" a="1"/>
  <c r="K5406" i="1" s="1"/>
  <c r="O5406" i="1" s="1"/>
  <c r="K5407" i="1" a="1"/>
  <c r="K5407" i="1" s="1"/>
  <c r="K5408" i="1" a="1"/>
  <c r="K5408" i="1" s="1"/>
  <c r="O5408" i="1" s="1"/>
  <c r="K5409" i="1" a="1"/>
  <c r="K5409" i="1"/>
  <c r="O5409" i="1" s="1"/>
  <c r="K5410" i="1" a="1"/>
  <c r="K5410" i="1"/>
  <c r="O5410" i="1" s="1"/>
  <c r="K5411" i="1" a="1"/>
  <c r="K5411" i="1" s="1"/>
  <c r="O5411" i="1" s="1"/>
  <c r="K5412" i="1" a="1"/>
  <c r="K5412" i="1" s="1"/>
  <c r="O5412" i="1" s="1"/>
  <c r="K5413" i="1" a="1"/>
  <c r="K5413" i="1" s="1"/>
  <c r="O5413" i="1" s="1"/>
  <c r="K5414" i="1" a="1"/>
  <c r="K5414" i="1" s="1"/>
  <c r="O5414" i="1" s="1"/>
  <c r="K5415" i="1" a="1"/>
  <c r="K5415" i="1" s="1"/>
  <c r="O5415" i="1" s="1"/>
  <c r="K5416" i="1" a="1"/>
  <c r="K5416" i="1" s="1"/>
  <c r="O5416" i="1" s="1"/>
  <c r="K5417" i="1" a="1"/>
  <c r="K5417" i="1" s="1"/>
  <c r="O5417" i="1" s="1"/>
  <c r="K5418" i="1" a="1"/>
  <c r="K5418" i="1" s="1"/>
  <c r="O5418" i="1" s="1"/>
  <c r="K5419" i="1" a="1"/>
  <c r="K5419" i="1" s="1"/>
  <c r="O5419" i="1" s="1"/>
  <c r="K5420" i="1" a="1"/>
  <c r="K5420" i="1" s="1"/>
  <c r="O5420" i="1" s="1"/>
  <c r="K5421" i="1" a="1"/>
  <c r="K5421" i="1" s="1"/>
  <c r="O5421" i="1" s="1"/>
  <c r="K5422" i="1" a="1"/>
  <c r="K5422" i="1" s="1"/>
  <c r="O5422" i="1" s="1"/>
  <c r="K5423" i="1" a="1"/>
  <c r="K5423" i="1" s="1"/>
  <c r="O5423" i="1" s="1"/>
  <c r="K5424" i="1" a="1"/>
  <c r="K5424" i="1" s="1"/>
  <c r="O5424" i="1" s="1"/>
  <c r="K5425" i="1" a="1"/>
  <c r="K5425" i="1" s="1"/>
  <c r="O5425" i="1" s="1"/>
  <c r="K5426" i="1" a="1"/>
  <c r="K5426" i="1" s="1"/>
  <c r="O5426" i="1" s="1"/>
  <c r="K5427" i="1" a="1"/>
  <c r="K5427" i="1" s="1"/>
  <c r="O5427" i="1" s="1"/>
  <c r="K5428" i="1" a="1"/>
  <c r="K5428" i="1" s="1"/>
  <c r="O5428" i="1" s="1"/>
  <c r="K5429" i="1" a="1"/>
  <c r="K5429" i="1" s="1"/>
  <c r="O5429" i="1" s="1"/>
  <c r="K5430" i="1" a="1"/>
  <c r="K5430" i="1" s="1"/>
  <c r="O5430" i="1" s="1"/>
  <c r="K5431" i="1" a="1"/>
  <c r="K5431" i="1"/>
  <c r="O5431" i="1" s="1"/>
  <c r="K5432" i="1" a="1"/>
  <c r="K5432" i="1" s="1"/>
  <c r="O5432" i="1" s="1"/>
  <c r="K5433" i="1" a="1"/>
  <c r="K5433" i="1" s="1"/>
  <c r="O5433" i="1" s="1"/>
  <c r="K5434" i="1" a="1"/>
  <c r="K5434" i="1" s="1"/>
  <c r="O5434" i="1" s="1"/>
  <c r="K5435" i="1" a="1"/>
  <c r="K5435" i="1" s="1"/>
  <c r="O5435" i="1" s="1"/>
  <c r="K5436" i="1" a="1"/>
  <c r="K5436" i="1" s="1"/>
  <c r="O5436" i="1" s="1"/>
  <c r="K5437" i="1" a="1"/>
  <c r="K5437" i="1" s="1"/>
  <c r="O5437" i="1" s="1"/>
  <c r="K5438" i="1" a="1"/>
  <c r="K5438" i="1"/>
  <c r="O5438" i="1" s="1"/>
  <c r="K5439" i="1" a="1"/>
  <c r="K5439" i="1" s="1"/>
  <c r="K5440" i="1" a="1"/>
  <c r="K5440" i="1" s="1"/>
  <c r="O5440" i="1" s="1"/>
  <c r="K5441" i="1" a="1"/>
  <c r="K5441" i="1" s="1"/>
  <c r="O5441" i="1" s="1"/>
  <c r="K5442" i="1" a="1"/>
  <c r="K5442" i="1" s="1"/>
  <c r="O5442" i="1" s="1"/>
  <c r="K5443" i="1" a="1"/>
  <c r="K5443" i="1" s="1"/>
  <c r="O5443" i="1" s="1"/>
  <c r="K5444" i="1" a="1"/>
  <c r="K5444" i="1" s="1"/>
  <c r="O5444" i="1" s="1"/>
  <c r="K5445" i="1" a="1"/>
  <c r="K5445" i="1" s="1"/>
  <c r="O5445" i="1" s="1"/>
  <c r="K5446" i="1" a="1"/>
  <c r="K5446" i="1" s="1"/>
  <c r="O5446" i="1" s="1"/>
  <c r="K5447" i="1" a="1"/>
  <c r="K5447" i="1"/>
  <c r="O5447" i="1" s="1"/>
  <c r="K5448" i="1" a="1"/>
  <c r="K5448" i="1" s="1"/>
  <c r="O5448" i="1" s="1"/>
  <c r="K5449" i="1" a="1"/>
  <c r="K5449" i="1" s="1"/>
  <c r="O5449" i="1" s="1"/>
  <c r="K5450" i="1" a="1"/>
  <c r="K5450" i="1" s="1"/>
  <c r="O5450" i="1" s="1"/>
  <c r="K5451" i="1" a="1"/>
  <c r="K5451" i="1" s="1"/>
  <c r="O5451" i="1" s="1"/>
  <c r="K5452" i="1" a="1"/>
  <c r="K5452" i="1" s="1"/>
  <c r="O5452" i="1" s="1"/>
  <c r="K5453" i="1" a="1"/>
  <c r="K5453" i="1" s="1"/>
  <c r="O5453" i="1" s="1"/>
  <c r="K5454" i="1" a="1"/>
  <c r="K5454" i="1" s="1"/>
  <c r="O5454" i="1" s="1"/>
  <c r="K5455" i="1" a="1"/>
  <c r="K5455" i="1" s="1"/>
  <c r="O5455" i="1" s="1"/>
  <c r="K5456" i="1" a="1"/>
  <c r="K5456" i="1" s="1"/>
  <c r="K5457" i="1" a="1"/>
  <c r="K5457" i="1" s="1"/>
  <c r="O5457" i="1" s="1"/>
  <c r="K5458" i="1" a="1"/>
  <c r="K5458" i="1" s="1"/>
  <c r="O5458" i="1" s="1"/>
  <c r="K5459" i="1" a="1"/>
  <c r="K5459" i="1" s="1"/>
  <c r="O5459" i="1" s="1"/>
  <c r="K5460" i="1" a="1"/>
  <c r="K5460" i="1" s="1"/>
  <c r="O5460" i="1" s="1"/>
  <c r="K5461" i="1" a="1"/>
  <c r="K5461" i="1" s="1"/>
  <c r="O5461" i="1" s="1"/>
  <c r="K5462" i="1" a="1"/>
  <c r="K5462" i="1" s="1"/>
  <c r="O5462" i="1" s="1"/>
  <c r="K5463" i="1" a="1"/>
  <c r="K5463" i="1" s="1"/>
  <c r="K5464" i="1" a="1"/>
  <c r="K5464" i="1" s="1"/>
  <c r="O5464" i="1" s="1"/>
  <c r="K5465" i="1" a="1"/>
  <c r="K5465" i="1" s="1"/>
  <c r="O5465" i="1" s="1"/>
  <c r="K5466" i="1" a="1"/>
  <c r="K5466" i="1" s="1"/>
  <c r="O5466" i="1" s="1"/>
  <c r="K5467" i="1" a="1"/>
  <c r="K5467" i="1" s="1"/>
  <c r="O5467" i="1" s="1"/>
  <c r="K5468" i="1" a="1"/>
  <c r="K5468" i="1" s="1"/>
  <c r="O5468" i="1" s="1"/>
  <c r="K5469" i="1" a="1"/>
  <c r="K5469" i="1" s="1"/>
  <c r="O5469" i="1" s="1"/>
  <c r="K5470" i="1" a="1"/>
  <c r="K5470" i="1" s="1"/>
  <c r="O5470" i="1" s="1"/>
  <c r="K5471" i="1" a="1"/>
  <c r="K5471" i="1" s="1"/>
  <c r="O5471" i="1" s="1"/>
  <c r="K5472" i="1" a="1"/>
  <c r="K5472" i="1" s="1"/>
  <c r="O5472" i="1" s="1"/>
  <c r="K5473" i="1" a="1"/>
  <c r="K5473" i="1" s="1"/>
  <c r="O5473" i="1" s="1"/>
  <c r="K5474" i="1" a="1"/>
  <c r="K5474" i="1" s="1"/>
  <c r="O5474" i="1" s="1"/>
  <c r="K5475" i="1" a="1"/>
  <c r="K5475" i="1" s="1"/>
  <c r="O5475" i="1" s="1"/>
  <c r="K5476" i="1" a="1"/>
  <c r="K5476" i="1" s="1"/>
  <c r="O5476" i="1" s="1"/>
  <c r="K5477" i="1" a="1"/>
  <c r="K5477" i="1" s="1"/>
  <c r="O5477" i="1" s="1"/>
  <c r="K5478" i="1" a="1"/>
  <c r="K5478" i="1" s="1"/>
  <c r="O5478" i="1" s="1"/>
  <c r="K5479" i="1" a="1"/>
  <c r="K5479" i="1" s="1"/>
  <c r="O5479" i="1" s="1"/>
  <c r="K5480" i="1" a="1"/>
  <c r="K5480" i="1" s="1"/>
  <c r="O5480" i="1" s="1"/>
  <c r="K5481" i="1" a="1"/>
  <c r="K5481" i="1" s="1"/>
  <c r="O5481" i="1" s="1"/>
  <c r="K5482" i="1" a="1"/>
  <c r="K5482" i="1" s="1"/>
  <c r="O5482" i="1" s="1"/>
  <c r="K5483" i="1" a="1"/>
  <c r="K5483" i="1" s="1"/>
  <c r="M5483" i="1" s="1"/>
  <c r="K5484" i="1" a="1"/>
  <c r="K5484" i="1" s="1"/>
  <c r="O5484" i="1" s="1"/>
  <c r="K5485" i="1" a="1"/>
  <c r="K5485" i="1" s="1"/>
  <c r="O5485" i="1" s="1"/>
  <c r="K5486" i="1" a="1"/>
  <c r="K5486" i="1" s="1"/>
  <c r="O5486" i="1" s="1"/>
  <c r="K5487" i="1" a="1"/>
  <c r="K5487" i="1" s="1"/>
  <c r="O5487" i="1" s="1"/>
  <c r="K5488" i="1" a="1"/>
  <c r="K5488" i="1" s="1"/>
  <c r="O5488" i="1" s="1"/>
  <c r="K5489" i="1" a="1"/>
  <c r="K5489" i="1" s="1"/>
  <c r="O5489" i="1" s="1"/>
  <c r="K5490" i="1" a="1"/>
  <c r="K5490" i="1" s="1"/>
  <c r="O5490" i="1" s="1"/>
  <c r="K5491" i="1" a="1"/>
  <c r="K5491" i="1" s="1"/>
  <c r="O5491" i="1" s="1"/>
  <c r="K5492" i="1" a="1"/>
  <c r="K5492" i="1" s="1"/>
  <c r="O5492" i="1" s="1"/>
  <c r="K5493" i="1" a="1"/>
  <c r="K5493" i="1" s="1"/>
  <c r="O5493" i="1" s="1"/>
  <c r="K5494" i="1" a="1"/>
  <c r="K5494" i="1" s="1"/>
  <c r="O5494" i="1" s="1"/>
  <c r="K5495" i="1" a="1"/>
  <c r="K5495" i="1" s="1"/>
  <c r="O5495" i="1" s="1"/>
  <c r="K5496" i="1" a="1"/>
  <c r="K5496" i="1" s="1"/>
  <c r="O5496" i="1" s="1"/>
  <c r="K5497" i="1" a="1"/>
  <c r="K5497" i="1" s="1"/>
  <c r="O5497" i="1" s="1"/>
  <c r="K5498" i="1" a="1"/>
  <c r="K5498" i="1" s="1"/>
  <c r="O5498" i="1" s="1"/>
  <c r="K5499" i="1" a="1"/>
  <c r="K5499" i="1" s="1"/>
  <c r="O5499" i="1" s="1"/>
  <c r="K5500" i="1" a="1"/>
  <c r="K5500" i="1" s="1"/>
  <c r="O5500" i="1" s="1"/>
  <c r="K5501" i="1" a="1"/>
  <c r="K5501" i="1" s="1"/>
  <c r="K5502" i="1" a="1"/>
  <c r="K5502" i="1" s="1"/>
  <c r="O5502" i="1" s="1"/>
  <c r="K5503" i="1" a="1"/>
  <c r="K5503" i="1" s="1"/>
  <c r="O5503" i="1" s="1"/>
  <c r="K5504" i="1" a="1"/>
  <c r="K5504" i="1" s="1"/>
  <c r="O5504" i="1" s="1"/>
  <c r="K5505" i="1" a="1"/>
  <c r="K5505" i="1" s="1"/>
  <c r="O5505" i="1" s="1"/>
  <c r="K5506" i="1" a="1"/>
  <c r="K5506" i="1" s="1"/>
  <c r="K5507" i="1" a="1"/>
  <c r="K5507" i="1" s="1"/>
  <c r="O5507" i="1" s="1"/>
  <c r="K5508" i="1" a="1"/>
  <c r="K5508" i="1" s="1"/>
  <c r="O5508" i="1" s="1"/>
  <c r="K5509" i="1" a="1"/>
  <c r="K5509" i="1" s="1"/>
  <c r="O5509" i="1" s="1"/>
  <c r="K5510" i="1" a="1"/>
  <c r="K5510" i="1"/>
  <c r="O5510" i="1" s="1"/>
  <c r="K5511" i="1" a="1"/>
  <c r="K5511" i="1" s="1"/>
  <c r="O5511" i="1" s="1"/>
  <c r="K5512" i="1" a="1"/>
  <c r="K5512" i="1" s="1"/>
  <c r="O5512" i="1" s="1"/>
  <c r="K5513" i="1" a="1"/>
  <c r="K5513" i="1" s="1"/>
  <c r="O5513" i="1" s="1"/>
  <c r="K5514" i="1" a="1"/>
  <c r="K5514" i="1" s="1"/>
  <c r="O5514" i="1" s="1"/>
  <c r="K5515" i="1" a="1"/>
  <c r="K5515" i="1" s="1"/>
  <c r="O5515" i="1" s="1"/>
  <c r="K5516" i="1" a="1"/>
  <c r="K5516" i="1" s="1"/>
  <c r="O5516" i="1" s="1"/>
  <c r="K5517" i="1" a="1"/>
  <c r="K5517" i="1" s="1"/>
  <c r="O5517" i="1" s="1"/>
  <c r="K5518" i="1" a="1"/>
  <c r="K5518" i="1" s="1"/>
  <c r="O5518" i="1" s="1"/>
  <c r="K5519" i="1" a="1"/>
  <c r="K5519" i="1" s="1"/>
  <c r="O5519" i="1" s="1"/>
  <c r="K5520" i="1" a="1"/>
  <c r="K5520" i="1" s="1"/>
  <c r="O5520" i="1" s="1"/>
  <c r="K5521" i="1" a="1"/>
  <c r="K5521" i="1" s="1"/>
  <c r="O5521" i="1" s="1"/>
  <c r="K5522" i="1" a="1"/>
  <c r="K5522" i="1" s="1"/>
  <c r="O5522" i="1" s="1"/>
  <c r="K5523" i="1" a="1"/>
  <c r="K5523" i="1" s="1"/>
  <c r="O5523" i="1" s="1"/>
  <c r="K5524" i="1" a="1"/>
  <c r="K5524" i="1" s="1"/>
  <c r="O5524" i="1" s="1"/>
  <c r="K5525" i="1" a="1"/>
  <c r="K5525" i="1" s="1"/>
  <c r="O5525" i="1" s="1"/>
  <c r="K5526" i="1" a="1"/>
  <c r="K5526" i="1" s="1"/>
  <c r="O5526" i="1" s="1"/>
  <c r="K5527" i="1" a="1"/>
  <c r="K5527" i="1" s="1"/>
  <c r="K5528" i="1" a="1"/>
  <c r="K5528" i="1" s="1"/>
  <c r="O5528" i="1" s="1"/>
  <c r="K5529" i="1" a="1"/>
  <c r="K5529" i="1" s="1"/>
  <c r="O5529" i="1" s="1"/>
  <c r="K5530" i="1" a="1"/>
  <c r="K5530" i="1" s="1"/>
  <c r="O5530" i="1" s="1"/>
  <c r="K5531" i="1" a="1"/>
  <c r="K5531" i="1" s="1"/>
  <c r="O5531" i="1" s="1"/>
  <c r="K5532" i="1" a="1"/>
  <c r="K5532" i="1" s="1"/>
  <c r="O5532" i="1" s="1"/>
  <c r="K5533" i="1" a="1"/>
  <c r="K5533" i="1" s="1"/>
  <c r="O5533" i="1" s="1"/>
  <c r="K5534" i="1" a="1"/>
  <c r="K5534" i="1" s="1"/>
  <c r="O5534" i="1" s="1"/>
  <c r="K5535" i="1" a="1"/>
  <c r="K5535" i="1" s="1"/>
  <c r="O5535" i="1" s="1"/>
  <c r="K5536" i="1" a="1"/>
  <c r="K5536" i="1" s="1"/>
  <c r="O5536" i="1" s="1"/>
  <c r="K5537" i="1" a="1"/>
  <c r="K5537" i="1" s="1"/>
  <c r="O5537" i="1" s="1"/>
  <c r="K5538" i="1" a="1"/>
  <c r="K5538" i="1"/>
  <c r="O5538" i="1" s="1"/>
  <c r="K5539" i="1" a="1"/>
  <c r="K5539" i="1" s="1"/>
  <c r="O5539" i="1" s="1"/>
  <c r="K5540" i="1" a="1"/>
  <c r="K5540" i="1" s="1"/>
  <c r="O5540" i="1" s="1"/>
  <c r="K5541" i="1" a="1"/>
  <c r="K5541" i="1" s="1"/>
  <c r="O5541" i="1" s="1"/>
  <c r="K5542" i="1" a="1"/>
  <c r="K5542" i="1" s="1"/>
  <c r="O5542" i="1" s="1"/>
  <c r="K5543" i="1" a="1"/>
  <c r="K5543" i="1" s="1"/>
  <c r="O5543" i="1" s="1"/>
  <c r="K5544" i="1" a="1"/>
  <c r="K5544" i="1" s="1"/>
  <c r="O5544" i="1" s="1"/>
  <c r="K5545" i="1" a="1"/>
  <c r="K5545" i="1" s="1"/>
  <c r="O5545" i="1" s="1"/>
  <c r="K5546" i="1" a="1"/>
  <c r="K5546" i="1" s="1"/>
  <c r="O5546" i="1" s="1"/>
  <c r="K5547" i="1" a="1"/>
  <c r="K5547" i="1" s="1"/>
  <c r="O5547" i="1" s="1"/>
  <c r="K5548" i="1" a="1"/>
  <c r="K5548" i="1" s="1"/>
  <c r="O5548" i="1" s="1"/>
  <c r="K5549" i="1" a="1"/>
  <c r="K5549" i="1" s="1"/>
  <c r="O5549" i="1" s="1"/>
  <c r="K5550" i="1" a="1"/>
  <c r="K5550" i="1" s="1"/>
  <c r="O5550" i="1" s="1"/>
  <c r="K5551" i="1" a="1"/>
  <c r="K5551" i="1" s="1"/>
  <c r="O5551" i="1" s="1"/>
  <c r="K5552" i="1" a="1"/>
  <c r="K5552" i="1" s="1"/>
  <c r="O5552" i="1" s="1"/>
  <c r="K5553" i="1" a="1"/>
  <c r="K5553" i="1" s="1"/>
  <c r="O5553" i="1" s="1"/>
  <c r="K5554" i="1" a="1"/>
  <c r="K5554" i="1" s="1"/>
  <c r="O5554" i="1" s="1"/>
  <c r="K5555" i="1" a="1"/>
  <c r="K5555" i="1" s="1"/>
  <c r="O5555" i="1" s="1"/>
  <c r="K5556" i="1" a="1"/>
  <c r="K5556" i="1" s="1"/>
  <c r="O5556" i="1" s="1"/>
  <c r="K5557" i="1" a="1"/>
  <c r="K5557" i="1" s="1"/>
  <c r="O5557" i="1" s="1"/>
  <c r="K5558" i="1" a="1"/>
  <c r="K5558" i="1" s="1"/>
  <c r="O5558" i="1" s="1"/>
  <c r="K5559" i="1" a="1"/>
  <c r="K5559" i="1" s="1"/>
  <c r="O5559" i="1" s="1"/>
  <c r="K5560" i="1" a="1"/>
  <c r="K5560" i="1" s="1"/>
  <c r="O5560" i="1" s="1"/>
  <c r="K5561" i="1" a="1"/>
  <c r="K5561" i="1" s="1"/>
  <c r="O5561" i="1" s="1"/>
  <c r="K5562" i="1" a="1"/>
  <c r="K5562" i="1" s="1"/>
  <c r="O5562" i="1" s="1"/>
  <c r="K5563" i="1" a="1"/>
  <c r="K5563" i="1" s="1"/>
  <c r="O5563" i="1" s="1"/>
  <c r="K5564" i="1" a="1"/>
  <c r="K5564" i="1" s="1"/>
  <c r="O5564" i="1" s="1"/>
  <c r="K5565" i="1" a="1"/>
  <c r="K5565" i="1" s="1"/>
  <c r="O5565" i="1" s="1"/>
  <c r="K5566" i="1" a="1"/>
  <c r="K5566" i="1" s="1"/>
  <c r="O5566" i="1" s="1"/>
  <c r="K5567" i="1" a="1"/>
  <c r="K5567" i="1" s="1"/>
  <c r="O5567" i="1" s="1"/>
  <c r="K5568" i="1" a="1"/>
  <c r="K5568" i="1" s="1"/>
  <c r="K5569" i="1" a="1"/>
  <c r="K5569" i="1" s="1"/>
  <c r="O5569" i="1" s="1"/>
  <c r="K5570" i="1" a="1"/>
  <c r="K5570" i="1" s="1"/>
  <c r="O5570" i="1" s="1"/>
  <c r="K5571" i="1" a="1"/>
  <c r="K5571" i="1" s="1"/>
  <c r="O5571" i="1" s="1"/>
  <c r="K5572" i="1" a="1"/>
  <c r="K5572" i="1" s="1"/>
  <c r="O5572" i="1" s="1"/>
  <c r="K5573" i="1" a="1"/>
  <c r="K5573" i="1" s="1"/>
  <c r="O5573" i="1" s="1"/>
  <c r="K5574" i="1" a="1"/>
  <c r="K5574" i="1" s="1"/>
  <c r="O5574" i="1" s="1"/>
  <c r="K5575" i="1" a="1"/>
  <c r="K5575" i="1" s="1"/>
  <c r="O5575" i="1" s="1"/>
  <c r="K5576" i="1" a="1"/>
  <c r="K5576" i="1" s="1"/>
  <c r="O5576" i="1" s="1"/>
  <c r="K5577" i="1" a="1"/>
  <c r="K5577" i="1" s="1"/>
  <c r="O5577" i="1" s="1"/>
  <c r="K5578" i="1" a="1"/>
  <c r="K5578" i="1"/>
  <c r="O5578" i="1" s="1"/>
  <c r="K5579" i="1" a="1"/>
  <c r="K5579" i="1" s="1"/>
  <c r="O5579" i="1" s="1"/>
  <c r="K5580" i="1" a="1"/>
  <c r="K5580" i="1" s="1"/>
  <c r="O5580" i="1" s="1"/>
  <c r="K5581" i="1" a="1"/>
  <c r="K5581" i="1" s="1"/>
  <c r="O5581" i="1" s="1"/>
  <c r="K5582" i="1" a="1"/>
  <c r="K5582" i="1" s="1"/>
  <c r="O5582" i="1" s="1"/>
  <c r="K5583" i="1" a="1"/>
  <c r="K5583" i="1" s="1"/>
  <c r="O5583" i="1" s="1"/>
  <c r="K5584" i="1" a="1"/>
  <c r="K5584" i="1" s="1"/>
  <c r="O5584" i="1" s="1"/>
  <c r="K5585" i="1" a="1"/>
  <c r="K5585" i="1" s="1"/>
  <c r="O5585" i="1" s="1"/>
  <c r="K5586" i="1" a="1"/>
  <c r="K5586" i="1" s="1"/>
  <c r="O5586" i="1" s="1"/>
  <c r="K5587" i="1" a="1"/>
  <c r="K5587" i="1" s="1"/>
  <c r="O5587" i="1" s="1"/>
  <c r="K5588" i="1" a="1"/>
  <c r="K5588" i="1" s="1"/>
  <c r="O5588" i="1" s="1"/>
  <c r="K5589" i="1" a="1"/>
  <c r="K5589" i="1" s="1"/>
  <c r="O5589" i="1" s="1"/>
  <c r="K5590" i="1" a="1"/>
  <c r="K5590" i="1" s="1"/>
  <c r="O5590" i="1" s="1"/>
  <c r="K5591" i="1" a="1"/>
  <c r="K5591" i="1" s="1"/>
  <c r="O5591" i="1" s="1"/>
  <c r="K5592" i="1" a="1"/>
  <c r="K5592" i="1" s="1"/>
  <c r="O5592" i="1" s="1"/>
  <c r="K5593" i="1" a="1"/>
  <c r="K5593" i="1"/>
  <c r="O5593" i="1" s="1"/>
  <c r="K5594" i="1" a="1"/>
  <c r="K5594" i="1" s="1"/>
  <c r="O5594" i="1" s="1"/>
  <c r="K5595" i="1" a="1"/>
  <c r="K5595" i="1" s="1"/>
  <c r="O5595" i="1" s="1"/>
  <c r="K5596" i="1" a="1"/>
  <c r="K5596" i="1" s="1"/>
  <c r="O5596" i="1" s="1"/>
  <c r="K5597" i="1" a="1"/>
  <c r="K5597" i="1" s="1"/>
  <c r="O5597" i="1" s="1"/>
  <c r="K5598" i="1" a="1"/>
  <c r="K5598" i="1" s="1"/>
  <c r="O5598" i="1" s="1"/>
  <c r="K5599" i="1" a="1"/>
  <c r="K5599" i="1" s="1"/>
  <c r="O5599" i="1" s="1"/>
  <c r="K5600" i="1" a="1"/>
  <c r="K5600" i="1" s="1"/>
  <c r="O5600" i="1" s="1"/>
  <c r="K5601" i="1" a="1"/>
  <c r="K5601" i="1" s="1"/>
  <c r="O5601" i="1" s="1"/>
  <c r="K5602" i="1" a="1"/>
  <c r="K5602" i="1" s="1"/>
  <c r="O5602" i="1" s="1"/>
  <c r="K5603" i="1" a="1"/>
  <c r="K5603" i="1" s="1"/>
  <c r="O5603" i="1" s="1"/>
  <c r="K5604" i="1" a="1"/>
  <c r="K5604" i="1" s="1"/>
  <c r="O5604" i="1" s="1"/>
  <c r="K5605" i="1" a="1"/>
  <c r="K5605" i="1" s="1"/>
  <c r="O5605" i="1" s="1"/>
  <c r="K5606" i="1" a="1"/>
  <c r="K5606" i="1" s="1"/>
  <c r="O5606" i="1" s="1"/>
  <c r="K5607" i="1" a="1"/>
  <c r="K5607" i="1" s="1"/>
  <c r="O5607" i="1" s="1"/>
  <c r="K5608" i="1" a="1"/>
  <c r="K5608" i="1" s="1"/>
  <c r="O5608" i="1" s="1"/>
  <c r="K5609" i="1" a="1"/>
  <c r="K5609" i="1" s="1"/>
  <c r="O5609" i="1" s="1"/>
  <c r="K5610" i="1" a="1"/>
  <c r="K5610" i="1" s="1"/>
  <c r="O5610" i="1" s="1"/>
  <c r="K5611" i="1" a="1"/>
  <c r="K5611" i="1" s="1"/>
  <c r="O5611" i="1" s="1"/>
  <c r="K5612" i="1" a="1"/>
  <c r="K5612" i="1" s="1"/>
  <c r="O5612" i="1" s="1"/>
  <c r="K5613" i="1" a="1"/>
  <c r="K5613" i="1" s="1"/>
  <c r="O5613" i="1" s="1"/>
  <c r="K5614" i="1" a="1"/>
  <c r="K5614" i="1" s="1"/>
  <c r="O5614" i="1" s="1"/>
  <c r="K5615" i="1" a="1"/>
  <c r="K5615" i="1" s="1"/>
  <c r="O5615" i="1" s="1"/>
  <c r="K5616" i="1" a="1"/>
  <c r="K5616" i="1" s="1"/>
  <c r="O5616" i="1" s="1"/>
  <c r="K5617" i="1" a="1"/>
  <c r="K5617" i="1" s="1"/>
  <c r="O5617" i="1" s="1"/>
  <c r="K5618" i="1" a="1"/>
  <c r="K5618" i="1" s="1"/>
  <c r="O5618" i="1" s="1"/>
  <c r="K5619" i="1" a="1"/>
  <c r="K5619" i="1" s="1"/>
  <c r="O5619" i="1" s="1"/>
  <c r="K5620" i="1" a="1"/>
  <c r="K5620" i="1" s="1"/>
  <c r="O5620" i="1" s="1"/>
  <c r="K5621" i="1" a="1"/>
  <c r="K5621" i="1" s="1"/>
  <c r="O5621" i="1" s="1"/>
  <c r="K5622" i="1" a="1"/>
  <c r="K5622" i="1" s="1"/>
  <c r="O5622" i="1" s="1"/>
  <c r="K5623" i="1" a="1"/>
  <c r="K5623" i="1" s="1"/>
  <c r="O5623" i="1" s="1"/>
  <c r="K5624" i="1" a="1"/>
  <c r="K5624" i="1" s="1"/>
  <c r="O5624" i="1" s="1"/>
  <c r="K5625" i="1" a="1"/>
  <c r="K5625" i="1" s="1"/>
  <c r="O5625" i="1" s="1"/>
  <c r="K5626" i="1" a="1"/>
  <c r="K5626" i="1" s="1"/>
  <c r="O5626" i="1" s="1"/>
  <c r="K5627" i="1" a="1"/>
  <c r="K5627" i="1" s="1"/>
  <c r="O5627" i="1" s="1"/>
  <c r="K5628" i="1" a="1"/>
  <c r="K5628" i="1" s="1"/>
  <c r="O5628" i="1" s="1"/>
  <c r="K5629" i="1" a="1"/>
  <c r="K5629" i="1" s="1"/>
  <c r="O5629" i="1" s="1"/>
  <c r="K5630" i="1" a="1"/>
  <c r="K5630" i="1" s="1"/>
  <c r="O5630" i="1" s="1"/>
  <c r="K5631" i="1" a="1"/>
  <c r="K5631" i="1" s="1"/>
  <c r="O5631" i="1" s="1"/>
  <c r="K5632" i="1" a="1"/>
  <c r="K5632" i="1" s="1"/>
  <c r="O5632" i="1" s="1"/>
  <c r="K5633" i="1" a="1"/>
  <c r="K5633" i="1" s="1"/>
  <c r="O5633" i="1" s="1"/>
  <c r="K5634" i="1" a="1"/>
  <c r="K5634" i="1" s="1"/>
  <c r="O5634" i="1" s="1"/>
  <c r="K5635" i="1" a="1"/>
  <c r="K5635" i="1" s="1"/>
  <c r="O5635" i="1" s="1"/>
  <c r="K5636" i="1" a="1"/>
  <c r="K5636" i="1" s="1"/>
  <c r="O5636" i="1" s="1"/>
  <c r="K5637" i="1" a="1"/>
  <c r="K5637" i="1" s="1"/>
  <c r="O5637" i="1" s="1"/>
  <c r="K5638" i="1" a="1"/>
  <c r="K5638" i="1" s="1"/>
  <c r="O5638" i="1" s="1"/>
  <c r="K5639" i="1" a="1"/>
  <c r="K5639" i="1" s="1"/>
  <c r="O5639" i="1" s="1"/>
  <c r="K5640" i="1" a="1"/>
  <c r="K5640" i="1" s="1"/>
  <c r="O5640" i="1" s="1"/>
  <c r="K5641" i="1" a="1"/>
  <c r="K5641" i="1" s="1"/>
  <c r="O5641" i="1" s="1"/>
  <c r="K5642" i="1" a="1"/>
  <c r="K5642" i="1" s="1"/>
  <c r="O5642" i="1" s="1"/>
  <c r="K5643" i="1" a="1"/>
  <c r="K5643" i="1" s="1"/>
  <c r="O5643" i="1" s="1"/>
  <c r="K5644" i="1" a="1"/>
  <c r="K5644" i="1" s="1"/>
  <c r="O5644" i="1" s="1"/>
  <c r="K5645" i="1" a="1"/>
  <c r="K5645" i="1" s="1"/>
  <c r="O5645" i="1" s="1"/>
  <c r="K5646" i="1" a="1"/>
  <c r="K5646" i="1"/>
  <c r="O5646" i="1" s="1"/>
  <c r="K5647" i="1" a="1"/>
  <c r="K5647" i="1" s="1"/>
  <c r="O5647" i="1" s="1"/>
  <c r="K5648" i="1" a="1"/>
  <c r="K5648" i="1" s="1"/>
  <c r="O5648" i="1" s="1"/>
  <c r="K5649" i="1" a="1"/>
  <c r="K5649" i="1" s="1"/>
  <c r="O5649" i="1" s="1"/>
  <c r="K5650" i="1" a="1"/>
  <c r="K5650" i="1" s="1"/>
  <c r="O5650" i="1" s="1"/>
  <c r="K5651" i="1" a="1"/>
  <c r="K5651" i="1" s="1"/>
  <c r="O5651" i="1" s="1"/>
  <c r="K5652" i="1" a="1"/>
  <c r="K5652" i="1" s="1"/>
  <c r="O5652" i="1" s="1"/>
  <c r="K5653" i="1" a="1"/>
  <c r="K5653" i="1" s="1"/>
  <c r="O5653" i="1" s="1"/>
  <c r="K5654" i="1" a="1"/>
  <c r="K5654" i="1" s="1"/>
  <c r="O5654" i="1" s="1"/>
  <c r="K5655" i="1" a="1"/>
  <c r="K5655" i="1" s="1"/>
  <c r="O5655" i="1" s="1"/>
  <c r="K5656" i="1" a="1"/>
  <c r="K5656" i="1" s="1"/>
  <c r="O5656" i="1" s="1"/>
  <c r="K5657" i="1" a="1"/>
  <c r="K5657" i="1" s="1"/>
  <c r="O5657" i="1" s="1"/>
  <c r="K5658" i="1" a="1"/>
  <c r="K5658" i="1"/>
  <c r="O5658" i="1" s="1"/>
  <c r="K5659" i="1" a="1"/>
  <c r="K5659" i="1" s="1"/>
  <c r="O5659" i="1" s="1"/>
  <c r="K5660" i="1" a="1"/>
  <c r="K5660" i="1" s="1"/>
  <c r="O5660" i="1" s="1"/>
  <c r="K5661" i="1" a="1"/>
  <c r="K5661" i="1" s="1"/>
  <c r="O5661" i="1" s="1"/>
  <c r="K5662" i="1" a="1"/>
  <c r="K5662" i="1" s="1"/>
  <c r="K5663" i="1" a="1"/>
  <c r="K5663" i="1" s="1"/>
  <c r="K5664" i="1" a="1"/>
  <c r="K5664" i="1" s="1"/>
  <c r="O5664" i="1" s="1"/>
  <c r="K5665" i="1" a="1"/>
  <c r="K5665" i="1"/>
  <c r="O5665" i="1" s="1"/>
  <c r="K5666" i="1" a="1"/>
  <c r="K5666" i="1" s="1"/>
  <c r="O5666" i="1" s="1"/>
  <c r="K5667" i="1" a="1"/>
  <c r="K5667" i="1" s="1"/>
  <c r="O5667" i="1" s="1"/>
  <c r="K5668" i="1" a="1"/>
  <c r="K5668" i="1" s="1"/>
  <c r="O5668" i="1" s="1"/>
  <c r="K5669" i="1" a="1"/>
  <c r="K5669" i="1" s="1"/>
  <c r="O5669" i="1" s="1"/>
  <c r="K5670" i="1" a="1"/>
  <c r="K5670" i="1" s="1"/>
  <c r="O5670" i="1" s="1"/>
  <c r="K5671" i="1" a="1"/>
  <c r="K5671" i="1" s="1"/>
  <c r="O5671" i="1" s="1"/>
  <c r="K5672" i="1" a="1"/>
  <c r="K5672" i="1" s="1"/>
  <c r="O5672" i="1" s="1"/>
  <c r="K5673" i="1" a="1"/>
  <c r="K5673" i="1" s="1"/>
  <c r="O5673" i="1" s="1"/>
  <c r="K5674" i="1" a="1"/>
  <c r="K5674" i="1" s="1"/>
  <c r="O5674" i="1" s="1"/>
  <c r="K5675" i="1" a="1"/>
  <c r="K5675" i="1" s="1"/>
  <c r="O5675" i="1" s="1"/>
  <c r="K5676" i="1" a="1"/>
  <c r="K5676" i="1" s="1"/>
  <c r="O5676" i="1" s="1"/>
  <c r="K5677" i="1" a="1"/>
  <c r="K5677" i="1" s="1"/>
  <c r="O5677" i="1" s="1"/>
  <c r="K5678" i="1" a="1"/>
  <c r="K5678" i="1" s="1"/>
  <c r="O5678" i="1" s="1"/>
  <c r="K5679" i="1" a="1"/>
  <c r="K5679" i="1" s="1"/>
  <c r="K5680" i="1" a="1"/>
  <c r="K5680" i="1" s="1"/>
  <c r="O5680" i="1" s="1"/>
  <c r="K5681" i="1" a="1"/>
  <c r="K5681" i="1" s="1"/>
  <c r="O5681" i="1" s="1"/>
  <c r="K5682" i="1" a="1"/>
  <c r="K5682" i="1" s="1"/>
  <c r="O5682" i="1" s="1"/>
  <c r="K5683" i="1" a="1"/>
  <c r="K5683" i="1" s="1"/>
  <c r="O5683" i="1" s="1"/>
  <c r="K5684" i="1" a="1"/>
  <c r="K5684" i="1" s="1"/>
  <c r="O5684" i="1" s="1"/>
  <c r="K5685" i="1" a="1"/>
  <c r="K5685" i="1" s="1"/>
  <c r="O5685" i="1" s="1"/>
  <c r="K5686" i="1" a="1"/>
  <c r="K5686" i="1" s="1"/>
  <c r="O5686" i="1" s="1"/>
  <c r="K5687" i="1" a="1"/>
  <c r="K5687" i="1" s="1"/>
  <c r="O5687" i="1" s="1"/>
  <c r="K5688" i="1" a="1"/>
  <c r="K5688" i="1" s="1"/>
  <c r="O5688" i="1" s="1"/>
  <c r="K5689" i="1" a="1"/>
  <c r="K5689" i="1" s="1"/>
  <c r="O5689" i="1" s="1"/>
  <c r="K5690" i="1" a="1"/>
  <c r="K5690" i="1" s="1"/>
  <c r="O5690" i="1" s="1"/>
  <c r="K5691" i="1" a="1"/>
  <c r="K5691" i="1" s="1"/>
  <c r="O5691" i="1" s="1"/>
  <c r="K5692" i="1" a="1"/>
  <c r="K5692" i="1" s="1"/>
  <c r="O5692" i="1" s="1"/>
  <c r="K5693" i="1" a="1"/>
  <c r="K5693" i="1" s="1"/>
  <c r="O5693" i="1" s="1"/>
  <c r="K5694" i="1" a="1"/>
  <c r="K5694" i="1" s="1"/>
  <c r="K5695" i="1" a="1"/>
  <c r="K5695" i="1" s="1"/>
  <c r="O5695" i="1" s="1"/>
  <c r="K5696" i="1" a="1"/>
  <c r="K5696" i="1" s="1"/>
  <c r="O5696" i="1" s="1"/>
  <c r="K5697" i="1" a="1"/>
  <c r="K5697" i="1" s="1"/>
  <c r="O5697" i="1" s="1"/>
  <c r="K5698" i="1" a="1"/>
  <c r="K5698" i="1" s="1"/>
  <c r="O5698" i="1" s="1"/>
  <c r="K5699" i="1" a="1"/>
  <c r="K5699" i="1" s="1"/>
  <c r="O5699" i="1" s="1"/>
  <c r="K5700" i="1" a="1"/>
  <c r="K5700" i="1" s="1"/>
  <c r="O5700" i="1" s="1"/>
  <c r="K5701" i="1" a="1"/>
  <c r="K5701" i="1" s="1"/>
  <c r="O5701" i="1" s="1"/>
  <c r="K5702" i="1" a="1"/>
  <c r="K5702" i="1" s="1"/>
  <c r="O5702" i="1" s="1"/>
  <c r="K5703" i="1" a="1"/>
  <c r="K5703" i="1" s="1"/>
  <c r="O5703" i="1" s="1"/>
  <c r="K5704" i="1" a="1"/>
  <c r="K5704" i="1" s="1"/>
  <c r="O5704" i="1" s="1"/>
  <c r="K5705" i="1" a="1"/>
  <c r="K5705" i="1" s="1"/>
  <c r="O5705" i="1" s="1"/>
  <c r="K5706" i="1" a="1"/>
  <c r="K5706" i="1" s="1"/>
  <c r="O5706" i="1" s="1"/>
  <c r="K5707" i="1" a="1"/>
  <c r="K5707" i="1" s="1"/>
  <c r="K5708" i="1" a="1"/>
  <c r="K5708" i="1" s="1"/>
  <c r="O5708" i="1" s="1"/>
  <c r="K5709" i="1" a="1"/>
  <c r="K5709" i="1" s="1"/>
  <c r="O5709" i="1" s="1"/>
  <c r="K5710" i="1" a="1"/>
  <c r="K5710" i="1" s="1"/>
  <c r="O5710" i="1" s="1"/>
  <c r="K5711" i="1" a="1"/>
  <c r="K5711" i="1" s="1"/>
  <c r="O5711" i="1" s="1"/>
  <c r="K5712" i="1" a="1"/>
  <c r="K5712" i="1" s="1"/>
  <c r="K5713" i="1" a="1"/>
  <c r="K5713" i="1" s="1"/>
  <c r="O5713" i="1" s="1"/>
  <c r="K5714" i="1" a="1"/>
  <c r="K5714" i="1" s="1"/>
  <c r="O5714" i="1" s="1"/>
  <c r="K5715" i="1" a="1"/>
  <c r="K5715" i="1" s="1"/>
  <c r="K5716" i="1" a="1"/>
  <c r="K5716" i="1" s="1"/>
  <c r="O5716" i="1" s="1"/>
  <c r="K5717" i="1" a="1"/>
  <c r="K5717" i="1" s="1"/>
  <c r="O5717" i="1" s="1"/>
  <c r="K5718" i="1" a="1"/>
  <c r="K5718" i="1" s="1"/>
  <c r="O5718" i="1" s="1"/>
  <c r="K5719" i="1" a="1"/>
  <c r="K5719" i="1" s="1"/>
  <c r="O5719" i="1" s="1"/>
  <c r="K5720" i="1" a="1"/>
  <c r="K5720" i="1" s="1"/>
  <c r="O5720" i="1" s="1"/>
  <c r="K5721" i="1" a="1"/>
  <c r="K5721" i="1" s="1"/>
  <c r="O5721" i="1" s="1"/>
  <c r="K5722" i="1" a="1"/>
  <c r="K5722" i="1" s="1"/>
  <c r="O5722" i="1" s="1"/>
  <c r="K5723" i="1" a="1"/>
  <c r="K5723" i="1" s="1"/>
  <c r="O5723" i="1" s="1"/>
  <c r="K5724" i="1" a="1"/>
  <c r="K5724" i="1" s="1"/>
  <c r="O5724" i="1" s="1"/>
  <c r="K5725" i="1" a="1"/>
  <c r="K5725" i="1" s="1"/>
  <c r="O5725" i="1" s="1"/>
  <c r="K5726" i="1" a="1"/>
  <c r="K5726" i="1" s="1"/>
  <c r="O5726" i="1" s="1"/>
  <c r="K5727" i="1" a="1"/>
  <c r="K5727" i="1" s="1"/>
  <c r="K5728" i="1" a="1"/>
  <c r="K5728" i="1" s="1"/>
  <c r="O5728" i="1" s="1"/>
  <c r="K5729" i="1" a="1"/>
  <c r="K5729" i="1" s="1"/>
  <c r="O5729" i="1" s="1"/>
  <c r="K5730" i="1" a="1"/>
  <c r="K5730" i="1" s="1"/>
  <c r="O5730" i="1" s="1"/>
  <c r="K5731" i="1" a="1"/>
  <c r="K5731" i="1" s="1"/>
  <c r="O5731" i="1" s="1"/>
  <c r="K5732" i="1" a="1"/>
  <c r="K5732" i="1" s="1"/>
  <c r="O5732" i="1" s="1"/>
  <c r="K5733" i="1" a="1"/>
  <c r="K5733" i="1" s="1"/>
  <c r="O5733" i="1" s="1"/>
  <c r="K5734" i="1" a="1"/>
  <c r="K5734" i="1" s="1"/>
  <c r="O5734" i="1" s="1"/>
  <c r="K5735" i="1" a="1"/>
  <c r="K5735" i="1" s="1"/>
  <c r="O5735" i="1" s="1"/>
  <c r="K5736" i="1" a="1"/>
  <c r="K5736" i="1" s="1"/>
  <c r="O5736" i="1" s="1"/>
  <c r="K5737" i="1" a="1"/>
  <c r="K5737" i="1" s="1"/>
  <c r="O5737" i="1" s="1"/>
  <c r="K5738" i="1" a="1"/>
  <c r="K5738" i="1" s="1"/>
  <c r="O5738" i="1" s="1"/>
  <c r="K5739" i="1" a="1"/>
  <c r="K5739" i="1" s="1"/>
  <c r="O5739" i="1" s="1"/>
  <c r="K5740" i="1" a="1"/>
  <c r="K5740" i="1" s="1"/>
  <c r="O5740" i="1" s="1"/>
  <c r="K5741" i="1" a="1"/>
  <c r="K5741" i="1" s="1"/>
  <c r="O5741" i="1" s="1"/>
  <c r="K5742" i="1" a="1"/>
  <c r="K5742" i="1" s="1"/>
  <c r="O5742" i="1" s="1"/>
  <c r="K5743" i="1" a="1"/>
  <c r="K5743" i="1" s="1"/>
  <c r="O5743" i="1" s="1"/>
  <c r="K5744" i="1" a="1"/>
  <c r="K5744" i="1" s="1"/>
  <c r="O5744" i="1" s="1"/>
  <c r="K5745" i="1" a="1"/>
  <c r="K5745" i="1" s="1"/>
  <c r="O5745" i="1" s="1"/>
  <c r="K5746" i="1" a="1"/>
  <c r="K5746" i="1" s="1"/>
  <c r="K5747" i="1" a="1"/>
  <c r="K5747" i="1" s="1"/>
  <c r="O5747" i="1" s="1"/>
  <c r="K5748" i="1" a="1"/>
  <c r="K5748" i="1" s="1"/>
  <c r="O5748" i="1" s="1"/>
  <c r="K5749" i="1" a="1"/>
  <c r="K5749" i="1" s="1"/>
  <c r="O5749" i="1" s="1"/>
  <c r="K5750" i="1" a="1"/>
  <c r="K5750" i="1" s="1"/>
  <c r="O5750" i="1" s="1"/>
  <c r="K5751" i="1" a="1"/>
  <c r="K5751" i="1" s="1"/>
  <c r="K5752" i="1" a="1"/>
  <c r="K5752" i="1" s="1"/>
  <c r="O5752" i="1" s="1"/>
  <c r="K5753" i="1" a="1"/>
  <c r="K5753" i="1" s="1"/>
  <c r="O5753" i="1" s="1"/>
  <c r="K5754" i="1" a="1"/>
  <c r="K5754" i="1" s="1"/>
  <c r="O5754" i="1" s="1"/>
  <c r="K5755" i="1" a="1"/>
  <c r="K5755" i="1" s="1"/>
  <c r="O5755" i="1" s="1"/>
  <c r="K5756" i="1" a="1"/>
  <c r="K5756" i="1" s="1"/>
  <c r="O5756" i="1" s="1"/>
  <c r="K5757" i="1" a="1"/>
  <c r="K5757" i="1" s="1"/>
  <c r="O5757" i="1" s="1"/>
  <c r="K5758" i="1" a="1"/>
  <c r="K5758" i="1" s="1"/>
  <c r="K5759" i="1" a="1"/>
  <c r="K5759" i="1" s="1"/>
  <c r="O5759" i="1" s="1"/>
  <c r="K5760" i="1" a="1"/>
  <c r="K5760" i="1" s="1"/>
  <c r="O5760" i="1" s="1"/>
  <c r="K5761" i="1" a="1"/>
  <c r="K5761" i="1" s="1"/>
  <c r="O5761" i="1" s="1"/>
  <c r="K5762" i="1" a="1"/>
  <c r="K5762" i="1" s="1"/>
  <c r="O5762" i="1" s="1"/>
  <c r="K5763" i="1" a="1"/>
  <c r="K5763" i="1" s="1"/>
  <c r="O5763" i="1" s="1"/>
  <c r="K5764" i="1" a="1"/>
  <c r="K5764" i="1" s="1"/>
  <c r="O5764" i="1" s="1"/>
  <c r="K5765" i="1" a="1"/>
  <c r="K5765" i="1" s="1"/>
  <c r="O5765" i="1" s="1"/>
  <c r="K5766" i="1" a="1"/>
  <c r="K5766" i="1" s="1"/>
  <c r="O5766" i="1" s="1"/>
  <c r="K5767" i="1" a="1"/>
  <c r="K5767" i="1" s="1"/>
  <c r="O5767" i="1" s="1"/>
  <c r="K5768" i="1" a="1"/>
  <c r="K5768" i="1" s="1"/>
  <c r="O5768" i="1" s="1"/>
  <c r="K5769" i="1" a="1"/>
  <c r="K5769" i="1" s="1"/>
  <c r="O5769" i="1" s="1"/>
  <c r="K5770" i="1" a="1"/>
  <c r="K5770" i="1" s="1"/>
  <c r="O5770" i="1" s="1"/>
  <c r="K5771" i="1" a="1"/>
  <c r="K5771" i="1" s="1"/>
  <c r="O5771" i="1" s="1"/>
  <c r="K5772" i="1" a="1"/>
  <c r="K5772" i="1" s="1"/>
  <c r="O5772" i="1" s="1"/>
  <c r="K5773" i="1" a="1"/>
  <c r="K5773" i="1" s="1"/>
  <c r="O5773" i="1" s="1"/>
  <c r="K5774" i="1" a="1"/>
  <c r="K5774" i="1" s="1"/>
  <c r="O5774" i="1" s="1"/>
  <c r="K5775" i="1" a="1"/>
  <c r="K5775" i="1" s="1"/>
  <c r="O5775" i="1" s="1"/>
  <c r="K5776" i="1" a="1"/>
  <c r="K5776" i="1" s="1"/>
  <c r="O5776" i="1" s="1"/>
  <c r="K5777" i="1" a="1"/>
  <c r="K5777" i="1" s="1"/>
  <c r="O5777" i="1" s="1"/>
  <c r="K5778" i="1" a="1"/>
  <c r="K5778" i="1" s="1"/>
  <c r="O5778" i="1" s="1"/>
  <c r="K5779" i="1" a="1"/>
  <c r="K5779" i="1" s="1"/>
  <c r="O5779" i="1" s="1"/>
  <c r="K5780" i="1" a="1"/>
  <c r="K5780" i="1" s="1"/>
  <c r="O5780" i="1" s="1"/>
  <c r="K5781" i="1" a="1"/>
  <c r="K5781" i="1" s="1"/>
  <c r="O5781" i="1" s="1"/>
  <c r="K5782" i="1" a="1"/>
  <c r="K5782" i="1" s="1"/>
  <c r="O5782" i="1" s="1"/>
  <c r="K5783" i="1" a="1"/>
  <c r="K5783" i="1" s="1"/>
  <c r="O5783" i="1" s="1"/>
  <c r="K5784" i="1" a="1"/>
  <c r="K5784" i="1" s="1"/>
  <c r="O5784" i="1" s="1"/>
  <c r="K5785" i="1" a="1"/>
  <c r="K5785" i="1" s="1"/>
  <c r="O5785" i="1" s="1"/>
  <c r="K5786" i="1" a="1"/>
  <c r="K5786" i="1" s="1"/>
  <c r="O5786" i="1" s="1"/>
  <c r="K5787" i="1" a="1"/>
  <c r="K5787" i="1" s="1"/>
  <c r="O5787" i="1" s="1"/>
  <c r="K5788" i="1" a="1"/>
  <c r="K5788" i="1" s="1"/>
  <c r="O5788" i="1" s="1"/>
  <c r="K5789" i="1" a="1"/>
  <c r="K5789" i="1" s="1"/>
  <c r="O5789" i="1" s="1"/>
  <c r="K5790" i="1" a="1"/>
  <c r="K5790" i="1" s="1"/>
  <c r="O5790" i="1" s="1"/>
  <c r="K5791" i="1" a="1"/>
  <c r="K5791" i="1" s="1"/>
  <c r="O5791" i="1" s="1"/>
  <c r="K5792" i="1" a="1"/>
  <c r="K5792" i="1" s="1"/>
  <c r="O5792" i="1" s="1"/>
  <c r="K5793" i="1" a="1"/>
  <c r="K5793" i="1" s="1"/>
  <c r="O5793" i="1" s="1"/>
  <c r="K5794" i="1" a="1"/>
  <c r="K5794" i="1" s="1"/>
  <c r="O5794" i="1" s="1"/>
  <c r="K5795" i="1" a="1"/>
  <c r="K5795" i="1" s="1"/>
  <c r="O5795" i="1" s="1"/>
  <c r="K5796" i="1" a="1"/>
  <c r="K5796" i="1" s="1"/>
  <c r="O5796" i="1" s="1"/>
  <c r="K5797" i="1" a="1"/>
  <c r="K5797" i="1" s="1"/>
  <c r="O5797" i="1" s="1"/>
  <c r="K5798" i="1" a="1"/>
  <c r="K5798" i="1" s="1"/>
  <c r="O5798" i="1" s="1"/>
  <c r="K5799" i="1" a="1"/>
  <c r="K5799" i="1"/>
  <c r="O5799" i="1" s="1"/>
  <c r="K5800" i="1" a="1"/>
  <c r="K5800" i="1" s="1"/>
  <c r="K5801" i="1" a="1"/>
  <c r="K5801" i="1" s="1"/>
  <c r="O5801" i="1" s="1"/>
  <c r="K5802" i="1" a="1"/>
  <c r="K5802" i="1" s="1"/>
  <c r="O5802" i="1" s="1"/>
  <c r="K5803" i="1" a="1"/>
  <c r="K5803" i="1" s="1"/>
  <c r="O5803" i="1" s="1"/>
  <c r="K5804" i="1" a="1"/>
  <c r="K5804" i="1" s="1"/>
  <c r="O5804" i="1" s="1"/>
  <c r="K5805" i="1" a="1"/>
  <c r="K5805" i="1" s="1"/>
  <c r="O5805" i="1" s="1"/>
  <c r="K5806" i="1" a="1"/>
  <c r="K5806" i="1"/>
  <c r="O5806" i="1" s="1"/>
  <c r="K5807" i="1" a="1"/>
  <c r="K5807" i="1" s="1"/>
  <c r="O5807" i="1" s="1"/>
  <c r="K5808" i="1" a="1"/>
  <c r="K5808" i="1" s="1"/>
  <c r="O5808" i="1" s="1"/>
  <c r="K5809" i="1" a="1"/>
  <c r="K5809" i="1" s="1"/>
  <c r="O5809" i="1" s="1"/>
  <c r="K5810" i="1" a="1"/>
  <c r="K5810" i="1" s="1"/>
  <c r="O5810" i="1" s="1"/>
  <c r="K5811" i="1" a="1"/>
  <c r="K5811" i="1" s="1"/>
  <c r="O5811" i="1" s="1"/>
  <c r="K5812" i="1" a="1"/>
  <c r="K5812" i="1" s="1"/>
  <c r="O5812" i="1" s="1"/>
  <c r="K5813" i="1" a="1"/>
  <c r="K5813" i="1" s="1"/>
  <c r="O5813" i="1" s="1"/>
  <c r="K5814" i="1" a="1"/>
  <c r="K5814" i="1" s="1"/>
  <c r="O5814" i="1" s="1"/>
  <c r="K5815" i="1" a="1"/>
  <c r="K5815" i="1" s="1"/>
  <c r="O5815" i="1" s="1"/>
  <c r="K5816" i="1" a="1"/>
  <c r="K5816" i="1" s="1"/>
  <c r="O5816" i="1" s="1"/>
  <c r="K5817" i="1" a="1"/>
  <c r="K5817" i="1" s="1"/>
  <c r="O5817" i="1" s="1"/>
  <c r="K5818" i="1" a="1"/>
  <c r="K5818" i="1" s="1"/>
  <c r="O5818" i="1" s="1"/>
  <c r="K5819" i="1" a="1"/>
  <c r="K5819" i="1" s="1"/>
  <c r="O5819" i="1" s="1"/>
  <c r="K5820" i="1" a="1"/>
  <c r="K5820" i="1" s="1"/>
  <c r="O5820" i="1" s="1"/>
  <c r="K5821" i="1" a="1"/>
  <c r="K5821" i="1" s="1"/>
  <c r="O5821" i="1" s="1"/>
  <c r="K5822" i="1" a="1"/>
  <c r="K5822" i="1" s="1"/>
  <c r="O5822" i="1" s="1"/>
  <c r="K5823" i="1" a="1"/>
  <c r="K5823" i="1" s="1"/>
  <c r="O5823" i="1" s="1"/>
  <c r="K5824" i="1" a="1"/>
  <c r="K5824" i="1" s="1"/>
  <c r="O5824" i="1" s="1"/>
  <c r="K5825" i="1" a="1"/>
  <c r="K5825" i="1" s="1"/>
  <c r="O5825" i="1" s="1"/>
  <c r="K5826" i="1" a="1"/>
  <c r="K5826" i="1" s="1"/>
  <c r="O5826" i="1" s="1"/>
  <c r="K5827" i="1" a="1"/>
  <c r="K5827" i="1" s="1"/>
  <c r="O5827" i="1" s="1"/>
  <c r="K5828" i="1" a="1"/>
  <c r="K5828" i="1" s="1"/>
  <c r="O5828" i="1" s="1"/>
  <c r="K5829" i="1" a="1"/>
  <c r="K5829" i="1" s="1"/>
  <c r="O5829" i="1" s="1"/>
  <c r="K5830" i="1" a="1"/>
  <c r="K5830" i="1" s="1"/>
  <c r="O5830" i="1" s="1"/>
  <c r="K5831" i="1" a="1"/>
  <c r="K5831" i="1" s="1"/>
  <c r="O5831" i="1" s="1"/>
  <c r="K5832" i="1" a="1"/>
  <c r="K5832" i="1" s="1"/>
  <c r="O5832" i="1" s="1"/>
  <c r="K5833" i="1" a="1"/>
  <c r="K5833" i="1" s="1"/>
  <c r="O5833" i="1" s="1"/>
  <c r="K5834" i="1" a="1"/>
  <c r="K5834" i="1" s="1"/>
  <c r="O5834" i="1" s="1"/>
  <c r="K5835" i="1" a="1"/>
  <c r="K5835" i="1" s="1"/>
  <c r="O5835" i="1" s="1"/>
  <c r="K5836" i="1" a="1"/>
  <c r="K5836" i="1" s="1"/>
  <c r="O5836" i="1" s="1"/>
  <c r="K5837" i="1" a="1"/>
  <c r="K5837" i="1" s="1"/>
  <c r="O5837" i="1" s="1"/>
  <c r="K5838" i="1" a="1"/>
  <c r="K5838" i="1" s="1"/>
  <c r="O5838" i="1" s="1"/>
  <c r="K5839" i="1" a="1"/>
  <c r="K5839" i="1" s="1"/>
  <c r="O5839" i="1" s="1"/>
  <c r="K5840" i="1" a="1"/>
  <c r="K5840" i="1" s="1"/>
  <c r="O5840" i="1" s="1"/>
  <c r="K5841" i="1" a="1"/>
  <c r="K5841" i="1" s="1"/>
  <c r="O5841" i="1" s="1"/>
  <c r="K5842" i="1" a="1"/>
  <c r="K5842" i="1" s="1"/>
  <c r="O5842" i="1" s="1"/>
  <c r="K5843" i="1" a="1"/>
  <c r="K5843" i="1" s="1"/>
  <c r="O5843" i="1" s="1"/>
  <c r="K5844" i="1" a="1"/>
  <c r="K5844" i="1" s="1"/>
  <c r="O5844" i="1" s="1"/>
  <c r="K5845" i="1" a="1"/>
  <c r="K5845" i="1" s="1"/>
  <c r="O5845" i="1" s="1"/>
  <c r="K5846" i="1" a="1"/>
  <c r="K5846" i="1" s="1"/>
  <c r="O5846" i="1" s="1"/>
  <c r="K5847" i="1" a="1"/>
  <c r="K5847" i="1" s="1"/>
  <c r="K5848" i="1" a="1"/>
  <c r="K5848" i="1" s="1"/>
  <c r="O5848" i="1" s="1"/>
  <c r="K5849" i="1" a="1"/>
  <c r="K5849" i="1" s="1"/>
  <c r="O5849" i="1" s="1"/>
  <c r="K5850" i="1" a="1"/>
  <c r="K5850" i="1" s="1"/>
  <c r="O5850" i="1" s="1"/>
  <c r="K5851" i="1" a="1"/>
  <c r="K5851" i="1" s="1"/>
  <c r="O5851" i="1" s="1"/>
  <c r="K5852" i="1" a="1"/>
  <c r="K5852" i="1" s="1"/>
  <c r="O5852" i="1" s="1"/>
  <c r="K5853" i="1" a="1"/>
  <c r="K5853" i="1" s="1"/>
  <c r="O5853" i="1" s="1"/>
  <c r="K5854" i="1" a="1"/>
  <c r="K5854" i="1" s="1"/>
  <c r="O5854" i="1" s="1"/>
  <c r="K5855" i="1" a="1"/>
  <c r="K5855" i="1" s="1"/>
  <c r="O5855" i="1" s="1"/>
  <c r="K5856" i="1" a="1"/>
  <c r="K5856" i="1" s="1"/>
  <c r="O5856" i="1" s="1"/>
  <c r="K5857" i="1" a="1"/>
  <c r="K5857" i="1" s="1"/>
  <c r="O5857" i="1" s="1"/>
  <c r="K5858" i="1" a="1"/>
  <c r="K5858" i="1" s="1"/>
  <c r="O5858" i="1" s="1"/>
  <c r="K5859" i="1" a="1"/>
  <c r="K5859" i="1" s="1"/>
  <c r="O5859" i="1" s="1"/>
  <c r="K5860" i="1" a="1"/>
  <c r="K5860" i="1" s="1"/>
  <c r="O5860" i="1" s="1"/>
  <c r="K5861" i="1" a="1"/>
  <c r="K5861" i="1" s="1"/>
  <c r="O5861" i="1" s="1"/>
  <c r="K5862" i="1" a="1"/>
  <c r="K5862" i="1" s="1"/>
  <c r="O5862" i="1" s="1"/>
  <c r="K5863" i="1" a="1"/>
  <c r="K5863" i="1" s="1"/>
  <c r="O5863" i="1" s="1"/>
  <c r="K5864" i="1" a="1"/>
  <c r="K5864" i="1" s="1"/>
  <c r="O5864" i="1" s="1"/>
  <c r="K5865" i="1" a="1"/>
  <c r="K5865" i="1" s="1"/>
  <c r="O5865" i="1" s="1"/>
  <c r="K5866" i="1" a="1"/>
  <c r="K5866" i="1" s="1"/>
  <c r="O5866" i="1" s="1"/>
  <c r="K5867" i="1" a="1"/>
  <c r="K5867" i="1" s="1"/>
  <c r="O5867" i="1" s="1"/>
  <c r="K5868" i="1" a="1"/>
  <c r="K5868" i="1" s="1"/>
  <c r="O5868" i="1" s="1"/>
  <c r="K5869" i="1" a="1"/>
  <c r="K5869" i="1" s="1"/>
  <c r="O5869" i="1" s="1"/>
  <c r="K5870" i="1" a="1"/>
  <c r="K5870" i="1" s="1"/>
  <c r="O5870" i="1" s="1"/>
  <c r="K5871" i="1" a="1"/>
  <c r="K5871" i="1" s="1"/>
  <c r="O5871" i="1" s="1"/>
  <c r="K5872" i="1" a="1"/>
  <c r="K5872" i="1" s="1"/>
  <c r="O5872" i="1" s="1"/>
  <c r="K5873" i="1" a="1"/>
  <c r="K5873" i="1" s="1"/>
  <c r="O5873" i="1" s="1"/>
  <c r="K5874" i="1" a="1"/>
  <c r="K5874" i="1" s="1"/>
  <c r="O5874" i="1" s="1"/>
  <c r="K5875" i="1" a="1"/>
  <c r="K5875" i="1" s="1"/>
  <c r="O5875" i="1" s="1"/>
  <c r="K5876" i="1" a="1"/>
  <c r="K5876" i="1" s="1"/>
  <c r="O5876" i="1" s="1"/>
  <c r="K5877" i="1" a="1"/>
  <c r="K5877" i="1" s="1"/>
  <c r="O5877" i="1" s="1"/>
  <c r="K5878" i="1" a="1"/>
  <c r="K5878" i="1" s="1"/>
  <c r="O5878" i="1" s="1"/>
  <c r="K5879" i="1" a="1"/>
  <c r="K5879" i="1" s="1"/>
  <c r="O5879" i="1" s="1"/>
  <c r="K5880" i="1" a="1"/>
  <c r="K5880" i="1" s="1"/>
  <c r="O5880" i="1" s="1"/>
  <c r="K5881" i="1" a="1"/>
  <c r="K5881" i="1" s="1"/>
  <c r="O5881" i="1" s="1"/>
  <c r="K5882" i="1" a="1"/>
  <c r="K5882" i="1" s="1"/>
  <c r="O5882" i="1" s="1"/>
  <c r="K5883" i="1" a="1"/>
  <c r="K5883" i="1" s="1"/>
  <c r="K5884" i="1" a="1"/>
  <c r="K5884" i="1" s="1"/>
  <c r="O5884" i="1" s="1"/>
  <c r="K5885" i="1" a="1"/>
  <c r="K5885" i="1"/>
  <c r="O5885" i="1" s="1"/>
  <c r="K5886" i="1" a="1"/>
  <c r="K5886" i="1" s="1"/>
  <c r="O5886" i="1" s="1"/>
  <c r="K5887" i="1" a="1"/>
  <c r="K5887" i="1" s="1"/>
  <c r="O5887" i="1" s="1"/>
  <c r="K5888" i="1" a="1"/>
  <c r="K5888" i="1" s="1"/>
  <c r="O5888" i="1" s="1"/>
  <c r="K5889" i="1" a="1"/>
  <c r="K5889" i="1" s="1"/>
  <c r="O5889" i="1" s="1"/>
  <c r="K5890" i="1" a="1"/>
  <c r="K5890" i="1" s="1"/>
  <c r="O5890" i="1" s="1"/>
  <c r="K5891" i="1" a="1"/>
  <c r="K5891" i="1" s="1"/>
  <c r="O5891" i="1" s="1"/>
  <c r="K5892" i="1" a="1"/>
  <c r="K5892" i="1" s="1"/>
  <c r="O5892" i="1" s="1"/>
  <c r="K5893" i="1" a="1"/>
  <c r="K5893" i="1" s="1"/>
  <c r="O5893" i="1" s="1"/>
  <c r="K5894" i="1" a="1"/>
  <c r="K5894" i="1" s="1"/>
  <c r="O5894" i="1" s="1"/>
  <c r="K5895" i="1" a="1"/>
  <c r="K5895" i="1" s="1"/>
  <c r="K5896" i="1" a="1"/>
  <c r="K5896" i="1" s="1"/>
  <c r="O5896" i="1" s="1"/>
  <c r="K5897" i="1" a="1"/>
  <c r="K5897" i="1" s="1"/>
  <c r="O5897" i="1" s="1"/>
  <c r="K5898" i="1" a="1"/>
  <c r="K5898" i="1" s="1"/>
  <c r="O5898" i="1" s="1"/>
  <c r="K5899" i="1" a="1"/>
  <c r="K5899" i="1" s="1"/>
  <c r="O5899" i="1" s="1"/>
  <c r="K5900" i="1" a="1"/>
  <c r="K5900" i="1" s="1"/>
  <c r="O5900" i="1" s="1"/>
  <c r="K5901" i="1" a="1"/>
  <c r="K5901" i="1" s="1"/>
  <c r="O5901" i="1" s="1"/>
  <c r="K5902" i="1" a="1"/>
  <c r="K5902" i="1" s="1"/>
  <c r="O5902" i="1" s="1"/>
  <c r="K5903" i="1" a="1"/>
  <c r="K5903" i="1" s="1"/>
  <c r="O5903" i="1" s="1"/>
  <c r="K5904" i="1" a="1"/>
  <c r="K5904" i="1" s="1"/>
  <c r="O5904" i="1" s="1"/>
  <c r="K5905" i="1" a="1"/>
  <c r="K5905" i="1" s="1"/>
  <c r="O5905" i="1" s="1"/>
  <c r="K5906" i="1" a="1"/>
  <c r="K5906" i="1" s="1"/>
  <c r="O5906" i="1" s="1"/>
  <c r="K5907" i="1" a="1"/>
  <c r="K5907" i="1" s="1"/>
  <c r="O5907" i="1" s="1"/>
  <c r="K5908" i="1" a="1"/>
  <c r="K5908" i="1" s="1"/>
  <c r="O5908" i="1" s="1"/>
  <c r="K5909" i="1" a="1"/>
  <c r="K5909" i="1" s="1"/>
  <c r="O5909" i="1" s="1"/>
  <c r="K5910" i="1" a="1"/>
  <c r="K5910" i="1" s="1"/>
  <c r="O5910" i="1" s="1"/>
  <c r="K5911" i="1" a="1"/>
  <c r="K5911" i="1" s="1"/>
  <c r="O5911" i="1" s="1"/>
  <c r="K5912" i="1" a="1"/>
  <c r="K5912" i="1" s="1"/>
  <c r="O5912" i="1" s="1"/>
  <c r="K5913" i="1" a="1"/>
  <c r="K5913" i="1" s="1"/>
  <c r="O5913" i="1" s="1"/>
  <c r="K5914" i="1" a="1"/>
  <c r="K5914" i="1" s="1"/>
  <c r="O5914" i="1" s="1"/>
  <c r="K5915" i="1" a="1"/>
  <c r="K5915" i="1" s="1"/>
  <c r="O5915" i="1" s="1"/>
  <c r="K5916" i="1" a="1"/>
  <c r="K5916" i="1" s="1"/>
  <c r="O5916" i="1" s="1"/>
  <c r="K5917" i="1" a="1"/>
  <c r="K5917" i="1" s="1"/>
  <c r="O5917" i="1" s="1"/>
  <c r="K5918" i="1" a="1"/>
  <c r="K5918" i="1" s="1"/>
  <c r="O5918" i="1" s="1"/>
  <c r="K5919" i="1" a="1"/>
  <c r="K5919" i="1" s="1"/>
  <c r="O5919" i="1" s="1"/>
  <c r="K5920" i="1" a="1"/>
  <c r="K5920" i="1" s="1"/>
  <c r="O5920" i="1" s="1"/>
  <c r="K5921" i="1" a="1"/>
  <c r="K5921" i="1" s="1"/>
  <c r="O5921" i="1" s="1"/>
  <c r="K5922" i="1" a="1"/>
  <c r="K5922" i="1" s="1"/>
  <c r="O5922" i="1" s="1"/>
  <c r="K5923" i="1" a="1"/>
  <c r="K5923" i="1" s="1"/>
  <c r="O5923" i="1" s="1"/>
  <c r="K5924" i="1" a="1"/>
  <c r="K5924" i="1" s="1"/>
  <c r="K5925" i="1" a="1"/>
  <c r="K5925" i="1" s="1"/>
  <c r="O5925" i="1" s="1"/>
  <c r="K5926" i="1" a="1"/>
  <c r="K5926" i="1" s="1"/>
  <c r="O5926" i="1" s="1"/>
  <c r="K5927" i="1" a="1"/>
  <c r="K5927" i="1" s="1"/>
  <c r="O5927" i="1" s="1"/>
  <c r="K5928" i="1" a="1"/>
  <c r="K5928" i="1" s="1"/>
  <c r="O5928" i="1" s="1"/>
  <c r="K5929" i="1" a="1"/>
  <c r="K5929" i="1" s="1"/>
  <c r="O5929" i="1" s="1"/>
  <c r="K5930" i="1" a="1"/>
  <c r="K5930" i="1"/>
  <c r="O5930" i="1" s="1"/>
  <c r="K5931" i="1" a="1"/>
  <c r="K5931" i="1" s="1"/>
  <c r="O5931" i="1" s="1"/>
  <c r="K5932" i="1" a="1"/>
  <c r="K5932" i="1" s="1"/>
  <c r="O5932" i="1" s="1"/>
  <c r="K5933" i="1" a="1"/>
  <c r="K5933" i="1" s="1"/>
  <c r="K5934" i="1" a="1"/>
  <c r="K5934" i="1" s="1"/>
  <c r="O5934" i="1" s="1"/>
  <c r="K5935" i="1" a="1"/>
  <c r="K5935" i="1" s="1"/>
  <c r="O5935" i="1" s="1"/>
  <c r="K5936" i="1" a="1"/>
  <c r="K5936" i="1" s="1"/>
  <c r="O5936" i="1" s="1"/>
  <c r="K5937" i="1" a="1"/>
  <c r="K5937" i="1" s="1"/>
  <c r="O5937" i="1" s="1"/>
  <c r="K5938" i="1" a="1"/>
  <c r="K5938" i="1" s="1"/>
  <c r="O5938" i="1" s="1"/>
  <c r="K5939" i="1" a="1"/>
  <c r="K5939" i="1" s="1"/>
  <c r="O5939" i="1" s="1"/>
  <c r="K5940" i="1" a="1"/>
  <c r="K5940" i="1" s="1"/>
  <c r="O5940" i="1" s="1"/>
  <c r="K5941" i="1" a="1"/>
  <c r="K5941" i="1" s="1"/>
  <c r="O5941" i="1" s="1"/>
  <c r="K5942" i="1" a="1"/>
  <c r="K5942" i="1" s="1"/>
  <c r="O5942" i="1" s="1"/>
  <c r="K5943" i="1" a="1"/>
  <c r="K5943" i="1" s="1"/>
  <c r="O5943" i="1" s="1"/>
  <c r="K5944" i="1" a="1"/>
  <c r="K5944" i="1" s="1"/>
  <c r="O5944" i="1" s="1"/>
  <c r="K5945" i="1" a="1"/>
  <c r="K5945" i="1" s="1"/>
  <c r="O5945" i="1" s="1"/>
  <c r="K5946" i="1" a="1"/>
  <c r="K5946" i="1" s="1"/>
  <c r="O5946" i="1" s="1"/>
  <c r="K5947" i="1" a="1"/>
  <c r="K5947" i="1" s="1"/>
  <c r="O5947" i="1" s="1"/>
  <c r="K5948" i="1" a="1"/>
  <c r="K5948" i="1" s="1"/>
  <c r="O5948" i="1" s="1"/>
  <c r="K5949" i="1" a="1"/>
  <c r="K5949" i="1" s="1"/>
  <c r="O5949" i="1" s="1"/>
  <c r="K5950" i="1" a="1"/>
  <c r="K5950" i="1" s="1"/>
  <c r="K5951" i="1" a="1"/>
  <c r="K5951" i="1" s="1"/>
  <c r="O5951" i="1" s="1"/>
  <c r="K5952" i="1" a="1"/>
  <c r="K5952" i="1" s="1"/>
  <c r="O5952" i="1" s="1"/>
  <c r="K5953" i="1" a="1"/>
  <c r="K5953" i="1" s="1"/>
  <c r="O5953" i="1" s="1"/>
  <c r="K5954" i="1" a="1"/>
  <c r="K5954" i="1" s="1"/>
  <c r="O5954" i="1" s="1"/>
  <c r="K5955" i="1" a="1"/>
  <c r="K5955" i="1" s="1"/>
  <c r="O5955" i="1" s="1"/>
  <c r="K5956" i="1" a="1"/>
  <c r="K5956" i="1" s="1"/>
  <c r="O5956" i="1" s="1"/>
  <c r="K5957" i="1" a="1"/>
  <c r="K5957" i="1" s="1"/>
  <c r="O5957" i="1" s="1"/>
  <c r="K5958" i="1" a="1"/>
  <c r="K5958" i="1" s="1"/>
  <c r="O5958" i="1" s="1"/>
  <c r="K5959" i="1" a="1"/>
  <c r="K5959" i="1" s="1"/>
  <c r="O5959" i="1" s="1"/>
  <c r="K5960" i="1" a="1"/>
  <c r="K5960" i="1" s="1"/>
  <c r="O5960" i="1" s="1"/>
  <c r="K5961" i="1" a="1"/>
  <c r="K5961" i="1" s="1"/>
  <c r="O5961" i="1" s="1"/>
  <c r="K5962" i="1" a="1"/>
  <c r="K5962" i="1" s="1"/>
  <c r="O5962" i="1" s="1"/>
  <c r="K5963" i="1" a="1"/>
  <c r="K5963" i="1" s="1"/>
  <c r="O5963" i="1" s="1"/>
  <c r="K5964" i="1" a="1"/>
  <c r="K5964" i="1" s="1"/>
  <c r="O5964" i="1" s="1"/>
  <c r="K5965" i="1" a="1"/>
  <c r="K5965" i="1" s="1"/>
  <c r="O5965" i="1" s="1"/>
  <c r="K5966" i="1" a="1"/>
  <c r="K5966" i="1" s="1"/>
  <c r="O5966" i="1" s="1"/>
  <c r="K5967" i="1" a="1"/>
  <c r="K5967" i="1" s="1"/>
  <c r="O5967" i="1" s="1"/>
  <c r="K5968" i="1" a="1"/>
  <c r="K5968" i="1" s="1"/>
  <c r="O5968" i="1" s="1"/>
  <c r="K5969" i="1" a="1"/>
  <c r="K5969" i="1" s="1"/>
  <c r="O5969" i="1" s="1"/>
  <c r="K5970" i="1" a="1"/>
  <c r="K5970" i="1" s="1"/>
  <c r="O5970" i="1" s="1"/>
  <c r="K5971" i="1" a="1"/>
  <c r="K5971" i="1" s="1"/>
  <c r="O5971" i="1" s="1"/>
  <c r="K5972" i="1" a="1"/>
  <c r="K5972" i="1" s="1"/>
  <c r="O5972" i="1" s="1"/>
  <c r="K5973" i="1" a="1"/>
  <c r="K5973" i="1" s="1"/>
  <c r="O5973" i="1" s="1"/>
  <c r="K5974" i="1" a="1"/>
  <c r="K5974" i="1" s="1"/>
  <c r="O5974" i="1" s="1"/>
  <c r="K5975" i="1" a="1"/>
  <c r="K5975" i="1" s="1"/>
  <c r="O5975" i="1" s="1"/>
  <c r="K5976" i="1" a="1"/>
  <c r="K5976" i="1" s="1"/>
  <c r="O5976" i="1" s="1"/>
  <c r="K5977" i="1" a="1"/>
  <c r="K5977" i="1" s="1"/>
  <c r="O5977" i="1" s="1"/>
  <c r="K5978" i="1" a="1"/>
  <c r="K5978" i="1" s="1"/>
  <c r="O5978" i="1" s="1"/>
  <c r="K5979" i="1" a="1"/>
  <c r="K5979" i="1" s="1"/>
  <c r="O5979" i="1" s="1"/>
  <c r="K5980" i="1" a="1"/>
  <c r="K5980" i="1" s="1"/>
  <c r="O5980" i="1" s="1"/>
  <c r="K5981" i="1" a="1"/>
  <c r="K5981" i="1" s="1"/>
  <c r="O5981" i="1" s="1"/>
  <c r="K5982" i="1" a="1"/>
  <c r="K5982" i="1" s="1"/>
  <c r="O5982" i="1" s="1"/>
  <c r="K5983" i="1" a="1"/>
  <c r="K5983" i="1" s="1"/>
  <c r="O5983" i="1" s="1"/>
  <c r="K5984" i="1" a="1"/>
  <c r="K5984" i="1" s="1"/>
  <c r="O5984" i="1" s="1"/>
  <c r="K5985" i="1" a="1"/>
  <c r="K5985" i="1" s="1"/>
  <c r="O5985" i="1" s="1"/>
  <c r="K5986" i="1" a="1"/>
  <c r="K5986" i="1"/>
  <c r="O5986" i="1" s="1"/>
  <c r="K5987" i="1" a="1"/>
  <c r="K5987" i="1" s="1"/>
  <c r="O5987" i="1" s="1"/>
  <c r="K5988" i="1" a="1"/>
  <c r="K5988" i="1" s="1"/>
  <c r="O5988" i="1" s="1"/>
  <c r="K5989" i="1" a="1"/>
  <c r="K5989" i="1" s="1"/>
  <c r="O5989" i="1" s="1"/>
  <c r="K5990" i="1" a="1"/>
  <c r="K5990" i="1" s="1"/>
  <c r="O5990" i="1" s="1"/>
  <c r="K5991" i="1" a="1"/>
  <c r="K5991" i="1" s="1"/>
  <c r="K5992" i="1" a="1"/>
  <c r="K5992" i="1" s="1"/>
  <c r="O5992" i="1" s="1"/>
  <c r="K5993" i="1" a="1"/>
  <c r="K5993" i="1" s="1"/>
  <c r="O5993" i="1" s="1"/>
  <c r="K5994" i="1" a="1"/>
  <c r="K5994" i="1" s="1"/>
  <c r="O5994" i="1" s="1"/>
  <c r="K5995" i="1" a="1"/>
  <c r="K5995" i="1" s="1"/>
  <c r="O5995" i="1" s="1"/>
  <c r="K5996" i="1" a="1"/>
  <c r="K5996" i="1" s="1"/>
  <c r="O5996" i="1" s="1"/>
  <c r="K5997" i="1" a="1"/>
  <c r="K5997" i="1" s="1"/>
  <c r="O5997" i="1" s="1"/>
  <c r="K5998" i="1" a="1"/>
  <c r="K5998" i="1" s="1"/>
  <c r="O5998" i="1" s="1"/>
  <c r="K5999" i="1" a="1"/>
  <c r="K5999" i="1" s="1"/>
  <c r="O5999" i="1" s="1"/>
  <c r="K6000" i="1" a="1"/>
  <c r="K6000" i="1" s="1"/>
  <c r="O6000" i="1" s="1"/>
  <c r="K6001" i="1" a="1"/>
  <c r="K6001" i="1" s="1"/>
  <c r="O6001" i="1" s="1"/>
  <c r="K6002" i="1" a="1"/>
  <c r="K6002" i="1" s="1"/>
  <c r="O6002" i="1" s="1"/>
  <c r="K6003" i="1" a="1"/>
  <c r="K6003" i="1" s="1"/>
  <c r="O6003" i="1" s="1"/>
  <c r="K6004" i="1" a="1"/>
  <c r="K6004" i="1" s="1"/>
  <c r="O6004" i="1" s="1"/>
  <c r="K6005" i="1" a="1"/>
  <c r="K6005" i="1" s="1"/>
  <c r="O6005" i="1" s="1"/>
  <c r="K6006" i="1" a="1"/>
  <c r="K6006" i="1" s="1"/>
  <c r="O6006" i="1" s="1"/>
  <c r="K6007" i="1" a="1"/>
  <c r="K6007" i="1" s="1"/>
  <c r="O6007" i="1" s="1"/>
  <c r="K6008" i="1" a="1"/>
  <c r="K6008" i="1" s="1"/>
  <c r="O6008" i="1" s="1"/>
  <c r="K6009" i="1" a="1"/>
  <c r="K6009" i="1" s="1"/>
  <c r="O6009" i="1" s="1"/>
  <c r="K6010" i="1" a="1"/>
  <c r="K6010" i="1" s="1"/>
  <c r="O6010" i="1" s="1"/>
  <c r="K6011" i="1" a="1"/>
  <c r="K6011" i="1" s="1"/>
  <c r="O6011" i="1" s="1"/>
  <c r="K6012" i="1" a="1"/>
  <c r="K6012" i="1" s="1"/>
  <c r="O6012" i="1" s="1"/>
  <c r="K6013" i="1" a="1"/>
  <c r="K6013" i="1" s="1"/>
  <c r="O6013" i="1" s="1"/>
  <c r="K6014" i="1" a="1"/>
  <c r="K6014" i="1" s="1"/>
  <c r="O6014" i="1" s="1"/>
  <c r="K6015" i="1" a="1"/>
  <c r="K6015" i="1" s="1"/>
  <c r="O6015" i="1" s="1"/>
  <c r="K6016" i="1" a="1"/>
  <c r="K6016" i="1" s="1"/>
  <c r="O6016" i="1" s="1"/>
  <c r="K6017" i="1" a="1"/>
  <c r="K6017" i="1" s="1"/>
  <c r="O6017" i="1" s="1"/>
  <c r="K6018" i="1" a="1"/>
  <c r="K6018" i="1" s="1"/>
  <c r="O6018" i="1" s="1"/>
  <c r="K6019" i="1" a="1"/>
  <c r="K6019" i="1" s="1"/>
  <c r="O6019" i="1" s="1"/>
  <c r="K6020" i="1" a="1"/>
  <c r="K6020" i="1" s="1"/>
  <c r="O6020" i="1" s="1"/>
  <c r="K6021" i="1" a="1"/>
  <c r="K6021" i="1" s="1"/>
  <c r="O6021" i="1" s="1"/>
  <c r="K6022" i="1" a="1"/>
  <c r="K6022" i="1" s="1"/>
  <c r="O6022" i="1" s="1"/>
  <c r="K6023" i="1" a="1"/>
  <c r="K6023" i="1" s="1"/>
  <c r="O6023" i="1" s="1"/>
  <c r="K6024" i="1" a="1"/>
  <c r="K6024" i="1" s="1"/>
  <c r="O6024" i="1" s="1"/>
  <c r="K6025" i="1" a="1"/>
  <c r="K6025" i="1" s="1"/>
  <c r="O6025" i="1" s="1"/>
  <c r="K6026" i="1" a="1"/>
  <c r="K6026" i="1" s="1"/>
  <c r="O6026" i="1" s="1"/>
  <c r="K6027" i="1" a="1"/>
  <c r="K6027" i="1" s="1"/>
  <c r="O6027" i="1" s="1"/>
  <c r="K6028" i="1" a="1"/>
  <c r="K6028" i="1" s="1"/>
  <c r="O6028" i="1" s="1"/>
  <c r="K6029" i="1" a="1"/>
  <c r="K6029" i="1" s="1"/>
  <c r="O6029" i="1" s="1"/>
  <c r="K6030" i="1" a="1"/>
  <c r="K6030" i="1" s="1"/>
  <c r="O6030" i="1" s="1"/>
  <c r="K6031" i="1" a="1"/>
  <c r="K6031" i="1" s="1"/>
  <c r="O6031" i="1" s="1"/>
  <c r="K6032" i="1" a="1"/>
  <c r="K6032" i="1" s="1"/>
  <c r="O6032" i="1" s="1"/>
  <c r="K6033" i="1" a="1"/>
  <c r="K6033" i="1" s="1"/>
  <c r="O6033" i="1" s="1"/>
  <c r="K6034" i="1" a="1"/>
  <c r="K6034" i="1" s="1"/>
  <c r="O6034" i="1" s="1"/>
  <c r="K6035" i="1" a="1"/>
  <c r="K6035" i="1" s="1"/>
  <c r="O6035" i="1" s="1"/>
  <c r="K6036" i="1" a="1"/>
  <c r="K6036" i="1" s="1"/>
  <c r="K6037" i="1" a="1"/>
  <c r="K6037" i="1" s="1"/>
  <c r="O6037" i="1" s="1"/>
  <c r="K6038" i="1" a="1"/>
  <c r="K6038" i="1"/>
  <c r="K6039" i="1" a="1"/>
  <c r="K6039" i="1" s="1"/>
  <c r="O6039" i="1" s="1"/>
  <c r="K6040" i="1" a="1"/>
  <c r="K6040" i="1" s="1"/>
  <c r="O6040" i="1" s="1"/>
  <c r="K6041" i="1" a="1"/>
  <c r="K6041" i="1" s="1"/>
  <c r="O6041" i="1" s="1"/>
  <c r="K6042" i="1" a="1"/>
  <c r="K6042" i="1" s="1"/>
  <c r="O6042" i="1" s="1"/>
  <c r="K6043" i="1" a="1"/>
  <c r="K6043" i="1" s="1"/>
  <c r="O6043" i="1" s="1"/>
  <c r="K6044" i="1" a="1"/>
  <c r="K6044" i="1" s="1"/>
  <c r="O6044" i="1" s="1"/>
  <c r="K6045" i="1" a="1"/>
  <c r="K6045" i="1" s="1"/>
  <c r="O6045" i="1" s="1"/>
  <c r="K6046" i="1" a="1"/>
  <c r="K6046" i="1" s="1"/>
  <c r="O6046" i="1" s="1"/>
  <c r="K6047" i="1" a="1"/>
  <c r="K6047" i="1" s="1"/>
  <c r="O6047" i="1" s="1"/>
  <c r="K6048" i="1" a="1"/>
  <c r="K6048" i="1" s="1"/>
  <c r="O6048" i="1" s="1"/>
  <c r="K6049" i="1" a="1"/>
  <c r="K6049" i="1" s="1"/>
  <c r="O6049" i="1" s="1"/>
  <c r="K6050" i="1" a="1"/>
  <c r="K6050" i="1" s="1"/>
  <c r="O6050" i="1" s="1"/>
  <c r="K6051" i="1" a="1"/>
  <c r="K6051" i="1" s="1"/>
  <c r="O6051" i="1" s="1"/>
  <c r="K6052" i="1" a="1"/>
  <c r="K6052" i="1" s="1"/>
  <c r="O6052" i="1" s="1"/>
  <c r="K6053" i="1" a="1"/>
  <c r="K6053" i="1"/>
  <c r="O6053" i="1" s="1"/>
  <c r="K6054" i="1" a="1"/>
  <c r="K6054" i="1" s="1"/>
  <c r="O6054" i="1" s="1"/>
  <c r="K6055" i="1" a="1"/>
  <c r="K6055" i="1" s="1"/>
  <c r="O6055" i="1" s="1"/>
  <c r="K6056" i="1" a="1"/>
  <c r="K6056" i="1" s="1"/>
  <c r="O6056" i="1" s="1"/>
  <c r="K6057" i="1" a="1"/>
  <c r="K6057" i="1" s="1"/>
  <c r="O6057" i="1" s="1"/>
  <c r="K6058" i="1" a="1"/>
  <c r="K6058" i="1" s="1"/>
  <c r="O6058" i="1" s="1"/>
  <c r="K6059" i="1" a="1"/>
  <c r="K6059" i="1" s="1"/>
  <c r="O6059" i="1" s="1"/>
  <c r="K6060" i="1" a="1"/>
  <c r="K6060" i="1" s="1"/>
  <c r="O6060" i="1" s="1"/>
  <c r="K6061" i="1" a="1"/>
  <c r="K6061" i="1" s="1"/>
  <c r="O6061" i="1" s="1"/>
  <c r="K6062" i="1" a="1"/>
  <c r="K6062" i="1" s="1"/>
  <c r="O6062" i="1" s="1"/>
  <c r="K6063" i="1" a="1"/>
  <c r="K6063" i="1" s="1"/>
  <c r="O6063" i="1" s="1"/>
  <c r="K6064" i="1" a="1"/>
  <c r="K6064" i="1" s="1"/>
  <c r="O6064" i="1" s="1"/>
  <c r="K6065" i="1" a="1"/>
  <c r="K6065" i="1" s="1"/>
  <c r="O6065" i="1" s="1"/>
  <c r="K6066" i="1" a="1"/>
  <c r="K6066" i="1"/>
  <c r="O6066" i="1" s="1"/>
  <c r="K6067" i="1" a="1"/>
  <c r="K6067" i="1" s="1"/>
  <c r="O6067" i="1" s="1"/>
  <c r="K6068" i="1" a="1"/>
  <c r="K6068" i="1" s="1"/>
  <c r="O6068" i="1" s="1"/>
  <c r="K6069" i="1" a="1"/>
  <c r="K6069" i="1" s="1"/>
  <c r="O6069" i="1" s="1"/>
  <c r="K6070" i="1" a="1"/>
  <c r="K6070" i="1" s="1"/>
  <c r="O6070" i="1" s="1"/>
  <c r="K6071" i="1" a="1"/>
  <c r="K6071" i="1" s="1"/>
  <c r="O6071" i="1" s="1"/>
  <c r="K6072" i="1" a="1"/>
  <c r="K6072" i="1" s="1"/>
  <c r="O6072" i="1" s="1"/>
  <c r="K6073" i="1" a="1"/>
  <c r="K6073" i="1" s="1"/>
  <c r="O6073" i="1" s="1"/>
  <c r="K6074" i="1" a="1"/>
  <c r="K6074" i="1" s="1"/>
  <c r="O6074" i="1" s="1"/>
  <c r="K6075" i="1" a="1"/>
  <c r="K6075" i="1" s="1"/>
  <c r="O6075" i="1" s="1"/>
  <c r="K6076" i="1" a="1"/>
  <c r="K6076" i="1" s="1"/>
  <c r="O6076" i="1" s="1"/>
  <c r="K6077" i="1" a="1"/>
  <c r="K6077" i="1" s="1"/>
  <c r="M6077" i="1" s="1"/>
  <c r="K6078" i="1" a="1"/>
  <c r="K6078" i="1" s="1"/>
  <c r="O6078" i="1" s="1"/>
  <c r="K6079" i="1" a="1"/>
  <c r="K6079" i="1" s="1"/>
  <c r="K6080" i="1" a="1"/>
  <c r="K6080" i="1" s="1"/>
  <c r="O6080" i="1" s="1"/>
  <c r="K6081" i="1" a="1"/>
  <c r="K6081" i="1" s="1"/>
  <c r="O6081" i="1" s="1"/>
  <c r="K6082" i="1" a="1"/>
  <c r="K6082" i="1" s="1"/>
  <c r="O6082" i="1" s="1"/>
  <c r="K6083" i="1" a="1"/>
  <c r="K6083" i="1" s="1"/>
  <c r="O6083" i="1" s="1"/>
  <c r="K6084" i="1" a="1"/>
  <c r="K6084" i="1" s="1"/>
  <c r="O6084" i="1" s="1"/>
  <c r="K6085" i="1" a="1"/>
  <c r="K6085" i="1" s="1"/>
  <c r="O6085" i="1" s="1"/>
  <c r="K6086" i="1" a="1"/>
  <c r="K6086" i="1" s="1"/>
  <c r="O6086" i="1" s="1"/>
  <c r="K6087" i="1" a="1"/>
  <c r="K6087" i="1" s="1"/>
  <c r="K6088" i="1" a="1"/>
  <c r="K6088" i="1" s="1"/>
  <c r="O6088" i="1" s="1"/>
  <c r="K6089" i="1" a="1"/>
  <c r="K6089" i="1" s="1"/>
  <c r="O6089" i="1" s="1"/>
  <c r="K6090" i="1" a="1"/>
  <c r="K6090" i="1"/>
  <c r="O6090" i="1" s="1"/>
  <c r="K6091" i="1" a="1"/>
  <c r="K6091" i="1" s="1"/>
  <c r="O6091" i="1" s="1"/>
  <c r="K6092" i="1" a="1"/>
  <c r="K6092" i="1" s="1"/>
  <c r="O6092" i="1" s="1"/>
  <c r="K6093" i="1" a="1"/>
  <c r="K6093" i="1" s="1"/>
  <c r="O6093" i="1" s="1"/>
  <c r="K6094" i="1" a="1"/>
  <c r="K6094" i="1" s="1"/>
  <c r="O6094" i="1" s="1"/>
  <c r="K6095" i="1" a="1"/>
  <c r="K6095" i="1" s="1"/>
  <c r="O6095" i="1" s="1"/>
  <c r="K6096" i="1" a="1"/>
  <c r="K6096" i="1" s="1"/>
  <c r="O6096" i="1" s="1"/>
  <c r="K6097" i="1" a="1"/>
  <c r="K6097" i="1" s="1"/>
  <c r="O6097" i="1" s="1"/>
  <c r="K6098" i="1" a="1"/>
  <c r="K6098" i="1" s="1"/>
  <c r="O6098" i="1" s="1"/>
  <c r="K6099" i="1" a="1"/>
  <c r="K6099" i="1" s="1"/>
  <c r="O6099" i="1" s="1"/>
  <c r="K6100" i="1" a="1"/>
  <c r="K6100" i="1" s="1"/>
  <c r="O6100" i="1" s="1"/>
  <c r="K6101" i="1" a="1"/>
  <c r="K6101" i="1" s="1"/>
  <c r="O6101" i="1" s="1"/>
  <c r="K6102" i="1" a="1"/>
  <c r="K6102" i="1" s="1"/>
  <c r="O6102" i="1" s="1"/>
  <c r="K6103" i="1" a="1"/>
  <c r="K6103" i="1" s="1"/>
  <c r="O6103" i="1" s="1"/>
  <c r="K6104" i="1" a="1"/>
  <c r="K6104" i="1" s="1"/>
  <c r="O6104" i="1" s="1"/>
  <c r="K6105" i="1" a="1"/>
  <c r="K6105" i="1" s="1"/>
  <c r="O6105" i="1" s="1"/>
  <c r="K6106" i="1" a="1"/>
  <c r="K6106" i="1" s="1"/>
  <c r="O6106" i="1" s="1"/>
  <c r="K6107" i="1" a="1"/>
  <c r="K6107" i="1" s="1"/>
  <c r="O6107" i="1" s="1"/>
  <c r="K6108" i="1" a="1"/>
  <c r="K6108" i="1" s="1"/>
  <c r="O6108" i="1" s="1"/>
  <c r="K6109" i="1" a="1"/>
  <c r="K6109" i="1" s="1"/>
  <c r="O6109" i="1" s="1"/>
  <c r="K6110" i="1" a="1"/>
  <c r="K6110" i="1" s="1"/>
  <c r="O6110" i="1" s="1"/>
  <c r="K6111" i="1" a="1"/>
  <c r="K6111" i="1" s="1"/>
  <c r="O6111" i="1" s="1"/>
  <c r="K6112" i="1" a="1"/>
  <c r="K6112" i="1" s="1"/>
  <c r="O6112" i="1" s="1"/>
  <c r="K6113" i="1" a="1"/>
  <c r="K6113" i="1" s="1"/>
  <c r="O6113" i="1" s="1"/>
  <c r="K6114" i="1" a="1"/>
  <c r="K6114" i="1" s="1"/>
  <c r="O6114" i="1" s="1"/>
  <c r="K6115" i="1" a="1"/>
  <c r="K6115" i="1" s="1"/>
  <c r="O6115" i="1" s="1"/>
  <c r="K6116" i="1" a="1"/>
  <c r="K6116" i="1" s="1"/>
  <c r="O6116" i="1" s="1"/>
  <c r="K6117" i="1" a="1"/>
  <c r="K6117" i="1" s="1"/>
  <c r="O6117" i="1" s="1"/>
  <c r="K6118" i="1" a="1"/>
  <c r="K6118" i="1" s="1"/>
  <c r="O6118" i="1" s="1"/>
  <c r="K6119" i="1" a="1"/>
  <c r="K6119" i="1" s="1"/>
  <c r="K6120" i="1" a="1"/>
  <c r="K6120" i="1" s="1"/>
  <c r="K6121" i="1" a="1"/>
  <c r="K6121" i="1" s="1"/>
  <c r="O6121" i="1" s="1"/>
  <c r="K6122" i="1" a="1"/>
  <c r="K6122" i="1" s="1"/>
  <c r="O6122" i="1" s="1"/>
  <c r="K6123" i="1" a="1"/>
  <c r="K6123" i="1" s="1"/>
  <c r="O6123" i="1" s="1"/>
  <c r="K6124" i="1" a="1"/>
  <c r="K6124" i="1" s="1"/>
  <c r="O6124" i="1" s="1"/>
  <c r="K6125" i="1" a="1"/>
  <c r="K6125" i="1" s="1"/>
  <c r="O6125" i="1" s="1"/>
  <c r="K6126" i="1" a="1"/>
  <c r="K6126" i="1" s="1"/>
  <c r="O6126" i="1" s="1"/>
  <c r="K6127" i="1" a="1"/>
  <c r="K6127" i="1" s="1"/>
  <c r="O6127" i="1" s="1"/>
  <c r="K6128" i="1" a="1"/>
  <c r="K6128" i="1" s="1"/>
  <c r="O6128" i="1" s="1"/>
  <c r="K6129" i="1" a="1"/>
  <c r="K6129" i="1" s="1"/>
  <c r="O6129" i="1" s="1"/>
  <c r="K6130" i="1" a="1"/>
  <c r="K6130" i="1" s="1"/>
  <c r="O6130" i="1" s="1"/>
  <c r="K6131" i="1" a="1"/>
  <c r="K6131" i="1" s="1"/>
  <c r="O6131" i="1" s="1"/>
  <c r="K6132" i="1" a="1"/>
  <c r="K6132" i="1" s="1"/>
  <c r="O6132" i="1" s="1"/>
  <c r="K6133" i="1" a="1"/>
  <c r="K6133" i="1" s="1"/>
  <c r="O6133" i="1" s="1"/>
  <c r="K6134" i="1" a="1"/>
  <c r="K6134" i="1" s="1"/>
  <c r="O6134" i="1" s="1"/>
  <c r="K6135" i="1" a="1"/>
  <c r="K6135" i="1" s="1"/>
  <c r="O6135" i="1" s="1"/>
  <c r="K6136" i="1" a="1"/>
  <c r="K6136" i="1" s="1"/>
  <c r="O6136" i="1" s="1"/>
  <c r="K6137" i="1" a="1"/>
  <c r="K6137" i="1" s="1"/>
  <c r="O6137" i="1" s="1"/>
  <c r="K6138" i="1" a="1"/>
  <c r="K6138" i="1" s="1"/>
  <c r="O6138" i="1" s="1"/>
  <c r="K6139" i="1" a="1"/>
  <c r="K6139" i="1" s="1"/>
  <c r="O6139" i="1" s="1"/>
  <c r="K6140" i="1" a="1"/>
  <c r="K6140" i="1" s="1"/>
  <c r="O6140" i="1" s="1"/>
  <c r="K6141" i="1" a="1"/>
  <c r="K6141" i="1" s="1"/>
  <c r="O6141" i="1" s="1"/>
  <c r="K6142" i="1" a="1"/>
  <c r="K6142" i="1" s="1"/>
  <c r="O6142" i="1" s="1"/>
  <c r="K6143" i="1" a="1"/>
  <c r="K6143" i="1" s="1"/>
  <c r="O6143" i="1" s="1"/>
  <c r="K6144" i="1" a="1"/>
  <c r="K6144" i="1" s="1"/>
  <c r="O6144" i="1" s="1"/>
  <c r="K6145" i="1" a="1"/>
  <c r="K6145" i="1" s="1"/>
  <c r="O6145" i="1" s="1"/>
  <c r="K6146" i="1" a="1"/>
  <c r="K6146" i="1" s="1"/>
  <c r="O6146" i="1" s="1"/>
  <c r="K6147" i="1" a="1"/>
  <c r="K6147" i="1" s="1"/>
  <c r="O6147" i="1" s="1"/>
  <c r="K6148" i="1" a="1"/>
  <c r="K6148" i="1" s="1"/>
  <c r="O6148" i="1" s="1"/>
  <c r="K6149" i="1" a="1"/>
  <c r="K6149" i="1" s="1"/>
  <c r="O6149" i="1" s="1"/>
  <c r="K6150" i="1" a="1"/>
  <c r="K6150" i="1" s="1"/>
  <c r="O6150" i="1" s="1"/>
  <c r="K6151" i="1" a="1"/>
  <c r="K6151" i="1" s="1"/>
  <c r="O6151" i="1" s="1"/>
  <c r="K6152" i="1" a="1"/>
  <c r="K6152" i="1" s="1"/>
  <c r="O6152" i="1" s="1"/>
  <c r="K6153" i="1" a="1"/>
  <c r="K6153" i="1" s="1"/>
  <c r="O6153" i="1" s="1"/>
  <c r="K6154" i="1" a="1"/>
  <c r="K6154" i="1" s="1"/>
  <c r="O6154" i="1" s="1"/>
  <c r="K6155" i="1" a="1"/>
  <c r="K6155" i="1" s="1"/>
  <c r="O6155" i="1" s="1"/>
  <c r="K6156" i="1" a="1"/>
  <c r="K6156" i="1" s="1"/>
  <c r="O6156" i="1" s="1"/>
  <c r="K6157" i="1" a="1"/>
  <c r="K6157" i="1" s="1"/>
  <c r="O6157" i="1" s="1"/>
  <c r="K6158" i="1" a="1"/>
  <c r="K6158" i="1" s="1"/>
  <c r="O6158" i="1" s="1"/>
  <c r="K6159" i="1" a="1"/>
  <c r="K6159" i="1" s="1"/>
  <c r="O6159" i="1" s="1"/>
  <c r="K6160" i="1" a="1"/>
  <c r="K6160" i="1" s="1"/>
  <c r="O6160" i="1" s="1"/>
  <c r="K6161" i="1" a="1"/>
  <c r="K6161" i="1" s="1"/>
  <c r="O6161" i="1" s="1"/>
  <c r="K6162" i="1" a="1"/>
  <c r="K6162" i="1" s="1"/>
  <c r="O6162" i="1" s="1"/>
  <c r="K6163" i="1" a="1"/>
  <c r="K6163" i="1" s="1"/>
  <c r="O6163" i="1" s="1"/>
  <c r="K6164" i="1" a="1"/>
  <c r="K6164" i="1" s="1"/>
  <c r="O6164" i="1" s="1"/>
  <c r="K6165" i="1" a="1"/>
  <c r="K6165" i="1" s="1"/>
  <c r="O6165" i="1" s="1"/>
  <c r="K6166" i="1" a="1"/>
  <c r="K6166" i="1" s="1"/>
  <c r="K6167" i="1" a="1"/>
  <c r="K6167" i="1" s="1"/>
  <c r="K6168" i="1" a="1"/>
  <c r="K6168" i="1" s="1"/>
  <c r="O6168" i="1" s="1"/>
  <c r="K6169" i="1" a="1"/>
  <c r="K6169" i="1" s="1"/>
  <c r="O6169" i="1" s="1"/>
  <c r="K6170" i="1" a="1"/>
  <c r="K6170" i="1" s="1"/>
  <c r="O6170" i="1" s="1"/>
  <c r="K6171" i="1" a="1"/>
  <c r="K6171" i="1" s="1"/>
  <c r="O6171" i="1" s="1"/>
  <c r="K6172" i="1" a="1"/>
  <c r="K6172" i="1" s="1"/>
  <c r="O6172" i="1" s="1"/>
  <c r="K6173" i="1" a="1"/>
  <c r="K6173" i="1" s="1"/>
  <c r="O6173" i="1" s="1"/>
  <c r="K6174" i="1" a="1"/>
  <c r="K6174" i="1" s="1"/>
  <c r="O6174" i="1" s="1"/>
  <c r="K6175" i="1" a="1"/>
  <c r="K6175" i="1" s="1"/>
  <c r="O6175" i="1" s="1"/>
  <c r="K6176" i="1" a="1"/>
  <c r="K6176" i="1" s="1"/>
  <c r="O6176" i="1" s="1"/>
  <c r="K6177" i="1" a="1"/>
  <c r="K6177" i="1" s="1"/>
  <c r="O6177" i="1" s="1"/>
  <c r="K6178" i="1" a="1"/>
  <c r="K6178" i="1" s="1"/>
  <c r="O6178" i="1" s="1"/>
  <c r="K6179" i="1" a="1"/>
  <c r="K6179" i="1" s="1"/>
  <c r="O6179" i="1" s="1"/>
  <c r="K6180" i="1" a="1"/>
  <c r="K6180" i="1" s="1"/>
  <c r="O6180" i="1" s="1"/>
  <c r="K6181" i="1" a="1"/>
  <c r="K6181" i="1" s="1"/>
  <c r="O6181" i="1" s="1"/>
  <c r="K6182" i="1" a="1"/>
  <c r="K6182" i="1" s="1"/>
  <c r="O6182" i="1" s="1"/>
  <c r="K6183" i="1" a="1"/>
  <c r="K6183" i="1" s="1"/>
  <c r="O6183" i="1" s="1"/>
  <c r="K6184" i="1" a="1"/>
  <c r="K6184" i="1" s="1"/>
  <c r="O6184" i="1" s="1"/>
  <c r="K6185" i="1" a="1"/>
  <c r="K6185" i="1" s="1"/>
  <c r="O6185" i="1" s="1"/>
  <c r="K6186" i="1" a="1"/>
  <c r="K6186" i="1"/>
  <c r="O6186" i="1" s="1"/>
  <c r="K6187" i="1" a="1"/>
  <c r="K6187" i="1" s="1"/>
  <c r="O6187" i="1" s="1"/>
  <c r="K6188" i="1" a="1"/>
  <c r="K6188" i="1" s="1"/>
  <c r="O6188" i="1" s="1"/>
  <c r="K6189" i="1" a="1"/>
  <c r="K6189" i="1"/>
  <c r="O6189" i="1" s="1"/>
  <c r="K6190" i="1" a="1"/>
  <c r="K6190" i="1" s="1"/>
  <c r="O6190" i="1" s="1"/>
  <c r="K6191" i="1" a="1"/>
  <c r="K6191" i="1" s="1"/>
  <c r="K6192" i="1" a="1"/>
  <c r="K6192" i="1" s="1"/>
  <c r="O6192" i="1" s="1"/>
  <c r="K6193" i="1" a="1"/>
  <c r="K6193" i="1" s="1"/>
  <c r="O6193" i="1" s="1"/>
  <c r="K6194" i="1" a="1"/>
  <c r="K6194" i="1" s="1"/>
  <c r="O6194" i="1" s="1"/>
  <c r="K6195" i="1" a="1"/>
  <c r="K6195" i="1" s="1"/>
  <c r="O6195" i="1" s="1"/>
  <c r="K6196" i="1" a="1"/>
  <c r="K6196" i="1" s="1"/>
  <c r="O6196" i="1" s="1"/>
  <c r="K6197" i="1" a="1"/>
  <c r="K6197" i="1" s="1"/>
  <c r="O6197" i="1" s="1"/>
  <c r="K6198" i="1" a="1"/>
  <c r="K6198" i="1" s="1"/>
  <c r="O6198" i="1" s="1"/>
  <c r="K6199" i="1" a="1"/>
  <c r="K6199" i="1" s="1"/>
  <c r="O6199" i="1" s="1"/>
  <c r="K6200" i="1" a="1"/>
  <c r="K6200" i="1" s="1"/>
  <c r="O6200" i="1" s="1"/>
  <c r="K6201" i="1" a="1"/>
  <c r="K6201" i="1" s="1"/>
  <c r="O6201" i="1" s="1"/>
  <c r="K6202" i="1" a="1"/>
  <c r="K6202" i="1" s="1"/>
  <c r="O6202" i="1" s="1"/>
  <c r="K6203" i="1" a="1"/>
  <c r="K6203" i="1" s="1"/>
  <c r="O6203" i="1" s="1"/>
  <c r="K6204" i="1" a="1"/>
  <c r="K6204" i="1" s="1"/>
  <c r="O6204" i="1" s="1"/>
  <c r="K6205" i="1" a="1"/>
  <c r="K6205" i="1" s="1"/>
  <c r="O6205" i="1" s="1"/>
  <c r="K6206" i="1" a="1"/>
  <c r="K6206" i="1" s="1"/>
  <c r="O6206" i="1" s="1"/>
  <c r="K6207" i="1" a="1"/>
  <c r="K6207" i="1" s="1"/>
  <c r="O6207" i="1" s="1"/>
  <c r="K6208" i="1" a="1"/>
  <c r="K6208" i="1" s="1"/>
  <c r="O6208" i="1" s="1"/>
  <c r="K6209" i="1" a="1"/>
  <c r="K6209" i="1" s="1"/>
  <c r="O6209" i="1" s="1"/>
  <c r="K6210" i="1" a="1"/>
  <c r="K6210" i="1" s="1"/>
  <c r="O6210" i="1" s="1"/>
  <c r="K6211" i="1" a="1"/>
  <c r="K6211" i="1" s="1"/>
  <c r="K6212" i="1" a="1"/>
  <c r="K6212" i="1" s="1"/>
  <c r="O6212" i="1" s="1"/>
  <c r="K6213" i="1" a="1"/>
  <c r="K6213" i="1" s="1"/>
  <c r="O6213" i="1" s="1"/>
  <c r="K6214" i="1" a="1"/>
  <c r="K6214" i="1" s="1"/>
  <c r="O6214" i="1" s="1"/>
  <c r="K6215" i="1" a="1"/>
  <c r="K6215" i="1" s="1"/>
  <c r="O6215" i="1" s="1"/>
  <c r="K6216" i="1" a="1"/>
  <c r="K6216" i="1" s="1"/>
  <c r="O6216" i="1" s="1"/>
  <c r="K6217" i="1" a="1"/>
  <c r="K6217" i="1" s="1"/>
  <c r="O6217" i="1" s="1"/>
  <c r="K6218" i="1" a="1"/>
  <c r="K6218" i="1" s="1"/>
  <c r="O6218" i="1" s="1"/>
  <c r="K6219" i="1" a="1"/>
  <c r="K6219" i="1" s="1"/>
  <c r="K6220" i="1" a="1"/>
  <c r="K6220" i="1" s="1"/>
  <c r="O6220" i="1" s="1"/>
  <c r="K6221" i="1" a="1"/>
  <c r="K6221" i="1" s="1"/>
  <c r="O6221" i="1" s="1"/>
  <c r="K6222" i="1" a="1"/>
  <c r="K6222" i="1" s="1"/>
  <c r="O6222" i="1" s="1"/>
  <c r="K6223" i="1" a="1"/>
  <c r="K6223" i="1" s="1"/>
  <c r="O6223" i="1" s="1"/>
  <c r="K6224" i="1" a="1"/>
  <c r="K6224" i="1" s="1"/>
  <c r="O6224" i="1" s="1"/>
  <c r="K6225" i="1" a="1"/>
  <c r="K6225" i="1" s="1"/>
  <c r="O6225" i="1" s="1"/>
  <c r="K6226" i="1" a="1"/>
  <c r="K6226" i="1" s="1"/>
  <c r="O6226" i="1" s="1"/>
  <c r="K6227" i="1" a="1"/>
  <c r="K6227" i="1" s="1"/>
  <c r="O6227" i="1" s="1"/>
  <c r="K6228" i="1" a="1"/>
  <c r="K6228" i="1" s="1"/>
  <c r="O6228" i="1" s="1"/>
  <c r="K6229" i="1" a="1"/>
  <c r="K6229" i="1" s="1"/>
  <c r="O6229" i="1" s="1"/>
  <c r="K6230" i="1" a="1"/>
  <c r="K6230" i="1" s="1"/>
  <c r="O6230" i="1" s="1"/>
  <c r="K6231" i="1" a="1"/>
  <c r="K6231" i="1" s="1"/>
  <c r="O6231" i="1" s="1"/>
  <c r="K6232" i="1" a="1"/>
  <c r="K6232" i="1" s="1"/>
  <c r="O6232" i="1" s="1"/>
  <c r="K6233" i="1" a="1"/>
  <c r="K6233" i="1" s="1"/>
  <c r="O6233" i="1" s="1"/>
  <c r="K6234" i="1" a="1"/>
  <c r="K6234" i="1" s="1"/>
  <c r="O6234" i="1" s="1"/>
  <c r="K6235" i="1" a="1"/>
  <c r="K6235" i="1" s="1"/>
  <c r="O6235" i="1" s="1"/>
  <c r="K6236" i="1" a="1"/>
  <c r="K6236" i="1" s="1"/>
  <c r="O6236" i="1" s="1"/>
  <c r="K6237" i="1" a="1"/>
  <c r="K6237" i="1" s="1"/>
  <c r="O6237" i="1" s="1"/>
  <c r="K6238" i="1" a="1"/>
  <c r="K6238" i="1" s="1"/>
  <c r="O6238" i="1" s="1"/>
  <c r="K6239" i="1" a="1"/>
  <c r="K6239" i="1" s="1"/>
  <c r="O6239" i="1" s="1"/>
  <c r="K6240" i="1" a="1"/>
  <c r="K6240" i="1" s="1"/>
  <c r="O6240" i="1" s="1"/>
  <c r="K6241" i="1" a="1"/>
  <c r="K6241" i="1" s="1"/>
  <c r="O6241" i="1" s="1"/>
  <c r="K6242" i="1" a="1"/>
  <c r="K6242" i="1" s="1"/>
  <c r="O6242" i="1" s="1"/>
  <c r="K6243" i="1" a="1"/>
  <c r="K6243" i="1" s="1"/>
  <c r="O6243" i="1" s="1"/>
  <c r="K6244" i="1" a="1"/>
  <c r="K6244" i="1" s="1"/>
  <c r="O6244" i="1" s="1"/>
  <c r="K6245" i="1" a="1"/>
  <c r="K6245" i="1" s="1"/>
  <c r="O6245" i="1" s="1"/>
  <c r="K6246" i="1" a="1"/>
  <c r="K6246" i="1" s="1"/>
  <c r="O6246" i="1" s="1"/>
  <c r="K6247" i="1" a="1"/>
  <c r="K6247" i="1" s="1"/>
  <c r="K6248" i="1" a="1"/>
  <c r="K6248" i="1" s="1"/>
  <c r="O6248" i="1" s="1"/>
  <c r="K6249" i="1" a="1"/>
  <c r="K6249" i="1" s="1"/>
  <c r="O6249" i="1" s="1"/>
  <c r="K6250" i="1" a="1"/>
  <c r="K6250" i="1" s="1"/>
  <c r="O6250" i="1" s="1"/>
  <c r="K6251" i="1" a="1"/>
  <c r="K6251" i="1" s="1"/>
  <c r="O6251" i="1" s="1"/>
  <c r="K6252" i="1" a="1"/>
  <c r="K6252" i="1" s="1"/>
  <c r="O6252" i="1" s="1"/>
  <c r="K6253" i="1" a="1"/>
  <c r="K6253" i="1" s="1"/>
  <c r="K6254" i="1" a="1"/>
  <c r="K6254" i="1" s="1"/>
  <c r="O6254" i="1" s="1"/>
  <c r="K6255" i="1" a="1"/>
  <c r="K6255" i="1" s="1"/>
  <c r="O6255" i="1" s="1"/>
  <c r="K6256" i="1" a="1"/>
  <c r="K6256" i="1" s="1"/>
  <c r="O6256" i="1" s="1"/>
  <c r="K6257" i="1" a="1"/>
  <c r="K6257" i="1" s="1"/>
  <c r="O6257" i="1" s="1"/>
  <c r="K6258" i="1" a="1"/>
  <c r="K6258" i="1" s="1"/>
  <c r="O6258" i="1" s="1"/>
  <c r="K6259" i="1" a="1"/>
  <c r="K6259" i="1" s="1"/>
  <c r="O6259" i="1" s="1"/>
  <c r="K6260" i="1" a="1"/>
  <c r="K6260" i="1" s="1"/>
  <c r="O6260" i="1" s="1"/>
  <c r="K6261" i="1" a="1"/>
  <c r="K6261" i="1" s="1"/>
  <c r="O6261" i="1" s="1"/>
  <c r="K6262" i="1" a="1"/>
  <c r="K6262" i="1" s="1"/>
  <c r="O6262" i="1" s="1"/>
  <c r="K6263" i="1" a="1"/>
  <c r="K6263" i="1" s="1"/>
  <c r="O6263" i="1" s="1"/>
  <c r="K6264" i="1" a="1"/>
  <c r="K6264" i="1" s="1"/>
  <c r="O6264" i="1" s="1"/>
  <c r="K6265" i="1" a="1"/>
  <c r="K6265" i="1" s="1"/>
  <c r="O6265" i="1" s="1"/>
  <c r="K6266" i="1" a="1"/>
  <c r="K6266" i="1" s="1"/>
  <c r="O6266" i="1" s="1"/>
  <c r="K6267" i="1" a="1"/>
  <c r="K6267" i="1" s="1"/>
  <c r="O6267" i="1" s="1"/>
  <c r="K6268" i="1" a="1"/>
  <c r="K6268" i="1" s="1"/>
  <c r="O6268" i="1" s="1"/>
  <c r="K6269" i="1" a="1"/>
  <c r="K6269" i="1" s="1"/>
  <c r="O6269" i="1" s="1"/>
  <c r="K6270" i="1" a="1"/>
  <c r="K6270" i="1" s="1"/>
  <c r="O6270" i="1" s="1"/>
  <c r="K6271" i="1" a="1"/>
  <c r="K6271" i="1" s="1"/>
  <c r="O6271" i="1" s="1"/>
  <c r="K6272" i="1" a="1"/>
  <c r="K6272" i="1" s="1"/>
  <c r="O6272" i="1" s="1"/>
  <c r="K6273" i="1" a="1"/>
  <c r="K6273" i="1" s="1"/>
  <c r="O6273" i="1" s="1"/>
  <c r="K6274" i="1" a="1"/>
  <c r="K6274" i="1" s="1"/>
  <c r="O6274" i="1" s="1"/>
  <c r="K6275" i="1" a="1"/>
  <c r="K6275" i="1" s="1"/>
  <c r="O6275" i="1" s="1"/>
  <c r="K6276" i="1" a="1"/>
  <c r="K6276" i="1" s="1"/>
  <c r="O6276" i="1" s="1"/>
  <c r="K6277" i="1" a="1"/>
  <c r="K6277" i="1" s="1"/>
  <c r="O6277" i="1" s="1"/>
  <c r="K6278" i="1" a="1"/>
  <c r="K6278" i="1" s="1"/>
  <c r="O6278" i="1" s="1"/>
  <c r="K6279" i="1" a="1"/>
  <c r="K6279" i="1" s="1"/>
  <c r="O6279" i="1" s="1"/>
  <c r="K6280" i="1" a="1"/>
  <c r="K6280" i="1" s="1"/>
  <c r="O6280" i="1" s="1"/>
  <c r="K6281" i="1" a="1"/>
  <c r="K6281" i="1" s="1"/>
  <c r="O6281" i="1" s="1"/>
  <c r="K6282" i="1" a="1"/>
  <c r="K6282" i="1" s="1"/>
  <c r="O6282" i="1" s="1"/>
  <c r="K6283" i="1" a="1"/>
  <c r="K6283" i="1" s="1"/>
  <c r="K6284" i="1" a="1"/>
  <c r="K6284" i="1" s="1"/>
  <c r="O6284" i="1" s="1"/>
  <c r="K6285" i="1" a="1"/>
  <c r="K6285" i="1"/>
  <c r="O6285" i="1" s="1"/>
  <c r="K6286" i="1" a="1"/>
  <c r="K6286" i="1" s="1"/>
  <c r="O6286" i="1" s="1"/>
  <c r="K6287" i="1" a="1"/>
  <c r="K6287" i="1" s="1"/>
  <c r="O6287" i="1" s="1"/>
  <c r="K6288" i="1" a="1"/>
  <c r="K6288" i="1" s="1"/>
  <c r="O6288" i="1" s="1"/>
  <c r="K6289" i="1" a="1"/>
  <c r="K6289" i="1" s="1"/>
  <c r="O6289" i="1" s="1"/>
  <c r="K6290" i="1" a="1"/>
  <c r="K6290" i="1" s="1"/>
  <c r="O6290" i="1" s="1"/>
  <c r="K6291" i="1" a="1"/>
  <c r="K6291" i="1" s="1"/>
  <c r="O6291" i="1" s="1"/>
  <c r="K6292" i="1" a="1"/>
  <c r="K6292" i="1" s="1"/>
  <c r="K6293" i="1" a="1"/>
  <c r="K6293" i="1" s="1"/>
  <c r="O6293" i="1" s="1"/>
  <c r="K6294" i="1" a="1"/>
  <c r="K6294" i="1" s="1"/>
  <c r="K6295" i="1" a="1"/>
  <c r="K6295" i="1" s="1"/>
  <c r="O6295" i="1" s="1"/>
  <c r="K6296" i="1" a="1"/>
  <c r="K6296" i="1" s="1"/>
  <c r="O6296" i="1" s="1"/>
  <c r="K6297" i="1" a="1"/>
  <c r="K6297" i="1" s="1"/>
  <c r="O6297" i="1" s="1"/>
  <c r="K6298" i="1" a="1"/>
  <c r="K6298" i="1"/>
  <c r="O6298" i="1" s="1"/>
  <c r="K6299" i="1" a="1"/>
  <c r="K6299" i="1" s="1"/>
  <c r="O6299" i="1" s="1"/>
  <c r="K6300" i="1" a="1"/>
  <c r="K6300" i="1" s="1"/>
  <c r="O6300" i="1" s="1"/>
  <c r="K6301" i="1" a="1"/>
  <c r="K6301" i="1" s="1"/>
  <c r="O6301" i="1" s="1"/>
  <c r="K6302" i="1" a="1"/>
  <c r="K6302" i="1" s="1"/>
  <c r="O6302" i="1" s="1"/>
  <c r="K6303" i="1" a="1"/>
  <c r="K6303" i="1" s="1"/>
  <c r="O6303" i="1" s="1"/>
  <c r="K6304" i="1" a="1"/>
  <c r="K6304" i="1" s="1"/>
  <c r="O6304" i="1" s="1"/>
  <c r="K6305" i="1" a="1"/>
  <c r="K6305" i="1"/>
  <c r="O6305" i="1" s="1"/>
  <c r="K6306" i="1" a="1"/>
  <c r="K6306" i="1" s="1"/>
  <c r="O6306" i="1" s="1"/>
  <c r="K6307" i="1" a="1"/>
  <c r="K6307" i="1" s="1"/>
  <c r="O6307" i="1" s="1"/>
  <c r="K6308" i="1" a="1"/>
  <c r="K6308" i="1" s="1"/>
  <c r="O6308" i="1" s="1"/>
  <c r="K6309" i="1" a="1"/>
  <c r="K6309" i="1" s="1"/>
  <c r="O6309" i="1" s="1"/>
  <c r="K6310" i="1" a="1"/>
  <c r="K6310" i="1" s="1"/>
  <c r="O6310" i="1" s="1"/>
  <c r="K6311" i="1" a="1"/>
  <c r="K6311" i="1" s="1"/>
  <c r="O6311" i="1" s="1"/>
  <c r="K6312" i="1" a="1"/>
  <c r="K6312" i="1" s="1"/>
  <c r="O6312" i="1" s="1"/>
  <c r="K6313" i="1" a="1"/>
  <c r="K6313" i="1" s="1"/>
  <c r="O6313" i="1" s="1"/>
  <c r="K6314" i="1" a="1"/>
  <c r="K6314" i="1" s="1"/>
  <c r="O6314" i="1" s="1"/>
  <c r="K6315" i="1" a="1"/>
  <c r="K6315" i="1" s="1"/>
  <c r="O6315" i="1" s="1"/>
  <c r="K6316" i="1" a="1"/>
  <c r="K6316" i="1" s="1"/>
  <c r="O6316" i="1" s="1"/>
  <c r="K6317" i="1" a="1"/>
  <c r="K6317" i="1" s="1"/>
  <c r="O6317" i="1" s="1"/>
  <c r="K6318" i="1" a="1"/>
  <c r="K6318" i="1" s="1"/>
  <c r="O6318" i="1" s="1"/>
  <c r="K6319" i="1" a="1"/>
  <c r="K6319" i="1" s="1"/>
  <c r="O6319" i="1" s="1"/>
  <c r="K6320" i="1" a="1"/>
  <c r="K6320" i="1" s="1"/>
  <c r="O6320" i="1" s="1"/>
  <c r="K6321" i="1" a="1"/>
  <c r="K6321" i="1" s="1"/>
  <c r="O6321" i="1" s="1"/>
  <c r="K6322" i="1" a="1"/>
  <c r="K6322" i="1" s="1"/>
  <c r="O6322" i="1" s="1"/>
  <c r="K6323" i="1" a="1"/>
  <c r="K6323" i="1" s="1"/>
  <c r="O6323" i="1" s="1"/>
  <c r="K6324" i="1" a="1"/>
  <c r="K6324" i="1" s="1"/>
  <c r="O6324" i="1" s="1"/>
  <c r="K6325" i="1" a="1"/>
  <c r="K6325" i="1" s="1"/>
  <c r="O6325" i="1" s="1"/>
  <c r="K6326" i="1" a="1"/>
  <c r="K6326" i="1" s="1"/>
  <c r="O6326" i="1" s="1"/>
  <c r="K6327" i="1" a="1"/>
  <c r="K6327" i="1" s="1"/>
  <c r="O6327" i="1" s="1"/>
  <c r="K6328" i="1" a="1"/>
  <c r="K6328" i="1" s="1"/>
  <c r="O6328" i="1" s="1"/>
  <c r="K6329" i="1" a="1"/>
  <c r="K6329" i="1" s="1"/>
  <c r="O6329" i="1" s="1"/>
  <c r="K6330" i="1" a="1"/>
  <c r="K6330" i="1" s="1"/>
  <c r="O6330" i="1" s="1"/>
  <c r="K6331" i="1" a="1"/>
  <c r="K6331" i="1" s="1"/>
  <c r="O6331" i="1" s="1"/>
  <c r="K6332" i="1" a="1"/>
  <c r="K6332" i="1" s="1"/>
  <c r="O6332" i="1" s="1"/>
  <c r="K6333" i="1" a="1"/>
  <c r="K6333" i="1" s="1"/>
  <c r="O6333" i="1" s="1"/>
  <c r="K6334" i="1" a="1"/>
  <c r="K6334" i="1" s="1"/>
  <c r="O6334" i="1" s="1"/>
  <c r="K6335" i="1" a="1"/>
  <c r="K6335" i="1" s="1"/>
  <c r="O6335" i="1" s="1"/>
  <c r="K6336" i="1" a="1"/>
  <c r="K6336" i="1" s="1"/>
  <c r="O6336" i="1" s="1"/>
  <c r="K6337" i="1" a="1"/>
  <c r="K6337" i="1" s="1"/>
  <c r="O6337" i="1" s="1"/>
  <c r="K6338" i="1" a="1"/>
  <c r="K6338" i="1" s="1"/>
  <c r="O6338" i="1" s="1"/>
  <c r="K6339" i="1" a="1"/>
  <c r="K6339" i="1" s="1"/>
  <c r="O6339" i="1" s="1"/>
  <c r="K6340" i="1" a="1"/>
  <c r="K6340" i="1" s="1"/>
  <c r="O6340" i="1" s="1"/>
  <c r="K6341" i="1" a="1"/>
  <c r="K6341" i="1" s="1"/>
  <c r="O6341" i="1" s="1"/>
  <c r="K6342" i="1" a="1"/>
  <c r="K6342" i="1" s="1"/>
  <c r="O6342" i="1" s="1"/>
  <c r="K6343" i="1" a="1"/>
  <c r="K6343" i="1" s="1"/>
  <c r="O6343" i="1" s="1"/>
  <c r="K6344" i="1" a="1"/>
  <c r="K6344" i="1" s="1"/>
  <c r="O6344" i="1" s="1"/>
  <c r="K6345" i="1" a="1"/>
  <c r="K6345" i="1" s="1"/>
  <c r="O6345" i="1" s="1"/>
  <c r="K6346" i="1" a="1"/>
  <c r="K6346" i="1" s="1"/>
  <c r="O6346" i="1" s="1"/>
  <c r="K6347" i="1" a="1"/>
  <c r="K6347" i="1" s="1"/>
  <c r="M6347" i="1" s="1"/>
  <c r="K6348" i="1" a="1"/>
  <c r="K6348" i="1" s="1"/>
  <c r="O6348" i="1" s="1"/>
  <c r="K6349" i="1" a="1"/>
  <c r="K6349" i="1" s="1"/>
  <c r="O6349" i="1" s="1"/>
  <c r="K6350" i="1" a="1"/>
  <c r="K6350" i="1" s="1"/>
  <c r="O6350" i="1" s="1"/>
  <c r="K6351" i="1" a="1"/>
  <c r="K6351" i="1" s="1"/>
  <c r="O6351" i="1" s="1"/>
  <c r="K6352" i="1" a="1"/>
  <c r="K6352" i="1" s="1"/>
  <c r="K6353" i="1" a="1"/>
  <c r="K6353" i="1"/>
  <c r="O6353" i="1" s="1"/>
  <c r="K6354" i="1" a="1"/>
  <c r="K6354" i="1" s="1"/>
  <c r="O6354" i="1" s="1"/>
  <c r="K6355" i="1" a="1"/>
  <c r="K6355" i="1" s="1"/>
  <c r="O6355" i="1" s="1"/>
  <c r="K6356" i="1" a="1"/>
  <c r="K6356" i="1" s="1"/>
  <c r="O6356" i="1" s="1"/>
  <c r="K6357" i="1" a="1"/>
  <c r="K6357" i="1" s="1"/>
  <c r="O6357" i="1" s="1"/>
  <c r="K6358" i="1" a="1"/>
  <c r="K6358" i="1" s="1"/>
  <c r="O6358" i="1" s="1"/>
  <c r="K6359" i="1" a="1"/>
  <c r="K6359" i="1" s="1"/>
  <c r="O6359" i="1" s="1"/>
  <c r="K6360" i="1" a="1"/>
  <c r="K6360" i="1" s="1"/>
  <c r="O6360" i="1" s="1"/>
  <c r="K6361" i="1" a="1"/>
  <c r="K6361" i="1" s="1"/>
  <c r="O6361" i="1" s="1"/>
  <c r="K6362" i="1" a="1"/>
  <c r="K6362" i="1" s="1"/>
  <c r="O6362" i="1" s="1"/>
  <c r="K6363" i="1" a="1"/>
  <c r="K6363" i="1" s="1"/>
  <c r="O6363" i="1" s="1"/>
  <c r="K6364" i="1" a="1"/>
  <c r="K6364" i="1" s="1"/>
  <c r="O6364" i="1" s="1"/>
  <c r="K6365" i="1" a="1"/>
  <c r="K6365" i="1" s="1"/>
  <c r="O6365" i="1" s="1"/>
  <c r="K6366" i="1" a="1"/>
  <c r="K6366" i="1" s="1"/>
  <c r="O6366" i="1" s="1"/>
  <c r="K6367" i="1" a="1"/>
  <c r="K6367" i="1" s="1"/>
  <c r="O6367" i="1" s="1"/>
  <c r="K6368" i="1" a="1"/>
  <c r="K6368" i="1" s="1"/>
  <c r="O6368" i="1" s="1"/>
  <c r="K6369" i="1" a="1"/>
  <c r="K6369" i="1" s="1"/>
  <c r="O6369" i="1" s="1"/>
  <c r="K6370" i="1" a="1"/>
  <c r="K6370" i="1" s="1"/>
  <c r="O6370" i="1" s="1"/>
  <c r="K6371" i="1" a="1"/>
  <c r="K6371" i="1" s="1"/>
  <c r="O6371" i="1" s="1"/>
  <c r="K6372" i="1" a="1"/>
  <c r="K6372" i="1" s="1"/>
  <c r="O6372" i="1" s="1"/>
  <c r="K6373" i="1" a="1"/>
  <c r="K6373" i="1" s="1"/>
  <c r="O6373" i="1" s="1"/>
  <c r="K6374" i="1" a="1"/>
  <c r="K6374" i="1"/>
  <c r="O6374" i="1" s="1"/>
  <c r="K6375" i="1" a="1"/>
  <c r="K6375" i="1" s="1"/>
  <c r="O6375" i="1" s="1"/>
  <c r="K6376" i="1" a="1"/>
  <c r="K6376" i="1" s="1"/>
  <c r="O6376" i="1" s="1"/>
  <c r="K6377" i="1" a="1"/>
  <c r="K6377" i="1" s="1"/>
  <c r="O6377" i="1" s="1"/>
  <c r="K6378" i="1" a="1"/>
  <c r="K6378" i="1"/>
  <c r="O6378" i="1" s="1"/>
  <c r="K6379" i="1" a="1"/>
  <c r="K6379" i="1" s="1"/>
  <c r="O6379" i="1" s="1"/>
  <c r="K6380" i="1" a="1"/>
  <c r="K6380" i="1" s="1"/>
  <c r="O6380" i="1" s="1"/>
  <c r="K6381" i="1" a="1"/>
  <c r="K6381" i="1" s="1"/>
  <c r="O6381" i="1" s="1"/>
  <c r="K6382" i="1" a="1"/>
  <c r="K6382" i="1" s="1"/>
  <c r="O6382" i="1" s="1"/>
  <c r="K6383" i="1" a="1"/>
  <c r="K6383" i="1" s="1"/>
  <c r="K6384" i="1" a="1"/>
  <c r="K6384" i="1" s="1"/>
  <c r="O6384" i="1" s="1"/>
  <c r="K6385" i="1" a="1"/>
  <c r="K6385" i="1" s="1"/>
  <c r="O6385" i="1" s="1"/>
  <c r="K6386" i="1" a="1"/>
  <c r="K6386" i="1" s="1"/>
  <c r="O6386" i="1" s="1"/>
  <c r="K6387" i="1" a="1"/>
  <c r="K6387" i="1" s="1"/>
  <c r="O6387" i="1" s="1"/>
  <c r="K6388" i="1" a="1"/>
  <c r="K6388" i="1" s="1"/>
  <c r="O6388" i="1" s="1"/>
  <c r="K6389" i="1" a="1"/>
  <c r="K6389" i="1" s="1"/>
  <c r="O6389" i="1" s="1"/>
  <c r="K6390" i="1" a="1"/>
  <c r="K6390" i="1" s="1"/>
  <c r="O6390" i="1" s="1"/>
  <c r="K6391" i="1" a="1"/>
  <c r="K6391" i="1" s="1"/>
  <c r="O6391" i="1" s="1"/>
  <c r="K6392" i="1" a="1"/>
  <c r="K6392" i="1" s="1"/>
  <c r="O6392" i="1" s="1"/>
  <c r="K6393" i="1" a="1"/>
  <c r="K6393" i="1" s="1"/>
  <c r="O6393" i="1" s="1"/>
  <c r="K6394" i="1" a="1"/>
  <c r="K6394" i="1" s="1"/>
  <c r="O6394" i="1" s="1"/>
  <c r="K6395" i="1" a="1"/>
  <c r="K6395" i="1" s="1"/>
  <c r="O6395" i="1" s="1"/>
  <c r="K6396" i="1" a="1"/>
  <c r="K6396" i="1" s="1"/>
  <c r="O6396" i="1" s="1"/>
  <c r="K6397" i="1" a="1"/>
  <c r="K6397" i="1" s="1"/>
  <c r="O6397" i="1" s="1"/>
  <c r="K6398" i="1" a="1"/>
  <c r="K6398" i="1" s="1"/>
  <c r="O6398" i="1" s="1"/>
  <c r="K6399" i="1" a="1"/>
  <c r="K6399" i="1" s="1"/>
  <c r="O6399" i="1" s="1"/>
  <c r="K6400" i="1" a="1"/>
  <c r="K6400" i="1" s="1"/>
  <c r="O6400" i="1" s="1"/>
  <c r="K6401" i="1" a="1"/>
  <c r="K6401" i="1" s="1"/>
  <c r="O6401" i="1" s="1"/>
  <c r="K6402" i="1" a="1"/>
  <c r="K6402" i="1" s="1"/>
  <c r="O6402" i="1" s="1"/>
  <c r="K6403" i="1" a="1"/>
  <c r="K6403" i="1" s="1"/>
  <c r="O6403" i="1" s="1"/>
  <c r="K6404" i="1" a="1"/>
  <c r="K6404" i="1" s="1"/>
  <c r="O6404" i="1" s="1"/>
  <c r="K6405" i="1" a="1"/>
  <c r="K6405" i="1" s="1"/>
  <c r="O6405" i="1" s="1"/>
  <c r="K6406" i="1" a="1"/>
  <c r="K6406" i="1" s="1"/>
  <c r="O6406" i="1" s="1"/>
  <c r="K6407" i="1" a="1"/>
  <c r="K6407" i="1" s="1"/>
  <c r="O6407" i="1" s="1"/>
  <c r="K6408" i="1" a="1"/>
  <c r="K6408" i="1" s="1"/>
  <c r="O6408" i="1" s="1"/>
  <c r="K6409" i="1" a="1"/>
  <c r="K6409" i="1" s="1"/>
  <c r="O6409" i="1" s="1"/>
  <c r="K6410" i="1" a="1"/>
  <c r="K6410" i="1" s="1"/>
  <c r="O6410" i="1" s="1"/>
  <c r="K6411" i="1" a="1"/>
  <c r="K6411" i="1" s="1"/>
  <c r="O6411" i="1" s="1"/>
  <c r="K6412" i="1" a="1"/>
  <c r="K6412" i="1" s="1"/>
  <c r="O6412" i="1" s="1"/>
  <c r="K6413" i="1" a="1"/>
  <c r="K6413" i="1" s="1"/>
  <c r="O6413" i="1" s="1"/>
  <c r="K6414" i="1" a="1"/>
  <c r="K6414" i="1" s="1"/>
  <c r="O6414" i="1" s="1"/>
  <c r="K6415" i="1" a="1"/>
  <c r="K6415" i="1" s="1"/>
  <c r="O6415" i="1" s="1"/>
  <c r="K6416" i="1" a="1"/>
  <c r="K6416" i="1" s="1"/>
  <c r="O6416" i="1" s="1"/>
  <c r="K6417" i="1" a="1"/>
  <c r="K6417" i="1" s="1"/>
  <c r="O6417" i="1" s="1"/>
  <c r="K6418" i="1" a="1"/>
  <c r="K6418" i="1" s="1"/>
  <c r="O6418" i="1" s="1"/>
  <c r="K6419" i="1" a="1"/>
  <c r="K6419" i="1" s="1"/>
  <c r="O6419" i="1" s="1"/>
  <c r="K6420" i="1" a="1"/>
  <c r="K6420" i="1" s="1"/>
  <c r="O6420" i="1" s="1"/>
  <c r="K6421" i="1" a="1"/>
  <c r="K6421" i="1" s="1"/>
  <c r="O6421" i="1" s="1"/>
  <c r="K6422" i="1" a="1"/>
  <c r="K6422" i="1" s="1"/>
  <c r="O6422" i="1" s="1"/>
  <c r="K6423" i="1" a="1"/>
  <c r="K6423" i="1" s="1"/>
  <c r="O6423" i="1" s="1"/>
  <c r="K6424" i="1" a="1"/>
  <c r="K6424" i="1" s="1"/>
  <c r="O6424" i="1" s="1"/>
  <c r="K6425" i="1" a="1"/>
  <c r="K6425" i="1" s="1"/>
  <c r="O6425" i="1" s="1"/>
  <c r="K6426" i="1" a="1"/>
  <c r="K6426" i="1" s="1"/>
  <c r="O6426" i="1" s="1"/>
  <c r="K6427" i="1" a="1"/>
  <c r="K6427" i="1" s="1"/>
  <c r="O6427" i="1" s="1"/>
  <c r="K6428" i="1" a="1"/>
  <c r="K6428" i="1" s="1"/>
  <c r="O6428" i="1" s="1"/>
  <c r="K6429" i="1" a="1"/>
  <c r="K6429" i="1" s="1"/>
  <c r="O6429" i="1" s="1"/>
  <c r="K6430" i="1" a="1"/>
  <c r="K6430" i="1" s="1"/>
  <c r="O6430" i="1" s="1"/>
  <c r="K6431" i="1" a="1"/>
  <c r="K6431" i="1" s="1"/>
  <c r="O6431" i="1" s="1"/>
  <c r="K6432" i="1" a="1"/>
  <c r="K6432" i="1" s="1"/>
  <c r="O6432" i="1" s="1"/>
  <c r="K6433" i="1" a="1"/>
  <c r="K6433" i="1" s="1"/>
  <c r="O6433" i="1" s="1"/>
  <c r="K6434" i="1" a="1"/>
  <c r="K6434" i="1" s="1"/>
  <c r="O6434" i="1" s="1"/>
  <c r="K6435" i="1" a="1"/>
  <c r="K6435" i="1" s="1"/>
  <c r="K6436" i="1" a="1"/>
  <c r="K6436" i="1" s="1"/>
  <c r="O6436" i="1" s="1"/>
  <c r="K6437" i="1" a="1"/>
  <c r="K6437" i="1" s="1"/>
  <c r="O6437" i="1" s="1"/>
  <c r="K6438" i="1" a="1"/>
  <c r="K6438" i="1" s="1"/>
  <c r="O6438" i="1" s="1"/>
  <c r="K6439" i="1" a="1"/>
  <c r="K6439" i="1" s="1"/>
  <c r="O6439" i="1" s="1"/>
  <c r="K6440" i="1" a="1"/>
  <c r="K6440" i="1" s="1"/>
  <c r="O6440" i="1" s="1"/>
  <c r="K6441" i="1" a="1"/>
  <c r="K6441" i="1" s="1"/>
  <c r="O6441" i="1" s="1"/>
  <c r="K6442" i="1" a="1"/>
  <c r="K6442" i="1" s="1"/>
  <c r="O6442" i="1" s="1"/>
  <c r="K6443" i="1" a="1"/>
  <c r="K6443" i="1" s="1"/>
  <c r="O6443" i="1" s="1"/>
  <c r="K6444" i="1" a="1"/>
  <c r="K6444" i="1" s="1"/>
  <c r="O6444" i="1" s="1"/>
  <c r="K6445" i="1" a="1"/>
  <c r="K6445" i="1" s="1"/>
  <c r="O6445" i="1" s="1"/>
  <c r="K6446" i="1" a="1"/>
  <c r="K6446" i="1" s="1"/>
  <c r="O6446" i="1" s="1"/>
  <c r="K6447" i="1" a="1"/>
  <c r="K6447" i="1" s="1"/>
  <c r="O6447" i="1" s="1"/>
  <c r="K6448" i="1" a="1"/>
  <c r="K6448" i="1" s="1"/>
  <c r="O6448" i="1" s="1"/>
  <c r="K6449" i="1" a="1"/>
  <c r="K6449" i="1" s="1"/>
  <c r="O6449" i="1" s="1"/>
  <c r="K6450" i="1" a="1"/>
  <c r="K6450" i="1" s="1"/>
  <c r="O6450" i="1" s="1"/>
  <c r="K6451" i="1" a="1"/>
  <c r="K6451" i="1" s="1"/>
  <c r="O6451" i="1" s="1"/>
  <c r="K6452" i="1" a="1"/>
  <c r="K6452" i="1" s="1"/>
  <c r="O6452" i="1" s="1"/>
  <c r="K6453" i="1" a="1"/>
  <c r="K6453" i="1" s="1"/>
  <c r="O6453" i="1" s="1"/>
  <c r="K6454" i="1" a="1"/>
  <c r="K6454" i="1" s="1"/>
  <c r="O6454" i="1" s="1"/>
  <c r="K6455" i="1" a="1"/>
  <c r="K6455" i="1" s="1"/>
  <c r="O6455" i="1" s="1"/>
  <c r="K6456" i="1" a="1"/>
  <c r="K6456" i="1" s="1"/>
  <c r="O6456" i="1" s="1"/>
  <c r="K6457" i="1" a="1"/>
  <c r="K6457" i="1" s="1"/>
  <c r="O6457" i="1" s="1"/>
  <c r="K6458" i="1" a="1"/>
  <c r="K6458" i="1" s="1"/>
  <c r="O6458" i="1" s="1"/>
  <c r="K6459" i="1" a="1"/>
  <c r="K6459" i="1" s="1"/>
  <c r="N6459" i="1" s="1"/>
  <c r="K6460" i="1" a="1"/>
  <c r="K6460" i="1" s="1"/>
  <c r="O6460" i="1" s="1"/>
  <c r="K6461" i="1" a="1"/>
  <c r="K6461" i="1" s="1"/>
  <c r="O6461" i="1" s="1"/>
  <c r="K6462" i="1" a="1"/>
  <c r="K6462" i="1" s="1"/>
  <c r="O6462" i="1" s="1"/>
  <c r="K6463" i="1" a="1"/>
  <c r="K6463" i="1" s="1"/>
  <c r="O6463" i="1" s="1"/>
  <c r="K6464" i="1" a="1"/>
  <c r="K6464" i="1" s="1"/>
  <c r="O6464" i="1" s="1"/>
  <c r="K6465" i="1" a="1"/>
  <c r="K6465" i="1" s="1"/>
  <c r="O6465" i="1" s="1"/>
  <c r="K6466" i="1" a="1"/>
  <c r="K6466" i="1" s="1"/>
  <c r="O6466" i="1" s="1"/>
  <c r="K6467" i="1" a="1"/>
  <c r="K6467" i="1" s="1"/>
  <c r="O6467" i="1" s="1"/>
  <c r="K6468" i="1" a="1"/>
  <c r="K6468" i="1" s="1"/>
  <c r="O6468" i="1" s="1"/>
  <c r="K6469" i="1" a="1"/>
  <c r="K6469" i="1" s="1"/>
  <c r="O6469" i="1" s="1"/>
  <c r="K6470" i="1" a="1"/>
  <c r="K6470" i="1" s="1"/>
  <c r="K6471" i="1" a="1"/>
  <c r="K6471" i="1" s="1"/>
  <c r="O6471" i="1" s="1"/>
  <c r="K6472" i="1" a="1"/>
  <c r="K6472" i="1" s="1"/>
  <c r="O6472" i="1" s="1"/>
  <c r="K6473" i="1" a="1"/>
  <c r="K6473" i="1" s="1"/>
  <c r="O6473" i="1" s="1"/>
  <c r="K6474" i="1" a="1"/>
  <c r="K6474" i="1" s="1"/>
  <c r="O6474" i="1" s="1"/>
  <c r="K6475" i="1" a="1"/>
  <c r="K6475" i="1" s="1"/>
  <c r="O6475" i="1" s="1"/>
  <c r="K6476" i="1" a="1"/>
  <c r="K6476" i="1" s="1"/>
  <c r="O6476" i="1" s="1"/>
  <c r="K6477" i="1" a="1"/>
  <c r="K6477" i="1" s="1"/>
  <c r="O6477" i="1" s="1"/>
  <c r="K6478" i="1" a="1"/>
  <c r="K6478" i="1" s="1"/>
  <c r="O6478" i="1" s="1"/>
  <c r="K6479" i="1" a="1"/>
  <c r="K6479" i="1" s="1"/>
  <c r="O6479" i="1" s="1"/>
  <c r="K6480" i="1" a="1"/>
  <c r="K6480" i="1" s="1"/>
  <c r="K6481" i="1" a="1"/>
  <c r="K6481" i="1" s="1"/>
  <c r="O6481" i="1" s="1"/>
  <c r="K6482" i="1" a="1"/>
  <c r="K6482" i="1" s="1"/>
  <c r="O6482" i="1" s="1"/>
  <c r="K6483" i="1" a="1"/>
  <c r="K6483" i="1" s="1"/>
  <c r="O6483" i="1" s="1"/>
  <c r="K6484" i="1" a="1"/>
  <c r="K6484" i="1" s="1"/>
  <c r="O6484" i="1" s="1"/>
  <c r="K6485" i="1" a="1"/>
  <c r="K6485" i="1" s="1"/>
  <c r="O6485" i="1" s="1"/>
  <c r="K6486" i="1" a="1"/>
  <c r="K6486" i="1" s="1"/>
  <c r="O6486" i="1" s="1"/>
  <c r="K6487" i="1" a="1"/>
  <c r="K6487" i="1" s="1"/>
  <c r="K6488" i="1" a="1"/>
  <c r="K6488" i="1" s="1"/>
  <c r="O6488" i="1" s="1"/>
  <c r="K6489" i="1" a="1"/>
  <c r="K6489" i="1" s="1"/>
  <c r="O6489" i="1" s="1"/>
  <c r="K6490" i="1" a="1"/>
  <c r="K6490" i="1" s="1"/>
  <c r="O6490" i="1" s="1"/>
  <c r="K6491" i="1" a="1"/>
  <c r="K6491" i="1" s="1"/>
  <c r="O6491" i="1" s="1"/>
  <c r="K6492" i="1" a="1"/>
  <c r="K6492" i="1" s="1"/>
  <c r="O6492" i="1" s="1"/>
  <c r="K6493" i="1" a="1"/>
  <c r="K6493" i="1" s="1"/>
  <c r="K6494" i="1" a="1"/>
  <c r="K6494" i="1" s="1"/>
  <c r="O6494" i="1" s="1"/>
  <c r="K6495" i="1" a="1"/>
  <c r="K6495" i="1" s="1"/>
  <c r="O6495" i="1" s="1"/>
  <c r="K6496" i="1" a="1"/>
  <c r="K6496" i="1" s="1"/>
  <c r="O6496" i="1" s="1"/>
  <c r="K6497" i="1" a="1"/>
  <c r="K6497" i="1" s="1"/>
  <c r="O6497" i="1" s="1"/>
  <c r="K6498" i="1" a="1"/>
  <c r="K6498" i="1"/>
  <c r="O6498" i="1" s="1"/>
  <c r="K6499" i="1" a="1"/>
  <c r="K6499" i="1" s="1"/>
  <c r="O6499" i="1" s="1"/>
  <c r="K6500" i="1" a="1"/>
  <c r="K6500" i="1" s="1"/>
  <c r="O6500" i="1" s="1"/>
  <c r="K6501" i="1" a="1"/>
  <c r="K6501" i="1" s="1"/>
  <c r="O6501" i="1" s="1"/>
  <c r="K6502" i="1" a="1"/>
  <c r="K6502" i="1" s="1"/>
  <c r="O6502" i="1" s="1"/>
  <c r="K6503" i="1" a="1"/>
  <c r="K6503" i="1" s="1"/>
  <c r="O6503" i="1" s="1"/>
  <c r="K6504" i="1" a="1"/>
  <c r="K6504" i="1" s="1"/>
  <c r="K6505" i="1" a="1"/>
  <c r="K6505" i="1" s="1"/>
  <c r="O6505" i="1" s="1"/>
  <c r="K6506" i="1" a="1"/>
  <c r="K6506" i="1" s="1"/>
  <c r="O6506" i="1" s="1"/>
  <c r="K6507" i="1" a="1"/>
  <c r="K6507" i="1" s="1"/>
  <c r="O6507" i="1" s="1"/>
  <c r="K6508" i="1" a="1"/>
  <c r="K6508" i="1" s="1"/>
  <c r="O6508" i="1" s="1"/>
  <c r="K6509" i="1" a="1"/>
  <c r="K6509" i="1" s="1"/>
  <c r="O6509" i="1" s="1"/>
  <c r="K6510" i="1" a="1"/>
  <c r="K6510" i="1" s="1"/>
  <c r="O6510" i="1" s="1"/>
  <c r="K6511" i="1" a="1"/>
  <c r="K6511" i="1" s="1"/>
  <c r="O6511" i="1" s="1"/>
  <c r="K6512" i="1" a="1"/>
  <c r="K6512" i="1" s="1"/>
  <c r="O6512" i="1" s="1"/>
  <c r="K6513" i="1" a="1"/>
  <c r="K6513" i="1" s="1"/>
  <c r="O6513" i="1" s="1"/>
  <c r="K6514" i="1" a="1"/>
  <c r="K6514" i="1" s="1"/>
  <c r="O6514" i="1" s="1"/>
  <c r="K6515" i="1" a="1"/>
  <c r="K6515" i="1" s="1"/>
  <c r="O6515" i="1" s="1"/>
  <c r="K6516" i="1" a="1"/>
  <c r="K6516" i="1" s="1"/>
  <c r="O6516" i="1" s="1"/>
  <c r="K6517" i="1" a="1"/>
  <c r="K6517" i="1" s="1"/>
  <c r="O6517" i="1" s="1"/>
  <c r="K6518" i="1" a="1"/>
  <c r="K6518" i="1"/>
  <c r="O6518" i="1" s="1"/>
  <c r="K6519" i="1" a="1"/>
  <c r="K6519" i="1" s="1"/>
  <c r="O6519" i="1" s="1"/>
  <c r="K6520" i="1" a="1"/>
  <c r="K6520" i="1" s="1"/>
  <c r="O6520" i="1" s="1"/>
  <c r="K6521" i="1" a="1"/>
  <c r="K6521" i="1" s="1"/>
  <c r="O6521" i="1" s="1"/>
  <c r="K6522" i="1" a="1"/>
  <c r="K6522" i="1" s="1"/>
  <c r="O6522" i="1" s="1"/>
  <c r="K6523" i="1" a="1"/>
  <c r="K6523" i="1" s="1"/>
  <c r="O6523" i="1" s="1"/>
  <c r="K6524" i="1" a="1"/>
  <c r="K6524" i="1" s="1"/>
  <c r="O6524" i="1" s="1"/>
  <c r="K6525" i="1" a="1"/>
  <c r="K6525" i="1"/>
  <c r="O6525" i="1" s="1"/>
  <c r="K6526" i="1" a="1"/>
  <c r="K6526" i="1" s="1"/>
  <c r="O6526" i="1" s="1"/>
  <c r="K6527" i="1" a="1"/>
  <c r="K6527" i="1" s="1"/>
  <c r="O6527" i="1" s="1"/>
  <c r="K6528" i="1" a="1"/>
  <c r="K6528" i="1" s="1"/>
  <c r="O6528" i="1" s="1"/>
  <c r="K6529" i="1" a="1"/>
  <c r="K6529" i="1" s="1"/>
  <c r="O6529" i="1" s="1"/>
  <c r="K6530" i="1" a="1"/>
  <c r="K6530" i="1"/>
  <c r="O6530" i="1" s="1"/>
  <c r="K6531" i="1" a="1"/>
  <c r="K6531" i="1" s="1"/>
  <c r="O6531" i="1" s="1"/>
  <c r="K6532" i="1" a="1"/>
  <c r="K6532" i="1" s="1"/>
  <c r="O6532" i="1" s="1"/>
  <c r="K6533" i="1" a="1"/>
  <c r="K6533" i="1" s="1"/>
  <c r="O6533" i="1" s="1"/>
  <c r="K6534" i="1" a="1"/>
  <c r="K6534" i="1" s="1"/>
  <c r="O6534" i="1" s="1"/>
  <c r="K6535" i="1" a="1"/>
  <c r="K6535" i="1" s="1"/>
  <c r="O6535" i="1" s="1"/>
  <c r="K6536" i="1" a="1"/>
  <c r="K6536" i="1" s="1"/>
  <c r="O6536" i="1" s="1"/>
  <c r="K6537" i="1" a="1"/>
  <c r="K6537" i="1" s="1"/>
  <c r="O6537" i="1" s="1"/>
  <c r="K6538" i="1" a="1"/>
  <c r="K6538" i="1" s="1"/>
  <c r="O6538" i="1" s="1"/>
  <c r="K6539" i="1" a="1"/>
  <c r="K6539" i="1" s="1"/>
  <c r="O6539" i="1" s="1"/>
  <c r="K6540" i="1" a="1"/>
  <c r="K6540" i="1" s="1"/>
  <c r="O6540" i="1" s="1"/>
  <c r="K6541" i="1" a="1"/>
  <c r="K6541" i="1" s="1"/>
  <c r="O6541" i="1" s="1"/>
  <c r="K6542" i="1" a="1"/>
  <c r="K6542" i="1" s="1"/>
  <c r="O6542" i="1" s="1"/>
  <c r="K6543" i="1" a="1"/>
  <c r="K6543" i="1" s="1"/>
  <c r="O6543" i="1" s="1"/>
  <c r="K6544" i="1" a="1"/>
  <c r="K6544" i="1" s="1"/>
  <c r="O6544" i="1" s="1"/>
  <c r="K6545" i="1" a="1"/>
  <c r="K6545" i="1" s="1"/>
  <c r="O6545" i="1" s="1"/>
  <c r="K6546" i="1" a="1"/>
  <c r="K6546" i="1" s="1"/>
  <c r="O6546" i="1" s="1"/>
  <c r="K6547" i="1" a="1"/>
  <c r="K6547" i="1" s="1"/>
  <c r="O6547" i="1" s="1"/>
  <c r="K6548" i="1" a="1"/>
  <c r="K6548" i="1" s="1"/>
  <c r="O6548" i="1" s="1"/>
  <c r="K6549" i="1" a="1"/>
  <c r="K6549" i="1" s="1"/>
  <c r="K6550" i="1" a="1"/>
  <c r="K6550" i="1"/>
  <c r="O6550" i="1" s="1"/>
  <c r="K6551" i="1" a="1"/>
  <c r="K6551" i="1" s="1"/>
  <c r="O6551" i="1" s="1"/>
  <c r="K6552" i="1" a="1"/>
  <c r="K6552" i="1" s="1"/>
  <c r="O6552" i="1" s="1"/>
  <c r="K6553" i="1" a="1"/>
  <c r="K6553" i="1" s="1"/>
  <c r="O6553" i="1" s="1"/>
  <c r="K6554" i="1" a="1"/>
  <c r="K6554" i="1" s="1"/>
  <c r="O6554" i="1" s="1"/>
  <c r="K6555" i="1" a="1"/>
  <c r="K6555" i="1" s="1"/>
  <c r="O6555" i="1" s="1"/>
  <c r="K6556" i="1" a="1"/>
  <c r="K6556" i="1" s="1"/>
  <c r="O6556" i="1" s="1"/>
  <c r="K6557" i="1" a="1"/>
  <c r="K6557" i="1" s="1"/>
  <c r="O6557" i="1" s="1"/>
  <c r="K6558" i="1" a="1"/>
  <c r="K6558" i="1" s="1"/>
  <c r="O6558" i="1" s="1"/>
  <c r="K6559" i="1" a="1"/>
  <c r="K6559" i="1" s="1"/>
  <c r="O6559" i="1" s="1"/>
  <c r="K6560" i="1" a="1"/>
  <c r="K6560" i="1" s="1"/>
  <c r="O6560" i="1" s="1"/>
  <c r="K6561" i="1" a="1"/>
  <c r="K6561" i="1" s="1"/>
  <c r="O6561" i="1" s="1"/>
  <c r="K6562" i="1" a="1"/>
  <c r="K6562" i="1" s="1"/>
  <c r="O6562" i="1" s="1"/>
  <c r="K6563" i="1" a="1"/>
  <c r="K6563" i="1" s="1"/>
  <c r="O6563" i="1" s="1"/>
  <c r="K6564" i="1" a="1"/>
  <c r="K6564" i="1" s="1"/>
  <c r="O6564" i="1" s="1"/>
  <c r="K6565" i="1" a="1"/>
  <c r="K6565" i="1"/>
  <c r="O6565" i="1" s="1"/>
  <c r="K6566" i="1" a="1"/>
  <c r="K6566" i="1" s="1"/>
  <c r="O6566" i="1" s="1"/>
  <c r="K6567" i="1" a="1"/>
  <c r="K6567" i="1" s="1"/>
  <c r="O6567" i="1" s="1"/>
  <c r="K6568" i="1" a="1"/>
  <c r="K6568" i="1" s="1"/>
  <c r="O6568" i="1" s="1"/>
  <c r="K6569" i="1" a="1"/>
  <c r="K6569" i="1" s="1"/>
  <c r="O6569" i="1" s="1"/>
  <c r="K6570" i="1" a="1"/>
  <c r="K6570" i="1" s="1"/>
  <c r="O6570" i="1" s="1"/>
  <c r="K6571" i="1" a="1"/>
  <c r="K6571" i="1" s="1"/>
  <c r="O6571" i="1" s="1"/>
  <c r="K6572" i="1" a="1"/>
  <c r="K6572" i="1" s="1"/>
  <c r="O6572" i="1" s="1"/>
  <c r="K6573" i="1" a="1"/>
  <c r="K6573" i="1" s="1"/>
  <c r="O6573" i="1" s="1"/>
  <c r="K6574" i="1" a="1"/>
  <c r="K6574" i="1" s="1"/>
  <c r="O6574" i="1" s="1"/>
  <c r="K6575" i="1" a="1"/>
  <c r="K6575" i="1" s="1"/>
  <c r="O6575" i="1" s="1"/>
  <c r="K6576" i="1" a="1"/>
  <c r="K6576" i="1" s="1"/>
  <c r="O6576" i="1" s="1"/>
  <c r="K6577" i="1" a="1"/>
  <c r="K6577" i="1" s="1"/>
  <c r="O6577" i="1" s="1"/>
  <c r="K6578" i="1" a="1"/>
  <c r="K6578" i="1" s="1"/>
  <c r="O6578" i="1" s="1"/>
  <c r="K6579" i="1" a="1"/>
  <c r="K6579" i="1" s="1"/>
  <c r="O6579" i="1" s="1"/>
  <c r="K6580" i="1" a="1"/>
  <c r="K6580" i="1" s="1"/>
  <c r="O6580" i="1" s="1"/>
  <c r="K6581" i="1" a="1"/>
  <c r="K6581" i="1" s="1"/>
  <c r="O6581" i="1" s="1"/>
  <c r="K6582" i="1" a="1"/>
  <c r="K6582" i="1"/>
  <c r="O6582" i="1" s="1"/>
  <c r="K6583" i="1" a="1"/>
  <c r="K6583" i="1" s="1"/>
  <c r="O6583" i="1" s="1"/>
  <c r="K6584" i="1" a="1"/>
  <c r="K6584" i="1" s="1"/>
  <c r="O6584" i="1" s="1"/>
  <c r="K6585" i="1" a="1"/>
  <c r="K6585" i="1" s="1"/>
  <c r="O6585" i="1" s="1"/>
  <c r="K6586" i="1" a="1"/>
  <c r="K6586" i="1" s="1"/>
  <c r="O6586" i="1" s="1"/>
  <c r="K6587" i="1" a="1"/>
  <c r="K6587" i="1" s="1"/>
  <c r="O6587" i="1" s="1"/>
  <c r="K6588" i="1" a="1"/>
  <c r="K6588" i="1" s="1"/>
  <c r="O6588" i="1" s="1"/>
  <c r="K6589" i="1" a="1"/>
  <c r="K6589" i="1"/>
  <c r="K6590" i="1" a="1"/>
  <c r="K6590" i="1" s="1"/>
  <c r="O6590" i="1" s="1"/>
  <c r="K6591" i="1" a="1"/>
  <c r="K6591" i="1" s="1"/>
  <c r="O6591" i="1" s="1"/>
  <c r="K6592" i="1" a="1"/>
  <c r="K6592" i="1" s="1"/>
  <c r="O6592" i="1" s="1"/>
  <c r="K6593" i="1" a="1"/>
  <c r="K6593" i="1" s="1"/>
  <c r="O6593" i="1" s="1"/>
  <c r="K6594" i="1" a="1"/>
  <c r="K6594" i="1" s="1"/>
  <c r="O6594" i="1" s="1"/>
  <c r="K6595" i="1" a="1"/>
  <c r="K6595" i="1" s="1"/>
  <c r="O6595" i="1" s="1"/>
  <c r="K6596" i="1" a="1"/>
  <c r="K6596" i="1" s="1"/>
  <c r="K6597" i="1" a="1"/>
  <c r="K6597" i="1" s="1"/>
  <c r="O6597" i="1" s="1"/>
  <c r="K6598" i="1" a="1"/>
  <c r="K6598" i="1" s="1"/>
  <c r="O6598" i="1" s="1"/>
  <c r="K6599" i="1" a="1"/>
  <c r="K6599" i="1" s="1"/>
  <c r="O6599" i="1" s="1"/>
  <c r="K6600" i="1" a="1"/>
  <c r="K6600" i="1" s="1"/>
  <c r="O6600" i="1" s="1"/>
  <c r="K6601" i="1" a="1"/>
  <c r="K6601" i="1" s="1"/>
  <c r="O6601" i="1" s="1"/>
  <c r="K6602" i="1" a="1"/>
  <c r="K6602" i="1" s="1"/>
  <c r="O6602" i="1" s="1"/>
  <c r="K6603" i="1" a="1"/>
  <c r="K6603" i="1" s="1"/>
  <c r="O6603" i="1" s="1"/>
  <c r="K6604" i="1" a="1"/>
  <c r="K6604" i="1" s="1"/>
  <c r="O6604" i="1" s="1"/>
  <c r="K6605" i="1" a="1"/>
  <c r="K6605" i="1" s="1"/>
  <c r="O6605" i="1" s="1"/>
  <c r="K6606" i="1" a="1"/>
  <c r="K6606" i="1" s="1"/>
  <c r="O6606" i="1" s="1"/>
  <c r="K6607" i="1" a="1"/>
  <c r="K6607" i="1" s="1"/>
  <c r="O6607" i="1" s="1"/>
  <c r="K6608" i="1" a="1"/>
  <c r="K6608" i="1" s="1"/>
  <c r="O6608" i="1" s="1"/>
  <c r="K6609" i="1" a="1"/>
  <c r="K6609" i="1" s="1"/>
  <c r="O6609" i="1" s="1"/>
  <c r="K6610" i="1" a="1"/>
  <c r="K6610" i="1" s="1"/>
  <c r="O6610" i="1" s="1"/>
  <c r="K6611" i="1" a="1"/>
  <c r="K6611" i="1" s="1"/>
  <c r="O6611" i="1" s="1"/>
  <c r="K6612" i="1" a="1"/>
  <c r="K6612" i="1" s="1"/>
  <c r="O6612" i="1" s="1"/>
  <c r="K6613" i="1" a="1"/>
  <c r="K6613" i="1" s="1"/>
  <c r="O6613" i="1" s="1"/>
  <c r="K6614" i="1" a="1"/>
  <c r="K6614" i="1" s="1"/>
  <c r="O6614" i="1" s="1"/>
  <c r="K6615" i="1" a="1"/>
  <c r="K6615" i="1" s="1"/>
  <c r="O6615" i="1" s="1"/>
  <c r="K6616" i="1" a="1"/>
  <c r="K6616" i="1" s="1"/>
  <c r="O6616" i="1" s="1"/>
  <c r="K6617" i="1" a="1"/>
  <c r="K6617" i="1" s="1"/>
  <c r="O6617" i="1" s="1"/>
  <c r="K6618" i="1" a="1"/>
  <c r="K6618" i="1" s="1"/>
  <c r="O6618" i="1" s="1"/>
  <c r="K6619" i="1" a="1"/>
  <c r="K6619" i="1" s="1"/>
  <c r="O6619" i="1" s="1"/>
  <c r="K6620" i="1" a="1"/>
  <c r="K6620" i="1" s="1"/>
  <c r="O6620" i="1" s="1"/>
  <c r="K6621" i="1" a="1"/>
  <c r="K6621" i="1" s="1"/>
  <c r="O6621" i="1" s="1"/>
  <c r="K6622" i="1" a="1"/>
  <c r="K6622" i="1" s="1"/>
  <c r="O6622" i="1" s="1"/>
  <c r="K6623" i="1" a="1"/>
  <c r="K6623" i="1" s="1"/>
  <c r="M6623" i="1" s="1"/>
  <c r="K6624" i="1" a="1"/>
  <c r="K6624" i="1" s="1"/>
  <c r="O6624" i="1" s="1"/>
  <c r="K6625" i="1" a="1"/>
  <c r="K6625" i="1" s="1"/>
  <c r="O6625" i="1" s="1"/>
  <c r="K6626" i="1" a="1"/>
  <c r="K6626" i="1" s="1"/>
  <c r="O6626" i="1" s="1"/>
  <c r="K6627" i="1" a="1"/>
  <c r="K6627" i="1" s="1"/>
  <c r="O6627" i="1" s="1"/>
  <c r="K6628" i="1" a="1"/>
  <c r="K6628" i="1" s="1"/>
  <c r="O6628" i="1" s="1"/>
  <c r="K6629" i="1" a="1"/>
  <c r="K6629" i="1" s="1"/>
  <c r="O6629" i="1" s="1"/>
  <c r="K6630" i="1" a="1"/>
  <c r="K6630" i="1" s="1"/>
  <c r="O6630" i="1" s="1"/>
  <c r="K6631" i="1" a="1"/>
  <c r="K6631" i="1" s="1"/>
  <c r="O6631" i="1" s="1"/>
  <c r="K6632" i="1" a="1"/>
  <c r="K6632" i="1" s="1"/>
  <c r="O6632" i="1" s="1"/>
  <c r="K6633" i="1" a="1"/>
  <c r="K6633" i="1" s="1"/>
  <c r="O6633" i="1" s="1"/>
  <c r="K6634" i="1" a="1"/>
  <c r="K6634" i="1"/>
  <c r="O6634" i="1" s="1"/>
  <c r="K6635" i="1" a="1"/>
  <c r="K6635" i="1" s="1"/>
  <c r="O6635" i="1" s="1"/>
  <c r="K6636" i="1" a="1"/>
  <c r="K6636" i="1" s="1"/>
  <c r="O6636" i="1" s="1"/>
  <c r="K6637" i="1" a="1"/>
  <c r="K6637" i="1"/>
  <c r="O6637" i="1" s="1"/>
  <c r="K6638" i="1" a="1"/>
  <c r="K6638" i="1" s="1"/>
  <c r="O6638" i="1" s="1"/>
  <c r="K6639" i="1" a="1"/>
  <c r="K6639" i="1" s="1"/>
  <c r="O6639" i="1" s="1"/>
  <c r="K6640" i="1" a="1"/>
  <c r="K6640" i="1" s="1"/>
  <c r="O6640" i="1" s="1"/>
  <c r="K6641" i="1" a="1"/>
  <c r="K6641" i="1" s="1"/>
  <c r="O6641" i="1" s="1"/>
  <c r="K6642" i="1" a="1"/>
  <c r="K6642" i="1" s="1"/>
  <c r="O6642" i="1" s="1"/>
  <c r="K6643" i="1" a="1"/>
  <c r="K6643" i="1" s="1"/>
  <c r="O6643" i="1" s="1"/>
  <c r="K6644" i="1" a="1"/>
  <c r="K6644" i="1" s="1"/>
  <c r="O6644" i="1" s="1"/>
  <c r="K6645" i="1" a="1"/>
  <c r="K6645" i="1" s="1"/>
  <c r="O6645" i="1" s="1"/>
  <c r="K6646" i="1" a="1"/>
  <c r="K6646" i="1" s="1"/>
  <c r="O6646" i="1" s="1"/>
  <c r="K6647" i="1" a="1"/>
  <c r="K6647" i="1" s="1"/>
  <c r="M6647" i="1" s="1"/>
  <c r="K6648" i="1" a="1"/>
  <c r="K6648" i="1" s="1"/>
  <c r="O6648" i="1" s="1"/>
  <c r="K6649" i="1" a="1"/>
  <c r="K6649" i="1" s="1"/>
  <c r="O6649" i="1" s="1"/>
  <c r="K6650" i="1" a="1"/>
  <c r="K6650" i="1" s="1"/>
  <c r="O6650" i="1" s="1"/>
  <c r="K6651" i="1" a="1"/>
  <c r="K6651" i="1" s="1"/>
  <c r="K6652" i="1" a="1"/>
  <c r="K6652" i="1" s="1"/>
  <c r="O6652" i="1" s="1"/>
  <c r="K6653" i="1" a="1"/>
  <c r="K6653" i="1" s="1"/>
  <c r="O6653" i="1" s="1"/>
  <c r="K6654" i="1" a="1"/>
  <c r="K6654" i="1" s="1"/>
  <c r="O6654" i="1" s="1"/>
  <c r="K6655" i="1" a="1"/>
  <c r="K6655" i="1" s="1"/>
  <c r="O6655" i="1" s="1"/>
  <c r="K6656" i="1" a="1"/>
  <c r="K6656" i="1" s="1"/>
  <c r="O6656" i="1" s="1"/>
  <c r="K6657" i="1" a="1"/>
  <c r="K6657" i="1" s="1"/>
  <c r="O6657" i="1" s="1"/>
  <c r="K6658" i="1" a="1"/>
  <c r="K6658" i="1" s="1"/>
  <c r="O6658" i="1" s="1"/>
  <c r="K6659" i="1" a="1"/>
  <c r="K6659" i="1" s="1"/>
  <c r="O6659" i="1" s="1"/>
  <c r="K6660" i="1" a="1"/>
  <c r="K6660" i="1" s="1"/>
  <c r="O6660" i="1" s="1"/>
  <c r="K6661" i="1" a="1"/>
  <c r="K6661" i="1" s="1"/>
  <c r="O6661" i="1" s="1"/>
  <c r="K6662" i="1" a="1"/>
  <c r="K6662" i="1" s="1"/>
  <c r="O6662" i="1" s="1"/>
  <c r="K6663" i="1" a="1"/>
  <c r="K6663" i="1" s="1"/>
  <c r="O6663" i="1" s="1"/>
  <c r="K6664" i="1" a="1"/>
  <c r="K6664" i="1" s="1"/>
  <c r="O6664" i="1" s="1"/>
  <c r="K6665" i="1" a="1"/>
  <c r="K6665" i="1" s="1"/>
  <c r="O6665" i="1" s="1"/>
  <c r="K6666" i="1" a="1"/>
  <c r="K6666" i="1" s="1"/>
  <c r="O6666" i="1" s="1"/>
  <c r="K6667" i="1" a="1"/>
  <c r="K6667" i="1" s="1"/>
  <c r="O6667" i="1" s="1"/>
  <c r="K6668" i="1" a="1"/>
  <c r="K6668" i="1" s="1"/>
  <c r="O6668" i="1" s="1"/>
  <c r="K6669" i="1" a="1"/>
  <c r="K6669" i="1" s="1"/>
  <c r="O6669" i="1" s="1"/>
  <c r="K6670" i="1" a="1"/>
  <c r="K6670" i="1" s="1"/>
  <c r="O6670" i="1" s="1"/>
  <c r="K6671" i="1" a="1"/>
  <c r="K6671" i="1" s="1"/>
  <c r="M6671" i="1" s="1"/>
  <c r="K6672" i="1" a="1"/>
  <c r="K6672" i="1" s="1"/>
  <c r="O6672" i="1" s="1"/>
  <c r="K6673" i="1" a="1"/>
  <c r="K6673" i="1" s="1"/>
  <c r="O6673" i="1" s="1"/>
  <c r="K6674" i="1" a="1"/>
  <c r="K6674" i="1" s="1"/>
  <c r="O6674" i="1" s="1"/>
  <c r="K6675" i="1" a="1"/>
  <c r="K6675" i="1" s="1"/>
  <c r="O6675" i="1" s="1"/>
  <c r="K6676" i="1" a="1"/>
  <c r="K6676" i="1" s="1"/>
  <c r="K6677" i="1" a="1"/>
  <c r="K6677" i="1" s="1"/>
  <c r="O6677" i="1" s="1"/>
  <c r="K6678" i="1" a="1"/>
  <c r="K6678" i="1" s="1"/>
  <c r="O6678" i="1" s="1"/>
  <c r="K6679" i="1" a="1"/>
  <c r="K6679" i="1" s="1"/>
  <c r="O6679" i="1" s="1"/>
  <c r="K6680" i="1" a="1"/>
  <c r="K6680" i="1" s="1"/>
  <c r="O6680" i="1" s="1"/>
  <c r="K6681" i="1" a="1"/>
  <c r="K6681" i="1" s="1"/>
  <c r="O6681" i="1" s="1"/>
  <c r="K6682" i="1" a="1"/>
  <c r="K6682" i="1" s="1"/>
  <c r="O6682" i="1" s="1"/>
  <c r="K6683" i="1" a="1"/>
  <c r="K6683" i="1" s="1"/>
  <c r="O6683" i="1" s="1"/>
  <c r="K6684" i="1" a="1"/>
  <c r="K6684" i="1" s="1"/>
  <c r="O6684" i="1" s="1"/>
  <c r="K6685" i="1" a="1"/>
  <c r="K6685" i="1" s="1"/>
  <c r="M6685" i="1" s="1"/>
  <c r="K6686" i="1" a="1"/>
  <c r="K6686" i="1" s="1"/>
  <c r="O6686" i="1" s="1"/>
  <c r="K6687" i="1" a="1"/>
  <c r="K6687" i="1" s="1"/>
  <c r="O6687" i="1" s="1"/>
  <c r="K6688" i="1" a="1"/>
  <c r="K6688" i="1" s="1"/>
  <c r="O6688" i="1" s="1"/>
  <c r="K6689" i="1" a="1"/>
  <c r="K6689" i="1" s="1"/>
  <c r="O6689" i="1" s="1"/>
  <c r="K6690" i="1" a="1"/>
  <c r="K6690" i="1" s="1"/>
  <c r="O6690" i="1" s="1"/>
  <c r="K6691" i="1" a="1"/>
  <c r="K6691" i="1" s="1"/>
  <c r="O6691" i="1" s="1"/>
  <c r="K6692" i="1" a="1"/>
  <c r="K6692" i="1" s="1"/>
  <c r="O6692" i="1" s="1"/>
  <c r="K6693" i="1" a="1"/>
  <c r="K6693" i="1" s="1"/>
  <c r="O6693" i="1" s="1"/>
  <c r="K6694" i="1" a="1"/>
  <c r="K6694" i="1" s="1"/>
  <c r="O6694" i="1" s="1"/>
  <c r="K6695" i="1" a="1"/>
  <c r="K6695" i="1" s="1"/>
  <c r="O6695" i="1" s="1"/>
  <c r="K6696" i="1" a="1"/>
  <c r="K6696" i="1" s="1"/>
  <c r="O6696" i="1" s="1"/>
  <c r="K6697" i="1" a="1"/>
  <c r="K6697" i="1" s="1"/>
  <c r="O6697" i="1" s="1"/>
  <c r="K6698" i="1" a="1"/>
  <c r="K6698" i="1" s="1"/>
  <c r="O6698" i="1" s="1"/>
  <c r="K6699" i="1" a="1"/>
  <c r="K6699" i="1" s="1"/>
  <c r="K6700" i="1" a="1"/>
  <c r="K6700" i="1" s="1"/>
  <c r="O6700" i="1" s="1"/>
  <c r="K6701" i="1" a="1"/>
  <c r="K6701" i="1" s="1"/>
  <c r="O6701" i="1" s="1"/>
  <c r="K6702" i="1" a="1"/>
  <c r="K6702" i="1" s="1"/>
  <c r="O6702" i="1" s="1"/>
  <c r="K6703" i="1" a="1"/>
  <c r="K6703" i="1" s="1"/>
  <c r="O6703" i="1" s="1"/>
  <c r="K6704" i="1" a="1"/>
  <c r="K6704" i="1" s="1"/>
  <c r="O6704" i="1" s="1"/>
  <c r="K6705" i="1" a="1"/>
  <c r="K6705" i="1" s="1"/>
  <c r="O6705" i="1" s="1"/>
  <c r="K6706" i="1" a="1"/>
  <c r="K6706" i="1" s="1"/>
  <c r="O6706" i="1" s="1"/>
  <c r="K6707" i="1" a="1"/>
  <c r="K6707" i="1" s="1"/>
  <c r="N6707" i="1" s="1"/>
  <c r="K6708" i="1" a="1"/>
  <c r="K6708" i="1" s="1"/>
  <c r="O6708" i="1" s="1"/>
  <c r="K6709" i="1" a="1"/>
  <c r="K6709" i="1" s="1"/>
  <c r="O6709" i="1" s="1"/>
  <c r="K6710" i="1" a="1"/>
  <c r="K6710" i="1" s="1"/>
  <c r="O6710" i="1" s="1"/>
  <c r="K6711" i="1" a="1"/>
  <c r="K6711" i="1" s="1"/>
  <c r="O6711" i="1" s="1"/>
  <c r="K6712" i="1" a="1"/>
  <c r="K6712" i="1" s="1"/>
  <c r="O6712" i="1" s="1"/>
  <c r="K6713" i="1" a="1"/>
  <c r="K6713" i="1" s="1"/>
  <c r="O6713" i="1" s="1"/>
  <c r="K6714" i="1" a="1"/>
  <c r="K6714" i="1" s="1"/>
  <c r="O6714" i="1" s="1"/>
  <c r="K6715" i="1" a="1"/>
  <c r="K6715" i="1" s="1"/>
  <c r="O6715" i="1" s="1"/>
  <c r="K6716" i="1" a="1"/>
  <c r="K6716" i="1" s="1"/>
  <c r="K6717" i="1" a="1"/>
  <c r="K6717" i="1" s="1"/>
  <c r="O6717" i="1" s="1"/>
  <c r="K6718" i="1" a="1"/>
  <c r="K6718" i="1" s="1"/>
  <c r="O6718" i="1" s="1"/>
  <c r="K6719" i="1" a="1"/>
  <c r="K6719" i="1" s="1"/>
  <c r="O6719" i="1" s="1"/>
  <c r="K6720" i="1" a="1"/>
  <c r="K6720" i="1" s="1"/>
  <c r="O6720" i="1" s="1"/>
  <c r="K6721" i="1" a="1"/>
  <c r="K6721" i="1" s="1"/>
  <c r="O6721" i="1" s="1"/>
  <c r="K6722" i="1" a="1"/>
  <c r="K6722" i="1" s="1"/>
  <c r="O6722" i="1" s="1"/>
  <c r="K6723" i="1" a="1"/>
  <c r="K6723" i="1" s="1"/>
  <c r="O6723" i="1" s="1"/>
  <c r="K6724" i="1" a="1"/>
  <c r="K6724" i="1" s="1"/>
  <c r="O6724" i="1" s="1"/>
  <c r="K6725" i="1" a="1"/>
  <c r="K6725" i="1" s="1"/>
  <c r="O6725" i="1" s="1"/>
  <c r="K6726" i="1" a="1"/>
  <c r="K6726" i="1" s="1"/>
  <c r="O6726" i="1" s="1"/>
  <c r="K6727" i="1" a="1"/>
  <c r="K6727" i="1" s="1"/>
  <c r="O6727" i="1" s="1"/>
  <c r="K6728" i="1" a="1"/>
  <c r="K6728" i="1" s="1"/>
  <c r="O6728" i="1" s="1"/>
  <c r="K6729" i="1" a="1"/>
  <c r="K6729" i="1" s="1"/>
  <c r="O6729" i="1" s="1"/>
  <c r="K6730" i="1" a="1"/>
  <c r="K6730" i="1" s="1"/>
  <c r="O6730" i="1" s="1"/>
  <c r="K6731" i="1" a="1"/>
  <c r="K6731" i="1" s="1"/>
  <c r="K6732" i="1" a="1"/>
  <c r="K6732" i="1" s="1"/>
  <c r="O6732" i="1" s="1"/>
  <c r="K6733" i="1" a="1"/>
  <c r="K6733" i="1" s="1"/>
  <c r="O6733" i="1" s="1"/>
  <c r="K6734" i="1" a="1"/>
  <c r="K6734" i="1" s="1"/>
  <c r="O6734" i="1" s="1"/>
  <c r="K6735" i="1" a="1"/>
  <c r="K6735" i="1" s="1"/>
  <c r="O6735" i="1" s="1"/>
  <c r="K6736" i="1" a="1"/>
  <c r="K6736" i="1" s="1"/>
  <c r="K6737" i="1" a="1"/>
  <c r="K6737" i="1" s="1"/>
  <c r="O6737" i="1" s="1"/>
  <c r="K6738" i="1" a="1"/>
  <c r="K6738" i="1" s="1"/>
  <c r="O6738" i="1" s="1"/>
  <c r="K6739" i="1" a="1"/>
  <c r="K6739" i="1" s="1"/>
  <c r="O6739" i="1" s="1"/>
  <c r="K6740" i="1" a="1"/>
  <c r="K6740" i="1" s="1"/>
  <c r="O6740" i="1" s="1"/>
  <c r="K6741" i="1" a="1"/>
  <c r="K6741" i="1" s="1"/>
  <c r="O6741" i="1" s="1"/>
  <c r="K6742" i="1" a="1"/>
  <c r="K6742" i="1" s="1"/>
  <c r="O6742" i="1" s="1"/>
  <c r="K6743" i="1" a="1"/>
  <c r="K6743" i="1" s="1"/>
  <c r="K6744" i="1" a="1"/>
  <c r="K6744" i="1" s="1"/>
  <c r="O6744" i="1" s="1"/>
  <c r="K6745" i="1" a="1"/>
  <c r="K6745" i="1" s="1"/>
  <c r="O6745" i="1" s="1"/>
  <c r="K6746" i="1" a="1"/>
  <c r="K6746" i="1" s="1"/>
  <c r="O6746" i="1" s="1"/>
  <c r="K6747" i="1" a="1"/>
  <c r="K6747" i="1" s="1"/>
  <c r="O6747" i="1" s="1"/>
  <c r="K6748" i="1" a="1"/>
  <c r="K6748" i="1" s="1"/>
  <c r="O6748" i="1" s="1"/>
  <c r="K6749" i="1" a="1"/>
  <c r="K6749" i="1" s="1"/>
  <c r="O6749" i="1" s="1"/>
  <c r="K6750" i="1" a="1"/>
  <c r="K6750" i="1" s="1"/>
  <c r="O6750" i="1" s="1"/>
  <c r="K6751" i="1" a="1"/>
  <c r="K6751" i="1" s="1"/>
  <c r="O6751" i="1" s="1"/>
  <c r="K6752" i="1" a="1"/>
  <c r="K6752" i="1" s="1"/>
  <c r="O6752" i="1" s="1"/>
  <c r="K6753" i="1" a="1"/>
  <c r="K6753" i="1" s="1"/>
  <c r="O6753" i="1" s="1"/>
  <c r="K6754" i="1" a="1"/>
  <c r="K6754" i="1" s="1"/>
  <c r="O6754" i="1" s="1"/>
  <c r="K6755" i="1" a="1"/>
  <c r="K6755" i="1" s="1"/>
  <c r="O6755" i="1" s="1"/>
  <c r="K6756" i="1" a="1"/>
  <c r="K6756" i="1" s="1"/>
  <c r="O6756" i="1" s="1"/>
  <c r="K6757" i="1" a="1"/>
  <c r="K6757" i="1"/>
  <c r="O6757" i="1" s="1"/>
  <c r="K6758" i="1" a="1"/>
  <c r="K6758" i="1" s="1"/>
  <c r="O6758" i="1" s="1"/>
  <c r="K6759" i="1" a="1"/>
  <c r="K6759" i="1" s="1"/>
  <c r="O6759" i="1" s="1"/>
  <c r="K6760" i="1" a="1"/>
  <c r="K6760" i="1" s="1"/>
  <c r="O6760" i="1" s="1"/>
  <c r="K6761" i="1" a="1"/>
  <c r="K6761" i="1" s="1"/>
  <c r="O6761" i="1" s="1"/>
  <c r="K6762" i="1" a="1"/>
  <c r="K6762" i="1" s="1"/>
  <c r="O6762" i="1" s="1"/>
  <c r="K6763" i="1" a="1"/>
  <c r="K6763" i="1" s="1"/>
  <c r="O6763" i="1" s="1"/>
  <c r="K6764" i="1" a="1"/>
  <c r="K6764" i="1" s="1"/>
  <c r="O6764" i="1" s="1"/>
  <c r="K6765" i="1" a="1"/>
  <c r="K6765" i="1" s="1"/>
  <c r="O6765" i="1" s="1"/>
  <c r="K6766" i="1" a="1"/>
  <c r="K6766" i="1" s="1"/>
  <c r="O6766" i="1" s="1"/>
  <c r="K6767" i="1" a="1"/>
  <c r="K6767" i="1" s="1"/>
  <c r="O6767" i="1" s="1"/>
  <c r="K6768" i="1" a="1"/>
  <c r="K6768" i="1" s="1"/>
  <c r="O6768" i="1" s="1"/>
  <c r="K6769" i="1" a="1"/>
  <c r="K6769" i="1" s="1"/>
  <c r="O6769" i="1" s="1"/>
  <c r="K6770" i="1" a="1"/>
  <c r="K6770" i="1" s="1"/>
  <c r="O6770" i="1" s="1"/>
  <c r="K6771" i="1" a="1"/>
  <c r="K6771" i="1" s="1"/>
  <c r="O6771" i="1" s="1"/>
  <c r="K6772" i="1" a="1"/>
  <c r="K6772" i="1" s="1"/>
  <c r="O6772" i="1" s="1"/>
  <c r="K6773" i="1" a="1"/>
  <c r="K6773" i="1" s="1"/>
  <c r="O6773" i="1" s="1"/>
  <c r="K6774" i="1" a="1"/>
  <c r="K6774" i="1" s="1"/>
  <c r="O6774" i="1" s="1"/>
  <c r="K6775" i="1" a="1"/>
  <c r="K6775" i="1" s="1"/>
  <c r="O6775" i="1" s="1"/>
  <c r="K6776" i="1" a="1"/>
  <c r="K6776" i="1" s="1"/>
  <c r="O6776" i="1" s="1"/>
  <c r="K6777" i="1" a="1"/>
  <c r="K6777" i="1" s="1"/>
  <c r="O6777" i="1" s="1"/>
  <c r="K6778" i="1" a="1"/>
  <c r="K6778" i="1" s="1"/>
  <c r="O6778" i="1" s="1"/>
  <c r="K6779" i="1" a="1"/>
  <c r="K6779" i="1" s="1"/>
  <c r="O6779" i="1" s="1"/>
  <c r="K6780" i="1" a="1"/>
  <c r="K6780" i="1" s="1"/>
  <c r="O6780" i="1" s="1"/>
  <c r="K6781" i="1" a="1"/>
  <c r="K6781" i="1" s="1"/>
  <c r="O6781" i="1" s="1"/>
  <c r="K6782" i="1" a="1"/>
  <c r="K6782" i="1" s="1"/>
  <c r="O6782" i="1" s="1"/>
  <c r="K6783" i="1" a="1"/>
  <c r="K6783" i="1" s="1"/>
  <c r="O6783" i="1" s="1"/>
  <c r="K6784" i="1" a="1"/>
  <c r="K6784" i="1" s="1"/>
  <c r="O6784" i="1" s="1"/>
  <c r="K6785" i="1" a="1"/>
  <c r="K6785" i="1" s="1"/>
  <c r="O6785" i="1" s="1"/>
  <c r="I16" i="4"/>
  <c r="I15" i="4"/>
  <c r="I14" i="4"/>
  <c r="I13" i="4"/>
  <c r="I12" i="4"/>
  <c r="I11" i="4"/>
  <c r="I10" i="4"/>
  <c r="I9" i="4"/>
  <c r="I8" i="4"/>
  <c r="I7" i="4"/>
  <c r="I6" i="4"/>
  <c r="I5" i="4"/>
  <c r="I4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I10" i="3"/>
  <c r="I9" i="3"/>
  <c r="I8" i="3"/>
  <c r="I7" i="3"/>
  <c r="I6" i="3"/>
  <c r="I5" i="3"/>
  <c r="I4" i="3"/>
  <c r="H10" i="3"/>
  <c r="H9" i="3"/>
  <c r="H8" i="3"/>
  <c r="H7" i="3"/>
  <c r="H6" i="3"/>
  <c r="H5" i="3"/>
  <c r="H4" i="3"/>
  <c r="G10" i="3"/>
  <c r="G9" i="3"/>
  <c r="G8" i="3"/>
  <c r="G7" i="3"/>
  <c r="G6" i="3"/>
  <c r="G5" i="3"/>
  <c r="G4" i="3"/>
  <c r="F10" i="3"/>
  <c r="F9" i="3"/>
  <c r="F8" i="3"/>
  <c r="F7" i="3"/>
  <c r="F6" i="3"/>
  <c r="F5" i="3"/>
  <c r="F4" i="3"/>
  <c r="G4" i="2"/>
  <c r="F4" i="2"/>
  <c r="E4" i="2"/>
  <c r="O5204" i="1" l="1"/>
  <c r="N6077" i="1"/>
  <c r="O6347" i="1"/>
  <c r="O3375" i="1"/>
  <c r="M6352" i="1"/>
  <c r="O6352" i="1"/>
  <c r="N6352" i="1"/>
  <c r="M4499" i="1"/>
  <c r="O4499" i="1"/>
  <c r="M5344" i="1"/>
  <c r="O5344" i="1"/>
  <c r="N5344" i="1"/>
  <c r="M5707" i="1"/>
  <c r="O5707" i="1"/>
  <c r="M5351" i="1"/>
  <c r="O5351" i="1"/>
  <c r="N5351" i="1"/>
  <c r="M3026" i="1"/>
  <c r="O3026" i="1"/>
  <c r="M4917" i="1"/>
  <c r="N4917" i="1"/>
  <c r="O4917" i="1"/>
  <c r="M1348" i="1"/>
  <c r="O1348" i="1"/>
  <c r="N1348" i="1"/>
  <c r="M6651" i="1"/>
  <c r="O6651" i="1"/>
  <c r="M5301" i="1"/>
  <c r="O5301" i="1"/>
  <c r="M6549" i="1"/>
  <c r="O6549" i="1"/>
  <c r="M5715" i="1"/>
  <c r="N5715" i="1"/>
  <c r="O5715" i="1"/>
  <c r="M5501" i="1"/>
  <c r="O5501" i="1"/>
  <c r="M4941" i="1"/>
  <c r="O4941" i="1"/>
  <c r="M4878" i="1"/>
  <c r="O4878" i="1"/>
  <c r="M6167" i="1"/>
  <c r="O6167" i="1"/>
  <c r="N6167" i="1"/>
  <c r="M6119" i="1"/>
  <c r="O6119" i="1"/>
  <c r="N5148" i="1"/>
  <c r="M5148" i="1"/>
  <c r="O5148" i="1"/>
  <c r="M5116" i="1"/>
  <c r="O5116" i="1"/>
  <c r="M4909" i="1"/>
  <c r="O4909" i="1"/>
  <c r="N4909" i="1"/>
  <c r="N6736" i="1"/>
  <c r="O6736" i="1"/>
  <c r="M5758" i="1"/>
  <c r="O5758" i="1"/>
  <c r="M5751" i="1"/>
  <c r="O5751" i="1"/>
  <c r="M5300" i="1"/>
  <c r="O5300" i="1"/>
  <c r="N5300" i="1"/>
  <c r="M4333" i="1"/>
  <c r="O4333" i="1"/>
  <c r="M4862" i="1"/>
  <c r="O4862" i="1"/>
  <c r="N4862" i="1"/>
  <c r="M6589" i="1"/>
  <c r="O6589" i="1"/>
  <c r="M6166" i="1"/>
  <c r="N6166" i="1"/>
  <c r="N4527" i="1"/>
  <c r="O4527" i="1"/>
  <c r="M4527" i="1"/>
  <c r="M6743" i="1"/>
  <c r="O6743" i="1"/>
  <c r="M5527" i="1"/>
  <c r="N5527" i="1"/>
  <c r="O5527" i="1"/>
  <c r="O6166" i="1"/>
  <c r="N5662" i="1"/>
  <c r="O5662" i="1"/>
  <c r="M5662" i="1"/>
  <c r="M5397" i="1"/>
  <c r="O5397" i="1"/>
  <c r="M4886" i="1"/>
  <c r="O4886" i="1"/>
  <c r="M5171" i="1"/>
  <c r="O5171" i="1"/>
  <c r="M2807" i="1"/>
  <c r="O2807" i="1"/>
  <c r="N5950" i="1"/>
  <c r="O5950" i="1"/>
  <c r="M3919" i="1"/>
  <c r="O3919" i="1"/>
  <c r="M3831" i="1"/>
  <c r="N3831" i="1"/>
  <c r="O3831" i="1"/>
  <c r="M2965" i="1"/>
  <c r="N2965" i="1"/>
  <c r="O2965" i="1"/>
  <c r="M4719" i="1"/>
  <c r="O4719" i="1"/>
  <c r="M4695" i="1"/>
  <c r="O4695" i="1"/>
  <c r="N4695" i="1"/>
  <c r="O3181" i="1"/>
  <c r="O6671" i="1"/>
  <c r="O4014" i="1"/>
  <c r="M6588" i="1"/>
  <c r="N6588" i="1"/>
  <c r="N6247" i="1"/>
  <c r="O6247" i="1"/>
  <c r="M5847" i="1"/>
  <c r="O5847" i="1"/>
  <c r="M5800" i="1"/>
  <c r="O5800" i="1"/>
  <c r="M5712" i="1"/>
  <c r="O5712" i="1"/>
  <c r="N5506" i="1"/>
  <c r="O5506" i="1"/>
  <c r="M5395" i="1"/>
  <c r="O5395" i="1"/>
  <c r="M5387" i="1"/>
  <c r="O5387" i="1"/>
  <c r="N5192" i="1"/>
  <c r="O5192" i="1"/>
  <c r="M4749" i="1"/>
  <c r="O4749" i="1"/>
  <c r="M4424" i="1"/>
  <c r="O4424" i="1"/>
  <c r="M4119" i="1"/>
  <c r="O4119" i="1"/>
  <c r="M4004" i="1"/>
  <c r="O4004" i="1"/>
  <c r="M3964" i="1"/>
  <c r="O3964" i="1"/>
  <c r="M3743" i="1"/>
  <c r="N3743" i="1"/>
  <c r="O3743" i="1"/>
  <c r="M3735" i="1"/>
  <c r="O3735" i="1"/>
  <c r="M3420" i="1"/>
  <c r="O3420" i="1"/>
  <c r="M3238" i="1"/>
  <c r="O3238" i="1"/>
  <c r="M2859" i="1"/>
  <c r="O2859" i="1"/>
  <c r="N2859" i="1"/>
  <c r="M2631" i="1"/>
  <c r="O2631" i="1"/>
  <c r="M2562" i="1"/>
  <c r="O2562" i="1"/>
  <c r="M2546" i="1"/>
  <c r="O2546" i="1"/>
  <c r="N4423" i="1"/>
  <c r="O6647" i="1"/>
  <c r="O5483" i="1"/>
  <c r="O4507" i="1"/>
  <c r="O3078" i="1"/>
  <c r="N6504" i="1"/>
  <c r="O6504" i="1"/>
  <c r="M3469" i="1"/>
  <c r="O3469" i="1"/>
  <c r="M3231" i="1"/>
  <c r="O3231" i="1"/>
  <c r="M1330" i="1"/>
  <c r="O1330" i="1"/>
  <c r="M1134" i="1"/>
  <c r="O1134" i="1"/>
  <c r="M895" i="1"/>
  <c r="O895" i="1"/>
  <c r="N895" i="1"/>
  <c r="M4851" i="1"/>
  <c r="O4851" i="1"/>
  <c r="M3971" i="1"/>
  <c r="O3971" i="1"/>
  <c r="N3467" i="1"/>
  <c r="O3467" i="1"/>
  <c r="M3077" i="1"/>
  <c r="O3077" i="1"/>
  <c r="M2630" i="1"/>
  <c r="O2630" i="1"/>
  <c r="N2630" i="1"/>
  <c r="M2044" i="1"/>
  <c r="O2044" i="1"/>
  <c r="M1975" i="1"/>
  <c r="O1975" i="1"/>
  <c r="N1975" i="1"/>
  <c r="M1954" i="1"/>
  <c r="O1954" i="1"/>
  <c r="N4416" i="1"/>
  <c r="O6623" i="1"/>
  <c r="O6077" i="1"/>
  <c r="O2068" i="1"/>
  <c r="M6487" i="1"/>
  <c r="O6487" i="1"/>
  <c r="M6480" i="1"/>
  <c r="O6480" i="1"/>
  <c r="M6435" i="1"/>
  <c r="N6435" i="1"/>
  <c r="M6253" i="1"/>
  <c r="N6253" i="1"/>
  <c r="M6079" i="1"/>
  <c r="O6079" i="1"/>
  <c r="M5895" i="1"/>
  <c r="N5895" i="1"/>
  <c r="M5568" i="1"/>
  <c r="O5568" i="1"/>
  <c r="M5456" i="1"/>
  <c r="O5456" i="1"/>
  <c r="M5024" i="1"/>
  <c r="O5024" i="1"/>
  <c r="M4640" i="1"/>
  <c r="N4640" i="1"/>
  <c r="M4632" i="1"/>
  <c r="O4632" i="1"/>
  <c r="N4632" i="1"/>
  <c r="M4443" i="1"/>
  <c r="O4443" i="1"/>
  <c r="M4299" i="1"/>
  <c r="O4299" i="1"/>
  <c r="M4292" i="1"/>
  <c r="O4292" i="1"/>
  <c r="M3834" i="1"/>
  <c r="O3834" i="1"/>
  <c r="N3834" i="1"/>
  <c r="M2636" i="1"/>
  <c r="N2636" i="1"/>
  <c r="O2636" i="1"/>
  <c r="M2334" i="1"/>
  <c r="O2334" i="1"/>
  <c r="M2318" i="1"/>
  <c r="O2318" i="1"/>
  <c r="N2318" i="1"/>
  <c r="M2157" i="1"/>
  <c r="O2157" i="1"/>
  <c r="N2134" i="1"/>
  <c r="O2134" i="1"/>
  <c r="M954" i="1"/>
  <c r="O954" i="1"/>
  <c r="N954" i="1"/>
  <c r="M2134" i="1"/>
  <c r="N4299" i="1"/>
  <c r="N3078" i="1"/>
  <c r="N1330" i="1"/>
  <c r="O6685" i="1"/>
  <c r="O6459" i="1"/>
  <c r="O5895" i="1"/>
  <c r="O5015" i="1"/>
  <c r="M4067" i="1"/>
  <c r="O4067" i="1"/>
  <c r="N4067" i="1"/>
  <c r="M3918" i="1"/>
  <c r="O3918" i="1"/>
  <c r="M3470" i="1"/>
  <c r="O3470" i="1"/>
  <c r="M2492" i="1"/>
  <c r="O2492" i="1"/>
  <c r="N2492" i="1"/>
  <c r="M5343" i="1"/>
  <c r="N5343" i="1"/>
  <c r="M5214" i="1"/>
  <c r="N5214" i="1"/>
  <c r="M5019" i="1"/>
  <c r="N5019" i="1"/>
  <c r="O5019" i="1"/>
  <c r="M4718" i="1"/>
  <c r="O4718" i="1"/>
  <c r="M3547" i="1"/>
  <c r="O3547" i="1"/>
  <c r="M2491" i="1"/>
  <c r="O2491" i="1"/>
  <c r="N2491" i="1"/>
  <c r="N5991" i="1"/>
  <c r="O5991" i="1"/>
  <c r="M5088" i="1"/>
  <c r="O5088" i="1"/>
  <c r="M4223" i="1"/>
  <c r="O4223" i="1"/>
  <c r="N4223" i="1"/>
  <c r="M4141" i="1"/>
  <c r="O4141" i="1"/>
  <c r="N4141" i="1"/>
  <c r="M3782" i="1"/>
  <c r="O3782" i="1"/>
  <c r="M3642" i="1"/>
  <c r="O3642" i="1"/>
  <c r="M3282" i="1"/>
  <c r="O3282" i="1"/>
  <c r="N3282" i="1"/>
  <c r="M3189" i="1"/>
  <c r="O3189" i="1"/>
  <c r="M5463" i="1"/>
  <c r="O5463" i="1"/>
  <c r="M5256" i="1"/>
  <c r="O5256" i="1"/>
  <c r="N5256" i="1"/>
  <c r="M5023" i="1"/>
  <c r="O5023" i="1"/>
  <c r="M4967" i="1"/>
  <c r="O4967" i="1"/>
  <c r="M4366" i="1"/>
  <c r="O4366" i="1"/>
  <c r="M4358" i="1"/>
  <c r="O4358" i="1"/>
  <c r="M4291" i="1"/>
  <c r="N4291" i="1"/>
  <c r="O4291" i="1"/>
  <c r="M4261" i="1"/>
  <c r="O4261" i="1"/>
  <c r="M4154" i="1"/>
  <c r="O4154" i="1"/>
  <c r="N4154" i="1"/>
  <c r="M3605" i="1"/>
  <c r="O3605" i="1"/>
  <c r="M3558" i="1"/>
  <c r="O3558" i="1"/>
  <c r="N3558" i="1"/>
  <c r="N3410" i="1"/>
  <c r="O3410" i="1"/>
  <c r="M3366" i="1"/>
  <c r="N3366" i="1"/>
  <c r="O3366" i="1"/>
  <c r="M3083" i="1"/>
  <c r="O3083" i="1"/>
  <c r="N2931" i="1"/>
  <c r="O2931" i="1"/>
  <c r="M1988" i="1"/>
  <c r="O1988" i="1"/>
  <c r="N1988" i="1"/>
  <c r="M1828" i="1"/>
  <c r="O1828" i="1"/>
  <c r="M1687" i="1"/>
  <c r="O1687" i="1"/>
  <c r="N4959" i="1"/>
  <c r="N4292" i="1"/>
  <c r="N3077" i="1"/>
  <c r="O6435" i="1"/>
  <c r="O6253" i="1"/>
  <c r="O5302" i="1"/>
  <c r="O4423" i="1"/>
  <c r="N4665" i="1"/>
  <c r="O4665" i="1"/>
  <c r="M4665" i="1"/>
  <c r="M4006" i="1"/>
  <c r="O4006" i="1"/>
  <c r="M6211" i="1"/>
  <c r="O6211" i="1"/>
  <c r="M5228" i="1"/>
  <c r="O5228" i="1"/>
  <c r="N5193" i="1"/>
  <c r="O5193" i="1"/>
  <c r="M4151" i="1"/>
  <c r="O4151" i="1"/>
  <c r="N4151" i="1"/>
  <c r="M3651" i="1"/>
  <c r="O3651" i="1"/>
  <c r="M3461" i="1"/>
  <c r="N3461" i="1"/>
  <c r="M1346" i="1"/>
  <c r="O1346" i="1"/>
  <c r="M4590" i="1"/>
  <c r="O4590" i="1"/>
  <c r="N4590" i="1"/>
  <c r="M6707" i="1"/>
  <c r="O6707" i="1"/>
  <c r="N6120" i="1"/>
  <c r="O6120" i="1"/>
  <c r="M6120" i="1"/>
  <c r="M5663" i="1"/>
  <c r="O5663" i="1"/>
  <c r="M5439" i="1"/>
  <c r="O5439" i="1"/>
  <c r="M5165" i="1"/>
  <c r="O5165" i="1"/>
  <c r="N5165" i="1"/>
  <c r="M5117" i="1"/>
  <c r="O5117" i="1"/>
  <c r="N4840" i="1"/>
  <c r="M4840" i="1"/>
  <c r="O4840" i="1"/>
  <c r="M4832" i="1"/>
  <c r="O4832" i="1"/>
  <c r="M4800" i="1"/>
  <c r="O4800" i="1"/>
  <c r="N4800" i="1"/>
  <c r="M4645" i="1"/>
  <c r="O4645" i="1"/>
  <c r="N4645" i="1"/>
  <c r="M4528" i="1"/>
  <c r="O4528" i="1"/>
  <c r="N4528" i="1"/>
  <c r="M4494" i="1"/>
  <c r="O4494" i="1"/>
  <c r="M4326" i="1"/>
  <c r="O4326" i="1"/>
  <c r="M3557" i="1"/>
  <c r="O3557" i="1"/>
  <c r="N3557" i="1"/>
  <c r="M3373" i="1"/>
  <c r="O3373" i="1"/>
  <c r="N3373" i="1"/>
  <c r="M3019" i="1"/>
  <c r="O3019" i="1"/>
  <c r="N3003" i="1"/>
  <c r="O3003" i="1"/>
  <c r="M2959" i="1"/>
  <c r="O2959" i="1"/>
  <c r="N2959" i="1"/>
  <c r="M1850" i="1"/>
  <c r="O1850" i="1"/>
  <c r="M1678" i="1"/>
  <c r="O1678" i="1"/>
  <c r="M1514" i="1"/>
  <c r="O1514" i="1"/>
  <c r="N6347" i="1"/>
  <c r="N4006" i="1"/>
  <c r="O5214" i="1"/>
  <c r="O4959" i="1"/>
  <c r="O4416" i="1"/>
  <c r="M6767" i="1"/>
  <c r="N6767" i="1"/>
  <c r="M6669" i="1"/>
  <c r="N6669" i="1"/>
  <c r="M6653" i="1"/>
  <c r="N6653" i="1"/>
  <c r="M6645" i="1"/>
  <c r="N6645" i="1"/>
  <c r="M6637" i="1"/>
  <c r="N6637" i="1"/>
  <c r="M6631" i="1"/>
  <c r="N6631" i="1"/>
  <c r="M6434" i="1"/>
  <c r="N6434" i="1"/>
  <c r="M6426" i="1"/>
  <c r="N6426" i="1"/>
  <c r="N6418" i="1"/>
  <c r="M6418" i="1"/>
  <c r="M6411" i="1"/>
  <c r="N6411" i="1"/>
  <c r="M6403" i="1"/>
  <c r="N6403" i="1"/>
  <c r="M6161" i="1"/>
  <c r="N6161" i="1"/>
  <c r="M6070" i="1"/>
  <c r="N6070" i="1"/>
  <c r="M6064" i="1"/>
  <c r="N6064" i="1"/>
  <c r="M6057" i="1"/>
  <c r="N6057" i="1"/>
  <c r="M6050" i="1"/>
  <c r="N6050" i="1"/>
  <c r="M6042" i="1"/>
  <c r="N6042" i="1"/>
  <c r="M6035" i="1"/>
  <c r="N6035" i="1"/>
  <c r="M6028" i="1"/>
  <c r="N6028" i="1"/>
  <c r="M6020" i="1"/>
  <c r="N6020" i="1"/>
  <c r="M6013" i="1"/>
  <c r="N6013" i="1"/>
  <c r="M6005" i="1"/>
  <c r="N6005" i="1"/>
  <c r="M5997" i="1"/>
  <c r="N5997" i="1"/>
  <c r="M5989" i="1"/>
  <c r="N5989" i="1"/>
  <c r="M5983" i="1"/>
  <c r="N5983" i="1"/>
  <c r="M5975" i="1"/>
  <c r="N5975" i="1"/>
  <c r="M5678" i="1"/>
  <c r="N5678" i="1"/>
  <c r="M5166" i="1"/>
  <c r="N5166" i="1"/>
  <c r="M4738" i="1"/>
  <c r="N4738" i="1"/>
  <c r="M798" i="1"/>
  <c r="N798" i="1"/>
  <c r="M6774" i="1"/>
  <c r="N6774" i="1"/>
  <c r="M6652" i="1"/>
  <c r="N6652" i="1"/>
  <c r="M5811" i="1"/>
  <c r="N5811" i="1"/>
  <c r="M6690" i="1"/>
  <c r="N6690" i="1"/>
  <c r="M6659" i="1"/>
  <c r="N6659" i="1"/>
  <c r="M6506" i="1"/>
  <c r="N6506" i="1"/>
  <c r="M6492" i="1"/>
  <c r="N6492" i="1"/>
  <c r="M6477" i="1"/>
  <c r="N6477" i="1"/>
  <c r="M6462" i="1"/>
  <c r="N6462" i="1"/>
  <c r="M6455" i="1"/>
  <c r="N6455" i="1"/>
  <c r="M6440" i="1"/>
  <c r="N6440" i="1"/>
  <c r="M6250" i="1"/>
  <c r="N6250" i="1"/>
  <c r="M6243" i="1"/>
  <c r="N6243" i="1"/>
  <c r="M6236" i="1"/>
  <c r="N6236" i="1"/>
  <c r="M6221" i="1"/>
  <c r="N6221" i="1"/>
  <c r="M6213" i="1"/>
  <c r="N6213" i="1"/>
  <c r="M6205" i="1"/>
  <c r="N6205" i="1"/>
  <c r="M6183" i="1"/>
  <c r="N6183" i="1"/>
  <c r="M4775" i="1"/>
  <c r="N4775" i="1"/>
  <c r="M944" i="1"/>
  <c r="N944" i="1"/>
  <c r="M6681" i="1"/>
  <c r="N6681" i="1"/>
  <c r="M6674" i="1"/>
  <c r="N6674" i="1"/>
  <c r="M6613" i="1"/>
  <c r="N6613" i="1"/>
  <c r="M6605" i="1"/>
  <c r="N6605" i="1"/>
  <c r="M6513" i="1"/>
  <c r="N6513" i="1"/>
  <c r="M6322" i="1"/>
  <c r="N6322" i="1"/>
  <c r="M6257" i="1"/>
  <c r="N6257" i="1"/>
  <c r="M5849" i="1"/>
  <c r="N5849" i="1"/>
  <c r="M5269" i="1"/>
  <c r="N5269" i="1"/>
  <c r="M5099" i="1"/>
  <c r="N5099" i="1"/>
  <c r="M5075" i="1"/>
  <c r="N5075" i="1"/>
  <c r="M6782" i="1"/>
  <c r="N6782" i="1"/>
  <c r="M6433" i="1"/>
  <c r="N6433" i="1"/>
  <c r="M5255" i="1"/>
  <c r="N5255" i="1"/>
  <c r="M5173" i="1"/>
  <c r="N5173" i="1"/>
  <c r="M914" i="1"/>
  <c r="N914" i="1"/>
  <c r="M6682" i="1"/>
  <c r="N6682" i="1"/>
  <c r="M6667" i="1"/>
  <c r="N6667" i="1"/>
  <c r="N6499" i="1"/>
  <c r="M6499" i="1"/>
  <c r="M6484" i="1"/>
  <c r="N6484" i="1"/>
  <c r="M6469" i="1"/>
  <c r="N6469" i="1"/>
  <c r="M6448" i="1"/>
  <c r="N6448" i="1"/>
  <c r="M6688" i="1"/>
  <c r="N6688" i="1"/>
  <c r="M6554" i="1"/>
  <c r="N6554" i="1"/>
  <c r="M6547" i="1"/>
  <c r="N6547" i="1"/>
  <c r="M6539" i="1"/>
  <c r="N6539" i="1"/>
  <c r="M6532" i="1"/>
  <c r="N6532" i="1"/>
  <c r="M6525" i="1"/>
  <c r="N6525" i="1"/>
  <c r="M6518" i="1"/>
  <c r="N6518" i="1"/>
  <c r="M6357" i="1"/>
  <c r="N6357" i="1"/>
  <c r="M6321" i="1"/>
  <c r="N6321" i="1"/>
  <c r="M6313" i="1"/>
  <c r="N6313" i="1"/>
  <c r="M6307" i="1"/>
  <c r="N6307" i="1"/>
  <c r="M6300" i="1"/>
  <c r="N6300" i="1"/>
  <c r="M6293" i="1"/>
  <c r="N6293" i="1"/>
  <c r="M6285" i="1"/>
  <c r="N6285" i="1"/>
  <c r="M6278" i="1"/>
  <c r="N6278" i="1"/>
  <c r="M6271" i="1"/>
  <c r="N6271" i="1"/>
  <c r="M6263" i="1"/>
  <c r="N6263" i="1"/>
  <c r="M5884" i="1"/>
  <c r="N5884" i="1"/>
  <c r="M5299" i="1"/>
  <c r="N5299" i="1"/>
  <c r="M5146" i="1"/>
  <c r="N5146" i="1"/>
  <c r="M1495" i="1"/>
  <c r="N1495" i="1"/>
  <c r="M6229" i="1"/>
  <c r="N6229" i="1"/>
  <c r="M6762" i="1"/>
  <c r="N6762" i="1"/>
  <c r="N6702" i="1"/>
  <c r="M6702" i="1"/>
  <c r="M6695" i="1"/>
  <c r="N6695" i="1"/>
  <c r="M6611" i="1"/>
  <c r="N6611" i="1"/>
  <c r="M6390" i="1"/>
  <c r="N6390" i="1"/>
  <c r="M6356" i="1"/>
  <c r="N6356" i="1"/>
  <c r="M6349" i="1"/>
  <c r="N6349" i="1"/>
  <c r="M6342" i="1"/>
  <c r="N6342" i="1"/>
  <c r="M6334" i="1"/>
  <c r="N6334" i="1"/>
  <c r="M6327" i="1"/>
  <c r="N6327" i="1"/>
  <c r="M5570" i="1"/>
  <c r="N5570" i="1"/>
  <c r="N5305" i="1"/>
  <c r="M5305" i="1"/>
  <c r="M5153" i="1"/>
  <c r="N5153" i="1"/>
  <c r="M1502" i="1"/>
  <c r="N1502" i="1"/>
  <c r="M638" i="1"/>
  <c r="N638" i="1"/>
  <c r="M6197" i="1"/>
  <c r="N6197" i="1"/>
  <c r="M6710" i="1"/>
  <c r="N6710" i="1"/>
  <c r="M6769" i="1"/>
  <c r="N6769" i="1"/>
  <c r="M6717" i="1"/>
  <c r="N6717" i="1"/>
  <c r="M6618" i="1"/>
  <c r="N6618" i="1"/>
  <c r="M6397" i="1"/>
  <c r="N6397" i="1"/>
  <c r="M6389" i="1"/>
  <c r="N6389" i="1"/>
  <c r="M6382" i="1"/>
  <c r="N6382" i="1"/>
  <c r="M6376" i="1"/>
  <c r="N6376" i="1"/>
  <c r="M6369" i="1"/>
  <c r="N6369" i="1"/>
  <c r="M6362" i="1"/>
  <c r="N6362" i="1"/>
  <c r="N5969" i="1"/>
  <c r="M5969" i="1"/>
  <c r="M5918" i="1"/>
  <c r="N5918" i="1"/>
  <c r="M5605" i="1"/>
  <c r="N5605" i="1"/>
  <c r="M5457" i="1"/>
  <c r="N5457" i="1"/>
  <c r="M1509" i="1"/>
  <c r="N1509" i="1"/>
  <c r="M689" i="1"/>
  <c r="N689" i="1"/>
  <c r="M6189" i="1"/>
  <c r="N6189" i="1"/>
  <c r="M6760" i="1"/>
  <c r="N6760" i="1"/>
  <c r="M6754" i="1"/>
  <c r="N6754" i="1"/>
  <c r="M6746" i="1"/>
  <c r="N6746" i="1"/>
  <c r="M6738" i="1"/>
  <c r="N6738" i="1"/>
  <c r="M6731" i="1"/>
  <c r="N6731" i="1"/>
  <c r="M6723" i="1"/>
  <c r="N6723" i="1"/>
  <c r="M6646" i="1"/>
  <c r="N6646" i="1"/>
  <c r="M6625" i="1"/>
  <c r="N6625" i="1"/>
  <c r="M6396" i="1"/>
  <c r="N6396" i="1"/>
  <c r="M6101" i="1"/>
  <c r="N6101" i="1"/>
  <c r="M5968" i="1"/>
  <c r="N5968" i="1"/>
  <c r="M5960" i="1"/>
  <c r="N5960" i="1"/>
  <c r="M5953" i="1"/>
  <c r="N5953" i="1"/>
  <c r="M5939" i="1"/>
  <c r="N5939" i="1"/>
  <c r="M5619" i="1"/>
  <c r="N5619" i="1"/>
  <c r="M5159" i="1"/>
  <c r="N5159" i="1"/>
  <c r="M4731" i="1"/>
  <c r="N4731" i="1"/>
  <c r="M3930" i="1"/>
  <c r="N3930" i="1"/>
  <c r="M5896" i="1"/>
  <c r="N5896" i="1"/>
  <c r="M5496" i="1"/>
  <c r="N5496" i="1"/>
  <c r="N5449" i="1"/>
  <c r="M5449" i="1"/>
  <c r="N5394" i="1"/>
  <c r="M5394" i="1"/>
  <c r="M5356" i="1"/>
  <c r="N5356" i="1"/>
  <c r="M5329" i="1"/>
  <c r="N5329" i="1"/>
  <c r="M5291" i="1"/>
  <c r="N5291" i="1"/>
  <c r="M5246" i="1"/>
  <c r="N5246" i="1"/>
  <c r="M5187" i="1"/>
  <c r="N5187" i="1"/>
  <c r="M5145" i="1"/>
  <c r="N5145" i="1"/>
  <c r="M5105" i="1"/>
  <c r="N5105" i="1"/>
  <c r="M5035" i="1"/>
  <c r="N5035" i="1"/>
  <c r="M4846" i="1"/>
  <c r="N4846" i="1"/>
  <c r="M4790" i="1"/>
  <c r="N4790" i="1"/>
  <c r="N4744" i="1"/>
  <c r="M4744" i="1"/>
  <c r="M4698" i="1"/>
  <c r="N4698" i="1"/>
  <c r="M4674" i="1"/>
  <c r="N4674" i="1"/>
  <c r="M4101" i="1"/>
  <c r="N4101" i="1"/>
  <c r="M4055" i="1"/>
  <c r="N4055" i="1"/>
  <c r="M4017" i="1"/>
  <c r="N4017" i="1"/>
  <c r="M3985" i="1"/>
  <c r="N3985" i="1"/>
  <c r="M3945" i="1"/>
  <c r="N3945" i="1"/>
  <c r="M3898" i="1"/>
  <c r="N3898" i="1"/>
  <c r="M3628" i="1"/>
  <c r="N3628" i="1"/>
  <c r="M3583" i="1"/>
  <c r="N3583" i="1"/>
  <c r="M3474" i="1"/>
  <c r="N3474" i="1"/>
  <c r="M3434" i="1"/>
  <c r="N3434" i="1"/>
  <c r="M3212" i="1"/>
  <c r="N3212" i="1"/>
  <c r="M3165" i="1"/>
  <c r="N3165" i="1"/>
  <c r="M3121" i="1"/>
  <c r="N3121" i="1"/>
  <c r="M3076" i="1"/>
  <c r="N3076" i="1"/>
  <c r="M3036" i="1"/>
  <c r="N3036" i="1"/>
  <c r="M2990" i="1"/>
  <c r="N2990" i="1"/>
  <c r="M2960" i="1"/>
  <c r="N2960" i="1"/>
  <c r="M2880" i="1"/>
  <c r="N2880" i="1"/>
  <c r="M2849" i="1"/>
  <c r="N2849" i="1"/>
  <c r="M2520" i="1"/>
  <c r="N2520" i="1"/>
  <c r="M2488" i="1"/>
  <c r="N2488" i="1"/>
  <c r="M1571" i="1"/>
  <c r="N1571" i="1"/>
  <c r="M1531" i="1"/>
  <c r="N1531" i="1"/>
  <c r="M1479" i="1"/>
  <c r="N1479" i="1"/>
  <c r="M1293" i="1"/>
  <c r="N1293" i="1"/>
  <c r="M1255" i="1"/>
  <c r="N1255" i="1"/>
  <c r="M6773" i="1"/>
  <c r="N6773" i="1"/>
  <c r="M6709" i="1"/>
  <c r="N6709" i="1"/>
  <c r="M6666" i="1"/>
  <c r="N6666" i="1"/>
  <c r="M6553" i="1"/>
  <c r="N6553" i="1"/>
  <c r="M6512" i="1"/>
  <c r="N6512" i="1"/>
  <c r="M6468" i="1"/>
  <c r="N6468" i="1"/>
  <c r="M6461" i="1"/>
  <c r="N6461" i="1"/>
  <c r="M6454" i="1"/>
  <c r="N6454" i="1"/>
  <c r="M6417" i="1"/>
  <c r="N6417" i="1"/>
  <c r="M6395" i="1"/>
  <c r="N6395" i="1"/>
  <c r="M6381" i="1"/>
  <c r="N6381" i="1"/>
  <c r="M6341" i="1"/>
  <c r="N6341" i="1"/>
  <c r="M6326" i="1"/>
  <c r="N6326" i="1"/>
  <c r="M6256" i="1"/>
  <c r="N6256" i="1"/>
  <c r="M6228" i="1"/>
  <c r="N6228" i="1"/>
  <c r="M6049" i="1"/>
  <c r="N6049" i="1"/>
  <c r="M6004" i="1"/>
  <c r="N6004" i="1"/>
  <c r="M5952" i="1"/>
  <c r="N5952" i="1"/>
  <c r="M5787" i="1"/>
  <c r="N5787" i="1"/>
  <c r="M5743" i="1"/>
  <c r="N5743" i="1"/>
  <c r="M5705" i="1"/>
  <c r="N5705" i="1"/>
  <c r="M5668" i="1"/>
  <c r="N5668" i="1"/>
  <c r="M5646" i="1"/>
  <c r="N5646" i="1"/>
  <c r="M5616" i="1"/>
  <c r="N5616" i="1"/>
  <c r="M5594" i="1"/>
  <c r="N5594" i="1"/>
  <c r="N5546" i="1"/>
  <c r="M5546" i="1"/>
  <c r="M5495" i="1"/>
  <c r="N5495" i="1"/>
  <c r="M4623" i="1"/>
  <c r="N4623" i="1"/>
  <c r="M4413" i="1"/>
  <c r="N4413" i="1"/>
  <c r="M4373" i="1"/>
  <c r="N4373" i="1"/>
  <c r="M4276" i="1"/>
  <c r="N4276" i="1"/>
  <c r="M4236" i="1"/>
  <c r="N4236" i="1"/>
  <c r="M4190" i="1"/>
  <c r="N4190" i="1"/>
  <c r="M4131" i="1"/>
  <c r="N4131" i="1"/>
  <c r="M4100" i="1"/>
  <c r="N4100" i="1"/>
  <c r="M4062" i="1"/>
  <c r="N4062" i="1"/>
  <c r="M3992" i="1"/>
  <c r="N3992" i="1"/>
  <c r="M3968" i="1"/>
  <c r="N3968" i="1"/>
  <c r="M3929" i="1"/>
  <c r="N3929" i="1"/>
  <c r="M3905" i="1"/>
  <c r="N3905" i="1"/>
  <c r="M3717" i="1"/>
  <c r="N3717" i="1"/>
  <c r="M3693" i="1"/>
  <c r="N3693" i="1"/>
  <c r="M3677" i="1"/>
  <c r="N3677" i="1"/>
  <c r="M3634" i="1"/>
  <c r="N3634" i="1"/>
  <c r="M3480" i="1"/>
  <c r="N3480" i="1"/>
  <c r="M3403" i="1"/>
  <c r="N3403" i="1"/>
  <c r="M3259" i="1"/>
  <c r="N3259" i="1"/>
  <c r="N3195" i="1"/>
  <c r="M3195" i="1"/>
  <c r="M2710" i="1"/>
  <c r="N2710" i="1"/>
  <c r="M2664" i="1"/>
  <c r="N2664" i="1"/>
  <c r="M2635" i="1"/>
  <c r="N2635" i="1"/>
  <c r="M2605" i="1"/>
  <c r="N2605" i="1"/>
  <c r="N2559" i="1"/>
  <c r="M2559" i="1"/>
  <c r="M2012" i="1"/>
  <c r="N2012" i="1"/>
  <c r="M1973" i="1"/>
  <c r="N1973" i="1"/>
  <c r="M1936" i="1"/>
  <c r="N1936" i="1"/>
  <c r="M1890" i="1"/>
  <c r="N1890" i="1"/>
  <c r="M1578" i="1"/>
  <c r="N1578" i="1"/>
  <c r="N1478" i="1"/>
  <c r="M1478" i="1"/>
  <c r="M1463" i="1"/>
  <c r="N1463" i="1"/>
  <c r="M1427" i="1"/>
  <c r="N1427" i="1"/>
  <c r="M1353" i="1"/>
  <c r="N1353" i="1"/>
  <c r="M494" i="1"/>
  <c r="N494" i="1"/>
  <c r="M426" i="1"/>
  <c r="N426" i="1"/>
  <c r="M273" i="1"/>
  <c r="N273" i="1"/>
  <c r="M226" i="1"/>
  <c r="N226" i="1"/>
  <c r="M195" i="1"/>
  <c r="N195" i="1"/>
  <c r="M6772" i="1"/>
  <c r="N6772" i="1"/>
  <c r="M6758" i="1"/>
  <c r="N6758" i="1"/>
  <c r="M6686" i="1"/>
  <c r="N6686" i="1"/>
  <c r="M6580" i="1"/>
  <c r="N6580" i="1"/>
  <c r="M6566" i="1"/>
  <c r="N6566" i="1"/>
  <c r="M6524" i="1"/>
  <c r="N6524" i="1"/>
  <c r="M6490" i="1"/>
  <c r="N6490" i="1"/>
  <c r="M6416" i="1"/>
  <c r="N6416" i="1"/>
  <c r="M6387" i="1"/>
  <c r="N6387" i="1"/>
  <c r="M6374" i="1"/>
  <c r="N6374" i="1"/>
  <c r="M6340" i="1"/>
  <c r="N6340" i="1"/>
  <c r="M6291" i="1"/>
  <c r="N6291" i="1"/>
  <c r="M6261" i="1"/>
  <c r="N6261" i="1"/>
  <c r="M6158" i="1"/>
  <c r="N6158" i="1"/>
  <c r="M6112" i="1"/>
  <c r="N6112" i="1"/>
  <c r="M6076" i="1"/>
  <c r="N6076" i="1"/>
  <c r="M6048" i="1"/>
  <c r="N6048" i="1"/>
  <c r="N6011" i="1"/>
  <c r="M6011" i="1"/>
  <c r="N5958" i="1"/>
  <c r="M5958" i="1"/>
  <c r="M5853" i="1"/>
  <c r="N5853" i="1"/>
  <c r="M5814" i="1"/>
  <c r="N5814" i="1"/>
  <c r="M5756" i="1"/>
  <c r="N5756" i="1"/>
  <c r="M5660" i="1"/>
  <c r="N5660" i="1"/>
  <c r="M5615" i="1"/>
  <c r="N5615" i="1"/>
  <c r="M5579" i="1"/>
  <c r="N5579" i="1"/>
  <c r="M5531" i="1"/>
  <c r="N5531" i="1"/>
  <c r="M5462" i="1"/>
  <c r="N5462" i="1"/>
  <c r="M5412" i="1"/>
  <c r="N5412" i="1"/>
  <c r="M5378" i="1"/>
  <c r="N5378" i="1"/>
  <c r="M5340" i="1"/>
  <c r="N5340" i="1"/>
  <c r="M5297" i="1"/>
  <c r="N5297" i="1"/>
  <c r="M5267" i="1"/>
  <c r="N5267" i="1"/>
  <c r="N5135" i="1"/>
  <c r="M5135" i="1"/>
  <c r="M4986" i="1"/>
  <c r="N4986" i="1"/>
  <c r="M4946" i="1"/>
  <c r="N4946" i="1"/>
  <c r="M4907" i="1"/>
  <c r="N4907" i="1"/>
  <c r="M4868" i="1"/>
  <c r="N4868" i="1"/>
  <c r="M4836" i="1"/>
  <c r="N4836" i="1"/>
  <c r="M4804" i="1"/>
  <c r="N4804" i="1"/>
  <c r="M4766" i="1"/>
  <c r="N4766" i="1"/>
  <c r="M4735" i="1"/>
  <c r="N4735" i="1"/>
  <c r="M4696" i="1"/>
  <c r="N4696" i="1"/>
  <c r="M4572" i="1"/>
  <c r="N4572" i="1"/>
  <c r="M4485" i="1"/>
  <c r="N4485" i="1"/>
  <c r="M4448" i="1"/>
  <c r="N4448" i="1"/>
  <c r="M4440" i="1"/>
  <c r="N4440" i="1"/>
  <c r="M4426" i="1"/>
  <c r="N4426" i="1"/>
  <c r="M4388" i="1"/>
  <c r="N4388" i="1"/>
  <c r="M4356" i="1"/>
  <c r="N4356" i="1"/>
  <c r="M4259" i="1"/>
  <c r="N4259" i="1"/>
  <c r="M4227" i="1"/>
  <c r="N4227" i="1"/>
  <c r="M4189" i="1"/>
  <c r="N4189" i="1"/>
  <c r="M4145" i="1"/>
  <c r="N4145" i="1"/>
  <c r="M4106" i="1"/>
  <c r="N4106" i="1"/>
  <c r="M4038" i="1"/>
  <c r="N4038" i="1"/>
  <c r="M3991" i="1"/>
  <c r="N3991" i="1"/>
  <c r="M3951" i="1"/>
  <c r="N3951" i="1"/>
  <c r="M3896" i="1"/>
  <c r="N3896" i="1"/>
  <c r="M3779" i="1"/>
  <c r="N3779" i="1"/>
  <c r="M3739" i="1"/>
  <c r="N3739" i="1"/>
  <c r="M3723" i="1"/>
  <c r="N3723" i="1"/>
  <c r="M3684" i="1"/>
  <c r="N3684" i="1"/>
  <c r="M3633" i="1"/>
  <c r="N3633" i="1"/>
  <c r="M3519" i="1"/>
  <c r="N3519" i="1"/>
  <c r="N3395" i="1"/>
  <c r="M3395" i="1"/>
  <c r="M3265" i="1"/>
  <c r="N3265" i="1"/>
  <c r="M2792" i="1"/>
  <c r="N2792" i="1"/>
  <c r="M2756" i="1"/>
  <c r="N2756" i="1"/>
  <c r="M2717" i="1"/>
  <c r="N2717" i="1"/>
  <c r="M2686" i="1"/>
  <c r="N2686" i="1"/>
  <c r="M2656" i="1"/>
  <c r="N2656" i="1"/>
  <c r="M2620" i="1"/>
  <c r="N2620" i="1"/>
  <c r="M2581" i="1"/>
  <c r="N2581" i="1"/>
  <c r="M2379" i="1"/>
  <c r="N2379" i="1"/>
  <c r="M2324" i="1"/>
  <c r="N2324" i="1"/>
  <c r="M2073" i="1"/>
  <c r="N2073" i="1"/>
  <c r="M1927" i="1"/>
  <c r="N1927" i="1"/>
  <c r="M5193" i="1"/>
  <c r="N5800" i="1"/>
  <c r="M5924" i="1"/>
  <c r="N5924" i="1"/>
  <c r="M5526" i="1"/>
  <c r="N5526" i="1"/>
  <c r="M5472" i="1"/>
  <c r="N5472" i="1"/>
  <c r="M5401" i="1"/>
  <c r="N5401" i="1"/>
  <c r="M5364" i="1"/>
  <c r="N5364" i="1"/>
  <c r="M5341" i="1"/>
  <c r="N5341" i="1"/>
  <c r="M5317" i="1"/>
  <c r="N5317" i="1"/>
  <c r="M5209" i="1"/>
  <c r="N5209" i="1"/>
  <c r="M5152" i="1"/>
  <c r="N5152" i="1"/>
  <c r="M5098" i="1"/>
  <c r="N5098" i="1"/>
  <c r="M5051" i="1"/>
  <c r="N5051" i="1"/>
  <c r="M5020" i="1"/>
  <c r="N5020" i="1"/>
  <c r="M4822" i="1"/>
  <c r="N4822" i="1"/>
  <c r="M4730" i="1"/>
  <c r="N4730" i="1"/>
  <c r="M4682" i="1"/>
  <c r="N4682" i="1"/>
  <c r="M4667" i="1"/>
  <c r="N4667" i="1"/>
  <c r="M4646" i="1"/>
  <c r="N4646" i="1"/>
  <c r="M4086" i="1"/>
  <c r="N4086" i="1"/>
  <c r="M3969" i="1"/>
  <c r="N3969" i="1"/>
  <c r="M3922" i="1"/>
  <c r="N3922" i="1"/>
  <c r="M3882" i="1"/>
  <c r="N3882" i="1"/>
  <c r="M3606" i="1"/>
  <c r="N3606" i="1"/>
  <c r="M3590" i="1"/>
  <c r="N3590" i="1"/>
  <c r="M3551" i="1"/>
  <c r="N3551" i="1"/>
  <c r="M3442" i="1"/>
  <c r="N3442" i="1"/>
  <c r="M3228" i="1"/>
  <c r="N3228" i="1"/>
  <c r="M3188" i="1"/>
  <c r="N3188" i="1"/>
  <c r="M3144" i="1"/>
  <c r="N3144" i="1"/>
  <c r="M3107" i="1"/>
  <c r="N3107" i="1"/>
  <c r="M3060" i="1"/>
  <c r="N3060" i="1"/>
  <c r="M3013" i="1"/>
  <c r="N3013" i="1"/>
  <c r="M2968" i="1"/>
  <c r="N2968" i="1"/>
  <c r="M2841" i="1"/>
  <c r="N2841" i="1"/>
  <c r="M2536" i="1"/>
  <c r="N2536" i="1"/>
  <c r="M2496" i="1"/>
  <c r="N2496" i="1"/>
  <c r="M1579" i="1"/>
  <c r="N1579" i="1"/>
  <c r="M1523" i="1"/>
  <c r="N1523" i="1"/>
  <c r="M1277" i="1"/>
  <c r="N1277" i="1"/>
  <c r="M479" i="1"/>
  <c r="N479" i="1"/>
  <c r="M6781" i="1"/>
  <c r="N6781" i="1"/>
  <c r="M6730" i="1"/>
  <c r="N6730" i="1"/>
  <c r="M6673" i="1"/>
  <c r="N6673" i="1"/>
  <c r="M6561" i="1"/>
  <c r="N6561" i="1"/>
  <c r="M6538" i="1"/>
  <c r="N6538" i="1"/>
  <c r="M6476" i="1"/>
  <c r="N6476" i="1"/>
  <c r="M6410" i="1"/>
  <c r="N6410" i="1"/>
  <c r="M6312" i="1"/>
  <c r="N6312" i="1"/>
  <c r="M6277" i="1"/>
  <c r="N6277" i="1"/>
  <c r="M6235" i="1"/>
  <c r="N6235" i="1"/>
  <c r="M6056" i="1"/>
  <c r="N6056" i="1"/>
  <c r="M6012" i="1"/>
  <c r="N6012" i="1"/>
  <c r="M5967" i="1"/>
  <c r="N5967" i="1"/>
  <c r="M5779" i="1"/>
  <c r="N5779" i="1"/>
  <c r="M5720" i="1"/>
  <c r="N5720" i="1"/>
  <c r="M5675" i="1"/>
  <c r="N5675" i="1"/>
  <c r="M5623" i="1"/>
  <c r="N5623" i="1"/>
  <c r="M5574" i="1"/>
  <c r="N5574" i="1"/>
  <c r="M5503" i="1"/>
  <c r="N5503" i="1"/>
  <c r="M4638" i="1"/>
  <c r="N4638" i="1"/>
  <c r="M4588" i="1"/>
  <c r="N4588" i="1"/>
  <c r="M4389" i="1"/>
  <c r="N4389" i="1"/>
  <c r="M4350" i="1"/>
  <c r="N4350" i="1"/>
  <c r="M4260" i="1"/>
  <c r="N4260" i="1"/>
  <c r="M4213" i="1"/>
  <c r="N4213" i="1"/>
  <c r="M4182" i="1"/>
  <c r="N4182" i="1"/>
  <c r="M4160" i="1"/>
  <c r="N4160" i="1"/>
  <c r="M4115" i="1"/>
  <c r="N4115" i="1"/>
  <c r="M4069" i="1"/>
  <c r="N4069" i="1"/>
  <c r="M4000" i="1"/>
  <c r="N4000" i="1"/>
  <c r="M3944" i="1"/>
  <c r="N3944" i="1"/>
  <c r="M3881" i="1"/>
  <c r="N3881" i="1"/>
  <c r="M3724" i="1"/>
  <c r="N3724" i="1"/>
  <c r="M3685" i="1"/>
  <c r="N3685" i="1"/>
  <c r="M3640" i="1"/>
  <c r="N3640" i="1"/>
  <c r="M3473" i="1"/>
  <c r="N3473" i="1"/>
  <c r="M3389" i="1"/>
  <c r="N3389" i="1"/>
  <c r="M3273" i="1"/>
  <c r="N3273" i="1"/>
  <c r="M3243" i="1"/>
  <c r="N3243" i="1"/>
  <c r="M3219" i="1"/>
  <c r="N3219" i="1"/>
  <c r="M2694" i="1"/>
  <c r="N2694" i="1"/>
  <c r="M2643" i="1"/>
  <c r="N2643" i="1"/>
  <c r="M2598" i="1"/>
  <c r="N2598" i="1"/>
  <c r="M2551" i="1"/>
  <c r="N2551" i="1"/>
  <c r="M1952" i="1"/>
  <c r="N1952" i="1"/>
  <c r="M1912" i="1"/>
  <c r="N1912" i="1"/>
  <c r="M1562" i="1"/>
  <c r="N1562" i="1"/>
  <c r="M1470" i="1"/>
  <c r="N1470" i="1"/>
  <c r="M1435" i="1"/>
  <c r="N1435" i="1"/>
  <c r="M448" i="1"/>
  <c r="N448" i="1"/>
  <c r="M241" i="1"/>
  <c r="N241" i="1"/>
  <c r="M6752" i="1"/>
  <c r="N6752" i="1"/>
  <c r="M6700" i="1"/>
  <c r="N6700" i="1"/>
  <c r="M6602" i="1"/>
  <c r="N6602" i="1"/>
  <c r="M6560" i="1"/>
  <c r="N6560" i="1"/>
  <c r="M6467" i="1"/>
  <c r="N6467" i="1"/>
  <c r="M6446" i="1"/>
  <c r="N6446" i="1"/>
  <c r="M6401" i="1"/>
  <c r="N6401" i="1"/>
  <c r="M6361" i="1"/>
  <c r="N6361" i="1"/>
  <c r="M6298" i="1"/>
  <c r="N6298" i="1"/>
  <c r="N6248" i="1"/>
  <c r="M6248" i="1"/>
  <c r="M6173" i="1"/>
  <c r="N6173" i="1"/>
  <c r="M6126" i="1"/>
  <c r="N6126" i="1"/>
  <c r="M6084" i="1"/>
  <c r="N6084" i="1"/>
  <c r="M6040" i="1"/>
  <c r="N6040" i="1"/>
  <c r="M5995" i="1"/>
  <c r="N5995" i="1"/>
  <c r="M5966" i="1"/>
  <c r="N5966" i="1"/>
  <c r="M5874" i="1"/>
  <c r="N5874" i="1"/>
  <c r="M5838" i="1"/>
  <c r="N5838" i="1"/>
  <c r="M5807" i="1"/>
  <c r="N5807" i="1"/>
  <c r="M5793" i="1"/>
  <c r="N5793" i="1"/>
  <c r="M5763" i="1"/>
  <c r="N5763" i="1"/>
  <c r="M5749" i="1"/>
  <c r="N5749" i="1"/>
  <c r="M5719" i="1"/>
  <c r="N5719" i="1"/>
  <c r="M5681" i="1"/>
  <c r="N5681" i="1"/>
  <c r="N5608" i="1"/>
  <c r="M5608" i="1"/>
  <c r="N5573" i="1"/>
  <c r="M5573" i="1"/>
  <c r="M5559" i="1"/>
  <c r="N5559" i="1"/>
  <c r="M5502" i="1"/>
  <c r="N5502" i="1"/>
  <c r="M5440" i="1"/>
  <c r="N5440" i="1"/>
  <c r="M5427" i="1"/>
  <c r="N5427" i="1"/>
  <c r="M5385" i="1"/>
  <c r="N5385" i="1"/>
  <c r="M5346" i="1"/>
  <c r="N5346" i="1"/>
  <c r="M5322" i="1"/>
  <c r="N5322" i="1"/>
  <c r="M5309" i="1"/>
  <c r="N5309" i="1"/>
  <c r="M5282" i="1"/>
  <c r="N5282" i="1"/>
  <c r="M5244" i="1"/>
  <c r="N5244" i="1"/>
  <c r="M5207" i="1"/>
  <c r="N5207" i="1"/>
  <c r="M5185" i="1"/>
  <c r="N5185" i="1"/>
  <c r="M5164" i="1"/>
  <c r="N5164" i="1"/>
  <c r="M5127" i="1"/>
  <c r="N5127" i="1"/>
  <c r="M5002" i="1"/>
  <c r="N5002" i="1"/>
  <c r="M4962" i="1"/>
  <c r="N4962" i="1"/>
  <c r="M4922" i="1"/>
  <c r="N4922" i="1"/>
  <c r="M4884" i="1"/>
  <c r="N4884" i="1"/>
  <c r="M4844" i="1"/>
  <c r="N4844" i="1"/>
  <c r="M4796" i="1"/>
  <c r="N4796" i="1"/>
  <c r="M4758" i="1"/>
  <c r="N4758" i="1"/>
  <c r="M4728" i="1"/>
  <c r="N4728" i="1"/>
  <c r="M4688" i="1"/>
  <c r="N4688" i="1"/>
  <c r="M4579" i="1"/>
  <c r="N4579" i="1"/>
  <c r="M4463" i="1"/>
  <c r="N4463" i="1"/>
  <c r="M4419" i="1"/>
  <c r="N4419" i="1"/>
  <c r="N4396" i="1"/>
  <c r="M4396" i="1"/>
  <c r="M4380" i="1"/>
  <c r="N4380" i="1"/>
  <c r="M4341" i="1"/>
  <c r="N4341" i="1"/>
  <c r="M4275" i="1"/>
  <c r="N4275" i="1"/>
  <c r="M4235" i="1"/>
  <c r="N4235" i="1"/>
  <c r="M4197" i="1"/>
  <c r="N4197" i="1"/>
  <c r="M4114" i="1"/>
  <c r="N4114" i="1"/>
  <c r="M4046" i="1"/>
  <c r="N4046" i="1"/>
  <c r="M3999" i="1"/>
  <c r="N3999" i="1"/>
  <c r="M3959" i="1"/>
  <c r="N3959" i="1"/>
  <c r="M3912" i="1"/>
  <c r="N3912" i="1"/>
  <c r="N3755" i="1"/>
  <c r="M3755" i="1"/>
  <c r="M3708" i="1"/>
  <c r="N3708" i="1"/>
  <c r="M3639" i="1"/>
  <c r="N3639" i="1"/>
  <c r="M3542" i="1"/>
  <c r="N3542" i="1"/>
  <c r="M3503" i="1"/>
  <c r="N3503" i="1"/>
  <c r="N3402" i="1"/>
  <c r="M3402" i="1"/>
  <c r="M3295" i="1"/>
  <c r="N3295" i="1"/>
  <c r="M3272" i="1"/>
  <c r="N3272" i="1"/>
  <c r="M3234" i="1"/>
  <c r="N3234" i="1"/>
  <c r="M2785" i="1"/>
  <c r="N2785" i="1"/>
  <c r="M2748" i="1"/>
  <c r="N2748" i="1"/>
  <c r="M2709" i="1"/>
  <c r="N2709" i="1"/>
  <c r="M2670" i="1"/>
  <c r="N2670" i="1"/>
  <c r="M2634" i="1"/>
  <c r="N2634" i="1"/>
  <c r="M2597" i="1"/>
  <c r="N2597" i="1"/>
  <c r="M2550" i="1"/>
  <c r="N2550" i="1"/>
  <c r="M2387" i="1"/>
  <c r="N2387" i="1"/>
  <c r="M2347" i="1"/>
  <c r="N2347" i="1"/>
  <c r="M2316" i="1"/>
  <c r="N2316" i="1"/>
  <c r="M2132" i="1"/>
  <c r="N2132" i="1"/>
  <c r="M2109" i="1"/>
  <c r="N2109" i="1"/>
  <c r="M2088" i="1"/>
  <c r="N2088" i="1"/>
  <c r="M2041" i="1"/>
  <c r="N2041" i="1"/>
  <c r="M2003" i="1"/>
  <c r="N2003" i="1"/>
  <c r="M1972" i="1"/>
  <c r="N1972" i="1"/>
  <c r="M1935" i="1"/>
  <c r="N1935" i="1"/>
  <c r="M1897" i="1"/>
  <c r="N1897" i="1"/>
  <c r="M1247" i="1"/>
  <c r="N1247" i="1"/>
  <c r="M1240" i="1"/>
  <c r="N1240" i="1"/>
  <c r="M1224" i="1"/>
  <c r="N1224" i="1"/>
  <c r="M708" i="1"/>
  <c r="N708" i="1"/>
  <c r="M677" i="1"/>
  <c r="N677" i="1"/>
  <c r="M470" i="1"/>
  <c r="N470" i="1"/>
  <c r="M29" i="1"/>
  <c r="N29" i="1"/>
  <c r="M6771" i="1"/>
  <c r="N6771" i="1"/>
  <c r="M6635" i="1"/>
  <c r="N6635" i="1"/>
  <c r="M6601" i="1"/>
  <c r="N6601" i="1"/>
  <c r="M6559" i="1"/>
  <c r="N6559" i="1"/>
  <c r="M6503" i="1"/>
  <c r="N6503" i="1"/>
  <c r="M6466" i="1"/>
  <c r="N6466" i="1"/>
  <c r="M6187" i="1"/>
  <c r="N6187" i="1"/>
  <c r="M6133" i="1"/>
  <c r="N6133" i="1"/>
  <c r="M6097" i="1"/>
  <c r="N6097" i="1"/>
  <c r="M6067" i="1"/>
  <c r="N6067" i="1"/>
  <c r="M6032" i="1"/>
  <c r="N6032" i="1"/>
  <c r="M6002" i="1"/>
  <c r="N6002" i="1"/>
  <c r="M5936" i="1"/>
  <c r="N5936" i="1"/>
  <c r="M5921" i="1"/>
  <c r="N5921" i="1"/>
  <c r="M5908" i="1"/>
  <c r="N5908" i="1"/>
  <c r="M5893" i="1"/>
  <c r="N5893" i="1"/>
  <c r="M5829" i="1"/>
  <c r="N5829" i="1"/>
  <c r="N5785" i="1"/>
  <c r="M5785" i="1"/>
  <c r="N5755" i="1"/>
  <c r="M5755" i="1"/>
  <c r="M5734" i="1"/>
  <c r="N5734" i="1"/>
  <c r="M5711" i="1"/>
  <c r="N5711" i="1"/>
  <c r="M5680" i="1"/>
  <c r="N5680" i="1"/>
  <c r="M5652" i="1"/>
  <c r="N5652" i="1"/>
  <c r="M5629" i="1"/>
  <c r="N5629" i="1"/>
  <c r="M5600" i="1"/>
  <c r="N5600" i="1"/>
  <c r="M5537" i="1"/>
  <c r="N5537" i="1"/>
  <c r="M5477" i="1"/>
  <c r="N5477" i="1"/>
  <c r="M5454" i="1"/>
  <c r="N5454" i="1"/>
  <c r="M5432" i="1"/>
  <c r="N5432" i="1"/>
  <c r="M5411" i="1"/>
  <c r="N5411" i="1"/>
  <c r="M5391" i="1"/>
  <c r="N5391" i="1"/>
  <c r="M5353" i="1"/>
  <c r="N5353" i="1"/>
  <c r="M5321" i="1"/>
  <c r="N5321" i="1"/>
  <c r="M5288" i="1"/>
  <c r="N5288" i="1"/>
  <c r="M5258" i="1"/>
  <c r="N5258" i="1"/>
  <c r="M5177" i="1"/>
  <c r="N5177" i="1"/>
  <c r="M5170" i="1"/>
  <c r="N5170" i="1"/>
  <c r="M5163" i="1"/>
  <c r="N5163" i="1"/>
  <c r="M5156" i="1"/>
  <c r="N5156" i="1"/>
  <c r="M5149" i="1"/>
  <c r="N5149" i="1"/>
  <c r="M5142" i="1"/>
  <c r="N5142" i="1"/>
  <c r="M5134" i="1"/>
  <c r="N5134" i="1"/>
  <c r="M5126" i="1"/>
  <c r="N5126" i="1"/>
  <c r="M5118" i="1"/>
  <c r="N5118" i="1"/>
  <c r="M5110" i="1"/>
  <c r="N5110" i="1"/>
  <c r="M5102" i="1"/>
  <c r="N5102" i="1"/>
  <c r="M5095" i="1"/>
  <c r="N5095" i="1"/>
  <c r="M5087" i="1"/>
  <c r="N5087" i="1"/>
  <c r="M5079" i="1"/>
  <c r="N5079" i="1"/>
  <c r="M5072" i="1"/>
  <c r="N5072" i="1"/>
  <c r="M5064" i="1"/>
  <c r="N5064" i="1"/>
  <c r="M5056" i="1"/>
  <c r="N5056" i="1"/>
  <c r="N5048" i="1"/>
  <c r="M5048" i="1"/>
  <c r="M5040" i="1"/>
  <c r="N5040" i="1"/>
  <c r="M5032" i="1"/>
  <c r="N5032" i="1"/>
  <c r="M5025" i="1"/>
  <c r="N5025" i="1"/>
  <c r="M5017" i="1"/>
  <c r="N5017" i="1"/>
  <c r="M5009" i="1"/>
  <c r="N5009" i="1"/>
  <c r="N5001" i="1"/>
  <c r="M5001" i="1"/>
  <c r="N4993" i="1"/>
  <c r="M4993" i="1"/>
  <c r="M4985" i="1"/>
  <c r="N4985" i="1"/>
  <c r="M4977" i="1"/>
  <c r="N4977" i="1"/>
  <c r="M4969" i="1"/>
  <c r="N4969" i="1"/>
  <c r="M4961" i="1"/>
  <c r="N4961" i="1"/>
  <c r="M4953" i="1"/>
  <c r="N4953" i="1"/>
  <c r="M4563" i="1"/>
  <c r="N4563" i="1"/>
  <c r="M4541" i="1"/>
  <c r="N4541" i="1"/>
  <c r="M4533" i="1"/>
  <c r="N4533" i="1"/>
  <c r="M4526" i="1"/>
  <c r="N4526" i="1"/>
  <c r="M4519" i="1"/>
  <c r="N4519" i="1"/>
  <c r="M4512" i="1"/>
  <c r="N4512" i="1"/>
  <c r="M4505" i="1"/>
  <c r="N4505" i="1"/>
  <c r="M4498" i="1"/>
  <c r="N4498" i="1"/>
  <c r="M4492" i="1"/>
  <c r="N4492" i="1"/>
  <c r="N4484" i="1"/>
  <c r="M4484" i="1"/>
  <c r="M4477" i="1"/>
  <c r="N4477" i="1"/>
  <c r="M4469" i="1"/>
  <c r="N4469" i="1"/>
  <c r="M4462" i="1"/>
  <c r="N4462" i="1"/>
  <c r="M4454" i="1"/>
  <c r="N4454" i="1"/>
  <c r="M4447" i="1"/>
  <c r="N4447" i="1"/>
  <c r="M4432" i="1"/>
  <c r="N4432" i="1"/>
  <c r="M4418" i="1"/>
  <c r="N4418" i="1"/>
  <c r="M4411" i="1"/>
  <c r="N4411" i="1"/>
  <c r="M4403" i="1"/>
  <c r="N4403" i="1"/>
  <c r="M4395" i="1"/>
  <c r="N4395" i="1"/>
  <c r="M4387" i="1"/>
  <c r="N4387" i="1"/>
  <c r="M4379" i="1"/>
  <c r="N4379" i="1"/>
  <c r="M4340" i="1"/>
  <c r="N4340" i="1"/>
  <c r="M4332" i="1"/>
  <c r="N4332" i="1"/>
  <c r="M4324" i="1"/>
  <c r="N4324" i="1"/>
  <c r="M4317" i="1"/>
  <c r="N4317" i="1"/>
  <c r="M4310" i="1"/>
  <c r="N4310" i="1"/>
  <c r="M4302" i="1"/>
  <c r="N4302" i="1"/>
  <c r="M4295" i="1"/>
  <c r="N4295" i="1"/>
  <c r="M4288" i="1"/>
  <c r="N4288" i="1"/>
  <c r="M4281" i="1"/>
  <c r="N4281" i="1"/>
  <c r="M4274" i="1"/>
  <c r="N4274" i="1"/>
  <c r="M4266" i="1"/>
  <c r="N4266" i="1"/>
  <c r="N4258" i="1"/>
  <c r="M4258" i="1"/>
  <c r="M4250" i="1"/>
  <c r="N4250" i="1"/>
  <c r="M4242" i="1"/>
  <c r="N4242" i="1"/>
  <c r="M4234" i="1"/>
  <c r="N4234" i="1"/>
  <c r="M4226" i="1"/>
  <c r="N4226" i="1"/>
  <c r="M4218" i="1"/>
  <c r="N4218" i="1"/>
  <c r="M4211" i="1"/>
  <c r="N4211" i="1"/>
  <c r="M4203" i="1"/>
  <c r="N4203" i="1"/>
  <c r="M4196" i="1"/>
  <c r="N4196" i="1"/>
  <c r="M4188" i="1"/>
  <c r="N4188" i="1"/>
  <c r="M4180" i="1"/>
  <c r="N4180" i="1"/>
  <c r="M4173" i="1"/>
  <c r="N4173" i="1"/>
  <c r="M4159" i="1"/>
  <c r="N4159" i="1"/>
  <c r="M4152" i="1"/>
  <c r="N4152" i="1"/>
  <c r="M4144" i="1"/>
  <c r="N4144" i="1"/>
  <c r="M4137" i="1"/>
  <c r="N4137" i="1"/>
  <c r="M4129" i="1"/>
  <c r="N4129" i="1"/>
  <c r="M4121" i="1"/>
  <c r="N4121" i="1"/>
  <c r="M4113" i="1"/>
  <c r="N4113" i="1"/>
  <c r="M4105" i="1"/>
  <c r="N4105" i="1"/>
  <c r="M4052" i="1"/>
  <c r="N4052" i="1"/>
  <c r="M3793" i="1"/>
  <c r="N3793" i="1"/>
  <c r="M3785" i="1"/>
  <c r="N3785" i="1"/>
  <c r="M3778" i="1"/>
  <c r="N3778" i="1"/>
  <c r="M3770" i="1"/>
  <c r="N3770" i="1"/>
  <c r="M3762" i="1"/>
  <c r="N3762" i="1"/>
  <c r="M3754" i="1"/>
  <c r="N3754" i="1"/>
  <c r="M3746" i="1"/>
  <c r="N3746" i="1"/>
  <c r="M3738" i="1"/>
  <c r="N3738" i="1"/>
  <c r="M3730" i="1"/>
  <c r="N3730" i="1"/>
  <c r="M3715" i="1"/>
  <c r="N3715" i="1"/>
  <c r="M3707" i="1"/>
  <c r="N3707" i="1"/>
  <c r="M3699" i="1"/>
  <c r="N3699" i="1"/>
  <c r="M3691" i="1"/>
  <c r="N3691" i="1"/>
  <c r="M3683" i="1"/>
  <c r="N3683" i="1"/>
  <c r="M3676" i="1"/>
  <c r="N3676" i="1"/>
  <c r="M3668" i="1"/>
  <c r="N3668" i="1"/>
  <c r="M3660" i="1"/>
  <c r="N3660" i="1"/>
  <c r="M3653" i="1"/>
  <c r="N3653" i="1"/>
  <c r="M3646" i="1"/>
  <c r="N3646" i="1"/>
  <c r="M3618" i="1"/>
  <c r="N3618" i="1"/>
  <c r="M3611" i="1"/>
  <c r="N3611" i="1"/>
  <c r="M3603" i="1"/>
  <c r="N3603" i="1"/>
  <c r="M3595" i="1"/>
  <c r="N3595" i="1"/>
  <c r="M3587" i="1"/>
  <c r="N3587" i="1"/>
  <c r="M3580" i="1"/>
  <c r="N3580" i="1"/>
  <c r="M3572" i="1"/>
  <c r="N3572" i="1"/>
  <c r="M3564" i="1"/>
  <c r="N3564" i="1"/>
  <c r="M3556" i="1"/>
  <c r="N3556" i="1"/>
  <c r="M3549" i="1"/>
  <c r="N3549" i="1"/>
  <c r="M3541" i="1"/>
  <c r="N3541" i="1"/>
  <c r="M3533" i="1"/>
  <c r="N3533" i="1"/>
  <c r="M3526" i="1"/>
  <c r="N3526" i="1"/>
  <c r="M3518" i="1"/>
  <c r="N3518" i="1"/>
  <c r="M3510" i="1"/>
  <c r="N3510" i="1"/>
  <c r="M3463" i="1"/>
  <c r="N3463" i="1"/>
  <c r="M3455" i="1"/>
  <c r="N3455" i="1"/>
  <c r="M3447" i="1"/>
  <c r="N3447" i="1"/>
  <c r="M3439" i="1"/>
  <c r="N3439" i="1"/>
  <c r="M3431" i="1"/>
  <c r="N3431" i="1"/>
  <c r="M3423" i="1"/>
  <c r="N3423" i="1"/>
  <c r="M3416" i="1"/>
  <c r="N3416" i="1"/>
  <c r="M3408" i="1"/>
  <c r="N3408" i="1"/>
  <c r="M3372" i="1"/>
  <c r="N3372" i="1"/>
  <c r="M3364" i="1"/>
  <c r="N3364" i="1"/>
  <c r="M3356" i="1"/>
  <c r="N3356" i="1"/>
  <c r="N3348" i="1"/>
  <c r="M3348" i="1"/>
  <c r="M3341" i="1"/>
  <c r="N3341" i="1"/>
  <c r="M3333" i="1"/>
  <c r="N3333" i="1"/>
  <c r="M3326" i="1"/>
  <c r="N3326" i="1"/>
  <c r="M3318" i="1"/>
  <c r="N3318" i="1"/>
  <c r="M3233" i="1"/>
  <c r="N3233" i="1"/>
  <c r="M3225" i="1"/>
  <c r="N3225" i="1"/>
  <c r="M3065" i="1"/>
  <c r="N3065" i="1"/>
  <c r="M2958" i="1"/>
  <c r="N2958" i="1"/>
  <c r="M2951" i="1"/>
  <c r="N2951" i="1"/>
  <c r="M2944" i="1"/>
  <c r="N2944" i="1"/>
  <c r="N2936" i="1"/>
  <c r="M2936" i="1"/>
  <c r="M2929" i="1"/>
  <c r="N2929" i="1"/>
  <c r="M2921" i="1"/>
  <c r="N2921" i="1"/>
  <c r="M2915" i="1"/>
  <c r="N2915" i="1"/>
  <c r="M2907" i="1"/>
  <c r="N2907" i="1"/>
  <c r="M2900" i="1"/>
  <c r="N2900" i="1"/>
  <c r="M2893" i="1"/>
  <c r="N2893" i="1"/>
  <c r="M2885" i="1"/>
  <c r="N2885" i="1"/>
  <c r="M2877" i="1"/>
  <c r="N2877" i="1"/>
  <c r="M2869" i="1"/>
  <c r="N2869" i="1"/>
  <c r="M2862" i="1"/>
  <c r="N2862" i="1"/>
  <c r="M2854" i="1"/>
  <c r="N2854" i="1"/>
  <c r="M2846" i="1"/>
  <c r="N2846" i="1"/>
  <c r="M2838" i="1"/>
  <c r="N2838" i="1"/>
  <c r="M2830" i="1"/>
  <c r="N2830" i="1"/>
  <c r="M2822" i="1"/>
  <c r="N2822" i="1"/>
  <c r="M2815" i="1"/>
  <c r="N2815" i="1"/>
  <c r="M2799" i="1"/>
  <c r="N2799" i="1"/>
  <c r="M2791" i="1"/>
  <c r="N2791" i="1"/>
  <c r="M2784" i="1"/>
  <c r="N2784" i="1"/>
  <c r="M2776" i="1"/>
  <c r="N2776" i="1"/>
  <c r="M2769" i="1"/>
  <c r="N2769" i="1"/>
  <c r="M2762" i="1"/>
  <c r="N2762" i="1"/>
  <c r="M2755" i="1"/>
  <c r="N2755" i="1"/>
  <c r="M2747" i="1"/>
  <c r="N2747" i="1"/>
  <c r="M2739" i="1"/>
  <c r="N2739" i="1"/>
  <c r="M2731" i="1"/>
  <c r="N2731" i="1"/>
  <c r="M2724" i="1"/>
  <c r="N2724" i="1"/>
  <c r="M2716" i="1"/>
  <c r="N2716" i="1"/>
  <c r="M2440" i="1"/>
  <c r="N2440" i="1"/>
  <c r="M2432" i="1"/>
  <c r="N2432" i="1"/>
  <c r="M2424" i="1"/>
  <c r="N2424" i="1"/>
  <c r="M2416" i="1"/>
  <c r="N2416" i="1"/>
  <c r="M2408" i="1"/>
  <c r="N2408" i="1"/>
  <c r="M2400" i="1"/>
  <c r="N2400" i="1"/>
  <c r="M2393" i="1"/>
  <c r="N2393" i="1"/>
  <c r="M2386" i="1"/>
  <c r="N2386" i="1"/>
  <c r="M2378" i="1"/>
  <c r="N2378" i="1"/>
  <c r="M2370" i="1"/>
  <c r="N2370" i="1"/>
  <c r="M2362" i="1"/>
  <c r="N2362" i="1"/>
  <c r="M2354" i="1"/>
  <c r="N2354" i="1"/>
  <c r="M2346" i="1"/>
  <c r="N2346" i="1"/>
  <c r="M2338" i="1"/>
  <c r="N2338" i="1"/>
  <c r="M2331" i="1"/>
  <c r="N2331" i="1"/>
  <c r="M2323" i="1"/>
  <c r="N2323" i="1"/>
  <c r="M2315" i="1"/>
  <c r="N2315" i="1"/>
  <c r="M2307" i="1"/>
  <c r="N2307" i="1"/>
  <c r="M2299" i="1"/>
  <c r="N2299" i="1"/>
  <c r="M2193" i="1"/>
  <c r="N2193" i="1"/>
  <c r="M2185" i="1"/>
  <c r="N2185" i="1"/>
  <c r="M2178" i="1"/>
  <c r="N2178" i="1"/>
  <c r="M2170" i="1"/>
  <c r="N2170" i="1"/>
  <c r="M2162" i="1"/>
  <c r="N2162" i="1"/>
  <c r="M2154" i="1"/>
  <c r="N2154" i="1"/>
  <c r="N2147" i="1"/>
  <c r="M2147" i="1"/>
  <c r="M2139" i="1"/>
  <c r="N2139" i="1"/>
  <c r="M2131" i="1"/>
  <c r="N2131" i="1"/>
  <c r="M2123" i="1"/>
  <c r="N2123" i="1"/>
  <c r="M2115" i="1"/>
  <c r="N2115" i="1"/>
  <c r="M2108" i="1"/>
  <c r="N2108" i="1"/>
  <c r="M2101" i="1"/>
  <c r="N2101" i="1"/>
  <c r="M2094" i="1"/>
  <c r="N2094" i="1"/>
  <c r="M2087" i="1"/>
  <c r="N2087" i="1"/>
  <c r="M2080" i="1"/>
  <c r="N2080" i="1"/>
  <c r="M2072" i="1"/>
  <c r="N2072" i="1"/>
  <c r="M2064" i="1"/>
  <c r="N2064" i="1"/>
  <c r="M2056" i="1"/>
  <c r="N2056" i="1"/>
  <c r="M2048" i="1"/>
  <c r="N2048" i="1"/>
  <c r="M2040" i="1"/>
  <c r="N2040" i="1"/>
  <c r="M2033" i="1"/>
  <c r="N2033" i="1"/>
  <c r="M2018" i="1"/>
  <c r="N2018" i="1"/>
  <c r="M2010" i="1"/>
  <c r="N2010" i="1"/>
  <c r="M2002" i="1"/>
  <c r="N2002" i="1"/>
  <c r="M1994" i="1"/>
  <c r="N1994" i="1"/>
  <c r="M1986" i="1"/>
  <c r="N1986" i="1"/>
  <c r="M1978" i="1"/>
  <c r="N1978" i="1"/>
  <c r="M1971" i="1"/>
  <c r="N1971" i="1"/>
  <c r="M1963" i="1"/>
  <c r="N1963" i="1"/>
  <c r="M1957" i="1"/>
  <c r="N1957" i="1"/>
  <c r="M1950" i="1"/>
  <c r="N1950" i="1"/>
  <c r="M1942" i="1"/>
  <c r="N1942" i="1"/>
  <c r="M1934" i="1"/>
  <c r="N1934" i="1"/>
  <c r="M1926" i="1"/>
  <c r="N1926" i="1"/>
  <c r="M1918" i="1"/>
  <c r="N1918" i="1"/>
  <c r="M1818" i="1"/>
  <c r="N1818" i="1"/>
  <c r="M1810" i="1"/>
  <c r="N1810" i="1"/>
  <c r="M1802" i="1"/>
  <c r="N1802" i="1"/>
  <c r="M1794" i="1"/>
  <c r="N1794" i="1"/>
  <c r="M1786" i="1"/>
  <c r="N1786" i="1"/>
  <c r="M1778" i="1"/>
  <c r="N1778" i="1"/>
  <c r="M1770" i="1"/>
  <c r="N1770" i="1"/>
  <c r="M1763" i="1"/>
  <c r="N1763" i="1"/>
  <c r="M1755" i="1"/>
  <c r="N1755" i="1"/>
  <c r="M1747" i="1"/>
  <c r="N1747" i="1"/>
  <c r="M1739" i="1"/>
  <c r="N1739" i="1"/>
  <c r="N1731" i="1"/>
  <c r="M1731" i="1"/>
  <c r="M1723" i="1"/>
  <c r="N1723" i="1"/>
  <c r="M1715" i="1"/>
  <c r="N1715" i="1"/>
  <c r="M1707" i="1"/>
  <c r="N1707" i="1"/>
  <c r="M1700" i="1"/>
  <c r="N1700" i="1"/>
  <c r="M1693" i="1"/>
  <c r="N1693" i="1"/>
  <c r="M1685" i="1"/>
  <c r="N1685" i="1"/>
  <c r="M1677" i="1"/>
  <c r="N1677" i="1"/>
  <c r="M1669" i="1"/>
  <c r="N1669" i="1"/>
  <c r="M1662" i="1"/>
  <c r="N1662" i="1"/>
  <c r="M1654" i="1"/>
  <c r="N1654" i="1"/>
  <c r="M1646" i="1"/>
  <c r="N1646" i="1"/>
  <c r="M1638" i="1"/>
  <c r="N1638" i="1"/>
  <c r="M1630" i="1"/>
  <c r="N1630" i="1"/>
  <c r="M1622" i="1"/>
  <c r="N1622" i="1"/>
  <c r="M1343" i="1"/>
  <c r="N1343" i="1"/>
  <c r="M1335" i="1"/>
  <c r="N1335" i="1"/>
  <c r="M1327" i="1"/>
  <c r="N1327" i="1"/>
  <c r="M1319" i="1"/>
  <c r="N1319" i="1"/>
  <c r="M1312" i="1"/>
  <c r="N1312" i="1"/>
  <c r="M1305" i="1"/>
  <c r="N1305" i="1"/>
  <c r="M1298" i="1"/>
  <c r="N1298" i="1"/>
  <c r="M1290" i="1"/>
  <c r="N1290" i="1"/>
  <c r="M1282" i="1"/>
  <c r="N1282" i="1"/>
  <c r="M1274" i="1"/>
  <c r="N1274" i="1"/>
  <c r="M1266" i="1"/>
  <c r="N1266" i="1"/>
  <c r="M1260" i="1"/>
  <c r="N1260" i="1"/>
  <c r="M1253" i="1"/>
  <c r="N1253" i="1"/>
  <c r="M484" i="1"/>
  <c r="N484" i="1"/>
  <c r="M477" i="1"/>
  <c r="N477" i="1"/>
  <c r="M469" i="1"/>
  <c r="N469" i="1"/>
  <c r="M462" i="1"/>
  <c r="N462" i="1"/>
  <c r="M185" i="1"/>
  <c r="N185" i="1"/>
  <c r="M177" i="1"/>
  <c r="N177" i="1"/>
  <c r="M169" i="1"/>
  <c r="N169" i="1"/>
  <c r="M161" i="1"/>
  <c r="N161" i="1"/>
  <c r="M154" i="1"/>
  <c r="N154" i="1"/>
  <c r="M146" i="1"/>
  <c r="N146" i="1"/>
  <c r="M138" i="1"/>
  <c r="N138" i="1"/>
  <c r="M130" i="1"/>
  <c r="N130" i="1"/>
  <c r="M122" i="1"/>
  <c r="N122" i="1"/>
  <c r="M114" i="1"/>
  <c r="N114" i="1"/>
  <c r="M106" i="1"/>
  <c r="N106" i="1"/>
  <c r="M99" i="1"/>
  <c r="N99" i="1"/>
  <c r="M91" i="1"/>
  <c r="N91" i="1"/>
  <c r="M83" i="1"/>
  <c r="N83" i="1"/>
  <c r="M76" i="1"/>
  <c r="N76" i="1"/>
  <c r="M68" i="1"/>
  <c r="N68" i="1"/>
  <c r="M60" i="1"/>
  <c r="N60" i="1"/>
  <c r="M52" i="1"/>
  <c r="N52" i="1"/>
  <c r="M5192" i="1"/>
  <c r="M5931" i="1"/>
  <c r="N5931" i="1"/>
  <c r="M5511" i="1"/>
  <c r="N5511" i="1"/>
  <c r="M5380" i="1"/>
  <c r="N5380" i="1"/>
  <c r="M5311" i="1"/>
  <c r="N5311" i="1"/>
  <c r="N5276" i="1"/>
  <c r="M5276" i="1"/>
  <c r="M5230" i="1"/>
  <c r="N5230" i="1"/>
  <c r="M5180" i="1"/>
  <c r="N5180" i="1"/>
  <c r="M5129" i="1"/>
  <c r="N5129" i="1"/>
  <c r="M5067" i="1"/>
  <c r="N5067" i="1"/>
  <c r="N5012" i="1"/>
  <c r="M5012" i="1"/>
  <c r="M4814" i="1"/>
  <c r="N4814" i="1"/>
  <c r="N4760" i="1"/>
  <c r="M4760" i="1"/>
  <c r="M4714" i="1"/>
  <c r="N4714" i="1"/>
  <c r="M4661" i="1"/>
  <c r="N4661" i="1"/>
  <c r="M4093" i="1"/>
  <c r="N4093" i="1"/>
  <c r="M4009" i="1"/>
  <c r="N4009" i="1"/>
  <c r="M3961" i="1"/>
  <c r="N3961" i="1"/>
  <c r="M3914" i="1"/>
  <c r="N3914" i="1"/>
  <c r="M3874" i="1"/>
  <c r="N3874" i="1"/>
  <c r="M3850" i="1"/>
  <c r="N3850" i="1"/>
  <c r="M3598" i="1"/>
  <c r="N3598" i="1"/>
  <c r="N3466" i="1"/>
  <c r="M3466" i="1"/>
  <c r="M3418" i="1"/>
  <c r="N3418" i="1"/>
  <c r="M3180" i="1"/>
  <c r="N3180" i="1"/>
  <c r="M3136" i="1"/>
  <c r="N3136" i="1"/>
  <c r="M3084" i="1"/>
  <c r="N3084" i="1"/>
  <c r="M3029" i="1"/>
  <c r="N3029" i="1"/>
  <c r="M2975" i="1"/>
  <c r="N2975" i="1"/>
  <c r="M2864" i="1"/>
  <c r="N2864" i="1"/>
  <c r="M2810" i="1"/>
  <c r="N2810" i="1"/>
  <c r="M2480" i="1"/>
  <c r="N2480" i="1"/>
  <c r="M1586" i="1"/>
  <c r="N1586" i="1"/>
  <c r="M1547" i="1"/>
  <c r="N1547" i="1"/>
  <c r="M1262" i="1"/>
  <c r="N1262" i="1"/>
  <c r="M6753" i="1"/>
  <c r="N6753" i="1"/>
  <c r="M6722" i="1"/>
  <c r="N6722" i="1"/>
  <c r="M6498" i="1"/>
  <c r="N6498" i="1"/>
  <c r="M6432" i="1"/>
  <c r="N6432" i="1"/>
  <c r="M6299" i="1"/>
  <c r="N6299" i="1"/>
  <c r="M6242" i="1"/>
  <c r="N6242" i="1"/>
  <c r="M6069" i="1"/>
  <c r="N6069" i="1"/>
  <c r="M6027" i="1"/>
  <c r="N6027" i="1"/>
  <c r="M5982" i="1"/>
  <c r="N5982" i="1"/>
  <c r="M5757" i="1"/>
  <c r="N5757" i="1"/>
  <c r="M5689" i="1"/>
  <c r="N5689" i="1"/>
  <c r="M5631" i="1"/>
  <c r="N5631" i="1"/>
  <c r="M5580" i="1"/>
  <c r="N5580" i="1"/>
  <c r="M5525" i="1"/>
  <c r="N5525" i="1"/>
  <c r="M4615" i="1"/>
  <c r="N4615" i="1"/>
  <c r="M4405" i="1"/>
  <c r="N4405" i="1"/>
  <c r="M4357" i="1"/>
  <c r="N4357" i="1"/>
  <c r="M4268" i="1"/>
  <c r="N4268" i="1"/>
  <c r="M4228" i="1"/>
  <c r="N4228" i="1"/>
  <c r="M4175" i="1"/>
  <c r="N4175" i="1"/>
  <c r="M4123" i="1"/>
  <c r="N4123" i="1"/>
  <c r="M4085" i="1"/>
  <c r="N4085" i="1"/>
  <c r="M4008" i="1"/>
  <c r="N4008" i="1"/>
  <c r="M3960" i="1"/>
  <c r="N3960" i="1"/>
  <c r="M3897" i="1"/>
  <c r="N3897" i="1"/>
  <c r="M3732" i="1"/>
  <c r="N3732" i="1"/>
  <c r="M3670" i="1"/>
  <c r="N3670" i="1"/>
  <c r="M3620" i="1"/>
  <c r="N3620" i="1"/>
  <c r="M3488" i="1"/>
  <c r="N3488" i="1"/>
  <c r="M3374" i="1"/>
  <c r="N3374" i="1"/>
  <c r="M3266" i="1"/>
  <c r="N3266" i="1"/>
  <c r="M3227" i="1"/>
  <c r="N3227" i="1"/>
  <c r="M2671" i="1"/>
  <c r="N2671" i="1"/>
  <c r="M2628" i="1"/>
  <c r="N2628" i="1"/>
  <c r="M2590" i="1"/>
  <c r="N2590" i="1"/>
  <c r="M2543" i="1"/>
  <c r="N2543" i="1"/>
  <c r="M1996" i="1"/>
  <c r="N1996" i="1"/>
  <c r="M1959" i="1"/>
  <c r="N1959" i="1"/>
  <c r="M1928" i="1"/>
  <c r="N1928" i="1"/>
  <c r="M1905" i="1"/>
  <c r="N1905" i="1"/>
  <c r="M1600" i="1"/>
  <c r="N1600" i="1"/>
  <c r="M1592" i="1"/>
  <c r="N1592" i="1"/>
  <c r="M1442" i="1"/>
  <c r="N1442" i="1"/>
  <c r="M1361" i="1"/>
  <c r="N1361" i="1"/>
  <c r="M257" i="1"/>
  <c r="N257" i="1"/>
  <c r="M6729" i="1"/>
  <c r="N6729" i="1"/>
  <c r="M6693" i="1"/>
  <c r="N6693" i="1"/>
  <c r="M6587" i="1"/>
  <c r="N6587" i="1"/>
  <c r="N6545" i="1"/>
  <c r="M6545" i="1"/>
  <c r="M6511" i="1"/>
  <c r="N6511" i="1"/>
  <c r="M6475" i="1"/>
  <c r="N6475" i="1"/>
  <c r="M6431" i="1"/>
  <c r="N6431" i="1"/>
  <c r="M6394" i="1"/>
  <c r="N6394" i="1"/>
  <c r="N6354" i="1"/>
  <c r="M6354" i="1"/>
  <c r="M6311" i="1"/>
  <c r="N6311" i="1"/>
  <c r="M6269" i="1"/>
  <c r="N6269" i="1"/>
  <c r="M6165" i="1"/>
  <c r="N6165" i="1"/>
  <c r="M6142" i="1"/>
  <c r="N6142" i="1"/>
  <c r="N6118" i="1"/>
  <c r="M6118" i="1"/>
  <c r="M6068" i="1"/>
  <c r="N6068" i="1"/>
  <c r="N6033" i="1"/>
  <c r="M6033" i="1"/>
  <c r="M5981" i="1"/>
  <c r="N5981" i="1"/>
  <c r="M5894" i="1"/>
  <c r="N5894" i="1"/>
  <c r="M5846" i="1"/>
  <c r="N5846" i="1"/>
  <c r="M5770" i="1"/>
  <c r="N5770" i="1"/>
  <c r="M5727" i="1"/>
  <c r="N5727" i="1"/>
  <c r="M5696" i="1"/>
  <c r="N5696" i="1"/>
  <c r="M5674" i="1"/>
  <c r="N5674" i="1"/>
  <c r="M5638" i="1"/>
  <c r="N5638" i="1"/>
  <c r="M5601" i="1"/>
  <c r="N5601" i="1"/>
  <c r="M5552" i="1"/>
  <c r="N5552" i="1"/>
  <c r="M5517" i="1"/>
  <c r="N5517" i="1"/>
  <c r="M5470" i="1"/>
  <c r="N5470" i="1"/>
  <c r="M5447" i="1"/>
  <c r="N5447" i="1"/>
  <c r="M5406" i="1"/>
  <c r="N5406" i="1"/>
  <c r="M5370" i="1"/>
  <c r="N5370" i="1"/>
  <c r="M5334" i="1"/>
  <c r="N5334" i="1"/>
  <c r="M5289" i="1"/>
  <c r="N5289" i="1"/>
  <c r="M5252" i="1"/>
  <c r="N5252" i="1"/>
  <c r="M5200" i="1"/>
  <c r="N5200" i="1"/>
  <c r="M5150" i="1"/>
  <c r="N5150" i="1"/>
  <c r="M5103" i="1"/>
  <c r="N5103" i="1"/>
  <c r="M4978" i="1"/>
  <c r="N4978" i="1"/>
  <c r="M4938" i="1"/>
  <c r="N4938" i="1"/>
  <c r="M4899" i="1"/>
  <c r="N4899" i="1"/>
  <c r="M4852" i="1"/>
  <c r="N4852" i="1"/>
  <c r="M4812" i="1"/>
  <c r="N4812" i="1"/>
  <c r="M4773" i="1"/>
  <c r="N4773" i="1"/>
  <c r="M4742" i="1"/>
  <c r="N4742" i="1"/>
  <c r="M4704" i="1"/>
  <c r="N4704" i="1"/>
  <c r="M4651" i="1"/>
  <c r="N4651" i="1"/>
  <c r="M4470" i="1"/>
  <c r="N4470" i="1"/>
  <c r="M4433" i="1"/>
  <c r="N4433" i="1"/>
  <c r="M4404" i="1"/>
  <c r="N4404" i="1"/>
  <c r="M4364" i="1"/>
  <c r="N4364" i="1"/>
  <c r="M4282" i="1"/>
  <c r="N4282" i="1"/>
  <c r="M4251" i="1"/>
  <c r="N4251" i="1"/>
  <c r="M4219" i="1"/>
  <c r="N4219" i="1"/>
  <c r="M4181" i="1"/>
  <c r="N4181" i="1"/>
  <c r="M4092" i="1"/>
  <c r="N4092" i="1"/>
  <c r="M4023" i="1"/>
  <c r="N4023" i="1"/>
  <c r="M3983" i="1"/>
  <c r="N3983" i="1"/>
  <c r="M3935" i="1"/>
  <c r="N3935" i="1"/>
  <c r="M3904" i="1"/>
  <c r="N3904" i="1"/>
  <c r="M3763" i="1"/>
  <c r="N3763" i="1"/>
  <c r="M3716" i="1"/>
  <c r="N3716" i="1"/>
  <c r="M3669" i="1"/>
  <c r="N3669" i="1"/>
  <c r="M3619" i="1"/>
  <c r="N3619" i="1"/>
  <c r="M3534" i="1"/>
  <c r="N3534" i="1"/>
  <c r="M3487" i="1"/>
  <c r="N3487" i="1"/>
  <c r="M3381" i="1"/>
  <c r="N3381" i="1"/>
  <c r="M3279" i="1"/>
  <c r="N3279" i="1"/>
  <c r="M3242" i="1"/>
  <c r="N3242" i="1"/>
  <c r="M2763" i="1"/>
  <c r="N2763" i="1"/>
  <c r="M2732" i="1"/>
  <c r="N2732" i="1"/>
  <c r="M2693" i="1"/>
  <c r="N2693" i="1"/>
  <c r="M2649" i="1"/>
  <c r="N2649" i="1"/>
  <c r="M2612" i="1"/>
  <c r="N2612" i="1"/>
  <c r="M2573" i="1"/>
  <c r="N2573" i="1"/>
  <c r="M2371" i="1"/>
  <c r="N2371" i="1"/>
  <c r="M2339" i="1"/>
  <c r="N2339" i="1"/>
  <c r="M2308" i="1"/>
  <c r="N2308" i="1"/>
  <c r="M2292" i="1"/>
  <c r="N2292" i="1"/>
  <c r="M2194" i="1"/>
  <c r="N2194" i="1"/>
  <c r="M2124" i="1"/>
  <c r="N2124" i="1"/>
  <c r="M2095" i="1"/>
  <c r="N2095" i="1"/>
  <c r="M2057" i="1"/>
  <c r="N2057" i="1"/>
  <c r="M2034" i="1"/>
  <c r="N2034" i="1"/>
  <c r="M2011" i="1"/>
  <c r="N2011" i="1"/>
  <c r="M1979" i="1"/>
  <c r="N1979" i="1"/>
  <c r="M1951" i="1"/>
  <c r="N1951" i="1"/>
  <c r="M1911" i="1"/>
  <c r="N1911" i="1"/>
  <c r="M1232" i="1"/>
  <c r="N1232" i="1"/>
  <c r="M1201" i="1"/>
  <c r="N1201" i="1"/>
  <c r="N700" i="1"/>
  <c r="M700" i="1"/>
  <c r="M463" i="1"/>
  <c r="N463" i="1"/>
  <c r="M21" i="1"/>
  <c r="N21" i="1"/>
  <c r="M6629" i="1"/>
  <c r="N6629" i="1"/>
  <c r="M6608" i="1"/>
  <c r="N6608" i="1"/>
  <c r="M6579" i="1"/>
  <c r="N6579" i="1"/>
  <c r="M6551" i="1"/>
  <c r="N6551" i="1"/>
  <c r="M6523" i="1"/>
  <c r="N6523" i="1"/>
  <c r="M6497" i="1"/>
  <c r="N6497" i="1"/>
  <c r="M6460" i="1"/>
  <c r="N6460" i="1"/>
  <c r="M6437" i="1"/>
  <c r="N6437" i="1"/>
  <c r="N6202" i="1"/>
  <c r="M6202" i="1"/>
  <c r="M6172" i="1"/>
  <c r="N6172" i="1"/>
  <c r="M6149" i="1"/>
  <c r="N6149" i="1"/>
  <c r="M6083" i="1"/>
  <c r="N6083" i="1"/>
  <c r="M6054" i="1"/>
  <c r="N6054" i="1"/>
  <c r="M6025" i="1"/>
  <c r="N6025" i="1"/>
  <c r="M5994" i="1"/>
  <c r="N5994" i="1"/>
  <c r="M5929" i="1"/>
  <c r="N5929" i="1"/>
  <c r="M5886" i="1"/>
  <c r="N5886" i="1"/>
  <c r="M5837" i="1"/>
  <c r="N5837" i="1"/>
  <c r="M5813" i="1"/>
  <c r="N5813" i="1"/>
  <c r="M5806" i="1"/>
  <c r="N5806" i="1"/>
  <c r="M5799" i="1"/>
  <c r="N5799" i="1"/>
  <c r="M5769" i="1"/>
  <c r="N5769" i="1"/>
  <c r="M5726" i="1"/>
  <c r="N5726" i="1"/>
  <c r="M5703" i="1"/>
  <c r="N5703" i="1"/>
  <c r="M5673" i="1"/>
  <c r="N5673" i="1"/>
  <c r="M5659" i="1"/>
  <c r="N5659" i="1"/>
  <c r="M5637" i="1"/>
  <c r="N5637" i="1"/>
  <c r="M5614" i="1"/>
  <c r="N5614" i="1"/>
  <c r="N5586" i="1"/>
  <c r="M5586" i="1"/>
  <c r="M5578" i="1"/>
  <c r="N5578" i="1"/>
  <c r="M5530" i="1"/>
  <c r="N5530" i="1"/>
  <c r="M5485" i="1"/>
  <c r="N5485" i="1"/>
  <c r="M5461" i="1"/>
  <c r="N5461" i="1"/>
  <c r="M5405" i="1"/>
  <c r="N5405" i="1"/>
  <c r="M5384" i="1"/>
  <c r="N5384" i="1"/>
  <c r="M5369" i="1"/>
  <c r="N5369" i="1"/>
  <c r="M5339" i="1"/>
  <c r="N5339" i="1"/>
  <c r="M5327" i="1"/>
  <c r="N5327" i="1"/>
  <c r="M5296" i="1"/>
  <c r="N5296" i="1"/>
  <c r="M5281" i="1"/>
  <c r="N5281" i="1"/>
  <c r="N5273" i="1"/>
  <c r="M5273" i="1"/>
  <c r="N5266" i="1"/>
  <c r="M5266" i="1"/>
  <c r="M5251" i="1"/>
  <c r="N5251" i="1"/>
  <c r="M5243" i="1"/>
  <c r="N5243" i="1"/>
  <c r="M5235" i="1"/>
  <c r="N5235" i="1"/>
  <c r="M5227" i="1"/>
  <c r="N5227" i="1"/>
  <c r="M5220" i="1"/>
  <c r="N5220" i="1"/>
  <c r="M5213" i="1"/>
  <c r="N5213" i="1"/>
  <c r="M5206" i="1"/>
  <c r="N5206" i="1"/>
  <c r="M6763" i="1"/>
  <c r="N6763" i="1"/>
  <c r="N6757" i="1"/>
  <c r="M6757" i="1"/>
  <c r="N6735" i="1"/>
  <c r="M6735" i="1"/>
  <c r="N6720" i="1"/>
  <c r="M6720" i="1"/>
  <c r="M6691" i="1"/>
  <c r="N6691" i="1"/>
  <c r="M6677" i="1"/>
  <c r="N6677" i="1"/>
  <c r="M6655" i="1"/>
  <c r="N6655" i="1"/>
  <c r="M6628" i="1"/>
  <c r="N6628" i="1"/>
  <c r="M6614" i="1"/>
  <c r="N6614" i="1"/>
  <c r="M6600" i="1"/>
  <c r="N6600" i="1"/>
  <c r="M6578" i="1"/>
  <c r="N6578" i="1"/>
  <c r="M6558" i="1"/>
  <c r="N6558" i="1"/>
  <c r="M6550" i="1"/>
  <c r="N6550" i="1"/>
  <c r="M6536" i="1"/>
  <c r="N6536" i="1"/>
  <c r="M6529" i="1"/>
  <c r="N6529" i="1"/>
  <c r="M6522" i="1"/>
  <c r="N6522" i="1"/>
  <c r="M6515" i="1"/>
  <c r="N6515" i="1"/>
  <c r="M6509" i="1"/>
  <c r="N6509" i="1"/>
  <c r="M6502" i="1"/>
  <c r="N6502" i="1"/>
  <c r="M6496" i="1"/>
  <c r="N6496" i="1"/>
  <c r="M6488" i="1"/>
  <c r="N6488" i="1"/>
  <c r="M6473" i="1"/>
  <c r="N6473" i="1"/>
  <c r="M6452" i="1"/>
  <c r="N6452" i="1"/>
  <c r="M6444" i="1"/>
  <c r="N6444" i="1"/>
  <c r="M6246" i="1"/>
  <c r="N6246" i="1"/>
  <c r="M6240" i="1"/>
  <c r="N6240" i="1"/>
  <c r="N6233" i="1"/>
  <c r="M6233" i="1"/>
  <c r="N6225" i="1"/>
  <c r="M6225" i="1"/>
  <c r="M6217" i="1"/>
  <c r="N6217" i="1"/>
  <c r="M6209" i="1"/>
  <c r="N6209" i="1"/>
  <c r="N6201" i="1"/>
  <c r="M6201" i="1"/>
  <c r="M6193" i="1"/>
  <c r="N6193" i="1"/>
  <c r="M6186" i="1"/>
  <c r="N6186" i="1"/>
  <c r="N6179" i="1"/>
  <c r="M6179" i="1"/>
  <c r="M6171" i="1"/>
  <c r="N6171" i="1"/>
  <c r="M6163" i="1"/>
  <c r="N6163" i="1"/>
  <c r="M6156" i="1"/>
  <c r="N6156" i="1"/>
  <c r="M6148" i="1"/>
  <c r="N6148" i="1"/>
  <c r="M6140" i="1"/>
  <c r="N6140" i="1"/>
  <c r="M6132" i="1"/>
  <c r="N6132" i="1"/>
  <c r="M6124" i="1"/>
  <c r="N6124" i="1"/>
  <c r="M6117" i="1"/>
  <c r="N6117" i="1"/>
  <c r="M6110" i="1"/>
  <c r="N6110" i="1"/>
  <c r="M6102" i="1"/>
  <c r="N6102" i="1"/>
  <c r="N6096" i="1"/>
  <c r="M6096" i="1"/>
  <c r="M6082" i="1"/>
  <c r="N6082" i="1"/>
  <c r="N6074" i="1"/>
  <c r="M6074" i="1"/>
  <c r="M6066" i="1"/>
  <c r="N6066" i="1"/>
  <c r="M6060" i="1"/>
  <c r="N6060" i="1"/>
  <c r="M6053" i="1"/>
  <c r="N6053" i="1"/>
  <c r="M6046" i="1"/>
  <c r="N6046" i="1"/>
  <c r="M6038" i="1"/>
  <c r="N6038" i="1"/>
  <c r="M6031" i="1"/>
  <c r="N6031" i="1"/>
  <c r="M6024" i="1"/>
  <c r="N6024" i="1"/>
  <c r="M6017" i="1"/>
  <c r="N6017" i="1"/>
  <c r="N6009" i="1"/>
  <c r="M6009" i="1"/>
  <c r="M6001" i="1"/>
  <c r="N6001" i="1"/>
  <c r="M5993" i="1"/>
  <c r="N5993" i="1"/>
  <c r="M5986" i="1"/>
  <c r="N5986" i="1"/>
  <c r="M5949" i="1"/>
  <c r="N5949" i="1"/>
  <c r="M5943" i="1"/>
  <c r="N5943" i="1"/>
  <c r="M5935" i="1"/>
  <c r="N5935" i="1"/>
  <c r="M5928" i="1"/>
  <c r="N5928" i="1"/>
  <c r="M5914" i="1"/>
  <c r="N5914" i="1"/>
  <c r="M5900" i="1"/>
  <c r="N5900" i="1"/>
  <c r="M5885" i="1"/>
  <c r="N5885" i="1"/>
  <c r="M5879" i="1"/>
  <c r="N5879" i="1"/>
  <c r="M5872" i="1"/>
  <c r="N5872" i="1"/>
  <c r="M5865" i="1"/>
  <c r="N5865" i="1"/>
  <c r="M5858" i="1"/>
  <c r="N5858" i="1"/>
  <c r="M5851" i="1"/>
  <c r="N5851" i="1"/>
  <c r="M5844" i="1"/>
  <c r="N5844" i="1"/>
  <c r="M5836" i="1"/>
  <c r="N5836" i="1"/>
  <c r="M5828" i="1"/>
  <c r="N5828" i="1"/>
  <c r="M5820" i="1"/>
  <c r="N5820" i="1"/>
  <c r="M5812" i="1"/>
  <c r="N5812" i="1"/>
  <c r="M5792" i="1"/>
  <c r="N5792" i="1"/>
  <c r="M5784" i="1"/>
  <c r="N5784" i="1"/>
  <c r="N5776" i="1"/>
  <c r="M5776" i="1"/>
  <c r="M5768" i="1"/>
  <c r="N5768" i="1"/>
  <c r="M5761" i="1"/>
  <c r="N5761" i="1"/>
  <c r="M5754" i="1"/>
  <c r="N5754" i="1"/>
  <c r="M5748" i="1"/>
  <c r="N5748" i="1"/>
  <c r="M5740" i="1"/>
  <c r="N5740" i="1"/>
  <c r="M5733" i="1"/>
  <c r="N5733" i="1"/>
  <c r="M5725" i="1"/>
  <c r="N5725" i="1"/>
  <c r="M5717" i="1"/>
  <c r="N5717" i="1"/>
  <c r="M5710" i="1"/>
  <c r="N5710" i="1"/>
  <c r="M5702" i="1"/>
  <c r="N5702" i="1"/>
  <c r="N5694" i="1"/>
  <c r="M5694" i="1"/>
  <c r="M5679" i="1"/>
  <c r="N5679" i="1"/>
  <c r="M5672" i="1"/>
  <c r="N5672" i="1"/>
  <c r="M5665" i="1"/>
  <c r="N5665" i="1"/>
  <c r="M5658" i="1"/>
  <c r="N5658" i="1"/>
  <c r="M5651" i="1"/>
  <c r="N5651" i="1"/>
  <c r="M5644" i="1"/>
  <c r="N5644" i="1"/>
  <c r="M5636" i="1"/>
  <c r="N5636" i="1"/>
  <c r="M5628" i="1"/>
  <c r="N5628" i="1"/>
  <c r="M5620" i="1"/>
  <c r="N5620" i="1"/>
  <c r="M5613" i="1"/>
  <c r="N5613" i="1"/>
  <c r="M5606" i="1"/>
  <c r="N5606" i="1"/>
  <c r="M5599" i="1"/>
  <c r="N5599" i="1"/>
  <c r="M5585" i="1"/>
  <c r="N5585" i="1"/>
  <c r="M5571" i="1"/>
  <c r="N5571" i="1"/>
  <c r="M5565" i="1"/>
  <c r="N5565" i="1"/>
  <c r="M5558" i="1"/>
  <c r="N5558" i="1"/>
  <c r="M5550" i="1"/>
  <c r="N5550" i="1"/>
  <c r="M5543" i="1"/>
  <c r="N5543" i="1"/>
  <c r="N5536" i="1"/>
  <c r="M5536" i="1"/>
  <c r="M5529" i="1"/>
  <c r="N5529" i="1"/>
  <c r="M5522" i="1"/>
  <c r="N5522" i="1"/>
  <c r="M5515" i="1"/>
  <c r="N5515" i="1"/>
  <c r="M5508" i="1"/>
  <c r="N5508" i="1"/>
  <c r="M5500" i="1"/>
  <c r="N5500" i="1"/>
  <c r="M5492" i="1"/>
  <c r="N5492" i="1"/>
  <c r="M5484" i="1"/>
  <c r="N5484" i="1"/>
  <c r="M5476" i="1"/>
  <c r="N5476" i="1"/>
  <c r="M4635" i="1"/>
  <c r="N4635" i="1"/>
  <c r="M4628" i="1"/>
  <c r="N4628" i="1"/>
  <c r="M4620" i="1"/>
  <c r="N4620" i="1"/>
  <c r="M4612" i="1"/>
  <c r="N4612" i="1"/>
  <c r="M4605" i="1"/>
  <c r="N4605" i="1"/>
  <c r="M4597" i="1"/>
  <c r="N4597" i="1"/>
  <c r="M4591" i="1"/>
  <c r="N4591" i="1"/>
  <c r="M4585" i="1"/>
  <c r="N4585" i="1"/>
  <c r="M4562" i="1"/>
  <c r="N4562" i="1"/>
  <c r="M4555" i="1"/>
  <c r="N4555" i="1"/>
  <c r="M4547" i="1"/>
  <c r="N4547" i="1"/>
  <c r="M4540" i="1"/>
  <c r="N4540" i="1"/>
  <c r="M4532" i="1"/>
  <c r="N4532" i="1"/>
  <c r="M4525" i="1"/>
  <c r="N4525" i="1"/>
  <c r="M4518" i="1"/>
  <c r="N4518" i="1"/>
  <c r="M4511" i="1"/>
  <c r="N4511" i="1"/>
  <c r="M4504" i="1"/>
  <c r="N4504" i="1"/>
  <c r="M4491" i="1"/>
  <c r="N4491" i="1"/>
  <c r="N4483" i="1"/>
  <c r="M4483" i="1"/>
  <c r="M4476" i="1"/>
  <c r="N4476" i="1"/>
  <c r="M4468" i="1"/>
  <c r="N4468" i="1"/>
  <c r="M4461" i="1"/>
  <c r="N4461" i="1"/>
  <c r="M4453" i="1"/>
  <c r="N4453" i="1"/>
  <c r="M4446" i="1"/>
  <c r="N4446" i="1"/>
  <c r="M4439" i="1"/>
  <c r="N4439" i="1"/>
  <c r="M4425" i="1"/>
  <c r="N4425" i="1"/>
  <c r="M4417" i="1"/>
  <c r="N4417" i="1"/>
  <c r="M4410" i="1"/>
  <c r="N4410" i="1"/>
  <c r="M4354" i="1"/>
  <c r="N4354" i="1"/>
  <c r="M4347" i="1"/>
  <c r="N4347" i="1"/>
  <c r="M4339" i="1"/>
  <c r="N4339" i="1"/>
  <c r="M4331" i="1"/>
  <c r="N4331" i="1"/>
  <c r="M4323" i="1"/>
  <c r="N4323" i="1"/>
  <c r="M4316" i="1"/>
  <c r="N4316" i="1"/>
  <c r="M4309" i="1"/>
  <c r="N4309" i="1"/>
  <c r="M4301" i="1"/>
  <c r="N4301" i="1"/>
  <c r="M4294" i="1"/>
  <c r="N4294" i="1"/>
  <c r="M4273" i="1"/>
  <c r="N4273" i="1"/>
  <c r="M4265" i="1"/>
  <c r="N4265" i="1"/>
  <c r="M4257" i="1"/>
  <c r="N4257" i="1"/>
  <c r="M4249" i="1"/>
  <c r="N4249" i="1"/>
  <c r="M4241" i="1"/>
  <c r="N4241" i="1"/>
  <c r="M4233" i="1"/>
  <c r="N4233" i="1"/>
  <c r="M4225" i="1"/>
  <c r="N4225" i="1"/>
  <c r="M4217" i="1"/>
  <c r="N4217" i="1"/>
  <c r="M4210" i="1"/>
  <c r="N4210" i="1"/>
  <c r="M4202" i="1"/>
  <c r="N4202" i="1"/>
  <c r="M4195" i="1"/>
  <c r="N4195" i="1"/>
  <c r="M4187" i="1"/>
  <c r="N4187" i="1"/>
  <c r="M4172" i="1"/>
  <c r="N4172" i="1"/>
  <c r="M4165" i="1"/>
  <c r="N4165" i="1"/>
  <c r="M4158" i="1"/>
  <c r="N4158" i="1"/>
  <c r="M4143" i="1"/>
  <c r="N4143" i="1"/>
  <c r="M4136" i="1"/>
  <c r="N4136" i="1"/>
  <c r="M4128" i="1"/>
  <c r="N4128" i="1"/>
  <c r="M4120" i="1"/>
  <c r="N4120" i="1"/>
  <c r="M4112" i="1"/>
  <c r="N4112" i="1"/>
  <c r="M4082" i="1"/>
  <c r="N4082" i="1"/>
  <c r="M4074" i="1"/>
  <c r="N4074" i="1"/>
  <c r="N4066" i="1"/>
  <c r="M4066" i="1"/>
  <c r="M4059" i="1"/>
  <c r="N4059" i="1"/>
  <c r="M3878" i="1"/>
  <c r="N3878" i="1"/>
  <c r="M3870" i="1"/>
  <c r="N3870" i="1"/>
  <c r="M3862" i="1"/>
  <c r="N3862" i="1"/>
  <c r="M3854" i="1"/>
  <c r="N3854" i="1"/>
  <c r="M3846" i="1"/>
  <c r="N3846" i="1"/>
  <c r="M3838" i="1"/>
  <c r="N3838" i="1"/>
  <c r="M3830" i="1"/>
  <c r="N3830" i="1"/>
  <c r="M3822" i="1"/>
  <c r="N3822" i="1"/>
  <c r="M3814" i="1"/>
  <c r="N3814" i="1"/>
  <c r="M3806" i="1"/>
  <c r="N3806" i="1"/>
  <c r="N3798" i="1"/>
  <c r="M3798" i="1"/>
  <c r="M3792" i="1"/>
  <c r="N3792" i="1"/>
  <c r="M3777" i="1"/>
  <c r="N3777" i="1"/>
  <c r="M3769" i="1"/>
  <c r="N3769" i="1"/>
  <c r="M3761" i="1"/>
  <c r="N3761" i="1"/>
  <c r="M3753" i="1"/>
  <c r="N3753" i="1"/>
  <c r="M3745" i="1"/>
  <c r="N3745" i="1"/>
  <c r="M3737" i="1"/>
  <c r="N3737" i="1"/>
  <c r="N3645" i="1"/>
  <c r="M3645" i="1"/>
  <c r="M3625" i="1"/>
  <c r="N3625" i="1"/>
  <c r="M3617" i="1"/>
  <c r="N3617" i="1"/>
  <c r="M3610" i="1"/>
  <c r="N3610" i="1"/>
  <c r="M3602" i="1"/>
  <c r="N3602" i="1"/>
  <c r="M3594" i="1"/>
  <c r="N3594" i="1"/>
  <c r="M3579" i="1"/>
  <c r="N3579" i="1"/>
  <c r="M3571" i="1"/>
  <c r="N3571" i="1"/>
  <c r="M3563" i="1"/>
  <c r="N3563" i="1"/>
  <c r="M3555" i="1"/>
  <c r="N3555" i="1"/>
  <c r="M3548" i="1"/>
  <c r="N3548" i="1"/>
  <c r="M3485" i="1"/>
  <c r="N3485" i="1"/>
  <c r="M3478" i="1"/>
  <c r="N3478" i="1"/>
  <c r="M3462" i="1"/>
  <c r="N3462" i="1"/>
  <c r="M3454" i="1"/>
  <c r="N3454" i="1"/>
  <c r="M3446" i="1"/>
  <c r="N3446" i="1"/>
  <c r="M3438" i="1"/>
  <c r="N3438" i="1"/>
  <c r="M3430" i="1"/>
  <c r="N3430" i="1"/>
  <c r="M3422" i="1"/>
  <c r="N3422" i="1"/>
  <c r="M3415" i="1"/>
  <c r="N3415" i="1"/>
  <c r="M3379" i="1"/>
  <c r="N3379" i="1"/>
  <c r="M3371" i="1"/>
  <c r="N3371" i="1"/>
  <c r="M3363" i="1"/>
  <c r="N3363" i="1"/>
  <c r="M3355" i="1"/>
  <c r="N3355" i="1"/>
  <c r="M3347" i="1"/>
  <c r="N3347" i="1"/>
  <c r="M3340" i="1"/>
  <c r="N3340" i="1"/>
  <c r="M3332" i="1"/>
  <c r="N3332" i="1"/>
  <c r="M3325" i="1"/>
  <c r="N3325" i="1"/>
  <c r="M3317" i="1"/>
  <c r="N3317" i="1"/>
  <c r="M3309" i="1"/>
  <c r="N3309" i="1"/>
  <c r="M3301" i="1"/>
  <c r="N3301" i="1"/>
  <c r="M3293" i="1"/>
  <c r="N3293" i="1"/>
  <c r="M3285" i="1"/>
  <c r="N3285" i="1"/>
  <c r="M3277" i="1"/>
  <c r="N3277" i="1"/>
  <c r="M3271" i="1"/>
  <c r="N3271" i="1"/>
  <c r="M3263" i="1"/>
  <c r="N3263" i="1"/>
  <c r="M3256" i="1"/>
  <c r="N3256" i="1"/>
  <c r="M3248" i="1"/>
  <c r="N3248" i="1"/>
  <c r="M3240" i="1"/>
  <c r="N3240" i="1"/>
  <c r="M3224" i="1"/>
  <c r="N3224" i="1"/>
  <c r="M3064" i="1"/>
  <c r="N3064" i="1"/>
  <c r="M3056" i="1"/>
  <c r="N3056" i="1"/>
  <c r="M3048" i="1"/>
  <c r="N3048" i="1"/>
  <c r="M3040" i="1"/>
  <c r="N3040" i="1"/>
  <c r="M3032" i="1"/>
  <c r="N3032" i="1"/>
  <c r="M3025" i="1"/>
  <c r="N3025" i="1"/>
  <c r="M3017" i="1"/>
  <c r="N3017" i="1"/>
  <c r="M3009" i="1"/>
  <c r="N3009" i="1"/>
  <c r="M3001" i="1"/>
  <c r="N3001" i="1"/>
  <c r="M2994" i="1"/>
  <c r="N2994" i="1"/>
  <c r="M2987" i="1"/>
  <c r="N2987" i="1"/>
  <c r="M2979" i="1"/>
  <c r="N2979" i="1"/>
  <c r="M2971" i="1"/>
  <c r="N2971" i="1"/>
  <c r="M2964" i="1"/>
  <c r="N2964" i="1"/>
  <c r="M2957" i="1"/>
  <c r="N2957" i="1"/>
  <c r="M2950" i="1"/>
  <c r="N2950" i="1"/>
  <c r="M2943" i="1"/>
  <c r="N2943" i="1"/>
  <c r="M2935" i="1"/>
  <c r="N2935" i="1"/>
  <c r="M2928" i="1"/>
  <c r="N2928" i="1"/>
  <c r="M2920" i="1"/>
  <c r="N2920" i="1"/>
  <c r="M2914" i="1"/>
  <c r="N2914" i="1"/>
  <c r="M2906" i="1"/>
  <c r="N2906" i="1"/>
  <c r="M2892" i="1"/>
  <c r="N2892" i="1"/>
  <c r="M2884" i="1"/>
  <c r="N2884" i="1"/>
  <c r="M2876" i="1"/>
  <c r="N2876" i="1"/>
  <c r="M2868" i="1"/>
  <c r="N2868" i="1"/>
  <c r="M2861" i="1"/>
  <c r="N2861" i="1"/>
  <c r="M2853" i="1"/>
  <c r="N2853" i="1"/>
  <c r="M2845" i="1"/>
  <c r="N2845" i="1"/>
  <c r="M2837" i="1"/>
  <c r="N2837" i="1"/>
  <c r="M2829" i="1"/>
  <c r="N2829" i="1"/>
  <c r="M2455" i="1"/>
  <c r="N2455" i="1"/>
  <c r="M2447" i="1"/>
  <c r="N2447" i="1"/>
  <c r="M2439" i="1"/>
  <c r="N2439" i="1"/>
  <c r="M2431" i="1"/>
  <c r="N2431" i="1"/>
  <c r="M2423" i="1"/>
  <c r="N2423" i="1"/>
  <c r="M2415" i="1"/>
  <c r="N2415" i="1"/>
  <c r="M2407" i="1"/>
  <c r="N2407" i="1"/>
  <c r="M2399" i="1"/>
  <c r="N2399" i="1"/>
  <c r="M2392" i="1"/>
  <c r="N2392" i="1"/>
  <c r="M2385" i="1"/>
  <c r="N2385" i="1"/>
  <c r="M2377" i="1"/>
  <c r="N2377" i="1"/>
  <c r="M2369" i="1"/>
  <c r="N2369" i="1"/>
  <c r="M2361" i="1"/>
  <c r="N2361" i="1"/>
  <c r="M2291" i="1"/>
  <c r="N2291" i="1"/>
  <c r="M2284" i="1"/>
  <c r="N2284" i="1"/>
  <c r="M2277" i="1"/>
  <c r="N2277" i="1"/>
  <c r="N2269" i="1"/>
  <c r="M2269" i="1"/>
  <c r="M2262" i="1"/>
  <c r="N2262" i="1"/>
  <c r="M2254" i="1"/>
  <c r="N2254" i="1"/>
  <c r="M2247" i="1"/>
  <c r="N2247" i="1"/>
  <c r="M2239" i="1"/>
  <c r="N2239" i="1"/>
  <c r="M2232" i="1"/>
  <c r="N2232" i="1"/>
  <c r="M2224" i="1"/>
  <c r="N2224" i="1"/>
  <c r="M2216" i="1"/>
  <c r="N2216" i="1"/>
  <c r="M2208" i="1"/>
  <c r="N2208" i="1"/>
  <c r="M2200" i="1"/>
  <c r="N2200" i="1"/>
  <c r="M2192" i="1"/>
  <c r="N2192" i="1"/>
  <c r="M2184" i="1"/>
  <c r="N2184" i="1"/>
  <c r="M2177" i="1"/>
  <c r="N2177" i="1"/>
  <c r="M2169" i="1"/>
  <c r="N2169" i="1"/>
  <c r="M2161" i="1"/>
  <c r="N2161" i="1"/>
  <c r="M2146" i="1"/>
  <c r="N2146" i="1"/>
  <c r="M2138" i="1"/>
  <c r="N2138" i="1"/>
  <c r="M2130" i="1"/>
  <c r="N2130" i="1"/>
  <c r="M2122" i="1"/>
  <c r="N2122" i="1"/>
  <c r="M2100" i="1"/>
  <c r="N2100" i="1"/>
  <c r="M2093" i="1"/>
  <c r="N2093" i="1"/>
  <c r="M2086" i="1"/>
  <c r="N2086" i="1"/>
  <c r="M2079" i="1"/>
  <c r="N2079" i="1"/>
  <c r="M2071" i="1"/>
  <c r="N2071" i="1"/>
  <c r="M2063" i="1"/>
  <c r="N2063" i="1"/>
  <c r="M2055" i="1"/>
  <c r="N2055" i="1"/>
  <c r="M2047" i="1"/>
  <c r="N2047" i="1"/>
  <c r="M2032" i="1"/>
  <c r="N2032" i="1"/>
  <c r="M2025" i="1"/>
  <c r="N2025" i="1"/>
  <c r="M1613" i="1"/>
  <c r="N1613" i="1"/>
  <c r="M1605" i="1"/>
  <c r="N1605" i="1"/>
  <c r="M1424" i="1"/>
  <c r="N1424" i="1"/>
  <c r="M1416" i="1"/>
  <c r="N1416" i="1"/>
  <c r="M1372" i="1"/>
  <c r="N1372" i="1"/>
  <c r="M1366" i="1"/>
  <c r="N1366" i="1"/>
  <c r="M1358" i="1"/>
  <c r="N1358" i="1"/>
  <c r="M1350" i="1"/>
  <c r="N1350" i="1"/>
  <c r="M578" i="1"/>
  <c r="N578" i="1"/>
  <c r="M570" i="1"/>
  <c r="N570" i="1"/>
  <c r="M562" i="1"/>
  <c r="N562" i="1"/>
  <c r="M554" i="1"/>
  <c r="N554" i="1"/>
  <c r="M546" i="1"/>
  <c r="N546" i="1"/>
  <c r="M538" i="1"/>
  <c r="N538" i="1"/>
  <c r="M530" i="1"/>
  <c r="N530" i="1"/>
  <c r="M522" i="1"/>
  <c r="N522" i="1"/>
  <c r="M514" i="1"/>
  <c r="N514" i="1"/>
  <c r="M507" i="1"/>
  <c r="N507" i="1"/>
  <c r="M499" i="1"/>
  <c r="N499" i="1"/>
  <c r="M491" i="1"/>
  <c r="N491" i="1"/>
  <c r="M483" i="1"/>
  <c r="N483" i="1"/>
  <c r="M476" i="1"/>
  <c r="N476" i="1"/>
  <c r="M407" i="1"/>
  <c r="N407" i="1"/>
  <c r="M400" i="1"/>
  <c r="N400" i="1"/>
  <c r="M392" i="1"/>
  <c r="N392" i="1"/>
  <c r="M384" i="1"/>
  <c r="N384" i="1"/>
  <c r="M376" i="1"/>
  <c r="N376" i="1"/>
  <c r="M369" i="1"/>
  <c r="N369" i="1"/>
  <c r="M362" i="1"/>
  <c r="N362" i="1"/>
  <c r="M355" i="1"/>
  <c r="N355" i="1"/>
  <c r="M347" i="1"/>
  <c r="N347" i="1"/>
  <c r="M340" i="1"/>
  <c r="N340" i="1"/>
  <c r="M332" i="1"/>
  <c r="N332" i="1"/>
  <c r="M324" i="1"/>
  <c r="N324" i="1"/>
  <c r="M316" i="1"/>
  <c r="N316" i="1"/>
  <c r="M309" i="1"/>
  <c r="N309" i="1"/>
  <c r="M301" i="1"/>
  <c r="N301" i="1"/>
  <c r="M293" i="1"/>
  <c r="N293" i="1"/>
  <c r="M286" i="1"/>
  <c r="N286" i="1"/>
  <c r="M278" i="1"/>
  <c r="N278" i="1"/>
  <c r="M208" i="1"/>
  <c r="N208" i="1"/>
  <c r="M200" i="1"/>
  <c r="N200" i="1"/>
  <c r="M192" i="1"/>
  <c r="N192" i="1"/>
  <c r="N6651" i="1"/>
  <c r="N5712" i="1"/>
  <c r="M5533" i="1"/>
  <c r="N5533" i="1"/>
  <c r="M5480" i="1"/>
  <c r="N5480" i="1"/>
  <c r="M5408" i="1"/>
  <c r="N5408" i="1"/>
  <c r="M5348" i="1"/>
  <c r="N5348" i="1"/>
  <c r="M5261" i="1"/>
  <c r="N5261" i="1"/>
  <c r="M5223" i="1"/>
  <c r="N5223" i="1"/>
  <c r="M5137" i="1"/>
  <c r="N5137" i="1"/>
  <c r="M5082" i="1"/>
  <c r="N5082" i="1"/>
  <c r="M5028" i="1"/>
  <c r="N5028" i="1"/>
  <c r="M4854" i="1"/>
  <c r="N4854" i="1"/>
  <c r="M4806" i="1"/>
  <c r="N4806" i="1"/>
  <c r="M4752" i="1"/>
  <c r="N4752" i="1"/>
  <c r="M4722" i="1"/>
  <c r="N4722" i="1"/>
  <c r="M4653" i="1"/>
  <c r="N4653" i="1"/>
  <c r="M4063" i="1"/>
  <c r="N4063" i="1"/>
  <c r="M3993" i="1"/>
  <c r="N3993" i="1"/>
  <c r="M3937" i="1"/>
  <c r="N3937" i="1"/>
  <c r="M3890" i="1"/>
  <c r="N3890" i="1"/>
  <c r="M3621" i="1"/>
  <c r="N3621" i="1"/>
  <c r="M3559" i="1"/>
  <c r="N3559" i="1"/>
  <c r="M3458" i="1"/>
  <c r="N3458" i="1"/>
  <c r="N3411" i="1"/>
  <c r="M3411" i="1"/>
  <c r="M3196" i="1"/>
  <c r="N3196" i="1"/>
  <c r="M3151" i="1"/>
  <c r="N3151" i="1"/>
  <c r="M3099" i="1"/>
  <c r="N3099" i="1"/>
  <c r="M3044" i="1"/>
  <c r="N3044" i="1"/>
  <c r="M2983" i="1"/>
  <c r="N2983" i="1"/>
  <c r="M2888" i="1"/>
  <c r="N2888" i="1"/>
  <c r="M2833" i="1"/>
  <c r="N2833" i="1"/>
  <c r="M2528" i="1"/>
  <c r="N2528" i="1"/>
  <c r="M2474" i="1"/>
  <c r="N2474" i="1"/>
  <c r="M1609" i="1"/>
  <c r="N1609" i="1"/>
  <c r="M1563" i="1"/>
  <c r="N1563" i="1"/>
  <c r="M1285" i="1"/>
  <c r="N1285" i="1"/>
  <c r="M419" i="1"/>
  <c r="N419" i="1"/>
  <c r="M6759" i="1"/>
  <c r="N6759" i="1"/>
  <c r="M6737" i="1"/>
  <c r="N6737" i="1"/>
  <c r="M6694" i="1"/>
  <c r="N6694" i="1"/>
  <c r="M6658" i="1"/>
  <c r="N6658" i="1"/>
  <c r="M6531" i="1"/>
  <c r="N6531" i="1"/>
  <c r="M6483" i="1"/>
  <c r="N6483" i="1"/>
  <c r="M6425" i="1"/>
  <c r="N6425" i="1"/>
  <c r="M6375" i="1"/>
  <c r="N6375" i="1"/>
  <c r="M6320" i="1"/>
  <c r="N6320" i="1"/>
  <c r="M6270" i="1"/>
  <c r="N6270" i="1"/>
  <c r="M6212" i="1"/>
  <c r="N6212" i="1"/>
  <c r="N6063" i="1"/>
  <c r="M6063" i="1"/>
  <c r="M6019" i="1"/>
  <c r="N6019" i="1"/>
  <c r="M5974" i="1"/>
  <c r="N5974" i="1"/>
  <c r="M5794" i="1"/>
  <c r="N5794" i="1"/>
  <c r="M5750" i="1"/>
  <c r="N5750" i="1"/>
  <c r="M5713" i="1"/>
  <c r="N5713" i="1"/>
  <c r="M5661" i="1"/>
  <c r="N5661" i="1"/>
  <c r="M5609" i="1"/>
  <c r="N5609" i="1"/>
  <c r="M5560" i="1"/>
  <c r="N5560" i="1"/>
  <c r="M5532" i="1"/>
  <c r="N5532" i="1"/>
  <c r="M5510" i="1"/>
  <c r="N5510" i="1"/>
  <c r="M4607" i="1"/>
  <c r="N4607" i="1"/>
  <c r="M4397" i="1"/>
  <c r="N4397" i="1"/>
  <c r="M4365" i="1"/>
  <c r="N4365" i="1"/>
  <c r="N4252" i="1"/>
  <c r="M4252" i="1"/>
  <c r="M4205" i="1"/>
  <c r="N4205" i="1"/>
  <c r="M4167" i="1"/>
  <c r="N4167" i="1"/>
  <c r="M4153" i="1"/>
  <c r="N4153" i="1"/>
  <c r="M4138" i="1"/>
  <c r="N4138" i="1"/>
  <c r="M4016" i="1"/>
  <c r="N4016" i="1"/>
  <c r="M3976" i="1"/>
  <c r="N3976" i="1"/>
  <c r="M3936" i="1"/>
  <c r="N3936" i="1"/>
  <c r="M3913" i="1"/>
  <c r="N3913" i="1"/>
  <c r="M3709" i="1"/>
  <c r="N3709" i="1"/>
  <c r="M3662" i="1"/>
  <c r="N3662" i="1"/>
  <c r="M3627" i="1"/>
  <c r="N3627" i="1"/>
  <c r="M3504" i="1"/>
  <c r="N3504" i="1"/>
  <c r="M3465" i="1"/>
  <c r="N3465" i="1"/>
  <c r="M3382" i="1"/>
  <c r="N3382" i="1"/>
  <c r="M3304" i="1"/>
  <c r="N3304" i="1"/>
  <c r="M3251" i="1"/>
  <c r="N3251" i="1"/>
  <c r="M3203" i="1"/>
  <c r="N3203" i="1"/>
  <c r="M2687" i="1"/>
  <c r="N2687" i="1"/>
  <c r="M2657" i="1"/>
  <c r="N2657" i="1"/>
  <c r="M2613" i="1"/>
  <c r="N2613" i="1"/>
  <c r="M2582" i="1"/>
  <c r="N2582" i="1"/>
  <c r="M2566" i="1"/>
  <c r="N2566" i="1"/>
  <c r="M2020" i="1"/>
  <c r="N2020" i="1"/>
  <c r="M1980" i="1"/>
  <c r="N1980" i="1"/>
  <c r="M1944" i="1"/>
  <c r="N1944" i="1"/>
  <c r="M1898" i="1"/>
  <c r="N1898" i="1"/>
  <c r="M1570" i="1"/>
  <c r="N1570" i="1"/>
  <c r="M1456" i="1"/>
  <c r="N1456" i="1"/>
  <c r="M1375" i="1"/>
  <c r="N1375" i="1"/>
  <c r="M502" i="1"/>
  <c r="N502" i="1"/>
  <c r="M456" i="1"/>
  <c r="N456" i="1"/>
  <c r="M433" i="1"/>
  <c r="N433" i="1"/>
  <c r="M249" i="1"/>
  <c r="N249" i="1"/>
  <c r="M233" i="1"/>
  <c r="N233" i="1"/>
  <c r="M203" i="1"/>
  <c r="N203" i="1"/>
  <c r="M6780" i="1"/>
  <c r="N6780" i="1"/>
  <c r="M6744" i="1"/>
  <c r="N6744" i="1"/>
  <c r="M6715" i="1"/>
  <c r="N6715" i="1"/>
  <c r="M6679" i="1"/>
  <c r="N6679" i="1"/>
  <c r="M6594" i="1"/>
  <c r="N6594" i="1"/>
  <c r="M6552" i="1"/>
  <c r="N6552" i="1"/>
  <c r="M6517" i="1"/>
  <c r="N6517" i="1"/>
  <c r="M6482" i="1"/>
  <c r="N6482" i="1"/>
  <c r="M6438" i="1"/>
  <c r="N6438" i="1"/>
  <c r="M6409" i="1"/>
  <c r="N6409" i="1"/>
  <c r="M6368" i="1"/>
  <c r="N6368" i="1"/>
  <c r="M6284" i="1"/>
  <c r="N6284" i="1"/>
  <c r="M6255" i="1"/>
  <c r="N6255" i="1"/>
  <c r="M6150" i="1"/>
  <c r="N6150" i="1"/>
  <c r="M6104" i="1"/>
  <c r="N6104" i="1"/>
  <c r="M6091" i="1"/>
  <c r="N6091" i="1"/>
  <c r="M6055" i="1"/>
  <c r="N6055" i="1"/>
  <c r="M6003" i="1"/>
  <c r="N6003" i="1"/>
  <c r="M5973" i="1"/>
  <c r="N5973" i="1"/>
  <c r="M5887" i="1"/>
  <c r="N5887" i="1"/>
  <c r="M5866" i="1"/>
  <c r="N5866" i="1"/>
  <c r="N5822" i="1"/>
  <c r="M5822" i="1"/>
  <c r="N5778" i="1"/>
  <c r="M5778" i="1"/>
  <c r="M5735" i="1"/>
  <c r="N5735" i="1"/>
  <c r="M5688" i="1"/>
  <c r="N5688" i="1"/>
  <c r="M5653" i="1"/>
  <c r="N5653" i="1"/>
  <c r="M5622" i="1"/>
  <c r="N5622" i="1"/>
  <c r="M5566" i="1"/>
  <c r="N5566" i="1"/>
  <c r="M5524" i="1"/>
  <c r="N5524" i="1"/>
  <c r="M5455" i="1"/>
  <c r="N5455" i="1"/>
  <c r="M5420" i="1"/>
  <c r="N5420" i="1"/>
  <c r="M5392" i="1"/>
  <c r="N5392" i="1"/>
  <c r="M5362" i="1"/>
  <c r="N5362" i="1"/>
  <c r="M5328" i="1"/>
  <c r="N5328" i="1"/>
  <c r="M5303" i="1"/>
  <c r="N5303" i="1"/>
  <c r="M5259" i="1"/>
  <c r="N5259" i="1"/>
  <c r="M5157" i="1"/>
  <c r="N5157" i="1"/>
  <c r="M5111" i="1"/>
  <c r="N5111" i="1"/>
  <c r="M4994" i="1"/>
  <c r="N4994" i="1"/>
  <c r="M4954" i="1"/>
  <c r="N4954" i="1"/>
  <c r="M4915" i="1"/>
  <c r="N4915" i="1"/>
  <c r="M4876" i="1"/>
  <c r="N4876" i="1"/>
  <c r="M4828" i="1"/>
  <c r="N4828" i="1"/>
  <c r="M4780" i="1"/>
  <c r="N4780" i="1"/>
  <c r="M4712" i="1"/>
  <c r="N4712" i="1"/>
  <c r="M4478" i="1"/>
  <c r="N4478" i="1"/>
  <c r="M4204" i="1"/>
  <c r="N4204" i="1"/>
  <c r="M4122" i="1"/>
  <c r="N4122" i="1"/>
  <c r="M4099" i="1"/>
  <c r="N4099" i="1"/>
  <c r="M4015" i="1"/>
  <c r="N4015" i="1"/>
  <c r="M3975" i="1"/>
  <c r="N3975" i="1"/>
  <c r="M3943" i="1"/>
  <c r="N3943" i="1"/>
  <c r="M3920" i="1"/>
  <c r="N3920" i="1"/>
  <c r="M3747" i="1"/>
  <c r="N3747" i="1"/>
  <c r="M3700" i="1"/>
  <c r="N3700" i="1"/>
  <c r="M3654" i="1"/>
  <c r="N3654" i="1"/>
  <c r="M3527" i="1"/>
  <c r="N3527" i="1"/>
  <c r="M3495" i="1"/>
  <c r="N3495" i="1"/>
  <c r="M3388" i="1"/>
  <c r="N3388" i="1"/>
  <c r="M3287" i="1"/>
  <c r="N3287" i="1"/>
  <c r="M3250" i="1"/>
  <c r="N3250" i="1"/>
  <c r="M2770" i="1"/>
  <c r="N2770" i="1"/>
  <c r="M2725" i="1"/>
  <c r="N2725" i="1"/>
  <c r="M2678" i="1"/>
  <c r="N2678" i="1"/>
  <c r="M2642" i="1"/>
  <c r="N2642" i="1"/>
  <c r="M2604" i="1"/>
  <c r="N2604" i="1"/>
  <c r="M2363" i="1"/>
  <c r="N2363" i="1"/>
  <c r="M2332" i="1"/>
  <c r="N2332" i="1"/>
  <c r="M2148" i="1"/>
  <c r="N2148" i="1"/>
  <c r="M2116" i="1"/>
  <c r="N2116" i="1"/>
  <c r="M2065" i="1"/>
  <c r="N2065" i="1"/>
  <c r="M2019" i="1"/>
  <c r="N2019" i="1"/>
  <c r="M1987" i="1"/>
  <c r="N1987" i="1"/>
  <c r="M1958" i="1"/>
  <c r="N1958" i="1"/>
  <c r="M1919" i="1"/>
  <c r="N1919" i="1"/>
  <c r="M1615" i="1"/>
  <c r="N1615" i="1"/>
  <c r="M1209" i="1"/>
  <c r="N1209" i="1"/>
  <c r="M692" i="1"/>
  <c r="N692" i="1"/>
  <c r="M455" i="1"/>
  <c r="N455" i="1"/>
  <c r="M439" i="1"/>
  <c r="N439" i="1"/>
  <c r="M37" i="1"/>
  <c r="N37" i="1"/>
  <c r="M5" i="1"/>
  <c r="N5" i="1"/>
  <c r="M6615" i="1"/>
  <c r="N6615" i="1"/>
  <c r="M6586" i="1"/>
  <c r="N6586" i="1"/>
  <c r="M6537" i="1"/>
  <c r="N6537" i="1"/>
  <c r="M6510" i="1"/>
  <c r="N6510" i="1"/>
  <c r="M6474" i="1"/>
  <c r="N6474" i="1"/>
  <c r="M6445" i="1"/>
  <c r="N6445" i="1"/>
  <c r="M6423" i="1"/>
  <c r="N6423" i="1"/>
  <c r="M6194" i="1"/>
  <c r="N6194" i="1"/>
  <c r="M6164" i="1"/>
  <c r="N6164" i="1"/>
  <c r="M6141" i="1"/>
  <c r="N6141" i="1"/>
  <c r="M6111" i="1"/>
  <c r="N6111" i="1"/>
  <c r="N6075" i="1"/>
  <c r="M6075" i="1"/>
  <c r="M6047" i="1"/>
  <c r="N6047" i="1"/>
  <c r="M5980" i="1"/>
  <c r="N5980" i="1"/>
  <c r="M5915" i="1"/>
  <c r="N5915" i="1"/>
  <c r="M5880" i="1"/>
  <c r="N5880" i="1"/>
  <c r="M5852" i="1"/>
  <c r="N5852" i="1"/>
  <c r="M5821" i="1"/>
  <c r="N5821" i="1"/>
  <c r="M5762" i="1"/>
  <c r="N5762" i="1"/>
  <c r="M5741" i="1"/>
  <c r="N5741" i="1"/>
  <c r="M5718" i="1"/>
  <c r="N5718" i="1"/>
  <c r="M5695" i="1"/>
  <c r="N5695" i="1"/>
  <c r="M5687" i="1"/>
  <c r="N5687" i="1"/>
  <c r="M5666" i="1"/>
  <c r="N5666" i="1"/>
  <c r="M5645" i="1"/>
  <c r="N5645" i="1"/>
  <c r="M5621" i="1"/>
  <c r="N5621" i="1"/>
  <c r="N5607" i="1"/>
  <c r="M5607" i="1"/>
  <c r="M5593" i="1"/>
  <c r="N5593" i="1"/>
  <c r="M5572" i="1"/>
  <c r="N5572" i="1"/>
  <c r="M5551" i="1"/>
  <c r="N5551" i="1"/>
  <c r="M5493" i="1"/>
  <c r="N5493" i="1"/>
  <c r="M5469" i="1"/>
  <c r="N5469" i="1"/>
  <c r="N5419" i="1"/>
  <c r="M5419" i="1"/>
  <c r="M5398" i="1"/>
  <c r="N5398" i="1"/>
  <c r="M5377" i="1"/>
  <c r="N5377" i="1"/>
  <c r="M5361" i="1"/>
  <c r="N5361" i="1"/>
  <c r="M5345" i="1"/>
  <c r="N5345" i="1"/>
  <c r="M5333" i="1"/>
  <c r="N5333" i="1"/>
  <c r="M5315" i="1"/>
  <c r="N5315" i="1"/>
  <c r="M5199" i="1"/>
  <c r="N5199" i="1"/>
  <c r="M6770" i="1"/>
  <c r="N6770" i="1"/>
  <c r="M6750" i="1"/>
  <c r="N6750" i="1"/>
  <c r="M6742" i="1"/>
  <c r="N6742" i="1"/>
  <c r="M6727" i="1"/>
  <c r="N6727" i="1"/>
  <c r="M6713" i="1"/>
  <c r="N6713" i="1"/>
  <c r="M6706" i="1"/>
  <c r="N6706" i="1"/>
  <c r="M6698" i="1"/>
  <c r="N6698" i="1"/>
  <c r="M6684" i="1"/>
  <c r="N6684" i="1"/>
  <c r="M6670" i="1"/>
  <c r="N6670" i="1"/>
  <c r="M6663" i="1"/>
  <c r="N6663" i="1"/>
  <c r="M6648" i="1"/>
  <c r="N6648" i="1"/>
  <c r="M6641" i="1"/>
  <c r="N6641" i="1"/>
  <c r="M6634" i="1"/>
  <c r="N6634" i="1"/>
  <c r="M6621" i="1"/>
  <c r="N6621" i="1"/>
  <c r="M6607" i="1"/>
  <c r="N6607" i="1"/>
  <c r="M6592" i="1"/>
  <c r="N6592" i="1"/>
  <c r="M6585" i="1"/>
  <c r="N6585" i="1"/>
  <c r="M6571" i="1"/>
  <c r="N6571" i="1"/>
  <c r="M6565" i="1"/>
  <c r="N6565" i="1"/>
  <c r="M6543" i="1"/>
  <c r="N6543" i="1"/>
  <c r="M6785" i="1"/>
  <c r="N6785" i="1"/>
  <c r="M6777" i="1"/>
  <c r="N6777" i="1"/>
  <c r="M6749" i="1"/>
  <c r="N6749" i="1"/>
  <c r="M6741" i="1"/>
  <c r="N6741" i="1"/>
  <c r="M6734" i="1"/>
  <c r="N6734" i="1"/>
  <c r="M6726" i="1"/>
  <c r="N6726" i="1"/>
  <c r="M6719" i="1"/>
  <c r="N6719" i="1"/>
  <c r="M6712" i="1"/>
  <c r="N6712" i="1"/>
  <c r="M6705" i="1"/>
  <c r="N6705" i="1"/>
  <c r="M6683" i="1"/>
  <c r="N6683" i="1"/>
  <c r="M6662" i="1"/>
  <c r="N6662" i="1"/>
  <c r="M6654" i="1"/>
  <c r="N6654" i="1"/>
  <c r="M6640" i="1"/>
  <c r="N6640" i="1"/>
  <c r="N6627" i="1"/>
  <c r="M6627" i="1"/>
  <c r="M6620" i="1"/>
  <c r="N6620" i="1"/>
  <c r="M6606" i="1"/>
  <c r="N6606" i="1"/>
  <c r="M6599" i="1"/>
  <c r="N6599" i="1"/>
  <c r="M6591" i="1"/>
  <c r="N6591" i="1"/>
  <c r="M6584" i="1"/>
  <c r="N6584" i="1"/>
  <c r="M6577" i="1"/>
  <c r="N6577" i="1"/>
  <c r="M6570" i="1"/>
  <c r="N6570" i="1"/>
  <c r="M6557" i="1"/>
  <c r="N6557" i="1"/>
  <c r="M6542" i="1"/>
  <c r="N6542" i="1"/>
  <c r="M6535" i="1"/>
  <c r="N6535" i="1"/>
  <c r="M6421" i="1"/>
  <c r="N6421" i="1"/>
  <c r="M6413" i="1"/>
  <c r="N6413" i="1"/>
  <c r="M6406" i="1"/>
  <c r="N6406" i="1"/>
  <c r="M6398" i="1"/>
  <c r="N6398" i="1"/>
  <c r="M6391" i="1"/>
  <c r="N6391" i="1"/>
  <c r="M6385" i="1"/>
  <c r="N6385" i="1"/>
  <c r="M6378" i="1"/>
  <c r="N6378" i="1"/>
  <c r="M6372" i="1"/>
  <c r="N6372" i="1"/>
  <c r="M6365" i="1"/>
  <c r="N6365" i="1"/>
  <c r="M6358" i="1"/>
  <c r="N6358" i="1"/>
  <c r="M6345" i="1"/>
  <c r="N6345" i="1"/>
  <c r="M6337" i="1"/>
  <c r="N6337" i="1"/>
  <c r="M6330" i="1"/>
  <c r="N6330" i="1"/>
  <c r="M6323" i="1"/>
  <c r="N6323" i="1"/>
  <c r="M6316" i="1"/>
  <c r="N6316" i="1"/>
  <c r="M6309" i="1"/>
  <c r="N6309" i="1"/>
  <c r="M6303" i="1"/>
  <c r="N6303" i="1"/>
  <c r="M6296" i="1"/>
  <c r="N6296" i="1"/>
  <c r="M6288" i="1"/>
  <c r="N6288" i="1"/>
  <c r="M6281" i="1"/>
  <c r="N6281" i="1"/>
  <c r="M6274" i="1"/>
  <c r="N6274" i="1"/>
  <c r="M6266" i="1"/>
  <c r="N6266" i="1"/>
  <c r="M6258" i="1"/>
  <c r="N6258" i="1"/>
  <c r="M6252" i="1"/>
  <c r="N6252" i="1"/>
  <c r="M6245" i="1"/>
  <c r="N6245" i="1"/>
  <c r="M6239" i="1"/>
  <c r="N6239" i="1"/>
  <c r="M6232" i="1"/>
  <c r="N6232" i="1"/>
  <c r="N6224" i="1"/>
  <c r="M6224" i="1"/>
  <c r="M6216" i="1"/>
  <c r="N6216" i="1"/>
  <c r="M6208" i="1"/>
  <c r="N6208" i="1"/>
  <c r="M6200" i="1"/>
  <c r="N6200" i="1"/>
  <c r="M6192" i="1"/>
  <c r="N6192" i="1"/>
  <c r="M6178" i="1"/>
  <c r="N6178" i="1"/>
  <c r="M6170" i="1"/>
  <c r="N6170" i="1"/>
  <c r="M6162" i="1"/>
  <c r="N6162" i="1"/>
  <c r="M6155" i="1"/>
  <c r="N6155" i="1"/>
  <c r="M6147" i="1"/>
  <c r="N6147" i="1"/>
  <c r="M6139" i="1"/>
  <c r="N6139" i="1"/>
  <c r="M6131" i="1"/>
  <c r="N6131" i="1"/>
  <c r="M6123" i="1"/>
  <c r="N6123" i="1"/>
  <c r="M6109" i="1"/>
  <c r="N6109" i="1"/>
  <c r="M6095" i="1"/>
  <c r="N6095" i="1"/>
  <c r="M6089" i="1"/>
  <c r="N6089" i="1"/>
  <c r="M6081" i="1"/>
  <c r="N6081" i="1"/>
  <c r="M6073" i="1"/>
  <c r="N6073" i="1"/>
  <c r="M6059" i="1"/>
  <c r="N6059" i="1"/>
  <c r="M6045" i="1"/>
  <c r="N6045" i="1"/>
  <c r="M6030" i="1"/>
  <c r="N6030" i="1"/>
  <c r="M6023" i="1"/>
  <c r="N6023" i="1"/>
  <c r="M6016" i="1"/>
  <c r="N6016" i="1"/>
  <c r="M6008" i="1"/>
  <c r="N6008" i="1"/>
  <c r="M6000" i="1"/>
  <c r="N6000" i="1"/>
  <c r="M5992" i="1"/>
  <c r="N5992" i="1"/>
  <c r="M5978" i="1"/>
  <c r="N5978" i="1"/>
  <c r="N5970" i="1"/>
  <c r="M5970" i="1"/>
  <c r="M5963" i="1"/>
  <c r="N5963" i="1"/>
  <c r="M5956" i="1"/>
  <c r="N5956" i="1"/>
  <c r="M5948" i="1"/>
  <c r="N5948" i="1"/>
  <c r="M5942" i="1"/>
  <c r="N5942" i="1"/>
  <c r="M5934" i="1"/>
  <c r="N5934" i="1"/>
  <c r="N5927" i="1"/>
  <c r="M5927" i="1"/>
  <c r="M5920" i="1"/>
  <c r="N5920" i="1"/>
  <c r="M5913" i="1"/>
  <c r="N5913" i="1"/>
  <c r="M5907" i="1"/>
  <c r="N5907" i="1"/>
  <c r="M5899" i="1"/>
  <c r="N5899" i="1"/>
  <c r="M5892" i="1"/>
  <c r="N5892" i="1"/>
  <c r="M5878" i="1"/>
  <c r="N5878" i="1"/>
  <c r="M5871" i="1"/>
  <c r="N5871" i="1"/>
  <c r="M5864" i="1"/>
  <c r="N5864" i="1"/>
  <c r="M5857" i="1"/>
  <c r="N5857" i="1"/>
  <c r="M5850" i="1"/>
  <c r="N5850" i="1"/>
  <c r="M5843" i="1"/>
  <c r="N5843" i="1"/>
  <c r="M5835" i="1"/>
  <c r="N5835" i="1"/>
  <c r="M5827" i="1"/>
  <c r="N5827" i="1"/>
  <c r="N5819" i="1"/>
  <c r="M5819" i="1"/>
  <c r="M5805" i="1"/>
  <c r="N5805" i="1"/>
  <c r="M5798" i="1"/>
  <c r="N5798" i="1"/>
  <c r="M5791" i="1"/>
  <c r="N5791" i="1"/>
  <c r="M5783" i="1"/>
  <c r="N5783" i="1"/>
  <c r="M5775" i="1"/>
  <c r="N5775" i="1"/>
  <c r="M5767" i="1"/>
  <c r="N5767" i="1"/>
  <c r="M5760" i="1"/>
  <c r="N5760" i="1"/>
  <c r="M5747" i="1"/>
  <c r="N5747" i="1"/>
  <c r="M5739" i="1"/>
  <c r="N5739" i="1"/>
  <c r="M5732" i="1"/>
  <c r="N5732" i="1"/>
  <c r="M5724" i="1"/>
  <c r="N5724" i="1"/>
  <c r="M5709" i="1"/>
  <c r="N5709" i="1"/>
  <c r="M5701" i="1"/>
  <c r="N5701" i="1"/>
  <c r="M5693" i="1"/>
  <c r="N5693" i="1"/>
  <c r="M5686" i="1"/>
  <c r="N5686" i="1"/>
  <c r="M5671" i="1"/>
  <c r="N5671" i="1"/>
  <c r="N5650" i="1"/>
  <c r="M5650" i="1"/>
  <c r="M5643" i="1"/>
  <c r="N5643" i="1"/>
  <c r="M5635" i="1"/>
  <c r="N5635" i="1"/>
  <c r="M5627" i="1"/>
  <c r="N5627" i="1"/>
  <c r="M5612" i="1"/>
  <c r="N5612" i="1"/>
  <c r="M5598" i="1"/>
  <c r="N5598" i="1"/>
  <c r="M5592" i="1"/>
  <c r="N5592" i="1"/>
  <c r="M5584" i="1"/>
  <c r="N5584" i="1"/>
  <c r="M5577" i="1"/>
  <c r="N5577" i="1"/>
  <c r="M5564" i="1"/>
  <c r="N5564" i="1"/>
  <c r="M5557" i="1"/>
  <c r="N5557" i="1"/>
  <c r="M5542" i="1"/>
  <c r="N5542" i="1"/>
  <c r="N5535" i="1"/>
  <c r="M5535" i="1"/>
  <c r="M5528" i="1"/>
  <c r="N5528" i="1"/>
  <c r="M5521" i="1"/>
  <c r="N5521" i="1"/>
  <c r="M5514" i="1"/>
  <c r="N5514" i="1"/>
  <c r="M5507" i="1"/>
  <c r="N5507" i="1"/>
  <c r="M5499" i="1"/>
  <c r="N5499" i="1"/>
  <c r="M4951" i="1"/>
  <c r="N4951" i="1"/>
  <c r="M4943" i="1"/>
  <c r="N4943" i="1"/>
  <c r="M4935" i="1"/>
  <c r="N4935" i="1"/>
  <c r="M4927" i="1"/>
  <c r="N4927" i="1"/>
  <c r="M4919" i="1"/>
  <c r="N4919" i="1"/>
  <c r="M4912" i="1"/>
  <c r="N4912" i="1"/>
  <c r="N4904" i="1"/>
  <c r="M4904" i="1"/>
  <c r="M4896" i="1"/>
  <c r="N4896" i="1"/>
  <c r="M4888" i="1"/>
  <c r="N4888" i="1"/>
  <c r="M4881" i="1"/>
  <c r="N4881" i="1"/>
  <c r="M4873" i="1"/>
  <c r="N4873" i="1"/>
  <c r="N4865" i="1"/>
  <c r="M4865" i="1"/>
  <c r="N4857" i="1"/>
  <c r="M4857" i="1"/>
  <c r="M4849" i="1"/>
  <c r="N4849" i="1"/>
  <c r="M4841" i="1"/>
  <c r="N4841" i="1"/>
  <c r="M4833" i="1"/>
  <c r="N4833" i="1"/>
  <c r="M4825" i="1"/>
  <c r="N4825" i="1"/>
  <c r="M4817" i="1"/>
  <c r="N4817" i="1"/>
  <c r="M4809" i="1"/>
  <c r="N4809" i="1"/>
  <c r="N4801" i="1"/>
  <c r="M4801" i="1"/>
  <c r="M4755" i="1"/>
  <c r="N4755" i="1"/>
  <c r="M4747" i="1"/>
  <c r="N4747" i="1"/>
  <c r="M4739" i="1"/>
  <c r="N4739" i="1"/>
  <c r="M4732" i="1"/>
  <c r="N4732" i="1"/>
  <c r="M4725" i="1"/>
  <c r="N4725" i="1"/>
  <c r="M4717" i="1"/>
  <c r="N4717" i="1"/>
  <c r="M4709" i="1"/>
  <c r="N4709" i="1"/>
  <c r="M4701" i="1"/>
  <c r="N4701" i="1"/>
  <c r="M4693" i="1"/>
  <c r="N4693" i="1"/>
  <c r="M4685" i="1"/>
  <c r="N4685" i="1"/>
  <c r="M4677" i="1"/>
  <c r="N4677" i="1"/>
  <c r="M4670" i="1"/>
  <c r="N4670" i="1"/>
  <c r="M4663" i="1"/>
  <c r="N4663" i="1"/>
  <c r="M4656" i="1"/>
  <c r="N4656" i="1"/>
  <c r="M4649" i="1"/>
  <c r="N4649" i="1"/>
  <c r="M4642" i="1"/>
  <c r="N4642" i="1"/>
  <c r="M4634" i="1"/>
  <c r="N4634" i="1"/>
  <c r="M4627" i="1"/>
  <c r="N4627" i="1"/>
  <c r="M4619" i="1"/>
  <c r="N4619" i="1"/>
  <c r="M4611" i="1"/>
  <c r="N4611" i="1"/>
  <c r="M4576" i="1"/>
  <c r="N4576" i="1"/>
  <c r="M4569" i="1"/>
  <c r="N4569" i="1"/>
  <c r="M4561" i="1"/>
  <c r="N4561" i="1"/>
  <c r="M4554" i="1"/>
  <c r="N4554" i="1"/>
  <c r="M4546" i="1"/>
  <c r="N4546" i="1"/>
  <c r="M4539" i="1"/>
  <c r="N4539" i="1"/>
  <c r="M4531" i="1"/>
  <c r="N4531" i="1"/>
  <c r="M4524" i="1"/>
  <c r="N4524" i="1"/>
  <c r="M4517" i="1"/>
  <c r="N4517" i="1"/>
  <c r="M4503" i="1"/>
  <c r="N4503" i="1"/>
  <c r="M4497" i="1"/>
  <c r="N4497" i="1"/>
  <c r="M4490" i="1"/>
  <c r="N4490" i="1"/>
  <c r="M4482" i="1"/>
  <c r="N4482" i="1"/>
  <c r="M4475" i="1"/>
  <c r="N4475" i="1"/>
  <c r="M4460" i="1"/>
  <c r="N4460" i="1"/>
  <c r="M4452" i="1"/>
  <c r="N4452" i="1"/>
  <c r="M4445" i="1"/>
  <c r="N4445" i="1"/>
  <c r="N4438" i="1"/>
  <c r="M4438" i="1"/>
  <c r="M4431" i="1"/>
  <c r="N4431" i="1"/>
  <c r="M4409" i="1"/>
  <c r="N4409" i="1"/>
  <c r="M4377" i="1"/>
  <c r="N4377" i="1"/>
  <c r="M4369" i="1"/>
  <c r="N4369" i="1"/>
  <c r="M4361" i="1"/>
  <c r="N4361" i="1"/>
  <c r="M4353" i="1"/>
  <c r="N4353" i="1"/>
  <c r="M4346" i="1"/>
  <c r="N4346" i="1"/>
  <c r="M4338" i="1"/>
  <c r="N4338" i="1"/>
  <c r="M4330" i="1"/>
  <c r="N4330" i="1"/>
  <c r="M4322" i="1"/>
  <c r="N4322" i="1"/>
  <c r="M4315" i="1"/>
  <c r="N4315" i="1"/>
  <c r="M4308" i="1"/>
  <c r="N4308" i="1"/>
  <c r="M4300" i="1"/>
  <c r="N4300" i="1"/>
  <c r="M4287" i="1"/>
  <c r="N4287" i="1"/>
  <c r="M4280" i="1"/>
  <c r="N4280" i="1"/>
  <c r="M4272" i="1"/>
  <c r="N4272" i="1"/>
  <c r="M4264" i="1"/>
  <c r="N4264" i="1"/>
  <c r="M4256" i="1"/>
  <c r="N4256" i="1"/>
  <c r="M4248" i="1"/>
  <c r="N4248" i="1"/>
  <c r="M4240" i="1"/>
  <c r="N4240" i="1"/>
  <c r="M4232" i="1"/>
  <c r="N4232" i="1"/>
  <c r="M4224" i="1"/>
  <c r="N4224" i="1"/>
  <c r="M4216" i="1"/>
  <c r="N4216" i="1"/>
  <c r="M4209" i="1"/>
  <c r="N4209" i="1"/>
  <c r="M4194" i="1"/>
  <c r="N4194" i="1"/>
  <c r="M4186" i="1"/>
  <c r="N4186" i="1"/>
  <c r="M3893" i="1"/>
  <c r="N3893" i="1"/>
  <c r="M3885" i="1"/>
  <c r="N3885" i="1"/>
  <c r="M3877" i="1"/>
  <c r="N3877" i="1"/>
  <c r="N3869" i="1"/>
  <c r="M3869" i="1"/>
  <c r="M3861" i="1"/>
  <c r="N3861" i="1"/>
  <c r="M3853" i="1"/>
  <c r="N3853" i="1"/>
  <c r="M3845" i="1"/>
  <c r="N3845" i="1"/>
  <c r="M3837" i="1"/>
  <c r="N3837" i="1"/>
  <c r="M3829" i="1"/>
  <c r="N3829" i="1"/>
  <c r="M3821" i="1"/>
  <c r="N3821" i="1"/>
  <c r="M3813" i="1"/>
  <c r="N3813" i="1"/>
  <c r="M3805" i="1"/>
  <c r="N3805" i="1"/>
  <c r="M3791" i="1"/>
  <c r="N3791" i="1"/>
  <c r="M3784" i="1"/>
  <c r="N3784" i="1"/>
  <c r="M3644" i="1"/>
  <c r="N3644" i="1"/>
  <c r="M3637" i="1"/>
  <c r="N3637" i="1"/>
  <c r="M3631" i="1"/>
  <c r="N3631" i="1"/>
  <c r="M3508" i="1"/>
  <c r="N3508" i="1"/>
  <c r="M3500" i="1"/>
  <c r="N3500" i="1"/>
  <c r="M3492" i="1"/>
  <c r="N3492" i="1"/>
  <c r="M3484" i="1"/>
  <c r="N3484" i="1"/>
  <c r="M3477" i="1"/>
  <c r="N3477" i="1"/>
  <c r="M3399" i="1"/>
  <c r="N3399" i="1"/>
  <c r="M3392" i="1"/>
  <c r="N3392" i="1"/>
  <c r="M3385" i="1"/>
  <c r="N3385" i="1"/>
  <c r="M3378" i="1"/>
  <c r="N3378" i="1"/>
  <c r="M3370" i="1"/>
  <c r="N3370" i="1"/>
  <c r="M3362" i="1"/>
  <c r="N3362" i="1"/>
  <c r="M3354" i="1"/>
  <c r="N3354" i="1"/>
  <c r="M3346" i="1"/>
  <c r="N3346" i="1"/>
  <c r="M3339" i="1"/>
  <c r="N3339" i="1"/>
  <c r="M3331" i="1"/>
  <c r="N3331" i="1"/>
  <c r="M3324" i="1"/>
  <c r="N3324" i="1"/>
  <c r="M3316" i="1"/>
  <c r="N3316" i="1"/>
  <c r="M3308" i="1"/>
  <c r="N3308" i="1"/>
  <c r="M3300" i="1"/>
  <c r="N3300" i="1"/>
  <c r="M3292" i="1"/>
  <c r="N3292" i="1"/>
  <c r="M3284" i="1"/>
  <c r="N3284" i="1"/>
  <c r="M3276" i="1"/>
  <c r="N3276" i="1"/>
  <c r="M3270" i="1"/>
  <c r="N3270" i="1"/>
  <c r="M3262" i="1"/>
  <c r="N3262" i="1"/>
  <c r="M3255" i="1"/>
  <c r="N3255" i="1"/>
  <c r="M3247" i="1"/>
  <c r="N3247" i="1"/>
  <c r="M2483" i="1"/>
  <c r="N2483" i="1"/>
  <c r="M2476" i="1"/>
  <c r="N2476" i="1"/>
  <c r="M2469" i="1"/>
  <c r="N2469" i="1"/>
  <c r="M2462" i="1"/>
  <c r="N2462" i="1"/>
  <c r="M1620" i="1"/>
  <c r="N1620" i="1"/>
  <c r="M1145" i="1"/>
  <c r="N1145" i="1"/>
  <c r="M1137" i="1"/>
  <c r="N1137" i="1"/>
  <c r="M1129" i="1"/>
  <c r="N1129" i="1"/>
  <c r="M1122" i="1"/>
  <c r="N1122" i="1"/>
  <c r="M1114" i="1"/>
  <c r="N1114" i="1"/>
  <c r="M1106" i="1"/>
  <c r="N1106" i="1"/>
  <c r="M1098" i="1"/>
  <c r="N1098" i="1"/>
  <c r="M1091" i="1"/>
  <c r="N1091" i="1"/>
  <c r="M1083" i="1"/>
  <c r="N1083" i="1"/>
  <c r="M968" i="1"/>
  <c r="N968" i="1"/>
  <c r="M960" i="1"/>
  <c r="N960" i="1"/>
  <c r="M952" i="1"/>
  <c r="N952" i="1"/>
  <c r="M945" i="1"/>
  <c r="N945" i="1"/>
  <c r="M938" i="1"/>
  <c r="N938" i="1"/>
  <c r="M931" i="1"/>
  <c r="N931" i="1"/>
  <c r="M923" i="1"/>
  <c r="N923" i="1"/>
  <c r="M915" i="1"/>
  <c r="N915" i="1"/>
  <c r="M908" i="1"/>
  <c r="N908" i="1"/>
  <c r="M900" i="1"/>
  <c r="N900" i="1"/>
  <c r="M892" i="1"/>
  <c r="N892" i="1"/>
  <c r="M886" i="1"/>
  <c r="N886" i="1"/>
  <c r="M878" i="1"/>
  <c r="N878" i="1"/>
  <c r="M870" i="1"/>
  <c r="N870" i="1"/>
  <c r="M862" i="1"/>
  <c r="N862" i="1"/>
  <c r="M854" i="1"/>
  <c r="N854" i="1"/>
  <c r="M846" i="1"/>
  <c r="N846" i="1"/>
  <c r="M838" i="1"/>
  <c r="N838" i="1"/>
  <c r="M831" i="1"/>
  <c r="N831" i="1"/>
  <c r="M823" i="1"/>
  <c r="N823" i="1"/>
  <c r="M815" i="1"/>
  <c r="N815" i="1"/>
  <c r="M807" i="1"/>
  <c r="N807" i="1"/>
  <c r="M799" i="1"/>
  <c r="N799" i="1"/>
  <c r="M792" i="1"/>
  <c r="N792" i="1"/>
  <c r="M784" i="1"/>
  <c r="N784" i="1"/>
  <c r="M776" i="1"/>
  <c r="N776" i="1"/>
  <c r="M768" i="1"/>
  <c r="N768" i="1"/>
  <c r="M760" i="1"/>
  <c r="N760" i="1"/>
  <c r="M753" i="1"/>
  <c r="N753" i="1"/>
  <c r="M745" i="1"/>
  <c r="N745" i="1"/>
  <c r="M737" i="1"/>
  <c r="N737" i="1"/>
  <c r="M729" i="1"/>
  <c r="N729" i="1"/>
  <c r="M721" i="1"/>
  <c r="N721" i="1"/>
  <c r="M697" i="1"/>
  <c r="N697" i="1"/>
  <c r="M682" i="1"/>
  <c r="N682" i="1"/>
  <c r="M674" i="1"/>
  <c r="N674" i="1"/>
  <c r="M667" i="1"/>
  <c r="N667" i="1"/>
  <c r="M661" i="1"/>
  <c r="N661" i="1"/>
  <c r="M654" i="1"/>
  <c r="N654" i="1"/>
  <c r="M646" i="1"/>
  <c r="N646" i="1"/>
  <c r="M631" i="1"/>
  <c r="N631" i="1"/>
  <c r="M624" i="1"/>
  <c r="N624" i="1"/>
  <c r="M616" i="1"/>
  <c r="N616" i="1"/>
  <c r="M608" i="1"/>
  <c r="N608" i="1"/>
  <c r="M600" i="1"/>
  <c r="N600" i="1"/>
  <c r="M593" i="1"/>
  <c r="N593" i="1"/>
  <c r="M585" i="1"/>
  <c r="N585" i="1"/>
  <c r="M577" i="1"/>
  <c r="N577" i="1"/>
  <c r="M569" i="1"/>
  <c r="N569" i="1"/>
  <c r="M561" i="1"/>
  <c r="N561" i="1"/>
  <c r="M553" i="1"/>
  <c r="N553" i="1"/>
  <c r="M545" i="1"/>
  <c r="N545" i="1"/>
  <c r="M537" i="1"/>
  <c r="N537" i="1"/>
  <c r="M529" i="1"/>
  <c r="N529" i="1"/>
  <c r="M521" i="1"/>
  <c r="N521" i="1"/>
  <c r="M506" i="1"/>
  <c r="N506" i="1"/>
  <c r="M498" i="1"/>
  <c r="N498" i="1"/>
  <c r="M490" i="1"/>
  <c r="N490" i="1"/>
  <c r="M414" i="1"/>
  <c r="N414" i="1"/>
  <c r="N6647" i="1"/>
  <c r="N3470" i="1"/>
  <c r="M5945" i="1"/>
  <c r="N5945" i="1"/>
  <c r="M5904" i="1"/>
  <c r="N5904" i="1"/>
  <c r="M5539" i="1"/>
  <c r="N5539" i="1"/>
  <c r="M5518" i="1"/>
  <c r="N5518" i="1"/>
  <c r="M5488" i="1"/>
  <c r="N5488" i="1"/>
  <c r="M5442" i="1"/>
  <c r="N5442" i="1"/>
  <c r="M5372" i="1"/>
  <c r="N5372" i="1"/>
  <c r="N5335" i="1"/>
  <c r="M5335" i="1"/>
  <c r="M5254" i="1"/>
  <c r="N5254" i="1"/>
  <c r="M5216" i="1"/>
  <c r="N5216" i="1"/>
  <c r="M5201" i="1"/>
  <c r="N5201" i="1"/>
  <c r="M5113" i="1"/>
  <c r="N5113" i="1"/>
  <c r="M5059" i="1"/>
  <c r="N5059" i="1"/>
  <c r="M5004" i="1"/>
  <c r="N5004" i="1"/>
  <c r="M4830" i="1"/>
  <c r="N4830" i="1"/>
  <c r="M4798" i="1"/>
  <c r="N4798" i="1"/>
  <c r="M4767" i="1"/>
  <c r="N4767" i="1"/>
  <c r="M4706" i="1"/>
  <c r="N4706" i="1"/>
  <c r="M4581" i="1"/>
  <c r="N4581" i="1"/>
  <c r="M4078" i="1"/>
  <c r="N4078" i="1"/>
  <c r="M4001" i="1"/>
  <c r="N4001" i="1"/>
  <c r="M3953" i="1"/>
  <c r="N3953" i="1"/>
  <c r="M3906" i="1"/>
  <c r="N3906" i="1"/>
  <c r="M3866" i="1"/>
  <c r="N3866" i="1"/>
  <c r="M3567" i="1"/>
  <c r="N3567" i="1"/>
  <c r="M3481" i="1"/>
  <c r="N3481" i="1"/>
  <c r="M3426" i="1"/>
  <c r="N3426" i="1"/>
  <c r="M3204" i="1"/>
  <c r="N3204" i="1"/>
  <c r="M3159" i="1"/>
  <c r="N3159" i="1"/>
  <c r="M3114" i="1"/>
  <c r="N3114" i="1"/>
  <c r="M3068" i="1"/>
  <c r="N3068" i="1"/>
  <c r="M3005" i="1"/>
  <c r="N3005" i="1"/>
  <c r="M2954" i="1"/>
  <c r="N2954" i="1"/>
  <c r="M2857" i="1"/>
  <c r="N2857" i="1"/>
  <c r="M2818" i="1"/>
  <c r="N2818" i="1"/>
  <c r="M2504" i="1"/>
  <c r="N2504" i="1"/>
  <c r="M1601" i="1"/>
  <c r="N1601" i="1"/>
  <c r="M1539" i="1"/>
  <c r="N1539" i="1"/>
  <c r="M1420" i="1"/>
  <c r="N1420" i="1"/>
  <c r="M1308" i="1"/>
  <c r="N1308" i="1"/>
  <c r="M1269" i="1"/>
  <c r="N1269" i="1"/>
  <c r="M1248" i="1"/>
  <c r="N1248" i="1"/>
  <c r="M141" i="1"/>
  <c r="N141" i="1"/>
  <c r="M6766" i="1"/>
  <c r="N6766" i="1"/>
  <c r="M6716" i="1"/>
  <c r="N6716" i="1"/>
  <c r="M6680" i="1"/>
  <c r="N6680" i="1"/>
  <c r="N6546" i="1"/>
  <c r="M6546" i="1"/>
  <c r="M6505" i="1"/>
  <c r="N6505" i="1"/>
  <c r="M6447" i="1"/>
  <c r="N6447" i="1"/>
  <c r="M6402" i="1"/>
  <c r="N6402" i="1"/>
  <c r="M6355" i="1"/>
  <c r="N6355" i="1"/>
  <c r="M6306" i="1"/>
  <c r="N6306" i="1"/>
  <c r="M6262" i="1"/>
  <c r="N6262" i="1"/>
  <c r="M6220" i="1"/>
  <c r="N6220" i="1"/>
  <c r="M6041" i="1"/>
  <c r="N6041" i="1"/>
  <c r="M5938" i="1"/>
  <c r="N5938" i="1"/>
  <c r="M5771" i="1"/>
  <c r="N5771" i="1"/>
  <c r="M5736" i="1"/>
  <c r="N5736" i="1"/>
  <c r="M5697" i="1"/>
  <c r="N5697" i="1"/>
  <c r="M5654" i="1"/>
  <c r="N5654" i="1"/>
  <c r="M5602" i="1"/>
  <c r="N5602" i="1"/>
  <c r="M5567" i="1"/>
  <c r="N5567" i="1"/>
  <c r="M5538" i="1"/>
  <c r="N5538" i="1"/>
  <c r="M5487" i="1"/>
  <c r="N5487" i="1"/>
  <c r="M4630" i="1"/>
  <c r="N4630" i="1"/>
  <c r="M4600" i="1"/>
  <c r="N4600" i="1"/>
  <c r="M4381" i="1"/>
  <c r="N4381" i="1"/>
  <c r="M4342" i="1"/>
  <c r="N4342" i="1"/>
  <c r="M4244" i="1"/>
  <c r="N4244" i="1"/>
  <c r="M4198" i="1"/>
  <c r="N4198" i="1"/>
  <c r="M4146" i="1"/>
  <c r="N4146" i="1"/>
  <c r="M4107" i="1"/>
  <c r="N4107" i="1"/>
  <c r="M4077" i="1"/>
  <c r="N4077" i="1"/>
  <c r="M3984" i="1"/>
  <c r="N3984" i="1"/>
  <c r="M3952" i="1"/>
  <c r="N3952" i="1"/>
  <c r="M3921" i="1"/>
  <c r="N3921" i="1"/>
  <c r="M3889" i="1"/>
  <c r="N3889" i="1"/>
  <c r="M3701" i="1"/>
  <c r="N3701" i="1"/>
  <c r="M3655" i="1"/>
  <c r="N3655" i="1"/>
  <c r="M3647" i="1"/>
  <c r="N3647" i="1"/>
  <c r="M3496" i="1"/>
  <c r="N3496" i="1"/>
  <c r="M3396" i="1"/>
  <c r="N3396" i="1"/>
  <c r="M3280" i="1"/>
  <c r="N3280" i="1"/>
  <c r="M3235" i="1"/>
  <c r="N3235" i="1"/>
  <c r="M3211" i="1"/>
  <c r="N3211" i="1"/>
  <c r="M2679" i="1"/>
  <c r="N2679" i="1"/>
  <c r="M2650" i="1"/>
  <c r="N2650" i="1"/>
  <c r="M2621" i="1"/>
  <c r="N2621" i="1"/>
  <c r="M2574" i="1"/>
  <c r="N2574" i="1"/>
  <c r="M2004" i="1"/>
  <c r="N2004" i="1"/>
  <c r="M1965" i="1"/>
  <c r="N1965" i="1"/>
  <c r="M1920" i="1"/>
  <c r="N1920" i="1"/>
  <c r="M1882" i="1"/>
  <c r="N1882" i="1"/>
  <c r="M1608" i="1"/>
  <c r="N1608" i="1"/>
  <c r="M1585" i="1"/>
  <c r="N1585" i="1"/>
  <c r="M1449" i="1"/>
  <c r="N1449" i="1"/>
  <c r="M1369" i="1"/>
  <c r="N1369" i="1"/>
  <c r="M486" i="1"/>
  <c r="N486" i="1"/>
  <c r="M440" i="1"/>
  <c r="N440" i="1"/>
  <c r="M265" i="1"/>
  <c r="N265" i="1"/>
  <c r="M219" i="1"/>
  <c r="N219" i="1"/>
  <c r="M211" i="1"/>
  <c r="N211" i="1"/>
  <c r="M6765" i="1"/>
  <c r="N6765" i="1"/>
  <c r="M6708" i="1"/>
  <c r="N6708" i="1"/>
  <c r="M6609" i="1"/>
  <c r="N6609" i="1"/>
  <c r="M6573" i="1"/>
  <c r="N6573" i="1"/>
  <c r="M6530" i="1"/>
  <c r="N6530" i="1"/>
  <c r="M6424" i="1"/>
  <c r="N6424" i="1"/>
  <c r="M6348" i="1"/>
  <c r="N6348" i="1"/>
  <c r="M6319" i="1"/>
  <c r="N6319" i="1"/>
  <c r="M6305" i="1"/>
  <c r="N6305" i="1"/>
  <c r="M6181" i="1"/>
  <c r="N6181" i="1"/>
  <c r="M6134" i="1"/>
  <c r="N6134" i="1"/>
  <c r="M6098" i="1"/>
  <c r="N6098" i="1"/>
  <c r="M6062" i="1"/>
  <c r="N6062" i="1"/>
  <c r="M6026" i="1"/>
  <c r="N6026" i="1"/>
  <c r="M6018" i="1"/>
  <c r="N6018" i="1"/>
  <c r="M5988" i="1"/>
  <c r="N5988" i="1"/>
  <c r="M5951" i="1"/>
  <c r="N5951" i="1"/>
  <c r="N5881" i="1"/>
  <c r="M5881" i="1"/>
  <c r="M5859" i="1"/>
  <c r="N5859" i="1"/>
  <c r="M5830" i="1"/>
  <c r="N5830" i="1"/>
  <c r="M5786" i="1"/>
  <c r="N5786" i="1"/>
  <c r="M5742" i="1"/>
  <c r="N5742" i="1"/>
  <c r="M5704" i="1"/>
  <c r="N5704" i="1"/>
  <c r="M5667" i="1"/>
  <c r="N5667" i="1"/>
  <c r="N5630" i="1"/>
  <c r="M5630" i="1"/>
  <c r="M5587" i="1"/>
  <c r="N5587" i="1"/>
  <c r="M5545" i="1"/>
  <c r="N5545" i="1"/>
  <c r="M5433" i="1"/>
  <c r="N5433" i="1"/>
  <c r="M5399" i="1"/>
  <c r="N5399" i="1"/>
  <c r="M5354" i="1"/>
  <c r="N5354" i="1"/>
  <c r="M5316" i="1"/>
  <c r="N5316" i="1"/>
  <c r="M5274" i="1"/>
  <c r="N5274" i="1"/>
  <c r="M5236" i="1"/>
  <c r="N5236" i="1"/>
  <c r="M5178" i="1"/>
  <c r="N5178" i="1"/>
  <c r="M5143" i="1"/>
  <c r="N5143" i="1"/>
  <c r="N5119" i="1"/>
  <c r="M5119" i="1"/>
  <c r="M5096" i="1"/>
  <c r="N5096" i="1"/>
  <c r="M4970" i="1"/>
  <c r="N4970" i="1"/>
  <c r="M4930" i="1"/>
  <c r="N4930" i="1"/>
  <c r="M4891" i="1"/>
  <c r="N4891" i="1"/>
  <c r="M4860" i="1"/>
  <c r="N4860" i="1"/>
  <c r="N4820" i="1"/>
  <c r="M4820" i="1"/>
  <c r="M4788" i="1"/>
  <c r="N4788" i="1"/>
  <c r="M4750" i="1"/>
  <c r="N4750" i="1"/>
  <c r="M4720" i="1"/>
  <c r="N4720" i="1"/>
  <c r="M4644" i="1"/>
  <c r="N4644" i="1"/>
  <c r="M4564" i="1"/>
  <c r="N4564" i="1"/>
  <c r="M4455" i="1"/>
  <c r="N4455" i="1"/>
  <c r="M4412" i="1"/>
  <c r="N4412" i="1"/>
  <c r="M4372" i="1"/>
  <c r="N4372" i="1"/>
  <c r="M4289" i="1"/>
  <c r="N4289" i="1"/>
  <c r="M4267" i="1"/>
  <c r="N4267" i="1"/>
  <c r="M4243" i="1"/>
  <c r="N4243" i="1"/>
  <c r="M4212" i="1"/>
  <c r="N4212" i="1"/>
  <c r="M4174" i="1"/>
  <c r="N4174" i="1"/>
  <c r="M4166" i="1"/>
  <c r="N4166" i="1"/>
  <c r="M4130" i="1"/>
  <c r="N4130" i="1"/>
  <c r="M4084" i="1"/>
  <c r="N4084" i="1"/>
  <c r="M4031" i="1"/>
  <c r="N4031" i="1"/>
  <c r="M4007" i="1"/>
  <c r="N4007" i="1"/>
  <c r="M3967" i="1"/>
  <c r="N3967" i="1"/>
  <c r="M3928" i="1"/>
  <c r="N3928" i="1"/>
  <c r="M3771" i="1"/>
  <c r="N3771" i="1"/>
  <c r="M3731" i="1"/>
  <c r="N3731" i="1"/>
  <c r="M3692" i="1"/>
  <c r="N3692" i="1"/>
  <c r="M3661" i="1"/>
  <c r="N3661" i="1"/>
  <c r="M3511" i="1"/>
  <c r="N3511" i="1"/>
  <c r="M3409" i="1"/>
  <c r="N3409" i="1"/>
  <c r="M3303" i="1"/>
  <c r="N3303" i="1"/>
  <c r="M3258" i="1"/>
  <c r="N3258" i="1"/>
  <c r="M2808" i="1"/>
  <c r="N2808" i="1"/>
  <c r="M2777" i="1"/>
  <c r="N2777" i="1"/>
  <c r="M2740" i="1"/>
  <c r="N2740" i="1"/>
  <c r="M2701" i="1"/>
  <c r="N2701" i="1"/>
  <c r="M2663" i="1"/>
  <c r="N2663" i="1"/>
  <c r="M2627" i="1"/>
  <c r="N2627" i="1"/>
  <c r="M2589" i="1"/>
  <c r="N2589" i="1"/>
  <c r="N2558" i="1"/>
  <c r="M2558" i="1"/>
  <c r="M2542" i="1"/>
  <c r="N2542" i="1"/>
  <c r="M2355" i="1"/>
  <c r="N2355" i="1"/>
  <c r="M2300" i="1"/>
  <c r="N2300" i="1"/>
  <c r="M2140" i="1"/>
  <c r="N2140" i="1"/>
  <c r="M2102" i="1"/>
  <c r="N2102" i="1"/>
  <c r="M2081" i="1"/>
  <c r="N2081" i="1"/>
  <c r="M2049" i="1"/>
  <c r="N2049" i="1"/>
  <c r="M2026" i="1"/>
  <c r="N2026" i="1"/>
  <c r="M1995" i="1"/>
  <c r="N1995" i="1"/>
  <c r="M1964" i="1"/>
  <c r="N1964" i="1"/>
  <c r="M1943" i="1"/>
  <c r="N1943" i="1"/>
  <c r="M1904" i="1"/>
  <c r="N1904" i="1"/>
  <c r="M1217" i="1"/>
  <c r="N1217" i="1"/>
  <c r="M1147" i="1"/>
  <c r="N1147" i="1"/>
  <c r="M716" i="1"/>
  <c r="N716" i="1"/>
  <c r="M685" i="1"/>
  <c r="N685" i="1"/>
  <c r="M447" i="1"/>
  <c r="N447" i="1"/>
  <c r="M45" i="1"/>
  <c r="N45" i="1"/>
  <c r="M13" i="1"/>
  <c r="N13" i="1"/>
  <c r="M6779" i="1"/>
  <c r="N6779" i="1"/>
  <c r="M6642" i="1"/>
  <c r="N6642" i="1"/>
  <c r="M6622" i="1"/>
  <c r="N6622" i="1"/>
  <c r="M6593" i="1"/>
  <c r="N6593" i="1"/>
  <c r="M6572" i="1"/>
  <c r="N6572" i="1"/>
  <c r="M6544" i="1"/>
  <c r="N6544" i="1"/>
  <c r="M6516" i="1"/>
  <c r="N6516" i="1"/>
  <c r="M6489" i="1"/>
  <c r="N6489" i="1"/>
  <c r="M6481" i="1"/>
  <c r="N6481" i="1"/>
  <c r="M6453" i="1"/>
  <c r="N6453" i="1"/>
  <c r="M6430" i="1"/>
  <c r="N6430" i="1"/>
  <c r="M6210" i="1"/>
  <c r="N6210" i="1"/>
  <c r="M6180" i="1"/>
  <c r="N6180" i="1"/>
  <c r="M6157" i="1"/>
  <c r="N6157" i="1"/>
  <c r="M6125" i="1"/>
  <c r="N6125" i="1"/>
  <c r="M6103" i="1"/>
  <c r="N6103" i="1"/>
  <c r="M6090" i="1"/>
  <c r="N6090" i="1"/>
  <c r="M6061" i="1"/>
  <c r="N6061" i="1"/>
  <c r="M6039" i="1"/>
  <c r="N6039" i="1"/>
  <c r="M6010" i="1"/>
  <c r="N6010" i="1"/>
  <c r="M5987" i="1"/>
  <c r="N5987" i="1"/>
  <c r="M5901" i="1"/>
  <c r="N5901" i="1"/>
  <c r="N5873" i="1"/>
  <c r="M5873" i="1"/>
  <c r="M5845" i="1"/>
  <c r="N5845" i="1"/>
  <c r="N5777" i="1"/>
  <c r="M5777" i="1"/>
  <c r="M5544" i="1"/>
  <c r="N5544" i="1"/>
  <c r="M6784" i="1"/>
  <c r="N6784" i="1"/>
  <c r="M6776" i="1"/>
  <c r="N6776" i="1"/>
  <c r="M6756" i="1"/>
  <c r="N6756" i="1"/>
  <c r="M6748" i="1"/>
  <c r="N6748" i="1"/>
  <c r="M6740" i="1"/>
  <c r="N6740" i="1"/>
  <c r="M6733" i="1"/>
  <c r="N6733" i="1"/>
  <c r="M6725" i="1"/>
  <c r="N6725" i="1"/>
  <c r="M6718" i="1"/>
  <c r="N6718" i="1"/>
  <c r="M6711" i="1"/>
  <c r="N6711" i="1"/>
  <c r="M6704" i="1"/>
  <c r="N6704" i="1"/>
  <c r="M6697" i="1"/>
  <c r="N6697" i="1"/>
  <c r="M6676" i="1"/>
  <c r="N6676" i="1"/>
  <c r="M6661" i="1"/>
  <c r="N6661" i="1"/>
  <c r="M6639" i="1"/>
  <c r="N6639" i="1"/>
  <c r="M6633" i="1"/>
  <c r="N6633" i="1"/>
  <c r="M6626" i="1"/>
  <c r="N6626" i="1"/>
  <c r="M6619" i="1"/>
  <c r="N6619" i="1"/>
  <c r="M6598" i="1"/>
  <c r="N6598" i="1"/>
  <c r="N6590" i="1"/>
  <c r="M6590" i="1"/>
  <c r="M6583" i="1"/>
  <c r="N6583" i="1"/>
  <c r="M6564" i="1"/>
  <c r="N6564" i="1"/>
  <c r="M6556" i="1"/>
  <c r="N6556" i="1"/>
  <c r="M6442" i="1"/>
  <c r="N6442" i="1"/>
  <c r="M6427" i="1"/>
  <c r="N6427" i="1"/>
  <c r="M6420" i="1"/>
  <c r="N6420" i="1"/>
  <c r="M6405" i="1"/>
  <c r="N6405" i="1"/>
  <c r="M6384" i="1"/>
  <c r="N6384" i="1"/>
  <c r="M6371" i="1"/>
  <c r="N6371" i="1"/>
  <c r="M6364" i="1"/>
  <c r="N6364" i="1"/>
  <c r="M6351" i="1"/>
  <c r="N6351" i="1"/>
  <c r="M6344" i="1"/>
  <c r="N6344" i="1"/>
  <c r="M6336" i="1"/>
  <c r="N6336" i="1"/>
  <c r="M6329" i="1"/>
  <c r="N6329" i="1"/>
  <c r="M6315" i="1"/>
  <c r="N6315" i="1"/>
  <c r="M6302" i="1"/>
  <c r="N6302" i="1"/>
  <c r="M6295" i="1"/>
  <c r="N6295" i="1"/>
  <c r="M6287" i="1"/>
  <c r="N6287" i="1"/>
  <c r="M6280" i="1"/>
  <c r="N6280" i="1"/>
  <c r="M6273" i="1"/>
  <c r="N6273" i="1"/>
  <c r="M6265" i="1"/>
  <c r="N6265" i="1"/>
  <c r="M6251" i="1"/>
  <c r="N6251" i="1"/>
  <c r="M6238" i="1"/>
  <c r="N6238" i="1"/>
  <c r="M6231" i="1"/>
  <c r="N6231" i="1"/>
  <c r="N6223" i="1"/>
  <c r="M6223" i="1"/>
  <c r="M6215" i="1"/>
  <c r="N6215" i="1"/>
  <c r="M6207" i="1"/>
  <c r="N6207" i="1"/>
  <c r="M6199" i="1"/>
  <c r="N6199" i="1"/>
  <c r="M6191" i="1"/>
  <c r="N6191" i="1"/>
  <c r="M6185" i="1"/>
  <c r="N6185" i="1"/>
  <c r="M6177" i="1"/>
  <c r="N6177" i="1"/>
  <c r="M6169" i="1"/>
  <c r="N6169" i="1"/>
  <c r="M6154" i="1"/>
  <c r="N6154" i="1"/>
  <c r="M6146" i="1"/>
  <c r="N6146" i="1"/>
  <c r="N6138" i="1"/>
  <c r="M6138" i="1"/>
  <c r="M6130" i="1"/>
  <c r="N6130" i="1"/>
  <c r="M6122" i="1"/>
  <c r="N6122" i="1"/>
  <c r="M6116" i="1"/>
  <c r="N6116" i="1"/>
  <c r="M6108" i="1"/>
  <c r="N6108" i="1"/>
  <c r="M6094" i="1"/>
  <c r="N6094" i="1"/>
  <c r="N6088" i="1"/>
  <c r="M6088" i="1"/>
  <c r="M6080" i="1"/>
  <c r="N6080" i="1"/>
  <c r="M6072" i="1"/>
  <c r="N6072" i="1"/>
  <c r="M5985" i="1"/>
  <c r="N5985" i="1"/>
  <c r="M5977" i="1"/>
  <c r="N5977" i="1"/>
  <c r="M5962" i="1"/>
  <c r="N5962" i="1"/>
  <c r="M5955" i="1"/>
  <c r="N5955" i="1"/>
  <c r="M5947" i="1"/>
  <c r="N5947" i="1"/>
  <c r="M5941" i="1"/>
  <c r="N5941" i="1"/>
  <c r="M5933" i="1"/>
  <c r="N5933" i="1"/>
  <c r="M5926" i="1"/>
  <c r="N5926" i="1"/>
  <c r="M5919" i="1"/>
  <c r="N5919" i="1"/>
  <c r="M5912" i="1"/>
  <c r="N5912" i="1"/>
  <c r="M5906" i="1"/>
  <c r="N5906" i="1"/>
  <c r="M5898" i="1"/>
  <c r="N5898" i="1"/>
  <c r="M5891" i="1"/>
  <c r="N5891" i="1"/>
  <c r="M5877" i="1"/>
  <c r="N5877" i="1"/>
  <c r="M5870" i="1"/>
  <c r="N5870" i="1"/>
  <c r="M5863" i="1"/>
  <c r="N5863" i="1"/>
  <c r="M5856" i="1"/>
  <c r="N5856" i="1"/>
  <c r="M5842" i="1"/>
  <c r="N5842" i="1"/>
  <c r="M5834" i="1"/>
  <c r="N5834" i="1"/>
  <c r="M5826" i="1"/>
  <c r="N5826" i="1"/>
  <c r="M5818" i="1"/>
  <c r="N5818" i="1"/>
  <c r="M5804" i="1"/>
  <c r="N5804" i="1"/>
  <c r="M5797" i="1"/>
  <c r="N5797" i="1"/>
  <c r="M5790" i="1"/>
  <c r="N5790" i="1"/>
  <c r="M5782" i="1"/>
  <c r="N5782" i="1"/>
  <c r="M5774" i="1"/>
  <c r="N5774" i="1"/>
  <c r="M5766" i="1"/>
  <c r="N5766" i="1"/>
  <c r="M5759" i="1"/>
  <c r="N5759" i="1"/>
  <c r="M5753" i="1"/>
  <c r="N5753" i="1"/>
  <c r="M5746" i="1"/>
  <c r="N5746" i="1"/>
  <c r="M5738" i="1"/>
  <c r="N5738" i="1"/>
  <c r="M5731" i="1"/>
  <c r="N5731" i="1"/>
  <c r="M5723" i="1"/>
  <c r="N5723" i="1"/>
  <c r="M5716" i="1"/>
  <c r="N5716" i="1"/>
  <c r="M5708" i="1"/>
  <c r="N5708" i="1"/>
  <c r="M5700" i="1"/>
  <c r="N5700" i="1"/>
  <c r="M5692" i="1"/>
  <c r="N5692" i="1"/>
  <c r="M5685" i="1"/>
  <c r="N5685" i="1"/>
  <c r="M5670" i="1"/>
  <c r="N5670" i="1"/>
  <c r="M5664" i="1"/>
  <c r="N5664" i="1"/>
  <c r="M5657" i="1"/>
  <c r="N5657" i="1"/>
  <c r="M5649" i="1"/>
  <c r="N5649" i="1"/>
  <c r="M5642" i="1"/>
  <c r="N5642" i="1"/>
  <c r="M5634" i="1"/>
  <c r="N5634" i="1"/>
  <c r="N5626" i="1"/>
  <c r="M5626" i="1"/>
  <c r="M5611" i="1"/>
  <c r="N5611" i="1"/>
  <c r="M5597" i="1"/>
  <c r="N5597" i="1"/>
  <c r="M5591" i="1"/>
  <c r="N5591" i="1"/>
  <c r="M5583" i="1"/>
  <c r="N5583" i="1"/>
  <c r="M5576" i="1"/>
  <c r="N5576" i="1"/>
  <c r="M5563" i="1"/>
  <c r="N5563" i="1"/>
  <c r="M5556" i="1"/>
  <c r="N5556" i="1"/>
  <c r="M5549" i="1"/>
  <c r="N5549" i="1"/>
  <c r="M5541" i="1"/>
  <c r="N5541" i="1"/>
  <c r="M5474" i="1"/>
  <c r="N5474" i="1"/>
  <c r="M5466" i="1"/>
  <c r="N5466" i="1"/>
  <c r="M5458" i="1"/>
  <c r="N5458" i="1"/>
  <c r="M5451" i="1"/>
  <c r="N5451" i="1"/>
  <c r="M5444" i="1"/>
  <c r="N5444" i="1"/>
  <c r="M5437" i="1"/>
  <c r="N5437" i="1"/>
  <c r="M5430" i="1"/>
  <c r="N5430" i="1"/>
  <c r="M5424" i="1"/>
  <c r="N5424" i="1"/>
  <c r="M5416" i="1"/>
  <c r="N5416" i="1"/>
  <c r="M5409" i="1"/>
  <c r="N5409" i="1"/>
  <c r="M5402" i="1"/>
  <c r="N5402" i="1"/>
  <c r="M5396" i="1"/>
  <c r="N5396" i="1"/>
  <c r="M5388" i="1"/>
  <c r="N5388" i="1"/>
  <c r="M5381" i="1"/>
  <c r="N5381" i="1"/>
  <c r="M5374" i="1"/>
  <c r="N5374" i="1"/>
  <c r="M5263" i="1"/>
  <c r="N5263" i="1"/>
  <c r="M5248" i="1"/>
  <c r="N5248" i="1"/>
  <c r="M5240" i="1"/>
  <c r="N5240" i="1"/>
  <c r="M5232" i="1"/>
  <c r="N5232" i="1"/>
  <c r="M5225" i="1"/>
  <c r="N5225" i="1"/>
  <c r="M5218" i="1"/>
  <c r="N5218" i="1"/>
  <c r="M5211" i="1"/>
  <c r="N5211" i="1"/>
  <c r="M5203" i="1"/>
  <c r="N5203" i="1"/>
  <c r="M5197" i="1"/>
  <c r="N5197" i="1"/>
  <c r="M5189" i="1"/>
  <c r="N5189" i="1"/>
  <c r="M5182" i="1"/>
  <c r="N5182" i="1"/>
  <c r="M5174" i="1"/>
  <c r="N5174" i="1"/>
  <c r="M5167" i="1"/>
  <c r="N5167" i="1"/>
  <c r="M5160" i="1"/>
  <c r="N5160" i="1"/>
  <c r="M5139" i="1"/>
  <c r="N5139" i="1"/>
  <c r="M5131" i="1"/>
  <c r="N5131" i="1"/>
  <c r="M5123" i="1"/>
  <c r="N5123" i="1"/>
  <c r="M5115" i="1"/>
  <c r="N5115" i="1"/>
  <c r="M5107" i="1"/>
  <c r="N5107" i="1"/>
  <c r="M5092" i="1"/>
  <c r="N5092" i="1"/>
  <c r="M5084" i="1"/>
  <c r="N5084" i="1"/>
  <c r="M5076" i="1"/>
  <c r="N5076" i="1"/>
  <c r="M5069" i="1"/>
  <c r="N5069" i="1"/>
  <c r="M5061" i="1"/>
  <c r="N5061" i="1"/>
  <c r="M5053" i="1"/>
  <c r="N5053" i="1"/>
  <c r="M5045" i="1"/>
  <c r="N5045" i="1"/>
  <c r="M5037" i="1"/>
  <c r="N5037" i="1"/>
  <c r="M5030" i="1"/>
  <c r="N5030" i="1"/>
  <c r="M5022" i="1"/>
  <c r="N5022" i="1"/>
  <c r="M5014" i="1"/>
  <c r="N5014" i="1"/>
  <c r="M5006" i="1"/>
  <c r="N5006" i="1"/>
  <c r="M4998" i="1"/>
  <c r="N4998" i="1"/>
  <c r="M4990" i="1"/>
  <c r="N4990" i="1"/>
  <c r="M4982" i="1"/>
  <c r="N4982" i="1"/>
  <c r="M4974" i="1"/>
  <c r="N4974" i="1"/>
  <c r="M4966" i="1"/>
  <c r="N4966" i="1"/>
  <c r="M4958" i="1"/>
  <c r="N4958" i="1"/>
  <c r="M4950" i="1"/>
  <c r="N4950" i="1"/>
  <c r="M4942" i="1"/>
  <c r="N4942" i="1"/>
  <c r="M4934" i="1"/>
  <c r="N4934" i="1"/>
  <c r="M4926" i="1"/>
  <c r="N4926" i="1"/>
  <c r="M4911" i="1"/>
  <c r="N4911" i="1"/>
  <c r="M4903" i="1"/>
  <c r="N4903" i="1"/>
  <c r="M4895" i="1"/>
  <c r="N4895" i="1"/>
  <c r="M4887" i="1"/>
  <c r="N4887" i="1"/>
  <c r="M4880" i="1"/>
  <c r="N4880" i="1"/>
  <c r="M4872" i="1"/>
  <c r="N4872" i="1"/>
  <c r="N4864" i="1"/>
  <c r="M4864" i="1"/>
  <c r="M4856" i="1"/>
  <c r="N4856" i="1"/>
  <c r="M4762" i="1"/>
  <c r="N4762" i="1"/>
  <c r="M4754" i="1"/>
  <c r="N4754" i="1"/>
  <c r="N4746" i="1"/>
  <c r="M4746" i="1"/>
  <c r="M4724" i="1"/>
  <c r="N4724" i="1"/>
  <c r="M4716" i="1"/>
  <c r="N4716" i="1"/>
  <c r="M4708" i="1"/>
  <c r="N4708" i="1"/>
  <c r="N4700" i="1"/>
  <c r="M4700" i="1"/>
  <c r="M4692" i="1"/>
  <c r="N4692" i="1"/>
  <c r="N4684" i="1"/>
  <c r="M4684" i="1"/>
  <c r="M4676" i="1"/>
  <c r="N4676" i="1"/>
  <c r="M4669" i="1"/>
  <c r="N4669" i="1"/>
  <c r="M4655" i="1"/>
  <c r="N4655" i="1"/>
  <c r="M4648" i="1"/>
  <c r="N4648" i="1"/>
  <c r="M4641" i="1"/>
  <c r="N4641" i="1"/>
  <c r="M4575" i="1"/>
  <c r="N4575" i="1"/>
  <c r="M4568" i="1"/>
  <c r="N4568" i="1"/>
  <c r="M4560" i="1"/>
  <c r="N4560" i="1"/>
  <c r="M4553" i="1"/>
  <c r="N4553" i="1"/>
  <c r="M4538" i="1"/>
  <c r="N4538" i="1"/>
  <c r="M4530" i="1"/>
  <c r="N4530" i="1"/>
  <c r="M4523" i="1"/>
  <c r="N4523" i="1"/>
  <c r="M4510" i="1"/>
  <c r="N4510" i="1"/>
  <c r="M4489" i="1"/>
  <c r="N4489" i="1"/>
  <c r="M4474" i="1"/>
  <c r="N4474" i="1"/>
  <c r="M4408" i="1"/>
  <c r="N4408" i="1"/>
  <c r="M4400" i="1"/>
  <c r="N4400" i="1"/>
  <c r="M4392" i="1"/>
  <c r="N4392" i="1"/>
  <c r="M4384" i="1"/>
  <c r="N4384" i="1"/>
  <c r="M4376" i="1"/>
  <c r="N4376" i="1"/>
  <c r="M4368" i="1"/>
  <c r="N4368" i="1"/>
  <c r="M4360" i="1"/>
  <c r="N4360" i="1"/>
  <c r="M4345" i="1"/>
  <c r="N4345" i="1"/>
  <c r="M4337" i="1"/>
  <c r="N4337" i="1"/>
  <c r="M4329" i="1"/>
  <c r="N4329" i="1"/>
  <c r="M4321" i="1"/>
  <c r="N4321" i="1"/>
  <c r="M4314" i="1"/>
  <c r="N4314" i="1"/>
  <c r="M4307" i="1"/>
  <c r="N4307" i="1"/>
  <c r="M4293" i="1"/>
  <c r="N4293" i="1"/>
  <c r="M4286" i="1"/>
  <c r="N4286" i="1"/>
  <c r="M4279" i="1"/>
  <c r="N4279" i="1"/>
  <c r="M4271" i="1"/>
  <c r="N4271" i="1"/>
  <c r="M4263" i="1"/>
  <c r="N4263" i="1"/>
  <c r="M4255" i="1"/>
  <c r="N4255" i="1"/>
  <c r="M4185" i="1"/>
  <c r="N4185" i="1"/>
  <c r="M4050" i="1"/>
  <c r="N4050" i="1"/>
  <c r="M4042" i="1"/>
  <c r="N4042" i="1"/>
  <c r="M4035" i="1"/>
  <c r="N4035" i="1"/>
  <c r="M4027" i="1"/>
  <c r="N4027" i="1"/>
  <c r="M4019" i="1"/>
  <c r="N4019" i="1"/>
  <c r="M4011" i="1"/>
  <c r="N4011" i="1"/>
  <c r="N3924" i="1"/>
  <c r="M3924" i="1"/>
  <c r="M3916" i="1"/>
  <c r="N3916" i="1"/>
  <c r="M3908" i="1"/>
  <c r="N3908" i="1"/>
  <c r="M3900" i="1"/>
  <c r="N3900" i="1"/>
  <c r="M3892" i="1"/>
  <c r="N3892" i="1"/>
  <c r="M3884" i="1"/>
  <c r="N3884" i="1"/>
  <c r="M3876" i="1"/>
  <c r="N3876" i="1"/>
  <c r="M3868" i="1"/>
  <c r="N3868" i="1"/>
  <c r="M3860" i="1"/>
  <c r="N3860" i="1"/>
  <c r="M3852" i="1"/>
  <c r="N3852" i="1"/>
  <c r="M3844" i="1"/>
  <c r="N3844" i="1"/>
  <c r="M3836" i="1"/>
  <c r="N3836" i="1"/>
  <c r="M3828" i="1"/>
  <c r="N3828" i="1"/>
  <c r="M3820" i="1"/>
  <c r="N3820" i="1"/>
  <c r="M3812" i="1"/>
  <c r="N3812" i="1"/>
  <c r="M3804" i="1"/>
  <c r="N3804" i="1"/>
  <c r="M3797" i="1"/>
  <c r="N3797" i="1"/>
  <c r="M1915" i="1"/>
  <c r="N1915" i="1"/>
  <c r="M1907" i="1"/>
  <c r="N1907" i="1"/>
  <c r="M1900" i="1"/>
  <c r="N1900" i="1"/>
  <c r="M1893" i="1"/>
  <c r="N1893" i="1"/>
  <c r="M1885" i="1"/>
  <c r="N1885" i="1"/>
  <c r="M1877" i="1"/>
  <c r="N1877" i="1"/>
  <c r="M1870" i="1"/>
  <c r="N1870" i="1"/>
  <c r="M1862" i="1"/>
  <c r="N1862" i="1"/>
  <c r="M1854" i="1"/>
  <c r="N1854" i="1"/>
  <c r="M1846" i="1"/>
  <c r="N1846" i="1"/>
  <c r="M1838" i="1"/>
  <c r="N1838" i="1"/>
  <c r="M1831" i="1"/>
  <c r="N1831" i="1"/>
  <c r="M1823" i="1"/>
  <c r="N1823" i="1"/>
  <c r="M1815" i="1"/>
  <c r="N1815" i="1"/>
  <c r="M1807" i="1"/>
  <c r="N1807" i="1"/>
  <c r="M1799" i="1"/>
  <c r="N1799" i="1"/>
  <c r="M1791" i="1"/>
  <c r="N1791" i="1"/>
  <c r="M1783" i="1"/>
  <c r="N1783" i="1"/>
  <c r="M1775" i="1"/>
  <c r="N1775" i="1"/>
  <c r="M1768" i="1"/>
  <c r="N1768" i="1"/>
  <c r="M1760" i="1"/>
  <c r="N1760" i="1"/>
  <c r="M1752" i="1"/>
  <c r="N1752" i="1"/>
  <c r="M1744" i="1"/>
  <c r="N1744" i="1"/>
  <c r="M1736" i="1"/>
  <c r="N1736" i="1"/>
  <c r="M1728" i="1"/>
  <c r="N1728" i="1"/>
  <c r="M1720" i="1"/>
  <c r="N1720" i="1"/>
  <c r="M1712" i="1"/>
  <c r="N1712" i="1"/>
  <c r="M1704" i="1"/>
  <c r="N1704" i="1"/>
  <c r="M1698" i="1"/>
  <c r="N1698" i="1"/>
  <c r="M1690" i="1"/>
  <c r="N1690" i="1"/>
  <c r="M1682" i="1"/>
  <c r="N1682" i="1"/>
  <c r="M1674" i="1"/>
  <c r="N1674" i="1"/>
  <c r="M1667" i="1"/>
  <c r="N1667" i="1"/>
  <c r="M1659" i="1"/>
  <c r="N1659" i="1"/>
  <c r="M1651" i="1"/>
  <c r="N1651" i="1"/>
  <c r="M1643" i="1"/>
  <c r="N1643" i="1"/>
  <c r="M1635" i="1"/>
  <c r="N1635" i="1"/>
  <c r="M1627" i="1"/>
  <c r="N1627" i="1"/>
  <c r="M1151" i="1"/>
  <c r="N1151" i="1"/>
  <c r="M1144" i="1"/>
  <c r="N1144" i="1"/>
  <c r="M1136" i="1"/>
  <c r="N1136" i="1"/>
  <c r="M1128" i="1"/>
  <c r="N1128" i="1"/>
  <c r="N1121" i="1"/>
  <c r="M1121" i="1"/>
  <c r="M1113" i="1"/>
  <c r="N1113" i="1"/>
  <c r="M1105" i="1"/>
  <c r="N1105" i="1"/>
  <c r="M1097" i="1"/>
  <c r="N1097" i="1"/>
  <c r="M1028" i="1"/>
  <c r="N1028" i="1"/>
  <c r="M1020" i="1"/>
  <c r="N1020" i="1"/>
  <c r="M1012" i="1"/>
  <c r="N1012" i="1"/>
  <c r="M1005" i="1"/>
  <c r="N1005" i="1"/>
  <c r="M998" i="1"/>
  <c r="N998" i="1"/>
  <c r="M990" i="1"/>
  <c r="N990" i="1"/>
  <c r="M983" i="1"/>
  <c r="N983" i="1"/>
  <c r="M975" i="1"/>
  <c r="N975" i="1"/>
  <c r="M967" i="1"/>
  <c r="N967" i="1"/>
  <c r="M959" i="1"/>
  <c r="N959" i="1"/>
  <c r="M951" i="1"/>
  <c r="N951" i="1"/>
  <c r="M937" i="1"/>
  <c r="N937" i="1"/>
  <c r="M930" i="1"/>
  <c r="N930" i="1"/>
  <c r="M922" i="1"/>
  <c r="N922" i="1"/>
  <c r="M907" i="1"/>
  <c r="N907" i="1"/>
  <c r="M899" i="1"/>
  <c r="N899" i="1"/>
  <c r="M891" i="1"/>
  <c r="N891" i="1"/>
  <c r="M885" i="1"/>
  <c r="N885" i="1"/>
  <c r="M877" i="1"/>
  <c r="N877" i="1"/>
  <c r="M869" i="1"/>
  <c r="N869" i="1"/>
  <c r="M861" i="1"/>
  <c r="N861" i="1"/>
  <c r="M853" i="1"/>
  <c r="N853" i="1"/>
  <c r="M845" i="1"/>
  <c r="N845" i="1"/>
  <c r="M837" i="1"/>
  <c r="N837" i="1"/>
  <c r="M830" i="1"/>
  <c r="N830" i="1"/>
  <c r="M822" i="1"/>
  <c r="N822" i="1"/>
  <c r="M814" i="1"/>
  <c r="N814" i="1"/>
  <c r="M806" i="1"/>
  <c r="N806" i="1"/>
  <c r="M791" i="1"/>
  <c r="N791" i="1"/>
  <c r="M783" i="1"/>
  <c r="N783" i="1"/>
  <c r="M775" i="1"/>
  <c r="N775" i="1"/>
  <c r="M767" i="1"/>
  <c r="N767" i="1"/>
  <c r="M759" i="1"/>
  <c r="N759" i="1"/>
  <c r="M712" i="1"/>
  <c r="N712" i="1"/>
  <c r="M704" i="1"/>
  <c r="N704" i="1"/>
  <c r="M696" i="1"/>
  <c r="N696" i="1"/>
  <c r="M681" i="1"/>
  <c r="N681" i="1"/>
  <c r="M673" i="1"/>
  <c r="N673" i="1"/>
  <c r="M666" i="1"/>
  <c r="N666" i="1"/>
  <c r="M660" i="1"/>
  <c r="N660" i="1"/>
  <c r="M653" i="1"/>
  <c r="N653" i="1"/>
  <c r="M645" i="1"/>
  <c r="N645" i="1"/>
  <c r="M630" i="1"/>
  <c r="N630" i="1"/>
  <c r="M623" i="1"/>
  <c r="N623" i="1"/>
  <c r="M615" i="1"/>
  <c r="N615" i="1"/>
  <c r="M607" i="1"/>
  <c r="N607" i="1"/>
  <c r="M599" i="1"/>
  <c r="N599" i="1"/>
  <c r="M592" i="1"/>
  <c r="N592" i="1"/>
  <c r="M584" i="1"/>
  <c r="N584" i="1"/>
  <c r="M451" i="1"/>
  <c r="N451" i="1"/>
  <c r="M443" i="1"/>
  <c r="N443" i="1"/>
  <c r="M436" i="1"/>
  <c r="N436" i="1"/>
  <c r="M429" i="1"/>
  <c r="N429" i="1"/>
  <c r="M421" i="1"/>
  <c r="N421" i="1"/>
  <c r="M6504" i="1"/>
  <c r="N6589" i="1"/>
  <c r="N5439" i="1"/>
  <c r="N3469" i="1"/>
  <c r="M5910" i="1"/>
  <c r="N5910" i="1"/>
  <c r="M5504" i="1"/>
  <c r="N5504" i="1"/>
  <c r="M5464" i="1"/>
  <c r="N5464" i="1"/>
  <c r="M5414" i="1"/>
  <c r="N5414" i="1"/>
  <c r="M5386" i="1"/>
  <c r="N5386" i="1"/>
  <c r="M5324" i="1"/>
  <c r="N5324" i="1"/>
  <c r="M5284" i="1"/>
  <c r="N5284" i="1"/>
  <c r="M5238" i="1"/>
  <c r="N5238" i="1"/>
  <c r="M5195" i="1"/>
  <c r="N5195" i="1"/>
  <c r="N5121" i="1"/>
  <c r="M5121" i="1"/>
  <c r="M5090" i="1"/>
  <c r="N5090" i="1"/>
  <c r="M5043" i="1"/>
  <c r="N5043" i="1"/>
  <c r="M4838" i="1"/>
  <c r="N4838" i="1"/>
  <c r="M4782" i="1"/>
  <c r="N4782" i="1"/>
  <c r="M4737" i="1"/>
  <c r="N4737" i="1"/>
  <c r="M4690" i="1"/>
  <c r="N4690" i="1"/>
  <c r="M4108" i="1"/>
  <c r="N4108" i="1"/>
  <c r="M4070" i="1"/>
  <c r="N4070" i="1"/>
  <c r="M3977" i="1"/>
  <c r="N3977" i="1"/>
  <c r="M3858" i="1"/>
  <c r="N3858" i="1"/>
  <c r="M3614" i="1"/>
  <c r="N3614" i="1"/>
  <c r="M3575" i="1"/>
  <c r="N3575" i="1"/>
  <c r="M3450" i="1"/>
  <c r="N3450" i="1"/>
  <c r="M3220" i="1"/>
  <c r="N3220" i="1"/>
  <c r="M3172" i="1"/>
  <c r="N3172" i="1"/>
  <c r="M3129" i="1"/>
  <c r="N3129" i="1"/>
  <c r="M3091" i="1"/>
  <c r="N3091" i="1"/>
  <c r="M3052" i="1"/>
  <c r="N3052" i="1"/>
  <c r="M3021" i="1"/>
  <c r="N3021" i="1"/>
  <c r="M2997" i="1"/>
  <c r="N2997" i="1"/>
  <c r="M2947" i="1"/>
  <c r="N2947" i="1"/>
  <c r="M2872" i="1"/>
  <c r="N2872" i="1"/>
  <c r="M2825" i="1"/>
  <c r="N2825" i="1"/>
  <c r="M2512" i="1"/>
  <c r="N2512" i="1"/>
  <c r="M2466" i="1"/>
  <c r="N2466" i="1"/>
  <c r="M1593" i="1"/>
  <c r="N1593" i="1"/>
  <c r="M1555" i="1"/>
  <c r="N1555" i="1"/>
  <c r="M1516" i="1"/>
  <c r="N1516" i="1"/>
  <c r="M1301" i="1"/>
  <c r="N1301" i="1"/>
  <c r="M472" i="1"/>
  <c r="N472" i="1"/>
  <c r="M6745" i="1"/>
  <c r="N6745" i="1"/>
  <c r="M6701" i="1"/>
  <c r="N6701" i="1"/>
  <c r="M6687" i="1"/>
  <c r="N6687" i="1"/>
  <c r="M6644" i="1"/>
  <c r="N6644" i="1"/>
  <c r="M6491" i="1"/>
  <c r="N6491" i="1"/>
  <c r="M6439" i="1"/>
  <c r="N6439" i="1"/>
  <c r="M6388" i="1"/>
  <c r="N6388" i="1"/>
  <c r="M6333" i="1"/>
  <c r="N6333" i="1"/>
  <c r="M6292" i="1"/>
  <c r="N6292" i="1"/>
  <c r="M6249" i="1"/>
  <c r="N6249" i="1"/>
  <c r="N6034" i="1"/>
  <c r="M6034" i="1"/>
  <c r="M5996" i="1"/>
  <c r="N5996" i="1"/>
  <c r="M5959" i="1"/>
  <c r="N5959" i="1"/>
  <c r="M5764" i="1"/>
  <c r="N5764" i="1"/>
  <c r="M5728" i="1"/>
  <c r="N5728" i="1"/>
  <c r="M5682" i="1"/>
  <c r="N5682" i="1"/>
  <c r="M5639" i="1"/>
  <c r="N5639" i="1"/>
  <c r="M5588" i="1"/>
  <c r="N5588" i="1"/>
  <c r="M5553" i="1"/>
  <c r="N5553" i="1"/>
  <c r="M5479" i="1"/>
  <c r="N5479" i="1"/>
  <c r="M4594" i="1"/>
  <c r="N4594" i="1"/>
  <c r="M4220" i="1"/>
  <c r="N4220" i="1"/>
  <c r="M2702" i="1"/>
  <c r="N2702" i="1"/>
  <c r="M6783" i="1"/>
  <c r="N6783" i="1"/>
  <c r="M6775" i="1"/>
  <c r="N6775" i="1"/>
  <c r="M6768" i="1"/>
  <c r="N6768" i="1"/>
  <c r="M6761" i="1"/>
  <c r="N6761" i="1"/>
  <c r="M6755" i="1"/>
  <c r="N6755" i="1"/>
  <c r="M6747" i="1"/>
  <c r="N6747" i="1"/>
  <c r="M6739" i="1"/>
  <c r="N6739" i="1"/>
  <c r="M6732" i="1"/>
  <c r="N6732" i="1"/>
  <c r="M6724" i="1"/>
  <c r="N6724" i="1"/>
  <c r="M6703" i="1"/>
  <c r="N6703" i="1"/>
  <c r="M6696" i="1"/>
  <c r="N6696" i="1"/>
  <c r="M6689" i="1"/>
  <c r="N6689" i="1"/>
  <c r="M6675" i="1"/>
  <c r="N6675" i="1"/>
  <c r="M6668" i="1"/>
  <c r="N6668" i="1"/>
  <c r="M6660" i="1"/>
  <c r="N6660" i="1"/>
  <c r="M6638" i="1"/>
  <c r="N6638" i="1"/>
  <c r="M6632" i="1"/>
  <c r="N6632" i="1"/>
  <c r="M6612" i="1"/>
  <c r="N6612" i="1"/>
  <c r="M6597" i="1"/>
  <c r="N6597" i="1"/>
  <c r="M6582" i="1"/>
  <c r="N6582" i="1"/>
  <c r="M6576" i="1"/>
  <c r="N6576" i="1"/>
  <c r="M6569" i="1"/>
  <c r="N6569" i="1"/>
  <c r="M6563" i="1"/>
  <c r="N6563" i="1"/>
  <c r="M6533" i="1"/>
  <c r="N6533" i="1"/>
  <c r="M6526" i="1"/>
  <c r="N6526" i="1"/>
  <c r="M6519" i="1"/>
  <c r="N6519" i="1"/>
  <c r="M6500" i="1"/>
  <c r="N6500" i="1"/>
  <c r="M6493" i="1"/>
  <c r="N6493" i="1"/>
  <c r="M6485" i="1"/>
  <c r="N6485" i="1"/>
  <c r="M6478" i="1"/>
  <c r="N6478" i="1"/>
  <c r="M6470" i="1"/>
  <c r="N6470" i="1"/>
  <c r="M6463" i="1"/>
  <c r="N6463" i="1"/>
  <c r="M6456" i="1"/>
  <c r="N6456" i="1"/>
  <c r="M6449" i="1"/>
  <c r="N6449" i="1"/>
  <c r="M6441" i="1"/>
  <c r="N6441" i="1"/>
  <c r="M6419" i="1"/>
  <c r="N6419" i="1"/>
  <c r="M6412" i="1"/>
  <c r="N6412" i="1"/>
  <c r="M6404" i="1"/>
  <c r="N6404" i="1"/>
  <c r="M6383" i="1"/>
  <c r="N6383" i="1"/>
  <c r="M6377" i="1"/>
  <c r="N6377" i="1"/>
  <c r="M6370" i="1"/>
  <c r="N6370" i="1"/>
  <c r="M6363" i="1"/>
  <c r="N6363" i="1"/>
  <c r="M6350" i="1"/>
  <c r="N6350" i="1"/>
  <c r="M6343" i="1"/>
  <c r="N6343" i="1"/>
  <c r="M6335" i="1"/>
  <c r="N6335" i="1"/>
  <c r="M6328" i="1"/>
  <c r="N6328" i="1"/>
  <c r="M6314" i="1"/>
  <c r="N6314" i="1"/>
  <c r="M6308" i="1"/>
  <c r="N6308" i="1"/>
  <c r="M6301" i="1"/>
  <c r="N6301" i="1"/>
  <c r="M6294" i="1"/>
  <c r="N6294" i="1"/>
  <c r="M6286" i="1"/>
  <c r="N6286" i="1"/>
  <c r="M6279" i="1"/>
  <c r="N6279" i="1"/>
  <c r="M6272" i="1"/>
  <c r="N6272" i="1"/>
  <c r="M6264" i="1"/>
  <c r="N6264" i="1"/>
  <c r="M6244" i="1"/>
  <c r="N6244" i="1"/>
  <c r="M6237" i="1"/>
  <c r="N6237" i="1"/>
  <c r="M6230" i="1"/>
  <c r="N6230" i="1"/>
  <c r="M6222" i="1"/>
  <c r="N6222" i="1"/>
  <c r="M6214" i="1"/>
  <c r="N6214" i="1"/>
  <c r="N6206" i="1"/>
  <c r="M6206" i="1"/>
  <c r="M6198" i="1"/>
  <c r="N6198" i="1"/>
  <c r="M6190" i="1"/>
  <c r="N6190" i="1"/>
  <c r="N6184" i="1"/>
  <c r="M6184" i="1"/>
  <c r="M6176" i="1"/>
  <c r="N6176" i="1"/>
  <c r="M6168" i="1"/>
  <c r="N6168" i="1"/>
  <c r="M6153" i="1"/>
  <c r="N6153" i="1"/>
  <c r="M6145" i="1"/>
  <c r="N6145" i="1"/>
  <c r="N6137" i="1"/>
  <c r="M6137" i="1"/>
  <c r="M6129" i="1"/>
  <c r="N6129" i="1"/>
  <c r="M6121" i="1"/>
  <c r="N6121" i="1"/>
  <c r="M6115" i="1"/>
  <c r="N6115" i="1"/>
  <c r="M6107" i="1"/>
  <c r="N6107" i="1"/>
  <c r="M6093" i="1"/>
  <c r="N6093" i="1"/>
  <c r="M6087" i="1"/>
  <c r="N6087" i="1"/>
  <c r="M5990" i="1"/>
  <c r="N5990" i="1"/>
  <c r="M5984" i="1"/>
  <c r="N5984" i="1"/>
  <c r="M5976" i="1"/>
  <c r="N5976" i="1"/>
  <c r="M5961" i="1"/>
  <c r="N5961" i="1"/>
  <c r="M5954" i="1"/>
  <c r="N5954" i="1"/>
  <c r="N5946" i="1"/>
  <c r="M5946" i="1"/>
  <c r="M5940" i="1"/>
  <c r="N5940" i="1"/>
  <c r="M5932" i="1"/>
  <c r="N5932" i="1"/>
  <c r="M5925" i="1"/>
  <c r="N5925" i="1"/>
  <c r="M5911" i="1"/>
  <c r="N5911" i="1"/>
  <c r="M5905" i="1"/>
  <c r="N5905" i="1"/>
  <c r="M5897" i="1"/>
  <c r="N5897" i="1"/>
  <c r="M5890" i="1"/>
  <c r="N5890" i="1"/>
  <c r="M5876" i="1"/>
  <c r="N5876" i="1"/>
  <c r="M5869" i="1"/>
  <c r="N5869" i="1"/>
  <c r="M5862" i="1"/>
  <c r="N5862" i="1"/>
  <c r="M5855" i="1"/>
  <c r="N5855" i="1"/>
  <c r="N5841" i="1"/>
  <c r="M5841" i="1"/>
  <c r="M5833" i="1"/>
  <c r="N5833" i="1"/>
  <c r="M5825" i="1"/>
  <c r="N5825" i="1"/>
  <c r="M5817" i="1"/>
  <c r="N5817" i="1"/>
  <c r="M5810" i="1"/>
  <c r="N5810" i="1"/>
  <c r="M5803" i="1"/>
  <c r="N5803" i="1"/>
  <c r="M5796" i="1"/>
  <c r="N5796" i="1"/>
  <c r="M5497" i="1"/>
  <c r="N5497" i="1"/>
  <c r="M5489" i="1"/>
  <c r="N5489" i="1"/>
  <c r="M5481" i="1"/>
  <c r="N5481" i="1"/>
  <c r="M5473" i="1"/>
  <c r="N5473" i="1"/>
  <c r="M5465" i="1"/>
  <c r="N5465" i="1"/>
  <c r="N5450" i="1"/>
  <c r="M5450" i="1"/>
  <c r="M5443" i="1"/>
  <c r="N5443" i="1"/>
  <c r="N5436" i="1"/>
  <c r="M5436" i="1"/>
  <c r="M5429" i="1"/>
  <c r="N5429" i="1"/>
  <c r="M5423" i="1"/>
  <c r="N5423" i="1"/>
  <c r="M5415" i="1"/>
  <c r="N5415" i="1"/>
  <c r="M5373" i="1"/>
  <c r="N5373" i="1"/>
  <c r="M5365" i="1"/>
  <c r="N5365" i="1"/>
  <c r="M5357" i="1"/>
  <c r="N5357" i="1"/>
  <c r="M5349" i="1"/>
  <c r="N5349" i="1"/>
  <c r="M5342" i="1"/>
  <c r="N5342" i="1"/>
  <c r="N5336" i="1"/>
  <c r="M5336" i="1"/>
  <c r="M5330" i="1"/>
  <c r="N5330" i="1"/>
  <c r="M5325" i="1"/>
  <c r="N5325" i="1"/>
  <c r="M5318" i="1"/>
  <c r="N5318" i="1"/>
  <c r="M5312" i="1"/>
  <c r="N5312" i="1"/>
  <c r="M5292" i="1"/>
  <c r="N5292" i="1"/>
  <c r="M5285" i="1"/>
  <c r="N5285" i="1"/>
  <c r="M5277" i="1"/>
  <c r="N5277" i="1"/>
  <c r="M5262" i="1"/>
  <c r="N5262" i="1"/>
  <c r="M5247" i="1"/>
  <c r="N5247" i="1"/>
  <c r="M5239" i="1"/>
  <c r="N5239" i="1"/>
  <c r="M5231" i="1"/>
  <c r="N5231" i="1"/>
  <c r="M5224" i="1"/>
  <c r="N5224" i="1"/>
  <c r="N5217" i="1"/>
  <c r="M5217" i="1"/>
  <c r="M5210" i="1"/>
  <c r="N5210" i="1"/>
  <c r="M5202" i="1"/>
  <c r="N5202" i="1"/>
  <c r="M5196" i="1"/>
  <c r="N5196" i="1"/>
  <c r="M5188" i="1"/>
  <c r="N5188" i="1"/>
  <c r="M5181" i="1"/>
  <c r="N5181" i="1"/>
  <c r="N5138" i="1"/>
  <c r="M5138" i="1"/>
  <c r="M5130" i="1"/>
  <c r="N5130" i="1"/>
  <c r="M5122" i="1"/>
  <c r="N5122" i="1"/>
  <c r="M5114" i="1"/>
  <c r="N5114" i="1"/>
  <c r="N5106" i="1"/>
  <c r="M5106" i="1"/>
  <c r="N5091" i="1"/>
  <c r="M5091" i="1"/>
  <c r="M5083" i="1"/>
  <c r="N5083" i="1"/>
  <c r="M5068" i="1"/>
  <c r="N5068" i="1"/>
  <c r="M5060" i="1"/>
  <c r="N5060" i="1"/>
  <c r="M5052" i="1"/>
  <c r="N5052" i="1"/>
  <c r="M5044" i="1"/>
  <c r="N5044" i="1"/>
  <c r="M5036" i="1"/>
  <c r="N5036" i="1"/>
  <c r="M5029" i="1"/>
  <c r="N5029" i="1"/>
  <c r="M5021" i="1"/>
  <c r="N5021" i="1"/>
  <c r="M5013" i="1"/>
  <c r="N5013" i="1"/>
  <c r="M5005" i="1"/>
  <c r="N5005" i="1"/>
  <c r="M4997" i="1"/>
  <c r="N4997" i="1"/>
  <c r="M4989" i="1"/>
  <c r="N4989" i="1"/>
  <c r="M4981" i="1"/>
  <c r="N4981" i="1"/>
  <c r="M4973" i="1"/>
  <c r="N4973" i="1"/>
  <c r="M4965" i="1"/>
  <c r="N4965" i="1"/>
  <c r="M4957" i="1"/>
  <c r="N4957" i="1"/>
  <c r="M4855" i="1"/>
  <c r="N4855" i="1"/>
  <c r="M4799" i="1"/>
  <c r="N4799" i="1"/>
  <c r="M4791" i="1"/>
  <c r="N4791" i="1"/>
  <c r="M4783" i="1"/>
  <c r="N4783" i="1"/>
  <c r="M4768" i="1"/>
  <c r="N4768" i="1"/>
  <c r="M4761" i="1"/>
  <c r="N4761" i="1"/>
  <c r="M4753" i="1"/>
  <c r="N4753" i="1"/>
  <c r="M4745" i="1"/>
  <c r="N4745" i="1"/>
  <c r="M4723" i="1"/>
  <c r="N4723" i="1"/>
  <c r="M4715" i="1"/>
  <c r="N4715" i="1"/>
  <c r="M4707" i="1"/>
  <c r="N4707" i="1"/>
  <c r="M4699" i="1"/>
  <c r="N4699" i="1"/>
  <c r="M4691" i="1"/>
  <c r="N4691" i="1"/>
  <c r="M4683" i="1"/>
  <c r="N4683" i="1"/>
  <c r="M4675" i="1"/>
  <c r="N4675" i="1"/>
  <c r="N4668" i="1"/>
  <c r="M4668" i="1"/>
  <c r="M4662" i="1"/>
  <c r="N4662" i="1"/>
  <c r="M4654" i="1"/>
  <c r="N4654" i="1"/>
  <c r="M4647" i="1"/>
  <c r="N4647" i="1"/>
  <c r="M4609" i="1"/>
  <c r="N4609" i="1"/>
  <c r="M4602" i="1"/>
  <c r="N4602" i="1"/>
  <c r="M4595" i="1"/>
  <c r="N4595" i="1"/>
  <c r="M4589" i="1"/>
  <c r="N4589" i="1"/>
  <c r="M4582" i="1"/>
  <c r="N4582" i="1"/>
  <c r="M4056" i="1"/>
  <c r="N4056" i="1"/>
  <c r="M4049" i="1"/>
  <c r="N4049" i="1"/>
  <c r="M4041" i="1"/>
  <c r="N4041" i="1"/>
  <c r="M4034" i="1"/>
  <c r="N4034" i="1"/>
  <c r="M4026" i="1"/>
  <c r="N4026" i="1"/>
  <c r="M4018" i="1"/>
  <c r="N4018" i="1"/>
  <c r="M4010" i="1"/>
  <c r="N4010" i="1"/>
  <c r="M3994" i="1"/>
  <c r="N3994" i="1"/>
  <c r="M3986" i="1"/>
  <c r="N3986" i="1"/>
  <c r="N3978" i="1"/>
  <c r="M3978" i="1"/>
  <c r="M3970" i="1"/>
  <c r="N3970" i="1"/>
  <c r="M3962" i="1"/>
  <c r="N3962" i="1"/>
  <c r="M3954" i="1"/>
  <c r="N3954" i="1"/>
  <c r="M3946" i="1"/>
  <c r="N3946" i="1"/>
  <c r="M3938" i="1"/>
  <c r="N3938" i="1"/>
  <c r="M3923" i="1"/>
  <c r="N3923" i="1"/>
  <c r="M3915" i="1"/>
  <c r="N3915" i="1"/>
  <c r="M3907" i="1"/>
  <c r="N3907" i="1"/>
  <c r="M3899" i="1"/>
  <c r="N3899" i="1"/>
  <c r="M3891" i="1"/>
  <c r="N3891" i="1"/>
  <c r="M3883" i="1"/>
  <c r="N3883" i="1"/>
  <c r="M3875" i="1"/>
  <c r="N3875" i="1"/>
  <c r="M3867" i="1"/>
  <c r="N3867" i="1"/>
  <c r="M3859" i="1"/>
  <c r="N3859" i="1"/>
  <c r="M3851" i="1"/>
  <c r="N3851" i="1"/>
  <c r="M3545" i="1"/>
  <c r="N3545" i="1"/>
  <c r="M3537" i="1"/>
  <c r="N3537" i="1"/>
  <c r="N3530" i="1"/>
  <c r="M3530" i="1"/>
  <c r="M3522" i="1"/>
  <c r="N3522" i="1"/>
  <c r="M3514" i="1"/>
  <c r="N3514" i="1"/>
  <c r="M3459" i="1"/>
  <c r="N3459" i="1"/>
  <c r="M3451" i="1"/>
  <c r="N3451" i="1"/>
  <c r="M3443" i="1"/>
  <c r="N3443" i="1"/>
  <c r="M3435" i="1"/>
  <c r="N3435" i="1"/>
  <c r="M3427" i="1"/>
  <c r="N3427" i="1"/>
  <c r="M3419" i="1"/>
  <c r="N3419" i="1"/>
  <c r="M3412" i="1"/>
  <c r="N3412" i="1"/>
  <c r="M3404" i="1"/>
  <c r="N3404" i="1"/>
  <c r="M2803" i="1"/>
  <c r="N2803" i="1"/>
  <c r="M2795" i="1"/>
  <c r="N2795" i="1"/>
  <c r="M2787" i="1"/>
  <c r="N2787" i="1"/>
  <c r="M2460" i="1"/>
  <c r="N2460" i="1"/>
  <c r="M2452" i="1"/>
  <c r="N2452" i="1"/>
  <c r="M2444" i="1"/>
  <c r="N2444" i="1"/>
  <c r="M2436" i="1"/>
  <c r="N2436" i="1"/>
  <c r="M2428" i="1"/>
  <c r="N2428" i="1"/>
  <c r="M2420" i="1"/>
  <c r="N2420" i="1"/>
  <c r="M2412" i="1"/>
  <c r="N2412" i="1"/>
  <c r="M2396" i="1"/>
  <c r="N2396" i="1"/>
  <c r="M2382" i="1"/>
  <c r="N2382" i="1"/>
  <c r="M2374" i="1"/>
  <c r="N2374" i="1"/>
  <c r="M2366" i="1"/>
  <c r="N2366" i="1"/>
  <c r="M2358" i="1"/>
  <c r="N2358" i="1"/>
  <c r="M2350" i="1"/>
  <c r="N2350" i="1"/>
  <c r="M2342" i="1"/>
  <c r="N2342" i="1"/>
  <c r="M2335" i="1"/>
  <c r="N2335" i="1"/>
  <c r="M2327" i="1"/>
  <c r="N2327" i="1"/>
  <c r="M2319" i="1"/>
  <c r="N2319" i="1"/>
  <c r="M2311" i="1"/>
  <c r="N2311" i="1"/>
  <c r="M2303" i="1"/>
  <c r="N2303" i="1"/>
  <c r="M2295" i="1"/>
  <c r="N2295" i="1"/>
  <c r="M2289" i="1"/>
  <c r="N2289" i="1"/>
  <c r="M1580" i="1"/>
  <c r="N1580" i="1"/>
  <c r="M1572" i="1"/>
  <c r="N1572" i="1"/>
  <c r="M1564" i="1"/>
  <c r="N1564" i="1"/>
  <c r="M1556" i="1"/>
  <c r="N1556" i="1"/>
  <c r="M1548" i="1"/>
  <c r="N1548" i="1"/>
  <c r="M1540" i="1"/>
  <c r="N1540" i="1"/>
  <c r="M1532" i="1"/>
  <c r="N1532" i="1"/>
  <c r="M1524" i="1"/>
  <c r="N1524" i="1"/>
  <c r="M1517" i="1"/>
  <c r="N1517" i="1"/>
  <c r="M1488" i="1"/>
  <c r="N1488" i="1"/>
  <c r="M1480" i="1"/>
  <c r="N1480" i="1"/>
  <c r="M1414" i="1"/>
  <c r="N1414" i="1"/>
  <c r="M1407" i="1"/>
  <c r="N1407" i="1"/>
  <c r="M1400" i="1"/>
  <c r="N1400" i="1"/>
  <c r="M1392" i="1"/>
  <c r="N1392" i="1"/>
  <c r="M1384" i="1"/>
  <c r="N1384" i="1"/>
  <c r="M1242" i="1"/>
  <c r="N1242" i="1"/>
  <c r="M1235" i="1"/>
  <c r="N1235" i="1"/>
  <c r="M1227" i="1"/>
  <c r="N1227" i="1"/>
  <c r="M1220" i="1"/>
  <c r="N1220" i="1"/>
  <c r="M1212" i="1"/>
  <c r="N1212" i="1"/>
  <c r="M1204" i="1"/>
  <c r="N1204" i="1"/>
  <c r="M1197" i="1"/>
  <c r="N1197" i="1"/>
  <c r="M1190" i="1"/>
  <c r="N1190" i="1"/>
  <c r="M1182" i="1"/>
  <c r="N1182" i="1"/>
  <c r="M1174" i="1"/>
  <c r="N1174" i="1"/>
  <c r="M1166" i="1"/>
  <c r="N1166" i="1"/>
  <c r="M1158" i="1"/>
  <c r="N1158" i="1"/>
  <c r="M1150" i="1"/>
  <c r="N1150" i="1"/>
  <c r="M1081" i="1"/>
  <c r="N1081" i="1"/>
  <c r="M1073" i="1"/>
  <c r="N1073" i="1"/>
  <c r="M1065" i="1"/>
  <c r="N1065" i="1"/>
  <c r="N1057" i="1"/>
  <c r="M1057" i="1"/>
  <c r="M1050" i="1"/>
  <c r="N1050" i="1"/>
  <c r="M1043" i="1"/>
  <c r="N1043" i="1"/>
  <c r="M1035" i="1"/>
  <c r="N1035" i="1"/>
  <c r="M1027" i="1"/>
  <c r="N1027" i="1"/>
  <c r="N1019" i="1"/>
  <c r="M1019" i="1"/>
  <c r="M1011" i="1"/>
  <c r="N1011" i="1"/>
  <c r="M1004" i="1"/>
  <c r="N1004" i="1"/>
  <c r="M997" i="1"/>
  <c r="N997" i="1"/>
  <c r="M989" i="1"/>
  <c r="N989" i="1"/>
  <c r="M982" i="1"/>
  <c r="N982" i="1"/>
  <c r="M974" i="1"/>
  <c r="N974" i="1"/>
  <c r="M966" i="1"/>
  <c r="N966" i="1"/>
  <c r="M958" i="1"/>
  <c r="N958" i="1"/>
  <c r="M950" i="1"/>
  <c r="N950" i="1"/>
  <c r="M936" i="1"/>
  <c r="N936" i="1"/>
  <c r="M929" i="1"/>
  <c r="N929" i="1"/>
  <c r="M921" i="1"/>
  <c r="N921" i="1"/>
  <c r="M906" i="1"/>
  <c r="N906" i="1"/>
  <c r="M898" i="1"/>
  <c r="N898" i="1"/>
  <c r="M890" i="1"/>
  <c r="N890" i="1"/>
  <c r="M884" i="1"/>
  <c r="N884" i="1"/>
  <c r="M876" i="1"/>
  <c r="N876" i="1"/>
  <c r="M868" i="1"/>
  <c r="N868" i="1"/>
  <c r="M860" i="1"/>
  <c r="N860" i="1"/>
  <c r="M852" i="1"/>
  <c r="N852" i="1"/>
  <c r="M844" i="1"/>
  <c r="N844" i="1"/>
  <c r="M836" i="1"/>
  <c r="N836" i="1"/>
  <c r="M829" i="1"/>
  <c r="N829" i="1"/>
  <c r="M821" i="1"/>
  <c r="N821" i="1"/>
  <c r="M813" i="1"/>
  <c r="N813" i="1"/>
  <c r="M805" i="1"/>
  <c r="N805" i="1"/>
  <c r="M790" i="1"/>
  <c r="N790" i="1"/>
  <c r="M782" i="1"/>
  <c r="N782" i="1"/>
  <c r="M774" i="1"/>
  <c r="N774" i="1"/>
  <c r="M758" i="1"/>
  <c r="N758" i="1"/>
  <c r="M465" i="1"/>
  <c r="N465" i="1"/>
  <c r="M458" i="1"/>
  <c r="N458" i="1"/>
  <c r="M40" i="1"/>
  <c r="N40" i="1"/>
  <c r="M32" i="1"/>
  <c r="N32" i="1"/>
  <c r="M24" i="1"/>
  <c r="N24" i="1"/>
  <c r="M16" i="1"/>
  <c r="N16" i="1"/>
  <c r="M8" i="1"/>
  <c r="N8" i="1"/>
  <c r="M6459" i="1"/>
  <c r="N6079" i="1"/>
  <c r="N5171" i="1"/>
  <c r="M3187" i="1"/>
  <c r="N3187" i="1"/>
  <c r="N3179" i="1"/>
  <c r="M3179" i="1"/>
  <c r="M3171" i="1"/>
  <c r="N3171" i="1"/>
  <c r="M3164" i="1"/>
  <c r="N3164" i="1"/>
  <c r="M3158" i="1"/>
  <c r="N3158" i="1"/>
  <c r="M3150" i="1"/>
  <c r="N3150" i="1"/>
  <c r="M3143" i="1"/>
  <c r="N3143" i="1"/>
  <c r="M3135" i="1"/>
  <c r="N3135" i="1"/>
  <c r="M3128" i="1"/>
  <c r="N3128" i="1"/>
  <c r="M3120" i="1"/>
  <c r="N3120" i="1"/>
  <c r="M3113" i="1"/>
  <c r="N3113" i="1"/>
  <c r="N3106" i="1"/>
  <c r="M3106" i="1"/>
  <c r="M3098" i="1"/>
  <c r="N3098" i="1"/>
  <c r="N3090" i="1"/>
  <c r="M3090" i="1"/>
  <c r="M3075" i="1"/>
  <c r="N3075" i="1"/>
  <c r="M3067" i="1"/>
  <c r="N3067" i="1"/>
  <c r="M3059" i="1"/>
  <c r="N3059" i="1"/>
  <c r="M3051" i="1"/>
  <c r="N3051" i="1"/>
  <c r="M3043" i="1"/>
  <c r="N3043" i="1"/>
  <c r="M3035" i="1"/>
  <c r="N3035" i="1"/>
  <c r="M3028" i="1"/>
  <c r="N3028" i="1"/>
  <c r="M3020" i="1"/>
  <c r="N3020" i="1"/>
  <c r="M3012" i="1"/>
  <c r="N3012" i="1"/>
  <c r="M3004" i="1"/>
  <c r="N3004" i="1"/>
  <c r="M2989" i="1"/>
  <c r="N2989" i="1"/>
  <c r="M2982" i="1"/>
  <c r="N2982" i="1"/>
  <c r="M2974" i="1"/>
  <c r="N2974" i="1"/>
  <c r="M2967" i="1"/>
  <c r="N2967" i="1"/>
  <c r="M2895" i="1"/>
  <c r="N2895" i="1"/>
  <c r="M2887" i="1"/>
  <c r="N2887" i="1"/>
  <c r="M2879" i="1"/>
  <c r="N2879" i="1"/>
  <c r="M2871" i="1"/>
  <c r="N2871" i="1"/>
  <c r="M2863" i="1"/>
  <c r="N2863" i="1"/>
  <c r="M2856" i="1"/>
  <c r="N2856" i="1"/>
  <c r="M2848" i="1"/>
  <c r="N2848" i="1"/>
  <c r="M2840" i="1"/>
  <c r="N2840" i="1"/>
  <c r="M2832" i="1"/>
  <c r="N2832" i="1"/>
  <c r="M2824" i="1"/>
  <c r="N2824" i="1"/>
  <c r="M2817" i="1"/>
  <c r="N2817" i="1"/>
  <c r="M2809" i="1"/>
  <c r="N2809" i="1"/>
  <c r="M2802" i="1"/>
  <c r="N2802" i="1"/>
  <c r="M2794" i="1"/>
  <c r="N2794" i="1"/>
  <c r="M2530" i="1"/>
  <c r="N2530" i="1"/>
  <c r="M2522" i="1"/>
  <c r="N2522" i="1"/>
  <c r="M2514" i="1"/>
  <c r="N2514" i="1"/>
  <c r="M2506" i="1"/>
  <c r="N2506" i="1"/>
  <c r="M2498" i="1"/>
  <c r="N2498" i="1"/>
  <c r="M2490" i="1"/>
  <c r="N2490" i="1"/>
  <c r="M2482" i="1"/>
  <c r="N2482" i="1"/>
  <c r="M2468" i="1"/>
  <c r="N2468" i="1"/>
  <c r="M2461" i="1"/>
  <c r="N2461" i="1"/>
  <c r="M2454" i="1"/>
  <c r="N2454" i="1"/>
  <c r="M2446" i="1"/>
  <c r="N2446" i="1"/>
  <c r="M2438" i="1"/>
  <c r="N2438" i="1"/>
  <c r="M2430" i="1"/>
  <c r="N2430" i="1"/>
  <c r="M2422" i="1"/>
  <c r="N2422" i="1"/>
  <c r="M2414" i="1"/>
  <c r="N2414" i="1"/>
  <c r="M2406" i="1"/>
  <c r="N2406" i="1"/>
  <c r="M2398" i="1"/>
  <c r="N2398" i="1"/>
  <c r="M2391" i="1"/>
  <c r="N2391" i="1"/>
  <c r="M2360" i="1"/>
  <c r="N2360" i="1"/>
  <c r="M2290" i="1"/>
  <c r="N2290" i="1"/>
  <c r="M2276" i="1"/>
  <c r="N2276" i="1"/>
  <c r="M2268" i="1"/>
  <c r="N2268" i="1"/>
  <c r="M2261" i="1"/>
  <c r="N2261" i="1"/>
  <c r="M2253" i="1"/>
  <c r="N2253" i="1"/>
  <c r="M2246" i="1"/>
  <c r="N2246" i="1"/>
  <c r="M2238" i="1"/>
  <c r="N2238" i="1"/>
  <c r="M2231" i="1"/>
  <c r="N2231" i="1"/>
  <c r="M2223" i="1"/>
  <c r="N2223" i="1"/>
  <c r="M2215" i="1"/>
  <c r="N2215" i="1"/>
  <c r="M2207" i="1"/>
  <c r="N2207" i="1"/>
  <c r="M2199" i="1"/>
  <c r="N2199" i="1"/>
  <c r="M2191" i="1"/>
  <c r="N2191" i="1"/>
  <c r="M2183" i="1"/>
  <c r="N2183" i="1"/>
  <c r="M2176" i="1"/>
  <c r="N2176" i="1"/>
  <c r="M2168" i="1"/>
  <c r="N2168" i="1"/>
  <c r="M2160" i="1"/>
  <c r="N2160" i="1"/>
  <c r="M2153" i="1"/>
  <c r="N2153" i="1"/>
  <c r="M2145" i="1"/>
  <c r="N2145" i="1"/>
  <c r="M2137" i="1"/>
  <c r="N2137" i="1"/>
  <c r="N2129" i="1"/>
  <c r="M2129" i="1"/>
  <c r="M2121" i="1"/>
  <c r="N2121" i="1"/>
  <c r="M2114" i="1"/>
  <c r="N2114" i="1"/>
  <c r="M2107" i="1"/>
  <c r="N2107" i="1"/>
  <c r="M2099" i="1"/>
  <c r="N2099" i="1"/>
  <c r="M2092" i="1"/>
  <c r="N2092" i="1"/>
  <c r="M2085" i="1"/>
  <c r="N2085" i="1"/>
  <c r="M2078" i="1"/>
  <c r="N2078" i="1"/>
  <c r="M2070" i="1"/>
  <c r="N2070" i="1"/>
  <c r="M2062" i="1"/>
  <c r="N2062" i="1"/>
  <c r="M2054" i="1"/>
  <c r="N2054" i="1"/>
  <c r="M2046" i="1"/>
  <c r="N2046" i="1"/>
  <c r="M2039" i="1"/>
  <c r="N2039" i="1"/>
  <c r="M2031" i="1"/>
  <c r="N2031" i="1"/>
  <c r="M2024" i="1"/>
  <c r="N2024" i="1"/>
  <c r="M2017" i="1"/>
  <c r="N2017" i="1"/>
  <c r="M2009" i="1"/>
  <c r="N2009" i="1"/>
  <c r="M2001" i="1"/>
  <c r="N2001" i="1"/>
  <c r="M1993" i="1"/>
  <c r="N1993" i="1"/>
  <c r="M1985" i="1"/>
  <c r="N1985" i="1"/>
  <c r="M1977" i="1"/>
  <c r="N1977" i="1"/>
  <c r="M1970" i="1"/>
  <c r="N1970" i="1"/>
  <c r="M1956" i="1"/>
  <c r="N1956" i="1"/>
  <c r="M1949" i="1"/>
  <c r="N1949" i="1"/>
  <c r="M1941" i="1"/>
  <c r="N1941" i="1"/>
  <c r="M1933" i="1"/>
  <c r="N1933" i="1"/>
  <c r="M1925" i="1"/>
  <c r="N1925" i="1"/>
  <c r="M1879" i="1"/>
  <c r="N1879" i="1"/>
  <c r="M1872" i="1"/>
  <c r="N1872" i="1"/>
  <c r="M1864" i="1"/>
  <c r="N1864" i="1"/>
  <c r="M1856" i="1"/>
  <c r="N1856" i="1"/>
  <c r="M1848" i="1"/>
  <c r="N1848" i="1"/>
  <c r="M1840" i="1"/>
  <c r="N1840" i="1"/>
  <c r="M1833" i="1"/>
  <c r="N1833" i="1"/>
  <c r="M1825" i="1"/>
  <c r="N1825" i="1"/>
  <c r="M1817" i="1"/>
  <c r="N1817" i="1"/>
  <c r="M1809" i="1"/>
  <c r="N1809" i="1"/>
  <c r="M1801" i="1"/>
  <c r="N1801" i="1"/>
  <c r="M1793" i="1"/>
  <c r="N1793" i="1"/>
  <c r="M1785" i="1"/>
  <c r="N1785" i="1"/>
  <c r="M1777" i="1"/>
  <c r="N1777" i="1"/>
  <c r="M1762" i="1"/>
  <c r="N1762" i="1"/>
  <c r="M1754" i="1"/>
  <c r="N1754" i="1"/>
  <c r="M1746" i="1"/>
  <c r="N1746" i="1"/>
  <c r="M1738" i="1"/>
  <c r="N1738" i="1"/>
  <c r="M1730" i="1"/>
  <c r="N1730" i="1"/>
  <c r="M1722" i="1"/>
  <c r="N1722" i="1"/>
  <c r="M1714" i="1"/>
  <c r="N1714" i="1"/>
  <c r="M1706" i="1"/>
  <c r="N1706" i="1"/>
  <c r="M1692" i="1"/>
  <c r="N1692" i="1"/>
  <c r="M1684" i="1"/>
  <c r="N1684" i="1"/>
  <c r="M1676" i="1"/>
  <c r="N1676" i="1"/>
  <c r="M1668" i="1"/>
  <c r="N1668" i="1"/>
  <c r="M1661" i="1"/>
  <c r="N1661" i="1"/>
  <c r="M1653" i="1"/>
  <c r="N1653" i="1"/>
  <c r="M1645" i="1"/>
  <c r="N1645" i="1"/>
  <c r="M1637" i="1"/>
  <c r="N1637" i="1"/>
  <c r="M1629" i="1"/>
  <c r="N1629" i="1"/>
  <c r="M1621" i="1"/>
  <c r="N1621" i="1"/>
  <c r="M1614" i="1"/>
  <c r="N1614" i="1"/>
  <c r="M1607" i="1"/>
  <c r="N1607" i="1"/>
  <c r="M1599" i="1"/>
  <c r="N1599" i="1"/>
  <c r="M1381" i="1"/>
  <c r="N1381" i="1"/>
  <c r="M1360" i="1"/>
  <c r="N1360" i="1"/>
  <c r="M1352" i="1"/>
  <c r="N1352" i="1"/>
  <c r="M1344" i="1"/>
  <c r="N1344" i="1"/>
  <c r="M1337" i="1"/>
  <c r="N1337" i="1"/>
  <c r="M1329" i="1"/>
  <c r="N1329" i="1"/>
  <c r="M1321" i="1"/>
  <c r="N1321" i="1"/>
  <c r="M1314" i="1"/>
  <c r="N1314" i="1"/>
  <c r="M1307" i="1"/>
  <c r="N1307" i="1"/>
  <c r="M1300" i="1"/>
  <c r="N1300" i="1"/>
  <c r="M1292" i="1"/>
  <c r="N1292" i="1"/>
  <c r="M1284" i="1"/>
  <c r="N1284" i="1"/>
  <c r="M1276" i="1"/>
  <c r="N1276" i="1"/>
  <c r="M1268" i="1"/>
  <c r="N1268" i="1"/>
  <c r="M1261" i="1"/>
  <c r="N1261" i="1"/>
  <c r="M1241" i="1"/>
  <c r="N1241" i="1"/>
  <c r="M1234" i="1"/>
  <c r="N1234" i="1"/>
  <c r="M1226" i="1"/>
  <c r="N1226" i="1"/>
  <c r="M1219" i="1"/>
  <c r="N1219" i="1"/>
  <c r="M1211" i="1"/>
  <c r="N1211" i="1"/>
  <c r="M1203" i="1"/>
  <c r="N1203" i="1"/>
  <c r="M1196" i="1"/>
  <c r="N1196" i="1"/>
  <c r="M1189" i="1"/>
  <c r="N1189" i="1"/>
  <c r="M1181" i="1"/>
  <c r="N1181" i="1"/>
  <c r="M1173" i="1"/>
  <c r="N1173" i="1"/>
  <c r="M1165" i="1"/>
  <c r="N1165" i="1"/>
  <c r="M1157" i="1"/>
  <c r="N1157" i="1"/>
  <c r="M1095" i="1"/>
  <c r="N1095" i="1"/>
  <c r="M1088" i="1"/>
  <c r="N1088" i="1"/>
  <c r="M1080" i="1"/>
  <c r="N1080" i="1"/>
  <c r="M1072" i="1"/>
  <c r="N1072" i="1"/>
  <c r="M1064" i="1"/>
  <c r="N1064" i="1"/>
  <c r="M1056" i="1"/>
  <c r="N1056" i="1"/>
  <c r="M1049" i="1"/>
  <c r="N1049" i="1"/>
  <c r="M1042" i="1"/>
  <c r="N1042" i="1"/>
  <c r="M1034" i="1"/>
  <c r="N1034" i="1"/>
  <c r="M1026" i="1"/>
  <c r="N1026" i="1"/>
  <c r="M1018" i="1"/>
  <c r="N1018" i="1"/>
  <c r="M1010" i="1"/>
  <c r="N1010" i="1"/>
  <c r="M1003" i="1"/>
  <c r="N1003" i="1"/>
  <c r="M996" i="1"/>
  <c r="N996" i="1"/>
  <c r="M988" i="1"/>
  <c r="N988" i="1"/>
  <c r="M981" i="1"/>
  <c r="N981" i="1"/>
  <c r="M973" i="1"/>
  <c r="N973" i="1"/>
  <c r="M965" i="1"/>
  <c r="N965" i="1"/>
  <c r="M957" i="1"/>
  <c r="N957" i="1"/>
  <c r="M949" i="1"/>
  <c r="N949" i="1"/>
  <c r="M943" i="1"/>
  <c r="N943" i="1"/>
  <c r="M928" i="1"/>
  <c r="N928" i="1"/>
  <c r="M920" i="1"/>
  <c r="N920" i="1"/>
  <c r="M913" i="1"/>
  <c r="N913" i="1"/>
  <c r="M905" i="1"/>
  <c r="N905" i="1"/>
  <c r="M897" i="1"/>
  <c r="N897" i="1"/>
  <c r="M883" i="1"/>
  <c r="N883" i="1"/>
  <c r="M875" i="1"/>
  <c r="N875" i="1"/>
  <c r="M867" i="1"/>
  <c r="N867" i="1"/>
  <c r="M859" i="1"/>
  <c r="N859" i="1"/>
  <c r="M851" i="1"/>
  <c r="N851" i="1"/>
  <c r="M843" i="1"/>
  <c r="N843" i="1"/>
  <c r="M828" i="1"/>
  <c r="N828" i="1"/>
  <c r="M820" i="1"/>
  <c r="N820" i="1"/>
  <c r="M386" i="1"/>
  <c r="N386" i="1"/>
  <c r="M378" i="1"/>
  <c r="N378" i="1"/>
  <c r="M371" i="1"/>
  <c r="N371" i="1"/>
  <c r="M364" i="1"/>
  <c r="N364" i="1"/>
  <c r="M356" i="1"/>
  <c r="N356" i="1"/>
  <c r="M349" i="1"/>
  <c r="N349" i="1"/>
  <c r="M342" i="1"/>
  <c r="N342" i="1"/>
  <c r="M334" i="1"/>
  <c r="N334" i="1"/>
  <c r="M326" i="1"/>
  <c r="N326" i="1"/>
  <c r="M318" i="1"/>
  <c r="N318" i="1"/>
  <c r="M311" i="1"/>
  <c r="N311" i="1"/>
  <c r="M303" i="1"/>
  <c r="N303" i="1"/>
  <c r="M295" i="1"/>
  <c r="N295" i="1"/>
  <c r="M288" i="1"/>
  <c r="N288" i="1"/>
  <c r="M280" i="1"/>
  <c r="N280" i="1"/>
  <c r="M272" i="1"/>
  <c r="N272" i="1"/>
  <c r="M264" i="1"/>
  <c r="N264" i="1"/>
  <c r="M256" i="1"/>
  <c r="N256" i="1"/>
  <c r="M248" i="1"/>
  <c r="N248" i="1"/>
  <c r="M240" i="1"/>
  <c r="N240" i="1"/>
  <c r="M225" i="1"/>
  <c r="N225" i="1"/>
  <c r="M218" i="1"/>
  <c r="N218" i="1"/>
  <c r="M210" i="1"/>
  <c r="N210" i="1"/>
  <c r="M140" i="1"/>
  <c r="N140" i="1"/>
  <c r="M132" i="1"/>
  <c r="N132" i="1"/>
  <c r="M124" i="1"/>
  <c r="N124" i="1"/>
  <c r="M116" i="1"/>
  <c r="N116" i="1"/>
  <c r="M108" i="1"/>
  <c r="N108" i="1"/>
  <c r="M101" i="1"/>
  <c r="N101" i="1"/>
  <c r="M93" i="1"/>
  <c r="N93" i="1"/>
  <c r="M85" i="1"/>
  <c r="N85" i="1"/>
  <c r="M77" i="1"/>
  <c r="N77" i="1"/>
  <c r="M70" i="1"/>
  <c r="N70" i="1"/>
  <c r="M62" i="1"/>
  <c r="N62" i="1"/>
  <c r="M54" i="1"/>
  <c r="N54" i="1"/>
  <c r="M46" i="1"/>
  <c r="N46" i="1"/>
  <c r="M39" i="1"/>
  <c r="N39" i="1"/>
  <c r="M31" i="1"/>
  <c r="N31" i="1"/>
  <c r="M23" i="1"/>
  <c r="N23" i="1"/>
  <c r="M15" i="1"/>
  <c r="N15" i="1"/>
  <c r="M7" i="1"/>
  <c r="N7" i="1"/>
  <c r="M3310" i="1"/>
  <c r="N3310" i="1"/>
  <c r="M3302" i="1"/>
  <c r="N3302" i="1"/>
  <c r="M3294" i="1"/>
  <c r="N3294" i="1"/>
  <c r="M3286" i="1"/>
  <c r="N3286" i="1"/>
  <c r="M3278" i="1"/>
  <c r="N3278" i="1"/>
  <c r="M3264" i="1"/>
  <c r="N3264" i="1"/>
  <c r="M3257" i="1"/>
  <c r="N3257" i="1"/>
  <c r="M3249" i="1"/>
  <c r="N3249" i="1"/>
  <c r="M3241" i="1"/>
  <c r="N3241" i="1"/>
  <c r="M3226" i="1"/>
  <c r="N3226" i="1"/>
  <c r="M3218" i="1"/>
  <c r="N3218" i="1"/>
  <c r="M3210" i="1"/>
  <c r="N3210" i="1"/>
  <c r="M3202" i="1"/>
  <c r="N3202" i="1"/>
  <c r="N3194" i="1"/>
  <c r="M3194" i="1"/>
  <c r="M3186" i="1"/>
  <c r="N3186" i="1"/>
  <c r="M3178" i="1"/>
  <c r="N3178" i="1"/>
  <c r="M3170" i="1"/>
  <c r="N3170" i="1"/>
  <c r="M3157" i="1"/>
  <c r="N3157" i="1"/>
  <c r="M3149" i="1"/>
  <c r="N3149" i="1"/>
  <c r="M3142" i="1"/>
  <c r="N3142" i="1"/>
  <c r="M3134" i="1"/>
  <c r="N3134" i="1"/>
  <c r="M3127" i="1"/>
  <c r="N3127" i="1"/>
  <c r="M3119" i="1"/>
  <c r="N3119" i="1"/>
  <c r="M3112" i="1"/>
  <c r="N3112" i="1"/>
  <c r="M3105" i="1"/>
  <c r="N3105" i="1"/>
  <c r="M3097" i="1"/>
  <c r="N3097" i="1"/>
  <c r="M3089" i="1"/>
  <c r="N3089" i="1"/>
  <c r="M3082" i="1"/>
  <c r="N3082" i="1"/>
  <c r="M3074" i="1"/>
  <c r="N3074" i="1"/>
  <c r="M3066" i="1"/>
  <c r="N3066" i="1"/>
  <c r="M2945" i="1"/>
  <c r="N2945" i="1"/>
  <c r="M2937" i="1"/>
  <c r="N2937" i="1"/>
  <c r="M2930" i="1"/>
  <c r="N2930" i="1"/>
  <c r="M2922" i="1"/>
  <c r="N2922" i="1"/>
  <c r="M2916" i="1"/>
  <c r="N2916" i="1"/>
  <c r="M2908" i="1"/>
  <c r="N2908" i="1"/>
  <c r="M2901" i="1"/>
  <c r="N2901" i="1"/>
  <c r="M2894" i="1"/>
  <c r="N2894" i="1"/>
  <c r="M2886" i="1"/>
  <c r="N2886" i="1"/>
  <c r="M2878" i="1"/>
  <c r="N2878" i="1"/>
  <c r="M2870" i="1"/>
  <c r="N2870" i="1"/>
  <c r="M2855" i="1"/>
  <c r="N2855" i="1"/>
  <c r="M2847" i="1"/>
  <c r="N2847" i="1"/>
  <c r="M2839" i="1"/>
  <c r="N2839" i="1"/>
  <c r="M2831" i="1"/>
  <c r="N2831" i="1"/>
  <c r="M2823" i="1"/>
  <c r="N2823" i="1"/>
  <c r="M2816" i="1"/>
  <c r="N2816" i="1"/>
  <c r="M2801" i="1"/>
  <c r="N2801" i="1"/>
  <c r="M2786" i="1"/>
  <c r="N2786" i="1"/>
  <c r="M2778" i="1"/>
  <c r="N2778" i="1"/>
  <c r="M2771" i="1"/>
  <c r="N2771" i="1"/>
  <c r="M2764" i="1"/>
  <c r="N2764" i="1"/>
  <c r="M2757" i="1"/>
  <c r="N2757" i="1"/>
  <c r="M2749" i="1"/>
  <c r="N2749" i="1"/>
  <c r="M2741" i="1"/>
  <c r="N2741" i="1"/>
  <c r="M2733" i="1"/>
  <c r="N2733" i="1"/>
  <c r="M2726" i="1"/>
  <c r="N2726" i="1"/>
  <c r="M2718" i="1"/>
  <c r="N2718" i="1"/>
  <c r="M2703" i="1"/>
  <c r="N2703" i="1"/>
  <c r="N2695" i="1"/>
  <c r="M2695" i="1"/>
  <c r="M2688" i="1"/>
  <c r="N2688" i="1"/>
  <c r="M2680" i="1"/>
  <c r="N2680" i="1"/>
  <c r="M2672" i="1"/>
  <c r="N2672" i="1"/>
  <c r="M2665" i="1"/>
  <c r="N2665" i="1"/>
  <c r="M2658" i="1"/>
  <c r="N2658" i="1"/>
  <c r="M2651" i="1"/>
  <c r="N2651" i="1"/>
  <c r="M2644" i="1"/>
  <c r="N2644" i="1"/>
  <c r="M2629" i="1"/>
  <c r="N2629" i="1"/>
  <c r="M2622" i="1"/>
  <c r="N2622" i="1"/>
  <c r="M2614" i="1"/>
  <c r="N2614" i="1"/>
  <c r="M2606" i="1"/>
  <c r="N2606" i="1"/>
  <c r="M2599" i="1"/>
  <c r="N2599" i="1"/>
  <c r="M2591" i="1"/>
  <c r="N2591" i="1"/>
  <c r="M2583" i="1"/>
  <c r="N2583" i="1"/>
  <c r="M2575" i="1"/>
  <c r="N2575" i="1"/>
  <c r="M2567" i="1"/>
  <c r="N2567" i="1"/>
  <c r="M2560" i="1"/>
  <c r="N2560" i="1"/>
  <c r="M2552" i="1"/>
  <c r="N2552" i="1"/>
  <c r="M2544" i="1"/>
  <c r="N2544" i="1"/>
  <c r="M2529" i="1"/>
  <c r="N2529" i="1"/>
  <c r="M2521" i="1"/>
  <c r="N2521" i="1"/>
  <c r="M2513" i="1"/>
  <c r="N2513" i="1"/>
  <c r="M2505" i="1"/>
  <c r="N2505" i="1"/>
  <c r="M2497" i="1"/>
  <c r="N2497" i="1"/>
  <c r="M2489" i="1"/>
  <c r="N2489" i="1"/>
  <c r="M2481" i="1"/>
  <c r="N2481" i="1"/>
  <c r="M2475" i="1"/>
  <c r="N2475" i="1"/>
  <c r="M2467" i="1"/>
  <c r="N2467" i="1"/>
  <c r="M2453" i="1"/>
  <c r="N2453" i="1"/>
  <c r="M2445" i="1"/>
  <c r="N2445" i="1"/>
  <c r="M2437" i="1"/>
  <c r="N2437" i="1"/>
  <c r="M2429" i="1"/>
  <c r="N2429" i="1"/>
  <c r="M2421" i="1"/>
  <c r="N2421" i="1"/>
  <c r="M2413" i="1"/>
  <c r="N2413" i="1"/>
  <c r="M2405" i="1"/>
  <c r="N2405" i="1"/>
  <c r="M2397" i="1"/>
  <c r="N2397" i="1"/>
  <c r="M2359" i="1"/>
  <c r="N2359" i="1"/>
  <c r="M2351" i="1"/>
  <c r="N2351" i="1"/>
  <c r="M2343" i="1"/>
  <c r="N2343" i="1"/>
  <c r="M2336" i="1"/>
  <c r="N2336" i="1"/>
  <c r="M2328" i="1"/>
  <c r="N2328" i="1"/>
  <c r="M2320" i="1"/>
  <c r="N2320" i="1"/>
  <c r="M2312" i="1"/>
  <c r="N2312" i="1"/>
  <c r="M2304" i="1"/>
  <c r="N2304" i="1"/>
  <c r="M2296" i="1"/>
  <c r="N2296" i="1"/>
  <c r="M2283" i="1"/>
  <c r="N2283" i="1"/>
  <c r="M2275" i="1"/>
  <c r="N2275" i="1"/>
  <c r="M2267" i="1"/>
  <c r="N2267" i="1"/>
  <c r="M2260" i="1"/>
  <c r="N2260" i="1"/>
  <c r="M2252" i="1"/>
  <c r="N2252" i="1"/>
  <c r="M2245" i="1"/>
  <c r="N2245" i="1"/>
  <c r="M2237" i="1"/>
  <c r="N2237" i="1"/>
  <c r="M2230" i="1"/>
  <c r="N2230" i="1"/>
  <c r="M2222" i="1"/>
  <c r="N2222" i="1"/>
  <c r="M2214" i="1"/>
  <c r="N2214" i="1"/>
  <c r="M2206" i="1"/>
  <c r="N2206" i="1"/>
  <c r="M2198" i="1"/>
  <c r="N2198" i="1"/>
  <c r="M2190" i="1"/>
  <c r="N2190" i="1"/>
  <c r="M2182" i="1"/>
  <c r="N2182" i="1"/>
  <c r="M2175" i="1"/>
  <c r="N2175" i="1"/>
  <c r="M2167" i="1"/>
  <c r="N2167" i="1"/>
  <c r="M2159" i="1"/>
  <c r="N2159" i="1"/>
  <c r="M2152" i="1"/>
  <c r="N2152" i="1"/>
  <c r="M2144" i="1"/>
  <c r="N2144" i="1"/>
  <c r="M2136" i="1"/>
  <c r="N2136" i="1"/>
  <c r="M2128" i="1"/>
  <c r="N2128" i="1"/>
  <c r="M2120" i="1"/>
  <c r="N2120" i="1"/>
  <c r="M2113" i="1"/>
  <c r="N2113" i="1"/>
  <c r="M2106" i="1"/>
  <c r="N2106" i="1"/>
  <c r="M1894" i="1"/>
  <c r="N1894" i="1"/>
  <c r="M1886" i="1"/>
  <c r="N1886" i="1"/>
  <c r="M1878" i="1"/>
  <c r="N1878" i="1"/>
  <c r="M1871" i="1"/>
  <c r="N1871" i="1"/>
  <c r="M1863" i="1"/>
  <c r="N1863" i="1"/>
  <c r="M1855" i="1"/>
  <c r="N1855" i="1"/>
  <c r="M1847" i="1"/>
  <c r="N1847" i="1"/>
  <c r="M1839" i="1"/>
  <c r="N1839" i="1"/>
  <c r="M1832" i="1"/>
  <c r="N1832" i="1"/>
  <c r="M1824" i="1"/>
  <c r="N1824" i="1"/>
  <c r="M1816" i="1"/>
  <c r="N1816" i="1"/>
  <c r="M1808" i="1"/>
  <c r="N1808" i="1"/>
  <c r="M1800" i="1"/>
  <c r="N1800" i="1"/>
  <c r="M1792" i="1"/>
  <c r="N1792" i="1"/>
  <c r="M1784" i="1"/>
  <c r="N1784" i="1"/>
  <c r="M1776" i="1"/>
  <c r="N1776" i="1"/>
  <c r="M1769" i="1"/>
  <c r="N1769" i="1"/>
  <c r="M1761" i="1"/>
  <c r="N1761" i="1"/>
  <c r="M1753" i="1"/>
  <c r="N1753" i="1"/>
  <c r="M1745" i="1"/>
  <c r="N1745" i="1"/>
  <c r="M1737" i="1"/>
  <c r="N1737" i="1"/>
  <c r="M1729" i="1"/>
  <c r="N1729" i="1"/>
  <c r="M1721" i="1"/>
  <c r="N1721" i="1"/>
  <c r="M1713" i="1"/>
  <c r="N1713" i="1"/>
  <c r="M1705" i="1"/>
  <c r="N1705" i="1"/>
  <c r="M1699" i="1"/>
  <c r="N1699" i="1"/>
  <c r="M1691" i="1"/>
  <c r="N1691" i="1"/>
  <c r="M1683" i="1"/>
  <c r="N1683" i="1"/>
  <c r="M1675" i="1"/>
  <c r="N1675" i="1"/>
  <c r="M1660" i="1"/>
  <c r="N1660" i="1"/>
  <c r="M1652" i="1"/>
  <c r="N1652" i="1"/>
  <c r="M1644" i="1"/>
  <c r="N1644" i="1"/>
  <c r="M1636" i="1"/>
  <c r="N1636" i="1"/>
  <c r="M1628" i="1"/>
  <c r="N1628" i="1"/>
  <c r="M1606" i="1"/>
  <c r="N1606" i="1"/>
  <c r="M1417" i="1"/>
  <c r="N1417" i="1"/>
  <c r="M1411" i="1"/>
  <c r="N1411" i="1"/>
  <c r="M1403" i="1"/>
  <c r="N1403" i="1"/>
  <c r="M1396" i="1"/>
  <c r="N1396" i="1"/>
  <c r="M1388" i="1"/>
  <c r="N1388" i="1"/>
  <c r="M1359" i="1"/>
  <c r="N1359" i="1"/>
  <c r="M1351" i="1"/>
  <c r="N1351" i="1"/>
  <c r="M1336" i="1"/>
  <c r="N1336" i="1"/>
  <c r="M1328" i="1"/>
  <c r="N1328" i="1"/>
  <c r="M1320" i="1"/>
  <c r="N1320" i="1"/>
  <c r="M1313" i="1"/>
  <c r="N1313" i="1"/>
  <c r="M1306" i="1"/>
  <c r="N1306" i="1"/>
  <c r="M1299" i="1"/>
  <c r="N1299" i="1"/>
  <c r="M1291" i="1"/>
  <c r="N1291" i="1"/>
  <c r="M1283" i="1"/>
  <c r="N1283" i="1"/>
  <c r="M1275" i="1"/>
  <c r="N1275" i="1"/>
  <c r="M1267" i="1"/>
  <c r="N1267" i="1"/>
  <c r="M1254" i="1"/>
  <c r="N1254" i="1"/>
  <c r="M1233" i="1"/>
  <c r="N1233" i="1"/>
  <c r="M1225" i="1"/>
  <c r="N1225" i="1"/>
  <c r="M1218" i="1"/>
  <c r="N1218" i="1"/>
  <c r="M1210" i="1"/>
  <c r="N1210" i="1"/>
  <c r="M1202" i="1"/>
  <c r="N1202" i="1"/>
  <c r="M1195" i="1"/>
  <c r="N1195" i="1"/>
  <c r="M1141" i="1"/>
  <c r="N1141" i="1"/>
  <c r="M1133" i="1"/>
  <c r="N1133" i="1"/>
  <c r="M1125" i="1"/>
  <c r="N1125" i="1"/>
  <c r="M1118" i="1"/>
  <c r="N1118" i="1"/>
  <c r="M1110" i="1"/>
  <c r="N1110" i="1"/>
  <c r="M1102" i="1"/>
  <c r="N1102" i="1"/>
  <c r="M1094" i="1"/>
  <c r="N1094" i="1"/>
  <c r="M1087" i="1"/>
  <c r="N1087" i="1"/>
  <c r="M1079" i="1"/>
  <c r="N1079" i="1"/>
  <c r="M1071" i="1"/>
  <c r="N1071" i="1"/>
  <c r="M1063" i="1"/>
  <c r="N1063" i="1"/>
  <c r="M1055" i="1"/>
  <c r="N1055" i="1"/>
  <c r="M1041" i="1"/>
  <c r="N1041" i="1"/>
  <c r="M1033" i="1"/>
  <c r="N1033" i="1"/>
  <c r="M1025" i="1"/>
  <c r="N1025" i="1"/>
  <c r="M1017" i="1"/>
  <c r="N1017" i="1"/>
  <c r="M1009" i="1"/>
  <c r="N1009" i="1"/>
  <c r="M1002" i="1"/>
  <c r="N1002" i="1"/>
  <c r="M995" i="1"/>
  <c r="N995" i="1"/>
  <c r="M987" i="1"/>
  <c r="N987" i="1"/>
  <c r="M980" i="1"/>
  <c r="N980" i="1"/>
  <c r="M972" i="1"/>
  <c r="N972" i="1"/>
  <c r="M964" i="1"/>
  <c r="N964" i="1"/>
  <c r="M956" i="1"/>
  <c r="N956" i="1"/>
  <c r="M948" i="1"/>
  <c r="N948" i="1"/>
  <c r="M942" i="1"/>
  <c r="N942" i="1"/>
  <c r="M935" i="1"/>
  <c r="N935" i="1"/>
  <c r="M927" i="1"/>
  <c r="N927" i="1"/>
  <c r="M919" i="1"/>
  <c r="N919" i="1"/>
  <c r="M912" i="1"/>
  <c r="N912" i="1"/>
  <c r="M904" i="1"/>
  <c r="N904" i="1"/>
  <c r="M896" i="1"/>
  <c r="N896" i="1"/>
  <c r="M889" i="1"/>
  <c r="N889" i="1"/>
  <c r="M882" i="1"/>
  <c r="N882" i="1"/>
  <c r="M874" i="1"/>
  <c r="N874" i="1"/>
  <c r="M866" i="1"/>
  <c r="N866" i="1"/>
  <c r="M858" i="1"/>
  <c r="N858" i="1"/>
  <c r="M850" i="1"/>
  <c r="N850" i="1"/>
  <c r="M415" i="1"/>
  <c r="N415" i="1"/>
  <c r="M401" i="1"/>
  <c r="N401" i="1"/>
  <c r="M393" i="1"/>
  <c r="N393" i="1"/>
  <c r="M385" i="1"/>
  <c r="N385" i="1"/>
  <c r="M377" i="1"/>
  <c r="N377" i="1"/>
  <c r="M370" i="1"/>
  <c r="N370" i="1"/>
  <c r="M363" i="1"/>
  <c r="N363" i="1"/>
  <c r="M348" i="1"/>
  <c r="N348" i="1"/>
  <c r="M341" i="1"/>
  <c r="N341" i="1"/>
  <c r="M333" i="1"/>
  <c r="N333" i="1"/>
  <c r="M325" i="1"/>
  <c r="N325" i="1"/>
  <c r="M317" i="1"/>
  <c r="N317" i="1"/>
  <c r="M310" i="1"/>
  <c r="N310" i="1"/>
  <c r="M302" i="1"/>
  <c r="N302" i="1"/>
  <c r="M294" i="1"/>
  <c r="N294" i="1"/>
  <c r="M287" i="1"/>
  <c r="N287" i="1"/>
  <c r="M279" i="1"/>
  <c r="N279" i="1"/>
  <c r="M271" i="1"/>
  <c r="N271" i="1"/>
  <c r="M263" i="1"/>
  <c r="N263" i="1"/>
  <c r="M255" i="1"/>
  <c r="N255" i="1"/>
  <c r="M209" i="1"/>
  <c r="N209" i="1"/>
  <c r="M193" i="1"/>
  <c r="N193" i="1"/>
  <c r="M178" i="1"/>
  <c r="N178" i="1"/>
  <c r="M170" i="1"/>
  <c r="N170" i="1"/>
  <c r="M162" i="1"/>
  <c r="N162" i="1"/>
  <c r="M155" i="1"/>
  <c r="N155" i="1"/>
  <c r="M147" i="1"/>
  <c r="N147" i="1"/>
  <c r="M139" i="1"/>
  <c r="N139" i="1"/>
  <c r="M131" i="1"/>
  <c r="N131" i="1"/>
  <c r="M123" i="1"/>
  <c r="N123" i="1"/>
  <c r="M115" i="1"/>
  <c r="N115" i="1"/>
  <c r="M107" i="1"/>
  <c r="N107" i="1"/>
  <c r="M100" i="1"/>
  <c r="N100" i="1"/>
  <c r="M92" i="1"/>
  <c r="N92" i="1"/>
  <c r="M84" i="1"/>
  <c r="N84" i="1"/>
  <c r="M69" i="1"/>
  <c r="N69" i="1"/>
  <c r="M61" i="1"/>
  <c r="N61" i="1"/>
  <c r="M53" i="1"/>
  <c r="N53" i="1"/>
  <c r="M38" i="1"/>
  <c r="N38" i="1"/>
  <c r="M30" i="1"/>
  <c r="N30" i="1"/>
  <c r="M22" i="1"/>
  <c r="N22" i="1"/>
  <c r="M14" i="1"/>
  <c r="N14" i="1"/>
  <c r="M6" i="1"/>
  <c r="N6" i="1"/>
  <c r="N4004" i="1"/>
  <c r="M2535" i="1"/>
  <c r="N2535" i="1"/>
  <c r="M2527" i="1"/>
  <c r="N2527" i="1"/>
  <c r="M2519" i="1"/>
  <c r="N2519" i="1"/>
  <c r="M2511" i="1"/>
  <c r="N2511" i="1"/>
  <c r="M2503" i="1"/>
  <c r="N2503" i="1"/>
  <c r="M2495" i="1"/>
  <c r="N2495" i="1"/>
  <c r="M2487" i="1"/>
  <c r="N2487" i="1"/>
  <c r="M2479" i="1"/>
  <c r="N2479" i="1"/>
  <c r="M2473" i="1"/>
  <c r="N2473" i="1"/>
  <c r="M2459" i="1"/>
  <c r="N2459" i="1"/>
  <c r="M2451" i="1"/>
  <c r="N2451" i="1"/>
  <c r="M2443" i="1"/>
  <c r="N2443" i="1"/>
  <c r="N2395" i="1"/>
  <c r="M2395" i="1"/>
  <c r="M2388" i="1"/>
  <c r="N2388" i="1"/>
  <c r="M1922" i="1"/>
  <c r="N1922" i="1"/>
  <c r="M1914" i="1"/>
  <c r="N1914" i="1"/>
  <c r="M1906" i="1"/>
  <c r="N1906" i="1"/>
  <c r="M1892" i="1"/>
  <c r="N1892" i="1"/>
  <c r="M1884" i="1"/>
  <c r="N1884" i="1"/>
  <c r="M1876" i="1"/>
  <c r="N1876" i="1"/>
  <c r="M1869" i="1"/>
  <c r="N1869" i="1"/>
  <c r="M1861" i="1"/>
  <c r="N1861" i="1"/>
  <c r="M1853" i="1"/>
  <c r="N1853" i="1"/>
  <c r="M1845" i="1"/>
  <c r="N1845" i="1"/>
  <c r="M1830" i="1"/>
  <c r="N1830" i="1"/>
  <c r="M1822" i="1"/>
  <c r="N1822" i="1"/>
  <c r="M1814" i="1"/>
  <c r="N1814" i="1"/>
  <c r="M1806" i="1"/>
  <c r="N1806" i="1"/>
  <c r="M1798" i="1"/>
  <c r="N1798" i="1"/>
  <c r="M1790" i="1"/>
  <c r="N1790" i="1"/>
  <c r="M1490" i="1"/>
  <c r="N1490" i="1"/>
  <c r="M1482" i="1"/>
  <c r="N1482" i="1"/>
  <c r="M1474" i="1"/>
  <c r="N1474" i="1"/>
  <c r="M1466" i="1"/>
  <c r="N1466" i="1"/>
  <c r="M1459" i="1"/>
  <c r="N1459" i="1"/>
  <c r="M1453" i="1"/>
  <c r="N1453" i="1"/>
  <c r="M1445" i="1"/>
  <c r="N1445" i="1"/>
  <c r="M1439" i="1"/>
  <c r="N1439" i="1"/>
  <c r="M1431" i="1"/>
  <c r="N1431" i="1"/>
  <c r="M1423" i="1"/>
  <c r="N1423" i="1"/>
  <c r="M1378" i="1"/>
  <c r="N1378" i="1"/>
  <c r="M1365" i="1"/>
  <c r="N1365" i="1"/>
  <c r="M1357" i="1"/>
  <c r="N1357" i="1"/>
  <c r="M1349" i="1"/>
  <c r="N1349" i="1"/>
  <c r="M1342" i="1"/>
  <c r="N1342" i="1"/>
  <c r="M1334" i="1"/>
  <c r="N1334" i="1"/>
  <c r="M1326" i="1"/>
  <c r="N1326" i="1"/>
  <c r="M1318" i="1"/>
  <c r="N1318" i="1"/>
  <c r="M1311" i="1"/>
  <c r="N1311" i="1"/>
  <c r="M1297" i="1"/>
  <c r="N1297" i="1"/>
  <c r="M1289" i="1"/>
  <c r="N1289" i="1"/>
  <c r="M1281" i="1"/>
  <c r="N1281" i="1"/>
  <c r="M1273" i="1"/>
  <c r="N1273" i="1"/>
  <c r="M1265" i="1"/>
  <c r="N1265" i="1"/>
  <c r="M1193" i="1"/>
  <c r="N1193" i="1"/>
  <c r="M1186" i="1"/>
  <c r="N1186" i="1"/>
  <c r="M1178" i="1"/>
  <c r="N1178" i="1"/>
  <c r="M1170" i="1"/>
  <c r="N1170" i="1"/>
  <c r="M1162" i="1"/>
  <c r="N1162" i="1"/>
  <c r="M1154" i="1"/>
  <c r="N1154" i="1"/>
  <c r="M770" i="1"/>
  <c r="N770" i="1"/>
  <c r="M762" i="1"/>
  <c r="N762" i="1"/>
  <c r="M755" i="1"/>
  <c r="N755" i="1"/>
  <c r="M747" i="1"/>
  <c r="N747" i="1"/>
  <c r="M739" i="1"/>
  <c r="N739" i="1"/>
  <c r="M731" i="1"/>
  <c r="N731" i="1"/>
  <c r="M723" i="1"/>
  <c r="N723" i="1"/>
  <c r="M715" i="1"/>
  <c r="N715" i="1"/>
  <c r="N707" i="1"/>
  <c r="M707" i="1"/>
  <c r="M699" i="1"/>
  <c r="N699" i="1"/>
  <c r="M684" i="1"/>
  <c r="N684" i="1"/>
  <c r="M676" i="1"/>
  <c r="N676" i="1"/>
  <c r="M669" i="1"/>
  <c r="N669" i="1"/>
  <c r="M663" i="1"/>
  <c r="N663" i="1"/>
  <c r="M656" i="1"/>
  <c r="N656" i="1"/>
  <c r="M648" i="1"/>
  <c r="N648" i="1"/>
  <c r="M640" i="1"/>
  <c r="N640" i="1"/>
  <c r="M633" i="1"/>
  <c r="N633" i="1"/>
  <c r="M626" i="1"/>
  <c r="N626" i="1"/>
  <c r="M618" i="1"/>
  <c r="N618" i="1"/>
  <c r="M610" i="1"/>
  <c r="N610" i="1"/>
  <c r="M602" i="1"/>
  <c r="N602" i="1"/>
  <c r="M594" i="1"/>
  <c r="N594" i="1"/>
  <c r="M587" i="1"/>
  <c r="N587" i="1"/>
  <c r="M579" i="1"/>
  <c r="N579" i="1"/>
  <c r="M572" i="1"/>
  <c r="N572" i="1"/>
  <c r="M564" i="1"/>
  <c r="N564" i="1"/>
  <c r="M556" i="1"/>
  <c r="N556" i="1"/>
  <c r="M548" i="1"/>
  <c r="N548" i="1"/>
  <c r="M540" i="1"/>
  <c r="N540" i="1"/>
  <c r="M532" i="1"/>
  <c r="N532" i="1"/>
  <c r="M524" i="1"/>
  <c r="N524" i="1"/>
  <c r="M516" i="1"/>
  <c r="N516" i="1"/>
  <c r="M509" i="1"/>
  <c r="N509" i="1"/>
  <c r="M501" i="1"/>
  <c r="N501" i="1"/>
  <c r="M493" i="1"/>
  <c r="N493" i="1"/>
  <c r="M485" i="1"/>
  <c r="N485" i="1"/>
  <c r="M478" i="1"/>
  <c r="N478" i="1"/>
  <c r="M471" i="1"/>
  <c r="N471" i="1"/>
  <c r="M464" i="1"/>
  <c r="N464" i="1"/>
  <c r="M457" i="1"/>
  <c r="N457" i="1"/>
  <c r="M450" i="1"/>
  <c r="N450" i="1"/>
  <c r="M442" i="1"/>
  <c r="N442" i="1"/>
  <c r="M435" i="1"/>
  <c r="N435" i="1"/>
  <c r="M428" i="1"/>
  <c r="N428" i="1"/>
  <c r="M420" i="1"/>
  <c r="N420" i="1"/>
  <c r="M413" i="1"/>
  <c r="N413" i="1"/>
  <c r="M406" i="1"/>
  <c r="N406" i="1"/>
  <c r="M399" i="1"/>
  <c r="N399" i="1"/>
  <c r="M391" i="1"/>
  <c r="N391" i="1"/>
  <c r="M383" i="1"/>
  <c r="N383" i="1"/>
  <c r="M375" i="1"/>
  <c r="N375" i="1"/>
  <c r="M368" i="1"/>
  <c r="N368" i="1"/>
  <c r="M361" i="1"/>
  <c r="N361" i="1"/>
  <c r="M354" i="1"/>
  <c r="N354" i="1"/>
  <c r="M346" i="1"/>
  <c r="N346" i="1"/>
  <c r="M339" i="1"/>
  <c r="N339" i="1"/>
  <c r="M331" i="1"/>
  <c r="N331" i="1"/>
  <c r="M323" i="1"/>
  <c r="N323" i="1"/>
  <c r="M253" i="1"/>
  <c r="N253" i="1"/>
  <c r="M245" i="1"/>
  <c r="N245" i="1"/>
  <c r="M237" i="1"/>
  <c r="N237" i="1"/>
  <c r="M230" i="1"/>
  <c r="N230" i="1"/>
  <c r="M222" i="1"/>
  <c r="N222" i="1"/>
  <c r="M215" i="1"/>
  <c r="N215" i="1"/>
  <c r="M207" i="1"/>
  <c r="N207" i="1"/>
  <c r="M199" i="1"/>
  <c r="N199" i="1"/>
  <c r="M191" i="1"/>
  <c r="N191" i="1"/>
  <c r="M184" i="1"/>
  <c r="N184" i="1"/>
  <c r="M176" i="1"/>
  <c r="N176" i="1"/>
  <c r="M168" i="1"/>
  <c r="N168" i="1"/>
  <c r="M153" i="1"/>
  <c r="N153" i="1"/>
  <c r="M145" i="1"/>
  <c r="N145" i="1"/>
  <c r="M137" i="1"/>
  <c r="N137" i="1"/>
  <c r="M129" i="1"/>
  <c r="N129" i="1"/>
  <c r="M121" i="1"/>
  <c r="N121" i="1"/>
  <c r="M113" i="1"/>
  <c r="N113" i="1"/>
  <c r="M105" i="1"/>
  <c r="N105" i="1"/>
  <c r="M98" i="1"/>
  <c r="N98" i="1"/>
  <c r="M90" i="1"/>
  <c r="N90" i="1"/>
  <c r="M82" i="1"/>
  <c r="N82" i="1"/>
  <c r="M75" i="1"/>
  <c r="N75" i="1"/>
  <c r="M67" i="1"/>
  <c r="N67" i="1"/>
  <c r="M59" i="1"/>
  <c r="N59" i="1"/>
  <c r="M51" i="1"/>
  <c r="N51" i="1"/>
  <c r="M44" i="1"/>
  <c r="N44" i="1"/>
  <c r="M36" i="1"/>
  <c r="N36" i="1"/>
  <c r="M28" i="1"/>
  <c r="N28" i="1"/>
  <c r="M20" i="1"/>
  <c r="N20" i="1"/>
  <c r="M12" i="1"/>
  <c r="N12" i="1"/>
  <c r="M4" i="1"/>
  <c r="N4" i="1"/>
  <c r="M5441" i="1"/>
  <c r="N5441" i="1"/>
  <c r="M5434" i="1"/>
  <c r="N5434" i="1"/>
  <c r="M5428" i="1"/>
  <c r="N5428" i="1"/>
  <c r="M5421" i="1"/>
  <c r="N5421" i="1"/>
  <c r="M5413" i="1"/>
  <c r="N5413" i="1"/>
  <c r="M5407" i="1"/>
  <c r="N5407" i="1"/>
  <c r="M5400" i="1"/>
  <c r="N5400" i="1"/>
  <c r="M5393" i="1"/>
  <c r="N5393" i="1"/>
  <c r="M5379" i="1"/>
  <c r="N5379" i="1"/>
  <c r="M5371" i="1"/>
  <c r="N5371" i="1"/>
  <c r="M5363" i="1"/>
  <c r="N5363" i="1"/>
  <c r="M5355" i="1"/>
  <c r="N5355" i="1"/>
  <c r="M5347" i="1"/>
  <c r="N5347" i="1"/>
  <c r="M5323" i="1"/>
  <c r="N5323" i="1"/>
  <c r="M5310" i="1"/>
  <c r="N5310" i="1"/>
  <c r="M5304" i="1"/>
  <c r="N5304" i="1"/>
  <c r="M5298" i="1"/>
  <c r="N5298" i="1"/>
  <c r="M5290" i="1"/>
  <c r="N5290" i="1"/>
  <c r="M5283" i="1"/>
  <c r="N5283" i="1"/>
  <c r="M5275" i="1"/>
  <c r="N5275" i="1"/>
  <c r="M5268" i="1"/>
  <c r="N5268" i="1"/>
  <c r="M5260" i="1"/>
  <c r="N5260" i="1"/>
  <c r="M5253" i="1"/>
  <c r="N5253" i="1"/>
  <c r="M5245" i="1"/>
  <c r="N5245" i="1"/>
  <c r="M5237" i="1"/>
  <c r="N5237" i="1"/>
  <c r="M5229" i="1"/>
  <c r="N5229" i="1"/>
  <c r="M5222" i="1"/>
  <c r="N5222" i="1"/>
  <c r="M5215" i="1"/>
  <c r="N5215" i="1"/>
  <c r="M5208" i="1"/>
  <c r="N5208" i="1"/>
  <c r="M5003" i="1"/>
  <c r="N5003" i="1"/>
  <c r="M4947" i="1"/>
  <c r="N4947" i="1"/>
  <c r="N4939" i="1"/>
  <c r="M4939" i="1"/>
  <c r="M4931" i="1"/>
  <c r="N4931" i="1"/>
  <c r="M4923" i="1"/>
  <c r="N4923" i="1"/>
  <c r="M4916" i="1"/>
  <c r="N4916" i="1"/>
  <c r="M4908" i="1"/>
  <c r="N4908" i="1"/>
  <c r="M4900" i="1"/>
  <c r="N4900" i="1"/>
  <c r="M4892" i="1"/>
  <c r="N4892" i="1"/>
  <c r="M4885" i="1"/>
  <c r="N4885" i="1"/>
  <c r="M4877" i="1"/>
  <c r="N4877" i="1"/>
  <c r="M4869" i="1"/>
  <c r="N4869" i="1"/>
  <c r="M4861" i="1"/>
  <c r="N4861" i="1"/>
  <c r="M4853" i="1"/>
  <c r="N4853" i="1"/>
  <c r="M4845" i="1"/>
  <c r="N4845" i="1"/>
  <c r="M4837" i="1"/>
  <c r="N4837" i="1"/>
  <c r="M4829" i="1"/>
  <c r="N4829" i="1"/>
  <c r="M4821" i="1"/>
  <c r="N4821" i="1"/>
  <c r="M4813" i="1"/>
  <c r="N4813" i="1"/>
  <c r="M4805" i="1"/>
  <c r="N4805" i="1"/>
  <c r="M4797" i="1"/>
  <c r="N4797" i="1"/>
  <c r="M4789" i="1"/>
  <c r="N4789" i="1"/>
  <c r="M4781" i="1"/>
  <c r="N4781" i="1"/>
  <c r="M4774" i="1"/>
  <c r="N4774" i="1"/>
  <c r="M4759" i="1"/>
  <c r="N4759" i="1"/>
  <c r="M4751" i="1"/>
  <c r="N4751" i="1"/>
  <c r="M4743" i="1"/>
  <c r="N4743" i="1"/>
  <c r="M4736" i="1"/>
  <c r="N4736" i="1"/>
  <c r="M4729" i="1"/>
  <c r="N4729" i="1"/>
  <c r="M4721" i="1"/>
  <c r="N4721" i="1"/>
  <c r="M4713" i="1"/>
  <c r="N4713" i="1"/>
  <c r="N4705" i="1"/>
  <c r="M4705" i="1"/>
  <c r="M4697" i="1"/>
  <c r="N4697" i="1"/>
  <c r="M4689" i="1"/>
  <c r="N4689" i="1"/>
  <c r="M4681" i="1"/>
  <c r="N4681" i="1"/>
  <c r="M4660" i="1"/>
  <c r="N4660" i="1"/>
  <c r="M4631" i="1"/>
  <c r="N4631" i="1"/>
  <c r="M4624" i="1"/>
  <c r="N4624" i="1"/>
  <c r="M4616" i="1"/>
  <c r="N4616" i="1"/>
  <c r="M4608" i="1"/>
  <c r="N4608" i="1"/>
  <c r="M4601" i="1"/>
  <c r="N4601" i="1"/>
  <c r="M4574" i="1"/>
  <c r="N4574" i="1"/>
  <c r="M4567" i="1"/>
  <c r="N4567" i="1"/>
  <c r="M4559" i="1"/>
  <c r="N4559" i="1"/>
  <c r="M4552" i="1"/>
  <c r="N4552" i="1"/>
  <c r="M4545" i="1"/>
  <c r="N4545" i="1"/>
  <c r="M4537" i="1"/>
  <c r="N4537" i="1"/>
  <c r="M4522" i="1"/>
  <c r="N4522" i="1"/>
  <c r="M4516" i="1"/>
  <c r="N4516" i="1"/>
  <c r="M4509" i="1"/>
  <c r="N4509" i="1"/>
  <c r="M4502" i="1"/>
  <c r="N4502" i="1"/>
  <c r="M4496" i="1"/>
  <c r="N4496" i="1"/>
  <c r="M4488" i="1"/>
  <c r="N4488" i="1"/>
  <c r="M4481" i="1"/>
  <c r="N4481" i="1"/>
  <c r="M4473" i="1"/>
  <c r="N4473" i="1"/>
  <c r="M4102" i="1"/>
  <c r="N4102" i="1"/>
  <c r="M4094" i="1"/>
  <c r="N4094" i="1"/>
  <c r="M4087" i="1"/>
  <c r="N4087" i="1"/>
  <c r="M4079" i="1"/>
  <c r="N4079" i="1"/>
  <c r="M4071" i="1"/>
  <c r="N4071" i="1"/>
  <c r="M4064" i="1"/>
  <c r="N4064" i="1"/>
  <c r="M4043" i="1"/>
  <c r="N4043" i="1"/>
  <c r="M4036" i="1"/>
  <c r="N4036" i="1"/>
  <c r="M4028" i="1"/>
  <c r="N4028" i="1"/>
  <c r="M4020" i="1"/>
  <c r="N4020" i="1"/>
  <c r="M4012" i="1"/>
  <c r="N4012" i="1"/>
  <c r="M3996" i="1"/>
  <c r="N3996" i="1"/>
  <c r="M3925" i="1"/>
  <c r="N3925" i="1"/>
  <c r="N3909" i="1"/>
  <c r="M3909" i="1"/>
  <c r="M3901" i="1"/>
  <c r="N3901" i="1"/>
  <c r="M3886" i="1"/>
  <c r="N3886" i="1"/>
  <c r="M3871" i="1"/>
  <c r="N3871" i="1"/>
  <c r="M3863" i="1"/>
  <c r="N3863" i="1"/>
  <c r="M3855" i="1"/>
  <c r="N3855" i="1"/>
  <c r="M3847" i="1"/>
  <c r="N3847" i="1"/>
  <c r="M3839" i="1"/>
  <c r="N3839" i="1"/>
  <c r="M3823" i="1"/>
  <c r="N3823" i="1"/>
  <c r="M3815" i="1"/>
  <c r="N3815" i="1"/>
  <c r="M3807" i="1"/>
  <c r="N3807" i="1"/>
  <c r="M3799" i="1"/>
  <c r="N3799" i="1"/>
  <c r="M3786" i="1"/>
  <c r="N3786" i="1"/>
  <c r="M3772" i="1"/>
  <c r="N3772" i="1"/>
  <c r="M3764" i="1"/>
  <c r="N3764" i="1"/>
  <c r="N3756" i="1"/>
  <c r="M3756" i="1"/>
  <c r="M3748" i="1"/>
  <c r="N3748" i="1"/>
  <c r="M3740" i="1"/>
  <c r="N3740" i="1"/>
  <c r="M3725" i="1"/>
  <c r="N3725" i="1"/>
  <c r="M3718" i="1"/>
  <c r="N3718" i="1"/>
  <c r="M3710" i="1"/>
  <c r="N3710" i="1"/>
  <c r="N3702" i="1"/>
  <c r="M3702" i="1"/>
  <c r="M3694" i="1"/>
  <c r="N3694" i="1"/>
  <c r="M3686" i="1"/>
  <c r="N3686" i="1"/>
  <c r="M3678" i="1"/>
  <c r="N3678" i="1"/>
  <c r="M3671" i="1"/>
  <c r="N3671" i="1"/>
  <c r="M3663" i="1"/>
  <c r="N3663" i="1"/>
  <c r="M3656" i="1"/>
  <c r="N3656" i="1"/>
  <c r="M3648" i="1"/>
  <c r="N3648" i="1"/>
  <c r="M3641" i="1"/>
  <c r="N3641" i="1"/>
  <c r="M3635" i="1"/>
  <c r="N3635" i="1"/>
  <c r="M3622" i="1"/>
  <c r="N3622" i="1"/>
  <c r="M3615" i="1"/>
  <c r="N3615" i="1"/>
  <c r="M3607" i="1"/>
  <c r="N3607" i="1"/>
  <c r="M3599" i="1"/>
  <c r="N3599" i="1"/>
  <c r="M3591" i="1"/>
  <c r="N3591" i="1"/>
  <c r="M3584" i="1"/>
  <c r="N3584" i="1"/>
  <c r="M3576" i="1"/>
  <c r="N3576" i="1"/>
  <c r="M3568" i="1"/>
  <c r="N3568" i="1"/>
  <c r="M3560" i="1"/>
  <c r="N3560" i="1"/>
  <c r="M3552" i="1"/>
  <c r="N3552" i="1"/>
  <c r="M3538" i="1"/>
  <c r="N3538" i="1"/>
  <c r="N3531" i="1"/>
  <c r="M3531" i="1"/>
  <c r="M3523" i="1"/>
  <c r="N3523" i="1"/>
  <c r="M3515" i="1"/>
  <c r="N3515" i="1"/>
  <c r="M3507" i="1"/>
  <c r="N3507" i="1"/>
  <c r="M3499" i="1"/>
  <c r="N3499" i="1"/>
  <c r="M3491" i="1"/>
  <c r="N3491" i="1"/>
  <c r="M3405" i="1"/>
  <c r="N3405" i="1"/>
  <c r="M3391" i="1"/>
  <c r="N3391" i="1"/>
  <c r="M3377" i="1"/>
  <c r="N3377" i="1"/>
  <c r="M3369" i="1"/>
  <c r="N3369" i="1"/>
  <c r="M3361" i="1"/>
  <c r="N3361" i="1"/>
  <c r="M3353" i="1"/>
  <c r="N3353" i="1"/>
  <c r="M3345" i="1"/>
  <c r="N3345" i="1"/>
  <c r="M3338" i="1"/>
  <c r="N3338" i="1"/>
  <c r="M3330" i="1"/>
  <c r="N3330" i="1"/>
  <c r="M3323" i="1"/>
  <c r="N3323" i="1"/>
  <c r="M3315" i="1"/>
  <c r="N3315" i="1"/>
  <c r="M3307" i="1"/>
  <c r="N3307" i="1"/>
  <c r="M3299" i="1"/>
  <c r="N3299" i="1"/>
  <c r="M3291" i="1"/>
  <c r="N3291" i="1"/>
  <c r="M3283" i="1"/>
  <c r="N3283" i="1"/>
  <c r="M3275" i="1"/>
  <c r="N3275" i="1"/>
  <c r="M3269" i="1"/>
  <c r="N3269" i="1"/>
  <c r="M3223" i="1"/>
  <c r="N3223" i="1"/>
  <c r="M3215" i="1"/>
  <c r="N3215" i="1"/>
  <c r="M3207" i="1"/>
  <c r="N3207" i="1"/>
  <c r="M3199" i="1"/>
  <c r="N3199" i="1"/>
  <c r="M3191" i="1"/>
  <c r="N3191" i="1"/>
  <c r="M3183" i="1"/>
  <c r="N3183" i="1"/>
  <c r="M3175" i="1"/>
  <c r="N3175" i="1"/>
  <c r="M3168" i="1"/>
  <c r="N3168" i="1"/>
  <c r="M3161" i="1"/>
  <c r="N3161" i="1"/>
  <c r="M3154" i="1"/>
  <c r="N3154" i="1"/>
  <c r="M3147" i="1"/>
  <c r="N3147" i="1"/>
  <c r="M3139" i="1"/>
  <c r="N3139" i="1"/>
  <c r="M3132" i="1"/>
  <c r="N3132" i="1"/>
  <c r="M3124" i="1"/>
  <c r="N3124" i="1"/>
  <c r="M3116" i="1"/>
  <c r="N3116" i="1"/>
  <c r="M3109" i="1"/>
  <c r="N3109" i="1"/>
  <c r="M3102" i="1"/>
  <c r="N3102" i="1"/>
  <c r="M3094" i="1"/>
  <c r="N3094" i="1"/>
  <c r="M3086" i="1"/>
  <c r="N3086" i="1"/>
  <c r="M3079" i="1"/>
  <c r="N3079" i="1"/>
  <c r="M3071" i="1"/>
  <c r="N3071" i="1"/>
  <c r="M3063" i="1"/>
  <c r="N3063" i="1"/>
  <c r="M3055" i="1"/>
  <c r="N3055" i="1"/>
  <c r="M3047" i="1"/>
  <c r="N3047" i="1"/>
  <c r="M3039" i="1"/>
  <c r="N3039" i="1"/>
  <c r="M3024" i="1"/>
  <c r="N3024" i="1"/>
  <c r="M3016" i="1"/>
  <c r="N3016" i="1"/>
  <c r="M3008" i="1"/>
  <c r="N3008" i="1"/>
  <c r="M3000" i="1"/>
  <c r="N3000" i="1"/>
  <c r="M2993" i="1"/>
  <c r="N2993" i="1"/>
  <c r="M2986" i="1"/>
  <c r="N2986" i="1"/>
  <c r="M2978" i="1"/>
  <c r="N2978" i="1"/>
  <c r="M2970" i="1"/>
  <c r="N2970" i="1"/>
  <c r="M2963" i="1"/>
  <c r="N2963" i="1"/>
  <c r="M2956" i="1"/>
  <c r="N2956" i="1"/>
  <c r="M2949" i="1"/>
  <c r="N2949" i="1"/>
  <c r="M2942" i="1"/>
  <c r="N2942" i="1"/>
  <c r="M2934" i="1"/>
  <c r="N2934" i="1"/>
  <c r="M2927" i="1"/>
  <c r="N2927" i="1"/>
  <c r="M2913" i="1"/>
  <c r="N2913" i="1"/>
  <c r="M2899" i="1"/>
  <c r="N2899" i="1"/>
  <c r="M2891" i="1"/>
  <c r="N2891" i="1"/>
  <c r="M2883" i="1"/>
  <c r="N2883" i="1"/>
  <c r="M2875" i="1"/>
  <c r="N2875" i="1"/>
  <c r="M2867" i="1"/>
  <c r="N2867" i="1"/>
  <c r="M2860" i="1"/>
  <c r="N2860" i="1"/>
  <c r="M2852" i="1"/>
  <c r="N2852" i="1"/>
  <c r="M2844" i="1"/>
  <c r="N2844" i="1"/>
  <c r="M2836" i="1"/>
  <c r="N2836" i="1"/>
  <c r="M2828" i="1"/>
  <c r="N2828" i="1"/>
  <c r="M2806" i="1"/>
  <c r="N2806" i="1"/>
  <c r="M2798" i="1"/>
  <c r="N2798" i="1"/>
  <c r="M2790" i="1"/>
  <c r="N2790" i="1"/>
  <c r="M2783" i="1"/>
  <c r="N2783" i="1"/>
  <c r="M2775" i="1"/>
  <c r="N2775" i="1"/>
  <c r="M2768" i="1"/>
  <c r="N2768" i="1"/>
  <c r="M2761" i="1"/>
  <c r="N2761" i="1"/>
  <c r="M2754" i="1"/>
  <c r="N2754" i="1"/>
  <c r="M2746" i="1"/>
  <c r="N2746" i="1"/>
  <c r="M2738" i="1"/>
  <c r="N2738" i="1"/>
  <c r="M2730" i="1"/>
  <c r="N2730" i="1"/>
  <c r="M2723" i="1"/>
  <c r="N2723" i="1"/>
  <c r="M2715" i="1"/>
  <c r="N2715" i="1"/>
  <c r="M2708" i="1"/>
  <c r="N2708" i="1"/>
  <c r="M2700" i="1"/>
  <c r="N2700" i="1"/>
  <c r="M2692" i="1"/>
  <c r="N2692" i="1"/>
  <c r="M2685" i="1"/>
  <c r="N2685" i="1"/>
  <c r="M2677" i="1"/>
  <c r="N2677" i="1"/>
  <c r="M2669" i="1"/>
  <c r="N2669" i="1"/>
  <c r="M2662" i="1"/>
  <c r="N2662" i="1"/>
  <c r="M2655" i="1"/>
  <c r="N2655" i="1"/>
  <c r="M2648" i="1"/>
  <c r="N2648" i="1"/>
  <c r="M2641" i="1"/>
  <c r="N2641" i="1"/>
  <c r="M2633" i="1"/>
  <c r="N2633" i="1"/>
  <c r="M2626" i="1"/>
  <c r="N2626" i="1"/>
  <c r="M2619" i="1"/>
  <c r="N2619" i="1"/>
  <c r="M2611" i="1"/>
  <c r="N2611" i="1"/>
  <c r="M2603" i="1"/>
  <c r="N2603" i="1"/>
  <c r="M2596" i="1"/>
  <c r="N2596" i="1"/>
  <c r="M2588" i="1"/>
  <c r="N2588" i="1"/>
  <c r="M2580" i="1"/>
  <c r="N2580" i="1"/>
  <c r="M2572" i="1"/>
  <c r="N2572" i="1"/>
  <c r="M2565" i="1"/>
  <c r="N2565" i="1"/>
  <c r="M2557" i="1"/>
  <c r="N2557" i="1"/>
  <c r="M2549" i="1"/>
  <c r="N2549" i="1"/>
  <c r="M2541" i="1"/>
  <c r="N2541" i="1"/>
  <c r="M2534" i="1"/>
  <c r="N2534" i="1"/>
  <c r="M2526" i="1"/>
  <c r="N2526" i="1"/>
  <c r="M2518" i="1"/>
  <c r="N2518" i="1"/>
  <c r="M2510" i="1"/>
  <c r="N2510" i="1"/>
  <c r="M2502" i="1"/>
  <c r="N2502" i="1"/>
  <c r="M2494" i="1"/>
  <c r="N2494" i="1"/>
  <c r="M2486" i="1"/>
  <c r="N2486" i="1"/>
  <c r="M2472" i="1"/>
  <c r="N2472" i="1"/>
  <c r="M2465" i="1"/>
  <c r="N2465" i="1"/>
  <c r="M2458" i="1"/>
  <c r="N2458" i="1"/>
  <c r="M2450" i="1"/>
  <c r="N2450" i="1"/>
  <c r="M2287" i="1"/>
  <c r="N2287" i="1"/>
  <c r="M2280" i="1"/>
  <c r="N2280" i="1"/>
  <c r="M2272" i="1"/>
  <c r="N2272" i="1"/>
  <c r="M2265" i="1"/>
  <c r="N2265" i="1"/>
  <c r="M2257" i="1"/>
  <c r="N2257" i="1"/>
  <c r="M2250" i="1"/>
  <c r="N2250" i="1"/>
  <c r="M2242" i="1"/>
  <c r="N2242" i="1"/>
  <c r="M2235" i="1"/>
  <c r="N2235" i="1"/>
  <c r="M2227" i="1"/>
  <c r="N2227" i="1"/>
  <c r="M2219" i="1"/>
  <c r="N2219" i="1"/>
  <c r="M2211" i="1"/>
  <c r="N2211" i="1"/>
  <c r="M2203" i="1"/>
  <c r="N2203" i="1"/>
  <c r="M2195" i="1"/>
  <c r="N2195" i="1"/>
  <c r="M2089" i="1"/>
  <c r="N2089" i="1"/>
  <c r="M2082" i="1"/>
  <c r="N2082" i="1"/>
  <c r="M2074" i="1"/>
  <c r="N2074" i="1"/>
  <c r="M2066" i="1"/>
  <c r="N2066" i="1"/>
  <c r="M2058" i="1"/>
  <c r="N2058" i="1"/>
  <c r="M2050" i="1"/>
  <c r="N2050" i="1"/>
  <c r="M2042" i="1"/>
  <c r="N2042" i="1"/>
  <c r="M2035" i="1"/>
  <c r="N2035" i="1"/>
  <c r="M2027" i="1"/>
  <c r="N2027" i="1"/>
  <c r="M2013" i="1"/>
  <c r="N2013" i="1"/>
  <c r="M2005" i="1"/>
  <c r="N2005" i="1"/>
  <c r="M1997" i="1"/>
  <c r="N1997" i="1"/>
  <c r="M1989" i="1"/>
  <c r="N1989" i="1"/>
  <c r="M1981" i="1"/>
  <c r="N1981" i="1"/>
  <c r="M1974" i="1"/>
  <c r="N1974" i="1"/>
  <c r="M1966" i="1"/>
  <c r="N1966" i="1"/>
  <c r="M1960" i="1"/>
  <c r="N1960" i="1"/>
  <c r="N1953" i="1"/>
  <c r="M1953" i="1"/>
  <c r="M1945" i="1"/>
  <c r="N1945" i="1"/>
  <c r="N1937" i="1"/>
  <c r="M1937" i="1"/>
  <c r="M1929" i="1"/>
  <c r="N1929" i="1"/>
  <c r="M1921" i="1"/>
  <c r="N1921" i="1"/>
  <c r="M1913" i="1"/>
  <c r="N1913" i="1"/>
  <c r="M1899" i="1"/>
  <c r="N1899" i="1"/>
  <c r="M1891" i="1"/>
  <c r="N1891" i="1"/>
  <c r="M1883" i="1"/>
  <c r="N1883" i="1"/>
  <c r="M1868" i="1"/>
  <c r="N1868" i="1"/>
  <c r="M1860" i="1"/>
  <c r="N1860" i="1"/>
  <c r="M1852" i="1"/>
  <c r="N1852" i="1"/>
  <c r="M1844" i="1"/>
  <c r="N1844" i="1"/>
  <c r="M1837" i="1"/>
  <c r="N1837" i="1"/>
  <c r="M1829" i="1"/>
  <c r="N1829" i="1"/>
  <c r="M1821" i="1"/>
  <c r="N1821" i="1"/>
  <c r="M1557" i="1"/>
  <c r="N1557" i="1"/>
  <c r="M1549" i="1"/>
  <c r="N1549" i="1"/>
  <c r="M1541" i="1"/>
  <c r="N1541" i="1"/>
  <c r="M1533" i="1"/>
  <c r="N1533" i="1"/>
  <c r="M1525" i="1"/>
  <c r="N1525" i="1"/>
  <c r="M1518" i="1"/>
  <c r="N1518" i="1"/>
  <c r="M1510" i="1"/>
  <c r="N1510" i="1"/>
  <c r="M1503" i="1"/>
  <c r="N1503" i="1"/>
  <c r="M1496" i="1"/>
  <c r="N1496" i="1"/>
  <c r="M1489" i="1"/>
  <c r="N1489" i="1"/>
  <c r="M1481" i="1"/>
  <c r="N1481" i="1"/>
  <c r="M1473" i="1"/>
  <c r="N1473" i="1"/>
  <c r="M1465" i="1"/>
  <c r="N1465" i="1"/>
  <c r="M1458" i="1"/>
  <c r="N1458" i="1"/>
  <c r="M1452" i="1"/>
  <c r="N1452" i="1"/>
  <c r="M1438" i="1"/>
  <c r="N1438" i="1"/>
  <c r="M1430" i="1"/>
  <c r="N1430" i="1"/>
  <c r="M1415" i="1"/>
  <c r="N1415" i="1"/>
  <c r="M1408" i="1"/>
  <c r="N1408" i="1"/>
  <c r="M1401" i="1"/>
  <c r="N1401" i="1"/>
  <c r="M1393" i="1"/>
  <c r="N1393" i="1"/>
  <c r="M1385" i="1"/>
  <c r="N1385" i="1"/>
  <c r="M1377" i="1"/>
  <c r="N1377" i="1"/>
  <c r="M816" i="1"/>
  <c r="N816" i="1"/>
  <c r="M808" i="1"/>
  <c r="N808" i="1"/>
  <c r="M800" i="1"/>
  <c r="N800" i="1"/>
  <c r="M793" i="1"/>
  <c r="N793" i="1"/>
  <c r="M785" i="1"/>
  <c r="N785" i="1"/>
  <c r="M777" i="1"/>
  <c r="N777" i="1"/>
  <c r="M769" i="1"/>
  <c r="N769" i="1"/>
  <c r="M761" i="1"/>
  <c r="N761" i="1"/>
  <c r="M754" i="1"/>
  <c r="N754" i="1"/>
  <c r="M746" i="1"/>
  <c r="N746" i="1"/>
  <c r="M738" i="1"/>
  <c r="N738" i="1"/>
  <c r="M730" i="1"/>
  <c r="N730" i="1"/>
  <c r="M722" i="1"/>
  <c r="N722" i="1"/>
  <c r="M714" i="1"/>
  <c r="N714" i="1"/>
  <c r="M698" i="1"/>
  <c r="N698" i="1"/>
  <c r="M683" i="1"/>
  <c r="N683" i="1"/>
  <c r="M675" i="1"/>
  <c r="N675" i="1"/>
  <c r="M668" i="1"/>
  <c r="N668" i="1"/>
  <c r="M662" i="1"/>
  <c r="N662" i="1"/>
  <c r="M655" i="1"/>
  <c r="N655" i="1"/>
  <c r="M647" i="1"/>
  <c r="N647" i="1"/>
  <c r="M639" i="1"/>
  <c r="N639" i="1"/>
  <c r="M632" i="1"/>
  <c r="N632" i="1"/>
  <c r="M625" i="1"/>
  <c r="N625" i="1"/>
  <c r="M617" i="1"/>
  <c r="N617" i="1"/>
  <c r="M609" i="1"/>
  <c r="N609" i="1"/>
  <c r="M601" i="1"/>
  <c r="N601" i="1"/>
  <c r="M586" i="1"/>
  <c r="N586" i="1"/>
  <c r="M571" i="1"/>
  <c r="N571" i="1"/>
  <c r="M563" i="1"/>
  <c r="N563" i="1"/>
  <c r="M555" i="1"/>
  <c r="N555" i="1"/>
  <c r="M547" i="1"/>
  <c r="N547" i="1"/>
  <c r="M539" i="1"/>
  <c r="N539" i="1"/>
  <c r="M531" i="1"/>
  <c r="N531" i="1"/>
  <c r="M523" i="1"/>
  <c r="N523" i="1"/>
  <c r="M515" i="1"/>
  <c r="N515" i="1"/>
  <c r="M508" i="1"/>
  <c r="N508" i="1"/>
  <c r="M500" i="1"/>
  <c r="N500" i="1"/>
  <c r="M492" i="1"/>
  <c r="N492" i="1"/>
  <c r="M449" i="1"/>
  <c r="N449" i="1"/>
  <c r="M441" i="1"/>
  <c r="N441" i="1"/>
  <c r="M434" i="1"/>
  <c r="N434" i="1"/>
  <c r="M427" i="1"/>
  <c r="N427" i="1"/>
  <c r="M412" i="1"/>
  <c r="N412" i="1"/>
  <c r="M405" i="1"/>
  <c r="N405" i="1"/>
  <c r="M398" i="1"/>
  <c r="N398" i="1"/>
  <c r="M390" i="1"/>
  <c r="N390" i="1"/>
  <c r="M2098" i="1"/>
  <c r="N2098" i="1"/>
  <c r="M2091" i="1"/>
  <c r="N2091" i="1"/>
  <c r="M2084" i="1"/>
  <c r="N2084" i="1"/>
  <c r="M2077" i="1"/>
  <c r="N2077" i="1"/>
  <c r="M2069" i="1"/>
  <c r="N2069" i="1"/>
  <c r="M2061" i="1"/>
  <c r="N2061" i="1"/>
  <c r="M2053" i="1"/>
  <c r="N2053" i="1"/>
  <c r="M2045" i="1"/>
  <c r="N2045" i="1"/>
  <c r="M2038" i="1"/>
  <c r="N2038" i="1"/>
  <c r="M2030" i="1"/>
  <c r="N2030" i="1"/>
  <c r="M2023" i="1"/>
  <c r="N2023" i="1"/>
  <c r="M2016" i="1"/>
  <c r="N2016" i="1"/>
  <c r="M2008" i="1"/>
  <c r="N2008" i="1"/>
  <c r="M2000" i="1"/>
  <c r="N2000" i="1"/>
  <c r="M1992" i="1"/>
  <c r="N1992" i="1"/>
  <c r="M1984" i="1"/>
  <c r="N1984" i="1"/>
  <c r="M1976" i="1"/>
  <c r="N1976" i="1"/>
  <c r="M1969" i="1"/>
  <c r="N1969" i="1"/>
  <c r="M1962" i="1"/>
  <c r="N1962" i="1"/>
  <c r="M1948" i="1"/>
  <c r="N1948" i="1"/>
  <c r="M1604" i="1"/>
  <c r="N1604" i="1"/>
  <c r="M1596" i="1"/>
  <c r="N1596" i="1"/>
  <c r="M1589" i="1"/>
  <c r="N1589" i="1"/>
  <c r="M1582" i="1"/>
  <c r="N1582" i="1"/>
  <c r="M1575" i="1"/>
  <c r="N1575" i="1"/>
  <c r="M1567" i="1"/>
  <c r="N1567" i="1"/>
  <c r="M1559" i="1"/>
  <c r="N1559" i="1"/>
  <c r="M1552" i="1"/>
  <c r="N1552" i="1"/>
  <c r="M1544" i="1"/>
  <c r="N1544" i="1"/>
  <c r="M1536" i="1"/>
  <c r="N1536" i="1"/>
  <c r="M1528" i="1"/>
  <c r="N1528" i="1"/>
  <c r="M1520" i="1"/>
  <c r="N1520" i="1"/>
  <c r="M1513" i="1"/>
  <c r="N1513" i="1"/>
  <c r="M1506" i="1"/>
  <c r="N1506" i="1"/>
  <c r="M1499" i="1"/>
  <c r="N1499" i="1"/>
  <c r="M1492" i="1"/>
  <c r="N1492" i="1"/>
  <c r="M1485" i="1"/>
  <c r="N1485" i="1"/>
  <c r="M1477" i="1"/>
  <c r="N1477" i="1"/>
  <c r="M1469" i="1"/>
  <c r="N1469" i="1"/>
  <c r="M1462" i="1"/>
  <c r="N1462" i="1"/>
  <c r="M1455" i="1"/>
  <c r="N1455" i="1"/>
  <c r="M1448" i="1"/>
  <c r="N1448" i="1"/>
  <c r="M1441" i="1"/>
  <c r="N1441" i="1"/>
  <c r="M1434" i="1"/>
  <c r="N1434" i="1"/>
  <c r="M1426" i="1"/>
  <c r="N1426" i="1"/>
  <c r="M1419" i="1"/>
  <c r="N1419" i="1"/>
  <c r="M1413" i="1"/>
  <c r="N1413" i="1"/>
  <c r="M1406" i="1"/>
  <c r="N1406" i="1"/>
  <c r="M1399" i="1"/>
  <c r="N1399" i="1"/>
  <c r="M1391" i="1"/>
  <c r="N1391" i="1"/>
  <c r="M1383" i="1"/>
  <c r="N1383" i="1"/>
  <c r="M1376" i="1"/>
  <c r="N1376" i="1"/>
  <c r="M1371" i="1"/>
  <c r="N1371" i="1"/>
  <c r="M1364" i="1"/>
  <c r="N1364" i="1"/>
  <c r="M1356" i="1"/>
  <c r="N1356" i="1"/>
  <c r="M1341" i="1"/>
  <c r="N1341" i="1"/>
  <c r="M1333" i="1"/>
  <c r="N1333" i="1"/>
  <c r="M1325" i="1"/>
  <c r="N1325" i="1"/>
  <c r="M1317" i="1"/>
  <c r="N1317" i="1"/>
  <c r="M1304" i="1"/>
  <c r="N1304" i="1"/>
  <c r="M1296" i="1"/>
  <c r="N1296" i="1"/>
  <c r="M1288" i="1"/>
  <c r="N1288" i="1"/>
  <c r="M1200" i="1"/>
  <c r="N1200" i="1"/>
  <c r="M1192" i="1"/>
  <c r="N1192" i="1"/>
  <c r="M1185" i="1"/>
  <c r="N1185" i="1"/>
  <c r="M1177" i="1"/>
  <c r="N1177" i="1"/>
  <c r="M1169" i="1"/>
  <c r="N1169" i="1"/>
  <c r="M1161" i="1"/>
  <c r="N1161" i="1"/>
  <c r="M1153" i="1"/>
  <c r="N1153" i="1"/>
  <c r="M1140" i="1"/>
  <c r="N1140" i="1"/>
  <c r="M1132" i="1"/>
  <c r="N1132" i="1"/>
  <c r="M1117" i="1"/>
  <c r="N1117" i="1"/>
  <c r="M1109" i="1"/>
  <c r="N1109" i="1"/>
  <c r="M1101" i="1"/>
  <c r="N1101" i="1"/>
  <c r="M1093" i="1"/>
  <c r="N1093" i="1"/>
  <c r="M1086" i="1"/>
  <c r="N1086" i="1"/>
  <c r="M1078" i="1"/>
  <c r="N1078" i="1"/>
  <c r="M1070" i="1"/>
  <c r="N1070" i="1"/>
  <c r="M1062" i="1"/>
  <c r="N1062" i="1"/>
  <c r="M1048" i="1"/>
  <c r="N1048" i="1"/>
  <c r="M1040" i="1"/>
  <c r="N1040" i="1"/>
  <c r="M1032" i="1"/>
  <c r="N1032" i="1"/>
  <c r="M1024" i="1"/>
  <c r="N1024" i="1"/>
  <c r="M1016" i="1"/>
  <c r="N1016" i="1"/>
  <c r="M1008" i="1"/>
  <c r="N1008" i="1"/>
  <c r="M1001" i="1"/>
  <c r="N1001" i="1"/>
  <c r="M994" i="1"/>
  <c r="N994" i="1"/>
  <c r="M979" i="1"/>
  <c r="N979" i="1"/>
  <c r="M971" i="1"/>
  <c r="N971" i="1"/>
  <c r="M963" i="1"/>
  <c r="N963" i="1"/>
  <c r="M955" i="1"/>
  <c r="N955" i="1"/>
  <c r="M947" i="1"/>
  <c r="N947" i="1"/>
  <c r="M941" i="1"/>
  <c r="N941" i="1"/>
  <c r="M757" i="1"/>
  <c r="N757" i="1"/>
  <c r="M750" i="1"/>
  <c r="N750" i="1"/>
  <c r="M742" i="1"/>
  <c r="N742" i="1"/>
  <c r="M734" i="1"/>
  <c r="N734" i="1"/>
  <c r="M726" i="1"/>
  <c r="N726" i="1"/>
  <c r="M718" i="1"/>
  <c r="N718" i="1"/>
  <c r="M711" i="1"/>
  <c r="N711" i="1"/>
  <c r="M703" i="1"/>
  <c r="N703" i="1"/>
  <c r="M695" i="1"/>
  <c r="N695" i="1"/>
  <c r="M688" i="1"/>
  <c r="N688" i="1"/>
  <c r="M680" i="1"/>
  <c r="N680" i="1"/>
  <c r="M672" i="1"/>
  <c r="N672" i="1"/>
  <c r="M659" i="1"/>
  <c r="N659" i="1"/>
  <c r="M652" i="1"/>
  <c r="N652" i="1"/>
  <c r="M644" i="1"/>
  <c r="N644" i="1"/>
  <c r="M637" i="1"/>
  <c r="N637" i="1"/>
  <c r="M622" i="1"/>
  <c r="N622" i="1"/>
  <c r="M614" i="1"/>
  <c r="N614" i="1"/>
  <c r="M606" i="1"/>
  <c r="N606" i="1"/>
  <c r="M598" i="1"/>
  <c r="N598" i="1"/>
  <c r="M591" i="1"/>
  <c r="N591" i="1"/>
  <c r="M583" i="1"/>
  <c r="N583" i="1"/>
  <c r="M576" i="1"/>
  <c r="N576" i="1"/>
  <c r="M568" i="1"/>
  <c r="N568" i="1"/>
  <c r="M560" i="1"/>
  <c r="N560" i="1"/>
  <c r="M552" i="1"/>
  <c r="N552" i="1"/>
  <c r="M544" i="1"/>
  <c r="N544" i="1"/>
  <c r="M536" i="1"/>
  <c r="N536" i="1"/>
  <c r="M528" i="1"/>
  <c r="N528" i="1"/>
  <c r="M520" i="1"/>
  <c r="N520" i="1"/>
  <c r="M513" i="1"/>
  <c r="N513" i="1"/>
  <c r="M505" i="1"/>
  <c r="N505" i="1"/>
  <c r="M497" i="1"/>
  <c r="N497" i="1"/>
  <c r="M489" i="1"/>
  <c r="N489" i="1"/>
  <c r="M321" i="1"/>
  <c r="N321" i="1"/>
  <c r="M313" i="1"/>
  <c r="N313" i="1"/>
  <c r="M306" i="1"/>
  <c r="N306" i="1"/>
  <c r="M298" i="1"/>
  <c r="N298" i="1"/>
  <c r="M290" i="1"/>
  <c r="N290" i="1"/>
  <c r="M283" i="1"/>
  <c r="N283" i="1"/>
  <c r="M275" i="1"/>
  <c r="N275" i="1"/>
  <c r="M268" i="1"/>
  <c r="N268" i="1"/>
  <c r="M260" i="1"/>
  <c r="N260" i="1"/>
  <c r="M252" i="1"/>
  <c r="N252" i="1"/>
  <c r="M244" i="1"/>
  <c r="N244" i="1"/>
  <c r="M236" i="1"/>
  <c r="N236" i="1"/>
  <c r="M229" i="1"/>
  <c r="N229" i="1"/>
  <c r="M221" i="1"/>
  <c r="N221" i="1"/>
  <c r="M214" i="1"/>
  <c r="N214" i="1"/>
  <c r="M206" i="1"/>
  <c r="N206" i="1"/>
  <c r="M198" i="1"/>
  <c r="N198" i="1"/>
  <c r="M190" i="1"/>
  <c r="N190" i="1"/>
  <c r="M183" i="1"/>
  <c r="N183" i="1"/>
  <c r="M175" i="1"/>
  <c r="N175" i="1"/>
  <c r="M167" i="1"/>
  <c r="N167" i="1"/>
  <c r="M160" i="1"/>
  <c r="N160" i="1"/>
  <c r="M152" i="1"/>
  <c r="N152" i="1"/>
  <c r="M144" i="1"/>
  <c r="N144" i="1"/>
  <c r="M136" i="1"/>
  <c r="N136" i="1"/>
  <c r="M128" i="1"/>
  <c r="N128" i="1"/>
  <c r="M120" i="1"/>
  <c r="N120" i="1"/>
  <c r="M112" i="1"/>
  <c r="N112" i="1"/>
  <c r="M97" i="1"/>
  <c r="N97" i="1"/>
  <c r="M89" i="1"/>
  <c r="N89" i="1"/>
  <c r="M81" i="1"/>
  <c r="N81" i="1"/>
  <c r="M74" i="1"/>
  <c r="N74" i="1"/>
  <c r="M66" i="1"/>
  <c r="N66" i="1"/>
  <c r="M58" i="1"/>
  <c r="N58" i="1"/>
  <c r="M50" i="1"/>
  <c r="N50" i="1"/>
  <c r="M43" i="1"/>
  <c r="N43" i="1"/>
  <c r="M35" i="1"/>
  <c r="N35" i="1"/>
  <c r="M6672" i="1"/>
  <c r="N6672" i="1"/>
  <c r="M6665" i="1"/>
  <c r="N6665" i="1"/>
  <c r="M6657" i="1"/>
  <c r="N6657" i="1"/>
  <c r="M6650" i="1"/>
  <c r="N6650" i="1"/>
  <c r="M6643" i="1"/>
  <c r="N6643" i="1"/>
  <c r="M6630" i="1"/>
  <c r="N6630" i="1"/>
  <c r="M6624" i="1"/>
  <c r="N6624" i="1"/>
  <c r="M6617" i="1"/>
  <c r="N6617" i="1"/>
  <c r="N6610" i="1"/>
  <c r="M6610" i="1"/>
  <c r="M6604" i="1"/>
  <c r="N6604" i="1"/>
  <c r="M6596" i="1"/>
  <c r="N6596" i="1"/>
  <c r="M6575" i="1"/>
  <c r="N6575" i="1"/>
  <c r="N6568" i="1"/>
  <c r="M6568" i="1"/>
  <c r="M6562" i="1"/>
  <c r="N6562" i="1"/>
  <c r="M6555" i="1"/>
  <c r="N6555" i="1"/>
  <c r="M6541" i="1"/>
  <c r="N6541" i="1"/>
  <c r="M6534" i="1"/>
  <c r="N6534" i="1"/>
  <c r="M6528" i="1"/>
  <c r="N6528" i="1"/>
  <c r="M6521" i="1"/>
  <c r="N6521" i="1"/>
  <c r="M6514" i="1"/>
  <c r="N6514" i="1"/>
  <c r="M6508" i="1"/>
  <c r="N6508" i="1"/>
  <c r="M6501" i="1"/>
  <c r="N6501" i="1"/>
  <c r="M6495" i="1"/>
  <c r="N6495" i="1"/>
  <c r="M6472" i="1"/>
  <c r="N6472" i="1"/>
  <c r="M6465" i="1"/>
  <c r="N6465" i="1"/>
  <c r="M6458" i="1"/>
  <c r="N6458" i="1"/>
  <c r="M6451" i="1"/>
  <c r="N6451" i="1"/>
  <c r="M6443" i="1"/>
  <c r="N6443" i="1"/>
  <c r="M6436" i="1"/>
  <c r="N6436" i="1"/>
  <c r="M6429" i="1"/>
  <c r="N6429" i="1"/>
  <c r="M6422" i="1"/>
  <c r="N6422" i="1"/>
  <c r="M6415" i="1"/>
  <c r="N6415" i="1"/>
  <c r="M6408" i="1"/>
  <c r="N6408" i="1"/>
  <c r="M6400" i="1"/>
  <c r="N6400" i="1"/>
  <c r="M6393" i="1"/>
  <c r="N6393" i="1"/>
  <c r="M6386" i="1"/>
  <c r="N6386" i="1"/>
  <c r="M6380" i="1"/>
  <c r="N6380" i="1"/>
  <c r="M6367" i="1"/>
  <c r="N6367" i="1"/>
  <c r="M6360" i="1"/>
  <c r="N6360" i="1"/>
  <c r="M6353" i="1"/>
  <c r="N6353" i="1"/>
  <c r="M6339" i="1"/>
  <c r="N6339" i="1"/>
  <c r="M6332" i="1"/>
  <c r="N6332" i="1"/>
  <c r="M6325" i="1"/>
  <c r="N6325" i="1"/>
  <c r="M6318" i="1"/>
  <c r="N6318" i="1"/>
  <c r="M6310" i="1"/>
  <c r="N6310" i="1"/>
  <c r="N6290" i="1"/>
  <c r="M6290" i="1"/>
  <c r="M6283" i="1"/>
  <c r="N6283" i="1"/>
  <c r="M6276" i="1"/>
  <c r="N6276" i="1"/>
  <c r="M6268" i="1"/>
  <c r="N6268" i="1"/>
  <c r="M6260" i="1"/>
  <c r="N6260" i="1"/>
  <c r="M6254" i="1"/>
  <c r="N6254" i="1"/>
  <c r="M6241" i="1"/>
  <c r="N6241" i="1"/>
  <c r="M6234" i="1"/>
  <c r="N6234" i="1"/>
  <c r="M6227" i="1"/>
  <c r="N6227" i="1"/>
  <c r="M6219" i="1"/>
  <c r="N6219" i="1"/>
  <c r="M6204" i="1"/>
  <c r="N6204" i="1"/>
  <c r="M6196" i="1"/>
  <c r="N6196" i="1"/>
  <c r="M6182" i="1"/>
  <c r="N6182" i="1"/>
  <c r="M6175" i="1"/>
  <c r="N6175" i="1"/>
  <c r="N6160" i="1"/>
  <c r="M6160" i="1"/>
  <c r="M6152" i="1"/>
  <c r="N6152" i="1"/>
  <c r="M6144" i="1"/>
  <c r="N6144" i="1"/>
  <c r="M6136" i="1"/>
  <c r="N6136" i="1"/>
  <c r="M6128" i="1"/>
  <c r="N6128" i="1"/>
  <c r="M6114" i="1"/>
  <c r="N6114" i="1"/>
  <c r="M6106" i="1"/>
  <c r="N6106" i="1"/>
  <c r="M6100" i="1"/>
  <c r="N6100" i="1"/>
  <c r="M6086" i="1"/>
  <c r="N6086" i="1"/>
  <c r="N6078" i="1"/>
  <c r="M6078" i="1"/>
  <c r="M6071" i="1"/>
  <c r="N6071" i="1"/>
  <c r="M6065" i="1"/>
  <c r="N6065" i="1"/>
  <c r="M6058" i="1"/>
  <c r="N6058" i="1"/>
  <c r="M6052" i="1"/>
  <c r="N6052" i="1"/>
  <c r="M6044" i="1"/>
  <c r="N6044" i="1"/>
  <c r="M6037" i="1"/>
  <c r="N6037" i="1"/>
  <c r="M6029" i="1"/>
  <c r="N6029" i="1"/>
  <c r="N6022" i="1"/>
  <c r="M6022" i="1"/>
  <c r="M6015" i="1"/>
  <c r="N6015" i="1"/>
  <c r="M6007" i="1"/>
  <c r="N6007" i="1"/>
  <c r="M5999" i="1"/>
  <c r="N5999" i="1"/>
  <c r="N5979" i="1"/>
  <c r="M5979" i="1"/>
  <c r="M5972" i="1"/>
  <c r="N5972" i="1"/>
  <c r="M5965" i="1"/>
  <c r="N5965" i="1"/>
  <c r="M5957" i="1"/>
  <c r="N5957" i="1"/>
  <c r="M5944" i="1"/>
  <c r="N5944" i="1"/>
  <c r="M5937" i="1"/>
  <c r="N5937" i="1"/>
  <c r="M5930" i="1"/>
  <c r="N5930" i="1"/>
  <c r="M5923" i="1"/>
  <c r="N5923" i="1"/>
  <c r="M5917" i="1"/>
  <c r="N5917" i="1"/>
  <c r="M5909" i="1"/>
  <c r="N5909" i="1"/>
  <c r="N5903" i="1"/>
  <c r="M5903" i="1"/>
  <c r="M5889" i="1"/>
  <c r="N5889" i="1"/>
  <c r="M5883" i="1"/>
  <c r="N5883" i="1"/>
  <c r="M5875" i="1"/>
  <c r="N5875" i="1"/>
  <c r="M5868" i="1"/>
  <c r="N5868" i="1"/>
  <c r="M5861" i="1"/>
  <c r="N5861" i="1"/>
  <c r="M5854" i="1"/>
  <c r="N5854" i="1"/>
  <c r="M5848" i="1"/>
  <c r="N5848" i="1"/>
  <c r="N5840" i="1"/>
  <c r="M5840" i="1"/>
  <c r="N5832" i="1"/>
  <c r="M5832" i="1"/>
  <c r="M5824" i="1"/>
  <c r="N5824" i="1"/>
  <c r="M5816" i="1"/>
  <c r="N5816" i="1"/>
  <c r="M5809" i="1"/>
  <c r="N5809" i="1"/>
  <c r="M5802" i="1"/>
  <c r="N5802" i="1"/>
  <c r="M5795" i="1"/>
  <c r="N5795" i="1"/>
  <c r="M5789" i="1"/>
  <c r="N5789" i="1"/>
  <c r="M5781" i="1"/>
  <c r="N5781" i="1"/>
  <c r="M5773" i="1"/>
  <c r="N5773" i="1"/>
  <c r="M5765" i="1"/>
  <c r="N5765" i="1"/>
  <c r="M5752" i="1"/>
  <c r="N5752" i="1"/>
  <c r="M5745" i="1"/>
  <c r="N5745" i="1"/>
  <c r="M5730" i="1"/>
  <c r="N5730" i="1"/>
  <c r="M5722" i="1"/>
  <c r="N5722" i="1"/>
  <c r="M5699" i="1"/>
  <c r="N5699" i="1"/>
  <c r="N5691" i="1"/>
  <c r="M5691" i="1"/>
  <c r="M5684" i="1"/>
  <c r="N5684" i="1"/>
  <c r="M5677" i="1"/>
  <c r="N5677" i="1"/>
  <c r="M5669" i="1"/>
  <c r="N5669" i="1"/>
  <c r="M5656" i="1"/>
  <c r="N5656" i="1"/>
  <c r="M5648" i="1"/>
  <c r="N5648" i="1"/>
  <c r="M5641" i="1"/>
  <c r="N5641" i="1"/>
  <c r="M5633" i="1"/>
  <c r="N5633" i="1"/>
  <c r="M5625" i="1"/>
  <c r="N5625" i="1"/>
  <c r="M5618" i="1"/>
  <c r="N5618" i="1"/>
  <c r="M5610" i="1"/>
  <c r="N5610" i="1"/>
  <c r="M5604" i="1"/>
  <c r="N5604" i="1"/>
  <c r="M5596" i="1"/>
  <c r="N5596" i="1"/>
  <c r="M5590" i="1"/>
  <c r="N5590" i="1"/>
  <c r="M5582" i="1"/>
  <c r="N5582" i="1"/>
  <c r="M5575" i="1"/>
  <c r="N5575" i="1"/>
  <c r="M5569" i="1"/>
  <c r="N5569" i="1"/>
  <c r="M5562" i="1"/>
  <c r="N5562" i="1"/>
  <c r="M5555" i="1"/>
  <c r="N5555" i="1"/>
  <c r="M5548" i="1"/>
  <c r="N5548" i="1"/>
  <c r="M5540" i="1"/>
  <c r="N5540" i="1"/>
  <c r="M5534" i="1"/>
  <c r="N5534" i="1"/>
  <c r="M5520" i="1"/>
  <c r="N5520" i="1"/>
  <c r="M5513" i="1"/>
  <c r="N5513" i="1"/>
  <c r="M5498" i="1"/>
  <c r="N5498" i="1"/>
  <c r="M5491" i="1"/>
  <c r="N5491" i="1"/>
  <c r="M5475" i="1"/>
  <c r="N5475" i="1"/>
  <c r="M5468" i="1"/>
  <c r="N5468" i="1"/>
  <c r="M5460" i="1"/>
  <c r="N5460" i="1"/>
  <c r="M5453" i="1"/>
  <c r="N5453" i="1"/>
  <c r="M5446" i="1"/>
  <c r="N5446" i="1"/>
  <c r="M5438" i="1"/>
  <c r="N5438" i="1"/>
  <c r="M5431" i="1"/>
  <c r="N5431" i="1"/>
  <c r="M5426" i="1"/>
  <c r="N5426" i="1"/>
  <c r="M5418" i="1"/>
  <c r="N5418" i="1"/>
  <c r="M5410" i="1"/>
  <c r="N5410" i="1"/>
  <c r="M5404" i="1"/>
  <c r="N5404" i="1"/>
  <c r="M5390" i="1"/>
  <c r="N5390" i="1"/>
  <c r="M5383" i="1"/>
  <c r="N5383" i="1"/>
  <c r="M5376" i="1"/>
  <c r="N5376" i="1"/>
  <c r="M5368" i="1"/>
  <c r="N5368" i="1"/>
  <c r="M5360" i="1"/>
  <c r="N5360" i="1"/>
  <c r="M5352" i="1"/>
  <c r="N5352" i="1"/>
  <c r="M5338" i="1"/>
  <c r="N5338" i="1"/>
  <c r="M5332" i="1"/>
  <c r="N5332" i="1"/>
  <c r="M5320" i="1"/>
  <c r="N5320" i="1"/>
  <c r="M5308" i="1"/>
  <c r="N5308" i="1"/>
  <c r="M5295" i="1"/>
  <c r="N5295" i="1"/>
  <c r="M5287" i="1"/>
  <c r="N5287" i="1"/>
  <c r="M5280" i="1"/>
  <c r="N5280" i="1"/>
  <c r="M5272" i="1"/>
  <c r="N5272" i="1"/>
  <c r="M5265" i="1"/>
  <c r="N5265" i="1"/>
  <c r="M5257" i="1"/>
  <c r="N5257" i="1"/>
  <c r="N5250" i="1"/>
  <c r="M5250" i="1"/>
  <c r="M5242" i="1"/>
  <c r="N5242" i="1"/>
  <c r="M5234" i="1"/>
  <c r="N5234" i="1"/>
  <c r="M5226" i="1"/>
  <c r="N5226" i="1"/>
  <c r="M5219" i="1"/>
  <c r="N5219" i="1"/>
  <c r="M5205" i="1"/>
  <c r="N5205" i="1"/>
  <c r="M5198" i="1"/>
  <c r="N5198" i="1"/>
  <c r="M5191" i="1"/>
  <c r="N5191" i="1"/>
  <c r="M5184" i="1"/>
  <c r="N5184" i="1"/>
  <c r="M5176" i="1"/>
  <c r="N5176" i="1"/>
  <c r="M5169" i="1"/>
  <c r="N5169" i="1"/>
  <c r="N5162" i="1"/>
  <c r="M5162" i="1"/>
  <c r="M5155" i="1"/>
  <c r="N5155" i="1"/>
  <c r="M5141" i="1"/>
  <c r="N5141" i="1"/>
  <c r="M5133" i="1"/>
  <c r="N5133" i="1"/>
  <c r="M5125" i="1"/>
  <c r="N5125" i="1"/>
  <c r="M5109" i="1"/>
  <c r="N5109" i="1"/>
  <c r="M5101" i="1"/>
  <c r="N5101" i="1"/>
  <c r="M5094" i="1"/>
  <c r="N5094" i="1"/>
  <c r="M5086" i="1"/>
  <c r="N5086" i="1"/>
  <c r="M5078" i="1"/>
  <c r="N5078" i="1"/>
  <c r="M5071" i="1"/>
  <c r="N5071" i="1"/>
  <c r="M5063" i="1"/>
  <c r="N5063" i="1"/>
  <c r="M5055" i="1"/>
  <c r="N5055" i="1"/>
  <c r="M5047" i="1"/>
  <c r="N5047" i="1"/>
  <c r="M5039" i="1"/>
  <c r="N5039" i="1"/>
  <c r="M5031" i="1"/>
  <c r="N5031" i="1"/>
  <c r="M5016" i="1"/>
  <c r="N5016" i="1"/>
  <c r="M5008" i="1"/>
  <c r="N5008" i="1"/>
  <c r="N5000" i="1"/>
  <c r="M5000" i="1"/>
  <c r="M4992" i="1"/>
  <c r="N4992" i="1"/>
  <c r="M4984" i="1"/>
  <c r="N4984" i="1"/>
  <c r="M4976" i="1"/>
  <c r="N4976" i="1"/>
  <c r="M4968" i="1"/>
  <c r="N4968" i="1"/>
  <c r="M4960" i="1"/>
  <c r="N4960" i="1"/>
  <c r="M4952" i="1"/>
  <c r="N4952" i="1"/>
  <c r="M4945" i="1"/>
  <c r="N4945" i="1"/>
  <c r="M4937" i="1"/>
  <c r="N4937" i="1"/>
  <c r="M4929" i="1"/>
  <c r="N4929" i="1"/>
  <c r="M4921" i="1"/>
  <c r="N4921" i="1"/>
  <c r="M4914" i="1"/>
  <c r="N4914" i="1"/>
  <c r="M4906" i="1"/>
  <c r="N4906" i="1"/>
  <c r="N4898" i="1"/>
  <c r="M4898" i="1"/>
  <c r="M4890" i="1"/>
  <c r="N4890" i="1"/>
  <c r="M4883" i="1"/>
  <c r="N4883" i="1"/>
  <c r="M4875" i="1"/>
  <c r="N4875" i="1"/>
  <c r="M4867" i="1"/>
  <c r="N4867" i="1"/>
  <c r="M4859" i="1"/>
  <c r="N4859" i="1"/>
  <c r="M4843" i="1"/>
  <c r="N4843" i="1"/>
  <c r="M4835" i="1"/>
  <c r="N4835" i="1"/>
  <c r="M4827" i="1"/>
  <c r="N4827" i="1"/>
  <c r="M4819" i="1"/>
  <c r="N4819" i="1"/>
  <c r="M4811" i="1"/>
  <c r="N4811" i="1"/>
  <c r="N4803" i="1"/>
  <c r="M4803" i="1"/>
  <c r="M4795" i="1"/>
  <c r="N4795" i="1"/>
  <c r="M4787" i="1"/>
  <c r="N4787" i="1"/>
  <c r="N4779" i="1"/>
  <c r="M4779" i="1"/>
  <c r="M4772" i="1"/>
  <c r="N4772" i="1"/>
  <c r="M4765" i="1"/>
  <c r="N4765" i="1"/>
  <c r="M4757" i="1"/>
  <c r="N4757" i="1"/>
  <c r="M4658" i="1"/>
  <c r="N4658" i="1"/>
  <c r="N4650" i="1"/>
  <c r="M4650" i="1"/>
  <c r="M4643" i="1"/>
  <c r="N4643" i="1"/>
  <c r="M4637" i="1"/>
  <c r="N4637" i="1"/>
  <c r="M4629" i="1"/>
  <c r="N4629" i="1"/>
  <c r="M4622" i="1"/>
  <c r="N4622" i="1"/>
  <c r="M4614" i="1"/>
  <c r="N4614" i="1"/>
  <c r="M4606" i="1"/>
  <c r="N4606" i="1"/>
  <c r="M4599" i="1"/>
  <c r="N4599" i="1"/>
  <c r="M4593" i="1"/>
  <c r="N4593" i="1"/>
  <c r="M4587" i="1"/>
  <c r="N4587" i="1"/>
  <c r="M4580" i="1"/>
  <c r="N4580" i="1"/>
  <c r="M4573" i="1"/>
  <c r="N4573" i="1"/>
  <c r="M4566" i="1"/>
  <c r="N4566" i="1"/>
  <c r="M4558" i="1"/>
  <c r="N4558" i="1"/>
  <c r="M4551" i="1"/>
  <c r="N4551" i="1"/>
  <c r="M4544" i="1"/>
  <c r="N4544" i="1"/>
  <c r="M4536" i="1"/>
  <c r="N4536" i="1"/>
  <c r="M4529" i="1"/>
  <c r="N4529" i="1"/>
  <c r="M4515" i="1"/>
  <c r="N4515" i="1"/>
  <c r="M4508" i="1"/>
  <c r="N4508" i="1"/>
  <c r="M4501" i="1"/>
  <c r="N4501" i="1"/>
  <c r="M4495" i="1"/>
  <c r="N4495" i="1"/>
  <c r="M4487" i="1"/>
  <c r="N4487" i="1"/>
  <c r="M4480" i="1"/>
  <c r="N4480" i="1"/>
  <c r="M4472" i="1"/>
  <c r="N4472" i="1"/>
  <c r="M4465" i="1"/>
  <c r="N4465" i="1"/>
  <c r="M4457" i="1"/>
  <c r="N4457" i="1"/>
  <c r="M4449" i="1"/>
  <c r="N4449" i="1"/>
  <c r="M4442" i="1"/>
  <c r="N4442" i="1"/>
  <c r="M4435" i="1"/>
  <c r="N4435" i="1"/>
  <c r="M4428" i="1"/>
  <c r="N4428" i="1"/>
  <c r="M4421" i="1"/>
  <c r="N4421" i="1"/>
  <c r="M4414" i="1"/>
  <c r="N4414" i="1"/>
  <c r="M4407" i="1"/>
  <c r="N4407" i="1"/>
  <c r="M4399" i="1"/>
  <c r="N4399" i="1"/>
  <c r="M4391" i="1"/>
  <c r="N4391" i="1"/>
  <c r="N4383" i="1"/>
  <c r="M4383" i="1"/>
  <c r="M4375" i="1"/>
  <c r="N4375" i="1"/>
  <c r="M4367" i="1"/>
  <c r="N4367" i="1"/>
  <c r="M4359" i="1"/>
  <c r="N4359" i="1"/>
  <c r="M4352" i="1"/>
  <c r="N4352" i="1"/>
  <c r="M4344" i="1"/>
  <c r="N4344" i="1"/>
  <c r="M4336" i="1"/>
  <c r="N4336" i="1"/>
  <c r="M4328" i="1"/>
  <c r="N4328" i="1"/>
  <c r="M4313" i="1"/>
  <c r="N4313" i="1"/>
  <c r="M4306" i="1"/>
  <c r="N4306" i="1"/>
  <c r="M4285" i="1"/>
  <c r="N4285" i="1"/>
  <c r="M4278" i="1"/>
  <c r="N4278" i="1"/>
  <c r="M4184" i="1"/>
  <c r="N4184" i="1"/>
  <c r="M4177" i="1"/>
  <c r="N4177" i="1"/>
  <c r="M4169" i="1"/>
  <c r="N4169" i="1"/>
  <c r="M4162" i="1"/>
  <c r="N4162" i="1"/>
  <c r="M4155" i="1"/>
  <c r="N4155" i="1"/>
  <c r="M4148" i="1"/>
  <c r="N4148" i="1"/>
  <c r="M4140" i="1"/>
  <c r="N4140" i="1"/>
  <c r="M4133" i="1"/>
  <c r="N4133" i="1"/>
  <c r="M4125" i="1"/>
  <c r="N4125" i="1"/>
  <c r="M4117" i="1"/>
  <c r="N4117" i="1"/>
  <c r="M4109" i="1"/>
  <c r="N4109" i="1"/>
  <c r="M4103" i="1"/>
  <c r="N4103" i="1"/>
  <c r="M4096" i="1"/>
  <c r="N4096" i="1"/>
  <c r="M4089" i="1"/>
  <c r="N4089" i="1"/>
  <c r="M4081" i="1"/>
  <c r="N4081" i="1"/>
  <c r="M4073" i="1"/>
  <c r="N4073" i="1"/>
  <c r="M4065" i="1"/>
  <c r="N4065" i="1"/>
  <c r="M4058" i="1"/>
  <c r="N4058" i="1"/>
  <c r="M4045" i="1"/>
  <c r="N4045" i="1"/>
  <c r="M4037" i="1"/>
  <c r="N4037" i="1"/>
  <c r="M4030" i="1"/>
  <c r="N4030" i="1"/>
  <c r="M4022" i="1"/>
  <c r="N4022" i="1"/>
  <c r="M3998" i="1"/>
  <c r="N3998" i="1"/>
  <c r="M3990" i="1"/>
  <c r="N3990" i="1"/>
  <c r="M3982" i="1"/>
  <c r="N3982" i="1"/>
  <c r="M3974" i="1"/>
  <c r="N3974" i="1"/>
  <c r="M3966" i="1"/>
  <c r="N3966" i="1"/>
  <c r="M3958" i="1"/>
  <c r="N3958" i="1"/>
  <c r="M3950" i="1"/>
  <c r="N3950" i="1"/>
  <c r="M3942" i="1"/>
  <c r="N3942" i="1"/>
  <c r="M3934" i="1"/>
  <c r="N3934" i="1"/>
  <c r="M3927" i="1"/>
  <c r="N3927" i="1"/>
  <c r="M3911" i="1"/>
  <c r="N3911" i="1"/>
  <c r="M3857" i="1"/>
  <c r="N3857" i="1"/>
  <c r="M3849" i="1"/>
  <c r="N3849" i="1"/>
  <c r="M3841" i="1"/>
  <c r="N3841" i="1"/>
  <c r="M3833" i="1"/>
  <c r="N3833" i="1"/>
  <c r="M3825" i="1"/>
  <c r="N3825" i="1"/>
  <c r="M3817" i="1"/>
  <c r="N3817" i="1"/>
  <c r="M3809" i="1"/>
  <c r="N3809" i="1"/>
  <c r="M3801" i="1"/>
  <c r="N3801" i="1"/>
  <c r="M3795" i="1"/>
  <c r="N3795" i="1"/>
  <c r="M3788" i="1"/>
  <c r="N3788" i="1"/>
  <c r="M3781" i="1"/>
  <c r="N3781" i="1"/>
  <c r="M3774" i="1"/>
  <c r="N3774" i="1"/>
  <c r="M3766" i="1"/>
  <c r="N3766" i="1"/>
  <c r="M3758" i="1"/>
  <c r="N3758" i="1"/>
  <c r="M3750" i="1"/>
  <c r="N3750" i="1"/>
  <c r="M3742" i="1"/>
  <c r="N3742" i="1"/>
  <c r="M3734" i="1"/>
  <c r="N3734" i="1"/>
  <c r="M3727" i="1"/>
  <c r="N3727" i="1"/>
  <c r="M3720" i="1"/>
  <c r="N3720" i="1"/>
  <c r="M3712" i="1"/>
  <c r="N3712" i="1"/>
  <c r="M3704" i="1"/>
  <c r="N3704" i="1"/>
  <c r="M3696" i="1"/>
  <c r="N3696" i="1"/>
  <c r="M3688" i="1"/>
  <c r="N3688" i="1"/>
  <c r="M3680" i="1"/>
  <c r="N3680" i="1"/>
  <c r="M3673" i="1"/>
  <c r="N3673" i="1"/>
  <c r="M3665" i="1"/>
  <c r="N3665" i="1"/>
  <c r="M3658" i="1"/>
  <c r="N3658" i="1"/>
  <c r="M3650" i="1"/>
  <c r="N3650" i="1"/>
  <c r="M3643" i="1"/>
  <c r="N3643" i="1"/>
  <c r="M3630" i="1"/>
  <c r="N3630" i="1"/>
  <c r="M3624" i="1"/>
  <c r="N3624" i="1"/>
  <c r="M3616" i="1"/>
  <c r="N3616" i="1"/>
  <c r="M3609" i="1"/>
  <c r="N3609" i="1"/>
  <c r="M3601" i="1"/>
  <c r="N3601" i="1"/>
  <c r="M3593" i="1"/>
  <c r="N3593" i="1"/>
  <c r="M3586" i="1"/>
  <c r="N3586" i="1"/>
  <c r="M3578" i="1"/>
  <c r="N3578" i="1"/>
  <c r="M3570" i="1"/>
  <c r="N3570" i="1"/>
  <c r="M3562" i="1"/>
  <c r="N3562" i="1"/>
  <c r="M3554" i="1"/>
  <c r="N3554" i="1"/>
  <c r="M3540" i="1"/>
  <c r="N3540" i="1"/>
  <c r="M3532" i="1"/>
  <c r="N3532" i="1"/>
  <c r="M3525" i="1"/>
  <c r="N3525" i="1"/>
  <c r="M3517" i="1"/>
  <c r="N3517" i="1"/>
  <c r="M3509" i="1"/>
  <c r="N3509" i="1"/>
  <c r="M3502" i="1"/>
  <c r="N3502" i="1"/>
  <c r="M3494" i="1"/>
  <c r="N3494" i="1"/>
  <c r="M3486" i="1"/>
  <c r="N3486" i="1"/>
  <c r="M3479" i="1"/>
  <c r="N3479" i="1"/>
  <c r="M3472" i="1"/>
  <c r="N3472" i="1"/>
  <c r="M3464" i="1"/>
  <c r="N3464" i="1"/>
  <c r="M3457" i="1"/>
  <c r="N3457" i="1"/>
  <c r="M3449" i="1"/>
  <c r="N3449" i="1"/>
  <c r="M3441" i="1"/>
  <c r="N3441" i="1"/>
  <c r="M3433" i="1"/>
  <c r="N3433" i="1"/>
  <c r="M3425" i="1"/>
  <c r="N3425" i="1"/>
  <c r="M3417" i="1"/>
  <c r="N3417" i="1"/>
  <c r="M3398" i="1"/>
  <c r="N3398" i="1"/>
  <c r="M3384" i="1"/>
  <c r="N3384" i="1"/>
  <c r="M3376" i="1"/>
  <c r="N3376" i="1"/>
  <c r="M3368" i="1"/>
  <c r="N3368" i="1"/>
  <c r="M3360" i="1"/>
  <c r="N3360" i="1"/>
  <c r="M3352" i="1"/>
  <c r="N3352" i="1"/>
  <c r="M3337" i="1"/>
  <c r="N3337" i="1"/>
  <c r="M3329" i="1"/>
  <c r="N3329" i="1"/>
  <c r="M3322" i="1"/>
  <c r="N3322" i="1"/>
  <c r="M3314" i="1"/>
  <c r="N3314" i="1"/>
  <c r="M3306" i="1"/>
  <c r="N3306" i="1"/>
  <c r="M3298" i="1"/>
  <c r="N3298" i="1"/>
  <c r="M3290" i="1"/>
  <c r="N3290" i="1"/>
  <c r="N3268" i="1"/>
  <c r="M3268" i="1"/>
  <c r="M3245" i="1"/>
  <c r="N3245" i="1"/>
  <c r="M3237" i="1"/>
  <c r="N3237" i="1"/>
  <c r="M3230" i="1"/>
  <c r="N3230" i="1"/>
  <c r="M3222" i="1"/>
  <c r="N3222" i="1"/>
  <c r="M3214" i="1"/>
  <c r="N3214" i="1"/>
  <c r="M3206" i="1"/>
  <c r="N3206" i="1"/>
  <c r="M3198" i="1"/>
  <c r="N3198" i="1"/>
  <c r="M3190" i="1"/>
  <c r="N3190" i="1"/>
  <c r="M3182" i="1"/>
  <c r="N3182" i="1"/>
  <c r="M3174" i="1"/>
  <c r="N3174" i="1"/>
  <c r="M3167" i="1"/>
  <c r="N3167" i="1"/>
  <c r="M3153" i="1"/>
  <c r="N3153" i="1"/>
  <c r="M3146" i="1"/>
  <c r="N3146" i="1"/>
  <c r="M3138" i="1"/>
  <c r="N3138" i="1"/>
  <c r="M3131" i="1"/>
  <c r="N3131" i="1"/>
  <c r="M3123" i="1"/>
  <c r="N3123" i="1"/>
  <c r="M3101" i="1"/>
  <c r="N3101" i="1"/>
  <c r="M3093" i="1"/>
  <c r="N3093" i="1"/>
  <c r="M3070" i="1"/>
  <c r="N3070" i="1"/>
  <c r="M3062" i="1"/>
  <c r="N3062" i="1"/>
  <c r="M3054" i="1"/>
  <c r="N3054" i="1"/>
  <c r="M3046" i="1"/>
  <c r="N3046" i="1"/>
  <c r="M3038" i="1"/>
  <c r="N3038" i="1"/>
  <c r="M3031" i="1"/>
  <c r="N3031" i="1"/>
  <c r="M3023" i="1"/>
  <c r="N3023" i="1"/>
  <c r="M3015" i="1"/>
  <c r="N3015" i="1"/>
  <c r="M3007" i="1"/>
  <c r="N3007" i="1"/>
  <c r="M2999" i="1"/>
  <c r="N2999" i="1"/>
  <c r="M2992" i="1"/>
  <c r="N2992" i="1"/>
  <c r="M2985" i="1"/>
  <c r="N2985" i="1"/>
  <c r="M2977" i="1"/>
  <c r="N2977" i="1"/>
  <c r="M2969" i="1"/>
  <c r="N2969" i="1"/>
  <c r="M2962" i="1"/>
  <c r="N2962" i="1"/>
  <c r="M2941" i="1"/>
  <c r="N2941" i="1"/>
  <c r="M2933" i="1"/>
  <c r="N2933" i="1"/>
  <c r="M2926" i="1"/>
  <c r="N2926" i="1"/>
  <c r="M2919" i="1"/>
  <c r="N2919" i="1"/>
  <c r="M2912" i="1"/>
  <c r="N2912" i="1"/>
  <c r="M2905" i="1"/>
  <c r="N2905" i="1"/>
  <c r="M2898" i="1"/>
  <c r="N2898" i="1"/>
  <c r="M2890" i="1"/>
  <c r="N2890" i="1"/>
  <c r="M2835" i="1"/>
  <c r="N2835" i="1"/>
  <c r="M2827" i="1"/>
  <c r="N2827" i="1"/>
  <c r="M2819" i="1"/>
  <c r="N2819" i="1"/>
  <c r="M2812" i="1"/>
  <c r="N2812" i="1"/>
  <c r="M2805" i="1"/>
  <c r="N2805" i="1"/>
  <c r="N2797" i="1"/>
  <c r="M2797" i="1"/>
  <c r="M2789" i="1"/>
  <c r="N2789" i="1"/>
  <c r="M2782" i="1"/>
  <c r="N2782" i="1"/>
  <c r="M2774" i="1"/>
  <c r="N2774" i="1"/>
  <c r="M2767" i="1"/>
  <c r="N2767" i="1"/>
  <c r="M2760" i="1"/>
  <c r="N2760" i="1"/>
  <c r="M2753" i="1"/>
  <c r="N2753" i="1"/>
  <c r="M2745" i="1"/>
  <c r="N2745" i="1"/>
  <c r="M2737" i="1"/>
  <c r="N2737" i="1"/>
  <c r="M2729" i="1"/>
  <c r="N2729" i="1"/>
  <c r="M2722" i="1"/>
  <c r="N2722" i="1"/>
  <c r="M2714" i="1"/>
  <c r="N2714" i="1"/>
  <c r="M2707" i="1"/>
  <c r="N2707" i="1"/>
  <c r="M2699" i="1"/>
  <c r="N2699" i="1"/>
  <c r="M2691" i="1"/>
  <c r="N2691" i="1"/>
  <c r="M2684" i="1"/>
  <c r="N2684" i="1"/>
  <c r="M2676" i="1"/>
  <c r="N2676" i="1"/>
  <c r="M2668" i="1"/>
  <c r="N2668" i="1"/>
  <c r="M2640" i="1"/>
  <c r="N2640" i="1"/>
  <c r="M2632" i="1"/>
  <c r="N2632" i="1"/>
  <c r="M2618" i="1"/>
  <c r="N2618" i="1"/>
  <c r="M2610" i="1"/>
  <c r="N2610" i="1"/>
  <c r="M2595" i="1"/>
  <c r="N2595" i="1"/>
  <c r="M2587" i="1"/>
  <c r="N2587" i="1"/>
  <c r="M2579" i="1"/>
  <c r="N2579" i="1"/>
  <c r="N2571" i="1"/>
  <c r="M2571" i="1"/>
  <c r="M2564" i="1"/>
  <c r="N2564" i="1"/>
  <c r="M2556" i="1"/>
  <c r="N2556" i="1"/>
  <c r="M2548" i="1"/>
  <c r="N2548" i="1"/>
  <c r="M2540" i="1"/>
  <c r="N2540" i="1"/>
  <c r="M2533" i="1"/>
  <c r="N2533" i="1"/>
  <c r="M2525" i="1"/>
  <c r="N2525" i="1"/>
  <c r="M2517" i="1"/>
  <c r="N2517" i="1"/>
  <c r="M2509" i="1"/>
  <c r="N2509" i="1"/>
  <c r="M2501" i="1"/>
  <c r="N2501" i="1"/>
  <c r="M2493" i="1"/>
  <c r="N2493" i="1"/>
  <c r="M2485" i="1"/>
  <c r="N2485" i="1"/>
  <c r="M2410" i="1"/>
  <c r="N2410" i="1"/>
  <c r="M2402" i="1"/>
  <c r="N2402" i="1"/>
  <c r="M2381" i="1"/>
  <c r="N2381" i="1"/>
  <c r="M2373" i="1"/>
  <c r="N2373" i="1"/>
  <c r="M2365" i="1"/>
  <c r="N2365" i="1"/>
  <c r="M2357" i="1"/>
  <c r="N2357" i="1"/>
  <c r="M2349" i="1"/>
  <c r="N2349" i="1"/>
  <c r="M2341" i="1"/>
  <c r="N2341" i="1"/>
  <c r="M2326" i="1"/>
  <c r="N2326" i="1"/>
  <c r="M2310" i="1"/>
  <c r="N2310" i="1"/>
  <c r="M2302" i="1"/>
  <c r="N2302" i="1"/>
  <c r="M2294" i="1"/>
  <c r="N2294" i="1"/>
  <c r="M2288" i="1"/>
  <c r="N2288" i="1"/>
  <c r="M2282" i="1"/>
  <c r="N2282" i="1"/>
  <c r="M2274" i="1"/>
  <c r="N2274" i="1"/>
  <c r="M2259" i="1"/>
  <c r="N2259" i="1"/>
  <c r="M2251" i="1"/>
  <c r="N2251" i="1"/>
  <c r="M2244" i="1"/>
  <c r="N2244" i="1"/>
  <c r="M2236" i="1"/>
  <c r="N2236" i="1"/>
  <c r="M2229" i="1"/>
  <c r="N2229" i="1"/>
  <c r="M2221" i="1"/>
  <c r="N2221" i="1"/>
  <c r="M2213" i="1"/>
  <c r="N2213" i="1"/>
  <c r="M2205" i="1"/>
  <c r="N2205" i="1"/>
  <c r="M2197" i="1"/>
  <c r="N2197" i="1"/>
  <c r="M2189" i="1"/>
  <c r="N2189" i="1"/>
  <c r="M2174" i="1"/>
  <c r="N2174" i="1"/>
  <c r="M2166" i="1"/>
  <c r="N2166" i="1"/>
  <c r="M2158" i="1"/>
  <c r="N2158" i="1"/>
  <c r="M2151" i="1"/>
  <c r="N2151" i="1"/>
  <c r="M2143" i="1"/>
  <c r="N2143" i="1"/>
  <c r="M2135" i="1"/>
  <c r="N2135" i="1"/>
  <c r="M2127" i="1"/>
  <c r="N2127" i="1"/>
  <c r="M2119" i="1"/>
  <c r="N2119" i="1"/>
  <c r="M2112" i="1"/>
  <c r="N2112" i="1"/>
  <c r="M2105" i="1"/>
  <c r="N2105" i="1"/>
  <c r="M1788" i="1"/>
  <c r="N1788" i="1"/>
  <c r="M1780" i="1"/>
  <c r="N1780" i="1"/>
  <c r="M1772" i="1"/>
  <c r="N1772" i="1"/>
  <c r="M1765" i="1"/>
  <c r="N1765" i="1"/>
  <c r="M1757" i="1"/>
  <c r="N1757" i="1"/>
  <c r="M1749" i="1"/>
  <c r="N1749" i="1"/>
  <c r="M1741" i="1"/>
  <c r="N1741" i="1"/>
  <c r="M1733" i="1"/>
  <c r="N1733" i="1"/>
  <c r="M1725" i="1"/>
  <c r="N1725" i="1"/>
  <c r="N1717" i="1"/>
  <c r="M1717" i="1"/>
  <c r="M1709" i="1"/>
  <c r="N1709" i="1"/>
  <c r="M1702" i="1"/>
  <c r="N1702" i="1"/>
  <c r="M1695" i="1"/>
  <c r="N1695" i="1"/>
  <c r="M1679" i="1"/>
  <c r="N1679" i="1"/>
  <c r="M1671" i="1"/>
  <c r="N1671" i="1"/>
  <c r="M1664" i="1"/>
  <c r="N1664" i="1"/>
  <c r="M1656" i="1"/>
  <c r="N1656" i="1"/>
  <c r="M1648" i="1"/>
  <c r="N1648" i="1"/>
  <c r="M1640" i="1"/>
  <c r="N1640" i="1"/>
  <c r="M1632" i="1"/>
  <c r="N1632" i="1"/>
  <c r="M1624" i="1"/>
  <c r="N1624" i="1"/>
  <c r="M1617" i="1"/>
  <c r="N1617" i="1"/>
  <c r="M1610" i="1"/>
  <c r="N1610" i="1"/>
  <c r="M1603" i="1"/>
  <c r="N1603" i="1"/>
  <c r="M1595" i="1"/>
  <c r="N1595" i="1"/>
  <c r="M1588" i="1"/>
  <c r="N1588" i="1"/>
  <c r="M1581" i="1"/>
  <c r="N1581" i="1"/>
  <c r="M1574" i="1"/>
  <c r="N1574" i="1"/>
  <c r="M1566" i="1"/>
  <c r="N1566" i="1"/>
  <c r="M1558" i="1"/>
  <c r="N1558" i="1"/>
  <c r="M1551" i="1"/>
  <c r="N1551" i="1"/>
  <c r="M1543" i="1"/>
  <c r="N1543" i="1"/>
  <c r="M1535" i="1"/>
  <c r="N1535" i="1"/>
  <c r="M1527" i="1"/>
  <c r="N1527" i="1"/>
  <c r="M1519" i="1"/>
  <c r="N1519" i="1"/>
  <c r="M1512" i="1"/>
  <c r="N1512" i="1"/>
  <c r="M1505" i="1"/>
  <c r="N1505" i="1"/>
  <c r="M1498" i="1"/>
  <c r="N1498" i="1"/>
  <c r="M1491" i="1"/>
  <c r="N1491" i="1"/>
  <c r="M1484" i="1"/>
  <c r="N1484" i="1"/>
  <c r="M1476" i="1"/>
  <c r="N1476" i="1"/>
  <c r="M1468" i="1"/>
  <c r="N1468" i="1"/>
  <c r="M1461" i="1"/>
  <c r="N1461" i="1"/>
  <c r="M1447" i="1"/>
  <c r="N1447" i="1"/>
  <c r="M1433" i="1"/>
  <c r="N1433" i="1"/>
  <c r="M1425" i="1"/>
  <c r="N1425" i="1"/>
  <c r="M1418" i="1"/>
  <c r="N1418" i="1"/>
  <c r="M1412" i="1"/>
  <c r="N1412" i="1"/>
  <c r="M1405" i="1"/>
  <c r="N1405" i="1"/>
  <c r="M1398" i="1"/>
  <c r="N1398" i="1"/>
  <c r="M1390" i="1"/>
  <c r="N1390" i="1"/>
  <c r="M1382" i="1"/>
  <c r="N1382" i="1"/>
  <c r="M1363" i="1"/>
  <c r="N1363" i="1"/>
  <c r="M1355" i="1"/>
  <c r="N1355" i="1"/>
  <c r="M1347" i="1"/>
  <c r="N1347" i="1"/>
  <c r="M1340" i="1"/>
  <c r="N1340" i="1"/>
  <c r="M1332" i="1"/>
  <c r="N1332" i="1"/>
  <c r="M1324" i="1"/>
  <c r="N1324" i="1"/>
  <c r="M1316" i="1"/>
  <c r="N1316" i="1"/>
  <c r="M1310" i="1"/>
  <c r="N1310" i="1"/>
  <c r="M1287" i="1"/>
  <c r="N1287" i="1"/>
  <c r="M1264" i="1"/>
  <c r="N1264" i="1"/>
  <c r="M1257" i="1"/>
  <c r="N1257" i="1"/>
  <c r="M1250" i="1"/>
  <c r="N1250" i="1"/>
  <c r="M1244" i="1"/>
  <c r="N1244" i="1"/>
  <c r="M1237" i="1"/>
  <c r="N1237" i="1"/>
  <c r="M1229" i="1"/>
  <c r="N1229" i="1"/>
  <c r="M1222" i="1"/>
  <c r="N1222" i="1"/>
  <c r="M1214" i="1"/>
  <c r="N1214" i="1"/>
  <c r="M1206" i="1"/>
  <c r="N1206" i="1"/>
  <c r="M1199" i="1"/>
  <c r="N1199" i="1"/>
  <c r="M1191" i="1"/>
  <c r="N1191" i="1"/>
  <c r="M1184" i="1"/>
  <c r="N1184" i="1"/>
  <c r="M1176" i="1"/>
  <c r="N1176" i="1"/>
  <c r="M1168" i="1"/>
  <c r="N1168" i="1"/>
  <c r="M1160" i="1"/>
  <c r="N1160" i="1"/>
  <c r="M1152" i="1"/>
  <c r="N1152" i="1"/>
  <c r="M1146" i="1"/>
  <c r="N1146" i="1"/>
  <c r="M1139" i="1"/>
  <c r="N1139" i="1"/>
  <c r="M1131" i="1"/>
  <c r="N1131" i="1"/>
  <c r="M1124" i="1"/>
  <c r="N1124" i="1"/>
  <c r="M1116" i="1"/>
  <c r="N1116" i="1"/>
  <c r="M1108" i="1"/>
  <c r="N1108" i="1"/>
  <c r="M1100" i="1"/>
  <c r="N1100" i="1"/>
  <c r="M1085" i="1"/>
  <c r="N1085" i="1"/>
  <c r="M1077" i="1"/>
  <c r="N1077" i="1"/>
  <c r="M1069" i="1"/>
  <c r="N1069" i="1"/>
  <c r="M1061" i="1"/>
  <c r="N1061" i="1"/>
  <c r="M1054" i="1"/>
  <c r="N1054" i="1"/>
  <c r="M1047" i="1"/>
  <c r="N1047" i="1"/>
  <c r="M1039" i="1"/>
  <c r="N1039" i="1"/>
  <c r="M1031" i="1"/>
  <c r="N1031" i="1"/>
  <c r="M1023" i="1"/>
  <c r="N1023" i="1"/>
  <c r="M1015" i="1"/>
  <c r="N1015" i="1"/>
  <c r="M993" i="1"/>
  <c r="N993" i="1"/>
  <c r="M986" i="1"/>
  <c r="N986" i="1"/>
  <c r="M978" i="1"/>
  <c r="N978" i="1"/>
  <c r="M970" i="1"/>
  <c r="N970" i="1"/>
  <c r="M848" i="1"/>
  <c r="N848" i="1"/>
  <c r="M840" i="1"/>
  <c r="N840" i="1"/>
  <c r="M833" i="1"/>
  <c r="N833" i="1"/>
  <c r="M825" i="1"/>
  <c r="N825" i="1"/>
  <c r="M817" i="1"/>
  <c r="N817" i="1"/>
  <c r="M810" i="1"/>
  <c r="N810" i="1"/>
  <c r="M802" i="1"/>
  <c r="N802" i="1"/>
  <c r="M795" i="1"/>
  <c r="N795" i="1"/>
  <c r="M787" i="1"/>
  <c r="N787" i="1"/>
  <c r="M779" i="1"/>
  <c r="N779" i="1"/>
  <c r="M771" i="1"/>
  <c r="N771" i="1"/>
  <c r="M764" i="1"/>
  <c r="N764" i="1"/>
  <c r="M749" i="1"/>
  <c r="N749" i="1"/>
  <c r="M741" i="1"/>
  <c r="N741" i="1"/>
  <c r="M733" i="1"/>
  <c r="N733" i="1"/>
  <c r="M725" i="1"/>
  <c r="N725" i="1"/>
  <c r="M717" i="1"/>
  <c r="N717" i="1"/>
  <c r="M710" i="1"/>
  <c r="N710" i="1"/>
  <c r="M702" i="1"/>
  <c r="N702" i="1"/>
  <c r="M694" i="1"/>
  <c r="N694" i="1"/>
  <c r="M687" i="1"/>
  <c r="N687" i="1"/>
  <c r="M679" i="1"/>
  <c r="N679" i="1"/>
  <c r="M665" i="1"/>
  <c r="N665" i="1"/>
  <c r="M658" i="1"/>
  <c r="N658" i="1"/>
  <c r="M651" i="1"/>
  <c r="N651" i="1"/>
  <c r="M643" i="1"/>
  <c r="N643" i="1"/>
  <c r="M636" i="1"/>
  <c r="N636" i="1"/>
  <c r="M629" i="1"/>
  <c r="N629" i="1"/>
  <c r="M621" i="1"/>
  <c r="N621" i="1"/>
  <c r="M613" i="1"/>
  <c r="N613" i="1"/>
  <c r="M605" i="1"/>
  <c r="N605" i="1"/>
  <c r="M597" i="1"/>
  <c r="N597" i="1"/>
  <c r="M590" i="1"/>
  <c r="N590" i="1"/>
  <c r="M582" i="1"/>
  <c r="N582" i="1"/>
  <c r="M575" i="1"/>
  <c r="N575" i="1"/>
  <c r="M567" i="1"/>
  <c r="N567" i="1"/>
  <c r="M559" i="1"/>
  <c r="N559" i="1"/>
  <c r="M551" i="1"/>
  <c r="N551" i="1"/>
  <c r="M543" i="1"/>
  <c r="N543" i="1"/>
  <c r="M535" i="1"/>
  <c r="N535" i="1"/>
  <c r="M527" i="1"/>
  <c r="N527" i="1"/>
  <c r="M519" i="1"/>
  <c r="N519" i="1"/>
  <c r="M512" i="1"/>
  <c r="N512" i="1"/>
  <c r="M504" i="1"/>
  <c r="N504" i="1"/>
  <c r="M438" i="1"/>
  <c r="N438" i="1"/>
  <c r="M430" i="1"/>
  <c r="N430" i="1"/>
  <c r="M423" i="1"/>
  <c r="N423" i="1"/>
  <c r="M416" i="1"/>
  <c r="N416" i="1"/>
  <c r="M409" i="1"/>
  <c r="N409" i="1"/>
  <c r="M402" i="1"/>
  <c r="N402" i="1"/>
  <c r="M395" i="1"/>
  <c r="N395" i="1"/>
  <c r="M387" i="1"/>
  <c r="N387" i="1"/>
  <c r="M380" i="1"/>
  <c r="N380" i="1"/>
  <c r="M372" i="1"/>
  <c r="N372" i="1"/>
  <c r="M366" i="1"/>
  <c r="N366" i="1"/>
  <c r="M358" i="1"/>
  <c r="N358" i="1"/>
  <c r="M351" i="1"/>
  <c r="N351" i="1"/>
  <c r="M343" i="1"/>
  <c r="N343" i="1"/>
  <c r="M336" i="1"/>
  <c r="N336" i="1"/>
  <c r="M328" i="1"/>
  <c r="N328" i="1"/>
  <c r="M320" i="1"/>
  <c r="N320" i="1"/>
  <c r="M305" i="1"/>
  <c r="N305" i="1"/>
  <c r="M297" i="1"/>
  <c r="N297" i="1"/>
  <c r="M289" i="1"/>
  <c r="N289" i="1"/>
  <c r="M282" i="1"/>
  <c r="N282" i="1"/>
  <c r="M274" i="1"/>
  <c r="N274" i="1"/>
  <c r="M267" i="1"/>
  <c r="N267" i="1"/>
  <c r="M259" i="1"/>
  <c r="N259" i="1"/>
  <c r="M251" i="1"/>
  <c r="N251" i="1"/>
  <c r="M243" i="1"/>
  <c r="N243" i="1"/>
  <c r="M235" i="1"/>
  <c r="N235" i="1"/>
  <c r="M228" i="1"/>
  <c r="N228" i="1"/>
  <c r="M213" i="1"/>
  <c r="N213" i="1"/>
  <c r="M205" i="1"/>
  <c r="N205" i="1"/>
  <c r="M197" i="1"/>
  <c r="N197" i="1"/>
  <c r="M189" i="1"/>
  <c r="N189" i="1"/>
  <c r="M182" i="1"/>
  <c r="N182" i="1"/>
  <c r="M174" i="1"/>
  <c r="N174" i="1"/>
  <c r="M166" i="1"/>
  <c r="N166" i="1"/>
  <c r="M159" i="1"/>
  <c r="N159" i="1"/>
  <c r="M151" i="1"/>
  <c r="N151" i="1"/>
  <c r="M143" i="1"/>
  <c r="N143" i="1"/>
  <c r="M135" i="1"/>
  <c r="N135" i="1"/>
  <c r="M127" i="1"/>
  <c r="N127" i="1"/>
  <c r="M119" i="1"/>
  <c r="N119" i="1"/>
  <c r="M111" i="1"/>
  <c r="N111" i="1"/>
  <c r="M104" i="1"/>
  <c r="N104" i="1"/>
  <c r="M96" i="1"/>
  <c r="N96" i="1"/>
  <c r="M88" i="1"/>
  <c r="N88" i="1"/>
  <c r="M80" i="1"/>
  <c r="N80" i="1"/>
  <c r="M73" i="1"/>
  <c r="N73" i="1"/>
  <c r="M65" i="1"/>
  <c r="N65" i="1"/>
  <c r="M57" i="1"/>
  <c r="N57" i="1"/>
  <c r="M49" i="1"/>
  <c r="N49" i="1"/>
  <c r="M42" i="1"/>
  <c r="N42" i="1"/>
  <c r="N5707" i="1"/>
  <c r="N4851" i="1"/>
  <c r="M6778" i="1"/>
  <c r="N6778" i="1"/>
  <c r="M6764" i="1"/>
  <c r="N6764" i="1"/>
  <c r="M6751" i="1"/>
  <c r="N6751" i="1"/>
  <c r="M6728" i="1"/>
  <c r="N6728" i="1"/>
  <c r="M6721" i="1"/>
  <c r="N6721" i="1"/>
  <c r="M6714" i="1"/>
  <c r="N6714" i="1"/>
  <c r="M6699" i="1"/>
  <c r="N6699" i="1"/>
  <c r="M6692" i="1"/>
  <c r="N6692" i="1"/>
  <c r="M6678" i="1"/>
  <c r="N6678" i="1"/>
  <c r="M6664" i="1"/>
  <c r="N6664" i="1"/>
  <c r="M6656" i="1"/>
  <c r="N6656" i="1"/>
  <c r="M6649" i="1"/>
  <c r="N6649" i="1"/>
  <c r="M6636" i="1"/>
  <c r="N6636" i="1"/>
  <c r="M6616" i="1"/>
  <c r="N6616" i="1"/>
  <c r="M6603" i="1"/>
  <c r="N6603" i="1"/>
  <c r="M6595" i="1"/>
  <c r="N6595" i="1"/>
  <c r="M6581" i="1"/>
  <c r="N6581" i="1"/>
  <c r="M6574" i="1"/>
  <c r="N6574" i="1"/>
  <c r="N6567" i="1"/>
  <c r="M6567" i="1"/>
  <c r="M6548" i="1"/>
  <c r="N6548" i="1"/>
  <c r="M6540" i="1"/>
  <c r="N6540" i="1"/>
  <c r="M6527" i="1"/>
  <c r="N6527" i="1"/>
  <c r="M6520" i="1"/>
  <c r="N6520" i="1"/>
  <c r="M6507" i="1"/>
  <c r="N6507" i="1"/>
  <c r="M6494" i="1"/>
  <c r="N6494" i="1"/>
  <c r="M6486" i="1"/>
  <c r="N6486" i="1"/>
  <c r="M6479" i="1"/>
  <c r="N6479" i="1"/>
  <c r="M6471" i="1"/>
  <c r="N6471" i="1"/>
  <c r="M6464" i="1"/>
  <c r="N6464" i="1"/>
  <c r="M6457" i="1"/>
  <c r="N6457" i="1"/>
  <c r="M6450" i="1"/>
  <c r="N6450" i="1"/>
  <c r="M6428" i="1"/>
  <c r="N6428" i="1"/>
  <c r="M6414" i="1"/>
  <c r="N6414" i="1"/>
  <c r="M6407" i="1"/>
  <c r="N6407" i="1"/>
  <c r="M6399" i="1"/>
  <c r="N6399" i="1"/>
  <c r="M6392" i="1"/>
  <c r="N6392" i="1"/>
  <c r="M6379" i="1"/>
  <c r="N6379" i="1"/>
  <c r="M6373" i="1"/>
  <c r="N6373" i="1"/>
  <c r="M6366" i="1"/>
  <c r="N6366" i="1"/>
  <c r="M6359" i="1"/>
  <c r="N6359" i="1"/>
  <c r="M6346" i="1"/>
  <c r="N6346" i="1"/>
  <c r="M6338" i="1"/>
  <c r="N6338" i="1"/>
  <c r="M6331" i="1"/>
  <c r="N6331" i="1"/>
  <c r="M6324" i="1"/>
  <c r="N6324" i="1"/>
  <c r="M6317" i="1"/>
  <c r="N6317" i="1"/>
  <c r="M6304" i="1"/>
  <c r="N6304" i="1"/>
  <c r="M6297" i="1"/>
  <c r="N6297" i="1"/>
  <c r="N6289" i="1"/>
  <c r="M6289" i="1"/>
  <c r="M6282" i="1"/>
  <c r="N6282" i="1"/>
  <c r="M6275" i="1"/>
  <c r="N6275" i="1"/>
  <c r="N6267" i="1"/>
  <c r="M6267" i="1"/>
  <c r="M6259" i="1"/>
  <c r="N6259" i="1"/>
  <c r="M6226" i="1"/>
  <c r="N6226" i="1"/>
  <c r="M6218" i="1"/>
  <c r="N6218" i="1"/>
  <c r="N6203" i="1"/>
  <c r="M6203" i="1"/>
  <c r="M6195" i="1"/>
  <c r="N6195" i="1"/>
  <c r="M6188" i="1"/>
  <c r="N6188" i="1"/>
  <c r="M6174" i="1"/>
  <c r="N6174" i="1"/>
  <c r="N6159" i="1"/>
  <c r="M6159" i="1"/>
  <c r="M6151" i="1"/>
  <c r="N6151" i="1"/>
  <c r="M6143" i="1"/>
  <c r="N6143" i="1"/>
  <c r="M6135" i="1"/>
  <c r="N6135" i="1"/>
  <c r="N6127" i="1"/>
  <c r="M6127" i="1"/>
  <c r="M6113" i="1"/>
  <c r="N6113" i="1"/>
  <c r="M6105" i="1"/>
  <c r="N6105" i="1"/>
  <c r="M6099" i="1"/>
  <c r="N6099" i="1"/>
  <c r="M6092" i="1"/>
  <c r="N6092" i="1"/>
  <c r="M6085" i="1"/>
  <c r="N6085" i="1"/>
  <c r="M6051" i="1"/>
  <c r="N6051" i="1"/>
  <c r="M6043" i="1"/>
  <c r="N6043" i="1"/>
  <c r="M6036" i="1"/>
  <c r="N6036" i="1"/>
  <c r="M6021" i="1"/>
  <c r="N6021" i="1"/>
  <c r="N6014" i="1"/>
  <c r="M6014" i="1"/>
  <c r="M6006" i="1"/>
  <c r="N6006" i="1"/>
  <c r="M5998" i="1"/>
  <c r="N5998" i="1"/>
  <c r="M5971" i="1"/>
  <c r="N5971" i="1"/>
  <c r="M5964" i="1"/>
  <c r="N5964" i="1"/>
  <c r="M5922" i="1"/>
  <c r="N5922" i="1"/>
  <c r="M5916" i="1"/>
  <c r="N5916" i="1"/>
  <c r="M5902" i="1"/>
  <c r="N5902" i="1"/>
  <c r="M5888" i="1"/>
  <c r="N5888" i="1"/>
  <c r="M5882" i="1"/>
  <c r="N5882" i="1"/>
  <c r="M5867" i="1"/>
  <c r="N5867" i="1"/>
  <c r="M5860" i="1"/>
  <c r="N5860" i="1"/>
  <c r="M5839" i="1"/>
  <c r="N5839" i="1"/>
  <c r="M5831" i="1"/>
  <c r="N5831" i="1"/>
  <c r="M5823" i="1"/>
  <c r="N5823" i="1"/>
  <c r="M5815" i="1"/>
  <c r="N5815" i="1"/>
  <c r="M5808" i="1"/>
  <c r="N5808" i="1"/>
  <c r="M5801" i="1"/>
  <c r="N5801" i="1"/>
  <c r="M5788" i="1"/>
  <c r="N5788" i="1"/>
  <c r="M5780" i="1"/>
  <c r="N5780" i="1"/>
  <c r="M5772" i="1"/>
  <c r="N5772" i="1"/>
  <c r="M5744" i="1"/>
  <c r="N5744" i="1"/>
  <c r="M5737" i="1"/>
  <c r="N5737" i="1"/>
  <c r="M5729" i="1"/>
  <c r="N5729" i="1"/>
  <c r="M5721" i="1"/>
  <c r="N5721" i="1"/>
  <c r="N5714" i="1"/>
  <c r="M5714" i="1"/>
  <c r="M5706" i="1"/>
  <c r="N5706" i="1"/>
  <c r="M5698" i="1"/>
  <c r="N5698" i="1"/>
  <c r="M5690" i="1"/>
  <c r="N5690" i="1"/>
  <c r="M5683" i="1"/>
  <c r="N5683" i="1"/>
  <c r="M5676" i="1"/>
  <c r="N5676" i="1"/>
  <c r="M5655" i="1"/>
  <c r="N5655" i="1"/>
  <c r="M5647" i="1"/>
  <c r="N5647" i="1"/>
  <c r="N5640" i="1"/>
  <c r="M5640" i="1"/>
  <c r="M5632" i="1"/>
  <c r="N5632" i="1"/>
  <c r="M5624" i="1"/>
  <c r="N5624" i="1"/>
  <c r="N5617" i="1"/>
  <c r="M5617" i="1"/>
  <c r="N5603" i="1"/>
  <c r="M5603" i="1"/>
  <c r="M5595" i="1"/>
  <c r="N5595" i="1"/>
  <c r="M5589" i="1"/>
  <c r="N5589" i="1"/>
  <c r="M5581" i="1"/>
  <c r="N5581" i="1"/>
  <c r="M5561" i="1"/>
  <c r="N5561" i="1"/>
  <c r="M5554" i="1"/>
  <c r="N5554" i="1"/>
  <c r="M5547" i="1"/>
  <c r="N5547" i="1"/>
  <c r="N5519" i="1"/>
  <c r="M5519" i="1"/>
  <c r="M5512" i="1"/>
  <c r="N5512" i="1"/>
  <c r="M5505" i="1"/>
  <c r="N5505" i="1"/>
  <c r="M5490" i="1"/>
  <c r="N5490" i="1"/>
  <c r="M5482" i="1"/>
  <c r="N5482" i="1"/>
  <c r="M5467" i="1"/>
  <c r="N5467" i="1"/>
  <c r="M5459" i="1"/>
  <c r="N5459" i="1"/>
  <c r="M5452" i="1"/>
  <c r="N5452" i="1"/>
  <c r="M5445" i="1"/>
  <c r="N5445" i="1"/>
  <c r="M5425" i="1"/>
  <c r="N5425" i="1"/>
  <c r="N5417" i="1"/>
  <c r="M5417" i="1"/>
  <c r="M5403" i="1"/>
  <c r="N5403" i="1"/>
  <c r="M5389" i="1"/>
  <c r="N5389" i="1"/>
  <c r="M5382" i="1"/>
  <c r="N5382" i="1"/>
  <c r="M5375" i="1"/>
  <c r="N5375" i="1"/>
  <c r="M5367" i="1"/>
  <c r="N5367" i="1"/>
  <c r="M5359" i="1"/>
  <c r="N5359" i="1"/>
  <c r="M5337" i="1"/>
  <c r="N5337" i="1"/>
  <c r="M5331" i="1"/>
  <c r="N5331" i="1"/>
  <c r="M5326" i="1"/>
  <c r="N5326" i="1"/>
  <c r="M5319" i="1"/>
  <c r="N5319" i="1"/>
  <c r="M5314" i="1"/>
  <c r="N5314" i="1"/>
  <c r="M5307" i="1"/>
  <c r="N5307" i="1"/>
  <c r="M5294" i="1"/>
  <c r="N5294" i="1"/>
  <c r="M5286" i="1"/>
  <c r="N5286" i="1"/>
  <c r="M5279" i="1"/>
  <c r="N5279" i="1"/>
  <c r="M5271" i="1"/>
  <c r="N5271" i="1"/>
  <c r="M5264" i="1"/>
  <c r="N5264" i="1"/>
  <c r="N5249" i="1"/>
  <c r="M5249" i="1"/>
  <c r="M5241" i="1"/>
  <c r="N5241" i="1"/>
  <c r="M5233" i="1"/>
  <c r="N5233" i="1"/>
  <c r="M5212" i="1"/>
  <c r="N5212" i="1"/>
  <c r="M5190" i="1"/>
  <c r="N5190" i="1"/>
  <c r="M5183" i="1"/>
  <c r="N5183" i="1"/>
  <c r="M5175" i="1"/>
  <c r="N5175" i="1"/>
  <c r="M5168" i="1"/>
  <c r="N5168" i="1"/>
  <c r="M5161" i="1"/>
  <c r="N5161" i="1"/>
  <c r="M5154" i="1"/>
  <c r="N5154" i="1"/>
  <c r="M5147" i="1"/>
  <c r="N5147" i="1"/>
  <c r="M5140" i="1"/>
  <c r="N5140" i="1"/>
  <c r="M5132" i="1"/>
  <c r="N5132" i="1"/>
  <c r="M5124" i="1"/>
  <c r="N5124" i="1"/>
  <c r="M5108" i="1"/>
  <c r="N5108" i="1"/>
  <c r="M5100" i="1"/>
  <c r="N5100" i="1"/>
  <c r="M5093" i="1"/>
  <c r="N5093" i="1"/>
  <c r="M5085" i="1"/>
  <c r="N5085" i="1"/>
  <c r="M5077" i="1"/>
  <c r="N5077" i="1"/>
  <c r="M5070" i="1"/>
  <c r="N5070" i="1"/>
  <c r="M5062" i="1"/>
  <c r="N5062" i="1"/>
  <c r="M5054" i="1"/>
  <c r="N5054" i="1"/>
  <c r="M5046" i="1"/>
  <c r="N5046" i="1"/>
  <c r="M5038" i="1"/>
  <c r="N5038" i="1"/>
  <c r="M5007" i="1"/>
  <c r="N5007" i="1"/>
  <c r="M4999" i="1"/>
  <c r="N4999" i="1"/>
  <c r="M4991" i="1"/>
  <c r="N4991" i="1"/>
  <c r="M4983" i="1"/>
  <c r="N4983" i="1"/>
  <c r="M4975" i="1"/>
  <c r="N4975" i="1"/>
  <c r="M4944" i="1"/>
  <c r="N4944" i="1"/>
  <c r="M4936" i="1"/>
  <c r="N4936" i="1"/>
  <c r="M4928" i="1"/>
  <c r="N4928" i="1"/>
  <c r="M4920" i="1"/>
  <c r="N4920" i="1"/>
  <c r="M4913" i="1"/>
  <c r="N4913" i="1"/>
  <c r="M4905" i="1"/>
  <c r="N4905" i="1"/>
  <c r="N4897" i="1"/>
  <c r="M4897" i="1"/>
  <c r="M4889" i="1"/>
  <c r="N4889" i="1"/>
  <c r="M4882" i="1"/>
  <c r="N4882" i="1"/>
  <c r="M4874" i="1"/>
  <c r="N4874" i="1"/>
  <c r="M4866" i="1"/>
  <c r="N4866" i="1"/>
  <c r="M4858" i="1"/>
  <c r="N4858" i="1"/>
  <c r="M4850" i="1"/>
  <c r="N4850" i="1"/>
  <c r="N4842" i="1"/>
  <c r="M4842" i="1"/>
  <c r="M4834" i="1"/>
  <c r="N4834" i="1"/>
  <c r="M4826" i="1"/>
  <c r="N4826" i="1"/>
  <c r="N4818" i="1"/>
  <c r="M4818" i="1"/>
  <c r="M4810" i="1"/>
  <c r="N4810" i="1"/>
  <c r="N4802" i="1"/>
  <c r="M4802" i="1"/>
  <c r="M4794" i="1"/>
  <c r="N4794" i="1"/>
  <c r="N4786" i="1"/>
  <c r="M4786" i="1"/>
  <c r="M4778" i="1"/>
  <c r="N4778" i="1"/>
  <c r="M4771" i="1"/>
  <c r="N4771" i="1"/>
  <c r="N4764" i="1"/>
  <c r="M4764" i="1"/>
  <c r="M4686" i="1"/>
  <c r="N4686" i="1"/>
  <c r="M4678" i="1"/>
  <c r="N4678" i="1"/>
  <c r="M4671" i="1"/>
  <c r="N4671" i="1"/>
  <c r="M4664" i="1"/>
  <c r="N4664" i="1"/>
  <c r="M4657" i="1"/>
  <c r="N4657" i="1"/>
  <c r="M4636" i="1"/>
  <c r="N4636" i="1"/>
  <c r="M4621" i="1"/>
  <c r="N4621" i="1"/>
  <c r="M4613" i="1"/>
  <c r="N4613" i="1"/>
  <c r="M4598" i="1"/>
  <c r="N4598" i="1"/>
  <c r="M4592" i="1"/>
  <c r="N4592" i="1"/>
  <c r="M4586" i="1"/>
  <c r="N4586" i="1"/>
  <c r="M4565" i="1"/>
  <c r="N4565" i="1"/>
  <c r="M4557" i="1"/>
  <c r="N4557" i="1"/>
  <c r="M4550" i="1"/>
  <c r="N4550" i="1"/>
  <c r="M4543" i="1"/>
  <c r="N4543" i="1"/>
  <c r="M4486" i="1"/>
  <c r="N4486" i="1"/>
  <c r="M4479" i="1"/>
  <c r="N4479" i="1"/>
  <c r="M4471" i="1"/>
  <c r="N4471" i="1"/>
  <c r="M4464" i="1"/>
  <c r="N4464" i="1"/>
  <c r="M4456" i="1"/>
  <c r="N4456" i="1"/>
  <c r="M4441" i="1"/>
  <c r="N4441" i="1"/>
  <c r="M4434" i="1"/>
  <c r="N4434" i="1"/>
  <c r="M4427" i="1"/>
  <c r="N4427" i="1"/>
  <c r="M4420" i="1"/>
  <c r="N4420" i="1"/>
  <c r="M4406" i="1"/>
  <c r="N4406" i="1"/>
  <c r="M4398" i="1"/>
  <c r="N4398" i="1"/>
  <c r="N4390" i="1"/>
  <c r="M4390" i="1"/>
  <c r="M4382" i="1"/>
  <c r="N4382" i="1"/>
  <c r="M4374" i="1"/>
  <c r="N4374" i="1"/>
  <c r="M4351" i="1"/>
  <c r="N4351" i="1"/>
  <c r="M4343" i="1"/>
  <c r="N4343" i="1"/>
  <c r="M4335" i="1"/>
  <c r="N4335" i="1"/>
  <c r="M4327" i="1"/>
  <c r="N4327" i="1"/>
  <c r="M4320" i="1"/>
  <c r="N4320" i="1"/>
  <c r="M4312" i="1"/>
  <c r="N4312" i="1"/>
  <c r="M4305" i="1"/>
  <c r="N4305" i="1"/>
  <c r="M4298" i="1"/>
  <c r="N4298" i="1"/>
  <c r="M4253" i="1"/>
  <c r="N4253" i="1"/>
  <c r="M4245" i="1"/>
  <c r="N4245" i="1"/>
  <c r="M4237" i="1"/>
  <c r="N4237" i="1"/>
  <c r="M4229" i="1"/>
  <c r="N4229" i="1"/>
  <c r="M4221" i="1"/>
  <c r="N4221" i="1"/>
  <c r="M4214" i="1"/>
  <c r="N4214" i="1"/>
  <c r="N4206" i="1"/>
  <c r="M4206" i="1"/>
  <c r="M4199" i="1"/>
  <c r="N4199" i="1"/>
  <c r="M4191" i="1"/>
  <c r="N4191" i="1"/>
  <c r="M4183" i="1"/>
  <c r="N4183" i="1"/>
  <c r="M4176" i="1"/>
  <c r="N4176" i="1"/>
  <c r="M4168" i="1"/>
  <c r="N4168" i="1"/>
  <c r="M4161" i="1"/>
  <c r="N4161" i="1"/>
  <c r="M4147" i="1"/>
  <c r="N4147" i="1"/>
  <c r="M4139" i="1"/>
  <c r="N4139" i="1"/>
  <c r="M4132" i="1"/>
  <c r="N4132" i="1"/>
  <c r="M4124" i="1"/>
  <c r="N4124" i="1"/>
  <c r="M4116" i="1"/>
  <c r="N4116" i="1"/>
  <c r="M4095" i="1"/>
  <c r="N4095" i="1"/>
  <c r="M4088" i="1"/>
  <c r="N4088" i="1"/>
  <c r="M4080" i="1"/>
  <c r="N4080" i="1"/>
  <c r="M4072" i="1"/>
  <c r="N4072" i="1"/>
  <c r="M4057" i="1"/>
  <c r="N4057" i="1"/>
  <c r="M4051" i="1"/>
  <c r="N4051" i="1"/>
  <c r="M4044" i="1"/>
  <c r="N4044" i="1"/>
  <c r="M4029" i="1"/>
  <c r="N4029" i="1"/>
  <c r="M4021" i="1"/>
  <c r="N4021" i="1"/>
  <c r="M4013" i="1"/>
  <c r="N4013" i="1"/>
  <c r="M4005" i="1"/>
  <c r="N4005" i="1"/>
  <c r="M3997" i="1"/>
  <c r="N3997" i="1"/>
  <c r="M3989" i="1"/>
  <c r="N3989" i="1"/>
  <c r="M3981" i="1"/>
  <c r="N3981" i="1"/>
  <c r="M3973" i="1"/>
  <c r="N3973" i="1"/>
  <c r="M3965" i="1"/>
  <c r="N3965" i="1"/>
  <c r="M3957" i="1"/>
  <c r="N3957" i="1"/>
  <c r="M3949" i="1"/>
  <c r="N3949" i="1"/>
  <c r="M3941" i="1"/>
  <c r="N3941" i="1"/>
  <c r="M3933" i="1"/>
  <c r="N3933" i="1"/>
  <c r="M3926" i="1"/>
  <c r="N3926" i="1"/>
  <c r="M3910" i="1"/>
  <c r="N3910" i="1"/>
  <c r="M3856" i="1"/>
  <c r="N3856" i="1"/>
  <c r="M3848" i="1"/>
  <c r="N3848" i="1"/>
  <c r="M3840" i="1"/>
  <c r="N3840" i="1"/>
  <c r="M3832" i="1"/>
  <c r="N3832" i="1"/>
  <c r="M3824" i="1"/>
  <c r="N3824" i="1"/>
  <c r="M3816" i="1"/>
  <c r="N3816" i="1"/>
  <c r="M3808" i="1"/>
  <c r="N3808" i="1"/>
  <c r="M3800" i="1"/>
  <c r="N3800" i="1"/>
  <c r="M3794" i="1"/>
  <c r="N3794" i="1"/>
  <c r="M3787" i="1"/>
  <c r="N3787" i="1"/>
  <c r="M3780" i="1"/>
  <c r="N3780" i="1"/>
  <c r="M3773" i="1"/>
  <c r="N3773" i="1"/>
  <c r="M3765" i="1"/>
  <c r="N3765" i="1"/>
  <c r="N3757" i="1"/>
  <c r="M3757" i="1"/>
  <c r="M3749" i="1"/>
  <c r="N3749" i="1"/>
  <c r="M3741" i="1"/>
  <c r="N3741" i="1"/>
  <c r="M3733" i="1"/>
  <c r="N3733" i="1"/>
  <c r="M3726" i="1"/>
  <c r="N3726" i="1"/>
  <c r="M3719" i="1"/>
  <c r="N3719" i="1"/>
  <c r="M3711" i="1"/>
  <c r="N3711" i="1"/>
  <c r="M3703" i="1"/>
  <c r="N3703" i="1"/>
  <c r="M3695" i="1"/>
  <c r="N3695" i="1"/>
  <c r="M3687" i="1"/>
  <c r="N3687" i="1"/>
  <c r="M3679" i="1"/>
  <c r="N3679" i="1"/>
  <c r="M3672" i="1"/>
  <c r="N3672" i="1"/>
  <c r="M3664" i="1"/>
  <c r="N3664" i="1"/>
  <c r="M3657" i="1"/>
  <c r="N3657" i="1"/>
  <c r="M3649" i="1"/>
  <c r="N3649" i="1"/>
  <c r="M3636" i="1"/>
  <c r="N3636" i="1"/>
  <c r="M3629" i="1"/>
  <c r="N3629" i="1"/>
  <c r="M3623" i="1"/>
  <c r="N3623" i="1"/>
  <c r="M3608" i="1"/>
  <c r="N3608" i="1"/>
  <c r="M3600" i="1"/>
  <c r="N3600" i="1"/>
  <c r="M3592" i="1"/>
  <c r="N3592" i="1"/>
  <c r="M3585" i="1"/>
  <c r="N3585" i="1"/>
  <c r="M3577" i="1"/>
  <c r="N3577" i="1"/>
  <c r="M3569" i="1"/>
  <c r="N3569" i="1"/>
  <c r="M3561" i="1"/>
  <c r="N3561" i="1"/>
  <c r="M3553" i="1"/>
  <c r="N3553" i="1"/>
  <c r="M3546" i="1"/>
  <c r="N3546" i="1"/>
  <c r="M3539" i="1"/>
  <c r="N3539" i="1"/>
  <c r="M3524" i="1"/>
  <c r="N3524" i="1"/>
  <c r="M3516" i="1"/>
  <c r="N3516" i="1"/>
  <c r="M3501" i="1"/>
  <c r="N3501" i="1"/>
  <c r="M3493" i="1"/>
  <c r="N3493" i="1"/>
  <c r="M3471" i="1"/>
  <c r="N3471" i="1"/>
  <c r="M3456" i="1"/>
  <c r="N3456" i="1"/>
  <c r="M3448" i="1"/>
  <c r="N3448" i="1"/>
  <c r="M3440" i="1"/>
  <c r="N3440" i="1"/>
  <c r="M3432" i="1"/>
  <c r="N3432" i="1"/>
  <c r="M3424" i="1"/>
  <c r="N3424" i="1"/>
  <c r="M3397" i="1"/>
  <c r="N3397" i="1"/>
  <c r="M3390" i="1"/>
  <c r="N3390" i="1"/>
  <c r="M3383" i="1"/>
  <c r="N3383" i="1"/>
  <c r="M3367" i="1"/>
  <c r="N3367" i="1"/>
  <c r="M3359" i="1"/>
  <c r="N3359" i="1"/>
  <c r="M3351" i="1"/>
  <c r="N3351" i="1"/>
  <c r="M3344" i="1"/>
  <c r="N3344" i="1"/>
  <c r="M3336" i="1"/>
  <c r="N3336" i="1"/>
  <c r="M3328" i="1"/>
  <c r="N3328" i="1"/>
  <c r="M3321" i="1"/>
  <c r="N3321" i="1"/>
  <c r="M3313" i="1"/>
  <c r="N3313" i="1"/>
  <c r="M3305" i="1"/>
  <c r="N3305" i="1"/>
  <c r="M3267" i="1"/>
  <c r="N3267" i="1"/>
  <c r="M3260" i="1"/>
  <c r="N3260" i="1"/>
  <c r="M3252" i="1"/>
  <c r="N3252" i="1"/>
  <c r="M3244" i="1"/>
  <c r="N3244" i="1"/>
  <c r="M3236" i="1"/>
  <c r="N3236" i="1"/>
  <c r="M3229" i="1"/>
  <c r="N3229" i="1"/>
  <c r="M3221" i="1"/>
  <c r="N3221" i="1"/>
  <c r="M3213" i="1"/>
  <c r="N3213" i="1"/>
  <c r="M3205" i="1"/>
  <c r="N3205" i="1"/>
  <c r="M3197" i="1"/>
  <c r="N3197" i="1"/>
  <c r="M3173" i="1"/>
  <c r="N3173" i="1"/>
  <c r="M3166" i="1"/>
  <c r="N3166" i="1"/>
  <c r="M3160" i="1"/>
  <c r="N3160" i="1"/>
  <c r="M3152" i="1"/>
  <c r="N3152" i="1"/>
  <c r="M3145" i="1"/>
  <c r="N3145" i="1"/>
  <c r="M3137" i="1"/>
  <c r="N3137" i="1"/>
  <c r="M3130" i="1"/>
  <c r="N3130" i="1"/>
  <c r="M3122" i="1"/>
  <c r="N3122" i="1"/>
  <c r="M3115" i="1"/>
  <c r="N3115" i="1"/>
  <c r="M3108" i="1"/>
  <c r="N3108" i="1"/>
  <c r="M3100" i="1"/>
  <c r="N3100" i="1"/>
  <c r="M3092" i="1"/>
  <c r="N3092" i="1"/>
  <c r="M3085" i="1"/>
  <c r="N3085" i="1"/>
  <c r="M3069" i="1"/>
  <c r="N3069" i="1"/>
  <c r="M3061" i="1"/>
  <c r="N3061" i="1"/>
  <c r="M3053" i="1"/>
  <c r="N3053" i="1"/>
  <c r="M3045" i="1"/>
  <c r="N3045" i="1"/>
  <c r="M3037" i="1"/>
  <c r="N3037" i="1"/>
  <c r="M3030" i="1"/>
  <c r="N3030" i="1"/>
  <c r="M3022" i="1"/>
  <c r="N3022" i="1"/>
  <c r="M3014" i="1"/>
  <c r="N3014" i="1"/>
  <c r="M3006" i="1"/>
  <c r="N3006" i="1"/>
  <c r="M2998" i="1"/>
  <c r="N2998" i="1"/>
  <c r="M2991" i="1"/>
  <c r="N2991" i="1"/>
  <c r="M2984" i="1"/>
  <c r="N2984" i="1"/>
  <c r="M2976" i="1"/>
  <c r="N2976" i="1"/>
  <c r="M2961" i="1"/>
  <c r="N2961" i="1"/>
  <c r="M2955" i="1"/>
  <c r="N2955" i="1"/>
  <c r="M2948" i="1"/>
  <c r="N2948" i="1"/>
  <c r="M2940" i="1"/>
  <c r="N2940" i="1"/>
  <c r="M2925" i="1"/>
  <c r="N2925" i="1"/>
  <c r="M2911" i="1"/>
  <c r="N2911" i="1"/>
  <c r="M2904" i="1"/>
  <c r="N2904" i="1"/>
  <c r="M2897" i="1"/>
  <c r="N2897" i="1"/>
  <c r="M2834" i="1"/>
  <c r="N2834" i="1"/>
  <c r="M2826" i="1"/>
  <c r="N2826" i="1"/>
  <c r="M2811" i="1"/>
  <c r="N2811" i="1"/>
  <c r="M2804" i="1"/>
  <c r="N2804" i="1"/>
  <c r="M2796" i="1"/>
  <c r="N2796" i="1"/>
  <c r="M2788" i="1"/>
  <c r="N2788" i="1"/>
  <c r="M2781" i="1"/>
  <c r="N2781" i="1"/>
  <c r="M2752" i="1"/>
  <c r="N2752" i="1"/>
  <c r="M2744" i="1"/>
  <c r="N2744" i="1"/>
  <c r="M2736" i="1"/>
  <c r="N2736" i="1"/>
  <c r="M2728" i="1"/>
  <c r="N2728" i="1"/>
  <c r="M2721" i="1"/>
  <c r="N2721" i="1"/>
  <c r="M2713" i="1"/>
  <c r="N2713" i="1"/>
  <c r="M2706" i="1"/>
  <c r="N2706" i="1"/>
  <c r="M2698" i="1"/>
  <c r="N2698" i="1"/>
  <c r="M2683" i="1"/>
  <c r="N2683" i="1"/>
  <c r="N2675" i="1"/>
  <c r="M2675" i="1"/>
  <c r="M2661" i="1"/>
  <c r="N2661" i="1"/>
  <c r="M2654" i="1"/>
  <c r="N2654" i="1"/>
  <c r="M2647" i="1"/>
  <c r="N2647" i="1"/>
  <c r="M2639" i="1"/>
  <c r="N2639" i="1"/>
  <c r="M2625" i="1"/>
  <c r="N2625" i="1"/>
  <c r="M2617" i="1"/>
  <c r="N2617" i="1"/>
  <c r="M2609" i="1"/>
  <c r="N2609" i="1"/>
  <c r="M2602" i="1"/>
  <c r="N2602" i="1"/>
  <c r="M2594" i="1"/>
  <c r="N2594" i="1"/>
  <c r="M2586" i="1"/>
  <c r="N2586" i="1"/>
  <c r="M2578" i="1"/>
  <c r="N2578" i="1"/>
  <c r="M2570" i="1"/>
  <c r="N2570" i="1"/>
  <c r="M2563" i="1"/>
  <c r="N2563" i="1"/>
  <c r="M2555" i="1"/>
  <c r="N2555" i="1"/>
  <c r="M2547" i="1"/>
  <c r="N2547" i="1"/>
  <c r="M2539" i="1"/>
  <c r="N2539" i="1"/>
  <c r="M2532" i="1"/>
  <c r="N2532" i="1"/>
  <c r="M2484" i="1"/>
  <c r="N2484" i="1"/>
  <c r="M2448" i="1"/>
  <c r="N2448" i="1"/>
  <c r="M2433" i="1"/>
  <c r="N2433" i="1"/>
  <c r="M2425" i="1"/>
  <c r="N2425" i="1"/>
  <c r="M2417" i="1"/>
  <c r="N2417" i="1"/>
  <c r="M2409" i="1"/>
  <c r="N2409" i="1"/>
  <c r="M2401" i="1"/>
  <c r="N2401" i="1"/>
  <c r="M2394" i="1"/>
  <c r="N2394" i="1"/>
  <c r="M2380" i="1"/>
  <c r="N2380" i="1"/>
  <c r="M2372" i="1"/>
  <c r="N2372" i="1"/>
  <c r="M2364" i="1"/>
  <c r="N2364" i="1"/>
  <c r="M2356" i="1"/>
  <c r="N2356" i="1"/>
  <c r="M2348" i="1"/>
  <c r="N2348" i="1"/>
  <c r="M2340" i="1"/>
  <c r="N2340" i="1"/>
  <c r="M2333" i="1"/>
  <c r="N2333" i="1"/>
  <c r="M2325" i="1"/>
  <c r="N2325" i="1"/>
  <c r="M2317" i="1"/>
  <c r="N2317" i="1"/>
  <c r="M2309" i="1"/>
  <c r="N2309" i="1"/>
  <c r="M2301" i="1"/>
  <c r="N2301" i="1"/>
  <c r="M2293" i="1"/>
  <c r="N2293" i="1"/>
  <c r="M2281" i="1"/>
  <c r="N2281" i="1"/>
  <c r="M2273" i="1"/>
  <c r="N2273" i="1"/>
  <c r="M2266" i="1"/>
  <c r="N2266" i="1"/>
  <c r="M2258" i="1"/>
  <c r="N2258" i="1"/>
  <c r="M2243" i="1"/>
  <c r="N2243" i="1"/>
  <c r="M2228" i="1"/>
  <c r="N2228" i="1"/>
  <c r="M2220" i="1"/>
  <c r="N2220" i="1"/>
  <c r="M2212" i="1"/>
  <c r="N2212" i="1"/>
  <c r="M2204" i="1"/>
  <c r="N2204" i="1"/>
  <c r="M2196" i="1"/>
  <c r="N2196" i="1"/>
  <c r="M2188" i="1"/>
  <c r="N2188" i="1"/>
  <c r="M2181" i="1"/>
  <c r="N2181" i="1"/>
  <c r="M2173" i="1"/>
  <c r="N2173" i="1"/>
  <c r="M2165" i="1"/>
  <c r="N2165" i="1"/>
  <c r="M2150" i="1"/>
  <c r="N2150" i="1"/>
  <c r="M2090" i="1"/>
  <c r="N2090" i="1"/>
  <c r="M1946" i="1"/>
  <c r="N1946" i="1"/>
  <c r="M1938" i="1"/>
  <c r="N1938" i="1"/>
  <c r="M1930" i="1"/>
  <c r="N1930" i="1"/>
  <c r="M1908" i="1"/>
  <c r="N1908" i="1"/>
  <c r="M1901" i="1"/>
  <c r="N1901" i="1"/>
  <c r="M1887" i="1"/>
  <c r="N1887" i="1"/>
  <c r="M1873" i="1"/>
  <c r="N1873" i="1"/>
  <c r="M1865" i="1"/>
  <c r="N1865" i="1"/>
  <c r="M1857" i="1"/>
  <c r="N1857" i="1"/>
  <c r="M1849" i="1"/>
  <c r="N1849" i="1"/>
  <c r="M1841" i="1"/>
  <c r="N1841" i="1"/>
  <c r="M1834" i="1"/>
  <c r="N1834" i="1"/>
  <c r="M1826" i="1"/>
  <c r="N1826" i="1"/>
  <c r="M1811" i="1"/>
  <c r="N1811" i="1"/>
  <c r="M1803" i="1"/>
  <c r="N1803" i="1"/>
  <c r="M1795" i="1"/>
  <c r="N1795" i="1"/>
  <c r="M1787" i="1"/>
  <c r="N1787" i="1"/>
  <c r="M1779" i="1"/>
  <c r="N1779" i="1"/>
  <c r="M1771" i="1"/>
  <c r="N1771" i="1"/>
  <c r="M1764" i="1"/>
  <c r="N1764" i="1"/>
  <c r="M1756" i="1"/>
  <c r="N1756" i="1"/>
  <c r="M1748" i="1"/>
  <c r="N1748" i="1"/>
  <c r="M1740" i="1"/>
  <c r="N1740" i="1"/>
  <c r="M1732" i="1"/>
  <c r="N1732" i="1"/>
  <c r="M1724" i="1"/>
  <c r="N1724" i="1"/>
  <c r="M1716" i="1"/>
  <c r="N1716" i="1"/>
  <c r="M1708" i="1"/>
  <c r="N1708" i="1"/>
  <c r="M1701" i="1"/>
  <c r="N1701" i="1"/>
  <c r="M1694" i="1"/>
  <c r="N1694" i="1"/>
  <c r="M1686" i="1"/>
  <c r="N1686" i="1"/>
  <c r="M1670" i="1"/>
  <c r="N1670" i="1"/>
  <c r="M1663" i="1"/>
  <c r="N1663" i="1"/>
  <c r="M1655" i="1"/>
  <c r="N1655" i="1"/>
  <c r="M1647" i="1"/>
  <c r="N1647" i="1"/>
  <c r="M1639" i="1"/>
  <c r="N1639" i="1"/>
  <c r="M1631" i="1"/>
  <c r="N1631" i="1"/>
  <c r="M1623" i="1"/>
  <c r="N1623" i="1"/>
  <c r="M1616" i="1"/>
  <c r="N1616" i="1"/>
  <c r="M1602" i="1"/>
  <c r="N1602" i="1"/>
  <c r="M1594" i="1"/>
  <c r="N1594" i="1"/>
  <c r="M1587" i="1"/>
  <c r="N1587" i="1"/>
  <c r="M1573" i="1"/>
  <c r="N1573" i="1"/>
  <c r="M1565" i="1"/>
  <c r="N1565" i="1"/>
  <c r="M1550" i="1"/>
  <c r="N1550" i="1"/>
  <c r="M1542" i="1"/>
  <c r="N1542" i="1"/>
  <c r="M1534" i="1"/>
  <c r="N1534" i="1"/>
  <c r="M1526" i="1"/>
  <c r="N1526" i="1"/>
  <c r="M1511" i="1"/>
  <c r="N1511" i="1"/>
  <c r="M1504" i="1"/>
  <c r="N1504" i="1"/>
  <c r="M1497" i="1"/>
  <c r="N1497" i="1"/>
  <c r="M1483" i="1"/>
  <c r="N1483" i="1"/>
  <c r="M1475" i="1"/>
  <c r="N1475" i="1"/>
  <c r="M1467" i="1"/>
  <c r="N1467" i="1"/>
  <c r="M1460" i="1"/>
  <c r="N1460" i="1"/>
  <c r="M1454" i="1"/>
  <c r="N1454" i="1"/>
  <c r="M1446" i="1"/>
  <c r="N1446" i="1"/>
  <c r="M1440" i="1"/>
  <c r="N1440" i="1"/>
  <c r="M1432" i="1"/>
  <c r="N1432" i="1"/>
  <c r="M1404" i="1"/>
  <c r="N1404" i="1"/>
  <c r="M1397" i="1"/>
  <c r="N1397" i="1"/>
  <c r="M1389" i="1"/>
  <c r="N1389" i="1"/>
  <c r="M1370" i="1"/>
  <c r="N1370" i="1"/>
  <c r="M1362" i="1"/>
  <c r="N1362" i="1"/>
  <c r="M1354" i="1"/>
  <c r="N1354" i="1"/>
  <c r="M1286" i="1"/>
  <c r="N1286" i="1"/>
  <c r="M1278" i="1"/>
  <c r="N1278" i="1"/>
  <c r="M1270" i="1"/>
  <c r="N1270" i="1"/>
  <c r="M1263" i="1"/>
  <c r="N1263" i="1"/>
  <c r="M1256" i="1"/>
  <c r="N1256" i="1"/>
  <c r="M1249" i="1"/>
  <c r="N1249" i="1"/>
  <c r="M1243" i="1"/>
  <c r="N1243" i="1"/>
  <c r="M1236" i="1"/>
  <c r="N1236" i="1"/>
  <c r="M1228" i="1"/>
  <c r="N1228" i="1"/>
  <c r="M1221" i="1"/>
  <c r="N1221" i="1"/>
  <c r="M1213" i="1"/>
  <c r="N1213" i="1"/>
  <c r="M1205" i="1"/>
  <c r="N1205" i="1"/>
  <c r="M1198" i="1"/>
  <c r="N1198" i="1"/>
  <c r="M1183" i="1"/>
  <c r="N1183" i="1"/>
  <c r="M1175" i="1"/>
  <c r="N1175" i="1"/>
  <c r="M1167" i="1"/>
  <c r="N1167" i="1"/>
  <c r="M1159" i="1"/>
  <c r="N1159" i="1"/>
  <c r="M1138" i="1"/>
  <c r="N1138" i="1"/>
  <c r="M1130" i="1"/>
  <c r="N1130" i="1"/>
  <c r="M1123" i="1"/>
  <c r="N1123" i="1"/>
  <c r="M1115" i="1"/>
  <c r="N1115" i="1"/>
  <c r="M1107" i="1"/>
  <c r="N1107" i="1"/>
  <c r="M1099" i="1"/>
  <c r="N1099" i="1"/>
  <c r="N1092" i="1"/>
  <c r="M1092" i="1"/>
  <c r="M1084" i="1"/>
  <c r="N1084" i="1"/>
  <c r="M1076" i="1"/>
  <c r="N1076" i="1"/>
  <c r="M1068" i="1"/>
  <c r="N1068" i="1"/>
  <c r="M1060" i="1"/>
  <c r="N1060" i="1"/>
  <c r="M1053" i="1"/>
  <c r="N1053" i="1"/>
  <c r="M1046" i="1"/>
  <c r="N1046" i="1"/>
  <c r="M1038" i="1"/>
  <c r="N1038" i="1"/>
  <c r="M1030" i="1"/>
  <c r="N1030" i="1"/>
  <c r="M939" i="1"/>
  <c r="N939" i="1"/>
  <c r="M932" i="1"/>
  <c r="N932" i="1"/>
  <c r="M924" i="1"/>
  <c r="N924" i="1"/>
  <c r="M916" i="1"/>
  <c r="N916" i="1"/>
  <c r="M909" i="1"/>
  <c r="N909" i="1"/>
  <c r="M901" i="1"/>
  <c r="N901" i="1"/>
  <c r="M893" i="1"/>
  <c r="N893" i="1"/>
  <c r="M887" i="1"/>
  <c r="N887" i="1"/>
  <c r="M879" i="1"/>
  <c r="N879" i="1"/>
  <c r="M871" i="1"/>
  <c r="N871" i="1"/>
  <c r="M863" i="1"/>
  <c r="N863" i="1"/>
  <c r="M855" i="1"/>
  <c r="N855" i="1"/>
  <c r="M847" i="1"/>
  <c r="N847" i="1"/>
  <c r="M839" i="1"/>
  <c r="N839" i="1"/>
  <c r="M832" i="1"/>
  <c r="N832" i="1"/>
  <c r="M824" i="1"/>
  <c r="N824" i="1"/>
  <c r="M809" i="1"/>
  <c r="N809" i="1"/>
  <c r="M801" i="1"/>
  <c r="N801" i="1"/>
  <c r="M794" i="1"/>
  <c r="N794" i="1"/>
  <c r="M786" i="1"/>
  <c r="N786" i="1"/>
  <c r="M778" i="1"/>
  <c r="N778" i="1"/>
  <c r="N763" i="1"/>
  <c r="M763" i="1"/>
  <c r="M756" i="1"/>
  <c r="N756" i="1"/>
  <c r="M748" i="1"/>
  <c r="N748" i="1"/>
  <c r="M740" i="1"/>
  <c r="N740" i="1"/>
  <c r="M732" i="1"/>
  <c r="N732" i="1"/>
  <c r="M724" i="1"/>
  <c r="N724" i="1"/>
  <c r="M709" i="1"/>
  <c r="N709" i="1"/>
  <c r="M701" i="1"/>
  <c r="N701" i="1"/>
  <c r="M693" i="1"/>
  <c r="N693" i="1"/>
  <c r="M686" i="1"/>
  <c r="N686" i="1"/>
  <c r="M678" i="1"/>
  <c r="N678" i="1"/>
  <c r="M487" i="1"/>
  <c r="N487" i="1"/>
  <c r="M480" i="1"/>
  <c r="N480" i="1"/>
  <c r="M473" i="1"/>
  <c r="N473" i="1"/>
  <c r="M466" i="1"/>
  <c r="N466" i="1"/>
  <c r="M459" i="1"/>
  <c r="N459" i="1"/>
  <c r="M452" i="1"/>
  <c r="N452" i="1"/>
  <c r="M444" i="1"/>
  <c r="N444" i="1"/>
  <c r="M437" i="1"/>
  <c r="N437" i="1"/>
  <c r="M422" i="1"/>
  <c r="N422" i="1"/>
  <c r="M408" i="1"/>
  <c r="N408" i="1"/>
  <c r="M394" i="1"/>
  <c r="N394" i="1"/>
  <c r="M379" i="1"/>
  <c r="N379" i="1"/>
  <c r="M365" i="1"/>
  <c r="N365" i="1"/>
  <c r="M357" i="1"/>
  <c r="N357" i="1"/>
  <c r="M350" i="1"/>
  <c r="N350" i="1"/>
  <c r="M335" i="1"/>
  <c r="N335" i="1"/>
  <c r="M327" i="1"/>
  <c r="N327" i="1"/>
  <c r="M319" i="1"/>
  <c r="N319" i="1"/>
  <c r="M312" i="1"/>
  <c r="N312" i="1"/>
  <c r="M304" i="1"/>
  <c r="N304" i="1"/>
  <c r="M296" i="1"/>
  <c r="N296" i="1"/>
  <c r="M281" i="1"/>
  <c r="N281" i="1"/>
  <c r="M266" i="1"/>
  <c r="N266" i="1"/>
  <c r="M258" i="1"/>
  <c r="N258" i="1"/>
  <c r="M250" i="1"/>
  <c r="N250" i="1"/>
  <c r="M242" i="1"/>
  <c r="N242" i="1"/>
  <c r="M234" i="1"/>
  <c r="N234" i="1"/>
  <c r="M227" i="1"/>
  <c r="N227" i="1"/>
  <c r="M220" i="1"/>
  <c r="N220" i="1"/>
  <c r="M212" i="1"/>
  <c r="N212" i="1"/>
  <c r="M204" i="1"/>
  <c r="N204" i="1"/>
  <c r="M196" i="1"/>
  <c r="N196" i="1"/>
  <c r="M188" i="1"/>
  <c r="N188" i="1"/>
  <c r="M181" i="1"/>
  <c r="N181" i="1"/>
  <c r="M173" i="1"/>
  <c r="N173" i="1"/>
  <c r="M165" i="1"/>
  <c r="N165" i="1"/>
  <c r="M158" i="1"/>
  <c r="N158" i="1"/>
  <c r="M150" i="1"/>
  <c r="N150" i="1"/>
  <c r="M142" i="1"/>
  <c r="N142" i="1"/>
  <c r="M41" i="1"/>
  <c r="N41" i="1"/>
  <c r="M33" i="1"/>
  <c r="N33" i="1"/>
  <c r="M25" i="1"/>
  <c r="N25" i="1"/>
  <c r="M17" i="1"/>
  <c r="N17" i="1"/>
  <c r="M9" i="1"/>
  <c r="N9" i="1"/>
  <c r="M6736" i="1"/>
  <c r="M6247" i="1"/>
  <c r="M5991" i="1"/>
  <c r="N6685" i="1"/>
  <c r="N6623" i="1"/>
  <c r="N6487" i="1"/>
  <c r="N5758" i="1"/>
  <c r="N5397" i="1"/>
  <c r="N5302" i="1"/>
  <c r="N5024" i="1"/>
  <c r="N3375" i="1"/>
  <c r="N3189" i="1"/>
  <c r="N2157" i="1"/>
  <c r="N1687" i="1"/>
  <c r="M5506" i="1"/>
  <c r="N6743" i="1"/>
  <c r="N6211" i="1"/>
  <c r="N5847" i="1"/>
  <c r="N5301" i="1"/>
  <c r="N5023" i="1"/>
  <c r="N4366" i="1"/>
  <c r="N3919" i="1"/>
  <c r="N1678" i="1"/>
  <c r="M5950" i="1"/>
  <c r="M4014" i="1"/>
  <c r="N6119" i="1"/>
  <c r="N5663" i="1"/>
  <c r="N5483" i="1"/>
  <c r="N5117" i="1"/>
  <c r="N4358" i="1"/>
  <c r="N6671" i="1"/>
  <c r="N6549" i="1"/>
  <c r="N6480" i="1"/>
  <c r="N5751" i="1"/>
  <c r="N5568" i="1"/>
  <c r="N5204" i="1"/>
  <c r="N5116" i="1"/>
  <c r="N5015" i="1"/>
  <c r="N3547" i="1"/>
  <c r="N3181" i="1"/>
  <c r="N5463" i="1"/>
  <c r="N4941" i="1"/>
  <c r="N4507" i="1"/>
  <c r="N4333" i="1"/>
  <c r="N4261" i="1"/>
  <c r="N4119" i="1"/>
  <c r="N3971" i="1"/>
  <c r="N3238" i="1"/>
  <c r="N1850" i="1"/>
  <c r="N1514" i="1"/>
  <c r="M5523" i="1"/>
  <c r="N5523" i="1"/>
  <c r="M5516" i="1"/>
  <c r="N5516" i="1"/>
  <c r="M5509" i="1"/>
  <c r="N5509" i="1"/>
  <c r="M5494" i="1"/>
  <c r="N5494" i="1"/>
  <c r="M5486" i="1"/>
  <c r="N5486" i="1"/>
  <c r="M5478" i="1"/>
  <c r="N5478" i="1"/>
  <c r="M5471" i="1"/>
  <c r="N5471" i="1"/>
  <c r="M5448" i="1"/>
  <c r="N5448" i="1"/>
  <c r="M5435" i="1"/>
  <c r="N5435" i="1"/>
  <c r="M5422" i="1"/>
  <c r="N5422" i="1"/>
  <c r="M5366" i="1"/>
  <c r="N5366" i="1"/>
  <c r="M5358" i="1"/>
  <c r="N5358" i="1"/>
  <c r="M5350" i="1"/>
  <c r="N5350" i="1"/>
  <c r="M5313" i="1"/>
  <c r="N5313" i="1"/>
  <c r="M5306" i="1"/>
  <c r="N5306" i="1"/>
  <c r="M5293" i="1"/>
  <c r="N5293" i="1"/>
  <c r="M5278" i="1"/>
  <c r="N5278" i="1"/>
  <c r="M5270" i="1"/>
  <c r="N5270" i="1"/>
  <c r="M5221" i="1"/>
  <c r="N5221" i="1"/>
  <c r="N5194" i="1"/>
  <c r="M5194" i="1"/>
  <c r="M5186" i="1"/>
  <c r="N5186" i="1"/>
  <c r="M5179" i="1"/>
  <c r="N5179" i="1"/>
  <c r="M5172" i="1"/>
  <c r="N5172" i="1"/>
  <c r="M5158" i="1"/>
  <c r="N5158" i="1"/>
  <c r="M5151" i="1"/>
  <c r="N5151" i="1"/>
  <c r="M5144" i="1"/>
  <c r="N5144" i="1"/>
  <c r="M5136" i="1"/>
  <c r="N5136" i="1"/>
  <c r="M5128" i="1"/>
  <c r="N5128" i="1"/>
  <c r="M5120" i="1"/>
  <c r="N5120" i="1"/>
  <c r="M5112" i="1"/>
  <c r="N5112" i="1"/>
  <c r="M5104" i="1"/>
  <c r="N5104" i="1"/>
  <c r="M5097" i="1"/>
  <c r="N5097" i="1"/>
  <c r="M5089" i="1"/>
  <c r="N5089" i="1"/>
  <c r="M5081" i="1"/>
  <c r="N5081" i="1"/>
  <c r="M5074" i="1"/>
  <c r="N5074" i="1"/>
  <c r="M5066" i="1"/>
  <c r="N5066" i="1"/>
  <c r="M5058" i="1"/>
  <c r="N5058" i="1"/>
  <c r="M5050" i="1"/>
  <c r="N5050" i="1"/>
  <c r="M5042" i="1"/>
  <c r="N5042" i="1"/>
  <c r="M5034" i="1"/>
  <c r="N5034" i="1"/>
  <c r="M5027" i="1"/>
  <c r="N5027" i="1"/>
  <c r="M5011" i="1"/>
  <c r="N5011" i="1"/>
  <c r="M4996" i="1"/>
  <c r="N4996" i="1"/>
  <c r="M4988" i="1"/>
  <c r="N4988" i="1"/>
  <c r="M4980" i="1"/>
  <c r="N4980" i="1"/>
  <c r="M4972" i="1"/>
  <c r="N4972" i="1"/>
  <c r="M4964" i="1"/>
  <c r="N4964" i="1"/>
  <c r="M4956" i="1"/>
  <c r="N4956" i="1"/>
  <c r="M4949" i="1"/>
  <c r="N4949" i="1"/>
  <c r="M4933" i="1"/>
  <c r="N4933" i="1"/>
  <c r="M4925" i="1"/>
  <c r="N4925" i="1"/>
  <c r="M4918" i="1"/>
  <c r="N4918" i="1"/>
  <c r="M4910" i="1"/>
  <c r="N4910" i="1"/>
  <c r="M4902" i="1"/>
  <c r="N4902" i="1"/>
  <c r="M4894" i="1"/>
  <c r="N4894" i="1"/>
  <c r="M4879" i="1"/>
  <c r="N4879" i="1"/>
  <c r="M4871" i="1"/>
  <c r="N4871" i="1"/>
  <c r="M4863" i="1"/>
  <c r="N4863" i="1"/>
  <c r="M4848" i="1"/>
  <c r="N4848" i="1"/>
  <c r="M4824" i="1"/>
  <c r="N4824" i="1"/>
  <c r="M4816" i="1"/>
  <c r="N4816" i="1"/>
  <c r="M4808" i="1"/>
  <c r="N4808" i="1"/>
  <c r="M4793" i="1"/>
  <c r="N4793" i="1"/>
  <c r="M4785" i="1"/>
  <c r="N4785" i="1"/>
  <c r="M4777" i="1"/>
  <c r="N4777" i="1"/>
  <c r="M4770" i="1"/>
  <c r="N4770" i="1"/>
  <c r="M4763" i="1"/>
  <c r="N4763" i="1"/>
  <c r="M4756" i="1"/>
  <c r="N4756" i="1"/>
  <c r="M4741" i="1"/>
  <c r="N4741" i="1"/>
  <c r="M4734" i="1"/>
  <c r="N4734" i="1"/>
  <c r="M4727" i="1"/>
  <c r="N4727" i="1"/>
  <c r="M4711" i="1"/>
  <c r="N4711" i="1"/>
  <c r="M4703" i="1"/>
  <c r="N4703" i="1"/>
  <c r="M4687" i="1"/>
  <c r="N4687" i="1"/>
  <c r="M4680" i="1"/>
  <c r="N4680" i="1"/>
  <c r="M4673" i="1"/>
  <c r="N4673" i="1"/>
  <c r="M4666" i="1"/>
  <c r="N4666" i="1"/>
  <c r="M4659" i="1"/>
  <c r="N4659" i="1"/>
  <c r="M4652" i="1"/>
  <c r="N4652" i="1"/>
  <c r="M4633" i="1"/>
  <c r="N4633" i="1"/>
  <c r="M4626" i="1"/>
  <c r="N4626" i="1"/>
  <c r="N4618" i="1"/>
  <c r="M4618" i="1"/>
  <c r="M4610" i="1"/>
  <c r="N4610" i="1"/>
  <c r="M4604" i="1"/>
  <c r="N4604" i="1"/>
  <c r="M4584" i="1"/>
  <c r="N4584" i="1"/>
  <c r="M4578" i="1"/>
  <c r="N4578" i="1"/>
  <c r="M4571" i="1"/>
  <c r="N4571" i="1"/>
  <c r="M4549" i="1"/>
  <c r="N4549" i="1"/>
  <c r="M4542" i="1"/>
  <c r="N4542" i="1"/>
  <c r="M4535" i="1"/>
  <c r="N4535" i="1"/>
  <c r="M4521" i="1"/>
  <c r="N4521" i="1"/>
  <c r="M4514" i="1"/>
  <c r="N4514" i="1"/>
  <c r="M4500" i="1"/>
  <c r="N4500" i="1"/>
  <c r="M4467" i="1"/>
  <c r="N4467" i="1"/>
  <c r="M4459" i="1"/>
  <c r="N4459" i="1"/>
  <c r="M4451" i="1"/>
  <c r="N4451" i="1"/>
  <c r="M4444" i="1"/>
  <c r="N4444" i="1"/>
  <c r="M4437" i="1"/>
  <c r="N4437" i="1"/>
  <c r="M4430" i="1"/>
  <c r="N4430" i="1"/>
  <c r="M4402" i="1"/>
  <c r="N4402" i="1"/>
  <c r="M4394" i="1"/>
  <c r="N4394" i="1"/>
  <c r="M4386" i="1"/>
  <c r="N4386" i="1"/>
  <c r="M4378" i="1"/>
  <c r="N4378" i="1"/>
  <c r="M4371" i="1"/>
  <c r="N4371" i="1"/>
  <c r="M4363" i="1"/>
  <c r="N4363" i="1"/>
  <c r="M4355" i="1"/>
  <c r="N4355" i="1"/>
  <c r="M4349" i="1"/>
  <c r="N4349" i="1"/>
  <c r="M4334" i="1"/>
  <c r="N4334" i="1"/>
  <c r="M4319" i="1"/>
  <c r="N4319" i="1"/>
  <c r="M4304" i="1"/>
  <c r="N4304" i="1"/>
  <c r="M4297" i="1"/>
  <c r="N4297" i="1"/>
  <c r="M4290" i="1"/>
  <c r="N4290" i="1"/>
  <c r="M4284" i="1"/>
  <c r="N4284" i="1"/>
  <c r="M4277" i="1"/>
  <c r="N4277" i="1"/>
  <c r="M4270" i="1"/>
  <c r="N4270" i="1"/>
  <c r="M4262" i="1"/>
  <c r="N4262" i="1"/>
  <c r="M4254" i="1"/>
  <c r="N4254" i="1"/>
  <c r="M4247" i="1"/>
  <c r="N4247" i="1"/>
  <c r="M4239" i="1"/>
  <c r="N4239" i="1"/>
  <c r="M4231" i="1"/>
  <c r="N4231" i="1"/>
  <c r="M4208" i="1"/>
  <c r="N4208" i="1"/>
  <c r="M4201" i="1"/>
  <c r="N4201" i="1"/>
  <c r="M4193" i="1"/>
  <c r="N4193" i="1"/>
  <c r="M4179" i="1"/>
  <c r="N4179" i="1"/>
  <c r="M4171" i="1"/>
  <c r="N4171" i="1"/>
  <c r="M4164" i="1"/>
  <c r="N4164" i="1"/>
  <c r="M4157" i="1"/>
  <c r="N4157" i="1"/>
  <c r="M4150" i="1"/>
  <c r="N4150" i="1"/>
  <c r="M4142" i="1"/>
  <c r="N4142" i="1"/>
  <c r="M4135" i="1"/>
  <c r="N4135" i="1"/>
  <c r="M4127" i="1"/>
  <c r="N4127" i="1"/>
  <c r="M4111" i="1"/>
  <c r="N4111" i="1"/>
  <c r="M4098" i="1"/>
  <c r="N4098" i="1"/>
  <c r="M4091" i="1"/>
  <c r="N4091" i="1"/>
  <c r="M4083" i="1"/>
  <c r="N4083" i="1"/>
  <c r="M4076" i="1"/>
  <c r="N4076" i="1"/>
  <c r="M4068" i="1"/>
  <c r="N4068" i="1"/>
  <c r="M4061" i="1"/>
  <c r="N4061" i="1"/>
  <c r="M4054" i="1"/>
  <c r="N4054" i="1"/>
  <c r="M4048" i="1"/>
  <c r="N4048" i="1"/>
  <c r="M4040" i="1"/>
  <c r="N4040" i="1"/>
  <c r="M4033" i="1"/>
  <c r="N4033" i="1"/>
  <c r="M4025" i="1"/>
  <c r="N4025" i="1"/>
  <c r="M4003" i="1"/>
  <c r="N4003" i="1"/>
  <c r="M3995" i="1"/>
  <c r="N3995" i="1"/>
  <c r="M3988" i="1"/>
  <c r="N3988" i="1"/>
  <c r="M3980" i="1"/>
  <c r="N3980" i="1"/>
  <c r="M3972" i="1"/>
  <c r="N3972" i="1"/>
  <c r="M3956" i="1"/>
  <c r="N3956" i="1"/>
  <c r="M3948" i="1"/>
  <c r="N3948" i="1"/>
  <c r="M3940" i="1"/>
  <c r="N3940" i="1"/>
  <c r="M3932" i="1"/>
  <c r="N3932" i="1"/>
  <c r="M3903" i="1"/>
  <c r="N3903" i="1"/>
  <c r="M3895" i="1"/>
  <c r="N3895" i="1"/>
  <c r="M3888" i="1"/>
  <c r="N3888" i="1"/>
  <c r="M3880" i="1"/>
  <c r="N3880" i="1"/>
  <c r="M3873" i="1"/>
  <c r="N3873" i="1"/>
  <c r="M3865" i="1"/>
  <c r="N3865" i="1"/>
  <c r="M3843" i="1"/>
  <c r="N3843" i="1"/>
  <c r="M3835" i="1"/>
  <c r="N3835" i="1"/>
  <c r="M3827" i="1"/>
  <c r="N3827" i="1"/>
  <c r="M3819" i="1"/>
  <c r="N3819" i="1"/>
  <c r="M3811" i="1"/>
  <c r="N3811" i="1"/>
  <c r="M3803" i="1"/>
  <c r="N3803" i="1"/>
  <c r="M3790" i="1"/>
  <c r="N3790" i="1"/>
  <c r="M3783" i="1"/>
  <c r="N3783" i="1"/>
  <c r="M3776" i="1"/>
  <c r="N3776" i="1"/>
  <c r="M3768" i="1"/>
  <c r="N3768" i="1"/>
  <c r="M3760" i="1"/>
  <c r="N3760" i="1"/>
  <c r="M3752" i="1"/>
  <c r="N3752" i="1"/>
  <c r="M3744" i="1"/>
  <c r="N3744" i="1"/>
  <c r="M3736" i="1"/>
  <c r="N3736" i="1"/>
  <c r="M3729" i="1"/>
  <c r="N3729" i="1"/>
  <c r="M3722" i="1"/>
  <c r="N3722" i="1"/>
  <c r="M3714" i="1"/>
  <c r="N3714" i="1"/>
  <c r="M3706" i="1"/>
  <c r="N3706" i="1"/>
  <c r="M3698" i="1"/>
  <c r="N3698" i="1"/>
  <c r="M3690" i="1"/>
  <c r="N3690" i="1"/>
  <c r="M3682" i="1"/>
  <c r="N3682" i="1"/>
  <c r="M3675" i="1"/>
  <c r="N3675" i="1"/>
  <c r="M3667" i="1"/>
  <c r="N3667" i="1"/>
  <c r="N3652" i="1"/>
  <c r="M3652" i="1"/>
  <c r="M3613" i="1"/>
  <c r="N3613" i="1"/>
  <c r="M3597" i="1"/>
  <c r="N3597" i="1"/>
  <c r="N3589" i="1"/>
  <c r="M3589" i="1"/>
  <c r="M3582" i="1"/>
  <c r="N3582" i="1"/>
  <c r="M3574" i="1"/>
  <c r="N3574" i="1"/>
  <c r="M3566" i="1"/>
  <c r="N3566" i="1"/>
  <c r="M3544" i="1"/>
  <c r="N3544" i="1"/>
  <c r="M3536" i="1"/>
  <c r="N3536" i="1"/>
  <c r="M3529" i="1"/>
  <c r="N3529" i="1"/>
  <c r="M3521" i="1"/>
  <c r="N3521" i="1"/>
  <c r="M3513" i="1"/>
  <c r="N3513" i="1"/>
  <c r="M3506" i="1"/>
  <c r="N3506" i="1"/>
  <c r="M3498" i="1"/>
  <c r="N3498" i="1"/>
  <c r="M3490" i="1"/>
  <c r="N3490" i="1"/>
  <c r="M3483" i="1"/>
  <c r="N3483" i="1"/>
  <c r="M3476" i="1"/>
  <c r="N3476" i="1"/>
  <c r="M3468" i="1"/>
  <c r="N3468" i="1"/>
  <c r="M3453" i="1"/>
  <c r="N3453" i="1"/>
  <c r="M3445" i="1"/>
  <c r="N3445" i="1"/>
  <c r="M3437" i="1"/>
  <c r="N3437" i="1"/>
  <c r="M3429" i="1"/>
  <c r="N3429" i="1"/>
  <c r="M3421" i="1"/>
  <c r="N3421" i="1"/>
  <c r="M3414" i="1"/>
  <c r="N3414" i="1"/>
  <c r="M3407" i="1"/>
  <c r="N3407" i="1"/>
  <c r="M3401" i="1"/>
  <c r="N3401" i="1"/>
  <c r="M3394" i="1"/>
  <c r="N3394" i="1"/>
  <c r="M3387" i="1"/>
  <c r="N3387" i="1"/>
  <c r="M3380" i="1"/>
  <c r="N3380" i="1"/>
  <c r="M3358" i="1"/>
  <c r="N3358" i="1"/>
  <c r="M3350" i="1"/>
  <c r="N3350" i="1"/>
  <c r="M3343" i="1"/>
  <c r="N3343" i="1"/>
  <c r="M3335" i="1"/>
  <c r="N3335" i="1"/>
  <c r="M3320" i="1"/>
  <c r="N3320" i="1"/>
  <c r="M3312" i="1"/>
  <c r="N3312" i="1"/>
  <c r="M3297" i="1"/>
  <c r="N3297" i="1"/>
  <c r="M3289" i="1"/>
  <c r="N3289" i="1"/>
  <c r="M3281" i="1"/>
  <c r="N3281" i="1"/>
  <c r="M3254" i="1"/>
  <c r="N3254" i="1"/>
  <c r="M3246" i="1"/>
  <c r="N3246" i="1"/>
  <c r="M3239" i="1"/>
  <c r="N3239" i="1"/>
  <c r="M3232" i="1"/>
  <c r="N3232" i="1"/>
  <c r="M3217" i="1"/>
  <c r="N3217" i="1"/>
  <c r="M3209" i="1"/>
  <c r="N3209" i="1"/>
  <c r="M3201" i="1"/>
  <c r="N3201" i="1"/>
  <c r="M3193" i="1"/>
  <c r="N3193" i="1"/>
  <c r="M3185" i="1"/>
  <c r="N3185" i="1"/>
  <c r="M3177" i="1"/>
  <c r="N3177" i="1"/>
  <c r="M3163" i="1"/>
  <c r="N3163" i="1"/>
  <c r="M3156" i="1"/>
  <c r="N3156" i="1"/>
  <c r="M3141" i="1"/>
  <c r="N3141" i="1"/>
  <c r="M3126" i="1"/>
  <c r="N3126" i="1"/>
  <c r="M3118" i="1"/>
  <c r="N3118" i="1"/>
  <c r="M3111" i="1"/>
  <c r="N3111" i="1"/>
  <c r="M3104" i="1"/>
  <c r="N3104" i="1"/>
  <c r="M3096" i="1"/>
  <c r="N3096" i="1"/>
  <c r="M3088" i="1"/>
  <c r="N3088" i="1"/>
  <c r="M3081" i="1"/>
  <c r="N3081" i="1"/>
  <c r="M3073" i="1"/>
  <c r="N3073" i="1"/>
  <c r="M3058" i="1"/>
  <c r="N3058" i="1"/>
  <c r="M3050" i="1"/>
  <c r="N3050" i="1"/>
  <c r="M3042" i="1"/>
  <c r="N3042" i="1"/>
  <c r="M3034" i="1"/>
  <c r="N3034" i="1"/>
  <c r="M3027" i="1"/>
  <c r="N3027" i="1"/>
  <c r="M3011" i="1"/>
  <c r="N3011" i="1"/>
  <c r="M2996" i="1"/>
  <c r="N2996" i="1"/>
  <c r="M2981" i="1"/>
  <c r="N2981" i="1"/>
  <c r="M2973" i="1"/>
  <c r="N2973" i="1"/>
  <c r="M2966" i="1"/>
  <c r="N2966" i="1"/>
  <c r="M2953" i="1"/>
  <c r="N2953" i="1"/>
  <c r="M2946" i="1"/>
  <c r="N2946" i="1"/>
  <c r="M2939" i="1"/>
  <c r="N2939" i="1"/>
  <c r="M2932" i="1"/>
  <c r="N2932" i="1"/>
  <c r="M2924" i="1"/>
  <c r="N2924" i="1"/>
  <c r="M2918" i="1"/>
  <c r="N2918" i="1"/>
  <c r="M2910" i="1"/>
  <c r="N2910" i="1"/>
  <c r="M2903" i="1"/>
  <c r="N2903" i="1"/>
  <c r="M2896" i="1"/>
  <c r="N2896" i="1"/>
  <c r="M2889" i="1"/>
  <c r="N2889" i="1"/>
  <c r="M2882" i="1"/>
  <c r="N2882" i="1"/>
  <c r="M2874" i="1"/>
  <c r="N2874" i="1"/>
  <c r="M2866" i="1"/>
  <c r="N2866" i="1"/>
  <c r="M2851" i="1"/>
  <c r="N2851" i="1"/>
  <c r="M2843" i="1"/>
  <c r="N2843" i="1"/>
  <c r="M2821" i="1"/>
  <c r="N2821" i="1"/>
  <c r="M2814" i="1"/>
  <c r="N2814" i="1"/>
  <c r="M2800" i="1"/>
  <c r="N2800" i="1"/>
  <c r="M2793" i="1"/>
  <c r="N2793" i="1"/>
  <c r="M2780" i="1"/>
  <c r="N2780" i="1"/>
  <c r="M2773" i="1"/>
  <c r="N2773" i="1"/>
  <c r="M2766" i="1"/>
  <c r="N2766" i="1"/>
  <c r="M2759" i="1"/>
  <c r="N2759" i="1"/>
  <c r="M2751" i="1"/>
  <c r="N2751" i="1"/>
  <c r="M2743" i="1"/>
  <c r="N2743" i="1"/>
  <c r="M2735" i="1"/>
  <c r="N2735" i="1"/>
  <c r="M2720" i="1"/>
  <c r="N2720" i="1"/>
  <c r="M2712" i="1"/>
  <c r="N2712" i="1"/>
  <c r="M2705" i="1"/>
  <c r="N2705" i="1"/>
  <c r="M2697" i="1"/>
  <c r="N2697" i="1"/>
  <c r="M2690" i="1"/>
  <c r="N2690" i="1"/>
  <c r="M2682" i="1"/>
  <c r="N2682" i="1"/>
  <c r="M2674" i="1"/>
  <c r="N2674" i="1"/>
  <c r="M2667" i="1"/>
  <c r="N2667" i="1"/>
  <c r="M2660" i="1"/>
  <c r="N2660" i="1"/>
  <c r="M2653" i="1"/>
  <c r="N2653" i="1"/>
  <c r="M2646" i="1"/>
  <c r="N2646" i="1"/>
  <c r="M2638" i="1"/>
  <c r="N2638" i="1"/>
  <c r="M2624" i="1"/>
  <c r="N2624" i="1"/>
  <c r="M2616" i="1"/>
  <c r="N2616" i="1"/>
  <c r="M2608" i="1"/>
  <c r="N2608" i="1"/>
  <c r="M2601" i="1"/>
  <c r="N2601" i="1"/>
  <c r="M2593" i="1"/>
  <c r="N2593" i="1"/>
  <c r="M2585" i="1"/>
  <c r="N2585" i="1"/>
  <c r="M2577" i="1"/>
  <c r="N2577" i="1"/>
  <c r="M2569" i="1"/>
  <c r="N2569" i="1"/>
  <c r="M2554" i="1"/>
  <c r="N2554" i="1"/>
  <c r="M2538" i="1"/>
  <c r="N2538" i="1"/>
  <c r="M2531" i="1"/>
  <c r="N2531" i="1"/>
  <c r="M2524" i="1"/>
  <c r="N2524" i="1"/>
  <c r="M2516" i="1"/>
  <c r="N2516" i="1"/>
  <c r="M2508" i="1"/>
  <c r="N2508" i="1"/>
  <c r="M2500" i="1"/>
  <c r="N2500" i="1"/>
  <c r="M2478" i="1"/>
  <c r="N2478" i="1"/>
  <c r="M2471" i="1"/>
  <c r="N2471" i="1"/>
  <c r="M2464" i="1"/>
  <c r="N2464" i="1"/>
  <c r="M2457" i="1"/>
  <c r="N2457" i="1"/>
  <c r="M2449" i="1"/>
  <c r="N2449" i="1"/>
  <c r="M2442" i="1"/>
  <c r="N2442" i="1"/>
  <c r="M2435" i="1"/>
  <c r="N2435" i="1"/>
  <c r="M2427" i="1"/>
  <c r="N2427" i="1"/>
  <c r="M2419" i="1"/>
  <c r="N2419" i="1"/>
  <c r="M2411" i="1"/>
  <c r="N2411" i="1"/>
  <c r="M2404" i="1"/>
  <c r="N2404" i="1"/>
  <c r="M2390" i="1"/>
  <c r="N2390" i="1"/>
  <c r="M2384" i="1"/>
  <c r="N2384" i="1"/>
  <c r="M2376" i="1"/>
  <c r="N2376" i="1"/>
  <c r="M2368" i="1"/>
  <c r="N2368" i="1"/>
  <c r="M2353" i="1"/>
  <c r="N2353" i="1"/>
  <c r="M2345" i="1"/>
  <c r="N2345" i="1"/>
  <c r="M2330" i="1"/>
  <c r="N2330" i="1"/>
  <c r="M2322" i="1"/>
  <c r="N2322" i="1"/>
  <c r="M2314" i="1"/>
  <c r="N2314" i="1"/>
  <c r="M2306" i="1"/>
  <c r="N2306" i="1"/>
  <c r="M2298" i="1"/>
  <c r="N2298" i="1"/>
  <c r="M2286" i="1"/>
  <c r="N2286" i="1"/>
  <c r="N2279" i="1"/>
  <c r="M2279" i="1"/>
  <c r="M2271" i="1"/>
  <c r="N2271" i="1"/>
  <c r="M2264" i="1"/>
  <c r="N2264" i="1"/>
  <c r="M2256" i="1"/>
  <c r="N2256" i="1"/>
  <c r="M2249" i="1"/>
  <c r="N2249" i="1"/>
  <c r="M2241" i="1"/>
  <c r="N2241" i="1"/>
  <c r="M2234" i="1"/>
  <c r="N2234" i="1"/>
  <c r="M2226" i="1"/>
  <c r="N2226" i="1"/>
  <c r="M2218" i="1"/>
  <c r="N2218" i="1"/>
  <c r="M2210" i="1"/>
  <c r="N2210" i="1"/>
  <c r="M2202" i="1"/>
  <c r="N2202" i="1"/>
  <c r="M2187" i="1"/>
  <c r="N2187" i="1"/>
  <c r="M2180" i="1"/>
  <c r="N2180" i="1"/>
  <c r="M2172" i="1"/>
  <c r="N2172" i="1"/>
  <c r="M2164" i="1"/>
  <c r="N2164" i="1"/>
  <c r="M2156" i="1"/>
  <c r="N2156" i="1"/>
  <c r="M2149" i="1"/>
  <c r="N2149" i="1"/>
  <c r="M2142" i="1"/>
  <c r="N2142" i="1"/>
  <c r="M2126" i="1"/>
  <c r="N2126" i="1"/>
  <c r="M2118" i="1"/>
  <c r="N2118" i="1"/>
  <c r="M2111" i="1"/>
  <c r="N2111" i="1"/>
  <c r="M2104" i="1"/>
  <c r="N2104" i="1"/>
  <c r="M2097" i="1"/>
  <c r="N2097" i="1"/>
  <c r="M2076" i="1"/>
  <c r="N2076" i="1"/>
  <c r="M2060" i="1"/>
  <c r="N2060" i="1"/>
  <c r="M2052" i="1"/>
  <c r="N2052" i="1"/>
  <c r="M2037" i="1"/>
  <c r="N2037" i="1"/>
  <c r="M2029" i="1"/>
  <c r="N2029" i="1"/>
  <c r="M2022" i="1"/>
  <c r="N2022" i="1"/>
  <c r="M2015" i="1"/>
  <c r="N2015" i="1"/>
  <c r="M2007" i="1"/>
  <c r="N2007" i="1"/>
  <c r="M1999" i="1"/>
  <c r="N1999" i="1"/>
  <c r="M1991" i="1"/>
  <c r="N1991" i="1"/>
  <c r="M1983" i="1"/>
  <c r="N1983" i="1"/>
  <c r="M1968" i="1"/>
  <c r="N1968" i="1"/>
  <c r="M1955" i="1"/>
  <c r="N1955" i="1"/>
  <c r="M1947" i="1"/>
  <c r="N1947" i="1"/>
  <c r="M1940" i="1"/>
  <c r="N1940" i="1"/>
  <c r="M1932" i="1"/>
  <c r="N1932" i="1"/>
  <c r="M1924" i="1"/>
  <c r="N1924" i="1"/>
  <c r="M1917" i="1"/>
  <c r="N1917" i="1"/>
  <c r="M1910" i="1"/>
  <c r="N1910" i="1"/>
  <c r="M1903" i="1"/>
  <c r="N1903" i="1"/>
  <c r="M1896" i="1"/>
  <c r="N1896" i="1"/>
  <c r="M1889" i="1"/>
  <c r="N1889" i="1"/>
  <c r="M1881" i="1"/>
  <c r="N1881" i="1"/>
  <c r="M1875" i="1"/>
  <c r="N1875" i="1"/>
  <c r="M1867" i="1"/>
  <c r="N1867" i="1"/>
  <c r="M1859" i="1"/>
  <c r="N1859" i="1"/>
  <c r="M1851" i="1"/>
  <c r="N1851" i="1"/>
  <c r="M1843" i="1"/>
  <c r="N1843" i="1"/>
  <c r="M1836" i="1"/>
  <c r="N1836" i="1"/>
  <c r="M1820" i="1"/>
  <c r="N1820" i="1"/>
  <c r="M1813" i="1"/>
  <c r="N1813" i="1"/>
  <c r="M1805" i="1"/>
  <c r="N1805" i="1"/>
  <c r="M1797" i="1"/>
  <c r="N1797" i="1"/>
  <c r="M1789" i="1"/>
  <c r="N1789" i="1"/>
  <c r="M1782" i="1"/>
  <c r="N1782" i="1"/>
  <c r="M1774" i="1"/>
  <c r="N1774" i="1"/>
  <c r="M1767" i="1"/>
  <c r="N1767" i="1"/>
  <c r="M1759" i="1"/>
  <c r="N1759" i="1"/>
  <c r="M1751" i="1"/>
  <c r="N1751" i="1"/>
  <c r="M1743" i="1"/>
  <c r="N1743" i="1"/>
  <c r="M1735" i="1"/>
  <c r="N1735" i="1"/>
  <c r="M1727" i="1"/>
  <c r="N1727" i="1"/>
  <c r="M1719" i="1"/>
  <c r="N1719" i="1"/>
  <c r="M1711" i="1"/>
  <c r="N1711" i="1"/>
  <c r="M1697" i="1"/>
  <c r="N1697" i="1"/>
  <c r="M1689" i="1"/>
  <c r="N1689" i="1"/>
  <c r="M1681" i="1"/>
  <c r="N1681" i="1"/>
  <c r="M1673" i="1"/>
  <c r="N1673" i="1"/>
  <c r="M1666" i="1"/>
  <c r="N1666" i="1"/>
  <c r="M1658" i="1"/>
  <c r="N1658" i="1"/>
  <c r="M1650" i="1"/>
  <c r="N1650" i="1"/>
  <c r="M1642" i="1"/>
  <c r="N1642" i="1"/>
  <c r="M1634" i="1"/>
  <c r="N1634" i="1"/>
  <c r="M1626" i="1"/>
  <c r="N1626" i="1"/>
  <c r="M1619" i="1"/>
  <c r="N1619" i="1"/>
  <c r="M1612" i="1"/>
  <c r="N1612" i="1"/>
  <c r="M1598" i="1"/>
  <c r="N1598" i="1"/>
  <c r="M1591" i="1"/>
  <c r="N1591" i="1"/>
  <c r="M1584" i="1"/>
  <c r="N1584" i="1"/>
  <c r="M1577" i="1"/>
  <c r="N1577" i="1"/>
  <c r="M1569" i="1"/>
  <c r="N1569" i="1"/>
  <c r="M1561" i="1"/>
  <c r="N1561" i="1"/>
  <c r="M1554" i="1"/>
  <c r="N1554" i="1"/>
  <c r="M1546" i="1"/>
  <c r="N1546" i="1"/>
  <c r="M1538" i="1"/>
  <c r="N1538" i="1"/>
  <c r="M1530" i="1"/>
  <c r="N1530" i="1"/>
  <c r="M1522" i="1"/>
  <c r="N1522" i="1"/>
  <c r="M1515" i="1"/>
  <c r="N1515" i="1"/>
  <c r="M1508" i="1"/>
  <c r="N1508" i="1"/>
  <c r="M1501" i="1"/>
  <c r="N1501" i="1"/>
  <c r="M1494" i="1"/>
  <c r="N1494" i="1"/>
  <c r="M1487" i="1"/>
  <c r="N1487" i="1"/>
  <c r="M1472" i="1"/>
  <c r="N1472" i="1"/>
  <c r="N1451" i="1"/>
  <c r="M1451" i="1"/>
  <c r="M1444" i="1"/>
  <c r="N1444" i="1"/>
  <c r="M1437" i="1"/>
  <c r="N1437" i="1"/>
  <c r="M1429" i="1"/>
  <c r="N1429" i="1"/>
  <c r="M1422" i="1"/>
  <c r="N1422" i="1"/>
  <c r="M1410" i="1"/>
  <c r="N1410" i="1"/>
  <c r="M1395" i="1"/>
  <c r="N1395" i="1"/>
  <c r="M1387" i="1"/>
  <c r="N1387" i="1"/>
  <c r="M1380" i="1"/>
  <c r="N1380" i="1"/>
  <c r="M1374" i="1"/>
  <c r="N1374" i="1"/>
  <c r="M1368" i="1"/>
  <c r="N1368" i="1"/>
  <c r="M1339" i="1"/>
  <c r="N1339" i="1"/>
  <c r="M1331" i="1"/>
  <c r="N1331" i="1"/>
  <c r="M1323" i="1"/>
  <c r="N1323" i="1"/>
  <c r="M1309" i="1"/>
  <c r="N1309" i="1"/>
  <c r="M1303" i="1"/>
  <c r="N1303" i="1"/>
  <c r="M1295" i="1"/>
  <c r="N1295" i="1"/>
  <c r="M1280" i="1"/>
  <c r="N1280" i="1"/>
  <c r="M1272" i="1"/>
  <c r="N1272" i="1"/>
  <c r="M1259" i="1"/>
  <c r="N1259" i="1"/>
  <c r="M1252" i="1"/>
  <c r="N1252" i="1"/>
  <c r="M1246" i="1"/>
  <c r="N1246" i="1"/>
  <c r="M1239" i="1"/>
  <c r="N1239" i="1"/>
  <c r="M1231" i="1"/>
  <c r="N1231" i="1"/>
  <c r="M1216" i="1"/>
  <c r="N1216" i="1"/>
  <c r="M1208" i="1"/>
  <c r="N1208" i="1"/>
  <c r="M1194" i="1"/>
  <c r="N1194" i="1"/>
  <c r="M1188" i="1"/>
  <c r="N1188" i="1"/>
  <c r="M1180" i="1"/>
  <c r="N1180" i="1"/>
  <c r="M1172" i="1"/>
  <c r="N1172" i="1"/>
  <c r="M1164" i="1"/>
  <c r="N1164" i="1"/>
  <c r="M1156" i="1"/>
  <c r="N1156" i="1"/>
  <c r="M1149" i="1"/>
  <c r="N1149" i="1"/>
  <c r="M1143" i="1"/>
  <c r="N1143" i="1"/>
  <c r="M1135" i="1"/>
  <c r="N1135" i="1"/>
  <c r="M1127" i="1"/>
  <c r="N1127" i="1"/>
  <c r="M1120" i="1"/>
  <c r="N1120" i="1"/>
  <c r="M1112" i="1"/>
  <c r="N1112" i="1"/>
  <c r="M1104" i="1"/>
  <c r="N1104" i="1"/>
  <c r="M1096" i="1"/>
  <c r="N1096" i="1"/>
  <c r="M1090" i="1"/>
  <c r="N1090" i="1"/>
  <c r="M1082" i="1"/>
  <c r="N1082" i="1"/>
  <c r="M1075" i="1"/>
  <c r="N1075" i="1"/>
  <c r="M1067" i="1"/>
  <c r="N1067" i="1"/>
  <c r="M1059" i="1"/>
  <c r="N1059" i="1"/>
  <c r="M1052" i="1"/>
  <c r="N1052" i="1"/>
  <c r="M1045" i="1"/>
  <c r="N1045" i="1"/>
  <c r="M1037" i="1"/>
  <c r="N1037" i="1"/>
  <c r="M1029" i="1"/>
  <c r="N1029" i="1"/>
  <c r="M1022" i="1"/>
  <c r="N1022" i="1"/>
  <c r="M1014" i="1"/>
  <c r="N1014" i="1"/>
  <c r="M1007" i="1"/>
  <c r="N1007" i="1"/>
  <c r="M1000" i="1"/>
  <c r="N1000" i="1"/>
  <c r="M992" i="1"/>
  <c r="N992" i="1"/>
  <c r="M985" i="1"/>
  <c r="N985" i="1"/>
  <c r="M977" i="1"/>
  <c r="N977" i="1"/>
  <c r="M969" i="1"/>
  <c r="N969" i="1"/>
  <c r="M962" i="1"/>
  <c r="N962" i="1"/>
  <c r="M940" i="1"/>
  <c r="N940" i="1"/>
  <c r="M934" i="1"/>
  <c r="N934" i="1"/>
  <c r="M926" i="1"/>
  <c r="N926" i="1"/>
  <c r="M918" i="1"/>
  <c r="N918" i="1"/>
  <c r="M911" i="1"/>
  <c r="N911" i="1"/>
  <c r="M903" i="1"/>
  <c r="N903" i="1"/>
  <c r="M881" i="1"/>
  <c r="N881" i="1"/>
  <c r="M873" i="1"/>
  <c r="N873" i="1"/>
  <c r="M865" i="1"/>
  <c r="N865" i="1"/>
  <c r="M857" i="1"/>
  <c r="N857" i="1"/>
  <c r="M849" i="1"/>
  <c r="N849" i="1"/>
  <c r="M842" i="1"/>
  <c r="N842" i="1"/>
  <c r="M835" i="1"/>
  <c r="N835" i="1"/>
  <c r="M827" i="1"/>
  <c r="N827" i="1"/>
  <c r="M819" i="1"/>
  <c r="N819" i="1"/>
  <c r="M812" i="1"/>
  <c r="N812" i="1"/>
  <c r="M804" i="1"/>
  <c r="N804" i="1"/>
  <c r="M797" i="1"/>
  <c r="N797" i="1"/>
  <c r="M789" i="1"/>
  <c r="N789" i="1"/>
  <c r="M781" i="1"/>
  <c r="N781" i="1"/>
  <c r="M773" i="1"/>
  <c r="N773" i="1"/>
  <c r="M766" i="1"/>
  <c r="N766" i="1"/>
  <c r="M752" i="1"/>
  <c r="N752" i="1"/>
  <c r="M744" i="1"/>
  <c r="N744" i="1"/>
  <c r="M736" i="1"/>
  <c r="N736" i="1"/>
  <c r="M728" i="1"/>
  <c r="N728" i="1"/>
  <c r="M720" i="1"/>
  <c r="N720" i="1"/>
  <c r="M713" i="1"/>
  <c r="N713" i="1"/>
  <c r="M706" i="1"/>
  <c r="N706" i="1"/>
  <c r="M691" i="1"/>
  <c r="N691" i="1"/>
  <c r="M671" i="1"/>
  <c r="N671" i="1"/>
  <c r="M650" i="1"/>
  <c r="N650" i="1"/>
  <c r="M642" i="1"/>
  <c r="N642" i="1"/>
  <c r="M635" i="1"/>
  <c r="N635" i="1"/>
  <c r="M628" i="1"/>
  <c r="N628" i="1"/>
  <c r="M620" i="1"/>
  <c r="N620" i="1"/>
  <c r="M612" i="1"/>
  <c r="N612" i="1"/>
  <c r="M604" i="1"/>
  <c r="N604" i="1"/>
  <c r="M596" i="1"/>
  <c r="N596" i="1"/>
  <c r="M589" i="1"/>
  <c r="N589" i="1"/>
  <c r="M581" i="1"/>
  <c r="N581" i="1"/>
  <c r="M574" i="1"/>
  <c r="N574" i="1"/>
  <c r="M566" i="1"/>
  <c r="N566" i="1"/>
  <c r="M558" i="1"/>
  <c r="N558" i="1"/>
  <c r="M550" i="1"/>
  <c r="N550" i="1"/>
  <c r="M542" i="1"/>
  <c r="N542" i="1"/>
  <c r="M534" i="1"/>
  <c r="N534" i="1"/>
  <c r="M526" i="1"/>
  <c r="N526" i="1"/>
  <c r="M518" i="1"/>
  <c r="N518" i="1"/>
  <c r="M511" i="1"/>
  <c r="N511" i="1"/>
  <c r="M503" i="1"/>
  <c r="N503" i="1"/>
  <c r="M496" i="1"/>
  <c r="N496" i="1"/>
  <c r="M488" i="1"/>
  <c r="N488" i="1"/>
  <c r="M482" i="1"/>
  <c r="N482" i="1"/>
  <c r="M475" i="1"/>
  <c r="N475" i="1"/>
  <c r="M468" i="1"/>
  <c r="N468" i="1"/>
  <c r="M461" i="1"/>
  <c r="N461" i="1"/>
  <c r="M454" i="1"/>
  <c r="N454" i="1"/>
  <c r="M446" i="1"/>
  <c r="N446" i="1"/>
  <c r="M432" i="1"/>
  <c r="N432" i="1"/>
  <c r="M425" i="1"/>
  <c r="N425" i="1"/>
  <c r="M418" i="1"/>
  <c r="N418" i="1"/>
  <c r="M411" i="1"/>
  <c r="N411" i="1"/>
  <c r="M404" i="1"/>
  <c r="N404" i="1"/>
  <c r="M397" i="1"/>
  <c r="N397" i="1"/>
  <c r="M389" i="1"/>
  <c r="N389" i="1"/>
  <c r="M382" i="1"/>
  <c r="N382" i="1"/>
  <c r="M374" i="1"/>
  <c r="N374" i="1"/>
  <c r="M360" i="1"/>
  <c r="N360" i="1"/>
  <c r="M353" i="1"/>
  <c r="N353" i="1"/>
  <c r="M345" i="1"/>
  <c r="N345" i="1"/>
  <c r="M338" i="1"/>
  <c r="N338" i="1"/>
  <c r="M330" i="1"/>
  <c r="N330" i="1"/>
  <c r="M322" i="1"/>
  <c r="N322" i="1"/>
  <c r="M315" i="1"/>
  <c r="N315" i="1"/>
  <c r="M308" i="1"/>
  <c r="N308" i="1"/>
  <c r="M300" i="1"/>
  <c r="N300" i="1"/>
  <c r="M292" i="1"/>
  <c r="N292" i="1"/>
  <c r="M285" i="1"/>
  <c r="N285" i="1"/>
  <c r="M277" i="1"/>
  <c r="N277" i="1"/>
  <c r="M270" i="1"/>
  <c r="N270" i="1"/>
  <c r="M262" i="1"/>
  <c r="N262" i="1"/>
  <c r="M254" i="1"/>
  <c r="N254" i="1"/>
  <c r="M247" i="1"/>
  <c r="N247" i="1"/>
  <c r="M239" i="1"/>
  <c r="N239" i="1"/>
  <c r="M232" i="1"/>
  <c r="N232" i="1"/>
  <c r="M224" i="1"/>
  <c r="N224" i="1"/>
  <c r="M217" i="1"/>
  <c r="N217" i="1"/>
  <c r="M202" i="1"/>
  <c r="N202" i="1"/>
  <c r="M194" i="1"/>
  <c r="N194" i="1"/>
  <c r="M187" i="1"/>
  <c r="N187" i="1"/>
  <c r="M180" i="1"/>
  <c r="N180" i="1"/>
  <c r="M172" i="1"/>
  <c r="N172" i="1"/>
  <c r="M164" i="1"/>
  <c r="N164" i="1"/>
  <c r="M157" i="1"/>
  <c r="N157" i="1"/>
  <c r="M149" i="1"/>
  <c r="N149" i="1"/>
  <c r="M134" i="1"/>
  <c r="N134" i="1"/>
  <c r="M126" i="1"/>
  <c r="N126" i="1"/>
  <c r="M118" i="1"/>
  <c r="N118" i="1"/>
  <c r="M110" i="1"/>
  <c r="N110" i="1"/>
  <c r="M103" i="1"/>
  <c r="N103" i="1"/>
  <c r="M95" i="1"/>
  <c r="N95" i="1"/>
  <c r="M87" i="1"/>
  <c r="N87" i="1"/>
  <c r="M79" i="1"/>
  <c r="N79" i="1"/>
  <c r="M72" i="1"/>
  <c r="N72" i="1"/>
  <c r="M64" i="1"/>
  <c r="N64" i="1"/>
  <c r="M56" i="1"/>
  <c r="N56" i="1"/>
  <c r="M48" i="1"/>
  <c r="N48" i="1"/>
  <c r="M34" i="1"/>
  <c r="N34" i="1"/>
  <c r="M27" i="1"/>
  <c r="N27" i="1"/>
  <c r="M19" i="1"/>
  <c r="N19" i="1"/>
  <c r="M11" i="1"/>
  <c r="N11" i="1"/>
  <c r="M3" i="1"/>
  <c r="N3" i="1"/>
  <c r="M3003" i="1"/>
  <c r="N4886" i="1"/>
  <c r="N4832" i="1"/>
  <c r="N4719" i="1"/>
  <c r="N3782" i="1"/>
  <c r="N3605" i="1"/>
  <c r="N3420" i="1"/>
  <c r="N3026" i="1"/>
  <c r="N2807" i="1"/>
  <c r="N2068" i="1"/>
  <c r="N1828" i="1"/>
  <c r="N5080" i="1"/>
  <c r="M5080" i="1"/>
  <c r="M5073" i="1"/>
  <c r="N5073" i="1"/>
  <c r="M5065" i="1"/>
  <c r="N5065" i="1"/>
  <c r="M5057" i="1"/>
  <c r="N5057" i="1"/>
  <c r="M5049" i="1"/>
  <c r="N5049" i="1"/>
  <c r="M5041" i="1"/>
  <c r="N5041" i="1"/>
  <c r="M5033" i="1"/>
  <c r="N5033" i="1"/>
  <c r="M5026" i="1"/>
  <c r="N5026" i="1"/>
  <c r="M5018" i="1"/>
  <c r="N5018" i="1"/>
  <c r="M5010" i="1"/>
  <c r="N5010" i="1"/>
  <c r="M4995" i="1"/>
  <c r="N4995" i="1"/>
  <c r="M4987" i="1"/>
  <c r="N4987" i="1"/>
  <c r="M4979" i="1"/>
  <c r="N4979" i="1"/>
  <c r="M4971" i="1"/>
  <c r="N4971" i="1"/>
  <c r="M4963" i="1"/>
  <c r="N4963" i="1"/>
  <c r="M4955" i="1"/>
  <c r="N4955" i="1"/>
  <c r="M4948" i="1"/>
  <c r="N4948" i="1"/>
  <c r="N4940" i="1"/>
  <c r="M4940" i="1"/>
  <c r="M4932" i="1"/>
  <c r="N4932" i="1"/>
  <c r="M4924" i="1"/>
  <c r="N4924" i="1"/>
  <c r="M4901" i="1"/>
  <c r="N4901" i="1"/>
  <c r="M4893" i="1"/>
  <c r="N4893" i="1"/>
  <c r="M4870" i="1"/>
  <c r="N4870" i="1"/>
  <c r="M4847" i="1"/>
  <c r="N4847" i="1"/>
  <c r="M4839" i="1"/>
  <c r="N4839" i="1"/>
  <c r="M4831" i="1"/>
  <c r="N4831" i="1"/>
  <c r="M4823" i="1"/>
  <c r="N4823" i="1"/>
  <c r="M4815" i="1"/>
  <c r="N4815" i="1"/>
  <c r="M4807" i="1"/>
  <c r="N4807" i="1"/>
  <c r="M4792" i="1"/>
  <c r="N4792" i="1"/>
  <c r="M4784" i="1"/>
  <c r="N4784" i="1"/>
  <c r="M4776" i="1"/>
  <c r="N4776" i="1"/>
  <c r="M4769" i="1"/>
  <c r="N4769" i="1"/>
  <c r="M4748" i="1"/>
  <c r="N4748" i="1"/>
  <c r="M4740" i="1"/>
  <c r="N4740" i="1"/>
  <c r="M4733" i="1"/>
  <c r="N4733" i="1"/>
  <c r="M4726" i="1"/>
  <c r="N4726" i="1"/>
  <c r="M4710" i="1"/>
  <c r="N4710" i="1"/>
  <c r="M4702" i="1"/>
  <c r="N4702" i="1"/>
  <c r="M4694" i="1"/>
  <c r="N4694" i="1"/>
  <c r="M4679" i="1"/>
  <c r="N4679" i="1"/>
  <c r="M4672" i="1"/>
  <c r="N4672" i="1"/>
  <c r="M4639" i="1"/>
  <c r="N4639" i="1"/>
  <c r="M4625" i="1"/>
  <c r="N4625" i="1"/>
  <c r="M4617" i="1"/>
  <c r="N4617" i="1"/>
  <c r="M4603" i="1"/>
  <c r="N4603" i="1"/>
  <c r="M4596" i="1"/>
  <c r="N4596" i="1"/>
  <c r="M4583" i="1"/>
  <c r="N4583" i="1"/>
  <c r="M4577" i="1"/>
  <c r="N4577" i="1"/>
  <c r="M4570" i="1"/>
  <c r="N4570" i="1"/>
  <c r="M4556" i="1"/>
  <c r="N4556" i="1"/>
  <c r="M4548" i="1"/>
  <c r="N4548" i="1"/>
  <c r="M4534" i="1"/>
  <c r="N4534" i="1"/>
  <c r="M4520" i="1"/>
  <c r="N4520" i="1"/>
  <c r="M4513" i="1"/>
  <c r="N4513" i="1"/>
  <c r="M4506" i="1"/>
  <c r="N4506" i="1"/>
  <c r="M4493" i="1"/>
  <c r="N4493" i="1"/>
  <c r="M4466" i="1"/>
  <c r="N4466" i="1"/>
  <c r="M4458" i="1"/>
  <c r="N4458" i="1"/>
  <c r="M4450" i="1"/>
  <c r="N4450" i="1"/>
  <c r="M4436" i="1"/>
  <c r="N4436" i="1"/>
  <c r="M4429" i="1"/>
  <c r="N4429" i="1"/>
  <c r="M4422" i="1"/>
  <c r="N4422" i="1"/>
  <c r="M4415" i="1"/>
  <c r="N4415" i="1"/>
  <c r="M4401" i="1"/>
  <c r="N4401" i="1"/>
  <c r="M4393" i="1"/>
  <c r="N4393" i="1"/>
  <c r="M4385" i="1"/>
  <c r="N4385" i="1"/>
  <c r="M4370" i="1"/>
  <c r="N4370" i="1"/>
  <c r="M4362" i="1"/>
  <c r="N4362" i="1"/>
  <c r="M4348" i="1"/>
  <c r="N4348" i="1"/>
  <c r="M4325" i="1"/>
  <c r="N4325" i="1"/>
  <c r="M4318" i="1"/>
  <c r="N4318" i="1"/>
  <c r="M4311" i="1"/>
  <c r="N4311" i="1"/>
  <c r="M4303" i="1"/>
  <c r="N4303" i="1"/>
  <c r="M4296" i="1"/>
  <c r="N4296" i="1"/>
  <c r="M4283" i="1"/>
  <c r="N4283" i="1"/>
  <c r="M4269" i="1"/>
  <c r="N4269" i="1"/>
  <c r="M4246" i="1"/>
  <c r="N4246" i="1"/>
  <c r="M4238" i="1"/>
  <c r="N4238" i="1"/>
  <c r="M4230" i="1"/>
  <c r="N4230" i="1"/>
  <c r="M4222" i="1"/>
  <c r="N4222" i="1"/>
  <c r="M4215" i="1"/>
  <c r="N4215" i="1"/>
  <c r="M4207" i="1"/>
  <c r="N4207" i="1"/>
  <c r="M4200" i="1"/>
  <c r="N4200" i="1"/>
  <c r="M4192" i="1"/>
  <c r="N4192" i="1"/>
  <c r="M4178" i="1"/>
  <c r="N4178" i="1"/>
  <c r="M4170" i="1"/>
  <c r="N4170" i="1"/>
  <c r="M4163" i="1"/>
  <c r="N4163" i="1"/>
  <c r="M4156" i="1"/>
  <c r="N4156" i="1"/>
  <c r="M4149" i="1"/>
  <c r="N4149" i="1"/>
  <c r="M4134" i="1"/>
  <c r="N4134" i="1"/>
  <c r="M4126" i="1"/>
  <c r="N4126" i="1"/>
  <c r="M4118" i="1"/>
  <c r="N4118" i="1"/>
  <c r="M4110" i="1"/>
  <c r="N4110" i="1"/>
  <c r="M4104" i="1"/>
  <c r="N4104" i="1"/>
  <c r="M4097" i="1"/>
  <c r="N4097" i="1"/>
  <c r="M4090" i="1"/>
  <c r="N4090" i="1"/>
  <c r="N4075" i="1"/>
  <c r="M4075" i="1"/>
  <c r="M4060" i="1"/>
  <c r="N4060" i="1"/>
  <c r="M4053" i="1"/>
  <c r="N4053" i="1"/>
  <c r="M4047" i="1"/>
  <c r="N4047" i="1"/>
  <c r="M4039" i="1"/>
  <c r="N4039" i="1"/>
  <c r="M4032" i="1"/>
  <c r="N4032" i="1"/>
  <c r="M4024" i="1"/>
  <c r="N4024" i="1"/>
  <c r="M4002" i="1"/>
  <c r="N4002" i="1"/>
  <c r="M3987" i="1"/>
  <c r="N3987" i="1"/>
  <c r="M3979" i="1"/>
  <c r="N3979" i="1"/>
  <c r="M3963" i="1"/>
  <c r="N3963" i="1"/>
  <c r="M3955" i="1"/>
  <c r="N3955" i="1"/>
  <c r="M3947" i="1"/>
  <c r="N3947" i="1"/>
  <c r="M3939" i="1"/>
  <c r="N3939" i="1"/>
  <c r="M3931" i="1"/>
  <c r="N3931" i="1"/>
  <c r="M3917" i="1"/>
  <c r="N3917" i="1"/>
  <c r="M3902" i="1"/>
  <c r="N3902" i="1"/>
  <c r="M3894" i="1"/>
  <c r="N3894" i="1"/>
  <c r="M3887" i="1"/>
  <c r="N3887" i="1"/>
  <c r="M3879" i="1"/>
  <c r="N3879" i="1"/>
  <c r="M3872" i="1"/>
  <c r="N3872" i="1"/>
  <c r="M3864" i="1"/>
  <c r="N3864" i="1"/>
  <c r="M3842" i="1"/>
  <c r="N3842" i="1"/>
  <c r="M3826" i="1"/>
  <c r="N3826" i="1"/>
  <c r="M3818" i="1"/>
  <c r="N3818" i="1"/>
  <c r="M3810" i="1"/>
  <c r="N3810" i="1"/>
  <c r="M3802" i="1"/>
  <c r="N3802" i="1"/>
  <c r="M3796" i="1"/>
  <c r="N3796" i="1"/>
  <c r="M3789" i="1"/>
  <c r="N3789" i="1"/>
  <c r="M3775" i="1"/>
  <c r="N3775" i="1"/>
  <c r="M3767" i="1"/>
  <c r="N3767" i="1"/>
  <c r="M3759" i="1"/>
  <c r="N3759" i="1"/>
  <c r="M3751" i="1"/>
  <c r="N3751" i="1"/>
  <c r="M3728" i="1"/>
  <c r="N3728" i="1"/>
  <c r="M3721" i="1"/>
  <c r="N3721" i="1"/>
  <c r="M3713" i="1"/>
  <c r="N3713" i="1"/>
  <c r="M3705" i="1"/>
  <c r="N3705" i="1"/>
  <c r="M3697" i="1"/>
  <c r="N3697" i="1"/>
  <c r="M3689" i="1"/>
  <c r="N3689" i="1"/>
  <c r="M3681" i="1"/>
  <c r="N3681" i="1"/>
  <c r="M3674" i="1"/>
  <c r="N3674" i="1"/>
  <c r="M3666" i="1"/>
  <c r="N3666" i="1"/>
  <c r="M3659" i="1"/>
  <c r="N3659" i="1"/>
  <c r="M3638" i="1"/>
  <c r="N3638" i="1"/>
  <c r="M3632" i="1"/>
  <c r="N3632" i="1"/>
  <c r="M3626" i="1"/>
  <c r="N3626" i="1"/>
  <c r="M3612" i="1"/>
  <c r="N3612" i="1"/>
  <c r="M3604" i="1"/>
  <c r="N3604" i="1"/>
  <c r="M3596" i="1"/>
  <c r="N3596" i="1"/>
  <c r="M3588" i="1"/>
  <c r="N3588" i="1"/>
  <c r="M3581" i="1"/>
  <c r="N3581" i="1"/>
  <c r="M3573" i="1"/>
  <c r="N3573" i="1"/>
  <c r="M3565" i="1"/>
  <c r="N3565" i="1"/>
  <c r="M3550" i="1"/>
  <c r="N3550" i="1"/>
  <c r="M3543" i="1"/>
  <c r="N3543" i="1"/>
  <c r="M3535" i="1"/>
  <c r="N3535" i="1"/>
  <c r="M3528" i="1"/>
  <c r="N3528" i="1"/>
  <c r="M3520" i="1"/>
  <c r="N3520" i="1"/>
  <c r="M3512" i="1"/>
  <c r="N3512" i="1"/>
  <c r="M3505" i="1"/>
  <c r="N3505" i="1"/>
  <c r="M3497" i="1"/>
  <c r="N3497" i="1"/>
  <c r="M3489" i="1"/>
  <c r="N3489" i="1"/>
  <c r="M3482" i="1"/>
  <c r="N3482" i="1"/>
  <c r="M3475" i="1"/>
  <c r="N3475" i="1"/>
  <c r="M3460" i="1"/>
  <c r="N3460" i="1"/>
  <c r="M3452" i="1"/>
  <c r="N3452" i="1"/>
  <c r="M3444" i="1"/>
  <c r="N3444" i="1"/>
  <c r="M3436" i="1"/>
  <c r="N3436" i="1"/>
  <c r="M3428" i="1"/>
  <c r="N3428" i="1"/>
  <c r="M3413" i="1"/>
  <c r="N3413" i="1"/>
  <c r="M3406" i="1"/>
  <c r="N3406" i="1"/>
  <c r="M3400" i="1"/>
  <c r="N3400" i="1"/>
  <c r="M3393" i="1"/>
  <c r="N3393" i="1"/>
  <c r="M3386" i="1"/>
  <c r="N3386" i="1"/>
  <c r="M3365" i="1"/>
  <c r="N3365" i="1"/>
  <c r="M3357" i="1"/>
  <c r="N3357" i="1"/>
  <c r="M3349" i="1"/>
  <c r="N3349" i="1"/>
  <c r="M3342" i="1"/>
  <c r="N3342" i="1"/>
  <c r="M3334" i="1"/>
  <c r="N3334" i="1"/>
  <c r="M3327" i="1"/>
  <c r="N3327" i="1"/>
  <c r="M3319" i="1"/>
  <c r="N3319" i="1"/>
  <c r="M3311" i="1"/>
  <c r="N3311" i="1"/>
  <c r="M3296" i="1"/>
  <c r="N3296" i="1"/>
  <c r="M3288" i="1"/>
  <c r="N3288" i="1"/>
  <c r="M3274" i="1"/>
  <c r="N3274" i="1"/>
  <c r="M3261" i="1"/>
  <c r="N3261" i="1"/>
  <c r="M3253" i="1"/>
  <c r="N3253" i="1"/>
  <c r="M3216" i="1"/>
  <c r="N3216" i="1"/>
  <c r="M3208" i="1"/>
  <c r="N3208" i="1"/>
  <c r="M3200" i="1"/>
  <c r="N3200" i="1"/>
  <c r="M3192" i="1"/>
  <c r="N3192" i="1"/>
  <c r="M3184" i="1"/>
  <c r="N3184" i="1"/>
  <c r="M3176" i="1"/>
  <c r="N3176" i="1"/>
  <c r="M3169" i="1"/>
  <c r="N3169" i="1"/>
  <c r="M3162" i="1"/>
  <c r="N3162" i="1"/>
  <c r="M3155" i="1"/>
  <c r="N3155" i="1"/>
  <c r="M3148" i="1"/>
  <c r="N3148" i="1"/>
  <c r="M3140" i="1"/>
  <c r="N3140" i="1"/>
  <c r="M3133" i="1"/>
  <c r="N3133" i="1"/>
  <c r="M3125" i="1"/>
  <c r="N3125" i="1"/>
  <c r="M3117" i="1"/>
  <c r="N3117" i="1"/>
  <c r="M3110" i="1"/>
  <c r="N3110" i="1"/>
  <c r="M3103" i="1"/>
  <c r="N3103" i="1"/>
  <c r="M3095" i="1"/>
  <c r="N3095" i="1"/>
  <c r="M3087" i="1"/>
  <c r="N3087" i="1"/>
  <c r="M3080" i="1"/>
  <c r="N3080" i="1"/>
  <c r="M3072" i="1"/>
  <c r="N3072" i="1"/>
  <c r="M3057" i="1"/>
  <c r="N3057" i="1"/>
  <c r="M3049" i="1"/>
  <c r="N3049" i="1"/>
  <c r="M3041" i="1"/>
  <c r="N3041" i="1"/>
  <c r="M3033" i="1"/>
  <c r="N3033" i="1"/>
  <c r="M3018" i="1"/>
  <c r="N3018" i="1"/>
  <c r="M3010" i="1"/>
  <c r="N3010" i="1"/>
  <c r="M3002" i="1"/>
  <c r="N3002" i="1"/>
  <c r="M2995" i="1"/>
  <c r="N2995" i="1"/>
  <c r="M2988" i="1"/>
  <c r="N2988" i="1"/>
  <c r="M2980" i="1"/>
  <c r="N2980" i="1"/>
  <c r="M2972" i="1"/>
  <c r="N2972" i="1"/>
  <c r="M2952" i="1"/>
  <c r="N2952" i="1"/>
  <c r="M2938" i="1"/>
  <c r="N2938" i="1"/>
  <c r="M2923" i="1"/>
  <c r="N2923" i="1"/>
  <c r="M2917" i="1"/>
  <c r="N2917" i="1"/>
  <c r="M2909" i="1"/>
  <c r="N2909" i="1"/>
  <c r="M2902" i="1"/>
  <c r="N2902" i="1"/>
  <c r="M2881" i="1"/>
  <c r="N2881" i="1"/>
  <c r="M2873" i="1"/>
  <c r="N2873" i="1"/>
  <c r="M2865" i="1"/>
  <c r="N2865" i="1"/>
  <c r="M2858" i="1"/>
  <c r="N2858" i="1"/>
  <c r="M2850" i="1"/>
  <c r="N2850" i="1"/>
  <c r="M2842" i="1"/>
  <c r="N2842" i="1"/>
  <c r="M2820" i="1"/>
  <c r="N2820" i="1"/>
  <c r="M2813" i="1"/>
  <c r="N2813" i="1"/>
  <c r="M2779" i="1"/>
  <c r="N2779" i="1"/>
  <c r="M2772" i="1"/>
  <c r="N2772" i="1"/>
  <c r="M2765" i="1"/>
  <c r="N2765" i="1"/>
  <c r="M2758" i="1"/>
  <c r="N2758" i="1"/>
  <c r="M2750" i="1"/>
  <c r="N2750" i="1"/>
  <c r="M2742" i="1"/>
  <c r="N2742" i="1"/>
  <c r="M2734" i="1"/>
  <c r="N2734" i="1"/>
  <c r="M2727" i="1"/>
  <c r="N2727" i="1"/>
  <c r="M2719" i="1"/>
  <c r="N2719" i="1"/>
  <c r="M2711" i="1"/>
  <c r="N2711" i="1"/>
  <c r="M2704" i="1"/>
  <c r="N2704" i="1"/>
  <c r="M2696" i="1"/>
  <c r="N2696" i="1"/>
  <c r="M2689" i="1"/>
  <c r="N2689" i="1"/>
  <c r="M2681" i="1"/>
  <c r="N2681" i="1"/>
  <c r="M2673" i="1"/>
  <c r="N2673" i="1"/>
  <c r="M2666" i="1"/>
  <c r="N2666" i="1"/>
  <c r="M2659" i="1"/>
  <c r="N2659" i="1"/>
  <c r="M2652" i="1"/>
  <c r="N2652" i="1"/>
  <c r="M2645" i="1"/>
  <c r="N2645" i="1"/>
  <c r="M2637" i="1"/>
  <c r="N2637" i="1"/>
  <c r="M2623" i="1"/>
  <c r="N2623" i="1"/>
  <c r="M2615" i="1"/>
  <c r="N2615" i="1"/>
  <c r="M2607" i="1"/>
  <c r="N2607" i="1"/>
  <c r="M2600" i="1"/>
  <c r="N2600" i="1"/>
  <c r="M2592" i="1"/>
  <c r="N2592" i="1"/>
  <c r="M2584" i="1"/>
  <c r="N2584" i="1"/>
  <c r="M2576" i="1"/>
  <c r="N2576" i="1"/>
  <c r="M2568" i="1"/>
  <c r="N2568" i="1"/>
  <c r="M2561" i="1"/>
  <c r="N2561" i="1"/>
  <c r="M2553" i="1"/>
  <c r="N2553" i="1"/>
  <c r="M2545" i="1"/>
  <c r="N2545" i="1"/>
  <c r="M2537" i="1"/>
  <c r="N2537" i="1"/>
  <c r="M2523" i="1"/>
  <c r="N2523" i="1"/>
  <c r="M2515" i="1"/>
  <c r="N2515" i="1"/>
  <c r="M2507" i="1"/>
  <c r="N2507" i="1"/>
  <c r="M2499" i="1"/>
  <c r="N2499" i="1"/>
  <c r="M2477" i="1"/>
  <c r="N2477" i="1"/>
  <c r="M2470" i="1"/>
  <c r="N2470" i="1"/>
  <c r="M2463" i="1"/>
  <c r="N2463" i="1"/>
  <c r="M2456" i="1"/>
  <c r="N2456" i="1"/>
  <c r="M2441" i="1"/>
  <c r="N2441" i="1"/>
  <c r="M2434" i="1"/>
  <c r="N2434" i="1"/>
  <c r="M2426" i="1"/>
  <c r="N2426" i="1"/>
  <c r="M2418" i="1"/>
  <c r="N2418" i="1"/>
  <c r="M2403" i="1"/>
  <c r="N2403" i="1"/>
  <c r="M2389" i="1"/>
  <c r="N2389" i="1"/>
  <c r="M2383" i="1"/>
  <c r="N2383" i="1"/>
  <c r="M2375" i="1"/>
  <c r="N2375" i="1"/>
  <c r="M2367" i="1"/>
  <c r="N2367" i="1"/>
  <c r="M2352" i="1"/>
  <c r="N2352" i="1"/>
  <c r="M2344" i="1"/>
  <c r="N2344" i="1"/>
  <c r="M2337" i="1"/>
  <c r="N2337" i="1"/>
  <c r="M2329" i="1"/>
  <c r="N2329" i="1"/>
  <c r="M2321" i="1"/>
  <c r="N2321" i="1"/>
  <c r="M2313" i="1"/>
  <c r="N2313" i="1"/>
  <c r="M2305" i="1"/>
  <c r="N2305" i="1"/>
  <c r="M2297" i="1"/>
  <c r="N2297" i="1"/>
  <c r="M2285" i="1"/>
  <c r="N2285" i="1"/>
  <c r="M2278" i="1"/>
  <c r="N2278" i="1"/>
  <c r="M2270" i="1"/>
  <c r="N2270" i="1"/>
  <c r="M2263" i="1"/>
  <c r="N2263" i="1"/>
  <c r="M2255" i="1"/>
  <c r="N2255" i="1"/>
  <c r="M2248" i="1"/>
  <c r="N2248" i="1"/>
  <c r="M2240" i="1"/>
  <c r="N2240" i="1"/>
  <c r="M2233" i="1"/>
  <c r="N2233" i="1"/>
  <c r="M2225" i="1"/>
  <c r="N2225" i="1"/>
  <c r="M2217" i="1"/>
  <c r="N2217" i="1"/>
  <c r="M2209" i="1"/>
  <c r="N2209" i="1"/>
  <c r="M2201" i="1"/>
  <c r="N2201" i="1"/>
  <c r="M2186" i="1"/>
  <c r="N2186" i="1"/>
  <c r="M2179" i="1"/>
  <c r="N2179" i="1"/>
  <c r="M2171" i="1"/>
  <c r="N2171" i="1"/>
  <c r="M2163" i="1"/>
  <c r="N2163" i="1"/>
  <c r="M2155" i="1"/>
  <c r="N2155" i="1"/>
  <c r="M2141" i="1"/>
  <c r="N2141" i="1"/>
  <c r="M2133" i="1"/>
  <c r="N2133" i="1"/>
  <c r="M2125" i="1"/>
  <c r="N2125" i="1"/>
  <c r="M2117" i="1"/>
  <c r="N2117" i="1"/>
  <c r="M2110" i="1"/>
  <c r="N2110" i="1"/>
  <c r="M2103" i="1"/>
  <c r="N2103" i="1"/>
  <c r="M2096" i="1"/>
  <c r="N2096" i="1"/>
  <c r="M2083" i="1"/>
  <c r="N2083" i="1"/>
  <c r="M2075" i="1"/>
  <c r="N2075" i="1"/>
  <c r="M2067" i="1"/>
  <c r="N2067" i="1"/>
  <c r="M2059" i="1"/>
  <c r="N2059" i="1"/>
  <c r="M2051" i="1"/>
  <c r="N2051" i="1"/>
  <c r="M2043" i="1"/>
  <c r="N2043" i="1"/>
  <c r="M2036" i="1"/>
  <c r="N2036" i="1"/>
  <c r="M2028" i="1"/>
  <c r="N2028" i="1"/>
  <c r="M2021" i="1"/>
  <c r="N2021" i="1"/>
  <c r="M2014" i="1"/>
  <c r="N2014" i="1"/>
  <c r="M2006" i="1"/>
  <c r="N2006" i="1"/>
  <c r="M1998" i="1"/>
  <c r="N1998" i="1"/>
  <c r="M1990" i="1"/>
  <c r="N1990" i="1"/>
  <c r="M1982" i="1"/>
  <c r="N1982" i="1"/>
  <c r="M1967" i="1"/>
  <c r="N1967" i="1"/>
  <c r="M1961" i="1"/>
  <c r="N1961" i="1"/>
  <c r="M1939" i="1"/>
  <c r="N1939" i="1"/>
  <c r="M1931" i="1"/>
  <c r="N1931" i="1"/>
  <c r="M1923" i="1"/>
  <c r="N1923" i="1"/>
  <c r="M1916" i="1"/>
  <c r="N1916" i="1"/>
  <c r="M1909" i="1"/>
  <c r="N1909" i="1"/>
  <c r="M1902" i="1"/>
  <c r="N1902" i="1"/>
  <c r="M1895" i="1"/>
  <c r="N1895" i="1"/>
  <c r="M1888" i="1"/>
  <c r="N1888" i="1"/>
  <c r="M1880" i="1"/>
  <c r="N1880" i="1"/>
  <c r="M1874" i="1"/>
  <c r="N1874" i="1"/>
  <c r="M1866" i="1"/>
  <c r="N1866" i="1"/>
  <c r="M1858" i="1"/>
  <c r="N1858" i="1"/>
  <c r="M1842" i="1"/>
  <c r="N1842" i="1"/>
  <c r="M1835" i="1"/>
  <c r="N1835" i="1"/>
  <c r="M1827" i="1"/>
  <c r="N1827" i="1"/>
  <c r="M1819" i="1"/>
  <c r="N1819" i="1"/>
  <c r="M1812" i="1"/>
  <c r="N1812" i="1"/>
  <c r="M1804" i="1"/>
  <c r="N1804" i="1"/>
  <c r="M1796" i="1"/>
  <c r="N1796" i="1"/>
  <c r="M1781" i="1"/>
  <c r="N1781" i="1"/>
  <c r="M1773" i="1"/>
  <c r="N1773" i="1"/>
  <c r="M1766" i="1"/>
  <c r="N1766" i="1"/>
  <c r="M1758" i="1"/>
  <c r="N1758" i="1"/>
  <c r="M1750" i="1"/>
  <c r="N1750" i="1"/>
  <c r="M1742" i="1"/>
  <c r="N1742" i="1"/>
  <c r="M1734" i="1"/>
  <c r="N1734" i="1"/>
  <c r="M1726" i="1"/>
  <c r="N1726" i="1"/>
  <c r="M1718" i="1"/>
  <c r="N1718" i="1"/>
  <c r="M1710" i="1"/>
  <c r="N1710" i="1"/>
  <c r="M1703" i="1"/>
  <c r="N1703" i="1"/>
  <c r="M1696" i="1"/>
  <c r="N1696" i="1"/>
  <c r="M1688" i="1"/>
  <c r="N1688" i="1"/>
  <c r="M1680" i="1"/>
  <c r="N1680" i="1"/>
  <c r="M1672" i="1"/>
  <c r="N1672" i="1"/>
  <c r="N1665" i="1"/>
  <c r="M1665" i="1"/>
  <c r="M1657" i="1"/>
  <c r="N1657" i="1"/>
  <c r="M1649" i="1"/>
  <c r="N1649" i="1"/>
  <c r="M1641" i="1"/>
  <c r="N1641" i="1"/>
  <c r="M1633" i="1"/>
  <c r="N1633" i="1"/>
  <c r="M1625" i="1"/>
  <c r="N1625" i="1"/>
  <c r="M1618" i="1"/>
  <c r="N1618" i="1"/>
  <c r="M1611" i="1"/>
  <c r="N1611" i="1"/>
  <c r="M1597" i="1"/>
  <c r="N1597" i="1"/>
  <c r="M1590" i="1"/>
  <c r="N1590" i="1"/>
  <c r="M1583" i="1"/>
  <c r="N1583" i="1"/>
  <c r="M1576" i="1"/>
  <c r="N1576" i="1"/>
  <c r="M1568" i="1"/>
  <c r="N1568" i="1"/>
  <c r="M1560" i="1"/>
  <c r="N1560" i="1"/>
  <c r="M1553" i="1"/>
  <c r="N1553" i="1"/>
  <c r="M1545" i="1"/>
  <c r="N1545" i="1"/>
  <c r="M1537" i="1"/>
  <c r="N1537" i="1"/>
  <c r="M1529" i="1"/>
  <c r="N1529" i="1"/>
  <c r="M1521" i="1"/>
  <c r="N1521" i="1"/>
  <c r="M1507" i="1"/>
  <c r="N1507" i="1"/>
  <c r="M1500" i="1"/>
  <c r="N1500" i="1"/>
  <c r="M1493" i="1"/>
  <c r="N1493" i="1"/>
  <c r="M1486" i="1"/>
  <c r="N1486" i="1"/>
  <c r="M1471" i="1"/>
  <c r="N1471" i="1"/>
  <c r="M1464" i="1"/>
  <c r="N1464" i="1"/>
  <c r="M1457" i="1"/>
  <c r="N1457" i="1"/>
  <c r="M1450" i="1"/>
  <c r="N1450" i="1"/>
  <c r="M1443" i="1"/>
  <c r="N1443" i="1"/>
  <c r="M1436" i="1"/>
  <c r="N1436" i="1"/>
  <c r="M1428" i="1"/>
  <c r="N1428" i="1"/>
  <c r="M1421" i="1"/>
  <c r="N1421" i="1"/>
  <c r="M1409" i="1"/>
  <c r="N1409" i="1"/>
  <c r="M1402" i="1"/>
  <c r="N1402" i="1"/>
  <c r="M1394" i="1"/>
  <c r="N1394" i="1"/>
  <c r="M1386" i="1"/>
  <c r="N1386" i="1"/>
  <c r="M1379" i="1"/>
  <c r="N1379" i="1"/>
  <c r="M1373" i="1"/>
  <c r="N1373" i="1"/>
  <c r="M1367" i="1"/>
  <c r="N1367" i="1"/>
  <c r="M1345" i="1"/>
  <c r="N1345" i="1"/>
  <c r="M1338" i="1"/>
  <c r="N1338" i="1"/>
  <c r="M1322" i="1"/>
  <c r="N1322" i="1"/>
  <c r="M1315" i="1"/>
  <c r="N1315" i="1"/>
  <c r="M1302" i="1"/>
  <c r="N1302" i="1"/>
  <c r="M1294" i="1"/>
  <c r="N1294" i="1"/>
  <c r="M1279" i="1"/>
  <c r="N1279" i="1"/>
  <c r="M1271" i="1"/>
  <c r="N1271" i="1"/>
  <c r="M1258" i="1"/>
  <c r="N1258" i="1"/>
  <c r="M1251" i="1"/>
  <c r="N1251" i="1"/>
  <c r="M1245" i="1"/>
  <c r="N1245" i="1"/>
  <c r="M1238" i="1"/>
  <c r="N1238" i="1"/>
  <c r="M1230" i="1"/>
  <c r="N1230" i="1"/>
  <c r="M1223" i="1"/>
  <c r="N1223" i="1"/>
  <c r="M1215" i="1"/>
  <c r="N1215" i="1"/>
  <c r="M1207" i="1"/>
  <c r="N1207" i="1"/>
  <c r="M1187" i="1"/>
  <c r="N1187" i="1"/>
  <c r="M1179" i="1"/>
  <c r="N1179" i="1"/>
  <c r="M1171" i="1"/>
  <c r="N1171" i="1"/>
  <c r="M1163" i="1"/>
  <c r="N1163" i="1"/>
  <c r="M1155" i="1"/>
  <c r="N1155" i="1"/>
  <c r="M1148" i="1"/>
  <c r="N1148" i="1"/>
  <c r="M1142" i="1"/>
  <c r="N1142" i="1"/>
  <c r="M1126" i="1"/>
  <c r="N1126" i="1"/>
  <c r="M1119" i="1"/>
  <c r="N1119" i="1"/>
  <c r="M1111" i="1"/>
  <c r="N1111" i="1"/>
  <c r="M1103" i="1"/>
  <c r="N1103" i="1"/>
  <c r="M1089" i="1"/>
  <c r="N1089" i="1"/>
  <c r="M1074" i="1"/>
  <c r="N1074" i="1"/>
  <c r="M1066" i="1"/>
  <c r="N1066" i="1"/>
  <c r="M1058" i="1"/>
  <c r="N1058" i="1"/>
  <c r="M1051" i="1"/>
  <c r="N1051" i="1"/>
  <c r="M1044" i="1"/>
  <c r="N1044" i="1"/>
  <c r="M1036" i="1"/>
  <c r="N1036" i="1"/>
  <c r="M1021" i="1"/>
  <c r="N1021" i="1"/>
  <c r="M1013" i="1"/>
  <c r="N1013" i="1"/>
  <c r="M1006" i="1"/>
  <c r="N1006" i="1"/>
  <c r="M999" i="1"/>
  <c r="N999" i="1"/>
  <c r="M991" i="1"/>
  <c r="N991" i="1"/>
  <c r="M984" i="1"/>
  <c r="N984" i="1"/>
  <c r="M976" i="1"/>
  <c r="N976" i="1"/>
  <c r="M961" i="1"/>
  <c r="N961" i="1"/>
  <c r="M953" i="1"/>
  <c r="N953" i="1"/>
  <c r="M946" i="1"/>
  <c r="N946" i="1"/>
  <c r="M933" i="1"/>
  <c r="N933" i="1"/>
  <c r="M925" i="1"/>
  <c r="N925" i="1"/>
  <c r="M917" i="1"/>
  <c r="N917" i="1"/>
  <c r="M910" i="1"/>
  <c r="N910" i="1"/>
  <c r="M902" i="1"/>
  <c r="N902" i="1"/>
  <c r="M894" i="1"/>
  <c r="N894" i="1"/>
  <c r="M888" i="1"/>
  <c r="N888" i="1"/>
  <c r="M880" i="1"/>
  <c r="N880" i="1"/>
  <c r="M872" i="1"/>
  <c r="N872" i="1"/>
  <c r="M864" i="1"/>
  <c r="N864" i="1"/>
  <c r="M856" i="1"/>
  <c r="N856" i="1"/>
  <c r="M841" i="1"/>
  <c r="N841" i="1"/>
  <c r="M834" i="1"/>
  <c r="N834" i="1"/>
  <c r="M826" i="1"/>
  <c r="N826" i="1"/>
  <c r="M818" i="1"/>
  <c r="N818" i="1"/>
  <c r="M811" i="1"/>
  <c r="N811" i="1"/>
  <c r="M803" i="1"/>
  <c r="N803" i="1"/>
  <c r="M796" i="1"/>
  <c r="N796" i="1"/>
  <c r="M788" i="1"/>
  <c r="N788" i="1"/>
  <c r="M780" i="1"/>
  <c r="N780" i="1"/>
  <c r="M772" i="1"/>
  <c r="N772" i="1"/>
  <c r="M765" i="1"/>
  <c r="N765" i="1"/>
  <c r="M751" i="1"/>
  <c r="N751" i="1"/>
  <c r="M743" i="1"/>
  <c r="N743" i="1"/>
  <c r="M735" i="1"/>
  <c r="N735" i="1"/>
  <c r="M727" i="1"/>
  <c r="N727" i="1"/>
  <c r="M719" i="1"/>
  <c r="N719" i="1"/>
  <c r="M705" i="1"/>
  <c r="N705" i="1"/>
  <c r="M690" i="1"/>
  <c r="N690" i="1"/>
  <c r="M670" i="1"/>
  <c r="N670" i="1"/>
  <c r="M664" i="1"/>
  <c r="N664" i="1"/>
  <c r="M657" i="1"/>
  <c r="N657" i="1"/>
  <c r="M649" i="1"/>
  <c r="N649" i="1"/>
  <c r="M641" i="1"/>
  <c r="N641" i="1"/>
  <c r="M634" i="1"/>
  <c r="N634" i="1"/>
  <c r="M627" i="1"/>
  <c r="N627" i="1"/>
  <c r="M619" i="1"/>
  <c r="N619" i="1"/>
  <c r="M611" i="1"/>
  <c r="N611" i="1"/>
  <c r="M603" i="1"/>
  <c r="N603" i="1"/>
  <c r="M595" i="1"/>
  <c r="N595" i="1"/>
  <c r="M588" i="1"/>
  <c r="N588" i="1"/>
  <c r="M580" i="1"/>
  <c r="N580" i="1"/>
  <c r="M573" i="1"/>
  <c r="N573" i="1"/>
  <c r="M565" i="1"/>
  <c r="N565" i="1"/>
  <c r="M557" i="1"/>
  <c r="N557" i="1"/>
  <c r="M549" i="1"/>
  <c r="N549" i="1"/>
  <c r="M541" i="1"/>
  <c r="N541" i="1"/>
  <c r="M533" i="1"/>
  <c r="N533" i="1"/>
  <c r="M525" i="1"/>
  <c r="N525" i="1"/>
  <c r="M517" i="1"/>
  <c r="N517" i="1"/>
  <c r="M510" i="1"/>
  <c r="N510" i="1"/>
  <c r="M495" i="1"/>
  <c r="N495" i="1"/>
  <c r="M481" i="1"/>
  <c r="N481" i="1"/>
  <c r="M474" i="1"/>
  <c r="N474" i="1"/>
  <c r="M467" i="1"/>
  <c r="N467" i="1"/>
  <c r="M460" i="1"/>
  <c r="N460" i="1"/>
  <c r="M453" i="1"/>
  <c r="N453" i="1"/>
  <c r="M445" i="1"/>
  <c r="N445" i="1"/>
  <c r="M431" i="1"/>
  <c r="N431" i="1"/>
  <c r="M424" i="1"/>
  <c r="N424" i="1"/>
  <c r="M417" i="1"/>
  <c r="N417" i="1"/>
  <c r="M410" i="1"/>
  <c r="N410" i="1"/>
  <c r="M403" i="1"/>
  <c r="N403" i="1"/>
  <c r="M396" i="1"/>
  <c r="N396" i="1"/>
  <c r="M388" i="1"/>
  <c r="N388" i="1"/>
  <c r="M381" i="1"/>
  <c r="N381" i="1"/>
  <c r="M373" i="1"/>
  <c r="N373" i="1"/>
  <c r="M367" i="1"/>
  <c r="N367" i="1"/>
  <c r="M359" i="1"/>
  <c r="N359" i="1"/>
  <c r="M352" i="1"/>
  <c r="N352" i="1"/>
  <c r="M344" i="1"/>
  <c r="N344" i="1"/>
  <c r="M337" i="1"/>
  <c r="N337" i="1"/>
  <c r="M329" i="1"/>
  <c r="N329" i="1"/>
  <c r="M314" i="1"/>
  <c r="N314" i="1"/>
  <c r="M307" i="1"/>
  <c r="N307" i="1"/>
  <c r="M299" i="1"/>
  <c r="N299" i="1"/>
  <c r="M291" i="1"/>
  <c r="N291" i="1"/>
  <c r="M284" i="1"/>
  <c r="N284" i="1"/>
  <c r="M276" i="1"/>
  <c r="N276" i="1"/>
  <c r="M269" i="1"/>
  <c r="N269" i="1"/>
  <c r="M261" i="1"/>
  <c r="N261" i="1"/>
  <c r="M246" i="1"/>
  <c r="N246" i="1"/>
  <c r="M238" i="1"/>
  <c r="N238" i="1"/>
  <c r="M231" i="1"/>
  <c r="N231" i="1"/>
  <c r="M223" i="1"/>
  <c r="N223" i="1"/>
  <c r="M216" i="1"/>
  <c r="N216" i="1"/>
  <c r="M201" i="1"/>
  <c r="N201" i="1"/>
  <c r="M186" i="1"/>
  <c r="N186" i="1"/>
  <c r="M179" i="1"/>
  <c r="N179" i="1"/>
  <c r="M171" i="1"/>
  <c r="N171" i="1"/>
  <c r="M163" i="1"/>
  <c r="N163" i="1"/>
  <c r="M156" i="1"/>
  <c r="N156" i="1"/>
  <c r="M148" i="1"/>
  <c r="N148" i="1"/>
  <c r="M133" i="1"/>
  <c r="N133" i="1"/>
  <c r="M125" i="1"/>
  <c r="N125" i="1"/>
  <c r="M117" i="1"/>
  <c r="N117" i="1"/>
  <c r="M109" i="1"/>
  <c r="N109" i="1"/>
  <c r="M102" i="1"/>
  <c r="N102" i="1"/>
  <c r="M94" i="1"/>
  <c r="N94" i="1"/>
  <c r="M86" i="1"/>
  <c r="N86" i="1"/>
  <c r="M78" i="1"/>
  <c r="N78" i="1"/>
  <c r="M71" i="1"/>
  <c r="N71" i="1"/>
  <c r="M63" i="1"/>
  <c r="N63" i="1"/>
  <c r="M55" i="1"/>
  <c r="N55" i="1"/>
  <c r="M47" i="1"/>
  <c r="N47" i="1"/>
  <c r="M26" i="1"/>
  <c r="N26" i="1"/>
  <c r="M18" i="1"/>
  <c r="N18" i="1"/>
  <c r="M10" i="1"/>
  <c r="N10" i="1"/>
  <c r="M2" i="1"/>
  <c r="N2" i="1"/>
  <c r="M2931" i="1"/>
  <c r="N4718" i="1"/>
  <c r="N4499" i="1"/>
  <c r="N4443" i="1"/>
  <c r="N4326" i="1"/>
  <c r="N3964" i="1"/>
  <c r="N3019" i="1"/>
  <c r="N2562" i="1"/>
  <c r="N5501" i="1"/>
  <c r="N5456" i="1"/>
  <c r="N5228" i="1"/>
  <c r="N5088" i="1"/>
  <c r="N4878" i="1"/>
  <c r="N4494" i="1"/>
  <c r="N3231" i="1"/>
  <c r="N2546" i="1"/>
  <c r="N2044" i="1"/>
  <c r="N113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<sst xmlns="http://schemas.openxmlformats.org/spreadsheetml/2006/main" count="41261" uniqueCount="6856">
  <si>
    <t>Lead ID</t>
  </si>
  <si>
    <t>Signup Date</t>
  </si>
  <si>
    <t>Channel</t>
  </si>
  <si>
    <t>Campaign</t>
  </si>
  <si>
    <t>Device</t>
  </si>
  <si>
    <t>Region</t>
  </si>
  <si>
    <t>Funnel Stage Reached</t>
  </si>
  <si>
    <t>Days to Convert</t>
  </si>
  <si>
    <t>Plan</t>
  </si>
  <si>
    <t>Deal Value</t>
  </si>
  <si>
    <t>LD4232</t>
  </si>
  <si>
    <t>Social Media</t>
  </si>
  <si>
    <t>Instagram Ads</t>
  </si>
  <si>
    <t>Desktop</t>
  </si>
  <si>
    <t>Asia Pacific</t>
  </si>
  <si>
    <t>Lead</t>
  </si>
  <si>
    <t>LD2609</t>
  </si>
  <si>
    <t>Paid Search</t>
  </si>
  <si>
    <t>Google Ads - Brand</t>
  </si>
  <si>
    <t>North America</t>
  </si>
  <si>
    <t>LD6547</t>
  </si>
  <si>
    <t>Mobile</t>
  </si>
  <si>
    <t>Europe</t>
  </si>
  <si>
    <t>MQL</t>
  </si>
  <si>
    <t>LD1436</t>
  </si>
  <si>
    <t>Direct</t>
  </si>
  <si>
    <t>Direct / Type-in</t>
  </si>
  <si>
    <t>LD3184</t>
  </si>
  <si>
    <t>Latin America</t>
  </si>
  <si>
    <t>SQL</t>
  </si>
  <si>
    <t>LD6076</t>
  </si>
  <si>
    <t>Email Marketing</t>
  </si>
  <si>
    <t>Monthly Newsletter</t>
  </si>
  <si>
    <t>LD4768</t>
  </si>
  <si>
    <t>Promo Blast</t>
  </si>
  <si>
    <t>LD7669</t>
  </si>
  <si>
    <t>Referral</t>
  </si>
  <si>
    <t>Affiliate Program</t>
  </si>
  <si>
    <t>LD3284</t>
  </si>
  <si>
    <t>LD3551</t>
  </si>
  <si>
    <t>LD7031</t>
  </si>
  <si>
    <t>LD6706</t>
  </si>
  <si>
    <t>Customer</t>
  </si>
  <si>
    <t>Basic</t>
  </si>
  <si>
    <t>LD2913</t>
  </si>
  <si>
    <t>LD7137</t>
  </si>
  <si>
    <t>Organic Search</t>
  </si>
  <si>
    <t>Blog SEO</t>
  </si>
  <si>
    <t>Tablet</t>
  </si>
  <si>
    <t>LD6975</t>
  </si>
  <si>
    <t>Partner Program</t>
  </si>
  <si>
    <t>LD4427</t>
  </si>
  <si>
    <t>LD2050</t>
  </si>
  <si>
    <t>Google Ads - Generic</t>
  </si>
  <si>
    <t>LD5148</t>
  </si>
  <si>
    <t>LD1536</t>
  </si>
  <si>
    <t>Landing Page SEO</t>
  </si>
  <si>
    <t>LD5772</t>
  </si>
  <si>
    <t>LD4908</t>
  </si>
  <si>
    <t>LD7727</t>
  </si>
  <si>
    <t>LD7437</t>
  </si>
  <si>
    <t>LD6782</t>
  </si>
  <si>
    <t>LD7253</t>
  </si>
  <si>
    <t>LD3448</t>
  </si>
  <si>
    <t>LD1394</t>
  </si>
  <si>
    <t>LD4129</t>
  </si>
  <si>
    <t>LD4873</t>
  </si>
  <si>
    <t>LD5920</t>
  </si>
  <si>
    <t>LinkedIn Ads</t>
  </si>
  <si>
    <t>LD4319</t>
  </si>
  <si>
    <t>LD7730</t>
  </si>
  <si>
    <t>LD6775</t>
  </si>
  <si>
    <t>LD2373</t>
  </si>
  <si>
    <t>LD5465</t>
  </si>
  <si>
    <t>LD4046</t>
  </si>
  <si>
    <t>LD5152</t>
  </si>
  <si>
    <t>LD2861</t>
  </si>
  <si>
    <t>LD1102</t>
  </si>
  <si>
    <t>LD5289</t>
  </si>
  <si>
    <t>Facebook Ads</t>
  </si>
  <si>
    <t>LD3182</t>
  </si>
  <si>
    <t>LD2534</t>
  </si>
  <si>
    <t>LD6352</t>
  </si>
  <si>
    <t>LD7041</t>
  </si>
  <si>
    <t>LD1562</t>
  </si>
  <si>
    <t>LD3226</t>
  </si>
  <si>
    <t>LD7490</t>
  </si>
  <si>
    <t>Pro</t>
  </si>
  <si>
    <t>LD5393</t>
  </si>
  <si>
    <t>LD1218</t>
  </si>
  <si>
    <t>LD4300</t>
  </si>
  <si>
    <t>LD1829</t>
  </si>
  <si>
    <t>LD3667</t>
  </si>
  <si>
    <t>LD3677</t>
  </si>
  <si>
    <t>LD5980</t>
  </si>
  <si>
    <t>LD2116</t>
  </si>
  <si>
    <t>LD4482</t>
  </si>
  <si>
    <t>LD4396</t>
  </si>
  <si>
    <t>LD7170</t>
  </si>
  <si>
    <t>LD6764</t>
  </si>
  <si>
    <t>LD7749</t>
  </si>
  <si>
    <t>LD4289</t>
  </si>
  <si>
    <t>LD1051</t>
  </si>
  <si>
    <t>LD4766</t>
  </si>
  <si>
    <t>LD2023</t>
  </si>
  <si>
    <t>LD2198</t>
  </si>
  <si>
    <t>LD7423</t>
  </si>
  <si>
    <t>LD2413</t>
  </si>
  <si>
    <t>LD3578</t>
  </si>
  <si>
    <t>LD3120</t>
  </si>
  <si>
    <t>LD7126</t>
  </si>
  <si>
    <t>LD3884</t>
  </si>
  <si>
    <t>LD2176</t>
  </si>
  <si>
    <t>LD7300</t>
  </si>
  <si>
    <t>LD5625</t>
  </si>
  <si>
    <t>LD6929</t>
  </si>
  <si>
    <t>LD2085</t>
  </si>
  <si>
    <t>LD5272</t>
  </si>
  <si>
    <t>LD6665</t>
  </si>
  <si>
    <t>LD1834</t>
  </si>
  <si>
    <t>LD7544</t>
  </si>
  <si>
    <t>LD7251</t>
  </si>
  <si>
    <t>LD7755</t>
  </si>
  <si>
    <t>LD2324</t>
  </si>
  <si>
    <t>LD3304</t>
  </si>
  <si>
    <t>LD1593</t>
  </si>
  <si>
    <t>LD6821</t>
  </si>
  <si>
    <t>LD2560</t>
  </si>
  <si>
    <t>LD1231</t>
  </si>
  <si>
    <t>LD2742</t>
  </si>
  <si>
    <t>LD3654</t>
  </si>
  <si>
    <t>LD2434</t>
  </si>
  <si>
    <t>LD3901</t>
  </si>
  <si>
    <t>LD4919</t>
  </si>
  <si>
    <t>LD1469</t>
  </si>
  <si>
    <t>LD4297</t>
  </si>
  <si>
    <t>LD4136</t>
  </si>
  <si>
    <t>LD4324</t>
  </si>
  <si>
    <t>LD1801</t>
  </si>
  <si>
    <t>LD7671</t>
  </si>
  <si>
    <t>LD1535</t>
  </si>
  <si>
    <t>LD6332</t>
  </si>
  <si>
    <t>LD5012</t>
  </si>
  <si>
    <t>LD7503</t>
  </si>
  <si>
    <t>LD2840</t>
  </si>
  <si>
    <t>LD6689</t>
  </si>
  <si>
    <t>LD6474</t>
  </si>
  <si>
    <t>LD6544</t>
  </si>
  <si>
    <t>LD4796</t>
  </si>
  <si>
    <t>LD7756</t>
  </si>
  <si>
    <t>LD3390</t>
  </si>
  <si>
    <t>LD6763</t>
  </si>
  <si>
    <t>LD3478</t>
  </si>
  <si>
    <t>LD6119</t>
  </si>
  <si>
    <t>LD6187</t>
  </si>
  <si>
    <t>LD3155</t>
  </si>
  <si>
    <t>LD2502</t>
  </si>
  <si>
    <t>LD4207</t>
  </si>
  <si>
    <t>LD1240</t>
  </si>
  <si>
    <t>LD5056</t>
  </si>
  <si>
    <t>LD2515</t>
  </si>
  <si>
    <t>LD3927</t>
  </si>
  <si>
    <t>LD6433</t>
  </si>
  <si>
    <t>LD5862</t>
  </si>
  <si>
    <t>LD1133</t>
  </si>
  <si>
    <t>LD7628</t>
  </si>
  <si>
    <t>LD1539</t>
  </si>
  <si>
    <t>LD2787</t>
  </si>
  <si>
    <t>LD5175</t>
  </si>
  <si>
    <t>LD4154</t>
  </si>
  <si>
    <t>LD7748</t>
  </si>
  <si>
    <t>LD7049</t>
  </si>
  <si>
    <t>LD1379</t>
  </si>
  <si>
    <t>LD4195</t>
  </si>
  <si>
    <t>LD4358</t>
  </si>
  <si>
    <t>LD7579</t>
  </si>
  <si>
    <t>LD5648</t>
  </si>
  <si>
    <t>LD5835</t>
  </si>
  <si>
    <t>LD4683</t>
  </si>
  <si>
    <t>LD4443</t>
  </si>
  <si>
    <t>LD1180</t>
  </si>
  <si>
    <t>LD6293</t>
  </si>
  <si>
    <t>LD4384</t>
  </si>
  <si>
    <t>Enterprise</t>
  </si>
  <si>
    <t>LD3523</t>
  </si>
  <si>
    <t>LD3465</t>
  </si>
  <si>
    <t>LD3376</t>
  </si>
  <si>
    <t>LD4540</t>
  </si>
  <si>
    <t>LD5935</t>
  </si>
  <si>
    <t>LD2671</t>
  </si>
  <si>
    <t>LD5318</t>
  </si>
  <si>
    <t>LD5740</t>
  </si>
  <si>
    <t>LD6657</t>
  </si>
  <si>
    <t>LD2006</t>
  </si>
  <si>
    <t>LD2164</t>
  </si>
  <si>
    <t>LD4615</t>
  </si>
  <si>
    <t>LD6702</t>
  </si>
  <si>
    <t>LD3365</t>
  </si>
  <si>
    <t>LD5801</t>
  </si>
  <si>
    <t>LD5007</t>
  </si>
  <si>
    <t>LD4403</t>
  </si>
  <si>
    <t>LD2873</t>
  </si>
  <si>
    <t>LD4936</t>
  </si>
  <si>
    <t>LD1545</t>
  </si>
  <si>
    <t>LD3759</t>
  </si>
  <si>
    <t>LD7392</t>
  </si>
  <si>
    <t>LD6928</t>
  </si>
  <si>
    <t>LD3143</t>
  </si>
  <si>
    <t>LD2091</t>
  </si>
  <si>
    <t>LD7526</t>
  </si>
  <si>
    <t>LD5585</t>
  </si>
  <si>
    <t>LD3992</t>
  </si>
  <si>
    <t>LD7022</t>
  </si>
  <si>
    <t>LD4470</t>
  </si>
  <si>
    <t>LD3543</t>
  </si>
  <si>
    <t>LD4631</t>
  </si>
  <si>
    <t>LD6820</t>
  </si>
  <si>
    <t>LD5273</t>
  </si>
  <si>
    <t>LD5926</t>
  </si>
  <si>
    <t>LD5288</t>
  </si>
  <si>
    <t>LD3520</t>
  </si>
  <si>
    <t>LD7657</t>
  </si>
  <si>
    <t>LD4910</t>
  </si>
  <si>
    <t>LD1234</t>
  </si>
  <si>
    <t>LD2624</t>
  </si>
  <si>
    <t>LD7230</t>
  </si>
  <si>
    <t>LD5829</t>
  </si>
  <si>
    <t>LD4590</t>
  </si>
  <si>
    <t>LD3489</t>
  </si>
  <si>
    <t>LD7013</t>
  </si>
  <si>
    <t>LD1062</t>
  </si>
  <si>
    <t>LD5280</t>
  </si>
  <si>
    <t>LD1497</t>
  </si>
  <si>
    <t>LD1764</t>
  </si>
  <si>
    <t>LD2363</t>
  </si>
  <si>
    <t>LD7630</t>
  </si>
  <si>
    <t>LD7680</t>
  </si>
  <si>
    <t>LD3685</t>
  </si>
  <si>
    <t>LD6931</t>
  </si>
  <si>
    <t>LD4827</t>
  </si>
  <si>
    <t>LD2408</t>
  </si>
  <si>
    <t>LD4291</t>
  </si>
  <si>
    <t>LD1621</t>
  </si>
  <si>
    <t>LD2298</t>
  </si>
  <si>
    <t>LD6962</t>
  </si>
  <si>
    <t>LD5077</t>
  </si>
  <si>
    <t>LD1020</t>
  </si>
  <si>
    <t>LD1586</t>
  </si>
  <si>
    <t>LD5373</t>
  </si>
  <si>
    <t>LD1430</t>
  </si>
  <si>
    <t>LD5602</t>
  </si>
  <si>
    <t>LD2513</t>
  </si>
  <si>
    <t>LD2579</t>
  </si>
  <si>
    <t>LD2245</t>
  </si>
  <si>
    <t>LD2417</t>
  </si>
  <si>
    <t>LD1734</t>
  </si>
  <si>
    <t>LD4264</t>
  </si>
  <si>
    <t>LD2596</t>
  </si>
  <si>
    <t>LD1757</t>
  </si>
  <si>
    <t>LD6565</t>
  </si>
  <si>
    <t>LD1322</t>
  </si>
  <si>
    <t>LD2010</t>
  </si>
  <si>
    <t>LD7209</t>
  </si>
  <si>
    <t>LD1684</t>
  </si>
  <si>
    <t>LD4255</t>
  </si>
  <si>
    <t>LD4930</t>
  </si>
  <si>
    <t>LD4185</t>
  </si>
  <si>
    <t>LD4938</t>
  </si>
  <si>
    <t>LD3289</t>
  </si>
  <si>
    <t>LD7167</t>
  </si>
  <si>
    <t>LD7108</t>
  </si>
  <si>
    <t>LD7733</t>
  </si>
  <si>
    <t>LD2804</t>
  </si>
  <si>
    <t>LD5646</t>
  </si>
  <si>
    <t>LD5501</t>
  </si>
  <si>
    <t>LD5382</t>
  </si>
  <si>
    <t>LD7770</t>
  </si>
  <si>
    <t>LD1248</t>
  </si>
  <si>
    <t>LD7359</t>
  </si>
  <si>
    <t>LD5257</t>
  </si>
  <si>
    <t>LD3808</t>
  </si>
  <si>
    <t>LD5983</t>
  </si>
  <si>
    <t>LD1170</t>
  </si>
  <si>
    <t>LD1682</t>
  </si>
  <si>
    <t>LD5197</t>
  </si>
  <si>
    <t>LD5214</t>
  </si>
  <si>
    <t>LD3590</t>
  </si>
  <si>
    <t>LD7660</t>
  </si>
  <si>
    <t>LD4716</t>
  </si>
  <si>
    <t>LD3841</t>
  </si>
  <si>
    <t>LD4170</t>
  </si>
  <si>
    <t>LD6120</t>
  </si>
  <si>
    <t>LD1492</t>
  </si>
  <si>
    <t>LD5588</t>
  </si>
  <si>
    <t>LD5921</t>
  </si>
  <si>
    <t>LD6926</t>
  </si>
  <si>
    <t>LD5619</t>
  </si>
  <si>
    <t>LD2177</t>
  </si>
  <si>
    <t>LD7603</t>
  </si>
  <si>
    <t>LD2427</t>
  </si>
  <si>
    <t>LD6071</t>
  </si>
  <si>
    <t>LD4393</t>
  </si>
  <si>
    <t>LD3665</t>
  </si>
  <si>
    <t>LD1470</t>
  </si>
  <si>
    <t>LD3883</t>
  </si>
  <si>
    <t>LD1032</t>
  </si>
  <si>
    <t>LD6633</t>
  </si>
  <si>
    <t>LD1707</t>
  </si>
  <si>
    <t>LD1612</t>
  </si>
  <si>
    <t>LD3942</t>
  </si>
  <si>
    <t>LD4054</t>
  </si>
  <si>
    <t>LD6490</t>
  </si>
  <si>
    <t>LD4077</t>
  </si>
  <si>
    <t>LD2657</t>
  </si>
  <si>
    <t>LD5809</t>
  </si>
  <si>
    <t>LD1018</t>
  </si>
  <si>
    <t>LD1097</t>
  </si>
  <si>
    <t>LD2821</t>
  </si>
  <si>
    <t>LD5275</t>
  </si>
  <si>
    <t>LD5693</t>
  </si>
  <si>
    <t>LD2719</t>
  </si>
  <si>
    <t>LD4059</t>
  </si>
  <si>
    <t>LD4784</t>
  </si>
  <si>
    <t>LD2761</t>
  </si>
  <si>
    <t>LD4394</t>
  </si>
  <si>
    <t>LD6437</t>
  </si>
  <si>
    <t>LD5095</t>
  </si>
  <si>
    <t>LD5889</t>
  </si>
  <si>
    <t>LD2877</t>
  </si>
  <si>
    <t>LD4555</t>
  </si>
  <si>
    <t>LD4132</t>
  </si>
  <si>
    <t>LD5577</t>
  </si>
  <si>
    <t>LD1081</t>
  </si>
  <si>
    <t>LD4820</t>
  </si>
  <si>
    <t>LD4668</t>
  </si>
  <si>
    <t>LD2802</t>
  </si>
  <si>
    <t>LD1548</t>
  </si>
  <si>
    <t>LD4886</t>
  </si>
  <si>
    <t>LD5526</t>
  </si>
  <si>
    <t>LD1473</t>
  </si>
  <si>
    <t>LD1933</t>
  </si>
  <si>
    <t>LD3664</t>
  </si>
  <si>
    <t>LD6610</t>
  </si>
  <si>
    <t>LD6282</t>
  </si>
  <si>
    <t>LD1753</t>
  </si>
  <si>
    <t>LD7624</t>
  </si>
  <si>
    <t>LD1094</t>
  </si>
  <si>
    <t>LD7409</t>
  </si>
  <si>
    <t>LD2420</t>
  </si>
  <si>
    <t>LD7106</t>
  </si>
  <si>
    <t>LD5039</t>
  </si>
  <si>
    <t>LD1038</t>
  </si>
  <si>
    <t>LD2554</t>
  </si>
  <si>
    <t>LD5330</t>
  </si>
  <si>
    <t>LD2618</t>
  </si>
  <si>
    <t>LD6670</t>
  </si>
  <si>
    <t>LD2703</t>
  </si>
  <si>
    <t>LD2075</t>
  </si>
  <si>
    <t>LD6590</t>
  </si>
  <si>
    <t>LD7273</t>
  </si>
  <si>
    <t>LD7174</t>
  </si>
  <si>
    <t>LD4500</t>
  </si>
  <si>
    <t>LD3228</t>
  </si>
  <si>
    <t>LD4654</t>
  </si>
  <si>
    <t>LD6674</t>
  </si>
  <si>
    <t>LD6296</t>
  </si>
  <si>
    <t>LD5372</t>
  </si>
  <si>
    <t>LD7024</t>
  </si>
  <si>
    <t>LD1264</t>
  </si>
  <si>
    <t>LD3639</t>
  </si>
  <si>
    <t>LD3311</t>
  </si>
  <si>
    <t>LD6644</t>
  </si>
  <si>
    <t>LD3900</t>
  </si>
  <si>
    <t>LD5707</t>
  </si>
  <si>
    <t>LD3909</t>
  </si>
  <si>
    <t>LD4493</t>
  </si>
  <si>
    <t>LD1335</t>
  </si>
  <si>
    <t>LD2883</t>
  </si>
  <si>
    <t>LD5356</t>
  </si>
  <si>
    <t>LD3021</t>
  </si>
  <si>
    <t>LD6600</t>
  </si>
  <si>
    <t>LD1024</t>
  </si>
  <si>
    <t>LD3169</t>
  </si>
  <si>
    <t>LD4807</t>
  </si>
  <si>
    <t>LD2003</t>
  </si>
  <si>
    <t>LD6499</t>
  </si>
  <si>
    <t>LD3352</t>
  </si>
  <si>
    <t>LD7046</t>
  </si>
  <si>
    <t>LD1713</t>
  </si>
  <si>
    <t>LD6482</t>
  </si>
  <si>
    <t>LD4835</t>
  </si>
  <si>
    <t>LD5735</t>
  </si>
  <si>
    <t>LD7343</t>
  </si>
  <si>
    <t>LD7466</t>
  </si>
  <si>
    <t>LD1477</t>
  </si>
  <si>
    <t>LD5481</t>
  </si>
  <si>
    <t>LD2790</t>
  </si>
  <si>
    <t>LD6767</t>
  </si>
  <si>
    <t>LD7281</t>
  </si>
  <si>
    <t>LD1512</t>
  </si>
  <si>
    <t>LD7515</t>
  </si>
  <si>
    <t>LD3292</t>
  </si>
  <si>
    <t>LD4735</t>
  </si>
  <si>
    <t>LD4013</t>
  </si>
  <si>
    <t>LD2415</t>
  </si>
  <si>
    <t>LD3154</t>
  </si>
  <si>
    <t>LD3527</t>
  </si>
  <si>
    <t>LD2468</t>
  </si>
  <si>
    <t>LD3165</t>
  </si>
  <si>
    <t>LD5677</t>
  </si>
  <si>
    <t>LD6983</t>
  </si>
  <si>
    <t>LD2421</t>
  </si>
  <si>
    <t>LD2892</t>
  </si>
  <si>
    <t>LD4579</t>
  </si>
  <si>
    <t>LD7053</t>
  </si>
  <si>
    <t>LD1587</t>
  </si>
  <si>
    <t>LD1200</t>
  </si>
  <si>
    <t>LD6455</t>
  </si>
  <si>
    <t>LD3224</t>
  </si>
  <si>
    <t>LD2216</t>
  </si>
  <si>
    <t>LD3506</t>
  </si>
  <si>
    <t>LD7307</t>
  </si>
  <si>
    <t>LD1458</t>
  </si>
  <si>
    <t>LD2358</t>
  </si>
  <si>
    <t>LD6952</t>
  </si>
  <si>
    <t>LD7585</t>
  </si>
  <si>
    <t>LD3973</t>
  </si>
  <si>
    <t>LD6353</t>
  </si>
  <si>
    <t>LD4918</t>
  </si>
  <si>
    <t>LD2040</t>
  </si>
  <si>
    <t>LD5329</t>
  </si>
  <si>
    <t>LD2644</t>
  </si>
  <si>
    <t>LD1958</t>
  </si>
  <si>
    <t>LD4622</t>
  </si>
  <si>
    <t>LD4718</t>
  </si>
  <si>
    <t>LD1839</t>
  </si>
  <si>
    <t>LD6675</t>
  </si>
  <si>
    <t>LD2079</t>
  </si>
  <si>
    <t>LD7571</t>
  </si>
  <si>
    <t>LD2927</t>
  </si>
  <si>
    <t>LD6688</t>
  </si>
  <si>
    <t>LD7322</t>
  </si>
  <si>
    <t>LD5971</t>
  </si>
  <si>
    <t>LD4342</t>
  </si>
  <si>
    <t>LD5086</t>
  </si>
  <si>
    <t>LD4280</t>
  </si>
  <si>
    <t>LD3987</t>
  </si>
  <si>
    <t>LD6185</t>
  </si>
  <si>
    <t>LD6270</t>
  </si>
  <si>
    <t>LD7746</t>
  </si>
  <si>
    <t>LD2748</t>
  </si>
  <si>
    <t>LD2243</t>
  </si>
  <si>
    <t>LD3950</t>
  </si>
  <si>
    <t>LD7107</t>
  </si>
  <si>
    <t>LD2653</t>
  </si>
  <si>
    <t>LD2329</t>
  </si>
  <si>
    <t>LD3846</t>
  </si>
  <si>
    <t>LD3859</t>
  </si>
  <si>
    <t>LD1409</t>
  </si>
  <si>
    <t>LD7688</t>
  </si>
  <si>
    <t>LD7381</t>
  </si>
  <si>
    <t>LD7532</t>
  </si>
  <si>
    <t>LD1743</t>
  </si>
  <si>
    <t>LD5708</t>
  </si>
  <si>
    <t>LD4101</t>
  </si>
  <si>
    <t>LD5540</t>
  </si>
  <si>
    <t>LD2583</t>
  </si>
  <si>
    <t>LD5858</t>
  </si>
  <si>
    <t>LD5075</t>
  </si>
  <si>
    <t>LD1080</t>
  </si>
  <si>
    <t>LD3378</t>
  </si>
  <si>
    <t>LD2658</t>
  </si>
  <si>
    <t>LD7018</t>
  </si>
  <si>
    <t>LD4271</t>
  </si>
  <si>
    <t>LD6055</t>
  </si>
  <si>
    <t>LD3978</t>
  </si>
  <si>
    <t>LD3571</t>
  </si>
  <si>
    <t>LD6786</t>
  </si>
  <si>
    <t>LD2200</t>
  </si>
  <si>
    <t>LD7508</t>
  </si>
  <si>
    <t>LD5512</t>
  </si>
  <si>
    <t>LD3133</t>
  </si>
  <si>
    <t>LD6446</t>
  </si>
  <si>
    <t>LD3411</t>
  </si>
  <si>
    <t>LD3229</t>
  </si>
  <si>
    <t>LD4196</t>
  </si>
  <si>
    <t>LD3168</t>
  </si>
  <si>
    <t>LD4922</t>
  </si>
  <si>
    <t>LD6890</t>
  </si>
  <si>
    <t>LD2355</t>
  </si>
  <si>
    <t>LD6552</t>
  </si>
  <si>
    <t>LD6434</t>
  </si>
  <si>
    <t>LD7738</t>
  </si>
  <si>
    <t>LD7577</t>
  </si>
  <si>
    <t>LD4607</t>
  </si>
  <si>
    <t>LD3896</t>
  </si>
  <si>
    <t>LD1382</t>
  </si>
  <si>
    <t>LD4519</t>
  </si>
  <si>
    <t>LD6350</t>
  </si>
  <si>
    <t>LD4842</t>
  </si>
  <si>
    <t>LD1325</t>
  </si>
  <si>
    <t>LD7549</t>
  </si>
  <si>
    <t>LD6642</t>
  </si>
  <si>
    <t>LD2104</t>
  </si>
  <si>
    <t>LD5538</t>
  </si>
  <si>
    <t>LD3246</t>
  </si>
  <si>
    <t>LD6472</t>
  </si>
  <si>
    <t>LD3300</t>
  </si>
  <si>
    <t>LD5685</t>
  </si>
  <si>
    <t>LD1843</t>
  </si>
  <si>
    <t>LD4413</t>
  </si>
  <si>
    <t>LD2920</t>
  </si>
  <si>
    <t>LD4769</t>
  </si>
  <si>
    <t>LD6313</t>
  </si>
  <si>
    <t>LD7121</t>
  </si>
  <si>
    <t>LD4754</t>
  </si>
  <si>
    <t>LD6045</t>
  </si>
  <si>
    <t>LD6399</t>
  </si>
  <si>
    <t>LD5368</t>
  </si>
  <si>
    <t>LD5507</t>
  </si>
  <si>
    <t>LD2039</t>
  </si>
  <si>
    <t>LD7639</t>
  </si>
  <si>
    <t>LD6000</t>
  </si>
  <si>
    <t>LD6632</t>
  </si>
  <si>
    <t>LD1089</t>
  </si>
  <si>
    <t>LD5958</t>
  </si>
  <si>
    <t>LD5222</t>
  </si>
  <si>
    <t>LD7327</t>
  </si>
  <si>
    <t>LD1474</t>
  </si>
  <si>
    <t>LD5596</t>
  </si>
  <si>
    <t>LD1157</t>
  </si>
  <si>
    <t>LD4149</t>
  </si>
  <si>
    <t>LD5630</t>
  </si>
  <si>
    <t>LD2769</t>
  </si>
  <si>
    <t>LD3005</t>
  </si>
  <si>
    <t>LD3875</t>
  </si>
  <si>
    <t>LD2407</t>
  </si>
  <si>
    <t>LD3723</t>
  </si>
  <si>
    <t>LD2617</t>
  </si>
  <si>
    <t>LD5881</t>
  </si>
  <si>
    <t>LD2935</t>
  </si>
  <si>
    <t>LD7591</t>
  </si>
  <si>
    <t>LD1199</t>
  </si>
  <si>
    <t>LD2673</t>
  </si>
  <si>
    <t>LD5011</t>
  </si>
  <si>
    <t>LD1504</t>
  </si>
  <si>
    <t>LD1074</t>
  </si>
  <si>
    <t>LD1643</t>
  </si>
  <si>
    <t>LD5253</t>
  </si>
  <si>
    <t>LD3618</t>
  </si>
  <si>
    <t>LD3657</t>
  </si>
  <si>
    <t>LD7111</t>
  </si>
  <si>
    <t>LD4048</t>
  </si>
  <si>
    <t>LD3516</t>
  </si>
  <si>
    <t>LD3799</t>
  </si>
  <si>
    <t>LD5595</t>
  </si>
  <si>
    <t>LD2098</t>
  </si>
  <si>
    <t>LD6625</t>
  </si>
  <si>
    <t>LD4586</t>
  </si>
  <si>
    <t>LD3688</t>
  </si>
  <si>
    <t>LD6963</t>
  </si>
  <si>
    <t>LD6201</t>
  </si>
  <si>
    <t>LD2058</t>
  </si>
  <si>
    <t>LD5473</t>
  </si>
  <si>
    <t>LD4765</t>
  </si>
  <si>
    <t>LD3003</t>
  </si>
  <si>
    <t>LD7783</t>
  </si>
  <si>
    <t>LD4387</t>
  </si>
  <si>
    <t>LD6717</t>
  </si>
  <si>
    <t>LD2845</t>
  </si>
  <si>
    <t>LD4028</t>
  </si>
  <si>
    <t>LD4928</t>
  </si>
  <si>
    <t>LD6370</t>
  </si>
  <si>
    <t>LD1209</t>
  </si>
  <si>
    <t>LD2398</t>
  </si>
  <si>
    <t>LD5193</t>
  </si>
  <si>
    <t>LD3211</t>
  </si>
  <si>
    <t>LD4752</t>
  </si>
  <si>
    <t>LD1799</t>
  </si>
  <si>
    <t>LD7382</t>
  </si>
  <si>
    <t>LD6126</t>
  </si>
  <si>
    <t>LD7708</t>
  </si>
  <si>
    <t>LD6429</t>
  </si>
  <si>
    <t>LD5403</t>
  </si>
  <si>
    <t>LD7396</t>
  </si>
  <si>
    <t>LD1812</t>
  </si>
  <si>
    <t>LD6389</t>
  </si>
  <si>
    <t>LD3674</t>
  </si>
  <si>
    <t>LD6569</t>
  </si>
  <si>
    <t>LD3610</t>
  </si>
  <si>
    <t>LD2322</t>
  </si>
  <si>
    <t>LD2870</t>
  </si>
  <si>
    <t>LD7742</t>
  </si>
  <si>
    <t>LD6667</t>
  </si>
  <si>
    <t>LD3806</t>
  </si>
  <si>
    <t>LD5398</t>
  </si>
  <si>
    <t>LD1402</t>
  </si>
  <si>
    <t>LD1626</t>
  </si>
  <si>
    <t>LD6012</t>
  </si>
  <si>
    <t>LD1042</t>
  </si>
  <si>
    <t>LD2704</t>
  </si>
  <si>
    <t>LD6949</t>
  </si>
  <si>
    <t>LD5824</t>
  </si>
  <si>
    <t>LD7308</t>
  </si>
  <si>
    <t>LD4099</t>
  </si>
  <si>
    <t>LD2727</t>
  </si>
  <si>
    <t>LD7354</t>
  </si>
  <si>
    <t>LD5153</t>
  </si>
  <si>
    <t>LD7325</t>
  </si>
  <si>
    <t>LD3108</t>
  </si>
  <si>
    <t>LD1677</t>
  </si>
  <si>
    <t>LD4952</t>
  </si>
  <si>
    <t>LD6503</t>
  </si>
  <si>
    <t>LD4663</t>
  </si>
  <si>
    <t>LD5064</t>
  </si>
  <si>
    <t>LD5196</t>
  </si>
  <si>
    <t>LD2466</t>
  </si>
  <si>
    <t>LD2175</t>
  </si>
  <si>
    <t>LD5358</t>
  </si>
  <si>
    <t>LD1997</t>
  </si>
  <si>
    <t>LD4760</t>
  </si>
  <si>
    <t>LD6806</t>
  </si>
  <si>
    <t>LD2670</t>
  </si>
  <si>
    <t>LD1550</t>
  </si>
  <si>
    <t>LD2942</t>
  </si>
  <si>
    <t>LD3437</t>
  </si>
  <si>
    <t>LD7616</t>
  </si>
  <si>
    <t>LD1297</t>
  </si>
  <si>
    <t>LD6082</t>
  </si>
  <si>
    <t>LD5249</t>
  </si>
  <si>
    <t>LD3958</t>
  </si>
  <si>
    <t>LD5815</t>
  </si>
  <si>
    <t>LD6291</t>
  </si>
  <si>
    <t>LD2220</t>
  </si>
  <si>
    <t>LD3844</t>
  </si>
  <si>
    <t>LD1866</t>
  </si>
  <si>
    <t>LD2439</t>
  </si>
  <si>
    <t>LD3742</t>
  </si>
  <si>
    <t>LD3064</t>
  </si>
  <si>
    <t>LD3035</t>
  </si>
  <si>
    <t>LD7709</t>
  </si>
  <si>
    <t>LD5363</t>
  </si>
  <si>
    <t>LD2193</t>
  </si>
  <si>
    <t>LD6494</t>
  </si>
  <si>
    <t>LD1347</t>
  </si>
  <si>
    <t>LD3510</t>
  </si>
  <si>
    <t>LD3403</t>
  </si>
  <si>
    <t>LD4520</t>
  </si>
  <si>
    <t>LD4899</t>
  </si>
  <si>
    <t>LD4955</t>
  </si>
  <si>
    <t>LD3183</t>
  </si>
  <si>
    <t>LD1088</t>
  </si>
  <si>
    <t>LD1466</t>
  </si>
  <si>
    <t>LD1961</t>
  </si>
  <si>
    <t>LD6859</t>
  </si>
  <si>
    <t>LD4177</t>
  </si>
  <si>
    <t>LD7539</t>
  </si>
  <si>
    <t>LD2453</t>
  </si>
  <si>
    <t>LD1158</t>
  </si>
  <si>
    <t>LD1352</t>
  </si>
  <si>
    <t>LD4245</t>
  </si>
  <si>
    <t>LD2401</t>
  </si>
  <si>
    <t>LD5866</t>
  </si>
  <si>
    <t>LD5225</t>
  </si>
  <si>
    <t>LD2376</t>
  </si>
  <si>
    <t>LD3200</t>
  </si>
  <si>
    <t>LD5956</t>
  </si>
  <si>
    <t>LD2426</t>
  </si>
  <si>
    <t>LD3463</t>
  </si>
  <si>
    <t>LD5335</t>
  </si>
  <si>
    <t>LD1697</t>
  </si>
  <si>
    <t>LD3096</t>
  </si>
  <si>
    <t>LD6109</t>
  </si>
  <si>
    <t>LD7686</t>
  </si>
  <si>
    <t>LD2872</t>
  </si>
  <si>
    <t>LD4689</t>
  </si>
  <si>
    <t>LD2222</t>
  </si>
  <si>
    <t>LD5950</t>
  </si>
  <si>
    <t>LD1168</t>
  </si>
  <si>
    <t>LD4168</t>
  </si>
  <si>
    <t>LD6583</t>
  </si>
  <si>
    <t>LD2783</t>
  </si>
  <si>
    <t>LD6759</t>
  </si>
  <si>
    <t>LD2174</t>
  </si>
  <si>
    <t>LD6138</t>
  </si>
  <si>
    <t>LD4287</t>
  </si>
  <si>
    <t>LD4247</t>
  </si>
  <si>
    <t>LD5857</t>
  </si>
  <si>
    <t>LD3755</t>
  </si>
  <si>
    <t>LD3329</t>
  </si>
  <si>
    <t>LD3595</t>
  </si>
  <si>
    <t>LD5898</t>
  </si>
  <si>
    <t>LD3760</t>
  </si>
  <si>
    <t>LD4913</t>
  </si>
  <si>
    <t>LD2035</t>
  </si>
  <si>
    <t>LD6991</t>
  </si>
  <si>
    <t>LD3933</t>
  </si>
  <si>
    <t>LD4858</t>
  </si>
  <si>
    <t>LD3996</t>
  </si>
  <si>
    <t>LD1374</t>
  </si>
  <si>
    <t>LD5825</t>
  </si>
  <si>
    <t>LD6221</t>
  </si>
  <si>
    <t>LD1309</t>
  </si>
  <si>
    <t>LD2576</t>
  </si>
  <si>
    <t>LD4539</t>
  </si>
  <si>
    <t>LD5499</t>
  </si>
  <si>
    <t>LD6518</t>
  </si>
  <si>
    <t>LD6096</t>
  </si>
  <si>
    <t>LD2488</t>
  </si>
  <si>
    <t>LD7445</t>
  </si>
  <si>
    <t>LD1744</t>
  </si>
  <si>
    <t>LD2651</t>
  </si>
  <si>
    <t>LD4915</t>
  </si>
  <si>
    <t>LD7638</t>
  </si>
  <si>
    <t>LD1983</t>
  </si>
  <si>
    <t>LD2972</t>
  </si>
  <si>
    <t>LD3821</t>
  </si>
  <si>
    <t>LD7777</t>
  </si>
  <si>
    <t>LD6246</t>
  </si>
  <si>
    <t>LD2570</t>
  </si>
  <si>
    <t>LD6850</t>
  </si>
  <si>
    <t>LD2447</t>
  </si>
  <si>
    <t>LD6167</t>
  </si>
  <si>
    <t>LD1323</t>
  </si>
  <si>
    <t>LD1249</t>
  </si>
  <si>
    <t>LD3822</t>
  </si>
  <si>
    <t>LD5565</t>
  </si>
  <si>
    <t>LD2150</t>
  </si>
  <si>
    <t>LD4495</t>
  </si>
  <si>
    <t>LD3586</t>
  </si>
  <si>
    <t>LD2043</t>
  </si>
  <si>
    <t>LD5119</t>
  </si>
  <si>
    <t>LD6158</t>
  </si>
  <si>
    <t>LD4945</t>
  </si>
  <si>
    <t>LD4699</t>
  </si>
  <si>
    <t>LD1092</t>
  </si>
  <si>
    <t>LD4067</t>
  </si>
  <si>
    <t>LD1319</t>
  </si>
  <si>
    <t>LD2159</t>
  </si>
  <si>
    <t>LD7518</t>
  </si>
  <si>
    <t>LD3158</t>
  </si>
  <si>
    <t>LD4616</t>
  </si>
  <si>
    <t>LD5797</t>
  </si>
  <si>
    <t>LD2080</t>
  </si>
  <si>
    <t>LD3982</t>
  </si>
  <si>
    <t>LD2695</t>
  </si>
  <si>
    <t>LD6068</t>
  </si>
  <si>
    <t>LD7605</t>
  </si>
  <si>
    <t>LD2047</t>
  </si>
  <si>
    <t>LD3699</t>
  </si>
  <si>
    <t>LD3642</t>
  </si>
  <si>
    <t>LD5701</t>
  </si>
  <si>
    <t>LD6998</t>
  </si>
  <si>
    <t>LD7463</t>
  </si>
  <si>
    <t>LD6837</t>
  </si>
  <si>
    <t>LD2559</t>
  </si>
  <si>
    <t>LD2145</t>
  </si>
  <si>
    <t>LD6283</t>
  </si>
  <si>
    <t>LD4308</t>
  </si>
  <si>
    <t>LD4665</t>
  </si>
  <si>
    <t>LD3338</t>
  </si>
  <si>
    <t>LD5982</t>
  </si>
  <si>
    <t>LD4772</t>
  </si>
  <si>
    <t>LD1266</t>
  </si>
  <si>
    <t>LD4584</t>
  </si>
  <si>
    <t>LD4106</t>
  </si>
  <si>
    <t>LD5234</t>
  </si>
  <si>
    <t>LD7141</t>
  </si>
  <si>
    <t>LD3541</t>
  </si>
  <si>
    <t>LD5479</t>
  </si>
  <si>
    <t>LD5127</t>
  </si>
  <si>
    <t>LD1015</t>
  </si>
  <si>
    <t>LD6817</t>
  </si>
  <si>
    <t>LD1737</t>
  </si>
  <si>
    <t>LD5334</t>
  </si>
  <si>
    <t>LD1009</t>
  </si>
  <si>
    <t>LD6440</t>
  </si>
  <si>
    <t>LD6957</t>
  </si>
  <si>
    <t>LD1333</t>
  </si>
  <si>
    <t>LD6267</t>
  </si>
  <si>
    <t>LD3926</t>
  </si>
  <si>
    <t>LD5635</t>
  </si>
  <si>
    <t>LD4162</t>
  </si>
  <si>
    <t>LD5887</t>
  </si>
  <si>
    <t>LD3419</t>
  </si>
  <si>
    <t>LD3888</t>
  </si>
  <si>
    <t>LD1340</t>
  </si>
  <si>
    <t>LD5942</t>
  </si>
  <si>
    <t>LD5817</t>
  </si>
  <si>
    <t>LD6951</t>
  </si>
  <si>
    <t>LD4972</t>
  </si>
  <si>
    <t>LD4435</t>
  </si>
  <si>
    <t>LD3599</t>
  </si>
  <si>
    <t>LD2109</t>
  </si>
  <si>
    <t>LD1623</t>
  </si>
  <si>
    <t>LD4249</t>
  </si>
  <si>
    <t>LD5440</t>
  </si>
  <si>
    <t>LD7715</t>
  </si>
  <si>
    <t>LD2057</t>
  </si>
  <si>
    <t>LD4822</t>
  </si>
  <si>
    <t>LD6643</t>
  </si>
  <si>
    <t>LD6930</t>
  </si>
  <si>
    <t>LD3663</t>
  </si>
  <si>
    <t>LD6901</t>
  </si>
  <si>
    <t>LD4652</t>
  </si>
  <si>
    <t>LD4817</t>
  </si>
  <si>
    <t>LD5667</t>
  </si>
  <si>
    <t>LD2859</t>
  </si>
  <si>
    <t>LD2154</t>
  </si>
  <si>
    <t>LD1197</t>
  </si>
  <si>
    <t>LD4905</t>
  </si>
  <si>
    <t>LD7617</t>
  </si>
  <si>
    <t>LD4165</t>
  </si>
  <si>
    <t>LD3549</t>
  </si>
  <si>
    <t>LD6522</t>
  </si>
  <si>
    <t>LD5321</t>
  </si>
  <si>
    <t>LD1433</t>
  </si>
  <si>
    <t>LD6719</t>
  </si>
  <si>
    <t>LD5902</t>
  </si>
  <si>
    <t>LD6846</t>
  </si>
  <si>
    <t>LD5141</t>
  </si>
  <si>
    <t>LD3313</t>
  </si>
  <si>
    <t>LD4957</t>
  </si>
  <si>
    <t>LD2196</t>
  </si>
  <si>
    <t>LD6824</t>
  </si>
  <si>
    <t>LD3358</t>
  </si>
  <si>
    <t>LD1085</t>
  </si>
  <si>
    <t>LD7648</t>
  </si>
  <si>
    <t>LD2316</t>
  </si>
  <si>
    <t>LD4574</t>
  </si>
  <si>
    <t>LD1426</t>
  </si>
  <si>
    <t>LD5483</t>
  </si>
  <si>
    <t>LD1922</t>
  </si>
  <si>
    <t>LD1813</t>
  </si>
  <si>
    <t>LD4257</t>
  </si>
  <si>
    <t>LD4214</t>
  </si>
  <si>
    <t>LD1605</t>
  </si>
  <si>
    <t>LD5072</t>
  </si>
  <si>
    <t>LD4266</t>
  </si>
  <si>
    <t>LD7116</t>
  </si>
  <si>
    <t>LD2865</t>
  </si>
  <si>
    <t>LD1971</t>
  </si>
  <si>
    <t>LD5326</t>
  </si>
  <si>
    <t>LD7695</t>
  </si>
  <si>
    <t>LD5968</t>
  </si>
  <si>
    <t>LD1186</t>
  </si>
  <si>
    <t>LD2563</t>
  </si>
  <si>
    <t>LD4081</t>
  </si>
  <si>
    <t>LD5375</t>
  </si>
  <si>
    <t>LD4444</t>
  </si>
  <si>
    <t>LD4251</t>
  </si>
  <si>
    <t>LD3406</t>
  </si>
  <si>
    <t>LD5020</t>
  </si>
  <si>
    <t>LD5040</t>
  </si>
  <si>
    <t>LD6325</t>
  </si>
  <si>
    <t>LD1487</t>
  </si>
  <si>
    <t>LD7302</t>
  </si>
  <si>
    <t>LD5319</t>
  </si>
  <si>
    <t>LD2616</t>
  </si>
  <si>
    <t>LD6942</t>
  </si>
  <si>
    <t>LD2500</t>
  </si>
  <si>
    <t>LD5333</t>
  </si>
  <si>
    <t>LD3407</t>
  </si>
  <si>
    <t>LD3623</t>
  </si>
  <si>
    <t>LD3604</t>
  </si>
  <si>
    <t>LD4371</t>
  </si>
  <si>
    <t>LD2841</t>
  </si>
  <si>
    <t>LD2194</t>
  </si>
  <si>
    <t>LD7360</t>
  </si>
  <si>
    <t>LD5142</t>
  </si>
  <si>
    <t>LD2372</t>
  </si>
  <si>
    <t>LD1229</t>
  </si>
  <si>
    <t>LD4965</t>
  </si>
  <si>
    <t>LD2512</t>
  </si>
  <si>
    <t>LD5913</t>
  </si>
  <si>
    <t>LD3860</t>
  </si>
  <si>
    <t>LD2889</t>
  </si>
  <si>
    <t>LD2182</t>
  </si>
  <si>
    <t>LD2974</t>
  </si>
  <si>
    <t>LD2455</t>
  </si>
  <si>
    <t>LD5101</t>
  </si>
  <si>
    <t>LD6214</t>
  </si>
  <si>
    <t>LD5583</t>
  </si>
  <si>
    <t>LD5149</t>
  </si>
  <si>
    <t>LD4741</t>
  </si>
  <si>
    <t>LD6155</t>
  </si>
  <si>
    <t>LD5399</t>
  </si>
  <si>
    <t>LD4198</t>
  </si>
  <si>
    <t>LD4602</t>
  </si>
  <si>
    <t>LD4882</t>
  </si>
  <si>
    <t>LD6800</t>
  </si>
  <si>
    <t>LD4218</t>
  </si>
  <si>
    <t>LD5021</t>
  </si>
  <si>
    <t>LD3348</t>
  </si>
  <si>
    <t>LD1255</t>
  </si>
  <si>
    <t>LD7169</t>
  </si>
  <si>
    <t>LD3459</t>
  </si>
  <si>
    <t>LD2567</t>
  </si>
  <si>
    <t>LD3274</t>
  </si>
  <si>
    <t>LD1222</t>
  </si>
  <si>
    <t>LD6100</t>
  </si>
  <si>
    <t>LD2536</t>
  </si>
  <si>
    <t>LD1066</t>
  </si>
  <si>
    <t>LD2555</t>
  </si>
  <si>
    <t>LD5472</t>
  </si>
  <si>
    <t>LD7531</t>
  </si>
  <si>
    <t>LD6002</t>
  </si>
  <si>
    <t>LD7436</t>
  </si>
  <si>
    <t>LD3953</t>
  </si>
  <si>
    <t>LD6008</t>
  </si>
  <si>
    <t>LD4338</t>
  </si>
  <si>
    <t>LD4816</t>
  </si>
  <si>
    <t>LD2499</t>
  </si>
  <si>
    <t>LD4114</t>
  </si>
  <si>
    <t>LD6815</t>
  </si>
  <si>
    <t>LD6493</t>
  </si>
  <si>
    <t>LD2833</t>
  </si>
  <si>
    <t>LD4943</t>
  </si>
  <si>
    <t>LD6274</t>
  </si>
  <si>
    <t>LD3517</t>
  </si>
  <si>
    <t>LD3863</t>
  </si>
  <si>
    <t>LD4894</t>
  </si>
  <si>
    <t>LD2979</t>
  </si>
  <si>
    <t>LD7229</t>
  </si>
  <si>
    <t>LD2964</t>
  </si>
  <si>
    <t>LD1377</t>
  </si>
  <si>
    <t>LD7168</t>
  </si>
  <si>
    <t>LD1544</t>
  </si>
  <si>
    <t>LD4692</t>
  </si>
  <si>
    <t>LD2371</t>
  </si>
  <si>
    <t>LD7268</t>
  </si>
  <si>
    <t>LD1756</t>
  </si>
  <si>
    <t>LD1292</t>
  </si>
  <si>
    <t>LD1765</t>
  </si>
  <si>
    <t>LD2633</t>
  </si>
  <si>
    <t>LD2076</t>
  </si>
  <si>
    <t>LD1189</t>
  </si>
  <si>
    <t>LD2380</t>
  </si>
  <si>
    <t>LD1178</t>
  </si>
  <si>
    <t>LD7582</t>
  </si>
  <si>
    <t>LD3288</t>
  </si>
  <si>
    <t>LD5542</t>
  </si>
  <si>
    <t>LD3388</t>
  </si>
  <si>
    <t>LD6538</t>
  </si>
  <si>
    <t>LD1502</t>
  </si>
  <si>
    <t>LD6079</t>
  </si>
  <si>
    <t>LD3442</t>
  </si>
  <si>
    <t>LD3944</t>
  </si>
  <si>
    <t>LD6639</t>
  </si>
  <si>
    <t>LD1748</t>
  </si>
  <si>
    <t>LD7278</t>
  </si>
  <si>
    <t>LD1673</t>
  </si>
  <si>
    <t>LD5998</t>
  </si>
  <si>
    <t>LD2422</t>
  </si>
  <si>
    <t>LD2184</t>
  </si>
  <si>
    <t>LD6575</t>
  </si>
  <si>
    <t>LD4883</t>
  </si>
  <si>
    <t>LD6287</t>
  </si>
  <si>
    <t>LD2262</t>
  </si>
  <si>
    <t>LD7600</t>
  </si>
  <si>
    <t>LD6315</t>
  </si>
  <si>
    <t>LD1169</t>
  </si>
  <si>
    <t>LD4183</t>
  </si>
  <si>
    <t>LD6543</t>
  </si>
  <si>
    <t>LD6511</t>
  </si>
  <si>
    <t>LD1519</t>
  </si>
  <si>
    <t>LD2941</t>
  </si>
  <si>
    <t>LD1995</t>
  </si>
  <si>
    <t>LD5087</t>
  </si>
  <si>
    <t>LD1320</t>
  </si>
  <si>
    <t>LD4667</t>
  </si>
  <si>
    <t>LD3705</t>
  </si>
  <si>
    <t>LD7146</t>
  </si>
  <si>
    <t>LD1246</t>
  </si>
  <si>
    <t>LD4434</t>
  </si>
  <si>
    <t>LD5104</t>
  </si>
  <si>
    <t>LD6938</t>
  </si>
  <si>
    <t>LD1507</t>
  </si>
  <si>
    <t>LD7140</t>
  </si>
  <si>
    <t>LD4221</t>
  </si>
  <si>
    <t>LD1217</t>
  </si>
  <si>
    <t>LD6431</t>
  </si>
  <si>
    <t>LD5371</t>
  </si>
  <si>
    <t>LD2048</t>
  </si>
  <si>
    <t>LD6070</t>
  </si>
  <si>
    <t>LD3025</t>
  </si>
  <si>
    <t>LD4211</t>
  </si>
  <si>
    <t>LD5895</t>
  </si>
  <si>
    <t>LD4568</t>
  </si>
  <si>
    <t>LD6959</t>
  </si>
  <si>
    <t>LD2264</t>
  </si>
  <si>
    <t>LD3647</t>
  </si>
  <si>
    <t>LD5819</t>
  </si>
  <si>
    <t>LD1334</t>
  </si>
  <si>
    <t>LD6791</t>
  </si>
  <si>
    <t>LD4650</t>
  </si>
  <si>
    <t>LD7310</t>
  </si>
  <si>
    <t>LD7776</t>
  </si>
  <si>
    <t>LD6813</t>
  </si>
  <si>
    <t>LD4347</t>
  </si>
  <si>
    <t>LD7270</t>
  </si>
  <si>
    <t>LD7714</t>
  </si>
  <si>
    <t>LD6757</t>
  </si>
  <si>
    <t>LD3113</t>
  </si>
  <si>
    <t>LD1747</t>
  </si>
  <si>
    <t>LD4026</t>
  </si>
  <si>
    <t>LD2774</t>
  </si>
  <si>
    <t>LD4828</t>
  </si>
  <si>
    <t>LD2424</t>
  </si>
  <si>
    <t>LD7395</t>
  </si>
  <si>
    <t>LD1438</t>
  </si>
  <si>
    <t>LD1348</t>
  </si>
  <si>
    <t>LD6470</t>
  </si>
  <si>
    <t>LD3324</t>
  </si>
  <si>
    <t>LD2489</t>
  </si>
  <si>
    <t>LD4455</t>
  </si>
  <si>
    <t>LD3285</t>
  </si>
  <si>
    <t>LD2906</t>
  </si>
  <si>
    <t>LD5174</t>
  </si>
  <si>
    <t>LD1260</t>
  </si>
  <si>
    <t>LD3865</t>
  </si>
  <si>
    <t>LD5840</t>
  </si>
  <si>
    <t>LD3116</t>
  </si>
  <si>
    <t>LD5059</t>
  </si>
  <si>
    <t>LD6077</t>
  </si>
  <si>
    <t>LD7306</t>
  </si>
  <si>
    <t>LD3800</t>
  </si>
  <si>
    <t>LD2484</t>
  </si>
  <si>
    <t>LD6361</t>
  </si>
  <si>
    <t>LD7314</t>
  </si>
  <si>
    <t>LD1600</t>
  </si>
  <si>
    <t>LD6838</t>
  </si>
  <si>
    <t>LD1046</t>
  </si>
  <si>
    <t>LD6318</t>
  </si>
  <si>
    <t>LD3795</t>
  </si>
  <si>
    <t>LD6078</t>
  </si>
  <si>
    <t>LD6203</t>
  </si>
  <si>
    <t>LD5320</t>
  </si>
  <si>
    <t>LD4097</t>
  </si>
  <si>
    <t>LD2545</t>
  </si>
  <si>
    <t>LD2472</t>
  </si>
  <si>
    <t>LD6804</t>
  </si>
  <si>
    <t>LD7299</t>
  </si>
  <si>
    <t>LD1324</t>
  </si>
  <si>
    <t>LD4756</t>
  </si>
  <si>
    <t>LD4356</t>
  </si>
  <si>
    <t>LD4321</t>
  </si>
  <si>
    <t>LD7492</t>
  </si>
  <si>
    <t>LD6435</t>
  </si>
  <si>
    <t>LD4259</t>
  </si>
  <si>
    <t>LD6622</t>
  </si>
  <si>
    <t>LD7672</t>
  </si>
  <si>
    <t>LD7293</t>
  </si>
  <si>
    <t>LD2796</t>
  </si>
  <si>
    <t>LD1232</t>
  </si>
  <si>
    <t>LD5332</t>
  </si>
  <si>
    <t>LD1577</t>
  </si>
  <si>
    <t>LD2860</t>
  </si>
  <si>
    <t>LD5109</t>
  </si>
  <si>
    <t>LD3997</t>
  </si>
  <si>
    <t>LD3405</t>
  </si>
  <si>
    <t>LD3111</t>
  </si>
  <si>
    <t>LD6357</t>
  </si>
  <si>
    <t>LD7698</t>
  </si>
  <si>
    <t>LD1448</t>
  </si>
  <si>
    <t>LD7214</t>
  </si>
  <si>
    <t>LD1427</t>
  </si>
  <si>
    <t>LD4456</t>
  </si>
  <si>
    <t>LD1806</t>
  </si>
  <si>
    <t>LD1411</t>
  </si>
  <si>
    <t>LD4304</t>
  </si>
  <si>
    <t>LD1439</t>
  </si>
  <si>
    <t>LD3078</t>
  </si>
  <si>
    <t>LD6520</t>
  </si>
  <si>
    <t>LD3882</t>
  </si>
  <si>
    <t>LD7015</t>
  </si>
  <si>
    <t>LD3930</t>
  </si>
  <si>
    <t>LD5826</t>
  </si>
  <si>
    <t>LD5940</t>
  </si>
  <si>
    <t>LD6741</t>
  </si>
  <si>
    <t>LD1627</t>
  </si>
  <si>
    <t>LD4629</t>
  </si>
  <si>
    <t>LD1211</t>
  </si>
  <si>
    <t>LD2882</t>
  </si>
  <si>
    <t>LD4514</t>
  </si>
  <si>
    <t>LD1052</t>
  </si>
  <si>
    <t>LD4182</t>
  </si>
  <si>
    <t>LD6385</t>
  </si>
  <si>
    <t>LD2394</t>
  </si>
  <si>
    <t>LD7495</t>
  </si>
  <si>
    <t>LD5728</t>
  </si>
  <si>
    <t>LD6761</t>
  </si>
  <si>
    <t>LD4126</t>
  </si>
  <si>
    <t>LD3046</t>
  </si>
  <si>
    <t>LD4316</t>
  </si>
  <si>
    <t>LD5093</t>
  </si>
  <si>
    <t>LD6264</t>
  </si>
  <si>
    <t>LD3765</t>
  </si>
  <si>
    <t>LD6047</t>
  </si>
  <si>
    <t>LD6278</t>
  </si>
  <si>
    <t>LD2672</t>
  </si>
  <si>
    <t>LD1706</t>
  </si>
  <si>
    <t>LD2189</t>
  </si>
  <si>
    <t>LD4860</t>
  </si>
  <si>
    <t>LD6279</t>
  </si>
  <si>
    <t>LD4440</t>
  </si>
  <si>
    <t>LD1528</t>
  </si>
  <si>
    <t>LD5076</t>
  </si>
  <si>
    <t>LD1566</t>
  </si>
  <si>
    <t>LD6659</t>
  </si>
  <si>
    <t>LD4017</t>
  </si>
  <si>
    <t>LD1641</t>
  </si>
  <si>
    <t>LD4415</t>
  </si>
  <si>
    <t>LD1731</t>
  </si>
  <si>
    <t>LD3134</t>
  </si>
  <si>
    <t>LD7142</t>
  </si>
  <si>
    <t>LD1326</t>
  </si>
  <si>
    <t>LD1291</t>
  </si>
  <si>
    <t>LD4553</t>
  </si>
  <si>
    <t>LD6784</t>
  </si>
  <si>
    <t>LD2437</t>
  </si>
  <si>
    <t>LD4880</t>
  </si>
  <si>
    <t>LD7598</t>
  </si>
  <si>
    <t>LD4314</t>
  </si>
  <si>
    <t>LD4430</t>
  </si>
  <si>
    <t>LD1865</t>
  </si>
  <si>
    <t>LD3464</t>
  </si>
  <si>
    <t>LD6742</t>
  </si>
  <si>
    <t>LD2386</t>
  </si>
  <si>
    <t>LD5422</t>
  </si>
  <si>
    <t>LD3088</t>
  </si>
  <si>
    <t>LD4837</t>
  </si>
  <si>
    <t>LD1372</t>
  </si>
  <si>
    <t>LD5624</t>
  </si>
  <si>
    <t>LD5454</t>
  </si>
  <si>
    <t>LD6905</t>
  </si>
  <si>
    <t>LD2331</t>
  </si>
  <si>
    <t>LD3544</t>
  </si>
  <si>
    <t>LD5929</t>
  </si>
  <si>
    <t>LD7565</t>
  </si>
  <si>
    <t>LD4635</t>
  </si>
  <si>
    <t>LD7143</t>
  </si>
  <si>
    <t>LD2486</t>
  </si>
  <si>
    <t>LD4791</t>
  </si>
  <si>
    <t>LD4173</t>
  </si>
  <si>
    <t>LD2836</t>
  </si>
  <si>
    <t>LD1123</t>
  </si>
  <si>
    <t>LD1480</t>
  </si>
  <si>
    <t>LD3743</t>
  </si>
  <si>
    <t>LD6572</t>
  </si>
  <si>
    <t>LD2587</t>
  </si>
  <si>
    <t>LD3264</t>
  </si>
  <si>
    <t>LD5405</t>
  </si>
  <si>
    <t>LD1941</t>
  </si>
  <si>
    <t>LD5961</t>
  </si>
  <si>
    <t>LD1440</t>
  </si>
  <si>
    <t>LD4974</t>
  </si>
  <si>
    <t>LD6129</t>
  </si>
  <si>
    <t>LD7128</t>
  </si>
  <si>
    <t>LD5908</t>
  </si>
  <si>
    <t>LD5451</t>
  </si>
  <si>
    <t>LD4542</t>
  </si>
  <si>
    <t>LD6498</t>
  </si>
  <si>
    <t>LD6738</t>
  </si>
  <si>
    <t>LD5457</t>
  </si>
  <si>
    <t>LD5686</t>
  </si>
  <si>
    <t>LD5690</t>
  </si>
  <si>
    <t>LD1280</t>
  </si>
  <si>
    <t>LD2730</t>
  </si>
  <si>
    <t>LD6709</t>
  </si>
  <si>
    <t>LD5777</t>
  </si>
  <si>
    <t>LD6858</t>
  </si>
  <si>
    <t>LD4681</t>
  </si>
  <si>
    <t>LD2102</t>
  </si>
  <si>
    <t>LD4186</t>
  </si>
  <si>
    <t>LD5417</t>
  </si>
  <si>
    <t>LD4474</t>
  </si>
  <si>
    <t>LD1578</t>
  </si>
  <si>
    <t>LD1060</t>
  </si>
  <si>
    <t>LD6013</t>
  </si>
  <si>
    <t>LD1788</t>
  </si>
  <si>
    <t>LD4806</t>
  </si>
  <si>
    <t>LD5311</t>
  </si>
  <si>
    <t>LD3570</t>
  </si>
  <si>
    <t>LD4888</t>
  </si>
  <si>
    <t>LD4353</t>
  </si>
  <si>
    <t>LD2663</t>
  </si>
  <si>
    <t>LD6889</t>
  </si>
  <si>
    <t>LD7223</t>
  </si>
  <si>
    <t>LD4879</t>
  </si>
  <si>
    <t>LD6996</t>
  </si>
  <si>
    <t>LD4979</t>
  </si>
  <si>
    <t>LD4533</t>
  </si>
  <si>
    <t>LD1421</t>
  </si>
  <si>
    <t>LD5731</t>
  </si>
  <si>
    <t>LD1554</t>
  </si>
  <si>
    <t>LD2481</t>
  </si>
  <si>
    <t>LD6588</t>
  </si>
  <si>
    <t>LD7262</t>
  </si>
  <si>
    <t>LD2965</t>
  </si>
  <si>
    <t>LD6342</t>
  </si>
  <si>
    <t>LD5094</t>
  </si>
  <si>
    <t>LD7289</t>
  </si>
  <si>
    <t>LD3272</t>
  </si>
  <si>
    <t>LD2510</t>
  </si>
  <si>
    <t>LD5997</t>
  </si>
  <si>
    <t>LD2411</t>
  </si>
  <si>
    <t>LD1182</t>
  </si>
  <si>
    <t>LD6871</t>
  </si>
  <si>
    <t>LD1795</t>
  </si>
  <si>
    <t>LD5754</t>
  </si>
  <si>
    <t>LD5516</t>
  </si>
  <si>
    <t>LD2282</t>
  </si>
  <si>
    <t>LD3203</t>
  </si>
  <si>
    <t>LD4122</t>
  </si>
  <si>
    <t>LD5906</t>
  </si>
  <si>
    <t>LD1531</t>
  </si>
  <si>
    <t>LD6253</t>
  </si>
  <si>
    <t>LD1711</t>
  </si>
  <si>
    <t>LD2213</t>
  </si>
  <si>
    <t>LD5005</t>
  </si>
  <si>
    <t>LD6710</t>
  </si>
  <si>
    <t>LD6898</t>
  </si>
  <si>
    <t>LD6641</t>
  </si>
  <si>
    <t>LD1908</t>
  </si>
  <si>
    <t>LD5716</t>
  </si>
  <si>
    <t>LD6811</t>
  </si>
  <si>
    <t>LD4363</t>
  </si>
  <si>
    <t>LD4613</t>
  </si>
  <si>
    <t>LD6553</t>
  </si>
  <si>
    <t>LD2600</t>
  </si>
  <si>
    <t>LD4104</t>
  </si>
  <si>
    <t>LD4488</t>
  </si>
  <si>
    <t>LD1927</t>
  </si>
  <si>
    <t>LD3830</t>
  </si>
  <si>
    <t>LD4906</t>
  </si>
  <si>
    <t>LD1016</t>
  </si>
  <si>
    <t>LD7133</t>
  </si>
  <si>
    <t>LD1316</t>
  </si>
  <si>
    <t>LD3252</t>
  </si>
  <si>
    <t>LD6678</t>
  </si>
  <si>
    <t>LD2162</t>
  </si>
  <si>
    <t>LD5853</t>
  </si>
  <si>
    <t>LD6285</t>
  </si>
  <si>
    <t>LD7317</t>
  </si>
  <si>
    <t>LD2224</t>
  </si>
  <si>
    <t>LD5482</t>
  </si>
  <si>
    <t>LD7246</t>
  </si>
  <si>
    <t>LD6268</t>
  </si>
  <si>
    <t>LD6640</t>
  </si>
  <si>
    <t>LD7399</t>
  </si>
  <si>
    <t>LD7362</t>
  </si>
  <si>
    <t>LD3869</t>
  </si>
  <si>
    <t>LD6857</t>
  </si>
  <si>
    <t>LD6346</t>
  </si>
  <si>
    <t>LD3099</t>
  </si>
  <si>
    <t>LD7259</t>
  </si>
  <si>
    <t>LD6019</t>
  </si>
  <si>
    <t>LD5379</t>
  </si>
  <si>
    <t>LD5751</t>
  </si>
  <si>
    <t>LD3943</t>
  </si>
  <si>
    <t>LD4492</t>
  </si>
  <si>
    <t>LD5366</t>
  </si>
  <si>
    <t>LD2033</t>
  </si>
  <si>
    <t>LD7211</t>
  </si>
  <si>
    <t>LD6953</t>
  </si>
  <si>
    <t>LD7499</t>
  </si>
  <si>
    <t>LD7383</t>
  </si>
  <si>
    <t>LD3645</t>
  </si>
  <si>
    <t>LD2011</t>
  </si>
  <si>
    <t>LD2346</t>
  </si>
  <si>
    <t>LD2806</t>
  </si>
  <si>
    <t>LD1692</t>
  </si>
  <si>
    <t>LD1534</t>
  </si>
  <si>
    <t>LD4990</t>
  </si>
  <si>
    <t>LD2884</t>
  </si>
  <si>
    <t>LD1653</t>
  </si>
  <si>
    <t>LD1034</t>
  </si>
  <si>
    <t>LD7213</t>
  </si>
  <si>
    <t>LD1045</t>
  </si>
  <si>
    <t>LD4160</t>
  </si>
  <si>
    <t>LD4743</t>
  </si>
  <si>
    <t>LD1965</t>
  </si>
  <si>
    <t>LD3174</t>
  </si>
  <si>
    <t>LD2619</t>
  </si>
  <si>
    <t>LD4127</t>
  </si>
  <si>
    <t>LD3092</t>
  </si>
  <si>
    <t>LD4222</t>
  </si>
  <si>
    <t>LD6725</t>
  </si>
  <si>
    <t>LD7025</t>
  </si>
  <si>
    <t>LD2336</t>
  </si>
  <si>
    <t>LD6239</t>
  </si>
  <si>
    <t>LD3139</t>
  </si>
  <si>
    <t>LD1027</t>
  </si>
  <si>
    <t>LD4335</t>
  </si>
  <si>
    <t>LD1064</t>
  </si>
  <si>
    <t>LD2045</t>
  </si>
  <si>
    <t>LD3482</t>
  </si>
  <si>
    <t>LD7080</t>
  </si>
  <si>
    <t>LD1228</t>
  </si>
  <si>
    <t>LD3185</t>
  </si>
  <si>
    <t>LD3847</t>
  </si>
  <si>
    <t>LD6574</t>
  </si>
  <si>
    <t>LD2558</t>
  </si>
  <si>
    <t>LD4210</t>
  </si>
  <si>
    <t>LD1970</t>
  </si>
  <si>
    <t>LD5435</t>
  </si>
  <si>
    <t>LD2749</t>
  </si>
  <si>
    <t>LD6245</t>
  </si>
  <si>
    <t>LD5769</t>
  </si>
  <si>
    <t>LD5291</t>
  </si>
  <si>
    <t>LD3532</t>
  </si>
  <si>
    <t>LD3207</t>
  </si>
  <si>
    <t>LD4409</t>
  </si>
  <si>
    <t>LD6701</t>
  </si>
  <si>
    <t>LD5305</t>
  </si>
  <si>
    <t>LD6814</t>
  </si>
  <si>
    <t>LD2375</t>
  </si>
  <si>
    <t>LD3043</t>
  </si>
  <si>
    <t>LD1253</t>
  </si>
  <si>
    <t>LD4551</t>
  </si>
  <si>
    <t>LD5388</t>
  </si>
  <si>
    <t>LD3299</t>
  </si>
  <si>
    <t>LD6662</t>
  </si>
  <si>
    <t>LD4560</t>
  </si>
  <si>
    <t>LD7509</t>
  </si>
  <si>
    <t>LD6038</t>
  </si>
  <si>
    <t>LD6150</t>
  </si>
  <si>
    <t>LD5632</t>
  </si>
  <si>
    <t>LD7388</t>
  </si>
  <si>
    <t>LD5995</t>
  </si>
  <si>
    <t>LD4642</t>
  </si>
  <si>
    <t>LD7352</t>
  </si>
  <si>
    <t>LD1642</t>
  </si>
  <si>
    <t>LD5082</t>
  </si>
  <si>
    <t>LD2353</t>
  </si>
  <si>
    <t>LD1298</t>
  </si>
  <si>
    <t>LD1304</t>
  </si>
  <si>
    <t>LD3186</t>
  </si>
  <si>
    <t>LD4078</t>
  </si>
  <si>
    <t>LD3918</t>
  </si>
  <si>
    <t>LD2733</t>
  </si>
  <si>
    <t>LD5126</t>
  </si>
  <si>
    <t>LD1656</t>
  </si>
  <si>
    <t>LD5865</t>
  </si>
  <si>
    <t>LD4937</t>
  </si>
  <si>
    <t>LD4850</t>
  </si>
  <si>
    <t>LD1241</t>
  </si>
  <si>
    <t>LD1784</t>
  </si>
  <si>
    <t>LD2019</t>
  </si>
  <si>
    <t>LD3754</t>
  </si>
  <si>
    <t>LD1978</t>
  </si>
  <si>
    <t>LD3023</t>
  </si>
  <si>
    <t>LD4007</t>
  </si>
  <si>
    <t>LD5909</t>
  </si>
  <si>
    <t>LD1258</t>
  </si>
  <si>
    <t>LD1894</t>
  </si>
  <si>
    <t>LD6428</t>
  </si>
  <si>
    <t>LD5221</t>
  </si>
  <si>
    <t>LD5004</t>
  </si>
  <si>
    <t>LD7465</t>
  </si>
  <si>
    <t>LD2508</t>
  </si>
  <si>
    <t>LD7455</t>
  </si>
  <si>
    <t>LD3276</t>
  </si>
  <si>
    <t>LD3790</t>
  </si>
  <si>
    <t>LD6911</t>
  </si>
  <si>
    <t>LD3209</t>
  </si>
  <si>
    <t>LD3081</t>
  </si>
  <si>
    <t>LD2917</t>
  </si>
  <si>
    <t>LD5177</t>
  </si>
  <si>
    <t>LD4833</t>
  </si>
  <si>
    <t>LD3771</t>
  </si>
  <si>
    <t>LD5833</t>
  </si>
  <si>
    <t>LD2601</t>
  </si>
  <si>
    <t>LD3466</t>
  </si>
  <si>
    <t>LD2546</t>
  </si>
  <si>
    <t>LD6122</t>
  </si>
  <si>
    <t>LD4786</t>
  </si>
  <si>
    <t>LD2537</t>
  </si>
  <si>
    <t>LD3227</t>
  </si>
  <si>
    <t>LD7023</t>
  </si>
  <si>
    <t>LD3560</t>
  </si>
  <si>
    <t>LD2093</t>
  </si>
  <si>
    <t>LD7500</t>
  </si>
  <si>
    <t>LD1125</t>
  </si>
  <si>
    <t>LD7656</t>
  </si>
  <si>
    <t>LD2756</t>
  </si>
  <si>
    <t>LD5128</t>
  </si>
  <si>
    <t>LD4516</t>
  </si>
  <si>
    <t>LD4019</t>
  </si>
  <si>
    <t>LD3587</t>
  </si>
  <si>
    <t>LD5530</t>
  </si>
  <si>
    <t>LD3620</t>
  </si>
  <si>
    <t>LD1599</t>
  </si>
  <si>
    <t>LD1076</t>
  </si>
  <si>
    <t>LD2340</t>
  </si>
  <si>
    <t>LD2406</t>
  </si>
  <si>
    <t>LD6941</t>
  </si>
  <si>
    <t>LD3967</t>
  </si>
  <si>
    <t>LD5564</t>
  </si>
  <si>
    <t>LD7124</t>
  </si>
  <si>
    <t>LD1150</t>
  </si>
  <si>
    <t>LD4893</t>
  </si>
  <si>
    <t>LD6369</t>
  </si>
  <si>
    <t>LD1454</t>
  </si>
  <si>
    <t>LD5061</t>
  </si>
  <si>
    <t>LD5425</t>
  </si>
  <si>
    <t>LD5079</t>
  </si>
  <si>
    <t>LD1809</t>
  </si>
  <si>
    <t>LD6699</t>
  </si>
  <si>
    <t>LD4537</t>
  </si>
  <si>
    <t>LD2120</t>
  </si>
  <si>
    <t>LD1811</t>
  </si>
  <si>
    <t>LD2130</t>
  </si>
  <si>
    <t>LD1835</t>
  </si>
  <si>
    <t>LD7670</t>
  </si>
  <si>
    <t>LD6217</t>
  </si>
  <si>
    <t>LD7489</t>
  </si>
  <si>
    <t>LD4378</t>
  </si>
  <si>
    <t>LD2236</t>
  </si>
  <si>
    <t>LD2226</t>
  </si>
  <si>
    <t>LD4128</t>
  </si>
  <si>
    <t>LD5205</t>
  </si>
  <si>
    <t>LD7623</t>
  </si>
  <si>
    <t>LD4011</t>
  </si>
  <si>
    <t>LD2478</t>
  </si>
  <si>
    <t>LD5752</t>
  </si>
  <si>
    <t>LD5476</t>
  </si>
  <si>
    <t>LD2028</t>
  </si>
  <si>
    <t>LD5944</t>
  </si>
  <si>
    <t>LD3019</t>
  </si>
  <si>
    <t>LD1350</t>
  </si>
  <si>
    <t>LD7160</t>
  </si>
  <si>
    <t>LD1663</t>
  </si>
  <si>
    <t>LD1173</t>
  </si>
  <si>
    <t>LD5455</t>
  </si>
  <si>
    <t>LD5384</t>
  </si>
  <si>
    <t>LD1423</t>
  </si>
  <si>
    <t>LD5919</t>
  </si>
  <si>
    <t>LD2544</t>
  </si>
  <si>
    <t>LD1882</t>
  </si>
  <si>
    <t>LD3190</t>
  </si>
  <si>
    <t>LD2254</t>
  </si>
  <si>
    <t>LD6982</t>
  </si>
  <si>
    <t>LD6839</t>
  </si>
  <si>
    <t>LD6883</t>
  </si>
  <si>
    <t>LD7321</t>
  </si>
  <si>
    <t>LD4700</t>
  </si>
  <si>
    <t>LD1103</t>
  </si>
  <si>
    <t>LD6658</t>
  </si>
  <si>
    <t>LD6844</t>
  </si>
  <si>
    <t>LD4350</t>
  </si>
  <si>
    <t>LD3949</t>
  </si>
  <si>
    <t>LD2903</t>
  </si>
  <si>
    <t>LD6605</t>
  </si>
  <si>
    <t>LD3998</t>
  </si>
  <si>
    <t>LD6004</t>
  </si>
  <si>
    <t>LD1136</t>
  </si>
  <si>
    <t>LD5029</t>
  </si>
  <si>
    <t>LD6252</t>
  </si>
  <si>
    <t>LD7652</t>
  </si>
  <si>
    <t>LD7100</t>
  </si>
  <si>
    <t>LD5524</t>
  </si>
  <si>
    <t>LD5553</t>
  </si>
  <si>
    <t>LD3192</t>
  </si>
  <si>
    <t>LD5644</t>
  </si>
  <si>
    <t>LD6331</t>
  </si>
  <si>
    <t>LD2729</t>
  </si>
  <si>
    <t>LD7435</t>
  </si>
  <si>
    <t>LD2887</t>
  </si>
  <si>
    <t>LD1808</t>
  </si>
  <si>
    <t>LD1463</t>
  </si>
  <si>
    <t>LD1880</t>
  </si>
  <si>
    <t>LD6594</t>
  </si>
  <si>
    <t>LD3303</t>
  </si>
  <si>
    <t>LD6104</t>
  </si>
  <si>
    <t>LD7673</t>
  </si>
  <si>
    <t>LD5734</t>
  </si>
  <si>
    <t>LD1800</t>
  </si>
  <si>
    <t>LD1355</t>
  </si>
  <si>
    <t>LD4917</t>
  </si>
  <si>
    <t>LD2074</t>
  </si>
  <si>
    <t>LD3408</t>
  </si>
  <si>
    <t>LD3250</t>
  </si>
  <si>
    <t>LD1145</t>
  </si>
  <si>
    <t>LD1381</t>
  </si>
  <si>
    <t>LD2341</t>
  </si>
  <si>
    <t>LD7078</t>
  </si>
  <si>
    <t>LD5195</t>
  </si>
  <si>
    <t>LD1122</t>
  </si>
  <si>
    <t>LD4442</t>
  </si>
  <si>
    <t>LD2361</t>
  </si>
  <si>
    <t>LD1419</t>
  </si>
  <si>
    <t>LD6886</t>
  </si>
  <si>
    <t>LD6345</t>
  </si>
  <si>
    <t>LD4940</t>
  </si>
  <si>
    <t>LD3118</t>
  </si>
  <si>
    <t>LD6240</t>
  </si>
  <si>
    <t>LD6744</t>
  </si>
  <si>
    <t>LD1556</t>
  </si>
  <si>
    <t>LD4780</t>
  </si>
  <si>
    <t>LD4429</t>
  </si>
  <si>
    <t>LD2776</t>
  </si>
  <si>
    <t>LD7149</t>
  </si>
  <si>
    <t>LD2273</t>
  </si>
  <si>
    <t>LD7356</t>
  </si>
  <si>
    <t>LD2412</t>
  </si>
  <si>
    <t>LD5605</t>
  </si>
  <si>
    <t>LD7195</t>
  </si>
  <si>
    <t>LD3095</t>
  </si>
  <si>
    <t>LD7079</t>
  </si>
  <si>
    <t>LD6514</t>
  </si>
  <si>
    <t>LD7675</t>
  </si>
  <si>
    <t>LD2621</t>
  </si>
  <si>
    <t>LD3928</t>
  </si>
  <si>
    <t>LD7038</t>
  </si>
  <si>
    <t>LD3938</t>
  </si>
  <si>
    <t>LD3729</t>
  </si>
  <si>
    <t>LD4890</t>
  </si>
  <si>
    <t>LD4411</t>
  </si>
  <si>
    <t>LD7644</t>
  </si>
  <si>
    <t>LD6422</t>
  </si>
  <si>
    <t>LD6979</t>
  </si>
  <si>
    <t>LD2269</t>
  </si>
  <si>
    <t>LD1415</t>
  </si>
  <si>
    <t>LD4934</t>
  </si>
  <si>
    <t>LD1655</t>
  </si>
  <si>
    <t>LD5654</t>
  </si>
  <si>
    <t>LD2731</t>
  </si>
  <si>
    <t>LD3054</t>
  </si>
  <si>
    <t>LD4980</t>
  </si>
  <si>
    <t>LD7222</t>
  </si>
  <si>
    <t>LD5013</t>
  </si>
  <si>
    <t>LD4902</t>
  </si>
  <si>
    <t>LD1590</t>
  </si>
  <si>
    <t>LD3689</t>
  </si>
  <si>
    <t>LD6108</t>
  </si>
  <si>
    <t>LD7448</t>
  </si>
  <si>
    <t>LD6094</t>
  </si>
  <si>
    <t>LD4612</t>
  </si>
  <si>
    <t>LD3277</t>
  </si>
  <si>
    <t>LD1702</t>
  </si>
  <si>
    <t>LD3836</t>
  </si>
  <si>
    <t>LD3125</t>
  </si>
  <si>
    <t>LD7357</t>
  </si>
  <si>
    <t>LD1678</t>
  </si>
  <si>
    <t>LD7301</t>
  </si>
  <si>
    <t>LD6453</t>
  </si>
  <si>
    <t>LD3400</t>
  </si>
  <si>
    <t>LD3167</t>
  </si>
  <si>
    <t>LD7780</t>
  </si>
  <si>
    <t>LD1694</t>
  </si>
  <si>
    <t>LD2863</t>
  </si>
  <si>
    <t>LD2895</t>
  </si>
  <si>
    <t>LD6961</t>
  </si>
  <si>
    <t>LD1111</t>
  </si>
  <si>
    <t>LD6061</t>
  </si>
  <si>
    <t>LD7040</t>
  </si>
  <si>
    <t>LD6152</t>
  </si>
  <si>
    <t>LD5424</t>
  </si>
  <si>
    <t>LD1857</t>
  </si>
  <si>
    <t>LD5458</t>
  </si>
  <si>
    <t>LD5055</t>
  </si>
  <si>
    <t>LD7447</t>
  </si>
  <si>
    <t>LD3648</t>
  </si>
  <si>
    <t>LD5230</t>
  </si>
  <si>
    <t>LD2721</t>
  </si>
  <si>
    <t>LD3964</t>
  </si>
  <si>
    <t>LD3030</t>
  </si>
  <si>
    <t>LD7552</t>
  </si>
  <si>
    <t>LD3805</t>
  </si>
  <si>
    <t>LD5729</t>
  </si>
  <si>
    <t>LD2469</t>
  </si>
  <si>
    <t>LD6383</t>
  </si>
  <si>
    <t>LD4981</t>
  </si>
  <si>
    <t>LD2808</t>
  </si>
  <si>
    <t>LD6234</t>
  </si>
  <si>
    <t>LD1108</t>
  </si>
  <si>
    <t>LD1030</t>
  </si>
  <si>
    <t>LD4102</t>
  </si>
  <si>
    <t>LD6534</t>
  </si>
  <si>
    <t>LD5348</t>
  </si>
  <si>
    <t>LD4581</t>
  </si>
  <si>
    <t>LD1752</t>
  </si>
  <si>
    <t>LD1585</t>
  </si>
  <si>
    <t>LD2221</t>
  </si>
  <si>
    <t>LD5307</t>
  </si>
  <si>
    <t>LD2551</t>
  </si>
  <si>
    <t>LD3679</t>
  </si>
  <si>
    <t>LD2993</t>
  </si>
  <si>
    <t>LD1549</t>
  </si>
  <si>
    <t>LD6251</t>
  </si>
  <si>
    <t>LD5558</t>
  </si>
  <si>
    <t>LD7309</t>
  </si>
  <si>
    <t>LD2562</t>
  </si>
  <si>
    <t>LD6608</t>
  </si>
  <si>
    <t>LD7536</t>
  </si>
  <si>
    <t>LD7635</t>
  </si>
  <si>
    <t>LD5766</t>
  </si>
  <si>
    <t>LD3651</t>
  </si>
  <si>
    <t>LD5167</t>
  </si>
  <si>
    <t>LD5170</t>
  </si>
  <si>
    <t>LD6066</t>
  </si>
  <si>
    <t>LD5092</t>
  </si>
  <si>
    <t>LD3816</t>
  </si>
  <si>
    <t>LD6408</t>
  </si>
  <si>
    <t>LD2741</t>
  </si>
  <si>
    <t>LD2766</t>
  </si>
  <si>
    <t>LD7589</t>
  </si>
  <si>
    <t>LD1091</t>
  </si>
  <si>
    <t>LD3819</t>
  </si>
  <si>
    <t>LD5185</t>
  </si>
  <si>
    <t>LD6275</t>
  </si>
  <si>
    <t>LD5246</t>
  </si>
  <si>
    <t>LD3393</t>
  </si>
  <si>
    <t>LD1625</t>
  </si>
  <si>
    <t>LD1070</t>
  </si>
  <si>
    <t>LD1890</t>
  </si>
  <si>
    <t>LD6319</t>
  </si>
  <si>
    <t>LD6144</t>
  </si>
  <si>
    <t>LD5377</t>
  </si>
  <si>
    <t>LD5467</t>
  </si>
  <si>
    <t>LD2957</t>
  </si>
  <si>
    <t>LD3178</t>
  </si>
  <si>
    <t>LD1948</t>
  </si>
  <si>
    <t>LD1878</t>
  </si>
  <si>
    <t>LD6715</t>
  </si>
  <si>
    <t>LD7333</t>
  </si>
  <si>
    <t>LD1294</t>
  </si>
  <si>
    <t>LD7559</t>
  </si>
  <si>
    <t>LD5316</t>
  </si>
  <si>
    <t>LD1446</t>
  </si>
  <si>
    <t>LD7067</t>
  </si>
  <si>
    <t>LD6517</t>
  </si>
  <si>
    <t>LD4317</t>
  </si>
  <si>
    <t>LD2607</t>
  </si>
  <si>
    <t>LD5999</t>
  </si>
  <si>
    <t>LD5517</t>
  </si>
  <si>
    <t>LD3655</t>
  </si>
  <si>
    <t>LD4935</t>
  </si>
  <si>
    <t>LD5848</t>
  </si>
  <si>
    <t>LD5743</t>
  </si>
  <si>
    <t>LD1368</t>
  </si>
  <si>
    <t>LD4164</t>
  </si>
  <si>
    <t>LD3345</t>
  </si>
  <si>
    <t>LD2871</t>
  </si>
  <si>
    <t>LD7161</t>
  </si>
  <si>
    <t>LD2738</t>
  </si>
  <si>
    <t>LD7218</t>
  </si>
  <si>
    <t>LD7194</t>
  </si>
  <si>
    <t>LD3826</t>
  </si>
  <si>
    <t>LD6651</t>
  </si>
  <si>
    <t>LD7037</t>
  </si>
  <si>
    <t>LD6720</t>
  </si>
  <si>
    <t>LD3776</t>
  </si>
  <si>
    <t>LD5265</t>
  </si>
  <si>
    <t>LD2187</t>
  </si>
  <si>
    <t>LD6180</t>
  </si>
  <si>
    <t>LD3255</t>
  </si>
  <si>
    <t>LD3935</t>
  </si>
  <si>
    <t>LD3514</t>
  </si>
  <si>
    <t>LD6153</t>
  </si>
  <si>
    <t>LD7636</t>
  </si>
  <si>
    <t>LD1152</t>
  </si>
  <si>
    <t>LD2898</t>
  </si>
  <si>
    <t>LD2034</t>
  </si>
  <si>
    <t>LD2384</t>
  </si>
  <si>
    <t>LD1916</t>
  </si>
  <si>
    <t>LD2306</t>
  </si>
  <si>
    <t>LD4228</t>
  </si>
  <si>
    <t>LD3305</t>
  </si>
  <si>
    <t>LD6823</t>
  </si>
  <si>
    <t>LD1510</t>
  </si>
  <si>
    <t>LD5571</t>
  </si>
  <si>
    <t>LD6539</t>
  </si>
  <si>
    <t>LD4834</t>
  </si>
  <si>
    <t>LD7353</t>
  </si>
  <si>
    <t>LD5568</t>
  </si>
  <si>
    <t>LD5463</t>
  </si>
  <si>
    <t>LD1749</t>
  </si>
  <si>
    <t>LD3084</t>
  </si>
  <si>
    <t>LD4845</t>
  </si>
  <si>
    <t>LD5190</t>
  </si>
  <si>
    <t>LD2311</t>
  </si>
  <si>
    <t>LD2612</t>
  </si>
  <si>
    <t>LD7767</t>
  </si>
  <si>
    <t>LD5988</t>
  </si>
  <si>
    <t>LD6677</t>
  </si>
  <si>
    <t>LD7632</t>
  </si>
  <si>
    <t>LD4794</t>
  </si>
  <si>
    <t>LD6097</t>
  </si>
  <si>
    <t>LD5910</t>
  </si>
  <si>
    <t>LD3477</t>
  </si>
  <si>
    <t>LD1472</t>
  </si>
  <si>
    <t>LD4839</t>
  </si>
  <si>
    <t>LD4818</t>
  </si>
  <si>
    <t>LD5943</t>
  </si>
  <si>
    <t>LD5967</t>
  </si>
  <si>
    <t>LD7406</t>
  </si>
  <si>
    <t>LD4528</t>
  </si>
  <si>
    <t>LD1897</t>
  </si>
  <si>
    <t>LD6134</t>
  </si>
  <si>
    <t>LD2946</t>
  </si>
  <si>
    <t>LD1252</t>
  </si>
  <si>
    <t>LD2210</t>
  </si>
  <si>
    <t>LD3485</t>
  </si>
  <si>
    <t>LD6258</t>
  </si>
  <si>
    <t>LD3716</t>
  </si>
  <si>
    <t>LD3834</t>
  </si>
  <si>
    <t>LD4296</t>
  </si>
  <si>
    <t>LD2129</t>
  </si>
  <si>
    <t>LD7764</t>
  </si>
  <si>
    <t>LD5314</t>
  </si>
  <si>
    <t>LD2594</t>
  </si>
  <si>
    <t>LD4961</t>
  </si>
  <si>
    <t>LD7647</t>
  </si>
  <si>
    <t>LD1058</t>
  </si>
  <si>
    <t>LD2323</t>
  </si>
  <si>
    <t>LD5089</t>
  </si>
  <si>
    <t>LD6694</t>
  </si>
  <si>
    <t>LD7535</t>
  </si>
  <si>
    <t>LD7740</t>
  </si>
  <si>
    <t>LD2700</t>
  </si>
  <si>
    <t>LD1293</t>
  </si>
  <si>
    <t>LD2143</t>
  </si>
  <si>
    <t>LD3150</t>
  </si>
  <si>
    <t>LD6372</t>
  </si>
  <si>
    <t>LD5884</t>
  </si>
  <si>
    <t>LD2171</t>
  </si>
  <si>
    <t>LD3349</t>
  </si>
  <si>
    <t>LD2745</t>
  </si>
  <si>
    <t>LD4593</t>
  </si>
  <si>
    <t>LD3524</t>
  </si>
  <si>
    <t>LD3156</t>
  </si>
  <si>
    <t>LD2087</t>
  </si>
  <si>
    <t>LD3572</t>
  </si>
  <si>
    <t>LD4810</t>
  </si>
  <si>
    <t>LD2173</t>
  </si>
  <si>
    <t>LD7369</t>
  </si>
  <si>
    <t>LD7540</t>
  </si>
  <si>
    <t>LD2722</t>
  </si>
  <si>
    <t>LD3234</t>
  </si>
  <si>
    <t>LD2894</t>
  </si>
  <si>
    <t>LD5293</t>
  </si>
  <si>
    <t>LD7765</t>
  </si>
  <si>
    <t>LD5636</t>
  </si>
  <si>
    <t>LD4572</t>
  </si>
  <si>
    <t>LD6845</t>
  </si>
  <si>
    <t>LD1614</t>
  </si>
  <si>
    <t>LD3302</t>
  </si>
  <si>
    <t>LD7021</t>
  </si>
  <si>
    <t>LD3416</t>
  </si>
  <si>
    <t>LD4640</t>
  </si>
  <si>
    <t>LD2431</t>
  </si>
  <si>
    <t>LD4785</t>
  </si>
  <si>
    <t>LD7114</t>
  </si>
  <si>
    <t>LD1506</t>
  </si>
  <si>
    <t>LD1416</t>
  </si>
  <si>
    <t>LD3319</t>
  </si>
  <si>
    <t>LD1273</t>
  </si>
  <si>
    <t>LD4746</t>
  </si>
  <si>
    <t>LD2707</t>
  </si>
  <si>
    <t>LD5761</t>
  </si>
  <si>
    <t>LD4124</t>
  </si>
  <si>
    <t>LD3597</t>
  </si>
  <si>
    <t>LD6672</t>
  </si>
  <si>
    <t>LD3317</t>
  </si>
  <si>
    <t>LD1107</t>
  </si>
  <si>
    <t>LD2345</t>
  </si>
  <si>
    <t>LD3273</t>
  </si>
  <si>
    <t>LD2955</t>
  </si>
  <si>
    <t>LD6087</t>
  </si>
  <si>
    <t>LD7753</t>
  </si>
  <si>
    <t>LD4704</t>
  </si>
  <si>
    <t>LD1953</t>
  </si>
  <si>
    <t>LD4556</t>
  </si>
  <si>
    <t>LD3389</t>
  </si>
  <si>
    <t>LD6904</t>
  </si>
  <si>
    <t>LD2505</t>
  </si>
  <si>
    <t>LD3583</t>
  </si>
  <si>
    <t>LD5790</t>
  </si>
  <si>
    <t>LD4039</t>
  </si>
  <si>
    <t>LD7701</t>
  </si>
  <si>
    <t>LD4012</t>
  </si>
  <si>
    <t>LD2025</t>
  </si>
  <si>
    <t>LD7367</t>
  </si>
  <si>
    <t>LD7593</t>
  </si>
  <si>
    <t>LD5661</t>
  </si>
  <si>
    <t>LD3535</t>
  </si>
  <si>
    <t>LD1417</t>
  </si>
  <si>
    <t>LD6022</t>
  </si>
  <si>
    <t>LD4876</t>
  </si>
  <si>
    <t>LD3371</t>
  </si>
  <si>
    <t>LD7779</t>
  </si>
  <si>
    <t>LD1565</t>
  </si>
  <si>
    <t>LD1479</t>
  </si>
  <si>
    <t>LD3265</t>
  </si>
  <si>
    <t>LD5948</t>
  </si>
  <si>
    <t>LD2204</t>
  </si>
  <si>
    <t>LD2225</t>
  </si>
  <si>
    <t>LD1143</t>
  </si>
  <si>
    <t>LD7172</t>
  </si>
  <si>
    <t>LD6314</t>
  </si>
  <si>
    <t>LD2922</t>
  </si>
  <si>
    <t>LD2881</t>
  </si>
  <si>
    <t>LD6781</t>
  </si>
  <si>
    <t>LD3340</t>
  </si>
  <si>
    <t>LD3764</t>
  </si>
  <si>
    <t>LD1606</t>
  </si>
  <si>
    <t>LD2195</t>
  </si>
  <si>
    <t>LD4729</t>
  </si>
  <si>
    <t>LD5113</t>
  </si>
  <si>
    <t>LD6765</t>
  </si>
  <si>
    <t>LD3580</t>
  </si>
  <si>
    <t>LD2757</t>
  </si>
  <si>
    <t>LD1498</t>
  </si>
  <si>
    <t>LD6445</t>
  </si>
  <si>
    <t>LD6195</t>
  </si>
  <si>
    <t>LD7633</t>
  </si>
  <si>
    <t>LD4241</t>
  </si>
  <si>
    <t>LD6367</t>
  </si>
  <si>
    <t>LD7485</t>
  </si>
  <si>
    <t>LD1722</t>
  </si>
  <si>
    <t>LD4753</t>
  </si>
  <si>
    <t>LD2026</t>
  </si>
  <si>
    <t>LD7538</t>
  </si>
  <si>
    <t>LD2296</t>
  </si>
  <si>
    <t>LD4258</t>
  </si>
  <si>
    <t>LD2497</t>
  </si>
  <si>
    <t>LD6897</t>
  </si>
  <si>
    <t>LD2521</t>
  </si>
  <si>
    <t>LD2966</t>
  </si>
  <si>
    <t>LD5317</t>
  </si>
  <si>
    <t>LD3843</t>
  </si>
  <si>
    <t>LD5490</t>
  </si>
  <si>
    <t>LD5216</t>
  </si>
  <si>
    <t>LD7543</t>
  </si>
  <si>
    <t>LD6465</t>
  </si>
  <si>
    <t>LD5937</t>
  </si>
  <si>
    <t>LD2303</t>
  </si>
  <si>
    <t>LD1109</t>
  </si>
  <si>
    <t>LD3634</t>
  </si>
  <si>
    <t>LD2352</t>
  </si>
  <si>
    <t>LD7498</t>
  </si>
  <si>
    <t>LD6081</t>
  </si>
  <si>
    <t>LD4407</t>
  </si>
  <si>
    <t>LD7519</t>
  </si>
  <si>
    <t>LD1932</t>
  </si>
  <si>
    <t>LD1337</t>
  </si>
  <si>
    <t>LD6945</t>
  </si>
  <si>
    <t>LD3589</t>
  </si>
  <si>
    <t>LD5410</t>
  </si>
  <si>
    <t>LD4969</t>
  </si>
  <si>
    <t>LD1938</t>
  </si>
  <si>
    <t>LD6833</t>
  </si>
  <si>
    <t>LD2581</t>
  </si>
  <si>
    <t>LD4892</t>
  </si>
  <si>
    <t>LD1388</t>
  </si>
  <si>
    <t>LD4662</t>
  </si>
  <si>
    <t>LD2967</t>
  </si>
  <si>
    <t>LD7613</t>
  </si>
  <si>
    <t>LD5336</t>
  </si>
  <si>
    <t>LD6362</t>
  </si>
  <si>
    <t>LD1725</t>
  </si>
  <si>
    <t>LD1766</t>
  </si>
  <si>
    <t>LD1287</t>
  </si>
  <si>
    <t>LD4498</t>
  </si>
  <si>
    <t>LD7521</t>
  </si>
  <si>
    <t>LD1308</t>
  </si>
  <si>
    <t>LD6347</t>
  </si>
  <si>
    <t>LD7482</t>
  </si>
  <si>
    <t>LD4337</t>
  </si>
  <si>
    <t>LD3681</t>
  </si>
  <si>
    <t>LD7479</t>
  </si>
  <si>
    <t>LD7640</t>
  </si>
  <si>
    <t>LD5589</t>
  </si>
  <si>
    <t>LD7145</t>
  </si>
  <si>
    <t>LD2792</t>
  </si>
  <si>
    <t>LD4004</t>
  </si>
  <si>
    <t>LD4008</t>
  </si>
  <si>
    <t>LD2635</t>
  </si>
  <si>
    <t>LD3630</t>
  </si>
  <si>
    <t>LD5765</t>
  </si>
  <si>
    <t>LD6754</t>
  </si>
  <si>
    <t>LD1185</t>
  </si>
  <si>
    <t>LD1072</t>
  </si>
  <si>
    <t>LD6968</t>
  </si>
  <si>
    <t>LD1712</t>
  </si>
  <si>
    <t>LD1422</t>
  </si>
  <si>
    <t>LD2021</t>
  </si>
  <si>
    <t>LD7702</t>
  </si>
  <si>
    <t>LD3458</t>
  </si>
  <si>
    <t>LD3971</t>
  </si>
  <si>
    <t>LD1738</t>
  </si>
  <si>
    <t>LD5437</t>
  </si>
  <si>
    <t>LD2261</t>
  </si>
  <si>
    <t>LD2667</t>
  </si>
  <si>
    <t>LD5662</t>
  </si>
  <si>
    <t>LD3230</t>
  </si>
  <si>
    <t>LD7581</t>
  </si>
  <si>
    <t>LD4150</t>
  </si>
  <si>
    <t>LD7376</t>
  </si>
  <si>
    <t>LD7497</t>
  </si>
  <si>
    <t>LD7462</t>
  </si>
  <si>
    <t>LD4606</t>
  </si>
  <si>
    <t>LD3128</t>
  </si>
  <si>
    <t>LD2211</t>
  </si>
  <si>
    <t>LD2696</t>
  </si>
  <si>
    <t>LD3399</t>
  </si>
  <si>
    <t>LD7372</t>
  </si>
  <si>
    <t>LD2096</t>
  </si>
  <si>
    <t>LD7432</t>
  </si>
  <si>
    <t>LD7085</t>
  </si>
  <si>
    <t>LD3684</t>
  </si>
  <si>
    <t>LD2631</t>
  </si>
  <si>
    <t>LD4783</t>
  </si>
  <si>
    <t>LD6603</t>
  </si>
  <si>
    <t>LD5537</t>
  </si>
  <si>
    <t>LD2613</t>
  </si>
  <si>
    <t>LD1979</t>
  </si>
  <si>
    <t>LD3851</t>
  </si>
  <si>
    <t>LD5813</t>
  </si>
  <si>
    <t>LD7728</t>
  </si>
  <si>
    <t>LD7065</t>
  </si>
  <si>
    <t>LD1488</t>
  </si>
  <si>
    <t>LD3058</t>
  </si>
  <si>
    <t>LD6974</t>
  </si>
  <si>
    <t>LD1345</t>
  </si>
  <si>
    <t>LD4341</t>
  </si>
  <si>
    <t>LD7620</t>
  </si>
  <si>
    <t>LD5561</t>
  </si>
  <si>
    <t>LD6161</t>
  </si>
  <si>
    <t>LD1912</t>
  </si>
  <si>
    <t>LD2042</t>
  </si>
  <si>
    <t>LD1048</t>
  </si>
  <si>
    <t>LD4382</t>
  </si>
  <si>
    <t>LD6880</t>
  </si>
  <si>
    <t>LD2351</t>
  </si>
  <si>
    <t>LD1444</t>
  </si>
  <si>
    <t>LD3216</t>
  </si>
  <si>
    <t>LD2062</t>
  </si>
  <si>
    <t>LD2452</t>
  </si>
  <si>
    <t>LD2868</t>
  </si>
  <si>
    <t>LD5025</t>
  </si>
  <si>
    <t>LD6722</t>
  </si>
  <si>
    <t>LD2744</t>
  </si>
  <si>
    <t>LD7033</t>
  </si>
  <si>
    <t>LD5510</t>
  </si>
  <si>
    <t>LD4878</t>
  </si>
  <si>
    <t>LD2755</t>
  </si>
  <si>
    <t>LD3945</t>
  </si>
  <si>
    <t>LD4155</t>
  </si>
  <si>
    <t>LD6458</t>
  </si>
  <si>
    <t>LD6286</t>
  </si>
  <si>
    <t>LD2056</t>
  </si>
  <si>
    <t>LD1849</t>
  </si>
  <si>
    <t>LD4018</t>
  </si>
  <si>
    <t>LD4459</t>
  </si>
  <si>
    <t>LD3432</t>
  </si>
  <si>
    <t>LD5191</t>
  </si>
  <si>
    <t>LD2295</t>
  </si>
  <si>
    <t>LD4946</t>
  </si>
  <si>
    <t>LD3747</t>
  </si>
  <si>
    <t>LD4545</t>
  </si>
  <si>
    <t>LD7335</t>
  </si>
  <si>
    <t>LD7069</t>
  </si>
  <si>
    <t>LD5845</t>
  </si>
  <si>
    <t>LD4956</t>
  </si>
  <si>
    <t>LD2113</t>
  </si>
  <si>
    <t>LD2962</t>
  </si>
  <si>
    <t>LD1777</t>
  </si>
  <si>
    <t>LD7412</t>
  </si>
  <si>
    <t>LD1184</t>
  </si>
  <si>
    <t>LD3719</t>
  </si>
  <si>
    <t>LD5641</t>
  </si>
  <si>
    <t>LD5603</t>
  </si>
  <si>
    <t>LD3756</t>
  </si>
  <si>
    <t>LD2514</t>
  </si>
  <si>
    <t>LD3678</t>
  </si>
  <si>
    <t>LD1735</t>
  </si>
  <si>
    <t>LD7285</t>
  </si>
  <si>
    <t>LD5210</t>
  </si>
  <si>
    <t>LD2169</t>
  </si>
  <si>
    <t>LD4561</t>
  </si>
  <si>
    <t>LD6164</t>
  </si>
  <si>
    <t>LD2852</t>
  </si>
  <si>
    <t>LD6387</t>
  </si>
  <si>
    <t>LD4758</t>
  </si>
  <si>
    <t>LD3115</t>
  </si>
  <si>
    <t>LD5746</t>
  </si>
  <si>
    <t>LD3629</t>
  </si>
  <si>
    <t>LD5383</t>
  </si>
  <si>
    <t>LD3779</t>
  </si>
  <si>
    <t>LD1486</t>
  </si>
  <si>
    <t>LD7336</t>
  </si>
  <si>
    <t>LD1453</t>
  </si>
  <si>
    <t>LD4618</t>
  </si>
  <si>
    <t>LD1096</t>
  </si>
  <si>
    <t>LD5875</t>
  </si>
  <si>
    <t>LD6853</t>
  </si>
  <si>
    <t>LD5955</t>
  </si>
  <si>
    <t>LD1031</t>
  </si>
  <si>
    <t>LD2666</t>
  </si>
  <si>
    <t>LD1790</t>
  </si>
  <si>
    <t>LD4379</t>
  </si>
  <si>
    <t>LD7390</t>
  </si>
  <si>
    <t>LD2919</t>
  </si>
  <si>
    <t>LD2880</t>
  </si>
  <si>
    <t>LD3119</t>
  </si>
  <si>
    <t>LD3132</t>
  </si>
  <si>
    <t>LD6488</t>
  </si>
  <si>
    <t>LD6997</t>
  </si>
  <si>
    <t>LD2540</t>
  </si>
  <si>
    <t>LD2110</t>
  </si>
  <si>
    <t>LD2818</t>
  </si>
  <si>
    <t>LD1101</t>
  </si>
  <si>
    <t>LD5627</t>
  </si>
  <si>
    <t>LD4051</t>
  </si>
  <si>
    <t>LD7442</t>
  </si>
  <si>
    <t>LD2444</t>
  </si>
  <si>
    <t>LD3917</t>
  </si>
  <si>
    <t>LD7072</t>
  </si>
  <si>
    <t>LD5295</t>
  </si>
  <si>
    <t>LD5252</t>
  </si>
  <si>
    <t>LD2084</t>
  </si>
  <si>
    <t>LD3837</t>
  </si>
  <si>
    <t>LD1862</t>
  </si>
  <si>
    <t>LD3881</t>
  </si>
  <si>
    <t>LD1904</t>
  </si>
  <si>
    <t>LD5715</t>
  </si>
  <si>
    <t>LD1110</t>
  </si>
  <si>
    <t>LD5521</t>
  </si>
  <si>
    <t>LD4468</t>
  </si>
  <si>
    <t>LD3339</t>
  </si>
  <si>
    <t>LD6832</t>
  </si>
  <si>
    <t>LD6697</t>
  </si>
  <si>
    <t>LD6397</t>
  </si>
  <si>
    <t>LD6891</t>
  </si>
  <si>
    <t>LD2832</t>
  </si>
  <si>
    <t>LD5035</t>
  </si>
  <si>
    <t>LD6516</t>
  </si>
  <si>
    <t>LD2923</t>
  </si>
  <si>
    <t>LD3880</t>
  </si>
  <si>
    <t>LD3334</t>
  </si>
  <si>
    <t>LD1783</t>
  </si>
  <si>
    <t>LD7625</t>
  </si>
  <si>
    <t>LD1928</t>
  </si>
  <si>
    <t>LD6305</t>
  </si>
  <si>
    <t>LD5258</t>
  </si>
  <si>
    <t>LD4209</t>
  </si>
  <si>
    <t>LD3576</t>
  </si>
  <si>
    <t>LD3032</t>
  </si>
  <si>
    <t>LD6328</t>
  </si>
  <si>
    <t>LD2826</t>
  </si>
  <si>
    <t>LD7370</t>
  </si>
  <si>
    <t>LD5520</t>
  </si>
  <si>
    <t>LD2095</t>
  </si>
  <si>
    <t>LD7070</t>
  </si>
  <si>
    <t>LD2122</t>
  </si>
  <si>
    <t>LD3874</t>
  </si>
  <si>
    <t>LD3418</t>
  </si>
  <si>
    <t>LD5106</t>
  </si>
  <si>
    <t>LD5856</t>
  </si>
  <si>
    <t>LD2374</t>
  </si>
  <si>
    <t>LD1810</t>
  </si>
  <si>
    <t>LD2088</t>
  </si>
  <si>
    <t>LD4079</t>
  </si>
  <si>
    <t>LD4686</t>
  </si>
  <si>
    <t>LD7564</t>
  </si>
  <si>
    <t>LD2655</t>
  </si>
  <si>
    <t>LD6556</t>
  </si>
  <si>
    <t>LD7663</t>
  </si>
  <si>
    <t>LD7679</t>
  </si>
  <si>
    <t>LD5762</t>
  </si>
  <si>
    <t>LD4003</t>
  </si>
  <si>
    <t>LD4261</t>
  </si>
  <si>
    <t>LD6194</t>
  </si>
  <si>
    <t>LD7387</t>
  </si>
  <si>
    <t>LD7271</t>
  </si>
  <si>
    <t>LD2288</t>
  </si>
  <si>
    <t>LD3717</t>
  </si>
  <si>
    <t>LD3940</t>
  </si>
  <si>
    <t>LD5340</t>
  </si>
  <si>
    <t>LD7219</t>
  </si>
  <si>
    <t>LD6729</t>
  </si>
  <si>
    <t>LD3318</t>
  </si>
  <si>
    <t>LD5223</t>
  </si>
  <si>
    <t>LD3708</t>
  </si>
  <si>
    <t>LD6290</t>
  </si>
  <si>
    <t>LD4857</t>
  </si>
  <si>
    <t>LD3269</t>
  </si>
  <si>
    <t>LD3700</t>
  </si>
  <si>
    <t>LD2205</t>
  </si>
  <si>
    <t>LD5852</t>
  </si>
  <si>
    <t>LD5604</t>
  </si>
  <si>
    <t>LD6229</t>
  </si>
  <si>
    <t>LD3198</t>
  </si>
  <si>
    <t>LD7747</t>
  </si>
  <si>
    <t>LD2771</t>
  </si>
  <si>
    <t>LD1830</t>
  </si>
  <si>
    <t>LD4318</t>
  </si>
  <si>
    <t>LD5924</t>
  </si>
  <si>
    <t>LD1628</t>
  </si>
  <si>
    <t>LD6602</t>
  </si>
  <si>
    <t>LD1926</t>
  </si>
  <si>
    <t>LD1296</t>
  </si>
  <si>
    <t>LD2053</t>
  </si>
  <si>
    <t>LD3307</t>
  </si>
  <si>
    <t>LD6485</t>
  </si>
  <si>
    <t>LD6489</t>
  </si>
  <si>
    <t>LD1945</t>
  </si>
  <si>
    <t>LD7152</t>
  </si>
  <si>
    <t>LD6627</t>
  </si>
  <si>
    <t>LD1013</t>
  </si>
  <si>
    <t>LD2118</t>
  </si>
  <si>
    <t>LD5938</t>
  </si>
  <si>
    <t>LD3573</t>
  </si>
  <si>
    <t>LD6471</t>
  </si>
  <si>
    <t>LD2320</t>
  </si>
  <si>
    <t>LD6843</t>
  </si>
  <si>
    <t>LD7631</t>
  </si>
  <si>
    <t>LD7203</t>
  </si>
  <si>
    <t>LD3593</t>
  </si>
  <si>
    <t>LD3692</t>
  </si>
  <si>
    <t>LD4801</t>
  </si>
  <si>
    <t>LD1654</t>
  </si>
  <si>
    <t>LD6851</t>
  </si>
  <si>
    <t>LD7233</t>
  </si>
  <si>
    <t>LD4803</t>
  </si>
  <si>
    <t>LD5111</t>
  </si>
  <si>
    <t>LD5042</t>
  </si>
  <si>
    <t>LD7411</t>
  </si>
  <si>
    <t>LD3240</t>
  </si>
  <si>
    <t>LD5941</t>
  </si>
  <si>
    <t>LD4269</t>
  </si>
  <si>
    <t>LD5964</t>
  </si>
  <si>
    <t>LD5060</t>
  </si>
  <si>
    <t>LD2449</t>
  </si>
  <si>
    <t>LD5725</t>
  </si>
  <si>
    <t>LD4134</t>
  </si>
  <si>
    <t>LD2746</t>
  </si>
  <si>
    <t>LD5792</t>
  </si>
  <si>
    <t>LD1288</t>
  </si>
  <si>
    <t>LD2739</t>
  </si>
  <si>
    <t>LD5237</t>
  </si>
  <si>
    <t>LD4838</t>
  </si>
  <si>
    <t>LD4543</t>
  </si>
  <si>
    <t>LD4949</t>
  </si>
  <si>
    <t>LD3616</t>
  </si>
  <si>
    <t>LD4711</t>
  </si>
  <si>
    <t>LD2685</t>
  </si>
  <si>
    <t>LD5412</t>
  </si>
  <si>
    <t>LD2339</t>
  </si>
  <si>
    <t>LD7609</t>
  </si>
  <si>
    <t>LD6567</t>
  </si>
  <si>
    <t>LD7119</t>
  </si>
  <si>
    <t>LD4460</t>
  </si>
  <si>
    <t>LD4705</t>
  </si>
  <si>
    <t>LD5097</t>
  </si>
  <si>
    <t>LD3346</t>
  </si>
  <si>
    <t>LD4361</t>
  </si>
  <si>
    <t>LD2565</t>
  </si>
  <si>
    <t>LD6847</t>
  </si>
  <si>
    <t>LD4380</t>
  </si>
  <si>
    <t>LD6862</t>
  </si>
  <si>
    <t>LD6835</t>
  </si>
  <si>
    <t>LD2232</t>
  </si>
  <si>
    <t>LD5560</t>
  </si>
  <si>
    <t>LD2259</t>
  </si>
  <si>
    <t>LD2952</t>
  </si>
  <si>
    <t>LD7304</t>
  </si>
  <si>
    <t>LD1114</t>
  </si>
  <si>
    <t>LD6756</t>
  </si>
  <si>
    <t>LD5963</t>
  </si>
  <si>
    <t>LD3433</t>
  </si>
  <si>
    <t>LD1508</t>
  </si>
  <si>
    <t>LD4278</t>
  </si>
  <si>
    <t>LD4064</t>
  </si>
  <si>
    <t>LD3522</t>
  </si>
  <si>
    <t>LD3894</t>
  </si>
  <si>
    <t>LD4151</t>
  </si>
  <si>
    <t>LD4787</t>
  </si>
  <si>
    <t>LD1351</t>
  </si>
  <si>
    <t>LD6584</t>
  </si>
  <si>
    <t>LD4275</t>
  </si>
  <si>
    <t>LD4476</t>
  </si>
  <si>
    <t>LD2115</t>
  </si>
  <si>
    <t>LD5779</t>
  </si>
  <si>
    <t>LD1299</t>
  </si>
  <si>
    <t>LD4298</t>
  </si>
  <si>
    <t>LD6382</t>
  </si>
  <si>
    <t>LD5554</t>
  </si>
  <si>
    <t>LD6166</t>
  </si>
  <si>
    <t>LD7206</t>
  </si>
  <si>
    <t>LD3628</t>
  </si>
  <si>
    <t>LD1230</t>
  </si>
  <si>
    <t>LD4389</t>
  </si>
  <si>
    <t>LD4485</t>
  </si>
  <si>
    <t>LD5697</t>
  </si>
  <si>
    <t>LD3985</t>
  </si>
  <si>
    <t>LD5353</t>
  </si>
  <si>
    <t>LD3104</t>
  </si>
  <si>
    <t>LD7115</t>
  </si>
  <si>
    <t>LD3474</t>
  </si>
  <si>
    <t>LD3856</t>
  </si>
  <si>
    <t>LD6102</t>
  </si>
  <si>
    <t>LD2615</t>
  </si>
  <si>
    <t>LD1608</t>
  </si>
  <si>
    <t>LD3752</t>
  </si>
  <si>
    <t>LD2094</t>
  </si>
  <si>
    <t>LD6492</t>
  </si>
  <si>
    <t>LD7665</t>
  </si>
  <si>
    <t>LD7441</t>
  </si>
  <si>
    <t>LD1204</t>
  </si>
  <si>
    <t>LD3643</t>
  </si>
  <si>
    <t>LD4656</t>
  </si>
  <si>
    <t>LD1838</t>
  </si>
  <si>
    <t>LD5851</t>
  </si>
  <si>
    <t>LD2231</t>
  </si>
  <si>
    <t>LD6663</t>
  </si>
  <si>
    <t>LD2610</t>
  </si>
  <si>
    <t>LD5248</t>
  </si>
  <si>
    <t>LD4847</t>
  </si>
  <si>
    <t>LD4205</t>
  </si>
  <si>
    <t>LD5951</t>
  </si>
  <si>
    <t>LD6205</t>
  </si>
  <si>
    <t>LD7471</t>
  </si>
  <si>
    <t>LD4659</t>
  </si>
  <si>
    <t>LD6171</t>
  </si>
  <si>
    <t>LD3253</t>
  </si>
  <si>
    <t>LD4950</t>
  </si>
  <si>
    <t>LD1658</t>
  </si>
  <si>
    <t>LD1791</t>
  </si>
  <si>
    <t>LD6326</t>
  </si>
  <si>
    <t>LD5105</t>
  </si>
  <si>
    <t>LD2360</t>
  </si>
  <si>
    <t>LD7450</t>
  </si>
  <si>
    <t>LD5591</t>
  </si>
  <si>
    <t>LD4771</t>
  </si>
  <si>
    <t>LD6145</t>
  </si>
  <si>
    <t>LD6923</t>
  </si>
  <si>
    <t>LD3903</t>
  </si>
  <si>
    <t>LD3955</t>
  </si>
  <si>
    <t>LD6197</t>
  </si>
  <si>
    <t>LD3986</t>
  </si>
  <si>
    <t>LD7542</t>
  </si>
  <si>
    <t>LD2781</t>
  </si>
  <si>
    <t>LD5202</t>
  </si>
  <si>
    <t>LD1804</t>
  </si>
  <si>
    <t>LD1858</t>
  </si>
  <si>
    <t>LD5901</t>
  </si>
  <si>
    <t>LD4130</t>
  </si>
  <si>
    <t>LD5782</t>
  </si>
  <si>
    <t>LD1220</t>
  </si>
  <si>
    <t>LD2289</t>
  </si>
  <si>
    <t>LD1583</t>
  </si>
  <si>
    <t>LD1044</t>
  </si>
  <si>
    <t>LD2235</t>
  </si>
  <si>
    <t>LD3454</t>
  </si>
  <si>
    <t>LD7567</t>
  </si>
  <si>
    <t>LD2893</t>
  </si>
  <si>
    <t>LD6936</t>
  </si>
  <si>
    <t>LD4617</t>
  </si>
  <si>
    <t>LD6611</t>
  </si>
  <si>
    <t>LD2072</t>
  </si>
  <si>
    <t>LD1719</t>
  </si>
  <si>
    <t>LD2506</t>
  </si>
  <si>
    <t>LD1671</t>
  </si>
  <si>
    <t>LD6425</t>
  </si>
  <si>
    <t>LD5339</t>
  </si>
  <si>
    <t>LD1898</t>
  </si>
  <si>
    <t>LD6459</t>
  </si>
  <si>
    <t>LD3624</t>
  </si>
  <si>
    <t>LD7453</t>
  </si>
  <si>
    <t>LD7427</t>
  </si>
  <si>
    <t>LD6415</t>
  </si>
  <si>
    <t>LD3733</t>
  </si>
  <si>
    <t>LD6112</t>
  </si>
  <si>
    <t>LD3690</t>
  </si>
  <si>
    <t>LD3413</t>
  </si>
  <si>
    <t>LD6170</t>
  </si>
  <si>
    <t>LD2875</t>
  </si>
  <si>
    <t>LD2770</t>
  </si>
  <si>
    <t>LD5928</t>
  </si>
  <si>
    <t>LD7258</t>
  </si>
  <si>
    <t>LD2984</t>
  </si>
  <si>
    <t>LD5049</t>
  </si>
  <si>
    <t>LD6546</t>
  </si>
  <si>
    <t>LD7626</t>
  </si>
  <si>
    <t>LD3164</t>
  </si>
  <si>
    <t>LD1732</t>
  </si>
  <si>
    <t>LD7331</t>
  </si>
  <si>
    <t>LD3233</t>
  </si>
  <si>
    <t>LD4657</t>
  </si>
  <si>
    <t>LD3706</t>
  </si>
  <si>
    <t>LD2256</t>
  </si>
  <si>
    <t>LD3105</t>
  </si>
  <si>
    <t>LD4933</t>
  </si>
  <si>
    <t>LD6036</t>
  </si>
  <si>
    <t>LD1899</t>
  </si>
  <si>
    <t>LD1429</t>
  </si>
  <si>
    <t>LD5680</t>
  </si>
  <si>
    <t>LD6373</t>
  </si>
  <si>
    <t>LD6308</t>
  </si>
  <si>
    <t>LD7138</t>
  </si>
  <si>
    <t>LD2223</t>
  </si>
  <si>
    <t>LD5232</t>
  </si>
  <si>
    <t>LD6018</t>
  </si>
  <si>
    <t>LD5692</t>
  </si>
  <si>
    <t>LD5620</t>
  </si>
  <si>
    <t>LD2097</t>
  </si>
  <si>
    <t>LD3073</t>
  </si>
  <si>
    <t>LD7125</t>
  </si>
  <si>
    <t>LD4461</t>
  </si>
  <si>
    <t>LD6723</t>
  </si>
  <si>
    <t>LD2789</t>
  </si>
  <si>
    <t>LD5915</t>
  </si>
  <si>
    <t>LD4277</t>
  </si>
  <si>
    <t>LD5088</t>
  </si>
  <si>
    <t>LD3907</t>
  </si>
  <si>
    <t>LD1193</t>
  </si>
  <si>
    <t>LD3500</t>
  </si>
  <si>
    <t>LD2127</t>
  </si>
  <si>
    <t>LD4685</t>
  </si>
  <si>
    <t>LD3803</t>
  </si>
  <si>
    <t>LD3487</t>
  </si>
  <si>
    <t>LD1305</t>
  </si>
  <si>
    <t>LD4286</t>
  </si>
  <si>
    <t>LD2293</t>
  </si>
  <si>
    <t>LD1071</t>
  </si>
  <si>
    <t>LD3550</t>
  </si>
  <si>
    <t>LD7443</t>
  </si>
  <si>
    <t>LD3518</t>
  </si>
  <si>
    <t>LD1832</t>
  </si>
  <si>
    <t>LD3908</t>
  </si>
  <si>
    <t>LD2457</t>
  </si>
  <si>
    <t>LD5130</t>
  </si>
  <si>
    <t>LD1239</t>
  </si>
  <si>
    <t>LD1093</t>
  </si>
  <si>
    <t>LD6685</t>
  </si>
  <si>
    <t>LD4564</t>
  </si>
  <si>
    <t>LD3828</t>
  </si>
  <si>
    <t>LD4367</t>
  </si>
  <si>
    <t>LD3440</t>
  </si>
  <si>
    <t>LD4091</t>
  </si>
  <si>
    <t>LD5255</t>
  </si>
  <si>
    <t>LD2002</t>
  </si>
  <si>
    <t>LD4197</t>
  </si>
  <si>
    <t>LD7504</t>
  </si>
  <si>
    <t>LD7548</t>
  </si>
  <si>
    <t>LD3575</t>
  </si>
  <si>
    <t>LD3887</t>
  </si>
  <si>
    <t>LD2533</t>
  </si>
  <si>
    <t>LD5639</t>
  </si>
  <si>
    <t>LD1412</t>
  </si>
  <si>
    <t>LD3579</t>
  </si>
  <si>
    <t>LD7511</t>
  </si>
  <si>
    <t>LD7264</t>
  </si>
  <si>
    <t>LD5984</t>
  </si>
  <si>
    <t>LD4412</t>
  </si>
  <si>
    <t>LD4075</t>
  </si>
  <si>
    <t>LD3619</t>
  </si>
  <si>
    <t>LD7186</t>
  </si>
  <si>
    <t>LD6165</t>
  </si>
  <si>
    <t>LD5047</t>
  </si>
  <si>
    <t>LD1634</t>
  </si>
  <si>
    <t>LD1499</t>
  </si>
  <si>
    <t>LD6065</t>
  </si>
  <si>
    <t>LD1638</t>
  </si>
  <si>
    <t>LD1721</t>
  </si>
  <si>
    <t>LD4856</t>
  </si>
  <si>
    <t>LD1758</t>
  </si>
  <si>
    <t>LD3446</t>
  </si>
  <si>
    <t>LD4976</t>
  </si>
  <si>
    <t>LD4808</t>
  </si>
  <si>
    <t>LD4997</t>
  </si>
  <si>
    <t>LD5387</t>
  </si>
  <si>
    <t>LD1597</t>
  </si>
  <si>
    <t>LD5849</t>
  </si>
  <si>
    <t>LD2069</t>
  </si>
  <si>
    <t>LD2943</t>
  </si>
  <si>
    <t>LD2648</t>
  </si>
  <si>
    <t>LD6707</t>
  </si>
  <si>
    <t>LD2701</t>
  </si>
  <si>
    <t>LD6439</t>
  </si>
  <si>
    <t>LD4661</t>
  </si>
  <si>
    <t>LD1087</t>
  </si>
  <si>
    <t>LD3309</t>
  </si>
  <si>
    <t>LD3499</t>
  </si>
  <si>
    <t>LD6724</t>
  </si>
  <si>
    <t>LD2030</t>
  </si>
  <si>
    <t>LD7677</t>
  </si>
  <si>
    <t>LD6219</t>
  </si>
  <si>
    <t>LD3145</t>
  </si>
  <si>
    <t>LD5241</t>
  </si>
  <si>
    <t>LD2201</t>
  </si>
  <si>
    <t>LD3026</t>
  </si>
  <si>
    <t>LD1622</t>
  </si>
  <si>
    <t>LD7166</t>
  </si>
  <si>
    <t>LD1567</t>
  </si>
  <si>
    <t>LD2838</t>
  </si>
  <si>
    <t>LD2335</t>
  </si>
  <si>
    <t>LD6256</t>
  </si>
  <si>
    <t>LD7454</t>
  </si>
  <si>
    <t>LD3100</t>
  </si>
  <si>
    <t>LD6423</t>
  </si>
  <si>
    <t>LD3441</t>
  </si>
  <si>
    <t>LD4246</t>
  </si>
  <si>
    <t>LD2689</t>
  </si>
  <si>
    <t>LD1746</t>
  </si>
  <si>
    <t>LD5629</t>
  </si>
  <si>
    <t>LD5054</t>
  </si>
  <si>
    <t>LD3188</t>
  </si>
  <si>
    <t>LD1196</t>
  </si>
  <si>
    <t>LD4941</t>
  </si>
  <si>
    <t>LD3447</t>
  </si>
  <si>
    <t>LD5464</t>
  </si>
  <si>
    <t>LD1803</t>
  </si>
  <si>
    <t>LD5608</t>
  </si>
  <si>
    <t>LD3351</t>
  </si>
  <si>
    <t>LD6529</t>
  </si>
  <si>
    <t>LD3069</t>
  </si>
  <si>
    <t>LD6771</t>
  </si>
  <si>
    <t>LD1645</t>
  </si>
  <si>
    <t>LD6994</t>
  </si>
  <si>
    <t>LD6080</t>
  </si>
  <si>
    <t>LD3472</t>
  </si>
  <si>
    <t>LD5706</t>
  </si>
  <si>
    <t>LD1121</t>
  </si>
  <si>
    <t>LD2778</t>
  </si>
  <si>
    <t>LD5669</t>
  </si>
  <si>
    <t>LD6449</t>
  </si>
  <si>
    <t>LD3136</t>
  </si>
  <si>
    <t>LD4024</t>
  </si>
  <si>
    <t>LD6828</t>
  </si>
  <si>
    <t>LD1135</t>
  </si>
  <si>
    <t>LD6988</t>
  </si>
  <si>
    <t>LD4143</t>
  </si>
  <si>
    <t>LD3861</t>
  </si>
  <si>
    <t>LD1063</t>
  </si>
  <si>
    <t>LD5650</t>
  </si>
  <si>
    <t>LD6903</t>
  </si>
  <si>
    <t>LD5610</t>
  </si>
  <si>
    <t>LD4110</t>
  </si>
  <si>
    <t>LD1680</t>
  </si>
  <si>
    <t>LD4464</t>
  </si>
  <si>
    <t>LD1742</t>
  </si>
  <si>
    <t>LD2212</t>
  </si>
  <si>
    <t>LD3171</t>
  </si>
  <si>
    <t>LD4414</t>
  </si>
  <si>
    <t>LD7208</t>
  </si>
  <si>
    <t>LD1568</t>
  </si>
  <si>
    <t>LD2874</t>
  </si>
  <si>
    <t>LD4044</t>
  </si>
  <si>
    <t>LD2718</t>
  </si>
  <si>
    <t>LD2393</t>
  </si>
  <si>
    <t>LD6090</t>
  </si>
  <si>
    <t>LD3866</t>
  </si>
  <si>
    <t>LD1490</t>
  </si>
  <si>
    <t>LD6390</t>
  </si>
  <si>
    <t>LD1691</t>
  </si>
  <si>
    <t>LD6523</t>
  </si>
  <si>
    <t>LD1603</t>
  </si>
  <si>
    <t>LD2912</t>
  </si>
  <si>
    <t>LD4962</t>
  </si>
  <si>
    <t>LD7578</t>
  </si>
  <si>
    <t>LD6056</t>
  </si>
  <si>
    <t>LD3367</t>
  </si>
  <si>
    <t>LD2188</t>
  </si>
  <si>
    <t>LD1275</t>
  </si>
  <si>
    <t>LD4672</t>
  </si>
  <si>
    <t>LD2362</t>
  </si>
  <si>
    <t>LD5360</t>
  </si>
  <si>
    <t>LD2527</t>
  </si>
  <si>
    <t>LD4065</t>
  </si>
  <si>
    <t>LD5748</t>
  </si>
  <si>
    <t>LD4871</t>
  </si>
  <si>
    <t>LD5878</t>
  </si>
  <si>
    <t>LD7452</t>
  </si>
  <si>
    <t>LD7377</t>
  </si>
  <si>
    <t>LD4870</t>
  </si>
  <si>
    <t>LD1946</t>
  </si>
  <si>
    <t>LD6334</t>
  </si>
  <si>
    <t>LD3251</t>
  </si>
  <si>
    <t>LD6020</t>
  </si>
  <si>
    <t>LD6243</t>
  </si>
  <si>
    <t>LD3813</t>
  </si>
  <si>
    <t>LD3347</t>
  </si>
  <si>
    <t>LD1069</t>
  </si>
  <si>
    <t>LD5966</t>
  </si>
  <si>
    <t>LD5816</t>
  </si>
  <si>
    <t>LD2599</t>
  </si>
  <si>
    <t>LD5555</t>
  </si>
  <si>
    <t>LD6184</t>
  </si>
  <si>
    <t>LD5394</t>
  </si>
  <si>
    <t>LD2504</t>
  </si>
  <si>
    <t>LD3670</t>
  </si>
  <si>
    <t>LD1151</t>
  </si>
  <si>
    <t>LD7157</t>
  </si>
  <si>
    <t>LD3087</t>
  </si>
  <si>
    <t>LD7180</t>
  </si>
  <si>
    <t>LD3260</t>
  </si>
  <si>
    <t>LD5504</t>
  </si>
  <si>
    <t>LD4103</t>
  </si>
  <si>
    <t>LD6228</t>
  </si>
  <si>
    <t>LD6648</t>
  </si>
  <si>
    <t>LD1860</t>
  </si>
  <si>
    <t>LD5503</t>
  </si>
  <si>
    <t>LD7562</t>
  </si>
  <si>
    <t>LD6307</t>
  </si>
  <si>
    <t>LD3956</t>
  </si>
  <si>
    <t>LD1367</t>
  </si>
  <si>
    <t>LD2433</t>
  </si>
  <si>
    <t>LD5744</t>
  </si>
  <si>
    <t>LD2780</t>
  </si>
  <si>
    <t>LD5123</t>
  </si>
  <si>
    <t>LD4015</t>
  </si>
  <si>
    <t>LD2819</t>
  </si>
  <si>
    <t>LD5323</t>
  </si>
  <si>
    <t>LD1842</t>
  </si>
  <si>
    <t>LD2190</t>
  </si>
  <si>
    <t>LD1176</t>
  </si>
  <si>
    <t>LD4410</t>
  </si>
  <si>
    <t>LD1618</t>
  </si>
  <si>
    <t>LD3094</t>
  </si>
  <si>
    <t>LD7684</t>
  </si>
  <si>
    <t>LD6365</t>
  </si>
  <si>
    <t>LD7418</t>
  </si>
  <si>
    <t>LD2031</t>
  </si>
  <si>
    <t>LD3922</t>
  </si>
  <si>
    <t>LD1301</t>
  </si>
  <si>
    <t>LD2473</t>
  </si>
  <si>
    <t>LD1284</t>
  </si>
  <si>
    <t>LD3029</t>
  </si>
  <si>
    <t>LD6990</t>
  </si>
  <si>
    <t>LD7303</t>
  </si>
  <si>
    <t>LD6378</t>
  </si>
  <si>
    <t>LD2814</t>
  </si>
  <si>
    <t>LD2272</t>
  </si>
  <si>
    <t>LD3511</t>
  </si>
  <si>
    <t>LD5804</t>
  </si>
  <si>
    <t>LD4571</t>
  </si>
  <si>
    <t>LD3314</t>
  </si>
  <si>
    <t>LD3009</t>
  </si>
  <si>
    <t>LD5048</t>
  </si>
  <si>
    <t>LD4283</t>
  </si>
  <si>
    <t>LD7178</t>
  </si>
  <si>
    <t>LD7537</t>
  </si>
  <si>
    <t>LD5900</t>
  </si>
  <si>
    <t>LD1100</t>
  </si>
  <si>
    <t>LD4804</t>
  </si>
  <si>
    <t>LD1745</t>
  </si>
  <si>
    <t>LD7274</t>
  </si>
  <si>
    <t>LD1481</t>
  </si>
  <si>
    <t>LD5480</t>
  </si>
  <si>
    <t>LD7590</t>
  </si>
  <si>
    <t>LD5783</t>
  </si>
  <si>
    <t>LD2158</t>
  </si>
  <si>
    <t>LD2438</t>
  </si>
  <si>
    <t>LD3415</t>
  </si>
  <si>
    <t>LD4788</t>
  </si>
  <si>
    <t>LD1403</t>
  </si>
  <si>
    <t>LD3196</t>
  </si>
  <si>
    <t>LD1950</t>
  </si>
  <si>
    <t>LD3068</t>
  </si>
  <si>
    <t>LD3993</t>
  </si>
  <si>
    <t>LD5739</t>
  </si>
  <si>
    <t>LD1669</t>
  </si>
  <si>
    <t>LD1219</t>
  </si>
  <si>
    <t>LD2963</t>
  </si>
  <si>
    <t>LD3782</t>
  </si>
  <si>
    <t>LD4253</t>
  </si>
  <si>
    <t>LD3214</t>
  </si>
  <si>
    <t>LD7569</t>
  </si>
  <si>
    <t>LD7731</t>
  </si>
  <si>
    <t>LD5535</t>
  </si>
  <si>
    <t>LD5487</t>
  </si>
  <si>
    <t>LD3146</t>
  </si>
  <si>
    <t>LD1778</t>
  </si>
  <si>
    <t>LD6141</t>
  </si>
  <si>
    <t>LD4625</t>
  </si>
  <si>
    <t>LD4609</t>
  </si>
  <si>
    <t>LD5103</t>
  </si>
  <si>
    <t>LD2492</t>
  </si>
  <si>
    <t>LD3698</t>
  </si>
  <si>
    <t>LD6067</t>
  </si>
  <si>
    <t>LD3577</t>
  </si>
  <si>
    <t>LD7734</t>
  </si>
  <si>
    <t>LD4707</t>
  </si>
  <si>
    <t>LD1518</t>
  </si>
  <si>
    <t>LD6921</t>
  </si>
  <si>
    <t>LD6698</t>
  </si>
  <si>
    <t>LD4535</t>
  </si>
  <si>
    <t>LD5642</t>
  </si>
  <si>
    <t>LD7608</t>
  </si>
  <si>
    <t>LD4092</t>
  </si>
  <si>
    <t>LD4432</t>
  </si>
  <si>
    <t>LD1569</t>
  </si>
  <si>
    <t>LD1361</t>
  </si>
  <si>
    <t>LD5408</t>
  </si>
  <si>
    <t>LD4009</t>
  </si>
  <si>
    <t>LD3796</t>
  </si>
  <si>
    <t>LD1760</t>
  </si>
  <si>
    <t>LD4320</t>
  </si>
  <si>
    <t>LD7419</t>
  </si>
  <si>
    <t>LD6506</t>
  </si>
  <si>
    <t>LD5418</t>
  </si>
  <si>
    <t>LD1215</t>
  </si>
  <si>
    <t>LD5448</t>
  </si>
  <si>
    <t>LD4544</t>
  </si>
  <si>
    <t>LD3891</t>
  </si>
  <si>
    <t>LD5099</t>
  </si>
  <si>
    <t>LD6406</t>
  </si>
  <si>
    <t>LD5355</t>
  </si>
  <si>
    <t>LD3245</t>
  </si>
  <si>
    <t>LD1726</t>
  </si>
  <si>
    <t>LD4238</t>
  </si>
  <si>
    <t>LD1050</t>
  </si>
  <si>
    <t>LD6311</t>
  </si>
  <si>
    <t>LD1888</t>
  </si>
  <si>
    <t>LD6933</t>
  </si>
  <si>
    <t>LD5673</t>
  </si>
  <si>
    <t>LD1517</t>
  </si>
  <si>
    <t>LD3772</t>
  </si>
  <si>
    <t>LD1140</t>
  </si>
  <si>
    <t>LD5551</t>
  </si>
  <si>
    <t>LD3877</t>
  </si>
  <si>
    <t>LD5484</t>
  </si>
  <si>
    <t>LD4239</t>
  </si>
  <si>
    <t>LD1464</t>
  </si>
  <si>
    <t>LD6752</t>
  </si>
  <si>
    <t>LD6917</t>
  </si>
  <si>
    <t>LD1595</t>
  </si>
  <si>
    <t>LD1451</t>
  </si>
  <si>
    <t>LD4484</t>
  </si>
  <si>
    <t>LD5959</t>
  </si>
  <si>
    <t>LD4541</t>
  </si>
  <si>
    <t>LD1313</t>
  </si>
  <si>
    <t>LD3848</t>
  </si>
  <si>
    <t>LD5078</t>
  </si>
  <si>
    <t>LD5562</t>
  </si>
  <si>
    <t>LD1452</t>
  </si>
  <si>
    <t>LD6478</t>
  </si>
  <si>
    <t>LD1891</t>
  </si>
  <si>
    <t>LD7599</t>
  </si>
  <si>
    <t>LD2507</t>
  </si>
  <si>
    <t>LD5675</t>
  </si>
  <si>
    <t>LD7345</t>
  </si>
  <si>
    <t>LD2000</t>
  </si>
  <si>
    <t>LD1390</t>
  </si>
  <si>
    <t>LD3331</t>
  </si>
  <si>
    <t>LD2477</t>
  </si>
  <si>
    <t>LD3241</t>
  </si>
  <si>
    <t>LD7096</t>
  </si>
  <si>
    <t>LD7104</t>
  </si>
  <si>
    <t>LD6660</t>
  </si>
  <si>
    <t>LD6721</t>
  </si>
  <si>
    <t>LD2924</t>
  </si>
  <si>
    <t>LD1759</t>
  </si>
  <si>
    <t>LD4623</t>
  </si>
  <si>
    <t>LD6935</t>
  </si>
  <si>
    <t>LD2294</t>
  </si>
  <si>
    <t>LD7075</t>
  </si>
  <si>
    <t>LD7700</t>
  </si>
  <si>
    <t>LD4025</t>
  </si>
  <si>
    <t>LD2908</t>
  </si>
  <si>
    <t>LD5665</t>
  </si>
  <si>
    <t>LD5702</t>
  </si>
  <si>
    <t>LD1369</t>
  </si>
  <si>
    <t>LD2938</t>
  </si>
  <si>
    <t>LD2152</t>
  </si>
  <si>
    <t>LD5296</t>
  </si>
  <si>
    <t>LD5217</t>
  </si>
  <si>
    <t>LD7674</t>
  </si>
  <si>
    <t>LD1192</t>
  </si>
  <si>
    <t>LD5308</t>
  </si>
  <si>
    <t>LD4505</t>
  </si>
  <si>
    <t>LD1175</t>
  </si>
  <si>
    <t>LD6168</t>
  </si>
  <si>
    <t>LD2100</t>
  </si>
  <si>
    <t>LD5491</t>
  </si>
  <si>
    <t>LD3707</t>
  </si>
  <si>
    <t>LD3293</t>
  </si>
  <si>
    <t>LD6906</t>
  </si>
  <si>
    <t>LD7601</t>
  </si>
  <si>
    <t>LD6860</t>
  </si>
  <si>
    <t>LD4299</t>
  </si>
  <si>
    <t>LD2165</t>
  </si>
  <si>
    <t>LD4483</t>
  </si>
  <si>
    <t>LD4721</t>
  </si>
  <si>
    <t>LD6500</t>
  </si>
  <si>
    <t>LD6051</t>
  </si>
  <si>
    <t>LD6083</t>
  </si>
  <si>
    <t>LD2662</t>
  </si>
  <si>
    <t>LD1509</t>
  </si>
  <si>
    <t>LD1167</t>
  </si>
  <si>
    <t>LD4775</t>
  </si>
  <si>
    <t>LD5658</t>
  </si>
  <si>
    <t>LD4133</t>
  </si>
  <si>
    <t>LD5569</t>
  </si>
  <si>
    <t>LD1104</t>
  </si>
  <si>
    <t>LD7393</t>
  </si>
  <si>
    <t>LD5102</t>
  </si>
  <si>
    <t>LD4859</t>
  </si>
  <si>
    <t>LD4510</t>
  </si>
  <si>
    <t>LD5163</t>
  </si>
  <si>
    <t>LD2753</t>
  </si>
  <si>
    <t>LD7055</t>
  </si>
  <si>
    <t>LD4506</t>
  </si>
  <si>
    <t>LD2659</t>
  </si>
  <si>
    <t>LD1153</t>
  </si>
  <si>
    <t>LD4348</t>
  </si>
  <si>
    <t>LD3484</t>
  </si>
  <si>
    <t>LD2584</t>
  </si>
  <si>
    <t>LD3553</t>
  </si>
  <si>
    <t>LD6467</t>
  </si>
  <si>
    <t>LD4313</t>
  </si>
  <si>
    <t>LD6822</t>
  </si>
  <si>
    <t>LD4465</t>
  </si>
  <si>
    <t>LD3210</t>
  </si>
  <si>
    <t>LD4419</t>
  </si>
  <si>
    <t>LD5052</t>
  </si>
  <si>
    <t>LD2823</t>
  </si>
  <si>
    <t>LD6232</t>
  </si>
  <si>
    <t>LD6649</t>
  </si>
  <si>
    <t>LD1310</t>
  </si>
  <si>
    <t>LD1213</t>
  </si>
  <si>
    <t>LD6202</t>
  </si>
  <si>
    <t>LD5122</t>
  </si>
  <si>
    <t>LD4327</t>
  </si>
  <si>
    <t>LD1496</t>
  </si>
  <si>
    <t>LD1206</t>
  </si>
  <si>
    <t>LD2435</t>
  </si>
  <si>
    <t>LD2136</t>
  </si>
  <si>
    <t>LD3585</t>
  </si>
  <si>
    <t>LD1869</t>
  </si>
  <si>
    <t>LD1306</t>
  </si>
  <si>
    <t>LD2850</t>
  </si>
  <si>
    <t>LD3886</t>
  </si>
  <si>
    <t>LD2989</t>
  </si>
  <si>
    <t>LD6323</t>
  </si>
  <si>
    <t>LD2535</t>
  </si>
  <si>
    <t>LD1844</t>
  </si>
  <si>
    <t>LD2988</t>
  </si>
  <si>
    <t>LD4830</t>
  </si>
  <si>
    <t>LD7692</t>
  </si>
  <si>
    <t>LD7039</t>
  </si>
  <si>
    <t>LD1384</t>
  </si>
  <si>
    <t>LD2539</t>
  </si>
  <si>
    <t>LD1212</t>
  </si>
  <si>
    <t>LD2958</t>
  </si>
  <si>
    <t>LD6842</t>
  </si>
  <si>
    <t>LD5051</t>
  </si>
  <si>
    <t>LD4951</t>
  </si>
  <si>
    <t>LD4502</t>
  </si>
  <si>
    <t>LD2350</t>
  </si>
  <si>
    <t>LD5240</t>
  </si>
  <si>
    <t>LD5166</t>
  </si>
  <si>
    <t>LD7254</t>
  </si>
  <si>
    <t>LD1681</t>
  </si>
  <si>
    <t>LD1181</t>
  </si>
  <si>
    <t>LD7459</t>
  </si>
  <si>
    <t>LD6564</t>
  </si>
  <si>
    <t>LD7265</t>
  </si>
  <si>
    <t>LD1279</t>
  </si>
  <si>
    <t>LD4117</t>
  </si>
  <si>
    <t>LD4045</t>
  </si>
  <si>
    <t>LD3481</t>
  </si>
  <si>
    <t>LD1290</t>
  </si>
  <si>
    <t>LD7144</t>
  </si>
  <si>
    <t>LD6092</t>
  </si>
  <si>
    <t>LD1994</t>
  </si>
  <si>
    <t>LD3237</t>
  </si>
  <si>
    <t>LD5579</t>
  </si>
  <si>
    <t>LD4967</t>
  </si>
  <si>
    <t>LD5784</t>
  </si>
  <si>
    <t>LD6436</t>
  </si>
  <si>
    <t>LD7184</t>
  </si>
  <si>
    <t>LD1271</t>
  </si>
  <si>
    <t>LD4167</t>
  </si>
  <si>
    <t>LD6545</t>
  </si>
  <si>
    <t>LD3893</t>
  </si>
  <si>
    <t>LD7042</t>
  </si>
  <si>
    <t>LD1112</t>
  </si>
  <si>
    <t>LD2392</t>
  </si>
  <si>
    <t>LD3601</t>
  </si>
  <si>
    <t>LD1221</t>
  </si>
  <si>
    <t>LD5036</t>
  </si>
  <si>
    <t>LD5120</t>
  </si>
  <si>
    <t>LD1084</t>
  </si>
  <si>
    <t>LD1874</t>
  </si>
  <si>
    <t>LD5229</t>
  </si>
  <si>
    <t>LD1462</t>
  </si>
  <si>
    <t>LD7653</t>
  </si>
  <si>
    <t>LD1552</t>
  </si>
  <si>
    <t>LD3852</t>
  </si>
  <si>
    <t>LD3375</t>
  </si>
  <si>
    <t>LD6703</t>
  </si>
  <si>
    <t>LD3247</t>
  </si>
  <si>
    <t>LD7385</t>
  </si>
  <si>
    <t>LD4576</t>
  </si>
  <si>
    <t>LD3451</t>
  </si>
  <si>
    <t>LD3330</t>
  </si>
  <si>
    <t>LD6690</t>
  </si>
  <si>
    <t>LD3147</t>
  </si>
  <si>
    <t>LD4708</t>
  </si>
  <si>
    <t>LD5838</t>
  </si>
  <si>
    <t>LD1651</t>
  </si>
  <si>
    <t>LD1709</t>
  </si>
  <si>
    <t>LD6799</t>
  </si>
  <si>
    <t>LD4823</t>
  </si>
  <si>
    <t>LD4035</t>
  </si>
  <si>
    <t>LD5546</t>
  </si>
  <si>
    <t>LD2425</t>
  </si>
  <si>
    <t>LD2217</t>
  </si>
  <si>
    <t>LD6177</t>
  </si>
  <si>
    <t>LD2925</t>
  </si>
  <si>
    <t>LD4536</t>
  </si>
  <si>
    <t>LD4471</t>
  </si>
  <si>
    <t>LD1315</t>
  </si>
  <si>
    <t>LD4530</t>
  </si>
  <si>
    <t>LD2428</t>
  </si>
  <si>
    <t>LD4425</t>
  </si>
  <si>
    <t>LD4782</t>
  </si>
  <si>
    <t>LD4651</t>
  </si>
  <si>
    <t>LD6486</t>
  </si>
  <si>
    <t>LD7566</t>
  </si>
  <si>
    <t>LD2106</t>
  </si>
  <si>
    <t>LD5990</t>
  </si>
  <si>
    <t>LD6528</t>
  </si>
  <si>
    <t>LD7784</t>
  </si>
  <si>
    <t>LD4270</t>
  </si>
  <si>
    <t>LD1685</t>
  </si>
  <si>
    <t>LD7154</t>
  </si>
  <si>
    <t>LD3766</t>
  </si>
  <si>
    <t>LD4759</t>
  </si>
  <si>
    <t>LD6768</t>
  </si>
  <si>
    <t>LD3452</t>
  </si>
  <si>
    <t>LD5952</t>
  </si>
  <si>
    <t>LD1327</t>
  </si>
  <si>
    <t>LD6462</t>
  </si>
  <si>
    <t>LD6673</t>
  </si>
  <si>
    <t>LD3177</t>
  </si>
  <si>
    <t>LD4354</t>
  </si>
  <si>
    <t>LD5547</t>
  </si>
  <si>
    <t>LD7250</t>
  </si>
  <si>
    <t>LD5668</t>
  </si>
  <si>
    <t>LD3788</t>
  </si>
  <si>
    <t>LD5615</t>
  </si>
  <si>
    <t>LD4036</t>
  </si>
  <si>
    <t>LD2677</t>
  </si>
  <si>
    <t>LD1349</t>
  </si>
  <si>
    <t>LD4329</t>
  </si>
  <si>
    <t>LD2627</t>
  </si>
  <si>
    <t>LD7340</t>
  </si>
  <si>
    <t>LD3923</t>
  </si>
  <si>
    <t>LD7134</t>
  </si>
  <si>
    <t>LD1872</t>
  </si>
  <si>
    <t>LD4814</t>
  </si>
  <si>
    <t>LD4400</t>
  </si>
  <si>
    <t>LD4033</t>
  </si>
  <si>
    <t>LD3219</t>
  </si>
  <si>
    <t>LD6320</t>
  </si>
  <si>
    <t>LD3122</t>
  </si>
  <si>
    <t>LD5032</t>
  </si>
  <si>
    <t>LD7480</t>
  </si>
  <si>
    <t>LD1086</t>
  </si>
  <si>
    <t>LD5882</t>
  </si>
  <si>
    <t>LD2878</t>
  </si>
  <si>
    <t>LD3802</t>
  </si>
  <si>
    <t>LD6355</t>
  </si>
  <si>
    <t>LD3641</t>
  </si>
  <si>
    <t>LD6807</t>
  </si>
  <si>
    <t>LD4076</t>
  </si>
  <si>
    <t>LD1495</t>
  </si>
  <si>
    <t>LD6885</t>
  </si>
  <si>
    <t>LD3526</t>
  </si>
  <si>
    <t>LD4998</t>
  </si>
  <si>
    <t>LD4479</t>
  </si>
  <si>
    <t>LD6193</t>
  </si>
  <si>
    <t>LD2271</t>
  </si>
  <si>
    <t>LD6225</t>
  </si>
  <si>
    <t>LD7583</t>
  </si>
  <si>
    <t>LD4406</t>
  </si>
  <si>
    <t>LD6609</t>
  </si>
  <si>
    <t>LD1619</t>
  </si>
  <si>
    <t>LD6805</t>
  </si>
  <si>
    <t>LD6191</t>
  </si>
  <si>
    <t>LD5918</t>
  </si>
  <si>
    <t>LD4306</t>
  </si>
  <si>
    <t>LD3878</t>
  </si>
  <si>
    <t>LD4932</t>
  </si>
  <si>
    <t>LD2414</t>
  </si>
  <si>
    <t>LD3202</t>
  </si>
  <si>
    <t>LD3002</t>
  </si>
  <si>
    <t>LD6062</t>
  </si>
  <si>
    <t>LD1870</t>
  </si>
  <si>
    <t>LD3359</t>
  </si>
  <si>
    <t>LD3007</t>
  </si>
  <si>
    <t>LD5419</t>
  </si>
  <si>
    <t>LD5696</t>
  </si>
  <si>
    <t>LD1357</t>
  </si>
  <si>
    <t>LD2163</t>
  </si>
  <si>
    <t>LD6151</t>
  </si>
  <si>
    <t>LD5073</t>
  </si>
  <si>
    <t>LD4115</t>
  </si>
  <si>
    <t>LD5268</t>
  </si>
  <si>
    <t>LD7173</t>
  </si>
  <si>
    <t>LD7690</t>
  </si>
  <si>
    <t>LD2891</t>
  </si>
  <si>
    <t>LD1580</t>
  </si>
  <si>
    <t>LD4853</t>
  </si>
  <si>
    <t>LD4307</t>
  </si>
  <si>
    <t>LD2692</t>
  </si>
  <si>
    <t>LD1863</t>
  </si>
  <si>
    <t>LD5592</t>
  </si>
  <si>
    <t>LD5169</t>
  </si>
  <si>
    <t>LD3381</t>
  </si>
  <si>
    <t>LD3379</t>
  </si>
  <si>
    <t>LD7415</t>
  </si>
  <si>
    <t>LD6254</t>
  </si>
  <si>
    <t>LD4333</t>
  </si>
  <si>
    <t>LD2117</t>
  </si>
  <si>
    <t>LD2542</t>
  </si>
  <si>
    <t>LD4552</t>
  </si>
  <si>
    <t>LD6220</t>
  </si>
  <si>
    <t>LD7239</t>
  </si>
  <si>
    <t>LD4376</t>
  </si>
  <si>
    <t>LD5578</t>
  </si>
  <si>
    <t>LD6417</t>
  </si>
  <si>
    <t>LD4050</t>
  </si>
  <si>
    <t>LD5533</t>
  </si>
  <si>
    <t>LD7572</t>
  </si>
  <si>
    <t>LD3501</t>
  </si>
  <si>
    <t>LD7643</t>
  </si>
  <si>
    <t>LD5236</t>
  </si>
  <si>
    <t>LD7009</t>
  </si>
  <si>
    <t>LD7017</t>
  </si>
  <si>
    <t>LD7676</t>
  </si>
  <si>
    <t>LD4108</t>
  </si>
  <si>
    <t>LD6107</t>
  </si>
  <si>
    <t>LD7468</t>
  </si>
  <si>
    <t>LD6863</t>
  </si>
  <si>
    <t>LD7338</t>
  </si>
  <si>
    <t>LD6042</t>
  </si>
  <si>
    <t>LD5506</t>
  </si>
  <si>
    <t>LD7507</t>
  </si>
  <si>
    <t>LD3053</t>
  </si>
  <si>
    <t>LD2777</t>
  </si>
  <si>
    <t>LD4236</t>
  </si>
  <si>
    <t>LD5652</t>
  </si>
  <si>
    <t>LD3537</t>
  </si>
  <si>
    <t>LD5871</t>
  </si>
  <si>
    <t>LD4524</t>
  </si>
  <si>
    <t>LD2593</t>
  </si>
  <si>
    <t>LD2724</t>
  </si>
  <si>
    <t>LD7269</t>
  </si>
  <si>
    <t>LD3612</t>
  </si>
  <si>
    <t>LD5611</t>
  </si>
  <si>
    <t>LD1491</t>
  </si>
  <si>
    <t>LD6705</t>
  </si>
  <si>
    <t>LD3911</t>
  </si>
  <si>
    <t>LD2007</t>
  </si>
  <si>
    <t>LD7256</t>
  </si>
  <si>
    <t>LD3504</t>
  </si>
  <si>
    <t>LD5274</t>
  </si>
  <si>
    <t>LD3315</t>
  </si>
  <si>
    <t>LD3555</t>
  </si>
  <si>
    <t>LD2418</t>
  </si>
  <si>
    <t>LD1026</t>
  </si>
  <si>
    <t>LD3410</t>
  </si>
  <si>
    <t>LD2114</t>
  </si>
  <si>
    <t>LD5370</t>
  </si>
  <si>
    <t>LD2553</t>
  </si>
  <si>
    <t>LD6797</t>
  </si>
  <si>
    <t>LD7019</t>
  </si>
  <si>
    <t>LD5100</t>
  </si>
  <si>
    <t>LD1434</t>
  </si>
  <si>
    <t>LD7324</t>
  </si>
  <si>
    <t>LD3656</t>
  </si>
  <si>
    <t>LD4626</t>
  </si>
  <si>
    <t>LD5598</t>
  </si>
  <si>
    <t>LD5820</t>
  </si>
  <si>
    <t>LD4986</t>
  </si>
  <si>
    <t>LD5155</t>
  </si>
  <si>
    <t>LD7097</t>
  </si>
  <si>
    <t>LD4881</t>
  </si>
  <si>
    <t>LD3519</t>
  </si>
  <si>
    <t>LD7522</t>
  </si>
  <si>
    <t>LD2103</t>
  </si>
  <si>
    <t>LD4152</t>
  </si>
  <si>
    <t>LD7736</t>
  </si>
  <si>
    <t>LD5276</t>
  </si>
  <si>
    <t>LD6426</t>
  </si>
  <si>
    <t>LD6666</t>
  </si>
  <si>
    <t>LD1195</t>
  </si>
  <si>
    <t>LD1616</t>
  </si>
  <si>
    <t>LD1644</t>
  </si>
  <si>
    <t>LD5879</t>
  </si>
  <si>
    <t>LD5757</t>
  </si>
  <si>
    <t>LD3777</t>
  </si>
  <si>
    <t>LD6734</t>
  </si>
  <si>
    <t>LD4140</t>
  </si>
  <si>
    <t>LD1331</t>
  </si>
  <si>
    <t>LD3208</t>
  </si>
  <si>
    <t>LD5443</t>
  </si>
  <si>
    <t>LD5003</t>
  </si>
  <si>
    <t>LD3671</t>
  </si>
  <si>
    <t>LD1973</t>
  </si>
  <si>
    <t>LD1484</t>
  </si>
  <si>
    <t>LD3421</t>
  </si>
  <si>
    <t>LD3603</t>
  </si>
  <si>
    <t>LD1720</t>
  </si>
  <si>
    <t>LD4219</t>
  </si>
  <si>
    <t>LD3060</t>
  </si>
  <si>
    <t>LD3804</t>
  </si>
  <si>
    <t>LD3567</t>
  </si>
  <si>
    <t>LD6914</t>
  </si>
  <si>
    <t>LD1033</t>
  </si>
  <si>
    <t>LD1665</t>
  </si>
  <si>
    <t>LD6339</t>
  </si>
  <si>
    <t>LD5324</t>
  </si>
  <si>
    <t>LD2445</t>
  </si>
  <si>
    <t>LD7520</t>
  </si>
  <si>
    <t>LD3793</t>
  </si>
  <si>
    <t>LD5411</t>
  </si>
  <si>
    <t>LD7614</t>
  </si>
  <si>
    <t>LD2706</t>
  </si>
  <si>
    <t>LD4096</t>
  </si>
  <si>
    <t>LD6864</t>
  </si>
  <si>
    <t>LD4575</t>
  </si>
  <si>
    <t>LD4750</t>
  </si>
  <si>
    <t>LD5513</t>
  </si>
  <si>
    <t>LD1119</t>
  </si>
  <si>
    <t>LD3278</t>
  </si>
  <si>
    <t>LD3906</t>
  </si>
  <si>
    <t>LD2402</t>
  </si>
  <si>
    <t>LD1740</t>
  </si>
  <si>
    <t>LD3457</t>
  </si>
  <si>
    <t>LD1171</t>
  </si>
  <si>
    <t>LD1541</t>
  </si>
  <si>
    <t>LD5044</t>
  </si>
  <si>
    <t>LD6085</t>
  </si>
  <si>
    <t>LD4781</t>
  </si>
  <si>
    <t>LD4188</t>
  </si>
  <si>
    <t>LD6783</t>
  </si>
  <si>
    <t>LD1675</t>
  </si>
  <si>
    <t>LD6615</t>
  </si>
  <si>
    <t>LD3916</t>
  </si>
  <si>
    <t>LD4040</t>
  </si>
  <si>
    <t>LD2816</t>
  </si>
  <si>
    <t>LD4309</t>
  </si>
  <si>
    <t>LD3101</t>
  </si>
  <si>
    <t>LD5018</t>
  </si>
  <si>
    <t>LD7723</t>
  </si>
  <si>
    <t>LD6716</t>
  </si>
  <si>
    <t>LD3102</t>
  </si>
  <si>
    <t>LD6749</t>
  </si>
  <si>
    <t>LD4621</t>
  </si>
  <si>
    <t>LD2549</t>
  </si>
  <si>
    <t>LD4825</t>
  </si>
  <si>
    <t>LD4083</t>
  </si>
  <si>
    <t>LD1356</t>
  </si>
  <si>
    <t>LD5713</t>
  </si>
  <si>
    <t>LD4489</t>
  </si>
  <si>
    <t>LD5698</t>
  </si>
  <si>
    <t>LD3536</t>
  </si>
  <si>
    <t>LD7004</t>
  </si>
  <si>
    <t>LD5837</t>
  </si>
  <si>
    <t>LD3374</t>
  </si>
  <si>
    <t>LD2052</t>
  </si>
  <si>
    <t>LD3322</t>
  </si>
  <si>
    <t>LD7113</t>
  </si>
  <si>
    <t>LD5374</t>
  </si>
  <si>
    <t>LD2752</t>
  </si>
  <si>
    <t>LD4194</t>
  </si>
  <si>
    <t>LD2773</t>
  </si>
  <si>
    <t>LD2197</t>
  </si>
  <si>
    <t>LD2879</t>
  </si>
  <si>
    <t>LD3669</t>
  </si>
  <si>
    <t>LD3017</t>
  </si>
  <si>
    <t>LD3006</t>
  </si>
  <si>
    <t>LD6504</t>
  </si>
  <si>
    <t>LD2483</t>
  </si>
  <si>
    <t>LD1329</t>
  </si>
  <si>
    <t>LD1649</t>
  </si>
  <si>
    <t>LD3946</t>
  </si>
  <si>
    <t>LD4166</t>
  </si>
  <si>
    <t>LD2124</t>
  </si>
  <si>
    <t>LD4591</t>
  </si>
  <si>
    <t>LD3789</t>
  </si>
  <si>
    <t>LD6242</t>
  </si>
  <si>
    <t>LD4978</t>
  </si>
  <si>
    <t>LD5885</t>
  </si>
  <si>
    <t>LD4614</t>
  </si>
  <si>
    <t>LD6681</t>
  </si>
  <si>
    <t>LD2260</t>
  </si>
  <si>
    <t>LD4911</t>
  </si>
  <si>
    <t>LD6653</t>
  </si>
  <si>
    <t>LD7026</t>
  </si>
  <si>
    <t>LD2520</t>
  </si>
  <si>
    <t>LD2379</t>
  </si>
  <si>
    <t>LD5954</t>
  </si>
  <si>
    <t>LD2024</t>
  </si>
  <si>
    <t>LD6310</t>
  </si>
  <si>
    <t>LD3919</t>
  </si>
  <si>
    <t>LD4706</t>
  </si>
  <si>
    <t>LD5828</t>
  </si>
  <si>
    <t>LD4397</t>
  </si>
  <si>
    <t>LD1913</t>
  </si>
  <si>
    <t>LD3858</t>
  </si>
  <si>
    <t>LD5609</t>
  </si>
  <si>
    <t>LD2676</t>
  </si>
  <si>
    <t>LD2747</t>
  </si>
  <si>
    <t>LD4027</t>
  </si>
  <si>
    <t>LD4826</t>
  </si>
  <si>
    <t>LD2737</t>
  </si>
  <si>
    <t>LD2630</t>
  </si>
  <si>
    <t>LD7661</t>
  </si>
  <si>
    <t>LD1431</t>
  </si>
  <si>
    <t>LD2809</t>
  </si>
  <si>
    <t>LD6118</t>
  </si>
  <si>
    <t>LD4090</t>
  </si>
  <si>
    <t>LD5231</t>
  </si>
  <si>
    <t>LD1235</t>
  </si>
  <si>
    <t>LD5263</t>
  </si>
  <si>
    <t>LD3223</t>
  </si>
  <si>
    <t>LD7073</t>
  </si>
  <si>
    <t>LD5903</t>
  </si>
  <si>
    <t>LD6687</t>
  </si>
  <si>
    <t>LD7286</t>
  </si>
  <si>
    <t>LD7051</t>
  </si>
  <si>
    <t>LD2949</t>
  </si>
  <si>
    <t>LD6188</t>
  </si>
  <si>
    <t>LD7622</t>
  </si>
  <si>
    <t>LD7554</t>
  </si>
  <si>
    <t>LD7210</t>
  </si>
  <si>
    <t>LD2996</t>
  </si>
  <si>
    <t>LD3672</t>
  </si>
  <si>
    <t>LD5304</t>
  </si>
  <si>
    <t>LD3225</t>
  </si>
  <si>
    <t>LD2107</t>
  </si>
  <si>
    <t>LD6595</t>
  </si>
  <si>
    <t>LD1819</t>
  </si>
  <si>
    <t>LD4227</t>
  </si>
  <si>
    <t>LD4797</t>
  </si>
  <si>
    <t>LD5626</t>
  </si>
  <si>
    <t>LD5931</t>
  </si>
  <si>
    <t>LD2698</t>
  </si>
  <si>
    <t>LD4290</t>
  </si>
  <si>
    <t>LD1137</t>
  </si>
  <si>
    <t>LD2643</t>
  </si>
  <si>
    <t>LD6222</t>
  </si>
  <si>
    <t>LD4762</t>
  </si>
  <si>
    <t>LD7012</t>
  </si>
  <si>
    <t>LD2181</t>
  </si>
  <si>
    <t>LD5254</t>
  </si>
  <si>
    <t>LD1889</t>
  </si>
  <si>
    <t>LD3988</t>
  </si>
  <si>
    <t>LD6371</t>
  </si>
  <si>
    <t>LD3438</t>
  </si>
  <si>
    <t>LD4310</t>
  </si>
  <si>
    <t>LD7772</t>
  </si>
  <si>
    <t>LD1818</t>
  </si>
  <si>
    <t>LD2112</t>
  </si>
  <si>
    <t>LD5238</t>
  </si>
  <si>
    <t>LD3342</t>
  </si>
  <si>
    <t>LD6003</t>
  </si>
  <si>
    <t>LD6578</t>
  </si>
  <si>
    <t>LD4066</t>
  </si>
  <si>
    <t>LD2265</t>
  </si>
  <si>
    <t>LD1991</t>
  </si>
  <si>
    <t>LD2465</t>
  </si>
  <si>
    <t>LD2740</t>
  </si>
  <si>
    <t>LD5880</t>
  </si>
  <si>
    <t>LD4208</t>
  </si>
  <si>
    <t>LD1354</t>
  </si>
  <si>
    <t>LD6172</t>
  </si>
  <si>
    <t>LD6410</t>
  </si>
  <si>
    <t>LD5764</t>
  </si>
  <si>
    <t>LD2490</t>
  </si>
  <si>
    <t>LD5559</t>
  </si>
  <si>
    <t>LD6943</t>
  </si>
  <si>
    <t>LD4131</t>
  </si>
  <si>
    <t>LD2229</t>
  </si>
  <si>
    <t>LD7117</t>
  </si>
  <si>
    <t>LD4215</t>
  </si>
  <si>
    <t>LD4481</t>
  </si>
  <si>
    <t>LD7422</t>
  </si>
  <si>
    <t>LD6142</t>
  </si>
  <si>
    <t>LD7346</t>
  </si>
  <si>
    <t>LD1053</t>
  </si>
  <si>
    <t>LD7553</t>
  </si>
  <si>
    <t>LD4546</t>
  </si>
  <si>
    <t>LD4086</t>
  </si>
  <si>
    <t>LD1160</t>
  </si>
  <si>
    <t>LD6015</t>
  </si>
  <si>
    <t>LD2588</t>
  </si>
  <si>
    <t>LD2590</t>
  </si>
  <si>
    <t>LD2480</t>
  </si>
  <si>
    <t>LD5251</t>
  </si>
  <si>
    <t>LD4146</t>
  </si>
  <si>
    <t>LD2470</t>
  </si>
  <si>
    <t>LD4947</t>
  </si>
  <si>
    <t>LD4095</t>
  </si>
  <si>
    <t>LD4594</t>
  </si>
  <si>
    <t>LD7204</t>
  </si>
  <si>
    <t>LD3079</t>
  </si>
  <si>
    <t>LD7642</t>
  </si>
  <si>
    <t>LD5261</t>
  </si>
  <si>
    <t>LD7685</t>
  </si>
  <si>
    <t>LD4359</t>
  </si>
  <si>
    <t>LD3829</t>
  </si>
  <si>
    <t>LD1437</t>
  </si>
  <si>
    <t>LD5415</t>
  </si>
  <si>
    <t>LD3961</t>
  </si>
  <si>
    <t>LD5519</t>
  </si>
  <si>
    <t>LD2589</t>
  </si>
  <si>
    <t>LD3781</t>
  </si>
  <si>
    <t>LD5994</t>
  </si>
  <si>
    <t>LD2591</t>
  </si>
  <si>
    <t>LD7604</t>
  </si>
  <si>
    <t>LD1974</t>
  </si>
  <si>
    <t>LD2239</t>
  </si>
  <si>
    <t>LD3952</t>
  </si>
  <si>
    <t>LD3343</t>
  </si>
  <si>
    <t>LD4204</t>
  </si>
  <si>
    <t>LD4996</t>
  </si>
  <si>
    <t>LD5354</t>
  </si>
  <si>
    <t>LD6794</t>
  </si>
  <si>
    <t>LD3232</t>
  </si>
  <si>
    <t>LD4480</t>
  </si>
  <si>
    <t>LD2498</t>
  </si>
  <si>
    <t>LD1450</t>
  </si>
  <si>
    <t>LD3370</t>
  </si>
  <si>
    <t>LD5208</t>
  </si>
  <si>
    <t>LD3423</t>
  </si>
  <si>
    <t>LD7089</t>
  </si>
  <si>
    <t>LD5297</t>
  </si>
  <si>
    <t>LD5634</t>
  </si>
  <si>
    <t>LD2552</t>
  </si>
  <si>
    <t>LD7014</t>
  </si>
  <si>
    <t>LD2147</t>
  </si>
  <si>
    <t>LD5442</t>
  </si>
  <si>
    <t>LD3093</t>
  </si>
  <si>
    <t>LD2314</t>
  </si>
  <si>
    <t>LD3016</t>
  </si>
  <si>
    <t>LD1188</t>
  </si>
  <si>
    <t>LD4529</t>
  </si>
  <si>
    <t>LD5281</t>
  </si>
  <si>
    <t>LD2382</t>
  </si>
  <si>
    <t>LD6958</t>
  </si>
  <si>
    <t>LD1414</t>
  </si>
  <si>
    <t>LD1942</t>
  </si>
  <si>
    <t>LD1802</t>
  </si>
  <si>
    <t>LD7355</t>
  </si>
  <si>
    <t>LD3751</t>
  </si>
  <si>
    <t>LD7618</t>
  </si>
  <si>
    <t>LD5160</t>
  </si>
  <si>
    <t>LD1257</t>
  </si>
  <si>
    <t>LD5459</t>
  </si>
  <si>
    <t>LD7654</t>
  </si>
  <si>
    <t>LD4200</t>
  </si>
  <si>
    <t>LD3236</t>
  </si>
  <si>
    <t>LD1648</t>
  </si>
  <si>
    <t>LD2768</t>
  </si>
  <si>
    <t>LD5830</t>
  </si>
  <si>
    <t>LD6618</t>
  </si>
  <si>
    <t>LD5843</t>
  </si>
  <si>
    <t>LD5946</t>
  </si>
  <si>
    <t>LD4401</t>
  </si>
  <si>
    <t>LD1025</t>
  </si>
  <si>
    <t>LD2089</t>
  </si>
  <si>
    <t>LD5607</t>
  </si>
  <si>
    <t>LD3695</t>
  </si>
  <si>
    <t>LD4405</t>
  </si>
  <si>
    <t>LD1113</t>
  </si>
  <si>
    <t>LD3842</t>
  </si>
  <si>
    <t>LD3312</t>
  </si>
  <si>
    <t>LD7563</t>
  </si>
  <si>
    <t>LD7446</t>
  </si>
  <si>
    <t>LD1057</t>
  </si>
  <si>
    <t>LD2310</t>
  </si>
  <si>
    <t>LD1696</t>
  </si>
  <si>
    <t>LD5939</t>
  </si>
  <si>
    <t>LD2228</t>
  </si>
  <si>
    <t>LD3000</t>
  </si>
  <si>
    <t>LD1277</t>
  </si>
  <si>
    <t>LD4439</t>
  </si>
  <si>
    <t>LD7215</t>
  </si>
  <si>
    <t>LD2834</t>
  </si>
  <si>
    <t>LD6376</t>
  </si>
  <si>
    <t>LD1683</t>
  </si>
  <si>
    <t>LD6133</t>
  </si>
  <si>
    <t>LD5907</t>
  </si>
  <si>
    <t>LD4693</t>
  </si>
  <si>
    <t>LD2138</t>
  </si>
  <si>
    <t>LD3768</t>
  </si>
  <si>
    <t>LD5539</t>
  </si>
  <si>
    <t>LD5270</t>
  </si>
  <si>
    <t>LD4872</t>
  </si>
  <si>
    <t>LD2037</t>
  </si>
  <si>
    <t>LD4423</t>
  </si>
  <si>
    <t>LD6466</t>
  </si>
  <si>
    <t>LD2347</t>
  </si>
  <si>
    <t>LD7570</t>
  </si>
  <si>
    <t>LD4795</t>
  </si>
  <si>
    <t>LD3785</t>
  </si>
  <si>
    <t>LD4793</t>
  </si>
  <si>
    <t>LD3385</t>
  </si>
  <si>
    <t>LD3989</t>
  </si>
  <si>
    <t>LD1116</t>
  </si>
  <si>
    <t>LD5727</t>
  </si>
  <si>
    <t>LD7750</t>
  </si>
  <si>
    <t>LD4120</t>
  </si>
  <si>
    <t>LD5140</t>
  </si>
  <si>
    <t>LD4821</t>
  </si>
  <si>
    <t>LD5873</t>
  </si>
  <si>
    <t>LD3820</t>
  </si>
  <si>
    <t>LD6606</t>
  </si>
  <si>
    <t>LD7737</t>
  </si>
  <si>
    <t>LD6647</t>
  </si>
  <si>
    <t>LD6580</t>
  </si>
  <si>
    <t>LD1082</t>
  </si>
  <si>
    <t>LD4022</t>
  </si>
  <si>
    <t>LD2973</t>
  </si>
  <si>
    <t>LD2715</t>
  </si>
  <si>
    <t>LD5351</t>
  </si>
  <si>
    <t>LD6103</t>
  </si>
  <si>
    <t>LD4608</t>
  </si>
  <si>
    <t>LD5376</t>
  </si>
  <si>
    <t>LD2947</t>
  </si>
  <si>
    <t>LD6438</t>
  </si>
  <si>
    <t>LD5395</t>
  </si>
  <si>
    <t>LD5759</t>
  </si>
  <si>
    <t>LD2611</t>
  </si>
  <si>
    <t>LD5709</t>
  </si>
  <si>
    <t>LD2252</t>
  </si>
  <si>
    <t>LD4723</t>
  </si>
  <si>
    <t>LD4071</t>
  </si>
  <si>
    <t>LD5129</t>
  </si>
  <si>
    <t>LD7627</t>
  </si>
  <si>
    <t>LD7573</t>
  </si>
  <si>
    <t>LD6230</t>
  </si>
  <si>
    <t>LD5970</t>
  </si>
  <si>
    <t>LD1666</t>
  </si>
  <si>
    <t>LD3195</t>
  </si>
  <si>
    <t>LD6224</t>
  </si>
  <si>
    <t>LD6772</t>
  </si>
  <si>
    <t>LD2018</t>
  </si>
  <si>
    <t>LD1558</t>
  </si>
  <si>
    <t>LD5468</t>
  </si>
  <si>
    <t>LD6329</t>
  </si>
  <si>
    <t>LD2208</t>
  </si>
  <si>
    <t>LD6442</t>
  </si>
  <si>
    <t>LD4887</t>
  </si>
  <si>
    <t>LD2511</t>
  </si>
  <si>
    <t>LD4438</t>
  </si>
  <si>
    <t>LD6236</t>
  </si>
  <si>
    <t>LD4212</t>
  </si>
  <si>
    <t>LD5621</t>
  </si>
  <si>
    <t>LD5623</t>
  </si>
  <si>
    <t>LD1267</t>
  </si>
  <si>
    <t>LD4478</t>
  </si>
  <si>
    <t>LD2141</t>
  </si>
  <si>
    <t>LD4163</t>
  </si>
  <si>
    <t>LD3112</t>
  </si>
  <si>
    <t>LD4790</t>
  </si>
  <si>
    <t>LD2910</t>
  </si>
  <si>
    <t>LD5023</t>
  </si>
  <si>
    <t>LD6788</t>
  </si>
  <si>
    <t>LD1657</t>
  </si>
  <si>
    <t>LD5563</t>
  </si>
  <si>
    <t>LD5794</t>
  </si>
  <si>
    <t>LD5344</t>
  </si>
  <si>
    <t>LD1999</t>
  </si>
  <si>
    <t>LD6452</t>
  </si>
  <si>
    <t>LD3835</t>
  </si>
  <si>
    <t>LD3810</t>
  </si>
  <si>
    <t>LD2785</t>
  </si>
  <si>
    <t>LD2238</t>
  </si>
  <si>
    <t>LD6650</t>
  </si>
  <si>
    <t>LD6179</t>
  </si>
  <si>
    <t>LD4863</t>
  </si>
  <si>
    <t>LD5509</t>
  </si>
  <si>
    <t>LD7592</t>
  </si>
  <si>
    <t>LD7696</t>
  </si>
  <si>
    <t>LD3187</t>
  </si>
  <si>
    <t>LD3914</t>
  </si>
  <si>
    <t>LD2135</t>
  </si>
  <si>
    <t>LD1909</t>
  </si>
  <si>
    <t>LD7011</t>
  </si>
  <si>
    <t>LD2304</t>
  </si>
  <si>
    <t>LD7328</t>
  </si>
  <si>
    <t>LD2628</t>
  </si>
  <si>
    <t>LD2523</t>
  </si>
  <si>
    <t>LD1836</t>
  </si>
  <si>
    <t>LD1359</t>
  </si>
  <si>
    <t>LD1139</t>
  </si>
  <si>
    <t>LD1300</t>
  </si>
  <si>
    <t>LD2557</t>
  </si>
  <si>
    <t>LD2004</t>
  </si>
  <si>
    <t>LD1383</t>
  </si>
  <si>
    <t>LD5679</t>
  </si>
  <si>
    <t>LD6040</t>
  </si>
  <si>
    <t>LD1762</t>
  </si>
  <si>
    <t>LD4939</t>
  </si>
  <si>
    <t>LD5923</t>
  </si>
  <si>
    <t>LD4802</t>
  </si>
  <si>
    <t>LD5016</t>
  </si>
  <si>
    <t>LD4774</t>
  </si>
  <si>
    <t>LD6484</t>
  </si>
  <si>
    <t>LD6560</t>
  </si>
  <si>
    <t>LD2403</t>
  </si>
  <si>
    <t>LD4740</t>
  </si>
  <si>
    <t>LD6825</t>
  </si>
  <si>
    <t>LD3722</t>
  </si>
  <si>
    <t>LD2933</t>
  </si>
  <si>
    <t>LD6607</t>
  </si>
  <si>
    <t>LD7098</t>
  </si>
  <si>
    <t>LD7131</t>
  </si>
  <si>
    <t>LD4733</t>
  </si>
  <si>
    <t>LD6401</t>
  </si>
  <si>
    <t>LD4056</t>
  </si>
  <si>
    <t>LD7035</t>
  </si>
  <si>
    <t>LD4647</t>
  </si>
  <si>
    <t>LD5511</t>
  </si>
  <si>
    <t>LD3686</t>
  </si>
  <si>
    <t>LD4559</t>
  </si>
  <si>
    <t>LD1059</t>
  </si>
  <si>
    <t>LD1077</t>
  </si>
  <si>
    <t>LD1797</t>
  </si>
  <si>
    <t>LD3417</t>
  </si>
  <si>
    <t>LD4843</t>
  </si>
  <si>
    <t>LD5960</t>
  </si>
  <si>
    <t>LD1786</t>
  </si>
  <si>
    <t>LD7366</t>
  </si>
  <si>
    <t>LD7606</t>
  </si>
  <si>
    <t>LD4159</t>
  </si>
  <si>
    <t>LD4107</t>
  </si>
  <si>
    <t>LD7637</t>
  </si>
  <si>
    <t>LD3218</t>
  </si>
  <si>
    <t>LD4600</t>
  </si>
  <si>
    <t>LD4408</t>
  </si>
  <si>
    <t>LD5897</t>
  </si>
  <si>
    <t>LD4923</t>
  </si>
  <si>
    <t>LD5199</t>
  </si>
  <si>
    <t>LD6235</t>
  </si>
  <si>
    <t>LD1911</t>
  </si>
  <si>
    <t>LD3173</t>
  </si>
  <si>
    <t>LD2851</t>
  </si>
  <si>
    <t>LD3310</t>
  </si>
  <si>
    <t>LD7348</t>
  </si>
  <si>
    <t>LD2258</t>
  </si>
  <si>
    <t>LD3496</t>
  </si>
  <si>
    <t>LD6113</t>
  </si>
  <si>
    <t>LD6713</t>
  </si>
  <si>
    <t>LD2179</t>
  </si>
  <si>
    <t>LD7164</t>
  </si>
  <si>
    <t>LD6548</t>
  </si>
  <si>
    <t>LD1443</t>
  </si>
  <si>
    <t>LD6199</t>
  </si>
  <si>
    <t>LD2400</t>
  </si>
  <si>
    <t>LD3974</t>
  </si>
  <si>
    <t>LD4862</t>
  </si>
  <si>
    <t>LD4904</t>
  </si>
  <si>
    <t>LD5164</t>
  </si>
  <si>
    <t>LD7464</t>
  </si>
  <si>
    <t>LD2055</t>
  </si>
  <si>
    <t>LD4451</t>
  </si>
  <si>
    <t>LD4276</t>
  </si>
  <si>
    <t>LD6200</t>
  </si>
  <si>
    <t>LD4916</t>
  </si>
  <si>
    <t>LD2416</t>
  </si>
  <si>
    <t>LD3373</t>
  </si>
  <si>
    <t>LD5795</t>
  </si>
  <si>
    <t>LD5714</t>
  </si>
  <si>
    <t>LD4719</t>
  </si>
  <si>
    <t>LD6010</t>
  </si>
  <si>
    <t>LD5402</t>
  </si>
  <si>
    <t>LD6526</t>
  </si>
  <si>
    <t>LD2503</t>
  </si>
  <si>
    <t>LD6461</t>
  </si>
  <si>
    <t>LD6413</t>
  </si>
  <si>
    <t>LD7430</t>
  </si>
  <si>
    <t>LD3012</t>
  </si>
  <si>
    <t>LD7291</t>
  </si>
  <si>
    <t>LD5606</t>
  </si>
  <si>
    <t>LD4948</t>
  </si>
  <si>
    <t>LD7510</t>
  </si>
  <si>
    <t>LD5710</t>
  </si>
  <si>
    <t>LD4265</t>
  </si>
  <si>
    <t>LD6683</t>
  </si>
  <si>
    <t>LD6124</t>
  </si>
  <si>
    <t>LD5271</t>
  </si>
  <si>
    <t>LD7472</t>
  </si>
  <si>
    <t>LD1007</t>
  </si>
  <si>
    <t>LD3981</t>
  </si>
  <si>
    <t>LD3488</t>
  </si>
  <si>
    <t>LD4362</t>
  </si>
  <si>
    <t>LD1679</t>
  </si>
  <si>
    <t>LD2944</t>
  </si>
  <si>
    <t>LD6695</t>
  </si>
  <si>
    <t>LD7241</t>
  </si>
  <si>
    <t>LD6737</t>
  </si>
  <si>
    <t>LD6207</t>
  </si>
  <si>
    <t>LD7238</t>
  </si>
  <si>
    <t>LD3608</t>
  </si>
  <si>
    <t>LD7179</t>
  </si>
  <si>
    <t>LD5337</t>
  </si>
  <si>
    <t>LD7237</t>
  </si>
  <si>
    <t>LD7158</t>
  </si>
  <si>
    <t>LD2065</t>
  </si>
  <si>
    <t>LD3895</t>
  </si>
  <si>
    <t>LD5302</t>
  </si>
  <si>
    <t>LD5439</t>
  </si>
  <si>
    <t>LD3243</t>
  </si>
  <si>
    <t>LD2475</t>
  </si>
  <si>
    <t>LD6028</t>
  </si>
  <si>
    <t>LD2890</t>
  </si>
  <si>
    <t>LD4436</t>
  </si>
  <si>
    <t>LD5206</t>
  </si>
  <si>
    <t>LD2054</t>
  </si>
  <si>
    <t>LD3022</t>
  </si>
  <si>
    <t>LD6338</t>
  </si>
  <si>
    <t>LD6037</t>
  </si>
  <si>
    <t>LD3659</t>
  </si>
  <si>
    <t>LD3468</t>
  </si>
  <si>
    <t>LD6912</t>
  </si>
  <si>
    <t>LD2131</t>
  </si>
  <si>
    <t>LD2462</t>
  </si>
  <si>
    <t>LD7112</t>
  </si>
  <si>
    <t>LD7139</t>
  </si>
  <si>
    <t>LD4366</t>
  </si>
  <si>
    <t>LD7739</t>
  </si>
  <si>
    <t>LD5145</t>
  </si>
  <si>
    <t>LD4351</t>
  </si>
  <si>
    <t>LD3969</t>
  </si>
  <si>
    <t>LD1223</t>
  </si>
  <si>
    <t>LD7284</t>
  </si>
  <si>
    <t>LD1049</t>
  </si>
  <si>
    <t>LD1574</t>
  </si>
  <si>
    <t>LD2237</t>
  </si>
  <si>
    <t>LD6160</t>
  </si>
  <si>
    <t>LD4034</t>
  </si>
  <si>
    <t>LD7575</t>
  </si>
  <si>
    <t>LD4383</t>
  </si>
  <si>
    <t>LD7092</t>
  </si>
  <si>
    <t>LD3283</t>
  </si>
  <si>
    <t>LD5594</t>
  </si>
  <si>
    <t>LD1268</t>
  </si>
  <si>
    <t>LD2105</t>
  </si>
  <si>
    <t>LD3306</t>
  </si>
  <si>
    <t>LD6969</t>
  </si>
  <si>
    <t>LD6769</t>
  </si>
  <si>
    <t>LD2936</t>
  </si>
  <si>
    <t>LD1387</t>
  </si>
  <si>
    <t>LD2702</t>
  </si>
  <si>
    <t>LD2629</t>
  </si>
  <si>
    <t>LD6284</t>
  </si>
  <si>
    <t>LD3715</t>
  </si>
  <si>
    <t>LD7704</t>
  </si>
  <si>
    <t>LD6831</t>
  </si>
  <si>
    <t>LD6932</t>
  </si>
  <si>
    <t>LD2564</t>
  </si>
  <si>
    <t>LD5989</t>
  </si>
  <si>
    <t>LD3761</t>
  </si>
  <si>
    <t>LD4190</t>
  </si>
  <si>
    <t>LD5450</t>
  </si>
  <si>
    <t>LD1210</t>
  </si>
  <si>
    <t>LD1910</t>
  </si>
  <si>
    <t>LD2290</t>
  </si>
  <si>
    <t>LD6121</t>
  </si>
  <si>
    <t>LD2867</t>
  </si>
  <si>
    <t>LD2843</t>
  </si>
  <si>
    <t>LD3498</t>
  </si>
  <si>
    <t>LD6739</t>
  </si>
  <si>
    <t>LD1105</t>
  </si>
  <si>
    <t>LD1959</t>
  </si>
  <si>
    <t>LD2794</t>
  </si>
  <si>
    <t>LD3089</t>
  </si>
  <si>
    <t>LD3703</t>
  </si>
  <si>
    <t>LD7773</t>
  </si>
  <si>
    <t>LD1332</t>
  </si>
  <si>
    <t>LD6869</t>
  </si>
  <si>
    <t>LD7032</t>
  </si>
  <si>
    <t>LD5678</t>
  </si>
  <si>
    <t>LD3460</t>
  </si>
  <si>
    <t>LD2775</t>
  </si>
  <si>
    <t>LD5768</t>
  </si>
  <si>
    <t>LD5916</t>
  </si>
  <si>
    <t>LD6447</t>
  </si>
  <si>
    <t>LD3687</t>
  </si>
  <si>
    <t>LD6507</t>
  </si>
  <si>
    <t>LD5306</t>
  </si>
  <si>
    <t>LD5640</t>
  </si>
  <si>
    <t>LD3898</t>
  </si>
  <si>
    <t>LD4627</t>
  </si>
  <si>
    <t>LD2711</t>
  </si>
  <si>
    <t>LD6181</t>
  </si>
  <si>
    <t>LD3479</t>
  </si>
  <si>
    <t>LD5831</t>
  </si>
  <si>
    <t>LD2367</t>
  </si>
  <si>
    <t>LD1174</t>
  </si>
  <si>
    <t>LD1859</t>
  </si>
  <si>
    <t>LD5985</t>
  </si>
  <si>
    <t>LD5996</t>
  </si>
  <si>
    <t>LD4525</t>
  </si>
  <si>
    <t>LD4322</t>
  </si>
  <si>
    <t>LD4732</t>
  </si>
  <si>
    <t>LD6913</t>
  </si>
  <si>
    <t>LD5242</t>
  </si>
  <si>
    <t>LD4690</t>
  </si>
  <si>
    <t>LD2953</t>
  </si>
  <si>
    <t>LD4312</t>
  </si>
  <si>
    <t>LD3493</t>
  </si>
  <si>
    <t>LD5726</t>
  </si>
  <si>
    <t>LD7461</t>
  </si>
  <si>
    <t>LD3037</t>
  </si>
  <si>
    <t>LD6317</t>
  </si>
  <si>
    <t>LD7064</t>
  </si>
  <si>
    <t>LD5975</t>
  </si>
  <si>
    <t>LD4404</t>
  </si>
  <si>
    <t>LD1019</t>
  </si>
  <si>
    <t>LD6902</t>
  </si>
  <si>
    <t>LD1001</t>
  </si>
  <si>
    <t>LD3175</t>
  </si>
  <si>
    <t>LD2357</t>
  </si>
  <si>
    <t>LD6046</t>
  </si>
  <si>
    <t>LD5085</t>
  </si>
  <si>
    <t>LD3827</t>
  </si>
  <si>
    <t>LD5057</t>
  </si>
  <si>
    <t>LD1397</t>
  </si>
  <si>
    <t>LD6098</t>
  </si>
  <si>
    <t>LD4113</t>
  </si>
  <si>
    <t>LD1183</t>
  </si>
  <si>
    <t>LD6364</t>
  </si>
  <si>
    <t>LD2813</t>
  </si>
  <si>
    <t>LD5369</t>
  </si>
  <si>
    <t>LD5922</t>
  </si>
  <si>
    <t>LD1817</t>
  </si>
  <si>
    <t>LD2573</t>
  </si>
  <si>
    <t>LD5699</t>
  </si>
  <si>
    <t>LD2801</t>
  </si>
  <si>
    <t>LD3281</t>
  </si>
  <si>
    <t>LD3430</t>
  </si>
  <si>
    <t>LD6366</t>
  </si>
  <si>
    <t>LD6934</t>
  </si>
  <si>
    <t>LD7010</t>
  </si>
  <si>
    <t>LD6866</t>
  </si>
  <si>
    <t>LD6854</t>
  </si>
  <si>
    <t>LD5505</t>
  </si>
  <si>
    <t>LD2831</t>
  </si>
  <si>
    <t>LD1602</t>
  </si>
  <si>
    <t>LD6624</t>
  </si>
  <si>
    <t>LD5747</t>
  </si>
  <si>
    <t>LD5867</t>
  </si>
  <si>
    <t>LD1555</t>
  </si>
  <si>
    <t>LD2160</t>
  </si>
  <si>
    <t>LD2214</t>
  </si>
  <si>
    <t>LD5026</t>
  </si>
  <si>
    <t>LD2326</t>
  </si>
  <si>
    <t>LD5158</t>
  </si>
  <si>
    <t>LD1998</t>
  </si>
  <si>
    <t>LD1701</t>
  </si>
  <si>
    <t>LD3701</t>
  </si>
  <si>
    <t>LD5861</t>
  </si>
  <si>
    <t>LD2848</t>
  </si>
  <si>
    <t>LD7132</t>
  </si>
  <si>
    <t>LD3797</t>
  </si>
  <si>
    <t>LD2456</t>
  </si>
  <si>
    <t>LD6679</t>
  </si>
  <si>
    <t>LD6573</t>
  </si>
  <si>
    <t>LD4687</t>
  </si>
  <si>
    <t>LD1867</t>
  </si>
  <si>
    <t>LD6186</t>
  </si>
  <si>
    <t>LD2645</t>
  </si>
  <si>
    <t>LD3141</t>
  </si>
  <si>
    <t>LD5587</t>
  </si>
  <si>
    <t>LD4521</t>
  </si>
  <si>
    <t>LD5259</t>
  </si>
  <si>
    <t>LD6476</t>
  </si>
  <si>
    <t>LD2491</t>
  </si>
  <si>
    <t>LD7197</t>
  </si>
  <si>
    <t>LD1730</t>
  </si>
  <si>
    <t>LD6272</t>
  </si>
  <si>
    <t>LD1780</t>
  </si>
  <si>
    <t>LD3621</t>
  </si>
  <si>
    <t>LD2937</t>
  </si>
  <si>
    <t>LD7721</t>
  </si>
  <si>
    <t>LD4334</t>
  </si>
  <si>
    <t>LD2111</t>
  </si>
  <si>
    <t>LD6510</t>
  </si>
  <si>
    <t>LD7061</t>
  </si>
  <si>
    <t>LD3999</t>
  </si>
  <si>
    <t>LD3395</t>
  </si>
  <si>
    <t>LD2186</t>
  </si>
  <si>
    <t>LD3008</t>
  </si>
  <si>
    <t>LD1194</t>
  </si>
  <si>
    <t>LD2516</t>
  </si>
  <si>
    <t>LD6421</t>
  </si>
  <si>
    <t>LD1579</t>
  </si>
  <si>
    <t>LD3124</t>
  </si>
  <si>
    <t>LD2430</t>
  </si>
  <si>
    <t>LD1772</t>
  </si>
  <si>
    <t>LD3588</t>
  </si>
  <si>
    <t>LD3396</t>
  </si>
  <si>
    <t>LD7719</t>
  </si>
  <si>
    <t>LD2847</t>
  </si>
  <si>
    <t>LD1132</t>
  </si>
  <si>
    <t>LD1179</t>
  </si>
  <si>
    <t>LD7056</t>
  </si>
  <si>
    <t>LD2812</t>
  </si>
  <si>
    <t>LD5343</t>
  </si>
  <si>
    <t>LD3581</t>
  </si>
  <si>
    <t>LD5378</t>
  </si>
  <si>
    <t>LD7337</t>
  </si>
  <si>
    <t>LD3653</t>
  </si>
  <si>
    <t>LD7774</t>
  </si>
  <si>
    <t>LD3074</t>
  </si>
  <si>
    <t>LD1659</t>
  </si>
  <si>
    <t>LD2897</t>
  </si>
  <si>
    <t>LD5986</t>
  </si>
  <si>
    <t>LD3607</t>
  </si>
  <si>
    <t>LD3222</t>
  </si>
  <si>
    <t>LD4660</t>
  </si>
  <si>
    <t>LD7416</t>
  </si>
  <si>
    <t>LD3380</t>
  </si>
  <si>
    <t>LD2448</t>
  </si>
  <si>
    <t>LD6557</t>
  </si>
  <si>
    <t>LD1343</t>
  </si>
  <si>
    <t>LD4373</t>
  </si>
  <si>
    <t>LD5367</t>
  </si>
  <si>
    <t>LD6976</t>
  </si>
  <si>
    <t>LD3528</t>
  </si>
  <si>
    <t>LD1728</t>
  </si>
  <si>
    <t>LD6341</t>
  </si>
  <si>
    <t>LD1977</t>
  </si>
  <si>
    <t>LD5846</t>
  </si>
  <si>
    <t>LD5711</t>
  </si>
  <si>
    <t>LD2929</t>
  </si>
  <si>
    <t>LD4517</t>
  </si>
  <si>
    <t>LD7523</t>
  </si>
  <si>
    <t>LD5421</t>
  </si>
  <si>
    <t>LD7607</t>
  </si>
  <si>
    <t>LD7513</t>
  </si>
  <si>
    <t>LD2300</t>
  </si>
  <si>
    <t>LD5723</t>
  </si>
  <si>
    <t>LD7227</t>
  </si>
  <si>
    <t>LD1661</t>
  </si>
  <si>
    <t>LD2791</t>
  </si>
  <si>
    <t>LD2493</t>
  </si>
  <si>
    <t>LD5557</t>
  </si>
  <si>
    <t>LD1494</t>
  </si>
  <si>
    <t>LD4648</t>
  </si>
  <si>
    <t>LD5002</t>
  </si>
  <si>
    <t>LD5770</t>
  </si>
  <si>
    <t>LD6050</t>
  </si>
  <si>
    <t>LD7298</t>
  </si>
  <si>
    <t>LD7394</t>
  </si>
  <si>
    <t>LD6748</t>
  </si>
  <si>
    <t>LD2086</t>
  </si>
  <si>
    <t>LD7483</t>
  </si>
  <si>
    <t>LD4942</t>
  </si>
  <si>
    <t>LD1695</t>
  </si>
  <si>
    <t>LD2279</t>
  </si>
  <si>
    <t>LD4199</t>
  </si>
  <si>
    <t>LD5787</t>
  </si>
  <si>
    <t>LD2622</t>
  </si>
  <si>
    <t>LD6999</t>
  </si>
  <si>
    <t>LD4709</t>
  </si>
  <si>
    <t>LD3562</t>
  </si>
  <si>
    <t>LD5741</t>
  </si>
  <si>
    <t>LD7221</t>
  </si>
  <si>
    <t>LD1068</t>
  </si>
  <si>
    <t>LD2732</t>
  </si>
  <si>
    <t>LD7429</t>
  </si>
  <si>
    <t>LD3270</t>
  </si>
  <si>
    <t>LD5776</t>
  </si>
  <si>
    <t>LD5031</t>
  </si>
  <si>
    <t>LD6344</t>
  </si>
  <si>
    <t>LD1821</t>
  </si>
  <si>
    <t>LD2227</t>
  </si>
  <si>
    <t>LD2678</t>
  </si>
  <si>
    <t>LD6671</t>
  </si>
  <si>
    <t>LD3868</t>
  </si>
  <si>
    <t>LD4448</t>
  </si>
  <si>
    <t>LD6971</t>
  </si>
  <si>
    <t>LD3368</t>
  </si>
  <si>
    <t>LD5582</t>
  </si>
  <si>
    <t>LD5518</t>
  </si>
  <si>
    <t>LD3513</t>
  </si>
  <si>
    <t>LD7027</t>
  </si>
  <si>
    <t>LD3724</t>
  </si>
  <si>
    <t>LD7044</t>
  </si>
  <si>
    <t>LD6776</t>
  </si>
  <si>
    <t>LD6011</t>
  </si>
  <si>
    <t>LD2144</t>
  </si>
  <si>
    <t>LD1398</t>
  </si>
  <si>
    <t>LD7248</t>
  </si>
  <si>
    <t>LD4897</t>
  </si>
  <si>
    <t>LD1787</t>
  </si>
  <si>
    <t>LD6816</t>
  </si>
  <si>
    <t>LD5532</t>
  </si>
  <si>
    <t>LD2399</t>
  </si>
  <si>
    <t>LD2660</t>
  </si>
  <si>
    <t>LD7007</t>
  </si>
  <si>
    <t>LD7063</t>
  </si>
  <si>
    <t>LD4135</t>
  </si>
  <si>
    <t>LD4399</t>
  </si>
  <si>
    <t>LD3221</t>
  </si>
  <si>
    <t>LD1980</t>
  </si>
  <si>
    <t>LD3332</t>
  </si>
  <si>
    <t>LD2299</t>
  </si>
  <si>
    <t>LD5705</t>
  </si>
  <si>
    <t>LD6977</t>
  </si>
  <si>
    <t>LD6745</t>
  </si>
  <si>
    <t>LD4694</t>
  </si>
  <si>
    <t>LD1083</t>
  </si>
  <si>
    <t>LD4985</t>
  </si>
  <si>
    <t>LD5284</t>
  </si>
  <si>
    <t>LD6304</t>
  </si>
  <si>
    <t>LD7247</t>
  </si>
  <si>
    <t>LD6340</t>
  </si>
  <si>
    <t>LD7001</t>
  </si>
  <si>
    <t>LD3904</t>
  </si>
  <si>
    <t>LD1424</t>
  </si>
  <si>
    <t>LD6874</t>
  </si>
  <si>
    <t>LD2905</t>
  </si>
  <si>
    <t>LD7150</t>
  </si>
  <si>
    <t>LD2531</t>
  </si>
  <si>
    <t>LD5811</t>
  </si>
  <si>
    <t>LD2566</t>
  </si>
  <si>
    <t>LD6014</t>
  </si>
  <si>
    <t>LD4619</t>
  </si>
  <si>
    <t>LD3750</t>
  </si>
  <si>
    <t>LD1840</t>
  </si>
  <si>
    <t>LD1501</t>
  </si>
  <si>
    <t>LD5150</t>
  </si>
  <si>
    <t>LD1142</t>
  </si>
  <si>
    <t>LD6604</t>
  </si>
  <si>
    <t>LD3606</t>
  </si>
  <si>
    <t>LD6585</t>
  </si>
  <si>
    <t>LD2378</t>
  </si>
  <si>
    <t>LD4675</t>
  </si>
  <si>
    <t>LD6271</t>
  </si>
  <si>
    <t>LD7649</t>
  </si>
  <si>
    <t>LD3267</t>
  </si>
  <si>
    <t>LD4323</t>
  </si>
  <si>
    <t>LD6075</t>
  </si>
  <si>
    <t>LD4809</t>
  </si>
  <si>
    <t>LD2139</t>
  </si>
  <si>
    <t>LD3258</t>
  </si>
  <si>
    <t>LD6919</t>
  </si>
  <si>
    <t>LD1845</t>
  </si>
  <si>
    <t>LD2788</t>
  </si>
  <si>
    <t>LD5386</t>
  </si>
  <si>
    <t>LD1551</t>
  </si>
  <si>
    <t>LD6630</t>
  </si>
  <si>
    <t>LD1460</t>
  </si>
  <si>
    <t>LD3020</t>
  </si>
  <si>
    <t>LD5508</t>
  </si>
  <si>
    <t>LD7470</t>
  </si>
  <si>
    <t>LD1949</t>
  </si>
  <si>
    <t>LD4701</t>
  </si>
  <si>
    <t>LD2337</t>
  </si>
  <si>
    <t>LD5014</t>
  </si>
  <si>
    <t>LD1533</t>
  </si>
  <si>
    <t>LD4263</t>
  </si>
  <si>
    <t>LD6210</t>
  </si>
  <si>
    <t>LD2830</t>
  </si>
  <si>
    <t>LD7493</t>
  </si>
  <si>
    <t>LD6985</t>
  </si>
  <si>
    <t>LD6398</t>
  </si>
  <si>
    <t>LD7547</t>
  </si>
  <si>
    <t>LD2603</t>
  </si>
  <si>
    <t>LD3239</t>
  </si>
  <si>
    <t>LD1640</t>
  </si>
  <si>
    <t>LD7551</t>
  </si>
  <si>
    <t>LD4831</t>
  </si>
  <si>
    <t>LD1968</t>
  </si>
  <si>
    <t>LD6730</t>
  </si>
  <si>
    <t>LD1124</t>
  </si>
  <si>
    <t>LD2684</t>
  </si>
  <si>
    <t>LD3249</t>
  </si>
  <si>
    <t>LD7611</t>
  </si>
  <si>
    <t>LD7060</t>
  </si>
  <si>
    <t>LD2071</t>
  </si>
  <si>
    <t>LD1156</t>
  </si>
  <si>
    <t>LD3296</t>
  </si>
  <si>
    <t>LD5309</t>
  </si>
  <si>
    <t>LD5601</t>
  </si>
  <si>
    <t>LD2090</t>
  </si>
  <si>
    <t>LD5447</t>
  </si>
  <si>
    <t>LD3320</t>
  </si>
  <si>
    <t>LD3941</t>
  </si>
  <si>
    <t>LD7778</t>
  </si>
  <si>
    <t>LD1289</t>
  </si>
  <si>
    <t>LD1931</t>
  </si>
  <si>
    <t>LD5651</t>
  </si>
  <si>
    <t>LD3910</t>
  </si>
  <si>
    <t>LD5352</t>
  </si>
  <si>
    <t>LD6266</t>
  </si>
  <si>
    <t>LD3885</t>
  </si>
  <si>
    <t>LD5218</t>
  </si>
  <si>
    <t>LD4734</t>
  </si>
  <si>
    <t>LD7220</t>
  </si>
  <si>
    <t>LD4248</t>
  </si>
  <si>
    <t>LD7156</t>
  </si>
  <si>
    <t>LD4001</t>
  </si>
  <si>
    <t>LD6029</t>
  </si>
  <si>
    <t>LD2338</t>
  </si>
  <si>
    <t>LD7687</t>
  </si>
  <si>
    <t>LD1943</t>
  </si>
  <si>
    <t>LD3355</t>
  </si>
  <si>
    <t>LD7207</t>
  </si>
  <si>
    <t>LD7371</t>
  </si>
  <si>
    <t>LD7319</t>
  </si>
  <si>
    <t>LD2699</t>
  </si>
  <si>
    <t>LD7380</t>
  </si>
  <si>
    <t>LD5687</t>
  </si>
  <si>
    <t>LD7745</t>
  </si>
  <si>
    <t>LD5576</t>
  </si>
  <si>
    <t>LD4832</t>
  </si>
  <si>
    <t>LD6967</t>
  </si>
  <si>
    <t>LD7176</t>
  </si>
  <si>
    <t>LD1986</t>
  </si>
  <si>
    <t>LD2822</t>
  </si>
  <si>
    <t>LD5033</t>
  </si>
  <si>
    <t>LD6475</t>
  </si>
  <si>
    <t>LD7473</t>
  </si>
  <si>
    <t>LD1982</t>
  </si>
  <si>
    <t>LD6655</t>
  </si>
  <si>
    <t>LD4800</t>
  </si>
  <si>
    <t>LD5695</t>
  </si>
  <si>
    <t>LD7413</t>
  </si>
  <si>
    <t>LD7741</t>
  </si>
  <si>
    <t>LD5864</t>
  </si>
  <si>
    <t>LD5292</t>
  </si>
  <si>
    <t>LD2474</t>
  </si>
  <si>
    <t>LD6841</t>
  </si>
  <si>
    <t>LD6778</t>
  </si>
  <si>
    <t>LD6684</t>
  </si>
  <si>
    <t>LD3259</t>
  </si>
  <si>
    <t>LD6381</t>
  </si>
  <si>
    <t>LD2458</t>
  </si>
  <si>
    <t>LD4558</t>
  </si>
  <si>
    <t>LD2396</t>
  </si>
  <si>
    <t>LD1265</t>
  </si>
  <si>
    <t>LD4549</t>
  </si>
  <si>
    <t>LD4548</t>
  </si>
  <si>
    <t>LD3749</t>
  </si>
  <si>
    <t>LD5462</t>
  </si>
  <si>
    <t>LD3693</t>
  </si>
  <si>
    <t>LD7188</t>
  </si>
  <si>
    <t>LD5863</t>
  </si>
  <si>
    <t>LD5114</t>
  </si>
  <si>
    <t>LD1930</t>
  </si>
  <si>
    <t>LD6861</t>
  </si>
  <si>
    <t>LD4865</t>
  </si>
  <si>
    <t>LD6629</t>
  </si>
  <si>
    <t>LD3401</t>
  </si>
  <si>
    <t>LD3179</t>
  </si>
  <si>
    <t>LD5899</t>
  </si>
  <si>
    <t>LD4909</t>
  </si>
  <si>
    <t>LD4867</t>
  </si>
  <si>
    <t>LD4712</t>
  </si>
  <si>
    <t>LD1247</t>
  </si>
  <si>
    <t>LD2595</t>
  </si>
  <si>
    <t>LD2759</t>
  </si>
  <si>
    <t>LD7597</t>
  </si>
  <si>
    <t>LD5575</t>
  </si>
  <si>
    <t>LD1924</t>
  </si>
  <si>
    <t>LD5181</t>
  </si>
  <si>
    <t>LD6009</t>
  </si>
  <si>
    <t>LD1269</t>
  </si>
  <si>
    <t>LD1670</t>
  </si>
  <si>
    <t>LD4605</t>
  </si>
  <si>
    <t>LD5514</t>
  </si>
  <si>
    <t>LD2911</t>
  </si>
  <si>
    <t>LD6396</t>
  </si>
  <si>
    <t>LD5717</t>
  </si>
  <si>
    <t>LD2153</t>
  </si>
  <si>
    <t>LD7225</t>
  </si>
  <si>
    <t>LD6887</t>
  </si>
  <si>
    <t>LD7527</t>
  </si>
  <si>
    <t>LD6091</t>
  </si>
  <si>
    <t>LD3697</t>
  </si>
  <si>
    <t>LD3592</t>
  </si>
  <si>
    <t>LD6736</t>
  </si>
  <si>
    <t>LD2782</t>
  </si>
  <si>
    <t>LD3414</t>
  </si>
  <si>
    <t>LD4014</t>
  </si>
  <si>
    <t>LD6925</t>
  </si>
  <si>
    <t>LD3308</t>
  </si>
  <si>
    <t>LD4959</t>
  </si>
  <si>
    <t>LD4691</t>
  </si>
  <si>
    <t>LD1688</t>
  </si>
  <si>
    <t>LD2916</t>
  </si>
  <si>
    <t>LD7379</t>
  </si>
  <si>
    <t>LD1613</t>
  </si>
  <si>
    <t>LD5841</t>
  </si>
  <si>
    <t>LD4072</t>
  </si>
  <si>
    <t>LD5657</t>
  </si>
  <si>
    <t>LD4201</t>
  </si>
  <si>
    <t>LD3268</t>
  </si>
  <si>
    <t>LD7505</t>
  </si>
  <si>
    <t>LD3534</t>
  </si>
  <si>
    <t>LD1040</t>
  </si>
  <si>
    <t>LD2899</t>
  </si>
  <si>
    <t>LD2650</t>
  </si>
  <si>
    <t>LD5670</t>
  </si>
  <si>
    <t>LD1259</t>
  </si>
  <si>
    <t>LD3925</t>
  </si>
  <si>
    <t>LD3435</t>
  </si>
  <si>
    <t>LD1848</t>
  </si>
  <si>
    <t>LD3823</t>
  </si>
  <si>
    <t>LD5976</t>
  </si>
  <si>
    <t>LD4340</t>
  </si>
  <si>
    <t>LD4526</t>
  </si>
  <si>
    <t>LD6753</t>
  </si>
  <si>
    <t>LD5688</t>
  </si>
  <si>
    <t>LD5392</t>
  </si>
  <si>
    <t>LD2234</t>
  </si>
  <si>
    <t>LD2128</t>
  </si>
  <si>
    <t>LD3286</t>
  </si>
  <si>
    <t>LD2968</t>
  </si>
  <si>
    <t>LD4983</t>
  </si>
  <si>
    <t>LD1559</t>
  </si>
  <si>
    <t>LD1905</t>
  </si>
  <si>
    <t>LD3615</t>
  </si>
  <si>
    <t>LD4144</t>
  </si>
  <si>
    <t>LD4669</t>
  </si>
  <si>
    <t>LD1485</t>
  </si>
  <si>
    <t>LD3212</t>
  </si>
  <si>
    <t>LD2321</t>
  </si>
  <si>
    <t>LD7077</t>
  </si>
  <si>
    <t>LD3556</t>
  </si>
  <si>
    <t>LD7467</t>
  </si>
  <si>
    <t>LD1008</t>
  </si>
  <si>
    <t>LD4658</t>
  </si>
  <si>
    <t>LD3316</t>
  </si>
  <si>
    <t>LD7181</t>
  </si>
  <si>
    <t>LD5957</t>
  </si>
  <si>
    <t>LD5886</t>
  </si>
  <si>
    <t>LD6956</t>
  </si>
  <si>
    <t>LD5162</t>
  </si>
  <si>
    <t>LD2451</t>
  </si>
  <si>
    <t>LD2202</t>
  </si>
  <si>
    <t>LD3427</t>
  </si>
  <si>
    <t>LD3649</t>
  </si>
  <si>
    <t>LD2815</t>
  </si>
  <si>
    <t>LD6554</t>
  </si>
  <si>
    <t>LD3727</t>
  </si>
  <si>
    <t>LD1774</t>
  </si>
  <si>
    <t>LD3275</t>
  </si>
  <si>
    <t>LD2012</t>
  </si>
  <si>
    <t>LD6810</t>
  </si>
  <si>
    <t>LD4169</t>
  </si>
  <si>
    <t>LD2068</t>
  </si>
  <si>
    <t>LD2992</t>
  </si>
  <si>
    <t>LD4971</t>
  </si>
  <si>
    <t>LD2278</t>
  </si>
  <si>
    <t>LD2784</t>
  </si>
  <si>
    <t>LD4993</t>
  </si>
  <si>
    <t>LD5814</t>
  </si>
  <si>
    <t>LD1447</t>
  </si>
  <si>
    <t>LD1881</t>
  </si>
  <si>
    <t>LD5616</t>
  </si>
  <si>
    <t>LD4868</t>
  </si>
  <si>
    <t>LD7047</t>
  </si>
  <si>
    <t>LD3728</t>
  </si>
  <si>
    <t>LD4049</t>
  </si>
  <si>
    <t>LD6441</t>
  </si>
  <si>
    <t>LD4995</t>
  </si>
  <si>
    <t>LD1782</t>
  </si>
  <si>
    <t>LD3652</t>
  </si>
  <si>
    <t>LD7588</t>
  </si>
  <si>
    <t>LD2750</t>
  </si>
  <si>
    <t>LD3127</t>
  </si>
  <si>
    <t>LD3261</t>
  </si>
  <si>
    <t>LD3792</t>
  </si>
  <si>
    <t>LD3424</t>
  </si>
  <si>
    <t>LD7619</t>
  </si>
  <si>
    <t>LD6849</t>
  </si>
  <si>
    <t>LD1884</t>
  </si>
  <si>
    <t>LD6477</t>
  </si>
  <si>
    <t>LD2092</t>
  </si>
  <si>
    <t>LD5914</t>
  </si>
  <si>
    <t>LD5672</t>
  </si>
  <si>
    <t>LD1532</t>
  </si>
  <si>
    <t>LD6774</t>
  </si>
  <si>
    <t>LD3439</t>
  </si>
  <si>
    <t>LD6501</t>
  </si>
  <si>
    <t>LD5991</t>
  </si>
  <si>
    <t>LD3609</t>
  </si>
  <si>
    <t>LD6562</t>
  </si>
  <si>
    <t>LD3291</t>
  </si>
  <si>
    <t>LD2728</t>
  </si>
  <si>
    <t>LD1611</t>
  </si>
  <si>
    <t>LD4722</t>
  </si>
  <si>
    <t>LD1571</t>
  </si>
  <si>
    <t>LD2980</t>
  </si>
  <si>
    <t>LD2318</t>
  </si>
  <si>
    <t>LD6790</t>
  </si>
  <si>
    <t>LD1344</t>
  </si>
  <si>
    <t>LD1588</t>
  </si>
  <si>
    <t>LD6289</t>
  </si>
  <si>
    <t>LD4751</t>
  </si>
  <si>
    <t>LD1637</t>
  </si>
  <si>
    <t>LD1435</t>
  </si>
  <si>
    <t>LD2904</t>
  </si>
  <si>
    <t>LD4216</t>
  </si>
  <si>
    <t>LD1098</t>
  </si>
  <si>
    <t>LD5081</t>
  </si>
  <si>
    <t>LD5247</t>
  </si>
  <si>
    <t>LD7534</t>
  </si>
  <si>
    <t>LD7458</t>
  </si>
  <si>
    <t>LD3070</t>
  </si>
  <si>
    <t>LD2538</t>
  </si>
  <si>
    <t>LD4589</t>
  </si>
  <si>
    <t>LD1853</t>
  </si>
  <si>
    <t>LD5681</t>
  </si>
  <si>
    <t>LD4649</t>
  </si>
  <si>
    <t>LD6395</t>
  </si>
  <si>
    <t>LD7028</t>
  </si>
  <si>
    <t>LD2518</t>
  </si>
  <si>
    <t>LD1966</t>
  </si>
  <si>
    <t>LD6964</t>
  </si>
  <si>
    <t>LD1529</t>
  </si>
  <si>
    <t>LD1177</t>
  </si>
  <si>
    <t>LD4670</t>
  </si>
  <si>
    <t>LD3471</t>
  </si>
  <si>
    <t>LD6114</t>
  </si>
  <si>
    <t>LD3091</t>
  </si>
  <si>
    <t>LD4002</t>
  </si>
  <si>
    <t>LD6809</t>
  </si>
  <si>
    <t>LD4426</t>
  </si>
  <si>
    <t>LD1573</t>
  </si>
  <si>
    <t>LD7162</t>
  </si>
  <si>
    <t>LD7512</t>
  </si>
  <si>
    <t>LD4063</t>
  </si>
  <si>
    <t>LD5285</t>
  </si>
  <si>
    <t>LD5905</t>
  </si>
  <si>
    <t>LD5385</t>
  </si>
  <si>
    <t>LD5528</t>
  </si>
  <si>
    <t>LD1371</t>
  </si>
  <si>
    <t>LD2939</t>
  </si>
  <si>
    <t>LD6363</t>
  </si>
  <si>
    <t>LD6852</t>
  </si>
  <si>
    <t>LD4671</t>
  </si>
  <si>
    <t>LD4653</t>
  </si>
  <si>
    <t>LD3362</t>
  </si>
  <si>
    <t>LD5211</t>
  </si>
  <si>
    <t>LD7110</t>
  </si>
  <si>
    <t>LD4738</t>
  </si>
  <si>
    <t>LD5161</t>
  </si>
  <si>
    <t>LD5664</t>
  </si>
  <si>
    <t>LD5694</t>
  </si>
  <si>
    <t>LD2172</t>
  </si>
  <si>
    <t>LD5406</t>
  </si>
  <si>
    <t>LD2423</t>
  </si>
  <si>
    <t>LD7083</t>
  </si>
  <si>
    <t>LD6965</t>
  </si>
  <si>
    <t>LD5992</t>
  </si>
  <si>
    <t>LD1875</t>
  </si>
  <si>
    <t>LD3298</t>
  </si>
  <si>
    <t>LD3644</t>
  </si>
  <si>
    <t>LD6875</t>
  </si>
  <si>
    <t>LD1841</t>
  </si>
  <si>
    <t>LD1582</t>
  </si>
  <si>
    <t>LD1205</t>
  </si>
  <si>
    <t>LD2642</t>
  </si>
  <si>
    <t>LD3015</t>
  </si>
  <si>
    <t>LD4254</t>
  </si>
  <si>
    <t>LD5173</t>
  </si>
  <si>
    <t>LD1906</t>
  </si>
  <si>
    <t>LD1632</t>
  </si>
  <si>
    <t>LD5802</t>
  </si>
  <si>
    <t>LD5341</t>
  </si>
  <si>
    <t>LD2975</t>
  </si>
  <si>
    <t>LD1163</t>
  </si>
  <si>
    <t>LD5618</t>
  </si>
  <si>
    <t>LD7091</t>
  </si>
  <si>
    <t>LD5303</t>
  </si>
  <si>
    <t>LD1876</t>
  </si>
  <si>
    <t>LD2432</t>
  </si>
  <si>
    <t>LD6711</t>
  </si>
  <si>
    <t>LD5300</t>
  </si>
  <si>
    <t>LD3857</t>
  </si>
  <si>
    <t>LD2862</t>
  </si>
  <si>
    <t>LD3660</t>
  </si>
  <si>
    <t>LD4385</t>
  </si>
  <si>
    <t>LD7224</t>
  </si>
  <si>
    <t>LD5478</t>
  </si>
  <si>
    <t>LD4332</t>
  </si>
  <si>
    <t>LD6549</t>
  </si>
  <si>
    <t>LD6095</t>
  </si>
  <si>
    <t>LD5718</t>
  </si>
  <si>
    <t>LD3097</t>
  </si>
  <si>
    <t>LD3004</t>
  </si>
  <si>
    <t>LD1547</t>
  </si>
  <si>
    <t>LD2450</t>
  </si>
  <si>
    <t>LD6131</t>
  </si>
  <si>
    <t>LD3611</t>
  </si>
  <si>
    <t>LD2901</t>
  </si>
  <si>
    <t>LD6755</t>
  </si>
  <si>
    <t>LD3758</t>
  </si>
  <si>
    <t>LD2886</t>
  </si>
  <si>
    <t>LD7560</t>
  </si>
  <si>
    <t>LD3098</t>
  </si>
  <si>
    <t>LD6895</t>
  </si>
  <si>
    <t>LD7090</t>
  </si>
  <si>
    <t>LD1837</t>
  </si>
  <si>
    <t>LD4472</t>
  </si>
  <si>
    <t>LD6392</t>
  </si>
  <si>
    <t>LD3172</t>
  </si>
  <si>
    <t>LD6827</t>
  </si>
  <si>
    <t>LD7105</t>
  </si>
  <si>
    <t>LD1399</t>
  </si>
  <si>
    <t>LD3011</t>
  </si>
  <si>
    <t>LD7517</t>
  </si>
  <si>
    <t>LD2284</t>
  </si>
  <si>
    <t>LD5953</t>
  </si>
  <si>
    <t>LD2837</t>
  </si>
  <si>
    <t>LD2020</t>
  </si>
  <si>
    <t>LD2327</t>
  </si>
  <si>
    <t>LD6261</t>
  </si>
  <si>
    <t>LD1476</t>
  </si>
  <si>
    <t>LD3811</t>
  </si>
  <si>
    <t>LD6276</t>
  </si>
  <si>
    <t>LD2652</t>
  </si>
  <si>
    <t>LD7320</t>
  </si>
  <si>
    <t>LD7664</t>
  </si>
  <si>
    <t>LD3529</t>
  </si>
  <si>
    <t>LD2207</t>
  </si>
  <si>
    <t>LD6213</t>
  </si>
  <si>
    <t>LD6379</t>
  </si>
  <si>
    <t>LD1868</t>
  </si>
  <si>
    <t>LD3975</t>
  </si>
  <si>
    <t>LD1542</t>
  </si>
  <si>
    <t>LD2133</t>
  </si>
  <si>
    <t>LD7576</t>
  </si>
  <si>
    <t>LD4391</t>
  </si>
  <si>
    <t>LD5872</t>
  </si>
  <si>
    <t>LD3963</t>
  </si>
  <si>
    <t>LD5156</t>
  </si>
  <si>
    <t>LD4260</t>
  </si>
  <si>
    <t>LD5396</t>
  </si>
  <si>
    <t>LD7699</t>
  </si>
  <si>
    <t>LD3584</t>
  </si>
  <si>
    <t>LD3814</t>
  </si>
  <si>
    <t>LD7667</t>
  </si>
  <si>
    <t>LD6876</t>
  </si>
  <si>
    <t>LD4587</t>
  </si>
  <si>
    <t>LD5428</t>
  </si>
  <si>
    <t>LD6770</t>
  </si>
  <si>
    <t>LD3631</t>
  </si>
  <si>
    <t>LD6430</t>
  </si>
  <si>
    <t>LD5310</t>
  </si>
  <si>
    <t>LD2081</t>
  </si>
  <si>
    <t>LD3086</t>
  </si>
  <si>
    <t>LD3453</t>
  </si>
  <si>
    <t>LD3024</t>
  </si>
  <si>
    <t>LD6206</t>
  </si>
  <si>
    <t>LD1227</t>
  </si>
  <si>
    <t>LD2014</t>
  </si>
  <si>
    <t>LD2930</t>
  </si>
  <si>
    <t>LD5773</t>
  </si>
  <si>
    <t>LD2405</t>
  </si>
  <si>
    <t>LD3180</t>
  </si>
  <si>
    <t>LD1698</t>
  </si>
  <si>
    <t>LD2125</t>
  </si>
  <si>
    <t>LD4896</t>
  </si>
  <si>
    <t>LD2779</t>
  </si>
  <si>
    <t>LD5315</t>
  </si>
  <si>
    <t>LD3635</t>
  </si>
  <si>
    <t>LD4490</t>
  </si>
  <si>
    <t>LD2038</t>
  </si>
  <si>
    <t>LD3257</t>
  </si>
  <si>
    <t>LD5529</t>
  </si>
  <si>
    <t>LD7706</t>
  </si>
  <si>
    <t>LD1314</t>
  </si>
  <si>
    <t>LD3650</t>
  </si>
  <si>
    <t>LD3282</t>
  </si>
  <si>
    <t>LD6348</t>
  </si>
  <si>
    <t>LD3548</t>
  </si>
  <si>
    <t>LD3160</t>
  </si>
  <si>
    <t>LD4138</t>
  </si>
  <si>
    <t>LD6787</t>
  </si>
  <si>
    <t>LD4968</t>
  </si>
  <si>
    <t>LD2429</t>
  </si>
  <si>
    <t>LD7349</t>
  </si>
  <si>
    <t>LD3521</t>
  </si>
  <si>
    <t>LD5349</t>
  </si>
  <si>
    <t>LD6007</t>
  </si>
  <si>
    <t>LD1449</t>
  </si>
  <si>
    <t>LD5267</t>
  </si>
  <si>
    <t>LD2285</t>
  </si>
  <si>
    <t>LD4728</t>
  </si>
  <si>
    <t>LD1362</t>
  </si>
  <si>
    <t>LD6463</t>
  </si>
  <si>
    <t>LD6403</t>
  </si>
  <si>
    <t>LD3461</t>
  </si>
  <si>
    <t>LD1023</t>
  </si>
  <si>
    <t>LD3067</t>
  </si>
  <si>
    <t>LD2654</t>
  </si>
  <si>
    <t>LD1703</t>
  </si>
  <si>
    <t>LD5904</t>
  </si>
  <si>
    <t>LD3744</t>
  </si>
  <si>
    <t>LD2377</t>
  </si>
  <si>
    <t>LD7378</t>
  </si>
  <si>
    <t>LD3469</t>
  </si>
  <si>
    <t>LD4755</t>
  </si>
  <si>
    <t>LD3326</t>
  </si>
  <si>
    <t>LD1461</t>
  </si>
  <si>
    <t>LD5184</t>
  </si>
  <si>
    <t>LD5083</t>
  </si>
  <si>
    <t>LD2487</t>
  </si>
  <si>
    <t>LD4679</t>
  </si>
  <si>
    <t>LD1283</t>
  </si>
  <si>
    <t>LD4538</t>
  </si>
  <si>
    <t>LD7405</t>
  </si>
  <si>
    <t>LD3582</t>
  </si>
  <si>
    <t>LD2369</t>
  </si>
  <si>
    <t>LD6908</t>
  </si>
  <si>
    <t>LD1598</t>
  </si>
  <si>
    <t>LD6509</t>
  </si>
  <si>
    <t>LD7735</t>
  </si>
  <si>
    <t>LD7389</t>
  </si>
  <si>
    <t>LD5413</t>
  </si>
  <si>
    <t>LD4469</t>
  </si>
  <si>
    <t>LD6190</t>
  </si>
  <si>
    <t>LD3991</t>
  </si>
  <si>
    <t>LD7030</t>
  </si>
  <si>
    <t>LD3545</t>
  </si>
  <si>
    <t>LD6034</t>
  </si>
  <si>
    <t>LD5962</t>
  </si>
  <si>
    <t>LD5067</t>
  </si>
  <si>
    <t>LD4989</t>
  </si>
  <si>
    <t>LD7556</t>
  </si>
  <si>
    <t>LD1686</t>
  </si>
  <si>
    <t>LD5327</t>
  </si>
  <si>
    <t>LD4244</t>
  </si>
  <si>
    <t>LD6247</t>
  </si>
  <si>
    <t>LD5084</t>
  </si>
  <si>
    <t>LD3838</t>
  </si>
  <si>
    <t>LD4698</t>
  </si>
  <si>
    <t>LD5041</t>
  </si>
  <si>
    <t>LD3231</t>
  </si>
  <si>
    <t>LD7136</t>
  </si>
  <si>
    <t>LD3321</t>
  </si>
  <si>
    <t>LD1522</t>
  </si>
  <si>
    <t>LD1523</t>
  </si>
  <si>
    <t>LD6295</t>
  </si>
  <si>
    <t>LD6457</t>
  </si>
  <si>
    <t>LD6454</t>
  </si>
  <si>
    <t>LD6111</t>
  </si>
  <si>
    <t>LD1781</t>
  </si>
  <si>
    <t>LD6303</t>
  </si>
  <si>
    <t>LD5763</t>
  </si>
  <si>
    <t>LD1652</t>
  </si>
  <si>
    <t>LD7761</t>
  </si>
  <si>
    <t>LD3197</t>
  </si>
  <si>
    <t>LD1370</t>
  </si>
  <si>
    <t>LD7439</t>
  </si>
  <si>
    <t>LD5215</t>
  </si>
  <si>
    <t>LD1378</t>
  </si>
  <si>
    <t>LD5756</t>
  </si>
  <si>
    <t>LD3217</t>
  </si>
  <si>
    <t>LD6157</t>
  </si>
  <si>
    <t>LD2614</t>
  </si>
  <si>
    <t>LD7084</t>
  </si>
  <si>
    <t>LD4633</t>
  </si>
  <si>
    <t>LD1963</t>
  </si>
  <si>
    <t>LD7102</t>
  </si>
  <si>
    <t>LD7682</t>
  </si>
  <si>
    <t>LD6163</t>
  </si>
  <si>
    <t>LD1360</t>
  </si>
  <si>
    <t>LD4840</t>
  </si>
  <si>
    <t>LD5527</t>
  </si>
  <si>
    <t>LD2247</t>
  </si>
  <si>
    <t>LD6922</t>
  </si>
  <si>
    <t>LD4695</t>
  </si>
  <si>
    <t>LD6766</t>
  </si>
  <si>
    <t>LD3568</t>
  </si>
  <si>
    <t>LD4424</t>
  </si>
  <si>
    <t>LD3038</t>
  </si>
  <si>
    <t>LD1773</t>
  </si>
  <si>
    <t>LD7231</t>
  </si>
  <si>
    <t>LD4563</t>
  </si>
  <si>
    <t>LD7417</t>
  </si>
  <si>
    <t>LD7196</t>
  </si>
  <si>
    <t>LD2675</t>
  </si>
  <si>
    <t>LD1366</t>
  </si>
  <si>
    <t>LD5523</t>
  </si>
  <si>
    <t>LD5380</t>
  </si>
  <si>
    <t>LD5328</t>
  </si>
  <si>
    <t>LD1148</t>
  </si>
  <si>
    <t>LD6955</t>
  </si>
  <si>
    <t>LD4089</t>
  </si>
  <si>
    <t>LD7036</t>
  </si>
  <si>
    <t>LD1408</t>
  </si>
  <si>
    <t>LD7260</t>
  </si>
  <si>
    <t>LD4457</t>
  </si>
  <si>
    <t>LD5183</t>
  </si>
  <si>
    <t>LD4577</t>
  </si>
  <si>
    <t>LD4272</t>
  </si>
  <si>
    <t>LD2032</t>
  </si>
  <si>
    <t>LD5656</t>
  </si>
  <si>
    <t>LD1856</t>
  </si>
  <si>
    <t>LD4927</t>
  </si>
  <si>
    <t>LD1079</t>
  </si>
  <si>
    <t>LD3248</t>
  </si>
  <si>
    <t>LD6016</t>
  </si>
  <si>
    <t>LD7190</t>
  </si>
  <si>
    <t>LD7234</t>
  </si>
  <si>
    <t>LD5653</t>
  </si>
  <si>
    <t>LD1789</t>
  </si>
  <si>
    <t>LD3280</t>
  </si>
  <si>
    <t>LD5096</t>
  </si>
  <si>
    <t>LD4898</t>
  </si>
  <si>
    <t>LD7008</t>
  </si>
  <si>
    <t>LD6634</t>
  </si>
  <si>
    <t>LD4632</t>
  </si>
  <si>
    <t>LD6073</t>
  </si>
  <si>
    <t>LD1425</t>
  </si>
  <si>
    <t>LD1393</t>
  </si>
  <si>
    <t>LD6058</t>
  </si>
  <si>
    <t>LD7401</t>
  </si>
  <si>
    <t>LD5201</t>
  </si>
  <si>
    <t>LD3673</t>
  </si>
  <si>
    <t>LD7201</t>
  </si>
  <si>
    <t>LD5839</t>
  </si>
  <si>
    <t>LD4494</t>
  </si>
  <si>
    <t>LD2460</t>
  </si>
  <si>
    <t>LD5891</t>
  </si>
  <si>
    <t>LD5488</t>
  </si>
  <si>
    <t>LD4836</t>
  </si>
  <si>
    <t>LD6248</t>
  </si>
  <si>
    <t>LD7457</t>
  </si>
  <si>
    <t>LD6262</t>
  </si>
  <si>
    <t>LD3356</t>
  </si>
  <si>
    <t>LD3443</t>
  </si>
  <si>
    <t>LD6273</t>
  </si>
  <si>
    <t>LD1465</t>
  </si>
  <si>
    <t>LD1164</t>
  </si>
  <si>
    <t>LD6868</t>
  </si>
  <si>
    <t>LD7290</t>
  </si>
  <si>
    <t>LD7502</t>
  </si>
  <si>
    <t>LD7726</t>
  </si>
  <si>
    <t>LD3010</t>
  </si>
  <si>
    <t>LD4085</t>
  </si>
  <si>
    <t>LD1901</t>
  </si>
  <si>
    <t>LD7120</t>
  </si>
  <si>
    <t>LD3294</t>
  </si>
  <si>
    <t>LD4717</t>
  </si>
  <si>
    <t>LD6628</t>
  </si>
  <si>
    <t>LD2765</t>
  </si>
  <si>
    <t>LD2550</t>
  </si>
  <si>
    <t>LD4030</t>
  </si>
  <si>
    <t>LD6115</t>
  </si>
  <si>
    <t>LD3045</t>
  </si>
  <si>
    <t>LD1768</t>
  </si>
  <si>
    <t>LD2509</t>
  </si>
  <si>
    <t>LD7594</t>
  </si>
  <si>
    <t>LD5220</t>
  </si>
  <si>
    <t>LD6637</t>
  </si>
  <si>
    <t>LD5429</t>
  </si>
  <si>
    <t>LD4293</t>
  </si>
  <si>
    <t>LD1820</t>
  </si>
  <si>
    <t>LD2404</t>
  </si>
  <si>
    <t>LD2383</t>
  </si>
  <si>
    <t>LD3149</t>
  </si>
  <si>
    <t>LD2639</t>
  </si>
  <si>
    <t>LD7524</t>
  </si>
  <si>
    <t>LD1400</t>
  </si>
  <si>
    <t>LD1883</t>
  </si>
  <si>
    <t>LD4566</t>
  </si>
  <si>
    <t>LD7057</t>
  </si>
  <si>
    <t>LD2180</t>
  </si>
  <si>
    <t>LD5245</t>
  </si>
  <si>
    <t>LD6149</t>
  </si>
  <si>
    <t>LD3131</t>
  </si>
  <si>
    <t>LD1457</t>
  </si>
  <si>
    <t>LD2951</t>
  </si>
  <si>
    <t>LD1690</t>
  </si>
  <si>
    <t>LD6358</t>
  </si>
  <si>
    <t>LD2954</t>
  </si>
  <si>
    <t>LD3711</t>
  </si>
  <si>
    <t>LD6027</t>
  </si>
  <si>
    <t>LD5350</t>
  </si>
  <si>
    <t>LD7491</t>
  </si>
  <si>
    <t>LD2885</t>
  </si>
  <si>
    <t>LD6101</t>
  </si>
  <si>
    <t>LD3495</t>
  </si>
  <si>
    <t>LD4037</t>
  </si>
  <si>
    <t>LD4604</t>
  </si>
  <si>
    <t>LD1846</t>
  </si>
  <si>
    <t>LD1543</t>
  </si>
  <si>
    <t>LD4725</t>
  </si>
  <si>
    <t>LD5188</t>
  </si>
  <si>
    <t>LD4680</t>
  </si>
  <si>
    <t>LD6414</t>
  </si>
  <si>
    <t>LD6550</t>
  </si>
  <si>
    <t>LD7242</t>
  </si>
  <si>
    <t>LD3965</t>
  </si>
  <si>
    <t>LD3530</t>
  </si>
  <si>
    <t>LD2049</t>
  </si>
  <si>
    <t>LD2961</t>
  </si>
  <si>
    <t>LD3531</t>
  </si>
  <si>
    <t>LD5987</t>
  </si>
  <si>
    <t>LD1238</t>
  </si>
  <si>
    <t>LD2134</t>
  </si>
  <si>
    <t>LD6613</t>
  </si>
  <si>
    <t>LD5260</t>
  </si>
  <si>
    <t>LD6005</t>
  </si>
  <si>
    <t>LD7384</t>
  </si>
  <si>
    <t>LD7782</t>
  </si>
  <si>
    <t>LD3979</t>
  </si>
  <si>
    <t>LD6368</t>
  </si>
  <si>
    <t>LD6059</t>
  </si>
  <si>
    <t>LD4920</t>
  </si>
  <si>
    <t>LD4139</t>
  </si>
  <si>
    <t>LD7048</t>
  </si>
  <si>
    <t>LD5074</t>
  </si>
  <si>
    <t>LD6826</t>
  </si>
  <si>
    <t>LD4230</t>
  </si>
  <si>
    <t>LD2827</t>
  </si>
  <si>
    <t>LD1594</t>
  </si>
  <si>
    <t>LD3726</t>
  </si>
  <si>
    <t>LD5138</t>
  </si>
  <si>
    <t>LD1561</t>
  </si>
  <si>
    <t>LD6836</t>
  </si>
  <si>
    <t>LD1244</t>
  </si>
  <si>
    <t>LD5438</t>
  </si>
  <si>
    <t>LD5691</t>
  </si>
  <si>
    <t>LD1406</t>
  </si>
  <si>
    <t>LD2443</t>
  </si>
  <si>
    <t>LD1262</t>
  </si>
  <si>
    <t>LD5536</t>
  </si>
  <si>
    <t>LD7183</t>
  </si>
  <si>
    <t>LD2690</t>
  </si>
  <si>
    <t>LD2726</t>
  </si>
  <si>
    <t>LD3497</t>
  </si>
  <si>
    <t>LD6139</t>
  </si>
  <si>
    <t>LD1341</t>
  </si>
  <si>
    <t>LD7365</t>
  </si>
  <si>
    <t>LD2602</t>
  </si>
  <si>
    <t>LD4726</t>
  </si>
  <si>
    <t>LD7718</t>
  </si>
  <si>
    <t>LD3786</t>
  </si>
  <si>
    <t>LD2524</t>
  </si>
  <si>
    <t>LD6156</t>
  </si>
  <si>
    <t>LD7434</t>
  </si>
  <si>
    <t>LD7282</t>
  </si>
  <si>
    <t>LD2767</t>
  </si>
  <si>
    <t>LD5038</t>
  </si>
  <si>
    <t>LD6973</t>
  </si>
  <si>
    <t>LD6495</t>
  </si>
  <si>
    <t>LD7339</t>
  </si>
  <si>
    <t>LD1364</t>
  </si>
  <si>
    <t>LD7710</t>
  </si>
  <si>
    <t>LD7099</t>
  </si>
  <si>
    <t>LD5444</t>
  </si>
  <si>
    <t>LD6404</t>
  </si>
  <si>
    <t>LD7261</t>
  </si>
  <si>
    <t>LD3563</t>
  </si>
  <si>
    <t>LD5732</t>
  </si>
  <si>
    <t>LD7216</t>
  </si>
  <si>
    <t>LD4084</t>
  </si>
  <si>
    <t>LD7245</t>
  </si>
  <si>
    <t>LD3103</t>
  </si>
  <si>
    <t>LD1633</t>
  </si>
  <si>
    <t>LD3494</t>
  </si>
  <si>
    <t>LD3666</t>
  </si>
  <si>
    <t>LD6621</t>
  </si>
  <si>
    <t>LD5407</t>
  </si>
  <si>
    <t>LD5978</t>
  </si>
  <si>
    <t>LD6292</t>
  </si>
  <si>
    <t>LD3335</t>
  </si>
  <si>
    <t>LD6196</t>
  </si>
  <si>
    <t>LD4620</t>
  </si>
  <si>
    <t>LD4884</t>
  </si>
  <si>
    <t>LD5597</t>
  </si>
  <si>
    <t>LD5212</t>
  </si>
  <si>
    <t>LD2495</t>
  </si>
  <si>
    <t>LD3402</t>
  </si>
  <si>
    <t>LD4875</t>
  </si>
  <si>
    <t>LD2233</t>
  </si>
  <si>
    <t>LD3662</t>
  </si>
  <si>
    <t>LD3818</t>
  </si>
  <si>
    <t>LD7193</t>
  </si>
  <si>
    <t>LD6460</t>
  </si>
  <si>
    <t>LD5154</t>
  </si>
  <si>
    <t>LD6049</t>
  </si>
  <si>
    <t>LD4062</t>
  </si>
  <si>
    <t>LD6798</t>
  </si>
  <si>
    <t>LD7711</t>
  </si>
  <si>
    <t>LD2736</t>
  </si>
  <si>
    <t>LD3824</t>
  </si>
  <si>
    <t>LD6169</t>
  </si>
  <si>
    <t>LD7404</t>
  </si>
  <si>
    <t>LD3476</t>
  </si>
  <si>
    <t>LD3565</t>
  </si>
  <si>
    <t>LD6712</t>
  </si>
  <si>
    <t>LD6244</t>
  </si>
  <si>
    <t>LD1708</t>
  </si>
  <si>
    <t>LD4047</t>
  </si>
  <si>
    <t>LD6789</t>
  </si>
  <si>
    <t>LD6175</t>
  </si>
  <si>
    <t>LD1073</t>
  </si>
  <si>
    <t>LD5449</t>
  </si>
  <si>
    <t>LD7342</t>
  </si>
  <si>
    <t>LD2191</t>
  </si>
  <si>
    <t>LD3602</t>
  </si>
  <si>
    <t>LD2126</t>
  </si>
  <si>
    <t>LD2242</t>
  </si>
  <si>
    <t>LD7074</t>
  </si>
  <si>
    <t>LD6599</t>
  </si>
  <si>
    <t>LD4352</t>
  </si>
  <si>
    <t>LD5009</t>
  </si>
  <si>
    <t>LD2578</t>
  </si>
  <si>
    <t>LD4907</t>
  </si>
  <si>
    <t>LD4730</t>
  </si>
  <si>
    <t>LD5359</t>
  </si>
  <si>
    <t>LD2344</t>
  </si>
  <si>
    <t>LD7766</t>
  </si>
  <si>
    <t>LD1441</t>
  </si>
  <si>
    <t>LD2101</t>
  </si>
  <si>
    <t>LD3638</t>
  </si>
  <si>
    <t>LD5775</t>
  </si>
  <si>
    <t>LD1650</t>
  </si>
  <si>
    <t>LD2547</t>
  </si>
  <si>
    <t>LD6154</t>
  </si>
  <si>
    <t>LD7315</t>
  </si>
  <si>
    <t>LD3853</t>
  </si>
  <si>
    <t>LD4504</t>
  </si>
  <si>
    <t>LD5883</t>
  </si>
  <si>
    <t>LD1631</t>
  </si>
  <si>
    <t>LD2250</t>
  </si>
  <si>
    <t>LD5631</t>
  </si>
  <si>
    <t>LD1483</t>
  </si>
  <si>
    <t>LD2585</t>
  </si>
  <si>
    <t>LD2463</t>
  </si>
  <si>
    <t>LD4041</t>
  </si>
  <si>
    <t>LD6215</t>
  </si>
  <si>
    <t>LD4274</t>
  </si>
  <si>
    <t>LD4684</t>
  </si>
  <si>
    <t>LD5146</t>
  </si>
  <si>
    <t>LD5774</t>
  </si>
  <si>
    <t>LD4226</t>
  </si>
  <si>
    <t>LD2073</t>
  </si>
  <si>
    <t>LD3632</t>
  </si>
  <si>
    <t>LD2661</t>
  </si>
  <si>
    <t>LD3426</t>
  </si>
  <si>
    <t>LD6718</t>
  </si>
  <si>
    <t>LD4098</t>
  </si>
  <si>
    <t>LD4977</t>
  </si>
  <si>
    <t>LD7068</t>
  </si>
  <si>
    <t>LD7438</t>
  </si>
  <si>
    <t>LD5818</t>
  </si>
  <si>
    <t>LD6375</t>
  </si>
  <si>
    <t>LD2409</t>
  </si>
  <si>
    <t>LD2846</t>
  </si>
  <si>
    <t>LD2799</t>
  </si>
  <si>
    <t>LD4958</t>
  </si>
  <si>
    <t>LD2476</t>
  </si>
  <si>
    <t>LD1036</t>
  </si>
  <si>
    <t>LD1445</t>
  </si>
  <si>
    <t>LD3360</t>
  </si>
  <si>
    <t>LD4655</t>
  </si>
  <si>
    <t>LD4180</t>
  </si>
  <si>
    <t>LD2287</t>
  </si>
  <si>
    <t>LD6024</t>
  </si>
  <si>
    <t>LD5446</t>
  </si>
  <si>
    <t>LD4417</t>
  </si>
  <si>
    <t>LD3138</t>
  </si>
  <si>
    <t>LD3637</t>
  </si>
  <si>
    <t>LD5017</t>
  </si>
  <si>
    <t>LD7555</t>
  </si>
  <si>
    <t>LD2682</t>
  </si>
  <si>
    <t>LD5933</t>
  </si>
  <si>
    <t>LD2693</t>
  </si>
  <si>
    <t>LD7484</t>
  </si>
  <si>
    <t>LD6419</t>
  </si>
  <si>
    <t>LD4636</t>
  </si>
  <si>
    <t>LD1373</t>
  </si>
  <si>
    <t>LD6301</t>
  </si>
  <si>
    <t>LD7424</t>
  </si>
  <si>
    <t>LD1141</t>
  </si>
  <si>
    <t>LD5420</t>
  </si>
  <si>
    <t>LD7316</t>
  </si>
  <si>
    <t>LD6577</t>
  </si>
  <si>
    <t>LD1715</t>
  </si>
  <si>
    <t>LD4189</t>
  </si>
  <si>
    <t>LD6986</t>
  </si>
  <si>
    <t>LD5432</t>
  </si>
  <si>
    <t>LD5742</t>
  </si>
  <si>
    <t>LD1407</t>
  </si>
  <si>
    <t>LD1021</t>
  </si>
  <si>
    <t>LD2005</t>
  </si>
  <si>
    <t>LD3412</t>
  </si>
  <si>
    <t>LD3546</t>
  </si>
  <si>
    <t>LD3391</t>
  </si>
  <si>
    <t>LD6448</t>
  </si>
  <si>
    <t>LD1043</t>
  </si>
  <si>
    <t>LD3831</t>
  </si>
  <si>
    <t>LD4372</t>
  </si>
  <si>
    <t>LD4023</t>
  </si>
  <si>
    <t>LD4365</t>
  </si>
  <si>
    <t>LD5400</t>
  </si>
  <si>
    <t>LD1012</t>
  </si>
  <si>
    <t>LD2178</t>
  </si>
  <si>
    <t>LD2948</t>
  </si>
  <si>
    <t>LD3502</t>
  </si>
  <si>
    <t>LD3864</t>
  </si>
  <si>
    <t>LD4866</t>
  </si>
  <si>
    <t>LD2027</t>
  </si>
  <si>
    <t>LD4849</t>
  </si>
  <si>
    <t>LD3990</t>
  </si>
  <si>
    <t>LD1962</t>
  </si>
  <si>
    <t>LD3890</t>
  </si>
  <si>
    <t>LD4016</t>
  </si>
  <si>
    <t>LD4339</t>
  </si>
  <si>
    <t>LD5788</t>
  </si>
  <si>
    <t>LD1736</t>
  </si>
  <si>
    <t>LD5401</t>
  </si>
  <si>
    <t>LD2441</t>
  </si>
  <si>
    <t>LD3876</t>
  </si>
  <si>
    <t>LD4987</t>
  </si>
  <si>
    <t>LD1917</t>
  </si>
  <si>
    <t>LD6661</t>
  </si>
  <si>
    <t>LD5090</t>
  </si>
  <si>
    <t>LD7263</t>
  </si>
  <si>
    <t>LD6533</t>
  </si>
  <si>
    <t>LD3773</t>
  </si>
  <si>
    <t>LD2625</t>
  </si>
  <si>
    <t>LD6840</t>
  </si>
  <si>
    <t>LD1822</t>
  </si>
  <si>
    <t>LD2368</t>
  </si>
  <si>
    <t>LD4713</t>
  </si>
  <si>
    <t>LD7093</t>
  </si>
  <si>
    <t>LD1851</t>
  </si>
  <si>
    <t>LD2001</t>
  </si>
  <si>
    <t>LD6039</t>
  </si>
  <si>
    <t>LD5115</t>
  </si>
  <si>
    <t>LD2638</t>
  </si>
  <si>
    <t>LD2668</t>
  </si>
  <si>
    <t>LD5590</t>
  </si>
  <si>
    <t>LD4174</t>
  </si>
  <si>
    <t>LD6330</t>
  </si>
  <si>
    <t>LD2348</t>
  </si>
  <si>
    <t>LD6297</t>
  </si>
  <si>
    <t>LD4231</t>
  </si>
  <si>
    <t>LD5767</t>
  </si>
  <si>
    <t>LD6211</t>
  </si>
  <si>
    <t>LD4233</t>
  </si>
  <si>
    <t>LD6551</t>
  </si>
  <si>
    <t>LD1704</t>
  </si>
  <si>
    <t>LD6405</t>
  </si>
  <si>
    <t>LD4292</t>
  </si>
  <si>
    <t>LD4674</t>
  </si>
  <si>
    <t>LD3409</t>
  </si>
  <si>
    <t>LD2328</t>
  </si>
  <si>
    <t>LD7312</t>
  </si>
  <si>
    <t>LD6563</t>
  </si>
  <si>
    <t>LD5441</t>
  </si>
  <si>
    <t>LD6668</t>
  </si>
  <si>
    <t>LD1987</t>
  </si>
  <si>
    <t>LD6386</t>
  </si>
  <si>
    <t>LD7151</t>
  </si>
  <si>
    <t>LD6834</t>
  </si>
  <si>
    <t>LD7666</t>
  </si>
  <si>
    <t>LD5050</t>
  </si>
  <si>
    <t>LD4486</t>
  </si>
  <si>
    <t>LD3475</t>
  </si>
  <si>
    <t>LD4874</t>
  </si>
  <si>
    <t>LD2199</t>
  </si>
  <si>
    <t>LD5182</t>
  </si>
  <si>
    <t>LD2519</t>
  </si>
  <si>
    <t>LD7344</t>
  </si>
  <si>
    <t>LD2800</t>
  </si>
  <si>
    <t>LD2015</t>
  </si>
  <si>
    <t>LD1129</t>
  </si>
  <si>
    <t>LD2365</t>
  </si>
  <si>
    <t>LD7276</t>
  </si>
  <si>
    <t>LD5471</t>
  </si>
  <si>
    <t>LD1892</t>
  </si>
  <si>
    <t>LD3794</t>
  </si>
  <si>
    <t>LD6696</t>
  </si>
  <si>
    <t>LD5404</t>
  </si>
  <si>
    <t>LD7460</t>
  </si>
  <si>
    <t>LD6818</t>
  </si>
  <si>
    <t>LD4250</t>
  </si>
  <si>
    <t>LD2209</t>
  </si>
  <si>
    <t>LD4869</t>
  </si>
  <si>
    <t>LD7087</t>
  </si>
  <si>
    <t>LD5066</t>
  </si>
  <si>
    <t>LD6803</t>
  </si>
  <si>
    <t>LD2240</t>
  </si>
  <si>
    <t>LD3290</t>
  </si>
  <si>
    <t>LD3741</t>
  </si>
  <si>
    <t>LD1276</t>
  </si>
  <si>
    <t>LD5586</t>
  </si>
  <si>
    <t>LD2036</t>
  </si>
  <si>
    <t>LD2230</t>
  </si>
  <si>
    <t>LD2009</t>
  </si>
  <si>
    <t>LD4829</t>
  </si>
  <si>
    <t>LD3533</t>
  </si>
  <si>
    <t>LD5294</t>
  </si>
  <si>
    <t>LD2059</t>
  </si>
  <si>
    <t>LD6031</t>
  </si>
  <si>
    <t>LD1282</t>
  </si>
  <si>
    <t>LD2044</t>
  </si>
  <si>
    <t>LD2317</t>
  </si>
  <si>
    <t>LD1969</t>
  </si>
  <si>
    <t>LD3382</t>
  </si>
  <si>
    <t>LD6411</t>
  </si>
  <si>
    <t>LD2940</t>
  </si>
  <si>
    <t>LD5869</t>
  </si>
  <si>
    <t>LD2275</t>
  </si>
  <si>
    <t>LD1620</t>
  </si>
  <si>
    <t>LD6483</t>
  </si>
  <si>
    <t>LD2743</t>
  </si>
  <si>
    <t>LD2391</t>
  </si>
  <si>
    <t>LD6524</t>
  </si>
  <si>
    <t>LD2580</t>
  </si>
  <si>
    <t>LD2656</t>
  </si>
  <si>
    <t>LD4569</t>
  </si>
  <si>
    <t>LD3353</t>
  </si>
  <si>
    <t>LD3213</t>
  </si>
  <si>
    <t>LD7744</t>
  </si>
  <si>
    <t>LD4179</t>
  </si>
  <si>
    <t>LD4193</t>
  </si>
  <si>
    <t>LD2308</t>
  </si>
  <si>
    <t>LD1576</t>
  </si>
  <si>
    <t>LD3361</t>
  </si>
  <si>
    <t>LD2281</t>
  </si>
  <si>
    <t>LD6519</t>
  </si>
  <si>
    <t>LD7094</t>
  </si>
  <si>
    <t>LD2994</t>
  </si>
  <si>
    <t>LD3640</t>
  </si>
  <si>
    <t>LD1270</t>
  </si>
  <si>
    <t>LD1630</t>
  </si>
  <si>
    <t>LD6023</t>
  </si>
  <si>
    <t>LD4082</t>
  </si>
  <si>
    <t>LD4467</t>
  </si>
  <si>
    <t>LD7330</t>
  </si>
  <si>
    <t>LD5397</t>
  </si>
  <si>
    <t>LD5024</t>
  </si>
  <si>
    <t>LD7426</t>
  </si>
  <si>
    <t>LD3047</t>
  </si>
  <si>
    <t>LD5357</t>
  </si>
  <si>
    <t>LD6327</t>
  </si>
  <si>
    <t>LD3114</t>
  </si>
  <si>
    <t>LD1028</t>
  </si>
  <si>
    <t>LD3041</t>
  </si>
  <si>
    <t>LD4929</t>
  </si>
  <si>
    <t>LD7129</t>
  </si>
  <si>
    <t>LD4217</t>
  </si>
  <si>
    <t>LD4815</t>
  </si>
  <si>
    <t>LD1130</t>
  </si>
  <si>
    <t>LD6026</t>
  </si>
  <si>
    <t>LD7658</t>
  </si>
  <si>
    <t>LD5600</t>
  </si>
  <si>
    <t>LD1014</t>
  </si>
  <si>
    <t>LD6819</t>
  </si>
  <si>
    <t>LD5477</t>
  </si>
  <si>
    <t>LD2526</t>
  </si>
  <si>
    <t>LD3366</t>
  </si>
  <si>
    <t>LD5649</t>
  </si>
  <si>
    <t>LD4053</t>
  </si>
  <si>
    <t>LD5006</t>
  </si>
  <si>
    <t>LD3341</t>
  </si>
  <si>
    <t>LD1375</t>
  </si>
  <si>
    <t>LD6521</t>
  </si>
  <si>
    <t>LD6830</t>
  </si>
  <si>
    <t>LD1940</t>
  </si>
  <si>
    <t>LD7494</t>
  </si>
  <si>
    <t>LD5574</t>
  </si>
  <si>
    <t>LD3148</t>
  </si>
  <si>
    <t>LD4592</t>
  </si>
  <si>
    <t>LD7155</t>
  </si>
  <si>
    <t>LD6704</t>
  </si>
  <si>
    <t>LD4624</t>
  </si>
  <si>
    <t>LD1530</t>
  </si>
  <si>
    <t>LD4715</t>
  </si>
  <si>
    <t>LD5733</t>
  </si>
  <si>
    <t>LD2270</t>
  </si>
  <si>
    <t>LD5282</t>
  </si>
  <si>
    <t>LD2395</t>
  </si>
  <si>
    <t>LD5010</t>
  </si>
  <si>
    <t>LD5391</t>
  </si>
  <si>
    <t>LD2798</t>
  </si>
  <si>
    <t>LD3980</t>
  </si>
  <si>
    <t>LD2442</t>
  </si>
  <si>
    <t>LD6072</t>
  </si>
  <si>
    <t>LD7610</t>
  </si>
  <si>
    <t>LD4812</t>
  </si>
  <si>
    <t>LD2274</t>
  </si>
  <si>
    <t>LD5704</t>
  </si>
  <si>
    <t>LD2713</t>
  </si>
  <si>
    <t>LD1956</t>
  </si>
  <si>
    <t>LD6021</t>
  </si>
  <si>
    <t>LD6420</t>
  </si>
  <si>
    <t>LD6995</t>
  </si>
  <si>
    <t>LD7226</t>
  </si>
  <si>
    <t>LD1404</t>
  </si>
  <si>
    <t>LD3072</t>
  </si>
  <si>
    <t>LD7444</t>
  </si>
  <si>
    <t>LD2978</t>
  </si>
  <si>
    <t>LD1159</t>
  </si>
  <si>
    <t>LD4889</t>
  </si>
  <si>
    <t>LD1903</t>
  </si>
  <si>
    <t>LD1353</t>
  </si>
  <si>
    <t>LD5541</t>
  </si>
  <si>
    <t>LD5131</t>
  </si>
  <si>
    <t>LD1755</t>
  </si>
  <si>
    <t>LD3972</t>
  </si>
  <si>
    <t>LD7751</t>
  </si>
  <si>
    <t>LD3921</t>
  </si>
  <si>
    <t>LD1312</t>
  </si>
  <si>
    <t>LD5645</t>
  </si>
  <si>
    <t>LD1662</t>
  </si>
  <si>
    <t>LD2990</t>
  </si>
  <si>
    <t>LD4666</t>
  </si>
  <si>
    <t>LD1307</t>
  </si>
  <si>
    <t>LD3336</t>
  </si>
  <si>
    <t>LD5791</t>
  </si>
  <si>
    <t>LD3357</t>
  </si>
  <si>
    <t>LD4703</t>
  </si>
  <si>
    <t>LD4805</t>
  </si>
  <si>
    <t>LD2928</t>
  </si>
  <si>
    <t>LD6946</t>
  </si>
  <si>
    <t>LD4428</t>
  </si>
  <si>
    <t>LD1750</t>
  </si>
  <si>
    <t>LD4639</t>
  </si>
  <si>
    <t>LD5936</t>
  </si>
  <si>
    <t>LD2267</t>
  </si>
  <si>
    <t>LD6147</t>
  </si>
  <si>
    <t>LD6993</t>
  </si>
  <si>
    <t>LD4596</t>
  </si>
  <si>
    <t>LD3135</t>
  </si>
  <si>
    <t>LD5110</t>
  </si>
  <si>
    <t>LD1515</t>
  </si>
  <si>
    <t>LD7062</t>
  </si>
  <si>
    <t>LD1410</t>
  </si>
  <si>
    <t>LD6060</t>
  </si>
  <si>
    <t>LD7757</t>
  </si>
  <si>
    <t>LD7707</t>
  </si>
  <si>
    <t>LD7235</t>
  </si>
  <si>
    <t>LD1208</t>
  </si>
  <si>
    <t>LD1459</t>
  </si>
  <si>
    <t>LD3055</t>
  </si>
  <si>
    <t>LD3431</t>
  </si>
  <si>
    <t>LD1251</t>
  </si>
  <si>
    <t>LD6793</t>
  </si>
  <si>
    <t>LD2108</t>
  </si>
  <si>
    <t>LD6502</t>
  </si>
  <si>
    <t>LD2714</t>
  </si>
  <si>
    <t>LD4912</t>
  </si>
  <si>
    <t>LD1716</t>
  </si>
  <si>
    <t>LD1553</t>
  </si>
  <si>
    <t>LD2440</t>
  </si>
  <si>
    <t>LD3271</t>
  </si>
  <si>
    <t>LD4145</t>
  </si>
  <si>
    <t>LD7477</t>
  </si>
  <si>
    <t>LD2926</t>
  </si>
  <si>
    <t>LD1635</t>
  </si>
  <si>
    <t>LD1317</t>
  </si>
  <si>
    <t>LD7368</t>
  </si>
  <si>
    <t>LD1428</t>
  </si>
  <si>
    <t>LD6559</t>
  </si>
  <si>
    <t>LD1106</t>
  </si>
  <si>
    <t>LD4042</t>
  </si>
  <si>
    <t>LD5239</t>
  </si>
  <si>
    <t>LD3170</t>
  </si>
  <si>
    <t>LD2710</t>
  </si>
  <si>
    <t>LD1090</t>
  </si>
  <si>
    <t>LD3242</t>
  </si>
  <si>
    <t>LD4175</t>
  </si>
  <si>
    <t>LD6063</t>
  </si>
  <si>
    <t>LD2950</t>
  </si>
  <si>
    <t>LD5045</t>
  </si>
  <si>
    <t>LD3849</t>
  </si>
  <si>
    <t>LD1002</t>
  </si>
  <si>
    <t>LD5338</t>
  </si>
  <si>
    <t>LD1936</t>
  </si>
  <si>
    <t>LD6808</t>
  </si>
  <si>
    <t>LD3721</t>
  </si>
  <si>
    <t>LD1592</t>
  </si>
  <si>
    <t>LD6088</t>
  </si>
  <si>
    <t>LD3937</t>
  </si>
  <si>
    <t>LD3449</t>
  </si>
  <si>
    <t>LD2577</t>
  </si>
  <si>
    <t>LD6664</t>
  </si>
  <si>
    <t>LD1214</t>
  </si>
  <si>
    <t>LD1779</t>
  </si>
  <si>
    <t>LD4497</t>
  </si>
  <si>
    <t>LD6322</t>
  </si>
  <si>
    <t>LD3044</t>
  </si>
  <si>
    <t>LD7148</t>
  </si>
  <si>
    <t>LD2568</t>
  </si>
  <si>
    <t>LD1166</t>
  </si>
  <si>
    <t>LD5703</t>
  </si>
  <si>
    <t>LD4567</t>
  </si>
  <si>
    <t>LD7781</t>
  </si>
  <si>
    <t>LD7449</t>
  </si>
  <si>
    <t>LD3014</t>
  </si>
  <si>
    <t>LD1274</t>
  </si>
  <si>
    <t>LD4861</t>
  </si>
  <si>
    <t>LD5168</t>
  </si>
  <si>
    <t>LD6412</t>
  </si>
  <si>
    <t>LD4789</t>
  </si>
  <si>
    <t>LD1395</t>
  </si>
  <si>
    <t>LD1584</t>
  </si>
  <si>
    <t>LD7763</t>
  </si>
  <si>
    <t>LD7287</t>
  </si>
  <si>
    <t>LD7488</t>
  </si>
  <si>
    <t>LD1521</t>
  </si>
  <si>
    <t>LD2764</t>
  </si>
  <si>
    <t>LD2876</t>
  </si>
  <si>
    <t>LD4966</t>
  </si>
  <si>
    <t>LD4345</t>
  </si>
  <si>
    <t>LD3254</t>
  </si>
  <si>
    <t>LD4225</t>
  </si>
  <si>
    <t>LD1527</t>
  </si>
  <si>
    <t>LD3947</t>
  </si>
  <si>
    <t>LD5474</t>
  </si>
  <si>
    <t>LD4900</t>
  </si>
  <si>
    <t>LD1693</t>
  </si>
  <si>
    <t>LD7410</t>
  </si>
  <si>
    <t>LD5445</t>
  </si>
  <si>
    <t>LD4634</t>
  </si>
  <si>
    <t>LD2051</t>
  </si>
  <si>
    <t>LD1591</t>
  </si>
  <si>
    <t>LD1520</t>
  </si>
  <si>
    <t>LD4381</t>
  </si>
  <si>
    <t>LD4677</t>
  </si>
  <si>
    <t>LD6592</t>
  </si>
  <si>
    <t>LD2608</t>
  </si>
  <si>
    <t>LD4611</t>
  </si>
  <si>
    <t>LD7474</t>
  </si>
  <si>
    <t>LD2810</t>
  </si>
  <si>
    <t>LD1792</t>
  </si>
  <si>
    <t>LD1793</t>
  </si>
  <si>
    <t>LD6966</t>
  </si>
  <si>
    <t>LD2856</t>
  </si>
  <si>
    <t>LD2981</t>
  </si>
  <si>
    <t>LD4234</t>
  </si>
  <si>
    <t>LD4599</t>
  </si>
  <si>
    <t>LD1934</t>
  </si>
  <si>
    <t>LD4964</t>
  </si>
  <si>
    <t>LD6041</t>
  </si>
  <si>
    <t>LD7297</t>
  </si>
  <si>
    <t>LD5180</t>
  </si>
  <si>
    <t>LD5027</t>
  </si>
  <si>
    <t>LD7002</t>
  </si>
  <si>
    <t>LD5117</t>
  </si>
  <si>
    <t>LD1989</t>
  </si>
  <si>
    <t>LD6231</t>
  </si>
  <si>
    <t>LD4454</t>
  </si>
  <si>
    <t>LD7192</t>
  </si>
  <si>
    <t>LD4779</t>
  </si>
  <si>
    <t>LD7732</t>
  </si>
  <si>
    <t>LD4094</t>
  </si>
  <si>
    <t>LD4156</t>
  </si>
  <si>
    <t>LD4202</t>
  </si>
  <si>
    <t>LD6473</t>
  </si>
  <si>
    <t>LD2099</t>
  </si>
  <si>
    <t>LD6636</t>
  </si>
  <si>
    <t>LD3845</t>
  </si>
  <si>
    <t>LD1887</t>
  </si>
  <si>
    <t>LD7693</t>
  </si>
  <si>
    <t>LD6260</t>
  </si>
  <si>
    <t>LD1516</t>
  </si>
  <si>
    <t>LD7257</t>
  </si>
  <si>
    <t>LD5834</t>
  </si>
  <si>
    <t>LD2454</t>
  </si>
  <si>
    <t>LD4554</t>
  </si>
  <si>
    <t>LD4610</t>
  </si>
  <si>
    <t>LD5666</t>
  </si>
  <si>
    <t>LD3507</t>
  </si>
  <si>
    <t>LD3995</t>
  </si>
  <si>
    <t>LD5000</t>
  </si>
  <si>
    <t>LD7428</t>
  </si>
  <si>
    <t>LD1907</t>
  </si>
  <si>
    <t>LD1029</t>
  </si>
  <si>
    <t>LD3508</t>
  </si>
  <si>
    <t>LD3429</t>
  </si>
  <si>
    <t>LD6044</t>
  </si>
  <si>
    <t>LD1763</t>
  </si>
  <si>
    <t>LD4748</t>
  </si>
  <si>
    <t>LD5812</t>
  </si>
  <si>
    <t>LD1285</t>
  </si>
  <si>
    <t>LD1687</t>
  </si>
  <si>
    <t>LD7267</t>
  </si>
  <si>
    <t>LD3354</t>
  </si>
  <si>
    <t>LD6456</t>
  </si>
  <si>
    <t>LD6829</t>
  </si>
  <si>
    <t>LD1022</t>
  </si>
  <si>
    <t>LD3753</t>
  </si>
  <si>
    <t>LD1886</t>
  </si>
  <si>
    <t>LD1918</t>
  </si>
  <si>
    <t>LD2041</t>
  </si>
  <si>
    <t>LD6380</t>
  </si>
  <si>
    <t>LD2266</t>
  </si>
  <si>
    <t>LD5580</t>
  </si>
  <si>
    <t>LD6872</t>
  </si>
  <si>
    <t>LD1278</t>
  </si>
  <si>
    <t>LD3085</t>
  </si>
  <si>
    <t>LD2246</t>
  </si>
  <si>
    <t>LD3383</t>
  </si>
  <si>
    <t>LD1572</t>
  </si>
  <si>
    <t>LD2436</t>
  </si>
  <si>
    <t>LD4903</t>
  </si>
  <si>
    <t>LD2248</t>
  </si>
  <si>
    <t>LD5682</t>
  </si>
  <si>
    <t>LD4527</t>
  </si>
  <si>
    <t>LD3515</t>
  </si>
  <si>
    <t>LD2008</t>
  </si>
  <si>
    <t>LD5771</t>
  </si>
  <si>
    <t>LD5544</t>
  </si>
  <si>
    <t>LD6106</t>
  </si>
  <si>
    <t>LD6877</t>
  </si>
  <si>
    <t>LD3065</t>
  </si>
  <si>
    <t>LD6356</t>
  </si>
  <si>
    <t>LD2691</t>
  </si>
  <si>
    <t>LD7550</t>
  </si>
  <si>
    <t>LD2986</t>
  </si>
  <si>
    <t>LD1295</t>
  </si>
  <si>
    <t>LD2548</t>
  </si>
  <si>
    <t>LD3013</t>
  </si>
  <si>
    <t>LD1589</t>
  </si>
  <si>
    <t>LD4330</t>
  </si>
  <si>
    <t>LD3404</t>
  </si>
  <si>
    <t>LD3130</t>
  </si>
  <si>
    <t>LD4999</t>
  </si>
  <si>
    <t>LD6937</t>
  </si>
  <si>
    <t>LD4742</t>
  </si>
  <si>
    <t>LD4509</t>
  </si>
  <si>
    <t>LD3720</t>
  </si>
  <si>
    <t>LD5522</t>
  </si>
  <si>
    <t>LD7175</t>
  </si>
  <si>
    <t>LD7420</t>
  </si>
  <si>
    <t>LD1557</t>
  </si>
  <si>
    <t>LD5796</t>
  </si>
  <si>
    <t>LD3470</t>
  </si>
  <si>
    <t>LD4739</t>
  </si>
  <si>
    <t>LD5287</t>
  </si>
  <si>
    <t>LD6587</t>
  </si>
  <si>
    <t>LD2717</t>
  </si>
  <si>
    <t>LD3605</t>
  </si>
  <si>
    <t>LD6598</t>
  </si>
  <si>
    <t>LD2705</t>
  </si>
  <si>
    <t>LD3140</t>
  </si>
  <si>
    <t>LD4240</t>
  </si>
  <si>
    <t>LD3384</t>
  </si>
  <si>
    <t>LD5312</t>
  </si>
  <si>
    <t>LD2286</t>
  </si>
  <si>
    <t>LD6777</t>
  </si>
  <si>
    <t>LD7058</t>
  </si>
  <si>
    <t>LD4931</t>
  </si>
  <si>
    <t>LD6130</t>
  </si>
  <si>
    <t>LD2592</t>
  </si>
  <si>
    <t>LD7005</t>
  </si>
  <si>
    <t>LD3163</t>
  </si>
  <si>
    <t>LD3397</t>
  </si>
  <si>
    <t>LD1318</t>
  </si>
  <si>
    <t>LD7086</t>
  </si>
  <si>
    <t>LD4112</t>
  </si>
  <si>
    <t>LD6418</t>
  </si>
  <si>
    <t>LD7587</t>
  </si>
  <si>
    <t>LD5037</t>
  </si>
  <si>
    <t>LD1796</t>
  </si>
  <si>
    <t>LD4021</t>
  </si>
  <si>
    <t>LD2712</t>
  </si>
  <si>
    <t>LD4388</t>
  </si>
  <si>
    <t>LD1037</t>
  </si>
  <si>
    <t>LD5550</t>
  </si>
  <si>
    <t>LD1914</t>
  </si>
  <si>
    <t>LD4973</t>
  </si>
  <si>
    <t>LD5134</t>
  </si>
  <si>
    <t>LD1975</t>
  </si>
  <si>
    <t>LD1984</t>
  </si>
  <si>
    <t>LD6541</t>
  </si>
  <si>
    <t>LD2419</t>
  </si>
  <si>
    <t>LD2561</t>
  </si>
  <si>
    <t>LD5136</t>
  </si>
  <si>
    <t>LD6407</t>
  </si>
  <si>
    <t>LD5266</t>
  </si>
  <si>
    <t>LD2356</t>
  </si>
  <si>
    <t>LD7347</t>
  </si>
  <si>
    <t>LD7431</t>
  </si>
  <si>
    <t>LD1988</t>
  </si>
  <si>
    <t>LD3683</t>
  </si>
  <si>
    <t>LD6048</t>
  </si>
  <si>
    <t>LD2641</t>
  </si>
  <si>
    <t>LD2291</t>
  </si>
  <si>
    <t>LD4682</t>
  </si>
  <si>
    <t>LD2381</t>
  </si>
  <si>
    <t>LD2934</t>
  </si>
  <si>
    <t>LD5676</t>
  </si>
  <si>
    <t>LD6708</t>
  </si>
  <si>
    <t>LD4161</t>
  </si>
  <si>
    <t>LD3031</t>
  </si>
  <si>
    <t>LD1893</t>
  </si>
  <si>
    <t>LD5877</t>
  </si>
  <si>
    <t>LD5070</t>
  </si>
  <si>
    <t>LD5256</t>
  </si>
  <si>
    <t>LD1003</t>
  </si>
  <si>
    <t>LD3110</t>
  </si>
  <si>
    <t>LD1850</t>
  </si>
  <si>
    <t>LD3738</t>
  </si>
  <si>
    <t>LD3467</t>
  </si>
  <si>
    <t>LD2915</t>
  </si>
  <si>
    <t>LD2597</t>
  </si>
  <si>
    <t>LD2914</t>
  </si>
  <si>
    <t>LD6140</t>
  </si>
  <si>
    <t>LD7386</t>
  </si>
  <si>
    <t>LD3737</t>
  </si>
  <si>
    <t>LD1727</t>
  </si>
  <si>
    <t>LD1054</t>
  </si>
  <si>
    <t>LD2797</t>
  </si>
  <si>
    <t>LD4846</t>
  </si>
  <si>
    <t>LD3554</t>
  </si>
  <si>
    <t>LD3801</t>
  </si>
  <si>
    <t>LD1937</t>
  </si>
  <si>
    <t>LD6596</t>
  </si>
  <si>
    <t>LD1825</t>
  </si>
  <si>
    <t>LD5322</t>
  </si>
  <si>
    <t>LD4402</t>
  </si>
  <si>
    <t>LD2390</t>
  </si>
  <si>
    <t>LD4565</t>
  </si>
  <si>
    <t>LD1885</t>
  </si>
  <si>
    <t>LD5868</t>
  </si>
  <si>
    <t>LD2869</t>
  </si>
  <si>
    <t>LD6182</t>
  </si>
  <si>
    <t>LD1011</t>
  </si>
  <si>
    <t>LD4416</t>
  </si>
  <si>
    <t>LD2464</t>
  </si>
  <si>
    <t>LD1807</t>
  </si>
  <si>
    <t>LD6532</t>
  </si>
  <si>
    <t>LD6333</t>
  </si>
  <si>
    <t>LD5069</t>
  </si>
  <si>
    <t>LD3109</t>
  </si>
  <si>
    <t>LD6747</t>
  </si>
  <si>
    <t>LD7725</t>
  </si>
  <si>
    <t>LD3235</t>
  </si>
  <si>
    <t>LD1964</t>
  </si>
  <si>
    <t>LD5495</t>
  </si>
  <si>
    <t>LD3633</t>
  </si>
  <si>
    <t>LD1705</t>
  </si>
  <si>
    <t>LD1432</t>
  </si>
  <si>
    <t>LD5389</t>
  </si>
  <si>
    <t>LD1146</t>
  </si>
  <si>
    <t>LD3034</t>
  </si>
  <si>
    <t>LD6693</t>
  </si>
  <si>
    <t>LD2166</t>
  </si>
  <si>
    <t>LD4501</t>
  </si>
  <si>
    <t>LD3051</t>
  </si>
  <si>
    <t>LD4761</t>
  </si>
  <si>
    <t>LD3625</t>
  </si>
  <si>
    <t>LD5485</t>
  </si>
  <si>
    <t>LD5436</t>
  </si>
  <si>
    <t>LD6785</t>
  </si>
  <si>
    <t>LD6691</t>
  </si>
  <si>
    <t>LD5362</t>
  </si>
  <si>
    <t>LD3425</t>
  </si>
  <si>
    <t>LD2263</t>
  </si>
  <si>
    <t>LD2772</t>
  </si>
  <si>
    <t>LD4512</t>
  </si>
  <si>
    <t>LD1272</t>
  </si>
  <si>
    <t>LD5793</t>
  </si>
  <si>
    <t>LD7754</t>
  </si>
  <si>
    <t>LD1245</t>
  </si>
  <si>
    <t>LD7580</t>
  </si>
  <si>
    <t>LD5573</t>
  </si>
  <si>
    <t>LD3033</t>
  </si>
  <si>
    <t>LD7249</t>
  </si>
  <si>
    <t>LD6360</t>
  </si>
  <si>
    <t>LD1814</t>
  </si>
  <si>
    <t>LD4811</t>
  </si>
  <si>
    <t>LD6508</t>
  </si>
  <si>
    <t>LD2805</t>
  </si>
  <si>
    <t>LD6762</t>
  </si>
  <si>
    <t>LD5347</t>
  </si>
  <si>
    <t>LD3462</t>
  </si>
  <si>
    <t>LD1546</t>
  </si>
  <si>
    <t>LD4242</t>
  </si>
  <si>
    <t>LD1739</t>
  </si>
  <si>
    <t>LD1311</t>
  </si>
  <si>
    <t>LD4522</t>
  </si>
  <si>
    <t>LD2132</t>
  </si>
  <si>
    <t>LD7678</t>
  </si>
  <si>
    <t>LD5112</t>
  </si>
  <si>
    <t>LD3770</t>
  </si>
  <si>
    <t>LD1921</t>
  </si>
  <si>
    <t>LD4588</t>
  </si>
  <si>
    <t>LD4960</t>
  </si>
  <si>
    <t>LD1039</t>
  </si>
  <si>
    <t>LD5460</t>
  </si>
  <si>
    <t>LD5279</t>
  </si>
  <si>
    <t>LD3984</t>
  </si>
  <si>
    <t>LD7768</t>
  </si>
  <si>
    <t>LD6218</t>
  </si>
  <si>
    <t>LD3668</t>
  </si>
  <si>
    <t>LD4224</t>
  </si>
  <si>
    <t>LD2183</t>
  </si>
  <si>
    <t>LD1615</t>
  </si>
  <si>
    <t>LD7659</t>
  </si>
  <si>
    <t>LD2467</t>
  </si>
  <si>
    <t>LD5498</t>
  </si>
  <si>
    <t>LD4043</t>
  </si>
  <si>
    <t>LD1935</t>
  </si>
  <si>
    <t>LD3420</t>
  </si>
  <si>
    <t>LD6086</t>
  </si>
  <si>
    <t>LD7118</t>
  </si>
  <si>
    <t>LD6496</t>
  </si>
  <si>
    <t>LD5823</t>
  </si>
  <si>
    <t>LD1827</t>
  </si>
  <si>
    <t>LD2522</t>
  </si>
  <si>
    <t>LD3931</t>
  </si>
  <si>
    <t>LD5233</t>
  </si>
  <si>
    <t>LD1629</t>
  </si>
  <si>
    <t>LD5431</t>
  </si>
  <si>
    <t>LD4854</t>
  </si>
  <si>
    <t>LD1391</t>
  </si>
  <si>
    <t>LD5346</t>
  </si>
  <si>
    <t>LD7612</t>
  </si>
  <si>
    <t>LD4991</t>
  </si>
  <si>
    <t>LD1401</t>
  </si>
  <si>
    <t>LD5807</t>
  </si>
  <si>
    <t>LD6136</t>
  </si>
  <si>
    <t>LD6479</t>
  </si>
  <si>
    <t>LD4360</t>
  </si>
  <si>
    <t>LD1047</t>
  </si>
  <si>
    <t>LD7506</t>
  </si>
  <si>
    <t>LD7683</t>
  </si>
  <si>
    <t>LD4643</t>
  </si>
  <si>
    <t>LD4727</t>
  </si>
  <si>
    <t>LD6209</t>
  </si>
  <si>
    <t>LD7584</t>
  </si>
  <si>
    <t>LD3422</t>
  </si>
  <si>
    <t>LD2751</t>
  </si>
  <si>
    <t>LD7558</t>
  </si>
  <si>
    <t>LD6558</t>
  </si>
  <si>
    <t>LD5063</t>
  </si>
  <si>
    <t>LD1339</t>
  </si>
  <si>
    <t>LD1216</t>
  </si>
  <si>
    <t>LD4664</t>
  </si>
  <si>
    <t>LD2342</t>
  </si>
  <si>
    <t>LD7200</t>
  </si>
  <si>
    <t>LD4895</t>
  </si>
  <si>
    <t>LD4641</t>
  </si>
  <si>
    <t>LD1330</t>
  </si>
  <si>
    <t>LD6336</t>
  </si>
  <si>
    <t>LD4005</t>
  </si>
  <si>
    <t>LD7478</t>
  </si>
  <si>
    <t>LD4116</t>
  </si>
  <si>
    <t>LD7561</t>
  </si>
  <si>
    <t>LD3323</t>
  </si>
  <si>
    <t>LD5198</t>
  </si>
  <si>
    <t>LD4550</t>
  </si>
  <si>
    <t>LD2459</t>
  </si>
  <si>
    <t>LD1172</t>
  </si>
  <si>
    <t>LD5204</t>
  </si>
  <si>
    <t>LD6680</t>
  </si>
  <si>
    <t>LD4570</t>
  </si>
  <si>
    <t>LD5227</t>
  </si>
  <si>
    <t>LD6159</t>
  </si>
  <si>
    <t>LD7496</t>
  </si>
  <si>
    <t>LD6591</t>
  </si>
  <si>
    <t>LD1939</t>
  </si>
  <si>
    <t>LD1061</t>
  </si>
  <si>
    <t>LD2241</t>
  </si>
  <si>
    <t>LD6137</t>
  </si>
  <si>
    <t>LD6669</t>
  </si>
  <si>
    <t>LD3121</t>
  </si>
  <si>
    <t>LD2525</t>
  </si>
  <si>
    <t>LD1154</t>
  </si>
  <si>
    <t>LD1482</t>
  </si>
  <si>
    <t>LD5461</t>
  </si>
  <si>
    <t>LD4921</t>
  </si>
  <si>
    <t>LD2763</t>
  </si>
  <si>
    <t>LD1751</t>
  </si>
  <si>
    <t>LD2786</t>
  </si>
  <si>
    <t>LD5502</t>
  </si>
  <si>
    <t>LD5854</t>
  </si>
  <si>
    <t>LD3712</t>
  </si>
  <si>
    <t>LD6481</t>
  </si>
  <si>
    <t>LD5194</t>
  </si>
  <si>
    <t>LD2334</t>
  </si>
  <si>
    <t>LD7034</t>
  </si>
  <si>
    <t>LD3855</t>
  </si>
  <si>
    <t>LD1187</t>
  </si>
  <si>
    <t>LD2137</t>
  </si>
  <si>
    <t>LD3059</t>
  </si>
  <si>
    <t>LD6682</t>
  </si>
  <si>
    <t>LD1149</t>
  </si>
  <si>
    <t>LD5125</t>
  </si>
  <si>
    <t>LD5890</t>
  </si>
  <si>
    <t>LD4364</t>
  </si>
  <si>
    <t>LD5789</t>
  </si>
  <si>
    <t>LD3867</t>
  </si>
  <si>
    <t>LD4777</t>
  </si>
  <si>
    <t>LD2387</t>
  </si>
  <si>
    <t>LD7407</t>
  </si>
  <si>
    <t>LD6614</t>
  </si>
  <si>
    <t>LD4630</t>
  </si>
  <si>
    <t>LD7101</t>
  </si>
  <si>
    <t>LD5798</t>
  </si>
  <si>
    <t>LD4029</t>
  </si>
  <si>
    <t>LD3970</t>
  </si>
  <si>
    <t>LD6894</t>
  </si>
  <si>
    <t>LD2709</t>
  </si>
  <si>
    <t>LD3954</t>
  </si>
  <si>
    <t>LD1455</t>
  </si>
  <si>
    <t>LD1610</t>
  </si>
  <si>
    <t>LD5264</t>
  </si>
  <si>
    <t>LD5827</t>
  </si>
  <si>
    <t>LD6750</t>
  </si>
  <si>
    <t>LD3075</t>
  </si>
  <si>
    <t>LD5053</t>
  </si>
  <si>
    <t>LD6515</t>
  </si>
  <si>
    <t>LD2623</t>
  </si>
  <si>
    <t>LD5684</t>
  </si>
  <si>
    <t>LD6939</t>
  </si>
  <si>
    <t>LD1041</t>
  </si>
  <si>
    <t>LD3090</t>
  </si>
  <si>
    <t>LD4925</t>
  </si>
  <si>
    <t>LD3176</t>
  </si>
  <si>
    <t>LD1075</t>
  </si>
  <si>
    <t>LD6427</t>
  </si>
  <si>
    <t>LD7691</t>
  </si>
  <si>
    <t>LD3658</t>
  </si>
  <si>
    <t>LD4181</t>
  </si>
  <si>
    <t>LD3077</t>
  </si>
  <si>
    <t>LD1442</t>
  </si>
  <si>
    <t>LD3052</t>
  </si>
  <si>
    <t>LD3542</t>
  </si>
  <si>
    <t>LD2302</t>
  </si>
  <si>
    <t>LD4431</t>
  </si>
  <si>
    <t>LD2305</t>
  </si>
  <si>
    <t>LD1237</t>
  </si>
  <si>
    <t>LD6654</t>
  </si>
  <si>
    <t>LD3600</t>
  </si>
  <si>
    <t>LD5617</t>
  </si>
  <si>
    <t>LD3574</t>
  </si>
  <si>
    <t>LD4281</t>
  </si>
  <si>
    <t>LD4187</t>
  </si>
  <si>
    <t>LD4954</t>
  </si>
  <si>
    <t>LD3769</t>
  </si>
  <si>
    <t>LD5832</t>
  </si>
  <si>
    <t>LD5224</t>
  </si>
  <si>
    <t>LD3107</t>
  </si>
  <si>
    <t>LD3680</t>
  </si>
  <si>
    <t>LD3762</t>
  </si>
  <si>
    <t>LD5689</t>
  </si>
  <si>
    <t>LD6400</t>
  </si>
  <si>
    <t>LD2388</t>
  </si>
  <si>
    <t>LD7363</t>
  </si>
  <si>
    <t>LD7135</t>
  </si>
  <si>
    <t>LD7545</t>
  </si>
  <si>
    <t>LD6001</t>
  </si>
  <si>
    <t>LD2280</t>
  </si>
  <si>
    <t>LD7050</t>
  </si>
  <si>
    <t>LD7646</t>
  </si>
  <si>
    <t>LD2556</t>
  </si>
  <si>
    <t>LD7130</t>
  </si>
  <si>
    <t>LD4191</t>
  </si>
  <si>
    <t>LD5567</t>
  </si>
  <si>
    <t>LD5803</t>
  </si>
  <si>
    <t>LD7358</t>
  </si>
  <si>
    <t>LD5842</t>
  </si>
  <si>
    <t>LD4595</t>
  </si>
  <si>
    <t>LD2921</t>
  </si>
  <si>
    <t>LD1514</t>
  </si>
  <si>
    <t>LD5178</t>
  </si>
  <si>
    <t>LD2309</t>
  </si>
  <si>
    <t>LD1915</t>
  </si>
  <si>
    <t>LD4453</t>
  </si>
  <si>
    <t>LD4696</t>
  </si>
  <si>
    <t>LD5243</t>
  </si>
  <si>
    <t>LD4157</t>
  </si>
  <si>
    <t>LD3199</t>
  </si>
  <si>
    <t>LD1775</t>
  </si>
  <si>
    <t>LD5426</t>
  </si>
  <si>
    <t>LD1944</t>
  </si>
  <si>
    <t>LD1823</t>
  </si>
  <si>
    <t>LD6006</t>
  </si>
  <si>
    <t>LD5278</t>
  </si>
  <si>
    <t>LD1165</t>
  </si>
  <si>
    <t>LD5548</t>
  </si>
  <si>
    <t>LD4984</t>
  </si>
  <si>
    <t>LD3539</t>
  </si>
  <si>
    <t>LD7469</t>
  </si>
  <si>
    <t>LD2312</t>
  </si>
  <si>
    <t>LD6208</t>
  </si>
  <si>
    <t>LD7163</t>
  </si>
  <si>
    <t>LD6384</t>
  </si>
  <si>
    <t>LD6656</t>
  </si>
  <si>
    <t>LD7292</t>
  </si>
  <si>
    <t>LD4301</t>
  </si>
  <si>
    <t>LD4311</t>
  </si>
  <si>
    <t>LD1328</t>
  </si>
  <si>
    <t>LD3491</t>
  </si>
  <si>
    <t>LD7351</t>
  </si>
  <si>
    <t>LD5409</t>
  </si>
  <si>
    <t>LD1833</t>
  </si>
  <si>
    <t>LD4080</t>
  </si>
  <si>
    <t>LD4463</t>
  </si>
  <si>
    <t>LD6298</t>
  </si>
  <si>
    <t>LD6940</t>
  </si>
  <si>
    <t>LD1055</t>
  </si>
  <si>
    <t>LD5065</t>
  </si>
  <si>
    <t>LD4452</t>
  </si>
  <si>
    <t>LD2902</t>
  </si>
  <si>
    <t>LD2482</t>
  </si>
  <si>
    <t>LD5874</t>
  </si>
  <si>
    <t>LD5896</t>
  </si>
  <si>
    <t>LD5151</t>
  </si>
  <si>
    <t>LD4336</t>
  </si>
  <si>
    <t>LD5927</t>
  </si>
  <si>
    <t>LD1947</t>
  </si>
  <si>
    <t>LD4294</t>
  </si>
  <si>
    <t>LD3162</t>
  </si>
  <si>
    <t>LD7568</t>
  </si>
  <si>
    <t>LD6084</t>
  </si>
  <si>
    <t>LD6743</t>
  </si>
  <si>
    <t>LD4058</t>
  </si>
  <si>
    <t>LD6491</t>
  </si>
  <si>
    <t>LD1769</t>
  </si>
  <si>
    <t>LD7373</t>
  </si>
  <si>
    <t>LD4496</t>
  </si>
  <si>
    <t>LD1286</t>
  </si>
  <si>
    <t>LD7703</t>
  </si>
  <si>
    <t>LD5525</t>
  </si>
  <si>
    <t>LD7029</t>
  </si>
  <si>
    <t>LD3333</t>
  </si>
  <si>
    <t>LD3718</t>
  </si>
  <si>
    <t>LD3080</t>
  </si>
  <si>
    <t>LD4390</t>
  </si>
  <si>
    <t>LD1723</t>
  </si>
  <si>
    <t>LD1952</t>
  </si>
  <si>
    <t>LD6909</t>
  </si>
  <si>
    <t>LD3263</t>
  </si>
  <si>
    <t>LD1990</t>
  </si>
  <si>
    <t>LD4213</t>
  </si>
  <si>
    <t>LD2760</t>
  </si>
  <si>
    <t>LD6571</t>
  </si>
  <si>
    <t>LD5423</t>
  </si>
  <si>
    <t>LD6480</t>
  </si>
  <si>
    <t>LD2725</t>
  </si>
  <si>
    <t>LD6183</t>
  </si>
  <si>
    <t>LD1342</t>
  </si>
  <si>
    <t>LD4702</t>
  </si>
  <si>
    <t>LD5244</t>
  </si>
  <si>
    <t>LD1689</t>
  </si>
  <si>
    <t>LD4433</t>
  </si>
  <si>
    <t>LD6204</t>
  </si>
  <si>
    <t>LD5945</t>
  </si>
  <si>
    <t>LD1967</t>
  </si>
  <si>
    <t>LD7402</t>
  </si>
  <si>
    <t>LD3204</t>
  </si>
  <si>
    <t>LD3714</t>
  </si>
  <si>
    <t>LD5758</t>
  </si>
  <si>
    <t>LD6099</t>
  </si>
  <si>
    <t>LD6970</t>
  </si>
  <si>
    <t>LD7202</t>
  </si>
  <si>
    <t>LD6281</t>
  </si>
  <si>
    <t>LD4573</t>
  </si>
  <si>
    <t>LD5806</t>
  </si>
  <si>
    <t>LD6300</t>
  </si>
  <si>
    <t>LD2991</t>
  </si>
  <si>
    <t>LD5121</t>
  </si>
  <si>
    <t>LD5760</t>
  </si>
  <si>
    <t>LD6944</t>
  </si>
  <si>
    <t>LD6299</t>
  </si>
  <si>
    <t>LD6924</t>
  </si>
  <si>
    <t>LD5972</t>
  </si>
  <si>
    <t>LD7425</t>
  </si>
  <si>
    <t>LD6035</t>
  </si>
  <si>
    <t>LD4601</t>
  </si>
  <si>
    <t>LD7187</t>
  </si>
  <si>
    <t>LD7752</t>
  </si>
  <si>
    <t>LD7456</t>
  </si>
  <si>
    <t>LD1386</t>
  </si>
  <si>
    <t>LD6915</t>
  </si>
  <si>
    <t>LD7189</t>
  </si>
  <si>
    <t>LD1537</t>
  </si>
  <si>
    <t>LD7323</t>
  </si>
  <si>
    <t>LD6033</t>
  </si>
  <si>
    <t>LD5213</t>
  </si>
  <si>
    <t>LD4508</t>
  </si>
  <si>
    <t>LD1202</t>
  </si>
  <si>
    <t>LD2333</t>
  </si>
  <si>
    <t>LD4503</t>
  </si>
  <si>
    <t>LD3709</t>
  </si>
  <si>
    <t>LD6032</t>
  </si>
  <si>
    <t>LD5663</t>
  </si>
  <si>
    <t>LD5022</t>
  </si>
  <si>
    <t>LD2855</t>
  </si>
  <si>
    <t>LD7059</t>
  </si>
  <si>
    <t>LD3873</t>
  </si>
  <si>
    <t>LD4031</t>
  </si>
  <si>
    <t>LD2206</t>
  </si>
  <si>
    <t>LD2646</t>
  </si>
  <si>
    <t>LD4418</t>
  </si>
  <si>
    <t>LD4477</t>
  </si>
  <si>
    <t>LD3862</t>
  </si>
  <si>
    <t>LD2793</t>
  </si>
  <si>
    <t>LD6527</t>
  </si>
  <si>
    <t>LD4798</t>
  </si>
  <si>
    <t>LD4369</t>
  </si>
  <si>
    <t>LD4368</t>
  </si>
  <si>
    <t>LD4534</t>
  </si>
  <si>
    <t>LD6947</t>
  </si>
  <si>
    <t>LD6110</t>
  </si>
  <si>
    <t>LD4450</t>
  </si>
  <si>
    <t>LD1604</t>
  </si>
  <si>
    <t>LD4057</t>
  </si>
  <si>
    <t>LD6972</t>
  </si>
  <si>
    <t>LD1127</t>
  </si>
  <si>
    <t>LD4877</t>
  </si>
  <si>
    <t>LD3936</t>
  </si>
  <si>
    <t>LD6444</t>
  </si>
  <si>
    <t>LD5452</t>
  </si>
  <si>
    <t>LD4532</t>
  </si>
  <si>
    <t>LD3731</t>
  </si>
  <si>
    <t>LD1828</t>
  </si>
  <si>
    <t>LD2640</t>
  </si>
  <si>
    <t>LD1985</t>
  </si>
  <si>
    <t>LD4282</t>
  </si>
  <si>
    <t>LD7743</t>
  </si>
  <si>
    <t>LD3189</t>
  </si>
  <si>
    <t>LD7244</t>
  </si>
  <si>
    <t>LD3444</t>
  </si>
  <si>
    <t>LD1363</t>
  </si>
  <si>
    <t>LD3350</t>
  </si>
  <si>
    <t>LD1346</t>
  </si>
  <si>
    <t>LD1815</t>
  </si>
  <si>
    <t>LD5808</t>
  </si>
  <si>
    <t>LD4206</t>
  </si>
  <si>
    <t>LD6635</t>
  </si>
  <si>
    <t>LD7501</t>
  </si>
  <si>
    <t>LD4326</t>
  </si>
  <si>
    <t>LD5107</t>
  </si>
  <si>
    <t>LD3117</t>
  </si>
  <si>
    <t>LD2835</t>
  </si>
  <si>
    <t>LD1794</t>
  </si>
  <si>
    <t>LD7712</t>
  </si>
  <si>
    <t>LD3675</t>
  </si>
  <si>
    <t>LD1095</t>
  </si>
  <si>
    <t>LD5226</t>
  </si>
  <si>
    <t>LD4757</t>
  </si>
  <si>
    <t>LD3892</t>
  </si>
  <si>
    <t>LD3372</t>
  </si>
  <si>
    <t>LD6620</t>
  </si>
  <si>
    <t>LD7006</t>
  </si>
  <si>
    <t>LD4229</t>
  </si>
  <si>
    <t>LD7043</t>
  </si>
  <si>
    <t>LD3854</t>
  </si>
  <si>
    <t>LD7275</t>
  </si>
  <si>
    <t>LD3913</t>
  </si>
  <si>
    <t>LD2866</t>
  </si>
  <si>
    <t>LD5613</t>
  </si>
  <si>
    <t>LD2858</t>
  </si>
  <si>
    <t>LD3646</t>
  </si>
  <si>
    <t>LD3244</t>
  </si>
  <si>
    <t>LD6374</t>
  </si>
  <si>
    <t>LD3337</t>
  </si>
  <si>
    <t>LD1951</t>
  </si>
  <si>
    <t>LD4069</t>
  </si>
  <si>
    <t>LD2121</t>
  </si>
  <si>
    <t>LD3598</t>
  </si>
  <si>
    <t>LD3205</t>
  </si>
  <si>
    <t>LD1420</t>
  </si>
  <si>
    <t>LD1923</t>
  </si>
  <si>
    <t>LD2255</t>
  </si>
  <si>
    <t>LD1478</t>
  </si>
  <si>
    <t>LD3036</t>
  </si>
  <si>
    <t>LD7240</t>
  </si>
  <si>
    <t>LD6568</t>
  </si>
  <si>
    <t>LD2203</t>
  </si>
  <si>
    <t>LD3627</t>
  </si>
  <si>
    <t>LD7528</t>
  </si>
  <si>
    <t>LD2971</t>
  </si>
  <si>
    <t>LD4111</t>
  </si>
  <si>
    <t>LD5019</t>
  </si>
  <si>
    <t>LD3152</t>
  </si>
  <si>
    <t>LD4688</t>
  </si>
  <si>
    <t>LD5917</t>
  </si>
  <si>
    <t>LD2998</t>
  </si>
  <si>
    <t>LD5034</t>
  </si>
  <si>
    <t>LD7650</t>
  </si>
  <si>
    <t>LD4055</t>
  </si>
  <si>
    <t>LD2249</t>
  </si>
  <si>
    <t>LD3193</t>
  </si>
  <si>
    <t>LD3713</t>
  </si>
  <si>
    <t>LD1993</t>
  </si>
  <si>
    <t>LD3191</t>
  </si>
  <si>
    <t>LD5671</t>
  </si>
  <si>
    <t>LD6143</t>
  </si>
  <si>
    <t>LD4763</t>
  </si>
  <si>
    <t>LD4598</t>
  </si>
  <si>
    <t>LD5712</t>
  </si>
  <si>
    <t>LD2319</t>
  </si>
  <si>
    <t>LD2864</t>
  </si>
  <si>
    <t>LD3344</t>
  </si>
  <si>
    <t>LD3450</t>
  </si>
  <si>
    <t>LD3137</t>
  </si>
  <si>
    <t>LD2066</t>
  </si>
  <si>
    <t>LD7729</t>
  </si>
  <si>
    <t>LD5228</t>
  </si>
  <si>
    <t>LD3622</t>
  </si>
  <si>
    <t>LD1078</t>
  </si>
  <si>
    <t>LD3899</t>
  </si>
  <si>
    <t>LD5821</t>
  </si>
  <si>
    <t>LD2315</t>
  </si>
  <si>
    <t>LD7153</t>
  </si>
  <si>
    <t>LD1873</t>
  </si>
  <si>
    <t>LD4851</t>
  </si>
  <si>
    <t>LD6469</t>
  </si>
  <si>
    <t>LD7487</t>
  </si>
  <si>
    <t>LD3966</t>
  </si>
  <si>
    <t>LD4392</t>
  </si>
  <si>
    <t>LD6416</t>
  </si>
  <si>
    <t>LD3561</t>
  </si>
  <si>
    <t>LD7641</t>
  </si>
  <si>
    <t>LD3636</t>
  </si>
  <si>
    <t>LD6257</t>
  </si>
  <si>
    <t>LD4531</t>
  </si>
  <si>
    <t>LD1376</t>
  </si>
  <si>
    <t>LD2909</t>
  </si>
  <si>
    <t>LD5430</t>
  </si>
  <si>
    <t>LD6867</t>
  </si>
  <si>
    <t>LD6927</t>
  </si>
  <si>
    <t>LD5028</t>
  </si>
  <si>
    <t>LD2605</t>
  </si>
  <si>
    <t>LD2119</t>
  </si>
  <si>
    <t>LD4678</t>
  </si>
  <si>
    <t>LD4491</t>
  </si>
  <si>
    <t>LD7596</t>
  </si>
  <si>
    <t>LD3959</t>
  </si>
  <si>
    <t>LD2995</t>
  </si>
  <si>
    <t>LD7724</t>
  </si>
  <si>
    <t>LD6892</t>
  </si>
  <si>
    <t>LD3377</t>
  </si>
  <si>
    <t>LD2343</t>
  </si>
  <si>
    <t>LD1321</t>
  </si>
  <si>
    <t>LD2620</t>
  </si>
  <si>
    <t>LD4714</t>
  </si>
  <si>
    <t>LD7205</t>
  </si>
  <si>
    <t>LD3061</t>
  </si>
  <si>
    <t>LD3220</t>
  </si>
  <si>
    <t>LD2674</t>
  </si>
  <si>
    <t>LD1261</t>
  </si>
  <si>
    <t>LD6984</t>
  </si>
  <si>
    <t>LD3040</t>
  </si>
  <si>
    <t>LD5786</t>
  </si>
  <si>
    <t>LD1902</t>
  </si>
  <si>
    <t>LD4745</t>
  </si>
  <si>
    <t>LD3027</t>
  </si>
  <si>
    <t>LD5235</t>
  </si>
  <si>
    <t>LD2918</t>
  </si>
  <si>
    <t>LD2829</t>
  </si>
  <si>
    <t>LD2574</t>
  </si>
  <si>
    <t>LD5416</t>
  </si>
  <si>
    <t>LD5750</t>
  </si>
  <si>
    <t>LD6948</t>
  </si>
  <si>
    <t>LD5655</t>
  </si>
  <si>
    <t>LD5209</t>
  </si>
  <si>
    <t>LD5628</t>
  </si>
  <si>
    <t>LD1225</t>
  </si>
  <si>
    <t>LD1724</t>
  </si>
  <si>
    <t>LD7081</t>
  </si>
  <si>
    <t>LD2142</t>
  </si>
  <si>
    <t>LD6530</t>
  </si>
  <si>
    <t>LD6555</t>
  </si>
  <si>
    <t>LD7662</t>
  </si>
  <si>
    <t>LD3763</t>
  </si>
  <si>
    <t>LD1847</t>
  </si>
  <si>
    <t>LD5290</t>
  </si>
  <si>
    <t>LD6561</t>
  </si>
  <si>
    <t>LD6043</t>
  </si>
  <si>
    <t>LD3552</t>
  </si>
  <si>
    <t>LD6726</t>
  </si>
  <si>
    <t>LD3929</t>
  </si>
  <si>
    <t>LD1118</t>
  </si>
  <si>
    <t>LD1646</t>
  </si>
  <si>
    <t>LD1004</t>
  </si>
  <si>
    <t>LD5171</t>
  </si>
  <si>
    <t>LD1468</t>
  </si>
  <si>
    <t>LD1006</t>
  </si>
  <si>
    <t>LD6343</t>
  </si>
  <si>
    <t>LD1920</t>
  </si>
  <si>
    <t>LD3596</t>
  </si>
  <si>
    <t>LD5325</t>
  </si>
  <si>
    <t>LD2064</t>
  </si>
  <si>
    <t>LD3591</t>
  </si>
  <si>
    <t>LD1243</t>
  </si>
  <si>
    <t>LD6900</t>
  </si>
  <si>
    <t>LD2161</t>
  </si>
  <si>
    <t>LD3871</t>
  </si>
  <si>
    <t>LD4736</t>
  </si>
  <si>
    <t>LD7199</t>
  </si>
  <si>
    <t>LD3398</t>
  </si>
  <si>
    <t>LD4518</t>
  </si>
  <si>
    <t>LD4422</t>
  </si>
  <si>
    <t>LD3564</t>
  </si>
  <si>
    <t>LD6623</t>
  </si>
  <si>
    <t>LD2606</t>
  </si>
  <si>
    <t>LD7541</t>
  </si>
  <si>
    <t>LD3325</t>
  </si>
  <si>
    <t>LD3710</t>
  </si>
  <si>
    <t>LD6954</t>
  </si>
  <si>
    <t>LD2313</t>
  </si>
  <si>
    <t>LD4449</t>
  </si>
  <si>
    <t>LD4813</t>
  </si>
  <si>
    <t>LD7305</t>
  </si>
  <si>
    <t>LD3363</t>
  </si>
  <si>
    <t>LD2976</t>
  </si>
  <si>
    <t>LD4515</t>
  </si>
  <si>
    <t>LD2762</t>
  </si>
  <si>
    <t>LD6402</t>
  </si>
  <si>
    <t>LD3740</t>
  </si>
  <si>
    <t>LD6638</t>
  </si>
  <si>
    <t>LD7313</t>
  </si>
  <si>
    <t>LD3473</t>
  </si>
  <si>
    <t>LD5008</t>
  </si>
  <si>
    <t>LD5719</t>
  </si>
  <si>
    <t>LD2494</t>
  </si>
  <si>
    <t>LD5207</t>
  </si>
  <si>
    <t>LD3159</t>
  </si>
  <si>
    <t>LD2170</t>
  </si>
  <si>
    <t>LD7122</t>
  </si>
  <si>
    <t>LD1233</t>
  </si>
  <si>
    <t>LD1067</t>
  </si>
  <si>
    <t>LD2604</t>
  </si>
  <si>
    <t>LD4284</t>
  </si>
  <si>
    <t>LD4597</t>
  </si>
  <si>
    <t>LD5633</t>
  </si>
  <si>
    <t>LD1126</t>
  </si>
  <si>
    <t>LD6351</t>
  </si>
  <si>
    <t>LD2297</t>
  </si>
  <si>
    <t>LD2977</t>
  </si>
  <si>
    <t>LD7123</t>
  </si>
  <si>
    <t>LD7076</t>
  </si>
  <si>
    <t>LD3076</t>
  </si>
  <si>
    <t>LD5581</t>
  </si>
  <si>
    <t>LD6751</t>
  </si>
  <si>
    <t>LD7403</t>
  </si>
  <si>
    <t>LD4087</t>
  </si>
  <si>
    <t>LD6881</t>
  </si>
  <si>
    <t>LD4346</t>
  </si>
  <si>
    <t>LD7054</t>
  </si>
  <si>
    <t>LD3798</t>
  </si>
  <si>
    <t>LD1919</t>
  </si>
  <si>
    <t>LD2647</t>
  </si>
  <si>
    <t>LD6123</t>
  </si>
  <si>
    <t>LD6127</t>
  </si>
  <si>
    <t>LD5979</t>
  </si>
  <si>
    <t>LD6432</t>
  </si>
  <si>
    <t>LD5622</t>
  </si>
  <si>
    <t>LD1365</t>
  </si>
  <si>
    <t>LD4288</t>
  </si>
  <si>
    <t>LD3126</t>
  </si>
  <si>
    <t>LD5124</t>
  </si>
  <si>
    <t>LD5570</t>
  </si>
  <si>
    <t>LD1526</t>
  </si>
  <si>
    <t>LD5822</t>
  </si>
  <si>
    <t>LD1056</t>
  </si>
  <si>
    <t>LD1639</t>
  </si>
  <si>
    <t>LD1303</t>
  </si>
  <si>
    <t>LD3767</t>
  </si>
  <si>
    <t>LD6812</t>
  </si>
  <si>
    <t>LD2277</t>
  </si>
  <si>
    <t>LD5721</t>
  </si>
  <si>
    <t>LD3056</t>
  </si>
  <si>
    <t>LD6377</t>
  </si>
  <si>
    <t>LD6146</t>
  </si>
  <si>
    <t>LD5433</t>
  </si>
  <si>
    <t>LD4645</t>
  </si>
  <si>
    <t>LD5144</t>
  </si>
  <si>
    <t>LD3879</t>
  </si>
  <si>
    <t>LD5203</t>
  </si>
  <si>
    <t>LD6176</t>
  </si>
  <si>
    <t>LD3287</t>
  </si>
  <si>
    <t>LD3262</t>
  </si>
  <si>
    <t>LD6241</t>
  </si>
  <si>
    <t>LD3297</t>
  </si>
  <si>
    <t>LD2754</t>
  </si>
  <si>
    <t>LD6198</t>
  </si>
  <si>
    <t>LD2969</t>
  </si>
  <si>
    <t>LD6888</t>
  </si>
  <si>
    <t>LD4118</t>
  </si>
  <si>
    <t>LD3394</t>
  </si>
  <si>
    <t>LD1524</t>
  </si>
  <si>
    <t>LD6525</t>
  </si>
  <si>
    <t>LD4901</t>
  </si>
  <si>
    <t>LD7318</t>
  </si>
  <si>
    <t>LD5700</t>
  </si>
  <si>
    <t>LD6586</t>
  </si>
  <si>
    <t>LD6980</t>
  </si>
  <si>
    <t>LD4123</t>
  </si>
  <si>
    <t>LD5157</t>
  </si>
  <si>
    <t>LD2970</t>
  </si>
  <si>
    <t>LD1672</t>
  </si>
  <si>
    <t>LD5189</t>
  </si>
  <si>
    <t>LD1667</t>
  </si>
  <si>
    <t>LD6873</t>
  </si>
  <si>
    <t>LD2888</t>
  </si>
  <si>
    <t>LD4267</t>
  </si>
  <si>
    <t>LD1281</t>
  </si>
  <si>
    <t>LD2720</t>
  </si>
  <si>
    <t>LD3948</t>
  </si>
  <si>
    <t>LD5456</t>
  </si>
  <si>
    <t>LD1900</t>
  </si>
  <si>
    <t>LD7574</t>
  </si>
  <si>
    <t>LD1761</t>
  </si>
  <si>
    <t>LD2907</t>
  </si>
  <si>
    <t>LD5043</t>
  </si>
  <si>
    <t>LD4824</t>
  </si>
  <si>
    <t>LD5139</t>
  </si>
  <si>
    <t>LD4819</t>
  </si>
  <si>
    <t>LD5301</t>
  </si>
  <si>
    <t>LD6570</t>
  </si>
  <si>
    <t>LD3594</t>
  </si>
  <si>
    <t>LD5165</t>
  </si>
  <si>
    <t>LD4032</t>
  </si>
  <si>
    <t>LD4580</t>
  </si>
  <si>
    <t>LD3833</t>
  </si>
  <si>
    <t>LD6450</t>
  </si>
  <si>
    <t>LD4473</t>
  </si>
  <si>
    <t>LD1138</t>
  </si>
  <si>
    <t>LD5893</t>
  </si>
  <si>
    <t>LD3181</t>
  </si>
  <si>
    <t>LD3129</t>
  </si>
  <si>
    <t>LD4178</t>
  </si>
  <si>
    <t>LD5855</t>
  </si>
  <si>
    <t>LD5638</t>
  </si>
  <si>
    <t>LD6116</t>
  </si>
  <si>
    <t>LD6910</t>
  </si>
  <si>
    <t>LD5262</t>
  </si>
  <si>
    <t>LD5345</t>
  </si>
  <si>
    <t>LD2332</t>
  </si>
  <si>
    <t>LD3018</t>
  </si>
  <si>
    <t>LD5543</t>
  </si>
  <si>
    <t>LD3483</t>
  </si>
  <si>
    <t>LD2359</t>
  </si>
  <si>
    <t>LD2330</t>
  </si>
  <si>
    <t>LD7681</t>
  </si>
  <si>
    <t>LD3151</t>
  </si>
  <si>
    <t>LD5531</t>
  </si>
  <si>
    <t>LD3123</t>
  </si>
  <si>
    <t>LD5674</t>
  </si>
  <si>
    <t>LD4982</t>
  </si>
  <si>
    <t>LD2253</t>
  </si>
  <si>
    <t>LD4279</t>
  </si>
  <si>
    <t>LD4375</t>
  </si>
  <si>
    <t>LD3815</t>
  </si>
  <si>
    <t>LD5720</t>
  </si>
  <si>
    <t>LD2849</t>
  </si>
  <si>
    <t>LD5859</t>
  </si>
  <si>
    <t>LD4038</t>
  </si>
  <si>
    <t>LD1389</t>
  </si>
  <si>
    <t>LD1236</t>
  </si>
  <si>
    <t>LD2078</t>
  </si>
  <si>
    <t>LD2985</t>
  </si>
  <si>
    <t>LD5364</t>
  </si>
  <si>
    <t>LD4963</t>
  </si>
  <si>
    <t>LD1771</t>
  </si>
  <si>
    <t>LD3166</t>
  </si>
  <si>
    <t>LD5534</t>
  </si>
  <si>
    <t>LD1674</t>
  </si>
  <si>
    <t>LD1250</t>
  </si>
  <si>
    <t>LD2575</t>
  </si>
  <si>
    <t>LD4420</t>
  </si>
  <si>
    <t>LD3082</t>
  </si>
  <si>
    <t>LD2824</t>
  </si>
  <si>
    <t>LD7272</t>
  </si>
  <si>
    <t>LD7486</t>
  </si>
  <si>
    <t>LD5545</t>
  </si>
  <si>
    <t>LD6566</t>
  </si>
  <si>
    <t>LD1717</t>
  </si>
  <si>
    <t>LD7045</t>
  </si>
  <si>
    <t>LD7326</t>
  </si>
  <si>
    <t>LD3049</t>
  </si>
  <si>
    <t>LD6265</t>
  </si>
  <si>
    <t>LD5179</t>
  </si>
  <si>
    <t>LD5810</t>
  </si>
  <si>
    <t>LD3725</t>
  </si>
  <si>
    <t>LD7127</t>
  </si>
  <si>
    <t>LD2461</t>
  </si>
  <si>
    <t>LD2669</t>
  </si>
  <si>
    <t>LD3757</t>
  </si>
  <si>
    <t>LD3001</t>
  </si>
  <si>
    <t>LD5572</t>
  </si>
  <si>
    <t>LD5614</t>
  </si>
  <si>
    <t>LD1405</t>
  </si>
  <si>
    <t>LD1385</t>
  </si>
  <si>
    <t>LD7088</t>
  </si>
  <si>
    <t>LD3153</t>
  </si>
  <si>
    <t>LD2634</t>
  </si>
  <si>
    <t>LD7212</t>
  </si>
  <si>
    <t>LD6581</t>
  </si>
  <si>
    <t>LD5785</t>
  </si>
  <si>
    <t>LD4926</t>
  </si>
  <si>
    <t>LD6337</t>
  </si>
  <si>
    <t>LD5159</t>
  </si>
  <si>
    <t>LD5949</t>
  </si>
  <si>
    <t>LD6899</t>
  </si>
  <si>
    <t>LD6359</t>
  </si>
  <si>
    <t>LD1224</t>
  </si>
  <si>
    <t>LD3194</t>
  </si>
  <si>
    <t>LD4137</t>
  </si>
  <si>
    <t>LD5470</t>
  </si>
  <si>
    <t>LD2825</t>
  </si>
  <si>
    <t>LD7228</t>
  </si>
  <si>
    <t>LD6125</t>
  </si>
  <si>
    <t>LD5973</t>
  </si>
  <si>
    <t>LD1798</t>
  </si>
  <si>
    <t>LD3872</t>
  </si>
  <si>
    <t>LD1010</t>
  </si>
  <si>
    <t>LD2945</t>
  </si>
  <si>
    <t>LD2839</t>
  </si>
  <si>
    <t>LD5805</t>
  </si>
  <si>
    <t>LD1256</t>
  </si>
  <si>
    <t>LD6714</t>
  </si>
  <si>
    <t>LD5486</t>
  </si>
  <si>
    <t>LD7109</t>
  </si>
  <si>
    <t>LD2582</t>
  </si>
  <si>
    <t>LD3957</t>
  </si>
  <si>
    <t>LD1925</t>
  </si>
  <si>
    <t>LD7334</t>
  </si>
  <si>
    <t>LD3509</t>
  </si>
  <si>
    <t>LD6025</t>
  </si>
  <si>
    <t>LD6321</t>
  </si>
  <si>
    <t>LD4776</t>
  </si>
  <si>
    <t>LD5836</t>
  </si>
  <si>
    <t>LD5137</t>
  </si>
  <si>
    <t>LD5965</t>
  </si>
  <si>
    <t>LD3780</t>
  </si>
  <si>
    <t>LD1540</t>
  </si>
  <si>
    <t>LD3746</t>
  </si>
  <si>
    <t>LD7095</t>
  </si>
  <si>
    <t>LD7191</t>
  </si>
  <si>
    <t>LD6468</t>
  </si>
  <si>
    <t>LD2146</t>
  </si>
  <si>
    <t>LD6128</t>
  </si>
  <si>
    <t>LD5469</t>
  </si>
  <si>
    <t>LD1668</t>
  </si>
  <si>
    <t>LD4020</t>
  </si>
  <si>
    <t>LD1358</t>
  </si>
  <si>
    <t>LD6064</t>
  </si>
  <si>
    <t>LD3832</t>
  </si>
  <si>
    <t>LD3784</t>
  </si>
  <si>
    <t>LD2354</t>
  </si>
  <si>
    <t>LD6132</t>
  </si>
  <si>
    <t>LD1471</t>
  </si>
  <si>
    <t>LD3704</t>
  </si>
  <si>
    <t>LD4331</t>
  </si>
  <si>
    <t>LD4638</t>
  </si>
  <si>
    <t>LD2397</t>
  </si>
  <si>
    <t>LD4585</t>
  </si>
  <si>
    <t>LD7082</t>
  </si>
  <si>
    <t>LD6263</t>
  </si>
  <si>
    <t>LD6646</t>
  </si>
  <si>
    <t>LD4377</t>
  </si>
  <si>
    <t>LD2257</t>
  </si>
  <si>
    <t>LD4513</t>
  </si>
  <si>
    <t>LD6652</t>
  </si>
  <si>
    <t>LD6779</t>
  </si>
  <si>
    <t>LD2251</t>
  </si>
  <si>
    <t>LD6796</t>
  </si>
  <si>
    <t>LD6349</t>
  </si>
  <si>
    <t>LD7516</t>
  </si>
  <si>
    <t>LD5299</t>
  </si>
  <si>
    <t>LD4285</t>
  </si>
  <si>
    <t>LD3934</t>
  </si>
  <si>
    <t>LD5176</t>
  </si>
  <si>
    <t>LD6269</t>
  </si>
  <si>
    <t>LD5911</t>
  </si>
  <si>
    <t>LD2853</t>
  </si>
  <si>
    <t>LD7341</t>
  </si>
  <si>
    <t>LD7602</t>
  </si>
  <si>
    <t>LD3106</t>
  </si>
  <si>
    <t>LD1134</t>
  </si>
  <si>
    <t>LD6237</t>
  </si>
  <si>
    <t>LD6030</t>
  </si>
  <si>
    <t>LD1929</t>
  </si>
  <si>
    <t>LD1824</t>
  </si>
  <si>
    <t>LD7159</t>
  </si>
  <si>
    <t>LD2532</t>
  </si>
  <si>
    <t>LD2215</t>
  </si>
  <si>
    <t>LD1505</t>
  </si>
  <si>
    <t>LD5286</t>
  </si>
  <si>
    <t>LD2997</t>
  </si>
  <si>
    <t>LD4073</t>
  </si>
  <si>
    <t>LD2959</t>
  </si>
  <si>
    <t>LD2385</t>
  </si>
  <si>
    <t>LD1895</t>
  </si>
  <si>
    <t>LD5925</t>
  </si>
  <si>
    <t>LD1456</t>
  </si>
  <si>
    <t>LD6780</t>
  </si>
  <si>
    <t>LD7280</t>
  </si>
  <si>
    <t>LD4710</t>
  </si>
  <si>
    <t>LD7255</t>
  </si>
  <si>
    <t>LD5850</t>
  </si>
  <si>
    <t>LD5749</t>
  </si>
  <si>
    <t>LD5269</t>
  </si>
  <si>
    <t>LD4523</t>
  </si>
  <si>
    <t>LD5135</t>
  </si>
  <si>
    <t>LD4603</t>
  </si>
  <si>
    <t>LD7629</t>
  </si>
  <si>
    <t>LD1714</t>
  </si>
  <si>
    <t>LD5187</t>
  </si>
  <si>
    <t>LD3215</t>
  </si>
  <si>
    <t>LD6302</t>
  </si>
  <si>
    <t>LD3924</t>
  </si>
  <si>
    <t>LD2811</t>
  </si>
  <si>
    <t>LD4487</t>
  </si>
  <si>
    <t>LD4142</t>
  </si>
  <si>
    <t>LD2828</t>
  </si>
  <si>
    <t>LD2156</t>
  </si>
  <si>
    <t>LD2325</t>
  </si>
  <si>
    <t>LD5313</t>
  </si>
  <si>
    <t>LD1511</t>
  </si>
  <si>
    <t>LD2681</t>
  </si>
  <si>
    <t>LD1500</t>
  </si>
  <si>
    <t>LD7147</t>
  </si>
  <si>
    <t>LD2857</t>
  </si>
  <si>
    <t>LD2389</t>
  </si>
  <si>
    <t>LD6616</t>
  </si>
  <si>
    <t>LD4720</t>
  </si>
  <si>
    <t>LD3387</t>
  </si>
  <si>
    <t>LD6542</t>
  </si>
  <si>
    <t>LD4237</t>
  </si>
  <si>
    <t>LD2541</t>
  </si>
  <si>
    <t>LD2218</t>
  </si>
  <si>
    <t>LD3682</t>
  </si>
  <si>
    <t>LD3994</t>
  </si>
  <si>
    <t>LD6513</t>
  </si>
  <si>
    <t>LD2192</t>
  </si>
  <si>
    <t>LD6773</t>
  </si>
  <si>
    <t>LD6294</t>
  </si>
  <si>
    <t>LD2543</t>
  </si>
  <si>
    <t>LD4302</t>
  </si>
  <si>
    <t>LD4325</t>
  </si>
  <si>
    <t>LD3540</t>
  </si>
  <si>
    <t>LD1954</t>
  </si>
  <si>
    <t>LD5847</t>
  </si>
  <si>
    <t>LD5331</t>
  </si>
  <si>
    <t>LD1733</t>
  </si>
  <si>
    <t>LD7775</t>
  </si>
  <si>
    <t>LD2157</t>
  </si>
  <si>
    <t>LD7655</t>
  </si>
  <si>
    <t>LD4295</t>
  </si>
  <si>
    <t>LD3983</t>
  </si>
  <si>
    <t>LD6306</t>
  </si>
  <si>
    <t>LD6162</t>
  </si>
  <si>
    <t>LD3157</t>
  </si>
  <si>
    <t>LD2063</t>
  </si>
  <si>
    <t>LD3617</t>
  </si>
  <si>
    <t>LD2168</t>
  </si>
  <si>
    <t>LD4223</t>
  </si>
  <si>
    <t>LD4637</t>
  </si>
  <si>
    <t>LD6589</t>
  </si>
  <si>
    <t>LD3939</t>
  </si>
  <si>
    <t>LD5492</t>
  </si>
  <si>
    <t>LD4141</t>
  </si>
  <si>
    <t>LD5981</t>
  </si>
  <si>
    <t>LD1144</t>
  </si>
  <si>
    <t>LD7720</t>
  </si>
  <si>
    <t>LD4578</t>
  </si>
  <si>
    <t>LD5947</t>
  </si>
  <si>
    <t>LD3783</t>
  </si>
  <si>
    <t>LD1718</t>
  </si>
  <si>
    <t>LD2820</t>
  </si>
  <si>
    <t>LD3503</t>
  </si>
  <si>
    <t>LD5361</t>
  </si>
  <si>
    <t>LD5172</t>
  </si>
  <si>
    <t>LD1396</t>
  </si>
  <si>
    <t>LD6732</t>
  </si>
  <si>
    <t>LD7557</t>
  </si>
  <si>
    <t>LD5493</t>
  </si>
  <si>
    <t>LD2366</t>
  </si>
  <si>
    <t>LD7177</t>
  </si>
  <si>
    <t>LD7000</t>
  </si>
  <si>
    <t>LD1596</t>
  </si>
  <si>
    <t>LD4953</t>
  </si>
  <si>
    <t>LD6393</t>
  </si>
  <si>
    <t>LD6918</t>
  </si>
  <si>
    <t>LD5969</t>
  </si>
  <si>
    <t>LD3915</t>
  </si>
  <si>
    <t>LD3327</t>
  </si>
  <si>
    <t>LD6645</t>
  </si>
  <si>
    <t>LD4767</t>
  </si>
  <si>
    <t>LD4441</t>
  </si>
  <si>
    <t>LD4852</t>
  </si>
  <si>
    <t>LD5133</t>
  </si>
  <si>
    <t>LD7217</t>
  </si>
  <si>
    <t>LD3144</t>
  </si>
  <si>
    <t>LD7252</t>
  </si>
  <si>
    <t>LD6074</t>
  </si>
  <si>
    <t>LD2572</t>
  </si>
  <si>
    <t>LD5080</t>
  </si>
  <si>
    <t>LD2123</t>
  </si>
  <si>
    <t>LD3787</t>
  </si>
  <si>
    <t>LD3968</t>
  </si>
  <si>
    <t>LD3505</t>
  </si>
  <si>
    <t>LD6989</t>
  </si>
  <si>
    <t>LD4466</t>
  </si>
  <si>
    <t>LD1676</t>
  </si>
  <si>
    <t>LD3809</t>
  </si>
  <si>
    <t>LD4349</t>
  </si>
  <si>
    <t>LD1729</t>
  </si>
  <si>
    <t>LD1413</t>
  </si>
  <si>
    <t>LD4147</t>
  </si>
  <si>
    <t>LD2517</t>
  </si>
  <si>
    <t>LD6746</t>
  </si>
  <si>
    <t>LD1826</t>
  </si>
  <si>
    <t>LD4268</t>
  </si>
  <si>
    <t>LD4975</t>
  </si>
  <si>
    <t>LD1617</t>
  </si>
  <si>
    <t>LD1115</t>
  </si>
  <si>
    <t>LD1418</t>
  </si>
  <si>
    <t>LD4070</t>
  </si>
  <si>
    <t>LD2626</t>
  </si>
  <si>
    <t>LD7717</t>
  </si>
  <si>
    <t>LD5186</t>
  </si>
  <si>
    <t>LD3897</t>
  </si>
  <si>
    <t>LD7329</t>
  </si>
  <si>
    <t>LD3083</t>
  </si>
  <si>
    <t>LD1754</t>
  </si>
  <si>
    <t>LD3547</t>
  </si>
  <si>
    <t>LD4970</t>
  </si>
  <si>
    <t>LD4374</t>
  </si>
  <si>
    <t>LD6727</t>
  </si>
  <si>
    <t>LD5108</t>
  </si>
  <si>
    <t>LD3445</t>
  </si>
  <si>
    <t>LD5381</t>
  </si>
  <si>
    <t>LD2067</t>
  </si>
  <si>
    <t>LD4914</t>
  </si>
  <si>
    <t>LD6288</t>
  </si>
  <si>
    <t>LD6537</t>
  </si>
  <si>
    <t>LD6388</t>
  </si>
  <si>
    <t>LD6733</t>
  </si>
  <si>
    <t>LD4499</t>
  </si>
  <si>
    <t>LD3739</t>
  </si>
  <si>
    <t>LD6053</t>
  </si>
  <si>
    <t>LD5001</t>
  </si>
  <si>
    <t>LD2569</t>
  </si>
  <si>
    <t>LD3428</t>
  </si>
  <si>
    <t>LD4747</t>
  </si>
  <si>
    <t>LD7283</t>
  </si>
  <si>
    <t>LD2688</t>
  </si>
  <si>
    <t>LD1852</t>
  </si>
  <si>
    <t>LD4547</t>
  </si>
  <si>
    <t>LD1896</t>
  </si>
  <si>
    <t>LD5593</t>
  </si>
  <si>
    <t>LD6879</t>
  </si>
  <si>
    <t>LD1336</t>
  </si>
  <si>
    <t>LD3840</t>
  </si>
  <si>
    <t>LD4088</t>
  </si>
  <si>
    <t>LD5612</t>
  </si>
  <si>
    <t>LD2349</t>
  </si>
  <si>
    <t>LD2016</t>
  </si>
  <si>
    <t>LD3817</t>
  </si>
  <si>
    <t>LD2632</t>
  </si>
  <si>
    <t>LD3490</t>
  </si>
  <si>
    <t>LD4731</t>
  </si>
  <si>
    <t>LD4252</t>
  </si>
  <si>
    <t>LD7277</t>
  </si>
  <si>
    <t>LD6878</t>
  </si>
  <si>
    <t>LD6882</t>
  </si>
  <si>
    <t>LD3071</t>
  </si>
  <si>
    <t>LD5453</t>
  </si>
  <si>
    <t>LD7621</t>
  </si>
  <si>
    <t>LD6409</t>
  </si>
  <si>
    <t>LD2636</t>
  </si>
  <si>
    <t>LD5647</t>
  </si>
  <si>
    <t>LD3480</t>
  </si>
  <si>
    <t>LD3266</t>
  </si>
  <si>
    <t>LD3960</t>
  </si>
  <si>
    <t>LD6324</t>
  </si>
  <si>
    <t>LD7408</t>
  </si>
  <si>
    <t>LD4060</t>
  </si>
  <si>
    <t>LD6054</t>
  </si>
  <si>
    <t>LD6870</t>
  </si>
  <si>
    <t>LD3142</t>
  </si>
  <si>
    <t>LD6105</t>
  </si>
  <si>
    <t>LD4119</t>
  </si>
  <si>
    <t>LD6189</t>
  </si>
  <si>
    <t>LD7400</t>
  </si>
  <si>
    <t>LD5046</t>
  </si>
  <si>
    <t>LD4357</t>
  </si>
  <si>
    <t>LD3745</t>
  </si>
  <si>
    <t>LD6093</t>
  </si>
  <si>
    <t>LD4507</t>
  </si>
  <si>
    <t>LD2680</t>
  </si>
  <si>
    <t>LD5250</t>
  </si>
  <si>
    <t>LD4148</t>
  </si>
  <si>
    <t>LD3295</t>
  </si>
  <si>
    <t>LD1581</t>
  </si>
  <si>
    <t>LD2471</t>
  </si>
  <si>
    <t>LD5800</t>
  </si>
  <si>
    <t>LD5071</t>
  </si>
  <si>
    <t>LD6309</t>
  </si>
  <si>
    <t>LD4344</t>
  </si>
  <si>
    <t>LD5993</t>
  </si>
  <si>
    <t>LD5584</t>
  </si>
  <si>
    <t>LD4673</t>
  </si>
  <si>
    <t>LD1560</t>
  </si>
  <si>
    <t>LD6238</t>
  </si>
  <si>
    <t>LD6216</t>
  </si>
  <si>
    <t>LD3850</t>
  </si>
  <si>
    <t>LD1513</t>
  </si>
  <si>
    <t>LD5730</t>
  </si>
  <si>
    <t>LD2082</t>
  </si>
  <si>
    <t>LD2665</t>
  </si>
  <si>
    <t>LD2013</t>
  </si>
  <si>
    <t>LD2932</t>
  </si>
  <si>
    <t>LD2151</t>
  </si>
  <si>
    <t>LD3839</t>
  </si>
  <si>
    <t>LD6950</t>
  </si>
  <si>
    <t>LD1117</t>
  </si>
  <si>
    <t>LD1741</t>
  </si>
  <si>
    <t>LD7514</t>
  </si>
  <si>
    <t>LD7071</t>
  </si>
  <si>
    <t>LD6178</t>
  </si>
  <si>
    <t>LD4676</t>
  </si>
  <si>
    <t>LD6907</t>
  </si>
  <si>
    <t>LD1831</t>
  </si>
  <si>
    <t>LD1120</t>
  </si>
  <si>
    <t>LD5753</t>
  </si>
  <si>
    <t>LD7475</t>
  </si>
  <si>
    <t>LD7760</t>
  </si>
  <si>
    <t>LD7705</t>
  </si>
  <si>
    <t>LD1636</t>
  </si>
  <si>
    <t>LD5466</t>
  </si>
  <si>
    <t>LD5365</t>
  </si>
  <si>
    <t>LD5143</t>
  </si>
  <si>
    <t>LD1992</t>
  </si>
  <si>
    <t>LD1877</t>
  </si>
  <si>
    <t>LD5870</t>
  </si>
  <si>
    <t>LD6316</t>
  </si>
  <si>
    <t>LD6223</t>
  </si>
  <si>
    <t>LD1005</t>
  </si>
  <si>
    <t>LD4052</t>
  </si>
  <si>
    <t>LD6692</t>
  </si>
  <si>
    <t>LD4125</t>
  </si>
  <si>
    <t>LD3661</t>
  </si>
  <si>
    <t>LD3492</t>
  </si>
  <si>
    <t>LD6174</t>
  </si>
  <si>
    <t>LD4855</t>
  </si>
  <si>
    <t>LD5934</t>
  </si>
  <si>
    <t>LD5778</t>
  </si>
  <si>
    <t>LD2716</t>
  </si>
  <si>
    <t>LD7294</t>
  </si>
  <si>
    <t>LD2149</t>
  </si>
  <si>
    <t>LD4262</t>
  </si>
  <si>
    <t>LD1575</t>
  </si>
  <si>
    <t>LD4770</t>
  </si>
  <si>
    <t>LD4737</t>
  </si>
  <si>
    <t>LD5147</t>
  </si>
  <si>
    <t>LD1854</t>
  </si>
  <si>
    <t>LD2983</t>
  </si>
  <si>
    <t>LD3775</t>
  </si>
  <si>
    <t>LD6920</t>
  </si>
  <si>
    <t>LD5930</t>
  </si>
  <si>
    <t>LD6212</t>
  </si>
  <si>
    <t>LD2167</t>
  </si>
  <si>
    <t>LD7003</t>
  </si>
  <si>
    <t>LD1972</t>
  </si>
  <si>
    <t>LD3702</t>
  </si>
  <si>
    <t>LD5496</t>
  </si>
  <si>
    <t>LD4848</t>
  </si>
  <si>
    <t>LD3369</t>
  </si>
  <si>
    <t>LD5116</t>
  </si>
  <si>
    <t>LD5781</t>
  </si>
  <si>
    <t>LD5132</t>
  </si>
  <si>
    <t>LD3951</t>
  </si>
  <si>
    <t>LD6626</t>
  </si>
  <si>
    <t>LD1525</t>
  </si>
  <si>
    <t>LD3456</t>
  </si>
  <si>
    <t>LD6017</t>
  </si>
  <si>
    <t>LD2842</t>
  </si>
  <si>
    <t>LD6987</t>
  </si>
  <si>
    <t>LD1538</t>
  </si>
  <si>
    <t>LD3807</t>
  </si>
  <si>
    <t>LD6802</t>
  </si>
  <si>
    <t>LD6597</t>
  </si>
  <si>
    <t>LD5342</t>
  </si>
  <si>
    <t>LD4176</t>
  </si>
  <si>
    <t>LD1785</t>
  </si>
  <si>
    <t>LD5058</t>
  </si>
  <si>
    <t>LD2410</t>
  </si>
  <si>
    <t>LD3538</t>
  </si>
  <si>
    <t>LD1155</t>
  </si>
  <si>
    <t>LD4010</t>
  </si>
  <si>
    <t>LD2687</t>
  </si>
  <si>
    <t>LD3902</t>
  </si>
  <si>
    <t>LD7716</t>
  </si>
  <si>
    <t>LD5722</t>
  </si>
  <si>
    <t>LD4864</t>
  </si>
  <si>
    <t>LD3734</t>
  </si>
  <si>
    <t>LD2896</t>
  </si>
  <si>
    <t>LD6443</t>
  </si>
  <si>
    <t>LD1570</t>
  </si>
  <si>
    <t>LD6855</t>
  </si>
  <si>
    <t>LD2817</t>
  </si>
  <si>
    <t>LD3066</t>
  </si>
  <si>
    <t>LD1128</t>
  </si>
  <si>
    <t>LD4395</t>
  </si>
  <si>
    <t>LD4328</t>
  </si>
  <si>
    <t>LD7759</t>
  </si>
  <si>
    <t>LD7103</t>
  </si>
  <si>
    <t>LD3976</t>
  </si>
  <si>
    <t>LD1981</t>
  </si>
  <si>
    <t>LD3301</t>
  </si>
  <si>
    <t>LD1191</t>
  </si>
  <si>
    <t>LD2140</t>
  </si>
  <si>
    <t>LD6089</t>
  </si>
  <si>
    <t>LD1700</t>
  </si>
  <si>
    <t>LD7476</t>
  </si>
  <si>
    <t>LD1607</t>
  </si>
  <si>
    <t>LD5277</t>
  </si>
  <si>
    <t>LD1302</t>
  </si>
  <si>
    <t>LD4421</t>
  </si>
  <si>
    <t>LD7530</t>
  </si>
  <si>
    <t>LD2061</t>
  </si>
  <si>
    <t>LD7586</t>
  </si>
  <si>
    <t>LD7645</t>
  </si>
  <si>
    <t>LD3566</t>
  </si>
  <si>
    <t>LD7771</t>
  </si>
  <si>
    <t>LD2070</t>
  </si>
  <si>
    <t>LD3525</t>
  </si>
  <si>
    <t>LD3206</t>
  </si>
  <si>
    <t>LD2244</t>
  </si>
  <si>
    <t>LD1017</t>
  </si>
  <si>
    <t>LD4121</t>
  </si>
  <si>
    <t>LD7762</t>
  </si>
  <si>
    <t>LD5643</t>
  </si>
  <si>
    <t>LD5755</t>
  </si>
  <si>
    <t>LD1816</t>
  </si>
  <si>
    <t>LD4068</t>
  </si>
  <si>
    <t>LD7481</t>
  </si>
  <si>
    <t>LD6601</t>
  </si>
  <si>
    <t>LD1960</t>
  </si>
  <si>
    <t>LD5894</t>
  </si>
  <si>
    <t>LD1226</t>
  </si>
  <si>
    <t>LD7171</t>
  </si>
  <si>
    <t>LD4355</t>
  </si>
  <si>
    <t>LD6896</t>
  </si>
  <si>
    <t>LD3486</t>
  </si>
  <si>
    <t>LD1563</t>
  </si>
  <si>
    <t>LD4437</t>
  </si>
  <si>
    <t>LD7374</t>
  </si>
  <si>
    <t>LD7182</t>
  </si>
  <si>
    <t>LD2694</t>
  </si>
  <si>
    <t>LD2046</t>
  </si>
  <si>
    <t>LD4447</t>
  </si>
  <si>
    <t>LD5566</t>
  </si>
  <si>
    <t>LD1955</t>
  </si>
  <si>
    <t>LD7758</t>
  </si>
  <si>
    <t>LD3736</t>
  </si>
  <si>
    <t>LD7651</t>
  </si>
  <si>
    <t>LD5736</t>
  </si>
  <si>
    <t>LD7533</t>
  </si>
  <si>
    <t>LD2219</t>
  </si>
  <si>
    <t>LD6255</t>
  </si>
  <si>
    <t>LD6512</t>
  </si>
  <si>
    <t>LD7451</t>
  </si>
  <si>
    <t>LD2528</t>
  </si>
  <si>
    <t>LD4988</t>
  </si>
  <si>
    <t>LD7694</t>
  </si>
  <si>
    <t>LD2301</t>
  </si>
  <si>
    <t>LD7634</t>
  </si>
  <si>
    <t>LD6700</t>
  </si>
  <si>
    <t>LD1161</t>
  </si>
  <si>
    <t>LD5068</t>
  </si>
  <si>
    <t>LD6801</t>
  </si>
  <si>
    <t>LD1957</t>
  </si>
  <si>
    <t>LD4792</t>
  </si>
  <si>
    <t>LD4235</t>
  </si>
  <si>
    <t>LD3870</t>
  </si>
  <si>
    <t>LD4778</t>
  </si>
  <si>
    <t>LD5434</t>
  </si>
  <si>
    <t>LD5974</t>
  </si>
  <si>
    <t>LD7016</t>
  </si>
  <si>
    <t>LD3962</t>
  </si>
  <si>
    <t>LD6981</t>
  </si>
  <si>
    <t>LD3201</t>
  </si>
  <si>
    <t>LD1099</t>
  </si>
  <si>
    <t>LD7595</t>
  </si>
  <si>
    <t>LD3558</t>
  </si>
  <si>
    <t>LD4184</t>
  </si>
  <si>
    <t>LD1254</t>
  </si>
  <si>
    <t>LD4924</t>
  </si>
  <si>
    <t>LD5200</t>
  </si>
  <si>
    <t>LD2446</t>
  </si>
  <si>
    <t>LD6540</t>
  </si>
  <si>
    <t>LD2649</t>
  </si>
  <si>
    <t>LD5683</t>
  </si>
  <si>
    <t>LD5724</t>
  </si>
  <si>
    <t>LD4992</t>
  </si>
  <si>
    <t>LD2697</t>
  </si>
  <si>
    <t>LD4192</t>
  </si>
  <si>
    <t>LD7198</t>
  </si>
  <si>
    <t>LD7296</t>
  </si>
  <si>
    <t>LD5500</t>
  </si>
  <si>
    <t>LD2155</t>
  </si>
  <si>
    <t>LD3256</t>
  </si>
  <si>
    <t>LD2683</t>
  </si>
  <si>
    <t>LD4171</t>
  </si>
  <si>
    <t>LD3057</t>
  </si>
  <si>
    <t>LD5091</t>
  </si>
  <si>
    <t>LD7615</t>
  </si>
  <si>
    <t>LD4109</t>
  </si>
  <si>
    <t>LD5549</t>
  </si>
  <si>
    <t>LD4724</t>
  </si>
  <si>
    <t>LD7398</t>
  </si>
  <si>
    <t>LD6424</t>
  </si>
  <si>
    <t>LD3050</t>
  </si>
  <si>
    <t>LD5977</t>
  </si>
  <si>
    <t>LD4644</t>
  </si>
  <si>
    <t>LD7689</t>
  </si>
  <si>
    <t>LD1624</t>
  </si>
  <si>
    <t>LD7525</t>
  </si>
  <si>
    <t>LD6884</t>
  </si>
  <si>
    <t>LD1263</t>
  </si>
  <si>
    <t>LD6731</t>
  </si>
  <si>
    <t>LD4370</t>
  </si>
  <si>
    <t>LD5062</t>
  </si>
  <si>
    <t>LD6535</t>
  </si>
  <si>
    <t>LD7295</t>
  </si>
  <si>
    <t>LD7066</t>
  </si>
  <si>
    <t>LD2803</t>
  </si>
  <si>
    <t>LD5737</t>
  </si>
  <si>
    <t>LD7769</t>
  </si>
  <si>
    <t>LD3386</t>
  </si>
  <si>
    <t>LD6760</t>
  </si>
  <si>
    <t>LD2960</t>
  </si>
  <si>
    <t>LD3977</t>
  </si>
  <si>
    <t>LD1489</t>
  </si>
  <si>
    <t>LD2844</t>
  </si>
  <si>
    <t>LD2735</t>
  </si>
  <si>
    <t>LD3912</t>
  </si>
  <si>
    <t>LD4220</t>
  </si>
  <si>
    <t>LD1147</t>
  </si>
  <si>
    <t>LD6631</t>
  </si>
  <si>
    <t>LD2987</t>
  </si>
  <si>
    <t>LD2370</t>
  </si>
  <si>
    <t>LD7052</t>
  </si>
  <si>
    <t>LD3812</t>
  </si>
  <si>
    <t>LD1660</t>
  </si>
  <si>
    <t>LD2795</t>
  </si>
  <si>
    <t>LD3512</t>
  </si>
  <si>
    <t>LD4398</t>
  </si>
  <si>
    <t>LD5283</t>
  </si>
  <si>
    <t>LD2148</t>
  </si>
  <si>
    <t>LD4273</t>
  </si>
  <si>
    <t>LD1609</t>
  </si>
  <si>
    <t>LD7288</t>
  </si>
  <si>
    <t>LD4583</t>
  </si>
  <si>
    <t>LD2931</t>
  </si>
  <si>
    <t>LD1198</t>
  </si>
  <si>
    <t>LD3932</t>
  </si>
  <si>
    <t>LD3328</t>
  </si>
  <si>
    <t>LD5390</t>
  </si>
  <si>
    <t>LD1767</t>
  </si>
  <si>
    <t>LD5497</t>
  </si>
  <si>
    <t>LD5219</t>
  </si>
  <si>
    <t>LD4256</t>
  </si>
  <si>
    <t>LD1203</t>
  </si>
  <si>
    <t>LD4511</t>
  </si>
  <si>
    <t>LD5932</t>
  </si>
  <si>
    <t>LD7391</t>
  </si>
  <si>
    <t>LD6536</t>
  </si>
  <si>
    <t>LD2734</t>
  </si>
  <si>
    <t>LD6792</t>
  </si>
  <si>
    <t>LD3778</t>
  </si>
  <si>
    <t>LD2708</t>
  </si>
  <si>
    <t>LD6173</t>
  </si>
  <si>
    <t>LD6250</t>
  </si>
  <si>
    <t>LD6758</t>
  </si>
  <si>
    <t>LD4475</t>
  </si>
  <si>
    <t>LD7529</t>
  </si>
  <si>
    <t>LD6856</t>
  </si>
  <si>
    <t>LD1855</t>
  </si>
  <si>
    <t>LD6686</t>
  </si>
  <si>
    <t>LD7364</t>
  </si>
  <si>
    <t>LD5738</t>
  </si>
  <si>
    <t>LD5098</t>
  </si>
  <si>
    <t>LD3161</t>
  </si>
  <si>
    <t>LD1699</t>
  </si>
  <si>
    <t>LD7713</t>
  </si>
  <si>
    <t>LD4000</t>
  </si>
  <si>
    <t>LD4697</t>
  </si>
  <si>
    <t>LD2637</t>
  </si>
  <si>
    <t>LD4458</t>
  </si>
  <si>
    <t>LD4582</t>
  </si>
  <si>
    <t>LD2292</t>
  </si>
  <si>
    <t>LD5660</t>
  </si>
  <si>
    <t>LD6617</t>
  </si>
  <si>
    <t>LD2854</t>
  </si>
  <si>
    <t>LD6233</t>
  </si>
  <si>
    <t>LD4764</t>
  </si>
  <si>
    <t>LD4305</t>
  </si>
  <si>
    <t>LD7668</t>
  </si>
  <si>
    <t>LD6728</t>
  </si>
  <si>
    <t>LD4744</t>
  </si>
  <si>
    <t>LD4446</t>
  </si>
  <si>
    <t>LD2999</t>
  </si>
  <si>
    <t>LD1664</t>
  </si>
  <si>
    <t>LD5780</t>
  </si>
  <si>
    <t>LD6354</t>
  </si>
  <si>
    <t>LD4749</t>
  </si>
  <si>
    <t>LD5414</t>
  </si>
  <si>
    <t>LD5745</t>
  </si>
  <si>
    <t>LD6531</t>
  </si>
  <si>
    <t>LD6576</t>
  </si>
  <si>
    <t>LD1710</t>
  </si>
  <si>
    <t>LD2283</t>
  </si>
  <si>
    <t>LD6865</t>
  </si>
  <si>
    <t>LD6069</t>
  </si>
  <si>
    <t>LD3676</t>
  </si>
  <si>
    <t>LD5030</t>
  </si>
  <si>
    <t>LD2307</t>
  </si>
  <si>
    <t>LD6497</t>
  </si>
  <si>
    <t>LD6505</t>
  </si>
  <si>
    <t>LD3238</t>
  </si>
  <si>
    <t>LD4303</t>
  </si>
  <si>
    <t>LD6593</t>
  </si>
  <si>
    <t>LD3039</t>
  </si>
  <si>
    <t>LD2530</t>
  </si>
  <si>
    <t>LD2664</t>
  </si>
  <si>
    <t>LD6451</t>
  </si>
  <si>
    <t>LD7697</t>
  </si>
  <si>
    <t>LD7722</t>
  </si>
  <si>
    <t>LD4628</t>
  </si>
  <si>
    <t>LD6740</t>
  </si>
  <si>
    <t>LD6148</t>
  </si>
  <si>
    <t>LD5892</t>
  </si>
  <si>
    <t>LD3694</t>
  </si>
  <si>
    <t>LD4061</t>
  </si>
  <si>
    <t>LD2598</t>
  </si>
  <si>
    <t>LD3730</t>
  </si>
  <si>
    <t>LD3626</t>
  </si>
  <si>
    <t>LD6916</t>
  </si>
  <si>
    <t>LD4158</t>
  </si>
  <si>
    <t>LD4315</t>
  </si>
  <si>
    <t>LD2723</t>
  </si>
  <si>
    <t>LD6280</t>
  </si>
  <si>
    <t>LD2060</t>
  </si>
  <si>
    <t>LD5637</t>
  </si>
  <si>
    <t>LD4243</t>
  </si>
  <si>
    <t>LD2679</t>
  </si>
  <si>
    <t>LD7375</t>
  </si>
  <si>
    <t>LD2758</t>
  </si>
  <si>
    <t>LD7020</t>
  </si>
  <si>
    <t>LD5192</t>
  </si>
  <si>
    <t>LD6117</t>
  </si>
  <si>
    <t>LD1564</t>
  </si>
  <si>
    <t>LD3791</t>
  </si>
  <si>
    <t>LD1864</t>
  </si>
  <si>
    <t>LD2485</t>
  </si>
  <si>
    <t>LD6978</t>
  </si>
  <si>
    <t>LD6135</t>
  </si>
  <si>
    <t>LD1207</t>
  </si>
  <si>
    <t>LD5489</t>
  </si>
  <si>
    <t>LD1871</t>
  </si>
  <si>
    <t>LD5494</t>
  </si>
  <si>
    <t>LD1503</t>
  </si>
  <si>
    <t>LD2029</t>
  </si>
  <si>
    <t>LD4841</t>
  </si>
  <si>
    <t>LD3691</t>
  </si>
  <si>
    <t>LD6582</t>
  </si>
  <si>
    <t>LD6057</t>
  </si>
  <si>
    <t>LD2571</t>
  </si>
  <si>
    <t>LD3774</t>
  </si>
  <si>
    <t>LD6992</t>
  </si>
  <si>
    <t>LD3732</t>
  </si>
  <si>
    <t>LD7243</t>
  </si>
  <si>
    <t>LD1805</t>
  </si>
  <si>
    <t>LD6848</t>
  </si>
  <si>
    <t>LD4646</t>
  </si>
  <si>
    <t>LD3455</t>
  </si>
  <si>
    <t>LD5599</t>
  </si>
  <si>
    <t>LD4105</t>
  </si>
  <si>
    <t>LD5876</t>
  </si>
  <si>
    <t>LD6960</t>
  </si>
  <si>
    <t>LD1201</t>
  </si>
  <si>
    <t>LD7279</t>
  </si>
  <si>
    <t>LD4100</t>
  </si>
  <si>
    <t>LD7185</t>
  </si>
  <si>
    <t>LD3279</t>
  </si>
  <si>
    <t>LD4562</t>
  </si>
  <si>
    <t>LD6893</t>
  </si>
  <si>
    <t>LD5475</t>
  </si>
  <si>
    <t>LD7433</t>
  </si>
  <si>
    <t>LD5515</t>
  </si>
  <si>
    <t>LD6795</t>
  </si>
  <si>
    <t>LD1392</t>
  </si>
  <si>
    <t>LD6619</t>
  </si>
  <si>
    <t>LD6259</t>
  </si>
  <si>
    <t>LD2496</t>
  </si>
  <si>
    <t>LD3696</t>
  </si>
  <si>
    <t>LD3028</t>
  </si>
  <si>
    <t>LD6249</t>
  </si>
  <si>
    <t>LD6464</t>
  </si>
  <si>
    <t>LD3569</t>
  </si>
  <si>
    <t>LD1065</t>
  </si>
  <si>
    <t>LD4885</t>
  </si>
  <si>
    <t>LD3063</t>
  </si>
  <si>
    <t>LD6277</t>
  </si>
  <si>
    <t>LD1493</t>
  </si>
  <si>
    <t>LD1380</t>
  </si>
  <si>
    <t>LD7332</t>
  </si>
  <si>
    <t>LD5860</t>
  </si>
  <si>
    <t>LD7361</t>
  </si>
  <si>
    <t>LD4994</t>
  </si>
  <si>
    <t>LD5888</t>
  </si>
  <si>
    <t>LD2077</t>
  </si>
  <si>
    <t>LD1879</t>
  </si>
  <si>
    <t>LD1338</t>
  </si>
  <si>
    <t>LD7440</t>
  </si>
  <si>
    <t>LD2017</t>
  </si>
  <si>
    <t>LD2276</t>
  </si>
  <si>
    <t>LD4799</t>
  </si>
  <si>
    <t>LD5552</t>
  </si>
  <si>
    <t>LD4343</t>
  </si>
  <si>
    <t>LD5912</t>
  </si>
  <si>
    <t>LD7414</t>
  </si>
  <si>
    <t>LD1996</t>
  </si>
  <si>
    <t>LD2982</t>
  </si>
  <si>
    <t>LD5298</t>
  </si>
  <si>
    <t>LD1162</t>
  </si>
  <si>
    <t>LD6676</t>
  </si>
  <si>
    <t>LD7546</t>
  </si>
  <si>
    <t>LD5799</t>
  </si>
  <si>
    <t>LD2501</t>
  </si>
  <si>
    <t>LD4844</t>
  </si>
  <si>
    <t>LD6226</t>
  </si>
  <si>
    <t>LD3614</t>
  </si>
  <si>
    <t>LD4462</t>
  </si>
  <si>
    <t>LD2022</t>
  </si>
  <si>
    <t>LD4074</t>
  </si>
  <si>
    <t>LD4944</t>
  </si>
  <si>
    <t>LD2586</t>
  </si>
  <si>
    <t>LD2956</t>
  </si>
  <si>
    <t>LD4153</t>
  </si>
  <si>
    <t>LD7350</t>
  </si>
  <si>
    <t>LD1035</t>
  </si>
  <si>
    <t>LD5015</t>
  </si>
  <si>
    <t>LD1776</t>
  </si>
  <si>
    <t>LD3557</t>
  </si>
  <si>
    <t>LD2479</t>
  </si>
  <si>
    <t>LD6487</t>
  </si>
  <si>
    <t>LD7236</t>
  </si>
  <si>
    <t>LD2364</t>
  </si>
  <si>
    <t>LD3613</t>
  </si>
  <si>
    <t>LD3825</t>
  </si>
  <si>
    <t>LD3042</t>
  </si>
  <si>
    <t>LD1242</t>
  </si>
  <si>
    <t>LD3062</t>
  </si>
  <si>
    <t>LD3364</t>
  </si>
  <si>
    <t>LD1601</t>
  </si>
  <si>
    <t>LD3436</t>
  </si>
  <si>
    <t>LD6394</t>
  </si>
  <si>
    <t>LD7311</t>
  </si>
  <si>
    <t>LD3889</t>
  </si>
  <si>
    <t>LD7165</t>
  </si>
  <si>
    <t>LD1647</t>
  </si>
  <si>
    <t>LD4891</t>
  </si>
  <si>
    <t>LD4557</t>
  </si>
  <si>
    <t>LD4203</t>
  </si>
  <si>
    <t>LD2529</t>
  </si>
  <si>
    <t>LD2268</t>
  </si>
  <si>
    <t>LD2900</t>
  </si>
  <si>
    <t>LD5659</t>
  </si>
  <si>
    <t>LD4006</t>
  </si>
  <si>
    <t>LD3735</t>
  </si>
  <si>
    <t>LD1190</t>
  </si>
  <si>
    <t>LD2807</t>
  </si>
  <si>
    <t>LD1976</t>
  </si>
  <si>
    <t>LD3748</t>
  </si>
  <si>
    <t>LD3048</t>
  </si>
  <si>
    <t>LD3559</t>
  </si>
  <si>
    <t>LD2083</t>
  </si>
  <si>
    <t>LD1475</t>
  </si>
  <si>
    <t>LD3905</t>
  </si>
  <si>
    <t>LD5844</t>
  </si>
  <si>
    <t>LD7397</t>
  </si>
  <si>
    <t>LD5118</t>
  </si>
  <si>
    <t>LD4386</t>
  </si>
  <si>
    <t>LD5556</t>
  </si>
  <si>
    <t>LD2185</t>
  </si>
  <si>
    <t>LD7421</t>
  </si>
  <si>
    <t>LD6052</t>
  </si>
  <si>
    <t>LD6312</t>
  </si>
  <si>
    <t>LD3434</t>
  </si>
  <si>
    <t>LD6612</t>
  </si>
  <si>
    <t>LD3392</t>
  </si>
  <si>
    <t>LD1770</t>
  </si>
  <si>
    <t>LD2686</t>
  </si>
  <si>
    <t>LD1131</t>
  </si>
  <si>
    <t>LD3920</t>
  </si>
  <si>
    <t>LD4172</t>
  </si>
  <si>
    <t>LD4445</t>
  </si>
  <si>
    <t>LD7232</t>
  </si>
  <si>
    <t>LD6579</t>
  </si>
  <si>
    <t>LD5427</t>
  </si>
  <si>
    <t>LD6335</t>
  </si>
  <si>
    <t>LD1467</t>
  </si>
  <si>
    <t>LD7266</t>
  </si>
  <si>
    <t>LD6735</t>
  </si>
  <si>
    <t>LD4093</t>
  </si>
  <si>
    <t>LD4773</t>
  </si>
  <si>
    <t>LD6192</t>
  </si>
  <si>
    <t>LD6227</t>
  </si>
  <si>
    <t>LD6391</t>
  </si>
  <si>
    <t>LD1861</t>
  </si>
  <si>
    <t>Stage Number</t>
  </si>
  <si>
    <t>SignupMonth</t>
  </si>
  <si>
    <t>Reached MQL +</t>
  </si>
  <si>
    <t>Reached SQL +</t>
  </si>
  <si>
    <t>Reached Customer</t>
  </si>
  <si>
    <t>Count of Lead ID</t>
  </si>
  <si>
    <t>Sum of Reached MQL +</t>
  </si>
  <si>
    <t>Sum of Reached SQL +</t>
  </si>
  <si>
    <t>Sum of Reached Customer</t>
  </si>
  <si>
    <t>MQL Rate</t>
  </si>
  <si>
    <t>SQL Rate</t>
  </si>
  <si>
    <t>Customer Rate</t>
  </si>
  <si>
    <t>Row Labels</t>
  </si>
  <si>
    <t>Grand Total</t>
  </si>
  <si>
    <t>Overall Converision</t>
  </si>
  <si>
    <t>Apr-2024</t>
  </si>
  <si>
    <t>Aug-2024</t>
  </si>
  <si>
    <t>Dec-2024</t>
  </si>
  <si>
    <t>Feb-2024</t>
  </si>
  <si>
    <t>Jan-2024</t>
  </si>
  <si>
    <t>Jul-2024</t>
  </si>
  <si>
    <t>Jun-2024</t>
  </si>
  <si>
    <t>Mar-2024</t>
  </si>
  <si>
    <t>May-2024</t>
  </si>
  <si>
    <t>Nov-2024</t>
  </si>
  <si>
    <t>Oct-2024</t>
  </si>
  <si>
    <t>Sep-2024</t>
  </si>
  <si>
    <t>Count of Plan</t>
  </si>
  <si>
    <t>Sum of Deal Value</t>
  </si>
  <si>
    <t>Average of Deal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</si>
</sst>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[Leads_cleaned.xlsx]Funnel By Channel!PivotTable2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'Funnel By Channel'!$B$3</c:f>
              <c:strCache>
                <c:ptCount val="1"/>
                <c:pt idx="0">
                  <c:v>Count of Lead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'Funnel By Channel'!$A$4:$A$10</c:f>
              <c:strCache>
                <c:ptCount val="6"/>
                <c:pt idx="0">
                  <c:v>Direct</c:v>
                </c:pt>
                <c:pt idx="1">
                  <c:v>Email Marketing</c:v>
                </c:pt>
                <c:pt idx="2">
                  <c:v>Organic Search</c:v>
                </c:pt>
                <c:pt idx="3">
                  <c:v>Paid Search</c:v>
                </c:pt>
                <c:pt idx="4">
                  <c:v>Referral</c:v>
                </c:pt>
                <c:pt idx="5">
                  <c:v>Social Media</c:v>
                </c:pt>
              </c:strCache>
            </c:strRef>
          </c:cat>
          <c:val>
            <c:numRef>
              <c:f>'Funnel By Channel'!$B$4:$B$10</c:f>
              <c:numCache>
                <c:formatCode>General</c:formatCode>
                <c:ptCount val="6"/>
                <c:pt idx="0">
                  <c:v>827</c:v>
                </c:pt>
                <c:pt idx="1">
                  <c:v>1684</c:v>
                </c:pt>
                <c:pt idx="2">
                  <c:v>1144</c:v>
                </c:pt>
                <c:pt idx="3">
                  <c:v>1205</c:v>
                </c:pt>
                <c:pt idx="4">
                  <c:v>1000</c:v>
                </c:pt>
                <c:pt idx="5">
                  <c:v>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D-4AA6-B7BD-FE19AB776A5B}"/>
            </c:ext>
          </c:extLst>
        </c:ser>
        <c:ser>
          <c:idx val="1"/>
          <c:order val="1"/>
          <c:tx>
            <c:strRef>
              <c:f>'Funnel By Channel'!$C$3</c:f>
              <c:strCache>
                <c:ptCount val="1"/>
                <c:pt idx="0">
                  <c:v>Sum of Reached MQL +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'Funnel By Channel'!$A$4:$A$10</c:f>
              <c:strCache>
                <c:ptCount val="6"/>
                <c:pt idx="0">
                  <c:v>Direct</c:v>
                </c:pt>
                <c:pt idx="1">
                  <c:v>Email Marketing</c:v>
                </c:pt>
                <c:pt idx="2">
                  <c:v>Organic Search</c:v>
                </c:pt>
                <c:pt idx="3">
                  <c:v>Paid Search</c:v>
                </c:pt>
                <c:pt idx="4">
                  <c:v>Referral</c:v>
                </c:pt>
                <c:pt idx="5">
                  <c:v>Social Media</c:v>
                </c:pt>
              </c:strCache>
            </c:strRef>
          </c:cat>
          <c:val>
            <c:numRef>
              <c:f>'Funnel By Channel'!$C$4:$C$10</c:f>
              <c:numCache>
                <c:formatCode>General</c:formatCode>
                <c:ptCount val="6"/>
                <c:pt idx="0">
                  <c:v>357</c:v>
                </c:pt>
                <c:pt idx="1">
                  <c:v>1040</c:v>
                </c:pt>
                <c:pt idx="2">
                  <c:v>601</c:v>
                </c:pt>
                <c:pt idx="3">
                  <c:v>471</c:v>
                </c:pt>
                <c:pt idx="4">
                  <c:v>659</c:v>
                </c:pt>
                <c:pt idx="5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FD-4AA6-B7BD-FE19AB776A5B}"/>
            </c:ext>
          </c:extLst>
        </c:ser>
        <c:ser>
          <c:idx val="2"/>
          <c:order val="2"/>
          <c:tx>
            <c:strRef>
              <c:f>'Funnel By Channel'!$D$3</c:f>
              <c:strCache>
                <c:ptCount val="1"/>
                <c:pt idx="0">
                  <c:v>Sum of Reached SQL +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'Funnel By Channel'!$A$4:$A$10</c:f>
              <c:strCache>
                <c:ptCount val="6"/>
                <c:pt idx="0">
                  <c:v>Direct</c:v>
                </c:pt>
                <c:pt idx="1">
                  <c:v>Email Marketing</c:v>
                </c:pt>
                <c:pt idx="2">
                  <c:v>Organic Search</c:v>
                </c:pt>
                <c:pt idx="3">
                  <c:v>Paid Search</c:v>
                </c:pt>
                <c:pt idx="4">
                  <c:v>Referral</c:v>
                </c:pt>
                <c:pt idx="5">
                  <c:v>Social Media</c:v>
                </c:pt>
              </c:strCache>
            </c:strRef>
          </c:cat>
          <c:val>
            <c:numRef>
              <c:f>'Funnel By Channel'!$D$4:$D$10</c:f>
              <c:numCache>
                <c:formatCode>General</c:formatCode>
                <c:ptCount val="6"/>
                <c:pt idx="0">
                  <c:v>140</c:v>
                </c:pt>
                <c:pt idx="1">
                  <c:v>503</c:v>
                </c:pt>
                <c:pt idx="2">
                  <c:v>257</c:v>
                </c:pt>
                <c:pt idx="3">
                  <c:v>146</c:v>
                </c:pt>
                <c:pt idx="4">
                  <c:v>372</c:v>
                </c:pt>
                <c:pt idx="5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FD-4AA6-B7BD-FE19AB776A5B}"/>
            </c:ext>
          </c:extLst>
        </c:ser>
        <c:ser>
          <c:idx val="3"/>
          <c:order val="3"/>
          <c:tx>
            <c:strRef>
              <c:f>'Funnel By Channel'!$E$3</c:f>
              <c:strCache>
                <c:ptCount val="1"/>
                <c:pt idx="0">
                  <c:v>Sum of Reached Customer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'Funnel By Channel'!$A$4:$A$10</c:f>
              <c:strCache>
                <c:ptCount val="6"/>
                <c:pt idx="0">
                  <c:v>Direct</c:v>
                </c:pt>
                <c:pt idx="1">
                  <c:v>Email Marketing</c:v>
                </c:pt>
                <c:pt idx="2">
                  <c:v>Organic Search</c:v>
                </c:pt>
                <c:pt idx="3">
                  <c:v>Paid Search</c:v>
                </c:pt>
                <c:pt idx="4">
                  <c:v>Referral</c:v>
                </c:pt>
                <c:pt idx="5">
                  <c:v>Social Media</c:v>
                </c:pt>
              </c:strCache>
            </c:strRef>
          </c:cat>
          <c:val>
            <c:numRef>
              <c:f>'Funnel By Channel'!$E$4:$E$10</c:f>
              <c:numCache>
                <c:formatCode>General</c:formatCode>
                <c:ptCount val="6"/>
                <c:pt idx="0">
                  <c:v>33</c:v>
                </c:pt>
                <c:pt idx="1">
                  <c:v>176</c:v>
                </c:pt>
                <c:pt idx="2">
                  <c:v>87</c:v>
                </c:pt>
                <c:pt idx="3">
                  <c:v>39</c:v>
                </c:pt>
                <c:pt idx="4">
                  <c:v>138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FD-4AA6-B7BD-FE19AB776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1076325</xdr:colOff>
      <xdr:row>11</xdr:row>
      <xdr:rowOff>166687</xdr:rowOff>
    </xdr:from>
    <xdr:to>
      <xdr:col>11</xdr:col>
      <xdr:colOff>285750</xdr:colOff>
      <xdr:row>26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76F08-E860-3BD5-4B71-EEAAD8BD45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sh joseph zachariah" refreshedDate="46216.012503819446" createdVersion="8" refreshedVersion="8" minRefreshableVersion="3" recordCount="6784" xr:uid="{2B967EDC-535C-40B0-9A79-201F0C4AEC9C}">
  <cacheSource type="worksheet">
    <worksheetSource name="LeadsData"/>
  </cacheSource>
  <cacheFields count="15">
    <cacheField name="Lead ID" numFmtId="0">
      <sharedItems/>
    </cacheField>
    <cacheField name="Signup Date" numFmtId="14">
      <sharedItems containsSemiMixedTypes="0" containsNonDate="0" containsDate="1" containsString="0" minDate="2024-01-01T00:00:00" maxDate="2024-12-29T00:00:00"/>
    </cacheField>
    <cacheField name="Channel" numFmtId="0">
      <sharedItems count="6">
        <s v="Social Media"/>
        <s v="Paid Search"/>
        <s v="Direct"/>
        <s v="Email Marketing"/>
        <s v="Referral"/>
        <s v="Organic Search"/>
      </sharedItems>
    </cacheField>
    <cacheField name="Campaign" numFmtId="0">
      <sharedItems/>
    </cacheField>
    <cacheField name="Device" numFmtId="0">
      <sharedItems/>
    </cacheField>
    <cacheField name="Region" numFmtId="0">
      <sharedItems/>
    </cacheField>
    <cacheField name="Funnel Stage Reached" numFmtId="0">
      <sharedItems/>
    </cacheField>
    <cacheField name="Days to Convert" numFmtId="0">
      <sharedItems containsString="0" containsBlank="1" containsNumber="1" containsInteger="1" minValue="7" maxValue="75"/>
    </cacheField>
    <cacheField name="Plan" numFmtId="0">
      <sharedItems containsBlank="1"/>
    </cacheField>
    <cacheField name="Deal Value" numFmtId="0">
      <sharedItems containsString="0" containsBlank="1" containsNumber="1" minValue="504.49" maxValue="19949.900000000001"/>
    </cacheField>
    <cacheField name="Stage Number" numFmtId="0">
      <sharedItems containsSemiMixedTypes="0" containsString="0" containsNumber="1" containsInteger="1" minValue="1" maxValue="4"/>
    </cacheField>
    <cacheField name="SignupMonth" numFmtId="0">
      <sharedItems count="12">
        <s v="Jul-2024"/>
        <s v="Apr-2024"/>
        <s v="Nov-2024"/>
        <s v="Jan-2024"/>
        <s v="May-2024"/>
        <s v="Oct-2024"/>
        <s v="Aug-2024"/>
        <s v="Dec-2024"/>
        <s v="Mar-2024"/>
        <s v="Sep-2024"/>
        <s v="Feb-2024"/>
        <s v="Jun-2024"/>
      </sharedItems>
    </cacheField>
    <cacheField name="Reached MQL +" numFmtId="0">
      <sharedItems containsSemiMixedTypes="0" containsString="0" containsNumber="1" containsInteger="1" minValue="0" maxValue="1"/>
    </cacheField>
    <cacheField name="Reached SQL +" numFmtId="0">
      <sharedItems containsSemiMixedTypes="0" containsString="0" containsNumber="1" containsInteger="1" minValue="0" maxValue="1"/>
    </cacheField>
    <cacheField name="Reached Customer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84">
  <r>
    <s v="LD4232"/>
    <d v="2024-07-02T00:00:00"/>
    <x v="0"/>
    <s v="Instagram Ads"/>
    <s v="Desktop"/>
    <s v="Asia Pacific"/>
    <s v="Lead"/>
    <m/>
    <m/>
    <m/>
    <n v="1"/>
    <x v="0"/>
    <n v="0"/>
    <n v="0"/>
    <n v="0"/>
  </r>
  <r>
    <s v="LD2609"/>
    <d v="2024-04-09T00:00:00"/>
    <x v="1"/>
    <s v="Google Ads - Brand"/>
    <s v="Desktop"/>
    <s v="North America"/>
    <s v="Lead"/>
    <m/>
    <m/>
    <m/>
    <n v="1"/>
    <x v="1"/>
    <n v="0"/>
    <n v="0"/>
    <n v="0"/>
  </r>
  <r>
    <s v="LD6547"/>
    <d v="2024-11-24T00:00:00"/>
    <x v="1"/>
    <s v="Google Ads - Brand"/>
    <s v="Mobile"/>
    <s v="Europe"/>
    <s v="MQL"/>
    <m/>
    <m/>
    <m/>
    <n v="2"/>
    <x v="2"/>
    <n v="1"/>
    <n v="0"/>
    <n v="0"/>
  </r>
  <r>
    <s v="LD1436"/>
    <d v="2024-01-20T00:00:00"/>
    <x v="2"/>
    <s v="Direct / Type-in"/>
    <s v="Mobile"/>
    <s v="Europe"/>
    <s v="MQL"/>
    <m/>
    <m/>
    <m/>
    <n v="2"/>
    <x v="3"/>
    <n v="1"/>
    <n v="0"/>
    <n v="0"/>
  </r>
  <r>
    <s v="LD3184"/>
    <d v="2024-05-18T00:00:00"/>
    <x v="1"/>
    <s v="Google Ads - Brand"/>
    <s v="Mobile"/>
    <s v="Latin America"/>
    <s v="SQL"/>
    <m/>
    <m/>
    <m/>
    <n v="3"/>
    <x v="4"/>
    <n v="1"/>
    <n v="1"/>
    <n v="0"/>
  </r>
  <r>
    <s v="LD6076"/>
    <d v="2024-10-12T00:00:00"/>
    <x v="3"/>
    <s v="Monthly Newsletter"/>
    <s v="Mobile"/>
    <s v="Europe"/>
    <s v="MQL"/>
    <m/>
    <m/>
    <m/>
    <n v="2"/>
    <x v="5"/>
    <n v="1"/>
    <n v="0"/>
    <n v="0"/>
  </r>
  <r>
    <s v="LD4768"/>
    <d v="2024-08-05T00:00:00"/>
    <x v="3"/>
    <s v="Promo Blast"/>
    <s v="Desktop"/>
    <s v="Europe"/>
    <s v="SQL"/>
    <m/>
    <m/>
    <m/>
    <n v="3"/>
    <x v="6"/>
    <n v="1"/>
    <n v="1"/>
    <n v="0"/>
  </r>
  <r>
    <s v="LD7669"/>
    <d v="2024-12-07T00:00:00"/>
    <x v="4"/>
    <s v="Affiliate Program"/>
    <s v="Mobile"/>
    <s v="Asia Pacific"/>
    <s v="MQL"/>
    <m/>
    <m/>
    <m/>
    <n v="2"/>
    <x v="7"/>
    <n v="1"/>
    <n v="0"/>
    <n v="0"/>
  </r>
  <r>
    <s v="LD3284"/>
    <d v="2024-05-27T00:00:00"/>
    <x v="0"/>
    <s v="Instagram Ads"/>
    <s v="Desktop"/>
    <s v="North America"/>
    <s v="MQL"/>
    <m/>
    <m/>
    <m/>
    <n v="2"/>
    <x v="4"/>
    <n v="1"/>
    <n v="0"/>
    <n v="0"/>
  </r>
  <r>
    <s v="LD3551"/>
    <d v="2024-05-27T00:00:00"/>
    <x v="2"/>
    <s v="Direct / Type-in"/>
    <s v="Mobile"/>
    <s v="Asia Pacific"/>
    <s v="Lead"/>
    <m/>
    <m/>
    <m/>
    <n v="1"/>
    <x v="4"/>
    <n v="0"/>
    <n v="0"/>
    <n v="0"/>
  </r>
  <r>
    <s v="LD7031"/>
    <d v="2024-11-22T00:00:00"/>
    <x v="2"/>
    <s v="Direct / Type-in"/>
    <s v="Mobile"/>
    <s v="Asia Pacific"/>
    <s v="Lead"/>
    <m/>
    <m/>
    <m/>
    <n v="1"/>
    <x v="2"/>
    <n v="0"/>
    <n v="0"/>
    <n v="0"/>
  </r>
  <r>
    <s v="LD6706"/>
    <d v="2024-11-06T00:00:00"/>
    <x v="3"/>
    <s v="Promo Blast"/>
    <s v="Desktop"/>
    <s v="Asia Pacific"/>
    <s v="Customer"/>
    <n v="59"/>
    <s v="Basic"/>
    <n v="1348.23"/>
    <n v="4"/>
    <x v="2"/>
    <n v="1"/>
    <n v="1"/>
    <n v="1"/>
  </r>
  <r>
    <s v="LD2913"/>
    <d v="2024-04-16T00:00:00"/>
    <x v="4"/>
    <s v="Affiliate Program"/>
    <s v="Desktop"/>
    <s v="North America"/>
    <s v="MQL"/>
    <m/>
    <m/>
    <m/>
    <n v="2"/>
    <x v="1"/>
    <n v="1"/>
    <n v="0"/>
    <n v="0"/>
  </r>
  <r>
    <s v="LD7137"/>
    <d v="2024-12-01T00:00:00"/>
    <x v="5"/>
    <s v="Blog SEO"/>
    <s v="Tablet"/>
    <s v="North America"/>
    <s v="SQL"/>
    <m/>
    <m/>
    <m/>
    <n v="3"/>
    <x v="7"/>
    <n v="1"/>
    <n v="1"/>
    <n v="0"/>
  </r>
  <r>
    <s v="LD6975"/>
    <d v="2024-11-09T00:00:00"/>
    <x v="4"/>
    <s v="Partner Program"/>
    <s v="Mobile"/>
    <s v="North America"/>
    <s v="MQL"/>
    <m/>
    <m/>
    <m/>
    <n v="2"/>
    <x v="2"/>
    <n v="1"/>
    <n v="0"/>
    <n v="0"/>
  </r>
  <r>
    <s v="LD4427"/>
    <d v="2024-07-24T00:00:00"/>
    <x v="4"/>
    <s v="Affiliate Program"/>
    <s v="Desktop"/>
    <s v="Asia Pacific"/>
    <s v="Customer"/>
    <n v="65"/>
    <s v="Basic"/>
    <n v="789.38"/>
    <n v="4"/>
    <x v="0"/>
    <n v="1"/>
    <n v="1"/>
    <n v="1"/>
  </r>
  <r>
    <s v="LD2050"/>
    <d v="2024-03-13T00:00:00"/>
    <x v="1"/>
    <s v="Google Ads - Generic"/>
    <s v="Desktop"/>
    <s v="North America"/>
    <s v="Lead"/>
    <m/>
    <m/>
    <m/>
    <n v="1"/>
    <x v="8"/>
    <n v="0"/>
    <n v="0"/>
    <n v="0"/>
  </r>
  <r>
    <s v="LD5148"/>
    <d v="2024-09-22T00:00:00"/>
    <x v="1"/>
    <s v="Google Ads - Generic"/>
    <s v="Tablet"/>
    <s v="North America"/>
    <s v="MQL"/>
    <m/>
    <m/>
    <m/>
    <n v="2"/>
    <x v="9"/>
    <n v="1"/>
    <n v="0"/>
    <n v="0"/>
  </r>
  <r>
    <s v="LD1536"/>
    <d v="2024-02-01T00:00:00"/>
    <x v="5"/>
    <s v="Landing Page SEO"/>
    <s v="Desktop"/>
    <s v="Asia Pacific"/>
    <s v="SQL"/>
    <m/>
    <m/>
    <m/>
    <n v="3"/>
    <x v="10"/>
    <n v="1"/>
    <n v="1"/>
    <n v="0"/>
  </r>
  <r>
    <s v="LD5772"/>
    <d v="2024-10-13T00:00:00"/>
    <x v="1"/>
    <s v="Google Ads - Brand"/>
    <s v="Desktop"/>
    <s v="Latin America"/>
    <s v="MQL"/>
    <m/>
    <m/>
    <m/>
    <n v="2"/>
    <x v="5"/>
    <n v="1"/>
    <n v="0"/>
    <n v="0"/>
  </r>
  <r>
    <s v="LD4908"/>
    <d v="2024-08-23T00:00:00"/>
    <x v="4"/>
    <s v="Affiliate Program"/>
    <s v="Desktop"/>
    <s v="Europe"/>
    <s v="Customer"/>
    <n v="66"/>
    <s v="Basic"/>
    <n v="685.74"/>
    <n v="4"/>
    <x v="6"/>
    <n v="1"/>
    <n v="1"/>
    <n v="1"/>
  </r>
  <r>
    <s v="LD7727"/>
    <d v="2024-12-20T00:00:00"/>
    <x v="2"/>
    <s v="Direct / Type-in"/>
    <s v="Mobile"/>
    <s v="Asia Pacific"/>
    <s v="Lead"/>
    <m/>
    <m/>
    <m/>
    <n v="1"/>
    <x v="7"/>
    <n v="0"/>
    <n v="0"/>
    <n v="0"/>
  </r>
  <r>
    <s v="LD7437"/>
    <d v="2024-12-16T00:00:00"/>
    <x v="3"/>
    <s v="Monthly Newsletter"/>
    <s v="Mobile"/>
    <s v="Europe"/>
    <s v="MQL"/>
    <m/>
    <m/>
    <m/>
    <n v="2"/>
    <x v="7"/>
    <n v="1"/>
    <n v="0"/>
    <n v="0"/>
  </r>
  <r>
    <s v="LD6782"/>
    <d v="2024-11-19T00:00:00"/>
    <x v="3"/>
    <s v="Promo Blast"/>
    <s v="Mobile"/>
    <s v="North America"/>
    <s v="MQL"/>
    <m/>
    <m/>
    <m/>
    <n v="2"/>
    <x v="2"/>
    <n v="1"/>
    <n v="0"/>
    <n v="0"/>
  </r>
  <r>
    <s v="LD7253"/>
    <d v="2024-12-09T00:00:00"/>
    <x v="1"/>
    <s v="Google Ads - Generic"/>
    <s v="Desktop"/>
    <s v="Europe"/>
    <s v="Lead"/>
    <m/>
    <m/>
    <m/>
    <n v="1"/>
    <x v="7"/>
    <n v="0"/>
    <n v="0"/>
    <n v="0"/>
  </r>
  <r>
    <s v="LD3448"/>
    <d v="2024-05-28T00:00:00"/>
    <x v="4"/>
    <s v="Affiliate Program"/>
    <s v="Desktop"/>
    <s v="North America"/>
    <s v="Lead"/>
    <m/>
    <m/>
    <m/>
    <n v="1"/>
    <x v="4"/>
    <n v="0"/>
    <n v="0"/>
    <n v="0"/>
  </r>
  <r>
    <s v="LD1394"/>
    <d v="2024-01-28T00:00:00"/>
    <x v="4"/>
    <s v="Partner Program"/>
    <s v="Mobile"/>
    <s v="Asia Pacific"/>
    <s v="Lead"/>
    <m/>
    <m/>
    <m/>
    <n v="1"/>
    <x v="3"/>
    <n v="0"/>
    <n v="0"/>
    <n v="0"/>
  </r>
  <r>
    <s v="LD4129"/>
    <d v="2024-07-17T00:00:00"/>
    <x v="1"/>
    <s v="Google Ads - Generic"/>
    <s v="Mobile"/>
    <s v="North America"/>
    <s v="Lead"/>
    <m/>
    <m/>
    <m/>
    <n v="1"/>
    <x v="0"/>
    <n v="0"/>
    <n v="0"/>
    <n v="0"/>
  </r>
  <r>
    <s v="LD4873"/>
    <d v="2024-08-10T00:00:00"/>
    <x v="3"/>
    <s v="Monthly Newsletter"/>
    <s v="Desktop"/>
    <s v="North America"/>
    <s v="Lead"/>
    <m/>
    <m/>
    <m/>
    <n v="1"/>
    <x v="6"/>
    <n v="0"/>
    <n v="0"/>
    <n v="0"/>
  </r>
  <r>
    <s v="LD5920"/>
    <d v="2024-10-24T00:00:00"/>
    <x v="0"/>
    <s v="LinkedIn Ads"/>
    <s v="Mobile"/>
    <s v="North America"/>
    <s v="Lead"/>
    <m/>
    <m/>
    <m/>
    <n v="1"/>
    <x v="5"/>
    <n v="0"/>
    <n v="0"/>
    <n v="0"/>
  </r>
  <r>
    <s v="LD4319"/>
    <d v="2024-07-06T00:00:00"/>
    <x v="3"/>
    <s v="Monthly Newsletter"/>
    <s v="Mobile"/>
    <s v="Europe"/>
    <s v="Customer"/>
    <n v="34"/>
    <s v="Basic"/>
    <n v="1417.9"/>
    <n v="4"/>
    <x v="0"/>
    <n v="1"/>
    <n v="1"/>
    <n v="1"/>
  </r>
  <r>
    <s v="LD7730"/>
    <d v="2024-12-11T00:00:00"/>
    <x v="2"/>
    <s v="Direct / Type-in"/>
    <s v="Desktop"/>
    <s v="North America"/>
    <s v="Lead"/>
    <m/>
    <m/>
    <m/>
    <n v="1"/>
    <x v="7"/>
    <n v="0"/>
    <n v="0"/>
    <n v="0"/>
  </r>
  <r>
    <s v="LD6775"/>
    <d v="2024-11-24T00:00:00"/>
    <x v="3"/>
    <s v="Promo Blast"/>
    <s v="Mobile"/>
    <s v="Latin America"/>
    <s v="SQL"/>
    <m/>
    <m/>
    <m/>
    <n v="3"/>
    <x v="2"/>
    <n v="1"/>
    <n v="1"/>
    <n v="0"/>
  </r>
  <r>
    <s v="LD2373"/>
    <d v="2024-03-07T00:00:00"/>
    <x v="4"/>
    <s v="Partner Program"/>
    <s v="Mobile"/>
    <s v="Asia Pacific"/>
    <s v="Customer"/>
    <n v="72"/>
    <s v="Basic"/>
    <n v="1018.89"/>
    <n v="4"/>
    <x v="8"/>
    <n v="1"/>
    <n v="1"/>
    <n v="1"/>
  </r>
  <r>
    <s v="LD5465"/>
    <d v="2024-09-25T00:00:00"/>
    <x v="4"/>
    <s v="Affiliate Program"/>
    <s v="Mobile"/>
    <s v="Asia Pacific"/>
    <s v="MQL"/>
    <m/>
    <m/>
    <m/>
    <n v="2"/>
    <x v="9"/>
    <n v="1"/>
    <n v="0"/>
    <n v="0"/>
  </r>
  <r>
    <s v="LD4046"/>
    <d v="2024-07-13T00:00:00"/>
    <x v="5"/>
    <s v="Landing Page SEO"/>
    <s v="Desktop"/>
    <s v="North America"/>
    <s v="Lead"/>
    <m/>
    <m/>
    <m/>
    <n v="1"/>
    <x v="0"/>
    <n v="0"/>
    <n v="0"/>
    <n v="0"/>
  </r>
  <r>
    <s v="LD5152"/>
    <d v="2024-09-19T00:00:00"/>
    <x v="1"/>
    <s v="Google Ads - Generic"/>
    <s v="Desktop"/>
    <s v="Asia Pacific"/>
    <s v="MQL"/>
    <m/>
    <m/>
    <m/>
    <n v="2"/>
    <x v="9"/>
    <n v="1"/>
    <n v="0"/>
    <n v="0"/>
  </r>
  <r>
    <s v="LD2861"/>
    <d v="2024-04-15T00:00:00"/>
    <x v="3"/>
    <s v="Monthly Newsletter"/>
    <s v="Desktop"/>
    <s v="North America"/>
    <s v="Lead"/>
    <m/>
    <m/>
    <m/>
    <n v="1"/>
    <x v="1"/>
    <n v="0"/>
    <n v="0"/>
    <n v="0"/>
  </r>
  <r>
    <s v="LD1102"/>
    <d v="2024-01-20T00:00:00"/>
    <x v="1"/>
    <s v="Google Ads - Brand"/>
    <s v="Mobile"/>
    <s v="Europe"/>
    <s v="MQL"/>
    <m/>
    <m/>
    <m/>
    <n v="2"/>
    <x v="3"/>
    <n v="1"/>
    <n v="0"/>
    <n v="0"/>
  </r>
  <r>
    <s v="LD5289"/>
    <d v="2024-09-05T00:00:00"/>
    <x v="0"/>
    <s v="Facebook Ads"/>
    <s v="Desktop"/>
    <s v="Asia Pacific"/>
    <s v="Lead"/>
    <m/>
    <m/>
    <m/>
    <n v="1"/>
    <x v="9"/>
    <n v="0"/>
    <n v="0"/>
    <n v="0"/>
  </r>
  <r>
    <s v="LD3182"/>
    <d v="2024-05-07T00:00:00"/>
    <x v="1"/>
    <s v="Google Ads - Brand"/>
    <s v="Mobile"/>
    <s v="North America"/>
    <s v="MQL"/>
    <m/>
    <m/>
    <m/>
    <n v="2"/>
    <x v="4"/>
    <n v="1"/>
    <n v="0"/>
    <n v="0"/>
  </r>
  <r>
    <s v="LD2534"/>
    <d v="2024-04-13T00:00:00"/>
    <x v="5"/>
    <s v="Blog SEO"/>
    <s v="Desktop"/>
    <s v="Europe"/>
    <s v="Lead"/>
    <m/>
    <m/>
    <m/>
    <n v="1"/>
    <x v="1"/>
    <n v="0"/>
    <n v="0"/>
    <n v="0"/>
  </r>
  <r>
    <s v="LD6352"/>
    <d v="2024-11-13T00:00:00"/>
    <x v="5"/>
    <s v="Landing Page SEO"/>
    <s v="Mobile"/>
    <s v="Latin America"/>
    <s v="MQL"/>
    <m/>
    <m/>
    <m/>
    <n v="2"/>
    <x v="2"/>
    <n v="1"/>
    <n v="0"/>
    <n v="0"/>
  </r>
  <r>
    <s v="LD7041"/>
    <d v="2024-11-08T00:00:00"/>
    <x v="2"/>
    <s v="Direct / Type-in"/>
    <s v="Desktop"/>
    <s v="Europe"/>
    <s v="Lead"/>
    <m/>
    <m/>
    <m/>
    <n v="1"/>
    <x v="2"/>
    <n v="0"/>
    <n v="0"/>
    <n v="0"/>
  </r>
  <r>
    <s v="LD1562"/>
    <d v="2024-02-14T00:00:00"/>
    <x v="5"/>
    <s v="Blog SEO"/>
    <s v="Tablet"/>
    <s v="Europe"/>
    <s v="Lead"/>
    <m/>
    <m/>
    <m/>
    <n v="1"/>
    <x v="10"/>
    <n v="0"/>
    <n v="0"/>
    <n v="0"/>
  </r>
  <r>
    <s v="LD3226"/>
    <d v="2024-05-05T00:00:00"/>
    <x v="0"/>
    <s v="Instagram Ads"/>
    <s v="Desktop"/>
    <s v="Latin America"/>
    <s v="Lead"/>
    <m/>
    <m/>
    <m/>
    <n v="1"/>
    <x v="4"/>
    <n v="0"/>
    <n v="0"/>
    <n v="0"/>
  </r>
  <r>
    <s v="LD7490"/>
    <d v="2024-12-04T00:00:00"/>
    <x v="3"/>
    <s v="Promo Blast"/>
    <s v="Mobile"/>
    <s v="North America"/>
    <s v="Customer"/>
    <n v="56"/>
    <s v="Pro"/>
    <n v="3409.91"/>
    <n v="4"/>
    <x v="7"/>
    <n v="1"/>
    <n v="1"/>
    <n v="1"/>
  </r>
  <r>
    <s v="LD5393"/>
    <d v="2024-09-05T00:00:00"/>
    <x v="3"/>
    <s v="Promo Blast"/>
    <s v="Mobile"/>
    <s v="Asia Pacific"/>
    <s v="Lead"/>
    <m/>
    <m/>
    <m/>
    <n v="1"/>
    <x v="9"/>
    <n v="0"/>
    <n v="0"/>
    <n v="0"/>
  </r>
  <r>
    <s v="LD1218"/>
    <d v="2024-01-21T00:00:00"/>
    <x v="0"/>
    <s v="LinkedIn Ads"/>
    <s v="Desktop"/>
    <s v="Asia Pacific"/>
    <s v="Lead"/>
    <m/>
    <m/>
    <m/>
    <n v="1"/>
    <x v="3"/>
    <n v="0"/>
    <n v="0"/>
    <n v="0"/>
  </r>
  <r>
    <s v="LD4300"/>
    <d v="2024-07-23T00:00:00"/>
    <x v="3"/>
    <s v="Promo Blast"/>
    <s v="Desktop"/>
    <s v="North America"/>
    <s v="MQL"/>
    <m/>
    <m/>
    <m/>
    <n v="2"/>
    <x v="0"/>
    <n v="1"/>
    <n v="0"/>
    <n v="0"/>
  </r>
  <r>
    <s v="LD1829"/>
    <d v="2024-02-03T00:00:00"/>
    <x v="4"/>
    <s v="Partner Program"/>
    <s v="Tablet"/>
    <s v="North America"/>
    <s v="MQL"/>
    <m/>
    <m/>
    <m/>
    <n v="2"/>
    <x v="10"/>
    <n v="1"/>
    <n v="0"/>
    <n v="0"/>
  </r>
  <r>
    <s v="LD3667"/>
    <d v="2024-06-15T00:00:00"/>
    <x v="1"/>
    <s v="Google Ads - Brand"/>
    <s v="Mobile"/>
    <s v="North America"/>
    <s v="Lead"/>
    <m/>
    <m/>
    <m/>
    <n v="1"/>
    <x v="11"/>
    <n v="0"/>
    <n v="0"/>
    <n v="0"/>
  </r>
  <r>
    <s v="LD3677"/>
    <d v="2024-06-01T00:00:00"/>
    <x v="1"/>
    <s v="Google Ads - Brand"/>
    <s v="Mobile"/>
    <s v="Asia Pacific"/>
    <s v="Lead"/>
    <m/>
    <m/>
    <m/>
    <n v="1"/>
    <x v="11"/>
    <n v="0"/>
    <n v="0"/>
    <n v="0"/>
  </r>
  <r>
    <s v="LD5980"/>
    <d v="2024-10-08T00:00:00"/>
    <x v="3"/>
    <s v="Promo Blast"/>
    <s v="Mobile"/>
    <s v="North America"/>
    <s v="MQL"/>
    <m/>
    <m/>
    <m/>
    <n v="2"/>
    <x v="5"/>
    <n v="1"/>
    <n v="0"/>
    <n v="0"/>
  </r>
  <r>
    <s v="LD2116"/>
    <d v="2024-03-06T00:00:00"/>
    <x v="1"/>
    <s v="Google Ads - Brand"/>
    <s v="Tablet"/>
    <s v="North America"/>
    <s v="MQL"/>
    <m/>
    <m/>
    <m/>
    <n v="2"/>
    <x v="8"/>
    <n v="1"/>
    <n v="0"/>
    <n v="0"/>
  </r>
  <r>
    <s v="LD4482"/>
    <d v="2024-07-19T00:00:00"/>
    <x v="2"/>
    <s v="Direct / Type-in"/>
    <s v="Desktop"/>
    <s v="North America"/>
    <s v="Lead"/>
    <m/>
    <m/>
    <m/>
    <n v="1"/>
    <x v="0"/>
    <n v="0"/>
    <n v="0"/>
    <n v="0"/>
  </r>
  <r>
    <s v="LD4396"/>
    <d v="2024-07-13T00:00:00"/>
    <x v="4"/>
    <s v="Partner Program"/>
    <s v="Desktop"/>
    <s v="North America"/>
    <s v="Lead"/>
    <m/>
    <m/>
    <m/>
    <n v="1"/>
    <x v="0"/>
    <n v="0"/>
    <n v="0"/>
    <n v="0"/>
  </r>
  <r>
    <s v="LD7170"/>
    <d v="2024-12-18T00:00:00"/>
    <x v="5"/>
    <s v="Landing Page SEO"/>
    <s v="Desktop"/>
    <s v="Europe"/>
    <s v="Customer"/>
    <n v="39"/>
    <s v="Basic"/>
    <n v="1123.24"/>
    <n v="4"/>
    <x v="7"/>
    <n v="1"/>
    <n v="1"/>
    <n v="1"/>
  </r>
  <r>
    <s v="LD6764"/>
    <d v="2024-11-02T00:00:00"/>
    <x v="3"/>
    <s v="Monthly Newsletter"/>
    <s v="Desktop"/>
    <s v="Europe"/>
    <s v="Lead"/>
    <m/>
    <m/>
    <m/>
    <n v="1"/>
    <x v="2"/>
    <n v="0"/>
    <n v="0"/>
    <n v="0"/>
  </r>
  <r>
    <s v="LD7749"/>
    <d v="2024-12-02T00:00:00"/>
    <x v="2"/>
    <s v="Direct / Type-in"/>
    <s v="Desktop"/>
    <s v="North America"/>
    <s v="MQL"/>
    <m/>
    <m/>
    <m/>
    <n v="2"/>
    <x v="7"/>
    <n v="1"/>
    <n v="0"/>
    <n v="0"/>
  </r>
  <r>
    <s v="LD4289"/>
    <d v="2024-07-16T00:00:00"/>
    <x v="3"/>
    <s v="Monthly Newsletter"/>
    <s v="Tablet"/>
    <s v="Europe"/>
    <s v="MQL"/>
    <m/>
    <m/>
    <m/>
    <n v="2"/>
    <x v="0"/>
    <n v="1"/>
    <n v="0"/>
    <n v="0"/>
  </r>
  <r>
    <s v="LD1051"/>
    <d v="2024-01-09T00:00:00"/>
    <x v="5"/>
    <s v="Blog SEO"/>
    <s v="Mobile"/>
    <s v="Europe"/>
    <s v="Customer"/>
    <n v="50"/>
    <s v="Basic"/>
    <n v="1134.24"/>
    <n v="4"/>
    <x v="3"/>
    <n v="1"/>
    <n v="1"/>
    <n v="1"/>
  </r>
  <r>
    <s v="LD4766"/>
    <d v="2024-08-26T00:00:00"/>
    <x v="3"/>
    <s v="Monthly Newsletter"/>
    <s v="Desktop"/>
    <s v="North America"/>
    <s v="Lead"/>
    <m/>
    <m/>
    <m/>
    <n v="1"/>
    <x v="6"/>
    <n v="0"/>
    <n v="0"/>
    <n v="0"/>
  </r>
  <r>
    <s v="LD2023"/>
    <d v="2024-03-20T00:00:00"/>
    <x v="5"/>
    <s v="Landing Page SEO"/>
    <s v="Mobile"/>
    <s v="North America"/>
    <s v="Customer"/>
    <n v="18"/>
    <s v="Pro"/>
    <n v="3578.06"/>
    <n v="4"/>
    <x v="8"/>
    <n v="1"/>
    <n v="1"/>
    <n v="1"/>
  </r>
  <r>
    <s v="LD2198"/>
    <d v="2024-03-21T00:00:00"/>
    <x v="0"/>
    <s v="LinkedIn Ads"/>
    <s v="Mobile"/>
    <s v="Asia Pacific"/>
    <s v="Lead"/>
    <m/>
    <m/>
    <m/>
    <n v="1"/>
    <x v="8"/>
    <n v="0"/>
    <n v="0"/>
    <n v="0"/>
  </r>
  <r>
    <s v="LD7423"/>
    <d v="2024-12-25T00:00:00"/>
    <x v="0"/>
    <s v="Facebook Ads"/>
    <s v="Desktop"/>
    <s v="Europe"/>
    <s v="Lead"/>
    <m/>
    <m/>
    <m/>
    <n v="1"/>
    <x v="7"/>
    <n v="0"/>
    <n v="0"/>
    <n v="0"/>
  </r>
  <r>
    <s v="LD2413"/>
    <d v="2024-03-06T00:00:00"/>
    <x v="2"/>
    <s v="Direct / Type-in"/>
    <s v="Mobile"/>
    <s v="North America"/>
    <s v="MQL"/>
    <m/>
    <m/>
    <m/>
    <n v="2"/>
    <x v="8"/>
    <n v="1"/>
    <n v="0"/>
    <n v="0"/>
  </r>
  <r>
    <s v="LD3578"/>
    <d v="2024-06-28T00:00:00"/>
    <x v="5"/>
    <s v="Blog SEO"/>
    <s v="Mobile"/>
    <s v="Europe"/>
    <s v="Lead"/>
    <m/>
    <m/>
    <m/>
    <n v="1"/>
    <x v="11"/>
    <n v="0"/>
    <n v="0"/>
    <n v="0"/>
  </r>
  <r>
    <s v="LD3120"/>
    <d v="2024-05-15T00:00:00"/>
    <x v="1"/>
    <s v="Google Ads - Generic"/>
    <s v="Desktop"/>
    <s v="North America"/>
    <s v="Lead"/>
    <m/>
    <m/>
    <m/>
    <n v="1"/>
    <x v="4"/>
    <n v="0"/>
    <n v="0"/>
    <n v="0"/>
  </r>
  <r>
    <s v="LD7126"/>
    <d v="2024-12-24T00:00:00"/>
    <x v="5"/>
    <s v="Landing Page SEO"/>
    <s v="Desktop"/>
    <s v="Europe"/>
    <s v="MQL"/>
    <m/>
    <m/>
    <m/>
    <n v="2"/>
    <x v="7"/>
    <n v="1"/>
    <n v="0"/>
    <n v="0"/>
  </r>
  <r>
    <s v="LD3884"/>
    <d v="2024-06-24T00:00:00"/>
    <x v="3"/>
    <s v="Monthly Newsletter"/>
    <s v="Desktop"/>
    <s v="Europe"/>
    <s v="Lead"/>
    <m/>
    <m/>
    <m/>
    <n v="1"/>
    <x v="11"/>
    <n v="0"/>
    <n v="0"/>
    <n v="0"/>
  </r>
  <r>
    <s v="LD2176"/>
    <d v="2024-03-24T00:00:00"/>
    <x v="0"/>
    <s v="LinkedIn Ads"/>
    <s v="Desktop"/>
    <s v="North America"/>
    <s v="SQL"/>
    <m/>
    <m/>
    <m/>
    <n v="3"/>
    <x v="8"/>
    <n v="1"/>
    <n v="1"/>
    <n v="0"/>
  </r>
  <r>
    <s v="LD7300"/>
    <d v="2024-12-10T00:00:00"/>
    <x v="1"/>
    <s v="Google Ads - Generic"/>
    <s v="Desktop"/>
    <s v="Asia Pacific"/>
    <s v="Lead"/>
    <m/>
    <m/>
    <m/>
    <n v="1"/>
    <x v="7"/>
    <n v="0"/>
    <n v="0"/>
    <n v="0"/>
  </r>
  <r>
    <s v="LD5625"/>
    <d v="2024-10-05T00:00:00"/>
    <x v="5"/>
    <s v="Landing Page SEO"/>
    <s v="Desktop"/>
    <s v="North America"/>
    <s v="Lead"/>
    <m/>
    <m/>
    <m/>
    <n v="1"/>
    <x v="5"/>
    <n v="0"/>
    <n v="0"/>
    <n v="0"/>
  </r>
  <r>
    <s v="LD6929"/>
    <d v="2024-11-25T00:00:00"/>
    <x v="4"/>
    <s v="Affiliate Program"/>
    <s v="Mobile"/>
    <s v="North America"/>
    <s v="Lead"/>
    <m/>
    <m/>
    <m/>
    <n v="1"/>
    <x v="2"/>
    <n v="0"/>
    <n v="0"/>
    <n v="0"/>
  </r>
  <r>
    <s v="LD2085"/>
    <d v="2024-03-28T00:00:00"/>
    <x v="1"/>
    <s v="Google Ads - Brand"/>
    <s v="Desktop"/>
    <s v="Asia Pacific"/>
    <s v="Lead"/>
    <m/>
    <m/>
    <m/>
    <n v="1"/>
    <x v="8"/>
    <n v="0"/>
    <n v="0"/>
    <n v="0"/>
  </r>
  <r>
    <s v="LD5272"/>
    <d v="2024-09-02T00:00:00"/>
    <x v="0"/>
    <s v="Instagram Ads"/>
    <s v="Desktop"/>
    <s v="North America"/>
    <s v="MQL"/>
    <m/>
    <m/>
    <m/>
    <n v="2"/>
    <x v="9"/>
    <n v="1"/>
    <n v="0"/>
    <n v="0"/>
  </r>
  <r>
    <s v="LD6665"/>
    <d v="2024-11-19T00:00:00"/>
    <x v="0"/>
    <s v="Instagram Ads"/>
    <s v="Mobile"/>
    <s v="Asia Pacific"/>
    <s v="Lead"/>
    <m/>
    <m/>
    <m/>
    <n v="1"/>
    <x v="2"/>
    <n v="0"/>
    <n v="0"/>
    <n v="0"/>
  </r>
  <r>
    <s v="LD1834"/>
    <d v="2024-02-25T00:00:00"/>
    <x v="4"/>
    <s v="Affiliate Program"/>
    <s v="Mobile"/>
    <s v="Europe"/>
    <s v="SQL"/>
    <m/>
    <m/>
    <m/>
    <n v="3"/>
    <x v="10"/>
    <n v="1"/>
    <n v="1"/>
    <n v="0"/>
  </r>
  <r>
    <s v="LD7544"/>
    <d v="2024-12-23T00:00:00"/>
    <x v="3"/>
    <s v="Monthly Newsletter"/>
    <s v="Desktop"/>
    <s v="North America"/>
    <s v="Lead"/>
    <m/>
    <m/>
    <m/>
    <n v="1"/>
    <x v="7"/>
    <n v="0"/>
    <n v="0"/>
    <n v="0"/>
  </r>
  <r>
    <s v="LD7251"/>
    <d v="2024-12-28T00:00:00"/>
    <x v="1"/>
    <s v="Google Ads - Generic"/>
    <s v="Mobile"/>
    <s v="Asia Pacific"/>
    <s v="Lead"/>
    <m/>
    <m/>
    <m/>
    <n v="1"/>
    <x v="7"/>
    <n v="0"/>
    <n v="0"/>
    <n v="0"/>
  </r>
  <r>
    <s v="LD7755"/>
    <d v="2024-12-26T00:00:00"/>
    <x v="2"/>
    <s v="Direct / Type-in"/>
    <s v="Desktop"/>
    <s v="Asia Pacific"/>
    <s v="SQL"/>
    <m/>
    <m/>
    <m/>
    <n v="3"/>
    <x v="7"/>
    <n v="1"/>
    <n v="1"/>
    <n v="0"/>
  </r>
  <r>
    <s v="LD2324"/>
    <d v="2024-03-25T00:00:00"/>
    <x v="4"/>
    <s v="Affiliate Program"/>
    <s v="Desktop"/>
    <s v="Europe"/>
    <s v="SQL"/>
    <m/>
    <m/>
    <m/>
    <n v="3"/>
    <x v="8"/>
    <n v="1"/>
    <n v="1"/>
    <n v="0"/>
  </r>
  <r>
    <s v="LD3304"/>
    <d v="2024-05-16T00:00:00"/>
    <x v="3"/>
    <s v="Promo Blast"/>
    <s v="Desktop"/>
    <s v="Europe"/>
    <s v="MQL"/>
    <m/>
    <m/>
    <m/>
    <n v="2"/>
    <x v="4"/>
    <n v="1"/>
    <n v="0"/>
    <n v="0"/>
  </r>
  <r>
    <s v="LD1593"/>
    <d v="2024-02-18T00:00:00"/>
    <x v="1"/>
    <s v="Google Ads - Brand"/>
    <s v="Desktop"/>
    <s v="Europe"/>
    <s v="Lead"/>
    <m/>
    <m/>
    <m/>
    <n v="1"/>
    <x v="10"/>
    <n v="0"/>
    <n v="0"/>
    <n v="0"/>
  </r>
  <r>
    <s v="LD6821"/>
    <d v="2024-11-13T00:00:00"/>
    <x v="3"/>
    <s v="Monthly Newsletter"/>
    <s v="Mobile"/>
    <s v="Asia Pacific"/>
    <s v="Lead"/>
    <m/>
    <m/>
    <m/>
    <n v="1"/>
    <x v="2"/>
    <n v="0"/>
    <n v="0"/>
    <n v="0"/>
  </r>
  <r>
    <s v="LD2560"/>
    <d v="2024-04-05T00:00:00"/>
    <x v="5"/>
    <s v="Landing Page SEO"/>
    <s v="Mobile"/>
    <s v="Asia Pacific"/>
    <s v="MQL"/>
    <m/>
    <m/>
    <m/>
    <n v="2"/>
    <x v="1"/>
    <n v="1"/>
    <n v="0"/>
    <n v="0"/>
  </r>
  <r>
    <s v="LD1231"/>
    <d v="2024-01-03T00:00:00"/>
    <x v="0"/>
    <s v="Instagram Ads"/>
    <s v="Mobile"/>
    <s v="North America"/>
    <s v="MQL"/>
    <m/>
    <m/>
    <m/>
    <n v="2"/>
    <x v="3"/>
    <n v="1"/>
    <n v="0"/>
    <n v="0"/>
  </r>
  <r>
    <s v="LD2742"/>
    <d v="2024-04-03T00:00:00"/>
    <x v="3"/>
    <s v="Promo Blast"/>
    <s v="Desktop"/>
    <s v="Asia Pacific"/>
    <s v="Lead"/>
    <m/>
    <m/>
    <m/>
    <n v="1"/>
    <x v="1"/>
    <n v="0"/>
    <n v="0"/>
    <n v="0"/>
  </r>
  <r>
    <s v="LD3654"/>
    <d v="2024-06-08T00:00:00"/>
    <x v="1"/>
    <s v="Google Ads - Generic"/>
    <s v="Desktop"/>
    <s v="Europe"/>
    <s v="Lead"/>
    <m/>
    <m/>
    <m/>
    <n v="1"/>
    <x v="11"/>
    <n v="0"/>
    <n v="0"/>
    <n v="0"/>
  </r>
  <r>
    <s v="LD2434"/>
    <d v="2024-03-11T00:00:00"/>
    <x v="2"/>
    <s v="Direct / Type-in"/>
    <s v="Desktop"/>
    <s v="North America"/>
    <s v="Lead"/>
    <m/>
    <m/>
    <m/>
    <n v="1"/>
    <x v="8"/>
    <n v="0"/>
    <n v="0"/>
    <n v="0"/>
  </r>
  <r>
    <s v="LD3901"/>
    <d v="2024-06-02T00:00:00"/>
    <x v="3"/>
    <s v="Monthly Newsletter"/>
    <s v="Mobile"/>
    <s v="North America"/>
    <s v="SQL"/>
    <m/>
    <m/>
    <m/>
    <n v="3"/>
    <x v="11"/>
    <n v="1"/>
    <n v="1"/>
    <n v="0"/>
  </r>
  <r>
    <s v="LD4919"/>
    <d v="2024-08-02T00:00:00"/>
    <x v="4"/>
    <s v="Affiliate Program"/>
    <s v="Desktop"/>
    <s v="Europe"/>
    <s v="SQL"/>
    <m/>
    <m/>
    <m/>
    <n v="3"/>
    <x v="6"/>
    <n v="1"/>
    <n v="1"/>
    <n v="0"/>
  </r>
  <r>
    <s v="LD1469"/>
    <d v="2024-01-28T00:00:00"/>
    <x v="2"/>
    <s v="Direct / Type-in"/>
    <s v="Mobile"/>
    <s v="Europe"/>
    <s v="MQL"/>
    <m/>
    <m/>
    <m/>
    <n v="2"/>
    <x v="3"/>
    <n v="1"/>
    <n v="0"/>
    <n v="0"/>
  </r>
  <r>
    <s v="LD4297"/>
    <d v="2024-07-15T00:00:00"/>
    <x v="3"/>
    <s v="Promo Blast"/>
    <s v="Mobile"/>
    <s v="Asia Pacific"/>
    <s v="MQL"/>
    <m/>
    <m/>
    <m/>
    <n v="2"/>
    <x v="0"/>
    <n v="1"/>
    <n v="0"/>
    <n v="0"/>
  </r>
  <r>
    <s v="LD4136"/>
    <d v="2024-07-14T00:00:00"/>
    <x v="1"/>
    <s v="Google Ads - Brand"/>
    <s v="Desktop"/>
    <s v="North America"/>
    <s v="Lead"/>
    <m/>
    <m/>
    <m/>
    <n v="1"/>
    <x v="0"/>
    <n v="0"/>
    <n v="0"/>
    <n v="0"/>
  </r>
  <r>
    <s v="LD4324"/>
    <d v="2024-07-15T00:00:00"/>
    <x v="3"/>
    <s v="Monthly Newsletter"/>
    <s v="Mobile"/>
    <s v="Europe"/>
    <s v="Lead"/>
    <m/>
    <m/>
    <m/>
    <n v="1"/>
    <x v="0"/>
    <n v="0"/>
    <n v="0"/>
    <n v="0"/>
  </r>
  <r>
    <s v="LD1801"/>
    <d v="2024-02-21T00:00:00"/>
    <x v="3"/>
    <s v="Promo Blast"/>
    <s v="Mobile"/>
    <s v="North America"/>
    <s v="MQL"/>
    <m/>
    <m/>
    <m/>
    <n v="2"/>
    <x v="10"/>
    <n v="1"/>
    <n v="0"/>
    <n v="0"/>
  </r>
  <r>
    <s v="LD7671"/>
    <d v="2024-12-01T00:00:00"/>
    <x v="4"/>
    <s v="Affiliate Program"/>
    <s v="Mobile"/>
    <s v="Europe"/>
    <s v="SQL"/>
    <m/>
    <m/>
    <m/>
    <n v="3"/>
    <x v="7"/>
    <n v="1"/>
    <n v="1"/>
    <n v="0"/>
  </r>
  <r>
    <s v="LD1535"/>
    <d v="2024-02-18T00:00:00"/>
    <x v="5"/>
    <s v="Landing Page SEO"/>
    <s v="Desktop"/>
    <s v="North America"/>
    <s v="MQL"/>
    <m/>
    <m/>
    <m/>
    <n v="2"/>
    <x v="10"/>
    <n v="1"/>
    <n v="0"/>
    <n v="0"/>
  </r>
  <r>
    <s v="LD6332"/>
    <d v="2024-11-08T00:00:00"/>
    <x v="5"/>
    <s v="Landing Page SEO"/>
    <s v="Mobile"/>
    <s v="Europe"/>
    <s v="Lead"/>
    <m/>
    <m/>
    <m/>
    <n v="1"/>
    <x v="2"/>
    <n v="0"/>
    <n v="0"/>
    <n v="0"/>
  </r>
  <r>
    <s v="LD5012"/>
    <d v="2024-08-07T00:00:00"/>
    <x v="2"/>
    <s v="Direct / Type-in"/>
    <s v="Desktop"/>
    <s v="North America"/>
    <s v="Lead"/>
    <m/>
    <m/>
    <m/>
    <n v="1"/>
    <x v="6"/>
    <n v="0"/>
    <n v="0"/>
    <n v="0"/>
  </r>
  <r>
    <s v="LD7503"/>
    <d v="2024-12-16T00:00:00"/>
    <x v="3"/>
    <s v="Monthly Newsletter"/>
    <s v="Tablet"/>
    <s v="North America"/>
    <s v="Lead"/>
    <m/>
    <m/>
    <m/>
    <n v="1"/>
    <x v="7"/>
    <n v="0"/>
    <n v="0"/>
    <n v="0"/>
  </r>
  <r>
    <s v="LD2840"/>
    <d v="2024-04-02T00:00:00"/>
    <x v="3"/>
    <s v="Monthly Newsletter"/>
    <s v="Desktop"/>
    <s v="Asia Pacific"/>
    <s v="MQL"/>
    <m/>
    <m/>
    <m/>
    <n v="2"/>
    <x v="1"/>
    <n v="1"/>
    <n v="0"/>
    <n v="0"/>
  </r>
  <r>
    <s v="LD6689"/>
    <d v="2024-11-11T00:00:00"/>
    <x v="0"/>
    <s v="Instagram Ads"/>
    <s v="Mobile"/>
    <s v="Asia Pacific"/>
    <s v="Lead"/>
    <m/>
    <m/>
    <m/>
    <n v="1"/>
    <x v="2"/>
    <n v="0"/>
    <n v="0"/>
    <n v="0"/>
  </r>
  <r>
    <s v="LD6474"/>
    <d v="2024-11-22T00:00:00"/>
    <x v="1"/>
    <s v="Google Ads - Brand"/>
    <s v="Mobile"/>
    <s v="Asia Pacific"/>
    <s v="Lead"/>
    <m/>
    <m/>
    <m/>
    <n v="1"/>
    <x v="2"/>
    <n v="0"/>
    <n v="0"/>
    <n v="0"/>
  </r>
  <r>
    <s v="LD6544"/>
    <d v="2024-11-07T00:00:00"/>
    <x v="1"/>
    <s v="Google Ads - Brand"/>
    <s v="Desktop"/>
    <s v="North America"/>
    <s v="Lead"/>
    <m/>
    <m/>
    <m/>
    <n v="1"/>
    <x v="2"/>
    <n v="0"/>
    <n v="0"/>
    <n v="0"/>
  </r>
  <r>
    <s v="LD4796"/>
    <d v="2024-08-02T00:00:00"/>
    <x v="3"/>
    <s v="Monthly Newsletter"/>
    <s v="Desktop"/>
    <s v="Asia Pacific"/>
    <s v="Lead"/>
    <m/>
    <m/>
    <m/>
    <n v="1"/>
    <x v="6"/>
    <n v="0"/>
    <n v="0"/>
    <n v="0"/>
  </r>
  <r>
    <s v="LD7756"/>
    <d v="2024-12-26T00:00:00"/>
    <x v="2"/>
    <s v="Direct / Type-in"/>
    <s v="Mobile"/>
    <s v="Latin America"/>
    <s v="Lead"/>
    <m/>
    <m/>
    <m/>
    <n v="1"/>
    <x v="7"/>
    <n v="0"/>
    <n v="0"/>
    <n v="0"/>
  </r>
  <r>
    <s v="LD3390"/>
    <d v="2024-05-09T00:00:00"/>
    <x v="3"/>
    <s v="Monthly Newsletter"/>
    <s v="Desktop"/>
    <s v="Europe"/>
    <s v="SQL"/>
    <m/>
    <m/>
    <m/>
    <n v="3"/>
    <x v="4"/>
    <n v="1"/>
    <n v="1"/>
    <n v="0"/>
  </r>
  <r>
    <s v="LD6763"/>
    <d v="2024-11-10T00:00:00"/>
    <x v="3"/>
    <s v="Monthly Newsletter"/>
    <s v="Desktop"/>
    <s v="Latin America"/>
    <s v="MQL"/>
    <m/>
    <m/>
    <m/>
    <n v="2"/>
    <x v="2"/>
    <n v="1"/>
    <n v="0"/>
    <n v="0"/>
  </r>
  <r>
    <s v="LD3478"/>
    <d v="2024-05-19T00:00:00"/>
    <x v="4"/>
    <s v="Affiliate Program"/>
    <s v="Desktop"/>
    <s v="North America"/>
    <s v="SQL"/>
    <m/>
    <m/>
    <m/>
    <n v="3"/>
    <x v="4"/>
    <n v="1"/>
    <n v="1"/>
    <n v="0"/>
  </r>
  <r>
    <s v="LD6119"/>
    <d v="2024-10-09T00:00:00"/>
    <x v="3"/>
    <s v="Promo Blast"/>
    <s v="Mobile"/>
    <s v="Asia Pacific"/>
    <s v="Lead"/>
    <m/>
    <m/>
    <m/>
    <n v="1"/>
    <x v="5"/>
    <n v="0"/>
    <n v="0"/>
    <n v="0"/>
  </r>
  <r>
    <s v="LD6187"/>
    <d v="2024-10-17T00:00:00"/>
    <x v="4"/>
    <s v="Affiliate Program"/>
    <s v="Mobile"/>
    <s v="Asia Pacific"/>
    <s v="SQL"/>
    <m/>
    <m/>
    <m/>
    <n v="3"/>
    <x v="5"/>
    <n v="1"/>
    <n v="1"/>
    <n v="0"/>
  </r>
  <r>
    <s v="LD3155"/>
    <d v="2024-05-05T00:00:00"/>
    <x v="1"/>
    <s v="Google Ads - Generic"/>
    <s v="Mobile"/>
    <s v="North America"/>
    <s v="Lead"/>
    <m/>
    <m/>
    <m/>
    <n v="1"/>
    <x v="4"/>
    <n v="0"/>
    <n v="0"/>
    <n v="0"/>
  </r>
  <r>
    <s v="LD2502"/>
    <d v="2024-04-07T00:00:00"/>
    <x v="5"/>
    <s v="Landing Page SEO"/>
    <s v="Desktop"/>
    <s v="North America"/>
    <s v="Lead"/>
    <m/>
    <m/>
    <m/>
    <n v="1"/>
    <x v="1"/>
    <n v="0"/>
    <n v="0"/>
    <n v="0"/>
  </r>
  <r>
    <s v="LD4207"/>
    <d v="2024-07-22T00:00:00"/>
    <x v="1"/>
    <s v="Google Ads - Brand"/>
    <s v="Desktop"/>
    <s v="Europe"/>
    <s v="SQL"/>
    <m/>
    <m/>
    <m/>
    <n v="3"/>
    <x v="0"/>
    <n v="1"/>
    <n v="1"/>
    <n v="0"/>
  </r>
  <r>
    <s v="LD1240"/>
    <d v="2024-01-20T00:00:00"/>
    <x v="3"/>
    <s v="Promo Blast"/>
    <s v="Mobile"/>
    <s v="Europe"/>
    <s v="SQL"/>
    <m/>
    <m/>
    <m/>
    <n v="3"/>
    <x v="3"/>
    <n v="1"/>
    <n v="1"/>
    <n v="0"/>
  </r>
  <r>
    <s v="LD5056"/>
    <d v="2024-09-14T00:00:00"/>
    <x v="5"/>
    <s v="Landing Page SEO"/>
    <s v="Desktop"/>
    <s v="Asia Pacific"/>
    <s v="Lead"/>
    <m/>
    <m/>
    <m/>
    <n v="1"/>
    <x v="9"/>
    <n v="0"/>
    <n v="0"/>
    <n v="0"/>
  </r>
  <r>
    <s v="LD2515"/>
    <d v="2024-04-26T00:00:00"/>
    <x v="5"/>
    <s v="Landing Page SEO"/>
    <s v="Desktop"/>
    <s v="Asia Pacific"/>
    <s v="MQL"/>
    <m/>
    <m/>
    <m/>
    <n v="2"/>
    <x v="1"/>
    <n v="1"/>
    <n v="0"/>
    <n v="0"/>
  </r>
  <r>
    <s v="LD3927"/>
    <d v="2024-06-06T00:00:00"/>
    <x v="4"/>
    <s v="Partner Program"/>
    <s v="Mobile"/>
    <s v="North America"/>
    <s v="SQL"/>
    <m/>
    <m/>
    <m/>
    <n v="3"/>
    <x v="11"/>
    <n v="1"/>
    <n v="1"/>
    <n v="0"/>
  </r>
  <r>
    <s v="LD6433"/>
    <d v="2024-11-26T00:00:00"/>
    <x v="5"/>
    <s v="Landing Page SEO"/>
    <s v="Desktop"/>
    <s v="Latin America"/>
    <s v="SQL"/>
    <m/>
    <m/>
    <m/>
    <n v="3"/>
    <x v="2"/>
    <n v="1"/>
    <n v="1"/>
    <n v="0"/>
  </r>
  <r>
    <s v="LD5862"/>
    <d v="2024-10-27T00:00:00"/>
    <x v="0"/>
    <s v="Facebook Ads"/>
    <s v="Desktop"/>
    <s v="Asia Pacific"/>
    <s v="MQL"/>
    <m/>
    <m/>
    <m/>
    <n v="2"/>
    <x v="5"/>
    <n v="1"/>
    <n v="0"/>
    <n v="0"/>
  </r>
  <r>
    <s v="LD1133"/>
    <d v="2024-01-09T00:00:00"/>
    <x v="1"/>
    <s v="Google Ads - Generic"/>
    <s v="Desktop"/>
    <s v="Europe"/>
    <s v="Lead"/>
    <m/>
    <m/>
    <m/>
    <n v="1"/>
    <x v="3"/>
    <n v="0"/>
    <n v="0"/>
    <n v="0"/>
  </r>
  <r>
    <s v="LD7628"/>
    <d v="2024-12-28T00:00:00"/>
    <x v="4"/>
    <s v="Partner Program"/>
    <s v="Mobile"/>
    <s v="North America"/>
    <s v="Lead"/>
    <m/>
    <m/>
    <m/>
    <n v="1"/>
    <x v="7"/>
    <n v="0"/>
    <n v="0"/>
    <n v="0"/>
  </r>
  <r>
    <s v="LD1539"/>
    <d v="2024-02-12T00:00:00"/>
    <x v="5"/>
    <s v="Landing Page SEO"/>
    <s v="Mobile"/>
    <s v="North America"/>
    <s v="MQL"/>
    <m/>
    <m/>
    <m/>
    <n v="2"/>
    <x v="10"/>
    <n v="1"/>
    <n v="0"/>
    <n v="0"/>
  </r>
  <r>
    <s v="LD2787"/>
    <d v="2024-04-02T00:00:00"/>
    <x v="3"/>
    <s v="Promo Blast"/>
    <s v="Desktop"/>
    <s v="North America"/>
    <s v="Lead"/>
    <m/>
    <m/>
    <m/>
    <n v="1"/>
    <x v="1"/>
    <n v="0"/>
    <n v="0"/>
    <n v="0"/>
  </r>
  <r>
    <s v="LD5175"/>
    <d v="2024-09-28T00:00:00"/>
    <x v="1"/>
    <s v="Google Ads - Brand"/>
    <s v="Mobile"/>
    <s v="Europe"/>
    <s v="Lead"/>
    <m/>
    <m/>
    <m/>
    <n v="1"/>
    <x v="9"/>
    <n v="0"/>
    <n v="0"/>
    <n v="0"/>
  </r>
  <r>
    <s v="LD4154"/>
    <d v="2024-07-10T00:00:00"/>
    <x v="1"/>
    <s v="Google Ads - Brand"/>
    <s v="Mobile"/>
    <s v="Latin America"/>
    <s v="MQL"/>
    <m/>
    <m/>
    <m/>
    <n v="2"/>
    <x v="0"/>
    <n v="1"/>
    <n v="0"/>
    <n v="0"/>
  </r>
  <r>
    <s v="LD7748"/>
    <d v="2024-12-22T00:00:00"/>
    <x v="2"/>
    <s v="Direct / Type-in"/>
    <s v="Desktop"/>
    <s v="North America"/>
    <s v="SQL"/>
    <m/>
    <m/>
    <m/>
    <n v="3"/>
    <x v="7"/>
    <n v="1"/>
    <n v="1"/>
    <n v="0"/>
  </r>
  <r>
    <s v="LD7049"/>
    <d v="2024-11-13T00:00:00"/>
    <x v="2"/>
    <s v="Direct / Type-in"/>
    <s v="Desktop"/>
    <s v="North America"/>
    <s v="Lead"/>
    <m/>
    <m/>
    <m/>
    <n v="1"/>
    <x v="2"/>
    <n v="0"/>
    <n v="0"/>
    <n v="0"/>
  </r>
  <r>
    <s v="LD1379"/>
    <d v="2024-01-24T00:00:00"/>
    <x v="4"/>
    <s v="Partner Program"/>
    <s v="Mobile"/>
    <s v="Asia Pacific"/>
    <s v="Lead"/>
    <m/>
    <m/>
    <m/>
    <n v="1"/>
    <x v="3"/>
    <n v="0"/>
    <n v="0"/>
    <n v="0"/>
  </r>
  <r>
    <s v="LD4195"/>
    <d v="2024-07-28T00:00:00"/>
    <x v="1"/>
    <s v="Google Ads - Generic"/>
    <s v="Desktop"/>
    <s v="Latin America"/>
    <s v="Lead"/>
    <m/>
    <m/>
    <m/>
    <n v="1"/>
    <x v="0"/>
    <n v="0"/>
    <n v="0"/>
    <n v="0"/>
  </r>
  <r>
    <s v="LD4358"/>
    <d v="2024-07-06T00:00:00"/>
    <x v="3"/>
    <s v="Monthly Newsletter"/>
    <s v="Desktop"/>
    <s v="North America"/>
    <s v="Lead"/>
    <m/>
    <m/>
    <m/>
    <n v="1"/>
    <x v="0"/>
    <n v="0"/>
    <n v="0"/>
    <n v="0"/>
  </r>
  <r>
    <s v="LD7579"/>
    <d v="2024-12-04T00:00:00"/>
    <x v="3"/>
    <s v="Promo Blast"/>
    <s v="Tablet"/>
    <s v="North America"/>
    <s v="MQL"/>
    <m/>
    <m/>
    <m/>
    <n v="2"/>
    <x v="7"/>
    <n v="1"/>
    <n v="0"/>
    <n v="0"/>
  </r>
  <r>
    <s v="LD5648"/>
    <d v="2024-10-27T00:00:00"/>
    <x v="5"/>
    <s v="Landing Page SEO"/>
    <s v="Desktop"/>
    <s v="Europe"/>
    <s v="Lead"/>
    <m/>
    <m/>
    <m/>
    <n v="1"/>
    <x v="5"/>
    <n v="0"/>
    <n v="0"/>
    <n v="0"/>
  </r>
  <r>
    <s v="LD5835"/>
    <d v="2024-10-16T00:00:00"/>
    <x v="1"/>
    <s v="Google Ads - Generic"/>
    <s v="Mobile"/>
    <s v="North America"/>
    <s v="Customer"/>
    <n v="22"/>
    <s v="Pro"/>
    <n v="2041.58"/>
    <n v="4"/>
    <x v="5"/>
    <n v="1"/>
    <n v="1"/>
    <n v="1"/>
  </r>
  <r>
    <s v="LD4683"/>
    <d v="2024-08-14T00:00:00"/>
    <x v="0"/>
    <s v="LinkedIn Ads"/>
    <s v="Desktop"/>
    <s v="North America"/>
    <s v="Lead"/>
    <m/>
    <m/>
    <m/>
    <n v="1"/>
    <x v="6"/>
    <n v="0"/>
    <n v="0"/>
    <n v="0"/>
  </r>
  <r>
    <s v="LD4443"/>
    <d v="2024-07-17T00:00:00"/>
    <x v="4"/>
    <s v="Affiliate Program"/>
    <s v="Mobile"/>
    <s v="Latin America"/>
    <s v="Lead"/>
    <m/>
    <m/>
    <m/>
    <n v="1"/>
    <x v="0"/>
    <n v="0"/>
    <n v="0"/>
    <n v="0"/>
  </r>
  <r>
    <s v="LD1180"/>
    <d v="2024-01-16T00:00:00"/>
    <x v="0"/>
    <s v="Instagram Ads"/>
    <s v="Mobile"/>
    <s v="North America"/>
    <s v="MQL"/>
    <m/>
    <m/>
    <m/>
    <n v="2"/>
    <x v="3"/>
    <n v="1"/>
    <n v="0"/>
    <n v="0"/>
  </r>
  <r>
    <s v="LD6293"/>
    <d v="2024-10-21T00:00:00"/>
    <x v="2"/>
    <s v="Direct / Type-in"/>
    <s v="Desktop"/>
    <s v="Latin America"/>
    <s v="Lead"/>
    <m/>
    <m/>
    <m/>
    <n v="1"/>
    <x v="5"/>
    <n v="0"/>
    <n v="0"/>
    <n v="0"/>
  </r>
  <r>
    <s v="LD4384"/>
    <d v="2024-07-21T00:00:00"/>
    <x v="4"/>
    <s v="Partner Program"/>
    <s v="Mobile"/>
    <s v="Asia Pacific"/>
    <s v="Customer"/>
    <n v="63"/>
    <s v="Enterprise"/>
    <n v="6751.68"/>
    <n v="4"/>
    <x v="0"/>
    <n v="1"/>
    <n v="1"/>
    <n v="1"/>
  </r>
  <r>
    <s v="LD3523"/>
    <d v="2024-05-18T00:00:00"/>
    <x v="2"/>
    <s v="Direct / Type-in"/>
    <s v="Desktop"/>
    <s v="Latin America"/>
    <s v="Lead"/>
    <m/>
    <m/>
    <m/>
    <n v="1"/>
    <x v="4"/>
    <n v="0"/>
    <n v="0"/>
    <n v="0"/>
  </r>
  <r>
    <s v="LD3465"/>
    <d v="2024-05-16T00:00:00"/>
    <x v="4"/>
    <s v="Affiliate Program"/>
    <s v="Mobile"/>
    <s v="Asia Pacific"/>
    <s v="MQL"/>
    <m/>
    <m/>
    <m/>
    <n v="2"/>
    <x v="4"/>
    <n v="1"/>
    <n v="0"/>
    <n v="0"/>
  </r>
  <r>
    <s v="LD3376"/>
    <d v="2024-05-07T00:00:00"/>
    <x v="3"/>
    <s v="Monthly Newsletter"/>
    <s v="Tablet"/>
    <s v="Europe"/>
    <s v="MQL"/>
    <m/>
    <m/>
    <m/>
    <n v="2"/>
    <x v="4"/>
    <n v="1"/>
    <n v="0"/>
    <n v="0"/>
  </r>
  <r>
    <s v="LD4540"/>
    <d v="2024-08-24T00:00:00"/>
    <x v="5"/>
    <s v="Landing Page SEO"/>
    <s v="Desktop"/>
    <s v="Europe"/>
    <s v="Lead"/>
    <m/>
    <m/>
    <m/>
    <n v="1"/>
    <x v="6"/>
    <n v="0"/>
    <n v="0"/>
    <n v="0"/>
  </r>
  <r>
    <s v="LD5935"/>
    <d v="2024-10-02T00:00:00"/>
    <x v="0"/>
    <s v="Facebook Ads"/>
    <s v="Tablet"/>
    <s v="Latin America"/>
    <s v="MQL"/>
    <m/>
    <m/>
    <m/>
    <n v="2"/>
    <x v="5"/>
    <n v="1"/>
    <n v="0"/>
    <n v="0"/>
  </r>
  <r>
    <s v="LD2671"/>
    <d v="2024-04-16T00:00:00"/>
    <x v="0"/>
    <s v="Facebook Ads"/>
    <s v="Mobile"/>
    <s v="Europe"/>
    <s v="SQL"/>
    <m/>
    <m/>
    <m/>
    <n v="3"/>
    <x v="1"/>
    <n v="1"/>
    <n v="1"/>
    <n v="0"/>
  </r>
  <r>
    <s v="LD5318"/>
    <d v="2024-09-11T00:00:00"/>
    <x v="3"/>
    <s v="Promo Blast"/>
    <s v="Mobile"/>
    <s v="Asia Pacific"/>
    <s v="SQL"/>
    <m/>
    <m/>
    <m/>
    <n v="3"/>
    <x v="9"/>
    <n v="1"/>
    <n v="1"/>
    <n v="0"/>
  </r>
  <r>
    <s v="LD5740"/>
    <d v="2024-10-06T00:00:00"/>
    <x v="1"/>
    <s v="Google Ads - Brand"/>
    <s v="Tablet"/>
    <s v="North America"/>
    <s v="Lead"/>
    <m/>
    <m/>
    <m/>
    <n v="1"/>
    <x v="5"/>
    <n v="0"/>
    <n v="0"/>
    <n v="0"/>
  </r>
  <r>
    <s v="LD6657"/>
    <d v="2024-11-12T00:00:00"/>
    <x v="0"/>
    <s v="Instagram Ads"/>
    <s v="Desktop"/>
    <s v="Europe"/>
    <s v="MQL"/>
    <m/>
    <m/>
    <m/>
    <n v="2"/>
    <x v="2"/>
    <n v="1"/>
    <n v="0"/>
    <n v="0"/>
  </r>
  <r>
    <s v="LD2006"/>
    <d v="2024-03-11T00:00:00"/>
    <x v="5"/>
    <s v="Landing Page SEO"/>
    <s v="Desktop"/>
    <s v="Europe"/>
    <s v="Lead"/>
    <m/>
    <m/>
    <m/>
    <n v="1"/>
    <x v="8"/>
    <n v="0"/>
    <n v="0"/>
    <n v="0"/>
  </r>
  <r>
    <s v="LD2164"/>
    <d v="2024-03-08T00:00:00"/>
    <x v="0"/>
    <s v="Facebook Ads"/>
    <s v="Mobile"/>
    <s v="Asia Pacific"/>
    <s v="Lead"/>
    <m/>
    <m/>
    <m/>
    <n v="1"/>
    <x v="8"/>
    <n v="0"/>
    <n v="0"/>
    <n v="0"/>
  </r>
  <r>
    <s v="LD4615"/>
    <d v="2024-08-01T00:00:00"/>
    <x v="1"/>
    <s v="Google Ads - Generic"/>
    <s v="Mobile"/>
    <s v="Europe"/>
    <s v="MQL"/>
    <m/>
    <m/>
    <m/>
    <n v="2"/>
    <x v="6"/>
    <n v="1"/>
    <n v="0"/>
    <n v="0"/>
  </r>
  <r>
    <s v="LD6702"/>
    <d v="2024-11-08T00:00:00"/>
    <x v="3"/>
    <s v="Promo Blast"/>
    <s v="Desktop"/>
    <s v="Latin America"/>
    <s v="Lead"/>
    <m/>
    <m/>
    <m/>
    <n v="1"/>
    <x v="2"/>
    <n v="0"/>
    <n v="0"/>
    <n v="0"/>
  </r>
  <r>
    <s v="LD3365"/>
    <d v="2024-05-12T00:00:00"/>
    <x v="3"/>
    <s v="Monthly Newsletter"/>
    <s v="Desktop"/>
    <s v="North America"/>
    <s v="Customer"/>
    <n v="70"/>
    <s v="Pro"/>
    <n v="2957.21"/>
    <n v="4"/>
    <x v="4"/>
    <n v="1"/>
    <n v="1"/>
    <n v="1"/>
  </r>
  <r>
    <s v="LD5801"/>
    <d v="2024-10-23T00:00:00"/>
    <x v="1"/>
    <s v="Google Ads - Brand"/>
    <s v="Mobile"/>
    <s v="Latin America"/>
    <s v="MQL"/>
    <m/>
    <m/>
    <m/>
    <n v="2"/>
    <x v="5"/>
    <n v="1"/>
    <n v="0"/>
    <n v="0"/>
  </r>
  <r>
    <s v="LD5007"/>
    <d v="2024-08-08T00:00:00"/>
    <x v="2"/>
    <s v="Direct / Type-in"/>
    <s v="Mobile"/>
    <s v="Europe"/>
    <s v="MQL"/>
    <m/>
    <m/>
    <m/>
    <n v="2"/>
    <x v="6"/>
    <n v="1"/>
    <n v="0"/>
    <n v="0"/>
  </r>
  <r>
    <s v="LD4403"/>
    <d v="2024-07-01T00:00:00"/>
    <x v="4"/>
    <s v="Partner Program"/>
    <s v="Desktop"/>
    <s v="North America"/>
    <s v="SQL"/>
    <m/>
    <m/>
    <m/>
    <n v="3"/>
    <x v="0"/>
    <n v="1"/>
    <n v="1"/>
    <n v="0"/>
  </r>
  <r>
    <s v="LD2873"/>
    <d v="2024-04-02T00:00:00"/>
    <x v="4"/>
    <s v="Affiliate Program"/>
    <s v="Desktop"/>
    <s v="Asia Pacific"/>
    <s v="SQL"/>
    <m/>
    <m/>
    <m/>
    <n v="3"/>
    <x v="1"/>
    <n v="1"/>
    <n v="1"/>
    <n v="0"/>
  </r>
  <r>
    <s v="LD4936"/>
    <d v="2024-08-10T00:00:00"/>
    <x v="4"/>
    <s v="Partner Program"/>
    <s v="Desktop"/>
    <s v="Europe"/>
    <s v="Lead"/>
    <m/>
    <m/>
    <m/>
    <n v="1"/>
    <x v="6"/>
    <n v="0"/>
    <n v="0"/>
    <n v="0"/>
  </r>
  <r>
    <s v="LD1545"/>
    <d v="2024-02-03T00:00:00"/>
    <x v="5"/>
    <s v="Landing Page SEO"/>
    <s v="Desktop"/>
    <s v="North America"/>
    <s v="Customer"/>
    <n v="20"/>
    <s v="Pro"/>
    <n v="1668.52"/>
    <n v="4"/>
    <x v="10"/>
    <n v="1"/>
    <n v="1"/>
    <n v="1"/>
  </r>
  <r>
    <s v="LD3759"/>
    <d v="2024-06-04T00:00:00"/>
    <x v="0"/>
    <s v="Instagram Ads"/>
    <s v="Mobile"/>
    <s v="Latin America"/>
    <s v="MQL"/>
    <m/>
    <m/>
    <m/>
    <n v="2"/>
    <x v="11"/>
    <n v="1"/>
    <n v="0"/>
    <n v="0"/>
  </r>
  <r>
    <s v="LD7392"/>
    <d v="2024-12-05T00:00:00"/>
    <x v="0"/>
    <s v="Facebook Ads"/>
    <s v="Mobile"/>
    <s v="North America"/>
    <s v="Lead"/>
    <m/>
    <m/>
    <m/>
    <n v="1"/>
    <x v="7"/>
    <n v="0"/>
    <n v="0"/>
    <n v="0"/>
  </r>
  <r>
    <s v="LD6928"/>
    <d v="2024-11-15T00:00:00"/>
    <x v="4"/>
    <s v="Partner Program"/>
    <s v="Desktop"/>
    <s v="Asia Pacific"/>
    <s v="Lead"/>
    <m/>
    <m/>
    <m/>
    <n v="1"/>
    <x v="2"/>
    <n v="0"/>
    <n v="0"/>
    <n v="0"/>
  </r>
  <r>
    <s v="LD3143"/>
    <d v="2024-05-08T00:00:00"/>
    <x v="1"/>
    <s v="Google Ads - Brand"/>
    <s v="Mobile"/>
    <s v="North America"/>
    <s v="Lead"/>
    <m/>
    <m/>
    <m/>
    <n v="1"/>
    <x v="4"/>
    <n v="0"/>
    <n v="0"/>
    <n v="0"/>
  </r>
  <r>
    <s v="LD2091"/>
    <d v="2024-03-18T00:00:00"/>
    <x v="1"/>
    <s v="Google Ads - Generic"/>
    <s v="Desktop"/>
    <s v="Asia Pacific"/>
    <s v="Lead"/>
    <m/>
    <m/>
    <m/>
    <n v="1"/>
    <x v="8"/>
    <n v="0"/>
    <n v="0"/>
    <n v="0"/>
  </r>
  <r>
    <s v="LD7526"/>
    <d v="2024-12-27T00:00:00"/>
    <x v="3"/>
    <s v="Monthly Newsletter"/>
    <s v="Mobile"/>
    <s v="North America"/>
    <s v="MQL"/>
    <m/>
    <m/>
    <m/>
    <n v="2"/>
    <x v="7"/>
    <n v="1"/>
    <n v="0"/>
    <n v="0"/>
  </r>
  <r>
    <s v="LD5585"/>
    <d v="2024-09-01T00:00:00"/>
    <x v="2"/>
    <s v="Direct / Type-in"/>
    <s v="Desktop"/>
    <s v="North America"/>
    <s v="MQL"/>
    <m/>
    <m/>
    <m/>
    <n v="2"/>
    <x v="9"/>
    <n v="1"/>
    <n v="0"/>
    <n v="0"/>
  </r>
  <r>
    <s v="LD3992"/>
    <d v="2024-06-02T00:00:00"/>
    <x v="2"/>
    <s v="Direct / Type-in"/>
    <s v="Mobile"/>
    <s v="Europe"/>
    <s v="SQL"/>
    <m/>
    <m/>
    <m/>
    <n v="3"/>
    <x v="11"/>
    <n v="1"/>
    <n v="1"/>
    <n v="0"/>
  </r>
  <r>
    <s v="LD7022"/>
    <d v="2024-11-05T00:00:00"/>
    <x v="2"/>
    <s v="Direct / Type-in"/>
    <s v="Desktop"/>
    <s v="Europe"/>
    <s v="SQL"/>
    <m/>
    <m/>
    <m/>
    <n v="3"/>
    <x v="2"/>
    <n v="1"/>
    <n v="1"/>
    <n v="0"/>
  </r>
  <r>
    <s v="LD4470"/>
    <d v="2024-07-03T00:00:00"/>
    <x v="2"/>
    <s v="Direct / Type-in"/>
    <s v="Mobile"/>
    <s v="Asia Pacific"/>
    <s v="MQL"/>
    <m/>
    <m/>
    <m/>
    <n v="2"/>
    <x v="0"/>
    <n v="1"/>
    <n v="0"/>
    <n v="0"/>
  </r>
  <r>
    <s v="LD3543"/>
    <d v="2024-05-22T00:00:00"/>
    <x v="2"/>
    <s v="Direct / Type-in"/>
    <s v="Mobile"/>
    <s v="Asia Pacific"/>
    <s v="MQL"/>
    <m/>
    <m/>
    <m/>
    <n v="2"/>
    <x v="4"/>
    <n v="1"/>
    <n v="0"/>
    <n v="0"/>
  </r>
  <r>
    <s v="LD4631"/>
    <d v="2024-08-28T00:00:00"/>
    <x v="1"/>
    <s v="Google Ads - Brand"/>
    <s v="Desktop"/>
    <s v="Asia Pacific"/>
    <s v="Lead"/>
    <m/>
    <m/>
    <m/>
    <n v="1"/>
    <x v="6"/>
    <n v="0"/>
    <n v="0"/>
    <n v="0"/>
  </r>
  <r>
    <s v="LD6820"/>
    <d v="2024-11-03T00:00:00"/>
    <x v="3"/>
    <s v="Monthly Newsletter"/>
    <s v="Desktop"/>
    <s v="Europe"/>
    <s v="SQL"/>
    <m/>
    <m/>
    <m/>
    <n v="3"/>
    <x v="2"/>
    <n v="1"/>
    <n v="1"/>
    <n v="0"/>
  </r>
  <r>
    <s v="LD5273"/>
    <d v="2024-09-17T00:00:00"/>
    <x v="0"/>
    <s v="Instagram Ads"/>
    <s v="Desktop"/>
    <s v="North America"/>
    <s v="MQL"/>
    <m/>
    <m/>
    <m/>
    <n v="2"/>
    <x v="9"/>
    <n v="1"/>
    <n v="0"/>
    <n v="0"/>
  </r>
  <r>
    <s v="LD5926"/>
    <d v="2024-10-25T00:00:00"/>
    <x v="0"/>
    <s v="Instagram Ads"/>
    <s v="Mobile"/>
    <s v="North America"/>
    <s v="MQL"/>
    <m/>
    <m/>
    <m/>
    <n v="2"/>
    <x v="5"/>
    <n v="1"/>
    <n v="0"/>
    <n v="0"/>
  </r>
  <r>
    <s v="LD5288"/>
    <d v="2024-09-25T00:00:00"/>
    <x v="0"/>
    <s v="LinkedIn Ads"/>
    <s v="Desktop"/>
    <s v="North America"/>
    <s v="Lead"/>
    <m/>
    <m/>
    <m/>
    <n v="1"/>
    <x v="9"/>
    <n v="0"/>
    <n v="0"/>
    <n v="0"/>
  </r>
  <r>
    <s v="LD3520"/>
    <d v="2024-05-07T00:00:00"/>
    <x v="2"/>
    <s v="Direct / Type-in"/>
    <s v="Desktop"/>
    <s v="Latin America"/>
    <s v="SQL"/>
    <m/>
    <m/>
    <m/>
    <n v="3"/>
    <x v="4"/>
    <n v="1"/>
    <n v="1"/>
    <n v="0"/>
  </r>
  <r>
    <s v="LD7657"/>
    <d v="2024-12-13T00:00:00"/>
    <x v="4"/>
    <s v="Partner Program"/>
    <s v="Desktop"/>
    <s v="Asia Pacific"/>
    <s v="MQL"/>
    <m/>
    <m/>
    <m/>
    <n v="2"/>
    <x v="7"/>
    <n v="1"/>
    <n v="0"/>
    <n v="0"/>
  </r>
  <r>
    <s v="LD4910"/>
    <d v="2024-08-26T00:00:00"/>
    <x v="4"/>
    <s v="Partner Program"/>
    <s v="Mobile"/>
    <s v="North America"/>
    <s v="Customer"/>
    <n v="31"/>
    <s v="Pro"/>
    <n v="2002.8"/>
    <n v="4"/>
    <x v="6"/>
    <n v="1"/>
    <n v="1"/>
    <n v="1"/>
  </r>
  <r>
    <s v="LD1234"/>
    <d v="2024-01-20T00:00:00"/>
    <x v="0"/>
    <s v="Instagram Ads"/>
    <s v="Mobile"/>
    <s v="Asia Pacific"/>
    <s v="MQL"/>
    <m/>
    <m/>
    <m/>
    <n v="2"/>
    <x v="3"/>
    <n v="1"/>
    <n v="0"/>
    <n v="0"/>
  </r>
  <r>
    <s v="LD2624"/>
    <d v="2024-04-13T00:00:00"/>
    <x v="1"/>
    <s v="Google Ads - Generic"/>
    <s v="Desktop"/>
    <s v="Europe"/>
    <s v="Lead"/>
    <m/>
    <m/>
    <m/>
    <n v="1"/>
    <x v="1"/>
    <n v="0"/>
    <n v="0"/>
    <n v="0"/>
  </r>
  <r>
    <s v="LD7230"/>
    <d v="2024-12-03T00:00:00"/>
    <x v="1"/>
    <s v="Google Ads - Brand"/>
    <s v="Mobile"/>
    <s v="North America"/>
    <s v="Lead"/>
    <m/>
    <m/>
    <m/>
    <n v="1"/>
    <x v="7"/>
    <n v="0"/>
    <n v="0"/>
    <n v="0"/>
  </r>
  <r>
    <s v="LD5829"/>
    <d v="2024-10-26T00:00:00"/>
    <x v="1"/>
    <s v="Google Ads - Brand"/>
    <s v="Desktop"/>
    <s v="Europe"/>
    <s v="MQL"/>
    <m/>
    <m/>
    <m/>
    <n v="2"/>
    <x v="5"/>
    <n v="1"/>
    <n v="0"/>
    <n v="0"/>
  </r>
  <r>
    <s v="LD4590"/>
    <d v="2024-08-06T00:00:00"/>
    <x v="1"/>
    <s v="Google Ads - Brand"/>
    <s v="Desktop"/>
    <s v="Asia Pacific"/>
    <s v="MQL"/>
    <m/>
    <m/>
    <m/>
    <n v="2"/>
    <x v="6"/>
    <n v="1"/>
    <n v="0"/>
    <n v="0"/>
  </r>
  <r>
    <s v="LD3489"/>
    <d v="2024-05-06T00:00:00"/>
    <x v="4"/>
    <s v="Partner Program"/>
    <s v="Desktop"/>
    <s v="North America"/>
    <s v="Lead"/>
    <m/>
    <m/>
    <m/>
    <n v="1"/>
    <x v="4"/>
    <n v="0"/>
    <n v="0"/>
    <n v="0"/>
  </r>
  <r>
    <s v="LD7013"/>
    <d v="2024-11-15T00:00:00"/>
    <x v="2"/>
    <s v="Direct / Type-in"/>
    <s v="Tablet"/>
    <s v="North America"/>
    <s v="MQL"/>
    <m/>
    <m/>
    <m/>
    <n v="2"/>
    <x v="2"/>
    <n v="1"/>
    <n v="0"/>
    <n v="0"/>
  </r>
  <r>
    <s v="LD1062"/>
    <d v="2024-01-08T00:00:00"/>
    <x v="5"/>
    <s v="Blog SEO"/>
    <s v="Desktop"/>
    <s v="North America"/>
    <s v="MQL"/>
    <m/>
    <m/>
    <m/>
    <n v="2"/>
    <x v="3"/>
    <n v="1"/>
    <n v="0"/>
    <n v="0"/>
  </r>
  <r>
    <s v="LD5280"/>
    <d v="2024-09-16T00:00:00"/>
    <x v="0"/>
    <s v="LinkedIn Ads"/>
    <s v="Desktop"/>
    <s v="North America"/>
    <s v="Lead"/>
    <m/>
    <m/>
    <m/>
    <n v="1"/>
    <x v="9"/>
    <n v="0"/>
    <n v="0"/>
    <n v="0"/>
  </r>
  <r>
    <s v="LD1497"/>
    <d v="2024-02-02T00:00:00"/>
    <x v="5"/>
    <s v="Blog SEO"/>
    <s v="Desktop"/>
    <s v="Europe"/>
    <s v="SQL"/>
    <m/>
    <m/>
    <m/>
    <n v="3"/>
    <x v="10"/>
    <n v="1"/>
    <n v="1"/>
    <n v="0"/>
  </r>
  <r>
    <s v="LD1764"/>
    <d v="2024-02-06T00:00:00"/>
    <x v="3"/>
    <s v="Monthly Newsletter"/>
    <s v="Desktop"/>
    <s v="North America"/>
    <s v="Lead"/>
    <m/>
    <m/>
    <m/>
    <n v="1"/>
    <x v="10"/>
    <n v="0"/>
    <n v="0"/>
    <n v="0"/>
  </r>
  <r>
    <s v="LD2363"/>
    <d v="2024-03-07T00:00:00"/>
    <x v="4"/>
    <s v="Affiliate Program"/>
    <s v="Desktop"/>
    <s v="Latin America"/>
    <s v="Customer"/>
    <n v="21"/>
    <s v="Basic"/>
    <n v="940.41"/>
    <n v="4"/>
    <x v="8"/>
    <n v="1"/>
    <n v="1"/>
    <n v="1"/>
  </r>
  <r>
    <s v="LD7630"/>
    <d v="2024-12-01T00:00:00"/>
    <x v="4"/>
    <s v="Partner Program"/>
    <s v="Mobile"/>
    <s v="Europe"/>
    <s v="Customer"/>
    <n v="53"/>
    <s v="Pro"/>
    <n v="2471.5100000000002"/>
    <n v="4"/>
    <x v="7"/>
    <n v="1"/>
    <n v="1"/>
    <n v="1"/>
  </r>
  <r>
    <s v="LD7680"/>
    <d v="2024-12-03T00:00:00"/>
    <x v="4"/>
    <s v="Partner Program"/>
    <s v="Mobile"/>
    <s v="North America"/>
    <s v="Lead"/>
    <m/>
    <m/>
    <m/>
    <n v="1"/>
    <x v="7"/>
    <n v="0"/>
    <n v="0"/>
    <n v="0"/>
  </r>
  <r>
    <s v="LD3685"/>
    <d v="2024-06-02T00:00:00"/>
    <x v="1"/>
    <s v="Google Ads - Generic"/>
    <s v="Desktop"/>
    <s v="North America"/>
    <s v="Lead"/>
    <m/>
    <m/>
    <m/>
    <n v="1"/>
    <x v="11"/>
    <n v="0"/>
    <n v="0"/>
    <n v="0"/>
  </r>
  <r>
    <s v="LD6931"/>
    <d v="2024-11-08T00:00:00"/>
    <x v="4"/>
    <s v="Partner Program"/>
    <s v="Mobile"/>
    <s v="North America"/>
    <s v="MQL"/>
    <m/>
    <m/>
    <m/>
    <n v="2"/>
    <x v="2"/>
    <n v="1"/>
    <n v="0"/>
    <n v="0"/>
  </r>
  <r>
    <s v="LD4827"/>
    <d v="2024-08-24T00:00:00"/>
    <x v="3"/>
    <s v="Monthly Newsletter"/>
    <s v="Desktop"/>
    <s v="Asia Pacific"/>
    <s v="Lead"/>
    <m/>
    <m/>
    <m/>
    <n v="1"/>
    <x v="6"/>
    <n v="0"/>
    <n v="0"/>
    <n v="0"/>
  </r>
  <r>
    <s v="LD2408"/>
    <d v="2024-03-17T00:00:00"/>
    <x v="2"/>
    <s v="Direct / Type-in"/>
    <s v="Desktop"/>
    <s v="North America"/>
    <s v="Customer"/>
    <n v="66"/>
    <s v="Basic"/>
    <n v="1245.96"/>
    <n v="4"/>
    <x v="8"/>
    <n v="1"/>
    <n v="1"/>
    <n v="1"/>
  </r>
  <r>
    <s v="LD4291"/>
    <d v="2024-07-25T00:00:00"/>
    <x v="3"/>
    <s v="Promo Blast"/>
    <s v="Desktop"/>
    <s v="Europe"/>
    <s v="Customer"/>
    <n v="48"/>
    <s v="Basic"/>
    <n v="1351.63"/>
    <n v="4"/>
    <x v="0"/>
    <n v="1"/>
    <n v="1"/>
    <n v="1"/>
  </r>
  <r>
    <s v="LD1621"/>
    <d v="2024-02-04T00:00:00"/>
    <x v="1"/>
    <s v="Google Ads - Generic"/>
    <s v="Desktop"/>
    <s v="North America"/>
    <s v="Lead"/>
    <m/>
    <m/>
    <m/>
    <n v="1"/>
    <x v="10"/>
    <n v="0"/>
    <n v="0"/>
    <n v="0"/>
  </r>
  <r>
    <s v="LD2298"/>
    <d v="2024-03-03T00:00:00"/>
    <x v="3"/>
    <s v="Monthly Newsletter"/>
    <s v="Desktop"/>
    <s v="Europe"/>
    <s v="MQL"/>
    <m/>
    <m/>
    <m/>
    <n v="2"/>
    <x v="8"/>
    <n v="1"/>
    <n v="0"/>
    <n v="0"/>
  </r>
  <r>
    <s v="LD6962"/>
    <d v="2024-11-24T00:00:00"/>
    <x v="4"/>
    <s v="Partner Program"/>
    <s v="Mobile"/>
    <s v="North America"/>
    <s v="Lead"/>
    <m/>
    <m/>
    <m/>
    <n v="1"/>
    <x v="2"/>
    <n v="0"/>
    <n v="0"/>
    <n v="0"/>
  </r>
  <r>
    <s v="LD5077"/>
    <d v="2024-09-27T00:00:00"/>
    <x v="5"/>
    <s v="Blog SEO"/>
    <s v="Desktop"/>
    <s v="Europe"/>
    <s v="Lead"/>
    <m/>
    <m/>
    <m/>
    <n v="1"/>
    <x v="9"/>
    <n v="0"/>
    <n v="0"/>
    <n v="0"/>
  </r>
  <r>
    <s v="LD1020"/>
    <d v="2024-01-04T00:00:00"/>
    <x v="5"/>
    <s v="Landing Page SEO"/>
    <s v="Desktop"/>
    <s v="Europe"/>
    <s v="Lead"/>
    <m/>
    <m/>
    <m/>
    <n v="1"/>
    <x v="3"/>
    <n v="0"/>
    <n v="0"/>
    <n v="0"/>
  </r>
  <r>
    <s v="LD1586"/>
    <d v="2024-02-16T00:00:00"/>
    <x v="1"/>
    <s v="Google Ads - Brand"/>
    <s v="Desktop"/>
    <s v="North America"/>
    <s v="SQL"/>
    <m/>
    <m/>
    <m/>
    <n v="3"/>
    <x v="10"/>
    <n v="1"/>
    <n v="1"/>
    <n v="0"/>
  </r>
  <r>
    <s v="LD5373"/>
    <d v="2024-09-09T00:00:00"/>
    <x v="3"/>
    <s v="Monthly Newsletter"/>
    <s v="Mobile"/>
    <s v="Europe"/>
    <s v="SQL"/>
    <m/>
    <m/>
    <m/>
    <n v="3"/>
    <x v="9"/>
    <n v="1"/>
    <n v="1"/>
    <n v="0"/>
  </r>
  <r>
    <s v="LD1430"/>
    <d v="2024-01-08T00:00:00"/>
    <x v="2"/>
    <s v="Direct / Type-in"/>
    <s v="Mobile"/>
    <s v="North America"/>
    <s v="MQL"/>
    <m/>
    <m/>
    <m/>
    <n v="2"/>
    <x v="3"/>
    <n v="1"/>
    <n v="0"/>
    <n v="0"/>
  </r>
  <r>
    <s v="LD5602"/>
    <d v="2024-09-02T00:00:00"/>
    <x v="2"/>
    <s v="Direct / Type-in"/>
    <s v="Desktop"/>
    <s v="Europe"/>
    <s v="MQL"/>
    <m/>
    <m/>
    <m/>
    <n v="2"/>
    <x v="9"/>
    <n v="1"/>
    <n v="0"/>
    <n v="0"/>
  </r>
  <r>
    <s v="LD2513"/>
    <d v="2024-04-14T00:00:00"/>
    <x v="5"/>
    <s v="Landing Page SEO"/>
    <s v="Mobile"/>
    <s v="North America"/>
    <s v="MQL"/>
    <m/>
    <m/>
    <m/>
    <n v="2"/>
    <x v="1"/>
    <n v="1"/>
    <n v="0"/>
    <n v="0"/>
  </r>
  <r>
    <s v="LD2579"/>
    <d v="2024-04-21T00:00:00"/>
    <x v="1"/>
    <s v="Google Ads - Brand"/>
    <s v="Desktop"/>
    <s v="North America"/>
    <s v="MQL"/>
    <m/>
    <m/>
    <m/>
    <n v="2"/>
    <x v="1"/>
    <n v="1"/>
    <n v="0"/>
    <n v="0"/>
  </r>
  <r>
    <s v="LD2245"/>
    <d v="2024-03-23T00:00:00"/>
    <x v="3"/>
    <s v="Monthly Newsletter"/>
    <s v="Mobile"/>
    <s v="North America"/>
    <s v="Lead"/>
    <m/>
    <m/>
    <m/>
    <n v="1"/>
    <x v="8"/>
    <n v="0"/>
    <n v="0"/>
    <n v="0"/>
  </r>
  <r>
    <s v="LD2417"/>
    <d v="2024-03-25T00:00:00"/>
    <x v="2"/>
    <s v="Direct / Type-in"/>
    <s v="Mobile"/>
    <s v="North America"/>
    <s v="SQL"/>
    <m/>
    <m/>
    <m/>
    <n v="3"/>
    <x v="8"/>
    <n v="1"/>
    <n v="1"/>
    <n v="0"/>
  </r>
  <r>
    <s v="LD1734"/>
    <d v="2024-02-15T00:00:00"/>
    <x v="3"/>
    <s v="Monthly Newsletter"/>
    <s v="Desktop"/>
    <s v="North America"/>
    <s v="SQL"/>
    <m/>
    <m/>
    <m/>
    <n v="3"/>
    <x v="10"/>
    <n v="1"/>
    <n v="1"/>
    <n v="0"/>
  </r>
  <r>
    <s v="LD4264"/>
    <d v="2024-07-16T00:00:00"/>
    <x v="0"/>
    <s v="Facebook Ads"/>
    <s v="Desktop"/>
    <s v="North America"/>
    <s v="Lead"/>
    <m/>
    <m/>
    <m/>
    <n v="1"/>
    <x v="0"/>
    <n v="0"/>
    <n v="0"/>
    <n v="0"/>
  </r>
  <r>
    <s v="LD2596"/>
    <d v="2024-04-27T00:00:00"/>
    <x v="1"/>
    <s v="Google Ads - Generic"/>
    <s v="Desktop"/>
    <s v="Latin America"/>
    <s v="MQL"/>
    <m/>
    <m/>
    <m/>
    <n v="2"/>
    <x v="1"/>
    <n v="1"/>
    <n v="0"/>
    <n v="0"/>
  </r>
  <r>
    <s v="LD1757"/>
    <d v="2024-02-15T00:00:00"/>
    <x v="3"/>
    <s v="Promo Blast"/>
    <s v="Mobile"/>
    <s v="North America"/>
    <s v="Customer"/>
    <n v="44"/>
    <s v="Basic"/>
    <n v="617.01"/>
    <n v="4"/>
    <x v="10"/>
    <n v="1"/>
    <n v="1"/>
    <n v="1"/>
  </r>
  <r>
    <s v="LD6565"/>
    <d v="2024-11-11T00:00:00"/>
    <x v="1"/>
    <s v="Google Ads - Generic"/>
    <s v="Desktop"/>
    <s v="North America"/>
    <s v="Lead"/>
    <m/>
    <m/>
    <m/>
    <n v="1"/>
    <x v="2"/>
    <n v="0"/>
    <n v="0"/>
    <n v="0"/>
  </r>
  <r>
    <s v="LD1322"/>
    <d v="2024-01-24T00:00:00"/>
    <x v="3"/>
    <s v="Promo Blast"/>
    <s v="Mobile"/>
    <s v="Europe"/>
    <s v="SQL"/>
    <m/>
    <m/>
    <m/>
    <n v="3"/>
    <x v="3"/>
    <n v="1"/>
    <n v="1"/>
    <n v="0"/>
  </r>
  <r>
    <s v="LD2010"/>
    <d v="2024-03-05T00:00:00"/>
    <x v="5"/>
    <s v="Blog SEO"/>
    <s v="Desktop"/>
    <s v="Europe"/>
    <s v="Lead"/>
    <m/>
    <m/>
    <m/>
    <n v="1"/>
    <x v="8"/>
    <n v="0"/>
    <n v="0"/>
    <n v="0"/>
  </r>
  <r>
    <s v="LD7209"/>
    <d v="2024-12-26T00:00:00"/>
    <x v="1"/>
    <s v="Google Ads - Brand"/>
    <s v="Desktop"/>
    <s v="Europe"/>
    <s v="MQL"/>
    <m/>
    <m/>
    <m/>
    <n v="2"/>
    <x v="7"/>
    <n v="1"/>
    <n v="0"/>
    <n v="0"/>
  </r>
  <r>
    <s v="LD1684"/>
    <d v="2024-02-18T00:00:00"/>
    <x v="0"/>
    <s v="LinkedIn Ads"/>
    <s v="Desktop"/>
    <s v="Europe"/>
    <s v="Lead"/>
    <m/>
    <m/>
    <m/>
    <n v="1"/>
    <x v="10"/>
    <n v="0"/>
    <n v="0"/>
    <n v="0"/>
  </r>
  <r>
    <s v="LD4255"/>
    <d v="2024-07-12T00:00:00"/>
    <x v="0"/>
    <s v="Facebook Ads"/>
    <s v="Desktop"/>
    <s v="Europe"/>
    <s v="MQL"/>
    <m/>
    <m/>
    <m/>
    <n v="2"/>
    <x v="0"/>
    <n v="1"/>
    <n v="0"/>
    <n v="0"/>
  </r>
  <r>
    <s v="LD4930"/>
    <d v="2024-08-26T00:00:00"/>
    <x v="4"/>
    <s v="Affiliate Program"/>
    <s v="Tablet"/>
    <s v="Europe"/>
    <s v="Customer"/>
    <n v="69"/>
    <s v="Pro"/>
    <n v="2231.0300000000002"/>
    <n v="4"/>
    <x v="6"/>
    <n v="1"/>
    <n v="1"/>
    <n v="1"/>
  </r>
  <r>
    <s v="LD4185"/>
    <d v="2024-07-22T00:00:00"/>
    <x v="1"/>
    <s v="Google Ads - Brand"/>
    <s v="Mobile"/>
    <s v="Latin America"/>
    <s v="SQL"/>
    <m/>
    <m/>
    <m/>
    <n v="3"/>
    <x v="0"/>
    <n v="1"/>
    <n v="1"/>
    <n v="0"/>
  </r>
  <r>
    <s v="LD4938"/>
    <d v="2024-08-19T00:00:00"/>
    <x v="4"/>
    <s v="Partner Program"/>
    <s v="Mobile"/>
    <s v="Asia Pacific"/>
    <s v="SQL"/>
    <m/>
    <m/>
    <m/>
    <n v="3"/>
    <x v="6"/>
    <n v="1"/>
    <n v="1"/>
    <n v="0"/>
  </r>
  <r>
    <s v="LD3289"/>
    <d v="2024-05-05T00:00:00"/>
    <x v="0"/>
    <s v="LinkedIn Ads"/>
    <s v="Mobile"/>
    <s v="North America"/>
    <s v="SQL"/>
    <m/>
    <m/>
    <m/>
    <n v="3"/>
    <x v="4"/>
    <n v="1"/>
    <n v="1"/>
    <n v="0"/>
  </r>
  <r>
    <s v="LD7167"/>
    <d v="2024-12-07T00:00:00"/>
    <x v="5"/>
    <s v="Blog SEO"/>
    <s v="Tablet"/>
    <s v="Asia Pacific"/>
    <s v="Customer"/>
    <n v="72"/>
    <s v="Enterprise"/>
    <n v="12214.39"/>
    <n v="4"/>
    <x v="7"/>
    <n v="1"/>
    <n v="1"/>
    <n v="1"/>
  </r>
  <r>
    <s v="LD7108"/>
    <d v="2024-12-13T00:00:00"/>
    <x v="5"/>
    <s v="Landing Page SEO"/>
    <s v="Mobile"/>
    <s v="North America"/>
    <s v="Lead"/>
    <m/>
    <m/>
    <m/>
    <n v="1"/>
    <x v="7"/>
    <n v="0"/>
    <n v="0"/>
    <n v="0"/>
  </r>
  <r>
    <s v="LD7733"/>
    <d v="2024-12-26T00:00:00"/>
    <x v="2"/>
    <s v="Direct / Type-in"/>
    <s v="Mobile"/>
    <s v="Asia Pacific"/>
    <s v="Lead"/>
    <m/>
    <m/>
    <m/>
    <n v="1"/>
    <x v="7"/>
    <n v="0"/>
    <n v="0"/>
    <n v="0"/>
  </r>
  <r>
    <s v="LD2804"/>
    <d v="2024-04-04T00:00:00"/>
    <x v="3"/>
    <s v="Promo Blast"/>
    <s v="Desktop"/>
    <s v="Europe"/>
    <s v="MQL"/>
    <m/>
    <m/>
    <m/>
    <n v="2"/>
    <x v="1"/>
    <n v="1"/>
    <n v="0"/>
    <n v="0"/>
  </r>
  <r>
    <s v="LD5646"/>
    <d v="2024-10-11T00:00:00"/>
    <x v="5"/>
    <s v="Blog SEO"/>
    <s v="Desktop"/>
    <s v="Europe"/>
    <s v="MQL"/>
    <m/>
    <m/>
    <m/>
    <n v="2"/>
    <x v="5"/>
    <n v="1"/>
    <n v="0"/>
    <n v="0"/>
  </r>
  <r>
    <s v="LD5501"/>
    <d v="2024-09-08T00:00:00"/>
    <x v="4"/>
    <s v="Affiliate Program"/>
    <s v="Desktop"/>
    <s v="Europe"/>
    <s v="SQL"/>
    <m/>
    <m/>
    <m/>
    <n v="3"/>
    <x v="9"/>
    <n v="1"/>
    <n v="1"/>
    <n v="0"/>
  </r>
  <r>
    <s v="LD5382"/>
    <d v="2024-09-25T00:00:00"/>
    <x v="3"/>
    <s v="Monthly Newsletter"/>
    <s v="Mobile"/>
    <s v="Europe"/>
    <s v="MQL"/>
    <m/>
    <m/>
    <m/>
    <n v="2"/>
    <x v="9"/>
    <n v="1"/>
    <n v="0"/>
    <n v="0"/>
  </r>
  <r>
    <s v="LD7770"/>
    <d v="2024-12-17T00:00:00"/>
    <x v="2"/>
    <s v="Direct / Type-in"/>
    <s v="Desktop"/>
    <s v="North America"/>
    <s v="Lead"/>
    <m/>
    <m/>
    <m/>
    <n v="1"/>
    <x v="7"/>
    <n v="0"/>
    <n v="0"/>
    <n v="0"/>
  </r>
  <r>
    <s v="LD1248"/>
    <d v="2024-01-22T00:00:00"/>
    <x v="3"/>
    <s v="Monthly Newsletter"/>
    <s v="Mobile"/>
    <s v="Europe"/>
    <s v="SQL"/>
    <m/>
    <m/>
    <m/>
    <n v="3"/>
    <x v="3"/>
    <n v="1"/>
    <n v="1"/>
    <n v="0"/>
  </r>
  <r>
    <s v="LD7359"/>
    <d v="2024-12-14T00:00:00"/>
    <x v="0"/>
    <s v="Facebook Ads"/>
    <s v="Mobile"/>
    <s v="Europe"/>
    <s v="MQL"/>
    <m/>
    <m/>
    <m/>
    <n v="2"/>
    <x v="7"/>
    <n v="1"/>
    <n v="0"/>
    <n v="0"/>
  </r>
  <r>
    <s v="LD5257"/>
    <d v="2024-09-05T00:00:00"/>
    <x v="0"/>
    <s v="Facebook Ads"/>
    <s v="Mobile"/>
    <s v="Asia Pacific"/>
    <s v="Lead"/>
    <m/>
    <m/>
    <m/>
    <n v="1"/>
    <x v="9"/>
    <n v="0"/>
    <n v="0"/>
    <n v="0"/>
  </r>
  <r>
    <s v="LD3808"/>
    <d v="2024-06-01T00:00:00"/>
    <x v="3"/>
    <s v="Promo Blast"/>
    <s v="Mobile"/>
    <s v="North America"/>
    <s v="MQL"/>
    <m/>
    <m/>
    <m/>
    <n v="2"/>
    <x v="11"/>
    <n v="1"/>
    <n v="0"/>
    <n v="0"/>
  </r>
  <r>
    <s v="LD5983"/>
    <d v="2024-10-20T00:00:00"/>
    <x v="3"/>
    <s v="Monthly Newsletter"/>
    <s v="Mobile"/>
    <s v="Asia Pacific"/>
    <s v="Lead"/>
    <m/>
    <m/>
    <m/>
    <n v="1"/>
    <x v="5"/>
    <n v="0"/>
    <n v="0"/>
    <n v="0"/>
  </r>
  <r>
    <s v="LD1170"/>
    <d v="2024-01-10T00:00:00"/>
    <x v="1"/>
    <s v="Google Ads - Generic"/>
    <s v="Mobile"/>
    <s v="Europe"/>
    <s v="MQL"/>
    <m/>
    <m/>
    <m/>
    <n v="2"/>
    <x v="3"/>
    <n v="1"/>
    <n v="0"/>
    <n v="0"/>
  </r>
  <r>
    <s v="LD1682"/>
    <d v="2024-02-14T00:00:00"/>
    <x v="0"/>
    <s v="LinkedIn Ads"/>
    <s v="Desktop"/>
    <s v="North America"/>
    <s v="SQL"/>
    <m/>
    <m/>
    <m/>
    <n v="3"/>
    <x v="10"/>
    <n v="1"/>
    <n v="1"/>
    <n v="0"/>
  </r>
  <r>
    <s v="LD5197"/>
    <d v="2024-09-08T00:00:00"/>
    <x v="1"/>
    <s v="Google Ads - Brand"/>
    <s v="Desktop"/>
    <s v="North America"/>
    <s v="Lead"/>
    <m/>
    <m/>
    <m/>
    <n v="1"/>
    <x v="9"/>
    <n v="0"/>
    <n v="0"/>
    <n v="0"/>
  </r>
  <r>
    <s v="LD5214"/>
    <d v="2024-09-12T00:00:00"/>
    <x v="1"/>
    <s v="Google Ads - Brand"/>
    <s v="Mobile"/>
    <s v="Europe"/>
    <s v="SQL"/>
    <m/>
    <m/>
    <m/>
    <n v="3"/>
    <x v="9"/>
    <n v="1"/>
    <n v="1"/>
    <n v="0"/>
  </r>
  <r>
    <s v="LD3590"/>
    <d v="2024-06-06T00:00:00"/>
    <x v="5"/>
    <s v="Blog SEO"/>
    <s v="Mobile"/>
    <s v="North America"/>
    <s v="MQL"/>
    <m/>
    <m/>
    <m/>
    <n v="2"/>
    <x v="11"/>
    <n v="1"/>
    <n v="0"/>
    <n v="0"/>
  </r>
  <r>
    <s v="LD7660"/>
    <d v="2024-12-21T00:00:00"/>
    <x v="4"/>
    <s v="Partner Program"/>
    <s v="Desktop"/>
    <s v="North America"/>
    <s v="Lead"/>
    <m/>
    <m/>
    <m/>
    <n v="1"/>
    <x v="7"/>
    <n v="0"/>
    <n v="0"/>
    <n v="0"/>
  </r>
  <r>
    <s v="LD4716"/>
    <d v="2024-08-18T00:00:00"/>
    <x v="0"/>
    <s v="Facebook Ads"/>
    <s v="Mobile"/>
    <s v="Europe"/>
    <s v="Lead"/>
    <m/>
    <m/>
    <m/>
    <n v="1"/>
    <x v="6"/>
    <n v="0"/>
    <n v="0"/>
    <n v="0"/>
  </r>
  <r>
    <s v="LD3841"/>
    <d v="2024-06-27T00:00:00"/>
    <x v="3"/>
    <s v="Promo Blast"/>
    <s v="Desktop"/>
    <s v="North America"/>
    <s v="Lead"/>
    <m/>
    <m/>
    <m/>
    <n v="1"/>
    <x v="11"/>
    <n v="0"/>
    <n v="0"/>
    <n v="0"/>
  </r>
  <r>
    <s v="LD4170"/>
    <d v="2024-07-28T00:00:00"/>
    <x v="1"/>
    <s v="Google Ads - Brand"/>
    <s v="Mobile"/>
    <s v="Latin America"/>
    <s v="MQL"/>
    <m/>
    <m/>
    <m/>
    <n v="2"/>
    <x v="0"/>
    <n v="1"/>
    <n v="0"/>
    <n v="0"/>
  </r>
  <r>
    <s v="LD6120"/>
    <d v="2024-10-04T00:00:00"/>
    <x v="3"/>
    <s v="Monthly Newsletter"/>
    <s v="Desktop"/>
    <s v="Europe"/>
    <s v="Lead"/>
    <m/>
    <m/>
    <m/>
    <n v="1"/>
    <x v="5"/>
    <n v="0"/>
    <n v="0"/>
    <n v="0"/>
  </r>
  <r>
    <s v="LD1492"/>
    <d v="2024-02-22T00:00:00"/>
    <x v="5"/>
    <s v="Blog SEO"/>
    <s v="Desktop"/>
    <s v="Europe"/>
    <s v="MQL"/>
    <m/>
    <m/>
    <m/>
    <n v="2"/>
    <x v="10"/>
    <n v="1"/>
    <n v="0"/>
    <n v="0"/>
  </r>
  <r>
    <s v="LD5588"/>
    <d v="2024-09-24T00:00:00"/>
    <x v="2"/>
    <s v="Direct / Type-in"/>
    <s v="Desktop"/>
    <s v="Asia Pacific"/>
    <s v="Lead"/>
    <m/>
    <m/>
    <m/>
    <n v="1"/>
    <x v="9"/>
    <n v="0"/>
    <n v="0"/>
    <n v="0"/>
  </r>
  <r>
    <s v="LD5921"/>
    <d v="2024-10-02T00:00:00"/>
    <x v="0"/>
    <s v="Instagram Ads"/>
    <s v="Mobile"/>
    <s v="Latin America"/>
    <s v="Lead"/>
    <m/>
    <m/>
    <m/>
    <n v="1"/>
    <x v="5"/>
    <n v="0"/>
    <n v="0"/>
    <n v="0"/>
  </r>
  <r>
    <s v="LD6926"/>
    <d v="2024-11-04T00:00:00"/>
    <x v="4"/>
    <s v="Affiliate Program"/>
    <s v="Desktop"/>
    <s v="North America"/>
    <s v="SQL"/>
    <m/>
    <m/>
    <m/>
    <n v="3"/>
    <x v="2"/>
    <n v="1"/>
    <n v="1"/>
    <n v="0"/>
  </r>
  <r>
    <s v="LD5619"/>
    <d v="2024-09-19T00:00:00"/>
    <x v="2"/>
    <s v="Direct / Type-in"/>
    <s v="Tablet"/>
    <s v="North America"/>
    <s v="SQL"/>
    <m/>
    <m/>
    <m/>
    <n v="3"/>
    <x v="9"/>
    <n v="1"/>
    <n v="1"/>
    <n v="0"/>
  </r>
  <r>
    <s v="LD2177"/>
    <d v="2024-03-15T00:00:00"/>
    <x v="0"/>
    <s v="Instagram Ads"/>
    <s v="Desktop"/>
    <s v="Europe"/>
    <s v="Lead"/>
    <m/>
    <m/>
    <m/>
    <n v="1"/>
    <x v="8"/>
    <n v="0"/>
    <n v="0"/>
    <n v="0"/>
  </r>
  <r>
    <s v="LD7603"/>
    <d v="2024-12-02T00:00:00"/>
    <x v="4"/>
    <s v="Affiliate Program"/>
    <s v="Desktop"/>
    <s v="Latin America"/>
    <s v="MQL"/>
    <m/>
    <m/>
    <m/>
    <n v="2"/>
    <x v="7"/>
    <n v="1"/>
    <n v="0"/>
    <n v="0"/>
  </r>
  <r>
    <s v="LD2427"/>
    <d v="2024-03-11T00:00:00"/>
    <x v="2"/>
    <s v="Direct / Type-in"/>
    <s v="Desktop"/>
    <s v="North America"/>
    <s v="Lead"/>
    <m/>
    <m/>
    <m/>
    <n v="1"/>
    <x v="8"/>
    <n v="0"/>
    <n v="0"/>
    <n v="0"/>
  </r>
  <r>
    <s v="LD6071"/>
    <d v="2024-10-23T00:00:00"/>
    <x v="3"/>
    <s v="Promo Blast"/>
    <s v="Desktop"/>
    <s v="North America"/>
    <s v="Lead"/>
    <m/>
    <m/>
    <m/>
    <n v="1"/>
    <x v="5"/>
    <n v="0"/>
    <n v="0"/>
    <n v="0"/>
  </r>
  <r>
    <s v="LD4393"/>
    <d v="2024-07-07T00:00:00"/>
    <x v="4"/>
    <s v="Affiliate Program"/>
    <s v="Desktop"/>
    <s v="Europe"/>
    <s v="SQL"/>
    <m/>
    <m/>
    <m/>
    <n v="3"/>
    <x v="0"/>
    <n v="1"/>
    <n v="1"/>
    <n v="0"/>
  </r>
  <r>
    <s v="LD3665"/>
    <d v="2024-06-26T00:00:00"/>
    <x v="1"/>
    <s v="Google Ads - Generic"/>
    <s v="Desktop"/>
    <s v="North America"/>
    <s v="MQL"/>
    <m/>
    <m/>
    <m/>
    <n v="2"/>
    <x v="11"/>
    <n v="1"/>
    <n v="0"/>
    <n v="0"/>
  </r>
  <r>
    <s v="LD1470"/>
    <d v="2024-01-20T00:00:00"/>
    <x v="2"/>
    <s v="Direct / Type-in"/>
    <s v="Desktop"/>
    <s v="Europe"/>
    <s v="Lead"/>
    <m/>
    <m/>
    <m/>
    <n v="1"/>
    <x v="3"/>
    <n v="0"/>
    <n v="0"/>
    <n v="0"/>
  </r>
  <r>
    <s v="LD3883"/>
    <d v="2024-06-28T00:00:00"/>
    <x v="3"/>
    <s v="Promo Blast"/>
    <s v="Desktop"/>
    <s v="Europe"/>
    <s v="Customer"/>
    <n v="66"/>
    <s v="Pro"/>
    <n v="4687.32"/>
    <n v="4"/>
    <x v="11"/>
    <n v="1"/>
    <n v="1"/>
    <n v="1"/>
  </r>
  <r>
    <s v="LD1032"/>
    <d v="2024-01-19T00:00:00"/>
    <x v="5"/>
    <s v="Landing Page SEO"/>
    <s v="Desktop"/>
    <s v="Europe"/>
    <s v="SQL"/>
    <m/>
    <m/>
    <m/>
    <n v="3"/>
    <x v="3"/>
    <n v="1"/>
    <n v="1"/>
    <n v="0"/>
  </r>
  <r>
    <s v="LD6633"/>
    <d v="2024-11-13T00:00:00"/>
    <x v="0"/>
    <s v="LinkedIn Ads"/>
    <s v="Desktop"/>
    <s v="Asia Pacific"/>
    <s v="Lead"/>
    <m/>
    <m/>
    <m/>
    <n v="1"/>
    <x v="2"/>
    <n v="0"/>
    <n v="0"/>
    <n v="0"/>
  </r>
  <r>
    <s v="LD1707"/>
    <d v="2024-02-16T00:00:00"/>
    <x v="0"/>
    <s v="Instagram Ads"/>
    <s v="Desktop"/>
    <s v="Europe"/>
    <s v="Customer"/>
    <n v="31"/>
    <s v="Basic"/>
    <n v="950.65"/>
    <n v="4"/>
    <x v="10"/>
    <n v="1"/>
    <n v="1"/>
    <n v="1"/>
  </r>
  <r>
    <s v="LD1612"/>
    <d v="2024-02-02T00:00:00"/>
    <x v="1"/>
    <s v="Google Ads - Generic"/>
    <s v="Mobile"/>
    <s v="North America"/>
    <s v="Lead"/>
    <m/>
    <m/>
    <m/>
    <n v="1"/>
    <x v="10"/>
    <n v="0"/>
    <n v="0"/>
    <n v="0"/>
  </r>
  <r>
    <s v="LD3942"/>
    <d v="2024-06-25T00:00:00"/>
    <x v="4"/>
    <s v="Affiliate Program"/>
    <s v="Desktop"/>
    <s v="North America"/>
    <s v="Lead"/>
    <m/>
    <m/>
    <m/>
    <n v="1"/>
    <x v="11"/>
    <n v="0"/>
    <n v="0"/>
    <n v="0"/>
  </r>
  <r>
    <s v="LD4054"/>
    <d v="2024-07-11T00:00:00"/>
    <x v="5"/>
    <s v="Landing Page SEO"/>
    <s v="Desktop"/>
    <s v="North America"/>
    <s v="MQL"/>
    <m/>
    <m/>
    <m/>
    <n v="2"/>
    <x v="0"/>
    <n v="1"/>
    <n v="0"/>
    <n v="0"/>
  </r>
  <r>
    <s v="LD6490"/>
    <d v="2024-11-20T00:00:00"/>
    <x v="1"/>
    <s v="Google Ads - Generic"/>
    <s v="Desktop"/>
    <s v="North America"/>
    <s v="Lead"/>
    <m/>
    <m/>
    <m/>
    <n v="1"/>
    <x v="2"/>
    <n v="0"/>
    <n v="0"/>
    <n v="0"/>
  </r>
  <r>
    <s v="LD4077"/>
    <d v="2024-07-01T00:00:00"/>
    <x v="5"/>
    <s v="Blog SEO"/>
    <s v="Desktop"/>
    <s v="Asia Pacific"/>
    <s v="SQL"/>
    <m/>
    <m/>
    <m/>
    <n v="3"/>
    <x v="0"/>
    <n v="1"/>
    <n v="1"/>
    <n v="0"/>
  </r>
  <r>
    <s v="LD2657"/>
    <d v="2024-04-14T00:00:00"/>
    <x v="1"/>
    <s v="Google Ads - Brand"/>
    <s v="Mobile"/>
    <s v="Asia Pacific"/>
    <s v="SQL"/>
    <m/>
    <m/>
    <m/>
    <n v="3"/>
    <x v="1"/>
    <n v="1"/>
    <n v="1"/>
    <n v="0"/>
  </r>
  <r>
    <s v="LD5809"/>
    <d v="2024-10-05T00:00:00"/>
    <x v="1"/>
    <s v="Google Ads - Brand"/>
    <s v="Desktop"/>
    <s v="Latin America"/>
    <s v="Lead"/>
    <m/>
    <m/>
    <m/>
    <n v="1"/>
    <x v="5"/>
    <n v="0"/>
    <n v="0"/>
    <n v="0"/>
  </r>
  <r>
    <s v="LD1018"/>
    <d v="2024-01-20T00:00:00"/>
    <x v="5"/>
    <s v="Blog SEO"/>
    <s v="Desktop"/>
    <s v="Europe"/>
    <s v="SQL"/>
    <m/>
    <m/>
    <m/>
    <n v="3"/>
    <x v="3"/>
    <n v="1"/>
    <n v="1"/>
    <n v="0"/>
  </r>
  <r>
    <s v="LD1097"/>
    <d v="2024-01-08T00:00:00"/>
    <x v="1"/>
    <s v="Google Ads - Brand"/>
    <s v="Mobile"/>
    <s v="Europe"/>
    <s v="MQL"/>
    <m/>
    <m/>
    <m/>
    <n v="2"/>
    <x v="3"/>
    <n v="1"/>
    <n v="0"/>
    <n v="0"/>
  </r>
  <r>
    <s v="LD2821"/>
    <d v="2024-04-08T00:00:00"/>
    <x v="3"/>
    <s v="Monthly Newsletter"/>
    <s v="Mobile"/>
    <s v="North America"/>
    <s v="Lead"/>
    <m/>
    <m/>
    <m/>
    <n v="1"/>
    <x v="1"/>
    <n v="0"/>
    <n v="0"/>
    <n v="0"/>
  </r>
  <r>
    <s v="LD5275"/>
    <d v="2024-09-15T00:00:00"/>
    <x v="0"/>
    <s v="Instagram Ads"/>
    <s v="Desktop"/>
    <s v="North America"/>
    <s v="MQL"/>
    <m/>
    <m/>
    <m/>
    <n v="2"/>
    <x v="9"/>
    <n v="1"/>
    <n v="0"/>
    <n v="0"/>
  </r>
  <r>
    <s v="LD5693"/>
    <d v="2024-10-09T00:00:00"/>
    <x v="5"/>
    <s v="Blog SEO"/>
    <s v="Desktop"/>
    <s v="Latin America"/>
    <s v="Lead"/>
    <m/>
    <m/>
    <m/>
    <n v="1"/>
    <x v="5"/>
    <n v="0"/>
    <n v="0"/>
    <n v="0"/>
  </r>
  <r>
    <s v="LD2719"/>
    <d v="2024-04-03T00:00:00"/>
    <x v="0"/>
    <s v="Facebook Ads"/>
    <s v="Mobile"/>
    <s v="North America"/>
    <s v="MQL"/>
    <m/>
    <m/>
    <m/>
    <n v="2"/>
    <x v="1"/>
    <n v="1"/>
    <n v="0"/>
    <n v="0"/>
  </r>
  <r>
    <s v="LD4059"/>
    <d v="2024-07-25T00:00:00"/>
    <x v="5"/>
    <s v="Blog SEO"/>
    <s v="Desktop"/>
    <s v="Europe"/>
    <s v="SQL"/>
    <m/>
    <m/>
    <m/>
    <n v="3"/>
    <x v="0"/>
    <n v="1"/>
    <n v="1"/>
    <n v="0"/>
  </r>
  <r>
    <s v="LD4784"/>
    <d v="2024-08-27T00:00:00"/>
    <x v="3"/>
    <s v="Monthly Newsletter"/>
    <s v="Mobile"/>
    <s v="Europe"/>
    <s v="Customer"/>
    <n v="26"/>
    <s v="Basic"/>
    <n v="822.86"/>
    <n v="4"/>
    <x v="6"/>
    <n v="1"/>
    <n v="1"/>
    <n v="1"/>
  </r>
  <r>
    <s v="LD2761"/>
    <d v="2024-04-15T00:00:00"/>
    <x v="3"/>
    <s v="Promo Blast"/>
    <s v="Desktop"/>
    <s v="Asia Pacific"/>
    <s v="Customer"/>
    <n v="71"/>
    <s v="Basic"/>
    <n v="833.74"/>
    <n v="4"/>
    <x v="1"/>
    <n v="1"/>
    <n v="1"/>
    <n v="1"/>
  </r>
  <r>
    <s v="LD4394"/>
    <d v="2024-07-11T00:00:00"/>
    <x v="4"/>
    <s v="Partner Program"/>
    <s v="Desktop"/>
    <s v="Europe"/>
    <s v="Lead"/>
    <m/>
    <m/>
    <m/>
    <n v="1"/>
    <x v="0"/>
    <n v="0"/>
    <n v="0"/>
    <n v="0"/>
  </r>
  <r>
    <s v="LD6437"/>
    <d v="2024-11-02T00:00:00"/>
    <x v="5"/>
    <s v="Blog SEO"/>
    <s v="Desktop"/>
    <s v="Europe"/>
    <s v="Lead"/>
    <m/>
    <m/>
    <m/>
    <n v="1"/>
    <x v="2"/>
    <n v="0"/>
    <n v="0"/>
    <n v="0"/>
  </r>
  <r>
    <s v="LD5095"/>
    <d v="2024-09-12T00:00:00"/>
    <x v="5"/>
    <s v="Blog SEO"/>
    <s v="Mobile"/>
    <s v="Asia Pacific"/>
    <s v="MQL"/>
    <m/>
    <m/>
    <m/>
    <n v="2"/>
    <x v="9"/>
    <n v="1"/>
    <n v="0"/>
    <n v="0"/>
  </r>
  <r>
    <s v="LD5889"/>
    <d v="2024-10-18T00:00:00"/>
    <x v="0"/>
    <s v="Instagram Ads"/>
    <s v="Desktop"/>
    <s v="Europe"/>
    <s v="Lead"/>
    <m/>
    <m/>
    <m/>
    <n v="1"/>
    <x v="5"/>
    <n v="0"/>
    <n v="0"/>
    <n v="0"/>
  </r>
  <r>
    <s v="LD2877"/>
    <d v="2024-04-28T00:00:00"/>
    <x v="4"/>
    <s v="Affiliate Program"/>
    <s v="Mobile"/>
    <s v="North America"/>
    <s v="Lead"/>
    <m/>
    <m/>
    <m/>
    <n v="1"/>
    <x v="1"/>
    <n v="0"/>
    <n v="0"/>
    <n v="0"/>
  </r>
  <r>
    <s v="LD4555"/>
    <d v="2024-08-01T00:00:00"/>
    <x v="5"/>
    <s v="Blog SEO"/>
    <s v="Mobile"/>
    <s v="Europe"/>
    <s v="MQL"/>
    <m/>
    <m/>
    <m/>
    <n v="2"/>
    <x v="6"/>
    <n v="1"/>
    <n v="0"/>
    <n v="0"/>
  </r>
  <r>
    <s v="LD4132"/>
    <d v="2024-07-25T00:00:00"/>
    <x v="1"/>
    <s v="Google Ads - Brand"/>
    <s v="Desktop"/>
    <s v="North America"/>
    <s v="Customer"/>
    <n v="70"/>
    <s v="Basic"/>
    <n v="879.48"/>
    <n v="4"/>
    <x v="0"/>
    <n v="1"/>
    <n v="1"/>
    <n v="1"/>
  </r>
  <r>
    <s v="LD5577"/>
    <d v="2024-09-24T00:00:00"/>
    <x v="2"/>
    <s v="Direct / Type-in"/>
    <s v="Mobile"/>
    <s v="North America"/>
    <s v="MQL"/>
    <m/>
    <m/>
    <m/>
    <n v="2"/>
    <x v="9"/>
    <n v="1"/>
    <n v="0"/>
    <n v="0"/>
  </r>
  <r>
    <s v="LD1081"/>
    <d v="2024-01-20T00:00:00"/>
    <x v="5"/>
    <s v="Landing Page SEO"/>
    <s v="Tablet"/>
    <s v="Asia Pacific"/>
    <s v="Lead"/>
    <m/>
    <m/>
    <m/>
    <n v="1"/>
    <x v="3"/>
    <n v="0"/>
    <n v="0"/>
    <n v="0"/>
  </r>
  <r>
    <s v="LD4820"/>
    <d v="2024-08-05T00:00:00"/>
    <x v="3"/>
    <s v="Monthly Newsletter"/>
    <s v="Desktop"/>
    <s v="North America"/>
    <s v="Lead"/>
    <m/>
    <m/>
    <m/>
    <n v="1"/>
    <x v="6"/>
    <n v="0"/>
    <n v="0"/>
    <n v="0"/>
  </r>
  <r>
    <s v="LD4668"/>
    <d v="2024-08-07T00:00:00"/>
    <x v="1"/>
    <s v="Google Ads - Brand"/>
    <s v="Desktop"/>
    <s v="North America"/>
    <s v="Lead"/>
    <m/>
    <m/>
    <m/>
    <n v="1"/>
    <x v="6"/>
    <n v="0"/>
    <n v="0"/>
    <n v="0"/>
  </r>
  <r>
    <s v="LD2802"/>
    <d v="2024-04-05T00:00:00"/>
    <x v="3"/>
    <s v="Monthly Newsletter"/>
    <s v="Mobile"/>
    <s v="Europe"/>
    <s v="MQL"/>
    <m/>
    <m/>
    <m/>
    <n v="2"/>
    <x v="1"/>
    <n v="1"/>
    <n v="0"/>
    <n v="0"/>
  </r>
  <r>
    <s v="LD1548"/>
    <d v="2024-02-08T00:00:00"/>
    <x v="5"/>
    <s v="Blog SEO"/>
    <s v="Desktop"/>
    <s v="Asia Pacific"/>
    <s v="Customer"/>
    <n v="20"/>
    <s v="Basic"/>
    <n v="670.11"/>
    <n v="4"/>
    <x v="10"/>
    <n v="1"/>
    <n v="1"/>
    <n v="1"/>
  </r>
  <r>
    <s v="LD4886"/>
    <d v="2024-08-21T00:00:00"/>
    <x v="4"/>
    <s v="Partner Program"/>
    <s v="Mobile"/>
    <s v="North America"/>
    <s v="Lead"/>
    <m/>
    <m/>
    <m/>
    <n v="1"/>
    <x v="6"/>
    <n v="0"/>
    <n v="0"/>
    <n v="0"/>
  </r>
  <r>
    <s v="LD5526"/>
    <d v="2024-09-28T00:00:00"/>
    <x v="4"/>
    <s v="Partner Program"/>
    <s v="Mobile"/>
    <s v="Asia Pacific"/>
    <s v="SQL"/>
    <m/>
    <m/>
    <m/>
    <n v="3"/>
    <x v="9"/>
    <n v="1"/>
    <n v="1"/>
    <n v="0"/>
  </r>
  <r>
    <s v="LD1473"/>
    <d v="2024-01-11T00:00:00"/>
    <x v="2"/>
    <s v="Direct / Type-in"/>
    <s v="Desktop"/>
    <s v="Europe"/>
    <s v="MQL"/>
    <m/>
    <m/>
    <m/>
    <n v="2"/>
    <x v="3"/>
    <n v="1"/>
    <n v="0"/>
    <n v="0"/>
  </r>
  <r>
    <s v="LD1933"/>
    <d v="2024-02-24T00:00:00"/>
    <x v="2"/>
    <s v="Direct / Type-in"/>
    <s v="Desktop"/>
    <s v="Asia Pacific"/>
    <s v="Lead"/>
    <m/>
    <m/>
    <m/>
    <n v="1"/>
    <x v="10"/>
    <n v="0"/>
    <n v="0"/>
    <n v="0"/>
  </r>
  <r>
    <s v="LD3664"/>
    <d v="2024-06-18T00:00:00"/>
    <x v="1"/>
    <s v="Google Ads - Brand"/>
    <s v="Tablet"/>
    <s v="North America"/>
    <s v="Lead"/>
    <m/>
    <m/>
    <m/>
    <n v="1"/>
    <x v="11"/>
    <n v="0"/>
    <n v="0"/>
    <n v="0"/>
  </r>
  <r>
    <s v="LD6610"/>
    <d v="2024-11-06T00:00:00"/>
    <x v="0"/>
    <s v="LinkedIn Ads"/>
    <s v="Desktop"/>
    <s v="North America"/>
    <s v="MQL"/>
    <m/>
    <m/>
    <m/>
    <n v="2"/>
    <x v="2"/>
    <n v="1"/>
    <n v="0"/>
    <n v="0"/>
  </r>
  <r>
    <s v="LD6282"/>
    <d v="2024-10-02T00:00:00"/>
    <x v="2"/>
    <s v="Direct / Type-in"/>
    <s v="Desktop"/>
    <s v="North America"/>
    <s v="MQL"/>
    <m/>
    <m/>
    <m/>
    <n v="2"/>
    <x v="5"/>
    <n v="1"/>
    <n v="0"/>
    <n v="0"/>
  </r>
  <r>
    <s v="LD1753"/>
    <d v="2024-02-20T00:00:00"/>
    <x v="3"/>
    <s v="Monthly Newsletter"/>
    <s v="Mobile"/>
    <s v="North America"/>
    <s v="Lead"/>
    <m/>
    <m/>
    <m/>
    <n v="1"/>
    <x v="10"/>
    <n v="0"/>
    <n v="0"/>
    <n v="0"/>
  </r>
  <r>
    <s v="LD7624"/>
    <d v="2024-12-15T00:00:00"/>
    <x v="4"/>
    <s v="Affiliate Program"/>
    <s v="Mobile"/>
    <s v="North America"/>
    <s v="SQL"/>
    <m/>
    <m/>
    <m/>
    <n v="3"/>
    <x v="7"/>
    <n v="1"/>
    <n v="1"/>
    <n v="0"/>
  </r>
  <r>
    <s v="LD1094"/>
    <d v="2024-01-11T00:00:00"/>
    <x v="1"/>
    <s v="Google Ads - Generic"/>
    <s v="Desktop"/>
    <s v="Latin America"/>
    <s v="Lead"/>
    <m/>
    <m/>
    <m/>
    <n v="1"/>
    <x v="3"/>
    <n v="0"/>
    <n v="0"/>
    <n v="0"/>
  </r>
  <r>
    <s v="LD7409"/>
    <d v="2024-12-13T00:00:00"/>
    <x v="0"/>
    <s v="Facebook Ads"/>
    <s v="Mobile"/>
    <s v="Europe"/>
    <s v="Lead"/>
    <m/>
    <m/>
    <m/>
    <n v="1"/>
    <x v="7"/>
    <n v="0"/>
    <n v="0"/>
    <n v="0"/>
  </r>
  <r>
    <s v="LD2420"/>
    <d v="2024-03-27T00:00:00"/>
    <x v="2"/>
    <s v="Direct / Type-in"/>
    <s v="Desktop"/>
    <s v="Europe"/>
    <s v="Lead"/>
    <m/>
    <m/>
    <m/>
    <n v="1"/>
    <x v="8"/>
    <n v="0"/>
    <n v="0"/>
    <n v="0"/>
  </r>
  <r>
    <s v="LD7106"/>
    <d v="2024-12-03T00:00:00"/>
    <x v="5"/>
    <s v="Landing Page SEO"/>
    <s v="Mobile"/>
    <s v="North America"/>
    <s v="Lead"/>
    <m/>
    <m/>
    <m/>
    <n v="1"/>
    <x v="7"/>
    <n v="0"/>
    <n v="0"/>
    <n v="0"/>
  </r>
  <r>
    <s v="LD5039"/>
    <d v="2024-09-06T00:00:00"/>
    <x v="5"/>
    <s v="Blog SEO"/>
    <s v="Desktop"/>
    <s v="North America"/>
    <s v="Lead"/>
    <m/>
    <m/>
    <m/>
    <n v="1"/>
    <x v="9"/>
    <n v="0"/>
    <n v="0"/>
    <n v="0"/>
  </r>
  <r>
    <s v="LD1038"/>
    <d v="2024-01-06T00:00:00"/>
    <x v="5"/>
    <s v="Landing Page SEO"/>
    <s v="Desktop"/>
    <s v="North America"/>
    <s v="SQL"/>
    <m/>
    <m/>
    <m/>
    <n v="3"/>
    <x v="3"/>
    <n v="1"/>
    <n v="1"/>
    <n v="0"/>
  </r>
  <r>
    <s v="LD2554"/>
    <d v="2024-04-05T00:00:00"/>
    <x v="5"/>
    <s v="Landing Page SEO"/>
    <s v="Desktop"/>
    <s v="Europe"/>
    <s v="MQL"/>
    <m/>
    <m/>
    <m/>
    <n v="2"/>
    <x v="1"/>
    <n v="1"/>
    <n v="0"/>
    <n v="0"/>
  </r>
  <r>
    <s v="LD5330"/>
    <d v="2024-09-26T00:00:00"/>
    <x v="3"/>
    <s v="Monthly Newsletter"/>
    <s v="Desktop"/>
    <s v="North America"/>
    <s v="Lead"/>
    <m/>
    <m/>
    <m/>
    <n v="1"/>
    <x v="9"/>
    <n v="0"/>
    <n v="0"/>
    <n v="0"/>
  </r>
  <r>
    <s v="LD2618"/>
    <d v="2024-04-03T00:00:00"/>
    <x v="1"/>
    <s v="Google Ads - Brand"/>
    <s v="Mobile"/>
    <s v="Latin America"/>
    <s v="Lead"/>
    <m/>
    <m/>
    <m/>
    <n v="1"/>
    <x v="1"/>
    <n v="0"/>
    <n v="0"/>
    <n v="0"/>
  </r>
  <r>
    <s v="LD6670"/>
    <d v="2024-11-01T00:00:00"/>
    <x v="0"/>
    <s v="Instagram Ads"/>
    <s v="Tablet"/>
    <s v="North America"/>
    <s v="Lead"/>
    <m/>
    <m/>
    <m/>
    <n v="1"/>
    <x v="2"/>
    <n v="0"/>
    <n v="0"/>
    <n v="0"/>
  </r>
  <r>
    <s v="LD2703"/>
    <d v="2024-04-27T00:00:00"/>
    <x v="0"/>
    <s v="LinkedIn Ads"/>
    <s v="Mobile"/>
    <s v="Europe"/>
    <s v="MQL"/>
    <m/>
    <m/>
    <m/>
    <n v="2"/>
    <x v="1"/>
    <n v="1"/>
    <n v="0"/>
    <n v="0"/>
  </r>
  <r>
    <s v="LD2075"/>
    <d v="2024-03-25T00:00:00"/>
    <x v="1"/>
    <s v="Google Ads - Brand"/>
    <s v="Tablet"/>
    <s v="Asia Pacific"/>
    <s v="MQL"/>
    <m/>
    <m/>
    <m/>
    <n v="2"/>
    <x v="8"/>
    <n v="1"/>
    <n v="0"/>
    <n v="0"/>
  </r>
  <r>
    <s v="LD6590"/>
    <d v="2024-11-22T00:00:00"/>
    <x v="1"/>
    <s v="Google Ads - Generic"/>
    <s v="Mobile"/>
    <s v="North America"/>
    <s v="Lead"/>
    <m/>
    <m/>
    <m/>
    <n v="1"/>
    <x v="2"/>
    <n v="0"/>
    <n v="0"/>
    <n v="0"/>
  </r>
  <r>
    <s v="LD7273"/>
    <d v="2024-12-18T00:00:00"/>
    <x v="1"/>
    <s v="Google Ads - Generic"/>
    <s v="Mobile"/>
    <s v="Europe"/>
    <s v="SQL"/>
    <m/>
    <m/>
    <m/>
    <n v="3"/>
    <x v="7"/>
    <n v="1"/>
    <n v="1"/>
    <n v="0"/>
  </r>
  <r>
    <s v="LD7174"/>
    <d v="2024-12-06T00:00:00"/>
    <x v="5"/>
    <s v="Landing Page SEO"/>
    <s v="Mobile"/>
    <s v="Europe"/>
    <s v="MQL"/>
    <m/>
    <m/>
    <m/>
    <n v="2"/>
    <x v="7"/>
    <n v="1"/>
    <n v="0"/>
    <n v="0"/>
  </r>
  <r>
    <s v="LD4500"/>
    <d v="2024-08-08T00:00:00"/>
    <x v="5"/>
    <s v="Blog SEO"/>
    <s v="Desktop"/>
    <s v="Europe"/>
    <s v="Lead"/>
    <m/>
    <m/>
    <m/>
    <n v="1"/>
    <x v="6"/>
    <n v="0"/>
    <n v="0"/>
    <n v="0"/>
  </r>
  <r>
    <s v="LD3228"/>
    <d v="2024-05-08T00:00:00"/>
    <x v="0"/>
    <s v="LinkedIn Ads"/>
    <s v="Desktop"/>
    <s v="Latin America"/>
    <s v="SQL"/>
    <m/>
    <m/>
    <m/>
    <n v="3"/>
    <x v="4"/>
    <n v="1"/>
    <n v="1"/>
    <n v="0"/>
  </r>
  <r>
    <s v="LD4654"/>
    <d v="2024-08-11T00:00:00"/>
    <x v="1"/>
    <s v="Google Ads - Generic"/>
    <s v="Desktop"/>
    <s v="Europe"/>
    <s v="Lead"/>
    <m/>
    <m/>
    <m/>
    <n v="1"/>
    <x v="6"/>
    <n v="0"/>
    <n v="0"/>
    <n v="0"/>
  </r>
  <r>
    <s v="LD6674"/>
    <d v="2024-11-27T00:00:00"/>
    <x v="0"/>
    <s v="Instagram Ads"/>
    <s v="Mobile"/>
    <s v="Latin America"/>
    <s v="MQL"/>
    <m/>
    <m/>
    <m/>
    <n v="2"/>
    <x v="2"/>
    <n v="1"/>
    <n v="0"/>
    <n v="0"/>
  </r>
  <r>
    <s v="LD6296"/>
    <d v="2024-10-13T00:00:00"/>
    <x v="2"/>
    <s v="Direct / Type-in"/>
    <s v="Desktop"/>
    <s v="North America"/>
    <s v="Lead"/>
    <m/>
    <m/>
    <m/>
    <n v="1"/>
    <x v="5"/>
    <n v="0"/>
    <n v="0"/>
    <n v="0"/>
  </r>
  <r>
    <s v="LD5372"/>
    <d v="2024-09-20T00:00:00"/>
    <x v="3"/>
    <s v="Promo Blast"/>
    <s v="Mobile"/>
    <s v="Europe"/>
    <s v="Lead"/>
    <m/>
    <m/>
    <m/>
    <n v="1"/>
    <x v="9"/>
    <n v="0"/>
    <n v="0"/>
    <n v="0"/>
  </r>
  <r>
    <s v="LD7024"/>
    <d v="2024-11-28T00:00:00"/>
    <x v="2"/>
    <s v="Direct / Type-in"/>
    <s v="Mobile"/>
    <s v="North America"/>
    <s v="MQL"/>
    <m/>
    <m/>
    <m/>
    <n v="2"/>
    <x v="2"/>
    <n v="1"/>
    <n v="0"/>
    <n v="0"/>
  </r>
  <r>
    <s v="LD1264"/>
    <d v="2024-01-05T00:00:00"/>
    <x v="3"/>
    <s v="Promo Blast"/>
    <s v="Desktop"/>
    <s v="Asia Pacific"/>
    <s v="Lead"/>
    <m/>
    <m/>
    <m/>
    <n v="1"/>
    <x v="3"/>
    <n v="0"/>
    <n v="0"/>
    <n v="0"/>
  </r>
  <r>
    <s v="LD3639"/>
    <d v="2024-06-11T00:00:00"/>
    <x v="5"/>
    <s v="Landing Page SEO"/>
    <s v="Mobile"/>
    <s v="North America"/>
    <s v="SQL"/>
    <m/>
    <m/>
    <m/>
    <n v="3"/>
    <x v="11"/>
    <n v="1"/>
    <n v="1"/>
    <n v="0"/>
  </r>
  <r>
    <s v="LD3311"/>
    <d v="2024-05-24T00:00:00"/>
    <x v="3"/>
    <s v="Monthly Newsletter"/>
    <s v="Desktop"/>
    <s v="Europe"/>
    <s v="MQL"/>
    <m/>
    <m/>
    <m/>
    <n v="2"/>
    <x v="4"/>
    <n v="1"/>
    <n v="0"/>
    <n v="0"/>
  </r>
  <r>
    <s v="LD6644"/>
    <d v="2024-11-19T00:00:00"/>
    <x v="0"/>
    <s v="Facebook Ads"/>
    <s v="Desktop"/>
    <s v="Latin America"/>
    <s v="Lead"/>
    <m/>
    <m/>
    <m/>
    <n v="1"/>
    <x v="2"/>
    <n v="0"/>
    <n v="0"/>
    <n v="0"/>
  </r>
  <r>
    <s v="LD3900"/>
    <d v="2024-06-22T00:00:00"/>
    <x v="3"/>
    <s v="Monthly Newsletter"/>
    <s v="Desktop"/>
    <s v="North America"/>
    <s v="MQL"/>
    <m/>
    <m/>
    <m/>
    <n v="2"/>
    <x v="11"/>
    <n v="1"/>
    <n v="0"/>
    <n v="0"/>
  </r>
  <r>
    <s v="LD5707"/>
    <d v="2024-10-16T00:00:00"/>
    <x v="5"/>
    <s v="Blog SEO"/>
    <s v="Tablet"/>
    <s v="North America"/>
    <s v="SQL"/>
    <m/>
    <m/>
    <m/>
    <n v="3"/>
    <x v="5"/>
    <n v="1"/>
    <n v="1"/>
    <n v="0"/>
  </r>
  <r>
    <s v="LD3909"/>
    <d v="2024-06-21T00:00:00"/>
    <x v="3"/>
    <s v="Monthly Newsletter"/>
    <s v="Mobile"/>
    <s v="North America"/>
    <s v="Lead"/>
    <m/>
    <m/>
    <m/>
    <n v="1"/>
    <x v="11"/>
    <n v="0"/>
    <n v="0"/>
    <n v="0"/>
  </r>
  <r>
    <s v="LD4493"/>
    <d v="2024-07-20T00:00:00"/>
    <x v="2"/>
    <s v="Direct / Type-in"/>
    <s v="Tablet"/>
    <s v="North America"/>
    <s v="Lead"/>
    <m/>
    <m/>
    <m/>
    <n v="1"/>
    <x v="0"/>
    <n v="0"/>
    <n v="0"/>
    <n v="0"/>
  </r>
  <r>
    <s v="LD1335"/>
    <d v="2024-01-13T00:00:00"/>
    <x v="3"/>
    <s v="Promo Blast"/>
    <s v="Tablet"/>
    <s v="Asia Pacific"/>
    <s v="SQL"/>
    <m/>
    <m/>
    <m/>
    <n v="3"/>
    <x v="3"/>
    <n v="1"/>
    <n v="1"/>
    <n v="0"/>
  </r>
  <r>
    <s v="LD2883"/>
    <d v="2024-04-10T00:00:00"/>
    <x v="4"/>
    <s v="Partner Program"/>
    <s v="Desktop"/>
    <s v="North America"/>
    <s v="Lead"/>
    <m/>
    <m/>
    <m/>
    <n v="1"/>
    <x v="1"/>
    <n v="0"/>
    <n v="0"/>
    <n v="0"/>
  </r>
  <r>
    <s v="LD5356"/>
    <d v="2024-09-23T00:00:00"/>
    <x v="3"/>
    <s v="Promo Blast"/>
    <s v="Desktop"/>
    <s v="North America"/>
    <s v="Lead"/>
    <m/>
    <m/>
    <m/>
    <n v="1"/>
    <x v="9"/>
    <n v="0"/>
    <n v="0"/>
    <n v="0"/>
  </r>
  <r>
    <s v="LD3021"/>
    <d v="2024-05-25T00:00:00"/>
    <x v="5"/>
    <s v="Landing Page SEO"/>
    <s v="Mobile"/>
    <s v="Europe"/>
    <s v="Customer"/>
    <n v="62"/>
    <s v="Basic"/>
    <n v="884.07"/>
    <n v="4"/>
    <x v="4"/>
    <n v="1"/>
    <n v="1"/>
    <n v="1"/>
  </r>
  <r>
    <s v="LD6600"/>
    <d v="2024-11-21T00:00:00"/>
    <x v="0"/>
    <s v="Facebook Ads"/>
    <s v="Mobile"/>
    <s v="North America"/>
    <s v="MQL"/>
    <m/>
    <m/>
    <m/>
    <n v="2"/>
    <x v="2"/>
    <n v="1"/>
    <n v="0"/>
    <n v="0"/>
  </r>
  <r>
    <s v="LD1024"/>
    <d v="2024-01-26T00:00:00"/>
    <x v="5"/>
    <s v="Landing Page SEO"/>
    <s v="Desktop"/>
    <s v="North America"/>
    <s v="Lead"/>
    <m/>
    <m/>
    <m/>
    <n v="1"/>
    <x v="3"/>
    <n v="0"/>
    <n v="0"/>
    <n v="0"/>
  </r>
  <r>
    <s v="LD3169"/>
    <d v="2024-05-15T00:00:00"/>
    <x v="1"/>
    <s v="Google Ads - Generic"/>
    <s v="Mobile"/>
    <s v="North America"/>
    <s v="Lead"/>
    <m/>
    <m/>
    <m/>
    <n v="1"/>
    <x v="4"/>
    <n v="0"/>
    <n v="0"/>
    <n v="0"/>
  </r>
  <r>
    <s v="LD4807"/>
    <d v="2024-08-08T00:00:00"/>
    <x v="3"/>
    <s v="Monthly Newsletter"/>
    <s v="Desktop"/>
    <s v="Europe"/>
    <s v="Lead"/>
    <m/>
    <m/>
    <m/>
    <n v="1"/>
    <x v="6"/>
    <n v="0"/>
    <n v="0"/>
    <n v="0"/>
  </r>
  <r>
    <s v="LD2003"/>
    <d v="2024-03-13T00:00:00"/>
    <x v="5"/>
    <s v="Blog SEO"/>
    <s v="Desktop"/>
    <s v="Latin America"/>
    <s v="SQL"/>
    <m/>
    <m/>
    <m/>
    <n v="3"/>
    <x v="8"/>
    <n v="1"/>
    <n v="1"/>
    <n v="0"/>
  </r>
  <r>
    <s v="LD6499"/>
    <d v="2024-11-27T00:00:00"/>
    <x v="1"/>
    <s v="Google Ads - Generic"/>
    <s v="Tablet"/>
    <s v="North America"/>
    <s v="Lead"/>
    <m/>
    <m/>
    <m/>
    <n v="1"/>
    <x v="2"/>
    <n v="0"/>
    <n v="0"/>
    <n v="0"/>
  </r>
  <r>
    <s v="LD3352"/>
    <d v="2024-05-24T00:00:00"/>
    <x v="3"/>
    <s v="Monthly Newsletter"/>
    <s v="Desktop"/>
    <s v="Europe"/>
    <s v="Lead"/>
    <m/>
    <m/>
    <m/>
    <n v="1"/>
    <x v="4"/>
    <n v="0"/>
    <n v="0"/>
    <n v="0"/>
  </r>
  <r>
    <s v="LD7046"/>
    <d v="2024-11-01T00:00:00"/>
    <x v="2"/>
    <s v="Direct / Type-in"/>
    <s v="Mobile"/>
    <s v="Latin America"/>
    <s v="MQL"/>
    <m/>
    <m/>
    <m/>
    <n v="2"/>
    <x v="2"/>
    <n v="1"/>
    <n v="0"/>
    <n v="0"/>
  </r>
  <r>
    <s v="LD1713"/>
    <d v="2024-02-09T00:00:00"/>
    <x v="3"/>
    <s v="Monthly Newsletter"/>
    <s v="Mobile"/>
    <s v="Asia Pacific"/>
    <s v="Lead"/>
    <m/>
    <m/>
    <m/>
    <n v="1"/>
    <x v="10"/>
    <n v="0"/>
    <n v="0"/>
    <n v="0"/>
  </r>
  <r>
    <s v="LD6482"/>
    <d v="2024-11-12T00:00:00"/>
    <x v="1"/>
    <s v="Google Ads - Brand"/>
    <s v="Mobile"/>
    <s v="North America"/>
    <s v="Lead"/>
    <m/>
    <m/>
    <m/>
    <n v="1"/>
    <x v="2"/>
    <n v="0"/>
    <n v="0"/>
    <n v="0"/>
  </r>
  <r>
    <s v="LD4835"/>
    <d v="2024-08-11T00:00:00"/>
    <x v="3"/>
    <s v="Monthly Newsletter"/>
    <s v="Mobile"/>
    <s v="Asia Pacific"/>
    <s v="SQL"/>
    <m/>
    <m/>
    <m/>
    <n v="3"/>
    <x v="6"/>
    <n v="1"/>
    <n v="1"/>
    <n v="0"/>
  </r>
  <r>
    <s v="LD5735"/>
    <d v="2024-10-26T00:00:00"/>
    <x v="1"/>
    <s v="Google Ads - Generic"/>
    <s v="Desktop"/>
    <s v="North America"/>
    <s v="Lead"/>
    <m/>
    <m/>
    <m/>
    <n v="1"/>
    <x v="5"/>
    <n v="0"/>
    <n v="0"/>
    <n v="0"/>
  </r>
  <r>
    <s v="LD7343"/>
    <d v="2024-12-13T00:00:00"/>
    <x v="0"/>
    <s v="LinkedIn Ads"/>
    <s v="Mobile"/>
    <s v="Latin America"/>
    <s v="MQL"/>
    <m/>
    <m/>
    <m/>
    <n v="2"/>
    <x v="7"/>
    <n v="1"/>
    <n v="0"/>
    <n v="0"/>
  </r>
  <r>
    <s v="LD7466"/>
    <d v="2024-12-08T00:00:00"/>
    <x v="3"/>
    <s v="Monthly Newsletter"/>
    <s v="Desktop"/>
    <s v="North America"/>
    <s v="Lead"/>
    <m/>
    <m/>
    <m/>
    <n v="1"/>
    <x v="7"/>
    <n v="0"/>
    <n v="0"/>
    <n v="0"/>
  </r>
  <r>
    <s v="LD1477"/>
    <d v="2024-01-20T00:00:00"/>
    <x v="2"/>
    <s v="Direct / Type-in"/>
    <s v="Desktop"/>
    <s v="Latin America"/>
    <s v="Lead"/>
    <m/>
    <m/>
    <m/>
    <n v="1"/>
    <x v="3"/>
    <n v="0"/>
    <n v="0"/>
    <n v="0"/>
  </r>
  <r>
    <s v="LD5481"/>
    <d v="2024-09-12T00:00:00"/>
    <x v="4"/>
    <s v="Affiliate Program"/>
    <s v="Desktop"/>
    <s v="North America"/>
    <s v="MQL"/>
    <m/>
    <m/>
    <m/>
    <n v="2"/>
    <x v="9"/>
    <n v="1"/>
    <n v="0"/>
    <n v="0"/>
  </r>
  <r>
    <s v="LD2790"/>
    <d v="2024-04-14T00:00:00"/>
    <x v="3"/>
    <s v="Monthly Newsletter"/>
    <s v="Desktop"/>
    <s v="North America"/>
    <s v="Lead"/>
    <m/>
    <m/>
    <m/>
    <n v="1"/>
    <x v="1"/>
    <n v="0"/>
    <n v="0"/>
    <n v="0"/>
  </r>
  <r>
    <s v="LD6767"/>
    <d v="2024-11-28T00:00:00"/>
    <x v="3"/>
    <s v="Monthly Newsletter"/>
    <s v="Mobile"/>
    <s v="Europe"/>
    <s v="SQL"/>
    <m/>
    <m/>
    <m/>
    <n v="3"/>
    <x v="2"/>
    <n v="1"/>
    <n v="1"/>
    <n v="0"/>
  </r>
  <r>
    <s v="LD7281"/>
    <d v="2024-12-25T00:00:00"/>
    <x v="1"/>
    <s v="Google Ads - Brand"/>
    <s v="Desktop"/>
    <s v="Europe"/>
    <s v="Lead"/>
    <m/>
    <m/>
    <m/>
    <n v="1"/>
    <x v="7"/>
    <n v="0"/>
    <n v="0"/>
    <n v="0"/>
  </r>
  <r>
    <s v="LD1512"/>
    <d v="2024-02-03T00:00:00"/>
    <x v="5"/>
    <s v="Blog SEO"/>
    <s v="Mobile"/>
    <s v="North America"/>
    <s v="Lead"/>
    <m/>
    <m/>
    <m/>
    <n v="1"/>
    <x v="10"/>
    <n v="0"/>
    <n v="0"/>
    <n v="0"/>
  </r>
  <r>
    <s v="LD7515"/>
    <d v="2024-12-19T00:00:00"/>
    <x v="3"/>
    <s v="Monthly Newsletter"/>
    <s v="Mobile"/>
    <s v="Europe"/>
    <s v="SQL"/>
    <m/>
    <m/>
    <m/>
    <n v="3"/>
    <x v="7"/>
    <n v="1"/>
    <n v="1"/>
    <n v="0"/>
  </r>
  <r>
    <s v="LD3292"/>
    <d v="2024-05-10T00:00:00"/>
    <x v="0"/>
    <s v="LinkedIn Ads"/>
    <s v="Desktop"/>
    <s v="Asia Pacific"/>
    <s v="Lead"/>
    <m/>
    <m/>
    <m/>
    <n v="1"/>
    <x v="4"/>
    <n v="0"/>
    <n v="0"/>
    <n v="0"/>
  </r>
  <r>
    <s v="LD4735"/>
    <d v="2024-08-14T00:00:00"/>
    <x v="0"/>
    <s v="Facebook Ads"/>
    <s v="Desktop"/>
    <s v="Europe"/>
    <s v="SQL"/>
    <m/>
    <m/>
    <m/>
    <n v="3"/>
    <x v="6"/>
    <n v="1"/>
    <n v="1"/>
    <n v="0"/>
  </r>
  <r>
    <s v="LD4013"/>
    <d v="2024-06-08T00:00:00"/>
    <x v="2"/>
    <s v="Direct / Type-in"/>
    <s v="Desktop"/>
    <s v="North America"/>
    <s v="Lead"/>
    <m/>
    <m/>
    <m/>
    <n v="1"/>
    <x v="11"/>
    <n v="0"/>
    <n v="0"/>
    <n v="0"/>
  </r>
  <r>
    <s v="LD2415"/>
    <d v="2024-03-15T00:00:00"/>
    <x v="2"/>
    <s v="Direct / Type-in"/>
    <s v="Mobile"/>
    <s v="Asia Pacific"/>
    <s v="Lead"/>
    <m/>
    <m/>
    <m/>
    <n v="1"/>
    <x v="8"/>
    <n v="0"/>
    <n v="0"/>
    <n v="0"/>
  </r>
  <r>
    <s v="LD3154"/>
    <d v="2024-05-24T00:00:00"/>
    <x v="1"/>
    <s v="Google Ads - Generic"/>
    <s v="Desktop"/>
    <s v="Asia Pacific"/>
    <s v="SQL"/>
    <m/>
    <m/>
    <m/>
    <n v="3"/>
    <x v="4"/>
    <n v="1"/>
    <n v="1"/>
    <n v="0"/>
  </r>
  <r>
    <s v="LD3527"/>
    <d v="2024-05-19T00:00:00"/>
    <x v="2"/>
    <s v="Direct / Type-in"/>
    <s v="Mobile"/>
    <s v="Asia Pacific"/>
    <s v="MQL"/>
    <m/>
    <m/>
    <m/>
    <n v="2"/>
    <x v="4"/>
    <n v="1"/>
    <n v="0"/>
    <n v="0"/>
  </r>
  <r>
    <s v="LD2468"/>
    <d v="2024-03-01T00:00:00"/>
    <x v="2"/>
    <s v="Direct / Type-in"/>
    <s v="Desktop"/>
    <s v="Europe"/>
    <s v="MQL"/>
    <m/>
    <m/>
    <m/>
    <n v="2"/>
    <x v="8"/>
    <n v="1"/>
    <n v="0"/>
    <n v="0"/>
  </r>
  <r>
    <s v="LD3165"/>
    <d v="2024-05-12T00:00:00"/>
    <x v="1"/>
    <s v="Google Ads - Brand"/>
    <s v="Desktop"/>
    <s v="Europe"/>
    <s v="Lead"/>
    <m/>
    <m/>
    <m/>
    <n v="1"/>
    <x v="4"/>
    <n v="0"/>
    <n v="0"/>
    <n v="0"/>
  </r>
  <r>
    <s v="LD5677"/>
    <d v="2024-10-05T00:00:00"/>
    <x v="5"/>
    <s v="Landing Page SEO"/>
    <s v="Mobile"/>
    <s v="North America"/>
    <s v="MQL"/>
    <m/>
    <m/>
    <m/>
    <n v="2"/>
    <x v="5"/>
    <n v="1"/>
    <n v="0"/>
    <n v="0"/>
  </r>
  <r>
    <s v="LD6983"/>
    <d v="2024-11-06T00:00:00"/>
    <x v="4"/>
    <s v="Partner Program"/>
    <s v="Mobile"/>
    <s v="North America"/>
    <s v="Customer"/>
    <n v="63"/>
    <s v="Pro"/>
    <n v="1736.99"/>
    <n v="4"/>
    <x v="2"/>
    <n v="1"/>
    <n v="1"/>
    <n v="1"/>
  </r>
  <r>
    <s v="LD2421"/>
    <d v="2024-03-18T00:00:00"/>
    <x v="2"/>
    <s v="Direct / Type-in"/>
    <s v="Tablet"/>
    <s v="North America"/>
    <s v="Customer"/>
    <n v="58"/>
    <s v="Pro"/>
    <n v="1541.93"/>
    <n v="4"/>
    <x v="8"/>
    <n v="1"/>
    <n v="1"/>
    <n v="1"/>
  </r>
  <r>
    <s v="LD2892"/>
    <d v="2024-04-27T00:00:00"/>
    <x v="4"/>
    <s v="Partner Program"/>
    <s v="Mobile"/>
    <s v="North America"/>
    <s v="Lead"/>
    <m/>
    <m/>
    <m/>
    <n v="1"/>
    <x v="1"/>
    <n v="0"/>
    <n v="0"/>
    <n v="0"/>
  </r>
  <r>
    <s v="LD4579"/>
    <d v="2024-08-04T00:00:00"/>
    <x v="1"/>
    <s v="Google Ads - Generic"/>
    <s v="Desktop"/>
    <s v="Europe"/>
    <s v="SQL"/>
    <m/>
    <m/>
    <m/>
    <n v="3"/>
    <x v="6"/>
    <n v="1"/>
    <n v="1"/>
    <n v="0"/>
  </r>
  <r>
    <s v="LD7053"/>
    <d v="2024-11-14T00:00:00"/>
    <x v="2"/>
    <s v="Direct / Type-in"/>
    <s v="Desktop"/>
    <s v="North America"/>
    <s v="Lead"/>
    <m/>
    <m/>
    <m/>
    <n v="1"/>
    <x v="2"/>
    <n v="0"/>
    <n v="0"/>
    <n v="0"/>
  </r>
  <r>
    <s v="LD1587"/>
    <d v="2024-02-21T00:00:00"/>
    <x v="1"/>
    <s v="Google Ads - Generic"/>
    <s v="Desktop"/>
    <s v="Europe"/>
    <s v="SQL"/>
    <m/>
    <m/>
    <m/>
    <n v="3"/>
    <x v="10"/>
    <n v="1"/>
    <n v="1"/>
    <n v="0"/>
  </r>
  <r>
    <s v="LD1200"/>
    <d v="2024-01-06T00:00:00"/>
    <x v="0"/>
    <s v="Instagram Ads"/>
    <s v="Desktop"/>
    <s v="Europe"/>
    <s v="Lead"/>
    <m/>
    <m/>
    <m/>
    <n v="1"/>
    <x v="3"/>
    <n v="0"/>
    <n v="0"/>
    <n v="0"/>
  </r>
  <r>
    <s v="LD6455"/>
    <d v="2024-11-02T00:00:00"/>
    <x v="5"/>
    <s v="Landing Page SEO"/>
    <s v="Desktop"/>
    <s v="Europe"/>
    <s v="Lead"/>
    <m/>
    <m/>
    <m/>
    <n v="1"/>
    <x v="2"/>
    <n v="0"/>
    <n v="0"/>
    <n v="0"/>
  </r>
  <r>
    <s v="LD3224"/>
    <d v="2024-05-06T00:00:00"/>
    <x v="0"/>
    <s v="Instagram Ads"/>
    <s v="Mobile"/>
    <s v="North America"/>
    <s v="MQL"/>
    <m/>
    <m/>
    <m/>
    <n v="2"/>
    <x v="4"/>
    <n v="1"/>
    <n v="0"/>
    <n v="0"/>
  </r>
  <r>
    <s v="LD2216"/>
    <d v="2024-03-15T00:00:00"/>
    <x v="3"/>
    <s v="Monthly Newsletter"/>
    <s v="Desktop"/>
    <s v="North America"/>
    <s v="Customer"/>
    <n v="66"/>
    <s v="Basic"/>
    <n v="1495.2"/>
    <n v="4"/>
    <x v="8"/>
    <n v="1"/>
    <n v="1"/>
    <n v="1"/>
  </r>
  <r>
    <s v="LD3506"/>
    <d v="2024-05-18T00:00:00"/>
    <x v="2"/>
    <s v="Direct / Type-in"/>
    <s v="Mobile"/>
    <s v="North America"/>
    <s v="Lead"/>
    <m/>
    <m/>
    <m/>
    <n v="1"/>
    <x v="4"/>
    <n v="0"/>
    <n v="0"/>
    <n v="0"/>
  </r>
  <r>
    <s v="LD7307"/>
    <d v="2024-12-27T00:00:00"/>
    <x v="1"/>
    <s v="Google Ads - Generic"/>
    <s v="Mobile"/>
    <s v="North America"/>
    <s v="Lead"/>
    <m/>
    <m/>
    <m/>
    <n v="1"/>
    <x v="7"/>
    <n v="0"/>
    <n v="0"/>
    <n v="0"/>
  </r>
  <r>
    <s v="LD1458"/>
    <d v="2024-01-24T00:00:00"/>
    <x v="2"/>
    <s v="Direct / Type-in"/>
    <s v="Mobile"/>
    <s v="Europe"/>
    <s v="Lead"/>
    <m/>
    <m/>
    <m/>
    <n v="1"/>
    <x v="3"/>
    <n v="0"/>
    <n v="0"/>
    <n v="0"/>
  </r>
  <r>
    <s v="LD2358"/>
    <d v="2024-03-28T00:00:00"/>
    <x v="4"/>
    <s v="Partner Program"/>
    <s v="Desktop"/>
    <s v="North America"/>
    <s v="MQL"/>
    <m/>
    <m/>
    <m/>
    <n v="2"/>
    <x v="8"/>
    <n v="1"/>
    <n v="0"/>
    <n v="0"/>
  </r>
  <r>
    <s v="LD6952"/>
    <d v="2024-11-16T00:00:00"/>
    <x v="4"/>
    <s v="Affiliate Program"/>
    <s v="Desktop"/>
    <s v="Europe"/>
    <s v="Lead"/>
    <m/>
    <m/>
    <m/>
    <n v="1"/>
    <x v="2"/>
    <n v="0"/>
    <n v="0"/>
    <n v="0"/>
  </r>
  <r>
    <s v="LD7585"/>
    <d v="2024-12-10T00:00:00"/>
    <x v="3"/>
    <s v="Monthly Newsletter"/>
    <s v="Desktop"/>
    <s v="North America"/>
    <s v="Lead"/>
    <m/>
    <m/>
    <m/>
    <n v="1"/>
    <x v="7"/>
    <n v="0"/>
    <n v="0"/>
    <n v="0"/>
  </r>
  <r>
    <s v="LD3973"/>
    <d v="2024-06-01T00:00:00"/>
    <x v="4"/>
    <s v="Affiliate Program"/>
    <s v="Desktop"/>
    <s v="North America"/>
    <s v="Lead"/>
    <m/>
    <m/>
    <m/>
    <n v="1"/>
    <x v="11"/>
    <n v="0"/>
    <n v="0"/>
    <n v="0"/>
  </r>
  <r>
    <s v="LD6353"/>
    <d v="2024-11-11T00:00:00"/>
    <x v="5"/>
    <s v="Blog SEO"/>
    <s v="Mobile"/>
    <s v="Europe"/>
    <s v="MQL"/>
    <m/>
    <m/>
    <m/>
    <n v="2"/>
    <x v="2"/>
    <n v="1"/>
    <n v="0"/>
    <n v="0"/>
  </r>
  <r>
    <s v="LD4918"/>
    <d v="2024-08-11T00:00:00"/>
    <x v="4"/>
    <s v="Affiliate Program"/>
    <s v="Mobile"/>
    <s v="North America"/>
    <s v="SQL"/>
    <m/>
    <m/>
    <m/>
    <n v="3"/>
    <x v="6"/>
    <n v="1"/>
    <n v="1"/>
    <n v="0"/>
  </r>
  <r>
    <s v="LD2040"/>
    <d v="2024-03-06T00:00:00"/>
    <x v="5"/>
    <s v="Blog SEO"/>
    <s v="Desktop"/>
    <s v="Asia Pacific"/>
    <s v="MQL"/>
    <m/>
    <m/>
    <m/>
    <n v="2"/>
    <x v="8"/>
    <n v="1"/>
    <n v="0"/>
    <n v="0"/>
  </r>
  <r>
    <s v="LD5329"/>
    <d v="2024-09-07T00:00:00"/>
    <x v="3"/>
    <s v="Promo Blast"/>
    <s v="Mobile"/>
    <s v="Asia Pacific"/>
    <s v="Lead"/>
    <m/>
    <m/>
    <m/>
    <n v="1"/>
    <x v="9"/>
    <n v="0"/>
    <n v="0"/>
    <n v="0"/>
  </r>
  <r>
    <s v="LD2644"/>
    <d v="2024-04-07T00:00:00"/>
    <x v="1"/>
    <s v="Google Ads - Generic"/>
    <s v="Desktop"/>
    <s v="North America"/>
    <s v="Lead"/>
    <m/>
    <m/>
    <m/>
    <n v="1"/>
    <x v="1"/>
    <n v="0"/>
    <n v="0"/>
    <n v="0"/>
  </r>
  <r>
    <s v="LD1958"/>
    <d v="2024-03-17T00:00:00"/>
    <x v="5"/>
    <s v="Landing Page SEO"/>
    <s v="Mobile"/>
    <s v="Asia Pacific"/>
    <s v="MQL"/>
    <m/>
    <m/>
    <m/>
    <n v="2"/>
    <x v="8"/>
    <n v="1"/>
    <n v="0"/>
    <n v="0"/>
  </r>
  <r>
    <s v="LD4622"/>
    <d v="2024-08-10T00:00:00"/>
    <x v="1"/>
    <s v="Google Ads - Generic"/>
    <s v="Desktop"/>
    <s v="North America"/>
    <s v="MQL"/>
    <m/>
    <m/>
    <m/>
    <n v="2"/>
    <x v="6"/>
    <n v="1"/>
    <n v="0"/>
    <n v="0"/>
  </r>
  <r>
    <s v="LD4718"/>
    <d v="2024-08-13T00:00:00"/>
    <x v="0"/>
    <s v="LinkedIn Ads"/>
    <s v="Desktop"/>
    <s v="North America"/>
    <s v="SQL"/>
    <m/>
    <m/>
    <m/>
    <n v="3"/>
    <x v="6"/>
    <n v="1"/>
    <n v="1"/>
    <n v="0"/>
  </r>
  <r>
    <s v="LD1839"/>
    <d v="2024-02-10T00:00:00"/>
    <x v="4"/>
    <s v="Partner Program"/>
    <s v="Desktop"/>
    <s v="North America"/>
    <s v="Lead"/>
    <m/>
    <m/>
    <m/>
    <n v="1"/>
    <x v="10"/>
    <n v="0"/>
    <n v="0"/>
    <n v="0"/>
  </r>
  <r>
    <s v="LD6675"/>
    <d v="2024-11-06T00:00:00"/>
    <x v="0"/>
    <s v="Instagram Ads"/>
    <s v="Desktop"/>
    <s v="Europe"/>
    <s v="MQL"/>
    <m/>
    <m/>
    <m/>
    <n v="2"/>
    <x v="2"/>
    <n v="1"/>
    <n v="0"/>
    <n v="0"/>
  </r>
  <r>
    <s v="LD2079"/>
    <d v="2024-03-10T00:00:00"/>
    <x v="1"/>
    <s v="Google Ads - Brand"/>
    <s v="Desktop"/>
    <s v="Asia Pacific"/>
    <s v="Lead"/>
    <m/>
    <m/>
    <m/>
    <n v="1"/>
    <x v="8"/>
    <n v="0"/>
    <n v="0"/>
    <n v="0"/>
  </r>
  <r>
    <s v="LD7571"/>
    <d v="2024-12-13T00:00:00"/>
    <x v="3"/>
    <s v="Monthly Newsletter"/>
    <s v="Mobile"/>
    <s v="North America"/>
    <s v="SQL"/>
    <m/>
    <m/>
    <m/>
    <n v="3"/>
    <x v="7"/>
    <n v="1"/>
    <n v="1"/>
    <n v="0"/>
  </r>
  <r>
    <s v="LD2927"/>
    <d v="2024-04-14T00:00:00"/>
    <x v="4"/>
    <s v="Partner Program"/>
    <s v="Mobile"/>
    <s v="North America"/>
    <s v="Lead"/>
    <m/>
    <m/>
    <m/>
    <n v="1"/>
    <x v="1"/>
    <n v="0"/>
    <n v="0"/>
    <n v="0"/>
  </r>
  <r>
    <s v="LD6688"/>
    <d v="2024-11-18T00:00:00"/>
    <x v="0"/>
    <s v="Facebook Ads"/>
    <s v="Mobile"/>
    <s v="North America"/>
    <s v="Lead"/>
    <m/>
    <m/>
    <m/>
    <n v="1"/>
    <x v="2"/>
    <n v="0"/>
    <n v="0"/>
    <n v="0"/>
  </r>
  <r>
    <s v="LD7322"/>
    <d v="2024-12-02T00:00:00"/>
    <x v="1"/>
    <s v="Google Ads - Generic"/>
    <s v="Mobile"/>
    <s v="Europe"/>
    <s v="Lead"/>
    <m/>
    <m/>
    <m/>
    <n v="1"/>
    <x v="7"/>
    <n v="0"/>
    <n v="0"/>
    <n v="0"/>
  </r>
  <r>
    <s v="LD5971"/>
    <d v="2024-10-15T00:00:00"/>
    <x v="3"/>
    <s v="Promo Blast"/>
    <s v="Desktop"/>
    <s v="Europe"/>
    <s v="Lead"/>
    <m/>
    <m/>
    <m/>
    <n v="1"/>
    <x v="5"/>
    <n v="0"/>
    <n v="0"/>
    <n v="0"/>
  </r>
  <r>
    <s v="LD4342"/>
    <d v="2024-07-01T00:00:00"/>
    <x v="3"/>
    <s v="Promo Blast"/>
    <s v="Desktop"/>
    <s v="Europe"/>
    <s v="MQL"/>
    <m/>
    <m/>
    <m/>
    <n v="2"/>
    <x v="0"/>
    <n v="1"/>
    <n v="0"/>
    <n v="0"/>
  </r>
  <r>
    <s v="LD5086"/>
    <d v="2024-09-28T00:00:00"/>
    <x v="5"/>
    <s v="Blog SEO"/>
    <s v="Desktop"/>
    <s v="North America"/>
    <s v="Customer"/>
    <n v="12"/>
    <s v="Pro"/>
    <n v="1898.55"/>
    <n v="4"/>
    <x v="9"/>
    <n v="1"/>
    <n v="1"/>
    <n v="1"/>
  </r>
  <r>
    <s v="LD4280"/>
    <d v="2024-07-19T00:00:00"/>
    <x v="3"/>
    <s v="Promo Blast"/>
    <s v="Mobile"/>
    <s v="North America"/>
    <s v="Customer"/>
    <n v="59"/>
    <s v="Pro"/>
    <n v="2992.98"/>
    <n v="4"/>
    <x v="0"/>
    <n v="1"/>
    <n v="1"/>
    <n v="1"/>
  </r>
  <r>
    <s v="LD3987"/>
    <d v="2024-06-12T00:00:00"/>
    <x v="2"/>
    <s v="Direct / Type-in"/>
    <s v="Mobile"/>
    <s v="North America"/>
    <s v="Lead"/>
    <m/>
    <m/>
    <m/>
    <n v="1"/>
    <x v="11"/>
    <n v="0"/>
    <n v="0"/>
    <n v="0"/>
  </r>
  <r>
    <s v="LD6185"/>
    <d v="2024-10-03T00:00:00"/>
    <x v="4"/>
    <s v="Partner Program"/>
    <s v="Mobile"/>
    <s v="Europe"/>
    <s v="Lead"/>
    <m/>
    <m/>
    <m/>
    <n v="1"/>
    <x v="5"/>
    <n v="0"/>
    <n v="0"/>
    <n v="0"/>
  </r>
  <r>
    <s v="LD6270"/>
    <d v="2024-10-03T00:00:00"/>
    <x v="2"/>
    <s v="Direct / Type-in"/>
    <s v="Desktop"/>
    <s v="Asia Pacific"/>
    <s v="MQL"/>
    <m/>
    <m/>
    <m/>
    <n v="2"/>
    <x v="5"/>
    <n v="1"/>
    <n v="0"/>
    <n v="0"/>
  </r>
  <r>
    <s v="LD7746"/>
    <d v="2024-12-08T00:00:00"/>
    <x v="2"/>
    <s v="Direct / Type-in"/>
    <s v="Mobile"/>
    <s v="Europe"/>
    <s v="MQL"/>
    <m/>
    <m/>
    <m/>
    <n v="2"/>
    <x v="7"/>
    <n v="1"/>
    <n v="0"/>
    <n v="0"/>
  </r>
  <r>
    <s v="LD2748"/>
    <d v="2024-04-27T00:00:00"/>
    <x v="3"/>
    <s v="Monthly Newsletter"/>
    <s v="Tablet"/>
    <s v="Asia Pacific"/>
    <s v="MQL"/>
    <m/>
    <m/>
    <m/>
    <n v="2"/>
    <x v="1"/>
    <n v="1"/>
    <n v="0"/>
    <n v="0"/>
  </r>
  <r>
    <s v="LD2243"/>
    <d v="2024-03-16T00:00:00"/>
    <x v="3"/>
    <s v="Promo Blast"/>
    <s v="Mobile"/>
    <s v="Latin America"/>
    <s v="MQL"/>
    <m/>
    <m/>
    <m/>
    <n v="2"/>
    <x v="8"/>
    <n v="1"/>
    <n v="0"/>
    <n v="0"/>
  </r>
  <r>
    <s v="LD3950"/>
    <d v="2024-06-10T00:00:00"/>
    <x v="4"/>
    <s v="Partner Program"/>
    <s v="Mobile"/>
    <s v="Asia Pacific"/>
    <s v="Lead"/>
    <m/>
    <m/>
    <m/>
    <n v="1"/>
    <x v="11"/>
    <n v="0"/>
    <n v="0"/>
    <n v="0"/>
  </r>
  <r>
    <s v="LD7107"/>
    <d v="2024-12-14T00:00:00"/>
    <x v="5"/>
    <s v="Blog SEO"/>
    <s v="Tablet"/>
    <s v="North America"/>
    <s v="Lead"/>
    <m/>
    <m/>
    <m/>
    <n v="1"/>
    <x v="7"/>
    <n v="0"/>
    <n v="0"/>
    <n v="0"/>
  </r>
  <r>
    <s v="LD2653"/>
    <d v="2024-04-28T00:00:00"/>
    <x v="1"/>
    <s v="Google Ads - Brand"/>
    <s v="Desktop"/>
    <s v="North America"/>
    <s v="Lead"/>
    <m/>
    <m/>
    <m/>
    <n v="1"/>
    <x v="1"/>
    <n v="0"/>
    <n v="0"/>
    <n v="0"/>
  </r>
  <r>
    <s v="LD2329"/>
    <d v="2024-03-15T00:00:00"/>
    <x v="4"/>
    <s v="Partner Program"/>
    <s v="Desktop"/>
    <s v="Asia Pacific"/>
    <s v="Lead"/>
    <m/>
    <m/>
    <m/>
    <n v="1"/>
    <x v="8"/>
    <n v="0"/>
    <n v="0"/>
    <n v="0"/>
  </r>
  <r>
    <s v="LD3846"/>
    <d v="2024-06-28T00:00:00"/>
    <x v="3"/>
    <s v="Promo Blast"/>
    <s v="Desktop"/>
    <s v="Latin America"/>
    <s v="MQL"/>
    <m/>
    <m/>
    <m/>
    <n v="2"/>
    <x v="11"/>
    <n v="1"/>
    <n v="0"/>
    <n v="0"/>
  </r>
  <r>
    <s v="LD3859"/>
    <d v="2024-06-27T00:00:00"/>
    <x v="3"/>
    <s v="Monthly Newsletter"/>
    <s v="Mobile"/>
    <s v="Asia Pacific"/>
    <s v="Customer"/>
    <n v="11"/>
    <s v="Basic"/>
    <n v="1133.42"/>
    <n v="4"/>
    <x v="11"/>
    <n v="1"/>
    <n v="1"/>
    <n v="1"/>
  </r>
  <r>
    <s v="LD1409"/>
    <d v="2024-01-09T00:00:00"/>
    <x v="4"/>
    <s v="Affiliate Program"/>
    <s v="Desktop"/>
    <s v="Asia Pacific"/>
    <s v="MQL"/>
    <m/>
    <m/>
    <m/>
    <n v="2"/>
    <x v="3"/>
    <n v="1"/>
    <n v="0"/>
    <n v="0"/>
  </r>
  <r>
    <s v="LD7688"/>
    <d v="2024-12-26T00:00:00"/>
    <x v="4"/>
    <s v="Partner Program"/>
    <s v="Desktop"/>
    <s v="North America"/>
    <s v="SQL"/>
    <m/>
    <m/>
    <m/>
    <n v="3"/>
    <x v="7"/>
    <n v="1"/>
    <n v="1"/>
    <n v="0"/>
  </r>
  <r>
    <s v="LD7381"/>
    <d v="2024-12-18T00:00:00"/>
    <x v="0"/>
    <s v="Instagram Ads"/>
    <s v="Mobile"/>
    <s v="North America"/>
    <s v="Lead"/>
    <m/>
    <m/>
    <m/>
    <n v="1"/>
    <x v="7"/>
    <n v="0"/>
    <n v="0"/>
    <n v="0"/>
  </r>
  <r>
    <s v="LD7532"/>
    <d v="2024-12-07T00:00:00"/>
    <x v="3"/>
    <s v="Promo Blast"/>
    <s v="Mobile"/>
    <s v="North America"/>
    <s v="Lead"/>
    <m/>
    <m/>
    <m/>
    <n v="1"/>
    <x v="7"/>
    <n v="0"/>
    <n v="0"/>
    <n v="0"/>
  </r>
  <r>
    <s v="LD1743"/>
    <d v="2024-02-23T00:00:00"/>
    <x v="3"/>
    <s v="Promo Blast"/>
    <s v="Desktop"/>
    <s v="North America"/>
    <s v="MQL"/>
    <m/>
    <m/>
    <m/>
    <n v="2"/>
    <x v="10"/>
    <n v="1"/>
    <n v="0"/>
    <n v="0"/>
  </r>
  <r>
    <s v="LD5708"/>
    <d v="2024-10-02T00:00:00"/>
    <x v="5"/>
    <s v="Blog SEO"/>
    <s v="Desktop"/>
    <s v="North America"/>
    <s v="Lead"/>
    <m/>
    <m/>
    <m/>
    <n v="1"/>
    <x v="5"/>
    <n v="0"/>
    <n v="0"/>
    <n v="0"/>
  </r>
  <r>
    <s v="LD4101"/>
    <d v="2024-07-18T00:00:00"/>
    <x v="5"/>
    <s v="Blog SEO"/>
    <s v="Desktop"/>
    <s v="Latin America"/>
    <s v="SQL"/>
    <m/>
    <m/>
    <m/>
    <n v="3"/>
    <x v="0"/>
    <n v="1"/>
    <n v="1"/>
    <n v="0"/>
  </r>
  <r>
    <s v="LD5540"/>
    <d v="2024-09-25T00:00:00"/>
    <x v="4"/>
    <s v="Affiliate Program"/>
    <s v="Mobile"/>
    <s v="Asia Pacific"/>
    <s v="Lead"/>
    <m/>
    <m/>
    <m/>
    <n v="1"/>
    <x v="9"/>
    <n v="0"/>
    <n v="0"/>
    <n v="0"/>
  </r>
  <r>
    <s v="LD2583"/>
    <d v="2024-04-14T00:00:00"/>
    <x v="1"/>
    <s v="Google Ads - Brand"/>
    <s v="Desktop"/>
    <s v="Europe"/>
    <s v="Lead"/>
    <m/>
    <m/>
    <m/>
    <n v="1"/>
    <x v="1"/>
    <n v="0"/>
    <n v="0"/>
    <n v="0"/>
  </r>
  <r>
    <s v="LD5858"/>
    <d v="2024-10-05T00:00:00"/>
    <x v="0"/>
    <s v="Instagram Ads"/>
    <s v="Desktop"/>
    <s v="North America"/>
    <s v="MQL"/>
    <m/>
    <m/>
    <m/>
    <n v="2"/>
    <x v="5"/>
    <n v="1"/>
    <n v="0"/>
    <n v="0"/>
  </r>
  <r>
    <s v="LD5075"/>
    <d v="2024-09-16T00:00:00"/>
    <x v="5"/>
    <s v="Blog SEO"/>
    <s v="Desktop"/>
    <s v="North America"/>
    <s v="Lead"/>
    <m/>
    <m/>
    <m/>
    <n v="1"/>
    <x v="9"/>
    <n v="0"/>
    <n v="0"/>
    <n v="0"/>
  </r>
  <r>
    <s v="LD1080"/>
    <d v="2024-01-15T00:00:00"/>
    <x v="5"/>
    <s v="Blog SEO"/>
    <s v="Mobile"/>
    <s v="Europe"/>
    <s v="Lead"/>
    <m/>
    <m/>
    <m/>
    <n v="1"/>
    <x v="3"/>
    <n v="0"/>
    <n v="0"/>
    <n v="0"/>
  </r>
  <r>
    <s v="LD3378"/>
    <d v="2024-05-28T00:00:00"/>
    <x v="3"/>
    <s v="Monthly Newsletter"/>
    <s v="Desktop"/>
    <s v="North America"/>
    <s v="SQL"/>
    <m/>
    <m/>
    <m/>
    <n v="3"/>
    <x v="4"/>
    <n v="1"/>
    <n v="1"/>
    <n v="0"/>
  </r>
  <r>
    <s v="LD2658"/>
    <d v="2024-04-03T00:00:00"/>
    <x v="1"/>
    <s v="Google Ads - Brand"/>
    <s v="Mobile"/>
    <s v="Latin America"/>
    <s v="SQL"/>
    <m/>
    <m/>
    <m/>
    <n v="3"/>
    <x v="1"/>
    <n v="1"/>
    <n v="1"/>
    <n v="0"/>
  </r>
  <r>
    <s v="LD7018"/>
    <d v="2024-11-10T00:00:00"/>
    <x v="2"/>
    <s v="Direct / Type-in"/>
    <s v="Desktop"/>
    <s v="Europe"/>
    <s v="SQL"/>
    <m/>
    <m/>
    <m/>
    <n v="3"/>
    <x v="2"/>
    <n v="1"/>
    <n v="1"/>
    <n v="0"/>
  </r>
  <r>
    <s v="LD4271"/>
    <d v="2024-07-26T00:00:00"/>
    <x v="3"/>
    <s v="Promo Blast"/>
    <s v="Desktop"/>
    <s v="North America"/>
    <s v="Customer"/>
    <n v="10"/>
    <s v="Pro"/>
    <n v="3202.01"/>
    <n v="4"/>
    <x v="0"/>
    <n v="1"/>
    <n v="1"/>
    <n v="1"/>
  </r>
  <r>
    <s v="LD6055"/>
    <d v="2024-10-07T00:00:00"/>
    <x v="3"/>
    <s v="Monthly Newsletter"/>
    <s v="Desktop"/>
    <s v="North America"/>
    <s v="Lead"/>
    <m/>
    <m/>
    <m/>
    <n v="1"/>
    <x v="5"/>
    <n v="0"/>
    <n v="0"/>
    <n v="0"/>
  </r>
  <r>
    <s v="LD3978"/>
    <d v="2024-06-24T00:00:00"/>
    <x v="4"/>
    <s v="Partner Program"/>
    <s v="Mobile"/>
    <s v="North America"/>
    <s v="SQL"/>
    <m/>
    <m/>
    <m/>
    <n v="3"/>
    <x v="11"/>
    <n v="1"/>
    <n v="1"/>
    <n v="0"/>
  </r>
  <r>
    <s v="LD3571"/>
    <d v="2024-06-26T00:00:00"/>
    <x v="5"/>
    <s v="Landing Page SEO"/>
    <s v="Desktop"/>
    <s v="North America"/>
    <s v="Lead"/>
    <m/>
    <m/>
    <m/>
    <n v="1"/>
    <x v="11"/>
    <n v="0"/>
    <n v="0"/>
    <n v="0"/>
  </r>
  <r>
    <s v="LD6786"/>
    <d v="2024-11-25T00:00:00"/>
    <x v="3"/>
    <s v="Promo Blast"/>
    <s v="Desktop"/>
    <s v="North America"/>
    <s v="Customer"/>
    <n v="53"/>
    <s v="Basic"/>
    <n v="1298.1600000000001"/>
    <n v="4"/>
    <x v="2"/>
    <n v="1"/>
    <n v="1"/>
    <n v="1"/>
  </r>
  <r>
    <s v="LD2200"/>
    <d v="2024-03-14T00:00:00"/>
    <x v="0"/>
    <s v="LinkedIn Ads"/>
    <s v="Desktop"/>
    <s v="North America"/>
    <s v="Lead"/>
    <m/>
    <m/>
    <m/>
    <n v="1"/>
    <x v="8"/>
    <n v="0"/>
    <n v="0"/>
    <n v="0"/>
  </r>
  <r>
    <s v="LD7508"/>
    <d v="2024-12-19T00:00:00"/>
    <x v="3"/>
    <s v="Promo Blast"/>
    <s v="Desktop"/>
    <s v="Europe"/>
    <s v="Lead"/>
    <m/>
    <m/>
    <m/>
    <n v="1"/>
    <x v="7"/>
    <n v="0"/>
    <n v="0"/>
    <n v="0"/>
  </r>
  <r>
    <s v="LD5512"/>
    <d v="2024-09-05T00:00:00"/>
    <x v="4"/>
    <s v="Affiliate Program"/>
    <s v="Mobile"/>
    <s v="Asia Pacific"/>
    <s v="SQL"/>
    <m/>
    <m/>
    <m/>
    <n v="3"/>
    <x v="9"/>
    <n v="1"/>
    <n v="1"/>
    <n v="0"/>
  </r>
  <r>
    <s v="LD3133"/>
    <d v="2024-05-03T00:00:00"/>
    <x v="1"/>
    <s v="Google Ads - Generic"/>
    <s v="Mobile"/>
    <s v="Latin America"/>
    <s v="Lead"/>
    <m/>
    <m/>
    <m/>
    <n v="1"/>
    <x v="4"/>
    <n v="0"/>
    <n v="0"/>
    <n v="0"/>
  </r>
  <r>
    <s v="LD6446"/>
    <d v="2024-11-24T00:00:00"/>
    <x v="5"/>
    <s v="Landing Page SEO"/>
    <s v="Mobile"/>
    <s v="Latin America"/>
    <s v="Lead"/>
    <m/>
    <m/>
    <m/>
    <n v="1"/>
    <x v="2"/>
    <n v="0"/>
    <n v="0"/>
    <n v="0"/>
  </r>
  <r>
    <s v="LD3411"/>
    <d v="2024-05-05T00:00:00"/>
    <x v="3"/>
    <s v="Monthly Newsletter"/>
    <s v="Desktop"/>
    <s v="Europe"/>
    <s v="SQL"/>
    <m/>
    <m/>
    <m/>
    <n v="3"/>
    <x v="4"/>
    <n v="1"/>
    <n v="1"/>
    <n v="0"/>
  </r>
  <r>
    <s v="LD3229"/>
    <d v="2024-05-08T00:00:00"/>
    <x v="0"/>
    <s v="Facebook Ads"/>
    <s v="Mobile"/>
    <s v="North America"/>
    <s v="Lead"/>
    <m/>
    <m/>
    <m/>
    <n v="1"/>
    <x v="4"/>
    <n v="0"/>
    <n v="0"/>
    <n v="0"/>
  </r>
  <r>
    <s v="LD4196"/>
    <d v="2024-07-17T00:00:00"/>
    <x v="1"/>
    <s v="Google Ads - Generic"/>
    <s v="Tablet"/>
    <s v="North America"/>
    <s v="Customer"/>
    <n v="50"/>
    <s v="Basic"/>
    <n v="522.13"/>
    <n v="4"/>
    <x v="0"/>
    <n v="1"/>
    <n v="1"/>
    <n v="1"/>
  </r>
  <r>
    <s v="LD3168"/>
    <d v="2024-05-08T00:00:00"/>
    <x v="1"/>
    <s v="Google Ads - Brand"/>
    <s v="Desktop"/>
    <s v="Europe"/>
    <s v="MQL"/>
    <m/>
    <m/>
    <m/>
    <n v="2"/>
    <x v="4"/>
    <n v="1"/>
    <n v="0"/>
    <n v="0"/>
  </r>
  <r>
    <s v="LD4922"/>
    <d v="2024-08-14T00:00:00"/>
    <x v="4"/>
    <s v="Partner Program"/>
    <s v="Tablet"/>
    <s v="North America"/>
    <s v="SQL"/>
    <m/>
    <m/>
    <m/>
    <n v="3"/>
    <x v="6"/>
    <n v="1"/>
    <n v="1"/>
    <n v="0"/>
  </r>
  <r>
    <s v="LD6890"/>
    <d v="2024-11-26T00:00:00"/>
    <x v="3"/>
    <s v="Promo Blast"/>
    <s v="Mobile"/>
    <s v="North America"/>
    <s v="MQL"/>
    <m/>
    <m/>
    <m/>
    <n v="2"/>
    <x v="2"/>
    <n v="1"/>
    <n v="0"/>
    <n v="0"/>
  </r>
  <r>
    <s v="LD2355"/>
    <d v="2024-03-21T00:00:00"/>
    <x v="4"/>
    <s v="Affiliate Program"/>
    <s v="Desktop"/>
    <s v="Asia Pacific"/>
    <s v="Lead"/>
    <m/>
    <m/>
    <m/>
    <n v="1"/>
    <x v="8"/>
    <n v="0"/>
    <n v="0"/>
    <n v="0"/>
  </r>
  <r>
    <s v="LD6552"/>
    <d v="2024-11-07T00:00:00"/>
    <x v="1"/>
    <s v="Google Ads - Generic"/>
    <s v="Mobile"/>
    <s v="Europe"/>
    <s v="Lead"/>
    <m/>
    <m/>
    <m/>
    <n v="1"/>
    <x v="2"/>
    <n v="0"/>
    <n v="0"/>
    <n v="0"/>
  </r>
  <r>
    <s v="LD6434"/>
    <d v="2024-11-03T00:00:00"/>
    <x v="5"/>
    <s v="Blog SEO"/>
    <s v="Desktop"/>
    <s v="Asia Pacific"/>
    <s v="Customer"/>
    <n v="74"/>
    <s v="Enterprise"/>
    <n v="13096.19"/>
    <n v="4"/>
    <x v="2"/>
    <n v="1"/>
    <n v="1"/>
    <n v="1"/>
  </r>
  <r>
    <s v="LD7738"/>
    <d v="2024-12-19T00:00:00"/>
    <x v="2"/>
    <s v="Direct / Type-in"/>
    <s v="Desktop"/>
    <s v="Asia Pacific"/>
    <s v="SQL"/>
    <m/>
    <m/>
    <m/>
    <n v="3"/>
    <x v="7"/>
    <n v="1"/>
    <n v="1"/>
    <n v="0"/>
  </r>
  <r>
    <s v="LD7577"/>
    <d v="2024-12-22T00:00:00"/>
    <x v="3"/>
    <s v="Monthly Newsletter"/>
    <s v="Mobile"/>
    <s v="Europe"/>
    <s v="SQL"/>
    <m/>
    <m/>
    <m/>
    <n v="3"/>
    <x v="7"/>
    <n v="1"/>
    <n v="1"/>
    <n v="0"/>
  </r>
  <r>
    <s v="LD4607"/>
    <d v="2024-08-25T00:00:00"/>
    <x v="1"/>
    <s v="Google Ads - Generic"/>
    <s v="Desktop"/>
    <s v="Europe"/>
    <s v="SQL"/>
    <m/>
    <m/>
    <m/>
    <n v="3"/>
    <x v="6"/>
    <n v="1"/>
    <n v="1"/>
    <n v="0"/>
  </r>
  <r>
    <s v="LD3896"/>
    <d v="2024-06-19T00:00:00"/>
    <x v="3"/>
    <s v="Promo Blast"/>
    <s v="Tablet"/>
    <s v="North America"/>
    <s v="Lead"/>
    <m/>
    <m/>
    <m/>
    <n v="1"/>
    <x v="11"/>
    <n v="0"/>
    <n v="0"/>
    <n v="0"/>
  </r>
  <r>
    <s v="LD1382"/>
    <d v="2024-01-15T00:00:00"/>
    <x v="4"/>
    <s v="Partner Program"/>
    <s v="Mobile"/>
    <s v="Europe"/>
    <s v="Lead"/>
    <m/>
    <m/>
    <m/>
    <n v="1"/>
    <x v="3"/>
    <n v="0"/>
    <n v="0"/>
    <n v="0"/>
  </r>
  <r>
    <s v="LD4519"/>
    <d v="2024-08-05T00:00:00"/>
    <x v="5"/>
    <s v="Blog SEO"/>
    <s v="Desktop"/>
    <s v="North America"/>
    <s v="Customer"/>
    <n v="41"/>
    <s v="Pro"/>
    <n v="1996.71"/>
    <n v="4"/>
    <x v="6"/>
    <n v="1"/>
    <n v="1"/>
    <n v="1"/>
  </r>
  <r>
    <s v="LD6350"/>
    <d v="2024-11-26T00:00:00"/>
    <x v="5"/>
    <s v="Landing Page SEO"/>
    <s v="Mobile"/>
    <s v="Asia Pacific"/>
    <s v="Lead"/>
    <m/>
    <m/>
    <m/>
    <n v="1"/>
    <x v="2"/>
    <n v="0"/>
    <n v="0"/>
    <n v="0"/>
  </r>
  <r>
    <s v="LD4842"/>
    <d v="2024-08-01T00:00:00"/>
    <x v="3"/>
    <s v="Promo Blast"/>
    <s v="Mobile"/>
    <s v="North America"/>
    <s v="Lead"/>
    <m/>
    <m/>
    <m/>
    <n v="1"/>
    <x v="6"/>
    <n v="0"/>
    <n v="0"/>
    <n v="0"/>
  </r>
  <r>
    <s v="LD1325"/>
    <d v="2024-01-01T00:00:00"/>
    <x v="3"/>
    <s v="Promo Blast"/>
    <s v="Desktop"/>
    <s v="Europe"/>
    <s v="Lead"/>
    <m/>
    <m/>
    <m/>
    <n v="1"/>
    <x v="3"/>
    <n v="0"/>
    <n v="0"/>
    <n v="0"/>
  </r>
  <r>
    <s v="LD7549"/>
    <d v="2024-12-02T00:00:00"/>
    <x v="3"/>
    <s v="Promo Blast"/>
    <s v="Desktop"/>
    <s v="Asia Pacific"/>
    <s v="MQL"/>
    <m/>
    <m/>
    <m/>
    <n v="2"/>
    <x v="7"/>
    <n v="1"/>
    <n v="0"/>
    <n v="0"/>
  </r>
  <r>
    <s v="LD6642"/>
    <d v="2024-11-17T00:00:00"/>
    <x v="0"/>
    <s v="Instagram Ads"/>
    <s v="Tablet"/>
    <s v="Latin America"/>
    <s v="Lead"/>
    <m/>
    <m/>
    <m/>
    <n v="1"/>
    <x v="2"/>
    <n v="0"/>
    <n v="0"/>
    <n v="0"/>
  </r>
  <r>
    <s v="LD2104"/>
    <d v="2024-03-11T00:00:00"/>
    <x v="1"/>
    <s v="Google Ads - Brand"/>
    <s v="Desktop"/>
    <s v="North America"/>
    <s v="SQL"/>
    <m/>
    <m/>
    <m/>
    <n v="3"/>
    <x v="8"/>
    <n v="1"/>
    <n v="1"/>
    <n v="0"/>
  </r>
  <r>
    <s v="LD5538"/>
    <d v="2024-09-08T00:00:00"/>
    <x v="4"/>
    <s v="Affiliate Program"/>
    <s v="Mobile"/>
    <s v="Latin America"/>
    <s v="Customer"/>
    <n v="45"/>
    <s v="Basic"/>
    <n v="1289.5899999999999"/>
    <n v="4"/>
    <x v="9"/>
    <n v="1"/>
    <n v="1"/>
    <n v="1"/>
  </r>
  <r>
    <s v="LD3246"/>
    <d v="2024-05-11T00:00:00"/>
    <x v="0"/>
    <s v="Facebook Ads"/>
    <s v="Mobile"/>
    <s v="Asia Pacific"/>
    <s v="Lead"/>
    <m/>
    <m/>
    <m/>
    <n v="1"/>
    <x v="4"/>
    <n v="0"/>
    <n v="0"/>
    <n v="0"/>
  </r>
  <r>
    <s v="LD6472"/>
    <d v="2024-11-24T00:00:00"/>
    <x v="1"/>
    <s v="Google Ads - Generic"/>
    <s v="Mobile"/>
    <s v="Asia Pacific"/>
    <s v="MQL"/>
    <m/>
    <m/>
    <m/>
    <n v="2"/>
    <x v="2"/>
    <n v="1"/>
    <n v="0"/>
    <n v="0"/>
  </r>
  <r>
    <s v="LD3300"/>
    <d v="2024-05-05T00:00:00"/>
    <x v="3"/>
    <s v="Promo Blast"/>
    <s v="Desktop"/>
    <s v="Europe"/>
    <s v="MQL"/>
    <m/>
    <m/>
    <m/>
    <n v="2"/>
    <x v="4"/>
    <n v="1"/>
    <n v="0"/>
    <n v="0"/>
  </r>
  <r>
    <s v="LD5685"/>
    <d v="2024-10-23T00:00:00"/>
    <x v="5"/>
    <s v="Landing Page SEO"/>
    <s v="Desktop"/>
    <s v="Asia Pacific"/>
    <s v="Lead"/>
    <m/>
    <m/>
    <m/>
    <n v="1"/>
    <x v="5"/>
    <n v="0"/>
    <n v="0"/>
    <n v="0"/>
  </r>
  <r>
    <s v="LD1843"/>
    <d v="2024-02-07T00:00:00"/>
    <x v="4"/>
    <s v="Partner Program"/>
    <s v="Mobile"/>
    <s v="Asia Pacific"/>
    <s v="MQL"/>
    <m/>
    <m/>
    <m/>
    <n v="2"/>
    <x v="10"/>
    <n v="1"/>
    <n v="0"/>
    <n v="0"/>
  </r>
  <r>
    <s v="LD4413"/>
    <d v="2024-07-05T00:00:00"/>
    <x v="4"/>
    <s v="Partner Program"/>
    <s v="Desktop"/>
    <s v="North America"/>
    <s v="MQL"/>
    <m/>
    <m/>
    <m/>
    <n v="2"/>
    <x v="0"/>
    <n v="1"/>
    <n v="0"/>
    <n v="0"/>
  </r>
  <r>
    <s v="LD2920"/>
    <d v="2024-04-17T00:00:00"/>
    <x v="4"/>
    <s v="Partner Program"/>
    <s v="Desktop"/>
    <s v="North America"/>
    <s v="Customer"/>
    <n v="60"/>
    <s v="Pro"/>
    <n v="3646.82"/>
    <n v="4"/>
    <x v="1"/>
    <n v="1"/>
    <n v="1"/>
    <n v="1"/>
  </r>
  <r>
    <s v="LD4769"/>
    <d v="2024-08-10T00:00:00"/>
    <x v="3"/>
    <s v="Promo Blast"/>
    <s v="Desktop"/>
    <s v="Europe"/>
    <s v="Lead"/>
    <m/>
    <m/>
    <m/>
    <n v="1"/>
    <x v="6"/>
    <n v="0"/>
    <n v="0"/>
    <n v="0"/>
  </r>
  <r>
    <s v="LD6313"/>
    <d v="2024-10-09T00:00:00"/>
    <x v="2"/>
    <s v="Direct / Type-in"/>
    <s v="Mobile"/>
    <s v="Latin America"/>
    <s v="SQL"/>
    <m/>
    <m/>
    <m/>
    <n v="3"/>
    <x v="5"/>
    <n v="1"/>
    <n v="1"/>
    <n v="0"/>
  </r>
  <r>
    <s v="LD7121"/>
    <d v="2024-12-11T00:00:00"/>
    <x v="5"/>
    <s v="Blog SEO"/>
    <s v="Desktop"/>
    <s v="Europe"/>
    <s v="MQL"/>
    <m/>
    <m/>
    <m/>
    <n v="2"/>
    <x v="7"/>
    <n v="1"/>
    <n v="0"/>
    <n v="0"/>
  </r>
  <r>
    <s v="LD4754"/>
    <d v="2024-08-10T00:00:00"/>
    <x v="3"/>
    <s v="Monthly Newsletter"/>
    <s v="Desktop"/>
    <s v="North America"/>
    <s v="MQL"/>
    <m/>
    <m/>
    <m/>
    <n v="2"/>
    <x v="6"/>
    <n v="1"/>
    <n v="0"/>
    <n v="0"/>
  </r>
  <r>
    <s v="LD6045"/>
    <d v="2024-10-21T00:00:00"/>
    <x v="3"/>
    <s v="Promo Blast"/>
    <s v="Tablet"/>
    <s v="Europe"/>
    <s v="SQL"/>
    <m/>
    <m/>
    <m/>
    <n v="3"/>
    <x v="5"/>
    <n v="1"/>
    <n v="1"/>
    <n v="0"/>
  </r>
  <r>
    <s v="LD6399"/>
    <d v="2024-11-19T00:00:00"/>
    <x v="5"/>
    <s v="Landing Page SEO"/>
    <s v="Desktop"/>
    <s v="Asia Pacific"/>
    <s v="Lead"/>
    <m/>
    <m/>
    <m/>
    <n v="1"/>
    <x v="2"/>
    <n v="0"/>
    <n v="0"/>
    <n v="0"/>
  </r>
  <r>
    <s v="LD5368"/>
    <d v="2024-09-16T00:00:00"/>
    <x v="3"/>
    <s v="Monthly Newsletter"/>
    <s v="Desktop"/>
    <s v="North America"/>
    <s v="SQL"/>
    <m/>
    <m/>
    <m/>
    <n v="3"/>
    <x v="9"/>
    <n v="1"/>
    <n v="1"/>
    <n v="0"/>
  </r>
  <r>
    <s v="LD5507"/>
    <d v="2024-09-20T00:00:00"/>
    <x v="4"/>
    <s v="Partner Program"/>
    <s v="Desktop"/>
    <s v="Asia Pacific"/>
    <s v="SQL"/>
    <m/>
    <m/>
    <m/>
    <n v="3"/>
    <x v="9"/>
    <n v="1"/>
    <n v="1"/>
    <n v="0"/>
  </r>
  <r>
    <s v="LD2039"/>
    <d v="2024-03-10T00:00:00"/>
    <x v="5"/>
    <s v="Blog SEO"/>
    <s v="Mobile"/>
    <s v="Europe"/>
    <s v="Lead"/>
    <m/>
    <m/>
    <m/>
    <n v="1"/>
    <x v="8"/>
    <n v="0"/>
    <n v="0"/>
    <n v="0"/>
  </r>
  <r>
    <s v="LD7639"/>
    <d v="2024-12-10T00:00:00"/>
    <x v="4"/>
    <s v="Partner Program"/>
    <s v="Desktop"/>
    <s v="North America"/>
    <s v="MQL"/>
    <m/>
    <m/>
    <m/>
    <n v="2"/>
    <x v="7"/>
    <n v="1"/>
    <n v="0"/>
    <n v="0"/>
  </r>
  <r>
    <s v="LD6000"/>
    <d v="2024-10-04T00:00:00"/>
    <x v="3"/>
    <s v="Promo Blast"/>
    <s v="Desktop"/>
    <s v="North America"/>
    <s v="Lead"/>
    <m/>
    <m/>
    <m/>
    <n v="1"/>
    <x v="5"/>
    <n v="0"/>
    <n v="0"/>
    <n v="0"/>
  </r>
  <r>
    <s v="LD6632"/>
    <d v="2024-11-17T00:00:00"/>
    <x v="0"/>
    <s v="Facebook Ads"/>
    <s v="Desktop"/>
    <s v="North America"/>
    <s v="MQL"/>
    <m/>
    <m/>
    <m/>
    <n v="2"/>
    <x v="2"/>
    <n v="1"/>
    <n v="0"/>
    <n v="0"/>
  </r>
  <r>
    <s v="LD1089"/>
    <d v="2024-01-24T00:00:00"/>
    <x v="1"/>
    <s v="Google Ads - Brand"/>
    <s v="Desktop"/>
    <s v="North America"/>
    <s v="Lead"/>
    <m/>
    <m/>
    <m/>
    <n v="1"/>
    <x v="3"/>
    <n v="0"/>
    <n v="0"/>
    <n v="0"/>
  </r>
  <r>
    <s v="LD5958"/>
    <d v="2024-10-05T00:00:00"/>
    <x v="3"/>
    <s v="Promo Blast"/>
    <s v="Mobile"/>
    <s v="Europe"/>
    <s v="Lead"/>
    <m/>
    <m/>
    <m/>
    <n v="1"/>
    <x v="5"/>
    <n v="0"/>
    <n v="0"/>
    <n v="0"/>
  </r>
  <r>
    <s v="LD5222"/>
    <d v="2024-09-18T00:00:00"/>
    <x v="0"/>
    <s v="Instagram Ads"/>
    <s v="Mobile"/>
    <s v="North America"/>
    <s v="MQL"/>
    <m/>
    <m/>
    <m/>
    <n v="2"/>
    <x v="9"/>
    <n v="1"/>
    <n v="0"/>
    <n v="0"/>
  </r>
  <r>
    <s v="LD7327"/>
    <d v="2024-12-21T00:00:00"/>
    <x v="1"/>
    <s v="Google Ads - Brand"/>
    <s v="Mobile"/>
    <s v="Europe"/>
    <s v="Lead"/>
    <m/>
    <m/>
    <m/>
    <n v="1"/>
    <x v="7"/>
    <n v="0"/>
    <n v="0"/>
    <n v="0"/>
  </r>
  <r>
    <s v="LD1474"/>
    <d v="2024-01-24T00:00:00"/>
    <x v="2"/>
    <s v="Direct / Type-in"/>
    <s v="Mobile"/>
    <s v="Europe"/>
    <s v="Lead"/>
    <m/>
    <m/>
    <m/>
    <n v="1"/>
    <x v="3"/>
    <n v="0"/>
    <n v="0"/>
    <n v="0"/>
  </r>
  <r>
    <s v="LD5596"/>
    <d v="2024-09-28T00:00:00"/>
    <x v="2"/>
    <s v="Direct / Type-in"/>
    <s v="Desktop"/>
    <s v="North America"/>
    <s v="Lead"/>
    <m/>
    <m/>
    <m/>
    <n v="1"/>
    <x v="9"/>
    <n v="0"/>
    <n v="0"/>
    <n v="0"/>
  </r>
  <r>
    <s v="LD1157"/>
    <d v="2024-01-11T00:00:00"/>
    <x v="1"/>
    <s v="Google Ads - Brand"/>
    <s v="Mobile"/>
    <s v="North America"/>
    <s v="Lead"/>
    <m/>
    <m/>
    <m/>
    <n v="1"/>
    <x v="3"/>
    <n v="0"/>
    <n v="0"/>
    <n v="0"/>
  </r>
  <r>
    <s v="LD4149"/>
    <d v="2024-07-03T00:00:00"/>
    <x v="1"/>
    <s v="Google Ads - Generic"/>
    <s v="Mobile"/>
    <s v="Europe"/>
    <s v="Lead"/>
    <m/>
    <m/>
    <m/>
    <n v="1"/>
    <x v="0"/>
    <n v="0"/>
    <n v="0"/>
    <n v="0"/>
  </r>
  <r>
    <s v="LD5630"/>
    <d v="2024-10-15T00:00:00"/>
    <x v="5"/>
    <s v="Landing Page SEO"/>
    <s v="Mobile"/>
    <s v="Europe"/>
    <s v="MQL"/>
    <m/>
    <m/>
    <m/>
    <n v="2"/>
    <x v="5"/>
    <n v="1"/>
    <n v="0"/>
    <n v="0"/>
  </r>
  <r>
    <s v="LD2769"/>
    <d v="2024-04-16T00:00:00"/>
    <x v="3"/>
    <s v="Promo Blast"/>
    <s v="Mobile"/>
    <s v="Europe"/>
    <s v="MQL"/>
    <m/>
    <m/>
    <m/>
    <n v="2"/>
    <x v="1"/>
    <n v="1"/>
    <n v="0"/>
    <n v="0"/>
  </r>
  <r>
    <s v="LD3005"/>
    <d v="2024-04-04T00:00:00"/>
    <x v="2"/>
    <s v="Direct / Type-in"/>
    <s v="Mobile"/>
    <s v="North America"/>
    <s v="Lead"/>
    <m/>
    <m/>
    <m/>
    <n v="1"/>
    <x v="1"/>
    <n v="0"/>
    <n v="0"/>
    <n v="0"/>
  </r>
  <r>
    <s v="LD3875"/>
    <d v="2024-06-19T00:00:00"/>
    <x v="3"/>
    <s v="Monthly Newsletter"/>
    <s v="Tablet"/>
    <s v="Asia Pacific"/>
    <s v="SQL"/>
    <m/>
    <m/>
    <m/>
    <n v="3"/>
    <x v="11"/>
    <n v="1"/>
    <n v="1"/>
    <n v="0"/>
  </r>
  <r>
    <s v="LD2407"/>
    <d v="2024-03-07T00:00:00"/>
    <x v="2"/>
    <s v="Direct / Type-in"/>
    <s v="Desktop"/>
    <s v="Asia Pacific"/>
    <s v="SQL"/>
    <m/>
    <m/>
    <m/>
    <n v="3"/>
    <x v="8"/>
    <n v="1"/>
    <n v="1"/>
    <n v="0"/>
  </r>
  <r>
    <s v="LD3723"/>
    <d v="2024-06-23T00:00:00"/>
    <x v="1"/>
    <s v="Google Ads - Generic"/>
    <s v="Desktop"/>
    <s v="North America"/>
    <s v="Lead"/>
    <m/>
    <m/>
    <m/>
    <n v="1"/>
    <x v="11"/>
    <n v="0"/>
    <n v="0"/>
    <n v="0"/>
  </r>
  <r>
    <s v="LD2617"/>
    <d v="2024-04-22T00:00:00"/>
    <x v="1"/>
    <s v="Google Ads - Generic"/>
    <s v="Tablet"/>
    <s v="Asia Pacific"/>
    <s v="Lead"/>
    <m/>
    <m/>
    <m/>
    <n v="1"/>
    <x v="1"/>
    <n v="0"/>
    <n v="0"/>
    <n v="0"/>
  </r>
  <r>
    <s v="LD5881"/>
    <d v="2024-10-22T00:00:00"/>
    <x v="0"/>
    <s v="LinkedIn Ads"/>
    <s v="Mobile"/>
    <s v="Asia Pacific"/>
    <s v="Lead"/>
    <m/>
    <m/>
    <m/>
    <n v="1"/>
    <x v="5"/>
    <n v="0"/>
    <n v="0"/>
    <n v="0"/>
  </r>
  <r>
    <s v="LD2935"/>
    <d v="2024-04-01T00:00:00"/>
    <x v="4"/>
    <s v="Partner Program"/>
    <s v="Mobile"/>
    <s v="Asia Pacific"/>
    <s v="SQL"/>
    <m/>
    <m/>
    <m/>
    <n v="3"/>
    <x v="1"/>
    <n v="1"/>
    <n v="1"/>
    <n v="0"/>
  </r>
  <r>
    <s v="LD7591"/>
    <d v="2024-12-11T00:00:00"/>
    <x v="3"/>
    <s v="Monthly Newsletter"/>
    <s v="Mobile"/>
    <s v="Europe"/>
    <s v="MQL"/>
    <m/>
    <m/>
    <m/>
    <n v="2"/>
    <x v="7"/>
    <n v="1"/>
    <n v="0"/>
    <n v="0"/>
  </r>
  <r>
    <s v="LD1199"/>
    <d v="2024-01-01T00:00:00"/>
    <x v="0"/>
    <s v="Facebook Ads"/>
    <s v="Desktop"/>
    <s v="Asia Pacific"/>
    <s v="MQL"/>
    <m/>
    <m/>
    <m/>
    <n v="2"/>
    <x v="3"/>
    <n v="1"/>
    <n v="0"/>
    <n v="0"/>
  </r>
  <r>
    <s v="LD2673"/>
    <d v="2024-04-13T00:00:00"/>
    <x v="0"/>
    <s v="Facebook Ads"/>
    <s v="Tablet"/>
    <s v="North America"/>
    <s v="Lead"/>
    <m/>
    <m/>
    <m/>
    <n v="1"/>
    <x v="1"/>
    <n v="0"/>
    <n v="0"/>
    <n v="0"/>
  </r>
  <r>
    <s v="LD5011"/>
    <d v="2024-08-15T00:00:00"/>
    <x v="2"/>
    <s v="Direct / Type-in"/>
    <s v="Mobile"/>
    <s v="Asia Pacific"/>
    <s v="Lead"/>
    <m/>
    <m/>
    <m/>
    <n v="1"/>
    <x v="6"/>
    <n v="0"/>
    <n v="0"/>
    <n v="0"/>
  </r>
  <r>
    <s v="LD1504"/>
    <d v="2024-02-28T00:00:00"/>
    <x v="5"/>
    <s v="Landing Page SEO"/>
    <s v="Desktop"/>
    <s v="Europe"/>
    <s v="MQL"/>
    <m/>
    <m/>
    <m/>
    <n v="2"/>
    <x v="10"/>
    <n v="1"/>
    <n v="0"/>
    <n v="0"/>
  </r>
  <r>
    <s v="LD1074"/>
    <d v="2024-01-20T00:00:00"/>
    <x v="5"/>
    <s v="Landing Page SEO"/>
    <s v="Desktop"/>
    <s v="Latin America"/>
    <s v="SQL"/>
    <m/>
    <m/>
    <m/>
    <n v="3"/>
    <x v="3"/>
    <n v="1"/>
    <n v="1"/>
    <n v="0"/>
  </r>
  <r>
    <s v="LD1643"/>
    <d v="2024-02-01T00:00:00"/>
    <x v="1"/>
    <s v="Google Ads - Brand"/>
    <s v="Mobile"/>
    <s v="Latin America"/>
    <s v="Lead"/>
    <m/>
    <m/>
    <m/>
    <n v="1"/>
    <x v="10"/>
    <n v="0"/>
    <n v="0"/>
    <n v="0"/>
  </r>
  <r>
    <s v="LD5253"/>
    <d v="2024-09-23T00:00:00"/>
    <x v="0"/>
    <s v="Facebook Ads"/>
    <s v="Mobile"/>
    <s v="Europe"/>
    <s v="SQL"/>
    <m/>
    <m/>
    <m/>
    <n v="3"/>
    <x v="9"/>
    <n v="1"/>
    <n v="1"/>
    <n v="0"/>
  </r>
  <r>
    <s v="LD3618"/>
    <d v="2024-06-06T00:00:00"/>
    <x v="5"/>
    <s v="Blog SEO"/>
    <s v="Tablet"/>
    <s v="North America"/>
    <s v="SQL"/>
    <m/>
    <m/>
    <m/>
    <n v="3"/>
    <x v="11"/>
    <n v="1"/>
    <n v="1"/>
    <n v="0"/>
  </r>
  <r>
    <s v="LD3657"/>
    <d v="2024-06-08T00:00:00"/>
    <x v="1"/>
    <s v="Google Ads - Brand"/>
    <s v="Mobile"/>
    <s v="North America"/>
    <s v="SQL"/>
    <m/>
    <m/>
    <m/>
    <n v="3"/>
    <x v="11"/>
    <n v="1"/>
    <n v="1"/>
    <n v="0"/>
  </r>
  <r>
    <s v="LD7111"/>
    <d v="2024-12-23T00:00:00"/>
    <x v="5"/>
    <s v="Blog SEO"/>
    <s v="Mobile"/>
    <s v="Europe"/>
    <s v="MQL"/>
    <m/>
    <m/>
    <m/>
    <n v="2"/>
    <x v="7"/>
    <n v="1"/>
    <n v="0"/>
    <n v="0"/>
  </r>
  <r>
    <s v="LD4048"/>
    <d v="2024-07-07T00:00:00"/>
    <x v="5"/>
    <s v="Landing Page SEO"/>
    <s v="Desktop"/>
    <s v="North America"/>
    <s v="MQL"/>
    <m/>
    <m/>
    <m/>
    <n v="2"/>
    <x v="0"/>
    <n v="1"/>
    <n v="0"/>
    <n v="0"/>
  </r>
  <r>
    <s v="LD3516"/>
    <d v="2024-05-12T00:00:00"/>
    <x v="2"/>
    <s v="Direct / Type-in"/>
    <s v="Desktop"/>
    <s v="Asia Pacific"/>
    <s v="Customer"/>
    <n v="69"/>
    <s v="Basic"/>
    <n v="516.04"/>
    <n v="4"/>
    <x v="4"/>
    <n v="1"/>
    <n v="1"/>
    <n v="1"/>
  </r>
  <r>
    <s v="LD3799"/>
    <d v="2024-06-15T00:00:00"/>
    <x v="3"/>
    <s v="Promo Blast"/>
    <s v="Mobile"/>
    <s v="North America"/>
    <s v="Customer"/>
    <n v="18"/>
    <s v="Pro"/>
    <n v="4629.93"/>
    <n v="4"/>
    <x v="11"/>
    <n v="1"/>
    <n v="1"/>
    <n v="1"/>
  </r>
  <r>
    <s v="LD5595"/>
    <d v="2024-09-06T00:00:00"/>
    <x v="2"/>
    <s v="Direct / Type-in"/>
    <s v="Desktop"/>
    <s v="Asia Pacific"/>
    <s v="Lead"/>
    <m/>
    <m/>
    <m/>
    <n v="1"/>
    <x v="9"/>
    <n v="0"/>
    <n v="0"/>
    <n v="0"/>
  </r>
  <r>
    <s v="LD2098"/>
    <d v="2024-03-05T00:00:00"/>
    <x v="1"/>
    <s v="Google Ads - Generic"/>
    <s v="Desktop"/>
    <s v="North America"/>
    <s v="Lead"/>
    <m/>
    <m/>
    <m/>
    <n v="1"/>
    <x v="8"/>
    <n v="0"/>
    <n v="0"/>
    <n v="0"/>
  </r>
  <r>
    <s v="LD6625"/>
    <d v="2024-11-01T00:00:00"/>
    <x v="0"/>
    <s v="LinkedIn Ads"/>
    <s v="Desktop"/>
    <s v="Europe"/>
    <s v="MQL"/>
    <m/>
    <m/>
    <m/>
    <n v="2"/>
    <x v="2"/>
    <n v="1"/>
    <n v="0"/>
    <n v="0"/>
  </r>
  <r>
    <s v="LD4586"/>
    <d v="2024-08-08T00:00:00"/>
    <x v="1"/>
    <s v="Google Ads - Generic"/>
    <s v="Desktop"/>
    <s v="Europe"/>
    <s v="Lead"/>
    <m/>
    <m/>
    <m/>
    <n v="1"/>
    <x v="6"/>
    <n v="0"/>
    <n v="0"/>
    <n v="0"/>
  </r>
  <r>
    <s v="LD3688"/>
    <d v="2024-06-13T00:00:00"/>
    <x v="1"/>
    <s v="Google Ads - Generic"/>
    <s v="Mobile"/>
    <s v="North America"/>
    <s v="SQL"/>
    <m/>
    <m/>
    <m/>
    <n v="3"/>
    <x v="11"/>
    <n v="1"/>
    <n v="1"/>
    <n v="0"/>
  </r>
  <r>
    <s v="LD6963"/>
    <d v="2024-11-02T00:00:00"/>
    <x v="4"/>
    <s v="Partner Program"/>
    <s v="Desktop"/>
    <s v="Europe"/>
    <s v="SQL"/>
    <m/>
    <m/>
    <m/>
    <n v="3"/>
    <x v="2"/>
    <n v="1"/>
    <n v="1"/>
    <n v="0"/>
  </r>
  <r>
    <s v="LD6201"/>
    <d v="2024-10-05T00:00:00"/>
    <x v="4"/>
    <s v="Partner Program"/>
    <s v="Desktop"/>
    <s v="Asia Pacific"/>
    <s v="SQL"/>
    <m/>
    <m/>
    <m/>
    <n v="3"/>
    <x v="5"/>
    <n v="1"/>
    <n v="1"/>
    <n v="0"/>
  </r>
  <r>
    <s v="LD2058"/>
    <d v="2024-03-17T00:00:00"/>
    <x v="1"/>
    <s v="Google Ads - Brand"/>
    <s v="Desktop"/>
    <s v="Europe"/>
    <s v="Lead"/>
    <m/>
    <m/>
    <m/>
    <n v="1"/>
    <x v="8"/>
    <n v="0"/>
    <n v="0"/>
    <n v="0"/>
  </r>
  <r>
    <s v="LD5473"/>
    <d v="2024-09-14T00:00:00"/>
    <x v="4"/>
    <s v="Partner Program"/>
    <s v="Desktop"/>
    <s v="North America"/>
    <s v="SQL"/>
    <m/>
    <m/>
    <m/>
    <n v="3"/>
    <x v="9"/>
    <n v="1"/>
    <n v="1"/>
    <n v="0"/>
  </r>
  <r>
    <s v="LD4765"/>
    <d v="2024-08-13T00:00:00"/>
    <x v="3"/>
    <s v="Monthly Newsletter"/>
    <s v="Desktop"/>
    <s v="Asia Pacific"/>
    <s v="Lead"/>
    <m/>
    <m/>
    <m/>
    <n v="1"/>
    <x v="6"/>
    <n v="0"/>
    <n v="0"/>
    <n v="0"/>
  </r>
  <r>
    <s v="LD3003"/>
    <d v="2024-04-02T00:00:00"/>
    <x v="2"/>
    <s v="Direct / Type-in"/>
    <s v="Mobile"/>
    <s v="Europe"/>
    <s v="Lead"/>
    <m/>
    <m/>
    <m/>
    <n v="1"/>
    <x v="1"/>
    <n v="0"/>
    <n v="0"/>
    <n v="0"/>
  </r>
  <r>
    <s v="LD7783"/>
    <d v="2024-12-11T00:00:00"/>
    <x v="2"/>
    <s v="Direct / Type-in"/>
    <s v="Desktop"/>
    <s v="Europe"/>
    <s v="Lead"/>
    <m/>
    <m/>
    <m/>
    <n v="1"/>
    <x v="7"/>
    <n v="0"/>
    <n v="0"/>
    <n v="0"/>
  </r>
  <r>
    <s v="LD4387"/>
    <d v="2024-07-20T00:00:00"/>
    <x v="4"/>
    <s v="Affiliate Program"/>
    <s v="Mobile"/>
    <s v="North America"/>
    <s v="SQL"/>
    <m/>
    <m/>
    <m/>
    <n v="3"/>
    <x v="0"/>
    <n v="1"/>
    <n v="1"/>
    <n v="0"/>
  </r>
  <r>
    <s v="LD6717"/>
    <d v="2024-11-21T00:00:00"/>
    <x v="3"/>
    <s v="Monthly Newsletter"/>
    <s v="Desktop"/>
    <s v="Europe"/>
    <s v="MQL"/>
    <m/>
    <m/>
    <m/>
    <n v="2"/>
    <x v="2"/>
    <n v="1"/>
    <n v="0"/>
    <n v="0"/>
  </r>
  <r>
    <s v="LD2845"/>
    <d v="2024-04-07T00:00:00"/>
    <x v="3"/>
    <s v="Promo Blast"/>
    <s v="Mobile"/>
    <s v="Europe"/>
    <s v="SQL"/>
    <m/>
    <m/>
    <m/>
    <n v="3"/>
    <x v="1"/>
    <n v="1"/>
    <n v="1"/>
    <n v="0"/>
  </r>
  <r>
    <s v="LD4028"/>
    <d v="2024-06-11T00:00:00"/>
    <x v="2"/>
    <s v="Direct / Type-in"/>
    <s v="Desktop"/>
    <s v="Asia Pacific"/>
    <s v="SQL"/>
    <m/>
    <m/>
    <m/>
    <n v="3"/>
    <x v="11"/>
    <n v="1"/>
    <n v="1"/>
    <n v="0"/>
  </r>
  <r>
    <s v="LD4928"/>
    <d v="2024-08-27T00:00:00"/>
    <x v="4"/>
    <s v="Affiliate Program"/>
    <s v="Mobile"/>
    <s v="North America"/>
    <s v="MQL"/>
    <m/>
    <m/>
    <m/>
    <n v="2"/>
    <x v="6"/>
    <n v="1"/>
    <n v="0"/>
    <n v="0"/>
  </r>
  <r>
    <s v="LD6370"/>
    <d v="2024-11-01T00:00:00"/>
    <x v="5"/>
    <s v="Landing Page SEO"/>
    <s v="Desktop"/>
    <s v="North America"/>
    <s v="SQL"/>
    <m/>
    <m/>
    <m/>
    <n v="3"/>
    <x v="2"/>
    <n v="1"/>
    <n v="1"/>
    <n v="0"/>
  </r>
  <r>
    <s v="LD1209"/>
    <d v="2024-01-07T00:00:00"/>
    <x v="0"/>
    <s v="Instagram Ads"/>
    <s v="Desktop"/>
    <s v="North America"/>
    <s v="MQL"/>
    <m/>
    <m/>
    <m/>
    <n v="2"/>
    <x v="3"/>
    <n v="1"/>
    <n v="0"/>
    <n v="0"/>
  </r>
  <r>
    <s v="LD2398"/>
    <d v="2024-03-16T00:00:00"/>
    <x v="4"/>
    <s v="Partner Program"/>
    <s v="Desktop"/>
    <s v="Asia Pacific"/>
    <s v="MQL"/>
    <m/>
    <m/>
    <m/>
    <n v="2"/>
    <x v="8"/>
    <n v="1"/>
    <n v="0"/>
    <n v="0"/>
  </r>
  <r>
    <s v="LD5193"/>
    <d v="2024-09-05T00:00:00"/>
    <x v="1"/>
    <s v="Google Ads - Generic"/>
    <s v="Desktop"/>
    <s v="North America"/>
    <s v="MQL"/>
    <m/>
    <m/>
    <m/>
    <n v="2"/>
    <x v="9"/>
    <n v="1"/>
    <n v="0"/>
    <n v="0"/>
  </r>
  <r>
    <s v="LD3211"/>
    <d v="2024-05-27T00:00:00"/>
    <x v="0"/>
    <s v="LinkedIn Ads"/>
    <s v="Mobile"/>
    <s v="North America"/>
    <s v="Lead"/>
    <m/>
    <m/>
    <m/>
    <n v="1"/>
    <x v="4"/>
    <n v="0"/>
    <n v="0"/>
    <n v="0"/>
  </r>
  <r>
    <s v="LD4752"/>
    <d v="2024-08-01T00:00:00"/>
    <x v="3"/>
    <s v="Monthly Newsletter"/>
    <s v="Mobile"/>
    <s v="Europe"/>
    <s v="Lead"/>
    <m/>
    <m/>
    <m/>
    <n v="1"/>
    <x v="6"/>
    <n v="0"/>
    <n v="0"/>
    <n v="0"/>
  </r>
  <r>
    <s v="LD1799"/>
    <d v="2024-02-01T00:00:00"/>
    <x v="3"/>
    <s v="Promo Blast"/>
    <s v="Tablet"/>
    <s v="Europe"/>
    <s v="Customer"/>
    <n v="36"/>
    <s v="Pro"/>
    <n v="3418.74"/>
    <n v="4"/>
    <x v="10"/>
    <n v="1"/>
    <n v="1"/>
    <n v="1"/>
  </r>
  <r>
    <s v="LD7382"/>
    <d v="2024-12-24T00:00:00"/>
    <x v="0"/>
    <s v="Instagram Ads"/>
    <s v="Mobile"/>
    <s v="North America"/>
    <s v="Lead"/>
    <m/>
    <m/>
    <m/>
    <n v="1"/>
    <x v="7"/>
    <n v="0"/>
    <n v="0"/>
    <n v="0"/>
  </r>
  <r>
    <s v="LD6126"/>
    <d v="2024-10-01T00:00:00"/>
    <x v="3"/>
    <s v="Promo Blast"/>
    <s v="Desktop"/>
    <s v="Asia Pacific"/>
    <s v="Lead"/>
    <m/>
    <m/>
    <m/>
    <n v="1"/>
    <x v="5"/>
    <n v="0"/>
    <n v="0"/>
    <n v="0"/>
  </r>
  <r>
    <s v="LD7708"/>
    <d v="2024-12-18T00:00:00"/>
    <x v="2"/>
    <s v="Direct / Type-in"/>
    <s v="Mobile"/>
    <s v="North America"/>
    <s v="Lead"/>
    <m/>
    <m/>
    <m/>
    <n v="1"/>
    <x v="7"/>
    <n v="0"/>
    <n v="0"/>
    <n v="0"/>
  </r>
  <r>
    <s v="LD6429"/>
    <d v="2024-11-10T00:00:00"/>
    <x v="5"/>
    <s v="Landing Page SEO"/>
    <s v="Mobile"/>
    <s v="Europe"/>
    <s v="SQL"/>
    <m/>
    <m/>
    <m/>
    <n v="3"/>
    <x v="2"/>
    <n v="1"/>
    <n v="1"/>
    <n v="0"/>
  </r>
  <r>
    <s v="LD5403"/>
    <d v="2024-09-10T00:00:00"/>
    <x v="3"/>
    <s v="Promo Blast"/>
    <s v="Mobile"/>
    <s v="North America"/>
    <s v="Lead"/>
    <m/>
    <m/>
    <m/>
    <n v="1"/>
    <x v="9"/>
    <n v="0"/>
    <n v="0"/>
    <n v="0"/>
  </r>
  <r>
    <s v="LD7396"/>
    <d v="2024-12-08T00:00:00"/>
    <x v="0"/>
    <s v="Instagram Ads"/>
    <s v="Mobile"/>
    <s v="Europe"/>
    <s v="Lead"/>
    <m/>
    <m/>
    <m/>
    <n v="1"/>
    <x v="7"/>
    <n v="0"/>
    <n v="0"/>
    <n v="0"/>
  </r>
  <r>
    <s v="LD1812"/>
    <d v="2024-02-07T00:00:00"/>
    <x v="3"/>
    <s v="Monthly Newsletter"/>
    <s v="Desktop"/>
    <s v="North America"/>
    <s v="MQL"/>
    <m/>
    <m/>
    <m/>
    <n v="2"/>
    <x v="10"/>
    <n v="1"/>
    <n v="0"/>
    <n v="0"/>
  </r>
  <r>
    <s v="LD6389"/>
    <d v="2024-11-25T00:00:00"/>
    <x v="5"/>
    <s v="Blog SEO"/>
    <s v="Desktop"/>
    <s v="Asia Pacific"/>
    <s v="Lead"/>
    <m/>
    <m/>
    <m/>
    <n v="1"/>
    <x v="2"/>
    <n v="0"/>
    <n v="0"/>
    <n v="0"/>
  </r>
  <r>
    <s v="LD3674"/>
    <d v="2024-06-28T00:00:00"/>
    <x v="1"/>
    <s v="Google Ads - Brand"/>
    <s v="Desktop"/>
    <s v="Asia Pacific"/>
    <s v="Lead"/>
    <m/>
    <m/>
    <m/>
    <n v="1"/>
    <x v="11"/>
    <n v="0"/>
    <n v="0"/>
    <n v="0"/>
  </r>
  <r>
    <s v="LD6569"/>
    <d v="2024-11-18T00:00:00"/>
    <x v="1"/>
    <s v="Google Ads - Brand"/>
    <s v="Tablet"/>
    <s v="Europe"/>
    <s v="Lead"/>
    <m/>
    <m/>
    <m/>
    <n v="1"/>
    <x v="2"/>
    <n v="0"/>
    <n v="0"/>
    <n v="0"/>
  </r>
  <r>
    <s v="LD3610"/>
    <d v="2024-06-06T00:00:00"/>
    <x v="5"/>
    <s v="Blog SEO"/>
    <s v="Mobile"/>
    <s v="North America"/>
    <s v="SQL"/>
    <m/>
    <m/>
    <m/>
    <n v="3"/>
    <x v="11"/>
    <n v="1"/>
    <n v="1"/>
    <n v="0"/>
  </r>
  <r>
    <s v="LD2322"/>
    <d v="2024-03-04T00:00:00"/>
    <x v="3"/>
    <s v="Monthly Newsletter"/>
    <s v="Mobile"/>
    <s v="Latin America"/>
    <s v="Lead"/>
    <m/>
    <m/>
    <m/>
    <n v="1"/>
    <x v="8"/>
    <n v="0"/>
    <n v="0"/>
    <n v="0"/>
  </r>
  <r>
    <s v="LD2870"/>
    <d v="2024-04-09T00:00:00"/>
    <x v="4"/>
    <s v="Partner Program"/>
    <s v="Tablet"/>
    <s v="Asia Pacific"/>
    <s v="MQL"/>
    <m/>
    <m/>
    <m/>
    <n v="2"/>
    <x v="1"/>
    <n v="1"/>
    <n v="0"/>
    <n v="0"/>
  </r>
  <r>
    <s v="LD7742"/>
    <d v="2024-12-27T00:00:00"/>
    <x v="2"/>
    <s v="Direct / Type-in"/>
    <s v="Mobile"/>
    <s v="Latin America"/>
    <s v="SQL"/>
    <m/>
    <m/>
    <m/>
    <n v="3"/>
    <x v="7"/>
    <n v="1"/>
    <n v="1"/>
    <n v="0"/>
  </r>
  <r>
    <s v="LD6667"/>
    <d v="2024-11-22T00:00:00"/>
    <x v="0"/>
    <s v="Instagram Ads"/>
    <s v="Desktop"/>
    <s v="Europe"/>
    <s v="MQL"/>
    <m/>
    <m/>
    <m/>
    <n v="2"/>
    <x v="2"/>
    <n v="1"/>
    <n v="0"/>
    <n v="0"/>
  </r>
  <r>
    <s v="LD3806"/>
    <d v="2024-06-13T00:00:00"/>
    <x v="3"/>
    <s v="Monthly Newsletter"/>
    <s v="Desktop"/>
    <s v="Europe"/>
    <s v="MQL"/>
    <m/>
    <m/>
    <m/>
    <n v="2"/>
    <x v="11"/>
    <n v="1"/>
    <n v="0"/>
    <n v="0"/>
  </r>
  <r>
    <s v="LD5398"/>
    <d v="2024-09-27T00:00:00"/>
    <x v="3"/>
    <s v="Promo Blast"/>
    <s v="Mobile"/>
    <s v="Asia Pacific"/>
    <s v="MQL"/>
    <m/>
    <m/>
    <m/>
    <n v="2"/>
    <x v="9"/>
    <n v="1"/>
    <n v="0"/>
    <n v="0"/>
  </r>
  <r>
    <s v="LD1402"/>
    <d v="2024-01-11T00:00:00"/>
    <x v="4"/>
    <s v="Affiliate Program"/>
    <s v="Tablet"/>
    <s v="North America"/>
    <s v="MQL"/>
    <m/>
    <m/>
    <m/>
    <n v="2"/>
    <x v="3"/>
    <n v="1"/>
    <n v="0"/>
    <n v="0"/>
  </r>
  <r>
    <s v="LD1626"/>
    <d v="2024-02-15T00:00:00"/>
    <x v="1"/>
    <s v="Google Ads - Generic"/>
    <s v="Mobile"/>
    <s v="North America"/>
    <s v="Lead"/>
    <m/>
    <m/>
    <m/>
    <n v="1"/>
    <x v="10"/>
    <n v="0"/>
    <n v="0"/>
    <n v="0"/>
  </r>
  <r>
    <s v="LD6012"/>
    <d v="2024-10-22T00:00:00"/>
    <x v="3"/>
    <s v="Promo Blast"/>
    <s v="Mobile"/>
    <s v="Europe"/>
    <s v="Lead"/>
    <m/>
    <m/>
    <m/>
    <n v="1"/>
    <x v="5"/>
    <n v="0"/>
    <n v="0"/>
    <n v="0"/>
  </r>
  <r>
    <s v="LD1042"/>
    <d v="2024-01-17T00:00:00"/>
    <x v="5"/>
    <s v="Blog SEO"/>
    <s v="Desktop"/>
    <s v="Europe"/>
    <s v="Lead"/>
    <m/>
    <m/>
    <m/>
    <n v="1"/>
    <x v="3"/>
    <n v="0"/>
    <n v="0"/>
    <n v="0"/>
  </r>
  <r>
    <s v="LD2704"/>
    <d v="2024-04-14T00:00:00"/>
    <x v="0"/>
    <s v="Facebook Ads"/>
    <s v="Mobile"/>
    <s v="North America"/>
    <s v="Lead"/>
    <m/>
    <m/>
    <m/>
    <n v="1"/>
    <x v="1"/>
    <n v="0"/>
    <n v="0"/>
    <n v="0"/>
  </r>
  <r>
    <s v="LD6949"/>
    <d v="2024-11-09T00:00:00"/>
    <x v="4"/>
    <s v="Affiliate Program"/>
    <s v="Tablet"/>
    <s v="North America"/>
    <s v="SQL"/>
    <m/>
    <m/>
    <m/>
    <n v="3"/>
    <x v="2"/>
    <n v="1"/>
    <n v="1"/>
    <n v="0"/>
  </r>
  <r>
    <s v="LD5824"/>
    <d v="2024-10-22T00:00:00"/>
    <x v="1"/>
    <s v="Google Ads - Brand"/>
    <s v="Desktop"/>
    <s v="Asia Pacific"/>
    <s v="Lead"/>
    <m/>
    <m/>
    <m/>
    <n v="1"/>
    <x v="5"/>
    <n v="0"/>
    <n v="0"/>
    <n v="0"/>
  </r>
  <r>
    <s v="LD7308"/>
    <d v="2024-12-06T00:00:00"/>
    <x v="1"/>
    <s v="Google Ads - Brand"/>
    <s v="Mobile"/>
    <s v="Asia Pacific"/>
    <s v="MQL"/>
    <m/>
    <m/>
    <m/>
    <n v="2"/>
    <x v="7"/>
    <n v="1"/>
    <n v="0"/>
    <n v="0"/>
  </r>
  <r>
    <s v="LD4099"/>
    <d v="2024-07-08T00:00:00"/>
    <x v="5"/>
    <s v="Landing Page SEO"/>
    <s v="Mobile"/>
    <s v="North America"/>
    <s v="Customer"/>
    <n v="62"/>
    <s v="Basic"/>
    <n v="929.27"/>
    <n v="4"/>
    <x v="0"/>
    <n v="1"/>
    <n v="1"/>
    <n v="1"/>
  </r>
  <r>
    <s v="LD2727"/>
    <d v="2024-04-13T00:00:00"/>
    <x v="0"/>
    <s v="Facebook Ads"/>
    <s v="Desktop"/>
    <s v="North America"/>
    <s v="Lead"/>
    <m/>
    <m/>
    <m/>
    <n v="1"/>
    <x v="1"/>
    <n v="0"/>
    <n v="0"/>
    <n v="0"/>
  </r>
  <r>
    <s v="LD7354"/>
    <d v="2024-12-28T00:00:00"/>
    <x v="0"/>
    <s v="LinkedIn Ads"/>
    <s v="Tablet"/>
    <s v="North America"/>
    <s v="Lead"/>
    <m/>
    <m/>
    <m/>
    <n v="1"/>
    <x v="7"/>
    <n v="0"/>
    <n v="0"/>
    <n v="0"/>
  </r>
  <r>
    <s v="LD5153"/>
    <d v="2024-09-10T00:00:00"/>
    <x v="1"/>
    <s v="Google Ads - Brand"/>
    <s v="Tablet"/>
    <s v="North America"/>
    <s v="MQL"/>
    <m/>
    <m/>
    <m/>
    <n v="2"/>
    <x v="9"/>
    <n v="1"/>
    <n v="0"/>
    <n v="0"/>
  </r>
  <r>
    <s v="LD7325"/>
    <d v="2024-12-01T00:00:00"/>
    <x v="1"/>
    <s v="Google Ads - Generic"/>
    <s v="Mobile"/>
    <s v="North America"/>
    <s v="Lead"/>
    <m/>
    <m/>
    <m/>
    <n v="1"/>
    <x v="7"/>
    <n v="0"/>
    <n v="0"/>
    <n v="0"/>
  </r>
  <r>
    <s v="LD3108"/>
    <d v="2024-05-19T00:00:00"/>
    <x v="1"/>
    <s v="Google Ads - Brand"/>
    <s v="Desktop"/>
    <s v="North America"/>
    <s v="Customer"/>
    <n v="27"/>
    <s v="Basic"/>
    <n v="1016.47"/>
    <n v="4"/>
    <x v="4"/>
    <n v="1"/>
    <n v="1"/>
    <n v="1"/>
  </r>
  <r>
    <s v="LD1677"/>
    <d v="2024-02-06T00:00:00"/>
    <x v="0"/>
    <s v="Facebook Ads"/>
    <s v="Mobile"/>
    <s v="North America"/>
    <s v="SQL"/>
    <m/>
    <m/>
    <m/>
    <n v="3"/>
    <x v="10"/>
    <n v="1"/>
    <n v="1"/>
    <n v="0"/>
  </r>
  <r>
    <s v="LD4952"/>
    <d v="2024-08-06T00:00:00"/>
    <x v="4"/>
    <s v="Affiliate Program"/>
    <s v="Desktop"/>
    <s v="North America"/>
    <s v="SQL"/>
    <m/>
    <m/>
    <m/>
    <n v="3"/>
    <x v="6"/>
    <n v="1"/>
    <n v="1"/>
    <n v="0"/>
  </r>
  <r>
    <s v="LD6503"/>
    <d v="2024-11-04T00:00:00"/>
    <x v="1"/>
    <s v="Google Ads - Generic"/>
    <s v="Tablet"/>
    <s v="North America"/>
    <s v="Lead"/>
    <m/>
    <m/>
    <m/>
    <n v="1"/>
    <x v="2"/>
    <n v="0"/>
    <n v="0"/>
    <n v="0"/>
  </r>
  <r>
    <s v="LD4663"/>
    <d v="2024-08-19T00:00:00"/>
    <x v="1"/>
    <s v="Google Ads - Brand"/>
    <s v="Desktop"/>
    <s v="North America"/>
    <s v="MQL"/>
    <m/>
    <m/>
    <m/>
    <n v="2"/>
    <x v="6"/>
    <n v="1"/>
    <n v="0"/>
    <n v="0"/>
  </r>
  <r>
    <s v="LD5064"/>
    <d v="2024-09-26T00:00:00"/>
    <x v="5"/>
    <s v="Landing Page SEO"/>
    <s v="Mobile"/>
    <s v="Asia Pacific"/>
    <s v="MQL"/>
    <m/>
    <m/>
    <m/>
    <n v="2"/>
    <x v="9"/>
    <n v="1"/>
    <n v="0"/>
    <n v="0"/>
  </r>
  <r>
    <s v="LD5196"/>
    <d v="2024-09-13T00:00:00"/>
    <x v="1"/>
    <s v="Google Ads - Brand"/>
    <s v="Desktop"/>
    <s v="North America"/>
    <s v="Lead"/>
    <m/>
    <m/>
    <m/>
    <n v="1"/>
    <x v="9"/>
    <n v="0"/>
    <n v="0"/>
    <n v="0"/>
  </r>
  <r>
    <s v="LD2466"/>
    <d v="2024-03-06T00:00:00"/>
    <x v="2"/>
    <s v="Direct / Type-in"/>
    <s v="Desktop"/>
    <s v="North America"/>
    <s v="SQL"/>
    <m/>
    <m/>
    <m/>
    <n v="3"/>
    <x v="8"/>
    <n v="1"/>
    <n v="1"/>
    <n v="0"/>
  </r>
  <r>
    <s v="LD2175"/>
    <d v="2024-03-25T00:00:00"/>
    <x v="0"/>
    <s v="Instagram Ads"/>
    <s v="Desktop"/>
    <s v="Europe"/>
    <s v="Lead"/>
    <m/>
    <m/>
    <m/>
    <n v="1"/>
    <x v="8"/>
    <n v="0"/>
    <n v="0"/>
    <n v="0"/>
  </r>
  <r>
    <s v="LD5358"/>
    <d v="2024-09-19T00:00:00"/>
    <x v="3"/>
    <s v="Promo Blast"/>
    <s v="Mobile"/>
    <s v="North America"/>
    <s v="MQL"/>
    <m/>
    <m/>
    <m/>
    <n v="2"/>
    <x v="9"/>
    <n v="1"/>
    <n v="0"/>
    <n v="0"/>
  </r>
  <r>
    <s v="LD1997"/>
    <d v="2024-03-25T00:00:00"/>
    <x v="5"/>
    <s v="Landing Page SEO"/>
    <s v="Desktop"/>
    <s v="Asia Pacific"/>
    <s v="SQL"/>
    <m/>
    <m/>
    <m/>
    <n v="3"/>
    <x v="8"/>
    <n v="1"/>
    <n v="1"/>
    <n v="0"/>
  </r>
  <r>
    <s v="LD4760"/>
    <d v="2024-08-27T00:00:00"/>
    <x v="3"/>
    <s v="Monthly Newsletter"/>
    <s v="Mobile"/>
    <s v="North America"/>
    <s v="SQL"/>
    <m/>
    <m/>
    <m/>
    <n v="3"/>
    <x v="6"/>
    <n v="1"/>
    <n v="1"/>
    <n v="0"/>
  </r>
  <r>
    <s v="LD6806"/>
    <d v="2024-11-11T00:00:00"/>
    <x v="3"/>
    <s v="Promo Blast"/>
    <s v="Tablet"/>
    <s v="Europe"/>
    <s v="SQL"/>
    <m/>
    <m/>
    <m/>
    <n v="3"/>
    <x v="2"/>
    <n v="1"/>
    <n v="1"/>
    <n v="0"/>
  </r>
  <r>
    <s v="LD2670"/>
    <d v="2024-04-13T00:00:00"/>
    <x v="0"/>
    <s v="Instagram Ads"/>
    <s v="Desktop"/>
    <s v="North America"/>
    <s v="MQL"/>
    <m/>
    <m/>
    <m/>
    <n v="2"/>
    <x v="1"/>
    <n v="1"/>
    <n v="0"/>
    <n v="0"/>
  </r>
  <r>
    <s v="LD1550"/>
    <d v="2024-02-03T00:00:00"/>
    <x v="5"/>
    <s v="Landing Page SEO"/>
    <s v="Mobile"/>
    <s v="Europe"/>
    <s v="SQL"/>
    <m/>
    <m/>
    <m/>
    <n v="3"/>
    <x v="10"/>
    <n v="1"/>
    <n v="1"/>
    <n v="0"/>
  </r>
  <r>
    <s v="LD2942"/>
    <d v="2024-04-16T00:00:00"/>
    <x v="4"/>
    <s v="Affiliate Program"/>
    <s v="Desktop"/>
    <s v="North America"/>
    <s v="Lead"/>
    <m/>
    <m/>
    <m/>
    <n v="1"/>
    <x v="1"/>
    <n v="0"/>
    <n v="0"/>
    <n v="0"/>
  </r>
  <r>
    <s v="LD3437"/>
    <d v="2024-05-18T00:00:00"/>
    <x v="4"/>
    <s v="Partner Program"/>
    <s v="Desktop"/>
    <s v="Europe"/>
    <s v="Lead"/>
    <m/>
    <m/>
    <m/>
    <n v="1"/>
    <x v="4"/>
    <n v="0"/>
    <n v="0"/>
    <n v="0"/>
  </r>
  <r>
    <s v="LD7616"/>
    <d v="2024-12-25T00:00:00"/>
    <x v="4"/>
    <s v="Partner Program"/>
    <s v="Mobile"/>
    <s v="North America"/>
    <s v="Lead"/>
    <m/>
    <m/>
    <m/>
    <n v="1"/>
    <x v="7"/>
    <n v="0"/>
    <n v="0"/>
    <n v="0"/>
  </r>
  <r>
    <s v="LD1297"/>
    <d v="2024-01-12T00:00:00"/>
    <x v="3"/>
    <s v="Promo Blast"/>
    <s v="Mobile"/>
    <s v="Europe"/>
    <s v="Lead"/>
    <m/>
    <m/>
    <m/>
    <n v="1"/>
    <x v="3"/>
    <n v="0"/>
    <n v="0"/>
    <n v="0"/>
  </r>
  <r>
    <s v="LD6082"/>
    <d v="2024-10-26T00:00:00"/>
    <x v="3"/>
    <s v="Monthly Newsletter"/>
    <s v="Desktop"/>
    <s v="North America"/>
    <s v="Customer"/>
    <n v="39"/>
    <s v="Basic"/>
    <n v="1367.98"/>
    <n v="4"/>
    <x v="5"/>
    <n v="1"/>
    <n v="1"/>
    <n v="1"/>
  </r>
  <r>
    <s v="LD5249"/>
    <d v="2024-09-16T00:00:00"/>
    <x v="0"/>
    <s v="LinkedIn Ads"/>
    <s v="Mobile"/>
    <s v="Asia Pacific"/>
    <s v="SQL"/>
    <m/>
    <m/>
    <m/>
    <n v="3"/>
    <x v="9"/>
    <n v="1"/>
    <n v="1"/>
    <n v="0"/>
  </r>
  <r>
    <s v="LD3958"/>
    <d v="2024-06-05T00:00:00"/>
    <x v="4"/>
    <s v="Affiliate Program"/>
    <s v="Mobile"/>
    <s v="North America"/>
    <s v="Lead"/>
    <m/>
    <m/>
    <m/>
    <n v="1"/>
    <x v="11"/>
    <n v="0"/>
    <n v="0"/>
    <n v="0"/>
  </r>
  <r>
    <s v="LD5815"/>
    <d v="2024-10-14T00:00:00"/>
    <x v="1"/>
    <s v="Google Ads - Brand"/>
    <s v="Tablet"/>
    <s v="Asia Pacific"/>
    <s v="Lead"/>
    <m/>
    <m/>
    <m/>
    <n v="1"/>
    <x v="5"/>
    <n v="0"/>
    <n v="0"/>
    <n v="0"/>
  </r>
  <r>
    <s v="LD6291"/>
    <d v="2024-10-15T00:00:00"/>
    <x v="2"/>
    <s v="Direct / Type-in"/>
    <s v="Desktop"/>
    <s v="Asia Pacific"/>
    <s v="Lead"/>
    <m/>
    <m/>
    <m/>
    <n v="1"/>
    <x v="5"/>
    <n v="0"/>
    <n v="0"/>
    <n v="0"/>
  </r>
  <r>
    <s v="LD2220"/>
    <d v="2024-03-14T00:00:00"/>
    <x v="3"/>
    <s v="Monthly Newsletter"/>
    <s v="Desktop"/>
    <s v="Europe"/>
    <s v="Customer"/>
    <n v="22"/>
    <s v="Basic"/>
    <n v="1090.3399999999999"/>
    <n v="4"/>
    <x v="8"/>
    <n v="1"/>
    <n v="1"/>
    <n v="1"/>
  </r>
  <r>
    <s v="LD3844"/>
    <d v="2024-06-11T00:00:00"/>
    <x v="3"/>
    <s v="Monthly Newsletter"/>
    <s v="Desktop"/>
    <s v="Europe"/>
    <s v="MQL"/>
    <m/>
    <m/>
    <m/>
    <n v="2"/>
    <x v="11"/>
    <n v="1"/>
    <n v="0"/>
    <n v="0"/>
  </r>
  <r>
    <s v="LD1866"/>
    <d v="2024-02-01T00:00:00"/>
    <x v="4"/>
    <s v="Affiliate Program"/>
    <s v="Mobile"/>
    <s v="North America"/>
    <s v="MQL"/>
    <m/>
    <m/>
    <m/>
    <n v="2"/>
    <x v="10"/>
    <n v="1"/>
    <n v="0"/>
    <n v="0"/>
  </r>
  <r>
    <s v="LD2439"/>
    <d v="2024-03-10T00:00:00"/>
    <x v="2"/>
    <s v="Direct / Type-in"/>
    <s v="Mobile"/>
    <s v="North America"/>
    <s v="SQL"/>
    <m/>
    <m/>
    <m/>
    <n v="3"/>
    <x v="8"/>
    <n v="1"/>
    <n v="1"/>
    <n v="0"/>
  </r>
  <r>
    <s v="LD3742"/>
    <d v="2024-06-09T00:00:00"/>
    <x v="0"/>
    <s v="Instagram Ads"/>
    <s v="Mobile"/>
    <s v="North America"/>
    <s v="MQL"/>
    <m/>
    <m/>
    <m/>
    <n v="2"/>
    <x v="11"/>
    <n v="1"/>
    <n v="0"/>
    <n v="0"/>
  </r>
  <r>
    <s v="LD3064"/>
    <d v="2024-05-05T00:00:00"/>
    <x v="5"/>
    <s v="Blog SEO"/>
    <s v="Mobile"/>
    <s v="Europe"/>
    <s v="Lead"/>
    <m/>
    <m/>
    <m/>
    <n v="1"/>
    <x v="4"/>
    <n v="0"/>
    <n v="0"/>
    <n v="0"/>
  </r>
  <r>
    <s v="LD3035"/>
    <d v="2024-05-20T00:00:00"/>
    <x v="5"/>
    <s v="Blog SEO"/>
    <s v="Desktop"/>
    <s v="North America"/>
    <s v="Lead"/>
    <m/>
    <m/>
    <m/>
    <n v="1"/>
    <x v="4"/>
    <n v="0"/>
    <n v="0"/>
    <n v="0"/>
  </r>
  <r>
    <s v="LD7709"/>
    <d v="2024-12-18T00:00:00"/>
    <x v="2"/>
    <s v="Direct / Type-in"/>
    <s v="Desktop"/>
    <s v="Europe"/>
    <s v="Lead"/>
    <m/>
    <m/>
    <m/>
    <n v="1"/>
    <x v="7"/>
    <n v="0"/>
    <n v="0"/>
    <n v="0"/>
  </r>
  <r>
    <s v="LD5363"/>
    <d v="2024-09-21T00:00:00"/>
    <x v="3"/>
    <s v="Monthly Newsletter"/>
    <s v="Mobile"/>
    <s v="Europe"/>
    <s v="SQL"/>
    <m/>
    <m/>
    <m/>
    <n v="3"/>
    <x v="9"/>
    <n v="1"/>
    <n v="1"/>
    <n v="0"/>
  </r>
  <r>
    <s v="LD2193"/>
    <d v="2024-03-21T00:00:00"/>
    <x v="0"/>
    <s v="Instagram Ads"/>
    <s v="Desktop"/>
    <s v="North America"/>
    <s v="MQL"/>
    <m/>
    <m/>
    <m/>
    <n v="2"/>
    <x v="8"/>
    <n v="1"/>
    <n v="0"/>
    <n v="0"/>
  </r>
  <r>
    <s v="LD6494"/>
    <d v="2024-11-05T00:00:00"/>
    <x v="1"/>
    <s v="Google Ads - Generic"/>
    <s v="Tablet"/>
    <s v="North America"/>
    <s v="Lead"/>
    <m/>
    <m/>
    <m/>
    <n v="1"/>
    <x v="2"/>
    <n v="0"/>
    <n v="0"/>
    <n v="0"/>
  </r>
  <r>
    <s v="LD1347"/>
    <d v="2024-01-21T00:00:00"/>
    <x v="3"/>
    <s v="Promo Blast"/>
    <s v="Mobile"/>
    <s v="North America"/>
    <s v="SQL"/>
    <m/>
    <m/>
    <m/>
    <n v="3"/>
    <x v="3"/>
    <n v="1"/>
    <n v="1"/>
    <n v="0"/>
  </r>
  <r>
    <s v="LD3510"/>
    <d v="2024-05-15T00:00:00"/>
    <x v="2"/>
    <s v="Direct / Type-in"/>
    <s v="Desktop"/>
    <s v="Europe"/>
    <s v="Lead"/>
    <m/>
    <m/>
    <m/>
    <n v="1"/>
    <x v="4"/>
    <n v="0"/>
    <n v="0"/>
    <n v="0"/>
  </r>
  <r>
    <s v="LD3403"/>
    <d v="2024-05-28T00:00:00"/>
    <x v="3"/>
    <s v="Promo Blast"/>
    <s v="Desktop"/>
    <s v="Latin America"/>
    <s v="SQL"/>
    <m/>
    <m/>
    <m/>
    <n v="3"/>
    <x v="4"/>
    <n v="1"/>
    <n v="1"/>
    <n v="0"/>
  </r>
  <r>
    <s v="LD4520"/>
    <d v="2024-08-24T00:00:00"/>
    <x v="5"/>
    <s v="Blog SEO"/>
    <s v="Mobile"/>
    <s v="North America"/>
    <s v="Lead"/>
    <m/>
    <m/>
    <m/>
    <n v="1"/>
    <x v="6"/>
    <n v="0"/>
    <n v="0"/>
    <n v="0"/>
  </r>
  <r>
    <s v="LD4899"/>
    <d v="2024-08-25T00:00:00"/>
    <x v="4"/>
    <s v="Affiliate Program"/>
    <s v="Mobile"/>
    <s v="North America"/>
    <s v="SQL"/>
    <m/>
    <m/>
    <m/>
    <n v="3"/>
    <x v="6"/>
    <n v="1"/>
    <n v="1"/>
    <n v="0"/>
  </r>
  <r>
    <s v="LD4955"/>
    <d v="2024-08-19T00:00:00"/>
    <x v="2"/>
    <s v="Direct / Type-in"/>
    <s v="Tablet"/>
    <s v="North America"/>
    <s v="Lead"/>
    <m/>
    <m/>
    <m/>
    <n v="1"/>
    <x v="6"/>
    <n v="0"/>
    <n v="0"/>
    <n v="0"/>
  </r>
  <r>
    <s v="LD3183"/>
    <d v="2024-05-12T00:00:00"/>
    <x v="1"/>
    <s v="Google Ads - Brand"/>
    <s v="Mobile"/>
    <s v="Europe"/>
    <s v="MQL"/>
    <m/>
    <m/>
    <m/>
    <n v="2"/>
    <x v="4"/>
    <n v="1"/>
    <n v="0"/>
    <n v="0"/>
  </r>
  <r>
    <s v="LD1088"/>
    <d v="2024-01-25T00:00:00"/>
    <x v="1"/>
    <s v="Google Ads - Generic"/>
    <s v="Mobile"/>
    <s v="Latin America"/>
    <s v="Lead"/>
    <m/>
    <m/>
    <m/>
    <n v="1"/>
    <x v="3"/>
    <n v="0"/>
    <n v="0"/>
    <n v="0"/>
  </r>
  <r>
    <s v="LD1466"/>
    <d v="2024-01-23T00:00:00"/>
    <x v="2"/>
    <s v="Direct / Type-in"/>
    <s v="Desktop"/>
    <s v="North America"/>
    <s v="Customer"/>
    <n v="35"/>
    <s v="Basic"/>
    <n v="945.07"/>
    <n v="4"/>
    <x v="3"/>
    <n v="1"/>
    <n v="1"/>
    <n v="1"/>
  </r>
  <r>
    <s v="LD1961"/>
    <d v="2024-03-13T00:00:00"/>
    <x v="5"/>
    <s v="Landing Page SEO"/>
    <s v="Desktop"/>
    <s v="Europe"/>
    <s v="SQL"/>
    <m/>
    <m/>
    <m/>
    <n v="3"/>
    <x v="8"/>
    <n v="1"/>
    <n v="1"/>
    <n v="0"/>
  </r>
  <r>
    <s v="LD6859"/>
    <d v="2024-11-26T00:00:00"/>
    <x v="3"/>
    <s v="Monthly Newsletter"/>
    <s v="Desktop"/>
    <s v="North America"/>
    <s v="MQL"/>
    <m/>
    <m/>
    <m/>
    <n v="2"/>
    <x v="2"/>
    <n v="1"/>
    <n v="0"/>
    <n v="0"/>
  </r>
  <r>
    <s v="LD4177"/>
    <d v="2024-07-25T00:00:00"/>
    <x v="1"/>
    <s v="Google Ads - Generic"/>
    <s v="Desktop"/>
    <s v="North America"/>
    <s v="Lead"/>
    <m/>
    <m/>
    <m/>
    <n v="1"/>
    <x v="0"/>
    <n v="0"/>
    <n v="0"/>
    <n v="0"/>
  </r>
  <r>
    <s v="LD7539"/>
    <d v="2024-12-06T00:00:00"/>
    <x v="3"/>
    <s v="Monthly Newsletter"/>
    <s v="Mobile"/>
    <s v="Europe"/>
    <s v="Lead"/>
    <m/>
    <m/>
    <m/>
    <n v="1"/>
    <x v="7"/>
    <n v="0"/>
    <n v="0"/>
    <n v="0"/>
  </r>
  <r>
    <s v="LD2453"/>
    <d v="2024-03-22T00:00:00"/>
    <x v="2"/>
    <s v="Direct / Type-in"/>
    <s v="Mobile"/>
    <s v="Europe"/>
    <s v="MQL"/>
    <m/>
    <m/>
    <m/>
    <n v="2"/>
    <x v="8"/>
    <n v="1"/>
    <n v="0"/>
    <n v="0"/>
  </r>
  <r>
    <s v="LD1158"/>
    <d v="2024-01-15T00:00:00"/>
    <x v="1"/>
    <s v="Google Ads - Brand"/>
    <s v="Mobile"/>
    <s v="North America"/>
    <s v="Lead"/>
    <m/>
    <m/>
    <m/>
    <n v="1"/>
    <x v="3"/>
    <n v="0"/>
    <n v="0"/>
    <n v="0"/>
  </r>
  <r>
    <s v="LD1352"/>
    <d v="2024-01-12T00:00:00"/>
    <x v="4"/>
    <s v="Partner Program"/>
    <s v="Desktop"/>
    <s v="North America"/>
    <s v="MQL"/>
    <m/>
    <m/>
    <m/>
    <n v="2"/>
    <x v="3"/>
    <n v="1"/>
    <n v="0"/>
    <n v="0"/>
  </r>
  <r>
    <s v="LD4245"/>
    <d v="2024-07-11T00:00:00"/>
    <x v="0"/>
    <s v="Facebook Ads"/>
    <s v="Desktop"/>
    <s v="North America"/>
    <s v="Lead"/>
    <m/>
    <m/>
    <m/>
    <n v="1"/>
    <x v="0"/>
    <n v="0"/>
    <n v="0"/>
    <n v="0"/>
  </r>
  <r>
    <s v="LD2401"/>
    <d v="2024-03-08T00:00:00"/>
    <x v="4"/>
    <s v="Affiliate Program"/>
    <s v="Mobile"/>
    <s v="Asia Pacific"/>
    <s v="MQL"/>
    <m/>
    <m/>
    <m/>
    <n v="2"/>
    <x v="8"/>
    <n v="1"/>
    <n v="0"/>
    <n v="0"/>
  </r>
  <r>
    <s v="LD5866"/>
    <d v="2024-10-09T00:00:00"/>
    <x v="0"/>
    <s v="Instagram Ads"/>
    <s v="Mobile"/>
    <s v="North America"/>
    <s v="Lead"/>
    <m/>
    <m/>
    <m/>
    <n v="1"/>
    <x v="5"/>
    <n v="0"/>
    <n v="0"/>
    <n v="0"/>
  </r>
  <r>
    <s v="LD5225"/>
    <d v="2024-09-07T00:00:00"/>
    <x v="0"/>
    <s v="Facebook Ads"/>
    <s v="Desktop"/>
    <s v="Latin America"/>
    <s v="MQL"/>
    <m/>
    <m/>
    <m/>
    <n v="2"/>
    <x v="9"/>
    <n v="1"/>
    <n v="0"/>
    <n v="0"/>
  </r>
  <r>
    <s v="LD2376"/>
    <d v="2024-03-21T00:00:00"/>
    <x v="4"/>
    <s v="Partner Program"/>
    <s v="Desktop"/>
    <s v="Asia Pacific"/>
    <s v="Customer"/>
    <n v="61"/>
    <s v="Pro"/>
    <n v="3499.8"/>
    <n v="4"/>
    <x v="8"/>
    <n v="1"/>
    <n v="1"/>
    <n v="1"/>
  </r>
  <r>
    <s v="LD3200"/>
    <d v="2024-05-28T00:00:00"/>
    <x v="1"/>
    <s v="Google Ads - Generic"/>
    <s v="Mobile"/>
    <s v="North America"/>
    <s v="MQL"/>
    <m/>
    <m/>
    <m/>
    <n v="2"/>
    <x v="4"/>
    <n v="1"/>
    <n v="0"/>
    <n v="0"/>
  </r>
  <r>
    <s v="LD5956"/>
    <d v="2024-10-23T00:00:00"/>
    <x v="3"/>
    <s v="Monthly Newsletter"/>
    <s v="Desktop"/>
    <s v="Europe"/>
    <s v="MQL"/>
    <m/>
    <m/>
    <m/>
    <n v="2"/>
    <x v="5"/>
    <n v="1"/>
    <n v="0"/>
    <n v="0"/>
  </r>
  <r>
    <s v="LD2426"/>
    <d v="2024-03-13T00:00:00"/>
    <x v="2"/>
    <s v="Direct / Type-in"/>
    <s v="Desktop"/>
    <s v="Europe"/>
    <s v="Lead"/>
    <m/>
    <m/>
    <m/>
    <n v="1"/>
    <x v="8"/>
    <n v="0"/>
    <n v="0"/>
    <n v="0"/>
  </r>
  <r>
    <s v="LD3463"/>
    <d v="2024-05-02T00:00:00"/>
    <x v="4"/>
    <s v="Affiliate Program"/>
    <s v="Mobile"/>
    <s v="North America"/>
    <s v="Lead"/>
    <m/>
    <m/>
    <m/>
    <n v="1"/>
    <x v="4"/>
    <n v="0"/>
    <n v="0"/>
    <n v="0"/>
  </r>
  <r>
    <s v="LD5335"/>
    <d v="2024-09-06T00:00:00"/>
    <x v="3"/>
    <s v="Monthly Newsletter"/>
    <s v="Mobile"/>
    <s v="North America"/>
    <s v="Lead"/>
    <m/>
    <m/>
    <m/>
    <n v="1"/>
    <x v="9"/>
    <n v="0"/>
    <n v="0"/>
    <n v="0"/>
  </r>
  <r>
    <s v="LD1697"/>
    <d v="2024-02-15T00:00:00"/>
    <x v="0"/>
    <s v="Instagram Ads"/>
    <s v="Desktop"/>
    <s v="Europe"/>
    <s v="Lead"/>
    <m/>
    <m/>
    <m/>
    <n v="1"/>
    <x v="10"/>
    <n v="0"/>
    <n v="0"/>
    <n v="0"/>
  </r>
  <r>
    <s v="LD3096"/>
    <d v="2024-05-19T00:00:00"/>
    <x v="5"/>
    <s v="Landing Page SEO"/>
    <s v="Desktop"/>
    <s v="Europe"/>
    <s v="Lead"/>
    <m/>
    <m/>
    <m/>
    <n v="1"/>
    <x v="4"/>
    <n v="0"/>
    <n v="0"/>
    <n v="0"/>
  </r>
  <r>
    <s v="LD6109"/>
    <d v="2024-10-16T00:00:00"/>
    <x v="3"/>
    <s v="Monthly Newsletter"/>
    <s v="Desktop"/>
    <s v="North America"/>
    <s v="MQL"/>
    <m/>
    <m/>
    <m/>
    <n v="2"/>
    <x v="5"/>
    <n v="1"/>
    <n v="0"/>
    <n v="0"/>
  </r>
  <r>
    <s v="LD7686"/>
    <d v="2024-12-11T00:00:00"/>
    <x v="4"/>
    <s v="Affiliate Program"/>
    <s v="Mobile"/>
    <s v="North America"/>
    <s v="Lead"/>
    <m/>
    <m/>
    <m/>
    <n v="1"/>
    <x v="7"/>
    <n v="0"/>
    <n v="0"/>
    <n v="0"/>
  </r>
  <r>
    <s v="LD2872"/>
    <d v="2024-04-26T00:00:00"/>
    <x v="4"/>
    <s v="Partner Program"/>
    <s v="Desktop"/>
    <s v="Europe"/>
    <s v="Customer"/>
    <n v="66"/>
    <s v="Basic"/>
    <n v="508.87"/>
    <n v="4"/>
    <x v="1"/>
    <n v="1"/>
    <n v="1"/>
    <n v="1"/>
  </r>
  <r>
    <s v="LD4689"/>
    <d v="2024-08-01T00:00:00"/>
    <x v="0"/>
    <s v="Facebook Ads"/>
    <s v="Desktop"/>
    <s v="North America"/>
    <s v="MQL"/>
    <m/>
    <m/>
    <m/>
    <n v="2"/>
    <x v="6"/>
    <n v="1"/>
    <n v="0"/>
    <n v="0"/>
  </r>
  <r>
    <s v="LD2222"/>
    <d v="2024-03-22T00:00:00"/>
    <x v="3"/>
    <s v="Promo Blast"/>
    <s v="Desktop"/>
    <s v="Latin America"/>
    <s v="SQL"/>
    <m/>
    <m/>
    <m/>
    <n v="3"/>
    <x v="8"/>
    <n v="1"/>
    <n v="1"/>
    <n v="0"/>
  </r>
  <r>
    <s v="LD5950"/>
    <d v="2024-10-27T00:00:00"/>
    <x v="3"/>
    <s v="Promo Blast"/>
    <s v="Desktop"/>
    <s v="Europe"/>
    <s v="Lead"/>
    <m/>
    <m/>
    <m/>
    <n v="1"/>
    <x v="5"/>
    <n v="0"/>
    <n v="0"/>
    <n v="0"/>
  </r>
  <r>
    <s v="LD1168"/>
    <d v="2024-01-15T00:00:00"/>
    <x v="1"/>
    <s v="Google Ads - Generic"/>
    <s v="Mobile"/>
    <s v="Asia Pacific"/>
    <s v="Lead"/>
    <m/>
    <m/>
    <m/>
    <n v="1"/>
    <x v="3"/>
    <n v="0"/>
    <n v="0"/>
    <n v="0"/>
  </r>
  <r>
    <s v="LD4168"/>
    <d v="2024-07-22T00:00:00"/>
    <x v="1"/>
    <s v="Google Ads - Brand"/>
    <s v="Mobile"/>
    <s v="Latin America"/>
    <s v="MQL"/>
    <m/>
    <m/>
    <m/>
    <n v="2"/>
    <x v="0"/>
    <n v="1"/>
    <n v="0"/>
    <n v="0"/>
  </r>
  <r>
    <s v="LD6583"/>
    <d v="2024-11-19T00:00:00"/>
    <x v="1"/>
    <s v="Google Ads - Generic"/>
    <s v="Tablet"/>
    <s v="Asia Pacific"/>
    <s v="Lead"/>
    <m/>
    <m/>
    <m/>
    <n v="1"/>
    <x v="2"/>
    <n v="0"/>
    <n v="0"/>
    <n v="0"/>
  </r>
  <r>
    <s v="LD2783"/>
    <d v="2024-04-23T00:00:00"/>
    <x v="3"/>
    <s v="Promo Blast"/>
    <s v="Mobile"/>
    <s v="North America"/>
    <s v="Lead"/>
    <m/>
    <m/>
    <m/>
    <n v="1"/>
    <x v="1"/>
    <n v="0"/>
    <n v="0"/>
    <n v="0"/>
  </r>
  <r>
    <s v="LD6759"/>
    <d v="2024-11-03T00:00:00"/>
    <x v="3"/>
    <s v="Promo Blast"/>
    <s v="Mobile"/>
    <s v="Europe"/>
    <s v="Customer"/>
    <n v="35"/>
    <s v="Basic"/>
    <n v="891.35"/>
    <n v="4"/>
    <x v="2"/>
    <n v="1"/>
    <n v="1"/>
    <n v="1"/>
  </r>
  <r>
    <s v="LD2174"/>
    <d v="2024-03-17T00:00:00"/>
    <x v="0"/>
    <s v="Instagram Ads"/>
    <s v="Desktop"/>
    <s v="North America"/>
    <s v="Lead"/>
    <m/>
    <m/>
    <m/>
    <n v="1"/>
    <x v="8"/>
    <n v="0"/>
    <n v="0"/>
    <n v="0"/>
  </r>
  <r>
    <s v="LD6138"/>
    <d v="2024-10-24T00:00:00"/>
    <x v="4"/>
    <s v="Partner Program"/>
    <s v="Mobile"/>
    <s v="North America"/>
    <s v="Customer"/>
    <n v="50"/>
    <s v="Basic"/>
    <n v="980.38"/>
    <n v="4"/>
    <x v="5"/>
    <n v="1"/>
    <n v="1"/>
    <n v="1"/>
  </r>
  <r>
    <s v="LD4287"/>
    <d v="2024-07-14T00:00:00"/>
    <x v="3"/>
    <s v="Promo Blast"/>
    <s v="Desktop"/>
    <s v="Asia Pacific"/>
    <s v="Lead"/>
    <m/>
    <m/>
    <m/>
    <n v="1"/>
    <x v="0"/>
    <n v="0"/>
    <n v="0"/>
    <n v="0"/>
  </r>
  <r>
    <s v="LD4247"/>
    <d v="2024-07-03T00:00:00"/>
    <x v="0"/>
    <s v="LinkedIn Ads"/>
    <s v="Desktop"/>
    <s v="North America"/>
    <s v="Lead"/>
    <m/>
    <m/>
    <m/>
    <n v="1"/>
    <x v="0"/>
    <n v="0"/>
    <n v="0"/>
    <n v="0"/>
  </r>
  <r>
    <s v="LD5857"/>
    <d v="2024-10-13T00:00:00"/>
    <x v="0"/>
    <s v="Instagram Ads"/>
    <s v="Mobile"/>
    <s v="Latin America"/>
    <s v="Lead"/>
    <m/>
    <m/>
    <m/>
    <n v="1"/>
    <x v="5"/>
    <n v="0"/>
    <n v="0"/>
    <n v="0"/>
  </r>
  <r>
    <s v="LD3755"/>
    <d v="2024-06-28T00:00:00"/>
    <x v="0"/>
    <s v="Facebook Ads"/>
    <s v="Tablet"/>
    <s v="Asia Pacific"/>
    <s v="MQL"/>
    <m/>
    <m/>
    <m/>
    <n v="2"/>
    <x v="11"/>
    <n v="1"/>
    <n v="0"/>
    <n v="0"/>
  </r>
  <r>
    <s v="LD3329"/>
    <d v="2024-05-03T00:00:00"/>
    <x v="3"/>
    <s v="Monthly Newsletter"/>
    <s v="Desktop"/>
    <s v="North America"/>
    <s v="SQL"/>
    <m/>
    <m/>
    <m/>
    <n v="3"/>
    <x v="4"/>
    <n v="1"/>
    <n v="1"/>
    <n v="0"/>
  </r>
  <r>
    <s v="LD3595"/>
    <d v="2024-06-23T00:00:00"/>
    <x v="5"/>
    <s v="Blog SEO"/>
    <s v="Desktop"/>
    <s v="Asia Pacific"/>
    <s v="Lead"/>
    <m/>
    <m/>
    <m/>
    <n v="1"/>
    <x v="11"/>
    <n v="0"/>
    <n v="0"/>
    <n v="0"/>
  </r>
  <r>
    <s v="LD5898"/>
    <d v="2024-10-28T00:00:00"/>
    <x v="0"/>
    <s v="Instagram Ads"/>
    <s v="Desktop"/>
    <s v="Latin America"/>
    <s v="Lead"/>
    <m/>
    <m/>
    <m/>
    <n v="1"/>
    <x v="5"/>
    <n v="0"/>
    <n v="0"/>
    <n v="0"/>
  </r>
  <r>
    <s v="LD3760"/>
    <d v="2024-06-24T00:00:00"/>
    <x v="0"/>
    <s v="Facebook Ads"/>
    <s v="Desktop"/>
    <s v="Latin America"/>
    <s v="Lead"/>
    <m/>
    <m/>
    <m/>
    <n v="1"/>
    <x v="11"/>
    <n v="0"/>
    <n v="0"/>
    <n v="0"/>
  </r>
  <r>
    <s v="LD4913"/>
    <d v="2024-08-15T00:00:00"/>
    <x v="4"/>
    <s v="Affiliate Program"/>
    <s v="Mobile"/>
    <s v="Europe"/>
    <s v="SQL"/>
    <m/>
    <m/>
    <m/>
    <n v="3"/>
    <x v="6"/>
    <n v="1"/>
    <n v="1"/>
    <n v="0"/>
  </r>
  <r>
    <s v="LD2035"/>
    <d v="2024-03-28T00:00:00"/>
    <x v="5"/>
    <s v="Blog SEO"/>
    <s v="Desktop"/>
    <s v="North America"/>
    <s v="MQL"/>
    <m/>
    <m/>
    <m/>
    <n v="2"/>
    <x v="8"/>
    <n v="1"/>
    <n v="0"/>
    <n v="0"/>
  </r>
  <r>
    <s v="LD6991"/>
    <d v="2024-11-23T00:00:00"/>
    <x v="4"/>
    <s v="Partner Program"/>
    <s v="Desktop"/>
    <s v="North America"/>
    <s v="Lead"/>
    <m/>
    <m/>
    <m/>
    <n v="1"/>
    <x v="2"/>
    <n v="0"/>
    <n v="0"/>
    <n v="0"/>
  </r>
  <r>
    <s v="LD3933"/>
    <d v="2024-06-04T00:00:00"/>
    <x v="4"/>
    <s v="Affiliate Program"/>
    <s v="Desktop"/>
    <s v="Europe"/>
    <s v="SQL"/>
    <m/>
    <m/>
    <m/>
    <n v="3"/>
    <x v="11"/>
    <n v="1"/>
    <n v="1"/>
    <n v="0"/>
  </r>
  <r>
    <s v="LD4858"/>
    <d v="2024-08-04T00:00:00"/>
    <x v="3"/>
    <s v="Promo Blast"/>
    <s v="Mobile"/>
    <s v="Europe"/>
    <s v="MQL"/>
    <m/>
    <m/>
    <m/>
    <n v="2"/>
    <x v="6"/>
    <n v="1"/>
    <n v="0"/>
    <n v="0"/>
  </r>
  <r>
    <s v="LD3996"/>
    <d v="2024-06-16T00:00:00"/>
    <x v="2"/>
    <s v="Direct / Type-in"/>
    <s v="Desktop"/>
    <s v="Asia Pacific"/>
    <s v="Lead"/>
    <m/>
    <m/>
    <m/>
    <n v="1"/>
    <x v="11"/>
    <n v="0"/>
    <n v="0"/>
    <n v="0"/>
  </r>
  <r>
    <s v="LD1374"/>
    <d v="2024-01-26T00:00:00"/>
    <x v="4"/>
    <s v="Affiliate Program"/>
    <s v="Mobile"/>
    <s v="North America"/>
    <s v="SQL"/>
    <m/>
    <m/>
    <m/>
    <n v="3"/>
    <x v="3"/>
    <n v="1"/>
    <n v="1"/>
    <n v="0"/>
  </r>
  <r>
    <s v="LD5825"/>
    <d v="2024-10-05T00:00:00"/>
    <x v="1"/>
    <s v="Google Ads - Generic"/>
    <s v="Desktop"/>
    <s v="Europe"/>
    <s v="Lead"/>
    <m/>
    <m/>
    <m/>
    <n v="1"/>
    <x v="5"/>
    <n v="0"/>
    <n v="0"/>
    <n v="0"/>
  </r>
  <r>
    <s v="LD6221"/>
    <d v="2024-10-15T00:00:00"/>
    <x v="4"/>
    <s v="Partner Program"/>
    <s v="Desktop"/>
    <s v="North America"/>
    <s v="SQL"/>
    <m/>
    <m/>
    <m/>
    <n v="3"/>
    <x v="5"/>
    <n v="1"/>
    <n v="1"/>
    <n v="0"/>
  </r>
  <r>
    <s v="LD1309"/>
    <d v="2024-01-13T00:00:00"/>
    <x v="3"/>
    <s v="Promo Blast"/>
    <s v="Desktop"/>
    <s v="Europe"/>
    <s v="SQL"/>
    <m/>
    <m/>
    <m/>
    <n v="3"/>
    <x v="3"/>
    <n v="1"/>
    <n v="1"/>
    <n v="0"/>
  </r>
  <r>
    <s v="LD2576"/>
    <d v="2024-04-22T00:00:00"/>
    <x v="1"/>
    <s v="Google Ads - Brand"/>
    <s v="Desktop"/>
    <s v="Europe"/>
    <s v="MQL"/>
    <m/>
    <m/>
    <m/>
    <n v="2"/>
    <x v="1"/>
    <n v="1"/>
    <n v="0"/>
    <n v="0"/>
  </r>
  <r>
    <s v="LD4539"/>
    <d v="2024-08-25T00:00:00"/>
    <x v="5"/>
    <s v="Blog SEO"/>
    <s v="Desktop"/>
    <s v="North America"/>
    <s v="SQL"/>
    <m/>
    <m/>
    <m/>
    <n v="3"/>
    <x v="6"/>
    <n v="1"/>
    <n v="1"/>
    <n v="0"/>
  </r>
  <r>
    <s v="LD5499"/>
    <d v="2024-09-04T00:00:00"/>
    <x v="4"/>
    <s v="Affiliate Program"/>
    <s v="Desktop"/>
    <s v="North America"/>
    <s v="Lead"/>
    <m/>
    <m/>
    <m/>
    <n v="1"/>
    <x v="9"/>
    <n v="0"/>
    <n v="0"/>
    <n v="0"/>
  </r>
  <r>
    <s v="LD6518"/>
    <d v="2024-11-10T00:00:00"/>
    <x v="1"/>
    <s v="Google Ads - Generic"/>
    <s v="Mobile"/>
    <s v="North America"/>
    <s v="Lead"/>
    <m/>
    <m/>
    <m/>
    <n v="1"/>
    <x v="2"/>
    <n v="0"/>
    <n v="0"/>
    <n v="0"/>
  </r>
  <r>
    <s v="LD6096"/>
    <d v="2024-10-20T00:00:00"/>
    <x v="3"/>
    <s v="Promo Blast"/>
    <s v="Mobile"/>
    <s v="North America"/>
    <s v="Lead"/>
    <m/>
    <m/>
    <m/>
    <n v="1"/>
    <x v="5"/>
    <n v="0"/>
    <n v="0"/>
    <n v="0"/>
  </r>
  <r>
    <s v="LD2488"/>
    <d v="2024-04-12T00:00:00"/>
    <x v="5"/>
    <s v="Blog SEO"/>
    <s v="Mobile"/>
    <s v="Latin America"/>
    <s v="Lead"/>
    <m/>
    <m/>
    <m/>
    <n v="1"/>
    <x v="1"/>
    <n v="0"/>
    <n v="0"/>
    <n v="0"/>
  </r>
  <r>
    <s v="LD7445"/>
    <d v="2024-12-26T00:00:00"/>
    <x v="3"/>
    <s v="Monthly Newsletter"/>
    <s v="Desktop"/>
    <s v="North America"/>
    <s v="SQL"/>
    <m/>
    <m/>
    <m/>
    <n v="3"/>
    <x v="7"/>
    <n v="1"/>
    <n v="1"/>
    <n v="0"/>
  </r>
  <r>
    <s v="LD1744"/>
    <d v="2024-02-09T00:00:00"/>
    <x v="3"/>
    <s v="Promo Blast"/>
    <s v="Mobile"/>
    <s v="Europe"/>
    <s v="Lead"/>
    <m/>
    <m/>
    <m/>
    <n v="1"/>
    <x v="10"/>
    <n v="0"/>
    <n v="0"/>
    <n v="0"/>
  </r>
  <r>
    <s v="LD2651"/>
    <d v="2024-04-04T00:00:00"/>
    <x v="1"/>
    <s v="Google Ads - Generic"/>
    <s v="Desktop"/>
    <s v="Europe"/>
    <s v="MQL"/>
    <m/>
    <m/>
    <m/>
    <n v="2"/>
    <x v="1"/>
    <n v="1"/>
    <n v="0"/>
    <n v="0"/>
  </r>
  <r>
    <s v="LD4915"/>
    <d v="2024-08-23T00:00:00"/>
    <x v="4"/>
    <s v="Partner Program"/>
    <s v="Desktop"/>
    <s v="Europe"/>
    <s v="MQL"/>
    <m/>
    <m/>
    <m/>
    <n v="2"/>
    <x v="6"/>
    <n v="1"/>
    <n v="0"/>
    <n v="0"/>
  </r>
  <r>
    <s v="LD7638"/>
    <d v="2024-12-26T00:00:00"/>
    <x v="4"/>
    <s v="Affiliate Program"/>
    <s v="Mobile"/>
    <s v="North America"/>
    <s v="Lead"/>
    <m/>
    <m/>
    <m/>
    <n v="1"/>
    <x v="7"/>
    <n v="0"/>
    <n v="0"/>
    <n v="0"/>
  </r>
  <r>
    <s v="LD1983"/>
    <d v="2024-03-24T00:00:00"/>
    <x v="5"/>
    <s v="Blog SEO"/>
    <s v="Desktop"/>
    <s v="Europe"/>
    <s v="MQL"/>
    <m/>
    <m/>
    <m/>
    <n v="2"/>
    <x v="8"/>
    <n v="1"/>
    <n v="0"/>
    <n v="0"/>
  </r>
  <r>
    <s v="LD2972"/>
    <d v="2024-04-06T00:00:00"/>
    <x v="2"/>
    <s v="Direct / Type-in"/>
    <s v="Mobile"/>
    <s v="Asia Pacific"/>
    <s v="Lead"/>
    <m/>
    <m/>
    <m/>
    <n v="1"/>
    <x v="1"/>
    <n v="0"/>
    <n v="0"/>
    <n v="0"/>
  </r>
  <r>
    <s v="LD3821"/>
    <d v="2024-06-13T00:00:00"/>
    <x v="3"/>
    <s v="Promo Blast"/>
    <s v="Desktop"/>
    <s v="North America"/>
    <s v="Lead"/>
    <m/>
    <m/>
    <m/>
    <n v="1"/>
    <x v="11"/>
    <n v="0"/>
    <n v="0"/>
    <n v="0"/>
  </r>
  <r>
    <s v="LD7777"/>
    <d v="2024-12-05T00:00:00"/>
    <x v="2"/>
    <s v="Direct / Type-in"/>
    <s v="Desktop"/>
    <s v="North America"/>
    <s v="Lead"/>
    <m/>
    <m/>
    <m/>
    <n v="1"/>
    <x v="7"/>
    <n v="0"/>
    <n v="0"/>
    <n v="0"/>
  </r>
  <r>
    <s v="LD6246"/>
    <d v="2024-10-11T00:00:00"/>
    <x v="2"/>
    <s v="Direct / Type-in"/>
    <s v="Desktop"/>
    <s v="North America"/>
    <s v="Lead"/>
    <m/>
    <m/>
    <m/>
    <n v="1"/>
    <x v="5"/>
    <n v="0"/>
    <n v="0"/>
    <n v="0"/>
  </r>
  <r>
    <s v="LD2570"/>
    <d v="2024-04-13T00:00:00"/>
    <x v="1"/>
    <s v="Google Ads - Generic"/>
    <s v="Desktop"/>
    <s v="Europe"/>
    <s v="Lead"/>
    <m/>
    <m/>
    <m/>
    <n v="1"/>
    <x v="1"/>
    <n v="0"/>
    <n v="0"/>
    <n v="0"/>
  </r>
  <r>
    <s v="LD6850"/>
    <d v="2024-11-09T00:00:00"/>
    <x v="3"/>
    <s v="Promo Blast"/>
    <s v="Desktop"/>
    <s v="North America"/>
    <s v="Lead"/>
    <m/>
    <m/>
    <m/>
    <n v="1"/>
    <x v="2"/>
    <n v="0"/>
    <n v="0"/>
    <n v="0"/>
  </r>
  <r>
    <s v="LD2447"/>
    <d v="2024-03-12T00:00:00"/>
    <x v="2"/>
    <s v="Direct / Type-in"/>
    <s v="Desktop"/>
    <s v="North America"/>
    <s v="MQL"/>
    <m/>
    <m/>
    <m/>
    <n v="2"/>
    <x v="8"/>
    <n v="1"/>
    <n v="0"/>
    <n v="0"/>
  </r>
  <r>
    <s v="LD6167"/>
    <d v="2024-10-16T00:00:00"/>
    <x v="4"/>
    <s v="Partner Program"/>
    <s v="Mobile"/>
    <s v="Latin America"/>
    <s v="MQL"/>
    <m/>
    <m/>
    <m/>
    <n v="2"/>
    <x v="5"/>
    <n v="1"/>
    <n v="0"/>
    <n v="0"/>
  </r>
  <r>
    <s v="LD1323"/>
    <d v="2024-01-16T00:00:00"/>
    <x v="3"/>
    <s v="Monthly Newsletter"/>
    <s v="Desktop"/>
    <s v="Europe"/>
    <s v="Lead"/>
    <m/>
    <m/>
    <m/>
    <n v="1"/>
    <x v="3"/>
    <n v="0"/>
    <n v="0"/>
    <n v="0"/>
  </r>
  <r>
    <s v="LD1249"/>
    <d v="2024-01-10T00:00:00"/>
    <x v="3"/>
    <s v="Promo Blast"/>
    <s v="Mobile"/>
    <s v="Europe"/>
    <s v="Lead"/>
    <m/>
    <m/>
    <m/>
    <n v="1"/>
    <x v="3"/>
    <n v="0"/>
    <n v="0"/>
    <n v="0"/>
  </r>
  <r>
    <s v="LD3822"/>
    <d v="2024-06-22T00:00:00"/>
    <x v="3"/>
    <s v="Monthly Newsletter"/>
    <s v="Desktop"/>
    <s v="Europe"/>
    <s v="MQL"/>
    <m/>
    <m/>
    <m/>
    <n v="2"/>
    <x v="11"/>
    <n v="1"/>
    <n v="0"/>
    <n v="0"/>
  </r>
  <r>
    <s v="LD5565"/>
    <d v="2024-09-08T00:00:00"/>
    <x v="2"/>
    <s v="Direct / Type-in"/>
    <s v="Mobile"/>
    <s v="North America"/>
    <s v="Lead"/>
    <m/>
    <m/>
    <m/>
    <n v="1"/>
    <x v="9"/>
    <n v="0"/>
    <n v="0"/>
    <n v="0"/>
  </r>
  <r>
    <s v="LD2150"/>
    <d v="2024-03-14T00:00:00"/>
    <x v="0"/>
    <s v="Instagram Ads"/>
    <s v="Desktop"/>
    <s v="Europe"/>
    <s v="MQL"/>
    <m/>
    <m/>
    <m/>
    <n v="2"/>
    <x v="8"/>
    <n v="1"/>
    <n v="0"/>
    <n v="0"/>
  </r>
  <r>
    <s v="LD4495"/>
    <d v="2024-07-06T00:00:00"/>
    <x v="2"/>
    <s v="Direct / Type-in"/>
    <s v="Mobile"/>
    <s v="North America"/>
    <s v="Lead"/>
    <m/>
    <m/>
    <m/>
    <n v="1"/>
    <x v="0"/>
    <n v="0"/>
    <n v="0"/>
    <n v="0"/>
  </r>
  <r>
    <s v="LD3586"/>
    <d v="2024-06-09T00:00:00"/>
    <x v="5"/>
    <s v="Blog SEO"/>
    <s v="Mobile"/>
    <s v="Europe"/>
    <s v="MQL"/>
    <m/>
    <m/>
    <m/>
    <n v="2"/>
    <x v="11"/>
    <n v="1"/>
    <n v="0"/>
    <n v="0"/>
  </r>
  <r>
    <s v="LD2043"/>
    <d v="2024-03-05T00:00:00"/>
    <x v="1"/>
    <s v="Google Ads - Brand"/>
    <s v="Desktop"/>
    <s v="North America"/>
    <s v="Lead"/>
    <m/>
    <m/>
    <m/>
    <n v="1"/>
    <x v="8"/>
    <n v="0"/>
    <n v="0"/>
    <n v="0"/>
  </r>
  <r>
    <s v="LD5119"/>
    <d v="2024-09-26T00:00:00"/>
    <x v="5"/>
    <s v="Landing Page SEO"/>
    <s v="Desktop"/>
    <s v="North America"/>
    <s v="Lead"/>
    <m/>
    <m/>
    <m/>
    <n v="1"/>
    <x v="9"/>
    <n v="0"/>
    <n v="0"/>
    <n v="0"/>
  </r>
  <r>
    <s v="LD6158"/>
    <d v="2024-10-19T00:00:00"/>
    <x v="4"/>
    <s v="Affiliate Program"/>
    <s v="Mobile"/>
    <s v="North America"/>
    <s v="Customer"/>
    <n v="29"/>
    <s v="Pro"/>
    <n v="4988.4799999999996"/>
    <n v="4"/>
    <x v="5"/>
    <n v="1"/>
    <n v="1"/>
    <n v="1"/>
  </r>
  <r>
    <s v="LD4945"/>
    <d v="2024-08-28T00:00:00"/>
    <x v="4"/>
    <s v="Affiliate Program"/>
    <s v="Desktop"/>
    <s v="Europe"/>
    <s v="SQL"/>
    <m/>
    <m/>
    <m/>
    <n v="3"/>
    <x v="6"/>
    <n v="1"/>
    <n v="1"/>
    <n v="0"/>
  </r>
  <r>
    <s v="LD4699"/>
    <d v="2024-08-11T00:00:00"/>
    <x v="0"/>
    <s v="LinkedIn Ads"/>
    <s v="Mobile"/>
    <s v="North America"/>
    <s v="SQL"/>
    <m/>
    <m/>
    <m/>
    <n v="3"/>
    <x v="6"/>
    <n v="1"/>
    <n v="1"/>
    <n v="0"/>
  </r>
  <r>
    <s v="LD1092"/>
    <d v="2024-01-13T00:00:00"/>
    <x v="1"/>
    <s v="Google Ads - Brand"/>
    <s v="Desktop"/>
    <s v="North America"/>
    <s v="Lead"/>
    <m/>
    <m/>
    <m/>
    <n v="1"/>
    <x v="3"/>
    <n v="0"/>
    <n v="0"/>
    <n v="0"/>
  </r>
  <r>
    <s v="LD4067"/>
    <d v="2024-07-27T00:00:00"/>
    <x v="5"/>
    <s v="Blog SEO"/>
    <s v="Desktop"/>
    <s v="North America"/>
    <s v="MQL"/>
    <m/>
    <m/>
    <m/>
    <n v="2"/>
    <x v="0"/>
    <n v="1"/>
    <n v="0"/>
    <n v="0"/>
  </r>
  <r>
    <s v="LD1319"/>
    <d v="2024-01-05T00:00:00"/>
    <x v="3"/>
    <s v="Monthly Newsletter"/>
    <s v="Desktop"/>
    <s v="Asia Pacific"/>
    <s v="MQL"/>
    <m/>
    <m/>
    <m/>
    <n v="2"/>
    <x v="3"/>
    <n v="1"/>
    <n v="0"/>
    <n v="0"/>
  </r>
  <r>
    <s v="LD2159"/>
    <d v="2024-03-17T00:00:00"/>
    <x v="0"/>
    <s v="Instagram Ads"/>
    <s v="Desktop"/>
    <s v="Europe"/>
    <s v="MQL"/>
    <m/>
    <m/>
    <m/>
    <n v="2"/>
    <x v="8"/>
    <n v="1"/>
    <n v="0"/>
    <n v="0"/>
  </r>
  <r>
    <s v="LD7518"/>
    <d v="2024-12-25T00:00:00"/>
    <x v="3"/>
    <s v="Monthly Newsletter"/>
    <s v="Desktop"/>
    <s v="Asia Pacific"/>
    <s v="SQL"/>
    <m/>
    <m/>
    <m/>
    <n v="3"/>
    <x v="7"/>
    <n v="1"/>
    <n v="1"/>
    <n v="0"/>
  </r>
  <r>
    <s v="LD3158"/>
    <d v="2024-05-01T00:00:00"/>
    <x v="1"/>
    <s v="Google Ads - Generic"/>
    <s v="Desktop"/>
    <s v="North America"/>
    <s v="MQL"/>
    <m/>
    <m/>
    <m/>
    <n v="2"/>
    <x v="4"/>
    <n v="1"/>
    <n v="0"/>
    <n v="0"/>
  </r>
  <r>
    <s v="LD4616"/>
    <d v="2024-08-23T00:00:00"/>
    <x v="1"/>
    <s v="Google Ads - Brand"/>
    <s v="Desktop"/>
    <s v="Asia Pacific"/>
    <s v="Lead"/>
    <m/>
    <m/>
    <m/>
    <n v="1"/>
    <x v="6"/>
    <n v="0"/>
    <n v="0"/>
    <n v="0"/>
  </r>
  <r>
    <s v="LD5797"/>
    <d v="2024-10-06T00:00:00"/>
    <x v="1"/>
    <s v="Google Ads - Brand"/>
    <s v="Desktop"/>
    <s v="Latin America"/>
    <s v="Lead"/>
    <m/>
    <m/>
    <m/>
    <n v="1"/>
    <x v="5"/>
    <n v="0"/>
    <n v="0"/>
    <n v="0"/>
  </r>
  <r>
    <s v="LD2080"/>
    <d v="2024-03-03T00:00:00"/>
    <x v="1"/>
    <s v="Google Ads - Generic"/>
    <s v="Desktop"/>
    <s v="Europe"/>
    <s v="Lead"/>
    <m/>
    <m/>
    <m/>
    <n v="1"/>
    <x v="8"/>
    <n v="0"/>
    <n v="0"/>
    <n v="0"/>
  </r>
  <r>
    <s v="LD3982"/>
    <d v="2024-06-18T00:00:00"/>
    <x v="4"/>
    <s v="Affiliate Program"/>
    <s v="Mobile"/>
    <s v="Europe"/>
    <s v="Lead"/>
    <m/>
    <m/>
    <m/>
    <n v="1"/>
    <x v="11"/>
    <n v="0"/>
    <n v="0"/>
    <n v="0"/>
  </r>
  <r>
    <s v="LD2695"/>
    <d v="2024-04-20T00:00:00"/>
    <x v="0"/>
    <s v="Instagram Ads"/>
    <s v="Desktop"/>
    <s v="Europe"/>
    <s v="Lead"/>
    <m/>
    <m/>
    <m/>
    <n v="1"/>
    <x v="1"/>
    <n v="0"/>
    <n v="0"/>
    <n v="0"/>
  </r>
  <r>
    <s v="LD6068"/>
    <d v="2024-10-12T00:00:00"/>
    <x v="3"/>
    <s v="Monthly Newsletter"/>
    <s v="Mobile"/>
    <s v="Europe"/>
    <s v="MQL"/>
    <m/>
    <m/>
    <m/>
    <n v="2"/>
    <x v="5"/>
    <n v="1"/>
    <n v="0"/>
    <n v="0"/>
  </r>
  <r>
    <s v="LD7605"/>
    <d v="2024-12-23T00:00:00"/>
    <x v="4"/>
    <s v="Affiliate Program"/>
    <s v="Mobile"/>
    <s v="North America"/>
    <s v="Lead"/>
    <m/>
    <m/>
    <m/>
    <n v="1"/>
    <x v="7"/>
    <n v="0"/>
    <n v="0"/>
    <n v="0"/>
  </r>
  <r>
    <s v="LD2047"/>
    <d v="2024-03-03T00:00:00"/>
    <x v="1"/>
    <s v="Google Ads - Brand"/>
    <s v="Desktop"/>
    <s v="North America"/>
    <s v="Lead"/>
    <m/>
    <m/>
    <m/>
    <n v="1"/>
    <x v="8"/>
    <n v="0"/>
    <n v="0"/>
    <n v="0"/>
  </r>
  <r>
    <s v="LD3699"/>
    <d v="2024-06-20T00:00:00"/>
    <x v="1"/>
    <s v="Google Ads - Generic"/>
    <s v="Mobile"/>
    <s v="Europe"/>
    <s v="Lead"/>
    <m/>
    <m/>
    <m/>
    <n v="1"/>
    <x v="11"/>
    <n v="0"/>
    <n v="0"/>
    <n v="0"/>
  </r>
  <r>
    <s v="LD3642"/>
    <d v="2024-06-12T00:00:00"/>
    <x v="1"/>
    <s v="Google Ads - Brand"/>
    <s v="Desktop"/>
    <s v="Europe"/>
    <s v="Lead"/>
    <m/>
    <m/>
    <m/>
    <n v="1"/>
    <x v="11"/>
    <n v="0"/>
    <n v="0"/>
    <n v="0"/>
  </r>
  <r>
    <s v="LD5701"/>
    <d v="2024-10-12T00:00:00"/>
    <x v="5"/>
    <s v="Landing Page SEO"/>
    <s v="Mobile"/>
    <s v="Asia Pacific"/>
    <s v="Lead"/>
    <m/>
    <m/>
    <m/>
    <n v="1"/>
    <x v="5"/>
    <n v="0"/>
    <n v="0"/>
    <n v="0"/>
  </r>
  <r>
    <s v="LD6998"/>
    <d v="2024-11-17T00:00:00"/>
    <x v="4"/>
    <s v="Partner Program"/>
    <s v="Mobile"/>
    <s v="Asia Pacific"/>
    <s v="Lead"/>
    <m/>
    <m/>
    <m/>
    <n v="1"/>
    <x v="2"/>
    <n v="0"/>
    <n v="0"/>
    <n v="0"/>
  </r>
  <r>
    <s v="LD7463"/>
    <d v="2024-12-25T00:00:00"/>
    <x v="3"/>
    <s v="Promo Blast"/>
    <s v="Desktop"/>
    <s v="North America"/>
    <s v="MQL"/>
    <m/>
    <m/>
    <m/>
    <n v="2"/>
    <x v="7"/>
    <n v="1"/>
    <n v="0"/>
    <n v="0"/>
  </r>
  <r>
    <s v="LD6837"/>
    <d v="2024-11-28T00:00:00"/>
    <x v="3"/>
    <s v="Monthly Newsletter"/>
    <s v="Mobile"/>
    <s v="North America"/>
    <s v="MQL"/>
    <m/>
    <m/>
    <m/>
    <n v="2"/>
    <x v="2"/>
    <n v="1"/>
    <n v="0"/>
    <n v="0"/>
  </r>
  <r>
    <s v="LD2559"/>
    <d v="2024-04-04T00:00:00"/>
    <x v="5"/>
    <s v="Landing Page SEO"/>
    <s v="Desktop"/>
    <s v="Europe"/>
    <s v="Lead"/>
    <m/>
    <m/>
    <m/>
    <n v="1"/>
    <x v="1"/>
    <n v="0"/>
    <n v="0"/>
    <n v="0"/>
  </r>
  <r>
    <s v="LD2145"/>
    <d v="2024-03-12T00:00:00"/>
    <x v="0"/>
    <s v="LinkedIn Ads"/>
    <s v="Mobile"/>
    <s v="Asia Pacific"/>
    <s v="Lead"/>
    <m/>
    <m/>
    <m/>
    <n v="1"/>
    <x v="8"/>
    <n v="0"/>
    <n v="0"/>
    <n v="0"/>
  </r>
  <r>
    <s v="LD6283"/>
    <d v="2024-10-24T00:00:00"/>
    <x v="2"/>
    <s v="Direct / Type-in"/>
    <s v="Desktop"/>
    <s v="Latin America"/>
    <s v="MQL"/>
    <m/>
    <m/>
    <m/>
    <n v="2"/>
    <x v="5"/>
    <n v="1"/>
    <n v="0"/>
    <n v="0"/>
  </r>
  <r>
    <s v="LD4308"/>
    <d v="2024-07-16T00:00:00"/>
    <x v="3"/>
    <s v="Promo Blast"/>
    <s v="Mobile"/>
    <s v="North America"/>
    <s v="MQL"/>
    <m/>
    <m/>
    <m/>
    <n v="2"/>
    <x v="0"/>
    <n v="1"/>
    <n v="0"/>
    <n v="0"/>
  </r>
  <r>
    <s v="LD4665"/>
    <d v="2024-08-26T00:00:00"/>
    <x v="1"/>
    <s v="Google Ads - Brand"/>
    <s v="Desktop"/>
    <s v="Latin America"/>
    <s v="MQL"/>
    <m/>
    <m/>
    <m/>
    <n v="2"/>
    <x v="6"/>
    <n v="1"/>
    <n v="0"/>
    <n v="0"/>
  </r>
  <r>
    <s v="LD3338"/>
    <d v="2024-05-14T00:00:00"/>
    <x v="3"/>
    <s v="Promo Blast"/>
    <s v="Desktop"/>
    <s v="North America"/>
    <s v="Customer"/>
    <n v="17"/>
    <s v="Enterprise"/>
    <n v="18781.64"/>
    <n v="4"/>
    <x v="4"/>
    <n v="1"/>
    <n v="1"/>
    <n v="1"/>
  </r>
  <r>
    <s v="LD5982"/>
    <d v="2024-10-28T00:00:00"/>
    <x v="3"/>
    <s v="Monthly Newsletter"/>
    <s v="Mobile"/>
    <s v="North America"/>
    <s v="Lead"/>
    <m/>
    <m/>
    <m/>
    <n v="1"/>
    <x v="5"/>
    <n v="0"/>
    <n v="0"/>
    <n v="0"/>
  </r>
  <r>
    <s v="LD4772"/>
    <d v="2024-08-15T00:00:00"/>
    <x v="3"/>
    <s v="Promo Blast"/>
    <s v="Mobile"/>
    <s v="Europe"/>
    <s v="SQL"/>
    <m/>
    <m/>
    <m/>
    <n v="3"/>
    <x v="6"/>
    <n v="1"/>
    <n v="1"/>
    <n v="0"/>
  </r>
  <r>
    <s v="LD1266"/>
    <d v="2024-01-27T00:00:00"/>
    <x v="3"/>
    <s v="Promo Blast"/>
    <s v="Mobile"/>
    <s v="North America"/>
    <s v="MQL"/>
    <m/>
    <m/>
    <m/>
    <n v="2"/>
    <x v="3"/>
    <n v="1"/>
    <n v="0"/>
    <n v="0"/>
  </r>
  <r>
    <s v="LD4584"/>
    <d v="2024-08-25T00:00:00"/>
    <x v="1"/>
    <s v="Google Ads - Brand"/>
    <s v="Desktop"/>
    <s v="Europe"/>
    <s v="Lead"/>
    <m/>
    <m/>
    <m/>
    <n v="1"/>
    <x v="6"/>
    <n v="0"/>
    <n v="0"/>
    <n v="0"/>
  </r>
  <r>
    <s v="LD4106"/>
    <d v="2024-07-22T00:00:00"/>
    <x v="5"/>
    <s v="Blog SEO"/>
    <s v="Mobile"/>
    <s v="North America"/>
    <s v="SQL"/>
    <m/>
    <m/>
    <m/>
    <n v="3"/>
    <x v="0"/>
    <n v="1"/>
    <n v="1"/>
    <n v="0"/>
  </r>
  <r>
    <s v="LD5234"/>
    <d v="2024-09-10T00:00:00"/>
    <x v="0"/>
    <s v="Facebook Ads"/>
    <s v="Desktop"/>
    <s v="Asia Pacific"/>
    <s v="Lead"/>
    <m/>
    <m/>
    <m/>
    <n v="1"/>
    <x v="9"/>
    <n v="0"/>
    <n v="0"/>
    <n v="0"/>
  </r>
  <r>
    <s v="LD7141"/>
    <d v="2024-12-01T00:00:00"/>
    <x v="5"/>
    <s v="Landing Page SEO"/>
    <s v="Desktop"/>
    <s v="North America"/>
    <s v="Lead"/>
    <m/>
    <m/>
    <m/>
    <n v="1"/>
    <x v="7"/>
    <n v="0"/>
    <n v="0"/>
    <n v="0"/>
  </r>
  <r>
    <s v="LD3541"/>
    <d v="2024-05-15T00:00:00"/>
    <x v="2"/>
    <s v="Direct / Type-in"/>
    <s v="Mobile"/>
    <s v="Europe"/>
    <s v="Lead"/>
    <m/>
    <m/>
    <m/>
    <n v="1"/>
    <x v="4"/>
    <n v="0"/>
    <n v="0"/>
    <n v="0"/>
  </r>
  <r>
    <s v="LD5479"/>
    <d v="2024-09-11T00:00:00"/>
    <x v="4"/>
    <s v="Affiliate Program"/>
    <s v="Mobile"/>
    <s v="Asia Pacific"/>
    <s v="MQL"/>
    <m/>
    <m/>
    <m/>
    <n v="2"/>
    <x v="9"/>
    <n v="1"/>
    <n v="0"/>
    <n v="0"/>
  </r>
  <r>
    <s v="LD5127"/>
    <d v="2024-09-03T00:00:00"/>
    <x v="1"/>
    <s v="Google Ads - Brand"/>
    <s v="Tablet"/>
    <s v="Asia Pacific"/>
    <s v="Lead"/>
    <m/>
    <m/>
    <m/>
    <n v="1"/>
    <x v="9"/>
    <n v="0"/>
    <n v="0"/>
    <n v="0"/>
  </r>
  <r>
    <s v="LD1015"/>
    <d v="2024-01-18T00:00:00"/>
    <x v="5"/>
    <s v="Landing Page SEO"/>
    <s v="Mobile"/>
    <s v="North America"/>
    <s v="Lead"/>
    <m/>
    <m/>
    <m/>
    <n v="1"/>
    <x v="3"/>
    <n v="0"/>
    <n v="0"/>
    <n v="0"/>
  </r>
  <r>
    <s v="LD6817"/>
    <d v="2024-11-21T00:00:00"/>
    <x v="3"/>
    <s v="Promo Blast"/>
    <s v="Mobile"/>
    <s v="Latin America"/>
    <s v="Lead"/>
    <m/>
    <m/>
    <m/>
    <n v="1"/>
    <x v="2"/>
    <n v="0"/>
    <n v="0"/>
    <n v="0"/>
  </r>
  <r>
    <s v="LD1737"/>
    <d v="2024-02-03T00:00:00"/>
    <x v="3"/>
    <s v="Promo Blast"/>
    <s v="Mobile"/>
    <s v="Asia Pacific"/>
    <s v="SQL"/>
    <m/>
    <m/>
    <m/>
    <n v="3"/>
    <x v="10"/>
    <n v="1"/>
    <n v="1"/>
    <n v="0"/>
  </r>
  <r>
    <s v="LD5334"/>
    <d v="2024-09-09T00:00:00"/>
    <x v="3"/>
    <s v="Monthly Newsletter"/>
    <s v="Desktop"/>
    <s v="Asia Pacific"/>
    <s v="Lead"/>
    <m/>
    <m/>
    <m/>
    <n v="1"/>
    <x v="9"/>
    <n v="0"/>
    <n v="0"/>
    <n v="0"/>
  </r>
  <r>
    <s v="LD1009"/>
    <d v="2024-01-23T00:00:00"/>
    <x v="5"/>
    <s v="Blog SEO"/>
    <s v="Mobile"/>
    <s v="North America"/>
    <s v="Lead"/>
    <m/>
    <m/>
    <m/>
    <n v="1"/>
    <x v="3"/>
    <n v="0"/>
    <n v="0"/>
    <n v="0"/>
  </r>
  <r>
    <s v="LD6440"/>
    <d v="2024-11-12T00:00:00"/>
    <x v="5"/>
    <s v="Landing Page SEO"/>
    <s v="Desktop"/>
    <s v="Europe"/>
    <s v="SQL"/>
    <m/>
    <m/>
    <m/>
    <n v="3"/>
    <x v="2"/>
    <n v="1"/>
    <n v="1"/>
    <n v="0"/>
  </r>
  <r>
    <s v="LD6957"/>
    <d v="2024-11-02T00:00:00"/>
    <x v="4"/>
    <s v="Affiliate Program"/>
    <s v="Desktop"/>
    <s v="Europe"/>
    <s v="Lead"/>
    <m/>
    <m/>
    <m/>
    <n v="1"/>
    <x v="2"/>
    <n v="0"/>
    <n v="0"/>
    <n v="0"/>
  </r>
  <r>
    <s v="LD1333"/>
    <d v="2024-01-16T00:00:00"/>
    <x v="3"/>
    <s v="Promo Blast"/>
    <s v="Desktop"/>
    <s v="Europe"/>
    <s v="Lead"/>
    <m/>
    <m/>
    <m/>
    <n v="1"/>
    <x v="3"/>
    <n v="0"/>
    <n v="0"/>
    <n v="0"/>
  </r>
  <r>
    <s v="LD6267"/>
    <d v="2024-10-24T00:00:00"/>
    <x v="2"/>
    <s v="Direct / Type-in"/>
    <s v="Mobile"/>
    <s v="North America"/>
    <s v="Lead"/>
    <m/>
    <m/>
    <m/>
    <n v="1"/>
    <x v="5"/>
    <n v="0"/>
    <n v="0"/>
    <n v="0"/>
  </r>
  <r>
    <s v="LD3926"/>
    <d v="2024-06-02T00:00:00"/>
    <x v="4"/>
    <s v="Affiliate Program"/>
    <s v="Desktop"/>
    <s v="Europe"/>
    <s v="SQL"/>
    <m/>
    <m/>
    <m/>
    <n v="3"/>
    <x v="11"/>
    <n v="1"/>
    <n v="1"/>
    <n v="0"/>
  </r>
  <r>
    <s v="LD5635"/>
    <d v="2024-10-20T00:00:00"/>
    <x v="5"/>
    <s v="Blog SEO"/>
    <s v="Desktop"/>
    <s v="North America"/>
    <s v="Lead"/>
    <m/>
    <m/>
    <m/>
    <n v="1"/>
    <x v="5"/>
    <n v="0"/>
    <n v="0"/>
    <n v="0"/>
  </r>
  <r>
    <s v="LD4162"/>
    <d v="2024-07-16T00:00:00"/>
    <x v="1"/>
    <s v="Google Ads - Generic"/>
    <s v="Mobile"/>
    <s v="North America"/>
    <s v="Lead"/>
    <m/>
    <m/>
    <m/>
    <n v="1"/>
    <x v="0"/>
    <n v="0"/>
    <n v="0"/>
    <n v="0"/>
  </r>
  <r>
    <s v="LD5887"/>
    <d v="2024-10-23T00:00:00"/>
    <x v="0"/>
    <s v="Instagram Ads"/>
    <s v="Desktop"/>
    <s v="North America"/>
    <s v="MQL"/>
    <m/>
    <m/>
    <m/>
    <n v="2"/>
    <x v="5"/>
    <n v="1"/>
    <n v="0"/>
    <n v="0"/>
  </r>
  <r>
    <s v="LD3419"/>
    <d v="2024-05-12T00:00:00"/>
    <x v="3"/>
    <s v="Promo Blast"/>
    <s v="Tablet"/>
    <s v="Asia Pacific"/>
    <s v="MQL"/>
    <m/>
    <m/>
    <m/>
    <n v="2"/>
    <x v="4"/>
    <n v="1"/>
    <n v="0"/>
    <n v="0"/>
  </r>
  <r>
    <s v="LD3888"/>
    <d v="2024-06-09T00:00:00"/>
    <x v="3"/>
    <s v="Promo Blast"/>
    <s v="Mobile"/>
    <s v="Latin America"/>
    <s v="Lead"/>
    <m/>
    <m/>
    <m/>
    <n v="1"/>
    <x v="11"/>
    <n v="0"/>
    <n v="0"/>
    <n v="0"/>
  </r>
  <r>
    <s v="LD1340"/>
    <d v="2024-01-14T00:00:00"/>
    <x v="3"/>
    <s v="Promo Blast"/>
    <s v="Desktop"/>
    <s v="North America"/>
    <s v="Lead"/>
    <m/>
    <m/>
    <m/>
    <n v="1"/>
    <x v="3"/>
    <n v="0"/>
    <n v="0"/>
    <n v="0"/>
  </r>
  <r>
    <s v="LD5942"/>
    <d v="2024-10-10T00:00:00"/>
    <x v="0"/>
    <s v="Facebook Ads"/>
    <s v="Desktop"/>
    <s v="Europe"/>
    <s v="Lead"/>
    <m/>
    <m/>
    <m/>
    <n v="1"/>
    <x v="5"/>
    <n v="0"/>
    <n v="0"/>
    <n v="0"/>
  </r>
  <r>
    <s v="LD5817"/>
    <d v="2024-10-16T00:00:00"/>
    <x v="1"/>
    <s v="Google Ads - Brand"/>
    <s v="Mobile"/>
    <s v="Europe"/>
    <s v="SQL"/>
    <m/>
    <m/>
    <m/>
    <n v="3"/>
    <x v="5"/>
    <n v="1"/>
    <n v="1"/>
    <n v="0"/>
  </r>
  <r>
    <s v="LD6951"/>
    <d v="2024-11-22T00:00:00"/>
    <x v="4"/>
    <s v="Affiliate Program"/>
    <s v="Mobile"/>
    <s v="North America"/>
    <s v="SQL"/>
    <m/>
    <m/>
    <m/>
    <n v="3"/>
    <x v="2"/>
    <n v="1"/>
    <n v="1"/>
    <n v="0"/>
  </r>
  <r>
    <s v="LD4972"/>
    <d v="2024-08-25T00:00:00"/>
    <x v="2"/>
    <s v="Direct / Type-in"/>
    <s v="Desktop"/>
    <s v="North America"/>
    <s v="Lead"/>
    <m/>
    <m/>
    <m/>
    <n v="1"/>
    <x v="6"/>
    <n v="0"/>
    <n v="0"/>
    <n v="0"/>
  </r>
  <r>
    <s v="LD4435"/>
    <d v="2024-07-10T00:00:00"/>
    <x v="4"/>
    <s v="Affiliate Program"/>
    <s v="Mobile"/>
    <s v="Europe"/>
    <s v="Lead"/>
    <m/>
    <m/>
    <m/>
    <n v="1"/>
    <x v="0"/>
    <n v="0"/>
    <n v="0"/>
    <n v="0"/>
  </r>
  <r>
    <s v="LD3599"/>
    <d v="2024-06-25T00:00:00"/>
    <x v="5"/>
    <s v="Landing Page SEO"/>
    <s v="Mobile"/>
    <s v="Europe"/>
    <s v="SQL"/>
    <m/>
    <m/>
    <m/>
    <n v="3"/>
    <x v="11"/>
    <n v="1"/>
    <n v="1"/>
    <n v="0"/>
  </r>
  <r>
    <s v="LD2109"/>
    <d v="2024-03-04T00:00:00"/>
    <x v="1"/>
    <s v="Google Ads - Brand"/>
    <s v="Desktop"/>
    <s v="Europe"/>
    <s v="Lead"/>
    <m/>
    <m/>
    <m/>
    <n v="1"/>
    <x v="8"/>
    <n v="0"/>
    <n v="0"/>
    <n v="0"/>
  </r>
  <r>
    <s v="LD1623"/>
    <d v="2024-02-10T00:00:00"/>
    <x v="1"/>
    <s v="Google Ads - Generic"/>
    <s v="Desktop"/>
    <s v="North America"/>
    <s v="SQL"/>
    <m/>
    <m/>
    <m/>
    <n v="3"/>
    <x v="10"/>
    <n v="1"/>
    <n v="1"/>
    <n v="0"/>
  </r>
  <r>
    <s v="LD4249"/>
    <d v="2024-07-08T00:00:00"/>
    <x v="0"/>
    <s v="LinkedIn Ads"/>
    <s v="Tablet"/>
    <s v="Asia Pacific"/>
    <s v="Lead"/>
    <m/>
    <m/>
    <m/>
    <n v="1"/>
    <x v="0"/>
    <n v="0"/>
    <n v="0"/>
    <n v="0"/>
  </r>
  <r>
    <s v="LD5440"/>
    <d v="2024-09-13T00:00:00"/>
    <x v="3"/>
    <s v="Monthly Newsletter"/>
    <s v="Mobile"/>
    <s v="Europe"/>
    <s v="MQL"/>
    <m/>
    <m/>
    <m/>
    <n v="2"/>
    <x v="9"/>
    <n v="1"/>
    <n v="0"/>
    <n v="0"/>
  </r>
  <r>
    <s v="LD7715"/>
    <d v="2024-12-10T00:00:00"/>
    <x v="2"/>
    <s v="Direct / Type-in"/>
    <s v="Mobile"/>
    <s v="North America"/>
    <s v="SQL"/>
    <m/>
    <m/>
    <m/>
    <n v="3"/>
    <x v="7"/>
    <n v="1"/>
    <n v="1"/>
    <n v="0"/>
  </r>
  <r>
    <s v="LD2057"/>
    <d v="2024-03-17T00:00:00"/>
    <x v="1"/>
    <s v="Google Ads - Generic"/>
    <s v="Desktop"/>
    <s v="North America"/>
    <s v="MQL"/>
    <m/>
    <m/>
    <m/>
    <n v="2"/>
    <x v="8"/>
    <n v="1"/>
    <n v="0"/>
    <n v="0"/>
  </r>
  <r>
    <s v="LD4822"/>
    <d v="2024-08-28T00:00:00"/>
    <x v="3"/>
    <s v="Monthly Newsletter"/>
    <s v="Desktop"/>
    <s v="North America"/>
    <s v="MQL"/>
    <m/>
    <m/>
    <m/>
    <n v="2"/>
    <x v="6"/>
    <n v="1"/>
    <n v="0"/>
    <n v="0"/>
  </r>
  <r>
    <s v="LD6643"/>
    <d v="2024-11-18T00:00:00"/>
    <x v="0"/>
    <s v="LinkedIn Ads"/>
    <s v="Mobile"/>
    <s v="Asia Pacific"/>
    <s v="Lead"/>
    <m/>
    <m/>
    <m/>
    <n v="1"/>
    <x v="2"/>
    <n v="0"/>
    <n v="0"/>
    <n v="0"/>
  </r>
  <r>
    <s v="LD6930"/>
    <d v="2024-11-22T00:00:00"/>
    <x v="4"/>
    <s v="Partner Program"/>
    <s v="Mobile"/>
    <s v="Europe"/>
    <s v="MQL"/>
    <m/>
    <m/>
    <m/>
    <n v="2"/>
    <x v="2"/>
    <n v="1"/>
    <n v="0"/>
    <n v="0"/>
  </r>
  <r>
    <s v="LD3663"/>
    <d v="2024-06-22T00:00:00"/>
    <x v="1"/>
    <s v="Google Ads - Generic"/>
    <s v="Mobile"/>
    <s v="North America"/>
    <s v="Lead"/>
    <m/>
    <m/>
    <m/>
    <n v="1"/>
    <x v="11"/>
    <n v="0"/>
    <n v="0"/>
    <n v="0"/>
  </r>
  <r>
    <s v="LD6901"/>
    <d v="2024-11-23T00:00:00"/>
    <x v="3"/>
    <s v="Promo Blast"/>
    <s v="Mobile"/>
    <s v="Asia Pacific"/>
    <s v="Lead"/>
    <m/>
    <m/>
    <m/>
    <n v="1"/>
    <x v="2"/>
    <n v="0"/>
    <n v="0"/>
    <n v="0"/>
  </r>
  <r>
    <s v="LD4652"/>
    <d v="2024-08-27T00:00:00"/>
    <x v="1"/>
    <s v="Google Ads - Brand"/>
    <s v="Desktop"/>
    <s v="Europe"/>
    <s v="Lead"/>
    <m/>
    <m/>
    <m/>
    <n v="1"/>
    <x v="6"/>
    <n v="0"/>
    <n v="0"/>
    <n v="0"/>
  </r>
  <r>
    <s v="LD4817"/>
    <d v="2024-08-09T00:00:00"/>
    <x v="3"/>
    <s v="Monthly Newsletter"/>
    <s v="Tablet"/>
    <s v="Asia Pacific"/>
    <s v="Lead"/>
    <m/>
    <m/>
    <m/>
    <n v="1"/>
    <x v="6"/>
    <n v="0"/>
    <n v="0"/>
    <n v="0"/>
  </r>
  <r>
    <s v="LD5667"/>
    <d v="2024-10-24T00:00:00"/>
    <x v="5"/>
    <s v="Blog SEO"/>
    <s v="Desktop"/>
    <s v="Europe"/>
    <s v="SQL"/>
    <m/>
    <m/>
    <m/>
    <n v="3"/>
    <x v="5"/>
    <n v="1"/>
    <n v="1"/>
    <n v="0"/>
  </r>
  <r>
    <s v="LD2859"/>
    <d v="2024-04-15T00:00:00"/>
    <x v="3"/>
    <s v="Monthly Newsletter"/>
    <s v="Desktop"/>
    <s v="Asia Pacific"/>
    <s v="MQL"/>
    <m/>
    <m/>
    <m/>
    <n v="2"/>
    <x v="1"/>
    <n v="1"/>
    <n v="0"/>
    <n v="0"/>
  </r>
  <r>
    <s v="LD2154"/>
    <d v="2024-03-07T00:00:00"/>
    <x v="0"/>
    <s v="Instagram Ads"/>
    <s v="Mobile"/>
    <s v="Latin America"/>
    <s v="MQL"/>
    <m/>
    <m/>
    <m/>
    <n v="2"/>
    <x v="8"/>
    <n v="1"/>
    <n v="0"/>
    <n v="0"/>
  </r>
  <r>
    <s v="LD1197"/>
    <d v="2024-01-11T00:00:00"/>
    <x v="0"/>
    <s v="Facebook Ads"/>
    <s v="Mobile"/>
    <s v="Europe"/>
    <s v="MQL"/>
    <m/>
    <m/>
    <m/>
    <n v="2"/>
    <x v="3"/>
    <n v="1"/>
    <n v="0"/>
    <n v="0"/>
  </r>
  <r>
    <s v="LD4905"/>
    <d v="2024-08-15T00:00:00"/>
    <x v="4"/>
    <s v="Partner Program"/>
    <s v="Desktop"/>
    <s v="Europe"/>
    <s v="MQL"/>
    <m/>
    <m/>
    <m/>
    <n v="2"/>
    <x v="6"/>
    <n v="1"/>
    <n v="0"/>
    <n v="0"/>
  </r>
  <r>
    <s v="LD7617"/>
    <d v="2024-12-09T00:00:00"/>
    <x v="4"/>
    <s v="Affiliate Program"/>
    <s v="Desktop"/>
    <s v="North America"/>
    <s v="Customer"/>
    <n v="53"/>
    <s v="Pro"/>
    <n v="4763.53"/>
    <n v="4"/>
    <x v="7"/>
    <n v="1"/>
    <n v="1"/>
    <n v="1"/>
  </r>
  <r>
    <s v="LD4165"/>
    <d v="2024-07-13T00:00:00"/>
    <x v="1"/>
    <s v="Google Ads - Brand"/>
    <s v="Desktop"/>
    <s v="Latin America"/>
    <s v="MQL"/>
    <m/>
    <m/>
    <m/>
    <n v="2"/>
    <x v="0"/>
    <n v="1"/>
    <n v="0"/>
    <n v="0"/>
  </r>
  <r>
    <s v="LD3549"/>
    <d v="2024-05-26T00:00:00"/>
    <x v="2"/>
    <s v="Direct / Type-in"/>
    <s v="Tablet"/>
    <s v="North America"/>
    <s v="SQL"/>
    <m/>
    <m/>
    <m/>
    <n v="3"/>
    <x v="4"/>
    <n v="1"/>
    <n v="1"/>
    <n v="0"/>
  </r>
  <r>
    <s v="LD6522"/>
    <d v="2024-11-22T00:00:00"/>
    <x v="1"/>
    <s v="Google Ads - Brand"/>
    <s v="Mobile"/>
    <s v="North America"/>
    <s v="Lead"/>
    <m/>
    <m/>
    <m/>
    <n v="1"/>
    <x v="2"/>
    <n v="0"/>
    <n v="0"/>
    <n v="0"/>
  </r>
  <r>
    <s v="LD5321"/>
    <d v="2024-09-13T00:00:00"/>
    <x v="3"/>
    <s v="Promo Blast"/>
    <s v="Mobile"/>
    <s v="North America"/>
    <s v="MQL"/>
    <m/>
    <m/>
    <m/>
    <n v="2"/>
    <x v="9"/>
    <n v="1"/>
    <n v="0"/>
    <n v="0"/>
  </r>
  <r>
    <s v="LD1433"/>
    <d v="2024-01-01T00:00:00"/>
    <x v="2"/>
    <s v="Direct / Type-in"/>
    <s v="Desktop"/>
    <s v="Asia Pacific"/>
    <s v="Lead"/>
    <m/>
    <m/>
    <m/>
    <n v="1"/>
    <x v="3"/>
    <n v="0"/>
    <n v="0"/>
    <n v="0"/>
  </r>
  <r>
    <s v="LD6719"/>
    <d v="2024-11-22T00:00:00"/>
    <x v="3"/>
    <s v="Monthly Newsletter"/>
    <s v="Desktop"/>
    <s v="North America"/>
    <s v="Lead"/>
    <m/>
    <m/>
    <m/>
    <n v="1"/>
    <x v="2"/>
    <n v="0"/>
    <n v="0"/>
    <n v="0"/>
  </r>
  <r>
    <s v="LD5902"/>
    <d v="2024-10-18T00:00:00"/>
    <x v="0"/>
    <s v="LinkedIn Ads"/>
    <s v="Desktop"/>
    <s v="Latin America"/>
    <s v="Lead"/>
    <m/>
    <m/>
    <m/>
    <n v="1"/>
    <x v="5"/>
    <n v="0"/>
    <n v="0"/>
    <n v="0"/>
  </r>
  <r>
    <s v="LD6846"/>
    <d v="2024-11-11T00:00:00"/>
    <x v="3"/>
    <s v="Monthly Newsletter"/>
    <s v="Mobile"/>
    <s v="Europe"/>
    <s v="Customer"/>
    <n v="31"/>
    <s v="Basic"/>
    <n v="814.65"/>
    <n v="4"/>
    <x v="2"/>
    <n v="1"/>
    <n v="1"/>
    <n v="1"/>
  </r>
  <r>
    <s v="LD5141"/>
    <d v="2024-09-06T00:00:00"/>
    <x v="1"/>
    <s v="Google Ads - Brand"/>
    <s v="Desktop"/>
    <s v="North America"/>
    <s v="Lead"/>
    <m/>
    <m/>
    <m/>
    <n v="1"/>
    <x v="9"/>
    <n v="0"/>
    <n v="0"/>
    <n v="0"/>
  </r>
  <r>
    <s v="LD3313"/>
    <d v="2024-05-14T00:00:00"/>
    <x v="3"/>
    <s v="Promo Blast"/>
    <s v="Mobile"/>
    <s v="North America"/>
    <s v="SQL"/>
    <m/>
    <m/>
    <m/>
    <n v="3"/>
    <x v="4"/>
    <n v="1"/>
    <n v="1"/>
    <n v="0"/>
  </r>
  <r>
    <s v="LD4957"/>
    <d v="2024-08-14T00:00:00"/>
    <x v="2"/>
    <s v="Direct / Type-in"/>
    <s v="Desktop"/>
    <s v="North America"/>
    <s v="MQL"/>
    <m/>
    <m/>
    <m/>
    <n v="2"/>
    <x v="6"/>
    <n v="1"/>
    <n v="0"/>
    <n v="0"/>
  </r>
  <r>
    <s v="LD2196"/>
    <d v="2024-03-11T00:00:00"/>
    <x v="0"/>
    <s v="Instagram Ads"/>
    <s v="Desktop"/>
    <s v="North America"/>
    <s v="MQL"/>
    <m/>
    <m/>
    <m/>
    <n v="2"/>
    <x v="8"/>
    <n v="1"/>
    <n v="0"/>
    <n v="0"/>
  </r>
  <r>
    <s v="LD6824"/>
    <d v="2024-11-04T00:00:00"/>
    <x v="3"/>
    <s v="Monthly Newsletter"/>
    <s v="Desktop"/>
    <s v="North America"/>
    <s v="MQL"/>
    <m/>
    <m/>
    <m/>
    <n v="2"/>
    <x v="2"/>
    <n v="1"/>
    <n v="0"/>
    <n v="0"/>
  </r>
  <r>
    <s v="LD3358"/>
    <d v="2024-05-08T00:00:00"/>
    <x v="3"/>
    <s v="Monthly Newsletter"/>
    <s v="Desktop"/>
    <s v="North America"/>
    <s v="SQL"/>
    <m/>
    <m/>
    <m/>
    <n v="3"/>
    <x v="4"/>
    <n v="1"/>
    <n v="1"/>
    <n v="0"/>
  </r>
  <r>
    <s v="LD1085"/>
    <d v="2024-01-05T00:00:00"/>
    <x v="5"/>
    <s v="Blog SEO"/>
    <s v="Desktop"/>
    <s v="North America"/>
    <s v="SQL"/>
    <m/>
    <m/>
    <m/>
    <n v="3"/>
    <x v="3"/>
    <n v="1"/>
    <n v="1"/>
    <n v="0"/>
  </r>
  <r>
    <s v="LD7648"/>
    <d v="2024-12-13T00:00:00"/>
    <x v="4"/>
    <s v="Partner Program"/>
    <s v="Mobile"/>
    <s v="North America"/>
    <s v="SQL"/>
    <m/>
    <m/>
    <m/>
    <n v="3"/>
    <x v="7"/>
    <n v="1"/>
    <n v="1"/>
    <n v="0"/>
  </r>
  <r>
    <s v="LD2316"/>
    <d v="2024-03-21T00:00:00"/>
    <x v="3"/>
    <s v="Monthly Newsletter"/>
    <s v="Desktop"/>
    <s v="North America"/>
    <s v="MQL"/>
    <m/>
    <m/>
    <m/>
    <n v="2"/>
    <x v="8"/>
    <n v="1"/>
    <n v="0"/>
    <n v="0"/>
  </r>
  <r>
    <s v="LD4574"/>
    <d v="2024-08-14T00:00:00"/>
    <x v="5"/>
    <s v="Landing Page SEO"/>
    <s v="Tablet"/>
    <s v="Latin America"/>
    <s v="Lead"/>
    <m/>
    <m/>
    <m/>
    <n v="1"/>
    <x v="6"/>
    <n v="0"/>
    <n v="0"/>
    <n v="0"/>
  </r>
  <r>
    <s v="LD1426"/>
    <d v="2024-01-03T00:00:00"/>
    <x v="2"/>
    <s v="Direct / Type-in"/>
    <s v="Mobile"/>
    <s v="Europe"/>
    <s v="SQL"/>
    <m/>
    <m/>
    <m/>
    <n v="3"/>
    <x v="3"/>
    <n v="1"/>
    <n v="1"/>
    <n v="0"/>
  </r>
  <r>
    <s v="LD5483"/>
    <d v="2024-09-05T00:00:00"/>
    <x v="4"/>
    <s v="Affiliate Program"/>
    <s v="Mobile"/>
    <s v="Latin America"/>
    <s v="MQL"/>
    <m/>
    <m/>
    <m/>
    <n v="2"/>
    <x v="9"/>
    <n v="1"/>
    <n v="0"/>
    <n v="0"/>
  </r>
  <r>
    <s v="LD1922"/>
    <d v="2024-02-26T00:00:00"/>
    <x v="2"/>
    <s v="Direct / Type-in"/>
    <s v="Desktop"/>
    <s v="North America"/>
    <s v="Lead"/>
    <m/>
    <m/>
    <m/>
    <n v="1"/>
    <x v="10"/>
    <n v="0"/>
    <n v="0"/>
    <n v="0"/>
  </r>
  <r>
    <s v="LD1813"/>
    <d v="2024-02-19T00:00:00"/>
    <x v="3"/>
    <s v="Monthly Newsletter"/>
    <s v="Desktop"/>
    <s v="North America"/>
    <s v="Lead"/>
    <m/>
    <m/>
    <m/>
    <n v="1"/>
    <x v="10"/>
    <n v="0"/>
    <n v="0"/>
    <n v="0"/>
  </r>
  <r>
    <s v="LD4257"/>
    <d v="2024-07-22T00:00:00"/>
    <x v="0"/>
    <s v="Facebook Ads"/>
    <s v="Mobile"/>
    <s v="North America"/>
    <s v="Lead"/>
    <m/>
    <m/>
    <m/>
    <n v="1"/>
    <x v="0"/>
    <n v="0"/>
    <n v="0"/>
    <n v="0"/>
  </r>
  <r>
    <s v="LD4214"/>
    <d v="2024-07-14T00:00:00"/>
    <x v="0"/>
    <s v="Instagram Ads"/>
    <s v="Mobile"/>
    <s v="Asia Pacific"/>
    <s v="MQL"/>
    <m/>
    <m/>
    <m/>
    <n v="2"/>
    <x v="0"/>
    <n v="1"/>
    <n v="0"/>
    <n v="0"/>
  </r>
  <r>
    <s v="LD1605"/>
    <d v="2024-02-25T00:00:00"/>
    <x v="1"/>
    <s v="Google Ads - Brand"/>
    <s v="Desktop"/>
    <s v="North America"/>
    <s v="Lead"/>
    <m/>
    <m/>
    <m/>
    <n v="1"/>
    <x v="10"/>
    <n v="0"/>
    <n v="0"/>
    <n v="0"/>
  </r>
  <r>
    <s v="LD5072"/>
    <d v="2024-09-02T00:00:00"/>
    <x v="5"/>
    <s v="Landing Page SEO"/>
    <s v="Desktop"/>
    <s v="North America"/>
    <s v="Lead"/>
    <m/>
    <m/>
    <m/>
    <n v="1"/>
    <x v="9"/>
    <n v="0"/>
    <n v="0"/>
    <n v="0"/>
  </r>
  <r>
    <s v="LD4266"/>
    <d v="2024-07-13T00:00:00"/>
    <x v="0"/>
    <s v="LinkedIn Ads"/>
    <s v="Mobile"/>
    <s v="Europe"/>
    <s v="MQL"/>
    <m/>
    <m/>
    <m/>
    <n v="2"/>
    <x v="0"/>
    <n v="1"/>
    <n v="0"/>
    <n v="0"/>
  </r>
  <r>
    <s v="LD7116"/>
    <d v="2024-12-14T00:00:00"/>
    <x v="5"/>
    <s v="Landing Page SEO"/>
    <s v="Tablet"/>
    <s v="Asia Pacific"/>
    <s v="SQL"/>
    <m/>
    <m/>
    <m/>
    <n v="3"/>
    <x v="7"/>
    <n v="1"/>
    <n v="1"/>
    <n v="0"/>
  </r>
  <r>
    <s v="LD2865"/>
    <d v="2024-04-14T00:00:00"/>
    <x v="3"/>
    <s v="Promo Blast"/>
    <s v="Mobile"/>
    <s v="Asia Pacific"/>
    <s v="Lead"/>
    <m/>
    <m/>
    <m/>
    <n v="1"/>
    <x v="1"/>
    <n v="0"/>
    <n v="0"/>
    <n v="0"/>
  </r>
  <r>
    <s v="LD1971"/>
    <d v="2024-03-25T00:00:00"/>
    <x v="5"/>
    <s v="Landing Page SEO"/>
    <s v="Desktop"/>
    <s v="North America"/>
    <s v="Lead"/>
    <m/>
    <m/>
    <m/>
    <n v="1"/>
    <x v="8"/>
    <n v="0"/>
    <n v="0"/>
    <n v="0"/>
  </r>
  <r>
    <s v="LD5326"/>
    <d v="2024-09-26T00:00:00"/>
    <x v="3"/>
    <s v="Monthly Newsletter"/>
    <s v="Desktop"/>
    <s v="Europe"/>
    <s v="Customer"/>
    <n v="25"/>
    <s v="Basic"/>
    <n v="614.54"/>
    <n v="4"/>
    <x v="9"/>
    <n v="1"/>
    <n v="1"/>
    <n v="1"/>
  </r>
  <r>
    <s v="LD7695"/>
    <d v="2024-12-27T00:00:00"/>
    <x v="4"/>
    <s v="Affiliate Program"/>
    <s v="Desktop"/>
    <s v="Europe"/>
    <s v="SQL"/>
    <m/>
    <m/>
    <m/>
    <n v="3"/>
    <x v="7"/>
    <n v="1"/>
    <n v="1"/>
    <n v="0"/>
  </r>
  <r>
    <s v="LD5968"/>
    <d v="2024-10-25T00:00:00"/>
    <x v="3"/>
    <s v="Promo Blast"/>
    <s v="Desktop"/>
    <s v="Europe"/>
    <s v="Lead"/>
    <m/>
    <m/>
    <m/>
    <n v="1"/>
    <x v="5"/>
    <n v="0"/>
    <n v="0"/>
    <n v="0"/>
  </r>
  <r>
    <s v="LD1186"/>
    <d v="2024-01-23T00:00:00"/>
    <x v="0"/>
    <s v="Instagram Ads"/>
    <s v="Mobile"/>
    <s v="North America"/>
    <s v="SQL"/>
    <m/>
    <m/>
    <m/>
    <n v="3"/>
    <x v="3"/>
    <n v="1"/>
    <n v="1"/>
    <n v="0"/>
  </r>
  <r>
    <s v="LD2563"/>
    <d v="2024-04-02T00:00:00"/>
    <x v="5"/>
    <s v="Landing Page SEO"/>
    <s v="Desktop"/>
    <s v="Europe"/>
    <s v="MQL"/>
    <m/>
    <m/>
    <m/>
    <n v="2"/>
    <x v="1"/>
    <n v="1"/>
    <n v="0"/>
    <n v="0"/>
  </r>
  <r>
    <s v="LD4081"/>
    <d v="2024-07-20T00:00:00"/>
    <x v="5"/>
    <s v="Landing Page SEO"/>
    <s v="Mobile"/>
    <s v="Asia Pacific"/>
    <s v="SQL"/>
    <m/>
    <m/>
    <m/>
    <n v="3"/>
    <x v="0"/>
    <n v="1"/>
    <n v="1"/>
    <n v="0"/>
  </r>
  <r>
    <s v="LD5375"/>
    <d v="2024-09-18T00:00:00"/>
    <x v="3"/>
    <s v="Promo Blast"/>
    <s v="Desktop"/>
    <s v="Asia Pacific"/>
    <s v="MQL"/>
    <m/>
    <m/>
    <m/>
    <n v="2"/>
    <x v="9"/>
    <n v="1"/>
    <n v="0"/>
    <n v="0"/>
  </r>
  <r>
    <s v="LD4444"/>
    <d v="2024-07-20T00:00:00"/>
    <x v="4"/>
    <s v="Affiliate Program"/>
    <s v="Mobile"/>
    <s v="North America"/>
    <s v="MQL"/>
    <m/>
    <m/>
    <m/>
    <n v="2"/>
    <x v="0"/>
    <n v="1"/>
    <n v="0"/>
    <n v="0"/>
  </r>
  <r>
    <s v="LD4251"/>
    <d v="2024-07-13T00:00:00"/>
    <x v="0"/>
    <s v="LinkedIn Ads"/>
    <s v="Desktop"/>
    <s v="Asia Pacific"/>
    <s v="Lead"/>
    <m/>
    <m/>
    <m/>
    <n v="1"/>
    <x v="0"/>
    <n v="0"/>
    <n v="0"/>
    <n v="0"/>
  </r>
  <r>
    <s v="LD3406"/>
    <d v="2024-05-10T00:00:00"/>
    <x v="3"/>
    <s v="Promo Blast"/>
    <s v="Desktop"/>
    <s v="Europe"/>
    <s v="Customer"/>
    <n v="31"/>
    <s v="Enterprise"/>
    <n v="16127.7"/>
    <n v="4"/>
    <x v="4"/>
    <n v="1"/>
    <n v="1"/>
    <n v="1"/>
  </r>
  <r>
    <s v="LD5020"/>
    <d v="2024-09-26T00:00:00"/>
    <x v="5"/>
    <s v="Landing Page SEO"/>
    <s v="Mobile"/>
    <s v="North America"/>
    <s v="SQL"/>
    <m/>
    <m/>
    <m/>
    <n v="3"/>
    <x v="9"/>
    <n v="1"/>
    <n v="1"/>
    <n v="0"/>
  </r>
  <r>
    <s v="LD5040"/>
    <d v="2024-09-03T00:00:00"/>
    <x v="5"/>
    <s v="Landing Page SEO"/>
    <s v="Mobile"/>
    <s v="North America"/>
    <s v="Lead"/>
    <m/>
    <m/>
    <m/>
    <n v="1"/>
    <x v="9"/>
    <n v="0"/>
    <n v="0"/>
    <n v="0"/>
  </r>
  <r>
    <s v="LD6325"/>
    <d v="2024-11-21T00:00:00"/>
    <x v="5"/>
    <s v="Blog SEO"/>
    <s v="Desktop"/>
    <s v="Asia Pacific"/>
    <s v="Lead"/>
    <m/>
    <m/>
    <m/>
    <n v="1"/>
    <x v="2"/>
    <n v="0"/>
    <n v="0"/>
    <n v="0"/>
  </r>
  <r>
    <s v="LD1487"/>
    <d v="2024-02-17T00:00:00"/>
    <x v="5"/>
    <s v="Landing Page SEO"/>
    <s v="Desktop"/>
    <s v="North America"/>
    <s v="Lead"/>
    <m/>
    <m/>
    <m/>
    <n v="1"/>
    <x v="10"/>
    <n v="0"/>
    <n v="0"/>
    <n v="0"/>
  </r>
  <r>
    <s v="LD7302"/>
    <d v="2024-12-14T00:00:00"/>
    <x v="1"/>
    <s v="Google Ads - Brand"/>
    <s v="Desktop"/>
    <s v="North America"/>
    <s v="MQL"/>
    <m/>
    <m/>
    <m/>
    <n v="2"/>
    <x v="7"/>
    <n v="1"/>
    <n v="0"/>
    <n v="0"/>
  </r>
  <r>
    <s v="LD5319"/>
    <d v="2024-09-23T00:00:00"/>
    <x v="3"/>
    <s v="Monthly Newsletter"/>
    <s v="Desktop"/>
    <s v="Asia Pacific"/>
    <s v="Lead"/>
    <m/>
    <m/>
    <m/>
    <n v="1"/>
    <x v="9"/>
    <n v="0"/>
    <n v="0"/>
    <n v="0"/>
  </r>
  <r>
    <s v="LD2616"/>
    <d v="2024-04-10T00:00:00"/>
    <x v="1"/>
    <s v="Google Ads - Generic"/>
    <s v="Desktop"/>
    <s v="North America"/>
    <s v="Lead"/>
    <m/>
    <m/>
    <m/>
    <n v="1"/>
    <x v="1"/>
    <n v="0"/>
    <n v="0"/>
    <n v="0"/>
  </r>
  <r>
    <s v="LD6942"/>
    <d v="2024-11-21T00:00:00"/>
    <x v="4"/>
    <s v="Partner Program"/>
    <s v="Desktop"/>
    <s v="North America"/>
    <s v="Lead"/>
    <m/>
    <m/>
    <m/>
    <n v="1"/>
    <x v="2"/>
    <n v="0"/>
    <n v="0"/>
    <n v="0"/>
  </r>
  <r>
    <s v="LD2500"/>
    <d v="2024-04-28T00:00:00"/>
    <x v="5"/>
    <s v="Blog SEO"/>
    <s v="Tablet"/>
    <s v="Europe"/>
    <s v="MQL"/>
    <m/>
    <m/>
    <m/>
    <n v="2"/>
    <x v="1"/>
    <n v="1"/>
    <n v="0"/>
    <n v="0"/>
  </r>
  <r>
    <s v="LD5333"/>
    <d v="2024-09-02T00:00:00"/>
    <x v="3"/>
    <s v="Monthly Newsletter"/>
    <s v="Desktop"/>
    <s v="Latin America"/>
    <s v="MQL"/>
    <m/>
    <m/>
    <m/>
    <n v="2"/>
    <x v="9"/>
    <n v="1"/>
    <n v="0"/>
    <n v="0"/>
  </r>
  <r>
    <s v="LD3407"/>
    <d v="2024-05-12T00:00:00"/>
    <x v="3"/>
    <s v="Monthly Newsletter"/>
    <s v="Desktop"/>
    <s v="Europe"/>
    <s v="Customer"/>
    <n v="25"/>
    <s v="Basic"/>
    <n v="1430.13"/>
    <n v="4"/>
    <x v="4"/>
    <n v="1"/>
    <n v="1"/>
    <n v="1"/>
  </r>
  <r>
    <s v="LD3623"/>
    <d v="2024-06-24T00:00:00"/>
    <x v="5"/>
    <s v="Landing Page SEO"/>
    <s v="Mobile"/>
    <s v="Europe"/>
    <s v="Lead"/>
    <m/>
    <m/>
    <m/>
    <n v="1"/>
    <x v="11"/>
    <n v="0"/>
    <n v="0"/>
    <n v="0"/>
  </r>
  <r>
    <s v="LD3604"/>
    <d v="2024-06-18T00:00:00"/>
    <x v="5"/>
    <s v="Landing Page SEO"/>
    <s v="Desktop"/>
    <s v="Asia Pacific"/>
    <s v="Lead"/>
    <m/>
    <m/>
    <m/>
    <n v="1"/>
    <x v="11"/>
    <n v="0"/>
    <n v="0"/>
    <n v="0"/>
  </r>
  <r>
    <s v="LD4371"/>
    <d v="2024-07-17T00:00:00"/>
    <x v="3"/>
    <s v="Monthly Newsletter"/>
    <s v="Desktop"/>
    <s v="Europe"/>
    <s v="MQL"/>
    <m/>
    <m/>
    <m/>
    <n v="2"/>
    <x v="0"/>
    <n v="1"/>
    <n v="0"/>
    <n v="0"/>
  </r>
  <r>
    <s v="LD2841"/>
    <d v="2024-04-27T00:00:00"/>
    <x v="3"/>
    <s v="Monthly Newsletter"/>
    <s v="Desktop"/>
    <s v="North America"/>
    <s v="MQL"/>
    <m/>
    <m/>
    <m/>
    <n v="2"/>
    <x v="1"/>
    <n v="1"/>
    <n v="0"/>
    <n v="0"/>
  </r>
  <r>
    <s v="LD2194"/>
    <d v="2024-03-25T00:00:00"/>
    <x v="0"/>
    <s v="LinkedIn Ads"/>
    <s v="Mobile"/>
    <s v="Asia Pacific"/>
    <s v="Lead"/>
    <m/>
    <m/>
    <m/>
    <n v="1"/>
    <x v="8"/>
    <n v="0"/>
    <n v="0"/>
    <n v="0"/>
  </r>
  <r>
    <s v="LD7360"/>
    <d v="2024-12-22T00:00:00"/>
    <x v="0"/>
    <s v="Facebook Ads"/>
    <s v="Mobile"/>
    <s v="North America"/>
    <s v="Lead"/>
    <m/>
    <m/>
    <m/>
    <n v="1"/>
    <x v="7"/>
    <n v="0"/>
    <n v="0"/>
    <n v="0"/>
  </r>
  <r>
    <s v="LD5142"/>
    <d v="2024-09-15T00:00:00"/>
    <x v="1"/>
    <s v="Google Ads - Generic"/>
    <s v="Desktop"/>
    <s v="Asia Pacific"/>
    <s v="Lead"/>
    <m/>
    <m/>
    <m/>
    <n v="1"/>
    <x v="9"/>
    <n v="0"/>
    <n v="0"/>
    <n v="0"/>
  </r>
  <r>
    <s v="LD2372"/>
    <d v="2024-03-09T00:00:00"/>
    <x v="4"/>
    <s v="Partner Program"/>
    <s v="Mobile"/>
    <s v="Latin America"/>
    <s v="Lead"/>
    <m/>
    <m/>
    <m/>
    <n v="1"/>
    <x v="8"/>
    <n v="0"/>
    <n v="0"/>
    <n v="0"/>
  </r>
  <r>
    <s v="LD1229"/>
    <d v="2024-01-11T00:00:00"/>
    <x v="0"/>
    <s v="Facebook Ads"/>
    <s v="Desktop"/>
    <s v="Europe"/>
    <s v="MQL"/>
    <m/>
    <m/>
    <m/>
    <n v="2"/>
    <x v="3"/>
    <n v="1"/>
    <n v="0"/>
    <n v="0"/>
  </r>
  <r>
    <s v="LD4965"/>
    <d v="2024-08-18T00:00:00"/>
    <x v="2"/>
    <s v="Direct / Type-in"/>
    <s v="Desktop"/>
    <s v="North America"/>
    <s v="Lead"/>
    <m/>
    <m/>
    <m/>
    <n v="1"/>
    <x v="6"/>
    <n v="0"/>
    <n v="0"/>
    <n v="0"/>
  </r>
  <r>
    <s v="LD2512"/>
    <d v="2024-04-09T00:00:00"/>
    <x v="5"/>
    <s v="Blog SEO"/>
    <s v="Mobile"/>
    <s v="North America"/>
    <s v="MQL"/>
    <m/>
    <m/>
    <m/>
    <n v="2"/>
    <x v="1"/>
    <n v="1"/>
    <n v="0"/>
    <n v="0"/>
  </r>
  <r>
    <s v="LD5913"/>
    <d v="2024-10-12T00:00:00"/>
    <x v="0"/>
    <s v="Facebook Ads"/>
    <s v="Desktop"/>
    <s v="Europe"/>
    <s v="Lead"/>
    <m/>
    <m/>
    <m/>
    <n v="1"/>
    <x v="5"/>
    <n v="0"/>
    <n v="0"/>
    <n v="0"/>
  </r>
  <r>
    <s v="LD3860"/>
    <d v="2024-06-14T00:00:00"/>
    <x v="3"/>
    <s v="Monthly Newsletter"/>
    <s v="Mobile"/>
    <s v="North America"/>
    <s v="MQL"/>
    <m/>
    <m/>
    <m/>
    <n v="2"/>
    <x v="11"/>
    <n v="1"/>
    <n v="0"/>
    <n v="0"/>
  </r>
  <r>
    <s v="LD2889"/>
    <d v="2024-04-26T00:00:00"/>
    <x v="4"/>
    <s v="Affiliate Program"/>
    <s v="Desktop"/>
    <s v="North America"/>
    <s v="Lead"/>
    <m/>
    <m/>
    <m/>
    <n v="1"/>
    <x v="1"/>
    <n v="0"/>
    <n v="0"/>
    <n v="0"/>
  </r>
  <r>
    <s v="LD2182"/>
    <d v="2024-03-23T00:00:00"/>
    <x v="0"/>
    <s v="LinkedIn Ads"/>
    <s v="Desktop"/>
    <s v="Europe"/>
    <s v="MQL"/>
    <m/>
    <m/>
    <m/>
    <n v="2"/>
    <x v="8"/>
    <n v="1"/>
    <n v="0"/>
    <n v="0"/>
  </r>
  <r>
    <s v="LD2974"/>
    <d v="2024-04-12T00:00:00"/>
    <x v="2"/>
    <s v="Direct / Type-in"/>
    <s v="Desktop"/>
    <s v="Europe"/>
    <s v="Lead"/>
    <m/>
    <m/>
    <m/>
    <n v="1"/>
    <x v="1"/>
    <n v="0"/>
    <n v="0"/>
    <n v="0"/>
  </r>
  <r>
    <s v="LD2455"/>
    <d v="2024-03-27T00:00:00"/>
    <x v="2"/>
    <s v="Direct / Type-in"/>
    <s v="Desktop"/>
    <s v="Asia Pacific"/>
    <s v="Lead"/>
    <m/>
    <m/>
    <m/>
    <n v="1"/>
    <x v="8"/>
    <n v="0"/>
    <n v="0"/>
    <n v="0"/>
  </r>
  <r>
    <s v="LD5101"/>
    <d v="2024-09-09T00:00:00"/>
    <x v="5"/>
    <s v="Landing Page SEO"/>
    <s v="Desktop"/>
    <s v="North America"/>
    <s v="SQL"/>
    <m/>
    <m/>
    <m/>
    <n v="3"/>
    <x v="9"/>
    <n v="1"/>
    <n v="1"/>
    <n v="0"/>
  </r>
  <r>
    <s v="LD6214"/>
    <d v="2024-10-02T00:00:00"/>
    <x v="4"/>
    <s v="Affiliate Program"/>
    <s v="Desktop"/>
    <s v="North America"/>
    <s v="Lead"/>
    <m/>
    <m/>
    <m/>
    <n v="1"/>
    <x v="5"/>
    <n v="0"/>
    <n v="0"/>
    <n v="0"/>
  </r>
  <r>
    <s v="LD5583"/>
    <d v="2024-09-07T00:00:00"/>
    <x v="2"/>
    <s v="Direct / Type-in"/>
    <s v="Desktop"/>
    <s v="Europe"/>
    <s v="Lead"/>
    <m/>
    <m/>
    <m/>
    <n v="1"/>
    <x v="9"/>
    <n v="0"/>
    <n v="0"/>
    <n v="0"/>
  </r>
  <r>
    <s v="LD5149"/>
    <d v="2024-09-27T00:00:00"/>
    <x v="1"/>
    <s v="Google Ads - Generic"/>
    <s v="Desktop"/>
    <s v="Latin America"/>
    <s v="MQL"/>
    <m/>
    <m/>
    <m/>
    <n v="2"/>
    <x v="9"/>
    <n v="1"/>
    <n v="0"/>
    <n v="0"/>
  </r>
  <r>
    <s v="LD4741"/>
    <d v="2024-08-14T00:00:00"/>
    <x v="0"/>
    <s v="Facebook Ads"/>
    <s v="Desktop"/>
    <s v="North America"/>
    <s v="SQL"/>
    <m/>
    <m/>
    <m/>
    <n v="3"/>
    <x v="6"/>
    <n v="1"/>
    <n v="1"/>
    <n v="0"/>
  </r>
  <r>
    <s v="LD6155"/>
    <d v="2024-10-03T00:00:00"/>
    <x v="4"/>
    <s v="Affiliate Program"/>
    <s v="Desktop"/>
    <s v="North America"/>
    <s v="Lead"/>
    <m/>
    <m/>
    <m/>
    <n v="1"/>
    <x v="5"/>
    <n v="0"/>
    <n v="0"/>
    <n v="0"/>
  </r>
  <r>
    <s v="LD5399"/>
    <d v="2024-09-17T00:00:00"/>
    <x v="3"/>
    <s v="Promo Blast"/>
    <s v="Desktop"/>
    <s v="Europe"/>
    <s v="MQL"/>
    <m/>
    <m/>
    <m/>
    <n v="2"/>
    <x v="9"/>
    <n v="1"/>
    <n v="0"/>
    <n v="0"/>
  </r>
  <r>
    <s v="LD4198"/>
    <d v="2024-07-10T00:00:00"/>
    <x v="1"/>
    <s v="Google Ads - Brand"/>
    <s v="Mobile"/>
    <s v="North America"/>
    <s v="SQL"/>
    <m/>
    <m/>
    <m/>
    <n v="3"/>
    <x v="0"/>
    <n v="1"/>
    <n v="1"/>
    <n v="0"/>
  </r>
  <r>
    <s v="LD4602"/>
    <d v="2024-08-11T00:00:00"/>
    <x v="1"/>
    <s v="Google Ads - Brand"/>
    <s v="Mobile"/>
    <s v="North America"/>
    <s v="Lead"/>
    <m/>
    <m/>
    <m/>
    <n v="1"/>
    <x v="6"/>
    <n v="0"/>
    <n v="0"/>
    <n v="0"/>
  </r>
  <r>
    <s v="LD4882"/>
    <d v="2024-08-14T00:00:00"/>
    <x v="4"/>
    <s v="Partner Program"/>
    <s v="Mobile"/>
    <s v="North America"/>
    <s v="MQL"/>
    <m/>
    <m/>
    <m/>
    <n v="2"/>
    <x v="6"/>
    <n v="1"/>
    <n v="0"/>
    <n v="0"/>
  </r>
  <r>
    <s v="LD6800"/>
    <d v="2024-11-06T00:00:00"/>
    <x v="3"/>
    <s v="Promo Blast"/>
    <s v="Mobile"/>
    <s v="North America"/>
    <s v="SQL"/>
    <m/>
    <m/>
    <m/>
    <n v="3"/>
    <x v="2"/>
    <n v="1"/>
    <n v="1"/>
    <n v="0"/>
  </r>
  <r>
    <s v="LD4218"/>
    <d v="2024-07-03T00:00:00"/>
    <x v="0"/>
    <s v="Facebook Ads"/>
    <s v="Mobile"/>
    <s v="North America"/>
    <s v="Lead"/>
    <m/>
    <m/>
    <m/>
    <n v="1"/>
    <x v="0"/>
    <n v="0"/>
    <n v="0"/>
    <n v="0"/>
  </r>
  <r>
    <s v="LD5021"/>
    <d v="2024-09-25T00:00:00"/>
    <x v="5"/>
    <s v="Landing Page SEO"/>
    <s v="Mobile"/>
    <s v="Asia Pacific"/>
    <s v="Lead"/>
    <m/>
    <m/>
    <m/>
    <n v="1"/>
    <x v="9"/>
    <n v="0"/>
    <n v="0"/>
    <n v="0"/>
  </r>
  <r>
    <s v="LD3348"/>
    <d v="2024-05-15T00:00:00"/>
    <x v="3"/>
    <s v="Monthly Newsletter"/>
    <s v="Desktop"/>
    <s v="North America"/>
    <s v="Lead"/>
    <m/>
    <m/>
    <m/>
    <n v="1"/>
    <x v="4"/>
    <n v="0"/>
    <n v="0"/>
    <n v="0"/>
  </r>
  <r>
    <s v="LD1255"/>
    <d v="2024-01-17T00:00:00"/>
    <x v="3"/>
    <s v="Monthly Newsletter"/>
    <s v="Mobile"/>
    <s v="Asia Pacific"/>
    <s v="Lead"/>
    <m/>
    <m/>
    <m/>
    <n v="1"/>
    <x v="3"/>
    <n v="0"/>
    <n v="0"/>
    <n v="0"/>
  </r>
  <r>
    <s v="LD7169"/>
    <d v="2024-12-04T00:00:00"/>
    <x v="5"/>
    <s v="Landing Page SEO"/>
    <s v="Tablet"/>
    <s v="North America"/>
    <s v="Lead"/>
    <m/>
    <m/>
    <m/>
    <n v="1"/>
    <x v="7"/>
    <n v="0"/>
    <n v="0"/>
    <n v="0"/>
  </r>
  <r>
    <s v="LD3459"/>
    <d v="2024-05-07T00:00:00"/>
    <x v="4"/>
    <s v="Affiliate Program"/>
    <s v="Desktop"/>
    <s v="North America"/>
    <s v="MQL"/>
    <m/>
    <m/>
    <m/>
    <n v="2"/>
    <x v="4"/>
    <n v="1"/>
    <n v="0"/>
    <n v="0"/>
  </r>
  <r>
    <s v="LD2567"/>
    <d v="2024-04-26T00:00:00"/>
    <x v="1"/>
    <s v="Google Ads - Brand"/>
    <s v="Mobile"/>
    <s v="Europe"/>
    <s v="MQL"/>
    <m/>
    <m/>
    <m/>
    <n v="2"/>
    <x v="1"/>
    <n v="1"/>
    <n v="0"/>
    <n v="0"/>
  </r>
  <r>
    <s v="LD3274"/>
    <d v="2024-05-02T00:00:00"/>
    <x v="0"/>
    <s v="LinkedIn Ads"/>
    <s v="Mobile"/>
    <s v="North America"/>
    <s v="MQL"/>
    <m/>
    <m/>
    <m/>
    <n v="2"/>
    <x v="4"/>
    <n v="1"/>
    <n v="0"/>
    <n v="0"/>
  </r>
  <r>
    <s v="LD1222"/>
    <d v="2024-01-07T00:00:00"/>
    <x v="0"/>
    <s v="Instagram Ads"/>
    <s v="Desktop"/>
    <s v="North America"/>
    <s v="Lead"/>
    <m/>
    <m/>
    <m/>
    <n v="1"/>
    <x v="3"/>
    <n v="0"/>
    <n v="0"/>
    <n v="0"/>
  </r>
  <r>
    <s v="LD6100"/>
    <d v="2024-10-27T00:00:00"/>
    <x v="3"/>
    <s v="Promo Blast"/>
    <s v="Tablet"/>
    <s v="North America"/>
    <s v="MQL"/>
    <m/>
    <m/>
    <m/>
    <n v="2"/>
    <x v="5"/>
    <n v="1"/>
    <n v="0"/>
    <n v="0"/>
  </r>
  <r>
    <s v="LD2536"/>
    <d v="2024-04-05T00:00:00"/>
    <x v="5"/>
    <s v="Blog SEO"/>
    <s v="Desktop"/>
    <s v="Europe"/>
    <s v="MQL"/>
    <m/>
    <m/>
    <m/>
    <n v="2"/>
    <x v="1"/>
    <n v="1"/>
    <n v="0"/>
    <n v="0"/>
  </r>
  <r>
    <s v="LD1066"/>
    <d v="2024-01-14T00:00:00"/>
    <x v="5"/>
    <s v="Blog SEO"/>
    <s v="Desktop"/>
    <s v="Europe"/>
    <s v="MQL"/>
    <m/>
    <m/>
    <m/>
    <n v="2"/>
    <x v="3"/>
    <n v="1"/>
    <n v="0"/>
    <n v="0"/>
  </r>
  <r>
    <s v="LD2555"/>
    <d v="2024-04-08T00:00:00"/>
    <x v="5"/>
    <s v="Landing Page SEO"/>
    <s v="Desktop"/>
    <s v="North America"/>
    <s v="SQL"/>
    <m/>
    <m/>
    <m/>
    <n v="3"/>
    <x v="1"/>
    <n v="1"/>
    <n v="1"/>
    <n v="0"/>
  </r>
  <r>
    <s v="LD5472"/>
    <d v="2024-09-27T00:00:00"/>
    <x v="4"/>
    <s v="Affiliate Program"/>
    <s v="Desktop"/>
    <s v="North America"/>
    <s v="Lead"/>
    <m/>
    <m/>
    <m/>
    <n v="1"/>
    <x v="9"/>
    <n v="0"/>
    <n v="0"/>
    <n v="0"/>
  </r>
  <r>
    <s v="LD7531"/>
    <d v="2024-12-27T00:00:00"/>
    <x v="3"/>
    <s v="Promo Blast"/>
    <s v="Desktop"/>
    <s v="North America"/>
    <s v="Lead"/>
    <m/>
    <m/>
    <m/>
    <n v="1"/>
    <x v="7"/>
    <n v="0"/>
    <n v="0"/>
    <n v="0"/>
  </r>
  <r>
    <s v="LD6002"/>
    <d v="2024-10-04T00:00:00"/>
    <x v="3"/>
    <s v="Promo Blast"/>
    <s v="Mobile"/>
    <s v="Europe"/>
    <s v="SQL"/>
    <m/>
    <m/>
    <m/>
    <n v="3"/>
    <x v="5"/>
    <n v="1"/>
    <n v="1"/>
    <n v="0"/>
  </r>
  <r>
    <s v="LD7436"/>
    <d v="2024-12-06T00:00:00"/>
    <x v="3"/>
    <s v="Monthly Newsletter"/>
    <s v="Mobile"/>
    <s v="North America"/>
    <s v="SQL"/>
    <m/>
    <m/>
    <m/>
    <n v="3"/>
    <x v="7"/>
    <n v="1"/>
    <n v="1"/>
    <n v="0"/>
  </r>
  <r>
    <s v="LD3953"/>
    <d v="2024-06-17T00:00:00"/>
    <x v="4"/>
    <s v="Affiliate Program"/>
    <s v="Desktop"/>
    <s v="North America"/>
    <s v="MQL"/>
    <m/>
    <m/>
    <m/>
    <n v="2"/>
    <x v="11"/>
    <n v="1"/>
    <n v="0"/>
    <n v="0"/>
  </r>
  <r>
    <s v="LD6008"/>
    <d v="2024-10-04T00:00:00"/>
    <x v="3"/>
    <s v="Monthly Newsletter"/>
    <s v="Desktop"/>
    <s v="North America"/>
    <s v="SQL"/>
    <m/>
    <m/>
    <m/>
    <n v="3"/>
    <x v="5"/>
    <n v="1"/>
    <n v="1"/>
    <n v="0"/>
  </r>
  <r>
    <s v="LD4338"/>
    <d v="2024-07-09T00:00:00"/>
    <x v="3"/>
    <s v="Monthly Newsletter"/>
    <s v="Desktop"/>
    <s v="Europe"/>
    <s v="Customer"/>
    <n v="25"/>
    <s v="Basic"/>
    <n v="676.15"/>
    <n v="4"/>
    <x v="0"/>
    <n v="1"/>
    <n v="1"/>
    <n v="1"/>
  </r>
  <r>
    <s v="LD4816"/>
    <d v="2024-08-14T00:00:00"/>
    <x v="3"/>
    <s v="Promo Blast"/>
    <s v="Desktop"/>
    <s v="North America"/>
    <s v="SQL"/>
    <m/>
    <m/>
    <m/>
    <n v="3"/>
    <x v="6"/>
    <n v="1"/>
    <n v="1"/>
    <n v="0"/>
  </r>
  <r>
    <s v="LD2499"/>
    <d v="2024-04-06T00:00:00"/>
    <x v="5"/>
    <s v="Landing Page SEO"/>
    <s v="Mobile"/>
    <s v="North America"/>
    <s v="Lead"/>
    <m/>
    <m/>
    <m/>
    <n v="1"/>
    <x v="1"/>
    <n v="0"/>
    <n v="0"/>
    <n v="0"/>
  </r>
  <r>
    <s v="LD4114"/>
    <d v="2024-07-09T00:00:00"/>
    <x v="5"/>
    <s v="Landing Page SEO"/>
    <s v="Mobile"/>
    <s v="Europe"/>
    <s v="SQL"/>
    <m/>
    <m/>
    <m/>
    <n v="3"/>
    <x v="0"/>
    <n v="1"/>
    <n v="1"/>
    <n v="0"/>
  </r>
  <r>
    <s v="LD6815"/>
    <d v="2024-11-19T00:00:00"/>
    <x v="3"/>
    <s v="Promo Blast"/>
    <s v="Desktop"/>
    <s v="North America"/>
    <s v="MQL"/>
    <m/>
    <m/>
    <m/>
    <n v="2"/>
    <x v="2"/>
    <n v="1"/>
    <n v="0"/>
    <n v="0"/>
  </r>
  <r>
    <s v="LD6493"/>
    <d v="2024-11-19T00:00:00"/>
    <x v="1"/>
    <s v="Google Ads - Brand"/>
    <s v="Desktop"/>
    <s v="Asia Pacific"/>
    <s v="Lead"/>
    <m/>
    <m/>
    <m/>
    <n v="1"/>
    <x v="2"/>
    <n v="0"/>
    <n v="0"/>
    <n v="0"/>
  </r>
  <r>
    <s v="LD2833"/>
    <d v="2024-04-19T00:00:00"/>
    <x v="3"/>
    <s v="Monthly Newsletter"/>
    <s v="Desktop"/>
    <s v="Europe"/>
    <s v="Customer"/>
    <n v="49"/>
    <s v="Basic"/>
    <n v="1321.33"/>
    <n v="4"/>
    <x v="1"/>
    <n v="1"/>
    <n v="1"/>
    <n v="1"/>
  </r>
  <r>
    <s v="LD4943"/>
    <d v="2024-08-23T00:00:00"/>
    <x v="4"/>
    <s v="Affiliate Program"/>
    <s v="Desktop"/>
    <s v="Europe"/>
    <s v="SQL"/>
    <m/>
    <m/>
    <m/>
    <n v="3"/>
    <x v="6"/>
    <n v="1"/>
    <n v="1"/>
    <n v="0"/>
  </r>
  <r>
    <s v="LD6274"/>
    <d v="2024-10-20T00:00:00"/>
    <x v="2"/>
    <s v="Direct / Type-in"/>
    <s v="Tablet"/>
    <s v="Asia Pacific"/>
    <s v="SQL"/>
    <m/>
    <m/>
    <m/>
    <n v="3"/>
    <x v="5"/>
    <n v="1"/>
    <n v="1"/>
    <n v="0"/>
  </r>
  <r>
    <s v="LD3517"/>
    <d v="2024-05-14T00:00:00"/>
    <x v="2"/>
    <s v="Direct / Type-in"/>
    <s v="Desktop"/>
    <s v="Europe"/>
    <s v="Lead"/>
    <m/>
    <m/>
    <m/>
    <n v="1"/>
    <x v="4"/>
    <n v="0"/>
    <n v="0"/>
    <n v="0"/>
  </r>
  <r>
    <s v="LD3863"/>
    <d v="2024-06-14T00:00:00"/>
    <x v="3"/>
    <s v="Promo Blast"/>
    <s v="Mobile"/>
    <s v="Asia Pacific"/>
    <s v="Lead"/>
    <m/>
    <m/>
    <m/>
    <n v="1"/>
    <x v="11"/>
    <n v="0"/>
    <n v="0"/>
    <n v="0"/>
  </r>
  <r>
    <s v="LD4894"/>
    <d v="2024-08-10T00:00:00"/>
    <x v="4"/>
    <s v="Affiliate Program"/>
    <s v="Mobile"/>
    <s v="North America"/>
    <s v="MQL"/>
    <m/>
    <m/>
    <m/>
    <n v="2"/>
    <x v="6"/>
    <n v="1"/>
    <n v="0"/>
    <n v="0"/>
  </r>
  <r>
    <s v="LD2979"/>
    <d v="2024-04-02T00:00:00"/>
    <x v="2"/>
    <s v="Direct / Type-in"/>
    <s v="Desktop"/>
    <s v="North America"/>
    <s v="Lead"/>
    <m/>
    <m/>
    <m/>
    <n v="1"/>
    <x v="1"/>
    <n v="0"/>
    <n v="0"/>
    <n v="0"/>
  </r>
  <r>
    <s v="LD7229"/>
    <d v="2024-12-25T00:00:00"/>
    <x v="1"/>
    <s v="Google Ads - Generic"/>
    <s v="Desktop"/>
    <s v="Europe"/>
    <s v="Lead"/>
    <m/>
    <m/>
    <m/>
    <n v="1"/>
    <x v="7"/>
    <n v="0"/>
    <n v="0"/>
    <n v="0"/>
  </r>
  <r>
    <s v="LD2964"/>
    <d v="2024-04-13T00:00:00"/>
    <x v="2"/>
    <s v="Direct / Type-in"/>
    <s v="Mobile"/>
    <s v="Europe"/>
    <s v="MQL"/>
    <m/>
    <m/>
    <m/>
    <n v="2"/>
    <x v="1"/>
    <n v="1"/>
    <n v="0"/>
    <n v="0"/>
  </r>
  <r>
    <s v="LD1377"/>
    <d v="2024-01-03T00:00:00"/>
    <x v="4"/>
    <s v="Partner Program"/>
    <s v="Desktop"/>
    <s v="North America"/>
    <s v="Customer"/>
    <n v="34"/>
    <s v="Basic"/>
    <n v="1369.47"/>
    <n v="4"/>
    <x v="3"/>
    <n v="1"/>
    <n v="1"/>
    <n v="1"/>
  </r>
  <r>
    <s v="LD7168"/>
    <d v="2024-12-12T00:00:00"/>
    <x v="5"/>
    <s v="Blog SEO"/>
    <s v="Desktop"/>
    <s v="Europe"/>
    <s v="MQL"/>
    <m/>
    <m/>
    <m/>
    <n v="2"/>
    <x v="7"/>
    <n v="1"/>
    <n v="0"/>
    <n v="0"/>
  </r>
  <r>
    <s v="LD1544"/>
    <d v="2024-02-20T00:00:00"/>
    <x v="5"/>
    <s v="Blog SEO"/>
    <s v="Mobile"/>
    <s v="North America"/>
    <s v="Customer"/>
    <n v="51"/>
    <s v="Enterprise"/>
    <n v="7518.31"/>
    <n v="4"/>
    <x v="10"/>
    <n v="1"/>
    <n v="1"/>
    <n v="1"/>
  </r>
  <r>
    <s v="LD4692"/>
    <d v="2024-08-02T00:00:00"/>
    <x v="0"/>
    <s v="Facebook Ads"/>
    <s v="Mobile"/>
    <s v="Europe"/>
    <s v="Lead"/>
    <m/>
    <m/>
    <m/>
    <n v="1"/>
    <x v="6"/>
    <n v="0"/>
    <n v="0"/>
    <n v="0"/>
  </r>
  <r>
    <s v="LD2371"/>
    <d v="2024-03-25T00:00:00"/>
    <x v="4"/>
    <s v="Partner Program"/>
    <s v="Mobile"/>
    <s v="North America"/>
    <s v="SQL"/>
    <m/>
    <m/>
    <m/>
    <n v="3"/>
    <x v="8"/>
    <n v="1"/>
    <n v="1"/>
    <n v="0"/>
  </r>
  <r>
    <s v="LD7268"/>
    <d v="2024-12-10T00:00:00"/>
    <x v="1"/>
    <s v="Google Ads - Brand"/>
    <s v="Desktop"/>
    <s v="Latin America"/>
    <s v="Lead"/>
    <m/>
    <m/>
    <m/>
    <n v="1"/>
    <x v="7"/>
    <n v="0"/>
    <n v="0"/>
    <n v="0"/>
  </r>
  <r>
    <s v="LD1756"/>
    <d v="2024-02-19T00:00:00"/>
    <x v="3"/>
    <s v="Promo Blast"/>
    <s v="Desktop"/>
    <s v="Asia Pacific"/>
    <s v="MQL"/>
    <m/>
    <m/>
    <m/>
    <n v="2"/>
    <x v="10"/>
    <n v="1"/>
    <n v="0"/>
    <n v="0"/>
  </r>
  <r>
    <s v="LD1292"/>
    <d v="2024-01-08T00:00:00"/>
    <x v="3"/>
    <s v="Monthly Newsletter"/>
    <s v="Desktop"/>
    <s v="North America"/>
    <s v="MQL"/>
    <m/>
    <m/>
    <m/>
    <n v="2"/>
    <x v="3"/>
    <n v="1"/>
    <n v="0"/>
    <n v="0"/>
  </r>
  <r>
    <s v="LD1765"/>
    <d v="2024-02-28T00:00:00"/>
    <x v="3"/>
    <s v="Promo Blast"/>
    <s v="Desktop"/>
    <s v="North America"/>
    <s v="MQL"/>
    <m/>
    <m/>
    <m/>
    <n v="2"/>
    <x v="10"/>
    <n v="1"/>
    <n v="0"/>
    <n v="0"/>
  </r>
  <r>
    <s v="LD2633"/>
    <d v="2024-04-28T00:00:00"/>
    <x v="1"/>
    <s v="Google Ads - Brand"/>
    <s v="Desktop"/>
    <s v="North America"/>
    <s v="SQL"/>
    <m/>
    <m/>
    <m/>
    <n v="3"/>
    <x v="1"/>
    <n v="1"/>
    <n v="1"/>
    <n v="0"/>
  </r>
  <r>
    <s v="LD2076"/>
    <d v="2024-03-18T00:00:00"/>
    <x v="1"/>
    <s v="Google Ads - Generic"/>
    <s v="Mobile"/>
    <s v="North America"/>
    <s v="Lead"/>
    <m/>
    <m/>
    <m/>
    <n v="1"/>
    <x v="8"/>
    <n v="0"/>
    <n v="0"/>
    <n v="0"/>
  </r>
  <r>
    <s v="LD1189"/>
    <d v="2024-01-19T00:00:00"/>
    <x v="0"/>
    <s v="LinkedIn Ads"/>
    <s v="Mobile"/>
    <s v="Asia Pacific"/>
    <s v="Lead"/>
    <m/>
    <m/>
    <m/>
    <n v="1"/>
    <x v="3"/>
    <n v="0"/>
    <n v="0"/>
    <n v="0"/>
  </r>
  <r>
    <s v="LD2380"/>
    <d v="2024-03-12T00:00:00"/>
    <x v="4"/>
    <s v="Partner Program"/>
    <s v="Desktop"/>
    <s v="Europe"/>
    <s v="Customer"/>
    <n v="36"/>
    <s v="Basic"/>
    <n v="571.35"/>
    <n v="4"/>
    <x v="8"/>
    <n v="1"/>
    <n v="1"/>
    <n v="1"/>
  </r>
  <r>
    <s v="LD1178"/>
    <d v="2024-01-11T00:00:00"/>
    <x v="0"/>
    <s v="LinkedIn Ads"/>
    <s v="Desktop"/>
    <s v="North America"/>
    <s v="Lead"/>
    <m/>
    <m/>
    <m/>
    <n v="1"/>
    <x v="3"/>
    <n v="0"/>
    <n v="0"/>
    <n v="0"/>
  </r>
  <r>
    <s v="LD7582"/>
    <d v="2024-12-15T00:00:00"/>
    <x v="3"/>
    <s v="Promo Blast"/>
    <s v="Desktop"/>
    <s v="North America"/>
    <s v="Customer"/>
    <n v="10"/>
    <s v="Basic"/>
    <n v="1492.9"/>
    <n v="4"/>
    <x v="7"/>
    <n v="1"/>
    <n v="1"/>
    <n v="1"/>
  </r>
  <r>
    <s v="LD3288"/>
    <d v="2024-05-09T00:00:00"/>
    <x v="0"/>
    <s v="LinkedIn Ads"/>
    <s v="Desktop"/>
    <s v="Europe"/>
    <s v="MQL"/>
    <m/>
    <m/>
    <m/>
    <n v="2"/>
    <x v="4"/>
    <n v="1"/>
    <n v="0"/>
    <n v="0"/>
  </r>
  <r>
    <s v="LD5542"/>
    <d v="2024-09-03T00:00:00"/>
    <x v="4"/>
    <s v="Partner Program"/>
    <s v="Mobile"/>
    <s v="Asia Pacific"/>
    <s v="Customer"/>
    <n v="49"/>
    <s v="Basic"/>
    <n v="1306.51"/>
    <n v="4"/>
    <x v="9"/>
    <n v="1"/>
    <n v="1"/>
    <n v="1"/>
  </r>
  <r>
    <s v="LD3388"/>
    <d v="2024-05-17T00:00:00"/>
    <x v="3"/>
    <s v="Promo Blast"/>
    <s v="Mobile"/>
    <s v="North America"/>
    <s v="MQL"/>
    <m/>
    <m/>
    <m/>
    <n v="2"/>
    <x v="4"/>
    <n v="1"/>
    <n v="0"/>
    <n v="0"/>
  </r>
  <r>
    <s v="LD6538"/>
    <d v="2024-11-08T00:00:00"/>
    <x v="1"/>
    <s v="Google Ads - Generic"/>
    <s v="Desktop"/>
    <s v="Europe"/>
    <s v="MQL"/>
    <m/>
    <m/>
    <m/>
    <n v="2"/>
    <x v="2"/>
    <n v="1"/>
    <n v="0"/>
    <n v="0"/>
  </r>
  <r>
    <s v="LD1502"/>
    <d v="2024-02-05T00:00:00"/>
    <x v="5"/>
    <s v="Blog SEO"/>
    <s v="Tablet"/>
    <s v="North America"/>
    <s v="MQL"/>
    <m/>
    <m/>
    <m/>
    <n v="2"/>
    <x v="10"/>
    <n v="1"/>
    <n v="0"/>
    <n v="0"/>
  </r>
  <r>
    <s v="LD6079"/>
    <d v="2024-10-10T00:00:00"/>
    <x v="3"/>
    <s v="Promo Blast"/>
    <s v="Mobile"/>
    <s v="North America"/>
    <s v="MQL"/>
    <m/>
    <m/>
    <m/>
    <n v="2"/>
    <x v="5"/>
    <n v="1"/>
    <n v="0"/>
    <n v="0"/>
  </r>
  <r>
    <s v="LD3442"/>
    <d v="2024-05-07T00:00:00"/>
    <x v="4"/>
    <s v="Affiliate Program"/>
    <s v="Desktop"/>
    <s v="Europe"/>
    <s v="MQL"/>
    <m/>
    <m/>
    <m/>
    <n v="2"/>
    <x v="4"/>
    <n v="1"/>
    <n v="0"/>
    <n v="0"/>
  </r>
  <r>
    <s v="LD3944"/>
    <d v="2024-06-15T00:00:00"/>
    <x v="4"/>
    <s v="Partner Program"/>
    <s v="Desktop"/>
    <s v="Asia Pacific"/>
    <s v="MQL"/>
    <m/>
    <m/>
    <m/>
    <n v="2"/>
    <x v="11"/>
    <n v="1"/>
    <n v="0"/>
    <n v="0"/>
  </r>
  <r>
    <s v="LD6639"/>
    <d v="2024-11-07T00:00:00"/>
    <x v="0"/>
    <s v="Facebook Ads"/>
    <s v="Mobile"/>
    <s v="Europe"/>
    <s v="Lead"/>
    <m/>
    <m/>
    <m/>
    <n v="1"/>
    <x v="2"/>
    <n v="0"/>
    <n v="0"/>
    <n v="0"/>
  </r>
  <r>
    <s v="LD1748"/>
    <d v="2024-02-11T00:00:00"/>
    <x v="3"/>
    <s v="Monthly Newsletter"/>
    <s v="Desktop"/>
    <s v="Latin America"/>
    <s v="Customer"/>
    <n v="62"/>
    <s v="Basic"/>
    <n v="763.09"/>
    <n v="4"/>
    <x v="10"/>
    <n v="1"/>
    <n v="1"/>
    <n v="1"/>
  </r>
  <r>
    <s v="LD7278"/>
    <d v="2024-12-11T00:00:00"/>
    <x v="1"/>
    <s v="Google Ads - Brand"/>
    <s v="Desktop"/>
    <s v="Europe"/>
    <s v="Lead"/>
    <m/>
    <m/>
    <m/>
    <n v="1"/>
    <x v="7"/>
    <n v="0"/>
    <n v="0"/>
    <n v="0"/>
  </r>
  <r>
    <s v="LD1673"/>
    <d v="2024-02-01T00:00:00"/>
    <x v="0"/>
    <s v="LinkedIn Ads"/>
    <s v="Desktop"/>
    <s v="Europe"/>
    <s v="Lead"/>
    <m/>
    <m/>
    <m/>
    <n v="1"/>
    <x v="10"/>
    <n v="0"/>
    <n v="0"/>
    <n v="0"/>
  </r>
  <r>
    <s v="LD5998"/>
    <d v="2024-10-15T00:00:00"/>
    <x v="3"/>
    <s v="Monthly Newsletter"/>
    <s v="Desktop"/>
    <s v="North America"/>
    <s v="SQL"/>
    <m/>
    <m/>
    <m/>
    <n v="3"/>
    <x v="5"/>
    <n v="1"/>
    <n v="1"/>
    <n v="0"/>
  </r>
  <r>
    <s v="LD2422"/>
    <d v="2024-03-07T00:00:00"/>
    <x v="2"/>
    <s v="Direct / Type-in"/>
    <s v="Desktop"/>
    <s v="Europe"/>
    <s v="MQL"/>
    <m/>
    <m/>
    <m/>
    <n v="2"/>
    <x v="8"/>
    <n v="1"/>
    <n v="0"/>
    <n v="0"/>
  </r>
  <r>
    <s v="LD2184"/>
    <d v="2024-03-13T00:00:00"/>
    <x v="0"/>
    <s v="Facebook Ads"/>
    <s v="Mobile"/>
    <s v="North America"/>
    <s v="Lead"/>
    <m/>
    <m/>
    <m/>
    <n v="1"/>
    <x v="8"/>
    <n v="0"/>
    <n v="0"/>
    <n v="0"/>
  </r>
  <r>
    <s v="LD6575"/>
    <d v="2024-11-01T00:00:00"/>
    <x v="1"/>
    <s v="Google Ads - Brand"/>
    <s v="Desktop"/>
    <s v="Europe"/>
    <s v="Lead"/>
    <m/>
    <m/>
    <m/>
    <n v="1"/>
    <x v="2"/>
    <n v="0"/>
    <n v="0"/>
    <n v="0"/>
  </r>
  <r>
    <s v="LD4883"/>
    <d v="2024-08-13T00:00:00"/>
    <x v="4"/>
    <s v="Partner Program"/>
    <s v="Desktop"/>
    <s v="Latin America"/>
    <s v="SQL"/>
    <m/>
    <m/>
    <m/>
    <n v="3"/>
    <x v="6"/>
    <n v="1"/>
    <n v="1"/>
    <n v="0"/>
  </r>
  <r>
    <s v="LD6287"/>
    <d v="2024-10-16T00:00:00"/>
    <x v="2"/>
    <s v="Direct / Type-in"/>
    <s v="Desktop"/>
    <s v="Asia Pacific"/>
    <s v="Customer"/>
    <n v="27"/>
    <s v="Basic"/>
    <n v="1387.35"/>
    <n v="4"/>
    <x v="5"/>
    <n v="1"/>
    <n v="1"/>
    <n v="1"/>
  </r>
  <r>
    <s v="LD2262"/>
    <d v="2024-03-11T00:00:00"/>
    <x v="3"/>
    <s v="Promo Blast"/>
    <s v="Desktop"/>
    <s v="North America"/>
    <s v="SQL"/>
    <m/>
    <m/>
    <m/>
    <n v="3"/>
    <x v="8"/>
    <n v="1"/>
    <n v="1"/>
    <n v="0"/>
  </r>
  <r>
    <s v="LD7600"/>
    <d v="2024-12-26T00:00:00"/>
    <x v="3"/>
    <s v="Monthly Newsletter"/>
    <s v="Desktop"/>
    <s v="Europe"/>
    <s v="Lead"/>
    <m/>
    <m/>
    <m/>
    <n v="1"/>
    <x v="7"/>
    <n v="0"/>
    <n v="0"/>
    <n v="0"/>
  </r>
  <r>
    <s v="LD6315"/>
    <d v="2024-10-12T00:00:00"/>
    <x v="2"/>
    <s v="Direct / Type-in"/>
    <s v="Mobile"/>
    <s v="Europe"/>
    <s v="SQL"/>
    <m/>
    <m/>
    <m/>
    <n v="3"/>
    <x v="5"/>
    <n v="1"/>
    <n v="1"/>
    <n v="0"/>
  </r>
  <r>
    <s v="LD1169"/>
    <d v="2024-01-10T00:00:00"/>
    <x v="1"/>
    <s v="Google Ads - Brand"/>
    <s v="Desktop"/>
    <s v="Latin America"/>
    <s v="Lead"/>
    <m/>
    <m/>
    <m/>
    <n v="1"/>
    <x v="3"/>
    <n v="0"/>
    <n v="0"/>
    <n v="0"/>
  </r>
  <r>
    <s v="LD4183"/>
    <d v="2024-07-18T00:00:00"/>
    <x v="1"/>
    <s v="Google Ads - Generic"/>
    <s v="Desktop"/>
    <s v="North America"/>
    <s v="Lead"/>
    <m/>
    <m/>
    <m/>
    <n v="1"/>
    <x v="0"/>
    <n v="0"/>
    <n v="0"/>
    <n v="0"/>
  </r>
  <r>
    <s v="LD6543"/>
    <d v="2024-11-16T00:00:00"/>
    <x v="1"/>
    <s v="Google Ads - Generic"/>
    <s v="Mobile"/>
    <s v="North America"/>
    <s v="Lead"/>
    <m/>
    <m/>
    <m/>
    <n v="1"/>
    <x v="2"/>
    <n v="0"/>
    <n v="0"/>
    <n v="0"/>
  </r>
  <r>
    <s v="LD6511"/>
    <d v="2024-11-28T00:00:00"/>
    <x v="1"/>
    <s v="Google Ads - Brand"/>
    <s v="Mobile"/>
    <s v="Europe"/>
    <s v="Lead"/>
    <m/>
    <m/>
    <m/>
    <n v="1"/>
    <x v="2"/>
    <n v="0"/>
    <n v="0"/>
    <n v="0"/>
  </r>
  <r>
    <s v="LD1519"/>
    <d v="2024-02-01T00:00:00"/>
    <x v="5"/>
    <s v="Blog SEO"/>
    <s v="Desktop"/>
    <s v="Europe"/>
    <s v="Lead"/>
    <m/>
    <m/>
    <m/>
    <n v="1"/>
    <x v="10"/>
    <n v="0"/>
    <n v="0"/>
    <n v="0"/>
  </r>
  <r>
    <s v="LD2941"/>
    <d v="2024-04-01T00:00:00"/>
    <x v="4"/>
    <s v="Affiliate Program"/>
    <s v="Desktop"/>
    <s v="North America"/>
    <s v="MQL"/>
    <m/>
    <m/>
    <m/>
    <n v="2"/>
    <x v="1"/>
    <n v="1"/>
    <n v="0"/>
    <n v="0"/>
  </r>
  <r>
    <s v="LD1995"/>
    <d v="2024-03-21T00:00:00"/>
    <x v="5"/>
    <s v="Blog SEO"/>
    <s v="Mobile"/>
    <s v="Europe"/>
    <s v="MQL"/>
    <m/>
    <m/>
    <m/>
    <n v="2"/>
    <x v="8"/>
    <n v="1"/>
    <n v="0"/>
    <n v="0"/>
  </r>
  <r>
    <s v="LD5087"/>
    <d v="2024-09-07T00:00:00"/>
    <x v="5"/>
    <s v="Landing Page SEO"/>
    <s v="Desktop"/>
    <s v="North America"/>
    <s v="Lead"/>
    <m/>
    <m/>
    <m/>
    <n v="1"/>
    <x v="9"/>
    <n v="0"/>
    <n v="0"/>
    <n v="0"/>
  </r>
  <r>
    <s v="LD1320"/>
    <d v="2024-01-25T00:00:00"/>
    <x v="3"/>
    <s v="Monthly Newsletter"/>
    <s v="Desktop"/>
    <s v="Europe"/>
    <s v="Customer"/>
    <n v="49"/>
    <s v="Pro"/>
    <n v="3317.66"/>
    <n v="4"/>
    <x v="3"/>
    <n v="1"/>
    <n v="1"/>
    <n v="1"/>
  </r>
  <r>
    <s v="LD4667"/>
    <d v="2024-08-28T00:00:00"/>
    <x v="1"/>
    <s v="Google Ads - Brand"/>
    <s v="Desktop"/>
    <s v="Asia Pacific"/>
    <s v="Lead"/>
    <m/>
    <m/>
    <m/>
    <n v="1"/>
    <x v="6"/>
    <n v="0"/>
    <n v="0"/>
    <n v="0"/>
  </r>
  <r>
    <s v="LD3705"/>
    <d v="2024-06-08T00:00:00"/>
    <x v="1"/>
    <s v="Google Ads - Generic"/>
    <s v="Desktop"/>
    <s v="Europe"/>
    <s v="MQL"/>
    <m/>
    <m/>
    <m/>
    <n v="2"/>
    <x v="11"/>
    <n v="1"/>
    <n v="0"/>
    <n v="0"/>
  </r>
  <r>
    <s v="LD7146"/>
    <d v="2024-12-15T00:00:00"/>
    <x v="5"/>
    <s v="Blog SEO"/>
    <s v="Desktop"/>
    <s v="Europe"/>
    <s v="MQL"/>
    <m/>
    <m/>
    <m/>
    <n v="2"/>
    <x v="7"/>
    <n v="1"/>
    <n v="0"/>
    <n v="0"/>
  </r>
  <r>
    <s v="LD1246"/>
    <d v="2024-01-02T00:00:00"/>
    <x v="3"/>
    <s v="Monthly Newsletter"/>
    <s v="Mobile"/>
    <s v="Latin America"/>
    <s v="MQL"/>
    <m/>
    <m/>
    <m/>
    <n v="2"/>
    <x v="3"/>
    <n v="1"/>
    <n v="0"/>
    <n v="0"/>
  </r>
  <r>
    <s v="LD4434"/>
    <d v="2024-07-17T00:00:00"/>
    <x v="4"/>
    <s v="Partner Program"/>
    <s v="Desktop"/>
    <s v="Europe"/>
    <s v="SQL"/>
    <m/>
    <m/>
    <m/>
    <n v="3"/>
    <x v="0"/>
    <n v="1"/>
    <n v="1"/>
    <n v="0"/>
  </r>
  <r>
    <s v="LD5104"/>
    <d v="2024-09-25T00:00:00"/>
    <x v="5"/>
    <s v="Landing Page SEO"/>
    <s v="Desktop"/>
    <s v="Europe"/>
    <s v="Customer"/>
    <n v="65"/>
    <s v="Pro"/>
    <n v="3942.45"/>
    <n v="4"/>
    <x v="9"/>
    <n v="1"/>
    <n v="1"/>
    <n v="1"/>
  </r>
  <r>
    <s v="LD6938"/>
    <d v="2024-11-26T00:00:00"/>
    <x v="4"/>
    <s v="Affiliate Program"/>
    <s v="Desktop"/>
    <s v="Latin America"/>
    <s v="Lead"/>
    <m/>
    <m/>
    <m/>
    <n v="1"/>
    <x v="2"/>
    <n v="0"/>
    <n v="0"/>
    <n v="0"/>
  </r>
  <r>
    <s v="LD1507"/>
    <d v="2024-02-03T00:00:00"/>
    <x v="5"/>
    <s v="Blog SEO"/>
    <s v="Desktop"/>
    <s v="Europe"/>
    <s v="MQL"/>
    <m/>
    <m/>
    <m/>
    <n v="2"/>
    <x v="10"/>
    <n v="1"/>
    <n v="0"/>
    <n v="0"/>
  </r>
  <r>
    <s v="LD7140"/>
    <d v="2024-12-17T00:00:00"/>
    <x v="5"/>
    <s v="Blog SEO"/>
    <s v="Mobile"/>
    <s v="Europe"/>
    <s v="Lead"/>
    <m/>
    <m/>
    <m/>
    <n v="1"/>
    <x v="7"/>
    <n v="0"/>
    <n v="0"/>
    <n v="0"/>
  </r>
  <r>
    <s v="LD4221"/>
    <d v="2024-07-28T00:00:00"/>
    <x v="0"/>
    <s v="Facebook Ads"/>
    <s v="Desktop"/>
    <s v="North America"/>
    <s v="MQL"/>
    <m/>
    <m/>
    <m/>
    <n v="2"/>
    <x v="0"/>
    <n v="1"/>
    <n v="0"/>
    <n v="0"/>
  </r>
  <r>
    <s v="LD1217"/>
    <d v="2024-01-14T00:00:00"/>
    <x v="0"/>
    <s v="LinkedIn Ads"/>
    <s v="Tablet"/>
    <s v="Asia Pacific"/>
    <s v="Lead"/>
    <m/>
    <m/>
    <m/>
    <n v="1"/>
    <x v="3"/>
    <n v="0"/>
    <n v="0"/>
    <n v="0"/>
  </r>
  <r>
    <s v="LD6431"/>
    <d v="2024-11-09T00:00:00"/>
    <x v="5"/>
    <s v="Landing Page SEO"/>
    <s v="Mobile"/>
    <s v="Europe"/>
    <s v="Lead"/>
    <m/>
    <m/>
    <m/>
    <n v="1"/>
    <x v="2"/>
    <n v="0"/>
    <n v="0"/>
    <n v="0"/>
  </r>
  <r>
    <s v="LD5371"/>
    <d v="2024-09-23T00:00:00"/>
    <x v="3"/>
    <s v="Monthly Newsletter"/>
    <s v="Mobile"/>
    <s v="Asia Pacific"/>
    <s v="MQL"/>
    <m/>
    <m/>
    <m/>
    <n v="2"/>
    <x v="9"/>
    <n v="1"/>
    <n v="0"/>
    <n v="0"/>
  </r>
  <r>
    <s v="LD2048"/>
    <d v="2024-03-28T00:00:00"/>
    <x v="1"/>
    <s v="Google Ads - Brand"/>
    <s v="Tablet"/>
    <s v="Europe"/>
    <s v="MQL"/>
    <m/>
    <m/>
    <m/>
    <n v="2"/>
    <x v="8"/>
    <n v="1"/>
    <n v="0"/>
    <n v="0"/>
  </r>
  <r>
    <s v="LD6070"/>
    <d v="2024-10-10T00:00:00"/>
    <x v="3"/>
    <s v="Monthly Newsletter"/>
    <s v="Desktop"/>
    <s v="North America"/>
    <s v="MQL"/>
    <m/>
    <m/>
    <m/>
    <n v="2"/>
    <x v="5"/>
    <n v="1"/>
    <n v="0"/>
    <n v="0"/>
  </r>
  <r>
    <s v="LD3025"/>
    <d v="2024-05-21T00:00:00"/>
    <x v="5"/>
    <s v="Landing Page SEO"/>
    <s v="Mobile"/>
    <s v="North America"/>
    <s v="MQL"/>
    <m/>
    <m/>
    <m/>
    <n v="2"/>
    <x v="4"/>
    <n v="1"/>
    <n v="0"/>
    <n v="0"/>
  </r>
  <r>
    <s v="LD4211"/>
    <d v="2024-07-17T00:00:00"/>
    <x v="0"/>
    <s v="Instagram Ads"/>
    <s v="Desktop"/>
    <s v="Asia Pacific"/>
    <s v="Lead"/>
    <m/>
    <m/>
    <m/>
    <n v="1"/>
    <x v="0"/>
    <n v="0"/>
    <n v="0"/>
    <n v="0"/>
  </r>
  <r>
    <s v="LD5895"/>
    <d v="2024-10-12T00:00:00"/>
    <x v="0"/>
    <s v="Facebook Ads"/>
    <s v="Desktop"/>
    <s v="Europe"/>
    <s v="Lead"/>
    <m/>
    <m/>
    <m/>
    <n v="1"/>
    <x v="5"/>
    <n v="0"/>
    <n v="0"/>
    <n v="0"/>
  </r>
  <r>
    <s v="LD4568"/>
    <d v="2024-08-10T00:00:00"/>
    <x v="5"/>
    <s v="Blog SEO"/>
    <s v="Mobile"/>
    <s v="Latin America"/>
    <s v="SQL"/>
    <m/>
    <m/>
    <m/>
    <n v="3"/>
    <x v="6"/>
    <n v="1"/>
    <n v="1"/>
    <n v="0"/>
  </r>
  <r>
    <s v="LD6959"/>
    <d v="2024-11-22T00:00:00"/>
    <x v="4"/>
    <s v="Affiliate Program"/>
    <s v="Desktop"/>
    <s v="North America"/>
    <s v="Customer"/>
    <n v="52"/>
    <s v="Enterprise"/>
    <n v="17980.16"/>
    <n v="4"/>
    <x v="2"/>
    <n v="1"/>
    <n v="1"/>
    <n v="1"/>
  </r>
  <r>
    <s v="LD2264"/>
    <d v="2024-03-28T00:00:00"/>
    <x v="3"/>
    <s v="Monthly Newsletter"/>
    <s v="Mobile"/>
    <s v="Asia Pacific"/>
    <s v="SQL"/>
    <m/>
    <m/>
    <m/>
    <n v="3"/>
    <x v="8"/>
    <n v="1"/>
    <n v="1"/>
    <n v="0"/>
  </r>
  <r>
    <s v="LD3647"/>
    <d v="2024-06-18T00:00:00"/>
    <x v="1"/>
    <s v="Google Ads - Generic"/>
    <s v="Mobile"/>
    <s v="North America"/>
    <s v="MQL"/>
    <m/>
    <m/>
    <m/>
    <n v="2"/>
    <x v="11"/>
    <n v="1"/>
    <n v="0"/>
    <n v="0"/>
  </r>
  <r>
    <s v="LD5819"/>
    <d v="2024-10-22T00:00:00"/>
    <x v="1"/>
    <s v="Google Ads - Generic"/>
    <s v="Desktop"/>
    <s v="North America"/>
    <s v="Customer"/>
    <n v="71"/>
    <s v="Basic"/>
    <n v="504.49"/>
    <n v="4"/>
    <x v="5"/>
    <n v="1"/>
    <n v="1"/>
    <n v="1"/>
  </r>
  <r>
    <s v="LD1334"/>
    <d v="2024-01-24T00:00:00"/>
    <x v="3"/>
    <s v="Promo Blast"/>
    <s v="Desktop"/>
    <s v="Europe"/>
    <s v="MQL"/>
    <m/>
    <m/>
    <m/>
    <n v="2"/>
    <x v="3"/>
    <n v="1"/>
    <n v="0"/>
    <n v="0"/>
  </r>
  <r>
    <s v="LD6791"/>
    <d v="2024-11-26T00:00:00"/>
    <x v="3"/>
    <s v="Promo Blast"/>
    <s v="Mobile"/>
    <s v="North America"/>
    <s v="MQL"/>
    <m/>
    <m/>
    <m/>
    <n v="2"/>
    <x v="2"/>
    <n v="1"/>
    <n v="0"/>
    <n v="0"/>
  </r>
  <r>
    <s v="LD4650"/>
    <d v="2024-08-13T00:00:00"/>
    <x v="1"/>
    <s v="Google Ads - Brand"/>
    <s v="Desktop"/>
    <s v="Europe"/>
    <s v="Lead"/>
    <m/>
    <m/>
    <m/>
    <n v="1"/>
    <x v="6"/>
    <n v="0"/>
    <n v="0"/>
    <n v="0"/>
  </r>
  <r>
    <s v="LD7310"/>
    <d v="2024-12-18T00:00:00"/>
    <x v="1"/>
    <s v="Google Ads - Generic"/>
    <s v="Desktop"/>
    <s v="Asia Pacific"/>
    <s v="Lead"/>
    <m/>
    <m/>
    <m/>
    <n v="1"/>
    <x v="7"/>
    <n v="0"/>
    <n v="0"/>
    <n v="0"/>
  </r>
  <r>
    <s v="LD7776"/>
    <d v="2024-12-07T00:00:00"/>
    <x v="2"/>
    <s v="Direct / Type-in"/>
    <s v="Desktop"/>
    <s v="North America"/>
    <s v="MQL"/>
    <m/>
    <m/>
    <m/>
    <n v="2"/>
    <x v="7"/>
    <n v="1"/>
    <n v="0"/>
    <n v="0"/>
  </r>
  <r>
    <s v="LD6813"/>
    <d v="2024-11-08T00:00:00"/>
    <x v="3"/>
    <s v="Promo Blast"/>
    <s v="Desktop"/>
    <s v="North America"/>
    <s v="Lead"/>
    <m/>
    <m/>
    <m/>
    <n v="1"/>
    <x v="2"/>
    <n v="0"/>
    <n v="0"/>
    <n v="0"/>
  </r>
  <r>
    <s v="LD4347"/>
    <d v="2024-07-24T00:00:00"/>
    <x v="3"/>
    <s v="Promo Blast"/>
    <s v="Desktop"/>
    <s v="North America"/>
    <s v="Customer"/>
    <n v="28"/>
    <s v="Basic"/>
    <n v="858.69"/>
    <n v="4"/>
    <x v="0"/>
    <n v="1"/>
    <n v="1"/>
    <n v="1"/>
  </r>
  <r>
    <s v="LD7270"/>
    <d v="2024-12-25T00:00:00"/>
    <x v="1"/>
    <s v="Google Ads - Generic"/>
    <s v="Mobile"/>
    <s v="Latin America"/>
    <s v="MQL"/>
    <m/>
    <m/>
    <m/>
    <n v="2"/>
    <x v="7"/>
    <n v="1"/>
    <n v="0"/>
    <n v="0"/>
  </r>
  <r>
    <s v="LD7714"/>
    <d v="2024-12-24T00:00:00"/>
    <x v="2"/>
    <s v="Direct / Type-in"/>
    <s v="Desktop"/>
    <s v="Asia Pacific"/>
    <s v="Lead"/>
    <m/>
    <m/>
    <m/>
    <n v="1"/>
    <x v="7"/>
    <n v="0"/>
    <n v="0"/>
    <n v="0"/>
  </r>
  <r>
    <s v="LD6757"/>
    <d v="2024-11-14T00:00:00"/>
    <x v="3"/>
    <s v="Promo Blast"/>
    <s v="Mobile"/>
    <s v="Europe"/>
    <s v="Lead"/>
    <m/>
    <m/>
    <m/>
    <n v="1"/>
    <x v="2"/>
    <n v="0"/>
    <n v="0"/>
    <n v="0"/>
  </r>
  <r>
    <s v="LD3113"/>
    <d v="2024-05-05T00:00:00"/>
    <x v="1"/>
    <s v="Google Ads - Generic"/>
    <s v="Mobile"/>
    <s v="North America"/>
    <s v="Lead"/>
    <m/>
    <m/>
    <m/>
    <n v="1"/>
    <x v="4"/>
    <n v="0"/>
    <n v="0"/>
    <n v="0"/>
  </r>
  <r>
    <s v="LD1747"/>
    <d v="2024-02-04T00:00:00"/>
    <x v="3"/>
    <s v="Monthly Newsletter"/>
    <s v="Desktop"/>
    <s v="Europe"/>
    <s v="SQL"/>
    <m/>
    <m/>
    <m/>
    <n v="3"/>
    <x v="10"/>
    <n v="1"/>
    <n v="1"/>
    <n v="0"/>
  </r>
  <r>
    <s v="LD4026"/>
    <d v="2024-06-20T00:00:00"/>
    <x v="2"/>
    <s v="Direct / Type-in"/>
    <s v="Tablet"/>
    <s v="Asia Pacific"/>
    <s v="MQL"/>
    <m/>
    <m/>
    <m/>
    <n v="2"/>
    <x v="11"/>
    <n v="1"/>
    <n v="0"/>
    <n v="0"/>
  </r>
  <r>
    <s v="LD2774"/>
    <d v="2024-04-19T00:00:00"/>
    <x v="3"/>
    <s v="Promo Blast"/>
    <s v="Mobile"/>
    <s v="Europe"/>
    <s v="Customer"/>
    <n v="45"/>
    <s v="Pro"/>
    <n v="2674.87"/>
    <n v="4"/>
    <x v="1"/>
    <n v="1"/>
    <n v="1"/>
    <n v="1"/>
  </r>
  <r>
    <s v="LD4828"/>
    <d v="2024-08-28T00:00:00"/>
    <x v="3"/>
    <s v="Promo Blast"/>
    <s v="Mobile"/>
    <s v="Europe"/>
    <s v="MQL"/>
    <m/>
    <m/>
    <m/>
    <n v="2"/>
    <x v="6"/>
    <n v="1"/>
    <n v="0"/>
    <n v="0"/>
  </r>
  <r>
    <s v="LD2424"/>
    <d v="2024-03-16T00:00:00"/>
    <x v="2"/>
    <s v="Direct / Type-in"/>
    <s v="Mobile"/>
    <s v="Asia Pacific"/>
    <s v="Lead"/>
    <m/>
    <m/>
    <m/>
    <n v="1"/>
    <x v="8"/>
    <n v="0"/>
    <n v="0"/>
    <n v="0"/>
  </r>
  <r>
    <s v="LD7395"/>
    <d v="2024-12-13T00:00:00"/>
    <x v="0"/>
    <s v="Instagram Ads"/>
    <s v="Desktop"/>
    <s v="North America"/>
    <s v="SQL"/>
    <m/>
    <m/>
    <m/>
    <n v="3"/>
    <x v="7"/>
    <n v="1"/>
    <n v="1"/>
    <n v="0"/>
  </r>
  <r>
    <s v="LD1438"/>
    <d v="2024-01-13T00:00:00"/>
    <x v="2"/>
    <s v="Direct / Type-in"/>
    <s v="Desktop"/>
    <s v="Europe"/>
    <s v="Lead"/>
    <m/>
    <m/>
    <m/>
    <n v="1"/>
    <x v="3"/>
    <n v="0"/>
    <n v="0"/>
    <n v="0"/>
  </r>
  <r>
    <s v="LD1348"/>
    <d v="2024-01-07T00:00:00"/>
    <x v="3"/>
    <s v="Monthly Newsletter"/>
    <s v="Mobile"/>
    <s v="Europe"/>
    <s v="Customer"/>
    <n v="58"/>
    <s v="Pro"/>
    <n v="2146.73"/>
    <n v="4"/>
    <x v="3"/>
    <n v="1"/>
    <n v="1"/>
    <n v="1"/>
  </r>
  <r>
    <s v="LD6470"/>
    <d v="2024-11-21T00:00:00"/>
    <x v="5"/>
    <s v="Blog SEO"/>
    <s v="Mobile"/>
    <s v="Europe"/>
    <s v="Lead"/>
    <m/>
    <m/>
    <m/>
    <n v="1"/>
    <x v="2"/>
    <n v="0"/>
    <n v="0"/>
    <n v="0"/>
  </r>
  <r>
    <s v="LD3324"/>
    <d v="2024-05-06T00:00:00"/>
    <x v="3"/>
    <s v="Promo Blast"/>
    <s v="Mobile"/>
    <s v="North America"/>
    <s v="Lead"/>
    <m/>
    <m/>
    <m/>
    <n v="1"/>
    <x v="4"/>
    <n v="0"/>
    <n v="0"/>
    <n v="0"/>
  </r>
  <r>
    <s v="LD2489"/>
    <d v="2024-04-01T00:00:00"/>
    <x v="5"/>
    <s v="Landing Page SEO"/>
    <s v="Desktop"/>
    <s v="Europe"/>
    <s v="Lead"/>
    <m/>
    <m/>
    <m/>
    <n v="1"/>
    <x v="1"/>
    <n v="0"/>
    <n v="0"/>
    <n v="0"/>
  </r>
  <r>
    <s v="LD4455"/>
    <d v="2024-07-22T00:00:00"/>
    <x v="2"/>
    <s v="Direct / Type-in"/>
    <s v="Mobile"/>
    <s v="North America"/>
    <s v="Lead"/>
    <m/>
    <m/>
    <m/>
    <n v="1"/>
    <x v="0"/>
    <n v="0"/>
    <n v="0"/>
    <n v="0"/>
  </r>
  <r>
    <s v="LD3285"/>
    <d v="2024-05-14T00:00:00"/>
    <x v="0"/>
    <s v="LinkedIn Ads"/>
    <s v="Mobile"/>
    <s v="Asia Pacific"/>
    <s v="Lead"/>
    <m/>
    <m/>
    <m/>
    <n v="1"/>
    <x v="4"/>
    <n v="0"/>
    <n v="0"/>
    <n v="0"/>
  </r>
  <r>
    <s v="LD2906"/>
    <d v="2024-04-07T00:00:00"/>
    <x v="4"/>
    <s v="Affiliate Program"/>
    <s v="Desktop"/>
    <s v="Europe"/>
    <s v="Customer"/>
    <n v="22"/>
    <s v="Basic"/>
    <n v="986.64"/>
    <n v="4"/>
    <x v="1"/>
    <n v="1"/>
    <n v="1"/>
    <n v="1"/>
  </r>
  <r>
    <s v="LD5174"/>
    <d v="2024-09-04T00:00:00"/>
    <x v="1"/>
    <s v="Google Ads - Generic"/>
    <s v="Mobile"/>
    <s v="Europe"/>
    <s v="SQL"/>
    <m/>
    <m/>
    <m/>
    <n v="3"/>
    <x v="9"/>
    <n v="1"/>
    <n v="1"/>
    <n v="0"/>
  </r>
  <r>
    <s v="LD1260"/>
    <d v="2024-01-19T00:00:00"/>
    <x v="3"/>
    <s v="Promo Blast"/>
    <s v="Desktop"/>
    <s v="North America"/>
    <s v="MQL"/>
    <m/>
    <m/>
    <m/>
    <n v="2"/>
    <x v="3"/>
    <n v="1"/>
    <n v="0"/>
    <n v="0"/>
  </r>
  <r>
    <s v="LD3865"/>
    <d v="2024-06-24T00:00:00"/>
    <x v="3"/>
    <s v="Monthly Newsletter"/>
    <s v="Mobile"/>
    <s v="North America"/>
    <s v="Lead"/>
    <m/>
    <m/>
    <m/>
    <n v="1"/>
    <x v="11"/>
    <n v="0"/>
    <n v="0"/>
    <n v="0"/>
  </r>
  <r>
    <s v="LD5840"/>
    <d v="2024-10-11T00:00:00"/>
    <x v="0"/>
    <s v="Facebook Ads"/>
    <s v="Desktop"/>
    <s v="Asia Pacific"/>
    <s v="Lead"/>
    <m/>
    <m/>
    <m/>
    <n v="1"/>
    <x v="5"/>
    <n v="0"/>
    <n v="0"/>
    <n v="0"/>
  </r>
  <r>
    <s v="LD3116"/>
    <d v="2024-05-09T00:00:00"/>
    <x v="1"/>
    <s v="Google Ads - Brand"/>
    <s v="Desktop"/>
    <s v="North America"/>
    <s v="Lead"/>
    <m/>
    <m/>
    <m/>
    <n v="1"/>
    <x v="4"/>
    <n v="0"/>
    <n v="0"/>
    <n v="0"/>
  </r>
  <r>
    <s v="LD5059"/>
    <d v="2024-09-21T00:00:00"/>
    <x v="5"/>
    <s v="Landing Page SEO"/>
    <s v="Desktop"/>
    <s v="Asia Pacific"/>
    <s v="Lead"/>
    <m/>
    <m/>
    <m/>
    <n v="1"/>
    <x v="9"/>
    <n v="0"/>
    <n v="0"/>
    <n v="0"/>
  </r>
  <r>
    <s v="LD6077"/>
    <d v="2024-10-03T00:00:00"/>
    <x v="3"/>
    <s v="Promo Blast"/>
    <s v="Mobile"/>
    <s v="North America"/>
    <s v="Lead"/>
    <m/>
    <m/>
    <m/>
    <n v="1"/>
    <x v="5"/>
    <n v="0"/>
    <n v="0"/>
    <n v="0"/>
  </r>
  <r>
    <s v="LD7306"/>
    <d v="2024-12-15T00:00:00"/>
    <x v="1"/>
    <s v="Google Ads - Brand"/>
    <s v="Desktop"/>
    <s v="Europe"/>
    <s v="MQL"/>
    <m/>
    <m/>
    <m/>
    <n v="2"/>
    <x v="7"/>
    <n v="1"/>
    <n v="0"/>
    <n v="0"/>
  </r>
  <r>
    <s v="LD3800"/>
    <d v="2024-06-19T00:00:00"/>
    <x v="3"/>
    <s v="Monthly Newsletter"/>
    <s v="Desktop"/>
    <s v="North America"/>
    <s v="MQL"/>
    <m/>
    <m/>
    <m/>
    <n v="2"/>
    <x v="11"/>
    <n v="1"/>
    <n v="0"/>
    <n v="0"/>
  </r>
  <r>
    <s v="LD2484"/>
    <d v="2024-04-04T00:00:00"/>
    <x v="5"/>
    <s v="Blog SEO"/>
    <s v="Mobile"/>
    <s v="Europe"/>
    <s v="MQL"/>
    <m/>
    <m/>
    <m/>
    <n v="2"/>
    <x v="1"/>
    <n v="1"/>
    <n v="0"/>
    <n v="0"/>
  </r>
  <r>
    <s v="LD6361"/>
    <d v="2024-11-15T00:00:00"/>
    <x v="5"/>
    <s v="Blog SEO"/>
    <s v="Desktop"/>
    <s v="Europe"/>
    <s v="Lead"/>
    <m/>
    <m/>
    <m/>
    <n v="1"/>
    <x v="2"/>
    <n v="0"/>
    <n v="0"/>
    <n v="0"/>
  </r>
  <r>
    <s v="LD7314"/>
    <d v="2024-12-05T00:00:00"/>
    <x v="1"/>
    <s v="Google Ads - Brand"/>
    <s v="Mobile"/>
    <s v="North America"/>
    <s v="MQL"/>
    <m/>
    <m/>
    <m/>
    <n v="2"/>
    <x v="7"/>
    <n v="1"/>
    <n v="0"/>
    <n v="0"/>
  </r>
  <r>
    <s v="LD1600"/>
    <d v="2024-02-11T00:00:00"/>
    <x v="1"/>
    <s v="Google Ads - Generic"/>
    <s v="Tablet"/>
    <s v="Asia Pacific"/>
    <s v="Lead"/>
    <m/>
    <m/>
    <m/>
    <n v="1"/>
    <x v="10"/>
    <n v="0"/>
    <n v="0"/>
    <n v="0"/>
  </r>
  <r>
    <s v="LD6838"/>
    <d v="2024-11-20T00:00:00"/>
    <x v="3"/>
    <s v="Promo Blast"/>
    <s v="Desktop"/>
    <s v="North America"/>
    <s v="MQL"/>
    <m/>
    <m/>
    <m/>
    <n v="2"/>
    <x v="2"/>
    <n v="1"/>
    <n v="0"/>
    <n v="0"/>
  </r>
  <r>
    <s v="LD1046"/>
    <d v="2024-01-08T00:00:00"/>
    <x v="5"/>
    <s v="Landing Page SEO"/>
    <s v="Desktop"/>
    <s v="Europe"/>
    <s v="SQL"/>
    <m/>
    <m/>
    <m/>
    <n v="3"/>
    <x v="3"/>
    <n v="1"/>
    <n v="1"/>
    <n v="0"/>
  </r>
  <r>
    <s v="LD6318"/>
    <d v="2024-10-03T00:00:00"/>
    <x v="2"/>
    <s v="Direct / Type-in"/>
    <s v="Desktop"/>
    <s v="North America"/>
    <s v="Customer"/>
    <n v="32"/>
    <s v="Pro"/>
    <n v="1766.45"/>
    <n v="4"/>
    <x v="5"/>
    <n v="1"/>
    <n v="1"/>
    <n v="1"/>
  </r>
  <r>
    <s v="LD3795"/>
    <d v="2024-06-03T00:00:00"/>
    <x v="3"/>
    <s v="Promo Blast"/>
    <s v="Desktop"/>
    <s v="Europe"/>
    <s v="Lead"/>
    <m/>
    <m/>
    <m/>
    <n v="1"/>
    <x v="11"/>
    <n v="0"/>
    <n v="0"/>
    <n v="0"/>
  </r>
  <r>
    <s v="LD6078"/>
    <d v="2024-10-08T00:00:00"/>
    <x v="3"/>
    <s v="Promo Blast"/>
    <s v="Tablet"/>
    <s v="North America"/>
    <s v="Lead"/>
    <m/>
    <m/>
    <m/>
    <n v="1"/>
    <x v="5"/>
    <n v="0"/>
    <n v="0"/>
    <n v="0"/>
  </r>
  <r>
    <s v="LD6203"/>
    <d v="2024-10-19T00:00:00"/>
    <x v="4"/>
    <s v="Partner Program"/>
    <s v="Desktop"/>
    <s v="Asia Pacific"/>
    <s v="Customer"/>
    <n v="42"/>
    <s v="Pro"/>
    <n v="3347.95"/>
    <n v="4"/>
    <x v="5"/>
    <n v="1"/>
    <n v="1"/>
    <n v="1"/>
  </r>
  <r>
    <s v="LD5320"/>
    <d v="2024-09-04T00:00:00"/>
    <x v="3"/>
    <s v="Promo Blast"/>
    <s v="Mobile"/>
    <s v="Europe"/>
    <s v="Customer"/>
    <n v="71"/>
    <s v="Enterprise"/>
    <n v="19774.27"/>
    <n v="4"/>
    <x v="9"/>
    <n v="1"/>
    <n v="1"/>
    <n v="1"/>
  </r>
  <r>
    <s v="LD4097"/>
    <d v="2024-07-22T00:00:00"/>
    <x v="5"/>
    <s v="Landing Page SEO"/>
    <s v="Desktop"/>
    <s v="North America"/>
    <s v="SQL"/>
    <m/>
    <m/>
    <m/>
    <n v="3"/>
    <x v="0"/>
    <n v="1"/>
    <n v="1"/>
    <n v="0"/>
  </r>
  <r>
    <s v="LD2545"/>
    <d v="2024-04-24T00:00:00"/>
    <x v="5"/>
    <s v="Blog SEO"/>
    <s v="Mobile"/>
    <s v="Europe"/>
    <s v="Lead"/>
    <m/>
    <m/>
    <m/>
    <n v="1"/>
    <x v="1"/>
    <n v="0"/>
    <n v="0"/>
    <n v="0"/>
  </r>
  <r>
    <s v="LD2472"/>
    <d v="2024-03-27T00:00:00"/>
    <x v="2"/>
    <s v="Direct / Type-in"/>
    <s v="Desktop"/>
    <s v="North America"/>
    <s v="Lead"/>
    <m/>
    <m/>
    <m/>
    <n v="1"/>
    <x v="8"/>
    <n v="0"/>
    <n v="0"/>
    <n v="0"/>
  </r>
  <r>
    <s v="LD6804"/>
    <d v="2024-11-01T00:00:00"/>
    <x v="3"/>
    <s v="Monthly Newsletter"/>
    <s v="Mobile"/>
    <s v="North America"/>
    <s v="Lead"/>
    <m/>
    <m/>
    <m/>
    <n v="1"/>
    <x v="2"/>
    <n v="0"/>
    <n v="0"/>
    <n v="0"/>
  </r>
  <r>
    <s v="LD7299"/>
    <d v="2024-12-21T00:00:00"/>
    <x v="1"/>
    <s v="Google Ads - Brand"/>
    <s v="Desktop"/>
    <s v="Europe"/>
    <s v="Lead"/>
    <m/>
    <m/>
    <m/>
    <n v="1"/>
    <x v="7"/>
    <n v="0"/>
    <n v="0"/>
    <n v="0"/>
  </r>
  <r>
    <s v="LD1324"/>
    <d v="2024-01-19T00:00:00"/>
    <x v="3"/>
    <s v="Promo Blast"/>
    <s v="Mobile"/>
    <s v="Europe"/>
    <s v="Lead"/>
    <m/>
    <m/>
    <m/>
    <n v="1"/>
    <x v="3"/>
    <n v="0"/>
    <n v="0"/>
    <n v="0"/>
  </r>
  <r>
    <s v="LD4756"/>
    <d v="2024-08-19T00:00:00"/>
    <x v="3"/>
    <s v="Promo Blast"/>
    <s v="Desktop"/>
    <s v="Asia Pacific"/>
    <s v="Customer"/>
    <n v="75"/>
    <s v="Basic"/>
    <n v="725.39"/>
    <n v="4"/>
    <x v="6"/>
    <n v="1"/>
    <n v="1"/>
    <n v="1"/>
  </r>
  <r>
    <s v="LD4356"/>
    <d v="2024-07-25T00:00:00"/>
    <x v="3"/>
    <s v="Monthly Newsletter"/>
    <s v="Desktop"/>
    <s v="Europe"/>
    <s v="Lead"/>
    <m/>
    <m/>
    <m/>
    <n v="1"/>
    <x v="0"/>
    <n v="0"/>
    <n v="0"/>
    <n v="0"/>
  </r>
  <r>
    <s v="LD4321"/>
    <d v="2024-07-26T00:00:00"/>
    <x v="3"/>
    <s v="Monthly Newsletter"/>
    <s v="Desktop"/>
    <s v="Europe"/>
    <s v="Lead"/>
    <m/>
    <m/>
    <m/>
    <n v="1"/>
    <x v="0"/>
    <n v="0"/>
    <n v="0"/>
    <n v="0"/>
  </r>
  <r>
    <s v="LD7492"/>
    <d v="2024-12-03T00:00:00"/>
    <x v="3"/>
    <s v="Promo Blast"/>
    <s v="Desktop"/>
    <s v="Asia Pacific"/>
    <s v="Lead"/>
    <m/>
    <m/>
    <m/>
    <n v="1"/>
    <x v="7"/>
    <n v="0"/>
    <n v="0"/>
    <n v="0"/>
  </r>
  <r>
    <s v="LD6435"/>
    <d v="2024-11-08T00:00:00"/>
    <x v="5"/>
    <s v="Landing Page SEO"/>
    <s v="Desktop"/>
    <s v="Asia Pacific"/>
    <s v="MQL"/>
    <m/>
    <m/>
    <m/>
    <n v="2"/>
    <x v="2"/>
    <n v="1"/>
    <n v="0"/>
    <n v="0"/>
  </r>
  <r>
    <s v="LD4259"/>
    <d v="2024-07-02T00:00:00"/>
    <x v="0"/>
    <s v="Instagram Ads"/>
    <s v="Mobile"/>
    <s v="Asia Pacific"/>
    <s v="SQL"/>
    <m/>
    <m/>
    <m/>
    <n v="3"/>
    <x v="0"/>
    <n v="1"/>
    <n v="1"/>
    <n v="0"/>
  </r>
  <r>
    <s v="LD6622"/>
    <d v="2024-11-28T00:00:00"/>
    <x v="0"/>
    <s v="LinkedIn Ads"/>
    <s v="Desktop"/>
    <s v="Europe"/>
    <s v="Lead"/>
    <m/>
    <m/>
    <m/>
    <n v="1"/>
    <x v="2"/>
    <n v="0"/>
    <n v="0"/>
    <n v="0"/>
  </r>
  <r>
    <s v="LD7672"/>
    <d v="2024-12-16T00:00:00"/>
    <x v="4"/>
    <s v="Partner Program"/>
    <s v="Mobile"/>
    <s v="Europe"/>
    <s v="SQL"/>
    <m/>
    <m/>
    <m/>
    <n v="3"/>
    <x v="7"/>
    <n v="1"/>
    <n v="1"/>
    <n v="0"/>
  </r>
  <r>
    <s v="LD7293"/>
    <d v="2024-12-14T00:00:00"/>
    <x v="1"/>
    <s v="Google Ads - Generic"/>
    <s v="Mobile"/>
    <s v="Europe"/>
    <s v="Lead"/>
    <m/>
    <m/>
    <m/>
    <n v="1"/>
    <x v="7"/>
    <n v="0"/>
    <n v="0"/>
    <n v="0"/>
  </r>
  <r>
    <s v="LD2796"/>
    <d v="2024-04-25T00:00:00"/>
    <x v="3"/>
    <s v="Monthly Newsletter"/>
    <s v="Mobile"/>
    <s v="North America"/>
    <s v="MQL"/>
    <m/>
    <m/>
    <m/>
    <n v="2"/>
    <x v="1"/>
    <n v="1"/>
    <n v="0"/>
    <n v="0"/>
  </r>
  <r>
    <s v="LD1232"/>
    <d v="2024-01-28T00:00:00"/>
    <x v="0"/>
    <s v="Instagram Ads"/>
    <s v="Mobile"/>
    <s v="Europe"/>
    <s v="Lead"/>
    <m/>
    <m/>
    <m/>
    <n v="1"/>
    <x v="3"/>
    <n v="0"/>
    <n v="0"/>
    <n v="0"/>
  </r>
  <r>
    <s v="LD5332"/>
    <d v="2024-09-17T00:00:00"/>
    <x v="3"/>
    <s v="Monthly Newsletter"/>
    <s v="Mobile"/>
    <s v="Asia Pacific"/>
    <s v="MQL"/>
    <m/>
    <m/>
    <m/>
    <n v="2"/>
    <x v="9"/>
    <n v="1"/>
    <n v="0"/>
    <n v="0"/>
  </r>
  <r>
    <s v="LD1577"/>
    <d v="2024-02-04T00:00:00"/>
    <x v="1"/>
    <s v="Google Ads - Brand"/>
    <s v="Desktop"/>
    <s v="Europe"/>
    <s v="Lead"/>
    <m/>
    <m/>
    <m/>
    <n v="1"/>
    <x v="10"/>
    <n v="0"/>
    <n v="0"/>
    <n v="0"/>
  </r>
  <r>
    <s v="LD2860"/>
    <d v="2024-04-10T00:00:00"/>
    <x v="3"/>
    <s v="Monthly Newsletter"/>
    <s v="Desktop"/>
    <s v="Asia Pacific"/>
    <s v="SQL"/>
    <m/>
    <m/>
    <m/>
    <n v="3"/>
    <x v="1"/>
    <n v="1"/>
    <n v="1"/>
    <n v="0"/>
  </r>
  <r>
    <s v="LD5109"/>
    <d v="2024-09-26T00:00:00"/>
    <x v="5"/>
    <s v="Blog SEO"/>
    <s v="Desktop"/>
    <s v="North America"/>
    <s v="MQL"/>
    <m/>
    <m/>
    <m/>
    <n v="2"/>
    <x v="9"/>
    <n v="1"/>
    <n v="0"/>
    <n v="0"/>
  </r>
  <r>
    <s v="LD3997"/>
    <d v="2024-06-26T00:00:00"/>
    <x v="2"/>
    <s v="Direct / Type-in"/>
    <s v="Mobile"/>
    <s v="Latin America"/>
    <s v="MQL"/>
    <m/>
    <m/>
    <m/>
    <n v="2"/>
    <x v="11"/>
    <n v="1"/>
    <n v="0"/>
    <n v="0"/>
  </r>
  <r>
    <s v="LD3405"/>
    <d v="2024-05-22T00:00:00"/>
    <x v="3"/>
    <s v="Monthly Newsletter"/>
    <s v="Desktop"/>
    <s v="North America"/>
    <s v="Customer"/>
    <n v="8"/>
    <s v="Enterprise"/>
    <n v="18952.39"/>
    <n v="4"/>
    <x v="4"/>
    <n v="1"/>
    <n v="1"/>
    <n v="1"/>
  </r>
  <r>
    <s v="LD3111"/>
    <d v="2024-05-27T00:00:00"/>
    <x v="1"/>
    <s v="Google Ads - Generic"/>
    <s v="Desktop"/>
    <s v="North America"/>
    <s v="MQL"/>
    <m/>
    <m/>
    <m/>
    <n v="2"/>
    <x v="4"/>
    <n v="1"/>
    <n v="0"/>
    <n v="0"/>
  </r>
  <r>
    <s v="LD6357"/>
    <d v="2024-11-08T00:00:00"/>
    <x v="5"/>
    <s v="Blog SEO"/>
    <s v="Mobile"/>
    <s v="Europe"/>
    <s v="Lead"/>
    <m/>
    <m/>
    <m/>
    <n v="1"/>
    <x v="2"/>
    <n v="0"/>
    <n v="0"/>
    <n v="0"/>
  </r>
  <r>
    <s v="LD7698"/>
    <d v="2024-12-03T00:00:00"/>
    <x v="4"/>
    <s v="Affiliate Program"/>
    <s v="Desktop"/>
    <s v="Europe"/>
    <s v="MQL"/>
    <m/>
    <m/>
    <m/>
    <n v="2"/>
    <x v="7"/>
    <n v="1"/>
    <n v="0"/>
    <n v="0"/>
  </r>
  <r>
    <s v="LD1448"/>
    <d v="2024-01-15T00:00:00"/>
    <x v="2"/>
    <s v="Direct / Type-in"/>
    <s v="Mobile"/>
    <s v="North America"/>
    <s v="Lead"/>
    <m/>
    <m/>
    <m/>
    <n v="1"/>
    <x v="3"/>
    <n v="0"/>
    <n v="0"/>
    <n v="0"/>
  </r>
  <r>
    <s v="LD7214"/>
    <d v="2024-12-19T00:00:00"/>
    <x v="1"/>
    <s v="Google Ads - Brand"/>
    <s v="Desktop"/>
    <s v="Asia Pacific"/>
    <s v="Lead"/>
    <m/>
    <m/>
    <m/>
    <n v="1"/>
    <x v="7"/>
    <n v="0"/>
    <n v="0"/>
    <n v="0"/>
  </r>
  <r>
    <s v="LD1427"/>
    <d v="2024-01-17T00:00:00"/>
    <x v="2"/>
    <s v="Direct / Type-in"/>
    <s v="Desktop"/>
    <s v="North America"/>
    <s v="Lead"/>
    <m/>
    <m/>
    <m/>
    <n v="1"/>
    <x v="3"/>
    <n v="0"/>
    <n v="0"/>
    <n v="0"/>
  </r>
  <r>
    <s v="LD4456"/>
    <d v="2024-07-12T00:00:00"/>
    <x v="2"/>
    <s v="Direct / Type-in"/>
    <s v="Desktop"/>
    <s v="Asia Pacific"/>
    <s v="Lead"/>
    <m/>
    <m/>
    <m/>
    <n v="1"/>
    <x v="0"/>
    <n v="0"/>
    <n v="0"/>
    <n v="0"/>
  </r>
  <r>
    <s v="LD1806"/>
    <d v="2024-02-26T00:00:00"/>
    <x v="3"/>
    <s v="Promo Blast"/>
    <s v="Tablet"/>
    <s v="Europe"/>
    <s v="Lead"/>
    <m/>
    <m/>
    <m/>
    <n v="1"/>
    <x v="10"/>
    <n v="0"/>
    <n v="0"/>
    <n v="0"/>
  </r>
  <r>
    <s v="LD1411"/>
    <d v="2024-01-11T00:00:00"/>
    <x v="4"/>
    <s v="Affiliate Program"/>
    <s v="Mobile"/>
    <s v="North America"/>
    <s v="MQL"/>
    <m/>
    <m/>
    <m/>
    <n v="2"/>
    <x v="3"/>
    <n v="1"/>
    <n v="0"/>
    <n v="0"/>
  </r>
  <r>
    <s v="LD4304"/>
    <d v="2024-07-01T00:00:00"/>
    <x v="3"/>
    <s v="Promo Blast"/>
    <s v="Desktop"/>
    <s v="Europe"/>
    <s v="MQL"/>
    <m/>
    <m/>
    <m/>
    <n v="2"/>
    <x v="0"/>
    <n v="1"/>
    <n v="0"/>
    <n v="0"/>
  </r>
  <r>
    <s v="LD1439"/>
    <d v="2024-01-21T00:00:00"/>
    <x v="2"/>
    <s v="Direct / Type-in"/>
    <s v="Mobile"/>
    <s v="Europe"/>
    <s v="SQL"/>
    <m/>
    <m/>
    <m/>
    <n v="3"/>
    <x v="3"/>
    <n v="1"/>
    <n v="1"/>
    <n v="0"/>
  </r>
  <r>
    <s v="LD3078"/>
    <d v="2024-05-03T00:00:00"/>
    <x v="5"/>
    <s v="Landing Page SEO"/>
    <s v="Mobile"/>
    <s v="Europe"/>
    <s v="Customer"/>
    <n v="63"/>
    <s v="Basic"/>
    <n v="950.38"/>
    <n v="4"/>
    <x v="4"/>
    <n v="1"/>
    <n v="1"/>
    <n v="1"/>
  </r>
  <r>
    <s v="LD6520"/>
    <d v="2024-11-21T00:00:00"/>
    <x v="1"/>
    <s v="Google Ads - Brand"/>
    <s v="Desktop"/>
    <s v="North America"/>
    <s v="MQL"/>
    <m/>
    <m/>
    <m/>
    <n v="2"/>
    <x v="2"/>
    <n v="1"/>
    <n v="0"/>
    <n v="0"/>
  </r>
  <r>
    <s v="LD3882"/>
    <d v="2024-06-16T00:00:00"/>
    <x v="3"/>
    <s v="Monthly Newsletter"/>
    <s v="Desktop"/>
    <s v="North America"/>
    <s v="Lead"/>
    <m/>
    <m/>
    <m/>
    <n v="1"/>
    <x v="11"/>
    <n v="0"/>
    <n v="0"/>
    <n v="0"/>
  </r>
  <r>
    <s v="LD7015"/>
    <d v="2024-11-03T00:00:00"/>
    <x v="2"/>
    <s v="Direct / Type-in"/>
    <s v="Desktop"/>
    <s v="North America"/>
    <s v="Lead"/>
    <m/>
    <m/>
    <m/>
    <n v="1"/>
    <x v="2"/>
    <n v="0"/>
    <n v="0"/>
    <n v="0"/>
  </r>
  <r>
    <s v="LD3930"/>
    <d v="2024-06-15T00:00:00"/>
    <x v="4"/>
    <s v="Affiliate Program"/>
    <s v="Mobile"/>
    <s v="Asia Pacific"/>
    <s v="Customer"/>
    <n v="15"/>
    <s v="Basic"/>
    <n v="1330.69"/>
    <n v="4"/>
    <x v="11"/>
    <n v="1"/>
    <n v="1"/>
    <n v="1"/>
  </r>
  <r>
    <s v="LD5826"/>
    <d v="2024-10-12T00:00:00"/>
    <x v="1"/>
    <s v="Google Ads - Brand"/>
    <s v="Desktop"/>
    <s v="Europe"/>
    <s v="Lead"/>
    <m/>
    <m/>
    <m/>
    <n v="1"/>
    <x v="5"/>
    <n v="0"/>
    <n v="0"/>
    <n v="0"/>
  </r>
  <r>
    <s v="LD5940"/>
    <d v="2024-10-13T00:00:00"/>
    <x v="0"/>
    <s v="Facebook Ads"/>
    <s v="Desktop"/>
    <s v="Asia Pacific"/>
    <s v="Lead"/>
    <m/>
    <m/>
    <m/>
    <n v="1"/>
    <x v="5"/>
    <n v="0"/>
    <n v="0"/>
    <n v="0"/>
  </r>
  <r>
    <s v="LD6741"/>
    <d v="2024-11-24T00:00:00"/>
    <x v="3"/>
    <s v="Promo Blast"/>
    <s v="Desktop"/>
    <s v="North America"/>
    <s v="MQL"/>
    <m/>
    <m/>
    <m/>
    <n v="2"/>
    <x v="2"/>
    <n v="1"/>
    <n v="0"/>
    <n v="0"/>
  </r>
  <r>
    <s v="LD1627"/>
    <d v="2024-02-06T00:00:00"/>
    <x v="1"/>
    <s v="Google Ads - Brand"/>
    <s v="Desktop"/>
    <s v="Latin America"/>
    <s v="MQL"/>
    <m/>
    <m/>
    <m/>
    <n v="2"/>
    <x v="10"/>
    <n v="1"/>
    <n v="0"/>
    <n v="0"/>
  </r>
  <r>
    <s v="LD4629"/>
    <d v="2024-08-05T00:00:00"/>
    <x v="1"/>
    <s v="Google Ads - Generic"/>
    <s v="Desktop"/>
    <s v="Asia Pacific"/>
    <s v="Lead"/>
    <m/>
    <m/>
    <m/>
    <n v="1"/>
    <x v="6"/>
    <n v="0"/>
    <n v="0"/>
    <n v="0"/>
  </r>
  <r>
    <s v="LD1211"/>
    <d v="2024-01-12T00:00:00"/>
    <x v="0"/>
    <s v="Facebook Ads"/>
    <s v="Mobile"/>
    <s v="Europe"/>
    <s v="SQL"/>
    <m/>
    <m/>
    <m/>
    <n v="3"/>
    <x v="3"/>
    <n v="1"/>
    <n v="1"/>
    <n v="0"/>
  </r>
  <r>
    <s v="LD2882"/>
    <d v="2024-04-11T00:00:00"/>
    <x v="4"/>
    <s v="Affiliate Program"/>
    <s v="Mobile"/>
    <s v="North America"/>
    <s v="Lead"/>
    <m/>
    <m/>
    <m/>
    <n v="1"/>
    <x v="1"/>
    <n v="0"/>
    <n v="0"/>
    <n v="0"/>
  </r>
  <r>
    <s v="LD4514"/>
    <d v="2024-08-03T00:00:00"/>
    <x v="5"/>
    <s v="Landing Page SEO"/>
    <s v="Desktop"/>
    <s v="North America"/>
    <s v="MQL"/>
    <m/>
    <m/>
    <m/>
    <n v="2"/>
    <x v="6"/>
    <n v="1"/>
    <n v="0"/>
    <n v="0"/>
  </r>
  <r>
    <s v="LD1052"/>
    <d v="2024-01-09T00:00:00"/>
    <x v="5"/>
    <s v="Landing Page SEO"/>
    <s v="Desktop"/>
    <s v="Asia Pacific"/>
    <s v="MQL"/>
    <m/>
    <m/>
    <m/>
    <n v="2"/>
    <x v="3"/>
    <n v="1"/>
    <n v="0"/>
    <n v="0"/>
  </r>
  <r>
    <s v="LD4182"/>
    <d v="2024-07-22T00:00:00"/>
    <x v="1"/>
    <s v="Google Ads - Brand"/>
    <s v="Mobile"/>
    <s v="Europe"/>
    <s v="Lead"/>
    <m/>
    <m/>
    <m/>
    <n v="1"/>
    <x v="0"/>
    <n v="0"/>
    <n v="0"/>
    <n v="0"/>
  </r>
  <r>
    <s v="LD6385"/>
    <d v="2024-11-04T00:00:00"/>
    <x v="5"/>
    <s v="Blog SEO"/>
    <s v="Desktop"/>
    <s v="Europe"/>
    <s v="MQL"/>
    <m/>
    <m/>
    <m/>
    <n v="2"/>
    <x v="2"/>
    <n v="1"/>
    <n v="0"/>
    <n v="0"/>
  </r>
  <r>
    <s v="LD2394"/>
    <d v="2024-03-21T00:00:00"/>
    <x v="4"/>
    <s v="Affiliate Program"/>
    <s v="Desktop"/>
    <s v="North America"/>
    <s v="SQL"/>
    <m/>
    <m/>
    <m/>
    <n v="3"/>
    <x v="8"/>
    <n v="1"/>
    <n v="1"/>
    <n v="0"/>
  </r>
  <r>
    <s v="LD7495"/>
    <d v="2024-12-01T00:00:00"/>
    <x v="3"/>
    <s v="Promo Blast"/>
    <s v="Mobile"/>
    <s v="Europe"/>
    <s v="SQL"/>
    <m/>
    <m/>
    <m/>
    <n v="3"/>
    <x v="7"/>
    <n v="1"/>
    <n v="1"/>
    <n v="0"/>
  </r>
  <r>
    <s v="LD5728"/>
    <d v="2024-10-13T00:00:00"/>
    <x v="1"/>
    <s v="Google Ads - Generic"/>
    <s v="Tablet"/>
    <s v="North America"/>
    <s v="Lead"/>
    <m/>
    <m/>
    <m/>
    <n v="1"/>
    <x v="5"/>
    <n v="0"/>
    <n v="0"/>
    <n v="0"/>
  </r>
  <r>
    <s v="LD6761"/>
    <d v="2024-11-01T00:00:00"/>
    <x v="3"/>
    <s v="Promo Blast"/>
    <s v="Desktop"/>
    <s v="Asia Pacific"/>
    <s v="Lead"/>
    <m/>
    <m/>
    <m/>
    <n v="1"/>
    <x v="2"/>
    <n v="0"/>
    <n v="0"/>
    <n v="0"/>
  </r>
  <r>
    <s v="LD4126"/>
    <d v="2024-07-19T00:00:00"/>
    <x v="1"/>
    <s v="Google Ads - Brand"/>
    <s v="Mobile"/>
    <s v="North America"/>
    <s v="Lead"/>
    <m/>
    <m/>
    <m/>
    <n v="1"/>
    <x v="0"/>
    <n v="0"/>
    <n v="0"/>
    <n v="0"/>
  </r>
  <r>
    <s v="LD3046"/>
    <d v="2024-05-15T00:00:00"/>
    <x v="5"/>
    <s v="Landing Page SEO"/>
    <s v="Desktop"/>
    <s v="North America"/>
    <s v="Lead"/>
    <m/>
    <m/>
    <m/>
    <n v="1"/>
    <x v="4"/>
    <n v="0"/>
    <n v="0"/>
    <n v="0"/>
  </r>
  <r>
    <s v="LD4316"/>
    <d v="2024-07-26T00:00:00"/>
    <x v="3"/>
    <s v="Promo Blast"/>
    <s v="Desktop"/>
    <s v="Asia Pacific"/>
    <s v="SQL"/>
    <m/>
    <m/>
    <m/>
    <n v="3"/>
    <x v="0"/>
    <n v="1"/>
    <n v="1"/>
    <n v="0"/>
  </r>
  <r>
    <s v="LD5093"/>
    <d v="2024-09-19T00:00:00"/>
    <x v="5"/>
    <s v="Landing Page SEO"/>
    <s v="Desktop"/>
    <s v="Asia Pacific"/>
    <s v="Lead"/>
    <m/>
    <m/>
    <m/>
    <n v="1"/>
    <x v="9"/>
    <n v="0"/>
    <n v="0"/>
    <n v="0"/>
  </r>
  <r>
    <s v="LD6264"/>
    <d v="2024-10-09T00:00:00"/>
    <x v="2"/>
    <s v="Direct / Type-in"/>
    <s v="Desktop"/>
    <s v="Europe"/>
    <s v="Lead"/>
    <m/>
    <m/>
    <m/>
    <n v="1"/>
    <x v="5"/>
    <n v="0"/>
    <n v="0"/>
    <n v="0"/>
  </r>
  <r>
    <s v="LD3765"/>
    <d v="2024-06-20T00:00:00"/>
    <x v="0"/>
    <s v="Instagram Ads"/>
    <s v="Desktop"/>
    <s v="Europe"/>
    <s v="Lead"/>
    <m/>
    <m/>
    <m/>
    <n v="1"/>
    <x v="11"/>
    <n v="0"/>
    <n v="0"/>
    <n v="0"/>
  </r>
  <r>
    <s v="LD6047"/>
    <d v="2024-10-17T00:00:00"/>
    <x v="3"/>
    <s v="Monthly Newsletter"/>
    <s v="Desktop"/>
    <s v="Europe"/>
    <s v="SQL"/>
    <m/>
    <m/>
    <m/>
    <n v="3"/>
    <x v="5"/>
    <n v="1"/>
    <n v="1"/>
    <n v="0"/>
  </r>
  <r>
    <s v="LD6278"/>
    <d v="2024-10-05T00:00:00"/>
    <x v="2"/>
    <s v="Direct / Type-in"/>
    <s v="Mobile"/>
    <s v="Europe"/>
    <s v="Lead"/>
    <m/>
    <m/>
    <m/>
    <n v="1"/>
    <x v="5"/>
    <n v="0"/>
    <n v="0"/>
    <n v="0"/>
  </r>
  <r>
    <s v="LD2672"/>
    <d v="2024-04-16T00:00:00"/>
    <x v="0"/>
    <s v="Facebook Ads"/>
    <s v="Mobile"/>
    <s v="North America"/>
    <s v="MQL"/>
    <m/>
    <m/>
    <m/>
    <n v="2"/>
    <x v="1"/>
    <n v="1"/>
    <n v="0"/>
    <n v="0"/>
  </r>
  <r>
    <s v="LD1706"/>
    <d v="2024-02-15T00:00:00"/>
    <x v="0"/>
    <s v="LinkedIn Ads"/>
    <s v="Desktop"/>
    <s v="North America"/>
    <s v="SQL"/>
    <m/>
    <m/>
    <m/>
    <n v="3"/>
    <x v="10"/>
    <n v="1"/>
    <n v="1"/>
    <n v="0"/>
  </r>
  <r>
    <s v="LD2189"/>
    <d v="2024-03-27T00:00:00"/>
    <x v="0"/>
    <s v="Facebook Ads"/>
    <s v="Mobile"/>
    <s v="Europe"/>
    <s v="Lead"/>
    <m/>
    <m/>
    <m/>
    <n v="1"/>
    <x v="8"/>
    <n v="0"/>
    <n v="0"/>
    <n v="0"/>
  </r>
  <r>
    <s v="LD4860"/>
    <d v="2024-08-02T00:00:00"/>
    <x v="3"/>
    <s v="Promo Blast"/>
    <s v="Mobile"/>
    <s v="North America"/>
    <s v="MQL"/>
    <m/>
    <m/>
    <m/>
    <n v="2"/>
    <x v="6"/>
    <n v="1"/>
    <n v="0"/>
    <n v="0"/>
  </r>
  <r>
    <s v="LD6279"/>
    <d v="2024-10-23T00:00:00"/>
    <x v="2"/>
    <s v="Direct / Type-in"/>
    <s v="Desktop"/>
    <s v="Latin America"/>
    <s v="SQL"/>
    <m/>
    <m/>
    <m/>
    <n v="3"/>
    <x v="5"/>
    <n v="1"/>
    <n v="1"/>
    <n v="0"/>
  </r>
  <r>
    <s v="LD4440"/>
    <d v="2024-07-16T00:00:00"/>
    <x v="4"/>
    <s v="Partner Program"/>
    <s v="Mobile"/>
    <s v="Europe"/>
    <s v="MQL"/>
    <m/>
    <m/>
    <m/>
    <n v="2"/>
    <x v="0"/>
    <n v="1"/>
    <n v="0"/>
    <n v="0"/>
  </r>
  <r>
    <s v="LD1528"/>
    <d v="2024-02-01T00:00:00"/>
    <x v="5"/>
    <s v="Landing Page SEO"/>
    <s v="Desktop"/>
    <s v="Latin America"/>
    <s v="MQL"/>
    <m/>
    <m/>
    <m/>
    <n v="2"/>
    <x v="10"/>
    <n v="1"/>
    <n v="0"/>
    <n v="0"/>
  </r>
  <r>
    <s v="LD5076"/>
    <d v="2024-09-13T00:00:00"/>
    <x v="5"/>
    <s v="Landing Page SEO"/>
    <s v="Desktop"/>
    <s v="North America"/>
    <s v="Lead"/>
    <m/>
    <m/>
    <m/>
    <n v="1"/>
    <x v="9"/>
    <n v="0"/>
    <n v="0"/>
    <n v="0"/>
  </r>
  <r>
    <s v="LD1566"/>
    <d v="2024-02-19T00:00:00"/>
    <x v="1"/>
    <s v="Google Ads - Brand"/>
    <s v="Mobile"/>
    <s v="Europe"/>
    <s v="SQL"/>
    <m/>
    <m/>
    <m/>
    <n v="3"/>
    <x v="10"/>
    <n v="1"/>
    <n v="1"/>
    <n v="0"/>
  </r>
  <r>
    <s v="LD6659"/>
    <d v="2024-11-17T00:00:00"/>
    <x v="0"/>
    <s v="LinkedIn Ads"/>
    <s v="Desktop"/>
    <s v="Asia Pacific"/>
    <s v="MQL"/>
    <m/>
    <m/>
    <m/>
    <n v="2"/>
    <x v="2"/>
    <n v="1"/>
    <n v="0"/>
    <n v="0"/>
  </r>
  <r>
    <s v="LD4017"/>
    <d v="2024-06-17T00:00:00"/>
    <x v="2"/>
    <s v="Direct / Type-in"/>
    <s v="Mobile"/>
    <s v="North America"/>
    <s v="Lead"/>
    <m/>
    <m/>
    <m/>
    <n v="1"/>
    <x v="11"/>
    <n v="0"/>
    <n v="0"/>
    <n v="0"/>
  </r>
  <r>
    <s v="LD1641"/>
    <d v="2024-02-03T00:00:00"/>
    <x v="1"/>
    <s v="Google Ads - Generic"/>
    <s v="Desktop"/>
    <s v="North America"/>
    <s v="Lead"/>
    <m/>
    <m/>
    <m/>
    <n v="1"/>
    <x v="10"/>
    <n v="0"/>
    <n v="0"/>
    <n v="0"/>
  </r>
  <r>
    <s v="LD4415"/>
    <d v="2024-07-04T00:00:00"/>
    <x v="4"/>
    <s v="Partner Program"/>
    <s v="Desktop"/>
    <s v="North America"/>
    <s v="MQL"/>
    <m/>
    <m/>
    <m/>
    <n v="2"/>
    <x v="0"/>
    <n v="1"/>
    <n v="0"/>
    <n v="0"/>
  </r>
  <r>
    <s v="LD1731"/>
    <d v="2024-02-03T00:00:00"/>
    <x v="3"/>
    <s v="Monthly Newsletter"/>
    <s v="Desktop"/>
    <s v="Latin America"/>
    <s v="Lead"/>
    <m/>
    <m/>
    <m/>
    <n v="1"/>
    <x v="10"/>
    <n v="0"/>
    <n v="0"/>
    <n v="0"/>
  </r>
  <r>
    <s v="LD3134"/>
    <d v="2024-05-25T00:00:00"/>
    <x v="1"/>
    <s v="Google Ads - Generic"/>
    <s v="Mobile"/>
    <s v="Europe"/>
    <s v="Lead"/>
    <m/>
    <m/>
    <m/>
    <n v="1"/>
    <x v="4"/>
    <n v="0"/>
    <n v="0"/>
    <n v="0"/>
  </r>
  <r>
    <s v="LD7142"/>
    <d v="2024-12-14T00:00:00"/>
    <x v="5"/>
    <s v="Blog SEO"/>
    <s v="Mobile"/>
    <s v="Asia Pacific"/>
    <s v="MQL"/>
    <m/>
    <m/>
    <m/>
    <n v="2"/>
    <x v="7"/>
    <n v="1"/>
    <n v="0"/>
    <n v="0"/>
  </r>
  <r>
    <s v="LD1326"/>
    <d v="2024-01-19T00:00:00"/>
    <x v="3"/>
    <s v="Monthly Newsletter"/>
    <s v="Mobile"/>
    <s v="Europe"/>
    <s v="MQL"/>
    <m/>
    <m/>
    <m/>
    <n v="2"/>
    <x v="3"/>
    <n v="1"/>
    <n v="0"/>
    <n v="0"/>
  </r>
  <r>
    <s v="LD1291"/>
    <d v="2024-01-19T00:00:00"/>
    <x v="3"/>
    <s v="Monthly Newsletter"/>
    <s v="Desktop"/>
    <s v="North America"/>
    <s v="Lead"/>
    <m/>
    <m/>
    <m/>
    <n v="1"/>
    <x v="3"/>
    <n v="0"/>
    <n v="0"/>
    <n v="0"/>
  </r>
  <r>
    <s v="LD4553"/>
    <d v="2024-08-20T00:00:00"/>
    <x v="5"/>
    <s v="Landing Page SEO"/>
    <s v="Desktop"/>
    <s v="Asia Pacific"/>
    <s v="SQL"/>
    <m/>
    <m/>
    <m/>
    <n v="3"/>
    <x v="6"/>
    <n v="1"/>
    <n v="1"/>
    <n v="0"/>
  </r>
  <r>
    <s v="LD6784"/>
    <d v="2024-11-22T00:00:00"/>
    <x v="3"/>
    <s v="Promo Blast"/>
    <s v="Desktop"/>
    <s v="Europe"/>
    <s v="Customer"/>
    <n v="66"/>
    <s v="Basic"/>
    <n v="885.7"/>
    <n v="4"/>
    <x v="2"/>
    <n v="1"/>
    <n v="1"/>
    <n v="1"/>
  </r>
  <r>
    <s v="LD2437"/>
    <d v="2024-03-05T00:00:00"/>
    <x v="2"/>
    <s v="Direct / Type-in"/>
    <s v="Desktop"/>
    <s v="North America"/>
    <s v="Lead"/>
    <m/>
    <m/>
    <m/>
    <n v="1"/>
    <x v="8"/>
    <n v="0"/>
    <n v="0"/>
    <n v="0"/>
  </r>
  <r>
    <s v="LD4880"/>
    <d v="2024-08-10T00:00:00"/>
    <x v="4"/>
    <s v="Affiliate Program"/>
    <s v="Mobile"/>
    <s v="Asia Pacific"/>
    <s v="MQL"/>
    <m/>
    <m/>
    <m/>
    <n v="2"/>
    <x v="6"/>
    <n v="1"/>
    <n v="0"/>
    <n v="0"/>
  </r>
  <r>
    <s v="LD7598"/>
    <d v="2024-12-18T00:00:00"/>
    <x v="3"/>
    <s v="Monthly Newsletter"/>
    <s v="Mobile"/>
    <s v="Asia Pacific"/>
    <s v="SQL"/>
    <m/>
    <m/>
    <m/>
    <n v="3"/>
    <x v="7"/>
    <n v="1"/>
    <n v="1"/>
    <n v="0"/>
  </r>
  <r>
    <s v="LD4314"/>
    <d v="2024-07-04T00:00:00"/>
    <x v="3"/>
    <s v="Monthly Newsletter"/>
    <s v="Desktop"/>
    <s v="North America"/>
    <s v="SQL"/>
    <m/>
    <m/>
    <m/>
    <n v="3"/>
    <x v="0"/>
    <n v="1"/>
    <n v="1"/>
    <n v="0"/>
  </r>
  <r>
    <s v="LD4430"/>
    <d v="2024-07-06T00:00:00"/>
    <x v="4"/>
    <s v="Affiliate Program"/>
    <s v="Tablet"/>
    <s v="Europe"/>
    <s v="MQL"/>
    <m/>
    <m/>
    <m/>
    <n v="2"/>
    <x v="0"/>
    <n v="1"/>
    <n v="0"/>
    <n v="0"/>
  </r>
  <r>
    <s v="LD1865"/>
    <d v="2024-02-18T00:00:00"/>
    <x v="4"/>
    <s v="Partner Program"/>
    <s v="Desktop"/>
    <s v="Asia Pacific"/>
    <s v="SQL"/>
    <m/>
    <m/>
    <m/>
    <n v="3"/>
    <x v="10"/>
    <n v="1"/>
    <n v="1"/>
    <n v="0"/>
  </r>
  <r>
    <s v="LD3464"/>
    <d v="2024-05-12T00:00:00"/>
    <x v="4"/>
    <s v="Affiliate Program"/>
    <s v="Desktop"/>
    <s v="Asia Pacific"/>
    <s v="MQL"/>
    <m/>
    <m/>
    <m/>
    <n v="2"/>
    <x v="4"/>
    <n v="1"/>
    <n v="0"/>
    <n v="0"/>
  </r>
  <r>
    <s v="LD6742"/>
    <d v="2024-11-05T00:00:00"/>
    <x v="3"/>
    <s v="Monthly Newsletter"/>
    <s v="Desktop"/>
    <s v="Europe"/>
    <s v="SQL"/>
    <m/>
    <m/>
    <m/>
    <n v="3"/>
    <x v="2"/>
    <n v="1"/>
    <n v="1"/>
    <n v="0"/>
  </r>
  <r>
    <s v="LD2386"/>
    <d v="2024-03-28T00:00:00"/>
    <x v="4"/>
    <s v="Affiliate Program"/>
    <s v="Desktop"/>
    <s v="Europe"/>
    <s v="SQL"/>
    <m/>
    <m/>
    <m/>
    <n v="3"/>
    <x v="8"/>
    <n v="1"/>
    <n v="1"/>
    <n v="0"/>
  </r>
  <r>
    <s v="LD5422"/>
    <d v="2024-09-20T00:00:00"/>
    <x v="3"/>
    <s v="Monthly Newsletter"/>
    <s v="Desktop"/>
    <s v="Asia Pacific"/>
    <s v="SQL"/>
    <m/>
    <m/>
    <m/>
    <n v="3"/>
    <x v="9"/>
    <n v="1"/>
    <n v="1"/>
    <n v="0"/>
  </r>
  <r>
    <s v="LD3088"/>
    <d v="2024-05-24T00:00:00"/>
    <x v="5"/>
    <s v="Blog SEO"/>
    <s v="Mobile"/>
    <s v="North America"/>
    <s v="MQL"/>
    <m/>
    <m/>
    <m/>
    <n v="2"/>
    <x v="4"/>
    <n v="1"/>
    <n v="0"/>
    <n v="0"/>
  </r>
  <r>
    <s v="LD4837"/>
    <d v="2024-08-23T00:00:00"/>
    <x v="3"/>
    <s v="Monthly Newsletter"/>
    <s v="Desktop"/>
    <s v="North America"/>
    <s v="Lead"/>
    <m/>
    <m/>
    <m/>
    <n v="1"/>
    <x v="6"/>
    <n v="0"/>
    <n v="0"/>
    <n v="0"/>
  </r>
  <r>
    <s v="LD1372"/>
    <d v="2024-01-08T00:00:00"/>
    <x v="4"/>
    <s v="Affiliate Program"/>
    <s v="Mobile"/>
    <s v="Latin America"/>
    <s v="Customer"/>
    <n v="29"/>
    <s v="Pro"/>
    <n v="2995.2"/>
    <n v="4"/>
    <x v="3"/>
    <n v="1"/>
    <n v="1"/>
    <n v="1"/>
  </r>
  <r>
    <s v="LD5624"/>
    <d v="2024-10-05T00:00:00"/>
    <x v="5"/>
    <s v="Landing Page SEO"/>
    <s v="Mobile"/>
    <s v="Europe"/>
    <s v="Lead"/>
    <m/>
    <m/>
    <m/>
    <n v="1"/>
    <x v="5"/>
    <n v="0"/>
    <n v="0"/>
    <n v="0"/>
  </r>
  <r>
    <s v="LD5454"/>
    <d v="2024-09-03T00:00:00"/>
    <x v="4"/>
    <s v="Affiliate Program"/>
    <s v="Desktop"/>
    <s v="North America"/>
    <s v="MQL"/>
    <m/>
    <m/>
    <m/>
    <n v="2"/>
    <x v="9"/>
    <n v="1"/>
    <n v="0"/>
    <n v="0"/>
  </r>
  <r>
    <s v="LD6905"/>
    <d v="2024-11-11T00:00:00"/>
    <x v="4"/>
    <s v="Affiliate Program"/>
    <s v="Mobile"/>
    <s v="North America"/>
    <s v="MQL"/>
    <m/>
    <m/>
    <m/>
    <n v="2"/>
    <x v="2"/>
    <n v="1"/>
    <n v="0"/>
    <n v="0"/>
  </r>
  <r>
    <s v="LD2331"/>
    <d v="2024-03-01T00:00:00"/>
    <x v="4"/>
    <s v="Partner Program"/>
    <s v="Desktop"/>
    <s v="Latin America"/>
    <s v="Customer"/>
    <n v="42"/>
    <s v="Pro"/>
    <n v="3982.19"/>
    <n v="4"/>
    <x v="8"/>
    <n v="1"/>
    <n v="1"/>
    <n v="1"/>
  </r>
  <r>
    <s v="LD3544"/>
    <d v="2024-05-14T00:00:00"/>
    <x v="2"/>
    <s v="Direct / Type-in"/>
    <s v="Desktop"/>
    <s v="Latin America"/>
    <s v="SQL"/>
    <m/>
    <m/>
    <m/>
    <n v="3"/>
    <x v="4"/>
    <n v="1"/>
    <n v="1"/>
    <n v="0"/>
  </r>
  <r>
    <s v="LD5929"/>
    <d v="2024-10-15T00:00:00"/>
    <x v="0"/>
    <s v="Facebook Ads"/>
    <s v="Mobile"/>
    <s v="North America"/>
    <s v="Lead"/>
    <m/>
    <m/>
    <m/>
    <n v="1"/>
    <x v="5"/>
    <n v="0"/>
    <n v="0"/>
    <n v="0"/>
  </r>
  <r>
    <s v="LD7565"/>
    <d v="2024-12-05T00:00:00"/>
    <x v="3"/>
    <s v="Promo Blast"/>
    <s v="Mobile"/>
    <s v="North America"/>
    <s v="SQL"/>
    <m/>
    <m/>
    <m/>
    <n v="3"/>
    <x v="7"/>
    <n v="1"/>
    <n v="1"/>
    <n v="0"/>
  </r>
  <r>
    <s v="LD4635"/>
    <d v="2024-08-08T00:00:00"/>
    <x v="1"/>
    <s v="Google Ads - Generic"/>
    <s v="Desktop"/>
    <s v="North America"/>
    <s v="MQL"/>
    <m/>
    <m/>
    <m/>
    <n v="2"/>
    <x v="6"/>
    <n v="1"/>
    <n v="0"/>
    <n v="0"/>
  </r>
  <r>
    <s v="LD7143"/>
    <d v="2024-12-28T00:00:00"/>
    <x v="5"/>
    <s v="Blog SEO"/>
    <s v="Desktop"/>
    <s v="Asia Pacific"/>
    <s v="SQL"/>
    <m/>
    <m/>
    <m/>
    <n v="3"/>
    <x v="7"/>
    <n v="1"/>
    <n v="1"/>
    <n v="0"/>
  </r>
  <r>
    <s v="LD2486"/>
    <d v="2024-04-21T00:00:00"/>
    <x v="5"/>
    <s v="Landing Page SEO"/>
    <s v="Desktop"/>
    <s v="Europe"/>
    <s v="Lead"/>
    <m/>
    <m/>
    <m/>
    <n v="1"/>
    <x v="1"/>
    <n v="0"/>
    <n v="0"/>
    <n v="0"/>
  </r>
  <r>
    <s v="LD4791"/>
    <d v="2024-08-07T00:00:00"/>
    <x v="3"/>
    <s v="Monthly Newsletter"/>
    <s v="Desktop"/>
    <s v="Latin America"/>
    <s v="MQL"/>
    <m/>
    <m/>
    <m/>
    <n v="2"/>
    <x v="6"/>
    <n v="1"/>
    <n v="0"/>
    <n v="0"/>
  </r>
  <r>
    <s v="LD4173"/>
    <d v="2024-07-04T00:00:00"/>
    <x v="1"/>
    <s v="Google Ads - Generic"/>
    <s v="Desktop"/>
    <s v="Europe"/>
    <s v="MQL"/>
    <m/>
    <m/>
    <m/>
    <n v="2"/>
    <x v="0"/>
    <n v="1"/>
    <n v="0"/>
    <n v="0"/>
  </r>
  <r>
    <s v="LD2836"/>
    <d v="2024-04-20T00:00:00"/>
    <x v="3"/>
    <s v="Promo Blast"/>
    <s v="Desktop"/>
    <s v="North America"/>
    <s v="Lead"/>
    <m/>
    <m/>
    <m/>
    <n v="1"/>
    <x v="1"/>
    <n v="0"/>
    <n v="0"/>
    <n v="0"/>
  </r>
  <r>
    <s v="LD1123"/>
    <d v="2024-01-04T00:00:00"/>
    <x v="1"/>
    <s v="Google Ads - Generic"/>
    <s v="Mobile"/>
    <s v="Asia Pacific"/>
    <s v="MQL"/>
    <m/>
    <m/>
    <m/>
    <n v="2"/>
    <x v="3"/>
    <n v="1"/>
    <n v="0"/>
    <n v="0"/>
  </r>
  <r>
    <s v="LD1480"/>
    <d v="2024-01-02T00:00:00"/>
    <x v="2"/>
    <s v="Direct / Type-in"/>
    <s v="Tablet"/>
    <s v="North America"/>
    <s v="MQL"/>
    <m/>
    <m/>
    <m/>
    <n v="2"/>
    <x v="3"/>
    <n v="1"/>
    <n v="0"/>
    <n v="0"/>
  </r>
  <r>
    <s v="LD3743"/>
    <d v="2024-06-01T00:00:00"/>
    <x v="0"/>
    <s v="LinkedIn Ads"/>
    <s v="Tablet"/>
    <s v="Asia Pacific"/>
    <s v="SQL"/>
    <m/>
    <m/>
    <m/>
    <n v="3"/>
    <x v="11"/>
    <n v="1"/>
    <n v="1"/>
    <n v="0"/>
  </r>
  <r>
    <s v="LD6572"/>
    <d v="2024-11-02T00:00:00"/>
    <x v="1"/>
    <s v="Google Ads - Brand"/>
    <s v="Desktop"/>
    <s v="North America"/>
    <s v="SQL"/>
    <m/>
    <m/>
    <m/>
    <n v="3"/>
    <x v="2"/>
    <n v="1"/>
    <n v="1"/>
    <n v="0"/>
  </r>
  <r>
    <s v="LD2587"/>
    <d v="2024-04-03T00:00:00"/>
    <x v="1"/>
    <s v="Google Ads - Brand"/>
    <s v="Desktop"/>
    <s v="Europe"/>
    <s v="Lead"/>
    <m/>
    <m/>
    <m/>
    <n v="1"/>
    <x v="1"/>
    <n v="0"/>
    <n v="0"/>
    <n v="0"/>
  </r>
  <r>
    <s v="LD3264"/>
    <d v="2024-05-19T00:00:00"/>
    <x v="0"/>
    <s v="LinkedIn Ads"/>
    <s v="Desktop"/>
    <s v="North America"/>
    <s v="SQL"/>
    <m/>
    <m/>
    <m/>
    <n v="3"/>
    <x v="4"/>
    <n v="1"/>
    <n v="1"/>
    <n v="0"/>
  </r>
  <r>
    <s v="LD5405"/>
    <d v="2024-09-04T00:00:00"/>
    <x v="3"/>
    <s v="Promo Blast"/>
    <s v="Desktop"/>
    <s v="North America"/>
    <s v="SQL"/>
    <m/>
    <m/>
    <m/>
    <n v="3"/>
    <x v="9"/>
    <n v="1"/>
    <n v="1"/>
    <n v="0"/>
  </r>
  <r>
    <s v="LD1941"/>
    <d v="2024-02-23T00:00:00"/>
    <x v="2"/>
    <s v="Direct / Type-in"/>
    <s v="Tablet"/>
    <s v="Asia Pacific"/>
    <s v="Lead"/>
    <m/>
    <m/>
    <m/>
    <n v="1"/>
    <x v="10"/>
    <n v="0"/>
    <n v="0"/>
    <n v="0"/>
  </r>
  <r>
    <s v="LD5961"/>
    <d v="2024-10-20T00:00:00"/>
    <x v="3"/>
    <s v="Monthly Newsletter"/>
    <s v="Mobile"/>
    <s v="Asia Pacific"/>
    <s v="MQL"/>
    <m/>
    <m/>
    <m/>
    <n v="2"/>
    <x v="5"/>
    <n v="1"/>
    <n v="0"/>
    <n v="0"/>
  </r>
  <r>
    <s v="LD1440"/>
    <d v="2024-01-02T00:00:00"/>
    <x v="2"/>
    <s v="Direct / Type-in"/>
    <s v="Tablet"/>
    <s v="Europe"/>
    <s v="SQL"/>
    <m/>
    <m/>
    <m/>
    <n v="3"/>
    <x v="3"/>
    <n v="1"/>
    <n v="1"/>
    <n v="0"/>
  </r>
  <r>
    <s v="LD4974"/>
    <d v="2024-08-22T00:00:00"/>
    <x v="2"/>
    <s v="Direct / Type-in"/>
    <s v="Desktop"/>
    <s v="Europe"/>
    <s v="Lead"/>
    <m/>
    <m/>
    <m/>
    <n v="1"/>
    <x v="6"/>
    <n v="0"/>
    <n v="0"/>
    <n v="0"/>
  </r>
  <r>
    <s v="LD6129"/>
    <d v="2024-10-02T00:00:00"/>
    <x v="3"/>
    <s v="Promo Blast"/>
    <s v="Mobile"/>
    <s v="North America"/>
    <s v="SQL"/>
    <m/>
    <m/>
    <m/>
    <n v="3"/>
    <x v="5"/>
    <n v="1"/>
    <n v="1"/>
    <n v="0"/>
  </r>
  <r>
    <s v="LD7128"/>
    <d v="2024-12-19T00:00:00"/>
    <x v="5"/>
    <s v="Landing Page SEO"/>
    <s v="Mobile"/>
    <s v="North America"/>
    <s v="Lead"/>
    <m/>
    <m/>
    <m/>
    <n v="1"/>
    <x v="7"/>
    <n v="0"/>
    <n v="0"/>
    <n v="0"/>
  </r>
  <r>
    <s v="LD5908"/>
    <d v="2024-10-02T00:00:00"/>
    <x v="0"/>
    <s v="Facebook Ads"/>
    <s v="Desktop"/>
    <s v="Asia Pacific"/>
    <s v="Lead"/>
    <m/>
    <m/>
    <m/>
    <n v="1"/>
    <x v="5"/>
    <n v="0"/>
    <n v="0"/>
    <n v="0"/>
  </r>
  <r>
    <s v="LD5451"/>
    <d v="2024-09-07T00:00:00"/>
    <x v="4"/>
    <s v="Affiliate Program"/>
    <s v="Mobile"/>
    <s v="Asia Pacific"/>
    <s v="MQL"/>
    <m/>
    <m/>
    <m/>
    <n v="2"/>
    <x v="9"/>
    <n v="1"/>
    <n v="0"/>
    <n v="0"/>
  </r>
  <r>
    <s v="LD4542"/>
    <d v="2024-08-01T00:00:00"/>
    <x v="5"/>
    <s v="Blog SEO"/>
    <s v="Desktop"/>
    <s v="Asia Pacific"/>
    <s v="Lead"/>
    <m/>
    <m/>
    <m/>
    <n v="1"/>
    <x v="6"/>
    <n v="0"/>
    <n v="0"/>
    <n v="0"/>
  </r>
  <r>
    <s v="LD6498"/>
    <d v="2024-11-27T00:00:00"/>
    <x v="1"/>
    <s v="Google Ads - Generic"/>
    <s v="Mobile"/>
    <s v="Asia Pacific"/>
    <s v="SQL"/>
    <m/>
    <m/>
    <m/>
    <n v="3"/>
    <x v="2"/>
    <n v="1"/>
    <n v="1"/>
    <n v="0"/>
  </r>
  <r>
    <s v="LD6738"/>
    <d v="2024-11-11T00:00:00"/>
    <x v="3"/>
    <s v="Monthly Newsletter"/>
    <s v="Desktop"/>
    <s v="Europe"/>
    <s v="MQL"/>
    <m/>
    <m/>
    <m/>
    <n v="2"/>
    <x v="2"/>
    <n v="1"/>
    <n v="0"/>
    <n v="0"/>
  </r>
  <r>
    <s v="LD5457"/>
    <d v="2024-09-13T00:00:00"/>
    <x v="4"/>
    <s v="Affiliate Program"/>
    <s v="Desktop"/>
    <s v="Latin America"/>
    <s v="SQL"/>
    <m/>
    <m/>
    <m/>
    <n v="3"/>
    <x v="9"/>
    <n v="1"/>
    <n v="1"/>
    <n v="0"/>
  </r>
  <r>
    <s v="LD5686"/>
    <d v="2024-10-06T00:00:00"/>
    <x v="5"/>
    <s v="Landing Page SEO"/>
    <s v="Desktop"/>
    <s v="North America"/>
    <s v="Lead"/>
    <m/>
    <m/>
    <m/>
    <n v="1"/>
    <x v="5"/>
    <n v="0"/>
    <n v="0"/>
    <n v="0"/>
  </r>
  <r>
    <s v="LD5690"/>
    <d v="2024-10-21T00:00:00"/>
    <x v="5"/>
    <s v="Blog SEO"/>
    <s v="Mobile"/>
    <s v="North America"/>
    <s v="Lead"/>
    <m/>
    <m/>
    <m/>
    <n v="1"/>
    <x v="5"/>
    <n v="0"/>
    <n v="0"/>
    <n v="0"/>
  </r>
  <r>
    <s v="LD1280"/>
    <d v="2024-01-11T00:00:00"/>
    <x v="3"/>
    <s v="Promo Blast"/>
    <s v="Desktop"/>
    <s v="North America"/>
    <s v="Lead"/>
    <m/>
    <m/>
    <m/>
    <n v="1"/>
    <x v="3"/>
    <n v="0"/>
    <n v="0"/>
    <n v="0"/>
  </r>
  <r>
    <s v="LD2730"/>
    <d v="2024-04-14T00:00:00"/>
    <x v="0"/>
    <s v="Instagram Ads"/>
    <s v="Desktop"/>
    <s v="Europe"/>
    <s v="Lead"/>
    <m/>
    <m/>
    <m/>
    <n v="1"/>
    <x v="1"/>
    <n v="0"/>
    <n v="0"/>
    <n v="0"/>
  </r>
  <r>
    <s v="LD6709"/>
    <d v="2024-11-21T00:00:00"/>
    <x v="3"/>
    <s v="Promo Blast"/>
    <s v="Desktop"/>
    <s v="Europe"/>
    <s v="SQL"/>
    <m/>
    <m/>
    <m/>
    <n v="3"/>
    <x v="2"/>
    <n v="1"/>
    <n v="1"/>
    <n v="0"/>
  </r>
  <r>
    <s v="LD5777"/>
    <d v="2024-10-25T00:00:00"/>
    <x v="1"/>
    <s v="Google Ads - Brand"/>
    <s v="Desktop"/>
    <s v="North America"/>
    <s v="MQL"/>
    <m/>
    <m/>
    <m/>
    <n v="2"/>
    <x v="5"/>
    <n v="1"/>
    <n v="0"/>
    <n v="0"/>
  </r>
  <r>
    <s v="LD6858"/>
    <d v="2024-11-22T00:00:00"/>
    <x v="3"/>
    <s v="Promo Blast"/>
    <s v="Tablet"/>
    <s v="North America"/>
    <s v="Lead"/>
    <m/>
    <m/>
    <m/>
    <n v="1"/>
    <x v="2"/>
    <n v="0"/>
    <n v="0"/>
    <n v="0"/>
  </r>
  <r>
    <s v="LD4681"/>
    <d v="2024-08-20T00:00:00"/>
    <x v="0"/>
    <s v="LinkedIn Ads"/>
    <s v="Mobile"/>
    <s v="North America"/>
    <s v="Lead"/>
    <m/>
    <m/>
    <m/>
    <n v="1"/>
    <x v="6"/>
    <n v="0"/>
    <n v="0"/>
    <n v="0"/>
  </r>
  <r>
    <s v="LD2102"/>
    <d v="2024-03-10T00:00:00"/>
    <x v="1"/>
    <s v="Google Ads - Generic"/>
    <s v="Mobile"/>
    <s v="Europe"/>
    <s v="MQL"/>
    <m/>
    <m/>
    <m/>
    <n v="2"/>
    <x v="8"/>
    <n v="1"/>
    <n v="0"/>
    <n v="0"/>
  </r>
  <r>
    <s v="LD4186"/>
    <d v="2024-07-27T00:00:00"/>
    <x v="1"/>
    <s v="Google Ads - Brand"/>
    <s v="Mobile"/>
    <s v="Europe"/>
    <s v="SQL"/>
    <m/>
    <m/>
    <m/>
    <n v="3"/>
    <x v="0"/>
    <n v="1"/>
    <n v="1"/>
    <n v="0"/>
  </r>
  <r>
    <s v="LD5417"/>
    <d v="2024-09-15T00:00:00"/>
    <x v="3"/>
    <s v="Monthly Newsletter"/>
    <s v="Mobile"/>
    <s v="North America"/>
    <s v="Lead"/>
    <m/>
    <m/>
    <m/>
    <n v="1"/>
    <x v="9"/>
    <n v="0"/>
    <n v="0"/>
    <n v="0"/>
  </r>
  <r>
    <s v="LD4474"/>
    <d v="2024-07-25T00:00:00"/>
    <x v="2"/>
    <s v="Direct / Type-in"/>
    <s v="Desktop"/>
    <s v="North America"/>
    <s v="Customer"/>
    <n v="39"/>
    <s v="Basic"/>
    <n v="1317"/>
    <n v="4"/>
    <x v="0"/>
    <n v="1"/>
    <n v="1"/>
    <n v="1"/>
  </r>
  <r>
    <s v="LD1578"/>
    <d v="2024-02-28T00:00:00"/>
    <x v="1"/>
    <s v="Google Ads - Generic"/>
    <s v="Mobile"/>
    <s v="North America"/>
    <s v="MQL"/>
    <m/>
    <m/>
    <m/>
    <n v="2"/>
    <x v="10"/>
    <n v="1"/>
    <n v="0"/>
    <n v="0"/>
  </r>
  <r>
    <s v="LD1060"/>
    <d v="2024-01-26T00:00:00"/>
    <x v="5"/>
    <s v="Blog SEO"/>
    <s v="Desktop"/>
    <s v="Asia Pacific"/>
    <s v="MQL"/>
    <m/>
    <m/>
    <m/>
    <n v="2"/>
    <x v="3"/>
    <n v="1"/>
    <n v="0"/>
    <n v="0"/>
  </r>
  <r>
    <s v="LD6013"/>
    <d v="2024-10-22T00:00:00"/>
    <x v="3"/>
    <s v="Promo Blast"/>
    <s v="Desktop"/>
    <s v="North America"/>
    <s v="Lead"/>
    <m/>
    <m/>
    <m/>
    <n v="1"/>
    <x v="5"/>
    <n v="0"/>
    <n v="0"/>
    <n v="0"/>
  </r>
  <r>
    <s v="LD1788"/>
    <d v="2024-02-25T00:00:00"/>
    <x v="3"/>
    <s v="Promo Blast"/>
    <s v="Mobile"/>
    <s v="Europe"/>
    <s v="SQL"/>
    <m/>
    <m/>
    <m/>
    <n v="3"/>
    <x v="10"/>
    <n v="1"/>
    <n v="1"/>
    <n v="0"/>
  </r>
  <r>
    <s v="LD4806"/>
    <d v="2024-08-13T00:00:00"/>
    <x v="3"/>
    <s v="Promo Blast"/>
    <s v="Desktop"/>
    <s v="Europe"/>
    <s v="MQL"/>
    <m/>
    <m/>
    <m/>
    <n v="2"/>
    <x v="6"/>
    <n v="1"/>
    <n v="0"/>
    <n v="0"/>
  </r>
  <r>
    <s v="LD5311"/>
    <d v="2024-09-12T00:00:00"/>
    <x v="3"/>
    <s v="Monthly Newsletter"/>
    <s v="Desktop"/>
    <s v="Asia Pacific"/>
    <s v="SQL"/>
    <m/>
    <m/>
    <m/>
    <n v="3"/>
    <x v="9"/>
    <n v="1"/>
    <n v="1"/>
    <n v="0"/>
  </r>
  <r>
    <s v="LD3570"/>
    <d v="2024-06-14T00:00:00"/>
    <x v="5"/>
    <s v="Blog SEO"/>
    <s v="Mobile"/>
    <s v="Europe"/>
    <s v="Lead"/>
    <m/>
    <m/>
    <m/>
    <n v="1"/>
    <x v="11"/>
    <n v="0"/>
    <n v="0"/>
    <n v="0"/>
  </r>
  <r>
    <s v="LD4888"/>
    <d v="2024-08-05T00:00:00"/>
    <x v="4"/>
    <s v="Partner Program"/>
    <s v="Mobile"/>
    <s v="North America"/>
    <s v="Lead"/>
    <m/>
    <m/>
    <m/>
    <n v="1"/>
    <x v="6"/>
    <n v="0"/>
    <n v="0"/>
    <n v="0"/>
  </r>
  <r>
    <s v="LD4353"/>
    <d v="2024-07-26T00:00:00"/>
    <x v="3"/>
    <s v="Monthly Newsletter"/>
    <s v="Mobile"/>
    <s v="North America"/>
    <s v="Lead"/>
    <m/>
    <m/>
    <m/>
    <n v="1"/>
    <x v="0"/>
    <n v="0"/>
    <n v="0"/>
    <n v="0"/>
  </r>
  <r>
    <s v="LD2663"/>
    <d v="2024-04-05T00:00:00"/>
    <x v="1"/>
    <s v="Google Ads - Generic"/>
    <s v="Desktop"/>
    <s v="Asia Pacific"/>
    <s v="Lead"/>
    <m/>
    <m/>
    <m/>
    <n v="1"/>
    <x v="1"/>
    <n v="0"/>
    <n v="0"/>
    <n v="0"/>
  </r>
  <r>
    <s v="LD6889"/>
    <d v="2024-11-13T00:00:00"/>
    <x v="3"/>
    <s v="Monthly Newsletter"/>
    <s v="Tablet"/>
    <s v="North America"/>
    <s v="MQL"/>
    <m/>
    <m/>
    <m/>
    <n v="2"/>
    <x v="2"/>
    <n v="1"/>
    <n v="0"/>
    <n v="0"/>
  </r>
  <r>
    <s v="LD7223"/>
    <d v="2024-12-26T00:00:00"/>
    <x v="1"/>
    <s v="Google Ads - Generic"/>
    <s v="Desktop"/>
    <s v="North America"/>
    <s v="SQL"/>
    <m/>
    <m/>
    <m/>
    <n v="3"/>
    <x v="7"/>
    <n v="1"/>
    <n v="1"/>
    <n v="0"/>
  </r>
  <r>
    <s v="LD4879"/>
    <d v="2024-08-28T00:00:00"/>
    <x v="4"/>
    <s v="Partner Program"/>
    <s v="Mobile"/>
    <s v="Asia Pacific"/>
    <s v="MQL"/>
    <m/>
    <m/>
    <m/>
    <n v="2"/>
    <x v="6"/>
    <n v="1"/>
    <n v="0"/>
    <n v="0"/>
  </r>
  <r>
    <s v="LD6996"/>
    <d v="2024-11-25T00:00:00"/>
    <x v="4"/>
    <s v="Affiliate Program"/>
    <s v="Tablet"/>
    <s v="North America"/>
    <s v="MQL"/>
    <m/>
    <m/>
    <m/>
    <n v="2"/>
    <x v="2"/>
    <n v="1"/>
    <n v="0"/>
    <n v="0"/>
  </r>
  <r>
    <s v="LD4979"/>
    <d v="2024-08-06T00:00:00"/>
    <x v="2"/>
    <s v="Direct / Type-in"/>
    <s v="Mobile"/>
    <s v="North America"/>
    <s v="Lead"/>
    <m/>
    <m/>
    <m/>
    <n v="1"/>
    <x v="6"/>
    <n v="0"/>
    <n v="0"/>
    <n v="0"/>
  </r>
  <r>
    <s v="LD4533"/>
    <d v="2024-08-25T00:00:00"/>
    <x v="5"/>
    <s v="Blog SEO"/>
    <s v="Desktop"/>
    <s v="Latin America"/>
    <s v="Lead"/>
    <m/>
    <m/>
    <m/>
    <n v="1"/>
    <x v="6"/>
    <n v="0"/>
    <n v="0"/>
    <n v="0"/>
  </r>
  <r>
    <s v="LD1421"/>
    <d v="2024-01-18T00:00:00"/>
    <x v="4"/>
    <s v="Partner Program"/>
    <s v="Desktop"/>
    <s v="North America"/>
    <s v="Lead"/>
    <m/>
    <m/>
    <m/>
    <n v="1"/>
    <x v="3"/>
    <n v="0"/>
    <n v="0"/>
    <n v="0"/>
  </r>
  <r>
    <s v="LD5731"/>
    <d v="2024-10-21T00:00:00"/>
    <x v="1"/>
    <s v="Google Ads - Brand"/>
    <s v="Mobile"/>
    <s v="Asia Pacific"/>
    <s v="Lead"/>
    <m/>
    <m/>
    <m/>
    <n v="1"/>
    <x v="5"/>
    <n v="0"/>
    <n v="0"/>
    <n v="0"/>
  </r>
  <r>
    <s v="LD1554"/>
    <d v="2024-02-21T00:00:00"/>
    <x v="5"/>
    <s v="Landing Page SEO"/>
    <s v="Desktop"/>
    <s v="North America"/>
    <s v="Customer"/>
    <n v="21"/>
    <s v="Basic"/>
    <n v="897.47"/>
    <n v="4"/>
    <x v="10"/>
    <n v="1"/>
    <n v="1"/>
    <n v="1"/>
  </r>
  <r>
    <s v="LD2481"/>
    <d v="2024-04-08T00:00:00"/>
    <x v="5"/>
    <s v="Blog SEO"/>
    <s v="Desktop"/>
    <s v="Asia Pacific"/>
    <s v="Lead"/>
    <m/>
    <m/>
    <m/>
    <n v="1"/>
    <x v="1"/>
    <n v="0"/>
    <n v="0"/>
    <n v="0"/>
  </r>
  <r>
    <s v="LD6588"/>
    <d v="2024-11-24T00:00:00"/>
    <x v="1"/>
    <s v="Google Ads - Generic"/>
    <s v="Desktop"/>
    <s v="Latin America"/>
    <s v="Lead"/>
    <m/>
    <m/>
    <m/>
    <n v="1"/>
    <x v="2"/>
    <n v="0"/>
    <n v="0"/>
    <n v="0"/>
  </r>
  <r>
    <s v="LD7262"/>
    <d v="2024-12-08T00:00:00"/>
    <x v="1"/>
    <s v="Google Ads - Brand"/>
    <s v="Tablet"/>
    <s v="North America"/>
    <s v="Lead"/>
    <m/>
    <m/>
    <m/>
    <n v="1"/>
    <x v="7"/>
    <n v="0"/>
    <n v="0"/>
    <n v="0"/>
  </r>
  <r>
    <s v="LD2965"/>
    <d v="2024-04-04T00:00:00"/>
    <x v="2"/>
    <s v="Direct / Type-in"/>
    <s v="Desktop"/>
    <s v="North America"/>
    <s v="MQL"/>
    <m/>
    <m/>
    <m/>
    <n v="2"/>
    <x v="1"/>
    <n v="1"/>
    <n v="0"/>
    <n v="0"/>
  </r>
  <r>
    <s v="LD6342"/>
    <d v="2024-11-27T00:00:00"/>
    <x v="5"/>
    <s v="Blog SEO"/>
    <s v="Desktop"/>
    <s v="Asia Pacific"/>
    <s v="MQL"/>
    <m/>
    <m/>
    <m/>
    <n v="2"/>
    <x v="2"/>
    <n v="1"/>
    <n v="0"/>
    <n v="0"/>
  </r>
  <r>
    <s v="LD5094"/>
    <d v="2024-09-16T00:00:00"/>
    <x v="5"/>
    <s v="Blog SEO"/>
    <s v="Desktop"/>
    <s v="Europe"/>
    <s v="Lead"/>
    <m/>
    <m/>
    <m/>
    <n v="1"/>
    <x v="9"/>
    <n v="0"/>
    <n v="0"/>
    <n v="0"/>
  </r>
  <r>
    <s v="LD7289"/>
    <d v="2024-12-03T00:00:00"/>
    <x v="1"/>
    <s v="Google Ads - Generic"/>
    <s v="Desktop"/>
    <s v="Asia Pacific"/>
    <s v="MQL"/>
    <m/>
    <m/>
    <m/>
    <n v="2"/>
    <x v="7"/>
    <n v="1"/>
    <n v="0"/>
    <n v="0"/>
  </r>
  <r>
    <s v="LD3272"/>
    <d v="2024-05-13T00:00:00"/>
    <x v="0"/>
    <s v="Facebook Ads"/>
    <s v="Desktop"/>
    <s v="Europe"/>
    <s v="MQL"/>
    <m/>
    <m/>
    <m/>
    <n v="2"/>
    <x v="4"/>
    <n v="1"/>
    <n v="0"/>
    <n v="0"/>
  </r>
  <r>
    <s v="LD2510"/>
    <d v="2024-04-09T00:00:00"/>
    <x v="5"/>
    <s v="Landing Page SEO"/>
    <s v="Desktop"/>
    <s v="North America"/>
    <s v="MQL"/>
    <m/>
    <m/>
    <m/>
    <n v="2"/>
    <x v="1"/>
    <n v="1"/>
    <n v="0"/>
    <n v="0"/>
  </r>
  <r>
    <s v="LD5997"/>
    <d v="2024-10-09T00:00:00"/>
    <x v="3"/>
    <s v="Monthly Newsletter"/>
    <s v="Mobile"/>
    <s v="Asia Pacific"/>
    <s v="MQL"/>
    <m/>
    <m/>
    <m/>
    <n v="2"/>
    <x v="5"/>
    <n v="1"/>
    <n v="0"/>
    <n v="0"/>
  </r>
  <r>
    <s v="LD2411"/>
    <d v="2024-03-08T00:00:00"/>
    <x v="2"/>
    <s v="Direct / Type-in"/>
    <s v="Desktop"/>
    <s v="Asia Pacific"/>
    <s v="Lead"/>
    <m/>
    <m/>
    <m/>
    <n v="1"/>
    <x v="8"/>
    <n v="0"/>
    <n v="0"/>
    <n v="0"/>
  </r>
  <r>
    <s v="LD1182"/>
    <d v="2024-01-28T00:00:00"/>
    <x v="0"/>
    <s v="LinkedIn Ads"/>
    <s v="Desktop"/>
    <s v="Asia Pacific"/>
    <s v="MQL"/>
    <m/>
    <m/>
    <m/>
    <n v="2"/>
    <x v="3"/>
    <n v="1"/>
    <n v="0"/>
    <n v="0"/>
  </r>
  <r>
    <s v="LD6871"/>
    <d v="2024-11-14T00:00:00"/>
    <x v="3"/>
    <s v="Monthly Newsletter"/>
    <s v="Mobile"/>
    <s v="North America"/>
    <s v="Lead"/>
    <m/>
    <m/>
    <m/>
    <n v="1"/>
    <x v="2"/>
    <n v="0"/>
    <n v="0"/>
    <n v="0"/>
  </r>
  <r>
    <s v="LD1795"/>
    <d v="2024-02-28T00:00:00"/>
    <x v="3"/>
    <s v="Promo Blast"/>
    <s v="Desktop"/>
    <s v="Asia Pacific"/>
    <s v="Lead"/>
    <m/>
    <m/>
    <m/>
    <n v="1"/>
    <x v="10"/>
    <n v="0"/>
    <n v="0"/>
    <n v="0"/>
  </r>
  <r>
    <s v="LD5754"/>
    <d v="2024-10-21T00:00:00"/>
    <x v="1"/>
    <s v="Google Ads - Brand"/>
    <s v="Desktop"/>
    <s v="North America"/>
    <s v="Lead"/>
    <m/>
    <m/>
    <m/>
    <n v="1"/>
    <x v="5"/>
    <n v="0"/>
    <n v="0"/>
    <n v="0"/>
  </r>
  <r>
    <s v="LD5516"/>
    <d v="2024-09-17T00:00:00"/>
    <x v="4"/>
    <s v="Affiliate Program"/>
    <s v="Mobile"/>
    <s v="North America"/>
    <s v="SQL"/>
    <m/>
    <m/>
    <m/>
    <n v="3"/>
    <x v="9"/>
    <n v="1"/>
    <n v="1"/>
    <n v="0"/>
  </r>
  <r>
    <s v="LD2282"/>
    <d v="2024-03-05T00:00:00"/>
    <x v="3"/>
    <s v="Promo Blast"/>
    <s v="Desktop"/>
    <s v="Europe"/>
    <s v="SQL"/>
    <m/>
    <m/>
    <m/>
    <n v="3"/>
    <x v="8"/>
    <n v="1"/>
    <n v="1"/>
    <n v="0"/>
  </r>
  <r>
    <s v="LD3203"/>
    <d v="2024-05-09T00:00:00"/>
    <x v="1"/>
    <s v="Google Ads - Generic"/>
    <s v="Mobile"/>
    <s v="Europe"/>
    <s v="MQL"/>
    <m/>
    <m/>
    <m/>
    <n v="2"/>
    <x v="4"/>
    <n v="1"/>
    <n v="0"/>
    <n v="0"/>
  </r>
  <r>
    <s v="LD4122"/>
    <d v="2024-07-10T00:00:00"/>
    <x v="1"/>
    <s v="Google Ads - Brand"/>
    <s v="Desktop"/>
    <s v="North America"/>
    <s v="Lead"/>
    <m/>
    <m/>
    <m/>
    <n v="1"/>
    <x v="0"/>
    <n v="0"/>
    <n v="0"/>
    <n v="0"/>
  </r>
  <r>
    <s v="LD5906"/>
    <d v="2024-10-15T00:00:00"/>
    <x v="0"/>
    <s v="Instagram Ads"/>
    <s v="Mobile"/>
    <s v="North America"/>
    <s v="Lead"/>
    <m/>
    <m/>
    <m/>
    <n v="1"/>
    <x v="5"/>
    <n v="0"/>
    <n v="0"/>
    <n v="0"/>
  </r>
  <r>
    <s v="LD1531"/>
    <d v="2024-02-26T00:00:00"/>
    <x v="5"/>
    <s v="Landing Page SEO"/>
    <s v="Desktop"/>
    <s v="Asia Pacific"/>
    <s v="Lead"/>
    <m/>
    <m/>
    <m/>
    <n v="1"/>
    <x v="10"/>
    <n v="0"/>
    <n v="0"/>
    <n v="0"/>
  </r>
  <r>
    <s v="LD6253"/>
    <d v="2024-10-11T00:00:00"/>
    <x v="2"/>
    <s v="Direct / Type-in"/>
    <s v="Desktop"/>
    <s v="North America"/>
    <s v="Lead"/>
    <m/>
    <m/>
    <m/>
    <n v="1"/>
    <x v="5"/>
    <n v="0"/>
    <n v="0"/>
    <n v="0"/>
  </r>
  <r>
    <s v="LD1711"/>
    <d v="2024-02-11T00:00:00"/>
    <x v="3"/>
    <s v="Promo Blast"/>
    <s v="Desktop"/>
    <s v="North America"/>
    <s v="MQL"/>
    <m/>
    <m/>
    <m/>
    <n v="2"/>
    <x v="10"/>
    <n v="1"/>
    <n v="0"/>
    <n v="0"/>
  </r>
  <r>
    <s v="LD2213"/>
    <d v="2024-03-09T00:00:00"/>
    <x v="3"/>
    <s v="Promo Blast"/>
    <s v="Mobile"/>
    <s v="North America"/>
    <s v="Lead"/>
    <m/>
    <m/>
    <m/>
    <n v="1"/>
    <x v="8"/>
    <n v="0"/>
    <n v="0"/>
    <n v="0"/>
  </r>
  <r>
    <s v="LD5005"/>
    <d v="2024-08-27T00:00:00"/>
    <x v="2"/>
    <s v="Direct / Type-in"/>
    <s v="Mobile"/>
    <s v="Europe"/>
    <s v="Lead"/>
    <m/>
    <m/>
    <m/>
    <n v="1"/>
    <x v="6"/>
    <n v="0"/>
    <n v="0"/>
    <n v="0"/>
  </r>
  <r>
    <s v="LD6710"/>
    <d v="2024-11-09T00:00:00"/>
    <x v="3"/>
    <s v="Monthly Newsletter"/>
    <s v="Desktop"/>
    <s v="Europe"/>
    <s v="Lead"/>
    <m/>
    <m/>
    <m/>
    <n v="1"/>
    <x v="2"/>
    <n v="0"/>
    <n v="0"/>
    <n v="0"/>
  </r>
  <r>
    <s v="LD6898"/>
    <d v="2024-11-24T00:00:00"/>
    <x v="3"/>
    <s v="Promo Blast"/>
    <s v="Mobile"/>
    <s v="North America"/>
    <s v="Lead"/>
    <m/>
    <m/>
    <m/>
    <n v="1"/>
    <x v="2"/>
    <n v="0"/>
    <n v="0"/>
    <n v="0"/>
  </r>
  <r>
    <s v="LD6641"/>
    <d v="2024-11-03T00:00:00"/>
    <x v="0"/>
    <s v="Instagram Ads"/>
    <s v="Desktop"/>
    <s v="Europe"/>
    <s v="Lead"/>
    <m/>
    <m/>
    <m/>
    <n v="1"/>
    <x v="2"/>
    <n v="0"/>
    <n v="0"/>
    <n v="0"/>
  </r>
  <r>
    <s v="LD1908"/>
    <d v="2024-02-03T00:00:00"/>
    <x v="2"/>
    <s v="Direct / Type-in"/>
    <s v="Mobile"/>
    <s v="Europe"/>
    <s v="Lead"/>
    <m/>
    <m/>
    <m/>
    <n v="1"/>
    <x v="10"/>
    <n v="0"/>
    <n v="0"/>
    <n v="0"/>
  </r>
  <r>
    <s v="LD5716"/>
    <d v="2024-10-08T00:00:00"/>
    <x v="5"/>
    <s v="Landing Page SEO"/>
    <s v="Mobile"/>
    <s v="Asia Pacific"/>
    <s v="Lead"/>
    <m/>
    <m/>
    <m/>
    <n v="1"/>
    <x v="5"/>
    <n v="0"/>
    <n v="0"/>
    <n v="0"/>
  </r>
  <r>
    <s v="LD6811"/>
    <d v="2024-11-20T00:00:00"/>
    <x v="3"/>
    <s v="Promo Blast"/>
    <s v="Desktop"/>
    <s v="Europe"/>
    <s v="SQL"/>
    <m/>
    <m/>
    <m/>
    <n v="3"/>
    <x v="2"/>
    <n v="1"/>
    <n v="1"/>
    <n v="0"/>
  </r>
  <r>
    <s v="LD4363"/>
    <d v="2024-07-16T00:00:00"/>
    <x v="3"/>
    <s v="Promo Blast"/>
    <s v="Mobile"/>
    <s v="Europe"/>
    <s v="Lead"/>
    <m/>
    <m/>
    <m/>
    <n v="1"/>
    <x v="0"/>
    <n v="0"/>
    <n v="0"/>
    <n v="0"/>
  </r>
  <r>
    <s v="LD4613"/>
    <d v="2024-08-04T00:00:00"/>
    <x v="1"/>
    <s v="Google Ads - Generic"/>
    <s v="Mobile"/>
    <s v="Asia Pacific"/>
    <s v="MQL"/>
    <m/>
    <m/>
    <m/>
    <n v="2"/>
    <x v="6"/>
    <n v="1"/>
    <n v="0"/>
    <n v="0"/>
  </r>
  <r>
    <s v="LD6553"/>
    <d v="2024-11-26T00:00:00"/>
    <x v="1"/>
    <s v="Google Ads - Generic"/>
    <s v="Mobile"/>
    <s v="North America"/>
    <s v="MQL"/>
    <m/>
    <m/>
    <m/>
    <n v="2"/>
    <x v="2"/>
    <n v="1"/>
    <n v="0"/>
    <n v="0"/>
  </r>
  <r>
    <s v="LD2600"/>
    <d v="2024-04-12T00:00:00"/>
    <x v="1"/>
    <s v="Google Ads - Brand"/>
    <s v="Mobile"/>
    <s v="North America"/>
    <s v="SQL"/>
    <m/>
    <m/>
    <m/>
    <n v="3"/>
    <x v="1"/>
    <n v="1"/>
    <n v="1"/>
    <n v="0"/>
  </r>
  <r>
    <s v="LD4104"/>
    <d v="2024-07-24T00:00:00"/>
    <x v="5"/>
    <s v="Blog SEO"/>
    <s v="Mobile"/>
    <s v="Europe"/>
    <s v="MQL"/>
    <m/>
    <m/>
    <m/>
    <n v="2"/>
    <x v="0"/>
    <n v="1"/>
    <n v="0"/>
    <n v="0"/>
  </r>
  <r>
    <s v="LD4488"/>
    <d v="2024-07-26T00:00:00"/>
    <x v="2"/>
    <s v="Direct / Type-in"/>
    <s v="Mobile"/>
    <s v="Asia Pacific"/>
    <s v="Lead"/>
    <m/>
    <m/>
    <m/>
    <n v="1"/>
    <x v="0"/>
    <n v="0"/>
    <n v="0"/>
    <n v="0"/>
  </r>
  <r>
    <s v="LD1927"/>
    <d v="2024-02-06T00:00:00"/>
    <x v="2"/>
    <s v="Direct / Type-in"/>
    <s v="Desktop"/>
    <s v="North America"/>
    <s v="SQL"/>
    <m/>
    <m/>
    <m/>
    <n v="3"/>
    <x v="10"/>
    <n v="1"/>
    <n v="1"/>
    <n v="0"/>
  </r>
  <r>
    <s v="LD3830"/>
    <d v="2024-06-25T00:00:00"/>
    <x v="3"/>
    <s v="Promo Blast"/>
    <s v="Mobile"/>
    <s v="North America"/>
    <s v="MQL"/>
    <m/>
    <m/>
    <m/>
    <n v="2"/>
    <x v="11"/>
    <n v="1"/>
    <n v="0"/>
    <n v="0"/>
  </r>
  <r>
    <s v="LD4906"/>
    <d v="2024-08-25T00:00:00"/>
    <x v="4"/>
    <s v="Affiliate Program"/>
    <s v="Desktop"/>
    <s v="Europe"/>
    <s v="MQL"/>
    <m/>
    <m/>
    <m/>
    <n v="2"/>
    <x v="6"/>
    <n v="1"/>
    <n v="0"/>
    <n v="0"/>
  </r>
  <r>
    <s v="LD1016"/>
    <d v="2024-01-12T00:00:00"/>
    <x v="5"/>
    <s v="Blog SEO"/>
    <s v="Tablet"/>
    <s v="North America"/>
    <s v="MQL"/>
    <m/>
    <m/>
    <m/>
    <n v="2"/>
    <x v="3"/>
    <n v="1"/>
    <n v="0"/>
    <n v="0"/>
  </r>
  <r>
    <s v="LD7133"/>
    <d v="2024-12-12T00:00:00"/>
    <x v="5"/>
    <s v="Blog SEO"/>
    <s v="Desktop"/>
    <s v="Latin America"/>
    <s v="Lead"/>
    <m/>
    <m/>
    <m/>
    <n v="1"/>
    <x v="7"/>
    <n v="0"/>
    <n v="0"/>
    <n v="0"/>
  </r>
  <r>
    <s v="LD1316"/>
    <d v="2024-01-22T00:00:00"/>
    <x v="3"/>
    <s v="Promo Blast"/>
    <s v="Desktop"/>
    <s v="North America"/>
    <s v="Customer"/>
    <n v="53"/>
    <s v="Pro"/>
    <n v="2780.78"/>
    <n v="4"/>
    <x v="3"/>
    <n v="1"/>
    <n v="1"/>
    <n v="1"/>
  </r>
  <r>
    <s v="LD3252"/>
    <d v="2024-05-23T00:00:00"/>
    <x v="0"/>
    <s v="LinkedIn Ads"/>
    <s v="Desktop"/>
    <s v="North America"/>
    <s v="Lead"/>
    <m/>
    <m/>
    <m/>
    <n v="1"/>
    <x v="4"/>
    <n v="0"/>
    <n v="0"/>
    <n v="0"/>
  </r>
  <r>
    <s v="LD6678"/>
    <d v="2024-11-12T00:00:00"/>
    <x v="0"/>
    <s v="LinkedIn Ads"/>
    <s v="Tablet"/>
    <s v="Europe"/>
    <s v="MQL"/>
    <m/>
    <m/>
    <m/>
    <n v="2"/>
    <x v="2"/>
    <n v="1"/>
    <n v="0"/>
    <n v="0"/>
  </r>
  <r>
    <s v="LD2162"/>
    <d v="2024-03-24T00:00:00"/>
    <x v="0"/>
    <s v="Instagram Ads"/>
    <s v="Desktop"/>
    <s v="Europe"/>
    <s v="Lead"/>
    <m/>
    <m/>
    <m/>
    <n v="1"/>
    <x v="8"/>
    <n v="0"/>
    <n v="0"/>
    <n v="0"/>
  </r>
  <r>
    <s v="LD5853"/>
    <d v="2024-10-02T00:00:00"/>
    <x v="0"/>
    <s v="Facebook Ads"/>
    <s v="Desktop"/>
    <s v="Europe"/>
    <s v="SQL"/>
    <m/>
    <m/>
    <m/>
    <n v="3"/>
    <x v="5"/>
    <n v="1"/>
    <n v="1"/>
    <n v="0"/>
  </r>
  <r>
    <s v="LD6285"/>
    <d v="2024-10-23T00:00:00"/>
    <x v="2"/>
    <s v="Direct / Type-in"/>
    <s v="Mobile"/>
    <s v="North America"/>
    <s v="Lead"/>
    <m/>
    <m/>
    <m/>
    <n v="1"/>
    <x v="5"/>
    <n v="0"/>
    <n v="0"/>
    <n v="0"/>
  </r>
  <r>
    <s v="LD7317"/>
    <d v="2024-12-26T00:00:00"/>
    <x v="1"/>
    <s v="Google Ads - Brand"/>
    <s v="Desktop"/>
    <s v="Europe"/>
    <s v="Lead"/>
    <m/>
    <m/>
    <m/>
    <n v="1"/>
    <x v="7"/>
    <n v="0"/>
    <n v="0"/>
    <n v="0"/>
  </r>
  <r>
    <s v="LD2224"/>
    <d v="2024-03-26T00:00:00"/>
    <x v="3"/>
    <s v="Monthly Newsletter"/>
    <s v="Desktop"/>
    <s v="North America"/>
    <s v="Lead"/>
    <m/>
    <m/>
    <m/>
    <n v="1"/>
    <x v="8"/>
    <n v="0"/>
    <n v="0"/>
    <n v="0"/>
  </r>
  <r>
    <s v="LD5482"/>
    <d v="2024-09-28T00:00:00"/>
    <x v="4"/>
    <s v="Partner Program"/>
    <s v="Mobile"/>
    <s v="Asia Pacific"/>
    <s v="MQL"/>
    <m/>
    <m/>
    <m/>
    <n v="2"/>
    <x v="9"/>
    <n v="1"/>
    <n v="0"/>
    <n v="0"/>
  </r>
  <r>
    <s v="LD7246"/>
    <d v="2024-12-15T00:00:00"/>
    <x v="1"/>
    <s v="Google Ads - Brand"/>
    <s v="Desktop"/>
    <s v="North America"/>
    <s v="Customer"/>
    <n v="31"/>
    <s v="Basic"/>
    <n v="544.1"/>
    <n v="4"/>
    <x v="7"/>
    <n v="1"/>
    <n v="1"/>
    <n v="1"/>
  </r>
  <r>
    <s v="LD6268"/>
    <d v="2024-10-06T00:00:00"/>
    <x v="2"/>
    <s v="Direct / Type-in"/>
    <s v="Tablet"/>
    <s v="North America"/>
    <s v="MQL"/>
    <m/>
    <m/>
    <m/>
    <n v="2"/>
    <x v="5"/>
    <n v="1"/>
    <n v="0"/>
    <n v="0"/>
  </r>
  <r>
    <s v="LD6640"/>
    <d v="2024-11-08T00:00:00"/>
    <x v="0"/>
    <s v="LinkedIn Ads"/>
    <s v="Mobile"/>
    <s v="Asia Pacific"/>
    <s v="MQL"/>
    <m/>
    <m/>
    <m/>
    <n v="2"/>
    <x v="2"/>
    <n v="1"/>
    <n v="0"/>
    <n v="0"/>
  </r>
  <r>
    <s v="LD7399"/>
    <d v="2024-12-11T00:00:00"/>
    <x v="0"/>
    <s v="Instagram Ads"/>
    <s v="Mobile"/>
    <s v="Asia Pacific"/>
    <s v="Lead"/>
    <m/>
    <m/>
    <m/>
    <n v="1"/>
    <x v="7"/>
    <n v="0"/>
    <n v="0"/>
    <n v="0"/>
  </r>
  <r>
    <s v="LD7362"/>
    <d v="2024-12-21T00:00:00"/>
    <x v="0"/>
    <s v="Instagram Ads"/>
    <s v="Desktop"/>
    <s v="North America"/>
    <s v="Lead"/>
    <m/>
    <m/>
    <m/>
    <n v="1"/>
    <x v="7"/>
    <n v="0"/>
    <n v="0"/>
    <n v="0"/>
  </r>
  <r>
    <s v="LD3869"/>
    <d v="2024-06-03T00:00:00"/>
    <x v="3"/>
    <s v="Monthly Newsletter"/>
    <s v="Desktop"/>
    <s v="Europe"/>
    <s v="MQL"/>
    <m/>
    <m/>
    <m/>
    <n v="2"/>
    <x v="11"/>
    <n v="1"/>
    <n v="0"/>
    <n v="0"/>
  </r>
  <r>
    <s v="LD6857"/>
    <d v="2024-11-06T00:00:00"/>
    <x v="3"/>
    <s v="Promo Blast"/>
    <s v="Mobile"/>
    <s v="North America"/>
    <s v="Customer"/>
    <n v="54"/>
    <s v="Pro"/>
    <n v="1565.35"/>
    <n v="4"/>
    <x v="2"/>
    <n v="1"/>
    <n v="1"/>
    <n v="1"/>
  </r>
  <r>
    <s v="LD6346"/>
    <d v="2024-11-02T00:00:00"/>
    <x v="5"/>
    <s v="Landing Page SEO"/>
    <s v="Mobile"/>
    <s v="Asia Pacific"/>
    <s v="Lead"/>
    <m/>
    <m/>
    <m/>
    <n v="1"/>
    <x v="2"/>
    <n v="0"/>
    <n v="0"/>
    <n v="0"/>
  </r>
  <r>
    <s v="LD3099"/>
    <d v="2024-05-24T00:00:00"/>
    <x v="5"/>
    <s v="Landing Page SEO"/>
    <s v="Mobile"/>
    <s v="North America"/>
    <s v="Lead"/>
    <m/>
    <m/>
    <m/>
    <n v="1"/>
    <x v="4"/>
    <n v="0"/>
    <n v="0"/>
    <n v="0"/>
  </r>
  <r>
    <s v="LD7259"/>
    <d v="2024-12-16T00:00:00"/>
    <x v="1"/>
    <s v="Google Ads - Brand"/>
    <s v="Desktop"/>
    <s v="North America"/>
    <s v="Lead"/>
    <m/>
    <m/>
    <m/>
    <n v="1"/>
    <x v="7"/>
    <n v="0"/>
    <n v="0"/>
    <n v="0"/>
  </r>
  <r>
    <s v="LD6019"/>
    <d v="2024-10-21T00:00:00"/>
    <x v="3"/>
    <s v="Monthly Newsletter"/>
    <s v="Mobile"/>
    <s v="North America"/>
    <s v="MQL"/>
    <m/>
    <m/>
    <m/>
    <n v="2"/>
    <x v="5"/>
    <n v="1"/>
    <n v="0"/>
    <n v="0"/>
  </r>
  <r>
    <s v="LD5379"/>
    <d v="2024-09-27T00:00:00"/>
    <x v="3"/>
    <s v="Promo Blast"/>
    <s v="Desktop"/>
    <s v="North America"/>
    <s v="MQL"/>
    <m/>
    <m/>
    <m/>
    <n v="2"/>
    <x v="9"/>
    <n v="1"/>
    <n v="0"/>
    <n v="0"/>
  </r>
  <r>
    <s v="LD5751"/>
    <d v="2024-10-10T00:00:00"/>
    <x v="1"/>
    <s v="Google Ads - Brand"/>
    <s v="Mobile"/>
    <s v="North America"/>
    <s v="MQL"/>
    <m/>
    <m/>
    <m/>
    <n v="2"/>
    <x v="5"/>
    <n v="1"/>
    <n v="0"/>
    <n v="0"/>
  </r>
  <r>
    <s v="LD3943"/>
    <d v="2024-06-17T00:00:00"/>
    <x v="4"/>
    <s v="Affiliate Program"/>
    <s v="Mobile"/>
    <s v="Asia Pacific"/>
    <s v="Lead"/>
    <m/>
    <m/>
    <m/>
    <n v="1"/>
    <x v="11"/>
    <n v="0"/>
    <n v="0"/>
    <n v="0"/>
  </r>
  <r>
    <s v="LD4492"/>
    <d v="2024-07-01T00:00:00"/>
    <x v="2"/>
    <s v="Direct / Type-in"/>
    <s v="Desktop"/>
    <s v="Europe"/>
    <s v="Lead"/>
    <m/>
    <m/>
    <m/>
    <n v="1"/>
    <x v="0"/>
    <n v="0"/>
    <n v="0"/>
    <n v="0"/>
  </r>
  <r>
    <s v="LD5366"/>
    <d v="2024-09-13T00:00:00"/>
    <x v="3"/>
    <s v="Promo Blast"/>
    <s v="Desktop"/>
    <s v="North America"/>
    <s v="SQL"/>
    <m/>
    <m/>
    <m/>
    <n v="3"/>
    <x v="9"/>
    <n v="1"/>
    <n v="1"/>
    <n v="0"/>
  </r>
  <r>
    <s v="LD2033"/>
    <d v="2024-03-24T00:00:00"/>
    <x v="5"/>
    <s v="Landing Page SEO"/>
    <s v="Mobile"/>
    <s v="North America"/>
    <s v="MQL"/>
    <m/>
    <m/>
    <m/>
    <n v="2"/>
    <x v="8"/>
    <n v="1"/>
    <n v="0"/>
    <n v="0"/>
  </r>
  <r>
    <s v="LD7211"/>
    <d v="2024-12-22T00:00:00"/>
    <x v="1"/>
    <s v="Google Ads - Brand"/>
    <s v="Desktop"/>
    <s v="Asia Pacific"/>
    <s v="MQL"/>
    <m/>
    <m/>
    <m/>
    <n v="2"/>
    <x v="7"/>
    <n v="1"/>
    <n v="0"/>
    <n v="0"/>
  </r>
  <r>
    <s v="LD6953"/>
    <d v="2024-11-03T00:00:00"/>
    <x v="4"/>
    <s v="Affiliate Program"/>
    <s v="Mobile"/>
    <s v="North America"/>
    <s v="Lead"/>
    <m/>
    <m/>
    <m/>
    <n v="1"/>
    <x v="2"/>
    <n v="0"/>
    <n v="0"/>
    <n v="0"/>
  </r>
  <r>
    <s v="LD7499"/>
    <d v="2024-12-26T00:00:00"/>
    <x v="3"/>
    <s v="Monthly Newsletter"/>
    <s v="Desktop"/>
    <s v="Asia Pacific"/>
    <s v="SQL"/>
    <m/>
    <m/>
    <m/>
    <n v="3"/>
    <x v="7"/>
    <n v="1"/>
    <n v="1"/>
    <n v="0"/>
  </r>
  <r>
    <s v="LD7383"/>
    <d v="2024-12-26T00:00:00"/>
    <x v="0"/>
    <s v="Instagram Ads"/>
    <s v="Mobile"/>
    <s v="North America"/>
    <s v="Lead"/>
    <m/>
    <m/>
    <m/>
    <n v="1"/>
    <x v="7"/>
    <n v="0"/>
    <n v="0"/>
    <n v="0"/>
  </r>
  <r>
    <s v="LD3645"/>
    <d v="2024-06-23T00:00:00"/>
    <x v="1"/>
    <s v="Google Ads - Brand"/>
    <s v="Desktop"/>
    <s v="Asia Pacific"/>
    <s v="MQL"/>
    <m/>
    <m/>
    <m/>
    <n v="2"/>
    <x v="11"/>
    <n v="1"/>
    <n v="0"/>
    <n v="0"/>
  </r>
  <r>
    <s v="LD2011"/>
    <d v="2024-03-16T00:00:00"/>
    <x v="5"/>
    <s v="Landing Page SEO"/>
    <s v="Desktop"/>
    <s v="Europe"/>
    <s v="MQL"/>
    <m/>
    <m/>
    <m/>
    <n v="2"/>
    <x v="8"/>
    <n v="1"/>
    <n v="0"/>
    <n v="0"/>
  </r>
  <r>
    <s v="LD2346"/>
    <d v="2024-03-15T00:00:00"/>
    <x v="4"/>
    <s v="Partner Program"/>
    <s v="Mobile"/>
    <s v="Europe"/>
    <s v="Customer"/>
    <n v="47"/>
    <s v="Pro"/>
    <n v="3926.77"/>
    <n v="4"/>
    <x v="8"/>
    <n v="1"/>
    <n v="1"/>
    <n v="1"/>
  </r>
  <r>
    <s v="LD2806"/>
    <d v="2024-04-09T00:00:00"/>
    <x v="3"/>
    <s v="Promo Blast"/>
    <s v="Mobile"/>
    <s v="Europe"/>
    <s v="MQL"/>
    <m/>
    <m/>
    <m/>
    <n v="2"/>
    <x v="1"/>
    <n v="1"/>
    <n v="0"/>
    <n v="0"/>
  </r>
  <r>
    <s v="LD1692"/>
    <d v="2024-02-24T00:00:00"/>
    <x v="0"/>
    <s v="LinkedIn Ads"/>
    <s v="Desktop"/>
    <s v="Europe"/>
    <s v="Customer"/>
    <n v="39"/>
    <s v="Pro"/>
    <n v="3512.37"/>
    <n v="4"/>
    <x v="10"/>
    <n v="1"/>
    <n v="1"/>
    <n v="1"/>
  </r>
  <r>
    <s v="LD1534"/>
    <d v="2024-02-05T00:00:00"/>
    <x v="5"/>
    <s v="Blog SEO"/>
    <s v="Mobile"/>
    <s v="Asia Pacific"/>
    <s v="Lead"/>
    <m/>
    <m/>
    <m/>
    <n v="1"/>
    <x v="10"/>
    <n v="0"/>
    <n v="0"/>
    <n v="0"/>
  </r>
  <r>
    <s v="LD4990"/>
    <d v="2024-08-19T00:00:00"/>
    <x v="2"/>
    <s v="Direct / Type-in"/>
    <s v="Desktop"/>
    <s v="Asia Pacific"/>
    <s v="Lead"/>
    <m/>
    <m/>
    <m/>
    <n v="1"/>
    <x v="6"/>
    <n v="0"/>
    <n v="0"/>
    <n v="0"/>
  </r>
  <r>
    <s v="LD2884"/>
    <d v="2024-04-19T00:00:00"/>
    <x v="4"/>
    <s v="Partner Program"/>
    <s v="Desktop"/>
    <s v="North America"/>
    <s v="MQL"/>
    <m/>
    <m/>
    <m/>
    <n v="2"/>
    <x v="1"/>
    <n v="1"/>
    <n v="0"/>
    <n v="0"/>
  </r>
  <r>
    <s v="LD1653"/>
    <d v="2024-02-15T00:00:00"/>
    <x v="0"/>
    <s v="Instagram Ads"/>
    <s v="Mobile"/>
    <s v="Latin America"/>
    <s v="MQL"/>
    <m/>
    <m/>
    <m/>
    <n v="2"/>
    <x v="10"/>
    <n v="1"/>
    <n v="0"/>
    <n v="0"/>
  </r>
  <r>
    <s v="LD1034"/>
    <d v="2024-01-21T00:00:00"/>
    <x v="5"/>
    <s v="Blog SEO"/>
    <s v="Desktop"/>
    <s v="Europe"/>
    <s v="Lead"/>
    <m/>
    <m/>
    <m/>
    <n v="1"/>
    <x v="3"/>
    <n v="0"/>
    <n v="0"/>
    <n v="0"/>
  </r>
  <r>
    <s v="LD7213"/>
    <d v="2024-12-17T00:00:00"/>
    <x v="1"/>
    <s v="Google Ads - Generic"/>
    <s v="Mobile"/>
    <s v="North America"/>
    <s v="SQL"/>
    <m/>
    <m/>
    <m/>
    <n v="3"/>
    <x v="7"/>
    <n v="1"/>
    <n v="1"/>
    <n v="0"/>
  </r>
  <r>
    <s v="LD1045"/>
    <d v="2024-01-17T00:00:00"/>
    <x v="5"/>
    <s v="Landing Page SEO"/>
    <s v="Tablet"/>
    <s v="North America"/>
    <s v="Lead"/>
    <m/>
    <m/>
    <m/>
    <n v="1"/>
    <x v="3"/>
    <n v="0"/>
    <n v="0"/>
    <n v="0"/>
  </r>
  <r>
    <s v="LD4160"/>
    <d v="2024-07-24T00:00:00"/>
    <x v="1"/>
    <s v="Google Ads - Brand"/>
    <s v="Desktop"/>
    <s v="Europe"/>
    <s v="Lead"/>
    <m/>
    <m/>
    <m/>
    <n v="1"/>
    <x v="0"/>
    <n v="0"/>
    <n v="0"/>
    <n v="0"/>
  </r>
  <r>
    <s v="LD4743"/>
    <d v="2024-08-03T00:00:00"/>
    <x v="0"/>
    <s v="Instagram Ads"/>
    <s v="Mobile"/>
    <s v="Europe"/>
    <s v="Lead"/>
    <m/>
    <m/>
    <m/>
    <n v="1"/>
    <x v="6"/>
    <n v="0"/>
    <n v="0"/>
    <n v="0"/>
  </r>
  <r>
    <s v="LD1965"/>
    <d v="2024-03-28T00:00:00"/>
    <x v="5"/>
    <s v="Landing Page SEO"/>
    <s v="Mobile"/>
    <s v="Europe"/>
    <s v="Lead"/>
    <m/>
    <m/>
    <m/>
    <n v="1"/>
    <x v="8"/>
    <n v="0"/>
    <n v="0"/>
    <n v="0"/>
  </r>
  <r>
    <s v="LD3174"/>
    <d v="2024-05-13T00:00:00"/>
    <x v="1"/>
    <s v="Google Ads - Generic"/>
    <s v="Tablet"/>
    <s v="Europe"/>
    <s v="MQL"/>
    <m/>
    <m/>
    <m/>
    <n v="2"/>
    <x v="4"/>
    <n v="1"/>
    <n v="0"/>
    <n v="0"/>
  </r>
  <r>
    <s v="LD2619"/>
    <d v="2024-04-05T00:00:00"/>
    <x v="1"/>
    <s v="Google Ads - Generic"/>
    <s v="Desktop"/>
    <s v="North America"/>
    <s v="Lead"/>
    <m/>
    <m/>
    <m/>
    <n v="1"/>
    <x v="1"/>
    <n v="0"/>
    <n v="0"/>
    <n v="0"/>
  </r>
  <r>
    <s v="LD4127"/>
    <d v="2024-07-27T00:00:00"/>
    <x v="1"/>
    <s v="Google Ads - Brand"/>
    <s v="Desktop"/>
    <s v="North America"/>
    <s v="Lead"/>
    <m/>
    <m/>
    <m/>
    <n v="1"/>
    <x v="0"/>
    <n v="0"/>
    <n v="0"/>
    <n v="0"/>
  </r>
  <r>
    <s v="LD3092"/>
    <d v="2024-05-08T00:00:00"/>
    <x v="5"/>
    <s v="Blog SEO"/>
    <s v="Desktop"/>
    <s v="Europe"/>
    <s v="Lead"/>
    <m/>
    <m/>
    <m/>
    <n v="1"/>
    <x v="4"/>
    <n v="0"/>
    <n v="0"/>
    <n v="0"/>
  </r>
  <r>
    <s v="LD4222"/>
    <d v="2024-07-23T00:00:00"/>
    <x v="0"/>
    <s v="Facebook Ads"/>
    <s v="Mobile"/>
    <s v="North America"/>
    <s v="Lead"/>
    <m/>
    <m/>
    <m/>
    <n v="1"/>
    <x v="0"/>
    <n v="0"/>
    <n v="0"/>
    <n v="0"/>
  </r>
  <r>
    <s v="LD6725"/>
    <d v="2024-11-21T00:00:00"/>
    <x v="3"/>
    <s v="Promo Blast"/>
    <s v="Desktop"/>
    <s v="North America"/>
    <s v="Lead"/>
    <m/>
    <m/>
    <m/>
    <n v="1"/>
    <x v="2"/>
    <n v="0"/>
    <n v="0"/>
    <n v="0"/>
  </r>
  <r>
    <s v="LD7025"/>
    <d v="2024-11-06T00:00:00"/>
    <x v="2"/>
    <s v="Direct / Type-in"/>
    <s v="Mobile"/>
    <s v="North America"/>
    <s v="MQL"/>
    <m/>
    <m/>
    <m/>
    <n v="2"/>
    <x v="2"/>
    <n v="1"/>
    <n v="0"/>
    <n v="0"/>
  </r>
  <r>
    <s v="LD2336"/>
    <d v="2024-03-08T00:00:00"/>
    <x v="4"/>
    <s v="Affiliate Program"/>
    <s v="Desktop"/>
    <s v="Europe"/>
    <s v="Lead"/>
    <m/>
    <m/>
    <m/>
    <n v="1"/>
    <x v="8"/>
    <n v="0"/>
    <n v="0"/>
    <n v="0"/>
  </r>
  <r>
    <s v="LD6239"/>
    <d v="2024-10-28T00:00:00"/>
    <x v="2"/>
    <s v="Direct / Type-in"/>
    <s v="Desktop"/>
    <s v="North America"/>
    <s v="Lead"/>
    <m/>
    <m/>
    <m/>
    <n v="1"/>
    <x v="5"/>
    <n v="0"/>
    <n v="0"/>
    <n v="0"/>
  </r>
  <r>
    <s v="LD3139"/>
    <d v="2024-05-19T00:00:00"/>
    <x v="1"/>
    <s v="Google Ads - Generic"/>
    <s v="Desktop"/>
    <s v="Europe"/>
    <s v="MQL"/>
    <m/>
    <m/>
    <m/>
    <n v="2"/>
    <x v="4"/>
    <n v="1"/>
    <n v="0"/>
    <n v="0"/>
  </r>
  <r>
    <s v="LD1027"/>
    <d v="2024-01-14T00:00:00"/>
    <x v="5"/>
    <s v="Blog SEO"/>
    <s v="Mobile"/>
    <s v="Asia Pacific"/>
    <s v="Lead"/>
    <m/>
    <m/>
    <m/>
    <n v="1"/>
    <x v="3"/>
    <n v="0"/>
    <n v="0"/>
    <n v="0"/>
  </r>
  <r>
    <s v="LD4335"/>
    <d v="2024-07-26T00:00:00"/>
    <x v="3"/>
    <s v="Monthly Newsletter"/>
    <s v="Mobile"/>
    <s v="North America"/>
    <s v="MQL"/>
    <m/>
    <m/>
    <m/>
    <n v="2"/>
    <x v="0"/>
    <n v="1"/>
    <n v="0"/>
    <n v="0"/>
  </r>
  <r>
    <s v="LD1064"/>
    <d v="2024-01-27T00:00:00"/>
    <x v="5"/>
    <s v="Landing Page SEO"/>
    <s v="Tablet"/>
    <s v="North America"/>
    <s v="Lead"/>
    <m/>
    <m/>
    <m/>
    <n v="1"/>
    <x v="3"/>
    <n v="0"/>
    <n v="0"/>
    <n v="0"/>
  </r>
  <r>
    <s v="LD2045"/>
    <d v="2024-03-23T00:00:00"/>
    <x v="1"/>
    <s v="Google Ads - Brand"/>
    <s v="Desktop"/>
    <s v="North America"/>
    <s v="Lead"/>
    <m/>
    <m/>
    <m/>
    <n v="1"/>
    <x v="8"/>
    <n v="0"/>
    <n v="0"/>
    <n v="0"/>
  </r>
  <r>
    <s v="LD3482"/>
    <d v="2024-05-20T00:00:00"/>
    <x v="4"/>
    <s v="Partner Program"/>
    <s v="Desktop"/>
    <s v="North America"/>
    <s v="Customer"/>
    <n v="13"/>
    <s v="Basic"/>
    <n v="570.28"/>
    <n v="4"/>
    <x v="4"/>
    <n v="1"/>
    <n v="1"/>
    <n v="1"/>
  </r>
  <r>
    <s v="LD7080"/>
    <d v="2024-11-20T00:00:00"/>
    <x v="2"/>
    <s v="Direct / Type-in"/>
    <s v="Mobile"/>
    <s v="Europe"/>
    <s v="Lead"/>
    <m/>
    <m/>
    <m/>
    <n v="1"/>
    <x v="2"/>
    <n v="0"/>
    <n v="0"/>
    <n v="0"/>
  </r>
  <r>
    <s v="LD1228"/>
    <d v="2024-01-20T00:00:00"/>
    <x v="0"/>
    <s v="Facebook Ads"/>
    <s v="Desktop"/>
    <s v="North America"/>
    <s v="SQL"/>
    <m/>
    <m/>
    <m/>
    <n v="3"/>
    <x v="3"/>
    <n v="1"/>
    <n v="1"/>
    <n v="0"/>
  </r>
  <r>
    <s v="LD3185"/>
    <d v="2024-05-21T00:00:00"/>
    <x v="1"/>
    <s v="Google Ads - Brand"/>
    <s v="Mobile"/>
    <s v="Asia Pacific"/>
    <s v="MQL"/>
    <m/>
    <m/>
    <m/>
    <n v="2"/>
    <x v="4"/>
    <n v="1"/>
    <n v="0"/>
    <n v="0"/>
  </r>
  <r>
    <s v="LD3847"/>
    <d v="2024-06-23T00:00:00"/>
    <x v="3"/>
    <s v="Monthly Newsletter"/>
    <s v="Desktop"/>
    <s v="Asia Pacific"/>
    <s v="MQL"/>
    <m/>
    <m/>
    <m/>
    <n v="2"/>
    <x v="11"/>
    <n v="1"/>
    <n v="0"/>
    <n v="0"/>
  </r>
  <r>
    <s v="LD6574"/>
    <d v="2024-11-16T00:00:00"/>
    <x v="1"/>
    <s v="Google Ads - Brand"/>
    <s v="Mobile"/>
    <s v="North America"/>
    <s v="Lead"/>
    <m/>
    <m/>
    <m/>
    <n v="1"/>
    <x v="2"/>
    <n v="0"/>
    <n v="0"/>
    <n v="0"/>
  </r>
  <r>
    <s v="LD2558"/>
    <d v="2024-04-06T00:00:00"/>
    <x v="5"/>
    <s v="Blog SEO"/>
    <s v="Tablet"/>
    <s v="Latin America"/>
    <s v="Lead"/>
    <m/>
    <m/>
    <m/>
    <n v="1"/>
    <x v="1"/>
    <n v="0"/>
    <n v="0"/>
    <n v="0"/>
  </r>
  <r>
    <s v="LD4210"/>
    <d v="2024-07-22T00:00:00"/>
    <x v="1"/>
    <s v="Google Ads - Generic"/>
    <s v="Mobile"/>
    <s v="North America"/>
    <s v="Lead"/>
    <m/>
    <m/>
    <m/>
    <n v="1"/>
    <x v="0"/>
    <n v="0"/>
    <n v="0"/>
    <n v="0"/>
  </r>
  <r>
    <s v="LD1970"/>
    <d v="2024-03-23T00:00:00"/>
    <x v="5"/>
    <s v="Blog SEO"/>
    <s v="Desktop"/>
    <s v="Europe"/>
    <s v="Lead"/>
    <m/>
    <m/>
    <m/>
    <n v="1"/>
    <x v="8"/>
    <n v="0"/>
    <n v="0"/>
    <n v="0"/>
  </r>
  <r>
    <s v="LD5435"/>
    <d v="2024-09-27T00:00:00"/>
    <x v="3"/>
    <s v="Monthly Newsletter"/>
    <s v="Desktop"/>
    <s v="North America"/>
    <s v="Lead"/>
    <m/>
    <m/>
    <m/>
    <n v="1"/>
    <x v="9"/>
    <n v="0"/>
    <n v="0"/>
    <n v="0"/>
  </r>
  <r>
    <s v="LD2749"/>
    <d v="2024-04-04T00:00:00"/>
    <x v="3"/>
    <s v="Monthly Newsletter"/>
    <s v="Tablet"/>
    <s v="North America"/>
    <s v="MQL"/>
    <m/>
    <m/>
    <m/>
    <n v="2"/>
    <x v="1"/>
    <n v="1"/>
    <n v="0"/>
    <n v="0"/>
  </r>
  <r>
    <s v="LD6245"/>
    <d v="2024-10-06T00:00:00"/>
    <x v="2"/>
    <s v="Direct / Type-in"/>
    <s v="Desktop"/>
    <s v="Europe"/>
    <s v="MQL"/>
    <m/>
    <m/>
    <m/>
    <n v="2"/>
    <x v="5"/>
    <n v="1"/>
    <n v="0"/>
    <n v="0"/>
  </r>
  <r>
    <s v="LD5769"/>
    <d v="2024-10-28T00:00:00"/>
    <x v="1"/>
    <s v="Google Ads - Generic"/>
    <s v="Desktop"/>
    <s v="Asia Pacific"/>
    <s v="MQL"/>
    <m/>
    <m/>
    <m/>
    <n v="2"/>
    <x v="5"/>
    <n v="1"/>
    <n v="0"/>
    <n v="0"/>
  </r>
  <r>
    <s v="LD5291"/>
    <d v="2024-09-14T00:00:00"/>
    <x v="0"/>
    <s v="Instagram Ads"/>
    <s v="Desktop"/>
    <s v="Europe"/>
    <s v="MQL"/>
    <m/>
    <m/>
    <m/>
    <n v="2"/>
    <x v="9"/>
    <n v="1"/>
    <n v="0"/>
    <n v="0"/>
  </r>
  <r>
    <s v="LD3532"/>
    <d v="2024-05-07T00:00:00"/>
    <x v="2"/>
    <s v="Direct / Type-in"/>
    <s v="Tablet"/>
    <s v="North America"/>
    <s v="MQL"/>
    <m/>
    <m/>
    <m/>
    <n v="2"/>
    <x v="4"/>
    <n v="1"/>
    <n v="0"/>
    <n v="0"/>
  </r>
  <r>
    <s v="LD3207"/>
    <d v="2024-05-22T00:00:00"/>
    <x v="1"/>
    <s v="Google Ads - Generic"/>
    <s v="Desktop"/>
    <s v="North America"/>
    <s v="Lead"/>
    <m/>
    <m/>
    <m/>
    <n v="1"/>
    <x v="4"/>
    <n v="0"/>
    <n v="0"/>
    <n v="0"/>
  </r>
  <r>
    <s v="LD4409"/>
    <d v="2024-07-26T00:00:00"/>
    <x v="4"/>
    <s v="Partner Program"/>
    <s v="Desktop"/>
    <s v="Europe"/>
    <s v="SQL"/>
    <m/>
    <m/>
    <m/>
    <n v="3"/>
    <x v="0"/>
    <n v="1"/>
    <n v="1"/>
    <n v="0"/>
  </r>
  <r>
    <s v="LD6701"/>
    <d v="2024-11-19T00:00:00"/>
    <x v="3"/>
    <s v="Promo Blast"/>
    <s v="Desktop"/>
    <s v="Europe"/>
    <s v="SQL"/>
    <m/>
    <m/>
    <m/>
    <n v="3"/>
    <x v="2"/>
    <n v="1"/>
    <n v="1"/>
    <n v="0"/>
  </r>
  <r>
    <s v="LD5305"/>
    <d v="2024-09-02T00:00:00"/>
    <x v="3"/>
    <s v="Promo Blast"/>
    <s v="Mobile"/>
    <s v="Europe"/>
    <s v="Lead"/>
    <m/>
    <m/>
    <m/>
    <n v="1"/>
    <x v="9"/>
    <n v="0"/>
    <n v="0"/>
    <n v="0"/>
  </r>
  <r>
    <s v="LD6814"/>
    <d v="2024-11-03T00:00:00"/>
    <x v="3"/>
    <s v="Monthly Newsletter"/>
    <s v="Desktop"/>
    <s v="Asia Pacific"/>
    <s v="Lead"/>
    <m/>
    <m/>
    <m/>
    <n v="1"/>
    <x v="2"/>
    <n v="0"/>
    <n v="0"/>
    <n v="0"/>
  </r>
  <r>
    <s v="LD2375"/>
    <d v="2024-03-16T00:00:00"/>
    <x v="4"/>
    <s v="Affiliate Program"/>
    <s v="Mobile"/>
    <s v="Europe"/>
    <s v="Lead"/>
    <m/>
    <m/>
    <m/>
    <n v="1"/>
    <x v="8"/>
    <n v="0"/>
    <n v="0"/>
    <n v="0"/>
  </r>
  <r>
    <s v="LD3043"/>
    <d v="2024-05-26T00:00:00"/>
    <x v="5"/>
    <s v="Blog SEO"/>
    <s v="Mobile"/>
    <s v="North America"/>
    <s v="Lead"/>
    <m/>
    <m/>
    <m/>
    <n v="1"/>
    <x v="4"/>
    <n v="0"/>
    <n v="0"/>
    <n v="0"/>
  </r>
  <r>
    <s v="LD1253"/>
    <d v="2024-01-24T00:00:00"/>
    <x v="3"/>
    <s v="Monthly Newsletter"/>
    <s v="Mobile"/>
    <s v="North America"/>
    <s v="Customer"/>
    <n v="34"/>
    <s v="Basic"/>
    <n v="1266.1600000000001"/>
    <n v="4"/>
    <x v="3"/>
    <n v="1"/>
    <n v="1"/>
    <n v="1"/>
  </r>
  <r>
    <s v="LD4551"/>
    <d v="2024-08-26T00:00:00"/>
    <x v="5"/>
    <s v="Blog SEO"/>
    <s v="Desktop"/>
    <s v="North America"/>
    <s v="Lead"/>
    <m/>
    <m/>
    <m/>
    <n v="1"/>
    <x v="6"/>
    <n v="0"/>
    <n v="0"/>
    <n v="0"/>
  </r>
  <r>
    <s v="LD5388"/>
    <d v="2024-09-16T00:00:00"/>
    <x v="3"/>
    <s v="Monthly Newsletter"/>
    <s v="Mobile"/>
    <s v="Europe"/>
    <s v="MQL"/>
    <m/>
    <m/>
    <m/>
    <n v="2"/>
    <x v="9"/>
    <n v="1"/>
    <n v="0"/>
    <n v="0"/>
  </r>
  <r>
    <s v="LD3299"/>
    <d v="2024-05-01T00:00:00"/>
    <x v="3"/>
    <s v="Promo Blast"/>
    <s v="Desktop"/>
    <s v="North America"/>
    <s v="MQL"/>
    <m/>
    <m/>
    <m/>
    <n v="2"/>
    <x v="4"/>
    <n v="1"/>
    <n v="0"/>
    <n v="0"/>
  </r>
  <r>
    <s v="LD6662"/>
    <d v="2024-11-04T00:00:00"/>
    <x v="0"/>
    <s v="LinkedIn Ads"/>
    <s v="Desktop"/>
    <s v="Asia Pacific"/>
    <s v="Lead"/>
    <m/>
    <m/>
    <m/>
    <n v="1"/>
    <x v="2"/>
    <n v="0"/>
    <n v="0"/>
    <n v="0"/>
  </r>
  <r>
    <s v="LD4560"/>
    <d v="2024-08-12T00:00:00"/>
    <x v="5"/>
    <s v="Landing Page SEO"/>
    <s v="Desktop"/>
    <s v="North America"/>
    <s v="SQL"/>
    <m/>
    <m/>
    <m/>
    <n v="3"/>
    <x v="6"/>
    <n v="1"/>
    <n v="1"/>
    <n v="0"/>
  </r>
  <r>
    <s v="LD7509"/>
    <d v="2024-12-24T00:00:00"/>
    <x v="3"/>
    <s v="Monthly Newsletter"/>
    <s v="Desktop"/>
    <s v="Latin America"/>
    <s v="MQL"/>
    <m/>
    <m/>
    <m/>
    <n v="2"/>
    <x v="7"/>
    <n v="1"/>
    <n v="0"/>
    <n v="0"/>
  </r>
  <r>
    <s v="LD6038"/>
    <d v="2024-10-19T00:00:00"/>
    <x v="3"/>
    <s v="Monthly Newsletter"/>
    <s v="Mobile"/>
    <s v="North America"/>
    <s v="MQL"/>
    <m/>
    <m/>
    <m/>
    <n v="2"/>
    <x v="5"/>
    <n v="1"/>
    <n v="0"/>
    <n v="0"/>
  </r>
  <r>
    <s v="LD6150"/>
    <d v="2024-10-20T00:00:00"/>
    <x v="4"/>
    <s v="Affiliate Program"/>
    <s v="Desktop"/>
    <s v="Europe"/>
    <s v="MQL"/>
    <m/>
    <m/>
    <m/>
    <n v="2"/>
    <x v="5"/>
    <n v="1"/>
    <n v="0"/>
    <n v="0"/>
  </r>
  <r>
    <s v="LD5632"/>
    <d v="2024-10-19T00:00:00"/>
    <x v="5"/>
    <s v="Landing Page SEO"/>
    <s v="Desktop"/>
    <s v="Latin America"/>
    <s v="SQL"/>
    <m/>
    <m/>
    <m/>
    <n v="3"/>
    <x v="5"/>
    <n v="1"/>
    <n v="1"/>
    <n v="0"/>
  </r>
  <r>
    <s v="LD7388"/>
    <d v="2024-12-25T00:00:00"/>
    <x v="0"/>
    <s v="Instagram Ads"/>
    <s v="Tablet"/>
    <s v="Asia Pacific"/>
    <s v="Lead"/>
    <m/>
    <m/>
    <m/>
    <n v="1"/>
    <x v="7"/>
    <n v="0"/>
    <n v="0"/>
    <n v="0"/>
  </r>
  <r>
    <s v="LD5995"/>
    <d v="2024-10-18T00:00:00"/>
    <x v="3"/>
    <s v="Promo Blast"/>
    <s v="Mobile"/>
    <s v="North America"/>
    <s v="MQL"/>
    <m/>
    <m/>
    <m/>
    <n v="2"/>
    <x v="5"/>
    <n v="1"/>
    <n v="0"/>
    <n v="0"/>
  </r>
  <r>
    <s v="LD4642"/>
    <d v="2024-08-06T00:00:00"/>
    <x v="1"/>
    <s v="Google Ads - Generic"/>
    <s v="Desktop"/>
    <s v="Europe"/>
    <s v="MQL"/>
    <m/>
    <m/>
    <m/>
    <n v="2"/>
    <x v="6"/>
    <n v="1"/>
    <n v="0"/>
    <n v="0"/>
  </r>
  <r>
    <s v="LD7352"/>
    <d v="2024-12-26T00:00:00"/>
    <x v="0"/>
    <s v="Facebook Ads"/>
    <s v="Desktop"/>
    <s v="North America"/>
    <s v="MQL"/>
    <m/>
    <m/>
    <m/>
    <n v="2"/>
    <x v="7"/>
    <n v="1"/>
    <n v="0"/>
    <n v="0"/>
  </r>
  <r>
    <s v="LD1642"/>
    <d v="2024-02-21T00:00:00"/>
    <x v="1"/>
    <s v="Google Ads - Brand"/>
    <s v="Desktop"/>
    <s v="North America"/>
    <s v="Lead"/>
    <m/>
    <m/>
    <m/>
    <n v="1"/>
    <x v="10"/>
    <n v="0"/>
    <n v="0"/>
    <n v="0"/>
  </r>
  <r>
    <s v="LD5082"/>
    <d v="2024-09-22T00:00:00"/>
    <x v="5"/>
    <s v="Landing Page SEO"/>
    <s v="Mobile"/>
    <s v="North America"/>
    <s v="Customer"/>
    <n v="26"/>
    <s v="Basic"/>
    <n v="908.86"/>
    <n v="4"/>
    <x v="9"/>
    <n v="1"/>
    <n v="1"/>
    <n v="1"/>
  </r>
  <r>
    <s v="LD2353"/>
    <d v="2024-03-19T00:00:00"/>
    <x v="4"/>
    <s v="Partner Program"/>
    <s v="Mobile"/>
    <s v="North America"/>
    <s v="MQL"/>
    <m/>
    <m/>
    <m/>
    <n v="2"/>
    <x v="8"/>
    <n v="1"/>
    <n v="0"/>
    <n v="0"/>
  </r>
  <r>
    <s v="LD1298"/>
    <d v="2024-01-03T00:00:00"/>
    <x v="3"/>
    <s v="Monthly Newsletter"/>
    <s v="Desktop"/>
    <s v="Latin America"/>
    <s v="Lead"/>
    <m/>
    <m/>
    <m/>
    <n v="1"/>
    <x v="3"/>
    <n v="0"/>
    <n v="0"/>
    <n v="0"/>
  </r>
  <r>
    <s v="LD1304"/>
    <d v="2024-01-18T00:00:00"/>
    <x v="3"/>
    <s v="Monthly Newsletter"/>
    <s v="Desktop"/>
    <s v="North America"/>
    <s v="Lead"/>
    <m/>
    <m/>
    <m/>
    <n v="1"/>
    <x v="3"/>
    <n v="0"/>
    <n v="0"/>
    <n v="0"/>
  </r>
  <r>
    <s v="LD3186"/>
    <d v="2024-05-20T00:00:00"/>
    <x v="1"/>
    <s v="Google Ads - Generic"/>
    <s v="Mobile"/>
    <s v="North America"/>
    <s v="Lead"/>
    <m/>
    <m/>
    <m/>
    <n v="1"/>
    <x v="4"/>
    <n v="0"/>
    <n v="0"/>
    <n v="0"/>
  </r>
  <r>
    <s v="LD4078"/>
    <d v="2024-07-24T00:00:00"/>
    <x v="5"/>
    <s v="Blog SEO"/>
    <s v="Desktop"/>
    <s v="North America"/>
    <s v="Lead"/>
    <m/>
    <m/>
    <m/>
    <n v="1"/>
    <x v="0"/>
    <n v="0"/>
    <n v="0"/>
    <n v="0"/>
  </r>
  <r>
    <s v="LD3918"/>
    <d v="2024-06-16T00:00:00"/>
    <x v="4"/>
    <s v="Affiliate Program"/>
    <s v="Desktop"/>
    <s v="Asia Pacific"/>
    <s v="SQL"/>
    <m/>
    <m/>
    <m/>
    <n v="3"/>
    <x v="11"/>
    <n v="1"/>
    <n v="1"/>
    <n v="0"/>
  </r>
  <r>
    <s v="LD2733"/>
    <d v="2024-04-17T00:00:00"/>
    <x v="0"/>
    <s v="Instagram Ads"/>
    <s v="Mobile"/>
    <s v="North America"/>
    <s v="Lead"/>
    <m/>
    <m/>
    <m/>
    <n v="1"/>
    <x v="1"/>
    <n v="0"/>
    <n v="0"/>
    <n v="0"/>
  </r>
  <r>
    <s v="LD5126"/>
    <d v="2024-09-10T00:00:00"/>
    <x v="1"/>
    <s v="Google Ads - Brand"/>
    <s v="Mobile"/>
    <s v="Europe"/>
    <s v="Lead"/>
    <m/>
    <m/>
    <m/>
    <n v="1"/>
    <x v="9"/>
    <n v="0"/>
    <n v="0"/>
    <n v="0"/>
  </r>
  <r>
    <s v="LD1656"/>
    <d v="2024-02-06T00:00:00"/>
    <x v="0"/>
    <s v="LinkedIn Ads"/>
    <s v="Mobile"/>
    <s v="North America"/>
    <s v="Lead"/>
    <m/>
    <m/>
    <m/>
    <n v="1"/>
    <x v="10"/>
    <n v="0"/>
    <n v="0"/>
    <n v="0"/>
  </r>
  <r>
    <s v="LD5865"/>
    <d v="2024-10-08T00:00:00"/>
    <x v="0"/>
    <s v="Facebook Ads"/>
    <s v="Tablet"/>
    <s v="Europe"/>
    <s v="Lead"/>
    <m/>
    <m/>
    <m/>
    <n v="1"/>
    <x v="5"/>
    <n v="0"/>
    <n v="0"/>
    <n v="0"/>
  </r>
  <r>
    <s v="LD4937"/>
    <d v="2024-08-09T00:00:00"/>
    <x v="4"/>
    <s v="Affiliate Program"/>
    <s v="Desktop"/>
    <s v="North America"/>
    <s v="Lead"/>
    <m/>
    <m/>
    <m/>
    <n v="1"/>
    <x v="6"/>
    <n v="0"/>
    <n v="0"/>
    <n v="0"/>
  </r>
  <r>
    <s v="LD4850"/>
    <d v="2024-08-10T00:00:00"/>
    <x v="3"/>
    <s v="Promo Blast"/>
    <s v="Mobile"/>
    <s v="North America"/>
    <s v="Lead"/>
    <m/>
    <m/>
    <m/>
    <n v="1"/>
    <x v="6"/>
    <n v="0"/>
    <n v="0"/>
    <n v="0"/>
  </r>
  <r>
    <s v="LD1241"/>
    <d v="2024-01-10T00:00:00"/>
    <x v="3"/>
    <s v="Promo Blast"/>
    <s v="Mobile"/>
    <s v="North America"/>
    <s v="Customer"/>
    <n v="54"/>
    <s v="Pro"/>
    <n v="1768.56"/>
    <n v="4"/>
    <x v="3"/>
    <n v="1"/>
    <n v="1"/>
    <n v="1"/>
  </r>
  <r>
    <s v="LD1784"/>
    <d v="2024-02-15T00:00:00"/>
    <x v="3"/>
    <s v="Monthly Newsletter"/>
    <s v="Desktop"/>
    <s v="North America"/>
    <s v="Lead"/>
    <m/>
    <m/>
    <m/>
    <n v="1"/>
    <x v="10"/>
    <n v="0"/>
    <n v="0"/>
    <n v="0"/>
  </r>
  <r>
    <s v="LD2019"/>
    <d v="2024-03-27T00:00:00"/>
    <x v="5"/>
    <s v="Landing Page SEO"/>
    <s v="Desktop"/>
    <s v="Latin America"/>
    <s v="Lead"/>
    <m/>
    <m/>
    <m/>
    <n v="1"/>
    <x v="8"/>
    <n v="0"/>
    <n v="0"/>
    <n v="0"/>
  </r>
  <r>
    <s v="LD3754"/>
    <d v="2024-06-04T00:00:00"/>
    <x v="0"/>
    <s v="Instagram Ads"/>
    <s v="Desktop"/>
    <s v="Europe"/>
    <s v="MQL"/>
    <m/>
    <m/>
    <m/>
    <n v="2"/>
    <x v="11"/>
    <n v="1"/>
    <n v="0"/>
    <n v="0"/>
  </r>
  <r>
    <s v="LD1978"/>
    <d v="2024-03-09T00:00:00"/>
    <x v="5"/>
    <s v="Landing Page SEO"/>
    <s v="Desktop"/>
    <s v="North America"/>
    <s v="Lead"/>
    <m/>
    <m/>
    <m/>
    <n v="1"/>
    <x v="8"/>
    <n v="0"/>
    <n v="0"/>
    <n v="0"/>
  </r>
  <r>
    <s v="LD3023"/>
    <d v="2024-05-16T00:00:00"/>
    <x v="5"/>
    <s v="Blog SEO"/>
    <s v="Desktop"/>
    <s v="Latin America"/>
    <s v="SQL"/>
    <m/>
    <m/>
    <m/>
    <n v="3"/>
    <x v="4"/>
    <n v="1"/>
    <n v="1"/>
    <n v="0"/>
  </r>
  <r>
    <s v="LD4007"/>
    <d v="2024-06-09T00:00:00"/>
    <x v="2"/>
    <s v="Direct / Type-in"/>
    <s v="Tablet"/>
    <s v="North America"/>
    <s v="Lead"/>
    <m/>
    <m/>
    <m/>
    <n v="1"/>
    <x v="11"/>
    <n v="0"/>
    <n v="0"/>
    <n v="0"/>
  </r>
  <r>
    <s v="LD5909"/>
    <d v="2024-10-14T00:00:00"/>
    <x v="0"/>
    <s v="LinkedIn Ads"/>
    <s v="Desktop"/>
    <s v="North America"/>
    <s v="SQL"/>
    <m/>
    <m/>
    <m/>
    <n v="3"/>
    <x v="5"/>
    <n v="1"/>
    <n v="1"/>
    <n v="0"/>
  </r>
  <r>
    <s v="LD1258"/>
    <d v="2024-01-15T00:00:00"/>
    <x v="3"/>
    <s v="Promo Blast"/>
    <s v="Mobile"/>
    <s v="Asia Pacific"/>
    <s v="SQL"/>
    <m/>
    <m/>
    <m/>
    <n v="3"/>
    <x v="3"/>
    <n v="1"/>
    <n v="1"/>
    <n v="0"/>
  </r>
  <r>
    <s v="LD1894"/>
    <d v="2024-02-11T00:00:00"/>
    <x v="2"/>
    <s v="Direct / Type-in"/>
    <s v="Desktop"/>
    <s v="North America"/>
    <s v="Lead"/>
    <m/>
    <m/>
    <m/>
    <n v="1"/>
    <x v="10"/>
    <n v="0"/>
    <n v="0"/>
    <n v="0"/>
  </r>
  <r>
    <s v="LD6428"/>
    <d v="2024-11-26T00:00:00"/>
    <x v="5"/>
    <s v="Blog SEO"/>
    <s v="Mobile"/>
    <s v="Europe"/>
    <s v="Lead"/>
    <m/>
    <m/>
    <m/>
    <n v="1"/>
    <x v="2"/>
    <n v="0"/>
    <n v="0"/>
    <n v="0"/>
  </r>
  <r>
    <s v="LD5221"/>
    <d v="2024-09-14T00:00:00"/>
    <x v="1"/>
    <s v="Google Ads - Brand"/>
    <s v="Desktop"/>
    <s v="North America"/>
    <s v="MQL"/>
    <m/>
    <m/>
    <m/>
    <n v="2"/>
    <x v="9"/>
    <n v="1"/>
    <n v="0"/>
    <n v="0"/>
  </r>
  <r>
    <s v="LD5004"/>
    <d v="2024-08-17T00:00:00"/>
    <x v="2"/>
    <s v="Direct / Type-in"/>
    <s v="Mobile"/>
    <s v="Asia Pacific"/>
    <s v="MQL"/>
    <m/>
    <m/>
    <m/>
    <n v="2"/>
    <x v="6"/>
    <n v="1"/>
    <n v="0"/>
    <n v="0"/>
  </r>
  <r>
    <s v="LD7465"/>
    <d v="2024-12-06T00:00:00"/>
    <x v="3"/>
    <s v="Promo Blast"/>
    <s v="Desktop"/>
    <s v="Europe"/>
    <s v="Lead"/>
    <m/>
    <m/>
    <m/>
    <n v="1"/>
    <x v="7"/>
    <n v="0"/>
    <n v="0"/>
    <n v="0"/>
  </r>
  <r>
    <s v="LD2508"/>
    <d v="2024-04-13T00:00:00"/>
    <x v="5"/>
    <s v="Landing Page SEO"/>
    <s v="Desktop"/>
    <s v="Europe"/>
    <s v="MQL"/>
    <m/>
    <m/>
    <m/>
    <n v="2"/>
    <x v="1"/>
    <n v="1"/>
    <n v="0"/>
    <n v="0"/>
  </r>
  <r>
    <s v="LD7455"/>
    <d v="2024-12-05T00:00:00"/>
    <x v="3"/>
    <s v="Promo Blast"/>
    <s v="Desktop"/>
    <s v="North America"/>
    <s v="MQL"/>
    <m/>
    <m/>
    <m/>
    <n v="2"/>
    <x v="7"/>
    <n v="1"/>
    <n v="0"/>
    <n v="0"/>
  </r>
  <r>
    <s v="LD3276"/>
    <d v="2024-05-18T00:00:00"/>
    <x v="0"/>
    <s v="Facebook Ads"/>
    <s v="Desktop"/>
    <s v="North America"/>
    <s v="MQL"/>
    <m/>
    <m/>
    <m/>
    <n v="2"/>
    <x v="4"/>
    <n v="1"/>
    <n v="0"/>
    <n v="0"/>
  </r>
  <r>
    <s v="LD3790"/>
    <d v="2024-06-12T00:00:00"/>
    <x v="0"/>
    <s v="LinkedIn Ads"/>
    <s v="Tablet"/>
    <s v="North America"/>
    <s v="Lead"/>
    <m/>
    <m/>
    <m/>
    <n v="1"/>
    <x v="11"/>
    <n v="0"/>
    <n v="0"/>
    <n v="0"/>
  </r>
  <r>
    <s v="LD6911"/>
    <d v="2024-11-19T00:00:00"/>
    <x v="4"/>
    <s v="Partner Program"/>
    <s v="Desktop"/>
    <s v="Europe"/>
    <s v="SQL"/>
    <m/>
    <m/>
    <m/>
    <n v="3"/>
    <x v="2"/>
    <n v="1"/>
    <n v="1"/>
    <n v="0"/>
  </r>
  <r>
    <s v="LD3209"/>
    <d v="2024-05-12T00:00:00"/>
    <x v="1"/>
    <s v="Google Ads - Generic"/>
    <s v="Mobile"/>
    <s v="Europe"/>
    <s v="MQL"/>
    <m/>
    <m/>
    <m/>
    <n v="2"/>
    <x v="4"/>
    <n v="1"/>
    <n v="0"/>
    <n v="0"/>
  </r>
  <r>
    <s v="LD3081"/>
    <d v="2024-05-22T00:00:00"/>
    <x v="5"/>
    <s v="Landing Page SEO"/>
    <s v="Desktop"/>
    <s v="Asia Pacific"/>
    <s v="MQL"/>
    <m/>
    <m/>
    <m/>
    <n v="2"/>
    <x v="4"/>
    <n v="1"/>
    <n v="0"/>
    <n v="0"/>
  </r>
  <r>
    <s v="LD2917"/>
    <d v="2024-04-22T00:00:00"/>
    <x v="4"/>
    <s v="Partner Program"/>
    <s v="Tablet"/>
    <s v="Europe"/>
    <s v="MQL"/>
    <m/>
    <m/>
    <m/>
    <n v="2"/>
    <x v="1"/>
    <n v="1"/>
    <n v="0"/>
    <n v="0"/>
  </r>
  <r>
    <s v="LD5177"/>
    <d v="2024-09-10T00:00:00"/>
    <x v="1"/>
    <s v="Google Ads - Brand"/>
    <s v="Mobile"/>
    <s v="North America"/>
    <s v="Lead"/>
    <m/>
    <m/>
    <m/>
    <n v="1"/>
    <x v="9"/>
    <n v="0"/>
    <n v="0"/>
    <n v="0"/>
  </r>
  <r>
    <s v="LD4833"/>
    <d v="2024-08-24T00:00:00"/>
    <x v="3"/>
    <s v="Monthly Newsletter"/>
    <s v="Tablet"/>
    <s v="North America"/>
    <s v="Lead"/>
    <m/>
    <m/>
    <m/>
    <n v="1"/>
    <x v="6"/>
    <n v="0"/>
    <n v="0"/>
    <n v="0"/>
  </r>
  <r>
    <s v="LD3771"/>
    <d v="2024-06-25T00:00:00"/>
    <x v="0"/>
    <s v="Facebook Ads"/>
    <s v="Desktop"/>
    <s v="North America"/>
    <s v="MQL"/>
    <m/>
    <m/>
    <m/>
    <n v="2"/>
    <x v="11"/>
    <n v="1"/>
    <n v="0"/>
    <n v="0"/>
  </r>
  <r>
    <s v="LD5833"/>
    <d v="2024-10-09T00:00:00"/>
    <x v="1"/>
    <s v="Google Ads - Generic"/>
    <s v="Desktop"/>
    <s v="North America"/>
    <s v="Lead"/>
    <m/>
    <m/>
    <m/>
    <n v="1"/>
    <x v="5"/>
    <n v="0"/>
    <n v="0"/>
    <n v="0"/>
  </r>
  <r>
    <s v="LD2601"/>
    <d v="2024-04-07T00:00:00"/>
    <x v="1"/>
    <s v="Google Ads - Generic"/>
    <s v="Tablet"/>
    <s v="North America"/>
    <s v="SQL"/>
    <m/>
    <m/>
    <m/>
    <n v="3"/>
    <x v="1"/>
    <n v="1"/>
    <n v="1"/>
    <n v="0"/>
  </r>
  <r>
    <s v="LD3466"/>
    <d v="2024-05-10T00:00:00"/>
    <x v="4"/>
    <s v="Affiliate Program"/>
    <s v="Mobile"/>
    <s v="North America"/>
    <s v="Customer"/>
    <n v="25"/>
    <s v="Pro"/>
    <n v="1639.82"/>
    <n v="4"/>
    <x v="4"/>
    <n v="1"/>
    <n v="1"/>
    <n v="1"/>
  </r>
  <r>
    <s v="LD2546"/>
    <d v="2024-04-08T00:00:00"/>
    <x v="5"/>
    <s v="Blog SEO"/>
    <s v="Mobile"/>
    <s v="Latin America"/>
    <s v="Lead"/>
    <m/>
    <m/>
    <m/>
    <n v="1"/>
    <x v="1"/>
    <n v="0"/>
    <n v="0"/>
    <n v="0"/>
  </r>
  <r>
    <s v="LD6122"/>
    <d v="2024-10-25T00:00:00"/>
    <x v="3"/>
    <s v="Monthly Newsletter"/>
    <s v="Mobile"/>
    <s v="North America"/>
    <s v="SQL"/>
    <m/>
    <m/>
    <m/>
    <n v="3"/>
    <x v="5"/>
    <n v="1"/>
    <n v="1"/>
    <n v="0"/>
  </r>
  <r>
    <s v="LD4786"/>
    <d v="2024-08-01T00:00:00"/>
    <x v="3"/>
    <s v="Promo Blast"/>
    <s v="Mobile"/>
    <s v="North America"/>
    <s v="Customer"/>
    <n v="10"/>
    <s v="Basic"/>
    <n v="1195.46"/>
    <n v="4"/>
    <x v="6"/>
    <n v="1"/>
    <n v="1"/>
    <n v="1"/>
  </r>
  <r>
    <s v="LD2537"/>
    <d v="2024-04-21T00:00:00"/>
    <x v="5"/>
    <s v="Landing Page SEO"/>
    <s v="Mobile"/>
    <s v="North America"/>
    <s v="Lead"/>
    <m/>
    <m/>
    <m/>
    <n v="1"/>
    <x v="1"/>
    <n v="0"/>
    <n v="0"/>
    <n v="0"/>
  </r>
  <r>
    <s v="LD3227"/>
    <d v="2024-05-26T00:00:00"/>
    <x v="0"/>
    <s v="Instagram Ads"/>
    <s v="Mobile"/>
    <s v="Latin America"/>
    <s v="SQL"/>
    <m/>
    <m/>
    <m/>
    <n v="3"/>
    <x v="4"/>
    <n v="1"/>
    <n v="1"/>
    <n v="0"/>
  </r>
  <r>
    <s v="LD7023"/>
    <d v="2024-11-01T00:00:00"/>
    <x v="2"/>
    <s v="Direct / Type-in"/>
    <s v="Mobile"/>
    <s v="North America"/>
    <s v="Lead"/>
    <m/>
    <m/>
    <m/>
    <n v="1"/>
    <x v="2"/>
    <n v="0"/>
    <n v="0"/>
    <n v="0"/>
  </r>
  <r>
    <s v="LD3560"/>
    <d v="2024-05-10T00:00:00"/>
    <x v="2"/>
    <s v="Direct / Type-in"/>
    <s v="Mobile"/>
    <s v="Europe"/>
    <s v="Lead"/>
    <m/>
    <m/>
    <m/>
    <n v="1"/>
    <x v="4"/>
    <n v="0"/>
    <n v="0"/>
    <n v="0"/>
  </r>
  <r>
    <s v="LD2093"/>
    <d v="2024-03-21T00:00:00"/>
    <x v="1"/>
    <s v="Google Ads - Generic"/>
    <s v="Desktop"/>
    <s v="Europe"/>
    <s v="SQL"/>
    <m/>
    <m/>
    <m/>
    <n v="3"/>
    <x v="8"/>
    <n v="1"/>
    <n v="1"/>
    <n v="0"/>
  </r>
  <r>
    <s v="LD7500"/>
    <d v="2024-12-17T00:00:00"/>
    <x v="3"/>
    <s v="Monthly Newsletter"/>
    <s v="Desktop"/>
    <s v="Europe"/>
    <s v="MQL"/>
    <m/>
    <m/>
    <m/>
    <n v="2"/>
    <x v="7"/>
    <n v="1"/>
    <n v="0"/>
    <n v="0"/>
  </r>
  <r>
    <s v="LD1125"/>
    <d v="2024-01-19T00:00:00"/>
    <x v="1"/>
    <s v="Google Ads - Brand"/>
    <s v="Mobile"/>
    <s v="Europe"/>
    <s v="Lead"/>
    <m/>
    <m/>
    <m/>
    <n v="1"/>
    <x v="3"/>
    <n v="0"/>
    <n v="0"/>
    <n v="0"/>
  </r>
  <r>
    <s v="LD7656"/>
    <d v="2024-12-21T00:00:00"/>
    <x v="4"/>
    <s v="Partner Program"/>
    <s v="Desktop"/>
    <s v="North America"/>
    <s v="SQL"/>
    <m/>
    <m/>
    <m/>
    <n v="3"/>
    <x v="7"/>
    <n v="1"/>
    <n v="1"/>
    <n v="0"/>
  </r>
  <r>
    <s v="LD2756"/>
    <d v="2024-04-17T00:00:00"/>
    <x v="3"/>
    <s v="Promo Blast"/>
    <s v="Mobile"/>
    <s v="North America"/>
    <s v="SQL"/>
    <m/>
    <m/>
    <m/>
    <n v="3"/>
    <x v="1"/>
    <n v="1"/>
    <n v="1"/>
    <n v="0"/>
  </r>
  <r>
    <s v="LD5128"/>
    <d v="2024-09-07T00:00:00"/>
    <x v="1"/>
    <s v="Google Ads - Brand"/>
    <s v="Desktop"/>
    <s v="North America"/>
    <s v="Lead"/>
    <m/>
    <m/>
    <m/>
    <n v="1"/>
    <x v="9"/>
    <n v="0"/>
    <n v="0"/>
    <n v="0"/>
  </r>
  <r>
    <s v="LD4516"/>
    <d v="2024-08-04T00:00:00"/>
    <x v="5"/>
    <s v="Blog SEO"/>
    <s v="Desktop"/>
    <s v="Latin America"/>
    <s v="MQL"/>
    <m/>
    <m/>
    <m/>
    <n v="2"/>
    <x v="6"/>
    <n v="1"/>
    <n v="0"/>
    <n v="0"/>
  </r>
  <r>
    <s v="LD4019"/>
    <d v="2024-06-10T00:00:00"/>
    <x v="2"/>
    <s v="Direct / Type-in"/>
    <s v="Desktop"/>
    <s v="North America"/>
    <s v="MQL"/>
    <m/>
    <m/>
    <m/>
    <n v="2"/>
    <x v="11"/>
    <n v="1"/>
    <n v="0"/>
    <n v="0"/>
  </r>
  <r>
    <s v="LD3587"/>
    <d v="2024-06-07T00:00:00"/>
    <x v="5"/>
    <s v="Blog SEO"/>
    <s v="Desktop"/>
    <s v="Asia Pacific"/>
    <s v="MQL"/>
    <m/>
    <m/>
    <m/>
    <n v="2"/>
    <x v="11"/>
    <n v="1"/>
    <n v="0"/>
    <n v="0"/>
  </r>
  <r>
    <s v="LD5530"/>
    <d v="2024-09-14T00:00:00"/>
    <x v="4"/>
    <s v="Partner Program"/>
    <s v="Mobile"/>
    <s v="North America"/>
    <s v="Lead"/>
    <m/>
    <m/>
    <m/>
    <n v="1"/>
    <x v="9"/>
    <n v="0"/>
    <n v="0"/>
    <n v="0"/>
  </r>
  <r>
    <s v="LD3620"/>
    <d v="2024-06-13T00:00:00"/>
    <x v="5"/>
    <s v="Blog SEO"/>
    <s v="Mobile"/>
    <s v="North America"/>
    <s v="MQL"/>
    <m/>
    <m/>
    <m/>
    <n v="2"/>
    <x v="11"/>
    <n v="1"/>
    <n v="0"/>
    <n v="0"/>
  </r>
  <r>
    <s v="LD1599"/>
    <d v="2024-02-13T00:00:00"/>
    <x v="1"/>
    <s v="Google Ads - Generic"/>
    <s v="Desktop"/>
    <s v="Asia Pacific"/>
    <s v="MQL"/>
    <m/>
    <m/>
    <m/>
    <n v="2"/>
    <x v="10"/>
    <n v="1"/>
    <n v="0"/>
    <n v="0"/>
  </r>
  <r>
    <s v="LD1076"/>
    <d v="2024-01-25T00:00:00"/>
    <x v="5"/>
    <s v="Blog SEO"/>
    <s v="Desktop"/>
    <s v="Asia Pacific"/>
    <s v="Lead"/>
    <m/>
    <m/>
    <m/>
    <n v="1"/>
    <x v="3"/>
    <n v="0"/>
    <n v="0"/>
    <n v="0"/>
  </r>
  <r>
    <s v="LD2340"/>
    <d v="2024-03-18T00:00:00"/>
    <x v="4"/>
    <s v="Affiliate Program"/>
    <s v="Desktop"/>
    <s v="North America"/>
    <s v="MQL"/>
    <m/>
    <m/>
    <m/>
    <n v="2"/>
    <x v="8"/>
    <n v="1"/>
    <n v="0"/>
    <n v="0"/>
  </r>
  <r>
    <s v="LD2406"/>
    <d v="2024-03-09T00:00:00"/>
    <x v="2"/>
    <s v="Direct / Type-in"/>
    <s v="Mobile"/>
    <s v="North America"/>
    <s v="Lead"/>
    <m/>
    <m/>
    <m/>
    <n v="1"/>
    <x v="8"/>
    <n v="0"/>
    <n v="0"/>
    <n v="0"/>
  </r>
  <r>
    <s v="LD6941"/>
    <d v="2024-11-04T00:00:00"/>
    <x v="4"/>
    <s v="Partner Program"/>
    <s v="Mobile"/>
    <s v="North America"/>
    <s v="SQL"/>
    <m/>
    <m/>
    <m/>
    <n v="3"/>
    <x v="2"/>
    <n v="1"/>
    <n v="1"/>
    <n v="0"/>
  </r>
  <r>
    <s v="LD3967"/>
    <d v="2024-06-19T00:00:00"/>
    <x v="4"/>
    <s v="Partner Program"/>
    <s v="Desktop"/>
    <s v="North America"/>
    <s v="Lead"/>
    <m/>
    <m/>
    <m/>
    <n v="1"/>
    <x v="11"/>
    <n v="0"/>
    <n v="0"/>
    <n v="0"/>
  </r>
  <r>
    <s v="LD5564"/>
    <d v="2024-09-24T00:00:00"/>
    <x v="2"/>
    <s v="Direct / Type-in"/>
    <s v="Mobile"/>
    <s v="North America"/>
    <s v="MQL"/>
    <m/>
    <m/>
    <m/>
    <n v="2"/>
    <x v="9"/>
    <n v="1"/>
    <n v="0"/>
    <n v="0"/>
  </r>
  <r>
    <s v="LD7124"/>
    <d v="2024-12-11T00:00:00"/>
    <x v="5"/>
    <s v="Landing Page SEO"/>
    <s v="Desktop"/>
    <s v="Asia Pacific"/>
    <s v="Lead"/>
    <m/>
    <m/>
    <m/>
    <n v="1"/>
    <x v="7"/>
    <n v="0"/>
    <n v="0"/>
    <n v="0"/>
  </r>
  <r>
    <s v="LD1150"/>
    <d v="2024-01-14T00:00:00"/>
    <x v="1"/>
    <s v="Google Ads - Generic"/>
    <s v="Tablet"/>
    <s v="Europe"/>
    <s v="Lead"/>
    <m/>
    <m/>
    <m/>
    <n v="1"/>
    <x v="3"/>
    <n v="0"/>
    <n v="0"/>
    <n v="0"/>
  </r>
  <r>
    <s v="LD4893"/>
    <d v="2024-08-05T00:00:00"/>
    <x v="4"/>
    <s v="Partner Program"/>
    <s v="Desktop"/>
    <s v="Europe"/>
    <s v="Lead"/>
    <m/>
    <m/>
    <m/>
    <n v="1"/>
    <x v="6"/>
    <n v="0"/>
    <n v="0"/>
    <n v="0"/>
  </r>
  <r>
    <s v="LD6369"/>
    <d v="2024-11-24T00:00:00"/>
    <x v="5"/>
    <s v="Landing Page SEO"/>
    <s v="Desktop"/>
    <s v="Asia Pacific"/>
    <s v="Lead"/>
    <m/>
    <m/>
    <m/>
    <n v="1"/>
    <x v="2"/>
    <n v="0"/>
    <n v="0"/>
    <n v="0"/>
  </r>
  <r>
    <s v="LD1454"/>
    <d v="2024-01-21T00:00:00"/>
    <x v="2"/>
    <s v="Direct / Type-in"/>
    <s v="Mobile"/>
    <s v="North America"/>
    <s v="Customer"/>
    <n v="57"/>
    <s v="Basic"/>
    <n v="1077.43"/>
    <n v="4"/>
    <x v="3"/>
    <n v="1"/>
    <n v="1"/>
    <n v="1"/>
  </r>
  <r>
    <s v="LD5061"/>
    <d v="2024-09-10T00:00:00"/>
    <x v="5"/>
    <s v="Blog SEO"/>
    <s v="Desktop"/>
    <s v="Asia Pacific"/>
    <s v="Lead"/>
    <m/>
    <m/>
    <m/>
    <n v="1"/>
    <x v="9"/>
    <n v="0"/>
    <n v="0"/>
    <n v="0"/>
  </r>
  <r>
    <s v="LD5425"/>
    <d v="2024-09-05T00:00:00"/>
    <x v="3"/>
    <s v="Monthly Newsletter"/>
    <s v="Desktop"/>
    <s v="Europe"/>
    <s v="MQL"/>
    <m/>
    <m/>
    <m/>
    <n v="2"/>
    <x v="9"/>
    <n v="1"/>
    <n v="0"/>
    <n v="0"/>
  </r>
  <r>
    <s v="LD5079"/>
    <d v="2024-09-03T00:00:00"/>
    <x v="5"/>
    <s v="Landing Page SEO"/>
    <s v="Tablet"/>
    <s v="North America"/>
    <s v="Lead"/>
    <m/>
    <m/>
    <m/>
    <n v="1"/>
    <x v="9"/>
    <n v="0"/>
    <n v="0"/>
    <n v="0"/>
  </r>
  <r>
    <s v="LD1809"/>
    <d v="2024-02-08T00:00:00"/>
    <x v="3"/>
    <s v="Monthly Newsletter"/>
    <s v="Desktop"/>
    <s v="Europe"/>
    <s v="MQL"/>
    <m/>
    <m/>
    <m/>
    <n v="2"/>
    <x v="10"/>
    <n v="1"/>
    <n v="0"/>
    <n v="0"/>
  </r>
  <r>
    <s v="LD6699"/>
    <d v="2024-11-18T00:00:00"/>
    <x v="3"/>
    <s v="Monthly Newsletter"/>
    <s v="Mobile"/>
    <s v="North America"/>
    <s v="Customer"/>
    <n v="58"/>
    <s v="Basic"/>
    <n v="532.98"/>
    <n v="4"/>
    <x v="2"/>
    <n v="1"/>
    <n v="1"/>
    <n v="1"/>
  </r>
  <r>
    <s v="LD4537"/>
    <d v="2024-08-06T00:00:00"/>
    <x v="5"/>
    <s v="Blog SEO"/>
    <s v="Tablet"/>
    <s v="North America"/>
    <s v="Lead"/>
    <m/>
    <m/>
    <m/>
    <n v="1"/>
    <x v="6"/>
    <n v="0"/>
    <n v="0"/>
    <n v="0"/>
  </r>
  <r>
    <s v="LD2120"/>
    <d v="2024-03-17T00:00:00"/>
    <x v="1"/>
    <s v="Google Ads - Brand"/>
    <s v="Desktop"/>
    <s v="North America"/>
    <s v="MQL"/>
    <m/>
    <m/>
    <m/>
    <n v="2"/>
    <x v="8"/>
    <n v="1"/>
    <n v="0"/>
    <n v="0"/>
  </r>
  <r>
    <s v="LD1811"/>
    <d v="2024-02-06T00:00:00"/>
    <x v="3"/>
    <s v="Monthly Newsletter"/>
    <s v="Mobile"/>
    <s v="Europe"/>
    <s v="Customer"/>
    <n v="53"/>
    <s v="Pro"/>
    <n v="4522.8"/>
    <n v="4"/>
    <x v="10"/>
    <n v="1"/>
    <n v="1"/>
    <n v="1"/>
  </r>
  <r>
    <s v="LD2130"/>
    <d v="2024-03-12T00:00:00"/>
    <x v="1"/>
    <s v="Google Ads - Generic"/>
    <s v="Mobile"/>
    <s v="Latin America"/>
    <s v="Lead"/>
    <m/>
    <m/>
    <m/>
    <n v="1"/>
    <x v="8"/>
    <n v="0"/>
    <n v="0"/>
    <n v="0"/>
  </r>
  <r>
    <s v="LD1835"/>
    <d v="2024-02-18T00:00:00"/>
    <x v="4"/>
    <s v="Affiliate Program"/>
    <s v="Desktop"/>
    <s v="Europe"/>
    <s v="MQL"/>
    <m/>
    <m/>
    <m/>
    <n v="2"/>
    <x v="10"/>
    <n v="1"/>
    <n v="0"/>
    <n v="0"/>
  </r>
  <r>
    <s v="LD7670"/>
    <d v="2024-12-25T00:00:00"/>
    <x v="4"/>
    <s v="Affiliate Program"/>
    <s v="Desktop"/>
    <s v="Europe"/>
    <s v="MQL"/>
    <m/>
    <m/>
    <m/>
    <n v="2"/>
    <x v="7"/>
    <n v="1"/>
    <n v="0"/>
    <n v="0"/>
  </r>
  <r>
    <s v="LD6217"/>
    <d v="2024-10-06T00:00:00"/>
    <x v="4"/>
    <s v="Affiliate Program"/>
    <s v="Desktop"/>
    <s v="Latin America"/>
    <s v="Lead"/>
    <m/>
    <m/>
    <m/>
    <n v="1"/>
    <x v="5"/>
    <n v="0"/>
    <n v="0"/>
    <n v="0"/>
  </r>
  <r>
    <s v="LD7489"/>
    <d v="2024-12-15T00:00:00"/>
    <x v="3"/>
    <s v="Promo Blast"/>
    <s v="Mobile"/>
    <s v="North America"/>
    <s v="MQL"/>
    <m/>
    <m/>
    <m/>
    <n v="2"/>
    <x v="7"/>
    <n v="1"/>
    <n v="0"/>
    <n v="0"/>
  </r>
  <r>
    <s v="LD4378"/>
    <d v="2024-07-14T00:00:00"/>
    <x v="4"/>
    <s v="Partner Program"/>
    <s v="Desktop"/>
    <s v="Europe"/>
    <s v="Lead"/>
    <m/>
    <m/>
    <m/>
    <n v="1"/>
    <x v="0"/>
    <n v="0"/>
    <n v="0"/>
    <n v="0"/>
  </r>
  <r>
    <s v="LD2236"/>
    <d v="2024-03-15T00:00:00"/>
    <x v="3"/>
    <s v="Promo Blast"/>
    <s v="Desktop"/>
    <s v="Europe"/>
    <s v="Lead"/>
    <m/>
    <m/>
    <m/>
    <n v="1"/>
    <x v="8"/>
    <n v="0"/>
    <n v="0"/>
    <n v="0"/>
  </r>
  <r>
    <s v="LD2226"/>
    <d v="2024-03-03T00:00:00"/>
    <x v="3"/>
    <s v="Promo Blast"/>
    <s v="Desktop"/>
    <s v="North America"/>
    <s v="Lead"/>
    <m/>
    <m/>
    <m/>
    <n v="1"/>
    <x v="8"/>
    <n v="0"/>
    <n v="0"/>
    <n v="0"/>
  </r>
  <r>
    <s v="LD4128"/>
    <d v="2024-07-09T00:00:00"/>
    <x v="1"/>
    <s v="Google Ads - Brand"/>
    <s v="Mobile"/>
    <s v="Asia Pacific"/>
    <s v="Lead"/>
    <m/>
    <m/>
    <m/>
    <n v="1"/>
    <x v="0"/>
    <n v="0"/>
    <n v="0"/>
    <n v="0"/>
  </r>
  <r>
    <s v="LD5205"/>
    <d v="2024-09-27T00:00:00"/>
    <x v="1"/>
    <s v="Google Ads - Generic"/>
    <s v="Desktop"/>
    <s v="North America"/>
    <s v="Lead"/>
    <m/>
    <m/>
    <m/>
    <n v="1"/>
    <x v="9"/>
    <n v="0"/>
    <n v="0"/>
    <n v="0"/>
  </r>
  <r>
    <s v="LD7623"/>
    <d v="2024-12-06T00:00:00"/>
    <x v="4"/>
    <s v="Affiliate Program"/>
    <s v="Mobile"/>
    <s v="Europe"/>
    <s v="Lead"/>
    <m/>
    <m/>
    <m/>
    <n v="1"/>
    <x v="7"/>
    <n v="0"/>
    <n v="0"/>
    <n v="0"/>
  </r>
  <r>
    <s v="LD4011"/>
    <d v="2024-06-15T00:00:00"/>
    <x v="2"/>
    <s v="Direct / Type-in"/>
    <s v="Tablet"/>
    <s v="North America"/>
    <s v="SQL"/>
    <m/>
    <m/>
    <m/>
    <n v="3"/>
    <x v="11"/>
    <n v="1"/>
    <n v="1"/>
    <n v="0"/>
  </r>
  <r>
    <s v="LD2478"/>
    <d v="2024-03-16T00:00:00"/>
    <x v="2"/>
    <s v="Direct / Type-in"/>
    <s v="Mobile"/>
    <s v="North America"/>
    <s v="SQL"/>
    <m/>
    <m/>
    <m/>
    <n v="3"/>
    <x v="8"/>
    <n v="1"/>
    <n v="1"/>
    <n v="0"/>
  </r>
  <r>
    <s v="LD5752"/>
    <d v="2024-10-22T00:00:00"/>
    <x v="1"/>
    <s v="Google Ads - Brand"/>
    <s v="Mobile"/>
    <s v="North America"/>
    <s v="Lead"/>
    <m/>
    <m/>
    <m/>
    <n v="1"/>
    <x v="5"/>
    <n v="0"/>
    <n v="0"/>
    <n v="0"/>
  </r>
  <r>
    <s v="LD5476"/>
    <d v="2024-09-21T00:00:00"/>
    <x v="4"/>
    <s v="Partner Program"/>
    <s v="Desktop"/>
    <s v="North America"/>
    <s v="SQL"/>
    <m/>
    <m/>
    <m/>
    <n v="3"/>
    <x v="9"/>
    <n v="1"/>
    <n v="1"/>
    <n v="0"/>
  </r>
  <r>
    <s v="LD2028"/>
    <d v="2024-03-21T00:00:00"/>
    <x v="5"/>
    <s v="Blog SEO"/>
    <s v="Desktop"/>
    <s v="North America"/>
    <s v="Lead"/>
    <m/>
    <m/>
    <m/>
    <n v="1"/>
    <x v="8"/>
    <n v="0"/>
    <n v="0"/>
    <n v="0"/>
  </r>
  <r>
    <s v="LD5944"/>
    <d v="2024-10-19T00:00:00"/>
    <x v="0"/>
    <s v="LinkedIn Ads"/>
    <s v="Tablet"/>
    <s v="North America"/>
    <s v="Lead"/>
    <m/>
    <m/>
    <m/>
    <n v="1"/>
    <x v="5"/>
    <n v="0"/>
    <n v="0"/>
    <n v="0"/>
  </r>
  <r>
    <s v="LD3019"/>
    <d v="2024-05-19T00:00:00"/>
    <x v="5"/>
    <s v="Blog SEO"/>
    <s v="Desktop"/>
    <s v="Europe"/>
    <s v="Lead"/>
    <m/>
    <m/>
    <m/>
    <n v="1"/>
    <x v="4"/>
    <n v="0"/>
    <n v="0"/>
    <n v="0"/>
  </r>
  <r>
    <s v="LD1350"/>
    <d v="2024-01-11T00:00:00"/>
    <x v="4"/>
    <s v="Affiliate Program"/>
    <s v="Mobile"/>
    <s v="Europe"/>
    <s v="Customer"/>
    <n v="22"/>
    <s v="Basic"/>
    <n v="659.72"/>
    <n v="4"/>
    <x v="3"/>
    <n v="1"/>
    <n v="1"/>
    <n v="1"/>
  </r>
  <r>
    <s v="LD7160"/>
    <d v="2024-12-12T00:00:00"/>
    <x v="5"/>
    <s v="Blog SEO"/>
    <s v="Desktop"/>
    <s v="Asia Pacific"/>
    <s v="MQL"/>
    <m/>
    <m/>
    <m/>
    <n v="2"/>
    <x v="7"/>
    <n v="1"/>
    <n v="0"/>
    <n v="0"/>
  </r>
  <r>
    <s v="LD1663"/>
    <d v="2024-02-06T00:00:00"/>
    <x v="0"/>
    <s v="LinkedIn Ads"/>
    <s v="Desktop"/>
    <s v="Europe"/>
    <s v="Lead"/>
    <m/>
    <m/>
    <m/>
    <n v="1"/>
    <x v="10"/>
    <n v="0"/>
    <n v="0"/>
    <n v="0"/>
  </r>
  <r>
    <s v="LD1173"/>
    <d v="2024-01-24T00:00:00"/>
    <x v="1"/>
    <s v="Google Ads - Brand"/>
    <s v="Mobile"/>
    <s v="Europe"/>
    <s v="Lead"/>
    <m/>
    <m/>
    <m/>
    <n v="1"/>
    <x v="3"/>
    <n v="0"/>
    <n v="0"/>
    <n v="0"/>
  </r>
  <r>
    <s v="LD5455"/>
    <d v="2024-09-04T00:00:00"/>
    <x v="4"/>
    <s v="Affiliate Program"/>
    <s v="Desktop"/>
    <s v="Europe"/>
    <s v="SQL"/>
    <m/>
    <m/>
    <m/>
    <n v="3"/>
    <x v="9"/>
    <n v="1"/>
    <n v="1"/>
    <n v="0"/>
  </r>
  <r>
    <s v="LD5384"/>
    <d v="2024-09-02T00:00:00"/>
    <x v="3"/>
    <s v="Promo Blast"/>
    <s v="Desktop"/>
    <s v="Europe"/>
    <s v="MQL"/>
    <m/>
    <m/>
    <m/>
    <n v="2"/>
    <x v="9"/>
    <n v="1"/>
    <n v="0"/>
    <n v="0"/>
  </r>
  <r>
    <s v="LD1423"/>
    <d v="2024-01-11T00:00:00"/>
    <x v="2"/>
    <s v="Direct / Type-in"/>
    <s v="Desktop"/>
    <s v="North America"/>
    <s v="MQL"/>
    <m/>
    <m/>
    <m/>
    <n v="2"/>
    <x v="3"/>
    <n v="1"/>
    <n v="0"/>
    <n v="0"/>
  </r>
  <r>
    <s v="LD5919"/>
    <d v="2024-10-07T00:00:00"/>
    <x v="0"/>
    <s v="Instagram Ads"/>
    <s v="Desktop"/>
    <s v="North America"/>
    <s v="Lead"/>
    <m/>
    <m/>
    <m/>
    <n v="1"/>
    <x v="5"/>
    <n v="0"/>
    <n v="0"/>
    <n v="0"/>
  </r>
  <r>
    <s v="LD2544"/>
    <d v="2024-04-23T00:00:00"/>
    <x v="5"/>
    <s v="Blog SEO"/>
    <s v="Desktop"/>
    <s v="Europe"/>
    <s v="Lead"/>
    <m/>
    <m/>
    <m/>
    <n v="1"/>
    <x v="1"/>
    <n v="0"/>
    <n v="0"/>
    <n v="0"/>
  </r>
  <r>
    <s v="LD1882"/>
    <d v="2024-02-24T00:00:00"/>
    <x v="4"/>
    <s v="Affiliate Program"/>
    <s v="Desktop"/>
    <s v="Latin America"/>
    <s v="SQL"/>
    <m/>
    <m/>
    <m/>
    <n v="3"/>
    <x v="10"/>
    <n v="1"/>
    <n v="1"/>
    <n v="0"/>
  </r>
  <r>
    <s v="LD3190"/>
    <d v="2024-05-03T00:00:00"/>
    <x v="1"/>
    <s v="Google Ads - Brand"/>
    <s v="Mobile"/>
    <s v="North America"/>
    <s v="Lead"/>
    <m/>
    <m/>
    <m/>
    <n v="1"/>
    <x v="4"/>
    <n v="0"/>
    <n v="0"/>
    <n v="0"/>
  </r>
  <r>
    <s v="LD2254"/>
    <d v="2024-03-04T00:00:00"/>
    <x v="3"/>
    <s v="Promo Blast"/>
    <s v="Mobile"/>
    <s v="Europe"/>
    <s v="Customer"/>
    <n v="31"/>
    <s v="Basic"/>
    <n v="938.11"/>
    <n v="4"/>
    <x v="8"/>
    <n v="1"/>
    <n v="1"/>
    <n v="1"/>
  </r>
  <r>
    <s v="LD6982"/>
    <d v="2024-11-07T00:00:00"/>
    <x v="4"/>
    <s v="Partner Program"/>
    <s v="Mobile"/>
    <s v="Europe"/>
    <s v="SQL"/>
    <m/>
    <m/>
    <m/>
    <n v="3"/>
    <x v="2"/>
    <n v="1"/>
    <n v="1"/>
    <n v="0"/>
  </r>
  <r>
    <s v="LD6839"/>
    <d v="2024-11-07T00:00:00"/>
    <x v="3"/>
    <s v="Promo Blast"/>
    <s v="Mobile"/>
    <s v="North America"/>
    <s v="Customer"/>
    <n v="28"/>
    <s v="Basic"/>
    <n v="653.84"/>
    <n v="4"/>
    <x v="2"/>
    <n v="1"/>
    <n v="1"/>
    <n v="1"/>
  </r>
  <r>
    <s v="LD6883"/>
    <d v="2024-11-15T00:00:00"/>
    <x v="3"/>
    <s v="Monthly Newsletter"/>
    <s v="Mobile"/>
    <s v="Asia Pacific"/>
    <s v="Lead"/>
    <m/>
    <m/>
    <m/>
    <n v="1"/>
    <x v="2"/>
    <n v="0"/>
    <n v="0"/>
    <n v="0"/>
  </r>
  <r>
    <s v="LD7321"/>
    <d v="2024-12-11T00:00:00"/>
    <x v="1"/>
    <s v="Google Ads - Brand"/>
    <s v="Mobile"/>
    <s v="Asia Pacific"/>
    <s v="Lead"/>
    <m/>
    <m/>
    <m/>
    <n v="1"/>
    <x v="7"/>
    <n v="0"/>
    <n v="0"/>
    <n v="0"/>
  </r>
  <r>
    <s v="LD4700"/>
    <d v="2024-08-13T00:00:00"/>
    <x v="0"/>
    <s v="Facebook Ads"/>
    <s v="Desktop"/>
    <s v="Europe"/>
    <s v="Lead"/>
    <m/>
    <m/>
    <m/>
    <n v="1"/>
    <x v="6"/>
    <n v="0"/>
    <n v="0"/>
    <n v="0"/>
  </r>
  <r>
    <s v="LD1103"/>
    <d v="2024-01-22T00:00:00"/>
    <x v="1"/>
    <s v="Google Ads - Generic"/>
    <s v="Desktop"/>
    <s v="Europe"/>
    <s v="MQL"/>
    <m/>
    <m/>
    <m/>
    <n v="2"/>
    <x v="3"/>
    <n v="1"/>
    <n v="0"/>
    <n v="0"/>
  </r>
  <r>
    <s v="LD6658"/>
    <d v="2024-11-15T00:00:00"/>
    <x v="0"/>
    <s v="Instagram Ads"/>
    <s v="Mobile"/>
    <s v="Asia Pacific"/>
    <s v="Lead"/>
    <m/>
    <m/>
    <m/>
    <n v="1"/>
    <x v="2"/>
    <n v="0"/>
    <n v="0"/>
    <n v="0"/>
  </r>
  <r>
    <s v="LD6844"/>
    <d v="2024-11-15T00:00:00"/>
    <x v="3"/>
    <s v="Promo Blast"/>
    <s v="Tablet"/>
    <s v="Latin America"/>
    <s v="Lead"/>
    <m/>
    <m/>
    <m/>
    <n v="1"/>
    <x v="2"/>
    <n v="0"/>
    <n v="0"/>
    <n v="0"/>
  </r>
  <r>
    <s v="LD4350"/>
    <d v="2024-07-05T00:00:00"/>
    <x v="3"/>
    <s v="Promo Blast"/>
    <s v="Desktop"/>
    <s v="North America"/>
    <s v="Lead"/>
    <m/>
    <m/>
    <m/>
    <n v="1"/>
    <x v="0"/>
    <n v="0"/>
    <n v="0"/>
    <n v="0"/>
  </r>
  <r>
    <s v="LD3949"/>
    <d v="2024-06-19T00:00:00"/>
    <x v="4"/>
    <s v="Affiliate Program"/>
    <s v="Mobile"/>
    <s v="Asia Pacific"/>
    <s v="Customer"/>
    <n v="75"/>
    <s v="Basic"/>
    <n v="1087.6500000000001"/>
    <n v="4"/>
    <x v="11"/>
    <n v="1"/>
    <n v="1"/>
    <n v="1"/>
  </r>
  <r>
    <s v="LD2903"/>
    <d v="2024-04-09T00:00:00"/>
    <x v="4"/>
    <s v="Partner Program"/>
    <s v="Desktop"/>
    <s v="Europe"/>
    <s v="SQL"/>
    <m/>
    <m/>
    <m/>
    <n v="3"/>
    <x v="1"/>
    <n v="1"/>
    <n v="1"/>
    <n v="0"/>
  </r>
  <r>
    <s v="LD6605"/>
    <d v="2024-11-17T00:00:00"/>
    <x v="0"/>
    <s v="Facebook Ads"/>
    <s v="Desktop"/>
    <s v="Europe"/>
    <s v="MQL"/>
    <m/>
    <m/>
    <m/>
    <n v="2"/>
    <x v="2"/>
    <n v="1"/>
    <n v="0"/>
    <n v="0"/>
  </r>
  <r>
    <s v="LD3998"/>
    <d v="2024-06-20T00:00:00"/>
    <x v="2"/>
    <s v="Direct / Type-in"/>
    <s v="Desktop"/>
    <s v="North America"/>
    <s v="Lead"/>
    <m/>
    <m/>
    <m/>
    <n v="1"/>
    <x v="11"/>
    <n v="0"/>
    <n v="0"/>
    <n v="0"/>
  </r>
  <r>
    <s v="LD6004"/>
    <d v="2024-10-04T00:00:00"/>
    <x v="3"/>
    <s v="Promo Blast"/>
    <s v="Desktop"/>
    <s v="Europe"/>
    <s v="Lead"/>
    <m/>
    <m/>
    <m/>
    <n v="1"/>
    <x v="5"/>
    <n v="0"/>
    <n v="0"/>
    <n v="0"/>
  </r>
  <r>
    <s v="LD1136"/>
    <d v="2024-01-16T00:00:00"/>
    <x v="1"/>
    <s v="Google Ads - Generic"/>
    <s v="Mobile"/>
    <s v="North America"/>
    <s v="Lead"/>
    <m/>
    <m/>
    <m/>
    <n v="1"/>
    <x v="3"/>
    <n v="0"/>
    <n v="0"/>
    <n v="0"/>
  </r>
  <r>
    <s v="LD5029"/>
    <d v="2024-09-22T00:00:00"/>
    <x v="5"/>
    <s v="Blog SEO"/>
    <s v="Mobile"/>
    <s v="North America"/>
    <s v="MQL"/>
    <m/>
    <m/>
    <m/>
    <n v="2"/>
    <x v="9"/>
    <n v="1"/>
    <n v="0"/>
    <n v="0"/>
  </r>
  <r>
    <s v="LD6252"/>
    <d v="2024-10-05T00:00:00"/>
    <x v="2"/>
    <s v="Direct / Type-in"/>
    <s v="Desktop"/>
    <s v="Europe"/>
    <s v="Lead"/>
    <m/>
    <m/>
    <m/>
    <n v="1"/>
    <x v="5"/>
    <n v="0"/>
    <n v="0"/>
    <n v="0"/>
  </r>
  <r>
    <s v="LD7652"/>
    <d v="2024-12-17T00:00:00"/>
    <x v="4"/>
    <s v="Affiliate Program"/>
    <s v="Desktop"/>
    <s v="North America"/>
    <s v="Lead"/>
    <m/>
    <m/>
    <m/>
    <n v="1"/>
    <x v="7"/>
    <n v="0"/>
    <n v="0"/>
    <n v="0"/>
  </r>
  <r>
    <s v="LD7100"/>
    <d v="2024-12-27T00:00:00"/>
    <x v="5"/>
    <s v="Blog SEO"/>
    <s v="Tablet"/>
    <s v="North America"/>
    <s v="Lead"/>
    <m/>
    <m/>
    <m/>
    <n v="1"/>
    <x v="7"/>
    <n v="0"/>
    <n v="0"/>
    <n v="0"/>
  </r>
  <r>
    <s v="LD5524"/>
    <d v="2024-09-10T00:00:00"/>
    <x v="4"/>
    <s v="Affiliate Program"/>
    <s v="Mobile"/>
    <s v="Europe"/>
    <s v="SQL"/>
    <m/>
    <m/>
    <m/>
    <n v="3"/>
    <x v="9"/>
    <n v="1"/>
    <n v="1"/>
    <n v="0"/>
  </r>
  <r>
    <s v="LD5553"/>
    <d v="2024-09-23T00:00:00"/>
    <x v="2"/>
    <s v="Direct / Type-in"/>
    <s v="Desktop"/>
    <s v="Asia Pacific"/>
    <s v="Lead"/>
    <m/>
    <m/>
    <m/>
    <n v="1"/>
    <x v="9"/>
    <n v="0"/>
    <n v="0"/>
    <n v="0"/>
  </r>
  <r>
    <s v="LD3192"/>
    <d v="2024-05-19T00:00:00"/>
    <x v="1"/>
    <s v="Google Ads - Brand"/>
    <s v="Desktop"/>
    <s v="North America"/>
    <s v="MQL"/>
    <m/>
    <m/>
    <m/>
    <n v="2"/>
    <x v="4"/>
    <n v="1"/>
    <n v="0"/>
    <n v="0"/>
  </r>
  <r>
    <s v="LD5644"/>
    <d v="2024-10-08T00:00:00"/>
    <x v="5"/>
    <s v="Landing Page SEO"/>
    <s v="Desktop"/>
    <s v="Europe"/>
    <s v="Lead"/>
    <m/>
    <m/>
    <m/>
    <n v="1"/>
    <x v="5"/>
    <n v="0"/>
    <n v="0"/>
    <n v="0"/>
  </r>
  <r>
    <s v="LD6331"/>
    <d v="2024-11-26T00:00:00"/>
    <x v="5"/>
    <s v="Landing Page SEO"/>
    <s v="Mobile"/>
    <s v="Asia Pacific"/>
    <s v="Lead"/>
    <m/>
    <m/>
    <m/>
    <n v="1"/>
    <x v="2"/>
    <n v="0"/>
    <n v="0"/>
    <n v="0"/>
  </r>
  <r>
    <s v="LD2729"/>
    <d v="2024-04-19T00:00:00"/>
    <x v="0"/>
    <s v="Instagram Ads"/>
    <s v="Desktop"/>
    <s v="North America"/>
    <s v="Lead"/>
    <m/>
    <m/>
    <m/>
    <n v="1"/>
    <x v="1"/>
    <n v="0"/>
    <n v="0"/>
    <n v="0"/>
  </r>
  <r>
    <s v="LD7435"/>
    <d v="2024-12-15T00:00:00"/>
    <x v="3"/>
    <s v="Promo Blast"/>
    <s v="Mobile"/>
    <s v="North America"/>
    <s v="MQL"/>
    <m/>
    <m/>
    <m/>
    <n v="2"/>
    <x v="7"/>
    <n v="1"/>
    <n v="0"/>
    <n v="0"/>
  </r>
  <r>
    <s v="LD2887"/>
    <d v="2024-04-08T00:00:00"/>
    <x v="4"/>
    <s v="Affiliate Program"/>
    <s v="Desktop"/>
    <s v="North America"/>
    <s v="Lead"/>
    <m/>
    <m/>
    <m/>
    <n v="1"/>
    <x v="1"/>
    <n v="0"/>
    <n v="0"/>
    <n v="0"/>
  </r>
  <r>
    <s v="LD1808"/>
    <d v="2024-02-03T00:00:00"/>
    <x v="3"/>
    <s v="Promo Blast"/>
    <s v="Desktop"/>
    <s v="Asia Pacific"/>
    <s v="Customer"/>
    <n v="38"/>
    <s v="Basic"/>
    <n v="1474.97"/>
    <n v="4"/>
    <x v="10"/>
    <n v="1"/>
    <n v="1"/>
    <n v="1"/>
  </r>
  <r>
    <s v="LD1463"/>
    <d v="2024-01-06T00:00:00"/>
    <x v="2"/>
    <s v="Direct / Type-in"/>
    <s v="Desktop"/>
    <s v="Latin America"/>
    <s v="MQL"/>
    <m/>
    <m/>
    <m/>
    <n v="2"/>
    <x v="3"/>
    <n v="1"/>
    <n v="0"/>
    <n v="0"/>
  </r>
  <r>
    <s v="LD1880"/>
    <d v="2024-02-28T00:00:00"/>
    <x v="4"/>
    <s v="Affiliate Program"/>
    <s v="Mobile"/>
    <s v="Asia Pacific"/>
    <s v="Lead"/>
    <m/>
    <m/>
    <m/>
    <n v="1"/>
    <x v="10"/>
    <n v="0"/>
    <n v="0"/>
    <n v="0"/>
  </r>
  <r>
    <s v="LD6594"/>
    <d v="2024-11-05T00:00:00"/>
    <x v="1"/>
    <s v="Google Ads - Generic"/>
    <s v="Desktop"/>
    <s v="Europe"/>
    <s v="Lead"/>
    <m/>
    <m/>
    <m/>
    <n v="1"/>
    <x v="2"/>
    <n v="0"/>
    <n v="0"/>
    <n v="0"/>
  </r>
  <r>
    <s v="LD3303"/>
    <d v="2024-05-28T00:00:00"/>
    <x v="3"/>
    <s v="Monthly Newsletter"/>
    <s v="Mobile"/>
    <s v="North America"/>
    <s v="SQL"/>
    <m/>
    <m/>
    <m/>
    <n v="3"/>
    <x v="4"/>
    <n v="1"/>
    <n v="1"/>
    <n v="0"/>
  </r>
  <r>
    <s v="LD6104"/>
    <d v="2024-10-14T00:00:00"/>
    <x v="3"/>
    <s v="Promo Blast"/>
    <s v="Desktop"/>
    <s v="North America"/>
    <s v="SQL"/>
    <m/>
    <m/>
    <m/>
    <n v="3"/>
    <x v="5"/>
    <n v="1"/>
    <n v="1"/>
    <n v="0"/>
  </r>
  <r>
    <s v="LD7673"/>
    <d v="2024-12-14T00:00:00"/>
    <x v="4"/>
    <s v="Partner Program"/>
    <s v="Tablet"/>
    <s v="Latin America"/>
    <s v="Customer"/>
    <n v="57"/>
    <s v="Basic"/>
    <n v="1207.98"/>
    <n v="4"/>
    <x v="7"/>
    <n v="1"/>
    <n v="1"/>
    <n v="1"/>
  </r>
  <r>
    <s v="LD5734"/>
    <d v="2024-10-11T00:00:00"/>
    <x v="1"/>
    <s v="Google Ads - Generic"/>
    <s v="Desktop"/>
    <s v="North America"/>
    <s v="Lead"/>
    <m/>
    <m/>
    <m/>
    <n v="1"/>
    <x v="5"/>
    <n v="0"/>
    <n v="0"/>
    <n v="0"/>
  </r>
  <r>
    <s v="LD1800"/>
    <d v="2024-02-07T00:00:00"/>
    <x v="3"/>
    <s v="Promo Blast"/>
    <s v="Mobile"/>
    <s v="North America"/>
    <s v="MQL"/>
    <m/>
    <m/>
    <m/>
    <n v="2"/>
    <x v="10"/>
    <n v="1"/>
    <n v="0"/>
    <n v="0"/>
  </r>
  <r>
    <s v="LD1355"/>
    <d v="2024-01-17T00:00:00"/>
    <x v="4"/>
    <s v="Affiliate Program"/>
    <s v="Desktop"/>
    <s v="North America"/>
    <s v="Lead"/>
    <m/>
    <m/>
    <m/>
    <n v="1"/>
    <x v="3"/>
    <n v="0"/>
    <n v="0"/>
    <n v="0"/>
  </r>
  <r>
    <s v="LD4917"/>
    <d v="2024-08-20T00:00:00"/>
    <x v="4"/>
    <s v="Partner Program"/>
    <s v="Mobile"/>
    <s v="North America"/>
    <s v="Lead"/>
    <m/>
    <m/>
    <m/>
    <n v="1"/>
    <x v="6"/>
    <n v="0"/>
    <n v="0"/>
    <n v="0"/>
  </r>
  <r>
    <s v="LD2074"/>
    <d v="2024-03-06T00:00:00"/>
    <x v="1"/>
    <s v="Google Ads - Generic"/>
    <s v="Desktop"/>
    <s v="North America"/>
    <s v="Lead"/>
    <m/>
    <m/>
    <m/>
    <n v="1"/>
    <x v="8"/>
    <n v="0"/>
    <n v="0"/>
    <n v="0"/>
  </r>
  <r>
    <s v="LD3408"/>
    <d v="2024-05-26T00:00:00"/>
    <x v="3"/>
    <s v="Monthly Newsletter"/>
    <s v="Desktop"/>
    <s v="Europe"/>
    <s v="Lead"/>
    <m/>
    <m/>
    <m/>
    <n v="1"/>
    <x v="4"/>
    <n v="0"/>
    <n v="0"/>
    <n v="0"/>
  </r>
  <r>
    <s v="LD3250"/>
    <d v="2024-05-08T00:00:00"/>
    <x v="0"/>
    <s v="LinkedIn Ads"/>
    <s v="Mobile"/>
    <s v="Latin America"/>
    <s v="Lead"/>
    <m/>
    <m/>
    <m/>
    <n v="1"/>
    <x v="4"/>
    <n v="0"/>
    <n v="0"/>
    <n v="0"/>
  </r>
  <r>
    <s v="LD1145"/>
    <d v="2024-01-23T00:00:00"/>
    <x v="1"/>
    <s v="Google Ads - Brand"/>
    <s v="Desktop"/>
    <s v="North America"/>
    <s v="Lead"/>
    <m/>
    <m/>
    <m/>
    <n v="1"/>
    <x v="3"/>
    <n v="0"/>
    <n v="0"/>
    <n v="0"/>
  </r>
  <r>
    <s v="LD1381"/>
    <d v="2024-01-21T00:00:00"/>
    <x v="4"/>
    <s v="Affiliate Program"/>
    <s v="Desktop"/>
    <s v="North America"/>
    <s v="Lead"/>
    <m/>
    <m/>
    <m/>
    <n v="1"/>
    <x v="3"/>
    <n v="0"/>
    <n v="0"/>
    <n v="0"/>
  </r>
  <r>
    <s v="LD2341"/>
    <d v="2024-03-26T00:00:00"/>
    <x v="4"/>
    <s v="Partner Program"/>
    <s v="Tablet"/>
    <s v="North America"/>
    <s v="Lead"/>
    <m/>
    <m/>
    <m/>
    <n v="1"/>
    <x v="8"/>
    <n v="0"/>
    <n v="0"/>
    <n v="0"/>
  </r>
  <r>
    <s v="LD7078"/>
    <d v="2024-11-02T00:00:00"/>
    <x v="2"/>
    <s v="Direct / Type-in"/>
    <s v="Mobile"/>
    <s v="North America"/>
    <s v="Lead"/>
    <m/>
    <m/>
    <m/>
    <n v="1"/>
    <x v="2"/>
    <n v="0"/>
    <n v="0"/>
    <n v="0"/>
  </r>
  <r>
    <s v="LD5195"/>
    <d v="2024-09-28T00:00:00"/>
    <x v="1"/>
    <s v="Google Ads - Brand"/>
    <s v="Desktop"/>
    <s v="Asia Pacific"/>
    <s v="Lead"/>
    <m/>
    <m/>
    <m/>
    <n v="1"/>
    <x v="9"/>
    <n v="0"/>
    <n v="0"/>
    <n v="0"/>
  </r>
  <r>
    <s v="LD1122"/>
    <d v="2024-01-02T00:00:00"/>
    <x v="1"/>
    <s v="Google Ads - Brand"/>
    <s v="Desktop"/>
    <s v="Europe"/>
    <s v="MQL"/>
    <m/>
    <m/>
    <m/>
    <n v="2"/>
    <x v="3"/>
    <n v="1"/>
    <n v="0"/>
    <n v="0"/>
  </r>
  <r>
    <s v="LD4442"/>
    <d v="2024-07-10T00:00:00"/>
    <x v="4"/>
    <s v="Partner Program"/>
    <s v="Mobile"/>
    <s v="North America"/>
    <s v="Lead"/>
    <m/>
    <m/>
    <m/>
    <n v="1"/>
    <x v="0"/>
    <n v="0"/>
    <n v="0"/>
    <n v="0"/>
  </r>
  <r>
    <s v="LD2361"/>
    <d v="2024-03-02T00:00:00"/>
    <x v="4"/>
    <s v="Affiliate Program"/>
    <s v="Desktop"/>
    <s v="North America"/>
    <s v="SQL"/>
    <m/>
    <m/>
    <m/>
    <n v="3"/>
    <x v="8"/>
    <n v="1"/>
    <n v="1"/>
    <n v="0"/>
  </r>
  <r>
    <s v="LD1419"/>
    <d v="2024-01-20T00:00:00"/>
    <x v="4"/>
    <s v="Affiliate Program"/>
    <s v="Mobile"/>
    <s v="Europe"/>
    <s v="Lead"/>
    <m/>
    <m/>
    <m/>
    <n v="1"/>
    <x v="3"/>
    <n v="0"/>
    <n v="0"/>
    <n v="0"/>
  </r>
  <r>
    <s v="LD6886"/>
    <d v="2024-11-15T00:00:00"/>
    <x v="3"/>
    <s v="Promo Blast"/>
    <s v="Tablet"/>
    <s v="North America"/>
    <s v="Lead"/>
    <m/>
    <m/>
    <m/>
    <n v="1"/>
    <x v="2"/>
    <n v="0"/>
    <n v="0"/>
    <n v="0"/>
  </r>
  <r>
    <s v="LD6345"/>
    <d v="2024-11-11T00:00:00"/>
    <x v="5"/>
    <s v="Landing Page SEO"/>
    <s v="Desktop"/>
    <s v="North America"/>
    <s v="Lead"/>
    <m/>
    <m/>
    <m/>
    <n v="1"/>
    <x v="2"/>
    <n v="0"/>
    <n v="0"/>
    <n v="0"/>
  </r>
  <r>
    <s v="LD4940"/>
    <d v="2024-08-06T00:00:00"/>
    <x v="4"/>
    <s v="Partner Program"/>
    <s v="Mobile"/>
    <s v="Asia Pacific"/>
    <s v="Lead"/>
    <m/>
    <m/>
    <m/>
    <n v="1"/>
    <x v="6"/>
    <n v="0"/>
    <n v="0"/>
    <n v="0"/>
  </r>
  <r>
    <s v="LD3118"/>
    <d v="2024-05-13T00:00:00"/>
    <x v="1"/>
    <s v="Google Ads - Generic"/>
    <s v="Desktop"/>
    <s v="Latin America"/>
    <s v="Lead"/>
    <m/>
    <m/>
    <m/>
    <n v="1"/>
    <x v="4"/>
    <n v="0"/>
    <n v="0"/>
    <n v="0"/>
  </r>
  <r>
    <s v="LD6240"/>
    <d v="2024-10-09T00:00:00"/>
    <x v="2"/>
    <s v="Direct / Type-in"/>
    <s v="Mobile"/>
    <s v="North America"/>
    <s v="Lead"/>
    <m/>
    <m/>
    <m/>
    <n v="1"/>
    <x v="5"/>
    <n v="0"/>
    <n v="0"/>
    <n v="0"/>
  </r>
  <r>
    <s v="LD6744"/>
    <d v="2024-11-02T00:00:00"/>
    <x v="3"/>
    <s v="Promo Blast"/>
    <s v="Desktop"/>
    <s v="Europe"/>
    <s v="Customer"/>
    <n v="59"/>
    <s v="Basic"/>
    <n v="851.39"/>
    <n v="4"/>
    <x v="2"/>
    <n v="1"/>
    <n v="1"/>
    <n v="1"/>
  </r>
  <r>
    <s v="LD1556"/>
    <d v="2024-02-12T00:00:00"/>
    <x v="5"/>
    <s v="Blog SEO"/>
    <s v="Desktop"/>
    <s v="North America"/>
    <s v="Customer"/>
    <n v="14"/>
    <s v="Basic"/>
    <n v="1196.47"/>
    <n v="4"/>
    <x v="10"/>
    <n v="1"/>
    <n v="1"/>
    <n v="1"/>
  </r>
  <r>
    <s v="LD4780"/>
    <d v="2024-08-19T00:00:00"/>
    <x v="3"/>
    <s v="Monthly Newsletter"/>
    <s v="Desktop"/>
    <s v="North America"/>
    <s v="SQL"/>
    <m/>
    <m/>
    <m/>
    <n v="3"/>
    <x v="6"/>
    <n v="1"/>
    <n v="1"/>
    <n v="0"/>
  </r>
  <r>
    <s v="LD4429"/>
    <d v="2024-07-26T00:00:00"/>
    <x v="4"/>
    <s v="Partner Program"/>
    <s v="Mobile"/>
    <s v="North America"/>
    <s v="MQL"/>
    <m/>
    <m/>
    <m/>
    <n v="2"/>
    <x v="0"/>
    <n v="1"/>
    <n v="0"/>
    <n v="0"/>
  </r>
  <r>
    <s v="LD2776"/>
    <d v="2024-04-17T00:00:00"/>
    <x v="3"/>
    <s v="Promo Blast"/>
    <s v="Desktop"/>
    <s v="Europe"/>
    <s v="Lead"/>
    <m/>
    <m/>
    <m/>
    <n v="1"/>
    <x v="1"/>
    <n v="0"/>
    <n v="0"/>
    <n v="0"/>
  </r>
  <r>
    <s v="LD7149"/>
    <d v="2024-12-06T00:00:00"/>
    <x v="5"/>
    <s v="Landing Page SEO"/>
    <s v="Mobile"/>
    <s v="Europe"/>
    <s v="Lead"/>
    <m/>
    <m/>
    <m/>
    <n v="1"/>
    <x v="7"/>
    <n v="0"/>
    <n v="0"/>
    <n v="0"/>
  </r>
  <r>
    <s v="LD2273"/>
    <d v="2024-03-15T00:00:00"/>
    <x v="3"/>
    <s v="Promo Blast"/>
    <s v="Tablet"/>
    <s v="North America"/>
    <s v="Lead"/>
    <m/>
    <m/>
    <m/>
    <n v="1"/>
    <x v="8"/>
    <n v="0"/>
    <n v="0"/>
    <n v="0"/>
  </r>
  <r>
    <s v="LD7356"/>
    <d v="2024-12-03T00:00:00"/>
    <x v="0"/>
    <s v="Facebook Ads"/>
    <s v="Mobile"/>
    <s v="Europe"/>
    <s v="MQL"/>
    <m/>
    <m/>
    <m/>
    <n v="2"/>
    <x v="7"/>
    <n v="1"/>
    <n v="0"/>
    <n v="0"/>
  </r>
  <r>
    <s v="LD2412"/>
    <d v="2024-03-06T00:00:00"/>
    <x v="2"/>
    <s v="Direct / Type-in"/>
    <s v="Mobile"/>
    <s v="North America"/>
    <s v="MQL"/>
    <m/>
    <m/>
    <m/>
    <n v="2"/>
    <x v="8"/>
    <n v="1"/>
    <n v="0"/>
    <n v="0"/>
  </r>
  <r>
    <s v="LD5605"/>
    <d v="2024-09-10T00:00:00"/>
    <x v="2"/>
    <s v="Direct / Type-in"/>
    <s v="Desktop"/>
    <s v="Europe"/>
    <s v="Lead"/>
    <m/>
    <m/>
    <m/>
    <n v="1"/>
    <x v="9"/>
    <n v="0"/>
    <n v="0"/>
    <n v="0"/>
  </r>
  <r>
    <s v="LD7195"/>
    <d v="2024-12-09T00:00:00"/>
    <x v="5"/>
    <s v="Landing Page SEO"/>
    <s v="Mobile"/>
    <s v="Europe"/>
    <s v="MQL"/>
    <m/>
    <m/>
    <m/>
    <n v="2"/>
    <x v="7"/>
    <n v="1"/>
    <n v="0"/>
    <n v="0"/>
  </r>
  <r>
    <s v="LD3095"/>
    <d v="2024-05-03T00:00:00"/>
    <x v="5"/>
    <s v="Blog SEO"/>
    <s v="Desktop"/>
    <s v="North America"/>
    <s v="MQL"/>
    <m/>
    <m/>
    <m/>
    <n v="2"/>
    <x v="4"/>
    <n v="1"/>
    <n v="0"/>
    <n v="0"/>
  </r>
  <r>
    <s v="LD7079"/>
    <d v="2024-11-27T00:00:00"/>
    <x v="2"/>
    <s v="Direct / Type-in"/>
    <s v="Mobile"/>
    <s v="Europe"/>
    <s v="MQL"/>
    <m/>
    <m/>
    <m/>
    <n v="2"/>
    <x v="2"/>
    <n v="1"/>
    <n v="0"/>
    <n v="0"/>
  </r>
  <r>
    <s v="LD6514"/>
    <d v="2024-11-19T00:00:00"/>
    <x v="1"/>
    <s v="Google Ads - Brand"/>
    <s v="Desktop"/>
    <s v="Europe"/>
    <s v="Lead"/>
    <m/>
    <m/>
    <m/>
    <n v="1"/>
    <x v="2"/>
    <n v="0"/>
    <n v="0"/>
    <n v="0"/>
  </r>
  <r>
    <s v="LD7675"/>
    <d v="2024-12-24T00:00:00"/>
    <x v="4"/>
    <s v="Partner Program"/>
    <s v="Desktop"/>
    <s v="Asia Pacific"/>
    <s v="MQL"/>
    <m/>
    <m/>
    <m/>
    <n v="2"/>
    <x v="7"/>
    <n v="1"/>
    <n v="0"/>
    <n v="0"/>
  </r>
  <r>
    <s v="LD2621"/>
    <d v="2024-04-05T00:00:00"/>
    <x v="1"/>
    <s v="Google Ads - Brand"/>
    <s v="Desktop"/>
    <s v="North America"/>
    <s v="Lead"/>
    <m/>
    <m/>
    <m/>
    <n v="1"/>
    <x v="1"/>
    <n v="0"/>
    <n v="0"/>
    <n v="0"/>
  </r>
  <r>
    <s v="LD3928"/>
    <d v="2024-06-17T00:00:00"/>
    <x v="4"/>
    <s v="Affiliate Program"/>
    <s v="Desktop"/>
    <s v="Europe"/>
    <s v="Customer"/>
    <n v="7"/>
    <s v="Basic"/>
    <n v="1499.76"/>
    <n v="4"/>
    <x v="11"/>
    <n v="1"/>
    <n v="1"/>
    <n v="1"/>
  </r>
  <r>
    <s v="LD7038"/>
    <d v="2024-11-26T00:00:00"/>
    <x v="2"/>
    <s v="Direct / Type-in"/>
    <s v="Mobile"/>
    <s v="Europe"/>
    <s v="SQL"/>
    <m/>
    <m/>
    <m/>
    <n v="3"/>
    <x v="2"/>
    <n v="1"/>
    <n v="1"/>
    <n v="0"/>
  </r>
  <r>
    <s v="LD3938"/>
    <d v="2024-06-26T00:00:00"/>
    <x v="4"/>
    <s v="Affiliate Program"/>
    <s v="Mobile"/>
    <s v="Europe"/>
    <s v="MQL"/>
    <m/>
    <m/>
    <m/>
    <n v="2"/>
    <x v="11"/>
    <n v="1"/>
    <n v="0"/>
    <n v="0"/>
  </r>
  <r>
    <s v="LD3729"/>
    <d v="2024-06-06T00:00:00"/>
    <x v="1"/>
    <s v="Google Ads - Brand"/>
    <s v="Tablet"/>
    <s v="Europe"/>
    <s v="Lead"/>
    <m/>
    <m/>
    <m/>
    <n v="1"/>
    <x v="11"/>
    <n v="0"/>
    <n v="0"/>
    <n v="0"/>
  </r>
  <r>
    <s v="LD4890"/>
    <d v="2024-08-12T00:00:00"/>
    <x v="4"/>
    <s v="Partner Program"/>
    <s v="Mobile"/>
    <s v="Europe"/>
    <s v="Lead"/>
    <m/>
    <m/>
    <m/>
    <n v="1"/>
    <x v="6"/>
    <n v="0"/>
    <n v="0"/>
    <n v="0"/>
  </r>
  <r>
    <s v="LD4411"/>
    <d v="2024-07-09T00:00:00"/>
    <x v="4"/>
    <s v="Partner Program"/>
    <s v="Mobile"/>
    <s v="Latin America"/>
    <s v="Customer"/>
    <n v="61"/>
    <s v="Pro"/>
    <n v="4751.9399999999996"/>
    <n v="4"/>
    <x v="0"/>
    <n v="1"/>
    <n v="1"/>
    <n v="1"/>
  </r>
  <r>
    <s v="LD7644"/>
    <d v="2024-12-07T00:00:00"/>
    <x v="4"/>
    <s v="Partner Program"/>
    <s v="Mobile"/>
    <s v="North America"/>
    <s v="Lead"/>
    <m/>
    <m/>
    <m/>
    <n v="1"/>
    <x v="7"/>
    <n v="0"/>
    <n v="0"/>
    <n v="0"/>
  </r>
  <r>
    <s v="LD6422"/>
    <d v="2024-11-09T00:00:00"/>
    <x v="5"/>
    <s v="Blog SEO"/>
    <s v="Mobile"/>
    <s v="North America"/>
    <s v="Lead"/>
    <m/>
    <m/>
    <m/>
    <n v="1"/>
    <x v="2"/>
    <n v="0"/>
    <n v="0"/>
    <n v="0"/>
  </r>
  <r>
    <s v="LD6979"/>
    <d v="2024-11-10T00:00:00"/>
    <x v="4"/>
    <s v="Affiliate Program"/>
    <s v="Mobile"/>
    <s v="North America"/>
    <s v="Lead"/>
    <m/>
    <m/>
    <m/>
    <n v="1"/>
    <x v="2"/>
    <n v="0"/>
    <n v="0"/>
    <n v="0"/>
  </r>
  <r>
    <s v="LD2269"/>
    <d v="2024-03-15T00:00:00"/>
    <x v="3"/>
    <s v="Promo Blast"/>
    <s v="Mobile"/>
    <s v="North America"/>
    <s v="Lead"/>
    <m/>
    <m/>
    <m/>
    <n v="1"/>
    <x v="8"/>
    <n v="0"/>
    <n v="0"/>
    <n v="0"/>
  </r>
  <r>
    <s v="LD1415"/>
    <d v="2024-01-12T00:00:00"/>
    <x v="4"/>
    <s v="Partner Program"/>
    <s v="Tablet"/>
    <s v="North America"/>
    <s v="Lead"/>
    <m/>
    <m/>
    <m/>
    <n v="1"/>
    <x v="3"/>
    <n v="0"/>
    <n v="0"/>
    <n v="0"/>
  </r>
  <r>
    <s v="LD4934"/>
    <d v="2024-08-27T00:00:00"/>
    <x v="4"/>
    <s v="Affiliate Program"/>
    <s v="Desktop"/>
    <s v="North America"/>
    <s v="Lead"/>
    <m/>
    <m/>
    <m/>
    <n v="1"/>
    <x v="6"/>
    <n v="0"/>
    <n v="0"/>
    <n v="0"/>
  </r>
  <r>
    <s v="LD1655"/>
    <d v="2024-02-16T00:00:00"/>
    <x v="0"/>
    <s v="LinkedIn Ads"/>
    <s v="Mobile"/>
    <s v="Asia Pacific"/>
    <s v="Lead"/>
    <m/>
    <m/>
    <m/>
    <n v="1"/>
    <x v="10"/>
    <n v="0"/>
    <n v="0"/>
    <n v="0"/>
  </r>
  <r>
    <s v="LD5654"/>
    <d v="2024-10-09T00:00:00"/>
    <x v="5"/>
    <s v="Landing Page SEO"/>
    <s v="Mobile"/>
    <s v="North America"/>
    <s v="Lead"/>
    <m/>
    <m/>
    <m/>
    <n v="1"/>
    <x v="5"/>
    <n v="0"/>
    <n v="0"/>
    <n v="0"/>
  </r>
  <r>
    <s v="LD2731"/>
    <d v="2024-04-20T00:00:00"/>
    <x v="0"/>
    <s v="Facebook Ads"/>
    <s v="Mobile"/>
    <s v="North America"/>
    <s v="Lead"/>
    <m/>
    <m/>
    <m/>
    <n v="1"/>
    <x v="1"/>
    <n v="0"/>
    <n v="0"/>
    <n v="0"/>
  </r>
  <r>
    <s v="LD3054"/>
    <d v="2024-05-01T00:00:00"/>
    <x v="5"/>
    <s v="Blog SEO"/>
    <s v="Mobile"/>
    <s v="North America"/>
    <s v="SQL"/>
    <m/>
    <m/>
    <m/>
    <n v="3"/>
    <x v="4"/>
    <n v="1"/>
    <n v="1"/>
    <n v="0"/>
  </r>
  <r>
    <s v="LD4980"/>
    <d v="2024-08-14T00:00:00"/>
    <x v="2"/>
    <s v="Direct / Type-in"/>
    <s v="Mobile"/>
    <s v="North America"/>
    <s v="Lead"/>
    <m/>
    <m/>
    <m/>
    <n v="1"/>
    <x v="6"/>
    <n v="0"/>
    <n v="0"/>
    <n v="0"/>
  </r>
  <r>
    <s v="LD7222"/>
    <d v="2024-12-11T00:00:00"/>
    <x v="1"/>
    <s v="Google Ads - Brand"/>
    <s v="Tablet"/>
    <s v="North America"/>
    <s v="Lead"/>
    <m/>
    <m/>
    <m/>
    <n v="1"/>
    <x v="7"/>
    <n v="0"/>
    <n v="0"/>
    <n v="0"/>
  </r>
  <r>
    <s v="LD5013"/>
    <d v="2024-08-15T00:00:00"/>
    <x v="2"/>
    <s v="Direct / Type-in"/>
    <s v="Mobile"/>
    <s v="Asia Pacific"/>
    <s v="Lead"/>
    <m/>
    <m/>
    <m/>
    <n v="1"/>
    <x v="6"/>
    <n v="0"/>
    <n v="0"/>
    <n v="0"/>
  </r>
  <r>
    <s v="LD4902"/>
    <d v="2024-08-19T00:00:00"/>
    <x v="4"/>
    <s v="Partner Program"/>
    <s v="Desktop"/>
    <s v="North America"/>
    <s v="SQL"/>
    <m/>
    <m/>
    <m/>
    <n v="3"/>
    <x v="6"/>
    <n v="1"/>
    <n v="1"/>
    <n v="0"/>
  </r>
  <r>
    <s v="LD1590"/>
    <d v="2024-02-13T00:00:00"/>
    <x v="1"/>
    <s v="Google Ads - Brand"/>
    <s v="Mobile"/>
    <s v="Latin America"/>
    <s v="Lead"/>
    <m/>
    <m/>
    <m/>
    <n v="1"/>
    <x v="10"/>
    <n v="0"/>
    <n v="0"/>
    <n v="0"/>
  </r>
  <r>
    <s v="LD3689"/>
    <d v="2024-06-11T00:00:00"/>
    <x v="1"/>
    <s v="Google Ads - Generic"/>
    <s v="Mobile"/>
    <s v="North America"/>
    <s v="Lead"/>
    <m/>
    <m/>
    <m/>
    <n v="1"/>
    <x v="11"/>
    <n v="0"/>
    <n v="0"/>
    <n v="0"/>
  </r>
  <r>
    <s v="LD6108"/>
    <d v="2024-10-22T00:00:00"/>
    <x v="3"/>
    <s v="Monthly Newsletter"/>
    <s v="Desktop"/>
    <s v="North America"/>
    <s v="Lead"/>
    <m/>
    <m/>
    <m/>
    <n v="1"/>
    <x v="5"/>
    <n v="0"/>
    <n v="0"/>
    <n v="0"/>
  </r>
  <r>
    <s v="LD7448"/>
    <d v="2024-12-02T00:00:00"/>
    <x v="3"/>
    <s v="Monthly Newsletter"/>
    <s v="Mobile"/>
    <s v="North America"/>
    <s v="Lead"/>
    <m/>
    <m/>
    <m/>
    <n v="1"/>
    <x v="7"/>
    <n v="0"/>
    <n v="0"/>
    <n v="0"/>
  </r>
  <r>
    <s v="LD6094"/>
    <d v="2024-10-09T00:00:00"/>
    <x v="3"/>
    <s v="Monthly Newsletter"/>
    <s v="Tablet"/>
    <s v="Europe"/>
    <s v="Lead"/>
    <m/>
    <m/>
    <m/>
    <n v="1"/>
    <x v="5"/>
    <n v="0"/>
    <n v="0"/>
    <n v="0"/>
  </r>
  <r>
    <s v="LD4612"/>
    <d v="2024-08-07T00:00:00"/>
    <x v="1"/>
    <s v="Google Ads - Brand"/>
    <s v="Desktop"/>
    <s v="North America"/>
    <s v="MQL"/>
    <m/>
    <m/>
    <m/>
    <n v="2"/>
    <x v="6"/>
    <n v="1"/>
    <n v="0"/>
    <n v="0"/>
  </r>
  <r>
    <s v="LD3277"/>
    <d v="2024-05-02T00:00:00"/>
    <x v="0"/>
    <s v="LinkedIn Ads"/>
    <s v="Mobile"/>
    <s v="Europe"/>
    <s v="Lead"/>
    <m/>
    <m/>
    <m/>
    <n v="1"/>
    <x v="4"/>
    <n v="0"/>
    <n v="0"/>
    <n v="0"/>
  </r>
  <r>
    <s v="LD1702"/>
    <d v="2024-02-18T00:00:00"/>
    <x v="0"/>
    <s v="Facebook Ads"/>
    <s v="Desktop"/>
    <s v="Europe"/>
    <s v="Lead"/>
    <m/>
    <m/>
    <m/>
    <n v="1"/>
    <x v="10"/>
    <n v="0"/>
    <n v="0"/>
    <n v="0"/>
  </r>
  <r>
    <s v="LD3836"/>
    <d v="2024-06-16T00:00:00"/>
    <x v="3"/>
    <s v="Monthly Newsletter"/>
    <s v="Mobile"/>
    <s v="North America"/>
    <s v="MQL"/>
    <m/>
    <m/>
    <m/>
    <n v="2"/>
    <x v="11"/>
    <n v="1"/>
    <n v="0"/>
    <n v="0"/>
  </r>
  <r>
    <s v="LD3125"/>
    <d v="2024-05-28T00:00:00"/>
    <x v="1"/>
    <s v="Google Ads - Generic"/>
    <s v="Mobile"/>
    <s v="North America"/>
    <s v="Lead"/>
    <m/>
    <m/>
    <m/>
    <n v="1"/>
    <x v="4"/>
    <n v="0"/>
    <n v="0"/>
    <n v="0"/>
  </r>
  <r>
    <s v="LD7357"/>
    <d v="2024-12-27T00:00:00"/>
    <x v="0"/>
    <s v="LinkedIn Ads"/>
    <s v="Desktop"/>
    <s v="Asia Pacific"/>
    <s v="Lead"/>
    <m/>
    <m/>
    <m/>
    <n v="1"/>
    <x v="7"/>
    <n v="0"/>
    <n v="0"/>
    <n v="0"/>
  </r>
  <r>
    <s v="LD1678"/>
    <d v="2024-02-06T00:00:00"/>
    <x v="0"/>
    <s v="LinkedIn Ads"/>
    <s v="Mobile"/>
    <s v="North America"/>
    <s v="Lead"/>
    <m/>
    <m/>
    <m/>
    <n v="1"/>
    <x v="10"/>
    <n v="0"/>
    <n v="0"/>
    <n v="0"/>
  </r>
  <r>
    <s v="LD7301"/>
    <d v="2024-12-05T00:00:00"/>
    <x v="1"/>
    <s v="Google Ads - Generic"/>
    <s v="Desktop"/>
    <s v="North America"/>
    <s v="Lead"/>
    <m/>
    <m/>
    <m/>
    <n v="1"/>
    <x v="7"/>
    <n v="0"/>
    <n v="0"/>
    <n v="0"/>
  </r>
  <r>
    <s v="LD6453"/>
    <d v="2024-11-26T00:00:00"/>
    <x v="5"/>
    <s v="Blog SEO"/>
    <s v="Mobile"/>
    <s v="Europe"/>
    <s v="Lead"/>
    <m/>
    <m/>
    <m/>
    <n v="1"/>
    <x v="2"/>
    <n v="0"/>
    <n v="0"/>
    <n v="0"/>
  </r>
  <r>
    <s v="LD3400"/>
    <d v="2024-05-07T00:00:00"/>
    <x v="3"/>
    <s v="Monthly Newsletter"/>
    <s v="Mobile"/>
    <s v="Europe"/>
    <s v="MQL"/>
    <m/>
    <m/>
    <m/>
    <n v="2"/>
    <x v="4"/>
    <n v="1"/>
    <n v="0"/>
    <n v="0"/>
  </r>
  <r>
    <s v="LD3167"/>
    <d v="2024-05-08T00:00:00"/>
    <x v="1"/>
    <s v="Google Ads - Brand"/>
    <s v="Mobile"/>
    <s v="Europe"/>
    <s v="MQL"/>
    <m/>
    <m/>
    <m/>
    <n v="2"/>
    <x v="4"/>
    <n v="1"/>
    <n v="0"/>
    <n v="0"/>
  </r>
  <r>
    <s v="LD7780"/>
    <d v="2024-12-04T00:00:00"/>
    <x v="2"/>
    <s v="Direct / Type-in"/>
    <s v="Mobile"/>
    <s v="Asia Pacific"/>
    <s v="MQL"/>
    <m/>
    <m/>
    <m/>
    <n v="2"/>
    <x v="7"/>
    <n v="1"/>
    <n v="0"/>
    <n v="0"/>
  </r>
  <r>
    <s v="LD1694"/>
    <d v="2024-02-11T00:00:00"/>
    <x v="0"/>
    <s v="Facebook Ads"/>
    <s v="Desktop"/>
    <s v="North America"/>
    <s v="MQL"/>
    <m/>
    <m/>
    <m/>
    <n v="2"/>
    <x v="10"/>
    <n v="1"/>
    <n v="0"/>
    <n v="0"/>
  </r>
  <r>
    <s v="LD2863"/>
    <d v="2024-04-01T00:00:00"/>
    <x v="3"/>
    <s v="Promo Blast"/>
    <s v="Mobile"/>
    <s v="Asia Pacific"/>
    <s v="Lead"/>
    <m/>
    <m/>
    <m/>
    <n v="1"/>
    <x v="1"/>
    <n v="0"/>
    <n v="0"/>
    <n v="0"/>
  </r>
  <r>
    <s v="LD2895"/>
    <d v="2024-04-06T00:00:00"/>
    <x v="4"/>
    <s v="Affiliate Program"/>
    <s v="Desktop"/>
    <s v="North America"/>
    <s v="MQL"/>
    <m/>
    <m/>
    <m/>
    <n v="2"/>
    <x v="1"/>
    <n v="1"/>
    <n v="0"/>
    <n v="0"/>
  </r>
  <r>
    <s v="LD6961"/>
    <d v="2024-11-09T00:00:00"/>
    <x v="4"/>
    <s v="Partner Program"/>
    <s v="Desktop"/>
    <s v="Asia Pacific"/>
    <s v="MQL"/>
    <m/>
    <m/>
    <m/>
    <n v="2"/>
    <x v="2"/>
    <n v="1"/>
    <n v="0"/>
    <n v="0"/>
  </r>
  <r>
    <s v="LD1111"/>
    <d v="2024-01-18T00:00:00"/>
    <x v="1"/>
    <s v="Google Ads - Brand"/>
    <s v="Mobile"/>
    <s v="Europe"/>
    <s v="Lead"/>
    <m/>
    <m/>
    <m/>
    <n v="1"/>
    <x v="3"/>
    <n v="0"/>
    <n v="0"/>
    <n v="0"/>
  </r>
  <r>
    <s v="LD6061"/>
    <d v="2024-10-14T00:00:00"/>
    <x v="3"/>
    <s v="Promo Blast"/>
    <s v="Mobile"/>
    <s v="Europe"/>
    <s v="Lead"/>
    <m/>
    <m/>
    <m/>
    <n v="1"/>
    <x v="5"/>
    <n v="0"/>
    <n v="0"/>
    <n v="0"/>
  </r>
  <r>
    <s v="LD7040"/>
    <d v="2024-11-16T00:00:00"/>
    <x v="2"/>
    <s v="Direct / Type-in"/>
    <s v="Desktop"/>
    <s v="North America"/>
    <s v="Lead"/>
    <m/>
    <m/>
    <m/>
    <n v="1"/>
    <x v="2"/>
    <n v="0"/>
    <n v="0"/>
    <n v="0"/>
  </r>
  <r>
    <s v="LD6152"/>
    <d v="2024-10-18T00:00:00"/>
    <x v="4"/>
    <s v="Affiliate Program"/>
    <s v="Desktop"/>
    <s v="Europe"/>
    <s v="Lead"/>
    <m/>
    <m/>
    <m/>
    <n v="1"/>
    <x v="5"/>
    <n v="0"/>
    <n v="0"/>
    <n v="0"/>
  </r>
  <r>
    <s v="LD5424"/>
    <d v="2024-09-24T00:00:00"/>
    <x v="3"/>
    <s v="Monthly Newsletter"/>
    <s v="Mobile"/>
    <s v="Europe"/>
    <s v="Lead"/>
    <m/>
    <m/>
    <m/>
    <n v="1"/>
    <x v="9"/>
    <n v="0"/>
    <n v="0"/>
    <n v="0"/>
  </r>
  <r>
    <s v="LD1857"/>
    <d v="2024-02-03T00:00:00"/>
    <x v="4"/>
    <s v="Partner Program"/>
    <s v="Mobile"/>
    <s v="North America"/>
    <s v="SQL"/>
    <m/>
    <m/>
    <m/>
    <n v="3"/>
    <x v="10"/>
    <n v="1"/>
    <n v="1"/>
    <n v="0"/>
  </r>
  <r>
    <s v="LD5458"/>
    <d v="2024-09-01T00:00:00"/>
    <x v="4"/>
    <s v="Partner Program"/>
    <s v="Desktop"/>
    <s v="Europe"/>
    <s v="Lead"/>
    <m/>
    <m/>
    <m/>
    <n v="1"/>
    <x v="9"/>
    <n v="0"/>
    <n v="0"/>
    <n v="0"/>
  </r>
  <r>
    <s v="LD5055"/>
    <d v="2024-09-12T00:00:00"/>
    <x v="5"/>
    <s v="Blog SEO"/>
    <s v="Desktop"/>
    <s v="Asia Pacific"/>
    <s v="Lead"/>
    <m/>
    <m/>
    <m/>
    <n v="1"/>
    <x v="9"/>
    <n v="0"/>
    <n v="0"/>
    <n v="0"/>
  </r>
  <r>
    <s v="LD7447"/>
    <d v="2024-12-18T00:00:00"/>
    <x v="3"/>
    <s v="Monthly Newsletter"/>
    <s v="Tablet"/>
    <s v="Europe"/>
    <s v="Customer"/>
    <n v="35"/>
    <s v="Basic"/>
    <n v="823.61"/>
    <n v="4"/>
    <x v="7"/>
    <n v="1"/>
    <n v="1"/>
    <n v="1"/>
  </r>
  <r>
    <s v="LD3648"/>
    <d v="2024-06-02T00:00:00"/>
    <x v="1"/>
    <s v="Google Ads - Generic"/>
    <s v="Desktop"/>
    <s v="Europe"/>
    <s v="SQL"/>
    <m/>
    <m/>
    <m/>
    <n v="3"/>
    <x v="11"/>
    <n v="1"/>
    <n v="1"/>
    <n v="0"/>
  </r>
  <r>
    <s v="LD5230"/>
    <d v="2024-09-09T00:00:00"/>
    <x v="0"/>
    <s v="Facebook Ads"/>
    <s v="Desktop"/>
    <s v="Europe"/>
    <s v="Lead"/>
    <m/>
    <m/>
    <m/>
    <n v="1"/>
    <x v="9"/>
    <n v="0"/>
    <n v="0"/>
    <n v="0"/>
  </r>
  <r>
    <s v="LD2721"/>
    <d v="2024-04-20T00:00:00"/>
    <x v="0"/>
    <s v="Facebook Ads"/>
    <s v="Desktop"/>
    <s v="North America"/>
    <s v="MQL"/>
    <m/>
    <m/>
    <m/>
    <n v="2"/>
    <x v="1"/>
    <n v="1"/>
    <n v="0"/>
    <n v="0"/>
  </r>
  <r>
    <s v="LD3964"/>
    <d v="2024-06-14T00:00:00"/>
    <x v="4"/>
    <s v="Affiliate Program"/>
    <s v="Mobile"/>
    <s v="North America"/>
    <s v="MQL"/>
    <m/>
    <m/>
    <m/>
    <n v="2"/>
    <x v="11"/>
    <n v="1"/>
    <n v="0"/>
    <n v="0"/>
  </r>
  <r>
    <s v="LD3030"/>
    <d v="2024-05-28T00:00:00"/>
    <x v="5"/>
    <s v="Blog SEO"/>
    <s v="Desktop"/>
    <s v="North America"/>
    <s v="Lead"/>
    <m/>
    <m/>
    <m/>
    <n v="1"/>
    <x v="4"/>
    <n v="0"/>
    <n v="0"/>
    <n v="0"/>
  </r>
  <r>
    <s v="LD7552"/>
    <d v="2024-12-09T00:00:00"/>
    <x v="3"/>
    <s v="Promo Blast"/>
    <s v="Desktop"/>
    <s v="North America"/>
    <s v="Lead"/>
    <m/>
    <m/>
    <m/>
    <n v="1"/>
    <x v="7"/>
    <n v="0"/>
    <n v="0"/>
    <n v="0"/>
  </r>
  <r>
    <s v="LD3805"/>
    <d v="2024-06-24T00:00:00"/>
    <x v="3"/>
    <s v="Monthly Newsletter"/>
    <s v="Desktop"/>
    <s v="Europe"/>
    <s v="MQL"/>
    <m/>
    <m/>
    <m/>
    <n v="2"/>
    <x v="11"/>
    <n v="1"/>
    <n v="0"/>
    <n v="0"/>
  </r>
  <r>
    <s v="LD5729"/>
    <d v="2024-10-22T00:00:00"/>
    <x v="1"/>
    <s v="Google Ads - Brand"/>
    <s v="Tablet"/>
    <s v="Asia Pacific"/>
    <s v="SQL"/>
    <m/>
    <m/>
    <m/>
    <n v="3"/>
    <x v="5"/>
    <n v="1"/>
    <n v="1"/>
    <n v="0"/>
  </r>
  <r>
    <s v="LD2469"/>
    <d v="2024-03-25T00:00:00"/>
    <x v="2"/>
    <s v="Direct / Type-in"/>
    <s v="Tablet"/>
    <s v="Europe"/>
    <s v="MQL"/>
    <m/>
    <m/>
    <m/>
    <n v="2"/>
    <x v="8"/>
    <n v="1"/>
    <n v="0"/>
    <n v="0"/>
  </r>
  <r>
    <s v="LD6383"/>
    <d v="2024-11-15T00:00:00"/>
    <x v="5"/>
    <s v="Landing Page SEO"/>
    <s v="Mobile"/>
    <s v="North America"/>
    <s v="SQL"/>
    <m/>
    <m/>
    <m/>
    <n v="3"/>
    <x v="2"/>
    <n v="1"/>
    <n v="1"/>
    <n v="0"/>
  </r>
  <r>
    <s v="LD4981"/>
    <d v="2024-08-23T00:00:00"/>
    <x v="2"/>
    <s v="Direct / Type-in"/>
    <s v="Desktop"/>
    <s v="North America"/>
    <s v="Lead"/>
    <m/>
    <m/>
    <m/>
    <n v="1"/>
    <x v="6"/>
    <n v="0"/>
    <n v="0"/>
    <n v="0"/>
  </r>
  <r>
    <s v="LD2808"/>
    <d v="2024-04-18T00:00:00"/>
    <x v="3"/>
    <s v="Monthly Newsletter"/>
    <s v="Desktop"/>
    <s v="North America"/>
    <s v="Lead"/>
    <m/>
    <m/>
    <m/>
    <n v="1"/>
    <x v="1"/>
    <n v="0"/>
    <n v="0"/>
    <n v="0"/>
  </r>
  <r>
    <s v="LD6234"/>
    <d v="2024-10-05T00:00:00"/>
    <x v="2"/>
    <s v="Direct / Type-in"/>
    <s v="Desktop"/>
    <s v="North America"/>
    <s v="MQL"/>
    <m/>
    <m/>
    <m/>
    <n v="2"/>
    <x v="5"/>
    <n v="1"/>
    <n v="0"/>
    <n v="0"/>
  </r>
  <r>
    <s v="LD1108"/>
    <d v="2024-01-08T00:00:00"/>
    <x v="1"/>
    <s v="Google Ads - Generic"/>
    <s v="Mobile"/>
    <s v="Europe"/>
    <s v="MQL"/>
    <m/>
    <m/>
    <m/>
    <n v="2"/>
    <x v="3"/>
    <n v="1"/>
    <n v="0"/>
    <n v="0"/>
  </r>
  <r>
    <s v="LD1030"/>
    <d v="2024-01-19T00:00:00"/>
    <x v="5"/>
    <s v="Blog SEO"/>
    <s v="Desktop"/>
    <s v="Europe"/>
    <s v="Customer"/>
    <n v="49"/>
    <s v="Basic"/>
    <n v="738"/>
    <n v="4"/>
    <x v="3"/>
    <n v="1"/>
    <n v="1"/>
    <n v="1"/>
  </r>
  <r>
    <s v="LD4102"/>
    <d v="2024-07-26T00:00:00"/>
    <x v="5"/>
    <s v="Landing Page SEO"/>
    <s v="Desktop"/>
    <s v="North America"/>
    <s v="SQL"/>
    <m/>
    <m/>
    <m/>
    <n v="3"/>
    <x v="0"/>
    <n v="1"/>
    <n v="1"/>
    <n v="0"/>
  </r>
  <r>
    <s v="LD6534"/>
    <d v="2024-11-09T00:00:00"/>
    <x v="1"/>
    <s v="Google Ads - Brand"/>
    <s v="Desktop"/>
    <s v="Europe"/>
    <s v="Lead"/>
    <m/>
    <m/>
    <m/>
    <n v="1"/>
    <x v="2"/>
    <n v="0"/>
    <n v="0"/>
    <n v="0"/>
  </r>
  <r>
    <s v="LD5348"/>
    <d v="2024-09-22T00:00:00"/>
    <x v="3"/>
    <s v="Promo Blast"/>
    <s v="Desktop"/>
    <s v="Europe"/>
    <s v="MQL"/>
    <m/>
    <m/>
    <m/>
    <n v="2"/>
    <x v="9"/>
    <n v="1"/>
    <n v="0"/>
    <n v="0"/>
  </r>
  <r>
    <s v="LD4581"/>
    <d v="2024-08-24T00:00:00"/>
    <x v="1"/>
    <s v="Google Ads - Generic"/>
    <s v="Desktop"/>
    <s v="Latin America"/>
    <s v="SQL"/>
    <m/>
    <m/>
    <m/>
    <n v="3"/>
    <x v="6"/>
    <n v="1"/>
    <n v="1"/>
    <n v="0"/>
  </r>
  <r>
    <s v="LD1752"/>
    <d v="2024-02-26T00:00:00"/>
    <x v="3"/>
    <s v="Promo Blast"/>
    <s v="Desktop"/>
    <s v="Asia Pacific"/>
    <s v="MQL"/>
    <m/>
    <m/>
    <m/>
    <n v="2"/>
    <x v="10"/>
    <n v="1"/>
    <n v="0"/>
    <n v="0"/>
  </r>
  <r>
    <s v="LD1585"/>
    <d v="2024-02-27T00:00:00"/>
    <x v="1"/>
    <s v="Google Ads - Generic"/>
    <s v="Mobile"/>
    <s v="Europe"/>
    <s v="MQL"/>
    <m/>
    <m/>
    <m/>
    <n v="2"/>
    <x v="10"/>
    <n v="1"/>
    <n v="0"/>
    <n v="0"/>
  </r>
  <r>
    <s v="LD2221"/>
    <d v="2024-03-04T00:00:00"/>
    <x v="3"/>
    <s v="Promo Blast"/>
    <s v="Desktop"/>
    <s v="North America"/>
    <s v="Lead"/>
    <m/>
    <m/>
    <m/>
    <n v="1"/>
    <x v="8"/>
    <n v="0"/>
    <n v="0"/>
    <n v="0"/>
  </r>
  <r>
    <s v="LD5307"/>
    <d v="2024-09-26T00:00:00"/>
    <x v="3"/>
    <s v="Promo Blast"/>
    <s v="Tablet"/>
    <s v="Europe"/>
    <s v="SQL"/>
    <m/>
    <m/>
    <m/>
    <n v="3"/>
    <x v="9"/>
    <n v="1"/>
    <n v="1"/>
    <n v="0"/>
  </r>
  <r>
    <s v="LD2551"/>
    <d v="2024-04-21T00:00:00"/>
    <x v="5"/>
    <s v="Blog SEO"/>
    <s v="Tablet"/>
    <s v="Asia Pacific"/>
    <s v="Lead"/>
    <m/>
    <m/>
    <m/>
    <n v="1"/>
    <x v="1"/>
    <n v="0"/>
    <n v="0"/>
    <n v="0"/>
  </r>
  <r>
    <s v="LD3679"/>
    <d v="2024-06-21T00:00:00"/>
    <x v="1"/>
    <s v="Google Ads - Brand"/>
    <s v="Desktop"/>
    <s v="North America"/>
    <s v="Lead"/>
    <m/>
    <m/>
    <m/>
    <n v="1"/>
    <x v="11"/>
    <n v="0"/>
    <n v="0"/>
    <n v="0"/>
  </r>
  <r>
    <s v="LD2993"/>
    <d v="2024-04-08T00:00:00"/>
    <x v="2"/>
    <s v="Direct / Type-in"/>
    <s v="Mobile"/>
    <s v="Europe"/>
    <s v="Lead"/>
    <m/>
    <m/>
    <m/>
    <n v="1"/>
    <x v="1"/>
    <n v="0"/>
    <n v="0"/>
    <n v="0"/>
  </r>
  <r>
    <s v="LD1549"/>
    <d v="2024-02-13T00:00:00"/>
    <x v="5"/>
    <s v="Blog SEO"/>
    <s v="Mobile"/>
    <s v="Europe"/>
    <s v="Lead"/>
    <m/>
    <m/>
    <m/>
    <n v="1"/>
    <x v="10"/>
    <n v="0"/>
    <n v="0"/>
    <n v="0"/>
  </r>
  <r>
    <s v="LD6251"/>
    <d v="2024-10-07T00:00:00"/>
    <x v="2"/>
    <s v="Direct / Type-in"/>
    <s v="Desktop"/>
    <s v="Asia Pacific"/>
    <s v="MQL"/>
    <m/>
    <m/>
    <m/>
    <n v="2"/>
    <x v="5"/>
    <n v="1"/>
    <n v="0"/>
    <n v="0"/>
  </r>
  <r>
    <s v="LD5558"/>
    <d v="2024-09-26T00:00:00"/>
    <x v="2"/>
    <s v="Direct / Type-in"/>
    <s v="Desktop"/>
    <s v="Europe"/>
    <s v="Lead"/>
    <m/>
    <m/>
    <m/>
    <n v="1"/>
    <x v="9"/>
    <n v="0"/>
    <n v="0"/>
    <n v="0"/>
  </r>
  <r>
    <s v="LD7309"/>
    <d v="2024-12-15T00:00:00"/>
    <x v="1"/>
    <s v="Google Ads - Generic"/>
    <s v="Mobile"/>
    <s v="North America"/>
    <s v="Lead"/>
    <m/>
    <m/>
    <m/>
    <n v="1"/>
    <x v="7"/>
    <n v="0"/>
    <n v="0"/>
    <n v="0"/>
  </r>
  <r>
    <s v="LD2562"/>
    <d v="2024-04-05T00:00:00"/>
    <x v="5"/>
    <s v="Blog SEO"/>
    <s v="Desktop"/>
    <s v="North America"/>
    <s v="Lead"/>
    <m/>
    <m/>
    <m/>
    <n v="1"/>
    <x v="1"/>
    <n v="0"/>
    <n v="0"/>
    <n v="0"/>
  </r>
  <r>
    <s v="LD6608"/>
    <d v="2024-11-09T00:00:00"/>
    <x v="0"/>
    <s v="Facebook Ads"/>
    <s v="Desktop"/>
    <s v="Europe"/>
    <s v="MQL"/>
    <m/>
    <m/>
    <m/>
    <n v="2"/>
    <x v="2"/>
    <n v="1"/>
    <n v="0"/>
    <n v="0"/>
  </r>
  <r>
    <s v="LD7536"/>
    <d v="2024-12-19T00:00:00"/>
    <x v="3"/>
    <s v="Monthly Newsletter"/>
    <s v="Mobile"/>
    <s v="Europe"/>
    <s v="Lead"/>
    <m/>
    <m/>
    <m/>
    <n v="1"/>
    <x v="7"/>
    <n v="0"/>
    <n v="0"/>
    <n v="0"/>
  </r>
  <r>
    <s v="LD7635"/>
    <d v="2024-12-25T00:00:00"/>
    <x v="4"/>
    <s v="Partner Program"/>
    <s v="Mobile"/>
    <s v="North America"/>
    <s v="Lead"/>
    <m/>
    <m/>
    <m/>
    <n v="1"/>
    <x v="7"/>
    <n v="0"/>
    <n v="0"/>
    <n v="0"/>
  </r>
  <r>
    <s v="LD5766"/>
    <d v="2024-10-10T00:00:00"/>
    <x v="1"/>
    <s v="Google Ads - Brand"/>
    <s v="Mobile"/>
    <s v="Asia Pacific"/>
    <s v="MQL"/>
    <m/>
    <m/>
    <m/>
    <n v="2"/>
    <x v="5"/>
    <n v="1"/>
    <n v="0"/>
    <n v="0"/>
  </r>
  <r>
    <s v="LD3651"/>
    <d v="2024-06-25T00:00:00"/>
    <x v="1"/>
    <s v="Google Ads - Brand"/>
    <s v="Desktop"/>
    <s v="Europe"/>
    <s v="Lead"/>
    <m/>
    <m/>
    <m/>
    <n v="1"/>
    <x v="11"/>
    <n v="0"/>
    <n v="0"/>
    <n v="0"/>
  </r>
  <r>
    <s v="LD5167"/>
    <d v="2024-09-09T00:00:00"/>
    <x v="1"/>
    <s v="Google Ads - Generic"/>
    <s v="Mobile"/>
    <s v="North America"/>
    <s v="MQL"/>
    <m/>
    <m/>
    <m/>
    <n v="2"/>
    <x v="9"/>
    <n v="1"/>
    <n v="0"/>
    <n v="0"/>
  </r>
  <r>
    <s v="LD5170"/>
    <d v="2024-09-05T00:00:00"/>
    <x v="1"/>
    <s v="Google Ads - Brand"/>
    <s v="Mobile"/>
    <s v="Europe"/>
    <s v="MQL"/>
    <m/>
    <m/>
    <m/>
    <n v="2"/>
    <x v="9"/>
    <n v="1"/>
    <n v="0"/>
    <n v="0"/>
  </r>
  <r>
    <s v="LD6066"/>
    <d v="2024-10-21T00:00:00"/>
    <x v="3"/>
    <s v="Promo Blast"/>
    <s v="Mobile"/>
    <s v="Latin America"/>
    <s v="MQL"/>
    <m/>
    <m/>
    <m/>
    <n v="2"/>
    <x v="5"/>
    <n v="1"/>
    <n v="0"/>
    <n v="0"/>
  </r>
  <r>
    <s v="LD5092"/>
    <d v="2024-09-14T00:00:00"/>
    <x v="5"/>
    <s v="Blog SEO"/>
    <s v="Desktop"/>
    <s v="Europe"/>
    <s v="Lead"/>
    <m/>
    <m/>
    <m/>
    <n v="1"/>
    <x v="9"/>
    <n v="0"/>
    <n v="0"/>
    <n v="0"/>
  </r>
  <r>
    <s v="LD3816"/>
    <d v="2024-06-28T00:00:00"/>
    <x v="3"/>
    <s v="Promo Blast"/>
    <s v="Mobile"/>
    <s v="Latin America"/>
    <s v="Lead"/>
    <m/>
    <m/>
    <m/>
    <n v="1"/>
    <x v="11"/>
    <n v="0"/>
    <n v="0"/>
    <n v="0"/>
  </r>
  <r>
    <s v="LD6408"/>
    <d v="2024-11-24T00:00:00"/>
    <x v="5"/>
    <s v="Landing Page SEO"/>
    <s v="Mobile"/>
    <s v="Asia Pacific"/>
    <s v="MQL"/>
    <m/>
    <m/>
    <m/>
    <n v="2"/>
    <x v="2"/>
    <n v="1"/>
    <n v="0"/>
    <n v="0"/>
  </r>
  <r>
    <s v="LD2741"/>
    <d v="2024-04-13T00:00:00"/>
    <x v="3"/>
    <s v="Monthly Newsletter"/>
    <s v="Mobile"/>
    <s v="Asia Pacific"/>
    <s v="MQL"/>
    <m/>
    <m/>
    <m/>
    <n v="2"/>
    <x v="1"/>
    <n v="1"/>
    <n v="0"/>
    <n v="0"/>
  </r>
  <r>
    <s v="LD2766"/>
    <d v="2024-04-13T00:00:00"/>
    <x v="3"/>
    <s v="Promo Blast"/>
    <s v="Desktop"/>
    <s v="North America"/>
    <s v="Lead"/>
    <m/>
    <m/>
    <m/>
    <n v="1"/>
    <x v="1"/>
    <n v="0"/>
    <n v="0"/>
    <n v="0"/>
  </r>
  <r>
    <s v="LD7589"/>
    <d v="2024-12-07T00:00:00"/>
    <x v="3"/>
    <s v="Promo Blast"/>
    <s v="Mobile"/>
    <s v="North America"/>
    <s v="SQL"/>
    <m/>
    <m/>
    <m/>
    <n v="3"/>
    <x v="7"/>
    <n v="1"/>
    <n v="1"/>
    <n v="0"/>
  </r>
  <r>
    <s v="LD1091"/>
    <d v="2024-01-27T00:00:00"/>
    <x v="1"/>
    <s v="Google Ads - Generic"/>
    <s v="Mobile"/>
    <s v="Latin America"/>
    <s v="Lead"/>
    <m/>
    <m/>
    <m/>
    <n v="1"/>
    <x v="3"/>
    <n v="0"/>
    <n v="0"/>
    <n v="0"/>
  </r>
  <r>
    <s v="LD3819"/>
    <d v="2024-06-28T00:00:00"/>
    <x v="3"/>
    <s v="Monthly Newsletter"/>
    <s v="Mobile"/>
    <s v="North America"/>
    <s v="MQL"/>
    <m/>
    <m/>
    <m/>
    <n v="2"/>
    <x v="11"/>
    <n v="1"/>
    <n v="0"/>
    <n v="0"/>
  </r>
  <r>
    <s v="LD5185"/>
    <d v="2024-09-21T00:00:00"/>
    <x v="1"/>
    <s v="Google Ads - Brand"/>
    <s v="Mobile"/>
    <s v="North America"/>
    <s v="MQL"/>
    <m/>
    <m/>
    <m/>
    <n v="2"/>
    <x v="9"/>
    <n v="1"/>
    <n v="0"/>
    <n v="0"/>
  </r>
  <r>
    <s v="LD6275"/>
    <d v="2024-10-08T00:00:00"/>
    <x v="2"/>
    <s v="Direct / Type-in"/>
    <s v="Mobile"/>
    <s v="Europe"/>
    <s v="Lead"/>
    <m/>
    <m/>
    <m/>
    <n v="1"/>
    <x v="5"/>
    <n v="0"/>
    <n v="0"/>
    <n v="0"/>
  </r>
  <r>
    <s v="LD5246"/>
    <d v="2024-09-22T00:00:00"/>
    <x v="0"/>
    <s v="Instagram Ads"/>
    <s v="Mobile"/>
    <s v="North America"/>
    <s v="Lead"/>
    <m/>
    <m/>
    <m/>
    <n v="1"/>
    <x v="9"/>
    <n v="0"/>
    <n v="0"/>
    <n v="0"/>
  </r>
  <r>
    <s v="LD3393"/>
    <d v="2024-05-01T00:00:00"/>
    <x v="3"/>
    <s v="Promo Blast"/>
    <s v="Desktop"/>
    <s v="Europe"/>
    <s v="Lead"/>
    <m/>
    <m/>
    <m/>
    <n v="1"/>
    <x v="4"/>
    <n v="0"/>
    <n v="0"/>
    <n v="0"/>
  </r>
  <r>
    <s v="LD1625"/>
    <d v="2024-02-02T00:00:00"/>
    <x v="1"/>
    <s v="Google Ads - Brand"/>
    <s v="Mobile"/>
    <s v="Europe"/>
    <s v="MQL"/>
    <m/>
    <m/>
    <m/>
    <n v="2"/>
    <x v="10"/>
    <n v="1"/>
    <n v="0"/>
    <n v="0"/>
  </r>
  <r>
    <s v="LD1070"/>
    <d v="2024-01-18T00:00:00"/>
    <x v="5"/>
    <s v="Blog SEO"/>
    <s v="Desktop"/>
    <s v="Europe"/>
    <s v="MQL"/>
    <m/>
    <m/>
    <m/>
    <n v="2"/>
    <x v="3"/>
    <n v="1"/>
    <n v="0"/>
    <n v="0"/>
  </r>
  <r>
    <s v="LD1890"/>
    <d v="2024-02-23T00:00:00"/>
    <x v="2"/>
    <s v="Direct / Type-in"/>
    <s v="Mobile"/>
    <s v="North America"/>
    <s v="MQL"/>
    <m/>
    <m/>
    <m/>
    <n v="2"/>
    <x v="10"/>
    <n v="1"/>
    <n v="0"/>
    <n v="0"/>
  </r>
  <r>
    <s v="LD6319"/>
    <d v="2024-10-17T00:00:00"/>
    <x v="2"/>
    <s v="Direct / Type-in"/>
    <s v="Desktop"/>
    <s v="Europe"/>
    <s v="Lead"/>
    <m/>
    <m/>
    <m/>
    <n v="1"/>
    <x v="5"/>
    <n v="0"/>
    <n v="0"/>
    <n v="0"/>
  </r>
  <r>
    <s v="LD6144"/>
    <d v="2024-10-18T00:00:00"/>
    <x v="4"/>
    <s v="Partner Program"/>
    <s v="Mobile"/>
    <s v="North America"/>
    <s v="Lead"/>
    <m/>
    <m/>
    <m/>
    <n v="1"/>
    <x v="5"/>
    <n v="0"/>
    <n v="0"/>
    <n v="0"/>
  </r>
  <r>
    <s v="LD5377"/>
    <d v="2024-09-22T00:00:00"/>
    <x v="3"/>
    <s v="Promo Blast"/>
    <s v="Mobile"/>
    <s v="Latin America"/>
    <s v="Lead"/>
    <m/>
    <m/>
    <m/>
    <n v="1"/>
    <x v="9"/>
    <n v="0"/>
    <n v="0"/>
    <n v="0"/>
  </r>
  <r>
    <s v="LD5467"/>
    <d v="2024-09-20T00:00:00"/>
    <x v="4"/>
    <s v="Partner Program"/>
    <s v="Desktop"/>
    <s v="Asia Pacific"/>
    <s v="Customer"/>
    <n v="59"/>
    <s v="Pro"/>
    <n v="4957.46"/>
    <n v="4"/>
    <x v="9"/>
    <n v="1"/>
    <n v="1"/>
    <n v="1"/>
  </r>
  <r>
    <s v="LD2957"/>
    <d v="2024-04-23T00:00:00"/>
    <x v="2"/>
    <s v="Direct / Type-in"/>
    <s v="Desktop"/>
    <s v="North America"/>
    <s v="Lead"/>
    <m/>
    <m/>
    <m/>
    <n v="1"/>
    <x v="1"/>
    <n v="0"/>
    <n v="0"/>
    <n v="0"/>
  </r>
  <r>
    <s v="LD3178"/>
    <d v="2024-05-03T00:00:00"/>
    <x v="1"/>
    <s v="Google Ads - Generic"/>
    <s v="Desktop"/>
    <s v="North America"/>
    <s v="Lead"/>
    <m/>
    <m/>
    <m/>
    <n v="1"/>
    <x v="4"/>
    <n v="0"/>
    <n v="0"/>
    <n v="0"/>
  </r>
  <r>
    <s v="LD1948"/>
    <d v="2024-03-18T00:00:00"/>
    <x v="5"/>
    <s v="Landing Page SEO"/>
    <s v="Desktop"/>
    <s v="North America"/>
    <s v="Lead"/>
    <m/>
    <m/>
    <m/>
    <n v="1"/>
    <x v="8"/>
    <n v="0"/>
    <n v="0"/>
    <n v="0"/>
  </r>
  <r>
    <s v="LD1878"/>
    <d v="2024-02-01T00:00:00"/>
    <x v="4"/>
    <s v="Affiliate Program"/>
    <s v="Tablet"/>
    <s v="North America"/>
    <s v="Lead"/>
    <m/>
    <m/>
    <m/>
    <n v="1"/>
    <x v="10"/>
    <n v="0"/>
    <n v="0"/>
    <n v="0"/>
  </r>
  <r>
    <s v="LD6715"/>
    <d v="2024-11-17T00:00:00"/>
    <x v="3"/>
    <s v="Monthly Newsletter"/>
    <s v="Tablet"/>
    <s v="North America"/>
    <s v="Lead"/>
    <m/>
    <m/>
    <m/>
    <n v="1"/>
    <x v="2"/>
    <n v="0"/>
    <n v="0"/>
    <n v="0"/>
  </r>
  <r>
    <s v="LD7333"/>
    <d v="2024-12-02T00:00:00"/>
    <x v="0"/>
    <s v="LinkedIn Ads"/>
    <s v="Desktop"/>
    <s v="Latin America"/>
    <s v="SQL"/>
    <m/>
    <m/>
    <m/>
    <n v="3"/>
    <x v="7"/>
    <n v="1"/>
    <n v="1"/>
    <n v="0"/>
  </r>
  <r>
    <s v="LD1294"/>
    <d v="2024-01-23T00:00:00"/>
    <x v="3"/>
    <s v="Promo Blast"/>
    <s v="Desktop"/>
    <s v="North America"/>
    <s v="SQL"/>
    <m/>
    <m/>
    <m/>
    <n v="3"/>
    <x v="3"/>
    <n v="1"/>
    <n v="1"/>
    <n v="0"/>
  </r>
  <r>
    <s v="LD7559"/>
    <d v="2024-12-11T00:00:00"/>
    <x v="3"/>
    <s v="Promo Blast"/>
    <s v="Desktop"/>
    <s v="Latin America"/>
    <s v="MQL"/>
    <m/>
    <m/>
    <m/>
    <n v="2"/>
    <x v="7"/>
    <n v="1"/>
    <n v="0"/>
    <n v="0"/>
  </r>
  <r>
    <s v="LD5316"/>
    <d v="2024-09-02T00:00:00"/>
    <x v="3"/>
    <s v="Monthly Newsletter"/>
    <s v="Desktop"/>
    <s v="Asia Pacific"/>
    <s v="SQL"/>
    <m/>
    <m/>
    <m/>
    <n v="3"/>
    <x v="9"/>
    <n v="1"/>
    <n v="1"/>
    <n v="0"/>
  </r>
  <r>
    <s v="LD1446"/>
    <d v="2024-01-15T00:00:00"/>
    <x v="2"/>
    <s v="Direct / Type-in"/>
    <s v="Tablet"/>
    <s v="North America"/>
    <s v="Lead"/>
    <m/>
    <m/>
    <m/>
    <n v="1"/>
    <x v="3"/>
    <n v="0"/>
    <n v="0"/>
    <n v="0"/>
  </r>
  <r>
    <s v="LD7067"/>
    <d v="2024-11-09T00:00:00"/>
    <x v="2"/>
    <s v="Direct / Type-in"/>
    <s v="Desktop"/>
    <s v="Latin America"/>
    <s v="SQL"/>
    <m/>
    <m/>
    <m/>
    <n v="3"/>
    <x v="2"/>
    <n v="1"/>
    <n v="1"/>
    <n v="0"/>
  </r>
  <r>
    <s v="LD6517"/>
    <d v="2024-11-26T00:00:00"/>
    <x v="1"/>
    <s v="Google Ads - Brand"/>
    <s v="Mobile"/>
    <s v="North America"/>
    <s v="Lead"/>
    <m/>
    <m/>
    <m/>
    <n v="1"/>
    <x v="2"/>
    <n v="0"/>
    <n v="0"/>
    <n v="0"/>
  </r>
  <r>
    <s v="LD4317"/>
    <d v="2024-07-20T00:00:00"/>
    <x v="3"/>
    <s v="Promo Blast"/>
    <s v="Mobile"/>
    <s v="North America"/>
    <s v="Lead"/>
    <m/>
    <m/>
    <m/>
    <n v="1"/>
    <x v="0"/>
    <n v="0"/>
    <n v="0"/>
    <n v="0"/>
  </r>
  <r>
    <s v="LD2607"/>
    <d v="2024-04-18T00:00:00"/>
    <x v="1"/>
    <s v="Google Ads - Generic"/>
    <s v="Mobile"/>
    <s v="North America"/>
    <s v="MQL"/>
    <m/>
    <m/>
    <m/>
    <n v="2"/>
    <x v="1"/>
    <n v="1"/>
    <n v="0"/>
    <n v="0"/>
  </r>
  <r>
    <s v="LD5999"/>
    <d v="2024-10-27T00:00:00"/>
    <x v="3"/>
    <s v="Promo Blast"/>
    <s v="Desktop"/>
    <s v="North America"/>
    <s v="Lead"/>
    <m/>
    <m/>
    <m/>
    <n v="1"/>
    <x v="5"/>
    <n v="0"/>
    <n v="0"/>
    <n v="0"/>
  </r>
  <r>
    <s v="LD5517"/>
    <d v="2024-09-06T00:00:00"/>
    <x v="4"/>
    <s v="Affiliate Program"/>
    <s v="Tablet"/>
    <s v="Latin America"/>
    <s v="SQL"/>
    <m/>
    <m/>
    <m/>
    <n v="3"/>
    <x v="9"/>
    <n v="1"/>
    <n v="1"/>
    <n v="0"/>
  </r>
  <r>
    <s v="LD3655"/>
    <d v="2024-06-25T00:00:00"/>
    <x v="1"/>
    <s v="Google Ads - Generic"/>
    <s v="Mobile"/>
    <s v="North America"/>
    <s v="Lead"/>
    <m/>
    <m/>
    <m/>
    <n v="1"/>
    <x v="11"/>
    <n v="0"/>
    <n v="0"/>
    <n v="0"/>
  </r>
  <r>
    <s v="LD4935"/>
    <d v="2024-08-22T00:00:00"/>
    <x v="4"/>
    <s v="Partner Program"/>
    <s v="Desktop"/>
    <s v="North America"/>
    <s v="Lead"/>
    <m/>
    <m/>
    <m/>
    <n v="1"/>
    <x v="6"/>
    <n v="0"/>
    <n v="0"/>
    <n v="0"/>
  </r>
  <r>
    <s v="LD5848"/>
    <d v="2024-10-09T00:00:00"/>
    <x v="0"/>
    <s v="Instagram Ads"/>
    <s v="Desktop"/>
    <s v="North America"/>
    <s v="Lead"/>
    <m/>
    <m/>
    <m/>
    <n v="1"/>
    <x v="5"/>
    <n v="0"/>
    <n v="0"/>
    <n v="0"/>
  </r>
  <r>
    <s v="LD5743"/>
    <d v="2024-10-01T00:00:00"/>
    <x v="1"/>
    <s v="Google Ads - Brand"/>
    <s v="Desktop"/>
    <s v="Europe"/>
    <s v="Lead"/>
    <m/>
    <m/>
    <m/>
    <n v="1"/>
    <x v="5"/>
    <n v="0"/>
    <n v="0"/>
    <n v="0"/>
  </r>
  <r>
    <s v="LD1368"/>
    <d v="2024-01-01T00:00:00"/>
    <x v="4"/>
    <s v="Partner Program"/>
    <s v="Desktop"/>
    <s v="North America"/>
    <s v="MQL"/>
    <m/>
    <m/>
    <m/>
    <n v="2"/>
    <x v="3"/>
    <n v="1"/>
    <n v="0"/>
    <n v="0"/>
  </r>
  <r>
    <s v="LD4164"/>
    <d v="2024-07-05T00:00:00"/>
    <x v="1"/>
    <s v="Google Ads - Brand"/>
    <s v="Desktop"/>
    <s v="Asia Pacific"/>
    <s v="Lead"/>
    <m/>
    <m/>
    <m/>
    <n v="1"/>
    <x v="0"/>
    <n v="0"/>
    <n v="0"/>
    <n v="0"/>
  </r>
  <r>
    <s v="LD3345"/>
    <d v="2024-05-08T00:00:00"/>
    <x v="3"/>
    <s v="Monthly Newsletter"/>
    <s v="Desktop"/>
    <s v="North America"/>
    <s v="MQL"/>
    <m/>
    <m/>
    <m/>
    <n v="2"/>
    <x v="4"/>
    <n v="1"/>
    <n v="0"/>
    <n v="0"/>
  </r>
  <r>
    <s v="LD2871"/>
    <d v="2024-04-02T00:00:00"/>
    <x v="4"/>
    <s v="Affiliate Program"/>
    <s v="Desktop"/>
    <s v="Europe"/>
    <s v="Lead"/>
    <m/>
    <m/>
    <m/>
    <n v="1"/>
    <x v="1"/>
    <n v="0"/>
    <n v="0"/>
    <n v="0"/>
  </r>
  <r>
    <s v="LD7161"/>
    <d v="2024-12-21T00:00:00"/>
    <x v="5"/>
    <s v="Blog SEO"/>
    <s v="Mobile"/>
    <s v="North America"/>
    <s v="MQL"/>
    <m/>
    <m/>
    <m/>
    <n v="2"/>
    <x v="7"/>
    <n v="1"/>
    <n v="0"/>
    <n v="0"/>
  </r>
  <r>
    <s v="LD2738"/>
    <d v="2024-04-22T00:00:00"/>
    <x v="3"/>
    <s v="Promo Blast"/>
    <s v="Desktop"/>
    <s v="North America"/>
    <s v="MQL"/>
    <m/>
    <m/>
    <m/>
    <n v="2"/>
    <x v="1"/>
    <n v="1"/>
    <n v="0"/>
    <n v="0"/>
  </r>
  <r>
    <s v="LD7218"/>
    <d v="2024-12-27T00:00:00"/>
    <x v="1"/>
    <s v="Google Ads - Brand"/>
    <s v="Mobile"/>
    <s v="Asia Pacific"/>
    <s v="Lead"/>
    <m/>
    <m/>
    <m/>
    <n v="1"/>
    <x v="7"/>
    <n v="0"/>
    <n v="0"/>
    <n v="0"/>
  </r>
  <r>
    <s v="LD7194"/>
    <d v="2024-12-02T00:00:00"/>
    <x v="5"/>
    <s v="Landing Page SEO"/>
    <s v="Desktop"/>
    <s v="North America"/>
    <s v="MQL"/>
    <m/>
    <m/>
    <m/>
    <n v="2"/>
    <x v="7"/>
    <n v="1"/>
    <n v="0"/>
    <n v="0"/>
  </r>
  <r>
    <s v="LD3826"/>
    <d v="2024-06-02T00:00:00"/>
    <x v="3"/>
    <s v="Promo Blast"/>
    <s v="Mobile"/>
    <s v="North America"/>
    <s v="Lead"/>
    <m/>
    <m/>
    <m/>
    <n v="1"/>
    <x v="11"/>
    <n v="0"/>
    <n v="0"/>
    <n v="0"/>
  </r>
  <r>
    <s v="LD6651"/>
    <d v="2024-11-26T00:00:00"/>
    <x v="0"/>
    <s v="Instagram Ads"/>
    <s v="Desktop"/>
    <s v="Asia Pacific"/>
    <s v="SQL"/>
    <m/>
    <m/>
    <m/>
    <n v="3"/>
    <x v="2"/>
    <n v="1"/>
    <n v="1"/>
    <n v="0"/>
  </r>
  <r>
    <s v="LD7037"/>
    <d v="2024-11-06T00:00:00"/>
    <x v="2"/>
    <s v="Direct / Type-in"/>
    <s v="Mobile"/>
    <s v="Asia Pacific"/>
    <s v="Lead"/>
    <m/>
    <m/>
    <m/>
    <n v="1"/>
    <x v="2"/>
    <n v="0"/>
    <n v="0"/>
    <n v="0"/>
  </r>
  <r>
    <s v="LD6720"/>
    <d v="2024-11-23T00:00:00"/>
    <x v="3"/>
    <s v="Promo Blast"/>
    <s v="Desktop"/>
    <s v="North America"/>
    <s v="Lead"/>
    <m/>
    <m/>
    <m/>
    <n v="1"/>
    <x v="2"/>
    <n v="0"/>
    <n v="0"/>
    <n v="0"/>
  </r>
  <r>
    <s v="LD3776"/>
    <d v="2024-06-13T00:00:00"/>
    <x v="0"/>
    <s v="LinkedIn Ads"/>
    <s v="Desktop"/>
    <s v="North America"/>
    <s v="MQL"/>
    <m/>
    <m/>
    <m/>
    <n v="2"/>
    <x v="11"/>
    <n v="1"/>
    <n v="0"/>
    <n v="0"/>
  </r>
  <r>
    <s v="LD5265"/>
    <d v="2024-09-02T00:00:00"/>
    <x v="0"/>
    <s v="Facebook Ads"/>
    <s v="Mobile"/>
    <s v="North America"/>
    <s v="Lead"/>
    <m/>
    <m/>
    <m/>
    <n v="1"/>
    <x v="9"/>
    <n v="0"/>
    <n v="0"/>
    <n v="0"/>
  </r>
  <r>
    <s v="LD2187"/>
    <d v="2024-03-26T00:00:00"/>
    <x v="0"/>
    <s v="Facebook Ads"/>
    <s v="Desktop"/>
    <s v="North America"/>
    <s v="Lead"/>
    <m/>
    <m/>
    <m/>
    <n v="1"/>
    <x v="8"/>
    <n v="0"/>
    <n v="0"/>
    <n v="0"/>
  </r>
  <r>
    <s v="LD6180"/>
    <d v="2024-10-09T00:00:00"/>
    <x v="4"/>
    <s v="Affiliate Program"/>
    <s v="Mobile"/>
    <s v="North America"/>
    <s v="MQL"/>
    <m/>
    <m/>
    <m/>
    <n v="2"/>
    <x v="5"/>
    <n v="1"/>
    <n v="0"/>
    <n v="0"/>
  </r>
  <r>
    <s v="LD3255"/>
    <d v="2024-05-21T00:00:00"/>
    <x v="0"/>
    <s v="LinkedIn Ads"/>
    <s v="Desktop"/>
    <s v="Europe"/>
    <s v="SQL"/>
    <m/>
    <m/>
    <m/>
    <n v="3"/>
    <x v="4"/>
    <n v="1"/>
    <n v="1"/>
    <n v="0"/>
  </r>
  <r>
    <s v="LD3935"/>
    <d v="2024-06-23T00:00:00"/>
    <x v="4"/>
    <s v="Affiliate Program"/>
    <s v="Mobile"/>
    <s v="North America"/>
    <s v="Lead"/>
    <m/>
    <m/>
    <m/>
    <n v="1"/>
    <x v="11"/>
    <n v="0"/>
    <n v="0"/>
    <n v="0"/>
  </r>
  <r>
    <s v="LD3514"/>
    <d v="2024-05-23T00:00:00"/>
    <x v="2"/>
    <s v="Direct / Type-in"/>
    <s v="Mobile"/>
    <s v="Europe"/>
    <s v="MQL"/>
    <m/>
    <m/>
    <m/>
    <n v="2"/>
    <x v="4"/>
    <n v="1"/>
    <n v="0"/>
    <n v="0"/>
  </r>
  <r>
    <s v="LD6153"/>
    <d v="2024-10-05T00:00:00"/>
    <x v="4"/>
    <s v="Partner Program"/>
    <s v="Mobile"/>
    <s v="Europe"/>
    <s v="MQL"/>
    <m/>
    <m/>
    <m/>
    <n v="2"/>
    <x v="5"/>
    <n v="1"/>
    <n v="0"/>
    <n v="0"/>
  </r>
  <r>
    <s v="LD7636"/>
    <d v="2024-12-02T00:00:00"/>
    <x v="4"/>
    <s v="Affiliate Program"/>
    <s v="Desktop"/>
    <s v="North America"/>
    <s v="MQL"/>
    <m/>
    <m/>
    <m/>
    <n v="2"/>
    <x v="7"/>
    <n v="1"/>
    <n v="0"/>
    <n v="0"/>
  </r>
  <r>
    <s v="LD1152"/>
    <d v="2024-01-28T00:00:00"/>
    <x v="1"/>
    <s v="Google Ads - Brand"/>
    <s v="Desktop"/>
    <s v="Europe"/>
    <s v="MQL"/>
    <m/>
    <m/>
    <m/>
    <n v="2"/>
    <x v="3"/>
    <n v="1"/>
    <n v="0"/>
    <n v="0"/>
  </r>
  <r>
    <s v="LD2898"/>
    <d v="2024-04-27T00:00:00"/>
    <x v="4"/>
    <s v="Affiliate Program"/>
    <s v="Mobile"/>
    <s v="Europe"/>
    <s v="Lead"/>
    <m/>
    <m/>
    <m/>
    <n v="1"/>
    <x v="1"/>
    <n v="0"/>
    <n v="0"/>
    <n v="0"/>
  </r>
  <r>
    <s v="LD2034"/>
    <d v="2024-03-11T00:00:00"/>
    <x v="5"/>
    <s v="Blog SEO"/>
    <s v="Mobile"/>
    <s v="North America"/>
    <s v="MQL"/>
    <m/>
    <m/>
    <m/>
    <n v="2"/>
    <x v="8"/>
    <n v="1"/>
    <n v="0"/>
    <n v="0"/>
  </r>
  <r>
    <s v="LD2384"/>
    <d v="2024-03-26T00:00:00"/>
    <x v="4"/>
    <s v="Affiliate Program"/>
    <s v="Tablet"/>
    <s v="Asia Pacific"/>
    <s v="Lead"/>
    <m/>
    <m/>
    <m/>
    <n v="1"/>
    <x v="8"/>
    <n v="0"/>
    <n v="0"/>
    <n v="0"/>
  </r>
  <r>
    <s v="LD1916"/>
    <d v="2024-02-11T00:00:00"/>
    <x v="2"/>
    <s v="Direct / Type-in"/>
    <s v="Mobile"/>
    <s v="Europe"/>
    <s v="SQL"/>
    <m/>
    <m/>
    <m/>
    <n v="3"/>
    <x v="10"/>
    <n v="1"/>
    <n v="1"/>
    <n v="0"/>
  </r>
  <r>
    <s v="LD2306"/>
    <d v="2024-03-17T00:00:00"/>
    <x v="3"/>
    <s v="Monthly Newsletter"/>
    <s v="Desktop"/>
    <s v="Latin America"/>
    <s v="SQL"/>
    <m/>
    <m/>
    <m/>
    <n v="3"/>
    <x v="8"/>
    <n v="1"/>
    <n v="1"/>
    <n v="0"/>
  </r>
  <r>
    <s v="LD4228"/>
    <d v="2024-07-27T00:00:00"/>
    <x v="0"/>
    <s v="Instagram Ads"/>
    <s v="Desktop"/>
    <s v="Europe"/>
    <s v="Lead"/>
    <m/>
    <m/>
    <m/>
    <n v="1"/>
    <x v="0"/>
    <n v="0"/>
    <n v="0"/>
    <n v="0"/>
  </r>
  <r>
    <s v="LD3305"/>
    <d v="2024-05-22T00:00:00"/>
    <x v="3"/>
    <s v="Promo Blast"/>
    <s v="Mobile"/>
    <s v="North America"/>
    <s v="Lead"/>
    <m/>
    <m/>
    <m/>
    <n v="1"/>
    <x v="4"/>
    <n v="0"/>
    <n v="0"/>
    <n v="0"/>
  </r>
  <r>
    <s v="LD6823"/>
    <d v="2024-11-11T00:00:00"/>
    <x v="3"/>
    <s v="Promo Blast"/>
    <s v="Desktop"/>
    <s v="North America"/>
    <s v="Lead"/>
    <m/>
    <m/>
    <m/>
    <n v="1"/>
    <x v="2"/>
    <n v="0"/>
    <n v="0"/>
    <n v="0"/>
  </r>
  <r>
    <s v="LD1510"/>
    <d v="2024-02-04T00:00:00"/>
    <x v="5"/>
    <s v="Blog SEO"/>
    <s v="Desktop"/>
    <s v="North America"/>
    <s v="SQL"/>
    <m/>
    <m/>
    <m/>
    <n v="3"/>
    <x v="10"/>
    <n v="1"/>
    <n v="1"/>
    <n v="0"/>
  </r>
  <r>
    <s v="LD5571"/>
    <d v="2024-09-25T00:00:00"/>
    <x v="2"/>
    <s v="Direct / Type-in"/>
    <s v="Mobile"/>
    <s v="Latin America"/>
    <s v="SQL"/>
    <m/>
    <m/>
    <m/>
    <n v="3"/>
    <x v="9"/>
    <n v="1"/>
    <n v="1"/>
    <n v="0"/>
  </r>
  <r>
    <s v="LD6539"/>
    <d v="2024-11-23T00:00:00"/>
    <x v="1"/>
    <s v="Google Ads - Generic"/>
    <s v="Mobile"/>
    <s v="Europe"/>
    <s v="Lead"/>
    <m/>
    <m/>
    <m/>
    <n v="1"/>
    <x v="2"/>
    <n v="0"/>
    <n v="0"/>
    <n v="0"/>
  </r>
  <r>
    <s v="LD4834"/>
    <d v="2024-08-08T00:00:00"/>
    <x v="3"/>
    <s v="Monthly Newsletter"/>
    <s v="Mobile"/>
    <s v="Europe"/>
    <s v="Customer"/>
    <n v="33"/>
    <s v="Basic"/>
    <n v="1074.9100000000001"/>
    <n v="4"/>
    <x v="6"/>
    <n v="1"/>
    <n v="1"/>
    <n v="1"/>
  </r>
  <r>
    <s v="LD7353"/>
    <d v="2024-12-02T00:00:00"/>
    <x v="0"/>
    <s v="Facebook Ads"/>
    <s v="Mobile"/>
    <s v="North America"/>
    <s v="Customer"/>
    <n v="74"/>
    <s v="Basic"/>
    <n v="944.49"/>
    <n v="4"/>
    <x v="7"/>
    <n v="1"/>
    <n v="1"/>
    <n v="1"/>
  </r>
  <r>
    <s v="LD5568"/>
    <d v="2024-09-22T00:00:00"/>
    <x v="2"/>
    <s v="Direct / Type-in"/>
    <s v="Mobile"/>
    <s v="North America"/>
    <s v="Lead"/>
    <m/>
    <m/>
    <m/>
    <n v="1"/>
    <x v="9"/>
    <n v="0"/>
    <n v="0"/>
    <n v="0"/>
  </r>
  <r>
    <s v="LD5463"/>
    <d v="2024-09-13T00:00:00"/>
    <x v="4"/>
    <s v="Affiliate Program"/>
    <s v="Mobile"/>
    <s v="North America"/>
    <s v="Customer"/>
    <n v="25"/>
    <s v="Pro"/>
    <n v="1786.85"/>
    <n v="4"/>
    <x v="9"/>
    <n v="1"/>
    <n v="1"/>
    <n v="1"/>
  </r>
  <r>
    <s v="LD1749"/>
    <d v="2024-02-12T00:00:00"/>
    <x v="3"/>
    <s v="Monthly Newsletter"/>
    <s v="Mobile"/>
    <s v="Europe"/>
    <s v="Lead"/>
    <m/>
    <m/>
    <m/>
    <n v="1"/>
    <x v="10"/>
    <n v="0"/>
    <n v="0"/>
    <n v="0"/>
  </r>
  <r>
    <s v="LD3084"/>
    <d v="2024-05-28T00:00:00"/>
    <x v="5"/>
    <s v="Landing Page SEO"/>
    <s v="Desktop"/>
    <s v="Asia Pacific"/>
    <s v="Lead"/>
    <m/>
    <m/>
    <m/>
    <n v="1"/>
    <x v="4"/>
    <n v="0"/>
    <n v="0"/>
    <n v="0"/>
  </r>
  <r>
    <s v="LD4845"/>
    <d v="2024-08-16T00:00:00"/>
    <x v="3"/>
    <s v="Promo Blast"/>
    <s v="Desktop"/>
    <s v="North America"/>
    <s v="Customer"/>
    <n v="47"/>
    <s v="Pro"/>
    <n v="1839.27"/>
    <n v="4"/>
    <x v="6"/>
    <n v="1"/>
    <n v="1"/>
    <n v="1"/>
  </r>
  <r>
    <s v="LD5190"/>
    <d v="2024-09-20T00:00:00"/>
    <x v="1"/>
    <s v="Google Ads - Brand"/>
    <s v="Mobile"/>
    <s v="Asia Pacific"/>
    <s v="SQL"/>
    <m/>
    <m/>
    <m/>
    <n v="3"/>
    <x v="9"/>
    <n v="1"/>
    <n v="1"/>
    <n v="0"/>
  </r>
  <r>
    <s v="LD2311"/>
    <d v="2024-03-10T00:00:00"/>
    <x v="3"/>
    <s v="Promo Blast"/>
    <s v="Desktop"/>
    <s v="North America"/>
    <s v="Lead"/>
    <m/>
    <m/>
    <m/>
    <n v="1"/>
    <x v="8"/>
    <n v="0"/>
    <n v="0"/>
    <n v="0"/>
  </r>
  <r>
    <s v="LD2612"/>
    <d v="2024-04-13T00:00:00"/>
    <x v="1"/>
    <s v="Google Ads - Brand"/>
    <s v="Desktop"/>
    <s v="Latin America"/>
    <s v="MQL"/>
    <m/>
    <m/>
    <m/>
    <n v="2"/>
    <x v="1"/>
    <n v="1"/>
    <n v="0"/>
    <n v="0"/>
  </r>
  <r>
    <s v="LD7767"/>
    <d v="2024-12-01T00:00:00"/>
    <x v="2"/>
    <s v="Direct / Type-in"/>
    <s v="Mobile"/>
    <s v="Europe"/>
    <s v="Lead"/>
    <m/>
    <m/>
    <m/>
    <n v="1"/>
    <x v="7"/>
    <n v="0"/>
    <n v="0"/>
    <n v="0"/>
  </r>
  <r>
    <s v="LD5988"/>
    <d v="2024-10-10T00:00:00"/>
    <x v="3"/>
    <s v="Promo Blast"/>
    <s v="Tablet"/>
    <s v="Asia Pacific"/>
    <s v="SQL"/>
    <m/>
    <m/>
    <m/>
    <n v="3"/>
    <x v="5"/>
    <n v="1"/>
    <n v="1"/>
    <n v="0"/>
  </r>
  <r>
    <s v="LD6677"/>
    <d v="2024-11-20T00:00:00"/>
    <x v="0"/>
    <s v="Facebook Ads"/>
    <s v="Desktop"/>
    <s v="North America"/>
    <s v="MQL"/>
    <m/>
    <m/>
    <m/>
    <n v="2"/>
    <x v="2"/>
    <n v="1"/>
    <n v="0"/>
    <n v="0"/>
  </r>
  <r>
    <s v="LD7632"/>
    <d v="2024-12-24T00:00:00"/>
    <x v="4"/>
    <s v="Partner Program"/>
    <s v="Mobile"/>
    <s v="North America"/>
    <s v="Lead"/>
    <m/>
    <m/>
    <m/>
    <n v="1"/>
    <x v="7"/>
    <n v="0"/>
    <n v="0"/>
    <n v="0"/>
  </r>
  <r>
    <s v="LD4794"/>
    <d v="2024-08-23T00:00:00"/>
    <x v="3"/>
    <s v="Monthly Newsletter"/>
    <s v="Desktop"/>
    <s v="Europe"/>
    <s v="MQL"/>
    <m/>
    <m/>
    <m/>
    <n v="2"/>
    <x v="6"/>
    <n v="1"/>
    <n v="0"/>
    <n v="0"/>
  </r>
  <r>
    <s v="LD6097"/>
    <d v="2024-10-21T00:00:00"/>
    <x v="3"/>
    <s v="Promo Blast"/>
    <s v="Mobile"/>
    <s v="North America"/>
    <s v="MQL"/>
    <m/>
    <m/>
    <m/>
    <n v="2"/>
    <x v="5"/>
    <n v="1"/>
    <n v="0"/>
    <n v="0"/>
  </r>
  <r>
    <s v="LD5910"/>
    <d v="2024-10-17T00:00:00"/>
    <x v="0"/>
    <s v="LinkedIn Ads"/>
    <s v="Mobile"/>
    <s v="Europe"/>
    <s v="SQL"/>
    <m/>
    <m/>
    <m/>
    <n v="3"/>
    <x v="5"/>
    <n v="1"/>
    <n v="1"/>
    <n v="0"/>
  </r>
  <r>
    <s v="LD3477"/>
    <d v="2024-05-06T00:00:00"/>
    <x v="4"/>
    <s v="Affiliate Program"/>
    <s v="Desktop"/>
    <s v="North America"/>
    <s v="Lead"/>
    <m/>
    <m/>
    <m/>
    <n v="1"/>
    <x v="4"/>
    <n v="0"/>
    <n v="0"/>
    <n v="0"/>
  </r>
  <r>
    <s v="LD1472"/>
    <d v="2024-01-05T00:00:00"/>
    <x v="2"/>
    <s v="Direct / Type-in"/>
    <s v="Mobile"/>
    <s v="North America"/>
    <s v="Lead"/>
    <m/>
    <m/>
    <m/>
    <n v="1"/>
    <x v="3"/>
    <n v="0"/>
    <n v="0"/>
    <n v="0"/>
  </r>
  <r>
    <s v="LD4839"/>
    <d v="2024-08-16T00:00:00"/>
    <x v="3"/>
    <s v="Promo Blast"/>
    <s v="Desktop"/>
    <s v="Latin America"/>
    <s v="MQL"/>
    <m/>
    <m/>
    <m/>
    <n v="2"/>
    <x v="6"/>
    <n v="1"/>
    <n v="0"/>
    <n v="0"/>
  </r>
  <r>
    <s v="LD4818"/>
    <d v="2024-08-09T00:00:00"/>
    <x v="3"/>
    <s v="Monthly Newsletter"/>
    <s v="Desktop"/>
    <s v="Asia Pacific"/>
    <s v="MQL"/>
    <m/>
    <m/>
    <m/>
    <n v="2"/>
    <x v="6"/>
    <n v="1"/>
    <n v="0"/>
    <n v="0"/>
  </r>
  <r>
    <s v="LD5943"/>
    <d v="2024-10-08T00:00:00"/>
    <x v="0"/>
    <s v="Facebook Ads"/>
    <s v="Desktop"/>
    <s v="Latin America"/>
    <s v="MQL"/>
    <m/>
    <m/>
    <m/>
    <n v="2"/>
    <x v="5"/>
    <n v="1"/>
    <n v="0"/>
    <n v="0"/>
  </r>
  <r>
    <s v="LD5967"/>
    <d v="2024-10-15T00:00:00"/>
    <x v="3"/>
    <s v="Monthly Newsletter"/>
    <s v="Desktop"/>
    <s v="Asia Pacific"/>
    <s v="Customer"/>
    <n v="20"/>
    <s v="Basic"/>
    <n v="1307.24"/>
    <n v="4"/>
    <x v="5"/>
    <n v="1"/>
    <n v="1"/>
    <n v="1"/>
  </r>
  <r>
    <s v="LD7406"/>
    <d v="2024-12-06T00:00:00"/>
    <x v="0"/>
    <s v="Instagram Ads"/>
    <s v="Mobile"/>
    <s v="North America"/>
    <s v="MQL"/>
    <m/>
    <m/>
    <m/>
    <n v="2"/>
    <x v="7"/>
    <n v="1"/>
    <n v="0"/>
    <n v="0"/>
  </r>
  <r>
    <s v="LD4528"/>
    <d v="2024-08-10T00:00:00"/>
    <x v="5"/>
    <s v="Landing Page SEO"/>
    <s v="Desktop"/>
    <s v="Europe"/>
    <s v="Lead"/>
    <m/>
    <m/>
    <m/>
    <n v="1"/>
    <x v="6"/>
    <n v="0"/>
    <n v="0"/>
    <n v="0"/>
  </r>
  <r>
    <s v="LD1897"/>
    <d v="2024-02-09T00:00:00"/>
    <x v="2"/>
    <s v="Direct / Type-in"/>
    <s v="Desktop"/>
    <s v="Asia Pacific"/>
    <s v="Lead"/>
    <m/>
    <m/>
    <m/>
    <n v="1"/>
    <x v="10"/>
    <n v="0"/>
    <n v="0"/>
    <n v="0"/>
  </r>
  <r>
    <s v="LD6134"/>
    <d v="2024-10-15T00:00:00"/>
    <x v="4"/>
    <s v="Partner Program"/>
    <s v="Mobile"/>
    <s v="North America"/>
    <s v="Customer"/>
    <n v="33"/>
    <s v="Pro"/>
    <n v="2230.75"/>
    <n v="4"/>
    <x v="5"/>
    <n v="1"/>
    <n v="1"/>
    <n v="1"/>
  </r>
  <r>
    <s v="LD2946"/>
    <d v="2024-04-03T00:00:00"/>
    <x v="4"/>
    <s v="Partner Program"/>
    <s v="Mobile"/>
    <s v="North America"/>
    <s v="Lead"/>
    <m/>
    <m/>
    <m/>
    <n v="1"/>
    <x v="1"/>
    <n v="0"/>
    <n v="0"/>
    <n v="0"/>
  </r>
  <r>
    <s v="LD1252"/>
    <d v="2024-01-21T00:00:00"/>
    <x v="3"/>
    <s v="Promo Blast"/>
    <s v="Mobile"/>
    <s v="Europe"/>
    <s v="Lead"/>
    <m/>
    <m/>
    <m/>
    <n v="1"/>
    <x v="3"/>
    <n v="0"/>
    <n v="0"/>
    <n v="0"/>
  </r>
  <r>
    <s v="LD2210"/>
    <d v="2024-03-20T00:00:00"/>
    <x v="3"/>
    <s v="Monthly Newsletter"/>
    <s v="Desktop"/>
    <s v="Europe"/>
    <s v="MQL"/>
    <m/>
    <m/>
    <m/>
    <n v="2"/>
    <x v="8"/>
    <n v="1"/>
    <n v="0"/>
    <n v="0"/>
  </r>
  <r>
    <s v="LD3485"/>
    <d v="2024-05-24T00:00:00"/>
    <x v="4"/>
    <s v="Affiliate Program"/>
    <s v="Desktop"/>
    <s v="North America"/>
    <s v="MQL"/>
    <m/>
    <m/>
    <m/>
    <n v="2"/>
    <x v="4"/>
    <n v="1"/>
    <n v="0"/>
    <n v="0"/>
  </r>
  <r>
    <s v="LD6258"/>
    <d v="2024-10-06T00:00:00"/>
    <x v="2"/>
    <s v="Direct / Type-in"/>
    <s v="Desktop"/>
    <s v="Asia Pacific"/>
    <s v="Lead"/>
    <m/>
    <m/>
    <m/>
    <n v="1"/>
    <x v="5"/>
    <n v="0"/>
    <n v="0"/>
    <n v="0"/>
  </r>
  <r>
    <s v="LD3716"/>
    <d v="2024-06-21T00:00:00"/>
    <x v="1"/>
    <s v="Google Ads - Brand"/>
    <s v="Desktop"/>
    <s v="North America"/>
    <s v="Lead"/>
    <m/>
    <m/>
    <m/>
    <n v="1"/>
    <x v="11"/>
    <n v="0"/>
    <n v="0"/>
    <n v="0"/>
  </r>
  <r>
    <s v="LD3834"/>
    <d v="2024-06-18T00:00:00"/>
    <x v="3"/>
    <s v="Monthly Newsletter"/>
    <s v="Desktop"/>
    <s v="North America"/>
    <s v="MQL"/>
    <m/>
    <m/>
    <m/>
    <n v="2"/>
    <x v="11"/>
    <n v="1"/>
    <n v="0"/>
    <n v="0"/>
  </r>
  <r>
    <s v="LD4296"/>
    <d v="2024-07-12T00:00:00"/>
    <x v="3"/>
    <s v="Monthly Newsletter"/>
    <s v="Desktop"/>
    <s v="North America"/>
    <s v="Lead"/>
    <m/>
    <m/>
    <m/>
    <n v="1"/>
    <x v="0"/>
    <n v="0"/>
    <n v="0"/>
    <n v="0"/>
  </r>
  <r>
    <s v="LD2129"/>
    <d v="2024-03-19T00:00:00"/>
    <x v="1"/>
    <s v="Google Ads - Generic"/>
    <s v="Mobile"/>
    <s v="Asia Pacific"/>
    <s v="Lead"/>
    <m/>
    <m/>
    <m/>
    <n v="1"/>
    <x v="8"/>
    <n v="0"/>
    <n v="0"/>
    <n v="0"/>
  </r>
  <r>
    <s v="LD7764"/>
    <d v="2024-12-17T00:00:00"/>
    <x v="2"/>
    <s v="Direct / Type-in"/>
    <s v="Desktop"/>
    <s v="Europe"/>
    <s v="Lead"/>
    <m/>
    <m/>
    <m/>
    <n v="1"/>
    <x v="7"/>
    <n v="0"/>
    <n v="0"/>
    <n v="0"/>
  </r>
  <r>
    <s v="LD5314"/>
    <d v="2024-09-01T00:00:00"/>
    <x v="3"/>
    <s v="Promo Blast"/>
    <s v="Desktop"/>
    <s v="Europe"/>
    <s v="Customer"/>
    <n v="21"/>
    <s v="Basic"/>
    <n v="1288.5899999999999"/>
    <n v="4"/>
    <x v="9"/>
    <n v="1"/>
    <n v="1"/>
    <n v="1"/>
  </r>
  <r>
    <s v="LD2594"/>
    <d v="2024-04-12T00:00:00"/>
    <x v="1"/>
    <s v="Google Ads - Generic"/>
    <s v="Desktop"/>
    <s v="Europe"/>
    <s v="Lead"/>
    <m/>
    <m/>
    <m/>
    <n v="1"/>
    <x v="1"/>
    <n v="0"/>
    <n v="0"/>
    <n v="0"/>
  </r>
  <r>
    <s v="LD4961"/>
    <d v="2024-08-18T00:00:00"/>
    <x v="2"/>
    <s v="Direct / Type-in"/>
    <s v="Desktop"/>
    <s v="Europe"/>
    <s v="Lead"/>
    <m/>
    <m/>
    <m/>
    <n v="1"/>
    <x v="6"/>
    <n v="0"/>
    <n v="0"/>
    <n v="0"/>
  </r>
  <r>
    <s v="LD7647"/>
    <d v="2024-12-25T00:00:00"/>
    <x v="4"/>
    <s v="Partner Program"/>
    <s v="Desktop"/>
    <s v="Europe"/>
    <s v="SQL"/>
    <m/>
    <m/>
    <m/>
    <n v="3"/>
    <x v="7"/>
    <n v="1"/>
    <n v="1"/>
    <n v="0"/>
  </r>
  <r>
    <s v="LD1058"/>
    <d v="2024-01-08T00:00:00"/>
    <x v="5"/>
    <s v="Blog SEO"/>
    <s v="Tablet"/>
    <s v="Asia Pacific"/>
    <s v="Lead"/>
    <m/>
    <m/>
    <m/>
    <n v="1"/>
    <x v="3"/>
    <n v="0"/>
    <n v="0"/>
    <n v="0"/>
  </r>
  <r>
    <s v="LD2323"/>
    <d v="2024-03-07T00:00:00"/>
    <x v="3"/>
    <s v="Promo Blast"/>
    <s v="Mobile"/>
    <s v="Latin America"/>
    <s v="Lead"/>
    <m/>
    <m/>
    <m/>
    <n v="1"/>
    <x v="8"/>
    <n v="0"/>
    <n v="0"/>
    <n v="0"/>
  </r>
  <r>
    <s v="LD5089"/>
    <d v="2024-09-04T00:00:00"/>
    <x v="5"/>
    <s v="Blog SEO"/>
    <s v="Desktop"/>
    <s v="Europe"/>
    <s v="MQL"/>
    <m/>
    <m/>
    <m/>
    <n v="2"/>
    <x v="9"/>
    <n v="1"/>
    <n v="0"/>
    <n v="0"/>
  </r>
  <r>
    <s v="LD6694"/>
    <d v="2024-11-25T00:00:00"/>
    <x v="3"/>
    <s v="Monthly Newsletter"/>
    <s v="Desktop"/>
    <s v="North America"/>
    <s v="MQL"/>
    <m/>
    <m/>
    <m/>
    <n v="2"/>
    <x v="2"/>
    <n v="1"/>
    <n v="0"/>
    <n v="0"/>
  </r>
  <r>
    <s v="LD7535"/>
    <d v="2024-12-04T00:00:00"/>
    <x v="3"/>
    <s v="Monthly Newsletter"/>
    <s v="Mobile"/>
    <s v="Asia Pacific"/>
    <s v="Customer"/>
    <n v="58"/>
    <s v="Basic"/>
    <n v="1348.92"/>
    <n v="4"/>
    <x v="7"/>
    <n v="1"/>
    <n v="1"/>
    <n v="1"/>
  </r>
  <r>
    <s v="LD7740"/>
    <d v="2024-12-08T00:00:00"/>
    <x v="2"/>
    <s v="Direct / Type-in"/>
    <s v="Mobile"/>
    <s v="Asia Pacific"/>
    <s v="SQL"/>
    <m/>
    <m/>
    <m/>
    <n v="3"/>
    <x v="7"/>
    <n v="1"/>
    <n v="1"/>
    <n v="0"/>
  </r>
  <r>
    <s v="LD2700"/>
    <d v="2024-04-24T00:00:00"/>
    <x v="0"/>
    <s v="Instagram Ads"/>
    <s v="Desktop"/>
    <s v="North America"/>
    <s v="SQL"/>
    <m/>
    <m/>
    <m/>
    <n v="3"/>
    <x v="1"/>
    <n v="1"/>
    <n v="1"/>
    <n v="0"/>
  </r>
  <r>
    <s v="LD1293"/>
    <d v="2024-01-04T00:00:00"/>
    <x v="3"/>
    <s v="Promo Blast"/>
    <s v="Mobile"/>
    <s v="Europe"/>
    <s v="MQL"/>
    <m/>
    <m/>
    <m/>
    <n v="2"/>
    <x v="3"/>
    <n v="1"/>
    <n v="0"/>
    <n v="0"/>
  </r>
  <r>
    <s v="LD2143"/>
    <d v="2024-03-19T00:00:00"/>
    <x v="0"/>
    <s v="Instagram Ads"/>
    <s v="Mobile"/>
    <s v="North America"/>
    <s v="Lead"/>
    <m/>
    <m/>
    <m/>
    <n v="1"/>
    <x v="8"/>
    <n v="0"/>
    <n v="0"/>
    <n v="0"/>
  </r>
  <r>
    <s v="LD3150"/>
    <d v="2024-05-01T00:00:00"/>
    <x v="1"/>
    <s v="Google Ads - Brand"/>
    <s v="Desktop"/>
    <s v="North America"/>
    <s v="Lead"/>
    <m/>
    <m/>
    <m/>
    <n v="1"/>
    <x v="4"/>
    <n v="0"/>
    <n v="0"/>
    <n v="0"/>
  </r>
  <r>
    <s v="LD6372"/>
    <d v="2024-11-19T00:00:00"/>
    <x v="5"/>
    <s v="Blog SEO"/>
    <s v="Desktop"/>
    <s v="Europe"/>
    <s v="Lead"/>
    <m/>
    <m/>
    <m/>
    <n v="1"/>
    <x v="2"/>
    <n v="0"/>
    <n v="0"/>
    <n v="0"/>
  </r>
  <r>
    <s v="LD5884"/>
    <d v="2024-10-09T00:00:00"/>
    <x v="0"/>
    <s v="Instagram Ads"/>
    <s v="Desktop"/>
    <s v="Asia Pacific"/>
    <s v="Lead"/>
    <m/>
    <m/>
    <m/>
    <n v="1"/>
    <x v="5"/>
    <n v="0"/>
    <n v="0"/>
    <n v="0"/>
  </r>
  <r>
    <s v="LD2171"/>
    <d v="2024-03-16T00:00:00"/>
    <x v="0"/>
    <s v="Facebook Ads"/>
    <s v="Desktop"/>
    <s v="Asia Pacific"/>
    <s v="Customer"/>
    <n v="59"/>
    <s v="Pro"/>
    <n v="3850.85"/>
    <n v="4"/>
    <x v="8"/>
    <n v="1"/>
    <n v="1"/>
    <n v="1"/>
  </r>
  <r>
    <s v="LD3349"/>
    <d v="2024-05-09T00:00:00"/>
    <x v="3"/>
    <s v="Monthly Newsletter"/>
    <s v="Mobile"/>
    <s v="Europe"/>
    <s v="SQL"/>
    <m/>
    <m/>
    <m/>
    <n v="3"/>
    <x v="4"/>
    <n v="1"/>
    <n v="1"/>
    <n v="0"/>
  </r>
  <r>
    <s v="LD2745"/>
    <d v="2024-04-04T00:00:00"/>
    <x v="3"/>
    <s v="Promo Blast"/>
    <s v="Tablet"/>
    <s v="North America"/>
    <s v="MQL"/>
    <m/>
    <m/>
    <m/>
    <n v="2"/>
    <x v="1"/>
    <n v="1"/>
    <n v="0"/>
    <n v="0"/>
  </r>
  <r>
    <s v="LD4593"/>
    <d v="2024-08-14T00:00:00"/>
    <x v="1"/>
    <s v="Google Ads - Brand"/>
    <s v="Mobile"/>
    <s v="North America"/>
    <s v="MQL"/>
    <m/>
    <m/>
    <m/>
    <n v="2"/>
    <x v="6"/>
    <n v="1"/>
    <n v="0"/>
    <n v="0"/>
  </r>
  <r>
    <s v="LD3524"/>
    <d v="2024-05-03T00:00:00"/>
    <x v="2"/>
    <s v="Direct / Type-in"/>
    <s v="Desktop"/>
    <s v="North America"/>
    <s v="Lead"/>
    <m/>
    <m/>
    <m/>
    <n v="1"/>
    <x v="4"/>
    <n v="0"/>
    <n v="0"/>
    <n v="0"/>
  </r>
  <r>
    <s v="LD3156"/>
    <d v="2024-05-28T00:00:00"/>
    <x v="1"/>
    <s v="Google Ads - Generic"/>
    <s v="Desktop"/>
    <s v="North America"/>
    <s v="SQL"/>
    <m/>
    <m/>
    <m/>
    <n v="3"/>
    <x v="4"/>
    <n v="1"/>
    <n v="1"/>
    <n v="0"/>
  </r>
  <r>
    <s v="LD2087"/>
    <d v="2024-03-14T00:00:00"/>
    <x v="1"/>
    <s v="Google Ads - Generic"/>
    <s v="Desktop"/>
    <s v="Europe"/>
    <s v="SQL"/>
    <m/>
    <m/>
    <m/>
    <n v="3"/>
    <x v="8"/>
    <n v="1"/>
    <n v="1"/>
    <n v="0"/>
  </r>
  <r>
    <s v="LD3572"/>
    <d v="2024-06-17T00:00:00"/>
    <x v="5"/>
    <s v="Blog SEO"/>
    <s v="Desktop"/>
    <s v="North America"/>
    <s v="Lead"/>
    <m/>
    <m/>
    <m/>
    <n v="1"/>
    <x v="11"/>
    <n v="0"/>
    <n v="0"/>
    <n v="0"/>
  </r>
  <r>
    <s v="LD4810"/>
    <d v="2024-08-16T00:00:00"/>
    <x v="3"/>
    <s v="Monthly Newsletter"/>
    <s v="Desktop"/>
    <s v="North America"/>
    <s v="Lead"/>
    <m/>
    <m/>
    <m/>
    <n v="1"/>
    <x v="6"/>
    <n v="0"/>
    <n v="0"/>
    <n v="0"/>
  </r>
  <r>
    <s v="LD2173"/>
    <d v="2024-03-04T00:00:00"/>
    <x v="0"/>
    <s v="LinkedIn Ads"/>
    <s v="Mobile"/>
    <s v="Europe"/>
    <s v="Lead"/>
    <m/>
    <m/>
    <m/>
    <n v="1"/>
    <x v="8"/>
    <n v="0"/>
    <n v="0"/>
    <n v="0"/>
  </r>
  <r>
    <s v="LD7369"/>
    <d v="2024-12-27T00:00:00"/>
    <x v="0"/>
    <s v="Facebook Ads"/>
    <s v="Mobile"/>
    <s v="North America"/>
    <s v="Lead"/>
    <m/>
    <m/>
    <m/>
    <n v="1"/>
    <x v="7"/>
    <n v="0"/>
    <n v="0"/>
    <n v="0"/>
  </r>
  <r>
    <s v="LD7540"/>
    <d v="2024-12-15T00:00:00"/>
    <x v="3"/>
    <s v="Promo Blast"/>
    <s v="Mobile"/>
    <s v="Europe"/>
    <s v="MQL"/>
    <m/>
    <m/>
    <m/>
    <n v="2"/>
    <x v="7"/>
    <n v="1"/>
    <n v="0"/>
    <n v="0"/>
  </r>
  <r>
    <s v="LD2722"/>
    <d v="2024-04-20T00:00:00"/>
    <x v="0"/>
    <s v="LinkedIn Ads"/>
    <s v="Desktop"/>
    <s v="Europe"/>
    <s v="SQL"/>
    <m/>
    <m/>
    <m/>
    <n v="3"/>
    <x v="1"/>
    <n v="1"/>
    <n v="1"/>
    <n v="0"/>
  </r>
  <r>
    <s v="LD3234"/>
    <d v="2024-05-26T00:00:00"/>
    <x v="0"/>
    <s v="Instagram Ads"/>
    <s v="Desktop"/>
    <s v="North America"/>
    <s v="Lead"/>
    <m/>
    <m/>
    <m/>
    <n v="1"/>
    <x v="4"/>
    <n v="0"/>
    <n v="0"/>
    <n v="0"/>
  </r>
  <r>
    <s v="LD2894"/>
    <d v="2024-04-17T00:00:00"/>
    <x v="4"/>
    <s v="Partner Program"/>
    <s v="Mobile"/>
    <s v="Europe"/>
    <s v="Lead"/>
    <m/>
    <m/>
    <m/>
    <n v="1"/>
    <x v="1"/>
    <n v="0"/>
    <n v="0"/>
    <n v="0"/>
  </r>
  <r>
    <s v="LD5293"/>
    <d v="2024-09-06T00:00:00"/>
    <x v="0"/>
    <s v="Instagram Ads"/>
    <s v="Mobile"/>
    <s v="North America"/>
    <s v="Lead"/>
    <m/>
    <m/>
    <m/>
    <n v="1"/>
    <x v="9"/>
    <n v="0"/>
    <n v="0"/>
    <n v="0"/>
  </r>
  <r>
    <s v="LD7765"/>
    <d v="2024-12-25T00:00:00"/>
    <x v="2"/>
    <s v="Direct / Type-in"/>
    <s v="Desktop"/>
    <s v="Latin America"/>
    <s v="Lead"/>
    <m/>
    <m/>
    <m/>
    <n v="1"/>
    <x v="7"/>
    <n v="0"/>
    <n v="0"/>
    <n v="0"/>
  </r>
  <r>
    <s v="LD5636"/>
    <d v="2024-10-14T00:00:00"/>
    <x v="5"/>
    <s v="Blog SEO"/>
    <s v="Mobile"/>
    <s v="North America"/>
    <s v="Lead"/>
    <m/>
    <m/>
    <m/>
    <n v="1"/>
    <x v="5"/>
    <n v="0"/>
    <n v="0"/>
    <n v="0"/>
  </r>
  <r>
    <s v="LD4572"/>
    <d v="2024-08-18T00:00:00"/>
    <x v="5"/>
    <s v="Blog SEO"/>
    <s v="Desktop"/>
    <s v="North America"/>
    <s v="MQL"/>
    <m/>
    <m/>
    <m/>
    <n v="2"/>
    <x v="6"/>
    <n v="1"/>
    <n v="0"/>
    <n v="0"/>
  </r>
  <r>
    <s v="LD6845"/>
    <d v="2024-11-10T00:00:00"/>
    <x v="3"/>
    <s v="Promo Blast"/>
    <s v="Mobile"/>
    <s v="Europe"/>
    <s v="Lead"/>
    <m/>
    <m/>
    <m/>
    <n v="1"/>
    <x v="2"/>
    <n v="0"/>
    <n v="0"/>
    <n v="0"/>
  </r>
  <r>
    <s v="LD1614"/>
    <d v="2024-02-14T00:00:00"/>
    <x v="1"/>
    <s v="Google Ads - Generic"/>
    <s v="Desktop"/>
    <s v="Europe"/>
    <s v="Lead"/>
    <m/>
    <m/>
    <m/>
    <n v="1"/>
    <x v="10"/>
    <n v="0"/>
    <n v="0"/>
    <n v="0"/>
  </r>
  <r>
    <s v="LD3302"/>
    <d v="2024-05-22T00:00:00"/>
    <x v="3"/>
    <s v="Monthly Newsletter"/>
    <s v="Desktop"/>
    <s v="North America"/>
    <s v="SQL"/>
    <m/>
    <m/>
    <m/>
    <n v="3"/>
    <x v="4"/>
    <n v="1"/>
    <n v="1"/>
    <n v="0"/>
  </r>
  <r>
    <s v="LD7021"/>
    <d v="2024-11-08T00:00:00"/>
    <x v="2"/>
    <s v="Direct / Type-in"/>
    <s v="Desktop"/>
    <s v="North America"/>
    <s v="MQL"/>
    <m/>
    <m/>
    <m/>
    <n v="2"/>
    <x v="2"/>
    <n v="1"/>
    <n v="0"/>
    <n v="0"/>
  </r>
  <r>
    <s v="LD3416"/>
    <d v="2024-05-23T00:00:00"/>
    <x v="3"/>
    <s v="Monthly Newsletter"/>
    <s v="Desktop"/>
    <s v="North America"/>
    <s v="MQL"/>
    <m/>
    <m/>
    <m/>
    <n v="2"/>
    <x v="4"/>
    <n v="1"/>
    <n v="0"/>
    <n v="0"/>
  </r>
  <r>
    <s v="LD4640"/>
    <d v="2024-08-10T00:00:00"/>
    <x v="1"/>
    <s v="Google Ads - Brand"/>
    <s v="Desktop"/>
    <s v="Asia Pacific"/>
    <s v="Lead"/>
    <m/>
    <m/>
    <m/>
    <n v="1"/>
    <x v="6"/>
    <n v="0"/>
    <n v="0"/>
    <n v="0"/>
  </r>
  <r>
    <s v="LD2431"/>
    <d v="2024-03-02T00:00:00"/>
    <x v="2"/>
    <s v="Direct / Type-in"/>
    <s v="Desktop"/>
    <s v="North America"/>
    <s v="Customer"/>
    <n v="63"/>
    <s v="Pro"/>
    <n v="2650.41"/>
    <n v="4"/>
    <x v="8"/>
    <n v="1"/>
    <n v="1"/>
    <n v="1"/>
  </r>
  <r>
    <s v="LD4785"/>
    <d v="2024-08-25T00:00:00"/>
    <x v="3"/>
    <s v="Monthly Newsletter"/>
    <s v="Mobile"/>
    <s v="North America"/>
    <s v="MQL"/>
    <m/>
    <m/>
    <m/>
    <n v="2"/>
    <x v="6"/>
    <n v="1"/>
    <n v="0"/>
    <n v="0"/>
  </r>
  <r>
    <s v="LD7114"/>
    <d v="2024-12-07T00:00:00"/>
    <x v="5"/>
    <s v="Landing Page SEO"/>
    <s v="Desktop"/>
    <s v="North America"/>
    <s v="Lead"/>
    <m/>
    <m/>
    <m/>
    <n v="1"/>
    <x v="7"/>
    <n v="0"/>
    <n v="0"/>
    <n v="0"/>
  </r>
  <r>
    <s v="LD1506"/>
    <d v="2024-02-28T00:00:00"/>
    <x v="5"/>
    <s v="Landing Page SEO"/>
    <s v="Mobile"/>
    <s v="North America"/>
    <s v="Lead"/>
    <m/>
    <m/>
    <m/>
    <n v="1"/>
    <x v="10"/>
    <n v="0"/>
    <n v="0"/>
    <n v="0"/>
  </r>
  <r>
    <s v="LD1416"/>
    <d v="2024-01-06T00:00:00"/>
    <x v="4"/>
    <s v="Partner Program"/>
    <s v="Tablet"/>
    <s v="Europe"/>
    <s v="Lead"/>
    <m/>
    <m/>
    <m/>
    <n v="1"/>
    <x v="3"/>
    <n v="0"/>
    <n v="0"/>
    <n v="0"/>
  </r>
  <r>
    <s v="LD3319"/>
    <d v="2024-05-24T00:00:00"/>
    <x v="3"/>
    <s v="Monthly Newsletter"/>
    <s v="Mobile"/>
    <s v="Asia Pacific"/>
    <s v="SQL"/>
    <m/>
    <m/>
    <m/>
    <n v="3"/>
    <x v="4"/>
    <n v="1"/>
    <n v="1"/>
    <n v="0"/>
  </r>
  <r>
    <s v="LD1273"/>
    <d v="2024-01-18T00:00:00"/>
    <x v="3"/>
    <s v="Monthly Newsletter"/>
    <s v="Desktop"/>
    <s v="Europe"/>
    <s v="Lead"/>
    <m/>
    <m/>
    <m/>
    <n v="1"/>
    <x v="3"/>
    <n v="0"/>
    <n v="0"/>
    <n v="0"/>
  </r>
  <r>
    <s v="LD4746"/>
    <d v="2024-08-05T00:00:00"/>
    <x v="0"/>
    <s v="Facebook Ads"/>
    <s v="Mobile"/>
    <s v="North America"/>
    <s v="MQL"/>
    <m/>
    <m/>
    <m/>
    <n v="2"/>
    <x v="6"/>
    <n v="1"/>
    <n v="0"/>
    <n v="0"/>
  </r>
  <r>
    <s v="LD2707"/>
    <d v="2024-04-05T00:00:00"/>
    <x v="0"/>
    <s v="LinkedIn Ads"/>
    <s v="Desktop"/>
    <s v="Europe"/>
    <s v="Lead"/>
    <m/>
    <m/>
    <m/>
    <n v="1"/>
    <x v="1"/>
    <n v="0"/>
    <n v="0"/>
    <n v="0"/>
  </r>
  <r>
    <s v="LD5761"/>
    <d v="2024-10-20T00:00:00"/>
    <x v="1"/>
    <s v="Google Ads - Brand"/>
    <s v="Desktop"/>
    <s v="Latin America"/>
    <s v="Lead"/>
    <m/>
    <m/>
    <m/>
    <n v="1"/>
    <x v="5"/>
    <n v="0"/>
    <n v="0"/>
    <n v="0"/>
  </r>
  <r>
    <s v="LD4124"/>
    <d v="2024-07-06T00:00:00"/>
    <x v="1"/>
    <s v="Google Ads - Generic"/>
    <s v="Desktop"/>
    <s v="Asia Pacific"/>
    <s v="Lead"/>
    <m/>
    <m/>
    <m/>
    <n v="1"/>
    <x v="0"/>
    <n v="0"/>
    <n v="0"/>
    <n v="0"/>
  </r>
  <r>
    <s v="LD3597"/>
    <d v="2024-06-25T00:00:00"/>
    <x v="5"/>
    <s v="Landing Page SEO"/>
    <s v="Desktop"/>
    <s v="North America"/>
    <s v="Lead"/>
    <m/>
    <m/>
    <m/>
    <n v="1"/>
    <x v="11"/>
    <n v="0"/>
    <n v="0"/>
    <n v="0"/>
  </r>
  <r>
    <s v="LD6672"/>
    <d v="2024-11-12T00:00:00"/>
    <x v="0"/>
    <s v="Instagram Ads"/>
    <s v="Desktop"/>
    <s v="North America"/>
    <s v="MQL"/>
    <m/>
    <m/>
    <m/>
    <n v="2"/>
    <x v="2"/>
    <n v="1"/>
    <n v="0"/>
    <n v="0"/>
  </r>
  <r>
    <s v="LD3317"/>
    <d v="2024-05-26T00:00:00"/>
    <x v="3"/>
    <s v="Monthly Newsletter"/>
    <s v="Desktop"/>
    <s v="North America"/>
    <s v="MQL"/>
    <m/>
    <m/>
    <m/>
    <n v="2"/>
    <x v="4"/>
    <n v="1"/>
    <n v="0"/>
    <n v="0"/>
  </r>
  <r>
    <s v="LD1107"/>
    <d v="2024-01-11T00:00:00"/>
    <x v="1"/>
    <s v="Google Ads - Brand"/>
    <s v="Mobile"/>
    <s v="North America"/>
    <s v="Lead"/>
    <m/>
    <m/>
    <m/>
    <n v="1"/>
    <x v="3"/>
    <n v="0"/>
    <n v="0"/>
    <n v="0"/>
  </r>
  <r>
    <s v="LD2345"/>
    <d v="2024-03-27T00:00:00"/>
    <x v="4"/>
    <s v="Partner Program"/>
    <s v="Mobile"/>
    <s v="Europe"/>
    <s v="SQL"/>
    <m/>
    <m/>
    <m/>
    <n v="3"/>
    <x v="8"/>
    <n v="1"/>
    <n v="1"/>
    <n v="0"/>
  </r>
  <r>
    <s v="LD3273"/>
    <d v="2024-05-13T00:00:00"/>
    <x v="0"/>
    <s v="Instagram Ads"/>
    <s v="Desktop"/>
    <s v="Asia Pacific"/>
    <s v="MQL"/>
    <m/>
    <m/>
    <m/>
    <n v="2"/>
    <x v="4"/>
    <n v="1"/>
    <n v="0"/>
    <n v="0"/>
  </r>
  <r>
    <s v="LD2955"/>
    <d v="2024-04-10T00:00:00"/>
    <x v="2"/>
    <s v="Direct / Type-in"/>
    <s v="Desktop"/>
    <s v="Europe"/>
    <s v="MQL"/>
    <m/>
    <m/>
    <m/>
    <n v="2"/>
    <x v="1"/>
    <n v="1"/>
    <n v="0"/>
    <n v="0"/>
  </r>
  <r>
    <s v="LD6087"/>
    <d v="2024-10-03T00:00:00"/>
    <x v="3"/>
    <s v="Monthly Newsletter"/>
    <s v="Mobile"/>
    <s v="Europe"/>
    <s v="Lead"/>
    <m/>
    <m/>
    <m/>
    <n v="1"/>
    <x v="5"/>
    <n v="0"/>
    <n v="0"/>
    <n v="0"/>
  </r>
  <r>
    <s v="LD7753"/>
    <d v="2024-12-22T00:00:00"/>
    <x v="2"/>
    <s v="Direct / Type-in"/>
    <s v="Mobile"/>
    <s v="North America"/>
    <s v="MQL"/>
    <m/>
    <m/>
    <m/>
    <n v="2"/>
    <x v="7"/>
    <n v="1"/>
    <n v="0"/>
    <n v="0"/>
  </r>
  <r>
    <s v="LD4704"/>
    <d v="2024-08-23T00:00:00"/>
    <x v="0"/>
    <s v="Facebook Ads"/>
    <s v="Desktop"/>
    <s v="North America"/>
    <s v="Lead"/>
    <m/>
    <m/>
    <m/>
    <n v="1"/>
    <x v="6"/>
    <n v="0"/>
    <n v="0"/>
    <n v="0"/>
  </r>
  <r>
    <s v="LD1953"/>
    <d v="2024-03-10T00:00:00"/>
    <x v="5"/>
    <s v="Landing Page SEO"/>
    <s v="Desktop"/>
    <s v="North America"/>
    <s v="Lead"/>
    <m/>
    <m/>
    <m/>
    <n v="1"/>
    <x v="8"/>
    <n v="0"/>
    <n v="0"/>
    <n v="0"/>
  </r>
  <r>
    <s v="LD4556"/>
    <d v="2024-08-05T00:00:00"/>
    <x v="5"/>
    <s v="Blog SEO"/>
    <s v="Desktop"/>
    <s v="Europe"/>
    <s v="Lead"/>
    <m/>
    <m/>
    <m/>
    <n v="1"/>
    <x v="6"/>
    <n v="0"/>
    <n v="0"/>
    <n v="0"/>
  </r>
  <r>
    <s v="LD3389"/>
    <d v="2024-05-27T00:00:00"/>
    <x v="3"/>
    <s v="Monthly Newsletter"/>
    <s v="Desktop"/>
    <s v="North America"/>
    <s v="Lead"/>
    <m/>
    <m/>
    <m/>
    <n v="1"/>
    <x v="4"/>
    <n v="0"/>
    <n v="0"/>
    <n v="0"/>
  </r>
  <r>
    <s v="LD6904"/>
    <d v="2024-11-20T00:00:00"/>
    <x v="4"/>
    <s v="Affiliate Program"/>
    <s v="Mobile"/>
    <s v="Asia Pacific"/>
    <s v="Customer"/>
    <n v="42"/>
    <s v="Basic"/>
    <n v="1086.93"/>
    <n v="4"/>
    <x v="2"/>
    <n v="1"/>
    <n v="1"/>
    <n v="1"/>
  </r>
  <r>
    <s v="LD2505"/>
    <d v="2024-04-19T00:00:00"/>
    <x v="5"/>
    <s v="Blog SEO"/>
    <s v="Mobile"/>
    <s v="Latin America"/>
    <s v="MQL"/>
    <m/>
    <m/>
    <m/>
    <n v="2"/>
    <x v="1"/>
    <n v="1"/>
    <n v="0"/>
    <n v="0"/>
  </r>
  <r>
    <s v="LD3583"/>
    <d v="2024-06-18T00:00:00"/>
    <x v="5"/>
    <s v="Landing Page SEO"/>
    <s v="Mobile"/>
    <s v="Asia Pacific"/>
    <s v="Lead"/>
    <m/>
    <m/>
    <m/>
    <n v="1"/>
    <x v="11"/>
    <n v="0"/>
    <n v="0"/>
    <n v="0"/>
  </r>
  <r>
    <s v="LD5790"/>
    <d v="2024-10-27T00:00:00"/>
    <x v="1"/>
    <s v="Google Ads - Generic"/>
    <s v="Desktop"/>
    <s v="Europe"/>
    <s v="Lead"/>
    <m/>
    <m/>
    <m/>
    <n v="1"/>
    <x v="5"/>
    <n v="0"/>
    <n v="0"/>
    <n v="0"/>
  </r>
  <r>
    <s v="LD4039"/>
    <d v="2024-06-22T00:00:00"/>
    <x v="2"/>
    <s v="Direct / Type-in"/>
    <s v="Desktop"/>
    <s v="North America"/>
    <s v="Lead"/>
    <m/>
    <m/>
    <m/>
    <n v="1"/>
    <x v="11"/>
    <n v="0"/>
    <n v="0"/>
    <n v="0"/>
  </r>
  <r>
    <s v="LD7701"/>
    <d v="2024-12-23T00:00:00"/>
    <x v="4"/>
    <s v="Affiliate Program"/>
    <s v="Mobile"/>
    <s v="Europe"/>
    <s v="Lead"/>
    <m/>
    <m/>
    <m/>
    <n v="1"/>
    <x v="7"/>
    <n v="0"/>
    <n v="0"/>
    <n v="0"/>
  </r>
  <r>
    <s v="LD4012"/>
    <d v="2024-06-03T00:00:00"/>
    <x v="2"/>
    <s v="Direct / Type-in"/>
    <s v="Mobile"/>
    <s v="Asia Pacific"/>
    <s v="MQL"/>
    <m/>
    <m/>
    <m/>
    <n v="2"/>
    <x v="11"/>
    <n v="1"/>
    <n v="0"/>
    <n v="0"/>
  </r>
  <r>
    <s v="LD2025"/>
    <d v="2024-03-06T00:00:00"/>
    <x v="5"/>
    <s v="Blog SEO"/>
    <s v="Mobile"/>
    <s v="Europe"/>
    <s v="Lead"/>
    <m/>
    <m/>
    <m/>
    <n v="1"/>
    <x v="8"/>
    <n v="0"/>
    <n v="0"/>
    <n v="0"/>
  </r>
  <r>
    <s v="LD7367"/>
    <d v="2024-12-07T00:00:00"/>
    <x v="0"/>
    <s v="LinkedIn Ads"/>
    <s v="Mobile"/>
    <s v="Europe"/>
    <s v="SQL"/>
    <m/>
    <m/>
    <m/>
    <n v="3"/>
    <x v="7"/>
    <n v="1"/>
    <n v="1"/>
    <n v="0"/>
  </r>
  <r>
    <s v="LD7593"/>
    <d v="2024-12-11T00:00:00"/>
    <x v="3"/>
    <s v="Monthly Newsletter"/>
    <s v="Tablet"/>
    <s v="Asia Pacific"/>
    <s v="Customer"/>
    <n v="25"/>
    <s v="Basic"/>
    <n v="1175.1500000000001"/>
    <n v="4"/>
    <x v="7"/>
    <n v="1"/>
    <n v="1"/>
    <n v="1"/>
  </r>
  <r>
    <s v="LD5661"/>
    <d v="2024-10-25T00:00:00"/>
    <x v="5"/>
    <s v="Landing Page SEO"/>
    <s v="Mobile"/>
    <s v="North America"/>
    <s v="Lead"/>
    <m/>
    <m/>
    <m/>
    <n v="1"/>
    <x v="5"/>
    <n v="0"/>
    <n v="0"/>
    <n v="0"/>
  </r>
  <r>
    <s v="LD3535"/>
    <d v="2024-05-12T00:00:00"/>
    <x v="2"/>
    <s v="Direct / Type-in"/>
    <s v="Tablet"/>
    <s v="North America"/>
    <s v="Lead"/>
    <m/>
    <m/>
    <m/>
    <n v="1"/>
    <x v="4"/>
    <n v="0"/>
    <n v="0"/>
    <n v="0"/>
  </r>
  <r>
    <s v="LD1417"/>
    <d v="2024-01-15T00:00:00"/>
    <x v="4"/>
    <s v="Affiliate Program"/>
    <s v="Mobile"/>
    <s v="North America"/>
    <s v="Lead"/>
    <m/>
    <m/>
    <m/>
    <n v="1"/>
    <x v="3"/>
    <n v="0"/>
    <n v="0"/>
    <n v="0"/>
  </r>
  <r>
    <s v="LD6022"/>
    <d v="2024-10-05T00:00:00"/>
    <x v="3"/>
    <s v="Monthly Newsletter"/>
    <s v="Mobile"/>
    <s v="Europe"/>
    <s v="Lead"/>
    <m/>
    <m/>
    <m/>
    <n v="1"/>
    <x v="5"/>
    <n v="0"/>
    <n v="0"/>
    <n v="0"/>
  </r>
  <r>
    <s v="LD4876"/>
    <d v="2024-08-04T00:00:00"/>
    <x v="4"/>
    <s v="Affiliate Program"/>
    <s v="Desktop"/>
    <s v="Latin America"/>
    <s v="Lead"/>
    <m/>
    <m/>
    <m/>
    <n v="1"/>
    <x v="6"/>
    <n v="0"/>
    <n v="0"/>
    <n v="0"/>
  </r>
  <r>
    <s v="LD3371"/>
    <d v="2024-05-08T00:00:00"/>
    <x v="3"/>
    <s v="Promo Blast"/>
    <s v="Mobile"/>
    <s v="Asia Pacific"/>
    <s v="MQL"/>
    <m/>
    <m/>
    <m/>
    <n v="2"/>
    <x v="4"/>
    <n v="1"/>
    <n v="0"/>
    <n v="0"/>
  </r>
  <r>
    <s v="LD7779"/>
    <d v="2024-12-25T00:00:00"/>
    <x v="2"/>
    <s v="Direct / Type-in"/>
    <s v="Mobile"/>
    <s v="North America"/>
    <s v="MQL"/>
    <m/>
    <m/>
    <m/>
    <n v="2"/>
    <x v="7"/>
    <n v="1"/>
    <n v="0"/>
    <n v="0"/>
  </r>
  <r>
    <s v="LD1565"/>
    <d v="2024-02-19T00:00:00"/>
    <x v="5"/>
    <s v="Landing Page SEO"/>
    <s v="Desktop"/>
    <s v="North America"/>
    <s v="Lead"/>
    <m/>
    <m/>
    <m/>
    <n v="1"/>
    <x v="10"/>
    <n v="0"/>
    <n v="0"/>
    <n v="0"/>
  </r>
  <r>
    <s v="LD1479"/>
    <d v="2024-01-06T00:00:00"/>
    <x v="2"/>
    <s v="Direct / Type-in"/>
    <s v="Tablet"/>
    <s v="Asia Pacific"/>
    <s v="SQL"/>
    <m/>
    <m/>
    <m/>
    <n v="3"/>
    <x v="3"/>
    <n v="1"/>
    <n v="1"/>
    <n v="0"/>
  </r>
  <r>
    <s v="LD3265"/>
    <d v="2024-05-11T00:00:00"/>
    <x v="0"/>
    <s v="Instagram Ads"/>
    <s v="Mobile"/>
    <s v="Europe"/>
    <s v="Lead"/>
    <m/>
    <m/>
    <m/>
    <n v="1"/>
    <x v="4"/>
    <n v="0"/>
    <n v="0"/>
    <n v="0"/>
  </r>
  <r>
    <s v="LD5948"/>
    <d v="2024-10-10T00:00:00"/>
    <x v="3"/>
    <s v="Monthly Newsletter"/>
    <s v="Desktop"/>
    <s v="Europe"/>
    <s v="MQL"/>
    <m/>
    <m/>
    <m/>
    <n v="2"/>
    <x v="5"/>
    <n v="1"/>
    <n v="0"/>
    <n v="0"/>
  </r>
  <r>
    <s v="LD2204"/>
    <d v="2024-03-20T00:00:00"/>
    <x v="3"/>
    <s v="Monthly Newsletter"/>
    <s v="Tablet"/>
    <s v="North America"/>
    <s v="Lead"/>
    <m/>
    <m/>
    <m/>
    <n v="1"/>
    <x v="8"/>
    <n v="0"/>
    <n v="0"/>
    <n v="0"/>
  </r>
  <r>
    <s v="LD2225"/>
    <d v="2024-03-11T00:00:00"/>
    <x v="3"/>
    <s v="Monthly Newsletter"/>
    <s v="Mobile"/>
    <s v="Europe"/>
    <s v="Lead"/>
    <m/>
    <m/>
    <m/>
    <n v="1"/>
    <x v="8"/>
    <n v="0"/>
    <n v="0"/>
    <n v="0"/>
  </r>
  <r>
    <s v="LD1143"/>
    <d v="2024-01-02T00:00:00"/>
    <x v="1"/>
    <s v="Google Ads - Brand"/>
    <s v="Desktop"/>
    <s v="North America"/>
    <s v="MQL"/>
    <m/>
    <m/>
    <m/>
    <n v="2"/>
    <x v="3"/>
    <n v="1"/>
    <n v="0"/>
    <n v="0"/>
  </r>
  <r>
    <s v="LD7172"/>
    <d v="2024-12-10T00:00:00"/>
    <x v="5"/>
    <s v="Blog SEO"/>
    <s v="Desktop"/>
    <s v="North America"/>
    <s v="MQL"/>
    <m/>
    <m/>
    <m/>
    <n v="2"/>
    <x v="7"/>
    <n v="1"/>
    <n v="0"/>
    <n v="0"/>
  </r>
  <r>
    <s v="LD6314"/>
    <d v="2024-10-03T00:00:00"/>
    <x v="2"/>
    <s v="Direct / Type-in"/>
    <s v="Desktop"/>
    <s v="North America"/>
    <s v="Lead"/>
    <m/>
    <m/>
    <m/>
    <n v="1"/>
    <x v="5"/>
    <n v="0"/>
    <n v="0"/>
    <n v="0"/>
  </r>
  <r>
    <s v="LD2922"/>
    <d v="2024-04-06T00:00:00"/>
    <x v="4"/>
    <s v="Affiliate Program"/>
    <s v="Mobile"/>
    <s v="Asia Pacific"/>
    <s v="Lead"/>
    <m/>
    <m/>
    <m/>
    <n v="1"/>
    <x v="1"/>
    <n v="0"/>
    <n v="0"/>
    <n v="0"/>
  </r>
  <r>
    <s v="LD2881"/>
    <d v="2024-04-14T00:00:00"/>
    <x v="4"/>
    <s v="Partner Program"/>
    <s v="Mobile"/>
    <s v="Asia Pacific"/>
    <s v="SQL"/>
    <m/>
    <m/>
    <m/>
    <n v="3"/>
    <x v="1"/>
    <n v="1"/>
    <n v="1"/>
    <n v="0"/>
  </r>
  <r>
    <s v="LD6781"/>
    <d v="2024-11-26T00:00:00"/>
    <x v="3"/>
    <s v="Monthly Newsletter"/>
    <s v="Desktop"/>
    <s v="North America"/>
    <s v="Lead"/>
    <m/>
    <m/>
    <m/>
    <n v="1"/>
    <x v="2"/>
    <n v="0"/>
    <n v="0"/>
    <n v="0"/>
  </r>
  <r>
    <s v="LD3340"/>
    <d v="2024-05-08T00:00:00"/>
    <x v="3"/>
    <s v="Monthly Newsletter"/>
    <s v="Desktop"/>
    <s v="North America"/>
    <s v="Customer"/>
    <n v="16"/>
    <s v="Basic"/>
    <n v="513.45000000000005"/>
    <n v="4"/>
    <x v="4"/>
    <n v="1"/>
    <n v="1"/>
    <n v="1"/>
  </r>
  <r>
    <s v="LD3764"/>
    <d v="2024-06-12T00:00:00"/>
    <x v="0"/>
    <s v="Instagram Ads"/>
    <s v="Mobile"/>
    <s v="North America"/>
    <s v="MQL"/>
    <m/>
    <m/>
    <m/>
    <n v="2"/>
    <x v="11"/>
    <n v="1"/>
    <n v="0"/>
    <n v="0"/>
  </r>
  <r>
    <s v="LD1606"/>
    <d v="2024-02-08T00:00:00"/>
    <x v="1"/>
    <s v="Google Ads - Generic"/>
    <s v="Desktop"/>
    <s v="North America"/>
    <s v="Lead"/>
    <m/>
    <m/>
    <m/>
    <n v="1"/>
    <x v="10"/>
    <n v="0"/>
    <n v="0"/>
    <n v="0"/>
  </r>
  <r>
    <s v="LD2195"/>
    <d v="2024-03-26T00:00:00"/>
    <x v="0"/>
    <s v="Instagram Ads"/>
    <s v="Desktop"/>
    <s v="Asia Pacific"/>
    <s v="SQL"/>
    <m/>
    <m/>
    <m/>
    <n v="3"/>
    <x v="8"/>
    <n v="1"/>
    <n v="1"/>
    <n v="0"/>
  </r>
  <r>
    <s v="LD4729"/>
    <d v="2024-08-21T00:00:00"/>
    <x v="0"/>
    <s v="Instagram Ads"/>
    <s v="Desktop"/>
    <s v="Asia Pacific"/>
    <s v="SQL"/>
    <m/>
    <m/>
    <m/>
    <n v="3"/>
    <x v="6"/>
    <n v="1"/>
    <n v="1"/>
    <n v="0"/>
  </r>
  <r>
    <s v="LD5113"/>
    <d v="2024-09-27T00:00:00"/>
    <x v="5"/>
    <s v="Landing Page SEO"/>
    <s v="Tablet"/>
    <s v="Asia Pacific"/>
    <s v="MQL"/>
    <m/>
    <m/>
    <m/>
    <n v="2"/>
    <x v="9"/>
    <n v="1"/>
    <n v="0"/>
    <n v="0"/>
  </r>
  <r>
    <s v="LD6765"/>
    <d v="2024-11-24T00:00:00"/>
    <x v="3"/>
    <s v="Promo Blast"/>
    <s v="Desktop"/>
    <s v="North America"/>
    <s v="MQL"/>
    <m/>
    <m/>
    <m/>
    <n v="2"/>
    <x v="2"/>
    <n v="1"/>
    <n v="0"/>
    <n v="0"/>
  </r>
  <r>
    <s v="LD3580"/>
    <d v="2024-06-08T00:00:00"/>
    <x v="5"/>
    <s v="Landing Page SEO"/>
    <s v="Desktop"/>
    <s v="North America"/>
    <s v="MQL"/>
    <m/>
    <m/>
    <m/>
    <n v="2"/>
    <x v="11"/>
    <n v="1"/>
    <n v="0"/>
    <n v="0"/>
  </r>
  <r>
    <s v="LD2757"/>
    <d v="2024-04-05T00:00:00"/>
    <x v="3"/>
    <s v="Monthly Newsletter"/>
    <s v="Mobile"/>
    <s v="North America"/>
    <s v="MQL"/>
    <m/>
    <m/>
    <m/>
    <n v="2"/>
    <x v="1"/>
    <n v="1"/>
    <n v="0"/>
    <n v="0"/>
  </r>
  <r>
    <s v="LD1498"/>
    <d v="2024-02-28T00:00:00"/>
    <x v="5"/>
    <s v="Landing Page SEO"/>
    <s v="Mobile"/>
    <s v="North America"/>
    <s v="MQL"/>
    <m/>
    <m/>
    <m/>
    <n v="2"/>
    <x v="10"/>
    <n v="1"/>
    <n v="0"/>
    <n v="0"/>
  </r>
  <r>
    <s v="LD6445"/>
    <d v="2024-11-19T00:00:00"/>
    <x v="5"/>
    <s v="Blog SEO"/>
    <s v="Mobile"/>
    <s v="Asia Pacific"/>
    <s v="Customer"/>
    <n v="50"/>
    <s v="Basic"/>
    <n v="1254.56"/>
    <n v="4"/>
    <x v="2"/>
    <n v="1"/>
    <n v="1"/>
    <n v="1"/>
  </r>
  <r>
    <s v="LD6195"/>
    <d v="2024-10-04T00:00:00"/>
    <x v="4"/>
    <s v="Affiliate Program"/>
    <s v="Mobile"/>
    <s v="Asia Pacific"/>
    <s v="Lead"/>
    <m/>
    <m/>
    <m/>
    <n v="1"/>
    <x v="5"/>
    <n v="0"/>
    <n v="0"/>
    <n v="0"/>
  </r>
  <r>
    <s v="LD7633"/>
    <d v="2024-12-14T00:00:00"/>
    <x v="4"/>
    <s v="Affiliate Program"/>
    <s v="Mobile"/>
    <s v="Europe"/>
    <s v="Lead"/>
    <m/>
    <m/>
    <m/>
    <n v="1"/>
    <x v="7"/>
    <n v="0"/>
    <n v="0"/>
    <n v="0"/>
  </r>
  <r>
    <s v="LD4241"/>
    <d v="2024-07-21T00:00:00"/>
    <x v="0"/>
    <s v="Facebook Ads"/>
    <s v="Mobile"/>
    <s v="North America"/>
    <s v="Lead"/>
    <m/>
    <m/>
    <m/>
    <n v="1"/>
    <x v="0"/>
    <n v="0"/>
    <n v="0"/>
    <n v="0"/>
  </r>
  <r>
    <s v="LD6367"/>
    <d v="2024-11-12T00:00:00"/>
    <x v="5"/>
    <s v="Landing Page SEO"/>
    <s v="Desktop"/>
    <s v="North America"/>
    <s v="Lead"/>
    <m/>
    <m/>
    <m/>
    <n v="1"/>
    <x v="2"/>
    <n v="0"/>
    <n v="0"/>
    <n v="0"/>
  </r>
  <r>
    <s v="LD7485"/>
    <d v="2024-12-18T00:00:00"/>
    <x v="3"/>
    <s v="Promo Blast"/>
    <s v="Desktop"/>
    <s v="Asia Pacific"/>
    <s v="Lead"/>
    <m/>
    <m/>
    <m/>
    <n v="1"/>
    <x v="7"/>
    <n v="0"/>
    <n v="0"/>
    <n v="0"/>
  </r>
  <r>
    <s v="LD1722"/>
    <d v="2024-02-11T00:00:00"/>
    <x v="3"/>
    <s v="Monthly Newsletter"/>
    <s v="Mobile"/>
    <s v="Europe"/>
    <s v="Lead"/>
    <m/>
    <m/>
    <m/>
    <n v="1"/>
    <x v="10"/>
    <n v="0"/>
    <n v="0"/>
    <n v="0"/>
  </r>
  <r>
    <s v="LD4753"/>
    <d v="2024-08-07T00:00:00"/>
    <x v="3"/>
    <s v="Monthly Newsletter"/>
    <s v="Desktop"/>
    <s v="North America"/>
    <s v="Lead"/>
    <m/>
    <m/>
    <m/>
    <n v="1"/>
    <x v="6"/>
    <n v="0"/>
    <n v="0"/>
    <n v="0"/>
  </r>
  <r>
    <s v="LD2026"/>
    <d v="2024-03-03T00:00:00"/>
    <x v="5"/>
    <s v="Landing Page SEO"/>
    <s v="Desktop"/>
    <s v="North America"/>
    <s v="SQL"/>
    <m/>
    <m/>
    <m/>
    <n v="3"/>
    <x v="8"/>
    <n v="1"/>
    <n v="1"/>
    <n v="0"/>
  </r>
  <r>
    <s v="LD7538"/>
    <d v="2024-12-14T00:00:00"/>
    <x v="3"/>
    <s v="Promo Blast"/>
    <s v="Mobile"/>
    <s v="North America"/>
    <s v="Lead"/>
    <m/>
    <m/>
    <m/>
    <n v="1"/>
    <x v="7"/>
    <n v="0"/>
    <n v="0"/>
    <n v="0"/>
  </r>
  <r>
    <s v="LD2296"/>
    <d v="2024-03-04T00:00:00"/>
    <x v="3"/>
    <s v="Promo Blast"/>
    <s v="Desktop"/>
    <s v="North America"/>
    <s v="Customer"/>
    <n v="60"/>
    <s v="Basic"/>
    <n v="1394.25"/>
    <n v="4"/>
    <x v="8"/>
    <n v="1"/>
    <n v="1"/>
    <n v="1"/>
  </r>
  <r>
    <s v="LD4258"/>
    <d v="2024-07-19T00:00:00"/>
    <x v="0"/>
    <s v="Instagram Ads"/>
    <s v="Desktop"/>
    <s v="Europe"/>
    <s v="Lead"/>
    <m/>
    <m/>
    <m/>
    <n v="1"/>
    <x v="0"/>
    <n v="0"/>
    <n v="0"/>
    <n v="0"/>
  </r>
  <r>
    <s v="LD2497"/>
    <d v="2024-04-11T00:00:00"/>
    <x v="5"/>
    <s v="Blog SEO"/>
    <s v="Mobile"/>
    <s v="North America"/>
    <s v="Lead"/>
    <m/>
    <m/>
    <m/>
    <n v="1"/>
    <x v="1"/>
    <n v="0"/>
    <n v="0"/>
    <n v="0"/>
  </r>
  <r>
    <s v="LD6897"/>
    <d v="2024-11-01T00:00:00"/>
    <x v="3"/>
    <s v="Promo Blast"/>
    <s v="Mobile"/>
    <s v="North America"/>
    <s v="Customer"/>
    <n v="37"/>
    <s v="Basic"/>
    <n v="833.96"/>
    <n v="4"/>
    <x v="2"/>
    <n v="1"/>
    <n v="1"/>
    <n v="1"/>
  </r>
  <r>
    <s v="LD2521"/>
    <d v="2024-04-22T00:00:00"/>
    <x v="5"/>
    <s v="Landing Page SEO"/>
    <s v="Desktop"/>
    <s v="Europe"/>
    <s v="MQL"/>
    <m/>
    <m/>
    <m/>
    <n v="2"/>
    <x v="1"/>
    <n v="1"/>
    <n v="0"/>
    <n v="0"/>
  </r>
  <r>
    <s v="LD2966"/>
    <d v="2024-04-19T00:00:00"/>
    <x v="2"/>
    <s v="Direct / Type-in"/>
    <s v="Desktop"/>
    <s v="Asia Pacific"/>
    <s v="Lead"/>
    <m/>
    <m/>
    <m/>
    <n v="1"/>
    <x v="1"/>
    <n v="0"/>
    <n v="0"/>
    <n v="0"/>
  </r>
  <r>
    <s v="LD5317"/>
    <d v="2024-09-05T00:00:00"/>
    <x v="3"/>
    <s v="Promo Blast"/>
    <s v="Desktop"/>
    <s v="Europe"/>
    <s v="SQL"/>
    <m/>
    <m/>
    <m/>
    <n v="3"/>
    <x v="9"/>
    <n v="1"/>
    <n v="1"/>
    <n v="0"/>
  </r>
  <r>
    <s v="LD3843"/>
    <d v="2024-06-08T00:00:00"/>
    <x v="3"/>
    <s v="Promo Blast"/>
    <s v="Mobile"/>
    <s v="North America"/>
    <s v="Customer"/>
    <n v="44"/>
    <s v="Basic"/>
    <n v="826.77"/>
    <n v="4"/>
    <x v="11"/>
    <n v="1"/>
    <n v="1"/>
    <n v="1"/>
  </r>
  <r>
    <s v="LD5490"/>
    <d v="2024-09-20T00:00:00"/>
    <x v="4"/>
    <s v="Partner Program"/>
    <s v="Desktop"/>
    <s v="Asia Pacific"/>
    <s v="SQL"/>
    <m/>
    <m/>
    <m/>
    <n v="3"/>
    <x v="9"/>
    <n v="1"/>
    <n v="1"/>
    <n v="0"/>
  </r>
  <r>
    <s v="LD5216"/>
    <d v="2024-09-21T00:00:00"/>
    <x v="1"/>
    <s v="Google Ads - Generic"/>
    <s v="Desktop"/>
    <s v="North America"/>
    <s v="Lead"/>
    <m/>
    <m/>
    <m/>
    <n v="1"/>
    <x v="9"/>
    <n v="0"/>
    <n v="0"/>
    <n v="0"/>
  </r>
  <r>
    <s v="LD7543"/>
    <d v="2024-12-15T00:00:00"/>
    <x v="3"/>
    <s v="Monthly Newsletter"/>
    <s v="Tablet"/>
    <s v="North America"/>
    <s v="Lead"/>
    <m/>
    <m/>
    <m/>
    <n v="1"/>
    <x v="7"/>
    <n v="0"/>
    <n v="0"/>
    <n v="0"/>
  </r>
  <r>
    <s v="LD6465"/>
    <d v="2024-11-13T00:00:00"/>
    <x v="5"/>
    <s v="Landing Page SEO"/>
    <s v="Desktop"/>
    <s v="Europe"/>
    <s v="Lead"/>
    <m/>
    <m/>
    <m/>
    <n v="1"/>
    <x v="2"/>
    <n v="0"/>
    <n v="0"/>
    <n v="0"/>
  </r>
  <r>
    <s v="LD5937"/>
    <d v="2024-10-17T00:00:00"/>
    <x v="0"/>
    <s v="LinkedIn Ads"/>
    <s v="Mobile"/>
    <s v="Europe"/>
    <s v="Lead"/>
    <m/>
    <m/>
    <m/>
    <n v="1"/>
    <x v="5"/>
    <n v="0"/>
    <n v="0"/>
    <n v="0"/>
  </r>
  <r>
    <s v="LD2303"/>
    <d v="2024-03-21T00:00:00"/>
    <x v="3"/>
    <s v="Monthly Newsletter"/>
    <s v="Mobile"/>
    <s v="Europe"/>
    <s v="MQL"/>
    <m/>
    <m/>
    <m/>
    <n v="2"/>
    <x v="8"/>
    <n v="1"/>
    <n v="0"/>
    <n v="0"/>
  </r>
  <r>
    <s v="LD1109"/>
    <d v="2024-01-11T00:00:00"/>
    <x v="1"/>
    <s v="Google Ads - Brand"/>
    <s v="Desktop"/>
    <s v="North America"/>
    <s v="SQL"/>
    <m/>
    <m/>
    <m/>
    <n v="3"/>
    <x v="3"/>
    <n v="1"/>
    <n v="1"/>
    <n v="0"/>
  </r>
  <r>
    <s v="LD3634"/>
    <d v="2024-06-09T00:00:00"/>
    <x v="5"/>
    <s v="Landing Page SEO"/>
    <s v="Tablet"/>
    <s v="North America"/>
    <s v="Customer"/>
    <n v="37"/>
    <s v="Pro"/>
    <n v="2846.04"/>
    <n v="4"/>
    <x v="11"/>
    <n v="1"/>
    <n v="1"/>
    <n v="1"/>
  </r>
  <r>
    <s v="LD2352"/>
    <d v="2024-03-04T00:00:00"/>
    <x v="4"/>
    <s v="Partner Program"/>
    <s v="Desktop"/>
    <s v="Europe"/>
    <s v="MQL"/>
    <m/>
    <m/>
    <m/>
    <n v="2"/>
    <x v="8"/>
    <n v="1"/>
    <n v="0"/>
    <n v="0"/>
  </r>
  <r>
    <s v="LD7498"/>
    <d v="2024-12-15T00:00:00"/>
    <x v="3"/>
    <s v="Promo Blast"/>
    <s v="Desktop"/>
    <s v="Europe"/>
    <s v="MQL"/>
    <m/>
    <m/>
    <m/>
    <n v="2"/>
    <x v="7"/>
    <n v="1"/>
    <n v="0"/>
    <n v="0"/>
  </r>
  <r>
    <s v="LD6081"/>
    <d v="2024-10-03T00:00:00"/>
    <x v="3"/>
    <s v="Monthly Newsletter"/>
    <s v="Mobile"/>
    <s v="Asia Pacific"/>
    <s v="Lead"/>
    <m/>
    <m/>
    <m/>
    <n v="1"/>
    <x v="5"/>
    <n v="0"/>
    <n v="0"/>
    <n v="0"/>
  </r>
  <r>
    <s v="LD4407"/>
    <d v="2024-07-10T00:00:00"/>
    <x v="4"/>
    <s v="Affiliate Program"/>
    <s v="Desktop"/>
    <s v="North America"/>
    <s v="Lead"/>
    <m/>
    <m/>
    <m/>
    <n v="1"/>
    <x v="0"/>
    <n v="0"/>
    <n v="0"/>
    <n v="0"/>
  </r>
  <r>
    <s v="LD7519"/>
    <d v="2024-12-15T00:00:00"/>
    <x v="3"/>
    <s v="Monthly Newsletter"/>
    <s v="Desktop"/>
    <s v="North America"/>
    <s v="SQL"/>
    <m/>
    <m/>
    <m/>
    <n v="3"/>
    <x v="7"/>
    <n v="1"/>
    <n v="1"/>
    <n v="0"/>
  </r>
  <r>
    <s v="LD1932"/>
    <d v="2024-02-28T00:00:00"/>
    <x v="2"/>
    <s v="Direct / Type-in"/>
    <s v="Desktop"/>
    <s v="Asia Pacific"/>
    <s v="MQL"/>
    <m/>
    <m/>
    <m/>
    <n v="2"/>
    <x v="10"/>
    <n v="1"/>
    <n v="0"/>
    <n v="0"/>
  </r>
  <r>
    <s v="LD1337"/>
    <d v="2024-01-09T00:00:00"/>
    <x v="3"/>
    <s v="Promo Blast"/>
    <s v="Desktop"/>
    <s v="Europe"/>
    <s v="SQL"/>
    <m/>
    <m/>
    <m/>
    <n v="3"/>
    <x v="3"/>
    <n v="1"/>
    <n v="1"/>
    <n v="0"/>
  </r>
  <r>
    <s v="LD6945"/>
    <d v="2024-11-12T00:00:00"/>
    <x v="4"/>
    <s v="Partner Program"/>
    <s v="Mobile"/>
    <s v="Europe"/>
    <s v="Customer"/>
    <n v="59"/>
    <s v="Basic"/>
    <n v="1185.42"/>
    <n v="4"/>
    <x v="2"/>
    <n v="1"/>
    <n v="1"/>
    <n v="1"/>
  </r>
  <r>
    <s v="LD3589"/>
    <d v="2024-06-08T00:00:00"/>
    <x v="5"/>
    <s v="Blog SEO"/>
    <s v="Mobile"/>
    <s v="Asia Pacific"/>
    <s v="Lead"/>
    <m/>
    <m/>
    <m/>
    <n v="1"/>
    <x v="11"/>
    <n v="0"/>
    <n v="0"/>
    <n v="0"/>
  </r>
  <r>
    <s v="LD5410"/>
    <d v="2024-09-14T00:00:00"/>
    <x v="3"/>
    <s v="Monthly Newsletter"/>
    <s v="Desktop"/>
    <s v="Asia Pacific"/>
    <s v="MQL"/>
    <m/>
    <m/>
    <m/>
    <n v="2"/>
    <x v="9"/>
    <n v="1"/>
    <n v="0"/>
    <n v="0"/>
  </r>
  <r>
    <s v="LD4969"/>
    <d v="2024-08-18T00:00:00"/>
    <x v="2"/>
    <s v="Direct / Type-in"/>
    <s v="Desktop"/>
    <s v="Latin America"/>
    <s v="MQL"/>
    <m/>
    <m/>
    <m/>
    <n v="2"/>
    <x v="6"/>
    <n v="1"/>
    <n v="0"/>
    <n v="0"/>
  </r>
  <r>
    <s v="LD1938"/>
    <d v="2024-02-18T00:00:00"/>
    <x v="2"/>
    <s v="Direct / Type-in"/>
    <s v="Desktop"/>
    <s v="North America"/>
    <s v="Lead"/>
    <m/>
    <m/>
    <m/>
    <n v="1"/>
    <x v="10"/>
    <n v="0"/>
    <n v="0"/>
    <n v="0"/>
  </r>
  <r>
    <s v="LD6833"/>
    <d v="2024-11-01T00:00:00"/>
    <x v="3"/>
    <s v="Monthly Newsletter"/>
    <s v="Desktop"/>
    <s v="Latin America"/>
    <s v="MQL"/>
    <m/>
    <m/>
    <m/>
    <n v="2"/>
    <x v="2"/>
    <n v="1"/>
    <n v="0"/>
    <n v="0"/>
  </r>
  <r>
    <s v="LD2581"/>
    <d v="2024-04-18T00:00:00"/>
    <x v="1"/>
    <s v="Google Ads - Brand"/>
    <s v="Desktop"/>
    <s v="North America"/>
    <s v="Lead"/>
    <m/>
    <m/>
    <m/>
    <n v="1"/>
    <x v="1"/>
    <n v="0"/>
    <n v="0"/>
    <n v="0"/>
  </r>
  <r>
    <s v="LD4892"/>
    <d v="2024-08-12T00:00:00"/>
    <x v="4"/>
    <s v="Affiliate Program"/>
    <s v="Tablet"/>
    <s v="Europe"/>
    <s v="SQL"/>
    <m/>
    <m/>
    <m/>
    <n v="3"/>
    <x v="6"/>
    <n v="1"/>
    <n v="1"/>
    <n v="0"/>
  </r>
  <r>
    <s v="LD1388"/>
    <d v="2024-01-02T00:00:00"/>
    <x v="4"/>
    <s v="Partner Program"/>
    <s v="Desktop"/>
    <s v="Asia Pacific"/>
    <s v="MQL"/>
    <m/>
    <m/>
    <m/>
    <n v="2"/>
    <x v="3"/>
    <n v="1"/>
    <n v="0"/>
    <n v="0"/>
  </r>
  <r>
    <s v="LD4662"/>
    <d v="2024-08-18T00:00:00"/>
    <x v="1"/>
    <s v="Google Ads - Generic"/>
    <s v="Desktop"/>
    <s v="North America"/>
    <s v="Lead"/>
    <m/>
    <m/>
    <m/>
    <n v="1"/>
    <x v="6"/>
    <n v="0"/>
    <n v="0"/>
    <n v="0"/>
  </r>
  <r>
    <s v="LD2967"/>
    <d v="2024-04-09T00:00:00"/>
    <x v="2"/>
    <s v="Direct / Type-in"/>
    <s v="Desktop"/>
    <s v="North America"/>
    <s v="SQL"/>
    <m/>
    <m/>
    <m/>
    <n v="3"/>
    <x v="1"/>
    <n v="1"/>
    <n v="1"/>
    <n v="0"/>
  </r>
  <r>
    <s v="LD7613"/>
    <d v="2024-12-28T00:00:00"/>
    <x v="4"/>
    <s v="Partner Program"/>
    <s v="Mobile"/>
    <s v="North America"/>
    <s v="MQL"/>
    <m/>
    <m/>
    <m/>
    <n v="2"/>
    <x v="7"/>
    <n v="1"/>
    <n v="0"/>
    <n v="0"/>
  </r>
  <r>
    <s v="LD5336"/>
    <d v="2024-09-23T00:00:00"/>
    <x v="3"/>
    <s v="Monthly Newsletter"/>
    <s v="Mobile"/>
    <s v="North America"/>
    <s v="MQL"/>
    <m/>
    <m/>
    <m/>
    <n v="2"/>
    <x v="9"/>
    <n v="1"/>
    <n v="0"/>
    <n v="0"/>
  </r>
  <r>
    <s v="LD6362"/>
    <d v="2024-11-21T00:00:00"/>
    <x v="5"/>
    <s v="Blog SEO"/>
    <s v="Desktop"/>
    <s v="North America"/>
    <s v="Lead"/>
    <m/>
    <m/>
    <m/>
    <n v="1"/>
    <x v="2"/>
    <n v="0"/>
    <n v="0"/>
    <n v="0"/>
  </r>
  <r>
    <s v="LD1725"/>
    <d v="2024-02-17T00:00:00"/>
    <x v="3"/>
    <s v="Promo Blast"/>
    <s v="Desktop"/>
    <s v="Asia Pacific"/>
    <s v="SQL"/>
    <m/>
    <m/>
    <m/>
    <n v="3"/>
    <x v="10"/>
    <n v="1"/>
    <n v="1"/>
    <n v="0"/>
  </r>
  <r>
    <s v="LD1766"/>
    <d v="2024-02-05T00:00:00"/>
    <x v="3"/>
    <s v="Monthly Newsletter"/>
    <s v="Desktop"/>
    <s v="North America"/>
    <s v="Lead"/>
    <m/>
    <m/>
    <m/>
    <n v="1"/>
    <x v="10"/>
    <n v="0"/>
    <n v="0"/>
    <n v="0"/>
  </r>
  <r>
    <s v="LD1287"/>
    <d v="2024-01-22T00:00:00"/>
    <x v="3"/>
    <s v="Monthly Newsletter"/>
    <s v="Tablet"/>
    <s v="North America"/>
    <s v="Lead"/>
    <m/>
    <m/>
    <m/>
    <n v="1"/>
    <x v="3"/>
    <n v="0"/>
    <n v="0"/>
    <n v="0"/>
  </r>
  <r>
    <s v="LD4498"/>
    <d v="2024-08-03T00:00:00"/>
    <x v="5"/>
    <s v="Blog SEO"/>
    <s v="Desktop"/>
    <s v="Europe"/>
    <s v="Lead"/>
    <m/>
    <m/>
    <m/>
    <n v="1"/>
    <x v="6"/>
    <n v="0"/>
    <n v="0"/>
    <n v="0"/>
  </r>
  <r>
    <s v="LD7521"/>
    <d v="2024-12-20T00:00:00"/>
    <x v="3"/>
    <s v="Monthly Newsletter"/>
    <s v="Desktop"/>
    <s v="North America"/>
    <s v="Lead"/>
    <m/>
    <m/>
    <m/>
    <n v="1"/>
    <x v="7"/>
    <n v="0"/>
    <n v="0"/>
    <n v="0"/>
  </r>
  <r>
    <s v="LD1308"/>
    <d v="2024-01-16T00:00:00"/>
    <x v="3"/>
    <s v="Promo Blast"/>
    <s v="Mobile"/>
    <s v="North America"/>
    <s v="MQL"/>
    <m/>
    <m/>
    <m/>
    <n v="2"/>
    <x v="3"/>
    <n v="1"/>
    <n v="0"/>
    <n v="0"/>
  </r>
  <r>
    <s v="LD6347"/>
    <d v="2024-11-10T00:00:00"/>
    <x v="5"/>
    <s v="Landing Page SEO"/>
    <s v="Desktop"/>
    <s v="Asia Pacific"/>
    <s v="MQL"/>
    <m/>
    <m/>
    <m/>
    <n v="2"/>
    <x v="2"/>
    <n v="1"/>
    <n v="0"/>
    <n v="0"/>
  </r>
  <r>
    <s v="LD7482"/>
    <d v="2024-12-22T00:00:00"/>
    <x v="3"/>
    <s v="Monthly Newsletter"/>
    <s v="Desktop"/>
    <s v="North America"/>
    <s v="Lead"/>
    <m/>
    <m/>
    <m/>
    <n v="1"/>
    <x v="7"/>
    <n v="0"/>
    <n v="0"/>
    <n v="0"/>
  </r>
  <r>
    <s v="LD4337"/>
    <d v="2024-07-25T00:00:00"/>
    <x v="3"/>
    <s v="Monthly Newsletter"/>
    <s v="Desktop"/>
    <s v="North America"/>
    <s v="SQL"/>
    <m/>
    <m/>
    <m/>
    <n v="3"/>
    <x v="0"/>
    <n v="1"/>
    <n v="1"/>
    <n v="0"/>
  </r>
  <r>
    <s v="LD3681"/>
    <d v="2024-06-24T00:00:00"/>
    <x v="1"/>
    <s v="Google Ads - Brand"/>
    <s v="Mobile"/>
    <s v="Latin America"/>
    <s v="MQL"/>
    <m/>
    <m/>
    <m/>
    <n v="2"/>
    <x v="11"/>
    <n v="1"/>
    <n v="0"/>
    <n v="0"/>
  </r>
  <r>
    <s v="LD7479"/>
    <d v="2024-12-10T00:00:00"/>
    <x v="3"/>
    <s v="Monthly Newsletter"/>
    <s v="Desktop"/>
    <s v="Asia Pacific"/>
    <s v="Lead"/>
    <m/>
    <m/>
    <m/>
    <n v="1"/>
    <x v="7"/>
    <n v="0"/>
    <n v="0"/>
    <n v="0"/>
  </r>
  <r>
    <s v="LD7640"/>
    <d v="2024-12-05T00:00:00"/>
    <x v="4"/>
    <s v="Affiliate Program"/>
    <s v="Desktop"/>
    <s v="Asia Pacific"/>
    <s v="Customer"/>
    <n v="65"/>
    <s v="Basic"/>
    <n v="945.9"/>
    <n v="4"/>
    <x v="7"/>
    <n v="1"/>
    <n v="1"/>
    <n v="1"/>
  </r>
  <r>
    <s v="LD5589"/>
    <d v="2024-09-16T00:00:00"/>
    <x v="2"/>
    <s v="Direct / Type-in"/>
    <s v="Desktop"/>
    <s v="North America"/>
    <s v="SQL"/>
    <m/>
    <m/>
    <m/>
    <n v="3"/>
    <x v="9"/>
    <n v="1"/>
    <n v="1"/>
    <n v="0"/>
  </r>
  <r>
    <s v="LD7145"/>
    <d v="2024-12-14T00:00:00"/>
    <x v="5"/>
    <s v="Blog SEO"/>
    <s v="Desktop"/>
    <s v="North America"/>
    <s v="Lead"/>
    <m/>
    <m/>
    <m/>
    <n v="1"/>
    <x v="7"/>
    <n v="0"/>
    <n v="0"/>
    <n v="0"/>
  </r>
  <r>
    <s v="LD2792"/>
    <d v="2024-04-11T00:00:00"/>
    <x v="3"/>
    <s v="Monthly Newsletter"/>
    <s v="Mobile"/>
    <s v="North America"/>
    <s v="MQL"/>
    <m/>
    <m/>
    <m/>
    <n v="2"/>
    <x v="1"/>
    <n v="1"/>
    <n v="0"/>
    <n v="0"/>
  </r>
  <r>
    <s v="LD4004"/>
    <d v="2024-06-16T00:00:00"/>
    <x v="2"/>
    <s v="Direct / Type-in"/>
    <s v="Desktop"/>
    <s v="Asia Pacific"/>
    <s v="Lead"/>
    <m/>
    <m/>
    <m/>
    <n v="1"/>
    <x v="11"/>
    <n v="0"/>
    <n v="0"/>
    <n v="0"/>
  </r>
  <r>
    <s v="LD4008"/>
    <d v="2024-06-18T00:00:00"/>
    <x v="2"/>
    <s v="Direct / Type-in"/>
    <s v="Desktop"/>
    <s v="Europe"/>
    <s v="Lead"/>
    <m/>
    <m/>
    <m/>
    <n v="1"/>
    <x v="11"/>
    <n v="0"/>
    <n v="0"/>
    <n v="0"/>
  </r>
  <r>
    <s v="LD2635"/>
    <d v="2024-04-24T00:00:00"/>
    <x v="1"/>
    <s v="Google Ads - Generic"/>
    <s v="Desktop"/>
    <s v="Europe"/>
    <s v="Lead"/>
    <m/>
    <m/>
    <m/>
    <n v="1"/>
    <x v="1"/>
    <n v="0"/>
    <n v="0"/>
    <n v="0"/>
  </r>
  <r>
    <s v="LD3630"/>
    <d v="2024-06-22T00:00:00"/>
    <x v="5"/>
    <s v="Blog SEO"/>
    <s v="Desktop"/>
    <s v="Latin America"/>
    <s v="SQL"/>
    <m/>
    <m/>
    <m/>
    <n v="3"/>
    <x v="11"/>
    <n v="1"/>
    <n v="1"/>
    <n v="0"/>
  </r>
  <r>
    <s v="LD5765"/>
    <d v="2024-10-25T00:00:00"/>
    <x v="1"/>
    <s v="Google Ads - Generic"/>
    <s v="Desktop"/>
    <s v="Asia Pacific"/>
    <s v="Lead"/>
    <m/>
    <m/>
    <m/>
    <n v="1"/>
    <x v="5"/>
    <n v="0"/>
    <n v="0"/>
    <n v="0"/>
  </r>
  <r>
    <s v="LD6754"/>
    <d v="2024-11-28T00:00:00"/>
    <x v="3"/>
    <s v="Promo Blast"/>
    <s v="Desktop"/>
    <s v="Asia Pacific"/>
    <s v="Lead"/>
    <m/>
    <m/>
    <m/>
    <n v="1"/>
    <x v="2"/>
    <n v="0"/>
    <n v="0"/>
    <n v="0"/>
  </r>
  <r>
    <s v="LD1185"/>
    <d v="2024-01-18T00:00:00"/>
    <x v="0"/>
    <s v="Instagram Ads"/>
    <s v="Mobile"/>
    <s v="North America"/>
    <s v="MQL"/>
    <m/>
    <m/>
    <m/>
    <n v="2"/>
    <x v="3"/>
    <n v="1"/>
    <n v="0"/>
    <n v="0"/>
  </r>
  <r>
    <s v="LD1072"/>
    <d v="2024-01-20T00:00:00"/>
    <x v="5"/>
    <s v="Landing Page SEO"/>
    <s v="Desktop"/>
    <s v="North America"/>
    <s v="MQL"/>
    <m/>
    <m/>
    <m/>
    <n v="2"/>
    <x v="3"/>
    <n v="1"/>
    <n v="0"/>
    <n v="0"/>
  </r>
  <r>
    <s v="LD6968"/>
    <d v="2024-11-08T00:00:00"/>
    <x v="4"/>
    <s v="Affiliate Program"/>
    <s v="Desktop"/>
    <s v="Asia Pacific"/>
    <s v="SQL"/>
    <m/>
    <m/>
    <m/>
    <n v="3"/>
    <x v="2"/>
    <n v="1"/>
    <n v="1"/>
    <n v="0"/>
  </r>
  <r>
    <s v="LD1712"/>
    <d v="2024-02-06T00:00:00"/>
    <x v="3"/>
    <s v="Monthly Newsletter"/>
    <s v="Mobile"/>
    <s v="Asia Pacific"/>
    <s v="MQL"/>
    <m/>
    <m/>
    <m/>
    <n v="2"/>
    <x v="10"/>
    <n v="1"/>
    <n v="0"/>
    <n v="0"/>
  </r>
  <r>
    <s v="LD1422"/>
    <d v="2024-01-06T00:00:00"/>
    <x v="4"/>
    <s v="Partner Program"/>
    <s v="Mobile"/>
    <s v="Europe"/>
    <s v="MQL"/>
    <m/>
    <m/>
    <m/>
    <n v="2"/>
    <x v="3"/>
    <n v="1"/>
    <n v="0"/>
    <n v="0"/>
  </r>
  <r>
    <s v="LD2021"/>
    <d v="2024-03-19T00:00:00"/>
    <x v="5"/>
    <s v="Blog SEO"/>
    <s v="Desktop"/>
    <s v="North America"/>
    <s v="SQL"/>
    <m/>
    <m/>
    <m/>
    <n v="3"/>
    <x v="8"/>
    <n v="1"/>
    <n v="1"/>
    <n v="0"/>
  </r>
  <r>
    <s v="LD7702"/>
    <d v="2024-12-14T00:00:00"/>
    <x v="4"/>
    <s v="Partner Program"/>
    <s v="Desktop"/>
    <s v="Europe"/>
    <s v="Lead"/>
    <m/>
    <m/>
    <m/>
    <n v="1"/>
    <x v="7"/>
    <n v="0"/>
    <n v="0"/>
    <n v="0"/>
  </r>
  <r>
    <s v="LD3458"/>
    <d v="2024-05-05T00:00:00"/>
    <x v="4"/>
    <s v="Affiliate Program"/>
    <s v="Mobile"/>
    <s v="Asia Pacific"/>
    <s v="Lead"/>
    <m/>
    <m/>
    <m/>
    <n v="1"/>
    <x v="4"/>
    <n v="0"/>
    <n v="0"/>
    <n v="0"/>
  </r>
  <r>
    <s v="LD3971"/>
    <d v="2024-06-24T00:00:00"/>
    <x v="4"/>
    <s v="Partner Program"/>
    <s v="Desktop"/>
    <s v="Asia Pacific"/>
    <s v="MQL"/>
    <m/>
    <m/>
    <m/>
    <n v="2"/>
    <x v="11"/>
    <n v="1"/>
    <n v="0"/>
    <n v="0"/>
  </r>
  <r>
    <s v="LD1738"/>
    <d v="2024-02-22T00:00:00"/>
    <x v="3"/>
    <s v="Promo Blast"/>
    <s v="Desktop"/>
    <s v="North America"/>
    <s v="MQL"/>
    <m/>
    <m/>
    <m/>
    <n v="2"/>
    <x v="10"/>
    <n v="1"/>
    <n v="0"/>
    <n v="0"/>
  </r>
  <r>
    <s v="LD5437"/>
    <d v="2024-09-06T00:00:00"/>
    <x v="3"/>
    <s v="Monthly Newsletter"/>
    <s v="Desktop"/>
    <s v="North America"/>
    <s v="Lead"/>
    <m/>
    <m/>
    <m/>
    <n v="1"/>
    <x v="9"/>
    <n v="0"/>
    <n v="0"/>
    <n v="0"/>
  </r>
  <r>
    <s v="LD2261"/>
    <d v="2024-03-12T00:00:00"/>
    <x v="3"/>
    <s v="Monthly Newsletter"/>
    <s v="Desktop"/>
    <s v="Asia Pacific"/>
    <s v="MQL"/>
    <m/>
    <m/>
    <m/>
    <n v="2"/>
    <x v="8"/>
    <n v="1"/>
    <n v="0"/>
    <n v="0"/>
  </r>
  <r>
    <s v="LD2667"/>
    <d v="2024-04-10T00:00:00"/>
    <x v="0"/>
    <s v="Instagram Ads"/>
    <s v="Desktop"/>
    <s v="North America"/>
    <s v="MQL"/>
    <m/>
    <m/>
    <m/>
    <n v="2"/>
    <x v="1"/>
    <n v="1"/>
    <n v="0"/>
    <n v="0"/>
  </r>
  <r>
    <s v="LD5662"/>
    <d v="2024-10-20T00:00:00"/>
    <x v="5"/>
    <s v="Landing Page SEO"/>
    <s v="Desktop"/>
    <s v="Europe"/>
    <s v="MQL"/>
    <m/>
    <m/>
    <m/>
    <n v="2"/>
    <x v="5"/>
    <n v="1"/>
    <n v="0"/>
    <n v="0"/>
  </r>
  <r>
    <s v="LD3230"/>
    <d v="2024-05-05T00:00:00"/>
    <x v="0"/>
    <s v="Facebook Ads"/>
    <s v="Desktop"/>
    <s v="Latin America"/>
    <s v="Lead"/>
    <m/>
    <m/>
    <m/>
    <n v="1"/>
    <x v="4"/>
    <n v="0"/>
    <n v="0"/>
    <n v="0"/>
  </r>
  <r>
    <s v="LD7581"/>
    <d v="2024-12-12T00:00:00"/>
    <x v="3"/>
    <s v="Monthly Newsletter"/>
    <s v="Desktop"/>
    <s v="Latin America"/>
    <s v="Customer"/>
    <n v="21"/>
    <s v="Basic"/>
    <n v="1275.77"/>
    <n v="4"/>
    <x v="7"/>
    <n v="1"/>
    <n v="1"/>
    <n v="1"/>
  </r>
  <r>
    <s v="LD4150"/>
    <d v="2024-07-06T00:00:00"/>
    <x v="1"/>
    <s v="Google Ads - Brand"/>
    <s v="Desktop"/>
    <s v="Europe"/>
    <s v="Lead"/>
    <m/>
    <m/>
    <m/>
    <n v="1"/>
    <x v="0"/>
    <n v="0"/>
    <n v="0"/>
    <n v="0"/>
  </r>
  <r>
    <s v="LD7376"/>
    <d v="2024-12-16T00:00:00"/>
    <x v="0"/>
    <s v="Instagram Ads"/>
    <s v="Desktop"/>
    <s v="North America"/>
    <s v="Lead"/>
    <m/>
    <m/>
    <m/>
    <n v="1"/>
    <x v="7"/>
    <n v="0"/>
    <n v="0"/>
    <n v="0"/>
  </r>
  <r>
    <s v="LD7497"/>
    <d v="2024-12-14T00:00:00"/>
    <x v="3"/>
    <s v="Promo Blast"/>
    <s v="Desktop"/>
    <s v="Europe"/>
    <s v="Customer"/>
    <n v="22"/>
    <s v="Basic"/>
    <n v="580.58000000000004"/>
    <n v="4"/>
    <x v="7"/>
    <n v="1"/>
    <n v="1"/>
    <n v="1"/>
  </r>
  <r>
    <s v="LD7462"/>
    <d v="2024-12-08T00:00:00"/>
    <x v="3"/>
    <s v="Monthly Newsletter"/>
    <s v="Desktop"/>
    <s v="Europe"/>
    <s v="Lead"/>
    <m/>
    <m/>
    <m/>
    <n v="1"/>
    <x v="7"/>
    <n v="0"/>
    <n v="0"/>
    <n v="0"/>
  </r>
  <r>
    <s v="LD4606"/>
    <d v="2024-08-27T00:00:00"/>
    <x v="1"/>
    <s v="Google Ads - Brand"/>
    <s v="Desktop"/>
    <s v="North America"/>
    <s v="Lead"/>
    <m/>
    <m/>
    <m/>
    <n v="1"/>
    <x v="6"/>
    <n v="0"/>
    <n v="0"/>
    <n v="0"/>
  </r>
  <r>
    <s v="LD3128"/>
    <d v="2024-05-13T00:00:00"/>
    <x v="1"/>
    <s v="Google Ads - Generic"/>
    <s v="Mobile"/>
    <s v="Asia Pacific"/>
    <s v="MQL"/>
    <m/>
    <m/>
    <m/>
    <n v="2"/>
    <x v="4"/>
    <n v="1"/>
    <n v="0"/>
    <n v="0"/>
  </r>
  <r>
    <s v="LD2211"/>
    <d v="2024-03-22T00:00:00"/>
    <x v="3"/>
    <s v="Promo Blast"/>
    <s v="Desktop"/>
    <s v="Asia Pacific"/>
    <s v="Customer"/>
    <n v="70"/>
    <s v="Enterprise"/>
    <n v="18168.45"/>
    <n v="4"/>
    <x v="8"/>
    <n v="1"/>
    <n v="1"/>
    <n v="1"/>
  </r>
  <r>
    <s v="LD2696"/>
    <d v="2024-04-18T00:00:00"/>
    <x v="0"/>
    <s v="Facebook Ads"/>
    <s v="Mobile"/>
    <s v="Europe"/>
    <s v="Lead"/>
    <m/>
    <m/>
    <m/>
    <n v="1"/>
    <x v="1"/>
    <n v="0"/>
    <n v="0"/>
    <n v="0"/>
  </r>
  <r>
    <s v="LD3399"/>
    <d v="2024-05-22T00:00:00"/>
    <x v="3"/>
    <s v="Promo Blast"/>
    <s v="Desktop"/>
    <s v="North America"/>
    <s v="SQL"/>
    <m/>
    <m/>
    <m/>
    <n v="3"/>
    <x v="4"/>
    <n v="1"/>
    <n v="1"/>
    <n v="0"/>
  </r>
  <r>
    <s v="LD7372"/>
    <d v="2024-12-25T00:00:00"/>
    <x v="0"/>
    <s v="Instagram Ads"/>
    <s v="Desktop"/>
    <s v="North America"/>
    <s v="Lead"/>
    <m/>
    <m/>
    <m/>
    <n v="1"/>
    <x v="7"/>
    <n v="0"/>
    <n v="0"/>
    <n v="0"/>
  </r>
  <r>
    <s v="LD2096"/>
    <d v="2024-03-21T00:00:00"/>
    <x v="1"/>
    <s v="Google Ads - Generic"/>
    <s v="Tablet"/>
    <s v="Asia Pacific"/>
    <s v="MQL"/>
    <m/>
    <m/>
    <m/>
    <n v="2"/>
    <x v="8"/>
    <n v="1"/>
    <n v="0"/>
    <n v="0"/>
  </r>
  <r>
    <s v="LD7432"/>
    <d v="2024-12-03T00:00:00"/>
    <x v="3"/>
    <s v="Promo Blast"/>
    <s v="Desktop"/>
    <s v="North America"/>
    <s v="SQL"/>
    <m/>
    <m/>
    <m/>
    <n v="3"/>
    <x v="7"/>
    <n v="1"/>
    <n v="1"/>
    <n v="0"/>
  </r>
  <r>
    <s v="LD7085"/>
    <d v="2024-11-21T00:00:00"/>
    <x v="2"/>
    <s v="Direct / Type-in"/>
    <s v="Mobile"/>
    <s v="Latin America"/>
    <s v="MQL"/>
    <m/>
    <m/>
    <m/>
    <n v="2"/>
    <x v="2"/>
    <n v="1"/>
    <n v="0"/>
    <n v="0"/>
  </r>
  <r>
    <s v="LD3684"/>
    <d v="2024-06-05T00:00:00"/>
    <x v="1"/>
    <s v="Google Ads - Brand"/>
    <s v="Mobile"/>
    <s v="North America"/>
    <s v="Lead"/>
    <m/>
    <m/>
    <m/>
    <n v="1"/>
    <x v="11"/>
    <n v="0"/>
    <n v="0"/>
    <n v="0"/>
  </r>
  <r>
    <s v="LD2631"/>
    <d v="2024-04-04T00:00:00"/>
    <x v="1"/>
    <s v="Google Ads - Brand"/>
    <s v="Desktop"/>
    <s v="North America"/>
    <s v="Lead"/>
    <m/>
    <m/>
    <m/>
    <n v="1"/>
    <x v="1"/>
    <n v="0"/>
    <n v="0"/>
    <n v="0"/>
  </r>
  <r>
    <s v="LD4783"/>
    <d v="2024-08-19T00:00:00"/>
    <x v="3"/>
    <s v="Monthly Newsletter"/>
    <s v="Desktop"/>
    <s v="Latin America"/>
    <s v="SQL"/>
    <m/>
    <m/>
    <m/>
    <n v="3"/>
    <x v="6"/>
    <n v="1"/>
    <n v="1"/>
    <n v="0"/>
  </r>
  <r>
    <s v="LD6603"/>
    <d v="2024-11-08T00:00:00"/>
    <x v="0"/>
    <s v="LinkedIn Ads"/>
    <s v="Mobile"/>
    <s v="North America"/>
    <s v="MQL"/>
    <m/>
    <m/>
    <m/>
    <n v="2"/>
    <x v="2"/>
    <n v="1"/>
    <n v="0"/>
    <n v="0"/>
  </r>
  <r>
    <s v="LD5537"/>
    <d v="2024-09-28T00:00:00"/>
    <x v="4"/>
    <s v="Partner Program"/>
    <s v="Desktop"/>
    <s v="Latin America"/>
    <s v="Lead"/>
    <m/>
    <m/>
    <m/>
    <n v="1"/>
    <x v="9"/>
    <n v="0"/>
    <n v="0"/>
    <n v="0"/>
  </r>
  <r>
    <s v="LD2613"/>
    <d v="2024-04-10T00:00:00"/>
    <x v="1"/>
    <s v="Google Ads - Generic"/>
    <s v="Desktop"/>
    <s v="North America"/>
    <s v="MQL"/>
    <m/>
    <m/>
    <m/>
    <n v="2"/>
    <x v="1"/>
    <n v="1"/>
    <n v="0"/>
    <n v="0"/>
  </r>
  <r>
    <s v="LD1979"/>
    <d v="2024-03-01T00:00:00"/>
    <x v="5"/>
    <s v="Blog SEO"/>
    <s v="Mobile"/>
    <s v="Asia Pacific"/>
    <s v="Lead"/>
    <m/>
    <m/>
    <m/>
    <n v="1"/>
    <x v="8"/>
    <n v="0"/>
    <n v="0"/>
    <n v="0"/>
  </r>
  <r>
    <s v="LD3851"/>
    <d v="2024-06-18T00:00:00"/>
    <x v="3"/>
    <s v="Promo Blast"/>
    <s v="Desktop"/>
    <s v="Asia Pacific"/>
    <s v="Lead"/>
    <m/>
    <m/>
    <m/>
    <n v="1"/>
    <x v="11"/>
    <n v="0"/>
    <n v="0"/>
    <n v="0"/>
  </r>
  <r>
    <s v="LD5813"/>
    <d v="2024-10-05T00:00:00"/>
    <x v="1"/>
    <s v="Google Ads - Brand"/>
    <s v="Desktop"/>
    <s v="Asia Pacific"/>
    <s v="Lead"/>
    <m/>
    <m/>
    <m/>
    <n v="1"/>
    <x v="5"/>
    <n v="0"/>
    <n v="0"/>
    <n v="0"/>
  </r>
  <r>
    <s v="LD7728"/>
    <d v="2024-12-08T00:00:00"/>
    <x v="2"/>
    <s v="Direct / Type-in"/>
    <s v="Mobile"/>
    <s v="Europe"/>
    <s v="SQL"/>
    <m/>
    <m/>
    <m/>
    <n v="3"/>
    <x v="7"/>
    <n v="1"/>
    <n v="1"/>
    <n v="0"/>
  </r>
  <r>
    <s v="LD7065"/>
    <d v="2024-11-11T00:00:00"/>
    <x v="2"/>
    <s v="Direct / Type-in"/>
    <s v="Desktop"/>
    <s v="North America"/>
    <s v="SQL"/>
    <m/>
    <m/>
    <m/>
    <n v="3"/>
    <x v="2"/>
    <n v="1"/>
    <n v="1"/>
    <n v="0"/>
  </r>
  <r>
    <s v="LD1488"/>
    <d v="2024-02-09T00:00:00"/>
    <x v="5"/>
    <s v="Blog SEO"/>
    <s v="Mobile"/>
    <s v="North America"/>
    <s v="Lead"/>
    <m/>
    <m/>
    <m/>
    <n v="1"/>
    <x v="10"/>
    <n v="0"/>
    <n v="0"/>
    <n v="0"/>
  </r>
  <r>
    <s v="LD3058"/>
    <d v="2024-05-24T00:00:00"/>
    <x v="5"/>
    <s v="Landing Page SEO"/>
    <s v="Mobile"/>
    <s v="North America"/>
    <s v="MQL"/>
    <m/>
    <m/>
    <m/>
    <n v="2"/>
    <x v="4"/>
    <n v="1"/>
    <n v="0"/>
    <n v="0"/>
  </r>
  <r>
    <s v="LD6974"/>
    <d v="2024-11-05T00:00:00"/>
    <x v="4"/>
    <s v="Affiliate Program"/>
    <s v="Desktop"/>
    <s v="Europe"/>
    <s v="Lead"/>
    <m/>
    <m/>
    <m/>
    <n v="1"/>
    <x v="2"/>
    <n v="0"/>
    <n v="0"/>
    <n v="0"/>
  </r>
  <r>
    <s v="LD1345"/>
    <d v="2024-01-10T00:00:00"/>
    <x v="3"/>
    <s v="Promo Blast"/>
    <s v="Tablet"/>
    <s v="Europe"/>
    <s v="MQL"/>
    <m/>
    <m/>
    <m/>
    <n v="2"/>
    <x v="3"/>
    <n v="1"/>
    <n v="0"/>
    <n v="0"/>
  </r>
  <r>
    <s v="LD4341"/>
    <d v="2024-07-07T00:00:00"/>
    <x v="3"/>
    <s v="Monthly Newsletter"/>
    <s v="Tablet"/>
    <s v="North America"/>
    <s v="MQL"/>
    <m/>
    <m/>
    <m/>
    <n v="2"/>
    <x v="0"/>
    <n v="1"/>
    <n v="0"/>
    <n v="0"/>
  </r>
  <r>
    <s v="LD7620"/>
    <d v="2024-12-02T00:00:00"/>
    <x v="4"/>
    <s v="Partner Program"/>
    <s v="Desktop"/>
    <s v="Europe"/>
    <s v="Lead"/>
    <m/>
    <m/>
    <m/>
    <n v="1"/>
    <x v="7"/>
    <n v="0"/>
    <n v="0"/>
    <n v="0"/>
  </r>
  <r>
    <s v="LD5561"/>
    <d v="2024-09-12T00:00:00"/>
    <x v="2"/>
    <s v="Direct / Type-in"/>
    <s v="Desktop"/>
    <s v="North America"/>
    <s v="Lead"/>
    <m/>
    <m/>
    <m/>
    <n v="1"/>
    <x v="9"/>
    <n v="0"/>
    <n v="0"/>
    <n v="0"/>
  </r>
  <r>
    <s v="LD6161"/>
    <d v="2024-10-18T00:00:00"/>
    <x v="4"/>
    <s v="Affiliate Program"/>
    <s v="Mobile"/>
    <s v="Europe"/>
    <s v="MQL"/>
    <m/>
    <m/>
    <m/>
    <n v="2"/>
    <x v="5"/>
    <n v="1"/>
    <n v="0"/>
    <n v="0"/>
  </r>
  <r>
    <s v="LD1912"/>
    <d v="2024-02-23T00:00:00"/>
    <x v="2"/>
    <s v="Direct / Type-in"/>
    <s v="Tablet"/>
    <s v="North America"/>
    <s v="MQL"/>
    <m/>
    <m/>
    <m/>
    <n v="2"/>
    <x v="10"/>
    <n v="1"/>
    <n v="0"/>
    <n v="0"/>
  </r>
  <r>
    <s v="LD2042"/>
    <d v="2024-03-24T00:00:00"/>
    <x v="5"/>
    <s v="Blog SEO"/>
    <s v="Desktop"/>
    <s v="North America"/>
    <s v="MQL"/>
    <m/>
    <m/>
    <m/>
    <n v="2"/>
    <x v="8"/>
    <n v="1"/>
    <n v="0"/>
    <n v="0"/>
  </r>
  <r>
    <s v="LD1048"/>
    <d v="2024-01-03T00:00:00"/>
    <x v="5"/>
    <s v="Blog SEO"/>
    <s v="Desktop"/>
    <s v="North America"/>
    <s v="Customer"/>
    <n v="43"/>
    <s v="Basic"/>
    <n v="1333.74"/>
    <n v="4"/>
    <x v="3"/>
    <n v="1"/>
    <n v="1"/>
    <n v="1"/>
  </r>
  <r>
    <s v="LD4382"/>
    <d v="2024-07-24T00:00:00"/>
    <x v="4"/>
    <s v="Partner Program"/>
    <s v="Desktop"/>
    <s v="North America"/>
    <s v="Lead"/>
    <m/>
    <m/>
    <m/>
    <n v="1"/>
    <x v="0"/>
    <n v="0"/>
    <n v="0"/>
    <n v="0"/>
  </r>
  <r>
    <s v="LD6880"/>
    <d v="2024-11-05T00:00:00"/>
    <x v="3"/>
    <s v="Monthly Newsletter"/>
    <s v="Desktop"/>
    <s v="North America"/>
    <s v="Lead"/>
    <m/>
    <m/>
    <m/>
    <n v="1"/>
    <x v="2"/>
    <n v="0"/>
    <n v="0"/>
    <n v="0"/>
  </r>
  <r>
    <s v="LD2351"/>
    <d v="2024-03-04T00:00:00"/>
    <x v="4"/>
    <s v="Affiliate Program"/>
    <s v="Mobile"/>
    <s v="Europe"/>
    <s v="SQL"/>
    <m/>
    <m/>
    <m/>
    <n v="3"/>
    <x v="8"/>
    <n v="1"/>
    <n v="1"/>
    <n v="0"/>
  </r>
  <r>
    <s v="LD1444"/>
    <d v="2024-01-19T00:00:00"/>
    <x v="2"/>
    <s v="Direct / Type-in"/>
    <s v="Desktop"/>
    <s v="North America"/>
    <s v="MQL"/>
    <m/>
    <m/>
    <m/>
    <n v="2"/>
    <x v="3"/>
    <n v="1"/>
    <n v="0"/>
    <n v="0"/>
  </r>
  <r>
    <s v="LD3216"/>
    <d v="2024-05-06T00:00:00"/>
    <x v="0"/>
    <s v="Facebook Ads"/>
    <s v="Mobile"/>
    <s v="Asia Pacific"/>
    <s v="Lead"/>
    <m/>
    <m/>
    <m/>
    <n v="1"/>
    <x v="4"/>
    <n v="0"/>
    <n v="0"/>
    <n v="0"/>
  </r>
  <r>
    <s v="LD2062"/>
    <d v="2024-03-21T00:00:00"/>
    <x v="1"/>
    <s v="Google Ads - Brand"/>
    <s v="Desktop"/>
    <s v="Latin America"/>
    <s v="Lead"/>
    <m/>
    <m/>
    <m/>
    <n v="1"/>
    <x v="8"/>
    <n v="0"/>
    <n v="0"/>
    <n v="0"/>
  </r>
  <r>
    <s v="LD2452"/>
    <d v="2024-03-08T00:00:00"/>
    <x v="2"/>
    <s v="Direct / Type-in"/>
    <s v="Desktop"/>
    <s v="Asia Pacific"/>
    <s v="Lead"/>
    <m/>
    <m/>
    <m/>
    <n v="1"/>
    <x v="8"/>
    <n v="0"/>
    <n v="0"/>
    <n v="0"/>
  </r>
  <r>
    <s v="LD2868"/>
    <d v="2024-04-09T00:00:00"/>
    <x v="3"/>
    <s v="Monthly Newsletter"/>
    <s v="Tablet"/>
    <s v="Europe"/>
    <s v="Lead"/>
    <m/>
    <m/>
    <m/>
    <n v="1"/>
    <x v="1"/>
    <n v="0"/>
    <n v="0"/>
    <n v="0"/>
  </r>
  <r>
    <s v="LD5025"/>
    <d v="2024-09-19T00:00:00"/>
    <x v="5"/>
    <s v="Landing Page SEO"/>
    <s v="Desktop"/>
    <s v="Asia Pacific"/>
    <s v="MQL"/>
    <m/>
    <m/>
    <m/>
    <n v="2"/>
    <x v="9"/>
    <n v="1"/>
    <n v="0"/>
    <n v="0"/>
  </r>
  <r>
    <s v="LD6722"/>
    <d v="2024-11-11T00:00:00"/>
    <x v="3"/>
    <s v="Promo Blast"/>
    <s v="Mobile"/>
    <s v="Europe"/>
    <s v="Lead"/>
    <m/>
    <m/>
    <m/>
    <n v="1"/>
    <x v="2"/>
    <n v="0"/>
    <n v="0"/>
    <n v="0"/>
  </r>
  <r>
    <s v="LD2744"/>
    <d v="2024-04-13T00:00:00"/>
    <x v="3"/>
    <s v="Promo Blast"/>
    <s v="Mobile"/>
    <s v="Europe"/>
    <s v="Lead"/>
    <m/>
    <m/>
    <m/>
    <n v="1"/>
    <x v="1"/>
    <n v="0"/>
    <n v="0"/>
    <n v="0"/>
  </r>
  <r>
    <s v="LD7033"/>
    <d v="2024-11-27T00:00:00"/>
    <x v="2"/>
    <s v="Direct / Type-in"/>
    <s v="Mobile"/>
    <s v="North America"/>
    <s v="MQL"/>
    <m/>
    <m/>
    <m/>
    <n v="2"/>
    <x v="2"/>
    <n v="1"/>
    <n v="0"/>
    <n v="0"/>
  </r>
  <r>
    <s v="LD5510"/>
    <d v="2024-09-19T00:00:00"/>
    <x v="4"/>
    <s v="Affiliate Program"/>
    <s v="Desktop"/>
    <s v="Europe"/>
    <s v="SQL"/>
    <m/>
    <m/>
    <m/>
    <n v="3"/>
    <x v="9"/>
    <n v="1"/>
    <n v="1"/>
    <n v="0"/>
  </r>
  <r>
    <s v="LD4878"/>
    <d v="2024-08-09T00:00:00"/>
    <x v="4"/>
    <s v="Affiliate Program"/>
    <s v="Desktop"/>
    <s v="Europe"/>
    <s v="Lead"/>
    <m/>
    <m/>
    <m/>
    <n v="1"/>
    <x v="6"/>
    <n v="0"/>
    <n v="0"/>
    <n v="0"/>
  </r>
  <r>
    <s v="LD2755"/>
    <d v="2024-04-15T00:00:00"/>
    <x v="3"/>
    <s v="Promo Blast"/>
    <s v="Desktop"/>
    <s v="North America"/>
    <s v="MQL"/>
    <m/>
    <m/>
    <m/>
    <n v="2"/>
    <x v="1"/>
    <n v="1"/>
    <n v="0"/>
    <n v="0"/>
  </r>
  <r>
    <s v="LD3945"/>
    <d v="2024-06-28T00:00:00"/>
    <x v="4"/>
    <s v="Partner Program"/>
    <s v="Desktop"/>
    <s v="Europe"/>
    <s v="MQL"/>
    <m/>
    <m/>
    <m/>
    <n v="2"/>
    <x v="11"/>
    <n v="1"/>
    <n v="0"/>
    <n v="0"/>
  </r>
  <r>
    <s v="LD4155"/>
    <d v="2024-07-16T00:00:00"/>
    <x v="1"/>
    <s v="Google Ads - Brand"/>
    <s v="Desktop"/>
    <s v="North America"/>
    <s v="Customer"/>
    <n v="36"/>
    <s v="Basic"/>
    <n v="1445.51"/>
    <n v="4"/>
    <x v="0"/>
    <n v="1"/>
    <n v="1"/>
    <n v="1"/>
  </r>
  <r>
    <s v="LD6458"/>
    <d v="2024-11-20T00:00:00"/>
    <x v="5"/>
    <s v="Blog SEO"/>
    <s v="Mobile"/>
    <s v="Asia Pacific"/>
    <s v="Lead"/>
    <m/>
    <m/>
    <m/>
    <n v="1"/>
    <x v="2"/>
    <n v="0"/>
    <n v="0"/>
    <n v="0"/>
  </r>
  <r>
    <s v="LD6286"/>
    <d v="2024-10-07T00:00:00"/>
    <x v="2"/>
    <s v="Direct / Type-in"/>
    <s v="Mobile"/>
    <s v="Asia Pacific"/>
    <s v="Lead"/>
    <m/>
    <m/>
    <m/>
    <n v="1"/>
    <x v="5"/>
    <n v="0"/>
    <n v="0"/>
    <n v="0"/>
  </r>
  <r>
    <s v="LD2056"/>
    <d v="2024-03-23T00:00:00"/>
    <x v="1"/>
    <s v="Google Ads - Brand"/>
    <s v="Mobile"/>
    <s v="Asia Pacific"/>
    <s v="MQL"/>
    <m/>
    <m/>
    <m/>
    <n v="2"/>
    <x v="8"/>
    <n v="1"/>
    <n v="0"/>
    <n v="0"/>
  </r>
  <r>
    <s v="LD1849"/>
    <d v="2024-02-25T00:00:00"/>
    <x v="4"/>
    <s v="Partner Program"/>
    <s v="Desktop"/>
    <s v="North America"/>
    <s v="Customer"/>
    <n v="13"/>
    <s v="Basic"/>
    <n v="762.56"/>
    <n v="4"/>
    <x v="10"/>
    <n v="1"/>
    <n v="1"/>
    <n v="1"/>
  </r>
  <r>
    <s v="LD4018"/>
    <d v="2024-06-09T00:00:00"/>
    <x v="2"/>
    <s v="Direct / Type-in"/>
    <s v="Desktop"/>
    <s v="Latin America"/>
    <s v="MQL"/>
    <m/>
    <m/>
    <m/>
    <n v="2"/>
    <x v="11"/>
    <n v="1"/>
    <n v="0"/>
    <n v="0"/>
  </r>
  <r>
    <s v="LD4459"/>
    <d v="2024-07-25T00:00:00"/>
    <x v="2"/>
    <s v="Direct / Type-in"/>
    <s v="Desktop"/>
    <s v="Europe"/>
    <s v="MQL"/>
    <m/>
    <m/>
    <m/>
    <n v="2"/>
    <x v="0"/>
    <n v="1"/>
    <n v="0"/>
    <n v="0"/>
  </r>
  <r>
    <s v="LD3432"/>
    <d v="2024-05-10T00:00:00"/>
    <x v="3"/>
    <s v="Monthly Newsletter"/>
    <s v="Mobile"/>
    <s v="North America"/>
    <s v="MQL"/>
    <m/>
    <m/>
    <m/>
    <n v="2"/>
    <x v="4"/>
    <n v="1"/>
    <n v="0"/>
    <n v="0"/>
  </r>
  <r>
    <s v="LD5191"/>
    <d v="2024-09-16T00:00:00"/>
    <x v="1"/>
    <s v="Google Ads - Brand"/>
    <s v="Desktop"/>
    <s v="Asia Pacific"/>
    <s v="Customer"/>
    <n v="25"/>
    <s v="Enterprise"/>
    <n v="7611.63"/>
    <n v="4"/>
    <x v="9"/>
    <n v="1"/>
    <n v="1"/>
    <n v="1"/>
  </r>
  <r>
    <s v="LD2295"/>
    <d v="2024-03-04T00:00:00"/>
    <x v="3"/>
    <s v="Promo Blast"/>
    <s v="Desktop"/>
    <s v="North America"/>
    <s v="MQL"/>
    <m/>
    <m/>
    <m/>
    <n v="2"/>
    <x v="8"/>
    <n v="1"/>
    <n v="0"/>
    <n v="0"/>
  </r>
  <r>
    <s v="LD4946"/>
    <d v="2024-08-23T00:00:00"/>
    <x v="4"/>
    <s v="Affiliate Program"/>
    <s v="Mobile"/>
    <s v="North America"/>
    <s v="MQL"/>
    <m/>
    <m/>
    <m/>
    <n v="2"/>
    <x v="6"/>
    <n v="1"/>
    <n v="0"/>
    <n v="0"/>
  </r>
  <r>
    <s v="LD3747"/>
    <d v="2024-06-19T00:00:00"/>
    <x v="0"/>
    <s v="LinkedIn Ads"/>
    <s v="Mobile"/>
    <s v="Asia Pacific"/>
    <s v="Customer"/>
    <n v="64"/>
    <s v="Enterprise"/>
    <n v="13743.49"/>
    <n v="4"/>
    <x v="11"/>
    <n v="1"/>
    <n v="1"/>
    <n v="1"/>
  </r>
  <r>
    <s v="LD4545"/>
    <d v="2024-08-24T00:00:00"/>
    <x v="5"/>
    <s v="Landing Page SEO"/>
    <s v="Desktop"/>
    <s v="Latin America"/>
    <s v="Lead"/>
    <m/>
    <m/>
    <m/>
    <n v="1"/>
    <x v="6"/>
    <n v="0"/>
    <n v="0"/>
    <n v="0"/>
  </r>
  <r>
    <s v="LD7335"/>
    <d v="2024-12-04T00:00:00"/>
    <x v="0"/>
    <s v="Facebook Ads"/>
    <s v="Desktop"/>
    <s v="Europe"/>
    <s v="Lead"/>
    <m/>
    <m/>
    <m/>
    <n v="1"/>
    <x v="7"/>
    <n v="0"/>
    <n v="0"/>
    <n v="0"/>
  </r>
  <r>
    <s v="LD7069"/>
    <d v="2024-11-22T00:00:00"/>
    <x v="2"/>
    <s v="Direct / Type-in"/>
    <s v="Desktop"/>
    <s v="Latin America"/>
    <s v="Lead"/>
    <m/>
    <m/>
    <m/>
    <n v="1"/>
    <x v="2"/>
    <n v="0"/>
    <n v="0"/>
    <n v="0"/>
  </r>
  <r>
    <s v="LD5845"/>
    <d v="2024-10-17T00:00:00"/>
    <x v="0"/>
    <s v="LinkedIn Ads"/>
    <s v="Desktop"/>
    <s v="North America"/>
    <s v="MQL"/>
    <m/>
    <m/>
    <m/>
    <n v="2"/>
    <x v="5"/>
    <n v="1"/>
    <n v="0"/>
    <n v="0"/>
  </r>
  <r>
    <s v="LD4956"/>
    <d v="2024-08-27T00:00:00"/>
    <x v="2"/>
    <s v="Direct / Type-in"/>
    <s v="Desktop"/>
    <s v="North America"/>
    <s v="Lead"/>
    <m/>
    <m/>
    <m/>
    <n v="1"/>
    <x v="6"/>
    <n v="0"/>
    <n v="0"/>
    <n v="0"/>
  </r>
  <r>
    <s v="LD2113"/>
    <d v="2024-03-09T00:00:00"/>
    <x v="1"/>
    <s v="Google Ads - Generic"/>
    <s v="Desktop"/>
    <s v="Asia Pacific"/>
    <s v="Lead"/>
    <m/>
    <m/>
    <m/>
    <n v="1"/>
    <x v="8"/>
    <n v="0"/>
    <n v="0"/>
    <n v="0"/>
  </r>
  <r>
    <s v="LD2962"/>
    <d v="2024-04-08T00:00:00"/>
    <x v="2"/>
    <s v="Direct / Type-in"/>
    <s v="Mobile"/>
    <s v="Asia Pacific"/>
    <s v="MQL"/>
    <m/>
    <m/>
    <m/>
    <n v="2"/>
    <x v="1"/>
    <n v="1"/>
    <n v="0"/>
    <n v="0"/>
  </r>
  <r>
    <s v="LD1777"/>
    <d v="2024-02-07T00:00:00"/>
    <x v="3"/>
    <s v="Monthly Newsletter"/>
    <s v="Mobile"/>
    <s v="Europe"/>
    <s v="SQL"/>
    <m/>
    <m/>
    <m/>
    <n v="3"/>
    <x v="10"/>
    <n v="1"/>
    <n v="1"/>
    <n v="0"/>
  </r>
  <r>
    <s v="LD7412"/>
    <d v="2024-12-09T00:00:00"/>
    <x v="0"/>
    <s v="Instagram Ads"/>
    <s v="Desktop"/>
    <s v="Asia Pacific"/>
    <s v="MQL"/>
    <m/>
    <m/>
    <m/>
    <n v="2"/>
    <x v="7"/>
    <n v="1"/>
    <n v="0"/>
    <n v="0"/>
  </r>
  <r>
    <s v="LD1184"/>
    <d v="2024-01-27T00:00:00"/>
    <x v="0"/>
    <s v="LinkedIn Ads"/>
    <s v="Tablet"/>
    <s v="North America"/>
    <s v="SQL"/>
    <m/>
    <m/>
    <m/>
    <n v="3"/>
    <x v="3"/>
    <n v="1"/>
    <n v="1"/>
    <n v="0"/>
  </r>
  <r>
    <s v="LD3719"/>
    <d v="2024-06-17T00:00:00"/>
    <x v="1"/>
    <s v="Google Ads - Generic"/>
    <s v="Mobile"/>
    <s v="Europe"/>
    <s v="Lead"/>
    <m/>
    <m/>
    <m/>
    <n v="1"/>
    <x v="11"/>
    <n v="0"/>
    <n v="0"/>
    <n v="0"/>
  </r>
  <r>
    <s v="LD5641"/>
    <d v="2024-10-25T00:00:00"/>
    <x v="5"/>
    <s v="Landing Page SEO"/>
    <s v="Mobile"/>
    <s v="Europe"/>
    <s v="Lead"/>
    <m/>
    <m/>
    <m/>
    <n v="1"/>
    <x v="5"/>
    <n v="0"/>
    <n v="0"/>
    <n v="0"/>
  </r>
  <r>
    <s v="LD5603"/>
    <d v="2024-09-10T00:00:00"/>
    <x v="2"/>
    <s v="Direct / Type-in"/>
    <s v="Tablet"/>
    <s v="North America"/>
    <s v="Customer"/>
    <n v="52"/>
    <s v="Basic"/>
    <n v="1348.97"/>
    <n v="4"/>
    <x v="9"/>
    <n v="1"/>
    <n v="1"/>
    <n v="1"/>
  </r>
  <r>
    <s v="LD3756"/>
    <d v="2024-06-26T00:00:00"/>
    <x v="0"/>
    <s v="Facebook Ads"/>
    <s v="Desktop"/>
    <s v="North America"/>
    <s v="Lead"/>
    <m/>
    <m/>
    <m/>
    <n v="1"/>
    <x v="11"/>
    <n v="0"/>
    <n v="0"/>
    <n v="0"/>
  </r>
  <r>
    <s v="LD2514"/>
    <d v="2024-04-26T00:00:00"/>
    <x v="5"/>
    <s v="Blog SEO"/>
    <s v="Desktop"/>
    <s v="Europe"/>
    <s v="MQL"/>
    <m/>
    <m/>
    <m/>
    <n v="2"/>
    <x v="1"/>
    <n v="1"/>
    <n v="0"/>
    <n v="0"/>
  </r>
  <r>
    <s v="LD3678"/>
    <d v="2024-06-23T00:00:00"/>
    <x v="1"/>
    <s v="Google Ads - Brand"/>
    <s v="Mobile"/>
    <s v="Europe"/>
    <s v="SQL"/>
    <m/>
    <m/>
    <m/>
    <n v="3"/>
    <x v="11"/>
    <n v="1"/>
    <n v="1"/>
    <n v="0"/>
  </r>
  <r>
    <s v="LD1735"/>
    <d v="2024-02-17T00:00:00"/>
    <x v="3"/>
    <s v="Promo Blast"/>
    <s v="Mobile"/>
    <s v="Europe"/>
    <s v="MQL"/>
    <m/>
    <m/>
    <m/>
    <n v="2"/>
    <x v="10"/>
    <n v="1"/>
    <n v="0"/>
    <n v="0"/>
  </r>
  <r>
    <s v="LD7285"/>
    <d v="2024-12-01T00:00:00"/>
    <x v="1"/>
    <s v="Google Ads - Generic"/>
    <s v="Desktop"/>
    <s v="North America"/>
    <s v="MQL"/>
    <m/>
    <m/>
    <m/>
    <n v="2"/>
    <x v="7"/>
    <n v="1"/>
    <n v="0"/>
    <n v="0"/>
  </r>
  <r>
    <s v="LD5210"/>
    <d v="2024-09-20T00:00:00"/>
    <x v="1"/>
    <s v="Google Ads - Brand"/>
    <s v="Desktop"/>
    <s v="North America"/>
    <s v="Lead"/>
    <m/>
    <m/>
    <m/>
    <n v="1"/>
    <x v="9"/>
    <n v="0"/>
    <n v="0"/>
    <n v="0"/>
  </r>
  <r>
    <s v="LD2169"/>
    <d v="2024-03-02T00:00:00"/>
    <x v="0"/>
    <s v="Facebook Ads"/>
    <s v="Desktop"/>
    <s v="North America"/>
    <s v="MQL"/>
    <m/>
    <m/>
    <m/>
    <n v="2"/>
    <x v="8"/>
    <n v="1"/>
    <n v="0"/>
    <n v="0"/>
  </r>
  <r>
    <s v="LD4561"/>
    <d v="2024-08-05T00:00:00"/>
    <x v="5"/>
    <s v="Landing Page SEO"/>
    <s v="Desktop"/>
    <s v="North America"/>
    <s v="Customer"/>
    <n v="48"/>
    <s v="Basic"/>
    <n v="517.9"/>
    <n v="4"/>
    <x v="6"/>
    <n v="1"/>
    <n v="1"/>
    <n v="1"/>
  </r>
  <r>
    <s v="LD6164"/>
    <d v="2024-10-16T00:00:00"/>
    <x v="4"/>
    <s v="Affiliate Program"/>
    <s v="Desktop"/>
    <s v="North America"/>
    <s v="Customer"/>
    <n v="63"/>
    <s v="Pro"/>
    <n v="3085.54"/>
    <n v="4"/>
    <x v="5"/>
    <n v="1"/>
    <n v="1"/>
    <n v="1"/>
  </r>
  <r>
    <s v="LD2852"/>
    <d v="2024-04-07T00:00:00"/>
    <x v="3"/>
    <s v="Promo Blast"/>
    <s v="Mobile"/>
    <s v="Asia Pacific"/>
    <s v="Lead"/>
    <m/>
    <m/>
    <m/>
    <n v="1"/>
    <x v="1"/>
    <n v="0"/>
    <n v="0"/>
    <n v="0"/>
  </r>
  <r>
    <s v="LD6387"/>
    <d v="2024-11-07T00:00:00"/>
    <x v="5"/>
    <s v="Landing Page SEO"/>
    <s v="Mobile"/>
    <s v="Asia Pacific"/>
    <s v="Lead"/>
    <m/>
    <m/>
    <m/>
    <n v="1"/>
    <x v="2"/>
    <n v="0"/>
    <n v="0"/>
    <n v="0"/>
  </r>
  <r>
    <s v="LD4758"/>
    <d v="2024-08-21T00:00:00"/>
    <x v="3"/>
    <s v="Monthly Newsletter"/>
    <s v="Tablet"/>
    <s v="North America"/>
    <s v="MQL"/>
    <m/>
    <m/>
    <m/>
    <n v="2"/>
    <x v="6"/>
    <n v="1"/>
    <n v="0"/>
    <n v="0"/>
  </r>
  <r>
    <s v="LD3115"/>
    <d v="2024-05-11T00:00:00"/>
    <x v="1"/>
    <s v="Google Ads - Brand"/>
    <s v="Mobile"/>
    <s v="Europe"/>
    <s v="Lead"/>
    <m/>
    <m/>
    <m/>
    <n v="1"/>
    <x v="4"/>
    <n v="0"/>
    <n v="0"/>
    <n v="0"/>
  </r>
  <r>
    <s v="LD5746"/>
    <d v="2024-10-05T00:00:00"/>
    <x v="1"/>
    <s v="Google Ads - Generic"/>
    <s v="Desktop"/>
    <s v="North America"/>
    <s v="Lead"/>
    <m/>
    <m/>
    <m/>
    <n v="1"/>
    <x v="5"/>
    <n v="0"/>
    <n v="0"/>
    <n v="0"/>
  </r>
  <r>
    <s v="LD3629"/>
    <d v="2024-06-07T00:00:00"/>
    <x v="5"/>
    <s v="Landing Page SEO"/>
    <s v="Desktop"/>
    <s v="Asia Pacific"/>
    <s v="Lead"/>
    <m/>
    <m/>
    <m/>
    <n v="1"/>
    <x v="11"/>
    <n v="0"/>
    <n v="0"/>
    <n v="0"/>
  </r>
  <r>
    <s v="LD5383"/>
    <d v="2024-09-24T00:00:00"/>
    <x v="3"/>
    <s v="Promo Blast"/>
    <s v="Tablet"/>
    <s v="Europe"/>
    <s v="Lead"/>
    <m/>
    <m/>
    <m/>
    <n v="1"/>
    <x v="9"/>
    <n v="0"/>
    <n v="0"/>
    <n v="0"/>
  </r>
  <r>
    <s v="LD3779"/>
    <d v="2024-06-28T00:00:00"/>
    <x v="0"/>
    <s v="LinkedIn Ads"/>
    <s v="Desktop"/>
    <s v="Europe"/>
    <s v="Lead"/>
    <m/>
    <m/>
    <m/>
    <n v="1"/>
    <x v="11"/>
    <n v="0"/>
    <n v="0"/>
    <n v="0"/>
  </r>
  <r>
    <s v="LD1486"/>
    <d v="2024-02-02T00:00:00"/>
    <x v="5"/>
    <s v="Landing Page SEO"/>
    <s v="Mobile"/>
    <s v="Europe"/>
    <s v="Customer"/>
    <n v="8"/>
    <s v="Basic"/>
    <n v="1453.02"/>
    <n v="4"/>
    <x v="10"/>
    <n v="1"/>
    <n v="1"/>
    <n v="1"/>
  </r>
  <r>
    <s v="LD7336"/>
    <d v="2024-12-07T00:00:00"/>
    <x v="0"/>
    <s v="Facebook Ads"/>
    <s v="Desktop"/>
    <s v="Asia Pacific"/>
    <s v="Lead"/>
    <m/>
    <m/>
    <m/>
    <n v="1"/>
    <x v="7"/>
    <n v="0"/>
    <n v="0"/>
    <n v="0"/>
  </r>
  <r>
    <s v="LD1453"/>
    <d v="2024-01-22T00:00:00"/>
    <x v="2"/>
    <s v="Direct / Type-in"/>
    <s v="Desktop"/>
    <s v="Asia Pacific"/>
    <s v="SQL"/>
    <m/>
    <m/>
    <m/>
    <n v="3"/>
    <x v="3"/>
    <n v="1"/>
    <n v="1"/>
    <n v="0"/>
  </r>
  <r>
    <s v="LD4618"/>
    <d v="2024-08-10T00:00:00"/>
    <x v="1"/>
    <s v="Google Ads - Brand"/>
    <s v="Desktop"/>
    <s v="North America"/>
    <s v="Lead"/>
    <m/>
    <m/>
    <m/>
    <n v="1"/>
    <x v="6"/>
    <n v="0"/>
    <n v="0"/>
    <n v="0"/>
  </r>
  <r>
    <s v="LD1096"/>
    <d v="2024-01-08T00:00:00"/>
    <x v="1"/>
    <s v="Google Ads - Brand"/>
    <s v="Mobile"/>
    <s v="Europe"/>
    <s v="Lead"/>
    <m/>
    <m/>
    <m/>
    <n v="1"/>
    <x v="3"/>
    <n v="0"/>
    <n v="0"/>
    <n v="0"/>
  </r>
  <r>
    <s v="LD5875"/>
    <d v="2024-10-11T00:00:00"/>
    <x v="0"/>
    <s v="Instagram Ads"/>
    <s v="Desktop"/>
    <s v="Latin America"/>
    <s v="Lead"/>
    <m/>
    <m/>
    <m/>
    <n v="1"/>
    <x v="5"/>
    <n v="0"/>
    <n v="0"/>
    <n v="0"/>
  </r>
  <r>
    <s v="LD6853"/>
    <d v="2024-11-06T00:00:00"/>
    <x v="3"/>
    <s v="Monthly Newsletter"/>
    <s v="Desktop"/>
    <s v="North America"/>
    <s v="SQL"/>
    <m/>
    <m/>
    <m/>
    <n v="3"/>
    <x v="2"/>
    <n v="1"/>
    <n v="1"/>
    <n v="0"/>
  </r>
  <r>
    <s v="LD5955"/>
    <d v="2024-10-10T00:00:00"/>
    <x v="3"/>
    <s v="Promo Blast"/>
    <s v="Desktop"/>
    <s v="North America"/>
    <s v="MQL"/>
    <m/>
    <m/>
    <m/>
    <n v="2"/>
    <x v="5"/>
    <n v="1"/>
    <n v="0"/>
    <n v="0"/>
  </r>
  <r>
    <s v="LD1031"/>
    <d v="2024-01-22T00:00:00"/>
    <x v="5"/>
    <s v="Landing Page SEO"/>
    <s v="Desktop"/>
    <s v="North America"/>
    <s v="Lead"/>
    <m/>
    <m/>
    <m/>
    <n v="1"/>
    <x v="3"/>
    <n v="0"/>
    <n v="0"/>
    <n v="0"/>
  </r>
  <r>
    <s v="LD2666"/>
    <d v="2024-04-08T00:00:00"/>
    <x v="0"/>
    <s v="LinkedIn Ads"/>
    <s v="Mobile"/>
    <s v="North America"/>
    <s v="Lead"/>
    <m/>
    <m/>
    <m/>
    <n v="1"/>
    <x v="1"/>
    <n v="0"/>
    <n v="0"/>
    <n v="0"/>
  </r>
  <r>
    <s v="LD1790"/>
    <d v="2024-02-03T00:00:00"/>
    <x v="3"/>
    <s v="Monthly Newsletter"/>
    <s v="Desktop"/>
    <s v="North America"/>
    <s v="MQL"/>
    <m/>
    <m/>
    <m/>
    <n v="2"/>
    <x v="10"/>
    <n v="1"/>
    <n v="0"/>
    <n v="0"/>
  </r>
  <r>
    <s v="LD4379"/>
    <d v="2024-07-18T00:00:00"/>
    <x v="4"/>
    <s v="Affiliate Program"/>
    <s v="Desktop"/>
    <s v="Europe"/>
    <s v="MQL"/>
    <m/>
    <m/>
    <m/>
    <n v="2"/>
    <x v="0"/>
    <n v="1"/>
    <n v="0"/>
    <n v="0"/>
  </r>
  <r>
    <s v="LD7390"/>
    <d v="2024-12-14T00:00:00"/>
    <x v="0"/>
    <s v="Instagram Ads"/>
    <s v="Desktop"/>
    <s v="Asia Pacific"/>
    <s v="Lead"/>
    <m/>
    <m/>
    <m/>
    <n v="1"/>
    <x v="7"/>
    <n v="0"/>
    <n v="0"/>
    <n v="0"/>
  </r>
  <r>
    <s v="LD2919"/>
    <d v="2024-04-24T00:00:00"/>
    <x v="4"/>
    <s v="Affiliate Program"/>
    <s v="Desktop"/>
    <s v="North America"/>
    <s v="Lead"/>
    <m/>
    <m/>
    <m/>
    <n v="1"/>
    <x v="1"/>
    <n v="0"/>
    <n v="0"/>
    <n v="0"/>
  </r>
  <r>
    <s v="LD2880"/>
    <d v="2024-04-04T00:00:00"/>
    <x v="4"/>
    <s v="Partner Program"/>
    <s v="Desktop"/>
    <s v="North America"/>
    <s v="MQL"/>
    <m/>
    <m/>
    <m/>
    <n v="2"/>
    <x v="1"/>
    <n v="1"/>
    <n v="0"/>
    <n v="0"/>
  </r>
  <r>
    <s v="LD3119"/>
    <d v="2024-05-02T00:00:00"/>
    <x v="1"/>
    <s v="Google Ads - Brand"/>
    <s v="Desktop"/>
    <s v="North America"/>
    <s v="Lead"/>
    <m/>
    <m/>
    <m/>
    <n v="1"/>
    <x v="4"/>
    <n v="0"/>
    <n v="0"/>
    <n v="0"/>
  </r>
  <r>
    <s v="LD3132"/>
    <d v="2024-05-25T00:00:00"/>
    <x v="1"/>
    <s v="Google Ads - Brand"/>
    <s v="Desktop"/>
    <s v="Asia Pacific"/>
    <s v="Lead"/>
    <m/>
    <m/>
    <m/>
    <n v="1"/>
    <x v="4"/>
    <n v="0"/>
    <n v="0"/>
    <n v="0"/>
  </r>
  <r>
    <s v="LD6488"/>
    <d v="2024-11-14T00:00:00"/>
    <x v="1"/>
    <s v="Google Ads - Brand"/>
    <s v="Desktop"/>
    <s v="North America"/>
    <s v="Lead"/>
    <m/>
    <m/>
    <m/>
    <n v="1"/>
    <x v="2"/>
    <n v="0"/>
    <n v="0"/>
    <n v="0"/>
  </r>
  <r>
    <s v="LD6997"/>
    <d v="2024-11-01T00:00:00"/>
    <x v="4"/>
    <s v="Partner Program"/>
    <s v="Desktop"/>
    <s v="North America"/>
    <s v="Lead"/>
    <m/>
    <m/>
    <m/>
    <n v="1"/>
    <x v="2"/>
    <n v="0"/>
    <n v="0"/>
    <n v="0"/>
  </r>
  <r>
    <s v="LD2540"/>
    <d v="2024-04-27T00:00:00"/>
    <x v="5"/>
    <s v="Blog SEO"/>
    <s v="Desktop"/>
    <s v="Asia Pacific"/>
    <s v="Lead"/>
    <m/>
    <m/>
    <m/>
    <n v="1"/>
    <x v="1"/>
    <n v="0"/>
    <n v="0"/>
    <n v="0"/>
  </r>
  <r>
    <s v="LD2110"/>
    <d v="2024-03-07T00:00:00"/>
    <x v="1"/>
    <s v="Google Ads - Brand"/>
    <s v="Desktop"/>
    <s v="Europe"/>
    <s v="Lead"/>
    <m/>
    <m/>
    <m/>
    <n v="1"/>
    <x v="8"/>
    <n v="0"/>
    <n v="0"/>
    <n v="0"/>
  </r>
  <r>
    <s v="LD2818"/>
    <d v="2024-04-12T00:00:00"/>
    <x v="3"/>
    <s v="Promo Blast"/>
    <s v="Desktop"/>
    <s v="North America"/>
    <s v="Lead"/>
    <m/>
    <m/>
    <m/>
    <n v="1"/>
    <x v="1"/>
    <n v="0"/>
    <n v="0"/>
    <n v="0"/>
  </r>
  <r>
    <s v="LD1101"/>
    <d v="2024-01-21T00:00:00"/>
    <x v="1"/>
    <s v="Google Ads - Brand"/>
    <s v="Desktop"/>
    <s v="Asia Pacific"/>
    <s v="Lead"/>
    <m/>
    <m/>
    <m/>
    <n v="1"/>
    <x v="3"/>
    <n v="0"/>
    <n v="0"/>
    <n v="0"/>
  </r>
  <r>
    <s v="LD5627"/>
    <d v="2024-10-26T00:00:00"/>
    <x v="5"/>
    <s v="Blog SEO"/>
    <s v="Mobile"/>
    <s v="North America"/>
    <s v="Lead"/>
    <m/>
    <m/>
    <m/>
    <n v="1"/>
    <x v="5"/>
    <n v="0"/>
    <n v="0"/>
    <n v="0"/>
  </r>
  <r>
    <s v="LD4051"/>
    <d v="2024-07-25T00:00:00"/>
    <x v="5"/>
    <s v="Blog SEO"/>
    <s v="Desktop"/>
    <s v="North America"/>
    <s v="Lead"/>
    <m/>
    <m/>
    <m/>
    <n v="1"/>
    <x v="0"/>
    <n v="0"/>
    <n v="0"/>
    <n v="0"/>
  </r>
  <r>
    <s v="LD7442"/>
    <d v="2024-12-26T00:00:00"/>
    <x v="3"/>
    <s v="Promo Blast"/>
    <s v="Mobile"/>
    <s v="Latin America"/>
    <s v="SQL"/>
    <m/>
    <m/>
    <m/>
    <n v="3"/>
    <x v="7"/>
    <n v="1"/>
    <n v="1"/>
    <n v="0"/>
  </r>
  <r>
    <s v="LD2444"/>
    <d v="2024-03-10T00:00:00"/>
    <x v="2"/>
    <s v="Direct / Type-in"/>
    <s v="Mobile"/>
    <s v="North America"/>
    <s v="SQL"/>
    <m/>
    <m/>
    <m/>
    <n v="3"/>
    <x v="8"/>
    <n v="1"/>
    <n v="1"/>
    <n v="0"/>
  </r>
  <r>
    <s v="LD3917"/>
    <d v="2024-06-21T00:00:00"/>
    <x v="4"/>
    <s v="Partner Program"/>
    <s v="Desktop"/>
    <s v="Europe"/>
    <s v="Customer"/>
    <n v="53"/>
    <s v="Enterprise"/>
    <n v="11083.1"/>
    <n v="4"/>
    <x v="11"/>
    <n v="1"/>
    <n v="1"/>
    <n v="1"/>
  </r>
  <r>
    <s v="LD7072"/>
    <d v="2024-11-18T00:00:00"/>
    <x v="2"/>
    <s v="Direct / Type-in"/>
    <s v="Desktop"/>
    <s v="Europe"/>
    <s v="Lead"/>
    <m/>
    <m/>
    <m/>
    <n v="1"/>
    <x v="2"/>
    <n v="0"/>
    <n v="0"/>
    <n v="0"/>
  </r>
  <r>
    <s v="LD5295"/>
    <d v="2024-09-24T00:00:00"/>
    <x v="0"/>
    <s v="LinkedIn Ads"/>
    <s v="Desktop"/>
    <s v="North America"/>
    <s v="Lead"/>
    <m/>
    <m/>
    <m/>
    <n v="1"/>
    <x v="9"/>
    <n v="0"/>
    <n v="0"/>
    <n v="0"/>
  </r>
  <r>
    <s v="LD5252"/>
    <d v="2024-09-05T00:00:00"/>
    <x v="0"/>
    <s v="Facebook Ads"/>
    <s v="Desktop"/>
    <s v="Europe"/>
    <s v="Lead"/>
    <m/>
    <m/>
    <m/>
    <n v="1"/>
    <x v="9"/>
    <n v="0"/>
    <n v="0"/>
    <n v="0"/>
  </r>
  <r>
    <s v="LD2084"/>
    <d v="2024-03-12T00:00:00"/>
    <x v="1"/>
    <s v="Google Ads - Generic"/>
    <s v="Desktop"/>
    <s v="North America"/>
    <s v="MQL"/>
    <m/>
    <m/>
    <m/>
    <n v="2"/>
    <x v="8"/>
    <n v="1"/>
    <n v="0"/>
    <n v="0"/>
  </r>
  <r>
    <s v="LD3837"/>
    <d v="2024-06-13T00:00:00"/>
    <x v="3"/>
    <s v="Monthly Newsletter"/>
    <s v="Mobile"/>
    <s v="North America"/>
    <s v="MQL"/>
    <m/>
    <m/>
    <m/>
    <n v="2"/>
    <x v="11"/>
    <n v="1"/>
    <n v="0"/>
    <n v="0"/>
  </r>
  <r>
    <s v="LD1862"/>
    <d v="2024-02-22T00:00:00"/>
    <x v="4"/>
    <s v="Affiliate Program"/>
    <s v="Mobile"/>
    <s v="North America"/>
    <s v="Lead"/>
    <m/>
    <m/>
    <m/>
    <n v="1"/>
    <x v="10"/>
    <n v="0"/>
    <n v="0"/>
    <n v="0"/>
  </r>
  <r>
    <s v="LD3881"/>
    <d v="2024-06-16T00:00:00"/>
    <x v="3"/>
    <s v="Monthly Newsletter"/>
    <s v="Desktop"/>
    <s v="North America"/>
    <s v="Customer"/>
    <n v="39"/>
    <s v="Pro"/>
    <n v="4835.7700000000004"/>
    <n v="4"/>
    <x v="11"/>
    <n v="1"/>
    <n v="1"/>
    <n v="1"/>
  </r>
  <r>
    <s v="LD1904"/>
    <d v="2024-02-11T00:00:00"/>
    <x v="2"/>
    <s v="Direct / Type-in"/>
    <s v="Mobile"/>
    <s v="Asia Pacific"/>
    <s v="Lead"/>
    <m/>
    <m/>
    <m/>
    <n v="1"/>
    <x v="10"/>
    <n v="0"/>
    <n v="0"/>
    <n v="0"/>
  </r>
  <r>
    <s v="LD5715"/>
    <d v="2024-10-08T00:00:00"/>
    <x v="5"/>
    <s v="Landing Page SEO"/>
    <s v="Desktop"/>
    <s v="Europe"/>
    <s v="SQL"/>
    <m/>
    <m/>
    <m/>
    <n v="3"/>
    <x v="5"/>
    <n v="1"/>
    <n v="1"/>
    <n v="0"/>
  </r>
  <r>
    <s v="LD1110"/>
    <d v="2024-01-09T00:00:00"/>
    <x v="1"/>
    <s v="Google Ads - Brand"/>
    <s v="Desktop"/>
    <s v="North America"/>
    <s v="MQL"/>
    <m/>
    <m/>
    <m/>
    <n v="2"/>
    <x v="3"/>
    <n v="1"/>
    <n v="0"/>
    <n v="0"/>
  </r>
  <r>
    <s v="LD5521"/>
    <d v="2024-09-28T00:00:00"/>
    <x v="4"/>
    <s v="Affiliate Program"/>
    <s v="Desktop"/>
    <s v="North America"/>
    <s v="MQL"/>
    <m/>
    <m/>
    <m/>
    <n v="2"/>
    <x v="9"/>
    <n v="1"/>
    <n v="0"/>
    <n v="0"/>
  </r>
  <r>
    <s v="LD4468"/>
    <d v="2024-07-21T00:00:00"/>
    <x v="2"/>
    <s v="Direct / Type-in"/>
    <s v="Desktop"/>
    <s v="Latin America"/>
    <s v="Lead"/>
    <m/>
    <m/>
    <m/>
    <n v="1"/>
    <x v="0"/>
    <n v="0"/>
    <n v="0"/>
    <n v="0"/>
  </r>
  <r>
    <s v="LD3339"/>
    <d v="2024-05-03T00:00:00"/>
    <x v="3"/>
    <s v="Promo Blast"/>
    <s v="Mobile"/>
    <s v="Asia Pacific"/>
    <s v="SQL"/>
    <m/>
    <m/>
    <m/>
    <n v="3"/>
    <x v="4"/>
    <n v="1"/>
    <n v="1"/>
    <n v="0"/>
  </r>
  <r>
    <s v="LD6832"/>
    <d v="2024-11-11T00:00:00"/>
    <x v="3"/>
    <s v="Promo Blast"/>
    <s v="Desktop"/>
    <s v="North America"/>
    <s v="SQL"/>
    <m/>
    <m/>
    <m/>
    <n v="3"/>
    <x v="2"/>
    <n v="1"/>
    <n v="1"/>
    <n v="0"/>
  </r>
  <r>
    <s v="LD6697"/>
    <d v="2024-11-25T00:00:00"/>
    <x v="3"/>
    <s v="Monthly Newsletter"/>
    <s v="Mobile"/>
    <s v="Europe"/>
    <s v="MQL"/>
    <m/>
    <m/>
    <m/>
    <n v="2"/>
    <x v="2"/>
    <n v="1"/>
    <n v="0"/>
    <n v="0"/>
  </r>
  <r>
    <s v="LD6397"/>
    <d v="2024-11-01T00:00:00"/>
    <x v="5"/>
    <s v="Landing Page SEO"/>
    <s v="Desktop"/>
    <s v="North America"/>
    <s v="Lead"/>
    <m/>
    <m/>
    <m/>
    <n v="1"/>
    <x v="2"/>
    <n v="0"/>
    <n v="0"/>
    <n v="0"/>
  </r>
  <r>
    <s v="LD6891"/>
    <d v="2024-11-04T00:00:00"/>
    <x v="3"/>
    <s v="Monthly Newsletter"/>
    <s v="Desktop"/>
    <s v="North America"/>
    <s v="Customer"/>
    <n v="11"/>
    <s v="Enterprise"/>
    <n v="6934.84"/>
    <n v="4"/>
    <x v="2"/>
    <n v="1"/>
    <n v="1"/>
    <n v="1"/>
  </r>
  <r>
    <s v="LD2832"/>
    <d v="2024-04-26T00:00:00"/>
    <x v="3"/>
    <s v="Monthly Newsletter"/>
    <s v="Desktop"/>
    <s v="Europe"/>
    <s v="Lead"/>
    <m/>
    <m/>
    <m/>
    <n v="1"/>
    <x v="1"/>
    <n v="0"/>
    <n v="0"/>
    <n v="0"/>
  </r>
  <r>
    <s v="LD5035"/>
    <d v="2024-09-28T00:00:00"/>
    <x v="5"/>
    <s v="Landing Page SEO"/>
    <s v="Mobile"/>
    <s v="North America"/>
    <s v="Lead"/>
    <m/>
    <m/>
    <m/>
    <n v="1"/>
    <x v="9"/>
    <n v="0"/>
    <n v="0"/>
    <n v="0"/>
  </r>
  <r>
    <s v="LD6516"/>
    <d v="2024-11-12T00:00:00"/>
    <x v="1"/>
    <s v="Google Ads - Generic"/>
    <s v="Desktop"/>
    <s v="Europe"/>
    <s v="Lead"/>
    <m/>
    <m/>
    <m/>
    <n v="1"/>
    <x v="2"/>
    <n v="0"/>
    <n v="0"/>
    <n v="0"/>
  </r>
  <r>
    <s v="LD2923"/>
    <d v="2024-04-16T00:00:00"/>
    <x v="4"/>
    <s v="Affiliate Program"/>
    <s v="Mobile"/>
    <s v="Europe"/>
    <s v="SQL"/>
    <m/>
    <m/>
    <m/>
    <n v="3"/>
    <x v="1"/>
    <n v="1"/>
    <n v="1"/>
    <n v="0"/>
  </r>
  <r>
    <s v="LD3880"/>
    <d v="2024-06-09T00:00:00"/>
    <x v="3"/>
    <s v="Promo Blast"/>
    <s v="Desktop"/>
    <s v="Europe"/>
    <s v="MQL"/>
    <m/>
    <m/>
    <m/>
    <n v="2"/>
    <x v="11"/>
    <n v="1"/>
    <n v="0"/>
    <n v="0"/>
  </r>
  <r>
    <s v="LD3334"/>
    <d v="2024-05-09T00:00:00"/>
    <x v="3"/>
    <s v="Promo Blast"/>
    <s v="Mobile"/>
    <s v="North America"/>
    <s v="MQL"/>
    <m/>
    <m/>
    <m/>
    <n v="2"/>
    <x v="4"/>
    <n v="1"/>
    <n v="0"/>
    <n v="0"/>
  </r>
  <r>
    <s v="LD1783"/>
    <d v="2024-02-10T00:00:00"/>
    <x v="3"/>
    <s v="Promo Blast"/>
    <s v="Desktop"/>
    <s v="Europe"/>
    <s v="Lead"/>
    <m/>
    <m/>
    <m/>
    <n v="1"/>
    <x v="10"/>
    <n v="0"/>
    <n v="0"/>
    <n v="0"/>
  </r>
  <r>
    <s v="LD7625"/>
    <d v="2024-12-16T00:00:00"/>
    <x v="4"/>
    <s v="Affiliate Program"/>
    <s v="Desktop"/>
    <s v="North America"/>
    <s v="MQL"/>
    <m/>
    <m/>
    <m/>
    <n v="2"/>
    <x v="7"/>
    <n v="1"/>
    <n v="0"/>
    <n v="0"/>
  </r>
  <r>
    <s v="LD1928"/>
    <d v="2024-02-26T00:00:00"/>
    <x v="2"/>
    <s v="Direct / Type-in"/>
    <s v="Mobile"/>
    <s v="North America"/>
    <s v="MQL"/>
    <m/>
    <m/>
    <m/>
    <n v="2"/>
    <x v="10"/>
    <n v="1"/>
    <n v="0"/>
    <n v="0"/>
  </r>
  <r>
    <s v="LD6305"/>
    <d v="2024-10-27T00:00:00"/>
    <x v="2"/>
    <s v="Direct / Type-in"/>
    <s v="Desktop"/>
    <s v="Europe"/>
    <s v="Lead"/>
    <m/>
    <m/>
    <m/>
    <n v="1"/>
    <x v="5"/>
    <n v="0"/>
    <n v="0"/>
    <n v="0"/>
  </r>
  <r>
    <s v="LD5258"/>
    <d v="2024-09-24T00:00:00"/>
    <x v="0"/>
    <s v="LinkedIn Ads"/>
    <s v="Desktop"/>
    <s v="Europe"/>
    <s v="MQL"/>
    <m/>
    <m/>
    <m/>
    <n v="2"/>
    <x v="9"/>
    <n v="1"/>
    <n v="0"/>
    <n v="0"/>
  </r>
  <r>
    <s v="LD4209"/>
    <d v="2024-07-18T00:00:00"/>
    <x v="1"/>
    <s v="Google Ads - Generic"/>
    <s v="Desktop"/>
    <s v="North America"/>
    <s v="Lead"/>
    <m/>
    <m/>
    <m/>
    <n v="1"/>
    <x v="0"/>
    <n v="0"/>
    <n v="0"/>
    <n v="0"/>
  </r>
  <r>
    <s v="LD3576"/>
    <d v="2024-06-21T00:00:00"/>
    <x v="5"/>
    <s v="Blog SEO"/>
    <s v="Desktop"/>
    <s v="Asia Pacific"/>
    <s v="Lead"/>
    <m/>
    <m/>
    <m/>
    <n v="1"/>
    <x v="11"/>
    <n v="0"/>
    <n v="0"/>
    <n v="0"/>
  </r>
  <r>
    <s v="LD3032"/>
    <d v="2024-05-15T00:00:00"/>
    <x v="5"/>
    <s v="Landing Page SEO"/>
    <s v="Desktop"/>
    <s v="North America"/>
    <s v="MQL"/>
    <m/>
    <m/>
    <m/>
    <n v="2"/>
    <x v="4"/>
    <n v="1"/>
    <n v="0"/>
    <n v="0"/>
  </r>
  <r>
    <s v="LD6328"/>
    <d v="2024-11-19T00:00:00"/>
    <x v="5"/>
    <s v="Landing Page SEO"/>
    <s v="Mobile"/>
    <s v="Europe"/>
    <s v="MQL"/>
    <m/>
    <m/>
    <m/>
    <n v="2"/>
    <x v="2"/>
    <n v="1"/>
    <n v="0"/>
    <n v="0"/>
  </r>
  <r>
    <s v="LD2826"/>
    <d v="2024-04-08T00:00:00"/>
    <x v="3"/>
    <s v="Monthly Newsletter"/>
    <s v="Mobile"/>
    <s v="North America"/>
    <s v="MQL"/>
    <m/>
    <m/>
    <m/>
    <n v="2"/>
    <x v="1"/>
    <n v="1"/>
    <n v="0"/>
    <n v="0"/>
  </r>
  <r>
    <s v="LD7370"/>
    <d v="2024-12-27T00:00:00"/>
    <x v="0"/>
    <s v="LinkedIn Ads"/>
    <s v="Desktop"/>
    <s v="North America"/>
    <s v="Lead"/>
    <m/>
    <m/>
    <m/>
    <n v="1"/>
    <x v="7"/>
    <n v="0"/>
    <n v="0"/>
    <n v="0"/>
  </r>
  <r>
    <s v="LD5520"/>
    <d v="2024-09-27T00:00:00"/>
    <x v="4"/>
    <s v="Partner Program"/>
    <s v="Desktop"/>
    <s v="North America"/>
    <s v="Lead"/>
    <m/>
    <m/>
    <m/>
    <n v="1"/>
    <x v="9"/>
    <n v="0"/>
    <n v="0"/>
    <n v="0"/>
  </r>
  <r>
    <s v="LD2095"/>
    <d v="2024-03-03T00:00:00"/>
    <x v="1"/>
    <s v="Google Ads - Generic"/>
    <s v="Mobile"/>
    <s v="Europe"/>
    <s v="Lead"/>
    <m/>
    <m/>
    <m/>
    <n v="1"/>
    <x v="8"/>
    <n v="0"/>
    <n v="0"/>
    <n v="0"/>
  </r>
  <r>
    <s v="LD7070"/>
    <d v="2024-11-20T00:00:00"/>
    <x v="2"/>
    <s v="Direct / Type-in"/>
    <s v="Tablet"/>
    <s v="North America"/>
    <s v="Lead"/>
    <m/>
    <m/>
    <m/>
    <n v="1"/>
    <x v="2"/>
    <n v="0"/>
    <n v="0"/>
    <n v="0"/>
  </r>
  <r>
    <s v="LD2122"/>
    <d v="2024-03-24T00:00:00"/>
    <x v="1"/>
    <s v="Google Ads - Generic"/>
    <s v="Mobile"/>
    <s v="Asia Pacific"/>
    <s v="MQL"/>
    <m/>
    <m/>
    <m/>
    <n v="2"/>
    <x v="8"/>
    <n v="1"/>
    <n v="0"/>
    <n v="0"/>
  </r>
  <r>
    <s v="LD3874"/>
    <d v="2024-06-07T00:00:00"/>
    <x v="3"/>
    <s v="Monthly Newsletter"/>
    <s v="Desktop"/>
    <s v="Europe"/>
    <s v="MQL"/>
    <m/>
    <m/>
    <m/>
    <n v="2"/>
    <x v="11"/>
    <n v="1"/>
    <n v="0"/>
    <n v="0"/>
  </r>
  <r>
    <s v="LD3418"/>
    <d v="2024-05-18T00:00:00"/>
    <x v="3"/>
    <s v="Monthly Newsletter"/>
    <s v="Desktop"/>
    <s v="Europe"/>
    <s v="MQL"/>
    <m/>
    <m/>
    <m/>
    <n v="2"/>
    <x v="4"/>
    <n v="1"/>
    <n v="0"/>
    <n v="0"/>
  </r>
  <r>
    <s v="LD5106"/>
    <d v="2024-09-10T00:00:00"/>
    <x v="5"/>
    <s v="Landing Page SEO"/>
    <s v="Desktop"/>
    <s v="Europe"/>
    <s v="MQL"/>
    <m/>
    <m/>
    <m/>
    <n v="2"/>
    <x v="9"/>
    <n v="1"/>
    <n v="0"/>
    <n v="0"/>
  </r>
  <r>
    <s v="LD5856"/>
    <d v="2024-10-16T00:00:00"/>
    <x v="0"/>
    <s v="Facebook Ads"/>
    <s v="Desktop"/>
    <s v="North America"/>
    <s v="Lead"/>
    <m/>
    <m/>
    <m/>
    <n v="1"/>
    <x v="5"/>
    <n v="0"/>
    <n v="0"/>
    <n v="0"/>
  </r>
  <r>
    <s v="LD2374"/>
    <d v="2024-03-06T00:00:00"/>
    <x v="4"/>
    <s v="Affiliate Program"/>
    <s v="Mobile"/>
    <s v="Europe"/>
    <s v="MQL"/>
    <m/>
    <m/>
    <m/>
    <n v="2"/>
    <x v="8"/>
    <n v="1"/>
    <n v="0"/>
    <n v="0"/>
  </r>
  <r>
    <s v="LD1810"/>
    <d v="2024-02-07T00:00:00"/>
    <x v="3"/>
    <s v="Promo Blast"/>
    <s v="Desktop"/>
    <s v="Latin America"/>
    <s v="Lead"/>
    <m/>
    <m/>
    <m/>
    <n v="1"/>
    <x v="10"/>
    <n v="0"/>
    <n v="0"/>
    <n v="0"/>
  </r>
  <r>
    <s v="LD2088"/>
    <d v="2024-03-28T00:00:00"/>
    <x v="1"/>
    <s v="Google Ads - Generic"/>
    <s v="Desktop"/>
    <s v="Latin America"/>
    <s v="Lead"/>
    <m/>
    <m/>
    <m/>
    <n v="1"/>
    <x v="8"/>
    <n v="0"/>
    <n v="0"/>
    <n v="0"/>
  </r>
  <r>
    <s v="LD4079"/>
    <d v="2024-07-11T00:00:00"/>
    <x v="5"/>
    <s v="Landing Page SEO"/>
    <s v="Desktop"/>
    <s v="North America"/>
    <s v="MQL"/>
    <m/>
    <m/>
    <m/>
    <n v="2"/>
    <x v="0"/>
    <n v="1"/>
    <n v="0"/>
    <n v="0"/>
  </r>
  <r>
    <s v="LD4686"/>
    <d v="2024-08-06T00:00:00"/>
    <x v="0"/>
    <s v="Facebook Ads"/>
    <s v="Mobile"/>
    <s v="Asia Pacific"/>
    <s v="Lead"/>
    <m/>
    <m/>
    <m/>
    <n v="1"/>
    <x v="6"/>
    <n v="0"/>
    <n v="0"/>
    <n v="0"/>
  </r>
  <r>
    <s v="LD7564"/>
    <d v="2024-12-12T00:00:00"/>
    <x v="3"/>
    <s v="Promo Blast"/>
    <s v="Tablet"/>
    <s v="North America"/>
    <s v="Customer"/>
    <n v="57"/>
    <s v="Pro"/>
    <n v="3126.97"/>
    <n v="4"/>
    <x v="7"/>
    <n v="1"/>
    <n v="1"/>
    <n v="1"/>
  </r>
  <r>
    <s v="LD2655"/>
    <d v="2024-04-05T00:00:00"/>
    <x v="1"/>
    <s v="Google Ads - Brand"/>
    <s v="Tablet"/>
    <s v="Europe"/>
    <s v="Lead"/>
    <m/>
    <m/>
    <m/>
    <n v="1"/>
    <x v="1"/>
    <n v="0"/>
    <n v="0"/>
    <n v="0"/>
  </r>
  <r>
    <s v="LD6556"/>
    <d v="2024-11-22T00:00:00"/>
    <x v="1"/>
    <s v="Google Ads - Generic"/>
    <s v="Desktop"/>
    <s v="North America"/>
    <s v="Customer"/>
    <n v="39"/>
    <s v="Pro"/>
    <n v="2426.1799999999998"/>
    <n v="4"/>
    <x v="2"/>
    <n v="1"/>
    <n v="1"/>
    <n v="1"/>
  </r>
  <r>
    <s v="LD7663"/>
    <d v="2024-12-22T00:00:00"/>
    <x v="4"/>
    <s v="Partner Program"/>
    <s v="Mobile"/>
    <s v="North America"/>
    <s v="Lead"/>
    <m/>
    <m/>
    <m/>
    <n v="1"/>
    <x v="7"/>
    <n v="0"/>
    <n v="0"/>
    <n v="0"/>
  </r>
  <r>
    <s v="LD7679"/>
    <d v="2024-12-13T00:00:00"/>
    <x v="4"/>
    <s v="Affiliate Program"/>
    <s v="Desktop"/>
    <s v="Europe"/>
    <s v="MQL"/>
    <m/>
    <m/>
    <m/>
    <n v="2"/>
    <x v="7"/>
    <n v="1"/>
    <n v="0"/>
    <n v="0"/>
  </r>
  <r>
    <s v="LD5762"/>
    <d v="2024-10-25T00:00:00"/>
    <x v="1"/>
    <s v="Google Ads - Generic"/>
    <s v="Desktop"/>
    <s v="Asia Pacific"/>
    <s v="Lead"/>
    <m/>
    <m/>
    <m/>
    <n v="1"/>
    <x v="5"/>
    <n v="0"/>
    <n v="0"/>
    <n v="0"/>
  </r>
  <r>
    <s v="LD4003"/>
    <d v="2024-06-26T00:00:00"/>
    <x v="2"/>
    <s v="Direct / Type-in"/>
    <s v="Desktop"/>
    <s v="Asia Pacific"/>
    <s v="Lead"/>
    <m/>
    <m/>
    <m/>
    <n v="1"/>
    <x v="11"/>
    <n v="0"/>
    <n v="0"/>
    <n v="0"/>
  </r>
  <r>
    <s v="LD4261"/>
    <d v="2024-07-05T00:00:00"/>
    <x v="0"/>
    <s v="LinkedIn Ads"/>
    <s v="Mobile"/>
    <s v="North America"/>
    <s v="SQL"/>
    <m/>
    <m/>
    <m/>
    <n v="3"/>
    <x v="0"/>
    <n v="1"/>
    <n v="1"/>
    <n v="0"/>
  </r>
  <r>
    <s v="LD6194"/>
    <d v="2024-10-13T00:00:00"/>
    <x v="4"/>
    <s v="Partner Program"/>
    <s v="Desktop"/>
    <s v="Europe"/>
    <s v="Lead"/>
    <m/>
    <m/>
    <m/>
    <n v="1"/>
    <x v="5"/>
    <n v="0"/>
    <n v="0"/>
    <n v="0"/>
  </r>
  <r>
    <s v="LD7387"/>
    <d v="2024-12-05T00:00:00"/>
    <x v="0"/>
    <s v="Facebook Ads"/>
    <s v="Mobile"/>
    <s v="Europe"/>
    <s v="Lead"/>
    <m/>
    <m/>
    <m/>
    <n v="1"/>
    <x v="7"/>
    <n v="0"/>
    <n v="0"/>
    <n v="0"/>
  </r>
  <r>
    <s v="LD7271"/>
    <d v="2024-12-24T00:00:00"/>
    <x v="1"/>
    <s v="Google Ads - Generic"/>
    <s v="Mobile"/>
    <s v="Asia Pacific"/>
    <s v="Lead"/>
    <m/>
    <m/>
    <m/>
    <n v="1"/>
    <x v="7"/>
    <n v="0"/>
    <n v="0"/>
    <n v="0"/>
  </r>
  <r>
    <s v="LD2288"/>
    <d v="2024-03-23T00:00:00"/>
    <x v="3"/>
    <s v="Monthly Newsletter"/>
    <s v="Mobile"/>
    <s v="Europe"/>
    <s v="SQL"/>
    <m/>
    <m/>
    <m/>
    <n v="3"/>
    <x v="8"/>
    <n v="1"/>
    <n v="1"/>
    <n v="0"/>
  </r>
  <r>
    <s v="LD3717"/>
    <d v="2024-06-08T00:00:00"/>
    <x v="1"/>
    <s v="Google Ads - Brand"/>
    <s v="Mobile"/>
    <s v="Asia Pacific"/>
    <s v="Lead"/>
    <m/>
    <m/>
    <m/>
    <n v="1"/>
    <x v="11"/>
    <n v="0"/>
    <n v="0"/>
    <n v="0"/>
  </r>
  <r>
    <s v="LD3940"/>
    <d v="2024-06-13T00:00:00"/>
    <x v="4"/>
    <s v="Partner Program"/>
    <s v="Desktop"/>
    <s v="Europe"/>
    <s v="Lead"/>
    <m/>
    <m/>
    <m/>
    <n v="1"/>
    <x v="11"/>
    <n v="0"/>
    <n v="0"/>
    <n v="0"/>
  </r>
  <r>
    <s v="LD5340"/>
    <d v="2024-09-25T00:00:00"/>
    <x v="3"/>
    <s v="Promo Blast"/>
    <s v="Mobile"/>
    <s v="Asia Pacific"/>
    <s v="Lead"/>
    <m/>
    <m/>
    <m/>
    <n v="1"/>
    <x v="9"/>
    <n v="0"/>
    <n v="0"/>
    <n v="0"/>
  </r>
  <r>
    <s v="LD7219"/>
    <d v="2024-12-21T00:00:00"/>
    <x v="1"/>
    <s v="Google Ads - Brand"/>
    <s v="Desktop"/>
    <s v="North America"/>
    <s v="Lead"/>
    <m/>
    <m/>
    <m/>
    <n v="1"/>
    <x v="7"/>
    <n v="0"/>
    <n v="0"/>
    <n v="0"/>
  </r>
  <r>
    <s v="LD6729"/>
    <d v="2024-11-19T00:00:00"/>
    <x v="3"/>
    <s v="Promo Blast"/>
    <s v="Mobile"/>
    <s v="Europe"/>
    <s v="Lead"/>
    <m/>
    <m/>
    <m/>
    <n v="1"/>
    <x v="2"/>
    <n v="0"/>
    <n v="0"/>
    <n v="0"/>
  </r>
  <r>
    <s v="LD3318"/>
    <d v="2024-05-25T00:00:00"/>
    <x v="3"/>
    <s v="Promo Blast"/>
    <s v="Desktop"/>
    <s v="Latin America"/>
    <s v="Lead"/>
    <m/>
    <m/>
    <m/>
    <n v="1"/>
    <x v="4"/>
    <n v="0"/>
    <n v="0"/>
    <n v="0"/>
  </r>
  <r>
    <s v="LD5223"/>
    <d v="2024-09-17T00:00:00"/>
    <x v="0"/>
    <s v="LinkedIn Ads"/>
    <s v="Desktop"/>
    <s v="Europe"/>
    <s v="Lead"/>
    <m/>
    <m/>
    <m/>
    <n v="1"/>
    <x v="9"/>
    <n v="0"/>
    <n v="0"/>
    <n v="0"/>
  </r>
  <r>
    <s v="LD3708"/>
    <d v="2024-06-01T00:00:00"/>
    <x v="1"/>
    <s v="Google Ads - Brand"/>
    <s v="Mobile"/>
    <s v="North America"/>
    <s v="Lead"/>
    <m/>
    <m/>
    <m/>
    <n v="1"/>
    <x v="11"/>
    <n v="0"/>
    <n v="0"/>
    <n v="0"/>
  </r>
  <r>
    <s v="LD6290"/>
    <d v="2024-10-16T00:00:00"/>
    <x v="2"/>
    <s v="Direct / Type-in"/>
    <s v="Desktop"/>
    <s v="Europe"/>
    <s v="MQL"/>
    <m/>
    <m/>
    <m/>
    <n v="2"/>
    <x v="5"/>
    <n v="1"/>
    <n v="0"/>
    <n v="0"/>
  </r>
  <r>
    <s v="LD4857"/>
    <d v="2024-08-03T00:00:00"/>
    <x v="3"/>
    <s v="Promo Blast"/>
    <s v="Desktop"/>
    <s v="North America"/>
    <s v="SQL"/>
    <m/>
    <m/>
    <m/>
    <n v="3"/>
    <x v="6"/>
    <n v="1"/>
    <n v="1"/>
    <n v="0"/>
  </r>
  <r>
    <s v="LD3269"/>
    <d v="2024-05-22T00:00:00"/>
    <x v="0"/>
    <s v="LinkedIn Ads"/>
    <s v="Desktop"/>
    <s v="Europe"/>
    <s v="Lead"/>
    <m/>
    <m/>
    <m/>
    <n v="1"/>
    <x v="4"/>
    <n v="0"/>
    <n v="0"/>
    <n v="0"/>
  </r>
  <r>
    <s v="LD3700"/>
    <d v="2024-06-22T00:00:00"/>
    <x v="1"/>
    <s v="Google Ads - Generic"/>
    <s v="Desktop"/>
    <s v="North America"/>
    <s v="MQL"/>
    <m/>
    <m/>
    <m/>
    <n v="2"/>
    <x v="11"/>
    <n v="1"/>
    <n v="0"/>
    <n v="0"/>
  </r>
  <r>
    <s v="LD2205"/>
    <d v="2024-03-14T00:00:00"/>
    <x v="3"/>
    <s v="Monthly Newsletter"/>
    <s v="Desktop"/>
    <s v="North America"/>
    <s v="SQL"/>
    <m/>
    <m/>
    <m/>
    <n v="3"/>
    <x v="8"/>
    <n v="1"/>
    <n v="1"/>
    <n v="0"/>
  </r>
  <r>
    <s v="LD5852"/>
    <d v="2024-10-22T00:00:00"/>
    <x v="0"/>
    <s v="LinkedIn Ads"/>
    <s v="Desktop"/>
    <s v="North America"/>
    <s v="Lead"/>
    <m/>
    <m/>
    <m/>
    <n v="1"/>
    <x v="5"/>
    <n v="0"/>
    <n v="0"/>
    <n v="0"/>
  </r>
  <r>
    <s v="LD5604"/>
    <d v="2024-09-03T00:00:00"/>
    <x v="2"/>
    <s v="Direct / Type-in"/>
    <s v="Desktop"/>
    <s v="North America"/>
    <s v="Lead"/>
    <m/>
    <m/>
    <m/>
    <n v="1"/>
    <x v="9"/>
    <n v="0"/>
    <n v="0"/>
    <n v="0"/>
  </r>
  <r>
    <s v="LD6229"/>
    <d v="2024-10-12T00:00:00"/>
    <x v="4"/>
    <s v="Affiliate Program"/>
    <s v="Desktop"/>
    <s v="North America"/>
    <s v="SQL"/>
    <m/>
    <m/>
    <m/>
    <n v="3"/>
    <x v="5"/>
    <n v="1"/>
    <n v="1"/>
    <n v="0"/>
  </r>
  <r>
    <s v="LD3198"/>
    <d v="2024-05-24T00:00:00"/>
    <x v="1"/>
    <s v="Google Ads - Generic"/>
    <s v="Mobile"/>
    <s v="Latin America"/>
    <s v="MQL"/>
    <m/>
    <m/>
    <m/>
    <n v="2"/>
    <x v="4"/>
    <n v="1"/>
    <n v="0"/>
    <n v="0"/>
  </r>
  <r>
    <s v="LD7747"/>
    <d v="2024-12-17T00:00:00"/>
    <x v="2"/>
    <s v="Direct / Type-in"/>
    <s v="Mobile"/>
    <s v="Asia Pacific"/>
    <s v="MQL"/>
    <m/>
    <m/>
    <m/>
    <n v="2"/>
    <x v="7"/>
    <n v="1"/>
    <n v="0"/>
    <n v="0"/>
  </r>
  <r>
    <s v="LD2771"/>
    <d v="2024-04-22T00:00:00"/>
    <x v="3"/>
    <s v="Promo Blast"/>
    <s v="Desktop"/>
    <s v="North America"/>
    <s v="Lead"/>
    <m/>
    <m/>
    <m/>
    <n v="1"/>
    <x v="1"/>
    <n v="0"/>
    <n v="0"/>
    <n v="0"/>
  </r>
  <r>
    <s v="LD1830"/>
    <d v="2024-02-03T00:00:00"/>
    <x v="4"/>
    <s v="Affiliate Program"/>
    <s v="Mobile"/>
    <s v="North America"/>
    <s v="MQL"/>
    <m/>
    <m/>
    <m/>
    <n v="2"/>
    <x v="10"/>
    <n v="1"/>
    <n v="0"/>
    <n v="0"/>
  </r>
  <r>
    <s v="LD4318"/>
    <d v="2024-07-02T00:00:00"/>
    <x v="3"/>
    <s v="Monthly Newsletter"/>
    <s v="Desktop"/>
    <s v="North America"/>
    <s v="MQL"/>
    <m/>
    <m/>
    <m/>
    <n v="2"/>
    <x v="0"/>
    <n v="1"/>
    <n v="0"/>
    <n v="0"/>
  </r>
  <r>
    <s v="LD5924"/>
    <d v="2024-10-09T00:00:00"/>
    <x v="0"/>
    <s v="LinkedIn Ads"/>
    <s v="Desktop"/>
    <s v="North America"/>
    <s v="Lead"/>
    <m/>
    <m/>
    <m/>
    <n v="1"/>
    <x v="5"/>
    <n v="0"/>
    <n v="0"/>
    <n v="0"/>
  </r>
  <r>
    <s v="LD1628"/>
    <d v="2024-02-28T00:00:00"/>
    <x v="1"/>
    <s v="Google Ads - Generic"/>
    <s v="Mobile"/>
    <s v="Europe"/>
    <s v="Lead"/>
    <m/>
    <m/>
    <m/>
    <n v="1"/>
    <x v="10"/>
    <n v="0"/>
    <n v="0"/>
    <n v="0"/>
  </r>
  <r>
    <s v="LD6602"/>
    <d v="2024-11-09T00:00:00"/>
    <x v="0"/>
    <s v="LinkedIn Ads"/>
    <s v="Mobile"/>
    <s v="Europe"/>
    <s v="Lead"/>
    <m/>
    <m/>
    <m/>
    <n v="1"/>
    <x v="2"/>
    <n v="0"/>
    <n v="0"/>
    <n v="0"/>
  </r>
  <r>
    <s v="LD1926"/>
    <d v="2024-02-12T00:00:00"/>
    <x v="2"/>
    <s v="Direct / Type-in"/>
    <s v="Mobile"/>
    <s v="North America"/>
    <s v="Lead"/>
    <m/>
    <m/>
    <m/>
    <n v="1"/>
    <x v="10"/>
    <n v="0"/>
    <n v="0"/>
    <n v="0"/>
  </r>
  <r>
    <s v="LD1296"/>
    <d v="2024-01-21T00:00:00"/>
    <x v="3"/>
    <s v="Monthly Newsletter"/>
    <s v="Mobile"/>
    <s v="Europe"/>
    <s v="Customer"/>
    <n v="70"/>
    <s v="Basic"/>
    <n v="1054.02"/>
    <n v="4"/>
    <x v="3"/>
    <n v="1"/>
    <n v="1"/>
    <n v="1"/>
  </r>
  <r>
    <s v="LD2053"/>
    <d v="2024-03-15T00:00:00"/>
    <x v="1"/>
    <s v="Google Ads - Brand"/>
    <s v="Desktop"/>
    <s v="North America"/>
    <s v="Lead"/>
    <m/>
    <m/>
    <m/>
    <n v="1"/>
    <x v="8"/>
    <n v="0"/>
    <n v="0"/>
    <n v="0"/>
  </r>
  <r>
    <s v="LD3307"/>
    <d v="2024-05-09T00:00:00"/>
    <x v="3"/>
    <s v="Monthly Newsletter"/>
    <s v="Desktop"/>
    <s v="North America"/>
    <s v="Lead"/>
    <m/>
    <m/>
    <m/>
    <n v="1"/>
    <x v="4"/>
    <n v="0"/>
    <n v="0"/>
    <n v="0"/>
  </r>
  <r>
    <s v="LD6485"/>
    <d v="2024-11-08T00:00:00"/>
    <x v="1"/>
    <s v="Google Ads - Generic"/>
    <s v="Mobile"/>
    <s v="North America"/>
    <s v="MQL"/>
    <m/>
    <m/>
    <m/>
    <n v="2"/>
    <x v="2"/>
    <n v="1"/>
    <n v="0"/>
    <n v="0"/>
  </r>
  <r>
    <s v="LD6489"/>
    <d v="2024-11-18T00:00:00"/>
    <x v="1"/>
    <s v="Google Ads - Generic"/>
    <s v="Desktop"/>
    <s v="Asia Pacific"/>
    <s v="Lead"/>
    <m/>
    <m/>
    <m/>
    <n v="1"/>
    <x v="2"/>
    <n v="0"/>
    <n v="0"/>
    <n v="0"/>
  </r>
  <r>
    <s v="LD1945"/>
    <d v="2024-02-15T00:00:00"/>
    <x v="2"/>
    <s v="Direct / Type-in"/>
    <s v="Desktop"/>
    <s v="Europe"/>
    <s v="MQL"/>
    <m/>
    <m/>
    <m/>
    <n v="2"/>
    <x v="10"/>
    <n v="1"/>
    <n v="0"/>
    <n v="0"/>
  </r>
  <r>
    <s v="LD7152"/>
    <d v="2024-12-21T00:00:00"/>
    <x v="5"/>
    <s v="Landing Page SEO"/>
    <s v="Desktop"/>
    <s v="Latin America"/>
    <s v="Lead"/>
    <m/>
    <m/>
    <m/>
    <n v="1"/>
    <x v="7"/>
    <n v="0"/>
    <n v="0"/>
    <n v="0"/>
  </r>
  <r>
    <s v="LD6627"/>
    <d v="2024-11-22T00:00:00"/>
    <x v="0"/>
    <s v="Facebook Ads"/>
    <s v="Tablet"/>
    <s v="Europe"/>
    <s v="MQL"/>
    <m/>
    <m/>
    <m/>
    <n v="2"/>
    <x v="2"/>
    <n v="1"/>
    <n v="0"/>
    <n v="0"/>
  </r>
  <r>
    <s v="LD1013"/>
    <d v="2024-01-19T00:00:00"/>
    <x v="5"/>
    <s v="Landing Page SEO"/>
    <s v="Desktop"/>
    <s v="Europe"/>
    <s v="Lead"/>
    <m/>
    <m/>
    <m/>
    <n v="1"/>
    <x v="3"/>
    <n v="0"/>
    <n v="0"/>
    <n v="0"/>
  </r>
  <r>
    <s v="LD2118"/>
    <d v="2024-03-04T00:00:00"/>
    <x v="1"/>
    <s v="Google Ads - Brand"/>
    <s v="Mobile"/>
    <s v="Latin America"/>
    <s v="Lead"/>
    <m/>
    <m/>
    <m/>
    <n v="1"/>
    <x v="8"/>
    <n v="0"/>
    <n v="0"/>
    <n v="0"/>
  </r>
  <r>
    <s v="LD5938"/>
    <d v="2024-10-18T00:00:00"/>
    <x v="0"/>
    <s v="Facebook Ads"/>
    <s v="Mobile"/>
    <s v="Europe"/>
    <s v="Lead"/>
    <m/>
    <m/>
    <m/>
    <n v="1"/>
    <x v="5"/>
    <n v="0"/>
    <n v="0"/>
    <n v="0"/>
  </r>
  <r>
    <s v="LD3573"/>
    <d v="2024-06-24T00:00:00"/>
    <x v="5"/>
    <s v="Landing Page SEO"/>
    <s v="Desktop"/>
    <s v="Asia Pacific"/>
    <s v="Lead"/>
    <m/>
    <m/>
    <m/>
    <n v="1"/>
    <x v="11"/>
    <n v="0"/>
    <n v="0"/>
    <n v="0"/>
  </r>
  <r>
    <s v="LD6471"/>
    <d v="2024-11-08T00:00:00"/>
    <x v="5"/>
    <s v="Blog SEO"/>
    <s v="Desktop"/>
    <s v="North America"/>
    <s v="Lead"/>
    <m/>
    <m/>
    <m/>
    <n v="1"/>
    <x v="2"/>
    <n v="0"/>
    <n v="0"/>
    <n v="0"/>
  </r>
  <r>
    <s v="LD2320"/>
    <d v="2024-03-09T00:00:00"/>
    <x v="3"/>
    <s v="Promo Blast"/>
    <s v="Mobile"/>
    <s v="North America"/>
    <s v="MQL"/>
    <m/>
    <m/>
    <m/>
    <n v="2"/>
    <x v="8"/>
    <n v="1"/>
    <n v="0"/>
    <n v="0"/>
  </r>
  <r>
    <s v="LD6843"/>
    <d v="2024-11-05T00:00:00"/>
    <x v="3"/>
    <s v="Promo Blast"/>
    <s v="Desktop"/>
    <s v="Asia Pacific"/>
    <s v="MQL"/>
    <m/>
    <m/>
    <m/>
    <n v="2"/>
    <x v="2"/>
    <n v="1"/>
    <n v="0"/>
    <n v="0"/>
  </r>
  <r>
    <s v="LD7631"/>
    <d v="2024-12-27T00:00:00"/>
    <x v="4"/>
    <s v="Affiliate Program"/>
    <s v="Mobile"/>
    <s v="Europe"/>
    <s v="SQL"/>
    <m/>
    <m/>
    <m/>
    <n v="3"/>
    <x v="7"/>
    <n v="1"/>
    <n v="1"/>
    <n v="0"/>
  </r>
  <r>
    <s v="LD7203"/>
    <d v="2024-12-05T00:00:00"/>
    <x v="1"/>
    <s v="Google Ads - Generic"/>
    <s v="Mobile"/>
    <s v="Europe"/>
    <s v="Customer"/>
    <n v="19"/>
    <s v="Basic"/>
    <n v="806.42"/>
    <n v="4"/>
    <x v="7"/>
    <n v="1"/>
    <n v="1"/>
    <n v="1"/>
  </r>
  <r>
    <s v="LD3593"/>
    <d v="2024-06-18T00:00:00"/>
    <x v="5"/>
    <s v="Landing Page SEO"/>
    <s v="Mobile"/>
    <s v="Asia Pacific"/>
    <s v="Lead"/>
    <m/>
    <m/>
    <m/>
    <n v="1"/>
    <x v="11"/>
    <n v="0"/>
    <n v="0"/>
    <n v="0"/>
  </r>
  <r>
    <s v="LD3692"/>
    <d v="2024-06-15T00:00:00"/>
    <x v="1"/>
    <s v="Google Ads - Generic"/>
    <s v="Mobile"/>
    <s v="North America"/>
    <s v="Lead"/>
    <m/>
    <m/>
    <m/>
    <n v="1"/>
    <x v="11"/>
    <n v="0"/>
    <n v="0"/>
    <n v="0"/>
  </r>
  <r>
    <s v="LD4801"/>
    <d v="2024-08-14T00:00:00"/>
    <x v="3"/>
    <s v="Monthly Newsletter"/>
    <s v="Mobile"/>
    <s v="Asia Pacific"/>
    <s v="Lead"/>
    <m/>
    <m/>
    <m/>
    <n v="1"/>
    <x v="6"/>
    <n v="0"/>
    <n v="0"/>
    <n v="0"/>
  </r>
  <r>
    <s v="LD1654"/>
    <d v="2024-02-17T00:00:00"/>
    <x v="0"/>
    <s v="LinkedIn Ads"/>
    <s v="Desktop"/>
    <s v="Latin America"/>
    <s v="Lead"/>
    <m/>
    <m/>
    <m/>
    <n v="1"/>
    <x v="10"/>
    <n v="0"/>
    <n v="0"/>
    <n v="0"/>
  </r>
  <r>
    <s v="LD6851"/>
    <d v="2024-11-21T00:00:00"/>
    <x v="3"/>
    <s v="Monthly Newsletter"/>
    <s v="Tablet"/>
    <s v="North America"/>
    <s v="Lead"/>
    <m/>
    <m/>
    <m/>
    <n v="1"/>
    <x v="2"/>
    <n v="0"/>
    <n v="0"/>
    <n v="0"/>
  </r>
  <r>
    <s v="LD7233"/>
    <d v="2024-12-20T00:00:00"/>
    <x v="1"/>
    <s v="Google Ads - Generic"/>
    <s v="Desktop"/>
    <s v="Europe"/>
    <s v="Lead"/>
    <m/>
    <m/>
    <m/>
    <n v="1"/>
    <x v="7"/>
    <n v="0"/>
    <n v="0"/>
    <n v="0"/>
  </r>
  <r>
    <s v="LD4803"/>
    <d v="2024-08-15T00:00:00"/>
    <x v="3"/>
    <s v="Monthly Newsletter"/>
    <s v="Desktop"/>
    <s v="Europe"/>
    <s v="Lead"/>
    <m/>
    <m/>
    <m/>
    <n v="1"/>
    <x v="6"/>
    <n v="0"/>
    <n v="0"/>
    <n v="0"/>
  </r>
  <r>
    <s v="LD5111"/>
    <d v="2024-09-23T00:00:00"/>
    <x v="5"/>
    <s v="Landing Page SEO"/>
    <s v="Desktop"/>
    <s v="North America"/>
    <s v="Customer"/>
    <n v="14"/>
    <s v="Basic"/>
    <n v="666.05"/>
    <n v="4"/>
    <x v="9"/>
    <n v="1"/>
    <n v="1"/>
    <n v="1"/>
  </r>
  <r>
    <s v="LD5042"/>
    <d v="2024-09-23T00:00:00"/>
    <x v="5"/>
    <s v="Landing Page SEO"/>
    <s v="Mobile"/>
    <s v="North America"/>
    <s v="Customer"/>
    <n v="23"/>
    <s v="Pro"/>
    <n v="4016.38"/>
    <n v="4"/>
    <x v="9"/>
    <n v="1"/>
    <n v="1"/>
    <n v="1"/>
  </r>
  <r>
    <s v="LD7411"/>
    <d v="2024-12-02T00:00:00"/>
    <x v="0"/>
    <s v="Facebook Ads"/>
    <s v="Desktop"/>
    <s v="Europe"/>
    <s v="Lead"/>
    <m/>
    <m/>
    <m/>
    <n v="1"/>
    <x v="7"/>
    <n v="0"/>
    <n v="0"/>
    <n v="0"/>
  </r>
  <r>
    <s v="LD3240"/>
    <d v="2024-05-16T00:00:00"/>
    <x v="0"/>
    <s v="LinkedIn Ads"/>
    <s v="Desktop"/>
    <s v="Latin America"/>
    <s v="MQL"/>
    <m/>
    <m/>
    <m/>
    <n v="2"/>
    <x v="4"/>
    <n v="1"/>
    <n v="0"/>
    <n v="0"/>
  </r>
  <r>
    <s v="LD5941"/>
    <d v="2024-10-08T00:00:00"/>
    <x v="0"/>
    <s v="LinkedIn Ads"/>
    <s v="Desktop"/>
    <s v="Europe"/>
    <s v="MQL"/>
    <m/>
    <m/>
    <m/>
    <n v="2"/>
    <x v="5"/>
    <n v="1"/>
    <n v="0"/>
    <n v="0"/>
  </r>
  <r>
    <s v="LD4269"/>
    <d v="2024-07-23T00:00:00"/>
    <x v="0"/>
    <s v="LinkedIn Ads"/>
    <s v="Desktop"/>
    <s v="North America"/>
    <s v="MQL"/>
    <m/>
    <m/>
    <m/>
    <n v="2"/>
    <x v="0"/>
    <n v="1"/>
    <n v="0"/>
    <n v="0"/>
  </r>
  <r>
    <s v="LD5964"/>
    <d v="2024-10-28T00:00:00"/>
    <x v="3"/>
    <s v="Monthly Newsletter"/>
    <s v="Desktop"/>
    <s v="Latin America"/>
    <s v="SQL"/>
    <m/>
    <m/>
    <m/>
    <n v="3"/>
    <x v="5"/>
    <n v="1"/>
    <n v="1"/>
    <n v="0"/>
  </r>
  <r>
    <s v="LD5060"/>
    <d v="2024-09-16T00:00:00"/>
    <x v="5"/>
    <s v="Landing Page SEO"/>
    <s v="Desktop"/>
    <s v="Asia Pacific"/>
    <s v="Lead"/>
    <m/>
    <m/>
    <m/>
    <n v="1"/>
    <x v="9"/>
    <n v="0"/>
    <n v="0"/>
    <n v="0"/>
  </r>
  <r>
    <s v="LD2449"/>
    <d v="2024-03-04T00:00:00"/>
    <x v="2"/>
    <s v="Direct / Type-in"/>
    <s v="Tablet"/>
    <s v="North America"/>
    <s v="Lead"/>
    <m/>
    <m/>
    <m/>
    <n v="1"/>
    <x v="8"/>
    <n v="0"/>
    <n v="0"/>
    <n v="0"/>
  </r>
  <r>
    <s v="LD5725"/>
    <d v="2024-10-13T00:00:00"/>
    <x v="5"/>
    <s v="Blog SEO"/>
    <s v="Desktop"/>
    <s v="Latin America"/>
    <s v="MQL"/>
    <m/>
    <m/>
    <m/>
    <n v="2"/>
    <x v="5"/>
    <n v="1"/>
    <n v="0"/>
    <n v="0"/>
  </r>
  <r>
    <s v="LD4134"/>
    <d v="2024-07-06T00:00:00"/>
    <x v="1"/>
    <s v="Google Ads - Brand"/>
    <s v="Mobile"/>
    <s v="Europe"/>
    <s v="Lead"/>
    <m/>
    <m/>
    <m/>
    <n v="1"/>
    <x v="0"/>
    <n v="0"/>
    <n v="0"/>
    <n v="0"/>
  </r>
  <r>
    <s v="LD2746"/>
    <d v="2024-04-05T00:00:00"/>
    <x v="3"/>
    <s v="Monthly Newsletter"/>
    <s v="Tablet"/>
    <s v="Asia Pacific"/>
    <s v="Lead"/>
    <m/>
    <m/>
    <m/>
    <n v="1"/>
    <x v="1"/>
    <n v="0"/>
    <n v="0"/>
    <n v="0"/>
  </r>
  <r>
    <s v="LD5792"/>
    <d v="2024-10-26T00:00:00"/>
    <x v="1"/>
    <s v="Google Ads - Generic"/>
    <s v="Desktop"/>
    <s v="Asia Pacific"/>
    <s v="Lead"/>
    <m/>
    <m/>
    <m/>
    <n v="1"/>
    <x v="5"/>
    <n v="0"/>
    <n v="0"/>
    <n v="0"/>
  </r>
  <r>
    <s v="LD1288"/>
    <d v="2024-01-26T00:00:00"/>
    <x v="3"/>
    <s v="Promo Blast"/>
    <s v="Desktop"/>
    <s v="North America"/>
    <s v="Lead"/>
    <m/>
    <m/>
    <m/>
    <n v="1"/>
    <x v="3"/>
    <n v="0"/>
    <n v="0"/>
    <n v="0"/>
  </r>
  <r>
    <s v="LD2739"/>
    <d v="2024-04-16T00:00:00"/>
    <x v="3"/>
    <s v="Monthly Newsletter"/>
    <s v="Tablet"/>
    <s v="North America"/>
    <s v="Customer"/>
    <n v="56"/>
    <s v="Basic"/>
    <n v="521.27"/>
    <n v="4"/>
    <x v="1"/>
    <n v="1"/>
    <n v="1"/>
    <n v="1"/>
  </r>
  <r>
    <s v="LD5237"/>
    <d v="2024-09-11T00:00:00"/>
    <x v="0"/>
    <s v="Instagram Ads"/>
    <s v="Mobile"/>
    <s v="Latin America"/>
    <s v="MQL"/>
    <m/>
    <m/>
    <m/>
    <n v="2"/>
    <x v="9"/>
    <n v="1"/>
    <n v="0"/>
    <n v="0"/>
  </r>
  <r>
    <s v="LD4838"/>
    <d v="2024-08-23T00:00:00"/>
    <x v="3"/>
    <s v="Monthly Newsletter"/>
    <s v="Desktop"/>
    <s v="North America"/>
    <s v="SQL"/>
    <m/>
    <m/>
    <m/>
    <n v="3"/>
    <x v="6"/>
    <n v="1"/>
    <n v="1"/>
    <n v="0"/>
  </r>
  <r>
    <s v="LD4543"/>
    <d v="2024-08-27T00:00:00"/>
    <x v="5"/>
    <s v="Blog SEO"/>
    <s v="Desktop"/>
    <s v="Europe"/>
    <s v="Lead"/>
    <m/>
    <m/>
    <m/>
    <n v="1"/>
    <x v="6"/>
    <n v="0"/>
    <n v="0"/>
    <n v="0"/>
  </r>
  <r>
    <s v="LD4949"/>
    <d v="2024-08-15T00:00:00"/>
    <x v="4"/>
    <s v="Partner Program"/>
    <s v="Desktop"/>
    <s v="Asia Pacific"/>
    <s v="SQL"/>
    <m/>
    <m/>
    <m/>
    <n v="3"/>
    <x v="6"/>
    <n v="1"/>
    <n v="1"/>
    <n v="0"/>
  </r>
  <r>
    <s v="LD3616"/>
    <d v="2024-06-26T00:00:00"/>
    <x v="5"/>
    <s v="Blog SEO"/>
    <s v="Desktop"/>
    <s v="North America"/>
    <s v="Lead"/>
    <m/>
    <m/>
    <m/>
    <n v="1"/>
    <x v="11"/>
    <n v="0"/>
    <n v="0"/>
    <n v="0"/>
  </r>
  <r>
    <s v="LD4711"/>
    <d v="2024-08-05T00:00:00"/>
    <x v="0"/>
    <s v="Facebook Ads"/>
    <s v="Mobile"/>
    <s v="North America"/>
    <s v="MQL"/>
    <m/>
    <m/>
    <m/>
    <n v="2"/>
    <x v="6"/>
    <n v="1"/>
    <n v="0"/>
    <n v="0"/>
  </r>
  <r>
    <s v="LD2685"/>
    <d v="2024-04-27T00:00:00"/>
    <x v="0"/>
    <s v="Facebook Ads"/>
    <s v="Mobile"/>
    <s v="Europe"/>
    <s v="Lead"/>
    <m/>
    <m/>
    <m/>
    <n v="1"/>
    <x v="1"/>
    <n v="0"/>
    <n v="0"/>
    <n v="0"/>
  </r>
  <r>
    <s v="LD5412"/>
    <d v="2024-09-18T00:00:00"/>
    <x v="3"/>
    <s v="Monthly Newsletter"/>
    <s v="Mobile"/>
    <s v="North America"/>
    <s v="Lead"/>
    <m/>
    <m/>
    <m/>
    <n v="1"/>
    <x v="9"/>
    <n v="0"/>
    <n v="0"/>
    <n v="0"/>
  </r>
  <r>
    <s v="LD2339"/>
    <d v="2024-03-14T00:00:00"/>
    <x v="4"/>
    <s v="Affiliate Program"/>
    <s v="Desktop"/>
    <s v="Europe"/>
    <s v="Customer"/>
    <n v="35"/>
    <s v="Basic"/>
    <n v="1418.39"/>
    <n v="4"/>
    <x v="8"/>
    <n v="1"/>
    <n v="1"/>
    <n v="1"/>
  </r>
  <r>
    <s v="LD7609"/>
    <d v="2024-12-26T00:00:00"/>
    <x v="4"/>
    <s v="Affiliate Program"/>
    <s v="Mobile"/>
    <s v="Asia Pacific"/>
    <s v="Lead"/>
    <m/>
    <m/>
    <m/>
    <n v="1"/>
    <x v="7"/>
    <n v="0"/>
    <n v="0"/>
    <n v="0"/>
  </r>
  <r>
    <s v="LD6567"/>
    <d v="2024-11-03T00:00:00"/>
    <x v="1"/>
    <s v="Google Ads - Brand"/>
    <s v="Mobile"/>
    <s v="North America"/>
    <s v="Lead"/>
    <m/>
    <m/>
    <m/>
    <n v="1"/>
    <x v="2"/>
    <n v="0"/>
    <n v="0"/>
    <n v="0"/>
  </r>
  <r>
    <s v="LD7119"/>
    <d v="2024-12-25T00:00:00"/>
    <x v="5"/>
    <s v="Landing Page SEO"/>
    <s v="Mobile"/>
    <s v="Europe"/>
    <s v="Lead"/>
    <m/>
    <m/>
    <m/>
    <n v="1"/>
    <x v="7"/>
    <n v="0"/>
    <n v="0"/>
    <n v="0"/>
  </r>
  <r>
    <s v="LD4460"/>
    <d v="2024-07-04T00:00:00"/>
    <x v="2"/>
    <s v="Direct / Type-in"/>
    <s v="Mobile"/>
    <s v="North America"/>
    <s v="MQL"/>
    <m/>
    <m/>
    <m/>
    <n v="2"/>
    <x v="0"/>
    <n v="1"/>
    <n v="0"/>
    <n v="0"/>
  </r>
  <r>
    <s v="LD4705"/>
    <d v="2024-08-05T00:00:00"/>
    <x v="0"/>
    <s v="Instagram Ads"/>
    <s v="Mobile"/>
    <s v="North America"/>
    <s v="MQL"/>
    <m/>
    <m/>
    <m/>
    <n v="2"/>
    <x v="6"/>
    <n v="1"/>
    <n v="0"/>
    <n v="0"/>
  </r>
  <r>
    <s v="LD5097"/>
    <d v="2024-09-13T00:00:00"/>
    <x v="5"/>
    <s v="Landing Page SEO"/>
    <s v="Mobile"/>
    <s v="Europe"/>
    <s v="MQL"/>
    <m/>
    <m/>
    <m/>
    <n v="2"/>
    <x v="9"/>
    <n v="1"/>
    <n v="0"/>
    <n v="0"/>
  </r>
  <r>
    <s v="LD3346"/>
    <d v="2024-05-16T00:00:00"/>
    <x v="3"/>
    <s v="Monthly Newsletter"/>
    <s v="Mobile"/>
    <s v="Europe"/>
    <s v="Lead"/>
    <m/>
    <m/>
    <m/>
    <n v="1"/>
    <x v="4"/>
    <n v="0"/>
    <n v="0"/>
    <n v="0"/>
  </r>
  <r>
    <s v="LD4361"/>
    <d v="2024-07-09T00:00:00"/>
    <x v="3"/>
    <s v="Monthly Newsletter"/>
    <s v="Desktop"/>
    <s v="Latin America"/>
    <s v="Lead"/>
    <m/>
    <m/>
    <m/>
    <n v="1"/>
    <x v="0"/>
    <n v="0"/>
    <n v="0"/>
    <n v="0"/>
  </r>
  <r>
    <s v="LD2565"/>
    <d v="2024-04-24T00:00:00"/>
    <x v="1"/>
    <s v="Google Ads - Brand"/>
    <s v="Desktop"/>
    <s v="Asia Pacific"/>
    <s v="Lead"/>
    <m/>
    <m/>
    <m/>
    <n v="1"/>
    <x v="1"/>
    <n v="0"/>
    <n v="0"/>
    <n v="0"/>
  </r>
  <r>
    <s v="LD6847"/>
    <d v="2024-11-05T00:00:00"/>
    <x v="3"/>
    <s v="Monthly Newsletter"/>
    <s v="Desktop"/>
    <s v="North America"/>
    <s v="Lead"/>
    <m/>
    <m/>
    <m/>
    <n v="1"/>
    <x v="2"/>
    <n v="0"/>
    <n v="0"/>
    <n v="0"/>
  </r>
  <r>
    <s v="LD4380"/>
    <d v="2024-07-25T00:00:00"/>
    <x v="4"/>
    <s v="Partner Program"/>
    <s v="Desktop"/>
    <s v="North America"/>
    <s v="Customer"/>
    <n v="35"/>
    <s v="Pro"/>
    <n v="2033.24"/>
    <n v="4"/>
    <x v="0"/>
    <n v="1"/>
    <n v="1"/>
    <n v="1"/>
  </r>
  <r>
    <s v="LD6862"/>
    <d v="2024-11-04T00:00:00"/>
    <x v="3"/>
    <s v="Monthly Newsletter"/>
    <s v="Mobile"/>
    <s v="Europe"/>
    <s v="Customer"/>
    <n v="28"/>
    <s v="Pro"/>
    <n v="3107.97"/>
    <n v="4"/>
    <x v="2"/>
    <n v="1"/>
    <n v="1"/>
    <n v="1"/>
  </r>
  <r>
    <s v="LD6835"/>
    <d v="2024-11-22T00:00:00"/>
    <x v="3"/>
    <s v="Promo Blast"/>
    <s v="Mobile"/>
    <s v="Europe"/>
    <s v="MQL"/>
    <m/>
    <m/>
    <m/>
    <n v="2"/>
    <x v="2"/>
    <n v="1"/>
    <n v="0"/>
    <n v="0"/>
  </r>
  <r>
    <s v="LD2232"/>
    <d v="2024-03-22T00:00:00"/>
    <x v="3"/>
    <s v="Monthly Newsletter"/>
    <s v="Mobile"/>
    <s v="Europe"/>
    <s v="Lead"/>
    <m/>
    <m/>
    <m/>
    <n v="1"/>
    <x v="8"/>
    <n v="0"/>
    <n v="0"/>
    <n v="0"/>
  </r>
  <r>
    <s v="LD5560"/>
    <d v="2024-09-16T00:00:00"/>
    <x v="2"/>
    <s v="Direct / Type-in"/>
    <s v="Desktop"/>
    <s v="North America"/>
    <s v="Lead"/>
    <m/>
    <m/>
    <m/>
    <n v="1"/>
    <x v="9"/>
    <n v="0"/>
    <n v="0"/>
    <n v="0"/>
  </r>
  <r>
    <s v="LD2259"/>
    <d v="2024-03-05T00:00:00"/>
    <x v="3"/>
    <s v="Monthly Newsletter"/>
    <s v="Desktop"/>
    <s v="Europe"/>
    <s v="SQL"/>
    <m/>
    <m/>
    <m/>
    <n v="3"/>
    <x v="8"/>
    <n v="1"/>
    <n v="1"/>
    <n v="0"/>
  </r>
  <r>
    <s v="LD2952"/>
    <d v="2024-04-28T00:00:00"/>
    <x v="2"/>
    <s v="Direct / Type-in"/>
    <s v="Mobile"/>
    <s v="North America"/>
    <s v="Customer"/>
    <n v="73"/>
    <s v="Pro"/>
    <n v="2081.69"/>
    <n v="4"/>
    <x v="1"/>
    <n v="1"/>
    <n v="1"/>
    <n v="1"/>
  </r>
  <r>
    <s v="LD7304"/>
    <d v="2024-12-04T00:00:00"/>
    <x v="1"/>
    <s v="Google Ads - Generic"/>
    <s v="Tablet"/>
    <s v="Europe"/>
    <s v="MQL"/>
    <m/>
    <m/>
    <m/>
    <n v="2"/>
    <x v="7"/>
    <n v="1"/>
    <n v="0"/>
    <n v="0"/>
  </r>
  <r>
    <s v="LD1114"/>
    <d v="2024-01-24T00:00:00"/>
    <x v="1"/>
    <s v="Google Ads - Generic"/>
    <s v="Desktop"/>
    <s v="Europe"/>
    <s v="SQL"/>
    <m/>
    <m/>
    <m/>
    <n v="3"/>
    <x v="3"/>
    <n v="1"/>
    <n v="1"/>
    <n v="0"/>
  </r>
  <r>
    <s v="LD6756"/>
    <d v="2024-11-08T00:00:00"/>
    <x v="3"/>
    <s v="Monthly Newsletter"/>
    <s v="Desktop"/>
    <s v="North America"/>
    <s v="Lead"/>
    <m/>
    <m/>
    <m/>
    <n v="1"/>
    <x v="2"/>
    <n v="0"/>
    <n v="0"/>
    <n v="0"/>
  </r>
  <r>
    <s v="LD5963"/>
    <d v="2024-10-25T00:00:00"/>
    <x v="3"/>
    <s v="Monthly Newsletter"/>
    <s v="Desktop"/>
    <s v="Latin America"/>
    <s v="Customer"/>
    <n v="15"/>
    <s v="Basic"/>
    <n v="610.86"/>
    <n v="4"/>
    <x v="5"/>
    <n v="1"/>
    <n v="1"/>
    <n v="1"/>
  </r>
  <r>
    <s v="LD3433"/>
    <d v="2024-05-27T00:00:00"/>
    <x v="3"/>
    <s v="Monthly Newsletter"/>
    <s v="Desktop"/>
    <s v="North America"/>
    <s v="SQL"/>
    <m/>
    <m/>
    <m/>
    <n v="3"/>
    <x v="4"/>
    <n v="1"/>
    <n v="1"/>
    <n v="0"/>
  </r>
  <r>
    <s v="LD1508"/>
    <d v="2024-02-02T00:00:00"/>
    <x v="5"/>
    <s v="Landing Page SEO"/>
    <s v="Mobile"/>
    <s v="North America"/>
    <s v="MQL"/>
    <m/>
    <m/>
    <m/>
    <n v="2"/>
    <x v="10"/>
    <n v="1"/>
    <n v="0"/>
    <n v="0"/>
  </r>
  <r>
    <s v="LD4278"/>
    <d v="2024-07-19T00:00:00"/>
    <x v="3"/>
    <s v="Promo Blast"/>
    <s v="Mobile"/>
    <s v="Latin America"/>
    <s v="SQL"/>
    <m/>
    <m/>
    <m/>
    <n v="3"/>
    <x v="0"/>
    <n v="1"/>
    <n v="1"/>
    <n v="0"/>
  </r>
  <r>
    <s v="LD4064"/>
    <d v="2024-07-06T00:00:00"/>
    <x v="5"/>
    <s v="Landing Page SEO"/>
    <s v="Desktop"/>
    <s v="North America"/>
    <s v="SQL"/>
    <m/>
    <m/>
    <m/>
    <n v="3"/>
    <x v="0"/>
    <n v="1"/>
    <n v="1"/>
    <n v="0"/>
  </r>
  <r>
    <s v="LD3522"/>
    <d v="2024-05-21T00:00:00"/>
    <x v="2"/>
    <s v="Direct / Type-in"/>
    <s v="Desktop"/>
    <s v="North America"/>
    <s v="Lead"/>
    <m/>
    <m/>
    <m/>
    <n v="1"/>
    <x v="4"/>
    <n v="0"/>
    <n v="0"/>
    <n v="0"/>
  </r>
  <r>
    <s v="LD3894"/>
    <d v="2024-06-24T00:00:00"/>
    <x v="3"/>
    <s v="Promo Blast"/>
    <s v="Mobile"/>
    <s v="North America"/>
    <s v="SQL"/>
    <m/>
    <m/>
    <m/>
    <n v="3"/>
    <x v="11"/>
    <n v="1"/>
    <n v="1"/>
    <n v="0"/>
  </r>
  <r>
    <s v="LD4151"/>
    <d v="2024-07-25T00:00:00"/>
    <x v="1"/>
    <s v="Google Ads - Generic"/>
    <s v="Mobile"/>
    <s v="Europe"/>
    <s v="Lead"/>
    <m/>
    <m/>
    <m/>
    <n v="1"/>
    <x v="0"/>
    <n v="0"/>
    <n v="0"/>
    <n v="0"/>
  </r>
  <r>
    <s v="LD4787"/>
    <d v="2024-08-18T00:00:00"/>
    <x v="3"/>
    <s v="Monthly Newsletter"/>
    <s v="Tablet"/>
    <s v="North America"/>
    <s v="Lead"/>
    <m/>
    <m/>
    <m/>
    <n v="1"/>
    <x v="6"/>
    <n v="0"/>
    <n v="0"/>
    <n v="0"/>
  </r>
  <r>
    <s v="LD1351"/>
    <d v="2024-01-22T00:00:00"/>
    <x v="4"/>
    <s v="Affiliate Program"/>
    <s v="Mobile"/>
    <s v="Europe"/>
    <s v="Lead"/>
    <m/>
    <m/>
    <m/>
    <n v="1"/>
    <x v="3"/>
    <n v="0"/>
    <n v="0"/>
    <n v="0"/>
  </r>
  <r>
    <s v="LD6584"/>
    <d v="2024-11-20T00:00:00"/>
    <x v="1"/>
    <s v="Google Ads - Generic"/>
    <s v="Desktop"/>
    <s v="Asia Pacific"/>
    <s v="Lead"/>
    <m/>
    <m/>
    <m/>
    <n v="1"/>
    <x v="2"/>
    <n v="0"/>
    <n v="0"/>
    <n v="0"/>
  </r>
  <r>
    <s v="LD4275"/>
    <d v="2024-07-19T00:00:00"/>
    <x v="3"/>
    <s v="Promo Blast"/>
    <s v="Mobile"/>
    <s v="Asia Pacific"/>
    <s v="MQL"/>
    <m/>
    <m/>
    <m/>
    <n v="2"/>
    <x v="0"/>
    <n v="1"/>
    <n v="0"/>
    <n v="0"/>
  </r>
  <r>
    <s v="LD4476"/>
    <d v="2024-07-23T00:00:00"/>
    <x v="2"/>
    <s v="Direct / Type-in"/>
    <s v="Tablet"/>
    <s v="North America"/>
    <s v="Lead"/>
    <m/>
    <m/>
    <m/>
    <n v="1"/>
    <x v="0"/>
    <n v="0"/>
    <n v="0"/>
    <n v="0"/>
  </r>
  <r>
    <s v="LD2115"/>
    <d v="2024-03-25T00:00:00"/>
    <x v="1"/>
    <s v="Google Ads - Brand"/>
    <s v="Desktop"/>
    <s v="Europe"/>
    <s v="Lead"/>
    <m/>
    <m/>
    <m/>
    <n v="1"/>
    <x v="8"/>
    <n v="0"/>
    <n v="0"/>
    <n v="0"/>
  </r>
  <r>
    <s v="LD5779"/>
    <d v="2024-10-09T00:00:00"/>
    <x v="1"/>
    <s v="Google Ads - Generic"/>
    <s v="Desktop"/>
    <s v="North America"/>
    <s v="Lead"/>
    <m/>
    <m/>
    <m/>
    <n v="1"/>
    <x v="5"/>
    <n v="0"/>
    <n v="0"/>
    <n v="0"/>
  </r>
  <r>
    <s v="LD1299"/>
    <d v="2024-01-17T00:00:00"/>
    <x v="3"/>
    <s v="Promo Blast"/>
    <s v="Mobile"/>
    <s v="Asia Pacific"/>
    <s v="MQL"/>
    <m/>
    <m/>
    <m/>
    <n v="2"/>
    <x v="3"/>
    <n v="1"/>
    <n v="0"/>
    <n v="0"/>
  </r>
  <r>
    <s v="LD4298"/>
    <d v="2024-07-07T00:00:00"/>
    <x v="3"/>
    <s v="Promo Blast"/>
    <s v="Mobile"/>
    <s v="Europe"/>
    <s v="Lead"/>
    <m/>
    <m/>
    <m/>
    <n v="1"/>
    <x v="0"/>
    <n v="0"/>
    <n v="0"/>
    <n v="0"/>
  </r>
  <r>
    <s v="LD6382"/>
    <d v="2024-11-08T00:00:00"/>
    <x v="5"/>
    <s v="Blog SEO"/>
    <s v="Desktop"/>
    <s v="Asia Pacific"/>
    <s v="Lead"/>
    <m/>
    <m/>
    <m/>
    <n v="1"/>
    <x v="2"/>
    <n v="0"/>
    <n v="0"/>
    <n v="0"/>
  </r>
  <r>
    <s v="LD5554"/>
    <d v="2024-09-20T00:00:00"/>
    <x v="2"/>
    <s v="Direct / Type-in"/>
    <s v="Mobile"/>
    <s v="North America"/>
    <s v="Lead"/>
    <m/>
    <m/>
    <m/>
    <n v="1"/>
    <x v="9"/>
    <n v="0"/>
    <n v="0"/>
    <n v="0"/>
  </r>
  <r>
    <s v="LD6166"/>
    <d v="2024-10-27T00:00:00"/>
    <x v="4"/>
    <s v="Partner Program"/>
    <s v="Desktop"/>
    <s v="Europe"/>
    <s v="Customer"/>
    <n v="26"/>
    <s v="Basic"/>
    <n v="789.06"/>
    <n v="4"/>
    <x v="5"/>
    <n v="1"/>
    <n v="1"/>
    <n v="1"/>
  </r>
  <r>
    <s v="LD7206"/>
    <d v="2024-12-08T00:00:00"/>
    <x v="1"/>
    <s v="Google Ads - Generic"/>
    <s v="Desktop"/>
    <s v="Asia Pacific"/>
    <s v="Lead"/>
    <m/>
    <m/>
    <m/>
    <n v="1"/>
    <x v="7"/>
    <n v="0"/>
    <n v="0"/>
    <n v="0"/>
  </r>
  <r>
    <s v="LD3628"/>
    <d v="2024-06-13T00:00:00"/>
    <x v="5"/>
    <s v="Landing Page SEO"/>
    <s v="Desktop"/>
    <s v="North America"/>
    <s v="Lead"/>
    <m/>
    <m/>
    <m/>
    <n v="1"/>
    <x v="11"/>
    <n v="0"/>
    <n v="0"/>
    <n v="0"/>
  </r>
  <r>
    <s v="LD1230"/>
    <d v="2024-01-23T00:00:00"/>
    <x v="0"/>
    <s v="Facebook Ads"/>
    <s v="Desktop"/>
    <s v="Asia Pacific"/>
    <s v="Lead"/>
    <m/>
    <m/>
    <m/>
    <n v="1"/>
    <x v="3"/>
    <n v="0"/>
    <n v="0"/>
    <n v="0"/>
  </r>
  <r>
    <s v="LD4389"/>
    <d v="2024-07-25T00:00:00"/>
    <x v="4"/>
    <s v="Affiliate Program"/>
    <s v="Mobile"/>
    <s v="Asia Pacific"/>
    <s v="MQL"/>
    <m/>
    <m/>
    <m/>
    <n v="2"/>
    <x v="0"/>
    <n v="1"/>
    <n v="0"/>
    <n v="0"/>
  </r>
  <r>
    <s v="LD4485"/>
    <d v="2024-07-28T00:00:00"/>
    <x v="2"/>
    <s v="Direct / Type-in"/>
    <s v="Mobile"/>
    <s v="North America"/>
    <s v="Lead"/>
    <m/>
    <m/>
    <m/>
    <n v="1"/>
    <x v="0"/>
    <n v="0"/>
    <n v="0"/>
    <n v="0"/>
  </r>
  <r>
    <s v="LD5697"/>
    <d v="2024-10-09T00:00:00"/>
    <x v="5"/>
    <s v="Landing Page SEO"/>
    <s v="Desktop"/>
    <s v="North America"/>
    <s v="MQL"/>
    <m/>
    <m/>
    <m/>
    <n v="2"/>
    <x v="5"/>
    <n v="1"/>
    <n v="0"/>
    <n v="0"/>
  </r>
  <r>
    <s v="LD3985"/>
    <d v="2024-06-26T00:00:00"/>
    <x v="2"/>
    <s v="Direct / Type-in"/>
    <s v="Desktop"/>
    <s v="Europe"/>
    <s v="Lead"/>
    <m/>
    <m/>
    <m/>
    <n v="1"/>
    <x v="11"/>
    <n v="0"/>
    <n v="0"/>
    <n v="0"/>
  </r>
  <r>
    <s v="LD5353"/>
    <d v="2024-09-05T00:00:00"/>
    <x v="3"/>
    <s v="Promo Blast"/>
    <s v="Desktop"/>
    <s v="Europe"/>
    <s v="SQL"/>
    <m/>
    <m/>
    <m/>
    <n v="3"/>
    <x v="9"/>
    <n v="1"/>
    <n v="1"/>
    <n v="0"/>
  </r>
  <r>
    <s v="LD3104"/>
    <d v="2024-05-16T00:00:00"/>
    <x v="1"/>
    <s v="Google Ads - Generic"/>
    <s v="Desktop"/>
    <s v="North America"/>
    <s v="Lead"/>
    <m/>
    <m/>
    <m/>
    <n v="1"/>
    <x v="4"/>
    <n v="0"/>
    <n v="0"/>
    <n v="0"/>
  </r>
  <r>
    <s v="LD7115"/>
    <d v="2024-12-02T00:00:00"/>
    <x v="5"/>
    <s v="Landing Page SEO"/>
    <s v="Desktop"/>
    <s v="Latin America"/>
    <s v="MQL"/>
    <m/>
    <m/>
    <m/>
    <n v="2"/>
    <x v="7"/>
    <n v="1"/>
    <n v="0"/>
    <n v="0"/>
  </r>
  <r>
    <s v="LD3474"/>
    <d v="2024-05-07T00:00:00"/>
    <x v="4"/>
    <s v="Partner Program"/>
    <s v="Mobile"/>
    <s v="Europe"/>
    <s v="MQL"/>
    <m/>
    <m/>
    <m/>
    <n v="2"/>
    <x v="4"/>
    <n v="1"/>
    <n v="0"/>
    <n v="0"/>
  </r>
  <r>
    <s v="LD3856"/>
    <d v="2024-06-10T00:00:00"/>
    <x v="3"/>
    <s v="Monthly Newsletter"/>
    <s v="Tablet"/>
    <s v="Asia Pacific"/>
    <s v="Customer"/>
    <n v="7"/>
    <s v="Pro"/>
    <n v="1650.06"/>
    <n v="4"/>
    <x v="11"/>
    <n v="1"/>
    <n v="1"/>
    <n v="1"/>
  </r>
  <r>
    <s v="LD6102"/>
    <d v="2024-10-07T00:00:00"/>
    <x v="3"/>
    <s v="Promo Blast"/>
    <s v="Tablet"/>
    <s v="Europe"/>
    <s v="Lead"/>
    <m/>
    <m/>
    <m/>
    <n v="1"/>
    <x v="5"/>
    <n v="0"/>
    <n v="0"/>
    <n v="0"/>
  </r>
  <r>
    <s v="LD2615"/>
    <d v="2024-04-20T00:00:00"/>
    <x v="1"/>
    <s v="Google Ads - Brand"/>
    <s v="Mobile"/>
    <s v="North America"/>
    <s v="Lead"/>
    <m/>
    <m/>
    <m/>
    <n v="1"/>
    <x v="1"/>
    <n v="0"/>
    <n v="0"/>
    <n v="0"/>
  </r>
  <r>
    <s v="LD1608"/>
    <d v="2024-02-15T00:00:00"/>
    <x v="1"/>
    <s v="Google Ads - Generic"/>
    <s v="Desktop"/>
    <s v="Europe"/>
    <s v="MQL"/>
    <m/>
    <m/>
    <m/>
    <n v="2"/>
    <x v="10"/>
    <n v="1"/>
    <n v="0"/>
    <n v="0"/>
  </r>
  <r>
    <s v="LD3752"/>
    <d v="2024-06-15T00:00:00"/>
    <x v="0"/>
    <s v="Facebook Ads"/>
    <s v="Mobile"/>
    <s v="North America"/>
    <s v="Lead"/>
    <m/>
    <m/>
    <m/>
    <n v="1"/>
    <x v="11"/>
    <n v="0"/>
    <n v="0"/>
    <n v="0"/>
  </r>
  <r>
    <s v="LD2094"/>
    <d v="2024-03-21T00:00:00"/>
    <x v="1"/>
    <s v="Google Ads - Brand"/>
    <s v="Desktop"/>
    <s v="Asia Pacific"/>
    <s v="Lead"/>
    <m/>
    <m/>
    <m/>
    <n v="1"/>
    <x v="8"/>
    <n v="0"/>
    <n v="0"/>
    <n v="0"/>
  </r>
  <r>
    <s v="LD6492"/>
    <d v="2024-11-16T00:00:00"/>
    <x v="1"/>
    <s v="Google Ads - Generic"/>
    <s v="Mobile"/>
    <s v="North America"/>
    <s v="Lead"/>
    <m/>
    <m/>
    <m/>
    <n v="1"/>
    <x v="2"/>
    <n v="0"/>
    <n v="0"/>
    <n v="0"/>
  </r>
  <r>
    <s v="LD7665"/>
    <d v="2024-12-19T00:00:00"/>
    <x v="4"/>
    <s v="Affiliate Program"/>
    <s v="Desktop"/>
    <s v="Europe"/>
    <s v="SQL"/>
    <m/>
    <m/>
    <m/>
    <n v="3"/>
    <x v="7"/>
    <n v="1"/>
    <n v="1"/>
    <n v="0"/>
  </r>
  <r>
    <s v="LD7441"/>
    <d v="2024-12-11T00:00:00"/>
    <x v="3"/>
    <s v="Monthly Newsletter"/>
    <s v="Desktop"/>
    <s v="Asia Pacific"/>
    <s v="MQL"/>
    <m/>
    <m/>
    <m/>
    <n v="2"/>
    <x v="7"/>
    <n v="1"/>
    <n v="0"/>
    <n v="0"/>
  </r>
  <r>
    <s v="LD1204"/>
    <d v="2024-01-02T00:00:00"/>
    <x v="0"/>
    <s v="Instagram Ads"/>
    <s v="Mobile"/>
    <s v="North America"/>
    <s v="MQL"/>
    <m/>
    <m/>
    <m/>
    <n v="2"/>
    <x v="3"/>
    <n v="1"/>
    <n v="0"/>
    <n v="0"/>
  </r>
  <r>
    <s v="LD3643"/>
    <d v="2024-06-11T00:00:00"/>
    <x v="1"/>
    <s v="Google Ads - Brand"/>
    <s v="Mobile"/>
    <s v="North America"/>
    <s v="Lead"/>
    <m/>
    <m/>
    <m/>
    <n v="1"/>
    <x v="11"/>
    <n v="0"/>
    <n v="0"/>
    <n v="0"/>
  </r>
  <r>
    <s v="LD4656"/>
    <d v="2024-08-19T00:00:00"/>
    <x v="1"/>
    <s v="Google Ads - Brand"/>
    <s v="Desktop"/>
    <s v="Asia Pacific"/>
    <s v="MQL"/>
    <m/>
    <m/>
    <m/>
    <n v="2"/>
    <x v="6"/>
    <n v="1"/>
    <n v="0"/>
    <n v="0"/>
  </r>
  <r>
    <s v="LD1838"/>
    <d v="2024-02-13T00:00:00"/>
    <x v="4"/>
    <s v="Partner Program"/>
    <s v="Mobile"/>
    <s v="Latin America"/>
    <s v="SQL"/>
    <m/>
    <m/>
    <m/>
    <n v="3"/>
    <x v="10"/>
    <n v="1"/>
    <n v="1"/>
    <n v="0"/>
  </r>
  <r>
    <s v="LD5851"/>
    <d v="2024-10-25T00:00:00"/>
    <x v="0"/>
    <s v="LinkedIn Ads"/>
    <s v="Mobile"/>
    <s v="North America"/>
    <s v="Lead"/>
    <m/>
    <m/>
    <m/>
    <n v="1"/>
    <x v="5"/>
    <n v="0"/>
    <n v="0"/>
    <n v="0"/>
  </r>
  <r>
    <s v="LD2231"/>
    <d v="2024-03-06T00:00:00"/>
    <x v="3"/>
    <s v="Promo Blast"/>
    <s v="Mobile"/>
    <s v="North America"/>
    <s v="MQL"/>
    <m/>
    <m/>
    <m/>
    <n v="2"/>
    <x v="8"/>
    <n v="1"/>
    <n v="0"/>
    <n v="0"/>
  </r>
  <r>
    <s v="LD6663"/>
    <d v="2024-11-15T00:00:00"/>
    <x v="0"/>
    <s v="LinkedIn Ads"/>
    <s v="Desktop"/>
    <s v="Europe"/>
    <s v="Lead"/>
    <m/>
    <m/>
    <m/>
    <n v="1"/>
    <x v="2"/>
    <n v="0"/>
    <n v="0"/>
    <n v="0"/>
  </r>
  <r>
    <s v="LD2610"/>
    <d v="2024-04-04T00:00:00"/>
    <x v="1"/>
    <s v="Google Ads - Generic"/>
    <s v="Desktop"/>
    <s v="Asia Pacific"/>
    <s v="MQL"/>
    <m/>
    <m/>
    <m/>
    <n v="2"/>
    <x v="1"/>
    <n v="1"/>
    <n v="0"/>
    <n v="0"/>
  </r>
  <r>
    <s v="LD5248"/>
    <d v="2024-09-28T00:00:00"/>
    <x v="0"/>
    <s v="LinkedIn Ads"/>
    <s v="Mobile"/>
    <s v="Europe"/>
    <s v="MQL"/>
    <m/>
    <m/>
    <m/>
    <n v="2"/>
    <x v="9"/>
    <n v="1"/>
    <n v="0"/>
    <n v="0"/>
  </r>
  <r>
    <s v="LD4847"/>
    <d v="2024-08-02T00:00:00"/>
    <x v="3"/>
    <s v="Monthly Newsletter"/>
    <s v="Desktop"/>
    <s v="Asia Pacific"/>
    <s v="Lead"/>
    <m/>
    <m/>
    <m/>
    <n v="1"/>
    <x v="6"/>
    <n v="0"/>
    <n v="0"/>
    <n v="0"/>
  </r>
  <r>
    <s v="LD4205"/>
    <d v="2024-07-02T00:00:00"/>
    <x v="1"/>
    <s v="Google Ads - Generic"/>
    <s v="Mobile"/>
    <s v="North America"/>
    <s v="Lead"/>
    <m/>
    <m/>
    <m/>
    <n v="1"/>
    <x v="0"/>
    <n v="0"/>
    <n v="0"/>
    <n v="0"/>
  </r>
  <r>
    <s v="LD5951"/>
    <d v="2024-10-25T00:00:00"/>
    <x v="3"/>
    <s v="Monthly Newsletter"/>
    <s v="Desktop"/>
    <s v="North America"/>
    <s v="MQL"/>
    <m/>
    <m/>
    <m/>
    <n v="2"/>
    <x v="5"/>
    <n v="1"/>
    <n v="0"/>
    <n v="0"/>
  </r>
  <r>
    <s v="LD6205"/>
    <d v="2024-10-22T00:00:00"/>
    <x v="4"/>
    <s v="Affiliate Program"/>
    <s v="Desktop"/>
    <s v="Asia Pacific"/>
    <s v="SQL"/>
    <m/>
    <m/>
    <m/>
    <n v="3"/>
    <x v="5"/>
    <n v="1"/>
    <n v="1"/>
    <n v="0"/>
  </r>
  <r>
    <s v="LD7471"/>
    <d v="2024-12-17T00:00:00"/>
    <x v="3"/>
    <s v="Promo Blast"/>
    <s v="Mobile"/>
    <s v="North America"/>
    <s v="MQL"/>
    <m/>
    <m/>
    <m/>
    <n v="2"/>
    <x v="7"/>
    <n v="1"/>
    <n v="0"/>
    <n v="0"/>
  </r>
  <r>
    <s v="LD4659"/>
    <d v="2024-08-16T00:00:00"/>
    <x v="1"/>
    <s v="Google Ads - Brand"/>
    <s v="Desktop"/>
    <s v="North America"/>
    <s v="Lead"/>
    <m/>
    <m/>
    <m/>
    <n v="1"/>
    <x v="6"/>
    <n v="0"/>
    <n v="0"/>
    <n v="0"/>
  </r>
  <r>
    <s v="LD6171"/>
    <d v="2024-10-24T00:00:00"/>
    <x v="4"/>
    <s v="Affiliate Program"/>
    <s v="Mobile"/>
    <s v="North America"/>
    <s v="Lead"/>
    <m/>
    <m/>
    <m/>
    <n v="1"/>
    <x v="5"/>
    <n v="0"/>
    <n v="0"/>
    <n v="0"/>
  </r>
  <r>
    <s v="LD3253"/>
    <d v="2024-05-05T00:00:00"/>
    <x v="0"/>
    <s v="Instagram Ads"/>
    <s v="Desktop"/>
    <s v="North America"/>
    <s v="MQL"/>
    <m/>
    <m/>
    <m/>
    <n v="2"/>
    <x v="4"/>
    <n v="1"/>
    <n v="0"/>
    <n v="0"/>
  </r>
  <r>
    <s v="LD4950"/>
    <d v="2024-08-05T00:00:00"/>
    <x v="4"/>
    <s v="Affiliate Program"/>
    <s v="Desktop"/>
    <s v="North America"/>
    <s v="Customer"/>
    <n v="47"/>
    <s v="Pro"/>
    <n v="3895.34"/>
    <n v="4"/>
    <x v="6"/>
    <n v="1"/>
    <n v="1"/>
    <n v="1"/>
  </r>
  <r>
    <s v="LD1658"/>
    <d v="2024-02-23T00:00:00"/>
    <x v="0"/>
    <s v="Facebook Ads"/>
    <s v="Desktop"/>
    <s v="Latin America"/>
    <s v="Lead"/>
    <m/>
    <m/>
    <m/>
    <n v="1"/>
    <x v="10"/>
    <n v="0"/>
    <n v="0"/>
    <n v="0"/>
  </r>
  <r>
    <s v="LD1791"/>
    <d v="2024-02-18T00:00:00"/>
    <x v="3"/>
    <s v="Monthly Newsletter"/>
    <s v="Desktop"/>
    <s v="North America"/>
    <s v="Lead"/>
    <m/>
    <m/>
    <m/>
    <n v="1"/>
    <x v="10"/>
    <n v="0"/>
    <n v="0"/>
    <n v="0"/>
  </r>
  <r>
    <s v="LD6326"/>
    <d v="2024-11-17T00:00:00"/>
    <x v="5"/>
    <s v="Landing Page SEO"/>
    <s v="Mobile"/>
    <s v="Europe"/>
    <s v="Customer"/>
    <n v="63"/>
    <s v="Pro"/>
    <n v="4310.2299999999996"/>
    <n v="4"/>
    <x v="2"/>
    <n v="1"/>
    <n v="1"/>
    <n v="1"/>
  </r>
  <r>
    <s v="LD5105"/>
    <d v="2024-09-14T00:00:00"/>
    <x v="5"/>
    <s v="Blog SEO"/>
    <s v="Mobile"/>
    <s v="Europe"/>
    <s v="SQL"/>
    <m/>
    <m/>
    <m/>
    <n v="3"/>
    <x v="9"/>
    <n v="1"/>
    <n v="1"/>
    <n v="0"/>
  </r>
  <r>
    <s v="LD2360"/>
    <d v="2024-03-15T00:00:00"/>
    <x v="4"/>
    <s v="Affiliate Program"/>
    <s v="Mobile"/>
    <s v="Europe"/>
    <s v="Customer"/>
    <n v="20"/>
    <s v="Basic"/>
    <n v="1289.19"/>
    <n v="4"/>
    <x v="8"/>
    <n v="1"/>
    <n v="1"/>
    <n v="1"/>
  </r>
  <r>
    <s v="LD7450"/>
    <d v="2024-12-12T00:00:00"/>
    <x v="3"/>
    <s v="Promo Blast"/>
    <s v="Desktop"/>
    <s v="North America"/>
    <s v="MQL"/>
    <m/>
    <m/>
    <m/>
    <n v="2"/>
    <x v="7"/>
    <n v="1"/>
    <n v="0"/>
    <n v="0"/>
  </r>
  <r>
    <s v="LD5591"/>
    <d v="2024-09-14T00:00:00"/>
    <x v="2"/>
    <s v="Direct / Type-in"/>
    <s v="Desktop"/>
    <s v="North America"/>
    <s v="MQL"/>
    <m/>
    <m/>
    <m/>
    <n v="2"/>
    <x v="9"/>
    <n v="1"/>
    <n v="0"/>
    <n v="0"/>
  </r>
  <r>
    <s v="LD4771"/>
    <d v="2024-08-14T00:00:00"/>
    <x v="3"/>
    <s v="Monthly Newsletter"/>
    <s v="Desktop"/>
    <s v="North America"/>
    <s v="Lead"/>
    <m/>
    <m/>
    <m/>
    <n v="1"/>
    <x v="6"/>
    <n v="0"/>
    <n v="0"/>
    <n v="0"/>
  </r>
  <r>
    <s v="LD6145"/>
    <d v="2024-10-12T00:00:00"/>
    <x v="4"/>
    <s v="Affiliate Program"/>
    <s v="Desktop"/>
    <s v="Asia Pacific"/>
    <s v="SQL"/>
    <m/>
    <m/>
    <m/>
    <n v="3"/>
    <x v="5"/>
    <n v="1"/>
    <n v="1"/>
    <n v="0"/>
  </r>
  <r>
    <s v="LD6923"/>
    <d v="2024-11-01T00:00:00"/>
    <x v="4"/>
    <s v="Affiliate Program"/>
    <s v="Mobile"/>
    <s v="North America"/>
    <s v="SQL"/>
    <m/>
    <m/>
    <m/>
    <n v="3"/>
    <x v="2"/>
    <n v="1"/>
    <n v="1"/>
    <n v="0"/>
  </r>
  <r>
    <s v="LD3903"/>
    <d v="2024-06-24T00:00:00"/>
    <x v="3"/>
    <s v="Monthly Newsletter"/>
    <s v="Desktop"/>
    <s v="Europe"/>
    <s v="SQL"/>
    <m/>
    <m/>
    <m/>
    <n v="3"/>
    <x v="11"/>
    <n v="1"/>
    <n v="1"/>
    <n v="0"/>
  </r>
  <r>
    <s v="LD3955"/>
    <d v="2024-06-27T00:00:00"/>
    <x v="4"/>
    <s v="Partner Program"/>
    <s v="Mobile"/>
    <s v="North America"/>
    <s v="MQL"/>
    <m/>
    <m/>
    <m/>
    <n v="2"/>
    <x v="11"/>
    <n v="1"/>
    <n v="0"/>
    <n v="0"/>
  </r>
  <r>
    <s v="LD6197"/>
    <d v="2024-10-26T00:00:00"/>
    <x v="4"/>
    <s v="Affiliate Program"/>
    <s v="Desktop"/>
    <s v="North America"/>
    <s v="Lead"/>
    <m/>
    <m/>
    <m/>
    <n v="1"/>
    <x v="5"/>
    <n v="0"/>
    <n v="0"/>
    <n v="0"/>
  </r>
  <r>
    <s v="LD3986"/>
    <d v="2024-06-22T00:00:00"/>
    <x v="2"/>
    <s v="Direct / Type-in"/>
    <s v="Desktop"/>
    <s v="Europe"/>
    <s v="Lead"/>
    <m/>
    <m/>
    <m/>
    <n v="1"/>
    <x v="11"/>
    <n v="0"/>
    <n v="0"/>
    <n v="0"/>
  </r>
  <r>
    <s v="LD7542"/>
    <d v="2024-12-28T00:00:00"/>
    <x v="3"/>
    <s v="Promo Blast"/>
    <s v="Desktop"/>
    <s v="Europe"/>
    <s v="Lead"/>
    <m/>
    <m/>
    <m/>
    <n v="1"/>
    <x v="7"/>
    <n v="0"/>
    <n v="0"/>
    <n v="0"/>
  </r>
  <r>
    <s v="LD2781"/>
    <d v="2024-04-15T00:00:00"/>
    <x v="3"/>
    <s v="Monthly Newsletter"/>
    <s v="Desktop"/>
    <s v="Europe"/>
    <s v="Lead"/>
    <m/>
    <m/>
    <m/>
    <n v="1"/>
    <x v="1"/>
    <n v="0"/>
    <n v="0"/>
    <n v="0"/>
  </r>
  <r>
    <s v="LD5202"/>
    <d v="2024-09-15T00:00:00"/>
    <x v="1"/>
    <s v="Google Ads - Brand"/>
    <s v="Mobile"/>
    <s v="North America"/>
    <s v="SQL"/>
    <m/>
    <m/>
    <m/>
    <n v="3"/>
    <x v="9"/>
    <n v="1"/>
    <n v="1"/>
    <n v="0"/>
  </r>
  <r>
    <s v="LD1804"/>
    <d v="2024-02-20T00:00:00"/>
    <x v="3"/>
    <s v="Promo Blast"/>
    <s v="Desktop"/>
    <s v="Europe"/>
    <s v="Customer"/>
    <n v="75"/>
    <s v="Basic"/>
    <n v="1472.33"/>
    <n v="4"/>
    <x v="10"/>
    <n v="1"/>
    <n v="1"/>
    <n v="1"/>
  </r>
  <r>
    <s v="LD1858"/>
    <d v="2024-02-10T00:00:00"/>
    <x v="4"/>
    <s v="Partner Program"/>
    <s v="Desktop"/>
    <s v="Asia Pacific"/>
    <s v="Customer"/>
    <n v="75"/>
    <s v="Basic"/>
    <n v="1046.42"/>
    <n v="4"/>
    <x v="10"/>
    <n v="1"/>
    <n v="1"/>
    <n v="1"/>
  </r>
  <r>
    <s v="LD5901"/>
    <d v="2024-10-04T00:00:00"/>
    <x v="0"/>
    <s v="LinkedIn Ads"/>
    <s v="Desktop"/>
    <s v="Asia Pacific"/>
    <s v="MQL"/>
    <m/>
    <m/>
    <m/>
    <n v="2"/>
    <x v="5"/>
    <n v="1"/>
    <n v="0"/>
    <n v="0"/>
  </r>
  <r>
    <s v="LD4130"/>
    <d v="2024-07-07T00:00:00"/>
    <x v="1"/>
    <s v="Google Ads - Brand"/>
    <s v="Mobile"/>
    <s v="North America"/>
    <s v="Lead"/>
    <m/>
    <m/>
    <m/>
    <n v="1"/>
    <x v="0"/>
    <n v="0"/>
    <n v="0"/>
    <n v="0"/>
  </r>
  <r>
    <s v="LD5782"/>
    <d v="2024-10-13T00:00:00"/>
    <x v="1"/>
    <s v="Google Ads - Brand"/>
    <s v="Mobile"/>
    <s v="Asia Pacific"/>
    <s v="SQL"/>
    <m/>
    <m/>
    <m/>
    <n v="3"/>
    <x v="5"/>
    <n v="1"/>
    <n v="1"/>
    <n v="0"/>
  </r>
  <r>
    <s v="LD1220"/>
    <d v="2024-01-01T00:00:00"/>
    <x v="0"/>
    <s v="Facebook Ads"/>
    <s v="Mobile"/>
    <s v="Europe"/>
    <s v="Lead"/>
    <m/>
    <m/>
    <m/>
    <n v="1"/>
    <x v="3"/>
    <n v="0"/>
    <n v="0"/>
    <n v="0"/>
  </r>
  <r>
    <s v="LD2289"/>
    <d v="2024-03-27T00:00:00"/>
    <x v="3"/>
    <s v="Promo Blast"/>
    <s v="Desktop"/>
    <s v="North America"/>
    <s v="Customer"/>
    <n v="61"/>
    <s v="Pro"/>
    <n v="3166.89"/>
    <n v="4"/>
    <x v="8"/>
    <n v="1"/>
    <n v="1"/>
    <n v="1"/>
  </r>
  <r>
    <s v="LD1583"/>
    <d v="2024-02-23T00:00:00"/>
    <x v="1"/>
    <s v="Google Ads - Generic"/>
    <s v="Desktop"/>
    <s v="North America"/>
    <s v="SQL"/>
    <m/>
    <m/>
    <m/>
    <n v="3"/>
    <x v="10"/>
    <n v="1"/>
    <n v="1"/>
    <n v="0"/>
  </r>
  <r>
    <s v="LD1044"/>
    <d v="2024-01-08T00:00:00"/>
    <x v="5"/>
    <s v="Blog SEO"/>
    <s v="Mobile"/>
    <s v="North America"/>
    <s v="Lead"/>
    <m/>
    <m/>
    <m/>
    <n v="1"/>
    <x v="3"/>
    <n v="0"/>
    <n v="0"/>
    <n v="0"/>
  </r>
  <r>
    <s v="LD2235"/>
    <d v="2024-03-27T00:00:00"/>
    <x v="3"/>
    <s v="Monthly Newsletter"/>
    <s v="Desktop"/>
    <s v="North America"/>
    <s v="Customer"/>
    <n v="20"/>
    <s v="Basic"/>
    <n v="913.02"/>
    <n v="4"/>
    <x v="8"/>
    <n v="1"/>
    <n v="1"/>
    <n v="1"/>
  </r>
  <r>
    <s v="LD3454"/>
    <d v="2024-05-05T00:00:00"/>
    <x v="4"/>
    <s v="Partner Program"/>
    <s v="Desktop"/>
    <s v="North America"/>
    <s v="SQL"/>
    <m/>
    <m/>
    <m/>
    <n v="3"/>
    <x v="4"/>
    <n v="1"/>
    <n v="1"/>
    <n v="0"/>
  </r>
  <r>
    <s v="LD7567"/>
    <d v="2024-12-11T00:00:00"/>
    <x v="3"/>
    <s v="Monthly Newsletter"/>
    <s v="Desktop"/>
    <s v="Asia Pacific"/>
    <s v="MQL"/>
    <m/>
    <m/>
    <m/>
    <n v="2"/>
    <x v="7"/>
    <n v="1"/>
    <n v="0"/>
    <n v="0"/>
  </r>
  <r>
    <s v="LD2893"/>
    <d v="2024-04-22T00:00:00"/>
    <x v="4"/>
    <s v="Partner Program"/>
    <s v="Mobile"/>
    <s v="Asia Pacific"/>
    <s v="SQL"/>
    <m/>
    <m/>
    <m/>
    <n v="3"/>
    <x v="1"/>
    <n v="1"/>
    <n v="1"/>
    <n v="0"/>
  </r>
  <r>
    <s v="LD6936"/>
    <d v="2024-11-02T00:00:00"/>
    <x v="4"/>
    <s v="Partner Program"/>
    <s v="Desktop"/>
    <s v="North America"/>
    <s v="Lead"/>
    <m/>
    <m/>
    <m/>
    <n v="1"/>
    <x v="2"/>
    <n v="0"/>
    <n v="0"/>
    <n v="0"/>
  </r>
  <r>
    <s v="LD4617"/>
    <d v="2024-08-12T00:00:00"/>
    <x v="1"/>
    <s v="Google Ads - Brand"/>
    <s v="Desktop"/>
    <s v="North America"/>
    <s v="MQL"/>
    <m/>
    <m/>
    <m/>
    <n v="2"/>
    <x v="6"/>
    <n v="1"/>
    <n v="0"/>
    <n v="0"/>
  </r>
  <r>
    <s v="LD6611"/>
    <d v="2024-11-05T00:00:00"/>
    <x v="0"/>
    <s v="Instagram Ads"/>
    <s v="Desktop"/>
    <s v="North America"/>
    <s v="Lead"/>
    <m/>
    <m/>
    <m/>
    <n v="1"/>
    <x v="2"/>
    <n v="0"/>
    <n v="0"/>
    <n v="0"/>
  </r>
  <r>
    <s v="LD2072"/>
    <d v="2024-03-19T00:00:00"/>
    <x v="1"/>
    <s v="Google Ads - Brand"/>
    <s v="Desktop"/>
    <s v="North America"/>
    <s v="MQL"/>
    <m/>
    <m/>
    <m/>
    <n v="2"/>
    <x v="8"/>
    <n v="1"/>
    <n v="0"/>
    <n v="0"/>
  </r>
  <r>
    <s v="LD1719"/>
    <d v="2024-02-19T00:00:00"/>
    <x v="3"/>
    <s v="Monthly Newsletter"/>
    <s v="Mobile"/>
    <s v="Europe"/>
    <s v="SQL"/>
    <m/>
    <m/>
    <m/>
    <n v="3"/>
    <x v="10"/>
    <n v="1"/>
    <n v="1"/>
    <n v="0"/>
  </r>
  <r>
    <s v="LD2506"/>
    <d v="2024-04-14T00:00:00"/>
    <x v="5"/>
    <s v="Blog SEO"/>
    <s v="Mobile"/>
    <s v="North America"/>
    <s v="Lead"/>
    <m/>
    <m/>
    <m/>
    <n v="1"/>
    <x v="1"/>
    <n v="0"/>
    <n v="0"/>
    <n v="0"/>
  </r>
  <r>
    <s v="LD1671"/>
    <d v="2024-02-26T00:00:00"/>
    <x v="0"/>
    <s v="LinkedIn Ads"/>
    <s v="Desktop"/>
    <s v="Europe"/>
    <s v="Lead"/>
    <m/>
    <m/>
    <m/>
    <n v="1"/>
    <x v="10"/>
    <n v="0"/>
    <n v="0"/>
    <n v="0"/>
  </r>
  <r>
    <s v="LD6425"/>
    <d v="2024-11-07T00:00:00"/>
    <x v="5"/>
    <s v="Blog SEO"/>
    <s v="Desktop"/>
    <s v="North America"/>
    <s v="Lead"/>
    <m/>
    <m/>
    <m/>
    <n v="1"/>
    <x v="2"/>
    <n v="0"/>
    <n v="0"/>
    <n v="0"/>
  </r>
  <r>
    <s v="LD5339"/>
    <d v="2024-09-28T00:00:00"/>
    <x v="3"/>
    <s v="Promo Blast"/>
    <s v="Mobile"/>
    <s v="Asia Pacific"/>
    <s v="Lead"/>
    <m/>
    <m/>
    <m/>
    <n v="1"/>
    <x v="9"/>
    <n v="0"/>
    <n v="0"/>
    <n v="0"/>
  </r>
  <r>
    <s v="LD1898"/>
    <d v="2024-02-01T00:00:00"/>
    <x v="2"/>
    <s v="Direct / Type-in"/>
    <s v="Desktop"/>
    <s v="Europe"/>
    <s v="Lead"/>
    <m/>
    <m/>
    <m/>
    <n v="1"/>
    <x v="10"/>
    <n v="0"/>
    <n v="0"/>
    <n v="0"/>
  </r>
  <r>
    <s v="LD6459"/>
    <d v="2024-11-28T00:00:00"/>
    <x v="5"/>
    <s v="Landing Page SEO"/>
    <s v="Desktop"/>
    <s v="Asia Pacific"/>
    <s v="Lead"/>
    <m/>
    <m/>
    <m/>
    <n v="1"/>
    <x v="2"/>
    <n v="0"/>
    <n v="0"/>
    <n v="0"/>
  </r>
  <r>
    <s v="LD3624"/>
    <d v="2024-06-19T00:00:00"/>
    <x v="5"/>
    <s v="Blog SEO"/>
    <s v="Tablet"/>
    <s v="North America"/>
    <s v="Lead"/>
    <m/>
    <m/>
    <m/>
    <n v="1"/>
    <x v="11"/>
    <n v="0"/>
    <n v="0"/>
    <n v="0"/>
  </r>
  <r>
    <s v="LD7453"/>
    <d v="2024-12-21T00:00:00"/>
    <x v="3"/>
    <s v="Monthly Newsletter"/>
    <s v="Desktop"/>
    <s v="Europe"/>
    <s v="MQL"/>
    <m/>
    <m/>
    <m/>
    <n v="2"/>
    <x v="7"/>
    <n v="1"/>
    <n v="0"/>
    <n v="0"/>
  </r>
  <r>
    <s v="LD7427"/>
    <d v="2024-12-01T00:00:00"/>
    <x v="3"/>
    <s v="Monthly Newsletter"/>
    <s v="Mobile"/>
    <s v="Asia Pacific"/>
    <s v="SQL"/>
    <m/>
    <m/>
    <m/>
    <n v="3"/>
    <x v="7"/>
    <n v="1"/>
    <n v="1"/>
    <n v="0"/>
  </r>
  <r>
    <s v="LD6415"/>
    <d v="2024-11-01T00:00:00"/>
    <x v="5"/>
    <s v="Blog SEO"/>
    <s v="Mobile"/>
    <s v="North America"/>
    <s v="Lead"/>
    <m/>
    <m/>
    <m/>
    <n v="1"/>
    <x v="2"/>
    <n v="0"/>
    <n v="0"/>
    <n v="0"/>
  </r>
  <r>
    <s v="LD3733"/>
    <d v="2024-06-27T00:00:00"/>
    <x v="0"/>
    <s v="Instagram Ads"/>
    <s v="Mobile"/>
    <s v="Asia Pacific"/>
    <s v="MQL"/>
    <m/>
    <m/>
    <m/>
    <n v="2"/>
    <x v="11"/>
    <n v="1"/>
    <n v="0"/>
    <n v="0"/>
  </r>
  <r>
    <s v="LD6112"/>
    <d v="2024-10-02T00:00:00"/>
    <x v="3"/>
    <s v="Monthly Newsletter"/>
    <s v="Desktop"/>
    <s v="Asia Pacific"/>
    <s v="Lead"/>
    <m/>
    <m/>
    <m/>
    <n v="1"/>
    <x v="5"/>
    <n v="0"/>
    <n v="0"/>
    <n v="0"/>
  </r>
  <r>
    <s v="LD3690"/>
    <d v="2024-06-26T00:00:00"/>
    <x v="1"/>
    <s v="Google Ads - Generic"/>
    <s v="Mobile"/>
    <s v="Europe"/>
    <s v="MQL"/>
    <m/>
    <m/>
    <m/>
    <n v="2"/>
    <x v="11"/>
    <n v="1"/>
    <n v="0"/>
    <n v="0"/>
  </r>
  <r>
    <s v="LD3413"/>
    <d v="2024-05-09T00:00:00"/>
    <x v="3"/>
    <s v="Promo Blast"/>
    <s v="Mobile"/>
    <s v="North America"/>
    <s v="MQL"/>
    <m/>
    <m/>
    <m/>
    <n v="2"/>
    <x v="4"/>
    <n v="1"/>
    <n v="0"/>
    <n v="0"/>
  </r>
  <r>
    <s v="LD6170"/>
    <d v="2024-10-22T00:00:00"/>
    <x v="4"/>
    <s v="Affiliate Program"/>
    <s v="Mobile"/>
    <s v="Asia Pacific"/>
    <s v="MQL"/>
    <m/>
    <m/>
    <m/>
    <n v="2"/>
    <x v="5"/>
    <n v="1"/>
    <n v="0"/>
    <n v="0"/>
  </r>
  <r>
    <s v="LD2875"/>
    <d v="2024-04-09T00:00:00"/>
    <x v="4"/>
    <s v="Affiliate Program"/>
    <s v="Desktop"/>
    <s v="Europe"/>
    <s v="MQL"/>
    <m/>
    <m/>
    <m/>
    <n v="2"/>
    <x v="1"/>
    <n v="1"/>
    <n v="0"/>
    <n v="0"/>
  </r>
  <r>
    <s v="LD2770"/>
    <d v="2024-04-06T00:00:00"/>
    <x v="3"/>
    <s v="Monthly Newsletter"/>
    <s v="Desktop"/>
    <s v="Europe"/>
    <s v="Lead"/>
    <m/>
    <m/>
    <m/>
    <n v="1"/>
    <x v="1"/>
    <n v="0"/>
    <n v="0"/>
    <n v="0"/>
  </r>
  <r>
    <s v="LD5928"/>
    <d v="2024-10-10T00:00:00"/>
    <x v="0"/>
    <s v="Facebook Ads"/>
    <s v="Mobile"/>
    <s v="North America"/>
    <s v="MQL"/>
    <m/>
    <m/>
    <m/>
    <n v="2"/>
    <x v="5"/>
    <n v="1"/>
    <n v="0"/>
    <n v="0"/>
  </r>
  <r>
    <s v="LD7258"/>
    <d v="2024-12-16T00:00:00"/>
    <x v="1"/>
    <s v="Google Ads - Brand"/>
    <s v="Mobile"/>
    <s v="North America"/>
    <s v="MQL"/>
    <m/>
    <m/>
    <m/>
    <n v="2"/>
    <x v="7"/>
    <n v="1"/>
    <n v="0"/>
    <n v="0"/>
  </r>
  <r>
    <s v="LD2984"/>
    <d v="2024-04-28T00:00:00"/>
    <x v="2"/>
    <s v="Direct / Type-in"/>
    <s v="Mobile"/>
    <s v="Europe"/>
    <s v="MQL"/>
    <m/>
    <m/>
    <m/>
    <n v="2"/>
    <x v="1"/>
    <n v="1"/>
    <n v="0"/>
    <n v="0"/>
  </r>
  <r>
    <s v="LD5049"/>
    <d v="2024-09-02T00:00:00"/>
    <x v="5"/>
    <s v="Blog SEO"/>
    <s v="Mobile"/>
    <s v="Asia Pacific"/>
    <s v="MQL"/>
    <m/>
    <m/>
    <m/>
    <n v="2"/>
    <x v="9"/>
    <n v="1"/>
    <n v="0"/>
    <n v="0"/>
  </r>
  <r>
    <s v="LD6546"/>
    <d v="2024-11-10T00:00:00"/>
    <x v="1"/>
    <s v="Google Ads - Generic"/>
    <s v="Desktop"/>
    <s v="North America"/>
    <s v="MQL"/>
    <m/>
    <m/>
    <m/>
    <n v="2"/>
    <x v="2"/>
    <n v="1"/>
    <n v="0"/>
    <n v="0"/>
  </r>
  <r>
    <s v="LD7626"/>
    <d v="2024-12-20T00:00:00"/>
    <x v="4"/>
    <s v="Affiliate Program"/>
    <s v="Tablet"/>
    <s v="Europe"/>
    <s v="MQL"/>
    <m/>
    <m/>
    <m/>
    <n v="2"/>
    <x v="7"/>
    <n v="1"/>
    <n v="0"/>
    <n v="0"/>
  </r>
  <r>
    <s v="LD3164"/>
    <d v="2024-05-10T00:00:00"/>
    <x v="1"/>
    <s v="Google Ads - Generic"/>
    <s v="Desktop"/>
    <s v="Asia Pacific"/>
    <s v="MQL"/>
    <m/>
    <m/>
    <m/>
    <n v="2"/>
    <x v="4"/>
    <n v="1"/>
    <n v="0"/>
    <n v="0"/>
  </r>
  <r>
    <s v="LD1732"/>
    <d v="2024-02-06T00:00:00"/>
    <x v="3"/>
    <s v="Monthly Newsletter"/>
    <s v="Mobile"/>
    <s v="Europe"/>
    <s v="Lead"/>
    <m/>
    <m/>
    <m/>
    <n v="1"/>
    <x v="10"/>
    <n v="0"/>
    <n v="0"/>
    <n v="0"/>
  </r>
  <r>
    <s v="LD7331"/>
    <d v="2024-12-04T00:00:00"/>
    <x v="0"/>
    <s v="LinkedIn Ads"/>
    <s v="Desktop"/>
    <s v="Asia Pacific"/>
    <s v="Lead"/>
    <m/>
    <m/>
    <m/>
    <n v="1"/>
    <x v="7"/>
    <n v="0"/>
    <n v="0"/>
    <n v="0"/>
  </r>
  <r>
    <s v="LD3233"/>
    <d v="2024-05-13T00:00:00"/>
    <x v="0"/>
    <s v="LinkedIn Ads"/>
    <s v="Desktop"/>
    <s v="Asia Pacific"/>
    <s v="Lead"/>
    <m/>
    <m/>
    <m/>
    <n v="1"/>
    <x v="4"/>
    <n v="0"/>
    <n v="0"/>
    <n v="0"/>
  </r>
  <r>
    <s v="LD4657"/>
    <d v="2024-08-16T00:00:00"/>
    <x v="1"/>
    <s v="Google Ads - Brand"/>
    <s v="Mobile"/>
    <s v="Europe"/>
    <s v="MQL"/>
    <m/>
    <m/>
    <m/>
    <n v="2"/>
    <x v="6"/>
    <n v="1"/>
    <n v="0"/>
    <n v="0"/>
  </r>
  <r>
    <s v="LD3706"/>
    <d v="2024-06-24T00:00:00"/>
    <x v="1"/>
    <s v="Google Ads - Brand"/>
    <s v="Mobile"/>
    <s v="Europe"/>
    <s v="MQL"/>
    <m/>
    <m/>
    <m/>
    <n v="2"/>
    <x v="11"/>
    <n v="1"/>
    <n v="0"/>
    <n v="0"/>
  </r>
  <r>
    <s v="LD2256"/>
    <d v="2024-03-28T00:00:00"/>
    <x v="3"/>
    <s v="Promo Blast"/>
    <s v="Desktop"/>
    <s v="North America"/>
    <s v="Lead"/>
    <m/>
    <m/>
    <m/>
    <n v="1"/>
    <x v="8"/>
    <n v="0"/>
    <n v="0"/>
    <n v="0"/>
  </r>
  <r>
    <s v="LD3105"/>
    <d v="2024-05-10T00:00:00"/>
    <x v="1"/>
    <s v="Google Ads - Brand"/>
    <s v="Mobile"/>
    <s v="North America"/>
    <s v="Lead"/>
    <m/>
    <m/>
    <m/>
    <n v="1"/>
    <x v="4"/>
    <n v="0"/>
    <n v="0"/>
    <n v="0"/>
  </r>
  <r>
    <s v="LD4933"/>
    <d v="2024-08-23T00:00:00"/>
    <x v="4"/>
    <s v="Affiliate Program"/>
    <s v="Desktop"/>
    <s v="Europe"/>
    <s v="Lead"/>
    <m/>
    <m/>
    <m/>
    <n v="1"/>
    <x v="6"/>
    <n v="0"/>
    <n v="0"/>
    <n v="0"/>
  </r>
  <r>
    <s v="LD6036"/>
    <d v="2024-10-03T00:00:00"/>
    <x v="3"/>
    <s v="Monthly Newsletter"/>
    <s v="Desktop"/>
    <s v="North America"/>
    <s v="Lead"/>
    <m/>
    <m/>
    <m/>
    <n v="1"/>
    <x v="5"/>
    <n v="0"/>
    <n v="0"/>
    <n v="0"/>
  </r>
  <r>
    <s v="LD1899"/>
    <d v="2024-02-14T00:00:00"/>
    <x v="2"/>
    <s v="Direct / Type-in"/>
    <s v="Desktop"/>
    <s v="Europe"/>
    <s v="MQL"/>
    <m/>
    <m/>
    <m/>
    <n v="2"/>
    <x v="10"/>
    <n v="1"/>
    <n v="0"/>
    <n v="0"/>
  </r>
  <r>
    <s v="LD1429"/>
    <d v="2024-01-01T00:00:00"/>
    <x v="2"/>
    <s v="Direct / Type-in"/>
    <s v="Mobile"/>
    <s v="Europe"/>
    <s v="MQL"/>
    <m/>
    <m/>
    <m/>
    <n v="2"/>
    <x v="3"/>
    <n v="1"/>
    <n v="0"/>
    <n v="0"/>
  </r>
  <r>
    <s v="LD5680"/>
    <d v="2024-10-15T00:00:00"/>
    <x v="5"/>
    <s v="Landing Page SEO"/>
    <s v="Mobile"/>
    <s v="Europe"/>
    <s v="Customer"/>
    <n v="40"/>
    <s v="Basic"/>
    <n v="1107.3399999999999"/>
    <n v="4"/>
    <x v="5"/>
    <n v="1"/>
    <n v="1"/>
    <n v="1"/>
  </r>
  <r>
    <s v="LD6373"/>
    <d v="2024-11-25T00:00:00"/>
    <x v="5"/>
    <s v="Blog SEO"/>
    <s v="Mobile"/>
    <s v="Asia Pacific"/>
    <s v="Customer"/>
    <n v="26"/>
    <s v="Pro"/>
    <n v="3920.48"/>
    <n v="4"/>
    <x v="2"/>
    <n v="1"/>
    <n v="1"/>
    <n v="1"/>
  </r>
  <r>
    <s v="LD6308"/>
    <d v="2024-10-14T00:00:00"/>
    <x v="2"/>
    <s v="Direct / Type-in"/>
    <s v="Tablet"/>
    <s v="Asia Pacific"/>
    <s v="Lead"/>
    <m/>
    <m/>
    <m/>
    <n v="1"/>
    <x v="5"/>
    <n v="0"/>
    <n v="0"/>
    <n v="0"/>
  </r>
  <r>
    <s v="LD7138"/>
    <d v="2024-12-13T00:00:00"/>
    <x v="5"/>
    <s v="Landing Page SEO"/>
    <s v="Mobile"/>
    <s v="Europe"/>
    <s v="MQL"/>
    <m/>
    <m/>
    <m/>
    <n v="2"/>
    <x v="7"/>
    <n v="1"/>
    <n v="0"/>
    <n v="0"/>
  </r>
  <r>
    <s v="LD2223"/>
    <d v="2024-03-21T00:00:00"/>
    <x v="3"/>
    <s v="Promo Blast"/>
    <s v="Desktop"/>
    <s v="Europe"/>
    <s v="Lead"/>
    <m/>
    <m/>
    <m/>
    <n v="1"/>
    <x v="8"/>
    <n v="0"/>
    <n v="0"/>
    <n v="0"/>
  </r>
  <r>
    <s v="LD5232"/>
    <d v="2024-09-07T00:00:00"/>
    <x v="0"/>
    <s v="LinkedIn Ads"/>
    <s v="Desktop"/>
    <s v="North America"/>
    <s v="Lead"/>
    <m/>
    <m/>
    <m/>
    <n v="1"/>
    <x v="9"/>
    <n v="0"/>
    <n v="0"/>
    <n v="0"/>
  </r>
  <r>
    <s v="LD6018"/>
    <d v="2024-10-13T00:00:00"/>
    <x v="3"/>
    <s v="Promo Blast"/>
    <s v="Desktop"/>
    <s v="North America"/>
    <s v="Lead"/>
    <m/>
    <m/>
    <m/>
    <n v="1"/>
    <x v="5"/>
    <n v="0"/>
    <n v="0"/>
    <n v="0"/>
  </r>
  <r>
    <s v="LD5692"/>
    <d v="2024-10-26T00:00:00"/>
    <x v="5"/>
    <s v="Blog SEO"/>
    <s v="Tablet"/>
    <s v="Europe"/>
    <s v="Lead"/>
    <m/>
    <m/>
    <m/>
    <n v="1"/>
    <x v="5"/>
    <n v="0"/>
    <n v="0"/>
    <n v="0"/>
  </r>
  <r>
    <s v="LD5620"/>
    <d v="2024-09-23T00:00:00"/>
    <x v="2"/>
    <s v="Direct / Type-in"/>
    <s v="Mobile"/>
    <s v="North America"/>
    <s v="Lead"/>
    <m/>
    <m/>
    <m/>
    <n v="1"/>
    <x v="9"/>
    <n v="0"/>
    <n v="0"/>
    <n v="0"/>
  </r>
  <r>
    <s v="LD2097"/>
    <d v="2024-03-01T00:00:00"/>
    <x v="1"/>
    <s v="Google Ads - Generic"/>
    <s v="Desktop"/>
    <s v="North America"/>
    <s v="MQL"/>
    <m/>
    <m/>
    <m/>
    <n v="2"/>
    <x v="8"/>
    <n v="1"/>
    <n v="0"/>
    <n v="0"/>
  </r>
  <r>
    <s v="LD3073"/>
    <d v="2024-05-04T00:00:00"/>
    <x v="5"/>
    <s v="Blog SEO"/>
    <s v="Desktop"/>
    <s v="Asia Pacific"/>
    <s v="MQL"/>
    <m/>
    <m/>
    <m/>
    <n v="2"/>
    <x v="4"/>
    <n v="1"/>
    <n v="0"/>
    <n v="0"/>
  </r>
  <r>
    <s v="LD7125"/>
    <d v="2024-12-25T00:00:00"/>
    <x v="5"/>
    <s v="Blog SEO"/>
    <s v="Mobile"/>
    <s v="North America"/>
    <s v="SQL"/>
    <m/>
    <m/>
    <m/>
    <n v="3"/>
    <x v="7"/>
    <n v="1"/>
    <n v="1"/>
    <n v="0"/>
  </r>
  <r>
    <s v="LD4461"/>
    <d v="2024-07-05T00:00:00"/>
    <x v="2"/>
    <s v="Direct / Type-in"/>
    <s v="Desktop"/>
    <s v="Europe"/>
    <s v="SQL"/>
    <m/>
    <m/>
    <m/>
    <n v="3"/>
    <x v="0"/>
    <n v="1"/>
    <n v="1"/>
    <n v="0"/>
  </r>
  <r>
    <s v="LD6723"/>
    <d v="2024-11-26T00:00:00"/>
    <x v="3"/>
    <s v="Promo Blast"/>
    <s v="Mobile"/>
    <s v="Europe"/>
    <s v="MQL"/>
    <m/>
    <m/>
    <m/>
    <n v="2"/>
    <x v="2"/>
    <n v="1"/>
    <n v="0"/>
    <n v="0"/>
  </r>
  <r>
    <s v="LD2789"/>
    <d v="2024-04-22T00:00:00"/>
    <x v="3"/>
    <s v="Monthly Newsletter"/>
    <s v="Tablet"/>
    <s v="Europe"/>
    <s v="MQL"/>
    <m/>
    <m/>
    <m/>
    <n v="2"/>
    <x v="1"/>
    <n v="1"/>
    <n v="0"/>
    <n v="0"/>
  </r>
  <r>
    <s v="LD5915"/>
    <d v="2024-10-13T00:00:00"/>
    <x v="0"/>
    <s v="Instagram Ads"/>
    <s v="Tablet"/>
    <s v="Asia Pacific"/>
    <s v="Lead"/>
    <m/>
    <m/>
    <m/>
    <n v="1"/>
    <x v="5"/>
    <n v="0"/>
    <n v="0"/>
    <n v="0"/>
  </r>
  <r>
    <s v="LD4277"/>
    <d v="2024-07-16T00:00:00"/>
    <x v="3"/>
    <s v="Monthly Newsletter"/>
    <s v="Desktop"/>
    <s v="Europe"/>
    <s v="Lead"/>
    <m/>
    <m/>
    <m/>
    <n v="1"/>
    <x v="0"/>
    <n v="0"/>
    <n v="0"/>
    <n v="0"/>
  </r>
  <r>
    <s v="LD5088"/>
    <d v="2024-09-07T00:00:00"/>
    <x v="5"/>
    <s v="Blog SEO"/>
    <s v="Mobile"/>
    <s v="North America"/>
    <s v="MQL"/>
    <m/>
    <m/>
    <m/>
    <n v="2"/>
    <x v="9"/>
    <n v="1"/>
    <n v="0"/>
    <n v="0"/>
  </r>
  <r>
    <s v="LD3907"/>
    <d v="2024-06-13T00:00:00"/>
    <x v="3"/>
    <s v="Monthly Newsletter"/>
    <s v="Desktop"/>
    <s v="Asia Pacific"/>
    <s v="MQL"/>
    <m/>
    <m/>
    <m/>
    <n v="2"/>
    <x v="11"/>
    <n v="1"/>
    <n v="0"/>
    <n v="0"/>
  </r>
  <r>
    <s v="LD1193"/>
    <d v="2024-01-13T00:00:00"/>
    <x v="0"/>
    <s v="Instagram Ads"/>
    <s v="Desktop"/>
    <s v="North America"/>
    <s v="Lead"/>
    <m/>
    <m/>
    <m/>
    <n v="1"/>
    <x v="3"/>
    <n v="0"/>
    <n v="0"/>
    <n v="0"/>
  </r>
  <r>
    <s v="LD3500"/>
    <d v="2024-05-07T00:00:00"/>
    <x v="4"/>
    <s v="Partner Program"/>
    <s v="Tablet"/>
    <s v="North America"/>
    <s v="Lead"/>
    <m/>
    <m/>
    <m/>
    <n v="1"/>
    <x v="4"/>
    <n v="0"/>
    <n v="0"/>
    <n v="0"/>
  </r>
  <r>
    <s v="LD2127"/>
    <d v="2024-03-07T00:00:00"/>
    <x v="1"/>
    <s v="Google Ads - Generic"/>
    <s v="Desktop"/>
    <s v="Asia Pacific"/>
    <s v="Lead"/>
    <m/>
    <m/>
    <m/>
    <n v="1"/>
    <x v="8"/>
    <n v="0"/>
    <n v="0"/>
    <n v="0"/>
  </r>
  <r>
    <s v="LD4685"/>
    <d v="2024-08-04T00:00:00"/>
    <x v="0"/>
    <s v="LinkedIn Ads"/>
    <s v="Tablet"/>
    <s v="Asia Pacific"/>
    <s v="Lead"/>
    <m/>
    <m/>
    <m/>
    <n v="1"/>
    <x v="6"/>
    <n v="0"/>
    <n v="0"/>
    <n v="0"/>
  </r>
  <r>
    <s v="LD3803"/>
    <d v="2024-06-28T00:00:00"/>
    <x v="3"/>
    <s v="Monthly Newsletter"/>
    <s v="Mobile"/>
    <s v="Asia Pacific"/>
    <s v="MQL"/>
    <m/>
    <m/>
    <m/>
    <n v="2"/>
    <x v="11"/>
    <n v="1"/>
    <n v="0"/>
    <n v="0"/>
  </r>
  <r>
    <s v="LD3487"/>
    <d v="2024-05-25T00:00:00"/>
    <x v="4"/>
    <s v="Partner Program"/>
    <s v="Desktop"/>
    <s v="Latin America"/>
    <s v="Customer"/>
    <n v="27"/>
    <s v="Basic"/>
    <n v="1240.46"/>
    <n v="4"/>
    <x v="4"/>
    <n v="1"/>
    <n v="1"/>
    <n v="1"/>
  </r>
  <r>
    <s v="LD1305"/>
    <d v="2024-01-05T00:00:00"/>
    <x v="3"/>
    <s v="Monthly Newsletter"/>
    <s v="Mobile"/>
    <s v="Europe"/>
    <s v="Lead"/>
    <m/>
    <m/>
    <m/>
    <n v="1"/>
    <x v="3"/>
    <n v="0"/>
    <n v="0"/>
    <n v="0"/>
  </r>
  <r>
    <s v="LD4286"/>
    <d v="2024-07-08T00:00:00"/>
    <x v="3"/>
    <s v="Promo Blast"/>
    <s v="Desktop"/>
    <s v="Europe"/>
    <s v="MQL"/>
    <m/>
    <m/>
    <m/>
    <n v="2"/>
    <x v="0"/>
    <n v="1"/>
    <n v="0"/>
    <n v="0"/>
  </r>
  <r>
    <s v="LD2293"/>
    <d v="2024-03-16T00:00:00"/>
    <x v="3"/>
    <s v="Promo Blast"/>
    <s v="Desktop"/>
    <s v="Europe"/>
    <s v="Lead"/>
    <m/>
    <m/>
    <m/>
    <n v="1"/>
    <x v="8"/>
    <n v="0"/>
    <n v="0"/>
    <n v="0"/>
  </r>
  <r>
    <s v="LD1071"/>
    <d v="2024-01-06T00:00:00"/>
    <x v="5"/>
    <s v="Landing Page SEO"/>
    <s v="Desktop"/>
    <s v="Asia Pacific"/>
    <s v="SQL"/>
    <m/>
    <m/>
    <m/>
    <n v="3"/>
    <x v="3"/>
    <n v="1"/>
    <n v="1"/>
    <n v="0"/>
  </r>
  <r>
    <s v="LD3550"/>
    <d v="2024-05-12T00:00:00"/>
    <x v="2"/>
    <s v="Direct / Type-in"/>
    <s v="Mobile"/>
    <s v="North America"/>
    <s v="Customer"/>
    <n v="17"/>
    <s v="Enterprise"/>
    <n v="14215.45"/>
    <n v="4"/>
    <x v="4"/>
    <n v="1"/>
    <n v="1"/>
    <n v="1"/>
  </r>
  <r>
    <s v="LD7443"/>
    <d v="2024-12-05T00:00:00"/>
    <x v="3"/>
    <s v="Promo Blast"/>
    <s v="Mobile"/>
    <s v="Latin America"/>
    <s v="Customer"/>
    <n v="73"/>
    <s v="Basic"/>
    <n v="604.23"/>
    <n v="4"/>
    <x v="7"/>
    <n v="1"/>
    <n v="1"/>
    <n v="1"/>
  </r>
  <r>
    <s v="LD3518"/>
    <d v="2024-05-05T00:00:00"/>
    <x v="2"/>
    <s v="Direct / Type-in"/>
    <s v="Desktop"/>
    <s v="North America"/>
    <s v="Lead"/>
    <m/>
    <m/>
    <m/>
    <n v="1"/>
    <x v="4"/>
    <n v="0"/>
    <n v="0"/>
    <n v="0"/>
  </r>
  <r>
    <s v="LD1832"/>
    <d v="2024-02-27T00:00:00"/>
    <x v="4"/>
    <s v="Affiliate Program"/>
    <s v="Desktop"/>
    <s v="North America"/>
    <s v="Customer"/>
    <n v="56"/>
    <s v="Basic"/>
    <n v="1026.19"/>
    <n v="4"/>
    <x v="10"/>
    <n v="1"/>
    <n v="1"/>
    <n v="1"/>
  </r>
  <r>
    <s v="LD3908"/>
    <d v="2024-06-12T00:00:00"/>
    <x v="3"/>
    <s v="Promo Blast"/>
    <s v="Mobile"/>
    <s v="North America"/>
    <s v="Lead"/>
    <m/>
    <m/>
    <m/>
    <n v="1"/>
    <x v="11"/>
    <n v="0"/>
    <n v="0"/>
    <n v="0"/>
  </r>
  <r>
    <s v="LD2457"/>
    <d v="2024-03-14T00:00:00"/>
    <x v="2"/>
    <s v="Direct / Type-in"/>
    <s v="Mobile"/>
    <s v="North America"/>
    <s v="MQL"/>
    <m/>
    <m/>
    <m/>
    <n v="2"/>
    <x v="8"/>
    <n v="1"/>
    <n v="0"/>
    <n v="0"/>
  </r>
  <r>
    <s v="LD5130"/>
    <d v="2024-09-19T00:00:00"/>
    <x v="1"/>
    <s v="Google Ads - Brand"/>
    <s v="Mobile"/>
    <s v="North America"/>
    <s v="MQL"/>
    <m/>
    <m/>
    <m/>
    <n v="2"/>
    <x v="9"/>
    <n v="1"/>
    <n v="0"/>
    <n v="0"/>
  </r>
  <r>
    <s v="LD1239"/>
    <d v="2024-01-25T00:00:00"/>
    <x v="3"/>
    <s v="Promo Blast"/>
    <s v="Mobile"/>
    <s v="Asia Pacific"/>
    <s v="Lead"/>
    <m/>
    <m/>
    <m/>
    <n v="1"/>
    <x v="3"/>
    <n v="0"/>
    <n v="0"/>
    <n v="0"/>
  </r>
  <r>
    <s v="LD1093"/>
    <d v="2024-01-06T00:00:00"/>
    <x v="1"/>
    <s v="Google Ads - Brand"/>
    <s v="Desktop"/>
    <s v="North America"/>
    <s v="Lead"/>
    <m/>
    <m/>
    <m/>
    <n v="1"/>
    <x v="3"/>
    <n v="0"/>
    <n v="0"/>
    <n v="0"/>
  </r>
  <r>
    <s v="LD6685"/>
    <d v="2024-11-22T00:00:00"/>
    <x v="0"/>
    <s v="Instagram Ads"/>
    <s v="Desktop"/>
    <s v="North America"/>
    <s v="SQL"/>
    <m/>
    <m/>
    <m/>
    <n v="3"/>
    <x v="2"/>
    <n v="1"/>
    <n v="1"/>
    <n v="0"/>
  </r>
  <r>
    <s v="LD4564"/>
    <d v="2024-08-24T00:00:00"/>
    <x v="5"/>
    <s v="Blog SEO"/>
    <s v="Desktop"/>
    <s v="Asia Pacific"/>
    <s v="Lead"/>
    <m/>
    <m/>
    <m/>
    <n v="1"/>
    <x v="6"/>
    <n v="0"/>
    <n v="0"/>
    <n v="0"/>
  </r>
  <r>
    <s v="LD3828"/>
    <d v="2024-06-22T00:00:00"/>
    <x v="3"/>
    <s v="Promo Blast"/>
    <s v="Mobile"/>
    <s v="North America"/>
    <s v="Lead"/>
    <m/>
    <m/>
    <m/>
    <n v="1"/>
    <x v="11"/>
    <n v="0"/>
    <n v="0"/>
    <n v="0"/>
  </r>
  <r>
    <s v="LD4367"/>
    <d v="2024-07-02T00:00:00"/>
    <x v="3"/>
    <s v="Promo Blast"/>
    <s v="Desktop"/>
    <s v="North America"/>
    <s v="MQL"/>
    <m/>
    <m/>
    <m/>
    <n v="2"/>
    <x v="0"/>
    <n v="1"/>
    <n v="0"/>
    <n v="0"/>
  </r>
  <r>
    <s v="LD3440"/>
    <d v="2024-05-23T00:00:00"/>
    <x v="4"/>
    <s v="Partner Program"/>
    <s v="Desktop"/>
    <s v="Europe"/>
    <s v="MQL"/>
    <m/>
    <m/>
    <m/>
    <n v="2"/>
    <x v="4"/>
    <n v="1"/>
    <n v="0"/>
    <n v="0"/>
  </r>
  <r>
    <s v="LD4091"/>
    <d v="2024-07-21T00:00:00"/>
    <x v="5"/>
    <s v="Blog SEO"/>
    <s v="Mobile"/>
    <s v="Europe"/>
    <s v="MQL"/>
    <m/>
    <m/>
    <m/>
    <n v="2"/>
    <x v="0"/>
    <n v="1"/>
    <n v="0"/>
    <n v="0"/>
  </r>
  <r>
    <s v="LD5255"/>
    <d v="2024-09-14T00:00:00"/>
    <x v="0"/>
    <s v="LinkedIn Ads"/>
    <s v="Desktop"/>
    <s v="North America"/>
    <s v="Lead"/>
    <m/>
    <m/>
    <m/>
    <n v="1"/>
    <x v="9"/>
    <n v="0"/>
    <n v="0"/>
    <n v="0"/>
  </r>
  <r>
    <s v="LD2002"/>
    <d v="2024-03-01T00:00:00"/>
    <x v="5"/>
    <s v="Blog SEO"/>
    <s v="Mobile"/>
    <s v="North America"/>
    <s v="Lead"/>
    <m/>
    <m/>
    <m/>
    <n v="1"/>
    <x v="8"/>
    <n v="0"/>
    <n v="0"/>
    <n v="0"/>
  </r>
  <r>
    <s v="LD4197"/>
    <d v="2024-07-23T00:00:00"/>
    <x v="1"/>
    <s v="Google Ads - Brand"/>
    <s v="Mobile"/>
    <s v="Asia Pacific"/>
    <s v="Lead"/>
    <m/>
    <m/>
    <m/>
    <n v="1"/>
    <x v="0"/>
    <n v="0"/>
    <n v="0"/>
    <n v="0"/>
  </r>
  <r>
    <s v="LD7504"/>
    <d v="2024-12-20T00:00:00"/>
    <x v="3"/>
    <s v="Monthly Newsletter"/>
    <s v="Desktop"/>
    <s v="Europe"/>
    <s v="SQL"/>
    <m/>
    <m/>
    <m/>
    <n v="3"/>
    <x v="7"/>
    <n v="1"/>
    <n v="1"/>
    <n v="0"/>
  </r>
  <r>
    <s v="LD7548"/>
    <d v="2024-12-22T00:00:00"/>
    <x v="3"/>
    <s v="Promo Blast"/>
    <s v="Mobile"/>
    <s v="North America"/>
    <s v="Lead"/>
    <m/>
    <m/>
    <m/>
    <n v="1"/>
    <x v="7"/>
    <n v="0"/>
    <n v="0"/>
    <n v="0"/>
  </r>
  <r>
    <s v="LD3575"/>
    <d v="2024-06-15T00:00:00"/>
    <x v="5"/>
    <s v="Landing Page SEO"/>
    <s v="Desktop"/>
    <s v="Asia Pacific"/>
    <s v="SQL"/>
    <m/>
    <m/>
    <m/>
    <n v="3"/>
    <x v="11"/>
    <n v="1"/>
    <n v="1"/>
    <n v="0"/>
  </r>
  <r>
    <s v="LD3887"/>
    <d v="2024-06-28T00:00:00"/>
    <x v="3"/>
    <s v="Monthly Newsletter"/>
    <s v="Desktop"/>
    <s v="North America"/>
    <s v="Lead"/>
    <m/>
    <m/>
    <m/>
    <n v="1"/>
    <x v="11"/>
    <n v="0"/>
    <n v="0"/>
    <n v="0"/>
  </r>
  <r>
    <s v="LD2533"/>
    <d v="2024-04-18T00:00:00"/>
    <x v="5"/>
    <s v="Landing Page SEO"/>
    <s v="Mobile"/>
    <s v="Asia Pacific"/>
    <s v="MQL"/>
    <m/>
    <m/>
    <m/>
    <n v="2"/>
    <x v="1"/>
    <n v="1"/>
    <n v="0"/>
    <n v="0"/>
  </r>
  <r>
    <s v="LD5639"/>
    <d v="2024-10-15T00:00:00"/>
    <x v="5"/>
    <s v="Blog SEO"/>
    <s v="Mobile"/>
    <s v="Europe"/>
    <s v="SQL"/>
    <m/>
    <m/>
    <m/>
    <n v="3"/>
    <x v="5"/>
    <n v="1"/>
    <n v="1"/>
    <n v="0"/>
  </r>
  <r>
    <s v="LD1412"/>
    <d v="2024-01-28T00:00:00"/>
    <x v="4"/>
    <s v="Partner Program"/>
    <s v="Desktop"/>
    <s v="Europe"/>
    <s v="Lead"/>
    <m/>
    <m/>
    <m/>
    <n v="1"/>
    <x v="3"/>
    <n v="0"/>
    <n v="0"/>
    <n v="0"/>
  </r>
  <r>
    <s v="LD3579"/>
    <d v="2024-06-13T00:00:00"/>
    <x v="5"/>
    <s v="Landing Page SEO"/>
    <s v="Desktop"/>
    <s v="North America"/>
    <s v="MQL"/>
    <m/>
    <m/>
    <m/>
    <n v="2"/>
    <x v="11"/>
    <n v="1"/>
    <n v="0"/>
    <n v="0"/>
  </r>
  <r>
    <s v="LD7511"/>
    <d v="2024-12-17T00:00:00"/>
    <x v="3"/>
    <s v="Promo Blast"/>
    <s v="Mobile"/>
    <s v="North America"/>
    <s v="MQL"/>
    <m/>
    <m/>
    <m/>
    <n v="2"/>
    <x v="7"/>
    <n v="1"/>
    <n v="0"/>
    <n v="0"/>
  </r>
  <r>
    <s v="LD7264"/>
    <d v="2024-12-21T00:00:00"/>
    <x v="1"/>
    <s v="Google Ads - Generic"/>
    <s v="Mobile"/>
    <s v="Latin America"/>
    <s v="Lead"/>
    <m/>
    <m/>
    <m/>
    <n v="1"/>
    <x v="7"/>
    <n v="0"/>
    <n v="0"/>
    <n v="0"/>
  </r>
  <r>
    <s v="LD5984"/>
    <d v="2024-10-15T00:00:00"/>
    <x v="3"/>
    <s v="Monthly Newsletter"/>
    <s v="Desktop"/>
    <s v="Asia Pacific"/>
    <s v="MQL"/>
    <m/>
    <m/>
    <m/>
    <n v="2"/>
    <x v="5"/>
    <n v="1"/>
    <n v="0"/>
    <n v="0"/>
  </r>
  <r>
    <s v="LD4412"/>
    <d v="2024-07-27T00:00:00"/>
    <x v="4"/>
    <s v="Affiliate Program"/>
    <s v="Desktop"/>
    <s v="Latin America"/>
    <s v="MQL"/>
    <m/>
    <m/>
    <m/>
    <n v="2"/>
    <x v="0"/>
    <n v="1"/>
    <n v="0"/>
    <n v="0"/>
  </r>
  <r>
    <s v="LD4075"/>
    <d v="2024-07-09T00:00:00"/>
    <x v="5"/>
    <s v="Landing Page SEO"/>
    <s v="Desktop"/>
    <s v="North America"/>
    <s v="Lead"/>
    <m/>
    <m/>
    <m/>
    <n v="1"/>
    <x v="0"/>
    <n v="0"/>
    <n v="0"/>
    <n v="0"/>
  </r>
  <r>
    <s v="LD3619"/>
    <d v="2024-06-25T00:00:00"/>
    <x v="5"/>
    <s v="Blog SEO"/>
    <s v="Desktop"/>
    <s v="North America"/>
    <s v="MQL"/>
    <m/>
    <m/>
    <m/>
    <n v="2"/>
    <x v="11"/>
    <n v="1"/>
    <n v="0"/>
    <n v="0"/>
  </r>
  <r>
    <s v="LD7186"/>
    <d v="2024-12-15T00:00:00"/>
    <x v="5"/>
    <s v="Blog SEO"/>
    <s v="Desktop"/>
    <s v="Europe"/>
    <s v="MQL"/>
    <m/>
    <m/>
    <m/>
    <n v="2"/>
    <x v="7"/>
    <n v="1"/>
    <n v="0"/>
    <n v="0"/>
  </r>
  <r>
    <s v="LD6165"/>
    <d v="2024-10-05T00:00:00"/>
    <x v="4"/>
    <s v="Affiliate Program"/>
    <s v="Desktop"/>
    <s v="Europe"/>
    <s v="Customer"/>
    <n v="7"/>
    <s v="Basic"/>
    <n v="968.98"/>
    <n v="4"/>
    <x v="5"/>
    <n v="1"/>
    <n v="1"/>
    <n v="1"/>
  </r>
  <r>
    <s v="LD5047"/>
    <d v="2024-09-13T00:00:00"/>
    <x v="5"/>
    <s v="Landing Page SEO"/>
    <s v="Desktop"/>
    <s v="Latin America"/>
    <s v="MQL"/>
    <m/>
    <m/>
    <m/>
    <n v="2"/>
    <x v="9"/>
    <n v="1"/>
    <n v="0"/>
    <n v="0"/>
  </r>
  <r>
    <s v="LD1634"/>
    <d v="2024-02-17T00:00:00"/>
    <x v="1"/>
    <s v="Google Ads - Brand"/>
    <s v="Tablet"/>
    <s v="Europe"/>
    <s v="MQL"/>
    <m/>
    <m/>
    <m/>
    <n v="2"/>
    <x v="10"/>
    <n v="1"/>
    <n v="0"/>
    <n v="0"/>
  </r>
  <r>
    <s v="LD1499"/>
    <d v="2024-02-12T00:00:00"/>
    <x v="5"/>
    <s v="Blog SEO"/>
    <s v="Desktop"/>
    <s v="Asia Pacific"/>
    <s v="Lead"/>
    <m/>
    <m/>
    <m/>
    <n v="1"/>
    <x v="10"/>
    <n v="0"/>
    <n v="0"/>
    <n v="0"/>
  </r>
  <r>
    <s v="LD6065"/>
    <d v="2024-10-01T00:00:00"/>
    <x v="3"/>
    <s v="Monthly Newsletter"/>
    <s v="Desktop"/>
    <s v="North America"/>
    <s v="MQL"/>
    <m/>
    <m/>
    <m/>
    <n v="2"/>
    <x v="5"/>
    <n v="1"/>
    <n v="0"/>
    <n v="0"/>
  </r>
  <r>
    <s v="LD1638"/>
    <d v="2024-02-16T00:00:00"/>
    <x v="1"/>
    <s v="Google Ads - Generic"/>
    <s v="Mobile"/>
    <s v="North America"/>
    <s v="Lead"/>
    <m/>
    <m/>
    <m/>
    <n v="1"/>
    <x v="10"/>
    <n v="0"/>
    <n v="0"/>
    <n v="0"/>
  </r>
  <r>
    <s v="LD1721"/>
    <d v="2024-02-12T00:00:00"/>
    <x v="3"/>
    <s v="Promo Blast"/>
    <s v="Desktop"/>
    <s v="Europe"/>
    <s v="MQL"/>
    <m/>
    <m/>
    <m/>
    <n v="2"/>
    <x v="10"/>
    <n v="1"/>
    <n v="0"/>
    <n v="0"/>
  </r>
  <r>
    <s v="LD4856"/>
    <d v="2024-08-06T00:00:00"/>
    <x v="3"/>
    <s v="Promo Blast"/>
    <s v="Desktop"/>
    <s v="North America"/>
    <s v="SQL"/>
    <m/>
    <m/>
    <m/>
    <n v="3"/>
    <x v="6"/>
    <n v="1"/>
    <n v="1"/>
    <n v="0"/>
  </r>
  <r>
    <s v="LD1758"/>
    <d v="2024-02-17T00:00:00"/>
    <x v="3"/>
    <s v="Promo Blast"/>
    <s v="Mobile"/>
    <s v="Asia Pacific"/>
    <s v="MQL"/>
    <m/>
    <m/>
    <m/>
    <n v="2"/>
    <x v="10"/>
    <n v="1"/>
    <n v="0"/>
    <n v="0"/>
  </r>
  <r>
    <s v="LD3446"/>
    <d v="2024-05-27T00:00:00"/>
    <x v="4"/>
    <s v="Partner Program"/>
    <s v="Desktop"/>
    <s v="Europe"/>
    <s v="MQL"/>
    <m/>
    <m/>
    <m/>
    <n v="2"/>
    <x v="4"/>
    <n v="1"/>
    <n v="0"/>
    <n v="0"/>
  </r>
  <r>
    <s v="LD4976"/>
    <d v="2024-08-14T00:00:00"/>
    <x v="2"/>
    <s v="Direct / Type-in"/>
    <s v="Tablet"/>
    <s v="Europe"/>
    <s v="Lead"/>
    <m/>
    <m/>
    <m/>
    <n v="1"/>
    <x v="6"/>
    <n v="0"/>
    <n v="0"/>
    <n v="0"/>
  </r>
  <r>
    <s v="LD4808"/>
    <d v="2024-08-14T00:00:00"/>
    <x v="3"/>
    <s v="Monthly Newsletter"/>
    <s v="Mobile"/>
    <s v="Asia Pacific"/>
    <s v="SQL"/>
    <m/>
    <m/>
    <m/>
    <n v="3"/>
    <x v="6"/>
    <n v="1"/>
    <n v="1"/>
    <n v="0"/>
  </r>
  <r>
    <s v="LD4997"/>
    <d v="2024-08-18T00:00:00"/>
    <x v="2"/>
    <s v="Direct / Type-in"/>
    <s v="Desktop"/>
    <s v="Latin America"/>
    <s v="Lead"/>
    <m/>
    <m/>
    <m/>
    <n v="1"/>
    <x v="6"/>
    <n v="0"/>
    <n v="0"/>
    <n v="0"/>
  </r>
  <r>
    <s v="LD5387"/>
    <d v="2024-09-20T00:00:00"/>
    <x v="3"/>
    <s v="Monthly Newsletter"/>
    <s v="Mobile"/>
    <s v="Europe"/>
    <s v="MQL"/>
    <m/>
    <m/>
    <m/>
    <n v="2"/>
    <x v="9"/>
    <n v="1"/>
    <n v="0"/>
    <n v="0"/>
  </r>
  <r>
    <s v="LD1597"/>
    <d v="2024-02-16T00:00:00"/>
    <x v="1"/>
    <s v="Google Ads - Brand"/>
    <s v="Mobile"/>
    <s v="Europe"/>
    <s v="Lead"/>
    <m/>
    <m/>
    <m/>
    <n v="1"/>
    <x v="10"/>
    <n v="0"/>
    <n v="0"/>
    <n v="0"/>
  </r>
  <r>
    <s v="LD5849"/>
    <d v="2024-10-11T00:00:00"/>
    <x v="0"/>
    <s v="Instagram Ads"/>
    <s v="Mobile"/>
    <s v="Europe"/>
    <s v="Lead"/>
    <m/>
    <m/>
    <m/>
    <n v="1"/>
    <x v="5"/>
    <n v="0"/>
    <n v="0"/>
    <n v="0"/>
  </r>
  <r>
    <s v="LD2069"/>
    <d v="2024-03-05T00:00:00"/>
    <x v="1"/>
    <s v="Google Ads - Generic"/>
    <s v="Desktop"/>
    <s v="Latin America"/>
    <s v="Lead"/>
    <m/>
    <m/>
    <m/>
    <n v="1"/>
    <x v="8"/>
    <n v="0"/>
    <n v="0"/>
    <n v="0"/>
  </r>
  <r>
    <s v="LD2943"/>
    <d v="2024-04-18T00:00:00"/>
    <x v="4"/>
    <s v="Affiliate Program"/>
    <s v="Desktop"/>
    <s v="Asia Pacific"/>
    <s v="Customer"/>
    <n v="70"/>
    <s v="Pro"/>
    <n v="4830.1000000000004"/>
    <n v="4"/>
    <x v="1"/>
    <n v="1"/>
    <n v="1"/>
    <n v="1"/>
  </r>
  <r>
    <s v="LD2648"/>
    <d v="2024-04-02T00:00:00"/>
    <x v="1"/>
    <s v="Google Ads - Generic"/>
    <s v="Desktop"/>
    <s v="North America"/>
    <s v="Lead"/>
    <m/>
    <m/>
    <m/>
    <n v="1"/>
    <x v="1"/>
    <n v="0"/>
    <n v="0"/>
    <n v="0"/>
  </r>
  <r>
    <s v="LD6707"/>
    <d v="2024-11-09T00:00:00"/>
    <x v="3"/>
    <s v="Promo Blast"/>
    <s v="Mobile"/>
    <s v="North America"/>
    <s v="Lead"/>
    <m/>
    <m/>
    <m/>
    <n v="1"/>
    <x v="2"/>
    <n v="0"/>
    <n v="0"/>
    <n v="0"/>
  </r>
  <r>
    <s v="LD2701"/>
    <d v="2024-04-09T00:00:00"/>
    <x v="0"/>
    <s v="Instagram Ads"/>
    <s v="Mobile"/>
    <s v="Asia Pacific"/>
    <s v="Lead"/>
    <m/>
    <m/>
    <m/>
    <n v="1"/>
    <x v="1"/>
    <n v="0"/>
    <n v="0"/>
    <n v="0"/>
  </r>
  <r>
    <s v="LD6439"/>
    <d v="2024-11-06T00:00:00"/>
    <x v="5"/>
    <s v="Landing Page SEO"/>
    <s v="Tablet"/>
    <s v="North America"/>
    <s v="Lead"/>
    <m/>
    <m/>
    <m/>
    <n v="1"/>
    <x v="2"/>
    <n v="0"/>
    <n v="0"/>
    <n v="0"/>
  </r>
  <r>
    <s v="LD4661"/>
    <d v="2024-08-14T00:00:00"/>
    <x v="1"/>
    <s v="Google Ads - Brand"/>
    <s v="Desktop"/>
    <s v="North America"/>
    <s v="Lead"/>
    <m/>
    <m/>
    <m/>
    <n v="1"/>
    <x v="6"/>
    <n v="0"/>
    <n v="0"/>
    <n v="0"/>
  </r>
  <r>
    <s v="LD1087"/>
    <d v="2024-01-23T00:00:00"/>
    <x v="5"/>
    <s v="Blog SEO"/>
    <s v="Mobile"/>
    <s v="Asia Pacific"/>
    <s v="SQL"/>
    <m/>
    <m/>
    <m/>
    <n v="3"/>
    <x v="3"/>
    <n v="1"/>
    <n v="1"/>
    <n v="0"/>
  </r>
  <r>
    <s v="LD3309"/>
    <d v="2024-05-27T00:00:00"/>
    <x v="3"/>
    <s v="Promo Blast"/>
    <s v="Desktop"/>
    <s v="North America"/>
    <s v="Lead"/>
    <m/>
    <m/>
    <m/>
    <n v="1"/>
    <x v="4"/>
    <n v="0"/>
    <n v="0"/>
    <n v="0"/>
  </r>
  <r>
    <s v="LD3499"/>
    <d v="2024-05-09T00:00:00"/>
    <x v="4"/>
    <s v="Affiliate Program"/>
    <s v="Desktop"/>
    <s v="North America"/>
    <s v="SQL"/>
    <m/>
    <m/>
    <m/>
    <n v="3"/>
    <x v="4"/>
    <n v="1"/>
    <n v="1"/>
    <n v="0"/>
  </r>
  <r>
    <s v="LD6724"/>
    <d v="2024-11-02T00:00:00"/>
    <x v="3"/>
    <s v="Promo Blast"/>
    <s v="Desktop"/>
    <s v="Asia Pacific"/>
    <s v="SQL"/>
    <m/>
    <m/>
    <m/>
    <n v="3"/>
    <x v="2"/>
    <n v="1"/>
    <n v="1"/>
    <n v="0"/>
  </r>
  <r>
    <s v="LD2030"/>
    <d v="2024-03-02T00:00:00"/>
    <x v="5"/>
    <s v="Landing Page SEO"/>
    <s v="Desktop"/>
    <s v="North America"/>
    <s v="MQL"/>
    <m/>
    <m/>
    <m/>
    <n v="2"/>
    <x v="8"/>
    <n v="1"/>
    <n v="0"/>
    <n v="0"/>
  </r>
  <r>
    <s v="LD7677"/>
    <d v="2024-12-02T00:00:00"/>
    <x v="4"/>
    <s v="Partner Program"/>
    <s v="Desktop"/>
    <s v="Asia Pacific"/>
    <s v="MQL"/>
    <m/>
    <m/>
    <m/>
    <n v="2"/>
    <x v="7"/>
    <n v="1"/>
    <n v="0"/>
    <n v="0"/>
  </r>
  <r>
    <s v="LD6219"/>
    <d v="2024-10-27T00:00:00"/>
    <x v="4"/>
    <s v="Affiliate Program"/>
    <s v="Desktop"/>
    <s v="Asia Pacific"/>
    <s v="MQL"/>
    <m/>
    <m/>
    <m/>
    <n v="2"/>
    <x v="5"/>
    <n v="1"/>
    <n v="0"/>
    <n v="0"/>
  </r>
  <r>
    <s v="LD3145"/>
    <d v="2024-05-24T00:00:00"/>
    <x v="1"/>
    <s v="Google Ads - Brand"/>
    <s v="Desktop"/>
    <s v="North America"/>
    <s v="SQL"/>
    <m/>
    <m/>
    <m/>
    <n v="3"/>
    <x v="4"/>
    <n v="1"/>
    <n v="1"/>
    <n v="0"/>
  </r>
  <r>
    <s v="LD5241"/>
    <d v="2024-09-11T00:00:00"/>
    <x v="0"/>
    <s v="Instagram Ads"/>
    <s v="Desktop"/>
    <s v="North America"/>
    <s v="MQL"/>
    <m/>
    <m/>
    <m/>
    <n v="2"/>
    <x v="9"/>
    <n v="1"/>
    <n v="0"/>
    <n v="0"/>
  </r>
  <r>
    <s v="LD2201"/>
    <d v="2024-03-19T00:00:00"/>
    <x v="3"/>
    <s v="Monthly Newsletter"/>
    <s v="Desktop"/>
    <s v="Europe"/>
    <s v="Lead"/>
    <m/>
    <m/>
    <m/>
    <n v="1"/>
    <x v="8"/>
    <n v="0"/>
    <n v="0"/>
    <n v="0"/>
  </r>
  <r>
    <s v="LD3026"/>
    <d v="2024-05-13T00:00:00"/>
    <x v="5"/>
    <s v="Landing Page SEO"/>
    <s v="Desktop"/>
    <s v="Europe"/>
    <s v="Lead"/>
    <m/>
    <m/>
    <m/>
    <n v="1"/>
    <x v="4"/>
    <n v="0"/>
    <n v="0"/>
    <n v="0"/>
  </r>
  <r>
    <s v="LD1622"/>
    <d v="2024-02-24T00:00:00"/>
    <x v="1"/>
    <s v="Google Ads - Brand"/>
    <s v="Mobile"/>
    <s v="Europe"/>
    <s v="Lead"/>
    <m/>
    <m/>
    <m/>
    <n v="1"/>
    <x v="10"/>
    <n v="0"/>
    <n v="0"/>
    <n v="0"/>
  </r>
  <r>
    <s v="LD7166"/>
    <d v="2024-12-25T00:00:00"/>
    <x v="5"/>
    <s v="Blog SEO"/>
    <s v="Tablet"/>
    <s v="North America"/>
    <s v="MQL"/>
    <m/>
    <m/>
    <m/>
    <n v="2"/>
    <x v="7"/>
    <n v="1"/>
    <n v="0"/>
    <n v="0"/>
  </r>
  <r>
    <s v="LD1567"/>
    <d v="2024-02-12T00:00:00"/>
    <x v="1"/>
    <s v="Google Ads - Generic"/>
    <s v="Desktop"/>
    <s v="Europe"/>
    <s v="Lead"/>
    <m/>
    <m/>
    <m/>
    <n v="1"/>
    <x v="10"/>
    <n v="0"/>
    <n v="0"/>
    <n v="0"/>
  </r>
  <r>
    <s v="LD2838"/>
    <d v="2024-04-02T00:00:00"/>
    <x v="3"/>
    <s v="Promo Blast"/>
    <s v="Desktop"/>
    <s v="North America"/>
    <s v="Lead"/>
    <m/>
    <m/>
    <m/>
    <n v="1"/>
    <x v="1"/>
    <n v="0"/>
    <n v="0"/>
    <n v="0"/>
  </r>
  <r>
    <s v="LD2335"/>
    <d v="2024-03-22T00:00:00"/>
    <x v="4"/>
    <s v="Partner Program"/>
    <s v="Desktop"/>
    <s v="North America"/>
    <s v="SQL"/>
    <m/>
    <m/>
    <m/>
    <n v="3"/>
    <x v="8"/>
    <n v="1"/>
    <n v="1"/>
    <n v="0"/>
  </r>
  <r>
    <s v="LD6256"/>
    <d v="2024-10-08T00:00:00"/>
    <x v="2"/>
    <s v="Direct / Type-in"/>
    <s v="Desktop"/>
    <s v="Europe"/>
    <s v="SQL"/>
    <m/>
    <m/>
    <m/>
    <n v="3"/>
    <x v="5"/>
    <n v="1"/>
    <n v="1"/>
    <n v="0"/>
  </r>
  <r>
    <s v="LD7454"/>
    <d v="2024-12-26T00:00:00"/>
    <x v="3"/>
    <s v="Monthly Newsletter"/>
    <s v="Tablet"/>
    <s v="Latin America"/>
    <s v="Lead"/>
    <m/>
    <m/>
    <m/>
    <n v="1"/>
    <x v="7"/>
    <n v="0"/>
    <n v="0"/>
    <n v="0"/>
  </r>
  <r>
    <s v="LD3100"/>
    <d v="2024-05-20T00:00:00"/>
    <x v="5"/>
    <s v="Landing Page SEO"/>
    <s v="Tablet"/>
    <s v="North America"/>
    <s v="SQL"/>
    <m/>
    <m/>
    <m/>
    <n v="3"/>
    <x v="4"/>
    <n v="1"/>
    <n v="1"/>
    <n v="0"/>
  </r>
  <r>
    <s v="LD6423"/>
    <d v="2024-11-01T00:00:00"/>
    <x v="5"/>
    <s v="Blog SEO"/>
    <s v="Mobile"/>
    <s v="North America"/>
    <s v="MQL"/>
    <m/>
    <m/>
    <m/>
    <n v="2"/>
    <x v="2"/>
    <n v="1"/>
    <n v="0"/>
    <n v="0"/>
  </r>
  <r>
    <s v="LD3441"/>
    <d v="2024-05-02T00:00:00"/>
    <x v="4"/>
    <s v="Affiliate Program"/>
    <s v="Desktop"/>
    <s v="Asia Pacific"/>
    <s v="Lead"/>
    <m/>
    <m/>
    <m/>
    <n v="1"/>
    <x v="4"/>
    <n v="0"/>
    <n v="0"/>
    <n v="0"/>
  </r>
  <r>
    <s v="LD4246"/>
    <d v="2024-07-27T00:00:00"/>
    <x v="0"/>
    <s v="LinkedIn Ads"/>
    <s v="Mobile"/>
    <s v="Europe"/>
    <s v="Lead"/>
    <m/>
    <m/>
    <m/>
    <n v="1"/>
    <x v="0"/>
    <n v="0"/>
    <n v="0"/>
    <n v="0"/>
  </r>
  <r>
    <s v="LD2689"/>
    <d v="2024-04-17T00:00:00"/>
    <x v="0"/>
    <s v="Facebook Ads"/>
    <s v="Mobile"/>
    <s v="Europe"/>
    <s v="Lead"/>
    <m/>
    <m/>
    <m/>
    <n v="1"/>
    <x v="1"/>
    <n v="0"/>
    <n v="0"/>
    <n v="0"/>
  </r>
  <r>
    <s v="LD1746"/>
    <d v="2024-02-09T00:00:00"/>
    <x v="3"/>
    <s v="Promo Blast"/>
    <s v="Mobile"/>
    <s v="Asia Pacific"/>
    <s v="SQL"/>
    <m/>
    <m/>
    <m/>
    <n v="3"/>
    <x v="10"/>
    <n v="1"/>
    <n v="1"/>
    <n v="0"/>
  </r>
  <r>
    <s v="LD5629"/>
    <d v="2024-10-27T00:00:00"/>
    <x v="5"/>
    <s v="Blog SEO"/>
    <s v="Desktop"/>
    <s v="North America"/>
    <s v="SQL"/>
    <m/>
    <m/>
    <m/>
    <n v="3"/>
    <x v="5"/>
    <n v="1"/>
    <n v="1"/>
    <n v="0"/>
  </r>
  <r>
    <s v="LD5054"/>
    <d v="2024-09-04T00:00:00"/>
    <x v="5"/>
    <s v="Landing Page SEO"/>
    <s v="Desktop"/>
    <s v="Europe"/>
    <s v="MQL"/>
    <m/>
    <m/>
    <m/>
    <n v="2"/>
    <x v="9"/>
    <n v="1"/>
    <n v="0"/>
    <n v="0"/>
  </r>
  <r>
    <s v="LD3188"/>
    <d v="2024-05-16T00:00:00"/>
    <x v="1"/>
    <s v="Google Ads - Generic"/>
    <s v="Desktop"/>
    <s v="Europe"/>
    <s v="SQL"/>
    <m/>
    <m/>
    <m/>
    <n v="3"/>
    <x v="4"/>
    <n v="1"/>
    <n v="1"/>
    <n v="0"/>
  </r>
  <r>
    <s v="LD1196"/>
    <d v="2024-01-03T00:00:00"/>
    <x v="0"/>
    <s v="LinkedIn Ads"/>
    <s v="Desktop"/>
    <s v="North America"/>
    <s v="Lead"/>
    <m/>
    <m/>
    <m/>
    <n v="1"/>
    <x v="3"/>
    <n v="0"/>
    <n v="0"/>
    <n v="0"/>
  </r>
  <r>
    <s v="LD4941"/>
    <d v="2024-08-23T00:00:00"/>
    <x v="4"/>
    <s v="Affiliate Program"/>
    <s v="Tablet"/>
    <s v="North America"/>
    <s v="Lead"/>
    <m/>
    <m/>
    <m/>
    <n v="1"/>
    <x v="6"/>
    <n v="0"/>
    <n v="0"/>
    <n v="0"/>
  </r>
  <r>
    <s v="LD3447"/>
    <d v="2024-05-26T00:00:00"/>
    <x v="4"/>
    <s v="Partner Program"/>
    <s v="Mobile"/>
    <s v="North America"/>
    <s v="SQL"/>
    <m/>
    <m/>
    <m/>
    <n v="3"/>
    <x v="4"/>
    <n v="1"/>
    <n v="1"/>
    <n v="0"/>
  </r>
  <r>
    <s v="LD5464"/>
    <d v="2024-09-15T00:00:00"/>
    <x v="4"/>
    <s v="Partner Program"/>
    <s v="Desktop"/>
    <s v="North America"/>
    <s v="Customer"/>
    <n v="75"/>
    <s v="Basic"/>
    <n v="1196.52"/>
    <n v="4"/>
    <x v="9"/>
    <n v="1"/>
    <n v="1"/>
    <n v="1"/>
  </r>
  <r>
    <s v="LD1803"/>
    <d v="2024-02-14T00:00:00"/>
    <x v="3"/>
    <s v="Monthly Newsletter"/>
    <s v="Mobile"/>
    <s v="North America"/>
    <s v="MQL"/>
    <m/>
    <m/>
    <m/>
    <n v="2"/>
    <x v="10"/>
    <n v="1"/>
    <n v="0"/>
    <n v="0"/>
  </r>
  <r>
    <s v="LD5608"/>
    <d v="2024-09-14T00:00:00"/>
    <x v="2"/>
    <s v="Direct / Type-in"/>
    <s v="Mobile"/>
    <s v="North America"/>
    <s v="Lead"/>
    <m/>
    <m/>
    <m/>
    <n v="1"/>
    <x v="9"/>
    <n v="0"/>
    <n v="0"/>
    <n v="0"/>
  </r>
  <r>
    <s v="LD3351"/>
    <d v="2024-05-10T00:00:00"/>
    <x v="3"/>
    <s v="Promo Blast"/>
    <s v="Desktop"/>
    <s v="North America"/>
    <s v="MQL"/>
    <m/>
    <m/>
    <m/>
    <n v="2"/>
    <x v="4"/>
    <n v="1"/>
    <n v="0"/>
    <n v="0"/>
  </r>
  <r>
    <s v="LD6529"/>
    <d v="2024-11-25T00:00:00"/>
    <x v="1"/>
    <s v="Google Ads - Brand"/>
    <s v="Desktop"/>
    <s v="North America"/>
    <s v="Lead"/>
    <m/>
    <m/>
    <m/>
    <n v="1"/>
    <x v="2"/>
    <n v="0"/>
    <n v="0"/>
    <n v="0"/>
  </r>
  <r>
    <s v="LD3069"/>
    <d v="2024-05-07T00:00:00"/>
    <x v="5"/>
    <s v="Landing Page SEO"/>
    <s v="Desktop"/>
    <s v="Europe"/>
    <s v="Customer"/>
    <n v="66"/>
    <s v="Basic"/>
    <n v="611.16"/>
    <n v="4"/>
    <x v="4"/>
    <n v="1"/>
    <n v="1"/>
    <n v="1"/>
  </r>
  <r>
    <s v="LD6771"/>
    <d v="2024-11-20T00:00:00"/>
    <x v="3"/>
    <s v="Monthly Newsletter"/>
    <s v="Desktop"/>
    <s v="Europe"/>
    <s v="SQL"/>
    <m/>
    <m/>
    <m/>
    <n v="3"/>
    <x v="2"/>
    <n v="1"/>
    <n v="1"/>
    <n v="0"/>
  </r>
  <r>
    <s v="LD1645"/>
    <d v="2024-02-12T00:00:00"/>
    <x v="0"/>
    <s v="Facebook Ads"/>
    <s v="Mobile"/>
    <s v="Asia Pacific"/>
    <s v="MQL"/>
    <m/>
    <m/>
    <m/>
    <n v="2"/>
    <x v="10"/>
    <n v="1"/>
    <n v="0"/>
    <n v="0"/>
  </r>
  <r>
    <s v="LD6994"/>
    <d v="2024-11-09T00:00:00"/>
    <x v="4"/>
    <s v="Affiliate Program"/>
    <s v="Desktop"/>
    <s v="Europe"/>
    <s v="SQL"/>
    <m/>
    <m/>
    <m/>
    <n v="3"/>
    <x v="2"/>
    <n v="1"/>
    <n v="1"/>
    <n v="0"/>
  </r>
  <r>
    <s v="LD6080"/>
    <d v="2024-10-19T00:00:00"/>
    <x v="3"/>
    <s v="Promo Blast"/>
    <s v="Desktop"/>
    <s v="North America"/>
    <s v="MQL"/>
    <m/>
    <m/>
    <m/>
    <n v="2"/>
    <x v="5"/>
    <n v="1"/>
    <n v="0"/>
    <n v="0"/>
  </r>
  <r>
    <s v="LD3472"/>
    <d v="2024-05-11T00:00:00"/>
    <x v="4"/>
    <s v="Affiliate Program"/>
    <s v="Mobile"/>
    <s v="Europe"/>
    <s v="SQL"/>
    <m/>
    <m/>
    <m/>
    <n v="3"/>
    <x v="4"/>
    <n v="1"/>
    <n v="1"/>
    <n v="0"/>
  </r>
  <r>
    <s v="LD5706"/>
    <d v="2024-10-15T00:00:00"/>
    <x v="5"/>
    <s v="Blog SEO"/>
    <s v="Desktop"/>
    <s v="Latin America"/>
    <s v="Lead"/>
    <m/>
    <m/>
    <m/>
    <n v="1"/>
    <x v="5"/>
    <n v="0"/>
    <n v="0"/>
    <n v="0"/>
  </r>
  <r>
    <s v="LD1121"/>
    <d v="2024-01-04T00:00:00"/>
    <x v="1"/>
    <s v="Google Ads - Brand"/>
    <s v="Desktop"/>
    <s v="North America"/>
    <s v="Lead"/>
    <m/>
    <m/>
    <m/>
    <n v="1"/>
    <x v="3"/>
    <n v="0"/>
    <n v="0"/>
    <n v="0"/>
  </r>
  <r>
    <s v="LD2778"/>
    <d v="2024-04-05T00:00:00"/>
    <x v="3"/>
    <s v="Promo Blast"/>
    <s v="Desktop"/>
    <s v="North America"/>
    <s v="Lead"/>
    <m/>
    <m/>
    <m/>
    <n v="1"/>
    <x v="1"/>
    <n v="0"/>
    <n v="0"/>
    <n v="0"/>
  </r>
  <r>
    <s v="LD5669"/>
    <d v="2024-10-26T00:00:00"/>
    <x v="5"/>
    <s v="Blog SEO"/>
    <s v="Desktop"/>
    <s v="Asia Pacific"/>
    <s v="Customer"/>
    <n v="49"/>
    <s v="Pro"/>
    <n v="3035.22"/>
    <n v="4"/>
    <x v="5"/>
    <n v="1"/>
    <n v="1"/>
    <n v="1"/>
  </r>
  <r>
    <s v="LD6449"/>
    <d v="2024-11-14T00:00:00"/>
    <x v="5"/>
    <s v="Landing Page SEO"/>
    <s v="Desktop"/>
    <s v="Asia Pacific"/>
    <s v="Customer"/>
    <n v="10"/>
    <s v="Basic"/>
    <n v="838.74"/>
    <n v="4"/>
    <x v="2"/>
    <n v="1"/>
    <n v="1"/>
    <n v="1"/>
  </r>
  <r>
    <s v="LD3136"/>
    <d v="2024-05-11T00:00:00"/>
    <x v="1"/>
    <s v="Google Ads - Generic"/>
    <s v="Desktop"/>
    <s v="Europe"/>
    <s v="Lead"/>
    <m/>
    <m/>
    <m/>
    <n v="1"/>
    <x v="4"/>
    <n v="0"/>
    <n v="0"/>
    <n v="0"/>
  </r>
  <r>
    <s v="LD4024"/>
    <d v="2024-06-18T00:00:00"/>
    <x v="2"/>
    <s v="Direct / Type-in"/>
    <s v="Mobile"/>
    <s v="Asia Pacific"/>
    <s v="Lead"/>
    <m/>
    <m/>
    <m/>
    <n v="1"/>
    <x v="11"/>
    <n v="0"/>
    <n v="0"/>
    <n v="0"/>
  </r>
  <r>
    <s v="LD6828"/>
    <d v="2024-11-19T00:00:00"/>
    <x v="3"/>
    <s v="Monthly Newsletter"/>
    <s v="Desktop"/>
    <s v="Europe"/>
    <s v="Lead"/>
    <m/>
    <m/>
    <m/>
    <n v="1"/>
    <x v="2"/>
    <n v="0"/>
    <n v="0"/>
    <n v="0"/>
  </r>
  <r>
    <s v="LD1135"/>
    <d v="2024-01-28T00:00:00"/>
    <x v="1"/>
    <s v="Google Ads - Brand"/>
    <s v="Tablet"/>
    <s v="Europe"/>
    <s v="SQL"/>
    <m/>
    <m/>
    <m/>
    <n v="3"/>
    <x v="3"/>
    <n v="1"/>
    <n v="1"/>
    <n v="0"/>
  </r>
  <r>
    <s v="LD6988"/>
    <d v="2024-11-15T00:00:00"/>
    <x v="4"/>
    <s v="Affiliate Program"/>
    <s v="Mobile"/>
    <s v="Asia Pacific"/>
    <s v="SQL"/>
    <m/>
    <m/>
    <m/>
    <n v="3"/>
    <x v="2"/>
    <n v="1"/>
    <n v="1"/>
    <n v="0"/>
  </r>
  <r>
    <s v="LD4143"/>
    <d v="2024-07-17T00:00:00"/>
    <x v="1"/>
    <s v="Google Ads - Brand"/>
    <s v="Desktop"/>
    <s v="Europe"/>
    <s v="Lead"/>
    <m/>
    <m/>
    <m/>
    <n v="1"/>
    <x v="0"/>
    <n v="0"/>
    <n v="0"/>
    <n v="0"/>
  </r>
  <r>
    <s v="LD3861"/>
    <d v="2024-06-20T00:00:00"/>
    <x v="3"/>
    <s v="Promo Blast"/>
    <s v="Desktop"/>
    <s v="Europe"/>
    <s v="Lead"/>
    <m/>
    <m/>
    <m/>
    <n v="1"/>
    <x v="11"/>
    <n v="0"/>
    <n v="0"/>
    <n v="0"/>
  </r>
  <r>
    <s v="LD1063"/>
    <d v="2024-01-25T00:00:00"/>
    <x v="5"/>
    <s v="Landing Page SEO"/>
    <s v="Desktop"/>
    <s v="Europe"/>
    <s v="Lead"/>
    <m/>
    <m/>
    <m/>
    <n v="1"/>
    <x v="3"/>
    <n v="0"/>
    <n v="0"/>
    <n v="0"/>
  </r>
  <r>
    <s v="LD5650"/>
    <d v="2024-10-17T00:00:00"/>
    <x v="5"/>
    <s v="Blog SEO"/>
    <s v="Mobile"/>
    <s v="Asia Pacific"/>
    <s v="Lead"/>
    <m/>
    <m/>
    <m/>
    <n v="1"/>
    <x v="5"/>
    <n v="0"/>
    <n v="0"/>
    <n v="0"/>
  </r>
  <r>
    <s v="LD6903"/>
    <d v="2024-11-15T00:00:00"/>
    <x v="4"/>
    <s v="Partner Program"/>
    <s v="Desktop"/>
    <s v="North America"/>
    <s v="SQL"/>
    <m/>
    <m/>
    <m/>
    <n v="3"/>
    <x v="2"/>
    <n v="1"/>
    <n v="1"/>
    <n v="0"/>
  </r>
  <r>
    <s v="LD5610"/>
    <d v="2024-09-05T00:00:00"/>
    <x v="2"/>
    <s v="Direct / Type-in"/>
    <s v="Tablet"/>
    <s v="Asia Pacific"/>
    <s v="Lead"/>
    <m/>
    <m/>
    <m/>
    <n v="1"/>
    <x v="9"/>
    <n v="0"/>
    <n v="0"/>
    <n v="0"/>
  </r>
  <r>
    <s v="LD4110"/>
    <d v="2024-07-11T00:00:00"/>
    <x v="5"/>
    <s v="Landing Page SEO"/>
    <s v="Mobile"/>
    <s v="North America"/>
    <s v="Customer"/>
    <n v="24"/>
    <s v="Basic"/>
    <n v="1401.12"/>
    <n v="4"/>
    <x v="0"/>
    <n v="1"/>
    <n v="1"/>
    <n v="1"/>
  </r>
  <r>
    <s v="LD1680"/>
    <d v="2024-02-20T00:00:00"/>
    <x v="0"/>
    <s v="LinkedIn Ads"/>
    <s v="Desktop"/>
    <s v="Asia Pacific"/>
    <s v="Lead"/>
    <m/>
    <m/>
    <m/>
    <n v="1"/>
    <x v="10"/>
    <n v="0"/>
    <n v="0"/>
    <n v="0"/>
  </r>
  <r>
    <s v="LD4464"/>
    <d v="2024-07-10T00:00:00"/>
    <x v="2"/>
    <s v="Direct / Type-in"/>
    <s v="Mobile"/>
    <s v="North America"/>
    <s v="SQL"/>
    <m/>
    <m/>
    <m/>
    <n v="3"/>
    <x v="0"/>
    <n v="1"/>
    <n v="1"/>
    <n v="0"/>
  </r>
  <r>
    <s v="LD1742"/>
    <d v="2024-02-26T00:00:00"/>
    <x v="3"/>
    <s v="Monthly Newsletter"/>
    <s v="Mobile"/>
    <s v="North America"/>
    <s v="MQL"/>
    <m/>
    <m/>
    <m/>
    <n v="2"/>
    <x v="10"/>
    <n v="1"/>
    <n v="0"/>
    <n v="0"/>
  </r>
  <r>
    <s v="LD2212"/>
    <d v="2024-03-05T00:00:00"/>
    <x v="3"/>
    <s v="Monthly Newsletter"/>
    <s v="Desktop"/>
    <s v="Europe"/>
    <s v="Customer"/>
    <n v="23"/>
    <s v="Basic"/>
    <n v="1473.37"/>
    <n v="4"/>
    <x v="8"/>
    <n v="1"/>
    <n v="1"/>
    <n v="1"/>
  </r>
  <r>
    <s v="LD3171"/>
    <d v="2024-05-13T00:00:00"/>
    <x v="1"/>
    <s v="Google Ads - Brand"/>
    <s v="Mobile"/>
    <s v="Latin America"/>
    <s v="MQL"/>
    <m/>
    <m/>
    <m/>
    <n v="2"/>
    <x v="4"/>
    <n v="1"/>
    <n v="0"/>
    <n v="0"/>
  </r>
  <r>
    <s v="LD4414"/>
    <d v="2024-07-05T00:00:00"/>
    <x v="4"/>
    <s v="Affiliate Program"/>
    <s v="Tablet"/>
    <s v="Asia Pacific"/>
    <s v="MQL"/>
    <m/>
    <m/>
    <m/>
    <n v="2"/>
    <x v="0"/>
    <n v="1"/>
    <n v="0"/>
    <n v="0"/>
  </r>
  <r>
    <s v="LD7208"/>
    <d v="2024-12-12T00:00:00"/>
    <x v="1"/>
    <s v="Google Ads - Brand"/>
    <s v="Desktop"/>
    <s v="Europe"/>
    <s v="Lead"/>
    <m/>
    <m/>
    <m/>
    <n v="1"/>
    <x v="7"/>
    <n v="0"/>
    <n v="0"/>
    <n v="0"/>
  </r>
  <r>
    <s v="LD1568"/>
    <d v="2024-02-16T00:00:00"/>
    <x v="1"/>
    <s v="Google Ads - Brand"/>
    <s v="Desktop"/>
    <s v="North America"/>
    <s v="Lead"/>
    <m/>
    <m/>
    <m/>
    <n v="1"/>
    <x v="10"/>
    <n v="0"/>
    <n v="0"/>
    <n v="0"/>
  </r>
  <r>
    <s v="LD2874"/>
    <d v="2024-04-09T00:00:00"/>
    <x v="4"/>
    <s v="Affiliate Program"/>
    <s v="Tablet"/>
    <s v="North America"/>
    <s v="MQL"/>
    <m/>
    <m/>
    <m/>
    <n v="2"/>
    <x v="1"/>
    <n v="1"/>
    <n v="0"/>
    <n v="0"/>
  </r>
  <r>
    <s v="LD4044"/>
    <d v="2024-07-19T00:00:00"/>
    <x v="5"/>
    <s v="Blog SEO"/>
    <s v="Tablet"/>
    <s v="Europe"/>
    <s v="SQL"/>
    <m/>
    <m/>
    <m/>
    <n v="3"/>
    <x v="0"/>
    <n v="1"/>
    <n v="1"/>
    <n v="0"/>
  </r>
  <r>
    <s v="LD2718"/>
    <d v="2024-04-13T00:00:00"/>
    <x v="0"/>
    <s v="Facebook Ads"/>
    <s v="Desktop"/>
    <s v="North America"/>
    <s v="MQL"/>
    <m/>
    <m/>
    <m/>
    <n v="2"/>
    <x v="1"/>
    <n v="1"/>
    <n v="0"/>
    <n v="0"/>
  </r>
  <r>
    <s v="LD2393"/>
    <d v="2024-03-20T00:00:00"/>
    <x v="4"/>
    <s v="Affiliate Program"/>
    <s v="Tablet"/>
    <s v="North America"/>
    <s v="Customer"/>
    <n v="20"/>
    <s v="Basic"/>
    <n v="1461.94"/>
    <n v="4"/>
    <x v="8"/>
    <n v="1"/>
    <n v="1"/>
    <n v="1"/>
  </r>
  <r>
    <s v="LD6090"/>
    <d v="2024-10-11T00:00:00"/>
    <x v="3"/>
    <s v="Promo Blast"/>
    <s v="Tablet"/>
    <s v="Asia Pacific"/>
    <s v="Lead"/>
    <m/>
    <m/>
    <m/>
    <n v="1"/>
    <x v="5"/>
    <n v="0"/>
    <n v="0"/>
    <n v="0"/>
  </r>
  <r>
    <s v="LD3866"/>
    <d v="2024-06-03T00:00:00"/>
    <x v="3"/>
    <s v="Monthly Newsletter"/>
    <s v="Mobile"/>
    <s v="North America"/>
    <s v="MQL"/>
    <m/>
    <m/>
    <m/>
    <n v="2"/>
    <x v="11"/>
    <n v="1"/>
    <n v="0"/>
    <n v="0"/>
  </r>
  <r>
    <s v="LD1490"/>
    <d v="2024-02-16T00:00:00"/>
    <x v="5"/>
    <s v="Landing Page SEO"/>
    <s v="Desktop"/>
    <s v="North America"/>
    <s v="Lead"/>
    <m/>
    <m/>
    <m/>
    <n v="1"/>
    <x v="10"/>
    <n v="0"/>
    <n v="0"/>
    <n v="0"/>
  </r>
  <r>
    <s v="LD6390"/>
    <d v="2024-11-27T00:00:00"/>
    <x v="5"/>
    <s v="Blog SEO"/>
    <s v="Desktop"/>
    <s v="North America"/>
    <s v="MQL"/>
    <m/>
    <m/>
    <m/>
    <n v="2"/>
    <x v="2"/>
    <n v="1"/>
    <n v="0"/>
    <n v="0"/>
  </r>
  <r>
    <s v="LD1691"/>
    <d v="2024-02-23T00:00:00"/>
    <x v="0"/>
    <s v="LinkedIn Ads"/>
    <s v="Mobile"/>
    <s v="Europe"/>
    <s v="Lead"/>
    <m/>
    <m/>
    <m/>
    <n v="1"/>
    <x v="10"/>
    <n v="0"/>
    <n v="0"/>
    <n v="0"/>
  </r>
  <r>
    <s v="LD6523"/>
    <d v="2024-11-09T00:00:00"/>
    <x v="1"/>
    <s v="Google Ads - Generic"/>
    <s v="Desktop"/>
    <s v="Europe"/>
    <s v="Lead"/>
    <m/>
    <m/>
    <m/>
    <n v="1"/>
    <x v="2"/>
    <n v="0"/>
    <n v="0"/>
    <n v="0"/>
  </r>
  <r>
    <s v="LD1603"/>
    <d v="2024-02-06T00:00:00"/>
    <x v="1"/>
    <s v="Google Ads - Brand"/>
    <s v="Desktop"/>
    <s v="Asia Pacific"/>
    <s v="MQL"/>
    <m/>
    <m/>
    <m/>
    <n v="2"/>
    <x v="10"/>
    <n v="1"/>
    <n v="0"/>
    <n v="0"/>
  </r>
  <r>
    <s v="LD2912"/>
    <d v="2024-04-10T00:00:00"/>
    <x v="4"/>
    <s v="Partner Program"/>
    <s v="Mobile"/>
    <s v="Asia Pacific"/>
    <s v="MQL"/>
    <m/>
    <m/>
    <m/>
    <n v="2"/>
    <x v="1"/>
    <n v="1"/>
    <n v="0"/>
    <n v="0"/>
  </r>
  <r>
    <s v="LD4962"/>
    <d v="2024-08-24T00:00:00"/>
    <x v="2"/>
    <s v="Direct / Type-in"/>
    <s v="Desktop"/>
    <s v="Europe"/>
    <s v="MQL"/>
    <m/>
    <m/>
    <m/>
    <n v="2"/>
    <x v="6"/>
    <n v="1"/>
    <n v="0"/>
    <n v="0"/>
  </r>
  <r>
    <s v="LD7578"/>
    <d v="2024-12-10T00:00:00"/>
    <x v="3"/>
    <s v="Monthly Newsletter"/>
    <s v="Desktop"/>
    <s v="Europe"/>
    <s v="SQL"/>
    <m/>
    <m/>
    <m/>
    <n v="3"/>
    <x v="7"/>
    <n v="1"/>
    <n v="1"/>
    <n v="0"/>
  </r>
  <r>
    <s v="LD6056"/>
    <d v="2024-10-05T00:00:00"/>
    <x v="3"/>
    <s v="Monthly Newsletter"/>
    <s v="Desktop"/>
    <s v="North America"/>
    <s v="Lead"/>
    <m/>
    <m/>
    <m/>
    <n v="1"/>
    <x v="5"/>
    <n v="0"/>
    <n v="0"/>
    <n v="0"/>
  </r>
  <r>
    <s v="LD3367"/>
    <d v="2024-05-20T00:00:00"/>
    <x v="3"/>
    <s v="Monthly Newsletter"/>
    <s v="Mobile"/>
    <s v="Europe"/>
    <s v="SQL"/>
    <m/>
    <m/>
    <m/>
    <n v="3"/>
    <x v="4"/>
    <n v="1"/>
    <n v="1"/>
    <n v="0"/>
  </r>
  <r>
    <s v="LD2188"/>
    <d v="2024-03-16T00:00:00"/>
    <x v="0"/>
    <s v="Instagram Ads"/>
    <s v="Mobile"/>
    <s v="Asia Pacific"/>
    <s v="MQL"/>
    <m/>
    <m/>
    <m/>
    <n v="2"/>
    <x v="8"/>
    <n v="1"/>
    <n v="0"/>
    <n v="0"/>
  </r>
  <r>
    <s v="LD1275"/>
    <d v="2024-01-04T00:00:00"/>
    <x v="3"/>
    <s v="Promo Blast"/>
    <s v="Desktop"/>
    <s v="North America"/>
    <s v="MQL"/>
    <m/>
    <m/>
    <m/>
    <n v="2"/>
    <x v="3"/>
    <n v="1"/>
    <n v="0"/>
    <n v="0"/>
  </r>
  <r>
    <s v="LD4672"/>
    <d v="2024-08-18T00:00:00"/>
    <x v="1"/>
    <s v="Google Ads - Brand"/>
    <s v="Tablet"/>
    <s v="North America"/>
    <s v="MQL"/>
    <m/>
    <m/>
    <m/>
    <n v="2"/>
    <x v="6"/>
    <n v="1"/>
    <n v="0"/>
    <n v="0"/>
  </r>
  <r>
    <s v="LD2362"/>
    <d v="2024-03-08T00:00:00"/>
    <x v="4"/>
    <s v="Affiliate Program"/>
    <s v="Mobile"/>
    <s v="Latin America"/>
    <s v="MQL"/>
    <m/>
    <m/>
    <m/>
    <n v="2"/>
    <x v="8"/>
    <n v="1"/>
    <n v="0"/>
    <n v="0"/>
  </r>
  <r>
    <s v="LD5360"/>
    <d v="2024-09-25T00:00:00"/>
    <x v="3"/>
    <s v="Monthly Newsletter"/>
    <s v="Desktop"/>
    <s v="Europe"/>
    <s v="MQL"/>
    <m/>
    <m/>
    <m/>
    <n v="2"/>
    <x v="9"/>
    <n v="1"/>
    <n v="0"/>
    <n v="0"/>
  </r>
  <r>
    <s v="LD2527"/>
    <d v="2024-04-17T00:00:00"/>
    <x v="5"/>
    <s v="Blog SEO"/>
    <s v="Desktop"/>
    <s v="North America"/>
    <s v="Lead"/>
    <m/>
    <m/>
    <m/>
    <n v="1"/>
    <x v="1"/>
    <n v="0"/>
    <n v="0"/>
    <n v="0"/>
  </r>
  <r>
    <s v="LD4065"/>
    <d v="2024-07-08T00:00:00"/>
    <x v="5"/>
    <s v="Blog SEO"/>
    <s v="Desktop"/>
    <s v="North America"/>
    <s v="MQL"/>
    <m/>
    <m/>
    <m/>
    <n v="2"/>
    <x v="0"/>
    <n v="1"/>
    <n v="0"/>
    <n v="0"/>
  </r>
  <r>
    <s v="LD5748"/>
    <d v="2024-10-17T00:00:00"/>
    <x v="1"/>
    <s v="Google Ads - Generic"/>
    <s v="Mobile"/>
    <s v="Europe"/>
    <s v="MQL"/>
    <m/>
    <m/>
    <m/>
    <n v="2"/>
    <x v="5"/>
    <n v="1"/>
    <n v="0"/>
    <n v="0"/>
  </r>
  <r>
    <s v="LD4871"/>
    <d v="2024-08-16T00:00:00"/>
    <x v="3"/>
    <s v="Monthly Newsletter"/>
    <s v="Mobile"/>
    <s v="North America"/>
    <s v="Lead"/>
    <m/>
    <m/>
    <m/>
    <n v="1"/>
    <x v="6"/>
    <n v="0"/>
    <n v="0"/>
    <n v="0"/>
  </r>
  <r>
    <s v="LD5878"/>
    <d v="2024-10-15T00:00:00"/>
    <x v="0"/>
    <s v="Instagram Ads"/>
    <s v="Mobile"/>
    <s v="North America"/>
    <s v="Lead"/>
    <m/>
    <m/>
    <m/>
    <n v="1"/>
    <x v="5"/>
    <n v="0"/>
    <n v="0"/>
    <n v="0"/>
  </r>
  <r>
    <s v="LD7452"/>
    <d v="2024-12-28T00:00:00"/>
    <x v="3"/>
    <s v="Promo Blast"/>
    <s v="Mobile"/>
    <s v="Asia Pacific"/>
    <s v="Lead"/>
    <m/>
    <m/>
    <m/>
    <n v="1"/>
    <x v="7"/>
    <n v="0"/>
    <n v="0"/>
    <n v="0"/>
  </r>
  <r>
    <s v="LD7377"/>
    <d v="2024-12-03T00:00:00"/>
    <x v="0"/>
    <s v="Instagram Ads"/>
    <s v="Mobile"/>
    <s v="North America"/>
    <s v="Lead"/>
    <m/>
    <m/>
    <m/>
    <n v="1"/>
    <x v="7"/>
    <n v="0"/>
    <n v="0"/>
    <n v="0"/>
  </r>
  <r>
    <s v="LD4870"/>
    <d v="2024-08-14T00:00:00"/>
    <x v="3"/>
    <s v="Promo Blast"/>
    <s v="Desktop"/>
    <s v="Europe"/>
    <s v="Lead"/>
    <m/>
    <m/>
    <m/>
    <n v="1"/>
    <x v="6"/>
    <n v="0"/>
    <n v="0"/>
    <n v="0"/>
  </r>
  <r>
    <s v="LD1946"/>
    <d v="2024-02-06T00:00:00"/>
    <x v="2"/>
    <s v="Direct / Type-in"/>
    <s v="Mobile"/>
    <s v="Europe"/>
    <s v="SQL"/>
    <m/>
    <m/>
    <m/>
    <n v="3"/>
    <x v="10"/>
    <n v="1"/>
    <n v="1"/>
    <n v="0"/>
  </r>
  <r>
    <s v="LD6334"/>
    <d v="2024-11-06T00:00:00"/>
    <x v="5"/>
    <s v="Landing Page SEO"/>
    <s v="Mobile"/>
    <s v="North America"/>
    <s v="Lead"/>
    <m/>
    <m/>
    <m/>
    <n v="1"/>
    <x v="2"/>
    <n v="0"/>
    <n v="0"/>
    <n v="0"/>
  </r>
  <r>
    <s v="LD3251"/>
    <d v="2024-05-01T00:00:00"/>
    <x v="0"/>
    <s v="LinkedIn Ads"/>
    <s v="Mobile"/>
    <s v="Europe"/>
    <s v="SQL"/>
    <m/>
    <m/>
    <m/>
    <n v="3"/>
    <x v="4"/>
    <n v="1"/>
    <n v="1"/>
    <n v="0"/>
  </r>
  <r>
    <s v="LD6020"/>
    <d v="2024-10-23T00:00:00"/>
    <x v="3"/>
    <s v="Promo Blast"/>
    <s v="Mobile"/>
    <s v="North America"/>
    <s v="MQL"/>
    <m/>
    <m/>
    <m/>
    <n v="2"/>
    <x v="5"/>
    <n v="1"/>
    <n v="0"/>
    <n v="0"/>
  </r>
  <r>
    <s v="LD6243"/>
    <d v="2024-10-01T00:00:00"/>
    <x v="2"/>
    <s v="Direct / Type-in"/>
    <s v="Mobile"/>
    <s v="North America"/>
    <s v="MQL"/>
    <m/>
    <m/>
    <m/>
    <n v="2"/>
    <x v="5"/>
    <n v="1"/>
    <n v="0"/>
    <n v="0"/>
  </r>
  <r>
    <s v="LD3813"/>
    <d v="2024-06-25T00:00:00"/>
    <x v="3"/>
    <s v="Monthly Newsletter"/>
    <s v="Mobile"/>
    <s v="Europe"/>
    <s v="Lead"/>
    <m/>
    <m/>
    <m/>
    <n v="1"/>
    <x v="11"/>
    <n v="0"/>
    <n v="0"/>
    <n v="0"/>
  </r>
  <r>
    <s v="LD3347"/>
    <d v="2024-05-16T00:00:00"/>
    <x v="3"/>
    <s v="Promo Blast"/>
    <s v="Mobile"/>
    <s v="Europe"/>
    <s v="Lead"/>
    <m/>
    <m/>
    <m/>
    <n v="1"/>
    <x v="4"/>
    <n v="0"/>
    <n v="0"/>
    <n v="0"/>
  </r>
  <r>
    <s v="LD1069"/>
    <d v="2024-01-17T00:00:00"/>
    <x v="5"/>
    <s v="Landing Page SEO"/>
    <s v="Mobile"/>
    <s v="North America"/>
    <s v="Lead"/>
    <m/>
    <m/>
    <m/>
    <n v="1"/>
    <x v="3"/>
    <n v="0"/>
    <n v="0"/>
    <n v="0"/>
  </r>
  <r>
    <s v="LD5966"/>
    <d v="2024-10-19T00:00:00"/>
    <x v="3"/>
    <s v="Promo Blast"/>
    <s v="Mobile"/>
    <s v="Asia Pacific"/>
    <s v="Lead"/>
    <m/>
    <m/>
    <m/>
    <n v="1"/>
    <x v="5"/>
    <n v="0"/>
    <n v="0"/>
    <n v="0"/>
  </r>
  <r>
    <s v="LD5816"/>
    <d v="2024-10-18T00:00:00"/>
    <x v="1"/>
    <s v="Google Ads - Generic"/>
    <s v="Mobile"/>
    <s v="Asia Pacific"/>
    <s v="MQL"/>
    <m/>
    <m/>
    <m/>
    <n v="2"/>
    <x v="5"/>
    <n v="1"/>
    <n v="0"/>
    <n v="0"/>
  </r>
  <r>
    <s v="LD2599"/>
    <d v="2024-04-26T00:00:00"/>
    <x v="1"/>
    <s v="Google Ads - Generic"/>
    <s v="Desktop"/>
    <s v="North America"/>
    <s v="Lead"/>
    <m/>
    <m/>
    <m/>
    <n v="1"/>
    <x v="1"/>
    <n v="0"/>
    <n v="0"/>
    <n v="0"/>
  </r>
  <r>
    <s v="LD5555"/>
    <d v="2024-09-25T00:00:00"/>
    <x v="2"/>
    <s v="Direct / Type-in"/>
    <s v="Mobile"/>
    <s v="Europe"/>
    <s v="Lead"/>
    <m/>
    <m/>
    <m/>
    <n v="1"/>
    <x v="9"/>
    <n v="0"/>
    <n v="0"/>
    <n v="0"/>
  </r>
  <r>
    <s v="LD6184"/>
    <d v="2024-10-11T00:00:00"/>
    <x v="4"/>
    <s v="Partner Program"/>
    <s v="Tablet"/>
    <s v="Europe"/>
    <s v="MQL"/>
    <m/>
    <m/>
    <m/>
    <n v="2"/>
    <x v="5"/>
    <n v="1"/>
    <n v="0"/>
    <n v="0"/>
  </r>
  <r>
    <s v="LD5394"/>
    <d v="2024-09-22T00:00:00"/>
    <x v="3"/>
    <s v="Monthly Newsletter"/>
    <s v="Mobile"/>
    <s v="Asia Pacific"/>
    <s v="Lead"/>
    <m/>
    <m/>
    <m/>
    <n v="1"/>
    <x v="9"/>
    <n v="0"/>
    <n v="0"/>
    <n v="0"/>
  </r>
  <r>
    <s v="LD2504"/>
    <d v="2024-04-07T00:00:00"/>
    <x v="5"/>
    <s v="Blog SEO"/>
    <s v="Mobile"/>
    <s v="North America"/>
    <s v="Lead"/>
    <m/>
    <m/>
    <m/>
    <n v="1"/>
    <x v="1"/>
    <n v="0"/>
    <n v="0"/>
    <n v="0"/>
  </r>
  <r>
    <s v="LD3670"/>
    <d v="2024-06-27T00:00:00"/>
    <x v="1"/>
    <s v="Google Ads - Brand"/>
    <s v="Desktop"/>
    <s v="North America"/>
    <s v="Lead"/>
    <m/>
    <m/>
    <m/>
    <n v="1"/>
    <x v="11"/>
    <n v="0"/>
    <n v="0"/>
    <n v="0"/>
  </r>
  <r>
    <s v="LD1151"/>
    <d v="2024-01-10T00:00:00"/>
    <x v="1"/>
    <s v="Google Ads - Generic"/>
    <s v="Mobile"/>
    <s v="Europe"/>
    <s v="Lead"/>
    <m/>
    <m/>
    <m/>
    <n v="1"/>
    <x v="3"/>
    <n v="0"/>
    <n v="0"/>
    <n v="0"/>
  </r>
  <r>
    <s v="LD7157"/>
    <d v="2024-12-08T00:00:00"/>
    <x v="5"/>
    <s v="Blog SEO"/>
    <s v="Desktop"/>
    <s v="Europe"/>
    <s v="MQL"/>
    <m/>
    <m/>
    <m/>
    <n v="2"/>
    <x v="7"/>
    <n v="1"/>
    <n v="0"/>
    <n v="0"/>
  </r>
  <r>
    <s v="LD3087"/>
    <d v="2024-05-03T00:00:00"/>
    <x v="5"/>
    <s v="Landing Page SEO"/>
    <s v="Desktop"/>
    <s v="North America"/>
    <s v="MQL"/>
    <m/>
    <m/>
    <m/>
    <n v="2"/>
    <x v="4"/>
    <n v="1"/>
    <n v="0"/>
    <n v="0"/>
  </r>
  <r>
    <s v="LD7180"/>
    <d v="2024-12-15T00:00:00"/>
    <x v="5"/>
    <s v="Landing Page SEO"/>
    <s v="Mobile"/>
    <s v="Latin America"/>
    <s v="SQL"/>
    <m/>
    <m/>
    <m/>
    <n v="3"/>
    <x v="7"/>
    <n v="1"/>
    <n v="1"/>
    <n v="0"/>
  </r>
  <r>
    <s v="LD3260"/>
    <d v="2024-05-05T00:00:00"/>
    <x v="0"/>
    <s v="LinkedIn Ads"/>
    <s v="Desktop"/>
    <s v="North America"/>
    <s v="Lead"/>
    <m/>
    <m/>
    <m/>
    <n v="1"/>
    <x v="4"/>
    <n v="0"/>
    <n v="0"/>
    <n v="0"/>
  </r>
  <r>
    <s v="LD5504"/>
    <d v="2024-09-10T00:00:00"/>
    <x v="4"/>
    <s v="Partner Program"/>
    <s v="Desktop"/>
    <s v="North America"/>
    <s v="MQL"/>
    <m/>
    <m/>
    <m/>
    <n v="2"/>
    <x v="9"/>
    <n v="1"/>
    <n v="0"/>
    <n v="0"/>
  </r>
  <r>
    <s v="LD4103"/>
    <d v="2024-07-15T00:00:00"/>
    <x v="5"/>
    <s v="Landing Page SEO"/>
    <s v="Mobile"/>
    <s v="North America"/>
    <s v="Customer"/>
    <n v="57"/>
    <s v="Basic"/>
    <n v="1064.57"/>
    <n v="4"/>
    <x v="0"/>
    <n v="1"/>
    <n v="1"/>
    <n v="1"/>
  </r>
  <r>
    <s v="LD6228"/>
    <d v="2024-10-14T00:00:00"/>
    <x v="4"/>
    <s v="Partner Program"/>
    <s v="Mobile"/>
    <s v="North America"/>
    <s v="MQL"/>
    <m/>
    <m/>
    <m/>
    <n v="2"/>
    <x v="5"/>
    <n v="1"/>
    <n v="0"/>
    <n v="0"/>
  </r>
  <r>
    <s v="LD6648"/>
    <d v="2024-11-20T00:00:00"/>
    <x v="0"/>
    <s v="LinkedIn Ads"/>
    <s v="Mobile"/>
    <s v="North America"/>
    <s v="SQL"/>
    <m/>
    <m/>
    <m/>
    <n v="3"/>
    <x v="2"/>
    <n v="1"/>
    <n v="1"/>
    <n v="0"/>
  </r>
  <r>
    <s v="LD1860"/>
    <d v="2024-02-23T00:00:00"/>
    <x v="4"/>
    <s v="Partner Program"/>
    <s v="Desktop"/>
    <s v="Asia Pacific"/>
    <s v="Customer"/>
    <n v="32"/>
    <s v="Pro"/>
    <n v="3662.88"/>
    <n v="4"/>
    <x v="10"/>
    <n v="1"/>
    <n v="1"/>
    <n v="1"/>
  </r>
  <r>
    <s v="LD5503"/>
    <d v="2024-09-11T00:00:00"/>
    <x v="4"/>
    <s v="Affiliate Program"/>
    <s v="Tablet"/>
    <s v="North America"/>
    <s v="Lead"/>
    <m/>
    <m/>
    <m/>
    <n v="1"/>
    <x v="9"/>
    <n v="0"/>
    <n v="0"/>
    <n v="0"/>
  </r>
  <r>
    <s v="LD7562"/>
    <d v="2024-12-15T00:00:00"/>
    <x v="3"/>
    <s v="Monthly Newsletter"/>
    <s v="Mobile"/>
    <s v="North America"/>
    <s v="MQL"/>
    <m/>
    <m/>
    <m/>
    <n v="2"/>
    <x v="7"/>
    <n v="1"/>
    <n v="0"/>
    <n v="0"/>
  </r>
  <r>
    <s v="LD6307"/>
    <d v="2024-10-28T00:00:00"/>
    <x v="2"/>
    <s v="Direct / Type-in"/>
    <s v="Desktop"/>
    <s v="Asia Pacific"/>
    <s v="Lead"/>
    <m/>
    <m/>
    <m/>
    <n v="1"/>
    <x v="5"/>
    <n v="0"/>
    <n v="0"/>
    <n v="0"/>
  </r>
  <r>
    <s v="LD3956"/>
    <d v="2024-06-03T00:00:00"/>
    <x v="4"/>
    <s v="Partner Program"/>
    <s v="Tablet"/>
    <s v="Europe"/>
    <s v="MQL"/>
    <m/>
    <m/>
    <m/>
    <n v="2"/>
    <x v="11"/>
    <n v="1"/>
    <n v="0"/>
    <n v="0"/>
  </r>
  <r>
    <s v="LD1367"/>
    <d v="2024-01-24T00:00:00"/>
    <x v="4"/>
    <s v="Partner Program"/>
    <s v="Desktop"/>
    <s v="Europe"/>
    <s v="MQL"/>
    <m/>
    <m/>
    <m/>
    <n v="2"/>
    <x v="3"/>
    <n v="1"/>
    <n v="0"/>
    <n v="0"/>
  </r>
  <r>
    <s v="LD2433"/>
    <d v="2024-03-14T00:00:00"/>
    <x v="2"/>
    <s v="Direct / Type-in"/>
    <s v="Mobile"/>
    <s v="North America"/>
    <s v="Lead"/>
    <m/>
    <m/>
    <m/>
    <n v="1"/>
    <x v="8"/>
    <n v="0"/>
    <n v="0"/>
    <n v="0"/>
  </r>
  <r>
    <s v="LD5744"/>
    <d v="2024-10-10T00:00:00"/>
    <x v="1"/>
    <s v="Google Ads - Generic"/>
    <s v="Mobile"/>
    <s v="North America"/>
    <s v="Lead"/>
    <m/>
    <m/>
    <m/>
    <n v="1"/>
    <x v="5"/>
    <n v="0"/>
    <n v="0"/>
    <n v="0"/>
  </r>
  <r>
    <s v="LD2780"/>
    <d v="2024-04-13T00:00:00"/>
    <x v="3"/>
    <s v="Monthly Newsletter"/>
    <s v="Tablet"/>
    <s v="Asia Pacific"/>
    <s v="Lead"/>
    <m/>
    <m/>
    <m/>
    <n v="1"/>
    <x v="1"/>
    <n v="0"/>
    <n v="0"/>
    <n v="0"/>
  </r>
  <r>
    <s v="LD5123"/>
    <d v="2024-09-12T00:00:00"/>
    <x v="5"/>
    <s v="Blog SEO"/>
    <s v="Desktop"/>
    <s v="Asia Pacific"/>
    <s v="MQL"/>
    <m/>
    <m/>
    <m/>
    <n v="2"/>
    <x v="9"/>
    <n v="1"/>
    <n v="0"/>
    <n v="0"/>
  </r>
  <r>
    <s v="LD4015"/>
    <d v="2024-06-12T00:00:00"/>
    <x v="2"/>
    <s v="Direct / Type-in"/>
    <s v="Desktop"/>
    <s v="North America"/>
    <s v="Lead"/>
    <m/>
    <m/>
    <m/>
    <n v="1"/>
    <x v="11"/>
    <n v="0"/>
    <n v="0"/>
    <n v="0"/>
  </r>
  <r>
    <s v="LD2819"/>
    <d v="2024-04-08T00:00:00"/>
    <x v="3"/>
    <s v="Monthly Newsletter"/>
    <s v="Mobile"/>
    <s v="Europe"/>
    <s v="Lead"/>
    <m/>
    <m/>
    <m/>
    <n v="1"/>
    <x v="1"/>
    <n v="0"/>
    <n v="0"/>
    <n v="0"/>
  </r>
  <r>
    <s v="LD5323"/>
    <d v="2024-09-05T00:00:00"/>
    <x v="3"/>
    <s v="Promo Blast"/>
    <s v="Desktop"/>
    <s v="North America"/>
    <s v="Lead"/>
    <m/>
    <m/>
    <m/>
    <n v="1"/>
    <x v="9"/>
    <n v="0"/>
    <n v="0"/>
    <n v="0"/>
  </r>
  <r>
    <s v="LD1842"/>
    <d v="2024-02-08T00:00:00"/>
    <x v="4"/>
    <s v="Partner Program"/>
    <s v="Desktop"/>
    <s v="North America"/>
    <s v="MQL"/>
    <m/>
    <m/>
    <m/>
    <n v="2"/>
    <x v="10"/>
    <n v="1"/>
    <n v="0"/>
    <n v="0"/>
  </r>
  <r>
    <s v="LD2190"/>
    <d v="2024-03-12T00:00:00"/>
    <x v="0"/>
    <s v="Instagram Ads"/>
    <s v="Mobile"/>
    <s v="Asia Pacific"/>
    <s v="Lead"/>
    <m/>
    <m/>
    <m/>
    <n v="1"/>
    <x v="8"/>
    <n v="0"/>
    <n v="0"/>
    <n v="0"/>
  </r>
  <r>
    <s v="LD1176"/>
    <d v="2024-01-27T00:00:00"/>
    <x v="1"/>
    <s v="Google Ads - Brand"/>
    <s v="Mobile"/>
    <s v="Asia Pacific"/>
    <s v="Lead"/>
    <m/>
    <m/>
    <m/>
    <n v="1"/>
    <x v="3"/>
    <n v="0"/>
    <n v="0"/>
    <n v="0"/>
  </r>
  <r>
    <s v="LD4410"/>
    <d v="2024-07-02T00:00:00"/>
    <x v="4"/>
    <s v="Partner Program"/>
    <s v="Desktop"/>
    <s v="North America"/>
    <s v="Lead"/>
    <m/>
    <m/>
    <m/>
    <n v="1"/>
    <x v="0"/>
    <n v="0"/>
    <n v="0"/>
    <n v="0"/>
  </r>
  <r>
    <s v="LD1618"/>
    <d v="2024-02-20T00:00:00"/>
    <x v="1"/>
    <s v="Google Ads - Brand"/>
    <s v="Mobile"/>
    <s v="Asia Pacific"/>
    <s v="Lead"/>
    <m/>
    <m/>
    <m/>
    <n v="1"/>
    <x v="10"/>
    <n v="0"/>
    <n v="0"/>
    <n v="0"/>
  </r>
  <r>
    <s v="LD3094"/>
    <d v="2024-05-09T00:00:00"/>
    <x v="5"/>
    <s v="Landing Page SEO"/>
    <s v="Desktop"/>
    <s v="North America"/>
    <s v="Lead"/>
    <m/>
    <m/>
    <m/>
    <n v="1"/>
    <x v="4"/>
    <n v="0"/>
    <n v="0"/>
    <n v="0"/>
  </r>
  <r>
    <s v="LD7684"/>
    <d v="2024-12-13T00:00:00"/>
    <x v="4"/>
    <s v="Partner Program"/>
    <s v="Mobile"/>
    <s v="Asia Pacific"/>
    <s v="MQL"/>
    <m/>
    <m/>
    <m/>
    <n v="2"/>
    <x v="7"/>
    <n v="1"/>
    <n v="0"/>
    <n v="0"/>
  </r>
  <r>
    <s v="LD6365"/>
    <d v="2024-11-19T00:00:00"/>
    <x v="5"/>
    <s v="Blog SEO"/>
    <s v="Mobile"/>
    <s v="Europe"/>
    <s v="SQL"/>
    <m/>
    <m/>
    <m/>
    <n v="3"/>
    <x v="2"/>
    <n v="1"/>
    <n v="1"/>
    <n v="0"/>
  </r>
  <r>
    <s v="LD7418"/>
    <d v="2024-12-21T00:00:00"/>
    <x v="0"/>
    <s v="LinkedIn Ads"/>
    <s v="Desktop"/>
    <s v="Europe"/>
    <s v="MQL"/>
    <m/>
    <m/>
    <m/>
    <n v="2"/>
    <x v="7"/>
    <n v="1"/>
    <n v="0"/>
    <n v="0"/>
  </r>
  <r>
    <s v="LD2031"/>
    <d v="2024-03-25T00:00:00"/>
    <x v="5"/>
    <s v="Landing Page SEO"/>
    <s v="Desktop"/>
    <s v="Europe"/>
    <s v="Lead"/>
    <m/>
    <m/>
    <m/>
    <n v="1"/>
    <x v="8"/>
    <n v="0"/>
    <n v="0"/>
    <n v="0"/>
  </r>
  <r>
    <s v="LD3922"/>
    <d v="2024-06-26T00:00:00"/>
    <x v="4"/>
    <s v="Affiliate Program"/>
    <s v="Mobile"/>
    <s v="North America"/>
    <s v="MQL"/>
    <m/>
    <m/>
    <m/>
    <n v="2"/>
    <x v="11"/>
    <n v="1"/>
    <n v="0"/>
    <n v="0"/>
  </r>
  <r>
    <s v="LD1301"/>
    <d v="2024-01-25T00:00:00"/>
    <x v="3"/>
    <s v="Monthly Newsletter"/>
    <s v="Mobile"/>
    <s v="North America"/>
    <s v="MQL"/>
    <m/>
    <m/>
    <m/>
    <n v="2"/>
    <x v="3"/>
    <n v="1"/>
    <n v="0"/>
    <n v="0"/>
  </r>
  <r>
    <s v="LD2473"/>
    <d v="2024-03-23T00:00:00"/>
    <x v="2"/>
    <s v="Direct / Type-in"/>
    <s v="Desktop"/>
    <s v="Europe"/>
    <s v="Lead"/>
    <m/>
    <m/>
    <m/>
    <n v="1"/>
    <x v="8"/>
    <n v="0"/>
    <n v="0"/>
    <n v="0"/>
  </r>
  <r>
    <s v="LD1284"/>
    <d v="2024-01-10T00:00:00"/>
    <x v="3"/>
    <s v="Promo Blast"/>
    <s v="Mobile"/>
    <s v="North America"/>
    <s v="Lead"/>
    <m/>
    <m/>
    <m/>
    <n v="1"/>
    <x v="3"/>
    <n v="0"/>
    <n v="0"/>
    <n v="0"/>
  </r>
  <r>
    <s v="LD3029"/>
    <d v="2024-05-28T00:00:00"/>
    <x v="5"/>
    <s v="Landing Page SEO"/>
    <s v="Desktop"/>
    <s v="North America"/>
    <s v="MQL"/>
    <m/>
    <m/>
    <m/>
    <n v="2"/>
    <x v="4"/>
    <n v="1"/>
    <n v="0"/>
    <n v="0"/>
  </r>
  <r>
    <s v="LD6990"/>
    <d v="2024-11-06T00:00:00"/>
    <x v="4"/>
    <s v="Affiliate Program"/>
    <s v="Mobile"/>
    <s v="Latin America"/>
    <s v="MQL"/>
    <m/>
    <m/>
    <m/>
    <n v="2"/>
    <x v="2"/>
    <n v="1"/>
    <n v="0"/>
    <n v="0"/>
  </r>
  <r>
    <s v="LD7303"/>
    <d v="2024-12-04T00:00:00"/>
    <x v="1"/>
    <s v="Google Ads - Generic"/>
    <s v="Desktop"/>
    <s v="Europe"/>
    <s v="Lead"/>
    <m/>
    <m/>
    <m/>
    <n v="1"/>
    <x v="7"/>
    <n v="0"/>
    <n v="0"/>
    <n v="0"/>
  </r>
  <r>
    <s v="LD6378"/>
    <d v="2024-11-09T00:00:00"/>
    <x v="5"/>
    <s v="Landing Page SEO"/>
    <s v="Desktop"/>
    <s v="North America"/>
    <s v="Lead"/>
    <m/>
    <m/>
    <m/>
    <n v="1"/>
    <x v="2"/>
    <n v="0"/>
    <n v="0"/>
    <n v="0"/>
  </r>
  <r>
    <s v="LD2814"/>
    <d v="2024-04-07T00:00:00"/>
    <x v="3"/>
    <s v="Promo Blast"/>
    <s v="Mobile"/>
    <s v="Europe"/>
    <s v="Customer"/>
    <n v="50"/>
    <s v="Basic"/>
    <n v="1358.66"/>
    <n v="4"/>
    <x v="1"/>
    <n v="1"/>
    <n v="1"/>
    <n v="1"/>
  </r>
  <r>
    <s v="LD2272"/>
    <d v="2024-03-17T00:00:00"/>
    <x v="3"/>
    <s v="Promo Blast"/>
    <s v="Mobile"/>
    <s v="North America"/>
    <s v="MQL"/>
    <m/>
    <m/>
    <m/>
    <n v="2"/>
    <x v="8"/>
    <n v="1"/>
    <n v="0"/>
    <n v="0"/>
  </r>
  <r>
    <s v="LD3511"/>
    <d v="2024-05-06T00:00:00"/>
    <x v="2"/>
    <s v="Direct / Type-in"/>
    <s v="Desktop"/>
    <s v="North America"/>
    <s v="MQL"/>
    <m/>
    <m/>
    <m/>
    <n v="2"/>
    <x v="4"/>
    <n v="1"/>
    <n v="0"/>
    <n v="0"/>
  </r>
  <r>
    <s v="LD5804"/>
    <d v="2024-10-11T00:00:00"/>
    <x v="1"/>
    <s v="Google Ads - Brand"/>
    <s v="Mobile"/>
    <s v="North America"/>
    <s v="Lead"/>
    <m/>
    <m/>
    <m/>
    <n v="1"/>
    <x v="5"/>
    <n v="0"/>
    <n v="0"/>
    <n v="0"/>
  </r>
  <r>
    <s v="LD4571"/>
    <d v="2024-08-09T00:00:00"/>
    <x v="5"/>
    <s v="Blog SEO"/>
    <s v="Desktop"/>
    <s v="Latin America"/>
    <s v="MQL"/>
    <m/>
    <m/>
    <m/>
    <n v="2"/>
    <x v="6"/>
    <n v="1"/>
    <n v="0"/>
    <n v="0"/>
  </r>
  <r>
    <s v="LD3314"/>
    <d v="2024-05-10T00:00:00"/>
    <x v="3"/>
    <s v="Promo Blast"/>
    <s v="Desktop"/>
    <s v="North America"/>
    <s v="SQL"/>
    <m/>
    <m/>
    <m/>
    <n v="3"/>
    <x v="4"/>
    <n v="1"/>
    <n v="1"/>
    <n v="0"/>
  </r>
  <r>
    <s v="LD3009"/>
    <d v="2024-04-08T00:00:00"/>
    <x v="2"/>
    <s v="Direct / Type-in"/>
    <s v="Desktop"/>
    <s v="Asia Pacific"/>
    <s v="Lead"/>
    <m/>
    <m/>
    <m/>
    <n v="1"/>
    <x v="1"/>
    <n v="0"/>
    <n v="0"/>
    <n v="0"/>
  </r>
  <r>
    <s v="LD5048"/>
    <d v="2024-09-24T00:00:00"/>
    <x v="5"/>
    <s v="Landing Page SEO"/>
    <s v="Mobile"/>
    <s v="North America"/>
    <s v="Lead"/>
    <m/>
    <m/>
    <m/>
    <n v="1"/>
    <x v="9"/>
    <n v="0"/>
    <n v="0"/>
    <n v="0"/>
  </r>
  <r>
    <s v="LD4283"/>
    <d v="2024-07-08T00:00:00"/>
    <x v="3"/>
    <s v="Promo Blast"/>
    <s v="Tablet"/>
    <s v="Asia Pacific"/>
    <s v="Lead"/>
    <m/>
    <m/>
    <m/>
    <n v="1"/>
    <x v="0"/>
    <n v="0"/>
    <n v="0"/>
    <n v="0"/>
  </r>
  <r>
    <s v="LD7178"/>
    <d v="2024-12-06T00:00:00"/>
    <x v="5"/>
    <s v="Landing Page SEO"/>
    <s v="Desktop"/>
    <s v="North America"/>
    <s v="Lead"/>
    <m/>
    <m/>
    <m/>
    <n v="1"/>
    <x v="7"/>
    <n v="0"/>
    <n v="0"/>
    <n v="0"/>
  </r>
  <r>
    <s v="LD7537"/>
    <d v="2024-12-10T00:00:00"/>
    <x v="3"/>
    <s v="Monthly Newsletter"/>
    <s v="Mobile"/>
    <s v="Europe"/>
    <s v="Lead"/>
    <m/>
    <m/>
    <m/>
    <n v="1"/>
    <x v="7"/>
    <n v="0"/>
    <n v="0"/>
    <n v="0"/>
  </r>
  <r>
    <s v="LD5900"/>
    <d v="2024-10-21T00:00:00"/>
    <x v="0"/>
    <s v="Facebook Ads"/>
    <s v="Tablet"/>
    <s v="North America"/>
    <s v="MQL"/>
    <m/>
    <m/>
    <m/>
    <n v="2"/>
    <x v="5"/>
    <n v="1"/>
    <n v="0"/>
    <n v="0"/>
  </r>
  <r>
    <s v="LD1100"/>
    <d v="2024-01-10T00:00:00"/>
    <x v="1"/>
    <s v="Google Ads - Generic"/>
    <s v="Desktop"/>
    <s v="Europe"/>
    <s v="MQL"/>
    <m/>
    <m/>
    <m/>
    <n v="2"/>
    <x v="3"/>
    <n v="1"/>
    <n v="0"/>
    <n v="0"/>
  </r>
  <r>
    <s v="LD4804"/>
    <d v="2024-08-19T00:00:00"/>
    <x v="3"/>
    <s v="Monthly Newsletter"/>
    <s v="Mobile"/>
    <s v="Europe"/>
    <s v="SQL"/>
    <m/>
    <m/>
    <m/>
    <n v="3"/>
    <x v="6"/>
    <n v="1"/>
    <n v="1"/>
    <n v="0"/>
  </r>
  <r>
    <s v="LD1745"/>
    <d v="2024-02-13T00:00:00"/>
    <x v="3"/>
    <s v="Monthly Newsletter"/>
    <s v="Desktop"/>
    <s v="Asia Pacific"/>
    <s v="SQL"/>
    <m/>
    <m/>
    <m/>
    <n v="3"/>
    <x v="10"/>
    <n v="1"/>
    <n v="1"/>
    <n v="0"/>
  </r>
  <r>
    <s v="LD7274"/>
    <d v="2024-12-27T00:00:00"/>
    <x v="1"/>
    <s v="Google Ads - Generic"/>
    <s v="Desktop"/>
    <s v="Asia Pacific"/>
    <s v="Lead"/>
    <m/>
    <m/>
    <m/>
    <n v="1"/>
    <x v="7"/>
    <n v="0"/>
    <n v="0"/>
    <n v="0"/>
  </r>
  <r>
    <s v="LD1481"/>
    <d v="2024-01-25T00:00:00"/>
    <x v="2"/>
    <s v="Direct / Type-in"/>
    <s v="Desktop"/>
    <s v="North America"/>
    <s v="Lead"/>
    <m/>
    <m/>
    <m/>
    <n v="1"/>
    <x v="3"/>
    <n v="0"/>
    <n v="0"/>
    <n v="0"/>
  </r>
  <r>
    <s v="LD5480"/>
    <d v="2024-09-27T00:00:00"/>
    <x v="4"/>
    <s v="Partner Program"/>
    <s v="Desktop"/>
    <s v="Europe"/>
    <s v="MQL"/>
    <m/>
    <m/>
    <m/>
    <n v="2"/>
    <x v="9"/>
    <n v="1"/>
    <n v="0"/>
    <n v="0"/>
  </r>
  <r>
    <s v="LD7590"/>
    <d v="2024-12-15T00:00:00"/>
    <x v="3"/>
    <s v="Monthly Newsletter"/>
    <s v="Desktop"/>
    <s v="Asia Pacific"/>
    <s v="Lead"/>
    <m/>
    <m/>
    <m/>
    <n v="1"/>
    <x v="7"/>
    <n v="0"/>
    <n v="0"/>
    <n v="0"/>
  </r>
  <r>
    <s v="LD5783"/>
    <d v="2024-10-28T00:00:00"/>
    <x v="1"/>
    <s v="Google Ads - Generic"/>
    <s v="Mobile"/>
    <s v="Europe"/>
    <s v="MQL"/>
    <m/>
    <m/>
    <m/>
    <n v="2"/>
    <x v="5"/>
    <n v="1"/>
    <n v="0"/>
    <n v="0"/>
  </r>
  <r>
    <s v="LD2158"/>
    <d v="2024-03-17T00:00:00"/>
    <x v="0"/>
    <s v="Instagram Ads"/>
    <s v="Desktop"/>
    <s v="North America"/>
    <s v="MQL"/>
    <m/>
    <m/>
    <m/>
    <n v="2"/>
    <x v="8"/>
    <n v="1"/>
    <n v="0"/>
    <n v="0"/>
  </r>
  <r>
    <s v="LD2438"/>
    <d v="2024-03-26T00:00:00"/>
    <x v="2"/>
    <s v="Direct / Type-in"/>
    <s v="Desktop"/>
    <s v="North America"/>
    <s v="Lead"/>
    <m/>
    <m/>
    <m/>
    <n v="1"/>
    <x v="8"/>
    <n v="0"/>
    <n v="0"/>
    <n v="0"/>
  </r>
  <r>
    <s v="LD3415"/>
    <d v="2024-05-28T00:00:00"/>
    <x v="3"/>
    <s v="Promo Blast"/>
    <s v="Mobile"/>
    <s v="Europe"/>
    <s v="Lead"/>
    <m/>
    <m/>
    <m/>
    <n v="1"/>
    <x v="4"/>
    <n v="0"/>
    <n v="0"/>
    <n v="0"/>
  </r>
  <r>
    <s v="LD4788"/>
    <d v="2024-08-11T00:00:00"/>
    <x v="3"/>
    <s v="Promo Blast"/>
    <s v="Mobile"/>
    <s v="Europe"/>
    <s v="Lead"/>
    <m/>
    <m/>
    <m/>
    <n v="1"/>
    <x v="6"/>
    <n v="0"/>
    <n v="0"/>
    <n v="0"/>
  </r>
  <r>
    <s v="LD1403"/>
    <d v="2024-01-15T00:00:00"/>
    <x v="4"/>
    <s v="Affiliate Program"/>
    <s v="Desktop"/>
    <s v="Europe"/>
    <s v="SQL"/>
    <m/>
    <m/>
    <m/>
    <n v="3"/>
    <x v="3"/>
    <n v="1"/>
    <n v="1"/>
    <n v="0"/>
  </r>
  <r>
    <s v="LD3196"/>
    <d v="2024-05-20T00:00:00"/>
    <x v="1"/>
    <s v="Google Ads - Generic"/>
    <s v="Desktop"/>
    <s v="North America"/>
    <s v="Lead"/>
    <m/>
    <m/>
    <m/>
    <n v="1"/>
    <x v="4"/>
    <n v="0"/>
    <n v="0"/>
    <n v="0"/>
  </r>
  <r>
    <s v="LD1950"/>
    <d v="2024-03-19T00:00:00"/>
    <x v="5"/>
    <s v="Landing Page SEO"/>
    <s v="Mobile"/>
    <s v="North America"/>
    <s v="Lead"/>
    <m/>
    <m/>
    <m/>
    <n v="1"/>
    <x v="8"/>
    <n v="0"/>
    <n v="0"/>
    <n v="0"/>
  </r>
  <r>
    <s v="LD3068"/>
    <d v="2024-05-06T00:00:00"/>
    <x v="5"/>
    <s v="Landing Page SEO"/>
    <s v="Tablet"/>
    <s v="Asia Pacific"/>
    <s v="SQL"/>
    <m/>
    <m/>
    <m/>
    <n v="3"/>
    <x v="4"/>
    <n v="1"/>
    <n v="1"/>
    <n v="0"/>
  </r>
  <r>
    <s v="LD3993"/>
    <d v="2024-06-19T00:00:00"/>
    <x v="2"/>
    <s v="Direct / Type-in"/>
    <s v="Desktop"/>
    <s v="North America"/>
    <s v="SQL"/>
    <m/>
    <m/>
    <m/>
    <n v="3"/>
    <x v="11"/>
    <n v="1"/>
    <n v="1"/>
    <n v="0"/>
  </r>
  <r>
    <s v="LD5739"/>
    <d v="2024-10-09T00:00:00"/>
    <x v="1"/>
    <s v="Google Ads - Generic"/>
    <s v="Tablet"/>
    <s v="North America"/>
    <s v="Lead"/>
    <m/>
    <m/>
    <m/>
    <n v="1"/>
    <x v="5"/>
    <n v="0"/>
    <n v="0"/>
    <n v="0"/>
  </r>
  <r>
    <s v="LD1669"/>
    <d v="2024-02-15T00:00:00"/>
    <x v="0"/>
    <s v="Facebook Ads"/>
    <s v="Mobile"/>
    <s v="Europe"/>
    <s v="Lead"/>
    <m/>
    <m/>
    <m/>
    <n v="1"/>
    <x v="10"/>
    <n v="0"/>
    <n v="0"/>
    <n v="0"/>
  </r>
  <r>
    <s v="LD1219"/>
    <d v="2024-01-09T00:00:00"/>
    <x v="0"/>
    <s v="Facebook Ads"/>
    <s v="Desktop"/>
    <s v="Europe"/>
    <s v="MQL"/>
    <m/>
    <m/>
    <m/>
    <n v="2"/>
    <x v="3"/>
    <n v="1"/>
    <n v="0"/>
    <n v="0"/>
  </r>
  <r>
    <s v="LD2963"/>
    <d v="2024-04-28T00:00:00"/>
    <x v="2"/>
    <s v="Direct / Type-in"/>
    <s v="Mobile"/>
    <s v="North America"/>
    <s v="Lead"/>
    <m/>
    <m/>
    <m/>
    <n v="1"/>
    <x v="1"/>
    <n v="0"/>
    <n v="0"/>
    <n v="0"/>
  </r>
  <r>
    <s v="LD3782"/>
    <d v="2024-06-21T00:00:00"/>
    <x v="0"/>
    <s v="Instagram Ads"/>
    <s v="Desktop"/>
    <s v="Asia Pacific"/>
    <s v="Lead"/>
    <m/>
    <m/>
    <m/>
    <n v="1"/>
    <x v="11"/>
    <n v="0"/>
    <n v="0"/>
    <n v="0"/>
  </r>
  <r>
    <s v="LD4253"/>
    <d v="2024-07-03T00:00:00"/>
    <x v="0"/>
    <s v="Instagram Ads"/>
    <s v="Mobile"/>
    <s v="Asia Pacific"/>
    <s v="MQL"/>
    <m/>
    <m/>
    <m/>
    <n v="2"/>
    <x v="0"/>
    <n v="1"/>
    <n v="0"/>
    <n v="0"/>
  </r>
  <r>
    <s v="LD3214"/>
    <d v="2024-05-22T00:00:00"/>
    <x v="0"/>
    <s v="Instagram Ads"/>
    <s v="Desktop"/>
    <s v="Latin America"/>
    <s v="MQL"/>
    <m/>
    <m/>
    <m/>
    <n v="2"/>
    <x v="4"/>
    <n v="1"/>
    <n v="0"/>
    <n v="0"/>
  </r>
  <r>
    <s v="LD7569"/>
    <d v="2024-12-21T00:00:00"/>
    <x v="3"/>
    <s v="Monthly Newsletter"/>
    <s v="Desktop"/>
    <s v="Europe"/>
    <s v="SQL"/>
    <m/>
    <m/>
    <m/>
    <n v="3"/>
    <x v="7"/>
    <n v="1"/>
    <n v="1"/>
    <n v="0"/>
  </r>
  <r>
    <s v="LD7731"/>
    <d v="2024-12-09T00:00:00"/>
    <x v="2"/>
    <s v="Direct / Type-in"/>
    <s v="Desktop"/>
    <s v="North America"/>
    <s v="MQL"/>
    <m/>
    <m/>
    <m/>
    <n v="2"/>
    <x v="7"/>
    <n v="1"/>
    <n v="0"/>
    <n v="0"/>
  </r>
  <r>
    <s v="LD5535"/>
    <d v="2024-09-09T00:00:00"/>
    <x v="4"/>
    <s v="Partner Program"/>
    <s v="Mobile"/>
    <s v="North America"/>
    <s v="MQL"/>
    <m/>
    <m/>
    <m/>
    <n v="2"/>
    <x v="9"/>
    <n v="1"/>
    <n v="0"/>
    <n v="0"/>
  </r>
  <r>
    <s v="LD5487"/>
    <d v="2024-09-04T00:00:00"/>
    <x v="4"/>
    <s v="Partner Program"/>
    <s v="Mobile"/>
    <s v="North America"/>
    <s v="MQL"/>
    <m/>
    <m/>
    <m/>
    <n v="2"/>
    <x v="9"/>
    <n v="1"/>
    <n v="0"/>
    <n v="0"/>
  </r>
  <r>
    <s v="LD3146"/>
    <d v="2024-05-27T00:00:00"/>
    <x v="1"/>
    <s v="Google Ads - Brand"/>
    <s v="Desktop"/>
    <s v="North America"/>
    <s v="Lead"/>
    <m/>
    <m/>
    <m/>
    <n v="1"/>
    <x v="4"/>
    <n v="0"/>
    <n v="0"/>
    <n v="0"/>
  </r>
  <r>
    <s v="LD1778"/>
    <d v="2024-02-05T00:00:00"/>
    <x v="3"/>
    <s v="Promo Blast"/>
    <s v="Mobile"/>
    <s v="North America"/>
    <s v="MQL"/>
    <m/>
    <m/>
    <m/>
    <n v="2"/>
    <x v="10"/>
    <n v="1"/>
    <n v="0"/>
    <n v="0"/>
  </r>
  <r>
    <s v="LD6141"/>
    <d v="2024-10-24T00:00:00"/>
    <x v="4"/>
    <s v="Affiliate Program"/>
    <s v="Mobile"/>
    <s v="Asia Pacific"/>
    <s v="Lead"/>
    <m/>
    <m/>
    <m/>
    <n v="1"/>
    <x v="5"/>
    <n v="0"/>
    <n v="0"/>
    <n v="0"/>
  </r>
  <r>
    <s v="LD4625"/>
    <d v="2024-08-13T00:00:00"/>
    <x v="1"/>
    <s v="Google Ads - Generic"/>
    <s v="Mobile"/>
    <s v="Asia Pacific"/>
    <s v="Lead"/>
    <m/>
    <m/>
    <m/>
    <n v="1"/>
    <x v="6"/>
    <n v="0"/>
    <n v="0"/>
    <n v="0"/>
  </r>
  <r>
    <s v="LD4609"/>
    <d v="2024-08-01T00:00:00"/>
    <x v="1"/>
    <s v="Google Ads - Brand"/>
    <s v="Mobile"/>
    <s v="Europe"/>
    <s v="Lead"/>
    <m/>
    <m/>
    <m/>
    <n v="1"/>
    <x v="6"/>
    <n v="0"/>
    <n v="0"/>
    <n v="0"/>
  </r>
  <r>
    <s v="LD5103"/>
    <d v="2024-09-18T00:00:00"/>
    <x v="5"/>
    <s v="Landing Page SEO"/>
    <s v="Mobile"/>
    <s v="North America"/>
    <s v="MQL"/>
    <m/>
    <m/>
    <m/>
    <n v="2"/>
    <x v="9"/>
    <n v="1"/>
    <n v="0"/>
    <n v="0"/>
  </r>
  <r>
    <s v="LD2492"/>
    <d v="2024-04-11T00:00:00"/>
    <x v="5"/>
    <s v="Blog SEO"/>
    <s v="Mobile"/>
    <s v="North America"/>
    <s v="MQL"/>
    <m/>
    <m/>
    <m/>
    <n v="2"/>
    <x v="1"/>
    <n v="1"/>
    <n v="0"/>
    <n v="0"/>
  </r>
  <r>
    <s v="LD3698"/>
    <d v="2024-06-03T00:00:00"/>
    <x v="1"/>
    <s v="Google Ads - Generic"/>
    <s v="Desktop"/>
    <s v="North America"/>
    <s v="MQL"/>
    <m/>
    <m/>
    <m/>
    <n v="2"/>
    <x v="11"/>
    <n v="1"/>
    <n v="0"/>
    <n v="0"/>
  </r>
  <r>
    <s v="LD6067"/>
    <d v="2024-10-25T00:00:00"/>
    <x v="3"/>
    <s v="Monthly Newsletter"/>
    <s v="Desktop"/>
    <s v="Asia Pacific"/>
    <s v="Lead"/>
    <m/>
    <m/>
    <m/>
    <n v="1"/>
    <x v="5"/>
    <n v="0"/>
    <n v="0"/>
    <n v="0"/>
  </r>
  <r>
    <s v="LD3577"/>
    <d v="2024-06-20T00:00:00"/>
    <x v="5"/>
    <s v="Blog SEO"/>
    <s v="Mobile"/>
    <s v="Asia Pacific"/>
    <s v="SQL"/>
    <m/>
    <m/>
    <m/>
    <n v="3"/>
    <x v="11"/>
    <n v="1"/>
    <n v="1"/>
    <n v="0"/>
  </r>
  <r>
    <s v="LD7734"/>
    <d v="2024-12-16T00:00:00"/>
    <x v="2"/>
    <s v="Direct / Type-in"/>
    <s v="Desktop"/>
    <s v="Europe"/>
    <s v="Lead"/>
    <m/>
    <m/>
    <m/>
    <n v="1"/>
    <x v="7"/>
    <n v="0"/>
    <n v="0"/>
    <n v="0"/>
  </r>
  <r>
    <s v="LD4707"/>
    <d v="2024-08-23T00:00:00"/>
    <x v="0"/>
    <s v="Facebook Ads"/>
    <s v="Mobile"/>
    <s v="North America"/>
    <s v="Lead"/>
    <m/>
    <m/>
    <m/>
    <n v="1"/>
    <x v="6"/>
    <n v="0"/>
    <n v="0"/>
    <n v="0"/>
  </r>
  <r>
    <s v="LD1518"/>
    <d v="2024-02-21T00:00:00"/>
    <x v="5"/>
    <s v="Blog SEO"/>
    <s v="Mobile"/>
    <s v="North America"/>
    <s v="Lead"/>
    <m/>
    <m/>
    <m/>
    <n v="1"/>
    <x v="10"/>
    <n v="0"/>
    <n v="0"/>
    <n v="0"/>
  </r>
  <r>
    <s v="LD6921"/>
    <d v="2024-11-04T00:00:00"/>
    <x v="4"/>
    <s v="Partner Program"/>
    <s v="Desktop"/>
    <s v="North America"/>
    <s v="MQL"/>
    <m/>
    <m/>
    <m/>
    <n v="2"/>
    <x v="2"/>
    <n v="1"/>
    <n v="0"/>
    <n v="0"/>
  </r>
  <r>
    <s v="LD6698"/>
    <d v="2024-11-17T00:00:00"/>
    <x v="3"/>
    <s v="Promo Blast"/>
    <s v="Mobile"/>
    <s v="North America"/>
    <s v="SQL"/>
    <m/>
    <m/>
    <m/>
    <n v="3"/>
    <x v="2"/>
    <n v="1"/>
    <n v="1"/>
    <n v="0"/>
  </r>
  <r>
    <s v="LD4535"/>
    <d v="2024-08-15T00:00:00"/>
    <x v="5"/>
    <s v="Blog SEO"/>
    <s v="Desktop"/>
    <s v="North America"/>
    <s v="Lead"/>
    <m/>
    <m/>
    <m/>
    <n v="1"/>
    <x v="6"/>
    <n v="0"/>
    <n v="0"/>
    <n v="0"/>
  </r>
  <r>
    <s v="LD5642"/>
    <d v="2024-10-19T00:00:00"/>
    <x v="5"/>
    <s v="Landing Page SEO"/>
    <s v="Desktop"/>
    <s v="Europe"/>
    <s v="Lead"/>
    <m/>
    <m/>
    <m/>
    <n v="1"/>
    <x v="5"/>
    <n v="0"/>
    <n v="0"/>
    <n v="0"/>
  </r>
  <r>
    <s v="LD7608"/>
    <d v="2024-12-24T00:00:00"/>
    <x v="4"/>
    <s v="Affiliate Program"/>
    <s v="Mobile"/>
    <s v="Asia Pacific"/>
    <s v="SQL"/>
    <m/>
    <m/>
    <m/>
    <n v="3"/>
    <x v="7"/>
    <n v="1"/>
    <n v="1"/>
    <n v="0"/>
  </r>
  <r>
    <s v="LD4092"/>
    <d v="2024-07-23T00:00:00"/>
    <x v="5"/>
    <s v="Landing Page SEO"/>
    <s v="Desktop"/>
    <s v="Europe"/>
    <s v="Lead"/>
    <m/>
    <m/>
    <m/>
    <n v="1"/>
    <x v="0"/>
    <n v="0"/>
    <n v="0"/>
    <n v="0"/>
  </r>
  <r>
    <s v="LD4432"/>
    <d v="2024-07-11T00:00:00"/>
    <x v="4"/>
    <s v="Partner Program"/>
    <s v="Desktop"/>
    <s v="Europe"/>
    <s v="MQL"/>
    <m/>
    <m/>
    <m/>
    <n v="2"/>
    <x v="0"/>
    <n v="1"/>
    <n v="0"/>
    <n v="0"/>
  </r>
  <r>
    <s v="LD1569"/>
    <d v="2024-02-22T00:00:00"/>
    <x v="1"/>
    <s v="Google Ads - Generic"/>
    <s v="Desktop"/>
    <s v="Asia Pacific"/>
    <s v="SQL"/>
    <m/>
    <m/>
    <m/>
    <n v="3"/>
    <x v="10"/>
    <n v="1"/>
    <n v="1"/>
    <n v="0"/>
  </r>
  <r>
    <s v="LD1361"/>
    <d v="2024-01-03T00:00:00"/>
    <x v="4"/>
    <s v="Affiliate Program"/>
    <s v="Desktop"/>
    <s v="North America"/>
    <s v="Lead"/>
    <m/>
    <m/>
    <m/>
    <n v="1"/>
    <x v="3"/>
    <n v="0"/>
    <n v="0"/>
    <n v="0"/>
  </r>
  <r>
    <s v="LD5408"/>
    <d v="2024-09-01T00:00:00"/>
    <x v="3"/>
    <s v="Promo Blast"/>
    <s v="Desktop"/>
    <s v="Europe"/>
    <s v="Lead"/>
    <m/>
    <m/>
    <m/>
    <n v="1"/>
    <x v="9"/>
    <n v="0"/>
    <n v="0"/>
    <n v="0"/>
  </r>
  <r>
    <s v="LD4009"/>
    <d v="2024-06-16T00:00:00"/>
    <x v="2"/>
    <s v="Direct / Type-in"/>
    <s v="Tablet"/>
    <s v="North America"/>
    <s v="Lead"/>
    <m/>
    <m/>
    <m/>
    <n v="1"/>
    <x v="11"/>
    <n v="0"/>
    <n v="0"/>
    <n v="0"/>
  </r>
  <r>
    <s v="LD3796"/>
    <d v="2024-06-06T00:00:00"/>
    <x v="3"/>
    <s v="Promo Blast"/>
    <s v="Desktop"/>
    <s v="Asia Pacific"/>
    <s v="SQL"/>
    <m/>
    <m/>
    <m/>
    <n v="3"/>
    <x v="11"/>
    <n v="1"/>
    <n v="1"/>
    <n v="0"/>
  </r>
  <r>
    <s v="LD1760"/>
    <d v="2024-02-15T00:00:00"/>
    <x v="3"/>
    <s v="Promo Blast"/>
    <s v="Mobile"/>
    <s v="Asia Pacific"/>
    <s v="SQL"/>
    <m/>
    <m/>
    <m/>
    <n v="3"/>
    <x v="10"/>
    <n v="1"/>
    <n v="1"/>
    <n v="0"/>
  </r>
  <r>
    <s v="LD4320"/>
    <d v="2024-07-26T00:00:00"/>
    <x v="3"/>
    <s v="Monthly Newsletter"/>
    <s v="Desktop"/>
    <s v="Europe"/>
    <s v="MQL"/>
    <m/>
    <m/>
    <m/>
    <n v="2"/>
    <x v="0"/>
    <n v="1"/>
    <n v="0"/>
    <n v="0"/>
  </r>
  <r>
    <s v="LD7419"/>
    <d v="2024-12-19T00:00:00"/>
    <x v="0"/>
    <s v="LinkedIn Ads"/>
    <s v="Desktop"/>
    <s v="Asia Pacific"/>
    <s v="Lead"/>
    <m/>
    <m/>
    <m/>
    <n v="1"/>
    <x v="7"/>
    <n v="0"/>
    <n v="0"/>
    <n v="0"/>
  </r>
  <r>
    <s v="LD6506"/>
    <d v="2024-11-11T00:00:00"/>
    <x v="1"/>
    <s v="Google Ads - Brand"/>
    <s v="Desktop"/>
    <s v="North America"/>
    <s v="MQL"/>
    <m/>
    <m/>
    <m/>
    <n v="2"/>
    <x v="2"/>
    <n v="1"/>
    <n v="0"/>
    <n v="0"/>
  </r>
  <r>
    <s v="LD5418"/>
    <d v="2024-09-10T00:00:00"/>
    <x v="3"/>
    <s v="Monthly Newsletter"/>
    <s v="Mobile"/>
    <s v="Europe"/>
    <s v="SQL"/>
    <m/>
    <m/>
    <m/>
    <n v="3"/>
    <x v="9"/>
    <n v="1"/>
    <n v="1"/>
    <n v="0"/>
  </r>
  <r>
    <s v="LD1215"/>
    <d v="2024-01-20T00:00:00"/>
    <x v="0"/>
    <s v="Instagram Ads"/>
    <s v="Desktop"/>
    <s v="Europe"/>
    <s v="MQL"/>
    <m/>
    <m/>
    <m/>
    <n v="2"/>
    <x v="3"/>
    <n v="1"/>
    <n v="0"/>
    <n v="0"/>
  </r>
  <r>
    <s v="LD5448"/>
    <d v="2024-09-20T00:00:00"/>
    <x v="3"/>
    <s v="Monthly Newsletter"/>
    <s v="Desktop"/>
    <s v="Europe"/>
    <s v="SQL"/>
    <m/>
    <m/>
    <m/>
    <n v="3"/>
    <x v="9"/>
    <n v="1"/>
    <n v="1"/>
    <n v="0"/>
  </r>
  <r>
    <s v="LD4544"/>
    <d v="2024-08-24T00:00:00"/>
    <x v="5"/>
    <s v="Landing Page SEO"/>
    <s v="Mobile"/>
    <s v="Europe"/>
    <s v="MQL"/>
    <m/>
    <m/>
    <m/>
    <n v="2"/>
    <x v="6"/>
    <n v="1"/>
    <n v="0"/>
    <n v="0"/>
  </r>
  <r>
    <s v="LD3891"/>
    <d v="2024-06-02T00:00:00"/>
    <x v="3"/>
    <s v="Monthly Newsletter"/>
    <s v="Desktop"/>
    <s v="North America"/>
    <s v="MQL"/>
    <m/>
    <m/>
    <m/>
    <n v="2"/>
    <x v="11"/>
    <n v="1"/>
    <n v="0"/>
    <n v="0"/>
  </r>
  <r>
    <s v="LD5099"/>
    <d v="2024-09-02T00:00:00"/>
    <x v="5"/>
    <s v="Landing Page SEO"/>
    <s v="Desktop"/>
    <s v="North America"/>
    <s v="MQL"/>
    <m/>
    <m/>
    <m/>
    <n v="2"/>
    <x v="9"/>
    <n v="1"/>
    <n v="0"/>
    <n v="0"/>
  </r>
  <r>
    <s v="LD6406"/>
    <d v="2024-11-20T00:00:00"/>
    <x v="5"/>
    <s v="Landing Page SEO"/>
    <s v="Mobile"/>
    <s v="Asia Pacific"/>
    <s v="SQL"/>
    <m/>
    <m/>
    <m/>
    <n v="3"/>
    <x v="2"/>
    <n v="1"/>
    <n v="1"/>
    <n v="0"/>
  </r>
  <r>
    <s v="LD5355"/>
    <d v="2024-09-18T00:00:00"/>
    <x v="3"/>
    <s v="Promo Blast"/>
    <s v="Tablet"/>
    <s v="Europe"/>
    <s v="MQL"/>
    <m/>
    <m/>
    <m/>
    <n v="2"/>
    <x v="9"/>
    <n v="1"/>
    <n v="0"/>
    <n v="0"/>
  </r>
  <r>
    <s v="LD3245"/>
    <d v="2024-05-07T00:00:00"/>
    <x v="0"/>
    <s v="LinkedIn Ads"/>
    <s v="Desktop"/>
    <s v="Europe"/>
    <s v="Lead"/>
    <m/>
    <m/>
    <m/>
    <n v="1"/>
    <x v="4"/>
    <n v="0"/>
    <n v="0"/>
    <n v="0"/>
  </r>
  <r>
    <s v="LD1726"/>
    <d v="2024-02-17T00:00:00"/>
    <x v="3"/>
    <s v="Monthly Newsletter"/>
    <s v="Desktop"/>
    <s v="North America"/>
    <s v="Customer"/>
    <n v="27"/>
    <s v="Basic"/>
    <n v="1217.3"/>
    <n v="4"/>
    <x v="10"/>
    <n v="1"/>
    <n v="1"/>
    <n v="1"/>
  </r>
  <r>
    <s v="LD4238"/>
    <d v="2024-07-25T00:00:00"/>
    <x v="0"/>
    <s v="Instagram Ads"/>
    <s v="Desktop"/>
    <s v="North America"/>
    <s v="Lead"/>
    <m/>
    <m/>
    <m/>
    <n v="1"/>
    <x v="0"/>
    <n v="0"/>
    <n v="0"/>
    <n v="0"/>
  </r>
  <r>
    <s v="LD1050"/>
    <d v="2024-01-01T00:00:00"/>
    <x v="5"/>
    <s v="Landing Page SEO"/>
    <s v="Tablet"/>
    <s v="North America"/>
    <s v="Lead"/>
    <m/>
    <m/>
    <m/>
    <n v="1"/>
    <x v="3"/>
    <n v="0"/>
    <n v="0"/>
    <n v="0"/>
  </r>
  <r>
    <s v="LD6311"/>
    <d v="2024-10-07T00:00:00"/>
    <x v="2"/>
    <s v="Direct / Type-in"/>
    <s v="Tablet"/>
    <s v="Europe"/>
    <s v="MQL"/>
    <m/>
    <m/>
    <m/>
    <n v="2"/>
    <x v="5"/>
    <n v="1"/>
    <n v="0"/>
    <n v="0"/>
  </r>
  <r>
    <s v="LD1888"/>
    <d v="2024-02-04T00:00:00"/>
    <x v="4"/>
    <s v="Partner Program"/>
    <s v="Mobile"/>
    <s v="Latin America"/>
    <s v="Lead"/>
    <m/>
    <m/>
    <m/>
    <n v="1"/>
    <x v="10"/>
    <n v="0"/>
    <n v="0"/>
    <n v="0"/>
  </r>
  <r>
    <s v="LD6933"/>
    <d v="2024-11-22T00:00:00"/>
    <x v="4"/>
    <s v="Partner Program"/>
    <s v="Desktop"/>
    <s v="Europe"/>
    <s v="Lead"/>
    <m/>
    <m/>
    <m/>
    <n v="1"/>
    <x v="2"/>
    <n v="0"/>
    <n v="0"/>
    <n v="0"/>
  </r>
  <r>
    <s v="LD5673"/>
    <d v="2024-10-16T00:00:00"/>
    <x v="5"/>
    <s v="Landing Page SEO"/>
    <s v="Tablet"/>
    <s v="Asia Pacific"/>
    <s v="MQL"/>
    <m/>
    <m/>
    <m/>
    <n v="2"/>
    <x v="5"/>
    <n v="1"/>
    <n v="0"/>
    <n v="0"/>
  </r>
  <r>
    <s v="LD1517"/>
    <d v="2024-02-08T00:00:00"/>
    <x v="5"/>
    <s v="Blog SEO"/>
    <s v="Desktop"/>
    <s v="North America"/>
    <s v="Lead"/>
    <m/>
    <m/>
    <m/>
    <n v="1"/>
    <x v="10"/>
    <n v="0"/>
    <n v="0"/>
    <n v="0"/>
  </r>
  <r>
    <s v="LD3772"/>
    <d v="2024-06-08T00:00:00"/>
    <x v="0"/>
    <s v="LinkedIn Ads"/>
    <s v="Mobile"/>
    <s v="North America"/>
    <s v="Lead"/>
    <m/>
    <m/>
    <m/>
    <n v="1"/>
    <x v="11"/>
    <n v="0"/>
    <n v="0"/>
    <n v="0"/>
  </r>
  <r>
    <s v="LD1140"/>
    <d v="2024-01-11T00:00:00"/>
    <x v="1"/>
    <s v="Google Ads - Generic"/>
    <s v="Desktop"/>
    <s v="Latin America"/>
    <s v="Lead"/>
    <m/>
    <m/>
    <m/>
    <n v="1"/>
    <x v="3"/>
    <n v="0"/>
    <n v="0"/>
    <n v="0"/>
  </r>
  <r>
    <s v="LD5551"/>
    <d v="2024-09-09T00:00:00"/>
    <x v="2"/>
    <s v="Direct / Type-in"/>
    <s v="Desktop"/>
    <s v="Asia Pacific"/>
    <s v="MQL"/>
    <m/>
    <m/>
    <m/>
    <n v="2"/>
    <x v="9"/>
    <n v="1"/>
    <n v="0"/>
    <n v="0"/>
  </r>
  <r>
    <s v="LD3877"/>
    <d v="2024-06-24T00:00:00"/>
    <x v="3"/>
    <s v="Promo Blast"/>
    <s v="Mobile"/>
    <s v="Europe"/>
    <s v="MQL"/>
    <m/>
    <m/>
    <m/>
    <n v="2"/>
    <x v="11"/>
    <n v="1"/>
    <n v="0"/>
    <n v="0"/>
  </r>
  <r>
    <s v="LD5484"/>
    <d v="2024-09-05T00:00:00"/>
    <x v="4"/>
    <s v="Affiliate Program"/>
    <s v="Mobile"/>
    <s v="Asia Pacific"/>
    <s v="MQL"/>
    <m/>
    <m/>
    <m/>
    <n v="2"/>
    <x v="9"/>
    <n v="1"/>
    <n v="0"/>
    <n v="0"/>
  </r>
  <r>
    <s v="LD4239"/>
    <d v="2024-07-05T00:00:00"/>
    <x v="0"/>
    <s v="Facebook Ads"/>
    <s v="Desktop"/>
    <s v="Latin America"/>
    <s v="MQL"/>
    <m/>
    <m/>
    <m/>
    <n v="2"/>
    <x v="0"/>
    <n v="1"/>
    <n v="0"/>
    <n v="0"/>
  </r>
  <r>
    <s v="LD1464"/>
    <d v="2024-01-05T00:00:00"/>
    <x v="2"/>
    <s v="Direct / Type-in"/>
    <s v="Desktop"/>
    <s v="Latin America"/>
    <s v="MQL"/>
    <m/>
    <m/>
    <m/>
    <n v="2"/>
    <x v="3"/>
    <n v="1"/>
    <n v="0"/>
    <n v="0"/>
  </r>
  <r>
    <s v="LD6752"/>
    <d v="2024-11-19T00:00:00"/>
    <x v="3"/>
    <s v="Monthly Newsletter"/>
    <s v="Mobile"/>
    <s v="Asia Pacific"/>
    <s v="MQL"/>
    <m/>
    <m/>
    <m/>
    <n v="2"/>
    <x v="2"/>
    <n v="1"/>
    <n v="0"/>
    <n v="0"/>
  </r>
  <r>
    <s v="LD6917"/>
    <d v="2024-11-14T00:00:00"/>
    <x v="4"/>
    <s v="Affiliate Program"/>
    <s v="Desktop"/>
    <s v="Latin America"/>
    <s v="Lead"/>
    <m/>
    <m/>
    <m/>
    <n v="1"/>
    <x v="2"/>
    <n v="0"/>
    <n v="0"/>
    <n v="0"/>
  </r>
  <r>
    <s v="LD1595"/>
    <d v="2024-02-08T00:00:00"/>
    <x v="1"/>
    <s v="Google Ads - Generic"/>
    <s v="Desktop"/>
    <s v="Asia Pacific"/>
    <s v="Lead"/>
    <m/>
    <m/>
    <m/>
    <n v="1"/>
    <x v="10"/>
    <n v="0"/>
    <n v="0"/>
    <n v="0"/>
  </r>
  <r>
    <s v="LD1451"/>
    <d v="2024-01-18T00:00:00"/>
    <x v="2"/>
    <s v="Direct / Type-in"/>
    <s v="Mobile"/>
    <s v="North America"/>
    <s v="Lead"/>
    <m/>
    <m/>
    <m/>
    <n v="1"/>
    <x v="3"/>
    <n v="0"/>
    <n v="0"/>
    <n v="0"/>
  </r>
  <r>
    <s v="LD4484"/>
    <d v="2024-07-28T00:00:00"/>
    <x v="2"/>
    <s v="Direct / Type-in"/>
    <s v="Tablet"/>
    <s v="Europe"/>
    <s v="Lead"/>
    <m/>
    <m/>
    <m/>
    <n v="1"/>
    <x v="0"/>
    <n v="0"/>
    <n v="0"/>
    <n v="0"/>
  </r>
  <r>
    <s v="LD5959"/>
    <d v="2024-10-09T00:00:00"/>
    <x v="3"/>
    <s v="Monthly Newsletter"/>
    <s v="Mobile"/>
    <s v="North America"/>
    <s v="Customer"/>
    <n v="40"/>
    <s v="Basic"/>
    <n v="1282.51"/>
    <n v="4"/>
    <x v="5"/>
    <n v="1"/>
    <n v="1"/>
    <n v="1"/>
  </r>
  <r>
    <s v="LD4541"/>
    <d v="2024-08-01T00:00:00"/>
    <x v="5"/>
    <s v="Blog SEO"/>
    <s v="Desktop"/>
    <s v="North America"/>
    <s v="Lead"/>
    <m/>
    <m/>
    <m/>
    <n v="1"/>
    <x v="6"/>
    <n v="0"/>
    <n v="0"/>
    <n v="0"/>
  </r>
  <r>
    <s v="LD1313"/>
    <d v="2024-01-28T00:00:00"/>
    <x v="3"/>
    <s v="Monthly Newsletter"/>
    <s v="Mobile"/>
    <s v="Latin America"/>
    <s v="Lead"/>
    <m/>
    <m/>
    <m/>
    <n v="1"/>
    <x v="3"/>
    <n v="0"/>
    <n v="0"/>
    <n v="0"/>
  </r>
  <r>
    <s v="LD3848"/>
    <d v="2024-06-06T00:00:00"/>
    <x v="3"/>
    <s v="Promo Blast"/>
    <s v="Desktop"/>
    <s v="Europe"/>
    <s v="Lead"/>
    <m/>
    <m/>
    <m/>
    <n v="1"/>
    <x v="11"/>
    <n v="0"/>
    <n v="0"/>
    <n v="0"/>
  </r>
  <r>
    <s v="LD5078"/>
    <d v="2024-09-05T00:00:00"/>
    <x v="5"/>
    <s v="Landing Page SEO"/>
    <s v="Mobile"/>
    <s v="Europe"/>
    <s v="MQL"/>
    <m/>
    <m/>
    <m/>
    <n v="2"/>
    <x v="9"/>
    <n v="1"/>
    <n v="0"/>
    <n v="0"/>
  </r>
  <r>
    <s v="LD5562"/>
    <d v="2024-09-25T00:00:00"/>
    <x v="2"/>
    <s v="Direct / Type-in"/>
    <s v="Mobile"/>
    <s v="North America"/>
    <s v="Lead"/>
    <m/>
    <m/>
    <m/>
    <n v="1"/>
    <x v="9"/>
    <n v="0"/>
    <n v="0"/>
    <n v="0"/>
  </r>
  <r>
    <s v="LD1452"/>
    <d v="2024-01-10T00:00:00"/>
    <x v="2"/>
    <s v="Direct / Type-in"/>
    <s v="Mobile"/>
    <s v="Latin America"/>
    <s v="Lead"/>
    <m/>
    <m/>
    <m/>
    <n v="1"/>
    <x v="3"/>
    <n v="0"/>
    <n v="0"/>
    <n v="0"/>
  </r>
  <r>
    <s v="LD6478"/>
    <d v="2024-11-25T00:00:00"/>
    <x v="1"/>
    <s v="Google Ads - Brand"/>
    <s v="Tablet"/>
    <s v="Asia Pacific"/>
    <s v="Lead"/>
    <m/>
    <m/>
    <m/>
    <n v="1"/>
    <x v="2"/>
    <n v="0"/>
    <n v="0"/>
    <n v="0"/>
  </r>
  <r>
    <s v="LD1891"/>
    <d v="2024-02-23T00:00:00"/>
    <x v="2"/>
    <s v="Direct / Type-in"/>
    <s v="Mobile"/>
    <s v="North America"/>
    <s v="MQL"/>
    <m/>
    <m/>
    <m/>
    <n v="2"/>
    <x v="10"/>
    <n v="1"/>
    <n v="0"/>
    <n v="0"/>
  </r>
  <r>
    <s v="LD7599"/>
    <d v="2024-12-08T00:00:00"/>
    <x v="3"/>
    <s v="Monthly Newsletter"/>
    <s v="Mobile"/>
    <s v="Europe"/>
    <s v="MQL"/>
    <m/>
    <m/>
    <m/>
    <n v="2"/>
    <x v="7"/>
    <n v="1"/>
    <n v="0"/>
    <n v="0"/>
  </r>
  <r>
    <s v="LD2507"/>
    <d v="2024-04-06T00:00:00"/>
    <x v="5"/>
    <s v="Blog SEO"/>
    <s v="Desktop"/>
    <s v="Europe"/>
    <s v="Customer"/>
    <n v="58"/>
    <s v="Basic"/>
    <n v="618.79999999999995"/>
    <n v="4"/>
    <x v="1"/>
    <n v="1"/>
    <n v="1"/>
    <n v="1"/>
  </r>
  <r>
    <s v="LD5675"/>
    <d v="2024-10-28T00:00:00"/>
    <x v="5"/>
    <s v="Landing Page SEO"/>
    <s v="Mobile"/>
    <s v="North America"/>
    <s v="Lead"/>
    <m/>
    <m/>
    <m/>
    <n v="1"/>
    <x v="5"/>
    <n v="0"/>
    <n v="0"/>
    <n v="0"/>
  </r>
  <r>
    <s v="LD7345"/>
    <d v="2024-12-05T00:00:00"/>
    <x v="0"/>
    <s v="Instagram Ads"/>
    <s v="Desktop"/>
    <s v="Europe"/>
    <s v="Lead"/>
    <m/>
    <m/>
    <m/>
    <n v="1"/>
    <x v="7"/>
    <n v="0"/>
    <n v="0"/>
    <n v="0"/>
  </r>
  <r>
    <s v="LD2000"/>
    <d v="2024-03-07T00:00:00"/>
    <x v="5"/>
    <s v="Blog SEO"/>
    <s v="Mobile"/>
    <s v="Europe"/>
    <s v="SQL"/>
    <m/>
    <m/>
    <m/>
    <n v="3"/>
    <x v="8"/>
    <n v="1"/>
    <n v="1"/>
    <n v="0"/>
  </r>
  <r>
    <s v="LD1390"/>
    <d v="2024-01-20T00:00:00"/>
    <x v="4"/>
    <s v="Affiliate Program"/>
    <s v="Mobile"/>
    <s v="North America"/>
    <s v="Customer"/>
    <n v="42"/>
    <s v="Basic"/>
    <n v="786.69"/>
    <n v="4"/>
    <x v="3"/>
    <n v="1"/>
    <n v="1"/>
    <n v="1"/>
  </r>
  <r>
    <s v="LD3331"/>
    <d v="2024-05-26T00:00:00"/>
    <x v="3"/>
    <s v="Monthly Newsletter"/>
    <s v="Desktop"/>
    <s v="Latin America"/>
    <s v="MQL"/>
    <m/>
    <m/>
    <m/>
    <n v="2"/>
    <x v="4"/>
    <n v="1"/>
    <n v="0"/>
    <n v="0"/>
  </r>
  <r>
    <s v="LD2477"/>
    <d v="2024-03-26T00:00:00"/>
    <x v="2"/>
    <s v="Direct / Type-in"/>
    <s v="Desktop"/>
    <s v="Latin America"/>
    <s v="Lead"/>
    <m/>
    <m/>
    <m/>
    <n v="1"/>
    <x v="8"/>
    <n v="0"/>
    <n v="0"/>
    <n v="0"/>
  </r>
  <r>
    <s v="LD3241"/>
    <d v="2024-05-18T00:00:00"/>
    <x v="0"/>
    <s v="LinkedIn Ads"/>
    <s v="Desktop"/>
    <s v="North America"/>
    <s v="Lead"/>
    <m/>
    <m/>
    <m/>
    <n v="1"/>
    <x v="4"/>
    <n v="0"/>
    <n v="0"/>
    <n v="0"/>
  </r>
  <r>
    <s v="LD7096"/>
    <d v="2024-12-12T00:00:00"/>
    <x v="5"/>
    <s v="Landing Page SEO"/>
    <s v="Tablet"/>
    <s v="North America"/>
    <s v="MQL"/>
    <m/>
    <m/>
    <m/>
    <n v="2"/>
    <x v="7"/>
    <n v="1"/>
    <n v="0"/>
    <n v="0"/>
  </r>
  <r>
    <s v="LD7104"/>
    <d v="2024-12-27T00:00:00"/>
    <x v="5"/>
    <s v="Blog SEO"/>
    <s v="Mobile"/>
    <s v="Europe"/>
    <s v="Customer"/>
    <n v="21"/>
    <s v="Basic"/>
    <n v="941.6"/>
    <n v="4"/>
    <x v="7"/>
    <n v="1"/>
    <n v="1"/>
    <n v="1"/>
  </r>
  <r>
    <s v="LD6660"/>
    <d v="2024-11-08T00:00:00"/>
    <x v="0"/>
    <s v="LinkedIn Ads"/>
    <s v="Mobile"/>
    <s v="North America"/>
    <s v="Customer"/>
    <n v="31"/>
    <s v="Pro"/>
    <n v="4546.1899999999996"/>
    <n v="4"/>
    <x v="2"/>
    <n v="1"/>
    <n v="1"/>
    <n v="1"/>
  </r>
  <r>
    <s v="LD6721"/>
    <d v="2024-11-26T00:00:00"/>
    <x v="3"/>
    <s v="Promo Blast"/>
    <s v="Desktop"/>
    <s v="North America"/>
    <s v="Lead"/>
    <m/>
    <m/>
    <m/>
    <n v="1"/>
    <x v="2"/>
    <n v="0"/>
    <n v="0"/>
    <n v="0"/>
  </r>
  <r>
    <s v="LD2924"/>
    <d v="2024-04-25T00:00:00"/>
    <x v="4"/>
    <s v="Affiliate Program"/>
    <s v="Desktop"/>
    <s v="North America"/>
    <s v="Customer"/>
    <n v="47"/>
    <s v="Pro"/>
    <n v="2716.53"/>
    <n v="4"/>
    <x v="1"/>
    <n v="1"/>
    <n v="1"/>
    <n v="1"/>
  </r>
  <r>
    <s v="LD1759"/>
    <d v="2024-02-13T00:00:00"/>
    <x v="3"/>
    <s v="Promo Blast"/>
    <s v="Mobile"/>
    <s v="Asia Pacific"/>
    <s v="Lead"/>
    <m/>
    <m/>
    <m/>
    <n v="1"/>
    <x v="10"/>
    <n v="0"/>
    <n v="0"/>
    <n v="0"/>
  </r>
  <r>
    <s v="LD4623"/>
    <d v="2024-08-24T00:00:00"/>
    <x v="1"/>
    <s v="Google Ads - Generic"/>
    <s v="Mobile"/>
    <s v="Asia Pacific"/>
    <s v="Lead"/>
    <m/>
    <m/>
    <m/>
    <n v="1"/>
    <x v="6"/>
    <n v="0"/>
    <n v="0"/>
    <n v="0"/>
  </r>
  <r>
    <s v="LD6935"/>
    <d v="2024-11-06T00:00:00"/>
    <x v="4"/>
    <s v="Affiliate Program"/>
    <s v="Desktop"/>
    <s v="North America"/>
    <s v="Lead"/>
    <m/>
    <m/>
    <m/>
    <n v="1"/>
    <x v="2"/>
    <n v="0"/>
    <n v="0"/>
    <n v="0"/>
  </r>
  <r>
    <s v="LD2294"/>
    <d v="2024-03-04T00:00:00"/>
    <x v="3"/>
    <s v="Monthly Newsletter"/>
    <s v="Desktop"/>
    <s v="North America"/>
    <s v="MQL"/>
    <m/>
    <m/>
    <m/>
    <n v="2"/>
    <x v="8"/>
    <n v="1"/>
    <n v="0"/>
    <n v="0"/>
  </r>
  <r>
    <s v="LD7075"/>
    <d v="2024-11-10T00:00:00"/>
    <x v="2"/>
    <s v="Direct / Type-in"/>
    <s v="Desktop"/>
    <s v="Latin America"/>
    <s v="Lead"/>
    <m/>
    <m/>
    <m/>
    <n v="1"/>
    <x v="2"/>
    <n v="0"/>
    <n v="0"/>
    <n v="0"/>
  </r>
  <r>
    <s v="LD7700"/>
    <d v="2024-12-12T00:00:00"/>
    <x v="4"/>
    <s v="Affiliate Program"/>
    <s v="Mobile"/>
    <s v="North America"/>
    <s v="SQL"/>
    <m/>
    <m/>
    <m/>
    <n v="3"/>
    <x v="7"/>
    <n v="1"/>
    <n v="1"/>
    <n v="0"/>
  </r>
  <r>
    <s v="LD4025"/>
    <d v="2024-06-12T00:00:00"/>
    <x v="2"/>
    <s v="Direct / Type-in"/>
    <s v="Mobile"/>
    <s v="North America"/>
    <s v="Lead"/>
    <m/>
    <m/>
    <m/>
    <n v="1"/>
    <x v="11"/>
    <n v="0"/>
    <n v="0"/>
    <n v="0"/>
  </r>
  <r>
    <s v="LD2908"/>
    <d v="2024-04-25T00:00:00"/>
    <x v="4"/>
    <s v="Partner Program"/>
    <s v="Mobile"/>
    <s v="Europe"/>
    <s v="SQL"/>
    <m/>
    <m/>
    <m/>
    <n v="3"/>
    <x v="1"/>
    <n v="1"/>
    <n v="1"/>
    <n v="0"/>
  </r>
  <r>
    <s v="LD5665"/>
    <d v="2024-10-27T00:00:00"/>
    <x v="5"/>
    <s v="Blog SEO"/>
    <s v="Desktop"/>
    <s v="Europe"/>
    <s v="Lead"/>
    <m/>
    <m/>
    <m/>
    <n v="1"/>
    <x v="5"/>
    <n v="0"/>
    <n v="0"/>
    <n v="0"/>
  </r>
  <r>
    <s v="LD5702"/>
    <d v="2024-10-19T00:00:00"/>
    <x v="5"/>
    <s v="Landing Page SEO"/>
    <s v="Desktop"/>
    <s v="Europe"/>
    <s v="Lead"/>
    <m/>
    <m/>
    <m/>
    <n v="1"/>
    <x v="5"/>
    <n v="0"/>
    <n v="0"/>
    <n v="0"/>
  </r>
  <r>
    <s v="LD1369"/>
    <d v="2024-01-23T00:00:00"/>
    <x v="4"/>
    <s v="Partner Program"/>
    <s v="Desktop"/>
    <s v="North America"/>
    <s v="SQL"/>
    <m/>
    <m/>
    <m/>
    <n v="3"/>
    <x v="3"/>
    <n v="1"/>
    <n v="1"/>
    <n v="0"/>
  </r>
  <r>
    <s v="LD2938"/>
    <d v="2024-04-09T00:00:00"/>
    <x v="4"/>
    <s v="Partner Program"/>
    <s v="Desktop"/>
    <s v="Europe"/>
    <s v="Lead"/>
    <m/>
    <m/>
    <m/>
    <n v="1"/>
    <x v="1"/>
    <n v="0"/>
    <n v="0"/>
    <n v="0"/>
  </r>
  <r>
    <s v="LD2152"/>
    <d v="2024-03-23T00:00:00"/>
    <x v="0"/>
    <s v="LinkedIn Ads"/>
    <s v="Desktop"/>
    <s v="Europe"/>
    <s v="Lead"/>
    <m/>
    <m/>
    <m/>
    <n v="1"/>
    <x v="8"/>
    <n v="0"/>
    <n v="0"/>
    <n v="0"/>
  </r>
  <r>
    <s v="LD5296"/>
    <d v="2024-09-12T00:00:00"/>
    <x v="0"/>
    <s v="Instagram Ads"/>
    <s v="Desktop"/>
    <s v="Latin America"/>
    <s v="MQL"/>
    <m/>
    <m/>
    <m/>
    <n v="2"/>
    <x v="9"/>
    <n v="1"/>
    <n v="0"/>
    <n v="0"/>
  </r>
  <r>
    <s v="LD5217"/>
    <d v="2024-09-18T00:00:00"/>
    <x v="1"/>
    <s v="Google Ads - Brand"/>
    <s v="Mobile"/>
    <s v="Europe"/>
    <s v="Lead"/>
    <m/>
    <m/>
    <m/>
    <n v="1"/>
    <x v="9"/>
    <n v="0"/>
    <n v="0"/>
    <n v="0"/>
  </r>
  <r>
    <s v="LD7674"/>
    <d v="2024-12-14T00:00:00"/>
    <x v="4"/>
    <s v="Affiliate Program"/>
    <s v="Mobile"/>
    <s v="North America"/>
    <s v="MQL"/>
    <m/>
    <m/>
    <m/>
    <n v="2"/>
    <x v="7"/>
    <n v="1"/>
    <n v="0"/>
    <n v="0"/>
  </r>
  <r>
    <s v="LD1192"/>
    <d v="2024-01-22T00:00:00"/>
    <x v="0"/>
    <s v="Instagram Ads"/>
    <s v="Desktop"/>
    <s v="Latin America"/>
    <s v="Lead"/>
    <m/>
    <m/>
    <m/>
    <n v="1"/>
    <x v="3"/>
    <n v="0"/>
    <n v="0"/>
    <n v="0"/>
  </r>
  <r>
    <s v="LD5308"/>
    <d v="2024-09-23T00:00:00"/>
    <x v="3"/>
    <s v="Promo Blast"/>
    <s v="Desktop"/>
    <s v="North America"/>
    <s v="Lead"/>
    <m/>
    <m/>
    <m/>
    <n v="1"/>
    <x v="9"/>
    <n v="0"/>
    <n v="0"/>
    <n v="0"/>
  </r>
  <r>
    <s v="LD4505"/>
    <d v="2024-08-23T00:00:00"/>
    <x v="5"/>
    <s v="Blog SEO"/>
    <s v="Desktop"/>
    <s v="North America"/>
    <s v="MQL"/>
    <m/>
    <m/>
    <m/>
    <n v="2"/>
    <x v="6"/>
    <n v="1"/>
    <n v="0"/>
    <n v="0"/>
  </r>
  <r>
    <s v="LD1175"/>
    <d v="2024-01-20T00:00:00"/>
    <x v="1"/>
    <s v="Google Ads - Generic"/>
    <s v="Mobile"/>
    <s v="Europe"/>
    <s v="Lead"/>
    <m/>
    <m/>
    <m/>
    <n v="1"/>
    <x v="3"/>
    <n v="0"/>
    <n v="0"/>
    <n v="0"/>
  </r>
  <r>
    <s v="LD6168"/>
    <d v="2024-10-06T00:00:00"/>
    <x v="4"/>
    <s v="Partner Program"/>
    <s v="Desktop"/>
    <s v="Latin America"/>
    <s v="MQL"/>
    <m/>
    <m/>
    <m/>
    <n v="2"/>
    <x v="5"/>
    <n v="1"/>
    <n v="0"/>
    <n v="0"/>
  </r>
  <r>
    <s v="LD2100"/>
    <d v="2024-03-17T00:00:00"/>
    <x v="1"/>
    <s v="Google Ads - Brand"/>
    <s v="Mobile"/>
    <s v="North America"/>
    <s v="MQL"/>
    <m/>
    <m/>
    <m/>
    <n v="2"/>
    <x v="8"/>
    <n v="1"/>
    <n v="0"/>
    <n v="0"/>
  </r>
  <r>
    <s v="LD5491"/>
    <d v="2024-09-11T00:00:00"/>
    <x v="4"/>
    <s v="Partner Program"/>
    <s v="Mobile"/>
    <s v="North America"/>
    <s v="Lead"/>
    <m/>
    <m/>
    <m/>
    <n v="1"/>
    <x v="9"/>
    <n v="0"/>
    <n v="0"/>
    <n v="0"/>
  </r>
  <r>
    <s v="LD3707"/>
    <d v="2024-06-28T00:00:00"/>
    <x v="1"/>
    <s v="Google Ads - Generic"/>
    <s v="Desktop"/>
    <s v="Latin America"/>
    <s v="Lead"/>
    <m/>
    <m/>
    <m/>
    <n v="1"/>
    <x v="11"/>
    <n v="0"/>
    <n v="0"/>
    <n v="0"/>
  </r>
  <r>
    <s v="LD3293"/>
    <d v="2024-05-07T00:00:00"/>
    <x v="0"/>
    <s v="Facebook Ads"/>
    <s v="Mobile"/>
    <s v="Europe"/>
    <s v="MQL"/>
    <m/>
    <m/>
    <m/>
    <n v="2"/>
    <x v="4"/>
    <n v="1"/>
    <n v="0"/>
    <n v="0"/>
  </r>
  <r>
    <s v="LD6906"/>
    <d v="2024-11-21T00:00:00"/>
    <x v="4"/>
    <s v="Affiliate Program"/>
    <s v="Mobile"/>
    <s v="North America"/>
    <s v="MQL"/>
    <m/>
    <m/>
    <m/>
    <n v="2"/>
    <x v="2"/>
    <n v="1"/>
    <n v="0"/>
    <n v="0"/>
  </r>
  <r>
    <s v="LD7601"/>
    <d v="2024-12-02T00:00:00"/>
    <x v="3"/>
    <s v="Monthly Newsletter"/>
    <s v="Desktop"/>
    <s v="North America"/>
    <s v="MQL"/>
    <m/>
    <m/>
    <m/>
    <n v="2"/>
    <x v="7"/>
    <n v="1"/>
    <n v="0"/>
    <n v="0"/>
  </r>
  <r>
    <s v="LD6860"/>
    <d v="2024-11-14T00:00:00"/>
    <x v="3"/>
    <s v="Monthly Newsletter"/>
    <s v="Mobile"/>
    <s v="Europe"/>
    <s v="Lead"/>
    <m/>
    <m/>
    <m/>
    <n v="1"/>
    <x v="2"/>
    <n v="0"/>
    <n v="0"/>
    <n v="0"/>
  </r>
  <r>
    <s v="LD4299"/>
    <d v="2024-07-01T00:00:00"/>
    <x v="3"/>
    <s v="Promo Blast"/>
    <s v="Tablet"/>
    <s v="North America"/>
    <s v="Customer"/>
    <n v="53"/>
    <s v="Pro"/>
    <n v="2162.0300000000002"/>
    <n v="4"/>
    <x v="0"/>
    <n v="1"/>
    <n v="1"/>
    <n v="1"/>
  </r>
  <r>
    <s v="LD2165"/>
    <d v="2024-03-14T00:00:00"/>
    <x v="0"/>
    <s v="Instagram Ads"/>
    <s v="Mobile"/>
    <s v="Asia Pacific"/>
    <s v="Lead"/>
    <m/>
    <m/>
    <m/>
    <n v="1"/>
    <x v="8"/>
    <n v="0"/>
    <n v="0"/>
    <n v="0"/>
  </r>
  <r>
    <s v="LD4483"/>
    <d v="2024-07-28T00:00:00"/>
    <x v="2"/>
    <s v="Direct / Type-in"/>
    <s v="Mobile"/>
    <s v="North America"/>
    <s v="Lead"/>
    <m/>
    <m/>
    <m/>
    <n v="1"/>
    <x v="0"/>
    <n v="0"/>
    <n v="0"/>
    <n v="0"/>
  </r>
  <r>
    <s v="LD4721"/>
    <d v="2024-08-14T00:00:00"/>
    <x v="0"/>
    <s v="Instagram Ads"/>
    <s v="Desktop"/>
    <s v="Europe"/>
    <s v="Lead"/>
    <m/>
    <m/>
    <m/>
    <n v="1"/>
    <x v="6"/>
    <n v="0"/>
    <n v="0"/>
    <n v="0"/>
  </r>
  <r>
    <s v="LD6500"/>
    <d v="2024-11-05T00:00:00"/>
    <x v="1"/>
    <s v="Google Ads - Generic"/>
    <s v="Desktop"/>
    <s v="North America"/>
    <s v="SQL"/>
    <m/>
    <m/>
    <m/>
    <n v="3"/>
    <x v="2"/>
    <n v="1"/>
    <n v="1"/>
    <n v="0"/>
  </r>
  <r>
    <s v="LD6051"/>
    <d v="2024-10-14T00:00:00"/>
    <x v="3"/>
    <s v="Monthly Newsletter"/>
    <s v="Mobile"/>
    <s v="North America"/>
    <s v="MQL"/>
    <m/>
    <m/>
    <m/>
    <n v="2"/>
    <x v="5"/>
    <n v="1"/>
    <n v="0"/>
    <n v="0"/>
  </r>
  <r>
    <s v="LD6083"/>
    <d v="2024-10-04T00:00:00"/>
    <x v="3"/>
    <s v="Monthly Newsletter"/>
    <s v="Tablet"/>
    <s v="North America"/>
    <s v="MQL"/>
    <m/>
    <m/>
    <m/>
    <n v="2"/>
    <x v="5"/>
    <n v="1"/>
    <n v="0"/>
    <n v="0"/>
  </r>
  <r>
    <s v="LD2662"/>
    <d v="2024-04-12T00:00:00"/>
    <x v="1"/>
    <s v="Google Ads - Generic"/>
    <s v="Desktop"/>
    <s v="Asia Pacific"/>
    <s v="Lead"/>
    <m/>
    <m/>
    <m/>
    <n v="1"/>
    <x v="1"/>
    <n v="0"/>
    <n v="0"/>
    <n v="0"/>
  </r>
  <r>
    <s v="LD1509"/>
    <d v="2024-02-26T00:00:00"/>
    <x v="5"/>
    <s v="Landing Page SEO"/>
    <s v="Mobile"/>
    <s v="Europe"/>
    <s v="Customer"/>
    <n v="32"/>
    <s v="Basic"/>
    <n v="1270.1500000000001"/>
    <n v="4"/>
    <x v="10"/>
    <n v="1"/>
    <n v="1"/>
    <n v="1"/>
  </r>
  <r>
    <s v="LD1167"/>
    <d v="2024-01-20T00:00:00"/>
    <x v="1"/>
    <s v="Google Ads - Brand"/>
    <s v="Desktop"/>
    <s v="Europe"/>
    <s v="MQL"/>
    <m/>
    <m/>
    <m/>
    <n v="2"/>
    <x v="3"/>
    <n v="1"/>
    <n v="0"/>
    <n v="0"/>
  </r>
  <r>
    <s v="LD4775"/>
    <d v="2024-08-19T00:00:00"/>
    <x v="3"/>
    <s v="Promo Blast"/>
    <s v="Mobile"/>
    <s v="Europe"/>
    <s v="Lead"/>
    <m/>
    <m/>
    <m/>
    <n v="1"/>
    <x v="6"/>
    <n v="0"/>
    <n v="0"/>
    <n v="0"/>
  </r>
  <r>
    <s v="LD5658"/>
    <d v="2024-10-23T00:00:00"/>
    <x v="5"/>
    <s v="Landing Page SEO"/>
    <s v="Tablet"/>
    <s v="North America"/>
    <s v="Lead"/>
    <m/>
    <m/>
    <m/>
    <n v="1"/>
    <x v="5"/>
    <n v="0"/>
    <n v="0"/>
    <n v="0"/>
  </r>
  <r>
    <s v="LD4133"/>
    <d v="2024-07-09T00:00:00"/>
    <x v="1"/>
    <s v="Google Ads - Brand"/>
    <s v="Mobile"/>
    <s v="North America"/>
    <s v="MQL"/>
    <m/>
    <m/>
    <m/>
    <n v="2"/>
    <x v="0"/>
    <n v="1"/>
    <n v="0"/>
    <n v="0"/>
  </r>
  <r>
    <s v="LD5569"/>
    <d v="2024-09-28T00:00:00"/>
    <x v="2"/>
    <s v="Direct / Type-in"/>
    <s v="Desktop"/>
    <s v="Europe"/>
    <s v="Lead"/>
    <m/>
    <m/>
    <m/>
    <n v="1"/>
    <x v="9"/>
    <n v="0"/>
    <n v="0"/>
    <n v="0"/>
  </r>
  <r>
    <s v="LD1104"/>
    <d v="2024-01-16T00:00:00"/>
    <x v="1"/>
    <s v="Google Ads - Brand"/>
    <s v="Desktop"/>
    <s v="North America"/>
    <s v="Lead"/>
    <m/>
    <m/>
    <m/>
    <n v="1"/>
    <x v="3"/>
    <n v="0"/>
    <n v="0"/>
    <n v="0"/>
  </r>
  <r>
    <s v="LD7393"/>
    <d v="2024-12-08T00:00:00"/>
    <x v="0"/>
    <s v="LinkedIn Ads"/>
    <s v="Mobile"/>
    <s v="Europe"/>
    <s v="Lead"/>
    <m/>
    <m/>
    <m/>
    <n v="1"/>
    <x v="7"/>
    <n v="0"/>
    <n v="0"/>
    <n v="0"/>
  </r>
  <r>
    <s v="LD5102"/>
    <d v="2024-09-23T00:00:00"/>
    <x v="5"/>
    <s v="Landing Page SEO"/>
    <s v="Desktop"/>
    <s v="Europe"/>
    <s v="Lead"/>
    <m/>
    <m/>
    <m/>
    <n v="1"/>
    <x v="9"/>
    <n v="0"/>
    <n v="0"/>
    <n v="0"/>
  </r>
  <r>
    <s v="LD4859"/>
    <d v="2024-08-13T00:00:00"/>
    <x v="3"/>
    <s v="Promo Blast"/>
    <s v="Desktop"/>
    <s v="Europe"/>
    <s v="Lead"/>
    <m/>
    <m/>
    <m/>
    <n v="1"/>
    <x v="6"/>
    <n v="0"/>
    <n v="0"/>
    <n v="0"/>
  </r>
  <r>
    <s v="LD4510"/>
    <d v="2024-08-01T00:00:00"/>
    <x v="5"/>
    <s v="Blog SEO"/>
    <s v="Desktop"/>
    <s v="Europe"/>
    <s v="SQL"/>
    <m/>
    <m/>
    <m/>
    <n v="3"/>
    <x v="6"/>
    <n v="1"/>
    <n v="1"/>
    <n v="0"/>
  </r>
  <r>
    <s v="LD5163"/>
    <d v="2024-09-07T00:00:00"/>
    <x v="1"/>
    <s v="Google Ads - Brand"/>
    <s v="Desktop"/>
    <s v="Asia Pacific"/>
    <s v="Lead"/>
    <m/>
    <m/>
    <m/>
    <n v="1"/>
    <x v="9"/>
    <n v="0"/>
    <n v="0"/>
    <n v="0"/>
  </r>
  <r>
    <s v="LD2753"/>
    <d v="2024-04-23T00:00:00"/>
    <x v="3"/>
    <s v="Monthly Newsletter"/>
    <s v="Desktop"/>
    <s v="Asia Pacific"/>
    <s v="MQL"/>
    <m/>
    <m/>
    <m/>
    <n v="2"/>
    <x v="1"/>
    <n v="1"/>
    <n v="0"/>
    <n v="0"/>
  </r>
  <r>
    <s v="LD7055"/>
    <d v="2024-11-11T00:00:00"/>
    <x v="2"/>
    <s v="Direct / Type-in"/>
    <s v="Mobile"/>
    <s v="North America"/>
    <s v="Lead"/>
    <m/>
    <m/>
    <m/>
    <n v="1"/>
    <x v="2"/>
    <n v="0"/>
    <n v="0"/>
    <n v="0"/>
  </r>
  <r>
    <s v="LD4506"/>
    <d v="2024-08-02T00:00:00"/>
    <x v="5"/>
    <s v="Blog SEO"/>
    <s v="Desktop"/>
    <s v="Europe"/>
    <s v="Customer"/>
    <n v="8"/>
    <s v="Basic"/>
    <n v="899.36"/>
    <n v="4"/>
    <x v="6"/>
    <n v="1"/>
    <n v="1"/>
    <n v="1"/>
  </r>
  <r>
    <s v="LD2659"/>
    <d v="2024-04-10T00:00:00"/>
    <x v="1"/>
    <s v="Google Ads - Brand"/>
    <s v="Desktop"/>
    <s v="Europe"/>
    <s v="Customer"/>
    <n v="53"/>
    <s v="Basic"/>
    <n v="571.13"/>
    <n v="4"/>
    <x v="1"/>
    <n v="1"/>
    <n v="1"/>
    <n v="1"/>
  </r>
  <r>
    <s v="LD1153"/>
    <d v="2024-01-13T00:00:00"/>
    <x v="1"/>
    <s v="Google Ads - Generic"/>
    <s v="Tablet"/>
    <s v="Asia Pacific"/>
    <s v="Lead"/>
    <m/>
    <m/>
    <m/>
    <n v="1"/>
    <x v="3"/>
    <n v="0"/>
    <n v="0"/>
    <n v="0"/>
  </r>
  <r>
    <s v="LD4348"/>
    <d v="2024-07-05T00:00:00"/>
    <x v="3"/>
    <s v="Monthly Newsletter"/>
    <s v="Desktop"/>
    <s v="Asia Pacific"/>
    <s v="SQL"/>
    <m/>
    <m/>
    <m/>
    <n v="3"/>
    <x v="0"/>
    <n v="1"/>
    <n v="1"/>
    <n v="0"/>
  </r>
  <r>
    <s v="LD3484"/>
    <d v="2024-05-14T00:00:00"/>
    <x v="4"/>
    <s v="Partner Program"/>
    <s v="Desktop"/>
    <s v="Europe"/>
    <s v="SQL"/>
    <m/>
    <m/>
    <m/>
    <n v="3"/>
    <x v="4"/>
    <n v="1"/>
    <n v="1"/>
    <n v="0"/>
  </r>
  <r>
    <s v="LD2584"/>
    <d v="2024-04-26T00:00:00"/>
    <x v="1"/>
    <s v="Google Ads - Brand"/>
    <s v="Desktop"/>
    <s v="North America"/>
    <s v="Lead"/>
    <m/>
    <m/>
    <m/>
    <n v="1"/>
    <x v="1"/>
    <n v="0"/>
    <n v="0"/>
    <n v="0"/>
  </r>
  <r>
    <s v="LD3553"/>
    <d v="2024-05-03T00:00:00"/>
    <x v="2"/>
    <s v="Direct / Type-in"/>
    <s v="Desktop"/>
    <s v="Europe"/>
    <s v="Lead"/>
    <m/>
    <m/>
    <m/>
    <n v="1"/>
    <x v="4"/>
    <n v="0"/>
    <n v="0"/>
    <n v="0"/>
  </r>
  <r>
    <s v="LD6467"/>
    <d v="2024-11-21T00:00:00"/>
    <x v="5"/>
    <s v="Blog SEO"/>
    <s v="Mobile"/>
    <s v="Latin America"/>
    <s v="Lead"/>
    <m/>
    <m/>
    <m/>
    <n v="1"/>
    <x v="2"/>
    <n v="0"/>
    <n v="0"/>
    <n v="0"/>
  </r>
  <r>
    <s v="LD4313"/>
    <d v="2024-07-20T00:00:00"/>
    <x v="3"/>
    <s v="Monthly Newsletter"/>
    <s v="Desktop"/>
    <s v="North America"/>
    <s v="MQL"/>
    <m/>
    <m/>
    <m/>
    <n v="2"/>
    <x v="0"/>
    <n v="1"/>
    <n v="0"/>
    <n v="0"/>
  </r>
  <r>
    <s v="LD6822"/>
    <d v="2024-11-10T00:00:00"/>
    <x v="3"/>
    <s v="Monthly Newsletter"/>
    <s v="Desktop"/>
    <s v="North America"/>
    <s v="Lead"/>
    <m/>
    <m/>
    <m/>
    <n v="1"/>
    <x v="2"/>
    <n v="0"/>
    <n v="0"/>
    <n v="0"/>
  </r>
  <r>
    <s v="LD4465"/>
    <d v="2024-07-26T00:00:00"/>
    <x v="2"/>
    <s v="Direct / Type-in"/>
    <s v="Desktop"/>
    <s v="Asia Pacific"/>
    <s v="MQL"/>
    <m/>
    <m/>
    <m/>
    <n v="2"/>
    <x v="0"/>
    <n v="1"/>
    <n v="0"/>
    <n v="0"/>
  </r>
  <r>
    <s v="LD3210"/>
    <d v="2024-05-15T00:00:00"/>
    <x v="1"/>
    <s v="Google Ads - Generic"/>
    <s v="Mobile"/>
    <s v="Europe"/>
    <s v="Lead"/>
    <m/>
    <m/>
    <m/>
    <n v="1"/>
    <x v="4"/>
    <n v="0"/>
    <n v="0"/>
    <n v="0"/>
  </r>
  <r>
    <s v="LD4419"/>
    <d v="2024-07-24T00:00:00"/>
    <x v="4"/>
    <s v="Affiliate Program"/>
    <s v="Desktop"/>
    <s v="North America"/>
    <s v="Lead"/>
    <m/>
    <m/>
    <m/>
    <n v="1"/>
    <x v="0"/>
    <n v="0"/>
    <n v="0"/>
    <n v="0"/>
  </r>
  <r>
    <s v="LD5052"/>
    <d v="2024-09-16T00:00:00"/>
    <x v="5"/>
    <s v="Landing Page SEO"/>
    <s v="Mobile"/>
    <s v="North America"/>
    <s v="MQL"/>
    <m/>
    <m/>
    <m/>
    <n v="2"/>
    <x v="9"/>
    <n v="1"/>
    <n v="0"/>
    <n v="0"/>
  </r>
  <r>
    <s v="LD2823"/>
    <d v="2024-04-15T00:00:00"/>
    <x v="3"/>
    <s v="Promo Blast"/>
    <s v="Mobile"/>
    <s v="Asia Pacific"/>
    <s v="Lead"/>
    <m/>
    <m/>
    <m/>
    <n v="1"/>
    <x v="1"/>
    <n v="0"/>
    <n v="0"/>
    <n v="0"/>
  </r>
  <r>
    <s v="LD6232"/>
    <d v="2024-10-27T00:00:00"/>
    <x v="2"/>
    <s v="Direct / Type-in"/>
    <s v="Desktop"/>
    <s v="North America"/>
    <s v="Lead"/>
    <m/>
    <m/>
    <m/>
    <n v="1"/>
    <x v="5"/>
    <n v="0"/>
    <n v="0"/>
    <n v="0"/>
  </r>
  <r>
    <s v="LD6649"/>
    <d v="2024-11-06T00:00:00"/>
    <x v="0"/>
    <s v="Facebook Ads"/>
    <s v="Desktop"/>
    <s v="Latin America"/>
    <s v="Lead"/>
    <m/>
    <m/>
    <m/>
    <n v="1"/>
    <x v="2"/>
    <n v="0"/>
    <n v="0"/>
    <n v="0"/>
  </r>
  <r>
    <s v="LD1310"/>
    <d v="2024-01-11T00:00:00"/>
    <x v="3"/>
    <s v="Monthly Newsletter"/>
    <s v="Desktop"/>
    <s v="Europe"/>
    <s v="Lead"/>
    <m/>
    <m/>
    <m/>
    <n v="1"/>
    <x v="3"/>
    <n v="0"/>
    <n v="0"/>
    <n v="0"/>
  </r>
  <r>
    <s v="LD1213"/>
    <d v="2024-01-18T00:00:00"/>
    <x v="0"/>
    <s v="Instagram Ads"/>
    <s v="Mobile"/>
    <s v="North America"/>
    <s v="Lead"/>
    <m/>
    <m/>
    <m/>
    <n v="1"/>
    <x v="3"/>
    <n v="0"/>
    <n v="0"/>
    <n v="0"/>
  </r>
  <r>
    <s v="LD6202"/>
    <d v="2024-10-06T00:00:00"/>
    <x v="4"/>
    <s v="Affiliate Program"/>
    <s v="Desktop"/>
    <s v="Latin America"/>
    <s v="Lead"/>
    <m/>
    <m/>
    <m/>
    <n v="1"/>
    <x v="5"/>
    <n v="0"/>
    <n v="0"/>
    <n v="0"/>
  </r>
  <r>
    <s v="LD5122"/>
    <d v="2024-09-01T00:00:00"/>
    <x v="5"/>
    <s v="Landing Page SEO"/>
    <s v="Mobile"/>
    <s v="Europe"/>
    <s v="Customer"/>
    <n v="20"/>
    <s v="Enterprise"/>
    <n v="6611.54"/>
    <n v="4"/>
    <x v="9"/>
    <n v="1"/>
    <n v="1"/>
    <n v="1"/>
  </r>
  <r>
    <s v="LD4327"/>
    <d v="2024-07-18T00:00:00"/>
    <x v="3"/>
    <s v="Promo Blast"/>
    <s v="Desktop"/>
    <s v="Europe"/>
    <s v="Lead"/>
    <m/>
    <m/>
    <m/>
    <n v="1"/>
    <x v="0"/>
    <n v="0"/>
    <n v="0"/>
    <n v="0"/>
  </r>
  <r>
    <s v="LD1496"/>
    <d v="2024-02-09T00:00:00"/>
    <x v="5"/>
    <s v="Blog SEO"/>
    <s v="Mobile"/>
    <s v="North America"/>
    <s v="Lead"/>
    <m/>
    <m/>
    <m/>
    <n v="1"/>
    <x v="10"/>
    <n v="0"/>
    <n v="0"/>
    <n v="0"/>
  </r>
  <r>
    <s v="LD1206"/>
    <d v="2024-01-19T00:00:00"/>
    <x v="0"/>
    <s v="LinkedIn Ads"/>
    <s v="Mobile"/>
    <s v="North America"/>
    <s v="Lead"/>
    <m/>
    <m/>
    <m/>
    <n v="1"/>
    <x v="3"/>
    <n v="0"/>
    <n v="0"/>
    <n v="0"/>
  </r>
  <r>
    <s v="LD2435"/>
    <d v="2024-03-08T00:00:00"/>
    <x v="2"/>
    <s v="Direct / Type-in"/>
    <s v="Mobile"/>
    <s v="North America"/>
    <s v="MQL"/>
    <m/>
    <m/>
    <m/>
    <n v="2"/>
    <x v="8"/>
    <n v="1"/>
    <n v="0"/>
    <n v="0"/>
  </r>
  <r>
    <s v="LD2136"/>
    <d v="2024-03-16T00:00:00"/>
    <x v="0"/>
    <s v="LinkedIn Ads"/>
    <s v="Desktop"/>
    <s v="North America"/>
    <s v="Lead"/>
    <m/>
    <m/>
    <m/>
    <n v="1"/>
    <x v="8"/>
    <n v="0"/>
    <n v="0"/>
    <n v="0"/>
  </r>
  <r>
    <s v="LD3585"/>
    <d v="2024-06-08T00:00:00"/>
    <x v="5"/>
    <s v="Landing Page SEO"/>
    <s v="Desktop"/>
    <s v="North America"/>
    <s v="Lead"/>
    <m/>
    <m/>
    <m/>
    <n v="1"/>
    <x v="11"/>
    <n v="0"/>
    <n v="0"/>
    <n v="0"/>
  </r>
  <r>
    <s v="LD1869"/>
    <d v="2024-02-22T00:00:00"/>
    <x v="4"/>
    <s v="Partner Program"/>
    <s v="Desktop"/>
    <s v="Europe"/>
    <s v="SQL"/>
    <m/>
    <m/>
    <m/>
    <n v="3"/>
    <x v="10"/>
    <n v="1"/>
    <n v="1"/>
    <n v="0"/>
  </r>
  <r>
    <s v="LD1306"/>
    <d v="2024-01-27T00:00:00"/>
    <x v="3"/>
    <s v="Monthly Newsletter"/>
    <s v="Mobile"/>
    <s v="North America"/>
    <s v="MQL"/>
    <m/>
    <m/>
    <m/>
    <n v="2"/>
    <x v="3"/>
    <n v="1"/>
    <n v="0"/>
    <n v="0"/>
  </r>
  <r>
    <s v="LD2850"/>
    <d v="2024-04-27T00:00:00"/>
    <x v="3"/>
    <s v="Monthly Newsletter"/>
    <s v="Desktop"/>
    <s v="North America"/>
    <s v="Customer"/>
    <n v="38"/>
    <s v="Enterprise"/>
    <n v="6945.74"/>
    <n v="4"/>
    <x v="1"/>
    <n v="1"/>
    <n v="1"/>
    <n v="1"/>
  </r>
  <r>
    <s v="LD3886"/>
    <d v="2024-06-04T00:00:00"/>
    <x v="3"/>
    <s v="Monthly Newsletter"/>
    <s v="Mobile"/>
    <s v="North America"/>
    <s v="Lead"/>
    <m/>
    <m/>
    <m/>
    <n v="1"/>
    <x v="11"/>
    <n v="0"/>
    <n v="0"/>
    <n v="0"/>
  </r>
  <r>
    <s v="LD2989"/>
    <d v="2024-04-06T00:00:00"/>
    <x v="2"/>
    <s v="Direct / Type-in"/>
    <s v="Desktop"/>
    <s v="Europe"/>
    <s v="MQL"/>
    <m/>
    <m/>
    <m/>
    <n v="2"/>
    <x v="1"/>
    <n v="1"/>
    <n v="0"/>
    <n v="0"/>
  </r>
  <r>
    <s v="LD6323"/>
    <d v="2024-11-26T00:00:00"/>
    <x v="5"/>
    <s v="Landing Page SEO"/>
    <s v="Mobile"/>
    <s v="North America"/>
    <s v="Lead"/>
    <m/>
    <m/>
    <m/>
    <n v="1"/>
    <x v="2"/>
    <n v="0"/>
    <n v="0"/>
    <n v="0"/>
  </r>
  <r>
    <s v="LD2535"/>
    <d v="2024-04-18T00:00:00"/>
    <x v="5"/>
    <s v="Landing Page SEO"/>
    <s v="Desktop"/>
    <s v="North America"/>
    <s v="MQL"/>
    <m/>
    <m/>
    <m/>
    <n v="2"/>
    <x v="1"/>
    <n v="1"/>
    <n v="0"/>
    <n v="0"/>
  </r>
  <r>
    <s v="LD1844"/>
    <d v="2024-02-23T00:00:00"/>
    <x v="4"/>
    <s v="Partner Program"/>
    <s v="Mobile"/>
    <s v="North America"/>
    <s v="Lead"/>
    <m/>
    <m/>
    <m/>
    <n v="1"/>
    <x v="10"/>
    <n v="0"/>
    <n v="0"/>
    <n v="0"/>
  </r>
  <r>
    <s v="LD2988"/>
    <d v="2024-04-24T00:00:00"/>
    <x v="2"/>
    <s v="Direct / Type-in"/>
    <s v="Desktop"/>
    <s v="North America"/>
    <s v="SQL"/>
    <m/>
    <m/>
    <m/>
    <n v="3"/>
    <x v="1"/>
    <n v="1"/>
    <n v="1"/>
    <n v="0"/>
  </r>
  <r>
    <s v="LD4830"/>
    <d v="2024-08-28T00:00:00"/>
    <x v="3"/>
    <s v="Promo Blast"/>
    <s v="Mobile"/>
    <s v="Asia Pacific"/>
    <s v="SQL"/>
    <m/>
    <m/>
    <m/>
    <n v="3"/>
    <x v="6"/>
    <n v="1"/>
    <n v="1"/>
    <n v="0"/>
  </r>
  <r>
    <s v="LD7692"/>
    <d v="2024-12-06T00:00:00"/>
    <x v="4"/>
    <s v="Affiliate Program"/>
    <s v="Mobile"/>
    <s v="Europe"/>
    <s v="Customer"/>
    <n v="53"/>
    <s v="Basic"/>
    <n v="1092.72"/>
    <n v="4"/>
    <x v="7"/>
    <n v="1"/>
    <n v="1"/>
    <n v="1"/>
  </r>
  <r>
    <s v="LD7039"/>
    <d v="2024-11-14T00:00:00"/>
    <x v="2"/>
    <s v="Direct / Type-in"/>
    <s v="Desktop"/>
    <s v="North America"/>
    <s v="Lead"/>
    <m/>
    <m/>
    <m/>
    <n v="1"/>
    <x v="2"/>
    <n v="0"/>
    <n v="0"/>
    <n v="0"/>
  </r>
  <r>
    <s v="LD1384"/>
    <d v="2024-01-24T00:00:00"/>
    <x v="4"/>
    <s v="Affiliate Program"/>
    <s v="Desktop"/>
    <s v="North America"/>
    <s v="MQL"/>
    <m/>
    <m/>
    <m/>
    <n v="2"/>
    <x v="3"/>
    <n v="1"/>
    <n v="0"/>
    <n v="0"/>
  </r>
  <r>
    <s v="LD2539"/>
    <d v="2024-04-17T00:00:00"/>
    <x v="5"/>
    <s v="Landing Page SEO"/>
    <s v="Desktop"/>
    <s v="North America"/>
    <s v="Lead"/>
    <m/>
    <m/>
    <m/>
    <n v="1"/>
    <x v="1"/>
    <n v="0"/>
    <n v="0"/>
    <n v="0"/>
  </r>
  <r>
    <s v="LD1212"/>
    <d v="2024-01-24T00:00:00"/>
    <x v="0"/>
    <s v="LinkedIn Ads"/>
    <s v="Desktop"/>
    <s v="North America"/>
    <s v="MQL"/>
    <m/>
    <m/>
    <m/>
    <n v="2"/>
    <x v="3"/>
    <n v="1"/>
    <n v="0"/>
    <n v="0"/>
  </r>
  <r>
    <s v="LD2958"/>
    <d v="2024-04-11T00:00:00"/>
    <x v="2"/>
    <s v="Direct / Type-in"/>
    <s v="Desktop"/>
    <s v="Europe"/>
    <s v="Lead"/>
    <m/>
    <m/>
    <m/>
    <n v="1"/>
    <x v="1"/>
    <n v="0"/>
    <n v="0"/>
    <n v="0"/>
  </r>
  <r>
    <s v="LD6842"/>
    <d v="2024-11-17T00:00:00"/>
    <x v="3"/>
    <s v="Promo Blast"/>
    <s v="Desktop"/>
    <s v="Europe"/>
    <s v="MQL"/>
    <m/>
    <m/>
    <m/>
    <n v="2"/>
    <x v="2"/>
    <n v="1"/>
    <n v="0"/>
    <n v="0"/>
  </r>
  <r>
    <s v="LD5051"/>
    <d v="2024-09-24T00:00:00"/>
    <x v="5"/>
    <s v="Landing Page SEO"/>
    <s v="Tablet"/>
    <s v="Europe"/>
    <s v="Lead"/>
    <m/>
    <m/>
    <m/>
    <n v="1"/>
    <x v="9"/>
    <n v="0"/>
    <n v="0"/>
    <n v="0"/>
  </r>
  <r>
    <s v="LD4951"/>
    <d v="2024-08-14T00:00:00"/>
    <x v="4"/>
    <s v="Affiliate Program"/>
    <s v="Desktop"/>
    <s v="Europe"/>
    <s v="Customer"/>
    <n v="52"/>
    <s v="Pro"/>
    <n v="2732.23"/>
    <n v="4"/>
    <x v="6"/>
    <n v="1"/>
    <n v="1"/>
    <n v="1"/>
  </r>
  <r>
    <s v="LD4502"/>
    <d v="2024-08-01T00:00:00"/>
    <x v="5"/>
    <s v="Landing Page SEO"/>
    <s v="Desktop"/>
    <s v="North America"/>
    <s v="MQL"/>
    <m/>
    <m/>
    <m/>
    <n v="2"/>
    <x v="6"/>
    <n v="1"/>
    <n v="0"/>
    <n v="0"/>
  </r>
  <r>
    <s v="LD2350"/>
    <d v="2024-03-26T00:00:00"/>
    <x v="4"/>
    <s v="Partner Program"/>
    <s v="Desktop"/>
    <s v="Europe"/>
    <s v="MQL"/>
    <m/>
    <m/>
    <m/>
    <n v="2"/>
    <x v="8"/>
    <n v="1"/>
    <n v="0"/>
    <n v="0"/>
  </r>
  <r>
    <s v="LD5240"/>
    <d v="2024-09-05T00:00:00"/>
    <x v="0"/>
    <s v="Instagram Ads"/>
    <s v="Desktop"/>
    <s v="North America"/>
    <s v="MQL"/>
    <m/>
    <m/>
    <m/>
    <n v="2"/>
    <x v="9"/>
    <n v="1"/>
    <n v="0"/>
    <n v="0"/>
  </r>
  <r>
    <s v="LD5166"/>
    <d v="2024-09-02T00:00:00"/>
    <x v="1"/>
    <s v="Google Ads - Brand"/>
    <s v="Desktop"/>
    <s v="North America"/>
    <s v="Lead"/>
    <m/>
    <m/>
    <m/>
    <n v="1"/>
    <x v="9"/>
    <n v="0"/>
    <n v="0"/>
    <n v="0"/>
  </r>
  <r>
    <s v="LD7254"/>
    <d v="2024-12-06T00:00:00"/>
    <x v="1"/>
    <s v="Google Ads - Brand"/>
    <s v="Mobile"/>
    <s v="Europe"/>
    <s v="Lead"/>
    <m/>
    <m/>
    <m/>
    <n v="1"/>
    <x v="7"/>
    <n v="0"/>
    <n v="0"/>
    <n v="0"/>
  </r>
  <r>
    <s v="LD1681"/>
    <d v="2024-02-03T00:00:00"/>
    <x v="0"/>
    <s v="LinkedIn Ads"/>
    <s v="Desktop"/>
    <s v="North America"/>
    <s v="SQL"/>
    <m/>
    <m/>
    <m/>
    <n v="3"/>
    <x v="10"/>
    <n v="1"/>
    <n v="1"/>
    <n v="0"/>
  </r>
  <r>
    <s v="LD1181"/>
    <d v="2024-01-05T00:00:00"/>
    <x v="0"/>
    <s v="Facebook Ads"/>
    <s v="Mobile"/>
    <s v="Europe"/>
    <s v="Lead"/>
    <m/>
    <m/>
    <m/>
    <n v="1"/>
    <x v="3"/>
    <n v="0"/>
    <n v="0"/>
    <n v="0"/>
  </r>
  <r>
    <s v="LD7459"/>
    <d v="2024-12-16T00:00:00"/>
    <x v="3"/>
    <s v="Promo Blast"/>
    <s v="Mobile"/>
    <s v="Europe"/>
    <s v="SQL"/>
    <m/>
    <m/>
    <m/>
    <n v="3"/>
    <x v="7"/>
    <n v="1"/>
    <n v="1"/>
    <n v="0"/>
  </r>
  <r>
    <s v="LD6564"/>
    <d v="2024-11-07T00:00:00"/>
    <x v="1"/>
    <s v="Google Ads - Brand"/>
    <s v="Desktop"/>
    <s v="Asia Pacific"/>
    <s v="MQL"/>
    <m/>
    <m/>
    <m/>
    <n v="2"/>
    <x v="2"/>
    <n v="1"/>
    <n v="0"/>
    <n v="0"/>
  </r>
  <r>
    <s v="LD7265"/>
    <d v="2024-12-01T00:00:00"/>
    <x v="1"/>
    <s v="Google Ads - Generic"/>
    <s v="Desktop"/>
    <s v="North America"/>
    <s v="Lead"/>
    <m/>
    <m/>
    <m/>
    <n v="1"/>
    <x v="7"/>
    <n v="0"/>
    <n v="0"/>
    <n v="0"/>
  </r>
  <r>
    <s v="LD1279"/>
    <d v="2024-01-07T00:00:00"/>
    <x v="3"/>
    <s v="Promo Blast"/>
    <s v="Desktop"/>
    <s v="Asia Pacific"/>
    <s v="Lead"/>
    <m/>
    <m/>
    <m/>
    <n v="1"/>
    <x v="3"/>
    <n v="0"/>
    <n v="0"/>
    <n v="0"/>
  </r>
  <r>
    <s v="LD4117"/>
    <d v="2024-07-12T00:00:00"/>
    <x v="5"/>
    <s v="Blog SEO"/>
    <s v="Mobile"/>
    <s v="Europe"/>
    <s v="Lead"/>
    <m/>
    <m/>
    <m/>
    <n v="1"/>
    <x v="0"/>
    <n v="0"/>
    <n v="0"/>
    <n v="0"/>
  </r>
  <r>
    <s v="LD4045"/>
    <d v="2024-07-07T00:00:00"/>
    <x v="5"/>
    <s v="Blog SEO"/>
    <s v="Desktop"/>
    <s v="North America"/>
    <s v="Customer"/>
    <n v="7"/>
    <s v="Basic"/>
    <n v="1191.6600000000001"/>
    <n v="4"/>
    <x v="0"/>
    <n v="1"/>
    <n v="1"/>
    <n v="1"/>
  </r>
  <r>
    <s v="LD3481"/>
    <d v="2024-05-17T00:00:00"/>
    <x v="4"/>
    <s v="Affiliate Program"/>
    <s v="Desktop"/>
    <s v="North America"/>
    <s v="MQL"/>
    <m/>
    <m/>
    <m/>
    <n v="2"/>
    <x v="4"/>
    <n v="1"/>
    <n v="0"/>
    <n v="0"/>
  </r>
  <r>
    <s v="LD1290"/>
    <d v="2024-01-22T00:00:00"/>
    <x v="3"/>
    <s v="Promo Blast"/>
    <s v="Tablet"/>
    <s v="North America"/>
    <s v="Lead"/>
    <m/>
    <m/>
    <m/>
    <n v="1"/>
    <x v="3"/>
    <n v="0"/>
    <n v="0"/>
    <n v="0"/>
  </r>
  <r>
    <s v="LD7144"/>
    <d v="2024-12-16T00:00:00"/>
    <x v="5"/>
    <s v="Blog SEO"/>
    <s v="Mobile"/>
    <s v="North America"/>
    <s v="Lead"/>
    <m/>
    <m/>
    <m/>
    <n v="1"/>
    <x v="7"/>
    <n v="0"/>
    <n v="0"/>
    <n v="0"/>
  </r>
  <r>
    <s v="LD6092"/>
    <d v="2024-10-12T00:00:00"/>
    <x v="3"/>
    <s v="Monthly Newsletter"/>
    <s v="Desktop"/>
    <s v="Europe"/>
    <s v="Lead"/>
    <m/>
    <m/>
    <m/>
    <n v="1"/>
    <x v="5"/>
    <n v="0"/>
    <n v="0"/>
    <n v="0"/>
  </r>
  <r>
    <s v="LD1994"/>
    <d v="2024-03-04T00:00:00"/>
    <x v="5"/>
    <s v="Blog SEO"/>
    <s v="Mobile"/>
    <s v="North America"/>
    <s v="Lead"/>
    <m/>
    <m/>
    <m/>
    <n v="1"/>
    <x v="8"/>
    <n v="0"/>
    <n v="0"/>
    <n v="0"/>
  </r>
  <r>
    <s v="LD3237"/>
    <d v="2024-05-26T00:00:00"/>
    <x v="0"/>
    <s v="LinkedIn Ads"/>
    <s v="Mobile"/>
    <s v="Europe"/>
    <s v="MQL"/>
    <m/>
    <m/>
    <m/>
    <n v="2"/>
    <x v="4"/>
    <n v="1"/>
    <n v="0"/>
    <n v="0"/>
  </r>
  <r>
    <s v="LD5579"/>
    <d v="2024-09-23T00:00:00"/>
    <x v="2"/>
    <s v="Direct / Type-in"/>
    <s v="Desktop"/>
    <s v="Asia Pacific"/>
    <s v="Lead"/>
    <m/>
    <m/>
    <m/>
    <n v="1"/>
    <x v="9"/>
    <n v="0"/>
    <n v="0"/>
    <n v="0"/>
  </r>
  <r>
    <s v="LD4967"/>
    <d v="2024-08-12T00:00:00"/>
    <x v="2"/>
    <s v="Direct / Type-in"/>
    <s v="Mobile"/>
    <s v="Europe"/>
    <s v="Lead"/>
    <m/>
    <m/>
    <m/>
    <n v="1"/>
    <x v="6"/>
    <n v="0"/>
    <n v="0"/>
    <n v="0"/>
  </r>
  <r>
    <s v="LD5784"/>
    <d v="2024-10-27T00:00:00"/>
    <x v="1"/>
    <s v="Google Ads - Brand"/>
    <s v="Desktop"/>
    <s v="North America"/>
    <s v="Lead"/>
    <m/>
    <m/>
    <m/>
    <n v="1"/>
    <x v="5"/>
    <n v="0"/>
    <n v="0"/>
    <n v="0"/>
  </r>
  <r>
    <s v="LD6436"/>
    <d v="2024-11-13T00:00:00"/>
    <x v="5"/>
    <s v="Landing Page SEO"/>
    <s v="Mobile"/>
    <s v="Europe"/>
    <s v="MQL"/>
    <m/>
    <m/>
    <m/>
    <n v="2"/>
    <x v="2"/>
    <n v="1"/>
    <n v="0"/>
    <n v="0"/>
  </r>
  <r>
    <s v="LD7184"/>
    <d v="2024-12-03T00:00:00"/>
    <x v="5"/>
    <s v="Landing Page SEO"/>
    <s v="Mobile"/>
    <s v="North America"/>
    <s v="SQL"/>
    <m/>
    <m/>
    <m/>
    <n v="3"/>
    <x v="7"/>
    <n v="1"/>
    <n v="1"/>
    <n v="0"/>
  </r>
  <r>
    <s v="LD1271"/>
    <d v="2024-01-21T00:00:00"/>
    <x v="3"/>
    <s v="Monthly Newsletter"/>
    <s v="Mobile"/>
    <s v="North America"/>
    <s v="SQL"/>
    <m/>
    <m/>
    <m/>
    <n v="3"/>
    <x v="3"/>
    <n v="1"/>
    <n v="1"/>
    <n v="0"/>
  </r>
  <r>
    <s v="LD4167"/>
    <d v="2024-07-13T00:00:00"/>
    <x v="1"/>
    <s v="Google Ads - Brand"/>
    <s v="Mobile"/>
    <s v="North America"/>
    <s v="Lead"/>
    <m/>
    <m/>
    <m/>
    <n v="1"/>
    <x v="0"/>
    <n v="0"/>
    <n v="0"/>
    <n v="0"/>
  </r>
  <r>
    <s v="LD6545"/>
    <d v="2024-11-11T00:00:00"/>
    <x v="1"/>
    <s v="Google Ads - Generic"/>
    <s v="Mobile"/>
    <s v="Asia Pacific"/>
    <s v="Lead"/>
    <m/>
    <m/>
    <m/>
    <n v="1"/>
    <x v="2"/>
    <n v="0"/>
    <n v="0"/>
    <n v="0"/>
  </r>
  <r>
    <s v="LD3893"/>
    <d v="2024-06-19T00:00:00"/>
    <x v="3"/>
    <s v="Monthly Newsletter"/>
    <s v="Desktop"/>
    <s v="North America"/>
    <s v="MQL"/>
    <m/>
    <m/>
    <m/>
    <n v="2"/>
    <x v="11"/>
    <n v="1"/>
    <n v="0"/>
    <n v="0"/>
  </r>
  <r>
    <s v="LD7042"/>
    <d v="2024-11-17T00:00:00"/>
    <x v="2"/>
    <s v="Direct / Type-in"/>
    <s v="Desktop"/>
    <s v="North America"/>
    <s v="MQL"/>
    <m/>
    <m/>
    <m/>
    <n v="2"/>
    <x v="2"/>
    <n v="1"/>
    <n v="0"/>
    <n v="0"/>
  </r>
  <r>
    <s v="LD1112"/>
    <d v="2024-01-26T00:00:00"/>
    <x v="1"/>
    <s v="Google Ads - Brand"/>
    <s v="Desktop"/>
    <s v="North America"/>
    <s v="Lead"/>
    <m/>
    <m/>
    <m/>
    <n v="1"/>
    <x v="3"/>
    <n v="0"/>
    <n v="0"/>
    <n v="0"/>
  </r>
  <r>
    <s v="LD2392"/>
    <d v="2024-03-05T00:00:00"/>
    <x v="4"/>
    <s v="Partner Program"/>
    <s v="Tablet"/>
    <s v="Latin America"/>
    <s v="MQL"/>
    <m/>
    <m/>
    <m/>
    <n v="2"/>
    <x v="8"/>
    <n v="1"/>
    <n v="0"/>
    <n v="0"/>
  </r>
  <r>
    <s v="LD3601"/>
    <d v="2024-06-12T00:00:00"/>
    <x v="5"/>
    <s v="Landing Page SEO"/>
    <s v="Desktop"/>
    <s v="Asia Pacific"/>
    <s v="Lead"/>
    <m/>
    <m/>
    <m/>
    <n v="1"/>
    <x v="11"/>
    <n v="0"/>
    <n v="0"/>
    <n v="0"/>
  </r>
  <r>
    <s v="LD1221"/>
    <d v="2024-01-05T00:00:00"/>
    <x v="0"/>
    <s v="LinkedIn Ads"/>
    <s v="Mobile"/>
    <s v="North America"/>
    <s v="Lead"/>
    <m/>
    <m/>
    <m/>
    <n v="1"/>
    <x v="3"/>
    <n v="0"/>
    <n v="0"/>
    <n v="0"/>
  </r>
  <r>
    <s v="LD5036"/>
    <d v="2024-09-12T00:00:00"/>
    <x v="5"/>
    <s v="Landing Page SEO"/>
    <s v="Desktop"/>
    <s v="Europe"/>
    <s v="Lead"/>
    <m/>
    <m/>
    <m/>
    <n v="1"/>
    <x v="9"/>
    <n v="0"/>
    <n v="0"/>
    <n v="0"/>
  </r>
  <r>
    <s v="LD5120"/>
    <d v="2024-09-17T00:00:00"/>
    <x v="5"/>
    <s v="Blog SEO"/>
    <s v="Tablet"/>
    <s v="North America"/>
    <s v="Lead"/>
    <m/>
    <m/>
    <m/>
    <n v="1"/>
    <x v="9"/>
    <n v="0"/>
    <n v="0"/>
    <n v="0"/>
  </r>
  <r>
    <s v="LD1084"/>
    <d v="2024-01-09T00:00:00"/>
    <x v="5"/>
    <s v="Landing Page SEO"/>
    <s v="Mobile"/>
    <s v="North America"/>
    <s v="Customer"/>
    <n v="47"/>
    <s v="Pro"/>
    <n v="1782.02"/>
    <n v="4"/>
    <x v="3"/>
    <n v="1"/>
    <n v="1"/>
    <n v="1"/>
  </r>
  <r>
    <s v="LD1874"/>
    <d v="2024-02-24T00:00:00"/>
    <x v="4"/>
    <s v="Affiliate Program"/>
    <s v="Desktop"/>
    <s v="North America"/>
    <s v="SQL"/>
    <m/>
    <m/>
    <m/>
    <n v="3"/>
    <x v="10"/>
    <n v="1"/>
    <n v="1"/>
    <n v="0"/>
  </r>
  <r>
    <s v="LD5229"/>
    <d v="2024-09-07T00:00:00"/>
    <x v="0"/>
    <s v="Facebook Ads"/>
    <s v="Tablet"/>
    <s v="Asia Pacific"/>
    <s v="Lead"/>
    <m/>
    <m/>
    <m/>
    <n v="1"/>
    <x v="9"/>
    <n v="0"/>
    <n v="0"/>
    <n v="0"/>
  </r>
  <r>
    <s v="LD1462"/>
    <d v="2024-01-02T00:00:00"/>
    <x v="2"/>
    <s v="Direct / Type-in"/>
    <s v="Mobile"/>
    <s v="Asia Pacific"/>
    <s v="MQL"/>
    <m/>
    <m/>
    <m/>
    <n v="2"/>
    <x v="3"/>
    <n v="1"/>
    <n v="0"/>
    <n v="0"/>
  </r>
  <r>
    <s v="LD7653"/>
    <d v="2024-12-28T00:00:00"/>
    <x v="4"/>
    <s v="Partner Program"/>
    <s v="Mobile"/>
    <s v="North America"/>
    <s v="Lead"/>
    <m/>
    <m/>
    <m/>
    <n v="1"/>
    <x v="7"/>
    <n v="0"/>
    <n v="0"/>
    <n v="0"/>
  </r>
  <r>
    <s v="LD1552"/>
    <d v="2024-02-24T00:00:00"/>
    <x v="5"/>
    <s v="Landing Page SEO"/>
    <s v="Mobile"/>
    <s v="North America"/>
    <s v="SQL"/>
    <m/>
    <m/>
    <m/>
    <n v="3"/>
    <x v="10"/>
    <n v="1"/>
    <n v="1"/>
    <n v="0"/>
  </r>
  <r>
    <s v="LD3852"/>
    <d v="2024-06-18T00:00:00"/>
    <x v="3"/>
    <s v="Promo Blast"/>
    <s v="Desktop"/>
    <s v="Latin America"/>
    <s v="Lead"/>
    <m/>
    <m/>
    <m/>
    <n v="1"/>
    <x v="11"/>
    <n v="0"/>
    <n v="0"/>
    <n v="0"/>
  </r>
  <r>
    <s v="LD3375"/>
    <d v="2024-05-05T00:00:00"/>
    <x v="3"/>
    <s v="Promo Blast"/>
    <s v="Tablet"/>
    <s v="Europe"/>
    <s v="MQL"/>
    <m/>
    <m/>
    <m/>
    <n v="2"/>
    <x v="4"/>
    <n v="1"/>
    <n v="0"/>
    <n v="0"/>
  </r>
  <r>
    <s v="LD6703"/>
    <d v="2024-11-03T00:00:00"/>
    <x v="3"/>
    <s v="Monthly Newsletter"/>
    <s v="Desktop"/>
    <s v="North America"/>
    <s v="Lead"/>
    <m/>
    <m/>
    <m/>
    <n v="1"/>
    <x v="2"/>
    <n v="0"/>
    <n v="0"/>
    <n v="0"/>
  </r>
  <r>
    <s v="LD3247"/>
    <d v="2024-05-05T00:00:00"/>
    <x v="0"/>
    <s v="LinkedIn Ads"/>
    <s v="Tablet"/>
    <s v="Europe"/>
    <s v="Lead"/>
    <m/>
    <m/>
    <m/>
    <n v="1"/>
    <x v="4"/>
    <n v="0"/>
    <n v="0"/>
    <n v="0"/>
  </r>
  <r>
    <s v="LD7385"/>
    <d v="2024-12-02T00:00:00"/>
    <x v="0"/>
    <s v="LinkedIn Ads"/>
    <s v="Mobile"/>
    <s v="Asia Pacific"/>
    <s v="Lead"/>
    <m/>
    <m/>
    <m/>
    <n v="1"/>
    <x v="7"/>
    <n v="0"/>
    <n v="0"/>
    <n v="0"/>
  </r>
  <r>
    <s v="LD4576"/>
    <d v="2024-08-15T00:00:00"/>
    <x v="5"/>
    <s v="Landing Page SEO"/>
    <s v="Mobile"/>
    <s v="North America"/>
    <s v="Lead"/>
    <m/>
    <m/>
    <m/>
    <n v="1"/>
    <x v="6"/>
    <n v="0"/>
    <n v="0"/>
    <n v="0"/>
  </r>
  <r>
    <s v="LD3451"/>
    <d v="2024-05-01T00:00:00"/>
    <x v="4"/>
    <s v="Affiliate Program"/>
    <s v="Mobile"/>
    <s v="North America"/>
    <s v="SQL"/>
    <m/>
    <m/>
    <m/>
    <n v="3"/>
    <x v="4"/>
    <n v="1"/>
    <n v="1"/>
    <n v="0"/>
  </r>
  <r>
    <s v="LD3330"/>
    <d v="2024-05-26T00:00:00"/>
    <x v="3"/>
    <s v="Monthly Newsletter"/>
    <s v="Tablet"/>
    <s v="North America"/>
    <s v="Lead"/>
    <m/>
    <m/>
    <m/>
    <n v="1"/>
    <x v="4"/>
    <n v="0"/>
    <n v="0"/>
    <n v="0"/>
  </r>
  <r>
    <s v="LD6690"/>
    <d v="2024-11-14T00:00:00"/>
    <x v="0"/>
    <s v="LinkedIn Ads"/>
    <s v="Tablet"/>
    <s v="Europe"/>
    <s v="MQL"/>
    <m/>
    <m/>
    <m/>
    <n v="2"/>
    <x v="2"/>
    <n v="1"/>
    <n v="0"/>
    <n v="0"/>
  </r>
  <r>
    <s v="LD3147"/>
    <d v="2024-05-24T00:00:00"/>
    <x v="1"/>
    <s v="Google Ads - Brand"/>
    <s v="Desktop"/>
    <s v="North America"/>
    <s v="Lead"/>
    <m/>
    <m/>
    <m/>
    <n v="1"/>
    <x v="4"/>
    <n v="0"/>
    <n v="0"/>
    <n v="0"/>
  </r>
  <r>
    <s v="LD4708"/>
    <d v="2024-08-25T00:00:00"/>
    <x v="0"/>
    <s v="Facebook Ads"/>
    <s v="Desktop"/>
    <s v="Europe"/>
    <s v="MQL"/>
    <m/>
    <m/>
    <m/>
    <n v="2"/>
    <x v="6"/>
    <n v="1"/>
    <n v="0"/>
    <n v="0"/>
  </r>
  <r>
    <s v="LD5838"/>
    <d v="2024-10-25T00:00:00"/>
    <x v="1"/>
    <s v="Google Ads - Generic"/>
    <s v="Mobile"/>
    <s v="Europe"/>
    <s v="Lead"/>
    <m/>
    <m/>
    <m/>
    <n v="1"/>
    <x v="5"/>
    <n v="0"/>
    <n v="0"/>
    <n v="0"/>
  </r>
  <r>
    <s v="LD1651"/>
    <d v="2024-02-07T00:00:00"/>
    <x v="0"/>
    <s v="Instagram Ads"/>
    <s v="Mobile"/>
    <s v="North America"/>
    <s v="MQL"/>
    <m/>
    <m/>
    <m/>
    <n v="2"/>
    <x v="10"/>
    <n v="1"/>
    <n v="0"/>
    <n v="0"/>
  </r>
  <r>
    <s v="LD1709"/>
    <d v="2024-02-12T00:00:00"/>
    <x v="3"/>
    <s v="Promo Blast"/>
    <s v="Tablet"/>
    <s v="North America"/>
    <s v="MQL"/>
    <m/>
    <m/>
    <m/>
    <n v="2"/>
    <x v="10"/>
    <n v="1"/>
    <n v="0"/>
    <n v="0"/>
  </r>
  <r>
    <s v="LD6799"/>
    <d v="2024-11-24T00:00:00"/>
    <x v="3"/>
    <s v="Promo Blast"/>
    <s v="Desktop"/>
    <s v="North America"/>
    <s v="Lead"/>
    <m/>
    <m/>
    <m/>
    <n v="1"/>
    <x v="2"/>
    <n v="0"/>
    <n v="0"/>
    <n v="0"/>
  </r>
  <r>
    <s v="LD4823"/>
    <d v="2024-08-13T00:00:00"/>
    <x v="3"/>
    <s v="Monthly Newsletter"/>
    <s v="Desktop"/>
    <s v="North America"/>
    <s v="Lead"/>
    <m/>
    <m/>
    <m/>
    <n v="1"/>
    <x v="6"/>
    <n v="0"/>
    <n v="0"/>
    <n v="0"/>
  </r>
  <r>
    <s v="LD4035"/>
    <d v="2024-06-17T00:00:00"/>
    <x v="2"/>
    <s v="Direct / Type-in"/>
    <s v="Mobile"/>
    <s v="Europe"/>
    <s v="Lead"/>
    <m/>
    <m/>
    <m/>
    <n v="1"/>
    <x v="11"/>
    <n v="0"/>
    <n v="0"/>
    <n v="0"/>
  </r>
  <r>
    <s v="LD5546"/>
    <d v="2024-09-05T00:00:00"/>
    <x v="2"/>
    <s v="Direct / Type-in"/>
    <s v="Tablet"/>
    <s v="Europe"/>
    <s v="SQL"/>
    <m/>
    <m/>
    <m/>
    <n v="3"/>
    <x v="9"/>
    <n v="1"/>
    <n v="1"/>
    <n v="0"/>
  </r>
  <r>
    <s v="LD2425"/>
    <d v="2024-03-19T00:00:00"/>
    <x v="2"/>
    <s v="Direct / Type-in"/>
    <s v="Desktop"/>
    <s v="North America"/>
    <s v="MQL"/>
    <m/>
    <m/>
    <m/>
    <n v="2"/>
    <x v="8"/>
    <n v="1"/>
    <n v="0"/>
    <n v="0"/>
  </r>
  <r>
    <s v="LD2217"/>
    <d v="2024-03-16T00:00:00"/>
    <x v="3"/>
    <s v="Monthly Newsletter"/>
    <s v="Desktop"/>
    <s v="Latin America"/>
    <s v="Customer"/>
    <n v="25"/>
    <s v="Basic"/>
    <n v="593.58000000000004"/>
    <n v="4"/>
    <x v="8"/>
    <n v="1"/>
    <n v="1"/>
    <n v="1"/>
  </r>
  <r>
    <s v="LD6177"/>
    <d v="2024-10-13T00:00:00"/>
    <x v="4"/>
    <s v="Affiliate Program"/>
    <s v="Desktop"/>
    <s v="North America"/>
    <s v="Lead"/>
    <m/>
    <m/>
    <m/>
    <n v="1"/>
    <x v="5"/>
    <n v="0"/>
    <n v="0"/>
    <n v="0"/>
  </r>
  <r>
    <s v="LD2925"/>
    <d v="2024-04-13T00:00:00"/>
    <x v="4"/>
    <s v="Partner Program"/>
    <s v="Mobile"/>
    <s v="Europe"/>
    <s v="Lead"/>
    <m/>
    <m/>
    <m/>
    <n v="1"/>
    <x v="1"/>
    <n v="0"/>
    <n v="0"/>
    <n v="0"/>
  </r>
  <r>
    <s v="LD4536"/>
    <d v="2024-08-17T00:00:00"/>
    <x v="5"/>
    <s v="Landing Page SEO"/>
    <s v="Desktop"/>
    <s v="North America"/>
    <s v="MQL"/>
    <m/>
    <m/>
    <m/>
    <n v="2"/>
    <x v="6"/>
    <n v="1"/>
    <n v="0"/>
    <n v="0"/>
  </r>
  <r>
    <s v="LD4471"/>
    <d v="2024-07-06T00:00:00"/>
    <x v="2"/>
    <s v="Direct / Type-in"/>
    <s v="Desktop"/>
    <s v="Asia Pacific"/>
    <s v="SQL"/>
    <m/>
    <m/>
    <m/>
    <n v="3"/>
    <x v="0"/>
    <n v="1"/>
    <n v="1"/>
    <n v="0"/>
  </r>
  <r>
    <s v="LD1315"/>
    <d v="2024-01-07T00:00:00"/>
    <x v="3"/>
    <s v="Promo Blast"/>
    <s v="Desktop"/>
    <s v="North America"/>
    <s v="MQL"/>
    <m/>
    <m/>
    <m/>
    <n v="2"/>
    <x v="3"/>
    <n v="1"/>
    <n v="0"/>
    <n v="0"/>
  </r>
  <r>
    <s v="LD4530"/>
    <d v="2024-08-01T00:00:00"/>
    <x v="5"/>
    <s v="Landing Page SEO"/>
    <s v="Desktop"/>
    <s v="North America"/>
    <s v="SQL"/>
    <m/>
    <m/>
    <m/>
    <n v="3"/>
    <x v="6"/>
    <n v="1"/>
    <n v="1"/>
    <n v="0"/>
  </r>
  <r>
    <s v="LD2428"/>
    <d v="2024-03-15T00:00:00"/>
    <x v="2"/>
    <s v="Direct / Type-in"/>
    <s v="Desktop"/>
    <s v="Europe"/>
    <s v="Lead"/>
    <m/>
    <m/>
    <m/>
    <n v="1"/>
    <x v="8"/>
    <n v="0"/>
    <n v="0"/>
    <n v="0"/>
  </r>
  <r>
    <s v="LD4425"/>
    <d v="2024-07-11T00:00:00"/>
    <x v="4"/>
    <s v="Affiliate Program"/>
    <s v="Desktop"/>
    <s v="North America"/>
    <s v="Customer"/>
    <n v="13"/>
    <s v="Basic"/>
    <n v="1099.29"/>
    <n v="4"/>
    <x v="0"/>
    <n v="1"/>
    <n v="1"/>
    <n v="1"/>
  </r>
  <r>
    <s v="LD4782"/>
    <d v="2024-08-01T00:00:00"/>
    <x v="3"/>
    <s v="Promo Blast"/>
    <s v="Desktop"/>
    <s v="North America"/>
    <s v="SQL"/>
    <m/>
    <m/>
    <m/>
    <n v="3"/>
    <x v="6"/>
    <n v="1"/>
    <n v="1"/>
    <n v="0"/>
  </r>
  <r>
    <s v="LD4651"/>
    <d v="2024-08-25T00:00:00"/>
    <x v="1"/>
    <s v="Google Ads - Brand"/>
    <s v="Desktop"/>
    <s v="North America"/>
    <s v="MQL"/>
    <m/>
    <m/>
    <m/>
    <n v="2"/>
    <x v="6"/>
    <n v="1"/>
    <n v="0"/>
    <n v="0"/>
  </r>
  <r>
    <s v="LD6486"/>
    <d v="2024-11-09T00:00:00"/>
    <x v="1"/>
    <s v="Google Ads - Brand"/>
    <s v="Desktop"/>
    <s v="Europe"/>
    <s v="Lead"/>
    <m/>
    <m/>
    <m/>
    <n v="1"/>
    <x v="2"/>
    <n v="0"/>
    <n v="0"/>
    <n v="0"/>
  </r>
  <r>
    <s v="LD7566"/>
    <d v="2024-12-23T00:00:00"/>
    <x v="3"/>
    <s v="Promo Blast"/>
    <s v="Desktop"/>
    <s v="North America"/>
    <s v="Lead"/>
    <m/>
    <m/>
    <m/>
    <n v="1"/>
    <x v="7"/>
    <n v="0"/>
    <n v="0"/>
    <n v="0"/>
  </r>
  <r>
    <s v="LD2106"/>
    <d v="2024-03-27T00:00:00"/>
    <x v="1"/>
    <s v="Google Ads - Generic"/>
    <s v="Mobile"/>
    <s v="Europe"/>
    <s v="Lead"/>
    <m/>
    <m/>
    <m/>
    <n v="1"/>
    <x v="8"/>
    <n v="0"/>
    <n v="0"/>
    <n v="0"/>
  </r>
  <r>
    <s v="LD5990"/>
    <d v="2024-10-10T00:00:00"/>
    <x v="3"/>
    <s v="Monthly Newsletter"/>
    <s v="Desktop"/>
    <s v="North America"/>
    <s v="MQL"/>
    <m/>
    <m/>
    <m/>
    <n v="2"/>
    <x v="5"/>
    <n v="1"/>
    <n v="0"/>
    <n v="0"/>
  </r>
  <r>
    <s v="LD6528"/>
    <d v="2024-11-27T00:00:00"/>
    <x v="1"/>
    <s v="Google Ads - Brand"/>
    <s v="Mobile"/>
    <s v="North America"/>
    <s v="SQL"/>
    <m/>
    <m/>
    <m/>
    <n v="3"/>
    <x v="2"/>
    <n v="1"/>
    <n v="1"/>
    <n v="0"/>
  </r>
  <r>
    <s v="LD7784"/>
    <d v="2024-12-05T00:00:00"/>
    <x v="2"/>
    <s v="Direct / Type-in"/>
    <s v="Desktop"/>
    <s v="Asia Pacific"/>
    <s v="Lead"/>
    <m/>
    <m/>
    <m/>
    <n v="1"/>
    <x v="7"/>
    <n v="0"/>
    <n v="0"/>
    <n v="0"/>
  </r>
  <r>
    <s v="LD4270"/>
    <d v="2024-07-11T00:00:00"/>
    <x v="0"/>
    <s v="Instagram Ads"/>
    <s v="Desktop"/>
    <s v="Latin America"/>
    <s v="Lead"/>
    <m/>
    <m/>
    <m/>
    <n v="1"/>
    <x v="0"/>
    <n v="0"/>
    <n v="0"/>
    <n v="0"/>
  </r>
  <r>
    <s v="LD1685"/>
    <d v="2024-02-21T00:00:00"/>
    <x v="0"/>
    <s v="LinkedIn Ads"/>
    <s v="Mobile"/>
    <s v="North America"/>
    <s v="MQL"/>
    <m/>
    <m/>
    <m/>
    <n v="2"/>
    <x v="10"/>
    <n v="1"/>
    <n v="0"/>
    <n v="0"/>
  </r>
  <r>
    <s v="LD7154"/>
    <d v="2024-12-18T00:00:00"/>
    <x v="5"/>
    <s v="Blog SEO"/>
    <s v="Mobile"/>
    <s v="North America"/>
    <s v="Customer"/>
    <n v="57"/>
    <s v="Pro"/>
    <n v="2167.15"/>
    <n v="4"/>
    <x v="7"/>
    <n v="1"/>
    <n v="1"/>
    <n v="1"/>
  </r>
  <r>
    <s v="LD3766"/>
    <d v="2024-06-05T00:00:00"/>
    <x v="0"/>
    <s v="Instagram Ads"/>
    <s v="Mobile"/>
    <s v="North America"/>
    <s v="Lead"/>
    <m/>
    <m/>
    <m/>
    <n v="1"/>
    <x v="11"/>
    <n v="0"/>
    <n v="0"/>
    <n v="0"/>
  </r>
  <r>
    <s v="LD4759"/>
    <d v="2024-08-11T00:00:00"/>
    <x v="3"/>
    <s v="Promo Blast"/>
    <s v="Desktop"/>
    <s v="Latin America"/>
    <s v="Customer"/>
    <n v="48"/>
    <s v="Pro"/>
    <n v="3611.92"/>
    <n v="4"/>
    <x v="6"/>
    <n v="1"/>
    <n v="1"/>
    <n v="1"/>
  </r>
  <r>
    <s v="LD6768"/>
    <d v="2024-11-27T00:00:00"/>
    <x v="3"/>
    <s v="Promo Blast"/>
    <s v="Desktop"/>
    <s v="North America"/>
    <s v="Customer"/>
    <n v="19"/>
    <s v="Basic"/>
    <n v="1239.5"/>
    <n v="4"/>
    <x v="2"/>
    <n v="1"/>
    <n v="1"/>
    <n v="1"/>
  </r>
  <r>
    <s v="LD3452"/>
    <d v="2024-05-14T00:00:00"/>
    <x v="4"/>
    <s v="Partner Program"/>
    <s v="Desktop"/>
    <s v="North America"/>
    <s v="Lead"/>
    <m/>
    <m/>
    <m/>
    <n v="1"/>
    <x v="4"/>
    <n v="0"/>
    <n v="0"/>
    <n v="0"/>
  </r>
  <r>
    <s v="LD5952"/>
    <d v="2024-10-26T00:00:00"/>
    <x v="3"/>
    <s v="Monthly Newsletter"/>
    <s v="Mobile"/>
    <s v="North America"/>
    <s v="MQL"/>
    <m/>
    <m/>
    <m/>
    <n v="2"/>
    <x v="5"/>
    <n v="1"/>
    <n v="0"/>
    <n v="0"/>
  </r>
  <r>
    <s v="LD1327"/>
    <d v="2024-01-20T00:00:00"/>
    <x v="3"/>
    <s v="Promo Blast"/>
    <s v="Desktop"/>
    <s v="Europe"/>
    <s v="MQL"/>
    <m/>
    <m/>
    <m/>
    <n v="2"/>
    <x v="3"/>
    <n v="1"/>
    <n v="0"/>
    <n v="0"/>
  </r>
  <r>
    <s v="LD6462"/>
    <d v="2024-11-02T00:00:00"/>
    <x v="5"/>
    <s v="Landing Page SEO"/>
    <s v="Desktop"/>
    <s v="North America"/>
    <s v="Lead"/>
    <m/>
    <m/>
    <m/>
    <n v="1"/>
    <x v="2"/>
    <n v="0"/>
    <n v="0"/>
    <n v="0"/>
  </r>
  <r>
    <s v="LD6673"/>
    <d v="2024-11-05T00:00:00"/>
    <x v="0"/>
    <s v="LinkedIn Ads"/>
    <s v="Desktop"/>
    <s v="North America"/>
    <s v="MQL"/>
    <m/>
    <m/>
    <m/>
    <n v="2"/>
    <x v="2"/>
    <n v="1"/>
    <n v="0"/>
    <n v="0"/>
  </r>
  <r>
    <s v="LD3177"/>
    <d v="2024-05-15T00:00:00"/>
    <x v="1"/>
    <s v="Google Ads - Brand"/>
    <s v="Mobile"/>
    <s v="North America"/>
    <s v="Lead"/>
    <m/>
    <m/>
    <m/>
    <n v="1"/>
    <x v="4"/>
    <n v="0"/>
    <n v="0"/>
    <n v="0"/>
  </r>
  <r>
    <s v="LD4354"/>
    <d v="2024-07-10T00:00:00"/>
    <x v="3"/>
    <s v="Monthly Newsletter"/>
    <s v="Desktop"/>
    <s v="North America"/>
    <s v="SQL"/>
    <m/>
    <m/>
    <m/>
    <n v="3"/>
    <x v="0"/>
    <n v="1"/>
    <n v="1"/>
    <n v="0"/>
  </r>
  <r>
    <s v="LD5547"/>
    <d v="2024-09-21T00:00:00"/>
    <x v="2"/>
    <s v="Direct / Type-in"/>
    <s v="Desktop"/>
    <s v="Asia Pacific"/>
    <s v="MQL"/>
    <m/>
    <m/>
    <m/>
    <n v="2"/>
    <x v="9"/>
    <n v="1"/>
    <n v="0"/>
    <n v="0"/>
  </r>
  <r>
    <s v="LD7250"/>
    <d v="2024-12-03T00:00:00"/>
    <x v="1"/>
    <s v="Google Ads - Generic"/>
    <s v="Mobile"/>
    <s v="Europe"/>
    <s v="MQL"/>
    <m/>
    <m/>
    <m/>
    <n v="2"/>
    <x v="7"/>
    <n v="1"/>
    <n v="0"/>
    <n v="0"/>
  </r>
  <r>
    <s v="LD5668"/>
    <d v="2024-10-19T00:00:00"/>
    <x v="5"/>
    <s v="Landing Page SEO"/>
    <s v="Desktop"/>
    <s v="Europe"/>
    <s v="Lead"/>
    <m/>
    <m/>
    <m/>
    <n v="1"/>
    <x v="5"/>
    <n v="0"/>
    <n v="0"/>
    <n v="0"/>
  </r>
  <r>
    <s v="LD3788"/>
    <d v="2024-06-09T00:00:00"/>
    <x v="0"/>
    <s v="Facebook Ads"/>
    <s v="Desktop"/>
    <s v="Europe"/>
    <s v="Lead"/>
    <m/>
    <m/>
    <m/>
    <n v="1"/>
    <x v="11"/>
    <n v="0"/>
    <n v="0"/>
    <n v="0"/>
  </r>
  <r>
    <s v="LD5615"/>
    <d v="2024-09-24T00:00:00"/>
    <x v="2"/>
    <s v="Direct / Type-in"/>
    <s v="Desktop"/>
    <s v="North America"/>
    <s v="Lead"/>
    <m/>
    <m/>
    <m/>
    <n v="1"/>
    <x v="9"/>
    <n v="0"/>
    <n v="0"/>
    <n v="0"/>
  </r>
  <r>
    <s v="LD4036"/>
    <d v="2024-06-19T00:00:00"/>
    <x v="2"/>
    <s v="Direct / Type-in"/>
    <s v="Tablet"/>
    <s v="Europe"/>
    <s v="Lead"/>
    <m/>
    <m/>
    <m/>
    <n v="1"/>
    <x v="11"/>
    <n v="0"/>
    <n v="0"/>
    <n v="0"/>
  </r>
  <r>
    <s v="LD2677"/>
    <d v="2024-04-06T00:00:00"/>
    <x v="0"/>
    <s v="Facebook Ads"/>
    <s v="Desktop"/>
    <s v="Asia Pacific"/>
    <s v="MQL"/>
    <m/>
    <m/>
    <m/>
    <n v="2"/>
    <x v="1"/>
    <n v="1"/>
    <n v="0"/>
    <n v="0"/>
  </r>
  <r>
    <s v="LD1349"/>
    <d v="2024-01-05T00:00:00"/>
    <x v="4"/>
    <s v="Affiliate Program"/>
    <s v="Desktop"/>
    <s v="North America"/>
    <s v="SQL"/>
    <m/>
    <m/>
    <m/>
    <n v="3"/>
    <x v="3"/>
    <n v="1"/>
    <n v="1"/>
    <n v="0"/>
  </r>
  <r>
    <s v="LD4329"/>
    <d v="2024-07-26T00:00:00"/>
    <x v="3"/>
    <s v="Promo Blast"/>
    <s v="Desktop"/>
    <s v="Asia Pacific"/>
    <s v="SQL"/>
    <m/>
    <m/>
    <m/>
    <n v="3"/>
    <x v="0"/>
    <n v="1"/>
    <n v="1"/>
    <n v="0"/>
  </r>
  <r>
    <s v="LD2627"/>
    <d v="2024-04-01T00:00:00"/>
    <x v="1"/>
    <s v="Google Ads - Generic"/>
    <s v="Mobile"/>
    <s v="Latin America"/>
    <s v="Lead"/>
    <m/>
    <m/>
    <m/>
    <n v="1"/>
    <x v="1"/>
    <n v="0"/>
    <n v="0"/>
    <n v="0"/>
  </r>
  <r>
    <s v="LD7340"/>
    <d v="2024-12-16T00:00:00"/>
    <x v="0"/>
    <s v="LinkedIn Ads"/>
    <s v="Desktop"/>
    <s v="Europe"/>
    <s v="Lead"/>
    <m/>
    <m/>
    <m/>
    <n v="1"/>
    <x v="7"/>
    <n v="0"/>
    <n v="0"/>
    <n v="0"/>
  </r>
  <r>
    <s v="LD3923"/>
    <d v="2024-06-03T00:00:00"/>
    <x v="4"/>
    <s v="Affiliate Program"/>
    <s v="Desktop"/>
    <s v="Europe"/>
    <s v="SQL"/>
    <m/>
    <m/>
    <m/>
    <n v="3"/>
    <x v="11"/>
    <n v="1"/>
    <n v="1"/>
    <n v="0"/>
  </r>
  <r>
    <s v="LD7134"/>
    <d v="2024-12-10T00:00:00"/>
    <x v="5"/>
    <s v="Landing Page SEO"/>
    <s v="Mobile"/>
    <s v="Europe"/>
    <s v="MQL"/>
    <m/>
    <m/>
    <m/>
    <n v="2"/>
    <x v="7"/>
    <n v="1"/>
    <n v="0"/>
    <n v="0"/>
  </r>
  <r>
    <s v="LD1872"/>
    <d v="2024-02-25T00:00:00"/>
    <x v="4"/>
    <s v="Partner Program"/>
    <s v="Mobile"/>
    <s v="Europe"/>
    <s v="SQL"/>
    <m/>
    <m/>
    <m/>
    <n v="3"/>
    <x v="10"/>
    <n v="1"/>
    <n v="1"/>
    <n v="0"/>
  </r>
  <r>
    <s v="LD4814"/>
    <d v="2024-08-01T00:00:00"/>
    <x v="3"/>
    <s v="Monthly Newsletter"/>
    <s v="Mobile"/>
    <s v="North America"/>
    <s v="SQL"/>
    <m/>
    <m/>
    <m/>
    <n v="3"/>
    <x v="6"/>
    <n v="1"/>
    <n v="1"/>
    <n v="0"/>
  </r>
  <r>
    <s v="LD4400"/>
    <d v="2024-07-02T00:00:00"/>
    <x v="4"/>
    <s v="Affiliate Program"/>
    <s v="Desktop"/>
    <s v="Europe"/>
    <s v="SQL"/>
    <m/>
    <m/>
    <m/>
    <n v="3"/>
    <x v="0"/>
    <n v="1"/>
    <n v="1"/>
    <n v="0"/>
  </r>
  <r>
    <s v="LD4033"/>
    <d v="2024-06-15T00:00:00"/>
    <x v="2"/>
    <s v="Direct / Type-in"/>
    <s v="Desktop"/>
    <s v="Europe"/>
    <s v="Lead"/>
    <m/>
    <m/>
    <m/>
    <n v="1"/>
    <x v="11"/>
    <n v="0"/>
    <n v="0"/>
    <n v="0"/>
  </r>
  <r>
    <s v="LD3219"/>
    <d v="2024-05-08T00:00:00"/>
    <x v="0"/>
    <s v="Instagram Ads"/>
    <s v="Mobile"/>
    <s v="North America"/>
    <s v="Lead"/>
    <m/>
    <m/>
    <m/>
    <n v="1"/>
    <x v="4"/>
    <n v="0"/>
    <n v="0"/>
    <n v="0"/>
  </r>
  <r>
    <s v="LD6320"/>
    <d v="2024-10-11T00:00:00"/>
    <x v="2"/>
    <s v="Direct / Type-in"/>
    <s v="Mobile"/>
    <s v="North America"/>
    <s v="Lead"/>
    <m/>
    <m/>
    <m/>
    <n v="1"/>
    <x v="5"/>
    <n v="0"/>
    <n v="0"/>
    <n v="0"/>
  </r>
  <r>
    <s v="LD3122"/>
    <d v="2024-05-19T00:00:00"/>
    <x v="1"/>
    <s v="Google Ads - Brand"/>
    <s v="Mobile"/>
    <s v="North America"/>
    <s v="MQL"/>
    <m/>
    <m/>
    <m/>
    <n v="2"/>
    <x v="4"/>
    <n v="1"/>
    <n v="0"/>
    <n v="0"/>
  </r>
  <r>
    <s v="LD5032"/>
    <d v="2024-09-27T00:00:00"/>
    <x v="5"/>
    <s v="Blog SEO"/>
    <s v="Desktop"/>
    <s v="North America"/>
    <s v="MQL"/>
    <m/>
    <m/>
    <m/>
    <n v="2"/>
    <x v="9"/>
    <n v="1"/>
    <n v="0"/>
    <n v="0"/>
  </r>
  <r>
    <s v="LD7480"/>
    <d v="2024-12-22T00:00:00"/>
    <x v="3"/>
    <s v="Promo Blast"/>
    <s v="Desktop"/>
    <s v="North America"/>
    <s v="MQL"/>
    <m/>
    <m/>
    <m/>
    <n v="2"/>
    <x v="7"/>
    <n v="1"/>
    <n v="0"/>
    <n v="0"/>
  </r>
  <r>
    <s v="LD1086"/>
    <d v="2024-01-15T00:00:00"/>
    <x v="5"/>
    <s v="Landing Page SEO"/>
    <s v="Desktop"/>
    <s v="Asia Pacific"/>
    <s v="MQL"/>
    <m/>
    <m/>
    <m/>
    <n v="2"/>
    <x v="3"/>
    <n v="1"/>
    <n v="0"/>
    <n v="0"/>
  </r>
  <r>
    <s v="LD5882"/>
    <d v="2024-10-06T00:00:00"/>
    <x v="0"/>
    <s v="LinkedIn Ads"/>
    <s v="Desktop"/>
    <s v="Europe"/>
    <s v="SQL"/>
    <m/>
    <m/>
    <m/>
    <n v="3"/>
    <x v="5"/>
    <n v="1"/>
    <n v="1"/>
    <n v="0"/>
  </r>
  <r>
    <s v="LD2878"/>
    <d v="2024-04-02T00:00:00"/>
    <x v="4"/>
    <s v="Affiliate Program"/>
    <s v="Tablet"/>
    <s v="North America"/>
    <s v="Lead"/>
    <m/>
    <m/>
    <m/>
    <n v="1"/>
    <x v="1"/>
    <n v="0"/>
    <n v="0"/>
    <n v="0"/>
  </r>
  <r>
    <s v="LD3802"/>
    <d v="2024-06-20T00:00:00"/>
    <x v="3"/>
    <s v="Promo Blast"/>
    <s v="Desktop"/>
    <s v="North America"/>
    <s v="Lead"/>
    <m/>
    <m/>
    <m/>
    <n v="1"/>
    <x v="11"/>
    <n v="0"/>
    <n v="0"/>
    <n v="0"/>
  </r>
  <r>
    <s v="LD6355"/>
    <d v="2024-11-03T00:00:00"/>
    <x v="5"/>
    <s v="Blog SEO"/>
    <s v="Desktop"/>
    <s v="Europe"/>
    <s v="Customer"/>
    <n v="58"/>
    <s v="Basic"/>
    <n v="881.82"/>
    <n v="4"/>
    <x v="2"/>
    <n v="1"/>
    <n v="1"/>
    <n v="1"/>
  </r>
  <r>
    <s v="LD3641"/>
    <d v="2024-06-21T00:00:00"/>
    <x v="5"/>
    <s v="Landing Page SEO"/>
    <s v="Mobile"/>
    <s v="Latin America"/>
    <s v="Lead"/>
    <m/>
    <m/>
    <m/>
    <n v="1"/>
    <x v="11"/>
    <n v="0"/>
    <n v="0"/>
    <n v="0"/>
  </r>
  <r>
    <s v="LD6807"/>
    <d v="2024-11-03T00:00:00"/>
    <x v="3"/>
    <s v="Promo Blast"/>
    <s v="Desktop"/>
    <s v="North America"/>
    <s v="Customer"/>
    <n v="47"/>
    <s v="Basic"/>
    <n v="747.64"/>
    <n v="4"/>
    <x v="2"/>
    <n v="1"/>
    <n v="1"/>
    <n v="1"/>
  </r>
  <r>
    <s v="LD4076"/>
    <d v="2024-07-12T00:00:00"/>
    <x v="5"/>
    <s v="Landing Page SEO"/>
    <s v="Desktop"/>
    <s v="Asia Pacific"/>
    <s v="SQL"/>
    <m/>
    <m/>
    <m/>
    <n v="3"/>
    <x v="0"/>
    <n v="1"/>
    <n v="1"/>
    <n v="0"/>
  </r>
  <r>
    <s v="LD1495"/>
    <d v="2024-02-14T00:00:00"/>
    <x v="5"/>
    <s v="Blog SEO"/>
    <s v="Desktop"/>
    <s v="North America"/>
    <s v="Lead"/>
    <m/>
    <m/>
    <m/>
    <n v="1"/>
    <x v="10"/>
    <n v="0"/>
    <n v="0"/>
    <n v="0"/>
  </r>
  <r>
    <s v="LD6885"/>
    <d v="2024-11-24T00:00:00"/>
    <x v="3"/>
    <s v="Promo Blast"/>
    <s v="Mobile"/>
    <s v="Latin America"/>
    <s v="MQL"/>
    <m/>
    <m/>
    <m/>
    <n v="2"/>
    <x v="2"/>
    <n v="1"/>
    <n v="0"/>
    <n v="0"/>
  </r>
  <r>
    <s v="LD3526"/>
    <d v="2024-05-11T00:00:00"/>
    <x v="2"/>
    <s v="Direct / Type-in"/>
    <s v="Desktop"/>
    <s v="North America"/>
    <s v="MQL"/>
    <m/>
    <m/>
    <m/>
    <n v="2"/>
    <x v="4"/>
    <n v="1"/>
    <n v="0"/>
    <n v="0"/>
  </r>
  <r>
    <s v="LD4998"/>
    <d v="2024-08-21T00:00:00"/>
    <x v="2"/>
    <s v="Direct / Type-in"/>
    <s v="Desktop"/>
    <s v="Asia Pacific"/>
    <s v="SQL"/>
    <m/>
    <m/>
    <m/>
    <n v="3"/>
    <x v="6"/>
    <n v="1"/>
    <n v="1"/>
    <n v="0"/>
  </r>
  <r>
    <s v="LD4479"/>
    <d v="2024-07-07T00:00:00"/>
    <x v="2"/>
    <s v="Direct / Type-in"/>
    <s v="Desktop"/>
    <s v="Europe"/>
    <s v="SQL"/>
    <m/>
    <m/>
    <m/>
    <n v="3"/>
    <x v="0"/>
    <n v="1"/>
    <n v="1"/>
    <n v="0"/>
  </r>
  <r>
    <s v="LD6193"/>
    <d v="2024-10-03T00:00:00"/>
    <x v="4"/>
    <s v="Affiliate Program"/>
    <s v="Desktop"/>
    <s v="Europe"/>
    <s v="SQL"/>
    <m/>
    <m/>
    <m/>
    <n v="3"/>
    <x v="5"/>
    <n v="1"/>
    <n v="1"/>
    <n v="0"/>
  </r>
  <r>
    <s v="LD2271"/>
    <d v="2024-03-14T00:00:00"/>
    <x v="3"/>
    <s v="Promo Blast"/>
    <s v="Mobile"/>
    <s v="North America"/>
    <s v="Lead"/>
    <m/>
    <m/>
    <m/>
    <n v="1"/>
    <x v="8"/>
    <n v="0"/>
    <n v="0"/>
    <n v="0"/>
  </r>
  <r>
    <s v="LD6225"/>
    <d v="2024-10-18T00:00:00"/>
    <x v="4"/>
    <s v="Affiliate Program"/>
    <s v="Desktop"/>
    <s v="Latin America"/>
    <s v="Lead"/>
    <m/>
    <m/>
    <m/>
    <n v="1"/>
    <x v="5"/>
    <n v="0"/>
    <n v="0"/>
    <n v="0"/>
  </r>
  <r>
    <s v="LD7583"/>
    <d v="2024-12-12T00:00:00"/>
    <x v="3"/>
    <s v="Promo Blast"/>
    <s v="Tablet"/>
    <s v="North America"/>
    <s v="Lead"/>
    <m/>
    <m/>
    <m/>
    <n v="1"/>
    <x v="7"/>
    <n v="0"/>
    <n v="0"/>
    <n v="0"/>
  </r>
  <r>
    <s v="LD4406"/>
    <d v="2024-07-07T00:00:00"/>
    <x v="4"/>
    <s v="Affiliate Program"/>
    <s v="Tablet"/>
    <s v="Europe"/>
    <s v="Lead"/>
    <m/>
    <m/>
    <m/>
    <n v="1"/>
    <x v="0"/>
    <n v="0"/>
    <n v="0"/>
    <n v="0"/>
  </r>
  <r>
    <s v="LD6609"/>
    <d v="2024-11-09T00:00:00"/>
    <x v="0"/>
    <s v="Facebook Ads"/>
    <s v="Desktop"/>
    <s v="Europe"/>
    <s v="Lead"/>
    <m/>
    <m/>
    <m/>
    <n v="1"/>
    <x v="2"/>
    <n v="0"/>
    <n v="0"/>
    <n v="0"/>
  </r>
  <r>
    <s v="LD1619"/>
    <d v="2024-02-12T00:00:00"/>
    <x v="1"/>
    <s v="Google Ads - Generic"/>
    <s v="Desktop"/>
    <s v="North America"/>
    <s v="Lead"/>
    <m/>
    <m/>
    <m/>
    <n v="1"/>
    <x v="10"/>
    <n v="0"/>
    <n v="0"/>
    <n v="0"/>
  </r>
  <r>
    <s v="LD6805"/>
    <d v="2024-11-28T00:00:00"/>
    <x v="3"/>
    <s v="Promo Blast"/>
    <s v="Desktop"/>
    <s v="Asia Pacific"/>
    <s v="Lead"/>
    <m/>
    <m/>
    <m/>
    <n v="1"/>
    <x v="2"/>
    <n v="0"/>
    <n v="0"/>
    <n v="0"/>
  </r>
  <r>
    <s v="LD6191"/>
    <d v="2024-10-16T00:00:00"/>
    <x v="4"/>
    <s v="Partner Program"/>
    <s v="Desktop"/>
    <s v="Asia Pacific"/>
    <s v="MQL"/>
    <m/>
    <m/>
    <m/>
    <n v="2"/>
    <x v="5"/>
    <n v="1"/>
    <n v="0"/>
    <n v="0"/>
  </r>
  <r>
    <s v="LD5918"/>
    <d v="2024-10-18T00:00:00"/>
    <x v="0"/>
    <s v="Facebook Ads"/>
    <s v="Mobile"/>
    <s v="Latin America"/>
    <s v="SQL"/>
    <m/>
    <m/>
    <m/>
    <n v="3"/>
    <x v="5"/>
    <n v="1"/>
    <n v="1"/>
    <n v="0"/>
  </r>
  <r>
    <s v="LD4306"/>
    <d v="2024-07-21T00:00:00"/>
    <x v="3"/>
    <s v="Promo Blast"/>
    <s v="Mobile"/>
    <s v="Asia Pacific"/>
    <s v="SQL"/>
    <m/>
    <m/>
    <m/>
    <n v="3"/>
    <x v="0"/>
    <n v="1"/>
    <n v="1"/>
    <n v="0"/>
  </r>
  <r>
    <s v="LD3878"/>
    <d v="2024-06-08T00:00:00"/>
    <x v="3"/>
    <s v="Monthly Newsletter"/>
    <s v="Desktop"/>
    <s v="North America"/>
    <s v="Lead"/>
    <m/>
    <m/>
    <m/>
    <n v="1"/>
    <x v="11"/>
    <n v="0"/>
    <n v="0"/>
    <n v="0"/>
  </r>
  <r>
    <s v="LD4932"/>
    <d v="2024-08-18T00:00:00"/>
    <x v="4"/>
    <s v="Affiliate Program"/>
    <s v="Mobile"/>
    <s v="Europe"/>
    <s v="MQL"/>
    <m/>
    <m/>
    <m/>
    <n v="2"/>
    <x v="6"/>
    <n v="1"/>
    <n v="0"/>
    <n v="0"/>
  </r>
  <r>
    <s v="LD2414"/>
    <d v="2024-03-06T00:00:00"/>
    <x v="2"/>
    <s v="Direct / Type-in"/>
    <s v="Mobile"/>
    <s v="Asia Pacific"/>
    <s v="Lead"/>
    <m/>
    <m/>
    <m/>
    <n v="1"/>
    <x v="8"/>
    <n v="0"/>
    <n v="0"/>
    <n v="0"/>
  </r>
  <r>
    <s v="LD3202"/>
    <d v="2024-05-23T00:00:00"/>
    <x v="1"/>
    <s v="Google Ads - Generic"/>
    <s v="Desktop"/>
    <s v="Europe"/>
    <s v="Lead"/>
    <m/>
    <m/>
    <m/>
    <n v="1"/>
    <x v="4"/>
    <n v="0"/>
    <n v="0"/>
    <n v="0"/>
  </r>
  <r>
    <s v="LD3002"/>
    <d v="2024-04-15T00:00:00"/>
    <x v="2"/>
    <s v="Direct / Type-in"/>
    <s v="Desktop"/>
    <s v="North America"/>
    <s v="Lead"/>
    <m/>
    <m/>
    <m/>
    <n v="1"/>
    <x v="1"/>
    <n v="0"/>
    <n v="0"/>
    <n v="0"/>
  </r>
  <r>
    <s v="LD6062"/>
    <d v="2024-10-01T00:00:00"/>
    <x v="3"/>
    <s v="Monthly Newsletter"/>
    <s v="Desktop"/>
    <s v="North America"/>
    <s v="MQL"/>
    <m/>
    <m/>
    <m/>
    <n v="2"/>
    <x v="5"/>
    <n v="1"/>
    <n v="0"/>
    <n v="0"/>
  </r>
  <r>
    <s v="LD1870"/>
    <d v="2024-02-15T00:00:00"/>
    <x v="4"/>
    <s v="Partner Program"/>
    <s v="Desktop"/>
    <s v="North America"/>
    <s v="MQL"/>
    <m/>
    <m/>
    <m/>
    <n v="2"/>
    <x v="10"/>
    <n v="1"/>
    <n v="0"/>
    <n v="0"/>
  </r>
  <r>
    <s v="LD3359"/>
    <d v="2024-05-28T00:00:00"/>
    <x v="3"/>
    <s v="Promo Blast"/>
    <s v="Desktop"/>
    <s v="Asia Pacific"/>
    <s v="SQL"/>
    <m/>
    <m/>
    <m/>
    <n v="3"/>
    <x v="4"/>
    <n v="1"/>
    <n v="1"/>
    <n v="0"/>
  </r>
  <r>
    <s v="LD3007"/>
    <d v="2024-04-23T00:00:00"/>
    <x v="2"/>
    <s v="Direct / Type-in"/>
    <s v="Mobile"/>
    <s v="Europe"/>
    <s v="MQL"/>
    <m/>
    <m/>
    <m/>
    <n v="2"/>
    <x v="1"/>
    <n v="1"/>
    <n v="0"/>
    <n v="0"/>
  </r>
  <r>
    <s v="LD5419"/>
    <d v="2024-09-07T00:00:00"/>
    <x v="3"/>
    <s v="Promo Blast"/>
    <s v="Desktop"/>
    <s v="Asia Pacific"/>
    <s v="MQL"/>
    <m/>
    <m/>
    <m/>
    <n v="2"/>
    <x v="9"/>
    <n v="1"/>
    <n v="0"/>
    <n v="0"/>
  </r>
  <r>
    <s v="LD5696"/>
    <d v="2024-10-20T00:00:00"/>
    <x v="5"/>
    <s v="Landing Page SEO"/>
    <s v="Desktop"/>
    <s v="North America"/>
    <s v="Lead"/>
    <m/>
    <m/>
    <m/>
    <n v="1"/>
    <x v="5"/>
    <n v="0"/>
    <n v="0"/>
    <n v="0"/>
  </r>
  <r>
    <s v="LD1357"/>
    <d v="2024-01-23T00:00:00"/>
    <x v="4"/>
    <s v="Affiliate Program"/>
    <s v="Desktop"/>
    <s v="Europe"/>
    <s v="Lead"/>
    <m/>
    <m/>
    <m/>
    <n v="1"/>
    <x v="3"/>
    <n v="0"/>
    <n v="0"/>
    <n v="0"/>
  </r>
  <r>
    <s v="LD2163"/>
    <d v="2024-03-28T00:00:00"/>
    <x v="0"/>
    <s v="Instagram Ads"/>
    <s v="Tablet"/>
    <s v="Europe"/>
    <s v="SQL"/>
    <m/>
    <m/>
    <m/>
    <n v="3"/>
    <x v="8"/>
    <n v="1"/>
    <n v="1"/>
    <n v="0"/>
  </r>
  <r>
    <s v="LD6151"/>
    <d v="2024-10-14T00:00:00"/>
    <x v="4"/>
    <s v="Partner Program"/>
    <s v="Desktop"/>
    <s v="Europe"/>
    <s v="SQL"/>
    <m/>
    <m/>
    <m/>
    <n v="3"/>
    <x v="5"/>
    <n v="1"/>
    <n v="1"/>
    <n v="0"/>
  </r>
  <r>
    <s v="LD5073"/>
    <d v="2024-09-18T00:00:00"/>
    <x v="5"/>
    <s v="Landing Page SEO"/>
    <s v="Tablet"/>
    <s v="North America"/>
    <s v="Customer"/>
    <n v="15"/>
    <s v="Basic"/>
    <n v="933.13"/>
    <n v="4"/>
    <x v="9"/>
    <n v="1"/>
    <n v="1"/>
    <n v="1"/>
  </r>
  <r>
    <s v="LD4115"/>
    <d v="2024-07-16T00:00:00"/>
    <x v="5"/>
    <s v="Blog SEO"/>
    <s v="Mobile"/>
    <s v="Europe"/>
    <s v="Lead"/>
    <m/>
    <m/>
    <m/>
    <n v="1"/>
    <x v="0"/>
    <n v="0"/>
    <n v="0"/>
    <n v="0"/>
  </r>
  <r>
    <s v="LD5268"/>
    <d v="2024-09-10T00:00:00"/>
    <x v="0"/>
    <s v="Instagram Ads"/>
    <s v="Desktop"/>
    <s v="North America"/>
    <s v="Lead"/>
    <m/>
    <m/>
    <m/>
    <n v="1"/>
    <x v="9"/>
    <n v="0"/>
    <n v="0"/>
    <n v="0"/>
  </r>
  <r>
    <s v="LD7173"/>
    <d v="2024-12-01T00:00:00"/>
    <x v="5"/>
    <s v="Blog SEO"/>
    <s v="Desktop"/>
    <s v="Europe"/>
    <s v="Lead"/>
    <m/>
    <m/>
    <m/>
    <n v="1"/>
    <x v="7"/>
    <n v="0"/>
    <n v="0"/>
    <n v="0"/>
  </r>
  <r>
    <s v="LD7690"/>
    <d v="2024-12-12T00:00:00"/>
    <x v="4"/>
    <s v="Partner Program"/>
    <s v="Mobile"/>
    <s v="Europe"/>
    <s v="MQL"/>
    <m/>
    <m/>
    <m/>
    <n v="2"/>
    <x v="7"/>
    <n v="1"/>
    <n v="0"/>
    <n v="0"/>
  </r>
  <r>
    <s v="LD2891"/>
    <d v="2024-04-03T00:00:00"/>
    <x v="4"/>
    <s v="Affiliate Program"/>
    <s v="Mobile"/>
    <s v="Europe"/>
    <s v="SQL"/>
    <m/>
    <m/>
    <m/>
    <n v="3"/>
    <x v="1"/>
    <n v="1"/>
    <n v="1"/>
    <n v="0"/>
  </r>
  <r>
    <s v="LD1580"/>
    <d v="2024-02-07T00:00:00"/>
    <x v="1"/>
    <s v="Google Ads - Brand"/>
    <s v="Mobile"/>
    <s v="Europe"/>
    <s v="MQL"/>
    <m/>
    <m/>
    <m/>
    <n v="2"/>
    <x v="10"/>
    <n v="1"/>
    <n v="0"/>
    <n v="0"/>
  </r>
  <r>
    <s v="LD4853"/>
    <d v="2024-08-01T00:00:00"/>
    <x v="3"/>
    <s v="Promo Blast"/>
    <s v="Desktop"/>
    <s v="North America"/>
    <s v="Lead"/>
    <m/>
    <m/>
    <m/>
    <n v="1"/>
    <x v="6"/>
    <n v="0"/>
    <n v="0"/>
    <n v="0"/>
  </r>
  <r>
    <s v="LD4307"/>
    <d v="2024-07-02T00:00:00"/>
    <x v="3"/>
    <s v="Monthly Newsletter"/>
    <s v="Mobile"/>
    <s v="Europe"/>
    <s v="Lead"/>
    <m/>
    <m/>
    <m/>
    <n v="1"/>
    <x v="0"/>
    <n v="0"/>
    <n v="0"/>
    <n v="0"/>
  </r>
  <r>
    <s v="LD2692"/>
    <d v="2024-04-06T00:00:00"/>
    <x v="0"/>
    <s v="LinkedIn Ads"/>
    <s v="Mobile"/>
    <s v="Europe"/>
    <s v="Lead"/>
    <m/>
    <m/>
    <m/>
    <n v="1"/>
    <x v="1"/>
    <n v="0"/>
    <n v="0"/>
    <n v="0"/>
  </r>
  <r>
    <s v="LD1863"/>
    <d v="2024-02-21T00:00:00"/>
    <x v="4"/>
    <s v="Affiliate Program"/>
    <s v="Desktop"/>
    <s v="North America"/>
    <s v="Lead"/>
    <m/>
    <m/>
    <m/>
    <n v="1"/>
    <x v="10"/>
    <n v="0"/>
    <n v="0"/>
    <n v="0"/>
  </r>
  <r>
    <s v="LD5592"/>
    <d v="2024-09-17T00:00:00"/>
    <x v="2"/>
    <s v="Direct / Type-in"/>
    <s v="Mobile"/>
    <s v="Europe"/>
    <s v="Lead"/>
    <m/>
    <m/>
    <m/>
    <n v="1"/>
    <x v="9"/>
    <n v="0"/>
    <n v="0"/>
    <n v="0"/>
  </r>
  <r>
    <s v="LD5169"/>
    <d v="2024-09-25T00:00:00"/>
    <x v="1"/>
    <s v="Google Ads - Generic"/>
    <s v="Desktop"/>
    <s v="Latin America"/>
    <s v="Lead"/>
    <m/>
    <m/>
    <m/>
    <n v="1"/>
    <x v="9"/>
    <n v="0"/>
    <n v="0"/>
    <n v="0"/>
  </r>
  <r>
    <s v="LD3381"/>
    <d v="2024-05-04T00:00:00"/>
    <x v="3"/>
    <s v="Promo Blast"/>
    <s v="Desktop"/>
    <s v="North America"/>
    <s v="Lead"/>
    <m/>
    <m/>
    <m/>
    <n v="1"/>
    <x v="4"/>
    <n v="0"/>
    <n v="0"/>
    <n v="0"/>
  </r>
  <r>
    <s v="LD3379"/>
    <d v="2024-05-14T00:00:00"/>
    <x v="3"/>
    <s v="Monthly Newsletter"/>
    <s v="Desktop"/>
    <s v="Asia Pacific"/>
    <s v="Lead"/>
    <m/>
    <m/>
    <m/>
    <n v="1"/>
    <x v="4"/>
    <n v="0"/>
    <n v="0"/>
    <n v="0"/>
  </r>
  <r>
    <s v="LD7415"/>
    <d v="2024-12-04T00:00:00"/>
    <x v="0"/>
    <s v="Facebook Ads"/>
    <s v="Desktop"/>
    <s v="Europe"/>
    <s v="Lead"/>
    <m/>
    <m/>
    <m/>
    <n v="1"/>
    <x v="7"/>
    <n v="0"/>
    <n v="0"/>
    <n v="0"/>
  </r>
  <r>
    <s v="LD6254"/>
    <d v="2024-10-15T00:00:00"/>
    <x v="2"/>
    <s v="Direct / Type-in"/>
    <s v="Desktop"/>
    <s v="Europe"/>
    <s v="Lead"/>
    <m/>
    <m/>
    <m/>
    <n v="1"/>
    <x v="5"/>
    <n v="0"/>
    <n v="0"/>
    <n v="0"/>
  </r>
  <r>
    <s v="LD4333"/>
    <d v="2024-07-23T00:00:00"/>
    <x v="3"/>
    <s v="Promo Blast"/>
    <s v="Mobile"/>
    <s v="Europe"/>
    <s v="MQL"/>
    <m/>
    <m/>
    <m/>
    <n v="2"/>
    <x v="0"/>
    <n v="1"/>
    <n v="0"/>
    <n v="0"/>
  </r>
  <r>
    <s v="LD2117"/>
    <d v="2024-03-23T00:00:00"/>
    <x v="1"/>
    <s v="Google Ads - Generic"/>
    <s v="Desktop"/>
    <s v="Europe"/>
    <s v="Lead"/>
    <m/>
    <m/>
    <m/>
    <n v="1"/>
    <x v="8"/>
    <n v="0"/>
    <n v="0"/>
    <n v="0"/>
  </r>
  <r>
    <s v="LD2542"/>
    <d v="2024-04-16T00:00:00"/>
    <x v="5"/>
    <s v="Blog SEO"/>
    <s v="Tablet"/>
    <s v="North America"/>
    <s v="MQL"/>
    <m/>
    <m/>
    <m/>
    <n v="2"/>
    <x v="1"/>
    <n v="1"/>
    <n v="0"/>
    <n v="0"/>
  </r>
  <r>
    <s v="LD4552"/>
    <d v="2024-08-09T00:00:00"/>
    <x v="5"/>
    <s v="Landing Page SEO"/>
    <s v="Desktop"/>
    <s v="North America"/>
    <s v="MQL"/>
    <m/>
    <m/>
    <m/>
    <n v="2"/>
    <x v="6"/>
    <n v="1"/>
    <n v="0"/>
    <n v="0"/>
  </r>
  <r>
    <s v="LD6220"/>
    <d v="2024-10-06T00:00:00"/>
    <x v="4"/>
    <s v="Partner Program"/>
    <s v="Tablet"/>
    <s v="Asia Pacific"/>
    <s v="Lead"/>
    <m/>
    <m/>
    <m/>
    <n v="1"/>
    <x v="5"/>
    <n v="0"/>
    <n v="0"/>
    <n v="0"/>
  </r>
  <r>
    <s v="LD7239"/>
    <d v="2024-12-24T00:00:00"/>
    <x v="1"/>
    <s v="Google Ads - Generic"/>
    <s v="Desktop"/>
    <s v="Europe"/>
    <s v="Lead"/>
    <m/>
    <m/>
    <m/>
    <n v="1"/>
    <x v="7"/>
    <n v="0"/>
    <n v="0"/>
    <n v="0"/>
  </r>
  <r>
    <s v="LD4376"/>
    <d v="2024-07-14T00:00:00"/>
    <x v="4"/>
    <s v="Partner Program"/>
    <s v="Mobile"/>
    <s v="North America"/>
    <s v="MQL"/>
    <m/>
    <m/>
    <m/>
    <n v="2"/>
    <x v="0"/>
    <n v="1"/>
    <n v="0"/>
    <n v="0"/>
  </r>
  <r>
    <s v="LD5578"/>
    <d v="2024-09-12T00:00:00"/>
    <x v="2"/>
    <s v="Direct / Type-in"/>
    <s v="Desktop"/>
    <s v="Europe"/>
    <s v="Customer"/>
    <n v="36"/>
    <s v="Basic"/>
    <n v="680.48"/>
    <n v="4"/>
    <x v="9"/>
    <n v="1"/>
    <n v="1"/>
    <n v="1"/>
  </r>
  <r>
    <s v="LD6417"/>
    <d v="2024-11-07T00:00:00"/>
    <x v="5"/>
    <s v="Blog SEO"/>
    <s v="Desktop"/>
    <s v="Europe"/>
    <s v="SQL"/>
    <m/>
    <m/>
    <m/>
    <n v="3"/>
    <x v="2"/>
    <n v="1"/>
    <n v="1"/>
    <n v="0"/>
  </r>
  <r>
    <s v="LD4050"/>
    <d v="2024-07-03T00:00:00"/>
    <x v="5"/>
    <s v="Blog SEO"/>
    <s v="Mobile"/>
    <s v="North America"/>
    <s v="Lead"/>
    <m/>
    <m/>
    <m/>
    <n v="1"/>
    <x v="0"/>
    <n v="0"/>
    <n v="0"/>
    <n v="0"/>
  </r>
  <r>
    <s v="LD5533"/>
    <d v="2024-09-09T00:00:00"/>
    <x v="4"/>
    <s v="Affiliate Program"/>
    <s v="Mobile"/>
    <s v="North America"/>
    <s v="SQL"/>
    <m/>
    <m/>
    <m/>
    <n v="3"/>
    <x v="9"/>
    <n v="1"/>
    <n v="1"/>
    <n v="0"/>
  </r>
  <r>
    <s v="LD7572"/>
    <d v="2024-12-05T00:00:00"/>
    <x v="3"/>
    <s v="Promo Blast"/>
    <s v="Desktop"/>
    <s v="Asia Pacific"/>
    <s v="SQL"/>
    <m/>
    <m/>
    <m/>
    <n v="3"/>
    <x v="7"/>
    <n v="1"/>
    <n v="1"/>
    <n v="0"/>
  </r>
  <r>
    <s v="LD3501"/>
    <d v="2024-05-03T00:00:00"/>
    <x v="4"/>
    <s v="Partner Program"/>
    <s v="Desktop"/>
    <s v="Europe"/>
    <s v="SQL"/>
    <m/>
    <m/>
    <m/>
    <n v="3"/>
    <x v="4"/>
    <n v="1"/>
    <n v="1"/>
    <n v="0"/>
  </r>
  <r>
    <s v="LD7643"/>
    <d v="2024-12-17T00:00:00"/>
    <x v="4"/>
    <s v="Affiliate Program"/>
    <s v="Desktop"/>
    <s v="North America"/>
    <s v="Lead"/>
    <m/>
    <m/>
    <m/>
    <n v="1"/>
    <x v="7"/>
    <n v="0"/>
    <n v="0"/>
    <n v="0"/>
  </r>
  <r>
    <s v="LD5236"/>
    <d v="2024-09-08T00:00:00"/>
    <x v="0"/>
    <s v="Facebook Ads"/>
    <s v="Desktop"/>
    <s v="Asia Pacific"/>
    <s v="Lead"/>
    <m/>
    <m/>
    <m/>
    <n v="1"/>
    <x v="9"/>
    <n v="0"/>
    <n v="0"/>
    <n v="0"/>
  </r>
  <r>
    <s v="LD7009"/>
    <d v="2024-11-23T00:00:00"/>
    <x v="2"/>
    <s v="Direct / Type-in"/>
    <s v="Desktop"/>
    <s v="Latin America"/>
    <s v="MQL"/>
    <m/>
    <m/>
    <m/>
    <n v="2"/>
    <x v="2"/>
    <n v="1"/>
    <n v="0"/>
    <n v="0"/>
  </r>
  <r>
    <s v="LD7017"/>
    <d v="2024-11-05T00:00:00"/>
    <x v="2"/>
    <s v="Direct / Type-in"/>
    <s v="Tablet"/>
    <s v="Latin America"/>
    <s v="SQL"/>
    <m/>
    <m/>
    <m/>
    <n v="3"/>
    <x v="2"/>
    <n v="1"/>
    <n v="1"/>
    <n v="0"/>
  </r>
  <r>
    <s v="LD7676"/>
    <d v="2024-12-12T00:00:00"/>
    <x v="4"/>
    <s v="Affiliate Program"/>
    <s v="Desktop"/>
    <s v="Europe"/>
    <s v="MQL"/>
    <m/>
    <m/>
    <m/>
    <n v="2"/>
    <x v="7"/>
    <n v="1"/>
    <n v="0"/>
    <n v="0"/>
  </r>
  <r>
    <s v="LD4108"/>
    <d v="2024-07-23T00:00:00"/>
    <x v="5"/>
    <s v="Landing Page SEO"/>
    <s v="Mobile"/>
    <s v="North America"/>
    <s v="Lead"/>
    <m/>
    <m/>
    <m/>
    <n v="1"/>
    <x v="0"/>
    <n v="0"/>
    <n v="0"/>
    <n v="0"/>
  </r>
  <r>
    <s v="LD6107"/>
    <d v="2024-10-26T00:00:00"/>
    <x v="3"/>
    <s v="Promo Blast"/>
    <s v="Desktop"/>
    <s v="North America"/>
    <s v="Lead"/>
    <m/>
    <m/>
    <m/>
    <n v="1"/>
    <x v="5"/>
    <n v="0"/>
    <n v="0"/>
    <n v="0"/>
  </r>
  <r>
    <s v="LD7468"/>
    <d v="2024-12-17T00:00:00"/>
    <x v="3"/>
    <s v="Monthly Newsletter"/>
    <s v="Desktop"/>
    <s v="North America"/>
    <s v="Lead"/>
    <m/>
    <m/>
    <m/>
    <n v="1"/>
    <x v="7"/>
    <n v="0"/>
    <n v="0"/>
    <n v="0"/>
  </r>
  <r>
    <s v="LD6863"/>
    <d v="2024-11-21T00:00:00"/>
    <x v="3"/>
    <s v="Promo Blast"/>
    <s v="Desktop"/>
    <s v="Europe"/>
    <s v="Lead"/>
    <m/>
    <m/>
    <m/>
    <n v="1"/>
    <x v="2"/>
    <n v="0"/>
    <n v="0"/>
    <n v="0"/>
  </r>
  <r>
    <s v="LD7338"/>
    <d v="2024-12-21T00:00:00"/>
    <x v="0"/>
    <s v="LinkedIn Ads"/>
    <s v="Desktop"/>
    <s v="Europe"/>
    <s v="Lead"/>
    <m/>
    <m/>
    <m/>
    <n v="1"/>
    <x v="7"/>
    <n v="0"/>
    <n v="0"/>
    <n v="0"/>
  </r>
  <r>
    <s v="LD6042"/>
    <d v="2024-10-13T00:00:00"/>
    <x v="3"/>
    <s v="Promo Blast"/>
    <s v="Mobile"/>
    <s v="North America"/>
    <s v="MQL"/>
    <m/>
    <m/>
    <m/>
    <n v="2"/>
    <x v="5"/>
    <n v="1"/>
    <n v="0"/>
    <n v="0"/>
  </r>
  <r>
    <s v="LD5506"/>
    <d v="2024-09-05T00:00:00"/>
    <x v="4"/>
    <s v="Affiliate Program"/>
    <s v="Mobile"/>
    <s v="Latin America"/>
    <s v="Lead"/>
    <m/>
    <m/>
    <m/>
    <n v="1"/>
    <x v="9"/>
    <n v="0"/>
    <n v="0"/>
    <n v="0"/>
  </r>
  <r>
    <s v="LD7507"/>
    <d v="2024-12-22T00:00:00"/>
    <x v="3"/>
    <s v="Monthly Newsletter"/>
    <s v="Desktop"/>
    <s v="North America"/>
    <s v="MQL"/>
    <m/>
    <m/>
    <m/>
    <n v="2"/>
    <x v="7"/>
    <n v="1"/>
    <n v="0"/>
    <n v="0"/>
  </r>
  <r>
    <s v="LD3053"/>
    <d v="2024-05-12T00:00:00"/>
    <x v="5"/>
    <s v="Landing Page SEO"/>
    <s v="Desktop"/>
    <s v="North America"/>
    <s v="Lead"/>
    <m/>
    <m/>
    <m/>
    <n v="1"/>
    <x v="4"/>
    <n v="0"/>
    <n v="0"/>
    <n v="0"/>
  </r>
  <r>
    <s v="LD2777"/>
    <d v="2024-04-01T00:00:00"/>
    <x v="3"/>
    <s v="Monthly Newsletter"/>
    <s v="Tablet"/>
    <s v="Asia Pacific"/>
    <s v="Lead"/>
    <m/>
    <m/>
    <m/>
    <n v="1"/>
    <x v="1"/>
    <n v="0"/>
    <n v="0"/>
    <n v="0"/>
  </r>
  <r>
    <s v="LD4236"/>
    <d v="2024-07-21T00:00:00"/>
    <x v="0"/>
    <s v="Facebook Ads"/>
    <s v="Mobile"/>
    <s v="Latin America"/>
    <s v="Lead"/>
    <m/>
    <m/>
    <m/>
    <n v="1"/>
    <x v="0"/>
    <n v="0"/>
    <n v="0"/>
    <n v="0"/>
  </r>
  <r>
    <s v="LD5652"/>
    <d v="2024-10-17T00:00:00"/>
    <x v="5"/>
    <s v="Landing Page SEO"/>
    <s v="Desktop"/>
    <s v="Europe"/>
    <s v="Lead"/>
    <m/>
    <m/>
    <m/>
    <n v="1"/>
    <x v="5"/>
    <n v="0"/>
    <n v="0"/>
    <n v="0"/>
  </r>
  <r>
    <s v="LD3537"/>
    <d v="2024-05-23T00:00:00"/>
    <x v="2"/>
    <s v="Direct / Type-in"/>
    <s v="Mobile"/>
    <s v="Asia Pacific"/>
    <s v="MQL"/>
    <m/>
    <m/>
    <m/>
    <n v="2"/>
    <x v="4"/>
    <n v="1"/>
    <n v="0"/>
    <n v="0"/>
  </r>
  <r>
    <s v="LD5871"/>
    <d v="2024-10-06T00:00:00"/>
    <x v="0"/>
    <s v="LinkedIn Ads"/>
    <s v="Desktop"/>
    <s v="Europe"/>
    <s v="MQL"/>
    <m/>
    <m/>
    <m/>
    <n v="2"/>
    <x v="5"/>
    <n v="1"/>
    <n v="0"/>
    <n v="0"/>
  </r>
  <r>
    <s v="LD4524"/>
    <d v="2024-08-05T00:00:00"/>
    <x v="5"/>
    <s v="Landing Page SEO"/>
    <s v="Tablet"/>
    <s v="Asia Pacific"/>
    <s v="MQL"/>
    <m/>
    <m/>
    <m/>
    <n v="2"/>
    <x v="6"/>
    <n v="1"/>
    <n v="0"/>
    <n v="0"/>
  </r>
  <r>
    <s v="LD2593"/>
    <d v="2024-04-18T00:00:00"/>
    <x v="1"/>
    <s v="Google Ads - Brand"/>
    <s v="Desktop"/>
    <s v="North America"/>
    <s v="Lead"/>
    <m/>
    <m/>
    <m/>
    <n v="1"/>
    <x v="1"/>
    <n v="0"/>
    <n v="0"/>
    <n v="0"/>
  </r>
  <r>
    <s v="LD2724"/>
    <d v="2024-04-07T00:00:00"/>
    <x v="0"/>
    <s v="Facebook Ads"/>
    <s v="Desktop"/>
    <s v="North America"/>
    <s v="Lead"/>
    <m/>
    <m/>
    <m/>
    <n v="1"/>
    <x v="1"/>
    <n v="0"/>
    <n v="0"/>
    <n v="0"/>
  </r>
  <r>
    <s v="LD7269"/>
    <d v="2024-12-08T00:00:00"/>
    <x v="1"/>
    <s v="Google Ads - Generic"/>
    <s v="Desktop"/>
    <s v="North America"/>
    <s v="SQL"/>
    <m/>
    <m/>
    <m/>
    <n v="3"/>
    <x v="7"/>
    <n v="1"/>
    <n v="1"/>
    <n v="0"/>
  </r>
  <r>
    <s v="LD3612"/>
    <d v="2024-06-23T00:00:00"/>
    <x v="5"/>
    <s v="Landing Page SEO"/>
    <s v="Mobile"/>
    <s v="Europe"/>
    <s v="SQL"/>
    <m/>
    <m/>
    <m/>
    <n v="3"/>
    <x v="11"/>
    <n v="1"/>
    <n v="1"/>
    <n v="0"/>
  </r>
  <r>
    <s v="LD5611"/>
    <d v="2024-09-11T00:00:00"/>
    <x v="2"/>
    <s v="Direct / Type-in"/>
    <s v="Desktop"/>
    <s v="North America"/>
    <s v="MQL"/>
    <m/>
    <m/>
    <m/>
    <n v="2"/>
    <x v="9"/>
    <n v="1"/>
    <n v="0"/>
    <n v="0"/>
  </r>
  <r>
    <s v="LD1491"/>
    <d v="2024-02-06T00:00:00"/>
    <x v="5"/>
    <s v="Landing Page SEO"/>
    <s v="Desktop"/>
    <s v="Asia Pacific"/>
    <s v="Lead"/>
    <m/>
    <m/>
    <m/>
    <n v="1"/>
    <x v="10"/>
    <n v="0"/>
    <n v="0"/>
    <n v="0"/>
  </r>
  <r>
    <s v="LD6705"/>
    <d v="2024-11-09T00:00:00"/>
    <x v="3"/>
    <s v="Monthly Newsletter"/>
    <s v="Mobile"/>
    <s v="Europe"/>
    <s v="MQL"/>
    <m/>
    <m/>
    <m/>
    <n v="2"/>
    <x v="2"/>
    <n v="1"/>
    <n v="0"/>
    <n v="0"/>
  </r>
  <r>
    <s v="LD3911"/>
    <d v="2024-06-14T00:00:00"/>
    <x v="3"/>
    <s v="Promo Blast"/>
    <s v="Desktop"/>
    <s v="Europe"/>
    <s v="MQL"/>
    <m/>
    <m/>
    <m/>
    <n v="2"/>
    <x v="11"/>
    <n v="1"/>
    <n v="0"/>
    <n v="0"/>
  </r>
  <r>
    <s v="LD2007"/>
    <d v="2024-03-03T00:00:00"/>
    <x v="5"/>
    <s v="Landing Page SEO"/>
    <s v="Desktop"/>
    <s v="Latin America"/>
    <s v="MQL"/>
    <m/>
    <m/>
    <m/>
    <n v="2"/>
    <x v="8"/>
    <n v="1"/>
    <n v="0"/>
    <n v="0"/>
  </r>
  <r>
    <s v="LD7256"/>
    <d v="2024-12-27T00:00:00"/>
    <x v="1"/>
    <s v="Google Ads - Generic"/>
    <s v="Mobile"/>
    <s v="Europe"/>
    <s v="Lead"/>
    <m/>
    <m/>
    <m/>
    <n v="1"/>
    <x v="7"/>
    <n v="0"/>
    <n v="0"/>
    <n v="0"/>
  </r>
  <r>
    <s v="LD3504"/>
    <d v="2024-05-14T00:00:00"/>
    <x v="4"/>
    <s v="Partner Program"/>
    <s v="Desktop"/>
    <s v="Asia Pacific"/>
    <s v="MQL"/>
    <m/>
    <m/>
    <m/>
    <n v="2"/>
    <x v="4"/>
    <n v="1"/>
    <n v="0"/>
    <n v="0"/>
  </r>
  <r>
    <s v="LD5274"/>
    <d v="2024-09-21T00:00:00"/>
    <x v="0"/>
    <s v="Facebook Ads"/>
    <s v="Desktop"/>
    <s v="Europe"/>
    <s v="Lead"/>
    <m/>
    <m/>
    <m/>
    <n v="1"/>
    <x v="9"/>
    <n v="0"/>
    <n v="0"/>
    <n v="0"/>
  </r>
  <r>
    <s v="LD3315"/>
    <d v="2024-05-17T00:00:00"/>
    <x v="3"/>
    <s v="Promo Blast"/>
    <s v="Desktop"/>
    <s v="North America"/>
    <s v="Lead"/>
    <m/>
    <m/>
    <m/>
    <n v="1"/>
    <x v="4"/>
    <n v="0"/>
    <n v="0"/>
    <n v="0"/>
  </r>
  <r>
    <s v="LD3555"/>
    <d v="2024-05-06T00:00:00"/>
    <x v="2"/>
    <s v="Direct / Type-in"/>
    <s v="Mobile"/>
    <s v="North America"/>
    <s v="Lead"/>
    <m/>
    <m/>
    <m/>
    <n v="1"/>
    <x v="4"/>
    <n v="0"/>
    <n v="0"/>
    <n v="0"/>
  </r>
  <r>
    <s v="LD2418"/>
    <d v="2024-03-01T00:00:00"/>
    <x v="2"/>
    <s v="Direct / Type-in"/>
    <s v="Mobile"/>
    <s v="Europe"/>
    <s v="MQL"/>
    <m/>
    <m/>
    <m/>
    <n v="2"/>
    <x v="8"/>
    <n v="1"/>
    <n v="0"/>
    <n v="0"/>
  </r>
  <r>
    <s v="LD1026"/>
    <d v="2024-01-18T00:00:00"/>
    <x v="5"/>
    <s v="Blog SEO"/>
    <s v="Desktop"/>
    <s v="Europe"/>
    <s v="SQL"/>
    <m/>
    <m/>
    <m/>
    <n v="3"/>
    <x v="3"/>
    <n v="1"/>
    <n v="1"/>
    <n v="0"/>
  </r>
  <r>
    <s v="LD3410"/>
    <d v="2024-05-15T00:00:00"/>
    <x v="3"/>
    <s v="Promo Blast"/>
    <s v="Desktop"/>
    <s v="Europe"/>
    <s v="MQL"/>
    <m/>
    <m/>
    <m/>
    <n v="2"/>
    <x v="4"/>
    <n v="1"/>
    <n v="0"/>
    <n v="0"/>
  </r>
  <r>
    <s v="LD2114"/>
    <d v="2024-03-20T00:00:00"/>
    <x v="1"/>
    <s v="Google Ads - Brand"/>
    <s v="Desktop"/>
    <s v="North America"/>
    <s v="Lead"/>
    <m/>
    <m/>
    <m/>
    <n v="1"/>
    <x v="8"/>
    <n v="0"/>
    <n v="0"/>
    <n v="0"/>
  </r>
  <r>
    <s v="LD5370"/>
    <d v="2024-09-26T00:00:00"/>
    <x v="3"/>
    <s v="Promo Blast"/>
    <s v="Tablet"/>
    <s v="Europe"/>
    <s v="MQL"/>
    <m/>
    <m/>
    <m/>
    <n v="2"/>
    <x v="9"/>
    <n v="1"/>
    <n v="0"/>
    <n v="0"/>
  </r>
  <r>
    <s v="LD2553"/>
    <d v="2024-04-24T00:00:00"/>
    <x v="5"/>
    <s v="Blog SEO"/>
    <s v="Desktop"/>
    <s v="North America"/>
    <s v="SQL"/>
    <m/>
    <m/>
    <m/>
    <n v="3"/>
    <x v="1"/>
    <n v="1"/>
    <n v="1"/>
    <n v="0"/>
  </r>
  <r>
    <s v="LD6797"/>
    <d v="2024-11-19T00:00:00"/>
    <x v="3"/>
    <s v="Promo Blast"/>
    <s v="Tablet"/>
    <s v="Europe"/>
    <s v="Customer"/>
    <n v="16"/>
    <s v="Basic"/>
    <n v="1055.1099999999999"/>
    <n v="4"/>
    <x v="2"/>
    <n v="1"/>
    <n v="1"/>
    <n v="1"/>
  </r>
  <r>
    <s v="LD7019"/>
    <d v="2024-11-15T00:00:00"/>
    <x v="2"/>
    <s v="Direct / Type-in"/>
    <s v="Desktop"/>
    <s v="Europe"/>
    <s v="Lead"/>
    <m/>
    <m/>
    <m/>
    <n v="1"/>
    <x v="2"/>
    <n v="0"/>
    <n v="0"/>
    <n v="0"/>
  </r>
  <r>
    <s v="LD5100"/>
    <d v="2024-09-08T00:00:00"/>
    <x v="5"/>
    <s v="Blog SEO"/>
    <s v="Desktop"/>
    <s v="Europe"/>
    <s v="SQL"/>
    <m/>
    <m/>
    <m/>
    <n v="3"/>
    <x v="9"/>
    <n v="1"/>
    <n v="1"/>
    <n v="0"/>
  </r>
  <r>
    <s v="LD1434"/>
    <d v="2024-01-03T00:00:00"/>
    <x v="2"/>
    <s v="Direct / Type-in"/>
    <s v="Mobile"/>
    <s v="Europe"/>
    <s v="Customer"/>
    <n v="69"/>
    <s v="Basic"/>
    <n v="1139.1099999999999"/>
    <n v="4"/>
    <x v="3"/>
    <n v="1"/>
    <n v="1"/>
    <n v="1"/>
  </r>
  <r>
    <s v="LD7324"/>
    <d v="2024-12-22T00:00:00"/>
    <x v="1"/>
    <s v="Google Ads - Brand"/>
    <s v="Desktop"/>
    <s v="North America"/>
    <s v="Lead"/>
    <m/>
    <m/>
    <m/>
    <n v="1"/>
    <x v="7"/>
    <n v="0"/>
    <n v="0"/>
    <n v="0"/>
  </r>
  <r>
    <s v="LD3656"/>
    <d v="2024-06-21T00:00:00"/>
    <x v="1"/>
    <s v="Google Ads - Brand"/>
    <s v="Mobile"/>
    <s v="North America"/>
    <s v="Lead"/>
    <m/>
    <m/>
    <m/>
    <n v="1"/>
    <x v="11"/>
    <n v="0"/>
    <n v="0"/>
    <n v="0"/>
  </r>
  <r>
    <s v="LD4626"/>
    <d v="2024-08-13T00:00:00"/>
    <x v="1"/>
    <s v="Google Ads - Generic"/>
    <s v="Desktop"/>
    <s v="Asia Pacific"/>
    <s v="MQL"/>
    <m/>
    <m/>
    <m/>
    <n v="2"/>
    <x v="6"/>
    <n v="1"/>
    <n v="0"/>
    <n v="0"/>
  </r>
  <r>
    <s v="LD5598"/>
    <d v="2024-09-19T00:00:00"/>
    <x v="2"/>
    <s v="Direct / Type-in"/>
    <s v="Desktop"/>
    <s v="Europe"/>
    <s v="Customer"/>
    <n v="75"/>
    <s v="Basic"/>
    <n v="758.2"/>
    <n v="4"/>
    <x v="9"/>
    <n v="1"/>
    <n v="1"/>
    <n v="1"/>
  </r>
  <r>
    <s v="LD5820"/>
    <d v="2024-10-11T00:00:00"/>
    <x v="1"/>
    <s v="Google Ads - Brand"/>
    <s v="Mobile"/>
    <s v="North America"/>
    <s v="Lead"/>
    <m/>
    <m/>
    <m/>
    <n v="1"/>
    <x v="5"/>
    <n v="0"/>
    <n v="0"/>
    <n v="0"/>
  </r>
  <r>
    <s v="LD4986"/>
    <d v="2024-08-12T00:00:00"/>
    <x v="2"/>
    <s v="Direct / Type-in"/>
    <s v="Mobile"/>
    <s v="North America"/>
    <s v="Lead"/>
    <m/>
    <m/>
    <m/>
    <n v="1"/>
    <x v="6"/>
    <n v="0"/>
    <n v="0"/>
    <n v="0"/>
  </r>
  <r>
    <s v="LD5155"/>
    <d v="2024-09-13T00:00:00"/>
    <x v="1"/>
    <s v="Google Ads - Brand"/>
    <s v="Desktop"/>
    <s v="Asia Pacific"/>
    <s v="SQL"/>
    <m/>
    <m/>
    <m/>
    <n v="3"/>
    <x v="9"/>
    <n v="1"/>
    <n v="1"/>
    <n v="0"/>
  </r>
  <r>
    <s v="LD7097"/>
    <d v="2024-12-10T00:00:00"/>
    <x v="5"/>
    <s v="Landing Page SEO"/>
    <s v="Tablet"/>
    <s v="North America"/>
    <s v="SQL"/>
    <m/>
    <m/>
    <m/>
    <n v="3"/>
    <x v="7"/>
    <n v="1"/>
    <n v="1"/>
    <n v="0"/>
  </r>
  <r>
    <s v="LD4881"/>
    <d v="2024-08-19T00:00:00"/>
    <x v="4"/>
    <s v="Affiliate Program"/>
    <s v="Desktop"/>
    <s v="Asia Pacific"/>
    <s v="Lead"/>
    <m/>
    <m/>
    <m/>
    <n v="1"/>
    <x v="6"/>
    <n v="0"/>
    <n v="0"/>
    <n v="0"/>
  </r>
  <r>
    <s v="LD3519"/>
    <d v="2024-05-15T00:00:00"/>
    <x v="2"/>
    <s v="Direct / Type-in"/>
    <s v="Desktop"/>
    <s v="Europe"/>
    <s v="Lead"/>
    <m/>
    <m/>
    <m/>
    <n v="1"/>
    <x v="4"/>
    <n v="0"/>
    <n v="0"/>
    <n v="0"/>
  </r>
  <r>
    <s v="LD7522"/>
    <d v="2024-12-05T00:00:00"/>
    <x v="3"/>
    <s v="Promo Blast"/>
    <s v="Desktop"/>
    <s v="North America"/>
    <s v="SQL"/>
    <m/>
    <m/>
    <m/>
    <n v="3"/>
    <x v="7"/>
    <n v="1"/>
    <n v="1"/>
    <n v="0"/>
  </r>
  <r>
    <s v="LD2103"/>
    <d v="2024-03-27T00:00:00"/>
    <x v="1"/>
    <s v="Google Ads - Brand"/>
    <s v="Desktop"/>
    <s v="Europe"/>
    <s v="MQL"/>
    <m/>
    <m/>
    <m/>
    <n v="2"/>
    <x v="8"/>
    <n v="1"/>
    <n v="0"/>
    <n v="0"/>
  </r>
  <r>
    <s v="LD4152"/>
    <d v="2024-07-23T00:00:00"/>
    <x v="1"/>
    <s v="Google Ads - Brand"/>
    <s v="Desktop"/>
    <s v="Latin America"/>
    <s v="Lead"/>
    <m/>
    <m/>
    <m/>
    <n v="1"/>
    <x v="0"/>
    <n v="0"/>
    <n v="0"/>
    <n v="0"/>
  </r>
  <r>
    <s v="LD7736"/>
    <d v="2024-12-21T00:00:00"/>
    <x v="2"/>
    <s v="Direct / Type-in"/>
    <s v="Mobile"/>
    <s v="North America"/>
    <s v="SQL"/>
    <m/>
    <m/>
    <m/>
    <n v="3"/>
    <x v="7"/>
    <n v="1"/>
    <n v="1"/>
    <n v="0"/>
  </r>
  <r>
    <s v="LD5276"/>
    <d v="2024-09-04T00:00:00"/>
    <x v="0"/>
    <s v="Instagram Ads"/>
    <s v="Desktop"/>
    <s v="North America"/>
    <s v="SQL"/>
    <m/>
    <m/>
    <m/>
    <n v="3"/>
    <x v="9"/>
    <n v="1"/>
    <n v="1"/>
    <n v="0"/>
  </r>
  <r>
    <s v="LD6426"/>
    <d v="2024-11-25T00:00:00"/>
    <x v="5"/>
    <s v="Blog SEO"/>
    <s v="Mobile"/>
    <s v="Europe"/>
    <s v="Lead"/>
    <m/>
    <m/>
    <m/>
    <n v="1"/>
    <x v="2"/>
    <n v="0"/>
    <n v="0"/>
    <n v="0"/>
  </r>
  <r>
    <s v="LD6666"/>
    <d v="2024-11-28T00:00:00"/>
    <x v="0"/>
    <s v="Instagram Ads"/>
    <s v="Desktop"/>
    <s v="Europe"/>
    <s v="Lead"/>
    <m/>
    <m/>
    <m/>
    <n v="1"/>
    <x v="2"/>
    <n v="0"/>
    <n v="0"/>
    <n v="0"/>
  </r>
  <r>
    <s v="LD1195"/>
    <d v="2024-01-01T00:00:00"/>
    <x v="0"/>
    <s v="Facebook Ads"/>
    <s v="Mobile"/>
    <s v="North America"/>
    <s v="MQL"/>
    <m/>
    <m/>
    <m/>
    <n v="2"/>
    <x v="3"/>
    <n v="1"/>
    <n v="0"/>
    <n v="0"/>
  </r>
  <r>
    <s v="LD1616"/>
    <d v="2024-02-22T00:00:00"/>
    <x v="1"/>
    <s v="Google Ads - Generic"/>
    <s v="Mobile"/>
    <s v="Europe"/>
    <s v="Lead"/>
    <m/>
    <m/>
    <m/>
    <n v="1"/>
    <x v="10"/>
    <n v="0"/>
    <n v="0"/>
    <n v="0"/>
  </r>
  <r>
    <s v="LD1644"/>
    <d v="2024-02-17T00:00:00"/>
    <x v="0"/>
    <s v="LinkedIn Ads"/>
    <s v="Desktop"/>
    <s v="Europe"/>
    <s v="Lead"/>
    <m/>
    <m/>
    <m/>
    <n v="1"/>
    <x v="10"/>
    <n v="0"/>
    <n v="0"/>
    <n v="0"/>
  </r>
  <r>
    <s v="LD5879"/>
    <d v="2024-10-20T00:00:00"/>
    <x v="0"/>
    <s v="Facebook Ads"/>
    <s v="Desktop"/>
    <s v="North America"/>
    <s v="Lead"/>
    <m/>
    <m/>
    <m/>
    <n v="1"/>
    <x v="5"/>
    <n v="0"/>
    <n v="0"/>
    <n v="0"/>
  </r>
  <r>
    <s v="LD5757"/>
    <d v="2024-10-01T00:00:00"/>
    <x v="1"/>
    <s v="Google Ads - Generic"/>
    <s v="Desktop"/>
    <s v="North America"/>
    <s v="SQL"/>
    <m/>
    <m/>
    <m/>
    <n v="3"/>
    <x v="5"/>
    <n v="1"/>
    <n v="1"/>
    <n v="0"/>
  </r>
  <r>
    <s v="LD3777"/>
    <d v="2024-06-27T00:00:00"/>
    <x v="0"/>
    <s v="Facebook Ads"/>
    <s v="Desktop"/>
    <s v="North America"/>
    <s v="Lead"/>
    <m/>
    <m/>
    <m/>
    <n v="1"/>
    <x v="11"/>
    <n v="0"/>
    <n v="0"/>
    <n v="0"/>
  </r>
  <r>
    <s v="LD6734"/>
    <d v="2024-11-22T00:00:00"/>
    <x v="3"/>
    <s v="Monthly Newsletter"/>
    <s v="Mobile"/>
    <s v="North America"/>
    <s v="SQL"/>
    <m/>
    <m/>
    <m/>
    <n v="3"/>
    <x v="2"/>
    <n v="1"/>
    <n v="1"/>
    <n v="0"/>
  </r>
  <r>
    <s v="LD4140"/>
    <d v="2024-07-25T00:00:00"/>
    <x v="1"/>
    <s v="Google Ads - Generic"/>
    <s v="Desktop"/>
    <s v="Europe"/>
    <s v="SQL"/>
    <m/>
    <m/>
    <m/>
    <n v="3"/>
    <x v="0"/>
    <n v="1"/>
    <n v="1"/>
    <n v="0"/>
  </r>
  <r>
    <s v="LD1331"/>
    <d v="2024-01-22T00:00:00"/>
    <x v="3"/>
    <s v="Promo Blast"/>
    <s v="Mobile"/>
    <s v="North America"/>
    <s v="MQL"/>
    <m/>
    <m/>
    <m/>
    <n v="2"/>
    <x v="3"/>
    <n v="1"/>
    <n v="0"/>
    <n v="0"/>
  </r>
  <r>
    <s v="LD3208"/>
    <d v="2024-05-21T00:00:00"/>
    <x v="1"/>
    <s v="Google Ads - Brand"/>
    <s v="Mobile"/>
    <s v="North America"/>
    <s v="Lead"/>
    <m/>
    <m/>
    <m/>
    <n v="1"/>
    <x v="4"/>
    <n v="0"/>
    <n v="0"/>
    <n v="0"/>
  </r>
  <r>
    <s v="LD5443"/>
    <d v="2024-09-21T00:00:00"/>
    <x v="3"/>
    <s v="Promo Blast"/>
    <s v="Desktop"/>
    <s v="North America"/>
    <s v="Customer"/>
    <n v="19"/>
    <s v="Pro"/>
    <n v="4882.83"/>
    <n v="4"/>
    <x v="9"/>
    <n v="1"/>
    <n v="1"/>
    <n v="1"/>
  </r>
  <r>
    <s v="LD5003"/>
    <d v="2024-08-18T00:00:00"/>
    <x v="2"/>
    <s v="Direct / Type-in"/>
    <s v="Desktop"/>
    <s v="Europe"/>
    <s v="Lead"/>
    <m/>
    <m/>
    <m/>
    <n v="1"/>
    <x v="6"/>
    <n v="0"/>
    <n v="0"/>
    <n v="0"/>
  </r>
  <r>
    <s v="LD3671"/>
    <d v="2024-06-26T00:00:00"/>
    <x v="1"/>
    <s v="Google Ads - Brand"/>
    <s v="Desktop"/>
    <s v="North America"/>
    <s v="Lead"/>
    <m/>
    <m/>
    <m/>
    <n v="1"/>
    <x v="11"/>
    <n v="0"/>
    <n v="0"/>
    <n v="0"/>
  </r>
  <r>
    <s v="LD1973"/>
    <d v="2024-03-03T00:00:00"/>
    <x v="5"/>
    <s v="Landing Page SEO"/>
    <s v="Mobile"/>
    <s v="Asia Pacific"/>
    <s v="SQL"/>
    <m/>
    <m/>
    <m/>
    <n v="3"/>
    <x v="8"/>
    <n v="1"/>
    <n v="1"/>
    <n v="0"/>
  </r>
  <r>
    <s v="LD1484"/>
    <d v="2024-02-22T00:00:00"/>
    <x v="5"/>
    <s v="Blog SEO"/>
    <s v="Desktop"/>
    <s v="North America"/>
    <s v="Lead"/>
    <m/>
    <m/>
    <m/>
    <n v="1"/>
    <x v="10"/>
    <n v="0"/>
    <n v="0"/>
    <n v="0"/>
  </r>
  <r>
    <s v="LD3421"/>
    <d v="2024-05-05T00:00:00"/>
    <x v="3"/>
    <s v="Promo Blast"/>
    <s v="Mobile"/>
    <s v="Europe"/>
    <s v="MQL"/>
    <m/>
    <m/>
    <m/>
    <n v="2"/>
    <x v="4"/>
    <n v="1"/>
    <n v="0"/>
    <n v="0"/>
  </r>
  <r>
    <s v="LD3603"/>
    <d v="2024-06-18T00:00:00"/>
    <x v="5"/>
    <s v="Blog SEO"/>
    <s v="Mobile"/>
    <s v="Europe"/>
    <s v="Lead"/>
    <m/>
    <m/>
    <m/>
    <n v="1"/>
    <x v="11"/>
    <n v="0"/>
    <n v="0"/>
    <n v="0"/>
  </r>
  <r>
    <s v="LD1720"/>
    <d v="2024-02-03T00:00:00"/>
    <x v="3"/>
    <s v="Promo Blast"/>
    <s v="Desktop"/>
    <s v="North America"/>
    <s v="MQL"/>
    <m/>
    <m/>
    <m/>
    <n v="2"/>
    <x v="10"/>
    <n v="1"/>
    <n v="0"/>
    <n v="0"/>
  </r>
  <r>
    <s v="LD4219"/>
    <d v="2024-07-22T00:00:00"/>
    <x v="0"/>
    <s v="Facebook Ads"/>
    <s v="Desktop"/>
    <s v="Asia Pacific"/>
    <s v="Lead"/>
    <m/>
    <m/>
    <m/>
    <n v="1"/>
    <x v="0"/>
    <n v="0"/>
    <n v="0"/>
    <n v="0"/>
  </r>
  <r>
    <s v="LD3060"/>
    <d v="2024-05-22T00:00:00"/>
    <x v="5"/>
    <s v="Landing Page SEO"/>
    <s v="Desktop"/>
    <s v="Europe"/>
    <s v="SQL"/>
    <m/>
    <m/>
    <m/>
    <n v="3"/>
    <x v="4"/>
    <n v="1"/>
    <n v="1"/>
    <n v="0"/>
  </r>
  <r>
    <s v="LD3804"/>
    <d v="2024-06-11T00:00:00"/>
    <x v="3"/>
    <s v="Promo Blast"/>
    <s v="Desktop"/>
    <s v="North America"/>
    <s v="Lead"/>
    <m/>
    <m/>
    <m/>
    <n v="1"/>
    <x v="11"/>
    <n v="0"/>
    <n v="0"/>
    <n v="0"/>
  </r>
  <r>
    <s v="LD3567"/>
    <d v="2024-06-28T00:00:00"/>
    <x v="5"/>
    <s v="Blog SEO"/>
    <s v="Desktop"/>
    <s v="Asia Pacific"/>
    <s v="Lead"/>
    <m/>
    <m/>
    <m/>
    <n v="1"/>
    <x v="11"/>
    <n v="0"/>
    <n v="0"/>
    <n v="0"/>
  </r>
  <r>
    <s v="LD6914"/>
    <d v="2024-11-06T00:00:00"/>
    <x v="4"/>
    <s v="Partner Program"/>
    <s v="Mobile"/>
    <s v="North America"/>
    <s v="Lead"/>
    <m/>
    <m/>
    <m/>
    <n v="1"/>
    <x v="2"/>
    <n v="0"/>
    <n v="0"/>
    <n v="0"/>
  </r>
  <r>
    <s v="LD1033"/>
    <d v="2024-01-12T00:00:00"/>
    <x v="5"/>
    <s v="Landing Page SEO"/>
    <s v="Desktop"/>
    <s v="Asia Pacific"/>
    <s v="MQL"/>
    <m/>
    <m/>
    <m/>
    <n v="2"/>
    <x v="3"/>
    <n v="1"/>
    <n v="0"/>
    <n v="0"/>
  </r>
  <r>
    <s v="LD1665"/>
    <d v="2024-02-23T00:00:00"/>
    <x v="0"/>
    <s v="Instagram Ads"/>
    <s v="Mobile"/>
    <s v="Asia Pacific"/>
    <s v="Lead"/>
    <m/>
    <m/>
    <m/>
    <n v="1"/>
    <x v="10"/>
    <n v="0"/>
    <n v="0"/>
    <n v="0"/>
  </r>
  <r>
    <s v="LD6339"/>
    <d v="2024-11-01T00:00:00"/>
    <x v="5"/>
    <s v="Blog SEO"/>
    <s v="Desktop"/>
    <s v="Latin America"/>
    <s v="Lead"/>
    <m/>
    <m/>
    <m/>
    <n v="1"/>
    <x v="2"/>
    <n v="0"/>
    <n v="0"/>
    <n v="0"/>
  </r>
  <r>
    <s v="LD5324"/>
    <d v="2024-09-19T00:00:00"/>
    <x v="3"/>
    <s v="Monthly Newsletter"/>
    <s v="Tablet"/>
    <s v="Europe"/>
    <s v="SQL"/>
    <m/>
    <m/>
    <m/>
    <n v="3"/>
    <x v="9"/>
    <n v="1"/>
    <n v="1"/>
    <n v="0"/>
  </r>
  <r>
    <s v="LD2445"/>
    <d v="2024-03-18T00:00:00"/>
    <x v="2"/>
    <s v="Direct / Type-in"/>
    <s v="Desktop"/>
    <s v="North America"/>
    <s v="Lead"/>
    <m/>
    <m/>
    <m/>
    <n v="1"/>
    <x v="8"/>
    <n v="0"/>
    <n v="0"/>
    <n v="0"/>
  </r>
  <r>
    <s v="LD7520"/>
    <d v="2024-12-16T00:00:00"/>
    <x v="3"/>
    <s v="Promo Blast"/>
    <s v="Desktop"/>
    <s v="North America"/>
    <s v="SQL"/>
    <m/>
    <m/>
    <m/>
    <n v="3"/>
    <x v="7"/>
    <n v="1"/>
    <n v="1"/>
    <n v="0"/>
  </r>
  <r>
    <s v="LD3793"/>
    <d v="2024-06-08T00:00:00"/>
    <x v="0"/>
    <s v="Instagram Ads"/>
    <s v="Desktop"/>
    <s v="Europe"/>
    <s v="Lead"/>
    <m/>
    <m/>
    <m/>
    <n v="1"/>
    <x v="11"/>
    <n v="0"/>
    <n v="0"/>
    <n v="0"/>
  </r>
  <r>
    <s v="LD5411"/>
    <d v="2024-09-08T00:00:00"/>
    <x v="3"/>
    <s v="Promo Blast"/>
    <s v="Tablet"/>
    <s v="North America"/>
    <s v="Customer"/>
    <n v="49"/>
    <s v="Pro"/>
    <n v="4375.2700000000004"/>
    <n v="4"/>
    <x v="9"/>
    <n v="1"/>
    <n v="1"/>
    <n v="1"/>
  </r>
  <r>
    <s v="LD7614"/>
    <d v="2024-12-17T00:00:00"/>
    <x v="4"/>
    <s v="Partner Program"/>
    <s v="Desktop"/>
    <s v="North America"/>
    <s v="Customer"/>
    <n v="37"/>
    <s v="Enterprise"/>
    <n v="13547.14"/>
    <n v="4"/>
    <x v="7"/>
    <n v="1"/>
    <n v="1"/>
    <n v="1"/>
  </r>
  <r>
    <s v="LD2706"/>
    <d v="2024-04-24T00:00:00"/>
    <x v="0"/>
    <s v="Facebook Ads"/>
    <s v="Desktop"/>
    <s v="North America"/>
    <s v="SQL"/>
    <m/>
    <m/>
    <m/>
    <n v="3"/>
    <x v="1"/>
    <n v="1"/>
    <n v="1"/>
    <n v="0"/>
  </r>
  <r>
    <s v="LD4096"/>
    <d v="2024-07-07T00:00:00"/>
    <x v="5"/>
    <s v="Blog SEO"/>
    <s v="Desktop"/>
    <s v="North America"/>
    <s v="MQL"/>
    <m/>
    <m/>
    <m/>
    <n v="2"/>
    <x v="0"/>
    <n v="1"/>
    <n v="0"/>
    <n v="0"/>
  </r>
  <r>
    <s v="LD6864"/>
    <d v="2024-11-02T00:00:00"/>
    <x v="3"/>
    <s v="Promo Blast"/>
    <s v="Desktop"/>
    <s v="Asia Pacific"/>
    <s v="MQL"/>
    <m/>
    <m/>
    <m/>
    <n v="2"/>
    <x v="2"/>
    <n v="1"/>
    <n v="0"/>
    <n v="0"/>
  </r>
  <r>
    <s v="LD4575"/>
    <d v="2024-08-05T00:00:00"/>
    <x v="5"/>
    <s v="Blog SEO"/>
    <s v="Desktop"/>
    <s v="North America"/>
    <s v="Lead"/>
    <m/>
    <m/>
    <m/>
    <n v="1"/>
    <x v="6"/>
    <n v="0"/>
    <n v="0"/>
    <n v="0"/>
  </r>
  <r>
    <s v="LD4750"/>
    <d v="2024-08-20T00:00:00"/>
    <x v="0"/>
    <s v="Instagram Ads"/>
    <s v="Desktop"/>
    <s v="Latin America"/>
    <s v="Lead"/>
    <m/>
    <m/>
    <m/>
    <n v="1"/>
    <x v="6"/>
    <n v="0"/>
    <n v="0"/>
    <n v="0"/>
  </r>
  <r>
    <s v="LD5513"/>
    <d v="2024-09-17T00:00:00"/>
    <x v="4"/>
    <s v="Partner Program"/>
    <s v="Desktop"/>
    <s v="North America"/>
    <s v="Lead"/>
    <m/>
    <m/>
    <m/>
    <n v="1"/>
    <x v="9"/>
    <n v="0"/>
    <n v="0"/>
    <n v="0"/>
  </r>
  <r>
    <s v="LD1119"/>
    <d v="2024-01-05T00:00:00"/>
    <x v="1"/>
    <s v="Google Ads - Generic"/>
    <s v="Desktop"/>
    <s v="North America"/>
    <s v="MQL"/>
    <m/>
    <m/>
    <m/>
    <n v="2"/>
    <x v="3"/>
    <n v="1"/>
    <n v="0"/>
    <n v="0"/>
  </r>
  <r>
    <s v="LD3278"/>
    <d v="2024-05-06T00:00:00"/>
    <x v="0"/>
    <s v="LinkedIn Ads"/>
    <s v="Desktop"/>
    <s v="Europe"/>
    <s v="Lead"/>
    <m/>
    <m/>
    <m/>
    <n v="1"/>
    <x v="4"/>
    <n v="0"/>
    <n v="0"/>
    <n v="0"/>
  </r>
  <r>
    <s v="LD3906"/>
    <d v="2024-06-11T00:00:00"/>
    <x v="3"/>
    <s v="Monthly Newsletter"/>
    <s v="Mobile"/>
    <s v="North America"/>
    <s v="MQL"/>
    <m/>
    <m/>
    <m/>
    <n v="2"/>
    <x v="11"/>
    <n v="1"/>
    <n v="0"/>
    <n v="0"/>
  </r>
  <r>
    <s v="LD2402"/>
    <d v="2024-03-24T00:00:00"/>
    <x v="4"/>
    <s v="Partner Program"/>
    <s v="Desktop"/>
    <s v="Asia Pacific"/>
    <s v="MQL"/>
    <m/>
    <m/>
    <m/>
    <n v="2"/>
    <x v="8"/>
    <n v="1"/>
    <n v="0"/>
    <n v="0"/>
  </r>
  <r>
    <s v="LD1740"/>
    <d v="2024-02-25T00:00:00"/>
    <x v="3"/>
    <s v="Monthly Newsletter"/>
    <s v="Desktop"/>
    <s v="North America"/>
    <s v="Lead"/>
    <m/>
    <m/>
    <m/>
    <n v="1"/>
    <x v="10"/>
    <n v="0"/>
    <n v="0"/>
    <n v="0"/>
  </r>
  <r>
    <s v="LD3457"/>
    <d v="2024-05-26T00:00:00"/>
    <x v="4"/>
    <s v="Partner Program"/>
    <s v="Desktop"/>
    <s v="Europe"/>
    <s v="SQL"/>
    <m/>
    <m/>
    <m/>
    <n v="3"/>
    <x v="4"/>
    <n v="1"/>
    <n v="1"/>
    <n v="0"/>
  </r>
  <r>
    <s v="LD1171"/>
    <d v="2024-01-28T00:00:00"/>
    <x v="1"/>
    <s v="Google Ads - Generic"/>
    <s v="Desktop"/>
    <s v="North America"/>
    <s v="SQL"/>
    <m/>
    <m/>
    <m/>
    <n v="3"/>
    <x v="3"/>
    <n v="1"/>
    <n v="1"/>
    <n v="0"/>
  </r>
  <r>
    <s v="LD1541"/>
    <d v="2024-02-06T00:00:00"/>
    <x v="5"/>
    <s v="Landing Page SEO"/>
    <s v="Desktop"/>
    <s v="Europe"/>
    <s v="SQL"/>
    <m/>
    <m/>
    <m/>
    <n v="3"/>
    <x v="10"/>
    <n v="1"/>
    <n v="1"/>
    <n v="0"/>
  </r>
  <r>
    <s v="LD5044"/>
    <d v="2024-09-26T00:00:00"/>
    <x v="5"/>
    <s v="Blog SEO"/>
    <s v="Desktop"/>
    <s v="Asia Pacific"/>
    <s v="MQL"/>
    <m/>
    <m/>
    <m/>
    <n v="2"/>
    <x v="9"/>
    <n v="1"/>
    <n v="0"/>
    <n v="0"/>
  </r>
  <r>
    <s v="LD6085"/>
    <d v="2024-10-12T00:00:00"/>
    <x v="3"/>
    <s v="Monthly Newsletter"/>
    <s v="Desktop"/>
    <s v="Asia Pacific"/>
    <s v="MQL"/>
    <m/>
    <m/>
    <m/>
    <n v="2"/>
    <x v="5"/>
    <n v="1"/>
    <n v="0"/>
    <n v="0"/>
  </r>
  <r>
    <s v="LD4781"/>
    <d v="2024-08-14T00:00:00"/>
    <x v="3"/>
    <s v="Monthly Newsletter"/>
    <s v="Desktop"/>
    <s v="North America"/>
    <s v="Lead"/>
    <m/>
    <m/>
    <m/>
    <n v="1"/>
    <x v="6"/>
    <n v="0"/>
    <n v="0"/>
    <n v="0"/>
  </r>
  <r>
    <s v="LD4188"/>
    <d v="2024-07-10T00:00:00"/>
    <x v="1"/>
    <s v="Google Ads - Generic"/>
    <s v="Tablet"/>
    <s v="North America"/>
    <s v="SQL"/>
    <m/>
    <m/>
    <m/>
    <n v="3"/>
    <x v="0"/>
    <n v="1"/>
    <n v="1"/>
    <n v="0"/>
  </r>
  <r>
    <s v="LD6783"/>
    <d v="2024-11-02T00:00:00"/>
    <x v="3"/>
    <s v="Monthly Newsletter"/>
    <s v="Mobile"/>
    <s v="Latin America"/>
    <s v="Customer"/>
    <n v="10"/>
    <s v="Basic"/>
    <n v="1344.01"/>
    <n v="4"/>
    <x v="2"/>
    <n v="1"/>
    <n v="1"/>
    <n v="1"/>
  </r>
  <r>
    <s v="LD1675"/>
    <d v="2024-02-21T00:00:00"/>
    <x v="0"/>
    <s v="Instagram Ads"/>
    <s v="Mobile"/>
    <s v="Europe"/>
    <s v="Lead"/>
    <m/>
    <m/>
    <m/>
    <n v="1"/>
    <x v="10"/>
    <n v="0"/>
    <n v="0"/>
    <n v="0"/>
  </r>
  <r>
    <s v="LD6615"/>
    <d v="2024-11-05T00:00:00"/>
    <x v="0"/>
    <s v="Instagram Ads"/>
    <s v="Desktop"/>
    <s v="Asia Pacific"/>
    <s v="Lead"/>
    <m/>
    <m/>
    <m/>
    <n v="1"/>
    <x v="2"/>
    <n v="0"/>
    <n v="0"/>
    <n v="0"/>
  </r>
  <r>
    <s v="LD3916"/>
    <d v="2024-06-04T00:00:00"/>
    <x v="4"/>
    <s v="Affiliate Program"/>
    <s v="Desktop"/>
    <s v="Latin America"/>
    <s v="MQL"/>
    <m/>
    <m/>
    <m/>
    <n v="2"/>
    <x v="11"/>
    <n v="1"/>
    <n v="0"/>
    <n v="0"/>
  </r>
  <r>
    <s v="LD4040"/>
    <d v="2024-06-28T00:00:00"/>
    <x v="2"/>
    <s v="Direct / Type-in"/>
    <s v="Mobile"/>
    <s v="North America"/>
    <s v="SQL"/>
    <m/>
    <m/>
    <m/>
    <n v="3"/>
    <x v="11"/>
    <n v="1"/>
    <n v="1"/>
    <n v="0"/>
  </r>
  <r>
    <s v="LD2816"/>
    <d v="2024-04-03T00:00:00"/>
    <x v="3"/>
    <s v="Promo Blast"/>
    <s v="Desktop"/>
    <s v="Europe"/>
    <s v="Lead"/>
    <m/>
    <m/>
    <m/>
    <n v="1"/>
    <x v="1"/>
    <n v="0"/>
    <n v="0"/>
    <n v="0"/>
  </r>
  <r>
    <s v="LD4309"/>
    <d v="2024-07-10T00:00:00"/>
    <x v="3"/>
    <s v="Monthly Newsletter"/>
    <s v="Mobile"/>
    <s v="North America"/>
    <s v="MQL"/>
    <m/>
    <m/>
    <m/>
    <n v="2"/>
    <x v="0"/>
    <n v="1"/>
    <n v="0"/>
    <n v="0"/>
  </r>
  <r>
    <s v="LD3101"/>
    <d v="2024-05-11T00:00:00"/>
    <x v="5"/>
    <s v="Landing Page SEO"/>
    <s v="Desktop"/>
    <s v="Latin America"/>
    <s v="MQL"/>
    <m/>
    <m/>
    <m/>
    <n v="2"/>
    <x v="4"/>
    <n v="1"/>
    <n v="0"/>
    <n v="0"/>
  </r>
  <r>
    <s v="LD5018"/>
    <d v="2024-08-07T00:00:00"/>
    <x v="2"/>
    <s v="Direct / Type-in"/>
    <s v="Tablet"/>
    <s v="North America"/>
    <s v="MQL"/>
    <m/>
    <m/>
    <m/>
    <n v="2"/>
    <x v="6"/>
    <n v="1"/>
    <n v="0"/>
    <n v="0"/>
  </r>
  <r>
    <s v="LD7723"/>
    <d v="2024-12-15T00:00:00"/>
    <x v="2"/>
    <s v="Direct / Type-in"/>
    <s v="Tablet"/>
    <s v="North America"/>
    <s v="MQL"/>
    <m/>
    <m/>
    <m/>
    <n v="2"/>
    <x v="7"/>
    <n v="1"/>
    <n v="0"/>
    <n v="0"/>
  </r>
  <r>
    <s v="LD6716"/>
    <d v="2024-11-06T00:00:00"/>
    <x v="3"/>
    <s v="Monthly Newsletter"/>
    <s v="Mobile"/>
    <s v="Asia Pacific"/>
    <s v="MQL"/>
    <m/>
    <m/>
    <m/>
    <n v="2"/>
    <x v="2"/>
    <n v="1"/>
    <n v="0"/>
    <n v="0"/>
  </r>
  <r>
    <s v="LD3102"/>
    <d v="2024-05-08T00:00:00"/>
    <x v="1"/>
    <s v="Google Ads - Generic"/>
    <s v="Desktop"/>
    <s v="Europe"/>
    <s v="MQL"/>
    <m/>
    <m/>
    <m/>
    <n v="2"/>
    <x v="4"/>
    <n v="1"/>
    <n v="0"/>
    <n v="0"/>
  </r>
  <r>
    <s v="LD6749"/>
    <d v="2024-11-24T00:00:00"/>
    <x v="3"/>
    <s v="Promo Blast"/>
    <s v="Desktop"/>
    <s v="North America"/>
    <s v="SQL"/>
    <m/>
    <m/>
    <m/>
    <n v="3"/>
    <x v="2"/>
    <n v="1"/>
    <n v="1"/>
    <n v="0"/>
  </r>
  <r>
    <s v="LD4621"/>
    <d v="2024-08-23T00:00:00"/>
    <x v="1"/>
    <s v="Google Ads - Brand"/>
    <s v="Mobile"/>
    <s v="Asia Pacific"/>
    <s v="Lead"/>
    <m/>
    <m/>
    <m/>
    <n v="1"/>
    <x v="6"/>
    <n v="0"/>
    <n v="0"/>
    <n v="0"/>
  </r>
  <r>
    <s v="LD2549"/>
    <d v="2024-04-04T00:00:00"/>
    <x v="5"/>
    <s v="Landing Page SEO"/>
    <s v="Desktop"/>
    <s v="North America"/>
    <s v="MQL"/>
    <m/>
    <m/>
    <m/>
    <n v="2"/>
    <x v="1"/>
    <n v="1"/>
    <n v="0"/>
    <n v="0"/>
  </r>
  <r>
    <s v="LD4825"/>
    <d v="2024-08-19T00:00:00"/>
    <x v="3"/>
    <s v="Promo Blast"/>
    <s v="Desktop"/>
    <s v="Asia Pacific"/>
    <s v="MQL"/>
    <m/>
    <m/>
    <m/>
    <n v="2"/>
    <x v="6"/>
    <n v="1"/>
    <n v="0"/>
    <n v="0"/>
  </r>
  <r>
    <s v="LD4083"/>
    <d v="2024-07-03T00:00:00"/>
    <x v="5"/>
    <s v="Landing Page SEO"/>
    <s v="Tablet"/>
    <s v="Europe"/>
    <s v="Lead"/>
    <m/>
    <m/>
    <m/>
    <n v="1"/>
    <x v="0"/>
    <n v="0"/>
    <n v="0"/>
    <n v="0"/>
  </r>
  <r>
    <s v="LD1356"/>
    <d v="2024-01-04T00:00:00"/>
    <x v="4"/>
    <s v="Partner Program"/>
    <s v="Mobile"/>
    <s v="Asia Pacific"/>
    <s v="Customer"/>
    <n v="73"/>
    <s v="Basic"/>
    <n v="1180.3"/>
    <n v="4"/>
    <x v="3"/>
    <n v="1"/>
    <n v="1"/>
    <n v="1"/>
  </r>
  <r>
    <s v="LD5713"/>
    <d v="2024-10-17T00:00:00"/>
    <x v="5"/>
    <s v="Landing Page SEO"/>
    <s v="Desktop"/>
    <s v="North America"/>
    <s v="Lead"/>
    <m/>
    <m/>
    <m/>
    <n v="1"/>
    <x v="5"/>
    <n v="0"/>
    <n v="0"/>
    <n v="0"/>
  </r>
  <r>
    <s v="LD4489"/>
    <d v="2024-07-27T00:00:00"/>
    <x v="2"/>
    <s v="Direct / Type-in"/>
    <s v="Mobile"/>
    <s v="Asia Pacific"/>
    <s v="Customer"/>
    <n v="71"/>
    <s v="Pro"/>
    <n v="4654.01"/>
    <n v="4"/>
    <x v="0"/>
    <n v="1"/>
    <n v="1"/>
    <n v="1"/>
  </r>
  <r>
    <s v="LD5698"/>
    <d v="2024-10-11T00:00:00"/>
    <x v="5"/>
    <s v="Landing Page SEO"/>
    <s v="Desktop"/>
    <s v="North America"/>
    <s v="MQL"/>
    <m/>
    <m/>
    <m/>
    <n v="2"/>
    <x v="5"/>
    <n v="1"/>
    <n v="0"/>
    <n v="0"/>
  </r>
  <r>
    <s v="LD3536"/>
    <d v="2024-05-27T00:00:00"/>
    <x v="2"/>
    <s v="Direct / Type-in"/>
    <s v="Mobile"/>
    <s v="North America"/>
    <s v="MQL"/>
    <m/>
    <m/>
    <m/>
    <n v="2"/>
    <x v="4"/>
    <n v="1"/>
    <n v="0"/>
    <n v="0"/>
  </r>
  <r>
    <s v="LD7004"/>
    <d v="2024-11-15T00:00:00"/>
    <x v="4"/>
    <s v="Partner Program"/>
    <s v="Mobile"/>
    <s v="North America"/>
    <s v="MQL"/>
    <m/>
    <m/>
    <m/>
    <n v="2"/>
    <x v="2"/>
    <n v="1"/>
    <n v="0"/>
    <n v="0"/>
  </r>
  <r>
    <s v="LD5837"/>
    <d v="2024-10-27T00:00:00"/>
    <x v="1"/>
    <s v="Google Ads - Brand"/>
    <s v="Mobile"/>
    <s v="Europe"/>
    <s v="Lead"/>
    <m/>
    <m/>
    <m/>
    <n v="1"/>
    <x v="5"/>
    <n v="0"/>
    <n v="0"/>
    <n v="0"/>
  </r>
  <r>
    <s v="LD3374"/>
    <d v="2024-05-23T00:00:00"/>
    <x v="3"/>
    <s v="Monthly Newsletter"/>
    <s v="Desktop"/>
    <s v="Asia Pacific"/>
    <s v="Customer"/>
    <n v="52"/>
    <s v="Pro"/>
    <n v="3188.94"/>
    <n v="4"/>
    <x v="4"/>
    <n v="1"/>
    <n v="1"/>
    <n v="1"/>
  </r>
  <r>
    <s v="LD2052"/>
    <d v="2024-03-24T00:00:00"/>
    <x v="1"/>
    <s v="Google Ads - Brand"/>
    <s v="Desktop"/>
    <s v="Asia Pacific"/>
    <s v="SQL"/>
    <m/>
    <m/>
    <m/>
    <n v="3"/>
    <x v="8"/>
    <n v="1"/>
    <n v="1"/>
    <n v="0"/>
  </r>
  <r>
    <s v="LD3322"/>
    <d v="2024-05-11T00:00:00"/>
    <x v="3"/>
    <s v="Promo Blast"/>
    <s v="Desktop"/>
    <s v="Europe"/>
    <s v="SQL"/>
    <m/>
    <m/>
    <m/>
    <n v="3"/>
    <x v="4"/>
    <n v="1"/>
    <n v="1"/>
    <n v="0"/>
  </r>
  <r>
    <s v="LD7113"/>
    <d v="2024-12-28T00:00:00"/>
    <x v="5"/>
    <s v="Landing Page SEO"/>
    <s v="Mobile"/>
    <s v="North America"/>
    <s v="SQL"/>
    <m/>
    <m/>
    <m/>
    <n v="3"/>
    <x v="7"/>
    <n v="1"/>
    <n v="1"/>
    <n v="0"/>
  </r>
  <r>
    <s v="LD5374"/>
    <d v="2024-09-09T00:00:00"/>
    <x v="3"/>
    <s v="Promo Blast"/>
    <s v="Desktop"/>
    <s v="North America"/>
    <s v="SQL"/>
    <m/>
    <m/>
    <m/>
    <n v="3"/>
    <x v="9"/>
    <n v="1"/>
    <n v="1"/>
    <n v="0"/>
  </r>
  <r>
    <s v="LD2752"/>
    <d v="2024-04-09T00:00:00"/>
    <x v="3"/>
    <s v="Promo Blast"/>
    <s v="Mobile"/>
    <s v="Europe"/>
    <s v="MQL"/>
    <m/>
    <m/>
    <m/>
    <n v="2"/>
    <x v="1"/>
    <n v="1"/>
    <n v="0"/>
    <n v="0"/>
  </r>
  <r>
    <s v="LD4194"/>
    <d v="2024-07-11T00:00:00"/>
    <x v="1"/>
    <s v="Google Ads - Brand"/>
    <s v="Desktop"/>
    <s v="North America"/>
    <s v="MQL"/>
    <m/>
    <m/>
    <m/>
    <n v="2"/>
    <x v="0"/>
    <n v="1"/>
    <n v="0"/>
    <n v="0"/>
  </r>
  <r>
    <s v="LD2773"/>
    <d v="2024-04-19T00:00:00"/>
    <x v="3"/>
    <s v="Monthly Newsletter"/>
    <s v="Desktop"/>
    <s v="North America"/>
    <s v="MQL"/>
    <m/>
    <m/>
    <m/>
    <n v="2"/>
    <x v="1"/>
    <n v="1"/>
    <n v="0"/>
    <n v="0"/>
  </r>
  <r>
    <s v="LD2197"/>
    <d v="2024-03-27T00:00:00"/>
    <x v="0"/>
    <s v="LinkedIn Ads"/>
    <s v="Desktop"/>
    <s v="Latin America"/>
    <s v="Lead"/>
    <m/>
    <m/>
    <m/>
    <n v="1"/>
    <x v="8"/>
    <n v="0"/>
    <n v="0"/>
    <n v="0"/>
  </r>
  <r>
    <s v="LD2879"/>
    <d v="2024-04-28T00:00:00"/>
    <x v="4"/>
    <s v="Affiliate Program"/>
    <s v="Desktop"/>
    <s v="North America"/>
    <s v="SQL"/>
    <m/>
    <m/>
    <m/>
    <n v="3"/>
    <x v="1"/>
    <n v="1"/>
    <n v="1"/>
    <n v="0"/>
  </r>
  <r>
    <s v="LD3669"/>
    <d v="2024-06-18T00:00:00"/>
    <x v="1"/>
    <s v="Google Ads - Generic"/>
    <s v="Desktop"/>
    <s v="Europe"/>
    <s v="Lead"/>
    <m/>
    <m/>
    <m/>
    <n v="1"/>
    <x v="11"/>
    <n v="0"/>
    <n v="0"/>
    <n v="0"/>
  </r>
  <r>
    <s v="LD3017"/>
    <d v="2024-05-05T00:00:00"/>
    <x v="5"/>
    <s v="Landing Page SEO"/>
    <s v="Mobile"/>
    <s v="Asia Pacific"/>
    <s v="Lead"/>
    <m/>
    <m/>
    <m/>
    <n v="1"/>
    <x v="4"/>
    <n v="0"/>
    <n v="0"/>
    <n v="0"/>
  </r>
  <r>
    <s v="LD3006"/>
    <d v="2024-04-06T00:00:00"/>
    <x v="2"/>
    <s v="Direct / Type-in"/>
    <s v="Desktop"/>
    <s v="Europe"/>
    <s v="Lead"/>
    <m/>
    <m/>
    <m/>
    <n v="1"/>
    <x v="1"/>
    <n v="0"/>
    <n v="0"/>
    <n v="0"/>
  </r>
  <r>
    <s v="LD6504"/>
    <d v="2024-11-01T00:00:00"/>
    <x v="1"/>
    <s v="Google Ads - Generic"/>
    <s v="Mobile"/>
    <s v="Asia Pacific"/>
    <s v="MQL"/>
    <m/>
    <m/>
    <m/>
    <n v="2"/>
    <x v="2"/>
    <n v="1"/>
    <n v="0"/>
    <n v="0"/>
  </r>
  <r>
    <s v="LD2483"/>
    <d v="2024-04-13T00:00:00"/>
    <x v="5"/>
    <s v="Landing Page SEO"/>
    <s v="Desktop"/>
    <s v="North America"/>
    <s v="MQL"/>
    <m/>
    <m/>
    <m/>
    <n v="2"/>
    <x v="1"/>
    <n v="1"/>
    <n v="0"/>
    <n v="0"/>
  </r>
  <r>
    <s v="LD1329"/>
    <d v="2024-01-14T00:00:00"/>
    <x v="3"/>
    <s v="Promo Blast"/>
    <s v="Mobile"/>
    <s v="Europe"/>
    <s v="Customer"/>
    <n v="48"/>
    <s v="Enterprise"/>
    <n v="12175.56"/>
    <n v="4"/>
    <x v="3"/>
    <n v="1"/>
    <n v="1"/>
    <n v="1"/>
  </r>
  <r>
    <s v="LD1649"/>
    <d v="2024-02-16T00:00:00"/>
    <x v="0"/>
    <s v="Facebook Ads"/>
    <s v="Mobile"/>
    <s v="Europe"/>
    <s v="Lead"/>
    <m/>
    <m/>
    <m/>
    <n v="1"/>
    <x v="10"/>
    <n v="0"/>
    <n v="0"/>
    <n v="0"/>
  </r>
  <r>
    <s v="LD3946"/>
    <d v="2024-06-18T00:00:00"/>
    <x v="4"/>
    <s v="Partner Program"/>
    <s v="Desktop"/>
    <s v="North America"/>
    <s v="Lead"/>
    <m/>
    <m/>
    <m/>
    <n v="1"/>
    <x v="11"/>
    <n v="0"/>
    <n v="0"/>
    <n v="0"/>
  </r>
  <r>
    <s v="LD4166"/>
    <d v="2024-07-20T00:00:00"/>
    <x v="1"/>
    <s v="Google Ads - Brand"/>
    <s v="Tablet"/>
    <s v="North America"/>
    <s v="Lead"/>
    <m/>
    <m/>
    <m/>
    <n v="1"/>
    <x v="0"/>
    <n v="0"/>
    <n v="0"/>
    <n v="0"/>
  </r>
  <r>
    <s v="LD2124"/>
    <d v="2024-03-16T00:00:00"/>
    <x v="1"/>
    <s v="Google Ads - Generic"/>
    <s v="Desktop"/>
    <s v="Latin America"/>
    <s v="Lead"/>
    <m/>
    <m/>
    <m/>
    <n v="1"/>
    <x v="8"/>
    <n v="0"/>
    <n v="0"/>
    <n v="0"/>
  </r>
  <r>
    <s v="LD4591"/>
    <d v="2024-08-09T00:00:00"/>
    <x v="1"/>
    <s v="Google Ads - Brand"/>
    <s v="Mobile"/>
    <s v="North America"/>
    <s v="Lead"/>
    <m/>
    <m/>
    <m/>
    <n v="1"/>
    <x v="6"/>
    <n v="0"/>
    <n v="0"/>
    <n v="0"/>
  </r>
  <r>
    <s v="LD3789"/>
    <d v="2024-06-03T00:00:00"/>
    <x v="0"/>
    <s v="Facebook Ads"/>
    <s v="Desktop"/>
    <s v="Europe"/>
    <s v="SQL"/>
    <m/>
    <m/>
    <m/>
    <n v="3"/>
    <x v="11"/>
    <n v="1"/>
    <n v="1"/>
    <n v="0"/>
  </r>
  <r>
    <s v="LD6242"/>
    <d v="2024-10-10T00:00:00"/>
    <x v="2"/>
    <s v="Direct / Type-in"/>
    <s v="Desktop"/>
    <s v="Europe"/>
    <s v="Lead"/>
    <m/>
    <m/>
    <m/>
    <n v="1"/>
    <x v="5"/>
    <n v="0"/>
    <n v="0"/>
    <n v="0"/>
  </r>
  <r>
    <s v="LD4978"/>
    <d v="2024-08-26T00:00:00"/>
    <x v="2"/>
    <s v="Direct / Type-in"/>
    <s v="Mobile"/>
    <s v="Asia Pacific"/>
    <s v="MQL"/>
    <m/>
    <m/>
    <m/>
    <n v="2"/>
    <x v="6"/>
    <n v="1"/>
    <n v="0"/>
    <n v="0"/>
  </r>
  <r>
    <s v="LD5885"/>
    <d v="2024-10-02T00:00:00"/>
    <x v="0"/>
    <s v="Facebook Ads"/>
    <s v="Tablet"/>
    <s v="North America"/>
    <s v="SQL"/>
    <m/>
    <m/>
    <m/>
    <n v="3"/>
    <x v="5"/>
    <n v="1"/>
    <n v="1"/>
    <n v="0"/>
  </r>
  <r>
    <s v="LD4614"/>
    <d v="2024-08-13T00:00:00"/>
    <x v="1"/>
    <s v="Google Ads - Generic"/>
    <s v="Mobile"/>
    <s v="North America"/>
    <s v="Lead"/>
    <m/>
    <m/>
    <m/>
    <n v="1"/>
    <x v="6"/>
    <n v="0"/>
    <n v="0"/>
    <n v="0"/>
  </r>
  <r>
    <s v="LD6681"/>
    <d v="2024-11-26T00:00:00"/>
    <x v="0"/>
    <s v="Instagram Ads"/>
    <s v="Mobile"/>
    <s v="Europe"/>
    <s v="MQL"/>
    <m/>
    <m/>
    <m/>
    <n v="2"/>
    <x v="2"/>
    <n v="1"/>
    <n v="0"/>
    <n v="0"/>
  </r>
  <r>
    <s v="LD2260"/>
    <d v="2024-03-10T00:00:00"/>
    <x v="3"/>
    <s v="Monthly Newsletter"/>
    <s v="Desktop"/>
    <s v="North America"/>
    <s v="MQL"/>
    <m/>
    <m/>
    <m/>
    <n v="2"/>
    <x v="8"/>
    <n v="1"/>
    <n v="0"/>
    <n v="0"/>
  </r>
  <r>
    <s v="LD4911"/>
    <d v="2024-08-23T00:00:00"/>
    <x v="4"/>
    <s v="Affiliate Program"/>
    <s v="Desktop"/>
    <s v="Europe"/>
    <s v="MQL"/>
    <m/>
    <m/>
    <m/>
    <n v="2"/>
    <x v="6"/>
    <n v="1"/>
    <n v="0"/>
    <n v="0"/>
  </r>
  <r>
    <s v="LD6653"/>
    <d v="2024-11-12T00:00:00"/>
    <x v="0"/>
    <s v="Facebook Ads"/>
    <s v="Desktop"/>
    <s v="Latin America"/>
    <s v="Customer"/>
    <n v="17"/>
    <s v="Pro"/>
    <n v="3360.95"/>
    <n v="4"/>
    <x v="2"/>
    <n v="1"/>
    <n v="1"/>
    <n v="1"/>
  </r>
  <r>
    <s v="LD7026"/>
    <d v="2024-11-24T00:00:00"/>
    <x v="2"/>
    <s v="Direct / Type-in"/>
    <s v="Mobile"/>
    <s v="North America"/>
    <s v="Lead"/>
    <m/>
    <m/>
    <m/>
    <n v="1"/>
    <x v="2"/>
    <n v="0"/>
    <n v="0"/>
    <n v="0"/>
  </r>
  <r>
    <s v="LD2520"/>
    <d v="2024-04-01T00:00:00"/>
    <x v="5"/>
    <s v="Blog SEO"/>
    <s v="Desktop"/>
    <s v="Latin America"/>
    <s v="MQL"/>
    <m/>
    <m/>
    <m/>
    <n v="2"/>
    <x v="1"/>
    <n v="1"/>
    <n v="0"/>
    <n v="0"/>
  </r>
  <r>
    <s v="LD2379"/>
    <d v="2024-03-26T00:00:00"/>
    <x v="4"/>
    <s v="Affiliate Program"/>
    <s v="Desktop"/>
    <s v="North America"/>
    <s v="SQL"/>
    <m/>
    <m/>
    <m/>
    <n v="3"/>
    <x v="8"/>
    <n v="1"/>
    <n v="1"/>
    <n v="0"/>
  </r>
  <r>
    <s v="LD5954"/>
    <d v="2024-10-20T00:00:00"/>
    <x v="3"/>
    <s v="Promo Blast"/>
    <s v="Mobile"/>
    <s v="Asia Pacific"/>
    <s v="Lead"/>
    <m/>
    <m/>
    <m/>
    <n v="1"/>
    <x v="5"/>
    <n v="0"/>
    <n v="0"/>
    <n v="0"/>
  </r>
  <r>
    <s v="LD2024"/>
    <d v="2024-03-10T00:00:00"/>
    <x v="5"/>
    <s v="Landing Page SEO"/>
    <s v="Mobile"/>
    <s v="Asia Pacific"/>
    <s v="Customer"/>
    <n v="41"/>
    <s v="Basic"/>
    <n v="912.03"/>
    <n v="4"/>
    <x v="8"/>
    <n v="1"/>
    <n v="1"/>
    <n v="1"/>
  </r>
  <r>
    <s v="LD6310"/>
    <d v="2024-10-18T00:00:00"/>
    <x v="2"/>
    <s v="Direct / Type-in"/>
    <s v="Desktop"/>
    <s v="Asia Pacific"/>
    <s v="Lead"/>
    <m/>
    <m/>
    <m/>
    <n v="1"/>
    <x v="5"/>
    <n v="0"/>
    <n v="0"/>
    <n v="0"/>
  </r>
  <r>
    <s v="LD3919"/>
    <d v="2024-06-22T00:00:00"/>
    <x v="4"/>
    <s v="Affiliate Program"/>
    <s v="Desktop"/>
    <s v="North America"/>
    <s v="SQL"/>
    <m/>
    <m/>
    <m/>
    <n v="3"/>
    <x v="11"/>
    <n v="1"/>
    <n v="1"/>
    <n v="0"/>
  </r>
  <r>
    <s v="LD4706"/>
    <d v="2024-08-17T00:00:00"/>
    <x v="0"/>
    <s v="LinkedIn Ads"/>
    <s v="Mobile"/>
    <s v="North America"/>
    <s v="MQL"/>
    <m/>
    <m/>
    <m/>
    <n v="2"/>
    <x v="6"/>
    <n v="1"/>
    <n v="0"/>
    <n v="0"/>
  </r>
  <r>
    <s v="LD5828"/>
    <d v="2024-10-02T00:00:00"/>
    <x v="1"/>
    <s v="Google Ads - Generic"/>
    <s v="Desktop"/>
    <s v="Asia Pacific"/>
    <s v="MQL"/>
    <m/>
    <m/>
    <m/>
    <n v="2"/>
    <x v="5"/>
    <n v="1"/>
    <n v="0"/>
    <n v="0"/>
  </r>
  <r>
    <s v="LD4397"/>
    <d v="2024-07-02T00:00:00"/>
    <x v="4"/>
    <s v="Partner Program"/>
    <s v="Desktop"/>
    <s v="Latin America"/>
    <s v="SQL"/>
    <m/>
    <m/>
    <m/>
    <n v="3"/>
    <x v="0"/>
    <n v="1"/>
    <n v="1"/>
    <n v="0"/>
  </r>
  <r>
    <s v="LD1913"/>
    <d v="2024-02-04T00:00:00"/>
    <x v="2"/>
    <s v="Direct / Type-in"/>
    <s v="Mobile"/>
    <s v="Latin America"/>
    <s v="SQL"/>
    <m/>
    <m/>
    <m/>
    <n v="3"/>
    <x v="10"/>
    <n v="1"/>
    <n v="1"/>
    <n v="0"/>
  </r>
  <r>
    <s v="LD3858"/>
    <d v="2024-06-08T00:00:00"/>
    <x v="3"/>
    <s v="Monthly Newsletter"/>
    <s v="Tablet"/>
    <s v="North America"/>
    <s v="Lead"/>
    <m/>
    <m/>
    <m/>
    <n v="1"/>
    <x v="11"/>
    <n v="0"/>
    <n v="0"/>
    <n v="0"/>
  </r>
  <r>
    <s v="LD5609"/>
    <d v="2024-09-10T00:00:00"/>
    <x v="2"/>
    <s v="Direct / Type-in"/>
    <s v="Mobile"/>
    <s v="Europe"/>
    <s v="MQL"/>
    <m/>
    <m/>
    <m/>
    <n v="2"/>
    <x v="9"/>
    <n v="1"/>
    <n v="0"/>
    <n v="0"/>
  </r>
  <r>
    <s v="LD2676"/>
    <d v="2024-04-10T00:00:00"/>
    <x v="0"/>
    <s v="LinkedIn Ads"/>
    <s v="Desktop"/>
    <s v="North America"/>
    <s v="MQL"/>
    <m/>
    <m/>
    <m/>
    <n v="2"/>
    <x v="1"/>
    <n v="1"/>
    <n v="0"/>
    <n v="0"/>
  </r>
  <r>
    <s v="LD2747"/>
    <d v="2024-04-08T00:00:00"/>
    <x v="3"/>
    <s v="Monthly Newsletter"/>
    <s v="Desktop"/>
    <s v="Europe"/>
    <s v="Lead"/>
    <m/>
    <m/>
    <m/>
    <n v="1"/>
    <x v="1"/>
    <n v="0"/>
    <n v="0"/>
    <n v="0"/>
  </r>
  <r>
    <s v="LD4027"/>
    <d v="2024-06-07T00:00:00"/>
    <x v="2"/>
    <s v="Direct / Type-in"/>
    <s v="Desktop"/>
    <s v="Latin America"/>
    <s v="Lead"/>
    <m/>
    <m/>
    <m/>
    <n v="1"/>
    <x v="11"/>
    <n v="0"/>
    <n v="0"/>
    <n v="0"/>
  </r>
  <r>
    <s v="LD4826"/>
    <d v="2024-08-20T00:00:00"/>
    <x v="3"/>
    <s v="Monthly Newsletter"/>
    <s v="Mobile"/>
    <s v="Europe"/>
    <s v="Lead"/>
    <m/>
    <m/>
    <m/>
    <n v="1"/>
    <x v="6"/>
    <n v="0"/>
    <n v="0"/>
    <n v="0"/>
  </r>
  <r>
    <s v="LD2737"/>
    <d v="2024-04-08T00:00:00"/>
    <x v="3"/>
    <s v="Monthly Newsletter"/>
    <s v="Desktop"/>
    <s v="Europe"/>
    <s v="Customer"/>
    <n v="16"/>
    <s v="Pro"/>
    <n v="3761.95"/>
    <n v="4"/>
    <x v="1"/>
    <n v="1"/>
    <n v="1"/>
    <n v="1"/>
  </r>
  <r>
    <s v="LD2630"/>
    <d v="2024-04-14T00:00:00"/>
    <x v="1"/>
    <s v="Google Ads - Brand"/>
    <s v="Desktop"/>
    <s v="North America"/>
    <s v="Lead"/>
    <m/>
    <m/>
    <m/>
    <n v="1"/>
    <x v="1"/>
    <n v="0"/>
    <n v="0"/>
    <n v="0"/>
  </r>
  <r>
    <s v="LD7661"/>
    <d v="2024-12-06T00:00:00"/>
    <x v="4"/>
    <s v="Affiliate Program"/>
    <s v="Mobile"/>
    <s v="Europe"/>
    <s v="Customer"/>
    <n v="48"/>
    <s v="Pro"/>
    <n v="1876.88"/>
    <n v="4"/>
    <x v="7"/>
    <n v="1"/>
    <n v="1"/>
    <n v="1"/>
  </r>
  <r>
    <s v="LD1431"/>
    <d v="2024-01-26T00:00:00"/>
    <x v="2"/>
    <s v="Direct / Type-in"/>
    <s v="Mobile"/>
    <s v="North America"/>
    <s v="Lead"/>
    <m/>
    <m/>
    <m/>
    <n v="1"/>
    <x v="3"/>
    <n v="0"/>
    <n v="0"/>
    <n v="0"/>
  </r>
  <r>
    <s v="LD2809"/>
    <d v="2024-04-19T00:00:00"/>
    <x v="3"/>
    <s v="Promo Blast"/>
    <s v="Desktop"/>
    <s v="North America"/>
    <s v="MQL"/>
    <m/>
    <m/>
    <m/>
    <n v="2"/>
    <x v="1"/>
    <n v="1"/>
    <n v="0"/>
    <n v="0"/>
  </r>
  <r>
    <s v="LD6118"/>
    <d v="2024-10-05T00:00:00"/>
    <x v="3"/>
    <s v="Monthly Newsletter"/>
    <s v="Desktop"/>
    <s v="North America"/>
    <s v="SQL"/>
    <m/>
    <m/>
    <m/>
    <n v="3"/>
    <x v="5"/>
    <n v="1"/>
    <n v="1"/>
    <n v="0"/>
  </r>
  <r>
    <s v="LD4090"/>
    <d v="2024-07-01T00:00:00"/>
    <x v="5"/>
    <s v="Blog SEO"/>
    <s v="Tablet"/>
    <s v="North America"/>
    <s v="Lead"/>
    <m/>
    <m/>
    <m/>
    <n v="1"/>
    <x v="0"/>
    <n v="0"/>
    <n v="0"/>
    <n v="0"/>
  </r>
  <r>
    <s v="LD5231"/>
    <d v="2024-09-16T00:00:00"/>
    <x v="0"/>
    <s v="Instagram Ads"/>
    <s v="Desktop"/>
    <s v="North America"/>
    <s v="Lead"/>
    <m/>
    <m/>
    <m/>
    <n v="1"/>
    <x v="9"/>
    <n v="0"/>
    <n v="0"/>
    <n v="0"/>
  </r>
  <r>
    <s v="LD1235"/>
    <d v="2024-01-08T00:00:00"/>
    <x v="3"/>
    <s v="Promo Blast"/>
    <s v="Mobile"/>
    <s v="Europe"/>
    <s v="Customer"/>
    <n v="49"/>
    <s v="Pro"/>
    <n v="1767.33"/>
    <n v="4"/>
    <x v="3"/>
    <n v="1"/>
    <n v="1"/>
    <n v="1"/>
  </r>
  <r>
    <s v="LD5263"/>
    <d v="2024-09-20T00:00:00"/>
    <x v="0"/>
    <s v="Instagram Ads"/>
    <s v="Mobile"/>
    <s v="Asia Pacific"/>
    <s v="Lead"/>
    <m/>
    <m/>
    <m/>
    <n v="1"/>
    <x v="9"/>
    <n v="0"/>
    <n v="0"/>
    <n v="0"/>
  </r>
  <r>
    <s v="LD3223"/>
    <d v="2024-05-17T00:00:00"/>
    <x v="0"/>
    <s v="LinkedIn Ads"/>
    <s v="Mobile"/>
    <s v="North America"/>
    <s v="Lead"/>
    <m/>
    <m/>
    <m/>
    <n v="1"/>
    <x v="4"/>
    <n v="0"/>
    <n v="0"/>
    <n v="0"/>
  </r>
  <r>
    <s v="LD7073"/>
    <d v="2024-11-23T00:00:00"/>
    <x v="2"/>
    <s v="Direct / Type-in"/>
    <s v="Mobile"/>
    <s v="Europe"/>
    <s v="Lead"/>
    <m/>
    <m/>
    <m/>
    <n v="1"/>
    <x v="2"/>
    <n v="0"/>
    <n v="0"/>
    <n v="0"/>
  </r>
  <r>
    <s v="LD5903"/>
    <d v="2024-10-11T00:00:00"/>
    <x v="0"/>
    <s v="Facebook Ads"/>
    <s v="Desktop"/>
    <s v="Asia Pacific"/>
    <s v="Lead"/>
    <m/>
    <m/>
    <m/>
    <n v="1"/>
    <x v="5"/>
    <n v="0"/>
    <n v="0"/>
    <n v="0"/>
  </r>
  <r>
    <s v="LD6687"/>
    <d v="2024-11-21T00:00:00"/>
    <x v="0"/>
    <s v="Facebook Ads"/>
    <s v="Desktop"/>
    <s v="North America"/>
    <s v="Lead"/>
    <m/>
    <m/>
    <m/>
    <n v="1"/>
    <x v="2"/>
    <n v="0"/>
    <n v="0"/>
    <n v="0"/>
  </r>
  <r>
    <s v="LD7286"/>
    <d v="2024-12-07T00:00:00"/>
    <x v="1"/>
    <s v="Google Ads - Generic"/>
    <s v="Mobile"/>
    <s v="North America"/>
    <s v="Lead"/>
    <m/>
    <m/>
    <m/>
    <n v="1"/>
    <x v="7"/>
    <n v="0"/>
    <n v="0"/>
    <n v="0"/>
  </r>
  <r>
    <s v="LD7051"/>
    <d v="2024-11-10T00:00:00"/>
    <x v="2"/>
    <s v="Direct / Type-in"/>
    <s v="Desktop"/>
    <s v="North America"/>
    <s v="Lead"/>
    <m/>
    <m/>
    <m/>
    <n v="1"/>
    <x v="2"/>
    <n v="0"/>
    <n v="0"/>
    <n v="0"/>
  </r>
  <r>
    <s v="LD2949"/>
    <d v="2024-04-27T00:00:00"/>
    <x v="4"/>
    <s v="Partner Program"/>
    <s v="Desktop"/>
    <s v="Europe"/>
    <s v="MQL"/>
    <m/>
    <m/>
    <m/>
    <n v="2"/>
    <x v="1"/>
    <n v="1"/>
    <n v="0"/>
    <n v="0"/>
  </r>
  <r>
    <s v="LD6188"/>
    <d v="2024-10-04T00:00:00"/>
    <x v="4"/>
    <s v="Partner Program"/>
    <s v="Desktop"/>
    <s v="Europe"/>
    <s v="Lead"/>
    <m/>
    <m/>
    <m/>
    <n v="1"/>
    <x v="5"/>
    <n v="0"/>
    <n v="0"/>
    <n v="0"/>
  </r>
  <r>
    <s v="LD7622"/>
    <d v="2024-12-17T00:00:00"/>
    <x v="4"/>
    <s v="Partner Program"/>
    <s v="Mobile"/>
    <s v="North America"/>
    <s v="SQL"/>
    <m/>
    <m/>
    <m/>
    <n v="3"/>
    <x v="7"/>
    <n v="1"/>
    <n v="1"/>
    <n v="0"/>
  </r>
  <r>
    <s v="LD7554"/>
    <d v="2024-12-04T00:00:00"/>
    <x v="3"/>
    <s v="Monthly Newsletter"/>
    <s v="Mobile"/>
    <s v="North America"/>
    <s v="Lead"/>
    <m/>
    <m/>
    <m/>
    <n v="1"/>
    <x v="7"/>
    <n v="0"/>
    <n v="0"/>
    <n v="0"/>
  </r>
  <r>
    <s v="LD7210"/>
    <d v="2024-12-06T00:00:00"/>
    <x v="1"/>
    <s v="Google Ads - Brand"/>
    <s v="Desktop"/>
    <s v="Europe"/>
    <s v="Lead"/>
    <m/>
    <m/>
    <m/>
    <n v="1"/>
    <x v="7"/>
    <n v="0"/>
    <n v="0"/>
    <n v="0"/>
  </r>
  <r>
    <s v="LD2996"/>
    <d v="2024-04-09T00:00:00"/>
    <x v="2"/>
    <s v="Direct / Type-in"/>
    <s v="Desktop"/>
    <s v="Europe"/>
    <s v="Lead"/>
    <m/>
    <m/>
    <m/>
    <n v="1"/>
    <x v="1"/>
    <n v="0"/>
    <n v="0"/>
    <n v="0"/>
  </r>
  <r>
    <s v="LD3672"/>
    <d v="2024-06-18T00:00:00"/>
    <x v="1"/>
    <s v="Google Ads - Brand"/>
    <s v="Desktop"/>
    <s v="Europe"/>
    <s v="MQL"/>
    <m/>
    <m/>
    <m/>
    <n v="2"/>
    <x v="11"/>
    <n v="1"/>
    <n v="0"/>
    <n v="0"/>
  </r>
  <r>
    <s v="LD5304"/>
    <d v="2024-09-05T00:00:00"/>
    <x v="3"/>
    <s v="Monthly Newsletter"/>
    <s v="Desktop"/>
    <s v="North America"/>
    <s v="MQL"/>
    <m/>
    <m/>
    <m/>
    <n v="2"/>
    <x v="9"/>
    <n v="1"/>
    <n v="0"/>
    <n v="0"/>
  </r>
  <r>
    <s v="LD3225"/>
    <d v="2024-05-22T00:00:00"/>
    <x v="0"/>
    <s v="Instagram Ads"/>
    <s v="Mobile"/>
    <s v="North America"/>
    <s v="MQL"/>
    <m/>
    <m/>
    <m/>
    <n v="2"/>
    <x v="4"/>
    <n v="1"/>
    <n v="0"/>
    <n v="0"/>
  </r>
  <r>
    <s v="LD2107"/>
    <d v="2024-03-11T00:00:00"/>
    <x v="1"/>
    <s v="Google Ads - Brand"/>
    <s v="Mobile"/>
    <s v="North America"/>
    <s v="Lead"/>
    <m/>
    <m/>
    <m/>
    <n v="1"/>
    <x v="8"/>
    <n v="0"/>
    <n v="0"/>
    <n v="0"/>
  </r>
  <r>
    <s v="LD6595"/>
    <d v="2024-11-26T00:00:00"/>
    <x v="0"/>
    <s v="Instagram Ads"/>
    <s v="Mobile"/>
    <s v="Asia Pacific"/>
    <s v="Lead"/>
    <m/>
    <m/>
    <m/>
    <n v="1"/>
    <x v="2"/>
    <n v="0"/>
    <n v="0"/>
    <n v="0"/>
  </r>
  <r>
    <s v="LD1819"/>
    <d v="2024-02-12T00:00:00"/>
    <x v="3"/>
    <s v="Monthly Newsletter"/>
    <s v="Desktop"/>
    <s v="North America"/>
    <s v="Lead"/>
    <m/>
    <m/>
    <m/>
    <n v="1"/>
    <x v="10"/>
    <n v="0"/>
    <n v="0"/>
    <n v="0"/>
  </r>
  <r>
    <s v="LD4227"/>
    <d v="2024-07-12T00:00:00"/>
    <x v="0"/>
    <s v="LinkedIn Ads"/>
    <s v="Mobile"/>
    <s v="Asia Pacific"/>
    <s v="SQL"/>
    <m/>
    <m/>
    <m/>
    <n v="3"/>
    <x v="0"/>
    <n v="1"/>
    <n v="1"/>
    <n v="0"/>
  </r>
  <r>
    <s v="LD4797"/>
    <d v="2024-08-19T00:00:00"/>
    <x v="3"/>
    <s v="Monthly Newsletter"/>
    <s v="Mobile"/>
    <s v="Europe"/>
    <s v="SQL"/>
    <m/>
    <m/>
    <m/>
    <n v="3"/>
    <x v="6"/>
    <n v="1"/>
    <n v="1"/>
    <n v="0"/>
  </r>
  <r>
    <s v="LD5626"/>
    <d v="2024-10-26T00:00:00"/>
    <x v="5"/>
    <s v="Blog SEO"/>
    <s v="Desktop"/>
    <s v="Latin America"/>
    <s v="Lead"/>
    <m/>
    <m/>
    <m/>
    <n v="1"/>
    <x v="5"/>
    <n v="0"/>
    <n v="0"/>
    <n v="0"/>
  </r>
  <r>
    <s v="LD5931"/>
    <d v="2024-10-25T00:00:00"/>
    <x v="0"/>
    <s v="Facebook Ads"/>
    <s v="Desktop"/>
    <s v="Europe"/>
    <s v="Lead"/>
    <m/>
    <m/>
    <m/>
    <n v="1"/>
    <x v="5"/>
    <n v="0"/>
    <n v="0"/>
    <n v="0"/>
  </r>
  <r>
    <s v="LD2698"/>
    <d v="2024-04-18T00:00:00"/>
    <x v="0"/>
    <s v="Instagram Ads"/>
    <s v="Desktop"/>
    <s v="Asia Pacific"/>
    <s v="Lead"/>
    <m/>
    <m/>
    <m/>
    <n v="1"/>
    <x v="1"/>
    <n v="0"/>
    <n v="0"/>
    <n v="0"/>
  </r>
  <r>
    <s v="LD4290"/>
    <d v="2024-07-17T00:00:00"/>
    <x v="3"/>
    <s v="Promo Blast"/>
    <s v="Desktop"/>
    <s v="North America"/>
    <s v="Lead"/>
    <m/>
    <m/>
    <m/>
    <n v="1"/>
    <x v="0"/>
    <n v="0"/>
    <n v="0"/>
    <n v="0"/>
  </r>
  <r>
    <s v="LD1137"/>
    <d v="2024-01-21T00:00:00"/>
    <x v="1"/>
    <s v="Google Ads - Generic"/>
    <s v="Tablet"/>
    <s v="Europe"/>
    <s v="Lead"/>
    <m/>
    <m/>
    <m/>
    <n v="1"/>
    <x v="3"/>
    <n v="0"/>
    <n v="0"/>
    <n v="0"/>
  </r>
  <r>
    <s v="LD2643"/>
    <d v="2024-04-27T00:00:00"/>
    <x v="1"/>
    <s v="Google Ads - Generic"/>
    <s v="Desktop"/>
    <s v="Asia Pacific"/>
    <s v="Lead"/>
    <m/>
    <m/>
    <m/>
    <n v="1"/>
    <x v="1"/>
    <n v="0"/>
    <n v="0"/>
    <n v="0"/>
  </r>
  <r>
    <s v="LD6222"/>
    <d v="2024-10-27T00:00:00"/>
    <x v="4"/>
    <s v="Affiliate Program"/>
    <s v="Desktop"/>
    <s v="Europe"/>
    <s v="Lead"/>
    <m/>
    <m/>
    <m/>
    <n v="1"/>
    <x v="5"/>
    <n v="0"/>
    <n v="0"/>
    <n v="0"/>
  </r>
  <r>
    <s v="LD4762"/>
    <d v="2024-08-10T00:00:00"/>
    <x v="3"/>
    <s v="Monthly Newsletter"/>
    <s v="Desktop"/>
    <s v="Latin America"/>
    <s v="SQL"/>
    <m/>
    <m/>
    <m/>
    <n v="3"/>
    <x v="6"/>
    <n v="1"/>
    <n v="1"/>
    <n v="0"/>
  </r>
  <r>
    <s v="LD7012"/>
    <d v="2024-11-25T00:00:00"/>
    <x v="2"/>
    <s v="Direct / Type-in"/>
    <s v="Desktop"/>
    <s v="Europe"/>
    <s v="Lead"/>
    <m/>
    <m/>
    <m/>
    <n v="1"/>
    <x v="2"/>
    <n v="0"/>
    <n v="0"/>
    <n v="0"/>
  </r>
  <r>
    <s v="LD2181"/>
    <d v="2024-03-20T00:00:00"/>
    <x v="0"/>
    <s v="Facebook Ads"/>
    <s v="Mobile"/>
    <s v="Europe"/>
    <s v="Lead"/>
    <m/>
    <m/>
    <m/>
    <n v="1"/>
    <x v="8"/>
    <n v="0"/>
    <n v="0"/>
    <n v="0"/>
  </r>
  <r>
    <s v="LD5254"/>
    <d v="2024-09-16T00:00:00"/>
    <x v="0"/>
    <s v="Instagram Ads"/>
    <s v="Mobile"/>
    <s v="North America"/>
    <s v="Lead"/>
    <m/>
    <m/>
    <m/>
    <n v="1"/>
    <x v="9"/>
    <n v="0"/>
    <n v="0"/>
    <n v="0"/>
  </r>
  <r>
    <s v="LD1889"/>
    <d v="2024-02-05T00:00:00"/>
    <x v="4"/>
    <s v="Affiliate Program"/>
    <s v="Desktop"/>
    <s v="Europe"/>
    <s v="MQL"/>
    <m/>
    <m/>
    <m/>
    <n v="2"/>
    <x v="10"/>
    <n v="1"/>
    <n v="0"/>
    <n v="0"/>
  </r>
  <r>
    <s v="LD3988"/>
    <d v="2024-06-12T00:00:00"/>
    <x v="2"/>
    <s v="Direct / Type-in"/>
    <s v="Desktop"/>
    <s v="North America"/>
    <s v="Lead"/>
    <m/>
    <m/>
    <m/>
    <n v="1"/>
    <x v="11"/>
    <n v="0"/>
    <n v="0"/>
    <n v="0"/>
  </r>
  <r>
    <s v="LD6371"/>
    <d v="2024-11-25T00:00:00"/>
    <x v="5"/>
    <s v="Landing Page SEO"/>
    <s v="Mobile"/>
    <s v="Europe"/>
    <s v="MQL"/>
    <m/>
    <m/>
    <m/>
    <n v="2"/>
    <x v="2"/>
    <n v="1"/>
    <n v="0"/>
    <n v="0"/>
  </r>
  <r>
    <s v="LD3438"/>
    <d v="2024-05-22T00:00:00"/>
    <x v="4"/>
    <s v="Affiliate Program"/>
    <s v="Tablet"/>
    <s v="North America"/>
    <s v="Lead"/>
    <m/>
    <m/>
    <m/>
    <n v="1"/>
    <x v="4"/>
    <n v="0"/>
    <n v="0"/>
    <n v="0"/>
  </r>
  <r>
    <s v="LD4310"/>
    <d v="2024-07-27T00:00:00"/>
    <x v="3"/>
    <s v="Promo Blast"/>
    <s v="Tablet"/>
    <s v="North America"/>
    <s v="Lead"/>
    <m/>
    <m/>
    <m/>
    <n v="1"/>
    <x v="0"/>
    <n v="0"/>
    <n v="0"/>
    <n v="0"/>
  </r>
  <r>
    <s v="LD7772"/>
    <d v="2024-12-12T00:00:00"/>
    <x v="2"/>
    <s v="Direct / Type-in"/>
    <s v="Desktop"/>
    <s v="North America"/>
    <s v="Lead"/>
    <m/>
    <m/>
    <m/>
    <n v="1"/>
    <x v="7"/>
    <n v="0"/>
    <n v="0"/>
    <n v="0"/>
  </r>
  <r>
    <s v="LD1818"/>
    <d v="2024-02-26T00:00:00"/>
    <x v="3"/>
    <s v="Promo Blast"/>
    <s v="Mobile"/>
    <s v="North America"/>
    <s v="MQL"/>
    <m/>
    <m/>
    <m/>
    <n v="2"/>
    <x v="10"/>
    <n v="1"/>
    <n v="0"/>
    <n v="0"/>
  </r>
  <r>
    <s v="LD2112"/>
    <d v="2024-03-07T00:00:00"/>
    <x v="1"/>
    <s v="Google Ads - Brand"/>
    <s v="Mobile"/>
    <s v="North America"/>
    <s v="MQL"/>
    <m/>
    <m/>
    <m/>
    <n v="2"/>
    <x v="8"/>
    <n v="1"/>
    <n v="0"/>
    <n v="0"/>
  </r>
  <r>
    <s v="LD5238"/>
    <d v="2024-09-10T00:00:00"/>
    <x v="0"/>
    <s v="LinkedIn Ads"/>
    <s v="Desktop"/>
    <s v="North America"/>
    <s v="Lead"/>
    <m/>
    <m/>
    <m/>
    <n v="1"/>
    <x v="9"/>
    <n v="0"/>
    <n v="0"/>
    <n v="0"/>
  </r>
  <r>
    <s v="LD3342"/>
    <d v="2024-05-28T00:00:00"/>
    <x v="3"/>
    <s v="Promo Blast"/>
    <s v="Mobile"/>
    <s v="North America"/>
    <s v="Lead"/>
    <m/>
    <m/>
    <m/>
    <n v="1"/>
    <x v="4"/>
    <n v="0"/>
    <n v="0"/>
    <n v="0"/>
  </r>
  <r>
    <s v="LD6003"/>
    <d v="2024-10-08T00:00:00"/>
    <x v="3"/>
    <s v="Monthly Newsletter"/>
    <s v="Desktop"/>
    <s v="North America"/>
    <s v="Lead"/>
    <m/>
    <m/>
    <m/>
    <n v="1"/>
    <x v="5"/>
    <n v="0"/>
    <n v="0"/>
    <n v="0"/>
  </r>
  <r>
    <s v="LD6578"/>
    <d v="2024-11-20T00:00:00"/>
    <x v="1"/>
    <s v="Google Ads - Brand"/>
    <s v="Desktop"/>
    <s v="Asia Pacific"/>
    <s v="MQL"/>
    <m/>
    <m/>
    <m/>
    <n v="2"/>
    <x v="2"/>
    <n v="1"/>
    <n v="0"/>
    <n v="0"/>
  </r>
  <r>
    <s v="LD4066"/>
    <d v="2024-07-12T00:00:00"/>
    <x v="5"/>
    <s v="Landing Page SEO"/>
    <s v="Mobile"/>
    <s v="Europe"/>
    <s v="Lead"/>
    <m/>
    <m/>
    <m/>
    <n v="1"/>
    <x v="0"/>
    <n v="0"/>
    <n v="0"/>
    <n v="0"/>
  </r>
  <r>
    <s v="LD2265"/>
    <d v="2024-03-04T00:00:00"/>
    <x v="3"/>
    <s v="Monthly Newsletter"/>
    <s v="Mobile"/>
    <s v="Europe"/>
    <s v="Lead"/>
    <m/>
    <m/>
    <m/>
    <n v="1"/>
    <x v="8"/>
    <n v="0"/>
    <n v="0"/>
    <n v="0"/>
  </r>
  <r>
    <s v="LD1991"/>
    <d v="2024-03-11T00:00:00"/>
    <x v="5"/>
    <s v="Blog SEO"/>
    <s v="Mobile"/>
    <s v="Asia Pacific"/>
    <s v="Customer"/>
    <n v="64"/>
    <s v="Basic"/>
    <n v="1225.25"/>
    <n v="4"/>
    <x v="8"/>
    <n v="1"/>
    <n v="1"/>
    <n v="1"/>
  </r>
  <r>
    <s v="LD2465"/>
    <d v="2024-03-14T00:00:00"/>
    <x v="2"/>
    <s v="Direct / Type-in"/>
    <s v="Mobile"/>
    <s v="Europe"/>
    <s v="Lead"/>
    <m/>
    <m/>
    <m/>
    <n v="1"/>
    <x v="8"/>
    <n v="0"/>
    <n v="0"/>
    <n v="0"/>
  </r>
  <r>
    <s v="LD2740"/>
    <d v="2024-04-01T00:00:00"/>
    <x v="3"/>
    <s v="Monthly Newsletter"/>
    <s v="Mobile"/>
    <s v="North America"/>
    <s v="Lead"/>
    <m/>
    <m/>
    <m/>
    <n v="1"/>
    <x v="1"/>
    <n v="0"/>
    <n v="0"/>
    <n v="0"/>
  </r>
  <r>
    <s v="LD5880"/>
    <d v="2024-10-19T00:00:00"/>
    <x v="0"/>
    <s v="Facebook Ads"/>
    <s v="Desktop"/>
    <s v="Asia Pacific"/>
    <s v="Lead"/>
    <m/>
    <m/>
    <m/>
    <n v="1"/>
    <x v="5"/>
    <n v="0"/>
    <n v="0"/>
    <n v="0"/>
  </r>
  <r>
    <s v="LD4208"/>
    <d v="2024-07-03T00:00:00"/>
    <x v="1"/>
    <s v="Google Ads - Generic"/>
    <s v="Mobile"/>
    <s v="North America"/>
    <s v="Lead"/>
    <m/>
    <m/>
    <m/>
    <n v="1"/>
    <x v="0"/>
    <n v="0"/>
    <n v="0"/>
    <n v="0"/>
  </r>
  <r>
    <s v="LD1354"/>
    <d v="2024-01-07T00:00:00"/>
    <x v="4"/>
    <s v="Partner Program"/>
    <s v="Mobile"/>
    <s v="Europe"/>
    <s v="Lead"/>
    <m/>
    <m/>
    <m/>
    <n v="1"/>
    <x v="3"/>
    <n v="0"/>
    <n v="0"/>
    <n v="0"/>
  </r>
  <r>
    <s v="LD6172"/>
    <d v="2024-10-12T00:00:00"/>
    <x v="4"/>
    <s v="Partner Program"/>
    <s v="Desktop"/>
    <s v="Europe"/>
    <s v="MQL"/>
    <m/>
    <m/>
    <m/>
    <n v="2"/>
    <x v="5"/>
    <n v="1"/>
    <n v="0"/>
    <n v="0"/>
  </r>
  <r>
    <s v="LD6410"/>
    <d v="2024-11-22T00:00:00"/>
    <x v="5"/>
    <s v="Landing Page SEO"/>
    <s v="Desktop"/>
    <s v="Europe"/>
    <s v="MQL"/>
    <m/>
    <m/>
    <m/>
    <n v="2"/>
    <x v="2"/>
    <n v="1"/>
    <n v="0"/>
    <n v="0"/>
  </r>
  <r>
    <s v="LD5764"/>
    <d v="2024-10-28T00:00:00"/>
    <x v="1"/>
    <s v="Google Ads - Brand"/>
    <s v="Desktop"/>
    <s v="North America"/>
    <s v="MQL"/>
    <m/>
    <m/>
    <m/>
    <n v="2"/>
    <x v="5"/>
    <n v="1"/>
    <n v="0"/>
    <n v="0"/>
  </r>
  <r>
    <s v="LD2490"/>
    <d v="2024-04-14T00:00:00"/>
    <x v="5"/>
    <s v="Landing Page SEO"/>
    <s v="Mobile"/>
    <s v="Asia Pacific"/>
    <s v="Lead"/>
    <m/>
    <m/>
    <m/>
    <n v="1"/>
    <x v="1"/>
    <n v="0"/>
    <n v="0"/>
    <n v="0"/>
  </r>
  <r>
    <s v="LD5559"/>
    <d v="2024-09-10T00:00:00"/>
    <x v="2"/>
    <s v="Direct / Type-in"/>
    <s v="Desktop"/>
    <s v="North America"/>
    <s v="Lead"/>
    <m/>
    <m/>
    <m/>
    <n v="1"/>
    <x v="9"/>
    <n v="0"/>
    <n v="0"/>
    <n v="0"/>
  </r>
  <r>
    <s v="LD6943"/>
    <d v="2024-11-06T00:00:00"/>
    <x v="4"/>
    <s v="Partner Program"/>
    <s v="Tablet"/>
    <s v="North America"/>
    <s v="MQL"/>
    <m/>
    <m/>
    <m/>
    <n v="2"/>
    <x v="2"/>
    <n v="1"/>
    <n v="0"/>
    <n v="0"/>
  </r>
  <r>
    <s v="LD4131"/>
    <d v="2024-07-12T00:00:00"/>
    <x v="1"/>
    <s v="Google Ads - Brand"/>
    <s v="Desktop"/>
    <s v="North America"/>
    <s v="Lead"/>
    <m/>
    <m/>
    <m/>
    <n v="1"/>
    <x v="0"/>
    <n v="0"/>
    <n v="0"/>
    <n v="0"/>
  </r>
  <r>
    <s v="LD2229"/>
    <d v="2024-03-10T00:00:00"/>
    <x v="3"/>
    <s v="Monthly Newsletter"/>
    <s v="Desktop"/>
    <s v="North America"/>
    <s v="SQL"/>
    <m/>
    <m/>
    <m/>
    <n v="3"/>
    <x v="8"/>
    <n v="1"/>
    <n v="1"/>
    <n v="0"/>
  </r>
  <r>
    <s v="LD7117"/>
    <d v="2024-12-16T00:00:00"/>
    <x v="5"/>
    <s v="Blog SEO"/>
    <s v="Mobile"/>
    <s v="North America"/>
    <s v="Customer"/>
    <n v="60"/>
    <s v="Pro"/>
    <n v="2270.77"/>
    <n v="4"/>
    <x v="7"/>
    <n v="1"/>
    <n v="1"/>
    <n v="1"/>
  </r>
  <r>
    <s v="LD4215"/>
    <d v="2024-07-15T00:00:00"/>
    <x v="0"/>
    <s v="Facebook Ads"/>
    <s v="Mobile"/>
    <s v="North America"/>
    <s v="SQL"/>
    <m/>
    <m/>
    <m/>
    <n v="3"/>
    <x v="0"/>
    <n v="1"/>
    <n v="1"/>
    <n v="0"/>
  </r>
  <r>
    <s v="LD4481"/>
    <d v="2024-07-08T00:00:00"/>
    <x v="2"/>
    <s v="Direct / Type-in"/>
    <s v="Mobile"/>
    <s v="Asia Pacific"/>
    <s v="Lead"/>
    <m/>
    <m/>
    <m/>
    <n v="1"/>
    <x v="0"/>
    <n v="0"/>
    <n v="0"/>
    <n v="0"/>
  </r>
  <r>
    <s v="LD7422"/>
    <d v="2024-12-20T00:00:00"/>
    <x v="0"/>
    <s v="LinkedIn Ads"/>
    <s v="Mobile"/>
    <s v="North America"/>
    <s v="Lead"/>
    <m/>
    <m/>
    <m/>
    <n v="1"/>
    <x v="7"/>
    <n v="0"/>
    <n v="0"/>
    <n v="0"/>
  </r>
  <r>
    <s v="LD6142"/>
    <d v="2024-10-02T00:00:00"/>
    <x v="4"/>
    <s v="Affiliate Program"/>
    <s v="Desktop"/>
    <s v="North America"/>
    <s v="Lead"/>
    <m/>
    <m/>
    <m/>
    <n v="1"/>
    <x v="5"/>
    <n v="0"/>
    <n v="0"/>
    <n v="0"/>
  </r>
  <r>
    <s v="LD7346"/>
    <d v="2024-12-01T00:00:00"/>
    <x v="0"/>
    <s v="Facebook Ads"/>
    <s v="Desktop"/>
    <s v="North America"/>
    <s v="MQL"/>
    <m/>
    <m/>
    <m/>
    <n v="2"/>
    <x v="7"/>
    <n v="1"/>
    <n v="0"/>
    <n v="0"/>
  </r>
  <r>
    <s v="LD1053"/>
    <d v="2024-01-27T00:00:00"/>
    <x v="5"/>
    <s v="Landing Page SEO"/>
    <s v="Desktop"/>
    <s v="North America"/>
    <s v="MQL"/>
    <m/>
    <m/>
    <m/>
    <n v="2"/>
    <x v="3"/>
    <n v="1"/>
    <n v="0"/>
    <n v="0"/>
  </r>
  <r>
    <s v="LD7553"/>
    <d v="2024-12-02T00:00:00"/>
    <x v="3"/>
    <s v="Promo Blast"/>
    <s v="Desktop"/>
    <s v="North America"/>
    <s v="MQL"/>
    <m/>
    <m/>
    <m/>
    <n v="2"/>
    <x v="7"/>
    <n v="1"/>
    <n v="0"/>
    <n v="0"/>
  </r>
  <r>
    <s v="LD4546"/>
    <d v="2024-08-28T00:00:00"/>
    <x v="5"/>
    <s v="Landing Page SEO"/>
    <s v="Desktop"/>
    <s v="North America"/>
    <s v="SQL"/>
    <m/>
    <m/>
    <m/>
    <n v="3"/>
    <x v="6"/>
    <n v="1"/>
    <n v="1"/>
    <n v="0"/>
  </r>
  <r>
    <s v="LD4086"/>
    <d v="2024-07-20T00:00:00"/>
    <x v="5"/>
    <s v="Blog SEO"/>
    <s v="Mobile"/>
    <s v="Asia Pacific"/>
    <s v="MQL"/>
    <m/>
    <m/>
    <m/>
    <n v="2"/>
    <x v="0"/>
    <n v="1"/>
    <n v="0"/>
    <n v="0"/>
  </r>
  <r>
    <s v="LD1160"/>
    <d v="2024-01-21T00:00:00"/>
    <x v="1"/>
    <s v="Google Ads - Brand"/>
    <s v="Mobile"/>
    <s v="Asia Pacific"/>
    <s v="Lead"/>
    <m/>
    <m/>
    <m/>
    <n v="1"/>
    <x v="3"/>
    <n v="0"/>
    <n v="0"/>
    <n v="0"/>
  </r>
  <r>
    <s v="LD6015"/>
    <d v="2024-10-15T00:00:00"/>
    <x v="3"/>
    <s v="Monthly Newsletter"/>
    <s v="Mobile"/>
    <s v="North America"/>
    <s v="Lead"/>
    <m/>
    <m/>
    <m/>
    <n v="1"/>
    <x v="5"/>
    <n v="0"/>
    <n v="0"/>
    <n v="0"/>
  </r>
  <r>
    <s v="LD2588"/>
    <d v="2024-04-13T00:00:00"/>
    <x v="1"/>
    <s v="Google Ads - Generic"/>
    <s v="Mobile"/>
    <s v="North America"/>
    <s v="MQL"/>
    <m/>
    <m/>
    <m/>
    <n v="2"/>
    <x v="1"/>
    <n v="1"/>
    <n v="0"/>
    <n v="0"/>
  </r>
  <r>
    <s v="LD2590"/>
    <d v="2024-04-23T00:00:00"/>
    <x v="1"/>
    <s v="Google Ads - Generic"/>
    <s v="Desktop"/>
    <s v="North America"/>
    <s v="Lead"/>
    <m/>
    <m/>
    <m/>
    <n v="1"/>
    <x v="1"/>
    <n v="0"/>
    <n v="0"/>
    <n v="0"/>
  </r>
  <r>
    <s v="LD2480"/>
    <d v="2024-04-18T00:00:00"/>
    <x v="5"/>
    <s v="Landing Page SEO"/>
    <s v="Desktop"/>
    <s v="North America"/>
    <s v="MQL"/>
    <m/>
    <m/>
    <m/>
    <n v="2"/>
    <x v="1"/>
    <n v="1"/>
    <n v="0"/>
    <n v="0"/>
  </r>
  <r>
    <s v="LD5251"/>
    <d v="2024-09-05T00:00:00"/>
    <x v="0"/>
    <s v="Facebook Ads"/>
    <s v="Desktop"/>
    <s v="Europe"/>
    <s v="Lead"/>
    <m/>
    <m/>
    <m/>
    <n v="1"/>
    <x v="9"/>
    <n v="0"/>
    <n v="0"/>
    <n v="0"/>
  </r>
  <r>
    <s v="LD4146"/>
    <d v="2024-07-03T00:00:00"/>
    <x v="1"/>
    <s v="Google Ads - Generic"/>
    <s v="Mobile"/>
    <s v="Europe"/>
    <s v="MQL"/>
    <m/>
    <m/>
    <m/>
    <n v="2"/>
    <x v="0"/>
    <n v="1"/>
    <n v="0"/>
    <n v="0"/>
  </r>
  <r>
    <s v="LD2470"/>
    <d v="2024-03-12T00:00:00"/>
    <x v="2"/>
    <s v="Direct / Type-in"/>
    <s v="Tablet"/>
    <s v="Asia Pacific"/>
    <s v="Lead"/>
    <m/>
    <m/>
    <m/>
    <n v="1"/>
    <x v="8"/>
    <n v="0"/>
    <n v="0"/>
    <n v="0"/>
  </r>
  <r>
    <s v="LD4947"/>
    <d v="2024-08-19T00:00:00"/>
    <x v="4"/>
    <s v="Affiliate Program"/>
    <s v="Desktop"/>
    <s v="Asia Pacific"/>
    <s v="SQL"/>
    <m/>
    <m/>
    <m/>
    <n v="3"/>
    <x v="6"/>
    <n v="1"/>
    <n v="1"/>
    <n v="0"/>
  </r>
  <r>
    <s v="LD4095"/>
    <d v="2024-07-03T00:00:00"/>
    <x v="5"/>
    <s v="Blog SEO"/>
    <s v="Tablet"/>
    <s v="North America"/>
    <s v="MQL"/>
    <m/>
    <m/>
    <m/>
    <n v="2"/>
    <x v="0"/>
    <n v="1"/>
    <n v="0"/>
    <n v="0"/>
  </r>
  <r>
    <s v="LD4594"/>
    <d v="2024-08-21T00:00:00"/>
    <x v="1"/>
    <s v="Google Ads - Generic"/>
    <s v="Desktop"/>
    <s v="North America"/>
    <s v="MQL"/>
    <m/>
    <m/>
    <m/>
    <n v="2"/>
    <x v="6"/>
    <n v="1"/>
    <n v="0"/>
    <n v="0"/>
  </r>
  <r>
    <s v="LD7204"/>
    <d v="2024-12-03T00:00:00"/>
    <x v="1"/>
    <s v="Google Ads - Generic"/>
    <s v="Mobile"/>
    <s v="Europe"/>
    <s v="Lead"/>
    <m/>
    <m/>
    <m/>
    <n v="1"/>
    <x v="7"/>
    <n v="0"/>
    <n v="0"/>
    <n v="0"/>
  </r>
  <r>
    <s v="LD3079"/>
    <d v="2024-05-09T00:00:00"/>
    <x v="5"/>
    <s v="Landing Page SEO"/>
    <s v="Mobile"/>
    <s v="Asia Pacific"/>
    <s v="Customer"/>
    <n v="54"/>
    <s v="Pro"/>
    <n v="3998.31"/>
    <n v="4"/>
    <x v="4"/>
    <n v="1"/>
    <n v="1"/>
    <n v="1"/>
  </r>
  <r>
    <s v="LD7642"/>
    <d v="2024-12-17T00:00:00"/>
    <x v="4"/>
    <s v="Affiliate Program"/>
    <s v="Desktop"/>
    <s v="North America"/>
    <s v="Lead"/>
    <m/>
    <m/>
    <m/>
    <n v="1"/>
    <x v="7"/>
    <n v="0"/>
    <n v="0"/>
    <n v="0"/>
  </r>
  <r>
    <s v="LD5261"/>
    <d v="2024-09-23T00:00:00"/>
    <x v="0"/>
    <s v="LinkedIn Ads"/>
    <s v="Mobile"/>
    <s v="Europe"/>
    <s v="Lead"/>
    <m/>
    <m/>
    <m/>
    <n v="1"/>
    <x v="9"/>
    <n v="0"/>
    <n v="0"/>
    <n v="0"/>
  </r>
  <r>
    <s v="LD7685"/>
    <d v="2024-12-09T00:00:00"/>
    <x v="4"/>
    <s v="Partner Program"/>
    <s v="Mobile"/>
    <s v="Asia Pacific"/>
    <s v="SQL"/>
    <m/>
    <m/>
    <m/>
    <n v="3"/>
    <x v="7"/>
    <n v="1"/>
    <n v="1"/>
    <n v="0"/>
  </r>
  <r>
    <s v="LD4359"/>
    <d v="2024-07-04T00:00:00"/>
    <x v="3"/>
    <s v="Promo Blast"/>
    <s v="Desktop"/>
    <s v="Asia Pacific"/>
    <s v="MQL"/>
    <m/>
    <m/>
    <m/>
    <n v="2"/>
    <x v="0"/>
    <n v="1"/>
    <n v="0"/>
    <n v="0"/>
  </r>
  <r>
    <s v="LD3829"/>
    <d v="2024-06-11T00:00:00"/>
    <x v="3"/>
    <s v="Promo Blast"/>
    <s v="Mobile"/>
    <s v="North America"/>
    <s v="SQL"/>
    <m/>
    <m/>
    <m/>
    <n v="3"/>
    <x v="11"/>
    <n v="1"/>
    <n v="1"/>
    <n v="0"/>
  </r>
  <r>
    <s v="LD1437"/>
    <d v="2024-01-03T00:00:00"/>
    <x v="2"/>
    <s v="Direct / Type-in"/>
    <s v="Desktop"/>
    <s v="North America"/>
    <s v="Customer"/>
    <n v="56"/>
    <s v="Basic"/>
    <n v="637.87"/>
    <n v="4"/>
    <x v="3"/>
    <n v="1"/>
    <n v="1"/>
    <n v="1"/>
  </r>
  <r>
    <s v="LD5415"/>
    <d v="2024-09-10T00:00:00"/>
    <x v="3"/>
    <s v="Promo Blast"/>
    <s v="Mobile"/>
    <s v="North America"/>
    <s v="Customer"/>
    <n v="38"/>
    <s v="Basic"/>
    <n v="866.27"/>
    <n v="4"/>
    <x v="9"/>
    <n v="1"/>
    <n v="1"/>
    <n v="1"/>
  </r>
  <r>
    <s v="LD3961"/>
    <d v="2024-06-21T00:00:00"/>
    <x v="4"/>
    <s v="Partner Program"/>
    <s v="Desktop"/>
    <s v="North America"/>
    <s v="Lead"/>
    <m/>
    <m/>
    <m/>
    <n v="1"/>
    <x v="11"/>
    <n v="0"/>
    <n v="0"/>
    <n v="0"/>
  </r>
  <r>
    <s v="LD5519"/>
    <d v="2024-09-06T00:00:00"/>
    <x v="4"/>
    <s v="Affiliate Program"/>
    <s v="Mobile"/>
    <s v="Asia Pacific"/>
    <s v="Lead"/>
    <m/>
    <m/>
    <m/>
    <n v="1"/>
    <x v="9"/>
    <n v="0"/>
    <n v="0"/>
    <n v="0"/>
  </r>
  <r>
    <s v="LD2589"/>
    <d v="2024-04-19T00:00:00"/>
    <x v="1"/>
    <s v="Google Ads - Brand"/>
    <s v="Mobile"/>
    <s v="Asia Pacific"/>
    <s v="Lead"/>
    <m/>
    <m/>
    <m/>
    <n v="1"/>
    <x v="1"/>
    <n v="0"/>
    <n v="0"/>
    <n v="0"/>
  </r>
  <r>
    <s v="LD3781"/>
    <d v="2024-06-21T00:00:00"/>
    <x v="0"/>
    <s v="Instagram Ads"/>
    <s v="Mobile"/>
    <s v="North America"/>
    <s v="Lead"/>
    <m/>
    <m/>
    <m/>
    <n v="1"/>
    <x v="11"/>
    <n v="0"/>
    <n v="0"/>
    <n v="0"/>
  </r>
  <r>
    <s v="LD5994"/>
    <d v="2024-10-23T00:00:00"/>
    <x v="3"/>
    <s v="Monthly Newsletter"/>
    <s v="Mobile"/>
    <s v="North America"/>
    <s v="Lead"/>
    <m/>
    <m/>
    <m/>
    <n v="1"/>
    <x v="5"/>
    <n v="0"/>
    <n v="0"/>
    <n v="0"/>
  </r>
  <r>
    <s v="LD2591"/>
    <d v="2024-04-18T00:00:00"/>
    <x v="1"/>
    <s v="Google Ads - Brand"/>
    <s v="Desktop"/>
    <s v="North America"/>
    <s v="Customer"/>
    <n v="42"/>
    <s v="Enterprise"/>
    <n v="9056.52"/>
    <n v="4"/>
    <x v="1"/>
    <n v="1"/>
    <n v="1"/>
    <n v="1"/>
  </r>
  <r>
    <s v="LD7604"/>
    <d v="2024-12-17T00:00:00"/>
    <x v="4"/>
    <s v="Affiliate Program"/>
    <s v="Mobile"/>
    <s v="Europe"/>
    <s v="Customer"/>
    <n v="37"/>
    <s v="Enterprise"/>
    <n v="6458.2"/>
    <n v="4"/>
    <x v="7"/>
    <n v="1"/>
    <n v="1"/>
    <n v="1"/>
  </r>
  <r>
    <s v="LD1974"/>
    <d v="2024-03-16T00:00:00"/>
    <x v="5"/>
    <s v="Landing Page SEO"/>
    <s v="Desktop"/>
    <s v="Latin America"/>
    <s v="Lead"/>
    <m/>
    <m/>
    <m/>
    <n v="1"/>
    <x v="8"/>
    <n v="0"/>
    <n v="0"/>
    <n v="0"/>
  </r>
  <r>
    <s v="LD2239"/>
    <d v="2024-03-11T00:00:00"/>
    <x v="3"/>
    <s v="Promo Blast"/>
    <s v="Mobile"/>
    <s v="North America"/>
    <s v="Lead"/>
    <m/>
    <m/>
    <m/>
    <n v="1"/>
    <x v="8"/>
    <n v="0"/>
    <n v="0"/>
    <n v="0"/>
  </r>
  <r>
    <s v="LD3952"/>
    <d v="2024-06-15T00:00:00"/>
    <x v="4"/>
    <s v="Affiliate Program"/>
    <s v="Desktop"/>
    <s v="Europe"/>
    <s v="MQL"/>
    <m/>
    <m/>
    <m/>
    <n v="2"/>
    <x v="11"/>
    <n v="1"/>
    <n v="0"/>
    <n v="0"/>
  </r>
  <r>
    <s v="LD3343"/>
    <d v="2024-05-20T00:00:00"/>
    <x v="3"/>
    <s v="Monthly Newsletter"/>
    <s v="Desktop"/>
    <s v="North America"/>
    <s v="Lead"/>
    <m/>
    <m/>
    <m/>
    <n v="1"/>
    <x v="4"/>
    <n v="0"/>
    <n v="0"/>
    <n v="0"/>
  </r>
  <r>
    <s v="LD4204"/>
    <d v="2024-07-27T00:00:00"/>
    <x v="1"/>
    <s v="Google Ads - Brand"/>
    <s v="Desktop"/>
    <s v="North America"/>
    <s v="MQL"/>
    <m/>
    <m/>
    <m/>
    <n v="2"/>
    <x v="0"/>
    <n v="1"/>
    <n v="0"/>
    <n v="0"/>
  </r>
  <r>
    <s v="LD4996"/>
    <d v="2024-08-03T00:00:00"/>
    <x v="2"/>
    <s v="Direct / Type-in"/>
    <s v="Mobile"/>
    <s v="North America"/>
    <s v="Lead"/>
    <m/>
    <m/>
    <m/>
    <n v="1"/>
    <x v="6"/>
    <n v="0"/>
    <n v="0"/>
    <n v="0"/>
  </r>
  <r>
    <s v="LD5354"/>
    <d v="2024-09-27T00:00:00"/>
    <x v="3"/>
    <s v="Promo Blast"/>
    <s v="Desktop"/>
    <s v="North America"/>
    <s v="Lead"/>
    <m/>
    <m/>
    <m/>
    <n v="1"/>
    <x v="9"/>
    <n v="0"/>
    <n v="0"/>
    <n v="0"/>
  </r>
  <r>
    <s v="LD6794"/>
    <d v="2024-11-20T00:00:00"/>
    <x v="3"/>
    <s v="Promo Blast"/>
    <s v="Mobile"/>
    <s v="North America"/>
    <s v="SQL"/>
    <m/>
    <m/>
    <m/>
    <n v="3"/>
    <x v="2"/>
    <n v="1"/>
    <n v="1"/>
    <n v="0"/>
  </r>
  <r>
    <s v="LD3232"/>
    <d v="2024-05-14T00:00:00"/>
    <x v="0"/>
    <s v="Facebook Ads"/>
    <s v="Mobile"/>
    <s v="Europe"/>
    <s v="Lead"/>
    <m/>
    <m/>
    <m/>
    <n v="1"/>
    <x v="4"/>
    <n v="0"/>
    <n v="0"/>
    <n v="0"/>
  </r>
  <r>
    <s v="LD4480"/>
    <d v="2024-07-28T00:00:00"/>
    <x v="2"/>
    <s v="Direct / Type-in"/>
    <s v="Desktop"/>
    <s v="North America"/>
    <s v="SQL"/>
    <m/>
    <m/>
    <m/>
    <n v="3"/>
    <x v="0"/>
    <n v="1"/>
    <n v="1"/>
    <n v="0"/>
  </r>
  <r>
    <s v="LD2498"/>
    <d v="2024-04-26T00:00:00"/>
    <x v="5"/>
    <s v="Blog SEO"/>
    <s v="Mobile"/>
    <s v="North America"/>
    <s v="Lead"/>
    <m/>
    <m/>
    <m/>
    <n v="1"/>
    <x v="1"/>
    <n v="0"/>
    <n v="0"/>
    <n v="0"/>
  </r>
  <r>
    <s v="LD1450"/>
    <d v="2024-01-26T00:00:00"/>
    <x v="2"/>
    <s v="Direct / Type-in"/>
    <s v="Mobile"/>
    <s v="Asia Pacific"/>
    <s v="Lead"/>
    <m/>
    <m/>
    <m/>
    <n v="1"/>
    <x v="3"/>
    <n v="0"/>
    <n v="0"/>
    <n v="0"/>
  </r>
  <r>
    <s v="LD3370"/>
    <d v="2024-05-19T00:00:00"/>
    <x v="3"/>
    <s v="Monthly Newsletter"/>
    <s v="Mobile"/>
    <s v="Europe"/>
    <s v="Lead"/>
    <m/>
    <m/>
    <m/>
    <n v="1"/>
    <x v="4"/>
    <n v="0"/>
    <n v="0"/>
    <n v="0"/>
  </r>
  <r>
    <s v="LD5208"/>
    <d v="2024-09-06T00:00:00"/>
    <x v="1"/>
    <s v="Google Ads - Generic"/>
    <s v="Desktop"/>
    <s v="Europe"/>
    <s v="MQL"/>
    <m/>
    <m/>
    <m/>
    <n v="2"/>
    <x v="9"/>
    <n v="1"/>
    <n v="0"/>
    <n v="0"/>
  </r>
  <r>
    <s v="LD3423"/>
    <d v="2024-05-21T00:00:00"/>
    <x v="3"/>
    <s v="Monthly Newsletter"/>
    <s v="Mobile"/>
    <s v="Europe"/>
    <s v="Lead"/>
    <m/>
    <m/>
    <m/>
    <n v="1"/>
    <x v="4"/>
    <n v="0"/>
    <n v="0"/>
    <n v="0"/>
  </r>
  <r>
    <s v="LD7089"/>
    <d v="2024-11-10T00:00:00"/>
    <x v="2"/>
    <s v="Direct / Type-in"/>
    <s v="Mobile"/>
    <s v="North America"/>
    <s v="Lead"/>
    <m/>
    <m/>
    <m/>
    <n v="1"/>
    <x v="2"/>
    <n v="0"/>
    <n v="0"/>
    <n v="0"/>
  </r>
  <r>
    <s v="LD5297"/>
    <d v="2024-09-27T00:00:00"/>
    <x v="0"/>
    <s v="Facebook Ads"/>
    <s v="Tablet"/>
    <s v="North America"/>
    <s v="Lead"/>
    <m/>
    <m/>
    <m/>
    <n v="1"/>
    <x v="9"/>
    <n v="0"/>
    <n v="0"/>
    <n v="0"/>
  </r>
  <r>
    <s v="LD5634"/>
    <d v="2024-10-17T00:00:00"/>
    <x v="5"/>
    <s v="Landing Page SEO"/>
    <s v="Mobile"/>
    <s v="North America"/>
    <s v="MQL"/>
    <m/>
    <m/>
    <m/>
    <n v="2"/>
    <x v="5"/>
    <n v="1"/>
    <n v="0"/>
    <n v="0"/>
  </r>
  <r>
    <s v="LD2552"/>
    <d v="2024-04-02T00:00:00"/>
    <x v="5"/>
    <s v="Landing Page SEO"/>
    <s v="Desktop"/>
    <s v="Europe"/>
    <s v="SQL"/>
    <m/>
    <m/>
    <m/>
    <n v="3"/>
    <x v="1"/>
    <n v="1"/>
    <n v="1"/>
    <n v="0"/>
  </r>
  <r>
    <s v="LD7014"/>
    <d v="2024-11-08T00:00:00"/>
    <x v="2"/>
    <s v="Direct / Type-in"/>
    <s v="Desktop"/>
    <s v="Asia Pacific"/>
    <s v="MQL"/>
    <m/>
    <m/>
    <m/>
    <n v="2"/>
    <x v="2"/>
    <n v="1"/>
    <n v="0"/>
    <n v="0"/>
  </r>
  <r>
    <s v="LD2147"/>
    <d v="2024-03-02T00:00:00"/>
    <x v="0"/>
    <s v="LinkedIn Ads"/>
    <s v="Desktop"/>
    <s v="North America"/>
    <s v="SQL"/>
    <m/>
    <m/>
    <m/>
    <n v="3"/>
    <x v="8"/>
    <n v="1"/>
    <n v="1"/>
    <n v="0"/>
  </r>
  <r>
    <s v="LD5442"/>
    <d v="2024-09-24T00:00:00"/>
    <x v="3"/>
    <s v="Promo Blast"/>
    <s v="Mobile"/>
    <s v="Europe"/>
    <s v="MQL"/>
    <m/>
    <m/>
    <m/>
    <n v="2"/>
    <x v="9"/>
    <n v="1"/>
    <n v="0"/>
    <n v="0"/>
  </r>
  <r>
    <s v="LD3093"/>
    <d v="2024-05-21T00:00:00"/>
    <x v="5"/>
    <s v="Blog SEO"/>
    <s v="Desktop"/>
    <s v="Europe"/>
    <s v="MQL"/>
    <m/>
    <m/>
    <m/>
    <n v="2"/>
    <x v="4"/>
    <n v="1"/>
    <n v="0"/>
    <n v="0"/>
  </r>
  <r>
    <s v="LD2314"/>
    <d v="2024-03-09T00:00:00"/>
    <x v="3"/>
    <s v="Monthly Newsletter"/>
    <s v="Desktop"/>
    <s v="Europe"/>
    <s v="SQL"/>
    <m/>
    <m/>
    <m/>
    <n v="3"/>
    <x v="8"/>
    <n v="1"/>
    <n v="1"/>
    <n v="0"/>
  </r>
  <r>
    <s v="LD3016"/>
    <d v="2024-05-13T00:00:00"/>
    <x v="5"/>
    <s v="Landing Page SEO"/>
    <s v="Mobile"/>
    <s v="Asia Pacific"/>
    <s v="SQL"/>
    <m/>
    <m/>
    <m/>
    <n v="3"/>
    <x v="4"/>
    <n v="1"/>
    <n v="1"/>
    <n v="0"/>
  </r>
  <r>
    <s v="LD1188"/>
    <d v="2024-01-12T00:00:00"/>
    <x v="0"/>
    <s v="LinkedIn Ads"/>
    <s v="Tablet"/>
    <s v="Europe"/>
    <s v="Lead"/>
    <m/>
    <m/>
    <m/>
    <n v="1"/>
    <x v="3"/>
    <n v="0"/>
    <n v="0"/>
    <n v="0"/>
  </r>
  <r>
    <s v="LD4529"/>
    <d v="2024-08-17T00:00:00"/>
    <x v="5"/>
    <s v="Landing Page SEO"/>
    <s v="Desktop"/>
    <s v="Europe"/>
    <s v="Lead"/>
    <m/>
    <m/>
    <m/>
    <n v="1"/>
    <x v="6"/>
    <n v="0"/>
    <n v="0"/>
    <n v="0"/>
  </r>
  <r>
    <s v="LD5281"/>
    <d v="2024-09-13T00:00:00"/>
    <x v="0"/>
    <s v="Instagram Ads"/>
    <s v="Tablet"/>
    <s v="Europe"/>
    <s v="Lead"/>
    <m/>
    <m/>
    <m/>
    <n v="1"/>
    <x v="9"/>
    <n v="0"/>
    <n v="0"/>
    <n v="0"/>
  </r>
  <r>
    <s v="LD2382"/>
    <d v="2024-03-25T00:00:00"/>
    <x v="4"/>
    <s v="Affiliate Program"/>
    <s v="Desktop"/>
    <s v="Europe"/>
    <s v="MQL"/>
    <m/>
    <m/>
    <m/>
    <n v="2"/>
    <x v="8"/>
    <n v="1"/>
    <n v="0"/>
    <n v="0"/>
  </r>
  <r>
    <s v="LD6958"/>
    <d v="2024-11-05T00:00:00"/>
    <x v="4"/>
    <s v="Affiliate Program"/>
    <s v="Desktop"/>
    <s v="North America"/>
    <s v="Lead"/>
    <m/>
    <m/>
    <m/>
    <n v="1"/>
    <x v="2"/>
    <n v="0"/>
    <n v="0"/>
    <n v="0"/>
  </r>
  <r>
    <s v="LD1414"/>
    <d v="2024-01-21T00:00:00"/>
    <x v="4"/>
    <s v="Affiliate Program"/>
    <s v="Tablet"/>
    <s v="Asia Pacific"/>
    <s v="SQL"/>
    <m/>
    <m/>
    <m/>
    <n v="3"/>
    <x v="3"/>
    <n v="1"/>
    <n v="1"/>
    <n v="0"/>
  </r>
  <r>
    <s v="LD1942"/>
    <d v="2024-02-05T00:00:00"/>
    <x v="2"/>
    <s v="Direct / Type-in"/>
    <s v="Mobile"/>
    <s v="Asia Pacific"/>
    <s v="Lead"/>
    <m/>
    <m/>
    <m/>
    <n v="1"/>
    <x v="10"/>
    <n v="0"/>
    <n v="0"/>
    <n v="0"/>
  </r>
  <r>
    <s v="LD1802"/>
    <d v="2024-02-17T00:00:00"/>
    <x v="3"/>
    <s v="Promo Blast"/>
    <s v="Desktop"/>
    <s v="Europe"/>
    <s v="Lead"/>
    <m/>
    <m/>
    <m/>
    <n v="1"/>
    <x v="10"/>
    <n v="0"/>
    <n v="0"/>
    <n v="0"/>
  </r>
  <r>
    <s v="LD7355"/>
    <d v="2024-12-05T00:00:00"/>
    <x v="0"/>
    <s v="LinkedIn Ads"/>
    <s v="Mobile"/>
    <s v="Asia Pacific"/>
    <s v="Lead"/>
    <m/>
    <m/>
    <m/>
    <n v="1"/>
    <x v="7"/>
    <n v="0"/>
    <n v="0"/>
    <n v="0"/>
  </r>
  <r>
    <s v="LD3751"/>
    <d v="2024-06-20T00:00:00"/>
    <x v="0"/>
    <s v="LinkedIn Ads"/>
    <s v="Mobile"/>
    <s v="Europe"/>
    <s v="Lead"/>
    <m/>
    <m/>
    <m/>
    <n v="1"/>
    <x v="11"/>
    <n v="0"/>
    <n v="0"/>
    <n v="0"/>
  </r>
  <r>
    <s v="LD7618"/>
    <d v="2024-12-12T00:00:00"/>
    <x v="4"/>
    <s v="Affiliate Program"/>
    <s v="Desktop"/>
    <s v="Europe"/>
    <s v="MQL"/>
    <m/>
    <m/>
    <m/>
    <n v="2"/>
    <x v="7"/>
    <n v="1"/>
    <n v="0"/>
    <n v="0"/>
  </r>
  <r>
    <s v="LD5160"/>
    <d v="2024-09-17T00:00:00"/>
    <x v="1"/>
    <s v="Google Ads - Generic"/>
    <s v="Mobile"/>
    <s v="North America"/>
    <s v="MQL"/>
    <m/>
    <m/>
    <m/>
    <n v="2"/>
    <x v="9"/>
    <n v="1"/>
    <n v="0"/>
    <n v="0"/>
  </r>
  <r>
    <s v="LD1257"/>
    <d v="2024-01-20T00:00:00"/>
    <x v="3"/>
    <s v="Monthly Newsletter"/>
    <s v="Mobile"/>
    <s v="North America"/>
    <s v="MQL"/>
    <m/>
    <m/>
    <m/>
    <n v="2"/>
    <x v="3"/>
    <n v="1"/>
    <n v="0"/>
    <n v="0"/>
  </r>
  <r>
    <s v="LD5459"/>
    <d v="2024-09-01T00:00:00"/>
    <x v="4"/>
    <s v="Partner Program"/>
    <s v="Desktop"/>
    <s v="North America"/>
    <s v="Lead"/>
    <m/>
    <m/>
    <m/>
    <n v="1"/>
    <x v="9"/>
    <n v="0"/>
    <n v="0"/>
    <n v="0"/>
  </r>
  <r>
    <s v="LD7654"/>
    <d v="2024-12-25T00:00:00"/>
    <x v="4"/>
    <s v="Affiliate Program"/>
    <s v="Tablet"/>
    <s v="Europe"/>
    <s v="Lead"/>
    <m/>
    <m/>
    <m/>
    <n v="1"/>
    <x v="7"/>
    <n v="0"/>
    <n v="0"/>
    <n v="0"/>
  </r>
  <r>
    <s v="LD4200"/>
    <d v="2024-07-08T00:00:00"/>
    <x v="1"/>
    <s v="Google Ads - Brand"/>
    <s v="Desktop"/>
    <s v="Latin America"/>
    <s v="MQL"/>
    <m/>
    <m/>
    <m/>
    <n v="2"/>
    <x v="0"/>
    <n v="1"/>
    <n v="0"/>
    <n v="0"/>
  </r>
  <r>
    <s v="LD3236"/>
    <d v="2024-05-11T00:00:00"/>
    <x v="0"/>
    <s v="LinkedIn Ads"/>
    <s v="Desktop"/>
    <s v="Europe"/>
    <s v="MQL"/>
    <m/>
    <m/>
    <m/>
    <n v="2"/>
    <x v="4"/>
    <n v="1"/>
    <n v="0"/>
    <n v="0"/>
  </r>
  <r>
    <s v="LD1648"/>
    <d v="2024-02-26T00:00:00"/>
    <x v="0"/>
    <s v="Instagram Ads"/>
    <s v="Desktop"/>
    <s v="North America"/>
    <s v="MQL"/>
    <m/>
    <m/>
    <m/>
    <n v="2"/>
    <x v="10"/>
    <n v="1"/>
    <n v="0"/>
    <n v="0"/>
  </r>
  <r>
    <s v="LD2768"/>
    <d v="2024-04-23T00:00:00"/>
    <x v="3"/>
    <s v="Promo Blast"/>
    <s v="Mobile"/>
    <s v="North America"/>
    <s v="MQL"/>
    <m/>
    <m/>
    <m/>
    <n v="2"/>
    <x v="1"/>
    <n v="1"/>
    <n v="0"/>
    <n v="0"/>
  </r>
  <r>
    <s v="LD5830"/>
    <d v="2024-10-05T00:00:00"/>
    <x v="1"/>
    <s v="Google Ads - Brand"/>
    <s v="Mobile"/>
    <s v="North America"/>
    <s v="Lead"/>
    <m/>
    <m/>
    <m/>
    <n v="1"/>
    <x v="5"/>
    <n v="0"/>
    <n v="0"/>
    <n v="0"/>
  </r>
  <r>
    <s v="LD6618"/>
    <d v="2024-11-01T00:00:00"/>
    <x v="0"/>
    <s v="Facebook Ads"/>
    <s v="Mobile"/>
    <s v="North America"/>
    <s v="Lead"/>
    <m/>
    <m/>
    <m/>
    <n v="1"/>
    <x v="2"/>
    <n v="0"/>
    <n v="0"/>
    <n v="0"/>
  </r>
  <r>
    <s v="LD5843"/>
    <d v="2024-10-26T00:00:00"/>
    <x v="0"/>
    <s v="Instagram Ads"/>
    <s v="Mobile"/>
    <s v="North America"/>
    <s v="Lead"/>
    <m/>
    <m/>
    <m/>
    <n v="1"/>
    <x v="5"/>
    <n v="0"/>
    <n v="0"/>
    <n v="0"/>
  </r>
  <r>
    <s v="LD5946"/>
    <d v="2024-10-12T00:00:00"/>
    <x v="3"/>
    <s v="Monthly Newsletter"/>
    <s v="Desktop"/>
    <s v="Asia Pacific"/>
    <s v="SQL"/>
    <m/>
    <m/>
    <m/>
    <n v="3"/>
    <x v="5"/>
    <n v="1"/>
    <n v="1"/>
    <n v="0"/>
  </r>
  <r>
    <s v="LD4401"/>
    <d v="2024-07-16T00:00:00"/>
    <x v="4"/>
    <s v="Affiliate Program"/>
    <s v="Mobile"/>
    <s v="Europe"/>
    <s v="SQL"/>
    <m/>
    <m/>
    <m/>
    <n v="3"/>
    <x v="0"/>
    <n v="1"/>
    <n v="1"/>
    <n v="0"/>
  </r>
  <r>
    <s v="LD1025"/>
    <d v="2024-01-03T00:00:00"/>
    <x v="5"/>
    <s v="Blog SEO"/>
    <s v="Mobile"/>
    <s v="Asia Pacific"/>
    <s v="Lead"/>
    <m/>
    <m/>
    <m/>
    <n v="1"/>
    <x v="3"/>
    <n v="0"/>
    <n v="0"/>
    <n v="0"/>
  </r>
  <r>
    <s v="LD2089"/>
    <d v="2024-03-03T00:00:00"/>
    <x v="1"/>
    <s v="Google Ads - Brand"/>
    <s v="Desktop"/>
    <s v="Asia Pacific"/>
    <s v="Lead"/>
    <m/>
    <m/>
    <m/>
    <n v="1"/>
    <x v="8"/>
    <n v="0"/>
    <n v="0"/>
    <n v="0"/>
  </r>
  <r>
    <s v="LD5607"/>
    <d v="2024-09-10T00:00:00"/>
    <x v="2"/>
    <s v="Direct / Type-in"/>
    <s v="Desktop"/>
    <s v="North America"/>
    <s v="Lead"/>
    <m/>
    <m/>
    <m/>
    <n v="1"/>
    <x v="9"/>
    <n v="0"/>
    <n v="0"/>
    <n v="0"/>
  </r>
  <r>
    <s v="LD3695"/>
    <d v="2024-06-17T00:00:00"/>
    <x v="1"/>
    <s v="Google Ads - Brand"/>
    <s v="Desktop"/>
    <s v="Europe"/>
    <s v="Lead"/>
    <m/>
    <m/>
    <m/>
    <n v="1"/>
    <x v="11"/>
    <n v="0"/>
    <n v="0"/>
    <n v="0"/>
  </r>
  <r>
    <s v="LD4405"/>
    <d v="2024-07-12T00:00:00"/>
    <x v="4"/>
    <s v="Affiliate Program"/>
    <s v="Desktop"/>
    <s v="Europe"/>
    <s v="Lead"/>
    <m/>
    <m/>
    <m/>
    <n v="1"/>
    <x v="0"/>
    <n v="0"/>
    <n v="0"/>
    <n v="0"/>
  </r>
  <r>
    <s v="LD1113"/>
    <d v="2024-01-10T00:00:00"/>
    <x v="1"/>
    <s v="Google Ads - Generic"/>
    <s v="Desktop"/>
    <s v="Europe"/>
    <s v="Lead"/>
    <m/>
    <m/>
    <m/>
    <n v="1"/>
    <x v="3"/>
    <n v="0"/>
    <n v="0"/>
    <n v="0"/>
  </r>
  <r>
    <s v="LD3842"/>
    <d v="2024-06-04T00:00:00"/>
    <x v="3"/>
    <s v="Monthly Newsletter"/>
    <s v="Mobile"/>
    <s v="North America"/>
    <s v="Customer"/>
    <n v="73"/>
    <s v="Pro"/>
    <n v="2667.65"/>
    <n v="4"/>
    <x v="11"/>
    <n v="1"/>
    <n v="1"/>
    <n v="1"/>
  </r>
  <r>
    <s v="LD3312"/>
    <d v="2024-05-24T00:00:00"/>
    <x v="3"/>
    <s v="Promo Blast"/>
    <s v="Mobile"/>
    <s v="Europe"/>
    <s v="Lead"/>
    <m/>
    <m/>
    <m/>
    <n v="1"/>
    <x v="4"/>
    <n v="0"/>
    <n v="0"/>
    <n v="0"/>
  </r>
  <r>
    <s v="LD7563"/>
    <d v="2024-12-04T00:00:00"/>
    <x v="3"/>
    <s v="Promo Blast"/>
    <s v="Desktop"/>
    <s v="North America"/>
    <s v="SQL"/>
    <m/>
    <m/>
    <m/>
    <n v="3"/>
    <x v="7"/>
    <n v="1"/>
    <n v="1"/>
    <n v="0"/>
  </r>
  <r>
    <s v="LD7446"/>
    <d v="2024-12-16T00:00:00"/>
    <x v="3"/>
    <s v="Monthly Newsletter"/>
    <s v="Mobile"/>
    <s v="North America"/>
    <s v="MQL"/>
    <m/>
    <m/>
    <m/>
    <n v="2"/>
    <x v="7"/>
    <n v="1"/>
    <n v="0"/>
    <n v="0"/>
  </r>
  <r>
    <s v="LD1057"/>
    <d v="2024-01-28T00:00:00"/>
    <x v="5"/>
    <s v="Landing Page SEO"/>
    <s v="Tablet"/>
    <s v="Europe"/>
    <s v="Lead"/>
    <m/>
    <m/>
    <m/>
    <n v="1"/>
    <x v="3"/>
    <n v="0"/>
    <n v="0"/>
    <n v="0"/>
  </r>
  <r>
    <s v="LD2310"/>
    <d v="2024-03-22T00:00:00"/>
    <x v="3"/>
    <s v="Monthly Newsletter"/>
    <s v="Desktop"/>
    <s v="Latin America"/>
    <s v="MQL"/>
    <m/>
    <m/>
    <m/>
    <n v="2"/>
    <x v="8"/>
    <n v="1"/>
    <n v="0"/>
    <n v="0"/>
  </r>
  <r>
    <s v="LD1696"/>
    <d v="2024-02-04T00:00:00"/>
    <x v="0"/>
    <s v="Instagram Ads"/>
    <s v="Mobile"/>
    <s v="North America"/>
    <s v="MQL"/>
    <m/>
    <m/>
    <m/>
    <n v="2"/>
    <x v="10"/>
    <n v="1"/>
    <n v="0"/>
    <n v="0"/>
  </r>
  <r>
    <s v="LD5939"/>
    <d v="2024-10-08T00:00:00"/>
    <x v="0"/>
    <s v="LinkedIn Ads"/>
    <s v="Desktop"/>
    <s v="North America"/>
    <s v="Lead"/>
    <m/>
    <m/>
    <m/>
    <n v="1"/>
    <x v="5"/>
    <n v="0"/>
    <n v="0"/>
    <n v="0"/>
  </r>
  <r>
    <s v="LD2228"/>
    <d v="2024-03-21T00:00:00"/>
    <x v="3"/>
    <s v="Monthly Newsletter"/>
    <s v="Desktop"/>
    <s v="Europe"/>
    <s v="MQL"/>
    <m/>
    <m/>
    <m/>
    <n v="2"/>
    <x v="8"/>
    <n v="1"/>
    <n v="0"/>
    <n v="0"/>
  </r>
  <r>
    <s v="LD3000"/>
    <d v="2024-04-18T00:00:00"/>
    <x v="2"/>
    <s v="Direct / Type-in"/>
    <s v="Desktop"/>
    <s v="Asia Pacific"/>
    <s v="MQL"/>
    <m/>
    <m/>
    <m/>
    <n v="2"/>
    <x v="1"/>
    <n v="1"/>
    <n v="0"/>
    <n v="0"/>
  </r>
  <r>
    <s v="LD1277"/>
    <d v="2024-01-15T00:00:00"/>
    <x v="3"/>
    <s v="Monthly Newsletter"/>
    <s v="Desktop"/>
    <s v="North America"/>
    <s v="SQL"/>
    <m/>
    <m/>
    <m/>
    <n v="3"/>
    <x v="3"/>
    <n v="1"/>
    <n v="1"/>
    <n v="0"/>
  </r>
  <r>
    <s v="LD4439"/>
    <d v="2024-07-19T00:00:00"/>
    <x v="4"/>
    <s v="Partner Program"/>
    <s v="Mobile"/>
    <s v="North America"/>
    <s v="MQL"/>
    <m/>
    <m/>
    <m/>
    <n v="2"/>
    <x v="0"/>
    <n v="1"/>
    <n v="0"/>
    <n v="0"/>
  </r>
  <r>
    <s v="LD7215"/>
    <d v="2024-12-12T00:00:00"/>
    <x v="1"/>
    <s v="Google Ads - Brand"/>
    <s v="Mobile"/>
    <s v="Europe"/>
    <s v="Lead"/>
    <m/>
    <m/>
    <m/>
    <n v="1"/>
    <x v="7"/>
    <n v="0"/>
    <n v="0"/>
    <n v="0"/>
  </r>
  <r>
    <s v="LD2834"/>
    <d v="2024-04-10T00:00:00"/>
    <x v="3"/>
    <s v="Promo Blast"/>
    <s v="Desktop"/>
    <s v="North America"/>
    <s v="Lead"/>
    <m/>
    <m/>
    <m/>
    <n v="1"/>
    <x v="1"/>
    <n v="0"/>
    <n v="0"/>
    <n v="0"/>
  </r>
  <r>
    <s v="LD6376"/>
    <d v="2024-11-22T00:00:00"/>
    <x v="5"/>
    <s v="Landing Page SEO"/>
    <s v="Mobile"/>
    <s v="North America"/>
    <s v="SQL"/>
    <m/>
    <m/>
    <m/>
    <n v="3"/>
    <x v="2"/>
    <n v="1"/>
    <n v="1"/>
    <n v="0"/>
  </r>
  <r>
    <s v="LD1683"/>
    <d v="2024-02-12T00:00:00"/>
    <x v="0"/>
    <s v="Instagram Ads"/>
    <s v="Desktop"/>
    <s v="Asia Pacific"/>
    <s v="Lead"/>
    <m/>
    <m/>
    <m/>
    <n v="1"/>
    <x v="10"/>
    <n v="0"/>
    <n v="0"/>
    <n v="0"/>
  </r>
  <r>
    <s v="LD6133"/>
    <d v="2024-10-22T00:00:00"/>
    <x v="4"/>
    <s v="Partner Program"/>
    <s v="Desktop"/>
    <s v="Europe"/>
    <s v="SQL"/>
    <m/>
    <m/>
    <m/>
    <n v="3"/>
    <x v="5"/>
    <n v="1"/>
    <n v="1"/>
    <n v="0"/>
  </r>
  <r>
    <s v="LD5907"/>
    <d v="2024-10-23T00:00:00"/>
    <x v="0"/>
    <s v="Instagram Ads"/>
    <s v="Desktop"/>
    <s v="Latin America"/>
    <s v="MQL"/>
    <m/>
    <m/>
    <m/>
    <n v="2"/>
    <x v="5"/>
    <n v="1"/>
    <n v="0"/>
    <n v="0"/>
  </r>
  <r>
    <s v="LD4693"/>
    <d v="2024-08-26T00:00:00"/>
    <x v="0"/>
    <s v="LinkedIn Ads"/>
    <s v="Desktop"/>
    <s v="Asia Pacific"/>
    <s v="Lead"/>
    <m/>
    <m/>
    <m/>
    <n v="1"/>
    <x v="6"/>
    <n v="0"/>
    <n v="0"/>
    <n v="0"/>
  </r>
  <r>
    <s v="LD2138"/>
    <d v="2024-03-04T00:00:00"/>
    <x v="0"/>
    <s v="Instagram Ads"/>
    <s v="Desktop"/>
    <s v="Asia Pacific"/>
    <s v="Lead"/>
    <m/>
    <m/>
    <m/>
    <n v="1"/>
    <x v="8"/>
    <n v="0"/>
    <n v="0"/>
    <n v="0"/>
  </r>
  <r>
    <s v="LD3768"/>
    <d v="2024-06-13T00:00:00"/>
    <x v="0"/>
    <s v="Instagram Ads"/>
    <s v="Desktop"/>
    <s v="North America"/>
    <s v="Lead"/>
    <m/>
    <m/>
    <m/>
    <n v="1"/>
    <x v="11"/>
    <n v="0"/>
    <n v="0"/>
    <n v="0"/>
  </r>
  <r>
    <s v="LD5539"/>
    <d v="2024-09-21T00:00:00"/>
    <x v="4"/>
    <s v="Affiliate Program"/>
    <s v="Mobile"/>
    <s v="North America"/>
    <s v="MQL"/>
    <m/>
    <m/>
    <m/>
    <n v="2"/>
    <x v="9"/>
    <n v="1"/>
    <n v="0"/>
    <n v="0"/>
  </r>
  <r>
    <s v="LD5270"/>
    <d v="2024-09-02T00:00:00"/>
    <x v="0"/>
    <s v="Facebook Ads"/>
    <s v="Tablet"/>
    <s v="Europe"/>
    <s v="Lead"/>
    <m/>
    <m/>
    <m/>
    <n v="1"/>
    <x v="9"/>
    <n v="0"/>
    <n v="0"/>
    <n v="0"/>
  </r>
  <r>
    <s v="LD4872"/>
    <d v="2024-08-04T00:00:00"/>
    <x v="3"/>
    <s v="Monthly Newsletter"/>
    <s v="Desktop"/>
    <s v="Europe"/>
    <s v="Lead"/>
    <m/>
    <m/>
    <m/>
    <n v="1"/>
    <x v="6"/>
    <n v="0"/>
    <n v="0"/>
    <n v="0"/>
  </r>
  <r>
    <s v="LD2037"/>
    <d v="2024-03-07T00:00:00"/>
    <x v="5"/>
    <s v="Landing Page SEO"/>
    <s v="Tablet"/>
    <s v="North America"/>
    <s v="MQL"/>
    <m/>
    <m/>
    <m/>
    <n v="2"/>
    <x v="8"/>
    <n v="1"/>
    <n v="0"/>
    <n v="0"/>
  </r>
  <r>
    <s v="LD4423"/>
    <d v="2024-07-11T00:00:00"/>
    <x v="4"/>
    <s v="Affiliate Program"/>
    <s v="Desktop"/>
    <s v="Europe"/>
    <s v="MQL"/>
    <m/>
    <m/>
    <m/>
    <n v="2"/>
    <x v="0"/>
    <n v="1"/>
    <n v="0"/>
    <n v="0"/>
  </r>
  <r>
    <s v="LD6466"/>
    <d v="2024-11-06T00:00:00"/>
    <x v="5"/>
    <s v="Landing Page SEO"/>
    <s v="Mobile"/>
    <s v="Europe"/>
    <s v="Lead"/>
    <m/>
    <m/>
    <m/>
    <n v="1"/>
    <x v="2"/>
    <n v="0"/>
    <n v="0"/>
    <n v="0"/>
  </r>
  <r>
    <s v="LD2347"/>
    <d v="2024-03-26T00:00:00"/>
    <x v="4"/>
    <s v="Partner Program"/>
    <s v="Desktop"/>
    <s v="Asia Pacific"/>
    <s v="MQL"/>
    <m/>
    <m/>
    <m/>
    <n v="2"/>
    <x v="8"/>
    <n v="1"/>
    <n v="0"/>
    <n v="0"/>
  </r>
  <r>
    <s v="LD7570"/>
    <d v="2024-12-28T00:00:00"/>
    <x v="3"/>
    <s v="Promo Blast"/>
    <s v="Desktop"/>
    <s v="Europe"/>
    <s v="MQL"/>
    <m/>
    <m/>
    <m/>
    <n v="2"/>
    <x v="7"/>
    <n v="1"/>
    <n v="0"/>
    <n v="0"/>
  </r>
  <r>
    <s v="LD4795"/>
    <d v="2024-08-01T00:00:00"/>
    <x v="3"/>
    <s v="Promo Blast"/>
    <s v="Mobile"/>
    <s v="Latin America"/>
    <s v="Customer"/>
    <n v="74"/>
    <s v="Pro"/>
    <n v="4144.62"/>
    <n v="4"/>
    <x v="6"/>
    <n v="1"/>
    <n v="1"/>
    <n v="1"/>
  </r>
  <r>
    <s v="LD3785"/>
    <d v="2024-06-20T00:00:00"/>
    <x v="0"/>
    <s v="Facebook Ads"/>
    <s v="Desktop"/>
    <s v="Europe"/>
    <s v="MQL"/>
    <m/>
    <m/>
    <m/>
    <n v="2"/>
    <x v="11"/>
    <n v="1"/>
    <n v="0"/>
    <n v="0"/>
  </r>
  <r>
    <s v="LD4793"/>
    <d v="2024-08-22T00:00:00"/>
    <x v="3"/>
    <s v="Monthly Newsletter"/>
    <s v="Mobile"/>
    <s v="Europe"/>
    <s v="Lead"/>
    <m/>
    <m/>
    <m/>
    <n v="1"/>
    <x v="6"/>
    <n v="0"/>
    <n v="0"/>
    <n v="0"/>
  </r>
  <r>
    <s v="LD3385"/>
    <d v="2024-05-19T00:00:00"/>
    <x v="3"/>
    <s v="Monthly Newsletter"/>
    <s v="Mobile"/>
    <s v="North America"/>
    <s v="Lead"/>
    <m/>
    <m/>
    <m/>
    <n v="1"/>
    <x v="4"/>
    <n v="0"/>
    <n v="0"/>
    <n v="0"/>
  </r>
  <r>
    <s v="LD3989"/>
    <d v="2024-06-02T00:00:00"/>
    <x v="2"/>
    <s v="Direct / Type-in"/>
    <s v="Mobile"/>
    <s v="Europe"/>
    <s v="Lead"/>
    <m/>
    <m/>
    <m/>
    <n v="1"/>
    <x v="11"/>
    <n v="0"/>
    <n v="0"/>
    <n v="0"/>
  </r>
  <r>
    <s v="LD1116"/>
    <d v="2024-01-07T00:00:00"/>
    <x v="1"/>
    <s v="Google Ads - Brand"/>
    <s v="Mobile"/>
    <s v="North America"/>
    <s v="Lead"/>
    <m/>
    <m/>
    <m/>
    <n v="1"/>
    <x v="3"/>
    <n v="0"/>
    <n v="0"/>
    <n v="0"/>
  </r>
  <r>
    <s v="LD5727"/>
    <d v="2024-10-09T00:00:00"/>
    <x v="1"/>
    <s v="Google Ads - Brand"/>
    <s v="Desktop"/>
    <s v="Europe"/>
    <s v="Lead"/>
    <m/>
    <m/>
    <m/>
    <n v="1"/>
    <x v="5"/>
    <n v="0"/>
    <n v="0"/>
    <n v="0"/>
  </r>
  <r>
    <s v="LD7750"/>
    <d v="2024-12-20T00:00:00"/>
    <x v="2"/>
    <s v="Direct / Type-in"/>
    <s v="Desktop"/>
    <s v="Europe"/>
    <s v="Lead"/>
    <m/>
    <m/>
    <m/>
    <n v="1"/>
    <x v="7"/>
    <n v="0"/>
    <n v="0"/>
    <n v="0"/>
  </r>
  <r>
    <s v="LD4120"/>
    <d v="2024-07-19T00:00:00"/>
    <x v="5"/>
    <s v="Blog SEO"/>
    <s v="Desktop"/>
    <s v="North America"/>
    <s v="Lead"/>
    <m/>
    <m/>
    <m/>
    <n v="1"/>
    <x v="0"/>
    <n v="0"/>
    <n v="0"/>
    <n v="0"/>
  </r>
  <r>
    <s v="LD5140"/>
    <d v="2024-09-01T00:00:00"/>
    <x v="1"/>
    <s v="Google Ads - Brand"/>
    <s v="Desktop"/>
    <s v="Europe"/>
    <s v="Lead"/>
    <m/>
    <m/>
    <m/>
    <n v="1"/>
    <x v="9"/>
    <n v="0"/>
    <n v="0"/>
    <n v="0"/>
  </r>
  <r>
    <s v="LD4821"/>
    <d v="2024-08-20T00:00:00"/>
    <x v="3"/>
    <s v="Promo Blast"/>
    <s v="Desktop"/>
    <s v="North America"/>
    <s v="SQL"/>
    <m/>
    <m/>
    <m/>
    <n v="3"/>
    <x v="6"/>
    <n v="1"/>
    <n v="1"/>
    <n v="0"/>
  </r>
  <r>
    <s v="LD5873"/>
    <d v="2024-10-02T00:00:00"/>
    <x v="0"/>
    <s v="Instagram Ads"/>
    <s v="Desktop"/>
    <s v="Europe"/>
    <s v="MQL"/>
    <m/>
    <m/>
    <m/>
    <n v="2"/>
    <x v="5"/>
    <n v="1"/>
    <n v="0"/>
    <n v="0"/>
  </r>
  <r>
    <s v="LD3820"/>
    <d v="2024-06-15T00:00:00"/>
    <x v="3"/>
    <s v="Monthly Newsletter"/>
    <s v="Mobile"/>
    <s v="North America"/>
    <s v="SQL"/>
    <m/>
    <m/>
    <m/>
    <n v="3"/>
    <x v="11"/>
    <n v="1"/>
    <n v="1"/>
    <n v="0"/>
  </r>
  <r>
    <s v="LD6606"/>
    <d v="2024-11-13T00:00:00"/>
    <x v="0"/>
    <s v="LinkedIn Ads"/>
    <s v="Desktop"/>
    <s v="Europe"/>
    <s v="MQL"/>
    <m/>
    <m/>
    <m/>
    <n v="2"/>
    <x v="2"/>
    <n v="1"/>
    <n v="0"/>
    <n v="0"/>
  </r>
  <r>
    <s v="LD7737"/>
    <d v="2024-12-15T00:00:00"/>
    <x v="2"/>
    <s v="Direct / Type-in"/>
    <s v="Desktop"/>
    <s v="Europe"/>
    <s v="SQL"/>
    <m/>
    <m/>
    <m/>
    <n v="3"/>
    <x v="7"/>
    <n v="1"/>
    <n v="1"/>
    <n v="0"/>
  </r>
  <r>
    <s v="LD6647"/>
    <d v="2024-11-06T00:00:00"/>
    <x v="0"/>
    <s v="Facebook Ads"/>
    <s v="Mobile"/>
    <s v="Europe"/>
    <s v="Lead"/>
    <m/>
    <m/>
    <m/>
    <n v="1"/>
    <x v="2"/>
    <n v="0"/>
    <n v="0"/>
    <n v="0"/>
  </r>
  <r>
    <s v="LD6580"/>
    <d v="2024-11-13T00:00:00"/>
    <x v="1"/>
    <s v="Google Ads - Generic"/>
    <s v="Desktop"/>
    <s v="North America"/>
    <s v="Lead"/>
    <m/>
    <m/>
    <m/>
    <n v="1"/>
    <x v="2"/>
    <n v="0"/>
    <n v="0"/>
    <n v="0"/>
  </r>
  <r>
    <s v="LD1082"/>
    <d v="2024-01-24T00:00:00"/>
    <x v="5"/>
    <s v="Landing Page SEO"/>
    <s v="Mobile"/>
    <s v="Europe"/>
    <s v="Lead"/>
    <m/>
    <m/>
    <m/>
    <n v="1"/>
    <x v="3"/>
    <n v="0"/>
    <n v="0"/>
    <n v="0"/>
  </r>
  <r>
    <s v="LD4022"/>
    <d v="2024-06-16T00:00:00"/>
    <x v="2"/>
    <s v="Direct / Type-in"/>
    <s v="Desktop"/>
    <s v="Asia Pacific"/>
    <s v="SQL"/>
    <m/>
    <m/>
    <m/>
    <n v="3"/>
    <x v="11"/>
    <n v="1"/>
    <n v="1"/>
    <n v="0"/>
  </r>
  <r>
    <s v="LD2973"/>
    <d v="2024-04-16T00:00:00"/>
    <x v="2"/>
    <s v="Direct / Type-in"/>
    <s v="Mobile"/>
    <s v="Europe"/>
    <s v="Customer"/>
    <n v="53"/>
    <s v="Pro"/>
    <n v="4197.6099999999997"/>
    <n v="4"/>
    <x v="1"/>
    <n v="1"/>
    <n v="1"/>
    <n v="1"/>
  </r>
  <r>
    <s v="LD2715"/>
    <d v="2024-04-21T00:00:00"/>
    <x v="0"/>
    <s v="Facebook Ads"/>
    <s v="Mobile"/>
    <s v="Europe"/>
    <s v="MQL"/>
    <m/>
    <m/>
    <m/>
    <n v="2"/>
    <x v="1"/>
    <n v="1"/>
    <n v="0"/>
    <n v="0"/>
  </r>
  <r>
    <s v="LD5351"/>
    <d v="2024-09-27T00:00:00"/>
    <x v="3"/>
    <s v="Promo Blast"/>
    <s v="Desktop"/>
    <s v="Europe"/>
    <s v="Lead"/>
    <m/>
    <m/>
    <m/>
    <n v="1"/>
    <x v="9"/>
    <n v="0"/>
    <n v="0"/>
    <n v="0"/>
  </r>
  <r>
    <s v="LD6103"/>
    <d v="2024-10-24T00:00:00"/>
    <x v="3"/>
    <s v="Monthly Newsletter"/>
    <s v="Desktop"/>
    <s v="Europe"/>
    <s v="Lead"/>
    <m/>
    <m/>
    <m/>
    <n v="1"/>
    <x v="5"/>
    <n v="0"/>
    <n v="0"/>
    <n v="0"/>
  </r>
  <r>
    <s v="LD4608"/>
    <d v="2024-08-08T00:00:00"/>
    <x v="1"/>
    <s v="Google Ads - Brand"/>
    <s v="Desktop"/>
    <s v="North America"/>
    <s v="Lead"/>
    <m/>
    <m/>
    <m/>
    <n v="1"/>
    <x v="6"/>
    <n v="0"/>
    <n v="0"/>
    <n v="0"/>
  </r>
  <r>
    <s v="LD5376"/>
    <d v="2024-09-09T00:00:00"/>
    <x v="3"/>
    <s v="Monthly Newsletter"/>
    <s v="Mobile"/>
    <s v="Europe"/>
    <s v="Lead"/>
    <m/>
    <m/>
    <m/>
    <n v="1"/>
    <x v="9"/>
    <n v="0"/>
    <n v="0"/>
    <n v="0"/>
  </r>
  <r>
    <s v="LD2947"/>
    <d v="2024-04-19T00:00:00"/>
    <x v="4"/>
    <s v="Partner Program"/>
    <s v="Desktop"/>
    <s v="North America"/>
    <s v="Lead"/>
    <m/>
    <m/>
    <m/>
    <n v="1"/>
    <x v="1"/>
    <n v="0"/>
    <n v="0"/>
    <n v="0"/>
  </r>
  <r>
    <s v="LD6438"/>
    <d v="2024-11-19T00:00:00"/>
    <x v="5"/>
    <s v="Landing Page SEO"/>
    <s v="Desktop"/>
    <s v="Asia Pacific"/>
    <s v="Lead"/>
    <m/>
    <m/>
    <m/>
    <n v="1"/>
    <x v="2"/>
    <n v="0"/>
    <n v="0"/>
    <n v="0"/>
  </r>
  <r>
    <s v="LD5395"/>
    <d v="2024-09-27T00:00:00"/>
    <x v="3"/>
    <s v="Promo Blast"/>
    <s v="Desktop"/>
    <s v="Asia Pacific"/>
    <s v="Lead"/>
    <m/>
    <m/>
    <m/>
    <n v="1"/>
    <x v="9"/>
    <n v="0"/>
    <n v="0"/>
    <n v="0"/>
  </r>
  <r>
    <s v="LD5759"/>
    <d v="2024-10-05T00:00:00"/>
    <x v="1"/>
    <s v="Google Ads - Brand"/>
    <s v="Desktop"/>
    <s v="Europe"/>
    <s v="Lead"/>
    <m/>
    <m/>
    <m/>
    <n v="1"/>
    <x v="5"/>
    <n v="0"/>
    <n v="0"/>
    <n v="0"/>
  </r>
  <r>
    <s v="LD2611"/>
    <d v="2024-04-05T00:00:00"/>
    <x v="1"/>
    <s v="Google Ads - Generic"/>
    <s v="Mobile"/>
    <s v="North America"/>
    <s v="Lead"/>
    <m/>
    <m/>
    <m/>
    <n v="1"/>
    <x v="1"/>
    <n v="0"/>
    <n v="0"/>
    <n v="0"/>
  </r>
  <r>
    <s v="LD5709"/>
    <d v="2024-10-13T00:00:00"/>
    <x v="5"/>
    <s v="Blog SEO"/>
    <s v="Desktop"/>
    <s v="North America"/>
    <s v="Lead"/>
    <m/>
    <m/>
    <m/>
    <n v="1"/>
    <x v="5"/>
    <n v="0"/>
    <n v="0"/>
    <n v="0"/>
  </r>
  <r>
    <s v="LD2252"/>
    <d v="2024-03-22T00:00:00"/>
    <x v="3"/>
    <s v="Promo Blast"/>
    <s v="Desktop"/>
    <s v="North America"/>
    <s v="MQL"/>
    <m/>
    <m/>
    <m/>
    <n v="2"/>
    <x v="8"/>
    <n v="1"/>
    <n v="0"/>
    <n v="0"/>
  </r>
  <r>
    <s v="LD4723"/>
    <d v="2024-08-18T00:00:00"/>
    <x v="0"/>
    <s v="Facebook Ads"/>
    <s v="Tablet"/>
    <s v="North America"/>
    <s v="Lead"/>
    <m/>
    <m/>
    <m/>
    <n v="1"/>
    <x v="6"/>
    <n v="0"/>
    <n v="0"/>
    <n v="0"/>
  </r>
  <r>
    <s v="LD4071"/>
    <d v="2024-07-26T00:00:00"/>
    <x v="5"/>
    <s v="Blog SEO"/>
    <s v="Desktop"/>
    <s v="Europe"/>
    <s v="Lead"/>
    <m/>
    <m/>
    <m/>
    <n v="1"/>
    <x v="0"/>
    <n v="0"/>
    <n v="0"/>
    <n v="0"/>
  </r>
  <r>
    <s v="LD5129"/>
    <d v="2024-09-04T00:00:00"/>
    <x v="1"/>
    <s v="Google Ads - Generic"/>
    <s v="Desktop"/>
    <s v="North America"/>
    <s v="Lead"/>
    <m/>
    <m/>
    <m/>
    <n v="1"/>
    <x v="9"/>
    <n v="0"/>
    <n v="0"/>
    <n v="0"/>
  </r>
  <r>
    <s v="LD7627"/>
    <d v="2024-12-24T00:00:00"/>
    <x v="4"/>
    <s v="Partner Program"/>
    <s v="Desktop"/>
    <s v="Latin America"/>
    <s v="Lead"/>
    <m/>
    <m/>
    <m/>
    <n v="1"/>
    <x v="7"/>
    <n v="0"/>
    <n v="0"/>
    <n v="0"/>
  </r>
  <r>
    <s v="LD7573"/>
    <d v="2024-12-06T00:00:00"/>
    <x v="3"/>
    <s v="Monthly Newsletter"/>
    <s v="Mobile"/>
    <s v="North America"/>
    <s v="MQL"/>
    <m/>
    <m/>
    <m/>
    <n v="2"/>
    <x v="7"/>
    <n v="1"/>
    <n v="0"/>
    <n v="0"/>
  </r>
  <r>
    <s v="LD6230"/>
    <d v="2024-10-28T00:00:00"/>
    <x v="4"/>
    <s v="Affiliate Program"/>
    <s v="Desktop"/>
    <s v="Europe"/>
    <s v="Customer"/>
    <n v="74"/>
    <s v="Basic"/>
    <n v="1084.01"/>
    <n v="4"/>
    <x v="5"/>
    <n v="1"/>
    <n v="1"/>
    <n v="1"/>
  </r>
  <r>
    <s v="LD5970"/>
    <d v="2024-10-15T00:00:00"/>
    <x v="3"/>
    <s v="Promo Blast"/>
    <s v="Desktop"/>
    <s v="North America"/>
    <s v="Lead"/>
    <m/>
    <m/>
    <m/>
    <n v="1"/>
    <x v="5"/>
    <n v="0"/>
    <n v="0"/>
    <n v="0"/>
  </r>
  <r>
    <s v="LD1666"/>
    <d v="2024-02-28T00:00:00"/>
    <x v="0"/>
    <s v="Instagram Ads"/>
    <s v="Mobile"/>
    <s v="Europe"/>
    <s v="SQL"/>
    <m/>
    <m/>
    <m/>
    <n v="3"/>
    <x v="10"/>
    <n v="1"/>
    <n v="1"/>
    <n v="0"/>
  </r>
  <r>
    <s v="LD3195"/>
    <d v="2024-05-01T00:00:00"/>
    <x v="1"/>
    <s v="Google Ads - Brand"/>
    <s v="Desktop"/>
    <s v="Europe"/>
    <s v="Lead"/>
    <m/>
    <m/>
    <m/>
    <n v="1"/>
    <x v="4"/>
    <n v="0"/>
    <n v="0"/>
    <n v="0"/>
  </r>
  <r>
    <s v="LD6224"/>
    <d v="2024-10-10T00:00:00"/>
    <x v="4"/>
    <s v="Partner Program"/>
    <s v="Mobile"/>
    <s v="Asia Pacific"/>
    <s v="Lead"/>
    <m/>
    <m/>
    <m/>
    <n v="1"/>
    <x v="5"/>
    <n v="0"/>
    <n v="0"/>
    <n v="0"/>
  </r>
  <r>
    <s v="LD6772"/>
    <d v="2024-11-10T00:00:00"/>
    <x v="3"/>
    <s v="Promo Blast"/>
    <s v="Desktop"/>
    <s v="Europe"/>
    <s v="Lead"/>
    <m/>
    <m/>
    <m/>
    <n v="1"/>
    <x v="2"/>
    <n v="0"/>
    <n v="0"/>
    <n v="0"/>
  </r>
  <r>
    <s v="LD2018"/>
    <d v="2024-03-04T00:00:00"/>
    <x v="5"/>
    <s v="Landing Page SEO"/>
    <s v="Mobile"/>
    <s v="Europe"/>
    <s v="SQL"/>
    <m/>
    <m/>
    <m/>
    <n v="3"/>
    <x v="8"/>
    <n v="1"/>
    <n v="1"/>
    <n v="0"/>
  </r>
  <r>
    <s v="LD1558"/>
    <d v="2024-02-08T00:00:00"/>
    <x v="5"/>
    <s v="Blog SEO"/>
    <s v="Mobile"/>
    <s v="Asia Pacific"/>
    <s v="MQL"/>
    <m/>
    <m/>
    <m/>
    <n v="2"/>
    <x v="10"/>
    <n v="1"/>
    <n v="0"/>
    <n v="0"/>
  </r>
  <r>
    <s v="LD5468"/>
    <d v="2024-09-12T00:00:00"/>
    <x v="4"/>
    <s v="Partner Program"/>
    <s v="Mobile"/>
    <s v="Europe"/>
    <s v="MQL"/>
    <m/>
    <m/>
    <m/>
    <n v="2"/>
    <x v="9"/>
    <n v="1"/>
    <n v="0"/>
    <n v="0"/>
  </r>
  <r>
    <s v="LD6329"/>
    <d v="2024-11-07T00:00:00"/>
    <x v="5"/>
    <s v="Landing Page SEO"/>
    <s v="Desktop"/>
    <s v="Europe"/>
    <s v="Lead"/>
    <m/>
    <m/>
    <m/>
    <n v="1"/>
    <x v="2"/>
    <n v="0"/>
    <n v="0"/>
    <n v="0"/>
  </r>
  <r>
    <s v="LD2208"/>
    <d v="2024-03-24T00:00:00"/>
    <x v="3"/>
    <s v="Promo Blast"/>
    <s v="Desktop"/>
    <s v="Europe"/>
    <s v="MQL"/>
    <m/>
    <m/>
    <m/>
    <n v="2"/>
    <x v="8"/>
    <n v="1"/>
    <n v="0"/>
    <n v="0"/>
  </r>
  <r>
    <s v="LD6442"/>
    <d v="2024-11-02T00:00:00"/>
    <x v="5"/>
    <s v="Blog SEO"/>
    <s v="Desktop"/>
    <s v="North America"/>
    <s v="Lead"/>
    <m/>
    <m/>
    <m/>
    <n v="1"/>
    <x v="2"/>
    <n v="0"/>
    <n v="0"/>
    <n v="0"/>
  </r>
  <r>
    <s v="LD4887"/>
    <d v="2024-08-20T00:00:00"/>
    <x v="4"/>
    <s v="Partner Program"/>
    <s v="Desktop"/>
    <s v="North America"/>
    <s v="Customer"/>
    <n v="37"/>
    <s v="Pro"/>
    <n v="2001.07"/>
    <n v="4"/>
    <x v="6"/>
    <n v="1"/>
    <n v="1"/>
    <n v="1"/>
  </r>
  <r>
    <s v="LD2511"/>
    <d v="2024-04-22T00:00:00"/>
    <x v="5"/>
    <s v="Blog SEO"/>
    <s v="Desktop"/>
    <s v="Europe"/>
    <s v="Lead"/>
    <m/>
    <m/>
    <m/>
    <n v="1"/>
    <x v="1"/>
    <n v="0"/>
    <n v="0"/>
    <n v="0"/>
  </r>
  <r>
    <s v="LD4438"/>
    <d v="2024-07-13T00:00:00"/>
    <x v="4"/>
    <s v="Affiliate Program"/>
    <s v="Desktop"/>
    <s v="Asia Pacific"/>
    <s v="MQL"/>
    <m/>
    <m/>
    <m/>
    <n v="2"/>
    <x v="0"/>
    <n v="1"/>
    <n v="0"/>
    <n v="0"/>
  </r>
  <r>
    <s v="LD6236"/>
    <d v="2024-10-15T00:00:00"/>
    <x v="2"/>
    <s v="Direct / Type-in"/>
    <s v="Desktop"/>
    <s v="North America"/>
    <s v="Lead"/>
    <m/>
    <m/>
    <m/>
    <n v="1"/>
    <x v="5"/>
    <n v="0"/>
    <n v="0"/>
    <n v="0"/>
  </r>
  <r>
    <s v="LD4212"/>
    <d v="2024-07-22T00:00:00"/>
    <x v="0"/>
    <s v="Instagram Ads"/>
    <s v="Desktop"/>
    <s v="Europe"/>
    <s v="Lead"/>
    <m/>
    <m/>
    <m/>
    <n v="1"/>
    <x v="0"/>
    <n v="0"/>
    <n v="0"/>
    <n v="0"/>
  </r>
  <r>
    <s v="LD5621"/>
    <d v="2024-09-05T00:00:00"/>
    <x v="2"/>
    <s v="Direct / Type-in"/>
    <s v="Desktop"/>
    <s v="Asia Pacific"/>
    <s v="Lead"/>
    <m/>
    <m/>
    <m/>
    <n v="1"/>
    <x v="9"/>
    <n v="0"/>
    <n v="0"/>
    <n v="0"/>
  </r>
  <r>
    <s v="LD5623"/>
    <d v="2024-10-22T00:00:00"/>
    <x v="5"/>
    <s v="Landing Page SEO"/>
    <s v="Mobile"/>
    <s v="North America"/>
    <s v="MQL"/>
    <m/>
    <m/>
    <m/>
    <n v="2"/>
    <x v="5"/>
    <n v="1"/>
    <n v="0"/>
    <n v="0"/>
  </r>
  <r>
    <s v="LD1267"/>
    <d v="2024-01-23T00:00:00"/>
    <x v="3"/>
    <s v="Monthly Newsletter"/>
    <s v="Mobile"/>
    <s v="Europe"/>
    <s v="Lead"/>
    <m/>
    <m/>
    <m/>
    <n v="1"/>
    <x v="3"/>
    <n v="0"/>
    <n v="0"/>
    <n v="0"/>
  </r>
  <r>
    <s v="LD4478"/>
    <d v="2024-07-04T00:00:00"/>
    <x v="2"/>
    <s v="Direct / Type-in"/>
    <s v="Desktop"/>
    <s v="Europe"/>
    <s v="MQL"/>
    <m/>
    <m/>
    <m/>
    <n v="2"/>
    <x v="0"/>
    <n v="1"/>
    <n v="0"/>
    <n v="0"/>
  </r>
  <r>
    <s v="LD2141"/>
    <d v="2024-03-16T00:00:00"/>
    <x v="0"/>
    <s v="Facebook Ads"/>
    <s v="Mobile"/>
    <s v="Europe"/>
    <s v="Lead"/>
    <m/>
    <m/>
    <m/>
    <n v="1"/>
    <x v="8"/>
    <n v="0"/>
    <n v="0"/>
    <n v="0"/>
  </r>
  <r>
    <s v="LD4163"/>
    <d v="2024-07-08T00:00:00"/>
    <x v="1"/>
    <s v="Google Ads - Generic"/>
    <s v="Mobile"/>
    <s v="North America"/>
    <s v="Lead"/>
    <m/>
    <m/>
    <m/>
    <n v="1"/>
    <x v="0"/>
    <n v="0"/>
    <n v="0"/>
    <n v="0"/>
  </r>
  <r>
    <s v="LD3112"/>
    <d v="2024-05-25T00:00:00"/>
    <x v="1"/>
    <s v="Google Ads - Generic"/>
    <s v="Desktop"/>
    <s v="North America"/>
    <s v="Lead"/>
    <m/>
    <m/>
    <m/>
    <n v="1"/>
    <x v="4"/>
    <n v="0"/>
    <n v="0"/>
    <n v="0"/>
  </r>
  <r>
    <s v="LD4790"/>
    <d v="2024-08-15T00:00:00"/>
    <x v="3"/>
    <s v="Monthly Newsletter"/>
    <s v="Tablet"/>
    <s v="Europe"/>
    <s v="SQL"/>
    <m/>
    <m/>
    <m/>
    <n v="3"/>
    <x v="6"/>
    <n v="1"/>
    <n v="1"/>
    <n v="0"/>
  </r>
  <r>
    <s v="LD2910"/>
    <d v="2024-04-18T00:00:00"/>
    <x v="4"/>
    <s v="Partner Program"/>
    <s v="Desktop"/>
    <s v="Asia Pacific"/>
    <s v="SQL"/>
    <m/>
    <m/>
    <m/>
    <n v="3"/>
    <x v="1"/>
    <n v="1"/>
    <n v="1"/>
    <n v="0"/>
  </r>
  <r>
    <s v="LD5023"/>
    <d v="2024-09-20T00:00:00"/>
    <x v="5"/>
    <s v="Landing Page SEO"/>
    <s v="Desktop"/>
    <s v="Asia Pacific"/>
    <s v="MQL"/>
    <m/>
    <m/>
    <m/>
    <n v="2"/>
    <x v="9"/>
    <n v="1"/>
    <n v="0"/>
    <n v="0"/>
  </r>
  <r>
    <s v="LD6788"/>
    <d v="2024-11-28T00:00:00"/>
    <x v="3"/>
    <s v="Monthly Newsletter"/>
    <s v="Tablet"/>
    <s v="North America"/>
    <s v="MQL"/>
    <m/>
    <m/>
    <m/>
    <n v="2"/>
    <x v="2"/>
    <n v="1"/>
    <n v="0"/>
    <n v="0"/>
  </r>
  <r>
    <s v="LD1657"/>
    <d v="2024-02-20T00:00:00"/>
    <x v="0"/>
    <s v="Instagram Ads"/>
    <s v="Desktop"/>
    <s v="North America"/>
    <s v="Lead"/>
    <m/>
    <m/>
    <m/>
    <n v="1"/>
    <x v="10"/>
    <n v="0"/>
    <n v="0"/>
    <n v="0"/>
  </r>
  <r>
    <s v="LD5563"/>
    <d v="2024-09-02T00:00:00"/>
    <x v="2"/>
    <s v="Direct / Type-in"/>
    <s v="Mobile"/>
    <s v="North America"/>
    <s v="Lead"/>
    <m/>
    <m/>
    <m/>
    <n v="1"/>
    <x v="9"/>
    <n v="0"/>
    <n v="0"/>
    <n v="0"/>
  </r>
  <r>
    <s v="LD5794"/>
    <d v="2024-10-19T00:00:00"/>
    <x v="1"/>
    <s v="Google Ads - Generic"/>
    <s v="Desktop"/>
    <s v="North America"/>
    <s v="Lead"/>
    <m/>
    <m/>
    <m/>
    <n v="1"/>
    <x v="5"/>
    <n v="0"/>
    <n v="0"/>
    <n v="0"/>
  </r>
  <r>
    <s v="LD5344"/>
    <d v="2024-09-04T00:00:00"/>
    <x v="3"/>
    <s v="Promo Blast"/>
    <s v="Desktop"/>
    <s v="North America"/>
    <s v="MQL"/>
    <m/>
    <m/>
    <m/>
    <n v="2"/>
    <x v="9"/>
    <n v="1"/>
    <n v="0"/>
    <n v="0"/>
  </r>
  <r>
    <s v="LD1999"/>
    <d v="2024-03-07T00:00:00"/>
    <x v="5"/>
    <s v="Landing Page SEO"/>
    <s v="Desktop"/>
    <s v="Europe"/>
    <s v="MQL"/>
    <m/>
    <m/>
    <m/>
    <n v="2"/>
    <x v="8"/>
    <n v="1"/>
    <n v="0"/>
    <n v="0"/>
  </r>
  <r>
    <s v="LD6452"/>
    <d v="2024-11-18T00:00:00"/>
    <x v="5"/>
    <s v="Blog SEO"/>
    <s v="Mobile"/>
    <s v="Europe"/>
    <s v="MQL"/>
    <m/>
    <m/>
    <m/>
    <n v="2"/>
    <x v="2"/>
    <n v="1"/>
    <n v="0"/>
    <n v="0"/>
  </r>
  <r>
    <s v="LD3835"/>
    <d v="2024-06-11T00:00:00"/>
    <x v="3"/>
    <s v="Monthly Newsletter"/>
    <s v="Desktop"/>
    <s v="North America"/>
    <s v="Lead"/>
    <m/>
    <m/>
    <m/>
    <n v="1"/>
    <x v="11"/>
    <n v="0"/>
    <n v="0"/>
    <n v="0"/>
  </r>
  <r>
    <s v="LD3810"/>
    <d v="2024-06-03T00:00:00"/>
    <x v="3"/>
    <s v="Promo Blast"/>
    <s v="Mobile"/>
    <s v="Europe"/>
    <s v="SQL"/>
    <m/>
    <m/>
    <m/>
    <n v="3"/>
    <x v="11"/>
    <n v="1"/>
    <n v="1"/>
    <n v="0"/>
  </r>
  <r>
    <s v="LD2785"/>
    <d v="2024-04-15T00:00:00"/>
    <x v="3"/>
    <s v="Monthly Newsletter"/>
    <s v="Desktop"/>
    <s v="North America"/>
    <s v="SQL"/>
    <m/>
    <m/>
    <m/>
    <n v="3"/>
    <x v="1"/>
    <n v="1"/>
    <n v="1"/>
    <n v="0"/>
  </r>
  <r>
    <s v="LD2238"/>
    <d v="2024-03-27T00:00:00"/>
    <x v="3"/>
    <s v="Promo Blast"/>
    <s v="Desktop"/>
    <s v="North America"/>
    <s v="Lead"/>
    <m/>
    <m/>
    <m/>
    <n v="1"/>
    <x v="8"/>
    <n v="0"/>
    <n v="0"/>
    <n v="0"/>
  </r>
  <r>
    <s v="LD6650"/>
    <d v="2024-11-01T00:00:00"/>
    <x v="0"/>
    <s v="Facebook Ads"/>
    <s v="Desktop"/>
    <s v="Europe"/>
    <s v="Lead"/>
    <m/>
    <m/>
    <m/>
    <n v="1"/>
    <x v="2"/>
    <n v="0"/>
    <n v="0"/>
    <n v="0"/>
  </r>
  <r>
    <s v="LD6179"/>
    <d v="2024-10-10T00:00:00"/>
    <x v="4"/>
    <s v="Partner Program"/>
    <s v="Mobile"/>
    <s v="Europe"/>
    <s v="SQL"/>
    <m/>
    <m/>
    <m/>
    <n v="3"/>
    <x v="5"/>
    <n v="1"/>
    <n v="1"/>
    <n v="0"/>
  </r>
  <r>
    <s v="LD4863"/>
    <d v="2024-08-01T00:00:00"/>
    <x v="3"/>
    <s v="Monthly Newsletter"/>
    <s v="Mobile"/>
    <s v="North America"/>
    <s v="MQL"/>
    <m/>
    <m/>
    <m/>
    <n v="2"/>
    <x v="6"/>
    <n v="1"/>
    <n v="0"/>
    <n v="0"/>
  </r>
  <r>
    <s v="LD5509"/>
    <d v="2024-09-06T00:00:00"/>
    <x v="4"/>
    <s v="Partner Program"/>
    <s v="Desktop"/>
    <s v="Latin America"/>
    <s v="Customer"/>
    <n v="61"/>
    <s v="Pro"/>
    <n v="4213.79"/>
    <n v="4"/>
    <x v="9"/>
    <n v="1"/>
    <n v="1"/>
    <n v="1"/>
  </r>
  <r>
    <s v="LD7592"/>
    <d v="2024-12-04T00:00:00"/>
    <x v="3"/>
    <s v="Monthly Newsletter"/>
    <s v="Tablet"/>
    <s v="North America"/>
    <s v="SQL"/>
    <m/>
    <m/>
    <m/>
    <n v="3"/>
    <x v="7"/>
    <n v="1"/>
    <n v="1"/>
    <n v="0"/>
  </r>
  <r>
    <s v="LD7696"/>
    <d v="2024-12-04T00:00:00"/>
    <x v="4"/>
    <s v="Partner Program"/>
    <s v="Tablet"/>
    <s v="North America"/>
    <s v="Customer"/>
    <n v="9"/>
    <s v="Basic"/>
    <n v="749.71"/>
    <n v="4"/>
    <x v="7"/>
    <n v="1"/>
    <n v="1"/>
    <n v="1"/>
  </r>
  <r>
    <s v="LD3187"/>
    <d v="2024-05-13T00:00:00"/>
    <x v="1"/>
    <s v="Google Ads - Generic"/>
    <s v="Desktop"/>
    <s v="Europe"/>
    <s v="Lead"/>
    <m/>
    <m/>
    <m/>
    <n v="1"/>
    <x v="4"/>
    <n v="0"/>
    <n v="0"/>
    <n v="0"/>
  </r>
  <r>
    <s v="LD3914"/>
    <d v="2024-06-16T00:00:00"/>
    <x v="4"/>
    <s v="Partner Program"/>
    <s v="Mobile"/>
    <s v="North America"/>
    <s v="MQL"/>
    <m/>
    <m/>
    <m/>
    <n v="2"/>
    <x v="11"/>
    <n v="1"/>
    <n v="0"/>
    <n v="0"/>
  </r>
  <r>
    <s v="LD2135"/>
    <d v="2024-03-25T00:00:00"/>
    <x v="0"/>
    <s v="Instagram Ads"/>
    <s v="Mobile"/>
    <s v="North America"/>
    <s v="Lead"/>
    <m/>
    <m/>
    <m/>
    <n v="1"/>
    <x v="8"/>
    <n v="0"/>
    <n v="0"/>
    <n v="0"/>
  </r>
  <r>
    <s v="LD1909"/>
    <d v="2024-02-23T00:00:00"/>
    <x v="2"/>
    <s v="Direct / Type-in"/>
    <s v="Desktop"/>
    <s v="Asia Pacific"/>
    <s v="MQL"/>
    <m/>
    <m/>
    <m/>
    <n v="2"/>
    <x v="10"/>
    <n v="1"/>
    <n v="0"/>
    <n v="0"/>
  </r>
  <r>
    <s v="LD7011"/>
    <d v="2024-11-23T00:00:00"/>
    <x v="2"/>
    <s v="Direct / Type-in"/>
    <s v="Desktop"/>
    <s v="North America"/>
    <s v="Lead"/>
    <m/>
    <m/>
    <m/>
    <n v="1"/>
    <x v="2"/>
    <n v="0"/>
    <n v="0"/>
    <n v="0"/>
  </r>
  <r>
    <s v="LD2304"/>
    <d v="2024-03-23T00:00:00"/>
    <x v="3"/>
    <s v="Promo Blast"/>
    <s v="Mobile"/>
    <s v="North America"/>
    <s v="SQL"/>
    <m/>
    <m/>
    <m/>
    <n v="3"/>
    <x v="8"/>
    <n v="1"/>
    <n v="1"/>
    <n v="0"/>
  </r>
  <r>
    <s v="LD7328"/>
    <d v="2024-12-07T00:00:00"/>
    <x v="0"/>
    <s v="Facebook Ads"/>
    <s v="Mobile"/>
    <s v="Asia Pacific"/>
    <s v="Lead"/>
    <m/>
    <m/>
    <m/>
    <n v="1"/>
    <x v="7"/>
    <n v="0"/>
    <n v="0"/>
    <n v="0"/>
  </r>
  <r>
    <s v="LD2628"/>
    <d v="2024-04-02T00:00:00"/>
    <x v="1"/>
    <s v="Google Ads - Generic"/>
    <s v="Desktop"/>
    <s v="Asia Pacific"/>
    <s v="Lead"/>
    <m/>
    <m/>
    <m/>
    <n v="1"/>
    <x v="1"/>
    <n v="0"/>
    <n v="0"/>
    <n v="0"/>
  </r>
  <r>
    <s v="LD2523"/>
    <d v="2024-04-07T00:00:00"/>
    <x v="5"/>
    <s v="Landing Page SEO"/>
    <s v="Desktop"/>
    <s v="Europe"/>
    <s v="MQL"/>
    <m/>
    <m/>
    <m/>
    <n v="2"/>
    <x v="1"/>
    <n v="1"/>
    <n v="0"/>
    <n v="0"/>
  </r>
  <r>
    <s v="LD1836"/>
    <d v="2024-02-12T00:00:00"/>
    <x v="4"/>
    <s v="Affiliate Program"/>
    <s v="Mobile"/>
    <s v="Latin America"/>
    <s v="Lead"/>
    <m/>
    <m/>
    <m/>
    <n v="1"/>
    <x v="10"/>
    <n v="0"/>
    <n v="0"/>
    <n v="0"/>
  </r>
  <r>
    <s v="LD1359"/>
    <d v="2024-01-24T00:00:00"/>
    <x v="4"/>
    <s v="Partner Program"/>
    <s v="Desktop"/>
    <s v="Asia Pacific"/>
    <s v="Lead"/>
    <m/>
    <m/>
    <m/>
    <n v="1"/>
    <x v="3"/>
    <n v="0"/>
    <n v="0"/>
    <n v="0"/>
  </r>
  <r>
    <s v="LD1139"/>
    <d v="2024-01-10T00:00:00"/>
    <x v="1"/>
    <s v="Google Ads - Generic"/>
    <s v="Mobile"/>
    <s v="Europe"/>
    <s v="Lead"/>
    <m/>
    <m/>
    <m/>
    <n v="1"/>
    <x v="3"/>
    <n v="0"/>
    <n v="0"/>
    <n v="0"/>
  </r>
  <r>
    <s v="LD1300"/>
    <d v="2024-01-21T00:00:00"/>
    <x v="3"/>
    <s v="Monthly Newsletter"/>
    <s v="Desktop"/>
    <s v="Europe"/>
    <s v="MQL"/>
    <m/>
    <m/>
    <m/>
    <n v="2"/>
    <x v="3"/>
    <n v="1"/>
    <n v="0"/>
    <n v="0"/>
  </r>
  <r>
    <s v="LD2557"/>
    <d v="2024-04-01T00:00:00"/>
    <x v="5"/>
    <s v="Landing Page SEO"/>
    <s v="Mobile"/>
    <s v="Europe"/>
    <s v="Customer"/>
    <n v="60"/>
    <s v="Pro"/>
    <n v="4653.49"/>
    <n v="4"/>
    <x v="1"/>
    <n v="1"/>
    <n v="1"/>
    <n v="1"/>
  </r>
  <r>
    <s v="LD2004"/>
    <d v="2024-03-25T00:00:00"/>
    <x v="5"/>
    <s v="Blog SEO"/>
    <s v="Desktop"/>
    <s v="North America"/>
    <s v="Lead"/>
    <m/>
    <m/>
    <m/>
    <n v="1"/>
    <x v="8"/>
    <n v="0"/>
    <n v="0"/>
    <n v="0"/>
  </r>
  <r>
    <s v="LD1383"/>
    <d v="2024-01-11T00:00:00"/>
    <x v="4"/>
    <s v="Partner Program"/>
    <s v="Desktop"/>
    <s v="North America"/>
    <s v="Customer"/>
    <n v="40"/>
    <s v="Pro"/>
    <n v="3544.11"/>
    <n v="4"/>
    <x v="3"/>
    <n v="1"/>
    <n v="1"/>
    <n v="1"/>
  </r>
  <r>
    <s v="LD5679"/>
    <d v="2024-10-22T00:00:00"/>
    <x v="5"/>
    <s v="Blog SEO"/>
    <s v="Mobile"/>
    <s v="Asia Pacific"/>
    <s v="Lead"/>
    <m/>
    <m/>
    <m/>
    <n v="1"/>
    <x v="5"/>
    <n v="0"/>
    <n v="0"/>
    <n v="0"/>
  </r>
  <r>
    <s v="LD6040"/>
    <d v="2024-10-09T00:00:00"/>
    <x v="3"/>
    <s v="Promo Blast"/>
    <s v="Desktop"/>
    <s v="North America"/>
    <s v="MQL"/>
    <m/>
    <m/>
    <m/>
    <n v="2"/>
    <x v="5"/>
    <n v="1"/>
    <n v="0"/>
    <n v="0"/>
  </r>
  <r>
    <s v="LD1762"/>
    <d v="2024-02-17T00:00:00"/>
    <x v="3"/>
    <s v="Monthly Newsletter"/>
    <s v="Mobile"/>
    <s v="North America"/>
    <s v="SQL"/>
    <m/>
    <m/>
    <m/>
    <n v="3"/>
    <x v="10"/>
    <n v="1"/>
    <n v="1"/>
    <n v="0"/>
  </r>
  <r>
    <s v="LD4939"/>
    <d v="2024-08-08T00:00:00"/>
    <x v="4"/>
    <s v="Affiliate Program"/>
    <s v="Desktop"/>
    <s v="Europe"/>
    <s v="SQL"/>
    <m/>
    <m/>
    <m/>
    <n v="3"/>
    <x v="6"/>
    <n v="1"/>
    <n v="1"/>
    <n v="0"/>
  </r>
  <r>
    <s v="LD5923"/>
    <d v="2024-10-20T00:00:00"/>
    <x v="0"/>
    <s v="LinkedIn Ads"/>
    <s v="Desktop"/>
    <s v="Europe"/>
    <s v="MQL"/>
    <m/>
    <m/>
    <m/>
    <n v="2"/>
    <x v="5"/>
    <n v="1"/>
    <n v="0"/>
    <n v="0"/>
  </r>
  <r>
    <s v="LD4802"/>
    <d v="2024-08-27T00:00:00"/>
    <x v="3"/>
    <s v="Promo Blast"/>
    <s v="Mobile"/>
    <s v="North America"/>
    <s v="Lead"/>
    <m/>
    <m/>
    <m/>
    <n v="1"/>
    <x v="6"/>
    <n v="0"/>
    <n v="0"/>
    <n v="0"/>
  </r>
  <r>
    <s v="LD5016"/>
    <d v="2024-08-17T00:00:00"/>
    <x v="2"/>
    <s v="Direct / Type-in"/>
    <s v="Mobile"/>
    <s v="Europe"/>
    <s v="Lead"/>
    <m/>
    <m/>
    <m/>
    <n v="1"/>
    <x v="6"/>
    <n v="0"/>
    <n v="0"/>
    <n v="0"/>
  </r>
  <r>
    <s v="LD4774"/>
    <d v="2024-08-04T00:00:00"/>
    <x v="3"/>
    <s v="Monthly Newsletter"/>
    <s v="Desktop"/>
    <s v="North America"/>
    <s v="MQL"/>
    <m/>
    <m/>
    <m/>
    <n v="2"/>
    <x v="6"/>
    <n v="1"/>
    <n v="0"/>
    <n v="0"/>
  </r>
  <r>
    <s v="LD6484"/>
    <d v="2024-11-23T00:00:00"/>
    <x v="1"/>
    <s v="Google Ads - Generic"/>
    <s v="Desktop"/>
    <s v="North America"/>
    <s v="Lead"/>
    <m/>
    <m/>
    <m/>
    <n v="1"/>
    <x v="2"/>
    <n v="0"/>
    <n v="0"/>
    <n v="0"/>
  </r>
  <r>
    <s v="LD6560"/>
    <d v="2024-11-22T00:00:00"/>
    <x v="1"/>
    <s v="Google Ads - Brand"/>
    <s v="Desktop"/>
    <s v="Europe"/>
    <s v="MQL"/>
    <m/>
    <m/>
    <m/>
    <n v="2"/>
    <x v="2"/>
    <n v="1"/>
    <n v="0"/>
    <n v="0"/>
  </r>
  <r>
    <s v="LD2403"/>
    <d v="2024-03-23T00:00:00"/>
    <x v="4"/>
    <s v="Affiliate Program"/>
    <s v="Desktop"/>
    <s v="Asia Pacific"/>
    <s v="Lead"/>
    <m/>
    <m/>
    <m/>
    <n v="1"/>
    <x v="8"/>
    <n v="0"/>
    <n v="0"/>
    <n v="0"/>
  </r>
  <r>
    <s v="LD4740"/>
    <d v="2024-08-15T00:00:00"/>
    <x v="0"/>
    <s v="Instagram Ads"/>
    <s v="Mobile"/>
    <s v="North America"/>
    <s v="SQL"/>
    <m/>
    <m/>
    <m/>
    <n v="3"/>
    <x v="6"/>
    <n v="1"/>
    <n v="1"/>
    <n v="0"/>
  </r>
  <r>
    <s v="LD6825"/>
    <d v="2024-11-06T00:00:00"/>
    <x v="3"/>
    <s v="Monthly Newsletter"/>
    <s v="Mobile"/>
    <s v="Europe"/>
    <s v="MQL"/>
    <m/>
    <m/>
    <m/>
    <n v="2"/>
    <x v="2"/>
    <n v="1"/>
    <n v="0"/>
    <n v="0"/>
  </r>
  <r>
    <s v="LD3722"/>
    <d v="2024-06-27T00:00:00"/>
    <x v="1"/>
    <s v="Google Ads - Brand"/>
    <s v="Desktop"/>
    <s v="North America"/>
    <s v="Lead"/>
    <m/>
    <m/>
    <m/>
    <n v="1"/>
    <x v="11"/>
    <n v="0"/>
    <n v="0"/>
    <n v="0"/>
  </r>
  <r>
    <s v="LD2933"/>
    <d v="2024-04-25T00:00:00"/>
    <x v="4"/>
    <s v="Partner Program"/>
    <s v="Mobile"/>
    <s v="Europe"/>
    <s v="Customer"/>
    <n v="75"/>
    <s v="Basic"/>
    <n v="1217.82"/>
    <n v="4"/>
    <x v="1"/>
    <n v="1"/>
    <n v="1"/>
    <n v="1"/>
  </r>
  <r>
    <s v="LD6607"/>
    <d v="2024-11-13T00:00:00"/>
    <x v="0"/>
    <s v="Instagram Ads"/>
    <s v="Tablet"/>
    <s v="Europe"/>
    <s v="Lead"/>
    <m/>
    <m/>
    <m/>
    <n v="1"/>
    <x v="2"/>
    <n v="0"/>
    <n v="0"/>
    <n v="0"/>
  </r>
  <r>
    <s v="LD7098"/>
    <d v="2024-12-22T00:00:00"/>
    <x v="5"/>
    <s v="Blog SEO"/>
    <s v="Mobile"/>
    <s v="Asia Pacific"/>
    <s v="Lead"/>
    <m/>
    <m/>
    <m/>
    <n v="1"/>
    <x v="7"/>
    <n v="0"/>
    <n v="0"/>
    <n v="0"/>
  </r>
  <r>
    <s v="LD7131"/>
    <d v="2024-12-05T00:00:00"/>
    <x v="5"/>
    <s v="Blog SEO"/>
    <s v="Mobile"/>
    <s v="North America"/>
    <s v="MQL"/>
    <m/>
    <m/>
    <m/>
    <n v="2"/>
    <x v="7"/>
    <n v="1"/>
    <n v="0"/>
    <n v="0"/>
  </r>
  <r>
    <s v="LD4733"/>
    <d v="2024-08-13T00:00:00"/>
    <x v="0"/>
    <s v="Facebook Ads"/>
    <s v="Mobile"/>
    <s v="North America"/>
    <s v="MQL"/>
    <m/>
    <m/>
    <m/>
    <n v="2"/>
    <x v="6"/>
    <n v="1"/>
    <n v="0"/>
    <n v="0"/>
  </r>
  <r>
    <s v="LD6401"/>
    <d v="2024-11-23T00:00:00"/>
    <x v="5"/>
    <s v="Blog SEO"/>
    <s v="Desktop"/>
    <s v="Europe"/>
    <s v="Lead"/>
    <m/>
    <m/>
    <m/>
    <n v="1"/>
    <x v="2"/>
    <n v="0"/>
    <n v="0"/>
    <n v="0"/>
  </r>
  <r>
    <s v="LD4056"/>
    <d v="2024-07-03T00:00:00"/>
    <x v="5"/>
    <s v="Blog SEO"/>
    <s v="Mobile"/>
    <s v="Asia Pacific"/>
    <s v="Lead"/>
    <m/>
    <m/>
    <m/>
    <n v="1"/>
    <x v="0"/>
    <n v="0"/>
    <n v="0"/>
    <n v="0"/>
  </r>
  <r>
    <s v="LD7035"/>
    <d v="2024-11-16T00:00:00"/>
    <x v="2"/>
    <s v="Direct / Type-in"/>
    <s v="Mobile"/>
    <s v="North America"/>
    <s v="MQL"/>
    <m/>
    <m/>
    <m/>
    <n v="2"/>
    <x v="2"/>
    <n v="1"/>
    <n v="0"/>
    <n v="0"/>
  </r>
  <r>
    <s v="LD4647"/>
    <d v="2024-08-13T00:00:00"/>
    <x v="1"/>
    <s v="Google Ads - Generic"/>
    <s v="Desktop"/>
    <s v="North America"/>
    <s v="Lead"/>
    <m/>
    <m/>
    <m/>
    <n v="1"/>
    <x v="6"/>
    <n v="0"/>
    <n v="0"/>
    <n v="0"/>
  </r>
  <r>
    <s v="LD5511"/>
    <d v="2024-09-21T00:00:00"/>
    <x v="4"/>
    <s v="Partner Program"/>
    <s v="Mobile"/>
    <s v="North America"/>
    <s v="SQL"/>
    <m/>
    <m/>
    <m/>
    <n v="3"/>
    <x v="9"/>
    <n v="1"/>
    <n v="1"/>
    <n v="0"/>
  </r>
  <r>
    <s v="LD3686"/>
    <d v="2024-06-01T00:00:00"/>
    <x v="1"/>
    <s v="Google Ads - Brand"/>
    <s v="Mobile"/>
    <s v="North America"/>
    <s v="SQL"/>
    <m/>
    <m/>
    <m/>
    <n v="3"/>
    <x v="11"/>
    <n v="1"/>
    <n v="1"/>
    <n v="0"/>
  </r>
  <r>
    <s v="LD4559"/>
    <d v="2024-08-12T00:00:00"/>
    <x v="5"/>
    <s v="Blog SEO"/>
    <s v="Desktop"/>
    <s v="North America"/>
    <s v="Lead"/>
    <m/>
    <m/>
    <m/>
    <n v="1"/>
    <x v="6"/>
    <n v="0"/>
    <n v="0"/>
    <n v="0"/>
  </r>
  <r>
    <s v="LD1059"/>
    <d v="2024-01-01T00:00:00"/>
    <x v="5"/>
    <s v="Blog SEO"/>
    <s v="Mobile"/>
    <s v="North America"/>
    <s v="Lead"/>
    <m/>
    <m/>
    <m/>
    <n v="1"/>
    <x v="3"/>
    <n v="0"/>
    <n v="0"/>
    <n v="0"/>
  </r>
  <r>
    <s v="LD1077"/>
    <d v="2024-01-23T00:00:00"/>
    <x v="5"/>
    <s v="Landing Page SEO"/>
    <s v="Desktop"/>
    <s v="North America"/>
    <s v="Lead"/>
    <m/>
    <m/>
    <m/>
    <n v="1"/>
    <x v="3"/>
    <n v="0"/>
    <n v="0"/>
    <n v="0"/>
  </r>
  <r>
    <s v="LD1797"/>
    <d v="2024-02-15T00:00:00"/>
    <x v="3"/>
    <s v="Promo Blast"/>
    <s v="Desktop"/>
    <s v="Europe"/>
    <s v="SQL"/>
    <m/>
    <m/>
    <m/>
    <n v="3"/>
    <x v="10"/>
    <n v="1"/>
    <n v="1"/>
    <n v="0"/>
  </r>
  <r>
    <s v="LD3417"/>
    <d v="2024-05-18T00:00:00"/>
    <x v="3"/>
    <s v="Monthly Newsletter"/>
    <s v="Desktop"/>
    <s v="Asia Pacific"/>
    <s v="Lead"/>
    <m/>
    <m/>
    <m/>
    <n v="1"/>
    <x v="4"/>
    <n v="0"/>
    <n v="0"/>
    <n v="0"/>
  </r>
  <r>
    <s v="LD4843"/>
    <d v="2024-08-14T00:00:00"/>
    <x v="3"/>
    <s v="Promo Blast"/>
    <s v="Tablet"/>
    <s v="North America"/>
    <s v="Lead"/>
    <m/>
    <m/>
    <m/>
    <n v="1"/>
    <x v="6"/>
    <n v="0"/>
    <n v="0"/>
    <n v="0"/>
  </r>
  <r>
    <s v="LD5960"/>
    <d v="2024-10-03T00:00:00"/>
    <x v="3"/>
    <s v="Monthly Newsletter"/>
    <s v="Mobile"/>
    <s v="Asia Pacific"/>
    <s v="Lead"/>
    <m/>
    <m/>
    <m/>
    <n v="1"/>
    <x v="5"/>
    <n v="0"/>
    <n v="0"/>
    <n v="0"/>
  </r>
  <r>
    <s v="LD1786"/>
    <d v="2024-02-13T00:00:00"/>
    <x v="3"/>
    <s v="Monthly Newsletter"/>
    <s v="Desktop"/>
    <s v="North America"/>
    <s v="MQL"/>
    <m/>
    <m/>
    <m/>
    <n v="2"/>
    <x v="10"/>
    <n v="1"/>
    <n v="0"/>
    <n v="0"/>
  </r>
  <r>
    <s v="LD7366"/>
    <d v="2024-12-01T00:00:00"/>
    <x v="0"/>
    <s v="Facebook Ads"/>
    <s v="Desktop"/>
    <s v="North America"/>
    <s v="Lead"/>
    <m/>
    <m/>
    <m/>
    <n v="1"/>
    <x v="7"/>
    <n v="0"/>
    <n v="0"/>
    <n v="0"/>
  </r>
  <r>
    <s v="LD7606"/>
    <d v="2024-12-21T00:00:00"/>
    <x v="4"/>
    <s v="Partner Program"/>
    <s v="Desktop"/>
    <s v="Latin America"/>
    <s v="SQL"/>
    <m/>
    <m/>
    <m/>
    <n v="3"/>
    <x v="7"/>
    <n v="1"/>
    <n v="1"/>
    <n v="0"/>
  </r>
  <r>
    <s v="LD4159"/>
    <d v="2024-07-19T00:00:00"/>
    <x v="1"/>
    <s v="Google Ads - Brand"/>
    <s v="Mobile"/>
    <s v="Europe"/>
    <s v="Lead"/>
    <m/>
    <m/>
    <m/>
    <n v="1"/>
    <x v="0"/>
    <n v="0"/>
    <n v="0"/>
    <n v="0"/>
  </r>
  <r>
    <s v="LD4107"/>
    <d v="2024-07-13T00:00:00"/>
    <x v="5"/>
    <s v="Blog SEO"/>
    <s v="Mobile"/>
    <s v="Europe"/>
    <s v="MQL"/>
    <m/>
    <m/>
    <m/>
    <n v="2"/>
    <x v="0"/>
    <n v="1"/>
    <n v="0"/>
    <n v="0"/>
  </r>
  <r>
    <s v="LD7637"/>
    <d v="2024-12-28T00:00:00"/>
    <x v="4"/>
    <s v="Partner Program"/>
    <s v="Desktop"/>
    <s v="Asia Pacific"/>
    <s v="SQL"/>
    <m/>
    <m/>
    <m/>
    <n v="3"/>
    <x v="7"/>
    <n v="1"/>
    <n v="1"/>
    <n v="0"/>
  </r>
  <r>
    <s v="LD3218"/>
    <d v="2024-05-03T00:00:00"/>
    <x v="0"/>
    <s v="Instagram Ads"/>
    <s v="Desktop"/>
    <s v="Europe"/>
    <s v="Lead"/>
    <m/>
    <m/>
    <m/>
    <n v="1"/>
    <x v="4"/>
    <n v="0"/>
    <n v="0"/>
    <n v="0"/>
  </r>
  <r>
    <s v="LD4600"/>
    <d v="2024-08-12T00:00:00"/>
    <x v="1"/>
    <s v="Google Ads - Brand"/>
    <s v="Mobile"/>
    <s v="North America"/>
    <s v="Lead"/>
    <m/>
    <m/>
    <m/>
    <n v="1"/>
    <x v="6"/>
    <n v="0"/>
    <n v="0"/>
    <n v="0"/>
  </r>
  <r>
    <s v="LD4408"/>
    <d v="2024-07-24T00:00:00"/>
    <x v="4"/>
    <s v="Partner Program"/>
    <s v="Mobile"/>
    <s v="Europe"/>
    <s v="MQL"/>
    <m/>
    <m/>
    <m/>
    <n v="2"/>
    <x v="0"/>
    <n v="1"/>
    <n v="0"/>
    <n v="0"/>
  </r>
  <r>
    <s v="LD5897"/>
    <d v="2024-10-20T00:00:00"/>
    <x v="0"/>
    <s v="LinkedIn Ads"/>
    <s v="Mobile"/>
    <s v="North America"/>
    <s v="Lead"/>
    <m/>
    <m/>
    <m/>
    <n v="1"/>
    <x v="5"/>
    <n v="0"/>
    <n v="0"/>
    <n v="0"/>
  </r>
  <r>
    <s v="LD4923"/>
    <d v="2024-08-15T00:00:00"/>
    <x v="4"/>
    <s v="Partner Program"/>
    <s v="Desktop"/>
    <s v="North America"/>
    <s v="MQL"/>
    <m/>
    <m/>
    <m/>
    <n v="2"/>
    <x v="6"/>
    <n v="1"/>
    <n v="0"/>
    <n v="0"/>
  </r>
  <r>
    <s v="LD5199"/>
    <d v="2024-09-11T00:00:00"/>
    <x v="1"/>
    <s v="Google Ads - Brand"/>
    <s v="Desktop"/>
    <s v="North America"/>
    <s v="MQL"/>
    <m/>
    <m/>
    <m/>
    <n v="2"/>
    <x v="9"/>
    <n v="1"/>
    <n v="0"/>
    <n v="0"/>
  </r>
  <r>
    <s v="LD6235"/>
    <d v="2024-10-26T00:00:00"/>
    <x v="2"/>
    <s v="Direct / Type-in"/>
    <s v="Tablet"/>
    <s v="Asia Pacific"/>
    <s v="Lead"/>
    <m/>
    <m/>
    <m/>
    <n v="1"/>
    <x v="5"/>
    <n v="0"/>
    <n v="0"/>
    <n v="0"/>
  </r>
  <r>
    <s v="LD1911"/>
    <d v="2024-02-24T00:00:00"/>
    <x v="2"/>
    <s v="Direct / Type-in"/>
    <s v="Desktop"/>
    <s v="North America"/>
    <s v="Lead"/>
    <m/>
    <m/>
    <m/>
    <n v="1"/>
    <x v="10"/>
    <n v="0"/>
    <n v="0"/>
    <n v="0"/>
  </r>
  <r>
    <s v="LD3173"/>
    <d v="2024-05-16T00:00:00"/>
    <x v="1"/>
    <s v="Google Ads - Generic"/>
    <s v="Desktop"/>
    <s v="Asia Pacific"/>
    <s v="Lead"/>
    <m/>
    <m/>
    <m/>
    <n v="1"/>
    <x v="4"/>
    <n v="0"/>
    <n v="0"/>
    <n v="0"/>
  </r>
  <r>
    <s v="LD2851"/>
    <d v="2024-04-13T00:00:00"/>
    <x v="3"/>
    <s v="Promo Blast"/>
    <s v="Mobile"/>
    <s v="Europe"/>
    <s v="MQL"/>
    <m/>
    <m/>
    <m/>
    <n v="2"/>
    <x v="1"/>
    <n v="1"/>
    <n v="0"/>
    <n v="0"/>
  </r>
  <r>
    <s v="LD3310"/>
    <d v="2024-05-15T00:00:00"/>
    <x v="3"/>
    <s v="Promo Blast"/>
    <s v="Desktop"/>
    <s v="North America"/>
    <s v="SQL"/>
    <m/>
    <m/>
    <m/>
    <n v="3"/>
    <x v="4"/>
    <n v="1"/>
    <n v="1"/>
    <n v="0"/>
  </r>
  <r>
    <s v="LD7348"/>
    <d v="2024-12-21T00:00:00"/>
    <x v="0"/>
    <s v="Facebook Ads"/>
    <s v="Mobile"/>
    <s v="North America"/>
    <s v="MQL"/>
    <m/>
    <m/>
    <m/>
    <n v="2"/>
    <x v="7"/>
    <n v="1"/>
    <n v="0"/>
    <n v="0"/>
  </r>
  <r>
    <s v="LD2258"/>
    <d v="2024-03-20T00:00:00"/>
    <x v="3"/>
    <s v="Monthly Newsletter"/>
    <s v="Desktop"/>
    <s v="Europe"/>
    <s v="Lead"/>
    <m/>
    <m/>
    <m/>
    <n v="1"/>
    <x v="8"/>
    <n v="0"/>
    <n v="0"/>
    <n v="0"/>
  </r>
  <r>
    <s v="LD3496"/>
    <d v="2024-05-16T00:00:00"/>
    <x v="4"/>
    <s v="Partner Program"/>
    <s v="Mobile"/>
    <s v="Europe"/>
    <s v="SQL"/>
    <m/>
    <m/>
    <m/>
    <n v="3"/>
    <x v="4"/>
    <n v="1"/>
    <n v="1"/>
    <n v="0"/>
  </r>
  <r>
    <s v="LD6113"/>
    <d v="2024-10-27T00:00:00"/>
    <x v="3"/>
    <s v="Promo Blast"/>
    <s v="Desktop"/>
    <s v="North America"/>
    <s v="MQL"/>
    <m/>
    <m/>
    <m/>
    <n v="2"/>
    <x v="5"/>
    <n v="1"/>
    <n v="0"/>
    <n v="0"/>
  </r>
  <r>
    <s v="LD6713"/>
    <d v="2024-11-05T00:00:00"/>
    <x v="3"/>
    <s v="Promo Blast"/>
    <s v="Mobile"/>
    <s v="Europe"/>
    <s v="MQL"/>
    <m/>
    <m/>
    <m/>
    <n v="2"/>
    <x v="2"/>
    <n v="1"/>
    <n v="0"/>
    <n v="0"/>
  </r>
  <r>
    <s v="LD2179"/>
    <d v="2024-03-22T00:00:00"/>
    <x v="0"/>
    <s v="Facebook Ads"/>
    <s v="Tablet"/>
    <s v="Asia Pacific"/>
    <s v="Lead"/>
    <m/>
    <m/>
    <m/>
    <n v="1"/>
    <x v="8"/>
    <n v="0"/>
    <n v="0"/>
    <n v="0"/>
  </r>
  <r>
    <s v="LD7164"/>
    <d v="2024-12-16T00:00:00"/>
    <x v="5"/>
    <s v="Landing Page SEO"/>
    <s v="Desktop"/>
    <s v="Europe"/>
    <s v="Lead"/>
    <m/>
    <m/>
    <m/>
    <n v="1"/>
    <x v="7"/>
    <n v="0"/>
    <n v="0"/>
    <n v="0"/>
  </r>
  <r>
    <s v="LD6548"/>
    <d v="2024-11-28T00:00:00"/>
    <x v="1"/>
    <s v="Google Ads - Generic"/>
    <s v="Desktop"/>
    <s v="Europe"/>
    <s v="MQL"/>
    <m/>
    <m/>
    <m/>
    <n v="2"/>
    <x v="2"/>
    <n v="1"/>
    <n v="0"/>
    <n v="0"/>
  </r>
  <r>
    <s v="LD1443"/>
    <d v="2024-01-08T00:00:00"/>
    <x v="2"/>
    <s v="Direct / Type-in"/>
    <s v="Desktop"/>
    <s v="North America"/>
    <s v="MQL"/>
    <m/>
    <m/>
    <m/>
    <n v="2"/>
    <x v="3"/>
    <n v="1"/>
    <n v="0"/>
    <n v="0"/>
  </r>
  <r>
    <s v="LD6199"/>
    <d v="2024-10-17T00:00:00"/>
    <x v="4"/>
    <s v="Affiliate Program"/>
    <s v="Mobile"/>
    <s v="Europe"/>
    <s v="Customer"/>
    <n v="49"/>
    <s v="Basic"/>
    <n v="1383.48"/>
    <n v="4"/>
    <x v="5"/>
    <n v="1"/>
    <n v="1"/>
    <n v="1"/>
  </r>
  <r>
    <s v="LD2400"/>
    <d v="2024-03-10T00:00:00"/>
    <x v="4"/>
    <s v="Partner Program"/>
    <s v="Desktop"/>
    <s v="Europe"/>
    <s v="Customer"/>
    <n v="15"/>
    <s v="Pro"/>
    <n v="3616.97"/>
    <n v="4"/>
    <x v="8"/>
    <n v="1"/>
    <n v="1"/>
    <n v="1"/>
  </r>
  <r>
    <s v="LD3974"/>
    <d v="2024-06-11T00:00:00"/>
    <x v="4"/>
    <s v="Partner Program"/>
    <s v="Desktop"/>
    <s v="Asia Pacific"/>
    <s v="Lead"/>
    <m/>
    <m/>
    <m/>
    <n v="1"/>
    <x v="11"/>
    <n v="0"/>
    <n v="0"/>
    <n v="0"/>
  </r>
  <r>
    <s v="LD4862"/>
    <d v="2024-08-01T00:00:00"/>
    <x v="3"/>
    <s v="Monthly Newsletter"/>
    <s v="Mobile"/>
    <s v="Asia Pacific"/>
    <s v="SQL"/>
    <m/>
    <m/>
    <m/>
    <n v="3"/>
    <x v="6"/>
    <n v="1"/>
    <n v="1"/>
    <n v="0"/>
  </r>
  <r>
    <s v="LD4904"/>
    <d v="2024-08-07T00:00:00"/>
    <x v="4"/>
    <s v="Partner Program"/>
    <s v="Mobile"/>
    <s v="North America"/>
    <s v="Lead"/>
    <m/>
    <m/>
    <m/>
    <n v="1"/>
    <x v="6"/>
    <n v="0"/>
    <n v="0"/>
    <n v="0"/>
  </r>
  <r>
    <s v="LD5164"/>
    <d v="2024-09-05T00:00:00"/>
    <x v="1"/>
    <s v="Google Ads - Brand"/>
    <s v="Desktop"/>
    <s v="North America"/>
    <s v="Customer"/>
    <n v="42"/>
    <s v="Basic"/>
    <n v="1366.33"/>
    <n v="4"/>
    <x v="9"/>
    <n v="1"/>
    <n v="1"/>
    <n v="1"/>
  </r>
  <r>
    <s v="LD7464"/>
    <d v="2024-12-04T00:00:00"/>
    <x v="3"/>
    <s v="Promo Blast"/>
    <s v="Desktop"/>
    <s v="North America"/>
    <s v="MQL"/>
    <m/>
    <m/>
    <m/>
    <n v="2"/>
    <x v="7"/>
    <n v="1"/>
    <n v="0"/>
    <n v="0"/>
  </r>
  <r>
    <s v="LD2055"/>
    <d v="2024-03-21T00:00:00"/>
    <x v="1"/>
    <s v="Google Ads - Generic"/>
    <s v="Mobile"/>
    <s v="Asia Pacific"/>
    <s v="Lead"/>
    <m/>
    <m/>
    <m/>
    <n v="1"/>
    <x v="8"/>
    <n v="0"/>
    <n v="0"/>
    <n v="0"/>
  </r>
  <r>
    <s v="LD4451"/>
    <d v="2024-07-07T00:00:00"/>
    <x v="2"/>
    <s v="Direct / Type-in"/>
    <s v="Desktop"/>
    <s v="Asia Pacific"/>
    <s v="Lead"/>
    <m/>
    <m/>
    <m/>
    <n v="1"/>
    <x v="0"/>
    <n v="0"/>
    <n v="0"/>
    <n v="0"/>
  </r>
  <r>
    <s v="LD4276"/>
    <d v="2024-07-13T00:00:00"/>
    <x v="3"/>
    <s v="Promo Blast"/>
    <s v="Desktop"/>
    <s v="Latin America"/>
    <s v="Customer"/>
    <n v="38"/>
    <s v="Basic"/>
    <n v="1199.03"/>
    <n v="4"/>
    <x v="0"/>
    <n v="1"/>
    <n v="1"/>
    <n v="1"/>
  </r>
  <r>
    <s v="LD6200"/>
    <d v="2024-10-25T00:00:00"/>
    <x v="4"/>
    <s v="Affiliate Program"/>
    <s v="Tablet"/>
    <s v="North America"/>
    <s v="MQL"/>
    <m/>
    <m/>
    <m/>
    <n v="2"/>
    <x v="5"/>
    <n v="1"/>
    <n v="0"/>
    <n v="0"/>
  </r>
  <r>
    <s v="LD4916"/>
    <d v="2024-08-17T00:00:00"/>
    <x v="4"/>
    <s v="Affiliate Program"/>
    <s v="Desktop"/>
    <s v="North America"/>
    <s v="MQL"/>
    <m/>
    <m/>
    <m/>
    <n v="2"/>
    <x v="6"/>
    <n v="1"/>
    <n v="0"/>
    <n v="0"/>
  </r>
  <r>
    <s v="LD2416"/>
    <d v="2024-03-23T00:00:00"/>
    <x v="2"/>
    <s v="Direct / Type-in"/>
    <s v="Desktop"/>
    <s v="North America"/>
    <s v="SQL"/>
    <m/>
    <m/>
    <m/>
    <n v="3"/>
    <x v="8"/>
    <n v="1"/>
    <n v="1"/>
    <n v="0"/>
  </r>
  <r>
    <s v="LD3373"/>
    <d v="2024-05-24T00:00:00"/>
    <x v="3"/>
    <s v="Promo Blast"/>
    <s v="Desktop"/>
    <s v="North America"/>
    <s v="MQL"/>
    <m/>
    <m/>
    <m/>
    <n v="2"/>
    <x v="4"/>
    <n v="1"/>
    <n v="0"/>
    <n v="0"/>
  </r>
  <r>
    <s v="LD5795"/>
    <d v="2024-10-06T00:00:00"/>
    <x v="1"/>
    <s v="Google Ads - Generic"/>
    <s v="Desktop"/>
    <s v="Asia Pacific"/>
    <s v="MQL"/>
    <m/>
    <m/>
    <m/>
    <n v="2"/>
    <x v="5"/>
    <n v="1"/>
    <n v="0"/>
    <n v="0"/>
  </r>
  <r>
    <s v="LD5714"/>
    <d v="2024-10-05T00:00:00"/>
    <x v="5"/>
    <s v="Blog SEO"/>
    <s v="Mobile"/>
    <s v="North America"/>
    <s v="Lead"/>
    <m/>
    <m/>
    <m/>
    <n v="1"/>
    <x v="5"/>
    <n v="0"/>
    <n v="0"/>
    <n v="0"/>
  </r>
  <r>
    <s v="LD4719"/>
    <d v="2024-08-18T00:00:00"/>
    <x v="0"/>
    <s v="Instagram Ads"/>
    <s v="Desktop"/>
    <s v="North America"/>
    <s v="Lead"/>
    <m/>
    <m/>
    <m/>
    <n v="1"/>
    <x v="6"/>
    <n v="0"/>
    <n v="0"/>
    <n v="0"/>
  </r>
  <r>
    <s v="LD6010"/>
    <d v="2024-10-21T00:00:00"/>
    <x v="3"/>
    <s v="Monthly Newsletter"/>
    <s v="Desktop"/>
    <s v="North America"/>
    <s v="SQL"/>
    <m/>
    <m/>
    <m/>
    <n v="3"/>
    <x v="5"/>
    <n v="1"/>
    <n v="1"/>
    <n v="0"/>
  </r>
  <r>
    <s v="LD5402"/>
    <d v="2024-09-19T00:00:00"/>
    <x v="3"/>
    <s v="Monthly Newsletter"/>
    <s v="Desktop"/>
    <s v="North America"/>
    <s v="Lead"/>
    <m/>
    <m/>
    <m/>
    <n v="1"/>
    <x v="9"/>
    <n v="0"/>
    <n v="0"/>
    <n v="0"/>
  </r>
  <r>
    <s v="LD6526"/>
    <d v="2024-11-16T00:00:00"/>
    <x v="1"/>
    <s v="Google Ads - Generic"/>
    <s v="Desktop"/>
    <s v="Europe"/>
    <s v="Lead"/>
    <m/>
    <m/>
    <m/>
    <n v="1"/>
    <x v="2"/>
    <n v="0"/>
    <n v="0"/>
    <n v="0"/>
  </r>
  <r>
    <s v="LD2503"/>
    <d v="2024-04-28T00:00:00"/>
    <x v="5"/>
    <s v="Blog SEO"/>
    <s v="Mobile"/>
    <s v="Europe"/>
    <s v="Customer"/>
    <n v="68"/>
    <s v="Basic"/>
    <n v="644.82000000000005"/>
    <n v="4"/>
    <x v="1"/>
    <n v="1"/>
    <n v="1"/>
    <n v="1"/>
  </r>
  <r>
    <s v="LD6461"/>
    <d v="2024-11-03T00:00:00"/>
    <x v="5"/>
    <s v="Blog SEO"/>
    <s v="Desktop"/>
    <s v="North America"/>
    <s v="Lead"/>
    <m/>
    <m/>
    <m/>
    <n v="1"/>
    <x v="2"/>
    <n v="0"/>
    <n v="0"/>
    <n v="0"/>
  </r>
  <r>
    <s v="LD6413"/>
    <d v="2024-11-13T00:00:00"/>
    <x v="5"/>
    <s v="Blog SEO"/>
    <s v="Mobile"/>
    <s v="North America"/>
    <s v="MQL"/>
    <m/>
    <m/>
    <m/>
    <n v="2"/>
    <x v="2"/>
    <n v="1"/>
    <n v="0"/>
    <n v="0"/>
  </r>
  <r>
    <s v="LD7430"/>
    <d v="2024-12-23T00:00:00"/>
    <x v="3"/>
    <s v="Monthly Newsletter"/>
    <s v="Desktop"/>
    <s v="Asia Pacific"/>
    <s v="Customer"/>
    <n v="22"/>
    <s v="Basic"/>
    <n v="808.92"/>
    <n v="4"/>
    <x v="7"/>
    <n v="1"/>
    <n v="1"/>
    <n v="1"/>
  </r>
  <r>
    <s v="LD3012"/>
    <d v="2024-04-26T00:00:00"/>
    <x v="2"/>
    <s v="Direct / Type-in"/>
    <s v="Tablet"/>
    <s v="North America"/>
    <s v="Lead"/>
    <m/>
    <m/>
    <m/>
    <n v="1"/>
    <x v="1"/>
    <n v="0"/>
    <n v="0"/>
    <n v="0"/>
  </r>
  <r>
    <s v="LD7291"/>
    <d v="2024-12-08T00:00:00"/>
    <x v="1"/>
    <s v="Google Ads - Generic"/>
    <s v="Mobile"/>
    <s v="Asia Pacific"/>
    <s v="Customer"/>
    <n v="32"/>
    <s v="Basic"/>
    <n v="971.23"/>
    <n v="4"/>
    <x v="7"/>
    <n v="1"/>
    <n v="1"/>
    <n v="1"/>
  </r>
  <r>
    <s v="LD5606"/>
    <d v="2024-09-04T00:00:00"/>
    <x v="2"/>
    <s v="Direct / Type-in"/>
    <s v="Mobile"/>
    <s v="Asia Pacific"/>
    <s v="MQL"/>
    <m/>
    <m/>
    <m/>
    <n v="2"/>
    <x v="9"/>
    <n v="1"/>
    <n v="0"/>
    <n v="0"/>
  </r>
  <r>
    <s v="LD4948"/>
    <d v="2024-08-09T00:00:00"/>
    <x v="4"/>
    <s v="Affiliate Program"/>
    <s v="Desktop"/>
    <s v="Europe"/>
    <s v="SQL"/>
    <m/>
    <m/>
    <m/>
    <n v="3"/>
    <x v="6"/>
    <n v="1"/>
    <n v="1"/>
    <n v="0"/>
  </r>
  <r>
    <s v="LD7510"/>
    <d v="2024-12-27T00:00:00"/>
    <x v="3"/>
    <s v="Monthly Newsletter"/>
    <s v="Desktop"/>
    <s v="North America"/>
    <s v="SQL"/>
    <m/>
    <m/>
    <m/>
    <n v="3"/>
    <x v="7"/>
    <n v="1"/>
    <n v="1"/>
    <n v="0"/>
  </r>
  <r>
    <s v="LD5710"/>
    <d v="2024-10-13T00:00:00"/>
    <x v="5"/>
    <s v="Blog SEO"/>
    <s v="Desktop"/>
    <s v="Europe"/>
    <s v="Lead"/>
    <m/>
    <m/>
    <m/>
    <n v="1"/>
    <x v="5"/>
    <n v="0"/>
    <n v="0"/>
    <n v="0"/>
  </r>
  <r>
    <s v="LD4265"/>
    <d v="2024-07-08T00:00:00"/>
    <x v="0"/>
    <s v="Facebook Ads"/>
    <s v="Mobile"/>
    <s v="Latin America"/>
    <s v="MQL"/>
    <m/>
    <m/>
    <m/>
    <n v="2"/>
    <x v="0"/>
    <n v="1"/>
    <n v="0"/>
    <n v="0"/>
  </r>
  <r>
    <s v="LD6683"/>
    <d v="2024-11-14T00:00:00"/>
    <x v="0"/>
    <s v="Instagram Ads"/>
    <s v="Desktop"/>
    <s v="Europe"/>
    <s v="MQL"/>
    <m/>
    <m/>
    <m/>
    <n v="2"/>
    <x v="2"/>
    <n v="1"/>
    <n v="0"/>
    <n v="0"/>
  </r>
  <r>
    <s v="LD6124"/>
    <d v="2024-10-01T00:00:00"/>
    <x v="3"/>
    <s v="Promo Blast"/>
    <s v="Desktop"/>
    <s v="North America"/>
    <s v="SQL"/>
    <m/>
    <m/>
    <m/>
    <n v="3"/>
    <x v="5"/>
    <n v="1"/>
    <n v="1"/>
    <n v="0"/>
  </r>
  <r>
    <s v="LD5271"/>
    <d v="2024-09-25T00:00:00"/>
    <x v="0"/>
    <s v="LinkedIn Ads"/>
    <s v="Mobile"/>
    <s v="North America"/>
    <s v="Lead"/>
    <m/>
    <m/>
    <m/>
    <n v="1"/>
    <x v="9"/>
    <n v="0"/>
    <n v="0"/>
    <n v="0"/>
  </r>
  <r>
    <s v="LD7472"/>
    <d v="2024-12-12T00:00:00"/>
    <x v="3"/>
    <s v="Monthly Newsletter"/>
    <s v="Desktop"/>
    <s v="North America"/>
    <s v="MQL"/>
    <m/>
    <m/>
    <m/>
    <n v="2"/>
    <x v="7"/>
    <n v="1"/>
    <n v="0"/>
    <n v="0"/>
  </r>
  <r>
    <s v="LD1007"/>
    <d v="2024-01-28T00:00:00"/>
    <x v="5"/>
    <s v="Landing Page SEO"/>
    <s v="Mobile"/>
    <s v="Europe"/>
    <s v="Customer"/>
    <n v="17"/>
    <s v="Pro"/>
    <n v="4532.6899999999996"/>
    <n v="4"/>
    <x v="3"/>
    <n v="1"/>
    <n v="1"/>
    <n v="1"/>
  </r>
  <r>
    <s v="LD3981"/>
    <d v="2024-06-08T00:00:00"/>
    <x v="4"/>
    <s v="Affiliate Program"/>
    <s v="Mobile"/>
    <s v="Asia Pacific"/>
    <s v="MQL"/>
    <m/>
    <m/>
    <m/>
    <n v="2"/>
    <x v="11"/>
    <n v="1"/>
    <n v="0"/>
    <n v="0"/>
  </r>
  <r>
    <s v="LD3488"/>
    <d v="2024-05-09T00:00:00"/>
    <x v="4"/>
    <s v="Affiliate Program"/>
    <s v="Desktop"/>
    <s v="North America"/>
    <s v="SQL"/>
    <m/>
    <m/>
    <m/>
    <n v="3"/>
    <x v="4"/>
    <n v="1"/>
    <n v="1"/>
    <n v="0"/>
  </r>
  <r>
    <s v="LD4362"/>
    <d v="2024-07-27T00:00:00"/>
    <x v="3"/>
    <s v="Monthly Newsletter"/>
    <s v="Desktop"/>
    <s v="North America"/>
    <s v="MQL"/>
    <m/>
    <m/>
    <m/>
    <n v="2"/>
    <x v="0"/>
    <n v="1"/>
    <n v="0"/>
    <n v="0"/>
  </r>
  <r>
    <s v="LD1679"/>
    <d v="2024-02-05T00:00:00"/>
    <x v="0"/>
    <s v="Facebook Ads"/>
    <s v="Desktop"/>
    <s v="North America"/>
    <s v="MQL"/>
    <m/>
    <m/>
    <m/>
    <n v="2"/>
    <x v="10"/>
    <n v="1"/>
    <n v="0"/>
    <n v="0"/>
  </r>
  <r>
    <s v="LD2944"/>
    <d v="2024-04-25T00:00:00"/>
    <x v="4"/>
    <s v="Partner Program"/>
    <s v="Desktop"/>
    <s v="Europe"/>
    <s v="MQL"/>
    <m/>
    <m/>
    <m/>
    <n v="2"/>
    <x v="1"/>
    <n v="1"/>
    <n v="0"/>
    <n v="0"/>
  </r>
  <r>
    <s v="LD6695"/>
    <d v="2024-11-22T00:00:00"/>
    <x v="3"/>
    <s v="Promo Blast"/>
    <s v="Mobile"/>
    <s v="Asia Pacific"/>
    <s v="MQL"/>
    <m/>
    <m/>
    <m/>
    <n v="2"/>
    <x v="2"/>
    <n v="1"/>
    <n v="0"/>
    <n v="0"/>
  </r>
  <r>
    <s v="LD7241"/>
    <d v="2024-12-03T00:00:00"/>
    <x v="1"/>
    <s v="Google Ads - Generic"/>
    <s v="Mobile"/>
    <s v="North America"/>
    <s v="Lead"/>
    <m/>
    <m/>
    <m/>
    <n v="1"/>
    <x v="7"/>
    <n v="0"/>
    <n v="0"/>
    <n v="0"/>
  </r>
  <r>
    <s v="LD6737"/>
    <d v="2024-11-27T00:00:00"/>
    <x v="3"/>
    <s v="Promo Blast"/>
    <s v="Mobile"/>
    <s v="Asia Pacific"/>
    <s v="MQL"/>
    <m/>
    <m/>
    <m/>
    <n v="2"/>
    <x v="2"/>
    <n v="1"/>
    <n v="0"/>
    <n v="0"/>
  </r>
  <r>
    <s v="LD6207"/>
    <d v="2024-10-26T00:00:00"/>
    <x v="4"/>
    <s v="Affiliate Program"/>
    <s v="Desktop"/>
    <s v="North America"/>
    <s v="SQL"/>
    <m/>
    <m/>
    <m/>
    <n v="3"/>
    <x v="5"/>
    <n v="1"/>
    <n v="1"/>
    <n v="0"/>
  </r>
  <r>
    <s v="LD7238"/>
    <d v="2024-12-01T00:00:00"/>
    <x v="1"/>
    <s v="Google Ads - Brand"/>
    <s v="Desktop"/>
    <s v="North America"/>
    <s v="MQL"/>
    <m/>
    <m/>
    <m/>
    <n v="2"/>
    <x v="7"/>
    <n v="1"/>
    <n v="0"/>
    <n v="0"/>
  </r>
  <r>
    <s v="LD3608"/>
    <d v="2024-06-11T00:00:00"/>
    <x v="5"/>
    <s v="Blog SEO"/>
    <s v="Mobile"/>
    <s v="Asia Pacific"/>
    <s v="Lead"/>
    <m/>
    <m/>
    <m/>
    <n v="1"/>
    <x v="11"/>
    <n v="0"/>
    <n v="0"/>
    <n v="0"/>
  </r>
  <r>
    <s v="LD7179"/>
    <d v="2024-12-03T00:00:00"/>
    <x v="5"/>
    <s v="Landing Page SEO"/>
    <s v="Desktop"/>
    <s v="North America"/>
    <s v="Lead"/>
    <m/>
    <m/>
    <m/>
    <n v="1"/>
    <x v="7"/>
    <n v="0"/>
    <n v="0"/>
    <n v="0"/>
  </r>
  <r>
    <s v="LD5337"/>
    <d v="2024-09-13T00:00:00"/>
    <x v="3"/>
    <s v="Monthly Newsletter"/>
    <s v="Desktop"/>
    <s v="Europe"/>
    <s v="MQL"/>
    <m/>
    <m/>
    <m/>
    <n v="2"/>
    <x v="9"/>
    <n v="1"/>
    <n v="0"/>
    <n v="0"/>
  </r>
  <r>
    <s v="LD7237"/>
    <d v="2024-12-18T00:00:00"/>
    <x v="1"/>
    <s v="Google Ads - Brand"/>
    <s v="Desktop"/>
    <s v="Europe"/>
    <s v="Lead"/>
    <m/>
    <m/>
    <m/>
    <n v="1"/>
    <x v="7"/>
    <n v="0"/>
    <n v="0"/>
    <n v="0"/>
  </r>
  <r>
    <s v="LD7158"/>
    <d v="2024-12-01T00:00:00"/>
    <x v="5"/>
    <s v="Blog SEO"/>
    <s v="Desktop"/>
    <s v="North America"/>
    <s v="Lead"/>
    <m/>
    <m/>
    <m/>
    <n v="1"/>
    <x v="7"/>
    <n v="0"/>
    <n v="0"/>
    <n v="0"/>
  </r>
  <r>
    <s v="LD2065"/>
    <d v="2024-03-21T00:00:00"/>
    <x v="1"/>
    <s v="Google Ads - Generic"/>
    <s v="Desktop"/>
    <s v="North America"/>
    <s v="Lead"/>
    <m/>
    <m/>
    <m/>
    <n v="1"/>
    <x v="8"/>
    <n v="0"/>
    <n v="0"/>
    <n v="0"/>
  </r>
  <r>
    <s v="LD3895"/>
    <d v="2024-06-17T00:00:00"/>
    <x v="3"/>
    <s v="Monthly Newsletter"/>
    <s v="Desktop"/>
    <s v="Asia Pacific"/>
    <s v="Lead"/>
    <m/>
    <m/>
    <m/>
    <n v="1"/>
    <x v="11"/>
    <n v="0"/>
    <n v="0"/>
    <n v="0"/>
  </r>
  <r>
    <s v="LD5302"/>
    <d v="2024-09-16T00:00:00"/>
    <x v="0"/>
    <s v="LinkedIn Ads"/>
    <s v="Desktop"/>
    <s v="North America"/>
    <s v="MQL"/>
    <m/>
    <m/>
    <m/>
    <n v="2"/>
    <x v="9"/>
    <n v="1"/>
    <n v="0"/>
    <n v="0"/>
  </r>
  <r>
    <s v="LD5439"/>
    <d v="2024-09-24T00:00:00"/>
    <x v="3"/>
    <s v="Monthly Newsletter"/>
    <s v="Mobile"/>
    <s v="North America"/>
    <s v="Lead"/>
    <m/>
    <m/>
    <m/>
    <n v="1"/>
    <x v="9"/>
    <n v="0"/>
    <n v="0"/>
    <n v="0"/>
  </r>
  <r>
    <s v="LD3243"/>
    <d v="2024-05-19T00:00:00"/>
    <x v="0"/>
    <s v="Instagram Ads"/>
    <s v="Tablet"/>
    <s v="Europe"/>
    <s v="Lead"/>
    <m/>
    <m/>
    <m/>
    <n v="1"/>
    <x v="4"/>
    <n v="0"/>
    <n v="0"/>
    <n v="0"/>
  </r>
  <r>
    <s v="LD2475"/>
    <d v="2024-03-27T00:00:00"/>
    <x v="2"/>
    <s v="Direct / Type-in"/>
    <s v="Desktop"/>
    <s v="North America"/>
    <s v="MQL"/>
    <m/>
    <m/>
    <m/>
    <n v="2"/>
    <x v="8"/>
    <n v="1"/>
    <n v="0"/>
    <n v="0"/>
  </r>
  <r>
    <s v="LD6028"/>
    <d v="2024-10-26T00:00:00"/>
    <x v="3"/>
    <s v="Promo Blast"/>
    <s v="Mobile"/>
    <s v="Europe"/>
    <s v="SQL"/>
    <m/>
    <m/>
    <m/>
    <n v="3"/>
    <x v="5"/>
    <n v="1"/>
    <n v="1"/>
    <n v="0"/>
  </r>
  <r>
    <s v="LD2890"/>
    <d v="2024-04-23T00:00:00"/>
    <x v="4"/>
    <s v="Partner Program"/>
    <s v="Desktop"/>
    <s v="Latin America"/>
    <s v="SQL"/>
    <m/>
    <m/>
    <m/>
    <n v="3"/>
    <x v="1"/>
    <n v="1"/>
    <n v="1"/>
    <n v="0"/>
  </r>
  <r>
    <s v="LD4436"/>
    <d v="2024-07-15T00:00:00"/>
    <x v="4"/>
    <s v="Affiliate Program"/>
    <s v="Tablet"/>
    <s v="Europe"/>
    <s v="MQL"/>
    <m/>
    <m/>
    <m/>
    <n v="2"/>
    <x v="0"/>
    <n v="1"/>
    <n v="0"/>
    <n v="0"/>
  </r>
  <r>
    <s v="LD5206"/>
    <d v="2024-09-22T00:00:00"/>
    <x v="1"/>
    <s v="Google Ads - Brand"/>
    <s v="Desktop"/>
    <s v="North America"/>
    <s v="MQL"/>
    <m/>
    <m/>
    <m/>
    <n v="2"/>
    <x v="9"/>
    <n v="1"/>
    <n v="0"/>
    <n v="0"/>
  </r>
  <r>
    <s v="LD2054"/>
    <d v="2024-03-03T00:00:00"/>
    <x v="1"/>
    <s v="Google Ads - Brand"/>
    <s v="Desktop"/>
    <s v="North America"/>
    <s v="Lead"/>
    <m/>
    <m/>
    <m/>
    <n v="1"/>
    <x v="8"/>
    <n v="0"/>
    <n v="0"/>
    <n v="0"/>
  </r>
  <r>
    <s v="LD3022"/>
    <d v="2024-05-06T00:00:00"/>
    <x v="5"/>
    <s v="Landing Page SEO"/>
    <s v="Desktop"/>
    <s v="North America"/>
    <s v="Lead"/>
    <m/>
    <m/>
    <m/>
    <n v="1"/>
    <x v="4"/>
    <n v="0"/>
    <n v="0"/>
    <n v="0"/>
  </r>
  <r>
    <s v="LD6338"/>
    <d v="2024-11-16T00:00:00"/>
    <x v="5"/>
    <s v="Landing Page SEO"/>
    <s v="Mobile"/>
    <s v="North America"/>
    <s v="MQL"/>
    <m/>
    <m/>
    <m/>
    <n v="2"/>
    <x v="2"/>
    <n v="1"/>
    <n v="0"/>
    <n v="0"/>
  </r>
  <r>
    <s v="LD6037"/>
    <d v="2024-10-19T00:00:00"/>
    <x v="3"/>
    <s v="Promo Blast"/>
    <s v="Desktop"/>
    <s v="North America"/>
    <s v="MQL"/>
    <m/>
    <m/>
    <m/>
    <n v="2"/>
    <x v="5"/>
    <n v="1"/>
    <n v="0"/>
    <n v="0"/>
  </r>
  <r>
    <s v="LD3659"/>
    <d v="2024-06-07T00:00:00"/>
    <x v="1"/>
    <s v="Google Ads - Generic"/>
    <s v="Mobile"/>
    <s v="Asia Pacific"/>
    <s v="MQL"/>
    <m/>
    <m/>
    <m/>
    <n v="2"/>
    <x v="11"/>
    <n v="1"/>
    <n v="0"/>
    <n v="0"/>
  </r>
  <r>
    <s v="LD3468"/>
    <d v="2024-05-11T00:00:00"/>
    <x v="4"/>
    <s v="Affiliate Program"/>
    <s v="Mobile"/>
    <s v="Europe"/>
    <s v="Lead"/>
    <m/>
    <m/>
    <m/>
    <n v="1"/>
    <x v="4"/>
    <n v="0"/>
    <n v="0"/>
    <n v="0"/>
  </r>
  <r>
    <s v="LD6912"/>
    <d v="2024-11-17T00:00:00"/>
    <x v="4"/>
    <s v="Affiliate Program"/>
    <s v="Mobile"/>
    <s v="Asia Pacific"/>
    <s v="MQL"/>
    <m/>
    <m/>
    <m/>
    <n v="2"/>
    <x v="2"/>
    <n v="1"/>
    <n v="0"/>
    <n v="0"/>
  </r>
  <r>
    <s v="LD2131"/>
    <d v="2024-03-17T00:00:00"/>
    <x v="1"/>
    <s v="Google Ads - Generic"/>
    <s v="Desktop"/>
    <s v="Europe"/>
    <s v="MQL"/>
    <m/>
    <m/>
    <m/>
    <n v="2"/>
    <x v="8"/>
    <n v="1"/>
    <n v="0"/>
    <n v="0"/>
  </r>
  <r>
    <s v="LD2462"/>
    <d v="2024-03-04T00:00:00"/>
    <x v="2"/>
    <s v="Direct / Type-in"/>
    <s v="Mobile"/>
    <s v="North America"/>
    <s v="SQL"/>
    <m/>
    <m/>
    <m/>
    <n v="3"/>
    <x v="8"/>
    <n v="1"/>
    <n v="1"/>
    <n v="0"/>
  </r>
  <r>
    <s v="LD7112"/>
    <d v="2024-12-15T00:00:00"/>
    <x v="5"/>
    <s v="Landing Page SEO"/>
    <s v="Mobile"/>
    <s v="North America"/>
    <s v="MQL"/>
    <m/>
    <m/>
    <m/>
    <n v="2"/>
    <x v="7"/>
    <n v="1"/>
    <n v="0"/>
    <n v="0"/>
  </r>
  <r>
    <s v="LD7139"/>
    <d v="2024-12-27T00:00:00"/>
    <x v="5"/>
    <s v="Blog SEO"/>
    <s v="Mobile"/>
    <s v="Europe"/>
    <s v="MQL"/>
    <m/>
    <m/>
    <m/>
    <n v="2"/>
    <x v="7"/>
    <n v="1"/>
    <n v="0"/>
    <n v="0"/>
  </r>
  <r>
    <s v="LD4366"/>
    <d v="2024-07-05T00:00:00"/>
    <x v="3"/>
    <s v="Promo Blast"/>
    <s v="Mobile"/>
    <s v="North America"/>
    <s v="SQL"/>
    <m/>
    <m/>
    <m/>
    <n v="3"/>
    <x v="0"/>
    <n v="1"/>
    <n v="1"/>
    <n v="0"/>
  </r>
  <r>
    <s v="LD7739"/>
    <d v="2024-12-28T00:00:00"/>
    <x v="2"/>
    <s v="Direct / Type-in"/>
    <s v="Desktop"/>
    <s v="North America"/>
    <s v="Lead"/>
    <m/>
    <m/>
    <m/>
    <n v="1"/>
    <x v="7"/>
    <n v="0"/>
    <n v="0"/>
    <n v="0"/>
  </r>
  <r>
    <s v="LD5145"/>
    <d v="2024-09-08T00:00:00"/>
    <x v="1"/>
    <s v="Google Ads - Brand"/>
    <s v="Desktop"/>
    <s v="Europe"/>
    <s v="MQL"/>
    <m/>
    <m/>
    <m/>
    <n v="2"/>
    <x v="9"/>
    <n v="1"/>
    <n v="0"/>
    <n v="0"/>
  </r>
  <r>
    <s v="LD4351"/>
    <d v="2024-07-25T00:00:00"/>
    <x v="3"/>
    <s v="Promo Blast"/>
    <s v="Desktop"/>
    <s v="North America"/>
    <s v="MQL"/>
    <m/>
    <m/>
    <m/>
    <n v="2"/>
    <x v="0"/>
    <n v="1"/>
    <n v="0"/>
    <n v="0"/>
  </r>
  <r>
    <s v="LD3969"/>
    <d v="2024-06-25T00:00:00"/>
    <x v="4"/>
    <s v="Affiliate Program"/>
    <s v="Mobile"/>
    <s v="North America"/>
    <s v="MQL"/>
    <m/>
    <m/>
    <m/>
    <n v="2"/>
    <x v="11"/>
    <n v="1"/>
    <n v="0"/>
    <n v="0"/>
  </r>
  <r>
    <s v="LD1223"/>
    <d v="2024-01-24T00:00:00"/>
    <x v="0"/>
    <s v="Instagram Ads"/>
    <s v="Mobile"/>
    <s v="Europe"/>
    <s v="SQL"/>
    <m/>
    <m/>
    <m/>
    <n v="3"/>
    <x v="3"/>
    <n v="1"/>
    <n v="1"/>
    <n v="0"/>
  </r>
  <r>
    <s v="LD7284"/>
    <d v="2024-12-22T00:00:00"/>
    <x v="1"/>
    <s v="Google Ads - Generic"/>
    <s v="Desktop"/>
    <s v="North America"/>
    <s v="Customer"/>
    <n v="23"/>
    <s v="Pro"/>
    <n v="4117.43"/>
    <n v="4"/>
    <x v="7"/>
    <n v="1"/>
    <n v="1"/>
    <n v="1"/>
  </r>
  <r>
    <s v="LD1049"/>
    <d v="2024-01-23T00:00:00"/>
    <x v="5"/>
    <s v="Landing Page SEO"/>
    <s v="Mobile"/>
    <s v="Latin America"/>
    <s v="Lead"/>
    <m/>
    <m/>
    <m/>
    <n v="1"/>
    <x v="3"/>
    <n v="0"/>
    <n v="0"/>
    <n v="0"/>
  </r>
  <r>
    <s v="LD1574"/>
    <d v="2024-02-25T00:00:00"/>
    <x v="1"/>
    <s v="Google Ads - Generic"/>
    <s v="Mobile"/>
    <s v="Europe"/>
    <s v="SQL"/>
    <m/>
    <m/>
    <m/>
    <n v="3"/>
    <x v="10"/>
    <n v="1"/>
    <n v="1"/>
    <n v="0"/>
  </r>
  <r>
    <s v="LD2237"/>
    <d v="2024-03-01T00:00:00"/>
    <x v="3"/>
    <s v="Monthly Newsletter"/>
    <s v="Mobile"/>
    <s v="Europe"/>
    <s v="Lead"/>
    <m/>
    <m/>
    <m/>
    <n v="1"/>
    <x v="8"/>
    <n v="0"/>
    <n v="0"/>
    <n v="0"/>
  </r>
  <r>
    <s v="LD6160"/>
    <d v="2024-10-03T00:00:00"/>
    <x v="4"/>
    <s v="Affiliate Program"/>
    <s v="Mobile"/>
    <s v="North America"/>
    <s v="MQL"/>
    <m/>
    <m/>
    <m/>
    <n v="2"/>
    <x v="5"/>
    <n v="1"/>
    <n v="0"/>
    <n v="0"/>
  </r>
  <r>
    <s v="LD4034"/>
    <d v="2024-06-26T00:00:00"/>
    <x v="2"/>
    <s v="Direct / Type-in"/>
    <s v="Desktop"/>
    <s v="Europe"/>
    <s v="MQL"/>
    <m/>
    <m/>
    <m/>
    <n v="2"/>
    <x v="11"/>
    <n v="1"/>
    <n v="0"/>
    <n v="0"/>
  </r>
  <r>
    <s v="LD7575"/>
    <d v="2024-12-13T00:00:00"/>
    <x v="3"/>
    <s v="Monthly Newsletter"/>
    <s v="Desktop"/>
    <s v="North America"/>
    <s v="Lead"/>
    <m/>
    <m/>
    <m/>
    <n v="1"/>
    <x v="7"/>
    <n v="0"/>
    <n v="0"/>
    <n v="0"/>
  </r>
  <r>
    <s v="LD4383"/>
    <d v="2024-07-24T00:00:00"/>
    <x v="4"/>
    <s v="Partner Program"/>
    <s v="Desktop"/>
    <s v="Asia Pacific"/>
    <s v="Customer"/>
    <n v="54"/>
    <s v="Pro"/>
    <n v="2084.67"/>
    <n v="4"/>
    <x v="0"/>
    <n v="1"/>
    <n v="1"/>
    <n v="1"/>
  </r>
  <r>
    <s v="LD7092"/>
    <d v="2024-11-20T00:00:00"/>
    <x v="2"/>
    <s v="Direct / Type-in"/>
    <s v="Desktop"/>
    <s v="North America"/>
    <s v="MQL"/>
    <m/>
    <m/>
    <m/>
    <n v="2"/>
    <x v="2"/>
    <n v="1"/>
    <n v="0"/>
    <n v="0"/>
  </r>
  <r>
    <s v="LD3283"/>
    <d v="2024-05-11T00:00:00"/>
    <x v="0"/>
    <s v="Facebook Ads"/>
    <s v="Tablet"/>
    <s v="Asia Pacific"/>
    <s v="Lead"/>
    <m/>
    <m/>
    <m/>
    <n v="1"/>
    <x v="4"/>
    <n v="0"/>
    <n v="0"/>
    <n v="0"/>
  </r>
  <r>
    <s v="LD5594"/>
    <d v="2024-09-26T00:00:00"/>
    <x v="2"/>
    <s v="Direct / Type-in"/>
    <s v="Mobile"/>
    <s v="Europe"/>
    <s v="Lead"/>
    <m/>
    <m/>
    <m/>
    <n v="1"/>
    <x v="9"/>
    <n v="0"/>
    <n v="0"/>
    <n v="0"/>
  </r>
  <r>
    <s v="LD1268"/>
    <d v="2024-01-03T00:00:00"/>
    <x v="3"/>
    <s v="Monthly Newsletter"/>
    <s v="Desktop"/>
    <s v="Asia Pacific"/>
    <s v="MQL"/>
    <m/>
    <m/>
    <m/>
    <n v="2"/>
    <x v="3"/>
    <n v="1"/>
    <n v="0"/>
    <n v="0"/>
  </r>
  <r>
    <s v="LD2105"/>
    <d v="2024-03-20T00:00:00"/>
    <x v="1"/>
    <s v="Google Ads - Brand"/>
    <s v="Desktop"/>
    <s v="Asia Pacific"/>
    <s v="Customer"/>
    <n v="51"/>
    <s v="Basic"/>
    <n v="862.57"/>
    <n v="4"/>
    <x v="8"/>
    <n v="1"/>
    <n v="1"/>
    <n v="1"/>
  </r>
  <r>
    <s v="LD3306"/>
    <d v="2024-05-15T00:00:00"/>
    <x v="3"/>
    <s v="Promo Blast"/>
    <s v="Mobile"/>
    <s v="North America"/>
    <s v="Customer"/>
    <n v="29"/>
    <s v="Enterprise"/>
    <n v="10826.78"/>
    <n v="4"/>
    <x v="4"/>
    <n v="1"/>
    <n v="1"/>
    <n v="1"/>
  </r>
  <r>
    <s v="LD6969"/>
    <d v="2024-11-09T00:00:00"/>
    <x v="4"/>
    <s v="Affiliate Program"/>
    <s v="Mobile"/>
    <s v="North America"/>
    <s v="Lead"/>
    <m/>
    <m/>
    <m/>
    <n v="1"/>
    <x v="2"/>
    <n v="0"/>
    <n v="0"/>
    <n v="0"/>
  </r>
  <r>
    <s v="LD6769"/>
    <d v="2024-11-23T00:00:00"/>
    <x v="3"/>
    <s v="Monthly Newsletter"/>
    <s v="Desktop"/>
    <s v="Europe"/>
    <s v="Lead"/>
    <m/>
    <m/>
    <m/>
    <n v="1"/>
    <x v="2"/>
    <n v="0"/>
    <n v="0"/>
    <n v="0"/>
  </r>
  <r>
    <s v="LD2936"/>
    <d v="2024-04-02T00:00:00"/>
    <x v="4"/>
    <s v="Partner Program"/>
    <s v="Desktop"/>
    <s v="North America"/>
    <s v="MQL"/>
    <m/>
    <m/>
    <m/>
    <n v="2"/>
    <x v="1"/>
    <n v="1"/>
    <n v="0"/>
    <n v="0"/>
  </r>
  <r>
    <s v="LD1387"/>
    <d v="2024-01-06T00:00:00"/>
    <x v="4"/>
    <s v="Partner Program"/>
    <s v="Desktop"/>
    <s v="Asia Pacific"/>
    <s v="MQL"/>
    <m/>
    <m/>
    <m/>
    <n v="2"/>
    <x v="3"/>
    <n v="1"/>
    <n v="0"/>
    <n v="0"/>
  </r>
  <r>
    <s v="LD2702"/>
    <d v="2024-04-08T00:00:00"/>
    <x v="0"/>
    <s v="Facebook Ads"/>
    <s v="Mobile"/>
    <s v="North America"/>
    <s v="SQL"/>
    <m/>
    <m/>
    <m/>
    <n v="3"/>
    <x v="1"/>
    <n v="1"/>
    <n v="1"/>
    <n v="0"/>
  </r>
  <r>
    <s v="LD2629"/>
    <d v="2024-04-05T00:00:00"/>
    <x v="1"/>
    <s v="Google Ads - Generic"/>
    <s v="Desktop"/>
    <s v="Asia Pacific"/>
    <s v="Lead"/>
    <m/>
    <m/>
    <m/>
    <n v="1"/>
    <x v="1"/>
    <n v="0"/>
    <n v="0"/>
    <n v="0"/>
  </r>
  <r>
    <s v="LD6284"/>
    <d v="2024-10-28T00:00:00"/>
    <x v="2"/>
    <s v="Direct / Type-in"/>
    <s v="Desktop"/>
    <s v="Latin America"/>
    <s v="Lead"/>
    <m/>
    <m/>
    <m/>
    <n v="1"/>
    <x v="5"/>
    <n v="0"/>
    <n v="0"/>
    <n v="0"/>
  </r>
  <r>
    <s v="LD3715"/>
    <d v="2024-06-26T00:00:00"/>
    <x v="1"/>
    <s v="Google Ads - Brand"/>
    <s v="Desktop"/>
    <s v="Europe"/>
    <s v="MQL"/>
    <m/>
    <m/>
    <m/>
    <n v="2"/>
    <x v="11"/>
    <n v="1"/>
    <n v="0"/>
    <n v="0"/>
  </r>
  <r>
    <s v="LD7704"/>
    <d v="2024-12-18T00:00:00"/>
    <x v="4"/>
    <s v="Affiliate Program"/>
    <s v="Desktop"/>
    <s v="Europe"/>
    <s v="MQL"/>
    <m/>
    <m/>
    <m/>
    <n v="2"/>
    <x v="7"/>
    <n v="1"/>
    <n v="0"/>
    <n v="0"/>
  </r>
  <r>
    <s v="LD6831"/>
    <d v="2024-11-20T00:00:00"/>
    <x v="3"/>
    <s v="Promo Blast"/>
    <s v="Desktop"/>
    <s v="Europe"/>
    <s v="MQL"/>
    <m/>
    <m/>
    <m/>
    <n v="2"/>
    <x v="2"/>
    <n v="1"/>
    <n v="0"/>
    <n v="0"/>
  </r>
  <r>
    <s v="LD6932"/>
    <d v="2024-11-19T00:00:00"/>
    <x v="4"/>
    <s v="Partner Program"/>
    <s v="Desktop"/>
    <s v="Asia Pacific"/>
    <s v="Customer"/>
    <n v="74"/>
    <s v="Basic"/>
    <n v="1429.09"/>
    <n v="4"/>
    <x v="2"/>
    <n v="1"/>
    <n v="1"/>
    <n v="1"/>
  </r>
  <r>
    <s v="LD2564"/>
    <d v="2024-04-10T00:00:00"/>
    <x v="1"/>
    <s v="Google Ads - Generic"/>
    <s v="Desktop"/>
    <s v="North America"/>
    <s v="Lead"/>
    <m/>
    <m/>
    <m/>
    <n v="1"/>
    <x v="1"/>
    <n v="0"/>
    <n v="0"/>
    <n v="0"/>
  </r>
  <r>
    <s v="LD5989"/>
    <d v="2024-10-04T00:00:00"/>
    <x v="3"/>
    <s v="Promo Blast"/>
    <s v="Mobile"/>
    <s v="North America"/>
    <s v="Customer"/>
    <n v="7"/>
    <s v="Pro"/>
    <n v="4149.96"/>
    <n v="4"/>
    <x v="5"/>
    <n v="1"/>
    <n v="1"/>
    <n v="1"/>
  </r>
  <r>
    <s v="LD3761"/>
    <d v="2024-06-17T00:00:00"/>
    <x v="0"/>
    <s v="LinkedIn Ads"/>
    <s v="Desktop"/>
    <s v="Europe"/>
    <s v="Lead"/>
    <m/>
    <m/>
    <m/>
    <n v="1"/>
    <x v="11"/>
    <n v="0"/>
    <n v="0"/>
    <n v="0"/>
  </r>
  <r>
    <s v="LD4190"/>
    <d v="2024-07-26T00:00:00"/>
    <x v="1"/>
    <s v="Google Ads - Brand"/>
    <s v="Desktop"/>
    <s v="Europe"/>
    <s v="MQL"/>
    <m/>
    <m/>
    <m/>
    <n v="2"/>
    <x v="0"/>
    <n v="1"/>
    <n v="0"/>
    <n v="0"/>
  </r>
  <r>
    <s v="LD5450"/>
    <d v="2024-09-25T00:00:00"/>
    <x v="4"/>
    <s v="Affiliate Program"/>
    <s v="Desktop"/>
    <s v="Latin America"/>
    <s v="SQL"/>
    <m/>
    <m/>
    <m/>
    <n v="3"/>
    <x v="9"/>
    <n v="1"/>
    <n v="1"/>
    <n v="0"/>
  </r>
  <r>
    <s v="LD1210"/>
    <d v="2024-01-14T00:00:00"/>
    <x v="0"/>
    <s v="LinkedIn Ads"/>
    <s v="Desktop"/>
    <s v="North America"/>
    <s v="Lead"/>
    <m/>
    <m/>
    <m/>
    <n v="1"/>
    <x v="3"/>
    <n v="0"/>
    <n v="0"/>
    <n v="0"/>
  </r>
  <r>
    <s v="LD1910"/>
    <d v="2024-02-20T00:00:00"/>
    <x v="2"/>
    <s v="Direct / Type-in"/>
    <s v="Mobile"/>
    <s v="Europe"/>
    <s v="Lead"/>
    <m/>
    <m/>
    <m/>
    <n v="1"/>
    <x v="10"/>
    <n v="0"/>
    <n v="0"/>
    <n v="0"/>
  </r>
  <r>
    <s v="LD2290"/>
    <d v="2024-03-15T00:00:00"/>
    <x v="3"/>
    <s v="Monthly Newsletter"/>
    <s v="Desktop"/>
    <s v="Europe"/>
    <s v="MQL"/>
    <m/>
    <m/>
    <m/>
    <n v="2"/>
    <x v="8"/>
    <n v="1"/>
    <n v="0"/>
    <n v="0"/>
  </r>
  <r>
    <s v="LD6121"/>
    <d v="2024-10-20T00:00:00"/>
    <x v="3"/>
    <s v="Monthly Newsletter"/>
    <s v="Tablet"/>
    <s v="North America"/>
    <s v="Lead"/>
    <m/>
    <m/>
    <m/>
    <n v="1"/>
    <x v="5"/>
    <n v="0"/>
    <n v="0"/>
    <n v="0"/>
  </r>
  <r>
    <s v="LD2867"/>
    <d v="2024-04-10T00:00:00"/>
    <x v="3"/>
    <s v="Promo Blast"/>
    <s v="Desktop"/>
    <s v="Europe"/>
    <s v="Lead"/>
    <m/>
    <m/>
    <m/>
    <n v="1"/>
    <x v="1"/>
    <n v="0"/>
    <n v="0"/>
    <n v="0"/>
  </r>
  <r>
    <s v="LD2843"/>
    <d v="2024-04-21T00:00:00"/>
    <x v="3"/>
    <s v="Promo Blast"/>
    <s v="Desktop"/>
    <s v="North America"/>
    <s v="Lead"/>
    <m/>
    <m/>
    <m/>
    <n v="1"/>
    <x v="1"/>
    <n v="0"/>
    <n v="0"/>
    <n v="0"/>
  </r>
  <r>
    <s v="LD3498"/>
    <d v="2024-05-14T00:00:00"/>
    <x v="4"/>
    <s v="Partner Program"/>
    <s v="Desktop"/>
    <s v="North America"/>
    <s v="MQL"/>
    <m/>
    <m/>
    <m/>
    <n v="2"/>
    <x v="4"/>
    <n v="1"/>
    <n v="0"/>
    <n v="0"/>
  </r>
  <r>
    <s v="LD6739"/>
    <d v="2024-11-04T00:00:00"/>
    <x v="3"/>
    <s v="Monthly Newsletter"/>
    <s v="Mobile"/>
    <s v="North America"/>
    <s v="Lead"/>
    <m/>
    <m/>
    <m/>
    <n v="1"/>
    <x v="2"/>
    <n v="0"/>
    <n v="0"/>
    <n v="0"/>
  </r>
  <r>
    <s v="LD1105"/>
    <d v="2024-01-15T00:00:00"/>
    <x v="1"/>
    <s v="Google Ads - Brand"/>
    <s v="Desktop"/>
    <s v="Europe"/>
    <s v="Lead"/>
    <m/>
    <m/>
    <m/>
    <n v="1"/>
    <x v="3"/>
    <n v="0"/>
    <n v="0"/>
    <n v="0"/>
  </r>
  <r>
    <s v="LD1959"/>
    <d v="2024-03-02T00:00:00"/>
    <x v="5"/>
    <s v="Blog SEO"/>
    <s v="Mobile"/>
    <s v="Asia Pacific"/>
    <s v="MQL"/>
    <m/>
    <m/>
    <m/>
    <n v="2"/>
    <x v="8"/>
    <n v="1"/>
    <n v="0"/>
    <n v="0"/>
  </r>
  <r>
    <s v="LD2794"/>
    <d v="2024-04-18T00:00:00"/>
    <x v="3"/>
    <s v="Monthly Newsletter"/>
    <s v="Desktop"/>
    <s v="Asia Pacific"/>
    <s v="SQL"/>
    <m/>
    <m/>
    <m/>
    <n v="3"/>
    <x v="1"/>
    <n v="1"/>
    <n v="1"/>
    <n v="0"/>
  </r>
  <r>
    <s v="LD3089"/>
    <d v="2024-05-01T00:00:00"/>
    <x v="5"/>
    <s v="Blog SEO"/>
    <s v="Mobile"/>
    <s v="North America"/>
    <s v="MQL"/>
    <m/>
    <m/>
    <m/>
    <n v="2"/>
    <x v="4"/>
    <n v="1"/>
    <n v="0"/>
    <n v="0"/>
  </r>
  <r>
    <s v="LD3703"/>
    <d v="2024-06-27T00:00:00"/>
    <x v="1"/>
    <s v="Google Ads - Generic"/>
    <s v="Desktop"/>
    <s v="Latin America"/>
    <s v="MQL"/>
    <m/>
    <m/>
    <m/>
    <n v="2"/>
    <x v="11"/>
    <n v="1"/>
    <n v="0"/>
    <n v="0"/>
  </r>
  <r>
    <s v="LD7773"/>
    <d v="2024-12-26T00:00:00"/>
    <x v="2"/>
    <s v="Direct / Type-in"/>
    <s v="Desktop"/>
    <s v="Asia Pacific"/>
    <s v="MQL"/>
    <m/>
    <m/>
    <m/>
    <n v="2"/>
    <x v="7"/>
    <n v="1"/>
    <n v="0"/>
    <n v="0"/>
  </r>
  <r>
    <s v="LD1332"/>
    <d v="2024-01-08T00:00:00"/>
    <x v="3"/>
    <s v="Promo Blast"/>
    <s v="Mobile"/>
    <s v="Europe"/>
    <s v="Lead"/>
    <m/>
    <m/>
    <m/>
    <n v="1"/>
    <x v="3"/>
    <n v="0"/>
    <n v="0"/>
    <n v="0"/>
  </r>
  <r>
    <s v="LD6869"/>
    <d v="2024-11-10T00:00:00"/>
    <x v="3"/>
    <s v="Promo Blast"/>
    <s v="Mobile"/>
    <s v="Europe"/>
    <s v="Lead"/>
    <m/>
    <m/>
    <m/>
    <n v="1"/>
    <x v="2"/>
    <n v="0"/>
    <n v="0"/>
    <n v="0"/>
  </r>
  <r>
    <s v="LD7032"/>
    <d v="2024-11-01T00:00:00"/>
    <x v="2"/>
    <s v="Direct / Type-in"/>
    <s v="Mobile"/>
    <s v="North America"/>
    <s v="SQL"/>
    <m/>
    <m/>
    <m/>
    <n v="3"/>
    <x v="2"/>
    <n v="1"/>
    <n v="1"/>
    <n v="0"/>
  </r>
  <r>
    <s v="LD5678"/>
    <d v="2024-10-12T00:00:00"/>
    <x v="5"/>
    <s v="Landing Page SEO"/>
    <s v="Mobile"/>
    <s v="Asia Pacific"/>
    <s v="Lead"/>
    <m/>
    <m/>
    <m/>
    <n v="1"/>
    <x v="5"/>
    <n v="0"/>
    <n v="0"/>
    <n v="0"/>
  </r>
  <r>
    <s v="LD3460"/>
    <d v="2024-05-21T00:00:00"/>
    <x v="4"/>
    <s v="Partner Program"/>
    <s v="Desktop"/>
    <s v="North America"/>
    <s v="MQL"/>
    <m/>
    <m/>
    <m/>
    <n v="2"/>
    <x v="4"/>
    <n v="1"/>
    <n v="0"/>
    <n v="0"/>
  </r>
  <r>
    <s v="LD2775"/>
    <d v="2024-04-16T00:00:00"/>
    <x v="3"/>
    <s v="Promo Blast"/>
    <s v="Tablet"/>
    <s v="North America"/>
    <s v="Customer"/>
    <n v="52"/>
    <s v="Basic"/>
    <n v="833.74"/>
    <n v="4"/>
    <x v="1"/>
    <n v="1"/>
    <n v="1"/>
    <n v="1"/>
  </r>
  <r>
    <s v="LD5768"/>
    <d v="2024-10-19T00:00:00"/>
    <x v="1"/>
    <s v="Google Ads - Generic"/>
    <s v="Mobile"/>
    <s v="North America"/>
    <s v="MQL"/>
    <m/>
    <m/>
    <m/>
    <n v="2"/>
    <x v="5"/>
    <n v="1"/>
    <n v="0"/>
    <n v="0"/>
  </r>
  <r>
    <s v="LD5916"/>
    <d v="2024-10-06T00:00:00"/>
    <x v="0"/>
    <s v="Instagram Ads"/>
    <s v="Desktop"/>
    <s v="Europe"/>
    <s v="MQL"/>
    <m/>
    <m/>
    <m/>
    <n v="2"/>
    <x v="5"/>
    <n v="1"/>
    <n v="0"/>
    <n v="0"/>
  </r>
  <r>
    <s v="LD6447"/>
    <d v="2024-11-14T00:00:00"/>
    <x v="5"/>
    <s v="Blog SEO"/>
    <s v="Mobile"/>
    <s v="Asia Pacific"/>
    <s v="MQL"/>
    <m/>
    <m/>
    <m/>
    <n v="2"/>
    <x v="2"/>
    <n v="1"/>
    <n v="0"/>
    <n v="0"/>
  </r>
  <r>
    <s v="LD3687"/>
    <d v="2024-06-11T00:00:00"/>
    <x v="1"/>
    <s v="Google Ads - Brand"/>
    <s v="Desktop"/>
    <s v="Europe"/>
    <s v="Lead"/>
    <m/>
    <m/>
    <m/>
    <n v="1"/>
    <x v="11"/>
    <n v="0"/>
    <n v="0"/>
    <n v="0"/>
  </r>
  <r>
    <s v="LD6507"/>
    <d v="2024-11-23T00:00:00"/>
    <x v="1"/>
    <s v="Google Ads - Brand"/>
    <s v="Desktop"/>
    <s v="North America"/>
    <s v="MQL"/>
    <m/>
    <m/>
    <m/>
    <n v="2"/>
    <x v="2"/>
    <n v="1"/>
    <n v="0"/>
    <n v="0"/>
  </r>
  <r>
    <s v="LD5306"/>
    <d v="2024-09-22T00:00:00"/>
    <x v="3"/>
    <s v="Promo Blast"/>
    <s v="Tablet"/>
    <s v="North America"/>
    <s v="Lead"/>
    <m/>
    <m/>
    <m/>
    <n v="1"/>
    <x v="9"/>
    <n v="0"/>
    <n v="0"/>
    <n v="0"/>
  </r>
  <r>
    <s v="LD5640"/>
    <d v="2024-10-25T00:00:00"/>
    <x v="5"/>
    <s v="Landing Page SEO"/>
    <s v="Mobile"/>
    <s v="Europe"/>
    <s v="Lead"/>
    <m/>
    <m/>
    <m/>
    <n v="1"/>
    <x v="5"/>
    <n v="0"/>
    <n v="0"/>
    <n v="0"/>
  </r>
  <r>
    <s v="LD3898"/>
    <d v="2024-06-24T00:00:00"/>
    <x v="3"/>
    <s v="Monthly Newsletter"/>
    <s v="Desktop"/>
    <s v="North America"/>
    <s v="Lead"/>
    <m/>
    <m/>
    <m/>
    <n v="1"/>
    <x v="11"/>
    <n v="0"/>
    <n v="0"/>
    <n v="0"/>
  </r>
  <r>
    <s v="LD4627"/>
    <d v="2024-08-20T00:00:00"/>
    <x v="1"/>
    <s v="Google Ads - Generic"/>
    <s v="Desktop"/>
    <s v="Europe"/>
    <s v="SQL"/>
    <m/>
    <m/>
    <m/>
    <n v="3"/>
    <x v="6"/>
    <n v="1"/>
    <n v="1"/>
    <n v="0"/>
  </r>
  <r>
    <s v="LD2711"/>
    <d v="2024-04-19T00:00:00"/>
    <x v="0"/>
    <s v="Instagram Ads"/>
    <s v="Desktop"/>
    <s v="Europe"/>
    <s v="Lead"/>
    <m/>
    <m/>
    <m/>
    <n v="1"/>
    <x v="1"/>
    <n v="0"/>
    <n v="0"/>
    <n v="0"/>
  </r>
  <r>
    <s v="LD6181"/>
    <d v="2024-10-26T00:00:00"/>
    <x v="4"/>
    <s v="Affiliate Program"/>
    <s v="Desktop"/>
    <s v="North America"/>
    <s v="Lead"/>
    <m/>
    <m/>
    <m/>
    <n v="1"/>
    <x v="5"/>
    <n v="0"/>
    <n v="0"/>
    <n v="0"/>
  </r>
  <r>
    <s v="LD3479"/>
    <d v="2024-05-27T00:00:00"/>
    <x v="4"/>
    <s v="Affiliate Program"/>
    <s v="Desktop"/>
    <s v="North America"/>
    <s v="Lead"/>
    <m/>
    <m/>
    <m/>
    <n v="1"/>
    <x v="4"/>
    <n v="0"/>
    <n v="0"/>
    <n v="0"/>
  </r>
  <r>
    <s v="LD5831"/>
    <d v="2024-10-21T00:00:00"/>
    <x v="1"/>
    <s v="Google Ads - Brand"/>
    <s v="Desktop"/>
    <s v="Asia Pacific"/>
    <s v="Lead"/>
    <m/>
    <m/>
    <m/>
    <n v="1"/>
    <x v="5"/>
    <n v="0"/>
    <n v="0"/>
    <n v="0"/>
  </r>
  <r>
    <s v="LD2367"/>
    <d v="2024-03-04T00:00:00"/>
    <x v="4"/>
    <s v="Affiliate Program"/>
    <s v="Tablet"/>
    <s v="North America"/>
    <s v="MQL"/>
    <m/>
    <m/>
    <m/>
    <n v="2"/>
    <x v="8"/>
    <n v="1"/>
    <n v="0"/>
    <n v="0"/>
  </r>
  <r>
    <s v="LD1174"/>
    <d v="2024-01-10T00:00:00"/>
    <x v="1"/>
    <s v="Google Ads - Brand"/>
    <s v="Mobile"/>
    <s v="North America"/>
    <s v="Lead"/>
    <m/>
    <m/>
    <m/>
    <n v="1"/>
    <x v="3"/>
    <n v="0"/>
    <n v="0"/>
    <n v="0"/>
  </r>
  <r>
    <s v="LD1859"/>
    <d v="2024-02-25T00:00:00"/>
    <x v="4"/>
    <s v="Affiliate Program"/>
    <s v="Desktop"/>
    <s v="Europe"/>
    <s v="Lead"/>
    <m/>
    <m/>
    <m/>
    <n v="1"/>
    <x v="10"/>
    <n v="0"/>
    <n v="0"/>
    <n v="0"/>
  </r>
  <r>
    <s v="LD5985"/>
    <d v="2024-10-25T00:00:00"/>
    <x v="3"/>
    <s v="Promo Blast"/>
    <s v="Mobile"/>
    <s v="Latin America"/>
    <s v="SQL"/>
    <m/>
    <m/>
    <m/>
    <n v="3"/>
    <x v="5"/>
    <n v="1"/>
    <n v="1"/>
    <n v="0"/>
  </r>
  <r>
    <s v="LD5996"/>
    <d v="2024-10-27T00:00:00"/>
    <x v="3"/>
    <s v="Monthly Newsletter"/>
    <s v="Mobile"/>
    <s v="Europe"/>
    <s v="Customer"/>
    <n v="17"/>
    <s v="Enterprise"/>
    <n v="19384.38"/>
    <n v="4"/>
    <x v="5"/>
    <n v="1"/>
    <n v="1"/>
    <n v="1"/>
  </r>
  <r>
    <s v="LD4525"/>
    <d v="2024-08-04T00:00:00"/>
    <x v="5"/>
    <s v="Landing Page SEO"/>
    <s v="Desktop"/>
    <s v="North America"/>
    <s v="Lead"/>
    <m/>
    <m/>
    <m/>
    <n v="1"/>
    <x v="6"/>
    <n v="0"/>
    <n v="0"/>
    <n v="0"/>
  </r>
  <r>
    <s v="LD4322"/>
    <d v="2024-07-22T00:00:00"/>
    <x v="3"/>
    <s v="Monthly Newsletter"/>
    <s v="Desktop"/>
    <s v="Asia Pacific"/>
    <s v="MQL"/>
    <m/>
    <m/>
    <m/>
    <n v="2"/>
    <x v="0"/>
    <n v="1"/>
    <n v="0"/>
    <n v="0"/>
  </r>
  <r>
    <s v="LD4732"/>
    <d v="2024-08-20T00:00:00"/>
    <x v="0"/>
    <s v="Facebook Ads"/>
    <s v="Mobile"/>
    <s v="Europe"/>
    <s v="Lead"/>
    <m/>
    <m/>
    <m/>
    <n v="1"/>
    <x v="6"/>
    <n v="0"/>
    <n v="0"/>
    <n v="0"/>
  </r>
  <r>
    <s v="LD6913"/>
    <d v="2024-11-24T00:00:00"/>
    <x v="4"/>
    <s v="Affiliate Program"/>
    <s v="Tablet"/>
    <s v="North America"/>
    <s v="SQL"/>
    <m/>
    <m/>
    <m/>
    <n v="3"/>
    <x v="2"/>
    <n v="1"/>
    <n v="1"/>
    <n v="0"/>
  </r>
  <r>
    <s v="LD5242"/>
    <d v="2024-09-02T00:00:00"/>
    <x v="0"/>
    <s v="Instagram Ads"/>
    <s v="Mobile"/>
    <s v="Asia Pacific"/>
    <s v="Lead"/>
    <m/>
    <m/>
    <m/>
    <n v="1"/>
    <x v="9"/>
    <n v="0"/>
    <n v="0"/>
    <n v="0"/>
  </r>
  <r>
    <s v="LD4690"/>
    <d v="2024-08-21T00:00:00"/>
    <x v="0"/>
    <s v="Instagram Ads"/>
    <s v="Desktop"/>
    <s v="Latin America"/>
    <s v="MQL"/>
    <m/>
    <m/>
    <m/>
    <n v="2"/>
    <x v="6"/>
    <n v="1"/>
    <n v="0"/>
    <n v="0"/>
  </r>
  <r>
    <s v="LD2953"/>
    <d v="2024-04-15T00:00:00"/>
    <x v="2"/>
    <s v="Direct / Type-in"/>
    <s v="Desktop"/>
    <s v="North America"/>
    <s v="MQL"/>
    <m/>
    <m/>
    <m/>
    <n v="2"/>
    <x v="1"/>
    <n v="1"/>
    <n v="0"/>
    <n v="0"/>
  </r>
  <r>
    <s v="LD4312"/>
    <d v="2024-07-25T00:00:00"/>
    <x v="3"/>
    <s v="Monthly Newsletter"/>
    <s v="Desktop"/>
    <s v="North America"/>
    <s v="Lead"/>
    <m/>
    <m/>
    <m/>
    <n v="1"/>
    <x v="0"/>
    <n v="0"/>
    <n v="0"/>
    <n v="0"/>
  </r>
  <r>
    <s v="LD3493"/>
    <d v="2024-05-16T00:00:00"/>
    <x v="4"/>
    <s v="Affiliate Program"/>
    <s v="Mobile"/>
    <s v="Europe"/>
    <s v="SQL"/>
    <m/>
    <m/>
    <m/>
    <n v="3"/>
    <x v="4"/>
    <n v="1"/>
    <n v="1"/>
    <n v="0"/>
  </r>
  <r>
    <s v="LD5726"/>
    <d v="2024-10-22T00:00:00"/>
    <x v="5"/>
    <s v="Landing Page SEO"/>
    <s v="Desktop"/>
    <s v="Europe"/>
    <s v="Lead"/>
    <m/>
    <m/>
    <m/>
    <n v="1"/>
    <x v="5"/>
    <n v="0"/>
    <n v="0"/>
    <n v="0"/>
  </r>
  <r>
    <s v="LD7461"/>
    <d v="2024-12-09T00:00:00"/>
    <x v="3"/>
    <s v="Monthly Newsletter"/>
    <s v="Mobile"/>
    <s v="Europe"/>
    <s v="MQL"/>
    <m/>
    <m/>
    <m/>
    <n v="2"/>
    <x v="7"/>
    <n v="1"/>
    <n v="0"/>
    <n v="0"/>
  </r>
  <r>
    <s v="LD3037"/>
    <d v="2024-05-21T00:00:00"/>
    <x v="5"/>
    <s v="Landing Page SEO"/>
    <s v="Desktop"/>
    <s v="North America"/>
    <s v="Lead"/>
    <m/>
    <m/>
    <m/>
    <n v="1"/>
    <x v="4"/>
    <n v="0"/>
    <n v="0"/>
    <n v="0"/>
  </r>
  <r>
    <s v="LD6317"/>
    <d v="2024-10-18T00:00:00"/>
    <x v="2"/>
    <s v="Direct / Type-in"/>
    <s v="Mobile"/>
    <s v="Europe"/>
    <s v="Lead"/>
    <m/>
    <m/>
    <m/>
    <n v="1"/>
    <x v="5"/>
    <n v="0"/>
    <n v="0"/>
    <n v="0"/>
  </r>
  <r>
    <s v="LD7064"/>
    <d v="2024-11-22T00:00:00"/>
    <x v="2"/>
    <s v="Direct / Type-in"/>
    <s v="Desktop"/>
    <s v="North America"/>
    <s v="Lead"/>
    <m/>
    <m/>
    <m/>
    <n v="1"/>
    <x v="2"/>
    <n v="0"/>
    <n v="0"/>
    <n v="0"/>
  </r>
  <r>
    <s v="LD5975"/>
    <d v="2024-10-02T00:00:00"/>
    <x v="3"/>
    <s v="Promo Blast"/>
    <s v="Desktop"/>
    <s v="Latin America"/>
    <s v="MQL"/>
    <m/>
    <m/>
    <m/>
    <n v="2"/>
    <x v="5"/>
    <n v="1"/>
    <n v="0"/>
    <n v="0"/>
  </r>
  <r>
    <s v="LD4404"/>
    <d v="2024-07-04T00:00:00"/>
    <x v="4"/>
    <s v="Affiliate Program"/>
    <s v="Mobile"/>
    <s v="North America"/>
    <s v="Lead"/>
    <m/>
    <m/>
    <m/>
    <n v="1"/>
    <x v="0"/>
    <n v="0"/>
    <n v="0"/>
    <n v="0"/>
  </r>
  <r>
    <s v="LD1019"/>
    <d v="2024-01-01T00:00:00"/>
    <x v="5"/>
    <s v="Blog SEO"/>
    <s v="Mobile"/>
    <s v="Europe"/>
    <s v="MQL"/>
    <m/>
    <m/>
    <m/>
    <n v="2"/>
    <x v="3"/>
    <n v="1"/>
    <n v="0"/>
    <n v="0"/>
  </r>
  <r>
    <s v="LD6902"/>
    <d v="2024-11-16T00:00:00"/>
    <x v="4"/>
    <s v="Affiliate Program"/>
    <s v="Desktop"/>
    <s v="North America"/>
    <s v="SQL"/>
    <m/>
    <m/>
    <m/>
    <n v="3"/>
    <x v="2"/>
    <n v="1"/>
    <n v="1"/>
    <n v="0"/>
  </r>
  <r>
    <s v="LD1001"/>
    <d v="2024-01-21T00:00:00"/>
    <x v="5"/>
    <s v="Blog SEO"/>
    <s v="Desktop"/>
    <s v="North America"/>
    <s v="MQL"/>
    <m/>
    <m/>
    <m/>
    <n v="2"/>
    <x v="3"/>
    <n v="1"/>
    <n v="0"/>
    <n v="0"/>
  </r>
  <r>
    <s v="LD3175"/>
    <d v="2024-05-24T00:00:00"/>
    <x v="1"/>
    <s v="Google Ads - Generic"/>
    <s v="Mobile"/>
    <s v="Europe"/>
    <s v="MQL"/>
    <m/>
    <m/>
    <m/>
    <n v="2"/>
    <x v="4"/>
    <n v="1"/>
    <n v="0"/>
    <n v="0"/>
  </r>
  <r>
    <s v="LD2357"/>
    <d v="2024-03-22T00:00:00"/>
    <x v="4"/>
    <s v="Partner Program"/>
    <s v="Desktop"/>
    <s v="Europe"/>
    <s v="Lead"/>
    <m/>
    <m/>
    <m/>
    <n v="1"/>
    <x v="8"/>
    <n v="0"/>
    <n v="0"/>
    <n v="0"/>
  </r>
  <r>
    <s v="LD6046"/>
    <d v="2024-10-28T00:00:00"/>
    <x v="3"/>
    <s v="Monthly Newsletter"/>
    <s v="Mobile"/>
    <s v="North America"/>
    <s v="MQL"/>
    <m/>
    <m/>
    <m/>
    <n v="2"/>
    <x v="5"/>
    <n v="1"/>
    <n v="0"/>
    <n v="0"/>
  </r>
  <r>
    <s v="LD5085"/>
    <d v="2024-09-07T00:00:00"/>
    <x v="5"/>
    <s v="Blog SEO"/>
    <s v="Desktop"/>
    <s v="Asia Pacific"/>
    <s v="SQL"/>
    <m/>
    <m/>
    <m/>
    <n v="3"/>
    <x v="9"/>
    <n v="1"/>
    <n v="1"/>
    <n v="0"/>
  </r>
  <r>
    <s v="LD3827"/>
    <d v="2024-06-22T00:00:00"/>
    <x v="3"/>
    <s v="Monthly Newsletter"/>
    <s v="Desktop"/>
    <s v="Europe"/>
    <s v="Lead"/>
    <m/>
    <m/>
    <m/>
    <n v="1"/>
    <x v="11"/>
    <n v="0"/>
    <n v="0"/>
    <n v="0"/>
  </r>
  <r>
    <s v="LD5057"/>
    <d v="2024-09-04T00:00:00"/>
    <x v="5"/>
    <s v="Landing Page SEO"/>
    <s v="Desktop"/>
    <s v="Asia Pacific"/>
    <s v="SQL"/>
    <m/>
    <m/>
    <m/>
    <n v="3"/>
    <x v="9"/>
    <n v="1"/>
    <n v="1"/>
    <n v="0"/>
  </r>
  <r>
    <s v="LD1397"/>
    <d v="2024-01-23T00:00:00"/>
    <x v="4"/>
    <s v="Affiliate Program"/>
    <s v="Desktop"/>
    <s v="Asia Pacific"/>
    <s v="Lead"/>
    <m/>
    <m/>
    <m/>
    <n v="1"/>
    <x v="3"/>
    <n v="0"/>
    <n v="0"/>
    <n v="0"/>
  </r>
  <r>
    <s v="LD6098"/>
    <d v="2024-10-15T00:00:00"/>
    <x v="3"/>
    <s v="Promo Blast"/>
    <s v="Mobile"/>
    <s v="Asia Pacific"/>
    <s v="Lead"/>
    <m/>
    <m/>
    <m/>
    <n v="1"/>
    <x v="5"/>
    <n v="0"/>
    <n v="0"/>
    <n v="0"/>
  </r>
  <r>
    <s v="LD4113"/>
    <d v="2024-07-06T00:00:00"/>
    <x v="5"/>
    <s v="Landing Page SEO"/>
    <s v="Tablet"/>
    <s v="Europe"/>
    <s v="Lead"/>
    <m/>
    <m/>
    <m/>
    <n v="1"/>
    <x v="0"/>
    <n v="0"/>
    <n v="0"/>
    <n v="0"/>
  </r>
  <r>
    <s v="LD1183"/>
    <d v="2024-01-15T00:00:00"/>
    <x v="0"/>
    <s v="Instagram Ads"/>
    <s v="Mobile"/>
    <s v="Europe"/>
    <s v="Lead"/>
    <m/>
    <m/>
    <m/>
    <n v="1"/>
    <x v="3"/>
    <n v="0"/>
    <n v="0"/>
    <n v="0"/>
  </r>
  <r>
    <s v="LD6364"/>
    <d v="2024-11-01T00:00:00"/>
    <x v="5"/>
    <s v="Blog SEO"/>
    <s v="Mobile"/>
    <s v="North America"/>
    <s v="Lead"/>
    <m/>
    <m/>
    <m/>
    <n v="1"/>
    <x v="2"/>
    <n v="0"/>
    <n v="0"/>
    <n v="0"/>
  </r>
  <r>
    <s v="LD2813"/>
    <d v="2024-04-15T00:00:00"/>
    <x v="3"/>
    <s v="Promo Blast"/>
    <s v="Desktop"/>
    <s v="North America"/>
    <s v="MQL"/>
    <m/>
    <m/>
    <m/>
    <n v="2"/>
    <x v="1"/>
    <n v="1"/>
    <n v="0"/>
    <n v="0"/>
  </r>
  <r>
    <s v="LD5369"/>
    <d v="2024-09-23T00:00:00"/>
    <x v="3"/>
    <s v="Promo Blast"/>
    <s v="Desktop"/>
    <s v="Europe"/>
    <s v="SQL"/>
    <m/>
    <m/>
    <m/>
    <n v="3"/>
    <x v="9"/>
    <n v="1"/>
    <n v="1"/>
    <n v="0"/>
  </r>
  <r>
    <s v="LD5922"/>
    <d v="2024-10-20T00:00:00"/>
    <x v="0"/>
    <s v="LinkedIn Ads"/>
    <s v="Mobile"/>
    <s v="Europe"/>
    <s v="SQL"/>
    <m/>
    <m/>
    <m/>
    <n v="3"/>
    <x v="5"/>
    <n v="1"/>
    <n v="1"/>
    <n v="0"/>
  </r>
  <r>
    <s v="LD1817"/>
    <d v="2024-02-26T00:00:00"/>
    <x v="3"/>
    <s v="Monthly Newsletter"/>
    <s v="Desktop"/>
    <s v="North America"/>
    <s v="Lead"/>
    <m/>
    <m/>
    <m/>
    <n v="1"/>
    <x v="10"/>
    <n v="0"/>
    <n v="0"/>
    <n v="0"/>
  </r>
  <r>
    <s v="LD2573"/>
    <d v="2024-04-23T00:00:00"/>
    <x v="1"/>
    <s v="Google Ads - Generic"/>
    <s v="Desktop"/>
    <s v="Asia Pacific"/>
    <s v="SQL"/>
    <m/>
    <m/>
    <m/>
    <n v="3"/>
    <x v="1"/>
    <n v="1"/>
    <n v="1"/>
    <n v="0"/>
  </r>
  <r>
    <s v="LD5699"/>
    <d v="2024-10-21T00:00:00"/>
    <x v="5"/>
    <s v="Landing Page SEO"/>
    <s v="Desktop"/>
    <s v="North America"/>
    <s v="MQL"/>
    <m/>
    <m/>
    <m/>
    <n v="2"/>
    <x v="5"/>
    <n v="1"/>
    <n v="0"/>
    <n v="0"/>
  </r>
  <r>
    <s v="LD2801"/>
    <d v="2024-04-23T00:00:00"/>
    <x v="3"/>
    <s v="Monthly Newsletter"/>
    <s v="Desktop"/>
    <s v="Europe"/>
    <s v="Lead"/>
    <m/>
    <m/>
    <m/>
    <n v="1"/>
    <x v="1"/>
    <n v="0"/>
    <n v="0"/>
    <n v="0"/>
  </r>
  <r>
    <s v="LD3281"/>
    <d v="2024-05-01T00:00:00"/>
    <x v="0"/>
    <s v="Facebook Ads"/>
    <s v="Mobile"/>
    <s v="North America"/>
    <s v="Lead"/>
    <m/>
    <m/>
    <m/>
    <n v="1"/>
    <x v="4"/>
    <n v="0"/>
    <n v="0"/>
    <n v="0"/>
  </r>
  <r>
    <s v="LD3430"/>
    <d v="2024-05-25T00:00:00"/>
    <x v="3"/>
    <s v="Monthly Newsletter"/>
    <s v="Mobile"/>
    <s v="Asia Pacific"/>
    <s v="Lead"/>
    <m/>
    <m/>
    <m/>
    <n v="1"/>
    <x v="4"/>
    <n v="0"/>
    <n v="0"/>
    <n v="0"/>
  </r>
  <r>
    <s v="LD6366"/>
    <d v="2024-11-12T00:00:00"/>
    <x v="5"/>
    <s v="Blog SEO"/>
    <s v="Desktop"/>
    <s v="North America"/>
    <s v="Lead"/>
    <m/>
    <m/>
    <m/>
    <n v="1"/>
    <x v="2"/>
    <n v="0"/>
    <n v="0"/>
    <n v="0"/>
  </r>
  <r>
    <s v="LD6934"/>
    <d v="2024-11-10T00:00:00"/>
    <x v="4"/>
    <s v="Partner Program"/>
    <s v="Desktop"/>
    <s v="North America"/>
    <s v="Customer"/>
    <n v="54"/>
    <s v="Basic"/>
    <n v="1287.1400000000001"/>
    <n v="4"/>
    <x v="2"/>
    <n v="1"/>
    <n v="1"/>
    <n v="1"/>
  </r>
  <r>
    <s v="LD7010"/>
    <d v="2024-11-18T00:00:00"/>
    <x v="2"/>
    <s v="Direct / Type-in"/>
    <s v="Mobile"/>
    <s v="Europe"/>
    <s v="Lead"/>
    <m/>
    <m/>
    <m/>
    <n v="1"/>
    <x v="2"/>
    <n v="0"/>
    <n v="0"/>
    <n v="0"/>
  </r>
  <r>
    <s v="LD6866"/>
    <d v="2024-11-24T00:00:00"/>
    <x v="3"/>
    <s v="Promo Blast"/>
    <s v="Mobile"/>
    <s v="Europe"/>
    <s v="Lead"/>
    <m/>
    <m/>
    <m/>
    <n v="1"/>
    <x v="2"/>
    <n v="0"/>
    <n v="0"/>
    <n v="0"/>
  </r>
  <r>
    <s v="LD6854"/>
    <d v="2024-11-10T00:00:00"/>
    <x v="3"/>
    <s v="Monthly Newsletter"/>
    <s v="Mobile"/>
    <s v="Europe"/>
    <s v="Lead"/>
    <m/>
    <m/>
    <m/>
    <n v="1"/>
    <x v="2"/>
    <n v="0"/>
    <n v="0"/>
    <n v="0"/>
  </r>
  <r>
    <s v="LD5505"/>
    <d v="2024-09-03T00:00:00"/>
    <x v="4"/>
    <s v="Partner Program"/>
    <s v="Desktop"/>
    <s v="North America"/>
    <s v="Lead"/>
    <m/>
    <m/>
    <m/>
    <n v="1"/>
    <x v="9"/>
    <n v="0"/>
    <n v="0"/>
    <n v="0"/>
  </r>
  <r>
    <s v="LD2831"/>
    <d v="2024-04-17T00:00:00"/>
    <x v="3"/>
    <s v="Promo Blast"/>
    <s v="Desktop"/>
    <s v="Asia Pacific"/>
    <s v="Lead"/>
    <m/>
    <m/>
    <m/>
    <n v="1"/>
    <x v="1"/>
    <n v="0"/>
    <n v="0"/>
    <n v="0"/>
  </r>
  <r>
    <s v="LD1602"/>
    <d v="2024-02-11T00:00:00"/>
    <x v="1"/>
    <s v="Google Ads - Brand"/>
    <s v="Desktop"/>
    <s v="North America"/>
    <s v="Lead"/>
    <m/>
    <m/>
    <m/>
    <n v="1"/>
    <x v="10"/>
    <n v="0"/>
    <n v="0"/>
    <n v="0"/>
  </r>
  <r>
    <s v="LD6624"/>
    <d v="2024-11-12T00:00:00"/>
    <x v="0"/>
    <s v="LinkedIn Ads"/>
    <s v="Mobile"/>
    <s v="Europe"/>
    <s v="SQL"/>
    <m/>
    <m/>
    <m/>
    <n v="3"/>
    <x v="2"/>
    <n v="1"/>
    <n v="1"/>
    <n v="0"/>
  </r>
  <r>
    <s v="LD5747"/>
    <d v="2024-10-27T00:00:00"/>
    <x v="1"/>
    <s v="Google Ads - Brand"/>
    <s v="Mobile"/>
    <s v="North America"/>
    <s v="SQL"/>
    <m/>
    <m/>
    <m/>
    <n v="3"/>
    <x v="5"/>
    <n v="1"/>
    <n v="1"/>
    <n v="0"/>
  </r>
  <r>
    <s v="LD5867"/>
    <d v="2024-10-21T00:00:00"/>
    <x v="0"/>
    <s v="Facebook Ads"/>
    <s v="Mobile"/>
    <s v="Latin America"/>
    <s v="Lead"/>
    <m/>
    <m/>
    <m/>
    <n v="1"/>
    <x v="5"/>
    <n v="0"/>
    <n v="0"/>
    <n v="0"/>
  </r>
  <r>
    <s v="LD1555"/>
    <d v="2024-02-16T00:00:00"/>
    <x v="5"/>
    <s v="Landing Page SEO"/>
    <s v="Desktop"/>
    <s v="Europe"/>
    <s v="MQL"/>
    <m/>
    <m/>
    <m/>
    <n v="2"/>
    <x v="10"/>
    <n v="1"/>
    <n v="0"/>
    <n v="0"/>
  </r>
  <r>
    <s v="LD2160"/>
    <d v="2024-03-20T00:00:00"/>
    <x v="0"/>
    <s v="LinkedIn Ads"/>
    <s v="Desktop"/>
    <s v="Asia Pacific"/>
    <s v="SQL"/>
    <m/>
    <m/>
    <m/>
    <n v="3"/>
    <x v="8"/>
    <n v="1"/>
    <n v="1"/>
    <n v="0"/>
  </r>
  <r>
    <s v="LD2214"/>
    <d v="2024-03-20T00:00:00"/>
    <x v="3"/>
    <s v="Promo Blast"/>
    <s v="Desktop"/>
    <s v="North America"/>
    <s v="MQL"/>
    <m/>
    <m/>
    <m/>
    <n v="2"/>
    <x v="8"/>
    <n v="1"/>
    <n v="0"/>
    <n v="0"/>
  </r>
  <r>
    <s v="LD5026"/>
    <d v="2024-09-24T00:00:00"/>
    <x v="5"/>
    <s v="Landing Page SEO"/>
    <s v="Tablet"/>
    <s v="Asia Pacific"/>
    <s v="Customer"/>
    <n v="47"/>
    <s v="Basic"/>
    <n v="1258.3800000000001"/>
    <n v="4"/>
    <x v="9"/>
    <n v="1"/>
    <n v="1"/>
    <n v="1"/>
  </r>
  <r>
    <s v="LD2326"/>
    <d v="2024-03-20T00:00:00"/>
    <x v="4"/>
    <s v="Affiliate Program"/>
    <s v="Desktop"/>
    <s v="North America"/>
    <s v="MQL"/>
    <m/>
    <m/>
    <m/>
    <n v="2"/>
    <x v="8"/>
    <n v="1"/>
    <n v="0"/>
    <n v="0"/>
  </r>
  <r>
    <s v="LD5158"/>
    <d v="2024-09-09T00:00:00"/>
    <x v="1"/>
    <s v="Google Ads - Brand"/>
    <s v="Mobile"/>
    <s v="North America"/>
    <s v="Lead"/>
    <m/>
    <m/>
    <m/>
    <n v="1"/>
    <x v="9"/>
    <n v="0"/>
    <n v="0"/>
    <n v="0"/>
  </r>
  <r>
    <s v="LD1998"/>
    <d v="2024-03-02T00:00:00"/>
    <x v="5"/>
    <s v="Landing Page SEO"/>
    <s v="Tablet"/>
    <s v="North America"/>
    <s v="MQL"/>
    <m/>
    <m/>
    <m/>
    <n v="2"/>
    <x v="8"/>
    <n v="1"/>
    <n v="0"/>
    <n v="0"/>
  </r>
  <r>
    <s v="LD1701"/>
    <d v="2024-02-05T00:00:00"/>
    <x v="0"/>
    <s v="Facebook Ads"/>
    <s v="Desktop"/>
    <s v="Europe"/>
    <s v="Lead"/>
    <m/>
    <m/>
    <m/>
    <n v="1"/>
    <x v="10"/>
    <n v="0"/>
    <n v="0"/>
    <n v="0"/>
  </r>
  <r>
    <s v="LD3701"/>
    <d v="2024-06-23T00:00:00"/>
    <x v="1"/>
    <s v="Google Ads - Brand"/>
    <s v="Desktop"/>
    <s v="Europe"/>
    <s v="Lead"/>
    <m/>
    <m/>
    <m/>
    <n v="1"/>
    <x v="11"/>
    <n v="0"/>
    <n v="0"/>
    <n v="0"/>
  </r>
  <r>
    <s v="LD5861"/>
    <d v="2024-10-05T00:00:00"/>
    <x v="0"/>
    <s v="Instagram Ads"/>
    <s v="Desktop"/>
    <s v="Latin America"/>
    <s v="MQL"/>
    <m/>
    <m/>
    <m/>
    <n v="2"/>
    <x v="5"/>
    <n v="1"/>
    <n v="0"/>
    <n v="0"/>
  </r>
  <r>
    <s v="LD2848"/>
    <d v="2024-04-08T00:00:00"/>
    <x v="3"/>
    <s v="Promo Blast"/>
    <s v="Mobile"/>
    <s v="Asia Pacific"/>
    <s v="Lead"/>
    <m/>
    <m/>
    <m/>
    <n v="1"/>
    <x v="1"/>
    <n v="0"/>
    <n v="0"/>
    <n v="0"/>
  </r>
  <r>
    <s v="LD7132"/>
    <d v="2024-12-12T00:00:00"/>
    <x v="5"/>
    <s v="Blog SEO"/>
    <s v="Desktop"/>
    <s v="Latin America"/>
    <s v="SQL"/>
    <m/>
    <m/>
    <m/>
    <n v="3"/>
    <x v="7"/>
    <n v="1"/>
    <n v="1"/>
    <n v="0"/>
  </r>
  <r>
    <s v="LD3797"/>
    <d v="2024-06-14T00:00:00"/>
    <x v="3"/>
    <s v="Promo Blast"/>
    <s v="Desktop"/>
    <s v="North America"/>
    <s v="MQL"/>
    <m/>
    <m/>
    <m/>
    <n v="2"/>
    <x v="11"/>
    <n v="1"/>
    <n v="0"/>
    <n v="0"/>
  </r>
  <r>
    <s v="LD2456"/>
    <d v="2024-03-13T00:00:00"/>
    <x v="2"/>
    <s v="Direct / Type-in"/>
    <s v="Mobile"/>
    <s v="Latin America"/>
    <s v="MQL"/>
    <m/>
    <m/>
    <m/>
    <n v="2"/>
    <x v="8"/>
    <n v="1"/>
    <n v="0"/>
    <n v="0"/>
  </r>
  <r>
    <s v="LD6679"/>
    <d v="2024-11-14T00:00:00"/>
    <x v="0"/>
    <s v="Instagram Ads"/>
    <s v="Mobile"/>
    <s v="Asia Pacific"/>
    <s v="Lead"/>
    <m/>
    <m/>
    <m/>
    <n v="1"/>
    <x v="2"/>
    <n v="0"/>
    <n v="0"/>
    <n v="0"/>
  </r>
  <r>
    <s v="LD6573"/>
    <d v="2024-11-10T00:00:00"/>
    <x v="1"/>
    <s v="Google Ads - Generic"/>
    <s v="Desktop"/>
    <s v="North America"/>
    <s v="Lead"/>
    <m/>
    <m/>
    <m/>
    <n v="1"/>
    <x v="2"/>
    <n v="0"/>
    <n v="0"/>
    <n v="0"/>
  </r>
  <r>
    <s v="LD4687"/>
    <d v="2024-08-10T00:00:00"/>
    <x v="0"/>
    <s v="Facebook Ads"/>
    <s v="Mobile"/>
    <s v="North America"/>
    <s v="Lead"/>
    <m/>
    <m/>
    <m/>
    <n v="1"/>
    <x v="6"/>
    <n v="0"/>
    <n v="0"/>
    <n v="0"/>
  </r>
  <r>
    <s v="LD1867"/>
    <d v="2024-02-17T00:00:00"/>
    <x v="4"/>
    <s v="Affiliate Program"/>
    <s v="Mobile"/>
    <s v="Europe"/>
    <s v="Lead"/>
    <m/>
    <m/>
    <m/>
    <n v="1"/>
    <x v="10"/>
    <n v="0"/>
    <n v="0"/>
    <n v="0"/>
  </r>
  <r>
    <s v="LD6186"/>
    <d v="2024-10-28T00:00:00"/>
    <x v="4"/>
    <s v="Partner Program"/>
    <s v="Tablet"/>
    <s v="North America"/>
    <s v="Lead"/>
    <m/>
    <m/>
    <m/>
    <n v="1"/>
    <x v="5"/>
    <n v="0"/>
    <n v="0"/>
    <n v="0"/>
  </r>
  <r>
    <s v="LD2645"/>
    <d v="2024-04-28T00:00:00"/>
    <x v="1"/>
    <s v="Google Ads - Generic"/>
    <s v="Desktop"/>
    <s v="North America"/>
    <s v="Lead"/>
    <m/>
    <m/>
    <m/>
    <n v="1"/>
    <x v="1"/>
    <n v="0"/>
    <n v="0"/>
    <n v="0"/>
  </r>
  <r>
    <s v="LD3141"/>
    <d v="2024-05-28T00:00:00"/>
    <x v="1"/>
    <s v="Google Ads - Brand"/>
    <s v="Mobile"/>
    <s v="Europe"/>
    <s v="Lead"/>
    <m/>
    <m/>
    <m/>
    <n v="1"/>
    <x v="4"/>
    <n v="0"/>
    <n v="0"/>
    <n v="0"/>
  </r>
  <r>
    <s v="LD5587"/>
    <d v="2024-09-21T00:00:00"/>
    <x v="2"/>
    <s v="Direct / Type-in"/>
    <s v="Mobile"/>
    <s v="Latin America"/>
    <s v="Lead"/>
    <m/>
    <m/>
    <m/>
    <n v="1"/>
    <x v="9"/>
    <n v="0"/>
    <n v="0"/>
    <n v="0"/>
  </r>
  <r>
    <s v="LD4521"/>
    <d v="2024-08-26T00:00:00"/>
    <x v="5"/>
    <s v="Landing Page SEO"/>
    <s v="Mobile"/>
    <s v="North America"/>
    <s v="MQL"/>
    <m/>
    <m/>
    <m/>
    <n v="2"/>
    <x v="6"/>
    <n v="1"/>
    <n v="0"/>
    <n v="0"/>
  </r>
  <r>
    <s v="LD5259"/>
    <d v="2024-09-09T00:00:00"/>
    <x v="0"/>
    <s v="LinkedIn Ads"/>
    <s v="Desktop"/>
    <s v="Latin America"/>
    <s v="MQL"/>
    <m/>
    <m/>
    <m/>
    <n v="2"/>
    <x v="9"/>
    <n v="1"/>
    <n v="0"/>
    <n v="0"/>
  </r>
  <r>
    <s v="LD6476"/>
    <d v="2024-11-10T00:00:00"/>
    <x v="1"/>
    <s v="Google Ads - Generic"/>
    <s v="Desktop"/>
    <s v="North America"/>
    <s v="MQL"/>
    <m/>
    <m/>
    <m/>
    <n v="2"/>
    <x v="2"/>
    <n v="1"/>
    <n v="0"/>
    <n v="0"/>
  </r>
  <r>
    <s v="LD2491"/>
    <d v="2024-04-05T00:00:00"/>
    <x v="5"/>
    <s v="Blog SEO"/>
    <s v="Desktop"/>
    <s v="North America"/>
    <s v="Lead"/>
    <m/>
    <m/>
    <m/>
    <n v="1"/>
    <x v="1"/>
    <n v="0"/>
    <n v="0"/>
    <n v="0"/>
  </r>
  <r>
    <s v="LD7197"/>
    <d v="2024-12-17T00:00:00"/>
    <x v="5"/>
    <s v="Landing Page SEO"/>
    <s v="Tablet"/>
    <s v="Europe"/>
    <s v="MQL"/>
    <m/>
    <m/>
    <m/>
    <n v="2"/>
    <x v="7"/>
    <n v="1"/>
    <n v="0"/>
    <n v="0"/>
  </r>
  <r>
    <s v="LD1730"/>
    <d v="2024-02-20T00:00:00"/>
    <x v="3"/>
    <s v="Monthly Newsletter"/>
    <s v="Mobile"/>
    <s v="Europe"/>
    <s v="Lead"/>
    <m/>
    <m/>
    <m/>
    <n v="1"/>
    <x v="10"/>
    <n v="0"/>
    <n v="0"/>
    <n v="0"/>
  </r>
  <r>
    <s v="LD6272"/>
    <d v="2024-10-20T00:00:00"/>
    <x v="2"/>
    <s v="Direct / Type-in"/>
    <s v="Desktop"/>
    <s v="Asia Pacific"/>
    <s v="Lead"/>
    <m/>
    <m/>
    <m/>
    <n v="1"/>
    <x v="5"/>
    <n v="0"/>
    <n v="0"/>
    <n v="0"/>
  </r>
  <r>
    <s v="LD1780"/>
    <d v="2024-02-16T00:00:00"/>
    <x v="3"/>
    <s v="Monthly Newsletter"/>
    <s v="Desktop"/>
    <s v="North America"/>
    <s v="MQL"/>
    <m/>
    <m/>
    <m/>
    <n v="2"/>
    <x v="10"/>
    <n v="1"/>
    <n v="0"/>
    <n v="0"/>
  </r>
  <r>
    <s v="LD3621"/>
    <d v="2024-06-14T00:00:00"/>
    <x v="5"/>
    <s v="Landing Page SEO"/>
    <s v="Desktop"/>
    <s v="Europe"/>
    <s v="Lead"/>
    <m/>
    <m/>
    <m/>
    <n v="1"/>
    <x v="11"/>
    <n v="0"/>
    <n v="0"/>
    <n v="0"/>
  </r>
  <r>
    <s v="LD2937"/>
    <d v="2024-04-02T00:00:00"/>
    <x v="4"/>
    <s v="Affiliate Program"/>
    <s v="Mobile"/>
    <s v="Asia Pacific"/>
    <s v="SQL"/>
    <m/>
    <m/>
    <m/>
    <n v="3"/>
    <x v="1"/>
    <n v="1"/>
    <n v="1"/>
    <n v="0"/>
  </r>
  <r>
    <s v="LD7721"/>
    <d v="2024-12-25T00:00:00"/>
    <x v="2"/>
    <s v="Direct / Type-in"/>
    <s v="Desktop"/>
    <s v="Europe"/>
    <s v="Lead"/>
    <m/>
    <m/>
    <m/>
    <n v="1"/>
    <x v="7"/>
    <n v="0"/>
    <n v="0"/>
    <n v="0"/>
  </r>
  <r>
    <s v="LD4334"/>
    <d v="2024-07-03T00:00:00"/>
    <x v="3"/>
    <s v="Promo Blast"/>
    <s v="Mobile"/>
    <s v="Asia Pacific"/>
    <s v="MQL"/>
    <m/>
    <m/>
    <m/>
    <n v="2"/>
    <x v="0"/>
    <n v="1"/>
    <n v="0"/>
    <n v="0"/>
  </r>
  <r>
    <s v="LD2111"/>
    <d v="2024-03-16T00:00:00"/>
    <x v="1"/>
    <s v="Google Ads - Brand"/>
    <s v="Mobile"/>
    <s v="North America"/>
    <s v="Customer"/>
    <n v="22"/>
    <s v="Enterprise"/>
    <n v="8081.02"/>
    <n v="4"/>
    <x v="8"/>
    <n v="1"/>
    <n v="1"/>
    <n v="1"/>
  </r>
  <r>
    <s v="LD6510"/>
    <d v="2024-11-26T00:00:00"/>
    <x v="1"/>
    <s v="Google Ads - Generic"/>
    <s v="Desktop"/>
    <s v="North America"/>
    <s v="Lead"/>
    <m/>
    <m/>
    <m/>
    <n v="1"/>
    <x v="2"/>
    <n v="0"/>
    <n v="0"/>
    <n v="0"/>
  </r>
  <r>
    <s v="LD7061"/>
    <d v="2024-11-05T00:00:00"/>
    <x v="2"/>
    <s v="Direct / Type-in"/>
    <s v="Desktop"/>
    <s v="Latin America"/>
    <s v="Customer"/>
    <n v="18"/>
    <s v="Basic"/>
    <n v="555.61"/>
    <n v="4"/>
    <x v="2"/>
    <n v="1"/>
    <n v="1"/>
    <n v="1"/>
  </r>
  <r>
    <s v="LD3999"/>
    <d v="2024-06-09T00:00:00"/>
    <x v="2"/>
    <s v="Direct / Type-in"/>
    <s v="Mobile"/>
    <s v="Asia Pacific"/>
    <s v="Lead"/>
    <m/>
    <m/>
    <m/>
    <n v="1"/>
    <x v="11"/>
    <n v="0"/>
    <n v="0"/>
    <n v="0"/>
  </r>
  <r>
    <s v="LD3395"/>
    <d v="2024-05-01T00:00:00"/>
    <x v="3"/>
    <s v="Promo Blast"/>
    <s v="Mobile"/>
    <s v="Europe"/>
    <s v="MQL"/>
    <m/>
    <m/>
    <m/>
    <n v="2"/>
    <x v="4"/>
    <n v="1"/>
    <n v="0"/>
    <n v="0"/>
  </r>
  <r>
    <s v="LD2186"/>
    <d v="2024-03-15T00:00:00"/>
    <x v="0"/>
    <s v="LinkedIn Ads"/>
    <s v="Desktop"/>
    <s v="Asia Pacific"/>
    <s v="Lead"/>
    <m/>
    <m/>
    <m/>
    <n v="1"/>
    <x v="8"/>
    <n v="0"/>
    <n v="0"/>
    <n v="0"/>
  </r>
  <r>
    <s v="LD3008"/>
    <d v="2024-04-20T00:00:00"/>
    <x v="2"/>
    <s v="Direct / Type-in"/>
    <s v="Desktop"/>
    <s v="North America"/>
    <s v="MQL"/>
    <m/>
    <m/>
    <m/>
    <n v="2"/>
    <x v="1"/>
    <n v="1"/>
    <n v="0"/>
    <n v="0"/>
  </r>
  <r>
    <s v="LD1194"/>
    <d v="2024-01-15T00:00:00"/>
    <x v="0"/>
    <s v="Facebook Ads"/>
    <s v="Mobile"/>
    <s v="Europe"/>
    <s v="Lead"/>
    <m/>
    <m/>
    <m/>
    <n v="1"/>
    <x v="3"/>
    <n v="0"/>
    <n v="0"/>
    <n v="0"/>
  </r>
  <r>
    <s v="LD2516"/>
    <d v="2024-04-21T00:00:00"/>
    <x v="5"/>
    <s v="Blog SEO"/>
    <s v="Mobile"/>
    <s v="North America"/>
    <s v="Lead"/>
    <m/>
    <m/>
    <m/>
    <n v="1"/>
    <x v="1"/>
    <n v="0"/>
    <n v="0"/>
    <n v="0"/>
  </r>
  <r>
    <s v="LD6421"/>
    <d v="2024-11-27T00:00:00"/>
    <x v="5"/>
    <s v="Blog SEO"/>
    <s v="Desktop"/>
    <s v="Europe"/>
    <s v="MQL"/>
    <m/>
    <m/>
    <m/>
    <n v="2"/>
    <x v="2"/>
    <n v="1"/>
    <n v="0"/>
    <n v="0"/>
  </r>
  <r>
    <s v="LD1579"/>
    <d v="2024-02-24T00:00:00"/>
    <x v="1"/>
    <s v="Google Ads - Brand"/>
    <s v="Desktop"/>
    <s v="North America"/>
    <s v="MQL"/>
    <m/>
    <m/>
    <m/>
    <n v="2"/>
    <x v="10"/>
    <n v="1"/>
    <n v="0"/>
    <n v="0"/>
  </r>
  <r>
    <s v="LD3124"/>
    <d v="2024-05-05T00:00:00"/>
    <x v="1"/>
    <s v="Google Ads - Brand"/>
    <s v="Mobile"/>
    <s v="Europe"/>
    <s v="Lead"/>
    <m/>
    <m/>
    <m/>
    <n v="1"/>
    <x v="4"/>
    <n v="0"/>
    <n v="0"/>
    <n v="0"/>
  </r>
  <r>
    <s v="LD2430"/>
    <d v="2024-03-10T00:00:00"/>
    <x v="2"/>
    <s v="Direct / Type-in"/>
    <s v="Mobile"/>
    <s v="Asia Pacific"/>
    <s v="Lead"/>
    <m/>
    <m/>
    <m/>
    <n v="1"/>
    <x v="8"/>
    <n v="0"/>
    <n v="0"/>
    <n v="0"/>
  </r>
  <r>
    <s v="LD1772"/>
    <d v="2024-02-01T00:00:00"/>
    <x v="3"/>
    <s v="Monthly Newsletter"/>
    <s v="Desktop"/>
    <s v="North America"/>
    <s v="MQL"/>
    <m/>
    <m/>
    <m/>
    <n v="2"/>
    <x v="10"/>
    <n v="1"/>
    <n v="0"/>
    <n v="0"/>
  </r>
  <r>
    <s v="LD3588"/>
    <d v="2024-06-23T00:00:00"/>
    <x v="5"/>
    <s v="Blog SEO"/>
    <s v="Desktop"/>
    <s v="North America"/>
    <s v="MQL"/>
    <m/>
    <m/>
    <m/>
    <n v="2"/>
    <x v="11"/>
    <n v="1"/>
    <n v="0"/>
    <n v="0"/>
  </r>
  <r>
    <s v="LD3396"/>
    <d v="2024-05-06T00:00:00"/>
    <x v="3"/>
    <s v="Promo Blast"/>
    <s v="Desktop"/>
    <s v="Europe"/>
    <s v="Lead"/>
    <m/>
    <m/>
    <m/>
    <n v="1"/>
    <x v="4"/>
    <n v="0"/>
    <n v="0"/>
    <n v="0"/>
  </r>
  <r>
    <s v="LD7719"/>
    <d v="2024-12-18T00:00:00"/>
    <x v="2"/>
    <s v="Direct / Type-in"/>
    <s v="Desktop"/>
    <s v="Latin America"/>
    <s v="MQL"/>
    <m/>
    <m/>
    <m/>
    <n v="2"/>
    <x v="7"/>
    <n v="1"/>
    <n v="0"/>
    <n v="0"/>
  </r>
  <r>
    <s v="LD2847"/>
    <d v="2024-04-12T00:00:00"/>
    <x v="3"/>
    <s v="Promo Blast"/>
    <s v="Desktop"/>
    <s v="North America"/>
    <s v="SQL"/>
    <m/>
    <m/>
    <m/>
    <n v="3"/>
    <x v="1"/>
    <n v="1"/>
    <n v="1"/>
    <n v="0"/>
  </r>
  <r>
    <s v="LD1132"/>
    <d v="2024-01-19T00:00:00"/>
    <x v="1"/>
    <s v="Google Ads - Generic"/>
    <s v="Desktop"/>
    <s v="Europe"/>
    <s v="MQL"/>
    <m/>
    <m/>
    <m/>
    <n v="2"/>
    <x v="3"/>
    <n v="1"/>
    <n v="0"/>
    <n v="0"/>
  </r>
  <r>
    <s v="LD1179"/>
    <d v="2024-01-12T00:00:00"/>
    <x v="0"/>
    <s v="LinkedIn Ads"/>
    <s v="Desktop"/>
    <s v="North America"/>
    <s v="MQL"/>
    <m/>
    <m/>
    <m/>
    <n v="2"/>
    <x v="3"/>
    <n v="1"/>
    <n v="0"/>
    <n v="0"/>
  </r>
  <r>
    <s v="LD7056"/>
    <d v="2024-11-06T00:00:00"/>
    <x v="2"/>
    <s v="Direct / Type-in"/>
    <s v="Desktop"/>
    <s v="North America"/>
    <s v="Lead"/>
    <m/>
    <m/>
    <m/>
    <n v="1"/>
    <x v="2"/>
    <n v="0"/>
    <n v="0"/>
    <n v="0"/>
  </r>
  <r>
    <s v="LD2812"/>
    <d v="2024-04-15T00:00:00"/>
    <x v="3"/>
    <s v="Monthly Newsletter"/>
    <s v="Mobile"/>
    <s v="North America"/>
    <s v="MQL"/>
    <m/>
    <m/>
    <m/>
    <n v="2"/>
    <x v="1"/>
    <n v="1"/>
    <n v="0"/>
    <n v="0"/>
  </r>
  <r>
    <s v="LD5343"/>
    <d v="2024-09-16T00:00:00"/>
    <x v="3"/>
    <s v="Monthly Newsletter"/>
    <s v="Mobile"/>
    <s v="Europe"/>
    <s v="SQL"/>
    <m/>
    <m/>
    <m/>
    <n v="3"/>
    <x v="9"/>
    <n v="1"/>
    <n v="1"/>
    <n v="0"/>
  </r>
  <r>
    <s v="LD3581"/>
    <d v="2024-06-18T00:00:00"/>
    <x v="5"/>
    <s v="Landing Page SEO"/>
    <s v="Desktop"/>
    <s v="Asia Pacific"/>
    <s v="Lead"/>
    <m/>
    <m/>
    <m/>
    <n v="1"/>
    <x v="11"/>
    <n v="0"/>
    <n v="0"/>
    <n v="0"/>
  </r>
  <r>
    <s v="LD5378"/>
    <d v="2024-09-28T00:00:00"/>
    <x v="3"/>
    <s v="Promo Blast"/>
    <s v="Mobile"/>
    <s v="North America"/>
    <s v="Lead"/>
    <m/>
    <m/>
    <m/>
    <n v="1"/>
    <x v="9"/>
    <n v="0"/>
    <n v="0"/>
    <n v="0"/>
  </r>
  <r>
    <s v="LD7337"/>
    <d v="2024-12-17T00:00:00"/>
    <x v="0"/>
    <s v="Facebook Ads"/>
    <s v="Desktop"/>
    <s v="Europe"/>
    <s v="SQL"/>
    <m/>
    <m/>
    <m/>
    <n v="3"/>
    <x v="7"/>
    <n v="1"/>
    <n v="1"/>
    <n v="0"/>
  </r>
  <r>
    <s v="LD3653"/>
    <d v="2024-06-26T00:00:00"/>
    <x v="1"/>
    <s v="Google Ads - Generic"/>
    <s v="Mobile"/>
    <s v="North America"/>
    <s v="Lead"/>
    <m/>
    <m/>
    <m/>
    <n v="1"/>
    <x v="11"/>
    <n v="0"/>
    <n v="0"/>
    <n v="0"/>
  </r>
  <r>
    <s v="LD7774"/>
    <d v="2024-12-21T00:00:00"/>
    <x v="2"/>
    <s v="Direct / Type-in"/>
    <s v="Desktop"/>
    <s v="Europe"/>
    <s v="Customer"/>
    <n v="49"/>
    <s v="Pro"/>
    <n v="4310.75"/>
    <n v="4"/>
    <x v="7"/>
    <n v="1"/>
    <n v="1"/>
    <n v="1"/>
  </r>
  <r>
    <s v="LD3074"/>
    <d v="2024-05-27T00:00:00"/>
    <x v="5"/>
    <s v="Blog SEO"/>
    <s v="Desktop"/>
    <s v="Europe"/>
    <s v="MQL"/>
    <m/>
    <m/>
    <m/>
    <n v="2"/>
    <x v="4"/>
    <n v="1"/>
    <n v="0"/>
    <n v="0"/>
  </r>
  <r>
    <s v="LD1659"/>
    <d v="2024-02-15T00:00:00"/>
    <x v="0"/>
    <s v="Facebook Ads"/>
    <s v="Desktop"/>
    <s v="Europe"/>
    <s v="Lead"/>
    <m/>
    <m/>
    <m/>
    <n v="1"/>
    <x v="10"/>
    <n v="0"/>
    <n v="0"/>
    <n v="0"/>
  </r>
  <r>
    <s v="LD2897"/>
    <d v="2024-04-03T00:00:00"/>
    <x v="4"/>
    <s v="Partner Program"/>
    <s v="Desktop"/>
    <s v="Europe"/>
    <s v="Customer"/>
    <n v="37"/>
    <s v="Pro"/>
    <n v="1916.6"/>
    <n v="4"/>
    <x v="1"/>
    <n v="1"/>
    <n v="1"/>
    <n v="1"/>
  </r>
  <r>
    <s v="LD5986"/>
    <d v="2024-10-09T00:00:00"/>
    <x v="3"/>
    <s v="Promo Blast"/>
    <s v="Desktop"/>
    <s v="Latin America"/>
    <s v="Lead"/>
    <m/>
    <m/>
    <m/>
    <n v="1"/>
    <x v="5"/>
    <n v="0"/>
    <n v="0"/>
    <n v="0"/>
  </r>
  <r>
    <s v="LD3607"/>
    <d v="2024-06-03T00:00:00"/>
    <x v="5"/>
    <s v="Landing Page SEO"/>
    <s v="Desktop"/>
    <s v="North America"/>
    <s v="SQL"/>
    <m/>
    <m/>
    <m/>
    <n v="3"/>
    <x v="11"/>
    <n v="1"/>
    <n v="1"/>
    <n v="0"/>
  </r>
  <r>
    <s v="LD3222"/>
    <d v="2024-05-12T00:00:00"/>
    <x v="0"/>
    <s v="Facebook Ads"/>
    <s v="Tablet"/>
    <s v="North America"/>
    <s v="MQL"/>
    <m/>
    <m/>
    <m/>
    <n v="2"/>
    <x v="4"/>
    <n v="1"/>
    <n v="0"/>
    <n v="0"/>
  </r>
  <r>
    <s v="LD4660"/>
    <d v="2024-08-12T00:00:00"/>
    <x v="1"/>
    <s v="Google Ads - Generic"/>
    <s v="Desktop"/>
    <s v="North America"/>
    <s v="Lead"/>
    <m/>
    <m/>
    <m/>
    <n v="1"/>
    <x v="6"/>
    <n v="0"/>
    <n v="0"/>
    <n v="0"/>
  </r>
  <r>
    <s v="LD7416"/>
    <d v="2024-12-13T00:00:00"/>
    <x v="0"/>
    <s v="Instagram Ads"/>
    <s v="Desktop"/>
    <s v="North America"/>
    <s v="MQL"/>
    <m/>
    <m/>
    <m/>
    <n v="2"/>
    <x v="7"/>
    <n v="1"/>
    <n v="0"/>
    <n v="0"/>
  </r>
  <r>
    <s v="LD3380"/>
    <d v="2024-05-15T00:00:00"/>
    <x v="3"/>
    <s v="Promo Blast"/>
    <s v="Mobile"/>
    <s v="Europe"/>
    <s v="Lead"/>
    <m/>
    <m/>
    <m/>
    <n v="1"/>
    <x v="4"/>
    <n v="0"/>
    <n v="0"/>
    <n v="0"/>
  </r>
  <r>
    <s v="LD2448"/>
    <d v="2024-03-13T00:00:00"/>
    <x v="2"/>
    <s v="Direct / Type-in"/>
    <s v="Desktop"/>
    <s v="Latin America"/>
    <s v="MQL"/>
    <m/>
    <m/>
    <m/>
    <n v="2"/>
    <x v="8"/>
    <n v="1"/>
    <n v="0"/>
    <n v="0"/>
  </r>
  <r>
    <s v="LD6557"/>
    <d v="2024-11-11T00:00:00"/>
    <x v="1"/>
    <s v="Google Ads - Generic"/>
    <s v="Mobile"/>
    <s v="Latin America"/>
    <s v="MQL"/>
    <m/>
    <m/>
    <m/>
    <n v="2"/>
    <x v="2"/>
    <n v="1"/>
    <n v="0"/>
    <n v="0"/>
  </r>
  <r>
    <s v="LD1343"/>
    <d v="2024-01-06T00:00:00"/>
    <x v="3"/>
    <s v="Monthly Newsletter"/>
    <s v="Tablet"/>
    <s v="North America"/>
    <s v="MQL"/>
    <m/>
    <m/>
    <m/>
    <n v="2"/>
    <x v="3"/>
    <n v="1"/>
    <n v="0"/>
    <n v="0"/>
  </r>
  <r>
    <s v="LD4373"/>
    <d v="2024-07-07T00:00:00"/>
    <x v="4"/>
    <s v="Affiliate Program"/>
    <s v="Desktop"/>
    <s v="North America"/>
    <s v="SQL"/>
    <m/>
    <m/>
    <m/>
    <n v="3"/>
    <x v="0"/>
    <n v="1"/>
    <n v="1"/>
    <n v="0"/>
  </r>
  <r>
    <s v="LD5367"/>
    <d v="2024-09-27T00:00:00"/>
    <x v="3"/>
    <s v="Monthly Newsletter"/>
    <s v="Mobile"/>
    <s v="North America"/>
    <s v="SQL"/>
    <m/>
    <m/>
    <m/>
    <n v="3"/>
    <x v="9"/>
    <n v="1"/>
    <n v="1"/>
    <n v="0"/>
  </r>
  <r>
    <s v="LD6976"/>
    <d v="2024-11-13T00:00:00"/>
    <x v="4"/>
    <s v="Affiliate Program"/>
    <s v="Mobile"/>
    <s v="North America"/>
    <s v="SQL"/>
    <m/>
    <m/>
    <m/>
    <n v="3"/>
    <x v="2"/>
    <n v="1"/>
    <n v="1"/>
    <n v="0"/>
  </r>
  <r>
    <s v="LD3528"/>
    <d v="2024-05-22T00:00:00"/>
    <x v="2"/>
    <s v="Direct / Type-in"/>
    <s v="Tablet"/>
    <s v="North America"/>
    <s v="Lead"/>
    <m/>
    <m/>
    <m/>
    <n v="1"/>
    <x v="4"/>
    <n v="0"/>
    <n v="0"/>
    <n v="0"/>
  </r>
  <r>
    <s v="LD1728"/>
    <d v="2024-02-16T00:00:00"/>
    <x v="3"/>
    <s v="Monthly Newsletter"/>
    <s v="Mobile"/>
    <s v="Europe"/>
    <s v="Customer"/>
    <n v="27"/>
    <s v="Basic"/>
    <n v="1012.64"/>
    <n v="4"/>
    <x v="10"/>
    <n v="1"/>
    <n v="1"/>
    <n v="1"/>
  </r>
  <r>
    <s v="LD6341"/>
    <d v="2024-11-22T00:00:00"/>
    <x v="5"/>
    <s v="Landing Page SEO"/>
    <s v="Mobile"/>
    <s v="North America"/>
    <s v="Customer"/>
    <n v="59"/>
    <s v="Pro"/>
    <n v="3427.81"/>
    <n v="4"/>
    <x v="2"/>
    <n v="1"/>
    <n v="1"/>
    <n v="1"/>
  </r>
  <r>
    <s v="LD1977"/>
    <d v="2024-03-26T00:00:00"/>
    <x v="5"/>
    <s v="Blog SEO"/>
    <s v="Desktop"/>
    <s v="North America"/>
    <s v="MQL"/>
    <m/>
    <m/>
    <m/>
    <n v="2"/>
    <x v="8"/>
    <n v="1"/>
    <n v="0"/>
    <n v="0"/>
  </r>
  <r>
    <s v="LD5846"/>
    <d v="2024-10-26T00:00:00"/>
    <x v="0"/>
    <s v="Instagram Ads"/>
    <s v="Mobile"/>
    <s v="North America"/>
    <s v="Lead"/>
    <m/>
    <m/>
    <m/>
    <n v="1"/>
    <x v="5"/>
    <n v="0"/>
    <n v="0"/>
    <n v="0"/>
  </r>
  <r>
    <s v="LD5711"/>
    <d v="2024-10-01T00:00:00"/>
    <x v="5"/>
    <s v="Blog SEO"/>
    <s v="Mobile"/>
    <s v="North America"/>
    <s v="SQL"/>
    <m/>
    <m/>
    <m/>
    <n v="3"/>
    <x v="5"/>
    <n v="1"/>
    <n v="1"/>
    <n v="0"/>
  </r>
  <r>
    <s v="LD2929"/>
    <d v="2024-04-08T00:00:00"/>
    <x v="4"/>
    <s v="Affiliate Program"/>
    <s v="Mobile"/>
    <s v="North America"/>
    <s v="SQL"/>
    <m/>
    <m/>
    <m/>
    <n v="3"/>
    <x v="1"/>
    <n v="1"/>
    <n v="1"/>
    <n v="0"/>
  </r>
  <r>
    <s v="LD4517"/>
    <d v="2024-08-15T00:00:00"/>
    <x v="5"/>
    <s v="Landing Page SEO"/>
    <s v="Desktop"/>
    <s v="North America"/>
    <s v="Lead"/>
    <m/>
    <m/>
    <m/>
    <n v="1"/>
    <x v="6"/>
    <n v="0"/>
    <n v="0"/>
    <n v="0"/>
  </r>
  <r>
    <s v="LD7523"/>
    <d v="2024-12-05T00:00:00"/>
    <x v="3"/>
    <s v="Promo Blast"/>
    <s v="Mobile"/>
    <s v="Europe"/>
    <s v="Customer"/>
    <n v="62"/>
    <s v="Basic"/>
    <n v="789.67"/>
    <n v="4"/>
    <x v="7"/>
    <n v="1"/>
    <n v="1"/>
    <n v="1"/>
  </r>
  <r>
    <s v="LD5421"/>
    <d v="2024-09-19T00:00:00"/>
    <x v="3"/>
    <s v="Promo Blast"/>
    <s v="Desktop"/>
    <s v="Europe"/>
    <s v="Customer"/>
    <n v="21"/>
    <s v="Enterprise"/>
    <n v="19041.91"/>
    <n v="4"/>
    <x v="9"/>
    <n v="1"/>
    <n v="1"/>
    <n v="1"/>
  </r>
  <r>
    <s v="LD7607"/>
    <d v="2024-12-14T00:00:00"/>
    <x v="4"/>
    <s v="Affiliate Program"/>
    <s v="Desktop"/>
    <s v="North America"/>
    <s v="Lead"/>
    <m/>
    <m/>
    <m/>
    <n v="1"/>
    <x v="7"/>
    <n v="0"/>
    <n v="0"/>
    <n v="0"/>
  </r>
  <r>
    <s v="LD7513"/>
    <d v="2024-12-07T00:00:00"/>
    <x v="3"/>
    <s v="Promo Blast"/>
    <s v="Desktop"/>
    <s v="North America"/>
    <s v="Lead"/>
    <m/>
    <m/>
    <m/>
    <n v="1"/>
    <x v="7"/>
    <n v="0"/>
    <n v="0"/>
    <n v="0"/>
  </r>
  <r>
    <s v="LD2300"/>
    <d v="2024-03-25T00:00:00"/>
    <x v="3"/>
    <s v="Monthly Newsletter"/>
    <s v="Desktop"/>
    <s v="Europe"/>
    <s v="SQL"/>
    <m/>
    <m/>
    <m/>
    <n v="3"/>
    <x v="8"/>
    <n v="1"/>
    <n v="1"/>
    <n v="0"/>
  </r>
  <r>
    <s v="LD5723"/>
    <d v="2024-10-28T00:00:00"/>
    <x v="5"/>
    <s v="Blog SEO"/>
    <s v="Mobile"/>
    <s v="Asia Pacific"/>
    <s v="Lead"/>
    <m/>
    <m/>
    <m/>
    <n v="1"/>
    <x v="5"/>
    <n v="0"/>
    <n v="0"/>
    <n v="0"/>
  </r>
  <r>
    <s v="LD7227"/>
    <d v="2024-12-09T00:00:00"/>
    <x v="1"/>
    <s v="Google Ads - Generic"/>
    <s v="Tablet"/>
    <s v="North America"/>
    <s v="Lead"/>
    <m/>
    <m/>
    <m/>
    <n v="1"/>
    <x v="7"/>
    <n v="0"/>
    <n v="0"/>
    <n v="0"/>
  </r>
  <r>
    <s v="LD1661"/>
    <d v="2024-02-18T00:00:00"/>
    <x v="0"/>
    <s v="LinkedIn Ads"/>
    <s v="Desktop"/>
    <s v="North America"/>
    <s v="Lead"/>
    <m/>
    <m/>
    <m/>
    <n v="1"/>
    <x v="10"/>
    <n v="0"/>
    <n v="0"/>
    <n v="0"/>
  </r>
  <r>
    <s v="LD2791"/>
    <d v="2024-04-08T00:00:00"/>
    <x v="3"/>
    <s v="Promo Blast"/>
    <s v="Desktop"/>
    <s v="Latin America"/>
    <s v="Customer"/>
    <n v="46"/>
    <s v="Basic"/>
    <n v="935.82"/>
    <n v="4"/>
    <x v="1"/>
    <n v="1"/>
    <n v="1"/>
    <n v="1"/>
  </r>
  <r>
    <s v="LD2493"/>
    <d v="2024-04-05T00:00:00"/>
    <x v="5"/>
    <s v="Landing Page SEO"/>
    <s v="Desktop"/>
    <s v="Europe"/>
    <s v="Lead"/>
    <m/>
    <m/>
    <m/>
    <n v="1"/>
    <x v="1"/>
    <n v="0"/>
    <n v="0"/>
    <n v="0"/>
  </r>
  <r>
    <s v="LD5557"/>
    <d v="2024-09-26T00:00:00"/>
    <x v="2"/>
    <s v="Direct / Type-in"/>
    <s v="Mobile"/>
    <s v="Asia Pacific"/>
    <s v="Lead"/>
    <m/>
    <m/>
    <m/>
    <n v="1"/>
    <x v="9"/>
    <n v="0"/>
    <n v="0"/>
    <n v="0"/>
  </r>
  <r>
    <s v="LD1494"/>
    <d v="2024-02-28T00:00:00"/>
    <x v="5"/>
    <s v="Blog SEO"/>
    <s v="Mobile"/>
    <s v="Asia Pacific"/>
    <s v="Lead"/>
    <m/>
    <m/>
    <m/>
    <n v="1"/>
    <x v="10"/>
    <n v="0"/>
    <n v="0"/>
    <n v="0"/>
  </r>
  <r>
    <s v="LD4648"/>
    <d v="2024-08-07T00:00:00"/>
    <x v="1"/>
    <s v="Google Ads - Generic"/>
    <s v="Mobile"/>
    <s v="Asia Pacific"/>
    <s v="Lead"/>
    <m/>
    <m/>
    <m/>
    <n v="1"/>
    <x v="6"/>
    <n v="0"/>
    <n v="0"/>
    <n v="0"/>
  </r>
  <r>
    <s v="LD5002"/>
    <d v="2024-08-20T00:00:00"/>
    <x v="2"/>
    <s v="Direct / Type-in"/>
    <s v="Mobile"/>
    <s v="North America"/>
    <s v="MQL"/>
    <m/>
    <m/>
    <m/>
    <n v="2"/>
    <x v="6"/>
    <n v="1"/>
    <n v="0"/>
    <n v="0"/>
  </r>
  <r>
    <s v="LD5770"/>
    <d v="2024-10-01T00:00:00"/>
    <x v="1"/>
    <s v="Google Ads - Brand"/>
    <s v="Desktop"/>
    <s v="North America"/>
    <s v="Lead"/>
    <m/>
    <m/>
    <m/>
    <n v="1"/>
    <x v="5"/>
    <n v="0"/>
    <n v="0"/>
    <n v="0"/>
  </r>
  <r>
    <s v="LD6050"/>
    <d v="2024-10-03T00:00:00"/>
    <x v="3"/>
    <s v="Promo Blast"/>
    <s v="Mobile"/>
    <s v="North America"/>
    <s v="Lead"/>
    <m/>
    <m/>
    <m/>
    <n v="1"/>
    <x v="5"/>
    <n v="0"/>
    <n v="0"/>
    <n v="0"/>
  </r>
  <r>
    <s v="LD7298"/>
    <d v="2024-12-05T00:00:00"/>
    <x v="1"/>
    <s v="Google Ads - Generic"/>
    <s v="Mobile"/>
    <s v="Europe"/>
    <s v="Customer"/>
    <n v="24"/>
    <s v="Basic"/>
    <n v="749.49"/>
    <n v="4"/>
    <x v="7"/>
    <n v="1"/>
    <n v="1"/>
    <n v="1"/>
  </r>
  <r>
    <s v="LD7394"/>
    <d v="2024-12-03T00:00:00"/>
    <x v="0"/>
    <s v="Facebook Ads"/>
    <s v="Desktop"/>
    <s v="Asia Pacific"/>
    <s v="Lead"/>
    <m/>
    <m/>
    <m/>
    <n v="1"/>
    <x v="7"/>
    <n v="0"/>
    <n v="0"/>
    <n v="0"/>
  </r>
  <r>
    <s v="LD6748"/>
    <d v="2024-11-05T00:00:00"/>
    <x v="3"/>
    <s v="Promo Blast"/>
    <s v="Mobile"/>
    <s v="North America"/>
    <s v="MQL"/>
    <m/>
    <m/>
    <m/>
    <n v="2"/>
    <x v="2"/>
    <n v="1"/>
    <n v="0"/>
    <n v="0"/>
  </r>
  <r>
    <s v="LD2086"/>
    <d v="2024-03-14T00:00:00"/>
    <x v="1"/>
    <s v="Google Ads - Generic"/>
    <s v="Desktop"/>
    <s v="Asia Pacific"/>
    <s v="Lead"/>
    <m/>
    <m/>
    <m/>
    <n v="1"/>
    <x v="8"/>
    <n v="0"/>
    <n v="0"/>
    <n v="0"/>
  </r>
  <r>
    <s v="LD7483"/>
    <d v="2024-12-23T00:00:00"/>
    <x v="3"/>
    <s v="Monthly Newsletter"/>
    <s v="Desktop"/>
    <s v="North America"/>
    <s v="SQL"/>
    <m/>
    <m/>
    <m/>
    <n v="3"/>
    <x v="7"/>
    <n v="1"/>
    <n v="1"/>
    <n v="0"/>
  </r>
  <r>
    <s v="LD4942"/>
    <d v="2024-08-21T00:00:00"/>
    <x v="4"/>
    <s v="Partner Program"/>
    <s v="Desktop"/>
    <s v="Europe"/>
    <s v="Lead"/>
    <m/>
    <m/>
    <m/>
    <n v="1"/>
    <x v="6"/>
    <n v="0"/>
    <n v="0"/>
    <n v="0"/>
  </r>
  <r>
    <s v="LD1695"/>
    <d v="2024-02-03T00:00:00"/>
    <x v="0"/>
    <s v="LinkedIn Ads"/>
    <s v="Mobile"/>
    <s v="Europe"/>
    <s v="MQL"/>
    <m/>
    <m/>
    <m/>
    <n v="2"/>
    <x v="10"/>
    <n v="1"/>
    <n v="0"/>
    <n v="0"/>
  </r>
  <r>
    <s v="LD2279"/>
    <d v="2024-03-17T00:00:00"/>
    <x v="3"/>
    <s v="Monthly Newsletter"/>
    <s v="Mobile"/>
    <s v="North America"/>
    <s v="MQL"/>
    <m/>
    <m/>
    <m/>
    <n v="2"/>
    <x v="8"/>
    <n v="1"/>
    <n v="0"/>
    <n v="0"/>
  </r>
  <r>
    <s v="LD4199"/>
    <d v="2024-07-12T00:00:00"/>
    <x v="1"/>
    <s v="Google Ads - Generic"/>
    <s v="Desktop"/>
    <s v="Asia Pacific"/>
    <s v="MQL"/>
    <m/>
    <m/>
    <m/>
    <n v="2"/>
    <x v="0"/>
    <n v="1"/>
    <n v="0"/>
    <n v="0"/>
  </r>
  <r>
    <s v="LD5787"/>
    <d v="2024-10-15T00:00:00"/>
    <x v="1"/>
    <s v="Google Ads - Brand"/>
    <s v="Desktop"/>
    <s v="Europe"/>
    <s v="MQL"/>
    <m/>
    <m/>
    <m/>
    <n v="2"/>
    <x v="5"/>
    <n v="1"/>
    <n v="0"/>
    <n v="0"/>
  </r>
  <r>
    <s v="LD2622"/>
    <d v="2024-04-12T00:00:00"/>
    <x v="1"/>
    <s v="Google Ads - Generic"/>
    <s v="Desktop"/>
    <s v="Europe"/>
    <s v="Lead"/>
    <m/>
    <m/>
    <m/>
    <n v="1"/>
    <x v="1"/>
    <n v="0"/>
    <n v="0"/>
    <n v="0"/>
  </r>
  <r>
    <s v="LD6999"/>
    <d v="2024-11-10T00:00:00"/>
    <x v="4"/>
    <s v="Partner Program"/>
    <s v="Desktop"/>
    <s v="North America"/>
    <s v="Lead"/>
    <m/>
    <m/>
    <m/>
    <n v="1"/>
    <x v="2"/>
    <n v="0"/>
    <n v="0"/>
    <n v="0"/>
  </r>
  <r>
    <s v="LD4709"/>
    <d v="2024-08-18T00:00:00"/>
    <x v="0"/>
    <s v="Instagram Ads"/>
    <s v="Desktop"/>
    <s v="North America"/>
    <s v="Customer"/>
    <n v="52"/>
    <s v="Pro"/>
    <n v="4510.21"/>
    <n v="4"/>
    <x v="6"/>
    <n v="1"/>
    <n v="1"/>
    <n v="1"/>
  </r>
  <r>
    <s v="LD3562"/>
    <d v="2024-05-18T00:00:00"/>
    <x v="2"/>
    <s v="Direct / Type-in"/>
    <s v="Tablet"/>
    <s v="North America"/>
    <s v="Lead"/>
    <m/>
    <m/>
    <m/>
    <n v="1"/>
    <x v="4"/>
    <n v="0"/>
    <n v="0"/>
    <n v="0"/>
  </r>
  <r>
    <s v="LD5741"/>
    <d v="2024-10-07T00:00:00"/>
    <x v="1"/>
    <s v="Google Ads - Brand"/>
    <s v="Desktop"/>
    <s v="Latin America"/>
    <s v="Lead"/>
    <m/>
    <m/>
    <m/>
    <n v="1"/>
    <x v="5"/>
    <n v="0"/>
    <n v="0"/>
    <n v="0"/>
  </r>
  <r>
    <s v="LD7221"/>
    <d v="2024-12-05T00:00:00"/>
    <x v="1"/>
    <s v="Google Ads - Brand"/>
    <s v="Desktop"/>
    <s v="Europe"/>
    <s v="MQL"/>
    <m/>
    <m/>
    <m/>
    <n v="2"/>
    <x v="7"/>
    <n v="1"/>
    <n v="0"/>
    <n v="0"/>
  </r>
  <r>
    <s v="LD1068"/>
    <d v="2024-01-11T00:00:00"/>
    <x v="5"/>
    <s v="Landing Page SEO"/>
    <s v="Mobile"/>
    <s v="North America"/>
    <s v="Lead"/>
    <m/>
    <m/>
    <m/>
    <n v="1"/>
    <x v="3"/>
    <n v="0"/>
    <n v="0"/>
    <n v="0"/>
  </r>
  <r>
    <s v="LD2732"/>
    <d v="2024-04-12T00:00:00"/>
    <x v="0"/>
    <s v="LinkedIn Ads"/>
    <s v="Mobile"/>
    <s v="North America"/>
    <s v="Lead"/>
    <m/>
    <m/>
    <m/>
    <n v="1"/>
    <x v="1"/>
    <n v="0"/>
    <n v="0"/>
    <n v="0"/>
  </r>
  <r>
    <s v="LD7429"/>
    <d v="2024-12-19T00:00:00"/>
    <x v="3"/>
    <s v="Monthly Newsletter"/>
    <s v="Mobile"/>
    <s v="Asia Pacific"/>
    <s v="Lead"/>
    <m/>
    <m/>
    <m/>
    <n v="1"/>
    <x v="7"/>
    <n v="0"/>
    <n v="0"/>
    <n v="0"/>
  </r>
  <r>
    <s v="LD3270"/>
    <d v="2024-05-18T00:00:00"/>
    <x v="0"/>
    <s v="LinkedIn Ads"/>
    <s v="Desktop"/>
    <s v="Europe"/>
    <s v="MQL"/>
    <m/>
    <m/>
    <m/>
    <n v="2"/>
    <x v="4"/>
    <n v="1"/>
    <n v="0"/>
    <n v="0"/>
  </r>
  <r>
    <s v="LD5776"/>
    <d v="2024-10-21T00:00:00"/>
    <x v="1"/>
    <s v="Google Ads - Generic"/>
    <s v="Mobile"/>
    <s v="Europe"/>
    <s v="SQL"/>
    <m/>
    <m/>
    <m/>
    <n v="3"/>
    <x v="5"/>
    <n v="1"/>
    <n v="1"/>
    <n v="0"/>
  </r>
  <r>
    <s v="LD5031"/>
    <d v="2024-09-11T00:00:00"/>
    <x v="5"/>
    <s v="Landing Page SEO"/>
    <s v="Mobile"/>
    <s v="Europe"/>
    <s v="Lead"/>
    <m/>
    <m/>
    <m/>
    <n v="1"/>
    <x v="9"/>
    <n v="0"/>
    <n v="0"/>
    <n v="0"/>
  </r>
  <r>
    <s v="LD6344"/>
    <d v="2024-11-04T00:00:00"/>
    <x v="5"/>
    <s v="Blog SEO"/>
    <s v="Mobile"/>
    <s v="Europe"/>
    <s v="Lead"/>
    <m/>
    <m/>
    <m/>
    <n v="1"/>
    <x v="2"/>
    <n v="0"/>
    <n v="0"/>
    <n v="0"/>
  </r>
  <r>
    <s v="LD1821"/>
    <d v="2024-02-11T00:00:00"/>
    <x v="3"/>
    <s v="Promo Blast"/>
    <s v="Desktop"/>
    <s v="Asia Pacific"/>
    <s v="Lead"/>
    <m/>
    <m/>
    <m/>
    <n v="1"/>
    <x v="10"/>
    <n v="0"/>
    <n v="0"/>
    <n v="0"/>
  </r>
  <r>
    <s v="LD2227"/>
    <d v="2024-03-13T00:00:00"/>
    <x v="3"/>
    <s v="Monthly Newsletter"/>
    <s v="Desktop"/>
    <s v="North America"/>
    <s v="SQL"/>
    <m/>
    <m/>
    <m/>
    <n v="3"/>
    <x v="8"/>
    <n v="1"/>
    <n v="1"/>
    <n v="0"/>
  </r>
  <r>
    <s v="LD2678"/>
    <d v="2024-04-06T00:00:00"/>
    <x v="0"/>
    <s v="Facebook Ads"/>
    <s v="Desktop"/>
    <s v="North America"/>
    <s v="Lead"/>
    <m/>
    <m/>
    <m/>
    <n v="1"/>
    <x v="1"/>
    <n v="0"/>
    <n v="0"/>
    <n v="0"/>
  </r>
  <r>
    <s v="LD6671"/>
    <d v="2024-11-12T00:00:00"/>
    <x v="0"/>
    <s v="Instagram Ads"/>
    <s v="Mobile"/>
    <s v="Asia Pacific"/>
    <s v="Lead"/>
    <m/>
    <m/>
    <m/>
    <n v="1"/>
    <x v="2"/>
    <n v="0"/>
    <n v="0"/>
    <n v="0"/>
  </r>
  <r>
    <s v="LD3868"/>
    <d v="2024-06-01T00:00:00"/>
    <x v="3"/>
    <s v="Promo Blast"/>
    <s v="Mobile"/>
    <s v="North America"/>
    <s v="Lead"/>
    <m/>
    <m/>
    <m/>
    <n v="1"/>
    <x v="11"/>
    <n v="0"/>
    <n v="0"/>
    <n v="0"/>
  </r>
  <r>
    <s v="LD4448"/>
    <d v="2024-07-28T00:00:00"/>
    <x v="2"/>
    <s v="Direct / Type-in"/>
    <s v="Mobile"/>
    <s v="North America"/>
    <s v="Lead"/>
    <m/>
    <m/>
    <m/>
    <n v="1"/>
    <x v="0"/>
    <n v="0"/>
    <n v="0"/>
    <n v="0"/>
  </r>
  <r>
    <s v="LD6971"/>
    <d v="2024-11-06T00:00:00"/>
    <x v="4"/>
    <s v="Affiliate Program"/>
    <s v="Mobile"/>
    <s v="Europe"/>
    <s v="MQL"/>
    <m/>
    <m/>
    <m/>
    <n v="2"/>
    <x v="2"/>
    <n v="1"/>
    <n v="0"/>
    <n v="0"/>
  </r>
  <r>
    <s v="LD3368"/>
    <d v="2024-05-05T00:00:00"/>
    <x v="3"/>
    <s v="Promo Blast"/>
    <s v="Mobile"/>
    <s v="Europe"/>
    <s v="Customer"/>
    <n v="48"/>
    <s v="Pro"/>
    <n v="4685.51"/>
    <n v="4"/>
    <x v="4"/>
    <n v="1"/>
    <n v="1"/>
    <n v="1"/>
  </r>
  <r>
    <s v="LD5582"/>
    <d v="2024-09-18T00:00:00"/>
    <x v="2"/>
    <s v="Direct / Type-in"/>
    <s v="Desktop"/>
    <s v="North America"/>
    <s v="MQL"/>
    <m/>
    <m/>
    <m/>
    <n v="2"/>
    <x v="9"/>
    <n v="1"/>
    <n v="0"/>
    <n v="0"/>
  </r>
  <r>
    <s v="LD5518"/>
    <d v="2024-09-07T00:00:00"/>
    <x v="4"/>
    <s v="Affiliate Program"/>
    <s v="Mobile"/>
    <s v="North America"/>
    <s v="Lead"/>
    <m/>
    <m/>
    <m/>
    <n v="1"/>
    <x v="9"/>
    <n v="0"/>
    <n v="0"/>
    <n v="0"/>
  </r>
  <r>
    <s v="LD3513"/>
    <d v="2024-05-13T00:00:00"/>
    <x v="2"/>
    <s v="Direct / Type-in"/>
    <s v="Tablet"/>
    <s v="Latin America"/>
    <s v="MQL"/>
    <m/>
    <m/>
    <m/>
    <n v="2"/>
    <x v="4"/>
    <n v="1"/>
    <n v="0"/>
    <n v="0"/>
  </r>
  <r>
    <s v="LD7027"/>
    <d v="2024-11-18T00:00:00"/>
    <x v="2"/>
    <s v="Direct / Type-in"/>
    <s v="Desktop"/>
    <s v="Europe"/>
    <s v="Lead"/>
    <m/>
    <m/>
    <m/>
    <n v="1"/>
    <x v="2"/>
    <n v="0"/>
    <n v="0"/>
    <n v="0"/>
  </r>
  <r>
    <s v="LD3724"/>
    <d v="2024-06-04T00:00:00"/>
    <x v="1"/>
    <s v="Google Ads - Generic"/>
    <s v="Mobile"/>
    <s v="Asia Pacific"/>
    <s v="Lead"/>
    <m/>
    <m/>
    <m/>
    <n v="1"/>
    <x v="11"/>
    <n v="0"/>
    <n v="0"/>
    <n v="0"/>
  </r>
  <r>
    <s v="LD7044"/>
    <d v="2024-11-19T00:00:00"/>
    <x v="2"/>
    <s v="Direct / Type-in"/>
    <s v="Desktop"/>
    <s v="Europe"/>
    <s v="MQL"/>
    <m/>
    <m/>
    <m/>
    <n v="2"/>
    <x v="2"/>
    <n v="1"/>
    <n v="0"/>
    <n v="0"/>
  </r>
  <r>
    <s v="LD6776"/>
    <d v="2024-11-13T00:00:00"/>
    <x v="3"/>
    <s v="Promo Blast"/>
    <s v="Desktop"/>
    <s v="North America"/>
    <s v="SQL"/>
    <m/>
    <m/>
    <m/>
    <n v="3"/>
    <x v="2"/>
    <n v="1"/>
    <n v="1"/>
    <n v="0"/>
  </r>
  <r>
    <s v="LD6011"/>
    <d v="2024-10-17T00:00:00"/>
    <x v="3"/>
    <s v="Monthly Newsletter"/>
    <s v="Mobile"/>
    <s v="North America"/>
    <s v="Lead"/>
    <m/>
    <m/>
    <m/>
    <n v="1"/>
    <x v="5"/>
    <n v="0"/>
    <n v="0"/>
    <n v="0"/>
  </r>
  <r>
    <s v="LD2144"/>
    <d v="2024-03-11T00:00:00"/>
    <x v="0"/>
    <s v="Facebook Ads"/>
    <s v="Desktop"/>
    <s v="North America"/>
    <s v="Lead"/>
    <m/>
    <m/>
    <m/>
    <n v="1"/>
    <x v="8"/>
    <n v="0"/>
    <n v="0"/>
    <n v="0"/>
  </r>
  <r>
    <s v="LD1398"/>
    <d v="2024-01-09T00:00:00"/>
    <x v="4"/>
    <s v="Partner Program"/>
    <s v="Desktop"/>
    <s v="Asia Pacific"/>
    <s v="Customer"/>
    <n v="57"/>
    <s v="Enterprise"/>
    <n v="9489.15"/>
    <n v="4"/>
    <x v="3"/>
    <n v="1"/>
    <n v="1"/>
    <n v="1"/>
  </r>
  <r>
    <s v="LD7248"/>
    <d v="2024-12-20T00:00:00"/>
    <x v="1"/>
    <s v="Google Ads - Generic"/>
    <s v="Mobile"/>
    <s v="Latin America"/>
    <s v="Lead"/>
    <m/>
    <m/>
    <m/>
    <n v="1"/>
    <x v="7"/>
    <n v="0"/>
    <n v="0"/>
    <n v="0"/>
  </r>
  <r>
    <s v="LD4897"/>
    <d v="2024-08-05T00:00:00"/>
    <x v="4"/>
    <s v="Partner Program"/>
    <s v="Desktop"/>
    <s v="Europe"/>
    <s v="Customer"/>
    <n v="59"/>
    <s v="Basic"/>
    <n v="920"/>
    <n v="4"/>
    <x v="6"/>
    <n v="1"/>
    <n v="1"/>
    <n v="1"/>
  </r>
  <r>
    <s v="LD1787"/>
    <d v="2024-02-23T00:00:00"/>
    <x v="3"/>
    <s v="Promo Blast"/>
    <s v="Mobile"/>
    <s v="North America"/>
    <s v="Lead"/>
    <m/>
    <m/>
    <m/>
    <n v="1"/>
    <x v="10"/>
    <n v="0"/>
    <n v="0"/>
    <n v="0"/>
  </r>
  <r>
    <s v="LD6816"/>
    <d v="2024-11-04T00:00:00"/>
    <x v="3"/>
    <s v="Monthly Newsletter"/>
    <s v="Desktop"/>
    <s v="Europe"/>
    <s v="MQL"/>
    <m/>
    <m/>
    <m/>
    <n v="2"/>
    <x v="2"/>
    <n v="1"/>
    <n v="0"/>
    <n v="0"/>
  </r>
  <r>
    <s v="LD5532"/>
    <d v="2024-09-12T00:00:00"/>
    <x v="4"/>
    <s v="Affiliate Program"/>
    <s v="Mobile"/>
    <s v="North America"/>
    <s v="Lead"/>
    <m/>
    <m/>
    <m/>
    <n v="1"/>
    <x v="9"/>
    <n v="0"/>
    <n v="0"/>
    <n v="0"/>
  </r>
  <r>
    <s v="LD2399"/>
    <d v="2024-03-10T00:00:00"/>
    <x v="4"/>
    <s v="Affiliate Program"/>
    <s v="Mobile"/>
    <s v="Europe"/>
    <s v="MQL"/>
    <m/>
    <m/>
    <m/>
    <n v="2"/>
    <x v="8"/>
    <n v="1"/>
    <n v="0"/>
    <n v="0"/>
  </r>
  <r>
    <s v="LD2660"/>
    <d v="2024-04-23T00:00:00"/>
    <x v="1"/>
    <s v="Google Ads - Generic"/>
    <s v="Desktop"/>
    <s v="Europe"/>
    <s v="MQL"/>
    <m/>
    <m/>
    <m/>
    <n v="2"/>
    <x v="1"/>
    <n v="1"/>
    <n v="0"/>
    <n v="0"/>
  </r>
  <r>
    <s v="LD7007"/>
    <d v="2024-11-09T00:00:00"/>
    <x v="2"/>
    <s v="Direct / Type-in"/>
    <s v="Desktop"/>
    <s v="Europe"/>
    <s v="MQL"/>
    <m/>
    <m/>
    <m/>
    <n v="2"/>
    <x v="2"/>
    <n v="1"/>
    <n v="0"/>
    <n v="0"/>
  </r>
  <r>
    <s v="LD7063"/>
    <d v="2024-11-03T00:00:00"/>
    <x v="2"/>
    <s v="Direct / Type-in"/>
    <s v="Mobile"/>
    <s v="Asia Pacific"/>
    <s v="Lead"/>
    <m/>
    <m/>
    <m/>
    <n v="1"/>
    <x v="2"/>
    <n v="0"/>
    <n v="0"/>
    <n v="0"/>
  </r>
  <r>
    <s v="LD4135"/>
    <d v="2024-07-25T00:00:00"/>
    <x v="1"/>
    <s v="Google Ads - Brand"/>
    <s v="Desktop"/>
    <s v="North America"/>
    <s v="Customer"/>
    <n v="11"/>
    <s v="Pro"/>
    <n v="3751.03"/>
    <n v="4"/>
    <x v="0"/>
    <n v="1"/>
    <n v="1"/>
    <n v="1"/>
  </r>
  <r>
    <s v="LD4399"/>
    <d v="2024-07-25T00:00:00"/>
    <x v="4"/>
    <s v="Partner Program"/>
    <s v="Desktop"/>
    <s v="Asia Pacific"/>
    <s v="SQL"/>
    <m/>
    <m/>
    <m/>
    <n v="3"/>
    <x v="0"/>
    <n v="1"/>
    <n v="1"/>
    <n v="0"/>
  </r>
  <r>
    <s v="LD3221"/>
    <d v="2024-05-09T00:00:00"/>
    <x v="0"/>
    <s v="LinkedIn Ads"/>
    <s v="Desktop"/>
    <s v="North America"/>
    <s v="Lead"/>
    <m/>
    <m/>
    <m/>
    <n v="1"/>
    <x v="4"/>
    <n v="0"/>
    <n v="0"/>
    <n v="0"/>
  </r>
  <r>
    <s v="LD1980"/>
    <d v="2024-03-22T00:00:00"/>
    <x v="5"/>
    <s v="Landing Page SEO"/>
    <s v="Desktop"/>
    <s v="North America"/>
    <s v="Lead"/>
    <m/>
    <m/>
    <m/>
    <n v="1"/>
    <x v="8"/>
    <n v="0"/>
    <n v="0"/>
    <n v="0"/>
  </r>
  <r>
    <s v="LD3332"/>
    <d v="2024-05-19T00:00:00"/>
    <x v="3"/>
    <s v="Promo Blast"/>
    <s v="Tablet"/>
    <s v="North America"/>
    <s v="MQL"/>
    <m/>
    <m/>
    <m/>
    <n v="2"/>
    <x v="4"/>
    <n v="1"/>
    <n v="0"/>
    <n v="0"/>
  </r>
  <r>
    <s v="LD2299"/>
    <d v="2024-03-26T00:00:00"/>
    <x v="3"/>
    <s v="Promo Blast"/>
    <s v="Desktop"/>
    <s v="Europe"/>
    <s v="Lead"/>
    <m/>
    <m/>
    <m/>
    <n v="1"/>
    <x v="8"/>
    <n v="0"/>
    <n v="0"/>
    <n v="0"/>
  </r>
  <r>
    <s v="LD5705"/>
    <d v="2024-10-15T00:00:00"/>
    <x v="5"/>
    <s v="Blog SEO"/>
    <s v="Desktop"/>
    <s v="Asia Pacific"/>
    <s v="Lead"/>
    <m/>
    <m/>
    <m/>
    <n v="1"/>
    <x v="5"/>
    <n v="0"/>
    <n v="0"/>
    <n v="0"/>
  </r>
  <r>
    <s v="LD6977"/>
    <d v="2024-11-04T00:00:00"/>
    <x v="4"/>
    <s v="Partner Program"/>
    <s v="Desktop"/>
    <s v="Latin America"/>
    <s v="Lead"/>
    <m/>
    <m/>
    <m/>
    <n v="1"/>
    <x v="2"/>
    <n v="0"/>
    <n v="0"/>
    <n v="0"/>
  </r>
  <r>
    <s v="LD6745"/>
    <d v="2024-11-28T00:00:00"/>
    <x v="3"/>
    <s v="Monthly Newsletter"/>
    <s v="Desktop"/>
    <s v="North America"/>
    <s v="SQL"/>
    <m/>
    <m/>
    <m/>
    <n v="3"/>
    <x v="2"/>
    <n v="1"/>
    <n v="1"/>
    <n v="0"/>
  </r>
  <r>
    <s v="LD4694"/>
    <d v="2024-08-25T00:00:00"/>
    <x v="0"/>
    <s v="Facebook Ads"/>
    <s v="Desktop"/>
    <s v="North America"/>
    <s v="Lead"/>
    <m/>
    <m/>
    <m/>
    <n v="1"/>
    <x v="6"/>
    <n v="0"/>
    <n v="0"/>
    <n v="0"/>
  </r>
  <r>
    <s v="LD1083"/>
    <d v="2024-01-24T00:00:00"/>
    <x v="5"/>
    <s v="Landing Page SEO"/>
    <s v="Desktop"/>
    <s v="Asia Pacific"/>
    <s v="Lead"/>
    <m/>
    <m/>
    <m/>
    <n v="1"/>
    <x v="3"/>
    <n v="0"/>
    <n v="0"/>
    <n v="0"/>
  </r>
  <r>
    <s v="LD4985"/>
    <d v="2024-08-25T00:00:00"/>
    <x v="2"/>
    <s v="Direct / Type-in"/>
    <s v="Desktop"/>
    <s v="Europe"/>
    <s v="SQL"/>
    <m/>
    <m/>
    <m/>
    <n v="3"/>
    <x v="6"/>
    <n v="1"/>
    <n v="1"/>
    <n v="0"/>
  </r>
  <r>
    <s v="LD5284"/>
    <d v="2024-09-06T00:00:00"/>
    <x v="0"/>
    <s v="Instagram Ads"/>
    <s v="Desktop"/>
    <s v="Asia Pacific"/>
    <s v="Lead"/>
    <m/>
    <m/>
    <m/>
    <n v="1"/>
    <x v="9"/>
    <n v="0"/>
    <n v="0"/>
    <n v="0"/>
  </r>
  <r>
    <s v="LD6304"/>
    <d v="2024-10-17T00:00:00"/>
    <x v="2"/>
    <s v="Direct / Type-in"/>
    <s v="Mobile"/>
    <s v="Europe"/>
    <s v="SQL"/>
    <m/>
    <m/>
    <m/>
    <n v="3"/>
    <x v="5"/>
    <n v="1"/>
    <n v="1"/>
    <n v="0"/>
  </r>
  <r>
    <s v="LD7247"/>
    <d v="2024-12-09T00:00:00"/>
    <x v="1"/>
    <s v="Google Ads - Brand"/>
    <s v="Desktop"/>
    <s v="Latin America"/>
    <s v="MQL"/>
    <m/>
    <m/>
    <m/>
    <n v="2"/>
    <x v="7"/>
    <n v="1"/>
    <n v="0"/>
    <n v="0"/>
  </r>
  <r>
    <s v="LD6340"/>
    <d v="2024-11-23T00:00:00"/>
    <x v="5"/>
    <s v="Blog SEO"/>
    <s v="Mobile"/>
    <s v="North America"/>
    <s v="MQL"/>
    <m/>
    <m/>
    <m/>
    <n v="2"/>
    <x v="2"/>
    <n v="1"/>
    <n v="0"/>
    <n v="0"/>
  </r>
  <r>
    <s v="LD7001"/>
    <d v="2024-11-14T00:00:00"/>
    <x v="4"/>
    <s v="Affiliate Program"/>
    <s v="Mobile"/>
    <s v="Europe"/>
    <s v="Lead"/>
    <m/>
    <m/>
    <m/>
    <n v="1"/>
    <x v="2"/>
    <n v="0"/>
    <n v="0"/>
    <n v="0"/>
  </r>
  <r>
    <s v="LD3904"/>
    <d v="2024-06-22T00:00:00"/>
    <x v="3"/>
    <s v="Monthly Newsletter"/>
    <s v="Desktop"/>
    <s v="Asia Pacific"/>
    <s v="Lead"/>
    <m/>
    <m/>
    <m/>
    <n v="1"/>
    <x v="11"/>
    <n v="0"/>
    <n v="0"/>
    <n v="0"/>
  </r>
  <r>
    <s v="LD1424"/>
    <d v="2024-01-18T00:00:00"/>
    <x v="2"/>
    <s v="Direct / Type-in"/>
    <s v="Desktop"/>
    <s v="North America"/>
    <s v="Lead"/>
    <m/>
    <m/>
    <m/>
    <n v="1"/>
    <x v="3"/>
    <n v="0"/>
    <n v="0"/>
    <n v="0"/>
  </r>
  <r>
    <s v="LD6874"/>
    <d v="2024-11-19T00:00:00"/>
    <x v="3"/>
    <s v="Promo Blast"/>
    <s v="Desktop"/>
    <s v="North America"/>
    <s v="Lead"/>
    <m/>
    <m/>
    <m/>
    <n v="1"/>
    <x v="2"/>
    <n v="0"/>
    <n v="0"/>
    <n v="0"/>
  </r>
  <r>
    <s v="LD2905"/>
    <d v="2024-04-05T00:00:00"/>
    <x v="4"/>
    <s v="Partner Program"/>
    <s v="Mobile"/>
    <s v="Europe"/>
    <s v="Lead"/>
    <m/>
    <m/>
    <m/>
    <n v="1"/>
    <x v="1"/>
    <n v="0"/>
    <n v="0"/>
    <n v="0"/>
  </r>
  <r>
    <s v="LD7150"/>
    <d v="2024-12-16T00:00:00"/>
    <x v="5"/>
    <s v="Blog SEO"/>
    <s v="Desktop"/>
    <s v="North America"/>
    <s v="Lead"/>
    <m/>
    <m/>
    <m/>
    <n v="1"/>
    <x v="7"/>
    <n v="0"/>
    <n v="0"/>
    <n v="0"/>
  </r>
  <r>
    <s v="LD2531"/>
    <d v="2024-04-26T00:00:00"/>
    <x v="5"/>
    <s v="Blog SEO"/>
    <s v="Desktop"/>
    <s v="Europe"/>
    <s v="MQL"/>
    <m/>
    <m/>
    <m/>
    <n v="2"/>
    <x v="1"/>
    <n v="1"/>
    <n v="0"/>
    <n v="0"/>
  </r>
  <r>
    <s v="LD5811"/>
    <d v="2024-10-28T00:00:00"/>
    <x v="1"/>
    <s v="Google Ads - Generic"/>
    <s v="Mobile"/>
    <s v="Europe"/>
    <s v="Lead"/>
    <m/>
    <m/>
    <m/>
    <n v="1"/>
    <x v="5"/>
    <n v="0"/>
    <n v="0"/>
    <n v="0"/>
  </r>
  <r>
    <s v="LD2566"/>
    <d v="2024-04-23T00:00:00"/>
    <x v="1"/>
    <s v="Google Ads - Brand"/>
    <s v="Mobile"/>
    <s v="North America"/>
    <s v="Lead"/>
    <m/>
    <m/>
    <m/>
    <n v="1"/>
    <x v="1"/>
    <n v="0"/>
    <n v="0"/>
    <n v="0"/>
  </r>
  <r>
    <s v="LD6014"/>
    <d v="2024-10-03T00:00:00"/>
    <x v="3"/>
    <s v="Monthly Newsletter"/>
    <s v="Desktop"/>
    <s v="North America"/>
    <s v="MQL"/>
    <m/>
    <m/>
    <m/>
    <n v="2"/>
    <x v="5"/>
    <n v="1"/>
    <n v="0"/>
    <n v="0"/>
  </r>
  <r>
    <s v="LD4619"/>
    <d v="2024-08-07T00:00:00"/>
    <x v="1"/>
    <s v="Google Ads - Brand"/>
    <s v="Desktop"/>
    <s v="Latin America"/>
    <s v="Lead"/>
    <m/>
    <m/>
    <m/>
    <n v="1"/>
    <x v="6"/>
    <n v="0"/>
    <n v="0"/>
    <n v="0"/>
  </r>
  <r>
    <s v="LD3750"/>
    <d v="2024-06-25T00:00:00"/>
    <x v="0"/>
    <s v="LinkedIn Ads"/>
    <s v="Desktop"/>
    <s v="Europe"/>
    <s v="Lead"/>
    <m/>
    <m/>
    <m/>
    <n v="1"/>
    <x v="11"/>
    <n v="0"/>
    <n v="0"/>
    <n v="0"/>
  </r>
  <r>
    <s v="LD1840"/>
    <d v="2024-02-01T00:00:00"/>
    <x v="4"/>
    <s v="Affiliate Program"/>
    <s v="Mobile"/>
    <s v="Europe"/>
    <s v="MQL"/>
    <m/>
    <m/>
    <m/>
    <n v="2"/>
    <x v="10"/>
    <n v="1"/>
    <n v="0"/>
    <n v="0"/>
  </r>
  <r>
    <s v="LD1501"/>
    <d v="2024-02-25T00:00:00"/>
    <x v="5"/>
    <s v="Blog SEO"/>
    <s v="Mobile"/>
    <s v="Europe"/>
    <s v="Lead"/>
    <m/>
    <m/>
    <m/>
    <n v="1"/>
    <x v="10"/>
    <n v="0"/>
    <n v="0"/>
    <n v="0"/>
  </r>
  <r>
    <s v="LD5150"/>
    <d v="2024-09-24T00:00:00"/>
    <x v="1"/>
    <s v="Google Ads - Generic"/>
    <s v="Mobile"/>
    <s v="North America"/>
    <s v="Lead"/>
    <m/>
    <m/>
    <m/>
    <n v="1"/>
    <x v="9"/>
    <n v="0"/>
    <n v="0"/>
    <n v="0"/>
  </r>
  <r>
    <s v="LD1142"/>
    <d v="2024-01-07T00:00:00"/>
    <x v="1"/>
    <s v="Google Ads - Generic"/>
    <s v="Mobile"/>
    <s v="Europe"/>
    <s v="Lead"/>
    <m/>
    <m/>
    <m/>
    <n v="1"/>
    <x v="3"/>
    <n v="0"/>
    <n v="0"/>
    <n v="0"/>
  </r>
  <r>
    <s v="LD6604"/>
    <d v="2024-11-27T00:00:00"/>
    <x v="0"/>
    <s v="Instagram Ads"/>
    <s v="Desktop"/>
    <s v="Asia Pacific"/>
    <s v="MQL"/>
    <m/>
    <m/>
    <m/>
    <n v="2"/>
    <x v="2"/>
    <n v="1"/>
    <n v="0"/>
    <n v="0"/>
  </r>
  <r>
    <s v="LD3606"/>
    <d v="2024-06-23T00:00:00"/>
    <x v="5"/>
    <s v="Landing Page SEO"/>
    <s v="Mobile"/>
    <s v="Latin America"/>
    <s v="MQL"/>
    <m/>
    <m/>
    <m/>
    <n v="2"/>
    <x v="11"/>
    <n v="1"/>
    <n v="0"/>
    <n v="0"/>
  </r>
  <r>
    <s v="LD6585"/>
    <d v="2024-11-12T00:00:00"/>
    <x v="1"/>
    <s v="Google Ads - Generic"/>
    <s v="Mobile"/>
    <s v="North America"/>
    <s v="Lead"/>
    <m/>
    <m/>
    <m/>
    <n v="1"/>
    <x v="2"/>
    <n v="0"/>
    <n v="0"/>
    <n v="0"/>
  </r>
  <r>
    <s v="LD2378"/>
    <d v="2024-03-10T00:00:00"/>
    <x v="4"/>
    <s v="Affiliate Program"/>
    <s v="Desktop"/>
    <s v="North America"/>
    <s v="Customer"/>
    <n v="64"/>
    <s v="Basic"/>
    <n v="908.95"/>
    <n v="4"/>
    <x v="8"/>
    <n v="1"/>
    <n v="1"/>
    <n v="1"/>
  </r>
  <r>
    <s v="LD4675"/>
    <d v="2024-08-08T00:00:00"/>
    <x v="1"/>
    <s v="Google Ads - Brand"/>
    <s v="Desktop"/>
    <s v="North America"/>
    <s v="Lead"/>
    <m/>
    <m/>
    <m/>
    <n v="1"/>
    <x v="6"/>
    <n v="0"/>
    <n v="0"/>
    <n v="0"/>
  </r>
  <r>
    <s v="LD6271"/>
    <d v="2024-10-11T00:00:00"/>
    <x v="2"/>
    <s v="Direct / Type-in"/>
    <s v="Mobile"/>
    <s v="North America"/>
    <s v="Lead"/>
    <m/>
    <m/>
    <m/>
    <n v="1"/>
    <x v="5"/>
    <n v="0"/>
    <n v="0"/>
    <n v="0"/>
  </r>
  <r>
    <s v="LD7649"/>
    <d v="2024-12-05T00:00:00"/>
    <x v="4"/>
    <s v="Affiliate Program"/>
    <s v="Desktop"/>
    <s v="North America"/>
    <s v="MQL"/>
    <m/>
    <m/>
    <m/>
    <n v="2"/>
    <x v="7"/>
    <n v="1"/>
    <n v="0"/>
    <n v="0"/>
  </r>
  <r>
    <s v="LD3267"/>
    <d v="2024-05-16T00:00:00"/>
    <x v="0"/>
    <s v="Facebook Ads"/>
    <s v="Mobile"/>
    <s v="North America"/>
    <s v="MQL"/>
    <m/>
    <m/>
    <m/>
    <n v="2"/>
    <x v="4"/>
    <n v="1"/>
    <n v="0"/>
    <n v="0"/>
  </r>
  <r>
    <s v="LD4323"/>
    <d v="2024-07-24T00:00:00"/>
    <x v="3"/>
    <s v="Promo Blast"/>
    <s v="Mobile"/>
    <s v="North America"/>
    <s v="Lead"/>
    <m/>
    <m/>
    <m/>
    <n v="1"/>
    <x v="0"/>
    <n v="0"/>
    <n v="0"/>
    <n v="0"/>
  </r>
  <r>
    <s v="LD6075"/>
    <d v="2024-10-09T00:00:00"/>
    <x v="3"/>
    <s v="Monthly Newsletter"/>
    <s v="Tablet"/>
    <s v="North America"/>
    <s v="Lead"/>
    <m/>
    <m/>
    <m/>
    <n v="1"/>
    <x v="5"/>
    <n v="0"/>
    <n v="0"/>
    <n v="0"/>
  </r>
  <r>
    <s v="LD4809"/>
    <d v="2024-08-13T00:00:00"/>
    <x v="3"/>
    <s v="Monthly Newsletter"/>
    <s v="Mobile"/>
    <s v="North America"/>
    <s v="MQL"/>
    <m/>
    <m/>
    <m/>
    <n v="2"/>
    <x v="6"/>
    <n v="1"/>
    <n v="0"/>
    <n v="0"/>
  </r>
  <r>
    <s v="LD2139"/>
    <d v="2024-03-02T00:00:00"/>
    <x v="0"/>
    <s v="Facebook Ads"/>
    <s v="Desktop"/>
    <s v="Europe"/>
    <s v="Lead"/>
    <m/>
    <m/>
    <m/>
    <n v="1"/>
    <x v="8"/>
    <n v="0"/>
    <n v="0"/>
    <n v="0"/>
  </r>
  <r>
    <s v="LD3258"/>
    <d v="2024-05-19T00:00:00"/>
    <x v="0"/>
    <s v="Instagram Ads"/>
    <s v="Mobile"/>
    <s v="Latin America"/>
    <s v="MQL"/>
    <m/>
    <m/>
    <m/>
    <n v="2"/>
    <x v="4"/>
    <n v="1"/>
    <n v="0"/>
    <n v="0"/>
  </r>
  <r>
    <s v="LD6919"/>
    <d v="2024-11-04T00:00:00"/>
    <x v="4"/>
    <s v="Partner Program"/>
    <s v="Mobile"/>
    <s v="Europe"/>
    <s v="MQL"/>
    <m/>
    <m/>
    <m/>
    <n v="2"/>
    <x v="2"/>
    <n v="1"/>
    <n v="0"/>
    <n v="0"/>
  </r>
  <r>
    <s v="LD1845"/>
    <d v="2024-02-19T00:00:00"/>
    <x v="4"/>
    <s v="Affiliate Program"/>
    <s v="Desktop"/>
    <s v="North America"/>
    <s v="Lead"/>
    <m/>
    <m/>
    <m/>
    <n v="1"/>
    <x v="10"/>
    <n v="0"/>
    <n v="0"/>
    <n v="0"/>
  </r>
  <r>
    <s v="LD2788"/>
    <d v="2024-04-01T00:00:00"/>
    <x v="3"/>
    <s v="Monthly Newsletter"/>
    <s v="Desktop"/>
    <s v="North America"/>
    <s v="MQL"/>
    <m/>
    <m/>
    <m/>
    <n v="2"/>
    <x v="1"/>
    <n v="1"/>
    <n v="0"/>
    <n v="0"/>
  </r>
  <r>
    <s v="LD5386"/>
    <d v="2024-09-02T00:00:00"/>
    <x v="3"/>
    <s v="Promo Blast"/>
    <s v="Desktop"/>
    <s v="North America"/>
    <s v="Lead"/>
    <m/>
    <m/>
    <m/>
    <n v="1"/>
    <x v="9"/>
    <n v="0"/>
    <n v="0"/>
    <n v="0"/>
  </r>
  <r>
    <s v="LD1551"/>
    <d v="2024-02-06T00:00:00"/>
    <x v="5"/>
    <s v="Landing Page SEO"/>
    <s v="Desktop"/>
    <s v="North America"/>
    <s v="SQL"/>
    <m/>
    <m/>
    <m/>
    <n v="3"/>
    <x v="10"/>
    <n v="1"/>
    <n v="1"/>
    <n v="0"/>
  </r>
  <r>
    <s v="LD6630"/>
    <d v="2024-11-22T00:00:00"/>
    <x v="0"/>
    <s v="Facebook Ads"/>
    <s v="Mobile"/>
    <s v="Latin America"/>
    <s v="Lead"/>
    <m/>
    <m/>
    <m/>
    <n v="1"/>
    <x v="2"/>
    <n v="0"/>
    <n v="0"/>
    <n v="0"/>
  </r>
  <r>
    <s v="LD1460"/>
    <d v="2024-01-27T00:00:00"/>
    <x v="2"/>
    <s v="Direct / Type-in"/>
    <s v="Desktop"/>
    <s v="North America"/>
    <s v="MQL"/>
    <m/>
    <m/>
    <m/>
    <n v="2"/>
    <x v="3"/>
    <n v="1"/>
    <n v="0"/>
    <n v="0"/>
  </r>
  <r>
    <s v="LD3020"/>
    <d v="2024-05-12T00:00:00"/>
    <x v="5"/>
    <s v="Landing Page SEO"/>
    <s v="Desktop"/>
    <s v="Asia Pacific"/>
    <s v="Lead"/>
    <m/>
    <m/>
    <m/>
    <n v="1"/>
    <x v="4"/>
    <n v="0"/>
    <n v="0"/>
    <n v="0"/>
  </r>
  <r>
    <s v="LD5508"/>
    <d v="2024-09-25T00:00:00"/>
    <x v="4"/>
    <s v="Partner Program"/>
    <s v="Desktop"/>
    <s v="North America"/>
    <s v="MQL"/>
    <m/>
    <m/>
    <m/>
    <n v="2"/>
    <x v="9"/>
    <n v="1"/>
    <n v="0"/>
    <n v="0"/>
  </r>
  <r>
    <s v="LD7470"/>
    <d v="2024-12-18T00:00:00"/>
    <x v="3"/>
    <s v="Promo Blast"/>
    <s v="Desktop"/>
    <s v="North America"/>
    <s v="Lead"/>
    <m/>
    <m/>
    <m/>
    <n v="1"/>
    <x v="7"/>
    <n v="0"/>
    <n v="0"/>
    <n v="0"/>
  </r>
  <r>
    <s v="LD1949"/>
    <d v="2024-03-18T00:00:00"/>
    <x v="5"/>
    <s v="Blog SEO"/>
    <s v="Tablet"/>
    <s v="North America"/>
    <s v="MQL"/>
    <m/>
    <m/>
    <m/>
    <n v="2"/>
    <x v="8"/>
    <n v="1"/>
    <n v="0"/>
    <n v="0"/>
  </r>
  <r>
    <s v="LD4701"/>
    <d v="2024-08-09T00:00:00"/>
    <x v="0"/>
    <s v="Facebook Ads"/>
    <s v="Desktop"/>
    <s v="North America"/>
    <s v="MQL"/>
    <m/>
    <m/>
    <m/>
    <n v="2"/>
    <x v="6"/>
    <n v="1"/>
    <n v="0"/>
    <n v="0"/>
  </r>
  <r>
    <s v="LD2337"/>
    <d v="2024-03-23T00:00:00"/>
    <x v="4"/>
    <s v="Affiliate Program"/>
    <s v="Mobile"/>
    <s v="Asia Pacific"/>
    <s v="SQL"/>
    <m/>
    <m/>
    <m/>
    <n v="3"/>
    <x v="8"/>
    <n v="1"/>
    <n v="1"/>
    <n v="0"/>
  </r>
  <r>
    <s v="LD5014"/>
    <d v="2024-08-22T00:00:00"/>
    <x v="2"/>
    <s v="Direct / Type-in"/>
    <s v="Desktop"/>
    <s v="North America"/>
    <s v="Lead"/>
    <m/>
    <m/>
    <m/>
    <n v="1"/>
    <x v="6"/>
    <n v="0"/>
    <n v="0"/>
    <n v="0"/>
  </r>
  <r>
    <s v="LD1533"/>
    <d v="2024-02-19T00:00:00"/>
    <x v="5"/>
    <s v="Blog SEO"/>
    <s v="Mobile"/>
    <s v="North America"/>
    <s v="Lead"/>
    <m/>
    <m/>
    <m/>
    <n v="1"/>
    <x v="10"/>
    <n v="0"/>
    <n v="0"/>
    <n v="0"/>
  </r>
  <r>
    <s v="LD4263"/>
    <d v="2024-07-19T00:00:00"/>
    <x v="0"/>
    <s v="LinkedIn Ads"/>
    <s v="Desktop"/>
    <s v="North America"/>
    <s v="Lead"/>
    <m/>
    <m/>
    <m/>
    <n v="1"/>
    <x v="0"/>
    <n v="0"/>
    <n v="0"/>
    <n v="0"/>
  </r>
  <r>
    <s v="LD6210"/>
    <d v="2024-10-26T00:00:00"/>
    <x v="4"/>
    <s v="Affiliate Program"/>
    <s v="Desktop"/>
    <s v="North America"/>
    <s v="SQL"/>
    <m/>
    <m/>
    <m/>
    <n v="3"/>
    <x v="5"/>
    <n v="1"/>
    <n v="1"/>
    <n v="0"/>
  </r>
  <r>
    <s v="LD2830"/>
    <d v="2024-04-17T00:00:00"/>
    <x v="3"/>
    <s v="Promo Blast"/>
    <s v="Desktop"/>
    <s v="North America"/>
    <s v="Lead"/>
    <m/>
    <m/>
    <m/>
    <n v="1"/>
    <x v="1"/>
    <n v="0"/>
    <n v="0"/>
    <n v="0"/>
  </r>
  <r>
    <s v="LD7493"/>
    <d v="2024-12-09T00:00:00"/>
    <x v="3"/>
    <s v="Monthly Newsletter"/>
    <s v="Mobile"/>
    <s v="Asia Pacific"/>
    <s v="SQL"/>
    <m/>
    <m/>
    <m/>
    <n v="3"/>
    <x v="7"/>
    <n v="1"/>
    <n v="1"/>
    <n v="0"/>
  </r>
  <r>
    <s v="LD6985"/>
    <d v="2024-11-22T00:00:00"/>
    <x v="4"/>
    <s v="Affiliate Program"/>
    <s v="Tablet"/>
    <s v="Asia Pacific"/>
    <s v="MQL"/>
    <m/>
    <m/>
    <m/>
    <n v="2"/>
    <x v="2"/>
    <n v="1"/>
    <n v="0"/>
    <n v="0"/>
  </r>
  <r>
    <s v="LD6398"/>
    <d v="2024-11-26T00:00:00"/>
    <x v="5"/>
    <s v="Landing Page SEO"/>
    <s v="Mobile"/>
    <s v="Europe"/>
    <s v="MQL"/>
    <m/>
    <m/>
    <m/>
    <n v="2"/>
    <x v="2"/>
    <n v="1"/>
    <n v="0"/>
    <n v="0"/>
  </r>
  <r>
    <s v="LD7547"/>
    <d v="2024-12-03T00:00:00"/>
    <x v="3"/>
    <s v="Promo Blast"/>
    <s v="Desktop"/>
    <s v="Europe"/>
    <s v="MQL"/>
    <m/>
    <m/>
    <m/>
    <n v="2"/>
    <x v="7"/>
    <n v="1"/>
    <n v="0"/>
    <n v="0"/>
  </r>
  <r>
    <s v="LD2603"/>
    <d v="2024-04-15T00:00:00"/>
    <x v="1"/>
    <s v="Google Ads - Generic"/>
    <s v="Desktop"/>
    <s v="Europe"/>
    <s v="Lead"/>
    <m/>
    <m/>
    <m/>
    <n v="1"/>
    <x v="1"/>
    <n v="0"/>
    <n v="0"/>
    <n v="0"/>
  </r>
  <r>
    <s v="LD3239"/>
    <d v="2024-05-27T00:00:00"/>
    <x v="0"/>
    <s v="Facebook Ads"/>
    <s v="Desktop"/>
    <s v="Europe"/>
    <s v="MQL"/>
    <m/>
    <m/>
    <m/>
    <n v="2"/>
    <x v="4"/>
    <n v="1"/>
    <n v="0"/>
    <n v="0"/>
  </r>
  <r>
    <s v="LD1640"/>
    <d v="2024-02-13T00:00:00"/>
    <x v="1"/>
    <s v="Google Ads - Brand"/>
    <s v="Desktop"/>
    <s v="North America"/>
    <s v="Lead"/>
    <m/>
    <m/>
    <m/>
    <n v="1"/>
    <x v="10"/>
    <n v="0"/>
    <n v="0"/>
    <n v="0"/>
  </r>
  <r>
    <s v="LD7551"/>
    <d v="2024-12-14T00:00:00"/>
    <x v="3"/>
    <s v="Promo Blast"/>
    <s v="Desktop"/>
    <s v="Europe"/>
    <s v="Lead"/>
    <m/>
    <m/>
    <m/>
    <n v="1"/>
    <x v="7"/>
    <n v="0"/>
    <n v="0"/>
    <n v="0"/>
  </r>
  <r>
    <s v="LD4831"/>
    <d v="2024-08-07T00:00:00"/>
    <x v="3"/>
    <s v="Monthly Newsletter"/>
    <s v="Desktop"/>
    <s v="North America"/>
    <s v="Customer"/>
    <n v="45"/>
    <s v="Basic"/>
    <n v="1478.89"/>
    <n v="4"/>
    <x v="6"/>
    <n v="1"/>
    <n v="1"/>
    <n v="1"/>
  </r>
  <r>
    <s v="LD1968"/>
    <d v="2024-03-24T00:00:00"/>
    <x v="5"/>
    <s v="Blog SEO"/>
    <s v="Mobile"/>
    <s v="North America"/>
    <s v="Lead"/>
    <m/>
    <m/>
    <m/>
    <n v="1"/>
    <x v="8"/>
    <n v="0"/>
    <n v="0"/>
    <n v="0"/>
  </r>
  <r>
    <s v="LD6730"/>
    <d v="2024-11-14T00:00:00"/>
    <x v="3"/>
    <s v="Promo Blast"/>
    <s v="Mobile"/>
    <s v="North America"/>
    <s v="MQL"/>
    <m/>
    <m/>
    <m/>
    <n v="2"/>
    <x v="2"/>
    <n v="1"/>
    <n v="0"/>
    <n v="0"/>
  </r>
  <r>
    <s v="LD1124"/>
    <d v="2024-01-15T00:00:00"/>
    <x v="1"/>
    <s v="Google Ads - Generic"/>
    <s v="Desktop"/>
    <s v="Europe"/>
    <s v="Lead"/>
    <m/>
    <m/>
    <m/>
    <n v="1"/>
    <x v="3"/>
    <n v="0"/>
    <n v="0"/>
    <n v="0"/>
  </r>
  <r>
    <s v="LD2684"/>
    <d v="2024-04-14T00:00:00"/>
    <x v="0"/>
    <s v="Instagram Ads"/>
    <s v="Desktop"/>
    <s v="North America"/>
    <s v="Lead"/>
    <m/>
    <m/>
    <m/>
    <n v="1"/>
    <x v="1"/>
    <n v="0"/>
    <n v="0"/>
    <n v="0"/>
  </r>
  <r>
    <s v="LD3249"/>
    <d v="2024-05-20T00:00:00"/>
    <x v="0"/>
    <s v="Facebook Ads"/>
    <s v="Desktop"/>
    <s v="Europe"/>
    <s v="Lead"/>
    <m/>
    <m/>
    <m/>
    <n v="1"/>
    <x v="4"/>
    <n v="0"/>
    <n v="0"/>
    <n v="0"/>
  </r>
  <r>
    <s v="LD7611"/>
    <d v="2024-12-05T00:00:00"/>
    <x v="4"/>
    <s v="Partner Program"/>
    <s v="Desktop"/>
    <s v="North America"/>
    <s v="Lead"/>
    <m/>
    <m/>
    <m/>
    <n v="1"/>
    <x v="7"/>
    <n v="0"/>
    <n v="0"/>
    <n v="0"/>
  </r>
  <r>
    <s v="LD7060"/>
    <d v="2024-11-08T00:00:00"/>
    <x v="2"/>
    <s v="Direct / Type-in"/>
    <s v="Mobile"/>
    <s v="North America"/>
    <s v="MQL"/>
    <m/>
    <m/>
    <m/>
    <n v="2"/>
    <x v="2"/>
    <n v="1"/>
    <n v="0"/>
    <n v="0"/>
  </r>
  <r>
    <s v="LD2071"/>
    <d v="2024-03-22T00:00:00"/>
    <x v="1"/>
    <s v="Google Ads - Brand"/>
    <s v="Desktop"/>
    <s v="North America"/>
    <s v="Lead"/>
    <m/>
    <m/>
    <m/>
    <n v="1"/>
    <x v="8"/>
    <n v="0"/>
    <n v="0"/>
    <n v="0"/>
  </r>
  <r>
    <s v="LD1156"/>
    <d v="2024-01-05T00:00:00"/>
    <x v="1"/>
    <s v="Google Ads - Generic"/>
    <s v="Tablet"/>
    <s v="North America"/>
    <s v="Lead"/>
    <m/>
    <m/>
    <m/>
    <n v="1"/>
    <x v="3"/>
    <n v="0"/>
    <n v="0"/>
    <n v="0"/>
  </r>
  <r>
    <s v="LD3296"/>
    <d v="2024-05-15T00:00:00"/>
    <x v="3"/>
    <s v="Monthly Newsletter"/>
    <s v="Desktop"/>
    <s v="Asia Pacific"/>
    <s v="Lead"/>
    <m/>
    <m/>
    <m/>
    <n v="1"/>
    <x v="4"/>
    <n v="0"/>
    <n v="0"/>
    <n v="0"/>
  </r>
  <r>
    <s v="LD5309"/>
    <d v="2024-09-14T00:00:00"/>
    <x v="3"/>
    <s v="Promo Blast"/>
    <s v="Desktop"/>
    <s v="Europe"/>
    <s v="Lead"/>
    <m/>
    <m/>
    <m/>
    <n v="1"/>
    <x v="9"/>
    <n v="0"/>
    <n v="0"/>
    <n v="0"/>
  </r>
  <r>
    <s v="LD5601"/>
    <d v="2024-09-12T00:00:00"/>
    <x v="2"/>
    <s v="Direct / Type-in"/>
    <s v="Mobile"/>
    <s v="North America"/>
    <s v="Lead"/>
    <m/>
    <m/>
    <m/>
    <n v="1"/>
    <x v="9"/>
    <n v="0"/>
    <n v="0"/>
    <n v="0"/>
  </r>
  <r>
    <s v="LD2090"/>
    <d v="2024-03-18T00:00:00"/>
    <x v="1"/>
    <s v="Google Ads - Generic"/>
    <s v="Mobile"/>
    <s v="Asia Pacific"/>
    <s v="SQL"/>
    <m/>
    <m/>
    <m/>
    <n v="3"/>
    <x v="8"/>
    <n v="1"/>
    <n v="1"/>
    <n v="0"/>
  </r>
  <r>
    <s v="LD5447"/>
    <d v="2024-09-20T00:00:00"/>
    <x v="3"/>
    <s v="Promo Blast"/>
    <s v="Desktop"/>
    <s v="North America"/>
    <s v="MQL"/>
    <m/>
    <m/>
    <m/>
    <n v="2"/>
    <x v="9"/>
    <n v="1"/>
    <n v="0"/>
    <n v="0"/>
  </r>
  <r>
    <s v="LD3320"/>
    <d v="2024-05-02T00:00:00"/>
    <x v="3"/>
    <s v="Promo Blast"/>
    <s v="Mobile"/>
    <s v="North America"/>
    <s v="Lead"/>
    <m/>
    <m/>
    <m/>
    <n v="1"/>
    <x v="4"/>
    <n v="0"/>
    <n v="0"/>
    <n v="0"/>
  </r>
  <r>
    <s v="LD3941"/>
    <d v="2024-06-16T00:00:00"/>
    <x v="4"/>
    <s v="Affiliate Program"/>
    <s v="Mobile"/>
    <s v="North America"/>
    <s v="Lead"/>
    <m/>
    <m/>
    <m/>
    <n v="1"/>
    <x v="11"/>
    <n v="0"/>
    <n v="0"/>
    <n v="0"/>
  </r>
  <r>
    <s v="LD7778"/>
    <d v="2024-12-01T00:00:00"/>
    <x v="2"/>
    <s v="Direct / Type-in"/>
    <s v="Desktop"/>
    <s v="North America"/>
    <s v="Lead"/>
    <m/>
    <m/>
    <m/>
    <n v="1"/>
    <x v="7"/>
    <n v="0"/>
    <n v="0"/>
    <n v="0"/>
  </r>
  <r>
    <s v="LD1289"/>
    <d v="2024-01-12T00:00:00"/>
    <x v="3"/>
    <s v="Promo Blast"/>
    <s v="Desktop"/>
    <s v="Europe"/>
    <s v="Lead"/>
    <m/>
    <m/>
    <m/>
    <n v="1"/>
    <x v="3"/>
    <n v="0"/>
    <n v="0"/>
    <n v="0"/>
  </r>
  <r>
    <s v="LD1931"/>
    <d v="2024-02-04T00:00:00"/>
    <x v="2"/>
    <s v="Direct / Type-in"/>
    <s v="Desktop"/>
    <s v="North America"/>
    <s v="Lead"/>
    <m/>
    <m/>
    <m/>
    <n v="1"/>
    <x v="10"/>
    <n v="0"/>
    <n v="0"/>
    <n v="0"/>
  </r>
  <r>
    <s v="LD5651"/>
    <d v="2024-10-04T00:00:00"/>
    <x v="5"/>
    <s v="Blog SEO"/>
    <s v="Desktop"/>
    <s v="North America"/>
    <s v="MQL"/>
    <m/>
    <m/>
    <m/>
    <n v="2"/>
    <x v="5"/>
    <n v="1"/>
    <n v="0"/>
    <n v="0"/>
  </r>
  <r>
    <s v="LD3910"/>
    <d v="2024-06-20T00:00:00"/>
    <x v="3"/>
    <s v="Promo Blast"/>
    <s v="Desktop"/>
    <s v="Europe"/>
    <s v="Customer"/>
    <n v="65"/>
    <s v="Basic"/>
    <n v="775.46"/>
    <n v="4"/>
    <x v="11"/>
    <n v="1"/>
    <n v="1"/>
    <n v="1"/>
  </r>
  <r>
    <s v="LD5352"/>
    <d v="2024-09-22T00:00:00"/>
    <x v="3"/>
    <s v="Monthly Newsletter"/>
    <s v="Desktop"/>
    <s v="Europe"/>
    <s v="SQL"/>
    <m/>
    <m/>
    <m/>
    <n v="3"/>
    <x v="9"/>
    <n v="1"/>
    <n v="1"/>
    <n v="0"/>
  </r>
  <r>
    <s v="LD6266"/>
    <d v="2024-10-22T00:00:00"/>
    <x v="2"/>
    <s v="Direct / Type-in"/>
    <s v="Desktop"/>
    <s v="Latin America"/>
    <s v="Lead"/>
    <m/>
    <m/>
    <m/>
    <n v="1"/>
    <x v="5"/>
    <n v="0"/>
    <n v="0"/>
    <n v="0"/>
  </r>
  <r>
    <s v="LD3885"/>
    <d v="2024-06-05T00:00:00"/>
    <x v="3"/>
    <s v="Monthly Newsletter"/>
    <s v="Desktop"/>
    <s v="North America"/>
    <s v="Lead"/>
    <m/>
    <m/>
    <m/>
    <n v="1"/>
    <x v="11"/>
    <n v="0"/>
    <n v="0"/>
    <n v="0"/>
  </r>
  <r>
    <s v="LD5218"/>
    <d v="2024-09-02T00:00:00"/>
    <x v="1"/>
    <s v="Google Ads - Generic"/>
    <s v="Mobile"/>
    <s v="Asia Pacific"/>
    <s v="Lead"/>
    <m/>
    <m/>
    <m/>
    <n v="1"/>
    <x v="9"/>
    <n v="0"/>
    <n v="0"/>
    <n v="0"/>
  </r>
  <r>
    <s v="LD4734"/>
    <d v="2024-08-09T00:00:00"/>
    <x v="0"/>
    <s v="Instagram Ads"/>
    <s v="Mobile"/>
    <s v="North America"/>
    <s v="Lead"/>
    <m/>
    <m/>
    <m/>
    <n v="1"/>
    <x v="6"/>
    <n v="0"/>
    <n v="0"/>
    <n v="0"/>
  </r>
  <r>
    <s v="LD7220"/>
    <d v="2024-12-08T00:00:00"/>
    <x v="1"/>
    <s v="Google Ads - Generic"/>
    <s v="Mobile"/>
    <s v="North America"/>
    <s v="Lead"/>
    <m/>
    <m/>
    <m/>
    <n v="1"/>
    <x v="7"/>
    <n v="0"/>
    <n v="0"/>
    <n v="0"/>
  </r>
  <r>
    <s v="LD4248"/>
    <d v="2024-07-26T00:00:00"/>
    <x v="0"/>
    <s v="Instagram Ads"/>
    <s v="Desktop"/>
    <s v="Asia Pacific"/>
    <s v="MQL"/>
    <m/>
    <m/>
    <m/>
    <n v="2"/>
    <x v="0"/>
    <n v="1"/>
    <n v="0"/>
    <n v="0"/>
  </r>
  <r>
    <s v="LD7156"/>
    <d v="2024-12-26T00:00:00"/>
    <x v="5"/>
    <s v="Blog SEO"/>
    <s v="Desktop"/>
    <s v="Europe"/>
    <s v="Lead"/>
    <m/>
    <m/>
    <m/>
    <n v="1"/>
    <x v="7"/>
    <n v="0"/>
    <n v="0"/>
    <n v="0"/>
  </r>
  <r>
    <s v="LD4001"/>
    <d v="2024-06-20T00:00:00"/>
    <x v="2"/>
    <s v="Direct / Type-in"/>
    <s v="Desktop"/>
    <s v="North America"/>
    <s v="Lead"/>
    <m/>
    <m/>
    <m/>
    <n v="1"/>
    <x v="11"/>
    <n v="0"/>
    <n v="0"/>
    <n v="0"/>
  </r>
  <r>
    <s v="LD6029"/>
    <d v="2024-10-04T00:00:00"/>
    <x v="3"/>
    <s v="Monthly Newsletter"/>
    <s v="Desktop"/>
    <s v="Latin America"/>
    <s v="Customer"/>
    <n v="73"/>
    <s v="Basic"/>
    <n v="1061.93"/>
    <n v="4"/>
    <x v="5"/>
    <n v="1"/>
    <n v="1"/>
    <n v="1"/>
  </r>
  <r>
    <s v="LD2338"/>
    <d v="2024-03-21T00:00:00"/>
    <x v="4"/>
    <s v="Partner Program"/>
    <s v="Mobile"/>
    <s v="North America"/>
    <s v="Lead"/>
    <m/>
    <m/>
    <m/>
    <n v="1"/>
    <x v="8"/>
    <n v="0"/>
    <n v="0"/>
    <n v="0"/>
  </r>
  <r>
    <s v="LD7687"/>
    <d v="2024-12-02T00:00:00"/>
    <x v="4"/>
    <s v="Affiliate Program"/>
    <s v="Desktop"/>
    <s v="North America"/>
    <s v="Lead"/>
    <m/>
    <m/>
    <m/>
    <n v="1"/>
    <x v="7"/>
    <n v="0"/>
    <n v="0"/>
    <n v="0"/>
  </r>
  <r>
    <s v="LD1943"/>
    <d v="2024-02-15T00:00:00"/>
    <x v="2"/>
    <s v="Direct / Type-in"/>
    <s v="Mobile"/>
    <s v="Europe"/>
    <s v="Lead"/>
    <m/>
    <m/>
    <m/>
    <n v="1"/>
    <x v="10"/>
    <n v="0"/>
    <n v="0"/>
    <n v="0"/>
  </r>
  <r>
    <s v="LD3355"/>
    <d v="2024-05-01T00:00:00"/>
    <x v="3"/>
    <s v="Monthly Newsletter"/>
    <s v="Desktop"/>
    <s v="Asia Pacific"/>
    <s v="Lead"/>
    <m/>
    <m/>
    <m/>
    <n v="1"/>
    <x v="4"/>
    <n v="0"/>
    <n v="0"/>
    <n v="0"/>
  </r>
  <r>
    <s v="LD7207"/>
    <d v="2024-12-22T00:00:00"/>
    <x v="1"/>
    <s v="Google Ads - Brand"/>
    <s v="Desktop"/>
    <s v="North America"/>
    <s v="MQL"/>
    <m/>
    <m/>
    <m/>
    <n v="2"/>
    <x v="7"/>
    <n v="1"/>
    <n v="0"/>
    <n v="0"/>
  </r>
  <r>
    <s v="LD7371"/>
    <d v="2024-12-18T00:00:00"/>
    <x v="0"/>
    <s v="Facebook Ads"/>
    <s v="Desktop"/>
    <s v="North America"/>
    <s v="Lead"/>
    <m/>
    <m/>
    <m/>
    <n v="1"/>
    <x v="7"/>
    <n v="0"/>
    <n v="0"/>
    <n v="0"/>
  </r>
  <r>
    <s v="LD7319"/>
    <d v="2024-12-13T00:00:00"/>
    <x v="1"/>
    <s v="Google Ads - Generic"/>
    <s v="Tablet"/>
    <s v="Europe"/>
    <s v="Lead"/>
    <m/>
    <m/>
    <m/>
    <n v="1"/>
    <x v="7"/>
    <n v="0"/>
    <n v="0"/>
    <n v="0"/>
  </r>
  <r>
    <s v="LD2699"/>
    <d v="2024-04-12T00:00:00"/>
    <x v="0"/>
    <s v="Instagram Ads"/>
    <s v="Desktop"/>
    <s v="Asia Pacific"/>
    <s v="Lead"/>
    <m/>
    <m/>
    <m/>
    <n v="1"/>
    <x v="1"/>
    <n v="0"/>
    <n v="0"/>
    <n v="0"/>
  </r>
  <r>
    <s v="LD7380"/>
    <d v="2024-12-22T00:00:00"/>
    <x v="0"/>
    <s v="Facebook Ads"/>
    <s v="Mobile"/>
    <s v="Latin America"/>
    <s v="Lead"/>
    <m/>
    <m/>
    <m/>
    <n v="1"/>
    <x v="7"/>
    <n v="0"/>
    <n v="0"/>
    <n v="0"/>
  </r>
  <r>
    <s v="LD5687"/>
    <d v="2024-10-20T00:00:00"/>
    <x v="5"/>
    <s v="Blog SEO"/>
    <s v="Desktop"/>
    <s v="Europe"/>
    <s v="MQL"/>
    <m/>
    <m/>
    <m/>
    <n v="2"/>
    <x v="5"/>
    <n v="1"/>
    <n v="0"/>
    <n v="0"/>
  </r>
  <r>
    <s v="LD7745"/>
    <d v="2024-12-05T00:00:00"/>
    <x v="2"/>
    <s v="Direct / Type-in"/>
    <s v="Tablet"/>
    <s v="Europe"/>
    <s v="Lead"/>
    <m/>
    <m/>
    <m/>
    <n v="1"/>
    <x v="7"/>
    <n v="0"/>
    <n v="0"/>
    <n v="0"/>
  </r>
  <r>
    <s v="LD5576"/>
    <d v="2024-09-28T00:00:00"/>
    <x v="2"/>
    <s v="Direct / Type-in"/>
    <s v="Desktop"/>
    <s v="North America"/>
    <s v="Lead"/>
    <m/>
    <m/>
    <m/>
    <n v="1"/>
    <x v="9"/>
    <n v="0"/>
    <n v="0"/>
    <n v="0"/>
  </r>
  <r>
    <s v="LD4832"/>
    <d v="2024-08-23T00:00:00"/>
    <x v="3"/>
    <s v="Promo Blast"/>
    <s v="Mobile"/>
    <s v="North America"/>
    <s v="Lead"/>
    <m/>
    <m/>
    <m/>
    <n v="1"/>
    <x v="6"/>
    <n v="0"/>
    <n v="0"/>
    <n v="0"/>
  </r>
  <r>
    <s v="LD6967"/>
    <d v="2024-11-05T00:00:00"/>
    <x v="4"/>
    <s v="Affiliate Program"/>
    <s v="Mobile"/>
    <s v="North America"/>
    <s v="Lead"/>
    <m/>
    <m/>
    <m/>
    <n v="1"/>
    <x v="2"/>
    <n v="0"/>
    <n v="0"/>
    <n v="0"/>
  </r>
  <r>
    <s v="LD7176"/>
    <d v="2024-12-02T00:00:00"/>
    <x v="5"/>
    <s v="Blog SEO"/>
    <s v="Desktop"/>
    <s v="North America"/>
    <s v="MQL"/>
    <m/>
    <m/>
    <m/>
    <n v="2"/>
    <x v="7"/>
    <n v="1"/>
    <n v="0"/>
    <n v="0"/>
  </r>
  <r>
    <s v="LD1986"/>
    <d v="2024-03-01T00:00:00"/>
    <x v="5"/>
    <s v="Landing Page SEO"/>
    <s v="Mobile"/>
    <s v="North America"/>
    <s v="Lead"/>
    <m/>
    <m/>
    <m/>
    <n v="1"/>
    <x v="8"/>
    <n v="0"/>
    <n v="0"/>
    <n v="0"/>
  </r>
  <r>
    <s v="LD2822"/>
    <d v="2024-04-25T00:00:00"/>
    <x v="3"/>
    <s v="Promo Blast"/>
    <s v="Mobile"/>
    <s v="North America"/>
    <s v="SQL"/>
    <m/>
    <m/>
    <m/>
    <n v="3"/>
    <x v="1"/>
    <n v="1"/>
    <n v="1"/>
    <n v="0"/>
  </r>
  <r>
    <s v="LD5033"/>
    <d v="2024-09-12T00:00:00"/>
    <x v="5"/>
    <s v="Blog SEO"/>
    <s v="Desktop"/>
    <s v="Europe"/>
    <s v="SQL"/>
    <m/>
    <m/>
    <m/>
    <n v="3"/>
    <x v="9"/>
    <n v="1"/>
    <n v="1"/>
    <n v="0"/>
  </r>
  <r>
    <s v="LD6475"/>
    <d v="2024-11-21T00:00:00"/>
    <x v="1"/>
    <s v="Google Ads - Brand"/>
    <s v="Mobile"/>
    <s v="North America"/>
    <s v="Lead"/>
    <m/>
    <m/>
    <m/>
    <n v="1"/>
    <x v="2"/>
    <n v="0"/>
    <n v="0"/>
    <n v="0"/>
  </r>
  <r>
    <s v="LD7473"/>
    <d v="2024-12-11T00:00:00"/>
    <x v="3"/>
    <s v="Promo Blast"/>
    <s v="Desktop"/>
    <s v="Europe"/>
    <s v="SQL"/>
    <m/>
    <m/>
    <m/>
    <n v="3"/>
    <x v="7"/>
    <n v="1"/>
    <n v="1"/>
    <n v="0"/>
  </r>
  <r>
    <s v="LD1982"/>
    <d v="2024-03-05T00:00:00"/>
    <x v="5"/>
    <s v="Blog SEO"/>
    <s v="Mobile"/>
    <s v="Asia Pacific"/>
    <s v="SQL"/>
    <m/>
    <m/>
    <m/>
    <n v="3"/>
    <x v="8"/>
    <n v="1"/>
    <n v="1"/>
    <n v="0"/>
  </r>
  <r>
    <s v="LD6655"/>
    <d v="2024-11-17T00:00:00"/>
    <x v="0"/>
    <s v="Facebook Ads"/>
    <s v="Mobile"/>
    <s v="North America"/>
    <s v="Lead"/>
    <m/>
    <m/>
    <m/>
    <n v="1"/>
    <x v="2"/>
    <n v="0"/>
    <n v="0"/>
    <n v="0"/>
  </r>
  <r>
    <s v="LD4800"/>
    <d v="2024-08-17T00:00:00"/>
    <x v="3"/>
    <s v="Monthly Newsletter"/>
    <s v="Desktop"/>
    <s v="North America"/>
    <s v="MQL"/>
    <m/>
    <m/>
    <m/>
    <n v="2"/>
    <x v="6"/>
    <n v="1"/>
    <n v="0"/>
    <n v="0"/>
  </r>
  <r>
    <s v="LD5695"/>
    <d v="2024-10-21T00:00:00"/>
    <x v="5"/>
    <s v="Landing Page SEO"/>
    <s v="Desktop"/>
    <s v="Asia Pacific"/>
    <s v="Lead"/>
    <m/>
    <m/>
    <m/>
    <n v="1"/>
    <x v="5"/>
    <n v="0"/>
    <n v="0"/>
    <n v="0"/>
  </r>
  <r>
    <s v="LD7413"/>
    <d v="2024-12-16T00:00:00"/>
    <x v="0"/>
    <s v="Instagram Ads"/>
    <s v="Desktop"/>
    <s v="North America"/>
    <s v="Lead"/>
    <m/>
    <m/>
    <m/>
    <n v="1"/>
    <x v="7"/>
    <n v="0"/>
    <n v="0"/>
    <n v="0"/>
  </r>
  <r>
    <s v="LD7741"/>
    <d v="2024-12-07T00:00:00"/>
    <x v="2"/>
    <s v="Direct / Type-in"/>
    <s v="Mobile"/>
    <s v="Europe"/>
    <s v="Lead"/>
    <m/>
    <m/>
    <m/>
    <n v="1"/>
    <x v="7"/>
    <n v="0"/>
    <n v="0"/>
    <n v="0"/>
  </r>
  <r>
    <s v="LD5864"/>
    <d v="2024-10-21T00:00:00"/>
    <x v="0"/>
    <s v="Facebook Ads"/>
    <s v="Desktop"/>
    <s v="North America"/>
    <s v="Lead"/>
    <m/>
    <m/>
    <m/>
    <n v="1"/>
    <x v="5"/>
    <n v="0"/>
    <n v="0"/>
    <n v="0"/>
  </r>
  <r>
    <s v="LD5292"/>
    <d v="2024-09-25T00:00:00"/>
    <x v="0"/>
    <s v="Facebook Ads"/>
    <s v="Desktop"/>
    <s v="Asia Pacific"/>
    <s v="SQL"/>
    <m/>
    <m/>
    <m/>
    <n v="3"/>
    <x v="9"/>
    <n v="1"/>
    <n v="1"/>
    <n v="0"/>
  </r>
  <r>
    <s v="LD2474"/>
    <d v="2024-03-16T00:00:00"/>
    <x v="2"/>
    <s v="Direct / Type-in"/>
    <s v="Mobile"/>
    <s v="North America"/>
    <s v="Lead"/>
    <m/>
    <m/>
    <m/>
    <n v="1"/>
    <x v="8"/>
    <n v="0"/>
    <n v="0"/>
    <n v="0"/>
  </r>
  <r>
    <s v="LD6841"/>
    <d v="2024-11-05T00:00:00"/>
    <x v="3"/>
    <s v="Monthly Newsletter"/>
    <s v="Mobile"/>
    <s v="Europe"/>
    <s v="SQL"/>
    <m/>
    <m/>
    <m/>
    <n v="3"/>
    <x v="2"/>
    <n v="1"/>
    <n v="1"/>
    <n v="0"/>
  </r>
  <r>
    <s v="LD6778"/>
    <d v="2024-11-15T00:00:00"/>
    <x v="3"/>
    <s v="Monthly Newsletter"/>
    <s v="Mobile"/>
    <s v="Asia Pacific"/>
    <s v="MQL"/>
    <m/>
    <m/>
    <m/>
    <n v="2"/>
    <x v="2"/>
    <n v="1"/>
    <n v="0"/>
    <n v="0"/>
  </r>
  <r>
    <s v="LD6684"/>
    <d v="2024-11-26T00:00:00"/>
    <x v="0"/>
    <s v="Facebook Ads"/>
    <s v="Mobile"/>
    <s v="Latin America"/>
    <s v="Lead"/>
    <m/>
    <m/>
    <m/>
    <n v="1"/>
    <x v="2"/>
    <n v="0"/>
    <n v="0"/>
    <n v="0"/>
  </r>
  <r>
    <s v="LD3259"/>
    <d v="2024-05-06T00:00:00"/>
    <x v="0"/>
    <s v="LinkedIn Ads"/>
    <s v="Desktop"/>
    <s v="North America"/>
    <s v="Lead"/>
    <m/>
    <m/>
    <m/>
    <n v="1"/>
    <x v="4"/>
    <n v="0"/>
    <n v="0"/>
    <n v="0"/>
  </r>
  <r>
    <s v="LD6381"/>
    <d v="2024-11-09T00:00:00"/>
    <x v="5"/>
    <s v="Landing Page SEO"/>
    <s v="Desktop"/>
    <s v="Asia Pacific"/>
    <s v="Lead"/>
    <m/>
    <m/>
    <m/>
    <n v="1"/>
    <x v="2"/>
    <n v="0"/>
    <n v="0"/>
    <n v="0"/>
  </r>
  <r>
    <s v="LD2458"/>
    <d v="2024-03-22T00:00:00"/>
    <x v="2"/>
    <s v="Direct / Type-in"/>
    <s v="Mobile"/>
    <s v="Europe"/>
    <s v="Lead"/>
    <m/>
    <m/>
    <m/>
    <n v="1"/>
    <x v="8"/>
    <n v="0"/>
    <n v="0"/>
    <n v="0"/>
  </r>
  <r>
    <s v="LD4558"/>
    <d v="2024-08-16T00:00:00"/>
    <x v="5"/>
    <s v="Landing Page SEO"/>
    <s v="Mobile"/>
    <s v="Asia Pacific"/>
    <s v="MQL"/>
    <m/>
    <m/>
    <m/>
    <n v="2"/>
    <x v="6"/>
    <n v="1"/>
    <n v="0"/>
    <n v="0"/>
  </r>
  <r>
    <s v="LD2396"/>
    <d v="2024-03-10T00:00:00"/>
    <x v="4"/>
    <s v="Partner Program"/>
    <s v="Desktop"/>
    <s v="Europe"/>
    <s v="SQL"/>
    <m/>
    <m/>
    <m/>
    <n v="3"/>
    <x v="8"/>
    <n v="1"/>
    <n v="1"/>
    <n v="0"/>
  </r>
  <r>
    <s v="LD1265"/>
    <d v="2024-01-12T00:00:00"/>
    <x v="3"/>
    <s v="Monthly Newsletter"/>
    <s v="Desktop"/>
    <s v="North America"/>
    <s v="Customer"/>
    <n v="35"/>
    <s v="Basic"/>
    <n v="1430.83"/>
    <n v="4"/>
    <x v="3"/>
    <n v="1"/>
    <n v="1"/>
    <n v="1"/>
  </r>
  <r>
    <s v="LD4549"/>
    <d v="2024-08-21T00:00:00"/>
    <x v="5"/>
    <s v="Landing Page SEO"/>
    <s v="Mobile"/>
    <s v="North America"/>
    <s v="MQL"/>
    <m/>
    <m/>
    <m/>
    <n v="2"/>
    <x v="6"/>
    <n v="1"/>
    <n v="0"/>
    <n v="0"/>
  </r>
  <r>
    <s v="LD4548"/>
    <d v="2024-08-15T00:00:00"/>
    <x v="5"/>
    <s v="Blog SEO"/>
    <s v="Mobile"/>
    <s v="Europe"/>
    <s v="SQL"/>
    <m/>
    <m/>
    <m/>
    <n v="3"/>
    <x v="6"/>
    <n v="1"/>
    <n v="1"/>
    <n v="0"/>
  </r>
  <r>
    <s v="LD3749"/>
    <d v="2024-06-21T00:00:00"/>
    <x v="0"/>
    <s v="Instagram Ads"/>
    <s v="Mobile"/>
    <s v="Europe"/>
    <s v="Lead"/>
    <m/>
    <m/>
    <m/>
    <n v="1"/>
    <x v="11"/>
    <n v="0"/>
    <n v="0"/>
    <n v="0"/>
  </r>
  <r>
    <s v="LD5462"/>
    <d v="2024-09-25T00:00:00"/>
    <x v="4"/>
    <s v="Partner Program"/>
    <s v="Mobile"/>
    <s v="North America"/>
    <s v="Lead"/>
    <m/>
    <m/>
    <m/>
    <n v="1"/>
    <x v="9"/>
    <n v="0"/>
    <n v="0"/>
    <n v="0"/>
  </r>
  <r>
    <s v="LD3693"/>
    <d v="2024-06-21T00:00:00"/>
    <x v="1"/>
    <s v="Google Ads - Brand"/>
    <s v="Desktop"/>
    <s v="North America"/>
    <s v="Lead"/>
    <m/>
    <m/>
    <m/>
    <n v="1"/>
    <x v="11"/>
    <n v="0"/>
    <n v="0"/>
    <n v="0"/>
  </r>
  <r>
    <s v="LD7188"/>
    <d v="2024-12-01T00:00:00"/>
    <x v="5"/>
    <s v="Landing Page SEO"/>
    <s v="Desktop"/>
    <s v="Europe"/>
    <s v="Lead"/>
    <m/>
    <m/>
    <m/>
    <n v="1"/>
    <x v="7"/>
    <n v="0"/>
    <n v="0"/>
    <n v="0"/>
  </r>
  <r>
    <s v="LD5863"/>
    <d v="2024-10-11T00:00:00"/>
    <x v="0"/>
    <s v="Instagram Ads"/>
    <s v="Mobile"/>
    <s v="Asia Pacific"/>
    <s v="Lead"/>
    <m/>
    <m/>
    <m/>
    <n v="1"/>
    <x v="5"/>
    <n v="0"/>
    <n v="0"/>
    <n v="0"/>
  </r>
  <r>
    <s v="LD5114"/>
    <d v="2024-09-13T00:00:00"/>
    <x v="5"/>
    <s v="Landing Page SEO"/>
    <s v="Mobile"/>
    <s v="North America"/>
    <s v="Lead"/>
    <m/>
    <m/>
    <m/>
    <n v="1"/>
    <x v="9"/>
    <n v="0"/>
    <n v="0"/>
    <n v="0"/>
  </r>
  <r>
    <s v="LD1930"/>
    <d v="2024-02-27T00:00:00"/>
    <x v="2"/>
    <s v="Direct / Type-in"/>
    <s v="Desktop"/>
    <s v="North America"/>
    <s v="MQL"/>
    <m/>
    <m/>
    <m/>
    <n v="2"/>
    <x v="10"/>
    <n v="1"/>
    <n v="0"/>
    <n v="0"/>
  </r>
  <r>
    <s v="LD6861"/>
    <d v="2024-11-25T00:00:00"/>
    <x v="3"/>
    <s v="Monthly Newsletter"/>
    <s v="Mobile"/>
    <s v="North America"/>
    <s v="MQL"/>
    <m/>
    <m/>
    <m/>
    <n v="2"/>
    <x v="2"/>
    <n v="1"/>
    <n v="0"/>
    <n v="0"/>
  </r>
  <r>
    <s v="LD4865"/>
    <d v="2024-08-18T00:00:00"/>
    <x v="3"/>
    <s v="Promo Blast"/>
    <s v="Mobile"/>
    <s v="North America"/>
    <s v="Lead"/>
    <m/>
    <m/>
    <m/>
    <n v="1"/>
    <x v="6"/>
    <n v="0"/>
    <n v="0"/>
    <n v="0"/>
  </r>
  <r>
    <s v="LD6629"/>
    <d v="2024-11-09T00:00:00"/>
    <x v="0"/>
    <s v="Instagram Ads"/>
    <s v="Mobile"/>
    <s v="Europe"/>
    <s v="Lead"/>
    <m/>
    <m/>
    <m/>
    <n v="1"/>
    <x v="2"/>
    <n v="0"/>
    <n v="0"/>
    <n v="0"/>
  </r>
  <r>
    <s v="LD3401"/>
    <d v="2024-05-07T00:00:00"/>
    <x v="3"/>
    <s v="Promo Blast"/>
    <s v="Desktop"/>
    <s v="North America"/>
    <s v="Lead"/>
    <m/>
    <m/>
    <m/>
    <n v="1"/>
    <x v="4"/>
    <n v="0"/>
    <n v="0"/>
    <n v="0"/>
  </r>
  <r>
    <s v="LD3179"/>
    <d v="2024-05-04T00:00:00"/>
    <x v="1"/>
    <s v="Google Ads - Brand"/>
    <s v="Tablet"/>
    <s v="Asia Pacific"/>
    <s v="MQL"/>
    <m/>
    <m/>
    <m/>
    <n v="2"/>
    <x v="4"/>
    <n v="1"/>
    <n v="0"/>
    <n v="0"/>
  </r>
  <r>
    <s v="LD5899"/>
    <d v="2024-10-13T00:00:00"/>
    <x v="0"/>
    <s v="Instagram Ads"/>
    <s v="Mobile"/>
    <s v="North America"/>
    <s v="Lead"/>
    <m/>
    <m/>
    <m/>
    <n v="1"/>
    <x v="5"/>
    <n v="0"/>
    <n v="0"/>
    <n v="0"/>
  </r>
  <r>
    <s v="LD4909"/>
    <d v="2024-08-08T00:00:00"/>
    <x v="4"/>
    <s v="Affiliate Program"/>
    <s v="Mobile"/>
    <s v="Asia Pacific"/>
    <s v="SQL"/>
    <m/>
    <m/>
    <m/>
    <n v="3"/>
    <x v="6"/>
    <n v="1"/>
    <n v="1"/>
    <n v="0"/>
  </r>
  <r>
    <s v="LD4867"/>
    <d v="2024-08-10T00:00:00"/>
    <x v="3"/>
    <s v="Promo Blast"/>
    <s v="Mobile"/>
    <s v="North America"/>
    <s v="SQL"/>
    <m/>
    <m/>
    <m/>
    <n v="3"/>
    <x v="6"/>
    <n v="1"/>
    <n v="1"/>
    <n v="0"/>
  </r>
  <r>
    <s v="LD4712"/>
    <d v="2024-08-17T00:00:00"/>
    <x v="0"/>
    <s v="Instagram Ads"/>
    <s v="Desktop"/>
    <s v="Europe"/>
    <s v="Lead"/>
    <m/>
    <m/>
    <m/>
    <n v="1"/>
    <x v="6"/>
    <n v="0"/>
    <n v="0"/>
    <n v="0"/>
  </r>
  <r>
    <s v="LD1247"/>
    <d v="2024-01-12T00:00:00"/>
    <x v="3"/>
    <s v="Promo Blast"/>
    <s v="Mobile"/>
    <s v="North America"/>
    <s v="Lead"/>
    <m/>
    <m/>
    <m/>
    <n v="1"/>
    <x v="3"/>
    <n v="0"/>
    <n v="0"/>
    <n v="0"/>
  </r>
  <r>
    <s v="LD2595"/>
    <d v="2024-04-24T00:00:00"/>
    <x v="1"/>
    <s v="Google Ads - Brand"/>
    <s v="Desktop"/>
    <s v="Europe"/>
    <s v="SQL"/>
    <m/>
    <m/>
    <m/>
    <n v="3"/>
    <x v="1"/>
    <n v="1"/>
    <n v="1"/>
    <n v="0"/>
  </r>
  <r>
    <s v="LD2759"/>
    <d v="2024-04-21T00:00:00"/>
    <x v="3"/>
    <s v="Monthly Newsletter"/>
    <s v="Desktop"/>
    <s v="Asia Pacific"/>
    <s v="Lead"/>
    <m/>
    <m/>
    <m/>
    <n v="1"/>
    <x v="1"/>
    <n v="0"/>
    <n v="0"/>
    <n v="0"/>
  </r>
  <r>
    <s v="LD7597"/>
    <d v="2024-12-22T00:00:00"/>
    <x v="3"/>
    <s v="Promo Blast"/>
    <s v="Desktop"/>
    <s v="Asia Pacific"/>
    <s v="Lead"/>
    <m/>
    <m/>
    <m/>
    <n v="1"/>
    <x v="7"/>
    <n v="0"/>
    <n v="0"/>
    <n v="0"/>
  </r>
  <r>
    <s v="LD5575"/>
    <d v="2024-09-01T00:00:00"/>
    <x v="2"/>
    <s v="Direct / Type-in"/>
    <s v="Mobile"/>
    <s v="Europe"/>
    <s v="MQL"/>
    <m/>
    <m/>
    <m/>
    <n v="2"/>
    <x v="9"/>
    <n v="1"/>
    <n v="0"/>
    <n v="0"/>
  </r>
  <r>
    <s v="LD1924"/>
    <d v="2024-02-13T00:00:00"/>
    <x v="2"/>
    <s v="Direct / Type-in"/>
    <s v="Mobile"/>
    <s v="Asia Pacific"/>
    <s v="Lead"/>
    <m/>
    <m/>
    <m/>
    <n v="1"/>
    <x v="10"/>
    <n v="0"/>
    <n v="0"/>
    <n v="0"/>
  </r>
  <r>
    <s v="LD5181"/>
    <d v="2024-09-20T00:00:00"/>
    <x v="1"/>
    <s v="Google Ads - Generic"/>
    <s v="Desktop"/>
    <s v="Asia Pacific"/>
    <s v="MQL"/>
    <m/>
    <m/>
    <m/>
    <n v="2"/>
    <x v="9"/>
    <n v="1"/>
    <n v="0"/>
    <n v="0"/>
  </r>
  <r>
    <s v="LD6009"/>
    <d v="2024-10-07T00:00:00"/>
    <x v="3"/>
    <s v="Promo Blast"/>
    <s v="Mobile"/>
    <s v="Latin America"/>
    <s v="Lead"/>
    <m/>
    <m/>
    <m/>
    <n v="1"/>
    <x v="5"/>
    <n v="0"/>
    <n v="0"/>
    <n v="0"/>
  </r>
  <r>
    <s v="LD1269"/>
    <d v="2024-01-17T00:00:00"/>
    <x v="3"/>
    <s v="Promo Blast"/>
    <s v="Desktop"/>
    <s v="North America"/>
    <s v="SQL"/>
    <m/>
    <m/>
    <m/>
    <n v="3"/>
    <x v="3"/>
    <n v="1"/>
    <n v="1"/>
    <n v="0"/>
  </r>
  <r>
    <s v="LD1670"/>
    <d v="2024-02-08T00:00:00"/>
    <x v="0"/>
    <s v="LinkedIn Ads"/>
    <s v="Mobile"/>
    <s v="North America"/>
    <s v="Lead"/>
    <m/>
    <m/>
    <m/>
    <n v="1"/>
    <x v="10"/>
    <n v="0"/>
    <n v="0"/>
    <n v="0"/>
  </r>
  <r>
    <s v="LD4605"/>
    <d v="2024-08-04T00:00:00"/>
    <x v="1"/>
    <s v="Google Ads - Generic"/>
    <s v="Desktop"/>
    <s v="Europe"/>
    <s v="MQL"/>
    <m/>
    <m/>
    <m/>
    <n v="2"/>
    <x v="6"/>
    <n v="1"/>
    <n v="0"/>
    <n v="0"/>
  </r>
  <r>
    <s v="LD5514"/>
    <d v="2024-09-22T00:00:00"/>
    <x v="4"/>
    <s v="Partner Program"/>
    <s v="Tablet"/>
    <s v="North America"/>
    <s v="SQL"/>
    <m/>
    <m/>
    <m/>
    <n v="3"/>
    <x v="9"/>
    <n v="1"/>
    <n v="1"/>
    <n v="0"/>
  </r>
  <r>
    <s v="LD2911"/>
    <d v="2024-04-19T00:00:00"/>
    <x v="4"/>
    <s v="Affiliate Program"/>
    <s v="Mobile"/>
    <s v="Europe"/>
    <s v="Lead"/>
    <m/>
    <m/>
    <m/>
    <n v="1"/>
    <x v="1"/>
    <n v="0"/>
    <n v="0"/>
    <n v="0"/>
  </r>
  <r>
    <s v="LD6396"/>
    <d v="2024-11-05T00:00:00"/>
    <x v="5"/>
    <s v="Landing Page SEO"/>
    <s v="Mobile"/>
    <s v="Asia Pacific"/>
    <s v="Lead"/>
    <m/>
    <m/>
    <m/>
    <n v="1"/>
    <x v="2"/>
    <n v="0"/>
    <n v="0"/>
    <n v="0"/>
  </r>
  <r>
    <s v="LD5717"/>
    <d v="2024-10-20T00:00:00"/>
    <x v="5"/>
    <s v="Landing Page SEO"/>
    <s v="Desktop"/>
    <s v="North America"/>
    <s v="MQL"/>
    <m/>
    <m/>
    <m/>
    <n v="2"/>
    <x v="5"/>
    <n v="1"/>
    <n v="0"/>
    <n v="0"/>
  </r>
  <r>
    <s v="LD2153"/>
    <d v="2024-03-22T00:00:00"/>
    <x v="0"/>
    <s v="Instagram Ads"/>
    <s v="Desktop"/>
    <s v="North America"/>
    <s v="Lead"/>
    <m/>
    <m/>
    <m/>
    <n v="1"/>
    <x v="8"/>
    <n v="0"/>
    <n v="0"/>
    <n v="0"/>
  </r>
  <r>
    <s v="LD7225"/>
    <d v="2024-12-21T00:00:00"/>
    <x v="1"/>
    <s v="Google Ads - Generic"/>
    <s v="Desktop"/>
    <s v="Asia Pacific"/>
    <s v="Lead"/>
    <m/>
    <m/>
    <m/>
    <n v="1"/>
    <x v="7"/>
    <n v="0"/>
    <n v="0"/>
    <n v="0"/>
  </r>
  <r>
    <s v="LD6887"/>
    <d v="2024-11-16T00:00:00"/>
    <x v="3"/>
    <s v="Monthly Newsletter"/>
    <s v="Desktop"/>
    <s v="North America"/>
    <s v="Lead"/>
    <m/>
    <m/>
    <m/>
    <n v="1"/>
    <x v="2"/>
    <n v="0"/>
    <n v="0"/>
    <n v="0"/>
  </r>
  <r>
    <s v="LD7527"/>
    <d v="2024-12-12T00:00:00"/>
    <x v="3"/>
    <s v="Monthly Newsletter"/>
    <s v="Mobile"/>
    <s v="North America"/>
    <s v="Lead"/>
    <m/>
    <m/>
    <m/>
    <n v="1"/>
    <x v="7"/>
    <n v="0"/>
    <n v="0"/>
    <n v="0"/>
  </r>
  <r>
    <s v="LD6091"/>
    <d v="2024-10-08T00:00:00"/>
    <x v="3"/>
    <s v="Monthly Newsletter"/>
    <s v="Desktop"/>
    <s v="Europe"/>
    <s v="MQL"/>
    <m/>
    <m/>
    <m/>
    <n v="2"/>
    <x v="5"/>
    <n v="1"/>
    <n v="0"/>
    <n v="0"/>
  </r>
  <r>
    <s v="LD3697"/>
    <d v="2024-06-08T00:00:00"/>
    <x v="1"/>
    <s v="Google Ads - Brand"/>
    <s v="Desktop"/>
    <s v="Asia Pacific"/>
    <s v="Lead"/>
    <m/>
    <m/>
    <m/>
    <n v="1"/>
    <x v="11"/>
    <n v="0"/>
    <n v="0"/>
    <n v="0"/>
  </r>
  <r>
    <s v="LD3592"/>
    <d v="2024-06-26T00:00:00"/>
    <x v="5"/>
    <s v="Blog SEO"/>
    <s v="Desktop"/>
    <s v="North America"/>
    <s v="MQL"/>
    <m/>
    <m/>
    <m/>
    <n v="2"/>
    <x v="11"/>
    <n v="1"/>
    <n v="0"/>
    <n v="0"/>
  </r>
  <r>
    <s v="LD6736"/>
    <d v="2024-11-17T00:00:00"/>
    <x v="3"/>
    <s v="Promo Blast"/>
    <s v="Desktop"/>
    <s v="Asia Pacific"/>
    <s v="Lead"/>
    <m/>
    <m/>
    <m/>
    <n v="1"/>
    <x v="2"/>
    <n v="0"/>
    <n v="0"/>
    <n v="0"/>
  </r>
  <r>
    <s v="LD2782"/>
    <d v="2024-04-13T00:00:00"/>
    <x v="3"/>
    <s v="Promo Blast"/>
    <s v="Tablet"/>
    <s v="North America"/>
    <s v="MQL"/>
    <m/>
    <m/>
    <m/>
    <n v="2"/>
    <x v="1"/>
    <n v="1"/>
    <n v="0"/>
    <n v="0"/>
  </r>
  <r>
    <s v="LD3414"/>
    <d v="2024-05-28T00:00:00"/>
    <x v="3"/>
    <s v="Monthly Newsletter"/>
    <s v="Desktop"/>
    <s v="North America"/>
    <s v="MQL"/>
    <m/>
    <m/>
    <m/>
    <n v="2"/>
    <x v="4"/>
    <n v="1"/>
    <n v="0"/>
    <n v="0"/>
  </r>
  <r>
    <s v="LD4014"/>
    <d v="2024-06-24T00:00:00"/>
    <x v="2"/>
    <s v="Direct / Type-in"/>
    <s v="Mobile"/>
    <s v="Europe"/>
    <s v="Lead"/>
    <m/>
    <m/>
    <m/>
    <n v="1"/>
    <x v="11"/>
    <n v="0"/>
    <n v="0"/>
    <n v="0"/>
  </r>
  <r>
    <s v="LD6925"/>
    <d v="2024-11-16T00:00:00"/>
    <x v="4"/>
    <s v="Partner Program"/>
    <s v="Mobile"/>
    <s v="Europe"/>
    <s v="SQL"/>
    <m/>
    <m/>
    <m/>
    <n v="3"/>
    <x v="2"/>
    <n v="1"/>
    <n v="1"/>
    <n v="0"/>
  </r>
  <r>
    <s v="LD3308"/>
    <d v="2024-05-05T00:00:00"/>
    <x v="3"/>
    <s v="Monthly Newsletter"/>
    <s v="Desktop"/>
    <s v="Europe"/>
    <s v="SQL"/>
    <m/>
    <m/>
    <m/>
    <n v="3"/>
    <x v="4"/>
    <n v="1"/>
    <n v="1"/>
    <n v="0"/>
  </r>
  <r>
    <s v="LD4959"/>
    <d v="2024-08-26T00:00:00"/>
    <x v="2"/>
    <s v="Direct / Type-in"/>
    <s v="Desktop"/>
    <s v="North America"/>
    <s v="Lead"/>
    <m/>
    <m/>
    <m/>
    <n v="1"/>
    <x v="6"/>
    <n v="0"/>
    <n v="0"/>
    <n v="0"/>
  </r>
  <r>
    <s v="LD4691"/>
    <d v="2024-08-08T00:00:00"/>
    <x v="0"/>
    <s v="Instagram Ads"/>
    <s v="Desktop"/>
    <s v="Asia Pacific"/>
    <s v="Lead"/>
    <m/>
    <m/>
    <m/>
    <n v="1"/>
    <x v="6"/>
    <n v="0"/>
    <n v="0"/>
    <n v="0"/>
  </r>
  <r>
    <s v="LD1688"/>
    <d v="2024-02-10T00:00:00"/>
    <x v="0"/>
    <s v="LinkedIn Ads"/>
    <s v="Desktop"/>
    <s v="Europe"/>
    <s v="Lead"/>
    <m/>
    <m/>
    <m/>
    <n v="1"/>
    <x v="10"/>
    <n v="0"/>
    <n v="0"/>
    <n v="0"/>
  </r>
  <r>
    <s v="LD2916"/>
    <d v="2024-04-14T00:00:00"/>
    <x v="4"/>
    <s v="Partner Program"/>
    <s v="Tablet"/>
    <s v="Asia Pacific"/>
    <s v="MQL"/>
    <m/>
    <m/>
    <m/>
    <n v="2"/>
    <x v="1"/>
    <n v="1"/>
    <n v="0"/>
    <n v="0"/>
  </r>
  <r>
    <s v="LD7379"/>
    <d v="2024-12-25T00:00:00"/>
    <x v="0"/>
    <s v="Instagram Ads"/>
    <s v="Desktop"/>
    <s v="Europe"/>
    <s v="SQL"/>
    <m/>
    <m/>
    <m/>
    <n v="3"/>
    <x v="7"/>
    <n v="1"/>
    <n v="1"/>
    <n v="0"/>
  </r>
  <r>
    <s v="LD1613"/>
    <d v="2024-02-02T00:00:00"/>
    <x v="1"/>
    <s v="Google Ads - Brand"/>
    <s v="Mobile"/>
    <s v="Europe"/>
    <s v="MQL"/>
    <m/>
    <m/>
    <m/>
    <n v="2"/>
    <x v="10"/>
    <n v="1"/>
    <n v="0"/>
    <n v="0"/>
  </r>
  <r>
    <s v="LD5841"/>
    <d v="2024-10-21T00:00:00"/>
    <x v="0"/>
    <s v="Instagram Ads"/>
    <s v="Desktop"/>
    <s v="Europe"/>
    <s v="Lead"/>
    <m/>
    <m/>
    <m/>
    <n v="1"/>
    <x v="5"/>
    <n v="0"/>
    <n v="0"/>
    <n v="0"/>
  </r>
  <r>
    <s v="LD4072"/>
    <d v="2024-07-18T00:00:00"/>
    <x v="5"/>
    <s v="Blog SEO"/>
    <s v="Desktop"/>
    <s v="Europe"/>
    <s v="Lead"/>
    <m/>
    <m/>
    <m/>
    <n v="1"/>
    <x v="0"/>
    <n v="0"/>
    <n v="0"/>
    <n v="0"/>
  </r>
  <r>
    <s v="LD5657"/>
    <d v="2024-10-09T00:00:00"/>
    <x v="5"/>
    <s v="Landing Page SEO"/>
    <s v="Tablet"/>
    <s v="North America"/>
    <s v="Lead"/>
    <m/>
    <m/>
    <m/>
    <n v="1"/>
    <x v="5"/>
    <n v="0"/>
    <n v="0"/>
    <n v="0"/>
  </r>
  <r>
    <s v="LD4201"/>
    <d v="2024-07-23T00:00:00"/>
    <x v="1"/>
    <s v="Google Ads - Brand"/>
    <s v="Desktop"/>
    <s v="North America"/>
    <s v="Lead"/>
    <m/>
    <m/>
    <m/>
    <n v="1"/>
    <x v="0"/>
    <n v="0"/>
    <n v="0"/>
    <n v="0"/>
  </r>
  <r>
    <s v="LD3268"/>
    <d v="2024-05-16T00:00:00"/>
    <x v="0"/>
    <s v="LinkedIn Ads"/>
    <s v="Mobile"/>
    <s v="Asia Pacific"/>
    <s v="MQL"/>
    <m/>
    <m/>
    <m/>
    <n v="2"/>
    <x v="4"/>
    <n v="1"/>
    <n v="0"/>
    <n v="0"/>
  </r>
  <r>
    <s v="LD7505"/>
    <d v="2024-12-25T00:00:00"/>
    <x v="3"/>
    <s v="Monthly Newsletter"/>
    <s v="Desktop"/>
    <s v="Europe"/>
    <s v="SQL"/>
    <m/>
    <m/>
    <m/>
    <n v="3"/>
    <x v="7"/>
    <n v="1"/>
    <n v="1"/>
    <n v="0"/>
  </r>
  <r>
    <s v="LD3534"/>
    <d v="2024-05-04T00:00:00"/>
    <x v="2"/>
    <s v="Direct / Type-in"/>
    <s v="Mobile"/>
    <s v="Asia Pacific"/>
    <s v="MQL"/>
    <m/>
    <m/>
    <m/>
    <n v="2"/>
    <x v="4"/>
    <n v="1"/>
    <n v="0"/>
    <n v="0"/>
  </r>
  <r>
    <s v="LD1040"/>
    <d v="2024-01-24T00:00:00"/>
    <x v="5"/>
    <s v="Landing Page SEO"/>
    <s v="Desktop"/>
    <s v="North America"/>
    <s v="Lead"/>
    <m/>
    <m/>
    <m/>
    <n v="1"/>
    <x v="3"/>
    <n v="0"/>
    <n v="0"/>
    <n v="0"/>
  </r>
  <r>
    <s v="LD2899"/>
    <d v="2024-04-02T00:00:00"/>
    <x v="4"/>
    <s v="Partner Program"/>
    <s v="Mobile"/>
    <s v="North America"/>
    <s v="SQL"/>
    <m/>
    <m/>
    <m/>
    <n v="3"/>
    <x v="1"/>
    <n v="1"/>
    <n v="1"/>
    <n v="0"/>
  </r>
  <r>
    <s v="LD2650"/>
    <d v="2024-04-11T00:00:00"/>
    <x v="1"/>
    <s v="Google Ads - Generic"/>
    <s v="Mobile"/>
    <s v="Latin America"/>
    <s v="Lead"/>
    <m/>
    <m/>
    <m/>
    <n v="1"/>
    <x v="1"/>
    <n v="0"/>
    <n v="0"/>
    <n v="0"/>
  </r>
  <r>
    <s v="LD5670"/>
    <d v="2024-10-08T00:00:00"/>
    <x v="5"/>
    <s v="Landing Page SEO"/>
    <s v="Mobile"/>
    <s v="Europe"/>
    <s v="MQL"/>
    <m/>
    <m/>
    <m/>
    <n v="2"/>
    <x v="5"/>
    <n v="1"/>
    <n v="0"/>
    <n v="0"/>
  </r>
  <r>
    <s v="LD1259"/>
    <d v="2024-01-26T00:00:00"/>
    <x v="3"/>
    <s v="Promo Blast"/>
    <s v="Mobile"/>
    <s v="North America"/>
    <s v="Lead"/>
    <m/>
    <m/>
    <m/>
    <n v="1"/>
    <x v="3"/>
    <n v="0"/>
    <n v="0"/>
    <n v="0"/>
  </r>
  <r>
    <s v="LD3925"/>
    <d v="2024-06-11T00:00:00"/>
    <x v="4"/>
    <s v="Partner Program"/>
    <s v="Desktop"/>
    <s v="North America"/>
    <s v="Customer"/>
    <n v="66"/>
    <s v="Pro"/>
    <n v="2662.49"/>
    <n v="4"/>
    <x v="11"/>
    <n v="1"/>
    <n v="1"/>
    <n v="1"/>
  </r>
  <r>
    <s v="LD3435"/>
    <d v="2024-05-23T00:00:00"/>
    <x v="3"/>
    <s v="Promo Blast"/>
    <s v="Desktop"/>
    <s v="North America"/>
    <s v="MQL"/>
    <m/>
    <m/>
    <m/>
    <n v="2"/>
    <x v="4"/>
    <n v="1"/>
    <n v="0"/>
    <n v="0"/>
  </r>
  <r>
    <s v="LD1848"/>
    <d v="2024-02-05T00:00:00"/>
    <x v="4"/>
    <s v="Partner Program"/>
    <s v="Mobile"/>
    <s v="Latin America"/>
    <s v="Lead"/>
    <m/>
    <m/>
    <m/>
    <n v="1"/>
    <x v="10"/>
    <n v="0"/>
    <n v="0"/>
    <n v="0"/>
  </r>
  <r>
    <s v="LD3823"/>
    <d v="2024-06-20T00:00:00"/>
    <x v="3"/>
    <s v="Monthly Newsletter"/>
    <s v="Mobile"/>
    <s v="Europe"/>
    <s v="MQL"/>
    <m/>
    <m/>
    <m/>
    <n v="2"/>
    <x v="11"/>
    <n v="1"/>
    <n v="0"/>
    <n v="0"/>
  </r>
  <r>
    <s v="LD5976"/>
    <d v="2024-10-02T00:00:00"/>
    <x v="3"/>
    <s v="Monthly Newsletter"/>
    <s v="Desktop"/>
    <s v="Europe"/>
    <s v="SQL"/>
    <m/>
    <m/>
    <m/>
    <n v="3"/>
    <x v="5"/>
    <n v="1"/>
    <n v="1"/>
    <n v="0"/>
  </r>
  <r>
    <s v="LD4340"/>
    <d v="2024-07-13T00:00:00"/>
    <x v="3"/>
    <s v="Monthly Newsletter"/>
    <s v="Mobile"/>
    <s v="Europe"/>
    <s v="MQL"/>
    <m/>
    <m/>
    <m/>
    <n v="2"/>
    <x v="0"/>
    <n v="1"/>
    <n v="0"/>
    <n v="0"/>
  </r>
  <r>
    <s v="LD4526"/>
    <d v="2024-08-04T00:00:00"/>
    <x v="5"/>
    <s v="Landing Page SEO"/>
    <s v="Tablet"/>
    <s v="Europe"/>
    <s v="Lead"/>
    <m/>
    <m/>
    <m/>
    <n v="1"/>
    <x v="6"/>
    <n v="0"/>
    <n v="0"/>
    <n v="0"/>
  </r>
  <r>
    <s v="LD6753"/>
    <d v="2024-11-09T00:00:00"/>
    <x v="3"/>
    <s v="Promo Blast"/>
    <s v="Mobile"/>
    <s v="Europe"/>
    <s v="Lead"/>
    <m/>
    <m/>
    <m/>
    <n v="1"/>
    <x v="2"/>
    <n v="0"/>
    <n v="0"/>
    <n v="0"/>
  </r>
  <r>
    <s v="LD5688"/>
    <d v="2024-10-11T00:00:00"/>
    <x v="5"/>
    <s v="Landing Page SEO"/>
    <s v="Desktop"/>
    <s v="North America"/>
    <s v="MQL"/>
    <m/>
    <m/>
    <m/>
    <n v="2"/>
    <x v="5"/>
    <n v="1"/>
    <n v="0"/>
    <n v="0"/>
  </r>
  <r>
    <s v="LD5392"/>
    <d v="2024-09-18T00:00:00"/>
    <x v="3"/>
    <s v="Monthly Newsletter"/>
    <s v="Desktop"/>
    <s v="North America"/>
    <s v="Lead"/>
    <m/>
    <m/>
    <m/>
    <n v="1"/>
    <x v="9"/>
    <n v="0"/>
    <n v="0"/>
    <n v="0"/>
  </r>
  <r>
    <s v="LD2234"/>
    <d v="2024-03-16T00:00:00"/>
    <x v="3"/>
    <s v="Promo Blast"/>
    <s v="Desktop"/>
    <s v="North America"/>
    <s v="Lead"/>
    <m/>
    <m/>
    <m/>
    <n v="1"/>
    <x v="8"/>
    <n v="0"/>
    <n v="0"/>
    <n v="0"/>
  </r>
  <r>
    <s v="LD2128"/>
    <d v="2024-03-08T00:00:00"/>
    <x v="1"/>
    <s v="Google Ads - Generic"/>
    <s v="Mobile"/>
    <s v="North America"/>
    <s v="Lead"/>
    <m/>
    <m/>
    <m/>
    <n v="1"/>
    <x v="8"/>
    <n v="0"/>
    <n v="0"/>
    <n v="0"/>
  </r>
  <r>
    <s v="LD3286"/>
    <d v="2024-05-07T00:00:00"/>
    <x v="0"/>
    <s v="LinkedIn Ads"/>
    <s v="Mobile"/>
    <s v="North America"/>
    <s v="Lead"/>
    <m/>
    <m/>
    <m/>
    <n v="1"/>
    <x v="4"/>
    <n v="0"/>
    <n v="0"/>
    <n v="0"/>
  </r>
  <r>
    <s v="LD2968"/>
    <d v="2024-04-20T00:00:00"/>
    <x v="2"/>
    <s v="Direct / Type-in"/>
    <s v="Desktop"/>
    <s v="Europe"/>
    <s v="SQL"/>
    <m/>
    <m/>
    <m/>
    <n v="3"/>
    <x v="1"/>
    <n v="1"/>
    <n v="1"/>
    <n v="0"/>
  </r>
  <r>
    <s v="LD4983"/>
    <d v="2024-08-27T00:00:00"/>
    <x v="2"/>
    <s v="Direct / Type-in"/>
    <s v="Mobile"/>
    <s v="Europe"/>
    <s v="Lead"/>
    <m/>
    <m/>
    <m/>
    <n v="1"/>
    <x v="6"/>
    <n v="0"/>
    <n v="0"/>
    <n v="0"/>
  </r>
  <r>
    <s v="LD1559"/>
    <d v="2024-02-28T00:00:00"/>
    <x v="5"/>
    <s v="Landing Page SEO"/>
    <s v="Mobile"/>
    <s v="North America"/>
    <s v="SQL"/>
    <m/>
    <m/>
    <m/>
    <n v="3"/>
    <x v="10"/>
    <n v="1"/>
    <n v="1"/>
    <n v="0"/>
  </r>
  <r>
    <s v="LD1905"/>
    <d v="2024-02-27T00:00:00"/>
    <x v="2"/>
    <s v="Direct / Type-in"/>
    <s v="Desktop"/>
    <s v="North America"/>
    <s v="Lead"/>
    <m/>
    <m/>
    <m/>
    <n v="1"/>
    <x v="10"/>
    <n v="0"/>
    <n v="0"/>
    <n v="0"/>
  </r>
  <r>
    <s v="LD3615"/>
    <d v="2024-06-02T00:00:00"/>
    <x v="5"/>
    <s v="Landing Page SEO"/>
    <s v="Mobile"/>
    <s v="North America"/>
    <s v="SQL"/>
    <m/>
    <m/>
    <m/>
    <n v="3"/>
    <x v="11"/>
    <n v="1"/>
    <n v="1"/>
    <n v="0"/>
  </r>
  <r>
    <s v="LD4144"/>
    <d v="2024-07-01T00:00:00"/>
    <x v="1"/>
    <s v="Google Ads - Brand"/>
    <s v="Desktop"/>
    <s v="North America"/>
    <s v="Customer"/>
    <n v="7"/>
    <s v="Basic"/>
    <n v="931.45"/>
    <n v="4"/>
    <x v="0"/>
    <n v="1"/>
    <n v="1"/>
    <n v="1"/>
  </r>
  <r>
    <s v="LD4669"/>
    <d v="2024-08-02T00:00:00"/>
    <x v="1"/>
    <s v="Google Ads - Generic"/>
    <s v="Mobile"/>
    <s v="Latin America"/>
    <s v="Customer"/>
    <n v="65"/>
    <s v="Basic"/>
    <n v="1416.82"/>
    <n v="4"/>
    <x v="6"/>
    <n v="1"/>
    <n v="1"/>
    <n v="1"/>
  </r>
  <r>
    <s v="LD1485"/>
    <d v="2024-02-08T00:00:00"/>
    <x v="5"/>
    <s v="Blog SEO"/>
    <s v="Desktop"/>
    <s v="Asia Pacific"/>
    <s v="MQL"/>
    <m/>
    <m/>
    <m/>
    <n v="2"/>
    <x v="10"/>
    <n v="1"/>
    <n v="0"/>
    <n v="0"/>
  </r>
  <r>
    <s v="LD3212"/>
    <d v="2024-05-07T00:00:00"/>
    <x v="0"/>
    <s v="LinkedIn Ads"/>
    <s v="Desktop"/>
    <s v="Europe"/>
    <s v="SQL"/>
    <m/>
    <m/>
    <m/>
    <n v="3"/>
    <x v="4"/>
    <n v="1"/>
    <n v="1"/>
    <n v="0"/>
  </r>
  <r>
    <s v="LD2321"/>
    <d v="2024-03-19T00:00:00"/>
    <x v="3"/>
    <s v="Promo Blast"/>
    <s v="Desktop"/>
    <s v="Europe"/>
    <s v="SQL"/>
    <m/>
    <m/>
    <m/>
    <n v="3"/>
    <x v="8"/>
    <n v="1"/>
    <n v="1"/>
    <n v="0"/>
  </r>
  <r>
    <s v="LD7077"/>
    <d v="2024-11-15T00:00:00"/>
    <x v="2"/>
    <s v="Direct / Type-in"/>
    <s v="Desktop"/>
    <s v="Europe"/>
    <s v="Lead"/>
    <m/>
    <m/>
    <m/>
    <n v="1"/>
    <x v="2"/>
    <n v="0"/>
    <n v="0"/>
    <n v="0"/>
  </r>
  <r>
    <s v="LD3556"/>
    <d v="2024-05-10T00:00:00"/>
    <x v="2"/>
    <s v="Direct / Type-in"/>
    <s v="Desktop"/>
    <s v="Latin America"/>
    <s v="Lead"/>
    <m/>
    <m/>
    <m/>
    <n v="1"/>
    <x v="4"/>
    <n v="0"/>
    <n v="0"/>
    <n v="0"/>
  </r>
  <r>
    <s v="LD7467"/>
    <d v="2024-12-12T00:00:00"/>
    <x v="3"/>
    <s v="Promo Blast"/>
    <s v="Desktop"/>
    <s v="North America"/>
    <s v="Lead"/>
    <m/>
    <m/>
    <m/>
    <n v="1"/>
    <x v="7"/>
    <n v="0"/>
    <n v="0"/>
    <n v="0"/>
  </r>
  <r>
    <s v="LD1008"/>
    <d v="2024-01-13T00:00:00"/>
    <x v="5"/>
    <s v="Landing Page SEO"/>
    <s v="Desktop"/>
    <s v="Asia Pacific"/>
    <s v="SQL"/>
    <m/>
    <m/>
    <m/>
    <n v="3"/>
    <x v="3"/>
    <n v="1"/>
    <n v="1"/>
    <n v="0"/>
  </r>
  <r>
    <s v="LD4658"/>
    <d v="2024-08-06T00:00:00"/>
    <x v="1"/>
    <s v="Google Ads - Brand"/>
    <s v="Mobile"/>
    <s v="North America"/>
    <s v="Lead"/>
    <m/>
    <m/>
    <m/>
    <n v="1"/>
    <x v="6"/>
    <n v="0"/>
    <n v="0"/>
    <n v="0"/>
  </r>
  <r>
    <s v="LD3316"/>
    <d v="2024-05-13T00:00:00"/>
    <x v="3"/>
    <s v="Monthly Newsletter"/>
    <s v="Desktop"/>
    <s v="Europe"/>
    <s v="SQL"/>
    <m/>
    <m/>
    <m/>
    <n v="3"/>
    <x v="4"/>
    <n v="1"/>
    <n v="1"/>
    <n v="0"/>
  </r>
  <r>
    <s v="LD7181"/>
    <d v="2024-12-17T00:00:00"/>
    <x v="5"/>
    <s v="Landing Page SEO"/>
    <s v="Mobile"/>
    <s v="Asia Pacific"/>
    <s v="Customer"/>
    <n v="28"/>
    <s v="Basic"/>
    <n v="1073.3699999999999"/>
    <n v="4"/>
    <x v="7"/>
    <n v="1"/>
    <n v="1"/>
    <n v="1"/>
  </r>
  <r>
    <s v="LD5957"/>
    <d v="2024-10-08T00:00:00"/>
    <x v="3"/>
    <s v="Promo Blast"/>
    <s v="Desktop"/>
    <s v="North America"/>
    <s v="Customer"/>
    <n v="21"/>
    <s v="Enterprise"/>
    <n v="5473.49"/>
    <n v="4"/>
    <x v="5"/>
    <n v="1"/>
    <n v="1"/>
    <n v="1"/>
  </r>
  <r>
    <s v="LD5886"/>
    <d v="2024-10-16T00:00:00"/>
    <x v="0"/>
    <s v="Instagram Ads"/>
    <s v="Desktop"/>
    <s v="Europe"/>
    <s v="Lead"/>
    <m/>
    <m/>
    <m/>
    <n v="1"/>
    <x v="5"/>
    <n v="0"/>
    <n v="0"/>
    <n v="0"/>
  </r>
  <r>
    <s v="LD6956"/>
    <d v="2024-11-19T00:00:00"/>
    <x v="4"/>
    <s v="Affiliate Program"/>
    <s v="Desktop"/>
    <s v="Europe"/>
    <s v="SQL"/>
    <m/>
    <m/>
    <m/>
    <n v="3"/>
    <x v="2"/>
    <n v="1"/>
    <n v="1"/>
    <n v="0"/>
  </r>
  <r>
    <s v="LD5162"/>
    <d v="2024-09-26T00:00:00"/>
    <x v="1"/>
    <s v="Google Ads - Brand"/>
    <s v="Desktop"/>
    <s v="Europe"/>
    <s v="MQL"/>
    <m/>
    <m/>
    <m/>
    <n v="2"/>
    <x v="9"/>
    <n v="1"/>
    <n v="0"/>
    <n v="0"/>
  </r>
  <r>
    <s v="LD2451"/>
    <d v="2024-03-23T00:00:00"/>
    <x v="2"/>
    <s v="Direct / Type-in"/>
    <s v="Mobile"/>
    <s v="Asia Pacific"/>
    <s v="Lead"/>
    <m/>
    <m/>
    <m/>
    <n v="1"/>
    <x v="8"/>
    <n v="0"/>
    <n v="0"/>
    <n v="0"/>
  </r>
  <r>
    <s v="LD2202"/>
    <d v="2024-03-15T00:00:00"/>
    <x v="3"/>
    <s v="Promo Blast"/>
    <s v="Desktop"/>
    <s v="Europe"/>
    <s v="MQL"/>
    <m/>
    <m/>
    <m/>
    <n v="2"/>
    <x v="8"/>
    <n v="1"/>
    <n v="0"/>
    <n v="0"/>
  </r>
  <r>
    <s v="LD3427"/>
    <d v="2024-05-06T00:00:00"/>
    <x v="3"/>
    <s v="Monthly Newsletter"/>
    <s v="Mobile"/>
    <s v="Asia Pacific"/>
    <s v="SQL"/>
    <m/>
    <m/>
    <m/>
    <n v="3"/>
    <x v="4"/>
    <n v="1"/>
    <n v="1"/>
    <n v="0"/>
  </r>
  <r>
    <s v="LD3649"/>
    <d v="2024-06-15T00:00:00"/>
    <x v="1"/>
    <s v="Google Ads - Brand"/>
    <s v="Desktop"/>
    <s v="Asia Pacific"/>
    <s v="Lead"/>
    <m/>
    <m/>
    <m/>
    <n v="1"/>
    <x v="11"/>
    <n v="0"/>
    <n v="0"/>
    <n v="0"/>
  </r>
  <r>
    <s v="LD2815"/>
    <d v="2024-04-05T00:00:00"/>
    <x v="3"/>
    <s v="Promo Blast"/>
    <s v="Mobile"/>
    <s v="Europe"/>
    <s v="Lead"/>
    <m/>
    <m/>
    <m/>
    <n v="1"/>
    <x v="1"/>
    <n v="0"/>
    <n v="0"/>
    <n v="0"/>
  </r>
  <r>
    <s v="LD6554"/>
    <d v="2024-11-20T00:00:00"/>
    <x v="1"/>
    <s v="Google Ads - Brand"/>
    <s v="Desktop"/>
    <s v="North America"/>
    <s v="MQL"/>
    <m/>
    <m/>
    <m/>
    <n v="2"/>
    <x v="2"/>
    <n v="1"/>
    <n v="0"/>
    <n v="0"/>
  </r>
  <r>
    <s v="LD3727"/>
    <d v="2024-06-21T00:00:00"/>
    <x v="1"/>
    <s v="Google Ads - Generic"/>
    <s v="Desktop"/>
    <s v="North America"/>
    <s v="MQL"/>
    <m/>
    <m/>
    <m/>
    <n v="2"/>
    <x v="11"/>
    <n v="1"/>
    <n v="0"/>
    <n v="0"/>
  </r>
  <r>
    <s v="LD1774"/>
    <d v="2024-02-12T00:00:00"/>
    <x v="3"/>
    <s v="Monthly Newsletter"/>
    <s v="Desktop"/>
    <s v="North America"/>
    <s v="Lead"/>
    <m/>
    <m/>
    <m/>
    <n v="1"/>
    <x v="10"/>
    <n v="0"/>
    <n v="0"/>
    <n v="0"/>
  </r>
  <r>
    <s v="LD3275"/>
    <d v="2024-05-24T00:00:00"/>
    <x v="0"/>
    <s v="LinkedIn Ads"/>
    <s v="Desktop"/>
    <s v="Europe"/>
    <s v="Lead"/>
    <m/>
    <m/>
    <m/>
    <n v="1"/>
    <x v="4"/>
    <n v="0"/>
    <n v="0"/>
    <n v="0"/>
  </r>
  <r>
    <s v="LD2012"/>
    <d v="2024-03-27T00:00:00"/>
    <x v="5"/>
    <s v="Landing Page SEO"/>
    <s v="Tablet"/>
    <s v="North America"/>
    <s v="SQL"/>
    <m/>
    <m/>
    <m/>
    <n v="3"/>
    <x v="8"/>
    <n v="1"/>
    <n v="1"/>
    <n v="0"/>
  </r>
  <r>
    <s v="LD6810"/>
    <d v="2024-11-07T00:00:00"/>
    <x v="3"/>
    <s v="Promo Blast"/>
    <s v="Mobile"/>
    <s v="Asia Pacific"/>
    <s v="SQL"/>
    <m/>
    <m/>
    <m/>
    <n v="3"/>
    <x v="2"/>
    <n v="1"/>
    <n v="1"/>
    <n v="0"/>
  </r>
  <r>
    <s v="LD4169"/>
    <d v="2024-07-27T00:00:00"/>
    <x v="1"/>
    <s v="Google Ads - Brand"/>
    <s v="Desktop"/>
    <s v="North America"/>
    <s v="Lead"/>
    <m/>
    <m/>
    <m/>
    <n v="1"/>
    <x v="0"/>
    <n v="0"/>
    <n v="0"/>
    <n v="0"/>
  </r>
  <r>
    <s v="LD2068"/>
    <d v="2024-03-06T00:00:00"/>
    <x v="1"/>
    <s v="Google Ads - Generic"/>
    <s v="Desktop"/>
    <s v="North America"/>
    <s v="MQL"/>
    <m/>
    <m/>
    <m/>
    <n v="2"/>
    <x v="8"/>
    <n v="1"/>
    <n v="0"/>
    <n v="0"/>
  </r>
  <r>
    <s v="LD2992"/>
    <d v="2024-04-26T00:00:00"/>
    <x v="2"/>
    <s v="Direct / Type-in"/>
    <s v="Desktop"/>
    <s v="North America"/>
    <s v="MQL"/>
    <m/>
    <m/>
    <m/>
    <n v="2"/>
    <x v="1"/>
    <n v="1"/>
    <n v="0"/>
    <n v="0"/>
  </r>
  <r>
    <s v="LD4971"/>
    <d v="2024-08-26T00:00:00"/>
    <x v="2"/>
    <s v="Direct / Type-in"/>
    <s v="Tablet"/>
    <s v="North America"/>
    <s v="Lead"/>
    <m/>
    <m/>
    <m/>
    <n v="1"/>
    <x v="6"/>
    <n v="0"/>
    <n v="0"/>
    <n v="0"/>
  </r>
  <r>
    <s v="LD2278"/>
    <d v="2024-03-28T00:00:00"/>
    <x v="3"/>
    <s v="Promo Blast"/>
    <s v="Mobile"/>
    <s v="North America"/>
    <s v="MQL"/>
    <m/>
    <m/>
    <m/>
    <n v="2"/>
    <x v="8"/>
    <n v="1"/>
    <n v="0"/>
    <n v="0"/>
  </r>
  <r>
    <s v="LD2784"/>
    <d v="2024-04-19T00:00:00"/>
    <x v="3"/>
    <s v="Promo Blast"/>
    <s v="Desktop"/>
    <s v="Latin America"/>
    <s v="MQL"/>
    <m/>
    <m/>
    <m/>
    <n v="2"/>
    <x v="1"/>
    <n v="1"/>
    <n v="0"/>
    <n v="0"/>
  </r>
  <r>
    <s v="LD4993"/>
    <d v="2024-08-15T00:00:00"/>
    <x v="2"/>
    <s v="Direct / Type-in"/>
    <s v="Mobile"/>
    <s v="North America"/>
    <s v="Lead"/>
    <m/>
    <m/>
    <m/>
    <n v="1"/>
    <x v="6"/>
    <n v="0"/>
    <n v="0"/>
    <n v="0"/>
  </r>
  <r>
    <s v="LD5814"/>
    <d v="2024-10-02T00:00:00"/>
    <x v="1"/>
    <s v="Google Ads - Brand"/>
    <s v="Mobile"/>
    <s v="Europe"/>
    <s v="MQL"/>
    <m/>
    <m/>
    <m/>
    <n v="2"/>
    <x v="5"/>
    <n v="1"/>
    <n v="0"/>
    <n v="0"/>
  </r>
  <r>
    <s v="LD1447"/>
    <d v="2024-01-25T00:00:00"/>
    <x v="2"/>
    <s v="Direct / Type-in"/>
    <s v="Desktop"/>
    <s v="Latin America"/>
    <s v="SQL"/>
    <m/>
    <m/>
    <m/>
    <n v="3"/>
    <x v="3"/>
    <n v="1"/>
    <n v="1"/>
    <n v="0"/>
  </r>
  <r>
    <s v="LD1881"/>
    <d v="2024-02-14T00:00:00"/>
    <x v="4"/>
    <s v="Affiliate Program"/>
    <s v="Mobile"/>
    <s v="Europe"/>
    <s v="Lead"/>
    <m/>
    <m/>
    <m/>
    <n v="1"/>
    <x v="10"/>
    <n v="0"/>
    <n v="0"/>
    <n v="0"/>
  </r>
  <r>
    <s v="LD5616"/>
    <d v="2024-09-04T00:00:00"/>
    <x v="2"/>
    <s v="Direct / Type-in"/>
    <s v="Desktop"/>
    <s v="North America"/>
    <s v="Lead"/>
    <m/>
    <m/>
    <m/>
    <n v="1"/>
    <x v="9"/>
    <n v="0"/>
    <n v="0"/>
    <n v="0"/>
  </r>
  <r>
    <s v="LD4868"/>
    <d v="2024-08-05T00:00:00"/>
    <x v="3"/>
    <s v="Monthly Newsletter"/>
    <s v="Desktop"/>
    <s v="North America"/>
    <s v="Lead"/>
    <m/>
    <m/>
    <m/>
    <n v="1"/>
    <x v="6"/>
    <n v="0"/>
    <n v="0"/>
    <n v="0"/>
  </r>
  <r>
    <s v="LD7047"/>
    <d v="2024-11-14T00:00:00"/>
    <x v="2"/>
    <s v="Direct / Type-in"/>
    <s v="Mobile"/>
    <s v="Europe"/>
    <s v="MQL"/>
    <m/>
    <m/>
    <m/>
    <n v="2"/>
    <x v="2"/>
    <n v="1"/>
    <n v="0"/>
    <n v="0"/>
  </r>
  <r>
    <s v="LD3728"/>
    <d v="2024-06-11T00:00:00"/>
    <x v="1"/>
    <s v="Google Ads - Brand"/>
    <s v="Mobile"/>
    <s v="Asia Pacific"/>
    <s v="Lead"/>
    <m/>
    <m/>
    <m/>
    <n v="1"/>
    <x v="11"/>
    <n v="0"/>
    <n v="0"/>
    <n v="0"/>
  </r>
  <r>
    <s v="LD4049"/>
    <d v="2024-07-18T00:00:00"/>
    <x v="5"/>
    <s v="Landing Page SEO"/>
    <s v="Mobile"/>
    <s v="Europe"/>
    <s v="Lead"/>
    <m/>
    <m/>
    <m/>
    <n v="1"/>
    <x v="0"/>
    <n v="0"/>
    <n v="0"/>
    <n v="0"/>
  </r>
  <r>
    <s v="LD6441"/>
    <d v="2024-11-22T00:00:00"/>
    <x v="5"/>
    <s v="Landing Page SEO"/>
    <s v="Desktop"/>
    <s v="Asia Pacific"/>
    <s v="SQL"/>
    <m/>
    <m/>
    <m/>
    <n v="3"/>
    <x v="2"/>
    <n v="1"/>
    <n v="1"/>
    <n v="0"/>
  </r>
  <r>
    <s v="LD4995"/>
    <d v="2024-08-27T00:00:00"/>
    <x v="2"/>
    <s v="Direct / Type-in"/>
    <s v="Mobile"/>
    <s v="Europe"/>
    <s v="Lead"/>
    <m/>
    <m/>
    <m/>
    <n v="1"/>
    <x v="6"/>
    <n v="0"/>
    <n v="0"/>
    <n v="0"/>
  </r>
  <r>
    <s v="LD1782"/>
    <d v="2024-02-20T00:00:00"/>
    <x v="3"/>
    <s v="Monthly Newsletter"/>
    <s v="Mobile"/>
    <s v="Europe"/>
    <s v="MQL"/>
    <m/>
    <m/>
    <m/>
    <n v="2"/>
    <x v="10"/>
    <n v="1"/>
    <n v="0"/>
    <n v="0"/>
  </r>
  <r>
    <s v="LD3652"/>
    <d v="2024-06-22T00:00:00"/>
    <x v="1"/>
    <s v="Google Ads - Brand"/>
    <s v="Mobile"/>
    <s v="Europe"/>
    <s v="Lead"/>
    <m/>
    <m/>
    <m/>
    <n v="1"/>
    <x v="11"/>
    <n v="0"/>
    <n v="0"/>
    <n v="0"/>
  </r>
  <r>
    <s v="LD7588"/>
    <d v="2024-12-25T00:00:00"/>
    <x v="3"/>
    <s v="Promo Blast"/>
    <s v="Mobile"/>
    <s v="North America"/>
    <s v="Lead"/>
    <m/>
    <m/>
    <m/>
    <n v="1"/>
    <x v="7"/>
    <n v="0"/>
    <n v="0"/>
    <n v="0"/>
  </r>
  <r>
    <s v="LD2750"/>
    <d v="2024-04-26T00:00:00"/>
    <x v="3"/>
    <s v="Promo Blast"/>
    <s v="Desktop"/>
    <s v="North America"/>
    <s v="Customer"/>
    <n v="25"/>
    <s v="Pro"/>
    <n v="4607.29"/>
    <n v="4"/>
    <x v="1"/>
    <n v="1"/>
    <n v="1"/>
    <n v="1"/>
  </r>
  <r>
    <s v="LD3127"/>
    <d v="2024-05-23T00:00:00"/>
    <x v="1"/>
    <s v="Google Ads - Generic"/>
    <s v="Desktop"/>
    <s v="Europe"/>
    <s v="SQL"/>
    <m/>
    <m/>
    <m/>
    <n v="3"/>
    <x v="4"/>
    <n v="1"/>
    <n v="1"/>
    <n v="0"/>
  </r>
  <r>
    <s v="LD3261"/>
    <d v="2024-05-28T00:00:00"/>
    <x v="0"/>
    <s v="Facebook Ads"/>
    <s v="Desktop"/>
    <s v="Asia Pacific"/>
    <s v="Lead"/>
    <m/>
    <m/>
    <m/>
    <n v="1"/>
    <x v="4"/>
    <n v="0"/>
    <n v="0"/>
    <n v="0"/>
  </r>
  <r>
    <s v="LD3792"/>
    <d v="2024-06-07T00:00:00"/>
    <x v="0"/>
    <s v="Facebook Ads"/>
    <s v="Mobile"/>
    <s v="North America"/>
    <s v="MQL"/>
    <m/>
    <m/>
    <m/>
    <n v="2"/>
    <x v="11"/>
    <n v="1"/>
    <n v="0"/>
    <n v="0"/>
  </r>
  <r>
    <s v="LD3424"/>
    <d v="2024-05-06T00:00:00"/>
    <x v="3"/>
    <s v="Monthly Newsletter"/>
    <s v="Tablet"/>
    <s v="Asia Pacific"/>
    <s v="Lead"/>
    <m/>
    <m/>
    <m/>
    <n v="1"/>
    <x v="4"/>
    <n v="0"/>
    <n v="0"/>
    <n v="0"/>
  </r>
  <r>
    <s v="LD7619"/>
    <d v="2024-12-23T00:00:00"/>
    <x v="4"/>
    <s v="Affiliate Program"/>
    <s v="Mobile"/>
    <s v="North America"/>
    <s v="MQL"/>
    <m/>
    <m/>
    <m/>
    <n v="2"/>
    <x v="7"/>
    <n v="1"/>
    <n v="0"/>
    <n v="0"/>
  </r>
  <r>
    <s v="LD6849"/>
    <d v="2024-11-01T00:00:00"/>
    <x v="3"/>
    <s v="Monthly Newsletter"/>
    <s v="Desktop"/>
    <s v="Europe"/>
    <s v="Lead"/>
    <m/>
    <m/>
    <m/>
    <n v="1"/>
    <x v="2"/>
    <n v="0"/>
    <n v="0"/>
    <n v="0"/>
  </r>
  <r>
    <s v="LD1884"/>
    <d v="2024-02-02T00:00:00"/>
    <x v="4"/>
    <s v="Partner Program"/>
    <s v="Desktop"/>
    <s v="North America"/>
    <s v="Lead"/>
    <m/>
    <m/>
    <m/>
    <n v="1"/>
    <x v="10"/>
    <n v="0"/>
    <n v="0"/>
    <n v="0"/>
  </r>
  <r>
    <s v="LD6477"/>
    <d v="2024-11-27T00:00:00"/>
    <x v="1"/>
    <s v="Google Ads - Brand"/>
    <s v="Mobile"/>
    <s v="North America"/>
    <s v="MQL"/>
    <m/>
    <m/>
    <m/>
    <n v="2"/>
    <x v="2"/>
    <n v="1"/>
    <n v="0"/>
    <n v="0"/>
  </r>
  <r>
    <s v="LD2092"/>
    <d v="2024-03-10T00:00:00"/>
    <x v="1"/>
    <s v="Google Ads - Generic"/>
    <s v="Mobile"/>
    <s v="Europe"/>
    <s v="SQL"/>
    <m/>
    <m/>
    <m/>
    <n v="3"/>
    <x v="8"/>
    <n v="1"/>
    <n v="1"/>
    <n v="0"/>
  </r>
  <r>
    <s v="LD5914"/>
    <d v="2024-10-20T00:00:00"/>
    <x v="0"/>
    <s v="Facebook Ads"/>
    <s v="Tablet"/>
    <s v="Europe"/>
    <s v="Lead"/>
    <m/>
    <m/>
    <m/>
    <n v="1"/>
    <x v="5"/>
    <n v="0"/>
    <n v="0"/>
    <n v="0"/>
  </r>
  <r>
    <s v="LD5672"/>
    <d v="2024-10-12T00:00:00"/>
    <x v="5"/>
    <s v="Blog SEO"/>
    <s v="Mobile"/>
    <s v="Asia Pacific"/>
    <s v="MQL"/>
    <m/>
    <m/>
    <m/>
    <n v="2"/>
    <x v="5"/>
    <n v="1"/>
    <n v="0"/>
    <n v="0"/>
  </r>
  <r>
    <s v="LD1532"/>
    <d v="2024-02-06T00:00:00"/>
    <x v="5"/>
    <s v="Blog SEO"/>
    <s v="Mobile"/>
    <s v="Asia Pacific"/>
    <s v="Lead"/>
    <m/>
    <m/>
    <m/>
    <n v="1"/>
    <x v="10"/>
    <n v="0"/>
    <n v="0"/>
    <n v="0"/>
  </r>
  <r>
    <s v="LD6774"/>
    <d v="2024-11-21T00:00:00"/>
    <x v="3"/>
    <s v="Promo Blast"/>
    <s v="Mobile"/>
    <s v="Asia Pacific"/>
    <s v="Lead"/>
    <m/>
    <m/>
    <m/>
    <n v="1"/>
    <x v="2"/>
    <n v="0"/>
    <n v="0"/>
    <n v="0"/>
  </r>
  <r>
    <s v="LD3439"/>
    <d v="2024-05-25T00:00:00"/>
    <x v="4"/>
    <s v="Partner Program"/>
    <s v="Desktop"/>
    <s v="Europe"/>
    <s v="MQL"/>
    <m/>
    <m/>
    <m/>
    <n v="2"/>
    <x v="4"/>
    <n v="1"/>
    <n v="0"/>
    <n v="0"/>
  </r>
  <r>
    <s v="LD6501"/>
    <d v="2024-11-13T00:00:00"/>
    <x v="1"/>
    <s v="Google Ads - Brand"/>
    <s v="Desktop"/>
    <s v="North America"/>
    <s v="Lead"/>
    <m/>
    <m/>
    <m/>
    <n v="1"/>
    <x v="2"/>
    <n v="0"/>
    <n v="0"/>
    <n v="0"/>
  </r>
  <r>
    <s v="LD5991"/>
    <d v="2024-10-23T00:00:00"/>
    <x v="3"/>
    <s v="Monthly Newsletter"/>
    <s v="Tablet"/>
    <s v="Europe"/>
    <s v="Lead"/>
    <m/>
    <m/>
    <m/>
    <n v="1"/>
    <x v="5"/>
    <n v="0"/>
    <n v="0"/>
    <n v="0"/>
  </r>
  <r>
    <s v="LD3609"/>
    <d v="2024-06-20T00:00:00"/>
    <x v="5"/>
    <s v="Blog SEO"/>
    <s v="Desktop"/>
    <s v="North America"/>
    <s v="SQL"/>
    <m/>
    <m/>
    <m/>
    <n v="3"/>
    <x v="11"/>
    <n v="1"/>
    <n v="1"/>
    <n v="0"/>
  </r>
  <r>
    <s v="LD6562"/>
    <d v="2024-11-24T00:00:00"/>
    <x v="1"/>
    <s v="Google Ads - Generic"/>
    <s v="Mobile"/>
    <s v="Asia Pacific"/>
    <s v="Lead"/>
    <m/>
    <m/>
    <m/>
    <n v="1"/>
    <x v="2"/>
    <n v="0"/>
    <n v="0"/>
    <n v="0"/>
  </r>
  <r>
    <s v="LD3291"/>
    <d v="2024-05-22T00:00:00"/>
    <x v="0"/>
    <s v="LinkedIn Ads"/>
    <s v="Tablet"/>
    <s v="North America"/>
    <s v="Lead"/>
    <m/>
    <m/>
    <m/>
    <n v="1"/>
    <x v="4"/>
    <n v="0"/>
    <n v="0"/>
    <n v="0"/>
  </r>
  <r>
    <s v="LD2728"/>
    <d v="2024-04-23T00:00:00"/>
    <x v="0"/>
    <s v="Instagram Ads"/>
    <s v="Tablet"/>
    <s v="North America"/>
    <s v="Lead"/>
    <m/>
    <m/>
    <m/>
    <n v="1"/>
    <x v="1"/>
    <n v="0"/>
    <n v="0"/>
    <n v="0"/>
  </r>
  <r>
    <s v="LD1611"/>
    <d v="2024-02-07T00:00:00"/>
    <x v="1"/>
    <s v="Google Ads - Brand"/>
    <s v="Mobile"/>
    <s v="North America"/>
    <s v="MQL"/>
    <m/>
    <m/>
    <m/>
    <n v="2"/>
    <x v="10"/>
    <n v="1"/>
    <n v="0"/>
    <n v="0"/>
  </r>
  <r>
    <s v="LD4722"/>
    <d v="2024-08-26T00:00:00"/>
    <x v="0"/>
    <s v="Instagram Ads"/>
    <s v="Mobile"/>
    <s v="Europe"/>
    <s v="Lead"/>
    <m/>
    <m/>
    <m/>
    <n v="1"/>
    <x v="6"/>
    <n v="0"/>
    <n v="0"/>
    <n v="0"/>
  </r>
  <r>
    <s v="LD1571"/>
    <d v="2024-02-23T00:00:00"/>
    <x v="1"/>
    <s v="Google Ads - Brand"/>
    <s v="Tablet"/>
    <s v="North America"/>
    <s v="MQL"/>
    <m/>
    <m/>
    <m/>
    <n v="2"/>
    <x v="10"/>
    <n v="1"/>
    <n v="0"/>
    <n v="0"/>
  </r>
  <r>
    <s v="LD2980"/>
    <d v="2024-04-01T00:00:00"/>
    <x v="2"/>
    <s v="Direct / Type-in"/>
    <s v="Tablet"/>
    <s v="Europe"/>
    <s v="Lead"/>
    <m/>
    <m/>
    <m/>
    <n v="1"/>
    <x v="1"/>
    <n v="0"/>
    <n v="0"/>
    <n v="0"/>
  </r>
  <r>
    <s v="LD2318"/>
    <d v="2024-03-18T00:00:00"/>
    <x v="3"/>
    <s v="Promo Blast"/>
    <s v="Tablet"/>
    <s v="Europe"/>
    <s v="MQL"/>
    <m/>
    <m/>
    <m/>
    <n v="2"/>
    <x v="8"/>
    <n v="1"/>
    <n v="0"/>
    <n v="0"/>
  </r>
  <r>
    <s v="LD6790"/>
    <d v="2024-11-20T00:00:00"/>
    <x v="3"/>
    <s v="Monthly Newsletter"/>
    <s v="Desktop"/>
    <s v="North America"/>
    <s v="SQL"/>
    <m/>
    <m/>
    <m/>
    <n v="3"/>
    <x v="2"/>
    <n v="1"/>
    <n v="1"/>
    <n v="0"/>
  </r>
  <r>
    <s v="LD1344"/>
    <d v="2024-01-28T00:00:00"/>
    <x v="3"/>
    <s v="Promo Blast"/>
    <s v="Mobile"/>
    <s v="North America"/>
    <s v="SQL"/>
    <m/>
    <m/>
    <m/>
    <n v="3"/>
    <x v="3"/>
    <n v="1"/>
    <n v="1"/>
    <n v="0"/>
  </r>
  <r>
    <s v="LD1588"/>
    <d v="2024-02-26T00:00:00"/>
    <x v="1"/>
    <s v="Google Ads - Generic"/>
    <s v="Mobile"/>
    <s v="Europe"/>
    <s v="Lead"/>
    <m/>
    <m/>
    <m/>
    <n v="1"/>
    <x v="10"/>
    <n v="0"/>
    <n v="0"/>
    <n v="0"/>
  </r>
  <r>
    <s v="LD6289"/>
    <d v="2024-10-09T00:00:00"/>
    <x v="2"/>
    <s v="Direct / Type-in"/>
    <s v="Mobile"/>
    <s v="North America"/>
    <s v="Lead"/>
    <m/>
    <m/>
    <m/>
    <n v="1"/>
    <x v="5"/>
    <n v="0"/>
    <n v="0"/>
    <n v="0"/>
  </r>
  <r>
    <s v="LD4751"/>
    <d v="2024-08-14T00:00:00"/>
    <x v="0"/>
    <s v="Facebook Ads"/>
    <s v="Desktop"/>
    <s v="Asia Pacific"/>
    <s v="MQL"/>
    <m/>
    <m/>
    <m/>
    <n v="2"/>
    <x v="6"/>
    <n v="1"/>
    <n v="0"/>
    <n v="0"/>
  </r>
  <r>
    <s v="LD1637"/>
    <d v="2024-02-20T00:00:00"/>
    <x v="1"/>
    <s v="Google Ads - Brand"/>
    <s v="Desktop"/>
    <s v="Latin America"/>
    <s v="Lead"/>
    <m/>
    <m/>
    <m/>
    <n v="1"/>
    <x v="10"/>
    <n v="0"/>
    <n v="0"/>
    <n v="0"/>
  </r>
  <r>
    <s v="LD1435"/>
    <d v="2024-01-20T00:00:00"/>
    <x v="2"/>
    <s v="Direct / Type-in"/>
    <s v="Mobile"/>
    <s v="Europe"/>
    <s v="MQL"/>
    <m/>
    <m/>
    <m/>
    <n v="2"/>
    <x v="3"/>
    <n v="1"/>
    <n v="0"/>
    <n v="0"/>
  </r>
  <r>
    <s v="LD2904"/>
    <d v="2024-04-17T00:00:00"/>
    <x v="4"/>
    <s v="Affiliate Program"/>
    <s v="Desktop"/>
    <s v="North America"/>
    <s v="Lead"/>
    <m/>
    <m/>
    <m/>
    <n v="1"/>
    <x v="1"/>
    <n v="0"/>
    <n v="0"/>
    <n v="0"/>
  </r>
  <r>
    <s v="LD4216"/>
    <d v="2024-07-04T00:00:00"/>
    <x v="0"/>
    <s v="Instagram Ads"/>
    <s v="Mobile"/>
    <s v="Europe"/>
    <s v="MQL"/>
    <m/>
    <m/>
    <m/>
    <n v="2"/>
    <x v="0"/>
    <n v="1"/>
    <n v="0"/>
    <n v="0"/>
  </r>
  <r>
    <s v="LD1098"/>
    <d v="2024-01-04T00:00:00"/>
    <x v="1"/>
    <s v="Google Ads - Brand"/>
    <s v="Desktop"/>
    <s v="North America"/>
    <s v="MQL"/>
    <m/>
    <m/>
    <m/>
    <n v="2"/>
    <x v="3"/>
    <n v="1"/>
    <n v="0"/>
    <n v="0"/>
  </r>
  <r>
    <s v="LD5081"/>
    <d v="2024-09-14T00:00:00"/>
    <x v="5"/>
    <s v="Landing Page SEO"/>
    <s v="Tablet"/>
    <s v="Europe"/>
    <s v="MQL"/>
    <m/>
    <m/>
    <m/>
    <n v="2"/>
    <x v="9"/>
    <n v="1"/>
    <n v="0"/>
    <n v="0"/>
  </r>
  <r>
    <s v="LD5247"/>
    <d v="2024-09-10T00:00:00"/>
    <x v="0"/>
    <s v="Instagram Ads"/>
    <s v="Desktop"/>
    <s v="Latin America"/>
    <s v="Lead"/>
    <m/>
    <m/>
    <m/>
    <n v="1"/>
    <x v="9"/>
    <n v="0"/>
    <n v="0"/>
    <n v="0"/>
  </r>
  <r>
    <s v="LD7534"/>
    <d v="2024-12-12T00:00:00"/>
    <x v="3"/>
    <s v="Promo Blast"/>
    <s v="Tablet"/>
    <s v="North America"/>
    <s v="SQL"/>
    <m/>
    <m/>
    <m/>
    <n v="3"/>
    <x v="7"/>
    <n v="1"/>
    <n v="1"/>
    <n v="0"/>
  </r>
  <r>
    <s v="LD7458"/>
    <d v="2024-12-07T00:00:00"/>
    <x v="3"/>
    <s v="Promo Blast"/>
    <s v="Desktop"/>
    <s v="Europe"/>
    <s v="MQL"/>
    <m/>
    <m/>
    <m/>
    <n v="2"/>
    <x v="7"/>
    <n v="1"/>
    <n v="0"/>
    <n v="0"/>
  </r>
  <r>
    <s v="LD3070"/>
    <d v="2024-05-20T00:00:00"/>
    <x v="5"/>
    <s v="Landing Page SEO"/>
    <s v="Mobile"/>
    <s v="Asia Pacific"/>
    <s v="MQL"/>
    <m/>
    <m/>
    <m/>
    <n v="2"/>
    <x v="4"/>
    <n v="1"/>
    <n v="0"/>
    <n v="0"/>
  </r>
  <r>
    <s v="LD2538"/>
    <d v="2024-04-23T00:00:00"/>
    <x v="5"/>
    <s v="Landing Page SEO"/>
    <s v="Desktop"/>
    <s v="Latin America"/>
    <s v="Lead"/>
    <m/>
    <m/>
    <m/>
    <n v="1"/>
    <x v="1"/>
    <n v="0"/>
    <n v="0"/>
    <n v="0"/>
  </r>
  <r>
    <s v="LD4589"/>
    <d v="2024-08-01T00:00:00"/>
    <x v="1"/>
    <s v="Google Ads - Generic"/>
    <s v="Mobile"/>
    <s v="Asia Pacific"/>
    <s v="Lead"/>
    <m/>
    <m/>
    <m/>
    <n v="1"/>
    <x v="6"/>
    <n v="0"/>
    <n v="0"/>
    <n v="0"/>
  </r>
  <r>
    <s v="LD1853"/>
    <d v="2024-02-03T00:00:00"/>
    <x v="4"/>
    <s v="Partner Program"/>
    <s v="Mobile"/>
    <s v="North America"/>
    <s v="SQL"/>
    <m/>
    <m/>
    <m/>
    <n v="3"/>
    <x v="10"/>
    <n v="1"/>
    <n v="1"/>
    <n v="0"/>
  </r>
  <r>
    <s v="LD5681"/>
    <d v="2024-10-13T00:00:00"/>
    <x v="5"/>
    <s v="Landing Page SEO"/>
    <s v="Mobile"/>
    <s v="North America"/>
    <s v="Lead"/>
    <m/>
    <m/>
    <m/>
    <n v="1"/>
    <x v="5"/>
    <n v="0"/>
    <n v="0"/>
    <n v="0"/>
  </r>
  <r>
    <s v="LD4649"/>
    <d v="2024-08-14T00:00:00"/>
    <x v="1"/>
    <s v="Google Ads - Brand"/>
    <s v="Mobile"/>
    <s v="Europe"/>
    <s v="Lead"/>
    <m/>
    <m/>
    <m/>
    <n v="1"/>
    <x v="6"/>
    <n v="0"/>
    <n v="0"/>
    <n v="0"/>
  </r>
  <r>
    <s v="LD6395"/>
    <d v="2024-11-07T00:00:00"/>
    <x v="5"/>
    <s v="Landing Page SEO"/>
    <s v="Desktop"/>
    <s v="Europe"/>
    <s v="Lead"/>
    <m/>
    <m/>
    <m/>
    <n v="1"/>
    <x v="2"/>
    <n v="0"/>
    <n v="0"/>
    <n v="0"/>
  </r>
  <r>
    <s v="LD7028"/>
    <d v="2024-11-07T00:00:00"/>
    <x v="2"/>
    <s v="Direct / Type-in"/>
    <s v="Desktop"/>
    <s v="Asia Pacific"/>
    <s v="MQL"/>
    <m/>
    <m/>
    <m/>
    <n v="2"/>
    <x v="2"/>
    <n v="1"/>
    <n v="0"/>
    <n v="0"/>
  </r>
  <r>
    <s v="LD2518"/>
    <d v="2024-04-02T00:00:00"/>
    <x v="5"/>
    <s v="Blog SEO"/>
    <s v="Mobile"/>
    <s v="Europe"/>
    <s v="SQL"/>
    <m/>
    <m/>
    <m/>
    <n v="3"/>
    <x v="1"/>
    <n v="1"/>
    <n v="1"/>
    <n v="0"/>
  </r>
  <r>
    <s v="LD1966"/>
    <d v="2024-03-20T00:00:00"/>
    <x v="5"/>
    <s v="Blog SEO"/>
    <s v="Desktop"/>
    <s v="North America"/>
    <s v="Lead"/>
    <m/>
    <m/>
    <m/>
    <n v="1"/>
    <x v="8"/>
    <n v="0"/>
    <n v="0"/>
    <n v="0"/>
  </r>
  <r>
    <s v="LD6964"/>
    <d v="2024-11-13T00:00:00"/>
    <x v="4"/>
    <s v="Partner Program"/>
    <s v="Desktop"/>
    <s v="Latin America"/>
    <s v="Lead"/>
    <m/>
    <m/>
    <m/>
    <n v="1"/>
    <x v="2"/>
    <n v="0"/>
    <n v="0"/>
    <n v="0"/>
  </r>
  <r>
    <s v="LD1529"/>
    <d v="2024-02-08T00:00:00"/>
    <x v="5"/>
    <s v="Blog SEO"/>
    <s v="Desktop"/>
    <s v="Europe"/>
    <s v="MQL"/>
    <m/>
    <m/>
    <m/>
    <n v="2"/>
    <x v="10"/>
    <n v="1"/>
    <n v="0"/>
    <n v="0"/>
  </r>
  <r>
    <s v="LD1177"/>
    <d v="2024-01-10T00:00:00"/>
    <x v="1"/>
    <s v="Google Ads - Generic"/>
    <s v="Desktop"/>
    <s v="North America"/>
    <s v="MQL"/>
    <m/>
    <m/>
    <m/>
    <n v="2"/>
    <x v="3"/>
    <n v="1"/>
    <n v="0"/>
    <n v="0"/>
  </r>
  <r>
    <s v="LD4670"/>
    <d v="2024-08-13T00:00:00"/>
    <x v="1"/>
    <s v="Google Ads - Brand"/>
    <s v="Mobile"/>
    <s v="Asia Pacific"/>
    <s v="Lead"/>
    <m/>
    <m/>
    <m/>
    <n v="1"/>
    <x v="6"/>
    <n v="0"/>
    <n v="0"/>
    <n v="0"/>
  </r>
  <r>
    <s v="LD3471"/>
    <d v="2024-05-21T00:00:00"/>
    <x v="4"/>
    <s v="Partner Program"/>
    <s v="Desktop"/>
    <s v="North America"/>
    <s v="SQL"/>
    <m/>
    <m/>
    <m/>
    <n v="3"/>
    <x v="4"/>
    <n v="1"/>
    <n v="1"/>
    <n v="0"/>
  </r>
  <r>
    <s v="LD6114"/>
    <d v="2024-10-23T00:00:00"/>
    <x v="3"/>
    <s v="Promo Blast"/>
    <s v="Mobile"/>
    <s v="North America"/>
    <s v="SQL"/>
    <m/>
    <m/>
    <m/>
    <n v="3"/>
    <x v="5"/>
    <n v="1"/>
    <n v="1"/>
    <n v="0"/>
  </r>
  <r>
    <s v="LD3091"/>
    <d v="2024-05-18T00:00:00"/>
    <x v="5"/>
    <s v="Blog SEO"/>
    <s v="Tablet"/>
    <s v="North America"/>
    <s v="Lead"/>
    <m/>
    <m/>
    <m/>
    <n v="1"/>
    <x v="4"/>
    <n v="0"/>
    <n v="0"/>
    <n v="0"/>
  </r>
  <r>
    <s v="LD4002"/>
    <d v="2024-06-22T00:00:00"/>
    <x v="2"/>
    <s v="Direct / Type-in"/>
    <s v="Desktop"/>
    <s v="North America"/>
    <s v="SQL"/>
    <m/>
    <m/>
    <m/>
    <n v="3"/>
    <x v="11"/>
    <n v="1"/>
    <n v="1"/>
    <n v="0"/>
  </r>
  <r>
    <s v="LD6809"/>
    <d v="2024-11-05T00:00:00"/>
    <x v="3"/>
    <s v="Promo Blast"/>
    <s v="Desktop"/>
    <s v="Europe"/>
    <s v="MQL"/>
    <m/>
    <m/>
    <m/>
    <n v="2"/>
    <x v="2"/>
    <n v="1"/>
    <n v="0"/>
    <n v="0"/>
  </r>
  <r>
    <s v="LD4426"/>
    <d v="2024-07-09T00:00:00"/>
    <x v="4"/>
    <s v="Affiliate Program"/>
    <s v="Desktop"/>
    <s v="North America"/>
    <s v="Customer"/>
    <n v="25"/>
    <s v="Basic"/>
    <n v="1373.85"/>
    <n v="4"/>
    <x v="0"/>
    <n v="1"/>
    <n v="1"/>
    <n v="1"/>
  </r>
  <r>
    <s v="LD1573"/>
    <d v="2024-02-07T00:00:00"/>
    <x v="1"/>
    <s v="Google Ads - Generic"/>
    <s v="Desktop"/>
    <s v="Asia Pacific"/>
    <s v="Lead"/>
    <m/>
    <m/>
    <m/>
    <n v="1"/>
    <x v="10"/>
    <n v="0"/>
    <n v="0"/>
    <n v="0"/>
  </r>
  <r>
    <s v="LD7162"/>
    <d v="2024-12-03T00:00:00"/>
    <x v="5"/>
    <s v="Blog SEO"/>
    <s v="Desktop"/>
    <s v="North America"/>
    <s v="MQL"/>
    <m/>
    <m/>
    <m/>
    <n v="2"/>
    <x v="7"/>
    <n v="1"/>
    <n v="0"/>
    <n v="0"/>
  </r>
  <r>
    <s v="LD7512"/>
    <d v="2024-12-22T00:00:00"/>
    <x v="3"/>
    <s v="Promo Blast"/>
    <s v="Mobile"/>
    <s v="North America"/>
    <s v="SQL"/>
    <m/>
    <m/>
    <m/>
    <n v="3"/>
    <x v="7"/>
    <n v="1"/>
    <n v="1"/>
    <n v="0"/>
  </r>
  <r>
    <s v="LD4063"/>
    <d v="2024-07-26T00:00:00"/>
    <x v="5"/>
    <s v="Blog SEO"/>
    <s v="Desktop"/>
    <s v="North America"/>
    <s v="Lead"/>
    <m/>
    <m/>
    <m/>
    <n v="1"/>
    <x v="0"/>
    <n v="0"/>
    <n v="0"/>
    <n v="0"/>
  </r>
  <r>
    <s v="LD5285"/>
    <d v="2024-09-28T00:00:00"/>
    <x v="0"/>
    <s v="Facebook Ads"/>
    <s v="Desktop"/>
    <s v="Latin America"/>
    <s v="SQL"/>
    <m/>
    <m/>
    <m/>
    <n v="3"/>
    <x v="9"/>
    <n v="1"/>
    <n v="1"/>
    <n v="0"/>
  </r>
  <r>
    <s v="LD5905"/>
    <d v="2024-10-13T00:00:00"/>
    <x v="0"/>
    <s v="LinkedIn Ads"/>
    <s v="Mobile"/>
    <s v="Europe"/>
    <s v="Lead"/>
    <m/>
    <m/>
    <m/>
    <n v="1"/>
    <x v="5"/>
    <n v="0"/>
    <n v="0"/>
    <n v="0"/>
  </r>
  <r>
    <s v="LD5385"/>
    <d v="2024-09-12T00:00:00"/>
    <x v="3"/>
    <s v="Monthly Newsletter"/>
    <s v="Mobile"/>
    <s v="Europe"/>
    <s v="SQL"/>
    <m/>
    <m/>
    <m/>
    <n v="3"/>
    <x v="9"/>
    <n v="1"/>
    <n v="1"/>
    <n v="0"/>
  </r>
  <r>
    <s v="LD5528"/>
    <d v="2024-09-07T00:00:00"/>
    <x v="4"/>
    <s v="Affiliate Program"/>
    <s v="Mobile"/>
    <s v="Latin America"/>
    <s v="Lead"/>
    <m/>
    <m/>
    <m/>
    <n v="1"/>
    <x v="9"/>
    <n v="0"/>
    <n v="0"/>
    <n v="0"/>
  </r>
  <r>
    <s v="LD1371"/>
    <d v="2024-01-19T00:00:00"/>
    <x v="4"/>
    <s v="Affiliate Program"/>
    <s v="Mobile"/>
    <s v="Asia Pacific"/>
    <s v="Lead"/>
    <m/>
    <m/>
    <m/>
    <n v="1"/>
    <x v="3"/>
    <n v="0"/>
    <n v="0"/>
    <n v="0"/>
  </r>
  <r>
    <s v="LD2939"/>
    <d v="2024-04-24T00:00:00"/>
    <x v="4"/>
    <s v="Affiliate Program"/>
    <s v="Desktop"/>
    <s v="Europe"/>
    <s v="MQL"/>
    <m/>
    <m/>
    <m/>
    <n v="2"/>
    <x v="1"/>
    <n v="1"/>
    <n v="0"/>
    <n v="0"/>
  </r>
  <r>
    <s v="LD6363"/>
    <d v="2024-11-06T00:00:00"/>
    <x v="5"/>
    <s v="Blog SEO"/>
    <s v="Mobile"/>
    <s v="Europe"/>
    <s v="Lead"/>
    <m/>
    <m/>
    <m/>
    <n v="1"/>
    <x v="2"/>
    <n v="0"/>
    <n v="0"/>
    <n v="0"/>
  </r>
  <r>
    <s v="LD6852"/>
    <d v="2024-11-11T00:00:00"/>
    <x v="3"/>
    <s v="Monthly Newsletter"/>
    <s v="Tablet"/>
    <s v="Latin America"/>
    <s v="Lead"/>
    <m/>
    <m/>
    <m/>
    <n v="1"/>
    <x v="2"/>
    <n v="0"/>
    <n v="0"/>
    <n v="0"/>
  </r>
  <r>
    <s v="LD4671"/>
    <d v="2024-08-19T00:00:00"/>
    <x v="1"/>
    <s v="Google Ads - Generic"/>
    <s v="Mobile"/>
    <s v="North America"/>
    <s v="MQL"/>
    <m/>
    <m/>
    <m/>
    <n v="2"/>
    <x v="6"/>
    <n v="1"/>
    <n v="0"/>
    <n v="0"/>
  </r>
  <r>
    <s v="LD4653"/>
    <d v="2024-08-11T00:00:00"/>
    <x v="1"/>
    <s v="Google Ads - Generic"/>
    <s v="Desktop"/>
    <s v="North America"/>
    <s v="SQL"/>
    <m/>
    <m/>
    <m/>
    <n v="3"/>
    <x v="6"/>
    <n v="1"/>
    <n v="1"/>
    <n v="0"/>
  </r>
  <r>
    <s v="LD3362"/>
    <d v="2024-05-06T00:00:00"/>
    <x v="3"/>
    <s v="Monthly Newsletter"/>
    <s v="Mobile"/>
    <s v="North America"/>
    <s v="Customer"/>
    <n v="50"/>
    <s v="Basic"/>
    <n v="997.32"/>
    <n v="4"/>
    <x v="4"/>
    <n v="1"/>
    <n v="1"/>
    <n v="1"/>
  </r>
  <r>
    <s v="LD5211"/>
    <d v="2024-09-24T00:00:00"/>
    <x v="1"/>
    <s v="Google Ads - Brand"/>
    <s v="Desktop"/>
    <s v="North America"/>
    <s v="Lead"/>
    <m/>
    <m/>
    <m/>
    <n v="1"/>
    <x v="9"/>
    <n v="0"/>
    <n v="0"/>
    <n v="0"/>
  </r>
  <r>
    <s v="LD7110"/>
    <d v="2024-12-26T00:00:00"/>
    <x v="5"/>
    <s v="Landing Page SEO"/>
    <s v="Mobile"/>
    <s v="North America"/>
    <s v="MQL"/>
    <m/>
    <m/>
    <m/>
    <n v="2"/>
    <x v="7"/>
    <n v="1"/>
    <n v="0"/>
    <n v="0"/>
  </r>
  <r>
    <s v="LD4738"/>
    <d v="2024-08-03T00:00:00"/>
    <x v="0"/>
    <s v="Facebook Ads"/>
    <s v="Tablet"/>
    <s v="North America"/>
    <s v="Lead"/>
    <m/>
    <m/>
    <m/>
    <n v="1"/>
    <x v="6"/>
    <n v="0"/>
    <n v="0"/>
    <n v="0"/>
  </r>
  <r>
    <s v="LD5161"/>
    <d v="2024-09-27T00:00:00"/>
    <x v="1"/>
    <s v="Google Ads - Generic"/>
    <s v="Desktop"/>
    <s v="Europe"/>
    <s v="Lead"/>
    <m/>
    <m/>
    <m/>
    <n v="1"/>
    <x v="9"/>
    <n v="0"/>
    <n v="0"/>
    <n v="0"/>
  </r>
  <r>
    <s v="LD5664"/>
    <d v="2024-10-27T00:00:00"/>
    <x v="5"/>
    <s v="Blog SEO"/>
    <s v="Desktop"/>
    <s v="North America"/>
    <s v="Lead"/>
    <m/>
    <m/>
    <m/>
    <n v="1"/>
    <x v="5"/>
    <n v="0"/>
    <n v="0"/>
    <n v="0"/>
  </r>
  <r>
    <s v="LD5694"/>
    <d v="2024-10-10T00:00:00"/>
    <x v="5"/>
    <s v="Blog SEO"/>
    <s v="Desktop"/>
    <s v="North America"/>
    <s v="Customer"/>
    <n v="13"/>
    <s v="Basic"/>
    <n v="1449.75"/>
    <n v="4"/>
    <x v="5"/>
    <n v="1"/>
    <n v="1"/>
    <n v="1"/>
  </r>
  <r>
    <s v="LD2172"/>
    <d v="2024-03-03T00:00:00"/>
    <x v="0"/>
    <s v="Instagram Ads"/>
    <s v="Tablet"/>
    <s v="Europe"/>
    <s v="SQL"/>
    <m/>
    <m/>
    <m/>
    <n v="3"/>
    <x v="8"/>
    <n v="1"/>
    <n v="1"/>
    <n v="0"/>
  </r>
  <r>
    <s v="LD5406"/>
    <d v="2024-09-28T00:00:00"/>
    <x v="3"/>
    <s v="Monthly Newsletter"/>
    <s v="Mobile"/>
    <s v="Asia Pacific"/>
    <s v="SQL"/>
    <m/>
    <m/>
    <m/>
    <n v="3"/>
    <x v="9"/>
    <n v="1"/>
    <n v="1"/>
    <n v="0"/>
  </r>
  <r>
    <s v="LD2423"/>
    <d v="2024-03-02T00:00:00"/>
    <x v="2"/>
    <s v="Direct / Type-in"/>
    <s v="Mobile"/>
    <s v="North America"/>
    <s v="Lead"/>
    <m/>
    <m/>
    <m/>
    <n v="1"/>
    <x v="8"/>
    <n v="0"/>
    <n v="0"/>
    <n v="0"/>
  </r>
  <r>
    <s v="LD7083"/>
    <d v="2024-11-13T00:00:00"/>
    <x v="2"/>
    <s v="Direct / Type-in"/>
    <s v="Mobile"/>
    <s v="Asia Pacific"/>
    <s v="Lead"/>
    <m/>
    <m/>
    <m/>
    <n v="1"/>
    <x v="2"/>
    <n v="0"/>
    <n v="0"/>
    <n v="0"/>
  </r>
  <r>
    <s v="LD6965"/>
    <d v="2024-11-23T00:00:00"/>
    <x v="4"/>
    <s v="Affiliate Program"/>
    <s v="Desktop"/>
    <s v="North America"/>
    <s v="Customer"/>
    <n v="14"/>
    <s v="Pro"/>
    <n v="2308.9899999999998"/>
    <n v="4"/>
    <x v="2"/>
    <n v="1"/>
    <n v="1"/>
    <n v="1"/>
  </r>
  <r>
    <s v="LD5992"/>
    <d v="2024-10-15T00:00:00"/>
    <x v="3"/>
    <s v="Monthly Newsletter"/>
    <s v="Desktop"/>
    <s v="Europe"/>
    <s v="Lead"/>
    <m/>
    <m/>
    <m/>
    <n v="1"/>
    <x v="5"/>
    <n v="0"/>
    <n v="0"/>
    <n v="0"/>
  </r>
  <r>
    <s v="LD1875"/>
    <d v="2024-02-20T00:00:00"/>
    <x v="4"/>
    <s v="Affiliate Program"/>
    <s v="Mobile"/>
    <s v="Europe"/>
    <s v="Customer"/>
    <n v="17"/>
    <s v="Pro"/>
    <n v="3168.11"/>
    <n v="4"/>
    <x v="10"/>
    <n v="1"/>
    <n v="1"/>
    <n v="1"/>
  </r>
  <r>
    <s v="LD3298"/>
    <d v="2024-05-07T00:00:00"/>
    <x v="3"/>
    <s v="Monthly Newsletter"/>
    <s v="Desktop"/>
    <s v="North America"/>
    <s v="Customer"/>
    <n v="31"/>
    <s v="Basic"/>
    <n v="1221.18"/>
    <n v="4"/>
    <x v="4"/>
    <n v="1"/>
    <n v="1"/>
    <n v="1"/>
  </r>
  <r>
    <s v="LD3644"/>
    <d v="2024-06-18T00:00:00"/>
    <x v="1"/>
    <s v="Google Ads - Generic"/>
    <s v="Desktop"/>
    <s v="North America"/>
    <s v="Lead"/>
    <m/>
    <m/>
    <m/>
    <n v="1"/>
    <x v="11"/>
    <n v="0"/>
    <n v="0"/>
    <n v="0"/>
  </r>
  <r>
    <s v="LD6875"/>
    <d v="2024-11-07T00:00:00"/>
    <x v="3"/>
    <s v="Monthly Newsletter"/>
    <s v="Mobile"/>
    <s v="Europe"/>
    <s v="SQL"/>
    <m/>
    <m/>
    <m/>
    <n v="3"/>
    <x v="2"/>
    <n v="1"/>
    <n v="1"/>
    <n v="0"/>
  </r>
  <r>
    <s v="LD1841"/>
    <d v="2024-02-04T00:00:00"/>
    <x v="4"/>
    <s v="Partner Program"/>
    <s v="Desktop"/>
    <s v="North America"/>
    <s v="MQL"/>
    <m/>
    <m/>
    <m/>
    <n v="2"/>
    <x v="10"/>
    <n v="1"/>
    <n v="0"/>
    <n v="0"/>
  </r>
  <r>
    <s v="LD1582"/>
    <d v="2024-02-08T00:00:00"/>
    <x v="1"/>
    <s v="Google Ads - Generic"/>
    <s v="Mobile"/>
    <s v="Latin America"/>
    <s v="Lead"/>
    <m/>
    <m/>
    <m/>
    <n v="1"/>
    <x v="10"/>
    <n v="0"/>
    <n v="0"/>
    <n v="0"/>
  </r>
  <r>
    <s v="LD1205"/>
    <d v="2024-01-15T00:00:00"/>
    <x v="0"/>
    <s v="Facebook Ads"/>
    <s v="Mobile"/>
    <s v="North America"/>
    <s v="SQL"/>
    <m/>
    <m/>
    <m/>
    <n v="3"/>
    <x v="3"/>
    <n v="1"/>
    <n v="1"/>
    <n v="0"/>
  </r>
  <r>
    <s v="LD2642"/>
    <d v="2024-04-27T00:00:00"/>
    <x v="1"/>
    <s v="Google Ads - Brand"/>
    <s v="Mobile"/>
    <s v="Europe"/>
    <s v="MQL"/>
    <m/>
    <m/>
    <m/>
    <n v="2"/>
    <x v="1"/>
    <n v="1"/>
    <n v="0"/>
    <n v="0"/>
  </r>
  <r>
    <s v="LD3015"/>
    <d v="2024-04-04T00:00:00"/>
    <x v="2"/>
    <s v="Direct / Type-in"/>
    <s v="Desktop"/>
    <s v="North America"/>
    <s v="MQL"/>
    <m/>
    <m/>
    <m/>
    <n v="2"/>
    <x v="1"/>
    <n v="1"/>
    <n v="0"/>
    <n v="0"/>
  </r>
  <r>
    <s v="LD4254"/>
    <d v="2024-07-19T00:00:00"/>
    <x v="0"/>
    <s v="Facebook Ads"/>
    <s v="Mobile"/>
    <s v="Latin America"/>
    <s v="Lead"/>
    <m/>
    <m/>
    <m/>
    <n v="1"/>
    <x v="0"/>
    <n v="0"/>
    <n v="0"/>
    <n v="0"/>
  </r>
  <r>
    <s v="LD5173"/>
    <d v="2024-09-17T00:00:00"/>
    <x v="1"/>
    <s v="Google Ads - Brand"/>
    <s v="Desktop"/>
    <s v="Asia Pacific"/>
    <s v="SQL"/>
    <m/>
    <m/>
    <m/>
    <n v="3"/>
    <x v="9"/>
    <n v="1"/>
    <n v="1"/>
    <n v="0"/>
  </r>
  <r>
    <s v="LD1906"/>
    <d v="2024-02-09T00:00:00"/>
    <x v="2"/>
    <s v="Direct / Type-in"/>
    <s v="Desktop"/>
    <s v="Europe"/>
    <s v="Lead"/>
    <m/>
    <m/>
    <m/>
    <n v="1"/>
    <x v="10"/>
    <n v="0"/>
    <n v="0"/>
    <n v="0"/>
  </r>
  <r>
    <s v="LD1632"/>
    <d v="2024-02-27T00:00:00"/>
    <x v="1"/>
    <s v="Google Ads - Brand"/>
    <s v="Desktop"/>
    <s v="Europe"/>
    <s v="Lead"/>
    <m/>
    <m/>
    <m/>
    <n v="1"/>
    <x v="10"/>
    <n v="0"/>
    <n v="0"/>
    <n v="0"/>
  </r>
  <r>
    <s v="LD5802"/>
    <d v="2024-10-09T00:00:00"/>
    <x v="1"/>
    <s v="Google Ads - Brand"/>
    <s v="Mobile"/>
    <s v="North America"/>
    <s v="Lead"/>
    <m/>
    <m/>
    <m/>
    <n v="1"/>
    <x v="5"/>
    <n v="0"/>
    <n v="0"/>
    <n v="0"/>
  </r>
  <r>
    <s v="LD5341"/>
    <d v="2024-09-08T00:00:00"/>
    <x v="3"/>
    <s v="Monthly Newsletter"/>
    <s v="Tablet"/>
    <s v="Asia Pacific"/>
    <s v="MQL"/>
    <m/>
    <m/>
    <m/>
    <n v="2"/>
    <x v="9"/>
    <n v="1"/>
    <n v="0"/>
    <n v="0"/>
  </r>
  <r>
    <s v="LD2975"/>
    <d v="2024-04-07T00:00:00"/>
    <x v="2"/>
    <s v="Direct / Type-in"/>
    <s v="Desktop"/>
    <s v="Latin America"/>
    <s v="Lead"/>
    <m/>
    <m/>
    <m/>
    <n v="1"/>
    <x v="1"/>
    <n v="0"/>
    <n v="0"/>
    <n v="0"/>
  </r>
  <r>
    <s v="LD1163"/>
    <d v="2024-01-10T00:00:00"/>
    <x v="1"/>
    <s v="Google Ads - Brand"/>
    <s v="Mobile"/>
    <s v="North America"/>
    <s v="MQL"/>
    <m/>
    <m/>
    <m/>
    <n v="2"/>
    <x v="3"/>
    <n v="1"/>
    <n v="0"/>
    <n v="0"/>
  </r>
  <r>
    <s v="LD5618"/>
    <d v="2024-09-21T00:00:00"/>
    <x v="2"/>
    <s v="Direct / Type-in"/>
    <s v="Desktop"/>
    <s v="Asia Pacific"/>
    <s v="Lead"/>
    <m/>
    <m/>
    <m/>
    <n v="1"/>
    <x v="9"/>
    <n v="0"/>
    <n v="0"/>
    <n v="0"/>
  </r>
  <r>
    <s v="LD7091"/>
    <d v="2024-11-06T00:00:00"/>
    <x v="2"/>
    <s v="Direct / Type-in"/>
    <s v="Mobile"/>
    <s v="Europe"/>
    <s v="Lead"/>
    <m/>
    <m/>
    <m/>
    <n v="1"/>
    <x v="2"/>
    <n v="0"/>
    <n v="0"/>
    <n v="0"/>
  </r>
  <r>
    <s v="LD5303"/>
    <d v="2024-09-01T00:00:00"/>
    <x v="3"/>
    <s v="Promo Blast"/>
    <s v="Mobile"/>
    <s v="North America"/>
    <s v="SQL"/>
    <m/>
    <m/>
    <m/>
    <n v="3"/>
    <x v="9"/>
    <n v="1"/>
    <n v="1"/>
    <n v="0"/>
  </r>
  <r>
    <s v="LD1876"/>
    <d v="2024-02-17T00:00:00"/>
    <x v="4"/>
    <s v="Affiliate Program"/>
    <s v="Mobile"/>
    <s v="North America"/>
    <s v="Lead"/>
    <m/>
    <m/>
    <m/>
    <n v="1"/>
    <x v="10"/>
    <n v="0"/>
    <n v="0"/>
    <n v="0"/>
  </r>
  <r>
    <s v="LD2432"/>
    <d v="2024-03-09T00:00:00"/>
    <x v="2"/>
    <s v="Direct / Type-in"/>
    <s v="Mobile"/>
    <s v="Asia Pacific"/>
    <s v="Lead"/>
    <m/>
    <m/>
    <m/>
    <n v="1"/>
    <x v="8"/>
    <n v="0"/>
    <n v="0"/>
    <n v="0"/>
  </r>
  <r>
    <s v="LD6711"/>
    <d v="2024-11-10T00:00:00"/>
    <x v="3"/>
    <s v="Promo Blast"/>
    <s v="Desktop"/>
    <s v="Europe"/>
    <s v="Lead"/>
    <m/>
    <m/>
    <m/>
    <n v="1"/>
    <x v="2"/>
    <n v="0"/>
    <n v="0"/>
    <n v="0"/>
  </r>
  <r>
    <s v="LD5300"/>
    <d v="2024-09-16T00:00:00"/>
    <x v="0"/>
    <s v="Instagram Ads"/>
    <s v="Desktop"/>
    <s v="Europe"/>
    <s v="Lead"/>
    <m/>
    <m/>
    <m/>
    <n v="1"/>
    <x v="9"/>
    <n v="0"/>
    <n v="0"/>
    <n v="0"/>
  </r>
  <r>
    <s v="LD3857"/>
    <d v="2024-06-26T00:00:00"/>
    <x v="3"/>
    <s v="Promo Blast"/>
    <s v="Desktop"/>
    <s v="North America"/>
    <s v="Lead"/>
    <m/>
    <m/>
    <m/>
    <n v="1"/>
    <x v="11"/>
    <n v="0"/>
    <n v="0"/>
    <n v="0"/>
  </r>
  <r>
    <s v="LD2862"/>
    <d v="2024-04-18T00:00:00"/>
    <x v="3"/>
    <s v="Monthly Newsletter"/>
    <s v="Mobile"/>
    <s v="North America"/>
    <s v="Lead"/>
    <m/>
    <m/>
    <m/>
    <n v="1"/>
    <x v="1"/>
    <n v="0"/>
    <n v="0"/>
    <n v="0"/>
  </r>
  <r>
    <s v="LD3660"/>
    <d v="2024-06-05T00:00:00"/>
    <x v="1"/>
    <s v="Google Ads - Brand"/>
    <s v="Mobile"/>
    <s v="North America"/>
    <s v="Customer"/>
    <n v="29"/>
    <s v="Pro"/>
    <n v="4625.1499999999996"/>
    <n v="4"/>
    <x v="11"/>
    <n v="1"/>
    <n v="1"/>
    <n v="1"/>
  </r>
  <r>
    <s v="LD4385"/>
    <d v="2024-07-17T00:00:00"/>
    <x v="4"/>
    <s v="Partner Program"/>
    <s v="Desktop"/>
    <s v="Europe"/>
    <s v="Customer"/>
    <n v="45"/>
    <s v="Basic"/>
    <n v="997.48"/>
    <n v="4"/>
    <x v="0"/>
    <n v="1"/>
    <n v="1"/>
    <n v="1"/>
  </r>
  <r>
    <s v="LD7224"/>
    <d v="2024-12-12T00:00:00"/>
    <x v="1"/>
    <s v="Google Ads - Generic"/>
    <s v="Mobile"/>
    <s v="North America"/>
    <s v="Lead"/>
    <m/>
    <m/>
    <m/>
    <n v="1"/>
    <x v="7"/>
    <n v="0"/>
    <n v="0"/>
    <n v="0"/>
  </r>
  <r>
    <s v="LD5478"/>
    <d v="2024-09-14T00:00:00"/>
    <x v="4"/>
    <s v="Partner Program"/>
    <s v="Mobile"/>
    <s v="North America"/>
    <s v="MQL"/>
    <m/>
    <m/>
    <m/>
    <n v="2"/>
    <x v="9"/>
    <n v="1"/>
    <n v="0"/>
    <n v="0"/>
  </r>
  <r>
    <s v="LD4332"/>
    <d v="2024-07-04T00:00:00"/>
    <x v="3"/>
    <s v="Promo Blast"/>
    <s v="Tablet"/>
    <s v="North America"/>
    <s v="Lead"/>
    <m/>
    <m/>
    <m/>
    <n v="1"/>
    <x v="0"/>
    <n v="0"/>
    <n v="0"/>
    <n v="0"/>
  </r>
  <r>
    <s v="LD6549"/>
    <d v="2024-11-28T00:00:00"/>
    <x v="1"/>
    <s v="Google Ads - Generic"/>
    <s v="Desktop"/>
    <s v="North America"/>
    <s v="Lead"/>
    <m/>
    <m/>
    <m/>
    <n v="1"/>
    <x v="2"/>
    <n v="0"/>
    <n v="0"/>
    <n v="0"/>
  </r>
  <r>
    <s v="LD6095"/>
    <d v="2024-10-02T00:00:00"/>
    <x v="3"/>
    <s v="Monthly Newsletter"/>
    <s v="Mobile"/>
    <s v="Europe"/>
    <s v="SQL"/>
    <m/>
    <m/>
    <m/>
    <n v="3"/>
    <x v="5"/>
    <n v="1"/>
    <n v="1"/>
    <n v="0"/>
  </r>
  <r>
    <s v="LD5718"/>
    <d v="2024-10-07T00:00:00"/>
    <x v="5"/>
    <s v="Landing Page SEO"/>
    <s v="Mobile"/>
    <s v="Latin America"/>
    <s v="Customer"/>
    <n v="31"/>
    <s v="Pro"/>
    <n v="1760.44"/>
    <n v="4"/>
    <x v="5"/>
    <n v="1"/>
    <n v="1"/>
    <n v="1"/>
  </r>
  <r>
    <s v="LD3097"/>
    <d v="2024-05-11T00:00:00"/>
    <x v="5"/>
    <s v="Blog SEO"/>
    <s v="Desktop"/>
    <s v="North America"/>
    <s v="SQL"/>
    <m/>
    <m/>
    <m/>
    <n v="3"/>
    <x v="4"/>
    <n v="1"/>
    <n v="1"/>
    <n v="0"/>
  </r>
  <r>
    <s v="LD3004"/>
    <d v="2024-04-01T00:00:00"/>
    <x v="2"/>
    <s v="Direct / Type-in"/>
    <s v="Desktop"/>
    <s v="North America"/>
    <s v="Lead"/>
    <m/>
    <m/>
    <m/>
    <n v="1"/>
    <x v="1"/>
    <n v="0"/>
    <n v="0"/>
    <n v="0"/>
  </r>
  <r>
    <s v="LD1547"/>
    <d v="2024-02-04T00:00:00"/>
    <x v="5"/>
    <s v="Landing Page SEO"/>
    <s v="Mobile"/>
    <s v="Europe"/>
    <s v="Lead"/>
    <m/>
    <m/>
    <m/>
    <n v="1"/>
    <x v="10"/>
    <n v="0"/>
    <n v="0"/>
    <n v="0"/>
  </r>
  <r>
    <s v="LD2450"/>
    <d v="2024-03-09T00:00:00"/>
    <x v="2"/>
    <s v="Direct / Type-in"/>
    <s v="Desktop"/>
    <s v="Europe"/>
    <s v="Lead"/>
    <m/>
    <m/>
    <m/>
    <n v="1"/>
    <x v="8"/>
    <n v="0"/>
    <n v="0"/>
    <n v="0"/>
  </r>
  <r>
    <s v="LD6131"/>
    <d v="2024-10-27T00:00:00"/>
    <x v="4"/>
    <s v="Partner Program"/>
    <s v="Tablet"/>
    <s v="North America"/>
    <s v="Lead"/>
    <m/>
    <m/>
    <m/>
    <n v="1"/>
    <x v="5"/>
    <n v="0"/>
    <n v="0"/>
    <n v="0"/>
  </r>
  <r>
    <s v="LD3611"/>
    <d v="2024-06-25T00:00:00"/>
    <x v="5"/>
    <s v="Blog SEO"/>
    <s v="Mobile"/>
    <s v="Europe"/>
    <s v="Lead"/>
    <m/>
    <m/>
    <m/>
    <n v="1"/>
    <x v="11"/>
    <n v="0"/>
    <n v="0"/>
    <n v="0"/>
  </r>
  <r>
    <s v="LD2901"/>
    <d v="2024-04-27T00:00:00"/>
    <x v="4"/>
    <s v="Partner Program"/>
    <s v="Desktop"/>
    <s v="North America"/>
    <s v="MQL"/>
    <m/>
    <m/>
    <m/>
    <n v="2"/>
    <x v="1"/>
    <n v="1"/>
    <n v="0"/>
    <n v="0"/>
  </r>
  <r>
    <s v="LD6755"/>
    <d v="2024-11-19T00:00:00"/>
    <x v="3"/>
    <s v="Promo Blast"/>
    <s v="Desktop"/>
    <s v="Asia Pacific"/>
    <s v="Lead"/>
    <m/>
    <m/>
    <m/>
    <n v="1"/>
    <x v="2"/>
    <n v="0"/>
    <n v="0"/>
    <n v="0"/>
  </r>
  <r>
    <s v="LD3758"/>
    <d v="2024-06-23T00:00:00"/>
    <x v="0"/>
    <s v="Facebook Ads"/>
    <s v="Tablet"/>
    <s v="Europe"/>
    <s v="Lead"/>
    <m/>
    <m/>
    <m/>
    <n v="1"/>
    <x v="11"/>
    <n v="0"/>
    <n v="0"/>
    <n v="0"/>
  </r>
  <r>
    <s v="LD2886"/>
    <d v="2024-04-05T00:00:00"/>
    <x v="4"/>
    <s v="Affiliate Program"/>
    <s v="Mobile"/>
    <s v="Europe"/>
    <s v="Lead"/>
    <m/>
    <m/>
    <m/>
    <n v="1"/>
    <x v="1"/>
    <n v="0"/>
    <n v="0"/>
    <n v="0"/>
  </r>
  <r>
    <s v="LD7560"/>
    <d v="2024-12-27T00:00:00"/>
    <x v="3"/>
    <s v="Monthly Newsletter"/>
    <s v="Tablet"/>
    <s v="Europe"/>
    <s v="SQL"/>
    <m/>
    <m/>
    <m/>
    <n v="3"/>
    <x v="7"/>
    <n v="1"/>
    <n v="1"/>
    <n v="0"/>
  </r>
  <r>
    <s v="LD3098"/>
    <d v="2024-05-07T00:00:00"/>
    <x v="5"/>
    <s v="Landing Page SEO"/>
    <s v="Desktop"/>
    <s v="North America"/>
    <s v="MQL"/>
    <m/>
    <m/>
    <m/>
    <n v="2"/>
    <x v="4"/>
    <n v="1"/>
    <n v="0"/>
    <n v="0"/>
  </r>
  <r>
    <s v="LD6895"/>
    <d v="2024-11-01T00:00:00"/>
    <x v="3"/>
    <s v="Monthly Newsletter"/>
    <s v="Mobile"/>
    <s v="Latin America"/>
    <s v="MQL"/>
    <m/>
    <m/>
    <m/>
    <n v="2"/>
    <x v="2"/>
    <n v="1"/>
    <n v="0"/>
    <n v="0"/>
  </r>
  <r>
    <s v="LD7090"/>
    <d v="2024-11-12T00:00:00"/>
    <x v="2"/>
    <s v="Direct / Type-in"/>
    <s v="Mobile"/>
    <s v="Europe"/>
    <s v="MQL"/>
    <m/>
    <m/>
    <m/>
    <n v="2"/>
    <x v="2"/>
    <n v="1"/>
    <n v="0"/>
    <n v="0"/>
  </r>
  <r>
    <s v="LD1837"/>
    <d v="2024-02-14T00:00:00"/>
    <x v="4"/>
    <s v="Affiliate Program"/>
    <s v="Mobile"/>
    <s v="North America"/>
    <s v="Customer"/>
    <n v="39"/>
    <s v="Basic"/>
    <n v="952.4"/>
    <n v="4"/>
    <x v="10"/>
    <n v="1"/>
    <n v="1"/>
    <n v="1"/>
  </r>
  <r>
    <s v="LD4472"/>
    <d v="2024-07-22T00:00:00"/>
    <x v="2"/>
    <s v="Direct / Type-in"/>
    <s v="Mobile"/>
    <s v="Asia Pacific"/>
    <s v="Lead"/>
    <m/>
    <m/>
    <m/>
    <n v="1"/>
    <x v="0"/>
    <n v="0"/>
    <n v="0"/>
    <n v="0"/>
  </r>
  <r>
    <s v="LD6392"/>
    <d v="2024-11-23T00:00:00"/>
    <x v="5"/>
    <s v="Blog SEO"/>
    <s v="Desktop"/>
    <s v="Europe"/>
    <s v="MQL"/>
    <m/>
    <m/>
    <m/>
    <n v="2"/>
    <x v="2"/>
    <n v="1"/>
    <n v="0"/>
    <n v="0"/>
  </r>
  <r>
    <s v="LD3172"/>
    <d v="2024-05-27T00:00:00"/>
    <x v="1"/>
    <s v="Google Ads - Brand"/>
    <s v="Desktop"/>
    <s v="North America"/>
    <s v="Lead"/>
    <m/>
    <m/>
    <m/>
    <n v="1"/>
    <x v="4"/>
    <n v="0"/>
    <n v="0"/>
    <n v="0"/>
  </r>
  <r>
    <s v="LD6827"/>
    <d v="2024-11-22T00:00:00"/>
    <x v="3"/>
    <s v="Monthly Newsletter"/>
    <s v="Mobile"/>
    <s v="North America"/>
    <s v="MQL"/>
    <m/>
    <m/>
    <m/>
    <n v="2"/>
    <x v="2"/>
    <n v="1"/>
    <n v="0"/>
    <n v="0"/>
  </r>
  <r>
    <s v="LD7105"/>
    <d v="2024-12-20T00:00:00"/>
    <x v="5"/>
    <s v="Blog SEO"/>
    <s v="Mobile"/>
    <s v="Asia Pacific"/>
    <s v="MQL"/>
    <m/>
    <m/>
    <m/>
    <n v="2"/>
    <x v="7"/>
    <n v="1"/>
    <n v="0"/>
    <n v="0"/>
  </r>
  <r>
    <s v="LD1399"/>
    <d v="2024-01-19T00:00:00"/>
    <x v="4"/>
    <s v="Partner Program"/>
    <s v="Mobile"/>
    <s v="Asia Pacific"/>
    <s v="Lead"/>
    <m/>
    <m/>
    <m/>
    <n v="1"/>
    <x v="3"/>
    <n v="0"/>
    <n v="0"/>
    <n v="0"/>
  </r>
  <r>
    <s v="LD3011"/>
    <d v="2024-04-23T00:00:00"/>
    <x v="2"/>
    <s v="Direct / Type-in"/>
    <s v="Tablet"/>
    <s v="Europe"/>
    <s v="MQL"/>
    <m/>
    <m/>
    <m/>
    <n v="2"/>
    <x v="1"/>
    <n v="1"/>
    <n v="0"/>
    <n v="0"/>
  </r>
  <r>
    <s v="LD7517"/>
    <d v="2024-12-23T00:00:00"/>
    <x v="3"/>
    <s v="Promo Blast"/>
    <s v="Mobile"/>
    <s v="Europe"/>
    <s v="MQL"/>
    <m/>
    <m/>
    <m/>
    <n v="2"/>
    <x v="7"/>
    <n v="1"/>
    <n v="0"/>
    <n v="0"/>
  </r>
  <r>
    <s v="LD2284"/>
    <d v="2024-03-10T00:00:00"/>
    <x v="3"/>
    <s v="Promo Blast"/>
    <s v="Tablet"/>
    <s v="North America"/>
    <s v="SQL"/>
    <m/>
    <m/>
    <m/>
    <n v="3"/>
    <x v="8"/>
    <n v="1"/>
    <n v="1"/>
    <n v="0"/>
  </r>
  <r>
    <s v="LD5953"/>
    <d v="2024-10-10T00:00:00"/>
    <x v="3"/>
    <s v="Promo Blast"/>
    <s v="Desktop"/>
    <s v="Europe"/>
    <s v="Customer"/>
    <n v="17"/>
    <s v="Basic"/>
    <n v="973.64"/>
    <n v="4"/>
    <x v="5"/>
    <n v="1"/>
    <n v="1"/>
    <n v="1"/>
  </r>
  <r>
    <s v="LD2837"/>
    <d v="2024-04-04T00:00:00"/>
    <x v="3"/>
    <s v="Promo Blast"/>
    <s v="Tablet"/>
    <s v="Latin America"/>
    <s v="Lead"/>
    <m/>
    <m/>
    <m/>
    <n v="1"/>
    <x v="1"/>
    <n v="0"/>
    <n v="0"/>
    <n v="0"/>
  </r>
  <r>
    <s v="LD2020"/>
    <d v="2024-03-05T00:00:00"/>
    <x v="5"/>
    <s v="Landing Page SEO"/>
    <s v="Mobile"/>
    <s v="Asia Pacific"/>
    <s v="Lead"/>
    <m/>
    <m/>
    <m/>
    <n v="1"/>
    <x v="8"/>
    <n v="0"/>
    <n v="0"/>
    <n v="0"/>
  </r>
  <r>
    <s v="LD2327"/>
    <d v="2024-03-23T00:00:00"/>
    <x v="4"/>
    <s v="Affiliate Program"/>
    <s v="Mobile"/>
    <s v="Europe"/>
    <s v="Lead"/>
    <m/>
    <m/>
    <m/>
    <n v="1"/>
    <x v="8"/>
    <n v="0"/>
    <n v="0"/>
    <n v="0"/>
  </r>
  <r>
    <s v="LD6261"/>
    <d v="2024-10-04T00:00:00"/>
    <x v="2"/>
    <s v="Direct / Type-in"/>
    <s v="Mobile"/>
    <s v="Europe"/>
    <s v="MQL"/>
    <m/>
    <m/>
    <m/>
    <n v="2"/>
    <x v="5"/>
    <n v="1"/>
    <n v="0"/>
    <n v="0"/>
  </r>
  <r>
    <s v="LD1476"/>
    <d v="2024-01-26T00:00:00"/>
    <x v="2"/>
    <s v="Direct / Type-in"/>
    <s v="Desktop"/>
    <s v="North America"/>
    <s v="Lead"/>
    <m/>
    <m/>
    <m/>
    <n v="1"/>
    <x v="3"/>
    <n v="0"/>
    <n v="0"/>
    <n v="0"/>
  </r>
  <r>
    <s v="LD3811"/>
    <d v="2024-06-04T00:00:00"/>
    <x v="3"/>
    <s v="Promo Blast"/>
    <s v="Desktop"/>
    <s v="North America"/>
    <s v="MQL"/>
    <m/>
    <m/>
    <m/>
    <n v="2"/>
    <x v="11"/>
    <n v="1"/>
    <n v="0"/>
    <n v="0"/>
  </r>
  <r>
    <s v="LD6276"/>
    <d v="2024-10-07T00:00:00"/>
    <x v="2"/>
    <s v="Direct / Type-in"/>
    <s v="Mobile"/>
    <s v="Europe"/>
    <s v="SQL"/>
    <m/>
    <m/>
    <m/>
    <n v="3"/>
    <x v="5"/>
    <n v="1"/>
    <n v="1"/>
    <n v="0"/>
  </r>
  <r>
    <s v="LD2652"/>
    <d v="2024-04-05T00:00:00"/>
    <x v="1"/>
    <s v="Google Ads - Brand"/>
    <s v="Mobile"/>
    <s v="North America"/>
    <s v="Lead"/>
    <m/>
    <m/>
    <m/>
    <n v="1"/>
    <x v="1"/>
    <n v="0"/>
    <n v="0"/>
    <n v="0"/>
  </r>
  <r>
    <s v="LD7320"/>
    <d v="2024-12-25T00:00:00"/>
    <x v="1"/>
    <s v="Google Ads - Brand"/>
    <s v="Desktop"/>
    <s v="North America"/>
    <s v="Lead"/>
    <m/>
    <m/>
    <m/>
    <n v="1"/>
    <x v="7"/>
    <n v="0"/>
    <n v="0"/>
    <n v="0"/>
  </r>
  <r>
    <s v="LD7664"/>
    <d v="2024-12-21T00:00:00"/>
    <x v="4"/>
    <s v="Affiliate Program"/>
    <s v="Desktop"/>
    <s v="Europe"/>
    <s v="Customer"/>
    <n v="44"/>
    <s v="Pro"/>
    <n v="4022.44"/>
    <n v="4"/>
    <x v="7"/>
    <n v="1"/>
    <n v="1"/>
    <n v="1"/>
  </r>
  <r>
    <s v="LD3529"/>
    <d v="2024-05-11T00:00:00"/>
    <x v="2"/>
    <s v="Direct / Type-in"/>
    <s v="Mobile"/>
    <s v="Europe"/>
    <s v="MQL"/>
    <m/>
    <m/>
    <m/>
    <n v="2"/>
    <x v="4"/>
    <n v="1"/>
    <n v="0"/>
    <n v="0"/>
  </r>
  <r>
    <s v="LD2207"/>
    <d v="2024-03-23T00:00:00"/>
    <x v="3"/>
    <s v="Promo Blast"/>
    <s v="Mobile"/>
    <s v="Europe"/>
    <s v="Lead"/>
    <m/>
    <m/>
    <m/>
    <n v="1"/>
    <x v="8"/>
    <n v="0"/>
    <n v="0"/>
    <n v="0"/>
  </r>
  <r>
    <s v="LD6213"/>
    <d v="2024-10-16T00:00:00"/>
    <x v="4"/>
    <s v="Partner Program"/>
    <s v="Mobile"/>
    <s v="Europe"/>
    <s v="Lead"/>
    <m/>
    <m/>
    <m/>
    <n v="1"/>
    <x v="5"/>
    <n v="0"/>
    <n v="0"/>
    <n v="0"/>
  </r>
  <r>
    <s v="LD6379"/>
    <d v="2024-11-26T00:00:00"/>
    <x v="5"/>
    <s v="Blog SEO"/>
    <s v="Desktop"/>
    <s v="North America"/>
    <s v="Customer"/>
    <n v="29"/>
    <s v="Basic"/>
    <n v="1491.7"/>
    <n v="4"/>
    <x v="2"/>
    <n v="1"/>
    <n v="1"/>
    <n v="1"/>
  </r>
  <r>
    <s v="LD1868"/>
    <d v="2024-02-27T00:00:00"/>
    <x v="4"/>
    <s v="Partner Program"/>
    <s v="Tablet"/>
    <s v="Latin America"/>
    <s v="Customer"/>
    <n v="24"/>
    <s v="Basic"/>
    <n v="882.21"/>
    <n v="4"/>
    <x v="10"/>
    <n v="1"/>
    <n v="1"/>
    <n v="1"/>
  </r>
  <r>
    <s v="LD3975"/>
    <d v="2024-06-06T00:00:00"/>
    <x v="4"/>
    <s v="Affiliate Program"/>
    <s v="Mobile"/>
    <s v="North America"/>
    <s v="Customer"/>
    <n v="19"/>
    <s v="Basic"/>
    <n v="1150.29"/>
    <n v="4"/>
    <x v="11"/>
    <n v="1"/>
    <n v="1"/>
    <n v="1"/>
  </r>
  <r>
    <s v="LD1542"/>
    <d v="2024-02-05T00:00:00"/>
    <x v="5"/>
    <s v="Blog SEO"/>
    <s v="Mobile"/>
    <s v="Latin America"/>
    <s v="Lead"/>
    <m/>
    <m/>
    <m/>
    <n v="1"/>
    <x v="10"/>
    <n v="0"/>
    <n v="0"/>
    <n v="0"/>
  </r>
  <r>
    <s v="LD2133"/>
    <d v="2024-03-16T00:00:00"/>
    <x v="1"/>
    <s v="Google Ads - Brand"/>
    <s v="Tablet"/>
    <s v="North America"/>
    <s v="Lead"/>
    <m/>
    <m/>
    <m/>
    <n v="1"/>
    <x v="8"/>
    <n v="0"/>
    <n v="0"/>
    <n v="0"/>
  </r>
  <r>
    <s v="LD7576"/>
    <d v="2024-12-16T00:00:00"/>
    <x v="3"/>
    <s v="Monthly Newsletter"/>
    <s v="Desktop"/>
    <s v="North America"/>
    <s v="Lead"/>
    <m/>
    <m/>
    <m/>
    <n v="1"/>
    <x v="7"/>
    <n v="0"/>
    <n v="0"/>
    <n v="0"/>
  </r>
  <r>
    <s v="LD4391"/>
    <d v="2024-07-10T00:00:00"/>
    <x v="4"/>
    <s v="Partner Program"/>
    <s v="Mobile"/>
    <s v="Europe"/>
    <s v="Customer"/>
    <n v="65"/>
    <s v="Basic"/>
    <n v="1179.72"/>
    <n v="4"/>
    <x v="0"/>
    <n v="1"/>
    <n v="1"/>
    <n v="1"/>
  </r>
  <r>
    <s v="LD5872"/>
    <d v="2024-10-02T00:00:00"/>
    <x v="0"/>
    <s v="LinkedIn Ads"/>
    <s v="Desktop"/>
    <s v="Europe"/>
    <s v="SQL"/>
    <m/>
    <m/>
    <m/>
    <n v="3"/>
    <x v="5"/>
    <n v="1"/>
    <n v="1"/>
    <n v="0"/>
  </r>
  <r>
    <s v="LD3963"/>
    <d v="2024-06-19T00:00:00"/>
    <x v="4"/>
    <s v="Affiliate Program"/>
    <s v="Desktop"/>
    <s v="Europe"/>
    <s v="Lead"/>
    <m/>
    <m/>
    <m/>
    <n v="1"/>
    <x v="11"/>
    <n v="0"/>
    <n v="0"/>
    <n v="0"/>
  </r>
  <r>
    <s v="LD5156"/>
    <d v="2024-09-15T00:00:00"/>
    <x v="1"/>
    <s v="Google Ads - Brand"/>
    <s v="Desktop"/>
    <s v="North America"/>
    <s v="MQL"/>
    <m/>
    <m/>
    <m/>
    <n v="2"/>
    <x v="9"/>
    <n v="1"/>
    <n v="0"/>
    <n v="0"/>
  </r>
  <r>
    <s v="LD4260"/>
    <d v="2024-07-22T00:00:00"/>
    <x v="0"/>
    <s v="Facebook Ads"/>
    <s v="Desktop"/>
    <s v="Asia Pacific"/>
    <s v="Lead"/>
    <m/>
    <m/>
    <m/>
    <n v="1"/>
    <x v="0"/>
    <n v="0"/>
    <n v="0"/>
    <n v="0"/>
  </r>
  <r>
    <s v="LD5396"/>
    <d v="2024-09-04T00:00:00"/>
    <x v="3"/>
    <s v="Monthly Newsletter"/>
    <s v="Desktop"/>
    <s v="Europe"/>
    <s v="SQL"/>
    <m/>
    <m/>
    <m/>
    <n v="3"/>
    <x v="9"/>
    <n v="1"/>
    <n v="1"/>
    <n v="0"/>
  </r>
  <r>
    <s v="LD7699"/>
    <d v="2024-12-12T00:00:00"/>
    <x v="4"/>
    <s v="Affiliate Program"/>
    <s v="Mobile"/>
    <s v="Europe"/>
    <s v="Lead"/>
    <m/>
    <m/>
    <m/>
    <n v="1"/>
    <x v="7"/>
    <n v="0"/>
    <n v="0"/>
    <n v="0"/>
  </r>
  <r>
    <s v="LD3584"/>
    <d v="2024-06-13T00:00:00"/>
    <x v="5"/>
    <s v="Landing Page SEO"/>
    <s v="Desktop"/>
    <s v="Europe"/>
    <s v="SQL"/>
    <m/>
    <m/>
    <m/>
    <n v="3"/>
    <x v="11"/>
    <n v="1"/>
    <n v="1"/>
    <n v="0"/>
  </r>
  <r>
    <s v="LD3814"/>
    <d v="2024-06-08T00:00:00"/>
    <x v="3"/>
    <s v="Promo Blast"/>
    <s v="Mobile"/>
    <s v="Europe"/>
    <s v="Lead"/>
    <m/>
    <m/>
    <m/>
    <n v="1"/>
    <x v="11"/>
    <n v="0"/>
    <n v="0"/>
    <n v="0"/>
  </r>
  <r>
    <s v="LD7667"/>
    <d v="2024-12-05T00:00:00"/>
    <x v="4"/>
    <s v="Affiliate Program"/>
    <s v="Desktop"/>
    <s v="Europe"/>
    <s v="Lead"/>
    <m/>
    <m/>
    <m/>
    <n v="1"/>
    <x v="7"/>
    <n v="0"/>
    <n v="0"/>
    <n v="0"/>
  </r>
  <r>
    <s v="LD6876"/>
    <d v="2024-11-22T00:00:00"/>
    <x v="3"/>
    <s v="Promo Blast"/>
    <s v="Desktop"/>
    <s v="Europe"/>
    <s v="Lead"/>
    <m/>
    <m/>
    <m/>
    <n v="1"/>
    <x v="2"/>
    <n v="0"/>
    <n v="0"/>
    <n v="0"/>
  </r>
  <r>
    <s v="LD4587"/>
    <d v="2024-08-17T00:00:00"/>
    <x v="1"/>
    <s v="Google Ads - Brand"/>
    <s v="Mobile"/>
    <s v="Europe"/>
    <s v="MQL"/>
    <m/>
    <m/>
    <m/>
    <n v="2"/>
    <x v="6"/>
    <n v="1"/>
    <n v="0"/>
    <n v="0"/>
  </r>
  <r>
    <s v="LD5428"/>
    <d v="2024-09-09T00:00:00"/>
    <x v="3"/>
    <s v="Promo Blast"/>
    <s v="Desktop"/>
    <s v="North America"/>
    <s v="Lead"/>
    <m/>
    <m/>
    <m/>
    <n v="1"/>
    <x v="9"/>
    <n v="0"/>
    <n v="0"/>
    <n v="0"/>
  </r>
  <r>
    <s v="LD6770"/>
    <d v="2024-11-22T00:00:00"/>
    <x v="3"/>
    <s v="Promo Blast"/>
    <s v="Mobile"/>
    <s v="Asia Pacific"/>
    <s v="MQL"/>
    <m/>
    <m/>
    <m/>
    <n v="2"/>
    <x v="2"/>
    <n v="1"/>
    <n v="0"/>
    <n v="0"/>
  </r>
  <r>
    <s v="LD3631"/>
    <d v="2024-06-06T00:00:00"/>
    <x v="5"/>
    <s v="Blog SEO"/>
    <s v="Mobile"/>
    <s v="Asia Pacific"/>
    <s v="Lead"/>
    <m/>
    <m/>
    <m/>
    <n v="1"/>
    <x v="11"/>
    <n v="0"/>
    <n v="0"/>
    <n v="0"/>
  </r>
  <r>
    <s v="LD6430"/>
    <d v="2024-11-08T00:00:00"/>
    <x v="5"/>
    <s v="Landing Page SEO"/>
    <s v="Desktop"/>
    <s v="Latin America"/>
    <s v="Lead"/>
    <m/>
    <m/>
    <m/>
    <n v="1"/>
    <x v="2"/>
    <n v="0"/>
    <n v="0"/>
    <n v="0"/>
  </r>
  <r>
    <s v="LD5310"/>
    <d v="2024-09-17T00:00:00"/>
    <x v="3"/>
    <s v="Monthly Newsletter"/>
    <s v="Desktop"/>
    <s v="Asia Pacific"/>
    <s v="MQL"/>
    <m/>
    <m/>
    <m/>
    <n v="2"/>
    <x v="9"/>
    <n v="1"/>
    <n v="0"/>
    <n v="0"/>
  </r>
  <r>
    <s v="LD2081"/>
    <d v="2024-03-08T00:00:00"/>
    <x v="1"/>
    <s v="Google Ads - Generic"/>
    <s v="Desktop"/>
    <s v="North America"/>
    <s v="Lead"/>
    <m/>
    <m/>
    <m/>
    <n v="1"/>
    <x v="8"/>
    <n v="0"/>
    <n v="0"/>
    <n v="0"/>
  </r>
  <r>
    <s v="LD3086"/>
    <d v="2024-05-21T00:00:00"/>
    <x v="5"/>
    <s v="Blog SEO"/>
    <s v="Mobile"/>
    <s v="Europe"/>
    <s v="SQL"/>
    <m/>
    <m/>
    <m/>
    <n v="3"/>
    <x v="4"/>
    <n v="1"/>
    <n v="1"/>
    <n v="0"/>
  </r>
  <r>
    <s v="LD3453"/>
    <d v="2024-05-12T00:00:00"/>
    <x v="4"/>
    <s v="Affiliate Program"/>
    <s v="Desktop"/>
    <s v="Asia Pacific"/>
    <s v="Lead"/>
    <m/>
    <m/>
    <m/>
    <n v="1"/>
    <x v="4"/>
    <n v="0"/>
    <n v="0"/>
    <n v="0"/>
  </r>
  <r>
    <s v="LD3024"/>
    <d v="2024-05-04T00:00:00"/>
    <x v="5"/>
    <s v="Landing Page SEO"/>
    <s v="Mobile"/>
    <s v="North America"/>
    <s v="Lead"/>
    <m/>
    <m/>
    <m/>
    <n v="1"/>
    <x v="4"/>
    <n v="0"/>
    <n v="0"/>
    <n v="0"/>
  </r>
  <r>
    <s v="LD6206"/>
    <d v="2024-10-13T00:00:00"/>
    <x v="4"/>
    <s v="Partner Program"/>
    <s v="Mobile"/>
    <s v="Europe"/>
    <s v="MQL"/>
    <m/>
    <m/>
    <m/>
    <n v="2"/>
    <x v="5"/>
    <n v="1"/>
    <n v="0"/>
    <n v="0"/>
  </r>
  <r>
    <s v="LD1227"/>
    <d v="2024-01-16T00:00:00"/>
    <x v="0"/>
    <s v="LinkedIn Ads"/>
    <s v="Mobile"/>
    <s v="North America"/>
    <s v="Lead"/>
    <m/>
    <m/>
    <m/>
    <n v="1"/>
    <x v="3"/>
    <n v="0"/>
    <n v="0"/>
    <n v="0"/>
  </r>
  <r>
    <s v="LD2014"/>
    <d v="2024-03-28T00:00:00"/>
    <x v="5"/>
    <s v="Blog SEO"/>
    <s v="Mobile"/>
    <s v="North America"/>
    <s v="MQL"/>
    <m/>
    <m/>
    <m/>
    <n v="2"/>
    <x v="8"/>
    <n v="1"/>
    <n v="0"/>
    <n v="0"/>
  </r>
  <r>
    <s v="LD2930"/>
    <d v="2024-04-18T00:00:00"/>
    <x v="4"/>
    <s v="Partner Program"/>
    <s v="Mobile"/>
    <s v="North America"/>
    <s v="Lead"/>
    <m/>
    <m/>
    <m/>
    <n v="1"/>
    <x v="1"/>
    <n v="0"/>
    <n v="0"/>
    <n v="0"/>
  </r>
  <r>
    <s v="LD5773"/>
    <d v="2024-10-25T00:00:00"/>
    <x v="1"/>
    <s v="Google Ads - Generic"/>
    <s v="Desktop"/>
    <s v="North America"/>
    <s v="Lead"/>
    <m/>
    <m/>
    <m/>
    <n v="1"/>
    <x v="5"/>
    <n v="0"/>
    <n v="0"/>
    <n v="0"/>
  </r>
  <r>
    <s v="LD2405"/>
    <d v="2024-03-23T00:00:00"/>
    <x v="2"/>
    <s v="Direct / Type-in"/>
    <s v="Desktop"/>
    <s v="Latin America"/>
    <s v="MQL"/>
    <m/>
    <m/>
    <m/>
    <n v="2"/>
    <x v="8"/>
    <n v="1"/>
    <n v="0"/>
    <n v="0"/>
  </r>
  <r>
    <s v="LD3180"/>
    <d v="2024-05-05T00:00:00"/>
    <x v="1"/>
    <s v="Google Ads - Generic"/>
    <s v="Desktop"/>
    <s v="North America"/>
    <s v="Lead"/>
    <m/>
    <m/>
    <m/>
    <n v="1"/>
    <x v="4"/>
    <n v="0"/>
    <n v="0"/>
    <n v="0"/>
  </r>
  <r>
    <s v="LD1698"/>
    <d v="2024-02-18T00:00:00"/>
    <x v="0"/>
    <s v="Facebook Ads"/>
    <s v="Desktop"/>
    <s v="North America"/>
    <s v="Lead"/>
    <m/>
    <m/>
    <m/>
    <n v="1"/>
    <x v="10"/>
    <n v="0"/>
    <n v="0"/>
    <n v="0"/>
  </r>
  <r>
    <s v="LD2125"/>
    <d v="2024-03-04T00:00:00"/>
    <x v="1"/>
    <s v="Google Ads - Generic"/>
    <s v="Desktop"/>
    <s v="Europe"/>
    <s v="SQL"/>
    <m/>
    <m/>
    <m/>
    <n v="3"/>
    <x v="8"/>
    <n v="1"/>
    <n v="1"/>
    <n v="0"/>
  </r>
  <r>
    <s v="LD4896"/>
    <d v="2024-08-13T00:00:00"/>
    <x v="4"/>
    <s v="Partner Program"/>
    <s v="Mobile"/>
    <s v="Europe"/>
    <s v="Lead"/>
    <m/>
    <m/>
    <m/>
    <n v="1"/>
    <x v="6"/>
    <n v="0"/>
    <n v="0"/>
    <n v="0"/>
  </r>
  <r>
    <s v="LD2779"/>
    <d v="2024-04-14T00:00:00"/>
    <x v="3"/>
    <s v="Promo Blast"/>
    <s v="Desktop"/>
    <s v="North America"/>
    <s v="Lead"/>
    <m/>
    <m/>
    <m/>
    <n v="1"/>
    <x v="1"/>
    <n v="0"/>
    <n v="0"/>
    <n v="0"/>
  </r>
  <r>
    <s v="LD5315"/>
    <d v="2024-09-19T00:00:00"/>
    <x v="3"/>
    <s v="Monthly Newsletter"/>
    <s v="Desktop"/>
    <s v="Latin America"/>
    <s v="MQL"/>
    <m/>
    <m/>
    <m/>
    <n v="2"/>
    <x v="9"/>
    <n v="1"/>
    <n v="0"/>
    <n v="0"/>
  </r>
  <r>
    <s v="LD3635"/>
    <d v="2024-06-18T00:00:00"/>
    <x v="5"/>
    <s v="Blog SEO"/>
    <s v="Desktop"/>
    <s v="Europe"/>
    <s v="MQL"/>
    <m/>
    <m/>
    <m/>
    <n v="2"/>
    <x v="11"/>
    <n v="1"/>
    <n v="0"/>
    <n v="0"/>
  </r>
  <r>
    <s v="LD4490"/>
    <d v="2024-07-17T00:00:00"/>
    <x v="2"/>
    <s v="Direct / Type-in"/>
    <s v="Desktop"/>
    <s v="Europe"/>
    <s v="Lead"/>
    <m/>
    <m/>
    <m/>
    <n v="1"/>
    <x v="0"/>
    <n v="0"/>
    <n v="0"/>
    <n v="0"/>
  </r>
  <r>
    <s v="LD2038"/>
    <d v="2024-03-02T00:00:00"/>
    <x v="5"/>
    <s v="Landing Page SEO"/>
    <s v="Desktop"/>
    <s v="Asia Pacific"/>
    <s v="SQL"/>
    <m/>
    <m/>
    <m/>
    <n v="3"/>
    <x v="8"/>
    <n v="1"/>
    <n v="1"/>
    <n v="0"/>
  </r>
  <r>
    <s v="LD3257"/>
    <d v="2024-05-17T00:00:00"/>
    <x v="0"/>
    <s v="Facebook Ads"/>
    <s v="Desktop"/>
    <s v="North America"/>
    <s v="MQL"/>
    <m/>
    <m/>
    <m/>
    <n v="2"/>
    <x v="4"/>
    <n v="1"/>
    <n v="0"/>
    <n v="0"/>
  </r>
  <r>
    <s v="LD5529"/>
    <d v="2024-09-15T00:00:00"/>
    <x v="4"/>
    <s v="Partner Program"/>
    <s v="Desktop"/>
    <s v="Europe"/>
    <s v="Customer"/>
    <n v="50"/>
    <s v="Basic"/>
    <n v="1227.97"/>
    <n v="4"/>
    <x v="9"/>
    <n v="1"/>
    <n v="1"/>
    <n v="1"/>
  </r>
  <r>
    <s v="LD7706"/>
    <d v="2024-12-28T00:00:00"/>
    <x v="2"/>
    <s v="Direct / Type-in"/>
    <s v="Desktop"/>
    <s v="North America"/>
    <s v="SQL"/>
    <m/>
    <m/>
    <m/>
    <n v="3"/>
    <x v="7"/>
    <n v="1"/>
    <n v="1"/>
    <n v="0"/>
  </r>
  <r>
    <s v="LD1314"/>
    <d v="2024-01-07T00:00:00"/>
    <x v="3"/>
    <s v="Monthly Newsletter"/>
    <s v="Desktop"/>
    <s v="Europe"/>
    <s v="Customer"/>
    <n v="57"/>
    <s v="Basic"/>
    <n v="1466.69"/>
    <n v="4"/>
    <x v="3"/>
    <n v="1"/>
    <n v="1"/>
    <n v="1"/>
  </r>
  <r>
    <s v="LD3650"/>
    <d v="2024-06-03T00:00:00"/>
    <x v="1"/>
    <s v="Google Ads - Generic"/>
    <s v="Mobile"/>
    <s v="Europe"/>
    <s v="Lead"/>
    <m/>
    <m/>
    <m/>
    <n v="1"/>
    <x v="11"/>
    <n v="0"/>
    <n v="0"/>
    <n v="0"/>
  </r>
  <r>
    <s v="LD3282"/>
    <d v="2024-05-10T00:00:00"/>
    <x v="0"/>
    <s v="Facebook Ads"/>
    <s v="Mobile"/>
    <s v="Europe"/>
    <s v="Lead"/>
    <m/>
    <m/>
    <m/>
    <n v="1"/>
    <x v="4"/>
    <n v="0"/>
    <n v="0"/>
    <n v="0"/>
  </r>
  <r>
    <s v="LD6348"/>
    <d v="2024-11-21T00:00:00"/>
    <x v="5"/>
    <s v="Blog SEO"/>
    <s v="Desktop"/>
    <s v="North America"/>
    <s v="MQL"/>
    <m/>
    <m/>
    <m/>
    <n v="2"/>
    <x v="2"/>
    <n v="1"/>
    <n v="0"/>
    <n v="0"/>
  </r>
  <r>
    <s v="LD3548"/>
    <d v="2024-05-05T00:00:00"/>
    <x v="2"/>
    <s v="Direct / Type-in"/>
    <s v="Desktop"/>
    <s v="North America"/>
    <s v="Lead"/>
    <m/>
    <m/>
    <m/>
    <n v="1"/>
    <x v="4"/>
    <n v="0"/>
    <n v="0"/>
    <n v="0"/>
  </r>
  <r>
    <s v="LD3160"/>
    <d v="2024-05-24T00:00:00"/>
    <x v="1"/>
    <s v="Google Ads - Brand"/>
    <s v="Mobile"/>
    <s v="North America"/>
    <s v="MQL"/>
    <m/>
    <m/>
    <m/>
    <n v="2"/>
    <x v="4"/>
    <n v="1"/>
    <n v="0"/>
    <n v="0"/>
  </r>
  <r>
    <s v="LD4138"/>
    <d v="2024-07-03T00:00:00"/>
    <x v="1"/>
    <s v="Google Ads - Generic"/>
    <s v="Desktop"/>
    <s v="North America"/>
    <s v="MQL"/>
    <m/>
    <m/>
    <m/>
    <n v="2"/>
    <x v="0"/>
    <n v="1"/>
    <n v="0"/>
    <n v="0"/>
  </r>
  <r>
    <s v="LD6787"/>
    <d v="2024-11-22T00:00:00"/>
    <x v="3"/>
    <s v="Monthly Newsletter"/>
    <s v="Tablet"/>
    <s v="Asia Pacific"/>
    <s v="SQL"/>
    <m/>
    <m/>
    <m/>
    <n v="3"/>
    <x v="2"/>
    <n v="1"/>
    <n v="1"/>
    <n v="0"/>
  </r>
  <r>
    <s v="LD4968"/>
    <d v="2024-08-01T00:00:00"/>
    <x v="2"/>
    <s v="Direct / Type-in"/>
    <s v="Desktop"/>
    <s v="Europe"/>
    <s v="Customer"/>
    <n v="50"/>
    <s v="Pro"/>
    <n v="3697.78"/>
    <n v="4"/>
    <x v="6"/>
    <n v="1"/>
    <n v="1"/>
    <n v="1"/>
  </r>
  <r>
    <s v="LD2429"/>
    <d v="2024-03-23T00:00:00"/>
    <x v="2"/>
    <s v="Direct / Type-in"/>
    <s v="Desktop"/>
    <s v="Europe"/>
    <s v="Lead"/>
    <m/>
    <m/>
    <m/>
    <n v="1"/>
    <x v="8"/>
    <n v="0"/>
    <n v="0"/>
    <n v="0"/>
  </r>
  <r>
    <s v="LD7349"/>
    <d v="2024-12-01T00:00:00"/>
    <x v="0"/>
    <s v="Instagram Ads"/>
    <s v="Mobile"/>
    <s v="North America"/>
    <s v="SQL"/>
    <m/>
    <m/>
    <m/>
    <n v="3"/>
    <x v="7"/>
    <n v="1"/>
    <n v="1"/>
    <n v="0"/>
  </r>
  <r>
    <s v="LD3521"/>
    <d v="2024-05-04T00:00:00"/>
    <x v="2"/>
    <s v="Direct / Type-in"/>
    <s v="Desktop"/>
    <s v="North America"/>
    <s v="Lead"/>
    <m/>
    <m/>
    <m/>
    <n v="1"/>
    <x v="4"/>
    <n v="0"/>
    <n v="0"/>
    <n v="0"/>
  </r>
  <r>
    <s v="LD5349"/>
    <d v="2024-09-21T00:00:00"/>
    <x v="3"/>
    <s v="Monthly Newsletter"/>
    <s v="Desktop"/>
    <s v="North America"/>
    <s v="SQL"/>
    <m/>
    <m/>
    <m/>
    <n v="3"/>
    <x v="9"/>
    <n v="1"/>
    <n v="1"/>
    <n v="0"/>
  </r>
  <r>
    <s v="LD6007"/>
    <d v="2024-10-01T00:00:00"/>
    <x v="3"/>
    <s v="Monthly Newsletter"/>
    <s v="Mobile"/>
    <s v="Asia Pacific"/>
    <s v="Lead"/>
    <m/>
    <m/>
    <m/>
    <n v="1"/>
    <x v="5"/>
    <n v="0"/>
    <n v="0"/>
    <n v="0"/>
  </r>
  <r>
    <s v="LD1449"/>
    <d v="2024-01-19T00:00:00"/>
    <x v="2"/>
    <s v="Direct / Type-in"/>
    <s v="Mobile"/>
    <s v="Europe"/>
    <s v="MQL"/>
    <m/>
    <m/>
    <m/>
    <n v="2"/>
    <x v="3"/>
    <n v="1"/>
    <n v="0"/>
    <n v="0"/>
  </r>
  <r>
    <s v="LD5267"/>
    <d v="2024-09-27T00:00:00"/>
    <x v="0"/>
    <s v="LinkedIn Ads"/>
    <s v="Tablet"/>
    <s v="Asia Pacific"/>
    <s v="MQL"/>
    <m/>
    <m/>
    <m/>
    <n v="2"/>
    <x v="9"/>
    <n v="1"/>
    <n v="0"/>
    <n v="0"/>
  </r>
  <r>
    <s v="LD2285"/>
    <d v="2024-03-12T00:00:00"/>
    <x v="3"/>
    <s v="Monthly Newsletter"/>
    <s v="Desktop"/>
    <s v="Europe"/>
    <s v="SQL"/>
    <m/>
    <m/>
    <m/>
    <n v="3"/>
    <x v="8"/>
    <n v="1"/>
    <n v="1"/>
    <n v="0"/>
  </r>
  <r>
    <s v="LD4728"/>
    <d v="2024-08-25T00:00:00"/>
    <x v="0"/>
    <s v="Facebook Ads"/>
    <s v="Desktop"/>
    <s v="North America"/>
    <s v="Lead"/>
    <m/>
    <m/>
    <m/>
    <n v="1"/>
    <x v="6"/>
    <n v="0"/>
    <n v="0"/>
    <n v="0"/>
  </r>
  <r>
    <s v="LD1362"/>
    <d v="2024-01-25T00:00:00"/>
    <x v="4"/>
    <s v="Affiliate Program"/>
    <s v="Desktop"/>
    <s v="Asia Pacific"/>
    <s v="MQL"/>
    <m/>
    <m/>
    <m/>
    <n v="2"/>
    <x v="3"/>
    <n v="1"/>
    <n v="0"/>
    <n v="0"/>
  </r>
  <r>
    <s v="LD6463"/>
    <d v="2024-11-07T00:00:00"/>
    <x v="5"/>
    <s v="Landing Page SEO"/>
    <s v="Mobile"/>
    <s v="North America"/>
    <s v="Lead"/>
    <m/>
    <m/>
    <m/>
    <n v="1"/>
    <x v="2"/>
    <n v="0"/>
    <n v="0"/>
    <n v="0"/>
  </r>
  <r>
    <s v="LD6403"/>
    <d v="2024-11-21T00:00:00"/>
    <x v="5"/>
    <s v="Landing Page SEO"/>
    <s v="Desktop"/>
    <s v="North America"/>
    <s v="MQL"/>
    <m/>
    <m/>
    <m/>
    <n v="2"/>
    <x v="2"/>
    <n v="1"/>
    <n v="0"/>
    <n v="0"/>
  </r>
  <r>
    <s v="LD3461"/>
    <d v="2024-05-03T00:00:00"/>
    <x v="4"/>
    <s v="Affiliate Program"/>
    <s v="Desktop"/>
    <s v="Latin America"/>
    <s v="SQL"/>
    <m/>
    <m/>
    <m/>
    <n v="3"/>
    <x v="4"/>
    <n v="1"/>
    <n v="1"/>
    <n v="0"/>
  </r>
  <r>
    <s v="LD1023"/>
    <d v="2024-01-17T00:00:00"/>
    <x v="5"/>
    <s v="Blog SEO"/>
    <s v="Mobile"/>
    <s v="Europe"/>
    <s v="SQL"/>
    <m/>
    <m/>
    <m/>
    <n v="3"/>
    <x v="3"/>
    <n v="1"/>
    <n v="1"/>
    <n v="0"/>
  </r>
  <r>
    <s v="LD3067"/>
    <d v="2024-05-18T00:00:00"/>
    <x v="5"/>
    <s v="Blog SEO"/>
    <s v="Mobile"/>
    <s v="North America"/>
    <s v="MQL"/>
    <m/>
    <m/>
    <m/>
    <n v="2"/>
    <x v="4"/>
    <n v="1"/>
    <n v="0"/>
    <n v="0"/>
  </r>
  <r>
    <s v="LD2654"/>
    <d v="2024-04-21T00:00:00"/>
    <x v="1"/>
    <s v="Google Ads - Brand"/>
    <s v="Tablet"/>
    <s v="North America"/>
    <s v="MQL"/>
    <m/>
    <m/>
    <m/>
    <n v="2"/>
    <x v="1"/>
    <n v="1"/>
    <n v="0"/>
    <n v="0"/>
  </r>
  <r>
    <s v="LD1703"/>
    <d v="2024-02-12T00:00:00"/>
    <x v="0"/>
    <s v="Facebook Ads"/>
    <s v="Desktop"/>
    <s v="Europe"/>
    <s v="Lead"/>
    <m/>
    <m/>
    <m/>
    <n v="1"/>
    <x v="10"/>
    <n v="0"/>
    <n v="0"/>
    <n v="0"/>
  </r>
  <r>
    <s v="LD5904"/>
    <d v="2024-10-03T00:00:00"/>
    <x v="0"/>
    <s v="Instagram Ads"/>
    <s v="Desktop"/>
    <s v="North America"/>
    <s v="MQL"/>
    <m/>
    <m/>
    <m/>
    <n v="2"/>
    <x v="5"/>
    <n v="1"/>
    <n v="0"/>
    <n v="0"/>
  </r>
  <r>
    <s v="LD3744"/>
    <d v="2024-06-18T00:00:00"/>
    <x v="0"/>
    <s v="LinkedIn Ads"/>
    <s v="Mobile"/>
    <s v="North America"/>
    <s v="SQL"/>
    <m/>
    <m/>
    <m/>
    <n v="3"/>
    <x v="11"/>
    <n v="1"/>
    <n v="1"/>
    <n v="0"/>
  </r>
  <r>
    <s v="LD2377"/>
    <d v="2024-03-27T00:00:00"/>
    <x v="4"/>
    <s v="Affiliate Program"/>
    <s v="Desktop"/>
    <s v="North America"/>
    <s v="Lead"/>
    <m/>
    <m/>
    <m/>
    <n v="1"/>
    <x v="8"/>
    <n v="0"/>
    <n v="0"/>
    <n v="0"/>
  </r>
  <r>
    <s v="LD7378"/>
    <d v="2024-12-05T00:00:00"/>
    <x v="0"/>
    <s v="LinkedIn Ads"/>
    <s v="Mobile"/>
    <s v="North America"/>
    <s v="MQL"/>
    <m/>
    <m/>
    <m/>
    <n v="2"/>
    <x v="7"/>
    <n v="1"/>
    <n v="0"/>
    <n v="0"/>
  </r>
  <r>
    <s v="LD3469"/>
    <d v="2024-05-28T00:00:00"/>
    <x v="4"/>
    <s v="Affiliate Program"/>
    <s v="Desktop"/>
    <s v="North America"/>
    <s v="Lead"/>
    <m/>
    <m/>
    <m/>
    <n v="1"/>
    <x v="4"/>
    <n v="0"/>
    <n v="0"/>
    <n v="0"/>
  </r>
  <r>
    <s v="LD4755"/>
    <d v="2024-08-06T00:00:00"/>
    <x v="3"/>
    <s v="Monthly Newsletter"/>
    <s v="Desktop"/>
    <s v="North America"/>
    <s v="SQL"/>
    <m/>
    <m/>
    <m/>
    <n v="3"/>
    <x v="6"/>
    <n v="1"/>
    <n v="1"/>
    <n v="0"/>
  </r>
  <r>
    <s v="LD3326"/>
    <d v="2024-05-05T00:00:00"/>
    <x v="3"/>
    <s v="Promo Blast"/>
    <s v="Desktop"/>
    <s v="Europe"/>
    <s v="Lead"/>
    <m/>
    <m/>
    <m/>
    <n v="1"/>
    <x v="4"/>
    <n v="0"/>
    <n v="0"/>
    <n v="0"/>
  </r>
  <r>
    <s v="LD1461"/>
    <d v="2024-01-05T00:00:00"/>
    <x v="2"/>
    <s v="Direct / Type-in"/>
    <s v="Mobile"/>
    <s v="Asia Pacific"/>
    <s v="Lead"/>
    <m/>
    <m/>
    <m/>
    <n v="1"/>
    <x v="3"/>
    <n v="0"/>
    <n v="0"/>
    <n v="0"/>
  </r>
  <r>
    <s v="LD5184"/>
    <d v="2024-09-06T00:00:00"/>
    <x v="1"/>
    <s v="Google Ads - Brand"/>
    <s v="Mobile"/>
    <s v="Europe"/>
    <s v="Lead"/>
    <m/>
    <m/>
    <m/>
    <n v="1"/>
    <x v="9"/>
    <n v="0"/>
    <n v="0"/>
    <n v="0"/>
  </r>
  <r>
    <s v="LD5083"/>
    <d v="2024-09-02T00:00:00"/>
    <x v="5"/>
    <s v="Blog SEO"/>
    <s v="Desktop"/>
    <s v="North America"/>
    <s v="Lead"/>
    <m/>
    <m/>
    <m/>
    <n v="1"/>
    <x v="9"/>
    <n v="0"/>
    <n v="0"/>
    <n v="0"/>
  </r>
  <r>
    <s v="LD2487"/>
    <d v="2024-04-13T00:00:00"/>
    <x v="5"/>
    <s v="Landing Page SEO"/>
    <s v="Mobile"/>
    <s v="North America"/>
    <s v="Customer"/>
    <n v="31"/>
    <s v="Pro"/>
    <n v="1906.37"/>
    <n v="4"/>
    <x v="1"/>
    <n v="1"/>
    <n v="1"/>
    <n v="1"/>
  </r>
  <r>
    <s v="LD4679"/>
    <d v="2024-08-15T00:00:00"/>
    <x v="0"/>
    <s v="Instagram Ads"/>
    <s v="Mobile"/>
    <s v="Asia Pacific"/>
    <s v="Lead"/>
    <m/>
    <m/>
    <m/>
    <n v="1"/>
    <x v="6"/>
    <n v="0"/>
    <n v="0"/>
    <n v="0"/>
  </r>
  <r>
    <s v="LD1283"/>
    <d v="2024-01-14T00:00:00"/>
    <x v="3"/>
    <s v="Monthly Newsletter"/>
    <s v="Desktop"/>
    <s v="North America"/>
    <s v="MQL"/>
    <m/>
    <m/>
    <m/>
    <n v="2"/>
    <x v="3"/>
    <n v="1"/>
    <n v="0"/>
    <n v="0"/>
  </r>
  <r>
    <s v="LD4538"/>
    <d v="2024-08-22T00:00:00"/>
    <x v="5"/>
    <s v="Blog SEO"/>
    <s v="Mobile"/>
    <s v="North America"/>
    <s v="MQL"/>
    <m/>
    <m/>
    <m/>
    <n v="2"/>
    <x v="6"/>
    <n v="1"/>
    <n v="0"/>
    <n v="0"/>
  </r>
  <r>
    <s v="LD7405"/>
    <d v="2024-12-02T00:00:00"/>
    <x v="0"/>
    <s v="Facebook Ads"/>
    <s v="Desktop"/>
    <s v="Latin America"/>
    <s v="MQL"/>
    <m/>
    <m/>
    <m/>
    <n v="2"/>
    <x v="7"/>
    <n v="1"/>
    <n v="0"/>
    <n v="0"/>
  </r>
  <r>
    <s v="LD3582"/>
    <d v="2024-06-25T00:00:00"/>
    <x v="5"/>
    <s v="Landing Page SEO"/>
    <s v="Mobile"/>
    <s v="Europe"/>
    <s v="MQL"/>
    <m/>
    <m/>
    <m/>
    <n v="2"/>
    <x v="11"/>
    <n v="1"/>
    <n v="0"/>
    <n v="0"/>
  </r>
  <r>
    <s v="LD2369"/>
    <d v="2024-03-14T00:00:00"/>
    <x v="4"/>
    <s v="Partner Program"/>
    <s v="Desktop"/>
    <s v="Asia Pacific"/>
    <s v="SQL"/>
    <m/>
    <m/>
    <m/>
    <n v="3"/>
    <x v="8"/>
    <n v="1"/>
    <n v="1"/>
    <n v="0"/>
  </r>
  <r>
    <s v="LD6908"/>
    <d v="2024-11-25T00:00:00"/>
    <x v="4"/>
    <s v="Affiliate Program"/>
    <s v="Mobile"/>
    <s v="North America"/>
    <s v="MQL"/>
    <m/>
    <m/>
    <m/>
    <n v="2"/>
    <x v="2"/>
    <n v="1"/>
    <n v="0"/>
    <n v="0"/>
  </r>
  <r>
    <s v="LD1598"/>
    <d v="2024-02-03T00:00:00"/>
    <x v="1"/>
    <s v="Google Ads - Generic"/>
    <s v="Mobile"/>
    <s v="Europe"/>
    <s v="Lead"/>
    <m/>
    <m/>
    <m/>
    <n v="1"/>
    <x v="10"/>
    <n v="0"/>
    <n v="0"/>
    <n v="0"/>
  </r>
  <r>
    <s v="LD6509"/>
    <d v="2024-11-23T00:00:00"/>
    <x v="1"/>
    <s v="Google Ads - Brand"/>
    <s v="Desktop"/>
    <s v="North America"/>
    <s v="Lead"/>
    <m/>
    <m/>
    <m/>
    <n v="1"/>
    <x v="2"/>
    <n v="0"/>
    <n v="0"/>
    <n v="0"/>
  </r>
  <r>
    <s v="LD7735"/>
    <d v="2024-12-28T00:00:00"/>
    <x v="2"/>
    <s v="Direct / Type-in"/>
    <s v="Desktop"/>
    <s v="North America"/>
    <s v="Lead"/>
    <m/>
    <m/>
    <m/>
    <n v="1"/>
    <x v="7"/>
    <n v="0"/>
    <n v="0"/>
    <n v="0"/>
  </r>
  <r>
    <s v="LD7389"/>
    <d v="2024-12-13T00:00:00"/>
    <x v="0"/>
    <s v="Facebook Ads"/>
    <s v="Mobile"/>
    <s v="Europe"/>
    <s v="SQL"/>
    <m/>
    <m/>
    <m/>
    <n v="3"/>
    <x v="7"/>
    <n v="1"/>
    <n v="1"/>
    <n v="0"/>
  </r>
  <r>
    <s v="LD5413"/>
    <d v="2024-09-24T00:00:00"/>
    <x v="3"/>
    <s v="Promo Blast"/>
    <s v="Desktop"/>
    <s v="Europe"/>
    <s v="SQL"/>
    <m/>
    <m/>
    <m/>
    <n v="3"/>
    <x v="9"/>
    <n v="1"/>
    <n v="1"/>
    <n v="0"/>
  </r>
  <r>
    <s v="LD4469"/>
    <d v="2024-07-27T00:00:00"/>
    <x v="2"/>
    <s v="Direct / Type-in"/>
    <s v="Desktop"/>
    <s v="Europe"/>
    <s v="MQL"/>
    <m/>
    <m/>
    <m/>
    <n v="2"/>
    <x v="0"/>
    <n v="1"/>
    <n v="0"/>
    <n v="0"/>
  </r>
  <r>
    <s v="LD6190"/>
    <d v="2024-10-05T00:00:00"/>
    <x v="4"/>
    <s v="Partner Program"/>
    <s v="Mobile"/>
    <s v="North America"/>
    <s v="MQL"/>
    <m/>
    <m/>
    <m/>
    <n v="2"/>
    <x v="5"/>
    <n v="1"/>
    <n v="0"/>
    <n v="0"/>
  </r>
  <r>
    <s v="LD3991"/>
    <d v="2024-06-05T00:00:00"/>
    <x v="2"/>
    <s v="Direct / Type-in"/>
    <s v="Desktop"/>
    <s v="North America"/>
    <s v="SQL"/>
    <m/>
    <m/>
    <m/>
    <n v="3"/>
    <x v="11"/>
    <n v="1"/>
    <n v="1"/>
    <n v="0"/>
  </r>
  <r>
    <s v="LD7030"/>
    <d v="2024-11-11T00:00:00"/>
    <x v="2"/>
    <s v="Direct / Type-in"/>
    <s v="Mobile"/>
    <s v="Europe"/>
    <s v="Lead"/>
    <m/>
    <m/>
    <m/>
    <n v="1"/>
    <x v="2"/>
    <n v="0"/>
    <n v="0"/>
    <n v="0"/>
  </r>
  <r>
    <s v="LD3545"/>
    <d v="2024-05-16T00:00:00"/>
    <x v="2"/>
    <s v="Direct / Type-in"/>
    <s v="Mobile"/>
    <s v="North America"/>
    <s v="MQL"/>
    <m/>
    <m/>
    <m/>
    <n v="2"/>
    <x v="4"/>
    <n v="1"/>
    <n v="0"/>
    <n v="0"/>
  </r>
  <r>
    <s v="LD6034"/>
    <d v="2024-10-13T00:00:00"/>
    <x v="3"/>
    <s v="Monthly Newsletter"/>
    <s v="Desktop"/>
    <s v="North America"/>
    <s v="MQL"/>
    <m/>
    <m/>
    <m/>
    <n v="2"/>
    <x v="5"/>
    <n v="1"/>
    <n v="0"/>
    <n v="0"/>
  </r>
  <r>
    <s v="LD5962"/>
    <d v="2024-10-20T00:00:00"/>
    <x v="3"/>
    <s v="Monthly Newsletter"/>
    <s v="Mobile"/>
    <s v="Europe"/>
    <s v="MQL"/>
    <m/>
    <m/>
    <m/>
    <n v="2"/>
    <x v="5"/>
    <n v="1"/>
    <n v="0"/>
    <n v="0"/>
  </r>
  <r>
    <s v="LD5067"/>
    <d v="2024-09-23T00:00:00"/>
    <x v="5"/>
    <s v="Blog SEO"/>
    <s v="Desktop"/>
    <s v="Europe"/>
    <s v="Lead"/>
    <m/>
    <m/>
    <m/>
    <n v="1"/>
    <x v="9"/>
    <n v="0"/>
    <n v="0"/>
    <n v="0"/>
  </r>
  <r>
    <s v="LD4989"/>
    <d v="2024-08-19T00:00:00"/>
    <x v="2"/>
    <s v="Direct / Type-in"/>
    <s v="Tablet"/>
    <s v="Asia Pacific"/>
    <s v="MQL"/>
    <m/>
    <m/>
    <m/>
    <n v="2"/>
    <x v="6"/>
    <n v="1"/>
    <n v="0"/>
    <n v="0"/>
  </r>
  <r>
    <s v="LD7556"/>
    <d v="2024-12-06T00:00:00"/>
    <x v="3"/>
    <s v="Promo Blast"/>
    <s v="Mobile"/>
    <s v="North America"/>
    <s v="Customer"/>
    <n v="69"/>
    <s v="Pro"/>
    <n v="4092.98"/>
    <n v="4"/>
    <x v="7"/>
    <n v="1"/>
    <n v="1"/>
    <n v="1"/>
  </r>
  <r>
    <s v="LD1686"/>
    <d v="2024-02-13T00:00:00"/>
    <x v="0"/>
    <s v="Facebook Ads"/>
    <s v="Desktop"/>
    <s v="Europe"/>
    <s v="MQL"/>
    <m/>
    <m/>
    <m/>
    <n v="2"/>
    <x v="10"/>
    <n v="1"/>
    <n v="0"/>
    <n v="0"/>
  </r>
  <r>
    <s v="LD5327"/>
    <d v="2024-09-21T00:00:00"/>
    <x v="3"/>
    <s v="Monthly Newsletter"/>
    <s v="Mobile"/>
    <s v="Asia Pacific"/>
    <s v="Lead"/>
    <m/>
    <m/>
    <m/>
    <n v="1"/>
    <x v="9"/>
    <n v="0"/>
    <n v="0"/>
    <n v="0"/>
  </r>
  <r>
    <s v="LD4244"/>
    <d v="2024-07-12T00:00:00"/>
    <x v="0"/>
    <s v="Instagram Ads"/>
    <s v="Desktop"/>
    <s v="North America"/>
    <s v="Lead"/>
    <m/>
    <m/>
    <m/>
    <n v="1"/>
    <x v="0"/>
    <n v="0"/>
    <n v="0"/>
    <n v="0"/>
  </r>
  <r>
    <s v="LD6247"/>
    <d v="2024-10-08T00:00:00"/>
    <x v="2"/>
    <s v="Direct / Type-in"/>
    <s v="Mobile"/>
    <s v="North America"/>
    <s v="MQL"/>
    <m/>
    <m/>
    <m/>
    <n v="2"/>
    <x v="5"/>
    <n v="1"/>
    <n v="0"/>
    <n v="0"/>
  </r>
  <r>
    <s v="LD5084"/>
    <d v="2024-09-19T00:00:00"/>
    <x v="5"/>
    <s v="Blog SEO"/>
    <s v="Desktop"/>
    <s v="Latin America"/>
    <s v="MQL"/>
    <m/>
    <m/>
    <m/>
    <n v="2"/>
    <x v="9"/>
    <n v="1"/>
    <n v="0"/>
    <n v="0"/>
  </r>
  <r>
    <s v="LD3838"/>
    <d v="2024-06-12T00:00:00"/>
    <x v="3"/>
    <s v="Monthly Newsletter"/>
    <s v="Desktop"/>
    <s v="Latin America"/>
    <s v="MQL"/>
    <m/>
    <m/>
    <m/>
    <n v="2"/>
    <x v="11"/>
    <n v="1"/>
    <n v="0"/>
    <n v="0"/>
  </r>
  <r>
    <s v="LD4698"/>
    <d v="2024-08-19T00:00:00"/>
    <x v="0"/>
    <s v="Facebook Ads"/>
    <s v="Desktop"/>
    <s v="North America"/>
    <s v="Lead"/>
    <m/>
    <m/>
    <m/>
    <n v="1"/>
    <x v="6"/>
    <n v="0"/>
    <n v="0"/>
    <n v="0"/>
  </r>
  <r>
    <s v="LD5041"/>
    <d v="2024-09-10T00:00:00"/>
    <x v="5"/>
    <s v="Landing Page SEO"/>
    <s v="Mobile"/>
    <s v="North America"/>
    <s v="Lead"/>
    <m/>
    <m/>
    <m/>
    <n v="1"/>
    <x v="9"/>
    <n v="0"/>
    <n v="0"/>
    <n v="0"/>
  </r>
  <r>
    <s v="LD3231"/>
    <d v="2024-05-16T00:00:00"/>
    <x v="0"/>
    <s v="Instagram Ads"/>
    <s v="Desktop"/>
    <s v="Europe"/>
    <s v="Lead"/>
    <m/>
    <m/>
    <m/>
    <n v="1"/>
    <x v="4"/>
    <n v="0"/>
    <n v="0"/>
    <n v="0"/>
  </r>
  <r>
    <s v="LD7136"/>
    <d v="2024-12-07T00:00:00"/>
    <x v="5"/>
    <s v="Landing Page SEO"/>
    <s v="Mobile"/>
    <s v="North America"/>
    <s v="Lead"/>
    <m/>
    <m/>
    <m/>
    <n v="1"/>
    <x v="7"/>
    <n v="0"/>
    <n v="0"/>
    <n v="0"/>
  </r>
  <r>
    <s v="LD3321"/>
    <d v="2024-05-07T00:00:00"/>
    <x v="3"/>
    <s v="Monthly Newsletter"/>
    <s v="Tablet"/>
    <s v="North America"/>
    <s v="MQL"/>
    <m/>
    <m/>
    <m/>
    <n v="2"/>
    <x v="4"/>
    <n v="1"/>
    <n v="0"/>
    <n v="0"/>
  </r>
  <r>
    <s v="LD1522"/>
    <d v="2024-02-09T00:00:00"/>
    <x v="5"/>
    <s v="Landing Page SEO"/>
    <s v="Desktop"/>
    <s v="North America"/>
    <s v="Lead"/>
    <m/>
    <m/>
    <m/>
    <n v="1"/>
    <x v="10"/>
    <n v="0"/>
    <n v="0"/>
    <n v="0"/>
  </r>
  <r>
    <s v="LD1523"/>
    <d v="2024-02-20T00:00:00"/>
    <x v="5"/>
    <s v="Blog SEO"/>
    <s v="Mobile"/>
    <s v="Europe"/>
    <s v="Lead"/>
    <m/>
    <m/>
    <m/>
    <n v="1"/>
    <x v="10"/>
    <n v="0"/>
    <n v="0"/>
    <n v="0"/>
  </r>
  <r>
    <s v="LD6295"/>
    <d v="2024-10-28T00:00:00"/>
    <x v="2"/>
    <s v="Direct / Type-in"/>
    <s v="Tablet"/>
    <s v="Asia Pacific"/>
    <s v="Lead"/>
    <m/>
    <m/>
    <m/>
    <n v="1"/>
    <x v="5"/>
    <n v="0"/>
    <n v="0"/>
    <n v="0"/>
  </r>
  <r>
    <s v="LD6457"/>
    <d v="2024-11-22T00:00:00"/>
    <x v="5"/>
    <s v="Landing Page SEO"/>
    <s v="Desktop"/>
    <s v="North America"/>
    <s v="SQL"/>
    <m/>
    <m/>
    <m/>
    <n v="3"/>
    <x v="2"/>
    <n v="1"/>
    <n v="1"/>
    <n v="0"/>
  </r>
  <r>
    <s v="LD6454"/>
    <d v="2024-11-04T00:00:00"/>
    <x v="5"/>
    <s v="Blog SEO"/>
    <s v="Mobile"/>
    <s v="Europe"/>
    <s v="Lead"/>
    <m/>
    <m/>
    <m/>
    <n v="1"/>
    <x v="2"/>
    <n v="0"/>
    <n v="0"/>
    <n v="0"/>
  </r>
  <r>
    <s v="LD6111"/>
    <d v="2024-10-20T00:00:00"/>
    <x v="3"/>
    <s v="Promo Blast"/>
    <s v="Desktop"/>
    <s v="Europe"/>
    <s v="Lead"/>
    <m/>
    <m/>
    <m/>
    <n v="1"/>
    <x v="5"/>
    <n v="0"/>
    <n v="0"/>
    <n v="0"/>
  </r>
  <r>
    <s v="LD1781"/>
    <d v="2024-02-26T00:00:00"/>
    <x v="3"/>
    <s v="Promo Blast"/>
    <s v="Desktop"/>
    <s v="North America"/>
    <s v="MQL"/>
    <m/>
    <m/>
    <m/>
    <n v="2"/>
    <x v="10"/>
    <n v="1"/>
    <n v="0"/>
    <n v="0"/>
  </r>
  <r>
    <s v="LD6303"/>
    <d v="2024-10-25T00:00:00"/>
    <x v="2"/>
    <s v="Direct / Type-in"/>
    <s v="Desktop"/>
    <s v="Asia Pacific"/>
    <s v="Lead"/>
    <m/>
    <m/>
    <m/>
    <n v="1"/>
    <x v="5"/>
    <n v="0"/>
    <n v="0"/>
    <n v="0"/>
  </r>
  <r>
    <s v="LD5763"/>
    <d v="2024-10-01T00:00:00"/>
    <x v="1"/>
    <s v="Google Ads - Generic"/>
    <s v="Desktop"/>
    <s v="North America"/>
    <s v="Lead"/>
    <m/>
    <m/>
    <m/>
    <n v="1"/>
    <x v="5"/>
    <n v="0"/>
    <n v="0"/>
    <n v="0"/>
  </r>
  <r>
    <s v="LD1652"/>
    <d v="2024-02-02T00:00:00"/>
    <x v="0"/>
    <s v="LinkedIn Ads"/>
    <s v="Mobile"/>
    <s v="Europe"/>
    <s v="Lead"/>
    <m/>
    <m/>
    <m/>
    <n v="1"/>
    <x v="10"/>
    <n v="0"/>
    <n v="0"/>
    <n v="0"/>
  </r>
  <r>
    <s v="LD7761"/>
    <d v="2024-12-28T00:00:00"/>
    <x v="2"/>
    <s v="Direct / Type-in"/>
    <s v="Desktop"/>
    <s v="North America"/>
    <s v="MQL"/>
    <m/>
    <m/>
    <m/>
    <n v="2"/>
    <x v="7"/>
    <n v="1"/>
    <n v="0"/>
    <n v="0"/>
  </r>
  <r>
    <s v="LD3197"/>
    <d v="2024-05-18T00:00:00"/>
    <x v="1"/>
    <s v="Google Ads - Generic"/>
    <s v="Desktop"/>
    <s v="Asia Pacific"/>
    <s v="Lead"/>
    <m/>
    <m/>
    <m/>
    <n v="1"/>
    <x v="4"/>
    <n v="0"/>
    <n v="0"/>
    <n v="0"/>
  </r>
  <r>
    <s v="LD1370"/>
    <d v="2024-01-25T00:00:00"/>
    <x v="4"/>
    <s v="Partner Program"/>
    <s v="Desktop"/>
    <s v="Latin America"/>
    <s v="MQL"/>
    <m/>
    <m/>
    <m/>
    <n v="2"/>
    <x v="3"/>
    <n v="1"/>
    <n v="0"/>
    <n v="0"/>
  </r>
  <r>
    <s v="LD7439"/>
    <d v="2024-12-03T00:00:00"/>
    <x v="3"/>
    <s v="Monthly Newsletter"/>
    <s v="Mobile"/>
    <s v="North America"/>
    <s v="Lead"/>
    <m/>
    <m/>
    <m/>
    <n v="1"/>
    <x v="7"/>
    <n v="0"/>
    <n v="0"/>
    <n v="0"/>
  </r>
  <r>
    <s v="LD5215"/>
    <d v="2024-09-16T00:00:00"/>
    <x v="1"/>
    <s v="Google Ads - Generic"/>
    <s v="Tablet"/>
    <s v="Europe"/>
    <s v="SQL"/>
    <m/>
    <m/>
    <m/>
    <n v="3"/>
    <x v="9"/>
    <n v="1"/>
    <n v="1"/>
    <n v="0"/>
  </r>
  <r>
    <s v="LD1378"/>
    <d v="2024-01-11T00:00:00"/>
    <x v="4"/>
    <s v="Affiliate Program"/>
    <s v="Tablet"/>
    <s v="North America"/>
    <s v="Lead"/>
    <m/>
    <m/>
    <m/>
    <n v="1"/>
    <x v="3"/>
    <n v="0"/>
    <n v="0"/>
    <n v="0"/>
  </r>
  <r>
    <s v="LD5756"/>
    <d v="2024-10-18T00:00:00"/>
    <x v="1"/>
    <s v="Google Ads - Brand"/>
    <s v="Desktop"/>
    <s v="Latin America"/>
    <s v="MQL"/>
    <m/>
    <m/>
    <m/>
    <n v="2"/>
    <x v="5"/>
    <n v="1"/>
    <n v="0"/>
    <n v="0"/>
  </r>
  <r>
    <s v="LD3217"/>
    <d v="2024-05-24T00:00:00"/>
    <x v="0"/>
    <s v="Instagram Ads"/>
    <s v="Mobile"/>
    <s v="Asia Pacific"/>
    <s v="MQL"/>
    <m/>
    <m/>
    <m/>
    <n v="2"/>
    <x v="4"/>
    <n v="1"/>
    <n v="0"/>
    <n v="0"/>
  </r>
  <r>
    <s v="LD6157"/>
    <d v="2024-10-21T00:00:00"/>
    <x v="4"/>
    <s v="Affiliate Program"/>
    <s v="Desktop"/>
    <s v="Latin America"/>
    <s v="Lead"/>
    <m/>
    <m/>
    <m/>
    <n v="1"/>
    <x v="5"/>
    <n v="0"/>
    <n v="0"/>
    <n v="0"/>
  </r>
  <r>
    <s v="LD2614"/>
    <d v="2024-04-03T00:00:00"/>
    <x v="1"/>
    <s v="Google Ads - Brand"/>
    <s v="Mobile"/>
    <s v="North America"/>
    <s v="Lead"/>
    <m/>
    <m/>
    <m/>
    <n v="1"/>
    <x v="1"/>
    <n v="0"/>
    <n v="0"/>
    <n v="0"/>
  </r>
  <r>
    <s v="LD7084"/>
    <d v="2024-11-14T00:00:00"/>
    <x v="2"/>
    <s v="Direct / Type-in"/>
    <s v="Desktop"/>
    <s v="North America"/>
    <s v="MQL"/>
    <m/>
    <m/>
    <m/>
    <n v="2"/>
    <x v="2"/>
    <n v="1"/>
    <n v="0"/>
    <n v="0"/>
  </r>
  <r>
    <s v="LD4633"/>
    <d v="2024-08-25T00:00:00"/>
    <x v="1"/>
    <s v="Google Ads - Generic"/>
    <s v="Desktop"/>
    <s v="North America"/>
    <s v="MQL"/>
    <m/>
    <m/>
    <m/>
    <n v="2"/>
    <x v="6"/>
    <n v="1"/>
    <n v="0"/>
    <n v="0"/>
  </r>
  <r>
    <s v="LD1963"/>
    <d v="2024-03-05T00:00:00"/>
    <x v="5"/>
    <s v="Blog SEO"/>
    <s v="Desktop"/>
    <s v="North America"/>
    <s v="Lead"/>
    <m/>
    <m/>
    <m/>
    <n v="1"/>
    <x v="8"/>
    <n v="0"/>
    <n v="0"/>
    <n v="0"/>
  </r>
  <r>
    <s v="LD7102"/>
    <d v="2024-12-18T00:00:00"/>
    <x v="5"/>
    <s v="Landing Page SEO"/>
    <s v="Desktop"/>
    <s v="Asia Pacific"/>
    <s v="Lead"/>
    <m/>
    <m/>
    <m/>
    <n v="1"/>
    <x v="7"/>
    <n v="0"/>
    <n v="0"/>
    <n v="0"/>
  </r>
  <r>
    <s v="LD7682"/>
    <d v="2024-12-24T00:00:00"/>
    <x v="4"/>
    <s v="Partner Program"/>
    <s v="Desktop"/>
    <s v="North America"/>
    <s v="MQL"/>
    <m/>
    <m/>
    <m/>
    <n v="2"/>
    <x v="7"/>
    <n v="1"/>
    <n v="0"/>
    <n v="0"/>
  </r>
  <r>
    <s v="LD6163"/>
    <d v="2024-10-16T00:00:00"/>
    <x v="4"/>
    <s v="Partner Program"/>
    <s v="Desktop"/>
    <s v="North America"/>
    <s v="SQL"/>
    <m/>
    <m/>
    <m/>
    <n v="3"/>
    <x v="5"/>
    <n v="1"/>
    <n v="1"/>
    <n v="0"/>
  </r>
  <r>
    <s v="LD1360"/>
    <d v="2024-01-19T00:00:00"/>
    <x v="4"/>
    <s v="Partner Program"/>
    <s v="Desktop"/>
    <s v="North America"/>
    <s v="MQL"/>
    <m/>
    <m/>
    <m/>
    <n v="2"/>
    <x v="3"/>
    <n v="1"/>
    <n v="0"/>
    <n v="0"/>
  </r>
  <r>
    <s v="LD4840"/>
    <d v="2024-08-18T00:00:00"/>
    <x v="3"/>
    <s v="Promo Blast"/>
    <s v="Desktop"/>
    <s v="Latin America"/>
    <s v="Lead"/>
    <m/>
    <m/>
    <m/>
    <n v="1"/>
    <x v="6"/>
    <n v="0"/>
    <n v="0"/>
    <n v="0"/>
  </r>
  <r>
    <s v="LD5527"/>
    <d v="2024-09-20T00:00:00"/>
    <x v="4"/>
    <s v="Affiliate Program"/>
    <s v="Mobile"/>
    <s v="North America"/>
    <s v="Lead"/>
    <m/>
    <m/>
    <m/>
    <n v="1"/>
    <x v="9"/>
    <n v="0"/>
    <n v="0"/>
    <n v="0"/>
  </r>
  <r>
    <s v="LD2247"/>
    <d v="2024-03-07T00:00:00"/>
    <x v="3"/>
    <s v="Monthly Newsletter"/>
    <s v="Desktop"/>
    <s v="Europe"/>
    <s v="Customer"/>
    <n v="26"/>
    <s v="Pro"/>
    <n v="3058.43"/>
    <n v="4"/>
    <x v="8"/>
    <n v="1"/>
    <n v="1"/>
    <n v="1"/>
  </r>
  <r>
    <s v="LD6922"/>
    <d v="2024-11-18T00:00:00"/>
    <x v="4"/>
    <s v="Partner Program"/>
    <s v="Mobile"/>
    <s v="North America"/>
    <s v="Lead"/>
    <m/>
    <m/>
    <m/>
    <n v="1"/>
    <x v="2"/>
    <n v="0"/>
    <n v="0"/>
    <n v="0"/>
  </r>
  <r>
    <s v="LD4695"/>
    <d v="2024-08-13T00:00:00"/>
    <x v="0"/>
    <s v="Facebook Ads"/>
    <s v="Mobile"/>
    <s v="North America"/>
    <s v="Lead"/>
    <m/>
    <m/>
    <m/>
    <n v="1"/>
    <x v="6"/>
    <n v="0"/>
    <n v="0"/>
    <n v="0"/>
  </r>
  <r>
    <s v="LD6766"/>
    <d v="2024-11-28T00:00:00"/>
    <x v="3"/>
    <s v="Monthly Newsletter"/>
    <s v="Mobile"/>
    <s v="Europe"/>
    <s v="Lead"/>
    <m/>
    <m/>
    <m/>
    <n v="1"/>
    <x v="2"/>
    <n v="0"/>
    <n v="0"/>
    <n v="0"/>
  </r>
  <r>
    <s v="LD3568"/>
    <d v="2024-06-14T00:00:00"/>
    <x v="5"/>
    <s v="Blog SEO"/>
    <s v="Desktop"/>
    <s v="Latin America"/>
    <s v="MQL"/>
    <m/>
    <m/>
    <m/>
    <n v="2"/>
    <x v="11"/>
    <n v="1"/>
    <n v="0"/>
    <n v="0"/>
  </r>
  <r>
    <s v="LD4424"/>
    <d v="2024-07-12T00:00:00"/>
    <x v="4"/>
    <s v="Partner Program"/>
    <s v="Mobile"/>
    <s v="North America"/>
    <s v="MQL"/>
    <m/>
    <m/>
    <m/>
    <n v="2"/>
    <x v="0"/>
    <n v="1"/>
    <n v="0"/>
    <n v="0"/>
  </r>
  <r>
    <s v="LD3038"/>
    <d v="2024-05-23T00:00:00"/>
    <x v="5"/>
    <s v="Blog SEO"/>
    <s v="Mobile"/>
    <s v="Asia Pacific"/>
    <s v="Lead"/>
    <m/>
    <m/>
    <m/>
    <n v="1"/>
    <x v="4"/>
    <n v="0"/>
    <n v="0"/>
    <n v="0"/>
  </r>
  <r>
    <s v="LD1773"/>
    <d v="2024-02-06T00:00:00"/>
    <x v="3"/>
    <s v="Promo Blast"/>
    <s v="Desktop"/>
    <s v="Europe"/>
    <s v="Lead"/>
    <m/>
    <m/>
    <m/>
    <n v="1"/>
    <x v="10"/>
    <n v="0"/>
    <n v="0"/>
    <n v="0"/>
  </r>
  <r>
    <s v="LD7231"/>
    <d v="2024-12-09T00:00:00"/>
    <x v="1"/>
    <s v="Google Ads - Generic"/>
    <s v="Mobile"/>
    <s v="North America"/>
    <s v="MQL"/>
    <m/>
    <m/>
    <m/>
    <n v="2"/>
    <x v="7"/>
    <n v="1"/>
    <n v="0"/>
    <n v="0"/>
  </r>
  <r>
    <s v="LD4563"/>
    <d v="2024-08-05T00:00:00"/>
    <x v="5"/>
    <s v="Blog SEO"/>
    <s v="Desktop"/>
    <s v="Europe"/>
    <s v="MQL"/>
    <m/>
    <m/>
    <m/>
    <n v="2"/>
    <x v="6"/>
    <n v="1"/>
    <n v="0"/>
    <n v="0"/>
  </r>
  <r>
    <s v="LD7417"/>
    <d v="2024-12-12T00:00:00"/>
    <x v="0"/>
    <s v="Instagram Ads"/>
    <s v="Desktop"/>
    <s v="Europe"/>
    <s v="Lead"/>
    <m/>
    <m/>
    <m/>
    <n v="1"/>
    <x v="7"/>
    <n v="0"/>
    <n v="0"/>
    <n v="0"/>
  </r>
  <r>
    <s v="LD7196"/>
    <d v="2024-12-09T00:00:00"/>
    <x v="5"/>
    <s v="Landing Page SEO"/>
    <s v="Tablet"/>
    <s v="Asia Pacific"/>
    <s v="Lead"/>
    <m/>
    <m/>
    <m/>
    <n v="1"/>
    <x v="7"/>
    <n v="0"/>
    <n v="0"/>
    <n v="0"/>
  </r>
  <r>
    <s v="LD2675"/>
    <d v="2024-04-22T00:00:00"/>
    <x v="0"/>
    <s v="Instagram Ads"/>
    <s v="Desktop"/>
    <s v="Europe"/>
    <s v="SQL"/>
    <m/>
    <m/>
    <m/>
    <n v="3"/>
    <x v="1"/>
    <n v="1"/>
    <n v="1"/>
    <n v="0"/>
  </r>
  <r>
    <s v="LD1366"/>
    <d v="2024-01-14T00:00:00"/>
    <x v="4"/>
    <s v="Affiliate Program"/>
    <s v="Mobile"/>
    <s v="North America"/>
    <s v="SQL"/>
    <m/>
    <m/>
    <m/>
    <n v="3"/>
    <x v="3"/>
    <n v="1"/>
    <n v="1"/>
    <n v="0"/>
  </r>
  <r>
    <s v="LD5523"/>
    <d v="2024-09-11T00:00:00"/>
    <x v="4"/>
    <s v="Affiliate Program"/>
    <s v="Desktop"/>
    <s v="Europe"/>
    <s v="MQL"/>
    <m/>
    <m/>
    <m/>
    <n v="2"/>
    <x v="9"/>
    <n v="1"/>
    <n v="0"/>
    <n v="0"/>
  </r>
  <r>
    <s v="LD5380"/>
    <d v="2024-09-15T00:00:00"/>
    <x v="3"/>
    <s v="Promo Blast"/>
    <s v="Desktop"/>
    <s v="Europe"/>
    <s v="Lead"/>
    <m/>
    <m/>
    <m/>
    <n v="1"/>
    <x v="9"/>
    <n v="0"/>
    <n v="0"/>
    <n v="0"/>
  </r>
  <r>
    <s v="LD5328"/>
    <d v="2024-09-07T00:00:00"/>
    <x v="3"/>
    <s v="Monthly Newsletter"/>
    <s v="Desktop"/>
    <s v="North America"/>
    <s v="Lead"/>
    <m/>
    <m/>
    <m/>
    <n v="1"/>
    <x v="9"/>
    <n v="0"/>
    <n v="0"/>
    <n v="0"/>
  </r>
  <r>
    <s v="LD1148"/>
    <d v="2024-01-16T00:00:00"/>
    <x v="1"/>
    <s v="Google Ads - Brand"/>
    <s v="Desktop"/>
    <s v="North America"/>
    <s v="MQL"/>
    <m/>
    <m/>
    <m/>
    <n v="2"/>
    <x v="3"/>
    <n v="1"/>
    <n v="0"/>
    <n v="0"/>
  </r>
  <r>
    <s v="LD6955"/>
    <d v="2024-11-16T00:00:00"/>
    <x v="4"/>
    <s v="Affiliate Program"/>
    <s v="Desktop"/>
    <s v="North America"/>
    <s v="Lead"/>
    <m/>
    <m/>
    <m/>
    <n v="1"/>
    <x v="2"/>
    <n v="0"/>
    <n v="0"/>
    <n v="0"/>
  </r>
  <r>
    <s v="LD4089"/>
    <d v="2024-07-02T00:00:00"/>
    <x v="5"/>
    <s v="Blog SEO"/>
    <s v="Desktop"/>
    <s v="North America"/>
    <s v="SQL"/>
    <m/>
    <m/>
    <m/>
    <n v="3"/>
    <x v="0"/>
    <n v="1"/>
    <n v="1"/>
    <n v="0"/>
  </r>
  <r>
    <s v="LD7036"/>
    <d v="2024-11-22T00:00:00"/>
    <x v="2"/>
    <s v="Direct / Type-in"/>
    <s v="Desktop"/>
    <s v="Asia Pacific"/>
    <s v="Lead"/>
    <m/>
    <m/>
    <m/>
    <n v="1"/>
    <x v="2"/>
    <n v="0"/>
    <n v="0"/>
    <n v="0"/>
  </r>
  <r>
    <s v="LD1408"/>
    <d v="2024-01-24T00:00:00"/>
    <x v="4"/>
    <s v="Partner Program"/>
    <s v="Mobile"/>
    <s v="North America"/>
    <s v="Customer"/>
    <n v="70"/>
    <s v="Basic"/>
    <n v="667.21"/>
    <n v="4"/>
    <x v="3"/>
    <n v="1"/>
    <n v="1"/>
    <n v="1"/>
  </r>
  <r>
    <s v="LD7260"/>
    <d v="2024-12-24T00:00:00"/>
    <x v="1"/>
    <s v="Google Ads - Brand"/>
    <s v="Desktop"/>
    <s v="Europe"/>
    <s v="Lead"/>
    <m/>
    <m/>
    <m/>
    <n v="1"/>
    <x v="7"/>
    <n v="0"/>
    <n v="0"/>
    <n v="0"/>
  </r>
  <r>
    <s v="LD4457"/>
    <d v="2024-07-19T00:00:00"/>
    <x v="2"/>
    <s v="Direct / Type-in"/>
    <s v="Desktop"/>
    <s v="Asia Pacific"/>
    <s v="MQL"/>
    <m/>
    <m/>
    <m/>
    <n v="2"/>
    <x v="0"/>
    <n v="1"/>
    <n v="0"/>
    <n v="0"/>
  </r>
  <r>
    <s v="LD5183"/>
    <d v="2024-09-12T00:00:00"/>
    <x v="1"/>
    <s v="Google Ads - Generic"/>
    <s v="Mobile"/>
    <s v="North America"/>
    <s v="Lead"/>
    <m/>
    <m/>
    <m/>
    <n v="1"/>
    <x v="9"/>
    <n v="0"/>
    <n v="0"/>
    <n v="0"/>
  </r>
  <r>
    <s v="LD4577"/>
    <d v="2024-08-09T00:00:00"/>
    <x v="5"/>
    <s v="Landing Page SEO"/>
    <s v="Desktop"/>
    <s v="Asia Pacific"/>
    <s v="Lead"/>
    <m/>
    <m/>
    <m/>
    <n v="1"/>
    <x v="6"/>
    <n v="0"/>
    <n v="0"/>
    <n v="0"/>
  </r>
  <r>
    <s v="LD4272"/>
    <d v="2024-07-13T00:00:00"/>
    <x v="3"/>
    <s v="Promo Blast"/>
    <s v="Tablet"/>
    <s v="Europe"/>
    <s v="MQL"/>
    <m/>
    <m/>
    <m/>
    <n v="2"/>
    <x v="0"/>
    <n v="1"/>
    <n v="0"/>
    <n v="0"/>
  </r>
  <r>
    <s v="LD2032"/>
    <d v="2024-03-06T00:00:00"/>
    <x v="5"/>
    <s v="Blog SEO"/>
    <s v="Mobile"/>
    <s v="Europe"/>
    <s v="MQL"/>
    <m/>
    <m/>
    <m/>
    <n v="2"/>
    <x v="8"/>
    <n v="1"/>
    <n v="0"/>
    <n v="0"/>
  </r>
  <r>
    <s v="LD5656"/>
    <d v="2024-10-12T00:00:00"/>
    <x v="5"/>
    <s v="Landing Page SEO"/>
    <s v="Mobile"/>
    <s v="North America"/>
    <s v="MQL"/>
    <m/>
    <m/>
    <m/>
    <n v="2"/>
    <x v="5"/>
    <n v="1"/>
    <n v="0"/>
    <n v="0"/>
  </r>
  <r>
    <s v="LD1856"/>
    <d v="2024-02-08T00:00:00"/>
    <x v="4"/>
    <s v="Partner Program"/>
    <s v="Mobile"/>
    <s v="North America"/>
    <s v="Lead"/>
    <m/>
    <m/>
    <m/>
    <n v="1"/>
    <x v="10"/>
    <n v="0"/>
    <n v="0"/>
    <n v="0"/>
  </r>
  <r>
    <s v="LD4927"/>
    <d v="2024-08-17T00:00:00"/>
    <x v="4"/>
    <s v="Partner Program"/>
    <s v="Desktop"/>
    <s v="North America"/>
    <s v="MQL"/>
    <m/>
    <m/>
    <m/>
    <n v="2"/>
    <x v="6"/>
    <n v="1"/>
    <n v="0"/>
    <n v="0"/>
  </r>
  <r>
    <s v="LD1079"/>
    <d v="2024-01-23T00:00:00"/>
    <x v="5"/>
    <s v="Landing Page SEO"/>
    <s v="Desktop"/>
    <s v="North America"/>
    <s v="Lead"/>
    <m/>
    <m/>
    <m/>
    <n v="1"/>
    <x v="3"/>
    <n v="0"/>
    <n v="0"/>
    <n v="0"/>
  </r>
  <r>
    <s v="LD3248"/>
    <d v="2024-05-20T00:00:00"/>
    <x v="0"/>
    <s v="Facebook Ads"/>
    <s v="Mobile"/>
    <s v="North America"/>
    <s v="MQL"/>
    <m/>
    <m/>
    <m/>
    <n v="2"/>
    <x v="4"/>
    <n v="1"/>
    <n v="0"/>
    <n v="0"/>
  </r>
  <r>
    <s v="LD6016"/>
    <d v="2024-10-12T00:00:00"/>
    <x v="3"/>
    <s v="Promo Blast"/>
    <s v="Mobile"/>
    <s v="North America"/>
    <s v="MQL"/>
    <m/>
    <m/>
    <m/>
    <n v="2"/>
    <x v="5"/>
    <n v="1"/>
    <n v="0"/>
    <n v="0"/>
  </r>
  <r>
    <s v="LD7190"/>
    <d v="2024-12-06T00:00:00"/>
    <x v="5"/>
    <s v="Landing Page SEO"/>
    <s v="Desktop"/>
    <s v="Europe"/>
    <s v="Lead"/>
    <m/>
    <m/>
    <m/>
    <n v="1"/>
    <x v="7"/>
    <n v="0"/>
    <n v="0"/>
    <n v="0"/>
  </r>
  <r>
    <s v="LD7234"/>
    <d v="2024-12-12T00:00:00"/>
    <x v="1"/>
    <s v="Google Ads - Brand"/>
    <s v="Mobile"/>
    <s v="North America"/>
    <s v="SQL"/>
    <m/>
    <m/>
    <m/>
    <n v="3"/>
    <x v="7"/>
    <n v="1"/>
    <n v="1"/>
    <n v="0"/>
  </r>
  <r>
    <s v="LD5653"/>
    <d v="2024-10-27T00:00:00"/>
    <x v="5"/>
    <s v="Landing Page SEO"/>
    <s v="Desktop"/>
    <s v="North America"/>
    <s v="SQL"/>
    <m/>
    <m/>
    <m/>
    <n v="3"/>
    <x v="5"/>
    <n v="1"/>
    <n v="1"/>
    <n v="0"/>
  </r>
  <r>
    <s v="LD1789"/>
    <d v="2024-02-05T00:00:00"/>
    <x v="3"/>
    <s v="Monthly Newsletter"/>
    <s v="Mobile"/>
    <s v="Latin America"/>
    <s v="Lead"/>
    <m/>
    <m/>
    <m/>
    <n v="1"/>
    <x v="10"/>
    <n v="0"/>
    <n v="0"/>
    <n v="0"/>
  </r>
  <r>
    <s v="LD3280"/>
    <d v="2024-05-03T00:00:00"/>
    <x v="0"/>
    <s v="LinkedIn Ads"/>
    <s v="Desktop"/>
    <s v="North America"/>
    <s v="Lead"/>
    <m/>
    <m/>
    <m/>
    <n v="1"/>
    <x v="4"/>
    <n v="0"/>
    <n v="0"/>
    <n v="0"/>
  </r>
  <r>
    <s v="LD5096"/>
    <d v="2024-09-03T00:00:00"/>
    <x v="5"/>
    <s v="Landing Page SEO"/>
    <s v="Mobile"/>
    <s v="Latin America"/>
    <s v="Lead"/>
    <m/>
    <m/>
    <m/>
    <n v="1"/>
    <x v="9"/>
    <n v="0"/>
    <n v="0"/>
    <n v="0"/>
  </r>
  <r>
    <s v="LD4898"/>
    <d v="2024-08-05T00:00:00"/>
    <x v="4"/>
    <s v="Affiliate Program"/>
    <s v="Desktop"/>
    <s v="North America"/>
    <s v="SQL"/>
    <m/>
    <m/>
    <m/>
    <n v="3"/>
    <x v="6"/>
    <n v="1"/>
    <n v="1"/>
    <n v="0"/>
  </r>
  <r>
    <s v="LD7008"/>
    <d v="2024-11-10T00:00:00"/>
    <x v="2"/>
    <s v="Direct / Type-in"/>
    <s v="Mobile"/>
    <s v="Asia Pacific"/>
    <s v="MQL"/>
    <m/>
    <m/>
    <m/>
    <n v="2"/>
    <x v="2"/>
    <n v="1"/>
    <n v="0"/>
    <n v="0"/>
  </r>
  <r>
    <s v="LD6634"/>
    <d v="2024-11-09T00:00:00"/>
    <x v="0"/>
    <s v="Facebook Ads"/>
    <s v="Desktop"/>
    <s v="Latin America"/>
    <s v="Lead"/>
    <m/>
    <m/>
    <m/>
    <n v="1"/>
    <x v="2"/>
    <n v="0"/>
    <n v="0"/>
    <n v="0"/>
  </r>
  <r>
    <s v="LD4632"/>
    <d v="2024-08-16T00:00:00"/>
    <x v="1"/>
    <s v="Google Ads - Generic"/>
    <s v="Mobile"/>
    <s v="North America"/>
    <s v="Lead"/>
    <m/>
    <m/>
    <m/>
    <n v="1"/>
    <x v="6"/>
    <n v="0"/>
    <n v="0"/>
    <n v="0"/>
  </r>
  <r>
    <s v="LD6073"/>
    <d v="2024-10-22T00:00:00"/>
    <x v="3"/>
    <s v="Promo Blast"/>
    <s v="Mobile"/>
    <s v="Europe"/>
    <s v="Lead"/>
    <m/>
    <m/>
    <m/>
    <n v="1"/>
    <x v="5"/>
    <n v="0"/>
    <n v="0"/>
    <n v="0"/>
  </r>
  <r>
    <s v="LD1425"/>
    <d v="2024-01-19T00:00:00"/>
    <x v="2"/>
    <s v="Direct / Type-in"/>
    <s v="Desktop"/>
    <s v="North America"/>
    <s v="MQL"/>
    <m/>
    <m/>
    <m/>
    <n v="2"/>
    <x v="3"/>
    <n v="1"/>
    <n v="0"/>
    <n v="0"/>
  </r>
  <r>
    <s v="LD1393"/>
    <d v="2024-01-15T00:00:00"/>
    <x v="4"/>
    <s v="Partner Program"/>
    <s v="Tablet"/>
    <s v="North America"/>
    <s v="Lead"/>
    <m/>
    <m/>
    <m/>
    <n v="1"/>
    <x v="3"/>
    <n v="0"/>
    <n v="0"/>
    <n v="0"/>
  </r>
  <r>
    <s v="LD6058"/>
    <d v="2024-10-22T00:00:00"/>
    <x v="3"/>
    <s v="Monthly Newsletter"/>
    <s v="Mobile"/>
    <s v="Europe"/>
    <s v="SQL"/>
    <m/>
    <m/>
    <m/>
    <n v="3"/>
    <x v="5"/>
    <n v="1"/>
    <n v="1"/>
    <n v="0"/>
  </r>
  <r>
    <s v="LD7401"/>
    <d v="2024-12-07T00:00:00"/>
    <x v="0"/>
    <s v="LinkedIn Ads"/>
    <s v="Desktop"/>
    <s v="North America"/>
    <s v="Lead"/>
    <m/>
    <m/>
    <m/>
    <n v="1"/>
    <x v="7"/>
    <n v="0"/>
    <n v="0"/>
    <n v="0"/>
  </r>
  <r>
    <s v="LD5201"/>
    <d v="2024-09-20T00:00:00"/>
    <x v="1"/>
    <s v="Google Ads - Brand"/>
    <s v="Desktop"/>
    <s v="North America"/>
    <s v="Customer"/>
    <n v="23"/>
    <s v="Basic"/>
    <n v="587.01"/>
    <n v="4"/>
    <x v="9"/>
    <n v="1"/>
    <n v="1"/>
    <n v="1"/>
  </r>
  <r>
    <s v="LD3673"/>
    <d v="2024-06-09T00:00:00"/>
    <x v="1"/>
    <s v="Google Ads - Generic"/>
    <s v="Desktop"/>
    <s v="North America"/>
    <s v="MQL"/>
    <m/>
    <m/>
    <m/>
    <n v="2"/>
    <x v="11"/>
    <n v="1"/>
    <n v="0"/>
    <n v="0"/>
  </r>
  <r>
    <s v="LD7201"/>
    <d v="2024-12-28T00:00:00"/>
    <x v="1"/>
    <s v="Google Ads - Generic"/>
    <s v="Mobile"/>
    <s v="North America"/>
    <s v="Lead"/>
    <m/>
    <m/>
    <m/>
    <n v="1"/>
    <x v="7"/>
    <n v="0"/>
    <n v="0"/>
    <n v="0"/>
  </r>
  <r>
    <s v="LD5839"/>
    <d v="2024-10-04T00:00:00"/>
    <x v="0"/>
    <s v="Instagram Ads"/>
    <s v="Desktop"/>
    <s v="Latin America"/>
    <s v="Lead"/>
    <m/>
    <m/>
    <m/>
    <n v="1"/>
    <x v="5"/>
    <n v="0"/>
    <n v="0"/>
    <n v="0"/>
  </r>
  <r>
    <s v="LD4494"/>
    <d v="2024-07-21T00:00:00"/>
    <x v="2"/>
    <s v="Direct / Type-in"/>
    <s v="Tablet"/>
    <s v="North America"/>
    <s v="SQL"/>
    <m/>
    <m/>
    <m/>
    <n v="3"/>
    <x v="0"/>
    <n v="1"/>
    <n v="1"/>
    <n v="0"/>
  </r>
  <r>
    <s v="LD2460"/>
    <d v="2024-03-27T00:00:00"/>
    <x v="2"/>
    <s v="Direct / Type-in"/>
    <s v="Desktop"/>
    <s v="North America"/>
    <s v="Lead"/>
    <m/>
    <m/>
    <m/>
    <n v="1"/>
    <x v="8"/>
    <n v="0"/>
    <n v="0"/>
    <n v="0"/>
  </r>
  <r>
    <s v="LD5891"/>
    <d v="2024-10-27T00:00:00"/>
    <x v="0"/>
    <s v="LinkedIn Ads"/>
    <s v="Mobile"/>
    <s v="Latin America"/>
    <s v="Lead"/>
    <m/>
    <m/>
    <m/>
    <n v="1"/>
    <x v="5"/>
    <n v="0"/>
    <n v="0"/>
    <n v="0"/>
  </r>
  <r>
    <s v="LD5488"/>
    <d v="2024-09-13T00:00:00"/>
    <x v="4"/>
    <s v="Partner Program"/>
    <s v="Mobile"/>
    <s v="North America"/>
    <s v="MQL"/>
    <m/>
    <m/>
    <m/>
    <n v="2"/>
    <x v="9"/>
    <n v="1"/>
    <n v="0"/>
    <n v="0"/>
  </r>
  <r>
    <s v="LD4836"/>
    <d v="2024-08-14T00:00:00"/>
    <x v="3"/>
    <s v="Promo Blast"/>
    <s v="Mobile"/>
    <s v="North America"/>
    <s v="MQL"/>
    <m/>
    <m/>
    <m/>
    <n v="2"/>
    <x v="6"/>
    <n v="1"/>
    <n v="0"/>
    <n v="0"/>
  </r>
  <r>
    <s v="LD6248"/>
    <d v="2024-10-17T00:00:00"/>
    <x v="2"/>
    <s v="Direct / Type-in"/>
    <s v="Desktop"/>
    <s v="Asia Pacific"/>
    <s v="SQL"/>
    <m/>
    <m/>
    <m/>
    <n v="3"/>
    <x v="5"/>
    <n v="1"/>
    <n v="1"/>
    <n v="0"/>
  </r>
  <r>
    <s v="LD7457"/>
    <d v="2024-12-13T00:00:00"/>
    <x v="3"/>
    <s v="Promo Blast"/>
    <s v="Tablet"/>
    <s v="North America"/>
    <s v="MQL"/>
    <m/>
    <m/>
    <m/>
    <n v="2"/>
    <x v="7"/>
    <n v="1"/>
    <n v="0"/>
    <n v="0"/>
  </r>
  <r>
    <s v="LD6262"/>
    <d v="2024-10-12T00:00:00"/>
    <x v="2"/>
    <s v="Direct / Type-in"/>
    <s v="Desktop"/>
    <s v="North America"/>
    <s v="MQL"/>
    <m/>
    <m/>
    <m/>
    <n v="2"/>
    <x v="5"/>
    <n v="1"/>
    <n v="0"/>
    <n v="0"/>
  </r>
  <r>
    <s v="LD3356"/>
    <d v="2024-05-23T00:00:00"/>
    <x v="3"/>
    <s v="Monthly Newsletter"/>
    <s v="Mobile"/>
    <s v="Europe"/>
    <s v="SQL"/>
    <m/>
    <m/>
    <m/>
    <n v="3"/>
    <x v="4"/>
    <n v="1"/>
    <n v="1"/>
    <n v="0"/>
  </r>
  <r>
    <s v="LD3443"/>
    <d v="2024-05-01T00:00:00"/>
    <x v="4"/>
    <s v="Affiliate Program"/>
    <s v="Desktop"/>
    <s v="North America"/>
    <s v="MQL"/>
    <m/>
    <m/>
    <m/>
    <n v="2"/>
    <x v="4"/>
    <n v="1"/>
    <n v="0"/>
    <n v="0"/>
  </r>
  <r>
    <s v="LD6273"/>
    <d v="2024-10-05T00:00:00"/>
    <x v="2"/>
    <s v="Direct / Type-in"/>
    <s v="Desktop"/>
    <s v="North America"/>
    <s v="Lead"/>
    <m/>
    <m/>
    <m/>
    <n v="1"/>
    <x v="5"/>
    <n v="0"/>
    <n v="0"/>
    <n v="0"/>
  </r>
  <r>
    <s v="LD1465"/>
    <d v="2024-01-09T00:00:00"/>
    <x v="2"/>
    <s v="Direct / Type-in"/>
    <s v="Desktop"/>
    <s v="Asia Pacific"/>
    <s v="SQL"/>
    <m/>
    <m/>
    <m/>
    <n v="3"/>
    <x v="3"/>
    <n v="1"/>
    <n v="1"/>
    <n v="0"/>
  </r>
  <r>
    <s v="LD1164"/>
    <d v="2024-01-28T00:00:00"/>
    <x v="1"/>
    <s v="Google Ads - Brand"/>
    <s v="Desktop"/>
    <s v="Europe"/>
    <s v="Lead"/>
    <m/>
    <m/>
    <m/>
    <n v="1"/>
    <x v="3"/>
    <n v="0"/>
    <n v="0"/>
    <n v="0"/>
  </r>
  <r>
    <s v="LD6868"/>
    <d v="2024-11-01T00:00:00"/>
    <x v="3"/>
    <s v="Promo Blast"/>
    <s v="Desktop"/>
    <s v="North America"/>
    <s v="MQL"/>
    <m/>
    <m/>
    <m/>
    <n v="2"/>
    <x v="2"/>
    <n v="1"/>
    <n v="0"/>
    <n v="0"/>
  </r>
  <r>
    <s v="LD7290"/>
    <d v="2024-12-07T00:00:00"/>
    <x v="1"/>
    <s v="Google Ads - Brand"/>
    <s v="Desktop"/>
    <s v="Asia Pacific"/>
    <s v="SQL"/>
    <m/>
    <m/>
    <m/>
    <n v="3"/>
    <x v="7"/>
    <n v="1"/>
    <n v="1"/>
    <n v="0"/>
  </r>
  <r>
    <s v="LD7502"/>
    <d v="2024-12-18T00:00:00"/>
    <x v="3"/>
    <s v="Monthly Newsletter"/>
    <s v="Desktop"/>
    <s v="Asia Pacific"/>
    <s v="Customer"/>
    <n v="12"/>
    <s v="Pro"/>
    <n v="4157.3500000000004"/>
    <n v="4"/>
    <x v="7"/>
    <n v="1"/>
    <n v="1"/>
    <n v="1"/>
  </r>
  <r>
    <s v="LD7726"/>
    <d v="2024-12-21T00:00:00"/>
    <x v="2"/>
    <s v="Direct / Type-in"/>
    <s v="Desktop"/>
    <s v="Asia Pacific"/>
    <s v="Lead"/>
    <m/>
    <m/>
    <m/>
    <n v="1"/>
    <x v="7"/>
    <n v="0"/>
    <n v="0"/>
    <n v="0"/>
  </r>
  <r>
    <s v="LD3010"/>
    <d v="2024-04-13T00:00:00"/>
    <x v="2"/>
    <s v="Direct / Type-in"/>
    <s v="Desktop"/>
    <s v="North America"/>
    <s v="MQL"/>
    <m/>
    <m/>
    <m/>
    <n v="2"/>
    <x v="1"/>
    <n v="1"/>
    <n v="0"/>
    <n v="0"/>
  </r>
  <r>
    <s v="LD4085"/>
    <d v="2024-07-18T00:00:00"/>
    <x v="5"/>
    <s v="Blog SEO"/>
    <s v="Desktop"/>
    <s v="Europe"/>
    <s v="Lead"/>
    <m/>
    <m/>
    <m/>
    <n v="1"/>
    <x v="0"/>
    <n v="0"/>
    <n v="0"/>
    <n v="0"/>
  </r>
  <r>
    <s v="LD1901"/>
    <d v="2024-02-02T00:00:00"/>
    <x v="2"/>
    <s v="Direct / Type-in"/>
    <s v="Mobile"/>
    <s v="Europe"/>
    <s v="Lead"/>
    <m/>
    <m/>
    <m/>
    <n v="1"/>
    <x v="10"/>
    <n v="0"/>
    <n v="0"/>
    <n v="0"/>
  </r>
  <r>
    <s v="LD7120"/>
    <d v="2024-12-25T00:00:00"/>
    <x v="5"/>
    <s v="Blog SEO"/>
    <s v="Desktop"/>
    <s v="Europe"/>
    <s v="Lead"/>
    <m/>
    <m/>
    <m/>
    <n v="1"/>
    <x v="7"/>
    <n v="0"/>
    <n v="0"/>
    <n v="0"/>
  </r>
  <r>
    <s v="LD3294"/>
    <d v="2024-05-16T00:00:00"/>
    <x v="0"/>
    <s v="Instagram Ads"/>
    <s v="Desktop"/>
    <s v="North America"/>
    <s v="Lead"/>
    <m/>
    <m/>
    <m/>
    <n v="1"/>
    <x v="4"/>
    <n v="0"/>
    <n v="0"/>
    <n v="0"/>
  </r>
  <r>
    <s v="LD4717"/>
    <d v="2024-08-10T00:00:00"/>
    <x v="0"/>
    <s v="LinkedIn Ads"/>
    <s v="Desktop"/>
    <s v="North America"/>
    <s v="Lead"/>
    <m/>
    <m/>
    <m/>
    <n v="1"/>
    <x v="6"/>
    <n v="0"/>
    <n v="0"/>
    <n v="0"/>
  </r>
  <r>
    <s v="LD6628"/>
    <d v="2024-11-04T00:00:00"/>
    <x v="0"/>
    <s v="Facebook Ads"/>
    <s v="Mobile"/>
    <s v="North America"/>
    <s v="Lead"/>
    <m/>
    <m/>
    <m/>
    <n v="1"/>
    <x v="2"/>
    <n v="0"/>
    <n v="0"/>
    <n v="0"/>
  </r>
  <r>
    <s v="LD2765"/>
    <d v="2024-04-18T00:00:00"/>
    <x v="3"/>
    <s v="Monthly Newsletter"/>
    <s v="Desktop"/>
    <s v="Asia Pacific"/>
    <s v="Lead"/>
    <m/>
    <m/>
    <m/>
    <n v="1"/>
    <x v="1"/>
    <n v="0"/>
    <n v="0"/>
    <n v="0"/>
  </r>
  <r>
    <s v="LD2550"/>
    <d v="2024-04-19T00:00:00"/>
    <x v="5"/>
    <s v="Landing Page SEO"/>
    <s v="Desktop"/>
    <s v="North America"/>
    <s v="Lead"/>
    <m/>
    <m/>
    <m/>
    <n v="1"/>
    <x v="1"/>
    <n v="0"/>
    <n v="0"/>
    <n v="0"/>
  </r>
  <r>
    <s v="LD4030"/>
    <d v="2024-06-10T00:00:00"/>
    <x v="2"/>
    <s v="Direct / Type-in"/>
    <s v="Mobile"/>
    <s v="North America"/>
    <s v="SQL"/>
    <m/>
    <m/>
    <m/>
    <n v="3"/>
    <x v="11"/>
    <n v="1"/>
    <n v="1"/>
    <n v="0"/>
  </r>
  <r>
    <s v="LD6115"/>
    <d v="2024-10-07T00:00:00"/>
    <x v="3"/>
    <s v="Monthly Newsletter"/>
    <s v="Tablet"/>
    <s v="North America"/>
    <s v="SQL"/>
    <m/>
    <m/>
    <m/>
    <n v="3"/>
    <x v="5"/>
    <n v="1"/>
    <n v="1"/>
    <n v="0"/>
  </r>
  <r>
    <s v="LD3045"/>
    <d v="2024-05-02T00:00:00"/>
    <x v="5"/>
    <s v="Landing Page SEO"/>
    <s v="Mobile"/>
    <s v="Europe"/>
    <s v="Customer"/>
    <n v="60"/>
    <s v="Pro"/>
    <n v="2461.69"/>
    <n v="4"/>
    <x v="4"/>
    <n v="1"/>
    <n v="1"/>
    <n v="1"/>
  </r>
  <r>
    <s v="LD1768"/>
    <d v="2024-02-16T00:00:00"/>
    <x v="3"/>
    <s v="Promo Blast"/>
    <s v="Desktop"/>
    <s v="Latin America"/>
    <s v="Lead"/>
    <m/>
    <m/>
    <m/>
    <n v="1"/>
    <x v="10"/>
    <n v="0"/>
    <n v="0"/>
    <n v="0"/>
  </r>
  <r>
    <s v="LD2509"/>
    <d v="2024-04-25T00:00:00"/>
    <x v="5"/>
    <s v="Blog SEO"/>
    <s v="Mobile"/>
    <s v="Asia Pacific"/>
    <s v="Lead"/>
    <m/>
    <m/>
    <m/>
    <n v="1"/>
    <x v="1"/>
    <n v="0"/>
    <n v="0"/>
    <n v="0"/>
  </r>
  <r>
    <s v="LD7594"/>
    <d v="2024-12-09T00:00:00"/>
    <x v="3"/>
    <s v="Promo Blast"/>
    <s v="Desktop"/>
    <s v="Europe"/>
    <s v="MQL"/>
    <m/>
    <m/>
    <m/>
    <n v="2"/>
    <x v="7"/>
    <n v="1"/>
    <n v="0"/>
    <n v="0"/>
  </r>
  <r>
    <s v="LD5220"/>
    <d v="2024-09-22T00:00:00"/>
    <x v="1"/>
    <s v="Google Ads - Generic"/>
    <s v="Desktop"/>
    <s v="Europe"/>
    <s v="Lead"/>
    <m/>
    <m/>
    <m/>
    <n v="1"/>
    <x v="9"/>
    <n v="0"/>
    <n v="0"/>
    <n v="0"/>
  </r>
  <r>
    <s v="LD6637"/>
    <d v="2024-11-25T00:00:00"/>
    <x v="0"/>
    <s v="Instagram Ads"/>
    <s v="Desktop"/>
    <s v="North America"/>
    <s v="Lead"/>
    <m/>
    <m/>
    <m/>
    <n v="1"/>
    <x v="2"/>
    <n v="0"/>
    <n v="0"/>
    <n v="0"/>
  </r>
  <r>
    <s v="LD5429"/>
    <d v="2024-09-01T00:00:00"/>
    <x v="3"/>
    <s v="Monthly Newsletter"/>
    <s v="Mobile"/>
    <s v="North America"/>
    <s v="Lead"/>
    <m/>
    <m/>
    <m/>
    <n v="1"/>
    <x v="9"/>
    <n v="0"/>
    <n v="0"/>
    <n v="0"/>
  </r>
  <r>
    <s v="LD4293"/>
    <d v="2024-07-05T00:00:00"/>
    <x v="3"/>
    <s v="Monthly Newsletter"/>
    <s v="Desktop"/>
    <s v="North America"/>
    <s v="MQL"/>
    <m/>
    <m/>
    <m/>
    <n v="2"/>
    <x v="0"/>
    <n v="1"/>
    <n v="0"/>
    <n v="0"/>
  </r>
  <r>
    <s v="LD1820"/>
    <d v="2024-02-18T00:00:00"/>
    <x v="3"/>
    <s v="Promo Blast"/>
    <s v="Desktop"/>
    <s v="Europe"/>
    <s v="MQL"/>
    <m/>
    <m/>
    <m/>
    <n v="2"/>
    <x v="10"/>
    <n v="1"/>
    <n v="0"/>
    <n v="0"/>
  </r>
  <r>
    <s v="LD2404"/>
    <d v="2024-03-14T00:00:00"/>
    <x v="2"/>
    <s v="Direct / Type-in"/>
    <s v="Desktop"/>
    <s v="Europe"/>
    <s v="SQL"/>
    <m/>
    <m/>
    <m/>
    <n v="3"/>
    <x v="8"/>
    <n v="1"/>
    <n v="1"/>
    <n v="0"/>
  </r>
  <r>
    <s v="LD2383"/>
    <d v="2024-03-23T00:00:00"/>
    <x v="4"/>
    <s v="Affiliate Program"/>
    <s v="Desktop"/>
    <s v="North America"/>
    <s v="Lead"/>
    <m/>
    <m/>
    <m/>
    <n v="1"/>
    <x v="8"/>
    <n v="0"/>
    <n v="0"/>
    <n v="0"/>
  </r>
  <r>
    <s v="LD3149"/>
    <d v="2024-05-26T00:00:00"/>
    <x v="1"/>
    <s v="Google Ads - Generic"/>
    <s v="Desktop"/>
    <s v="Europe"/>
    <s v="Lead"/>
    <m/>
    <m/>
    <m/>
    <n v="1"/>
    <x v="4"/>
    <n v="0"/>
    <n v="0"/>
    <n v="0"/>
  </r>
  <r>
    <s v="LD2639"/>
    <d v="2024-04-17T00:00:00"/>
    <x v="1"/>
    <s v="Google Ads - Generic"/>
    <s v="Mobile"/>
    <s v="North America"/>
    <s v="MQL"/>
    <m/>
    <m/>
    <m/>
    <n v="2"/>
    <x v="1"/>
    <n v="1"/>
    <n v="0"/>
    <n v="0"/>
  </r>
  <r>
    <s v="LD7524"/>
    <d v="2024-12-18T00:00:00"/>
    <x v="3"/>
    <s v="Monthly Newsletter"/>
    <s v="Desktop"/>
    <s v="Europe"/>
    <s v="SQL"/>
    <m/>
    <m/>
    <m/>
    <n v="3"/>
    <x v="7"/>
    <n v="1"/>
    <n v="1"/>
    <n v="0"/>
  </r>
  <r>
    <s v="LD1400"/>
    <d v="2024-01-18T00:00:00"/>
    <x v="4"/>
    <s v="Affiliate Program"/>
    <s v="Desktop"/>
    <s v="Europe"/>
    <s v="Lead"/>
    <m/>
    <m/>
    <m/>
    <n v="1"/>
    <x v="3"/>
    <n v="0"/>
    <n v="0"/>
    <n v="0"/>
  </r>
  <r>
    <s v="LD1883"/>
    <d v="2024-02-23T00:00:00"/>
    <x v="4"/>
    <s v="Partner Program"/>
    <s v="Desktop"/>
    <s v="Europe"/>
    <s v="Lead"/>
    <m/>
    <m/>
    <m/>
    <n v="1"/>
    <x v="10"/>
    <n v="0"/>
    <n v="0"/>
    <n v="0"/>
  </r>
  <r>
    <s v="LD4566"/>
    <d v="2024-08-18T00:00:00"/>
    <x v="5"/>
    <s v="Landing Page SEO"/>
    <s v="Desktop"/>
    <s v="Europe"/>
    <s v="SQL"/>
    <m/>
    <m/>
    <m/>
    <n v="3"/>
    <x v="6"/>
    <n v="1"/>
    <n v="1"/>
    <n v="0"/>
  </r>
  <r>
    <s v="LD7057"/>
    <d v="2024-11-18T00:00:00"/>
    <x v="2"/>
    <s v="Direct / Type-in"/>
    <s v="Desktop"/>
    <s v="Europe"/>
    <s v="Lead"/>
    <m/>
    <m/>
    <m/>
    <n v="1"/>
    <x v="2"/>
    <n v="0"/>
    <n v="0"/>
    <n v="0"/>
  </r>
  <r>
    <s v="LD2180"/>
    <d v="2024-03-12T00:00:00"/>
    <x v="0"/>
    <s v="Instagram Ads"/>
    <s v="Mobile"/>
    <s v="Asia Pacific"/>
    <s v="MQL"/>
    <m/>
    <m/>
    <m/>
    <n v="2"/>
    <x v="8"/>
    <n v="1"/>
    <n v="0"/>
    <n v="0"/>
  </r>
  <r>
    <s v="LD5245"/>
    <d v="2024-09-09T00:00:00"/>
    <x v="0"/>
    <s v="Facebook Ads"/>
    <s v="Desktop"/>
    <s v="Europe"/>
    <s v="MQL"/>
    <m/>
    <m/>
    <m/>
    <n v="2"/>
    <x v="9"/>
    <n v="1"/>
    <n v="0"/>
    <n v="0"/>
  </r>
  <r>
    <s v="LD6149"/>
    <d v="2024-10-16T00:00:00"/>
    <x v="4"/>
    <s v="Affiliate Program"/>
    <s v="Desktop"/>
    <s v="Europe"/>
    <s v="SQL"/>
    <m/>
    <m/>
    <m/>
    <n v="3"/>
    <x v="5"/>
    <n v="1"/>
    <n v="1"/>
    <n v="0"/>
  </r>
  <r>
    <s v="LD3131"/>
    <d v="2024-05-21T00:00:00"/>
    <x v="1"/>
    <s v="Google Ads - Brand"/>
    <s v="Mobile"/>
    <s v="Europe"/>
    <s v="Lead"/>
    <m/>
    <m/>
    <m/>
    <n v="1"/>
    <x v="4"/>
    <n v="0"/>
    <n v="0"/>
    <n v="0"/>
  </r>
  <r>
    <s v="LD1457"/>
    <d v="2024-01-12T00:00:00"/>
    <x v="2"/>
    <s v="Direct / Type-in"/>
    <s v="Tablet"/>
    <s v="North America"/>
    <s v="MQL"/>
    <m/>
    <m/>
    <m/>
    <n v="2"/>
    <x v="3"/>
    <n v="1"/>
    <n v="0"/>
    <n v="0"/>
  </r>
  <r>
    <s v="LD2951"/>
    <d v="2024-04-11T00:00:00"/>
    <x v="2"/>
    <s v="Direct / Type-in"/>
    <s v="Desktop"/>
    <s v="Europe"/>
    <s v="Lead"/>
    <m/>
    <m/>
    <m/>
    <n v="1"/>
    <x v="1"/>
    <n v="0"/>
    <n v="0"/>
    <n v="0"/>
  </r>
  <r>
    <s v="LD1690"/>
    <d v="2024-02-07T00:00:00"/>
    <x v="0"/>
    <s v="LinkedIn Ads"/>
    <s v="Desktop"/>
    <s v="North America"/>
    <s v="Lead"/>
    <m/>
    <m/>
    <m/>
    <n v="1"/>
    <x v="10"/>
    <n v="0"/>
    <n v="0"/>
    <n v="0"/>
  </r>
  <r>
    <s v="LD6358"/>
    <d v="2024-11-06T00:00:00"/>
    <x v="5"/>
    <s v="Landing Page SEO"/>
    <s v="Mobile"/>
    <s v="Europe"/>
    <s v="Lead"/>
    <m/>
    <m/>
    <m/>
    <n v="1"/>
    <x v="2"/>
    <n v="0"/>
    <n v="0"/>
    <n v="0"/>
  </r>
  <r>
    <s v="LD2954"/>
    <d v="2024-04-16T00:00:00"/>
    <x v="2"/>
    <s v="Direct / Type-in"/>
    <s v="Mobile"/>
    <s v="Europe"/>
    <s v="SQL"/>
    <m/>
    <m/>
    <m/>
    <n v="3"/>
    <x v="1"/>
    <n v="1"/>
    <n v="1"/>
    <n v="0"/>
  </r>
  <r>
    <s v="LD3711"/>
    <d v="2024-06-11T00:00:00"/>
    <x v="1"/>
    <s v="Google Ads - Brand"/>
    <s v="Desktop"/>
    <s v="Europe"/>
    <s v="Lead"/>
    <m/>
    <m/>
    <m/>
    <n v="1"/>
    <x v="11"/>
    <n v="0"/>
    <n v="0"/>
    <n v="0"/>
  </r>
  <r>
    <s v="LD6027"/>
    <d v="2024-10-14T00:00:00"/>
    <x v="3"/>
    <s v="Promo Blast"/>
    <s v="Desktop"/>
    <s v="Europe"/>
    <s v="MQL"/>
    <m/>
    <m/>
    <m/>
    <n v="2"/>
    <x v="5"/>
    <n v="1"/>
    <n v="0"/>
    <n v="0"/>
  </r>
  <r>
    <s v="LD5350"/>
    <d v="2024-09-15T00:00:00"/>
    <x v="3"/>
    <s v="Monthly Newsletter"/>
    <s v="Mobile"/>
    <s v="Europe"/>
    <s v="SQL"/>
    <m/>
    <m/>
    <m/>
    <n v="3"/>
    <x v="9"/>
    <n v="1"/>
    <n v="1"/>
    <n v="0"/>
  </r>
  <r>
    <s v="LD7491"/>
    <d v="2024-12-10T00:00:00"/>
    <x v="3"/>
    <s v="Promo Blast"/>
    <s v="Tablet"/>
    <s v="Asia Pacific"/>
    <s v="MQL"/>
    <m/>
    <m/>
    <m/>
    <n v="2"/>
    <x v="7"/>
    <n v="1"/>
    <n v="0"/>
    <n v="0"/>
  </r>
  <r>
    <s v="LD2885"/>
    <d v="2024-04-24T00:00:00"/>
    <x v="4"/>
    <s v="Affiliate Program"/>
    <s v="Tablet"/>
    <s v="North America"/>
    <s v="MQL"/>
    <m/>
    <m/>
    <m/>
    <n v="2"/>
    <x v="1"/>
    <n v="1"/>
    <n v="0"/>
    <n v="0"/>
  </r>
  <r>
    <s v="LD6101"/>
    <d v="2024-10-24T00:00:00"/>
    <x v="3"/>
    <s v="Promo Blast"/>
    <s v="Desktop"/>
    <s v="Europe"/>
    <s v="Lead"/>
    <m/>
    <m/>
    <m/>
    <n v="1"/>
    <x v="5"/>
    <n v="0"/>
    <n v="0"/>
    <n v="0"/>
  </r>
  <r>
    <s v="LD3495"/>
    <d v="2024-05-20T00:00:00"/>
    <x v="4"/>
    <s v="Affiliate Program"/>
    <s v="Desktop"/>
    <s v="North America"/>
    <s v="Customer"/>
    <n v="44"/>
    <s v="Pro"/>
    <n v="2828.05"/>
    <n v="4"/>
    <x v="4"/>
    <n v="1"/>
    <n v="1"/>
    <n v="1"/>
  </r>
  <r>
    <s v="LD4037"/>
    <d v="2024-06-25T00:00:00"/>
    <x v="2"/>
    <s v="Direct / Type-in"/>
    <s v="Desktop"/>
    <s v="Latin America"/>
    <s v="Lead"/>
    <m/>
    <m/>
    <m/>
    <n v="1"/>
    <x v="11"/>
    <n v="0"/>
    <n v="0"/>
    <n v="0"/>
  </r>
  <r>
    <s v="LD4604"/>
    <d v="2024-08-25T00:00:00"/>
    <x v="1"/>
    <s v="Google Ads - Brand"/>
    <s v="Mobile"/>
    <s v="Europe"/>
    <s v="Lead"/>
    <m/>
    <m/>
    <m/>
    <n v="1"/>
    <x v="6"/>
    <n v="0"/>
    <n v="0"/>
    <n v="0"/>
  </r>
  <r>
    <s v="LD1846"/>
    <d v="2024-02-12T00:00:00"/>
    <x v="4"/>
    <s v="Affiliate Program"/>
    <s v="Desktop"/>
    <s v="Asia Pacific"/>
    <s v="Lead"/>
    <m/>
    <m/>
    <m/>
    <n v="1"/>
    <x v="10"/>
    <n v="0"/>
    <n v="0"/>
    <n v="0"/>
  </r>
  <r>
    <s v="LD1543"/>
    <d v="2024-02-13T00:00:00"/>
    <x v="5"/>
    <s v="Blog SEO"/>
    <s v="Desktop"/>
    <s v="North America"/>
    <s v="Lead"/>
    <m/>
    <m/>
    <m/>
    <n v="1"/>
    <x v="10"/>
    <n v="0"/>
    <n v="0"/>
    <n v="0"/>
  </r>
  <r>
    <s v="LD4725"/>
    <d v="2024-08-13T00:00:00"/>
    <x v="0"/>
    <s v="Instagram Ads"/>
    <s v="Desktop"/>
    <s v="Europe"/>
    <s v="MQL"/>
    <m/>
    <m/>
    <m/>
    <n v="2"/>
    <x v="6"/>
    <n v="1"/>
    <n v="0"/>
    <n v="0"/>
  </r>
  <r>
    <s v="LD5188"/>
    <d v="2024-09-03T00:00:00"/>
    <x v="1"/>
    <s v="Google Ads - Generic"/>
    <s v="Desktop"/>
    <s v="North America"/>
    <s v="SQL"/>
    <m/>
    <m/>
    <m/>
    <n v="3"/>
    <x v="9"/>
    <n v="1"/>
    <n v="1"/>
    <n v="0"/>
  </r>
  <r>
    <s v="LD4680"/>
    <d v="2024-08-06T00:00:00"/>
    <x v="0"/>
    <s v="LinkedIn Ads"/>
    <s v="Mobile"/>
    <s v="North America"/>
    <s v="MQL"/>
    <m/>
    <m/>
    <m/>
    <n v="2"/>
    <x v="6"/>
    <n v="1"/>
    <n v="0"/>
    <n v="0"/>
  </r>
  <r>
    <s v="LD6414"/>
    <d v="2024-11-14T00:00:00"/>
    <x v="5"/>
    <s v="Blog SEO"/>
    <s v="Mobile"/>
    <s v="North America"/>
    <s v="MQL"/>
    <m/>
    <m/>
    <m/>
    <n v="2"/>
    <x v="2"/>
    <n v="1"/>
    <n v="0"/>
    <n v="0"/>
  </r>
  <r>
    <s v="LD6550"/>
    <d v="2024-11-13T00:00:00"/>
    <x v="1"/>
    <s v="Google Ads - Brand"/>
    <s v="Desktop"/>
    <s v="Latin America"/>
    <s v="Lead"/>
    <m/>
    <m/>
    <m/>
    <n v="1"/>
    <x v="2"/>
    <n v="0"/>
    <n v="0"/>
    <n v="0"/>
  </r>
  <r>
    <s v="LD7242"/>
    <d v="2024-12-24T00:00:00"/>
    <x v="1"/>
    <s v="Google Ads - Generic"/>
    <s v="Desktop"/>
    <s v="North America"/>
    <s v="Lead"/>
    <m/>
    <m/>
    <m/>
    <n v="1"/>
    <x v="7"/>
    <n v="0"/>
    <n v="0"/>
    <n v="0"/>
  </r>
  <r>
    <s v="LD3965"/>
    <d v="2024-06-20T00:00:00"/>
    <x v="4"/>
    <s v="Affiliate Program"/>
    <s v="Desktop"/>
    <s v="Europe"/>
    <s v="Customer"/>
    <n v="50"/>
    <s v="Basic"/>
    <n v="642.34"/>
    <n v="4"/>
    <x v="11"/>
    <n v="1"/>
    <n v="1"/>
    <n v="1"/>
  </r>
  <r>
    <s v="LD3530"/>
    <d v="2024-05-07T00:00:00"/>
    <x v="2"/>
    <s v="Direct / Type-in"/>
    <s v="Mobile"/>
    <s v="North America"/>
    <s v="Customer"/>
    <n v="24"/>
    <s v="Basic"/>
    <n v="1069.29"/>
    <n v="4"/>
    <x v="4"/>
    <n v="1"/>
    <n v="1"/>
    <n v="1"/>
  </r>
  <r>
    <s v="LD2049"/>
    <d v="2024-03-06T00:00:00"/>
    <x v="1"/>
    <s v="Google Ads - Generic"/>
    <s v="Mobile"/>
    <s v="Europe"/>
    <s v="MQL"/>
    <m/>
    <m/>
    <m/>
    <n v="2"/>
    <x v="8"/>
    <n v="1"/>
    <n v="0"/>
    <n v="0"/>
  </r>
  <r>
    <s v="LD2961"/>
    <d v="2024-04-04T00:00:00"/>
    <x v="2"/>
    <s v="Direct / Type-in"/>
    <s v="Mobile"/>
    <s v="Europe"/>
    <s v="MQL"/>
    <m/>
    <m/>
    <m/>
    <n v="2"/>
    <x v="1"/>
    <n v="1"/>
    <n v="0"/>
    <n v="0"/>
  </r>
  <r>
    <s v="LD3531"/>
    <d v="2024-05-14T00:00:00"/>
    <x v="2"/>
    <s v="Direct / Type-in"/>
    <s v="Desktop"/>
    <s v="Europe"/>
    <s v="Lead"/>
    <m/>
    <m/>
    <m/>
    <n v="1"/>
    <x v="4"/>
    <n v="0"/>
    <n v="0"/>
    <n v="0"/>
  </r>
  <r>
    <s v="LD5987"/>
    <d v="2024-10-11T00:00:00"/>
    <x v="3"/>
    <s v="Promo Blast"/>
    <s v="Desktop"/>
    <s v="North America"/>
    <s v="MQL"/>
    <m/>
    <m/>
    <m/>
    <n v="2"/>
    <x v="5"/>
    <n v="1"/>
    <n v="0"/>
    <n v="0"/>
  </r>
  <r>
    <s v="LD1238"/>
    <d v="2024-01-25T00:00:00"/>
    <x v="3"/>
    <s v="Monthly Newsletter"/>
    <s v="Desktop"/>
    <s v="Asia Pacific"/>
    <s v="MQL"/>
    <m/>
    <m/>
    <m/>
    <n v="2"/>
    <x v="3"/>
    <n v="1"/>
    <n v="0"/>
    <n v="0"/>
  </r>
  <r>
    <s v="LD2134"/>
    <d v="2024-03-05T00:00:00"/>
    <x v="0"/>
    <s v="Instagram Ads"/>
    <s v="Mobile"/>
    <s v="North America"/>
    <s v="MQL"/>
    <m/>
    <m/>
    <m/>
    <n v="2"/>
    <x v="8"/>
    <n v="1"/>
    <n v="0"/>
    <n v="0"/>
  </r>
  <r>
    <s v="LD6613"/>
    <d v="2024-11-09T00:00:00"/>
    <x v="0"/>
    <s v="LinkedIn Ads"/>
    <s v="Desktop"/>
    <s v="Europe"/>
    <s v="Lead"/>
    <m/>
    <m/>
    <m/>
    <n v="1"/>
    <x v="2"/>
    <n v="0"/>
    <n v="0"/>
    <n v="0"/>
  </r>
  <r>
    <s v="LD5260"/>
    <d v="2024-09-22T00:00:00"/>
    <x v="0"/>
    <s v="LinkedIn Ads"/>
    <s v="Desktop"/>
    <s v="Latin America"/>
    <s v="Lead"/>
    <m/>
    <m/>
    <m/>
    <n v="1"/>
    <x v="9"/>
    <n v="0"/>
    <n v="0"/>
    <n v="0"/>
  </r>
  <r>
    <s v="LD6005"/>
    <d v="2024-10-12T00:00:00"/>
    <x v="3"/>
    <s v="Promo Blast"/>
    <s v="Desktop"/>
    <s v="Asia Pacific"/>
    <s v="Lead"/>
    <m/>
    <m/>
    <m/>
    <n v="1"/>
    <x v="5"/>
    <n v="0"/>
    <n v="0"/>
    <n v="0"/>
  </r>
  <r>
    <s v="LD7384"/>
    <d v="2024-12-18T00:00:00"/>
    <x v="0"/>
    <s v="LinkedIn Ads"/>
    <s v="Mobile"/>
    <s v="North America"/>
    <s v="MQL"/>
    <m/>
    <m/>
    <m/>
    <n v="2"/>
    <x v="7"/>
    <n v="1"/>
    <n v="0"/>
    <n v="0"/>
  </r>
  <r>
    <s v="LD7782"/>
    <d v="2024-12-01T00:00:00"/>
    <x v="2"/>
    <s v="Direct / Type-in"/>
    <s v="Desktop"/>
    <s v="Europe"/>
    <s v="SQL"/>
    <m/>
    <m/>
    <m/>
    <n v="3"/>
    <x v="7"/>
    <n v="1"/>
    <n v="1"/>
    <n v="0"/>
  </r>
  <r>
    <s v="LD3979"/>
    <d v="2024-06-21T00:00:00"/>
    <x v="4"/>
    <s v="Partner Program"/>
    <s v="Desktop"/>
    <s v="Latin America"/>
    <s v="Lead"/>
    <m/>
    <m/>
    <m/>
    <n v="1"/>
    <x v="11"/>
    <n v="0"/>
    <n v="0"/>
    <n v="0"/>
  </r>
  <r>
    <s v="LD6368"/>
    <d v="2024-11-22T00:00:00"/>
    <x v="5"/>
    <s v="Blog SEO"/>
    <s v="Tablet"/>
    <s v="Asia Pacific"/>
    <s v="SQL"/>
    <m/>
    <m/>
    <m/>
    <n v="3"/>
    <x v="2"/>
    <n v="1"/>
    <n v="1"/>
    <n v="0"/>
  </r>
  <r>
    <s v="LD6059"/>
    <d v="2024-10-19T00:00:00"/>
    <x v="3"/>
    <s v="Monthly Newsletter"/>
    <s v="Tablet"/>
    <s v="Asia Pacific"/>
    <s v="MQL"/>
    <m/>
    <m/>
    <m/>
    <n v="2"/>
    <x v="5"/>
    <n v="1"/>
    <n v="0"/>
    <n v="0"/>
  </r>
  <r>
    <s v="LD4920"/>
    <d v="2024-08-08T00:00:00"/>
    <x v="4"/>
    <s v="Partner Program"/>
    <s v="Desktop"/>
    <s v="Europe"/>
    <s v="Customer"/>
    <n v="26"/>
    <s v="Basic"/>
    <n v="1258.3699999999999"/>
    <n v="4"/>
    <x v="6"/>
    <n v="1"/>
    <n v="1"/>
    <n v="1"/>
  </r>
  <r>
    <s v="LD4139"/>
    <d v="2024-07-10T00:00:00"/>
    <x v="1"/>
    <s v="Google Ads - Generic"/>
    <s v="Tablet"/>
    <s v="Asia Pacific"/>
    <s v="Lead"/>
    <m/>
    <m/>
    <m/>
    <n v="1"/>
    <x v="0"/>
    <n v="0"/>
    <n v="0"/>
    <n v="0"/>
  </r>
  <r>
    <s v="LD7048"/>
    <d v="2024-11-09T00:00:00"/>
    <x v="2"/>
    <s v="Direct / Type-in"/>
    <s v="Mobile"/>
    <s v="Europe"/>
    <s v="Lead"/>
    <m/>
    <m/>
    <m/>
    <n v="1"/>
    <x v="2"/>
    <n v="0"/>
    <n v="0"/>
    <n v="0"/>
  </r>
  <r>
    <s v="LD5074"/>
    <d v="2024-09-18T00:00:00"/>
    <x v="5"/>
    <s v="Landing Page SEO"/>
    <s v="Desktop"/>
    <s v="North America"/>
    <s v="Lead"/>
    <m/>
    <m/>
    <m/>
    <n v="1"/>
    <x v="9"/>
    <n v="0"/>
    <n v="0"/>
    <n v="0"/>
  </r>
  <r>
    <s v="LD6826"/>
    <d v="2024-11-03T00:00:00"/>
    <x v="3"/>
    <s v="Promo Blast"/>
    <s v="Desktop"/>
    <s v="North America"/>
    <s v="Customer"/>
    <n v="50"/>
    <s v="Pro"/>
    <n v="2407.16"/>
    <n v="4"/>
    <x v="2"/>
    <n v="1"/>
    <n v="1"/>
    <n v="1"/>
  </r>
  <r>
    <s v="LD4230"/>
    <d v="2024-07-23T00:00:00"/>
    <x v="0"/>
    <s v="LinkedIn Ads"/>
    <s v="Mobile"/>
    <s v="Asia Pacific"/>
    <s v="MQL"/>
    <m/>
    <m/>
    <m/>
    <n v="2"/>
    <x v="0"/>
    <n v="1"/>
    <n v="0"/>
    <n v="0"/>
  </r>
  <r>
    <s v="LD2827"/>
    <d v="2024-04-03T00:00:00"/>
    <x v="3"/>
    <s v="Monthly Newsletter"/>
    <s v="Mobile"/>
    <s v="Europe"/>
    <s v="MQL"/>
    <m/>
    <m/>
    <m/>
    <n v="2"/>
    <x v="1"/>
    <n v="1"/>
    <n v="0"/>
    <n v="0"/>
  </r>
  <r>
    <s v="LD1594"/>
    <d v="2024-02-24T00:00:00"/>
    <x v="1"/>
    <s v="Google Ads - Brand"/>
    <s v="Tablet"/>
    <s v="Asia Pacific"/>
    <s v="Lead"/>
    <m/>
    <m/>
    <m/>
    <n v="1"/>
    <x v="10"/>
    <n v="0"/>
    <n v="0"/>
    <n v="0"/>
  </r>
  <r>
    <s v="LD3726"/>
    <d v="2024-06-03T00:00:00"/>
    <x v="1"/>
    <s v="Google Ads - Generic"/>
    <s v="Mobile"/>
    <s v="Asia Pacific"/>
    <s v="Lead"/>
    <m/>
    <m/>
    <m/>
    <n v="1"/>
    <x v="11"/>
    <n v="0"/>
    <n v="0"/>
    <n v="0"/>
  </r>
  <r>
    <s v="LD5138"/>
    <d v="2024-09-28T00:00:00"/>
    <x v="1"/>
    <s v="Google Ads - Brand"/>
    <s v="Mobile"/>
    <s v="North America"/>
    <s v="Lead"/>
    <m/>
    <m/>
    <m/>
    <n v="1"/>
    <x v="9"/>
    <n v="0"/>
    <n v="0"/>
    <n v="0"/>
  </r>
  <r>
    <s v="LD1561"/>
    <d v="2024-02-07T00:00:00"/>
    <x v="5"/>
    <s v="Blog SEO"/>
    <s v="Desktop"/>
    <s v="North America"/>
    <s v="Lead"/>
    <m/>
    <m/>
    <m/>
    <n v="1"/>
    <x v="10"/>
    <n v="0"/>
    <n v="0"/>
    <n v="0"/>
  </r>
  <r>
    <s v="LD6836"/>
    <d v="2024-11-06T00:00:00"/>
    <x v="3"/>
    <s v="Promo Blast"/>
    <s v="Mobile"/>
    <s v="North America"/>
    <s v="Lead"/>
    <m/>
    <m/>
    <m/>
    <n v="1"/>
    <x v="2"/>
    <n v="0"/>
    <n v="0"/>
    <n v="0"/>
  </r>
  <r>
    <s v="LD1244"/>
    <d v="2024-01-11T00:00:00"/>
    <x v="3"/>
    <s v="Promo Blast"/>
    <s v="Desktop"/>
    <s v="Latin America"/>
    <s v="MQL"/>
    <m/>
    <m/>
    <m/>
    <n v="2"/>
    <x v="3"/>
    <n v="1"/>
    <n v="0"/>
    <n v="0"/>
  </r>
  <r>
    <s v="LD5438"/>
    <d v="2024-09-06T00:00:00"/>
    <x v="3"/>
    <s v="Promo Blast"/>
    <s v="Mobile"/>
    <s v="North America"/>
    <s v="Lead"/>
    <m/>
    <m/>
    <m/>
    <n v="1"/>
    <x v="9"/>
    <n v="0"/>
    <n v="0"/>
    <n v="0"/>
  </r>
  <r>
    <s v="LD5691"/>
    <d v="2024-10-14T00:00:00"/>
    <x v="5"/>
    <s v="Landing Page SEO"/>
    <s v="Mobile"/>
    <s v="North America"/>
    <s v="Lead"/>
    <m/>
    <m/>
    <m/>
    <n v="1"/>
    <x v="5"/>
    <n v="0"/>
    <n v="0"/>
    <n v="0"/>
  </r>
  <r>
    <s v="LD1406"/>
    <d v="2024-01-14T00:00:00"/>
    <x v="4"/>
    <s v="Affiliate Program"/>
    <s v="Mobile"/>
    <s v="Europe"/>
    <s v="SQL"/>
    <m/>
    <m/>
    <m/>
    <n v="3"/>
    <x v="3"/>
    <n v="1"/>
    <n v="1"/>
    <n v="0"/>
  </r>
  <r>
    <s v="LD2443"/>
    <d v="2024-03-01T00:00:00"/>
    <x v="2"/>
    <s v="Direct / Type-in"/>
    <s v="Desktop"/>
    <s v="North America"/>
    <s v="Lead"/>
    <m/>
    <m/>
    <m/>
    <n v="1"/>
    <x v="8"/>
    <n v="0"/>
    <n v="0"/>
    <n v="0"/>
  </r>
  <r>
    <s v="LD1262"/>
    <d v="2024-01-28T00:00:00"/>
    <x v="3"/>
    <s v="Promo Blast"/>
    <s v="Mobile"/>
    <s v="North America"/>
    <s v="Lead"/>
    <m/>
    <m/>
    <m/>
    <n v="1"/>
    <x v="3"/>
    <n v="0"/>
    <n v="0"/>
    <n v="0"/>
  </r>
  <r>
    <s v="LD5536"/>
    <d v="2024-09-19T00:00:00"/>
    <x v="4"/>
    <s v="Partner Program"/>
    <s v="Mobile"/>
    <s v="Asia Pacific"/>
    <s v="MQL"/>
    <m/>
    <m/>
    <m/>
    <n v="2"/>
    <x v="9"/>
    <n v="1"/>
    <n v="0"/>
    <n v="0"/>
  </r>
  <r>
    <s v="LD7183"/>
    <d v="2024-12-01T00:00:00"/>
    <x v="5"/>
    <s v="Landing Page SEO"/>
    <s v="Tablet"/>
    <s v="North America"/>
    <s v="Lead"/>
    <m/>
    <m/>
    <m/>
    <n v="1"/>
    <x v="7"/>
    <n v="0"/>
    <n v="0"/>
    <n v="0"/>
  </r>
  <r>
    <s v="LD2690"/>
    <d v="2024-04-14T00:00:00"/>
    <x v="0"/>
    <s v="Instagram Ads"/>
    <s v="Desktop"/>
    <s v="Europe"/>
    <s v="Lead"/>
    <m/>
    <m/>
    <m/>
    <n v="1"/>
    <x v="1"/>
    <n v="0"/>
    <n v="0"/>
    <n v="0"/>
  </r>
  <r>
    <s v="LD2726"/>
    <d v="2024-04-21T00:00:00"/>
    <x v="0"/>
    <s v="Instagram Ads"/>
    <s v="Desktop"/>
    <s v="Asia Pacific"/>
    <s v="Lead"/>
    <m/>
    <m/>
    <m/>
    <n v="1"/>
    <x v="1"/>
    <n v="0"/>
    <n v="0"/>
    <n v="0"/>
  </r>
  <r>
    <s v="LD3497"/>
    <d v="2024-05-01T00:00:00"/>
    <x v="4"/>
    <s v="Affiliate Program"/>
    <s v="Mobile"/>
    <s v="North America"/>
    <s v="SQL"/>
    <m/>
    <m/>
    <m/>
    <n v="3"/>
    <x v="4"/>
    <n v="1"/>
    <n v="1"/>
    <n v="0"/>
  </r>
  <r>
    <s v="LD6139"/>
    <d v="2024-10-06T00:00:00"/>
    <x v="4"/>
    <s v="Partner Program"/>
    <s v="Mobile"/>
    <s v="North America"/>
    <s v="MQL"/>
    <m/>
    <m/>
    <m/>
    <n v="2"/>
    <x v="5"/>
    <n v="1"/>
    <n v="0"/>
    <n v="0"/>
  </r>
  <r>
    <s v="LD1341"/>
    <d v="2024-01-11T00:00:00"/>
    <x v="3"/>
    <s v="Promo Blast"/>
    <s v="Mobile"/>
    <s v="Asia Pacific"/>
    <s v="MQL"/>
    <m/>
    <m/>
    <m/>
    <n v="2"/>
    <x v="3"/>
    <n v="1"/>
    <n v="0"/>
    <n v="0"/>
  </r>
  <r>
    <s v="LD7365"/>
    <d v="2024-12-20T00:00:00"/>
    <x v="0"/>
    <s v="Facebook Ads"/>
    <s v="Mobile"/>
    <s v="Europe"/>
    <s v="Lead"/>
    <m/>
    <m/>
    <m/>
    <n v="1"/>
    <x v="7"/>
    <n v="0"/>
    <n v="0"/>
    <n v="0"/>
  </r>
  <r>
    <s v="LD2602"/>
    <d v="2024-04-27T00:00:00"/>
    <x v="1"/>
    <s v="Google Ads - Generic"/>
    <s v="Mobile"/>
    <s v="North America"/>
    <s v="MQL"/>
    <m/>
    <m/>
    <m/>
    <n v="2"/>
    <x v="1"/>
    <n v="1"/>
    <n v="0"/>
    <n v="0"/>
  </r>
  <r>
    <s v="LD4726"/>
    <d v="2024-08-07T00:00:00"/>
    <x v="0"/>
    <s v="LinkedIn Ads"/>
    <s v="Mobile"/>
    <s v="Europe"/>
    <s v="MQL"/>
    <m/>
    <m/>
    <m/>
    <n v="2"/>
    <x v="6"/>
    <n v="1"/>
    <n v="0"/>
    <n v="0"/>
  </r>
  <r>
    <s v="LD7718"/>
    <d v="2024-12-06T00:00:00"/>
    <x v="2"/>
    <s v="Direct / Type-in"/>
    <s v="Mobile"/>
    <s v="North America"/>
    <s v="SQL"/>
    <m/>
    <m/>
    <m/>
    <n v="3"/>
    <x v="7"/>
    <n v="1"/>
    <n v="1"/>
    <n v="0"/>
  </r>
  <r>
    <s v="LD3786"/>
    <d v="2024-06-24T00:00:00"/>
    <x v="0"/>
    <s v="LinkedIn Ads"/>
    <s v="Mobile"/>
    <s v="Asia Pacific"/>
    <s v="Lead"/>
    <m/>
    <m/>
    <m/>
    <n v="1"/>
    <x v="11"/>
    <n v="0"/>
    <n v="0"/>
    <n v="0"/>
  </r>
  <r>
    <s v="LD2524"/>
    <d v="2024-04-09T00:00:00"/>
    <x v="5"/>
    <s v="Landing Page SEO"/>
    <s v="Mobile"/>
    <s v="North America"/>
    <s v="MQL"/>
    <m/>
    <m/>
    <m/>
    <n v="2"/>
    <x v="1"/>
    <n v="1"/>
    <n v="0"/>
    <n v="0"/>
  </r>
  <r>
    <s v="LD6156"/>
    <d v="2024-10-18T00:00:00"/>
    <x v="4"/>
    <s v="Partner Program"/>
    <s v="Mobile"/>
    <s v="North America"/>
    <s v="Lead"/>
    <m/>
    <m/>
    <m/>
    <n v="1"/>
    <x v="5"/>
    <n v="0"/>
    <n v="0"/>
    <n v="0"/>
  </r>
  <r>
    <s v="LD7434"/>
    <d v="2024-12-27T00:00:00"/>
    <x v="3"/>
    <s v="Monthly Newsletter"/>
    <s v="Mobile"/>
    <s v="Asia Pacific"/>
    <s v="SQL"/>
    <m/>
    <m/>
    <m/>
    <n v="3"/>
    <x v="7"/>
    <n v="1"/>
    <n v="1"/>
    <n v="0"/>
  </r>
  <r>
    <s v="LD7282"/>
    <d v="2024-12-10T00:00:00"/>
    <x v="1"/>
    <s v="Google Ads - Brand"/>
    <s v="Desktop"/>
    <s v="Europe"/>
    <s v="Lead"/>
    <m/>
    <m/>
    <m/>
    <n v="1"/>
    <x v="7"/>
    <n v="0"/>
    <n v="0"/>
    <n v="0"/>
  </r>
  <r>
    <s v="LD2767"/>
    <d v="2024-04-23T00:00:00"/>
    <x v="3"/>
    <s v="Promo Blast"/>
    <s v="Desktop"/>
    <s v="North America"/>
    <s v="MQL"/>
    <m/>
    <m/>
    <m/>
    <n v="2"/>
    <x v="1"/>
    <n v="1"/>
    <n v="0"/>
    <n v="0"/>
  </r>
  <r>
    <s v="LD5038"/>
    <d v="2024-09-14T00:00:00"/>
    <x v="5"/>
    <s v="Blog SEO"/>
    <s v="Desktop"/>
    <s v="North America"/>
    <s v="Lead"/>
    <m/>
    <m/>
    <m/>
    <n v="1"/>
    <x v="9"/>
    <n v="0"/>
    <n v="0"/>
    <n v="0"/>
  </r>
  <r>
    <s v="LD6973"/>
    <d v="2024-11-22T00:00:00"/>
    <x v="4"/>
    <s v="Affiliate Program"/>
    <s v="Mobile"/>
    <s v="North America"/>
    <s v="SQL"/>
    <m/>
    <m/>
    <m/>
    <n v="3"/>
    <x v="2"/>
    <n v="1"/>
    <n v="1"/>
    <n v="0"/>
  </r>
  <r>
    <s v="LD6495"/>
    <d v="2024-11-13T00:00:00"/>
    <x v="1"/>
    <s v="Google Ads - Brand"/>
    <s v="Mobile"/>
    <s v="Europe"/>
    <s v="Lead"/>
    <m/>
    <m/>
    <m/>
    <n v="1"/>
    <x v="2"/>
    <n v="0"/>
    <n v="0"/>
    <n v="0"/>
  </r>
  <r>
    <s v="LD7339"/>
    <d v="2024-12-10T00:00:00"/>
    <x v="0"/>
    <s v="LinkedIn Ads"/>
    <s v="Mobile"/>
    <s v="Europe"/>
    <s v="Lead"/>
    <m/>
    <m/>
    <m/>
    <n v="1"/>
    <x v="7"/>
    <n v="0"/>
    <n v="0"/>
    <n v="0"/>
  </r>
  <r>
    <s v="LD1364"/>
    <d v="2024-01-05T00:00:00"/>
    <x v="4"/>
    <s v="Affiliate Program"/>
    <s v="Desktop"/>
    <s v="Latin America"/>
    <s v="SQL"/>
    <m/>
    <m/>
    <m/>
    <n v="3"/>
    <x v="3"/>
    <n v="1"/>
    <n v="1"/>
    <n v="0"/>
  </r>
  <r>
    <s v="LD7710"/>
    <d v="2024-12-12T00:00:00"/>
    <x v="2"/>
    <s v="Direct / Type-in"/>
    <s v="Mobile"/>
    <s v="North America"/>
    <s v="SQL"/>
    <m/>
    <m/>
    <m/>
    <n v="3"/>
    <x v="7"/>
    <n v="1"/>
    <n v="1"/>
    <n v="0"/>
  </r>
  <r>
    <s v="LD7099"/>
    <d v="2024-12-28T00:00:00"/>
    <x v="5"/>
    <s v="Blog SEO"/>
    <s v="Mobile"/>
    <s v="North America"/>
    <s v="Lead"/>
    <m/>
    <m/>
    <m/>
    <n v="1"/>
    <x v="7"/>
    <n v="0"/>
    <n v="0"/>
    <n v="0"/>
  </r>
  <r>
    <s v="LD5444"/>
    <d v="2024-09-01T00:00:00"/>
    <x v="3"/>
    <s v="Promo Blast"/>
    <s v="Desktop"/>
    <s v="North America"/>
    <s v="MQL"/>
    <m/>
    <m/>
    <m/>
    <n v="2"/>
    <x v="9"/>
    <n v="1"/>
    <n v="0"/>
    <n v="0"/>
  </r>
  <r>
    <s v="LD6404"/>
    <d v="2024-11-05T00:00:00"/>
    <x v="5"/>
    <s v="Blog SEO"/>
    <s v="Mobile"/>
    <s v="Europe"/>
    <s v="MQL"/>
    <m/>
    <m/>
    <m/>
    <n v="2"/>
    <x v="2"/>
    <n v="1"/>
    <n v="0"/>
    <n v="0"/>
  </r>
  <r>
    <s v="LD7261"/>
    <d v="2024-12-24T00:00:00"/>
    <x v="1"/>
    <s v="Google Ads - Brand"/>
    <s v="Desktop"/>
    <s v="Asia Pacific"/>
    <s v="Lead"/>
    <m/>
    <m/>
    <m/>
    <n v="1"/>
    <x v="7"/>
    <n v="0"/>
    <n v="0"/>
    <n v="0"/>
  </r>
  <r>
    <s v="LD3563"/>
    <d v="2024-05-02T00:00:00"/>
    <x v="2"/>
    <s v="Direct / Type-in"/>
    <s v="Desktop"/>
    <s v="North America"/>
    <s v="SQL"/>
    <m/>
    <m/>
    <m/>
    <n v="3"/>
    <x v="4"/>
    <n v="1"/>
    <n v="1"/>
    <n v="0"/>
  </r>
  <r>
    <s v="LD5732"/>
    <d v="2024-10-13T00:00:00"/>
    <x v="1"/>
    <s v="Google Ads - Generic"/>
    <s v="Desktop"/>
    <s v="North America"/>
    <s v="Lead"/>
    <m/>
    <m/>
    <m/>
    <n v="1"/>
    <x v="5"/>
    <n v="0"/>
    <n v="0"/>
    <n v="0"/>
  </r>
  <r>
    <s v="LD7216"/>
    <d v="2024-12-18T00:00:00"/>
    <x v="1"/>
    <s v="Google Ads - Generic"/>
    <s v="Mobile"/>
    <s v="North America"/>
    <s v="Lead"/>
    <m/>
    <m/>
    <m/>
    <n v="1"/>
    <x v="7"/>
    <n v="0"/>
    <n v="0"/>
    <n v="0"/>
  </r>
  <r>
    <s v="LD4084"/>
    <d v="2024-07-25T00:00:00"/>
    <x v="5"/>
    <s v="Landing Page SEO"/>
    <s v="Desktop"/>
    <s v="North America"/>
    <s v="Lead"/>
    <m/>
    <m/>
    <m/>
    <n v="1"/>
    <x v="0"/>
    <n v="0"/>
    <n v="0"/>
    <n v="0"/>
  </r>
  <r>
    <s v="LD7245"/>
    <d v="2024-12-21T00:00:00"/>
    <x v="1"/>
    <s v="Google Ads - Brand"/>
    <s v="Desktop"/>
    <s v="North America"/>
    <s v="MQL"/>
    <m/>
    <m/>
    <m/>
    <n v="2"/>
    <x v="7"/>
    <n v="1"/>
    <n v="0"/>
    <n v="0"/>
  </r>
  <r>
    <s v="LD3103"/>
    <d v="2024-05-25T00:00:00"/>
    <x v="1"/>
    <s v="Google Ads - Brand"/>
    <s v="Desktop"/>
    <s v="North America"/>
    <s v="Lead"/>
    <m/>
    <m/>
    <m/>
    <n v="1"/>
    <x v="4"/>
    <n v="0"/>
    <n v="0"/>
    <n v="0"/>
  </r>
  <r>
    <s v="LD1633"/>
    <d v="2024-02-15T00:00:00"/>
    <x v="1"/>
    <s v="Google Ads - Brand"/>
    <s v="Desktop"/>
    <s v="Europe"/>
    <s v="MQL"/>
    <m/>
    <m/>
    <m/>
    <n v="2"/>
    <x v="10"/>
    <n v="1"/>
    <n v="0"/>
    <n v="0"/>
  </r>
  <r>
    <s v="LD3494"/>
    <d v="2024-05-27T00:00:00"/>
    <x v="4"/>
    <s v="Affiliate Program"/>
    <s v="Mobile"/>
    <s v="North America"/>
    <s v="Lead"/>
    <m/>
    <m/>
    <m/>
    <n v="1"/>
    <x v="4"/>
    <n v="0"/>
    <n v="0"/>
    <n v="0"/>
  </r>
  <r>
    <s v="LD3666"/>
    <d v="2024-06-25T00:00:00"/>
    <x v="1"/>
    <s v="Google Ads - Brand"/>
    <s v="Desktop"/>
    <s v="North America"/>
    <s v="Lead"/>
    <m/>
    <m/>
    <m/>
    <n v="1"/>
    <x v="11"/>
    <n v="0"/>
    <n v="0"/>
    <n v="0"/>
  </r>
  <r>
    <s v="LD6621"/>
    <d v="2024-11-27T00:00:00"/>
    <x v="0"/>
    <s v="Facebook Ads"/>
    <s v="Desktop"/>
    <s v="North America"/>
    <s v="MQL"/>
    <m/>
    <m/>
    <m/>
    <n v="2"/>
    <x v="2"/>
    <n v="1"/>
    <n v="0"/>
    <n v="0"/>
  </r>
  <r>
    <s v="LD5407"/>
    <d v="2024-09-28T00:00:00"/>
    <x v="3"/>
    <s v="Monthly Newsletter"/>
    <s v="Mobile"/>
    <s v="North America"/>
    <s v="MQL"/>
    <m/>
    <m/>
    <m/>
    <n v="2"/>
    <x v="9"/>
    <n v="1"/>
    <n v="0"/>
    <n v="0"/>
  </r>
  <r>
    <s v="LD5978"/>
    <d v="2024-10-15T00:00:00"/>
    <x v="3"/>
    <s v="Promo Blast"/>
    <s v="Mobile"/>
    <s v="North America"/>
    <s v="Lead"/>
    <m/>
    <m/>
    <m/>
    <n v="1"/>
    <x v="5"/>
    <n v="0"/>
    <n v="0"/>
    <n v="0"/>
  </r>
  <r>
    <s v="LD6292"/>
    <d v="2024-10-07T00:00:00"/>
    <x v="2"/>
    <s v="Direct / Type-in"/>
    <s v="Desktop"/>
    <s v="Asia Pacific"/>
    <s v="Lead"/>
    <m/>
    <m/>
    <m/>
    <n v="1"/>
    <x v="5"/>
    <n v="0"/>
    <n v="0"/>
    <n v="0"/>
  </r>
  <r>
    <s v="LD3335"/>
    <d v="2024-05-20T00:00:00"/>
    <x v="3"/>
    <s v="Monthly Newsletter"/>
    <s v="Mobile"/>
    <s v="North America"/>
    <s v="MQL"/>
    <m/>
    <m/>
    <m/>
    <n v="2"/>
    <x v="4"/>
    <n v="1"/>
    <n v="0"/>
    <n v="0"/>
  </r>
  <r>
    <s v="LD6196"/>
    <d v="2024-10-26T00:00:00"/>
    <x v="4"/>
    <s v="Partner Program"/>
    <s v="Desktop"/>
    <s v="North America"/>
    <s v="SQL"/>
    <m/>
    <m/>
    <m/>
    <n v="3"/>
    <x v="5"/>
    <n v="1"/>
    <n v="1"/>
    <n v="0"/>
  </r>
  <r>
    <s v="LD4620"/>
    <d v="2024-08-21T00:00:00"/>
    <x v="1"/>
    <s v="Google Ads - Generic"/>
    <s v="Mobile"/>
    <s v="North America"/>
    <s v="Lead"/>
    <m/>
    <m/>
    <m/>
    <n v="1"/>
    <x v="6"/>
    <n v="0"/>
    <n v="0"/>
    <n v="0"/>
  </r>
  <r>
    <s v="LD4884"/>
    <d v="2024-08-10T00:00:00"/>
    <x v="4"/>
    <s v="Partner Program"/>
    <s v="Desktop"/>
    <s v="Europe"/>
    <s v="Customer"/>
    <n v="56"/>
    <s v="Basic"/>
    <n v="548.41999999999996"/>
    <n v="4"/>
    <x v="6"/>
    <n v="1"/>
    <n v="1"/>
    <n v="1"/>
  </r>
  <r>
    <s v="LD5597"/>
    <d v="2024-09-07T00:00:00"/>
    <x v="2"/>
    <s v="Direct / Type-in"/>
    <s v="Tablet"/>
    <s v="North America"/>
    <s v="MQL"/>
    <m/>
    <m/>
    <m/>
    <n v="2"/>
    <x v="9"/>
    <n v="1"/>
    <n v="0"/>
    <n v="0"/>
  </r>
  <r>
    <s v="LD5212"/>
    <d v="2024-09-21T00:00:00"/>
    <x v="1"/>
    <s v="Google Ads - Generic"/>
    <s v="Desktop"/>
    <s v="Asia Pacific"/>
    <s v="Lead"/>
    <m/>
    <m/>
    <m/>
    <n v="1"/>
    <x v="9"/>
    <n v="0"/>
    <n v="0"/>
    <n v="0"/>
  </r>
  <r>
    <s v="LD2495"/>
    <d v="2024-04-04T00:00:00"/>
    <x v="5"/>
    <s v="Landing Page SEO"/>
    <s v="Tablet"/>
    <s v="Europe"/>
    <s v="MQL"/>
    <m/>
    <m/>
    <m/>
    <n v="2"/>
    <x v="1"/>
    <n v="1"/>
    <n v="0"/>
    <n v="0"/>
  </r>
  <r>
    <s v="LD3402"/>
    <d v="2024-05-19T00:00:00"/>
    <x v="3"/>
    <s v="Promo Blast"/>
    <s v="Desktop"/>
    <s v="North America"/>
    <s v="MQL"/>
    <m/>
    <m/>
    <m/>
    <n v="2"/>
    <x v="4"/>
    <n v="1"/>
    <n v="0"/>
    <n v="0"/>
  </r>
  <r>
    <s v="LD4875"/>
    <d v="2024-08-18T00:00:00"/>
    <x v="4"/>
    <s v="Partner Program"/>
    <s v="Desktop"/>
    <s v="Asia Pacific"/>
    <s v="MQL"/>
    <m/>
    <m/>
    <m/>
    <n v="2"/>
    <x v="6"/>
    <n v="1"/>
    <n v="0"/>
    <n v="0"/>
  </r>
  <r>
    <s v="LD2233"/>
    <d v="2024-03-17T00:00:00"/>
    <x v="3"/>
    <s v="Monthly Newsletter"/>
    <s v="Desktop"/>
    <s v="North America"/>
    <s v="Lead"/>
    <m/>
    <m/>
    <m/>
    <n v="1"/>
    <x v="8"/>
    <n v="0"/>
    <n v="0"/>
    <n v="0"/>
  </r>
  <r>
    <s v="LD3662"/>
    <d v="2024-06-27T00:00:00"/>
    <x v="1"/>
    <s v="Google Ads - Brand"/>
    <s v="Desktop"/>
    <s v="Europe"/>
    <s v="Lead"/>
    <m/>
    <m/>
    <m/>
    <n v="1"/>
    <x v="11"/>
    <n v="0"/>
    <n v="0"/>
    <n v="0"/>
  </r>
  <r>
    <s v="LD3818"/>
    <d v="2024-06-17T00:00:00"/>
    <x v="3"/>
    <s v="Promo Blast"/>
    <s v="Mobile"/>
    <s v="North America"/>
    <s v="Lead"/>
    <m/>
    <m/>
    <m/>
    <n v="1"/>
    <x v="11"/>
    <n v="0"/>
    <n v="0"/>
    <n v="0"/>
  </r>
  <r>
    <s v="LD7193"/>
    <d v="2024-12-03T00:00:00"/>
    <x v="5"/>
    <s v="Blog SEO"/>
    <s v="Desktop"/>
    <s v="North America"/>
    <s v="Customer"/>
    <n v="12"/>
    <s v="Basic"/>
    <n v="678.77"/>
    <n v="4"/>
    <x v="7"/>
    <n v="1"/>
    <n v="1"/>
    <n v="1"/>
  </r>
  <r>
    <s v="LD6460"/>
    <d v="2024-11-20T00:00:00"/>
    <x v="5"/>
    <s v="Landing Page SEO"/>
    <s v="Desktop"/>
    <s v="Latin America"/>
    <s v="MQL"/>
    <m/>
    <m/>
    <m/>
    <n v="2"/>
    <x v="2"/>
    <n v="1"/>
    <n v="0"/>
    <n v="0"/>
  </r>
  <r>
    <s v="LD5154"/>
    <d v="2024-09-23T00:00:00"/>
    <x v="1"/>
    <s v="Google Ads - Generic"/>
    <s v="Desktop"/>
    <s v="North America"/>
    <s v="Lead"/>
    <m/>
    <m/>
    <m/>
    <n v="1"/>
    <x v="9"/>
    <n v="0"/>
    <n v="0"/>
    <n v="0"/>
  </r>
  <r>
    <s v="LD6049"/>
    <d v="2024-10-01T00:00:00"/>
    <x v="3"/>
    <s v="Promo Blast"/>
    <s v="Desktop"/>
    <s v="Europe"/>
    <s v="Lead"/>
    <m/>
    <m/>
    <m/>
    <n v="1"/>
    <x v="5"/>
    <n v="0"/>
    <n v="0"/>
    <n v="0"/>
  </r>
  <r>
    <s v="LD4062"/>
    <d v="2024-07-04T00:00:00"/>
    <x v="5"/>
    <s v="Landing Page SEO"/>
    <s v="Desktop"/>
    <s v="Europe"/>
    <s v="Lead"/>
    <m/>
    <m/>
    <m/>
    <n v="1"/>
    <x v="0"/>
    <n v="0"/>
    <n v="0"/>
    <n v="0"/>
  </r>
  <r>
    <s v="LD6798"/>
    <d v="2024-11-18T00:00:00"/>
    <x v="3"/>
    <s v="Monthly Newsletter"/>
    <s v="Desktop"/>
    <s v="Europe"/>
    <s v="MQL"/>
    <m/>
    <m/>
    <m/>
    <n v="2"/>
    <x v="2"/>
    <n v="1"/>
    <n v="0"/>
    <n v="0"/>
  </r>
  <r>
    <s v="LD7711"/>
    <d v="2024-12-04T00:00:00"/>
    <x v="2"/>
    <s v="Direct / Type-in"/>
    <s v="Mobile"/>
    <s v="Europe"/>
    <s v="Lead"/>
    <m/>
    <m/>
    <m/>
    <n v="1"/>
    <x v="7"/>
    <n v="0"/>
    <n v="0"/>
    <n v="0"/>
  </r>
  <r>
    <s v="LD2736"/>
    <d v="2024-04-12T00:00:00"/>
    <x v="3"/>
    <s v="Monthly Newsletter"/>
    <s v="Mobile"/>
    <s v="North America"/>
    <s v="Customer"/>
    <n v="66"/>
    <s v="Pro"/>
    <n v="2625.46"/>
    <n v="4"/>
    <x v="1"/>
    <n v="1"/>
    <n v="1"/>
    <n v="1"/>
  </r>
  <r>
    <s v="LD3824"/>
    <d v="2024-06-16T00:00:00"/>
    <x v="3"/>
    <s v="Promo Blast"/>
    <s v="Desktop"/>
    <s v="Asia Pacific"/>
    <s v="SQL"/>
    <m/>
    <m/>
    <m/>
    <n v="3"/>
    <x v="11"/>
    <n v="1"/>
    <n v="1"/>
    <n v="0"/>
  </r>
  <r>
    <s v="LD6169"/>
    <d v="2024-10-16T00:00:00"/>
    <x v="4"/>
    <s v="Affiliate Program"/>
    <s v="Mobile"/>
    <s v="Asia Pacific"/>
    <s v="MQL"/>
    <m/>
    <m/>
    <m/>
    <n v="2"/>
    <x v="5"/>
    <n v="1"/>
    <n v="0"/>
    <n v="0"/>
  </r>
  <r>
    <s v="LD7404"/>
    <d v="2024-12-25T00:00:00"/>
    <x v="0"/>
    <s v="Instagram Ads"/>
    <s v="Desktop"/>
    <s v="Europe"/>
    <s v="Lead"/>
    <m/>
    <m/>
    <m/>
    <n v="1"/>
    <x v="7"/>
    <n v="0"/>
    <n v="0"/>
    <n v="0"/>
  </r>
  <r>
    <s v="LD3476"/>
    <d v="2024-05-10T00:00:00"/>
    <x v="4"/>
    <s v="Partner Program"/>
    <s v="Desktop"/>
    <s v="Asia Pacific"/>
    <s v="Lead"/>
    <m/>
    <m/>
    <m/>
    <n v="1"/>
    <x v="4"/>
    <n v="0"/>
    <n v="0"/>
    <n v="0"/>
  </r>
  <r>
    <s v="LD3565"/>
    <d v="2024-06-13T00:00:00"/>
    <x v="5"/>
    <s v="Landing Page SEO"/>
    <s v="Desktop"/>
    <s v="Asia Pacific"/>
    <s v="Lead"/>
    <m/>
    <m/>
    <m/>
    <n v="1"/>
    <x v="11"/>
    <n v="0"/>
    <n v="0"/>
    <n v="0"/>
  </r>
  <r>
    <s v="LD6712"/>
    <d v="2024-11-19T00:00:00"/>
    <x v="3"/>
    <s v="Promo Blast"/>
    <s v="Desktop"/>
    <s v="Asia Pacific"/>
    <s v="Customer"/>
    <n v="25"/>
    <s v="Basic"/>
    <n v="779.15"/>
    <n v="4"/>
    <x v="2"/>
    <n v="1"/>
    <n v="1"/>
    <n v="1"/>
  </r>
  <r>
    <s v="LD6244"/>
    <d v="2024-10-09T00:00:00"/>
    <x v="2"/>
    <s v="Direct / Type-in"/>
    <s v="Mobile"/>
    <s v="Europe"/>
    <s v="Lead"/>
    <m/>
    <m/>
    <m/>
    <n v="1"/>
    <x v="5"/>
    <n v="0"/>
    <n v="0"/>
    <n v="0"/>
  </r>
  <r>
    <s v="LD1708"/>
    <d v="2024-02-20T00:00:00"/>
    <x v="0"/>
    <s v="LinkedIn Ads"/>
    <s v="Desktop"/>
    <s v="Europe"/>
    <s v="Lead"/>
    <m/>
    <m/>
    <m/>
    <n v="1"/>
    <x v="10"/>
    <n v="0"/>
    <n v="0"/>
    <n v="0"/>
  </r>
  <r>
    <s v="LD4047"/>
    <d v="2024-07-17T00:00:00"/>
    <x v="5"/>
    <s v="Landing Page SEO"/>
    <s v="Mobile"/>
    <s v="North America"/>
    <s v="MQL"/>
    <m/>
    <m/>
    <m/>
    <n v="2"/>
    <x v="0"/>
    <n v="1"/>
    <n v="0"/>
    <n v="0"/>
  </r>
  <r>
    <s v="LD6789"/>
    <d v="2024-11-27T00:00:00"/>
    <x v="3"/>
    <s v="Promo Blast"/>
    <s v="Mobile"/>
    <s v="Europe"/>
    <s v="Lead"/>
    <m/>
    <m/>
    <m/>
    <n v="1"/>
    <x v="2"/>
    <n v="0"/>
    <n v="0"/>
    <n v="0"/>
  </r>
  <r>
    <s v="LD6175"/>
    <d v="2024-10-12T00:00:00"/>
    <x v="4"/>
    <s v="Partner Program"/>
    <s v="Mobile"/>
    <s v="Latin America"/>
    <s v="MQL"/>
    <m/>
    <m/>
    <m/>
    <n v="2"/>
    <x v="5"/>
    <n v="1"/>
    <n v="0"/>
    <n v="0"/>
  </r>
  <r>
    <s v="LD1073"/>
    <d v="2024-01-26T00:00:00"/>
    <x v="5"/>
    <s v="Blog SEO"/>
    <s v="Mobile"/>
    <s v="North America"/>
    <s v="Lead"/>
    <m/>
    <m/>
    <m/>
    <n v="1"/>
    <x v="3"/>
    <n v="0"/>
    <n v="0"/>
    <n v="0"/>
  </r>
  <r>
    <s v="LD5449"/>
    <d v="2024-09-04T00:00:00"/>
    <x v="3"/>
    <s v="Promo Blast"/>
    <s v="Mobile"/>
    <s v="Asia Pacific"/>
    <s v="Customer"/>
    <n v="58"/>
    <s v="Pro"/>
    <n v="2835.89"/>
    <n v="4"/>
    <x v="9"/>
    <n v="1"/>
    <n v="1"/>
    <n v="1"/>
  </r>
  <r>
    <s v="LD7342"/>
    <d v="2024-12-08T00:00:00"/>
    <x v="0"/>
    <s v="Facebook Ads"/>
    <s v="Desktop"/>
    <s v="Europe"/>
    <s v="MQL"/>
    <m/>
    <m/>
    <m/>
    <n v="2"/>
    <x v="7"/>
    <n v="1"/>
    <n v="0"/>
    <n v="0"/>
  </r>
  <r>
    <s v="LD2191"/>
    <d v="2024-03-15T00:00:00"/>
    <x v="0"/>
    <s v="LinkedIn Ads"/>
    <s v="Desktop"/>
    <s v="North America"/>
    <s v="Lead"/>
    <m/>
    <m/>
    <m/>
    <n v="1"/>
    <x v="8"/>
    <n v="0"/>
    <n v="0"/>
    <n v="0"/>
  </r>
  <r>
    <s v="LD3602"/>
    <d v="2024-06-28T00:00:00"/>
    <x v="5"/>
    <s v="Landing Page SEO"/>
    <s v="Desktop"/>
    <s v="Asia Pacific"/>
    <s v="Lead"/>
    <m/>
    <m/>
    <m/>
    <n v="1"/>
    <x v="11"/>
    <n v="0"/>
    <n v="0"/>
    <n v="0"/>
  </r>
  <r>
    <s v="LD2126"/>
    <d v="2024-03-19T00:00:00"/>
    <x v="1"/>
    <s v="Google Ads - Brand"/>
    <s v="Mobile"/>
    <s v="Asia Pacific"/>
    <s v="MQL"/>
    <m/>
    <m/>
    <m/>
    <n v="2"/>
    <x v="8"/>
    <n v="1"/>
    <n v="0"/>
    <n v="0"/>
  </r>
  <r>
    <s v="LD2242"/>
    <d v="2024-03-15T00:00:00"/>
    <x v="3"/>
    <s v="Promo Blast"/>
    <s v="Mobile"/>
    <s v="Latin America"/>
    <s v="Lead"/>
    <m/>
    <m/>
    <m/>
    <n v="1"/>
    <x v="8"/>
    <n v="0"/>
    <n v="0"/>
    <n v="0"/>
  </r>
  <r>
    <s v="LD7074"/>
    <d v="2024-11-25T00:00:00"/>
    <x v="2"/>
    <s v="Direct / Type-in"/>
    <s v="Desktop"/>
    <s v="Asia Pacific"/>
    <s v="Lead"/>
    <m/>
    <m/>
    <m/>
    <n v="1"/>
    <x v="2"/>
    <n v="0"/>
    <n v="0"/>
    <n v="0"/>
  </r>
  <r>
    <s v="LD6599"/>
    <d v="2024-11-08T00:00:00"/>
    <x v="0"/>
    <s v="Instagram Ads"/>
    <s v="Mobile"/>
    <s v="Asia Pacific"/>
    <s v="Lead"/>
    <m/>
    <m/>
    <m/>
    <n v="1"/>
    <x v="2"/>
    <n v="0"/>
    <n v="0"/>
    <n v="0"/>
  </r>
  <r>
    <s v="LD4352"/>
    <d v="2024-07-23T00:00:00"/>
    <x v="3"/>
    <s v="Promo Blast"/>
    <s v="Desktop"/>
    <s v="North America"/>
    <s v="Lead"/>
    <m/>
    <m/>
    <m/>
    <n v="1"/>
    <x v="0"/>
    <n v="0"/>
    <n v="0"/>
    <n v="0"/>
  </r>
  <r>
    <s v="LD5009"/>
    <d v="2024-08-28T00:00:00"/>
    <x v="2"/>
    <s v="Direct / Type-in"/>
    <s v="Mobile"/>
    <s v="Europe"/>
    <s v="Lead"/>
    <m/>
    <m/>
    <m/>
    <n v="1"/>
    <x v="6"/>
    <n v="0"/>
    <n v="0"/>
    <n v="0"/>
  </r>
  <r>
    <s v="LD2578"/>
    <d v="2024-04-03T00:00:00"/>
    <x v="1"/>
    <s v="Google Ads - Brand"/>
    <s v="Desktop"/>
    <s v="Europe"/>
    <s v="MQL"/>
    <m/>
    <m/>
    <m/>
    <n v="2"/>
    <x v="1"/>
    <n v="1"/>
    <n v="0"/>
    <n v="0"/>
  </r>
  <r>
    <s v="LD4907"/>
    <d v="2024-08-19T00:00:00"/>
    <x v="4"/>
    <s v="Partner Program"/>
    <s v="Desktop"/>
    <s v="North America"/>
    <s v="SQL"/>
    <m/>
    <m/>
    <m/>
    <n v="3"/>
    <x v="6"/>
    <n v="1"/>
    <n v="1"/>
    <n v="0"/>
  </r>
  <r>
    <s v="LD4730"/>
    <d v="2024-08-19T00:00:00"/>
    <x v="0"/>
    <s v="Instagram Ads"/>
    <s v="Mobile"/>
    <s v="Europe"/>
    <s v="MQL"/>
    <m/>
    <m/>
    <m/>
    <n v="2"/>
    <x v="6"/>
    <n v="1"/>
    <n v="0"/>
    <n v="0"/>
  </r>
  <r>
    <s v="LD5359"/>
    <d v="2024-09-03T00:00:00"/>
    <x v="3"/>
    <s v="Monthly Newsletter"/>
    <s v="Mobile"/>
    <s v="North America"/>
    <s v="SQL"/>
    <m/>
    <m/>
    <m/>
    <n v="3"/>
    <x v="9"/>
    <n v="1"/>
    <n v="1"/>
    <n v="0"/>
  </r>
  <r>
    <s v="LD2344"/>
    <d v="2024-03-11T00:00:00"/>
    <x v="4"/>
    <s v="Affiliate Program"/>
    <s v="Desktop"/>
    <s v="Europe"/>
    <s v="Lead"/>
    <m/>
    <m/>
    <m/>
    <n v="1"/>
    <x v="8"/>
    <n v="0"/>
    <n v="0"/>
    <n v="0"/>
  </r>
  <r>
    <s v="LD7766"/>
    <d v="2024-12-06T00:00:00"/>
    <x v="2"/>
    <s v="Direct / Type-in"/>
    <s v="Desktop"/>
    <s v="Europe"/>
    <s v="Lead"/>
    <m/>
    <m/>
    <m/>
    <n v="1"/>
    <x v="7"/>
    <n v="0"/>
    <n v="0"/>
    <n v="0"/>
  </r>
  <r>
    <s v="LD1441"/>
    <d v="2024-01-21T00:00:00"/>
    <x v="2"/>
    <s v="Direct / Type-in"/>
    <s v="Desktop"/>
    <s v="Europe"/>
    <s v="Lead"/>
    <m/>
    <m/>
    <m/>
    <n v="1"/>
    <x v="3"/>
    <n v="0"/>
    <n v="0"/>
    <n v="0"/>
  </r>
  <r>
    <s v="LD2101"/>
    <d v="2024-03-18T00:00:00"/>
    <x v="1"/>
    <s v="Google Ads - Generic"/>
    <s v="Mobile"/>
    <s v="Asia Pacific"/>
    <s v="Lead"/>
    <m/>
    <m/>
    <m/>
    <n v="1"/>
    <x v="8"/>
    <n v="0"/>
    <n v="0"/>
    <n v="0"/>
  </r>
  <r>
    <s v="LD3638"/>
    <d v="2024-06-18T00:00:00"/>
    <x v="5"/>
    <s v="Blog SEO"/>
    <s v="Mobile"/>
    <s v="Latin America"/>
    <s v="MQL"/>
    <m/>
    <m/>
    <m/>
    <n v="2"/>
    <x v="11"/>
    <n v="1"/>
    <n v="0"/>
    <n v="0"/>
  </r>
  <r>
    <s v="LD5775"/>
    <d v="2024-10-22T00:00:00"/>
    <x v="1"/>
    <s v="Google Ads - Generic"/>
    <s v="Mobile"/>
    <s v="North America"/>
    <s v="SQL"/>
    <m/>
    <m/>
    <m/>
    <n v="3"/>
    <x v="5"/>
    <n v="1"/>
    <n v="1"/>
    <n v="0"/>
  </r>
  <r>
    <s v="LD1650"/>
    <d v="2024-02-09T00:00:00"/>
    <x v="0"/>
    <s v="LinkedIn Ads"/>
    <s v="Desktop"/>
    <s v="North America"/>
    <s v="Lead"/>
    <m/>
    <m/>
    <m/>
    <n v="1"/>
    <x v="10"/>
    <n v="0"/>
    <n v="0"/>
    <n v="0"/>
  </r>
  <r>
    <s v="LD2547"/>
    <d v="2024-04-25T00:00:00"/>
    <x v="5"/>
    <s v="Blog SEO"/>
    <s v="Desktop"/>
    <s v="North America"/>
    <s v="Customer"/>
    <n v="70"/>
    <s v="Basic"/>
    <n v="873.28"/>
    <n v="4"/>
    <x v="1"/>
    <n v="1"/>
    <n v="1"/>
    <n v="1"/>
  </r>
  <r>
    <s v="LD6154"/>
    <d v="2024-10-13T00:00:00"/>
    <x v="4"/>
    <s v="Affiliate Program"/>
    <s v="Desktop"/>
    <s v="North America"/>
    <s v="MQL"/>
    <m/>
    <m/>
    <m/>
    <n v="2"/>
    <x v="5"/>
    <n v="1"/>
    <n v="0"/>
    <n v="0"/>
  </r>
  <r>
    <s v="LD7315"/>
    <d v="2024-12-06T00:00:00"/>
    <x v="1"/>
    <s v="Google Ads - Generic"/>
    <s v="Mobile"/>
    <s v="Latin America"/>
    <s v="Lead"/>
    <m/>
    <m/>
    <m/>
    <n v="1"/>
    <x v="7"/>
    <n v="0"/>
    <n v="0"/>
    <n v="0"/>
  </r>
  <r>
    <s v="LD3853"/>
    <d v="2024-06-19T00:00:00"/>
    <x v="3"/>
    <s v="Promo Blast"/>
    <s v="Mobile"/>
    <s v="North America"/>
    <s v="Customer"/>
    <n v="70"/>
    <s v="Pro"/>
    <n v="3285.73"/>
    <n v="4"/>
    <x v="11"/>
    <n v="1"/>
    <n v="1"/>
    <n v="1"/>
  </r>
  <r>
    <s v="LD4504"/>
    <d v="2024-08-27T00:00:00"/>
    <x v="5"/>
    <s v="Landing Page SEO"/>
    <s v="Mobile"/>
    <s v="North America"/>
    <s v="MQL"/>
    <m/>
    <m/>
    <m/>
    <n v="2"/>
    <x v="6"/>
    <n v="1"/>
    <n v="0"/>
    <n v="0"/>
  </r>
  <r>
    <s v="LD5883"/>
    <d v="2024-10-27T00:00:00"/>
    <x v="0"/>
    <s v="LinkedIn Ads"/>
    <s v="Desktop"/>
    <s v="North America"/>
    <s v="MQL"/>
    <m/>
    <m/>
    <m/>
    <n v="2"/>
    <x v="5"/>
    <n v="1"/>
    <n v="0"/>
    <n v="0"/>
  </r>
  <r>
    <s v="LD1631"/>
    <d v="2024-02-22T00:00:00"/>
    <x v="1"/>
    <s v="Google Ads - Generic"/>
    <s v="Desktop"/>
    <s v="North America"/>
    <s v="SQL"/>
    <m/>
    <m/>
    <m/>
    <n v="3"/>
    <x v="10"/>
    <n v="1"/>
    <n v="1"/>
    <n v="0"/>
  </r>
  <r>
    <s v="LD2250"/>
    <d v="2024-03-14T00:00:00"/>
    <x v="3"/>
    <s v="Promo Blast"/>
    <s v="Mobile"/>
    <s v="Europe"/>
    <s v="MQL"/>
    <m/>
    <m/>
    <m/>
    <n v="2"/>
    <x v="8"/>
    <n v="1"/>
    <n v="0"/>
    <n v="0"/>
  </r>
  <r>
    <s v="LD5631"/>
    <d v="2024-10-01T00:00:00"/>
    <x v="5"/>
    <s v="Landing Page SEO"/>
    <s v="Mobile"/>
    <s v="Europe"/>
    <s v="Lead"/>
    <m/>
    <m/>
    <m/>
    <n v="1"/>
    <x v="5"/>
    <n v="0"/>
    <n v="0"/>
    <n v="0"/>
  </r>
  <r>
    <s v="LD1483"/>
    <d v="2024-02-18T00:00:00"/>
    <x v="5"/>
    <s v="Landing Page SEO"/>
    <s v="Desktop"/>
    <s v="Europe"/>
    <s v="Lead"/>
    <m/>
    <m/>
    <m/>
    <n v="1"/>
    <x v="10"/>
    <n v="0"/>
    <n v="0"/>
    <n v="0"/>
  </r>
  <r>
    <s v="LD2585"/>
    <d v="2024-04-10T00:00:00"/>
    <x v="1"/>
    <s v="Google Ads - Brand"/>
    <s v="Tablet"/>
    <s v="North America"/>
    <s v="Lead"/>
    <m/>
    <m/>
    <m/>
    <n v="1"/>
    <x v="1"/>
    <n v="0"/>
    <n v="0"/>
    <n v="0"/>
  </r>
  <r>
    <s v="LD2463"/>
    <d v="2024-03-06T00:00:00"/>
    <x v="2"/>
    <s v="Direct / Type-in"/>
    <s v="Desktop"/>
    <s v="North America"/>
    <s v="Lead"/>
    <m/>
    <m/>
    <m/>
    <n v="1"/>
    <x v="8"/>
    <n v="0"/>
    <n v="0"/>
    <n v="0"/>
  </r>
  <r>
    <s v="LD4041"/>
    <d v="2024-06-08T00:00:00"/>
    <x v="2"/>
    <s v="Direct / Type-in"/>
    <s v="Desktop"/>
    <s v="North America"/>
    <s v="Lead"/>
    <m/>
    <m/>
    <m/>
    <n v="1"/>
    <x v="11"/>
    <n v="0"/>
    <n v="0"/>
    <n v="0"/>
  </r>
  <r>
    <s v="LD6215"/>
    <d v="2024-10-12T00:00:00"/>
    <x v="4"/>
    <s v="Affiliate Program"/>
    <s v="Desktop"/>
    <s v="North America"/>
    <s v="SQL"/>
    <m/>
    <m/>
    <m/>
    <n v="3"/>
    <x v="5"/>
    <n v="1"/>
    <n v="1"/>
    <n v="0"/>
  </r>
  <r>
    <s v="LD4274"/>
    <d v="2024-07-13T00:00:00"/>
    <x v="3"/>
    <s v="Promo Blast"/>
    <s v="Desktop"/>
    <s v="Europe"/>
    <s v="SQL"/>
    <m/>
    <m/>
    <m/>
    <n v="3"/>
    <x v="0"/>
    <n v="1"/>
    <n v="1"/>
    <n v="0"/>
  </r>
  <r>
    <s v="LD4684"/>
    <d v="2024-08-28T00:00:00"/>
    <x v="0"/>
    <s v="Facebook Ads"/>
    <s v="Desktop"/>
    <s v="Europe"/>
    <s v="Lead"/>
    <m/>
    <m/>
    <m/>
    <n v="1"/>
    <x v="6"/>
    <n v="0"/>
    <n v="0"/>
    <n v="0"/>
  </r>
  <r>
    <s v="LD5146"/>
    <d v="2024-09-22T00:00:00"/>
    <x v="1"/>
    <s v="Google Ads - Generic"/>
    <s v="Desktop"/>
    <s v="Europe"/>
    <s v="Customer"/>
    <n v="51"/>
    <s v="Basic"/>
    <n v="547.89"/>
    <n v="4"/>
    <x v="9"/>
    <n v="1"/>
    <n v="1"/>
    <n v="1"/>
  </r>
  <r>
    <s v="LD5774"/>
    <d v="2024-10-04T00:00:00"/>
    <x v="1"/>
    <s v="Google Ads - Generic"/>
    <s v="Mobile"/>
    <s v="North America"/>
    <s v="Lead"/>
    <m/>
    <m/>
    <m/>
    <n v="1"/>
    <x v="5"/>
    <n v="0"/>
    <n v="0"/>
    <n v="0"/>
  </r>
  <r>
    <s v="LD4226"/>
    <d v="2024-07-26T00:00:00"/>
    <x v="0"/>
    <s v="Facebook Ads"/>
    <s v="Desktop"/>
    <s v="Europe"/>
    <s v="Lead"/>
    <m/>
    <m/>
    <m/>
    <n v="1"/>
    <x v="0"/>
    <n v="0"/>
    <n v="0"/>
    <n v="0"/>
  </r>
  <r>
    <s v="LD2073"/>
    <d v="2024-03-22T00:00:00"/>
    <x v="1"/>
    <s v="Google Ads - Generic"/>
    <s v="Tablet"/>
    <s v="North America"/>
    <s v="Lead"/>
    <m/>
    <m/>
    <m/>
    <n v="1"/>
    <x v="8"/>
    <n v="0"/>
    <n v="0"/>
    <n v="0"/>
  </r>
  <r>
    <s v="LD3632"/>
    <d v="2024-06-17T00:00:00"/>
    <x v="5"/>
    <s v="Landing Page SEO"/>
    <s v="Desktop"/>
    <s v="North America"/>
    <s v="Customer"/>
    <n v="8"/>
    <s v="Basic"/>
    <n v="1262.6300000000001"/>
    <n v="4"/>
    <x v="11"/>
    <n v="1"/>
    <n v="1"/>
    <n v="1"/>
  </r>
  <r>
    <s v="LD2661"/>
    <d v="2024-04-21T00:00:00"/>
    <x v="1"/>
    <s v="Google Ads - Brand"/>
    <s v="Tablet"/>
    <s v="Latin America"/>
    <s v="Lead"/>
    <m/>
    <m/>
    <m/>
    <n v="1"/>
    <x v="1"/>
    <n v="0"/>
    <n v="0"/>
    <n v="0"/>
  </r>
  <r>
    <s v="LD3426"/>
    <d v="2024-05-18T00:00:00"/>
    <x v="3"/>
    <s v="Monthly Newsletter"/>
    <s v="Desktop"/>
    <s v="Europe"/>
    <s v="MQL"/>
    <m/>
    <m/>
    <m/>
    <n v="2"/>
    <x v="4"/>
    <n v="1"/>
    <n v="0"/>
    <n v="0"/>
  </r>
  <r>
    <s v="LD6718"/>
    <d v="2024-11-08T00:00:00"/>
    <x v="3"/>
    <s v="Promo Blast"/>
    <s v="Desktop"/>
    <s v="Europe"/>
    <s v="SQL"/>
    <m/>
    <m/>
    <m/>
    <n v="3"/>
    <x v="2"/>
    <n v="1"/>
    <n v="1"/>
    <n v="0"/>
  </r>
  <r>
    <s v="LD4098"/>
    <d v="2024-07-26T00:00:00"/>
    <x v="5"/>
    <s v="Landing Page SEO"/>
    <s v="Desktop"/>
    <s v="Europe"/>
    <s v="Lead"/>
    <m/>
    <m/>
    <m/>
    <n v="1"/>
    <x v="0"/>
    <n v="0"/>
    <n v="0"/>
    <n v="0"/>
  </r>
  <r>
    <s v="LD4977"/>
    <d v="2024-08-07T00:00:00"/>
    <x v="2"/>
    <s v="Direct / Type-in"/>
    <s v="Desktop"/>
    <s v="Asia Pacific"/>
    <s v="MQL"/>
    <m/>
    <m/>
    <m/>
    <n v="2"/>
    <x v="6"/>
    <n v="1"/>
    <n v="0"/>
    <n v="0"/>
  </r>
  <r>
    <s v="LD7068"/>
    <d v="2024-11-19T00:00:00"/>
    <x v="2"/>
    <s v="Direct / Type-in"/>
    <s v="Mobile"/>
    <s v="Europe"/>
    <s v="Lead"/>
    <m/>
    <m/>
    <m/>
    <n v="1"/>
    <x v="2"/>
    <n v="0"/>
    <n v="0"/>
    <n v="0"/>
  </r>
  <r>
    <s v="LD7438"/>
    <d v="2024-12-22T00:00:00"/>
    <x v="3"/>
    <s v="Monthly Newsletter"/>
    <s v="Desktop"/>
    <s v="North America"/>
    <s v="Lead"/>
    <m/>
    <m/>
    <m/>
    <n v="1"/>
    <x v="7"/>
    <n v="0"/>
    <n v="0"/>
    <n v="0"/>
  </r>
  <r>
    <s v="LD5818"/>
    <d v="2024-10-12T00:00:00"/>
    <x v="1"/>
    <s v="Google Ads - Generic"/>
    <s v="Desktop"/>
    <s v="Asia Pacific"/>
    <s v="Lead"/>
    <m/>
    <m/>
    <m/>
    <n v="1"/>
    <x v="5"/>
    <n v="0"/>
    <n v="0"/>
    <n v="0"/>
  </r>
  <r>
    <s v="LD6375"/>
    <d v="2024-11-06T00:00:00"/>
    <x v="5"/>
    <s v="Landing Page SEO"/>
    <s v="Desktop"/>
    <s v="Asia Pacific"/>
    <s v="Lead"/>
    <m/>
    <m/>
    <m/>
    <n v="1"/>
    <x v="2"/>
    <n v="0"/>
    <n v="0"/>
    <n v="0"/>
  </r>
  <r>
    <s v="LD2409"/>
    <d v="2024-03-28T00:00:00"/>
    <x v="2"/>
    <s v="Direct / Type-in"/>
    <s v="Desktop"/>
    <s v="North America"/>
    <s v="MQL"/>
    <m/>
    <m/>
    <m/>
    <n v="2"/>
    <x v="8"/>
    <n v="1"/>
    <n v="0"/>
    <n v="0"/>
  </r>
  <r>
    <s v="LD2846"/>
    <d v="2024-04-23T00:00:00"/>
    <x v="3"/>
    <s v="Monthly Newsletter"/>
    <s v="Desktop"/>
    <s v="North America"/>
    <s v="SQL"/>
    <m/>
    <m/>
    <m/>
    <n v="3"/>
    <x v="1"/>
    <n v="1"/>
    <n v="1"/>
    <n v="0"/>
  </r>
  <r>
    <s v="LD2799"/>
    <d v="2024-04-04T00:00:00"/>
    <x v="3"/>
    <s v="Promo Blast"/>
    <s v="Mobile"/>
    <s v="Asia Pacific"/>
    <s v="MQL"/>
    <m/>
    <m/>
    <m/>
    <n v="2"/>
    <x v="1"/>
    <n v="1"/>
    <n v="0"/>
    <n v="0"/>
  </r>
  <r>
    <s v="LD4958"/>
    <d v="2024-08-02T00:00:00"/>
    <x v="2"/>
    <s v="Direct / Type-in"/>
    <s v="Desktop"/>
    <s v="Latin America"/>
    <s v="SQL"/>
    <m/>
    <m/>
    <m/>
    <n v="3"/>
    <x v="6"/>
    <n v="1"/>
    <n v="1"/>
    <n v="0"/>
  </r>
  <r>
    <s v="LD2476"/>
    <d v="2024-03-11T00:00:00"/>
    <x v="2"/>
    <s v="Direct / Type-in"/>
    <s v="Desktop"/>
    <s v="Europe"/>
    <s v="Lead"/>
    <m/>
    <m/>
    <m/>
    <n v="1"/>
    <x v="8"/>
    <n v="0"/>
    <n v="0"/>
    <n v="0"/>
  </r>
  <r>
    <s v="LD1036"/>
    <d v="2024-01-28T00:00:00"/>
    <x v="5"/>
    <s v="Blog SEO"/>
    <s v="Desktop"/>
    <s v="Asia Pacific"/>
    <s v="Lead"/>
    <m/>
    <m/>
    <m/>
    <n v="1"/>
    <x v="3"/>
    <n v="0"/>
    <n v="0"/>
    <n v="0"/>
  </r>
  <r>
    <s v="LD1445"/>
    <d v="2024-01-27T00:00:00"/>
    <x v="2"/>
    <s v="Direct / Type-in"/>
    <s v="Desktop"/>
    <s v="Asia Pacific"/>
    <s v="Lead"/>
    <m/>
    <m/>
    <m/>
    <n v="1"/>
    <x v="3"/>
    <n v="0"/>
    <n v="0"/>
    <n v="0"/>
  </r>
  <r>
    <s v="LD3360"/>
    <d v="2024-05-14T00:00:00"/>
    <x v="3"/>
    <s v="Monthly Newsletter"/>
    <s v="Mobile"/>
    <s v="Asia Pacific"/>
    <s v="MQL"/>
    <m/>
    <m/>
    <m/>
    <n v="2"/>
    <x v="4"/>
    <n v="1"/>
    <n v="0"/>
    <n v="0"/>
  </r>
  <r>
    <s v="LD4655"/>
    <d v="2024-08-15T00:00:00"/>
    <x v="1"/>
    <s v="Google Ads - Generic"/>
    <s v="Mobile"/>
    <s v="North America"/>
    <s v="MQL"/>
    <m/>
    <m/>
    <m/>
    <n v="2"/>
    <x v="6"/>
    <n v="1"/>
    <n v="0"/>
    <n v="0"/>
  </r>
  <r>
    <s v="LD4180"/>
    <d v="2024-07-05T00:00:00"/>
    <x v="1"/>
    <s v="Google Ads - Brand"/>
    <s v="Desktop"/>
    <s v="North America"/>
    <s v="Lead"/>
    <m/>
    <m/>
    <m/>
    <n v="1"/>
    <x v="0"/>
    <n v="0"/>
    <n v="0"/>
    <n v="0"/>
  </r>
  <r>
    <s v="LD2287"/>
    <d v="2024-03-19T00:00:00"/>
    <x v="3"/>
    <s v="Monthly Newsletter"/>
    <s v="Desktop"/>
    <s v="North America"/>
    <s v="Lead"/>
    <m/>
    <m/>
    <m/>
    <n v="1"/>
    <x v="8"/>
    <n v="0"/>
    <n v="0"/>
    <n v="0"/>
  </r>
  <r>
    <s v="LD6024"/>
    <d v="2024-10-05T00:00:00"/>
    <x v="3"/>
    <s v="Promo Blast"/>
    <s v="Mobile"/>
    <s v="Asia Pacific"/>
    <s v="MQL"/>
    <m/>
    <m/>
    <m/>
    <n v="2"/>
    <x v="5"/>
    <n v="1"/>
    <n v="0"/>
    <n v="0"/>
  </r>
  <r>
    <s v="LD5446"/>
    <d v="2024-09-25T00:00:00"/>
    <x v="3"/>
    <s v="Monthly Newsletter"/>
    <s v="Mobile"/>
    <s v="Asia Pacific"/>
    <s v="SQL"/>
    <m/>
    <m/>
    <m/>
    <n v="3"/>
    <x v="9"/>
    <n v="1"/>
    <n v="1"/>
    <n v="0"/>
  </r>
  <r>
    <s v="LD4417"/>
    <d v="2024-07-10T00:00:00"/>
    <x v="4"/>
    <s v="Affiliate Program"/>
    <s v="Mobile"/>
    <s v="North America"/>
    <s v="MQL"/>
    <m/>
    <m/>
    <m/>
    <n v="2"/>
    <x v="0"/>
    <n v="1"/>
    <n v="0"/>
    <n v="0"/>
  </r>
  <r>
    <s v="LD3138"/>
    <d v="2024-05-13T00:00:00"/>
    <x v="1"/>
    <s v="Google Ads - Brand"/>
    <s v="Desktop"/>
    <s v="North America"/>
    <s v="MQL"/>
    <m/>
    <m/>
    <m/>
    <n v="2"/>
    <x v="4"/>
    <n v="1"/>
    <n v="0"/>
    <n v="0"/>
  </r>
  <r>
    <s v="LD3637"/>
    <d v="2024-06-04T00:00:00"/>
    <x v="5"/>
    <s v="Blog SEO"/>
    <s v="Mobile"/>
    <s v="North America"/>
    <s v="MQL"/>
    <m/>
    <m/>
    <m/>
    <n v="2"/>
    <x v="11"/>
    <n v="1"/>
    <n v="0"/>
    <n v="0"/>
  </r>
  <r>
    <s v="LD5017"/>
    <d v="2024-08-17T00:00:00"/>
    <x v="2"/>
    <s v="Direct / Type-in"/>
    <s v="Mobile"/>
    <s v="North America"/>
    <s v="SQL"/>
    <m/>
    <m/>
    <m/>
    <n v="3"/>
    <x v="6"/>
    <n v="1"/>
    <n v="1"/>
    <n v="0"/>
  </r>
  <r>
    <s v="LD7555"/>
    <d v="2024-12-15T00:00:00"/>
    <x v="3"/>
    <s v="Promo Blast"/>
    <s v="Desktop"/>
    <s v="North America"/>
    <s v="Lead"/>
    <m/>
    <m/>
    <m/>
    <n v="1"/>
    <x v="7"/>
    <n v="0"/>
    <n v="0"/>
    <n v="0"/>
  </r>
  <r>
    <s v="LD2682"/>
    <d v="2024-04-27T00:00:00"/>
    <x v="0"/>
    <s v="LinkedIn Ads"/>
    <s v="Mobile"/>
    <s v="Europe"/>
    <s v="SQL"/>
    <m/>
    <m/>
    <m/>
    <n v="3"/>
    <x v="1"/>
    <n v="1"/>
    <n v="1"/>
    <n v="0"/>
  </r>
  <r>
    <s v="LD5933"/>
    <d v="2024-10-23T00:00:00"/>
    <x v="0"/>
    <s v="LinkedIn Ads"/>
    <s v="Desktop"/>
    <s v="Europe"/>
    <s v="MQL"/>
    <m/>
    <m/>
    <m/>
    <n v="2"/>
    <x v="5"/>
    <n v="1"/>
    <n v="0"/>
    <n v="0"/>
  </r>
  <r>
    <s v="LD2693"/>
    <d v="2024-04-28T00:00:00"/>
    <x v="0"/>
    <s v="LinkedIn Ads"/>
    <s v="Mobile"/>
    <s v="North America"/>
    <s v="MQL"/>
    <m/>
    <m/>
    <m/>
    <n v="2"/>
    <x v="1"/>
    <n v="1"/>
    <n v="0"/>
    <n v="0"/>
  </r>
  <r>
    <s v="LD7484"/>
    <d v="2024-12-05T00:00:00"/>
    <x v="3"/>
    <s v="Promo Blast"/>
    <s v="Desktop"/>
    <s v="North America"/>
    <s v="MQL"/>
    <m/>
    <m/>
    <m/>
    <n v="2"/>
    <x v="7"/>
    <n v="1"/>
    <n v="0"/>
    <n v="0"/>
  </r>
  <r>
    <s v="LD6419"/>
    <d v="2024-11-07T00:00:00"/>
    <x v="5"/>
    <s v="Landing Page SEO"/>
    <s v="Mobile"/>
    <s v="North America"/>
    <s v="Lead"/>
    <m/>
    <m/>
    <m/>
    <n v="1"/>
    <x v="2"/>
    <n v="0"/>
    <n v="0"/>
    <n v="0"/>
  </r>
  <r>
    <s v="LD4636"/>
    <d v="2024-08-27T00:00:00"/>
    <x v="1"/>
    <s v="Google Ads - Generic"/>
    <s v="Mobile"/>
    <s v="North America"/>
    <s v="Lead"/>
    <m/>
    <m/>
    <m/>
    <n v="1"/>
    <x v="6"/>
    <n v="0"/>
    <n v="0"/>
    <n v="0"/>
  </r>
  <r>
    <s v="LD1373"/>
    <d v="2024-01-16T00:00:00"/>
    <x v="4"/>
    <s v="Partner Program"/>
    <s v="Tablet"/>
    <s v="Latin America"/>
    <s v="Lead"/>
    <m/>
    <m/>
    <m/>
    <n v="1"/>
    <x v="3"/>
    <n v="0"/>
    <n v="0"/>
    <n v="0"/>
  </r>
  <r>
    <s v="LD6301"/>
    <d v="2024-10-03T00:00:00"/>
    <x v="2"/>
    <s v="Direct / Type-in"/>
    <s v="Mobile"/>
    <s v="Europe"/>
    <s v="SQL"/>
    <m/>
    <m/>
    <m/>
    <n v="3"/>
    <x v="5"/>
    <n v="1"/>
    <n v="1"/>
    <n v="0"/>
  </r>
  <r>
    <s v="LD7424"/>
    <d v="2024-12-14T00:00:00"/>
    <x v="0"/>
    <s v="Instagram Ads"/>
    <s v="Desktop"/>
    <s v="North America"/>
    <s v="Lead"/>
    <m/>
    <m/>
    <m/>
    <n v="1"/>
    <x v="7"/>
    <n v="0"/>
    <n v="0"/>
    <n v="0"/>
  </r>
  <r>
    <s v="LD1141"/>
    <d v="2024-01-17T00:00:00"/>
    <x v="1"/>
    <s v="Google Ads - Brand"/>
    <s v="Mobile"/>
    <s v="Europe"/>
    <s v="Lead"/>
    <m/>
    <m/>
    <m/>
    <n v="1"/>
    <x v="3"/>
    <n v="0"/>
    <n v="0"/>
    <n v="0"/>
  </r>
  <r>
    <s v="LD5420"/>
    <d v="2024-09-03T00:00:00"/>
    <x v="3"/>
    <s v="Monthly Newsletter"/>
    <s v="Mobile"/>
    <s v="Asia Pacific"/>
    <s v="Lead"/>
    <m/>
    <m/>
    <m/>
    <n v="1"/>
    <x v="9"/>
    <n v="0"/>
    <n v="0"/>
    <n v="0"/>
  </r>
  <r>
    <s v="LD7316"/>
    <d v="2024-12-24T00:00:00"/>
    <x v="1"/>
    <s v="Google Ads - Generic"/>
    <s v="Desktop"/>
    <s v="North America"/>
    <s v="MQL"/>
    <m/>
    <m/>
    <m/>
    <n v="2"/>
    <x v="7"/>
    <n v="1"/>
    <n v="0"/>
    <n v="0"/>
  </r>
  <r>
    <s v="LD6577"/>
    <d v="2024-11-20T00:00:00"/>
    <x v="1"/>
    <s v="Google Ads - Brand"/>
    <s v="Desktop"/>
    <s v="Europe"/>
    <s v="Lead"/>
    <m/>
    <m/>
    <m/>
    <n v="1"/>
    <x v="2"/>
    <n v="0"/>
    <n v="0"/>
    <n v="0"/>
  </r>
  <r>
    <s v="LD1715"/>
    <d v="2024-02-07T00:00:00"/>
    <x v="3"/>
    <s v="Monthly Newsletter"/>
    <s v="Mobile"/>
    <s v="Europe"/>
    <s v="Lead"/>
    <m/>
    <m/>
    <m/>
    <n v="1"/>
    <x v="10"/>
    <n v="0"/>
    <n v="0"/>
    <n v="0"/>
  </r>
  <r>
    <s v="LD4189"/>
    <d v="2024-07-08T00:00:00"/>
    <x v="1"/>
    <s v="Google Ads - Brand"/>
    <s v="Desktop"/>
    <s v="North America"/>
    <s v="Lead"/>
    <m/>
    <m/>
    <m/>
    <n v="1"/>
    <x v="0"/>
    <n v="0"/>
    <n v="0"/>
    <n v="0"/>
  </r>
  <r>
    <s v="LD6986"/>
    <d v="2024-11-03T00:00:00"/>
    <x v="4"/>
    <s v="Affiliate Program"/>
    <s v="Mobile"/>
    <s v="Europe"/>
    <s v="Customer"/>
    <n v="31"/>
    <s v="Basic"/>
    <n v="953.18"/>
    <n v="4"/>
    <x v="2"/>
    <n v="1"/>
    <n v="1"/>
    <n v="1"/>
  </r>
  <r>
    <s v="LD5432"/>
    <d v="2024-09-02T00:00:00"/>
    <x v="3"/>
    <s v="Monthly Newsletter"/>
    <s v="Mobile"/>
    <s v="North America"/>
    <s v="MQL"/>
    <m/>
    <m/>
    <m/>
    <n v="2"/>
    <x v="9"/>
    <n v="1"/>
    <n v="0"/>
    <n v="0"/>
  </r>
  <r>
    <s v="LD5742"/>
    <d v="2024-10-04T00:00:00"/>
    <x v="1"/>
    <s v="Google Ads - Brand"/>
    <s v="Desktop"/>
    <s v="Europe"/>
    <s v="Lead"/>
    <m/>
    <m/>
    <m/>
    <n v="1"/>
    <x v="5"/>
    <n v="0"/>
    <n v="0"/>
    <n v="0"/>
  </r>
  <r>
    <s v="LD1407"/>
    <d v="2024-01-20T00:00:00"/>
    <x v="4"/>
    <s v="Affiliate Program"/>
    <s v="Mobile"/>
    <s v="North America"/>
    <s v="MQL"/>
    <m/>
    <m/>
    <m/>
    <n v="2"/>
    <x v="3"/>
    <n v="1"/>
    <n v="0"/>
    <n v="0"/>
  </r>
  <r>
    <s v="LD1021"/>
    <d v="2024-01-24T00:00:00"/>
    <x v="5"/>
    <s v="Landing Page SEO"/>
    <s v="Tablet"/>
    <s v="Asia Pacific"/>
    <s v="SQL"/>
    <m/>
    <m/>
    <m/>
    <n v="3"/>
    <x v="3"/>
    <n v="1"/>
    <n v="1"/>
    <n v="0"/>
  </r>
  <r>
    <s v="LD2005"/>
    <d v="2024-03-27T00:00:00"/>
    <x v="5"/>
    <s v="Landing Page SEO"/>
    <s v="Desktop"/>
    <s v="Europe"/>
    <s v="Lead"/>
    <m/>
    <m/>
    <m/>
    <n v="1"/>
    <x v="8"/>
    <n v="0"/>
    <n v="0"/>
    <n v="0"/>
  </r>
  <r>
    <s v="LD3412"/>
    <d v="2024-05-14T00:00:00"/>
    <x v="3"/>
    <s v="Monthly Newsletter"/>
    <s v="Tablet"/>
    <s v="Europe"/>
    <s v="SQL"/>
    <m/>
    <m/>
    <m/>
    <n v="3"/>
    <x v="4"/>
    <n v="1"/>
    <n v="1"/>
    <n v="0"/>
  </r>
  <r>
    <s v="LD3546"/>
    <d v="2024-05-08T00:00:00"/>
    <x v="2"/>
    <s v="Direct / Type-in"/>
    <s v="Desktop"/>
    <s v="Asia Pacific"/>
    <s v="MQL"/>
    <m/>
    <m/>
    <m/>
    <n v="2"/>
    <x v="4"/>
    <n v="1"/>
    <n v="0"/>
    <n v="0"/>
  </r>
  <r>
    <s v="LD3391"/>
    <d v="2024-05-08T00:00:00"/>
    <x v="3"/>
    <s v="Promo Blast"/>
    <s v="Desktop"/>
    <s v="North America"/>
    <s v="SQL"/>
    <m/>
    <m/>
    <m/>
    <n v="3"/>
    <x v="4"/>
    <n v="1"/>
    <n v="1"/>
    <n v="0"/>
  </r>
  <r>
    <s v="LD6448"/>
    <d v="2024-11-10T00:00:00"/>
    <x v="5"/>
    <s v="Blog SEO"/>
    <s v="Desktop"/>
    <s v="Europe"/>
    <s v="SQL"/>
    <m/>
    <m/>
    <m/>
    <n v="3"/>
    <x v="2"/>
    <n v="1"/>
    <n v="1"/>
    <n v="0"/>
  </r>
  <r>
    <s v="LD1043"/>
    <d v="2024-01-03T00:00:00"/>
    <x v="5"/>
    <s v="Blog SEO"/>
    <s v="Mobile"/>
    <s v="North America"/>
    <s v="MQL"/>
    <m/>
    <m/>
    <m/>
    <n v="2"/>
    <x v="3"/>
    <n v="1"/>
    <n v="0"/>
    <n v="0"/>
  </r>
  <r>
    <s v="LD3831"/>
    <d v="2024-06-15T00:00:00"/>
    <x v="3"/>
    <s v="Promo Blast"/>
    <s v="Desktop"/>
    <s v="North America"/>
    <s v="Lead"/>
    <m/>
    <m/>
    <m/>
    <n v="1"/>
    <x v="11"/>
    <n v="0"/>
    <n v="0"/>
    <n v="0"/>
  </r>
  <r>
    <s v="LD4372"/>
    <d v="2024-07-14T00:00:00"/>
    <x v="4"/>
    <s v="Affiliate Program"/>
    <s v="Desktop"/>
    <s v="Europe"/>
    <s v="Customer"/>
    <n v="32"/>
    <s v="Pro"/>
    <n v="3387.34"/>
    <n v="4"/>
    <x v="0"/>
    <n v="1"/>
    <n v="1"/>
    <n v="1"/>
  </r>
  <r>
    <s v="LD4023"/>
    <d v="2024-06-21T00:00:00"/>
    <x v="2"/>
    <s v="Direct / Type-in"/>
    <s v="Desktop"/>
    <s v="North America"/>
    <s v="Lead"/>
    <m/>
    <m/>
    <m/>
    <n v="1"/>
    <x v="11"/>
    <n v="0"/>
    <n v="0"/>
    <n v="0"/>
  </r>
  <r>
    <s v="LD4365"/>
    <d v="2024-07-10T00:00:00"/>
    <x v="3"/>
    <s v="Promo Blast"/>
    <s v="Mobile"/>
    <s v="Asia Pacific"/>
    <s v="Customer"/>
    <n v="44"/>
    <s v="Pro"/>
    <n v="1891.28"/>
    <n v="4"/>
    <x v="0"/>
    <n v="1"/>
    <n v="1"/>
    <n v="1"/>
  </r>
  <r>
    <s v="LD5400"/>
    <d v="2024-09-12T00:00:00"/>
    <x v="3"/>
    <s v="Promo Blast"/>
    <s v="Desktop"/>
    <s v="North America"/>
    <s v="Lead"/>
    <m/>
    <m/>
    <m/>
    <n v="1"/>
    <x v="9"/>
    <n v="0"/>
    <n v="0"/>
    <n v="0"/>
  </r>
  <r>
    <s v="LD1012"/>
    <d v="2024-01-08T00:00:00"/>
    <x v="5"/>
    <s v="Blog SEO"/>
    <s v="Mobile"/>
    <s v="North America"/>
    <s v="MQL"/>
    <m/>
    <m/>
    <m/>
    <n v="2"/>
    <x v="3"/>
    <n v="1"/>
    <n v="0"/>
    <n v="0"/>
  </r>
  <r>
    <s v="LD2178"/>
    <d v="2024-03-12T00:00:00"/>
    <x v="0"/>
    <s v="LinkedIn Ads"/>
    <s v="Tablet"/>
    <s v="North America"/>
    <s v="Lead"/>
    <m/>
    <m/>
    <m/>
    <n v="1"/>
    <x v="8"/>
    <n v="0"/>
    <n v="0"/>
    <n v="0"/>
  </r>
  <r>
    <s v="LD2948"/>
    <d v="2024-04-17T00:00:00"/>
    <x v="4"/>
    <s v="Partner Program"/>
    <s v="Desktop"/>
    <s v="Europe"/>
    <s v="MQL"/>
    <m/>
    <m/>
    <m/>
    <n v="2"/>
    <x v="1"/>
    <n v="1"/>
    <n v="0"/>
    <n v="0"/>
  </r>
  <r>
    <s v="LD3502"/>
    <d v="2024-05-15T00:00:00"/>
    <x v="4"/>
    <s v="Partner Program"/>
    <s v="Desktop"/>
    <s v="Asia Pacific"/>
    <s v="MQL"/>
    <m/>
    <m/>
    <m/>
    <n v="2"/>
    <x v="4"/>
    <n v="1"/>
    <n v="0"/>
    <n v="0"/>
  </r>
  <r>
    <s v="LD3864"/>
    <d v="2024-06-10T00:00:00"/>
    <x v="3"/>
    <s v="Promo Blast"/>
    <s v="Desktop"/>
    <s v="North America"/>
    <s v="MQL"/>
    <m/>
    <m/>
    <m/>
    <n v="2"/>
    <x v="11"/>
    <n v="1"/>
    <n v="0"/>
    <n v="0"/>
  </r>
  <r>
    <s v="LD4866"/>
    <d v="2024-08-24T00:00:00"/>
    <x v="3"/>
    <s v="Monthly Newsletter"/>
    <s v="Mobile"/>
    <s v="Europe"/>
    <s v="Customer"/>
    <n v="50"/>
    <s v="Basic"/>
    <n v="1401.3"/>
    <n v="4"/>
    <x v="6"/>
    <n v="1"/>
    <n v="1"/>
    <n v="1"/>
  </r>
  <r>
    <s v="LD2027"/>
    <d v="2024-03-04T00:00:00"/>
    <x v="5"/>
    <s v="Landing Page SEO"/>
    <s v="Mobile"/>
    <s v="Latin America"/>
    <s v="MQL"/>
    <m/>
    <m/>
    <m/>
    <n v="2"/>
    <x v="8"/>
    <n v="1"/>
    <n v="0"/>
    <n v="0"/>
  </r>
  <r>
    <s v="LD4849"/>
    <d v="2024-08-27T00:00:00"/>
    <x v="3"/>
    <s v="Monthly Newsletter"/>
    <s v="Mobile"/>
    <s v="Europe"/>
    <s v="Customer"/>
    <n v="30"/>
    <s v="Pro"/>
    <n v="4481.24"/>
    <n v="4"/>
    <x v="6"/>
    <n v="1"/>
    <n v="1"/>
    <n v="1"/>
  </r>
  <r>
    <s v="LD3990"/>
    <d v="2024-06-26T00:00:00"/>
    <x v="2"/>
    <s v="Direct / Type-in"/>
    <s v="Desktop"/>
    <s v="North America"/>
    <s v="MQL"/>
    <m/>
    <m/>
    <m/>
    <n v="2"/>
    <x v="11"/>
    <n v="1"/>
    <n v="0"/>
    <n v="0"/>
  </r>
  <r>
    <s v="LD1962"/>
    <d v="2024-03-12T00:00:00"/>
    <x v="5"/>
    <s v="Landing Page SEO"/>
    <s v="Desktop"/>
    <s v="Latin America"/>
    <s v="Lead"/>
    <m/>
    <m/>
    <m/>
    <n v="1"/>
    <x v="8"/>
    <n v="0"/>
    <n v="0"/>
    <n v="0"/>
  </r>
  <r>
    <s v="LD3890"/>
    <d v="2024-06-23T00:00:00"/>
    <x v="3"/>
    <s v="Promo Blast"/>
    <s v="Mobile"/>
    <s v="North America"/>
    <s v="MQL"/>
    <m/>
    <m/>
    <m/>
    <n v="2"/>
    <x v="11"/>
    <n v="1"/>
    <n v="0"/>
    <n v="0"/>
  </r>
  <r>
    <s v="LD4016"/>
    <d v="2024-06-10T00:00:00"/>
    <x v="2"/>
    <s v="Direct / Type-in"/>
    <s v="Desktop"/>
    <s v="Europe"/>
    <s v="Lead"/>
    <m/>
    <m/>
    <m/>
    <n v="1"/>
    <x v="11"/>
    <n v="0"/>
    <n v="0"/>
    <n v="0"/>
  </r>
  <r>
    <s v="LD4339"/>
    <d v="2024-07-22T00:00:00"/>
    <x v="3"/>
    <s v="Promo Blast"/>
    <s v="Mobile"/>
    <s v="North America"/>
    <s v="Lead"/>
    <m/>
    <m/>
    <m/>
    <n v="1"/>
    <x v="0"/>
    <n v="0"/>
    <n v="0"/>
    <n v="0"/>
  </r>
  <r>
    <s v="LD5788"/>
    <d v="2024-10-09T00:00:00"/>
    <x v="1"/>
    <s v="Google Ads - Brand"/>
    <s v="Mobile"/>
    <s v="Europe"/>
    <s v="Lead"/>
    <m/>
    <m/>
    <m/>
    <n v="1"/>
    <x v="5"/>
    <n v="0"/>
    <n v="0"/>
    <n v="0"/>
  </r>
  <r>
    <s v="LD1736"/>
    <d v="2024-02-20T00:00:00"/>
    <x v="3"/>
    <s v="Monthly Newsletter"/>
    <s v="Mobile"/>
    <s v="Europe"/>
    <s v="Lead"/>
    <m/>
    <m/>
    <m/>
    <n v="1"/>
    <x v="10"/>
    <n v="0"/>
    <n v="0"/>
    <n v="0"/>
  </r>
  <r>
    <s v="LD5401"/>
    <d v="2024-09-14T00:00:00"/>
    <x v="3"/>
    <s v="Monthly Newsletter"/>
    <s v="Mobile"/>
    <s v="Asia Pacific"/>
    <s v="Lead"/>
    <m/>
    <m/>
    <m/>
    <n v="1"/>
    <x v="9"/>
    <n v="0"/>
    <n v="0"/>
    <n v="0"/>
  </r>
  <r>
    <s v="LD2441"/>
    <d v="2024-03-13T00:00:00"/>
    <x v="2"/>
    <s v="Direct / Type-in"/>
    <s v="Desktop"/>
    <s v="North America"/>
    <s v="Lead"/>
    <m/>
    <m/>
    <m/>
    <n v="1"/>
    <x v="8"/>
    <n v="0"/>
    <n v="0"/>
    <n v="0"/>
  </r>
  <r>
    <s v="LD3876"/>
    <d v="2024-06-19T00:00:00"/>
    <x v="3"/>
    <s v="Monthly Newsletter"/>
    <s v="Mobile"/>
    <s v="Asia Pacific"/>
    <s v="Lead"/>
    <m/>
    <m/>
    <m/>
    <n v="1"/>
    <x v="11"/>
    <n v="0"/>
    <n v="0"/>
    <n v="0"/>
  </r>
  <r>
    <s v="LD4987"/>
    <d v="2024-08-27T00:00:00"/>
    <x v="2"/>
    <s v="Direct / Type-in"/>
    <s v="Tablet"/>
    <s v="Asia Pacific"/>
    <s v="MQL"/>
    <m/>
    <m/>
    <m/>
    <n v="2"/>
    <x v="6"/>
    <n v="1"/>
    <n v="0"/>
    <n v="0"/>
  </r>
  <r>
    <s v="LD1917"/>
    <d v="2024-02-11T00:00:00"/>
    <x v="2"/>
    <s v="Direct / Type-in"/>
    <s v="Mobile"/>
    <s v="Asia Pacific"/>
    <s v="Lead"/>
    <m/>
    <m/>
    <m/>
    <n v="1"/>
    <x v="10"/>
    <n v="0"/>
    <n v="0"/>
    <n v="0"/>
  </r>
  <r>
    <s v="LD6661"/>
    <d v="2024-11-14T00:00:00"/>
    <x v="0"/>
    <s v="Instagram Ads"/>
    <s v="Mobile"/>
    <s v="Europe"/>
    <s v="Lead"/>
    <m/>
    <m/>
    <m/>
    <n v="1"/>
    <x v="2"/>
    <n v="0"/>
    <n v="0"/>
    <n v="0"/>
  </r>
  <r>
    <s v="LD5090"/>
    <d v="2024-09-14T00:00:00"/>
    <x v="5"/>
    <s v="Landing Page SEO"/>
    <s v="Desktop"/>
    <s v="North America"/>
    <s v="SQL"/>
    <m/>
    <m/>
    <m/>
    <n v="3"/>
    <x v="9"/>
    <n v="1"/>
    <n v="1"/>
    <n v="0"/>
  </r>
  <r>
    <s v="LD7263"/>
    <d v="2024-12-24T00:00:00"/>
    <x v="1"/>
    <s v="Google Ads - Brand"/>
    <s v="Mobile"/>
    <s v="Europe"/>
    <s v="Lead"/>
    <m/>
    <m/>
    <m/>
    <n v="1"/>
    <x v="7"/>
    <n v="0"/>
    <n v="0"/>
    <n v="0"/>
  </r>
  <r>
    <s v="LD6533"/>
    <d v="2024-11-28T00:00:00"/>
    <x v="1"/>
    <s v="Google Ads - Generic"/>
    <s v="Tablet"/>
    <s v="North America"/>
    <s v="Lead"/>
    <m/>
    <m/>
    <m/>
    <n v="1"/>
    <x v="2"/>
    <n v="0"/>
    <n v="0"/>
    <n v="0"/>
  </r>
  <r>
    <s v="LD3773"/>
    <d v="2024-06-21T00:00:00"/>
    <x v="0"/>
    <s v="Facebook Ads"/>
    <s v="Mobile"/>
    <s v="Asia Pacific"/>
    <s v="MQL"/>
    <m/>
    <m/>
    <m/>
    <n v="2"/>
    <x v="11"/>
    <n v="1"/>
    <n v="0"/>
    <n v="0"/>
  </r>
  <r>
    <s v="LD2625"/>
    <d v="2024-04-18T00:00:00"/>
    <x v="1"/>
    <s v="Google Ads - Brand"/>
    <s v="Desktop"/>
    <s v="Europe"/>
    <s v="Lead"/>
    <m/>
    <m/>
    <m/>
    <n v="1"/>
    <x v="1"/>
    <n v="0"/>
    <n v="0"/>
    <n v="0"/>
  </r>
  <r>
    <s v="LD6840"/>
    <d v="2024-11-04T00:00:00"/>
    <x v="3"/>
    <s v="Monthly Newsletter"/>
    <s v="Mobile"/>
    <s v="North America"/>
    <s v="MQL"/>
    <m/>
    <m/>
    <m/>
    <n v="2"/>
    <x v="2"/>
    <n v="1"/>
    <n v="0"/>
    <n v="0"/>
  </r>
  <r>
    <s v="LD1822"/>
    <d v="2024-02-18T00:00:00"/>
    <x v="4"/>
    <s v="Partner Program"/>
    <s v="Desktop"/>
    <s v="North America"/>
    <s v="Customer"/>
    <n v="7"/>
    <s v="Pro"/>
    <n v="3270.85"/>
    <n v="4"/>
    <x v="10"/>
    <n v="1"/>
    <n v="1"/>
    <n v="1"/>
  </r>
  <r>
    <s v="LD2368"/>
    <d v="2024-03-22T00:00:00"/>
    <x v="4"/>
    <s v="Partner Program"/>
    <s v="Tablet"/>
    <s v="Latin America"/>
    <s v="Lead"/>
    <m/>
    <m/>
    <m/>
    <n v="1"/>
    <x v="8"/>
    <n v="0"/>
    <n v="0"/>
    <n v="0"/>
  </r>
  <r>
    <s v="LD4713"/>
    <d v="2024-08-09T00:00:00"/>
    <x v="0"/>
    <s v="Instagram Ads"/>
    <s v="Mobile"/>
    <s v="North America"/>
    <s v="Lead"/>
    <m/>
    <m/>
    <m/>
    <n v="1"/>
    <x v="6"/>
    <n v="0"/>
    <n v="0"/>
    <n v="0"/>
  </r>
  <r>
    <s v="LD7093"/>
    <d v="2024-11-07T00:00:00"/>
    <x v="2"/>
    <s v="Direct / Type-in"/>
    <s v="Desktop"/>
    <s v="Europe"/>
    <s v="Lead"/>
    <m/>
    <m/>
    <m/>
    <n v="1"/>
    <x v="2"/>
    <n v="0"/>
    <n v="0"/>
    <n v="0"/>
  </r>
  <r>
    <s v="LD1851"/>
    <d v="2024-02-16T00:00:00"/>
    <x v="4"/>
    <s v="Affiliate Program"/>
    <s v="Mobile"/>
    <s v="North America"/>
    <s v="MQL"/>
    <m/>
    <m/>
    <m/>
    <n v="2"/>
    <x v="10"/>
    <n v="1"/>
    <n v="0"/>
    <n v="0"/>
  </r>
  <r>
    <s v="LD2001"/>
    <d v="2024-03-09T00:00:00"/>
    <x v="5"/>
    <s v="Landing Page SEO"/>
    <s v="Desktop"/>
    <s v="Europe"/>
    <s v="Lead"/>
    <m/>
    <m/>
    <m/>
    <n v="1"/>
    <x v="8"/>
    <n v="0"/>
    <n v="0"/>
    <n v="0"/>
  </r>
  <r>
    <s v="LD6039"/>
    <d v="2024-10-25T00:00:00"/>
    <x v="3"/>
    <s v="Promo Blast"/>
    <s v="Desktop"/>
    <s v="Latin America"/>
    <s v="Lead"/>
    <m/>
    <m/>
    <m/>
    <n v="1"/>
    <x v="5"/>
    <n v="0"/>
    <n v="0"/>
    <n v="0"/>
  </r>
  <r>
    <s v="LD5115"/>
    <d v="2024-09-10T00:00:00"/>
    <x v="5"/>
    <s v="Landing Page SEO"/>
    <s v="Mobile"/>
    <s v="Europe"/>
    <s v="MQL"/>
    <m/>
    <m/>
    <m/>
    <n v="2"/>
    <x v="9"/>
    <n v="1"/>
    <n v="0"/>
    <n v="0"/>
  </r>
  <r>
    <s v="LD2638"/>
    <d v="2024-04-22T00:00:00"/>
    <x v="1"/>
    <s v="Google Ads - Generic"/>
    <s v="Mobile"/>
    <s v="Asia Pacific"/>
    <s v="Lead"/>
    <m/>
    <m/>
    <m/>
    <n v="1"/>
    <x v="1"/>
    <n v="0"/>
    <n v="0"/>
    <n v="0"/>
  </r>
  <r>
    <s v="LD2668"/>
    <d v="2024-04-15T00:00:00"/>
    <x v="0"/>
    <s v="LinkedIn Ads"/>
    <s v="Desktop"/>
    <s v="Europe"/>
    <s v="Lead"/>
    <m/>
    <m/>
    <m/>
    <n v="1"/>
    <x v="1"/>
    <n v="0"/>
    <n v="0"/>
    <n v="0"/>
  </r>
  <r>
    <s v="LD5590"/>
    <d v="2024-09-07T00:00:00"/>
    <x v="2"/>
    <s v="Direct / Type-in"/>
    <s v="Desktop"/>
    <s v="Europe"/>
    <s v="MQL"/>
    <m/>
    <m/>
    <m/>
    <n v="2"/>
    <x v="9"/>
    <n v="1"/>
    <n v="0"/>
    <n v="0"/>
  </r>
  <r>
    <s v="LD4174"/>
    <d v="2024-07-12T00:00:00"/>
    <x v="1"/>
    <s v="Google Ads - Generic"/>
    <s v="Mobile"/>
    <s v="Asia Pacific"/>
    <s v="Lead"/>
    <m/>
    <m/>
    <m/>
    <n v="1"/>
    <x v="0"/>
    <n v="0"/>
    <n v="0"/>
    <n v="0"/>
  </r>
  <r>
    <s v="LD6330"/>
    <d v="2024-11-14T00:00:00"/>
    <x v="5"/>
    <s v="Landing Page SEO"/>
    <s v="Desktop"/>
    <s v="North America"/>
    <s v="MQL"/>
    <m/>
    <m/>
    <m/>
    <n v="2"/>
    <x v="2"/>
    <n v="1"/>
    <n v="0"/>
    <n v="0"/>
  </r>
  <r>
    <s v="LD2348"/>
    <d v="2024-03-14T00:00:00"/>
    <x v="4"/>
    <s v="Partner Program"/>
    <s v="Desktop"/>
    <s v="North America"/>
    <s v="MQL"/>
    <m/>
    <m/>
    <m/>
    <n v="2"/>
    <x v="8"/>
    <n v="1"/>
    <n v="0"/>
    <n v="0"/>
  </r>
  <r>
    <s v="LD6297"/>
    <d v="2024-10-01T00:00:00"/>
    <x v="2"/>
    <s v="Direct / Type-in"/>
    <s v="Mobile"/>
    <s v="North America"/>
    <s v="Lead"/>
    <m/>
    <m/>
    <m/>
    <n v="1"/>
    <x v="5"/>
    <n v="0"/>
    <n v="0"/>
    <n v="0"/>
  </r>
  <r>
    <s v="LD4231"/>
    <d v="2024-07-05T00:00:00"/>
    <x v="0"/>
    <s v="Facebook Ads"/>
    <s v="Desktop"/>
    <s v="North America"/>
    <s v="Lead"/>
    <m/>
    <m/>
    <m/>
    <n v="1"/>
    <x v="0"/>
    <n v="0"/>
    <n v="0"/>
    <n v="0"/>
  </r>
  <r>
    <s v="LD5767"/>
    <d v="2024-10-07T00:00:00"/>
    <x v="1"/>
    <s v="Google Ads - Brand"/>
    <s v="Mobile"/>
    <s v="North America"/>
    <s v="Lead"/>
    <m/>
    <m/>
    <m/>
    <n v="1"/>
    <x v="5"/>
    <n v="0"/>
    <n v="0"/>
    <n v="0"/>
  </r>
  <r>
    <s v="LD6211"/>
    <d v="2024-10-28T00:00:00"/>
    <x v="4"/>
    <s v="Affiliate Program"/>
    <s v="Desktop"/>
    <s v="Asia Pacific"/>
    <s v="Lead"/>
    <m/>
    <m/>
    <m/>
    <n v="1"/>
    <x v="5"/>
    <n v="0"/>
    <n v="0"/>
    <n v="0"/>
  </r>
  <r>
    <s v="LD4233"/>
    <d v="2024-07-15T00:00:00"/>
    <x v="0"/>
    <s v="Facebook Ads"/>
    <s v="Desktop"/>
    <s v="North America"/>
    <s v="Lead"/>
    <m/>
    <m/>
    <m/>
    <n v="1"/>
    <x v="0"/>
    <n v="0"/>
    <n v="0"/>
    <n v="0"/>
  </r>
  <r>
    <s v="LD6551"/>
    <d v="2024-11-04T00:00:00"/>
    <x v="1"/>
    <s v="Google Ads - Brand"/>
    <s v="Mobile"/>
    <s v="Europe"/>
    <s v="MQL"/>
    <m/>
    <m/>
    <m/>
    <n v="2"/>
    <x v="2"/>
    <n v="1"/>
    <n v="0"/>
    <n v="0"/>
  </r>
  <r>
    <s v="LD1704"/>
    <d v="2024-02-06T00:00:00"/>
    <x v="0"/>
    <s v="Facebook Ads"/>
    <s v="Desktop"/>
    <s v="Asia Pacific"/>
    <s v="SQL"/>
    <m/>
    <m/>
    <m/>
    <n v="3"/>
    <x v="10"/>
    <n v="1"/>
    <n v="1"/>
    <n v="0"/>
  </r>
  <r>
    <s v="LD6405"/>
    <d v="2024-11-20T00:00:00"/>
    <x v="5"/>
    <s v="Landing Page SEO"/>
    <s v="Mobile"/>
    <s v="Europe"/>
    <s v="Customer"/>
    <n v="54"/>
    <s v="Basic"/>
    <n v="664.98"/>
    <n v="4"/>
    <x v="2"/>
    <n v="1"/>
    <n v="1"/>
    <n v="1"/>
  </r>
  <r>
    <s v="LD4292"/>
    <d v="2024-07-12T00:00:00"/>
    <x v="3"/>
    <s v="Monthly Newsletter"/>
    <s v="Desktop"/>
    <s v="Europe"/>
    <s v="SQL"/>
    <m/>
    <m/>
    <m/>
    <n v="3"/>
    <x v="0"/>
    <n v="1"/>
    <n v="1"/>
    <n v="0"/>
  </r>
  <r>
    <s v="LD4674"/>
    <d v="2024-08-27T00:00:00"/>
    <x v="1"/>
    <s v="Google Ads - Generic"/>
    <s v="Desktop"/>
    <s v="Europe"/>
    <s v="Lead"/>
    <m/>
    <m/>
    <m/>
    <n v="1"/>
    <x v="6"/>
    <n v="0"/>
    <n v="0"/>
    <n v="0"/>
  </r>
  <r>
    <s v="LD3409"/>
    <d v="2024-05-26T00:00:00"/>
    <x v="3"/>
    <s v="Monthly Newsletter"/>
    <s v="Mobile"/>
    <s v="Latin America"/>
    <s v="SQL"/>
    <m/>
    <m/>
    <m/>
    <n v="3"/>
    <x v="4"/>
    <n v="1"/>
    <n v="1"/>
    <n v="0"/>
  </r>
  <r>
    <s v="LD2328"/>
    <d v="2024-03-21T00:00:00"/>
    <x v="4"/>
    <s v="Partner Program"/>
    <s v="Desktop"/>
    <s v="Asia Pacific"/>
    <s v="Lead"/>
    <m/>
    <m/>
    <m/>
    <n v="1"/>
    <x v="8"/>
    <n v="0"/>
    <n v="0"/>
    <n v="0"/>
  </r>
  <r>
    <s v="LD7312"/>
    <d v="2024-12-11T00:00:00"/>
    <x v="1"/>
    <s v="Google Ads - Brand"/>
    <s v="Mobile"/>
    <s v="Europe"/>
    <s v="MQL"/>
    <m/>
    <m/>
    <m/>
    <n v="2"/>
    <x v="7"/>
    <n v="1"/>
    <n v="0"/>
    <n v="0"/>
  </r>
  <r>
    <s v="LD6563"/>
    <d v="2024-11-27T00:00:00"/>
    <x v="1"/>
    <s v="Google Ads - Generic"/>
    <s v="Mobile"/>
    <s v="North America"/>
    <s v="SQL"/>
    <m/>
    <m/>
    <m/>
    <n v="3"/>
    <x v="2"/>
    <n v="1"/>
    <n v="1"/>
    <n v="0"/>
  </r>
  <r>
    <s v="LD5441"/>
    <d v="2024-09-08T00:00:00"/>
    <x v="3"/>
    <s v="Monthly Newsletter"/>
    <s v="Mobile"/>
    <s v="Europe"/>
    <s v="Lead"/>
    <m/>
    <m/>
    <m/>
    <n v="1"/>
    <x v="9"/>
    <n v="0"/>
    <n v="0"/>
    <n v="0"/>
  </r>
  <r>
    <s v="LD6668"/>
    <d v="2024-11-19T00:00:00"/>
    <x v="0"/>
    <s v="LinkedIn Ads"/>
    <s v="Desktop"/>
    <s v="Europe"/>
    <s v="SQL"/>
    <m/>
    <m/>
    <m/>
    <n v="3"/>
    <x v="2"/>
    <n v="1"/>
    <n v="1"/>
    <n v="0"/>
  </r>
  <r>
    <s v="LD1987"/>
    <d v="2024-03-17T00:00:00"/>
    <x v="5"/>
    <s v="Blog SEO"/>
    <s v="Desktop"/>
    <s v="Europe"/>
    <s v="MQL"/>
    <m/>
    <m/>
    <m/>
    <n v="2"/>
    <x v="8"/>
    <n v="1"/>
    <n v="0"/>
    <n v="0"/>
  </r>
  <r>
    <s v="LD6386"/>
    <d v="2024-11-19T00:00:00"/>
    <x v="5"/>
    <s v="Blog SEO"/>
    <s v="Desktop"/>
    <s v="Asia Pacific"/>
    <s v="Lead"/>
    <m/>
    <m/>
    <m/>
    <n v="1"/>
    <x v="2"/>
    <n v="0"/>
    <n v="0"/>
    <n v="0"/>
  </r>
  <r>
    <s v="LD7151"/>
    <d v="2024-12-09T00:00:00"/>
    <x v="5"/>
    <s v="Blog SEO"/>
    <s v="Mobile"/>
    <s v="Europe"/>
    <s v="Lead"/>
    <m/>
    <m/>
    <m/>
    <n v="1"/>
    <x v="7"/>
    <n v="0"/>
    <n v="0"/>
    <n v="0"/>
  </r>
  <r>
    <s v="LD6834"/>
    <d v="2024-11-11T00:00:00"/>
    <x v="3"/>
    <s v="Promo Blast"/>
    <s v="Mobile"/>
    <s v="Asia Pacific"/>
    <s v="SQL"/>
    <m/>
    <m/>
    <m/>
    <n v="3"/>
    <x v="2"/>
    <n v="1"/>
    <n v="1"/>
    <n v="0"/>
  </r>
  <r>
    <s v="LD7666"/>
    <d v="2024-12-28T00:00:00"/>
    <x v="4"/>
    <s v="Partner Program"/>
    <s v="Tablet"/>
    <s v="North America"/>
    <s v="MQL"/>
    <m/>
    <m/>
    <m/>
    <n v="2"/>
    <x v="7"/>
    <n v="1"/>
    <n v="0"/>
    <n v="0"/>
  </r>
  <r>
    <s v="LD5050"/>
    <d v="2024-09-08T00:00:00"/>
    <x v="5"/>
    <s v="Landing Page SEO"/>
    <s v="Mobile"/>
    <s v="Europe"/>
    <s v="MQL"/>
    <m/>
    <m/>
    <m/>
    <n v="2"/>
    <x v="9"/>
    <n v="1"/>
    <n v="0"/>
    <n v="0"/>
  </r>
  <r>
    <s v="LD4486"/>
    <d v="2024-07-08T00:00:00"/>
    <x v="2"/>
    <s v="Direct / Type-in"/>
    <s v="Desktop"/>
    <s v="Asia Pacific"/>
    <s v="MQL"/>
    <m/>
    <m/>
    <m/>
    <n v="2"/>
    <x v="0"/>
    <n v="1"/>
    <n v="0"/>
    <n v="0"/>
  </r>
  <r>
    <s v="LD3475"/>
    <d v="2024-05-23T00:00:00"/>
    <x v="4"/>
    <s v="Affiliate Program"/>
    <s v="Desktop"/>
    <s v="Europe"/>
    <s v="SQL"/>
    <m/>
    <m/>
    <m/>
    <n v="3"/>
    <x v="4"/>
    <n v="1"/>
    <n v="1"/>
    <n v="0"/>
  </r>
  <r>
    <s v="LD4874"/>
    <d v="2024-08-05T00:00:00"/>
    <x v="4"/>
    <s v="Affiliate Program"/>
    <s v="Desktop"/>
    <s v="North America"/>
    <s v="MQL"/>
    <m/>
    <m/>
    <m/>
    <n v="2"/>
    <x v="6"/>
    <n v="1"/>
    <n v="0"/>
    <n v="0"/>
  </r>
  <r>
    <s v="LD2199"/>
    <d v="2024-03-07T00:00:00"/>
    <x v="0"/>
    <s v="Instagram Ads"/>
    <s v="Mobile"/>
    <s v="North America"/>
    <s v="Lead"/>
    <m/>
    <m/>
    <m/>
    <n v="1"/>
    <x v="8"/>
    <n v="0"/>
    <n v="0"/>
    <n v="0"/>
  </r>
  <r>
    <s v="LD5182"/>
    <d v="2024-09-20T00:00:00"/>
    <x v="1"/>
    <s v="Google Ads - Brand"/>
    <s v="Desktop"/>
    <s v="North America"/>
    <s v="SQL"/>
    <m/>
    <m/>
    <m/>
    <n v="3"/>
    <x v="9"/>
    <n v="1"/>
    <n v="1"/>
    <n v="0"/>
  </r>
  <r>
    <s v="LD2519"/>
    <d v="2024-04-03T00:00:00"/>
    <x v="5"/>
    <s v="Blog SEO"/>
    <s v="Desktop"/>
    <s v="North America"/>
    <s v="SQL"/>
    <m/>
    <m/>
    <m/>
    <n v="3"/>
    <x v="1"/>
    <n v="1"/>
    <n v="1"/>
    <n v="0"/>
  </r>
  <r>
    <s v="LD7344"/>
    <d v="2024-12-19T00:00:00"/>
    <x v="0"/>
    <s v="LinkedIn Ads"/>
    <s v="Desktop"/>
    <s v="North America"/>
    <s v="MQL"/>
    <m/>
    <m/>
    <m/>
    <n v="2"/>
    <x v="7"/>
    <n v="1"/>
    <n v="0"/>
    <n v="0"/>
  </r>
  <r>
    <s v="LD2800"/>
    <d v="2024-04-28T00:00:00"/>
    <x v="3"/>
    <s v="Monthly Newsletter"/>
    <s v="Desktop"/>
    <s v="Europe"/>
    <s v="MQL"/>
    <m/>
    <m/>
    <m/>
    <n v="2"/>
    <x v="1"/>
    <n v="1"/>
    <n v="0"/>
    <n v="0"/>
  </r>
  <r>
    <s v="LD2015"/>
    <d v="2024-03-16T00:00:00"/>
    <x v="5"/>
    <s v="Blog SEO"/>
    <s v="Desktop"/>
    <s v="Asia Pacific"/>
    <s v="MQL"/>
    <m/>
    <m/>
    <m/>
    <n v="2"/>
    <x v="8"/>
    <n v="1"/>
    <n v="0"/>
    <n v="0"/>
  </r>
  <r>
    <s v="LD1129"/>
    <d v="2024-01-03T00:00:00"/>
    <x v="1"/>
    <s v="Google Ads - Brand"/>
    <s v="Mobile"/>
    <s v="Asia Pacific"/>
    <s v="Lead"/>
    <m/>
    <m/>
    <m/>
    <n v="1"/>
    <x v="3"/>
    <n v="0"/>
    <n v="0"/>
    <n v="0"/>
  </r>
  <r>
    <s v="LD2365"/>
    <d v="2024-03-24T00:00:00"/>
    <x v="4"/>
    <s v="Partner Program"/>
    <s v="Desktop"/>
    <s v="Europe"/>
    <s v="SQL"/>
    <m/>
    <m/>
    <m/>
    <n v="3"/>
    <x v="8"/>
    <n v="1"/>
    <n v="1"/>
    <n v="0"/>
  </r>
  <r>
    <s v="LD7276"/>
    <d v="2024-12-28T00:00:00"/>
    <x v="1"/>
    <s v="Google Ads - Brand"/>
    <s v="Mobile"/>
    <s v="Europe"/>
    <s v="Lead"/>
    <m/>
    <m/>
    <m/>
    <n v="1"/>
    <x v="7"/>
    <n v="0"/>
    <n v="0"/>
    <n v="0"/>
  </r>
  <r>
    <s v="LD5471"/>
    <d v="2024-09-07T00:00:00"/>
    <x v="4"/>
    <s v="Partner Program"/>
    <s v="Desktop"/>
    <s v="Europe"/>
    <s v="Lead"/>
    <m/>
    <m/>
    <m/>
    <n v="1"/>
    <x v="9"/>
    <n v="0"/>
    <n v="0"/>
    <n v="0"/>
  </r>
  <r>
    <s v="LD1892"/>
    <d v="2024-02-12T00:00:00"/>
    <x v="2"/>
    <s v="Direct / Type-in"/>
    <s v="Desktop"/>
    <s v="North America"/>
    <s v="Lead"/>
    <m/>
    <m/>
    <m/>
    <n v="1"/>
    <x v="10"/>
    <n v="0"/>
    <n v="0"/>
    <n v="0"/>
  </r>
  <r>
    <s v="LD3794"/>
    <d v="2024-06-05T00:00:00"/>
    <x v="0"/>
    <s v="Instagram Ads"/>
    <s v="Desktop"/>
    <s v="Europe"/>
    <s v="SQL"/>
    <m/>
    <m/>
    <m/>
    <n v="3"/>
    <x v="11"/>
    <n v="1"/>
    <n v="1"/>
    <n v="0"/>
  </r>
  <r>
    <s v="LD6696"/>
    <d v="2024-11-15T00:00:00"/>
    <x v="3"/>
    <s v="Monthly Newsletter"/>
    <s v="Desktop"/>
    <s v="Europe"/>
    <s v="Lead"/>
    <m/>
    <m/>
    <m/>
    <n v="1"/>
    <x v="2"/>
    <n v="0"/>
    <n v="0"/>
    <n v="0"/>
  </r>
  <r>
    <s v="LD5404"/>
    <d v="2024-09-23T00:00:00"/>
    <x v="3"/>
    <s v="Promo Blast"/>
    <s v="Mobile"/>
    <s v="Asia Pacific"/>
    <s v="SQL"/>
    <m/>
    <m/>
    <m/>
    <n v="3"/>
    <x v="9"/>
    <n v="1"/>
    <n v="1"/>
    <n v="0"/>
  </r>
  <r>
    <s v="LD7460"/>
    <d v="2024-12-07T00:00:00"/>
    <x v="3"/>
    <s v="Monthly Newsletter"/>
    <s v="Mobile"/>
    <s v="North America"/>
    <s v="Lead"/>
    <m/>
    <m/>
    <m/>
    <n v="1"/>
    <x v="7"/>
    <n v="0"/>
    <n v="0"/>
    <n v="0"/>
  </r>
  <r>
    <s v="LD6818"/>
    <d v="2024-11-07T00:00:00"/>
    <x v="3"/>
    <s v="Monthly Newsletter"/>
    <s v="Mobile"/>
    <s v="Asia Pacific"/>
    <s v="SQL"/>
    <m/>
    <m/>
    <m/>
    <n v="3"/>
    <x v="2"/>
    <n v="1"/>
    <n v="1"/>
    <n v="0"/>
  </r>
  <r>
    <s v="LD4250"/>
    <d v="2024-07-11T00:00:00"/>
    <x v="0"/>
    <s v="Facebook Ads"/>
    <s v="Desktop"/>
    <s v="Europe"/>
    <s v="MQL"/>
    <m/>
    <m/>
    <m/>
    <n v="2"/>
    <x v="0"/>
    <n v="1"/>
    <n v="0"/>
    <n v="0"/>
  </r>
  <r>
    <s v="LD2209"/>
    <d v="2024-03-16T00:00:00"/>
    <x v="3"/>
    <s v="Promo Blast"/>
    <s v="Tablet"/>
    <s v="Latin America"/>
    <s v="Lead"/>
    <m/>
    <m/>
    <m/>
    <n v="1"/>
    <x v="8"/>
    <n v="0"/>
    <n v="0"/>
    <n v="0"/>
  </r>
  <r>
    <s v="LD4869"/>
    <d v="2024-08-10T00:00:00"/>
    <x v="3"/>
    <s v="Promo Blast"/>
    <s v="Mobile"/>
    <s v="Europe"/>
    <s v="SQL"/>
    <m/>
    <m/>
    <m/>
    <n v="3"/>
    <x v="6"/>
    <n v="1"/>
    <n v="1"/>
    <n v="0"/>
  </r>
  <r>
    <s v="LD7087"/>
    <d v="2024-11-03T00:00:00"/>
    <x v="2"/>
    <s v="Direct / Type-in"/>
    <s v="Desktop"/>
    <s v="North America"/>
    <s v="Lead"/>
    <m/>
    <m/>
    <m/>
    <n v="1"/>
    <x v="2"/>
    <n v="0"/>
    <n v="0"/>
    <n v="0"/>
  </r>
  <r>
    <s v="LD5066"/>
    <d v="2024-09-08T00:00:00"/>
    <x v="5"/>
    <s v="Blog SEO"/>
    <s v="Desktop"/>
    <s v="Asia Pacific"/>
    <s v="MQL"/>
    <m/>
    <m/>
    <m/>
    <n v="2"/>
    <x v="9"/>
    <n v="1"/>
    <n v="0"/>
    <n v="0"/>
  </r>
  <r>
    <s v="LD6803"/>
    <d v="2024-11-06T00:00:00"/>
    <x v="3"/>
    <s v="Monthly Newsletter"/>
    <s v="Desktop"/>
    <s v="North America"/>
    <s v="SQL"/>
    <m/>
    <m/>
    <m/>
    <n v="3"/>
    <x v="2"/>
    <n v="1"/>
    <n v="1"/>
    <n v="0"/>
  </r>
  <r>
    <s v="LD2240"/>
    <d v="2024-03-11T00:00:00"/>
    <x v="3"/>
    <s v="Monthly Newsletter"/>
    <s v="Desktop"/>
    <s v="North America"/>
    <s v="Lead"/>
    <m/>
    <m/>
    <m/>
    <n v="1"/>
    <x v="8"/>
    <n v="0"/>
    <n v="0"/>
    <n v="0"/>
  </r>
  <r>
    <s v="LD3290"/>
    <d v="2024-05-03T00:00:00"/>
    <x v="0"/>
    <s v="Facebook Ads"/>
    <s v="Desktop"/>
    <s v="North America"/>
    <s v="Lead"/>
    <m/>
    <m/>
    <m/>
    <n v="1"/>
    <x v="4"/>
    <n v="0"/>
    <n v="0"/>
    <n v="0"/>
  </r>
  <r>
    <s v="LD3741"/>
    <d v="2024-06-16T00:00:00"/>
    <x v="0"/>
    <s v="Instagram Ads"/>
    <s v="Mobile"/>
    <s v="Europe"/>
    <s v="SQL"/>
    <m/>
    <m/>
    <m/>
    <n v="3"/>
    <x v="11"/>
    <n v="1"/>
    <n v="1"/>
    <n v="0"/>
  </r>
  <r>
    <s v="LD1276"/>
    <d v="2024-01-27T00:00:00"/>
    <x v="3"/>
    <s v="Promo Blast"/>
    <s v="Tablet"/>
    <s v="Europe"/>
    <s v="SQL"/>
    <m/>
    <m/>
    <m/>
    <n v="3"/>
    <x v="3"/>
    <n v="1"/>
    <n v="1"/>
    <n v="0"/>
  </r>
  <r>
    <s v="LD5586"/>
    <d v="2024-09-24T00:00:00"/>
    <x v="2"/>
    <s v="Direct / Type-in"/>
    <s v="Mobile"/>
    <s v="North America"/>
    <s v="Lead"/>
    <m/>
    <m/>
    <m/>
    <n v="1"/>
    <x v="9"/>
    <n v="0"/>
    <n v="0"/>
    <n v="0"/>
  </r>
  <r>
    <s v="LD2036"/>
    <d v="2024-03-14T00:00:00"/>
    <x v="5"/>
    <s v="Blog SEO"/>
    <s v="Desktop"/>
    <s v="Europe"/>
    <s v="SQL"/>
    <m/>
    <m/>
    <m/>
    <n v="3"/>
    <x v="8"/>
    <n v="1"/>
    <n v="1"/>
    <n v="0"/>
  </r>
  <r>
    <s v="LD2230"/>
    <d v="2024-03-13T00:00:00"/>
    <x v="3"/>
    <s v="Promo Blast"/>
    <s v="Desktop"/>
    <s v="Europe"/>
    <s v="SQL"/>
    <m/>
    <m/>
    <m/>
    <n v="3"/>
    <x v="8"/>
    <n v="1"/>
    <n v="1"/>
    <n v="0"/>
  </r>
  <r>
    <s v="LD2009"/>
    <d v="2024-03-12T00:00:00"/>
    <x v="5"/>
    <s v="Landing Page SEO"/>
    <s v="Desktop"/>
    <s v="Europe"/>
    <s v="Lead"/>
    <m/>
    <m/>
    <m/>
    <n v="1"/>
    <x v="8"/>
    <n v="0"/>
    <n v="0"/>
    <n v="0"/>
  </r>
  <r>
    <s v="LD4829"/>
    <d v="2024-08-12T00:00:00"/>
    <x v="3"/>
    <s v="Promo Blast"/>
    <s v="Desktop"/>
    <s v="North America"/>
    <s v="SQL"/>
    <m/>
    <m/>
    <m/>
    <n v="3"/>
    <x v="6"/>
    <n v="1"/>
    <n v="1"/>
    <n v="0"/>
  </r>
  <r>
    <s v="LD3533"/>
    <d v="2024-05-26T00:00:00"/>
    <x v="2"/>
    <s v="Direct / Type-in"/>
    <s v="Desktop"/>
    <s v="Asia Pacific"/>
    <s v="MQL"/>
    <m/>
    <m/>
    <m/>
    <n v="2"/>
    <x v="4"/>
    <n v="1"/>
    <n v="0"/>
    <n v="0"/>
  </r>
  <r>
    <s v="LD5294"/>
    <d v="2024-09-21T00:00:00"/>
    <x v="0"/>
    <s v="Facebook Ads"/>
    <s v="Desktop"/>
    <s v="North America"/>
    <s v="Lead"/>
    <m/>
    <m/>
    <m/>
    <n v="1"/>
    <x v="9"/>
    <n v="0"/>
    <n v="0"/>
    <n v="0"/>
  </r>
  <r>
    <s v="LD2059"/>
    <d v="2024-03-10T00:00:00"/>
    <x v="1"/>
    <s v="Google Ads - Generic"/>
    <s v="Mobile"/>
    <s v="Asia Pacific"/>
    <s v="Lead"/>
    <m/>
    <m/>
    <m/>
    <n v="1"/>
    <x v="8"/>
    <n v="0"/>
    <n v="0"/>
    <n v="0"/>
  </r>
  <r>
    <s v="LD6031"/>
    <d v="2024-10-26T00:00:00"/>
    <x v="3"/>
    <s v="Monthly Newsletter"/>
    <s v="Mobile"/>
    <s v="Asia Pacific"/>
    <s v="Lead"/>
    <m/>
    <m/>
    <m/>
    <n v="1"/>
    <x v="5"/>
    <n v="0"/>
    <n v="0"/>
    <n v="0"/>
  </r>
  <r>
    <s v="LD1282"/>
    <d v="2024-01-16T00:00:00"/>
    <x v="3"/>
    <s v="Promo Blast"/>
    <s v="Desktop"/>
    <s v="Asia Pacific"/>
    <s v="SQL"/>
    <m/>
    <m/>
    <m/>
    <n v="3"/>
    <x v="3"/>
    <n v="1"/>
    <n v="1"/>
    <n v="0"/>
  </r>
  <r>
    <s v="LD2044"/>
    <d v="2024-03-24T00:00:00"/>
    <x v="1"/>
    <s v="Google Ads - Brand"/>
    <s v="Desktop"/>
    <s v="North America"/>
    <s v="Lead"/>
    <m/>
    <m/>
    <m/>
    <n v="1"/>
    <x v="8"/>
    <n v="0"/>
    <n v="0"/>
    <n v="0"/>
  </r>
  <r>
    <s v="LD2317"/>
    <d v="2024-03-07T00:00:00"/>
    <x v="3"/>
    <s v="Monthly Newsletter"/>
    <s v="Desktop"/>
    <s v="Latin America"/>
    <s v="Lead"/>
    <m/>
    <m/>
    <m/>
    <n v="1"/>
    <x v="8"/>
    <n v="0"/>
    <n v="0"/>
    <n v="0"/>
  </r>
  <r>
    <s v="LD1969"/>
    <d v="2024-03-19T00:00:00"/>
    <x v="5"/>
    <s v="Landing Page SEO"/>
    <s v="Desktop"/>
    <s v="North America"/>
    <s v="SQL"/>
    <m/>
    <m/>
    <m/>
    <n v="3"/>
    <x v="8"/>
    <n v="1"/>
    <n v="1"/>
    <n v="0"/>
  </r>
  <r>
    <s v="LD3382"/>
    <d v="2024-05-10T00:00:00"/>
    <x v="3"/>
    <s v="Monthly Newsletter"/>
    <s v="Mobile"/>
    <s v="North America"/>
    <s v="Customer"/>
    <n v="68"/>
    <s v="Basic"/>
    <n v="815.27"/>
    <n v="4"/>
    <x v="4"/>
    <n v="1"/>
    <n v="1"/>
    <n v="1"/>
  </r>
  <r>
    <s v="LD6411"/>
    <d v="2024-11-24T00:00:00"/>
    <x v="5"/>
    <s v="Blog SEO"/>
    <s v="Desktop"/>
    <s v="North America"/>
    <s v="MQL"/>
    <m/>
    <m/>
    <m/>
    <n v="2"/>
    <x v="2"/>
    <n v="1"/>
    <n v="0"/>
    <n v="0"/>
  </r>
  <r>
    <s v="LD2940"/>
    <d v="2024-04-04T00:00:00"/>
    <x v="4"/>
    <s v="Affiliate Program"/>
    <s v="Desktop"/>
    <s v="Europe"/>
    <s v="SQL"/>
    <m/>
    <m/>
    <m/>
    <n v="3"/>
    <x v="1"/>
    <n v="1"/>
    <n v="1"/>
    <n v="0"/>
  </r>
  <r>
    <s v="LD5869"/>
    <d v="2024-10-26T00:00:00"/>
    <x v="0"/>
    <s v="Instagram Ads"/>
    <s v="Mobile"/>
    <s v="North America"/>
    <s v="Lead"/>
    <m/>
    <m/>
    <m/>
    <n v="1"/>
    <x v="5"/>
    <n v="0"/>
    <n v="0"/>
    <n v="0"/>
  </r>
  <r>
    <s v="LD2275"/>
    <d v="2024-03-06T00:00:00"/>
    <x v="3"/>
    <s v="Promo Blast"/>
    <s v="Desktop"/>
    <s v="Asia Pacific"/>
    <s v="Lead"/>
    <m/>
    <m/>
    <m/>
    <n v="1"/>
    <x v="8"/>
    <n v="0"/>
    <n v="0"/>
    <n v="0"/>
  </r>
  <r>
    <s v="LD1620"/>
    <d v="2024-02-07T00:00:00"/>
    <x v="1"/>
    <s v="Google Ads - Generic"/>
    <s v="Desktop"/>
    <s v="North America"/>
    <s v="Lead"/>
    <m/>
    <m/>
    <m/>
    <n v="1"/>
    <x v="10"/>
    <n v="0"/>
    <n v="0"/>
    <n v="0"/>
  </r>
  <r>
    <s v="LD6483"/>
    <d v="2024-11-28T00:00:00"/>
    <x v="1"/>
    <s v="Google Ads - Generic"/>
    <s v="Mobile"/>
    <s v="Asia Pacific"/>
    <s v="MQL"/>
    <m/>
    <m/>
    <m/>
    <n v="2"/>
    <x v="2"/>
    <n v="1"/>
    <n v="0"/>
    <n v="0"/>
  </r>
  <r>
    <s v="LD2743"/>
    <d v="2024-04-09T00:00:00"/>
    <x v="3"/>
    <s v="Promo Blast"/>
    <s v="Mobile"/>
    <s v="North America"/>
    <s v="SQL"/>
    <m/>
    <m/>
    <m/>
    <n v="3"/>
    <x v="1"/>
    <n v="1"/>
    <n v="1"/>
    <n v="0"/>
  </r>
  <r>
    <s v="LD2391"/>
    <d v="2024-03-13T00:00:00"/>
    <x v="4"/>
    <s v="Affiliate Program"/>
    <s v="Desktop"/>
    <s v="North America"/>
    <s v="Lead"/>
    <m/>
    <m/>
    <m/>
    <n v="1"/>
    <x v="8"/>
    <n v="0"/>
    <n v="0"/>
    <n v="0"/>
  </r>
  <r>
    <s v="LD6524"/>
    <d v="2024-11-17T00:00:00"/>
    <x v="1"/>
    <s v="Google Ads - Generic"/>
    <s v="Desktop"/>
    <s v="Latin America"/>
    <s v="Lead"/>
    <m/>
    <m/>
    <m/>
    <n v="1"/>
    <x v="2"/>
    <n v="0"/>
    <n v="0"/>
    <n v="0"/>
  </r>
  <r>
    <s v="LD2580"/>
    <d v="2024-04-20T00:00:00"/>
    <x v="1"/>
    <s v="Google Ads - Generic"/>
    <s v="Desktop"/>
    <s v="Europe"/>
    <s v="Lead"/>
    <m/>
    <m/>
    <m/>
    <n v="1"/>
    <x v="1"/>
    <n v="0"/>
    <n v="0"/>
    <n v="0"/>
  </r>
  <r>
    <s v="LD2656"/>
    <d v="2024-04-20T00:00:00"/>
    <x v="1"/>
    <s v="Google Ads - Generic"/>
    <s v="Desktop"/>
    <s v="North America"/>
    <s v="MQL"/>
    <m/>
    <m/>
    <m/>
    <n v="2"/>
    <x v="1"/>
    <n v="1"/>
    <n v="0"/>
    <n v="0"/>
  </r>
  <r>
    <s v="LD4569"/>
    <d v="2024-08-13T00:00:00"/>
    <x v="5"/>
    <s v="Blog SEO"/>
    <s v="Desktop"/>
    <s v="North America"/>
    <s v="SQL"/>
    <m/>
    <m/>
    <m/>
    <n v="3"/>
    <x v="6"/>
    <n v="1"/>
    <n v="1"/>
    <n v="0"/>
  </r>
  <r>
    <s v="LD3353"/>
    <d v="2024-05-09T00:00:00"/>
    <x v="3"/>
    <s v="Promo Blast"/>
    <s v="Mobile"/>
    <s v="North America"/>
    <s v="SQL"/>
    <m/>
    <m/>
    <m/>
    <n v="3"/>
    <x v="4"/>
    <n v="1"/>
    <n v="1"/>
    <n v="0"/>
  </r>
  <r>
    <s v="LD3213"/>
    <d v="2024-05-01T00:00:00"/>
    <x v="0"/>
    <s v="LinkedIn Ads"/>
    <s v="Desktop"/>
    <s v="Asia Pacific"/>
    <s v="Lead"/>
    <m/>
    <m/>
    <m/>
    <n v="1"/>
    <x v="4"/>
    <n v="0"/>
    <n v="0"/>
    <n v="0"/>
  </r>
  <r>
    <s v="LD7744"/>
    <d v="2024-12-25T00:00:00"/>
    <x v="2"/>
    <s v="Direct / Type-in"/>
    <s v="Mobile"/>
    <s v="Europe"/>
    <s v="Lead"/>
    <m/>
    <m/>
    <m/>
    <n v="1"/>
    <x v="7"/>
    <n v="0"/>
    <n v="0"/>
    <n v="0"/>
  </r>
  <r>
    <s v="LD4179"/>
    <d v="2024-07-01T00:00:00"/>
    <x v="1"/>
    <s v="Google Ads - Generic"/>
    <s v="Mobile"/>
    <s v="North America"/>
    <s v="Lead"/>
    <m/>
    <m/>
    <m/>
    <n v="1"/>
    <x v="0"/>
    <n v="0"/>
    <n v="0"/>
    <n v="0"/>
  </r>
  <r>
    <s v="LD4193"/>
    <d v="2024-07-19T00:00:00"/>
    <x v="1"/>
    <s v="Google Ads - Generic"/>
    <s v="Mobile"/>
    <s v="Latin America"/>
    <s v="Lead"/>
    <m/>
    <m/>
    <m/>
    <n v="1"/>
    <x v="0"/>
    <n v="0"/>
    <n v="0"/>
    <n v="0"/>
  </r>
  <r>
    <s v="LD2308"/>
    <d v="2024-03-16T00:00:00"/>
    <x v="3"/>
    <s v="Monthly Newsletter"/>
    <s v="Desktop"/>
    <s v="North America"/>
    <s v="MQL"/>
    <m/>
    <m/>
    <m/>
    <n v="2"/>
    <x v="8"/>
    <n v="1"/>
    <n v="0"/>
    <n v="0"/>
  </r>
  <r>
    <s v="LD1576"/>
    <d v="2024-02-09T00:00:00"/>
    <x v="1"/>
    <s v="Google Ads - Generic"/>
    <s v="Mobile"/>
    <s v="Europe"/>
    <s v="Lead"/>
    <m/>
    <m/>
    <m/>
    <n v="1"/>
    <x v="10"/>
    <n v="0"/>
    <n v="0"/>
    <n v="0"/>
  </r>
  <r>
    <s v="LD3361"/>
    <d v="2024-05-05T00:00:00"/>
    <x v="3"/>
    <s v="Promo Blast"/>
    <s v="Desktop"/>
    <s v="North America"/>
    <s v="Lead"/>
    <m/>
    <m/>
    <m/>
    <n v="1"/>
    <x v="4"/>
    <n v="0"/>
    <n v="0"/>
    <n v="0"/>
  </r>
  <r>
    <s v="LD2281"/>
    <d v="2024-03-13T00:00:00"/>
    <x v="3"/>
    <s v="Monthly Newsletter"/>
    <s v="Mobile"/>
    <s v="North America"/>
    <s v="SQL"/>
    <m/>
    <m/>
    <m/>
    <n v="3"/>
    <x v="8"/>
    <n v="1"/>
    <n v="1"/>
    <n v="0"/>
  </r>
  <r>
    <s v="LD6519"/>
    <d v="2024-11-10T00:00:00"/>
    <x v="1"/>
    <s v="Google Ads - Brand"/>
    <s v="Desktop"/>
    <s v="Asia Pacific"/>
    <s v="Lead"/>
    <m/>
    <m/>
    <m/>
    <n v="1"/>
    <x v="2"/>
    <n v="0"/>
    <n v="0"/>
    <n v="0"/>
  </r>
  <r>
    <s v="LD7094"/>
    <d v="2024-12-04T00:00:00"/>
    <x v="5"/>
    <s v="Blog SEO"/>
    <s v="Desktop"/>
    <s v="North America"/>
    <s v="Lead"/>
    <m/>
    <m/>
    <m/>
    <n v="1"/>
    <x v="7"/>
    <n v="0"/>
    <n v="0"/>
    <n v="0"/>
  </r>
  <r>
    <s v="LD2994"/>
    <d v="2024-04-07T00:00:00"/>
    <x v="2"/>
    <s v="Direct / Type-in"/>
    <s v="Desktop"/>
    <s v="North America"/>
    <s v="SQL"/>
    <m/>
    <m/>
    <m/>
    <n v="3"/>
    <x v="1"/>
    <n v="1"/>
    <n v="1"/>
    <n v="0"/>
  </r>
  <r>
    <s v="LD3640"/>
    <d v="2024-06-25T00:00:00"/>
    <x v="5"/>
    <s v="Landing Page SEO"/>
    <s v="Desktop"/>
    <s v="Asia Pacific"/>
    <s v="Lead"/>
    <m/>
    <m/>
    <m/>
    <n v="1"/>
    <x v="11"/>
    <n v="0"/>
    <n v="0"/>
    <n v="0"/>
  </r>
  <r>
    <s v="LD1270"/>
    <d v="2024-01-26T00:00:00"/>
    <x v="3"/>
    <s v="Promo Blast"/>
    <s v="Desktop"/>
    <s v="Asia Pacific"/>
    <s v="MQL"/>
    <m/>
    <m/>
    <m/>
    <n v="2"/>
    <x v="3"/>
    <n v="1"/>
    <n v="0"/>
    <n v="0"/>
  </r>
  <r>
    <s v="LD1630"/>
    <d v="2024-02-06T00:00:00"/>
    <x v="1"/>
    <s v="Google Ads - Brand"/>
    <s v="Desktop"/>
    <s v="Europe"/>
    <s v="Lead"/>
    <m/>
    <m/>
    <m/>
    <n v="1"/>
    <x v="10"/>
    <n v="0"/>
    <n v="0"/>
    <n v="0"/>
  </r>
  <r>
    <s v="LD6023"/>
    <d v="2024-10-24T00:00:00"/>
    <x v="3"/>
    <s v="Monthly Newsletter"/>
    <s v="Mobile"/>
    <s v="Latin America"/>
    <s v="MQL"/>
    <m/>
    <m/>
    <m/>
    <n v="2"/>
    <x v="5"/>
    <n v="1"/>
    <n v="0"/>
    <n v="0"/>
  </r>
  <r>
    <s v="LD4082"/>
    <d v="2024-07-21T00:00:00"/>
    <x v="5"/>
    <s v="Blog SEO"/>
    <s v="Desktop"/>
    <s v="North America"/>
    <s v="SQL"/>
    <m/>
    <m/>
    <m/>
    <n v="3"/>
    <x v="0"/>
    <n v="1"/>
    <n v="1"/>
    <n v="0"/>
  </r>
  <r>
    <s v="LD4467"/>
    <d v="2024-07-07T00:00:00"/>
    <x v="2"/>
    <s v="Direct / Type-in"/>
    <s v="Desktop"/>
    <s v="Europe"/>
    <s v="Lead"/>
    <m/>
    <m/>
    <m/>
    <n v="1"/>
    <x v="0"/>
    <n v="0"/>
    <n v="0"/>
    <n v="0"/>
  </r>
  <r>
    <s v="LD7330"/>
    <d v="2024-12-14T00:00:00"/>
    <x v="0"/>
    <s v="Instagram Ads"/>
    <s v="Desktop"/>
    <s v="Europe"/>
    <s v="MQL"/>
    <m/>
    <m/>
    <m/>
    <n v="2"/>
    <x v="7"/>
    <n v="1"/>
    <n v="0"/>
    <n v="0"/>
  </r>
  <r>
    <s v="LD5397"/>
    <d v="2024-09-13T00:00:00"/>
    <x v="3"/>
    <s v="Promo Blast"/>
    <s v="Desktop"/>
    <s v="Europe"/>
    <s v="MQL"/>
    <m/>
    <m/>
    <m/>
    <n v="2"/>
    <x v="9"/>
    <n v="1"/>
    <n v="0"/>
    <n v="0"/>
  </r>
  <r>
    <s v="LD5024"/>
    <d v="2024-09-10T00:00:00"/>
    <x v="5"/>
    <s v="Landing Page SEO"/>
    <s v="Desktop"/>
    <s v="Europe"/>
    <s v="MQL"/>
    <m/>
    <m/>
    <m/>
    <n v="2"/>
    <x v="9"/>
    <n v="1"/>
    <n v="0"/>
    <n v="0"/>
  </r>
  <r>
    <s v="LD7426"/>
    <d v="2024-12-27T00:00:00"/>
    <x v="3"/>
    <s v="Monthly Newsletter"/>
    <s v="Mobile"/>
    <s v="Asia Pacific"/>
    <s v="Lead"/>
    <m/>
    <m/>
    <m/>
    <n v="1"/>
    <x v="7"/>
    <n v="0"/>
    <n v="0"/>
    <n v="0"/>
  </r>
  <r>
    <s v="LD3047"/>
    <d v="2024-05-08T00:00:00"/>
    <x v="5"/>
    <s v="Blog SEO"/>
    <s v="Mobile"/>
    <s v="Europe"/>
    <s v="Lead"/>
    <m/>
    <m/>
    <m/>
    <n v="1"/>
    <x v="4"/>
    <n v="0"/>
    <n v="0"/>
    <n v="0"/>
  </r>
  <r>
    <s v="LD5357"/>
    <d v="2024-09-25T00:00:00"/>
    <x v="3"/>
    <s v="Promo Blast"/>
    <s v="Desktop"/>
    <s v="Europe"/>
    <s v="SQL"/>
    <m/>
    <m/>
    <m/>
    <n v="3"/>
    <x v="9"/>
    <n v="1"/>
    <n v="1"/>
    <n v="0"/>
  </r>
  <r>
    <s v="LD6327"/>
    <d v="2024-11-13T00:00:00"/>
    <x v="5"/>
    <s v="Blog SEO"/>
    <s v="Desktop"/>
    <s v="Europe"/>
    <s v="Lead"/>
    <m/>
    <m/>
    <m/>
    <n v="1"/>
    <x v="2"/>
    <n v="0"/>
    <n v="0"/>
    <n v="0"/>
  </r>
  <r>
    <s v="LD3114"/>
    <d v="2024-05-07T00:00:00"/>
    <x v="1"/>
    <s v="Google Ads - Generic"/>
    <s v="Desktop"/>
    <s v="North America"/>
    <s v="MQL"/>
    <m/>
    <m/>
    <m/>
    <n v="2"/>
    <x v="4"/>
    <n v="1"/>
    <n v="0"/>
    <n v="0"/>
  </r>
  <r>
    <s v="LD1028"/>
    <d v="2024-01-23T00:00:00"/>
    <x v="5"/>
    <s v="Landing Page SEO"/>
    <s v="Desktop"/>
    <s v="Europe"/>
    <s v="MQL"/>
    <m/>
    <m/>
    <m/>
    <n v="2"/>
    <x v="3"/>
    <n v="1"/>
    <n v="0"/>
    <n v="0"/>
  </r>
  <r>
    <s v="LD3041"/>
    <d v="2024-05-24T00:00:00"/>
    <x v="5"/>
    <s v="Landing Page SEO"/>
    <s v="Desktop"/>
    <s v="North America"/>
    <s v="Lead"/>
    <m/>
    <m/>
    <m/>
    <n v="1"/>
    <x v="4"/>
    <n v="0"/>
    <n v="0"/>
    <n v="0"/>
  </r>
  <r>
    <s v="LD4929"/>
    <d v="2024-08-07T00:00:00"/>
    <x v="4"/>
    <s v="Affiliate Program"/>
    <s v="Mobile"/>
    <s v="Asia Pacific"/>
    <s v="Lead"/>
    <m/>
    <m/>
    <m/>
    <n v="1"/>
    <x v="6"/>
    <n v="0"/>
    <n v="0"/>
    <n v="0"/>
  </r>
  <r>
    <s v="LD7129"/>
    <d v="2024-12-08T00:00:00"/>
    <x v="5"/>
    <s v="Landing Page SEO"/>
    <s v="Desktop"/>
    <s v="North America"/>
    <s v="SQL"/>
    <m/>
    <m/>
    <m/>
    <n v="3"/>
    <x v="7"/>
    <n v="1"/>
    <n v="1"/>
    <n v="0"/>
  </r>
  <r>
    <s v="LD4217"/>
    <d v="2024-07-23T00:00:00"/>
    <x v="0"/>
    <s v="Instagram Ads"/>
    <s v="Mobile"/>
    <s v="Asia Pacific"/>
    <s v="Lead"/>
    <m/>
    <m/>
    <m/>
    <n v="1"/>
    <x v="0"/>
    <n v="0"/>
    <n v="0"/>
    <n v="0"/>
  </r>
  <r>
    <s v="LD4815"/>
    <d v="2024-08-23T00:00:00"/>
    <x v="3"/>
    <s v="Promo Blast"/>
    <s v="Desktop"/>
    <s v="North America"/>
    <s v="Lead"/>
    <m/>
    <m/>
    <m/>
    <n v="1"/>
    <x v="6"/>
    <n v="0"/>
    <n v="0"/>
    <n v="0"/>
  </r>
  <r>
    <s v="LD1130"/>
    <d v="2024-01-22T00:00:00"/>
    <x v="1"/>
    <s v="Google Ads - Brand"/>
    <s v="Desktop"/>
    <s v="Europe"/>
    <s v="Lead"/>
    <m/>
    <m/>
    <m/>
    <n v="1"/>
    <x v="3"/>
    <n v="0"/>
    <n v="0"/>
    <n v="0"/>
  </r>
  <r>
    <s v="LD6026"/>
    <d v="2024-10-11T00:00:00"/>
    <x v="3"/>
    <s v="Monthly Newsletter"/>
    <s v="Tablet"/>
    <s v="North America"/>
    <s v="Lead"/>
    <m/>
    <m/>
    <m/>
    <n v="1"/>
    <x v="5"/>
    <n v="0"/>
    <n v="0"/>
    <n v="0"/>
  </r>
  <r>
    <s v="LD7658"/>
    <d v="2024-12-10T00:00:00"/>
    <x v="4"/>
    <s v="Affiliate Program"/>
    <s v="Mobile"/>
    <s v="Europe"/>
    <s v="Lead"/>
    <m/>
    <m/>
    <m/>
    <n v="1"/>
    <x v="7"/>
    <n v="0"/>
    <n v="0"/>
    <n v="0"/>
  </r>
  <r>
    <s v="LD5600"/>
    <d v="2024-09-06T00:00:00"/>
    <x v="2"/>
    <s v="Direct / Type-in"/>
    <s v="Mobile"/>
    <s v="North America"/>
    <s v="Lead"/>
    <m/>
    <m/>
    <m/>
    <n v="1"/>
    <x v="9"/>
    <n v="0"/>
    <n v="0"/>
    <n v="0"/>
  </r>
  <r>
    <s v="LD1014"/>
    <d v="2024-01-21T00:00:00"/>
    <x v="5"/>
    <s v="Landing Page SEO"/>
    <s v="Desktop"/>
    <s v="North America"/>
    <s v="Lead"/>
    <m/>
    <m/>
    <m/>
    <n v="1"/>
    <x v="3"/>
    <n v="0"/>
    <n v="0"/>
    <n v="0"/>
  </r>
  <r>
    <s v="LD6819"/>
    <d v="2024-11-11T00:00:00"/>
    <x v="3"/>
    <s v="Monthly Newsletter"/>
    <s v="Desktop"/>
    <s v="Asia Pacific"/>
    <s v="Lead"/>
    <m/>
    <m/>
    <m/>
    <n v="1"/>
    <x v="2"/>
    <n v="0"/>
    <n v="0"/>
    <n v="0"/>
  </r>
  <r>
    <s v="LD5477"/>
    <d v="2024-09-06T00:00:00"/>
    <x v="4"/>
    <s v="Partner Program"/>
    <s v="Desktop"/>
    <s v="Asia Pacific"/>
    <s v="Lead"/>
    <m/>
    <m/>
    <m/>
    <n v="1"/>
    <x v="9"/>
    <n v="0"/>
    <n v="0"/>
    <n v="0"/>
  </r>
  <r>
    <s v="LD2526"/>
    <d v="2024-04-09T00:00:00"/>
    <x v="5"/>
    <s v="Blog SEO"/>
    <s v="Mobile"/>
    <s v="Europe"/>
    <s v="Lead"/>
    <m/>
    <m/>
    <m/>
    <n v="1"/>
    <x v="1"/>
    <n v="0"/>
    <n v="0"/>
    <n v="0"/>
  </r>
  <r>
    <s v="LD3366"/>
    <d v="2024-05-01T00:00:00"/>
    <x v="3"/>
    <s v="Promo Blast"/>
    <s v="Mobile"/>
    <s v="North America"/>
    <s v="MQL"/>
    <m/>
    <m/>
    <m/>
    <n v="2"/>
    <x v="4"/>
    <n v="1"/>
    <n v="0"/>
    <n v="0"/>
  </r>
  <r>
    <s v="LD5649"/>
    <d v="2024-10-06T00:00:00"/>
    <x v="5"/>
    <s v="Landing Page SEO"/>
    <s v="Mobile"/>
    <s v="Latin America"/>
    <s v="SQL"/>
    <m/>
    <m/>
    <m/>
    <n v="3"/>
    <x v="5"/>
    <n v="1"/>
    <n v="1"/>
    <n v="0"/>
  </r>
  <r>
    <s v="LD4053"/>
    <d v="2024-07-01T00:00:00"/>
    <x v="5"/>
    <s v="Landing Page SEO"/>
    <s v="Mobile"/>
    <s v="North America"/>
    <s v="SQL"/>
    <m/>
    <m/>
    <m/>
    <n v="3"/>
    <x v="0"/>
    <n v="1"/>
    <n v="1"/>
    <n v="0"/>
  </r>
  <r>
    <s v="LD5006"/>
    <d v="2024-08-13T00:00:00"/>
    <x v="2"/>
    <s v="Direct / Type-in"/>
    <s v="Mobile"/>
    <s v="North America"/>
    <s v="Lead"/>
    <m/>
    <m/>
    <m/>
    <n v="1"/>
    <x v="6"/>
    <n v="0"/>
    <n v="0"/>
    <n v="0"/>
  </r>
  <r>
    <s v="LD3341"/>
    <d v="2024-05-26T00:00:00"/>
    <x v="3"/>
    <s v="Promo Blast"/>
    <s v="Mobile"/>
    <s v="Europe"/>
    <s v="MQL"/>
    <m/>
    <m/>
    <m/>
    <n v="2"/>
    <x v="4"/>
    <n v="1"/>
    <n v="0"/>
    <n v="0"/>
  </r>
  <r>
    <s v="LD1375"/>
    <d v="2024-01-08T00:00:00"/>
    <x v="4"/>
    <s v="Partner Program"/>
    <s v="Desktop"/>
    <s v="Europe"/>
    <s v="Lead"/>
    <m/>
    <m/>
    <m/>
    <n v="1"/>
    <x v="3"/>
    <n v="0"/>
    <n v="0"/>
    <n v="0"/>
  </r>
  <r>
    <s v="LD6521"/>
    <d v="2024-11-07T00:00:00"/>
    <x v="1"/>
    <s v="Google Ads - Generic"/>
    <s v="Desktop"/>
    <s v="Asia Pacific"/>
    <s v="Lead"/>
    <m/>
    <m/>
    <m/>
    <n v="1"/>
    <x v="2"/>
    <n v="0"/>
    <n v="0"/>
    <n v="0"/>
  </r>
  <r>
    <s v="LD6830"/>
    <d v="2024-11-03T00:00:00"/>
    <x v="3"/>
    <s v="Monthly Newsletter"/>
    <s v="Desktop"/>
    <s v="North America"/>
    <s v="Customer"/>
    <n v="15"/>
    <s v="Basic"/>
    <n v="541.61"/>
    <n v="4"/>
    <x v="2"/>
    <n v="1"/>
    <n v="1"/>
    <n v="1"/>
  </r>
  <r>
    <s v="LD1940"/>
    <d v="2024-02-19T00:00:00"/>
    <x v="2"/>
    <s v="Direct / Type-in"/>
    <s v="Mobile"/>
    <s v="North America"/>
    <s v="Lead"/>
    <m/>
    <m/>
    <m/>
    <n v="1"/>
    <x v="10"/>
    <n v="0"/>
    <n v="0"/>
    <n v="0"/>
  </r>
  <r>
    <s v="LD7494"/>
    <d v="2024-12-28T00:00:00"/>
    <x v="3"/>
    <s v="Monthly Newsletter"/>
    <s v="Desktop"/>
    <s v="Asia Pacific"/>
    <s v="Lead"/>
    <m/>
    <m/>
    <m/>
    <n v="1"/>
    <x v="7"/>
    <n v="0"/>
    <n v="0"/>
    <n v="0"/>
  </r>
  <r>
    <s v="LD5574"/>
    <d v="2024-09-14T00:00:00"/>
    <x v="2"/>
    <s v="Direct / Type-in"/>
    <s v="Desktop"/>
    <s v="Asia Pacific"/>
    <s v="MQL"/>
    <m/>
    <m/>
    <m/>
    <n v="2"/>
    <x v="9"/>
    <n v="1"/>
    <n v="0"/>
    <n v="0"/>
  </r>
  <r>
    <s v="LD3148"/>
    <d v="2024-05-24T00:00:00"/>
    <x v="1"/>
    <s v="Google Ads - Generic"/>
    <s v="Mobile"/>
    <s v="North America"/>
    <s v="MQL"/>
    <m/>
    <m/>
    <m/>
    <n v="2"/>
    <x v="4"/>
    <n v="1"/>
    <n v="0"/>
    <n v="0"/>
  </r>
  <r>
    <s v="LD4592"/>
    <d v="2024-08-04T00:00:00"/>
    <x v="1"/>
    <s v="Google Ads - Generic"/>
    <s v="Desktop"/>
    <s v="Europe"/>
    <s v="Lead"/>
    <m/>
    <m/>
    <m/>
    <n v="1"/>
    <x v="6"/>
    <n v="0"/>
    <n v="0"/>
    <n v="0"/>
  </r>
  <r>
    <s v="LD7155"/>
    <d v="2024-12-16T00:00:00"/>
    <x v="5"/>
    <s v="Landing Page SEO"/>
    <s v="Mobile"/>
    <s v="Asia Pacific"/>
    <s v="Lead"/>
    <m/>
    <m/>
    <m/>
    <n v="1"/>
    <x v="7"/>
    <n v="0"/>
    <n v="0"/>
    <n v="0"/>
  </r>
  <r>
    <s v="LD6704"/>
    <d v="2024-11-17T00:00:00"/>
    <x v="3"/>
    <s v="Monthly Newsletter"/>
    <s v="Mobile"/>
    <s v="North America"/>
    <s v="SQL"/>
    <m/>
    <m/>
    <m/>
    <n v="3"/>
    <x v="2"/>
    <n v="1"/>
    <n v="1"/>
    <n v="0"/>
  </r>
  <r>
    <s v="LD4624"/>
    <d v="2024-08-11T00:00:00"/>
    <x v="1"/>
    <s v="Google Ads - Brand"/>
    <s v="Desktop"/>
    <s v="North America"/>
    <s v="Lead"/>
    <m/>
    <m/>
    <m/>
    <n v="1"/>
    <x v="6"/>
    <n v="0"/>
    <n v="0"/>
    <n v="0"/>
  </r>
  <r>
    <s v="LD1530"/>
    <d v="2024-02-24T00:00:00"/>
    <x v="5"/>
    <s v="Blog SEO"/>
    <s v="Mobile"/>
    <s v="Latin America"/>
    <s v="Lead"/>
    <m/>
    <m/>
    <m/>
    <n v="1"/>
    <x v="10"/>
    <n v="0"/>
    <n v="0"/>
    <n v="0"/>
  </r>
  <r>
    <s v="LD4715"/>
    <d v="2024-08-23T00:00:00"/>
    <x v="0"/>
    <s v="Instagram Ads"/>
    <s v="Mobile"/>
    <s v="Europe"/>
    <s v="Lead"/>
    <m/>
    <m/>
    <m/>
    <n v="1"/>
    <x v="6"/>
    <n v="0"/>
    <n v="0"/>
    <n v="0"/>
  </r>
  <r>
    <s v="LD5733"/>
    <d v="2024-10-13T00:00:00"/>
    <x v="1"/>
    <s v="Google Ads - Generic"/>
    <s v="Mobile"/>
    <s v="North America"/>
    <s v="Lead"/>
    <m/>
    <m/>
    <m/>
    <n v="1"/>
    <x v="5"/>
    <n v="0"/>
    <n v="0"/>
    <n v="0"/>
  </r>
  <r>
    <s v="LD2270"/>
    <d v="2024-03-16T00:00:00"/>
    <x v="3"/>
    <s v="Promo Blast"/>
    <s v="Desktop"/>
    <s v="North America"/>
    <s v="MQL"/>
    <m/>
    <m/>
    <m/>
    <n v="2"/>
    <x v="8"/>
    <n v="1"/>
    <n v="0"/>
    <n v="0"/>
  </r>
  <r>
    <s v="LD5282"/>
    <d v="2024-09-03T00:00:00"/>
    <x v="0"/>
    <s v="LinkedIn Ads"/>
    <s v="Mobile"/>
    <s v="Asia Pacific"/>
    <s v="Lead"/>
    <m/>
    <m/>
    <m/>
    <n v="1"/>
    <x v="9"/>
    <n v="0"/>
    <n v="0"/>
    <n v="0"/>
  </r>
  <r>
    <s v="LD2395"/>
    <d v="2024-03-16T00:00:00"/>
    <x v="4"/>
    <s v="Partner Program"/>
    <s v="Desktop"/>
    <s v="North America"/>
    <s v="Lead"/>
    <m/>
    <m/>
    <m/>
    <n v="1"/>
    <x v="8"/>
    <n v="0"/>
    <n v="0"/>
    <n v="0"/>
  </r>
  <r>
    <s v="LD5010"/>
    <d v="2024-08-02T00:00:00"/>
    <x v="2"/>
    <s v="Direct / Type-in"/>
    <s v="Mobile"/>
    <s v="North America"/>
    <s v="Lead"/>
    <m/>
    <m/>
    <m/>
    <n v="1"/>
    <x v="6"/>
    <n v="0"/>
    <n v="0"/>
    <n v="0"/>
  </r>
  <r>
    <s v="LD5391"/>
    <d v="2024-09-21T00:00:00"/>
    <x v="3"/>
    <s v="Monthly Newsletter"/>
    <s v="Desktop"/>
    <s v="North America"/>
    <s v="Lead"/>
    <m/>
    <m/>
    <m/>
    <n v="1"/>
    <x v="9"/>
    <n v="0"/>
    <n v="0"/>
    <n v="0"/>
  </r>
  <r>
    <s v="LD2798"/>
    <d v="2024-04-15T00:00:00"/>
    <x v="3"/>
    <s v="Promo Blast"/>
    <s v="Mobile"/>
    <s v="North America"/>
    <s v="MQL"/>
    <m/>
    <m/>
    <m/>
    <n v="2"/>
    <x v="1"/>
    <n v="1"/>
    <n v="0"/>
    <n v="0"/>
  </r>
  <r>
    <s v="LD3980"/>
    <d v="2024-06-28T00:00:00"/>
    <x v="4"/>
    <s v="Affiliate Program"/>
    <s v="Desktop"/>
    <s v="Europe"/>
    <s v="Customer"/>
    <n v="73"/>
    <s v="Pro"/>
    <n v="1866.05"/>
    <n v="4"/>
    <x v="11"/>
    <n v="1"/>
    <n v="1"/>
    <n v="1"/>
  </r>
  <r>
    <s v="LD2442"/>
    <d v="2024-03-24T00:00:00"/>
    <x v="2"/>
    <s v="Direct / Type-in"/>
    <s v="Mobile"/>
    <s v="Asia Pacific"/>
    <s v="Lead"/>
    <m/>
    <m/>
    <m/>
    <n v="1"/>
    <x v="8"/>
    <n v="0"/>
    <n v="0"/>
    <n v="0"/>
  </r>
  <r>
    <s v="LD6072"/>
    <d v="2024-10-24T00:00:00"/>
    <x v="3"/>
    <s v="Monthly Newsletter"/>
    <s v="Mobile"/>
    <s v="North America"/>
    <s v="Customer"/>
    <n v="27"/>
    <s v="Pro"/>
    <n v="2617.69"/>
    <n v="4"/>
    <x v="5"/>
    <n v="1"/>
    <n v="1"/>
    <n v="1"/>
  </r>
  <r>
    <s v="LD7610"/>
    <d v="2024-12-09T00:00:00"/>
    <x v="4"/>
    <s v="Affiliate Program"/>
    <s v="Mobile"/>
    <s v="Asia Pacific"/>
    <s v="MQL"/>
    <m/>
    <m/>
    <m/>
    <n v="2"/>
    <x v="7"/>
    <n v="1"/>
    <n v="0"/>
    <n v="0"/>
  </r>
  <r>
    <s v="LD4812"/>
    <d v="2024-08-08T00:00:00"/>
    <x v="3"/>
    <s v="Promo Blast"/>
    <s v="Desktop"/>
    <s v="North America"/>
    <s v="SQL"/>
    <m/>
    <m/>
    <m/>
    <n v="3"/>
    <x v="6"/>
    <n v="1"/>
    <n v="1"/>
    <n v="0"/>
  </r>
  <r>
    <s v="LD2274"/>
    <d v="2024-03-23T00:00:00"/>
    <x v="3"/>
    <s v="Monthly Newsletter"/>
    <s v="Desktop"/>
    <s v="North America"/>
    <s v="Lead"/>
    <m/>
    <m/>
    <m/>
    <n v="1"/>
    <x v="8"/>
    <n v="0"/>
    <n v="0"/>
    <n v="0"/>
  </r>
  <r>
    <s v="LD5704"/>
    <d v="2024-10-17T00:00:00"/>
    <x v="5"/>
    <s v="Landing Page SEO"/>
    <s v="Mobile"/>
    <s v="North America"/>
    <s v="Customer"/>
    <n v="45"/>
    <s v="Basic"/>
    <n v="800.58"/>
    <n v="4"/>
    <x v="5"/>
    <n v="1"/>
    <n v="1"/>
    <n v="1"/>
  </r>
  <r>
    <s v="LD2713"/>
    <d v="2024-04-08T00:00:00"/>
    <x v="0"/>
    <s v="Instagram Ads"/>
    <s v="Desktop"/>
    <s v="Asia Pacific"/>
    <s v="Lead"/>
    <m/>
    <m/>
    <m/>
    <n v="1"/>
    <x v="1"/>
    <n v="0"/>
    <n v="0"/>
    <n v="0"/>
  </r>
  <r>
    <s v="LD1956"/>
    <d v="2024-03-11T00:00:00"/>
    <x v="5"/>
    <s v="Landing Page SEO"/>
    <s v="Mobile"/>
    <s v="Asia Pacific"/>
    <s v="MQL"/>
    <m/>
    <m/>
    <m/>
    <n v="2"/>
    <x v="8"/>
    <n v="1"/>
    <n v="0"/>
    <n v="0"/>
  </r>
  <r>
    <s v="LD6021"/>
    <d v="2024-10-20T00:00:00"/>
    <x v="3"/>
    <s v="Monthly Newsletter"/>
    <s v="Desktop"/>
    <s v="Europe"/>
    <s v="MQL"/>
    <m/>
    <m/>
    <m/>
    <n v="2"/>
    <x v="5"/>
    <n v="1"/>
    <n v="0"/>
    <n v="0"/>
  </r>
  <r>
    <s v="LD6420"/>
    <d v="2024-11-06T00:00:00"/>
    <x v="5"/>
    <s v="Landing Page SEO"/>
    <s v="Mobile"/>
    <s v="Europe"/>
    <s v="MQL"/>
    <m/>
    <m/>
    <m/>
    <n v="2"/>
    <x v="2"/>
    <n v="1"/>
    <n v="0"/>
    <n v="0"/>
  </r>
  <r>
    <s v="LD6995"/>
    <d v="2024-11-02T00:00:00"/>
    <x v="4"/>
    <s v="Partner Program"/>
    <s v="Desktop"/>
    <s v="North America"/>
    <s v="MQL"/>
    <m/>
    <m/>
    <m/>
    <n v="2"/>
    <x v="2"/>
    <n v="1"/>
    <n v="0"/>
    <n v="0"/>
  </r>
  <r>
    <s v="LD7226"/>
    <d v="2024-12-03T00:00:00"/>
    <x v="1"/>
    <s v="Google Ads - Brand"/>
    <s v="Desktop"/>
    <s v="North America"/>
    <s v="Lead"/>
    <m/>
    <m/>
    <m/>
    <n v="1"/>
    <x v="7"/>
    <n v="0"/>
    <n v="0"/>
    <n v="0"/>
  </r>
  <r>
    <s v="LD1404"/>
    <d v="2024-01-13T00:00:00"/>
    <x v="4"/>
    <s v="Partner Program"/>
    <s v="Mobile"/>
    <s v="North America"/>
    <s v="Customer"/>
    <n v="55"/>
    <s v="Pro"/>
    <n v="3718.65"/>
    <n v="4"/>
    <x v="3"/>
    <n v="1"/>
    <n v="1"/>
    <n v="1"/>
  </r>
  <r>
    <s v="LD3072"/>
    <d v="2024-05-16T00:00:00"/>
    <x v="5"/>
    <s v="Landing Page SEO"/>
    <s v="Desktop"/>
    <s v="North America"/>
    <s v="MQL"/>
    <m/>
    <m/>
    <m/>
    <n v="2"/>
    <x v="4"/>
    <n v="1"/>
    <n v="0"/>
    <n v="0"/>
  </r>
  <r>
    <s v="LD7444"/>
    <d v="2024-12-04T00:00:00"/>
    <x v="3"/>
    <s v="Monthly Newsletter"/>
    <s v="Desktop"/>
    <s v="North America"/>
    <s v="Lead"/>
    <m/>
    <m/>
    <m/>
    <n v="1"/>
    <x v="7"/>
    <n v="0"/>
    <n v="0"/>
    <n v="0"/>
  </r>
  <r>
    <s v="LD2978"/>
    <d v="2024-04-01T00:00:00"/>
    <x v="2"/>
    <s v="Direct / Type-in"/>
    <s v="Desktop"/>
    <s v="North America"/>
    <s v="Lead"/>
    <m/>
    <m/>
    <m/>
    <n v="1"/>
    <x v="1"/>
    <n v="0"/>
    <n v="0"/>
    <n v="0"/>
  </r>
  <r>
    <s v="LD1159"/>
    <d v="2024-01-05T00:00:00"/>
    <x v="1"/>
    <s v="Google Ads - Brand"/>
    <s v="Desktop"/>
    <s v="Latin America"/>
    <s v="MQL"/>
    <m/>
    <m/>
    <m/>
    <n v="2"/>
    <x v="3"/>
    <n v="1"/>
    <n v="0"/>
    <n v="0"/>
  </r>
  <r>
    <s v="LD4889"/>
    <d v="2024-08-25T00:00:00"/>
    <x v="4"/>
    <s v="Affiliate Program"/>
    <s v="Mobile"/>
    <s v="Europe"/>
    <s v="Lead"/>
    <m/>
    <m/>
    <m/>
    <n v="1"/>
    <x v="6"/>
    <n v="0"/>
    <n v="0"/>
    <n v="0"/>
  </r>
  <r>
    <s v="LD1903"/>
    <d v="2024-02-20T00:00:00"/>
    <x v="2"/>
    <s v="Direct / Type-in"/>
    <s v="Tablet"/>
    <s v="Europe"/>
    <s v="SQL"/>
    <m/>
    <m/>
    <m/>
    <n v="3"/>
    <x v="10"/>
    <n v="1"/>
    <n v="1"/>
    <n v="0"/>
  </r>
  <r>
    <s v="LD1353"/>
    <d v="2024-01-20T00:00:00"/>
    <x v="4"/>
    <s v="Affiliate Program"/>
    <s v="Desktop"/>
    <s v="Europe"/>
    <s v="SQL"/>
    <m/>
    <m/>
    <m/>
    <n v="3"/>
    <x v="3"/>
    <n v="1"/>
    <n v="1"/>
    <n v="0"/>
  </r>
  <r>
    <s v="LD5541"/>
    <d v="2024-09-07T00:00:00"/>
    <x v="4"/>
    <s v="Affiliate Program"/>
    <s v="Desktop"/>
    <s v="North America"/>
    <s v="Lead"/>
    <m/>
    <m/>
    <m/>
    <n v="1"/>
    <x v="9"/>
    <n v="0"/>
    <n v="0"/>
    <n v="0"/>
  </r>
  <r>
    <s v="LD5131"/>
    <d v="2024-09-06T00:00:00"/>
    <x v="1"/>
    <s v="Google Ads - Brand"/>
    <s v="Desktop"/>
    <s v="Europe"/>
    <s v="Lead"/>
    <m/>
    <m/>
    <m/>
    <n v="1"/>
    <x v="9"/>
    <n v="0"/>
    <n v="0"/>
    <n v="0"/>
  </r>
  <r>
    <s v="LD1755"/>
    <d v="2024-02-17T00:00:00"/>
    <x v="3"/>
    <s v="Monthly Newsletter"/>
    <s v="Mobile"/>
    <s v="North America"/>
    <s v="SQL"/>
    <m/>
    <m/>
    <m/>
    <n v="3"/>
    <x v="10"/>
    <n v="1"/>
    <n v="1"/>
    <n v="0"/>
  </r>
  <r>
    <s v="LD3972"/>
    <d v="2024-06-27T00:00:00"/>
    <x v="4"/>
    <s v="Partner Program"/>
    <s v="Mobile"/>
    <s v="North America"/>
    <s v="MQL"/>
    <m/>
    <m/>
    <m/>
    <n v="2"/>
    <x v="11"/>
    <n v="1"/>
    <n v="0"/>
    <n v="0"/>
  </r>
  <r>
    <s v="LD7751"/>
    <d v="2024-12-25T00:00:00"/>
    <x v="2"/>
    <s v="Direct / Type-in"/>
    <s v="Mobile"/>
    <s v="North America"/>
    <s v="Customer"/>
    <n v="25"/>
    <s v="Basic"/>
    <n v="647.72"/>
    <n v="4"/>
    <x v="7"/>
    <n v="1"/>
    <n v="1"/>
    <n v="1"/>
  </r>
  <r>
    <s v="LD3921"/>
    <d v="2024-06-25T00:00:00"/>
    <x v="4"/>
    <s v="Partner Program"/>
    <s v="Mobile"/>
    <s v="Europe"/>
    <s v="SQL"/>
    <m/>
    <m/>
    <m/>
    <n v="3"/>
    <x v="11"/>
    <n v="1"/>
    <n v="1"/>
    <n v="0"/>
  </r>
  <r>
    <s v="LD1312"/>
    <d v="2024-01-11T00:00:00"/>
    <x v="3"/>
    <s v="Monthly Newsletter"/>
    <s v="Desktop"/>
    <s v="North America"/>
    <s v="Customer"/>
    <n v="56"/>
    <s v="Pro"/>
    <n v="2963.47"/>
    <n v="4"/>
    <x v="3"/>
    <n v="1"/>
    <n v="1"/>
    <n v="1"/>
  </r>
  <r>
    <s v="LD5645"/>
    <d v="2024-10-03T00:00:00"/>
    <x v="5"/>
    <s v="Landing Page SEO"/>
    <s v="Desktop"/>
    <s v="Europe"/>
    <s v="Lead"/>
    <m/>
    <m/>
    <m/>
    <n v="1"/>
    <x v="5"/>
    <n v="0"/>
    <n v="0"/>
    <n v="0"/>
  </r>
  <r>
    <s v="LD1662"/>
    <d v="2024-02-22T00:00:00"/>
    <x v="0"/>
    <s v="Instagram Ads"/>
    <s v="Mobile"/>
    <s v="North America"/>
    <s v="Lead"/>
    <m/>
    <m/>
    <m/>
    <n v="1"/>
    <x v="10"/>
    <n v="0"/>
    <n v="0"/>
    <n v="0"/>
  </r>
  <r>
    <s v="LD2990"/>
    <d v="2024-04-27T00:00:00"/>
    <x v="2"/>
    <s v="Direct / Type-in"/>
    <s v="Mobile"/>
    <s v="Europe"/>
    <s v="SQL"/>
    <m/>
    <m/>
    <m/>
    <n v="3"/>
    <x v="1"/>
    <n v="1"/>
    <n v="1"/>
    <n v="0"/>
  </r>
  <r>
    <s v="LD4666"/>
    <d v="2024-08-09T00:00:00"/>
    <x v="1"/>
    <s v="Google Ads - Generic"/>
    <s v="Mobile"/>
    <s v="North America"/>
    <s v="Lead"/>
    <m/>
    <m/>
    <m/>
    <n v="1"/>
    <x v="6"/>
    <n v="0"/>
    <n v="0"/>
    <n v="0"/>
  </r>
  <r>
    <s v="LD1307"/>
    <d v="2024-01-19T00:00:00"/>
    <x v="3"/>
    <s v="Promo Blast"/>
    <s v="Mobile"/>
    <s v="Asia Pacific"/>
    <s v="MQL"/>
    <m/>
    <m/>
    <m/>
    <n v="2"/>
    <x v="3"/>
    <n v="1"/>
    <n v="0"/>
    <n v="0"/>
  </r>
  <r>
    <s v="LD3336"/>
    <d v="2024-05-13T00:00:00"/>
    <x v="3"/>
    <s v="Promo Blast"/>
    <s v="Desktop"/>
    <s v="Europe"/>
    <s v="Lead"/>
    <m/>
    <m/>
    <m/>
    <n v="1"/>
    <x v="4"/>
    <n v="0"/>
    <n v="0"/>
    <n v="0"/>
  </r>
  <r>
    <s v="LD5791"/>
    <d v="2024-10-28T00:00:00"/>
    <x v="1"/>
    <s v="Google Ads - Generic"/>
    <s v="Desktop"/>
    <s v="Europe"/>
    <s v="Lead"/>
    <m/>
    <m/>
    <m/>
    <n v="1"/>
    <x v="5"/>
    <n v="0"/>
    <n v="0"/>
    <n v="0"/>
  </r>
  <r>
    <s v="LD3357"/>
    <d v="2024-05-12T00:00:00"/>
    <x v="3"/>
    <s v="Promo Blast"/>
    <s v="Desktop"/>
    <s v="Europe"/>
    <s v="MQL"/>
    <m/>
    <m/>
    <m/>
    <n v="2"/>
    <x v="4"/>
    <n v="1"/>
    <n v="0"/>
    <n v="0"/>
  </r>
  <r>
    <s v="LD4703"/>
    <d v="2024-08-20T00:00:00"/>
    <x v="0"/>
    <s v="Facebook Ads"/>
    <s v="Mobile"/>
    <s v="North America"/>
    <s v="Lead"/>
    <m/>
    <m/>
    <m/>
    <n v="1"/>
    <x v="6"/>
    <n v="0"/>
    <n v="0"/>
    <n v="0"/>
  </r>
  <r>
    <s v="LD4805"/>
    <d v="2024-08-14T00:00:00"/>
    <x v="3"/>
    <s v="Monthly Newsletter"/>
    <s v="Mobile"/>
    <s v="Asia Pacific"/>
    <s v="SQL"/>
    <m/>
    <m/>
    <m/>
    <n v="3"/>
    <x v="6"/>
    <n v="1"/>
    <n v="1"/>
    <n v="0"/>
  </r>
  <r>
    <s v="LD2928"/>
    <d v="2024-04-14T00:00:00"/>
    <x v="4"/>
    <s v="Affiliate Program"/>
    <s v="Mobile"/>
    <s v="North America"/>
    <s v="SQL"/>
    <m/>
    <m/>
    <m/>
    <n v="3"/>
    <x v="1"/>
    <n v="1"/>
    <n v="1"/>
    <n v="0"/>
  </r>
  <r>
    <s v="LD6946"/>
    <d v="2024-11-22T00:00:00"/>
    <x v="4"/>
    <s v="Affiliate Program"/>
    <s v="Desktop"/>
    <s v="North America"/>
    <s v="Lead"/>
    <m/>
    <m/>
    <m/>
    <n v="1"/>
    <x v="2"/>
    <n v="0"/>
    <n v="0"/>
    <n v="0"/>
  </r>
  <r>
    <s v="LD4428"/>
    <d v="2024-07-20T00:00:00"/>
    <x v="4"/>
    <s v="Partner Program"/>
    <s v="Desktop"/>
    <s v="North America"/>
    <s v="Customer"/>
    <n v="74"/>
    <s v="Basic"/>
    <n v="583.15"/>
    <n v="4"/>
    <x v="0"/>
    <n v="1"/>
    <n v="1"/>
    <n v="1"/>
  </r>
  <r>
    <s v="LD1750"/>
    <d v="2024-02-13T00:00:00"/>
    <x v="3"/>
    <s v="Promo Blast"/>
    <s v="Mobile"/>
    <s v="Europe"/>
    <s v="Lead"/>
    <m/>
    <m/>
    <m/>
    <n v="1"/>
    <x v="10"/>
    <n v="0"/>
    <n v="0"/>
    <n v="0"/>
  </r>
  <r>
    <s v="LD4639"/>
    <d v="2024-08-16T00:00:00"/>
    <x v="1"/>
    <s v="Google Ads - Brand"/>
    <s v="Desktop"/>
    <s v="Europe"/>
    <s v="MQL"/>
    <m/>
    <m/>
    <m/>
    <n v="2"/>
    <x v="6"/>
    <n v="1"/>
    <n v="0"/>
    <n v="0"/>
  </r>
  <r>
    <s v="LD5936"/>
    <d v="2024-10-22T00:00:00"/>
    <x v="0"/>
    <s v="Facebook Ads"/>
    <s v="Tablet"/>
    <s v="North America"/>
    <s v="Lead"/>
    <m/>
    <m/>
    <m/>
    <n v="1"/>
    <x v="5"/>
    <n v="0"/>
    <n v="0"/>
    <n v="0"/>
  </r>
  <r>
    <s v="LD2267"/>
    <d v="2024-03-24T00:00:00"/>
    <x v="3"/>
    <s v="Promo Blast"/>
    <s v="Mobile"/>
    <s v="Asia Pacific"/>
    <s v="MQL"/>
    <m/>
    <m/>
    <m/>
    <n v="2"/>
    <x v="8"/>
    <n v="1"/>
    <n v="0"/>
    <n v="0"/>
  </r>
  <r>
    <s v="LD6147"/>
    <d v="2024-10-15T00:00:00"/>
    <x v="4"/>
    <s v="Partner Program"/>
    <s v="Mobile"/>
    <s v="North America"/>
    <s v="Lead"/>
    <m/>
    <m/>
    <m/>
    <n v="1"/>
    <x v="5"/>
    <n v="0"/>
    <n v="0"/>
    <n v="0"/>
  </r>
  <r>
    <s v="LD6993"/>
    <d v="2024-11-03T00:00:00"/>
    <x v="4"/>
    <s v="Partner Program"/>
    <s v="Tablet"/>
    <s v="North America"/>
    <s v="MQL"/>
    <m/>
    <m/>
    <m/>
    <n v="2"/>
    <x v="2"/>
    <n v="1"/>
    <n v="0"/>
    <n v="0"/>
  </r>
  <r>
    <s v="LD4596"/>
    <d v="2024-08-20T00:00:00"/>
    <x v="1"/>
    <s v="Google Ads - Brand"/>
    <s v="Desktop"/>
    <s v="Asia Pacific"/>
    <s v="SQL"/>
    <m/>
    <m/>
    <m/>
    <n v="3"/>
    <x v="6"/>
    <n v="1"/>
    <n v="1"/>
    <n v="0"/>
  </r>
  <r>
    <s v="LD3135"/>
    <d v="2024-05-24T00:00:00"/>
    <x v="1"/>
    <s v="Google Ads - Brand"/>
    <s v="Mobile"/>
    <s v="North America"/>
    <s v="Lead"/>
    <m/>
    <m/>
    <m/>
    <n v="1"/>
    <x v="4"/>
    <n v="0"/>
    <n v="0"/>
    <n v="0"/>
  </r>
  <r>
    <s v="LD5110"/>
    <d v="2024-09-03T00:00:00"/>
    <x v="5"/>
    <s v="Blog SEO"/>
    <s v="Desktop"/>
    <s v="Asia Pacific"/>
    <s v="Lead"/>
    <m/>
    <m/>
    <m/>
    <n v="1"/>
    <x v="9"/>
    <n v="0"/>
    <n v="0"/>
    <n v="0"/>
  </r>
  <r>
    <s v="LD1515"/>
    <d v="2024-02-01T00:00:00"/>
    <x v="5"/>
    <s v="Landing Page SEO"/>
    <s v="Mobile"/>
    <s v="Europe"/>
    <s v="Lead"/>
    <m/>
    <m/>
    <m/>
    <n v="1"/>
    <x v="10"/>
    <n v="0"/>
    <n v="0"/>
    <n v="0"/>
  </r>
  <r>
    <s v="LD7062"/>
    <d v="2024-11-03T00:00:00"/>
    <x v="2"/>
    <s v="Direct / Type-in"/>
    <s v="Tablet"/>
    <s v="Asia Pacific"/>
    <s v="MQL"/>
    <m/>
    <m/>
    <m/>
    <n v="2"/>
    <x v="2"/>
    <n v="1"/>
    <n v="0"/>
    <n v="0"/>
  </r>
  <r>
    <s v="LD1410"/>
    <d v="2024-01-24T00:00:00"/>
    <x v="4"/>
    <s v="Affiliate Program"/>
    <s v="Mobile"/>
    <s v="North America"/>
    <s v="SQL"/>
    <m/>
    <m/>
    <m/>
    <n v="3"/>
    <x v="3"/>
    <n v="1"/>
    <n v="1"/>
    <n v="0"/>
  </r>
  <r>
    <s v="LD6060"/>
    <d v="2024-10-01T00:00:00"/>
    <x v="3"/>
    <s v="Monthly Newsletter"/>
    <s v="Mobile"/>
    <s v="Europe"/>
    <s v="SQL"/>
    <m/>
    <m/>
    <m/>
    <n v="3"/>
    <x v="5"/>
    <n v="1"/>
    <n v="1"/>
    <n v="0"/>
  </r>
  <r>
    <s v="LD7757"/>
    <d v="2024-12-10T00:00:00"/>
    <x v="2"/>
    <s v="Direct / Type-in"/>
    <s v="Desktop"/>
    <s v="Europe"/>
    <s v="Lead"/>
    <m/>
    <m/>
    <m/>
    <n v="1"/>
    <x v="7"/>
    <n v="0"/>
    <n v="0"/>
    <n v="0"/>
  </r>
  <r>
    <s v="LD7707"/>
    <d v="2024-12-17T00:00:00"/>
    <x v="2"/>
    <s v="Direct / Type-in"/>
    <s v="Desktop"/>
    <s v="North America"/>
    <s v="Lead"/>
    <m/>
    <m/>
    <m/>
    <n v="1"/>
    <x v="7"/>
    <n v="0"/>
    <n v="0"/>
    <n v="0"/>
  </r>
  <r>
    <s v="LD7235"/>
    <d v="2024-12-21T00:00:00"/>
    <x v="1"/>
    <s v="Google Ads - Brand"/>
    <s v="Mobile"/>
    <s v="North America"/>
    <s v="MQL"/>
    <m/>
    <m/>
    <m/>
    <n v="2"/>
    <x v="7"/>
    <n v="1"/>
    <n v="0"/>
    <n v="0"/>
  </r>
  <r>
    <s v="LD1208"/>
    <d v="2024-01-04T00:00:00"/>
    <x v="0"/>
    <s v="LinkedIn Ads"/>
    <s v="Mobile"/>
    <s v="Asia Pacific"/>
    <s v="Lead"/>
    <m/>
    <m/>
    <m/>
    <n v="1"/>
    <x v="3"/>
    <n v="0"/>
    <n v="0"/>
    <n v="0"/>
  </r>
  <r>
    <s v="LD1459"/>
    <d v="2024-01-12T00:00:00"/>
    <x v="2"/>
    <s v="Direct / Type-in"/>
    <s v="Mobile"/>
    <s v="North America"/>
    <s v="Lead"/>
    <m/>
    <m/>
    <m/>
    <n v="1"/>
    <x v="3"/>
    <n v="0"/>
    <n v="0"/>
    <n v="0"/>
  </r>
  <r>
    <s v="LD3055"/>
    <d v="2024-05-01T00:00:00"/>
    <x v="5"/>
    <s v="Landing Page SEO"/>
    <s v="Mobile"/>
    <s v="Europe"/>
    <s v="MQL"/>
    <m/>
    <m/>
    <m/>
    <n v="2"/>
    <x v="4"/>
    <n v="1"/>
    <n v="0"/>
    <n v="0"/>
  </r>
  <r>
    <s v="LD3431"/>
    <d v="2024-05-26T00:00:00"/>
    <x v="3"/>
    <s v="Monthly Newsletter"/>
    <s v="Desktop"/>
    <s v="Asia Pacific"/>
    <s v="Lead"/>
    <m/>
    <m/>
    <m/>
    <n v="1"/>
    <x v="4"/>
    <n v="0"/>
    <n v="0"/>
    <n v="0"/>
  </r>
  <r>
    <s v="LD1251"/>
    <d v="2024-01-23T00:00:00"/>
    <x v="3"/>
    <s v="Promo Blast"/>
    <s v="Desktop"/>
    <s v="Europe"/>
    <s v="MQL"/>
    <m/>
    <m/>
    <m/>
    <n v="2"/>
    <x v="3"/>
    <n v="1"/>
    <n v="0"/>
    <n v="0"/>
  </r>
  <r>
    <s v="LD6793"/>
    <d v="2024-11-10T00:00:00"/>
    <x v="3"/>
    <s v="Promo Blast"/>
    <s v="Desktop"/>
    <s v="North America"/>
    <s v="Lead"/>
    <m/>
    <m/>
    <m/>
    <n v="1"/>
    <x v="2"/>
    <n v="0"/>
    <n v="0"/>
    <n v="0"/>
  </r>
  <r>
    <s v="LD2108"/>
    <d v="2024-03-08T00:00:00"/>
    <x v="1"/>
    <s v="Google Ads - Brand"/>
    <s v="Mobile"/>
    <s v="North America"/>
    <s v="Customer"/>
    <n v="17"/>
    <s v="Basic"/>
    <n v="1263.02"/>
    <n v="4"/>
    <x v="8"/>
    <n v="1"/>
    <n v="1"/>
    <n v="1"/>
  </r>
  <r>
    <s v="LD6502"/>
    <d v="2024-11-27T00:00:00"/>
    <x v="1"/>
    <s v="Google Ads - Generic"/>
    <s v="Mobile"/>
    <s v="Asia Pacific"/>
    <s v="Lead"/>
    <m/>
    <m/>
    <m/>
    <n v="1"/>
    <x v="2"/>
    <n v="0"/>
    <n v="0"/>
    <n v="0"/>
  </r>
  <r>
    <s v="LD2714"/>
    <d v="2024-04-26T00:00:00"/>
    <x v="0"/>
    <s v="Instagram Ads"/>
    <s v="Mobile"/>
    <s v="Europe"/>
    <s v="MQL"/>
    <m/>
    <m/>
    <m/>
    <n v="2"/>
    <x v="1"/>
    <n v="1"/>
    <n v="0"/>
    <n v="0"/>
  </r>
  <r>
    <s v="LD4912"/>
    <d v="2024-08-13T00:00:00"/>
    <x v="4"/>
    <s v="Affiliate Program"/>
    <s v="Desktop"/>
    <s v="North America"/>
    <s v="Customer"/>
    <n v="27"/>
    <s v="Pro"/>
    <n v="4771.7"/>
    <n v="4"/>
    <x v="6"/>
    <n v="1"/>
    <n v="1"/>
    <n v="1"/>
  </r>
  <r>
    <s v="LD1716"/>
    <d v="2024-02-16T00:00:00"/>
    <x v="3"/>
    <s v="Monthly Newsletter"/>
    <s v="Desktop"/>
    <s v="North America"/>
    <s v="Lead"/>
    <m/>
    <m/>
    <m/>
    <n v="1"/>
    <x v="10"/>
    <n v="0"/>
    <n v="0"/>
    <n v="0"/>
  </r>
  <r>
    <s v="LD1553"/>
    <d v="2024-02-16T00:00:00"/>
    <x v="5"/>
    <s v="Blog SEO"/>
    <s v="Desktop"/>
    <s v="North America"/>
    <s v="MQL"/>
    <m/>
    <m/>
    <m/>
    <n v="2"/>
    <x v="10"/>
    <n v="1"/>
    <n v="0"/>
    <n v="0"/>
  </r>
  <r>
    <s v="LD2440"/>
    <d v="2024-03-15T00:00:00"/>
    <x v="2"/>
    <s v="Direct / Type-in"/>
    <s v="Desktop"/>
    <s v="Asia Pacific"/>
    <s v="MQL"/>
    <m/>
    <m/>
    <m/>
    <n v="2"/>
    <x v="8"/>
    <n v="1"/>
    <n v="0"/>
    <n v="0"/>
  </r>
  <r>
    <s v="LD3271"/>
    <d v="2024-05-15T00:00:00"/>
    <x v="0"/>
    <s v="Facebook Ads"/>
    <s v="Desktop"/>
    <s v="Europe"/>
    <s v="Lead"/>
    <m/>
    <m/>
    <m/>
    <n v="1"/>
    <x v="4"/>
    <n v="0"/>
    <n v="0"/>
    <n v="0"/>
  </r>
  <r>
    <s v="LD4145"/>
    <d v="2024-07-06T00:00:00"/>
    <x v="1"/>
    <s v="Google Ads - Brand"/>
    <s v="Mobile"/>
    <s v="Europe"/>
    <s v="Lead"/>
    <m/>
    <m/>
    <m/>
    <n v="1"/>
    <x v="0"/>
    <n v="0"/>
    <n v="0"/>
    <n v="0"/>
  </r>
  <r>
    <s v="LD7477"/>
    <d v="2024-12-08T00:00:00"/>
    <x v="3"/>
    <s v="Monthly Newsletter"/>
    <s v="Mobile"/>
    <s v="North America"/>
    <s v="SQL"/>
    <m/>
    <m/>
    <m/>
    <n v="3"/>
    <x v="7"/>
    <n v="1"/>
    <n v="1"/>
    <n v="0"/>
  </r>
  <r>
    <s v="LD2926"/>
    <d v="2024-04-16T00:00:00"/>
    <x v="4"/>
    <s v="Affiliate Program"/>
    <s v="Mobile"/>
    <s v="North America"/>
    <s v="SQL"/>
    <m/>
    <m/>
    <m/>
    <n v="3"/>
    <x v="1"/>
    <n v="1"/>
    <n v="1"/>
    <n v="0"/>
  </r>
  <r>
    <s v="LD1635"/>
    <d v="2024-02-23T00:00:00"/>
    <x v="1"/>
    <s v="Google Ads - Brand"/>
    <s v="Desktop"/>
    <s v="Europe"/>
    <s v="Lead"/>
    <m/>
    <m/>
    <m/>
    <n v="1"/>
    <x v="10"/>
    <n v="0"/>
    <n v="0"/>
    <n v="0"/>
  </r>
  <r>
    <s v="LD1317"/>
    <d v="2024-01-13T00:00:00"/>
    <x v="3"/>
    <s v="Monthly Newsletter"/>
    <s v="Mobile"/>
    <s v="North America"/>
    <s v="SQL"/>
    <m/>
    <m/>
    <m/>
    <n v="3"/>
    <x v="3"/>
    <n v="1"/>
    <n v="1"/>
    <n v="0"/>
  </r>
  <r>
    <s v="LD7368"/>
    <d v="2024-12-28T00:00:00"/>
    <x v="0"/>
    <s v="LinkedIn Ads"/>
    <s v="Desktop"/>
    <s v="Europe"/>
    <s v="Lead"/>
    <m/>
    <m/>
    <m/>
    <n v="1"/>
    <x v="7"/>
    <n v="0"/>
    <n v="0"/>
    <n v="0"/>
  </r>
  <r>
    <s v="LD1428"/>
    <d v="2024-01-15T00:00:00"/>
    <x v="2"/>
    <s v="Direct / Type-in"/>
    <s v="Desktop"/>
    <s v="North America"/>
    <s v="Lead"/>
    <m/>
    <m/>
    <m/>
    <n v="1"/>
    <x v="3"/>
    <n v="0"/>
    <n v="0"/>
    <n v="0"/>
  </r>
  <r>
    <s v="LD6559"/>
    <d v="2024-11-04T00:00:00"/>
    <x v="1"/>
    <s v="Google Ads - Brand"/>
    <s v="Mobile"/>
    <s v="Europe"/>
    <s v="Lead"/>
    <m/>
    <m/>
    <m/>
    <n v="1"/>
    <x v="2"/>
    <n v="0"/>
    <n v="0"/>
    <n v="0"/>
  </r>
  <r>
    <s v="LD1106"/>
    <d v="2024-01-09T00:00:00"/>
    <x v="1"/>
    <s v="Google Ads - Generic"/>
    <s v="Desktop"/>
    <s v="Asia Pacific"/>
    <s v="Lead"/>
    <m/>
    <m/>
    <m/>
    <n v="1"/>
    <x v="3"/>
    <n v="0"/>
    <n v="0"/>
    <n v="0"/>
  </r>
  <r>
    <s v="LD4042"/>
    <d v="2024-06-04T00:00:00"/>
    <x v="2"/>
    <s v="Direct / Type-in"/>
    <s v="Tablet"/>
    <s v="Latin America"/>
    <s v="Lead"/>
    <m/>
    <m/>
    <m/>
    <n v="1"/>
    <x v="11"/>
    <n v="0"/>
    <n v="0"/>
    <n v="0"/>
  </r>
  <r>
    <s v="LD5239"/>
    <d v="2024-09-19T00:00:00"/>
    <x v="0"/>
    <s v="Instagram Ads"/>
    <s v="Mobile"/>
    <s v="Asia Pacific"/>
    <s v="MQL"/>
    <m/>
    <m/>
    <m/>
    <n v="2"/>
    <x v="9"/>
    <n v="1"/>
    <n v="0"/>
    <n v="0"/>
  </r>
  <r>
    <s v="LD3170"/>
    <d v="2024-05-22T00:00:00"/>
    <x v="1"/>
    <s v="Google Ads - Brand"/>
    <s v="Mobile"/>
    <s v="Latin America"/>
    <s v="MQL"/>
    <m/>
    <m/>
    <m/>
    <n v="2"/>
    <x v="4"/>
    <n v="1"/>
    <n v="0"/>
    <n v="0"/>
  </r>
  <r>
    <s v="LD2710"/>
    <d v="2024-04-05T00:00:00"/>
    <x v="0"/>
    <s v="Facebook Ads"/>
    <s v="Mobile"/>
    <s v="Europe"/>
    <s v="Lead"/>
    <m/>
    <m/>
    <m/>
    <n v="1"/>
    <x v="1"/>
    <n v="0"/>
    <n v="0"/>
    <n v="0"/>
  </r>
  <r>
    <s v="LD1090"/>
    <d v="2024-01-13T00:00:00"/>
    <x v="1"/>
    <s v="Google Ads - Generic"/>
    <s v="Mobile"/>
    <s v="Asia Pacific"/>
    <s v="Lead"/>
    <m/>
    <m/>
    <m/>
    <n v="1"/>
    <x v="3"/>
    <n v="0"/>
    <n v="0"/>
    <n v="0"/>
  </r>
  <r>
    <s v="LD3242"/>
    <d v="2024-05-05T00:00:00"/>
    <x v="0"/>
    <s v="Facebook Ads"/>
    <s v="Mobile"/>
    <s v="North America"/>
    <s v="Lead"/>
    <m/>
    <m/>
    <m/>
    <n v="1"/>
    <x v="4"/>
    <n v="0"/>
    <n v="0"/>
    <n v="0"/>
  </r>
  <r>
    <s v="LD4175"/>
    <d v="2024-07-25T00:00:00"/>
    <x v="1"/>
    <s v="Google Ads - Brand"/>
    <s v="Desktop"/>
    <s v="Europe"/>
    <s v="Lead"/>
    <m/>
    <m/>
    <m/>
    <n v="1"/>
    <x v="0"/>
    <n v="0"/>
    <n v="0"/>
    <n v="0"/>
  </r>
  <r>
    <s v="LD6063"/>
    <d v="2024-10-03T00:00:00"/>
    <x v="3"/>
    <s v="Monthly Newsletter"/>
    <s v="Desktop"/>
    <s v="North America"/>
    <s v="Customer"/>
    <n v="43"/>
    <s v="Basic"/>
    <n v="1234.3800000000001"/>
    <n v="4"/>
    <x v="5"/>
    <n v="1"/>
    <n v="1"/>
    <n v="1"/>
  </r>
  <r>
    <s v="LD2950"/>
    <d v="2024-04-09T00:00:00"/>
    <x v="2"/>
    <s v="Direct / Type-in"/>
    <s v="Mobile"/>
    <s v="Asia Pacific"/>
    <s v="Lead"/>
    <m/>
    <m/>
    <m/>
    <n v="1"/>
    <x v="1"/>
    <n v="0"/>
    <n v="0"/>
    <n v="0"/>
  </r>
  <r>
    <s v="LD5045"/>
    <d v="2024-09-01T00:00:00"/>
    <x v="5"/>
    <s v="Landing Page SEO"/>
    <s v="Mobile"/>
    <s v="North America"/>
    <s v="Lead"/>
    <m/>
    <m/>
    <m/>
    <n v="1"/>
    <x v="9"/>
    <n v="0"/>
    <n v="0"/>
    <n v="0"/>
  </r>
  <r>
    <s v="LD3849"/>
    <d v="2024-06-23T00:00:00"/>
    <x v="3"/>
    <s v="Promo Blast"/>
    <s v="Mobile"/>
    <s v="Europe"/>
    <s v="Lead"/>
    <m/>
    <m/>
    <m/>
    <n v="1"/>
    <x v="11"/>
    <n v="0"/>
    <n v="0"/>
    <n v="0"/>
  </r>
  <r>
    <s v="LD1002"/>
    <d v="2024-01-22T00:00:00"/>
    <x v="5"/>
    <s v="Blog SEO"/>
    <s v="Mobile"/>
    <s v="North America"/>
    <s v="SQL"/>
    <m/>
    <m/>
    <m/>
    <n v="3"/>
    <x v="3"/>
    <n v="1"/>
    <n v="1"/>
    <n v="0"/>
  </r>
  <r>
    <s v="LD5338"/>
    <d v="2024-09-05T00:00:00"/>
    <x v="3"/>
    <s v="Monthly Newsletter"/>
    <s v="Mobile"/>
    <s v="North America"/>
    <s v="MQL"/>
    <m/>
    <m/>
    <m/>
    <n v="2"/>
    <x v="9"/>
    <n v="1"/>
    <n v="0"/>
    <n v="0"/>
  </r>
  <r>
    <s v="LD1936"/>
    <d v="2024-02-18T00:00:00"/>
    <x v="2"/>
    <s v="Direct / Type-in"/>
    <s v="Desktop"/>
    <s v="North America"/>
    <s v="SQL"/>
    <m/>
    <m/>
    <m/>
    <n v="3"/>
    <x v="10"/>
    <n v="1"/>
    <n v="1"/>
    <n v="0"/>
  </r>
  <r>
    <s v="LD6808"/>
    <d v="2024-11-23T00:00:00"/>
    <x v="3"/>
    <s v="Monthly Newsletter"/>
    <s v="Desktop"/>
    <s v="North America"/>
    <s v="MQL"/>
    <m/>
    <m/>
    <m/>
    <n v="2"/>
    <x v="2"/>
    <n v="1"/>
    <n v="0"/>
    <n v="0"/>
  </r>
  <r>
    <s v="LD3721"/>
    <d v="2024-06-19T00:00:00"/>
    <x v="1"/>
    <s v="Google Ads - Brand"/>
    <s v="Desktop"/>
    <s v="North America"/>
    <s v="Lead"/>
    <m/>
    <m/>
    <m/>
    <n v="1"/>
    <x v="11"/>
    <n v="0"/>
    <n v="0"/>
    <n v="0"/>
  </r>
  <r>
    <s v="LD1592"/>
    <d v="2024-02-22T00:00:00"/>
    <x v="1"/>
    <s v="Google Ads - Generic"/>
    <s v="Desktop"/>
    <s v="Asia Pacific"/>
    <s v="Lead"/>
    <m/>
    <m/>
    <m/>
    <n v="1"/>
    <x v="10"/>
    <n v="0"/>
    <n v="0"/>
    <n v="0"/>
  </r>
  <r>
    <s v="LD6088"/>
    <d v="2024-10-19T00:00:00"/>
    <x v="3"/>
    <s v="Monthly Newsletter"/>
    <s v="Desktop"/>
    <s v="Latin America"/>
    <s v="Customer"/>
    <n v="21"/>
    <s v="Pro"/>
    <n v="4056.83"/>
    <n v="4"/>
    <x v="5"/>
    <n v="1"/>
    <n v="1"/>
    <n v="1"/>
  </r>
  <r>
    <s v="LD3937"/>
    <d v="2024-06-02T00:00:00"/>
    <x v="4"/>
    <s v="Affiliate Program"/>
    <s v="Mobile"/>
    <s v="Europe"/>
    <s v="MQL"/>
    <m/>
    <m/>
    <m/>
    <n v="2"/>
    <x v="11"/>
    <n v="1"/>
    <n v="0"/>
    <n v="0"/>
  </r>
  <r>
    <s v="LD3449"/>
    <d v="2024-05-04T00:00:00"/>
    <x v="4"/>
    <s v="Partner Program"/>
    <s v="Desktop"/>
    <s v="North America"/>
    <s v="Lead"/>
    <m/>
    <m/>
    <m/>
    <n v="1"/>
    <x v="4"/>
    <n v="0"/>
    <n v="0"/>
    <n v="0"/>
  </r>
  <r>
    <s v="LD2577"/>
    <d v="2024-04-17T00:00:00"/>
    <x v="1"/>
    <s v="Google Ads - Generic"/>
    <s v="Desktop"/>
    <s v="North America"/>
    <s v="Lead"/>
    <m/>
    <m/>
    <m/>
    <n v="1"/>
    <x v="1"/>
    <n v="0"/>
    <n v="0"/>
    <n v="0"/>
  </r>
  <r>
    <s v="LD6664"/>
    <d v="2024-11-24T00:00:00"/>
    <x v="0"/>
    <s v="Facebook Ads"/>
    <s v="Desktop"/>
    <s v="North America"/>
    <s v="SQL"/>
    <m/>
    <m/>
    <m/>
    <n v="3"/>
    <x v="2"/>
    <n v="1"/>
    <n v="1"/>
    <n v="0"/>
  </r>
  <r>
    <s v="LD1214"/>
    <d v="2024-01-25T00:00:00"/>
    <x v="0"/>
    <s v="Instagram Ads"/>
    <s v="Mobile"/>
    <s v="Europe"/>
    <s v="Lead"/>
    <m/>
    <m/>
    <m/>
    <n v="1"/>
    <x v="3"/>
    <n v="0"/>
    <n v="0"/>
    <n v="0"/>
  </r>
  <r>
    <s v="LD1779"/>
    <d v="2024-02-13T00:00:00"/>
    <x v="3"/>
    <s v="Monthly Newsletter"/>
    <s v="Mobile"/>
    <s v="North America"/>
    <s v="Lead"/>
    <m/>
    <m/>
    <m/>
    <n v="1"/>
    <x v="10"/>
    <n v="0"/>
    <n v="0"/>
    <n v="0"/>
  </r>
  <r>
    <s v="LD4497"/>
    <d v="2024-08-12T00:00:00"/>
    <x v="5"/>
    <s v="Landing Page SEO"/>
    <s v="Desktop"/>
    <s v="North America"/>
    <s v="Lead"/>
    <m/>
    <m/>
    <m/>
    <n v="1"/>
    <x v="6"/>
    <n v="0"/>
    <n v="0"/>
    <n v="0"/>
  </r>
  <r>
    <s v="LD6322"/>
    <d v="2024-10-09T00:00:00"/>
    <x v="2"/>
    <s v="Direct / Type-in"/>
    <s v="Desktop"/>
    <s v="North America"/>
    <s v="SQL"/>
    <m/>
    <m/>
    <m/>
    <n v="3"/>
    <x v="5"/>
    <n v="1"/>
    <n v="1"/>
    <n v="0"/>
  </r>
  <r>
    <s v="LD3044"/>
    <d v="2024-05-07T00:00:00"/>
    <x v="5"/>
    <s v="Landing Page SEO"/>
    <s v="Desktop"/>
    <s v="Europe"/>
    <s v="MQL"/>
    <m/>
    <m/>
    <m/>
    <n v="2"/>
    <x v="4"/>
    <n v="1"/>
    <n v="0"/>
    <n v="0"/>
  </r>
  <r>
    <s v="LD7148"/>
    <d v="2024-12-20T00:00:00"/>
    <x v="5"/>
    <s v="Landing Page SEO"/>
    <s v="Desktop"/>
    <s v="North America"/>
    <s v="MQL"/>
    <m/>
    <m/>
    <m/>
    <n v="2"/>
    <x v="7"/>
    <n v="1"/>
    <n v="0"/>
    <n v="0"/>
  </r>
  <r>
    <s v="LD2568"/>
    <d v="2024-04-19T00:00:00"/>
    <x v="1"/>
    <s v="Google Ads - Brand"/>
    <s v="Desktop"/>
    <s v="North America"/>
    <s v="MQL"/>
    <m/>
    <m/>
    <m/>
    <n v="2"/>
    <x v="1"/>
    <n v="1"/>
    <n v="0"/>
    <n v="0"/>
  </r>
  <r>
    <s v="LD1166"/>
    <d v="2024-01-19T00:00:00"/>
    <x v="1"/>
    <s v="Google Ads - Brand"/>
    <s v="Desktop"/>
    <s v="North America"/>
    <s v="Lead"/>
    <m/>
    <m/>
    <m/>
    <n v="1"/>
    <x v="3"/>
    <n v="0"/>
    <n v="0"/>
    <n v="0"/>
  </r>
  <r>
    <s v="LD5703"/>
    <d v="2024-10-12T00:00:00"/>
    <x v="5"/>
    <s v="Blog SEO"/>
    <s v="Mobile"/>
    <s v="North America"/>
    <s v="MQL"/>
    <m/>
    <m/>
    <m/>
    <n v="2"/>
    <x v="5"/>
    <n v="1"/>
    <n v="0"/>
    <n v="0"/>
  </r>
  <r>
    <s v="LD4567"/>
    <d v="2024-08-25T00:00:00"/>
    <x v="5"/>
    <s v="Landing Page SEO"/>
    <s v="Desktop"/>
    <s v="Europe"/>
    <s v="Lead"/>
    <m/>
    <m/>
    <m/>
    <n v="1"/>
    <x v="6"/>
    <n v="0"/>
    <n v="0"/>
    <n v="0"/>
  </r>
  <r>
    <s v="LD7781"/>
    <d v="2024-12-21T00:00:00"/>
    <x v="2"/>
    <s v="Direct / Type-in"/>
    <s v="Tablet"/>
    <s v="North America"/>
    <s v="Lead"/>
    <m/>
    <m/>
    <m/>
    <n v="1"/>
    <x v="7"/>
    <n v="0"/>
    <n v="0"/>
    <n v="0"/>
  </r>
  <r>
    <s v="LD7449"/>
    <d v="2024-12-02T00:00:00"/>
    <x v="3"/>
    <s v="Monthly Newsletter"/>
    <s v="Mobile"/>
    <s v="North America"/>
    <s v="Lead"/>
    <m/>
    <m/>
    <m/>
    <n v="1"/>
    <x v="7"/>
    <n v="0"/>
    <n v="0"/>
    <n v="0"/>
  </r>
  <r>
    <s v="LD3014"/>
    <d v="2024-04-10T00:00:00"/>
    <x v="2"/>
    <s v="Direct / Type-in"/>
    <s v="Desktop"/>
    <s v="North America"/>
    <s v="Customer"/>
    <n v="54"/>
    <s v="Basic"/>
    <n v="659.33"/>
    <n v="4"/>
    <x v="1"/>
    <n v="1"/>
    <n v="1"/>
    <n v="1"/>
  </r>
  <r>
    <s v="LD1274"/>
    <d v="2024-01-12T00:00:00"/>
    <x v="3"/>
    <s v="Promo Blast"/>
    <s v="Mobile"/>
    <s v="North America"/>
    <s v="SQL"/>
    <m/>
    <m/>
    <m/>
    <n v="3"/>
    <x v="3"/>
    <n v="1"/>
    <n v="1"/>
    <n v="0"/>
  </r>
  <r>
    <s v="LD4861"/>
    <d v="2024-08-27T00:00:00"/>
    <x v="3"/>
    <s v="Monthly Newsletter"/>
    <s v="Mobile"/>
    <s v="North America"/>
    <s v="MQL"/>
    <m/>
    <m/>
    <m/>
    <n v="2"/>
    <x v="6"/>
    <n v="1"/>
    <n v="0"/>
    <n v="0"/>
  </r>
  <r>
    <s v="LD5168"/>
    <d v="2024-09-23T00:00:00"/>
    <x v="1"/>
    <s v="Google Ads - Brand"/>
    <s v="Tablet"/>
    <s v="North America"/>
    <s v="MQL"/>
    <m/>
    <m/>
    <m/>
    <n v="2"/>
    <x v="9"/>
    <n v="1"/>
    <n v="0"/>
    <n v="0"/>
  </r>
  <r>
    <s v="LD6412"/>
    <d v="2024-11-13T00:00:00"/>
    <x v="5"/>
    <s v="Blog SEO"/>
    <s v="Desktop"/>
    <s v="North America"/>
    <s v="Lead"/>
    <m/>
    <m/>
    <m/>
    <n v="1"/>
    <x v="2"/>
    <n v="0"/>
    <n v="0"/>
    <n v="0"/>
  </r>
  <r>
    <s v="LD4789"/>
    <d v="2024-08-04T00:00:00"/>
    <x v="3"/>
    <s v="Promo Blast"/>
    <s v="Desktop"/>
    <s v="Europe"/>
    <s v="Lead"/>
    <m/>
    <m/>
    <m/>
    <n v="1"/>
    <x v="6"/>
    <n v="0"/>
    <n v="0"/>
    <n v="0"/>
  </r>
  <r>
    <s v="LD1395"/>
    <d v="2024-01-03T00:00:00"/>
    <x v="4"/>
    <s v="Affiliate Program"/>
    <s v="Desktop"/>
    <s v="Europe"/>
    <s v="Customer"/>
    <n v="70"/>
    <s v="Pro"/>
    <n v="3757.18"/>
    <n v="4"/>
    <x v="3"/>
    <n v="1"/>
    <n v="1"/>
    <n v="1"/>
  </r>
  <r>
    <s v="LD1584"/>
    <d v="2024-02-22T00:00:00"/>
    <x v="1"/>
    <s v="Google Ads - Generic"/>
    <s v="Mobile"/>
    <s v="North America"/>
    <s v="Lead"/>
    <m/>
    <m/>
    <m/>
    <n v="1"/>
    <x v="10"/>
    <n v="0"/>
    <n v="0"/>
    <n v="0"/>
  </r>
  <r>
    <s v="LD7763"/>
    <d v="2024-12-26T00:00:00"/>
    <x v="2"/>
    <s v="Direct / Type-in"/>
    <s v="Mobile"/>
    <s v="North America"/>
    <s v="Lead"/>
    <m/>
    <m/>
    <m/>
    <n v="1"/>
    <x v="7"/>
    <n v="0"/>
    <n v="0"/>
    <n v="0"/>
  </r>
  <r>
    <s v="LD7287"/>
    <d v="2024-12-16T00:00:00"/>
    <x v="1"/>
    <s v="Google Ads - Generic"/>
    <s v="Desktop"/>
    <s v="North America"/>
    <s v="MQL"/>
    <m/>
    <m/>
    <m/>
    <n v="2"/>
    <x v="7"/>
    <n v="1"/>
    <n v="0"/>
    <n v="0"/>
  </r>
  <r>
    <s v="LD7488"/>
    <d v="2024-12-14T00:00:00"/>
    <x v="3"/>
    <s v="Monthly Newsletter"/>
    <s v="Mobile"/>
    <s v="Asia Pacific"/>
    <s v="Customer"/>
    <n v="60"/>
    <s v="Pro"/>
    <n v="3730"/>
    <n v="4"/>
    <x v="7"/>
    <n v="1"/>
    <n v="1"/>
    <n v="1"/>
  </r>
  <r>
    <s v="LD1521"/>
    <d v="2024-02-14T00:00:00"/>
    <x v="5"/>
    <s v="Landing Page SEO"/>
    <s v="Desktop"/>
    <s v="North America"/>
    <s v="SQL"/>
    <m/>
    <m/>
    <m/>
    <n v="3"/>
    <x v="10"/>
    <n v="1"/>
    <n v="1"/>
    <n v="0"/>
  </r>
  <r>
    <s v="LD2764"/>
    <d v="2024-04-17T00:00:00"/>
    <x v="3"/>
    <s v="Promo Blast"/>
    <s v="Desktop"/>
    <s v="North America"/>
    <s v="Customer"/>
    <n v="11"/>
    <s v="Pro"/>
    <n v="2335.6799999999998"/>
    <n v="4"/>
    <x v="1"/>
    <n v="1"/>
    <n v="1"/>
    <n v="1"/>
  </r>
  <r>
    <s v="LD2876"/>
    <d v="2024-04-02T00:00:00"/>
    <x v="4"/>
    <s v="Partner Program"/>
    <s v="Desktop"/>
    <s v="North America"/>
    <s v="Lead"/>
    <m/>
    <m/>
    <m/>
    <n v="1"/>
    <x v="1"/>
    <n v="0"/>
    <n v="0"/>
    <n v="0"/>
  </r>
  <r>
    <s v="LD4966"/>
    <d v="2024-08-17T00:00:00"/>
    <x v="2"/>
    <s v="Direct / Type-in"/>
    <s v="Desktop"/>
    <s v="Asia Pacific"/>
    <s v="Lead"/>
    <m/>
    <m/>
    <m/>
    <n v="1"/>
    <x v="6"/>
    <n v="0"/>
    <n v="0"/>
    <n v="0"/>
  </r>
  <r>
    <s v="LD4345"/>
    <d v="2024-07-11T00:00:00"/>
    <x v="3"/>
    <s v="Monthly Newsletter"/>
    <s v="Mobile"/>
    <s v="North America"/>
    <s v="MQL"/>
    <m/>
    <m/>
    <m/>
    <n v="2"/>
    <x v="0"/>
    <n v="1"/>
    <n v="0"/>
    <n v="0"/>
  </r>
  <r>
    <s v="LD3254"/>
    <d v="2024-05-09T00:00:00"/>
    <x v="0"/>
    <s v="Instagram Ads"/>
    <s v="Desktop"/>
    <s v="North America"/>
    <s v="MQL"/>
    <m/>
    <m/>
    <m/>
    <n v="2"/>
    <x v="4"/>
    <n v="1"/>
    <n v="0"/>
    <n v="0"/>
  </r>
  <r>
    <s v="LD4225"/>
    <d v="2024-07-20T00:00:00"/>
    <x v="0"/>
    <s v="LinkedIn Ads"/>
    <s v="Desktop"/>
    <s v="Europe"/>
    <s v="Lead"/>
    <m/>
    <m/>
    <m/>
    <n v="1"/>
    <x v="0"/>
    <n v="0"/>
    <n v="0"/>
    <n v="0"/>
  </r>
  <r>
    <s v="LD1527"/>
    <d v="2024-02-11T00:00:00"/>
    <x v="5"/>
    <s v="Landing Page SEO"/>
    <s v="Desktop"/>
    <s v="North America"/>
    <s v="Lead"/>
    <m/>
    <m/>
    <m/>
    <n v="1"/>
    <x v="10"/>
    <n v="0"/>
    <n v="0"/>
    <n v="0"/>
  </r>
  <r>
    <s v="LD3947"/>
    <d v="2024-06-22T00:00:00"/>
    <x v="4"/>
    <s v="Partner Program"/>
    <s v="Mobile"/>
    <s v="Europe"/>
    <s v="MQL"/>
    <m/>
    <m/>
    <m/>
    <n v="2"/>
    <x v="11"/>
    <n v="1"/>
    <n v="0"/>
    <n v="0"/>
  </r>
  <r>
    <s v="LD5474"/>
    <d v="2024-09-03T00:00:00"/>
    <x v="4"/>
    <s v="Partner Program"/>
    <s v="Mobile"/>
    <s v="Asia Pacific"/>
    <s v="MQL"/>
    <m/>
    <m/>
    <m/>
    <n v="2"/>
    <x v="9"/>
    <n v="1"/>
    <n v="0"/>
    <n v="0"/>
  </r>
  <r>
    <s v="LD4900"/>
    <d v="2024-08-12T00:00:00"/>
    <x v="4"/>
    <s v="Affiliate Program"/>
    <s v="Desktop"/>
    <s v="North America"/>
    <s v="SQL"/>
    <m/>
    <m/>
    <m/>
    <n v="3"/>
    <x v="6"/>
    <n v="1"/>
    <n v="1"/>
    <n v="0"/>
  </r>
  <r>
    <s v="LD1693"/>
    <d v="2024-02-08T00:00:00"/>
    <x v="0"/>
    <s v="Instagram Ads"/>
    <s v="Desktop"/>
    <s v="Europe"/>
    <s v="Lead"/>
    <m/>
    <m/>
    <m/>
    <n v="1"/>
    <x v="10"/>
    <n v="0"/>
    <n v="0"/>
    <n v="0"/>
  </r>
  <r>
    <s v="LD7410"/>
    <d v="2024-12-24T00:00:00"/>
    <x v="0"/>
    <s v="Facebook Ads"/>
    <s v="Desktop"/>
    <s v="North America"/>
    <s v="Lead"/>
    <m/>
    <m/>
    <m/>
    <n v="1"/>
    <x v="7"/>
    <n v="0"/>
    <n v="0"/>
    <n v="0"/>
  </r>
  <r>
    <s v="LD5445"/>
    <d v="2024-09-01T00:00:00"/>
    <x v="3"/>
    <s v="Promo Blast"/>
    <s v="Desktop"/>
    <s v="North America"/>
    <s v="SQL"/>
    <m/>
    <m/>
    <m/>
    <n v="3"/>
    <x v="9"/>
    <n v="1"/>
    <n v="1"/>
    <n v="0"/>
  </r>
  <r>
    <s v="LD4634"/>
    <d v="2024-08-21T00:00:00"/>
    <x v="1"/>
    <s v="Google Ads - Brand"/>
    <s v="Mobile"/>
    <s v="Asia Pacific"/>
    <s v="Lead"/>
    <m/>
    <m/>
    <m/>
    <n v="1"/>
    <x v="6"/>
    <n v="0"/>
    <n v="0"/>
    <n v="0"/>
  </r>
  <r>
    <s v="LD2051"/>
    <d v="2024-03-23T00:00:00"/>
    <x v="1"/>
    <s v="Google Ads - Brand"/>
    <s v="Mobile"/>
    <s v="North America"/>
    <s v="Lead"/>
    <m/>
    <m/>
    <m/>
    <n v="1"/>
    <x v="8"/>
    <n v="0"/>
    <n v="0"/>
    <n v="0"/>
  </r>
  <r>
    <s v="LD1591"/>
    <d v="2024-02-11T00:00:00"/>
    <x v="1"/>
    <s v="Google Ads - Brand"/>
    <s v="Mobile"/>
    <s v="Europe"/>
    <s v="Lead"/>
    <m/>
    <m/>
    <m/>
    <n v="1"/>
    <x v="10"/>
    <n v="0"/>
    <n v="0"/>
    <n v="0"/>
  </r>
  <r>
    <s v="LD1520"/>
    <d v="2024-02-03T00:00:00"/>
    <x v="5"/>
    <s v="Landing Page SEO"/>
    <s v="Desktop"/>
    <s v="Latin America"/>
    <s v="MQL"/>
    <m/>
    <m/>
    <m/>
    <n v="2"/>
    <x v="10"/>
    <n v="1"/>
    <n v="0"/>
    <n v="0"/>
  </r>
  <r>
    <s v="LD4381"/>
    <d v="2024-07-22T00:00:00"/>
    <x v="4"/>
    <s v="Partner Program"/>
    <s v="Desktop"/>
    <s v="North America"/>
    <s v="Lead"/>
    <m/>
    <m/>
    <m/>
    <n v="1"/>
    <x v="0"/>
    <n v="0"/>
    <n v="0"/>
    <n v="0"/>
  </r>
  <r>
    <s v="LD4677"/>
    <d v="2024-08-08T00:00:00"/>
    <x v="1"/>
    <s v="Google Ads - Generic"/>
    <s v="Mobile"/>
    <s v="North America"/>
    <s v="Lead"/>
    <m/>
    <m/>
    <m/>
    <n v="1"/>
    <x v="6"/>
    <n v="0"/>
    <n v="0"/>
    <n v="0"/>
  </r>
  <r>
    <s v="LD6592"/>
    <d v="2024-11-28T00:00:00"/>
    <x v="1"/>
    <s v="Google Ads - Generic"/>
    <s v="Mobile"/>
    <s v="Latin America"/>
    <s v="Lead"/>
    <m/>
    <m/>
    <m/>
    <n v="1"/>
    <x v="2"/>
    <n v="0"/>
    <n v="0"/>
    <n v="0"/>
  </r>
  <r>
    <s v="LD2608"/>
    <d v="2024-04-15T00:00:00"/>
    <x v="1"/>
    <s v="Google Ads - Brand"/>
    <s v="Desktop"/>
    <s v="Europe"/>
    <s v="MQL"/>
    <m/>
    <m/>
    <m/>
    <n v="2"/>
    <x v="1"/>
    <n v="1"/>
    <n v="0"/>
    <n v="0"/>
  </r>
  <r>
    <s v="LD4611"/>
    <d v="2024-08-02T00:00:00"/>
    <x v="1"/>
    <s v="Google Ads - Brand"/>
    <s v="Desktop"/>
    <s v="North America"/>
    <s v="Lead"/>
    <m/>
    <m/>
    <m/>
    <n v="1"/>
    <x v="6"/>
    <n v="0"/>
    <n v="0"/>
    <n v="0"/>
  </r>
  <r>
    <s v="LD7474"/>
    <d v="2024-12-17T00:00:00"/>
    <x v="3"/>
    <s v="Monthly Newsletter"/>
    <s v="Desktop"/>
    <s v="Europe"/>
    <s v="Lead"/>
    <m/>
    <m/>
    <m/>
    <n v="1"/>
    <x v="7"/>
    <n v="0"/>
    <n v="0"/>
    <n v="0"/>
  </r>
  <r>
    <s v="LD2810"/>
    <d v="2024-04-15T00:00:00"/>
    <x v="3"/>
    <s v="Promo Blast"/>
    <s v="Mobile"/>
    <s v="North America"/>
    <s v="SQL"/>
    <m/>
    <m/>
    <m/>
    <n v="3"/>
    <x v="1"/>
    <n v="1"/>
    <n v="1"/>
    <n v="0"/>
  </r>
  <r>
    <s v="LD1792"/>
    <d v="2024-02-03T00:00:00"/>
    <x v="3"/>
    <s v="Monthly Newsletter"/>
    <s v="Desktop"/>
    <s v="North America"/>
    <s v="Lead"/>
    <m/>
    <m/>
    <m/>
    <n v="1"/>
    <x v="10"/>
    <n v="0"/>
    <n v="0"/>
    <n v="0"/>
  </r>
  <r>
    <s v="LD1793"/>
    <d v="2024-02-13T00:00:00"/>
    <x v="3"/>
    <s v="Promo Blast"/>
    <s v="Desktop"/>
    <s v="Europe"/>
    <s v="SQL"/>
    <m/>
    <m/>
    <m/>
    <n v="3"/>
    <x v="10"/>
    <n v="1"/>
    <n v="1"/>
    <n v="0"/>
  </r>
  <r>
    <s v="LD6966"/>
    <d v="2024-11-22T00:00:00"/>
    <x v="4"/>
    <s v="Affiliate Program"/>
    <s v="Desktop"/>
    <s v="Europe"/>
    <s v="SQL"/>
    <m/>
    <m/>
    <m/>
    <n v="3"/>
    <x v="2"/>
    <n v="1"/>
    <n v="1"/>
    <n v="0"/>
  </r>
  <r>
    <s v="LD2856"/>
    <d v="2024-04-20T00:00:00"/>
    <x v="3"/>
    <s v="Promo Blast"/>
    <s v="Desktop"/>
    <s v="North America"/>
    <s v="MQL"/>
    <m/>
    <m/>
    <m/>
    <n v="2"/>
    <x v="1"/>
    <n v="1"/>
    <n v="0"/>
    <n v="0"/>
  </r>
  <r>
    <s v="LD2981"/>
    <d v="2024-04-16T00:00:00"/>
    <x v="2"/>
    <s v="Direct / Type-in"/>
    <s v="Desktop"/>
    <s v="North America"/>
    <s v="Lead"/>
    <m/>
    <m/>
    <m/>
    <n v="1"/>
    <x v="1"/>
    <n v="0"/>
    <n v="0"/>
    <n v="0"/>
  </r>
  <r>
    <s v="LD4234"/>
    <d v="2024-07-04T00:00:00"/>
    <x v="0"/>
    <s v="LinkedIn Ads"/>
    <s v="Mobile"/>
    <s v="Asia Pacific"/>
    <s v="Customer"/>
    <n v="22"/>
    <s v="Basic"/>
    <n v="599.78"/>
    <n v="4"/>
    <x v="0"/>
    <n v="1"/>
    <n v="1"/>
    <n v="1"/>
  </r>
  <r>
    <s v="LD4599"/>
    <d v="2024-08-21T00:00:00"/>
    <x v="1"/>
    <s v="Google Ads - Generic"/>
    <s v="Mobile"/>
    <s v="North America"/>
    <s v="Lead"/>
    <m/>
    <m/>
    <m/>
    <n v="1"/>
    <x v="6"/>
    <n v="0"/>
    <n v="0"/>
    <n v="0"/>
  </r>
  <r>
    <s v="LD1934"/>
    <d v="2024-02-07T00:00:00"/>
    <x v="2"/>
    <s v="Direct / Type-in"/>
    <s v="Desktop"/>
    <s v="North America"/>
    <s v="Lead"/>
    <m/>
    <m/>
    <m/>
    <n v="1"/>
    <x v="10"/>
    <n v="0"/>
    <n v="0"/>
    <n v="0"/>
  </r>
  <r>
    <s v="LD4964"/>
    <d v="2024-08-28T00:00:00"/>
    <x v="2"/>
    <s v="Direct / Type-in"/>
    <s v="Desktop"/>
    <s v="North America"/>
    <s v="Lead"/>
    <m/>
    <m/>
    <m/>
    <n v="1"/>
    <x v="6"/>
    <n v="0"/>
    <n v="0"/>
    <n v="0"/>
  </r>
  <r>
    <s v="LD6041"/>
    <d v="2024-10-13T00:00:00"/>
    <x v="3"/>
    <s v="Promo Blast"/>
    <s v="Desktop"/>
    <s v="Europe"/>
    <s v="MQL"/>
    <m/>
    <m/>
    <m/>
    <n v="2"/>
    <x v="5"/>
    <n v="1"/>
    <n v="0"/>
    <n v="0"/>
  </r>
  <r>
    <s v="LD7297"/>
    <d v="2024-12-09T00:00:00"/>
    <x v="1"/>
    <s v="Google Ads - Brand"/>
    <s v="Desktop"/>
    <s v="Europe"/>
    <s v="MQL"/>
    <m/>
    <m/>
    <m/>
    <n v="2"/>
    <x v="7"/>
    <n v="1"/>
    <n v="0"/>
    <n v="0"/>
  </r>
  <r>
    <s v="LD5180"/>
    <d v="2024-09-25T00:00:00"/>
    <x v="1"/>
    <s v="Google Ads - Brand"/>
    <s v="Mobile"/>
    <s v="North America"/>
    <s v="Lead"/>
    <m/>
    <m/>
    <m/>
    <n v="1"/>
    <x v="9"/>
    <n v="0"/>
    <n v="0"/>
    <n v="0"/>
  </r>
  <r>
    <s v="LD5027"/>
    <d v="2024-09-17T00:00:00"/>
    <x v="5"/>
    <s v="Blog SEO"/>
    <s v="Mobile"/>
    <s v="North America"/>
    <s v="Lead"/>
    <m/>
    <m/>
    <m/>
    <n v="1"/>
    <x v="9"/>
    <n v="0"/>
    <n v="0"/>
    <n v="0"/>
  </r>
  <r>
    <s v="LD7002"/>
    <d v="2024-11-11T00:00:00"/>
    <x v="4"/>
    <s v="Affiliate Program"/>
    <s v="Mobile"/>
    <s v="North America"/>
    <s v="Lead"/>
    <m/>
    <m/>
    <m/>
    <n v="1"/>
    <x v="2"/>
    <n v="0"/>
    <n v="0"/>
    <n v="0"/>
  </r>
  <r>
    <s v="LD5117"/>
    <d v="2024-09-27T00:00:00"/>
    <x v="5"/>
    <s v="Blog SEO"/>
    <s v="Desktop"/>
    <s v="Europe"/>
    <s v="SQL"/>
    <m/>
    <m/>
    <m/>
    <n v="3"/>
    <x v="9"/>
    <n v="1"/>
    <n v="1"/>
    <n v="0"/>
  </r>
  <r>
    <s v="LD1989"/>
    <d v="2024-03-13T00:00:00"/>
    <x v="5"/>
    <s v="Landing Page SEO"/>
    <s v="Mobile"/>
    <s v="Europe"/>
    <s v="Lead"/>
    <m/>
    <m/>
    <m/>
    <n v="1"/>
    <x v="8"/>
    <n v="0"/>
    <n v="0"/>
    <n v="0"/>
  </r>
  <r>
    <s v="LD6231"/>
    <d v="2024-10-07T00:00:00"/>
    <x v="4"/>
    <s v="Partner Program"/>
    <s v="Tablet"/>
    <s v="Asia Pacific"/>
    <s v="MQL"/>
    <m/>
    <m/>
    <m/>
    <n v="2"/>
    <x v="5"/>
    <n v="1"/>
    <n v="0"/>
    <n v="0"/>
  </r>
  <r>
    <s v="LD4454"/>
    <d v="2024-07-11T00:00:00"/>
    <x v="2"/>
    <s v="Direct / Type-in"/>
    <s v="Mobile"/>
    <s v="North America"/>
    <s v="Lead"/>
    <m/>
    <m/>
    <m/>
    <n v="1"/>
    <x v="0"/>
    <n v="0"/>
    <n v="0"/>
    <n v="0"/>
  </r>
  <r>
    <s v="LD7192"/>
    <d v="2024-12-08T00:00:00"/>
    <x v="5"/>
    <s v="Blog SEO"/>
    <s v="Desktop"/>
    <s v="North America"/>
    <s v="Lead"/>
    <m/>
    <m/>
    <m/>
    <n v="1"/>
    <x v="7"/>
    <n v="0"/>
    <n v="0"/>
    <n v="0"/>
  </r>
  <r>
    <s v="LD4779"/>
    <d v="2024-08-26T00:00:00"/>
    <x v="3"/>
    <s v="Promo Blast"/>
    <s v="Mobile"/>
    <s v="Asia Pacific"/>
    <s v="Lead"/>
    <m/>
    <m/>
    <m/>
    <n v="1"/>
    <x v="6"/>
    <n v="0"/>
    <n v="0"/>
    <n v="0"/>
  </r>
  <r>
    <s v="LD7732"/>
    <d v="2024-12-17T00:00:00"/>
    <x v="2"/>
    <s v="Direct / Type-in"/>
    <s v="Desktop"/>
    <s v="North America"/>
    <s v="Lead"/>
    <m/>
    <m/>
    <m/>
    <n v="1"/>
    <x v="7"/>
    <n v="0"/>
    <n v="0"/>
    <n v="0"/>
  </r>
  <r>
    <s v="LD4094"/>
    <d v="2024-07-12T00:00:00"/>
    <x v="5"/>
    <s v="Blog SEO"/>
    <s v="Mobile"/>
    <s v="North America"/>
    <s v="SQL"/>
    <m/>
    <m/>
    <m/>
    <n v="3"/>
    <x v="0"/>
    <n v="1"/>
    <n v="1"/>
    <n v="0"/>
  </r>
  <r>
    <s v="LD4156"/>
    <d v="2024-07-02T00:00:00"/>
    <x v="1"/>
    <s v="Google Ads - Generic"/>
    <s v="Desktop"/>
    <s v="North America"/>
    <s v="Lead"/>
    <m/>
    <m/>
    <m/>
    <n v="1"/>
    <x v="0"/>
    <n v="0"/>
    <n v="0"/>
    <n v="0"/>
  </r>
  <r>
    <s v="LD4202"/>
    <d v="2024-07-10T00:00:00"/>
    <x v="1"/>
    <s v="Google Ads - Brand"/>
    <s v="Tablet"/>
    <s v="Latin America"/>
    <s v="Lead"/>
    <m/>
    <m/>
    <m/>
    <n v="1"/>
    <x v="0"/>
    <n v="0"/>
    <n v="0"/>
    <n v="0"/>
  </r>
  <r>
    <s v="LD6473"/>
    <d v="2024-11-08T00:00:00"/>
    <x v="1"/>
    <s v="Google Ads - Brand"/>
    <s v="Mobile"/>
    <s v="Asia Pacific"/>
    <s v="MQL"/>
    <m/>
    <m/>
    <m/>
    <n v="2"/>
    <x v="2"/>
    <n v="1"/>
    <n v="0"/>
    <n v="0"/>
  </r>
  <r>
    <s v="LD2099"/>
    <d v="2024-03-12T00:00:00"/>
    <x v="1"/>
    <s v="Google Ads - Brand"/>
    <s v="Desktop"/>
    <s v="Europe"/>
    <s v="Lead"/>
    <m/>
    <m/>
    <m/>
    <n v="1"/>
    <x v="8"/>
    <n v="0"/>
    <n v="0"/>
    <n v="0"/>
  </r>
  <r>
    <s v="LD6636"/>
    <d v="2024-11-09T00:00:00"/>
    <x v="0"/>
    <s v="LinkedIn Ads"/>
    <s v="Tablet"/>
    <s v="Asia Pacific"/>
    <s v="MQL"/>
    <m/>
    <m/>
    <m/>
    <n v="2"/>
    <x v="2"/>
    <n v="1"/>
    <n v="0"/>
    <n v="0"/>
  </r>
  <r>
    <s v="LD3845"/>
    <d v="2024-06-27T00:00:00"/>
    <x v="3"/>
    <s v="Promo Blast"/>
    <s v="Desktop"/>
    <s v="Asia Pacific"/>
    <s v="SQL"/>
    <m/>
    <m/>
    <m/>
    <n v="3"/>
    <x v="11"/>
    <n v="1"/>
    <n v="1"/>
    <n v="0"/>
  </r>
  <r>
    <s v="LD1887"/>
    <d v="2024-02-05T00:00:00"/>
    <x v="4"/>
    <s v="Affiliate Program"/>
    <s v="Mobile"/>
    <s v="Europe"/>
    <s v="Lead"/>
    <m/>
    <m/>
    <m/>
    <n v="1"/>
    <x v="10"/>
    <n v="0"/>
    <n v="0"/>
    <n v="0"/>
  </r>
  <r>
    <s v="LD7693"/>
    <d v="2024-12-23T00:00:00"/>
    <x v="4"/>
    <s v="Partner Program"/>
    <s v="Desktop"/>
    <s v="Latin America"/>
    <s v="Lead"/>
    <m/>
    <m/>
    <m/>
    <n v="1"/>
    <x v="7"/>
    <n v="0"/>
    <n v="0"/>
    <n v="0"/>
  </r>
  <r>
    <s v="LD6260"/>
    <d v="2024-10-21T00:00:00"/>
    <x v="2"/>
    <s v="Direct / Type-in"/>
    <s v="Mobile"/>
    <s v="North America"/>
    <s v="Lead"/>
    <m/>
    <m/>
    <m/>
    <n v="1"/>
    <x v="5"/>
    <n v="0"/>
    <n v="0"/>
    <n v="0"/>
  </r>
  <r>
    <s v="LD1516"/>
    <d v="2024-02-04T00:00:00"/>
    <x v="5"/>
    <s v="Landing Page SEO"/>
    <s v="Desktop"/>
    <s v="Asia Pacific"/>
    <s v="SQL"/>
    <m/>
    <m/>
    <m/>
    <n v="3"/>
    <x v="10"/>
    <n v="1"/>
    <n v="1"/>
    <n v="0"/>
  </r>
  <r>
    <s v="LD7257"/>
    <d v="2024-12-15T00:00:00"/>
    <x v="1"/>
    <s v="Google Ads - Generic"/>
    <s v="Mobile"/>
    <s v="Europe"/>
    <s v="MQL"/>
    <m/>
    <m/>
    <m/>
    <n v="2"/>
    <x v="7"/>
    <n v="1"/>
    <n v="0"/>
    <n v="0"/>
  </r>
  <r>
    <s v="LD5834"/>
    <d v="2024-10-01T00:00:00"/>
    <x v="1"/>
    <s v="Google Ads - Brand"/>
    <s v="Desktop"/>
    <s v="Europe"/>
    <s v="Lead"/>
    <m/>
    <m/>
    <m/>
    <n v="1"/>
    <x v="5"/>
    <n v="0"/>
    <n v="0"/>
    <n v="0"/>
  </r>
  <r>
    <s v="LD2454"/>
    <d v="2024-03-22T00:00:00"/>
    <x v="2"/>
    <s v="Direct / Type-in"/>
    <s v="Desktop"/>
    <s v="Europe"/>
    <s v="Lead"/>
    <m/>
    <m/>
    <m/>
    <n v="1"/>
    <x v="8"/>
    <n v="0"/>
    <n v="0"/>
    <n v="0"/>
  </r>
  <r>
    <s v="LD4554"/>
    <d v="2024-08-23T00:00:00"/>
    <x v="5"/>
    <s v="Blog SEO"/>
    <s v="Desktop"/>
    <s v="Europe"/>
    <s v="MQL"/>
    <m/>
    <m/>
    <m/>
    <n v="2"/>
    <x v="6"/>
    <n v="1"/>
    <n v="0"/>
    <n v="0"/>
  </r>
  <r>
    <s v="LD4610"/>
    <d v="2024-08-23T00:00:00"/>
    <x v="1"/>
    <s v="Google Ads - Generic"/>
    <s v="Mobile"/>
    <s v="Europe"/>
    <s v="Lead"/>
    <m/>
    <m/>
    <m/>
    <n v="1"/>
    <x v="6"/>
    <n v="0"/>
    <n v="0"/>
    <n v="0"/>
  </r>
  <r>
    <s v="LD5666"/>
    <d v="2024-10-21T00:00:00"/>
    <x v="5"/>
    <s v="Blog SEO"/>
    <s v="Desktop"/>
    <s v="North America"/>
    <s v="SQL"/>
    <m/>
    <m/>
    <m/>
    <n v="3"/>
    <x v="5"/>
    <n v="1"/>
    <n v="1"/>
    <n v="0"/>
  </r>
  <r>
    <s v="LD3507"/>
    <d v="2024-05-08T00:00:00"/>
    <x v="2"/>
    <s v="Direct / Type-in"/>
    <s v="Desktop"/>
    <s v="North America"/>
    <s v="MQL"/>
    <m/>
    <m/>
    <m/>
    <n v="2"/>
    <x v="4"/>
    <n v="1"/>
    <n v="0"/>
    <n v="0"/>
  </r>
  <r>
    <s v="LD3995"/>
    <d v="2024-06-06T00:00:00"/>
    <x v="2"/>
    <s v="Direct / Type-in"/>
    <s v="Mobile"/>
    <s v="Latin America"/>
    <s v="MQL"/>
    <m/>
    <m/>
    <m/>
    <n v="2"/>
    <x v="11"/>
    <n v="1"/>
    <n v="0"/>
    <n v="0"/>
  </r>
  <r>
    <s v="LD5000"/>
    <d v="2024-08-22T00:00:00"/>
    <x v="2"/>
    <s v="Direct / Type-in"/>
    <s v="Desktop"/>
    <s v="North America"/>
    <s v="Lead"/>
    <m/>
    <m/>
    <m/>
    <n v="1"/>
    <x v="6"/>
    <n v="0"/>
    <n v="0"/>
    <n v="0"/>
  </r>
  <r>
    <s v="LD7428"/>
    <d v="2024-12-10T00:00:00"/>
    <x v="3"/>
    <s v="Monthly Newsletter"/>
    <s v="Desktop"/>
    <s v="North America"/>
    <s v="SQL"/>
    <m/>
    <m/>
    <m/>
    <n v="3"/>
    <x v="7"/>
    <n v="1"/>
    <n v="1"/>
    <n v="0"/>
  </r>
  <r>
    <s v="LD1907"/>
    <d v="2024-02-20T00:00:00"/>
    <x v="2"/>
    <s v="Direct / Type-in"/>
    <s v="Desktop"/>
    <s v="Europe"/>
    <s v="Lead"/>
    <m/>
    <m/>
    <m/>
    <n v="1"/>
    <x v="10"/>
    <n v="0"/>
    <n v="0"/>
    <n v="0"/>
  </r>
  <r>
    <s v="LD1029"/>
    <d v="2024-01-15T00:00:00"/>
    <x v="5"/>
    <s v="Blog SEO"/>
    <s v="Desktop"/>
    <s v="North America"/>
    <s v="MQL"/>
    <m/>
    <m/>
    <m/>
    <n v="2"/>
    <x v="3"/>
    <n v="1"/>
    <n v="0"/>
    <n v="0"/>
  </r>
  <r>
    <s v="LD3508"/>
    <d v="2024-05-17T00:00:00"/>
    <x v="2"/>
    <s v="Direct / Type-in"/>
    <s v="Desktop"/>
    <s v="North America"/>
    <s v="Lead"/>
    <m/>
    <m/>
    <m/>
    <n v="1"/>
    <x v="4"/>
    <n v="0"/>
    <n v="0"/>
    <n v="0"/>
  </r>
  <r>
    <s v="LD3429"/>
    <d v="2024-05-25T00:00:00"/>
    <x v="3"/>
    <s v="Monthly Newsletter"/>
    <s v="Desktop"/>
    <s v="Europe"/>
    <s v="MQL"/>
    <m/>
    <m/>
    <m/>
    <n v="2"/>
    <x v="4"/>
    <n v="1"/>
    <n v="0"/>
    <n v="0"/>
  </r>
  <r>
    <s v="LD6044"/>
    <d v="2024-10-08T00:00:00"/>
    <x v="3"/>
    <s v="Monthly Newsletter"/>
    <s v="Mobile"/>
    <s v="Europe"/>
    <s v="MQL"/>
    <m/>
    <m/>
    <m/>
    <n v="2"/>
    <x v="5"/>
    <n v="1"/>
    <n v="0"/>
    <n v="0"/>
  </r>
  <r>
    <s v="LD1763"/>
    <d v="2024-02-11T00:00:00"/>
    <x v="3"/>
    <s v="Monthly Newsletter"/>
    <s v="Mobile"/>
    <s v="North America"/>
    <s v="SQL"/>
    <m/>
    <m/>
    <m/>
    <n v="3"/>
    <x v="10"/>
    <n v="1"/>
    <n v="1"/>
    <n v="0"/>
  </r>
  <r>
    <s v="LD4748"/>
    <d v="2024-08-13T00:00:00"/>
    <x v="0"/>
    <s v="LinkedIn Ads"/>
    <s v="Desktop"/>
    <s v="Latin America"/>
    <s v="Lead"/>
    <m/>
    <m/>
    <m/>
    <n v="1"/>
    <x v="6"/>
    <n v="0"/>
    <n v="0"/>
    <n v="0"/>
  </r>
  <r>
    <s v="LD5812"/>
    <d v="2024-10-13T00:00:00"/>
    <x v="1"/>
    <s v="Google Ads - Brand"/>
    <s v="Mobile"/>
    <s v="North America"/>
    <s v="Lead"/>
    <m/>
    <m/>
    <m/>
    <n v="1"/>
    <x v="5"/>
    <n v="0"/>
    <n v="0"/>
    <n v="0"/>
  </r>
  <r>
    <s v="LD1285"/>
    <d v="2024-01-12T00:00:00"/>
    <x v="3"/>
    <s v="Promo Blast"/>
    <s v="Desktop"/>
    <s v="Asia Pacific"/>
    <s v="MQL"/>
    <m/>
    <m/>
    <m/>
    <n v="2"/>
    <x v="3"/>
    <n v="1"/>
    <n v="0"/>
    <n v="0"/>
  </r>
  <r>
    <s v="LD1687"/>
    <d v="2024-02-27T00:00:00"/>
    <x v="0"/>
    <s v="Instagram Ads"/>
    <s v="Desktop"/>
    <s v="Europe"/>
    <s v="Lead"/>
    <m/>
    <m/>
    <m/>
    <n v="1"/>
    <x v="10"/>
    <n v="0"/>
    <n v="0"/>
    <n v="0"/>
  </r>
  <r>
    <s v="LD7267"/>
    <d v="2024-12-22T00:00:00"/>
    <x v="1"/>
    <s v="Google Ads - Brand"/>
    <s v="Desktop"/>
    <s v="Asia Pacific"/>
    <s v="Customer"/>
    <n v="23"/>
    <s v="Pro"/>
    <n v="2708.31"/>
    <n v="4"/>
    <x v="7"/>
    <n v="1"/>
    <n v="1"/>
    <n v="1"/>
  </r>
  <r>
    <s v="LD3354"/>
    <d v="2024-05-20T00:00:00"/>
    <x v="3"/>
    <s v="Promo Blast"/>
    <s v="Desktop"/>
    <s v="Asia Pacific"/>
    <s v="Lead"/>
    <m/>
    <m/>
    <m/>
    <n v="1"/>
    <x v="4"/>
    <n v="0"/>
    <n v="0"/>
    <n v="0"/>
  </r>
  <r>
    <s v="LD6456"/>
    <d v="2024-11-24T00:00:00"/>
    <x v="5"/>
    <s v="Blog SEO"/>
    <s v="Mobile"/>
    <s v="Europe"/>
    <s v="SQL"/>
    <m/>
    <m/>
    <m/>
    <n v="3"/>
    <x v="2"/>
    <n v="1"/>
    <n v="1"/>
    <n v="0"/>
  </r>
  <r>
    <s v="LD6829"/>
    <d v="2024-11-04T00:00:00"/>
    <x v="3"/>
    <s v="Promo Blast"/>
    <s v="Desktop"/>
    <s v="North America"/>
    <s v="MQL"/>
    <m/>
    <m/>
    <m/>
    <n v="2"/>
    <x v="2"/>
    <n v="1"/>
    <n v="0"/>
    <n v="0"/>
  </r>
  <r>
    <s v="LD1022"/>
    <d v="2024-01-27T00:00:00"/>
    <x v="5"/>
    <s v="Blog SEO"/>
    <s v="Desktop"/>
    <s v="Asia Pacific"/>
    <s v="MQL"/>
    <m/>
    <m/>
    <m/>
    <n v="2"/>
    <x v="3"/>
    <n v="1"/>
    <n v="0"/>
    <n v="0"/>
  </r>
  <r>
    <s v="LD3753"/>
    <d v="2024-06-12T00:00:00"/>
    <x v="0"/>
    <s v="LinkedIn Ads"/>
    <s v="Desktop"/>
    <s v="Latin America"/>
    <s v="MQL"/>
    <m/>
    <m/>
    <m/>
    <n v="2"/>
    <x v="11"/>
    <n v="1"/>
    <n v="0"/>
    <n v="0"/>
  </r>
  <r>
    <s v="LD1886"/>
    <d v="2024-02-06T00:00:00"/>
    <x v="4"/>
    <s v="Affiliate Program"/>
    <s v="Desktop"/>
    <s v="Asia Pacific"/>
    <s v="Lead"/>
    <m/>
    <m/>
    <m/>
    <n v="1"/>
    <x v="10"/>
    <n v="0"/>
    <n v="0"/>
    <n v="0"/>
  </r>
  <r>
    <s v="LD1918"/>
    <d v="2024-02-16T00:00:00"/>
    <x v="2"/>
    <s v="Direct / Type-in"/>
    <s v="Mobile"/>
    <s v="Asia Pacific"/>
    <s v="Lead"/>
    <m/>
    <m/>
    <m/>
    <n v="1"/>
    <x v="10"/>
    <n v="0"/>
    <n v="0"/>
    <n v="0"/>
  </r>
  <r>
    <s v="LD2041"/>
    <d v="2024-03-19T00:00:00"/>
    <x v="5"/>
    <s v="Landing Page SEO"/>
    <s v="Mobile"/>
    <s v="North America"/>
    <s v="Lead"/>
    <m/>
    <m/>
    <m/>
    <n v="1"/>
    <x v="8"/>
    <n v="0"/>
    <n v="0"/>
    <n v="0"/>
  </r>
  <r>
    <s v="LD6380"/>
    <d v="2024-11-08T00:00:00"/>
    <x v="5"/>
    <s v="Blog SEO"/>
    <s v="Desktop"/>
    <s v="Asia Pacific"/>
    <s v="MQL"/>
    <m/>
    <m/>
    <m/>
    <n v="2"/>
    <x v="2"/>
    <n v="1"/>
    <n v="0"/>
    <n v="0"/>
  </r>
  <r>
    <s v="LD2266"/>
    <d v="2024-03-04T00:00:00"/>
    <x v="3"/>
    <s v="Monthly Newsletter"/>
    <s v="Desktop"/>
    <s v="North America"/>
    <s v="SQL"/>
    <m/>
    <m/>
    <m/>
    <n v="3"/>
    <x v="8"/>
    <n v="1"/>
    <n v="1"/>
    <n v="0"/>
  </r>
  <r>
    <s v="LD5580"/>
    <d v="2024-09-11T00:00:00"/>
    <x v="2"/>
    <s v="Direct / Type-in"/>
    <s v="Mobile"/>
    <s v="Europe"/>
    <s v="Lead"/>
    <m/>
    <m/>
    <m/>
    <n v="1"/>
    <x v="9"/>
    <n v="0"/>
    <n v="0"/>
    <n v="0"/>
  </r>
  <r>
    <s v="LD6872"/>
    <d v="2024-11-26T00:00:00"/>
    <x v="3"/>
    <s v="Promo Blast"/>
    <s v="Mobile"/>
    <s v="North America"/>
    <s v="Lead"/>
    <m/>
    <m/>
    <m/>
    <n v="1"/>
    <x v="2"/>
    <n v="0"/>
    <n v="0"/>
    <n v="0"/>
  </r>
  <r>
    <s v="LD1278"/>
    <d v="2024-01-17T00:00:00"/>
    <x v="3"/>
    <s v="Promo Blast"/>
    <s v="Tablet"/>
    <s v="Europe"/>
    <s v="MQL"/>
    <m/>
    <m/>
    <m/>
    <n v="2"/>
    <x v="3"/>
    <n v="1"/>
    <n v="0"/>
    <n v="0"/>
  </r>
  <r>
    <s v="LD3085"/>
    <d v="2024-05-21T00:00:00"/>
    <x v="5"/>
    <s v="Blog SEO"/>
    <s v="Mobile"/>
    <s v="Europe"/>
    <s v="SQL"/>
    <m/>
    <m/>
    <m/>
    <n v="3"/>
    <x v="4"/>
    <n v="1"/>
    <n v="1"/>
    <n v="0"/>
  </r>
  <r>
    <s v="LD2246"/>
    <d v="2024-03-21T00:00:00"/>
    <x v="3"/>
    <s v="Monthly Newsletter"/>
    <s v="Desktop"/>
    <s v="Europe"/>
    <s v="Lead"/>
    <m/>
    <m/>
    <m/>
    <n v="1"/>
    <x v="8"/>
    <n v="0"/>
    <n v="0"/>
    <n v="0"/>
  </r>
  <r>
    <s v="LD3383"/>
    <d v="2024-05-24T00:00:00"/>
    <x v="3"/>
    <s v="Promo Blast"/>
    <s v="Mobile"/>
    <s v="Europe"/>
    <s v="Lead"/>
    <m/>
    <m/>
    <m/>
    <n v="1"/>
    <x v="4"/>
    <n v="0"/>
    <n v="0"/>
    <n v="0"/>
  </r>
  <r>
    <s v="LD1572"/>
    <d v="2024-02-25T00:00:00"/>
    <x v="1"/>
    <s v="Google Ads - Generic"/>
    <s v="Desktop"/>
    <s v="North America"/>
    <s v="Lead"/>
    <m/>
    <m/>
    <m/>
    <n v="1"/>
    <x v="10"/>
    <n v="0"/>
    <n v="0"/>
    <n v="0"/>
  </r>
  <r>
    <s v="LD2436"/>
    <d v="2024-03-01T00:00:00"/>
    <x v="2"/>
    <s v="Direct / Type-in"/>
    <s v="Mobile"/>
    <s v="North America"/>
    <s v="MQL"/>
    <m/>
    <m/>
    <m/>
    <n v="2"/>
    <x v="8"/>
    <n v="1"/>
    <n v="0"/>
    <n v="0"/>
  </r>
  <r>
    <s v="LD4903"/>
    <d v="2024-08-10T00:00:00"/>
    <x v="4"/>
    <s v="Affiliate Program"/>
    <s v="Mobile"/>
    <s v="North America"/>
    <s v="SQL"/>
    <m/>
    <m/>
    <m/>
    <n v="3"/>
    <x v="6"/>
    <n v="1"/>
    <n v="1"/>
    <n v="0"/>
  </r>
  <r>
    <s v="LD2248"/>
    <d v="2024-03-16T00:00:00"/>
    <x v="3"/>
    <s v="Promo Blast"/>
    <s v="Desktop"/>
    <s v="North America"/>
    <s v="SQL"/>
    <m/>
    <m/>
    <m/>
    <n v="3"/>
    <x v="8"/>
    <n v="1"/>
    <n v="1"/>
    <n v="0"/>
  </r>
  <r>
    <s v="LD5682"/>
    <d v="2024-10-01T00:00:00"/>
    <x v="5"/>
    <s v="Landing Page SEO"/>
    <s v="Mobile"/>
    <s v="Asia Pacific"/>
    <s v="MQL"/>
    <m/>
    <m/>
    <m/>
    <n v="2"/>
    <x v="5"/>
    <n v="1"/>
    <n v="0"/>
    <n v="0"/>
  </r>
  <r>
    <s v="LD4527"/>
    <d v="2024-08-03T00:00:00"/>
    <x v="5"/>
    <s v="Blog SEO"/>
    <s v="Mobile"/>
    <s v="Europe"/>
    <s v="MQL"/>
    <m/>
    <m/>
    <m/>
    <n v="2"/>
    <x v="6"/>
    <n v="1"/>
    <n v="0"/>
    <n v="0"/>
  </r>
  <r>
    <s v="LD3515"/>
    <d v="2024-05-16T00:00:00"/>
    <x v="2"/>
    <s v="Direct / Type-in"/>
    <s v="Mobile"/>
    <s v="North America"/>
    <s v="Lead"/>
    <m/>
    <m/>
    <m/>
    <n v="1"/>
    <x v="4"/>
    <n v="0"/>
    <n v="0"/>
    <n v="0"/>
  </r>
  <r>
    <s v="LD2008"/>
    <d v="2024-03-25T00:00:00"/>
    <x v="5"/>
    <s v="Landing Page SEO"/>
    <s v="Mobile"/>
    <s v="North America"/>
    <s v="Customer"/>
    <n v="56"/>
    <s v="Pro"/>
    <n v="3707.16"/>
    <n v="4"/>
    <x v="8"/>
    <n v="1"/>
    <n v="1"/>
    <n v="1"/>
  </r>
  <r>
    <s v="LD5771"/>
    <d v="2024-10-02T00:00:00"/>
    <x v="1"/>
    <s v="Google Ads - Generic"/>
    <s v="Desktop"/>
    <s v="North America"/>
    <s v="Lead"/>
    <m/>
    <m/>
    <m/>
    <n v="1"/>
    <x v="5"/>
    <n v="0"/>
    <n v="0"/>
    <n v="0"/>
  </r>
  <r>
    <s v="LD5544"/>
    <d v="2024-09-28T00:00:00"/>
    <x v="2"/>
    <s v="Direct / Type-in"/>
    <s v="Desktop"/>
    <s v="Asia Pacific"/>
    <s v="Lead"/>
    <m/>
    <m/>
    <m/>
    <n v="1"/>
    <x v="9"/>
    <n v="0"/>
    <n v="0"/>
    <n v="0"/>
  </r>
  <r>
    <s v="LD6106"/>
    <d v="2024-10-16T00:00:00"/>
    <x v="3"/>
    <s v="Monthly Newsletter"/>
    <s v="Desktop"/>
    <s v="North America"/>
    <s v="Lead"/>
    <m/>
    <m/>
    <m/>
    <n v="1"/>
    <x v="5"/>
    <n v="0"/>
    <n v="0"/>
    <n v="0"/>
  </r>
  <r>
    <s v="LD6877"/>
    <d v="2024-11-04T00:00:00"/>
    <x v="3"/>
    <s v="Monthly Newsletter"/>
    <s v="Mobile"/>
    <s v="Europe"/>
    <s v="MQL"/>
    <m/>
    <m/>
    <m/>
    <n v="2"/>
    <x v="2"/>
    <n v="1"/>
    <n v="0"/>
    <n v="0"/>
  </r>
  <r>
    <s v="LD3065"/>
    <d v="2024-05-11T00:00:00"/>
    <x v="5"/>
    <s v="Blog SEO"/>
    <s v="Desktop"/>
    <s v="Europe"/>
    <s v="Lead"/>
    <m/>
    <m/>
    <m/>
    <n v="1"/>
    <x v="4"/>
    <n v="0"/>
    <n v="0"/>
    <n v="0"/>
  </r>
  <r>
    <s v="LD6356"/>
    <d v="2024-11-21T00:00:00"/>
    <x v="5"/>
    <s v="Blog SEO"/>
    <s v="Tablet"/>
    <s v="Latin America"/>
    <s v="Lead"/>
    <m/>
    <m/>
    <m/>
    <n v="1"/>
    <x v="2"/>
    <n v="0"/>
    <n v="0"/>
    <n v="0"/>
  </r>
  <r>
    <s v="LD2691"/>
    <d v="2024-04-25T00:00:00"/>
    <x v="0"/>
    <s v="Instagram Ads"/>
    <s v="Desktop"/>
    <s v="North America"/>
    <s v="Lead"/>
    <m/>
    <m/>
    <m/>
    <n v="1"/>
    <x v="1"/>
    <n v="0"/>
    <n v="0"/>
    <n v="0"/>
  </r>
  <r>
    <s v="LD7550"/>
    <d v="2024-12-12T00:00:00"/>
    <x v="3"/>
    <s v="Promo Blast"/>
    <s v="Tablet"/>
    <s v="North America"/>
    <s v="Lead"/>
    <m/>
    <m/>
    <m/>
    <n v="1"/>
    <x v="7"/>
    <n v="0"/>
    <n v="0"/>
    <n v="0"/>
  </r>
  <r>
    <s v="LD2986"/>
    <d v="2024-04-17T00:00:00"/>
    <x v="2"/>
    <s v="Direct / Type-in"/>
    <s v="Tablet"/>
    <s v="North America"/>
    <s v="Lead"/>
    <m/>
    <m/>
    <m/>
    <n v="1"/>
    <x v="1"/>
    <n v="0"/>
    <n v="0"/>
    <n v="0"/>
  </r>
  <r>
    <s v="LD1295"/>
    <d v="2024-01-03T00:00:00"/>
    <x v="3"/>
    <s v="Promo Blast"/>
    <s v="Mobile"/>
    <s v="Europe"/>
    <s v="Customer"/>
    <n v="27"/>
    <s v="Pro"/>
    <n v="4745.6400000000003"/>
    <n v="4"/>
    <x v="3"/>
    <n v="1"/>
    <n v="1"/>
    <n v="1"/>
  </r>
  <r>
    <s v="LD2548"/>
    <d v="2024-04-04T00:00:00"/>
    <x v="5"/>
    <s v="Landing Page SEO"/>
    <s v="Mobile"/>
    <s v="North America"/>
    <s v="MQL"/>
    <m/>
    <m/>
    <m/>
    <n v="2"/>
    <x v="1"/>
    <n v="1"/>
    <n v="0"/>
    <n v="0"/>
  </r>
  <r>
    <s v="LD3013"/>
    <d v="2024-04-26T00:00:00"/>
    <x v="2"/>
    <s v="Direct / Type-in"/>
    <s v="Desktop"/>
    <s v="North America"/>
    <s v="SQL"/>
    <m/>
    <m/>
    <m/>
    <n v="3"/>
    <x v="1"/>
    <n v="1"/>
    <n v="1"/>
    <n v="0"/>
  </r>
  <r>
    <s v="LD1589"/>
    <d v="2024-02-21T00:00:00"/>
    <x v="1"/>
    <s v="Google Ads - Generic"/>
    <s v="Tablet"/>
    <s v="North America"/>
    <s v="Lead"/>
    <m/>
    <m/>
    <m/>
    <n v="1"/>
    <x v="10"/>
    <n v="0"/>
    <n v="0"/>
    <n v="0"/>
  </r>
  <r>
    <s v="LD4330"/>
    <d v="2024-07-24T00:00:00"/>
    <x v="3"/>
    <s v="Monthly Newsletter"/>
    <s v="Tablet"/>
    <s v="Europe"/>
    <s v="Lead"/>
    <m/>
    <m/>
    <m/>
    <n v="1"/>
    <x v="0"/>
    <n v="0"/>
    <n v="0"/>
    <n v="0"/>
  </r>
  <r>
    <s v="LD3404"/>
    <d v="2024-05-20T00:00:00"/>
    <x v="3"/>
    <s v="Monthly Newsletter"/>
    <s v="Mobile"/>
    <s v="Europe"/>
    <s v="MQL"/>
    <m/>
    <m/>
    <m/>
    <n v="2"/>
    <x v="4"/>
    <n v="1"/>
    <n v="0"/>
    <n v="0"/>
  </r>
  <r>
    <s v="LD3130"/>
    <d v="2024-05-28T00:00:00"/>
    <x v="1"/>
    <s v="Google Ads - Generic"/>
    <s v="Mobile"/>
    <s v="Europe"/>
    <s v="Lead"/>
    <m/>
    <m/>
    <m/>
    <n v="1"/>
    <x v="4"/>
    <n v="0"/>
    <n v="0"/>
    <n v="0"/>
  </r>
  <r>
    <s v="LD4999"/>
    <d v="2024-08-14T00:00:00"/>
    <x v="2"/>
    <s v="Direct / Type-in"/>
    <s v="Desktop"/>
    <s v="Asia Pacific"/>
    <s v="Lead"/>
    <m/>
    <m/>
    <m/>
    <n v="1"/>
    <x v="6"/>
    <n v="0"/>
    <n v="0"/>
    <n v="0"/>
  </r>
  <r>
    <s v="LD6937"/>
    <d v="2024-11-09T00:00:00"/>
    <x v="4"/>
    <s v="Partner Program"/>
    <s v="Mobile"/>
    <s v="North America"/>
    <s v="Lead"/>
    <m/>
    <m/>
    <m/>
    <n v="1"/>
    <x v="2"/>
    <n v="0"/>
    <n v="0"/>
    <n v="0"/>
  </r>
  <r>
    <s v="LD4742"/>
    <d v="2024-08-23T00:00:00"/>
    <x v="0"/>
    <s v="Instagram Ads"/>
    <s v="Desktop"/>
    <s v="Europe"/>
    <s v="SQL"/>
    <m/>
    <m/>
    <m/>
    <n v="3"/>
    <x v="6"/>
    <n v="1"/>
    <n v="1"/>
    <n v="0"/>
  </r>
  <r>
    <s v="LD4509"/>
    <d v="2024-08-14T00:00:00"/>
    <x v="5"/>
    <s v="Blog SEO"/>
    <s v="Desktop"/>
    <s v="North America"/>
    <s v="MQL"/>
    <m/>
    <m/>
    <m/>
    <n v="2"/>
    <x v="6"/>
    <n v="1"/>
    <n v="0"/>
    <n v="0"/>
  </r>
  <r>
    <s v="LD3720"/>
    <d v="2024-06-01T00:00:00"/>
    <x v="1"/>
    <s v="Google Ads - Brand"/>
    <s v="Mobile"/>
    <s v="North America"/>
    <s v="MQL"/>
    <m/>
    <m/>
    <m/>
    <n v="2"/>
    <x v="11"/>
    <n v="1"/>
    <n v="0"/>
    <n v="0"/>
  </r>
  <r>
    <s v="LD5522"/>
    <d v="2024-09-16T00:00:00"/>
    <x v="4"/>
    <s v="Affiliate Program"/>
    <s v="Desktop"/>
    <s v="North America"/>
    <s v="Customer"/>
    <n v="11"/>
    <s v="Pro"/>
    <n v="4293.59"/>
    <n v="4"/>
    <x v="9"/>
    <n v="1"/>
    <n v="1"/>
    <n v="1"/>
  </r>
  <r>
    <s v="LD7175"/>
    <d v="2024-12-12T00:00:00"/>
    <x v="5"/>
    <s v="Blog SEO"/>
    <s v="Mobile"/>
    <s v="North America"/>
    <s v="MQL"/>
    <m/>
    <m/>
    <m/>
    <n v="2"/>
    <x v="7"/>
    <n v="1"/>
    <n v="0"/>
    <n v="0"/>
  </r>
  <r>
    <s v="LD7420"/>
    <d v="2024-12-28T00:00:00"/>
    <x v="0"/>
    <s v="LinkedIn Ads"/>
    <s v="Desktop"/>
    <s v="North America"/>
    <s v="Lead"/>
    <m/>
    <m/>
    <m/>
    <n v="1"/>
    <x v="7"/>
    <n v="0"/>
    <n v="0"/>
    <n v="0"/>
  </r>
  <r>
    <s v="LD1557"/>
    <d v="2024-02-04T00:00:00"/>
    <x v="5"/>
    <s v="Blog SEO"/>
    <s v="Mobile"/>
    <s v="Asia Pacific"/>
    <s v="MQL"/>
    <m/>
    <m/>
    <m/>
    <n v="2"/>
    <x v="10"/>
    <n v="1"/>
    <n v="0"/>
    <n v="0"/>
  </r>
  <r>
    <s v="LD5796"/>
    <d v="2024-10-08T00:00:00"/>
    <x v="1"/>
    <s v="Google Ads - Generic"/>
    <s v="Desktop"/>
    <s v="Europe"/>
    <s v="Lead"/>
    <m/>
    <m/>
    <m/>
    <n v="1"/>
    <x v="5"/>
    <n v="0"/>
    <n v="0"/>
    <n v="0"/>
  </r>
  <r>
    <s v="LD3470"/>
    <d v="2024-05-23T00:00:00"/>
    <x v="4"/>
    <s v="Partner Program"/>
    <s v="Desktop"/>
    <s v="North America"/>
    <s v="SQL"/>
    <m/>
    <m/>
    <m/>
    <n v="3"/>
    <x v="4"/>
    <n v="1"/>
    <n v="1"/>
    <n v="0"/>
  </r>
  <r>
    <s v="LD4739"/>
    <d v="2024-08-23T00:00:00"/>
    <x v="0"/>
    <s v="Facebook Ads"/>
    <s v="Desktop"/>
    <s v="North America"/>
    <s v="Lead"/>
    <m/>
    <m/>
    <m/>
    <n v="1"/>
    <x v="6"/>
    <n v="0"/>
    <n v="0"/>
    <n v="0"/>
  </r>
  <r>
    <s v="LD5287"/>
    <d v="2024-09-05T00:00:00"/>
    <x v="0"/>
    <s v="LinkedIn Ads"/>
    <s v="Desktop"/>
    <s v="North America"/>
    <s v="SQL"/>
    <m/>
    <m/>
    <m/>
    <n v="3"/>
    <x v="9"/>
    <n v="1"/>
    <n v="1"/>
    <n v="0"/>
  </r>
  <r>
    <s v="LD6587"/>
    <d v="2024-11-27T00:00:00"/>
    <x v="1"/>
    <s v="Google Ads - Generic"/>
    <s v="Mobile"/>
    <s v="North America"/>
    <s v="Lead"/>
    <m/>
    <m/>
    <m/>
    <n v="1"/>
    <x v="2"/>
    <n v="0"/>
    <n v="0"/>
    <n v="0"/>
  </r>
  <r>
    <s v="LD2717"/>
    <d v="2024-04-03T00:00:00"/>
    <x v="0"/>
    <s v="Facebook Ads"/>
    <s v="Desktop"/>
    <s v="North America"/>
    <s v="Lead"/>
    <m/>
    <m/>
    <m/>
    <n v="1"/>
    <x v="1"/>
    <n v="0"/>
    <n v="0"/>
    <n v="0"/>
  </r>
  <r>
    <s v="LD3605"/>
    <d v="2024-06-21T00:00:00"/>
    <x v="5"/>
    <s v="Landing Page SEO"/>
    <s v="Desktop"/>
    <s v="Europe"/>
    <s v="Customer"/>
    <n v="45"/>
    <s v="Pro"/>
    <n v="4994.41"/>
    <n v="4"/>
    <x v="11"/>
    <n v="1"/>
    <n v="1"/>
    <n v="1"/>
  </r>
  <r>
    <s v="LD6598"/>
    <d v="2024-11-24T00:00:00"/>
    <x v="0"/>
    <s v="Facebook Ads"/>
    <s v="Desktop"/>
    <s v="Asia Pacific"/>
    <s v="Lead"/>
    <m/>
    <m/>
    <m/>
    <n v="1"/>
    <x v="2"/>
    <n v="0"/>
    <n v="0"/>
    <n v="0"/>
  </r>
  <r>
    <s v="LD2705"/>
    <d v="2024-04-13T00:00:00"/>
    <x v="0"/>
    <s v="Facebook Ads"/>
    <s v="Mobile"/>
    <s v="Europe"/>
    <s v="MQL"/>
    <m/>
    <m/>
    <m/>
    <n v="2"/>
    <x v="1"/>
    <n v="1"/>
    <n v="0"/>
    <n v="0"/>
  </r>
  <r>
    <s v="LD3140"/>
    <d v="2024-05-12T00:00:00"/>
    <x v="1"/>
    <s v="Google Ads - Brand"/>
    <s v="Desktop"/>
    <s v="North America"/>
    <s v="SQL"/>
    <m/>
    <m/>
    <m/>
    <n v="3"/>
    <x v="4"/>
    <n v="1"/>
    <n v="1"/>
    <n v="0"/>
  </r>
  <r>
    <s v="LD4240"/>
    <d v="2024-07-05T00:00:00"/>
    <x v="0"/>
    <s v="Facebook Ads"/>
    <s v="Tablet"/>
    <s v="Asia Pacific"/>
    <s v="Lead"/>
    <m/>
    <m/>
    <m/>
    <n v="1"/>
    <x v="0"/>
    <n v="0"/>
    <n v="0"/>
    <n v="0"/>
  </r>
  <r>
    <s v="LD3384"/>
    <d v="2024-05-13T00:00:00"/>
    <x v="3"/>
    <s v="Monthly Newsletter"/>
    <s v="Desktop"/>
    <s v="Asia Pacific"/>
    <s v="SQL"/>
    <m/>
    <m/>
    <m/>
    <n v="3"/>
    <x v="4"/>
    <n v="1"/>
    <n v="1"/>
    <n v="0"/>
  </r>
  <r>
    <s v="LD5312"/>
    <d v="2024-09-22T00:00:00"/>
    <x v="3"/>
    <s v="Promo Blast"/>
    <s v="Desktop"/>
    <s v="Europe"/>
    <s v="MQL"/>
    <m/>
    <m/>
    <m/>
    <n v="2"/>
    <x v="9"/>
    <n v="1"/>
    <n v="0"/>
    <n v="0"/>
  </r>
  <r>
    <s v="LD2286"/>
    <d v="2024-03-15T00:00:00"/>
    <x v="3"/>
    <s v="Promo Blast"/>
    <s v="Tablet"/>
    <s v="Asia Pacific"/>
    <s v="Lead"/>
    <m/>
    <m/>
    <m/>
    <n v="1"/>
    <x v="8"/>
    <n v="0"/>
    <n v="0"/>
    <n v="0"/>
  </r>
  <r>
    <s v="LD6777"/>
    <d v="2024-11-21T00:00:00"/>
    <x v="3"/>
    <s v="Promo Blast"/>
    <s v="Desktop"/>
    <s v="Europe"/>
    <s v="Lead"/>
    <m/>
    <m/>
    <m/>
    <n v="1"/>
    <x v="2"/>
    <n v="0"/>
    <n v="0"/>
    <n v="0"/>
  </r>
  <r>
    <s v="LD7058"/>
    <d v="2024-11-05T00:00:00"/>
    <x v="2"/>
    <s v="Direct / Type-in"/>
    <s v="Desktop"/>
    <s v="Europe"/>
    <s v="Customer"/>
    <n v="53"/>
    <s v="Pro"/>
    <n v="2949.54"/>
    <n v="4"/>
    <x v="2"/>
    <n v="1"/>
    <n v="1"/>
    <n v="1"/>
  </r>
  <r>
    <s v="LD4931"/>
    <d v="2024-08-17T00:00:00"/>
    <x v="4"/>
    <s v="Partner Program"/>
    <s v="Tablet"/>
    <s v="Europe"/>
    <s v="SQL"/>
    <m/>
    <m/>
    <m/>
    <n v="3"/>
    <x v="6"/>
    <n v="1"/>
    <n v="1"/>
    <n v="0"/>
  </r>
  <r>
    <s v="LD6130"/>
    <d v="2024-10-08T00:00:00"/>
    <x v="3"/>
    <s v="Promo Blast"/>
    <s v="Mobile"/>
    <s v="Europe"/>
    <s v="Lead"/>
    <m/>
    <m/>
    <m/>
    <n v="1"/>
    <x v="5"/>
    <n v="0"/>
    <n v="0"/>
    <n v="0"/>
  </r>
  <r>
    <s v="LD2592"/>
    <d v="2024-04-26T00:00:00"/>
    <x v="1"/>
    <s v="Google Ads - Brand"/>
    <s v="Mobile"/>
    <s v="North America"/>
    <s v="Lead"/>
    <m/>
    <m/>
    <m/>
    <n v="1"/>
    <x v="1"/>
    <n v="0"/>
    <n v="0"/>
    <n v="0"/>
  </r>
  <r>
    <s v="LD7005"/>
    <d v="2024-11-05T00:00:00"/>
    <x v="4"/>
    <s v="Affiliate Program"/>
    <s v="Desktop"/>
    <s v="North America"/>
    <s v="Customer"/>
    <n v="24"/>
    <s v="Basic"/>
    <n v="1293.23"/>
    <n v="4"/>
    <x v="2"/>
    <n v="1"/>
    <n v="1"/>
    <n v="1"/>
  </r>
  <r>
    <s v="LD3163"/>
    <d v="2024-05-14T00:00:00"/>
    <x v="1"/>
    <s v="Google Ads - Generic"/>
    <s v="Desktop"/>
    <s v="Europe"/>
    <s v="Lead"/>
    <m/>
    <m/>
    <m/>
    <n v="1"/>
    <x v="4"/>
    <n v="0"/>
    <n v="0"/>
    <n v="0"/>
  </r>
  <r>
    <s v="LD3397"/>
    <d v="2024-05-24T00:00:00"/>
    <x v="3"/>
    <s v="Promo Blast"/>
    <s v="Desktop"/>
    <s v="North America"/>
    <s v="MQL"/>
    <m/>
    <m/>
    <m/>
    <n v="2"/>
    <x v="4"/>
    <n v="1"/>
    <n v="0"/>
    <n v="0"/>
  </r>
  <r>
    <s v="LD1318"/>
    <d v="2024-01-25T00:00:00"/>
    <x v="3"/>
    <s v="Promo Blast"/>
    <s v="Mobile"/>
    <s v="Europe"/>
    <s v="Lead"/>
    <m/>
    <m/>
    <m/>
    <n v="1"/>
    <x v="3"/>
    <n v="0"/>
    <n v="0"/>
    <n v="0"/>
  </r>
  <r>
    <s v="LD7086"/>
    <d v="2024-11-10T00:00:00"/>
    <x v="2"/>
    <s v="Direct / Type-in"/>
    <s v="Mobile"/>
    <s v="North America"/>
    <s v="MQL"/>
    <m/>
    <m/>
    <m/>
    <n v="2"/>
    <x v="2"/>
    <n v="1"/>
    <n v="0"/>
    <n v="0"/>
  </r>
  <r>
    <s v="LD4112"/>
    <d v="2024-07-02T00:00:00"/>
    <x v="5"/>
    <s v="Blog SEO"/>
    <s v="Desktop"/>
    <s v="North America"/>
    <s v="Lead"/>
    <m/>
    <m/>
    <m/>
    <n v="1"/>
    <x v="0"/>
    <n v="0"/>
    <n v="0"/>
    <n v="0"/>
  </r>
  <r>
    <s v="LD6418"/>
    <d v="2024-11-03T00:00:00"/>
    <x v="5"/>
    <s v="Blog SEO"/>
    <s v="Mobile"/>
    <s v="Europe"/>
    <s v="Lead"/>
    <m/>
    <m/>
    <m/>
    <n v="1"/>
    <x v="2"/>
    <n v="0"/>
    <n v="0"/>
    <n v="0"/>
  </r>
  <r>
    <s v="LD7587"/>
    <d v="2024-12-02T00:00:00"/>
    <x v="3"/>
    <s v="Promo Blast"/>
    <s v="Mobile"/>
    <s v="North America"/>
    <s v="SQL"/>
    <m/>
    <m/>
    <m/>
    <n v="3"/>
    <x v="7"/>
    <n v="1"/>
    <n v="1"/>
    <n v="0"/>
  </r>
  <r>
    <s v="LD5037"/>
    <d v="2024-09-16T00:00:00"/>
    <x v="5"/>
    <s v="Landing Page SEO"/>
    <s v="Mobile"/>
    <s v="Asia Pacific"/>
    <s v="Lead"/>
    <m/>
    <m/>
    <m/>
    <n v="1"/>
    <x v="9"/>
    <n v="0"/>
    <n v="0"/>
    <n v="0"/>
  </r>
  <r>
    <s v="LD1796"/>
    <d v="2024-02-18T00:00:00"/>
    <x v="3"/>
    <s v="Promo Blast"/>
    <s v="Desktop"/>
    <s v="Latin America"/>
    <s v="MQL"/>
    <m/>
    <m/>
    <m/>
    <n v="2"/>
    <x v="10"/>
    <n v="1"/>
    <n v="0"/>
    <n v="0"/>
  </r>
  <r>
    <s v="LD4021"/>
    <d v="2024-06-15T00:00:00"/>
    <x v="2"/>
    <s v="Direct / Type-in"/>
    <s v="Mobile"/>
    <s v="Europe"/>
    <s v="Lead"/>
    <m/>
    <m/>
    <m/>
    <n v="1"/>
    <x v="11"/>
    <n v="0"/>
    <n v="0"/>
    <n v="0"/>
  </r>
  <r>
    <s v="LD2712"/>
    <d v="2024-04-21T00:00:00"/>
    <x v="0"/>
    <s v="LinkedIn Ads"/>
    <s v="Mobile"/>
    <s v="North America"/>
    <s v="Lead"/>
    <m/>
    <m/>
    <m/>
    <n v="1"/>
    <x v="1"/>
    <n v="0"/>
    <n v="0"/>
    <n v="0"/>
  </r>
  <r>
    <s v="LD4388"/>
    <d v="2024-07-19T00:00:00"/>
    <x v="4"/>
    <s v="Partner Program"/>
    <s v="Desktop"/>
    <s v="North America"/>
    <s v="SQL"/>
    <m/>
    <m/>
    <m/>
    <n v="3"/>
    <x v="0"/>
    <n v="1"/>
    <n v="1"/>
    <n v="0"/>
  </r>
  <r>
    <s v="LD1037"/>
    <d v="2024-01-02T00:00:00"/>
    <x v="5"/>
    <s v="Blog SEO"/>
    <s v="Tablet"/>
    <s v="Asia Pacific"/>
    <s v="Lead"/>
    <m/>
    <m/>
    <m/>
    <n v="1"/>
    <x v="3"/>
    <n v="0"/>
    <n v="0"/>
    <n v="0"/>
  </r>
  <r>
    <s v="LD5550"/>
    <d v="2024-09-24T00:00:00"/>
    <x v="2"/>
    <s v="Direct / Type-in"/>
    <s v="Desktop"/>
    <s v="North America"/>
    <s v="MQL"/>
    <m/>
    <m/>
    <m/>
    <n v="2"/>
    <x v="9"/>
    <n v="1"/>
    <n v="0"/>
    <n v="0"/>
  </r>
  <r>
    <s v="LD1914"/>
    <d v="2024-02-21T00:00:00"/>
    <x v="2"/>
    <s v="Direct / Type-in"/>
    <s v="Desktop"/>
    <s v="North America"/>
    <s v="MQL"/>
    <m/>
    <m/>
    <m/>
    <n v="2"/>
    <x v="10"/>
    <n v="1"/>
    <n v="0"/>
    <n v="0"/>
  </r>
  <r>
    <s v="LD4973"/>
    <d v="2024-08-01T00:00:00"/>
    <x v="2"/>
    <s v="Direct / Type-in"/>
    <s v="Desktop"/>
    <s v="North America"/>
    <s v="SQL"/>
    <m/>
    <m/>
    <m/>
    <n v="3"/>
    <x v="6"/>
    <n v="1"/>
    <n v="1"/>
    <n v="0"/>
  </r>
  <r>
    <s v="LD5134"/>
    <d v="2024-09-25T00:00:00"/>
    <x v="1"/>
    <s v="Google Ads - Brand"/>
    <s v="Desktop"/>
    <s v="Asia Pacific"/>
    <s v="Lead"/>
    <m/>
    <m/>
    <m/>
    <n v="1"/>
    <x v="9"/>
    <n v="0"/>
    <n v="0"/>
    <n v="0"/>
  </r>
  <r>
    <s v="LD1975"/>
    <d v="2024-03-10T00:00:00"/>
    <x v="5"/>
    <s v="Blog SEO"/>
    <s v="Desktop"/>
    <s v="Asia Pacific"/>
    <s v="Lead"/>
    <m/>
    <m/>
    <m/>
    <n v="1"/>
    <x v="8"/>
    <n v="0"/>
    <n v="0"/>
    <n v="0"/>
  </r>
  <r>
    <s v="LD1984"/>
    <d v="2024-03-25T00:00:00"/>
    <x v="5"/>
    <s v="Blog SEO"/>
    <s v="Desktop"/>
    <s v="Europe"/>
    <s v="MQL"/>
    <m/>
    <m/>
    <m/>
    <n v="2"/>
    <x v="8"/>
    <n v="1"/>
    <n v="0"/>
    <n v="0"/>
  </r>
  <r>
    <s v="LD6541"/>
    <d v="2024-11-23T00:00:00"/>
    <x v="1"/>
    <s v="Google Ads - Brand"/>
    <s v="Desktop"/>
    <s v="Europe"/>
    <s v="MQL"/>
    <m/>
    <m/>
    <m/>
    <n v="2"/>
    <x v="2"/>
    <n v="1"/>
    <n v="0"/>
    <n v="0"/>
  </r>
  <r>
    <s v="LD2419"/>
    <d v="2024-03-04T00:00:00"/>
    <x v="2"/>
    <s v="Direct / Type-in"/>
    <s v="Mobile"/>
    <s v="North America"/>
    <s v="Lead"/>
    <m/>
    <m/>
    <m/>
    <n v="1"/>
    <x v="8"/>
    <n v="0"/>
    <n v="0"/>
    <n v="0"/>
  </r>
  <r>
    <s v="LD2561"/>
    <d v="2024-04-24T00:00:00"/>
    <x v="5"/>
    <s v="Landing Page SEO"/>
    <s v="Desktop"/>
    <s v="Latin America"/>
    <s v="Lead"/>
    <m/>
    <m/>
    <m/>
    <n v="1"/>
    <x v="1"/>
    <n v="0"/>
    <n v="0"/>
    <n v="0"/>
  </r>
  <r>
    <s v="LD5136"/>
    <d v="2024-09-23T00:00:00"/>
    <x v="1"/>
    <s v="Google Ads - Generic"/>
    <s v="Mobile"/>
    <s v="Europe"/>
    <s v="Lead"/>
    <m/>
    <m/>
    <m/>
    <n v="1"/>
    <x v="9"/>
    <n v="0"/>
    <n v="0"/>
    <n v="0"/>
  </r>
  <r>
    <s v="LD6407"/>
    <d v="2024-11-03T00:00:00"/>
    <x v="5"/>
    <s v="Blog SEO"/>
    <s v="Desktop"/>
    <s v="North America"/>
    <s v="MQL"/>
    <m/>
    <m/>
    <m/>
    <n v="2"/>
    <x v="2"/>
    <n v="1"/>
    <n v="0"/>
    <n v="0"/>
  </r>
  <r>
    <s v="LD5266"/>
    <d v="2024-09-25T00:00:00"/>
    <x v="0"/>
    <s v="Facebook Ads"/>
    <s v="Mobile"/>
    <s v="Latin America"/>
    <s v="Lead"/>
    <m/>
    <m/>
    <m/>
    <n v="1"/>
    <x v="9"/>
    <n v="0"/>
    <n v="0"/>
    <n v="0"/>
  </r>
  <r>
    <s v="LD2356"/>
    <d v="2024-03-05T00:00:00"/>
    <x v="4"/>
    <s v="Affiliate Program"/>
    <s v="Desktop"/>
    <s v="North America"/>
    <s v="SQL"/>
    <m/>
    <m/>
    <m/>
    <n v="3"/>
    <x v="8"/>
    <n v="1"/>
    <n v="1"/>
    <n v="0"/>
  </r>
  <r>
    <s v="LD7347"/>
    <d v="2024-12-19T00:00:00"/>
    <x v="0"/>
    <s v="LinkedIn Ads"/>
    <s v="Mobile"/>
    <s v="North America"/>
    <s v="Lead"/>
    <m/>
    <m/>
    <m/>
    <n v="1"/>
    <x v="7"/>
    <n v="0"/>
    <n v="0"/>
    <n v="0"/>
  </r>
  <r>
    <s v="LD7431"/>
    <d v="2024-12-03T00:00:00"/>
    <x v="3"/>
    <s v="Promo Blast"/>
    <s v="Desktop"/>
    <s v="North America"/>
    <s v="Lead"/>
    <m/>
    <m/>
    <m/>
    <n v="1"/>
    <x v="7"/>
    <n v="0"/>
    <n v="0"/>
    <n v="0"/>
  </r>
  <r>
    <s v="LD1988"/>
    <d v="2024-03-20T00:00:00"/>
    <x v="5"/>
    <s v="Landing Page SEO"/>
    <s v="Desktop"/>
    <s v="North America"/>
    <s v="MQL"/>
    <m/>
    <m/>
    <m/>
    <n v="2"/>
    <x v="8"/>
    <n v="1"/>
    <n v="0"/>
    <n v="0"/>
  </r>
  <r>
    <s v="LD3683"/>
    <d v="2024-06-20T00:00:00"/>
    <x v="1"/>
    <s v="Google Ads - Generic"/>
    <s v="Desktop"/>
    <s v="Europe"/>
    <s v="Lead"/>
    <m/>
    <m/>
    <m/>
    <n v="1"/>
    <x v="11"/>
    <n v="0"/>
    <n v="0"/>
    <n v="0"/>
  </r>
  <r>
    <s v="LD6048"/>
    <d v="2024-10-10T00:00:00"/>
    <x v="3"/>
    <s v="Promo Blast"/>
    <s v="Desktop"/>
    <s v="North America"/>
    <s v="SQL"/>
    <m/>
    <m/>
    <m/>
    <n v="3"/>
    <x v="5"/>
    <n v="1"/>
    <n v="1"/>
    <n v="0"/>
  </r>
  <r>
    <s v="LD2641"/>
    <d v="2024-04-08T00:00:00"/>
    <x v="1"/>
    <s v="Google Ads - Generic"/>
    <s v="Desktop"/>
    <s v="Europe"/>
    <s v="Lead"/>
    <m/>
    <m/>
    <m/>
    <n v="1"/>
    <x v="1"/>
    <n v="0"/>
    <n v="0"/>
    <n v="0"/>
  </r>
  <r>
    <s v="LD2291"/>
    <d v="2024-03-13T00:00:00"/>
    <x v="3"/>
    <s v="Promo Blast"/>
    <s v="Mobile"/>
    <s v="Europe"/>
    <s v="Lead"/>
    <m/>
    <m/>
    <m/>
    <n v="1"/>
    <x v="8"/>
    <n v="0"/>
    <n v="0"/>
    <n v="0"/>
  </r>
  <r>
    <s v="LD4682"/>
    <d v="2024-08-01T00:00:00"/>
    <x v="0"/>
    <s v="LinkedIn Ads"/>
    <s v="Mobile"/>
    <s v="North America"/>
    <s v="Lead"/>
    <m/>
    <m/>
    <m/>
    <n v="1"/>
    <x v="6"/>
    <n v="0"/>
    <n v="0"/>
    <n v="0"/>
  </r>
  <r>
    <s v="LD2381"/>
    <d v="2024-03-02T00:00:00"/>
    <x v="4"/>
    <s v="Partner Program"/>
    <s v="Desktop"/>
    <s v="Europe"/>
    <s v="MQL"/>
    <m/>
    <m/>
    <m/>
    <n v="2"/>
    <x v="8"/>
    <n v="1"/>
    <n v="0"/>
    <n v="0"/>
  </r>
  <r>
    <s v="LD2934"/>
    <d v="2024-04-10T00:00:00"/>
    <x v="4"/>
    <s v="Partner Program"/>
    <s v="Mobile"/>
    <s v="North America"/>
    <s v="MQL"/>
    <m/>
    <m/>
    <m/>
    <n v="2"/>
    <x v="1"/>
    <n v="1"/>
    <n v="0"/>
    <n v="0"/>
  </r>
  <r>
    <s v="LD5676"/>
    <d v="2024-10-05T00:00:00"/>
    <x v="5"/>
    <s v="Landing Page SEO"/>
    <s v="Desktop"/>
    <s v="Europe"/>
    <s v="Lead"/>
    <m/>
    <m/>
    <m/>
    <n v="1"/>
    <x v="5"/>
    <n v="0"/>
    <n v="0"/>
    <n v="0"/>
  </r>
  <r>
    <s v="LD6708"/>
    <d v="2024-11-06T00:00:00"/>
    <x v="3"/>
    <s v="Promo Blast"/>
    <s v="Mobile"/>
    <s v="North America"/>
    <s v="MQL"/>
    <m/>
    <m/>
    <m/>
    <n v="2"/>
    <x v="2"/>
    <n v="1"/>
    <n v="0"/>
    <n v="0"/>
  </r>
  <r>
    <s v="LD4161"/>
    <d v="2024-07-09T00:00:00"/>
    <x v="1"/>
    <s v="Google Ads - Brand"/>
    <s v="Desktop"/>
    <s v="North America"/>
    <s v="Lead"/>
    <m/>
    <m/>
    <m/>
    <n v="1"/>
    <x v="0"/>
    <n v="0"/>
    <n v="0"/>
    <n v="0"/>
  </r>
  <r>
    <s v="LD3031"/>
    <d v="2024-05-19T00:00:00"/>
    <x v="5"/>
    <s v="Landing Page SEO"/>
    <s v="Desktop"/>
    <s v="Asia Pacific"/>
    <s v="Lead"/>
    <m/>
    <m/>
    <m/>
    <n v="1"/>
    <x v="4"/>
    <n v="0"/>
    <n v="0"/>
    <n v="0"/>
  </r>
  <r>
    <s v="LD1893"/>
    <d v="2024-02-17T00:00:00"/>
    <x v="2"/>
    <s v="Direct / Type-in"/>
    <s v="Desktop"/>
    <s v="North America"/>
    <s v="Lead"/>
    <m/>
    <m/>
    <m/>
    <n v="1"/>
    <x v="10"/>
    <n v="0"/>
    <n v="0"/>
    <n v="0"/>
  </r>
  <r>
    <s v="LD5877"/>
    <d v="2024-10-20T00:00:00"/>
    <x v="0"/>
    <s v="Facebook Ads"/>
    <s v="Mobile"/>
    <s v="Europe"/>
    <s v="Lead"/>
    <m/>
    <m/>
    <m/>
    <n v="1"/>
    <x v="5"/>
    <n v="0"/>
    <n v="0"/>
    <n v="0"/>
  </r>
  <r>
    <s v="LD5070"/>
    <d v="2024-09-07T00:00:00"/>
    <x v="5"/>
    <s v="Blog SEO"/>
    <s v="Desktop"/>
    <s v="Europe"/>
    <s v="MQL"/>
    <m/>
    <m/>
    <m/>
    <n v="2"/>
    <x v="9"/>
    <n v="1"/>
    <n v="0"/>
    <n v="0"/>
  </r>
  <r>
    <s v="LD5256"/>
    <d v="2024-09-26T00:00:00"/>
    <x v="0"/>
    <s v="LinkedIn Ads"/>
    <s v="Desktop"/>
    <s v="North America"/>
    <s v="SQL"/>
    <m/>
    <m/>
    <m/>
    <n v="3"/>
    <x v="9"/>
    <n v="1"/>
    <n v="1"/>
    <n v="0"/>
  </r>
  <r>
    <s v="LD1003"/>
    <d v="2024-01-18T00:00:00"/>
    <x v="5"/>
    <s v="Blog SEO"/>
    <s v="Mobile"/>
    <s v="Europe"/>
    <s v="Customer"/>
    <n v="7"/>
    <s v="Pro"/>
    <n v="2058.81"/>
    <n v="4"/>
    <x v="3"/>
    <n v="1"/>
    <n v="1"/>
    <n v="1"/>
  </r>
  <r>
    <s v="LD3110"/>
    <d v="2024-05-16T00:00:00"/>
    <x v="1"/>
    <s v="Google Ads - Generic"/>
    <s v="Desktop"/>
    <s v="North America"/>
    <s v="Lead"/>
    <m/>
    <m/>
    <m/>
    <n v="1"/>
    <x v="4"/>
    <n v="0"/>
    <n v="0"/>
    <n v="0"/>
  </r>
  <r>
    <s v="LD1850"/>
    <d v="2024-02-13T00:00:00"/>
    <x v="4"/>
    <s v="Affiliate Program"/>
    <s v="Mobile"/>
    <s v="North America"/>
    <s v="MQL"/>
    <m/>
    <m/>
    <m/>
    <n v="2"/>
    <x v="10"/>
    <n v="1"/>
    <n v="0"/>
    <n v="0"/>
  </r>
  <r>
    <s v="LD3738"/>
    <d v="2024-06-22T00:00:00"/>
    <x v="0"/>
    <s v="Instagram Ads"/>
    <s v="Desktop"/>
    <s v="Latin America"/>
    <s v="MQL"/>
    <m/>
    <m/>
    <m/>
    <n v="2"/>
    <x v="11"/>
    <n v="1"/>
    <n v="0"/>
    <n v="0"/>
  </r>
  <r>
    <s v="LD3467"/>
    <d v="2024-05-09T00:00:00"/>
    <x v="4"/>
    <s v="Affiliate Program"/>
    <s v="Desktop"/>
    <s v="Europe"/>
    <s v="Lead"/>
    <m/>
    <m/>
    <m/>
    <n v="1"/>
    <x v="4"/>
    <n v="0"/>
    <n v="0"/>
    <n v="0"/>
  </r>
  <r>
    <s v="LD2915"/>
    <d v="2024-04-25T00:00:00"/>
    <x v="4"/>
    <s v="Partner Program"/>
    <s v="Mobile"/>
    <s v="North America"/>
    <s v="Lead"/>
    <m/>
    <m/>
    <m/>
    <n v="1"/>
    <x v="1"/>
    <n v="0"/>
    <n v="0"/>
    <n v="0"/>
  </r>
  <r>
    <s v="LD2597"/>
    <d v="2024-04-18T00:00:00"/>
    <x v="1"/>
    <s v="Google Ads - Brand"/>
    <s v="Mobile"/>
    <s v="Europe"/>
    <s v="Lead"/>
    <m/>
    <m/>
    <m/>
    <n v="1"/>
    <x v="1"/>
    <n v="0"/>
    <n v="0"/>
    <n v="0"/>
  </r>
  <r>
    <s v="LD2914"/>
    <d v="2024-04-12T00:00:00"/>
    <x v="4"/>
    <s v="Partner Program"/>
    <s v="Mobile"/>
    <s v="North America"/>
    <s v="Customer"/>
    <n v="65"/>
    <s v="Pro"/>
    <n v="3294.95"/>
    <n v="4"/>
    <x v="1"/>
    <n v="1"/>
    <n v="1"/>
    <n v="1"/>
  </r>
  <r>
    <s v="LD6140"/>
    <d v="2024-10-05T00:00:00"/>
    <x v="4"/>
    <s v="Partner Program"/>
    <s v="Mobile"/>
    <s v="North America"/>
    <s v="Customer"/>
    <n v="43"/>
    <s v="Pro"/>
    <n v="2634.53"/>
    <n v="4"/>
    <x v="5"/>
    <n v="1"/>
    <n v="1"/>
    <n v="1"/>
  </r>
  <r>
    <s v="LD7386"/>
    <d v="2024-12-20T00:00:00"/>
    <x v="0"/>
    <s v="Instagram Ads"/>
    <s v="Mobile"/>
    <s v="Europe"/>
    <s v="Lead"/>
    <m/>
    <m/>
    <m/>
    <n v="1"/>
    <x v="7"/>
    <n v="0"/>
    <n v="0"/>
    <n v="0"/>
  </r>
  <r>
    <s v="LD3737"/>
    <d v="2024-06-20T00:00:00"/>
    <x v="0"/>
    <s v="Facebook Ads"/>
    <s v="Mobile"/>
    <s v="Asia Pacific"/>
    <s v="Lead"/>
    <m/>
    <m/>
    <m/>
    <n v="1"/>
    <x v="11"/>
    <n v="0"/>
    <n v="0"/>
    <n v="0"/>
  </r>
  <r>
    <s v="LD1727"/>
    <d v="2024-02-04T00:00:00"/>
    <x v="3"/>
    <s v="Monthly Newsletter"/>
    <s v="Desktop"/>
    <s v="North America"/>
    <s v="MQL"/>
    <m/>
    <m/>
    <m/>
    <n v="2"/>
    <x v="10"/>
    <n v="1"/>
    <n v="0"/>
    <n v="0"/>
  </r>
  <r>
    <s v="LD1054"/>
    <d v="2024-01-06T00:00:00"/>
    <x v="5"/>
    <s v="Landing Page SEO"/>
    <s v="Mobile"/>
    <s v="North America"/>
    <s v="SQL"/>
    <m/>
    <m/>
    <m/>
    <n v="3"/>
    <x v="3"/>
    <n v="1"/>
    <n v="1"/>
    <n v="0"/>
  </r>
  <r>
    <s v="LD2797"/>
    <d v="2024-04-05T00:00:00"/>
    <x v="3"/>
    <s v="Promo Blast"/>
    <s v="Desktop"/>
    <s v="Asia Pacific"/>
    <s v="MQL"/>
    <m/>
    <m/>
    <m/>
    <n v="2"/>
    <x v="1"/>
    <n v="1"/>
    <n v="0"/>
    <n v="0"/>
  </r>
  <r>
    <s v="LD4846"/>
    <d v="2024-08-02T00:00:00"/>
    <x v="3"/>
    <s v="Promo Blast"/>
    <s v="Desktop"/>
    <s v="North America"/>
    <s v="SQL"/>
    <m/>
    <m/>
    <m/>
    <n v="3"/>
    <x v="6"/>
    <n v="1"/>
    <n v="1"/>
    <n v="0"/>
  </r>
  <r>
    <s v="LD3554"/>
    <d v="2024-05-06T00:00:00"/>
    <x v="2"/>
    <s v="Direct / Type-in"/>
    <s v="Desktop"/>
    <s v="North America"/>
    <s v="SQL"/>
    <m/>
    <m/>
    <m/>
    <n v="3"/>
    <x v="4"/>
    <n v="1"/>
    <n v="1"/>
    <n v="0"/>
  </r>
  <r>
    <s v="LD3801"/>
    <d v="2024-06-06T00:00:00"/>
    <x v="3"/>
    <s v="Promo Blast"/>
    <s v="Mobile"/>
    <s v="Europe"/>
    <s v="Lead"/>
    <m/>
    <m/>
    <m/>
    <n v="1"/>
    <x v="11"/>
    <n v="0"/>
    <n v="0"/>
    <n v="0"/>
  </r>
  <r>
    <s v="LD1937"/>
    <d v="2024-02-10T00:00:00"/>
    <x v="2"/>
    <s v="Direct / Type-in"/>
    <s v="Desktop"/>
    <s v="North America"/>
    <s v="Lead"/>
    <m/>
    <m/>
    <m/>
    <n v="1"/>
    <x v="10"/>
    <n v="0"/>
    <n v="0"/>
    <n v="0"/>
  </r>
  <r>
    <s v="LD6596"/>
    <d v="2024-11-24T00:00:00"/>
    <x v="0"/>
    <s v="Instagram Ads"/>
    <s v="Desktop"/>
    <s v="Europe"/>
    <s v="Lead"/>
    <m/>
    <m/>
    <m/>
    <n v="1"/>
    <x v="2"/>
    <n v="0"/>
    <n v="0"/>
    <n v="0"/>
  </r>
  <r>
    <s v="LD1825"/>
    <d v="2024-02-18T00:00:00"/>
    <x v="4"/>
    <s v="Partner Program"/>
    <s v="Mobile"/>
    <s v="North America"/>
    <s v="SQL"/>
    <m/>
    <m/>
    <m/>
    <n v="3"/>
    <x v="10"/>
    <n v="1"/>
    <n v="1"/>
    <n v="0"/>
  </r>
  <r>
    <s v="LD5322"/>
    <d v="2024-09-03T00:00:00"/>
    <x v="3"/>
    <s v="Promo Blast"/>
    <s v="Mobile"/>
    <s v="Asia Pacific"/>
    <s v="SQL"/>
    <m/>
    <m/>
    <m/>
    <n v="3"/>
    <x v="9"/>
    <n v="1"/>
    <n v="1"/>
    <n v="0"/>
  </r>
  <r>
    <s v="LD4402"/>
    <d v="2024-07-08T00:00:00"/>
    <x v="4"/>
    <s v="Partner Program"/>
    <s v="Desktop"/>
    <s v="Latin America"/>
    <s v="Lead"/>
    <m/>
    <m/>
    <m/>
    <n v="1"/>
    <x v="0"/>
    <n v="0"/>
    <n v="0"/>
    <n v="0"/>
  </r>
  <r>
    <s v="LD2390"/>
    <d v="2024-03-16T00:00:00"/>
    <x v="4"/>
    <s v="Affiliate Program"/>
    <s v="Desktop"/>
    <s v="North America"/>
    <s v="Lead"/>
    <m/>
    <m/>
    <m/>
    <n v="1"/>
    <x v="8"/>
    <n v="0"/>
    <n v="0"/>
    <n v="0"/>
  </r>
  <r>
    <s v="LD4565"/>
    <d v="2024-08-21T00:00:00"/>
    <x v="5"/>
    <s v="Landing Page SEO"/>
    <s v="Desktop"/>
    <s v="North America"/>
    <s v="MQL"/>
    <m/>
    <m/>
    <m/>
    <n v="2"/>
    <x v="6"/>
    <n v="1"/>
    <n v="0"/>
    <n v="0"/>
  </r>
  <r>
    <s v="LD1885"/>
    <d v="2024-02-18T00:00:00"/>
    <x v="4"/>
    <s v="Affiliate Program"/>
    <s v="Desktop"/>
    <s v="Europe"/>
    <s v="Customer"/>
    <n v="45"/>
    <s v="Pro"/>
    <n v="2500.6999999999998"/>
    <n v="4"/>
    <x v="10"/>
    <n v="1"/>
    <n v="1"/>
    <n v="1"/>
  </r>
  <r>
    <s v="LD5868"/>
    <d v="2024-10-11T00:00:00"/>
    <x v="0"/>
    <s v="LinkedIn Ads"/>
    <s v="Desktop"/>
    <s v="North America"/>
    <s v="Lead"/>
    <m/>
    <m/>
    <m/>
    <n v="1"/>
    <x v="5"/>
    <n v="0"/>
    <n v="0"/>
    <n v="0"/>
  </r>
  <r>
    <s v="LD2869"/>
    <d v="2024-04-08T00:00:00"/>
    <x v="4"/>
    <s v="Partner Program"/>
    <s v="Mobile"/>
    <s v="North America"/>
    <s v="Lead"/>
    <m/>
    <m/>
    <m/>
    <n v="1"/>
    <x v="1"/>
    <n v="0"/>
    <n v="0"/>
    <n v="0"/>
  </r>
  <r>
    <s v="LD6182"/>
    <d v="2024-10-22T00:00:00"/>
    <x v="4"/>
    <s v="Affiliate Program"/>
    <s v="Desktop"/>
    <s v="North America"/>
    <s v="MQL"/>
    <m/>
    <m/>
    <m/>
    <n v="2"/>
    <x v="5"/>
    <n v="1"/>
    <n v="0"/>
    <n v="0"/>
  </r>
  <r>
    <s v="LD1011"/>
    <d v="2024-01-18T00:00:00"/>
    <x v="5"/>
    <s v="Blog SEO"/>
    <s v="Mobile"/>
    <s v="Asia Pacific"/>
    <s v="Lead"/>
    <m/>
    <m/>
    <m/>
    <n v="1"/>
    <x v="3"/>
    <n v="0"/>
    <n v="0"/>
    <n v="0"/>
  </r>
  <r>
    <s v="LD4416"/>
    <d v="2024-07-15T00:00:00"/>
    <x v="4"/>
    <s v="Partner Program"/>
    <s v="Desktop"/>
    <s v="North America"/>
    <s v="Lead"/>
    <m/>
    <m/>
    <m/>
    <n v="1"/>
    <x v="0"/>
    <n v="0"/>
    <n v="0"/>
    <n v="0"/>
  </r>
  <r>
    <s v="LD2464"/>
    <d v="2024-03-17T00:00:00"/>
    <x v="2"/>
    <s v="Direct / Type-in"/>
    <s v="Desktop"/>
    <s v="Asia Pacific"/>
    <s v="Customer"/>
    <n v="31"/>
    <s v="Basic"/>
    <n v="1402.27"/>
    <n v="4"/>
    <x v="8"/>
    <n v="1"/>
    <n v="1"/>
    <n v="1"/>
  </r>
  <r>
    <s v="LD1807"/>
    <d v="2024-02-11T00:00:00"/>
    <x v="3"/>
    <s v="Monthly Newsletter"/>
    <s v="Mobile"/>
    <s v="Latin America"/>
    <s v="MQL"/>
    <m/>
    <m/>
    <m/>
    <n v="2"/>
    <x v="10"/>
    <n v="1"/>
    <n v="0"/>
    <n v="0"/>
  </r>
  <r>
    <s v="LD6532"/>
    <d v="2024-11-03T00:00:00"/>
    <x v="1"/>
    <s v="Google Ads - Generic"/>
    <s v="Mobile"/>
    <s v="North America"/>
    <s v="Lead"/>
    <m/>
    <m/>
    <m/>
    <n v="1"/>
    <x v="2"/>
    <n v="0"/>
    <n v="0"/>
    <n v="0"/>
  </r>
  <r>
    <s v="LD6333"/>
    <d v="2024-11-07T00:00:00"/>
    <x v="5"/>
    <s v="Landing Page SEO"/>
    <s v="Mobile"/>
    <s v="North America"/>
    <s v="Lead"/>
    <m/>
    <m/>
    <m/>
    <n v="1"/>
    <x v="2"/>
    <n v="0"/>
    <n v="0"/>
    <n v="0"/>
  </r>
  <r>
    <s v="LD5069"/>
    <d v="2024-09-19T00:00:00"/>
    <x v="5"/>
    <s v="Landing Page SEO"/>
    <s v="Desktop"/>
    <s v="Europe"/>
    <s v="Lead"/>
    <m/>
    <m/>
    <m/>
    <n v="1"/>
    <x v="9"/>
    <n v="0"/>
    <n v="0"/>
    <n v="0"/>
  </r>
  <r>
    <s v="LD3109"/>
    <d v="2024-05-16T00:00:00"/>
    <x v="1"/>
    <s v="Google Ads - Generic"/>
    <s v="Mobile"/>
    <s v="North America"/>
    <s v="Lead"/>
    <m/>
    <m/>
    <m/>
    <n v="1"/>
    <x v="4"/>
    <n v="0"/>
    <n v="0"/>
    <n v="0"/>
  </r>
  <r>
    <s v="LD6747"/>
    <d v="2024-11-22T00:00:00"/>
    <x v="3"/>
    <s v="Monthly Newsletter"/>
    <s v="Desktop"/>
    <s v="Asia Pacific"/>
    <s v="Lead"/>
    <m/>
    <m/>
    <m/>
    <n v="1"/>
    <x v="2"/>
    <n v="0"/>
    <n v="0"/>
    <n v="0"/>
  </r>
  <r>
    <s v="LD7725"/>
    <d v="2024-12-16T00:00:00"/>
    <x v="2"/>
    <s v="Direct / Type-in"/>
    <s v="Desktop"/>
    <s v="North America"/>
    <s v="Lead"/>
    <m/>
    <m/>
    <m/>
    <n v="1"/>
    <x v="7"/>
    <n v="0"/>
    <n v="0"/>
    <n v="0"/>
  </r>
  <r>
    <s v="LD3235"/>
    <d v="2024-05-08T00:00:00"/>
    <x v="0"/>
    <s v="Instagram Ads"/>
    <s v="Desktop"/>
    <s v="North America"/>
    <s v="Lead"/>
    <m/>
    <m/>
    <m/>
    <n v="1"/>
    <x v="4"/>
    <n v="0"/>
    <n v="0"/>
    <n v="0"/>
  </r>
  <r>
    <s v="LD1964"/>
    <d v="2024-03-16T00:00:00"/>
    <x v="5"/>
    <s v="Landing Page SEO"/>
    <s v="Tablet"/>
    <s v="North America"/>
    <s v="MQL"/>
    <m/>
    <m/>
    <m/>
    <n v="2"/>
    <x v="8"/>
    <n v="1"/>
    <n v="0"/>
    <n v="0"/>
  </r>
  <r>
    <s v="LD5495"/>
    <d v="2024-09-16T00:00:00"/>
    <x v="4"/>
    <s v="Partner Program"/>
    <s v="Tablet"/>
    <s v="Europe"/>
    <s v="SQL"/>
    <m/>
    <m/>
    <m/>
    <n v="3"/>
    <x v="9"/>
    <n v="1"/>
    <n v="1"/>
    <n v="0"/>
  </r>
  <r>
    <s v="LD3633"/>
    <d v="2024-06-03T00:00:00"/>
    <x v="5"/>
    <s v="Landing Page SEO"/>
    <s v="Desktop"/>
    <s v="Europe"/>
    <s v="MQL"/>
    <m/>
    <m/>
    <m/>
    <n v="2"/>
    <x v="11"/>
    <n v="1"/>
    <n v="0"/>
    <n v="0"/>
  </r>
  <r>
    <s v="LD1705"/>
    <d v="2024-02-28T00:00:00"/>
    <x v="0"/>
    <s v="Facebook Ads"/>
    <s v="Mobile"/>
    <s v="Latin America"/>
    <s v="Lead"/>
    <m/>
    <m/>
    <m/>
    <n v="1"/>
    <x v="10"/>
    <n v="0"/>
    <n v="0"/>
    <n v="0"/>
  </r>
  <r>
    <s v="LD1432"/>
    <d v="2024-01-13T00:00:00"/>
    <x v="2"/>
    <s v="Direct / Type-in"/>
    <s v="Mobile"/>
    <s v="Asia Pacific"/>
    <s v="MQL"/>
    <m/>
    <m/>
    <m/>
    <n v="2"/>
    <x v="3"/>
    <n v="1"/>
    <n v="0"/>
    <n v="0"/>
  </r>
  <r>
    <s v="LD5389"/>
    <d v="2024-09-12T00:00:00"/>
    <x v="3"/>
    <s v="Monthly Newsletter"/>
    <s v="Desktop"/>
    <s v="Asia Pacific"/>
    <s v="SQL"/>
    <m/>
    <m/>
    <m/>
    <n v="3"/>
    <x v="9"/>
    <n v="1"/>
    <n v="1"/>
    <n v="0"/>
  </r>
  <r>
    <s v="LD1146"/>
    <d v="2024-01-08T00:00:00"/>
    <x v="1"/>
    <s v="Google Ads - Brand"/>
    <s v="Desktop"/>
    <s v="North America"/>
    <s v="Lead"/>
    <m/>
    <m/>
    <m/>
    <n v="1"/>
    <x v="3"/>
    <n v="0"/>
    <n v="0"/>
    <n v="0"/>
  </r>
  <r>
    <s v="LD3034"/>
    <d v="2024-05-12T00:00:00"/>
    <x v="5"/>
    <s v="Landing Page SEO"/>
    <s v="Desktop"/>
    <s v="North America"/>
    <s v="Lead"/>
    <m/>
    <m/>
    <m/>
    <n v="1"/>
    <x v="4"/>
    <n v="0"/>
    <n v="0"/>
    <n v="0"/>
  </r>
  <r>
    <s v="LD6693"/>
    <d v="2024-11-01T00:00:00"/>
    <x v="3"/>
    <s v="Promo Blast"/>
    <s v="Tablet"/>
    <s v="Europe"/>
    <s v="MQL"/>
    <m/>
    <m/>
    <m/>
    <n v="2"/>
    <x v="2"/>
    <n v="1"/>
    <n v="0"/>
    <n v="0"/>
  </r>
  <r>
    <s v="LD2166"/>
    <d v="2024-03-28T00:00:00"/>
    <x v="0"/>
    <s v="Instagram Ads"/>
    <s v="Desktop"/>
    <s v="North America"/>
    <s v="MQL"/>
    <m/>
    <m/>
    <m/>
    <n v="2"/>
    <x v="8"/>
    <n v="1"/>
    <n v="0"/>
    <n v="0"/>
  </r>
  <r>
    <s v="LD4501"/>
    <d v="2024-08-04T00:00:00"/>
    <x v="5"/>
    <s v="Blog SEO"/>
    <s v="Desktop"/>
    <s v="North America"/>
    <s v="Lead"/>
    <m/>
    <m/>
    <m/>
    <n v="1"/>
    <x v="6"/>
    <n v="0"/>
    <n v="0"/>
    <n v="0"/>
  </r>
  <r>
    <s v="LD3051"/>
    <d v="2024-05-09T00:00:00"/>
    <x v="5"/>
    <s v="Landing Page SEO"/>
    <s v="Desktop"/>
    <s v="Asia Pacific"/>
    <s v="Lead"/>
    <m/>
    <m/>
    <m/>
    <n v="1"/>
    <x v="4"/>
    <n v="0"/>
    <n v="0"/>
    <n v="0"/>
  </r>
  <r>
    <s v="LD4761"/>
    <d v="2024-08-10T00:00:00"/>
    <x v="3"/>
    <s v="Promo Blast"/>
    <s v="Mobile"/>
    <s v="Europe"/>
    <s v="Lead"/>
    <m/>
    <m/>
    <m/>
    <n v="1"/>
    <x v="6"/>
    <n v="0"/>
    <n v="0"/>
    <n v="0"/>
  </r>
  <r>
    <s v="LD3625"/>
    <d v="2024-06-08T00:00:00"/>
    <x v="5"/>
    <s v="Blog SEO"/>
    <s v="Mobile"/>
    <s v="Europe"/>
    <s v="Lead"/>
    <m/>
    <m/>
    <m/>
    <n v="1"/>
    <x v="11"/>
    <n v="0"/>
    <n v="0"/>
    <n v="0"/>
  </r>
  <r>
    <s v="LD5485"/>
    <d v="2024-09-03T00:00:00"/>
    <x v="4"/>
    <s v="Partner Program"/>
    <s v="Desktop"/>
    <s v="Asia Pacific"/>
    <s v="MQL"/>
    <m/>
    <m/>
    <m/>
    <n v="2"/>
    <x v="9"/>
    <n v="1"/>
    <n v="0"/>
    <n v="0"/>
  </r>
  <r>
    <s v="LD5436"/>
    <d v="2024-09-11T00:00:00"/>
    <x v="3"/>
    <s v="Monthly Newsletter"/>
    <s v="Desktop"/>
    <s v="North America"/>
    <s v="MQL"/>
    <m/>
    <m/>
    <m/>
    <n v="2"/>
    <x v="9"/>
    <n v="1"/>
    <n v="0"/>
    <n v="0"/>
  </r>
  <r>
    <s v="LD6785"/>
    <d v="2024-11-05T00:00:00"/>
    <x v="3"/>
    <s v="Monthly Newsletter"/>
    <s v="Desktop"/>
    <s v="North America"/>
    <s v="Lead"/>
    <m/>
    <m/>
    <m/>
    <n v="1"/>
    <x v="2"/>
    <n v="0"/>
    <n v="0"/>
    <n v="0"/>
  </r>
  <r>
    <s v="LD6691"/>
    <d v="2024-11-22T00:00:00"/>
    <x v="0"/>
    <s v="Instagram Ads"/>
    <s v="Mobile"/>
    <s v="Asia Pacific"/>
    <s v="Lead"/>
    <m/>
    <m/>
    <m/>
    <n v="1"/>
    <x v="2"/>
    <n v="0"/>
    <n v="0"/>
    <n v="0"/>
  </r>
  <r>
    <s v="LD5362"/>
    <d v="2024-09-16T00:00:00"/>
    <x v="3"/>
    <s v="Promo Blast"/>
    <s v="Mobile"/>
    <s v="Latin America"/>
    <s v="Lead"/>
    <m/>
    <m/>
    <m/>
    <n v="1"/>
    <x v="9"/>
    <n v="0"/>
    <n v="0"/>
    <n v="0"/>
  </r>
  <r>
    <s v="LD3425"/>
    <d v="2024-05-13T00:00:00"/>
    <x v="3"/>
    <s v="Monthly Newsletter"/>
    <s v="Mobile"/>
    <s v="Asia Pacific"/>
    <s v="Lead"/>
    <m/>
    <m/>
    <m/>
    <n v="1"/>
    <x v="4"/>
    <n v="0"/>
    <n v="0"/>
    <n v="0"/>
  </r>
  <r>
    <s v="LD2263"/>
    <d v="2024-03-26T00:00:00"/>
    <x v="3"/>
    <s v="Promo Blast"/>
    <s v="Mobile"/>
    <s v="Asia Pacific"/>
    <s v="MQL"/>
    <m/>
    <m/>
    <m/>
    <n v="2"/>
    <x v="8"/>
    <n v="1"/>
    <n v="0"/>
    <n v="0"/>
  </r>
  <r>
    <s v="LD2772"/>
    <d v="2024-04-03T00:00:00"/>
    <x v="3"/>
    <s v="Monthly Newsletter"/>
    <s v="Mobile"/>
    <s v="Asia Pacific"/>
    <s v="MQL"/>
    <m/>
    <m/>
    <m/>
    <n v="2"/>
    <x v="1"/>
    <n v="1"/>
    <n v="0"/>
    <n v="0"/>
  </r>
  <r>
    <s v="LD4512"/>
    <d v="2024-08-07T00:00:00"/>
    <x v="5"/>
    <s v="Landing Page SEO"/>
    <s v="Desktop"/>
    <s v="Asia Pacific"/>
    <s v="MQL"/>
    <m/>
    <m/>
    <m/>
    <n v="2"/>
    <x v="6"/>
    <n v="1"/>
    <n v="0"/>
    <n v="0"/>
  </r>
  <r>
    <s v="LD1272"/>
    <d v="2024-01-06T00:00:00"/>
    <x v="3"/>
    <s v="Monthly Newsletter"/>
    <s v="Desktop"/>
    <s v="North America"/>
    <s v="Lead"/>
    <m/>
    <m/>
    <m/>
    <n v="1"/>
    <x v="3"/>
    <n v="0"/>
    <n v="0"/>
    <n v="0"/>
  </r>
  <r>
    <s v="LD5793"/>
    <d v="2024-10-15T00:00:00"/>
    <x v="1"/>
    <s v="Google Ads - Generic"/>
    <s v="Desktop"/>
    <s v="North America"/>
    <s v="MQL"/>
    <m/>
    <m/>
    <m/>
    <n v="2"/>
    <x v="5"/>
    <n v="1"/>
    <n v="0"/>
    <n v="0"/>
  </r>
  <r>
    <s v="LD7754"/>
    <d v="2024-12-11T00:00:00"/>
    <x v="2"/>
    <s v="Direct / Type-in"/>
    <s v="Mobile"/>
    <s v="Asia Pacific"/>
    <s v="Lead"/>
    <m/>
    <m/>
    <m/>
    <n v="1"/>
    <x v="7"/>
    <n v="0"/>
    <n v="0"/>
    <n v="0"/>
  </r>
  <r>
    <s v="LD1245"/>
    <d v="2024-01-27T00:00:00"/>
    <x v="3"/>
    <s v="Promo Blast"/>
    <s v="Tablet"/>
    <s v="North America"/>
    <s v="Lead"/>
    <m/>
    <m/>
    <m/>
    <n v="1"/>
    <x v="3"/>
    <n v="0"/>
    <n v="0"/>
    <n v="0"/>
  </r>
  <r>
    <s v="LD7580"/>
    <d v="2024-12-17T00:00:00"/>
    <x v="3"/>
    <s v="Promo Blast"/>
    <s v="Mobile"/>
    <s v="Europe"/>
    <s v="Lead"/>
    <m/>
    <m/>
    <m/>
    <n v="1"/>
    <x v="7"/>
    <n v="0"/>
    <n v="0"/>
    <n v="0"/>
  </r>
  <r>
    <s v="LD5573"/>
    <d v="2024-09-13T00:00:00"/>
    <x v="2"/>
    <s v="Direct / Type-in"/>
    <s v="Desktop"/>
    <s v="Europe"/>
    <s v="Lead"/>
    <m/>
    <m/>
    <m/>
    <n v="1"/>
    <x v="9"/>
    <n v="0"/>
    <n v="0"/>
    <n v="0"/>
  </r>
  <r>
    <s v="LD3033"/>
    <d v="2024-05-12T00:00:00"/>
    <x v="5"/>
    <s v="Blog SEO"/>
    <s v="Mobile"/>
    <s v="Europe"/>
    <s v="Customer"/>
    <n v="10"/>
    <s v="Basic"/>
    <n v="678.73"/>
    <n v="4"/>
    <x v="4"/>
    <n v="1"/>
    <n v="1"/>
    <n v="1"/>
  </r>
  <r>
    <s v="LD7249"/>
    <d v="2024-12-08T00:00:00"/>
    <x v="1"/>
    <s v="Google Ads - Brand"/>
    <s v="Desktop"/>
    <s v="North America"/>
    <s v="Lead"/>
    <m/>
    <m/>
    <m/>
    <n v="1"/>
    <x v="7"/>
    <n v="0"/>
    <n v="0"/>
    <n v="0"/>
  </r>
  <r>
    <s v="LD6360"/>
    <d v="2024-11-16T00:00:00"/>
    <x v="5"/>
    <s v="Landing Page SEO"/>
    <s v="Mobile"/>
    <s v="Asia Pacific"/>
    <s v="Lead"/>
    <m/>
    <m/>
    <m/>
    <n v="1"/>
    <x v="2"/>
    <n v="0"/>
    <n v="0"/>
    <n v="0"/>
  </r>
  <r>
    <s v="LD1814"/>
    <d v="2024-02-19T00:00:00"/>
    <x v="3"/>
    <s v="Promo Blast"/>
    <s v="Mobile"/>
    <s v="North America"/>
    <s v="Lead"/>
    <m/>
    <m/>
    <m/>
    <n v="1"/>
    <x v="10"/>
    <n v="0"/>
    <n v="0"/>
    <n v="0"/>
  </r>
  <r>
    <s v="LD4811"/>
    <d v="2024-08-26T00:00:00"/>
    <x v="3"/>
    <s v="Monthly Newsletter"/>
    <s v="Desktop"/>
    <s v="Europe"/>
    <s v="Customer"/>
    <n v="18"/>
    <s v="Enterprise"/>
    <n v="7343.15"/>
    <n v="4"/>
    <x v="6"/>
    <n v="1"/>
    <n v="1"/>
    <n v="1"/>
  </r>
  <r>
    <s v="LD6508"/>
    <d v="2024-11-09T00:00:00"/>
    <x v="1"/>
    <s v="Google Ads - Generic"/>
    <s v="Mobile"/>
    <s v="North America"/>
    <s v="MQL"/>
    <m/>
    <m/>
    <m/>
    <n v="2"/>
    <x v="2"/>
    <n v="1"/>
    <n v="0"/>
    <n v="0"/>
  </r>
  <r>
    <s v="LD2805"/>
    <d v="2024-04-10T00:00:00"/>
    <x v="3"/>
    <s v="Promo Blast"/>
    <s v="Desktop"/>
    <s v="North America"/>
    <s v="MQL"/>
    <m/>
    <m/>
    <m/>
    <n v="2"/>
    <x v="1"/>
    <n v="1"/>
    <n v="0"/>
    <n v="0"/>
  </r>
  <r>
    <s v="LD6762"/>
    <d v="2024-11-07T00:00:00"/>
    <x v="3"/>
    <s v="Promo Blast"/>
    <s v="Mobile"/>
    <s v="North America"/>
    <s v="MQL"/>
    <m/>
    <m/>
    <m/>
    <n v="2"/>
    <x v="2"/>
    <n v="1"/>
    <n v="0"/>
    <n v="0"/>
  </r>
  <r>
    <s v="LD5347"/>
    <d v="2024-09-22T00:00:00"/>
    <x v="3"/>
    <s v="Monthly Newsletter"/>
    <s v="Desktop"/>
    <s v="North America"/>
    <s v="MQL"/>
    <m/>
    <m/>
    <m/>
    <n v="2"/>
    <x v="9"/>
    <n v="1"/>
    <n v="0"/>
    <n v="0"/>
  </r>
  <r>
    <s v="LD3462"/>
    <d v="2024-05-27T00:00:00"/>
    <x v="4"/>
    <s v="Affiliate Program"/>
    <s v="Tablet"/>
    <s v="Asia Pacific"/>
    <s v="MQL"/>
    <m/>
    <m/>
    <m/>
    <n v="2"/>
    <x v="4"/>
    <n v="1"/>
    <n v="0"/>
    <n v="0"/>
  </r>
  <r>
    <s v="LD1546"/>
    <d v="2024-02-15T00:00:00"/>
    <x v="5"/>
    <s v="Landing Page SEO"/>
    <s v="Tablet"/>
    <s v="Asia Pacific"/>
    <s v="SQL"/>
    <m/>
    <m/>
    <m/>
    <n v="3"/>
    <x v="10"/>
    <n v="1"/>
    <n v="1"/>
    <n v="0"/>
  </r>
  <r>
    <s v="LD4242"/>
    <d v="2024-07-12T00:00:00"/>
    <x v="0"/>
    <s v="LinkedIn Ads"/>
    <s v="Tablet"/>
    <s v="Asia Pacific"/>
    <s v="Lead"/>
    <m/>
    <m/>
    <m/>
    <n v="1"/>
    <x v="0"/>
    <n v="0"/>
    <n v="0"/>
    <n v="0"/>
  </r>
  <r>
    <s v="LD1739"/>
    <d v="2024-02-08T00:00:00"/>
    <x v="3"/>
    <s v="Promo Blast"/>
    <s v="Mobile"/>
    <s v="North America"/>
    <s v="MQL"/>
    <m/>
    <m/>
    <m/>
    <n v="2"/>
    <x v="10"/>
    <n v="1"/>
    <n v="0"/>
    <n v="0"/>
  </r>
  <r>
    <s v="LD1311"/>
    <d v="2024-01-28T00:00:00"/>
    <x v="3"/>
    <s v="Promo Blast"/>
    <s v="Tablet"/>
    <s v="North America"/>
    <s v="MQL"/>
    <m/>
    <m/>
    <m/>
    <n v="2"/>
    <x v="3"/>
    <n v="1"/>
    <n v="0"/>
    <n v="0"/>
  </r>
  <r>
    <s v="LD4522"/>
    <d v="2024-08-14T00:00:00"/>
    <x v="5"/>
    <s v="Landing Page SEO"/>
    <s v="Desktop"/>
    <s v="North America"/>
    <s v="SQL"/>
    <m/>
    <m/>
    <m/>
    <n v="3"/>
    <x v="6"/>
    <n v="1"/>
    <n v="1"/>
    <n v="0"/>
  </r>
  <r>
    <s v="LD2132"/>
    <d v="2024-03-08T00:00:00"/>
    <x v="1"/>
    <s v="Google Ads - Brand"/>
    <s v="Desktop"/>
    <s v="Europe"/>
    <s v="Lead"/>
    <m/>
    <m/>
    <m/>
    <n v="1"/>
    <x v="8"/>
    <n v="0"/>
    <n v="0"/>
    <n v="0"/>
  </r>
  <r>
    <s v="LD7678"/>
    <d v="2024-12-19T00:00:00"/>
    <x v="4"/>
    <s v="Affiliate Program"/>
    <s v="Mobile"/>
    <s v="Asia Pacific"/>
    <s v="SQL"/>
    <m/>
    <m/>
    <m/>
    <n v="3"/>
    <x v="7"/>
    <n v="1"/>
    <n v="1"/>
    <n v="0"/>
  </r>
  <r>
    <s v="LD5112"/>
    <d v="2024-09-27T00:00:00"/>
    <x v="5"/>
    <s v="Blog SEO"/>
    <s v="Tablet"/>
    <s v="North America"/>
    <s v="Lead"/>
    <m/>
    <m/>
    <m/>
    <n v="1"/>
    <x v="9"/>
    <n v="0"/>
    <n v="0"/>
    <n v="0"/>
  </r>
  <r>
    <s v="LD3770"/>
    <d v="2024-06-22T00:00:00"/>
    <x v="0"/>
    <s v="Facebook Ads"/>
    <s v="Mobile"/>
    <s v="Asia Pacific"/>
    <s v="MQL"/>
    <m/>
    <m/>
    <m/>
    <n v="2"/>
    <x v="11"/>
    <n v="1"/>
    <n v="0"/>
    <n v="0"/>
  </r>
  <r>
    <s v="LD1921"/>
    <d v="2024-02-01T00:00:00"/>
    <x v="2"/>
    <s v="Direct / Type-in"/>
    <s v="Mobile"/>
    <s v="North America"/>
    <s v="Lead"/>
    <m/>
    <m/>
    <m/>
    <n v="1"/>
    <x v="10"/>
    <n v="0"/>
    <n v="0"/>
    <n v="0"/>
  </r>
  <r>
    <s v="LD4588"/>
    <d v="2024-08-18T00:00:00"/>
    <x v="1"/>
    <s v="Google Ads - Brand"/>
    <s v="Tablet"/>
    <s v="North America"/>
    <s v="Lead"/>
    <m/>
    <m/>
    <m/>
    <n v="1"/>
    <x v="6"/>
    <n v="0"/>
    <n v="0"/>
    <n v="0"/>
  </r>
  <r>
    <s v="LD4960"/>
    <d v="2024-08-02T00:00:00"/>
    <x v="2"/>
    <s v="Direct / Type-in"/>
    <s v="Desktop"/>
    <s v="Europe"/>
    <s v="Lead"/>
    <m/>
    <m/>
    <m/>
    <n v="1"/>
    <x v="6"/>
    <n v="0"/>
    <n v="0"/>
    <n v="0"/>
  </r>
  <r>
    <s v="LD1039"/>
    <d v="2024-01-13T00:00:00"/>
    <x v="5"/>
    <s v="Landing Page SEO"/>
    <s v="Mobile"/>
    <s v="Asia Pacific"/>
    <s v="MQL"/>
    <m/>
    <m/>
    <m/>
    <n v="2"/>
    <x v="3"/>
    <n v="1"/>
    <n v="0"/>
    <n v="0"/>
  </r>
  <r>
    <s v="LD5460"/>
    <d v="2024-09-21T00:00:00"/>
    <x v="4"/>
    <s v="Partner Program"/>
    <s v="Desktop"/>
    <s v="North America"/>
    <s v="Lead"/>
    <m/>
    <m/>
    <m/>
    <n v="1"/>
    <x v="9"/>
    <n v="0"/>
    <n v="0"/>
    <n v="0"/>
  </r>
  <r>
    <s v="LD5279"/>
    <d v="2024-09-13T00:00:00"/>
    <x v="0"/>
    <s v="LinkedIn Ads"/>
    <s v="Desktop"/>
    <s v="Europe"/>
    <s v="Lead"/>
    <m/>
    <m/>
    <m/>
    <n v="1"/>
    <x v="9"/>
    <n v="0"/>
    <n v="0"/>
    <n v="0"/>
  </r>
  <r>
    <s v="LD3984"/>
    <d v="2024-06-23T00:00:00"/>
    <x v="4"/>
    <s v="Partner Program"/>
    <s v="Desktop"/>
    <s v="Europe"/>
    <s v="Lead"/>
    <m/>
    <m/>
    <m/>
    <n v="1"/>
    <x v="11"/>
    <n v="0"/>
    <n v="0"/>
    <n v="0"/>
  </r>
  <r>
    <s v="LD7768"/>
    <d v="2024-12-17T00:00:00"/>
    <x v="2"/>
    <s v="Direct / Type-in"/>
    <s v="Desktop"/>
    <s v="North America"/>
    <s v="Lead"/>
    <m/>
    <m/>
    <m/>
    <n v="1"/>
    <x v="7"/>
    <n v="0"/>
    <n v="0"/>
    <n v="0"/>
  </r>
  <r>
    <s v="LD6218"/>
    <d v="2024-10-17T00:00:00"/>
    <x v="4"/>
    <s v="Affiliate Program"/>
    <s v="Desktop"/>
    <s v="North America"/>
    <s v="Lead"/>
    <m/>
    <m/>
    <m/>
    <n v="1"/>
    <x v="5"/>
    <n v="0"/>
    <n v="0"/>
    <n v="0"/>
  </r>
  <r>
    <s v="LD3668"/>
    <d v="2024-06-02T00:00:00"/>
    <x v="1"/>
    <s v="Google Ads - Brand"/>
    <s v="Mobile"/>
    <s v="Europe"/>
    <s v="Lead"/>
    <m/>
    <m/>
    <m/>
    <n v="1"/>
    <x v="11"/>
    <n v="0"/>
    <n v="0"/>
    <n v="0"/>
  </r>
  <r>
    <s v="LD4224"/>
    <d v="2024-07-05T00:00:00"/>
    <x v="0"/>
    <s v="LinkedIn Ads"/>
    <s v="Mobile"/>
    <s v="North America"/>
    <s v="Lead"/>
    <m/>
    <m/>
    <m/>
    <n v="1"/>
    <x v="0"/>
    <n v="0"/>
    <n v="0"/>
    <n v="0"/>
  </r>
  <r>
    <s v="LD2183"/>
    <d v="2024-03-12T00:00:00"/>
    <x v="0"/>
    <s v="LinkedIn Ads"/>
    <s v="Desktop"/>
    <s v="Asia Pacific"/>
    <s v="Lead"/>
    <m/>
    <m/>
    <m/>
    <n v="1"/>
    <x v="8"/>
    <n v="0"/>
    <n v="0"/>
    <n v="0"/>
  </r>
  <r>
    <s v="LD1615"/>
    <d v="2024-02-05T00:00:00"/>
    <x v="1"/>
    <s v="Google Ads - Brand"/>
    <s v="Mobile"/>
    <s v="Europe"/>
    <s v="MQL"/>
    <m/>
    <m/>
    <m/>
    <n v="2"/>
    <x v="10"/>
    <n v="1"/>
    <n v="0"/>
    <n v="0"/>
  </r>
  <r>
    <s v="LD7659"/>
    <d v="2024-12-18T00:00:00"/>
    <x v="4"/>
    <s v="Partner Program"/>
    <s v="Mobile"/>
    <s v="Asia Pacific"/>
    <s v="MQL"/>
    <m/>
    <m/>
    <m/>
    <n v="2"/>
    <x v="7"/>
    <n v="1"/>
    <n v="0"/>
    <n v="0"/>
  </r>
  <r>
    <s v="LD2467"/>
    <d v="2024-03-16T00:00:00"/>
    <x v="2"/>
    <s v="Direct / Type-in"/>
    <s v="Mobile"/>
    <s v="North America"/>
    <s v="MQL"/>
    <m/>
    <m/>
    <m/>
    <n v="2"/>
    <x v="8"/>
    <n v="1"/>
    <n v="0"/>
    <n v="0"/>
  </r>
  <r>
    <s v="LD5498"/>
    <d v="2024-09-08T00:00:00"/>
    <x v="4"/>
    <s v="Partner Program"/>
    <s v="Mobile"/>
    <s v="North America"/>
    <s v="SQL"/>
    <m/>
    <m/>
    <m/>
    <n v="3"/>
    <x v="9"/>
    <n v="1"/>
    <n v="1"/>
    <n v="0"/>
  </r>
  <r>
    <s v="LD4043"/>
    <d v="2024-07-16T00:00:00"/>
    <x v="5"/>
    <s v="Blog SEO"/>
    <s v="Desktop"/>
    <s v="Asia Pacific"/>
    <s v="Lead"/>
    <m/>
    <m/>
    <m/>
    <n v="1"/>
    <x v="0"/>
    <n v="0"/>
    <n v="0"/>
    <n v="0"/>
  </r>
  <r>
    <s v="LD1935"/>
    <d v="2024-02-25T00:00:00"/>
    <x v="2"/>
    <s v="Direct / Type-in"/>
    <s v="Mobile"/>
    <s v="North America"/>
    <s v="SQL"/>
    <m/>
    <m/>
    <m/>
    <n v="3"/>
    <x v="10"/>
    <n v="1"/>
    <n v="1"/>
    <n v="0"/>
  </r>
  <r>
    <s v="LD3420"/>
    <d v="2024-05-16T00:00:00"/>
    <x v="3"/>
    <s v="Promo Blast"/>
    <s v="Desktop"/>
    <s v="North America"/>
    <s v="Lead"/>
    <m/>
    <m/>
    <m/>
    <n v="1"/>
    <x v="4"/>
    <n v="0"/>
    <n v="0"/>
    <n v="0"/>
  </r>
  <r>
    <s v="LD6086"/>
    <d v="2024-10-20T00:00:00"/>
    <x v="3"/>
    <s v="Promo Blast"/>
    <s v="Desktop"/>
    <s v="Asia Pacific"/>
    <s v="SQL"/>
    <m/>
    <m/>
    <m/>
    <n v="3"/>
    <x v="5"/>
    <n v="1"/>
    <n v="1"/>
    <n v="0"/>
  </r>
  <r>
    <s v="LD7118"/>
    <d v="2024-12-23T00:00:00"/>
    <x v="5"/>
    <s v="Landing Page SEO"/>
    <s v="Mobile"/>
    <s v="North America"/>
    <s v="Lead"/>
    <m/>
    <m/>
    <m/>
    <n v="1"/>
    <x v="7"/>
    <n v="0"/>
    <n v="0"/>
    <n v="0"/>
  </r>
  <r>
    <s v="LD6496"/>
    <d v="2024-11-25T00:00:00"/>
    <x v="1"/>
    <s v="Google Ads - Brand"/>
    <s v="Desktop"/>
    <s v="Europe"/>
    <s v="MQL"/>
    <m/>
    <m/>
    <m/>
    <n v="2"/>
    <x v="2"/>
    <n v="1"/>
    <n v="0"/>
    <n v="0"/>
  </r>
  <r>
    <s v="LD5823"/>
    <d v="2024-10-09T00:00:00"/>
    <x v="1"/>
    <s v="Google Ads - Brand"/>
    <s v="Desktop"/>
    <s v="Europe"/>
    <s v="Lead"/>
    <m/>
    <m/>
    <m/>
    <n v="1"/>
    <x v="5"/>
    <n v="0"/>
    <n v="0"/>
    <n v="0"/>
  </r>
  <r>
    <s v="LD1827"/>
    <d v="2024-02-07T00:00:00"/>
    <x v="4"/>
    <s v="Partner Program"/>
    <s v="Desktop"/>
    <s v="North America"/>
    <s v="MQL"/>
    <m/>
    <m/>
    <m/>
    <n v="2"/>
    <x v="10"/>
    <n v="1"/>
    <n v="0"/>
    <n v="0"/>
  </r>
  <r>
    <s v="LD2522"/>
    <d v="2024-04-12T00:00:00"/>
    <x v="5"/>
    <s v="Blog SEO"/>
    <s v="Mobile"/>
    <s v="Europe"/>
    <s v="Customer"/>
    <n v="34"/>
    <s v="Enterprise"/>
    <n v="14032.17"/>
    <n v="4"/>
    <x v="1"/>
    <n v="1"/>
    <n v="1"/>
    <n v="1"/>
  </r>
  <r>
    <s v="LD3931"/>
    <d v="2024-06-23T00:00:00"/>
    <x v="4"/>
    <s v="Affiliate Program"/>
    <s v="Desktop"/>
    <s v="North America"/>
    <s v="Customer"/>
    <n v="49"/>
    <s v="Pro"/>
    <n v="1587.27"/>
    <n v="4"/>
    <x v="11"/>
    <n v="1"/>
    <n v="1"/>
    <n v="1"/>
  </r>
  <r>
    <s v="LD5233"/>
    <d v="2024-09-22T00:00:00"/>
    <x v="0"/>
    <s v="Facebook Ads"/>
    <s v="Mobile"/>
    <s v="Asia Pacific"/>
    <s v="MQL"/>
    <m/>
    <m/>
    <m/>
    <n v="2"/>
    <x v="9"/>
    <n v="1"/>
    <n v="0"/>
    <n v="0"/>
  </r>
  <r>
    <s v="LD1629"/>
    <d v="2024-02-04T00:00:00"/>
    <x v="1"/>
    <s v="Google Ads - Brand"/>
    <s v="Mobile"/>
    <s v="North America"/>
    <s v="Lead"/>
    <m/>
    <m/>
    <m/>
    <n v="1"/>
    <x v="10"/>
    <n v="0"/>
    <n v="0"/>
    <n v="0"/>
  </r>
  <r>
    <s v="LD5431"/>
    <d v="2024-09-21T00:00:00"/>
    <x v="3"/>
    <s v="Promo Blast"/>
    <s v="Mobile"/>
    <s v="North America"/>
    <s v="SQL"/>
    <m/>
    <m/>
    <m/>
    <n v="3"/>
    <x v="9"/>
    <n v="1"/>
    <n v="1"/>
    <n v="0"/>
  </r>
  <r>
    <s v="LD4854"/>
    <d v="2024-08-03T00:00:00"/>
    <x v="3"/>
    <s v="Promo Blast"/>
    <s v="Mobile"/>
    <s v="Latin America"/>
    <s v="Lead"/>
    <m/>
    <m/>
    <m/>
    <n v="1"/>
    <x v="6"/>
    <n v="0"/>
    <n v="0"/>
    <n v="0"/>
  </r>
  <r>
    <s v="LD1391"/>
    <d v="2024-01-17T00:00:00"/>
    <x v="4"/>
    <s v="Affiliate Program"/>
    <s v="Mobile"/>
    <s v="Asia Pacific"/>
    <s v="Customer"/>
    <n v="31"/>
    <s v="Pro"/>
    <n v="2383.46"/>
    <n v="4"/>
    <x v="3"/>
    <n v="1"/>
    <n v="1"/>
    <n v="1"/>
  </r>
  <r>
    <s v="LD5346"/>
    <d v="2024-09-14T00:00:00"/>
    <x v="3"/>
    <s v="Promo Blast"/>
    <s v="Mobile"/>
    <s v="North America"/>
    <s v="SQL"/>
    <m/>
    <m/>
    <m/>
    <n v="3"/>
    <x v="9"/>
    <n v="1"/>
    <n v="1"/>
    <n v="0"/>
  </r>
  <r>
    <s v="LD7612"/>
    <d v="2024-12-24T00:00:00"/>
    <x v="4"/>
    <s v="Affiliate Program"/>
    <s v="Desktop"/>
    <s v="Latin America"/>
    <s v="MQL"/>
    <m/>
    <m/>
    <m/>
    <n v="2"/>
    <x v="7"/>
    <n v="1"/>
    <n v="0"/>
    <n v="0"/>
  </r>
  <r>
    <s v="LD4991"/>
    <d v="2024-08-14T00:00:00"/>
    <x v="2"/>
    <s v="Direct / Type-in"/>
    <s v="Mobile"/>
    <s v="Asia Pacific"/>
    <s v="Lead"/>
    <m/>
    <m/>
    <m/>
    <n v="1"/>
    <x v="6"/>
    <n v="0"/>
    <n v="0"/>
    <n v="0"/>
  </r>
  <r>
    <s v="LD1401"/>
    <d v="2024-01-23T00:00:00"/>
    <x v="4"/>
    <s v="Partner Program"/>
    <s v="Desktop"/>
    <s v="Latin America"/>
    <s v="SQL"/>
    <m/>
    <m/>
    <m/>
    <n v="3"/>
    <x v="3"/>
    <n v="1"/>
    <n v="1"/>
    <n v="0"/>
  </r>
  <r>
    <s v="LD5807"/>
    <d v="2024-10-10T00:00:00"/>
    <x v="1"/>
    <s v="Google Ads - Generic"/>
    <s v="Mobile"/>
    <s v="North America"/>
    <s v="MQL"/>
    <m/>
    <m/>
    <m/>
    <n v="2"/>
    <x v="5"/>
    <n v="1"/>
    <n v="0"/>
    <n v="0"/>
  </r>
  <r>
    <s v="LD6136"/>
    <d v="2024-10-04T00:00:00"/>
    <x v="4"/>
    <s v="Affiliate Program"/>
    <s v="Desktop"/>
    <s v="North America"/>
    <s v="MQL"/>
    <m/>
    <m/>
    <m/>
    <n v="2"/>
    <x v="5"/>
    <n v="1"/>
    <n v="0"/>
    <n v="0"/>
  </r>
  <r>
    <s v="LD6479"/>
    <d v="2024-11-09T00:00:00"/>
    <x v="1"/>
    <s v="Google Ads - Generic"/>
    <s v="Mobile"/>
    <s v="Asia Pacific"/>
    <s v="Lead"/>
    <m/>
    <m/>
    <m/>
    <n v="1"/>
    <x v="2"/>
    <n v="0"/>
    <n v="0"/>
    <n v="0"/>
  </r>
  <r>
    <s v="LD4360"/>
    <d v="2024-07-13T00:00:00"/>
    <x v="3"/>
    <s v="Promo Blast"/>
    <s v="Mobile"/>
    <s v="North America"/>
    <s v="MQL"/>
    <m/>
    <m/>
    <m/>
    <n v="2"/>
    <x v="0"/>
    <n v="1"/>
    <n v="0"/>
    <n v="0"/>
  </r>
  <r>
    <s v="LD1047"/>
    <d v="2024-01-03T00:00:00"/>
    <x v="5"/>
    <s v="Blog SEO"/>
    <s v="Desktop"/>
    <s v="Latin America"/>
    <s v="Lead"/>
    <m/>
    <m/>
    <m/>
    <n v="1"/>
    <x v="3"/>
    <n v="0"/>
    <n v="0"/>
    <n v="0"/>
  </r>
  <r>
    <s v="LD7506"/>
    <d v="2024-12-05T00:00:00"/>
    <x v="3"/>
    <s v="Monthly Newsletter"/>
    <s v="Mobile"/>
    <s v="Europe"/>
    <s v="SQL"/>
    <m/>
    <m/>
    <m/>
    <n v="3"/>
    <x v="7"/>
    <n v="1"/>
    <n v="1"/>
    <n v="0"/>
  </r>
  <r>
    <s v="LD7683"/>
    <d v="2024-12-26T00:00:00"/>
    <x v="4"/>
    <s v="Partner Program"/>
    <s v="Mobile"/>
    <s v="Europe"/>
    <s v="MQL"/>
    <m/>
    <m/>
    <m/>
    <n v="2"/>
    <x v="7"/>
    <n v="1"/>
    <n v="0"/>
    <n v="0"/>
  </r>
  <r>
    <s v="LD4643"/>
    <d v="2024-08-13T00:00:00"/>
    <x v="1"/>
    <s v="Google Ads - Generic"/>
    <s v="Tablet"/>
    <s v="Asia Pacific"/>
    <s v="MQL"/>
    <m/>
    <m/>
    <m/>
    <n v="2"/>
    <x v="6"/>
    <n v="1"/>
    <n v="0"/>
    <n v="0"/>
  </r>
  <r>
    <s v="LD4727"/>
    <d v="2024-08-06T00:00:00"/>
    <x v="0"/>
    <s v="LinkedIn Ads"/>
    <s v="Desktop"/>
    <s v="North America"/>
    <s v="Lead"/>
    <m/>
    <m/>
    <m/>
    <n v="1"/>
    <x v="6"/>
    <n v="0"/>
    <n v="0"/>
    <n v="0"/>
  </r>
  <r>
    <s v="LD6209"/>
    <d v="2024-10-10T00:00:00"/>
    <x v="4"/>
    <s v="Partner Program"/>
    <s v="Desktop"/>
    <s v="North America"/>
    <s v="MQL"/>
    <m/>
    <m/>
    <m/>
    <n v="2"/>
    <x v="5"/>
    <n v="1"/>
    <n v="0"/>
    <n v="0"/>
  </r>
  <r>
    <s v="LD7584"/>
    <d v="2024-12-06T00:00:00"/>
    <x v="3"/>
    <s v="Promo Blast"/>
    <s v="Desktop"/>
    <s v="North America"/>
    <s v="MQL"/>
    <m/>
    <m/>
    <m/>
    <n v="2"/>
    <x v="7"/>
    <n v="1"/>
    <n v="0"/>
    <n v="0"/>
  </r>
  <r>
    <s v="LD3422"/>
    <d v="2024-05-22T00:00:00"/>
    <x v="3"/>
    <s v="Monthly Newsletter"/>
    <s v="Mobile"/>
    <s v="North America"/>
    <s v="Lead"/>
    <m/>
    <m/>
    <m/>
    <n v="1"/>
    <x v="4"/>
    <n v="0"/>
    <n v="0"/>
    <n v="0"/>
  </r>
  <r>
    <s v="LD2751"/>
    <d v="2024-04-14T00:00:00"/>
    <x v="3"/>
    <s v="Promo Blast"/>
    <s v="Mobile"/>
    <s v="Europe"/>
    <s v="SQL"/>
    <m/>
    <m/>
    <m/>
    <n v="3"/>
    <x v="1"/>
    <n v="1"/>
    <n v="1"/>
    <n v="0"/>
  </r>
  <r>
    <s v="LD7558"/>
    <d v="2024-12-16T00:00:00"/>
    <x v="3"/>
    <s v="Monthly Newsletter"/>
    <s v="Mobile"/>
    <s v="North America"/>
    <s v="Lead"/>
    <m/>
    <m/>
    <m/>
    <n v="1"/>
    <x v="7"/>
    <n v="0"/>
    <n v="0"/>
    <n v="0"/>
  </r>
  <r>
    <s v="LD6558"/>
    <d v="2024-11-22T00:00:00"/>
    <x v="1"/>
    <s v="Google Ads - Generic"/>
    <s v="Tablet"/>
    <s v="Asia Pacific"/>
    <s v="SQL"/>
    <m/>
    <m/>
    <m/>
    <n v="3"/>
    <x v="2"/>
    <n v="1"/>
    <n v="1"/>
    <n v="0"/>
  </r>
  <r>
    <s v="LD5063"/>
    <d v="2024-09-11T00:00:00"/>
    <x v="5"/>
    <s v="Blog SEO"/>
    <s v="Mobile"/>
    <s v="Latin America"/>
    <s v="Lead"/>
    <m/>
    <m/>
    <m/>
    <n v="1"/>
    <x v="9"/>
    <n v="0"/>
    <n v="0"/>
    <n v="0"/>
  </r>
  <r>
    <s v="LD1339"/>
    <d v="2024-01-04T00:00:00"/>
    <x v="3"/>
    <s v="Monthly Newsletter"/>
    <s v="Desktop"/>
    <s v="Europe"/>
    <s v="Lead"/>
    <m/>
    <m/>
    <m/>
    <n v="1"/>
    <x v="3"/>
    <n v="0"/>
    <n v="0"/>
    <n v="0"/>
  </r>
  <r>
    <s v="LD1216"/>
    <d v="2024-01-08T00:00:00"/>
    <x v="0"/>
    <s v="Facebook Ads"/>
    <s v="Desktop"/>
    <s v="Europe"/>
    <s v="SQL"/>
    <m/>
    <m/>
    <m/>
    <n v="3"/>
    <x v="3"/>
    <n v="1"/>
    <n v="1"/>
    <n v="0"/>
  </r>
  <r>
    <s v="LD4664"/>
    <d v="2024-08-19T00:00:00"/>
    <x v="1"/>
    <s v="Google Ads - Brand"/>
    <s v="Desktop"/>
    <s v="Asia Pacific"/>
    <s v="Customer"/>
    <n v="59"/>
    <s v="Enterprise"/>
    <n v="19759.2"/>
    <n v="4"/>
    <x v="6"/>
    <n v="1"/>
    <n v="1"/>
    <n v="1"/>
  </r>
  <r>
    <s v="LD2342"/>
    <d v="2024-03-03T00:00:00"/>
    <x v="4"/>
    <s v="Partner Program"/>
    <s v="Desktop"/>
    <s v="North America"/>
    <s v="MQL"/>
    <m/>
    <m/>
    <m/>
    <n v="2"/>
    <x v="8"/>
    <n v="1"/>
    <n v="0"/>
    <n v="0"/>
  </r>
  <r>
    <s v="LD7200"/>
    <d v="2024-12-17T00:00:00"/>
    <x v="5"/>
    <s v="Blog SEO"/>
    <s v="Mobile"/>
    <s v="Asia Pacific"/>
    <s v="MQL"/>
    <m/>
    <m/>
    <m/>
    <n v="2"/>
    <x v="7"/>
    <n v="1"/>
    <n v="0"/>
    <n v="0"/>
  </r>
  <r>
    <s v="LD4895"/>
    <d v="2024-08-21T00:00:00"/>
    <x v="4"/>
    <s v="Partner Program"/>
    <s v="Mobile"/>
    <s v="Europe"/>
    <s v="Customer"/>
    <n v="43"/>
    <s v="Pro"/>
    <n v="2893.48"/>
    <n v="4"/>
    <x v="6"/>
    <n v="1"/>
    <n v="1"/>
    <n v="1"/>
  </r>
  <r>
    <s v="LD4641"/>
    <d v="2024-08-10T00:00:00"/>
    <x v="1"/>
    <s v="Google Ads - Brand"/>
    <s v="Mobile"/>
    <s v="Europe"/>
    <s v="MQL"/>
    <m/>
    <m/>
    <m/>
    <n v="2"/>
    <x v="6"/>
    <n v="1"/>
    <n v="0"/>
    <n v="0"/>
  </r>
  <r>
    <s v="LD1330"/>
    <d v="2024-01-13T00:00:00"/>
    <x v="3"/>
    <s v="Promo Blast"/>
    <s v="Tablet"/>
    <s v="Europe"/>
    <s v="MQL"/>
    <m/>
    <m/>
    <m/>
    <n v="2"/>
    <x v="3"/>
    <n v="1"/>
    <n v="0"/>
    <n v="0"/>
  </r>
  <r>
    <s v="LD6336"/>
    <d v="2024-11-09T00:00:00"/>
    <x v="5"/>
    <s v="Landing Page SEO"/>
    <s v="Mobile"/>
    <s v="North America"/>
    <s v="Lead"/>
    <m/>
    <m/>
    <m/>
    <n v="1"/>
    <x v="2"/>
    <n v="0"/>
    <n v="0"/>
    <n v="0"/>
  </r>
  <r>
    <s v="LD4005"/>
    <d v="2024-06-13T00:00:00"/>
    <x v="2"/>
    <s v="Direct / Type-in"/>
    <s v="Desktop"/>
    <s v="North America"/>
    <s v="Lead"/>
    <m/>
    <m/>
    <m/>
    <n v="1"/>
    <x v="11"/>
    <n v="0"/>
    <n v="0"/>
    <n v="0"/>
  </r>
  <r>
    <s v="LD7478"/>
    <d v="2024-12-05T00:00:00"/>
    <x v="3"/>
    <s v="Monthly Newsletter"/>
    <s v="Desktop"/>
    <s v="North America"/>
    <s v="Lead"/>
    <m/>
    <m/>
    <m/>
    <n v="1"/>
    <x v="7"/>
    <n v="0"/>
    <n v="0"/>
    <n v="0"/>
  </r>
  <r>
    <s v="LD4116"/>
    <d v="2024-07-15T00:00:00"/>
    <x v="5"/>
    <s v="Blog SEO"/>
    <s v="Tablet"/>
    <s v="Europe"/>
    <s v="Lead"/>
    <m/>
    <m/>
    <m/>
    <n v="1"/>
    <x v="0"/>
    <n v="0"/>
    <n v="0"/>
    <n v="0"/>
  </r>
  <r>
    <s v="LD7561"/>
    <d v="2024-12-07T00:00:00"/>
    <x v="3"/>
    <s v="Monthly Newsletter"/>
    <s v="Desktop"/>
    <s v="Europe"/>
    <s v="SQL"/>
    <m/>
    <m/>
    <m/>
    <n v="3"/>
    <x v="7"/>
    <n v="1"/>
    <n v="1"/>
    <n v="0"/>
  </r>
  <r>
    <s v="LD3323"/>
    <d v="2024-05-05T00:00:00"/>
    <x v="3"/>
    <s v="Monthly Newsletter"/>
    <s v="Desktop"/>
    <s v="Europe"/>
    <s v="Lead"/>
    <m/>
    <m/>
    <m/>
    <n v="1"/>
    <x v="4"/>
    <n v="0"/>
    <n v="0"/>
    <n v="0"/>
  </r>
  <r>
    <s v="LD5198"/>
    <d v="2024-09-22T00:00:00"/>
    <x v="1"/>
    <s v="Google Ads - Generic"/>
    <s v="Desktop"/>
    <s v="Latin America"/>
    <s v="Lead"/>
    <m/>
    <m/>
    <m/>
    <n v="1"/>
    <x v="9"/>
    <n v="0"/>
    <n v="0"/>
    <n v="0"/>
  </r>
  <r>
    <s v="LD4550"/>
    <d v="2024-08-26T00:00:00"/>
    <x v="5"/>
    <s v="Landing Page SEO"/>
    <s v="Desktop"/>
    <s v="North America"/>
    <s v="Lead"/>
    <m/>
    <m/>
    <m/>
    <n v="1"/>
    <x v="6"/>
    <n v="0"/>
    <n v="0"/>
    <n v="0"/>
  </r>
  <r>
    <s v="LD2459"/>
    <d v="2024-03-24T00:00:00"/>
    <x v="2"/>
    <s v="Direct / Type-in"/>
    <s v="Desktop"/>
    <s v="Europe"/>
    <s v="Lead"/>
    <m/>
    <m/>
    <m/>
    <n v="1"/>
    <x v="8"/>
    <n v="0"/>
    <n v="0"/>
    <n v="0"/>
  </r>
  <r>
    <s v="LD1172"/>
    <d v="2024-01-01T00:00:00"/>
    <x v="1"/>
    <s v="Google Ads - Generic"/>
    <s v="Desktop"/>
    <s v="Europe"/>
    <s v="Lead"/>
    <m/>
    <m/>
    <m/>
    <n v="1"/>
    <x v="3"/>
    <n v="0"/>
    <n v="0"/>
    <n v="0"/>
  </r>
  <r>
    <s v="LD5204"/>
    <d v="2024-09-04T00:00:00"/>
    <x v="1"/>
    <s v="Google Ads - Brand"/>
    <s v="Mobile"/>
    <s v="Europe"/>
    <s v="MQL"/>
    <m/>
    <m/>
    <m/>
    <n v="2"/>
    <x v="9"/>
    <n v="1"/>
    <n v="0"/>
    <n v="0"/>
  </r>
  <r>
    <s v="LD6680"/>
    <d v="2024-11-04T00:00:00"/>
    <x v="0"/>
    <s v="Instagram Ads"/>
    <s v="Desktop"/>
    <s v="North America"/>
    <s v="Lead"/>
    <m/>
    <m/>
    <m/>
    <n v="1"/>
    <x v="2"/>
    <n v="0"/>
    <n v="0"/>
    <n v="0"/>
  </r>
  <r>
    <s v="LD4570"/>
    <d v="2024-08-26T00:00:00"/>
    <x v="5"/>
    <s v="Blog SEO"/>
    <s v="Tablet"/>
    <s v="North America"/>
    <s v="Lead"/>
    <m/>
    <m/>
    <m/>
    <n v="1"/>
    <x v="6"/>
    <n v="0"/>
    <n v="0"/>
    <n v="0"/>
  </r>
  <r>
    <s v="LD5227"/>
    <d v="2024-09-05T00:00:00"/>
    <x v="0"/>
    <s v="Facebook Ads"/>
    <s v="Mobile"/>
    <s v="North America"/>
    <s v="MQL"/>
    <m/>
    <m/>
    <m/>
    <n v="2"/>
    <x v="9"/>
    <n v="1"/>
    <n v="0"/>
    <n v="0"/>
  </r>
  <r>
    <s v="LD6159"/>
    <d v="2024-10-05T00:00:00"/>
    <x v="4"/>
    <s v="Affiliate Program"/>
    <s v="Desktop"/>
    <s v="North America"/>
    <s v="Lead"/>
    <m/>
    <m/>
    <m/>
    <n v="1"/>
    <x v="5"/>
    <n v="0"/>
    <n v="0"/>
    <n v="0"/>
  </r>
  <r>
    <s v="LD7496"/>
    <d v="2024-12-01T00:00:00"/>
    <x v="3"/>
    <s v="Promo Blast"/>
    <s v="Mobile"/>
    <s v="Europe"/>
    <s v="Lead"/>
    <m/>
    <m/>
    <m/>
    <n v="1"/>
    <x v="7"/>
    <n v="0"/>
    <n v="0"/>
    <n v="0"/>
  </r>
  <r>
    <s v="LD6591"/>
    <d v="2024-11-11T00:00:00"/>
    <x v="1"/>
    <s v="Google Ads - Generic"/>
    <s v="Desktop"/>
    <s v="North America"/>
    <s v="MQL"/>
    <m/>
    <m/>
    <m/>
    <n v="2"/>
    <x v="2"/>
    <n v="1"/>
    <n v="0"/>
    <n v="0"/>
  </r>
  <r>
    <s v="LD1939"/>
    <d v="2024-02-02T00:00:00"/>
    <x v="2"/>
    <s v="Direct / Type-in"/>
    <s v="Desktop"/>
    <s v="North America"/>
    <s v="MQL"/>
    <m/>
    <m/>
    <m/>
    <n v="2"/>
    <x v="10"/>
    <n v="1"/>
    <n v="0"/>
    <n v="0"/>
  </r>
  <r>
    <s v="LD1061"/>
    <d v="2024-01-28T00:00:00"/>
    <x v="5"/>
    <s v="Landing Page SEO"/>
    <s v="Desktop"/>
    <s v="Asia Pacific"/>
    <s v="SQL"/>
    <m/>
    <m/>
    <m/>
    <n v="3"/>
    <x v="3"/>
    <n v="1"/>
    <n v="1"/>
    <n v="0"/>
  </r>
  <r>
    <s v="LD2241"/>
    <d v="2024-03-09T00:00:00"/>
    <x v="3"/>
    <s v="Monthly Newsletter"/>
    <s v="Desktop"/>
    <s v="North America"/>
    <s v="SQL"/>
    <m/>
    <m/>
    <m/>
    <n v="3"/>
    <x v="8"/>
    <n v="1"/>
    <n v="1"/>
    <n v="0"/>
  </r>
  <r>
    <s v="LD6137"/>
    <d v="2024-10-25T00:00:00"/>
    <x v="4"/>
    <s v="Partner Program"/>
    <s v="Mobile"/>
    <s v="Europe"/>
    <s v="Lead"/>
    <m/>
    <m/>
    <m/>
    <n v="1"/>
    <x v="5"/>
    <n v="0"/>
    <n v="0"/>
    <n v="0"/>
  </r>
  <r>
    <s v="LD6669"/>
    <d v="2024-11-21T00:00:00"/>
    <x v="0"/>
    <s v="Instagram Ads"/>
    <s v="Desktop"/>
    <s v="Europe"/>
    <s v="MQL"/>
    <m/>
    <m/>
    <m/>
    <n v="2"/>
    <x v="2"/>
    <n v="1"/>
    <n v="0"/>
    <n v="0"/>
  </r>
  <r>
    <s v="LD3121"/>
    <d v="2024-05-11T00:00:00"/>
    <x v="1"/>
    <s v="Google Ads - Generic"/>
    <s v="Mobile"/>
    <s v="Asia Pacific"/>
    <s v="Lead"/>
    <m/>
    <m/>
    <m/>
    <n v="1"/>
    <x v="4"/>
    <n v="0"/>
    <n v="0"/>
    <n v="0"/>
  </r>
  <r>
    <s v="LD2525"/>
    <d v="2024-04-22T00:00:00"/>
    <x v="5"/>
    <s v="Landing Page SEO"/>
    <s v="Tablet"/>
    <s v="North America"/>
    <s v="MQL"/>
    <m/>
    <m/>
    <m/>
    <n v="2"/>
    <x v="1"/>
    <n v="1"/>
    <n v="0"/>
    <n v="0"/>
  </r>
  <r>
    <s v="LD1154"/>
    <d v="2024-01-08T00:00:00"/>
    <x v="1"/>
    <s v="Google Ads - Generic"/>
    <s v="Desktop"/>
    <s v="Asia Pacific"/>
    <s v="MQL"/>
    <m/>
    <m/>
    <m/>
    <n v="2"/>
    <x v="3"/>
    <n v="1"/>
    <n v="0"/>
    <n v="0"/>
  </r>
  <r>
    <s v="LD1482"/>
    <d v="2024-02-18T00:00:00"/>
    <x v="5"/>
    <s v="Blog SEO"/>
    <s v="Desktop"/>
    <s v="North America"/>
    <s v="SQL"/>
    <m/>
    <m/>
    <m/>
    <n v="3"/>
    <x v="10"/>
    <n v="1"/>
    <n v="1"/>
    <n v="0"/>
  </r>
  <r>
    <s v="LD5461"/>
    <d v="2024-09-25T00:00:00"/>
    <x v="4"/>
    <s v="Affiliate Program"/>
    <s v="Mobile"/>
    <s v="North America"/>
    <s v="Lead"/>
    <m/>
    <m/>
    <m/>
    <n v="1"/>
    <x v="9"/>
    <n v="0"/>
    <n v="0"/>
    <n v="0"/>
  </r>
  <r>
    <s v="LD4921"/>
    <d v="2024-08-21T00:00:00"/>
    <x v="4"/>
    <s v="Partner Program"/>
    <s v="Mobile"/>
    <s v="Europe"/>
    <s v="SQL"/>
    <m/>
    <m/>
    <m/>
    <n v="3"/>
    <x v="6"/>
    <n v="1"/>
    <n v="1"/>
    <n v="0"/>
  </r>
  <r>
    <s v="LD2763"/>
    <d v="2024-04-07T00:00:00"/>
    <x v="3"/>
    <s v="Promo Blast"/>
    <s v="Desktop"/>
    <s v="North America"/>
    <s v="MQL"/>
    <m/>
    <m/>
    <m/>
    <n v="2"/>
    <x v="1"/>
    <n v="1"/>
    <n v="0"/>
    <n v="0"/>
  </r>
  <r>
    <s v="LD1751"/>
    <d v="2024-02-27T00:00:00"/>
    <x v="3"/>
    <s v="Monthly Newsletter"/>
    <s v="Mobile"/>
    <s v="North America"/>
    <s v="MQL"/>
    <m/>
    <m/>
    <m/>
    <n v="2"/>
    <x v="10"/>
    <n v="1"/>
    <n v="0"/>
    <n v="0"/>
  </r>
  <r>
    <s v="LD2786"/>
    <d v="2024-04-03T00:00:00"/>
    <x v="3"/>
    <s v="Promo Blast"/>
    <s v="Desktop"/>
    <s v="North America"/>
    <s v="MQL"/>
    <m/>
    <m/>
    <m/>
    <n v="2"/>
    <x v="1"/>
    <n v="1"/>
    <n v="0"/>
    <n v="0"/>
  </r>
  <r>
    <s v="LD5502"/>
    <d v="2024-09-03T00:00:00"/>
    <x v="4"/>
    <s v="Partner Program"/>
    <s v="Mobile"/>
    <s v="Europe"/>
    <s v="Lead"/>
    <m/>
    <m/>
    <m/>
    <n v="1"/>
    <x v="9"/>
    <n v="0"/>
    <n v="0"/>
    <n v="0"/>
  </r>
  <r>
    <s v="LD5854"/>
    <d v="2024-10-19T00:00:00"/>
    <x v="0"/>
    <s v="Instagram Ads"/>
    <s v="Tablet"/>
    <s v="Europe"/>
    <s v="Lead"/>
    <m/>
    <m/>
    <m/>
    <n v="1"/>
    <x v="5"/>
    <n v="0"/>
    <n v="0"/>
    <n v="0"/>
  </r>
  <r>
    <s v="LD3712"/>
    <d v="2024-06-10T00:00:00"/>
    <x v="1"/>
    <s v="Google Ads - Brand"/>
    <s v="Desktop"/>
    <s v="North America"/>
    <s v="Lead"/>
    <m/>
    <m/>
    <m/>
    <n v="1"/>
    <x v="11"/>
    <n v="0"/>
    <n v="0"/>
    <n v="0"/>
  </r>
  <r>
    <s v="LD6481"/>
    <d v="2024-11-27T00:00:00"/>
    <x v="1"/>
    <s v="Google Ads - Brand"/>
    <s v="Desktop"/>
    <s v="Europe"/>
    <s v="MQL"/>
    <m/>
    <m/>
    <m/>
    <n v="2"/>
    <x v="2"/>
    <n v="1"/>
    <n v="0"/>
    <n v="0"/>
  </r>
  <r>
    <s v="LD5194"/>
    <d v="2024-09-20T00:00:00"/>
    <x v="1"/>
    <s v="Google Ads - Brand"/>
    <s v="Desktop"/>
    <s v="North America"/>
    <s v="Lead"/>
    <m/>
    <m/>
    <m/>
    <n v="1"/>
    <x v="9"/>
    <n v="0"/>
    <n v="0"/>
    <n v="0"/>
  </r>
  <r>
    <s v="LD2334"/>
    <d v="2024-03-20T00:00:00"/>
    <x v="4"/>
    <s v="Partner Program"/>
    <s v="Desktop"/>
    <s v="Latin America"/>
    <s v="Customer"/>
    <n v="71"/>
    <s v="Basic"/>
    <n v="1051.79"/>
    <n v="4"/>
    <x v="8"/>
    <n v="1"/>
    <n v="1"/>
    <n v="1"/>
  </r>
  <r>
    <s v="LD7034"/>
    <d v="2024-11-26T00:00:00"/>
    <x v="2"/>
    <s v="Direct / Type-in"/>
    <s v="Mobile"/>
    <s v="North America"/>
    <s v="Lead"/>
    <m/>
    <m/>
    <m/>
    <n v="1"/>
    <x v="2"/>
    <n v="0"/>
    <n v="0"/>
    <n v="0"/>
  </r>
  <r>
    <s v="LD3855"/>
    <d v="2024-06-26T00:00:00"/>
    <x v="3"/>
    <s v="Promo Blast"/>
    <s v="Mobile"/>
    <s v="Asia Pacific"/>
    <s v="MQL"/>
    <m/>
    <m/>
    <m/>
    <n v="2"/>
    <x v="11"/>
    <n v="1"/>
    <n v="0"/>
    <n v="0"/>
  </r>
  <r>
    <s v="LD1187"/>
    <d v="2024-01-04T00:00:00"/>
    <x v="0"/>
    <s v="Facebook Ads"/>
    <s v="Desktop"/>
    <s v="Europe"/>
    <s v="Lead"/>
    <m/>
    <m/>
    <m/>
    <n v="1"/>
    <x v="3"/>
    <n v="0"/>
    <n v="0"/>
    <n v="0"/>
  </r>
  <r>
    <s v="LD2137"/>
    <d v="2024-03-18T00:00:00"/>
    <x v="0"/>
    <s v="Facebook Ads"/>
    <s v="Tablet"/>
    <s v="North America"/>
    <s v="Lead"/>
    <m/>
    <m/>
    <m/>
    <n v="1"/>
    <x v="8"/>
    <n v="0"/>
    <n v="0"/>
    <n v="0"/>
  </r>
  <r>
    <s v="LD3059"/>
    <d v="2024-05-09T00:00:00"/>
    <x v="5"/>
    <s v="Landing Page SEO"/>
    <s v="Mobile"/>
    <s v="Europe"/>
    <s v="Lead"/>
    <m/>
    <m/>
    <m/>
    <n v="1"/>
    <x v="4"/>
    <n v="0"/>
    <n v="0"/>
    <n v="0"/>
  </r>
  <r>
    <s v="LD6682"/>
    <d v="2024-11-08T00:00:00"/>
    <x v="0"/>
    <s v="Instagram Ads"/>
    <s v="Mobile"/>
    <s v="Latin America"/>
    <s v="Lead"/>
    <m/>
    <m/>
    <m/>
    <n v="1"/>
    <x v="2"/>
    <n v="0"/>
    <n v="0"/>
    <n v="0"/>
  </r>
  <r>
    <s v="LD1149"/>
    <d v="2024-01-24T00:00:00"/>
    <x v="1"/>
    <s v="Google Ads - Brand"/>
    <s v="Mobile"/>
    <s v="North America"/>
    <s v="Lead"/>
    <m/>
    <m/>
    <m/>
    <n v="1"/>
    <x v="3"/>
    <n v="0"/>
    <n v="0"/>
    <n v="0"/>
  </r>
  <r>
    <s v="LD5125"/>
    <d v="2024-09-16T00:00:00"/>
    <x v="5"/>
    <s v="Blog SEO"/>
    <s v="Tablet"/>
    <s v="North America"/>
    <s v="Lead"/>
    <m/>
    <m/>
    <m/>
    <n v="1"/>
    <x v="9"/>
    <n v="0"/>
    <n v="0"/>
    <n v="0"/>
  </r>
  <r>
    <s v="LD5890"/>
    <d v="2024-10-21T00:00:00"/>
    <x v="0"/>
    <s v="LinkedIn Ads"/>
    <s v="Desktop"/>
    <s v="North America"/>
    <s v="Lead"/>
    <m/>
    <m/>
    <m/>
    <n v="1"/>
    <x v="5"/>
    <n v="0"/>
    <n v="0"/>
    <n v="0"/>
  </r>
  <r>
    <s v="LD4364"/>
    <d v="2024-07-17T00:00:00"/>
    <x v="3"/>
    <s v="Promo Blast"/>
    <s v="Mobile"/>
    <s v="Latin America"/>
    <s v="Lead"/>
    <m/>
    <m/>
    <m/>
    <n v="1"/>
    <x v="0"/>
    <n v="0"/>
    <n v="0"/>
    <n v="0"/>
  </r>
  <r>
    <s v="LD5789"/>
    <d v="2024-10-09T00:00:00"/>
    <x v="1"/>
    <s v="Google Ads - Generic"/>
    <s v="Desktop"/>
    <s v="North America"/>
    <s v="Lead"/>
    <m/>
    <m/>
    <m/>
    <n v="1"/>
    <x v="5"/>
    <n v="0"/>
    <n v="0"/>
    <n v="0"/>
  </r>
  <r>
    <s v="LD3867"/>
    <d v="2024-06-24T00:00:00"/>
    <x v="3"/>
    <s v="Monthly Newsletter"/>
    <s v="Desktop"/>
    <s v="North America"/>
    <s v="SQL"/>
    <m/>
    <m/>
    <m/>
    <n v="3"/>
    <x v="11"/>
    <n v="1"/>
    <n v="1"/>
    <n v="0"/>
  </r>
  <r>
    <s v="LD4777"/>
    <d v="2024-08-27T00:00:00"/>
    <x v="3"/>
    <s v="Monthly Newsletter"/>
    <s v="Desktop"/>
    <s v="Asia Pacific"/>
    <s v="SQL"/>
    <m/>
    <m/>
    <m/>
    <n v="3"/>
    <x v="6"/>
    <n v="1"/>
    <n v="1"/>
    <n v="0"/>
  </r>
  <r>
    <s v="LD2387"/>
    <d v="2024-03-18T00:00:00"/>
    <x v="4"/>
    <s v="Affiliate Program"/>
    <s v="Mobile"/>
    <s v="Europe"/>
    <s v="Lead"/>
    <m/>
    <m/>
    <m/>
    <n v="1"/>
    <x v="8"/>
    <n v="0"/>
    <n v="0"/>
    <n v="0"/>
  </r>
  <r>
    <s v="LD7407"/>
    <d v="2024-12-25T00:00:00"/>
    <x v="0"/>
    <s v="LinkedIn Ads"/>
    <s v="Mobile"/>
    <s v="Europe"/>
    <s v="Lead"/>
    <m/>
    <m/>
    <m/>
    <n v="1"/>
    <x v="7"/>
    <n v="0"/>
    <n v="0"/>
    <n v="0"/>
  </r>
  <r>
    <s v="LD6614"/>
    <d v="2024-11-13T00:00:00"/>
    <x v="0"/>
    <s v="Instagram Ads"/>
    <s v="Mobile"/>
    <s v="North America"/>
    <s v="Lead"/>
    <m/>
    <m/>
    <m/>
    <n v="1"/>
    <x v="2"/>
    <n v="0"/>
    <n v="0"/>
    <n v="0"/>
  </r>
  <r>
    <s v="LD4630"/>
    <d v="2024-08-28T00:00:00"/>
    <x v="1"/>
    <s v="Google Ads - Brand"/>
    <s v="Desktop"/>
    <s v="North America"/>
    <s v="MQL"/>
    <m/>
    <m/>
    <m/>
    <n v="2"/>
    <x v="6"/>
    <n v="1"/>
    <n v="0"/>
    <n v="0"/>
  </r>
  <r>
    <s v="LD7101"/>
    <d v="2024-12-04T00:00:00"/>
    <x v="5"/>
    <s v="Blog SEO"/>
    <s v="Mobile"/>
    <s v="Asia Pacific"/>
    <s v="Customer"/>
    <n v="27"/>
    <s v="Basic"/>
    <n v="1354.68"/>
    <n v="4"/>
    <x v="7"/>
    <n v="1"/>
    <n v="1"/>
    <n v="1"/>
  </r>
  <r>
    <s v="LD5798"/>
    <d v="2024-10-06T00:00:00"/>
    <x v="1"/>
    <s v="Google Ads - Generic"/>
    <s v="Desktop"/>
    <s v="North America"/>
    <s v="Lead"/>
    <m/>
    <m/>
    <m/>
    <n v="1"/>
    <x v="5"/>
    <n v="0"/>
    <n v="0"/>
    <n v="0"/>
  </r>
  <r>
    <s v="LD4029"/>
    <d v="2024-06-02T00:00:00"/>
    <x v="2"/>
    <s v="Direct / Type-in"/>
    <s v="Desktop"/>
    <s v="Europe"/>
    <s v="MQL"/>
    <m/>
    <m/>
    <m/>
    <n v="2"/>
    <x v="11"/>
    <n v="1"/>
    <n v="0"/>
    <n v="0"/>
  </r>
  <r>
    <s v="LD3970"/>
    <d v="2024-06-03T00:00:00"/>
    <x v="4"/>
    <s v="Affiliate Program"/>
    <s v="Desktop"/>
    <s v="Latin America"/>
    <s v="MQL"/>
    <m/>
    <m/>
    <m/>
    <n v="2"/>
    <x v="11"/>
    <n v="1"/>
    <n v="0"/>
    <n v="0"/>
  </r>
  <r>
    <s v="LD6894"/>
    <d v="2024-11-06T00:00:00"/>
    <x v="3"/>
    <s v="Monthly Newsletter"/>
    <s v="Desktop"/>
    <s v="Europe"/>
    <s v="MQL"/>
    <m/>
    <m/>
    <m/>
    <n v="2"/>
    <x v="2"/>
    <n v="1"/>
    <n v="0"/>
    <n v="0"/>
  </r>
  <r>
    <s v="LD2709"/>
    <d v="2024-04-03T00:00:00"/>
    <x v="0"/>
    <s v="Facebook Ads"/>
    <s v="Desktop"/>
    <s v="North America"/>
    <s v="Lead"/>
    <m/>
    <m/>
    <m/>
    <n v="1"/>
    <x v="1"/>
    <n v="0"/>
    <n v="0"/>
    <n v="0"/>
  </r>
  <r>
    <s v="LD3954"/>
    <d v="2024-06-09T00:00:00"/>
    <x v="4"/>
    <s v="Partner Program"/>
    <s v="Desktop"/>
    <s v="North America"/>
    <s v="Lead"/>
    <m/>
    <m/>
    <m/>
    <n v="1"/>
    <x v="11"/>
    <n v="0"/>
    <n v="0"/>
    <n v="0"/>
  </r>
  <r>
    <s v="LD1455"/>
    <d v="2024-01-09T00:00:00"/>
    <x v="2"/>
    <s v="Direct / Type-in"/>
    <s v="Desktop"/>
    <s v="North America"/>
    <s v="Lead"/>
    <m/>
    <m/>
    <m/>
    <n v="1"/>
    <x v="3"/>
    <n v="0"/>
    <n v="0"/>
    <n v="0"/>
  </r>
  <r>
    <s v="LD1610"/>
    <d v="2024-02-26T00:00:00"/>
    <x v="1"/>
    <s v="Google Ads - Generic"/>
    <s v="Desktop"/>
    <s v="North America"/>
    <s v="Lead"/>
    <m/>
    <m/>
    <m/>
    <n v="1"/>
    <x v="10"/>
    <n v="0"/>
    <n v="0"/>
    <n v="0"/>
  </r>
  <r>
    <s v="LD5264"/>
    <d v="2024-09-01T00:00:00"/>
    <x v="0"/>
    <s v="LinkedIn Ads"/>
    <s v="Tablet"/>
    <s v="Asia Pacific"/>
    <s v="MQL"/>
    <m/>
    <m/>
    <m/>
    <n v="2"/>
    <x v="9"/>
    <n v="1"/>
    <n v="0"/>
    <n v="0"/>
  </r>
  <r>
    <s v="LD5827"/>
    <d v="2024-10-09T00:00:00"/>
    <x v="1"/>
    <s v="Google Ads - Brand"/>
    <s v="Mobile"/>
    <s v="North America"/>
    <s v="Lead"/>
    <m/>
    <m/>
    <m/>
    <n v="1"/>
    <x v="5"/>
    <n v="0"/>
    <n v="0"/>
    <n v="0"/>
  </r>
  <r>
    <s v="LD6750"/>
    <d v="2024-11-25T00:00:00"/>
    <x v="3"/>
    <s v="Monthly Newsletter"/>
    <s v="Tablet"/>
    <s v="North America"/>
    <s v="MQL"/>
    <m/>
    <m/>
    <m/>
    <n v="2"/>
    <x v="2"/>
    <n v="1"/>
    <n v="0"/>
    <n v="0"/>
  </r>
  <r>
    <s v="LD3075"/>
    <d v="2024-05-14T00:00:00"/>
    <x v="5"/>
    <s v="Blog SEO"/>
    <s v="Desktop"/>
    <s v="Asia Pacific"/>
    <s v="Lead"/>
    <m/>
    <m/>
    <m/>
    <n v="1"/>
    <x v="4"/>
    <n v="0"/>
    <n v="0"/>
    <n v="0"/>
  </r>
  <r>
    <s v="LD5053"/>
    <d v="2024-09-03T00:00:00"/>
    <x v="5"/>
    <s v="Landing Page SEO"/>
    <s v="Desktop"/>
    <s v="North America"/>
    <s v="Lead"/>
    <m/>
    <m/>
    <m/>
    <n v="1"/>
    <x v="9"/>
    <n v="0"/>
    <n v="0"/>
    <n v="0"/>
  </r>
  <r>
    <s v="LD6515"/>
    <d v="2024-11-26T00:00:00"/>
    <x v="1"/>
    <s v="Google Ads - Generic"/>
    <s v="Desktop"/>
    <s v="North America"/>
    <s v="Lead"/>
    <m/>
    <m/>
    <m/>
    <n v="1"/>
    <x v="2"/>
    <n v="0"/>
    <n v="0"/>
    <n v="0"/>
  </r>
  <r>
    <s v="LD2623"/>
    <d v="2024-04-20T00:00:00"/>
    <x v="1"/>
    <s v="Google Ads - Generic"/>
    <s v="Desktop"/>
    <s v="Latin America"/>
    <s v="Lead"/>
    <m/>
    <m/>
    <m/>
    <n v="1"/>
    <x v="1"/>
    <n v="0"/>
    <n v="0"/>
    <n v="0"/>
  </r>
  <r>
    <s v="LD5684"/>
    <d v="2024-10-04T00:00:00"/>
    <x v="5"/>
    <s v="Blog SEO"/>
    <s v="Desktop"/>
    <s v="North America"/>
    <s v="MQL"/>
    <m/>
    <m/>
    <m/>
    <n v="2"/>
    <x v="5"/>
    <n v="1"/>
    <n v="0"/>
    <n v="0"/>
  </r>
  <r>
    <s v="LD6939"/>
    <d v="2024-11-26T00:00:00"/>
    <x v="4"/>
    <s v="Affiliate Program"/>
    <s v="Desktop"/>
    <s v="North America"/>
    <s v="MQL"/>
    <m/>
    <m/>
    <m/>
    <n v="2"/>
    <x v="2"/>
    <n v="1"/>
    <n v="0"/>
    <n v="0"/>
  </r>
  <r>
    <s v="LD1041"/>
    <d v="2024-01-19T00:00:00"/>
    <x v="5"/>
    <s v="Blog SEO"/>
    <s v="Mobile"/>
    <s v="North America"/>
    <s v="Lead"/>
    <m/>
    <m/>
    <m/>
    <n v="1"/>
    <x v="3"/>
    <n v="0"/>
    <n v="0"/>
    <n v="0"/>
  </r>
  <r>
    <s v="LD3090"/>
    <d v="2024-05-11T00:00:00"/>
    <x v="5"/>
    <s v="Blog SEO"/>
    <s v="Desktop"/>
    <s v="Latin America"/>
    <s v="Lead"/>
    <m/>
    <m/>
    <m/>
    <n v="1"/>
    <x v="4"/>
    <n v="0"/>
    <n v="0"/>
    <n v="0"/>
  </r>
  <r>
    <s v="LD4925"/>
    <d v="2024-08-03T00:00:00"/>
    <x v="4"/>
    <s v="Partner Program"/>
    <s v="Mobile"/>
    <s v="Asia Pacific"/>
    <s v="SQL"/>
    <m/>
    <m/>
    <m/>
    <n v="3"/>
    <x v="6"/>
    <n v="1"/>
    <n v="1"/>
    <n v="0"/>
  </r>
  <r>
    <s v="LD3176"/>
    <d v="2024-05-06T00:00:00"/>
    <x v="1"/>
    <s v="Google Ads - Generic"/>
    <s v="Desktop"/>
    <s v="Asia Pacific"/>
    <s v="Lead"/>
    <m/>
    <m/>
    <m/>
    <n v="1"/>
    <x v="4"/>
    <n v="0"/>
    <n v="0"/>
    <n v="0"/>
  </r>
  <r>
    <s v="LD1075"/>
    <d v="2024-01-05T00:00:00"/>
    <x v="5"/>
    <s v="Blog SEO"/>
    <s v="Desktop"/>
    <s v="Latin America"/>
    <s v="Lead"/>
    <m/>
    <m/>
    <m/>
    <n v="1"/>
    <x v="3"/>
    <n v="0"/>
    <n v="0"/>
    <n v="0"/>
  </r>
  <r>
    <s v="LD6427"/>
    <d v="2024-11-21T00:00:00"/>
    <x v="5"/>
    <s v="Landing Page SEO"/>
    <s v="Desktop"/>
    <s v="Latin America"/>
    <s v="Lead"/>
    <m/>
    <m/>
    <m/>
    <n v="1"/>
    <x v="2"/>
    <n v="0"/>
    <n v="0"/>
    <n v="0"/>
  </r>
  <r>
    <s v="LD7691"/>
    <d v="2024-12-22T00:00:00"/>
    <x v="4"/>
    <s v="Partner Program"/>
    <s v="Mobile"/>
    <s v="North America"/>
    <s v="MQL"/>
    <m/>
    <m/>
    <m/>
    <n v="2"/>
    <x v="7"/>
    <n v="1"/>
    <n v="0"/>
    <n v="0"/>
  </r>
  <r>
    <s v="LD3658"/>
    <d v="2024-06-22T00:00:00"/>
    <x v="1"/>
    <s v="Google Ads - Generic"/>
    <s v="Desktop"/>
    <s v="North America"/>
    <s v="MQL"/>
    <m/>
    <m/>
    <m/>
    <n v="2"/>
    <x v="11"/>
    <n v="1"/>
    <n v="0"/>
    <n v="0"/>
  </r>
  <r>
    <s v="LD4181"/>
    <d v="2024-07-03T00:00:00"/>
    <x v="1"/>
    <s v="Google Ads - Generic"/>
    <s v="Tablet"/>
    <s v="North America"/>
    <s v="Lead"/>
    <m/>
    <m/>
    <m/>
    <n v="1"/>
    <x v="0"/>
    <n v="0"/>
    <n v="0"/>
    <n v="0"/>
  </r>
  <r>
    <s v="LD3077"/>
    <d v="2024-05-05T00:00:00"/>
    <x v="5"/>
    <s v="Blog SEO"/>
    <s v="Mobile"/>
    <s v="North America"/>
    <s v="MQL"/>
    <m/>
    <m/>
    <m/>
    <n v="2"/>
    <x v="4"/>
    <n v="1"/>
    <n v="0"/>
    <n v="0"/>
  </r>
  <r>
    <s v="LD1442"/>
    <d v="2024-01-15T00:00:00"/>
    <x v="2"/>
    <s v="Direct / Type-in"/>
    <s v="Desktop"/>
    <s v="Europe"/>
    <s v="Lead"/>
    <m/>
    <m/>
    <m/>
    <n v="1"/>
    <x v="3"/>
    <n v="0"/>
    <n v="0"/>
    <n v="0"/>
  </r>
  <r>
    <s v="LD3052"/>
    <d v="2024-05-21T00:00:00"/>
    <x v="5"/>
    <s v="Landing Page SEO"/>
    <s v="Mobile"/>
    <s v="North America"/>
    <s v="MQL"/>
    <m/>
    <m/>
    <m/>
    <n v="2"/>
    <x v="4"/>
    <n v="1"/>
    <n v="0"/>
    <n v="0"/>
  </r>
  <r>
    <s v="LD3542"/>
    <d v="2024-05-14T00:00:00"/>
    <x v="2"/>
    <s v="Direct / Type-in"/>
    <s v="Desktop"/>
    <s v="North America"/>
    <s v="SQL"/>
    <m/>
    <m/>
    <m/>
    <n v="3"/>
    <x v="4"/>
    <n v="1"/>
    <n v="1"/>
    <n v="0"/>
  </r>
  <r>
    <s v="LD2302"/>
    <d v="2024-03-18T00:00:00"/>
    <x v="3"/>
    <s v="Monthly Newsletter"/>
    <s v="Tablet"/>
    <s v="Asia Pacific"/>
    <s v="Lead"/>
    <m/>
    <m/>
    <m/>
    <n v="1"/>
    <x v="8"/>
    <n v="0"/>
    <n v="0"/>
    <n v="0"/>
  </r>
  <r>
    <s v="LD4431"/>
    <d v="2024-07-26T00:00:00"/>
    <x v="4"/>
    <s v="Partner Program"/>
    <s v="Desktop"/>
    <s v="North America"/>
    <s v="Customer"/>
    <n v="62"/>
    <s v="Basic"/>
    <n v="1184.27"/>
    <n v="4"/>
    <x v="0"/>
    <n v="1"/>
    <n v="1"/>
    <n v="1"/>
  </r>
  <r>
    <s v="LD2305"/>
    <d v="2024-03-19T00:00:00"/>
    <x v="3"/>
    <s v="Monthly Newsletter"/>
    <s v="Tablet"/>
    <s v="Europe"/>
    <s v="Lead"/>
    <m/>
    <m/>
    <m/>
    <n v="1"/>
    <x v="8"/>
    <n v="0"/>
    <n v="0"/>
    <n v="0"/>
  </r>
  <r>
    <s v="LD1237"/>
    <d v="2024-01-12T00:00:00"/>
    <x v="3"/>
    <s v="Monthly Newsletter"/>
    <s v="Desktop"/>
    <s v="North America"/>
    <s v="MQL"/>
    <m/>
    <m/>
    <m/>
    <n v="2"/>
    <x v="3"/>
    <n v="1"/>
    <n v="0"/>
    <n v="0"/>
  </r>
  <r>
    <s v="LD6654"/>
    <d v="2024-11-23T00:00:00"/>
    <x v="0"/>
    <s v="Facebook Ads"/>
    <s v="Mobile"/>
    <s v="Europe"/>
    <s v="Lead"/>
    <m/>
    <m/>
    <m/>
    <n v="1"/>
    <x v="2"/>
    <n v="0"/>
    <n v="0"/>
    <n v="0"/>
  </r>
  <r>
    <s v="LD3600"/>
    <d v="2024-06-02T00:00:00"/>
    <x v="5"/>
    <s v="Landing Page SEO"/>
    <s v="Desktop"/>
    <s v="Europe"/>
    <s v="MQL"/>
    <m/>
    <m/>
    <m/>
    <n v="2"/>
    <x v="11"/>
    <n v="1"/>
    <n v="0"/>
    <n v="0"/>
  </r>
  <r>
    <s v="LD5617"/>
    <d v="2024-09-05T00:00:00"/>
    <x v="2"/>
    <s v="Direct / Type-in"/>
    <s v="Mobile"/>
    <s v="Europe"/>
    <s v="Lead"/>
    <m/>
    <m/>
    <m/>
    <n v="1"/>
    <x v="9"/>
    <n v="0"/>
    <n v="0"/>
    <n v="0"/>
  </r>
  <r>
    <s v="LD3574"/>
    <d v="2024-06-20T00:00:00"/>
    <x v="5"/>
    <s v="Blog SEO"/>
    <s v="Desktop"/>
    <s v="Latin America"/>
    <s v="Lead"/>
    <m/>
    <m/>
    <m/>
    <n v="1"/>
    <x v="11"/>
    <n v="0"/>
    <n v="0"/>
    <n v="0"/>
  </r>
  <r>
    <s v="LD4281"/>
    <d v="2024-07-08T00:00:00"/>
    <x v="3"/>
    <s v="Monthly Newsletter"/>
    <s v="Mobile"/>
    <s v="Europe"/>
    <s v="Lead"/>
    <m/>
    <m/>
    <m/>
    <n v="1"/>
    <x v="0"/>
    <n v="0"/>
    <n v="0"/>
    <n v="0"/>
  </r>
  <r>
    <s v="LD4187"/>
    <d v="2024-07-26T00:00:00"/>
    <x v="1"/>
    <s v="Google Ads - Brand"/>
    <s v="Mobile"/>
    <s v="Europe"/>
    <s v="Lead"/>
    <m/>
    <m/>
    <m/>
    <n v="1"/>
    <x v="0"/>
    <n v="0"/>
    <n v="0"/>
    <n v="0"/>
  </r>
  <r>
    <s v="LD4954"/>
    <d v="2024-08-05T00:00:00"/>
    <x v="2"/>
    <s v="Direct / Type-in"/>
    <s v="Mobile"/>
    <s v="Asia Pacific"/>
    <s v="MQL"/>
    <m/>
    <m/>
    <m/>
    <n v="2"/>
    <x v="6"/>
    <n v="1"/>
    <n v="0"/>
    <n v="0"/>
  </r>
  <r>
    <s v="LD3769"/>
    <d v="2024-06-01T00:00:00"/>
    <x v="0"/>
    <s v="LinkedIn Ads"/>
    <s v="Desktop"/>
    <s v="North America"/>
    <s v="Lead"/>
    <m/>
    <m/>
    <m/>
    <n v="1"/>
    <x v="11"/>
    <n v="0"/>
    <n v="0"/>
    <n v="0"/>
  </r>
  <r>
    <s v="LD5832"/>
    <d v="2024-10-11T00:00:00"/>
    <x v="1"/>
    <s v="Google Ads - Generic"/>
    <s v="Tablet"/>
    <s v="North America"/>
    <s v="MQL"/>
    <m/>
    <m/>
    <m/>
    <n v="2"/>
    <x v="5"/>
    <n v="1"/>
    <n v="0"/>
    <n v="0"/>
  </r>
  <r>
    <s v="LD5224"/>
    <d v="2024-09-16T00:00:00"/>
    <x v="0"/>
    <s v="Facebook Ads"/>
    <s v="Desktop"/>
    <s v="Asia Pacific"/>
    <s v="Lead"/>
    <m/>
    <m/>
    <m/>
    <n v="1"/>
    <x v="9"/>
    <n v="0"/>
    <n v="0"/>
    <n v="0"/>
  </r>
  <r>
    <s v="LD3107"/>
    <d v="2024-05-25T00:00:00"/>
    <x v="1"/>
    <s v="Google Ads - Generic"/>
    <s v="Desktop"/>
    <s v="North America"/>
    <s v="Lead"/>
    <m/>
    <m/>
    <m/>
    <n v="1"/>
    <x v="4"/>
    <n v="0"/>
    <n v="0"/>
    <n v="0"/>
  </r>
  <r>
    <s v="LD3680"/>
    <d v="2024-06-04T00:00:00"/>
    <x v="1"/>
    <s v="Google Ads - Generic"/>
    <s v="Mobile"/>
    <s v="Europe"/>
    <s v="MQL"/>
    <m/>
    <m/>
    <m/>
    <n v="2"/>
    <x v="11"/>
    <n v="1"/>
    <n v="0"/>
    <n v="0"/>
  </r>
  <r>
    <s v="LD3762"/>
    <d v="2024-06-12T00:00:00"/>
    <x v="0"/>
    <s v="LinkedIn Ads"/>
    <s v="Desktop"/>
    <s v="Latin America"/>
    <s v="MQL"/>
    <m/>
    <m/>
    <m/>
    <n v="2"/>
    <x v="11"/>
    <n v="1"/>
    <n v="0"/>
    <n v="0"/>
  </r>
  <r>
    <s v="LD5689"/>
    <d v="2024-10-19T00:00:00"/>
    <x v="5"/>
    <s v="Blog SEO"/>
    <s v="Desktop"/>
    <s v="North America"/>
    <s v="MQL"/>
    <m/>
    <m/>
    <m/>
    <n v="2"/>
    <x v="5"/>
    <n v="1"/>
    <n v="0"/>
    <n v="0"/>
  </r>
  <r>
    <s v="LD6400"/>
    <d v="2024-11-13T00:00:00"/>
    <x v="5"/>
    <s v="Landing Page SEO"/>
    <s v="Desktop"/>
    <s v="Europe"/>
    <s v="MQL"/>
    <m/>
    <m/>
    <m/>
    <n v="2"/>
    <x v="2"/>
    <n v="1"/>
    <n v="0"/>
    <n v="0"/>
  </r>
  <r>
    <s v="LD2388"/>
    <d v="2024-03-11T00:00:00"/>
    <x v="4"/>
    <s v="Partner Program"/>
    <s v="Desktop"/>
    <s v="Latin America"/>
    <s v="SQL"/>
    <m/>
    <m/>
    <m/>
    <n v="3"/>
    <x v="8"/>
    <n v="1"/>
    <n v="1"/>
    <n v="0"/>
  </r>
  <r>
    <s v="LD7363"/>
    <d v="2024-12-24T00:00:00"/>
    <x v="0"/>
    <s v="LinkedIn Ads"/>
    <s v="Desktop"/>
    <s v="North America"/>
    <s v="SQL"/>
    <m/>
    <m/>
    <m/>
    <n v="3"/>
    <x v="7"/>
    <n v="1"/>
    <n v="1"/>
    <n v="0"/>
  </r>
  <r>
    <s v="LD7135"/>
    <d v="2024-12-22T00:00:00"/>
    <x v="5"/>
    <s v="Landing Page SEO"/>
    <s v="Desktop"/>
    <s v="North America"/>
    <s v="MQL"/>
    <m/>
    <m/>
    <m/>
    <n v="2"/>
    <x v="7"/>
    <n v="1"/>
    <n v="0"/>
    <n v="0"/>
  </r>
  <r>
    <s v="LD7545"/>
    <d v="2024-12-27T00:00:00"/>
    <x v="3"/>
    <s v="Monthly Newsletter"/>
    <s v="Desktop"/>
    <s v="Europe"/>
    <s v="MQL"/>
    <m/>
    <m/>
    <m/>
    <n v="2"/>
    <x v="7"/>
    <n v="1"/>
    <n v="0"/>
    <n v="0"/>
  </r>
  <r>
    <s v="LD6001"/>
    <d v="2024-10-19T00:00:00"/>
    <x v="3"/>
    <s v="Monthly Newsletter"/>
    <s v="Tablet"/>
    <s v="North America"/>
    <s v="Customer"/>
    <n v="75"/>
    <s v="Pro"/>
    <n v="3067.51"/>
    <n v="4"/>
    <x v="5"/>
    <n v="1"/>
    <n v="1"/>
    <n v="1"/>
  </r>
  <r>
    <s v="LD2280"/>
    <d v="2024-03-26T00:00:00"/>
    <x v="3"/>
    <s v="Promo Blast"/>
    <s v="Mobile"/>
    <s v="Asia Pacific"/>
    <s v="Lead"/>
    <m/>
    <m/>
    <m/>
    <n v="1"/>
    <x v="8"/>
    <n v="0"/>
    <n v="0"/>
    <n v="0"/>
  </r>
  <r>
    <s v="LD7050"/>
    <d v="2024-11-08T00:00:00"/>
    <x v="2"/>
    <s v="Direct / Type-in"/>
    <s v="Mobile"/>
    <s v="North America"/>
    <s v="Lead"/>
    <m/>
    <m/>
    <m/>
    <n v="1"/>
    <x v="2"/>
    <n v="0"/>
    <n v="0"/>
    <n v="0"/>
  </r>
  <r>
    <s v="LD7646"/>
    <d v="2024-12-26T00:00:00"/>
    <x v="4"/>
    <s v="Affiliate Program"/>
    <s v="Desktop"/>
    <s v="Asia Pacific"/>
    <s v="MQL"/>
    <m/>
    <m/>
    <m/>
    <n v="2"/>
    <x v="7"/>
    <n v="1"/>
    <n v="0"/>
    <n v="0"/>
  </r>
  <r>
    <s v="LD2556"/>
    <d v="2024-04-04T00:00:00"/>
    <x v="5"/>
    <s v="Landing Page SEO"/>
    <s v="Mobile"/>
    <s v="North America"/>
    <s v="MQL"/>
    <m/>
    <m/>
    <m/>
    <n v="2"/>
    <x v="1"/>
    <n v="1"/>
    <n v="0"/>
    <n v="0"/>
  </r>
  <r>
    <s v="LD7130"/>
    <d v="2024-12-07T00:00:00"/>
    <x v="5"/>
    <s v="Blog SEO"/>
    <s v="Desktop"/>
    <s v="Asia Pacific"/>
    <s v="SQL"/>
    <m/>
    <m/>
    <m/>
    <n v="3"/>
    <x v="7"/>
    <n v="1"/>
    <n v="1"/>
    <n v="0"/>
  </r>
  <r>
    <s v="LD4191"/>
    <d v="2024-07-16T00:00:00"/>
    <x v="1"/>
    <s v="Google Ads - Generic"/>
    <s v="Desktop"/>
    <s v="Latin America"/>
    <s v="MQL"/>
    <m/>
    <m/>
    <m/>
    <n v="2"/>
    <x v="0"/>
    <n v="1"/>
    <n v="0"/>
    <n v="0"/>
  </r>
  <r>
    <s v="LD5567"/>
    <d v="2024-09-07T00:00:00"/>
    <x v="2"/>
    <s v="Direct / Type-in"/>
    <s v="Tablet"/>
    <s v="North America"/>
    <s v="MQL"/>
    <m/>
    <m/>
    <m/>
    <n v="2"/>
    <x v="9"/>
    <n v="1"/>
    <n v="0"/>
    <n v="0"/>
  </r>
  <r>
    <s v="LD5803"/>
    <d v="2024-10-21T00:00:00"/>
    <x v="1"/>
    <s v="Google Ads - Brand"/>
    <s v="Desktop"/>
    <s v="North America"/>
    <s v="Lead"/>
    <m/>
    <m/>
    <m/>
    <n v="1"/>
    <x v="5"/>
    <n v="0"/>
    <n v="0"/>
    <n v="0"/>
  </r>
  <r>
    <s v="LD7358"/>
    <d v="2024-12-22T00:00:00"/>
    <x v="0"/>
    <s v="LinkedIn Ads"/>
    <s v="Mobile"/>
    <s v="North America"/>
    <s v="Lead"/>
    <m/>
    <m/>
    <m/>
    <n v="1"/>
    <x v="7"/>
    <n v="0"/>
    <n v="0"/>
    <n v="0"/>
  </r>
  <r>
    <s v="LD5842"/>
    <d v="2024-10-26T00:00:00"/>
    <x v="0"/>
    <s v="Instagram Ads"/>
    <s v="Desktop"/>
    <s v="Latin America"/>
    <s v="MQL"/>
    <m/>
    <m/>
    <m/>
    <n v="2"/>
    <x v="5"/>
    <n v="1"/>
    <n v="0"/>
    <n v="0"/>
  </r>
  <r>
    <s v="LD4595"/>
    <d v="2024-08-07T00:00:00"/>
    <x v="1"/>
    <s v="Google Ads - Brand"/>
    <s v="Mobile"/>
    <s v="Europe"/>
    <s v="Lead"/>
    <m/>
    <m/>
    <m/>
    <n v="1"/>
    <x v="6"/>
    <n v="0"/>
    <n v="0"/>
    <n v="0"/>
  </r>
  <r>
    <s v="LD2921"/>
    <d v="2024-04-21T00:00:00"/>
    <x v="4"/>
    <s v="Partner Program"/>
    <s v="Mobile"/>
    <s v="Europe"/>
    <s v="Lead"/>
    <m/>
    <m/>
    <m/>
    <n v="1"/>
    <x v="1"/>
    <n v="0"/>
    <n v="0"/>
    <n v="0"/>
  </r>
  <r>
    <s v="LD1514"/>
    <d v="2024-02-12T00:00:00"/>
    <x v="5"/>
    <s v="Landing Page SEO"/>
    <s v="Desktop"/>
    <s v="Europe"/>
    <s v="MQL"/>
    <m/>
    <m/>
    <m/>
    <n v="2"/>
    <x v="10"/>
    <n v="1"/>
    <n v="0"/>
    <n v="0"/>
  </r>
  <r>
    <s v="LD5178"/>
    <d v="2024-09-22T00:00:00"/>
    <x v="1"/>
    <s v="Google Ads - Brand"/>
    <s v="Desktop"/>
    <s v="North America"/>
    <s v="MQL"/>
    <m/>
    <m/>
    <m/>
    <n v="2"/>
    <x v="9"/>
    <n v="1"/>
    <n v="0"/>
    <n v="0"/>
  </r>
  <r>
    <s v="LD2309"/>
    <d v="2024-03-13T00:00:00"/>
    <x v="3"/>
    <s v="Promo Blast"/>
    <s v="Desktop"/>
    <s v="Latin America"/>
    <s v="Customer"/>
    <n v="18"/>
    <s v="Basic"/>
    <n v="1452.16"/>
    <n v="4"/>
    <x v="8"/>
    <n v="1"/>
    <n v="1"/>
    <n v="1"/>
  </r>
  <r>
    <s v="LD1915"/>
    <d v="2024-02-10T00:00:00"/>
    <x v="2"/>
    <s v="Direct / Type-in"/>
    <s v="Desktop"/>
    <s v="North America"/>
    <s v="MQL"/>
    <m/>
    <m/>
    <m/>
    <n v="2"/>
    <x v="10"/>
    <n v="1"/>
    <n v="0"/>
    <n v="0"/>
  </r>
  <r>
    <s v="LD4453"/>
    <d v="2024-07-07T00:00:00"/>
    <x v="2"/>
    <s v="Direct / Type-in"/>
    <s v="Mobile"/>
    <s v="Asia Pacific"/>
    <s v="Customer"/>
    <n v="69"/>
    <s v="Pro"/>
    <n v="1779.25"/>
    <n v="4"/>
    <x v="0"/>
    <n v="1"/>
    <n v="1"/>
    <n v="1"/>
  </r>
  <r>
    <s v="LD4696"/>
    <d v="2024-08-01T00:00:00"/>
    <x v="0"/>
    <s v="Instagram Ads"/>
    <s v="Mobile"/>
    <s v="Europe"/>
    <s v="Lead"/>
    <m/>
    <m/>
    <m/>
    <n v="1"/>
    <x v="6"/>
    <n v="0"/>
    <n v="0"/>
    <n v="0"/>
  </r>
  <r>
    <s v="LD5243"/>
    <d v="2024-09-23T00:00:00"/>
    <x v="0"/>
    <s v="Instagram Ads"/>
    <s v="Desktop"/>
    <s v="Latin America"/>
    <s v="Lead"/>
    <m/>
    <m/>
    <m/>
    <n v="1"/>
    <x v="9"/>
    <n v="0"/>
    <n v="0"/>
    <n v="0"/>
  </r>
  <r>
    <s v="LD4157"/>
    <d v="2024-07-21T00:00:00"/>
    <x v="1"/>
    <s v="Google Ads - Brand"/>
    <s v="Mobile"/>
    <s v="Asia Pacific"/>
    <s v="Lead"/>
    <m/>
    <m/>
    <m/>
    <n v="1"/>
    <x v="0"/>
    <n v="0"/>
    <n v="0"/>
    <n v="0"/>
  </r>
  <r>
    <s v="LD3199"/>
    <d v="2024-05-09T00:00:00"/>
    <x v="1"/>
    <s v="Google Ads - Brand"/>
    <s v="Mobile"/>
    <s v="North America"/>
    <s v="MQL"/>
    <m/>
    <m/>
    <m/>
    <n v="2"/>
    <x v="4"/>
    <n v="1"/>
    <n v="0"/>
    <n v="0"/>
  </r>
  <r>
    <s v="LD1775"/>
    <d v="2024-02-12T00:00:00"/>
    <x v="3"/>
    <s v="Promo Blast"/>
    <s v="Mobile"/>
    <s v="North America"/>
    <s v="SQL"/>
    <m/>
    <m/>
    <m/>
    <n v="3"/>
    <x v="10"/>
    <n v="1"/>
    <n v="1"/>
    <n v="0"/>
  </r>
  <r>
    <s v="LD5426"/>
    <d v="2024-09-26T00:00:00"/>
    <x v="3"/>
    <s v="Promo Blast"/>
    <s v="Desktop"/>
    <s v="Europe"/>
    <s v="SQL"/>
    <m/>
    <m/>
    <m/>
    <n v="3"/>
    <x v="9"/>
    <n v="1"/>
    <n v="1"/>
    <n v="0"/>
  </r>
  <r>
    <s v="LD1944"/>
    <d v="2024-02-08T00:00:00"/>
    <x v="2"/>
    <s v="Direct / Type-in"/>
    <s v="Desktop"/>
    <s v="Asia Pacific"/>
    <s v="Customer"/>
    <n v="49"/>
    <s v="Pro"/>
    <n v="4588.41"/>
    <n v="4"/>
    <x v="10"/>
    <n v="1"/>
    <n v="1"/>
    <n v="1"/>
  </r>
  <r>
    <s v="LD1823"/>
    <d v="2024-02-24T00:00:00"/>
    <x v="4"/>
    <s v="Partner Program"/>
    <s v="Mobile"/>
    <s v="Europe"/>
    <s v="MQL"/>
    <m/>
    <m/>
    <m/>
    <n v="2"/>
    <x v="10"/>
    <n v="1"/>
    <n v="0"/>
    <n v="0"/>
  </r>
  <r>
    <s v="LD6006"/>
    <d v="2024-10-11T00:00:00"/>
    <x v="3"/>
    <s v="Monthly Newsletter"/>
    <s v="Mobile"/>
    <s v="North America"/>
    <s v="Lead"/>
    <m/>
    <m/>
    <m/>
    <n v="1"/>
    <x v="5"/>
    <n v="0"/>
    <n v="0"/>
    <n v="0"/>
  </r>
  <r>
    <s v="LD5278"/>
    <d v="2024-09-02T00:00:00"/>
    <x v="0"/>
    <s v="Facebook Ads"/>
    <s v="Mobile"/>
    <s v="Asia Pacific"/>
    <s v="Lead"/>
    <m/>
    <m/>
    <m/>
    <n v="1"/>
    <x v="9"/>
    <n v="0"/>
    <n v="0"/>
    <n v="0"/>
  </r>
  <r>
    <s v="LD1165"/>
    <d v="2024-01-02T00:00:00"/>
    <x v="1"/>
    <s v="Google Ads - Generic"/>
    <s v="Mobile"/>
    <s v="North America"/>
    <s v="SQL"/>
    <m/>
    <m/>
    <m/>
    <n v="3"/>
    <x v="3"/>
    <n v="1"/>
    <n v="1"/>
    <n v="0"/>
  </r>
  <r>
    <s v="LD5548"/>
    <d v="2024-09-08T00:00:00"/>
    <x v="2"/>
    <s v="Direct / Type-in"/>
    <s v="Desktop"/>
    <s v="North America"/>
    <s v="Lead"/>
    <m/>
    <m/>
    <m/>
    <n v="1"/>
    <x v="9"/>
    <n v="0"/>
    <n v="0"/>
    <n v="0"/>
  </r>
  <r>
    <s v="LD4984"/>
    <d v="2024-08-12T00:00:00"/>
    <x v="2"/>
    <s v="Direct / Type-in"/>
    <s v="Tablet"/>
    <s v="Europe"/>
    <s v="Lead"/>
    <m/>
    <m/>
    <m/>
    <n v="1"/>
    <x v="6"/>
    <n v="0"/>
    <n v="0"/>
    <n v="0"/>
  </r>
  <r>
    <s v="LD3539"/>
    <d v="2024-05-13T00:00:00"/>
    <x v="2"/>
    <s v="Direct / Type-in"/>
    <s v="Tablet"/>
    <s v="North America"/>
    <s v="Lead"/>
    <m/>
    <m/>
    <m/>
    <n v="1"/>
    <x v="4"/>
    <n v="0"/>
    <n v="0"/>
    <n v="0"/>
  </r>
  <r>
    <s v="LD7469"/>
    <d v="2024-12-28T00:00:00"/>
    <x v="3"/>
    <s v="Monthly Newsletter"/>
    <s v="Desktop"/>
    <s v="North America"/>
    <s v="Lead"/>
    <m/>
    <m/>
    <m/>
    <n v="1"/>
    <x v="7"/>
    <n v="0"/>
    <n v="0"/>
    <n v="0"/>
  </r>
  <r>
    <s v="LD2312"/>
    <d v="2024-03-09T00:00:00"/>
    <x v="3"/>
    <s v="Promo Blast"/>
    <s v="Tablet"/>
    <s v="Asia Pacific"/>
    <s v="SQL"/>
    <m/>
    <m/>
    <m/>
    <n v="3"/>
    <x v="8"/>
    <n v="1"/>
    <n v="1"/>
    <n v="0"/>
  </r>
  <r>
    <s v="LD6208"/>
    <d v="2024-10-08T00:00:00"/>
    <x v="4"/>
    <s v="Partner Program"/>
    <s v="Desktop"/>
    <s v="North America"/>
    <s v="MQL"/>
    <m/>
    <m/>
    <m/>
    <n v="2"/>
    <x v="5"/>
    <n v="1"/>
    <n v="0"/>
    <n v="0"/>
  </r>
  <r>
    <s v="LD7163"/>
    <d v="2024-12-14T00:00:00"/>
    <x v="5"/>
    <s v="Landing Page SEO"/>
    <s v="Desktop"/>
    <s v="Asia Pacific"/>
    <s v="Customer"/>
    <n v="38"/>
    <s v="Basic"/>
    <n v="1273.28"/>
    <n v="4"/>
    <x v="7"/>
    <n v="1"/>
    <n v="1"/>
    <n v="1"/>
  </r>
  <r>
    <s v="LD6384"/>
    <d v="2024-11-11T00:00:00"/>
    <x v="5"/>
    <s v="Blog SEO"/>
    <s v="Mobile"/>
    <s v="North America"/>
    <s v="MQL"/>
    <m/>
    <m/>
    <m/>
    <n v="2"/>
    <x v="2"/>
    <n v="1"/>
    <n v="0"/>
    <n v="0"/>
  </r>
  <r>
    <s v="LD6656"/>
    <d v="2024-11-04T00:00:00"/>
    <x v="0"/>
    <s v="LinkedIn Ads"/>
    <s v="Desktop"/>
    <s v="North America"/>
    <s v="Lead"/>
    <m/>
    <m/>
    <m/>
    <n v="1"/>
    <x v="2"/>
    <n v="0"/>
    <n v="0"/>
    <n v="0"/>
  </r>
  <r>
    <s v="LD7292"/>
    <d v="2024-12-18T00:00:00"/>
    <x v="1"/>
    <s v="Google Ads - Brand"/>
    <s v="Mobile"/>
    <s v="Europe"/>
    <s v="MQL"/>
    <m/>
    <m/>
    <m/>
    <n v="2"/>
    <x v="7"/>
    <n v="1"/>
    <n v="0"/>
    <n v="0"/>
  </r>
  <r>
    <s v="LD4301"/>
    <d v="2024-07-18T00:00:00"/>
    <x v="3"/>
    <s v="Promo Blast"/>
    <s v="Desktop"/>
    <s v="North America"/>
    <s v="Lead"/>
    <m/>
    <m/>
    <m/>
    <n v="1"/>
    <x v="0"/>
    <n v="0"/>
    <n v="0"/>
    <n v="0"/>
  </r>
  <r>
    <s v="LD4311"/>
    <d v="2024-07-20T00:00:00"/>
    <x v="3"/>
    <s v="Promo Blast"/>
    <s v="Desktop"/>
    <s v="North America"/>
    <s v="SQL"/>
    <m/>
    <m/>
    <m/>
    <n v="3"/>
    <x v="0"/>
    <n v="1"/>
    <n v="1"/>
    <n v="0"/>
  </r>
  <r>
    <s v="LD1328"/>
    <d v="2024-01-04T00:00:00"/>
    <x v="3"/>
    <s v="Monthly Newsletter"/>
    <s v="Desktop"/>
    <s v="North America"/>
    <s v="MQL"/>
    <m/>
    <m/>
    <m/>
    <n v="2"/>
    <x v="3"/>
    <n v="1"/>
    <n v="0"/>
    <n v="0"/>
  </r>
  <r>
    <s v="LD3491"/>
    <d v="2024-05-14T00:00:00"/>
    <x v="4"/>
    <s v="Affiliate Program"/>
    <s v="Desktop"/>
    <s v="Europe"/>
    <s v="MQL"/>
    <m/>
    <m/>
    <m/>
    <n v="2"/>
    <x v="4"/>
    <n v="1"/>
    <n v="0"/>
    <n v="0"/>
  </r>
  <r>
    <s v="LD7351"/>
    <d v="2024-12-20T00:00:00"/>
    <x v="0"/>
    <s v="LinkedIn Ads"/>
    <s v="Desktop"/>
    <s v="Asia Pacific"/>
    <s v="Lead"/>
    <m/>
    <m/>
    <m/>
    <n v="1"/>
    <x v="7"/>
    <n v="0"/>
    <n v="0"/>
    <n v="0"/>
  </r>
  <r>
    <s v="LD5409"/>
    <d v="2024-09-15T00:00:00"/>
    <x v="3"/>
    <s v="Promo Blast"/>
    <s v="Desktop"/>
    <s v="Europe"/>
    <s v="Lead"/>
    <m/>
    <m/>
    <m/>
    <n v="1"/>
    <x v="9"/>
    <n v="0"/>
    <n v="0"/>
    <n v="0"/>
  </r>
  <r>
    <s v="LD1833"/>
    <d v="2024-02-08T00:00:00"/>
    <x v="4"/>
    <s v="Partner Program"/>
    <s v="Mobile"/>
    <s v="Europe"/>
    <s v="Lead"/>
    <m/>
    <m/>
    <m/>
    <n v="1"/>
    <x v="10"/>
    <n v="0"/>
    <n v="0"/>
    <n v="0"/>
  </r>
  <r>
    <s v="LD4080"/>
    <d v="2024-07-09T00:00:00"/>
    <x v="5"/>
    <s v="Landing Page SEO"/>
    <s v="Tablet"/>
    <s v="Europe"/>
    <s v="Lead"/>
    <m/>
    <m/>
    <m/>
    <n v="1"/>
    <x v="0"/>
    <n v="0"/>
    <n v="0"/>
    <n v="0"/>
  </r>
  <r>
    <s v="LD4463"/>
    <d v="2024-07-04T00:00:00"/>
    <x v="2"/>
    <s v="Direct / Type-in"/>
    <s v="Desktop"/>
    <s v="North America"/>
    <s v="Lead"/>
    <m/>
    <m/>
    <m/>
    <n v="1"/>
    <x v="0"/>
    <n v="0"/>
    <n v="0"/>
    <n v="0"/>
  </r>
  <r>
    <s v="LD6298"/>
    <d v="2024-10-28T00:00:00"/>
    <x v="2"/>
    <s v="Direct / Type-in"/>
    <s v="Desktop"/>
    <s v="Europe"/>
    <s v="Lead"/>
    <m/>
    <m/>
    <m/>
    <n v="1"/>
    <x v="5"/>
    <n v="0"/>
    <n v="0"/>
    <n v="0"/>
  </r>
  <r>
    <s v="LD6940"/>
    <d v="2024-11-05T00:00:00"/>
    <x v="4"/>
    <s v="Partner Program"/>
    <s v="Desktop"/>
    <s v="Asia Pacific"/>
    <s v="MQL"/>
    <m/>
    <m/>
    <m/>
    <n v="2"/>
    <x v="2"/>
    <n v="1"/>
    <n v="0"/>
    <n v="0"/>
  </r>
  <r>
    <s v="LD1055"/>
    <d v="2024-01-05T00:00:00"/>
    <x v="5"/>
    <s v="Blog SEO"/>
    <s v="Mobile"/>
    <s v="Europe"/>
    <s v="SQL"/>
    <m/>
    <m/>
    <m/>
    <n v="3"/>
    <x v="3"/>
    <n v="1"/>
    <n v="1"/>
    <n v="0"/>
  </r>
  <r>
    <s v="LD5065"/>
    <d v="2024-09-16T00:00:00"/>
    <x v="5"/>
    <s v="Blog SEO"/>
    <s v="Desktop"/>
    <s v="Asia Pacific"/>
    <s v="SQL"/>
    <m/>
    <m/>
    <m/>
    <n v="3"/>
    <x v="9"/>
    <n v="1"/>
    <n v="1"/>
    <n v="0"/>
  </r>
  <r>
    <s v="LD4452"/>
    <d v="2024-07-13T00:00:00"/>
    <x v="2"/>
    <s v="Direct / Type-in"/>
    <s v="Desktop"/>
    <s v="Europe"/>
    <s v="Lead"/>
    <m/>
    <m/>
    <m/>
    <n v="1"/>
    <x v="0"/>
    <n v="0"/>
    <n v="0"/>
    <n v="0"/>
  </r>
  <r>
    <s v="LD2902"/>
    <d v="2024-04-15T00:00:00"/>
    <x v="4"/>
    <s v="Affiliate Program"/>
    <s v="Desktop"/>
    <s v="North America"/>
    <s v="Lead"/>
    <m/>
    <m/>
    <m/>
    <n v="1"/>
    <x v="1"/>
    <n v="0"/>
    <n v="0"/>
    <n v="0"/>
  </r>
  <r>
    <s v="LD2482"/>
    <d v="2024-04-03T00:00:00"/>
    <x v="5"/>
    <s v="Blog SEO"/>
    <s v="Desktop"/>
    <s v="Europe"/>
    <s v="MQL"/>
    <m/>
    <m/>
    <m/>
    <n v="2"/>
    <x v="1"/>
    <n v="1"/>
    <n v="0"/>
    <n v="0"/>
  </r>
  <r>
    <s v="LD5874"/>
    <d v="2024-10-10T00:00:00"/>
    <x v="0"/>
    <s v="Instagram Ads"/>
    <s v="Desktop"/>
    <s v="Europe"/>
    <s v="MQL"/>
    <m/>
    <m/>
    <m/>
    <n v="2"/>
    <x v="5"/>
    <n v="1"/>
    <n v="0"/>
    <n v="0"/>
  </r>
  <r>
    <s v="LD5896"/>
    <d v="2024-10-10T00:00:00"/>
    <x v="0"/>
    <s v="LinkedIn Ads"/>
    <s v="Tablet"/>
    <s v="Latin America"/>
    <s v="Lead"/>
    <m/>
    <m/>
    <m/>
    <n v="1"/>
    <x v="5"/>
    <n v="0"/>
    <n v="0"/>
    <n v="0"/>
  </r>
  <r>
    <s v="LD5151"/>
    <d v="2024-09-10T00:00:00"/>
    <x v="1"/>
    <s v="Google Ads - Generic"/>
    <s v="Mobile"/>
    <s v="North America"/>
    <s v="Lead"/>
    <m/>
    <m/>
    <m/>
    <n v="1"/>
    <x v="9"/>
    <n v="0"/>
    <n v="0"/>
    <n v="0"/>
  </r>
  <r>
    <s v="LD4336"/>
    <d v="2024-07-09T00:00:00"/>
    <x v="3"/>
    <s v="Promo Blast"/>
    <s v="Desktop"/>
    <s v="North America"/>
    <s v="Lead"/>
    <m/>
    <m/>
    <m/>
    <n v="1"/>
    <x v="0"/>
    <n v="0"/>
    <n v="0"/>
    <n v="0"/>
  </r>
  <r>
    <s v="LD5927"/>
    <d v="2024-10-12T00:00:00"/>
    <x v="0"/>
    <s v="LinkedIn Ads"/>
    <s v="Mobile"/>
    <s v="North America"/>
    <s v="Lead"/>
    <m/>
    <m/>
    <m/>
    <n v="1"/>
    <x v="5"/>
    <n v="0"/>
    <n v="0"/>
    <n v="0"/>
  </r>
  <r>
    <s v="LD1947"/>
    <d v="2024-03-26T00:00:00"/>
    <x v="5"/>
    <s v="Blog SEO"/>
    <s v="Desktop"/>
    <s v="Europe"/>
    <s v="Lead"/>
    <m/>
    <m/>
    <m/>
    <n v="1"/>
    <x v="8"/>
    <n v="0"/>
    <n v="0"/>
    <n v="0"/>
  </r>
  <r>
    <s v="LD4294"/>
    <d v="2024-07-28T00:00:00"/>
    <x v="3"/>
    <s v="Promo Blast"/>
    <s v="Desktop"/>
    <s v="North America"/>
    <s v="Lead"/>
    <m/>
    <m/>
    <m/>
    <n v="1"/>
    <x v="0"/>
    <n v="0"/>
    <n v="0"/>
    <n v="0"/>
  </r>
  <r>
    <s v="LD3162"/>
    <d v="2024-05-03T00:00:00"/>
    <x v="1"/>
    <s v="Google Ads - Generic"/>
    <s v="Tablet"/>
    <s v="North America"/>
    <s v="Lead"/>
    <m/>
    <m/>
    <m/>
    <n v="1"/>
    <x v="4"/>
    <n v="0"/>
    <n v="0"/>
    <n v="0"/>
  </r>
  <r>
    <s v="LD7568"/>
    <d v="2024-12-15T00:00:00"/>
    <x v="3"/>
    <s v="Monthly Newsletter"/>
    <s v="Mobile"/>
    <s v="Europe"/>
    <s v="SQL"/>
    <m/>
    <m/>
    <m/>
    <n v="3"/>
    <x v="7"/>
    <n v="1"/>
    <n v="1"/>
    <n v="0"/>
  </r>
  <r>
    <s v="LD6084"/>
    <d v="2024-10-12T00:00:00"/>
    <x v="3"/>
    <s v="Promo Blast"/>
    <s v="Mobile"/>
    <s v="North America"/>
    <s v="Lead"/>
    <m/>
    <m/>
    <m/>
    <n v="1"/>
    <x v="5"/>
    <n v="0"/>
    <n v="0"/>
    <n v="0"/>
  </r>
  <r>
    <s v="LD6743"/>
    <d v="2024-11-27T00:00:00"/>
    <x v="3"/>
    <s v="Promo Blast"/>
    <s v="Desktop"/>
    <s v="Latin America"/>
    <s v="MQL"/>
    <m/>
    <m/>
    <m/>
    <n v="2"/>
    <x v="2"/>
    <n v="1"/>
    <n v="0"/>
    <n v="0"/>
  </r>
  <r>
    <s v="LD4058"/>
    <d v="2024-07-19T00:00:00"/>
    <x v="5"/>
    <s v="Landing Page SEO"/>
    <s v="Mobile"/>
    <s v="Europe"/>
    <s v="SQL"/>
    <m/>
    <m/>
    <m/>
    <n v="3"/>
    <x v="0"/>
    <n v="1"/>
    <n v="1"/>
    <n v="0"/>
  </r>
  <r>
    <s v="LD6491"/>
    <d v="2024-11-10T00:00:00"/>
    <x v="1"/>
    <s v="Google Ads - Generic"/>
    <s v="Desktop"/>
    <s v="Latin America"/>
    <s v="Lead"/>
    <m/>
    <m/>
    <m/>
    <n v="1"/>
    <x v="2"/>
    <n v="0"/>
    <n v="0"/>
    <n v="0"/>
  </r>
  <r>
    <s v="LD1769"/>
    <d v="2024-02-09T00:00:00"/>
    <x v="3"/>
    <s v="Promo Blast"/>
    <s v="Desktop"/>
    <s v="Europe"/>
    <s v="MQL"/>
    <m/>
    <m/>
    <m/>
    <n v="2"/>
    <x v="10"/>
    <n v="1"/>
    <n v="0"/>
    <n v="0"/>
  </r>
  <r>
    <s v="LD7373"/>
    <d v="2024-12-10T00:00:00"/>
    <x v="0"/>
    <s v="LinkedIn Ads"/>
    <s v="Mobile"/>
    <s v="Europe"/>
    <s v="MQL"/>
    <m/>
    <m/>
    <m/>
    <n v="2"/>
    <x v="7"/>
    <n v="1"/>
    <n v="0"/>
    <n v="0"/>
  </r>
  <r>
    <s v="LD4496"/>
    <d v="2024-08-28T00:00:00"/>
    <x v="5"/>
    <s v="Blog SEO"/>
    <s v="Mobile"/>
    <s v="Europe"/>
    <s v="Lead"/>
    <m/>
    <m/>
    <m/>
    <n v="1"/>
    <x v="6"/>
    <n v="0"/>
    <n v="0"/>
    <n v="0"/>
  </r>
  <r>
    <s v="LD1286"/>
    <d v="2024-01-09T00:00:00"/>
    <x v="3"/>
    <s v="Monthly Newsletter"/>
    <s v="Desktop"/>
    <s v="Europe"/>
    <s v="MQL"/>
    <m/>
    <m/>
    <m/>
    <n v="2"/>
    <x v="3"/>
    <n v="1"/>
    <n v="0"/>
    <n v="0"/>
  </r>
  <r>
    <s v="LD7703"/>
    <d v="2024-12-18T00:00:00"/>
    <x v="4"/>
    <s v="Partner Program"/>
    <s v="Mobile"/>
    <s v="North America"/>
    <s v="MQL"/>
    <m/>
    <m/>
    <m/>
    <n v="2"/>
    <x v="7"/>
    <n v="1"/>
    <n v="0"/>
    <n v="0"/>
  </r>
  <r>
    <s v="LD5525"/>
    <d v="2024-09-19T00:00:00"/>
    <x v="4"/>
    <s v="Affiliate Program"/>
    <s v="Desktop"/>
    <s v="North America"/>
    <s v="MQL"/>
    <m/>
    <m/>
    <m/>
    <n v="2"/>
    <x v="9"/>
    <n v="1"/>
    <n v="0"/>
    <n v="0"/>
  </r>
  <r>
    <s v="LD7029"/>
    <d v="2024-11-08T00:00:00"/>
    <x v="2"/>
    <s v="Direct / Type-in"/>
    <s v="Desktop"/>
    <s v="North America"/>
    <s v="Lead"/>
    <m/>
    <m/>
    <m/>
    <n v="1"/>
    <x v="2"/>
    <n v="0"/>
    <n v="0"/>
    <n v="0"/>
  </r>
  <r>
    <s v="LD3333"/>
    <d v="2024-05-17T00:00:00"/>
    <x v="3"/>
    <s v="Monthly Newsletter"/>
    <s v="Desktop"/>
    <s v="Asia Pacific"/>
    <s v="Customer"/>
    <n v="64"/>
    <s v="Enterprise"/>
    <n v="10062.77"/>
    <n v="4"/>
    <x v="4"/>
    <n v="1"/>
    <n v="1"/>
    <n v="1"/>
  </r>
  <r>
    <s v="LD3718"/>
    <d v="2024-06-03T00:00:00"/>
    <x v="1"/>
    <s v="Google Ads - Generic"/>
    <s v="Mobile"/>
    <s v="North America"/>
    <s v="MQL"/>
    <m/>
    <m/>
    <m/>
    <n v="2"/>
    <x v="11"/>
    <n v="1"/>
    <n v="0"/>
    <n v="0"/>
  </r>
  <r>
    <s v="LD3080"/>
    <d v="2024-05-10T00:00:00"/>
    <x v="5"/>
    <s v="Blog SEO"/>
    <s v="Mobile"/>
    <s v="North America"/>
    <s v="Lead"/>
    <m/>
    <m/>
    <m/>
    <n v="1"/>
    <x v="4"/>
    <n v="0"/>
    <n v="0"/>
    <n v="0"/>
  </r>
  <r>
    <s v="LD4390"/>
    <d v="2024-07-15T00:00:00"/>
    <x v="4"/>
    <s v="Affiliate Program"/>
    <s v="Mobile"/>
    <s v="North America"/>
    <s v="SQL"/>
    <m/>
    <m/>
    <m/>
    <n v="3"/>
    <x v="0"/>
    <n v="1"/>
    <n v="1"/>
    <n v="0"/>
  </r>
  <r>
    <s v="LD1723"/>
    <d v="2024-02-27T00:00:00"/>
    <x v="3"/>
    <s v="Promo Blast"/>
    <s v="Mobile"/>
    <s v="Europe"/>
    <s v="SQL"/>
    <m/>
    <m/>
    <m/>
    <n v="3"/>
    <x v="10"/>
    <n v="1"/>
    <n v="1"/>
    <n v="0"/>
  </r>
  <r>
    <s v="LD1952"/>
    <d v="2024-03-23T00:00:00"/>
    <x v="5"/>
    <s v="Landing Page SEO"/>
    <s v="Desktop"/>
    <s v="Europe"/>
    <s v="SQL"/>
    <m/>
    <m/>
    <m/>
    <n v="3"/>
    <x v="8"/>
    <n v="1"/>
    <n v="1"/>
    <n v="0"/>
  </r>
  <r>
    <s v="LD6909"/>
    <d v="2024-11-12T00:00:00"/>
    <x v="4"/>
    <s v="Affiliate Program"/>
    <s v="Mobile"/>
    <s v="Europe"/>
    <s v="MQL"/>
    <m/>
    <m/>
    <m/>
    <n v="2"/>
    <x v="2"/>
    <n v="1"/>
    <n v="0"/>
    <n v="0"/>
  </r>
  <r>
    <s v="LD3263"/>
    <d v="2024-05-04T00:00:00"/>
    <x v="0"/>
    <s v="Instagram Ads"/>
    <s v="Tablet"/>
    <s v="North America"/>
    <s v="Lead"/>
    <m/>
    <m/>
    <m/>
    <n v="1"/>
    <x v="4"/>
    <n v="0"/>
    <n v="0"/>
    <n v="0"/>
  </r>
  <r>
    <s v="LD1990"/>
    <d v="2024-03-19T00:00:00"/>
    <x v="5"/>
    <s v="Blog SEO"/>
    <s v="Desktop"/>
    <s v="Europe"/>
    <s v="Lead"/>
    <m/>
    <m/>
    <m/>
    <n v="1"/>
    <x v="8"/>
    <n v="0"/>
    <n v="0"/>
    <n v="0"/>
  </r>
  <r>
    <s v="LD4213"/>
    <d v="2024-07-06T00:00:00"/>
    <x v="0"/>
    <s v="LinkedIn Ads"/>
    <s v="Tablet"/>
    <s v="Europe"/>
    <s v="Lead"/>
    <m/>
    <m/>
    <m/>
    <n v="1"/>
    <x v="0"/>
    <n v="0"/>
    <n v="0"/>
    <n v="0"/>
  </r>
  <r>
    <s v="LD2760"/>
    <d v="2024-04-08T00:00:00"/>
    <x v="3"/>
    <s v="Monthly Newsletter"/>
    <s v="Mobile"/>
    <s v="North America"/>
    <s v="MQL"/>
    <m/>
    <m/>
    <m/>
    <n v="2"/>
    <x v="1"/>
    <n v="1"/>
    <n v="0"/>
    <n v="0"/>
  </r>
  <r>
    <s v="LD6571"/>
    <d v="2024-11-01T00:00:00"/>
    <x v="1"/>
    <s v="Google Ads - Generic"/>
    <s v="Mobile"/>
    <s v="North America"/>
    <s v="Lead"/>
    <m/>
    <m/>
    <m/>
    <n v="1"/>
    <x v="2"/>
    <n v="0"/>
    <n v="0"/>
    <n v="0"/>
  </r>
  <r>
    <s v="LD5423"/>
    <d v="2024-09-28T00:00:00"/>
    <x v="3"/>
    <s v="Monthly Newsletter"/>
    <s v="Desktop"/>
    <s v="Asia Pacific"/>
    <s v="MQL"/>
    <m/>
    <m/>
    <m/>
    <n v="2"/>
    <x v="9"/>
    <n v="1"/>
    <n v="0"/>
    <n v="0"/>
  </r>
  <r>
    <s v="LD6480"/>
    <d v="2024-11-18T00:00:00"/>
    <x v="1"/>
    <s v="Google Ads - Brand"/>
    <s v="Mobile"/>
    <s v="Europe"/>
    <s v="SQL"/>
    <m/>
    <m/>
    <m/>
    <n v="3"/>
    <x v="2"/>
    <n v="1"/>
    <n v="1"/>
    <n v="0"/>
  </r>
  <r>
    <s v="LD2725"/>
    <d v="2024-04-05T00:00:00"/>
    <x v="0"/>
    <s v="Instagram Ads"/>
    <s v="Desktop"/>
    <s v="North America"/>
    <s v="MQL"/>
    <m/>
    <m/>
    <m/>
    <n v="2"/>
    <x v="1"/>
    <n v="1"/>
    <n v="0"/>
    <n v="0"/>
  </r>
  <r>
    <s v="LD6183"/>
    <d v="2024-10-18T00:00:00"/>
    <x v="4"/>
    <s v="Affiliate Program"/>
    <s v="Desktop"/>
    <s v="North America"/>
    <s v="Lead"/>
    <m/>
    <m/>
    <m/>
    <n v="1"/>
    <x v="5"/>
    <n v="0"/>
    <n v="0"/>
    <n v="0"/>
  </r>
  <r>
    <s v="LD1342"/>
    <d v="2024-01-18T00:00:00"/>
    <x v="3"/>
    <s v="Monthly Newsletter"/>
    <s v="Mobile"/>
    <s v="North America"/>
    <s v="Lead"/>
    <m/>
    <m/>
    <m/>
    <n v="1"/>
    <x v="3"/>
    <n v="0"/>
    <n v="0"/>
    <n v="0"/>
  </r>
  <r>
    <s v="LD4702"/>
    <d v="2024-08-09T00:00:00"/>
    <x v="0"/>
    <s v="LinkedIn Ads"/>
    <s v="Desktop"/>
    <s v="North America"/>
    <s v="Lead"/>
    <m/>
    <m/>
    <m/>
    <n v="1"/>
    <x v="6"/>
    <n v="0"/>
    <n v="0"/>
    <n v="0"/>
  </r>
  <r>
    <s v="LD5244"/>
    <d v="2024-09-23T00:00:00"/>
    <x v="0"/>
    <s v="Facebook Ads"/>
    <s v="Mobile"/>
    <s v="Europe"/>
    <s v="MQL"/>
    <m/>
    <m/>
    <m/>
    <n v="2"/>
    <x v="9"/>
    <n v="1"/>
    <n v="0"/>
    <n v="0"/>
  </r>
  <r>
    <s v="LD1689"/>
    <d v="2024-02-06T00:00:00"/>
    <x v="0"/>
    <s v="LinkedIn Ads"/>
    <s v="Desktop"/>
    <s v="Europe"/>
    <s v="MQL"/>
    <m/>
    <m/>
    <m/>
    <n v="2"/>
    <x v="10"/>
    <n v="1"/>
    <n v="0"/>
    <n v="0"/>
  </r>
  <r>
    <s v="LD4433"/>
    <d v="2024-07-07T00:00:00"/>
    <x v="4"/>
    <s v="Affiliate Program"/>
    <s v="Mobile"/>
    <s v="Europe"/>
    <s v="Lead"/>
    <m/>
    <m/>
    <m/>
    <n v="1"/>
    <x v="0"/>
    <n v="0"/>
    <n v="0"/>
    <n v="0"/>
  </r>
  <r>
    <s v="LD6204"/>
    <d v="2024-10-26T00:00:00"/>
    <x v="4"/>
    <s v="Affiliate Program"/>
    <s v="Desktop"/>
    <s v="North America"/>
    <s v="Lead"/>
    <m/>
    <m/>
    <m/>
    <n v="1"/>
    <x v="5"/>
    <n v="0"/>
    <n v="0"/>
    <n v="0"/>
  </r>
  <r>
    <s v="LD5945"/>
    <d v="2024-10-14T00:00:00"/>
    <x v="0"/>
    <s v="Instagram Ads"/>
    <s v="Desktop"/>
    <s v="Europe"/>
    <s v="Lead"/>
    <m/>
    <m/>
    <m/>
    <n v="1"/>
    <x v="5"/>
    <n v="0"/>
    <n v="0"/>
    <n v="0"/>
  </r>
  <r>
    <s v="LD1967"/>
    <d v="2024-03-13T00:00:00"/>
    <x v="5"/>
    <s v="Landing Page SEO"/>
    <s v="Desktop"/>
    <s v="North America"/>
    <s v="MQL"/>
    <m/>
    <m/>
    <m/>
    <n v="2"/>
    <x v="8"/>
    <n v="1"/>
    <n v="0"/>
    <n v="0"/>
  </r>
  <r>
    <s v="LD7402"/>
    <d v="2024-12-01T00:00:00"/>
    <x v="0"/>
    <s v="LinkedIn Ads"/>
    <s v="Tablet"/>
    <s v="Latin America"/>
    <s v="MQL"/>
    <m/>
    <m/>
    <m/>
    <n v="2"/>
    <x v="7"/>
    <n v="1"/>
    <n v="0"/>
    <n v="0"/>
  </r>
  <r>
    <s v="LD3204"/>
    <d v="2024-05-09T00:00:00"/>
    <x v="1"/>
    <s v="Google Ads - Generic"/>
    <s v="Desktop"/>
    <s v="North America"/>
    <s v="Lead"/>
    <m/>
    <m/>
    <m/>
    <n v="1"/>
    <x v="4"/>
    <n v="0"/>
    <n v="0"/>
    <n v="0"/>
  </r>
  <r>
    <s v="LD3714"/>
    <d v="2024-06-23T00:00:00"/>
    <x v="1"/>
    <s v="Google Ads - Brand"/>
    <s v="Desktop"/>
    <s v="North America"/>
    <s v="Customer"/>
    <n v="65"/>
    <s v="Basic"/>
    <n v="1221.25"/>
    <n v="4"/>
    <x v="11"/>
    <n v="1"/>
    <n v="1"/>
    <n v="1"/>
  </r>
  <r>
    <s v="LD5758"/>
    <d v="2024-10-21T00:00:00"/>
    <x v="1"/>
    <s v="Google Ads - Generic"/>
    <s v="Mobile"/>
    <s v="Asia Pacific"/>
    <s v="SQL"/>
    <m/>
    <m/>
    <m/>
    <n v="3"/>
    <x v="5"/>
    <n v="1"/>
    <n v="1"/>
    <n v="0"/>
  </r>
  <r>
    <s v="LD6099"/>
    <d v="2024-10-05T00:00:00"/>
    <x v="3"/>
    <s v="Promo Blast"/>
    <s v="Mobile"/>
    <s v="Asia Pacific"/>
    <s v="SQL"/>
    <m/>
    <m/>
    <m/>
    <n v="3"/>
    <x v="5"/>
    <n v="1"/>
    <n v="1"/>
    <n v="0"/>
  </r>
  <r>
    <s v="LD6970"/>
    <d v="2024-11-12T00:00:00"/>
    <x v="4"/>
    <s v="Affiliate Program"/>
    <s v="Mobile"/>
    <s v="Europe"/>
    <s v="Lead"/>
    <m/>
    <m/>
    <m/>
    <n v="1"/>
    <x v="2"/>
    <n v="0"/>
    <n v="0"/>
    <n v="0"/>
  </r>
  <r>
    <s v="LD7202"/>
    <d v="2024-12-26T00:00:00"/>
    <x v="1"/>
    <s v="Google Ads - Generic"/>
    <s v="Desktop"/>
    <s v="North America"/>
    <s v="MQL"/>
    <m/>
    <m/>
    <m/>
    <n v="2"/>
    <x v="7"/>
    <n v="1"/>
    <n v="0"/>
    <n v="0"/>
  </r>
  <r>
    <s v="LD6281"/>
    <d v="2024-10-18T00:00:00"/>
    <x v="2"/>
    <s v="Direct / Type-in"/>
    <s v="Mobile"/>
    <s v="Europe"/>
    <s v="Customer"/>
    <n v="20"/>
    <s v="Pro"/>
    <n v="4541.01"/>
    <n v="4"/>
    <x v="5"/>
    <n v="1"/>
    <n v="1"/>
    <n v="1"/>
  </r>
  <r>
    <s v="LD4573"/>
    <d v="2024-08-27T00:00:00"/>
    <x v="5"/>
    <s v="Landing Page SEO"/>
    <s v="Mobile"/>
    <s v="North America"/>
    <s v="SQL"/>
    <m/>
    <m/>
    <m/>
    <n v="3"/>
    <x v="6"/>
    <n v="1"/>
    <n v="1"/>
    <n v="0"/>
  </r>
  <r>
    <s v="LD5806"/>
    <d v="2024-10-28T00:00:00"/>
    <x v="1"/>
    <s v="Google Ads - Generic"/>
    <s v="Desktop"/>
    <s v="Asia Pacific"/>
    <s v="Lead"/>
    <m/>
    <m/>
    <m/>
    <n v="1"/>
    <x v="5"/>
    <n v="0"/>
    <n v="0"/>
    <n v="0"/>
  </r>
  <r>
    <s v="LD6300"/>
    <d v="2024-10-17T00:00:00"/>
    <x v="2"/>
    <s v="Direct / Type-in"/>
    <s v="Mobile"/>
    <s v="Europe"/>
    <s v="Lead"/>
    <m/>
    <m/>
    <m/>
    <n v="1"/>
    <x v="5"/>
    <n v="0"/>
    <n v="0"/>
    <n v="0"/>
  </r>
  <r>
    <s v="LD2991"/>
    <d v="2024-04-06T00:00:00"/>
    <x v="2"/>
    <s v="Direct / Type-in"/>
    <s v="Mobile"/>
    <s v="Latin America"/>
    <s v="Lead"/>
    <m/>
    <m/>
    <m/>
    <n v="1"/>
    <x v="1"/>
    <n v="0"/>
    <n v="0"/>
    <n v="0"/>
  </r>
  <r>
    <s v="LD5121"/>
    <d v="2024-09-23T00:00:00"/>
    <x v="5"/>
    <s v="Landing Page SEO"/>
    <s v="Mobile"/>
    <s v="Europe"/>
    <s v="SQL"/>
    <m/>
    <m/>
    <m/>
    <n v="3"/>
    <x v="9"/>
    <n v="1"/>
    <n v="1"/>
    <n v="0"/>
  </r>
  <r>
    <s v="LD5760"/>
    <d v="2024-10-01T00:00:00"/>
    <x v="1"/>
    <s v="Google Ads - Generic"/>
    <s v="Desktop"/>
    <s v="North America"/>
    <s v="MQL"/>
    <m/>
    <m/>
    <m/>
    <n v="2"/>
    <x v="5"/>
    <n v="1"/>
    <n v="0"/>
    <n v="0"/>
  </r>
  <r>
    <s v="LD6944"/>
    <d v="2024-11-26T00:00:00"/>
    <x v="4"/>
    <s v="Affiliate Program"/>
    <s v="Mobile"/>
    <s v="Latin America"/>
    <s v="Lead"/>
    <m/>
    <m/>
    <m/>
    <n v="1"/>
    <x v="2"/>
    <n v="0"/>
    <n v="0"/>
    <n v="0"/>
  </r>
  <r>
    <s v="LD6299"/>
    <d v="2024-10-05T00:00:00"/>
    <x v="2"/>
    <s v="Direct / Type-in"/>
    <s v="Desktop"/>
    <s v="Europe"/>
    <s v="SQL"/>
    <m/>
    <m/>
    <m/>
    <n v="3"/>
    <x v="5"/>
    <n v="1"/>
    <n v="1"/>
    <n v="0"/>
  </r>
  <r>
    <s v="LD6924"/>
    <d v="2024-11-05T00:00:00"/>
    <x v="4"/>
    <s v="Affiliate Program"/>
    <s v="Desktop"/>
    <s v="North America"/>
    <s v="Lead"/>
    <m/>
    <m/>
    <m/>
    <n v="1"/>
    <x v="2"/>
    <n v="0"/>
    <n v="0"/>
    <n v="0"/>
  </r>
  <r>
    <s v="LD5972"/>
    <d v="2024-10-17T00:00:00"/>
    <x v="3"/>
    <s v="Promo Blast"/>
    <s v="Desktop"/>
    <s v="Latin America"/>
    <s v="Customer"/>
    <n v="43"/>
    <s v="Basic"/>
    <n v="1315.82"/>
    <n v="4"/>
    <x v="5"/>
    <n v="1"/>
    <n v="1"/>
    <n v="1"/>
  </r>
  <r>
    <s v="LD7425"/>
    <d v="2024-12-13T00:00:00"/>
    <x v="3"/>
    <s v="Monthly Newsletter"/>
    <s v="Mobile"/>
    <s v="Europe"/>
    <s v="Lead"/>
    <m/>
    <m/>
    <m/>
    <n v="1"/>
    <x v="7"/>
    <n v="0"/>
    <n v="0"/>
    <n v="0"/>
  </r>
  <r>
    <s v="LD6035"/>
    <d v="2024-10-13T00:00:00"/>
    <x v="3"/>
    <s v="Promo Blast"/>
    <s v="Mobile"/>
    <s v="North America"/>
    <s v="MQL"/>
    <m/>
    <m/>
    <m/>
    <n v="2"/>
    <x v="5"/>
    <n v="1"/>
    <n v="0"/>
    <n v="0"/>
  </r>
  <r>
    <s v="LD4601"/>
    <d v="2024-08-10T00:00:00"/>
    <x v="1"/>
    <s v="Google Ads - Generic"/>
    <s v="Mobile"/>
    <s v="North America"/>
    <s v="Customer"/>
    <n v="33"/>
    <s v="Enterprise"/>
    <n v="10110.89"/>
    <n v="4"/>
    <x v="6"/>
    <n v="1"/>
    <n v="1"/>
    <n v="1"/>
  </r>
  <r>
    <s v="LD7187"/>
    <d v="2024-12-16T00:00:00"/>
    <x v="5"/>
    <s v="Blog SEO"/>
    <s v="Mobile"/>
    <s v="Europe"/>
    <s v="Lead"/>
    <m/>
    <m/>
    <m/>
    <n v="1"/>
    <x v="7"/>
    <n v="0"/>
    <n v="0"/>
    <n v="0"/>
  </r>
  <r>
    <s v="LD7752"/>
    <d v="2024-12-17T00:00:00"/>
    <x v="2"/>
    <s v="Direct / Type-in"/>
    <s v="Desktop"/>
    <s v="North America"/>
    <s v="MQL"/>
    <m/>
    <m/>
    <m/>
    <n v="2"/>
    <x v="7"/>
    <n v="1"/>
    <n v="0"/>
    <n v="0"/>
  </r>
  <r>
    <s v="LD7456"/>
    <d v="2024-12-25T00:00:00"/>
    <x v="3"/>
    <s v="Monthly Newsletter"/>
    <s v="Mobile"/>
    <s v="Europe"/>
    <s v="Lead"/>
    <m/>
    <m/>
    <m/>
    <n v="1"/>
    <x v="7"/>
    <n v="0"/>
    <n v="0"/>
    <n v="0"/>
  </r>
  <r>
    <s v="LD1386"/>
    <d v="2024-01-16T00:00:00"/>
    <x v="4"/>
    <s v="Affiliate Program"/>
    <s v="Desktop"/>
    <s v="Europe"/>
    <s v="SQL"/>
    <m/>
    <m/>
    <m/>
    <n v="3"/>
    <x v="3"/>
    <n v="1"/>
    <n v="1"/>
    <n v="0"/>
  </r>
  <r>
    <s v="LD6915"/>
    <d v="2024-11-12T00:00:00"/>
    <x v="4"/>
    <s v="Affiliate Program"/>
    <s v="Mobile"/>
    <s v="Europe"/>
    <s v="MQL"/>
    <m/>
    <m/>
    <m/>
    <n v="2"/>
    <x v="2"/>
    <n v="1"/>
    <n v="0"/>
    <n v="0"/>
  </r>
  <r>
    <s v="LD7189"/>
    <d v="2024-12-11T00:00:00"/>
    <x v="5"/>
    <s v="Blog SEO"/>
    <s v="Desktop"/>
    <s v="Europe"/>
    <s v="MQL"/>
    <m/>
    <m/>
    <m/>
    <n v="2"/>
    <x v="7"/>
    <n v="1"/>
    <n v="0"/>
    <n v="0"/>
  </r>
  <r>
    <s v="LD1537"/>
    <d v="2024-02-26T00:00:00"/>
    <x v="5"/>
    <s v="Landing Page SEO"/>
    <s v="Desktop"/>
    <s v="North America"/>
    <s v="Lead"/>
    <m/>
    <m/>
    <m/>
    <n v="1"/>
    <x v="10"/>
    <n v="0"/>
    <n v="0"/>
    <n v="0"/>
  </r>
  <r>
    <s v="LD7323"/>
    <d v="2024-12-02T00:00:00"/>
    <x v="1"/>
    <s v="Google Ads - Generic"/>
    <s v="Desktop"/>
    <s v="Europe"/>
    <s v="Lead"/>
    <m/>
    <m/>
    <m/>
    <n v="1"/>
    <x v="7"/>
    <n v="0"/>
    <n v="0"/>
    <n v="0"/>
  </r>
  <r>
    <s v="LD6033"/>
    <d v="2024-10-19T00:00:00"/>
    <x v="3"/>
    <s v="Monthly Newsletter"/>
    <s v="Mobile"/>
    <s v="North America"/>
    <s v="Lead"/>
    <m/>
    <m/>
    <m/>
    <n v="1"/>
    <x v="5"/>
    <n v="0"/>
    <n v="0"/>
    <n v="0"/>
  </r>
  <r>
    <s v="LD5213"/>
    <d v="2024-09-10T00:00:00"/>
    <x v="1"/>
    <s v="Google Ads - Generic"/>
    <s v="Desktop"/>
    <s v="North America"/>
    <s v="Customer"/>
    <n v="22"/>
    <s v="Pro"/>
    <n v="4807.43"/>
    <n v="4"/>
    <x v="9"/>
    <n v="1"/>
    <n v="1"/>
    <n v="1"/>
  </r>
  <r>
    <s v="LD4508"/>
    <d v="2024-08-02T00:00:00"/>
    <x v="5"/>
    <s v="Landing Page SEO"/>
    <s v="Mobile"/>
    <s v="North America"/>
    <s v="Lead"/>
    <m/>
    <m/>
    <m/>
    <n v="1"/>
    <x v="6"/>
    <n v="0"/>
    <n v="0"/>
    <n v="0"/>
  </r>
  <r>
    <s v="LD1202"/>
    <d v="2024-01-04T00:00:00"/>
    <x v="0"/>
    <s v="Instagram Ads"/>
    <s v="Desktop"/>
    <s v="Latin America"/>
    <s v="MQL"/>
    <m/>
    <m/>
    <m/>
    <n v="2"/>
    <x v="3"/>
    <n v="1"/>
    <n v="0"/>
    <n v="0"/>
  </r>
  <r>
    <s v="LD2333"/>
    <d v="2024-03-08T00:00:00"/>
    <x v="4"/>
    <s v="Partner Program"/>
    <s v="Tablet"/>
    <s v="Latin America"/>
    <s v="SQL"/>
    <m/>
    <m/>
    <m/>
    <n v="3"/>
    <x v="8"/>
    <n v="1"/>
    <n v="1"/>
    <n v="0"/>
  </r>
  <r>
    <s v="LD4503"/>
    <d v="2024-08-14T00:00:00"/>
    <x v="5"/>
    <s v="Blog SEO"/>
    <s v="Desktop"/>
    <s v="North America"/>
    <s v="Lead"/>
    <m/>
    <m/>
    <m/>
    <n v="1"/>
    <x v="6"/>
    <n v="0"/>
    <n v="0"/>
    <n v="0"/>
  </r>
  <r>
    <s v="LD3709"/>
    <d v="2024-06-17T00:00:00"/>
    <x v="1"/>
    <s v="Google Ads - Brand"/>
    <s v="Mobile"/>
    <s v="North America"/>
    <s v="Lead"/>
    <m/>
    <m/>
    <m/>
    <n v="1"/>
    <x v="11"/>
    <n v="0"/>
    <n v="0"/>
    <n v="0"/>
  </r>
  <r>
    <s v="LD6032"/>
    <d v="2024-10-06T00:00:00"/>
    <x v="3"/>
    <s v="Promo Blast"/>
    <s v="Desktop"/>
    <s v="Asia Pacific"/>
    <s v="MQL"/>
    <m/>
    <m/>
    <m/>
    <n v="2"/>
    <x v="5"/>
    <n v="1"/>
    <n v="0"/>
    <n v="0"/>
  </r>
  <r>
    <s v="LD5663"/>
    <d v="2024-10-26T00:00:00"/>
    <x v="5"/>
    <s v="Blog SEO"/>
    <s v="Mobile"/>
    <s v="North America"/>
    <s v="Lead"/>
    <m/>
    <m/>
    <m/>
    <n v="1"/>
    <x v="5"/>
    <n v="0"/>
    <n v="0"/>
    <n v="0"/>
  </r>
  <r>
    <s v="LD5022"/>
    <d v="2024-09-24T00:00:00"/>
    <x v="5"/>
    <s v="Blog SEO"/>
    <s v="Mobile"/>
    <s v="North America"/>
    <s v="Lead"/>
    <m/>
    <m/>
    <m/>
    <n v="1"/>
    <x v="9"/>
    <n v="0"/>
    <n v="0"/>
    <n v="0"/>
  </r>
  <r>
    <s v="LD2855"/>
    <d v="2024-04-17T00:00:00"/>
    <x v="3"/>
    <s v="Monthly Newsletter"/>
    <s v="Desktop"/>
    <s v="Asia Pacific"/>
    <s v="Lead"/>
    <m/>
    <m/>
    <m/>
    <n v="1"/>
    <x v="1"/>
    <n v="0"/>
    <n v="0"/>
    <n v="0"/>
  </r>
  <r>
    <s v="LD7059"/>
    <d v="2024-11-20T00:00:00"/>
    <x v="2"/>
    <s v="Direct / Type-in"/>
    <s v="Mobile"/>
    <s v="Europe"/>
    <s v="Lead"/>
    <m/>
    <m/>
    <m/>
    <n v="1"/>
    <x v="2"/>
    <n v="0"/>
    <n v="0"/>
    <n v="0"/>
  </r>
  <r>
    <s v="LD3873"/>
    <d v="2024-06-08T00:00:00"/>
    <x v="3"/>
    <s v="Monthly Newsletter"/>
    <s v="Desktop"/>
    <s v="Europe"/>
    <s v="Customer"/>
    <n v="67"/>
    <s v="Basic"/>
    <n v="957.17"/>
    <n v="4"/>
    <x v="11"/>
    <n v="1"/>
    <n v="1"/>
    <n v="1"/>
  </r>
  <r>
    <s v="LD4031"/>
    <d v="2024-06-12T00:00:00"/>
    <x v="2"/>
    <s v="Direct / Type-in"/>
    <s v="Desktop"/>
    <s v="North America"/>
    <s v="Lead"/>
    <m/>
    <m/>
    <m/>
    <n v="1"/>
    <x v="11"/>
    <n v="0"/>
    <n v="0"/>
    <n v="0"/>
  </r>
  <r>
    <s v="LD2206"/>
    <d v="2024-03-08T00:00:00"/>
    <x v="3"/>
    <s v="Promo Blast"/>
    <s v="Mobile"/>
    <s v="Europe"/>
    <s v="SQL"/>
    <m/>
    <m/>
    <m/>
    <n v="3"/>
    <x v="8"/>
    <n v="1"/>
    <n v="1"/>
    <n v="0"/>
  </r>
  <r>
    <s v="LD2646"/>
    <d v="2024-04-03T00:00:00"/>
    <x v="1"/>
    <s v="Google Ads - Brand"/>
    <s v="Mobile"/>
    <s v="Asia Pacific"/>
    <s v="MQL"/>
    <m/>
    <m/>
    <m/>
    <n v="2"/>
    <x v="1"/>
    <n v="1"/>
    <n v="0"/>
    <n v="0"/>
  </r>
  <r>
    <s v="LD4418"/>
    <d v="2024-07-11T00:00:00"/>
    <x v="4"/>
    <s v="Partner Program"/>
    <s v="Desktop"/>
    <s v="Asia Pacific"/>
    <s v="Customer"/>
    <n v="17"/>
    <s v="Enterprise"/>
    <n v="9312.0499999999993"/>
    <n v="4"/>
    <x v="0"/>
    <n v="1"/>
    <n v="1"/>
    <n v="1"/>
  </r>
  <r>
    <s v="LD4477"/>
    <d v="2024-07-11T00:00:00"/>
    <x v="2"/>
    <s v="Direct / Type-in"/>
    <s v="Desktop"/>
    <s v="North America"/>
    <s v="Lead"/>
    <m/>
    <m/>
    <m/>
    <n v="1"/>
    <x v="0"/>
    <n v="0"/>
    <n v="0"/>
    <n v="0"/>
  </r>
  <r>
    <s v="LD3862"/>
    <d v="2024-06-05T00:00:00"/>
    <x v="3"/>
    <s v="Promo Blast"/>
    <s v="Tablet"/>
    <s v="Europe"/>
    <s v="Lead"/>
    <m/>
    <m/>
    <m/>
    <n v="1"/>
    <x v="11"/>
    <n v="0"/>
    <n v="0"/>
    <n v="0"/>
  </r>
  <r>
    <s v="LD2793"/>
    <d v="2024-04-10T00:00:00"/>
    <x v="3"/>
    <s v="Promo Blast"/>
    <s v="Desktop"/>
    <s v="Europe"/>
    <s v="Lead"/>
    <m/>
    <m/>
    <m/>
    <n v="1"/>
    <x v="1"/>
    <n v="0"/>
    <n v="0"/>
    <n v="0"/>
  </r>
  <r>
    <s v="LD6527"/>
    <d v="2024-11-03T00:00:00"/>
    <x v="1"/>
    <s v="Google Ads - Brand"/>
    <s v="Desktop"/>
    <s v="Europe"/>
    <s v="MQL"/>
    <m/>
    <m/>
    <m/>
    <n v="2"/>
    <x v="2"/>
    <n v="1"/>
    <n v="0"/>
    <n v="0"/>
  </r>
  <r>
    <s v="LD4798"/>
    <d v="2024-08-25T00:00:00"/>
    <x v="3"/>
    <s v="Monthly Newsletter"/>
    <s v="Desktop"/>
    <s v="North America"/>
    <s v="SQL"/>
    <m/>
    <m/>
    <m/>
    <n v="3"/>
    <x v="6"/>
    <n v="1"/>
    <n v="1"/>
    <n v="0"/>
  </r>
  <r>
    <s v="LD4369"/>
    <d v="2024-07-28T00:00:00"/>
    <x v="3"/>
    <s v="Monthly Newsletter"/>
    <s v="Desktop"/>
    <s v="Asia Pacific"/>
    <s v="MQL"/>
    <m/>
    <m/>
    <m/>
    <n v="2"/>
    <x v="0"/>
    <n v="1"/>
    <n v="0"/>
    <n v="0"/>
  </r>
  <r>
    <s v="LD4368"/>
    <d v="2024-07-10T00:00:00"/>
    <x v="3"/>
    <s v="Promo Blast"/>
    <s v="Tablet"/>
    <s v="Asia Pacific"/>
    <s v="MQL"/>
    <m/>
    <m/>
    <m/>
    <n v="2"/>
    <x v="0"/>
    <n v="1"/>
    <n v="0"/>
    <n v="0"/>
  </r>
  <r>
    <s v="LD4534"/>
    <d v="2024-08-27T00:00:00"/>
    <x v="5"/>
    <s v="Blog SEO"/>
    <s v="Mobile"/>
    <s v="Latin America"/>
    <s v="SQL"/>
    <m/>
    <m/>
    <m/>
    <n v="3"/>
    <x v="6"/>
    <n v="1"/>
    <n v="1"/>
    <n v="0"/>
  </r>
  <r>
    <s v="LD6947"/>
    <d v="2024-11-03T00:00:00"/>
    <x v="4"/>
    <s v="Affiliate Program"/>
    <s v="Mobile"/>
    <s v="North America"/>
    <s v="MQL"/>
    <m/>
    <m/>
    <m/>
    <n v="2"/>
    <x v="2"/>
    <n v="1"/>
    <n v="0"/>
    <n v="0"/>
  </r>
  <r>
    <s v="LD6110"/>
    <d v="2024-10-17T00:00:00"/>
    <x v="3"/>
    <s v="Promo Blast"/>
    <s v="Desktop"/>
    <s v="North America"/>
    <s v="MQL"/>
    <m/>
    <m/>
    <m/>
    <n v="2"/>
    <x v="5"/>
    <n v="1"/>
    <n v="0"/>
    <n v="0"/>
  </r>
  <r>
    <s v="LD4450"/>
    <d v="2024-07-25T00:00:00"/>
    <x v="2"/>
    <s v="Direct / Type-in"/>
    <s v="Mobile"/>
    <s v="North America"/>
    <s v="SQL"/>
    <m/>
    <m/>
    <m/>
    <n v="3"/>
    <x v="0"/>
    <n v="1"/>
    <n v="1"/>
    <n v="0"/>
  </r>
  <r>
    <s v="LD1604"/>
    <d v="2024-02-21T00:00:00"/>
    <x v="1"/>
    <s v="Google Ads - Generic"/>
    <s v="Desktop"/>
    <s v="Latin America"/>
    <s v="Customer"/>
    <n v="54"/>
    <s v="Enterprise"/>
    <n v="18380.099999999999"/>
    <n v="4"/>
    <x v="10"/>
    <n v="1"/>
    <n v="1"/>
    <n v="1"/>
  </r>
  <r>
    <s v="LD4057"/>
    <d v="2024-07-10T00:00:00"/>
    <x v="5"/>
    <s v="Blog SEO"/>
    <s v="Mobile"/>
    <s v="Europe"/>
    <s v="MQL"/>
    <m/>
    <m/>
    <m/>
    <n v="2"/>
    <x v="0"/>
    <n v="1"/>
    <n v="0"/>
    <n v="0"/>
  </r>
  <r>
    <s v="LD6972"/>
    <d v="2024-11-22T00:00:00"/>
    <x v="4"/>
    <s v="Partner Program"/>
    <s v="Desktop"/>
    <s v="North America"/>
    <s v="MQL"/>
    <m/>
    <m/>
    <m/>
    <n v="2"/>
    <x v="2"/>
    <n v="1"/>
    <n v="0"/>
    <n v="0"/>
  </r>
  <r>
    <s v="LD1127"/>
    <d v="2024-01-06T00:00:00"/>
    <x v="1"/>
    <s v="Google Ads - Brand"/>
    <s v="Desktop"/>
    <s v="Europe"/>
    <s v="Lead"/>
    <m/>
    <m/>
    <m/>
    <n v="1"/>
    <x v="3"/>
    <n v="0"/>
    <n v="0"/>
    <n v="0"/>
  </r>
  <r>
    <s v="LD4877"/>
    <d v="2024-08-22T00:00:00"/>
    <x v="4"/>
    <s v="Partner Program"/>
    <s v="Desktop"/>
    <s v="North America"/>
    <s v="Customer"/>
    <n v="68"/>
    <s v="Enterprise"/>
    <n v="10450.379999999999"/>
    <n v="4"/>
    <x v="6"/>
    <n v="1"/>
    <n v="1"/>
    <n v="1"/>
  </r>
  <r>
    <s v="LD3936"/>
    <d v="2024-06-23T00:00:00"/>
    <x v="4"/>
    <s v="Partner Program"/>
    <s v="Desktop"/>
    <s v="North America"/>
    <s v="MQL"/>
    <m/>
    <m/>
    <m/>
    <n v="2"/>
    <x v="11"/>
    <n v="1"/>
    <n v="0"/>
    <n v="0"/>
  </r>
  <r>
    <s v="LD6444"/>
    <d v="2024-11-07T00:00:00"/>
    <x v="5"/>
    <s v="Landing Page SEO"/>
    <s v="Desktop"/>
    <s v="North America"/>
    <s v="MQL"/>
    <m/>
    <m/>
    <m/>
    <n v="2"/>
    <x v="2"/>
    <n v="1"/>
    <n v="0"/>
    <n v="0"/>
  </r>
  <r>
    <s v="LD5452"/>
    <d v="2024-09-07T00:00:00"/>
    <x v="4"/>
    <s v="Affiliate Program"/>
    <s v="Mobile"/>
    <s v="Latin America"/>
    <s v="MQL"/>
    <m/>
    <m/>
    <m/>
    <n v="2"/>
    <x v="9"/>
    <n v="1"/>
    <n v="0"/>
    <n v="0"/>
  </r>
  <r>
    <s v="LD4532"/>
    <d v="2024-08-05T00:00:00"/>
    <x v="5"/>
    <s v="Blog SEO"/>
    <s v="Desktop"/>
    <s v="North America"/>
    <s v="MQL"/>
    <m/>
    <m/>
    <m/>
    <n v="2"/>
    <x v="6"/>
    <n v="1"/>
    <n v="0"/>
    <n v="0"/>
  </r>
  <r>
    <s v="LD3731"/>
    <d v="2024-06-03T00:00:00"/>
    <x v="0"/>
    <s v="Instagram Ads"/>
    <s v="Tablet"/>
    <s v="Europe"/>
    <s v="Lead"/>
    <m/>
    <m/>
    <m/>
    <n v="1"/>
    <x v="11"/>
    <n v="0"/>
    <n v="0"/>
    <n v="0"/>
  </r>
  <r>
    <s v="LD1828"/>
    <d v="2024-02-22T00:00:00"/>
    <x v="4"/>
    <s v="Affiliate Program"/>
    <s v="Desktop"/>
    <s v="Europe"/>
    <s v="SQL"/>
    <m/>
    <m/>
    <m/>
    <n v="3"/>
    <x v="10"/>
    <n v="1"/>
    <n v="1"/>
    <n v="0"/>
  </r>
  <r>
    <s v="LD2640"/>
    <d v="2024-04-17T00:00:00"/>
    <x v="1"/>
    <s v="Google Ads - Generic"/>
    <s v="Tablet"/>
    <s v="North America"/>
    <s v="MQL"/>
    <m/>
    <m/>
    <m/>
    <n v="2"/>
    <x v="1"/>
    <n v="1"/>
    <n v="0"/>
    <n v="0"/>
  </r>
  <r>
    <s v="LD1985"/>
    <d v="2024-03-25T00:00:00"/>
    <x v="5"/>
    <s v="Blog SEO"/>
    <s v="Desktop"/>
    <s v="Europe"/>
    <s v="SQL"/>
    <m/>
    <m/>
    <m/>
    <n v="3"/>
    <x v="8"/>
    <n v="1"/>
    <n v="1"/>
    <n v="0"/>
  </r>
  <r>
    <s v="LD4282"/>
    <d v="2024-07-20T00:00:00"/>
    <x v="3"/>
    <s v="Promo Blast"/>
    <s v="Mobile"/>
    <s v="North America"/>
    <s v="MQL"/>
    <m/>
    <m/>
    <m/>
    <n v="2"/>
    <x v="0"/>
    <n v="1"/>
    <n v="0"/>
    <n v="0"/>
  </r>
  <r>
    <s v="LD7743"/>
    <d v="2024-12-20T00:00:00"/>
    <x v="2"/>
    <s v="Direct / Type-in"/>
    <s v="Mobile"/>
    <s v="Europe"/>
    <s v="Lead"/>
    <m/>
    <m/>
    <m/>
    <n v="1"/>
    <x v="7"/>
    <n v="0"/>
    <n v="0"/>
    <n v="0"/>
  </r>
  <r>
    <s v="LD3189"/>
    <d v="2024-05-22T00:00:00"/>
    <x v="1"/>
    <s v="Google Ads - Generic"/>
    <s v="Desktop"/>
    <s v="Europe"/>
    <s v="Lead"/>
    <m/>
    <m/>
    <m/>
    <n v="1"/>
    <x v="4"/>
    <n v="0"/>
    <n v="0"/>
    <n v="0"/>
  </r>
  <r>
    <s v="LD7244"/>
    <d v="2024-12-26T00:00:00"/>
    <x v="1"/>
    <s v="Google Ads - Brand"/>
    <s v="Desktop"/>
    <s v="Europe"/>
    <s v="Lead"/>
    <m/>
    <m/>
    <m/>
    <n v="1"/>
    <x v="7"/>
    <n v="0"/>
    <n v="0"/>
    <n v="0"/>
  </r>
  <r>
    <s v="LD3444"/>
    <d v="2024-05-26T00:00:00"/>
    <x v="4"/>
    <s v="Partner Program"/>
    <s v="Desktop"/>
    <s v="North America"/>
    <s v="SQL"/>
    <m/>
    <m/>
    <m/>
    <n v="3"/>
    <x v="4"/>
    <n v="1"/>
    <n v="1"/>
    <n v="0"/>
  </r>
  <r>
    <s v="LD1363"/>
    <d v="2024-01-13T00:00:00"/>
    <x v="4"/>
    <s v="Affiliate Program"/>
    <s v="Desktop"/>
    <s v="Latin America"/>
    <s v="Lead"/>
    <m/>
    <m/>
    <m/>
    <n v="1"/>
    <x v="3"/>
    <n v="0"/>
    <n v="0"/>
    <n v="0"/>
  </r>
  <r>
    <s v="LD3350"/>
    <d v="2024-05-07T00:00:00"/>
    <x v="3"/>
    <s v="Monthly Newsletter"/>
    <s v="Mobile"/>
    <s v="Asia Pacific"/>
    <s v="SQL"/>
    <m/>
    <m/>
    <m/>
    <n v="3"/>
    <x v="4"/>
    <n v="1"/>
    <n v="1"/>
    <n v="0"/>
  </r>
  <r>
    <s v="LD1346"/>
    <d v="2024-01-28T00:00:00"/>
    <x v="3"/>
    <s v="Promo Blast"/>
    <s v="Desktop"/>
    <s v="Asia Pacific"/>
    <s v="MQL"/>
    <m/>
    <m/>
    <m/>
    <n v="2"/>
    <x v="3"/>
    <n v="1"/>
    <n v="0"/>
    <n v="0"/>
  </r>
  <r>
    <s v="LD1815"/>
    <d v="2024-02-08T00:00:00"/>
    <x v="3"/>
    <s v="Monthly Newsletter"/>
    <s v="Desktop"/>
    <s v="Europe"/>
    <s v="MQL"/>
    <m/>
    <m/>
    <m/>
    <n v="2"/>
    <x v="10"/>
    <n v="1"/>
    <n v="0"/>
    <n v="0"/>
  </r>
  <r>
    <s v="LD5808"/>
    <d v="2024-10-21T00:00:00"/>
    <x v="1"/>
    <s v="Google Ads - Brand"/>
    <s v="Desktop"/>
    <s v="North America"/>
    <s v="Lead"/>
    <m/>
    <m/>
    <m/>
    <n v="1"/>
    <x v="5"/>
    <n v="0"/>
    <n v="0"/>
    <n v="0"/>
  </r>
  <r>
    <s v="LD4206"/>
    <d v="2024-07-08T00:00:00"/>
    <x v="1"/>
    <s v="Google Ads - Brand"/>
    <s v="Tablet"/>
    <s v="Europe"/>
    <s v="MQL"/>
    <m/>
    <m/>
    <m/>
    <n v="2"/>
    <x v="0"/>
    <n v="1"/>
    <n v="0"/>
    <n v="0"/>
  </r>
  <r>
    <s v="LD6635"/>
    <d v="2024-11-25T00:00:00"/>
    <x v="0"/>
    <s v="LinkedIn Ads"/>
    <s v="Mobile"/>
    <s v="North America"/>
    <s v="Lead"/>
    <m/>
    <m/>
    <m/>
    <n v="1"/>
    <x v="2"/>
    <n v="0"/>
    <n v="0"/>
    <n v="0"/>
  </r>
  <r>
    <s v="LD7501"/>
    <d v="2024-12-22T00:00:00"/>
    <x v="3"/>
    <s v="Promo Blast"/>
    <s v="Desktop"/>
    <s v="Asia Pacific"/>
    <s v="Lead"/>
    <m/>
    <m/>
    <m/>
    <n v="1"/>
    <x v="7"/>
    <n v="0"/>
    <n v="0"/>
    <n v="0"/>
  </r>
  <r>
    <s v="LD4326"/>
    <d v="2024-07-27T00:00:00"/>
    <x v="3"/>
    <s v="Monthly Newsletter"/>
    <s v="Mobile"/>
    <s v="North America"/>
    <s v="MQL"/>
    <m/>
    <m/>
    <m/>
    <n v="2"/>
    <x v="0"/>
    <n v="1"/>
    <n v="0"/>
    <n v="0"/>
  </r>
  <r>
    <s v="LD5107"/>
    <d v="2024-09-01T00:00:00"/>
    <x v="5"/>
    <s v="Landing Page SEO"/>
    <s v="Mobile"/>
    <s v="North America"/>
    <s v="SQL"/>
    <m/>
    <m/>
    <m/>
    <n v="3"/>
    <x v="9"/>
    <n v="1"/>
    <n v="1"/>
    <n v="0"/>
  </r>
  <r>
    <s v="LD3117"/>
    <d v="2024-05-24T00:00:00"/>
    <x v="1"/>
    <s v="Google Ads - Generic"/>
    <s v="Tablet"/>
    <s v="Latin America"/>
    <s v="Lead"/>
    <m/>
    <m/>
    <m/>
    <n v="1"/>
    <x v="4"/>
    <n v="0"/>
    <n v="0"/>
    <n v="0"/>
  </r>
  <r>
    <s v="LD2835"/>
    <d v="2024-04-06T00:00:00"/>
    <x v="3"/>
    <s v="Promo Blast"/>
    <s v="Desktop"/>
    <s v="Europe"/>
    <s v="Lead"/>
    <m/>
    <m/>
    <m/>
    <n v="1"/>
    <x v="1"/>
    <n v="0"/>
    <n v="0"/>
    <n v="0"/>
  </r>
  <r>
    <s v="LD1794"/>
    <d v="2024-02-06T00:00:00"/>
    <x v="3"/>
    <s v="Monthly Newsletter"/>
    <s v="Desktop"/>
    <s v="North America"/>
    <s v="Lead"/>
    <m/>
    <m/>
    <m/>
    <n v="1"/>
    <x v="10"/>
    <n v="0"/>
    <n v="0"/>
    <n v="0"/>
  </r>
  <r>
    <s v="LD7712"/>
    <d v="2024-12-27T00:00:00"/>
    <x v="2"/>
    <s v="Direct / Type-in"/>
    <s v="Desktop"/>
    <s v="Europe"/>
    <s v="Lead"/>
    <m/>
    <m/>
    <m/>
    <n v="1"/>
    <x v="7"/>
    <n v="0"/>
    <n v="0"/>
    <n v="0"/>
  </r>
  <r>
    <s v="LD3675"/>
    <d v="2024-06-03T00:00:00"/>
    <x v="1"/>
    <s v="Google Ads - Brand"/>
    <s v="Mobile"/>
    <s v="North America"/>
    <s v="Lead"/>
    <m/>
    <m/>
    <m/>
    <n v="1"/>
    <x v="11"/>
    <n v="0"/>
    <n v="0"/>
    <n v="0"/>
  </r>
  <r>
    <s v="LD1095"/>
    <d v="2024-01-27T00:00:00"/>
    <x v="1"/>
    <s v="Google Ads - Brand"/>
    <s v="Desktop"/>
    <s v="Europe"/>
    <s v="MQL"/>
    <m/>
    <m/>
    <m/>
    <n v="2"/>
    <x v="3"/>
    <n v="1"/>
    <n v="0"/>
    <n v="0"/>
  </r>
  <r>
    <s v="LD5226"/>
    <d v="2024-09-25T00:00:00"/>
    <x v="0"/>
    <s v="Facebook Ads"/>
    <s v="Mobile"/>
    <s v="Europe"/>
    <s v="Lead"/>
    <m/>
    <m/>
    <m/>
    <n v="1"/>
    <x v="9"/>
    <n v="0"/>
    <n v="0"/>
    <n v="0"/>
  </r>
  <r>
    <s v="LD4757"/>
    <d v="2024-08-27T00:00:00"/>
    <x v="3"/>
    <s v="Monthly Newsletter"/>
    <s v="Desktop"/>
    <s v="Europe"/>
    <s v="Customer"/>
    <n v="62"/>
    <s v="Pro"/>
    <n v="2431.77"/>
    <n v="4"/>
    <x v="6"/>
    <n v="1"/>
    <n v="1"/>
    <n v="1"/>
  </r>
  <r>
    <s v="LD3892"/>
    <d v="2024-06-21T00:00:00"/>
    <x v="3"/>
    <s v="Monthly Newsletter"/>
    <s v="Mobile"/>
    <s v="Asia Pacific"/>
    <s v="Customer"/>
    <n v="27"/>
    <s v="Enterprise"/>
    <n v="18080.099999999999"/>
    <n v="4"/>
    <x v="11"/>
    <n v="1"/>
    <n v="1"/>
    <n v="1"/>
  </r>
  <r>
    <s v="LD3372"/>
    <d v="2024-05-13T00:00:00"/>
    <x v="3"/>
    <s v="Monthly Newsletter"/>
    <s v="Mobile"/>
    <s v="North America"/>
    <s v="MQL"/>
    <m/>
    <m/>
    <m/>
    <n v="2"/>
    <x v="4"/>
    <n v="1"/>
    <n v="0"/>
    <n v="0"/>
  </r>
  <r>
    <s v="LD6620"/>
    <d v="2024-11-19T00:00:00"/>
    <x v="0"/>
    <s v="Instagram Ads"/>
    <s v="Desktop"/>
    <s v="Europe"/>
    <s v="SQL"/>
    <m/>
    <m/>
    <m/>
    <n v="3"/>
    <x v="2"/>
    <n v="1"/>
    <n v="1"/>
    <n v="0"/>
  </r>
  <r>
    <s v="LD7006"/>
    <d v="2024-11-08T00:00:00"/>
    <x v="2"/>
    <s v="Direct / Type-in"/>
    <s v="Mobile"/>
    <s v="North America"/>
    <s v="MQL"/>
    <m/>
    <m/>
    <m/>
    <n v="2"/>
    <x v="2"/>
    <n v="1"/>
    <n v="0"/>
    <n v="0"/>
  </r>
  <r>
    <s v="LD4229"/>
    <d v="2024-07-20T00:00:00"/>
    <x v="0"/>
    <s v="LinkedIn Ads"/>
    <s v="Desktop"/>
    <s v="North America"/>
    <s v="Lead"/>
    <m/>
    <m/>
    <m/>
    <n v="1"/>
    <x v="0"/>
    <n v="0"/>
    <n v="0"/>
    <n v="0"/>
  </r>
  <r>
    <s v="LD7043"/>
    <d v="2024-11-03T00:00:00"/>
    <x v="2"/>
    <s v="Direct / Type-in"/>
    <s v="Desktop"/>
    <s v="Europe"/>
    <s v="Lead"/>
    <m/>
    <m/>
    <m/>
    <n v="1"/>
    <x v="2"/>
    <n v="0"/>
    <n v="0"/>
    <n v="0"/>
  </r>
  <r>
    <s v="LD3854"/>
    <d v="2024-06-24T00:00:00"/>
    <x v="3"/>
    <s v="Promo Blast"/>
    <s v="Desktop"/>
    <s v="North America"/>
    <s v="MQL"/>
    <m/>
    <m/>
    <m/>
    <n v="2"/>
    <x v="11"/>
    <n v="1"/>
    <n v="0"/>
    <n v="0"/>
  </r>
  <r>
    <s v="LD7275"/>
    <d v="2024-12-02T00:00:00"/>
    <x v="1"/>
    <s v="Google Ads - Brand"/>
    <s v="Mobile"/>
    <s v="Asia Pacific"/>
    <s v="Lead"/>
    <m/>
    <m/>
    <m/>
    <n v="1"/>
    <x v="7"/>
    <n v="0"/>
    <n v="0"/>
    <n v="0"/>
  </r>
  <r>
    <s v="LD3913"/>
    <d v="2024-06-05T00:00:00"/>
    <x v="4"/>
    <s v="Partner Program"/>
    <s v="Desktop"/>
    <s v="Europe"/>
    <s v="SQL"/>
    <m/>
    <m/>
    <m/>
    <n v="3"/>
    <x v="11"/>
    <n v="1"/>
    <n v="1"/>
    <n v="0"/>
  </r>
  <r>
    <s v="LD2866"/>
    <d v="2024-04-26T00:00:00"/>
    <x v="3"/>
    <s v="Monthly Newsletter"/>
    <s v="Mobile"/>
    <s v="Latin America"/>
    <s v="Lead"/>
    <m/>
    <m/>
    <m/>
    <n v="1"/>
    <x v="1"/>
    <n v="0"/>
    <n v="0"/>
    <n v="0"/>
  </r>
  <r>
    <s v="LD5613"/>
    <d v="2024-09-24T00:00:00"/>
    <x v="2"/>
    <s v="Direct / Type-in"/>
    <s v="Tablet"/>
    <s v="North America"/>
    <s v="Lead"/>
    <m/>
    <m/>
    <m/>
    <n v="1"/>
    <x v="9"/>
    <n v="0"/>
    <n v="0"/>
    <n v="0"/>
  </r>
  <r>
    <s v="LD2858"/>
    <d v="2024-04-05T00:00:00"/>
    <x v="3"/>
    <s v="Monthly Newsletter"/>
    <s v="Tablet"/>
    <s v="Europe"/>
    <s v="Lead"/>
    <m/>
    <m/>
    <m/>
    <n v="1"/>
    <x v="1"/>
    <n v="0"/>
    <n v="0"/>
    <n v="0"/>
  </r>
  <r>
    <s v="LD3646"/>
    <d v="2024-06-07T00:00:00"/>
    <x v="1"/>
    <s v="Google Ads - Generic"/>
    <s v="Desktop"/>
    <s v="Latin America"/>
    <s v="MQL"/>
    <m/>
    <m/>
    <m/>
    <n v="2"/>
    <x v="11"/>
    <n v="1"/>
    <n v="0"/>
    <n v="0"/>
  </r>
  <r>
    <s v="LD3244"/>
    <d v="2024-05-16T00:00:00"/>
    <x v="0"/>
    <s v="Instagram Ads"/>
    <s v="Mobile"/>
    <s v="Latin America"/>
    <s v="Lead"/>
    <m/>
    <m/>
    <m/>
    <n v="1"/>
    <x v="4"/>
    <n v="0"/>
    <n v="0"/>
    <n v="0"/>
  </r>
  <r>
    <s v="LD6374"/>
    <d v="2024-11-16T00:00:00"/>
    <x v="5"/>
    <s v="Landing Page SEO"/>
    <s v="Desktop"/>
    <s v="Asia Pacific"/>
    <s v="Lead"/>
    <m/>
    <m/>
    <m/>
    <n v="1"/>
    <x v="2"/>
    <n v="0"/>
    <n v="0"/>
    <n v="0"/>
  </r>
  <r>
    <s v="LD3337"/>
    <d v="2024-05-11T00:00:00"/>
    <x v="3"/>
    <s v="Promo Blast"/>
    <s v="Mobile"/>
    <s v="Asia Pacific"/>
    <s v="Lead"/>
    <m/>
    <m/>
    <m/>
    <n v="1"/>
    <x v="4"/>
    <n v="0"/>
    <n v="0"/>
    <n v="0"/>
  </r>
  <r>
    <s v="LD1951"/>
    <d v="2024-03-18T00:00:00"/>
    <x v="5"/>
    <s v="Blog SEO"/>
    <s v="Desktop"/>
    <s v="Europe"/>
    <s v="Lead"/>
    <m/>
    <m/>
    <m/>
    <n v="1"/>
    <x v="8"/>
    <n v="0"/>
    <n v="0"/>
    <n v="0"/>
  </r>
  <r>
    <s v="LD4069"/>
    <d v="2024-07-12T00:00:00"/>
    <x v="5"/>
    <s v="Landing Page SEO"/>
    <s v="Desktop"/>
    <s v="Latin America"/>
    <s v="MQL"/>
    <m/>
    <m/>
    <m/>
    <n v="2"/>
    <x v="0"/>
    <n v="1"/>
    <n v="0"/>
    <n v="0"/>
  </r>
  <r>
    <s v="LD2121"/>
    <d v="2024-03-03T00:00:00"/>
    <x v="1"/>
    <s v="Google Ads - Generic"/>
    <s v="Desktop"/>
    <s v="North America"/>
    <s v="Lead"/>
    <m/>
    <m/>
    <m/>
    <n v="1"/>
    <x v="8"/>
    <n v="0"/>
    <n v="0"/>
    <n v="0"/>
  </r>
  <r>
    <s v="LD3598"/>
    <d v="2024-06-25T00:00:00"/>
    <x v="5"/>
    <s v="Blog SEO"/>
    <s v="Tablet"/>
    <s v="Europe"/>
    <s v="Lead"/>
    <m/>
    <m/>
    <m/>
    <n v="1"/>
    <x v="11"/>
    <n v="0"/>
    <n v="0"/>
    <n v="0"/>
  </r>
  <r>
    <s v="LD3205"/>
    <d v="2024-05-08T00:00:00"/>
    <x v="1"/>
    <s v="Google Ads - Generic"/>
    <s v="Desktop"/>
    <s v="North America"/>
    <s v="MQL"/>
    <m/>
    <m/>
    <m/>
    <n v="2"/>
    <x v="4"/>
    <n v="1"/>
    <n v="0"/>
    <n v="0"/>
  </r>
  <r>
    <s v="LD1420"/>
    <d v="2024-01-28T00:00:00"/>
    <x v="4"/>
    <s v="Affiliate Program"/>
    <s v="Desktop"/>
    <s v="Asia Pacific"/>
    <s v="MQL"/>
    <m/>
    <m/>
    <m/>
    <n v="2"/>
    <x v="3"/>
    <n v="1"/>
    <n v="0"/>
    <n v="0"/>
  </r>
  <r>
    <s v="LD1923"/>
    <d v="2024-02-11T00:00:00"/>
    <x v="2"/>
    <s v="Direct / Type-in"/>
    <s v="Mobile"/>
    <s v="Asia Pacific"/>
    <s v="Lead"/>
    <m/>
    <m/>
    <m/>
    <n v="1"/>
    <x v="10"/>
    <n v="0"/>
    <n v="0"/>
    <n v="0"/>
  </r>
  <r>
    <s v="LD2255"/>
    <d v="2024-03-17T00:00:00"/>
    <x v="3"/>
    <s v="Monthly Newsletter"/>
    <s v="Mobile"/>
    <s v="Europe"/>
    <s v="Lead"/>
    <m/>
    <m/>
    <m/>
    <n v="1"/>
    <x v="8"/>
    <n v="0"/>
    <n v="0"/>
    <n v="0"/>
  </r>
  <r>
    <s v="LD1478"/>
    <d v="2024-01-11T00:00:00"/>
    <x v="2"/>
    <s v="Direct / Type-in"/>
    <s v="Desktop"/>
    <s v="Asia Pacific"/>
    <s v="MQL"/>
    <m/>
    <m/>
    <m/>
    <n v="2"/>
    <x v="3"/>
    <n v="1"/>
    <n v="0"/>
    <n v="0"/>
  </r>
  <r>
    <s v="LD3036"/>
    <d v="2024-05-08T00:00:00"/>
    <x v="5"/>
    <s v="Blog SEO"/>
    <s v="Desktop"/>
    <s v="North America"/>
    <s v="Lead"/>
    <m/>
    <m/>
    <m/>
    <n v="1"/>
    <x v="4"/>
    <n v="0"/>
    <n v="0"/>
    <n v="0"/>
  </r>
  <r>
    <s v="LD7240"/>
    <d v="2024-12-06T00:00:00"/>
    <x v="1"/>
    <s v="Google Ads - Generic"/>
    <s v="Desktop"/>
    <s v="North America"/>
    <s v="Lead"/>
    <m/>
    <m/>
    <m/>
    <n v="1"/>
    <x v="7"/>
    <n v="0"/>
    <n v="0"/>
    <n v="0"/>
  </r>
  <r>
    <s v="LD6568"/>
    <d v="2024-11-20T00:00:00"/>
    <x v="1"/>
    <s v="Google Ads - Brand"/>
    <s v="Mobile"/>
    <s v="North America"/>
    <s v="Lead"/>
    <m/>
    <m/>
    <m/>
    <n v="1"/>
    <x v="2"/>
    <n v="0"/>
    <n v="0"/>
    <n v="0"/>
  </r>
  <r>
    <s v="LD2203"/>
    <d v="2024-03-26T00:00:00"/>
    <x v="3"/>
    <s v="Promo Blast"/>
    <s v="Desktop"/>
    <s v="Europe"/>
    <s v="MQL"/>
    <m/>
    <m/>
    <m/>
    <n v="2"/>
    <x v="8"/>
    <n v="1"/>
    <n v="0"/>
    <n v="0"/>
  </r>
  <r>
    <s v="LD3627"/>
    <d v="2024-06-15T00:00:00"/>
    <x v="5"/>
    <s v="Blog SEO"/>
    <s v="Desktop"/>
    <s v="Europe"/>
    <s v="SQL"/>
    <m/>
    <m/>
    <m/>
    <n v="3"/>
    <x v="11"/>
    <n v="1"/>
    <n v="1"/>
    <n v="0"/>
  </r>
  <r>
    <s v="LD7528"/>
    <d v="2024-12-28T00:00:00"/>
    <x v="3"/>
    <s v="Promo Blast"/>
    <s v="Desktop"/>
    <s v="Europe"/>
    <s v="Lead"/>
    <m/>
    <m/>
    <m/>
    <n v="1"/>
    <x v="7"/>
    <n v="0"/>
    <n v="0"/>
    <n v="0"/>
  </r>
  <r>
    <s v="LD2971"/>
    <d v="2024-04-10T00:00:00"/>
    <x v="2"/>
    <s v="Direct / Type-in"/>
    <s v="Desktop"/>
    <s v="Asia Pacific"/>
    <s v="Lead"/>
    <m/>
    <m/>
    <m/>
    <n v="1"/>
    <x v="1"/>
    <n v="0"/>
    <n v="0"/>
    <n v="0"/>
  </r>
  <r>
    <s v="LD4111"/>
    <d v="2024-07-26T00:00:00"/>
    <x v="5"/>
    <s v="Landing Page SEO"/>
    <s v="Mobile"/>
    <s v="North America"/>
    <s v="SQL"/>
    <m/>
    <m/>
    <m/>
    <n v="3"/>
    <x v="0"/>
    <n v="1"/>
    <n v="1"/>
    <n v="0"/>
  </r>
  <r>
    <s v="LD5019"/>
    <d v="2024-08-02T00:00:00"/>
    <x v="2"/>
    <s v="Direct / Type-in"/>
    <s v="Mobile"/>
    <s v="Latin America"/>
    <s v="Lead"/>
    <m/>
    <m/>
    <m/>
    <n v="1"/>
    <x v="6"/>
    <n v="0"/>
    <n v="0"/>
    <n v="0"/>
  </r>
  <r>
    <s v="LD3152"/>
    <d v="2024-05-21T00:00:00"/>
    <x v="1"/>
    <s v="Google Ads - Generic"/>
    <s v="Desktop"/>
    <s v="Europe"/>
    <s v="Lead"/>
    <m/>
    <m/>
    <m/>
    <n v="1"/>
    <x v="4"/>
    <n v="0"/>
    <n v="0"/>
    <n v="0"/>
  </r>
  <r>
    <s v="LD4688"/>
    <d v="2024-08-02T00:00:00"/>
    <x v="0"/>
    <s v="LinkedIn Ads"/>
    <s v="Desktop"/>
    <s v="Asia Pacific"/>
    <s v="SQL"/>
    <m/>
    <m/>
    <m/>
    <n v="3"/>
    <x v="6"/>
    <n v="1"/>
    <n v="1"/>
    <n v="0"/>
  </r>
  <r>
    <s v="LD5917"/>
    <d v="2024-10-23T00:00:00"/>
    <x v="0"/>
    <s v="Instagram Ads"/>
    <s v="Desktop"/>
    <s v="North America"/>
    <s v="Lead"/>
    <m/>
    <m/>
    <m/>
    <n v="1"/>
    <x v="5"/>
    <n v="0"/>
    <n v="0"/>
    <n v="0"/>
  </r>
  <r>
    <s v="LD2998"/>
    <d v="2024-04-19T00:00:00"/>
    <x v="2"/>
    <s v="Direct / Type-in"/>
    <s v="Desktop"/>
    <s v="Europe"/>
    <s v="Lead"/>
    <m/>
    <m/>
    <m/>
    <n v="1"/>
    <x v="1"/>
    <n v="0"/>
    <n v="0"/>
    <n v="0"/>
  </r>
  <r>
    <s v="LD5034"/>
    <d v="2024-09-13T00:00:00"/>
    <x v="5"/>
    <s v="Blog SEO"/>
    <s v="Tablet"/>
    <s v="Asia Pacific"/>
    <s v="MQL"/>
    <m/>
    <m/>
    <m/>
    <n v="2"/>
    <x v="9"/>
    <n v="1"/>
    <n v="0"/>
    <n v="0"/>
  </r>
  <r>
    <s v="LD7650"/>
    <d v="2024-12-21T00:00:00"/>
    <x v="4"/>
    <s v="Affiliate Program"/>
    <s v="Mobile"/>
    <s v="North America"/>
    <s v="Lead"/>
    <m/>
    <m/>
    <m/>
    <n v="1"/>
    <x v="7"/>
    <n v="0"/>
    <n v="0"/>
    <n v="0"/>
  </r>
  <r>
    <s v="LD4055"/>
    <d v="2024-07-14T00:00:00"/>
    <x v="5"/>
    <s v="Landing Page SEO"/>
    <s v="Tablet"/>
    <s v="Europe"/>
    <s v="Customer"/>
    <n v="57"/>
    <s v="Enterprise"/>
    <n v="9486.36"/>
    <n v="4"/>
    <x v="0"/>
    <n v="1"/>
    <n v="1"/>
    <n v="1"/>
  </r>
  <r>
    <s v="LD2249"/>
    <d v="2024-03-13T00:00:00"/>
    <x v="3"/>
    <s v="Monthly Newsletter"/>
    <s v="Desktop"/>
    <s v="North America"/>
    <s v="Lead"/>
    <m/>
    <m/>
    <m/>
    <n v="1"/>
    <x v="8"/>
    <n v="0"/>
    <n v="0"/>
    <n v="0"/>
  </r>
  <r>
    <s v="LD3193"/>
    <d v="2024-05-05T00:00:00"/>
    <x v="1"/>
    <s v="Google Ads - Generic"/>
    <s v="Desktop"/>
    <s v="Europe"/>
    <s v="Lead"/>
    <m/>
    <m/>
    <m/>
    <n v="1"/>
    <x v="4"/>
    <n v="0"/>
    <n v="0"/>
    <n v="0"/>
  </r>
  <r>
    <s v="LD3713"/>
    <d v="2024-06-27T00:00:00"/>
    <x v="1"/>
    <s v="Google Ads - Generic"/>
    <s v="Desktop"/>
    <s v="Europe"/>
    <s v="Lead"/>
    <m/>
    <m/>
    <m/>
    <n v="1"/>
    <x v="11"/>
    <n v="0"/>
    <n v="0"/>
    <n v="0"/>
  </r>
  <r>
    <s v="LD1993"/>
    <d v="2024-03-27T00:00:00"/>
    <x v="5"/>
    <s v="Blog SEO"/>
    <s v="Tablet"/>
    <s v="Europe"/>
    <s v="Lead"/>
    <m/>
    <m/>
    <m/>
    <n v="1"/>
    <x v="8"/>
    <n v="0"/>
    <n v="0"/>
    <n v="0"/>
  </r>
  <r>
    <s v="LD3191"/>
    <d v="2024-05-06T00:00:00"/>
    <x v="1"/>
    <s v="Google Ads - Brand"/>
    <s v="Desktop"/>
    <s v="North America"/>
    <s v="Lead"/>
    <m/>
    <m/>
    <m/>
    <n v="1"/>
    <x v="4"/>
    <n v="0"/>
    <n v="0"/>
    <n v="0"/>
  </r>
  <r>
    <s v="LD5671"/>
    <d v="2024-10-04T00:00:00"/>
    <x v="5"/>
    <s v="Landing Page SEO"/>
    <s v="Desktop"/>
    <s v="North America"/>
    <s v="Lead"/>
    <m/>
    <m/>
    <m/>
    <n v="1"/>
    <x v="5"/>
    <n v="0"/>
    <n v="0"/>
    <n v="0"/>
  </r>
  <r>
    <s v="LD6143"/>
    <d v="2024-10-27T00:00:00"/>
    <x v="4"/>
    <s v="Partner Program"/>
    <s v="Tablet"/>
    <s v="Latin America"/>
    <s v="MQL"/>
    <m/>
    <m/>
    <m/>
    <n v="2"/>
    <x v="5"/>
    <n v="1"/>
    <n v="0"/>
    <n v="0"/>
  </r>
  <r>
    <s v="LD4763"/>
    <d v="2024-08-13T00:00:00"/>
    <x v="3"/>
    <s v="Promo Blast"/>
    <s v="Desktop"/>
    <s v="Asia Pacific"/>
    <s v="Lead"/>
    <m/>
    <m/>
    <m/>
    <n v="1"/>
    <x v="6"/>
    <n v="0"/>
    <n v="0"/>
    <n v="0"/>
  </r>
  <r>
    <s v="LD4598"/>
    <d v="2024-08-04T00:00:00"/>
    <x v="1"/>
    <s v="Google Ads - Generic"/>
    <s v="Mobile"/>
    <s v="Europe"/>
    <s v="MQL"/>
    <m/>
    <m/>
    <m/>
    <n v="2"/>
    <x v="6"/>
    <n v="1"/>
    <n v="0"/>
    <n v="0"/>
  </r>
  <r>
    <s v="LD5712"/>
    <d v="2024-10-21T00:00:00"/>
    <x v="5"/>
    <s v="Landing Page SEO"/>
    <s v="Mobile"/>
    <s v="Europe"/>
    <s v="MQL"/>
    <m/>
    <m/>
    <m/>
    <n v="2"/>
    <x v="5"/>
    <n v="1"/>
    <n v="0"/>
    <n v="0"/>
  </r>
  <r>
    <s v="LD2319"/>
    <d v="2024-03-27T00:00:00"/>
    <x v="3"/>
    <s v="Promo Blast"/>
    <s v="Mobile"/>
    <s v="North America"/>
    <s v="MQL"/>
    <m/>
    <m/>
    <m/>
    <n v="2"/>
    <x v="8"/>
    <n v="1"/>
    <n v="0"/>
    <n v="0"/>
  </r>
  <r>
    <s v="LD2864"/>
    <d v="2024-04-19T00:00:00"/>
    <x v="3"/>
    <s v="Monthly Newsletter"/>
    <s v="Mobile"/>
    <s v="North America"/>
    <s v="Lead"/>
    <m/>
    <m/>
    <m/>
    <n v="1"/>
    <x v="1"/>
    <n v="0"/>
    <n v="0"/>
    <n v="0"/>
  </r>
  <r>
    <s v="LD3344"/>
    <d v="2024-05-03T00:00:00"/>
    <x v="3"/>
    <s v="Monthly Newsletter"/>
    <s v="Desktop"/>
    <s v="Latin America"/>
    <s v="MQL"/>
    <m/>
    <m/>
    <m/>
    <n v="2"/>
    <x v="4"/>
    <n v="1"/>
    <n v="0"/>
    <n v="0"/>
  </r>
  <r>
    <s v="LD3450"/>
    <d v="2024-05-20T00:00:00"/>
    <x v="4"/>
    <s v="Partner Program"/>
    <s v="Desktop"/>
    <s v="North America"/>
    <s v="Lead"/>
    <m/>
    <m/>
    <m/>
    <n v="1"/>
    <x v="4"/>
    <n v="0"/>
    <n v="0"/>
    <n v="0"/>
  </r>
  <r>
    <s v="LD3137"/>
    <d v="2024-05-14T00:00:00"/>
    <x v="1"/>
    <s v="Google Ads - Brand"/>
    <s v="Desktop"/>
    <s v="North America"/>
    <s v="Lead"/>
    <m/>
    <m/>
    <m/>
    <n v="1"/>
    <x v="4"/>
    <n v="0"/>
    <n v="0"/>
    <n v="0"/>
  </r>
  <r>
    <s v="LD2066"/>
    <d v="2024-03-11T00:00:00"/>
    <x v="1"/>
    <s v="Google Ads - Generic"/>
    <s v="Mobile"/>
    <s v="Europe"/>
    <s v="Lead"/>
    <m/>
    <m/>
    <m/>
    <n v="1"/>
    <x v="8"/>
    <n v="0"/>
    <n v="0"/>
    <n v="0"/>
  </r>
  <r>
    <s v="LD7729"/>
    <d v="2024-12-24T00:00:00"/>
    <x v="2"/>
    <s v="Direct / Type-in"/>
    <s v="Desktop"/>
    <s v="North America"/>
    <s v="Lead"/>
    <m/>
    <m/>
    <m/>
    <n v="1"/>
    <x v="7"/>
    <n v="0"/>
    <n v="0"/>
    <n v="0"/>
  </r>
  <r>
    <s v="LD5228"/>
    <d v="2024-09-20T00:00:00"/>
    <x v="0"/>
    <s v="LinkedIn Ads"/>
    <s v="Mobile"/>
    <s v="Asia Pacific"/>
    <s v="Lead"/>
    <m/>
    <m/>
    <m/>
    <n v="1"/>
    <x v="9"/>
    <n v="0"/>
    <n v="0"/>
    <n v="0"/>
  </r>
  <r>
    <s v="LD3622"/>
    <d v="2024-06-23T00:00:00"/>
    <x v="5"/>
    <s v="Landing Page SEO"/>
    <s v="Desktop"/>
    <s v="Europe"/>
    <s v="SQL"/>
    <m/>
    <m/>
    <m/>
    <n v="3"/>
    <x v="11"/>
    <n v="1"/>
    <n v="1"/>
    <n v="0"/>
  </r>
  <r>
    <s v="LD1078"/>
    <d v="2024-01-01T00:00:00"/>
    <x v="5"/>
    <s v="Blog SEO"/>
    <s v="Mobile"/>
    <s v="North America"/>
    <s v="Lead"/>
    <m/>
    <m/>
    <m/>
    <n v="1"/>
    <x v="3"/>
    <n v="0"/>
    <n v="0"/>
    <n v="0"/>
  </r>
  <r>
    <s v="LD3899"/>
    <d v="2024-06-23T00:00:00"/>
    <x v="3"/>
    <s v="Promo Blast"/>
    <s v="Desktop"/>
    <s v="Asia Pacific"/>
    <s v="SQL"/>
    <m/>
    <m/>
    <m/>
    <n v="3"/>
    <x v="11"/>
    <n v="1"/>
    <n v="1"/>
    <n v="0"/>
  </r>
  <r>
    <s v="LD5821"/>
    <d v="2024-10-11T00:00:00"/>
    <x v="1"/>
    <s v="Google Ads - Brand"/>
    <s v="Desktop"/>
    <s v="North America"/>
    <s v="Lead"/>
    <m/>
    <m/>
    <m/>
    <n v="1"/>
    <x v="5"/>
    <n v="0"/>
    <n v="0"/>
    <n v="0"/>
  </r>
  <r>
    <s v="LD2315"/>
    <d v="2024-03-01T00:00:00"/>
    <x v="3"/>
    <s v="Promo Blast"/>
    <s v="Mobile"/>
    <s v="Europe"/>
    <s v="MQL"/>
    <m/>
    <m/>
    <m/>
    <n v="2"/>
    <x v="8"/>
    <n v="1"/>
    <n v="0"/>
    <n v="0"/>
  </r>
  <r>
    <s v="LD7153"/>
    <d v="2024-12-11T00:00:00"/>
    <x v="5"/>
    <s v="Landing Page SEO"/>
    <s v="Mobile"/>
    <s v="North America"/>
    <s v="SQL"/>
    <m/>
    <m/>
    <m/>
    <n v="3"/>
    <x v="7"/>
    <n v="1"/>
    <n v="1"/>
    <n v="0"/>
  </r>
  <r>
    <s v="LD1873"/>
    <d v="2024-02-24T00:00:00"/>
    <x v="4"/>
    <s v="Partner Program"/>
    <s v="Desktop"/>
    <s v="Asia Pacific"/>
    <s v="Customer"/>
    <n v="59"/>
    <s v="Enterprise"/>
    <n v="9550.2199999999993"/>
    <n v="4"/>
    <x v="10"/>
    <n v="1"/>
    <n v="1"/>
    <n v="1"/>
  </r>
  <r>
    <s v="LD4851"/>
    <d v="2024-08-25T00:00:00"/>
    <x v="3"/>
    <s v="Promo Blast"/>
    <s v="Desktop"/>
    <s v="North America"/>
    <s v="Lead"/>
    <m/>
    <m/>
    <m/>
    <n v="1"/>
    <x v="6"/>
    <n v="0"/>
    <n v="0"/>
    <n v="0"/>
  </r>
  <r>
    <s v="LD6469"/>
    <d v="2024-11-18T00:00:00"/>
    <x v="5"/>
    <s v="Blog SEO"/>
    <s v="Mobile"/>
    <s v="Europe"/>
    <s v="MQL"/>
    <m/>
    <m/>
    <m/>
    <n v="2"/>
    <x v="2"/>
    <n v="1"/>
    <n v="0"/>
    <n v="0"/>
  </r>
  <r>
    <s v="LD7487"/>
    <d v="2024-12-21T00:00:00"/>
    <x v="3"/>
    <s v="Monthly Newsletter"/>
    <s v="Desktop"/>
    <s v="Europe"/>
    <s v="SQL"/>
    <m/>
    <m/>
    <m/>
    <n v="3"/>
    <x v="7"/>
    <n v="1"/>
    <n v="1"/>
    <n v="0"/>
  </r>
  <r>
    <s v="LD3966"/>
    <d v="2024-06-12T00:00:00"/>
    <x v="4"/>
    <s v="Partner Program"/>
    <s v="Mobile"/>
    <s v="North America"/>
    <s v="SQL"/>
    <m/>
    <m/>
    <m/>
    <n v="3"/>
    <x v="11"/>
    <n v="1"/>
    <n v="1"/>
    <n v="0"/>
  </r>
  <r>
    <s v="LD4392"/>
    <d v="2024-07-09T00:00:00"/>
    <x v="4"/>
    <s v="Affiliate Program"/>
    <s v="Mobile"/>
    <s v="Asia Pacific"/>
    <s v="SQL"/>
    <m/>
    <m/>
    <m/>
    <n v="3"/>
    <x v="0"/>
    <n v="1"/>
    <n v="1"/>
    <n v="0"/>
  </r>
  <r>
    <s v="LD6416"/>
    <d v="2024-11-10T00:00:00"/>
    <x v="5"/>
    <s v="Landing Page SEO"/>
    <s v="Desktop"/>
    <s v="Asia Pacific"/>
    <s v="Lead"/>
    <m/>
    <m/>
    <m/>
    <n v="1"/>
    <x v="2"/>
    <n v="0"/>
    <n v="0"/>
    <n v="0"/>
  </r>
  <r>
    <s v="LD3561"/>
    <d v="2024-05-14T00:00:00"/>
    <x v="2"/>
    <s v="Direct / Type-in"/>
    <s v="Desktop"/>
    <s v="Europe"/>
    <s v="Lead"/>
    <m/>
    <m/>
    <m/>
    <n v="1"/>
    <x v="4"/>
    <n v="0"/>
    <n v="0"/>
    <n v="0"/>
  </r>
  <r>
    <s v="LD7641"/>
    <d v="2024-12-11T00:00:00"/>
    <x v="4"/>
    <s v="Partner Program"/>
    <s v="Desktop"/>
    <s v="North America"/>
    <s v="Lead"/>
    <m/>
    <m/>
    <m/>
    <n v="1"/>
    <x v="7"/>
    <n v="0"/>
    <n v="0"/>
    <n v="0"/>
  </r>
  <r>
    <s v="LD3636"/>
    <d v="2024-06-09T00:00:00"/>
    <x v="5"/>
    <s v="Landing Page SEO"/>
    <s v="Mobile"/>
    <s v="North America"/>
    <s v="Lead"/>
    <m/>
    <m/>
    <m/>
    <n v="1"/>
    <x v="11"/>
    <n v="0"/>
    <n v="0"/>
    <n v="0"/>
  </r>
  <r>
    <s v="LD6257"/>
    <d v="2024-10-27T00:00:00"/>
    <x v="2"/>
    <s v="Direct / Type-in"/>
    <s v="Mobile"/>
    <s v="Europe"/>
    <s v="Lead"/>
    <m/>
    <m/>
    <m/>
    <n v="1"/>
    <x v="5"/>
    <n v="0"/>
    <n v="0"/>
    <n v="0"/>
  </r>
  <r>
    <s v="LD4531"/>
    <d v="2024-08-18T00:00:00"/>
    <x v="5"/>
    <s v="Blog SEO"/>
    <s v="Tablet"/>
    <s v="North America"/>
    <s v="SQL"/>
    <m/>
    <m/>
    <m/>
    <n v="3"/>
    <x v="6"/>
    <n v="1"/>
    <n v="1"/>
    <n v="0"/>
  </r>
  <r>
    <s v="LD1376"/>
    <d v="2024-01-02T00:00:00"/>
    <x v="4"/>
    <s v="Affiliate Program"/>
    <s v="Tablet"/>
    <s v="Europe"/>
    <s v="Customer"/>
    <n v="17"/>
    <s v="Enterprise"/>
    <n v="17707"/>
    <n v="4"/>
    <x v="3"/>
    <n v="1"/>
    <n v="1"/>
    <n v="1"/>
  </r>
  <r>
    <s v="LD2909"/>
    <d v="2024-04-25T00:00:00"/>
    <x v="4"/>
    <s v="Partner Program"/>
    <s v="Desktop"/>
    <s v="Asia Pacific"/>
    <s v="Lead"/>
    <m/>
    <m/>
    <m/>
    <n v="1"/>
    <x v="1"/>
    <n v="0"/>
    <n v="0"/>
    <n v="0"/>
  </r>
  <r>
    <s v="LD5430"/>
    <d v="2024-09-08T00:00:00"/>
    <x v="3"/>
    <s v="Promo Blast"/>
    <s v="Mobile"/>
    <s v="North America"/>
    <s v="MQL"/>
    <m/>
    <m/>
    <m/>
    <n v="2"/>
    <x v="9"/>
    <n v="1"/>
    <n v="0"/>
    <n v="0"/>
  </r>
  <r>
    <s v="LD6867"/>
    <d v="2024-11-21T00:00:00"/>
    <x v="3"/>
    <s v="Monthly Newsletter"/>
    <s v="Desktop"/>
    <s v="North America"/>
    <s v="Customer"/>
    <n v="67"/>
    <s v="Enterprise"/>
    <n v="19949.900000000001"/>
    <n v="4"/>
    <x v="2"/>
    <n v="1"/>
    <n v="1"/>
    <n v="1"/>
  </r>
  <r>
    <s v="LD6927"/>
    <d v="2024-11-23T00:00:00"/>
    <x v="4"/>
    <s v="Affiliate Program"/>
    <s v="Mobile"/>
    <s v="North America"/>
    <s v="Lead"/>
    <m/>
    <m/>
    <m/>
    <n v="1"/>
    <x v="2"/>
    <n v="0"/>
    <n v="0"/>
    <n v="0"/>
  </r>
  <r>
    <s v="LD5028"/>
    <d v="2024-09-12T00:00:00"/>
    <x v="5"/>
    <s v="Landing Page SEO"/>
    <s v="Mobile"/>
    <s v="North America"/>
    <s v="Lead"/>
    <m/>
    <m/>
    <m/>
    <n v="1"/>
    <x v="9"/>
    <n v="0"/>
    <n v="0"/>
    <n v="0"/>
  </r>
  <r>
    <s v="LD2605"/>
    <d v="2024-04-25T00:00:00"/>
    <x v="1"/>
    <s v="Google Ads - Brand"/>
    <s v="Desktop"/>
    <s v="Asia Pacific"/>
    <s v="MQL"/>
    <m/>
    <m/>
    <m/>
    <n v="2"/>
    <x v="1"/>
    <n v="1"/>
    <n v="0"/>
    <n v="0"/>
  </r>
  <r>
    <s v="LD2119"/>
    <d v="2024-03-17T00:00:00"/>
    <x v="1"/>
    <s v="Google Ads - Brand"/>
    <s v="Desktop"/>
    <s v="Asia Pacific"/>
    <s v="MQL"/>
    <m/>
    <m/>
    <m/>
    <n v="2"/>
    <x v="8"/>
    <n v="1"/>
    <n v="0"/>
    <n v="0"/>
  </r>
  <r>
    <s v="LD4678"/>
    <d v="2024-08-27T00:00:00"/>
    <x v="0"/>
    <s v="Instagram Ads"/>
    <s v="Desktop"/>
    <s v="Asia Pacific"/>
    <s v="Lead"/>
    <m/>
    <m/>
    <m/>
    <n v="1"/>
    <x v="6"/>
    <n v="0"/>
    <n v="0"/>
    <n v="0"/>
  </r>
  <r>
    <s v="LD4491"/>
    <d v="2024-07-12T00:00:00"/>
    <x v="2"/>
    <s v="Direct / Type-in"/>
    <s v="Mobile"/>
    <s v="North America"/>
    <s v="MQL"/>
    <m/>
    <m/>
    <m/>
    <n v="2"/>
    <x v="0"/>
    <n v="1"/>
    <n v="0"/>
    <n v="0"/>
  </r>
  <r>
    <s v="LD7596"/>
    <d v="2024-12-18T00:00:00"/>
    <x v="3"/>
    <s v="Promo Blast"/>
    <s v="Desktop"/>
    <s v="Asia Pacific"/>
    <s v="Lead"/>
    <m/>
    <m/>
    <m/>
    <n v="1"/>
    <x v="7"/>
    <n v="0"/>
    <n v="0"/>
    <n v="0"/>
  </r>
  <r>
    <s v="LD3959"/>
    <d v="2024-06-22T00:00:00"/>
    <x v="4"/>
    <s v="Affiliate Program"/>
    <s v="Mobile"/>
    <s v="North America"/>
    <s v="SQL"/>
    <m/>
    <m/>
    <m/>
    <n v="3"/>
    <x v="11"/>
    <n v="1"/>
    <n v="1"/>
    <n v="0"/>
  </r>
  <r>
    <s v="LD2995"/>
    <d v="2024-04-14T00:00:00"/>
    <x v="2"/>
    <s v="Direct / Type-in"/>
    <s v="Mobile"/>
    <s v="North America"/>
    <s v="MQL"/>
    <m/>
    <m/>
    <m/>
    <n v="2"/>
    <x v="1"/>
    <n v="1"/>
    <n v="0"/>
    <n v="0"/>
  </r>
  <r>
    <s v="LD7724"/>
    <d v="2024-12-24T00:00:00"/>
    <x v="2"/>
    <s v="Direct / Type-in"/>
    <s v="Mobile"/>
    <s v="Europe"/>
    <s v="MQL"/>
    <m/>
    <m/>
    <m/>
    <n v="2"/>
    <x v="7"/>
    <n v="1"/>
    <n v="0"/>
    <n v="0"/>
  </r>
  <r>
    <s v="LD6892"/>
    <d v="2024-11-17T00:00:00"/>
    <x v="3"/>
    <s v="Monthly Newsletter"/>
    <s v="Desktop"/>
    <s v="Europe"/>
    <s v="Customer"/>
    <n v="73"/>
    <s v="Basic"/>
    <n v="922.66"/>
    <n v="4"/>
    <x v="2"/>
    <n v="1"/>
    <n v="1"/>
    <n v="1"/>
  </r>
  <r>
    <s v="LD3377"/>
    <d v="2024-05-24T00:00:00"/>
    <x v="3"/>
    <s v="Monthly Newsletter"/>
    <s v="Desktop"/>
    <s v="Europe"/>
    <s v="SQL"/>
    <m/>
    <m/>
    <m/>
    <n v="3"/>
    <x v="4"/>
    <n v="1"/>
    <n v="1"/>
    <n v="0"/>
  </r>
  <r>
    <s v="LD2343"/>
    <d v="2024-03-01T00:00:00"/>
    <x v="4"/>
    <s v="Affiliate Program"/>
    <s v="Desktop"/>
    <s v="North America"/>
    <s v="Lead"/>
    <m/>
    <m/>
    <m/>
    <n v="1"/>
    <x v="8"/>
    <n v="0"/>
    <n v="0"/>
    <n v="0"/>
  </r>
  <r>
    <s v="LD1321"/>
    <d v="2024-01-05T00:00:00"/>
    <x v="3"/>
    <s v="Monthly Newsletter"/>
    <s v="Desktop"/>
    <s v="Europe"/>
    <s v="MQL"/>
    <m/>
    <m/>
    <m/>
    <n v="2"/>
    <x v="3"/>
    <n v="1"/>
    <n v="0"/>
    <n v="0"/>
  </r>
  <r>
    <s v="LD2620"/>
    <d v="2024-04-16T00:00:00"/>
    <x v="1"/>
    <s v="Google Ads - Brand"/>
    <s v="Desktop"/>
    <s v="North America"/>
    <s v="Lead"/>
    <m/>
    <m/>
    <m/>
    <n v="1"/>
    <x v="1"/>
    <n v="0"/>
    <n v="0"/>
    <n v="0"/>
  </r>
  <r>
    <s v="LD4714"/>
    <d v="2024-08-09T00:00:00"/>
    <x v="0"/>
    <s v="Facebook Ads"/>
    <s v="Desktop"/>
    <s v="North America"/>
    <s v="Lead"/>
    <m/>
    <m/>
    <m/>
    <n v="1"/>
    <x v="6"/>
    <n v="0"/>
    <n v="0"/>
    <n v="0"/>
  </r>
  <r>
    <s v="LD7205"/>
    <d v="2024-12-05T00:00:00"/>
    <x v="1"/>
    <s v="Google Ads - Brand"/>
    <s v="Mobile"/>
    <s v="Europe"/>
    <s v="MQL"/>
    <m/>
    <m/>
    <m/>
    <n v="2"/>
    <x v="7"/>
    <n v="1"/>
    <n v="0"/>
    <n v="0"/>
  </r>
  <r>
    <s v="LD3061"/>
    <d v="2024-05-10T00:00:00"/>
    <x v="5"/>
    <s v="Landing Page SEO"/>
    <s v="Desktop"/>
    <s v="Asia Pacific"/>
    <s v="SQL"/>
    <m/>
    <m/>
    <m/>
    <n v="3"/>
    <x v="4"/>
    <n v="1"/>
    <n v="1"/>
    <n v="0"/>
  </r>
  <r>
    <s v="LD3220"/>
    <d v="2024-05-21T00:00:00"/>
    <x v="0"/>
    <s v="Instagram Ads"/>
    <s v="Desktop"/>
    <s v="Europe"/>
    <s v="MQL"/>
    <m/>
    <m/>
    <m/>
    <n v="2"/>
    <x v="4"/>
    <n v="1"/>
    <n v="0"/>
    <n v="0"/>
  </r>
  <r>
    <s v="LD2674"/>
    <d v="2024-04-16T00:00:00"/>
    <x v="0"/>
    <s v="Facebook Ads"/>
    <s v="Desktop"/>
    <s v="Asia Pacific"/>
    <s v="Lead"/>
    <m/>
    <m/>
    <m/>
    <n v="1"/>
    <x v="1"/>
    <n v="0"/>
    <n v="0"/>
    <n v="0"/>
  </r>
  <r>
    <s v="LD1261"/>
    <d v="2024-01-06T00:00:00"/>
    <x v="3"/>
    <s v="Monthly Newsletter"/>
    <s v="Mobile"/>
    <s v="North America"/>
    <s v="MQL"/>
    <m/>
    <m/>
    <m/>
    <n v="2"/>
    <x v="3"/>
    <n v="1"/>
    <n v="0"/>
    <n v="0"/>
  </r>
  <r>
    <s v="LD6984"/>
    <d v="2024-11-07T00:00:00"/>
    <x v="4"/>
    <s v="Affiliate Program"/>
    <s v="Tablet"/>
    <s v="Europe"/>
    <s v="MQL"/>
    <m/>
    <m/>
    <m/>
    <n v="2"/>
    <x v="2"/>
    <n v="1"/>
    <n v="0"/>
    <n v="0"/>
  </r>
  <r>
    <s v="LD3040"/>
    <d v="2024-05-24T00:00:00"/>
    <x v="5"/>
    <s v="Blog SEO"/>
    <s v="Desktop"/>
    <s v="Latin America"/>
    <s v="MQL"/>
    <m/>
    <m/>
    <m/>
    <n v="2"/>
    <x v="4"/>
    <n v="1"/>
    <n v="0"/>
    <n v="0"/>
  </r>
  <r>
    <s v="LD5786"/>
    <d v="2024-10-12T00:00:00"/>
    <x v="1"/>
    <s v="Google Ads - Generic"/>
    <s v="Desktop"/>
    <s v="North America"/>
    <s v="Lead"/>
    <m/>
    <m/>
    <m/>
    <n v="1"/>
    <x v="5"/>
    <n v="0"/>
    <n v="0"/>
    <n v="0"/>
  </r>
  <r>
    <s v="LD1902"/>
    <d v="2024-02-10T00:00:00"/>
    <x v="2"/>
    <s v="Direct / Type-in"/>
    <s v="Mobile"/>
    <s v="North America"/>
    <s v="SQL"/>
    <m/>
    <m/>
    <m/>
    <n v="3"/>
    <x v="10"/>
    <n v="1"/>
    <n v="1"/>
    <n v="0"/>
  </r>
  <r>
    <s v="LD4745"/>
    <d v="2024-08-01T00:00:00"/>
    <x v="0"/>
    <s v="LinkedIn Ads"/>
    <s v="Tablet"/>
    <s v="Europe"/>
    <s v="SQL"/>
    <m/>
    <m/>
    <m/>
    <n v="3"/>
    <x v="6"/>
    <n v="1"/>
    <n v="1"/>
    <n v="0"/>
  </r>
  <r>
    <s v="LD3027"/>
    <d v="2024-05-14T00:00:00"/>
    <x v="5"/>
    <s v="Blog SEO"/>
    <s v="Desktop"/>
    <s v="North America"/>
    <s v="Lead"/>
    <m/>
    <m/>
    <m/>
    <n v="1"/>
    <x v="4"/>
    <n v="0"/>
    <n v="0"/>
    <n v="0"/>
  </r>
  <r>
    <s v="LD5235"/>
    <d v="2024-09-28T00:00:00"/>
    <x v="0"/>
    <s v="Instagram Ads"/>
    <s v="Desktop"/>
    <s v="North America"/>
    <s v="SQL"/>
    <m/>
    <m/>
    <m/>
    <n v="3"/>
    <x v="9"/>
    <n v="1"/>
    <n v="1"/>
    <n v="0"/>
  </r>
  <r>
    <s v="LD2918"/>
    <d v="2024-04-28T00:00:00"/>
    <x v="4"/>
    <s v="Partner Program"/>
    <s v="Mobile"/>
    <s v="North America"/>
    <s v="MQL"/>
    <m/>
    <m/>
    <m/>
    <n v="2"/>
    <x v="1"/>
    <n v="1"/>
    <n v="0"/>
    <n v="0"/>
  </r>
  <r>
    <s v="LD2829"/>
    <d v="2024-04-11T00:00:00"/>
    <x v="3"/>
    <s v="Monthly Newsletter"/>
    <s v="Mobile"/>
    <s v="Latin America"/>
    <s v="Lead"/>
    <m/>
    <m/>
    <m/>
    <n v="1"/>
    <x v="1"/>
    <n v="0"/>
    <n v="0"/>
    <n v="0"/>
  </r>
  <r>
    <s v="LD2574"/>
    <d v="2024-04-11T00:00:00"/>
    <x v="1"/>
    <s v="Google Ads - Brand"/>
    <s v="Desktop"/>
    <s v="North America"/>
    <s v="Lead"/>
    <m/>
    <m/>
    <m/>
    <n v="1"/>
    <x v="1"/>
    <n v="0"/>
    <n v="0"/>
    <n v="0"/>
  </r>
  <r>
    <s v="LD5416"/>
    <d v="2024-09-28T00:00:00"/>
    <x v="3"/>
    <s v="Monthly Newsletter"/>
    <s v="Mobile"/>
    <s v="Asia Pacific"/>
    <s v="Customer"/>
    <n v="53"/>
    <s v="Pro"/>
    <n v="3045.47"/>
    <n v="4"/>
    <x v="9"/>
    <n v="1"/>
    <n v="1"/>
    <n v="1"/>
  </r>
  <r>
    <s v="LD5750"/>
    <d v="2024-10-13T00:00:00"/>
    <x v="1"/>
    <s v="Google Ads - Generic"/>
    <s v="Mobile"/>
    <s v="Asia Pacific"/>
    <s v="MQL"/>
    <m/>
    <m/>
    <m/>
    <n v="2"/>
    <x v="5"/>
    <n v="1"/>
    <n v="0"/>
    <n v="0"/>
  </r>
  <r>
    <s v="LD6948"/>
    <d v="2024-11-11T00:00:00"/>
    <x v="4"/>
    <s v="Partner Program"/>
    <s v="Desktop"/>
    <s v="North America"/>
    <s v="SQL"/>
    <m/>
    <m/>
    <m/>
    <n v="3"/>
    <x v="2"/>
    <n v="1"/>
    <n v="1"/>
    <n v="0"/>
  </r>
  <r>
    <s v="LD5655"/>
    <d v="2024-10-24T00:00:00"/>
    <x v="5"/>
    <s v="Landing Page SEO"/>
    <s v="Mobile"/>
    <s v="Asia Pacific"/>
    <s v="Customer"/>
    <n v="32"/>
    <s v="Basic"/>
    <n v="977.58"/>
    <n v="4"/>
    <x v="5"/>
    <n v="1"/>
    <n v="1"/>
    <n v="1"/>
  </r>
  <r>
    <s v="LD5209"/>
    <d v="2024-09-17T00:00:00"/>
    <x v="1"/>
    <s v="Google Ads - Generic"/>
    <s v="Desktop"/>
    <s v="Europe"/>
    <s v="MQL"/>
    <m/>
    <m/>
    <m/>
    <n v="2"/>
    <x v="9"/>
    <n v="1"/>
    <n v="0"/>
    <n v="0"/>
  </r>
  <r>
    <s v="LD5628"/>
    <d v="2024-10-17T00:00:00"/>
    <x v="5"/>
    <s v="Landing Page SEO"/>
    <s v="Desktop"/>
    <s v="North America"/>
    <s v="SQL"/>
    <m/>
    <m/>
    <m/>
    <n v="3"/>
    <x v="5"/>
    <n v="1"/>
    <n v="1"/>
    <n v="0"/>
  </r>
  <r>
    <s v="LD1225"/>
    <d v="2024-01-16T00:00:00"/>
    <x v="0"/>
    <s v="LinkedIn Ads"/>
    <s v="Desktop"/>
    <s v="North America"/>
    <s v="Lead"/>
    <m/>
    <m/>
    <m/>
    <n v="1"/>
    <x v="3"/>
    <n v="0"/>
    <n v="0"/>
    <n v="0"/>
  </r>
  <r>
    <s v="LD1724"/>
    <d v="2024-02-27T00:00:00"/>
    <x v="3"/>
    <s v="Monthly Newsletter"/>
    <s v="Desktop"/>
    <s v="North America"/>
    <s v="Lead"/>
    <m/>
    <m/>
    <m/>
    <n v="1"/>
    <x v="10"/>
    <n v="0"/>
    <n v="0"/>
    <n v="0"/>
  </r>
  <r>
    <s v="LD7081"/>
    <d v="2024-11-27T00:00:00"/>
    <x v="2"/>
    <s v="Direct / Type-in"/>
    <s v="Desktop"/>
    <s v="Latin America"/>
    <s v="Lead"/>
    <m/>
    <m/>
    <m/>
    <n v="1"/>
    <x v="2"/>
    <n v="0"/>
    <n v="0"/>
    <n v="0"/>
  </r>
  <r>
    <s v="LD2142"/>
    <d v="2024-03-18T00:00:00"/>
    <x v="0"/>
    <s v="LinkedIn Ads"/>
    <s v="Desktop"/>
    <s v="Europe"/>
    <s v="SQL"/>
    <m/>
    <m/>
    <m/>
    <n v="3"/>
    <x v="8"/>
    <n v="1"/>
    <n v="1"/>
    <n v="0"/>
  </r>
  <r>
    <s v="LD6530"/>
    <d v="2024-11-16T00:00:00"/>
    <x v="1"/>
    <s v="Google Ads - Generic"/>
    <s v="Mobile"/>
    <s v="Latin America"/>
    <s v="MQL"/>
    <m/>
    <m/>
    <m/>
    <n v="2"/>
    <x v="2"/>
    <n v="1"/>
    <n v="0"/>
    <n v="0"/>
  </r>
  <r>
    <s v="LD6555"/>
    <d v="2024-11-21T00:00:00"/>
    <x v="1"/>
    <s v="Google Ads - Generic"/>
    <s v="Mobile"/>
    <s v="Europe"/>
    <s v="MQL"/>
    <m/>
    <m/>
    <m/>
    <n v="2"/>
    <x v="2"/>
    <n v="1"/>
    <n v="0"/>
    <n v="0"/>
  </r>
  <r>
    <s v="LD7662"/>
    <d v="2024-12-28T00:00:00"/>
    <x v="4"/>
    <s v="Partner Program"/>
    <s v="Mobile"/>
    <s v="North America"/>
    <s v="MQL"/>
    <m/>
    <m/>
    <m/>
    <n v="2"/>
    <x v="7"/>
    <n v="1"/>
    <n v="0"/>
    <n v="0"/>
  </r>
  <r>
    <s v="LD3763"/>
    <d v="2024-06-25T00:00:00"/>
    <x v="0"/>
    <s v="Facebook Ads"/>
    <s v="Mobile"/>
    <s v="Latin America"/>
    <s v="Lead"/>
    <m/>
    <m/>
    <m/>
    <n v="1"/>
    <x v="11"/>
    <n v="0"/>
    <n v="0"/>
    <n v="0"/>
  </r>
  <r>
    <s v="LD1847"/>
    <d v="2024-02-08T00:00:00"/>
    <x v="4"/>
    <s v="Partner Program"/>
    <s v="Mobile"/>
    <s v="Europe"/>
    <s v="Customer"/>
    <n v="26"/>
    <s v="Basic"/>
    <n v="1197.77"/>
    <n v="4"/>
    <x v="10"/>
    <n v="1"/>
    <n v="1"/>
    <n v="1"/>
  </r>
  <r>
    <s v="LD5290"/>
    <d v="2024-09-18T00:00:00"/>
    <x v="0"/>
    <s v="Facebook Ads"/>
    <s v="Desktop"/>
    <s v="North America"/>
    <s v="Lead"/>
    <m/>
    <m/>
    <m/>
    <n v="1"/>
    <x v="9"/>
    <n v="0"/>
    <n v="0"/>
    <n v="0"/>
  </r>
  <r>
    <s v="LD6561"/>
    <d v="2024-11-08T00:00:00"/>
    <x v="1"/>
    <s v="Google Ads - Generic"/>
    <s v="Desktop"/>
    <s v="Latin America"/>
    <s v="MQL"/>
    <m/>
    <m/>
    <m/>
    <n v="2"/>
    <x v="2"/>
    <n v="1"/>
    <n v="0"/>
    <n v="0"/>
  </r>
  <r>
    <s v="LD6043"/>
    <d v="2024-10-10T00:00:00"/>
    <x v="3"/>
    <s v="Monthly Newsletter"/>
    <s v="Desktop"/>
    <s v="North America"/>
    <s v="SQL"/>
    <m/>
    <m/>
    <m/>
    <n v="3"/>
    <x v="5"/>
    <n v="1"/>
    <n v="1"/>
    <n v="0"/>
  </r>
  <r>
    <s v="LD3552"/>
    <d v="2024-05-16T00:00:00"/>
    <x v="2"/>
    <s v="Direct / Type-in"/>
    <s v="Desktop"/>
    <s v="North America"/>
    <s v="Lead"/>
    <m/>
    <m/>
    <m/>
    <n v="1"/>
    <x v="4"/>
    <n v="0"/>
    <n v="0"/>
    <n v="0"/>
  </r>
  <r>
    <s v="LD6726"/>
    <d v="2024-11-07T00:00:00"/>
    <x v="3"/>
    <s v="Promo Blast"/>
    <s v="Mobile"/>
    <s v="North America"/>
    <s v="Customer"/>
    <n v="62"/>
    <s v="Basic"/>
    <n v="1382.81"/>
    <n v="4"/>
    <x v="2"/>
    <n v="1"/>
    <n v="1"/>
    <n v="1"/>
  </r>
  <r>
    <s v="LD3929"/>
    <d v="2024-06-26T00:00:00"/>
    <x v="4"/>
    <s v="Partner Program"/>
    <s v="Mobile"/>
    <s v="North America"/>
    <s v="Lead"/>
    <m/>
    <m/>
    <m/>
    <n v="1"/>
    <x v="11"/>
    <n v="0"/>
    <n v="0"/>
    <n v="0"/>
  </r>
  <r>
    <s v="LD1118"/>
    <d v="2024-01-10T00:00:00"/>
    <x v="1"/>
    <s v="Google Ads - Brand"/>
    <s v="Mobile"/>
    <s v="North America"/>
    <s v="SQL"/>
    <m/>
    <m/>
    <m/>
    <n v="3"/>
    <x v="3"/>
    <n v="1"/>
    <n v="1"/>
    <n v="0"/>
  </r>
  <r>
    <s v="LD1646"/>
    <d v="2024-02-20T00:00:00"/>
    <x v="0"/>
    <s v="Instagram Ads"/>
    <s v="Mobile"/>
    <s v="North America"/>
    <s v="Lead"/>
    <m/>
    <m/>
    <m/>
    <n v="1"/>
    <x v="10"/>
    <n v="0"/>
    <n v="0"/>
    <n v="0"/>
  </r>
  <r>
    <s v="LD1004"/>
    <d v="2024-01-14T00:00:00"/>
    <x v="5"/>
    <s v="Landing Page SEO"/>
    <s v="Desktop"/>
    <s v="North America"/>
    <s v="Lead"/>
    <m/>
    <m/>
    <m/>
    <n v="1"/>
    <x v="3"/>
    <n v="0"/>
    <n v="0"/>
    <n v="0"/>
  </r>
  <r>
    <s v="LD5171"/>
    <d v="2024-09-26T00:00:00"/>
    <x v="1"/>
    <s v="Google Ads - Generic"/>
    <s v="Desktop"/>
    <s v="Europe"/>
    <s v="Lead"/>
    <m/>
    <m/>
    <m/>
    <n v="1"/>
    <x v="9"/>
    <n v="0"/>
    <n v="0"/>
    <n v="0"/>
  </r>
  <r>
    <s v="LD1468"/>
    <d v="2024-01-04T00:00:00"/>
    <x v="2"/>
    <s v="Direct / Type-in"/>
    <s v="Desktop"/>
    <s v="North America"/>
    <s v="MQL"/>
    <m/>
    <m/>
    <m/>
    <n v="2"/>
    <x v="3"/>
    <n v="1"/>
    <n v="0"/>
    <n v="0"/>
  </r>
  <r>
    <s v="LD1006"/>
    <d v="2024-01-13T00:00:00"/>
    <x v="5"/>
    <s v="Blog SEO"/>
    <s v="Mobile"/>
    <s v="Asia Pacific"/>
    <s v="Lead"/>
    <m/>
    <m/>
    <m/>
    <n v="1"/>
    <x v="3"/>
    <n v="0"/>
    <n v="0"/>
    <n v="0"/>
  </r>
  <r>
    <s v="LD6343"/>
    <d v="2024-11-03T00:00:00"/>
    <x v="5"/>
    <s v="Blog SEO"/>
    <s v="Desktop"/>
    <s v="North America"/>
    <s v="MQL"/>
    <m/>
    <m/>
    <m/>
    <n v="2"/>
    <x v="2"/>
    <n v="1"/>
    <n v="0"/>
    <n v="0"/>
  </r>
  <r>
    <s v="LD1920"/>
    <d v="2024-02-27T00:00:00"/>
    <x v="2"/>
    <s v="Direct / Type-in"/>
    <s v="Mobile"/>
    <s v="Europe"/>
    <s v="Lead"/>
    <m/>
    <m/>
    <m/>
    <n v="1"/>
    <x v="10"/>
    <n v="0"/>
    <n v="0"/>
    <n v="0"/>
  </r>
  <r>
    <s v="LD3596"/>
    <d v="2024-06-01T00:00:00"/>
    <x v="5"/>
    <s v="Landing Page SEO"/>
    <s v="Mobile"/>
    <s v="Asia Pacific"/>
    <s v="MQL"/>
    <m/>
    <m/>
    <m/>
    <n v="2"/>
    <x v="11"/>
    <n v="1"/>
    <n v="0"/>
    <n v="0"/>
  </r>
  <r>
    <s v="LD5325"/>
    <d v="2024-09-23T00:00:00"/>
    <x v="3"/>
    <s v="Monthly Newsletter"/>
    <s v="Desktop"/>
    <s v="North America"/>
    <s v="SQL"/>
    <m/>
    <m/>
    <m/>
    <n v="3"/>
    <x v="9"/>
    <n v="1"/>
    <n v="1"/>
    <n v="0"/>
  </r>
  <r>
    <s v="LD2064"/>
    <d v="2024-03-10T00:00:00"/>
    <x v="1"/>
    <s v="Google Ads - Brand"/>
    <s v="Desktop"/>
    <s v="Asia Pacific"/>
    <s v="MQL"/>
    <m/>
    <m/>
    <m/>
    <n v="2"/>
    <x v="8"/>
    <n v="1"/>
    <n v="0"/>
    <n v="0"/>
  </r>
  <r>
    <s v="LD3591"/>
    <d v="2024-06-18T00:00:00"/>
    <x v="5"/>
    <s v="Landing Page SEO"/>
    <s v="Desktop"/>
    <s v="Europe"/>
    <s v="Lead"/>
    <m/>
    <m/>
    <m/>
    <n v="1"/>
    <x v="11"/>
    <n v="0"/>
    <n v="0"/>
    <n v="0"/>
  </r>
  <r>
    <s v="LD1243"/>
    <d v="2024-01-26T00:00:00"/>
    <x v="3"/>
    <s v="Monthly Newsletter"/>
    <s v="Desktop"/>
    <s v="Asia Pacific"/>
    <s v="Lead"/>
    <m/>
    <m/>
    <m/>
    <n v="1"/>
    <x v="3"/>
    <n v="0"/>
    <n v="0"/>
    <n v="0"/>
  </r>
  <r>
    <s v="LD6900"/>
    <d v="2024-11-14T00:00:00"/>
    <x v="3"/>
    <s v="Promo Blast"/>
    <s v="Desktop"/>
    <s v="North America"/>
    <s v="MQL"/>
    <m/>
    <m/>
    <m/>
    <n v="2"/>
    <x v="2"/>
    <n v="1"/>
    <n v="0"/>
    <n v="0"/>
  </r>
  <r>
    <s v="LD2161"/>
    <d v="2024-03-28T00:00:00"/>
    <x v="0"/>
    <s v="Facebook Ads"/>
    <s v="Mobile"/>
    <s v="North America"/>
    <s v="Lead"/>
    <m/>
    <m/>
    <m/>
    <n v="1"/>
    <x v="8"/>
    <n v="0"/>
    <n v="0"/>
    <n v="0"/>
  </r>
  <r>
    <s v="LD3871"/>
    <d v="2024-06-22T00:00:00"/>
    <x v="3"/>
    <s v="Promo Blast"/>
    <s v="Desktop"/>
    <s v="North America"/>
    <s v="Customer"/>
    <n v="53"/>
    <s v="Pro"/>
    <n v="2429.71"/>
    <n v="4"/>
    <x v="11"/>
    <n v="1"/>
    <n v="1"/>
    <n v="1"/>
  </r>
  <r>
    <s v="LD4736"/>
    <d v="2024-08-20T00:00:00"/>
    <x v="0"/>
    <s v="Facebook Ads"/>
    <s v="Desktop"/>
    <s v="Asia Pacific"/>
    <s v="Lead"/>
    <m/>
    <m/>
    <m/>
    <n v="1"/>
    <x v="6"/>
    <n v="0"/>
    <n v="0"/>
    <n v="0"/>
  </r>
  <r>
    <s v="LD7199"/>
    <d v="2024-12-01T00:00:00"/>
    <x v="5"/>
    <s v="Landing Page SEO"/>
    <s v="Mobile"/>
    <s v="Europe"/>
    <s v="SQL"/>
    <m/>
    <m/>
    <m/>
    <n v="3"/>
    <x v="7"/>
    <n v="1"/>
    <n v="1"/>
    <n v="0"/>
  </r>
  <r>
    <s v="LD3398"/>
    <d v="2024-05-25T00:00:00"/>
    <x v="3"/>
    <s v="Promo Blast"/>
    <s v="Desktop"/>
    <s v="North America"/>
    <s v="Customer"/>
    <n v="10"/>
    <s v="Basic"/>
    <n v="1467.73"/>
    <n v="4"/>
    <x v="4"/>
    <n v="1"/>
    <n v="1"/>
    <n v="1"/>
  </r>
  <r>
    <s v="LD4518"/>
    <d v="2024-08-05T00:00:00"/>
    <x v="5"/>
    <s v="Blog SEO"/>
    <s v="Mobile"/>
    <s v="North America"/>
    <s v="Lead"/>
    <m/>
    <m/>
    <m/>
    <n v="1"/>
    <x v="6"/>
    <n v="0"/>
    <n v="0"/>
    <n v="0"/>
  </r>
  <r>
    <s v="LD4422"/>
    <d v="2024-07-18T00:00:00"/>
    <x v="4"/>
    <s v="Partner Program"/>
    <s v="Mobile"/>
    <s v="Europe"/>
    <s v="Lead"/>
    <m/>
    <m/>
    <m/>
    <n v="1"/>
    <x v="0"/>
    <n v="0"/>
    <n v="0"/>
    <n v="0"/>
  </r>
  <r>
    <s v="LD3564"/>
    <d v="2024-06-09T00:00:00"/>
    <x v="5"/>
    <s v="Landing Page SEO"/>
    <s v="Desktop"/>
    <s v="Europe"/>
    <s v="Lead"/>
    <m/>
    <m/>
    <m/>
    <n v="1"/>
    <x v="11"/>
    <n v="0"/>
    <n v="0"/>
    <n v="0"/>
  </r>
  <r>
    <s v="LD6623"/>
    <d v="2024-11-19T00:00:00"/>
    <x v="0"/>
    <s v="Facebook Ads"/>
    <s v="Mobile"/>
    <s v="North America"/>
    <s v="Lead"/>
    <m/>
    <m/>
    <m/>
    <n v="1"/>
    <x v="2"/>
    <n v="0"/>
    <n v="0"/>
    <n v="0"/>
  </r>
  <r>
    <s v="LD2606"/>
    <d v="2024-04-20T00:00:00"/>
    <x v="1"/>
    <s v="Google Ads - Brand"/>
    <s v="Mobile"/>
    <s v="North America"/>
    <s v="Lead"/>
    <m/>
    <m/>
    <m/>
    <n v="1"/>
    <x v="1"/>
    <n v="0"/>
    <n v="0"/>
    <n v="0"/>
  </r>
  <r>
    <s v="LD7541"/>
    <d v="2024-12-19T00:00:00"/>
    <x v="3"/>
    <s v="Monthly Newsletter"/>
    <s v="Desktop"/>
    <s v="Europe"/>
    <s v="Customer"/>
    <n v="15"/>
    <s v="Basic"/>
    <n v="763.69"/>
    <n v="4"/>
    <x v="7"/>
    <n v="1"/>
    <n v="1"/>
    <n v="1"/>
  </r>
  <r>
    <s v="LD3325"/>
    <d v="2024-05-08T00:00:00"/>
    <x v="3"/>
    <s v="Monthly Newsletter"/>
    <s v="Mobile"/>
    <s v="North America"/>
    <s v="MQL"/>
    <m/>
    <m/>
    <m/>
    <n v="2"/>
    <x v="4"/>
    <n v="1"/>
    <n v="0"/>
    <n v="0"/>
  </r>
  <r>
    <s v="LD3710"/>
    <d v="2024-06-05T00:00:00"/>
    <x v="1"/>
    <s v="Google Ads - Generic"/>
    <s v="Mobile"/>
    <s v="Europe"/>
    <s v="Lead"/>
    <m/>
    <m/>
    <m/>
    <n v="1"/>
    <x v="11"/>
    <n v="0"/>
    <n v="0"/>
    <n v="0"/>
  </r>
  <r>
    <s v="LD6954"/>
    <d v="2024-11-27T00:00:00"/>
    <x v="4"/>
    <s v="Affiliate Program"/>
    <s v="Mobile"/>
    <s v="North America"/>
    <s v="MQL"/>
    <m/>
    <m/>
    <m/>
    <n v="2"/>
    <x v="2"/>
    <n v="1"/>
    <n v="0"/>
    <n v="0"/>
  </r>
  <r>
    <s v="LD2313"/>
    <d v="2024-03-08T00:00:00"/>
    <x v="3"/>
    <s v="Promo Blast"/>
    <s v="Desktop"/>
    <s v="Europe"/>
    <s v="Lead"/>
    <m/>
    <m/>
    <m/>
    <n v="1"/>
    <x v="8"/>
    <n v="0"/>
    <n v="0"/>
    <n v="0"/>
  </r>
  <r>
    <s v="LD4449"/>
    <d v="2024-07-21T00:00:00"/>
    <x v="2"/>
    <s v="Direct / Type-in"/>
    <s v="Mobile"/>
    <s v="Europe"/>
    <s v="Lead"/>
    <m/>
    <m/>
    <m/>
    <n v="1"/>
    <x v="0"/>
    <n v="0"/>
    <n v="0"/>
    <n v="0"/>
  </r>
  <r>
    <s v="LD4813"/>
    <d v="2024-08-27T00:00:00"/>
    <x v="3"/>
    <s v="Monthly Newsletter"/>
    <s v="Desktop"/>
    <s v="North America"/>
    <s v="Lead"/>
    <m/>
    <m/>
    <m/>
    <n v="1"/>
    <x v="6"/>
    <n v="0"/>
    <n v="0"/>
    <n v="0"/>
  </r>
  <r>
    <s v="LD7305"/>
    <d v="2024-12-22T00:00:00"/>
    <x v="1"/>
    <s v="Google Ads - Brand"/>
    <s v="Desktop"/>
    <s v="Asia Pacific"/>
    <s v="Lead"/>
    <m/>
    <m/>
    <m/>
    <n v="1"/>
    <x v="7"/>
    <n v="0"/>
    <n v="0"/>
    <n v="0"/>
  </r>
  <r>
    <s v="LD3363"/>
    <d v="2024-05-06T00:00:00"/>
    <x v="3"/>
    <s v="Promo Blast"/>
    <s v="Mobile"/>
    <s v="Asia Pacific"/>
    <s v="SQL"/>
    <m/>
    <m/>
    <m/>
    <n v="3"/>
    <x v="4"/>
    <n v="1"/>
    <n v="1"/>
    <n v="0"/>
  </r>
  <r>
    <s v="LD2976"/>
    <d v="2024-04-07T00:00:00"/>
    <x v="2"/>
    <s v="Direct / Type-in"/>
    <s v="Desktop"/>
    <s v="North America"/>
    <s v="Lead"/>
    <m/>
    <m/>
    <m/>
    <n v="1"/>
    <x v="1"/>
    <n v="0"/>
    <n v="0"/>
    <n v="0"/>
  </r>
  <r>
    <s v="LD4515"/>
    <d v="2024-08-11T00:00:00"/>
    <x v="5"/>
    <s v="Landing Page SEO"/>
    <s v="Mobile"/>
    <s v="Asia Pacific"/>
    <s v="Lead"/>
    <m/>
    <m/>
    <m/>
    <n v="1"/>
    <x v="6"/>
    <n v="0"/>
    <n v="0"/>
    <n v="0"/>
  </r>
  <r>
    <s v="LD2762"/>
    <d v="2024-04-15T00:00:00"/>
    <x v="3"/>
    <s v="Promo Blast"/>
    <s v="Desktop"/>
    <s v="North America"/>
    <s v="MQL"/>
    <m/>
    <m/>
    <m/>
    <n v="2"/>
    <x v="1"/>
    <n v="1"/>
    <n v="0"/>
    <n v="0"/>
  </r>
  <r>
    <s v="LD6402"/>
    <d v="2024-11-26T00:00:00"/>
    <x v="5"/>
    <s v="Blog SEO"/>
    <s v="Desktop"/>
    <s v="Europe"/>
    <s v="Customer"/>
    <n v="25"/>
    <s v="Pro"/>
    <n v="3076.06"/>
    <n v="4"/>
    <x v="2"/>
    <n v="1"/>
    <n v="1"/>
    <n v="1"/>
  </r>
  <r>
    <s v="LD3740"/>
    <d v="2024-06-18T00:00:00"/>
    <x v="0"/>
    <s v="Facebook Ads"/>
    <s v="Desktop"/>
    <s v="North America"/>
    <s v="Lead"/>
    <m/>
    <m/>
    <m/>
    <n v="1"/>
    <x v="11"/>
    <n v="0"/>
    <n v="0"/>
    <n v="0"/>
  </r>
  <r>
    <s v="LD6638"/>
    <d v="2024-11-22T00:00:00"/>
    <x v="0"/>
    <s v="Instagram Ads"/>
    <s v="Mobile"/>
    <s v="North America"/>
    <s v="Customer"/>
    <n v="30"/>
    <s v="Basic"/>
    <n v="1114.3399999999999"/>
    <n v="4"/>
    <x v="2"/>
    <n v="1"/>
    <n v="1"/>
    <n v="1"/>
  </r>
  <r>
    <s v="LD7313"/>
    <d v="2024-12-13T00:00:00"/>
    <x v="1"/>
    <s v="Google Ads - Generic"/>
    <s v="Tablet"/>
    <s v="North America"/>
    <s v="Lead"/>
    <m/>
    <m/>
    <m/>
    <n v="1"/>
    <x v="7"/>
    <n v="0"/>
    <n v="0"/>
    <n v="0"/>
  </r>
  <r>
    <s v="LD3473"/>
    <d v="2024-05-17T00:00:00"/>
    <x v="4"/>
    <s v="Affiliate Program"/>
    <s v="Desktop"/>
    <s v="Europe"/>
    <s v="Lead"/>
    <m/>
    <m/>
    <m/>
    <n v="1"/>
    <x v="4"/>
    <n v="0"/>
    <n v="0"/>
    <n v="0"/>
  </r>
  <r>
    <s v="LD5008"/>
    <d v="2024-08-08T00:00:00"/>
    <x v="2"/>
    <s v="Direct / Type-in"/>
    <s v="Desktop"/>
    <s v="Europe"/>
    <s v="Lead"/>
    <m/>
    <m/>
    <m/>
    <n v="1"/>
    <x v="6"/>
    <n v="0"/>
    <n v="0"/>
    <n v="0"/>
  </r>
  <r>
    <s v="LD5719"/>
    <d v="2024-10-07T00:00:00"/>
    <x v="5"/>
    <s v="Blog SEO"/>
    <s v="Mobile"/>
    <s v="Asia Pacific"/>
    <s v="MQL"/>
    <m/>
    <m/>
    <m/>
    <n v="2"/>
    <x v="5"/>
    <n v="1"/>
    <n v="0"/>
    <n v="0"/>
  </r>
  <r>
    <s v="LD2494"/>
    <d v="2024-04-23T00:00:00"/>
    <x v="5"/>
    <s v="Blog SEO"/>
    <s v="Mobile"/>
    <s v="North America"/>
    <s v="Lead"/>
    <m/>
    <m/>
    <m/>
    <n v="1"/>
    <x v="1"/>
    <n v="0"/>
    <n v="0"/>
    <n v="0"/>
  </r>
  <r>
    <s v="LD5207"/>
    <d v="2024-09-08T00:00:00"/>
    <x v="1"/>
    <s v="Google Ads - Generic"/>
    <s v="Mobile"/>
    <s v="North America"/>
    <s v="Customer"/>
    <n v="50"/>
    <s v="Basic"/>
    <n v="876.78"/>
    <n v="4"/>
    <x v="9"/>
    <n v="1"/>
    <n v="1"/>
    <n v="1"/>
  </r>
  <r>
    <s v="LD3159"/>
    <d v="2024-05-20T00:00:00"/>
    <x v="1"/>
    <s v="Google Ads - Generic"/>
    <s v="Desktop"/>
    <s v="North America"/>
    <s v="MQL"/>
    <m/>
    <m/>
    <m/>
    <n v="2"/>
    <x v="4"/>
    <n v="1"/>
    <n v="0"/>
    <n v="0"/>
  </r>
  <r>
    <s v="LD2170"/>
    <d v="2024-03-22T00:00:00"/>
    <x v="0"/>
    <s v="LinkedIn Ads"/>
    <s v="Desktop"/>
    <s v="Asia Pacific"/>
    <s v="Lead"/>
    <m/>
    <m/>
    <m/>
    <n v="1"/>
    <x v="8"/>
    <n v="0"/>
    <n v="0"/>
    <n v="0"/>
  </r>
  <r>
    <s v="LD7122"/>
    <d v="2024-12-03T00:00:00"/>
    <x v="5"/>
    <s v="Landing Page SEO"/>
    <s v="Desktop"/>
    <s v="Europe"/>
    <s v="Lead"/>
    <m/>
    <m/>
    <m/>
    <n v="1"/>
    <x v="7"/>
    <n v="0"/>
    <n v="0"/>
    <n v="0"/>
  </r>
  <r>
    <s v="LD1233"/>
    <d v="2024-01-14T00:00:00"/>
    <x v="0"/>
    <s v="Instagram Ads"/>
    <s v="Desktop"/>
    <s v="North America"/>
    <s v="MQL"/>
    <m/>
    <m/>
    <m/>
    <n v="2"/>
    <x v="3"/>
    <n v="1"/>
    <n v="0"/>
    <n v="0"/>
  </r>
  <r>
    <s v="LD1067"/>
    <d v="2024-01-01T00:00:00"/>
    <x v="5"/>
    <s v="Blog SEO"/>
    <s v="Desktop"/>
    <s v="North America"/>
    <s v="Lead"/>
    <m/>
    <m/>
    <m/>
    <n v="1"/>
    <x v="3"/>
    <n v="0"/>
    <n v="0"/>
    <n v="0"/>
  </r>
  <r>
    <s v="LD2604"/>
    <d v="2024-04-26T00:00:00"/>
    <x v="1"/>
    <s v="Google Ads - Brand"/>
    <s v="Mobile"/>
    <s v="North America"/>
    <s v="MQL"/>
    <m/>
    <m/>
    <m/>
    <n v="2"/>
    <x v="1"/>
    <n v="1"/>
    <n v="0"/>
    <n v="0"/>
  </r>
  <r>
    <s v="LD4284"/>
    <d v="2024-07-10T00:00:00"/>
    <x v="3"/>
    <s v="Monthly Newsletter"/>
    <s v="Desktop"/>
    <s v="North America"/>
    <s v="MQL"/>
    <m/>
    <m/>
    <m/>
    <n v="2"/>
    <x v="0"/>
    <n v="1"/>
    <n v="0"/>
    <n v="0"/>
  </r>
  <r>
    <s v="LD4597"/>
    <d v="2024-08-16T00:00:00"/>
    <x v="1"/>
    <s v="Google Ads - Brand"/>
    <s v="Desktop"/>
    <s v="Asia Pacific"/>
    <s v="Lead"/>
    <m/>
    <m/>
    <m/>
    <n v="1"/>
    <x v="6"/>
    <n v="0"/>
    <n v="0"/>
    <n v="0"/>
  </r>
  <r>
    <s v="LD5633"/>
    <d v="2024-10-11T00:00:00"/>
    <x v="5"/>
    <s v="Landing Page SEO"/>
    <s v="Desktop"/>
    <s v="North America"/>
    <s v="MQL"/>
    <m/>
    <m/>
    <m/>
    <n v="2"/>
    <x v="5"/>
    <n v="1"/>
    <n v="0"/>
    <n v="0"/>
  </r>
  <r>
    <s v="LD1126"/>
    <d v="2024-01-07T00:00:00"/>
    <x v="1"/>
    <s v="Google Ads - Brand"/>
    <s v="Desktop"/>
    <s v="North America"/>
    <s v="MQL"/>
    <m/>
    <m/>
    <m/>
    <n v="2"/>
    <x v="3"/>
    <n v="1"/>
    <n v="0"/>
    <n v="0"/>
  </r>
  <r>
    <s v="LD6351"/>
    <d v="2024-11-19T00:00:00"/>
    <x v="5"/>
    <s v="Blog SEO"/>
    <s v="Mobile"/>
    <s v="North America"/>
    <s v="MQL"/>
    <m/>
    <m/>
    <m/>
    <n v="2"/>
    <x v="2"/>
    <n v="1"/>
    <n v="0"/>
    <n v="0"/>
  </r>
  <r>
    <s v="LD2297"/>
    <d v="2024-03-10T00:00:00"/>
    <x v="3"/>
    <s v="Monthly Newsletter"/>
    <s v="Desktop"/>
    <s v="Europe"/>
    <s v="MQL"/>
    <m/>
    <m/>
    <m/>
    <n v="2"/>
    <x v="8"/>
    <n v="1"/>
    <n v="0"/>
    <n v="0"/>
  </r>
  <r>
    <s v="LD2977"/>
    <d v="2024-04-11T00:00:00"/>
    <x v="2"/>
    <s v="Direct / Type-in"/>
    <s v="Mobile"/>
    <s v="Asia Pacific"/>
    <s v="Lead"/>
    <m/>
    <m/>
    <m/>
    <n v="1"/>
    <x v="1"/>
    <n v="0"/>
    <n v="0"/>
    <n v="0"/>
  </r>
  <r>
    <s v="LD7123"/>
    <d v="2024-12-13T00:00:00"/>
    <x v="5"/>
    <s v="Landing Page SEO"/>
    <s v="Desktop"/>
    <s v="Asia Pacific"/>
    <s v="MQL"/>
    <m/>
    <m/>
    <m/>
    <n v="2"/>
    <x v="7"/>
    <n v="1"/>
    <n v="0"/>
    <n v="0"/>
  </r>
  <r>
    <s v="LD7076"/>
    <d v="2024-11-13T00:00:00"/>
    <x v="2"/>
    <s v="Direct / Type-in"/>
    <s v="Desktop"/>
    <s v="Europe"/>
    <s v="SQL"/>
    <m/>
    <m/>
    <m/>
    <n v="3"/>
    <x v="2"/>
    <n v="1"/>
    <n v="1"/>
    <n v="0"/>
  </r>
  <r>
    <s v="LD3076"/>
    <d v="2024-05-19T00:00:00"/>
    <x v="5"/>
    <s v="Blog SEO"/>
    <s v="Mobile"/>
    <s v="North America"/>
    <s v="Lead"/>
    <m/>
    <m/>
    <m/>
    <n v="1"/>
    <x v="4"/>
    <n v="0"/>
    <n v="0"/>
    <n v="0"/>
  </r>
  <r>
    <s v="LD5581"/>
    <d v="2024-09-14T00:00:00"/>
    <x v="2"/>
    <s v="Direct / Type-in"/>
    <s v="Mobile"/>
    <s v="North America"/>
    <s v="SQL"/>
    <m/>
    <m/>
    <m/>
    <n v="3"/>
    <x v="9"/>
    <n v="1"/>
    <n v="1"/>
    <n v="0"/>
  </r>
  <r>
    <s v="LD6751"/>
    <d v="2024-11-15T00:00:00"/>
    <x v="3"/>
    <s v="Monthly Newsletter"/>
    <s v="Mobile"/>
    <s v="Latin America"/>
    <s v="MQL"/>
    <m/>
    <m/>
    <m/>
    <n v="2"/>
    <x v="2"/>
    <n v="1"/>
    <n v="0"/>
    <n v="0"/>
  </r>
  <r>
    <s v="LD7403"/>
    <d v="2024-12-18T00:00:00"/>
    <x v="0"/>
    <s v="LinkedIn Ads"/>
    <s v="Desktop"/>
    <s v="Europe"/>
    <s v="MQL"/>
    <m/>
    <m/>
    <m/>
    <n v="2"/>
    <x v="7"/>
    <n v="1"/>
    <n v="0"/>
    <n v="0"/>
  </r>
  <r>
    <s v="LD4087"/>
    <d v="2024-07-03T00:00:00"/>
    <x v="5"/>
    <s v="Landing Page SEO"/>
    <s v="Desktop"/>
    <s v="North America"/>
    <s v="Lead"/>
    <m/>
    <m/>
    <m/>
    <n v="1"/>
    <x v="0"/>
    <n v="0"/>
    <n v="0"/>
    <n v="0"/>
  </r>
  <r>
    <s v="LD6881"/>
    <d v="2024-11-16T00:00:00"/>
    <x v="3"/>
    <s v="Promo Blast"/>
    <s v="Mobile"/>
    <s v="Latin America"/>
    <s v="Lead"/>
    <m/>
    <m/>
    <m/>
    <n v="1"/>
    <x v="2"/>
    <n v="0"/>
    <n v="0"/>
    <n v="0"/>
  </r>
  <r>
    <s v="LD4346"/>
    <d v="2024-07-06T00:00:00"/>
    <x v="3"/>
    <s v="Promo Blast"/>
    <s v="Desktop"/>
    <s v="Europe"/>
    <s v="MQL"/>
    <m/>
    <m/>
    <m/>
    <n v="2"/>
    <x v="0"/>
    <n v="1"/>
    <n v="0"/>
    <n v="0"/>
  </r>
  <r>
    <s v="LD7054"/>
    <d v="2024-11-02T00:00:00"/>
    <x v="2"/>
    <s v="Direct / Type-in"/>
    <s v="Desktop"/>
    <s v="Europe"/>
    <s v="Lead"/>
    <m/>
    <m/>
    <m/>
    <n v="1"/>
    <x v="2"/>
    <n v="0"/>
    <n v="0"/>
    <n v="0"/>
  </r>
  <r>
    <s v="LD3798"/>
    <d v="2024-06-27T00:00:00"/>
    <x v="3"/>
    <s v="Monthly Newsletter"/>
    <s v="Desktop"/>
    <s v="Europe"/>
    <s v="Lead"/>
    <m/>
    <m/>
    <m/>
    <n v="1"/>
    <x v="11"/>
    <n v="0"/>
    <n v="0"/>
    <n v="0"/>
  </r>
  <r>
    <s v="LD1919"/>
    <d v="2024-02-11T00:00:00"/>
    <x v="2"/>
    <s v="Direct / Type-in"/>
    <s v="Mobile"/>
    <s v="North America"/>
    <s v="Lead"/>
    <m/>
    <m/>
    <m/>
    <n v="1"/>
    <x v="10"/>
    <n v="0"/>
    <n v="0"/>
    <n v="0"/>
  </r>
  <r>
    <s v="LD2647"/>
    <d v="2024-04-21T00:00:00"/>
    <x v="1"/>
    <s v="Google Ads - Brand"/>
    <s v="Desktop"/>
    <s v="North America"/>
    <s v="Lead"/>
    <m/>
    <m/>
    <m/>
    <n v="1"/>
    <x v="1"/>
    <n v="0"/>
    <n v="0"/>
    <n v="0"/>
  </r>
  <r>
    <s v="LD6123"/>
    <d v="2024-10-06T00:00:00"/>
    <x v="3"/>
    <s v="Monthly Newsletter"/>
    <s v="Mobile"/>
    <s v="Europe"/>
    <s v="MQL"/>
    <m/>
    <m/>
    <m/>
    <n v="2"/>
    <x v="5"/>
    <n v="1"/>
    <n v="0"/>
    <n v="0"/>
  </r>
  <r>
    <s v="LD6127"/>
    <d v="2024-10-22T00:00:00"/>
    <x v="3"/>
    <s v="Promo Blast"/>
    <s v="Mobile"/>
    <s v="North America"/>
    <s v="Lead"/>
    <m/>
    <m/>
    <m/>
    <n v="1"/>
    <x v="5"/>
    <n v="0"/>
    <n v="0"/>
    <n v="0"/>
  </r>
  <r>
    <s v="LD5979"/>
    <d v="2024-10-19T00:00:00"/>
    <x v="3"/>
    <s v="Promo Blast"/>
    <s v="Desktop"/>
    <s v="Europe"/>
    <s v="MQL"/>
    <m/>
    <m/>
    <m/>
    <n v="2"/>
    <x v="5"/>
    <n v="1"/>
    <n v="0"/>
    <n v="0"/>
  </r>
  <r>
    <s v="LD6432"/>
    <d v="2024-11-18T00:00:00"/>
    <x v="5"/>
    <s v="Landing Page SEO"/>
    <s v="Mobile"/>
    <s v="Asia Pacific"/>
    <s v="Lead"/>
    <m/>
    <m/>
    <m/>
    <n v="1"/>
    <x v="2"/>
    <n v="0"/>
    <n v="0"/>
    <n v="0"/>
  </r>
  <r>
    <s v="LD5622"/>
    <d v="2024-10-15T00:00:00"/>
    <x v="5"/>
    <s v="Blog SEO"/>
    <s v="Mobile"/>
    <s v="North America"/>
    <s v="MQL"/>
    <m/>
    <m/>
    <m/>
    <n v="2"/>
    <x v="5"/>
    <n v="1"/>
    <n v="0"/>
    <n v="0"/>
  </r>
  <r>
    <s v="LD1365"/>
    <d v="2024-01-27T00:00:00"/>
    <x v="4"/>
    <s v="Partner Program"/>
    <s v="Mobile"/>
    <s v="Latin America"/>
    <s v="MQL"/>
    <m/>
    <m/>
    <m/>
    <n v="2"/>
    <x v="3"/>
    <n v="1"/>
    <n v="0"/>
    <n v="0"/>
  </r>
  <r>
    <s v="LD4288"/>
    <d v="2024-07-23T00:00:00"/>
    <x v="3"/>
    <s v="Monthly Newsletter"/>
    <s v="Desktop"/>
    <s v="North America"/>
    <s v="SQL"/>
    <m/>
    <m/>
    <m/>
    <n v="3"/>
    <x v="0"/>
    <n v="1"/>
    <n v="1"/>
    <n v="0"/>
  </r>
  <r>
    <s v="LD3126"/>
    <d v="2024-05-06T00:00:00"/>
    <x v="1"/>
    <s v="Google Ads - Generic"/>
    <s v="Desktop"/>
    <s v="Europe"/>
    <s v="MQL"/>
    <m/>
    <m/>
    <m/>
    <n v="2"/>
    <x v="4"/>
    <n v="1"/>
    <n v="0"/>
    <n v="0"/>
  </r>
  <r>
    <s v="LD5124"/>
    <d v="2024-09-24T00:00:00"/>
    <x v="5"/>
    <s v="Blog SEO"/>
    <s v="Mobile"/>
    <s v="North America"/>
    <s v="Customer"/>
    <n v="67"/>
    <s v="Enterprise"/>
    <n v="11288.93"/>
    <n v="4"/>
    <x v="9"/>
    <n v="1"/>
    <n v="1"/>
    <n v="1"/>
  </r>
  <r>
    <s v="LD5570"/>
    <d v="2024-09-19T00:00:00"/>
    <x v="2"/>
    <s v="Direct / Type-in"/>
    <s v="Mobile"/>
    <s v="North America"/>
    <s v="Lead"/>
    <m/>
    <m/>
    <m/>
    <n v="1"/>
    <x v="9"/>
    <n v="0"/>
    <n v="0"/>
    <n v="0"/>
  </r>
  <r>
    <s v="LD1526"/>
    <d v="2024-02-13T00:00:00"/>
    <x v="5"/>
    <s v="Landing Page SEO"/>
    <s v="Desktop"/>
    <s v="Asia Pacific"/>
    <s v="MQL"/>
    <m/>
    <m/>
    <m/>
    <n v="2"/>
    <x v="10"/>
    <n v="1"/>
    <n v="0"/>
    <n v="0"/>
  </r>
  <r>
    <s v="LD5822"/>
    <d v="2024-10-24T00:00:00"/>
    <x v="1"/>
    <s v="Google Ads - Brand"/>
    <s v="Desktop"/>
    <s v="Asia Pacific"/>
    <s v="MQL"/>
    <m/>
    <m/>
    <m/>
    <n v="2"/>
    <x v="5"/>
    <n v="1"/>
    <n v="0"/>
    <n v="0"/>
  </r>
  <r>
    <s v="LD1056"/>
    <d v="2024-01-26T00:00:00"/>
    <x v="5"/>
    <s v="Blog SEO"/>
    <s v="Mobile"/>
    <s v="North America"/>
    <s v="SQL"/>
    <m/>
    <m/>
    <m/>
    <n v="3"/>
    <x v="3"/>
    <n v="1"/>
    <n v="1"/>
    <n v="0"/>
  </r>
  <r>
    <s v="LD1639"/>
    <d v="2024-02-08T00:00:00"/>
    <x v="1"/>
    <s v="Google Ads - Generic"/>
    <s v="Tablet"/>
    <s v="North America"/>
    <s v="MQL"/>
    <m/>
    <m/>
    <m/>
    <n v="2"/>
    <x v="10"/>
    <n v="1"/>
    <n v="0"/>
    <n v="0"/>
  </r>
  <r>
    <s v="LD1303"/>
    <d v="2024-01-08T00:00:00"/>
    <x v="3"/>
    <s v="Promo Blast"/>
    <s v="Tablet"/>
    <s v="Europe"/>
    <s v="Customer"/>
    <n v="42"/>
    <s v="Basic"/>
    <n v="802.82"/>
    <n v="4"/>
    <x v="3"/>
    <n v="1"/>
    <n v="1"/>
    <n v="1"/>
  </r>
  <r>
    <s v="LD3767"/>
    <d v="2024-06-14T00:00:00"/>
    <x v="0"/>
    <s v="LinkedIn Ads"/>
    <s v="Desktop"/>
    <s v="Asia Pacific"/>
    <s v="Lead"/>
    <m/>
    <m/>
    <m/>
    <n v="1"/>
    <x v="11"/>
    <n v="0"/>
    <n v="0"/>
    <n v="0"/>
  </r>
  <r>
    <s v="LD6812"/>
    <d v="2024-11-15T00:00:00"/>
    <x v="3"/>
    <s v="Monthly Newsletter"/>
    <s v="Mobile"/>
    <s v="Europe"/>
    <s v="SQL"/>
    <m/>
    <m/>
    <m/>
    <n v="3"/>
    <x v="2"/>
    <n v="1"/>
    <n v="1"/>
    <n v="0"/>
  </r>
  <r>
    <s v="LD2277"/>
    <d v="2024-03-23T00:00:00"/>
    <x v="3"/>
    <s v="Promo Blast"/>
    <s v="Desktop"/>
    <s v="Asia Pacific"/>
    <s v="Lead"/>
    <m/>
    <m/>
    <m/>
    <n v="1"/>
    <x v="8"/>
    <n v="0"/>
    <n v="0"/>
    <n v="0"/>
  </r>
  <r>
    <s v="LD5721"/>
    <d v="2024-10-11T00:00:00"/>
    <x v="5"/>
    <s v="Landing Page SEO"/>
    <s v="Mobile"/>
    <s v="Europe"/>
    <s v="MQL"/>
    <m/>
    <m/>
    <m/>
    <n v="2"/>
    <x v="5"/>
    <n v="1"/>
    <n v="0"/>
    <n v="0"/>
  </r>
  <r>
    <s v="LD3056"/>
    <d v="2024-05-05T00:00:00"/>
    <x v="5"/>
    <s v="Landing Page SEO"/>
    <s v="Mobile"/>
    <s v="Asia Pacific"/>
    <s v="SQL"/>
    <m/>
    <m/>
    <m/>
    <n v="3"/>
    <x v="4"/>
    <n v="1"/>
    <n v="1"/>
    <n v="0"/>
  </r>
  <r>
    <s v="LD6377"/>
    <d v="2024-11-22T00:00:00"/>
    <x v="5"/>
    <s v="Landing Page SEO"/>
    <s v="Desktop"/>
    <s v="Europe"/>
    <s v="SQL"/>
    <m/>
    <m/>
    <m/>
    <n v="3"/>
    <x v="2"/>
    <n v="1"/>
    <n v="1"/>
    <n v="0"/>
  </r>
  <r>
    <s v="LD6146"/>
    <d v="2024-10-27T00:00:00"/>
    <x v="4"/>
    <s v="Partner Program"/>
    <s v="Mobile"/>
    <s v="Asia Pacific"/>
    <s v="Lead"/>
    <m/>
    <m/>
    <m/>
    <n v="1"/>
    <x v="5"/>
    <n v="0"/>
    <n v="0"/>
    <n v="0"/>
  </r>
  <r>
    <s v="LD5433"/>
    <d v="2024-09-26T00:00:00"/>
    <x v="3"/>
    <s v="Monthly Newsletter"/>
    <s v="Desktop"/>
    <s v="Europe"/>
    <s v="SQL"/>
    <m/>
    <m/>
    <m/>
    <n v="3"/>
    <x v="9"/>
    <n v="1"/>
    <n v="1"/>
    <n v="0"/>
  </r>
  <r>
    <s v="LD4645"/>
    <d v="2024-08-13T00:00:00"/>
    <x v="1"/>
    <s v="Google Ads - Brand"/>
    <s v="Desktop"/>
    <s v="Latin America"/>
    <s v="Lead"/>
    <m/>
    <m/>
    <m/>
    <n v="1"/>
    <x v="6"/>
    <n v="0"/>
    <n v="0"/>
    <n v="0"/>
  </r>
  <r>
    <s v="LD5144"/>
    <d v="2024-09-16T00:00:00"/>
    <x v="1"/>
    <s v="Google Ads - Generic"/>
    <s v="Desktop"/>
    <s v="North America"/>
    <s v="Lead"/>
    <m/>
    <m/>
    <m/>
    <n v="1"/>
    <x v="9"/>
    <n v="0"/>
    <n v="0"/>
    <n v="0"/>
  </r>
  <r>
    <s v="LD3879"/>
    <d v="2024-06-23T00:00:00"/>
    <x v="3"/>
    <s v="Monthly Newsletter"/>
    <s v="Mobile"/>
    <s v="Asia Pacific"/>
    <s v="SQL"/>
    <m/>
    <m/>
    <m/>
    <n v="3"/>
    <x v="11"/>
    <n v="1"/>
    <n v="1"/>
    <n v="0"/>
  </r>
  <r>
    <s v="LD5203"/>
    <d v="2024-09-20T00:00:00"/>
    <x v="1"/>
    <s v="Google Ads - Brand"/>
    <s v="Desktop"/>
    <s v="Latin America"/>
    <s v="Customer"/>
    <n v="52"/>
    <s v="Pro"/>
    <n v="4899.12"/>
    <n v="4"/>
    <x v="9"/>
    <n v="1"/>
    <n v="1"/>
    <n v="1"/>
  </r>
  <r>
    <s v="LD6176"/>
    <d v="2024-10-20T00:00:00"/>
    <x v="4"/>
    <s v="Partner Program"/>
    <s v="Mobile"/>
    <s v="Asia Pacific"/>
    <s v="Lead"/>
    <m/>
    <m/>
    <m/>
    <n v="1"/>
    <x v="5"/>
    <n v="0"/>
    <n v="0"/>
    <n v="0"/>
  </r>
  <r>
    <s v="LD3287"/>
    <d v="2024-05-14T00:00:00"/>
    <x v="0"/>
    <s v="Instagram Ads"/>
    <s v="Desktop"/>
    <s v="Asia Pacific"/>
    <s v="MQL"/>
    <m/>
    <m/>
    <m/>
    <n v="2"/>
    <x v="4"/>
    <n v="1"/>
    <n v="0"/>
    <n v="0"/>
  </r>
  <r>
    <s v="LD3262"/>
    <d v="2024-05-20T00:00:00"/>
    <x v="0"/>
    <s v="Facebook Ads"/>
    <s v="Tablet"/>
    <s v="Asia Pacific"/>
    <s v="Lead"/>
    <m/>
    <m/>
    <m/>
    <n v="1"/>
    <x v="4"/>
    <n v="0"/>
    <n v="0"/>
    <n v="0"/>
  </r>
  <r>
    <s v="LD6241"/>
    <d v="2024-10-07T00:00:00"/>
    <x v="2"/>
    <s v="Direct / Type-in"/>
    <s v="Mobile"/>
    <s v="Europe"/>
    <s v="MQL"/>
    <m/>
    <m/>
    <m/>
    <n v="2"/>
    <x v="5"/>
    <n v="1"/>
    <n v="0"/>
    <n v="0"/>
  </r>
  <r>
    <s v="LD3297"/>
    <d v="2024-05-17T00:00:00"/>
    <x v="3"/>
    <s v="Monthly Newsletter"/>
    <s v="Mobile"/>
    <s v="Europe"/>
    <s v="Customer"/>
    <n v="39"/>
    <s v="Enterprise"/>
    <n v="10251.76"/>
    <n v="4"/>
    <x v="4"/>
    <n v="1"/>
    <n v="1"/>
    <n v="1"/>
  </r>
  <r>
    <s v="LD2754"/>
    <d v="2024-04-28T00:00:00"/>
    <x v="3"/>
    <s v="Monthly Newsletter"/>
    <s v="Mobile"/>
    <s v="North America"/>
    <s v="SQL"/>
    <m/>
    <m/>
    <m/>
    <n v="3"/>
    <x v="1"/>
    <n v="1"/>
    <n v="1"/>
    <n v="0"/>
  </r>
  <r>
    <s v="LD6198"/>
    <d v="2024-10-06T00:00:00"/>
    <x v="4"/>
    <s v="Affiliate Program"/>
    <s v="Desktop"/>
    <s v="Latin America"/>
    <s v="MQL"/>
    <m/>
    <m/>
    <m/>
    <n v="2"/>
    <x v="5"/>
    <n v="1"/>
    <n v="0"/>
    <n v="0"/>
  </r>
  <r>
    <s v="LD2969"/>
    <d v="2024-04-05T00:00:00"/>
    <x v="2"/>
    <s v="Direct / Type-in"/>
    <s v="Desktop"/>
    <s v="Europe"/>
    <s v="MQL"/>
    <m/>
    <m/>
    <m/>
    <n v="2"/>
    <x v="1"/>
    <n v="1"/>
    <n v="0"/>
    <n v="0"/>
  </r>
  <r>
    <s v="LD6888"/>
    <d v="2024-11-07T00:00:00"/>
    <x v="3"/>
    <s v="Monthly Newsletter"/>
    <s v="Tablet"/>
    <s v="North America"/>
    <s v="MQL"/>
    <m/>
    <m/>
    <m/>
    <n v="2"/>
    <x v="2"/>
    <n v="1"/>
    <n v="0"/>
    <n v="0"/>
  </r>
  <r>
    <s v="LD4118"/>
    <d v="2024-07-02T00:00:00"/>
    <x v="5"/>
    <s v="Blog SEO"/>
    <s v="Tablet"/>
    <s v="North America"/>
    <s v="Lead"/>
    <m/>
    <m/>
    <m/>
    <n v="1"/>
    <x v="0"/>
    <n v="0"/>
    <n v="0"/>
    <n v="0"/>
  </r>
  <r>
    <s v="LD3394"/>
    <d v="2024-05-18T00:00:00"/>
    <x v="3"/>
    <s v="Monthly Newsletter"/>
    <s v="Desktop"/>
    <s v="Europe"/>
    <s v="MQL"/>
    <m/>
    <m/>
    <m/>
    <n v="2"/>
    <x v="4"/>
    <n v="1"/>
    <n v="0"/>
    <n v="0"/>
  </r>
  <r>
    <s v="LD1524"/>
    <d v="2024-02-16T00:00:00"/>
    <x v="5"/>
    <s v="Blog SEO"/>
    <s v="Desktop"/>
    <s v="North America"/>
    <s v="MQL"/>
    <m/>
    <m/>
    <m/>
    <n v="2"/>
    <x v="10"/>
    <n v="1"/>
    <n v="0"/>
    <n v="0"/>
  </r>
  <r>
    <s v="LD6525"/>
    <d v="2024-11-16T00:00:00"/>
    <x v="1"/>
    <s v="Google Ads - Generic"/>
    <s v="Desktop"/>
    <s v="North America"/>
    <s v="SQL"/>
    <m/>
    <m/>
    <m/>
    <n v="3"/>
    <x v="2"/>
    <n v="1"/>
    <n v="1"/>
    <n v="0"/>
  </r>
  <r>
    <s v="LD4901"/>
    <d v="2024-08-22T00:00:00"/>
    <x v="4"/>
    <s v="Partner Program"/>
    <s v="Desktop"/>
    <s v="Asia Pacific"/>
    <s v="SQL"/>
    <m/>
    <m/>
    <m/>
    <n v="3"/>
    <x v="6"/>
    <n v="1"/>
    <n v="1"/>
    <n v="0"/>
  </r>
  <r>
    <s v="LD7318"/>
    <d v="2024-12-22T00:00:00"/>
    <x v="1"/>
    <s v="Google Ads - Generic"/>
    <s v="Mobile"/>
    <s v="North America"/>
    <s v="Lead"/>
    <m/>
    <m/>
    <m/>
    <n v="1"/>
    <x v="7"/>
    <n v="0"/>
    <n v="0"/>
    <n v="0"/>
  </r>
  <r>
    <s v="LD5700"/>
    <d v="2024-10-15T00:00:00"/>
    <x v="5"/>
    <s v="Blog SEO"/>
    <s v="Mobile"/>
    <s v="North America"/>
    <s v="SQL"/>
    <m/>
    <m/>
    <m/>
    <n v="3"/>
    <x v="5"/>
    <n v="1"/>
    <n v="1"/>
    <n v="0"/>
  </r>
  <r>
    <s v="LD6586"/>
    <d v="2024-11-15T00:00:00"/>
    <x v="1"/>
    <s v="Google Ads - Brand"/>
    <s v="Desktop"/>
    <s v="Europe"/>
    <s v="MQL"/>
    <m/>
    <m/>
    <m/>
    <n v="2"/>
    <x v="2"/>
    <n v="1"/>
    <n v="0"/>
    <n v="0"/>
  </r>
  <r>
    <s v="LD6980"/>
    <d v="2024-11-17T00:00:00"/>
    <x v="4"/>
    <s v="Partner Program"/>
    <s v="Desktop"/>
    <s v="Latin America"/>
    <s v="Customer"/>
    <n v="33"/>
    <s v="Pro"/>
    <n v="2614.21"/>
    <n v="4"/>
    <x v="2"/>
    <n v="1"/>
    <n v="1"/>
    <n v="1"/>
  </r>
  <r>
    <s v="LD4123"/>
    <d v="2024-07-04T00:00:00"/>
    <x v="1"/>
    <s v="Google Ads - Brand"/>
    <s v="Tablet"/>
    <s v="North America"/>
    <s v="Lead"/>
    <m/>
    <m/>
    <m/>
    <n v="1"/>
    <x v="0"/>
    <n v="0"/>
    <n v="0"/>
    <n v="0"/>
  </r>
  <r>
    <s v="LD5157"/>
    <d v="2024-09-13T00:00:00"/>
    <x v="1"/>
    <s v="Google Ads - Generic"/>
    <s v="Desktop"/>
    <s v="North America"/>
    <s v="Customer"/>
    <n v="44"/>
    <s v="Pro"/>
    <n v="3788.68"/>
    <n v="4"/>
    <x v="9"/>
    <n v="1"/>
    <n v="1"/>
    <n v="1"/>
  </r>
  <r>
    <s v="LD2970"/>
    <d v="2024-04-08T00:00:00"/>
    <x v="2"/>
    <s v="Direct / Type-in"/>
    <s v="Desktop"/>
    <s v="North America"/>
    <s v="Lead"/>
    <m/>
    <m/>
    <m/>
    <n v="1"/>
    <x v="1"/>
    <n v="0"/>
    <n v="0"/>
    <n v="0"/>
  </r>
  <r>
    <s v="LD1672"/>
    <d v="2024-02-13T00:00:00"/>
    <x v="0"/>
    <s v="Instagram Ads"/>
    <s v="Tablet"/>
    <s v="Latin America"/>
    <s v="MQL"/>
    <m/>
    <m/>
    <m/>
    <n v="2"/>
    <x v="10"/>
    <n v="1"/>
    <n v="0"/>
    <n v="0"/>
  </r>
  <r>
    <s v="LD5189"/>
    <d v="2024-09-03T00:00:00"/>
    <x v="1"/>
    <s v="Google Ads - Generic"/>
    <s v="Mobile"/>
    <s v="Europe"/>
    <s v="Customer"/>
    <n v="42"/>
    <s v="Basic"/>
    <n v="1222.8900000000001"/>
    <n v="4"/>
    <x v="9"/>
    <n v="1"/>
    <n v="1"/>
    <n v="1"/>
  </r>
  <r>
    <s v="LD1667"/>
    <d v="2024-02-07T00:00:00"/>
    <x v="0"/>
    <s v="Instagram Ads"/>
    <s v="Mobile"/>
    <s v="North America"/>
    <s v="SQL"/>
    <m/>
    <m/>
    <m/>
    <n v="3"/>
    <x v="10"/>
    <n v="1"/>
    <n v="1"/>
    <n v="0"/>
  </r>
  <r>
    <s v="LD6873"/>
    <d v="2024-11-27T00:00:00"/>
    <x v="3"/>
    <s v="Promo Blast"/>
    <s v="Mobile"/>
    <s v="Europe"/>
    <s v="SQL"/>
    <m/>
    <m/>
    <m/>
    <n v="3"/>
    <x v="2"/>
    <n v="1"/>
    <n v="1"/>
    <n v="0"/>
  </r>
  <r>
    <s v="LD2888"/>
    <d v="2024-04-26T00:00:00"/>
    <x v="4"/>
    <s v="Partner Program"/>
    <s v="Mobile"/>
    <s v="Europe"/>
    <s v="Customer"/>
    <n v="44"/>
    <s v="Enterprise"/>
    <n v="9930.27"/>
    <n v="4"/>
    <x v="1"/>
    <n v="1"/>
    <n v="1"/>
    <n v="1"/>
  </r>
  <r>
    <s v="LD4267"/>
    <d v="2024-07-17T00:00:00"/>
    <x v="0"/>
    <s v="LinkedIn Ads"/>
    <s v="Mobile"/>
    <s v="Europe"/>
    <s v="Lead"/>
    <m/>
    <m/>
    <m/>
    <n v="1"/>
    <x v="0"/>
    <n v="0"/>
    <n v="0"/>
    <n v="0"/>
  </r>
  <r>
    <s v="LD1281"/>
    <d v="2024-01-24T00:00:00"/>
    <x v="3"/>
    <s v="Promo Blast"/>
    <s v="Mobile"/>
    <s v="North America"/>
    <s v="Lead"/>
    <m/>
    <m/>
    <m/>
    <n v="1"/>
    <x v="3"/>
    <n v="0"/>
    <n v="0"/>
    <n v="0"/>
  </r>
  <r>
    <s v="LD2720"/>
    <d v="2024-04-26T00:00:00"/>
    <x v="0"/>
    <s v="Facebook Ads"/>
    <s v="Desktop"/>
    <s v="North America"/>
    <s v="MQL"/>
    <m/>
    <m/>
    <m/>
    <n v="2"/>
    <x v="1"/>
    <n v="1"/>
    <n v="0"/>
    <n v="0"/>
  </r>
  <r>
    <s v="LD3948"/>
    <d v="2024-06-18T00:00:00"/>
    <x v="4"/>
    <s v="Partner Program"/>
    <s v="Desktop"/>
    <s v="Europe"/>
    <s v="Lead"/>
    <m/>
    <m/>
    <m/>
    <n v="1"/>
    <x v="11"/>
    <n v="0"/>
    <n v="0"/>
    <n v="0"/>
  </r>
  <r>
    <s v="LD5456"/>
    <d v="2024-09-14T00:00:00"/>
    <x v="4"/>
    <s v="Partner Program"/>
    <s v="Mobile"/>
    <s v="North America"/>
    <s v="MQL"/>
    <m/>
    <m/>
    <m/>
    <n v="2"/>
    <x v="9"/>
    <n v="1"/>
    <n v="0"/>
    <n v="0"/>
  </r>
  <r>
    <s v="LD1900"/>
    <d v="2024-02-20T00:00:00"/>
    <x v="2"/>
    <s v="Direct / Type-in"/>
    <s v="Desktop"/>
    <s v="North America"/>
    <s v="Lead"/>
    <m/>
    <m/>
    <m/>
    <n v="1"/>
    <x v="10"/>
    <n v="0"/>
    <n v="0"/>
    <n v="0"/>
  </r>
  <r>
    <s v="LD7574"/>
    <d v="2024-12-04T00:00:00"/>
    <x v="3"/>
    <s v="Promo Blast"/>
    <s v="Mobile"/>
    <s v="Europe"/>
    <s v="MQL"/>
    <m/>
    <m/>
    <m/>
    <n v="2"/>
    <x v="7"/>
    <n v="1"/>
    <n v="0"/>
    <n v="0"/>
  </r>
  <r>
    <s v="LD1761"/>
    <d v="2024-02-26T00:00:00"/>
    <x v="3"/>
    <s v="Monthly Newsletter"/>
    <s v="Mobile"/>
    <s v="North America"/>
    <s v="MQL"/>
    <m/>
    <m/>
    <m/>
    <n v="2"/>
    <x v="10"/>
    <n v="1"/>
    <n v="0"/>
    <n v="0"/>
  </r>
  <r>
    <s v="LD2907"/>
    <d v="2024-04-08T00:00:00"/>
    <x v="4"/>
    <s v="Partner Program"/>
    <s v="Desktop"/>
    <s v="Asia Pacific"/>
    <s v="Lead"/>
    <m/>
    <m/>
    <m/>
    <n v="1"/>
    <x v="1"/>
    <n v="0"/>
    <n v="0"/>
    <n v="0"/>
  </r>
  <r>
    <s v="LD5043"/>
    <d v="2024-09-05T00:00:00"/>
    <x v="5"/>
    <s v="Landing Page SEO"/>
    <s v="Desktop"/>
    <s v="Europe"/>
    <s v="SQL"/>
    <m/>
    <m/>
    <m/>
    <n v="3"/>
    <x v="9"/>
    <n v="1"/>
    <n v="1"/>
    <n v="0"/>
  </r>
  <r>
    <s v="LD4824"/>
    <d v="2024-08-01T00:00:00"/>
    <x v="3"/>
    <s v="Promo Blast"/>
    <s v="Desktop"/>
    <s v="North America"/>
    <s v="MQL"/>
    <m/>
    <m/>
    <m/>
    <n v="2"/>
    <x v="6"/>
    <n v="1"/>
    <n v="0"/>
    <n v="0"/>
  </r>
  <r>
    <s v="LD5139"/>
    <d v="2024-09-26T00:00:00"/>
    <x v="1"/>
    <s v="Google Ads - Brand"/>
    <s v="Mobile"/>
    <s v="North America"/>
    <s v="Lead"/>
    <m/>
    <m/>
    <m/>
    <n v="1"/>
    <x v="9"/>
    <n v="0"/>
    <n v="0"/>
    <n v="0"/>
  </r>
  <r>
    <s v="LD4819"/>
    <d v="2024-08-08T00:00:00"/>
    <x v="3"/>
    <s v="Promo Blast"/>
    <s v="Desktop"/>
    <s v="Europe"/>
    <s v="MQL"/>
    <m/>
    <m/>
    <m/>
    <n v="2"/>
    <x v="6"/>
    <n v="1"/>
    <n v="0"/>
    <n v="0"/>
  </r>
  <r>
    <s v="LD5301"/>
    <d v="2024-09-04T00:00:00"/>
    <x v="0"/>
    <s v="LinkedIn Ads"/>
    <s v="Desktop"/>
    <s v="North America"/>
    <s v="Lead"/>
    <m/>
    <m/>
    <m/>
    <n v="1"/>
    <x v="9"/>
    <n v="0"/>
    <n v="0"/>
    <n v="0"/>
  </r>
  <r>
    <s v="LD6570"/>
    <d v="2024-11-06T00:00:00"/>
    <x v="1"/>
    <s v="Google Ads - Generic"/>
    <s v="Mobile"/>
    <s v="Asia Pacific"/>
    <s v="MQL"/>
    <m/>
    <m/>
    <m/>
    <n v="2"/>
    <x v="2"/>
    <n v="1"/>
    <n v="0"/>
    <n v="0"/>
  </r>
  <r>
    <s v="LD3594"/>
    <d v="2024-06-26T00:00:00"/>
    <x v="5"/>
    <s v="Blog SEO"/>
    <s v="Tablet"/>
    <s v="North America"/>
    <s v="MQL"/>
    <m/>
    <m/>
    <m/>
    <n v="2"/>
    <x v="11"/>
    <n v="1"/>
    <n v="0"/>
    <n v="0"/>
  </r>
  <r>
    <s v="LD5165"/>
    <d v="2024-09-17T00:00:00"/>
    <x v="1"/>
    <s v="Google Ads - Brand"/>
    <s v="Desktop"/>
    <s v="Europe"/>
    <s v="Lead"/>
    <m/>
    <m/>
    <m/>
    <n v="1"/>
    <x v="9"/>
    <n v="0"/>
    <n v="0"/>
    <n v="0"/>
  </r>
  <r>
    <s v="LD4032"/>
    <d v="2024-06-27T00:00:00"/>
    <x v="2"/>
    <s v="Direct / Type-in"/>
    <s v="Mobile"/>
    <s v="Europe"/>
    <s v="Lead"/>
    <m/>
    <m/>
    <m/>
    <n v="1"/>
    <x v="11"/>
    <n v="0"/>
    <n v="0"/>
    <n v="0"/>
  </r>
  <r>
    <s v="LD4580"/>
    <d v="2024-08-28T00:00:00"/>
    <x v="1"/>
    <s v="Google Ads - Generic"/>
    <s v="Mobile"/>
    <s v="North America"/>
    <s v="MQL"/>
    <m/>
    <m/>
    <m/>
    <n v="2"/>
    <x v="6"/>
    <n v="1"/>
    <n v="0"/>
    <n v="0"/>
  </r>
  <r>
    <s v="LD3833"/>
    <d v="2024-06-19T00:00:00"/>
    <x v="3"/>
    <s v="Promo Blast"/>
    <s v="Mobile"/>
    <s v="Asia Pacific"/>
    <s v="MQL"/>
    <m/>
    <m/>
    <m/>
    <n v="2"/>
    <x v="11"/>
    <n v="1"/>
    <n v="0"/>
    <n v="0"/>
  </r>
  <r>
    <s v="LD6450"/>
    <d v="2024-11-28T00:00:00"/>
    <x v="5"/>
    <s v="Landing Page SEO"/>
    <s v="Desktop"/>
    <s v="Europe"/>
    <s v="MQL"/>
    <m/>
    <m/>
    <m/>
    <n v="2"/>
    <x v="2"/>
    <n v="1"/>
    <n v="0"/>
    <n v="0"/>
  </r>
  <r>
    <s v="LD4473"/>
    <d v="2024-07-16T00:00:00"/>
    <x v="2"/>
    <s v="Direct / Type-in"/>
    <s v="Desktop"/>
    <s v="North America"/>
    <s v="MQL"/>
    <m/>
    <m/>
    <m/>
    <n v="2"/>
    <x v="0"/>
    <n v="1"/>
    <n v="0"/>
    <n v="0"/>
  </r>
  <r>
    <s v="LD1138"/>
    <d v="2024-01-11T00:00:00"/>
    <x v="1"/>
    <s v="Google Ads - Brand"/>
    <s v="Mobile"/>
    <s v="North America"/>
    <s v="Lead"/>
    <m/>
    <m/>
    <m/>
    <n v="1"/>
    <x v="3"/>
    <n v="0"/>
    <n v="0"/>
    <n v="0"/>
  </r>
  <r>
    <s v="LD5893"/>
    <d v="2024-10-28T00:00:00"/>
    <x v="0"/>
    <s v="Facebook Ads"/>
    <s v="Desktop"/>
    <s v="North America"/>
    <s v="Lead"/>
    <m/>
    <m/>
    <m/>
    <n v="1"/>
    <x v="5"/>
    <n v="0"/>
    <n v="0"/>
    <n v="0"/>
  </r>
  <r>
    <s v="LD3181"/>
    <d v="2024-05-03T00:00:00"/>
    <x v="1"/>
    <s v="Google Ads - Brand"/>
    <s v="Desktop"/>
    <s v="Latin America"/>
    <s v="Lead"/>
    <m/>
    <m/>
    <m/>
    <n v="1"/>
    <x v="4"/>
    <n v="0"/>
    <n v="0"/>
    <n v="0"/>
  </r>
  <r>
    <s v="LD3129"/>
    <d v="2024-05-12T00:00:00"/>
    <x v="1"/>
    <s v="Google Ads - Brand"/>
    <s v="Mobile"/>
    <s v="Latin America"/>
    <s v="Lead"/>
    <m/>
    <m/>
    <m/>
    <n v="1"/>
    <x v="4"/>
    <n v="0"/>
    <n v="0"/>
    <n v="0"/>
  </r>
  <r>
    <s v="LD4178"/>
    <d v="2024-07-13T00:00:00"/>
    <x v="1"/>
    <s v="Google Ads - Brand"/>
    <s v="Mobile"/>
    <s v="Europe"/>
    <s v="SQL"/>
    <m/>
    <m/>
    <m/>
    <n v="3"/>
    <x v="0"/>
    <n v="1"/>
    <n v="1"/>
    <n v="0"/>
  </r>
  <r>
    <s v="LD5855"/>
    <d v="2024-10-19T00:00:00"/>
    <x v="0"/>
    <s v="Instagram Ads"/>
    <s v="Desktop"/>
    <s v="North America"/>
    <s v="Lead"/>
    <m/>
    <m/>
    <m/>
    <n v="1"/>
    <x v="5"/>
    <n v="0"/>
    <n v="0"/>
    <n v="0"/>
  </r>
  <r>
    <s v="LD5638"/>
    <d v="2024-10-01T00:00:00"/>
    <x v="5"/>
    <s v="Landing Page SEO"/>
    <s v="Desktop"/>
    <s v="Europe"/>
    <s v="Lead"/>
    <m/>
    <m/>
    <m/>
    <n v="1"/>
    <x v="5"/>
    <n v="0"/>
    <n v="0"/>
    <n v="0"/>
  </r>
  <r>
    <s v="LD6116"/>
    <d v="2024-10-20T00:00:00"/>
    <x v="3"/>
    <s v="Promo Blast"/>
    <s v="Mobile"/>
    <s v="Europe"/>
    <s v="Lead"/>
    <m/>
    <m/>
    <m/>
    <n v="1"/>
    <x v="5"/>
    <n v="0"/>
    <n v="0"/>
    <n v="0"/>
  </r>
  <r>
    <s v="LD6910"/>
    <d v="2024-11-04T00:00:00"/>
    <x v="4"/>
    <s v="Affiliate Program"/>
    <s v="Desktop"/>
    <s v="North America"/>
    <s v="Customer"/>
    <n v="46"/>
    <s v="Pro"/>
    <n v="4185.2299999999996"/>
    <n v="4"/>
    <x v="2"/>
    <n v="1"/>
    <n v="1"/>
    <n v="1"/>
  </r>
  <r>
    <s v="LD5262"/>
    <d v="2024-09-03T00:00:00"/>
    <x v="0"/>
    <s v="LinkedIn Ads"/>
    <s v="Desktop"/>
    <s v="North America"/>
    <s v="MQL"/>
    <m/>
    <m/>
    <m/>
    <n v="2"/>
    <x v="9"/>
    <n v="1"/>
    <n v="0"/>
    <n v="0"/>
  </r>
  <r>
    <s v="LD5345"/>
    <d v="2024-09-24T00:00:00"/>
    <x v="3"/>
    <s v="Promo Blast"/>
    <s v="Mobile"/>
    <s v="Asia Pacific"/>
    <s v="MQL"/>
    <m/>
    <m/>
    <m/>
    <n v="2"/>
    <x v="9"/>
    <n v="1"/>
    <n v="0"/>
    <n v="0"/>
  </r>
  <r>
    <s v="LD2332"/>
    <d v="2024-03-07T00:00:00"/>
    <x v="4"/>
    <s v="Partner Program"/>
    <s v="Mobile"/>
    <s v="Europe"/>
    <s v="Lead"/>
    <m/>
    <m/>
    <m/>
    <n v="1"/>
    <x v="8"/>
    <n v="0"/>
    <n v="0"/>
    <n v="0"/>
  </r>
  <r>
    <s v="LD3018"/>
    <d v="2024-05-24T00:00:00"/>
    <x v="5"/>
    <s v="Landing Page SEO"/>
    <s v="Mobile"/>
    <s v="Europe"/>
    <s v="MQL"/>
    <m/>
    <m/>
    <m/>
    <n v="2"/>
    <x v="4"/>
    <n v="1"/>
    <n v="0"/>
    <n v="0"/>
  </r>
  <r>
    <s v="LD5543"/>
    <d v="2024-09-21T00:00:00"/>
    <x v="2"/>
    <s v="Direct / Type-in"/>
    <s v="Desktop"/>
    <s v="North America"/>
    <s v="Lead"/>
    <m/>
    <m/>
    <m/>
    <n v="1"/>
    <x v="9"/>
    <n v="0"/>
    <n v="0"/>
    <n v="0"/>
  </r>
  <r>
    <s v="LD3483"/>
    <d v="2024-05-04T00:00:00"/>
    <x v="4"/>
    <s v="Affiliate Program"/>
    <s v="Desktop"/>
    <s v="North America"/>
    <s v="Lead"/>
    <m/>
    <m/>
    <m/>
    <n v="1"/>
    <x v="4"/>
    <n v="0"/>
    <n v="0"/>
    <n v="0"/>
  </r>
  <r>
    <s v="LD2359"/>
    <d v="2024-03-26T00:00:00"/>
    <x v="4"/>
    <s v="Partner Program"/>
    <s v="Desktop"/>
    <s v="Europe"/>
    <s v="Lead"/>
    <m/>
    <m/>
    <m/>
    <n v="1"/>
    <x v="8"/>
    <n v="0"/>
    <n v="0"/>
    <n v="0"/>
  </r>
  <r>
    <s v="LD2330"/>
    <d v="2024-03-12T00:00:00"/>
    <x v="4"/>
    <s v="Affiliate Program"/>
    <s v="Desktop"/>
    <s v="Asia Pacific"/>
    <s v="Lead"/>
    <m/>
    <m/>
    <m/>
    <n v="1"/>
    <x v="8"/>
    <n v="0"/>
    <n v="0"/>
    <n v="0"/>
  </r>
  <r>
    <s v="LD7681"/>
    <d v="2024-12-21T00:00:00"/>
    <x v="4"/>
    <s v="Affiliate Program"/>
    <s v="Mobile"/>
    <s v="Asia Pacific"/>
    <s v="MQL"/>
    <m/>
    <m/>
    <m/>
    <n v="2"/>
    <x v="7"/>
    <n v="1"/>
    <n v="0"/>
    <n v="0"/>
  </r>
  <r>
    <s v="LD3151"/>
    <d v="2024-05-04T00:00:00"/>
    <x v="1"/>
    <s v="Google Ads - Generic"/>
    <s v="Desktop"/>
    <s v="North America"/>
    <s v="MQL"/>
    <m/>
    <m/>
    <m/>
    <n v="2"/>
    <x v="4"/>
    <n v="1"/>
    <n v="0"/>
    <n v="0"/>
  </r>
  <r>
    <s v="LD5531"/>
    <d v="2024-09-09T00:00:00"/>
    <x v="4"/>
    <s v="Partner Program"/>
    <s v="Desktop"/>
    <s v="Europe"/>
    <s v="Lead"/>
    <m/>
    <m/>
    <m/>
    <n v="1"/>
    <x v="9"/>
    <n v="0"/>
    <n v="0"/>
    <n v="0"/>
  </r>
  <r>
    <s v="LD3123"/>
    <d v="2024-05-22T00:00:00"/>
    <x v="1"/>
    <s v="Google Ads - Generic"/>
    <s v="Mobile"/>
    <s v="Asia Pacific"/>
    <s v="Lead"/>
    <m/>
    <m/>
    <m/>
    <n v="1"/>
    <x v="4"/>
    <n v="0"/>
    <n v="0"/>
    <n v="0"/>
  </r>
  <r>
    <s v="LD5674"/>
    <d v="2024-10-16T00:00:00"/>
    <x v="5"/>
    <s v="Blog SEO"/>
    <s v="Desktop"/>
    <s v="North America"/>
    <s v="MQL"/>
    <m/>
    <m/>
    <m/>
    <n v="2"/>
    <x v="5"/>
    <n v="1"/>
    <n v="0"/>
    <n v="0"/>
  </r>
  <r>
    <s v="LD4982"/>
    <d v="2024-08-17T00:00:00"/>
    <x v="2"/>
    <s v="Direct / Type-in"/>
    <s v="Desktop"/>
    <s v="Latin America"/>
    <s v="SQL"/>
    <m/>
    <m/>
    <m/>
    <n v="3"/>
    <x v="6"/>
    <n v="1"/>
    <n v="1"/>
    <n v="0"/>
  </r>
  <r>
    <s v="LD2253"/>
    <d v="2024-03-18T00:00:00"/>
    <x v="3"/>
    <s v="Monthly Newsletter"/>
    <s v="Desktop"/>
    <s v="Europe"/>
    <s v="Lead"/>
    <m/>
    <m/>
    <m/>
    <n v="1"/>
    <x v="8"/>
    <n v="0"/>
    <n v="0"/>
    <n v="0"/>
  </r>
  <r>
    <s v="LD4279"/>
    <d v="2024-07-21T00:00:00"/>
    <x v="3"/>
    <s v="Promo Blast"/>
    <s v="Desktop"/>
    <s v="Europe"/>
    <s v="SQL"/>
    <m/>
    <m/>
    <m/>
    <n v="3"/>
    <x v="0"/>
    <n v="1"/>
    <n v="1"/>
    <n v="0"/>
  </r>
  <r>
    <s v="LD4375"/>
    <d v="2024-07-20T00:00:00"/>
    <x v="4"/>
    <s v="Partner Program"/>
    <s v="Mobile"/>
    <s v="Europe"/>
    <s v="Customer"/>
    <n v="62"/>
    <s v="Basic"/>
    <n v="957.39"/>
    <n v="4"/>
    <x v="0"/>
    <n v="1"/>
    <n v="1"/>
    <n v="1"/>
  </r>
  <r>
    <s v="LD3815"/>
    <d v="2024-06-28T00:00:00"/>
    <x v="3"/>
    <s v="Monthly Newsletter"/>
    <s v="Tablet"/>
    <s v="North America"/>
    <s v="Lead"/>
    <m/>
    <m/>
    <m/>
    <n v="1"/>
    <x v="11"/>
    <n v="0"/>
    <n v="0"/>
    <n v="0"/>
  </r>
  <r>
    <s v="LD5720"/>
    <d v="2024-10-10T00:00:00"/>
    <x v="5"/>
    <s v="Blog SEO"/>
    <s v="Desktop"/>
    <s v="Asia Pacific"/>
    <s v="Lead"/>
    <m/>
    <m/>
    <m/>
    <n v="1"/>
    <x v="5"/>
    <n v="0"/>
    <n v="0"/>
    <n v="0"/>
  </r>
  <r>
    <s v="LD2849"/>
    <d v="2024-04-19T00:00:00"/>
    <x v="3"/>
    <s v="Monthly Newsletter"/>
    <s v="Tablet"/>
    <s v="North America"/>
    <s v="Lead"/>
    <m/>
    <m/>
    <m/>
    <n v="1"/>
    <x v="1"/>
    <n v="0"/>
    <n v="0"/>
    <n v="0"/>
  </r>
  <r>
    <s v="LD5859"/>
    <d v="2024-10-20T00:00:00"/>
    <x v="0"/>
    <s v="Facebook Ads"/>
    <s v="Desktop"/>
    <s v="Asia Pacific"/>
    <s v="Lead"/>
    <m/>
    <m/>
    <m/>
    <n v="1"/>
    <x v="5"/>
    <n v="0"/>
    <n v="0"/>
    <n v="0"/>
  </r>
  <r>
    <s v="LD4038"/>
    <d v="2024-06-23T00:00:00"/>
    <x v="2"/>
    <s v="Direct / Type-in"/>
    <s v="Mobile"/>
    <s v="North America"/>
    <s v="Lead"/>
    <m/>
    <m/>
    <m/>
    <n v="1"/>
    <x v="11"/>
    <n v="0"/>
    <n v="0"/>
    <n v="0"/>
  </r>
  <r>
    <s v="LD1389"/>
    <d v="2024-01-01T00:00:00"/>
    <x v="4"/>
    <s v="Partner Program"/>
    <s v="Desktop"/>
    <s v="North America"/>
    <s v="MQL"/>
    <m/>
    <m/>
    <m/>
    <n v="2"/>
    <x v="3"/>
    <n v="1"/>
    <n v="0"/>
    <n v="0"/>
  </r>
  <r>
    <s v="LD1236"/>
    <d v="2024-01-21T00:00:00"/>
    <x v="3"/>
    <s v="Monthly Newsletter"/>
    <s v="Desktop"/>
    <s v="North America"/>
    <s v="Lead"/>
    <m/>
    <m/>
    <m/>
    <n v="1"/>
    <x v="3"/>
    <n v="0"/>
    <n v="0"/>
    <n v="0"/>
  </r>
  <r>
    <s v="LD2078"/>
    <d v="2024-03-11T00:00:00"/>
    <x v="1"/>
    <s v="Google Ads - Brand"/>
    <s v="Mobile"/>
    <s v="Asia Pacific"/>
    <s v="MQL"/>
    <m/>
    <m/>
    <m/>
    <n v="2"/>
    <x v="8"/>
    <n v="1"/>
    <n v="0"/>
    <n v="0"/>
  </r>
  <r>
    <s v="LD2985"/>
    <d v="2024-04-11T00:00:00"/>
    <x v="2"/>
    <s v="Direct / Type-in"/>
    <s v="Mobile"/>
    <s v="Europe"/>
    <s v="Lead"/>
    <m/>
    <m/>
    <m/>
    <n v="1"/>
    <x v="1"/>
    <n v="0"/>
    <n v="0"/>
    <n v="0"/>
  </r>
  <r>
    <s v="LD5364"/>
    <d v="2024-09-11T00:00:00"/>
    <x v="3"/>
    <s v="Monthly Newsletter"/>
    <s v="Desktop"/>
    <s v="Europe"/>
    <s v="Lead"/>
    <m/>
    <m/>
    <m/>
    <n v="1"/>
    <x v="9"/>
    <n v="0"/>
    <n v="0"/>
    <n v="0"/>
  </r>
  <r>
    <s v="LD4963"/>
    <d v="2024-08-21T00:00:00"/>
    <x v="2"/>
    <s v="Direct / Type-in"/>
    <s v="Mobile"/>
    <s v="Europe"/>
    <s v="Lead"/>
    <m/>
    <m/>
    <m/>
    <n v="1"/>
    <x v="6"/>
    <n v="0"/>
    <n v="0"/>
    <n v="0"/>
  </r>
  <r>
    <s v="LD1771"/>
    <d v="2024-02-06T00:00:00"/>
    <x v="3"/>
    <s v="Promo Blast"/>
    <s v="Tablet"/>
    <s v="Europe"/>
    <s v="MQL"/>
    <m/>
    <m/>
    <m/>
    <n v="2"/>
    <x v="10"/>
    <n v="1"/>
    <n v="0"/>
    <n v="0"/>
  </r>
  <r>
    <s v="LD3166"/>
    <d v="2024-05-07T00:00:00"/>
    <x v="1"/>
    <s v="Google Ads - Brand"/>
    <s v="Desktop"/>
    <s v="North America"/>
    <s v="Lead"/>
    <m/>
    <m/>
    <m/>
    <n v="1"/>
    <x v="4"/>
    <n v="0"/>
    <n v="0"/>
    <n v="0"/>
  </r>
  <r>
    <s v="LD5534"/>
    <d v="2024-09-19T00:00:00"/>
    <x v="4"/>
    <s v="Partner Program"/>
    <s v="Desktop"/>
    <s v="North America"/>
    <s v="MQL"/>
    <m/>
    <m/>
    <m/>
    <n v="2"/>
    <x v="9"/>
    <n v="1"/>
    <n v="0"/>
    <n v="0"/>
  </r>
  <r>
    <s v="LD1674"/>
    <d v="2024-02-28T00:00:00"/>
    <x v="0"/>
    <s v="Instagram Ads"/>
    <s v="Mobile"/>
    <s v="Asia Pacific"/>
    <s v="Lead"/>
    <m/>
    <m/>
    <m/>
    <n v="1"/>
    <x v="10"/>
    <n v="0"/>
    <n v="0"/>
    <n v="0"/>
  </r>
  <r>
    <s v="LD1250"/>
    <d v="2024-01-28T00:00:00"/>
    <x v="3"/>
    <s v="Monthly Newsletter"/>
    <s v="Desktop"/>
    <s v="Europe"/>
    <s v="SQL"/>
    <m/>
    <m/>
    <m/>
    <n v="3"/>
    <x v="3"/>
    <n v="1"/>
    <n v="1"/>
    <n v="0"/>
  </r>
  <r>
    <s v="LD2575"/>
    <d v="2024-04-14T00:00:00"/>
    <x v="1"/>
    <s v="Google Ads - Brand"/>
    <s v="Desktop"/>
    <s v="Europe"/>
    <s v="SQL"/>
    <m/>
    <m/>
    <m/>
    <n v="3"/>
    <x v="1"/>
    <n v="1"/>
    <n v="1"/>
    <n v="0"/>
  </r>
  <r>
    <s v="LD4420"/>
    <d v="2024-07-20T00:00:00"/>
    <x v="4"/>
    <s v="Partner Program"/>
    <s v="Desktop"/>
    <s v="North America"/>
    <s v="Customer"/>
    <n v="15"/>
    <s v="Enterprise"/>
    <n v="16686.990000000002"/>
    <n v="4"/>
    <x v="0"/>
    <n v="1"/>
    <n v="1"/>
    <n v="1"/>
  </r>
  <r>
    <s v="LD3082"/>
    <d v="2024-05-28T00:00:00"/>
    <x v="5"/>
    <s v="Landing Page SEO"/>
    <s v="Desktop"/>
    <s v="North America"/>
    <s v="Lead"/>
    <m/>
    <m/>
    <m/>
    <n v="1"/>
    <x v="4"/>
    <n v="0"/>
    <n v="0"/>
    <n v="0"/>
  </r>
  <r>
    <s v="LD2824"/>
    <d v="2024-04-11T00:00:00"/>
    <x v="3"/>
    <s v="Monthly Newsletter"/>
    <s v="Mobile"/>
    <s v="North America"/>
    <s v="Lead"/>
    <m/>
    <m/>
    <m/>
    <n v="1"/>
    <x v="1"/>
    <n v="0"/>
    <n v="0"/>
    <n v="0"/>
  </r>
  <r>
    <s v="LD7272"/>
    <d v="2024-12-11T00:00:00"/>
    <x v="1"/>
    <s v="Google Ads - Generic"/>
    <s v="Mobile"/>
    <s v="Europe"/>
    <s v="Lead"/>
    <m/>
    <m/>
    <m/>
    <n v="1"/>
    <x v="7"/>
    <n v="0"/>
    <n v="0"/>
    <n v="0"/>
  </r>
  <r>
    <s v="LD7486"/>
    <d v="2024-12-13T00:00:00"/>
    <x v="3"/>
    <s v="Monthly Newsletter"/>
    <s v="Desktop"/>
    <s v="Europe"/>
    <s v="MQL"/>
    <m/>
    <m/>
    <m/>
    <n v="2"/>
    <x v="7"/>
    <n v="1"/>
    <n v="0"/>
    <n v="0"/>
  </r>
  <r>
    <s v="LD5545"/>
    <d v="2024-09-15T00:00:00"/>
    <x v="2"/>
    <s v="Direct / Type-in"/>
    <s v="Desktop"/>
    <s v="Asia Pacific"/>
    <s v="SQL"/>
    <m/>
    <m/>
    <m/>
    <n v="3"/>
    <x v="9"/>
    <n v="1"/>
    <n v="1"/>
    <n v="0"/>
  </r>
  <r>
    <s v="LD6566"/>
    <d v="2024-11-16T00:00:00"/>
    <x v="1"/>
    <s v="Google Ads - Generic"/>
    <s v="Desktop"/>
    <s v="Europe"/>
    <s v="MQL"/>
    <m/>
    <m/>
    <m/>
    <n v="2"/>
    <x v="2"/>
    <n v="1"/>
    <n v="0"/>
    <n v="0"/>
  </r>
  <r>
    <s v="LD1717"/>
    <d v="2024-02-24T00:00:00"/>
    <x v="3"/>
    <s v="Promo Blast"/>
    <s v="Desktop"/>
    <s v="Europe"/>
    <s v="Customer"/>
    <n v="37"/>
    <s v="Pro"/>
    <n v="4322.8900000000003"/>
    <n v="4"/>
    <x v="10"/>
    <n v="1"/>
    <n v="1"/>
    <n v="1"/>
  </r>
  <r>
    <s v="LD7045"/>
    <d v="2024-11-27T00:00:00"/>
    <x v="2"/>
    <s v="Direct / Type-in"/>
    <s v="Desktop"/>
    <s v="Latin America"/>
    <s v="Lead"/>
    <m/>
    <m/>
    <m/>
    <n v="1"/>
    <x v="2"/>
    <n v="0"/>
    <n v="0"/>
    <n v="0"/>
  </r>
  <r>
    <s v="LD7326"/>
    <d v="2024-12-03T00:00:00"/>
    <x v="1"/>
    <s v="Google Ads - Generic"/>
    <s v="Mobile"/>
    <s v="North America"/>
    <s v="SQL"/>
    <m/>
    <m/>
    <m/>
    <n v="3"/>
    <x v="7"/>
    <n v="1"/>
    <n v="1"/>
    <n v="0"/>
  </r>
  <r>
    <s v="LD3049"/>
    <d v="2024-05-01T00:00:00"/>
    <x v="5"/>
    <s v="Landing Page SEO"/>
    <s v="Desktop"/>
    <s v="North America"/>
    <s v="MQL"/>
    <m/>
    <m/>
    <m/>
    <n v="2"/>
    <x v="4"/>
    <n v="1"/>
    <n v="0"/>
    <n v="0"/>
  </r>
  <r>
    <s v="LD6265"/>
    <d v="2024-10-05T00:00:00"/>
    <x v="2"/>
    <s v="Direct / Type-in"/>
    <s v="Tablet"/>
    <s v="North America"/>
    <s v="Lead"/>
    <m/>
    <m/>
    <m/>
    <n v="1"/>
    <x v="5"/>
    <n v="0"/>
    <n v="0"/>
    <n v="0"/>
  </r>
  <r>
    <s v="LD5179"/>
    <d v="2024-09-18T00:00:00"/>
    <x v="1"/>
    <s v="Google Ads - Brand"/>
    <s v="Mobile"/>
    <s v="North America"/>
    <s v="Lead"/>
    <m/>
    <m/>
    <m/>
    <n v="1"/>
    <x v="9"/>
    <n v="0"/>
    <n v="0"/>
    <n v="0"/>
  </r>
  <r>
    <s v="LD5810"/>
    <d v="2024-10-10T00:00:00"/>
    <x v="1"/>
    <s v="Google Ads - Brand"/>
    <s v="Desktop"/>
    <s v="Asia Pacific"/>
    <s v="Lead"/>
    <m/>
    <m/>
    <m/>
    <n v="1"/>
    <x v="5"/>
    <n v="0"/>
    <n v="0"/>
    <n v="0"/>
  </r>
  <r>
    <s v="LD3725"/>
    <d v="2024-06-13T00:00:00"/>
    <x v="1"/>
    <s v="Google Ads - Generic"/>
    <s v="Mobile"/>
    <s v="North America"/>
    <s v="Lead"/>
    <m/>
    <m/>
    <m/>
    <n v="1"/>
    <x v="11"/>
    <n v="0"/>
    <n v="0"/>
    <n v="0"/>
  </r>
  <r>
    <s v="LD7127"/>
    <d v="2024-12-06T00:00:00"/>
    <x v="5"/>
    <s v="Blog SEO"/>
    <s v="Desktop"/>
    <s v="Europe"/>
    <s v="MQL"/>
    <m/>
    <m/>
    <m/>
    <n v="2"/>
    <x v="7"/>
    <n v="1"/>
    <n v="0"/>
    <n v="0"/>
  </r>
  <r>
    <s v="LD2461"/>
    <d v="2024-03-23T00:00:00"/>
    <x v="2"/>
    <s v="Direct / Type-in"/>
    <s v="Desktop"/>
    <s v="North America"/>
    <s v="Lead"/>
    <m/>
    <m/>
    <m/>
    <n v="1"/>
    <x v="8"/>
    <n v="0"/>
    <n v="0"/>
    <n v="0"/>
  </r>
  <r>
    <s v="LD2669"/>
    <d v="2024-04-27T00:00:00"/>
    <x v="0"/>
    <s v="Instagram Ads"/>
    <s v="Desktop"/>
    <s v="North America"/>
    <s v="MQL"/>
    <m/>
    <m/>
    <m/>
    <n v="2"/>
    <x v="1"/>
    <n v="1"/>
    <n v="0"/>
    <n v="0"/>
  </r>
  <r>
    <s v="LD3757"/>
    <d v="2024-06-13T00:00:00"/>
    <x v="0"/>
    <s v="LinkedIn Ads"/>
    <s v="Mobile"/>
    <s v="Latin America"/>
    <s v="Lead"/>
    <m/>
    <m/>
    <m/>
    <n v="1"/>
    <x v="11"/>
    <n v="0"/>
    <n v="0"/>
    <n v="0"/>
  </r>
  <r>
    <s v="LD3001"/>
    <d v="2024-04-02T00:00:00"/>
    <x v="2"/>
    <s v="Direct / Type-in"/>
    <s v="Desktop"/>
    <s v="Europe"/>
    <s v="Lead"/>
    <m/>
    <m/>
    <m/>
    <n v="1"/>
    <x v="1"/>
    <n v="0"/>
    <n v="0"/>
    <n v="0"/>
  </r>
  <r>
    <s v="LD5572"/>
    <d v="2024-09-17T00:00:00"/>
    <x v="2"/>
    <s v="Direct / Type-in"/>
    <s v="Mobile"/>
    <s v="North America"/>
    <s v="Lead"/>
    <m/>
    <m/>
    <m/>
    <n v="1"/>
    <x v="9"/>
    <n v="0"/>
    <n v="0"/>
    <n v="0"/>
  </r>
  <r>
    <s v="LD5614"/>
    <d v="2024-09-01T00:00:00"/>
    <x v="2"/>
    <s v="Direct / Type-in"/>
    <s v="Mobile"/>
    <s v="Asia Pacific"/>
    <s v="Lead"/>
    <m/>
    <m/>
    <m/>
    <n v="1"/>
    <x v="9"/>
    <n v="0"/>
    <n v="0"/>
    <n v="0"/>
  </r>
  <r>
    <s v="LD1405"/>
    <d v="2024-01-24T00:00:00"/>
    <x v="4"/>
    <s v="Affiliate Program"/>
    <s v="Desktop"/>
    <s v="North America"/>
    <s v="Customer"/>
    <n v="41"/>
    <s v="Basic"/>
    <n v="587.29999999999995"/>
    <n v="4"/>
    <x v="3"/>
    <n v="1"/>
    <n v="1"/>
    <n v="1"/>
  </r>
  <r>
    <s v="LD1385"/>
    <d v="2024-01-08T00:00:00"/>
    <x v="4"/>
    <s v="Affiliate Program"/>
    <s v="Mobile"/>
    <s v="Latin America"/>
    <s v="MQL"/>
    <m/>
    <m/>
    <m/>
    <n v="2"/>
    <x v="3"/>
    <n v="1"/>
    <n v="0"/>
    <n v="0"/>
  </r>
  <r>
    <s v="LD7088"/>
    <d v="2024-11-11T00:00:00"/>
    <x v="2"/>
    <s v="Direct / Type-in"/>
    <s v="Desktop"/>
    <s v="North America"/>
    <s v="SQL"/>
    <m/>
    <m/>
    <m/>
    <n v="3"/>
    <x v="2"/>
    <n v="1"/>
    <n v="1"/>
    <n v="0"/>
  </r>
  <r>
    <s v="LD3153"/>
    <d v="2024-05-26T00:00:00"/>
    <x v="1"/>
    <s v="Google Ads - Generic"/>
    <s v="Mobile"/>
    <s v="North America"/>
    <s v="Lead"/>
    <m/>
    <m/>
    <m/>
    <n v="1"/>
    <x v="4"/>
    <n v="0"/>
    <n v="0"/>
    <n v="0"/>
  </r>
  <r>
    <s v="LD2634"/>
    <d v="2024-04-27T00:00:00"/>
    <x v="1"/>
    <s v="Google Ads - Generic"/>
    <s v="Desktop"/>
    <s v="North America"/>
    <s v="Lead"/>
    <m/>
    <m/>
    <m/>
    <n v="1"/>
    <x v="1"/>
    <n v="0"/>
    <n v="0"/>
    <n v="0"/>
  </r>
  <r>
    <s v="LD7212"/>
    <d v="2024-12-08T00:00:00"/>
    <x v="1"/>
    <s v="Google Ads - Generic"/>
    <s v="Mobile"/>
    <s v="North America"/>
    <s v="Lead"/>
    <m/>
    <m/>
    <m/>
    <n v="1"/>
    <x v="7"/>
    <n v="0"/>
    <n v="0"/>
    <n v="0"/>
  </r>
  <r>
    <s v="LD6581"/>
    <d v="2024-11-04T00:00:00"/>
    <x v="1"/>
    <s v="Google Ads - Brand"/>
    <s v="Mobile"/>
    <s v="Asia Pacific"/>
    <s v="Lead"/>
    <m/>
    <m/>
    <m/>
    <n v="1"/>
    <x v="2"/>
    <n v="0"/>
    <n v="0"/>
    <n v="0"/>
  </r>
  <r>
    <s v="LD5785"/>
    <d v="2024-10-19T00:00:00"/>
    <x v="1"/>
    <s v="Google Ads - Generic"/>
    <s v="Desktop"/>
    <s v="Asia Pacific"/>
    <s v="MQL"/>
    <m/>
    <m/>
    <m/>
    <n v="2"/>
    <x v="5"/>
    <n v="1"/>
    <n v="0"/>
    <n v="0"/>
  </r>
  <r>
    <s v="LD4926"/>
    <d v="2024-08-09T00:00:00"/>
    <x v="4"/>
    <s v="Partner Program"/>
    <s v="Mobile"/>
    <s v="Asia Pacific"/>
    <s v="MQL"/>
    <m/>
    <m/>
    <m/>
    <n v="2"/>
    <x v="6"/>
    <n v="1"/>
    <n v="0"/>
    <n v="0"/>
  </r>
  <r>
    <s v="LD6337"/>
    <d v="2024-11-10T00:00:00"/>
    <x v="5"/>
    <s v="Blog SEO"/>
    <s v="Mobile"/>
    <s v="Latin America"/>
    <s v="Lead"/>
    <m/>
    <m/>
    <m/>
    <n v="1"/>
    <x v="2"/>
    <n v="0"/>
    <n v="0"/>
    <n v="0"/>
  </r>
  <r>
    <s v="LD5159"/>
    <d v="2024-09-17T00:00:00"/>
    <x v="1"/>
    <s v="Google Ads - Generic"/>
    <s v="Mobile"/>
    <s v="North America"/>
    <s v="Lead"/>
    <m/>
    <m/>
    <m/>
    <n v="1"/>
    <x v="9"/>
    <n v="0"/>
    <n v="0"/>
    <n v="0"/>
  </r>
  <r>
    <s v="LD5949"/>
    <d v="2024-10-04T00:00:00"/>
    <x v="3"/>
    <s v="Monthly Newsletter"/>
    <s v="Desktop"/>
    <s v="Europe"/>
    <s v="MQL"/>
    <m/>
    <m/>
    <m/>
    <n v="2"/>
    <x v="5"/>
    <n v="1"/>
    <n v="0"/>
    <n v="0"/>
  </r>
  <r>
    <s v="LD6899"/>
    <d v="2024-11-25T00:00:00"/>
    <x v="3"/>
    <s v="Monthly Newsletter"/>
    <s v="Mobile"/>
    <s v="North America"/>
    <s v="MQL"/>
    <m/>
    <m/>
    <m/>
    <n v="2"/>
    <x v="2"/>
    <n v="1"/>
    <n v="0"/>
    <n v="0"/>
  </r>
  <r>
    <s v="LD6359"/>
    <d v="2024-11-27T00:00:00"/>
    <x v="5"/>
    <s v="Landing Page SEO"/>
    <s v="Tablet"/>
    <s v="North America"/>
    <s v="MQL"/>
    <m/>
    <m/>
    <m/>
    <n v="2"/>
    <x v="2"/>
    <n v="1"/>
    <n v="0"/>
    <n v="0"/>
  </r>
  <r>
    <s v="LD1224"/>
    <d v="2024-01-20T00:00:00"/>
    <x v="0"/>
    <s v="Facebook Ads"/>
    <s v="Mobile"/>
    <s v="North America"/>
    <s v="Lead"/>
    <m/>
    <m/>
    <m/>
    <n v="1"/>
    <x v="3"/>
    <n v="0"/>
    <n v="0"/>
    <n v="0"/>
  </r>
  <r>
    <s v="LD3194"/>
    <d v="2024-05-05T00:00:00"/>
    <x v="1"/>
    <s v="Google Ads - Brand"/>
    <s v="Desktop"/>
    <s v="Europe"/>
    <s v="Lead"/>
    <m/>
    <m/>
    <m/>
    <n v="1"/>
    <x v="4"/>
    <n v="0"/>
    <n v="0"/>
    <n v="0"/>
  </r>
  <r>
    <s v="LD4137"/>
    <d v="2024-07-18T00:00:00"/>
    <x v="1"/>
    <s v="Google Ads - Generic"/>
    <s v="Desktop"/>
    <s v="North America"/>
    <s v="MQL"/>
    <m/>
    <m/>
    <m/>
    <n v="2"/>
    <x v="0"/>
    <n v="1"/>
    <n v="0"/>
    <n v="0"/>
  </r>
  <r>
    <s v="LD5470"/>
    <d v="2024-09-28T00:00:00"/>
    <x v="4"/>
    <s v="Affiliate Program"/>
    <s v="Desktop"/>
    <s v="North America"/>
    <s v="Lead"/>
    <m/>
    <m/>
    <m/>
    <n v="1"/>
    <x v="9"/>
    <n v="0"/>
    <n v="0"/>
    <n v="0"/>
  </r>
  <r>
    <s v="LD2825"/>
    <d v="2024-04-19T00:00:00"/>
    <x v="3"/>
    <s v="Monthly Newsletter"/>
    <s v="Desktop"/>
    <s v="Europe"/>
    <s v="Lead"/>
    <m/>
    <m/>
    <m/>
    <n v="1"/>
    <x v="1"/>
    <n v="0"/>
    <n v="0"/>
    <n v="0"/>
  </r>
  <r>
    <s v="LD7228"/>
    <d v="2024-12-06T00:00:00"/>
    <x v="1"/>
    <s v="Google Ads - Brand"/>
    <s v="Mobile"/>
    <s v="Europe"/>
    <s v="MQL"/>
    <m/>
    <m/>
    <m/>
    <n v="2"/>
    <x v="7"/>
    <n v="1"/>
    <n v="0"/>
    <n v="0"/>
  </r>
  <r>
    <s v="LD6125"/>
    <d v="2024-10-09T00:00:00"/>
    <x v="3"/>
    <s v="Promo Blast"/>
    <s v="Desktop"/>
    <s v="Asia Pacific"/>
    <s v="Customer"/>
    <n v="59"/>
    <s v="Basic"/>
    <n v="832.83"/>
    <n v="4"/>
    <x v="5"/>
    <n v="1"/>
    <n v="1"/>
    <n v="1"/>
  </r>
  <r>
    <s v="LD5973"/>
    <d v="2024-10-13T00:00:00"/>
    <x v="3"/>
    <s v="Promo Blast"/>
    <s v="Desktop"/>
    <s v="Asia Pacific"/>
    <s v="SQL"/>
    <m/>
    <m/>
    <m/>
    <n v="3"/>
    <x v="5"/>
    <n v="1"/>
    <n v="1"/>
    <n v="0"/>
  </r>
  <r>
    <s v="LD1798"/>
    <d v="2024-02-26T00:00:00"/>
    <x v="3"/>
    <s v="Monthly Newsletter"/>
    <s v="Desktop"/>
    <s v="North America"/>
    <s v="Customer"/>
    <n v="24"/>
    <s v="Basic"/>
    <n v="969.2"/>
    <n v="4"/>
    <x v="10"/>
    <n v="1"/>
    <n v="1"/>
    <n v="1"/>
  </r>
  <r>
    <s v="LD3872"/>
    <d v="2024-06-05T00:00:00"/>
    <x v="3"/>
    <s v="Promo Blast"/>
    <s v="Desktop"/>
    <s v="Europe"/>
    <s v="Customer"/>
    <n v="65"/>
    <s v="Basic"/>
    <n v="1157.68"/>
    <n v="4"/>
    <x v="11"/>
    <n v="1"/>
    <n v="1"/>
    <n v="1"/>
  </r>
  <r>
    <s v="LD1010"/>
    <d v="2024-01-06T00:00:00"/>
    <x v="5"/>
    <s v="Landing Page SEO"/>
    <s v="Desktop"/>
    <s v="Latin America"/>
    <s v="Lead"/>
    <m/>
    <m/>
    <m/>
    <n v="1"/>
    <x v="3"/>
    <n v="0"/>
    <n v="0"/>
    <n v="0"/>
  </r>
  <r>
    <s v="LD2945"/>
    <d v="2024-04-15T00:00:00"/>
    <x v="4"/>
    <s v="Affiliate Program"/>
    <s v="Desktop"/>
    <s v="North America"/>
    <s v="SQL"/>
    <m/>
    <m/>
    <m/>
    <n v="3"/>
    <x v="1"/>
    <n v="1"/>
    <n v="1"/>
    <n v="0"/>
  </r>
  <r>
    <s v="LD2839"/>
    <d v="2024-04-02T00:00:00"/>
    <x v="3"/>
    <s v="Monthly Newsletter"/>
    <s v="Desktop"/>
    <s v="Asia Pacific"/>
    <s v="MQL"/>
    <m/>
    <m/>
    <m/>
    <n v="2"/>
    <x v="1"/>
    <n v="1"/>
    <n v="0"/>
    <n v="0"/>
  </r>
  <r>
    <s v="LD5805"/>
    <d v="2024-10-08T00:00:00"/>
    <x v="1"/>
    <s v="Google Ads - Generic"/>
    <s v="Mobile"/>
    <s v="North America"/>
    <s v="Lead"/>
    <m/>
    <m/>
    <m/>
    <n v="1"/>
    <x v="5"/>
    <n v="0"/>
    <n v="0"/>
    <n v="0"/>
  </r>
  <r>
    <s v="LD1256"/>
    <d v="2024-01-20T00:00:00"/>
    <x v="3"/>
    <s v="Promo Blast"/>
    <s v="Desktop"/>
    <s v="North America"/>
    <s v="Lead"/>
    <m/>
    <m/>
    <m/>
    <n v="1"/>
    <x v="3"/>
    <n v="0"/>
    <n v="0"/>
    <n v="0"/>
  </r>
  <r>
    <s v="LD6714"/>
    <d v="2024-11-19T00:00:00"/>
    <x v="3"/>
    <s v="Promo Blast"/>
    <s v="Desktop"/>
    <s v="Latin America"/>
    <s v="SQL"/>
    <m/>
    <m/>
    <m/>
    <n v="3"/>
    <x v="2"/>
    <n v="1"/>
    <n v="1"/>
    <n v="0"/>
  </r>
  <r>
    <s v="LD5486"/>
    <d v="2024-09-27T00:00:00"/>
    <x v="4"/>
    <s v="Affiliate Program"/>
    <s v="Mobile"/>
    <s v="Asia Pacific"/>
    <s v="Lead"/>
    <m/>
    <m/>
    <m/>
    <n v="1"/>
    <x v="9"/>
    <n v="0"/>
    <n v="0"/>
    <n v="0"/>
  </r>
  <r>
    <s v="LD7109"/>
    <d v="2024-12-27T00:00:00"/>
    <x v="5"/>
    <s v="Landing Page SEO"/>
    <s v="Desktop"/>
    <s v="North America"/>
    <s v="Customer"/>
    <n v="27"/>
    <s v="Pro"/>
    <n v="3471.99"/>
    <n v="4"/>
    <x v="7"/>
    <n v="1"/>
    <n v="1"/>
    <n v="1"/>
  </r>
  <r>
    <s v="LD2582"/>
    <d v="2024-04-09T00:00:00"/>
    <x v="1"/>
    <s v="Google Ads - Generic"/>
    <s v="Mobile"/>
    <s v="North America"/>
    <s v="Lead"/>
    <m/>
    <m/>
    <m/>
    <n v="1"/>
    <x v="1"/>
    <n v="0"/>
    <n v="0"/>
    <n v="0"/>
  </r>
  <r>
    <s v="LD3957"/>
    <d v="2024-06-09T00:00:00"/>
    <x v="4"/>
    <s v="Partner Program"/>
    <s v="Mobile"/>
    <s v="North America"/>
    <s v="Lead"/>
    <m/>
    <m/>
    <m/>
    <n v="1"/>
    <x v="11"/>
    <n v="0"/>
    <n v="0"/>
    <n v="0"/>
  </r>
  <r>
    <s v="LD1925"/>
    <d v="2024-02-23T00:00:00"/>
    <x v="2"/>
    <s v="Direct / Type-in"/>
    <s v="Mobile"/>
    <s v="North America"/>
    <s v="MQL"/>
    <m/>
    <m/>
    <m/>
    <n v="2"/>
    <x v="10"/>
    <n v="1"/>
    <n v="0"/>
    <n v="0"/>
  </r>
  <r>
    <s v="LD7334"/>
    <d v="2024-12-11T00:00:00"/>
    <x v="0"/>
    <s v="LinkedIn Ads"/>
    <s v="Mobile"/>
    <s v="North America"/>
    <s v="Lead"/>
    <m/>
    <m/>
    <m/>
    <n v="1"/>
    <x v="7"/>
    <n v="0"/>
    <n v="0"/>
    <n v="0"/>
  </r>
  <r>
    <s v="LD3509"/>
    <d v="2024-05-28T00:00:00"/>
    <x v="2"/>
    <s v="Direct / Type-in"/>
    <s v="Desktop"/>
    <s v="Europe"/>
    <s v="MQL"/>
    <m/>
    <m/>
    <m/>
    <n v="2"/>
    <x v="4"/>
    <n v="1"/>
    <n v="0"/>
    <n v="0"/>
  </r>
  <r>
    <s v="LD6025"/>
    <d v="2024-10-08T00:00:00"/>
    <x v="3"/>
    <s v="Promo Blast"/>
    <s v="Mobile"/>
    <s v="Europe"/>
    <s v="Lead"/>
    <m/>
    <m/>
    <m/>
    <n v="1"/>
    <x v="5"/>
    <n v="0"/>
    <n v="0"/>
    <n v="0"/>
  </r>
  <r>
    <s v="LD6321"/>
    <d v="2024-10-09T00:00:00"/>
    <x v="2"/>
    <s v="Direct / Type-in"/>
    <s v="Mobile"/>
    <s v="Europe"/>
    <s v="MQL"/>
    <m/>
    <m/>
    <m/>
    <n v="2"/>
    <x v="5"/>
    <n v="1"/>
    <n v="0"/>
    <n v="0"/>
  </r>
  <r>
    <s v="LD4776"/>
    <d v="2024-08-15T00:00:00"/>
    <x v="3"/>
    <s v="Promo Blast"/>
    <s v="Desktop"/>
    <s v="Europe"/>
    <s v="MQL"/>
    <m/>
    <m/>
    <m/>
    <n v="2"/>
    <x v="6"/>
    <n v="1"/>
    <n v="0"/>
    <n v="0"/>
  </r>
  <r>
    <s v="LD5836"/>
    <d v="2024-10-24T00:00:00"/>
    <x v="1"/>
    <s v="Google Ads - Generic"/>
    <s v="Desktop"/>
    <s v="North America"/>
    <s v="MQL"/>
    <m/>
    <m/>
    <m/>
    <n v="2"/>
    <x v="5"/>
    <n v="1"/>
    <n v="0"/>
    <n v="0"/>
  </r>
  <r>
    <s v="LD5137"/>
    <d v="2024-09-19T00:00:00"/>
    <x v="1"/>
    <s v="Google Ads - Brand"/>
    <s v="Desktop"/>
    <s v="Europe"/>
    <s v="SQL"/>
    <m/>
    <m/>
    <m/>
    <n v="3"/>
    <x v="9"/>
    <n v="1"/>
    <n v="1"/>
    <n v="0"/>
  </r>
  <r>
    <s v="LD5965"/>
    <d v="2024-10-06T00:00:00"/>
    <x v="3"/>
    <s v="Promo Blast"/>
    <s v="Mobile"/>
    <s v="North America"/>
    <s v="Customer"/>
    <n v="11"/>
    <s v="Basic"/>
    <n v="914.07"/>
    <n v="4"/>
    <x v="5"/>
    <n v="1"/>
    <n v="1"/>
    <n v="1"/>
  </r>
  <r>
    <s v="LD3780"/>
    <d v="2024-06-28T00:00:00"/>
    <x v="0"/>
    <s v="LinkedIn Ads"/>
    <s v="Desktop"/>
    <s v="Asia Pacific"/>
    <s v="Lead"/>
    <m/>
    <m/>
    <m/>
    <n v="1"/>
    <x v="11"/>
    <n v="0"/>
    <n v="0"/>
    <n v="0"/>
  </r>
  <r>
    <s v="LD1540"/>
    <d v="2024-02-24T00:00:00"/>
    <x v="5"/>
    <s v="Landing Page SEO"/>
    <s v="Mobile"/>
    <s v="Latin America"/>
    <s v="Lead"/>
    <m/>
    <m/>
    <m/>
    <n v="1"/>
    <x v="10"/>
    <n v="0"/>
    <n v="0"/>
    <n v="0"/>
  </r>
  <r>
    <s v="LD3746"/>
    <d v="2024-06-23T00:00:00"/>
    <x v="0"/>
    <s v="Facebook Ads"/>
    <s v="Mobile"/>
    <s v="North America"/>
    <s v="Lead"/>
    <m/>
    <m/>
    <m/>
    <n v="1"/>
    <x v="11"/>
    <n v="0"/>
    <n v="0"/>
    <n v="0"/>
  </r>
  <r>
    <s v="LD7095"/>
    <d v="2024-12-05T00:00:00"/>
    <x v="5"/>
    <s v="Landing Page SEO"/>
    <s v="Desktop"/>
    <s v="Europe"/>
    <s v="Customer"/>
    <n v="57"/>
    <s v="Basic"/>
    <n v="627.27"/>
    <n v="4"/>
    <x v="7"/>
    <n v="1"/>
    <n v="1"/>
    <n v="1"/>
  </r>
  <r>
    <s v="LD7191"/>
    <d v="2024-12-08T00:00:00"/>
    <x v="5"/>
    <s v="Blog SEO"/>
    <s v="Desktop"/>
    <s v="Europe"/>
    <s v="MQL"/>
    <m/>
    <m/>
    <m/>
    <n v="2"/>
    <x v="7"/>
    <n v="1"/>
    <n v="0"/>
    <n v="0"/>
  </r>
  <r>
    <s v="LD6468"/>
    <d v="2024-11-27T00:00:00"/>
    <x v="5"/>
    <s v="Landing Page SEO"/>
    <s v="Tablet"/>
    <s v="North America"/>
    <s v="Customer"/>
    <n v="62"/>
    <s v="Basic"/>
    <n v="1143.22"/>
    <n v="4"/>
    <x v="2"/>
    <n v="1"/>
    <n v="1"/>
    <n v="1"/>
  </r>
  <r>
    <s v="LD2146"/>
    <d v="2024-03-13T00:00:00"/>
    <x v="0"/>
    <s v="Facebook Ads"/>
    <s v="Desktop"/>
    <s v="Latin America"/>
    <s v="Lead"/>
    <m/>
    <m/>
    <m/>
    <n v="1"/>
    <x v="8"/>
    <n v="0"/>
    <n v="0"/>
    <n v="0"/>
  </r>
  <r>
    <s v="LD6128"/>
    <d v="2024-10-16T00:00:00"/>
    <x v="3"/>
    <s v="Promo Blast"/>
    <s v="Mobile"/>
    <s v="North America"/>
    <s v="Lead"/>
    <m/>
    <m/>
    <m/>
    <n v="1"/>
    <x v="5"/>
    <n v="0"/>
    <n v="0"/>
    <n v="0"/>
  </r>
  <r>
    <s v="LD5469"/>
    <d v="2024-09-01T00:00:00"/>
    <x v="4"/>
    <s v="Affiliate Program"/>
    <s v="Desktop"/>
    <s v="North America"/>
    <s v="Lead"/>
    <m/>
    <m/>
    <m/>
    <n v="1"/>
    <x v="9"/>
    <n v="0"/>
    <n v="0"/>
    <n v="0"/>
  </r>
  <r>
    <s v="LD1668"/>
    <d v="2024-02-23T00:00:00"/>
    <x v="0"/>
    <s v="Instagram Ads"/>
    <s v="Desktop"/>
    <s v="Europe"/>
    <s v="Lead"/>
    <m/>
    <m/>
    <m/>
    <n v="1"/>
    <x v="10"/>
    <n v="0"/>
    <n v="0"/>
    <n v="0"/>
  </r>
  <r>
    <s v="LD4020"/>
    <d v="2024-06-04T00:00:00"/>
    <x v="2"/>
    <s v="Direct / Type-in"/>
    <s v="Tablet"/>
    <s v="North America"/>
    <s v="Lead"/>
    <m/>
    <m/>
    <m/>
    <n v="1"/>
    <x v="11"/>
    <n v="0"/>
    <n v="0"/>
    <n v="0"/>
  </r>
  <r>
    <s v="LD1358"/>
    <d v="2024-01-15T00:00:00"/>
    <x v="4"/>
    <s v="Partner Program"/>
    <s v="Desktop"/>
    <s v="Europe"/>
    <s v="SQL"/>
    <m/>
    <m/>
    <m/>
    <n v="3"/>
    <x v="3"/>
    <n v="1"/>
    <n v="1"/>
    <n v="0"/>
  </r>
  <r>
    <s v="LD6064"/>
    <d v="2024-10-18T00:00:00"/>
    <x v="3"/>
    <s v="Monthly Newsletter"/>
    <s v="Desktop"/>
    <s v="Europe"/>
    <s v="Customer"/>
    <n v="59"/>
    <s v="Pro"/>
    <n v="2094.85"/>
    <n v="4"/>
    <x v="5"/>
    <n v="1"/>
    <n v="1"/>
    <n v="1"/>
  </r>
  <r>
    <s v="LD3832"/>
    <d v="2024-06-10T00:00:00"/>
    <x v="3"/>
    <s v="Monthly Newsletter"/>
    <s v="Mobile"/>
    <s v="Europe"/>
    <s v="MQL"/>
    <m/>
    <m/>
    <m/>
    <n v="2"/>
    <x v="11"/>
    <n v="1"/>
    <n v="0"/>
    <n v="0"/>
  </r>
  <r>
    <s v="LD3784"/>
    <d v="2024-06-05T00:00:00"/>
    <x v="0"/>
    <s v="LinkedIn Ads"/>
    <s v="Desktop"/>
    <s v="Asia Pacific"/>
    <s v="Lead"/>
    <m/>
    <m/>
    <m/>
    <n v="1"/>
    <x v="11"/>
    <n v="0"/>
    <n v="0"/>
    <n v="0"/>
  </r>
  <r>
    <s v="LD2354"/>
    <d v="2024-03-15T00:00:00"/>
    <x v="4"/>
    <s v="Partner Program"/>
    <s v="Desktop"/>
    <s v="Asia Pacific"/>
    <s v="SQL"/>
    <m/>
    <m/>
    <m/>
    <n v="3"/>
    <x v="8"/>
    <n v="1"/>
    <n v="1"/>
    <n v="0"/>
  </r>
  <r>
    <s v="LD6132"/>
    <d v="2024-10-01T00:00:00"/>
    <x v="4"/>
    <s v="Partner Program"/>
    <s v="Tablet"/>
    <s v="North America"/>
    <s v="SQL"/>
    <m/>
    <m/>
    <m/>
    <n v="3"/>
    <x v="5"/>
    <n v="1"/>
    <n v="1"/>
    <n v="0"/>
  </r>
  <r>
    <s v="LD1471"/>
    <d v="2024-01-05T00:00:00"/>
    <x v="2"/>
    <s v="Direct / Type-in"/>
    <s v="Mobile"/>
    <s v="North America"/>
    <s v="MQL"/>
    <m/>
    <m/>
    <m/>
    <n v="2"/>
    <x v="3"/>
    <n v="1"/>
    <n v="0"/>
    <n v="0"/>
  </r>
  <r>
    <s v="LD3704"/>
    <d v="2024-06-25T00:00:00"/>
    <x v="1"/>
    <s v="Google Ads - Generic"/>
    <s v="Mobile"/>
    <s v="Asia Pacific"/>
    <s v="MQL"/>
    <m/>
    <m/>
    <m/>
    <n v="2"/>
    <x v="11"/>
    <n v="1"/>
    <n v="0"/>
    <n v="0"/>
  </r>
  <r>
    <s v="LD4331"/>
    <d v="2024-07-15T00:00:00"/>
    <x v="3"/>
    <s v="Monthly Newsletter"/>
    <s v="Mobile"/>
    <s v="North America"/>
    <s v="MQL"/>
    <m/>
    <m/>
    <m/>
    <n v="2"/>
    <x v="0"/>
    <n v="1"/>
    <n v="0"/>
    <n v="0"/>
  </r>
  <r>
    <s v="LD4638"/>
    <d v="2024-08-15T00:00:00"/>
    <x v="1"/>
    <s v="Google Ads - Brand"/>
    <s v="Desktop"/>
    <s v="Asia Pacific"/>
    <s v="Lead"/>
    <m/>
    <m/>
    <m/>
    <n v="1"/>
    <x v="6"/>
    <n v="0"/>
    <n v="0"/>
    <n v="0"/>
  </r>
  <r>
    <s v="LD2397"/>
    <d v="2024-03-06T00:00:00"/>
    <x v="4"/>
    <s v="Affiliate Program"/>
    <s v="Mobile"/>
    <s v="North America"/>
    <s v="SQL"/>
    <m/>
    <m/>
    <m/>
    <n v="3"/>
    <x v="8"/>
    <n v="1"/>
    <n v="1"/>
    <n v="0"/>
  </r>
  <r>
    <s v="LD4585"/>
    <d v="2024-08-07T00:00:00"/>
    <x v="1"/>
    <s v="Google Ads - Brand"/>
    <s v="Desktop"/>
    <s v="Europe"/>
    <s v="MQL"/>
    <m/>
    <m/>
    <m/>
    <n v="2"/>
    <x v="6"/>
    <n v="1"/>
    <n v="0"/>
    <n v="0"/>
  </r>
  <r>
    <s v="LD7082"/>
    <d v="2024-11-04T00:00:00"/>
    <x v="2"/>
    <s v="Direct / Type-in"/>
    <s v="Desktop"/>
    <s v="Asia Pacific"/>
    <s v="Customer"/>
    <n v="42"/>
    <s v="Pro"/>
    <n v="4058.53"/>
    <n v="4"/>
    <x v="2"/>
    <n v="1"/>
    <n v="1"/>
    <n v="1"/>
  </r>
  <r>
    <s v="LD6263"/>
    <d v="2024-10-02T00:00:00"/>
    <x v="2"/>
    <s v="Direct / Type-in"/>
    <s v="Desktop"/>
    <s v="North America"/>
    <s v="Lead"/>
    <m/>
    <m/>
    <m/>
    <n v="1"/>
    <x v="5"/>
    <n v="0"/>
    <n v="0"/>
    <n v="0"/>
  </r>
  <r>
    <s v="LD6646"/>
    <d v="2024-11-11T00:00:00"/>
    <x v="0"/>
    <s v="Facebook Ads"/>
    <s v="Desktop"/>
    <s v="Europe"/>
    <s v="MQL"/>
    <m/>
    <m/>
    <m/>
    <n v="2"/>
    <x v="2"/>
    <n v="1"/>
    <n v="0"/>
    <n v="0"/>
  </r>
  <r>
    <s v="LD4377"/>
    <d v="2024-07-28T00:00:00"/>
    <x v="4"/>
    <s v="Affiliate Program"/>
    <s v="Mobile"/>
    <s v="Asia Pacific"/>
    <s v="MQL"/>
    <m/>
    <m/>
    <m/>
    <n v="2"/>
    <x v="0"/>
    <n v="1"/>
    <n v="0"/>
    <n v="0"/>
  </r>
  <r>
    <s v="LD2257"/>
    <d v="2024-03-14T00:00:00"/>
    <x v="3"/>
    <s v="Promo Blast"/>
    <s v="Mobile"/>
    <s v="Asia Pacific"/>
    <s v="Lead"/>
    <m/>
    <m/>
    <m/>
    <n v="1"/>
    <x v="8"/>
    <n v="0"/>
    <n v="0"/>
    <n v="0"/>
  </r>
  <r>
    <s v="LD4513"/>
    <d v="2024-08-06T00:00:00"/>
    <x v="5"/>
    <s v="Blog SEO"/>
    <s v="Desktop"/>
    <s v="Europe"/>
    <s v="SQL"/>
    <m/>
    <m/>
    <m/>
    <n v="3"/>
    <x v="6"/>
    <n v="1"/>
    <n v="1"/>
    <n v="0"/>
  </r>
  <r>
    <s v="LD6652"/>
    <d v="2024-11-06T00:00:00"/>
    <x v="0"/>
    <s v="Facebook Ads"/>
    <s v="Desktop"/>
    <s v="Asia Pacific"/>
    <s v="Lead"/>
    <m/>
    <m/>
    <m/>
    <n v="1"/>
    <x v="2"/>
    <n v="0"/>
    <n v="0"/>
    <n v="0"/>
  </r>
  <r>
    <s v="LD6779"/>
    <d v="2024-11-27T00:00:00"/>
    <x v="3"/>
    <s v="Promo Blast"/>
    <s v="Mobile"/>
    <s v="Asia Pacific"/>
    <s v="MQL"/>
    <m/>
    <m/>
    <m/>
    <n v="2"/>
    <x v="2"/>
    <n v="1"/>
    <n v="0"/>
    <n v="0"/>
  </r>
  <r>
    <s v="LD2251"/>
    <d v="2024-03-10T00:00:00"/>
    <x v="3"/>
    <s v="Monthly Newsletter"/>
    <s v="Desktop"/>
    <s v="Europe"/>
    <s v="MQL"/>
    <m/>
    <m/>
    <m/>
    <n v="2"/>
    <x v="8"/>
    <n v="1"/>
    <n v="0"/>
    <n v="0"/>
  </r>
  <r>
    <s v="LD6796"/>
    <d v="2024-11-09T00:00:00"/>
    <x v="3"/>
    <s v="Promo Blast"/>
    <s v="Mobile"/>
    <s v="North America"/>
    <s v="SQL"/>
    <m/>
    <m/>
    <m/>
    <n v="3"/>
    <x v="2"/>
    <n v="1"/>
    <n v="1"/>
    <n v="0"/>
  </r>
  <r>
    <s v="LD6349"/>
    <d v="2024-11-27T00:00:00"/>
    <x v="5"/>
    <s v="Blog SEO"/>
    <s v="Mobile"/>
    <s v="Europe"/>
    <s v="Lead"/>
    <m/>
    <m/>
    <m/>
    <n v="1"/>
    <x v="2"/>
    <n v="0"/>
    <n v="0"/>
    <n v="0"/>
  </r>
  <r>
    <s v="LD7516"/>
    <d v="2024-12-01T00:00:00"/>
    <x v="3"/>
    <s v="Monthly Newsletter"/>
    <s v="Mobile"/>
    <s v="North America"/>
    <s v="MQL"/>
    <m/>
    <m/>
    <m/>
    <n v="2"/>
    <x v="7"/>
    <n v="1"/>
    <n v="0"/>
    <n v="0"/>
  </r>
  <r>
    <s v="LD5299"/>
    <d v="2024-09-25T00:00:00"/>
    <x v="0"/>
    <s v="Facebook Ads"/>
    <s v="Mobile"/>
    <s v="Europe"/>
    <s v="MQL"/>
    <m/>
    <m/>
    <m/>
    <n v="2"/>
    <x v="9"/>
    <n v="1"/>
    <n v="0"/>
    <n v="0"/>
  </r>
  <r>
    <s v="LD4285"/>
    <d v="2024-07-20T00:00:00"/>
    <x v="3"/>
    <s v="Monthly Newsletter"/>
    <s v="Desktop"/>
    <s v="Asia Pacific"/>
    <s v="MQL"/>
    <m/>
    <m/>
    <m/>
    <n v="2"/>
    <x v="0"/>
    <n v="1"/>
    <n v="0"/>
    <n v="0"/>
  </r>
  <r>
    <s v="LD3934"/>
    <d v="2024-06-18T00:00:00"/>
    <x v="4"/>
    <s v="Partner Program"/>
    <s v="Mobile"/>
    <s v="Europe"/>
    <s v="Lead"/>
    <m/>
    <m/>
    <m/>
    <n v="1"/>
    <x v="11"/>
    <n v="0"/>
    <n v="0"/>
    <n v="0"/>
  </r>
  <r>
    <s v="LD5176"/>
    <d v="2024-09-21T00:00:00"/>
    <x v="1"/>
    <s v="Google Ads - Generic"/>
    <s v="Desktop"/>
    <s v="Europe"/>
    <s v="Lead"/>
    <m/>
    <m/>
    <m/>
    <n v="1"/>
    <x v="9"/>
    <n v="0"/>
    <n v="0"/>
    <n v="0"/>
  </r>
  <r>
    <s v="LD6269"/>
    <d v="2024-10-26T00:00:00"/>
    <x v="2"/>
    <s v="Direct / Type-in"/>
    <s v="Mobile"/>
    <s v="North America"/>
    <s v="Lead"/>
    <m/>
    <m/>
    <m/>
    <n v="1"/>
    <x v="5"/>
    <n v="0"/>
    <n v="0"/>
    <n v="0"/>
  </r>
  <r>
    <s v="LD5911"/>
    <d v="2024-10-13T00:00:00"/>
    <x v="0"/>
    <s v="LinkedIn Ads"/>
    <s v="Desktop"/>
    <s v="Latin America"/>
    <s v="Lead"/>
    <m/>
    <m/>
    <m/>
    <n v="1"/>
    <x v="5"/>
    <n v="0"/>
    <n v="0"/>
    <n v="0"/>
  </r>
  <r>
    <s v="LD2853"/>
    <d v="2024-04-28T00:00:00"/>
    <x v="3"/>
    <s v="Monthly Newsletter"/>
    <s v="Desktop"/>
    <s v="North America"/>
    <s v="MQL"/>
    <m/>
    <m/>
    <m/>
    <n v="2"/>
    <x v="1"/>
    <n v="1"/>
    <n v="0"/>
    <n v="0"/>
  </r>
  <r>
    <s v="LD7341"/>
    <d v="2024-12-17T00:00:00"/>
    <x v="0"/>
    <s v="LinkedIn Ads"/>
    <s v="Mobile"/>
    <s v="North America"/>
    <s v="MQL"/>
    <m/>
    <m/>
    <m/>
    <n v="2"/>
    <x v="7"/>
    <n v="1"/>
    <n v="0"/>
    <n v="0"/>
  </r>
  <r>
    <s v="LD7602"/>
    <d v="2024-12-11T00:00:00"/>
    <x v="4"/>
    <s v="Partner Program"/>
    <s v="Mobile"/>
    <s v="Europe"/>
    <s v="Lead"/>
    <m/>
    <m/>
    <m/>
    <n v="1"/>
    <x v="7"/>
    <n v="0"/>
    <n v="0"/>
    <n v="0"/>
  </r>
  <r>
    <s v="LD3106"/>
    <d v="2024-05-18T00:00:00"/>
    <x v="1"/>
    <s v="Google Ads - Brand"/>
    <s v="Desktop"/>
    <s v="North America"/>
    <s v="SQL"/>
    <m/>
    <m/>
    <m/>
    <n v="3"/>
    <x v="4"/>
    <n v="1"/>
    <n v="1"/>
    <n v="0"/>
  </r>
  <r>
    <s v="LD1134"/>
    <d v="2024-01-24T00:00:00"/>
    <x v="1"/>
    <s v="Google Ads - Generic"/>
    <s v="Mobile"/>
    <s v="North America"/>
    <s v="MQL"/>
    <m/>
    <m/>
    <m/>
    <n v="2"/>
    <x v="3"/>
    <n v="1"/>
    <n v="0"/>
    <n v="0"/>
  </r>
  <r>
    <s v="LD6237"/>
    <d v="2024-10-18T00:00:00"/>
    <x v="2"/>
    <s v="Direct / Type-in"/>
    <s v="Desktop"/>
    <s v="Europe"/>
    <s v="Lead"/>
    <m/>
    <m/>
    <m/>
    <n v="1"/>
    <x v="5"/>
    <n v="0"/>
    <n v="0"/>
    <n v="0"/>
  </r>
  <r>
    <s v="LD6030"/>
    <d v="2024-10-16T00:00:00"/>
    <x v="3"/>
    <s v="Monthly Newsletter"/>
    <s v="Mobile"/>
    <s v="North America"/>
    <s v="MQL"/>
    <m/>
    <m/>
    <m/>
    <n v="2"/>
    <x v="5"/>
    <n v="1"/>
    <n v="0"/>
    <n v="0"/>
  </r>
  <r>
    <s v="LD1929"/>
    <d v="2024-02-28T00:00:00"/>
    <x v="2"/>
    <s v="Direct / Type-in"/>
    <s v="Mobile"/>
    <s v="North America"/>
    <s v="Lead"/>
    <m/>
    <m/>
    <m/>
    <n v="1"/>
    <x v="10"/>
    <n v="0"/>
    <n v="0"/>
    <n v="0"/>
  </r>
  <r>
    <s v="LD1824"/>
    <d v="2024-02-11T00:00:00"/>
    <x v="4"/>
    <s v="Partner Program"/>
    <s v="Mobile"/>
    <s v="Europe"/>
    <s v="SQL"/>
    <m/>
    <m/>
    <m/>
    <n v="3"/>
    <x v="10"/>
    <n v="1"/>
    <n v="1"/>
    <n v="0"/>
  </r>
  <r>
    <s v="LD7159"/>
    <d v="2024-12-06T00:00:00"/>
    <x v="5"/>
    <s v="Blog SEO"/>
    <s v="Desktop"/>
    <s v="North America"/>
    <s v="Lead"/>
    <m/>
    <m/>
    <m/>
    <n v="1"/>
    <x v="7"/>
    <n v="0"/>
    <n v="0"/>
    <n v="0"/>
  </r>
  <r>
    <s v="LD2532"/>
    <d v="2024-04-16T00:00:00"/>
    <x v="5"/>
    <s v="Blog SEO"/>
    <s v="Desktop"/>
    <s v="Europe"/>
    <s v="Lead"/>
    <m/>
    <m/>
    <m/>
    <n v="1"/>
    <x v="1"/>
    <n v="0"/>
    <n v="0"/>
    <n v="0"/>
  </r>
  <r>
    <s v="LD2215"/>
    <d v="2024-03-16T00:00:00"/>
    <x v="3"/>
    <s v="Monthly Newsletter"/>
    <s v="Mobile"/>
    <s v="Asia Pacific"/>
    <s v="Lead"/>
    <m/>
    <m/>
    <m/>
    <n v="1"/>
    <x v="8"/>
    <n v="0"/>
    <n v="0"/>
    <n v="0"/>
  </r>
  <r>
    <s v="LD1505"/>
    <d v="2024-02-02T00:00:00"/>
    <x v="5"/>
    <s v="Blog SEO"/>
    <s v="Mobile"/>
    <s v="North America"/>
    <s v="Lead"/>
    <m/>
    <m/>
    <m/>
    <n v="1"/>
    <x v="10"/>
    <n v="0"/>
    <n v="0"/>
    <n v="0"/>
  </r>
  <r>
    <s v="LD5286"/>
    <d v="2024-09-18T00:00:00"/>
    <x v="0"/>
    <s v="Facebook Ads"/>
    <s v="Mobile"/>
    <s v="North America"/>
    <s v="Lead"/>
    <m/>
    <m/>
    <m/>
    <n v="1"/>
    <x v="9"/>
    <n v="0"/>
    <n v="0"/>
    <n v="0"/>
  </r>
  <r>
    <s v="LD2997"/>
    <d v="2024-04-12T00:00:00"/>
    <x v="2"/>
    <s v="Direct / Type-in"/>
    <s v="Mobile"/>
    <s v="Europe"/>
    <s v="MQL"/>
    <m/>
    <m/>
    <m/>
    <n v="2"/>
    <x v="1"/>
    <n v="1"/>
    <n v="0"/>
    <n v="0"/>
  </r>
  <r>
    <s v="LD4073"/>
    <d v="2024-07-05T00:00:00"/>
    <x v="5"/>
    <s v="Landing Page SEO"/>
    <s v="Desktop"/>
    <s v="North America"/>
    <s v="Lead"/>
    <m/>
    <m/>
    <m/>
    <n v="1"/>
    <x v="0"/>
    <n v="0"/>
    <n v="0"/>
    <n v="0"/>
  </r>
  <r>
    <s v="LD2959"/>
    <d v="2024-04-11T00:00:00"/>
    <x v="2"/>
    <s v="Direct / Type-in"/>
    <s v="Desktop"/>
    <s v="Europe"/>
    <s v="Lead"/>
    <m/>
    <m/>
    <m/>
    <n v="1"/>
    <x v="1"/>
    <n v="0"/>
    <n v="0"/>
    <n v="0"/>
  </r>
  <r>
    <s v="LD2385"/>
    <d v="2024-03-01T00:00:00"/>
    <x v="4"/>
    <s v="Affiliate Program"/>
    <s v="Mobile"/>
    <s v="Latin America"/>
    <s v="Lead"/>
    <m/>
    <m/>
    <m/>
    <n v="1"/>
    <x v="8"/>
    <n v="0"/>
    <n v="0"/>
    <n v="0"/>
  </r>
  <r>
    <s v="LD1895"/>
    <d v="2024-02-02T00:00:00"/>
    <x v="2"/>
    <s v="Direct / Type-in"/>
    <s v="Desktop"/>
    <s v="Europe"/>
    <s v="Lead"/>
    <m/>
    <m/>
    <m/>
    <n v="1"/>
    <x v="10"/>
    <n v="0"/>
    <n v="0"/>
    <n v="0"/>
  </r>
  <r>
    <s v="LD5925"/>
    <d v="2024-10-24T00:00:00"/>
    <x v="0"/>
    <s v="Instagram Ads"/>
    <s v="Desktop"/>
    <s v="North America"/>
    <s v="Lead"/>
    <m/>
    <m/>
    <m/>
    <n v="1"/>
    <x v="5"/>
    <n v="0"/>
    <n v="0"/>
    <n v="0"/>
  </r>
  <r>
    <s v="LD1456"/>
    <d v="2024-01-25T00:00:00"/>
    <x v="2"/>
    <s v="Direct / Type-in"/>
    <s v="Desktop"/>
    <s v="Europe"/>
    <s v="Lead"/>
    <m/>
    <m/>
    <m/>
    <n v="1"/>
    <x v="3"/>
    <n v="0"/>
    <n v="0"/>
    <n v="0"/>
  </r>
  <r>
    <s v="LD6780"/>
    <d v="2024-11-17T00:00:00"/>
    <x v="3"/>
    <s v="Monthly Newsletter"/>
    <s v="Mobile"/>
    <s v="North America"/>
    <s v="Lead"/>
    <m/>
    <m/>
    <m/>
    <n v="1"/>
    <x v="2"/>
    <n v="0"/>
    <n v="0"/>
    <n v="0"/>
  </r>
  <r>
    <s v="LD7280"/>
    <d v="2024-12-11T00:00:00"/>
    <x v="1"/>
    <s v="Google Ads - Generic"/>
    <s v="Desktop"/>
    <s v="North America"/>
    <s v="Lead"/>
    <m/>
    <m/>
    <m/>
    <n v="1"/>
    <x v="7"/>
    <n v="0"/>
    <n v="0"/>
    <n v="0"/>
  </r>
  <r>
    <s v="LD4710"/>
    <d v="2024-08-12T00:00:00"/>
    <x v="0"/>
    <s v="Facebook Ads"/>
    <s v="Desktop"/>
    <s v="North America"/>
    <s v="Lead"/>
    <m/>
    <m/>
    <m/>
    <n v="1"/>
    <x v="6"/>
    <n v="0"/>
    <n v="0"/>
    <n v="0"/>
  </r>
  <r>
    <s v="LD7255"/>
    <d v="2024-12-23T00:00:00"/>
    <x v="1"/>
    <s v="Google Ads - Generic"/>
    <s v="Mobile"/>
    <s v="North America"/>
    <s v="Lead"/>
    <m/>
    <m/>
    <m/>
    <n v="1"/>
    <x v="7"/>
    <n v="0"/>
    <n v="0"/>
    <n v="0"/>
  </r>
  <r>
    <s v="LD5850"/>
    <d v="2024-10-20T00:00:00"/>
    <x v="0"/>
    <s v="Instagram Ads"/>
    <s v="Desktop"/>
    <s v="North America"/>
    <s v="Lead"/>
    <m/>
    <m/>
    <m/>
    <n v="1"/>
    <x v="5"/>
    <n v="0"/>
    <n v="0"/>
    <n v="0"/>
  </r>
  <r>
    <s v="LD5749"/>
    <d v="2024-10-19T00:00:00"/>
    <x v="1"/>
    <s v="Google Ads - Brand"/>
    <s v="Desktop"/>
    <s v="Asia Pacific"/>
    <s v="Lead"/>
    <m/>
    <m/>
    <m/>
    <n v="1"/>
    <x v="5"/>
    <n v="0"/>
    <n v="0"/>
    <n v="0"/>
  </r>
  <r>
    <s v="LD5269"/>
    <d v="2024-09-23T00:00:00"/>
    <x v="0"/>
    <s v="LinkedIn Ads"/>
    <s v="Mobile"/>
    <s v="Europe"/>
    <s v="Lead"/>
    <m/>
    <m/>
    <m/>
    <n v="1"/>
    <x v="9"/>
    <n v="0"/>
    <n v="0"/>
    <n v="0"/>
  </r>
  <r>
    <s v="LD4523"/>
    <d v="2024-08-20T00:00:00"/>
    <x v="5"/>
    <s v="Landing Page SEO"/>
    <s v="Mobile"/>
    <s v="North America"/>
    <s v="Lead"/>
    <m/>
    <m/>
    <m/>
    <n v="1"/>
    <x v="6"/>
    <n v="0"/>
    <n v="0"/>
    <n v="0"/>
  </r>
  <r>
    <s v="LD5135"/>
    <d v="2024-09-10T00:00:00"/>
    <x v="1"/>
    <s v="Google Ads - Generic"/>
    <s v="Mobile"/>
    <s v="Latin America"/>
    <s v="SQL"/>
    <m/>
    <m/>
    <m/>
    <n v="3"/>
    <x v="9"/>
    <n v="1"/>
    <n v="1"/>
    <n v="0"/>
  </r>
  <r>
    <s v="LD4603"/>
    <d v="2024-08-18T00:00:00"/>
    <x v="1"/>
    <s v="Google Ads - Generic"/>
    <s v="Desktop"/>
    <s v="North America"/>
    <s v="MQL"/>
    <m/>
    <m/>
    <m/>
    <n v="2"/>
    <x v="6"/>
    <n v="1"/>
    <n v="0"/>
    <n v="0"/>
  </r>
  <r>
    <s v="LD7629"/>
    <d v="2024-12-16T00:00:00"/>
    <x v="4"/>
    <s v="Partner Program"/>
    <s v="Mobile"/>
    <s v="North America"/>
    <s v="SQL"/>
    <m/>
    <m/>
    <m/>
    <n v="3"/>
    <x v="7"/>
    <n v="1"/>
    <n v="1"/>
    <n v="0"/>
  </r>
  <r>
    <s v="LD1714"/>
    <d v="2024-02-21T00:00:00"/>
    <x v="3"/>
    <s v="Monthly Newsletter"/>
    <s v="Mobile"/>
    <s v="Europe"/>
    <s v="Lead"/>
    <m/>
    <m/>
    <m/>
    <n v="1"/>
    <x v="10"/>
    <n v="0"/>
    <n v="0"/>
    <n v="0"/>
  </r>
  <r>
    <s v="LD5187"/>
    <d v="2024-09-08T00:00:00"/>
    <x v="1"/>
    <s v="Google Ads - Generic"/>
    <s v="Mobile"/>
    <s v="North America"/>
    <s v="Lead"/>
    <m/>
    <m/>
    <m/>
    <n v="1"/>
    <x v="9"/>
    <n v="0"/>
    <n v="0"/>
    <n v="0"/>
  </r>
  <r>
    <s v="LD3215"/>
    <d v="2024-05-11T00:00:00"/>
    <x v="0"/>
    <s v="Instagram Ads"/>
    <s v="Mobile"/>
    <s v="Europe"/>
    <s v="Lead"/>
    <m/>
    <m/>
    <m/>
    <n v="1"/>
    <x v="4"/>
    <n v="0"/>
    <n v="0"/>
    <n v="0"/>
  </r>
  <r>
    <s v="LD6302"/>
    <d v="2024-10-28T00:00:00"/>
    <x v="2"/>
    <s v="Direct / Type-in"/>
    <s v="Mobile"/>
    <s v="North America"/>
    <s v="Lead"/>
    <m/>
    <m/>
    <m/>
    <n v="1"/>
    <x v="5"/>
    <n v="0"/>
    <n v="0"/>
    <n v="0"/>
  </r>
  <r>
    <s v="LD3924"/>
    <d v="2024-06-22T00:00:00"/>
    <x v="4"/>
    <s v="Affiliate Program"/>
    <s v="Desktop"/>
    <s v="North America"/>
    <s v="MQL"/>
    <m/>
    <m/>
    <m/>
    <n v="2"/>
    <x v="11"/>
    <n v="1"/>
    <n v="0"/>
    <n v="0"/>
  </r>
  <r>
    <s v="LD2811"/>
    <d v="2024-04-19T00:00:00"/>
    <x v="3"/>
    <s v="Promo Blast"/>
    <s v="Desktop"/>
    <s v="Europe"/>
    <s v="Lead"/>
    <m/>
    <m/>
    <m/>
    <n v="1"/>
    <x v="1"/>
    <n v="0"/>
    <n v="0"/>
    <n v="0"/>
  </r>
  <r>
    <s v="LD4487"/>
    <d v="2024-07-15T00:00:00"/>
    <x v="2"/>
    <s v="Direct / Type-in"/>
    <s v="Mobile"/>
    <s v="North America"/>
    <s v="Lead"/>
    <m/>
    <m/>
    <m/>
    <n v="1"/>
    <x v="0"/>
    <n v="0"/>
    <n v="0"/>
    <n v="0"/>
  </r>
  <r>
    <s v="LD4142"/>
    <d v="2024-07-14T00:00:00"/>
    <x v="1"/>
    <s v="Google Ads - Brand"/>
    <s v="Mobile"/>
    <s v="Asia Pacific"/>
    <s v="MQL"/>
    <m/>
    <m/>
    <m/>
    <n v="2"/>
    <x v="0"/>
    <n v="1"/>
    <n v="0"/>
    <n v="0"/>
  </r>
  <r>
    <s v="LD2828"/>
    <d v="2024-04-01T00:00:00"/>
    <x v="3"/>
    <s v="Promo Blast"/>
    <s v="Mobile"/>
    <s v="Europe"/>
    <s v="Lead"/>
    <m/>
    <m/>
    <m/>
    <n v="1"/>
    <x v="1"/>
    <n v="0"/>
    <n v="0"/>
    <n v="0"/>
  </r>
  <r>
    <s v="LD2156"/>
    <d v="2024-03-26T00:00:00"/>
    <x v="0"/>
    <s v="Facebook Ads"/>
    <s v="Mobile"/>
    <s v="Latin America"/>
    <s v="Lead"/>
    <m/>
    <m/>
    <m/>
    <n v="1"/>
    <x v="8"/>
    <n v="0"/>
    <n v="0"/>
    <n v="0"/>
  </r>
  <r>
    <s v="LD2325"/>
    <d v="2024-03-11T00:00:00"/>
    <x v="4"/>
    <s v="Partner Program"/>
    <s v="Mobile"/>
    <s v="North America"/>
    <s v="Lead"/>
    <m/>
    <m/>
    <m/>
    <n v="1"/>
    <x v="8"/>
    <n v="0"/>
    <n v="0"/>
    <n v="0"/>
  </r>
  <r>
    <s v="LD5313"/>
    <d v="2024-09-05T00:00:00"/>
    <x v="3"/>
    <s v="Monthly Newsletter"/>
    <s v="Mobile"/>
    <s v="Asia Pacific"/>
    <s v="MQL"/>
    <m/>
    <m/>
    <m/>
    <n v="2"/>
    <x v="9"/>
    <n v="1"/>
    <n v="0"/>
    <n v="0"/>
  </r>
  <r>
    <s v="LD1511"/>
    <d v="2024-02-25T00:00:00"/>
    <x v="5"/>
    <s v="Blog SEO"/>
    <s v="Desktop"/>
    <s v="Europe"/>
    <s v="Lead"/>
    <m/>
    <m/>
    <m/>
    <n v="1"/>
    <x v="10"/>
    <n v="0"/>
    <n v="0"/>
    <n v="0"/>
  </r>
  <r>
    <s v="LD2681"/>
    <d v="2024-04-07T00:00:00"/>
    <x v="0"/>
    <s v="Facebook Ads"/>
    <s v="Mobile"/>
    <s v="Europe"/>
    <s v="MQL"/>
    <m/>
    <m/>
    <m/>
    <n v="2"/>
    <x v="1"/>
    <n v="1"/>
    <n v="0"/>
    <n v="0"/>
  </r>
  <r>
    <s v="LD1500"/>
    <d v="2024-02-08T00:00:00"/>
    <x v="5"/>
    <s v="Landing Page SEO"/>
    <s v="Desktop"/>
    <s v="Latin America"/>
    <s v="Lead"/>
    <m/>
    <m/>
    <m/>
    <n v="1"/>
    <x v="10"/>
    <n v="0"/>
    <n v="0"/>
    <n v="0"/>
  </r>
  <r>
    <s v="LD7147"/>
    <d v="2024-12-14T00:00:00"/>
    <x v="5"/>
    <s v="Landing Page SEO"/>
    <s v="Desktop"/>
    <s v="North America"/>
    <s v="MQL"/>
    <m/>
    <m/>
    <m/>
    <n v="2"/>
    <x v="7"/>
    <n v="1"/>
    <n v="0"/>
    <n v="0"/>
  </r>
  <r>
    <s v="LD2857"/>
    <d v="2024-04-08T00:00:00"/>
    <x v="3"/>
    <s v="Promo Blast"/>
    <s v="Mobile"/>
    <s v="North America"/>
    <s v="MQL"/>
    <m/>
    <m/>
    <m/>
    <n v="2"/>
    <x v="1"/>
    <n v="1"/>
    <n v="0"/>
    <n v="0"/>
  </r>
  <r>
    <s v="LD2389"/>
    <d v="2024-03-01T00:00:00"/>
    <x v="4"/>
    <s v="Affiliate Program"/>
    <s v="Desktop"/>
    <s v="Asia Pacific"/>
    <s v="MQL"/>
    <m/>
    <m/>
    <m/>
    <n v="2"/>
    <x v="8"/>
    <n v="1"/>
    <n v="0"/>
    <n v="0"/>
  </r>
  <r>
    <s v="LD6616"/>
    <d v="2024-11-09T00:00:00"/>
    <x v="0"/>
    <s v="Facebook Ads"/>
    <s v="Desktop"/>
    <s v="North America"/>
    <s v="MQL"/>
    <m/>
    <m/>
    <m/>
    <n v="2"/>
    <x v="2"/>
    <n v="1"/>
    <n v="0"/>
    <n v="0"/>
  </r>
  <r>
    <s v="LD4720"/>
    <d v="2024-08-02T00:00:00"/>
    <x v="0"/>
    <s v="Facebook Ads"/>
    <s v="Desktop"/>
    <s v="Europe"/>
    <s v="Lead"/>
    <m/>
    <m/>
    <m/>
    <n v="1"/>
    <x v="6"/>
    <n v="0"/>
    <n v="0"/>
    <n v="0"/>
  </r>
  <r>
    <s v="LD3387"/>
    <d v="2024-05-23T00:00:00"/>
    <x v="3"/>
    <s v="Monthly Newsletter"/>
    <s v="Desktop"/>
    <s v="North America"/>
    <s v="Customer"/>
    <n v="15"/>
    <s v="Basic"/>
    <n v="1045.1099999999999"/>
    <n v="4"/>
    <x v="4"/>
    <n v="1"/>
    <n v="1"/>
    <n v="1"/>
  </r>
  <r>
    <s v="LD6542"/>
    <d v="2024-11-07T00:00:00"/>
    <x v="1"/>
    <s v="Google Ads - Generic"/>
    <s v="Desktop"/>
    <s v="Asia Pacific"/>
    <s v="Lead"/>
    <m/>
    <m/>
    <m/>
    <n v="1"/>
    <x v="2"/>
    <n v="0"/>
    <n v="0"/>
    <n v="0"/>
  </r>
  <r>
    <s v="LD4237"/>
    <d v="2024-07-26T00:00:00"/>
    <x v="0"/>
    <s v="LinkedIn Ads"/>
    <s v="Desktop"/>
    <s v="Europe"/>
    <s v="MQL"/>
    <m/>
    <m/>
    <m/>
    <n v="2"/>
    <x v="0"/>
    <n v="1"/>
    <n v="0"/>
    <n v="0"/>
  </r>
  <r>
    <s v="LD2541"/>
    <d v="2024-04-14T00:00:00"/>
    <x v="5"/>
    <s v="Landing Page SEO"/>
    <s v="Mobile"/>
    <s v="Europe"/>
    <s v="Customer"/>
    <n v="14"/>
    <s v="Basic"/>
    <n v="785.85"/>
    <n v="4"/>
    <x v="1"/>
    <n v="1"/>
    <n v="1"/>
    <n v="1"/>
  </r>
  <r>
    <s v="LD2218"/>
    <d v="2024-03-28T00:00:00"/>
    <x v="3"/>
    <s v="Promo Blast"/>
    <s v="Desktop"/>
    <s v="North America"/>
    <s v="SQL"/>
    <m/>
    <m/>
    <m/>
    <n v="3"/>
    <x v="8"/>
    <n v="1"/>
    <n v="1"/>
    <n v="0"/>
  </r>
  <r>
    <s v="LD3682"/>
    <d v="2024-06-26T00:00:00"/>
    <x v="1"/>
    <s v="Google Ads - Generic"/>
    <s v="Mobile"/>
    <s v="North America"/>
    <s v="MQL"/>
    <m/>
    <m/>
    <m/>
    <n v="2"/>
    <x v="11"/>
    <n v="1"/>
    <n v="0"/>
    <n v="0"/>
  </r>
  <r>
    <s v="LD3994"/>
    <d v="2024-06-26T00:00:00"/>
    <x v="2"/>
    <s v="Direct / Type-in"/>
    <s v="Desktop"/>
    <s v="North America"/>
    <s v="MQL"/>
    <m/>
    <m/>
    <m/>
    <n v="2"/>
    <x v="11"/>
    <n v="1"/>
    <n v="0"/>
    <n v="0"/>
  </r>
  <r>
    <s v="LD6513"/>
    <d v="2024-11-04T00:00:00"/>
    <x v="1"/>
    <s v="Google Ads - Brand"/>
    <s v="Desktop"/>
    <s v="Europe"/>
    <s v="SQL"/>
    <m/>
    <m/>
    <m/>
    <n v="3"/>
    <x v="2"/>
    <n v="1"/>
    <n v="1"/>
    <n v="0"/>
  </r>
  <r>
    <s v="LD2192"/>
    <d v="2024-03-21T00:00:00"/>
    <x v="0"/>
    <s v="Instagram Ads"/>
    <s v="Mobile"/>
    <s v="North America"/>
    <s v="Lead"/>
    <m/>
    <m/>
    <m/>
    <n v="1"/>
    <x v="8"/>
    <n v="0"/>
    <n v="0"/>
    <n v="0"/>
  </r>
  <r>
    <s v="LD6773"/>
    <d v="2024-11-24T00:00:00"/>
    <x v="3"/>
    <s v="Promo Blast"/>
    <s v="Desktop"/>
    <s v="North America"/>
    <s v="Lead"/>
    <m/>
    <m/>
    <m/>
    <n v="1"/>
    <x v="2"/>
    <n v="0"/>
    <n v="0"/>
    <n v="0"/>
  </r>
  <r>
    <s v="LD6294"/>
    <d v="2024-10-25T00:00:00"/>
    <x v="2"/>
    <s v="Direct / Type-in"/>
    <s v="Desktop"/>
    <s v="Asia Pacific"/>
    <s v="Lead"/>
    <m/>
    <m/>
    <m/>
    <n v="1"/>
    <x v="5"/>
    <n v="0"/>
    <n v="0"/>
    <n v="0"/>
  </r>
  <r>
    <s v="LD2543"/>
    <d v="2024-04-16T00:00:00"/>
    <x v="5"/>
    <s v="Landing Page SEO"/>
    <s v="Desktop"/>
    <s v="Latin America"/>
    <s v="Lead"/>
    <m/>
    <m/>
    <m/>
    <n v="1"/>
    <x v="1"/>
    <n v="0"/>
    <n v="0"/>
    <n v="0"/>
  </r>
  <r>
    <s v="LD4302"/>
    <d v="2024-07-07T00:00:00"/>
    <x v="3"/>
    <s v="Promo Blast"/>
    <s v="Desktop"/>
    <s v="Europe"/>
    <s v="MQL"/>
    <m/>
    <m/>
    <m/>
    <n v="2"/>
    <x v="0"/>
    <n v="1"/>
    <n v="0"/>
    <n v="0"/>
  </r>
  <r>
    <s v="LD4325"/>
    <d v="2024-07-16T00:00:00"/>
    <x v="3"/>
    <s v="Promo Blast"/>
    <s v="Mobile"/>
    <s v="North America"/>
    <s v="Lead"/>
    <m/>
    <m/>
    <m/>
    <n v="1"/>
    <x v="0"/>
    <n v="0"/>
    <n v="0"/>
    <n v="0"/>
  </r>
  <r>
    <s v="LD3540"/>
    <d v="2024-05-04T00:00:00"/>
    <x v="2"/>
    <s v="Direct / Type-in"/>
    <s v="Mobile"/>
    <s v="Asia Pacific"/>
    <s v="MQL"/>
    <m/>
    <m/>
    <m/>
    <n v="2"/>
    <x v="4"/>
    <n v="1"/>
    <n v="0"/>
    <n v="0"/>
  </r>
  <r>
    <s v="LD1954"/>
    <d v="2024-03-25T00:00:00"/>
    <x v="5"/>
    <s v="Landing Page SEO"/>
    <s v="Desktop"/>
    <s v="Europe"/>
    <s v="Customer"/>
    <n v="7"/>
    <s v="Pro"/>
    <n v="3813.08"/>
    <n v="4"/>
    <x v="8"/>
    <n v="1"/>
    <n v="1"/>
    <n v="1"/>
  </r>
  <r>
    <s v="LD5847"/>
    <d v="2024-10-14T00:00:00"/>
    <x v="0"/>
    <s v="LinkedIn Ads"/>
    <s v="Mobile"/>
    <s v="Europe"/>
    <s v="Lead"/>
    <m/>
    <m/>
    <m/>
    <n v="1"/>
    <x v="5"/>
    <n v="0"/>
    <n v="0"/>
    <n v="0"/>
  </r>
  <r>
    <s v="LD5331"/>
    <d v="2024-09-19T00:00:00"/>
    <x v="3"/>
    <s v="Monthly Newsletter"/>
    <s v="Desktop"/>
    <s v="Europe"/>
    <s v="MQL"/>
    <m/>
    <m/>
    <m/>
    <n v="2"/>
    <x v="9"/>
    <n v="1"/>
    <n v="0"/>
    <n v="0"/>
  </r>
  <r>
    <s v="LD1733"/>
    <d v="2024-02-27T00:00:00"/>
    <x v="3"/>
    <s v="Monthly Newsletter"/>
    <s v="Mobile"/>
    <s v="Europe"/>
    <s v="MQL"/>
    <m/>
    <m/>
    <m/>
    <n v="2"/>
    <x v="10"/>
    <n v="1"/>
    <n v="0"/>
    <n v="0"/>
  </r>
  <r>
    <s v="LD7775"/>
    <d v="2024-12-18T00:00:00"/>
    <x v="2"/>
    <s v="Direct / Type-in"/>
    <s v="Desktop"/>
    <s v="Europe"/>
    <s v="SQL"/>
    <m/>
    <m/>
    <m/>
    <n v="3"/>
    <x v="7"/>
    <n v="1"/>
    <n v="1"/>
    <n v="0"/>
  </r>
  <r>
    <s v="LD2157"/>
    <d v="2024-03-19T00:00:00"/>
    <x v="0"/>
    <s v="Facebook Ads"/>
    <s v="Mobile"/>
    <s v="North America"/>
    <s v="Lead"/>
    <m/>
    <m/>
    <m/>
    <n v="1"/>
    <x v="8"/>
    <n v="0"/>
    <n v="0"/>
    <n v="0"/>
  </r>
  <r>
    <s v="LD7655"/>
    <d v="2024-12-03T00:00:00"/>
    <x v="4"/>
    <s v="Partner Program"/>
    <s v="Mobile"/>
    <s v="North America"/>
    <s v="SQL"/>
    <m/>
    <m/>
    <m/>
    <n v="3"/>
    <x v="7"/>
    <n v="1"/>
    <n v="1"/>
    <n v="0"/>
  </r>
  <r>
    <s v="LD4295"/>
    <d v="2024-07-08T00:00:00"/>
    <x v="3"/>
    <s v="Monthly Newsletter"/>
    <s v="Mobile"/>
    <s v="North America"/>
    <s v="Lead"/>
    <m/>
    <m/>
    <m/>
    <n v="1"/>
    <x v="0"/>
    <n v="0"/>
    <n v="0"/>
    <n v="0"/>
  </r>
  <r>
    <s v="LD3983"/>
    <d v="2024-06-08T00:00:00"/>
    <x v="4"/>
    <s v="Affiliate Program"/>
    <s v="Mobile"/>
    <s v="Europe"/>
    <s v="SQL"/>
    <m/>
    <m/>
    <m/>
    <n v="3"/>
    <x v="11"/>
    <n v="1"/>
    <n v="1"/>
    <n v="0"/>
  </r>
  <r>
    <s v="LD6306"/>
    <d v="2024-10-18T00:00:00"/>
    <x v="2"/>
    <s v="Direct / Type-in"/>
    <s v="Mobile"/>
    <s v="Europe"/>
    <s v="SQL"/>
    <m/>
    <m/>
    <m/>
    <n v="3"/>
    <x v="5"/>
    <n v="1"/>
    <n v="1"/>
    <n v="0"/>
  </r>
  <r>
    <s v="LD6162"/>
    <d v="2024-10-16T00:00:00"/>
    <x v="4"/>
    <s v="Partner Program"/>
    <s v="Mobile"/>
    <s v="Asia Pacific"/>
    <s v="Lead"/>
    <m/>
    <m/>
    <m/>
    <n v="1"/>
    <x v="5"/>
    <n v="0"/>
    <n v="0"/>
    <n v="0"/>
  </r>
  <r>
    <s v="LD3157"/>
    <d v="2024-05-05T00:00:00"/>
    <x v="1"/>
    <s v="Google Ads - Brand"/>
    <s v="Desktop"/>
    <s v="Asia Pacific"/>
    <s v="Lead"/>
    <m/>
    <m/>
    <m/>
    <n v="1"/>
    <x v="4"/>
    <n v="0"/>
    <n v="0"/>
    <n v="0"/>
  </r>
  <r>
    <s v="LD2063"/>
    <d v="2024-03-05T00:00:00"/>
    <x v="1"/>
    <s v="Google Ads - Generic"/>
    <s v="Desktop"/>
    <s v="North America"/>
    <s v="Lead"/>
    <m/>
    <m/>
    <m/>
    <n v="1"/>
    <x v="8"/>
    <n v="0"/>
    <n v="0"/>
    <n v="0"/>
  </r>
  <r>
    <s v="LD3617"/>
    <d v="2024-06-19T00:00:00"/>
    <x v="5"/>
    <s v="Blog SEO"/>
    <s v="Mobile"/>
    <s v="North America"/>
    <s v="MQL"/>
    <m/>
    <m/>
    <m/>
    <n v="2"/>
    <x v="11"/>
    <n v="1"/>
    <n v="0"/>
    <n v="0"/>
  </r>
  <r>
    <s v="LD2168"/>
    <d v="2024-03-10T00:00:00"/>
    <x v="0"/>
    <s v="Instagram Ads"/>
    <s v="Desktop"/>
    <s v="Latin America"/>
    <s v="Lead"/>
    <m/>
    <m/>
    <m/>
    <n v="1"/>
    <x v="8"/>
    <n v="0"/>
    <n v="0"/>
    <n v="0"/>
  </r>
  <r>
    <s v="LD4223"/>
    <d v="2024-07-26T00:00:00"/>
    <x v="0"/>
    <s v="LinkedIn Ads"/>
    <s v="Mobile"/>
    <s v="Europe"/>
    <s v="Customer"/>
    <n v="55"/>
    <s v="Pro"/>
    <n v="2728.73"/>
    <n v="4"/>
    <x v="0"/>
    <n v="1"/>
    <n v="1"/>
    <n v="1"/>
  </r>
  <r>
    <s v="LD4637"/>
    <d v="2024-08-05T00:00:00"/>
    <x v="1"/>
    <s v="Google Ads - Brand"/>
    <s v="Desktop"/>
    <s v="North America"/>
    <s v="SQL"/>
    <m/>
    <m/>
    <m/>
    <n v="3"/>
    <x v="6"/>
    <n v="1"/>
    <n v="1"/>
    <n v="0"/>
  </r>
  <r>
    <s v="LD6589"/>
    <d v="2024-11-11T00:00:00"/>
    <x v="1"/>
    <s v="Google Ads - Generic"/>
    <s v="Desktop"/>
    <s v="Europe"/>
    <s v="Lead"/>
    <m/>
    <m/>
    <m/>
    <n v="1"/>
    <x v="2"/>
    <n v="0"/>
    <n v="0"/>
    <n v="0"/>
  </r>
  <r>
    <s v="LD3939"/>
    <d v="2024-06-22T00:00:00"/>
    <x v="4"/>
    <s v="Partner Program"/>
    <s v="Mobile"/>
    <s v="North America"/>
    <s v="SQL"/>
    <m/>
    <m/>
    <m/>
    <n v="3"/>
    <x v="11"/>
    <n v="1"/>
    <n v="1"/>
    <n v="0"/>
  </r>
  <r>
    <s v="LD5492"/>
    <d v="2024-09-12T00:00:00"/>
    <x v="4"/>
    <s v="Affiliate Program"/>
    <s v="Desktop"/>
    <s v="North America"/>
    <s v="Lead"/>
    <m/>
    <m/>
    <m/>
    <n v="1"/>
    <x v="9"/>
    <n v="0"/>
    <n v="0"/>
    <n v="0"/>
  </r>
  <r>
    <s v="LD4141"/>
    <d v="2024-07-25T00:00:00"/>
    <x v="1"/>
    <s v="Google Ads - Generic"/>
    <s v="Desktop"/>
    <s v="North America"/>
    <s v="MQL"/>
    <m/>
    <m/>
    <m/>
    <n v="2"/>
    <x v="0"/>
    <n v="1"/>
    <n v="0"/>
    <n v="0"/>
  </r>
  <r>
    <s v="LD5981"/>
    <d v="2024-10-26T00:00:00"/>
    <x v="3"/>
    <s v="Promo Blast"/>
    <s v="Desktop"/>
    <s v="North America"/>
    <s v="MQL"/>
    <m/>
    <m/>
    <m/>
    <n v="2"/>
    <x v="5"/>
    <n v="1"/>
    <n v="0"/>
    <n v="0"/>
  </r>
  <r>
    <s v="LD1144"/>
    <d v="2024-01-16T00:00:00"/>
    <x v="1"/>
    <s v="Google Ads - Brand"/>
    <s v="Desktop"/>
    <s v="Europe"/>
    <s v="Lead"/>
    <m/>
    <m/>
    <m/>
    <n v="1"/>
    <x v="3"/>
    <n v="0"/>
    <n v="0"/>
    <n v="0"/>
  </r>
  <r>
    <s v="LD7720"/>
    <d v="2024-12-04T00:00:00"/>
    <x v="2"/>
    <s v="Direct / Type-in"/>
    <s v="Desktop"/>
    <s v="Asia Pacific"/>
    <s v="MQL"/>
    <m/>
    <m/>
    <m/>
    <n v="2"/>
    <x v="7"/>
    <n v="1"/>
    <n v="0"/>
    <n v="0"/>
  </r>
  <r>
    <s v="LD4578"/>
    <d v="2024-08-19T00:00:00"/>
    <x v="5"/>
    <s v="Blog SEO"/>
    <s v="Mobile"/>
    <s v="North America"/>
    <s v="MQL"/>
    <m/>
    <m/>
    <m/>
    <n v="2"/>
    <x v="6"/>
    <n v="1"/>
    <n v="0"/>
    <n v="0"/>
  </r>
  <r>
    <s v="LD5947"/>
    <d v="2024-10-11T00:00:00"/>
    <x v="3"/>
    <s v="Promo Blast"/>
    <s v="Desktop"/>
    <s v="North America"/>
    <s v="SQL"/>
    <m/>
    <m/>
    <m/>
    <n v="3"/>
    <x v="5"/>
    <n v="1"/>
    <n v="1"/>
    <n v="0"/>
  </r>
  <r>
    <s v="LD3783"/>
    <d v="2024-06-20T00:00:00"/>
    <x v="0"/>
    <s v="Instagram Ads"/>
    <s v="Desktop"/>
    <s v="North America"/>
    <s v="Lead"/>
    <m/>
    <m/>
    <m/>
    <n v="1"/>
    <x v="11"/>
    <n v="0"/>
    <n v="0"/>
    <n v="0"/>
  </r>
  <r>
    <s v="LD1718"/>
    <d v="2024-02-20T00:00:00"/>
    <x v="3"/>
    <s v="Monthly Newsletter"/>
    <s v="Mobile"/>
    <s v="North America"/>
    <s v="MQL"/>
    <m/>
    <m/>
    <m/>
    <n v="2"/>
    <x v="10"/>
    <n v="1"/>
    <n v="0"/>
    <n v="0"/>
  </r>
  <r>
    <s v="LD2820"/>
    <d v="2024-04-11T00:00:00"/>
    <x v="3"/>
    <s v="Monthly Newsletter"/>
    <s v="Tablet"/>
    <s v="Asia Pacific"/>
    <s v="Lead"/>
    <m/>
    <m/>
    <m/>
    <n v="1"/>
    <x v="1"/>
    <n v="0"/>
    <n v="0"/>
    <n v="0"/>
  </r>
  <r>
    <s v="LD3503"/>
    <d v="2024-05-08T00:00:00"/>
    <x v="4"/>
    <s v="Affiliate Program"/>
    <s v="Desktop"/>
    <s v="Europe"/>
    <s v="Customer"/>
    <n v="29"/>
    <s v="Basic"/>
    <n v="970.25"/>
    <n v="4"/>
    <x v="4"/>
    <n v="1"/>
    <n v="1"/>
    <n v="1"/>
  </r>
  <r>
    <s v="LD5361"/>
    <d v="2024-09-21T00:00:00"/>
    <x v="3"/>
    <s v="Monthly Newsletter"/>
    <s v="Desktop"/>
    <s v="North America"/>
    <s v="Lead"/>
    <m/>
    <m/>
    <m/>
    <n v="1"/>
    <x v="9"/>
    <n v="0"/>
    <n v="0"/>
    <n v="0"/>
  </r>
  <r>
    <s v="LD5172"/>
    <d v="2024-09-12T00:00:00"/>
    <x v="1"/>
    <s v="Google Ads - Generic"/>
    <s v="Mobile"/>
    <s v="North America"/>
    <s v="Lead"/>
    <m/>
    <m/>
    <m/>
    <n v="1"/>
    <x v="9"/>
    <n v="0"/>
    <n v="0"/>
    <n v="0"/>
  </r>
  <r>
    <s v="LD1396"/>
    <d v="2024-01-11T00:00:00"/>
    <x v="4"/>
    <s v="Partner Program"/>
    <s v="Mobile"/>
    <s v="Asia Pacific"/>
    <s v="MQL"/>
    <m/>
    <m/>
    <m/>
    <n v="2"/>
    <x v="3"/>
    <n v="1"/>
    <n v="0"/>
    <n v="0"/>
  </r>
  <r>
    <s v="LD6732"/>
    <d v="2024-11-06T00:00:00"/>
    <x v="3"/>
    <s v="Monthly Newsletter"/>
    <s v="Mobile"/>
    <s v="Europe"/>
    <s v="Lead"/>
    <m/>
    <m/>
    <m/>
    <n v="1"/>
    <x v="2"/>
    <n v="0"/>
    <n v="0"/>
    <n v="0"/>
  </r>
  <r>
    <s v="LD7557"/>
    <d v="2024-12-05T00:00:00"/>
    <x v="3"/>
    <s v="Promo Blast"/>
    <s v="Desktop"/>
    <s v="Asia Pacific"/>
    <s v="Lead"/>
    <m/>
    <m/>
    <m/>
    <n v="1"/>
    <x v="7"/>
    <n v="0"/>
    <n v="0"/>
    <n v="0"/>
  </r>
  <r>
    <s v="LD5493"/>
    <d v="2024-09-18T00:00:00"/>
    <x v="4"/>
    <s v="Partner Program"/>
    <s v="Mobile"/>
    <s v="Europe"/>
    <s v="MQL"/>
    <m/>
    <m/>
    <m/>
    <n v="2"/>
    <x v="9"/>
    <n v="1"/>
    <n v="0"/>
    <n v="0"/>
  </r>
  <r>
    <s v="LD2366"/>
    <d v="2024-03-04T00:00:00"/>
    <x v="4"/>
    <s v="Partner Program"/>
    <s v="Mobile"/>
    <s v="North America"/>
    <s v="Lead"/>
    <m/>
    <m/>
    <m/>
    <n v="1"/>
    <x v="8"/>
    <n v="0"/>
    <n v="0"/>
    <n v="0"/>
  </r>
  <r>
    <s v="LD7177"/>
    <d v="2024-12-24T00:00:00"/>
    <x v="5"/>
    <s v="Landing Page SEO"/>
    <s v="Desktop"/>
    <s v="Latin America"/>
    <s v="Lead"/>
    <m/>
    <m/>
    <m/>
    <n v="1"/>
    <x v="7"/>
    <n v="0"/>
    <n v="0"/>
    <n v="0"/>
  </r>
  <r>
    <s v="LD7000"/>
    <d v="2024-11-24T00:00:00"/>
    <x v="4"/>
    <s v="Affiliate Program"/>
    <s v="Desktop"/>
    <s v="North America"/>
    <s v="SQL"/>
    <m/>
    <m/>
    <m/>
    <n v="3"/>
    <x v="2"/>
    <n v="1"/>
    <n v="1"/>
    <n v="0"/>
  </r>
  <r>
    <s v="LD1596"/>
    <d v="2024-02-11T00:00:00"/>
    <x v="1"/>
    <s v="Google Ads - Generic"/>
    <s v="Desktop"/>
    <s v="North America"/>
    <s v="Lead"/>
    <m/>
    <m/>
    <m/>
    <n v="1"/>
    <x v="10"/>
    <n v="0"/>
    <n v="0"/>
    <n v="0"/>
  </r>
  <r>
    <s v="LD4953"/>
    <d v="2024-08-17T00:00:00"/>
    <x v="4"/>
    <s v="Affiliate Program"/>
    <s v="Mobile"/>
    <s v="Asia Pacific"/>
    <s v="Customer"/>
    <n v="55"/>
    <s v="Basic"/>
    <n v="825.1"/>
    <n v="4"/>
    <x v="6"/>
    <n v="1"/>
    <n v="1"/>
    <n v="1"/>
  </r>
  <r>
    <s v="LD6393"/>
    <d v="2024-11-09T00:00:00"/>
    <x v="5"/>
    <s v="Blog SEO"/>
    <s v="Desktop"/>
    <s v="North America"/>
    <s v="SQL"/>
    <m/>
    <m/>
    <m/>
    <n v="3"/>
    <x v="2"/>
    <n v="1"/>
    <n v="1"/>
    <n v="0"/>
  </r>
  <r>
    <s v="LD6918"/>
    <d v="2024-11-18T00:00:00"/>
    <x v="4"/>
    <s v="Partner Program"/>
    <s v="Mobile"/>
    <s v="Asia Pacific"/>
    <s v="MQL"/>
    <m/>
    <m/>
    <m/>
    <n v="2"/>
    <x v="2"/>
    <n v="1"/>
    <n v="0"/>
    <n v="0"/>
  </r>
  <r>
    <s v="LD5969"/>
    <d v="2024-10-05T00:00:00"/>
    <x v="3"/>
    <s v="Promo Blast"/>
    <s v="Desktop"/>
    <s v="Latin America"/>
    <s v="MQL"/>
    <m/>
    <m/>
    <m/>
    <n v="2"/>
    <x v="5"/>
    <n v="1"/>
    <n v="0"/>
    <n v="0"/>
  </r>
  <r>
    <s v="LD3915"/>
    <d v="2024-06-15T00:00:00"/>
    <x v="4"/>
    <s v="Partner Program"/>
    <s v="Desktop"/>
    <s v="Asia Pacific"/>
    <s v="Customer"/>
    <n v="43"/>
    <s v="Basic"/>
    <n v="1445.15"/>
    <n v="4"/>
    <x v="11"/>
    <n v="1"/>
    <n v="1"/>
    <n v="1"/>
  </r>
  <r>
    <s v="LD3327"/>
    <d v="2024-05-19T00:00:00"/>
    <x v="3"/>
    <s v="Promo Blast"/>
    <s v="Tablet"/>
    <s v="Europe"/>
    <s v="MQL"/>
    <m/>
    <m/>
    <m/>
    <n v="2"/>
    <x v="4"/>
    <n v="1"/>
    <n v="0"/>
    <n v="0"/>
  </r>
  <r>
    <s v="LD6645"/>
    <d v="2024-11-02T00:00:00"/>
    <x v="0"/>
    <s v="Instagram Ads"/>
    <s v="Mobile"/>
    <s v="North America"/>
    <s v="MQL"/>
    <m/>
    <m/>
    <m/>
    <n v="2"/>
    <x v="2"/>
    <n v="1"/>
    <n v="0"/>
    <n v="0"/>
  </r>
  <r>
    <s v="LD4767"/>
    <d v="2024-08-17T00:00:00"/>
    <x v="3"/>
    <s v="Promo Blast"/>
    <s v="Mobile"/>
    <s v="Europe"/>
    <s v="MQL"/>
    <m/>
    <m/>
    <m/>
    <n v="2"/>
    <x v="6"/>
    <n v="1"/>
    <n v="0"/>
    <n v="0"/>
  </r>
  <r>
    <s v="LD4441"/>
    <d v="2024-07-23T00:00:00"/>
    <x v="4"/>
    <s v="Affiliate Program"/>
    <s v="Desktop"/>
    <s v="Europe"/>
    <s v="SQL"/>
    <m/>
    <m/>
    <m/>
    <n v="3"/>
    <x v="0"/>
    <n v="1"/>
    <n v="1"/>
    <n v="0"/>
  </r>
  <r>
    <s v="LD4852"/>
    <d v="2024-08-18T00:00:00"/>
    <x v="3"/>
    <s v="Promo Blast"/>
    <s v="Mobile"/>
    <s v="Asia Pacific"/>
    <s v="SQL"/>
    <m/>
    <m/>
    <m/>
    <n v="3"/>
    <x v="6"/>
    <n v="1"/>
    <n v="1"/>
    <n v="0"/>
  </r>
  <r>
    <s v="LD5133"/>
    <d v="2024-09-02T00:00:00"/>
    <x v="1"/>
    <s v="Google Ads - Brand"/>
    <s v="Mobile"/>
    <s v="Europe"/>
    <s v="SQL"/>
    <m/>
    <m/>
    <m/>
    <n v="3"/>
    <x v="9"/>
    <n v="1"/>
    <n v="1"/>
    <n v="0"/>
  </r>
  <r>
    <s v="LD7217"/>
    <d v="2024-12-05T00:00:00"/>
    <x v="1"/>
    <s v="Google Ads - Generic"/>
    <s v="Desktop"/>
    <s v="Latin America"/>
    <s v="Lead"/>
    <m/>
    <m/>
    <m/>
    <n v="1"/>
    <x v="7"/>
    <n v="0"/>
    <n v="0"/>
    <n v="0"/>
  </r>
  <r>
    <s v="LD3144"/>
    <d v="2024-05-15T00:00:00"/>
    <x v="1"/>
    <s v="Google Ads - Brand"/>
    <s v="Mobile"/>
    <s v="North America"/>
    <s v="Lead"/>
    <m/>
    <m/>
    <m/>
    <n v="1"/>
    <x v="4"/>
    <n v="0"/>
    <n v="0"/>
    <n v="0"/>
  </r>
  <r>
    <s v="LD7252"/>
    <d v="2024-12-27T00:00:00"/>
    <x v="1"/>
    <s v="Google Ads - Generic"/>
    <s v="Desktop"/>
    <s v="North America"/>
    <s v="Customer"/>
    <n v="17"/>
    <s v="Basic"/>
    <n v="769.69"/>
    <n v="4"/>
    <x v="7"/>
    <n v="1"/>
    <n v="1"/>
    <n v="1"/>
  </r>
  <r>
    <s v="LD6074"/>
    <d v="2024-10-18T00:00:00"/>
    <x v="3"/>
    <s v="Monthly Newsletter"/>
    <s v="Desktop"/>
    <s v="North America"/>
    <s v="Lead"/>
    <m/>
    <m/>
    <m/>
    <n v="1"/>
    <x v="5"/>
    <n v="0"/>
    <n v="0"/>
    <n v="0"/>
  </r>
  <r>
    <s v="LD2572"/>
    <d v="2024-04-02T00:00:00"/>
    <x v="1"/>
    <s v="Google Ads - Generic"/>
    <s v="Desktop"/>
    <s v="North America"/>
    <s v="Lead"/>
    <m/>
    <m/>
    <m/>
    <n v="1"/>
    <x v="1"/>
    <n v="0"/>
    <n v="0"/>
    <n v="0"/>
  </r>
  <r>
    <s v="LD5080"/>
    <d v="2024-09-01T00:00:00"/>
    <x v="5"/>
    <s v="Landing Page SEO"/>
    <s v="Desktop"/>
    <s v="North America"/>
    <s v="MQL"/>
    <m/>
    <m/>
    <m/>
    <n v="2"/>
    <x v="9"/>
    <n v="1"/>
    <n v="0"/>
    <n v="0"/>
  </r>
  <r>
    <s v="LD2123"/>
    <d v="2024-03-28T00:00:00"/>
    <x v="1"/>
    <s v="Google Ads - Generic"/>
    <s v="Desktop"/>
    <s v="North America"/>
    <s v="Lead"/>
    <m/>
    <m/>
    <m/>
    <n v="1"/>
    <x v="8"/>
    <n v="0"/>
    <n v="0"/>
    <n v="0"/>
  </r>
  <r>
    <s v="LD3787"/>
    <d v="2024-06-06T00:00:00"/>
    <x v="0"/>
    <s v="LinkedIn Ads"/>
    <s v="Mobile"/>
    <s v="Europe"/>
    <s v="Lead"/>
    <m/>
    <m/>
    <m/>
    <n v="1"/>
    <x v="11"/>
    <n v="0"/>
    <n v="0"/>
    <n v="0"/>
  </r>
  <r>
    <s v="LD3968"/>
    <d v="2024-06-08T00:00:00"/>
    <x v="4"/>
    <s v="Partner Program"/>
    <s v="Mobile"/>
    <s v="North America"/>
    <s v="SQL"/>
    <m/>
    <m/>
    <m/>
    <n v="3"/>
    <x v="11"/>
    <n v="1"/>
    <n v="1"/>
    <n v="0"/>
  </r>
  <r>
    <s v="LD3505"/>
    <d v="2024-05-03T00:00:00"/>
    <x v="4"/>
    <s v="Partner Program"/>
    <s v="Desktop"/>
    <s v="Asia Pacific"/>
    <s v="MQL"/>
    <m/>
    <m/>
    <m/>
    <n v="2"/>
    <x v="4"/>
    <n v="1"/>
    <n v="0"/>
    <n v="0"/>
  </r>
  <r>
    <s v="LD6989"/>
    <d v="2024-11-07T00:00:00"/>
    <x v="4"/>
    <s v="Affiliate Program"/>
    <s v="Tablet"/>
    <s v="Europe"/>
    <s v="SQL"/>
    <m/>
    <m/>
    <m/>
    <n v="3"/>
    <x v="2"/>
    <n v="1"/>
    <n v="1"/>
    <n v="0"/>
  </r>
  <r>
    <s v="LD4466"/>
    <d v="2024-07-07T00:00:00"/>
    <x v="2"/>
    <s v="Direct / Type-in"/>
    <s v="Desktop"/>
    <s v="Europe"/>
    <s v="Lead"/>
    <m/>
    <m/>
    <m/>
    <n v="1"/>
    <x v="0"/>
    <n v="0"/>
    <n v="0"/>
    <n v="0"/>
  </r>
  <r>
    <s v="LD1676"/>
    <d v="2024-02-25T00:00:00"/>
    <x v="0"/>
    <s v="LinkedIn Ads"/>
    <s v="Tablet"/>
    <s v="North America"/>
    <s v="MQL"/>
    <m/>
    <m/>
    <m/>
    <n v="2"/>
    <x v="10"/>
    <n v="1"/>
    <n v="0"/>
    <n v="0"/>
  </r>
  <r>
    <s v="LD3809"/>
    <d v="2024-06-06T00:00:00"/>
    <x v="3"/>
    <s v="Monthly Newsletter"/>
    <s v="Desktop"/>
    <s v="North America"/>
    <s v="Lead"/>
    <m/>
    <m/>
    <m/>
    <n v="1"/>
    <x v="11"/>
    <n v="0"/>
    <n v="0"/>
    <n v="0"/>
  </r>
  <r>
    <s v="LD4349"/>
    <d v="2024-07-05T00:00:00"/>
    <x v="3"/>
    <s v="Monthly Newsletter"/>
    <s v="Mobile"/>
    <s v="Europe"/>
    <s v="Lead"/>
    <m/>
    <m/>
    <m/>
    <n v="1"/>
    <x v="0"/>
    <n v="0"/>
    <n v="0"/>
    <n v="0"/>
  </r>
  <r>
    <s v="LD1729"/>
    <d v="2024-02-19T00:00:00"/>
    <x v="3"/>
    <s v="Monthly Newsletter"/>
    <s v="Desktop"/>
    <s v="North America"/>
    <s v="MQL"/>
    <m/>
    <m/>
    <m/>
    <n v="2"/>
    <x v="10"/>
    <n v="1"/>
    <n v="0"/>
    <n v="0"/>
  </r>
  <r>
    <s v="LD1413"/>
    <d v="2024-01-16T00:00:00"/>
    <x v="4"/>
    <s v="Affiliate Program"/>
    <s v="Desktop"/>
    <s v="North America"/>
    <s v="MQL"/>
    <m/>
    <m/>
    <m/>
    <n v="2"/>
    <x v="3"/>
    <n v="1"/>
    <n v="0"/>
    <n v="0"/>
  </r>
  <r>
    <s v="LD4147"/>
    <d v="2024-07-16T00:00:00"/>
    <x v="1"/>
    <s v="Google Ads - Brand"/>
    <s v="Mobile"/>
    <s v="Europe"/>
    <s v="Lead"/>
    <m/>
    <m/>
    <m/>
    <n v="1"/>
    <x v="0"/>
    <n v="0"/>
    <n v="0"/>
    <n v="0"/>
  </r>
  <r>
    <s v="LD2517"/>
    <d v="2024-04-04T00:00:00"/>
    <x v="5"/>
    <s v="Blog SEO"/>
    <s v="Mobile"/>
    <s v="Europe"/>
    <s v="SQL"/>
    <m/>
    <m/>
    <m/>
    <n v="3"/>
    <x v="1"/>
    <n v="1"/>
    <n v="1"/>
    <n v="0"/>
  </r>
  <r>
    <s v="LD6746"/>
    <d v="2024-11-17T00:00:00"/>
    <x v="3"/>
    <s v="Monthly Newsletter"/>
    <s v="Desktop"/>
    <s v="North America"/>
    <s v="Customer"/>
    <n v="65"/>
    <s v="Enterprise"/>
    <n v="18413.71"/>
    <n v="4"/>
    <x v="2"/>
    <n v="1"/>
    <n v="1"/>
    <n v="1"/>
  </r>
  <r>
    <s v="LD1826"/>
    <d v="2024-02-03T00:00:00"/>
    <x v="4"/>
    <s v="Partner Program"/>
    <s v="Mobile"/>
    <s v="North America"/>
    <s v="Lead"/>
    <m/>
    <m/>
    <m/>
    <n v="1"/>
    <x v="10"/>
    <n v="0"/>
    <n v="0"/>
    <n v="0"/>
  </r>
  <r>
    <s v="LD4268"/>
    <d v="2024-07-08T00:00:00"/>
    <x v="0"/>
    <s v="LinkedIn Ads"/>
    <s v="Tablet"/>
    <s v="Latin America"/>
    <s v="Lead"/>
    <m/>
    <m/>
    <m/>
    <n v="1"/>
    <x v="0"/>
    <n v="0"/>
    <n v="0"/>
    <n v="0"/>
  </r>
  <r>
    <s v="LD4975"/>
    <d v="2024-08-20T00:00:00"/>
    <x v="2"/>
    <s v="Direct / Type-in"/>
    <s v="Tablet"/>
    <s v="North America"/>
    <s v="MQL"/>
    <m/>
    <m/>
    <m/>
    <n v="2"/>
    <x v="6"/>
    <n v="1"/>
    <n v="0"/>
    <n v="0"/>
  </r>
  <r>
    <s v="LD1617"/>
    <d v="2024-02-04T00:00:00"/>
    <x v="1"/>
    <s v="Google Ads - Brand"/>
    <s v="Desktop"/>
    <s v="Asia Pacific"/>
    <s v="Lead"/>
    <m/>
    <m/>
    <m/>
    <n v="1"/>
    <x v="10"/>
    <n v="0"/>
    <n v="0"/>
    <n v="0"/>
  </r>
  <r>
    <s v="LD1115"/>
    <d v="2024-01-11T00:00:00"/>
    <x v="1"/>
    <s v="Google Ads - Brand"/>
    <s v="Mobile"/>
    <s v="Latin America"/>
    <s v="Lead"/>
    <m/>
    <m/>
    <m/>
    <n v="1"/>
    <x v="3"/>
    <n v="0"/>
    <n v="0"/>
    <n v="0"/>
  </r>
  <r>
    <s v="LD1418"/>
    <d v="2024-01-26T00:00:00"/>
    <x v="4"/>
    <s v="Affiliate Program"/>
    <s v="Mobile"/>
    <s v="North America"/>
    <s v="Customer"/>
    <n v="61"/>
    <s v="Pro"/>
    <n v="1758.88"/>
    <n v="4"/>
    <x v="3"/>
    <n v="1"/>
    <n v="1"/>
    <n v="1"/>
  </r>
  <r>
    <s v="LD4070"/>
    <d v="2024-07-10T00:00:00"/>
    <x v="5"/>
    <s v="Blog SEO"/>
    <s v="Mobile"/>
    <s v="North America"/>
    <s v="MQL"/>
    <m/>
    <m/>
    <m/>
    <n v="2"/>
    <x v="0"/>
    <n v="1"/>
    <n v="0"/>
    <n v="0"/>
  </r>
  <r>
    <s v="LD2626"/>
    <d v="2024-04-19T00:00:00"/>
    <x v="1"/>
    <s v="Google Ads - Brand"/>
    <s v="Mobile"/>
    <s v="North America"/>
    <s v="MQL"/>
    <m/>
    <m/>
    <m/>
    <n v="2"/>
    <x v="1"/>
    <n v="1"/>
    <n v="0"/>
    <n v="0"/>
  </r>
  <r>
    <s v="LD7717"/>
    <d v="2024-12-28T00:00:00"/>
    <x v="2"/>
    <s v="Direct / Type-in"/>
    <s v="Desktop"/>
    <s v="Asia Pacific"/>
    <s v="Lead"/>
    <m/>
    <m/>
    <m/>
    <n v="1"/>
    <x v="7"/>
    <n v="0"/>
    <n v="0"/>
    <n v="0"/>
  </r>
  <r>
    <s v="LD5186"/>
    <d v="2024-09-18T00:00:00"/>
    <x v="1"/>
    <s v="Google Ads - Generic"/>
    <s v="Desktop"/>
    <s v="North America"/>
    <s v="SQL"/>
    <m/>
    <m/>
    <m/>
    <n v="3"/>
    <x v="9"/>
    <n v="1"/>
    <n v="1"/>
    <n v="0"/>
  </r>
  <r>
    <s v="LD3897"/>
    <d v="2024-06-16T00:00:00"/>
    <x v="3"/>
    <s v="Monthly Newsletter"/>
    <s v="Mobile"/>
    <s v="North America"/>
    <s v="MQL"/>
    <m/>
    <m/>
    <m/>
    <n v="2"/>
    <x v="11"/>
    <n v="1"/>
    <n v="0"/>
    <n v="0"/>
  </r>
  <r>
    <s v="LD7329"/>
    <d v="2024-12-17T00:00:00"/>
    <x v="0"/>
    <s v="Instagram Ads"/>
    <s v="Mobile"/>
    <s v="Latin America"/>
    <s v="Lead"/>
    <m/>
    <m/>
    <m/>
    <n v="1"/>
    <x v="7"/>
    <n v="0"/>
    <n v="0"/>
    <n v="0"/>
  </r>
  <r>
    <s v="LD3083"/>
    <d v="2024-05-19T00:00:00"/>
    <x v="5"/>
    <s v="Landing Page SEO"/>
    <s v="Desktop"/>
    <s v="North America"/>
    <s v="MQL"/>
    <m/>
    <m/>
    <m/>
    <n v="2"/>
    <x v="4"/>
    <n v="1"/>
    <n v="0"/>
    <n v="0"/>
  </r>
  <r>
    <s v="LD1754"/>
    <d v="2024-02-06T00:00:00"/>
    <x v="3"/>
    <s v="Monthly Newsletter"/>
    <s v="Tablet"/>
    <s v="Asia Pacific"/>
    <s v="SQL"/>
    <m/>
    <m/>
    <m/>
    <n v="3"/>
    <x v="10"/>
    <n v="1"/>
    <n v="1"/>
    <n v="0"/>
  </r>
  <r>
    <s v="LD3547"/>
    <d v="2024-05-19T00:00:00"/>
    <x v="2"/>
    <s v="Direct / Type-in"/>
    <s v="Mobile"/>
    <s v="North America"/>
    <s v="MQL"/>
    <m/>
    <m/>
    <m/>
    <n v="2"/>
    <x v="4"/>
    <n v="1"/>
    <n v="0"/>
    <n v="0"/>
  </r>
  <r>
    <s v="LD4970"/>
    <d v="2024-08-09T00:00:00"/>
    <x v="2"/>
    <s v="Direct / Type-in"/>
    <s v="Desktop"/>
    <s v="Asia Pacific"/>
    <s v="Lead"/>
    <m/>
    <m/>
    <m/>
    <n v="1"/>
    <x v="6"/>
    <n v="0"/>
    <n v="0"/>
    <n v="0"/>
  </r>
  <r>
    <s v="LD4374"/>
    <d v="2024-07-09T00:00:00"/>
    <x v="4"/>
    <s v="Partner Program"/>
    <s v="Mobile"/>
    <s v="Asia Pacific"/>
    <s v="Customer"/>
    <n v="27"/>
    <s v="Enterprise"/>
    <n v="17636.77"/>
    <n v="4"/>
    <x v="0"/>
    <n v="1"/>
    <n v="1"/>
    <n v="1"/>
  </r>
  <r>
    <s v="LD6727"/>
    <d v="2024-11-26T00:00:00"/>
    <x v="3"/>
    <s v="Promo Blast"/>
    <s v="Desktop"/>
    <s v="North America"/>
    <s v="MQL"/>
    <m/>
    <m/>
    <m/>
    <n v="2"/>
    <x v="2"/>
    <n v="1"/>
    <n v="0"/>
    <n v="0"/>
  </r>
  <r>
    <s v="LD5108"/>
    <d v="2024-09-21T00:00:00"/>
    <x v="5"/>
    <s v="Blog SEO"/>
    <s v="Mobile"/>
    <s v="Asia Pacific"/>
    <s v="Lead"/>
    <m/>
    <m/>
    <m/>
    <n v="1"/>
    <x v="9"/>
    <n v="0"/>
    <n v="0"/>
    <n v="0"/>
  </r>
  <r>
    <s v="LD3445"/>
    <d v="2024-05-28T00:00:00"/>
    <x v="4"/>
    <s v="Partner Program"/>
    <s v="Desktop"/>
    <s v="Europe"/>
    <s v="MQL"/>
    <m/>
    <m/>
    <m/>
    <n v="2"/>
    <x v="4"/>
    <n v="1"/>
    <n v="0"/>
    <n v="0"/>
  </r>
  <r>
    <s v="LD5381"/>
    <d v="2024-09-20T00:00:00"/>
    <x v="3"/>
    <s v="Promo Blast"/>
    <s v="Desktop"/>
    <s v="Asia Pacific"/>
    <s v="Lead"/>
    <m/>
    <m/>
    <m/>
    <n v="1"/>
    <x v="9"/>
    <n v="0"/>
    <n v="0"/>
    <n v="0"/>
  </r>
  <r>
    <s v="LD2067"/>
    <d v="2024-03-15T00:00:00"/>
    <x v="1"/>
    <s v="Google Ads - Generic"/>
    <s v="Desktop"/>
    <s v="North America"/>
    <s v="Lead"/>
    <m/>
    <m/>
    <m/>
    <n v="1"/>
    <x v="8"/>
    <n v="0"/>
    <n v="0"/>
    <n v="0"/>
  </r>
  <r>
    <s v="LD4914"/>
    <d v="2024-08-08T00:00:00"/>
    <x v="4"/>
    <s v="Partner Program"/>
    <s v="Desktop"/>
    <s v="Europe"/>
    <s v="Customer"/>
    <n v="30"/>
    <s v="Basic"/>
    <n v="593.91999999999996"/>
    <n v="4"/>
    <x v="6"/>
    <n v="1"/>
    <n v="1"/>
    <n v="1"/>
  </r>
  <r>
    <s v="LD6288"/>
    <d v="2024-10-08T00:00:00"/>
    <x v="2"/>
    <s v="Direct / Type-in"/>
    <s v="Tablet"/>
    <s v="North America"/>
    <s v="SQL"/>
    <m/>
    <m/>
    <m/>
    <n v="3"/>
    <x v="5"/>
    <n v="1"/>
    <n v="1"/>
    <n v="0"/>
  </r>
  <r>
    <s v="LD6537"/>
    <d v="2024-11-01T00:00:00"/>
    <x v="1"/>
    <s v="Google Ads - Brand"/>
    <s v="Desktop"/>
    <s v="North America"/>
    <s v="MQL"/>
    <m/>
    <m/>
    <m/>
    <n v="2"/>
    <x v="2"/>
    <n v="1"/>
    <n v="0"/>
    <n v="0"/>
  </r>
  <r>
    <s v="LD6388"/>
    <d v="2024-11-07T00:00:00"/>
    <x v="5"/>
    <s v="Blog SEO"/>
    <s v="Desktop"/>
    <s v="North America"/>
    <s v="Customer"/>
    <n v="52"/>
    <s v="Pro"/>
    <n v="2057.69"/>
    <n v="4"/>
    <x v="2"/>
    <n v="1"/>
    <n v="1"/>
    <n v="1"/>
  </r>
  <r>
    <s v="LD6733"/>
    <d v="2024-11-14T00:00:00"/>
    <x v="3"/>
    <s v="Promo Blast"/>
    <s v="Mobile"/>
    <s v="North America"/>
    <s v="Lead"/>
    <m/>
    <m/>
    <m/>
    <n v="1"/>
    <x v="2"/>
    <n v="0"/>
    <n v="0"/>
    <n v="0"/>
  </r>
  <r>
    <s v="LD4499"/>
    <d v="2024-08-27T00:00:00"/>
    <x v="5"/>
    <s v="Landing Page SEO"/>
    <s v="Desktop"/>
    <s v="North America"/>
    <s v="MQL"/>
    <m/>
    <m/>
    <m/>
    <n v="2"/>
    <x v="6"/>
    <n v="1"/>
    <n v="0"/>
    <n v="0"/>
  </r>
  <r>
    <s v="LD3739"/>
    <d v="2024-06-25T00:00:00"/>
    <x v="0"/>
    <s v="Facebook Ads"/>
    <s v="Desktop"/>
    <s v="North America"/>
    <s v="MQL"/>
    <m/>
    <m/>
    <m/>
    <n v="2"/>
    <x v="11"/>
    <n v="1"/>
    <n v="0"/>
    <n v="0"/>
  </r>
  <r>
    <s v="LD6053"/>
    <d v="2024-10-03T00:00:00"/>
    <x v="3"/>
    <s v="Monthly Newsletter"/>
    <s v="Desktop"/>
    <s v="Europe"/>
    <s v="Lead"/>
    <m/>
    <m/>
    <m/>
    <n v="1"/>
    <x v="5"/>
    <n v="0"/>
    <n v="0"/>
    <n v="0"/>
  </r>
  <r>
    <s v="LD5001"/>
    <d v="2024-08-22T00:00:00"/>
    <x v="2"/>
    <s v="Direct / Type-in"/>
    <s v="Desktop"/>
    <s v="Latin America"/>
    <s v="Lead"/>
    <m/>
    <m/>
    <m/>
    <n v="1"/>
    <x v="6"/>
    <n v="0"/>
    <n v="0"/>
    <n v="0"/>
  </r>
  <r>
    <s v="LD2569"/>
    <d v="2024-04-05T00:00:00"/>
    <x v="1"/>
    <s v="Google Ads - Generic"/>
    <s v="Desktop"/>
    <s v="North America"/>
    <s v="Lead"/>
    <m/>
    <m/>
    <m/>
    <n v="1"/>
    <x v="1"/>
    <n v="0"/>
    <n v="0"/>
    <n v="0"/>
  </r>
  <r>
    <s v="LD3428"/>
    <d v="2024-05-12T00:00:00"/>
    <x v="3"/>
    <s v="Promo Blast"/>
    <s v="Desktop"/>
    <s v="Asia Pacific"/>
    <s v="SQL"/>
    <m/>
    <m/>
    <m/>
    <n v="3"/>
    <x v="4"/>
    <n v="1"/>
    <n v="1"/>
    <n v="0"/>
  </r>
  <r>
    <s v="LD4747"/>
    <d v="2024-08-04T00:00:00"/>
    <x v="0"/>
    <s v="LinkedIn Ads"/>
    <s v="Desktop"/>
    <s v="North America"/>
    <s v="Lead"/>
    <m/>
    <m/>
    <m/>
    <n v="1"/>
    <x v="6"/>
    <n v="0"/>
    <n v="0"/>
    <n v="0"/>
  </r>
  <r>
    <s v="LD7283"/>
    <d v="2024-12-11T00:00:00"/>
    <x v="1"/>
    <s v="Google Ads - Brand"/>
    <s v="Mobile"/>
    <s v="Europe"/>
    <s v="MQL"/>
    <m/>
    <m/>
    <m/>
    <n v="2"/>
    <x v="7"/>
    <n v="1"/>
    <n v="0"/>
    <n v="0"/>
  </r>
  <r>
    <s v="LD2688"/>
    <d v="2024-04-01T00:00:00"/>
    <x v="0"/>
    <s v="Instagram Ads"/>
    <s v="Mobile"/>
    <s v="North America"/>
    <s v="Lead"/>
    <m/>
    <m/>
    <m/>
    <n v="1"/>
    <x v="1"/>
    <n v="0"/>
    <n v="0"/>
    <n v="0"/>
  </r>
  <r>
    <s v="LD1852"/>
    <d v="2024-02-08T00:00:00"/>
    <x v="4"/>
    <s v="Partner Program"/>
    <s v="Desktop"/>
    <s v="Asia Pacific"/>
    <s v="MQL"/>
    <m/>
    <m/>
    <m/>
    <n v="2"/>
    <x v="10"/>
    <n v="1"/>
    <n v="0"/>
    <n v="0"/>
  </r>
  <r>
    <s v="LD4547"/>
    <d v="2024-08-27T00:00:00"/>
    <x v="5"/>
    <s v="Landing Page SEO"/>
    <s v="Mobile"/>
    <s v="North America"/>
    <s v="SQL"/>
    <m/>
    <m/>
    <m/>
    <n v="3"/>
    <x v="6"/>
    <n v="1"/>
    <n v="1"/>
    <n v="0"/>
  </r>
  <r>
    <s v="LD1896"/>
    <d v="2024-02-10T00:00:00"/>
    <x v="2"/>
    <s v="Direct / Type-in"/>
    <s v="Desktop"/>
    <s v="North America"/>
    <s v="MQL"/>
    <m/>
    <m/>
    <m/>
    <n v="2"/>
    <x v="10"/>
    <n v="1"/>
    <n v="0"/>
    <n v="0"/>
  </r>
  <r>
    <s v="LD5593"/>
    <d v="2024-09-20T00:00:00"/>
    <x v="2"/>
    <s v="Direct / Type-in"/>
    <s v="Desktop"/>
    <s v="Europe"/>
    <s v="Lead"/>
    <m/>
    <m/>
    <m/>
    <n v="1"/>
    <x v="9"/>
    <n v="0"/>
    <n v="0"/>
    <n v="0"/>
  </r>
  <r>
    <s v="LD6879"/>
    <d v="2024-11-01T00:00:00"/>
    <x v="3"/>
    <s v="Promo Blast"/>
    <s v="Mobile"/>
    <s v="North America"/>
    <s v="SQL"/>
    <m/>
    <m/>
    <m/>
    <n v="3"/>
    <x v="2"/>
    <n v="1"/>
    <n v="1"/>
    <n v="0"/>
  </r>
  <r>
    <s v="LD1336"/>
    <d v="2024-01-12T00:00:00"/>
    <x v="3"/>
    <s v="Promo Blast"/>
    <s v="Mobile"/>
    <s v="Europe"/>
    <s v="MQL"/>
    <m/>
    <m/>
    <m/>
    <n v="2"/>
    <x v="3"/>
    <n v="1"/>
    <n v="0"/>
    <n v="0"/>
  </r>
  <r>
    <s v="LD3840"/>
    <d v="2024-06-28T00:00:00"/>
    <x v="3"/>
    <s v="Promo Blast"/>
    <s v="Desktop"/>
    <s v="North America"/>
    <s v="MQL"/>
    <m/>
    <m/>
    <m/>
    <n v="2"/>
    <x v="11"/>
    <n v="1"/>
    <n v="0"/>
    <n v="0"/>
  </r>
  <r>
    <s v="LD4088"/>
    <d v="2024-07-24T00:00:00"/>
    <x v="5"/>
    <s v="Landing Page SEO"/>
    <s v="Desktop"/>
    <s v="Asia Pacific"/>
    <s v="Lead"/>
    <m/>
    <m/>
    <m/>
    <n v="1"/>
    <x v="0"/>
    <n v="0"/>
    <n v="0"/>
    <n v="0"/>
  </r>
  <r>
    <s v="LD5612"/>
    <d v="2024-09-24T00:00:00"/>
    <x v="2"/>
    <s v="Direct / Type-in"/>
    <s v="Desktop"/>
    <s v="Latin America"/>
    <s v="Lead"/>
    <m/>
    <m/>
    <m/>
    <n v="1"/>
    <x v="9"/>
    <n v="0"/>
    <n v="0"/>
    <n v="0"/>
  </r>
  <r>
    <s v="LD2349"/>
    <d v="2024-03-13T00:00:00"/>
    <x v="4"/>
    <s v="Partner Program"/>
    <s v="Mobile"/>
    <s v="North America"/>
    <s v="Lead"/>
    <m/>
    <m/>
    <m/>
    <n v="1"/>
    <x v="8"/>
    <n v="0"/>
    <n v="0"/>
    <n v="0"/>
  </r>
  <r>
    <s v="LD2016"/>
    <d v="2024-03-05T00:00:00"/>
    <x v="5"/>
    <s v="Blog SEO"/>
    <s v="Desktop"/>
    <s v="North America"/>
    <s v="MQL"/>
    <m/>
    <m/>
    <m/>
    <n v="2"/>
    <x v="8"/>
    <n v="1"/>
    <n v="0"/>
    <n v="0"/>
  </r>
  <r>
    <s v="LD3817"/>
    <d v="2024-06-08T00:00:00"/>
    <x v="3"/>
    <s v="Promo Blast"/>
    <s v="Tablet"/>
    <s v="Europe"/>
    <s v="Lead"/>
    <m/>
    <m/>
    <m/>
    <n v="1"/>
    <x v="11"/>
    <n v="0"/>
    <n v="0"/>
    <n v="0"/>
  </r>
  <r>
    <s v="LD2632"/>
    <d v="2024-04-12T00:00:00"/>
    <x v="1"/>
    <s v="Google Ads - Brand"/>
    <s v="Mobile"/>
    <s v="Europe"/>
    <s v="MQL"/>
    <m/>
    <m/>
    <m/>
    <n v="2"/>
    <x v="1"/>
    <n v="1"/>
    <n v="0"/>
    <n v="0"/>
  </r>
  <r>
    <s v="LD3490"/>
    <d v="2024-05-14T00:00:00"/>
    <x v="4"/>
    <s v="Affiliate Program"/>
    <s v="Desktop"/>
    <s v="North America"/>
    <s v="Lead"/>
    <m/>
    <m/>
    <m/>
    <n v="1"/>
    <x v="4"/>
    <n v="0"/>
    <n v="0"/>
    <n v="0"/>
  </r>
  <r>
    <s v="LD4731"/>
    <d v="2024-08-26T00:00:00"/>
    <x v="0"/>
    <s v="Facebook Ads"/>
    <s v="Desktop"/>
    <s v="North America"/>
    <s v="MQL"/>
    <m/>
    <m/>
    <m/>
    <n v="2"/>
    <x v="6"/>
    <n v="1"/>
    <n v="0"/>
    <n v="0"/>
  </r>
  <r>
    <s v="LD4252"/>
    <d v="2024-07-08T00:00:00"/>
    <x v="0"/>
    <s v="LinkedIn Ads"/>
    <s v="Mobile"/>
    <s v="Europe"/>
    <s v="Lead"/>
    <m/>
    <m/>
    <m/>
    <n v="1"/>
    <x v="0"/>
    <n v="0"/>
    <n v="0"/>
    <n v="0"/>
  </r>
  <r>
    <s v="LD7277"/>
    <d v="2024-12-06T00:00:00"/>
    <x v="1"/>
    <s v="Google Ads - Generic"/>
    <s v="Mobile"/>
    <s v="Asia Pacific"/>
    <s v="Lead"/>
    <m/>
    <m/>
    <m/>
    <n v="1"/>
    <x v="7"/>
    <n v="0"/>
    <n v="0"/>
    <n v="0"/>
  </r>
  <r>
    <s v="LD6878"/>
    <d v="2024-11-28T00:00:00"/>
    <x v="3"/>
    <s v="Promo Blast"/>
    <s v="Desktop"/>
    <s v="Asia Pacific"/>
    <s v="Lead"/>
    <m/>
    <m/>
    <m/>
    <n v="1"/>
    <x v="2"/>
    <n v="0"/>
    <n v="0"/>
    <n v="0"/>
  </r>
  <r>
    <s v="LD6882"/>
    <d v="2024-11-07T00:00:00"/>
    <x v="3"/>
    <s v="Monthly Newsletter"/>
    <s v="Desktop"/>
    <s v="Asia Pacific"/>
    <s v="MQL"/>
    <m/>
    <m/>
    <m/>
    <n v="2"/>
    <x v="2"/>
    <n v="1"/>
    <n v="0"/>
    <n v="0"/>
  </r>
  <r>
    <s v="LD3071"/>
    <d v="2024-05-03T00:00:00"/>
    <x v="5"/>
    <s v="Blog SEO"/>
    <s v="Mobile"/>
    <s v="Europe"/>
    <s v="MQL"/>
    <m/>
    <m/>
    <m/>
    <n v="2"/>
    <x v="4"/>
    <n v="1"/>
    <n v="0"/>
    <n v="0"/>
  </r>
  <r>
    <s v="LD5453"/>
    <d v="2024-09-13T00:00:00"/>
    <x v="4"/>
    <s v="Partner Program"/>
    <s v="Desktop"/>
    <s v="North America"/>
    <s v="SQL"/>
    <m/>
    <m/>
    <m/>
    <n v="3"/>
    <x v="9"/>
    <n v="1"/>
    <n v="1"/>
    <n v="0"/>
  </r>
  <r>
    <s v="LD7621"/>
    <d v="2024-12-27T00:00:00"/>
    <x v="4"/>
    <s v="Partner Program"/>
    <s v="Mobile"/>
    <s v="Europe"/>
    <s v="MQL"/>
    <m/>
    <m/>
    <m/>
    <n v="2"/>
    <x v="7"/>
    <n v="1"/>
    <n v="0"/>
    <n v="0"/>
  </r>
  <r>
    <s v="LD6409"/>
    <d v="2024-11-10T00:00:00"/>
    <x v="5"/>
    <s v="Landing Page SEO"/>
    <s v="Desktop"/>
    <s v="North America"/>
    <s v="MQL"/>
    <m/>
    <m/>
    <m/>
    <n v="2"/>
    <x v="2"/>
    <n v="1"/>
    <n v="0"/>
    <n v="0"/>
  </r>
  <r>
    <s v="LD2636"/>
    <d v="2024-04-21T00:00:00"/>
    <x v="1"/>
    <s v="Google Ads - Brand"/>
    <s v="Desktop"/>
    <s v="North America"/>
    <s v="Lead"/>
    <m/>
    <m/>
    <m/>
    <n v="1"/>
    <x v="1"/>
    <n v="0"/>
    <n v="0"/>
    <n v="0"/>
  </r>
  <r>
    <s v="LD5647"/>
    <d v="2024-10-09T00:00:00"/>
    <x v="5"/>
    <s v="Landing Page SEO"/>
    <s v="Mobile"/>
    <s v="Europe"/>
    <s v="Lead"/>
    <m/>
    <m/>
    <m/>
    <n v="1"/>
    <x v="5"/>
    <n v="0"/>
    <n v="0"/>
    <n v="0"/>
  </r>
  <r>
    <s v="LD3480"/>
    <d v="2024-05-16T00:00:00"/>
    <x v="4"/>
    <s v="Affiliate Program"/>
    <s v="Tablet"/>
    <s v="Europe"/>
    <s v="Lead"/>
    <m/>
    <m/>
    <m/>
    <n v="1"/>
    <x v="4"/>
    <n v="0"/>
    <n v="0"/>
    <n v="0"/>
  </r>
  <r>
    <s v="LD3266"/>
    <d v="2024-05-15T00:00:00"/>
    <x v="0"/>
    <s v="Facebook Ads"/>
    <s v="Mobile"/>
    <s v="North America"/>
    <s v="SQL"/>
    <m/>
    <m/>
    <m/>
    <n v="3"/>
    <x v="4"/>
    <n v="1"/>
    <n v="1"/>
    <n v="0"/>
  </r>
  <r>
    <s v="LD3960"/>
    <d v="2024-06-09T00:00:00"/>
    <x v="4"/>
    <s v="Partner Program"/>
    <s v="Mobile"/>
    <s v="North America"/>
    <s v="SQL"/>
    <m/>
    <m/>
    <m/>
    <n v="3"/>
    <x v="11"/>
    <n v="1"/>
    <n v="1"/>
    <n v="0"/>
  </r>
  <r>
    <s v="LD6324"/>
    <d v="2024-11-28T00:00:00"/>
    <x v="5"/>
    <s v="Landing Page SEO"/>
    <s v="Mobile"/>
    <s v="Asia Pacific"/>
    <s v="Customer"/>
    <n v="18"/>
    <s v="Basic"/>
    <n v="1455.28"/>
    <n v="4"/>
    <x v="2"/>
    <n v="1"/>
    <n v="1"/>
    <n v="1"/>
  </r>
  <r>
    <s v="LD7408"/>
    <d v="2024-12-17T00:00:00"/>
    <x v="0"/>
    <s v="Facebook Ads"/>
    <s v="Desktop"/>
    <s v="Asia Pacific"/>
    <s v="Lead"/>
    <m/>
    <m/>
    <m/>
    <n v="1"/>
    <x v="7"/>
    <n v="0"/>
    <n v="0"/>
    <n v="0"/>
  </r>
  <r>
    <s v="LD4060"/>
    <d v="2024-07-19T00:00:00"/>
    <x v="5"/>
    <s v="Landing Page SEO"/>
    <s v="Desktop"/>
    <s v="Europe"/>
    <s v="Lead"/>
    <m/>
    <m/>
    <m/>
    <n v="1"/>
    <x v="0"/>
    <n v="0"/>
    <n v="0"/>
    <n v="0"/>
  </r>
  <r>
    <s v="LD6054"/>
    <d v="2024-10-25T00:00:00"/>
    <x v="3"/>
    <s v="Promo Blast"/>
    <s v="Mobile"/>
    <s v="North America"/>
    <s v="Lead"/>
    <m/>
    <m/>
    <m/>
    <n v="1"/>
    <x v="5"/>
    <n v="0"/>
    <n v="0"/>
    <n v="0"/>
  </r>
  <r>
    <s v="LD6870"/>
    <d v="2024-11-13T00:00:00"/>
    <x v="3"/>
    <s v="Monthly Newsletter"/>
    <s v="Mobile"/>
    <s v="Europe"/>
    <s v="MQL"/>
    <m/>
    <m/>
    <m/>
    <n v="2"/>
    <x v="2"/>
    <n v="1"/>
    <n v="0"/>
    <n v="0"/>
  </r>
  <r>
    <s v="LD3142"/>
    <d v="2024-05-11T00:00:00"/>
    <x v="1"/>
    <s v="Google Ads - Generic"/>
    <s v="Mobile"/>
    <s v="Europe"/>
    <s v="SQL"/>
    <m/>
    <m/>
    <m/>
    <n v="3"/>
    <x v="4"/>
    <n v="1"/>
    <n v="1"/>
    <n v="0"/>
  </r>
  <r>
    <s v="LD6105"/>
    <d v="2024-10-11T00:00:00"/>
    <x v="3"/>
    <s v="Promo Blast"/>
    <s v="Mobile"/>
    <s v="Asia Pacific"/>
    <s v="Customer"/>
    <n v="34"/>
    <s v="Enterprise"/>
    <n v="15157.86"/>
    <n v="4"/>
    <x v="5"/>
    <n v="1"/>
    <n v="1"/>
    <n v="1"/>
  </r>
  <r>
    <s v="LD4119"/>
    <d v="2024-07-07T00:00:00"/>
    <x v="5"/>
    <s v="Landing Page SEO"/>
    <s v="Mobile"/>
    <s v="North America"/>
    <s v="Lead"/>
    <m/>
    <m/>
    <m/>
    <n v="1"/>
    <x v="0"/>
    <n v="0"/>
    <n v="0"/>
    <n v="0"/>
  </r>
  <r>
    <s v="LD6189"/>
    <d v="2024-10-07T00:00:00"/>
    <x v="4"/>
    <s v="Affiliate Program"/>
    <s v="Mobile"/>
    <s v="Asia Pacific"/>
    <s v="MQL"/>
    <m/>
    <m/>
    <m/>
    <n v="2"/>
    <x v="5"/>
    <n v="1"/>
    <n v="0"/>
    <n v="0"/>
  </r>
  <r>
    <s v="LD7400"/>
    <d v="2024-12-19T00:00:00"/>
    <x v="0"/>
    <s v="Instagram Ads"/>
    <s v="Desktop"/>
    <s v="North America"/>
    <s v="MQL"/>
    <m/>
    <m/>
    <m/>
    <n v="2"/>
    <x v="7"/>
    <n v="1"/>
    <n v="0"/>
    <n v="0"/>
  </r>
  <r>
    <s v="LD5046"/>
    <d v="2024-09-07T00:00:00"/>
    <x v="5"/>
    <s v="Landing Page SEO"/>
    <s v="Desktop"/>
    <s v="Europe"/>
    <s v="Lead"/>
    <m/>
    <m/>
    <m/>
    <n v="1"/>
    <x v="9"/>
    <n v="0"/>
    <n v="0"/>
    <n v="0"/>
  </r>
  <r>
    <s v="LD4357"/>
    <d v="2024-07-08T00:00:00"/>
    <x v="3"/>
    <s v="Monthly Newsletter"/>
    <s v="Desktop"/>
    <s v="Europe"/>
    <s v="SQL"/>
    <m/>
    <m/>
    <m/>
    <n v="3"/>
    <x v="0"/>
    <n v="1"/>
    <n v="1"/>
    <n v="0"/>
  </r>
  <r>
    <s v="LD3745"/>
    <d v="2024-06-24T00:00:00"/>
    <x v="0"/>
    <s v="Facebook Ads"/>
    <s v="Desktop"/>
    <s v="Europe"/>
    <s v="Lead"/>
    <m/>
    <m/>
    <m/>
    <n v="1"/>
    <x v="11"/>
    <n v="0"/>
    <n v="0"/>
    <n v="0"/>
  </r>
  <r>
    <s v="LD6093"/>
    <d v="2024-10-18T00:00:00"/>
    <x v="3"/>
    <s v="Promo Blast"/>
    <s v="Desktop"/>
    <s v="North America"/>
    <s v="Lead"/>
    <m/>
    <m/>
    <m/>
    <n v="1"/>
    <x v="5"/>
    <n v="0"/>
    <n v="0"/>
    <n v="0"/>
  </r>
  <r>
    <s v="LD4507"/>
    <d v="2024-08-23T00:00:00"/>
    <x v="5"/>
    <s v="Blog SEO"/>
    <s v="Desktop"/>
    <s v="Asia Pacific"/>
    <s v="Lead"/>
    <m/>
    <m/>
    <m/>
    <n v="1"/>
    <x v="6"/>
    <n v="0"/>
    <n v="0"/>
    <n v="0"/>
  </r>
  <r>
    <s v="LD2680"/>
    <d v="2024-04-19T00:00:00"/>
    <x v="0"/>
    <s v="Instagram Ads"/>
    <s v="Mobile"/>
    <s v="Europe"/>
    <s v="Lead"/>
    <m/>
    <m/>
    <m/>
    <n v="1"/>
    <x v="1"/>
    <n v="0"/>
    <n v="0"/>
    <n v="0"/>
  </r>
  <r>
    <s v="LD5250"/>
    <d v="2024-09-23T00:00:00"/>
    <x v="0"/>
    <s v="LinkedIn Ads"/>
    <s v="Desktop"/>
    <s v="North America"/>
    <s v="MQL"/>
    <m/>
    <m/>
    <m/>
    <n v="2"/>
    <x v="9"/>
    <n v="1"/>
    <n v="0"/>
    <n v="0"/>
  </r>
  <r>
    <s v="LD4148"/>
    <d v="2024-07-25T00:00:00"/>
    <x v="1"/>
    <s v="Google Ads - Brand"/>
    <s v="Desktop"/>
    <s v="North America"/>
    <s v="MQL"/>
    <m/>
    <m/>
    <m/>
    <n v="2"/>
    <x v="0"/>
    <n v="1"/>
    <n v="0"/>
    <n v="0"/>
  </r>
  <r>
    <s v="LD3295"/>
    <d v="2024-05-06T00:00:00"/>
    <x v="3"/>
    <s v="Monthly Newsletter"/>
    <s v="Mobile"/>
    <s v="Asia Pacific"/>
    <s v="MQL"/>
    <m/>
    <m/>
    <m/>
    <n v="2"/>
    <x v="4"/>
    <n v="1"/>
    <n v="0"/>
    <n v="0"/>
  </r>
  <r>
    <s v="LD1581"/>
    <d v="2024-02-01T00:00:00"/>
    <x v="1"/>
    <s v="Google Ads - Brand"/>
    <s v="Desktop"/>
    <s v="North America"/>
    <s v="MQL"/>
    <m/>
    <m/>
    <m/>
    <n v="2"/>
    <x v="10"/>
    <n v="1"/>
    <n v="0"/>
    <n v="0"/>
  </r>
  <r>
    <s v="LD2471"/>
    <d v="2024-03-22T00:00:00"/>
    <x v="2"/>
    <s v="Direct / Type-in"/>
    <s v="Desktop"/>
    <s v="North America"/>
    <s v="Customer"/>
    <n v="65"/>
    <s v="Pro"/>
    <n v="2906.33"/>
    <n v="4"/>
    <x v="8"/>
    <n v="1"/>
    <n v="1"/>
    <n v="1"/>
  </r>
  <r>
    <s v="LD5800"/>
    <d v="2024-10-08T00:00:00"/>
    <x v="1"/>
    <s v="Google Ads - Generic"/>
    <s v="Desktop"/>
    <s v="North America"/>
    <s v="Lead"/>
    <m/>
    <m/>
    <m/>
    <n v="1"/>
    <x v="5"/>
    <n v="0"/>
    <n v="0"/>
    <n v="0"/>
  </r>
  <r>
    <s v="LD5071"/>
    <d v="2024-09-10T00:00:00"/>
    <x v="5"/>
    <s v="Blog SEO"/>
    <s v="Desktop"/>
    <s v="Europe"/>
    <s v="MQL"/>
    <m/>
    <m/>
    <m/>
    <n v="2"/>
    <x v="9"/>
    <n v="1"/>
    <n v="0"/>
    <n v="0"/>
  </r>
  <r>
    <s v="LD6309"/>
    <d v="2024-10-06T00:00:00"/>
    <x v="2"/>
    <s v="Direct / Type-in"/>
    <s v="Desktop"/>
    <s v="Europe"/>
    <s v="Lead"/>
    <m/>
    <m/>
    <m/>
    <n v="1"/>
    <x v="5"/>
    <n v="0"/>
    <n v="0"/>
    <n v="0"/>
  </r>
  <r>
    <s v="LD4344"/>
    <d v="2024-07-20T00:00:00"/>
    <x v="3"/>
    <s v="Promo Blast"/>
    <s v="Mobile"/>
    <s v="Europe"/>
    <s v="MQL"/>
    <m/>
    <m/>
    <m/>
    <n v="2"/>
    <x v="0"/>
    <n v="1"/>
    <n v="0"/>
    <n v="0"/>
  </r>
  <r>
    <s v="LD5993"/>
    <d v="2024-10-28T00:00:00"/>
    <x v="3"/>
    <s v="Promo Blast"/>
    <s v="Mobile"/>
    <s v="Europe"/>
    <s v="MQL"/>
    <m/>
    <m/>
    <m/>
    <n v="2"/>
    <x v="5"/>
    <n v="1"/>
    <n v="0"/>
    <n v="0"/>
  </r>
  <r>
    <s v="LD5584"/>
    <d v="2024-09-06T00:00:00"/>
    <x v="2"/>
    <s v="Direct / Type-in"/>
    <s v="Desktop"/>
    <s v="Asia Pacific"/>
    <s v="Lead"/>
    <m/>
    <m/>
    <m/>
    <n v="1"/>
    <x v="9"/>
    <n v="0"/>
    <n v="0"/>
    <n v="0"/>
  </r>
  <r>
    <s v="LD4673"/>
    <d v="2024-08-09T00:00:00"/>
    <x v="1"/>
    <s v="Google Ads - Brand"/>
    <s v="Desktop"/>
    <s v="North America"/>
    <s v="Lead"/>
    <m/>
    <m/>
    <m/>
    <n v="1"/>
    <x v="6"/>
    <n v="0"/>
    <n v="0"/>
    <n v="0"/>
  </r>
  <r>
    <s v="LD1560"/>
    <d v="2024-02-02T00:00:00"/>
    <x v="5"/>
    <s v="Blog SEO"/>
    <s v="Desktop"/>
    <s v="Asia Pacific"/>
    <s v="MQL"/>
    <m/>
    <m/>
    <m/>
    <n v="2"/>
    <x v="10"/>
    <n v="1"/>
    <n v="0"/>
    <n v="0"/>
  </r>
  <r>
    <s v="LD6238"/>
    <d v="2024-10-28T00:00:00"/>
    <x v="2"/>
    <s v="Direct / Type-in"/>
    <s v="Desktop"/>
    <s v="Europe"/>
    <s v="SQL"/>
    <m/>
    <m/>
    <m/>
    <n v="3"/>
    <x v="5"/>
    <n v="1"/>
    <n v="1"/>
    <n v="0"/>
  </r>
  <r>
    <s v="LD6216"/>
    <d v="2024-10-03T00:00:00"/>
    <x v="4"/>
    <s v="Partner Program"/>
    <s v="Desktop"/>
    <s v="Asia Pacific"/>
    <s v="Lead"/>
    <m/>
    <m/>
    <m/>
    <n v="1"/>
    <x v="5"/>
    <n v="0"/>
    <n v="0"/>
    <n v="0"/>
  </r>
  <r>
    <s v="LD3850"/>
    <d v="2024-06-25T00:00:00"/>
    <x v="3"/>
    <s v="Promo Blast"/>
    <s v="Desktop"/>
    <s v="North America"/>
    <s v="MQL"/>
    <m/>
    <m/>
    <m/>
    <n v="2"/>
    <x v="11"/>
    <n v="1"/>
    <n v="0"/>
    <n v="0"/>
  </r>
  <r>
    <s v="LD1513"/>
    <d v="2024-02-20T00:00:00"/>
    <x v="5"/>
    <s v="Blog SEO"/>
    <s v="Desktop"/>
    <s v="Asia Pacific"/>
    <s v="MQL"/>
    <m/>
    <m/>
    <m/>
    <n v="2"/>
    <x v="10"/>
    <n v="1"/>
    <n v="0"/>
    <n v="0"/>
  </r>
  <r>
    <s v="LD5730"/>
    <d v="2024-10-11T00:00:00"/>
    <x v="1"/>
    <s v="Google Ads - Brand"/>
    <s v="Mobile"/>
    <s v="North America"/>
    <s v="MQL"/>
    <m/>
    <m/>
    <m/>
    <n v="2"/>
    <x v="5"/>
    <n v="1"/>
    <n v="0"/>
    <n v="0"/>
  </r>
  <r>
    <s v="LD2082"/>
    <d v="2024-03-22T00:00:00"/>
    <x v="1"/>
    <s v="Google Ads - Brand"/>
    <s v="Tablet"/>
    <s v="North America"/>
    <s v="Lead"/>
    <m/>
    <m/>
    <m/>
    <n v="1"/>
    <x v="8"/>
    <n v="0"/>
    <n v="0"/>
    <n v="0"/>
  </r>
  <r>
    <s v="LD2665"/>
    <d v="2024-04-22T00:00:00"/>
    <x v="0"/>
    <s v="Facebook Ads"/>
    <s v="Mobile"/>
    <s v="Europe"/>
    <s v="Lead"/>
    <m/>
    <m/>
    <m/>
    <n v="1"/>
    <x v="1"/>
    <n v="0"/>
    <n v="0"/>
    <n v="0"/>
  </r>
  <r>
    <s v="LD2013"/>
    <d v="2024-03-13T00:00:00"/>
    <x v="5"/>
    <s v="Blog SEO"/>
    <s v="Desktop"/>
    <s v="Europe"/>
    <s v="MQL"/>
    <m/>
    <m/>
    <m/>
    <n v="2"/>
    <x v="8"/>
    <n v="1"/>
    <n v="0"/>
    <n v="0"/>
  </r>
  <r>
    <s v="LD2932"/>
    <d v="2024-04-01T00:00:00"/>
    <x v="4"/>
    <s v="Affiliate Program"/>
    <s v="Desktop"/>
    <s v="Europe"/>
    <s v="Lead"/>
    <m/>
    <m/>
    <m/>
    <n v="1"/>
    <x v="1"/>
    <n v="0"/>
    <n v="0"/>
    <n v="0"/>
  </r>
  <r>
    <s v="LD2151"/>
    <d v="2024-03-19T00:00:00"/>
    <x v="0"/>
    <s v="Instagram Ads"/>
    <s v="Desktop"/>
    <s v="North America"/>
    <s v="Lead"/>
    <m/>
    <m/>
    <m/>
    <n v="1"/>
    <x v="8"/>
    <n v="0"/>
    <n v="0"/>
    <n v="0"/>
  </r>
  <r>
    <s v="LD3839"/>
    <d v="2024-06-13T00:00:00"/>
    <x v="3"/>
    <s v="Promo Blast"/>
    <s v="Desktop"/>
    <s v="Latin America"/>
    <s v="SQL"/>
    <m/>
    <m/>
    <m/>
    <n v="3"/>
    <x v="11"/>
    <n v="1"/>
    <n v="1"/>
    <n v="0"/>
  </r>
  <r>
    <s v="LD6950"/>
    <d v="2024-11-19T00:00:00"/>
    <x v="4"/>
    <s v="Partner Program"/>
    <s v="Mobile"/>
    <s v="Europe"/>
    <s v="Lead"/>
    <m/>
    <m/>
    <m/>
    <n v="1"/>
    <x v="2"/>
    <n v="0"/>
    <n v="0"/>
    <n v="0"/>
  </r>
  <r>
    <s v="LD1117"/>
    <d v="2024-01-25T00:00:00"/>
    <x v="1"/>
    <s v="Google Ads - Generic"/>
    <s v="Tablet"/>
    <s v="Asia Pacific"/>
    <s v="MQL"/>
    <m/>
    <m/>
    <m/>
    <n v="2"/>
    <x v="3"/>
    <n v="1"/>
    <n v="0"/>
    <n v="0"/>
  </r>
  <r>
    <s v="LD1741"/>
    <d v="2024-02-28T00:00:00"/>
    <x v="3"/>
    <s v="Monthly Newsletter"/>
    <s v="Desktop"/>
    <s v="Asia Pacific"/>
    <s v="SQL"/>
    <m/>
    <m/>
    <m/>
    <n v="3"/>
    <x v="10"/>
    <n v="1"/>
    <n v="1"/>
    <n v="0"/>
  </r>
  <r>
    <s v="LD7514"/>
    <d v="2024-12-16T00:00:00"/>
    <x v="3"/>
    <s v="Promo Blast"/>
    <s v="Desktop"/>
    <s v="Europe"/>
    <s v="Lead"/>
    <m/>
    <m/>
    <m/>
    <n v="1"/>
    <x v="7"/>
    <n v="0"/>
    <n v="0"/>
    <n v="0"/>
  </r>
  <r>
    <s v="LD7071"/>
    <d v="2024-11-26T00:00:00"/>
    <x v="2"/>
    <s v="Direct / Type-in"/>
    <s v="Mobile"/>
    <s v="Europe"/>
    <s v="SQL"/>
    <m/>
    <m/>
    <m/>
    <n v="3"/>
    <x v="2"/>
    <n v="1"/>
    <n v="1"/>
    <n v="0"/>
  </r>
  <r>
    <s v="LD6178"/>
    <d v="2024-10-13T00:00:00"/>
    <x v="4"/>
    <s v="Partner Program"/>
    <s v="Mobile"/>
    <s v="North America"/>
    <s v="SQL"/>
    <m/>
    <m/>
    <m/>
    <n v="3"/>
    <x v="5"/>
    <n v="1"/>
    <n v="1"/>
    <n v="0"/>
  </r>
  <r>
    <s v="LD4676"/>
    <d v="2024-08-06T00:00:00"/>
    <x v="1"/>
    <s v="Google Ads - Brand"/>
    <s v="Desktop"/>
    <s v="Europe"/>
    <s v="Lead"/>
    <m/>
    <m/>
    <m/>
    <n v="1"/>
    <x v="6"/>
    <n v="0"/>
    <n v="0"/>
    <n v="0"/>
  </r>
  <r>
    <s v="LD6907"/>
    <d v="2024-11-22T00:00:00"/>
    <x v="4"/>
    <s v="Partner Program"/>
    <s v="Desktop"/>
    <s v="Latin America"/>
    <s v="Lead"/>
    <m/>
    <m/>
    <m/>
    <n v="1"/>
    <x v="2"/>
    <n v="0"/>
    <n v="0"/>
    <n v="0"/>
  </r>
  <r>
    <s v="LD1831"/>
    <d v="2024-02-14T00:00:00"/>
    <x v="4"/>
    <s v="Affiliate Program"/>
    <s v="Mobile"/>
    <s v="North America"/>
    <s v="SQL"/>
    <m/>
    <m/>
    <m/>
    <n v="3"/>
    <x v="10"/>
    <n v="1"/>
    <n v="1"/>
    <n v="0"/>
  </r>
  <r>
    <s v="LD1120"/>
    <d v="2024-01-11T00:00:00"/>
    <x v="1"/>
    <s v="Google Ads - Brand"/>
    <s v="Tablet"/>
    <s v="North America"/>
    <s v="Lead"/>
    <m/>
    <m/>
    <m/>
    <n v="1"/>
    <x v="3"/>
    <n v="0"/>
    <n v="0"/>
    <n v="0"/>
  </r>
  <r>
    <s v="LD5753"/>
    <d v="2024-10-09T00:00:00"/>
    <x v="1"/>
    <s v="Google Ads - Brand"/>
    <s v="Tablet"/>
    <s v="Europe"/>
    <s v="Lead"/>
    <m/>
    <m/>
    <m/>
    <n v="1"/>
    <x v="5"/>
    <n v="0"/>
    <n v="0"/>
    <n v="0"/>
  </r>
  <r>
    <s v="LD7475"/>
    <d v="2024-12-18T00:00:00"/>
    <x v="3"/>
    <s v="Promo Blast"/>
    <s v="Desktop"/>
    <s v="Europe"/>
    <s v="Lead"/>
    <m/>
    <m/>
    <m/>
    <n v="1"/>
    <x v="7"/>
    <n v="0"/>
    <n v="0"/>
    <n v="0"/>
  </r>
  <r>
    <s v="LD7760"/>
    <d v="2024-12-02T00:00:00"/>
    <x v="2"/>
    <s v="Direct / Type-in"/>
    <s v="Mobile"/>
    <s v="Latin America"/>
    <s v="MQL"/>
    <m/>
    <m/>
    <m/>
    <n v="2"/>
    <x v="7"/>
    <n v="1"/>
    <n v="0"/>
    <n v="0"/>
  </r>
  <r>
    <s v="LD7705"/>
    <d v="2024-12-12T00:00:00"/>
    <x v="2"/>
    <s v="Direct / Type-in"/>
    <s v="Desktop"/>
    <s v="Latin America"/>
    <s v="MQL"/>
    <m/>
    <m/>
    <m/>
    <n v="2"/>
    <x v="7"/>
    <n v="1"/>
    <n v="0"/>
    <n v="0"/>
  </r>
  <r>
    <s v="LD1636"/>
    <d v="2024-02-22T00:00:00"/>
    <x v="1"/>
    <s v="Google Ads - Generic"/>
    <s v="Desktop"/>
    <s v="Asia Pacific"/>
    <s v="Lead"/>
    <m/>
    <m/>
    <m/>
    <n v="1"/>
    <x v="10"/>
    <n v="0"/>
    <n v="0"/>
    <n v="0"/>
  </r>
  <r>
    <s v="LD5466"/>
    <d v="2024-09-17T00:00:00"/>
    <x v="4"/>
    <s v="Affiliate Program"/>
    <s v="Mobile"/>
    <s v="Europe"/>
    <s v="MQL"/>
    <m/>
    <m/>
    <m/>
    <n v="2"/>
    <x v="9"/>
    <n v="1"/>
    <n v="0"/>
    <n v="0"/>
  </r>
  <r>
    <s v="LD5365"/>
    <d v="2024-09-02T00:00:00"/>
    <x v="3"/>
    <s v="Promo Blast"/>
    <s v="Desktop"/>
    <s v="Europe"/>
    <s v="Lead"/>
    <m/>
    <m/>
    <m/>
    <n v="1"/>
    <x v="9"/>
    <n v="0"/>
    <n v="0"/>
    <n v="0"/>
  </r>
  <r>
    <s v="LD5143"/>
    <d v="2024-09-03T00:00:00"/>
    <x v="1"/>
    <s v="Google Ads - Brand"/>
    <s v="Tablet"/>
    <s v="Europe"/>
    <s v="Lead"/>
    <m/>
    <m/>
    <m/>
    <n v="1"/>
    <x v="9"/>
    <n v="0"/>
    <n v="0"/>
    <n v="0"/>
  </r>
  <r>
    <s v="LD1992"/>
    <d v="2024-03-09T00:00:00"/>
    <x v="5"/>
    <s v="Blog SEO"/>
    <s v="Desktop"/>
    <s v="Europe"/>
    <s v="MQL"/>
    <m/>
    <m/>
    <m/>
    <n v="2"/>
    <x v="8"/>
    <n v="1"/>
    <n v="0"/>
    <n v="0"/>
  </r>
  <r>
    <s v="LD1877"/>
    <d v="2024-02-16T00:00:00"/>
    <x v="4"/>
    <s v="Affiliate Program"/>
    <s v="Desktop"/>
    <s v="North America"/>
    <s v="MQL"/>
    <m/>
    <m/>
    <m/>
    <n v="2"/>
    <x v="10"/>
    <n v="1"/>
    <n v="0"/>
    <n v="0"/>
  </r>
  <r>
    <s v="LD5870"/>
    <d v="2024-10-28T00:00:00"/>
    <x v="0"/>
    <s v="LinkedIn Ads"/>
    <s v="Desktop"/>
    <s v="North America"/>
    <s v="Lead"/>
    <m/>
    <m/>
    <m/>
    <n v="1"/>
    <x v="5"/>
    <n v="0"/>
    <n v="0"/>
    <n v="0"/>
  </r>
  <r>
    <s v="LD6316"/>
    <d v="2024-10-01T00:00:00"/>
    <x v="2"/>
    <s v="Direct / Type-in"/>
    <s v="Desktop"/>
    <s v="Asia Pacific"/>
    <s v="SQL"/>
    <m/>
    <m/>
    <m/>
    <n v="3"/>
    <x v="5"/>
    <n v="1"/>
    <n v="1"/>
    <n v="0"/>
  </r>
  <r>
    <s v="LD6223"/>
    <d v="2024-10-07T00:00:00"/>
    <x v="4"/>
    <s v="Partner Program"/>
    <s v="Mobile"/>
    <s v="North America"/>
    <s v="SQL"/>
    <m/>
    <m/>
    <m/>
    <n v="3"/>
    <x v="5"/>
    <n v="1"/>
    <n v="1"/>
    <n v="0"/>
  </r>
  <r>
    <s v="LD1005"/>
    <d v="2024-01-04T00:00:00"/>
    <x v="5"/>
    <s v="Blog SEO"/>
    <s v="Desktop"/>
    <s v="North America"/>
    <s v="Customer"/>
    <n v="65"/>
    <s v="Basic"/>
    <n v="1473.12"/>
    <n v="4"/>
    <x v="3"/>
    <n v="1"/>
    <n v="1"/>
    <n v="1"/>
  </r>
  <r>
    <s v="LD4052"/>
    <d v="2024-07-19T00:00:00"/>
    <x v="5"/>
    <s v="Landing Page SEO"/>
    <s v="Mobile"/>
    <s v="Asia Pacific"/>
    <s v="SQL"/>
    <m/>
    <m/>
    <m/>
    <n v="3"/>
    <x v="0"/>
    <n v="1"/>
    <n v="1"/>
    <n v="0"/>
  </r>
  <r>
    <s v="LD6692"/>
    <d v="2024-11-17T00:00:00"/>
    <x v="0"/>
    <s v="Facebook Ads"/>
    <s v="Mobile"/>
    <s v="Asia Pacific"/>
    <s v="Lead"/>
    <m/>
    <m/>
    <m/>
    <n v="1"/>
    <x v="2"/>
    <n v="0"/>
    <n v="0"/>
    <n v="0"/>
  </r>
  <r>
    <s v="LD4125"/>
    <d v="2024-07-22T00:00:00"/>
    <x v="1"/>
    <s v="Google Ads - Generic"/>
    <s v="Desktop"/>
    <s v="North America"/>
    <s v="SQL"/>
    <m/>
    <m/>
    <m/>
    <n v="3"/>
    <x v="0"/>
    <n v="1"/>
    <n v="1"/>
    <n v="0"/>
  </r>
  <r>
    <s v="LD3661"/>
    <d v="2024-06-04T00:00:00"/>
    <x v="1"/>
    <s v="Google Ads - Brand"/>
    <s v="Mobile"/>
    <s v="North America"/>
    <s v="SQL"/>
    <m/>
    <m/>
    <m/>
    <n v="3"/>
    <x v="11"/>
    <n v="1"/>
    <n v="1"/>
    <n v="0"/>
  </r>
  <r>
    <s v="LD3492"/>
    <d v="2024-05-13T00:00:00"/>
    <x v="4"/>
    <s v="Partner Program"/>
    <s v="Desktop"/>
    <s v="North America"/>
    <s v="Lead"/>
    <m/>
    <m/>
    <m/>
    <n v="1"/>
    <x v="4"/>
    <n v="0"/>
    <n v="0"/>
    <n v="0"/>
  </r>
  <r>
    <s v="LD6174"/>
    <d v="2024-10-15T00:00:00"/>
    <x v="4"/>
    <s v="Affiliate Program"/>
    <s v="Desktop"/>
    <s v="Asia Pacific"/>
    <s v="Lead"/>
    <m/>
    <m/>
    <m/>
    <n v="1"/>
    <x v="5"/>
    <n v="0"/>
    <n v="0"/>
    <n v="0"/>
  </r>
  <r>
    <s v="LD4855"/>
    <d v="2024-08-28T00:00:00"/>
    <x v="3"/>
    <s v="Promo Blast"/>
    <s v="Desktop"/>
    <s v="Europe"/>
    <s v="Lead"/>
    <m/>
    <m/>
    <m/>
    <n v="1"/>
    <x v="6"/>
    <n v="0"/>
    <n v="0"/>
    <n v="0"/>
  </r>
  <r>
    <s v="LD5934"/>
    <d v="2024-10-12T00:00:00"/>
    <x v="0"/>
    <s v="Instagram Ads"/>
    <s v="Desktop"/>
    <s v="Europe"/>
    <s v="SQL"/>
    <m/>
    <m/>
    <m/>
    <n v="3"/>
    <x v="5"/>
    <n v="1"/>
    <n v="1"/>
    <n v="0"/>
  </r>
  <r>
    <s v="LD5778"/>
    <d v="2024-10-24T00:00:00"/>
    <x v="1"/>
    <s v="Google Ads - Generic"/>
    <s v="Desktop"/>
    <s v="Asia Pacific"/>
    <s v="Lead"/>
    <m/>
    <m/>
    <m/>
    <n v="1"/>
    <x v="5"/>
    <n v="0"/>
    <n v="0"/>
    <n v="0"/>
  </r>
  <r>
    <s v="LD2716"/>
    <d v="2024-04-20T00:00:00"/>
    <x v="0"/>
    <s v="Facebook Ads"/>
    <s v="Desktop"/>
    <s v="North America"/>
    <s v="Lead"/>
    <m/>
    <m/>
    <m/>
    <n v="1"/>
    <x v="1"/>
    <n v="0"/>
    <n v="0"/>
    <n v="0"/>
  </r>
  <r>
    <s v="LD7294"/>
    <d v="2024-12-15T00:00:00"/>
    <x v="1"/>
    <s v="Google Ads - Generic"/>
    <s v="Desktop"/>
    <s v="Asia Pacific"/>
    <s v="MQL"/>
    <m/>
    <m/>
    <m/>
    <n v="2"/>
    <x v="7"/>
    <n v="1"/>
    <n v="0"/>
    <n v="0"/>
  </r>
  <r>
    <s v="LD2149"/>
    <d v="2024-03-02T00:00:00"/>
    <x v="0"/>
    <s v="Instagram Ads"/>
    <s v="Mobile"/>
    <s v="North America"/>
    <s v="Lead"/>
    <m/>
    <m/>
    <m/>
    <n v="1"/>
    <x v="8"/>
    <n v="0"/>
    <n v="0"/>
    <n v="0"/>
  </r>
  <r>
    <s v="LD4262"/>
    <d v="2024-07-23T00:00:00"/>
    <x v="0"/>
    <s v="Instagram Ads"/>
    <s v="Mobile"/>
    <s v="Europe"/>
    <s v="Lead"/>
    <m/>
    <m/>
    <m/>
    <n v="1"/>
    <x v="0"/>
    <n v="0"/>
    <n v="0"/>
    <n v="0"/>
  </r>
  <r>
    <s v="LD1575"/>
    <d v="2024-02-05T00:00:00"/>
    <x v="1"/>
    <s v="Google Ads - Brand"/>
    <s v="Desktop"/>
    <s v="Asia Pacific"/>
    <s v="Customer"/>
    <n v="13"/>
    <s v="Enterprise"/>
    <n v="15569.51"/>
    <n v="4"/>
    <x v="10"/>
    <n v="1"/>
    <n v="1"/>
    <n v="1"/>
  </r>
  <r>
    <s v="LD4770"/>
    <d v="2024-08-18T00:00:00"/>
    <x v="3"/>
    <s v="Promo Blast"/>
    <s v="Desktop"/>
    <s v="Latin America"/>
    <s v="MQL"/>
    <m/>
    <m/>
    <m/>
    <n v="2"/>
    <x v="6"/>
    <n v="1"/>
    <n v="0"/>
    <n v="0"/>
  </r>
  <r>
    <s v="LD4737"/>
    <d v="2024-08-08T00:00:00"/>
    <x v="0"/>
    <s v="Instagram Ads"/>
    <s v="Mobile"/>
    <s v="Europe"/>
    <s v="SQL"/>
    <m/>
    <m/>
    <m/>
    <n v="3"/>
    <x v="6"/>
    <n v="1"/>
    <n v="1"/>
    <n v="0"/>
  </r>
  <r>
    <s v="LD5147"/>
    <d v="2024-09-23T00:00:00"/>
    <x v="1"/>
    <s v="Google Ads - Brand"/>
    <s v="Desktop"/>
    <s v="North America"/>
    <s v="MQL"/>
    <m/>
    <m/>
    <m/>
    <n v="2"/>
    <x v="9"/>
    <n v="1"/>
    <n v="0"/>
    <n v="0"/>
  </r>
  <r>
    <s v="LD1854"/>
    <d v="2024-02-01T00:00:00"/>
    <x v="4"/>
    <s v="Affiliate Program"/>
    <s v="Desktop"/>
    <s v="North America"/>
    <s v="Lead"/>
    <m/>
    <m/>
    <m/>
    <n v="1"/>
    <x v="10"/>
    <n v="0"/>
    <n v="0"/>
    <n v="0"/>
  </r>
  <r>
    <s v="LD2983"/>
    <d v="2024-04-02T00:00:00"/>
    <x v="2"/>
    <s v="Direct / Type-in"/>
    <s v="Mobile"/>
    <s v="North America"/>
    <s v="MQL"/>
    <m/>
    <m/>
    <m/>
    <n v="2"/>
    <x v="1"/>
    <n v="1"/>
    <n v="0"/>
    <n v="0"/>
  </r>
  <r>
    <s v="LD3775"/>
    <d v="2024-06-13T00:00:00"/>
    <x v="0"/>
    <s v="Facebook Ads"/>
    <s v="Tablet"/>
    <s v="North America"/>
    <s v="Lead"/>
    <m/>
    <m/>
    <m/>
    <n v="1"/>
    <x v="11"/>
    <n v="0"/>
    <n v="0"/>
    <n v="0"/>
  </r>
  <r>
    <s v="LD6920"/>
    <d v="2024-11-09T00:00:00"/>
    <x v="4"/>
    <s v="Partner Program"/>
    <s v="Mobile"/>
    <s v="Europe"/>
    <s v="MQL"/>
    <m/>
    <m/>
    <m/>
    <n v="2"/>
    <x v="2"/>
    <n v="1"/>
    <n v="0"/>
    <n v="0"/>
  </r>
  <r>
    <s v="LD5930"/>
    <d v="2024-10-05T00:00:00"/>
    <x v="0"/>
    <s v="Instagram Ads"/>
    <s v="Desktop"/>
    <s v="Latin America"/>
    <s v="Lead"/>
    <m/>
    <m/>
    <m/>
    <n v="1"/>
    <x v="5"/>
    <n v="0"/>
    <n v="0"/>
    <n v="0"/>
  </r>
  <r>
    <s v="LD6212"/>
    <d v="2024-10-04T00:00:00"/>
    <x v="4"/>
    <s v="Partner Program"/>
    <s v="Mobile"/>
    <s v="North America"/>
    <s v="Lead"/>
    <m/>
    <m/>
    <m/>
    <n v="1"/>
    <x v="5"/>
    <n v="0"/>
    <n v="0"/>
    <n v="0"/>
  </r>
  <r>
    <s v="LD2167"/>
    <d v="2024-03-08T00:00:00"/>
    <x v="0"/>
    <s v="Instagram Ads"/>
    <s v="Desktop"/>
    <s v="North America"/>
    <s v="MQL"/>
    <m/>
    <m/>
    <m/>
    <n v="2"/>
    <x v="8"/>
    <n v="1"/>
    <n v="0"/>
    <n v="0"/>
  </r>
  <r>
    <s v="LD7003"/>
    <d v="2024-11-19T00:00:00"/>
    <x v="4"/>
    <s v="Affiliate Program"/>
    <s v="Mobile"/>
    <s v="North America"/>
    <s v="SQL"/>
    <m/>
    <m/>
    <m/>
    <n v="3"/>
    <x v="2"/>
    <n v="1"/>
    <n v="1"/>
    <n v="0"/>
  </r>
  <r>
    <s v="LD1972"/>
    <d v="2024-03-03T00:00:00"/>
    <x v="5"/>
    <s v="Blog SEO"/>
    <s v="Desktop"/>
    <s v="Europe"/>
    <s v="Lead"/>
    <m/>
    <m/>
    <m/>
    <n v="1"/>
    <x v="8"/>
    <n v="0"/>
    <n v="0"/>
    <n v="0"/>
  </r>
  <r>
    <s v="LD3702"/>
    <d v="2024-06-07T00:00:00"/>
    <x v="1"/>
    <s v="Google Ads - Brand"/>
    <s v="Desktop"/>
    <s v="Asia Pacific"/>
    <s v="MQL"/>
    <m/>
    <m/>
    <m/>
    <n v="2"/>
    <x v="11"/>
    <n v="1"/>
    <n v="0"/>
    <n v="0"/>
  </r>
  <r>
    <s v="LD5496"/>
    <d v="2024-09-08T00:00:00"/>
    <x v="4"/>
    <s v="Affiliate Program"/>
    <s v="Tablet"/>
    <s v="Europe"/>
    <s v="Customer"/>
    <n v="28"/>
    <s v="Pro"/>
    <n v="4807.84"/>
    <n v="4"/>
    <x v="9"/>
    <n v="1"/>
    <n v="1"/>
    <n v="1"/>
  </r>
  <r>
    <s v="LD4848"/>
    <d v="2024-08-06T00:00:00"/>
    <x v="3"/>
    <s v="Monthly Newsletter"/>
    <s v="Desktop"/>
    <s v="North America"/>
    <s v="Lead"/>
    <m/>
    <m/>
    <m/>
    <n v="1"/>
    <x v="6"/>
    <n v="0"/>
    <n v="0"/>
    <n v="0"/>
  </r>
  <r>
    <s v="LD3369"/>
    <d v="2024-05-11T00:00:00"/>
    <x v="3"/>
    <s v="Promo Blast"/>
    <s v="Mobile"/>
    <s v="Europe"/>
    <s v="Customer"/>
    <n v="23"/>
    <s v="Enterprise"/>
    <n v="16723.93"/>
    <n v="4"/>
    <x v="4"/>
    <n v="1"/>
    <n v="1"/>
    <n v="1"/>
  </r>
  <r>
    <s v="LD5116"/>
    <d v="2024-09-13T00:00:00"/>
    <x v="5"/>
    <s v="Blog SEO"/>
    <s v="Desktop"/>
    <s v="North America"/>
    <s v="MQL"/>
    <m/>
    <m/>
    <m/>
    <n v="2"/>
    <x v="9"/>
    <n v="1"/>
    <n v="0"/>
    <n v="0"/>
  </r>
  <r>
    <s v="LD5781"/>
    <d v="2024-10-24T00:00:00"/>
    <x v="1"/>
    <s v="Google Ads - Brand"/>
    <s v="Mobile"/>
    <s v="Europe"/>
    <s v="Lead"/>
    <m/>
    <m/>
    <m/>
    <n v="1"/>
    <x v="5"/>
    <n v="0"/>
    <n v="0"/>
    <n v="0"/>
  </r>
  <r>
    <s v="LD5132"/>
    <d v="2024-09-28T00:00:00"/>
    <x v="1"/>
    <s v="Google Ads - Generic"/>
    <s v="Mobile"/>
    <s v="North America"/>
    <s v="Lead"/>
    <m/>
    <m/>
    <m/>
    <n v="1"/>
    <x v="9"/>
    <n v="0"/>
    <n v="0"/>
    <n v="0"/>
  </r>
  <r>
    <s v="LD3951"/>
    <d v="2024-06-13T00:00:00"/>
    <x v="4"/>
    <s v="Affiliate Program"/>
    <s v="Desktop"/>
    <s v="North America"/>
    <s v="Lead"/>
    <m/>
    <m/>
    <m/>
    <n v="1"/>
    <x v="11"/>
    <n v="0"/>
    <n v="0"/>
    <n v="0"/>
  </r>
  <r>
    <s v="LD6626"/>
    <d v="2024-11-02T00:00:00"/>
    <x v="0"/>
    <s v="Instagram Ads"/>
    <s v="Desktop"/>
    <s v="Asia Pacific"/>
    <s v="Lead"/>
    <m/>
    <m/>
    <m/>
    <n v="1"/>
    <x v="2"/>
    <n v="0"/>
    <n v="0"/>
    <n v="0"/>
  </r>
  <r>
    <s v="LD1525"/>
    <d v="2024-02-26T00:00:00"/>
    <x v="5"/>
    <s v="Blog SEO"/>
    <s v="Mobile"/>
    <s v="Asia Pacific"/>
    <s v="Lead"/>
    <m/>
    <m/>
    <m/>
    <n v="1"/>
    <x v="10"/>
    <n v="0"/>
    <n v="0"/>
    <n v="0"/>
  </r>
  <r>
    <s v="LD3456"/>
    <d v="2024-05-22T00:00:00"/>
    <x v="4"/>
    <s v="Partner Program"/>
    <s v="Mobile"/>
    <s v="North America"/>
    <s v="Customer"/>
    <n v="57"/>
    <s v="Basic"/>
    <n v="559.99"/>
    <n v="4"/>
    <x v="4"/>
    <n v="1"/>
    <n v="1"/>
    <n v="1"/>
  </r>
  <r>
    <s v="LD6017"/>
    <d v="2024-10-25T00:00:00"/>
    <x v="3"/>
    <s v="Monthly Newsletter"/>
    <s v="Mobile"/>
    <s v="North America"/>
    <s v="SQL"/>
    <m/>
    <m/>
    <m/>
    <n v="3"/>
    <x v="5"/>
    <n v="1"/>
    <n v="1"/>
    <n v="0"/>
  </r>
  <r>
    <s v="LD2842"/>
    <d v="2024-04-03T00:00:00"/>
    <x v="3"/>
    <s v="Promo Blast"/>
    <s v="Tablet"/>
    <s v="North America"/>
    <s v="SQL"/>
    <m/>
    <m/>
    <m/>
    <n v="3"/>
    <x v="1"/>
    <n v="1"/>
    <n v="1"/>
    <n v="0"/>
  </r>
  <r>
    <s v="LD6987"/>
    <d v="2024-11-01T00:00:00"/>
    <x v="4"/>
    <s v="Affiliate Program"/>
    <s v="Desktop"/>
    <s v="Europe"/>
    <s v="Lead"/>
    <m/>
    <m/>
    <m/>
    <n v="1"/>
    <x v="2"/>
    <n v="0"/>
    <n v="0"/>
    <n v="0"/>
  </r>
  <r>
    <s v="LD1538"/>
    <d v="2024-02-05T00:00:00"/>
    <x v="5"/>
    <s v="Blog SEO"/>
    <s v="Mobile"/>
    <s v="Asia Pacific"/>
    <s v="Lead"/>
    <m/>
    <m/>
    <m/>
    <n v="1"/>
    <x v="10"/>
    <n v="0"/>
    <n v="0"/>
    <n v="0"/>
  </r>
  <r>
    <s v="LD3807"/>
    <d v="2024-06-08T00:00:00"/>
    <x v="3"/>
    <s v="Promo Blast"/>
    <s v="Desktop"/>
    <s v="Asia Pacific"/>
    <s v="Lead"/>
    <m/>
    <m/>
    <m/>
    <n v="1"/>
    <x v="11"/>
    <n v="0"/>
    <n v="0"/>
    <n v="0"/>
  </r>
  <r>
    <s v="LD6802"/>
    <d v="2024-11-22T00:00:00"/>
    <x v="3"/>
    <s v="Monthly Newsletter"/>
    <s v="Desktop"/>
    <s v="North America"/>
    <s v="MQL"/>
    <m/>
    <m/>
    <m/>
    <n v="2"/>
    <x v="2"/>
    <n v="1"/>
    <n v="0"/>
    <n v="0"/>
  </r>
  <r>
    <s v="LD6597"/>
    <d v="2024-11-20T00:00:00"/>
    <x v="0"/>
    <s v="Instagram Ads"/>
    <s v="Mobile"/>
    <s v="Europe"/>
    <s v="Lead"/>
    <m/>
    <m/>
    <m/>
    <n v="1"/>
    <x v="2"/>
    <n v="0"/>
    <n v="0"/>
    <n v="0"/>
  </r>
  <r>
    <s v="LD5342"/>
    <d v="2024-09-22T00:00:00"/>
    <x v="3"/>
    <s v="Monthly Newsletter"/>
    <s v="Mobile"/>
    <s v="Europe"/>
    <s v="MQL"/>
    <m/>
    <m/>
    <m/>
    <n v="2"/>
    <x v="9"/>
    <n v="1"/>
    <n v="0"/>
    <n v="0"/>
  </r>
  <r>
    <s v="LD4176"/>
    <d v="2024-07-03T00:00:00"/>
    <x v="1"/>
    <s v="Google Ads - Generic"/>
    <s v="Desktop"/>
    <s v="North America"/>
    <s v="Lead"/>
    <m/>
    <m/>
    <m/>
    <n v="1"/>
    <x v="0"/>
    <n v="0"/>
    <n v="0"/>
    <n v="0"/>
  </r>
  <r>
    <s v="LD1785"/>
    <d v="2024-02-05T00:00:00"/>
    <x v="3"/>
    <s v="Monthly Newsletter"/>
    <s v="Mobile"/>
    <s v="Asia Pacific"/>
    <s v="MQL"/>
    <m/>
    <m/>
    <m/>
    <n v="2"/>
    <x v="10"/>
    <n v="1"/>
    <n v="0"/>
    <n v="0"/>
  </r>
  <r>
    <s v="LD5058"/>
    <d v="2024-09-25T00:00:00"/>
    <x v="5"/>
    <s v="Landing Page SEO"/>
    <s v="Mobile"/>
    <s v="Europe"/>
    <s v="Lead"/>
    <m/>
    <m/>
    <m/>
    <n v="1"/>
    <x v="9"/>
    <n v="0"/>
    <n v="0"/>
    <n v="0"/>
  </r>
  <r>
    <s v="LD2410"/>
    <d v="2024-03-11T00:00:00"/>
    <x v="2"/>
    <s v="Direct / Type-in"/>
    <s v="Desktop"/>
    <s v="North America"/>
    <s v="Lead"/>
    <m/>
    <m/>
    <m/>
    <n v="1"/>
    <x v="8"/>
    <n v="0"/>
    <n v="0"/>
    <n v="0"/>
  </r>
  <r>
    <s v="LD3538"/>
    <d v="2024-05-14T00:00:00"/>
    <x v="2"/>
    <s v="Direct / Type-in"/>
    <s v="Desktop"/>
    <s v="Latin America"/>
    <s v="MQL"/>
    <m/>
    <m/>
    <m/>
    <n v="2"/>
    <x v="4"/>
    <n v="1"/>
    <n v="0"/>
    <n v="0"/>
  </r>
  <r>
    <s v="LD1155"/>
    <d v="2024-01-23T00:00:00"/>
    <x v="1"/>
    <s v="Google Ads - Generic"/>
    <s v="Desktop"/>
    <s v="Europe"/>
    <s v="Lead"/>
    <m/>
    <m/>
    <m/>
    <n v="1"/>
    <x v="3"/>
    <n v="0"/>
    <n v="0"/>
    <n v="0"/>
  </r>
  <r>
    <s v="LD4010"/>
    <d v="2024-06-06T00:00:00"/>
    <x v="2"/>
    <s v="Direct / Type-in"/>
    <s v="Desktop"/>
    <s v="Asia Pacific"/>
    <s v="MQL"/>
    <m/>
    <m/>
    <m/>
    <n v="2"/>
    <x v="11"/>
    <n v="1"/>
    <n v="0"/>
    <n v="0"/>
  </r>
  <r>
    <s v="LD2687"/>
    <d v="2024-04-25T00:00:00"/>
    <x v="0"/>
    <s v="Facebook Ads"/>
    <s v="Mobile"/>
    <s v="North America"/>
    <s v="SQL"/>
    <m/>
    <m/>
    <m/>
    <n v="3"/>
    <x v="1"/>
    <n v="1"/>
    <n v="1"/>
    <n v="0"/>
  </r>
  <r>
    <s v="LD3902"/>
    <d v="2024-06-17T00:00:00"/>
    <x v="3"/>
    <s v="Promo Blast"/>
    <s v="Tablet"/>
    <s v="North America"/>
    <s v="Lead"/>
    <m/>
    <m/>
    <m/>
    <n v="1"/>
    <x v="11"/>
    <n v="0"/>
    <n v="0"/>
    <n v="0"/>
  </r>
  <r>
    <s v="LD7716"/>
    <d v="2024-12-09T00:00:00"/>
    <x v="2"/>
    <s v="Direct / Type-in"/>
    <s v="Tablet"/>
    <s v="North America"/>
    <s v="Lead"/>
    <m/>
    <m/>
    <m/>
    <n v="1"/>
    <x v="7"/>
    <n v="0"/>
    <n v="0"/>
    <n v="0"/>
  </r>
  <r>
    <s v="LD5722"/>
    <d v="2024-10-03T00:00:00"/>
    <x v="5"/>
    <s v="Landing Page SEO"/>
    <s v="Desktop"/>
    <s v="North America"/>
    <s v="Lead"/>
    <m/>
    <m/>
    <m/>
    <n v="1"/>
    <x v="5"/>
    <n v="0"/>
    <n v="0"/>
    <n v="0"/>
  </r>
  <r>
    <s v="LD4864"/>
    <d v="2024-08-24T00:00:00"/>
    <x v="3"/>
    <s v="Monthly Newsletter"/>
    <s v="Desktop"/>
    <s v="North America"/>
    <s v="Lead"/>
    <m/>
    <m/>
    <m/>
    <n v="1"/>
    <x v="6"/>
    <n v="0"/>
    <n v="0"/>
    <n v="0"/>
  </r>
  <r>
    <s v="LD3734"/>
    <d v="2024-06-13T00:00:00"/>
    <x v="0"/>
    <s v="Instagram Ads"/>
    <s v="Desktop"/>
    <s v="Asia Pacific"/>
    <s v="MQL"/>
    <m/>
    <m/>
    <m/>
    <n v="2"/>
    <x v="11"/>
    <n v="1"/>
    <n v="0"/>
    <n v="0"/>
  </r>
  <r>
    <s v="LD2896"/>
    <d v="2024-04-16T00:00:00"/>
    <x v="4"/>
    <s v="Partner Program"/>
    <s v="Desktop"/>
    <s v="North America"/>
    <s v="MQL"/>
    <m/>
    <m/>
    <m/>
    <n v="2"/>
    <x v="1"/>
    <n v="1"/>
    <n v="0"/>
    <n v="0"/>
  </r>
  <r>
    <s v="LD6443"/>
    <d v="2024-11-13T00:00:00"/>
    <x v="5"/>
    <s v="Landing Page SEO"/>
    <s v="Desktop"/>
    <s v="North America"/>
    <s v="Lead"/>
    <m/>
    <m/>
    <m/>
    <n v="1"/>
    <x v="2"/>
    <n v="0"/>
    <n v="0"/>
    <n v="0"/>
  </r>
  <r>
    <s v="LD1570"/>
    <d v="2024-02-09T00:00:00"/>
    <x v="1"/>
    <s v="Google Ads - Generic"/>
    <s v="Desktop"/>
    <s v="Asia Pacific"/>
    <s v="SQL"/>
    <m/>
    <m/>
    <m/>
    <n v="3"/>
    <x v="10"/>
    <n v="1"/>
    <n v="1"/>
    <n v="0"/>
  </r>
  <r>
    <s v="LD6855"/>
    <d v="2024-11-21T00:00:00"/>
    <x v="3"/>
    <s v="Promo Blast"/>
    <s v="Mobile"/>
    <s v="Asia Pacific"/>
    <s v="SQL"/>
    <m/>
    <m/>
    <m/>
    <n v="3"/>
    <x v="2"/>
    <n v="1"/>
    <n v="1"/>
    <n v="0"/>
  </r>
  <r>
    <s v="LD2817"/>
    <d v="2024-04-19T00:00:00"/>
    <x v="3"/>
    <s v="Promo Blast"/>
    <s v="Desktop"/>
    <s v="North America"/>
    <s v="Lead"/>
    <m/>
    <m/>
    <m/>
    <n v="1"/>
    <x v="1"/>
    <n v="0"/>
    <n v="0"/>
    <n v="0"/>
  </r>
  <r>
    <s v="LD3066"/>
    <d v="2024-05-12T00:00:00"/>
    <x v="5"/>
    <s v="Blog SEO"/>
    <s v="Mobile"/>
    <s v="Asia Pacific"/>
    <s v="Lead"/>
    <m/>
    <m/>
    <m/>
    <n v="1"/>
    <x v="4"/>
    <n v="0"/>
    <n v="0"/>
    <n v="0"/>
  </r>
  <r>
    <s v="LD1128"/>
    <d v="2024-01-02T00:00:00"/>
    <x v="1"/>
    <s v="Google Ads - Brand"/>
    <s v="Desktop"/>
    <s v="North America"/>
    <s v="Lead"/>
    <m/>
    <m/>
    <m/>
    <n v="1"/>
    <x v="3"/>
    <n v="0"/>
    <n v="0"/>
    <n v="0"/>
  </r>
  <r>
    <s v="LD4395"/>
    <d v="2024-07-04T00:00:00"/>
    <x v="4"/>
    <s v="Affiliate Program"/>
    <s v="Desktop"/>
    <s v="Europe"/>
    <s v="Customer"/>
    <n v="28"/>
    <s v="Pro"/>
    <n v="3301.69"/>
    <n v="4"/>
    <x v="0"/>
    <n v="1"/>
    <n v="1"/>
    <n v="1"/>
  </r>
  <r>
    <s v="LD4328"/>
    <d v="2024-07-11T00:00:00"/>
    <x v="3"/>
    <s v="Monthly Newsletter"/>
    <s v="Desktop"/>
    <s v="North America"/>
    <s v="MQL"/>
    <m/>
    <m/>
    <m/>
    <n v="2"/>
    <x v="0"/>
    <n v="1"/>
    <n v="0"/>
    <n v="0"/>
  </r>
  <r>
    <s v="LD7759"/>
    <d v="2024-12-05T00:00:00"/>
    <x v="2"/>
    <s v="Direct / Type-in"/>
    <s v="Desktop"/>
    <s v="Asia Pacific"/>
    <s v="Lead"/>
    <m/>
    <m/>
    <m/>
    <n v="1"/>
    <x v="7"/>
    <n v="0"/>
    <n v="0"/>
    <n v="0"/>
  </r>
  <r>
    <s v="LD7103"/>
    <d v="2024-12-16T00:00:00"/>
    <x v="5"/>
    <s v="Blog SEO"/>
    <s v="Desktop"/>
    <s v="Asia Pacific"/>
    <s v="Lead"/>
    <m/>
    <m/>
    <m/>
    <n v="1"/>
    <x v="7"/>
    <n v="0"/>
    <n v="0"/>
    <n v="0"/>
  </r>
  <r>
    <s v="LD3976"/>
    <d v="2024-06-28T00:00:00"/>
    <x v="4"/>
    <s v="Partner Program"/>
    <s v="Mobile"/>
    <s v="North America"/>
    <s v="Lead"/>
    <m/>
    <m/>
    <m/>
    <n v="1"/>
    <x v="11"/>
    <n v="0"/>
    <n v="0"/>
    <n v="0"/>
  </r>
  <r>
    <s v="LD1981"/>
    <d v="2024-03-08T00:00:00"/>
    <x v="5"/>
    <s v="Landing Page SEO"/>
    <s v="Desktop"/>
    <s v="Europe"/>
    <s v="MQL"/>
    <m/>
    <m/>
    <m/>
    <n v="2"/>
    <x v="8"/>
    <n v="1"/>
    <n v="0"/>
    <n v="0"/>
  </r>
  <r>
    <s v="LD3301"/>
    <d v="2024-05-20T00:00:00"/>
    <x v="3"/>
    <s v="Monthly Newsletter"/>
    <s v="Mobile"/>
    <s v="North America"/>
    <s v="MQL"/>
    <m/>
    <m/>
    <m/>
    <n v="2"/>
    <x v="4"/>
    <n v="1"/>
    <n v="0"/>
    <n v="0"/>
  </r>
  <r>
    <s v="LD1191"/>
    <d v="2024-01-07T00:00:00"/>
    <x v="0"/>
    <s v="Instagram Ads"/>
    <s v="Desktop"/>
    <s v="North America"/>
    <s v="Lead"/>
    <m/>
    <m/>
    <m/>
    <n v="1"/>
    <x v="3"/>
    <n v="0"/>
    <n v="0"/>
    <n v="0"/>
  </r>
  <r>
    <s v="LD2140"/>
    <d v="2024-03-23T00:00:00"/>
    <x v="0"/>
    <s v="Facebook Ads"/>
    <s v="Desktop"/>
    <s v="North America"/>
    <s v="Lead"/>
    <m/>
    <m/>
    <m/>
    <n v="1"/>
    <x v="8"/>
    <n v="0"/>
    <n v="0"/>
    <n v="0"/>
  </r>
  <r>
    <s v="LD6089"/>
    <d v="2024-10-19T00:00:00"/>
    <x v="3"/>
    <s v="Promo Blast"/>
    <s v="Mobile"/>
    <s v="Asia Pacific"/>
    <s v="SQL"/>
    <m/>
    <m/>
    <m/>
    <n v="3"/>
    <x v="5"/>
    <n v="1"/>
    <n v="1"/>
    <n v="0"/>
  </r>
  <r>
    <s v="LD1700"/>
    <d v="2024-02-26T00:00:00"/>
    <x v="0"/>
    <s v="LinkedIn Ads"/>
    <s v="Mobile"/>
    <s v="Latin America"/>
    <s v="MQL"/>
    <m/>
    <m/>
    <m/>
    <n v="2"/>
    <x v="10"/>
    <n v="1"/>
    <n v="0"/>
    <n v="0"/>
  </r>
  <r>
    <s v="LD7476"/>
    <d v="2024-12-10T00:00:00"/>
    <x v="3"/>
    <s v="Promo Blast"/>
    <s v="Desktop"/>
    <s v="Asia Pacific"/>
    <s v="SQL"/>
    <m/>
    <m/>
    <m/>
    <n v="3"/>
    <x v="7"/>
    <n v="1"/>
    <n v="1"/>
    <n v="0"/>
  </r>
  <r>
    <s v="LD1607"/>
    <d v="2024-02-10T00:00:00"/>
    <x v="1"/>
    <s v="Google Ads - Brand"/>
    <s v="Desktop"/>
    <s v="North America"/>
    <s v="Lead"/>
    <m/>
    <m/>
    <m/>
    <n v="1"/>
    <x v="10"/>
    <n v="0"/>
    <n v="0"/>
    <n v="0"/>
  </r>
  <r>
    <s v="LD5277"/>
    <d v="2024-09-15T00:00:00"/>
    <x v="0"/>
    <s v="LinkedIn Ads"/>
    <s v="Desktop"/>
    <s v="North America"/>
    <s v="Lead"/>
    <m/>
    <m/>
    <m/>
    <n v="1"/>
    <x v="9"/>
    <n v="0"/>
    <n v="0"/>
    <n v="0"/>
  </r>
  <r>
    <s v="LD1302"/>
    <d v="2024-01-27T00:00:00"/>
    <x v="3"/>
    <s v="Monthly Newsletter"/>
    <s v="Desktop"/>
    <s v="North America"/>
    <s v="MQL"/>
    <m/>
    <m/>
    <m/>
    <n v="2"/>
    <x v="3"/>
    <n v="1"/>
    <n v="0"/>
    <n v="0"/>
  </r>
  <r>
    <s v="LD4421"/>
    <d v="2024-07-08T00:00:00"/>
    <x v="4"/>
    <s v="Partner Program"/>
    <s v="Mobile"/>
    <s v="Europe"/>
    <s v="MQL"/>
    <m/>
    <m/>
    <m/>
    <n v="2"/>
    <x v="0"/>
    <n v="1"/>
    <n v="0"/>
    <n v="0"/>
  </r>
  <r>
    <s v="LD7530"/>
    <d v="2024-12-01T00:00:00"/>
    <x v="3"/>
    <s v="Monthly Newsletter"/>
    <s v="Desktop"/>
    <s v="Europe"/>
    <s v="Lead"/>
    <m/>
    <m/>
    <m/>
    <n v="1"/>
    <x v="7"/>
    <n v="0"/>
    <n v="0"/>
    <n v="0"/>
  </r>
  <r>
    <s v="LD2061"/>
    <d v="2024-03-06T00:00:00"/>
    <x v="1"/>
    <s v="Google Ads - Generic"/>
    <s v="Tablet"/>
    <s v="North America"/>
    <s v="Customer"/>
    <n v="26"/>
    <s v="Pro"/>
    <n v="3322.41"/>
    <n v="4"/>
    <x v="8"/>
    <n v="1"/>
    <n v="1"/>
    <n v="1"/>
  </r>
  <r>
    <s v="LD7586"/>
    <d v="2024-12-19T00:00:00"/>
    <x v="3"/>
    <s v="Promo Blast"/>
    <s v="Mobile"/>
    <s v="Latin America"/>
    <s v="Customer"/>
    <n v="58"/>
    <s v="Basic"/>
    <n v="930.89"/>
    <n v="4"/>
    <x v="7"/>
    <n v="1"/>
    <n v="1"/>
    <n v="1"/>
  </r>
  <r>
    <s v="LD7645"/>
    <d v="2024-12-16T00:00:00"/>
    <x v="4"/>
    <s v="Affiliate Program"/>
    <s v="Desktop"/>
    <s v="Asia Pacific"/>
    <s v="Lead"/>
    <m/>
    <m/>
    <m/>
    <n v="1"/>
    <x v="7"/>
    <n v="0"/>
    <n v="0"/>
    <n v="0"/>
  </r>
  <r>
    <s v="LD3566"/>
    <d v="2024-06-23T00:00:00"/>
    <x v="5"/>
    <s v="Landing Page SEO"/>
    <s v="Mobile"/>
    <s v="Latin America"/>
    <s v="Lead"/>
    <m/>
    <m/>
    <m/>
    <n v="1"/>
    <x v="11"/>
    <n v="0"/>
    <n v="0"/>
    <n v="0"/>
  </r>
  <r>
    <s v="LD7771"/>
    <d v="2024-12-14T00:00:00"/>
    <x v="2"/>
    <s v="Direct / Type-in"/>
    <s v="Mobile"/>
    <s v="North America"/>
    <s v="MQL"/>
    <m/>
    <m/>
    <m/>
    <n v="2"/>
    <x v="7"/>
    <n v="1"/>
    <n v="0"/>
    <n v="0"/>
  </r>
  <r>
    <s v="LD2070"/>
    <d v="2024-03-06T00:00:00"/>
    <x v="1"/>
    <s v="Google Ads - Generic"/>
    <s v="Desktop"/>
    <s v="North America"/>
    <s v="Lead"/>
    <m/>
    <m/>
    <m/>
    <n v="1"/>
    <x v="8"/>
    <n v="0"/>
    <n v="0"/>
    <n v="0"/>
  </r>
  <r>
    <s v="LD3525"/>
    <d v="2024-05-01T00:00:00"/>
    <x v="2"/>
    <s v="Direct / Type-in"/>
    <s v="Desktop"/>
    <s v="Europe"/>
    <s v="Customer"/>
    <n v="73"/>
    <s v="Basic"/>
    <n v="948.36"/>
    <n v="4"/>
    <x v="4"/>
    <n v="1"/>
    <n v="1"/>
    <n v="1"/>
  </r>
  <r>
    <s v="LD3206"/>
    <d v="2024-05-27T00:00:00"/>
    <x v="1"/>
    <s v="Google Ads - Generic"/>
    <s v="Mobile"/>
    <s v="Asia Pacific"/>
    <s v="MQL"/>
    <m/>
    <m/>
    <m/>
    <n v="2"/>
    <x v="4"/>
    <n v="1"/>
    <n v="0"/>
    <n v="0"/>
  </r>
  <r>
    <s v="LD2244"/>
    <d v="2024-03-23T00:00:00"/>
    <x v="3"/>
    <s v="Promo Blast"/>
    <s v="Mobile"/>
    <s v="North America"/>
    <s v="SQL"/>
    <m/>
    <m/>
    <m/>
    <n v="3"/>
    <x v="8"/>
    <n v="1"/>
    <n v="1"/>
    <n v="0"/>
  </r>
  <r>
    <s v="LD1017"/>
    <d v="2024-01-28T00:00:00"/>
    <x v="5"/>
    <s v="Blog SEO"/>
    <s v="Desktop"/>
    <s v="North America"/>
    <s v="Lead"/>
    <m/>
    <m/>
    <m/>
    <n v="1"/>
    <x v="3"/>
    <n v="0"/>
    <n v="0"/>
    <n v="0"/>
  </r>
  <r>
    <s v="LD4121"/>
    <d v="2024-07-07T00:00:00"/>
    <x v="1"/>
    <s v="Google Ads - Generic"/>
    <s v="Desktop"/>
    <s v="Europe"/>
    <s v="Lead"/>
    <m/>
    <m/>
    <m/>
    <n v="1"/>
    <x v="0"/>
    <n v="0"/>
    <n v="0"/>
    <n v="0"/>
  </r>
  <r>
    <s v="LD7762"/>
    <d v="2024-12-18T00:00:00"/>
    <x v="2"/>
    <s v="Direct / Type-in"/>
    <s v="Desktop"/>
    <s v="Europe"/>
    <s v="Lead"/>
    <m/>
    <m/>
    <m/>
    <n v="1"/>
    <x v="7"/>
    <n v="0"/>
    <n v="0"/>
    <n v="0"/>
  </r>
  <r>
    <s v="LD5643"/>
    <d v="2024-10-09T00:00:00"/>
    <x v="5"/>
    <s v="Landing Page SEO"/>
    <s v="Mobile"/>
    <s v="Europe"/>
    <s v="Lead"/>
    <m/>
    <m/>
    <m/>
    <n v="1"/>
    <x v="5"/>
    <n v="0"/>
    <n v="0"/>
    <n v="0"/>
  </r>
  <r>
    <s v="LD5755"/>
    <d v="2024-10-04T00:00:00"/>
    <x v="1"/>
    <s v="Google Ads - Generic"/>
    <s v="Mobile"/>
    <s v="North America"/>
    <s v="MQL"/>
    <m/>
    <m/>
    <m/>
    <n v="2"/>
    <x v="5"/>
    <n v="1"/>
    <n v="0"/>
    <n v="0"/>
  </r>
  <r>
    <s v="LD1816"/>
    <d v="2024-02-25T00:00:00"/>
    <x v="3"/>
    <s v="Monthly Newsletter"/>
    <s v="Desktop"/>
    <s v="Europe"/>
    <s v="Lead"/>
    <m/>
    <m/>
    <m/>
    <n v="1"/>
    <x v="10"/>
    <n v="0"/>
    <n v="0"/>
    <n v="0"/>
  </r>
  <r>
    <s v="LD4068"/>
    <d v="2024-07-25T00:00:00"/>
    <x v="5"/>
    <s v="Landing Page SEO"/>
    <s v="Tablet"/>
    <s v="Latin America"/>
    <s v="Lead"/>
    <m/>
    <m/>
    <m/>
    <n v="1"/>
    <x v="0"/>
    <n v="0"/>
    <n v="0"/>
    <n v="0"/>
  </r>
  <r>
    <s v="LD7481"/>
    <d v="2024-12-08T00:00:00"/>
    <x v="3"/>
    <s v="Promo Blast"/>
    <s v="Mobile"/>
    <s v="Europe"/>
    <s v="Lead"/>
    <m/>
    <m/>
    <m/>
    <n v="1"/>
    <x v="7"/>
    <n v="0"/>
    <n v="0"/>
    <n v="0"/>
  </r>
  <r>
    <s v="LD6601"/>
    <d v="2024-11-15T00:00:00"/>
    <x v="0"/>
    <s v="Instagram Ads"/>
    <s v="Desktop"/>
    <s v="Europe"/>
    <s v="Lead"/>
    <m/>
    <m/>
    <m/>
    <n v="1"/>
    <x v="2"/>
    <n v="0"/>
    <n v="0"/>
    <n v="0"/>
  </r>
  <r>
    <s v="LD1960"/>
    <d v="2024-03-28T00:00:00"/>
    <x v="5"/>
    <s v="Blog SEO"/>
    <s v="Desktop"/>
    <s v="Europe"/>
    <s v="SQL"/>
    <m/>
    <m/>
    <m/>
    <n v="3"/>
    <x v="8"/>
    <n v="1"/>
    <n v="1"/>
    <n v="0"/>
  </r>
  <r>
    <s v="LD5894"/>
    <d v="2024-10-02T00:00:00"/>
    <x v="0"/>
    <s v="Instagram Ads"/>
    <s v="Mobile"/>
    <s v="North America"/>
    <s v="SQL"/>
    <m/>
    <m/>
    <m/>
    <n v="3"/>
    <x v="5"/>
    <n v="1"/>
    <n v="1"/>
    <n v="0"/>
  </r>
  <r>
    <s v="LD1226"/>
    <d v="2024-01-04T00:00:00"/>
    <x v="0"/>
    <s v="Instagram Ads"/>
    <s v="Desktop"/>
    <s v="North America"/>
    <s v="Lead"/>
    <m/>
    <m/>
    <m/>
    <n v="1"/>
    <x v="3"/>
    <n v="0"/>
    <n v="0"/>
    <n v="0"/>
  </r>
  <r>
    <s v="LD7171"/>
    <d v="2024-12-22T00:00:00"/>
    <x v="5"/>
    <s v="Blog SEO"/>
    <s v="Mobile"/>
    <s v="Europe"/>
    <s v="Lead"/>
    <m/>
    <m/>
    <m/>
    <n v="1"/>
    <x v="7"/>
    <n v="0"/>
    <n v="0"/>
    <n v="0"/>
  </r>
  <r>
    <s v="LD4355"/>
    <d v="2024-07-21T00:00:00"/>
    <x v="3"/>
    <s v="Promo Blast"/>
    <s v="Desktop"/>
    <s v="North America"/>
    <s v="MQL"/>
    <m/>
    <m/>
    <m/>
    <n v="2"/>
    <x v="0"/>
    <n v="1"/>
    <n v="0"/>
    <n v="0"/>
  </r>
  <r>
    <s v="LD6896"/>
    <d v="2024-11-22T00:00:00"/>
    <x v="3"/>
    <s v="Promo Blast"/>
    <s v="Desktop"/>
    <s v="Europe"/>
    <s v="Customer"/>
    <n v="53"/>
    <s v="Basic"/>
    <n v="544.98"/>
    <n v="4"/>
    <x v="2"/>
    <n v="1"/>
    <n v="1"/>
    <n v="1"/>
  </r>
  <r>
    <s v="LD3486"/>
    <d v="2024-05-25T00:00:00"/>
    <x v="4"/>
    <s v="Affiliate Program"/>
    <s v="Mobile"/>
    <s v="North America"/>
    <s v="SQL"/>
    <m/>
    <m/>
    <m/>
    <n v="3"/>
    <x v="4"/>
    <n v="1"/>
    <n v="1"/>
    <n v="0"/>
  </r>
  <r>
    <s v="LD1563"/>
    <d v="2024-02-09T00:00:00"/>
    <x v="5"/>
    <s v="Landing Page SEO"/>
    <s v="Mobile"/>
    <s v="Asia Pacific"/>
    <s v="SQL"/>
    <m/>
    <m/>
    <m/>
    <n v="3"/>
    <x v="10"/>
    <n v="1"/>
    <n v="1"/>
    <n v="0"/>
  </r>
  <r>
    <s v="LD4437"/>
    <d v="2024-07-10T00:00:00"/>
    <x v="4"/>
    <s v="Partner Program"/>
    <s v="Desktop"/>
    <s v="North America"/>
    <s v="MQL"/>
    <m/>
    <m/>
    <m/>
    <n v="2"/>
    <x v="0"/>
    <n v="1"/>
    <n v="0"/>
    <n v="0"/>
  </r>
  <r>
    <s v="LD7374"/>
    <d v="2024-12-17T00:00:00"/>
    <x v="0"/>
    <s v="Facebook Ads"/>
    <s v="Desktop"/>
    <s v="Asia Pacific"/>
    <s v="Lead"/>
    <m/>
    <m/>
    <m/>
    <n v="1"/>
    <x v="7"/>
    <n v="0"/>
    <n v="0"/>
    <n v="0"/>
  </r>
  <r>
    <s v="LD7182"/>
    <d v="2024-12-03T00:00:00"/>
    <x v="5"/>
    <s v="Landing Page SEO"/>
    <s v="Mobile"/>
    <s v="Latin America"/>
    <s v="MQL"/>
    <m/>
    <m/>
    <m/>
    <n v="2"/>
    <x v="7"/>
    <n v="1"/>
    <n v="0"/>
    <n v="0"/>
  </r>
  <r>
    <s v="LD2694"/>
    <d v="2024-04-28T00:00:00"/>
    <x v="0"/>
    <s v="Facebook Ads"/>
    <s v="Tablet"/>
    <s v="Asia Pacific"/>
    <s v="MQL"/>
    <m/>
    <m/>
    <m/>
    <n v="2"/>
    <x v="1"/>
    <n v="1"/>
    <n v="0"/>
    <n v="0"/>
  </r>
  <r>
    <s v="LD2046"/>
    <d v="2024-03-01T00:00:00"/>
    <x v="1"/>
    <s v="Google Ads - Generic"/>
    <s v="Tablet"/>
    <s v="North America"/>
    <s v="MQL"/>
    <m/>
    <m/>
    <m/>
    <n v="2"/>
    <x v="8"/>
    <n v="1"/>
    <n v="0"/>
    <n v="0"/>
  </r>
  <r>
    <s v="LD4447"/>
    <d v="2024-07-19T00:00:00"/>
    <x v="2"/>
    <s v="Direct / Type-in"/>
    <s v="Mobile"/>
    <s v="Europe"/>
    <s v="Lead"/>
    <m/>
    <m/>
    <m/>
    <n v="1"/>
    <x v="0"/>
    <n v="0"/>
    <n v="0"/>
    <n v="0"/>
  </r>
  <r>
    <s v="LD5566"/>
    <d v="2024-09-26T00:00:00"/>
    <x v="2"/>
    <s v="Direct / Type-in"/>
    <s v="Mobile"/>
    <s v="North America"/>
    <s v="MQL"/>
    <m/>
    <m/>
    <m/>
    <n v="2"/>
    <x v="9"/>
    <n v="1"/>
    <n v="0"/>
    <n v="0"/>
  </r>
  <r>
    <s v="LD1955"/>
    <d v="2024-03-15T00:00:00"/>
    <x v="5"/>
    <s v="Landing Page SEO"/>
    <s v="Desktop"/>
    <s v="Europe"/>
    <s v="MQL"/>
    <m/>
    <m/>
    <m/>
    <n v="2"/>
    <x v="8"/>
    <n v="1"/>
    <n v="0"/>
    <n v="0"/>
  </r>
  <r>
    <s v="LD7758"/>
    <d v="2024-12-23T00:00:00"/>
    <x v="2"/>
    <s v="Direct / Type-in"/>
    <s v="Desktop"/>
    <s v="Europe"/>
    <s v="MQL"/>
    <m/>
    <m/>
    <m/>
    <n v="2"/>
    <x v="7"/>
    <n v="1"/>
    <n v="0"/>
    <n v="0"/>
  </r>
  <r>
    <s v="LD3736"/>
    <d v="2024-06-02T00:00:00"/>
    <x v="0"/>
    <s v="LinkedIn Ads"/>
    <s v="Mobile"/>
    <s v="North America"/>
    <s v="Lead"/>
    <m/>
    <m/>
    <m/>
    <n v="1"/>
    <x v="11"/>
    <n v="0"/>
    <n v="0"/>
    <n v="0"/>
  </r>
  <r>
    <s v="LD7651"/>
    <d v="2024-12-15T00:00:00"/>
    <x v="4"/>
    <s v="Affiliate Program"/>
    <s v="Desktop"/>
    <s v="Asia Pacific"/>
    <s v="MQL"/>
    <m/>
    <m/>
    <m/>
    <n v="2"/>
    <x v="7"/>
    <n v="1"/>
    <n v="0"/>
    <n v="0"/>
  </r>
  <r>
    <s v="LD5736"/>
    <d v="2024-10-17T00:00:00"/>
    <x v="1"/>
    <s v="Google Ads - Brand"/>
    <s v="Mobile"/>
    <s v="North America"/>
    <s v="MQL"/>
    <m/>
    <m/>
    <m/>
    <n v="2"/>
    <x v="5"/>
    <n v="1"/>
    <n v="0"/>
    <n v="0"/>
  </r>
  <r>
    <s v="LD7533"/>
    <d v="2024-12-20T00:00:00"/>
    <x v="3"/>
    <s v="Monthly Newsletter"/>
    <s v="Mobile"/>
    <s v="North America"/>
    <s v="MQL"/>
    <m/>
    <m/>
    <m/>
    <n v="2"/>
    <x v="7"/>
    <n v="1"/>
    <n v="0"/>
    <n v="0"/>
  </r>
  <r>
    <s v="LD2219"/>
    <d v="2024-03-19T00:00:00"/>
    <x v="3"/>
    <s v="Monthly Newsletter"/>
    <s v="Mobile"/>
    <s v="Latin America"/>
    <s v="MQL"/>
    <m/>
    <m/>
    <m/>
    <n v="2"/>
    <x v="8"/>
    <n v="1"/>
    <n v="0"/>
    <n v="0"/>
  </r>
  <r>
    <s v="LD6255"/>
    <d v="2024-10-20T00:00:00"/>
    <x v="2"/>
    <s v="Direct / Type-in"/>
    <s v="Tablet"/>
    <s v="North America"/>
    <s v="MQL"/>
    <m/>
    <m/>
    <m/>
    <n v="2"/>
    <x v="5"/>
    <n v="1"/>
    <n v="0"/>
    <n v="0"/>
  </r>
  <r>
    <s v="LD6512"/>
    <d v="2024-11-16T00:00:00"/>
    <x v="1"/>
    <s v="Google Ads - Brand"/>
    <s v="Mobile"/>
    <s v="North America"/>
    <s v="Lead"/>
    <m/>
    <m/>
    <m/>
    <n v="1"/>
    <x v="2"/>
    <n v="0"/>
    <n v="0"/>
    <n v="0"/>
  </r>
  <r>
    <s v="LD7451"/>
    <d v="2024-12-05T00:00:00"/>
    <x v="3"/>
    <s v="Monthly Newsletter"/>
    <s v="Desktop"/>
    <s v="Latin America"/>
    <s v="Customer"/>
    <n v="13"/>
    <s v="Basic"/>
    <n v="816.79"/>
    <n v="4"/>
    <x v="7"/>
    <n v="1"/>
    <n v="1"/>
    <n v="1"/>
  </r>
  <r>
    <s v="LD2528"/>
    <d v="2024-04-14T00:00:00"/>
    <x v="5"/>
    <s v="Landing Page SEO"/>
    <s v="Desktop"/>
    <s v="Europe"/>
    <s v="Customer"/>
    <n v="59"/>
    <s v="Basic"/>
    <n v="1140.18"/>
    <n v="4"/>
    <x v="1"/>
    <n v="1"/>
    <n v="1"/>
    <n v="1"/>
  </r>
  <r>
    <s v="LD4988"/>
    <d v="2024-08-05T00:00:00"/>
    <x v="2"/>
    <s v="Direct / Type-in"/>
    <s v="Mobile"/>
    <s v="North America"/>
    <s v="Lead"/>
    <m/>
    <m/>
    <m/>
    <n v="1"/>
    <x v="6"/>
    <n v="0"/>
    <n v="0"/>
    <n v="0"/>
  </r>
  <r>
    <s v="LD7694"/>
    <d v="2024-12-20T00:00:00"/>
    <x v="4"/>
    <s v="Affiliate Program"/>
    <s v="Mobile"/>
    <s v="Europe"/>
    <s v="SQL"/>
    <m/>
    <m/>
    <m/>
    <n v="3"/>
    <x v="7"/>
    <n v="1"/>
    <n v="1"/>
    <n v="0"/>
  </r>
  <r>
    <s v="LD2301"/>
    <d v="2024-03-11T00:00:00"/>
    <x v="3"/>
    <s v="Monthly Newsletter"/>
    <s v="Mobile"/>
    <s v="Europe"/>
    <s v="SQL"/>
    <m/>
    <m/>
    <m/>
    <n v="3"/>
    <x v="8"/>
    <n v="1"/>
    <n v="1"/>
    <n v="0"/>
  </r>
  <r>
    <s v="LD7634"/>
    <d v="2024-12-14T00:00:00"/>
    <x v="4"/>
    <s v="Affiliate Program"/>
    <s v="Tablet"/>
    <s v="North America"/>
    <s v="MQL"/>
    <m/>
    <m/>
    <m/>
    <n v="2"/>
    <x v="7"/>
    <n v="1"/>
    <n v="0"/>
    <n v="0"/>
  </r>
  <r>
    <s v="LD6700"/>
    <d v="2024-11-23T00:00:00"/>
    <x v="3"/>
    <s v="Monthly Newsletter"/>
    <s v="Mobile"/>
    <s v="Europe"/>
    <s v="Lead"/>
    <m/>
    <m/>
    <m/>
    <n v="1"/>
    <x v="2"/>
    <n v="0"/>
    <n v="0"/>
    <n v="0"/>
  </r>
  <r>
    <s v="LD1161"/>
    <d v="2024-01-13T00:00:00"/>
    <x v="1"/>
    <s v="Google Ads - Generic"/>
    <s v="Mobile"/>
    <s v="Asia Pacific"/>
    <s v="Lead"/>
    <m/>
    <m/>
    <m/>
    <n v="1"/>
    <x v="3"/>
    <n v="0"/>
    <n v="0"/>
    <n v="0"/>
  </r>
  <r>
    <s v="LD5068"/>
    <d v="2024-09-07T00:00:00"/>
    <x v="5"/>
    <s v="Blog SEO"/>
    <s v="Desktop"/>
    <s v="North America"/>
    <s v="Lead"/>
    <m/>
    <m/>
    <m/>
    <n v="1"/>
    <x v="9"/>
    <n v="0"/>
    <n v="0"/>
    <n v="0"/>
  </r>
  <r>
    <s v="LD6801"/>
    <d v="2024-11-16T00:00:00"/>
    <x v="3"/>
    <s v="Promo Blast"/>
    <s v="Desktop"/>
    <s v="North America"/>
    <s v="SQL"/>
    <m/>
    <m/>
    <m/>
    <n v="3"/>
    <x v="2"/>
    <n v="1"/>
    <n v="1"/>
    <n v="0"/>
  </r>
  <r>
    <s v="LD1957"/>
    <d v="2024-03-14T00:00:00"/>
    <x v="5"/>
    <s v="Landing Page SEO"/>
    <s v="Tablet"/>
    <s v="Europe"/>
    <s v="Lead"/>
    <m/>
    <m/>
    <m/>
    <n v="1"/>
    <x v="8"/>
    <n v="0"/>
    <n v="0"/>
    <n v="0"/>
  </r>
  <r>
    <s v="LD4792"/>
    <d v="2024-08-09T00:00:00"/>
    <x v="3"/>
    <s v="Monthly Newsletter"/>
    <s v="Mobile"/>
    <s v="Europe"/>
    <s v="Lead"/>
    <m/>
    <m/>
    <m/>
    <n v="1"/>
    <x v="6"/>
    <n v="0"/>
    <n v="0"/>
    <n v="0"/>
  </r>
  <r>
    <s v="LD4235"/>
    <d v="2024-07-21T00:00:00"/>
    <x v="0"/>
    <s v="LinkedIn Ads"/>
    <s v="Desktop"/>
    <s v="Latin America"/>
    <s v="Lead"/>
    <m/>
    <m/>
    <m/>
    <n v="1"/>
    <x v="0"/>
    <n v="0"/>
    <n v="0"/>
    <n v="0"/>
  </r>
  <r>
    <s v="LD3870"/>
    <d v="2024-06-12T00:00:00"/>
    <x v="3"/>
    <s v="Monthly Newsletter"/>
    <s v="Desktop"/>
    <s v="Asia Pacific"/>
    <s v="MQL"/>
    <m/>
    <m/>
    <m/>
    <n v="2"/>
    <x v="11"/>
    <n v="1"/>
    <n v="0"/>
    <n v="0"/>
  </r>
  <r>
    <s v="LD4778"/>
    <d v="2024-08-06T00:00:00"/>
    <x v="3"/>
    <s v="Promo Blast"/>
    <s v="Tablet"/>
    <s v="North America"/>
    <s v="Lead"/>
    <m/>
    <m/>
    <m/>
    <n v="1"/>
    <x v="6"/>
    <n v="0"/>
    <n v="0"/>
    <n v="0"/>
  </r>
  <r>
    <s v="LD5434"/>
    <d v="2024-09-18T00:00:00"/>
    <x v="3"/>
    <s v="Monthly Newsletter"/>
    <s v="Desktop"/>
    <s v="North America"/>
    <s v="SQL"/>
    <m/>
    <m/>
    <m/>
    <n v="3"/>
    <x v="9"/>
    <n v="1"/>
    <n v="1"/>
    <n v="0"/>
  </r>
  <r>
    <s v="LD5974"/>
    <d v="2024-10-15T00:00:00"/>
    <x v="3"/>
    <s v="Promo Blast"/>
    <s v="Desktop"/>
    <s v="North America"/>
    <s v="Lead"/>
    <m/>
    <m/>
    <m/>
    <n v="1"/>
    <x v="5"/>
    <n v="0"/>
    <n v="0"/>
    <n v="0"/>
  </r>
  <r>
    <s v="LD7016"/>
    <d v="2024-11-14T00:00:00"/>
    <x v="2"/>
    <s v="Direct / Type-in"/>
    <s v="Desktop"/>
    <s v="Europe"/>
    <s v="Lead"/>
    <m/>
    <m/>
    <m/>
    <n v="1"/>
    <x v="2"/>
    <n v="0"/>
    <n v="0"/>
    <n v="0"/>
  </r>
  <r>
    <s v="LD3962"/>
    <d v="2024-06-23T00:00:00"/>
    <x v="4"/>
    <s v="Partner Program"/>
    <s v="Desktop"/>
    <s v="North America"/>
    <s v="MQL"/>
    <m/>
    <m/>
    <m/>
    <n v="2"/>
    <x v="11"/>
    <n v="1"/>
    <n v="0"/>
    <n v="0"/>
  </r>
  <r>
    <s v="LD6981"/>
    <d v="2024-11-09T00:00:00"/>
    <x v="4"/>
    <s v="Partner Program"/>
    <s v="Mobile"/>
    <s v="North America"/>
    <s v="MQL"/>
    <m/>
    <m/>
    <m/>
    <n v="2"/>
    <x v="2"/>
    <n v="1"/>
    <n v="0"/>
    <n v="0"/>
  </r>
  <r>
    <s v="LD3201"/>
    <d v="2024-05-20T00:00:00"/>
    <x v="1"/>
    <s v="Google Ads - Generic"/>
    <s v="Desktop"/>
    <s v="Asia Pacific"/>
    <s v="Lead"/>
    <m/>
    <m/>
    <m/>
    <n v="1"/>
    <x v="4"/>
    <n v="0"/>
    <n v="0"/>
    <n v="0"/>
  </r>
  <r>
    <s v="LD1099"/>
    <d v="2024-01-24T00:00:00"/>
    <x v="1"/>
    <s v="Google Ads - Brand"/>
    <s v="Mobile"/>
    <s v="North America"/>
    <s v="MQL"/>
    <m/>
    <m/>
    <m/>
    <n v="2"/>
    <x v="3"/>
    <n v="1"/>
    <n v="0"/>
    <n v="0"/>
  </r>
  <r>
    <s v="LD7595"/>
    <d v="2024-12-04T00:00:00"/>
    <x v="3"/>
    <s v="Promo Blast"/>
    <s v="Desktop"/>
    <s v="North America"/>
    <s v="SQL"/>
    <m/>
    <m/>
    <m/>
    <n v="3"/>
    <x v="7"/>
    <n v="1"/>
    <n v="1"/>
    <n v="0"/>
  </r>
  <r>
    <s v="LD3558"/>
    <d v="2024-05-23T00:00:00"/>
    <x v="2"/>
    <s v="Direct / Type-in"/>
    <s v="Desktop"/>
    <s v="North America"/>
    <s v="Lead"/>
    <m/>
    <m/>
    <m/>
    <n v="1"/>
    <x v="4"/>
    <n v="0"/>
    <n v="0"/>
    <n v="0"/>
  </r>
  <r>
    <s v="LD4184"/>
    <d v="2024-07-28T00:00:00"/>
    <x v="1"/>
    <s v="Google Ads - Brand"/>
    <s v="Desktop"/>
    <s v="Europe"/>
    <s v="Lead"/>
    <m/>
    <m/>
    <m/>
    <n v="1"/>
    <x v="0"/>
    <n v="0"/>
    <n v="0"/>
    <n v="0"/>
  </r>
  <r>
    <s v="LD1254"/>
    <d v="2024-01-07T00:00:00"/>
    <x v="3"/>
    <s v="Monthly Newsletter"/>
    <s v="Tablet"/>
    <s v="North America"/>
    <s v="MQL"/>
    <m/>
    <m/>
    <m/>
    <n v="2"/>
    <x v="3"/>
    <n v="1"/>
    <n v="0"/>
    <n v="0"/>
  </r>
  <r>
    <s v="LD4924"/>
    <d v="2024-08-11T00:00:00"/>
    <x v="4"/>
    <s v="Affiliate Program"/>
    <s v="Desktop"/>
    <s v="Europe"/>
    <s v="MQL"/>
    <m/>
    <m/>
    <m/>
    <n v="2"/>
    <x v="6"/>
    <n v="1"/>
    <n v="0"/>
    <n v="0"/>
  </r>
  <r>
    <s v="LD5200"/>
    <d v="2024-09-05T00:00:00"/>
    <x v="1"/>
    <s v="Google Ads - Generic"/>
    <s v="Desktop"/>
    <s v="Asia Pacific"/>
    <s v="Lead"/>
    <m/>
    <m/>
    <m/>
    <n v="1"/>
    <x v="9"/>
    <n v="0"/>
    <n v="0"/>
    <n v="0"/>
  </r>
  <r>
    <s v="LD2446"/>
    <d v="2024-03-05T00:00:00"/>
    <x v="2"/>
    <s v="Direct / Type-in"/>
    <s v="Desktop"/>
    <s v="Asia Pacific"/>
    <s v="Lead"/>
    <m/>
    <m/>
    <m/>
    <n v="1"/>
    <x v="8"/>
    <n v="0"/>
    <n v="0"/>
    <n v="0"/>
  </r>
  <r>
    <s v="LD6540"/>
    <d v="2024-11-24T00:00:00"/>
    <x v="1"/>
    <s v="Google Ads - Brand"/>
    <s v="Mobile"/>
    <s v="Europe"/>
    <s v="Lead"/>
    <m/>
    <m/>
    <m/>
    <n v="1"/>
    <x v="2"/>
    <n v="0"/>
    <n v="0"/>
    <n v="0"/>
  </r>
  <r>
    <s v="LD2649"/>
    <d v="2024-04-01T00:00:00"/>
    <x v="1"/>
    <s v="Google Ads - Generic"/>
    <s v="Mobile"/>
    <s v="Latin America"/>
    <s v="Lead"/>
    <m/>
    <m/>
    <m/>
    <n v="1"/>
    <x v="1"/>
    <n v="0"/>
    <n v="0"/>
    <n v="0"/>
  </r>
  <r>
    <s v="LD5683"/>
    <d v="2024-10-11T00:00:00"/>
    <x v="5"/>
    <s v="Blog SEO"/>
    <s v="Mobile"/>
    <s v="Asia Pacific"/>
    <s v="Lead"/>
    <m/>
    <m/>
    <m/>
    <n v="1"/>
    <x v="5"/>
    <n v="0"/>
    <n v="0"/>
    <n v="0"/>
  </r>
  <r>
    <s v="LD5724"/>
    <d v="2024-10-08T00:00:00"/>
    <x v="5"/>
    <s v="Landing Page SEO"/>
    <s v="Mobile"/>
    <s v="North America"/>
    <s v="MQL"/>
    <m/>
    <m/>
    <m/>
    <n v="2"/>
    <x v="5"/>
    <n v="1"/>
    <n v="0"/>
    <n v="0"/>
  </r>
  <r>
    <s v="LD4992"/>
    <d v="2024-08-21T00:00:00"/>
    <x v="2"/>
    <s v="Direct / Type-in"/>
    <s v="Desktop"/>
    <s v="Asia Pacific"/>
    <s v="MQL"/>
    <m/>
    <m/>
    <m/>
    <n v="2"/>
    <x v="6"/>
    <n v="1"/>
    <n v="0"/>
    <n v="0"/>
  </r>
  <r>
    <s v="LD2697"/>
    <d v="2024-04-22T00:00:00"/>
    <x v="0"/>
    <s v="Instagram Ads"/>
    <s v="Mobile"/>
    <s v="North America"/>
    <s v="Lead"/>
    <m/>
    <m/>
    <m/>
    <n v="1"/>
    <x v="1"/>
    <n v="0"/>
    <n v="0"/>
    <n v="0"/>
  </r>
  <r>
    <s v="LD4192"/>
    <d v="2024-07-25T00:00:00"/>
    <x v="1"/>
    <s v="Google Ads - Generic"/>
    <s v="Mobile"/>
    <s v="Europe"/>
    <s v="SQL"/>
    <m/>
    <m/>
    <m/>
    <n v="3"/>
    <x v="0"/>
    <n v="1"/>
    <n v="1"/>
    <n v="0"/>
  </r>
  <r>
    <s v="LD7198"/>
    <d v="2024-12-26T00:00:00"/>
    <x v="5"/>
    <s v="Landing Page SEO"/>
    <s v="Mobile"/>
    <s v="North America"/>
    <s v="Lead"/>
    <m/>
    <m/>
    <m/>
    <n v="1"/>
    <x v="7"/>
    <n v="0"/>
    <n v="0"/>
    <n v="0"/>
  </r>
  <r>
    <s v="LD7296"/>
    <d v="2024-12-02T00:00:00"/>
    <x v="1"/>
    <s v="Google Ads - Brand"/>
    <s v="Desktop"/>
    <s v="Latin America"/>
    <s v="SQL"/>
    <m/>
    <m/>
    <m/>
    <n v="3"/>
    <x v="7"/>
    <n v="1"/>
    <n v="1"/>
    <n v="0"/>
  </r>
  <r>
    <s v="LD5500"/>
    <d v="2024-09-18T00:00:00"/>
    <x v="4"/>
    <s v="Affiliate Program"/>
    <s v="Desktop"/>
    <s v="Latin America"/>
    <s v="MQL"/>
    <m/>
    <m/>
    <m/>
    <n v="2"/>
    <x v="9"/>
    <n v="1"/>
    <n v="0"/>
    <n v="0"/>
  </r>
  <r>
    <s v="LD2155"/>
    <d v="2024-03-07T00:00:00"/>
    <x v="0"/>
    <s v="Instagram Ads"/>
    <s v="Desktop"/>
    <s v="North America"/>
    <s v="Lead"/>
    <m/>
    <m/>
    <m/>
    <n v="1"/>
    <x v="8"/>
    <n v="0"/>
    <n v="0"/>
    <n v="0"/>
  </r>
  <r>
    <s v="LD3256"/>
    <d v="2024-05-02T00:00:00"/>
    <x v="0"/>
    <s v="LinkedIn Ads"/>
    <s v="Desktop"/>
    <s v="North America"/>
    <s v="MQL"/>
    <m/>
    <m/>
    <m/>
    <n v="2"/>
    <x v="4"/>
    <n v="1"/>
    <n v="0"/>
    <n v="0"/>
  </r>
  <r>
    <s v="LD2683"/>
    <d v="2024-04-05T00:00:00"/>
    <x v="0"/>
    <s v="Instagram Ads"/>
    <s v="Mobile"/>
    <s v="North America"/>
    <s v="Lead"/>
    <m/>
    <m/>
    <m/>
    <n v="1"/>
    <x v="1"/>
    <n v="0"/>
    <n v="0"/>
    <n v="0"/>
  </r>
  <r>
    <s v="LD4171"/>
    <d v="2024-07-01T00:00:00"/>
    <x v="1"/>
    <s v="Google Ads - Generic"/>
    <s v="Desktop"/>
    <s v="Latin America"/>
    <s v="Lead"/>
    <m/>
    <m/>
    <m/>
    <n v="1"/>
    <x v="0"/>
    <n v="0"/>
    <n v="0"/>
    <n v="0"/>
  </r>
  <r>
    <s v="LD3057"/>
    <d v="2024-05-19T00:00:00"/>
    <x v="5"/>
    <s v="Landing Page SEO"/>
    <s v="Desktop"/>
    <s v="North America"/>
    <s v="Lead"/>
    <m/>
    <m/>
    <m/>
    <n v="1"/>
    <x v="4"/>
    <n v="0"/>
    <n v="0"/>
    <n v="0"/>
  </r>
  <r>
    <s v="LD5091"/>
    <d v="2024-09-10T00:00:00"/>
    <x v="5"/>
    <s v="Landing Page SEO"/>
    <s v="Desktop"/>
    <s v="North America"/>
    <s v="MQL"/>
    <m/>
    <m/>
    <m/>
    <n v="2"/>
    <x v="9"/>
    <n v="1"/>
    <n v="0"/>
    <n v="0"/>
  </r>
  <r>
    <s v="LD7615"/>
    <d v="2024-12-25T00:00:00"/>
    <x v="4"/>
    <s v="Affiliate Program"/>
    <s v="Desktop"/>
    <s v="North America"/>
    <s v="Customer"/>
    <n v="48"/>
    <s v="Basic"/>
    <n v="1387.69"/>
    <n v="4"/>
    <x v="7"/>
    <n v="1"/>
    <n v="1"/>
    <n v="1"/>
  </r>
  <r>
    <s v="LD4109"/>
    <d v="2024-07-06T00:00:00"/>
    <x v="5"/>
    <s v="Blog SEO"/>
    <s v="Desktop"/>
    <s v="Europe"/>
    <s v="Lead"/>
    <m/>
    <m/>
    <m/>
    <n v="1"/>
    <x v="0"/>
    <n v="0"/>
    <n v="0"/>
    <n v="0"/>
  </r>
  <r>
    <s v="LD5549"/>
    <d v="2024-09-07T00:00:00"/>
    <x v="2"/>
    <s v="Direct / Type-in"/>
    <s v="Desktop"/>
    <s v="Europe"/>
    <s v="MQL"/>
    <m/>
    <m/>
    <m/>
    <n v="2"/>
    <x v="9"/>
    <n v="1"/>
    <n v="0"/>
    <n v="0"/>
  </r>
  <r>
    <s v="LD4724"/>
    <d v="2024-08-26T00:00:00"/>
    <x v="0"/>
    <s v="Instagram Ads"/>
    <s v="Desktop"/>
    <s v="Asia Pacific"/>
    <s v="MQL"/>
    <m/>
    <m/>
    <m/>
    <n v="2"/>
    <x v="6"/>
    <n v="1"/>
    <n v="0"/>
    <n v="0"/>
  </r>
  <r>
    <s v="LD7398"/>
    <d v="2024-12-19T00:00:00"/>
    <x v="0"/>
    <s v="LinkedIn Ads"/>
    <s v="Mobile"/>
    <s v="North America"/>
    <s v="Lead"/>
    <m/>
    <m/>
    <m/>
    <n v="1"/>
    <x v="7"/>
    <n v="0"/>
    <n v="0"/>
    <n v="0"/>
  </r>
  <r>
    <s v="LD6424"/>
    <d v="2024-11-14T00:00:00"/>
    <x v="5"/>
    <s v="Landing Page SEO"/>
    <s v="Mobile"/>
    <s v="Europe"/>
    <s v="Lead"/>
    <m/>
    <m/>
    <m/>
    <n v="1"/>
    <x v="2"/>
    <n v="0"/>
    <n v="0"/>
    <n v="0"/>
  </r>
  <r>
    <s v="LD3050"/>
    <d v="2024-05-24T00:00:00"/>
    <x v="5"/>
    <s v="Landing Page SEO"/>
    <s v="Desktop"/>
    <s v="Europe"/>
    <s v="Lead"/>
    <m/>
    <m/>
    <m/>
    <n v="1"/>
    <x v="4"/>
    <n v="0"/>
    <n v="0"/>
    <n v="0"/>
  </r>
  <r>
    <s v="LD5977"/>
    <d v="2024-10-04T00:00:00"/>
    <x v="3"/>
    <s v="Monthly Newsletter"/>
    <s v="Desktop"/>
    <s v="North America"/>
    <s v="Customer"/>
    <n v="63"/>
    <s v="Basic"/>
    <n v="1021.05"/>
    <n v="4"/>
    <x v="5"/>
    <n v="1"/>
    <n v="1"/>
    <n v="1"/>
  </r>
  <r>
    <s v="LD4644"/>
    <d v="2024-08-10T00:00:00"/>
    <x v="1"/>
    <s v="Google Ads - Brand"/>
    <s v="Desktop"/>
    <s v="North America"/>
    <s v="MQL"/>
    <m/>
    <m/>
    <m/>
    <n v="2"/>
    <x v="6"/>
    <n v="1"/>
    <n v="0"/>
    <n v="0"/>
  </r>
  <r>
    <s v="LD7689"/>
    <d v="2024-12-24T00:00:00"/>
    <x v="4"/>
    <s v="Partner Program"/>
    <s v="Mobile"/>
    <s v="Asia Pacific"/>
    <s v="SQL"/>
    <m/>
    <m/>
    <m/>
    <n v="3"/>
    <x v="7"/>
    <n v="1"/>
    <n v="1"/>
    <n v="0"/>
  </r>
  <r>
    <s v="LD1624"/>
    <d v="2024-02-26T00:00:00"/>
    <x v="1"/>
    <s v="Google Ads - Generic"/>
    <s v="Desktop"/>
    <s v="North America"/>
    <s v="Lead"/>
    <m/>
    <m/>
    <m/>
    <n v="1"/>
    <x v="10"/>
    <n v="0"/>
    <n v="0"/>
    <n v="0"/>
  </r>
  <r>
    <s v="LD7525"/>
    <d v="2024-12-15T00:00:00"/>
    <x v="3"/>
    <s v="Promo Blast"/>
    <s v="Desktop"/>
    <s v="Asia Pacific"/>
    <s v="Customer"/>
    <n v="56"/>
    <s v="Pro"/>
    <n v="2048.56"/>
    <n v="4"/>
    <x v="7"/>
    <n v="1"/>
    <n v="1"/>
    <n v="1"/>
  </r>
  <r>
    <s v="LD6884"/>
    <d v="2024-11-21T00:00:00"/>
    <x v="3"/>
    <s v="Monthly Newsletter"/>
    <s v="Desktop"/>
    <s v="Asia Pacific"/>
    <s v="Lead"/>
    <m/>
    <m/>
    <m/>
    <n v="1"/>
    <x v="2"/>
    <n v="0"/>
    <n v="0"/>
    <n v="0"/>
  </r>
  <r>
    <s v="LD1263"/>
    <d v="2024-01-28T00:00:00"/>
    <x v="3"/>
    <s v="Monthly Newsletter"/>
    <s v="Desktop"/>
    <s v="Asia Pacific"/>
    <s v="MQL"/>
    <m/>
    <m/>
    <m/>
    <n v="2"/>
    <x v="3"/>
    <n v="1"/>
    <n v="0"/>
    <n v="0"/>
  </r>
  <r>
    <s v="LD6731"/>
    <d v="2024-11-11T00:00:00"/>
    <x v="3"/>
    <s v="Monthly Newsletter"/>
    <s v="Desktop"/>
    <s v="Europe"/>
    <s v="Lead"/>
    <m/>
    <m/>
    <m/>
    <n v="1"/>
    <x v="2"/>
    <n v="0"/>
    <n v="0"/>
    <n v="0"/>
  </r>
  <r>
    <s v="LD4370"/>
    <d v="2024-07-14T00:00:00"/>
    <x v="3"/>
    <s v="Promo Blast"/>
    <s v="Mobile"/>
    <s v="Europe"/>
    <s v="Lead"/>
    <m/>
    <m/>
    <m/>
    <n v="1"/>
    <x v="0"/>
    <n v="0"/>
    <n v="0"/>
    <n v="0"/>
  </r>
  <r>
    <s v="LD5062"/>
    <d v="2024-09-27T00:00:00"/>
    <x v="5"/>
    <s v="Landing Page SEO"/>
    <s v="Desktop"/>
    <s v="North America"/>
    <s v="Lead"/>
    <m/>
    <m/>
    <m/>
    <n v="1"/>
    <x v="9"/>
    <n v="0"/>
    <n v="0"/>
    <n v="0"/>
  </r>
  <r>
    <s v="LD6535"/>
    <d v="2024-11-16T00:00:00"/>
    <x v="1"/>
    <s v="Google Ads - Brand"/>
    <s v="Mobile"/>
    <s v="Europe"/>
    <s v="SQL"/>
    <m/>
    <m/>
    <m/>
    <n v="3"/>
    <x v="2"/>
    <n v="1"/>
    <n v="1"/>
    <n v="0"/>
  </r>
  <r>
    <s v="LD7295"/>
    <d v="2024-12-13T00:00:00"/>
    <x v="1"/>
    <s v="Google Ads - Generic"/>
    <s v="Desktop"/>
    <s v="North America"/>
    <s v="Lead"/>
    <m/>
    <m/>
    <m/>
    <n v="1"/>
    <x v="7"/>
    <n v="0"/>
    <n v="0"/>
    <n v="0"/>
  </r>
  <r>
    <s v="LD7066"/>
    <d v="2024-11-11T00:00:00"/>
    <x v="2"/>
    <s v="Direct / Type-in"/>
    <s v="Desktop"/>
    <s v="North America"/>
    <s v="Lead"/>
    <m/>
    <m/>
    <m/>
    <n v="1"/>
    <x v="2"/>
    <n v="0"/>
    <n v="0"/>
    <n v="0"/>
  </r>
  <r>
    <s v="LD2803"/>
    <d v="2024-04-24T00:00:00"/>
    <x v="3"/>
    <s v="Monthly Newsletter"/>
    <s v="Mobile"/>
    <s v="Europe"/>
    <s v="Customer"/>
    <n v="22"/>
    <s v="Basic"/>
    <n v="747.21"/>
    <n v="4"/>
    <x v="1"/>
    <n v="1"/>
    <n v="1"/>
    <n v="1"/>
  </r>
  <r>
    <s v="LD5737"/>
    <d v="2024-10-21T00:00:00"/>
    <x v="1"/>
    <s v="Google Ads - Brand"/>
    <s v="Mobile"/>
    <s v="North America"/>
    <s v="Lead"/>
    <m/>
    <m/>
    <m/>
    <n v="1"/>
    <x v="5"/>
    <n v="0"/>
    <n v="0"/>
    <n v="0"/>
  </r>
  <r>
    <s v="LD7769"/>
    <d v="2024-12-22T00:00:00"/>
    <x v="2"/>
    <s v="Direct / Type-in"/>
    <s v="Tablet"/>
    <s v="North America"/>
    <s v="Lead"/>
    <m/>
    <m/>
    <m/>
    <n v="1"/>
    <x v="7"/>
    <n v="0"/>
    <n v="0"/>
    <n v="0"/>
  </r>
  <r>
    <s v="LD3386"/>
    <d v="2024-05-05T00:00:00"/>
    <x v="3"/>
    <s v="Promo Blast"/>
    <s v="Desktop"/>
    <s v="North America"/>
    <s v="MQL"/>
    <m/>
    <m/>
    <m/>
    <n v="2"/>
    <x v="4"/>
    <n v="1"/>
    <n v="0"/>
    <n v="0"/>
  </r>
  <r>
    <s v="LD6760"/>
    <d v="2024-11-12T00:00:00"/>
    <x v="3"/>
    <s v="Monthly Newsletter"/>
    <s v="Desktop"/>
    <s v="North America"/>
    <s v="Lead"/>
    <m/>
    <m/>
    <m/>
    <n v="1"/>
    <x v="2"/>
    <n v="0"/>
    <n v="0"/>
    <n v="0"/>
  </r>
  <r>
    <s v="LD2960"/>
    <d v="2024-04-01T00:00:00"/>
    <x v="2"/>
    <s v="Direct / Type-in"/>
    <s v="Mobile"/>
    <s v="North America"/>
    <s v="MQL"/>
    <m/>
    <m/>
    <m/>
    <n v="2"/>
    <x v="1"/>
    <n v="1"/>
    <n v="0"/>
    <n v="0"/>
  </r>
  <r>
    <s v="LD3977"/>
    <d v="2024-06-14T00:00:00"/>
    <x v="4"/>
    <s v="Affiliate Program"/>
    <s v="Mobile"/>
    <s v="Europe"/>
    <s v="Lead"/>
    <m/>
    <m/>
    <m/>
    <n v="1"/>
    <x v="11"/>
    <n v="0"/>
    <n v="0"/>
    <n v="0"/>
  </r>
  <r>
    <s v="LD1489"/>
    <d v="2024-02-09T00:00:00"/>
    <x v="5"/>
    <s v="Blog SEO"/>
    <s v="Desktop"/>
    <s v="Latin America"/>
    <s v="Lead"/>
    <m/>
    <m/>
    <m/>
    <n v="1"/>
    <x v="10"/>
    <n v="0"/>
    <n v="0"/>
    <n v="0"/>
  </r>
  <r>
    <s v="LD2844"/>
    <d v="2024-04-08T00:00:00"/>
    <x v="3"/>
    <s v="Monthly Newsletter"/>
    <s v="Tablet"/>
    <s v="North America"/>
    <s v="Lead"/>
    <m/>
    <m/>
    <m/>
    <n v="1"/>
    <x v="1"/>
    <n v="0"/>
    <n v="0"/>
    <n v="0"/>
  </r>
  <r>
    <s v="LD2735"/>
    <d v="2024-04-26T00:00:00"/>
    <x v="3"/>
    <s v="Monthly Newsletter"/>
    <s v="Desktop"/>
    <s v="North America"/>
    <s v="Lead"/>
    <m/>
    <m/>
    <m/>
    <n v="1"/>
    <x v="1"/>
    <n v="0"/>
    <n v="0"/>
    <n v="0"/>
  </r>
  <r>
    <s v="LD3912"/>
    <d v="2024-06-05T00:00:00"/>
    <x v="4"/>
    <s v="Partner Program"/>
    <s v="Mobile"/>
    <s v="North America"/>
    <s v="MQL"/>
    <m/>
    <m/>
    <m/>
    <n v="2"/>
    <x v="11"/>
    <n v="1"/>
    <n v="0"/>
    <n v="0"/>
  </r>
  <r>
    <s v="LD4220"/>
    <d v="2024-07-22T00:00:00"/>
    <x v="0"/>
    <s v="Facebook Ads"/>
    <s v="Mobile"/>
    <s v="North America"/>
    <s v="MQL"/>
    <m/>
    <m/>
    <m/>
    <n v="2"/>
    <x v="0"/>
    <n v="1"/>
    <n v="0"/>
    <n v="0"/>
  </r>
  <r>
    <s v="LD1147"/>
    <d v="2024-01-16T00:00:00"/>
    <x v="1"/>
    <s v="Google Ads - Generic"/>
    <s v="Desktop"/>
    <s v="North America"/>
    <s v="Lead"/>
    <m/>
    <m/>
    <m/>
    <n v="1"/>
    <x v="3"/>
    <n v="0"/>
    <n v="0"/>
    <n v="0"/>
  </r>
  <r>
    <s v="LD6631"/>
    <d v="2024-11-08T00:00:00"/>
    <x v="0"/>
    <s v="Instagram Ads"/>
    <s v="Desktop"/>
    <s v="Europe"/>
    <s v="MQL"/>
    <m/>
    <m/>
    <m/>
    <n v="2"/>
    <x v="2"/>
    <n v="1"/>
    <n v="0"/>
    <n v="0"/>
  </r>
  <r>
    <s v="LD2987"/>
    <d v="2024-04-22T00:00:00"/>
    <x v="2"/>
    <s v="Direct / Type-in"/>
    <s v="Desktop"/>
    <s v="Asia Pacific"/>
    <s v="Lead"/>
    <m/>
    <m/>
    <m/>
    <n v="1"/>
    <x v="1"/>
    <n v="0"/>
    <n v="0"/>
    <n v="0"/>
  </r>
  <r>
    <s v="LD2370"/>
    <d v="2024-03-23T00:00:00"/>
    <x v="4"/>
    <s v="Affiliate Program"/>
    <s v="Desktop"/>
    <s v="North America"/>
    <s v="MQL"/>
    <m/>
    <m/>
    <m/>
    <n v="2"/>
    <x v="8"/>
    <n v="1"/>
    <n v="0"/>
    <n v="0"/>
  </r>
  <r>
    <s v="LD7052"/>
    <d v="2024-11-27T00:00:00"/>
    <x v="2"/>
    <s v="Direct / Type-in"/>
    <s v="Mobile"/>
    <s v="North America"/>
    <s v="MQL"/>
    <m/>
    <m/>
    <m/>
    <n v="2"/>
    <x v="2"/>
    <n v="1"/>
    <n v="0"/>
    <n v="0"/>
  </r>
  <r>
    <s v="LD3812"/>
    <d v="2024-06-06T00:00:00"/>
    <x v="3"/>
    <s v="Monthly Newsletter"/>
    <s v="Tablet"/>
    <s v="North America"/>
    <s v="MQL"/>
    <m/>
    <m/>
    <m/>
    <n v="2"/>
    <x v="11"/>
    <n v="1"/>
    <n v="0"/>
    <n v="0"/>
  </r>
  <r>
    <s v="LD1660"/>
    <d v="2024-02-17T00:00:00"/>
    <x v="0"/>
    <s v="Instagram Ads"/>
    <s v="Mobile"/>
    <s v="Europe"/>
    <s v="MQL"/>
    <m/>
    <m/>
    <m/>
    <n v="2"/>
    <x v="10"/>
    <n v="1"/>
    <n v="0"/>
    <n v="0"/>
  </r>
  <r>
    <s v="LD2795"/>
    <d v="2024-04-11T00:00:00"/>
    <x v="3"/>
    <s v="Promo Blast"/>
    <s v="Desktop"/>
    <s v="North America"/>
    <s v="Customer"/>
    <n v="10"/>
    <s v="Enterprise"/>
    <n v="11313.78"/>
    <n v="4"/>
    <x v="1"/>
    <n v="1"/>
    <n v="1"/>
    <n v="1"/>
  </r>
  <r>
    <s v="LD3512"/>
    <d v="2024-05-26T00:00:00"/>
    <x v="2"/>
    <s v="Direct / Type-in"/>
    <s v="Mobile"/>
    <s v="North America"/>
    <s v="Lead"/>
    <m/>
    <m/>
    <m/>
    <n v="1"/>
    <x v="4"/>
    <n v="0"/>
    <n v="0"/>
    <n v="0"/>
  </r>
  <r>
    <s v="LD4398"/>
    <d v="2024-07-02T00:00:00"/>
    <x v="4"/>
    <s v="Partner Program"/>
    <s v="Mobile"/>
    <s v="North America"/>
    <s v="SQL"/>
    <m/>
    <m/>
    <m/>
    <n v="3"/>
    <x v="0"/>
    <n v="1"/>
    <n v="1"/>
    <n v="0"/>
  </r>
  <r>
    <s v="LD5283"/>
    <d v="2024-09-12T00:00:00"/>
    <x v="0"/>
    <s v="LinkedIn Ads"/>
    <s v="Mobile"/>
    <s v="Europe"/>
    <s v="Lead"/>
    <m/>
    <m/>
    <m/>
    <n v="1"/>
    <x v="9"/>
    <n v="0"/>
    <n v="0"/>
    <n v="0"/>
  </r>
  <r>
    <s v="LD2148"/>
    <d v="2024-03-28T00:00:00"/>
    <x v="0"/>
    <s v="Instagram Ads"/>
    <s v="Desktop"/>
    <s v="North America"/>
    <s v="Lead"/>
    <m/>
    <m/>
    <m/>
    <n v="1"/>
    <x v="8"/>
    <n v="0"/>
    <n v="0"/>
    <n v="0"/>
  </r>
  <r>
    <s v="LD4273"/>
    <d v="2024-07-16T00:00:00"/>
    <x v="3"/>
    <s v="Monthly Newsletter"/>
    <s v="Mobile"/>
    <s v="North America"/>
    <s v="MQL"/>
    <m/>
    <m/>
    <m/>
    <n v="2"/>
    <x v="0"/>
    <n v="1"/>
    <n v="0"/>
    <n v="0"/>
  </r>
  <r>
    <s v="LD1609"/>
    <d v="2024-02-16T00:00:00"/>
    <x v="1"/>
    <s v="Google Ads - Generic"/>
    <s v="Mobile"/>
    <s v="North America"/>
    <s v="Lead"/>
    <m/>
    <m/>
    <m/>
    <n v="1"/>
    <x v="10"/>
    <n v="0"/>
    <n v="0"/>
    <n v="0"/>
  </r>
  <r>
    <s v="LD7288"/>
    <d v="2024-12-12T00:00:00"/>
    <x v="1"/>
    <s v="Google Ads - Brand"/>
    <s v="Mobile"/>
    <s v="Europe"/>
    <s v="SQL"/>
    <m/>
    <m/>
    <m/>
    <n v="3"/>
    <x v="7"/>
    <n v="1"/>
    <n v="1"/>
    <n v="0"/>
  </r>
  <r>
    <s v="LD4583"/>
    <d v="2024-08-01T00:00:00"/>
    <x v="1"/>
    <s v="Google Ads - Generic"/>
    <s v="Mobile"/>
    <s v="North America"/>
    <s v="MQL"/>
    <m/>
    <m/>
    <m/>
    <n v="2"/>
    <x v="6"/>
    <n v="1"/>
    <n v="0"/>
    <n v="0"/>
  </r>
  <r>
    <s v="LD2931"/>
    <d v="2024-04-20T00:00:00"/>
    <x v="4"/>
    <s v="Affiliate Program"/>
    <s v="Desktop"/>
    <s v="Europe"/>
    <s v="Lead"/>
    <m/>
    <m/>
    <m/>
    <n v="1"/>
    <x v="1"/>
    <n v="0"/>
    <n v="0"/>
    <n v="0"/>
  </r>
  <r>
    <s v="LD1198"/>
    <d v="2024-01-05T00:00:00"/>
    <x v="0"/>
    <s v="LinkedIn Ads"/>
    <s v="Desktop"/>
    <s v="North America"/>
    <s v="Lead"/>
    <m/>
    <m/>
    <m/>
    <n v="1"/>
    <x v="3"/>
    <n v="0"/>
    <n v="0"/>
    <n v="0"/>
  </r>
  <r>
    <s v="LD3932"/>
    <d v="2024-06-03T00:00:00"/>
    <x v="4"/>
    <s v="Partner Program"/>
    <s v="Desktop"/>
    <s v="Europe"/>
    <s v="Lead"/>
    <m/>
    <m/>
    <m/>
    <n v="1"/>
    <x v="11"/>
    <n v="0"/>
    <n v="0"/>
    <n v="0"/>
  </r>
  <r>
    <s v="LD3328"/>
    <d v="2024-05-16T00:00:00"/>
    <x v="3"/>
    <s v="Promo Blast"/>
    <s v="Mobile"/>
    <s v="Latin America"/>
    <s v="Lead"/>
    <m/>
    <m/>
    <m/>
    <n v="1"/>
    <x v="4"/>
    <n v="0"/>
    <n v="0"/>
    <n v="0"/>
  </r>
  <r>
    <s v="LD5390"/>
    <d v="2024-09-12T00:00:00"/>
    <x v="3"/>
    <s v="Monthly Newsletter"/>
    <s v="Desktop"/>
    <s v="Europe"/>
    <s v="Lead"/>
    <m/>
    <m/>
    <m/>
    <n v="1"/>
    <x v="9"/>
    <n v="0"/>
    <n v="0"/>
    <n v="0"/>
  </r>
  <r>
    <s v="LD1767"/>
    <d v="2024-02-16T00:00:00"/>
    <x v="3"/>
    <s v="Monthly Newsletter"/>
    <s v="Mobile"/>
    <s v="Europe"/>
    <s v="SQL"/>
    <m/>
    <m/>
    <m/>
    <n v="3"/>
    <x v="10"/>
    <n v="1"/>
    <n v="1"/>
    <n v="0"/>
  </r>
  <r>
    <s v="LD5497"/>
    <d v="2024-09-04T00:00:00"/>
    <x v="4"/>
    <s v="Partner Program"/>
    <s v="Mobile"/>
    <s v="North America"/>
    <s v="Lead"/>
    <m/>
    <m/>
    <m/>
    <n v="1"/>
    <x v="9"/>
    <n v="0"/>
    <n v="0"/>
    <n v="0"/>
  </r>
  <r>
    <s v="LD5219"/>
    <d v="2024-09-05T00:00:00"/>
    <x v="1"/>
    <s v="Google Ads - Brand"/>
    <s v="Desktop"/>
    <s v="Europe"/>
    <s v="MQL"/>
    <m/>
    <m/>
    <m/>
    <n v="2"/>
    <x v="9"/>
    <n v="1"/>
    <n v="0"/>
    <n v="0"/>
  </r>
  <r>
    <s v="LD4256"/>
    <d v="2024-07-22T00:00:00"/>
    <x v="0"/>
    <s v="Instagram Ads"/>
    <s v="Desktop"/>
    <s v="North America"/>
    <s v="Lead"/>
    <m/>
    <m/>
    <m/>
    <n v="1"/>
    <x v="0"/>
    <n v="0"/>
    <n v="0"/>
    <n v="0"/>
  </r>
  <r>
    <s v="LD1203"/>
    <d v="2024-01-28T00:00:00"/>
    <x v="0"/>
    <s v="LinkedIn Ads"/>
    <s v="Desktop"/>
    <s v="Europe"/>
    <s v="Lead"/>
    <m/>
    <m/>
    <m/>
    <n v="1"/>
    <x v="3"/>
    <n v="0"/>
    <n v="0"/>
    <n v="0"/>
  </r>
  <r>
    <s v="LD4511"/>
    <d v="2024-08-05T00:00:00"/>
    <x v="5"/>
    <s v="Landing Page SEO"/>
    <s v="Tablet"/>
    <s v="Europe"/>
    <s v="MQL"/>
    <m/>
    <m/>
    <m/>
    <n v="2"/>
    <x v="6"/>
    <n v="1"/>
    <n v="0"/>
    <n v="0"/>
  </r>
  <r>
    <s v="LD5932"/>
    <d v="2024-10-26T00:00:00"/>
    <x v="0"/>
    <s v="Facebook Ads"/>
    <s v="Desktop"/>
    <s v="North America"/>
    <s v="Lead"/>
    <m/>
    <m/>
    <m/>
    <n v="1"/>
    <x v="5"/>
    <n v="0"/>
    <n v="0"/>
    <n v="0"/>
  </r>
  <r>
    <s v="LD7391"/>
    <d v="2024-12-14T00:00:00"/>
    <x v="0"/>
    <s v="Facebook Ads"/>
    <s v="Mobile"/>
    <s v="Europe"/>
    <s v="MQL"/>
    <m/>
    <m/>
    <m/>
    <n v="2"/>
    <x v="7"/>
    <n v="1"/>
    <n v="0"/>
    <n v="0"/>
  </r>
  <r>
    <s v="LD6536"/>
    <d v="2024-11-09T00:00:00"/>
    <x v="1"/>
    <s v="Google Ads - Generic"/>
    <s v="Desktop"/>
    <s v="North America"/>
    <s v="Lead"/>
    <m/>
    <m/>
    <m/>
    <n v="1"/>
    <x v="2"/>
    <n v="0"/>
    <n v="0"/>
    <n v="0"/>
  </r>
  <r>
    <s v="LD2734"/>
    <d v="2024-04-21T00:00:00"/>
    <x v="0"/>
    <s v="LinkedIn Ads"/>
    <s v="Desktop"/>
    <s v="North America"/>
    <s v="MQL"/>
    <m/>
    <m/>
    <m/>
    <n v="2"/>
    <x v="1"/>
    <n v="1"/>
    <n v="0"/>
    <n v="0"/>
  </r>
  <r>
    <s v="LD6792"/>
    <d v="2024-11-24T00:00:00"/>
    <x v="3"/>
    <s v="Monthly Newsletter"/>
    <s v="Desktop"/>
    <s v="Europe"/>
    <s v="MQL"/>
    <m/>
    <m/>
    <m/>
    <n v="2"/>
    <x v="2"/>
    <n v="1"/>
    <n v="0"/>
    <n v="0"/>
  </r>
  <r>
    <s v="LD3778"/>
    <d v="2024-06-20T00:00:00"/>
    <x v="0"/>
    <s v="LinkedIn Ads"/>
    <s v="Desktop"/>
    <s v="North America"/>
    <s v="Lead"/>
    <m/>
    <m/>
    <m/>
    <n v="1"/>
    <x v="11"/>
    <n v="0"/>
    <n v="0"/>
    <n v="0"/>
  </r>
  <r>
    <s v="LD2708"/>
    <d v="2024-04-25T00:00:00"/>
    <x v="0"/>
    <s v="LinkedIn Ads"/>
    <s v="Mobile"/>
    <s v="Asia Pacific"/>
    <s v="MQL"/>
    <m/>
    <m/>
    <m/>
    <n v="2"/>
    <x v="1"/>
    <n v="1"/>
    <n v="0"/>
    <n v="0"/>
  </r>
  <r>
    <s v="LD6173"/>
    <d v="2024-10-22T00:00:00"/>
    <x v="4"/>
    <s v="Partner Program"/>
    <s v="Desktop"/>
    <s v="North America"/>
    <s v="SQL"/>
    <m/>
    <m/>
    <m/>
    <n v="3"/>
    <x v="5"/>
    <n v="1"/>
    <n v="1"/>
    <n v="0"/>
  </r>
  <r>
    <s v="LD6250"/>
    <d v="2024-10-03T00:00:00"/>
    <x v="2"/>
    <s v="Direct / Type-in"/>
    <s v="Desktop"/>
    <s v="North America"/>
    <s v="MQL"/>
    <m/>
    <m/>
    <m/>
    <n v="2"/>
    <x v="5"/>
    <n v="1"/>
    <n v="0"/>
    <n v="0"/>
  </r>
  <r>
    <s v="LD6758"/>
    <d v="2024-11-19T00:00:00"/>
    <x v="3"/>
    <s v="Monthly Newsletter"/>
    <s v="Desktop"/>
    <s v="North America"/>
    <s v="MQL"/>
    <m/>
    <m/>
    <m/>
    <n v="2"/>
    <x v="2"/>
    <n v="1"/>
    <n v="0"/>
    <n v="0"/>
  </r>
  <r>
    <s v="LD4475"/>
    <d v="2024-07-22T00:00:00"/>
    <x v="2"/>
    <s v="Direct / Type-in"/>
    <s v="Desktop"/>
    <s v="Asia Pacific"/>
    <s v="Lead"/>
    <m/>
    <m/>
    <m/>
    <n v="1"/>
    <x v="0"/>
    <n v="0"/>
    <n v="0"/>
    <n v="0"/>
  </r>
  <r>
    <s v="LD7529"/>
    <d v="2024-12-07T00:00:00"/>
    <x v="3"/>
    <s v="Monthly Newsletter"/>
    <s v="Mobile"/>
    <s v="Europe"/>
    <s v="SQL"/>
    <m/>
    <m/>
    <m/>
    <n v="3"/>
    <x v="7"/>
    <n v="1"/>
    <n v="1"/>
    <n v="0"/>
  </r>
  <r>
    <s v="LD6856"/>
    <d v="2024-11-02T00:00:00"/>
    <x v="3"/>
    <s v="Promo Blast"/>
    <s v="Desktop"/>
    <s v="North America"/>
    <s v="MQL"/>
    <m/>
    <m/>
    <m/>
    <n v="2"/>
    <x v="2"/>
    <n v="1"/>
    <n v="0"/>
    <n v="0"/>
  </r>
  <r>
    <s v="LD1855"/>
    <d v="2024-02-26T00:00:00"/>
    <x v="4"/>
    <s v="Affiliate Program"/>
    <s v="Mobile"/>
    <s v="North America"/>
    <s v="Lead"/>
    <m/>
    <m/>
    <m/>
    <n v="1"/>
    <x v="10"/>
    <n v="0"/>
    <n v="0"/>
    <n v="0"/>
  </r>
  <r>
    <s v="LD6686"/>
    <d v="2024-11-04T00:00:00"/>
    <x v="0"/>
    <s v="LinkedIn Ads"/>
    <s v="Mobile"/>
    <s v="North America"/>
    <s v="Lead"/>
    <m/>
    <m/>
    <m/>
    <n v="1"/>
    <x v="2"/>
    <n v="0"/>
    <n v="0"/>
    <n v="0"/>
  </r>
  <r>
    <s v="LD7364"/>
    <d v="2024-12-28T00:00:00"/>
    <x v="0"/>
    <s v="Instagram Ads"/>
    <s v="Mobile"/>
    <s v="North America"/>
    <s v="SQL"/>
    <m/>
    <m/>
    <m/>
    <n v="3"/>
    <x v="7"/>
    <n v="1"/>
    <n v="1"/>
    <n v="0"/>
  </r>
  <r>
    <s v="LD5738"/>
    <d v="2024-10-24T00:00:00"/>
    <x v="1"/>
    <s v="Google Ads - Generic"/>
    <s v="Desktop"/>
    <s v="Asia Pacific"/>
    <s v="Lead"/>
    <m/>
    <m/>
    <m/>
    <n v="1"/>
    <x v="5"/>
    <n v="0"/>
    <n v="0"/>
    <n v="0"/>
  </r>
  <r>
    <s v="LD5098"/>
    <d v="2024-09-13T00:00:00"/>
    <x v="5"/>
    <s v="Blog SEO"/>
    <s v="Desktop"/>
    <s v="North America"/>
    <s v="Lead"/>
    <m/>
    <m/>
    <m/>
    <n v="1"/>
    <x v="9"/>
    <n v="0"/>
    <n v="0"/>
    <n v="0"/>
  </r>
  <r>
    <s v="LD3161"/>
    <d v="2024-05-17T00:00:00"/>
    <x v="1"/>
    <s v="Google Ads - Brand"/>
    <s v="Desktop"/>
    <s v="North America"/>
    <s v="Lead"/>
    <m/>
    <m/>
    <m/>
    <n v="1"/>
    <x v="4"/>
    <n v="0"/>
    <n v="0"/>
    <n v="0"/>
  </r>
  <r>
    <s v="LD1699"/>
    <d v="2024-02-18T00:00:00"/>
    <x v="0"/>
    <s v="Instagram Ads"/>
    <s v="Tablet"/>
    <s v="North America"/>
    <s v="Lead"/>
    <m/>
    <m/>
    <m/>
    <n v="1"/>
    <x v="10"/>
    <n v="0"/>
    <n v="0"/>
    <n v="0"/>
  </r>
  <r>
    <s v="LD7713"/>
    <d v="2024-12-09T00:00:00"/>
    <x v="2"/>
    <s v="Direct / Type-in"/>
    <s v="Desktop"/>
    <s v="Europe"/>
    <s v="MQL"/>
    <m/>
    <m/>
    <m/>
    <n v="2"/>
    <x v="7"/>
    <n v="1"/>
    <n v="0"/>
    <n v="0"/>
  </r>
  <r>
    <s v="LD4000"/>
    <d v="2024-06-06T00:00:00"/>
    <x v="2"/>
    <s v="Direct / Type-in"/>
    <s v="Desktop"/>
    <s v="North America"/>
    <s v="MQL"/>
    <m/>
    <m/>
    <m/>
    <n v="2"/>
    <x v="11"/>
    <n v="1"/>
    <n v="0"/>
    <n v="0"/>
  </r>
  <r>
    <s v="LD4697"/>
    <d v="2024-08-08T00:00:00"/>
    <x v="0"/>
    <s v="Facebook Ads"/>
    <s v="Desktop"/>
    <s v="Latin America"/>
    <s v="SQL"/>
    <m/>
    <m/>
    <m/>
    <n v="3"/>
    <x v="6"/>
    <n v="1"/>
    <n v="1"/>
    <n v="0"/>
  </r>
  <r>
    <s v="LD2637"/>
    <d v="2024-04-02T00:00:00"/>
    <x v="1"/>
    <s v="Google Ads - Brand"/>
    <s v="Desktop"/>
    <s v="North America"/>
    <s v="Lead"/>
    <m/>
    <m/>
    <m/>
    <n v="1"/>
    <x v="1"/>
    <n v="0"/>
    <n v="0"/>
    <n v="0"/>
  </r>
  <r>
    <s v="LD4458"/>
    <d v="2024-07-11T00:00:00"/>
    <x v="2"/>
    <s v="Direct / Type-in"/>
    <s v="Mobile"/>
    <s v="Europe"/>
    <s v="Lead"/>
    <m/>
    <m/>
    <m/>
    <n v="1"/>
    <x v="0"/>
    <n v="0"/>
    <n v="0"/>
    <n v="0"/>
  </r>
  <r>
    <s v="LD4582"/>
    <d v="2024-08-27T00:00:00"/>
    <x v="1"/>
    <s v="Google Ads - Generic"/>
    <s v="Mobile"/>
    <s v="Asia Pacific"/>
    <s v="SQL"/>
    <m/>
    <m/>
    <m/>
    <n v="3"/>
    <x v="6"/>
    <n v="1"/>
    <n v="1"/>
    <n v="0"/>
  </r>
  <r>
    <s v="LD2292"/>
    <d v="2024-03-23T00:00:00"/>
    <x v="3"/>
    <s v="Promo Blast"/>
    <s v="Mobile"/>
    <s v="North America"/>
    <s v="MQL"/>
    <m/>
    <m/>
    <m/>
    <n v="2"/>
    <x v="8"/>
    <n v="1"/>
    <n v="0"/>
    <n v="0"/>
  </r>
  <r>
    <s v="LD5660"/>
    <d v="2024-10-21T00:00:00"/>
    <x v="5"/>
    <s v="Blog SEO"/>
    <s v="Mobile"/>
    <s v="Europe"/>
    <s v="Customer"/>
    <n v="59"/>
    <s v="Basic"/>
    <n v="818.29"/>
    <n v="4"/>
    <x v="5"/>
    <n v="1"/>
    <n v="1"/>
    <n v="1"/>
  </r>
  <r>
    <s v="LD6617"/>
    <d v="2024-11-19T00:00:00"/>
    <x v="0"/>
    <s v="Instagram Ads"/>
    <s v="Mobile"/>
    <s v="North America"/>
    <s v="Lead"/>
    <m/>
    <m/>
    <m/>
    <n v="1"/>
    <x v="2"/>
    <n v="0"/>
    <n v="0"/>
    <n v="0"/>
  </r>
  <r>
    <s v="LD2854"/>
    <d v="2024-04-28T00:00:00"/>
    <x v="3"/>
    <s v="Monthly Newsletter"/>
    <s v="Desktop"/>
    <s v="North America"/>
    <s v="Lead"/>
    <m/>
    <m/>
    <m/>
    <n v="1"/>
    <x v="1"/>
    <n v="0"/>
    <n v="0"/>
    <n v="0"/>
  </r>
  <r>
    <s v="LD6233"/>
    <d v="2024-10-15T00:00:00"/>
    <x v="2"/>
    <s v="Direct / Type-in"/>
    <s v="Desktop"/>
    <s v="North America"/>
    <s v="MQL"/>
    <m/>
    <m/>
    <m/>
    <n v="2"/>
    <x v="5"/>
    <n v="1"/>
    <n v="0"/>
    <n v="0"/>
  </r>
  <r>
    <s v="LD4764"/>
    <d v="2024-08-28T00:00:00"/>
    <x v="3"/>
    <s v="Promo Blast"/>
    <s v="Mobile"/>
    <s v="North America"/>
    <s v="SQL"/>
    <m/>
    <m/>
    <m/>
    <n v="3"/>
    <x v="6"/>
    <n v="1"/>
    <n v="1"/>
    <n v="0"/>
  </r>
  <r>
    <s v="LD4305"/>
    <d v="2024-07-23T00:00:00"/>
    <x v="3"/>
    <s v="Promo Blast"/>
    <s v="Mobile"/>
    <s v="Europe"/>
    <s v="MQL"/>
    <m/>
    <m/>
    <m/>
    <n v="2"/>
    <x v="0"/>
    <n v="1"/>
    <n v="0"/>
    <n v="0"/>
  </r>
  <r>
    <s v="LD7668"/>
    <d v="2024-12-09T00:00:00"/>
    <x v="4"/>
    <s v="Partner Program"/>
    <s v="Mobile"/>
    <s v="North America"/>
    <s v="Customer"/>
    <n v="64"/>
    <s v="Pro"/>
    <n v="3241.97"/>
    <n v="4"/>
    <x v="7"/>
    <n v="1"/>
    <n v="1"/>
    <n v="1"/>
  </r>
  <r>
    <s v="LD6728"/>
    <d v="2024-11-17T00:00:00"/>
    <x v="3"/>
    <s v="Promo Blast"/>
    <s v="Desktop"/>
    <s v="Europe"/>
    <s v="Customer"/>
    <n v="48"/>
    <s v="Basic"/>
    <n v="1074.44"/>
    <n v="4"/>
    <x v="2"/>
    <n v="1"/>
    <n v="1"/>
    <n v="1"/>
  </r>
  <r>
    <s v="LD4744"/>
    <d v="2024-08-22T00:00:00"/>
    <x v="0"/>
    <s v="Facebook Ads"/>
    <s v="Desktop"/>
    <s v="Asia Pacific"/>
    <s v="MQL"/>
    <m/>
    <m/>
    <m/>
    <n v="2"/>
    <x v="6"/>
    <n v="1"/>
    <n v="0"/>
    <n v="0"/>
  </r>
  <r>
    <s v="LD4446"/>
    <d v="2024-07-24T00:00:00"/>
    <x v="2"/>
    <s v="Direct / Type-in"/>
    <s v="Mobile"/>
    <s v="North America"/>
    <s v="MQL"/>
    <m/>
    <m/>
    <m/>
    <n v="2"/>
    <x v="0"/>
    <n v="1"/>
    <n v="0"/>
    <n v="0"/>
  </r>
  <r>
    <s v="LD2999"/>
    <d v="2024-04-14T00:00:00"/>
    <x v="2"/>
    <s v="Direct / Type-in"/>
    <s v="Mobile"/>
    <s v="Europe"/>
    <s v="SQL"/>
    <m/>
    <m/>
    <m/>
    <n v="3"/>
    <x v="1"/>
    <n v="1"/>
    <n v="1"/>
    <n v="0"/>
  </r>
  <r>
    <s v="LD1664"/>
    <d v="2024-02-25T00:00:00"/>
    <x v="0"/>
    <s v="Instagram Ads"/>
    <s v="Mobile"/>
    <s v="Europe"/>
    <s v="Lead"/>
    <m/>
    <m/>
    <m/>
    <n v="1"/>
    <x v="10"/>
    <n v="0"/>
    <n v="0"/>
    <n v="0"/>
  </r>
  <r>
    <s v="LD5780"/>
    <d v="2024-10-18T00:00:00"/>
    <x v="1"/>
    <s v="Google Ads - Brand"/>
    <s v="Mobile"/>
    <s v="Europe"/>
    <s v="Lead"/>
    <m/>
    <m/>
    <m/>
    <n v="1"/>
    <x v="5"/>
    <n v="0"/>
    <n v="0"/>
    <n v="0"/>
  </r>
  <r>
    <s v="LD6354"/>
    <d v="2024-11-15T00:00:00"/>
    <x v="5"/>
    <s v="Blog SEO"/>
    <s v="Mobile"/>
    <s v="Europe"/>
    <s v="Lead"/>
    <m/>
    <m/>
    <m/>
    <n v="1"/>
    <x v="2"/>
    <n v="0"/>
    <n v="0"/>
    <n v="0"/>
  </r>
  <r>
    <s v="LD4749"/>
    <d v="2024-08-25T00:00:00"/>
    <x v="0"/>
    <s v="Facebook Ads"/>
    <s v="Desktop"/>
    <s v="Europe"/>
    <s v="Lead"/>
    <m/>
    <m/>
    <m/>
    <n v="1"/>
    <x v="6"/>
    <n v="0"/>
    <n v="0"/>
    <n v="0"/>
  </r>
  <r>
    <s v="LD5414"/>
    <d v="2024-09-09T00:00:00"/>
    <x v="3"/>
    <s v="Monthly Newsletter"/>
    <s v="Mobile"/>
    <s v="Europe"/>
    <s v="MQL"/>
    <m/>
    <m/>
    <m/>
    <n v="2"/>
    <x v="9"/>
    <n v="1"/>
    <n v="0"/>
    <n v="0"/>
  </r>
  <r>
    <s v="LD5745"/>
    <d v="2024-10-14T00:00:00"/>
    <x v="1"/>
    <s v="Google Ads - Generic"/>
    <s v="Desktop"/>
    <s v="Latin America"/>
    <s v="MQL"/>
    <m/>
    <m/>
    <m/>
    <n v="2"/>
    <x v="5"/>
    <n v="1"/>
    <n v="0"/>
    <n v="0"/>
  </r>
  <r>
    <s v="LD6531"/>
    <d v="2024-11-08T00:00:00"/>
    <x v="1"/>
    <s v="Google Ads - Brand"/>
    <s v="Mobile"/>
    <s v="North America"/>
    <s v="Lead"/>
    <m/>
    <m/>
    <m/>
    <n v="1"/>
    <x v="2"/>
    <n v="0"/>
    <n v="0"/>
    <n v="0"/>
  </r>
  <r>
    <s v="LD6576"/>
    <d v="2024-11-04T00:00:00"/>
    <x v="1"/>
    <s v="Google Ads - Generic"/>
    <s v="Mobile"/>
    <s v="Asia Pacific"/>
    <s v="MQL"/>
    <m/>
    <m/>
    <m/>
    <n v="2"/>
    <x v="2"/>
    <n v="1"/>
    <n v="0"/>
    <n v="0"/>
  </r>
  <r>
    <s v="LD1710"/>
    <d v="2024-02-23T00:00:00"/>
    <x v="3"/>
    <s v="Promo Blast"/>
    <s v="Desktop"/>
    <s v="North America"/>
    <s v="Lead"/>
    <m/>
    <m/>
    <m/>
    <n v="1"/>
    <x v="10"/>
    <n v="0"/>
    <n v="0"/>
    <n v="0"/>
  </r>
  <r>
    <s v="LD2283"/>
    <d v="2024-03-01T00:00:00"/>
    <x v="3"/>
    <s v="Monthly Newsletter"/>
    <s v="Mobile"/>
    <s v="Europe"/>
    <s v="MQL"/>
    <m/>
    <m/>
    <m/>
    <n v="2"/>
    <x v="8"/>
    <n v="1"/>
    <n v="0"/>
    <n v="0"/>
  </r>
  <r>
    <s v="LD6865"/>
    <d v="2024-11-25T00:00:00"/>
    <x v="3"/>
    <s v="Monthly Newsletter"/>
    <s v="Desktop"/>
    <s v="Europe"/>
    <s v="SQL"/>
    <m/>
    <m/>
    <m/>
    <n v="3"/>
    <x v="2"/>
    <n v="1"/>
    <n v="1"/>
    <n v="0"/>
  </r>
  <r>
    <s v="LD6069"/>
    <d v="2024-10-18T00:00:00"/>
    <x v="3"/>
    <s v="Monthly Newsletter"/>
    <s v="Desktop"/>
    <s v="Asia Pacific"/>
    <s v="SQL"/>
    <m/>
    <m/>
    <m/>
    <n v="3"/>
    <x v="5"/>
    <n v="1"/>
    <n v="1"/>
    <n v="0"/>
  </r>
  <r>
    <s v="LD3676"/>
    <d v="2024-06-18T00:00:00"/>
    <x v="1"/>
    <s v="Google Ads - Brand"/>
    <s v="Mobile"/>
    <s v="North America"/>
    <s v="SQL"/>
    <m/>
    <m/>
    <m/>
    <n v="3"/>
    <x v="11"/>
    <n v="1"/>
    <n v="1"/>
    <n v="0"/>
  </r>
  <r>
    <s v="LD5030"/>
    <d v="2024-09-25T00:00:00"/>
    <x v="5"/>
    <s v="Blog SEO"/>
    <s v="Mobile"/>
    <s v="North America"/>
    <s v="Lead"/>
    <m/>
    <m/>
    <m/>
    <n v="1"/>
    <x v="9"/>
    <n v="0"/>
    <n v="0"/>
    <n v="0"/>
  </r>
  <r>
    <s v="LD2307"/>
    <d v="2024-03-08T00:00:00"/>
    <x v="3"/>
    <s v="Promo Blast"/>
    <s v="Desktop"/>
    <s v="Europe"/>
    <s v="MQL"/>
    <m/>
    <m/>
    <m/>
    <n v="2"/>
    <x v="8"/>
    <n v="1"/>
    <n v="0"/>
    <n v="0"/>
  </r>
  <r>
    <s v="LD6497"/>
    <d v="2024-11-18T00:00:00"/>
    <x v="1"/>
    <s v="Google Ads - Generic"/>
    <s v="Desktop"/>
    <s v="North America"/>
    <s v="MQL"/>
    <m/>
    <m/>
    <m/>
    <n v="2"/>
    <x v="2"/>
    <n v="1"/>
    <n v="0"/>
    <n v="0"/>
  </r>
  <r>
    <s v="LD6505"/>
    <d v="2024-11-07T00:00:00"/>
    <x v="1"/>
    <s v="Google Ads - Brand"/>
    <s v="Desktop"/>
    <s v="North America"/>
    <s v="Lead"/>
    <m/>
    <m/>
    <m/>
    <n v="1"/>
    <x v="2"/>
    <n v="0"/>
    <n v="0"/>
    <n v="0"/>
  </r>
  <r>
    <s v="LD3238"/>
    <d v="2024-05-08T00:00:00"/>
    <x v="0"/>
    <s v="LinkedIn Ads"/>
    <s v="Desktop"/>
    <s v="Europe"/>
    <s v="Lead"/>
    <m/>
    <m/>
    <m/>
    <n v="1"/>
    <x v="4"/>
    <n v="0"/>
    <n v="0"/>
    <n v="0"/>
  </r>
  <r>
    <s v="LD4303"/>
    <d v="2024-07-07T00:00:00"/>
    <x v="3"/>
    <s v="Promo Blast"/>
    <s v="Desktop"/>
    <s v="North America"/>
    <s v="MQL"/>
    <m/>
    <m/>
    <m/>
    <n v="2"/>
    <x v="0"/>
    <n v="1"/>
    <n v="0"/>
    <n v="0"/>
  </r>
  <r>
    <s v="LD6593"/>
    <d v="2024-11-28T00:00:00"/>
    <x v="1"/>
    <s v="Google Ads - Generic"/>
    <s v="Desktop"/>
    <s v="Asia Pacific"/>
    <s v="MQL"/>
    <m/>
    <m/>
    <m/>
    <n v="2"/>
    <x v="2"/>
    <n v="1"/>
    <n v="0"/>
    <n v="0"/>
  </r>
  <r>
    <s v="LD3039"/>
    <d v="2024-05-27T00:00:00"/>
    <x v="5"/>
    <s v="Landing Page SEO"/>
    <s v="Desktop"/>
    <s v="North America"/>
    <s v="MQL"/>
    <m/>
    <m/>
    <m/>
    <n v="2"/>
    <x v="4"/>
    <n v="1"/>
    <n v="0"/>
    <n v="0"/>
  </r>
  <r>
    <s v="LD2530"/>
    <d v="2024-04-09T00:00:00"/>
    <x v="5"/>
    <s v="Blog SEO"/>
    <s v="Desktop"/>
    <s v="Latin America"/>
    <s v="MQL"/>
    <m/>
    <m/>
    <m/>
    <n v="2"/>
    <x v="1"/>
    <n v="1"/>
    <n v="0"/>
    <n v="0"/>
  </r>
  <r>
    <s v="LD2664"/>
    <d v="2024-04-12T00:00:00"/>
    <x v="1"/>
    <s v="Google Ads - Brand"/>
    <s v="Mobile"/>
    <s v="Europe"/>
    <s v="MQL"/>
    <m/>
    <m/>
    <m/>
    <n v="2"/>
    <x v="1"/>
    <n v="1"/>
    <n v="0"/>
    <n v="0"/>
  </r>
  <r>
    <s v="LD6451"/>
    <d v="2024-11-01T00:00:00"/>
    <x v="5"/>
    <s v="Blog SEO"/>
    <s v="Desktop"/>
    <s v="North America"/>
    <s v="MQL"/>
    <m/>
    <m/>
    <m/>
    <n v="2"/>
    <x v="2"/>
    <n v="1"/>
    <n v="0"/>
    <n v="0"/>
  </r>
  <r>
    <s v="LD7697"/>
    <d v="2024-12-25T00:00:00"/>
    <x v="4"/>
    <s v="Affiliate Program"/>
    <s v="Desktop"/>
    <s v="Europe"/>
    <s v="SQL"/>
    <m/>
    <m/>
    <m/>
    <n v="3"/>
    <x v="7"/>
    <n v="1"/>
    <n v="1"/>
    <n v="0"/>
  </r>
  <r>
    <s v="LD7722"/>
    <d v="2024-12-19T00:00:00"/>
    <x v="2"/>
    <s v="Direct / Type-in"/>
    <s v="Desktop"/>
    <s v="North America"/>
    <s v="MQL"/>
    <m/>
    <m/>
    <m/>
    <n v="2"/>
    <x v="7"/>
    <n v="1"/>
    <n v="0"/>
    <n v="0"/>
  </r>
  <r>
    <s v="LD4628"/>
    <d v="2024-08-25T00:00:00"/>
    <x v="1"/>
    <s v="Google Ads - Generic"/>
    <s v="Mobile"/>
    <s v="North America"/>
    <s v="Lead"/>
    <m/>
    <m/>
    <m/>
    <n v="1"/>
    <x v="6"/>
    <n v="0"/>
    <n v="0"/>
    <n v="0"/>
  </r>
  <r>
    <s v="LD6740"/>
    <d v="2024-11-17T00:00:00"/>
    <x v="3"/>
    <s v="Monthly Newsletter"/>
    <s v="Desktop"/>
    <s v="Latin America"/>
    <s v="SQL"/>
    <m/>
    <m/>
    <m/>
    <n v="3"/>
    <x v="2"/>
    <n v="1"/>
    <n v="1"/>
    <n v="0"/>
  </r>
  <r>
    <s v="LD6148"/>
    <d v="2024-10-11T00:00:00"/>
    <x v="4"/>
    <s v="Partner Program"/>
    <s v="Desktop"/>
    <s v="North America"/>
    <s v="MQL"/>
    <m/>
    <m/>
    <m/>
    <n v="2"/>
    <x v="5"/>
    <n v="1"/>
    <n v="0"/>
    <n v="0"/>
  </r>
  <r>
    <s v="LD5892"/>
    <d v="2024-10-03T00:00:00"/>
    <x v="0"/>
    <s v="Facebook Ads"/>
    <s v="Mobile"/>
    <s v="North America"/>
    <s v="Lead"/>
    <m/>
    <m/>
    <m/>
    <n v="1"/>
    <x v="5"/>
    <n v="0"/>
    <n v="0"/>
    <n v="0"/>
  </r>
  <r>
    <s v="LD3694"/>
    <d v="2024-06-04T00:00:00"/>
    <x v="1"/>
    <s v="Google Ads - Generic"/>
    <s v="Desktop"/>
    <s v="Europe"/>
    <s v="Lead"/>
    <m/>
    <m/>
    <m/>
    <n v="1"/>
    <x v="11"/>
    <n v="0"/>
    <n v="0"/>
    <n v="0"/>
  </r>
  <r>
    <s v="LD4061"/>
    <d v="2024-07-17T00:00:00"/>
    <x v="5"/>
    <s v="Blog SEO"/>
    <s v="Desktop"/>
    <s v="Europe"/>
    <s v="MQL"/>
    <m/>
    <m/>
    <m/>
    <n v="2"/>
    <x v="0"/>
    <n v="1"/>
    <n v="0"/>
    <n v="0"/>
  </r>
  <r>
    <s v="LD2598"/>
    <d v="2024-04-09T00:00:00"/>
    <x v="1"/>
    <s v="Google Ads - Brand"/>
    <s v="Mobile"/>
    <s v="North America"/>
    <s v="MQL"/>
    <m/>
    <m/>
    <m/>
    <n v="2"/>
    <x v="1"/>
    <n v="1"/>
    <n v="0"/>
    <n v="0"/>
  </r>
  <r>
    <s v="LD3730"/>
    <d v="2024-06-03T00:00:00"/>
    <x v="1"/>
    <s v="Google Ads - Brand"/>
    <s v="Desktop"/>
    <s v="North America"/>
    <s v="Lead"/>
    <m/>
    <m/>
    <m/>
    <n v="1"/>
    <x v="11"/>
    <n v="0"/>
    <n v="0"/>
    <n v="0"/>
  </r>
  <r>
    <s v="LD3626"/>
    <d v="2024-06-05T00:00:00"/>
    <x v="5"/>
    <s v="Blog SEO"/>
    <s v="Desktop"/>
    <s v="North America"/>
    <s v="Customer"/>
    <n v="8"/>
    <s v="Basic"/>
    <n v="841.36"/>
    <n v="4"/>
    <x v="11"/>
    <n v="1"/>
    <n v="1"/>
    <n v="1"/>
  </r>
  <r>
    <s v="LD6916"/>
    <d v="2024-11-28T00:00:00"/>
    <x v="4"/>
    <s v="Partner Program"/>
    <s v="Desktop"/>
    <s v="Latin America"/>
    <s v="MQL"/>
    <m/>
    <m/>
    <m/>
    <n v="2"/>
    <x v="2"/>
    <n v="1"/>
    <n v="0"/>
    <n v="0"/>
  </r>
  <r>
    <s v="LD4158"/>
    <d v="2024-07-24T00:00:00"/>
    <x v="1"/>
    <s v="Google Ads - Brand"/>
    <s v="Desktop"/>
    <s v="Latin America"/>
    <s v="Lead"/>
    <m/>
    <m/>
    <m/>
    <n v="1"/>
    <x v="0"/>
    <n v="0"/>
    <n v="0"/>
    <n v="0"/>
  </r>
  <r>
    <s v="LD4315"/>
    <d v="2024-07-15T00:00:00"/>
    <x v="3"/>
    <s v="Monthly Newsletter"/>
    <s v="Mobile"/>
    <s v="North America"/>
    <s v="Lead"/>
    <m/>
    <m/>
    <m/>
    <n v="1"/>
    <x v="0"/>
    <n v="0"/>
    <n v="0"/>
    <n v="0"/>
  </r>
  <r>
    <s v="LD2723"/>
    <d v="2024-04-18T00:00:00"/>
    <x v="0"/>
    <s v="Facebook Ads"/>
    <s v="Desktop"/>
    <s v="Asia Pacific"/>
    <s v="MQL"/>
    <m/>
    <m/>
    <m/>
    <n v="2"/>
    <x v="1"/>
    <n v="1"/>
    <n v="0"/>
    <n v="0"/>
  </r>
  <r>
    <s v="LD6280"/>
    <d v="2024-10-18T00:00:00"/>
    <x v="2"/>
    <s v="Direct / Type-in"/>
    <s v="Desktop"/>
    <s v="Europe"/>
    <s v="Lead"/>
    <m/>
    <m/>
    <m/>
    <n v="1"/>
    <x v="5"/>
    <n v="0"/>
    <n v="0"/>
    <n v="0"/>
  </r>
  <r>
    <s v="LD2060"/>
    <d v="2024-03-26T00:00:00"/>
    <x v="1"/>
    <s v="Google Ads - Brand"/>
    <s v="Desktop"/>
    <s v="Asia Pacific"/>
    <s v="MQL"/>
    <m/>
    <m/>
    <m/>
    <n v="2"/>
    <x v="8"/>
    <n v="1"/>
    <n v="0"/>
    <n v="0"/>
  </r>
  <r>
    <s v="LD5637"/>
    <d v="2024-10-03T00:00:00"/>
    <x v="5"/>
    <s v="Blog SEO"/>
    <s v="Mobile"/>
    <s v="Asia Pacific"/>
    <s v="Lead"/>
    <m/>
    <m/>
    <m/>
    <n v="1"/>
    <x v="5"/>
    <n v="0"/>
    <n v="0"/>
    <n v="0"/>
  </r>
  <r>
    <s v="LD4243"/>
    <d v="2024-07-23T00:00:00"/>
    <x v="0"/>
    <s v="LinkedIn Ads"/>
    <s v="Tablet"/>
    <s v="Europe"/>
    <s v="MQL"/>
    <m/>
    <m/>
    <m/>
    <n v="2"/>
    <x v="0"/>
    <n v="1"/>
    <n v="0"/>
    <n v="0"/>
  </r>
  <r>
    <s v="LD2679"/>
    <d v="2024-04-23T00:00:00"/>
    <x v="0"/>
    <s v="Facebook Ads"/>
    <s v="Tablet"/>
    <s v="North America"/>
    <s v="Lead"/>
    <m/>
    <m/>
    <m/>
    <n v="1"/>
    <x v="1"/>
    <n v="0"/>
    <n v="0"/>
    <n v="0"/>
  </r>
  <r>
    <s v="LD7375"/>
    <d v="2024-12-23T00:00:00"/>
    <x v="0"/>
    <s v="Facebook Ads"/>
    <s v="Desktop"/>
    <s v="North America"/>
    <s v="Lead"/>
    <m/>
    <m/>
    <m/>
    <n v="1"/>
    <x v="7"/>
    <n v="0"/>
    <n v="0"/>
    <n v="0"/>
  </r>
  <r>
    <s v="LD2758"/>
    <d v="2024-04-07T00:00:00"/>
    <x v="3"/>
    <s v="Promo Blast"/>
    <s v="Desktop"/>
    <s v="North America"/>
    <s v="SQL"/>
    <m/>
    <m/>
    <m/>
    <n v="3"/>
    <x v="1"/>
    <n v="1"/>
    <n v="1"/>
    <n v="0"/>
  </r>
  <r>
    <s v="LD7020"/>
    <d v="2024-11-23T00:00:00"/>
    <x v="2"/>
    <s v="Direct / Type-in"/>
    <s v="Mobile"/>
    <s v="Asia Pacific"/>
    <s v="Lead"/>
    <m/>
    <m/>
    <m/>
    <n v="1"/>
    <x v="2"/>
    <n v="0"/>
    <n v="0"/>
    <n v="0"/>
  </r>
  <r>
    <s v="LD5192"/>
    <d v="2024-09-10T00:00:00"/>
    <x v="1"/>
    <s v="Google Ads - Brand"/>
    <s v="Mobile"/>
    <s v="North America"/>
    <s v="Lead"/>
    <m/>
    <m/>
    <m/>
    <n v="1"/>
    <x v="9"/>
    <n v="0"/>
    <n v="0"/>
    <n v="0"/>
  </r>
  <r>
    <s v="LD6117"/>
    <d v="2024-10-11T00:00:00"/>
    <x v="3"/>
    <s v="Promo Blast"/>
    <s v="Desktop"/>
    <s v="Europe"/>
    <s v="Lead"/>
    <m/>
    <m/>
    <m/>
    <n v="1"/>
    <x v="5"/>
    <n v="0"/>
    <n v="0"/>
    <n v="0"/>
  </r>
  <r>
    <s v="LD1564"/>
    <d v="2024-02-11T00:00:00"/>
    <x v="5"/>
    <s v="Landing Page SEO"/>
    <s v="Desktop"/>
    <s v="Asia Pacific"/>
    <s v="MQL"/>
    <m/>
    <m/>
    <m/>
    <n v="2"/>
    <x v="10"/>
    <n v="1"/>
    <n v="0"/>
    <n v="0"/>
  </r>
  <r>
    <s v="LD3791"/>
    <d v="2024-06-13T00:00:00"/>
    <x v="0"/>
    <s v="Facebook Ads"/>
    <s v="Desktop"/>
    <s v="Asia Pacific"/>
    <s v="Lead"/>
    <m/>
    <m/>
    <m/>
    <n v="1"/>
    <x v="11"/>
    <n v="0"/>
    <n v="0"/>
    <n v="0"/>
  </r>
  <r>
    <s v="LD1864"/>
    <d v="2024-02-04T00:00:00"/>
    <x v="4"/>
    <s v="Affiliate Program"/>
    <s v="Desktop"/>
    <s v="Europe"/>
    <s v="SQL"/>
    <m/>
    <m/>
    <m/>
    <n v="3"/>
    <x v="10"/>
    <n v="1"/>
    <n v="1"/>
    <n v="0"/>
  </r>
  <r>
    <s v="LD2485"/>
    <d v="2024-04-11T00:00:00"/>
    <x v="5"/>
    <s v="Blog SEO"/>
    <s v="Tablet"/>
    <s v="Asia Pacific"/>
    <s v="Lead"/>
    <m/>
    <m/>
    <m/>
    <n v="1"/>
    <x v="1"/>
    <n v="0"/>
    <n v="0"/>
    <n v="0"/>
  </r>
  <r>
    <s v="LD6978"/>
    <d v="2024-11-26T00:00:00"/>
    <x v="4"/>
    <s v="Partner Program"/>
    <s v="Desktop"/>
    <s v="Europe"/>
    <s v="MQL"/>
    <m/>
    <m/>
    <m/>
    <n v="2"/>
    <x v="2"/>
    <n v="1"/>
    <n v="0"/>
    <n v="0"/>
  </r>
  <r>
    <s v="LD6135"/>
    <d v="2024-10-10T00:00:00"/>
    <x v="4"/>
    <s v="Partner Program"/>
    <s v="Desktop"/>
    <s v="Europe"/>
    <s v="Lead"/>
    <m/>
    <m/>
    <m/>
    <n v="1"/>
    <x v="5"/>
    <n v="0"/>
    <n v="0"/>
    <n v="0"/>
  </r>
  <r>
    <s v="LD1207"/>
    <d v="2024-01-10T00:00:00"/>
    <x v="0"/>
    <s v="Instagram Ads"/>
    <s v="Desktop"/>
    <s v="North America"/>
    <s v="Lead"/>
    <m/>
    <m/>
    <m/>
    <n v="1"/>
    <x v="3"/>
    <n v="0"/>
    <n v="0"/>
    <n v="0"/>
  </r>
  <r>
    <s v="LD5489"/>
    <d v="2024-09-24T00:00:00"/>
    <x v="4"/>
    <s v="Affiliate Program"/>
    <s v="Desktop"/>
    <s v="North America"/>
    <s v="MQL"/>
    <m/>
    <m/>
    <m/>
    <n v="2"/>
    <x v="9"/>
    <n v="1"/>
    <n v="0"/>
    <n v="0"/>
  </r>
  <r>
    <s v="LD1871"/>
    <d v="2024-02-28T00:00:00"/>
    <x v="4"/>
    <s v="Partner Program"/>
    <s v="Desktop"/>
    <s v="Europe"/>
    <s v="SQL"/>
    <m/>
    <m/>
    <m/>
    <n v="3"/>
    <x v="10"/>
    <n v="1"/>
    <n v="1"/>
    <n v="0"/>
  </r>
  <r>
    <s v="LD5494"/>
    <d v="2024-09-11T00:00:00"/>
    <x v="4"/>
    <s v="Partner Program"/>
    <s v="Desktop"/>
    <s v="Europe"/>
    <s v="SQL"/>
    <m/>
    <m/>
    <m/>
    <n v="3"/>
    <x v="9"/>
    <n v="1"/>
    <n v="1"/>
    <n v="0"/>
  </r>
  <r>
    <s v="LD1503"/>
    <d v="2024-02-23T00:00:00"/>
    <x v="5"/>
    <s v="Blog SEO"/>
    <s v="Tablet"/>
    <s v="North America"/>
    <s v="Lead"/>
    <m/>
    <m/>
    <m/>
    <n v="1"/>
    <x v="10"/>
    <n v="0"/>
    <n v="0"/>
    <n v="0"/>
  </r>
  <r>
    <s v="LD2029"/>
    <d v="2024-03-22T00:00:00"/>
    <x v="5"/>
    <s v="Landing Page SEO"/>
    <s v="Desktop"/>
    <s v="North America"/>
    <s v="Lead"/>
    <m/>
    <m/>
    <m/>
    <n v="1"/>
    <x v="8"/>
    <n v="0"/>
    <n v="0"/>
    <n v="0"/>
  </r>
  <r>
    <s v="LD4841"/>
    <d v="2024-08-27T00:00:00"/>
    <x v="3"/>
    <s v="Monthly Newsletter"/>
    <s v="Mobile"/>
    <s v="Asia Pacific"/>
    <s v="Customer"/>
    <n v="67"/>
    <s v="Pro"/>
    <n v="2361.02"/>
    <n v="4"/>
    <x v="6"/>
    <n v="1"/>
    <n v="1"/>
    <n v="1"/>
  </r>
  <r>
    <s v="LD3691"/>
    <d v="2024-06-14T00:00:00"/>
    <x v="1"/>
    <s v="Google Ads - Brand"/>
    <s v="Desktop"/>
    <s v="Europe"/>
    <s v="Lead"/>
    <m/>
    <m/>
    <m/>
    <n v="1"/>
    <x v="11"/>
    <n v="0"/>
    <n v="0"/>
    <n v="0"/>
  </r>
  <r>
    <s v="LD6582"/>
    <d v="2024-11-14T00:00:00"/>
    <x v="1"/>
    <s v="Google Ads - Generic"/>
    <s v="Desktop"/>
    <s v="North America"/>
    <s v="MQL"/>
    <m/>
    <m/>
    <m/>
    <n v="2"/>
    <x v="2"/>
    <n v="1"/>
    <n v="0"/>
    <n v="0"/>
  </r>
  <r>
    <s v="LD6057"/>
    <d v="2024-10-17T00:00:00"/>
    <x v="3"/>
    <s v="Monthly Newsletter"/>
    <s v="Desktop"/>
    <s v="Asia Pacific"/>
    <s v="Lead"/>
    <m/>
    <m/>
    <m/>
    <n v="1"/>
    <x v="5"/>
    <n v="0"/>
    <n v="0"/>
    <n v="0"/>
  </r>
  <r>
    <s v="LD2571"/>
    <d v="2024-04-08T00:00:00"/>
    <x v="1"/>
    <s v="Google Ads - Generic"/>
    <s v="Desktop"/>
    <s v="North America"/>
    <s v="Lead"/>
    <m/>
    <m/>
    <m/>
    <n v="1"/>
    <x v="1"/>
    <n v="0"/>
    <n v="0"/>
    <n v="0"/>
  </r>
  <r>
    <s v="LD3774"/>
    <d v="2024-06-01T00:00:00"/>
    <x v="0"/>
    <s v="Facebook Ads"/>
    <s v="Mobile"/>
    <s v="Europe"/>
    <s v="Lead"/>
    <m/>
    <m/>
    <m/>
    <n v="1"/>
    <x v="11"/>
    <n v="0"/>
    <n v="0"/>
    <n v="0"/>
  </r>
  <r>
    <s v="LD6992"/>
    <d v="2024-11-01T00:00:00"/>
    <x v="4"/>
    <s v="Partner Program"/>
    <s v="Desktop"/>
    <s v="North America"/>
    <s v="MQL"/>
    <m/>
    <m/>
    <m/>
    <n v="2"/>
    <x v="2"/>
    <n v="1"/>
    <n v="0"/>
    <n v="0"/>
  </r>
  <r>
    <s v="LD3732"/>
    <d v="2024-06-10T00:00:00"/>
    <x v="0"/>
    <s v="Facebook Ads"/>
    <s v="Desktop"/>
    <s v="North America"/>
    <s v="Lead"/>
    <m/>
    <m/>
    <m/>
    <n v="1"/>
    <x v="11"/>
    <n v="0"/>
    <n v="0"/>
    <n v="0"/>
  </r>
  <r>
    <s v="LD7243"/>
    <d v="2024-12-20T00:00:00"/>
    <x v="1"/>
    <s v="Google Ads - Generic"/>
    <s v="Desktop"/>
    <s v="North America"/>
    <s v="SQL"/>
    <m/>
    <m/>
    <m/>
    <n v="3"/>
    <x v="7"/>
    <n v="1"/>
    <n v="1"/>
    <n v="0"/>
  </r>
  <r>
    <s v="LD1805"/>
    <d v="2024-02-10T00:00:00"/>
    <x v="3"/>
    <s v="Promo Blast"/>
    <s v="Desktop"/>
    <s v="North America"/>
    <s v="Customer"/>
    <n v="34"/>
    <s v="Basic"/>
    <n v="811.58"/>
    <n v="4"/>
    <x v="10"/>
    <n v="1"/>
    <n v="1"/>
    <n v="1"/>
  </r>
  <r>
    <s v="LD6848"/>
    <d v="2024-11-25T00:00:00"/>
    <x v="3"/>
    <s v="Monthly Newsletter"/>
    <s v="Mobile"/>
    <s v="North America"/>
    <s v="SQL"/>
    <m/>
    <m/>
    <m/>
    <n v="3"/>
    <x v="2"/>
    <n v="1"/>
    <n v="1"/>
    <n v="0"/>
  </r>
  <r>
    <s v="LD4646"/>
    <d v="2024-08-23T00:00:00"/>
    <x v="1"/>
    <s v="Google Ads - Brand"/>
    <s v="Tablet"/>
    <s v="North America"/>
    <s v="Lead"/>
    <m/>
    <m/>
    <m/>
    <n v="1"/>
    <x v="6"/>
    <n v="0"/>
    <n v="0"/>
    <n v="0"/>
  </r>
  <r>
    <s v="LD3455"/>
    <d v="2024-05-18T00:00:00"/>
    <x v="4"/>
    <s v="Affiliate Program"/>
    <s v="Mobile"/>
    <s v="Europe"/>
    <s v="Lead"/>
    <m/>
    <m/>
    <m/>
    <n v="1"/>
    <x v="4"/>
    <n v="0"/>
    <n v="0"/>
    <n v="0"/>
  </r>
  <r>
    <s v="LD5599"/>
    <d v="2024-09-13T00:00:00"/>
    <x v="2"/>
    <s v="Direct / Type-in"/>
    <s v="Desktop"/>
    <s v="Europe"/>
    <s v="Lead"/>
    <m/>
    <m/>
    <m/>
    <n v="1"/>
    <x v="9"/>
    <n v="0"/>
    <n v="0"/>
    <n v="0"/>
  </r>
  <r>
    <s v="LD4105"/>
    <d v="2024-07-04T00:00:00"/>
    <x v="5"/>
    <s v="Blog SEO"/>
    <s v="Desktop"/>
    <s v="Europe"/>
    <s v="Lead"/>
    <m/>
    <m/>
    <m/>
    <n v="1"/>
    <x v="0"/>
    <n v="0"/>
    <n v="0"/>
    <n v="0"/>
  </r>
  <r>
    <s v="LD5876"/>
    <d v="2024-10-10T00:00:00"/>
    <x v="0"/>
    <s v="Facebook Ads"/>
    <s v="Mobile"/>
    <s v="North America"/>
    <s v="Lead"/>
    <m/>
    <m/>
    <m/>
    <n v="1"/>
    <x v="5"/>
    <n v="0"/>
    <n v="0"/>
    <n v="0"/>
  </r>
  <r>
    <s v="LD6960"/>
    <d v="2024-11-21T00:00:00"/>
    <x v="4"/>
    <s v="Affiliate Program"/>
    <s v="Desktop"/>
    <s v="North America"/>
    <s v="MQL"/>
    <m/>
    <m/>
    <m/>
    <n v="2"/>
    <x v="2"/>
    <n v="1"/>
    <n v="0"/>
    <n v="0"/>
  </r>
  <r>
    <s v="LD1201"/>
    <d v="2024-01-24T00:00:00"/>
    <x v="0"/>
    <s v="Facebook Ads"/>
    <s v="Desktop"/>
    <s v="Asia Pacific"/>
    <s v="Lead"/>
    <m/>
    <m/>
    <m/>
    <n v="1"/>
    <x v="3"/>
    <n v="0"/>
    <n v="0"/>
    <n v="0"/>
  </r>
  <r>
    <s v="LD7279"/>
    <d v="2024-12-22T00:00:00"/>
    <x v="1"/>
    <s v="Google Ads - Brand"/>
    <s v="Desktop"/>
    <s v="Asia Pacific"/>
    <s v="Lead"/>
    <m/>
    <m/>
    <m/>
    <n v="1"/>
    <x v="7"/>
    <n v="0"/>
    <n v="0"/>
    <n v="0"/>
  </r>
  <r>
    <s v="LD4100"/>
    <d v="2024-07-07T00:00:00"/>
    <x v="5"/>
    <s v="Blog SEO"/>
    <s v="Tablet"/>
    <s v="Latin America"/>
    <s v="Lead"/>
    <m/>
    <m/>
    <m/>
    <n v="1"/>
    <x v="0"/>
    <n v="0"/>
    <n v="0"/>
    <n v="0"/>
  </r>
  <r>
    <s v="LD7185"/>
    <d v="2024-12-01T00:00:00"/>
    <x v="5"/>
    <s v="Landing Page SEO"/>
    <s v="Desktop"/>
    <s v="North America"/>
    <s v="MQL"/>
    <m/>
    <m/>
    <m/>
    <n v="2"/>
    <x v="7"/>
    <n v="1"/>
    <n v="0"/>
    <n v="0"/>
  </r>
  <r>
    <s v="LD3279"/>
    <d v="2024-05-04T00:00:00"/>
    <x v="0"/>
    <s v="Instagram Ads"/>
    <s v="Tablet"/>
    <s v="Asia Pacific"/>
    <s v="Lead"/>
    <m/>
    <m/>
    <m/>
    <n v="1"/>
    <x v="4"/>
    <n v="0"/>
    <n v="0"/>
    <n v="0"/>
  </r>
  <r>
    <s v="LD4562"/>
    <d v="2024-08-22T00:00:00"/>
    <x v="5"/>
    <s v="Landing Page SEO"/>
    <s v="Desktop"/>
    <s v="North America"/>
    <s v="Customer"/>
    <n v="61"/>
    <s v="Basic"/>
    <n v="553.78"/>
    <n v="4"/>
    <x v="6"/>
    <n v="1"/>
    <n v="1"/>
    <n v="1"/>
  </r>
  <r>
    <s v="LD6893"/>
    <d v="2024-11-14T00:00:00"/>
    <x v="3"/>
    <s v="Promo Blast"/>
    <s v="Desktop"/>
    <s v="Europe"/>
    <s v="Lead"/>
    <m/>
    <m/>
    <m/>
    <n v="1"/>
    <x v="2"/>
    <n v="0"/>
    <n v="0"/>
    <n v="0"/>
  </r>
  <r>
    <s v="LD5475"/>
    <d v="2024-09-19T00:00:00"/>
    <x v="4"/>
    <s v="Partner Program"/>
    <s v="Desktop"/>
    <s v="Latin America"/>
    <s v="SQL"/>
    <m/>
    <m/>
    <m/>
    <n v="3"/>
    <x v="9"/>
    <n v="1"/>
    <n v="1"/>
    <n v="0"/>
  </r>
  <r>
    <s v="LD7433"/>
    <d v="2024-12-16T00:00:00"/>
    <x v="3"/>
    <s v="Monthly Newsletter"/>
    <s v="Mobile"/>
    <s v="Latin America"/>
    <s v="Lead"/>
    <m/>
    <m/>
    <m/>
    <n v="1"/>
    <x v="7"/>
    <n v="0"/>
    <n v="0"/>
    <n v="0"/>
  </r>
  <r>
    <s v="LD5515"/>
    <d v="2024-09-17T00:00:00"/>
    <x v="4"/>
    <s v="Affiliate Program"/>
    <s v="Desktop"/>
    <s v="Europe"/>
    <s v="Lead"/>
    <m/>
    <m/>
    <m/>
    <n v="1"/>
    <x v="9"/>
    <n v="0"/>
    <n v="0"/>
    <n v="0"/>
  </r>
  <r>
    <s v="LD6795"/>
    <d v="2024-11-19T00:00:00"/>
    <x v="3"/>
    <s v="Promo Blast"/>
    <s v="Mobile"/>
    <s v="North America"/>
    <s v="Customer"/>
    <n v="32"/>
    <s v="Basic"/>
    <n v="879.97"/>
    <n v="4"/>
    <x v="2"/>
    <n v="1"/>
    <n v="1"/>
    <n v="1"/>
  </r>
  <r>
    <s v="LD1392"/>
    <d v="2024-01-12T00:00:00"/>
    <x v="4"/>
    <s v="Affiliate Program"/>
    <s v="Mobile"/>
    <s v="North America"/>
    <s v="Lead"/>
    <m/>
    <m/>
    <m/>
    <n v="1"/>
    <x v="3"/>
    <n v="0"/>
    <n v="0"/>
    <n v="0"/>
  </r>
  <r>
    <s v="LD6619"/>
    <d v="2024-11-18T00:00:00"/>
    <x v="0"/>
    <s v="Facebook Ads"/>
    <s v="Mobile"/>
    <s v="Europe"/>
    <s v="SQL"/>
    <m/>
    <m/>
    <m/>
    <n v="3"/>
    <x v="2"/>
    <n v="1"/>
    <n v="1"/>
    <n v="0"/>
  </r>
  <r>
    <s v="LD6259"/>
    <d v="2024-10-05T00:00:00"/>
    <x v="2"/>
    <s v="Direct / Type-in"/>
    <s v="Tablet"/>
    <s v="Asia Pacific"/>
    <s v="Lead"/>
    <m/>
    <m/>
    <m/>
    <n v="1"/>
    <x v="5"/>
    <n v="0"/>
    <n v="0"/>
    <n v="0"/>
  </r>
  <r>
    <s v="LD2496"/>
    <d v="2024-04-16T00:00:00"/>
    <x v="5"/>
    <s v="Landing Page SEO"/>
    <s v="Mobile"/>
    <s v="North America"/>
    <s v="Lead"/>
    <m/>
    <m/>
    <m/>
    <n v="1"/>
    <x v="1"/>
    <n v="0"/>
    <n v="0"/>
    <n v="0"/>
  </r>
  <r>
    <s v="LD3696"/>
    <d v="2024-06-21T00:00:00"/>
    <x v="1"/>
    <s v="Google Ads - Brand"/>
    <s v="Desktop"/>
    <s v="Europe"/>
    <s v="Lead"/>
    <m/>
    <m/>
    <m/>
    <n v="1"/>
    <x v="11"/>
    <n v="0"/>
    <n v="0"/>
    <n v="0"/>
  </r>
  <r>
    <s v="LD3028"/>
    <d v="2024-05-20T00:00:00"/>
    <x v="5"/>
    <s v="Landing Page SEO"/>
    <s v="Desktop"/>
    <s v="Asia Pacific"/>
    <s v="Lead"/>
    <m/>
    <m/>
    <m/>
    <n v="1"/>
    <x v="4"/>
    <n v="0"/>
    <n v="0"/>
    <n v="0"/>
  </r>
  <r>
    <s v="LD6249"/>
    <d v="2024-10-18T00:00:00"/>
    <x v="2"/>
    <s v="Direct / Type-in"/>
    <s v="Desktop"/>
    <s v="Asia Pacific"/>
    <s v="Lead"/>
    <m/>
    <m/>
    <m/>
    <n v="1"/>
    <x v="5"/>
    <n v="0"/>
    <n v="0"/>
    <n v="0"/>
  </r>
  <r>
    <s v="LD6464"/>
    <d v="2024-11-16T00:00:00"/>
    <x v="5"/>
    <s v="Landing Page SEO"/>
    <s v="Desktop"/>
    <s v="North America"/>
    <s v="SQL"/>
    <m/>
    <m/>
    <m/>
    <n v="3"/>
    <x v="2"/>
    <n v="1"/>
    <n v="1"/>
    <n v="0"/>
  </r>
  <r>
    <s v="LD3569"/>
    <d v="2024-06-08T00:00:00"/>
    <x v="5"/>
    <s v="Landing Page SEO"/>
    <s v="Tablet"/>
    <s v="Asia Pacific"/>
    <s v="Lead"/>
    <m/>
    <m/>
    <m/>
    <n v="1"/>
    <x v="11"/>
    <n v="0"/>
    <n v="0"/>
    <n v="0"/>
  </r>
  <r>
    <s v="LD1065"/>
    <d v="2024-01-06T00:00:00"/>
    <x v="5"/>
    <s v="Landing Page SEO"/>
    <s v="Desktop"/>
    <s v="Europe"/>
    <s v="MQL"/>
    <m/>
    <m/>
    <m/>
    <n v="2"/>
    <x v="3"/>
    <n v="1"/>
    <n v="0"/>
    <n v="0"/>
  </r>
  <r>
    <s v="LD4885"/>
    <d v="2024-08-27T00:00:00"/>
    <x v="4"/>
    <s v="Partner Program"/>
    <s v="Desktop"/>
    <s v="North America"/>
    <s v="Customer"/>
    <n v="12"/>
    <s v="Basic"/>
    <n v="1030.9000000000001"/>
    <n v="4"/>
    <x v="6"/>
    <n v="1"/>
    <n v="1"/>
    <n v="1"/>
  </r>
  <r>
    <s v="LD3063"/>
    <d v="2024-05-14T00:00:00"/>
    <x v="5"/>
    <s v="Landing Page SEO"/>
    <s v="Desktop"/>
    <s v="Europe"/>
    <s v="Lead"/>
    <m/>
    <m/>
    <m/>
    <n v="1"/>
    <x v="4"/>
    <n v="0"/>
    <n v="0"/>
    <n v="0"/>
  </r>
  <r>
    <s v="LD6277"/>
    <d v="2024-10-18T00:00:00"/>
    <x v="2"/>
    <s v="Direct / Type-in"/>
    <s v="Desktop"/>
    <s v="Europe"/>
    <s v="SQL"/>
    <m/>
    <m/>
    <m/>
    <n v="3"/>
    <x v="5"/>
    <n v="1"/>
    <n v="1"/>
    <n v="0"/>
  </r>
  <r>
    <s v="LD1493"/>
    <d v="2024-02-08T00:00:00"/>
    <x v="5"/>
    <s v="Blog SEO"/>
    <s v="Desktop"/>
    <s v="North America"/>
    <s v="MQL"/>
    <m/>
    <m/>
    <m/>
    <n v="2"/>
    <x v="10"/>
    <n v="1"/>
    <n v="0"/>
    <n v="0"/>
  </r>
  <r>
    <s v="LD1380"/>
    <d v="2024-01-23T00:00:00"/>
    <x v="4"/>
    <s v="Partner Program"/>
    <s v="Desktop"/>
    <s v="North America"/>
    <s v="SQL"/>
    <m/>
    <m/>
    <m/>
    <n v="3"/>
    <x v="3"/>
    <n v="1"/>
    <n v="1"/>
    <n v="0"/>
  </r>
  <r>
    <s v="LD7332"/>
    <d v="2024-12-03T00:00:00"/>
    <x v="0"/>
    <s v="Instagram Ads"/>
    <s v="Desktop"/>
    <s v="Latin America"/>
    <s v="Lead"/>
    <m/>
    <m/>
    <m/>
    <n v="1"/>
    <x v="7"/>
    <n v="0"/>
    <n v="0"/>
    <n v="0"/>
  </r>
  <r>
    <s v="LD5860"/>
    <d v="2024-10-09T00:00:00"/>
    <x v="0"/>
    <s v="LinkedIn Ads"/>
    <s v="Tablet"/>
    <s v="Asia Pacific"/>
    <s v="Lead"/>
    <m/>
    <m/>
    <m/>
    <n v="1"/>
    <x v="5"/>
    <n v="0"/>
    <n v="0"/>
    <n v="0"/>
  </r>
  <r>
    <s v="LD7361"/>
    <d v="2024-12-17T00:00:00"/>
    <x v="0"/>
    <s v="Facebook Ads"/>
    <s v="Desktop"/>
    <s v="Asia Pacific"/>
    <s v="MQL"/>
    <m/>
    <m/>
    <m/>
    <n v="2"/>
    <x v="7"/>
    <n v="1"/>
    <n v="0"/>
    <n v="0"/>
  </r>
  <r>
    <s v="LD4994"/>
    <d v="2024-08-14T00:00:00"/>
    <x v="2"/>
    <s v="Direct / Type-in"/>
    <s v="Desktop"/>
    <s v="North America"/>
    <s v="Lead"/>
    <m/>
    <m/>
    <m/>
    <n v="1"/>
    <x v="6"/>
    <n v="0"/>
    <n v="0"/>
    <n v="0"/>
  </r>
  <r>
    <s v="LD5888"/>
    <d v="2024-10-03T00:00:00"/>
    <x v="0"/>
    <s v="Instagram Ads"/>
    <s v="Desktop"/>
    <s v="North America"/>
    <s v="Customer"/>
    <n v="18"/>
    <s v="Basic"/>
    <n v="856.49"/>
    <n v="4"/>
    <x v="5"/>
    <n v="1"/>
    <n v="1"/>
    <n v="1"/>
  </r>
  <r>
    <s v="LD2077"/>
    <d v="2024-03-25T00:00:00"/>
    <x v="1"/>
    <s v="Google Ads - Brand"/>
    <s v="Mobile"/>
    <s v="Europe"/>
    <s v="Lead"/>
    <m/>
    <m/>
    <m/>
    <n v="1"/>
    <x v="8"/>
    <n v="0"/>
    <n v="0"/>
    <n v="0"/>
  </r>
  <r>
    <s v="LD1879"/>
    <d v="2024-02-07T00:00:00"/>
    <x v="4"/>
    <s v="Partner Program"/>
    <s v="Desktop"/>
    <s v="Asia Pacific"/>
    <s v="Lead"/>
    <m/>
    <m/>
    <m/>
    <n v="1"/>
    <x v="10"/>
    <n v="0"/>
    <n v="0"/>
    <n v="0"/>
  </r>
  <r>
    <s v="LD1338"/>
    <d v="2024-01-17T00:00:00"/>
    <x v="3"/>
    <s v="Monthly Newsletter"/>
    <s v="Mobile"/>
    <s v="North America"/>
    <s v="MQL"/>
    <m/>
    <m/>
    <m/>
    <n v="2"/>
    <x v="3"/>
    <n v="1"/>
    <n v="0"/>
    <n v="0"/>
  </r>
  <r>
    <s v="LD7440"/>
    <d v="2024-12-16T00:00:00"/>
    <x v="3"/>
    <s v="Promo Blast"/>
    <s v="Mobile"/>
    <s v="North America"/>
    <s v="Lead"/>
    <m/>
    <m/>
    <m/>
    <n v="1"/>
    <x v="7"/>
    <n v="0"/>
    <n v="0"/>
    <n v="0"/>
  </r>
  <r>
    <s v="LD2017"/>
    <d v="2024-03-15T00:00:00"/>
    <x v="5"/>
    <s v="Blog SEO"/>
    <s v="Mobile"/>
    <s v="North America"/>
    <s v="Lead"/>
    <m/>
    <m/>
    <m/>
    <n v="1"/>
    <x v="8"/>
    <n v="0"/>
    <n v="0"/>
    <n v="0"/>
  </r>
  <r>
    <s v="LD2276"/>
    <d v="2024-03-21T00:00:00"/>
    <x v="3"/>
    <s v="Monthly Newsletter"/>
    <s v="Mobile"/>
    <s v="North America"/>
    <s v="Lead"/>
    <m/>
    <m/>
    <m/>
    <n v="1"/>
    <x v="8"/>
    <n v="0"/>
    <n v="0"/>
    <n v="0"/>
  </r>
  <r>
    <s v="LD4799"/>
    <d v="2024-08-02T00:00:00"/>
    <x v="3"/>
    <s v="Promo Blast"/>
    <s v="Mobile"/>
    <s v="North America"/>
    <s v="MQL"/>
    <m/>
    <m/>
    <m/>
    <n v="2"/>
    <x v="6"/>
    <n v="1"/>
    <n v="0"/>
    <n v="0"/>
  </r>
  <r>
    <s v="LD5552"/>
    <d v="2024-09-05T00:00:00"/>
    <x v="2"/>
    <s v="Direct / Type-in"/>
    <s v="Desktop"/>
    <s v="North America"/>
    <s v="Lead"/>
    <m/>
    <m/>
    <m/>
    <n v="1"/>
    <x v="9"/>
    <n v="0"/>
    <n v="0"/>
    <n v="0"/>
  </r>
  <r>
    <s v="LD4343"/>
    <d v="2024-07-11T00:00:00"/>
    <x v="3"/>
    <s v="Monthly Newsletter"/>
    <s v="Desktop"/>
    <s v="North America"/>
    <s v="MQL"/>
    <m/>
    <m/>
    <m/>
    <n v="2"/>
    <x v="0"/>
    <n v="1"/>
    <n v="0"/>
    <n v="0"/>
  </r>
  <r>
    <s v="LD5912"/>
    <d v="2024-10-04T00:00:00"/>
    <x v="0"/>
    <s v="Instagram Ads"/>
    <s v="Tablet"/>
    <s v="Europe"/>
    <s v="Lead"/>
    <m/>
    <m/>
    <m/>
    <n v="1"/>
    <x v="5"/>
    <n v="0"/>
    <n v="0"/>
    <n v="0"/>
  </r>
  <r>
    <s v="LD7414"/>
    <d v="2024-12-27T00:00:00"/>
    <x v="0"/>
    <s v="LinkedIn Ads"/>
    <s v="Mobile"/>
    <s v="North America"/>
    <s v="Lead"/>
    <m/>
    <m/>
    <m/>
    <n v="1"/>
    <x v="7"/>
    <n v="0"/>
    <n v="0"/>
    <n v="0"/>
  </r>
  <r>
    <s v="LD1996"/>
    <d v="2024-03-03T00:00:00"/>
    <x v="5"/>
    <s v="Landing Page SEO"/>
    <s v="Mobile"/>
    <s v="North America"/>
    <s v="MQL"/>
    <m/>
    <m/>
    <m/>
    <n v="2"/>
    <x v="8"/>
    <n v="1"/>
    <n v="0"/>
    <n v="0"/>
  </r>
  <r>
    <s v="LD2982"/>
    <d v="2024-04-05T00:00:00"/>
    <x v="2"/>
    <s v="Direct / Type-in"/>
    <s v="Mobile"/>
    <s v="North America"/>
    <s v="MQL"/>
    <m/>
    <m/>
    <m/>
    <n v="2"/>
    <x v="1"/>
    <n v="1"/>
    <n v="0"/>
    <n v="0"/>
  </r>
  <r>
    <s v="LD5298"/>
    <d v="2024-09-16T00:00:00"/>
    <x v="0"/>
    <s v="Facebook Ads"/>
    <s v="Mobile"/>
    <s v="Asia Pacific"/>
    <s v="Lead"/>
    <m/>
    <m/>
    <m/>
    <n v="1"/>
    <x v="9"/>
    <n v="0"/>
    <n v="0"/>
    <n v="0"/>
  </r>
  <r>
    <s v="LD1162"/>
    <d v="2024-01-18T00:00:00"/>
    <x v="1"/>
    <s v="Google Ads - Brand"/>
    <s v="Mobile"/>
    <s v="North America"/>
    <s v="Lead"/>
    <m/>
    <m/>
    <m/>
    <n v="1"/>
    <x v="3"/>
    <n v="0"/>
    <n v="0"/>
    <n v="0"/>
  </r>
  <r>
    <s v="LD6676"/>
    <d v="2024-11-05T00:00:00"/>
    <x v="0"/>
    <s v="Instagram Ads"/>
    <s v="Mobile"/>
    <s v="Asia Pacific"/>
    <s v="MQL"/>
    <m/>
    <m/>
    <m/>
    <n v="2"/>
    <x v="2"/>
    <n v="1"/>
    <n v="0"/>
    <n v="0"/>
  </r>
  <r>
    <s v="LD7546"/>
    <d v="2024-12-18T00:00:00"/>
    <x v="3"/>
    <s v="Promo Blast"/>
    <s v="Mobile"/>
    <s v="North America"/>
    <s v="MQL"/>
    <m/>
    <m/>
    <m/>
    <n v="2"/>
    <x v="7"/>
    <n v="1"/>
    <n v="0"/>
    <n v="0"/>
  </r>
  <r>
    <s v="LD5799"/>
    <d v="2024-10-25T00:00:00"/>
    <x v="1"/>
    <s v="Google Ads - Brand"/>
    <s v="Desktop"/>
    <s v="North America"/>
    <s v="Lead"/>
    <m/>
    <m/>
    <m/>
    <n v="1"/>
    <x v="5"/>
    <n v="0"/>
    <n v="0"/>
    <n v="0"/>
  </r>
  <r>
    <s v="LD2501"/>
    <d v="2024-04-12T00:00:00"/>
    <x v="5"/>
    <s v="Landing Page SEO"/>
    <s v="Desktop"/>
    <s v="Europe"/>
    <s v="MQL"/>
    <m/>
    <m/>
    <m/>
    <n v="2"/>
    <x v="1"/>
    <n v="1"/>
    <n v="0"/>
    <n v="0"/>
  </r>
  <r>
    <s v="LD4844"/>
    <d v="2024-08-24T00:00:00"/>
    <x v="3"/>
    <s v="Promo Blast"/>
    <s v="Mobile"/>
    <s v="North America"/>
    <s v="MQL"/>
    <m/>
    <m/>
    <m/>
    <n v="2"/>
    <x v="6"/>
    <n v="1"/>
    <n v="0"/>
    <n v="0"/>
  </r>
  <r>
    <s v="LD6226"/>
    <d v="2024-10-25T00:00:00"/>
    <x v="4"/>
    <s v="Affiliate Program"/>
    <s v="Desktop"/>
    <s v="North America"/>
    <s v="Customer"/>
    <n v="38"/>
    <s v="Basic"/>
    <n v="1005.82"/>
    <n v="4"/>
    <x v="5"/>
    <n v="1"/>
    <n v="1"/>
    <n v="1"/>
  </r>
  <r>
    <s v="LD3614"/>
    <d v="2024-06-05T00:00:00"/>
    <x v="5"/>
    <s v="Blog SEO"/>
    <s v="Desktop"/>
    <s v="Latin America"/>
    <s v="MQL"/>
    <m/>
    <m/>
    <m/>
    <n v="2"/>
    <x v="11"/>
    <n v="1"/>
    <n v="0"/>
    <n v="0"/>
  </r>
  <r>
    <s v="LD4462"/>
    <d v="2024-07-02T00:00:00"/>
    <x v="2"/>
    <s v="Direct / Type-in"/>
    <s v="Mobile"/>
    <s v="North America"/>
    <s v="Lead"/>
    <m/>
    <m/>
    <m/>
    <n v="1"/>
    <x v="0"/>
    <n v="0"/>
    <n v="0"/>
    <n v="0"/>
  </r>
  <r>
    <s v="LD2022"/>
    <d v="2024-03-18T00:00:00"/>
    <x v="5"/>
    <s v="Blog SEO"/>
    <s v="Desktop"/>
    <s v="Asia Pacific"/>
    <s v="SQL"/>
    <m/>
    <m/>
    <m/>
    <n v="3"/>
    <x v="8"/>
    <n v="1"/>
    <n v="1"/>
    <n v="0"/>
  </r>
  <r>
    <s v="LD4074"/>
    <d v="2024-07-16T00:00:00"/>
    <x v="5"/>
    <s v="Landing Page SEO"/>
    <s v="Desktop"/>
    <s v="North America"/>
    <s v="MQL"/>
    <m/>
    <m/>
    <m/>
    <n v="2"/>
    <x v="0"/>
    <n v="1"/>
    <n v="0"/>
    <n v="0"/>
  </r>
  <r>
    <s v="LD4944"/>
    <d v="2024-08-07T00:00:00"/>
    <x v="4"/>
    <s v="Affiliate Program"/>
    <s v="Desktop"/>
    <s v="Europe"/>
    <s v="SQL"/>
    <m/>
    <m/>
    <m/>
    <n v="3"/>
    <x v="6"/>
    <n v="1"/>
    <n v="1"/>
    <n v="0"/>
  </r>
  <r>
    <s v="LD2586"/>
    <d v="2024-04-07T00:00:00"/>
    <x v="1"/>
    <s v="Google Ads - Generic"/>
    <s v="Desktop"/>
    <s v="Europe"/>
    <s v="Lead"/>
    <m/>
    <m/>
    <m/>
    <n v="1"/>
    <x v="1"/>
    <n v="0"/>
    <n v="0"/>
    <n v="0"/>
  </r>
  <r>
    <s v="LD2956"/>
    <d v="2024-04-05T00:00:00"/>
    <x v="2"/>
    <s v="Direct / Type-in"/>
    <s v="Desktop"/>
    <s v="North America"/>
    <s v="Lead"/>
    <m/>
    <m/>
    <m/>
    <n v="1"/>
    <x v="1"/>
    <n v="0"/>
    <n v="0"/>
    <n v="0"/>
  </r>
  <r>
    <s v="LD4153"/>
    <d v="2024-07-05T00:00:00"/>
    <x v="1"/>
    <s v="Google Ads - Generic"/>
    <s v="Mobile"/>
    <s v="Asia Pacific"/>
    <s v="MQL"/>
    <m/>
    <m/>
    <m/>
    <n v="2"/>
    <x v="0"/>
    <n v="1"/>
    <n v="0"/>
    <n v="0"/>
  </r>
  <r>
    <s v="LD7350"/>
    <d v="2024-12-07T00:00:00"/>
    <x v="0"/>
    <s v="LinkedIn Ads"/>
    <s v="Mobile"/>
    <s v="Europe"/>
    <s v="Lead"/>
    <m/>
    <m/>
    <m/>
    <n v="1"/>
    <x v="7"/>
    <n v="0"/>
    <n v="0"/>
    <n v="0"/>
  </r>
  <r>
    <s v="LD1035"/>
    <d v="2024-01-04T00:00:00"/>
    <x v="5"/>
    <s v="Blog SEO"/>
    <s v="Desktop"/>
    <s v="Europe"/>
    <s v="SQL"/>
    <m/>
    <m/>
    <m/>
    <n v="3"/>
    <x v="3"/>
    <n v="1"/>
    <n v="1"/>
    <n v="0"/>
  </r>
  <r>
    <s v="LD5015"/>
    <d v="2024-08-22T00:00:00"/>
    <x v="2"/>
    <s v="Direct / Type-in"/>
    <s v="Desktop"/>
    <s v="Asia Pacific"/>
    <s v="MQL"/>
    <m/>
    <m/>
    <m/>
    <n v="2"/>
    <x v="6"/>
    <n v="1"/>
    <n v="0"/>
    <n v="0"/>
  </r>
  <r>
    <s v="LD1776"/>
    <d v="2024-02-08T00:00:00"/>
    <x v="3"/>
    <s v="Monthly Newsletter"/>
    <s v="Mobile"/>
    <s v="Asia Pacific"/>
    <s v="MQL"/>
    <m/>
    <m/>
    <m/>
    <n v="2"/>
    <x v="10"/>
    <n v="1"/>
    <n v="0"/>
    <n v="0"/>
  </r>
  <r>
    <s v="LD3557"/>
    <d v="2024-05-28T00:00:00"/>
    <x v="2"/>
    <s v="Direct / Type-in"/>
    <s v="Mobile"/>
    <s v="North America"/>
    <s v="Lead"/>
    <m/>
    <m/>
    <m/>
    <n v="1"/>
    <x v="4"/>
    <n v="0"/>
    <n v="0"/>
    <n v="0"/>
  </r>
  <r>
    <s v="LD2479"/>
    <d v="2024-04-19T00:00:00"/>
    <x v="5"/>
    <s v="Blog SEO"/>
    <s v="Desktop"/>
    <s v="Asia Pacific"/>
    <s v="MQL"/>
    <m/>
    <m/>
    <m/>
    <n v="2"/>
    <x v="1"/>
    <n v="1"/>
    <n v="0"/>
    <n v="0"/>
  </r>
  <r>
    <s v="LD6487"/>
    <d v="2024-11-10T00:00:00"/>
    <x v="1"/>
    <s v="Google Ads - Generic"/>
    <s v="Desktop"/>
    <s v="Asia Pacific"/>
    <s v="Lead"/>
    <m/>
    <m/>
    <m/>
    <n v="1"/>
    <x v="2"/>
    <n v="0"/>
    <n v="0"/>
    <n v="0"/>
  </r>
  <r>
    <s v="LD7236"/>
    <d v="2024-12-06T00:00:00"/>
    <x v="1"/>
    <s v="Google Ads - Brand"/>
    <s v="Desktop"/>
    <s v="Latin America"/>
    <s v="Lead"/>
    <m/>
    <m/>
    <m/>
    <n v="1"/>
    <x v="7"/>
    <n v="0"/>
    <n v="0"/>
    <n v="0"/>
  </r>
  <r>
    <s v="LD2364"/>
    <d v="2024-03-21T00:00:00"/>
    <x v="4"/>
    <s v="Affiliate Program"/>
    <s v="Desktop"/>
    <s v="North America"/>
    <s v="SQL"/>
    <m/>
    <m/>
    <m/>
    <n v="3"/>
    <x v="8"/>
    <n v="1"/>
    <n v="1"/>
    <n v="0"/>
  </r>
  <r>
    <s v="LD3613"/>
    <d v="2024-06-10T00:00:00"/>
    <x v="5"/>
    <s v="Landing Page SEO"/>
    <s v="Desktop"/>
    <s v="North America"/>
    <s v="Lead"/>
    <m/>
    <m/>
    <m/>
    <n v="1"/>
    <x v="11"/>
    <n v="0"/>
    <n v="0"/>
    <n v="0"/>
  </r>
  <r>
    <s v="LD3825"/>
    <d v="2024-06-28T00:00:00"/>
    <x v="3"/>
    <s v="Monthly Newsletter"/>
    <s v="Mobile"/>
    <s v="North America"/>
    <s v="SQL"/>
    <m/>
    <m/>
    <m/>
    <n v="3"/>
    <x v="11"/>
    <n v="1"/>
    <n v="1"/>
    <n v="0"/>
  </r>
  <r>
    <s v="LD3042"/>
    <d v="2024-05-09T00:00:00"/>
    <x v="5"/>
    <s v="Blog SEO"/>
    <s v="Mobile"/>
    <s v="North America"/>
    <s v="Customer"/>
    <n v="45"/>
    <s v="Pro"/>
    <n v="3387.05"/>
    <n v="4"/>
    <x v="4"/>
    <n v="1"/>
    <n v="1"/>
    <n v="1"/>
  </r>
  <r>
    <s v="LD1242"/>
    <d v="2024-01-28T00:00:00"/>
    <x v="3"/>
    <s v="Monthly Newsletter"/>
    <s v="Mobile"/>
    <s v="Europe"/>
    <s v="MQL"/>
    <m/>
    <m/>
    <m/>
    <n v="2"/>
    <x v="3"/>
    <n v="1"/>
    <n v="0"/>
    <n v="0"/>
  </r>
  <r>
    <s v="LD3062"/>
    <d v="2024-05-25T00:00:00"/>
    <x v="5"/>
    <s v="Landing Page SEO"/>
    <s v="Mobile"/>
    <s v="Europe"/>
    <s v="MQL"/>
    <m/>
    <m/>
    <m/>
    <n v="2"/>
    <x v="4"/>
    <n v="1"/>
    <n v="0"/>
    <n v="0"/>
  </r>
  <r>
    <s v="LD3364"/>
    <d v="2024-05-16T00:00:00"/>
    <x v="3"/>
    <s v="Promo Blast"/>
    <s v="Desktop"/>
    <s v="Asia Pacific"/>
    <s v="MQL"/>
    <m/>
    <m/>
    <m/>
    <n v="2"/>
    <x v="4"/>
    <n v="1"/>
    <n v="0"/>
    <n v="0"/>
  </r>
  <r>
    <s v="LD1601"/>
    <d v="2024-02-05T00:00:00"/>
    <x v="1"/>
    <s v="Google Ads - Generic"/>
    <s v="Mobile"/>
    <s v="North America"/>
    <s v="SQL"/>
    <m/>
    <m/>
    <m/>
    <n v="3"/>
    <x v="10"/>
    <n v="1"/>
    <n v="1"/>
    <n v="0"/>
  </r>
  <r>
    <s v="LD3436"/>
    <d v="2024-05-16T00:00:00"/>
    <x v="3"/>
    <s v="Monthly Newsletter"/>
    <s v="Mobile"/>
    <s v="Latin America"/>
    <s v="Customer"/>
    <n v="67"/>
    <s v="Pro"/>
    <n v="2843.14"/>
    <n v="4"/>
    <x v="4"/>
    <n v="1"/>
    <n v="1"/>
    <n v="1"/>
  </r>
  <r>
    <s v="LD6394"/>
    <d v="2024-11-07T00:00:00"/>
    <x v="5"/>
    <s v="Blog SEO"/>
    <s v="Mobile"/>
    <s v="Europe"/>
    <s v="Lead"/>
    <m/>
    <m/>
    <m/>
    <n v="1"/>
    <x v="2"/>
    <n v="0"/>
    <n v="0"/>
    <n v="0"/>
  </r>
  <r>
    <s v="LD7311"/>
    <d v="2024-12-03T00:00:00"/>
    <x v="1"/>
    <s v="Google Ads - Generic"/>
    <s v="Mobile"/>
    <s v="North America"/>
    <s v="MQL"/>
    <m/>
    <m/>
    <m/>
    <n v="2"/>
    <x v="7"/>
    <n v="1"/>
    <n v="0"/>
    <n v="0"/>
  </r>
  <r>
    <s v="LD3889"/>
    <d v="2024-06-17T00:00:00"/>
    <x v="3"/>
    <s v="Promo Blast"/>
    <s v="Desktop"/>
    <s v="North America"/>
    <s v="Lead"/>
    <m/>
    <m/>
    <m/>
    <n v="1"/>
    <x v="11"/>
    <n v="0"/>
    <n v="0"/>
    <n v="0"/>
  </r>
  <r>
    <s v="LD7165"/>
    <d v="2024-12-01T00:00:00"/>
    <x v="5"/>
    <s v="Blog SEO"/>
    <s v="Mobile"/>
    <s v="Europe"/>
    <s v="Lead"/>
    <m/>
    <m/>
    <m/>
    <n v="1"/>
    <x v="7"/>
    <n v="0"/>
    <n v="0"/>
    <n v="0"/>
  </r>
  <r>
    <s v="LD1647"/>
    <d v="2024-02-04T00:00:00"/>
    <x v="0"/>
    <s v="LinkedIn Ads"/>
    <s v="Desktop"/>
    <s v="North America"/>
    <s v="Lead"/>
    <m/>
    <m/>
    <m/>
    <n v="1"/>
    <x v="10"/>
    <n v="0"/>
    <n v="0"/>
    <n v="0"/>
  </r>
  <r>
    <s v="LD4891"/>
    <d v="2024-08-13T00:00:00"/>
    <x v="4"/>
    <s v="Partner Program"/>
    <s v="Desktop"/>
    <s v="Europe"/>
    <s v="SQL"/>
    <m/>
    <m/>
    <m/>
    <n v="3"/>
    <x v="6"/>
    <n v="1"/>
    <n v="1"/>
    <n v="0"/>
  </r>
  <r>
    <s v="LD4557"/>
    <d v="2024-08-01T00:00:00"/>
    <x v="5"/>
    <s v="Blog SEO"/>
    <s v="Tablet"/>
    <s v="North America"/>
    <s v="SQL"/>
    <m/>
    <m/>
    <m/>
    <n v="3"/>
    <x v="6"/>
    <n v="1"/>
    <n v="1"/>
    <n v="0"/>
  </r>
  <r>
    <s v="LD4203"/>
    <d v="2024-07-19T00:00:00"/>
    <x v="1"/>
    <s v="Google Ads - Brand"/>
    <s v="Desktop"/>
    <s v="Asia Pacific"/>
    <s v="Lead"/>
    <m/>
    <m/>
    <m/>
    <n v="1"/>
    <x v="0"/>
    <n v="0"/>
    <n v="0"/>
    <n v="0"/>
  </r>
  <r>
    <s v="LD2529"/>
    <d v="2024-04-12T00:00:00"/>
    <x v="5"/>
    <s v="Landing Page SEO"/>
    <s v="Mobile"/>
    <s v="North America"/>
    <s v="Lead"/>
    <m/>
    <m/>
    <m/>
    <n v="1"/>
    <x v="1"/>
    <n v="0"/>
    <n v="0"/>
    <n v="0"/>
  </r>
  <r>
    <s v="LD2268"/>
    <d v="2024-03-05T00:00:00"/>
    <x v="3"/>
    <s v="Promo Blast"/>
    <s v="Desktop"/>
    <s v="North America"/>
    <s v="Lead"/>
    <m/>
    <m/>
    <m/>
    <n v="1"/>
    <x v="8"/>
    <n v="0"/>
    <n v="0"/>
    <n v="0"/>
  </r>
  <r>
    <s v="LD2900"/>
    <d v="2024-04-27T00:00:00"/>
    <x v="4"/>
    <s v="Affiliate Program"/>
    <s v="Desktop"/>
    <s v="Europe"/>
    <s v="SQL"/>
    <m/>
    <m/>
    <m/>
    <n v="3"/>
    <x v="1"/>
    <n v="1"/>
    <n v="1"/>
    <n v="0"/>
  </r>
  <r>
    <s v="LD5659"/>
    <d v="2024-10-06T00:00:00"/>
    <x v="5"/>
    <s v="Landing Page SEO"/>
    <s v="Desktop"/>
    <s v="Asia Pacific"/>
    <s v="Lead"/>
    <m/>
    <m/>
    <m/>
    <n v="1"/>
    <x v="5"/>
    <n v="0"/>
    <n v="0"/>
    <n v="0"/>
  </r>
  <r>
    <s v="LD4006"/>
    <d v="2024-06-04T00:00:00"/>
    <x v="2"/>
    <s v="Direct / Type-in"/>
    <s v="Desktop"/>
    <s v="Latin America"/>
    <s v="Lead"/>
    <m/>
    <m/>
    <m/>
    <n v="1"/>
    <x v="11"/>
    <n v="0"/>
    <n v="0"/>
    <n v="0"/>
  </r>
  <r>
    <s v="LD3735"/>
    <d v="2024-06-04T00:00:00"/>
    <x v="0"/>
    <s v="LinkedIn Ads"/>
    <s v="Desktop"/>
    <s v="Asia Pacific"/>
    <s v="SQL"/>
    <m/>
    <m/>
    <m/>
    <n v="3"/>
    <x v="11"/>
    <n v="1"/>
    <n v="1"/>
    <n v="0"/>
  </r>
  <r>
    <s v="LD1190"/>
    <d v="2024-01-27T00:00:00"/>
    <x v="0"/>
    <s v="Instagram Ads"/>
    <s v="Mobile"/>
    <s v="Latin America"/>
    <s v="MQL"/>
    <m/>
    <m/>
    <m/>
    <n v="2"/>
    <x v="3"/>
    <n v="1"/>
    <n v="0"/>
    <n v="0"/>
  </r>
  <r>
    <s v="LD2807"/>
    <d v="2024-04-06T00:00:00"/>
    <x v="3"/>
    <s v="Monthly Newsletter"/>
    <s v="Mobile"/>
    <s v="Europe"/>
    <s v="MQL"/>
    <m/>
    <m/>
    <m/>
    <n v="2"/>
    <x v="1"/>
    <n v="1"/>
    <n v="0"/>
    <n v="0"/>
  </r>
  <r>
    <s v="LD1976"/>
    <d v="2024-03-24T00:00:00"/>
    <x v="5"/>
    <s v="Landing Page SEO"/>
    <s v="Desktop"/>
    <s v="Europe"/>
    <s v="SQL"/>
    <m/>
    <m/>
    <m/>
    <n v="3"/>
    <x v="8"/>
    <n v="1"/>
    <n v="1"/>
    <n v="0"/>
  </r>
  <r>
    <s v="LD3748"/>
    <d v="2024-06-06T00:00:00"/>
    <x v="0"/>
    <s v="Instagram Ads"/>
    <s v="Mobile"/>
    <s v="Europe"/>
    <s v="Lead"/>
    <m/>
    <m/>
    <m/>
    <n v="1"/>
    <x v="11"/>
    <n v="0"/>
    <n v="0"/>
    <n v="0"/>
  </r>
  <r>
    <s v="LD3048"/>
    <d v="2024-05-15T00:00:00"/>
    <x v="5"/>
    <s v="Landing Page SEO"/>
    <s v="Mobile"/>
    <s v="North America"/>
    <s v="MQL"/>
    <m/>
    <m/>
    <m/>
    <n v="2"/>
    <x v="4"/>
    <n v="1"/>
    <n v="0"/>
    <n v="0"/>
  </r>
  <r>
    <s v="LD3559"/>
    <d v="2024-05-05T00:00:00"/>
    <x v="2"/>
    <s v="Direct / Type-in"/>
    <s v="Tablet"/>
    <s v="North America"/>
    <s v="Lead"/>
    <m/>
    <m/>
    <m/>
    <n v="1"/>
    <x v="4"/>
    <n v="0"/>
    <n v="0"/>
    <n v="0"/>
  </r>
  <r>
    <s v="LD2083"/>
    <d v="2024-03-20T00:00:00"/>
    <x v="1"/>
    <s v="Google Ads - Brand"/>
    <s v="Mobile"/>
    <s v="North America"/>
    <s v="MQL"/>
    <m/>
    <m/>
    <m/>
    <n v="2"/>
    <x v="8"/>
    <n v="1"/>
    <n v="0"/>
    <n v="0"/>
  </r>
  <r>
    <s v="LD1475"/>
    <d v="2024-01-22T00:00:00"/>
    <x v="2"/>
    <s v="Direct / Type-in"/>
    <s v="Desktop"/>
    <s v="Europe"/>
    <s v="SQL"/>
    <m/>
    <m/>
    <m/>
    <n v="3"/>
    <x v="3"/>
    <n v="1"/>
    <n v="1"/>
    <n v="0"/>
  </r>
  <r>
    <s v="LD3905"/>
    <d v="2024-06-25T00:00:00"/>
    <x v="3"/>
    <s v="Monthly Newsletter"/>
    <s v="Desktop"/>
    <s v="Asia Pacific"/>
    <s v="Customer"/>
    <n v="57"/>
    <s v="Pro"/>
    <n v="1992.14"/>
    <n v="4"/>
    <x v="11"/>
    <n v="1"/>
    <n v="1"/>
    <n v="1"/>
  </r>
  <r>
    <s v="LD5844"/>
    <d v="2024-10-27T00:00:00"/>
    <x v="0"/>
    <s v="Facebook Ads"/>
    <s v="Mobile"/>
    <s v="North America"/>
    <s v="MQL"/>
    <m/>
    <m/>
    <m/>
    <n v="2"/>
    <x v="5"/>
    <n v="1"/>
    <n v="0"/>
    <n v="0"/>
  </r>
  <r>
    <s v="LD7397"/>
    <d v="2024-12-13T00:00:00"/>
    <x v="0"/>
    <s v="Instagram Ads"/>
    <s v="Desktop"/>
    <s v="North America"/>
    <s v="Lead"/>
    <m/>
    <m/>
    <m/>
    <n v="1"/>
    <x v="7"/>
    <n v="0"/>
    <n v="0"/>
    <n v="0"/>
  </r>
  <r>
    <s v="LD5118"/>
    <d v="2024-09-07T00:00:00"/>
    <x v="5"/>
    <s v="Blog SEO"/>
    <s v="Desktop"/>
    <s v="Europe"/>
    <s v="Lead"/>
    <m/>
    <m/>
    <m/>
    <n v="1"/>
    <x v="9"/>
    <n v="0"/>
    <n v="0"/>
    <n v="0"/>
  </r>
  <r>
    <s v="LD4386"/>
    <d v="2024-07-24T00:00:00"/>
    <x v="4"/>
    <s v="Partner Program"/>
    <s v="Tablet"/>
    <s v="Asia Pacific"/>
    <s v="Customer"/>
    <n v="58"/>
    <s v="Basic"/>
    <n v="1263.72"/>
    <n v="4"/>
    <x v="0"/>
    <n v="1"/>
    <n v="1"/>
    <n v="1"/>
  </r>
  <r>
    <s v="LD5556"/>
    <d v="2024-09-10T00:00:00"/>
    <x v="2"/>
    <s v="Direct / Type-in"/>
    <s v="Desktop"/>
    <s v="North America"/>
    <s v="MQL"/>
    <m/>
    <m/>
    <m/>
    <n v="2"/>
    <x v="9"/>
    <n v="1"/>
    <n v="0"/>
    <n v="0"/>
  </r>
  <r>
    <s v="LD2185"/>
    <d v="2024-03-09T00:00:00"/>
    <x v="0"/>
    <s v="Instagram Ads"/>
    <s v="Desktop"/>
    <s v="Asia Pacific"/>
    <s v="SQL"/>
    <m/>
    <m/>
    <m/>
    <n v="3"/>
    <x v="8"/>
    <n v="1"/>
    <n v="1"/>
    <n v="0"/>
  </r>
  <r>
    <s v="LD7421"/>
    <d v="2024-12-10T00:00:00"/>
    <x v="0"/>
    <s v="Facebook Ads"/>
    <s v="Mobile"/>
    <s v="North America"/>
    <s v="Lead"/>
    <m/>
    <m/>
    <m/>
    <n v="1"/>
    <x v="7"/>
    <n v="0"/>
    <n v="0"/>
    <n v="0"/>
  </r>
  <r>
    <s v="LD6052"/>
    <d v="2024-10-11T00:00:00"/>
    <x v="3"/>
    <s v="Promo Blast"/>
    <s v="Desktop"/>
    <s v="Europe"/>
    <s v="MQL"/>
    <m/>
    <m/>
    <m/>
    <n v="2"/>
    <x v="5"/>
    <n v="1"/>
    <n v="0"/>
    <n v="0"/>
  </r>
  <r>
    <s v="LD6312"/>
    <d v="2024-10-14T00:00:00"/>
    <x v="2"/>
    <s v="Direct / Type-in"/>
    <s v="Desktop"/>
    <s v="Europe"/>
    <s v="MQL"/>
    <m/>
    <m/>
    <m/>
    <n v="2"/>
    <x v="5"/>
    <n v="1"/>
    <n v="0"/>
    <n v="0"/>
  </r>
  <r>
    <s v="LD3434"/>
    <d v="2024-05-03T00:00:00"/>
    <x v="3"/>
    <s v="Monthly Newsletter"/>
    <s v="Desktop"/>
    <s v="Latin America"/>
    <s v="SQL"/>
    <m/>
    <m/>
    <m/>
    <n v="3"/>
    <x v="4"/>
    <n v="1"/>
    <n v="1"/>
    <n v="0"/>
  </r>
  <r>
    <s v="LD6612"/>
    <d v="2024-11-21T00:00:00"/>
    <x v="0"/>
    <s v="LinkedIn Ads"/>
    <s v="Desktop"/>
    <s v="North America"/>
    <s v="MQL"/>
    <m/>
    <m/>
    <m/>
    <n v="2"/>
    <x v="2"/>
    <n v="1"/>
    <n v="0"/>
    <n v="0"/>
  </r>
  <r>
    <s v="LD3392"/>
    <d v="2024-05-17T00:00:00"/>
    <x v="3"/>
    <s v="Promo Blast"/>
    <s v="Desktop"/>
    <s v="Asia Pacific"/>
    <s v="Lead"/>
    <m/>
    <m/>
    <m/>
    <n v="1"/>
    <x v="4"/>
    <n v="0"/>
    <n v="0"/>
    <n v="0"/>
  </r>
  <r>
    <s v="LD1770"/>
    <d v="2024-02-16T00:00:00"/>
    <x v="3"/>
    <s v="Monthly Newsletter"/>
    <s v="Desktop"/>
    <s v="North America"/>
    <s v="Lead"/>
    <m/>
    <m/>
    <m/>
    <n v="1"/>
    <x v="10"/>
    <n v="0"/>
    <n v="0"/>
    <n v="0"/>
  </r>
  <r>
    <s v="LD2686"/>
    <d v="2024-04-02T00:00:00"/>
    <x v="0"/>
    <s v="Facebook Ads"/>
    <s v="Mobile"/>
    <s v="North America"/>
    <s v="Lead"/>
    <m/>
    <m/>
    <m/>
    <n v="1"/>
    <x v="1"/>
    <n v="0"/>
    <n v="0"/>
    <n v="0"/>
  </r>
  <r>
    <s v="LD1131"/>
    <d v="2024-01-09T00:00:00"/>
    <x v="1"/>
    <s v="Google Ads - Brand"/>
    <s v="Desktop"/>
    <s v="North America"/>
    <s v="MQL"/>
    <m/>
    <m/>
    <m/>
    <n v="2"/>
    <x v="3"/>
    <n v="1"/>
    <n v="0"/>
    <n v="0"/>
  </r>
  <r>
    <s v="LD3920"/>
    <d v="2024-06-04T00:00:00"/>
    <x v="4"/>
    <s v="Partner Program"/>
    <s v="Mobile"/>
    <s v="North America"/>
    <s v="SQL"/>
    <m/>
    <m/>
    <m/>
    <n v="3"/>
    <x v="11"/>
    <n v="1"/>
    <n v="1"/>
    <n v="0"/>
  </r>
  <r>
    <s v="LD4172"/>
    <d v="2024-07-09T00:00:00"/>
    <x v="1"/>
    <s v="Google Ads - Brand"/>
    <s v="Mobile"/>
    <s v="North America"/>
    <s v="SQL"/>
    <m/>
    <m/>
    <m/>
    <n v="3"/>
    <x v="0"/>
    <n v="1"/>
    <n v="1"/>
    <n v="0"/>
  </r>
  <r>
    <s v="LD4445"/>
    <d v="2024-07-27T00:00:00"/>
    <x v="4"/>
    <s v="Affiliate Program"/>
    <s v="Desktop"/>
    <s v="Europe"/>
    <s v="SQL"/>
    <m/>
    <m/>
    <m/>
    <n v="3"/>
    <x v="0"/>
    <n v="1"/>
    <n v="1"/>
    <n v="0"/>
  </r>
  <r>
    <s v="LD7232"/>
    <d v="2024-12-06T00:00:00"/>
    <x v="1"/>
    <s v="Google Ads - Generic"/>
    <s v="Desktop"/>
    <s v="North America"/>
    <s v="SQL"/>
    <m/>
    <m/>
    <m/>
    <n v="3"/>
    <x v="7"/>
    <n v="1"/>
    <n v="1"/>
    <n v="0"/>
  </r>
  <r>
    <s v="LD6579"/>
    <d v="2024-11-01T00:00:00"/>
    <x v="1"/>
    <s v="Google Ads - Generic"/>
    <s v="Desktop"/>
    <s v="Latin America"/>
    <s v="MQL"/>
    <m/>
    <m/>
    <m/>
    <n v="2"/>
    <x v="2"/>
    <n v="1"/>
    <n v="0"/>
    <n v="0"/>
  </r>
  <r>
    <s v="LD5427"/>
    <d v="2024-09-12T00:00:00"/>
    <x v="3"/>
    <s v="Monthly Newsletter"/>
    <s v="Mobile"/>
    <s v="Europe"/>
    <s v="Customer"/>
    <n v="17"/>
    <s v="Basic"/>
    <n v="696.5"/>
    <n v="4"/>
    <x v="9"/>
    <n v="1"/>
    <n v="1"/>
    <n v="1"/>
  </r>
  <r>
    <s v="LD6335"/>
    <d v="2024-11-11T00:00:00"/>
    <x v="5"/>
    <s v="Blog SEO"/>
    <s v="Desktop"/>
    <s v="North America"/>
    <s v="Lead"/>
    <m/>
    <m/>
    <m/>
    <n v="1"/>
    <x v="2"/>
    <n v="0"/>
    <n v="0"/>
    <n v="0"/>
  </r>
  <r>
    <s v="LD1467"/>
    <d v="2024-01-01T00:00:00"/>
    <x v="2"/>
    <s v="Direct / Type-in"/>
    <s v="Mobile"/>
    <s v="Latin America"/>
    <s v="Customer"/>
    <n v="56"/>
    <s v="Basic"/>
    <n v="1305.96"/>
    <n v="4"/>
    <x v="3"/>
    <n v="1"/>
    <n v="1"/>
    <n v="1"/>
  </r>
  <r>
    <s v="LD7266"/>
    <d v="2024-12-13T00:00:00"/>
    <x v="1"/>
    <s v="Google Ads - Brand"/>
    <s v="Mobile"/>
    <s v="North America"/>
    <s v="Customer"/>
    <n v="71"/>
    <s v="Basic"/>
    <n v="889.42"/>
    <n v="4"/>
    <x v="7"/>
    <n v="1"/>
    <n v="1"/>
    <n v="1"/>
  </r>
  <r>
    <s v="LD6735"/>
    <d v="2024-11-24T00:00:00"/>
    <x v="3"/>
    <s v="Monthly Newsletter"/>
    <s v="Mobile"/>
    <s v="Europe"/>
    <s v="SQL"/>
    <m/>
    <m/>
    <m/>
    <n v="3"/>
    <x v="2"/>
    <n v="1"/>
    <n v="1"/>
    <n v="0"/>
  </r>
  <r>
    <s v="LD4093"/>
    <d v="2024-07-17T00:00:00"/>
    <x v="5"/>
    <s v="Landing Page SEO"/>
    <s v="Desktop"/>
    <s v="Europe"/>
    <s v="MQL"/>
    <m/>
    <m/>
    <m/>
    <n v="2"/>
    <x v="0"/>
    <n v="1"/>
    <n v="0"/>
    <n v="0"/>
  </r>
  <r>
    <s v="LD4773"/>
    <d v="2024-08-15T00:00:00"/>
    <x v="3"/>
    <s v="Monthly Newsletter"/>
    <s v="Desktop"/>
    <s v="North America"/>
    <s v="Lead"/>
    <m/>
    <m/>
    <m/>
    <n v="1"/>
    <x v="6"/>
    <n v="0"/>
    <n v="0"/>
    <n v="0"/>
  </r>
  <r>
    <s v="LD6192"/>
    <d v="2024-10-27T00:00:00"/>
    <x v="4"/>
    <s v="Affiliate Program"/>
    <s v="Mobile"/>
    <s v="Europe"/>
    <s v="MQL"/>
    <m/>
    <m/>
    <m/>
    <n v="2"/>
    <x v="5"/>
    <n v="1"/>
    <n v="0"/>
    <n v="0"/>
  </r>
  <r>
    <s v="LD6227"/>
    <d v="2024-10-16T00:00:00"/>
    <x v="4"/>
    <s v="Affiliate Program"/>
    <s v="Mobile"/>
    <s v="Asia Pacific"/>
    <s v="SQL"/>
    <m/>
    <m/>
    <m/>
    <n v="3"/>
    <x v="5"/>
    <n v="1"/>
    <n v="1"/>
    <n v="0"/>
  </r>
  <r>
    <s v="LD6391"/>
    <d v="2024-11-04T00:00:00"/>
    <x v="5"/>
    <s v="Blog SEO"/>
    <s v="Desktop"/>
    <s v="North America"/>
    <s v="MQL"/>
    <m/>
    <m/>
    <m/>
    <n v="2"/>
    <x v="2"/>
    <n v="1"/>
    <n v="0"/>
    <n v="0"/>
  </r>
  <r>
    <s v="LD1861"/>
    <d v="2024-02-02T00:00:00"/>
    <x v="4"/>
    <s v="Affiliate Program"/>
    <s v="Mobile"/>
    <s v="North America"/>
    <s v="SQL"/>
    <m/>
    <m/>
    <m/>
    <n v="3"/>
    <x v="10"/>
    <n v="1"/>
    <n v="1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610B5-F116-4555-BCF1-2E387E56CB91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Lead ID" fld="0" subtotal="count" baseField="0" baseItem="0"/>
    <dataField name="Sum of Reached MQL +" fld="12" baseField="0" baseItem="0"/>
    <dataField name="Sum of Reached SQL +" fld="13" baseField="0" baseItem="0"/>
    <dataField name="Sum of Reached Customer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C7C9B-B322-4B51-85B0-AB4D912CFCC7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0" firstHeaderRow="0" firstDataRow="1" firstDataCol="1"/>
  <pivotFields count="15">
    <pivotField dataField="1" showAll="0"/>
    <pivotField numFmtId="14" showAll="0"/>
    <pivotField axis="axisRow" showAll="0">
      <items count="7">
        <item x="2"/>
        <item x="3"/>
        <item x="5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Lead ID" fld="0" subtotal="count" baseField="0" baseItem="0"/>
    <dataField name="Sum of Reached MQL +" fld="12" baseField="0" baseItem="0"/>
    <dataField name="Sum of Reached SQL +" fld="13" baseField="0" baseItem="0"/>
    <dataField name="Sum of Reached Customer" fld="14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37637-AA88-4793-895F-FCA870D84B8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6" firstHeaderRow="0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3"/>
        <item x="10"/>
        <item x="8"/>
        <item x="1"/>
        <item x="4"/>
        <item x="11"/>
        <item x="0"/>
        <item x="6"/>
        <item x="9"/>
        <item x="5"/>
        <item x="2"/>
        <item x="7"/>
        <item t="default"/>
      </items>
    </pivotField>
    <pivotField dataField="1" showAll="0"/>
    <pivotField dataField="1" showAll="0"/>
    <pivotField dataField="1"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Lead ID" fld="0" subtotal="count" baseField="0" baseItem="0"/>
    <dataField name="Sum of Reached MQL +" fld="12" baseField="0" baseItem="0"/>
    <dataField name="Sum of Reached SQL +" fld="13" baseField="0" baseItem="0"/>
    <dataField name="Sum of Reached Customer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04BE7-E91D-4517-914B-81DA06BF14C0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0" firstHeaderRow="0" firstDataRow="1" firstDataCol="1"/>
  <pivotFields count="15">
    <pivotField dataField="1" showAll="0"/>
    <pivotField numFmtId="14" showAll="0"/>
    <pivotField axis="axisRow" showAll="0">
      <items count="7">
        <item x="2"/>
        <item x="3"/>
        <item x="5"/>
        <item x="1"/>
        <item x="4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Plan" fld="8" subtotal="count" baseField="0" baseItem="0"/>
    <dataField name="Sum of Deal Value" fld="9" baseField="0" baseItem="0"/>
    <dataField name="Average of Deal Value" fld="9" subtotal="average" baseField="2" baseItem="0"/>
    <dataField name="Count of Lead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383167-79E4-4A22-BD08-5F4C52B14918}" name="LeadsData" displayName="LeadsData" ref="A1:O6785" totalsRowShown="0">
  <autoFilter ref="A1:O6785" xr:uid="{99383167-79E4-4A22-BD08-5F4C52B14918}"/>
  <tableColumns count="15">
    <tableColumn id="1" xr3:uid="{4BE38545-E7D2-4605-9812-0A05460A24A6}" name="Lead ID"/>
    <tableColumn id="2" xr3:uid="{F25C5421-F9DE-4FDC-8103-8F147B83E5F3}" name="Signup Date" dataDxfId="5"/>
    <tableColumn id="3" xr3:uid="{8C4CF4D7-FA56-4B2F-BCCD-2AFDD0B070D9}" name="Channel"/>
    <tableColumn id="4" xr3:uid="{4A80293C-BFF1-4DA5-91E5-DB491735B54B}" name="Campaign"/>
    <tableColumn id="5" xr3:uid="{7E3F7091-E63D-43B0-AF06-CE682131A917}" name="Device"/>
    <tableColumn id="6" xr3:uid="{5AEA5623-3A84-4D94-A9A0-256F7CEBCE99}" name="Region"/>
    <tableColumn id="7" xr3:uid="{43E06FD1-F5A9-4049-B31C-CB53E454562A}" name="Funnel Stage Reached"/>
    <tableColumn id="8" xr3:uid="{02BADE51-A95F-4FBC-805D-5C9AC1B58ED7}" name="Days to Convert"/>
    <tableColumn id="9" xr3:uid="{9EB3DAD2-C6E4-4EC9-AF6E-D6B0E30EE8DD}" name="Plan"/>
    <tableColumn id="10" xr3:uid="{2B9AC818-CAAD-4545-B693-F886E1FF38CE}" name="Deal Value"/>
    <tableColumn id="11" xr3:uid="{971D0F58-E855-4B49-AEEA-F597306AC82C}" name="Stage Number" dataDxfId="4">
      <calculatedColumnFormula array="1">_xlfn.SWITCH(LeadsData[[#This Row],[Funnel Stage Reached]],"Lead",1,"MQL",2,"SQL",3,"Customer",4)</calculatedColumnFormula>
    </tableColumn>
    <tableColumn id="12" xr3:uid="{4A2FAAC2-B3E1-48C5-BA5D-D47CA622CA5F}" name="SignupMonth" dataDxfId="3">
      <calculatedColumnFormula>TEXT(LeadsData[[#This Row],[Signup Date]],"mmm-yyyy")</calculatedColumnFormula>
    </tableColumn>
    <tableColumn id="13" xr3:uid="{2323713E-DC35-4943-B84E-9E875B4D68FF}" name="Reached MQL +" dataDxfId="2">
      <calculatedColumnFormula>IF(LeadsData[[#This Row],[Stage Number]]&gt;=2,1,0)</calculatedColumnFormula>
    </tableColumn>
    <tableColumn id="14" xr3:uid="{01F1D345-60D0-42BF-A23B-E4E9F1C58566}" name="Reached SQL +" dataDxfId="1">
      <calculatedColumnFormula>IF(LeadsData[[#This Row],[Stage Number]]&gt;=3,1,0)</calculatedColumnFormula>
    </tableColumn>
    <tableColumn id="15" xr3:uid="{E4527434-F131-4D15-9DB9-A85DBB9E5423}" name="Reached Customer" dataDxfId="0">
      <calculatedColumnFormula>IF(LeadsData[[#This Row],[Stage Number]]&gt;=4,1,0)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C9FF-874E-497B-93AC-7125D722A947}">
  <dimension ref="A1:O6785"/>
  <sheetViews>
    <sheetView topLeftCell="A2" workbookViewId="0">
      <selection activeCell="F8" sqref="F8"/>
    </sheetView>
  </sheetViews>
  <sheetFormatPr defaultRowHeight="15" x14ac:dyDescent="0.25"/>
  <cols>
    <col min="1" max="1" width="9.85546875" customWidth="1"/>
    <col min="2" max="2" width="14" customWidth="1"/>
    <col min="3" max="3" width="10.7109375" customWidth="1"/>
    <col min="4" max="4" width="12.140625" customWidth="1"/>
    <col min="5" max="6" width="9.42578125" customWidth="1"/>
    <col min="7" max="7" width="23" customWidth="1"/>
    <col min="8" max="8" width="17.5703125" customWidth="1"/>
    <col min="10" max="10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6826</v>
      </c>
      <c r="L1" t="s">
        <v>6827</v>
      </c>
      <c r="M1" t="s">
        <v>6828</v>
      </c>
      <c r="N1" t="s">
        <v>6829</v>
      </c>
      <c r="O1" t="s">
        <v>6830</v>
      </c>
    </row>
    <row r="2" spans="1:15" x14ac:dyDescent="0.25">
      <c r="A2" t="s">
        <v>10</v>
      </c>
      <c r="B2" s="1">
        <v>45475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K2" cm="1">
        <f t="array" ref="K2">_xlfn.SWITCH(LeadsData[[#This Row],[Funnel Stage Reached]],"Lead",1,"MQL",2,"SQL",3,"Customer",4)</f>
        <v>1</v>
      </c>
      <c r="L2" t="str">
        <f>TEXT(LeadsData[[#This Row],[Signup Date]],"mmm-yyyy")</f>
        <v>Jul-2024</v>
      </c>
      <c r="M2">
        <f>IF(LeadsData[[#This Row],[Stage Number]]&gt;=2,1,0)</f>
        <v>0</v>
      </c>
      <c r="N2" s="2">
        <f>IF(LeadsData[[#This Row],[Stage Number]]&gt;=3,1,0)</f>
        <v>0</v>
      </c>
      <c r="O2" s="2">
        <f>IF(LeadsData[[#This Row],[Stage Number]]&gt;=4,1,0)</f>
        <v>0</v>
      </c>
    </row>
    <row r="3" spans="1:15" x14ac:dyDescent="0.25">
      <c r="A3" t="s">
        <v>16</v>
      </c>
      <c r="B3" s="1">
        <v>45391</v>
      </c>
      <c r="C3" t="s">
        <v>17</v>
      </c>
      <c r="D3" t="s">
        <v>18</v>
      </c>
      <c r="E3" t="s">
        <v>13</v>
      </c>
      <c r="F3" t="s">
        <v>19</v>
      </c>
      <c r="G3" t="s">
        <v>15</v>
      </c>
      <c r="K3" cm="1">
        <f t="array" ref="K3">_xlfn.SWITCH(LeadsData[[#This Row],[Funnel Stage Reached]],"Lead",1,"MQL",2,"SQL",3,"Customer",4)</f>
        <v>1</v>
      </c>
      <c r="L3" t="str">
        <f>TEXT(LeadsData[[#This Row],[Signup Date]],"mmm-yyyy")</f>
        <v>Apr-2024</v>
      </c>
      <c r="M3">
        <f>IF(LeadsData[[#This Row],[Stage Number]]&gt;=2,1,0)</f>
        <v>0</v>
      </c>
      <c r="N3" s="2">
        <f>IF(LeadsData[[#This Row],[Stage Number]]&gt;=3,1,0)</f>
        <v>0</v>
      </c>
      <c r="O3" s="2">
        <f>IF(LeadsData[[#This Row],[Stage Number]]&gt;=4,1,0)</f>
        <v>0</v>
      </c>
    </row>
    <row r="4" spans="1:15" x14ac:dyDescent="0.25">
      <c r="A4" t="s">
        <v>20</v>
      </c>
      <c r="B4" s="1">
        <v>45620</v>
      </c>
      <c r="C4" t="s">
        <v>17</v>
      </c>
      <c r="D4" t="s">
        <v>18</v>
      </c>
      <c r="E4" t="s">
        <v>21</v>
      </c>
      <c r="F4" t="s">
        <v>22</v>
      </c>
      <c r="G4" t="s">
        <v>23</v>
      </c>
      <c r="K4" cm="1">
        <f t="array" ref="K4">_xlfn.SWITCH(LeadsData[[#This Row],[Funnel Stage Reached]],"Lead",1,"MQL",2,"SQL",3,"Customer",4)</f>
        <v>2</v>
      </c>
      <c r="L4" t="str">
        <f>TEXT(LeadsData[[#This Row],[Signup Date]],"mmm-yyyy")</f>
        <v>Nov-2024</v>
      </c>
      <c r="M4">
        <f>IF(LeadsData[[#This Row],[Stage Number]]&gt;=2,1,0)</f>
        <v>1</v>
      </c>
      <c r="N4" s="2">
        <f>IF(LeadsData[[#This Row],[Stage Number]]&gt;=3,1,0)</f>
        <v>0</v>
      </c>
      <c r="O4" s="2">
        <f>IF(LeadsData[[#This Row],[Stage Number]]&gt;=4,1,0)</f>
        <v>0</v>
      </c>
    </row>
    <row r="5" spans="1:15" x14ac:dyDescent="0.25">
      <c r="A5" t="s">
        <v>24</v>
      </c>
      <c r="B5" s="1">
        <v>45311</v>
      </c>
      <c r="C5" t="s">
        <v>25</v>
      </c>
      <c r="D5" t="s">
        <v>26</v>
      </c>
      <c r="E5" t="s">
        <v>21</v>
      </c>
      <c r="F5" t="s">
        <v>22</v>
      </c>
      <c r="G5" t="s">
        <v>23</v>
      </c>
      <c r="K5" cm="1">
        <f t="array" ref="K5">_xlfn.SWITCH(LeadsData[[#This Row],[Funnel Stage Reached]],"Lead",1,"MQL",2,"SQL",3,"Customer",4)</f>
        <v>2</v>
      </c>
      <c r="L5" t="str">
        <f>TEXT(LeadsData[[#This Row],[Signup Date]],"mmm-yyyy")</f>
        <v>Jan-2024</v>
      </c>
      <c r="M5">
        <f>IF(LeadsData[[#This Row],[Stage Number]]&gt;=2,1,0)</f>
        <v>1</v>
      </c>
      <c r="N5" s="2">
        <f>IF(LeadsData[[#This Row],[Stage Number]]&gt;=3,1,0)</f>
        <v>0</v>
      </c>
      <c r="O5" s="2">
        <f>IF(LeadsData[[#This Row],[Stage Number]]&gt;=4,1,0)</f>
        <v>0</v>
      </c>
    </row>
    <row r="6" spans="1:15" x14ac:dyDescent="0.25">
      <c r="A6" t="s">
        <v>27</v>
      </c>
      <c r="B6" s="1">
        <v>45430</v>
      </c>
      <c r="C6" t="s">
        <v>17</v>
      </c>
      <c r="D6" t="s">
        <v>18</v>
      </c>
      <c r="E6" t="s">
        <v>21</v>
      </c>
      <c r="F6" t="s">
        <v>28</v>
      </c>
      <c r="G6" t="s">
        <v>29</v>
      </c>
      <c r="K6" cm="1">
        <f t="array" ref="K6">_xlfn.SWITCH(LeadsData[[#This Row],[Funnel Stage Reached]],"Lead",1,"MQL",2,"SQL",3,"Customer",4)</f>
        <v>3</v>
      </c>
      <c r="L6" t="str">
        <f>TEXT(LeadsData[[#This Row],[Signup Date]],"mmm-yyyy")</f>
        <v>May-2024</v>
      </c>
      <c r="M6">
        <f>IF(LeadsData[[#This Row],[Stage Number]]&gt;=2,1,0)</f>
        <v>1</v>
      </c>
      <c r="N6" s="2">
        <f>IF(LeadsData[[#This Row],[Stage Number]]&gt;=3,1,0)</f>
        <v>1</v>
      </c>
      <c r="O6" s="2">
        <f>IF(LeadsData[[#This Row],[Stage Number]]&gt;=4,1,0)</f>
        <v>0</v>
      </c>
    </row>
    <row r="7" spans="1:15" x14ac:dyDescent="0.25">
      <c r="A7" t="s">
        <v>30</v>
      </c>
      <c r="B7" s="1">
        <v>45577</v>
      </c>
      <c r="C7" t="s">
        <v>31</v>
      </c>
      <c r="D7" t="s">
        <v>32</v>
      </c>
      <c r="E7" t="s">
        <v>21</v>
      </c>
      <c r="F7" t="s">
        <v>22</v>
      </c>
      <c r="G7" t="s">
        <v>23</v>
      </c>
      <c r="K7" cm="1">
        <f t="array" ref="K7">_xlfn.SWITCH(LeadsData[[#This Row],[Funnel Stage Reached]],"Lead",1,"MQL",2,"SQL",3,"Customer",4)</f>
        <v>2</v>
      </c>
      <c r="L7" t="str">
        <f>TEXT(LeadsData[[#This Row],[Signup Date]],"mmm-yyyy")</f>
        <v>Oct-2024</v>
      </c>
      <c r="M7">
        <f>IF(LeadsData[[#This Row],[Stage Number]]&gt;=2,1,0)</f>
        <v>1</v>
      </c>
      <c r="N7" s="2">
        <f>IF(LeadsData[[#This Row],[Stage Number]]&gt;=3,1,0)</f>
        <v>0</v>
      </c>
      <c r="O7" s="2">
        <f>IF(LeadsData[[#This Row],[Stage Number]]&gt;=4,1,0)</f>
        <v>0</v>
      </c>
    </row>
    <row r="8" spans="1:15" x14ac:dyDescent="0.25">
      <c r="A8" t="s">
        <v>33</v>
      </c>
      <c r="B8" s="1">
        <v>45509</v>
      </c>
      <c r="C8" t="s">
        <v>31</v>
      </c>
      <c r="D8" t="s">
        <v>34</v>
      </c>
      <c r="E8" t="s">
        <v>13</v>
      </c>
      <c r="F8" t="s">
        <v>22</v>
      </c>
      <c r="G8" t="s">
        <v>29</v>
      </c>
      <c r="K8" cm="1">
        <f t="array" ref="K8">_xlfn.SWITCH(LeadsData[[#This Row],[Funnel Stage Reached]],"Lead",1,"MQL",2,"SQL",3,"Customer",4)</f>
        <v>3</v>
      </c>
      <c r="L8" t="str">
        <f>TEXT(LeadsData[[#This Row],[Signup Date]],"mmm-yyyy")</f>
        <v>Aug-2024</v>
      </c>
      <c r="M8">
        <f>IF(LeadsData[[#This Row],[Stage Number]]&gt;=2,1,0)</f>
        <v>1</v>
      </c>
      <c r="N8" s="2">
        <f>IF(LeadsData[[#This Row],[Stage Number]]&gt;=3,1,0)</f>
        <v>1</v>
      </c>
      <c r="O8" s="2">
        <f>IF(LeadsData[[#This Row],[Stage Number]]&gt;=4,1,0)</f>
        <v>0</v>
      </c>
    </row>
    <row r="9" spans="1:15" x14ac:dyDescent="0.25">
      <c r="A9" t="s">
        <v>35</v>
      </c>
      <c r="B9" s="1">
        <v>45633</v>
      </c>
      <c r="C9" t="s">
        <v>36</v>
      </c>
      <c r="D9" t="s">
        <v>37</v>
      </c>
      <c r="E9" t="s">
        <v>21</v>
      </c>
      <c r="F9" t="s">
        <v>14</v>
      </c>
      <c r="G9" t="s">
        <v>23</v>
      </c>
      <c r="K9" cm="1">
        <f t="array" ref="K9">_xlfn.SWITCH(LeadsData[[#This Row],[Funnel Stage Reached]],"Lead",1,"MQL",2,"SQL",3,"Customer",4)</f>
        <v>2</v>
      </c>
      <c r="L9" t="str">
        <f>TEXT(LeadsData[[#This Row],[Signup Date]],"mmm-yyyy")</f>
        <v>Dec-2024</v>
      </c>
      <c r="M9">
        <f>IF(LeadsData[[#This Row],[Stage Number]]&gt;=2,1,0)</f>
        <v>1</v>
      </c>
      <c r="N9" s="2">
        <f>IF(LeadsData[[#This Row],[Stage Number]]&gt;=3,1,0)</f>
        <v>0</v>
      </c>
      <c r="O9" s="2">
        <f>IF(LeadsData[[#This Row],[Stage Number]]&gt;=4,1,0)</f>
        <v>0</v>
      </c>
    </row>
    <row r="10" spans="1:15" x14ac:dyDescent="0.25">
      <c r="A10" t="s">
        <v>38</v>
      </c>
      <c r="B10" s="1">
        <v>45439</v>
      </c>
      <c r="C10" t="s">
        <v>11</v>
      </c>
      <c r="D10" t="s">
        <v>12</v>
      </c>
      <c r="E10" t="s">
        <v>13</v>
      </c>
      <c r="F10" t="s">
        <v>19</v>
      </c>
      <c r="G10" t="s">
        <v>23</v>
      </c>
      <c r="K10" cm="1">
        <f t="array" ref="K10">_xlfn.SWITCH(LeadsData[[#This Row],[Funnel Stage Reached]],"Lead",1,"MQL",2,"SQL",3,"Customer",4)</f>
        <v>2</v>
      </c>
      <c r="L10" t="str">
        <f>TEXT(LeadsData[[#This Row],[Signup Date]],"mmm-yyyy")</f>
        <v>May-2024</v>
      </c>
      <c r="M10">
        <f>IF(LeadsData[[#This Row],[Stage Number]]&gt;=2,1,0)</f>
        <v>1</v>
      </c>
      <c r="N10" s="2">
        <f>IF(LeadsData[[#This Row],[Stage Number]]&gt;=3,1,0)</f>
        <v>0</v>
      </c>
      <c r="O10" s="2">
        <f>IF(LeadsData[[#This Row],[Stage Number]]&gt;=4,1,0)</f>
        <v>0</v>
      </c>
    </row>
    <row r="11" spans="1:15" x14ac:dyDescent="0.25">
      <c r="A11" t="s">
        <v>39</v>
      </c>
      <c r="B11" s="1">
        <v>45439</v>
      </c>
      <c r="C11" t="s">
        <v>25</v>
      </c>
      <c r="D11" t="s">
        <v>26</v>
      </c>
      <c r="E11" t="s">
        <v>21</v>
      </c>
      <c r="F11" t="s">
        <v>14</v>
      </c>
      <c r="G11" t="s">
        <v>15</v>
      </c>
      <c r="K11" cm="1">
        <f t="array" ref="K11">_xlfn.SWITCH(LeadsData[[#This Row],[Funnel Stage Reached]],"Lead",1,"MQL",2,"SQL",3,"Customer",4)</f>
        <v>1</v>
      </c>
      <c r="L11" t="str">
        <f>TEXT(LeadsData[[#This Row],[Signup Date]],"mmm-yyyy")</f>
        <v>May-2024</v>
      </c>
      <c r="M11">
        <f>IF(LeadsData[[#This Row],[Stage Number]]&gt;=2,1,0)</f>
        <v>0</v>
      </c>
      <c r="N11" s="2">
        <f>IF(LeadsData[[#This Row],[Stage Number]]&gt;=3,1,0)</f>
        <v>0</v>
      </c>
      <c r="O11" s="2">
        <f>IF(LeadsData[[#This Row],[Stage Number]]&gt;=4,1,0)</f>
        <v>0</v>
      </c>
    </row>
    <row r="12" spans="1:15" x14ac:dyDescent="0.25">
      <c r="A12" t="s">
        <v>40</v>
      </c>
      <c r="B12" s="1">
        <v>45618</v>
      </c>
      <c r="C12" t="s">
        <v>25</v>
      </c>
      <c r="D12" t="s">
        <v>26</v>
      </c>
      <c r="E12" t="s">
        <v>21</v>
      </c>
      <c r="F12" t="s">
        <v>14</v>
      </c>
      <c r="G12" t="s">
        <v>15</v>
      </c>
      <c r="K12" cm="1">
        <f t="array" ref="K12">_xlfn.SWITCH(LeadsData[[#This Row],[Funnel Stage Reached]],"Lead",1,"MQL",2,"SQL",3,"Customer",4)</f>
        <v>1</v>
      </c>
      <c r="L12" t="str">
        <f>TEXT(LeadsData[[#This Row],[Signup Date]],"mmm-yyyy")</f>
        <v>Nov-2024</v>
      </c>
      <c r="M12">
        <f>IF(LeadsData[[#This Row],[Stage Number]]&gt;=2,1,0)</f>
        <v>0</v>
      </c>
      <c r="N12" s="2">
        <f>IF(LeadsData[[#This Row],[Stage Number]]&gt;=3,1,0)</f>
        <v>0</v>
      </c>
      <c r="O12" s="2">
        <f>IF(LeadsData[[#This Row],[Stage Number]]&gt;=4,1,0)</f>
        <v>0</v>
      </c>
    </row>
    <row r="13" spans="1:15" x14ac:dyDescent="0.25">
      <c r="A13" t="s">
        <v>41</v>
      </c>
      <c r="B13" s="1">
        <v>45602</v>
      </c>
      <c r="C13" t="s">
        <v>31</v>
      </c>
      <c r="D13" t="s">
        <v>34</v>
      </c>
      <c r="E13" t="s">
        <v>13</v>
      </c>
      <c r="F13" t="s">
        <v>14</v>
      </c>
      <c r="G13" t="s">
        <v>42</v>
      </c>
      <c r="H13">
        <v>59</v>
      </c>
      <c r="I13" t="s">
        <v>43</v>
      </c>
      <c r="J13">
        <v>1348.23</v>
      </c>
      <c r="K13" cm="1">
        <f t="array" ref="K13">_xlfn.SWITCH(LeadsData[[#This Row],[Funnel Stage Reached]],"Lead",1,"MQL",2,"SQL",3,"Customer",4)</f>
        <v>4</v>
      </c>
      <c r="L13" t="str">
        <f>TEXT(LeadsData[[#This Row],[Signup Date]],"mmm-yyyy")</f>
        <v>Nov-2024</v>
      </c>
      <c r="M13">
        <f>IF(LeadsData[[#This Row],[Stage Number]]&gt;=2,1,0)</f>
        <v>1</v>
      </c>
      <c r="N13" s="2">
        <f>IF(LeadsData[[#This Row],[Stage Number]]&gt;=3,1,0)</f>
        <v>1</v>
      </c>
      <c r="O13" s="2">
        <f>IF(LeadsData[[#This Row],[Stage Number]]&gt;=4,1,0)</f>
        <v>1</v>
      </c>
    </row>
    <row r="14" spans="1:15" x14ac:dyDescent="0.25">
      <c r="A14" t="s">
        <v>44</v>
      </c>
      <c r="B14" s="1">
        <v>45398</v>
      </c>
      <c r="C14" t="s">
        <v>36</v>
      </c>
      <c r="D14" t="s">
        <v>37</v>
      </c>
      <c r="E14" t="s">
        <v>13</v>
      </c>
      <c r="F14" t="s">
        <v>19</v>
      </c>
      <c r="G14" t="s">
        <v>23</v>
      </c>
      <c r="K14" cm="1">
        <f t="array" ref="K14">_xlfn.SWITCH(LeadsData[[#This Row],[Funnel Stage Reached]],"Lead",1,"MQL",2,"SQL",3,"Customer",4)</f>
        <v>2</v>
      </c>
      <c r="L14" t="str">
        <f>TEXT(LeadsData[[#This Row],[Signup Date]],"mmm-yyyy")</f>
        <v>Apr-2024</v>
      </c>
      <c r="M14">
        <f>IF(LeadsData[[#This Row],[Stage Number]]&gt;=2,1,0)</f>
        <v>1</v>
      </c>
      <c r="N14" s="2">
        <f>IF(LeadsData[[#This Row],[Stage Number]]&gt;=3,1,0)</f>
        <v>0</v>
      </c>
      <c r="O14" s="2">
        <f>IF(LeadsData[[#This Row],[Stage Number]]&gt;=4,1,0)</f>
        <v>0</v>
      </c>
    </row>
    <row r="15" spans="1:15" x14ac:dyDescent="0.25">
      <c r="A15" t="s">
        <v>45</v>
      </c>
      <c r="B15" s="1">
        <v>45627</v>
      </c>
      <c r="C15" t="s">
        <v>46</v>
      </c>
      <c r="D15" t="s">
        <v>47</v>
      </c>
      <c r="E15" t="s">
        <v>48</v>
      </c>
      <c r="F15" t="s">
        <v>19</v>
      </c>
      <c r="G15" t="s">
        <v>29</v>
      </c>
      <c r="K15" cm="1">
        <f t="array" ref="K15">_xlfn.SWITCH(LeadsData[[#This Row],[Funnel Stage Reached]],"Lead",1,"MQL",2,"SQL",3,"Customer",4)</f>
        <v>3</v>
      </c>
      <c r="L15" t="str">
        <f>TEXT(LeadsData[[#This Row],[Signup Date]],"mmm-yyyy")</f>
        <v>Dec-2024</v>
      </c>
      <c r="M15">
        <f>IF(LeadsData[[#This Row],[Stage Number]]&gt;=2,1,0)</f>
        <v>1</v>
      </c>
      <c r="N15" s="2">
        <f>IF(LeadsData[[#This Row],[Stage Number]]&gt;=3,1,0)</f>
        <v>1</v>
      </c>
      <c r="O15" s="2">
        <f>IF(LeadsData[[#This Row],[Stage Number]]&gt;=4,1,0)</f>
        <v>0</v>
      </c>
    </row>
    <row r="16" spans="1:15" x14ac:dyDescent="0.25">
      <c r="A16" t="s">
        <v>49</v>
      </c>
      <c r="B16" s="1">
        <v>45605</v>
      </c>
      <c r="C16" t="s">
        <v>36</v>
      </c>
      <c r="D16" t="s">
        <v>50</v>
      </c>
      <c r="E16" t="s">
        <v>21</v>
      </c>
      <c r="F16" t="s">
        <v>19</v>
      </c>
      <c r="G16" t="s">
        <v>23</v>
      </c>
      <c r="K16" cm="1">
        <f t="array" ref="K16">_xlfn.SWITCH(LeadsData[[#This Row],[Funnel Stage Reached]],"Lead",1,"MQL",2,"SQL",3,"Customer",4)</f>
        <v>2</v>
      </c>
      <c r="L16" t="str">
        <f>TEXT(LeadsData[[#This Row],[Signup Date]],"mmm-yyyy")</f>
        <v>Nov-2024</v>
      </c>
      <c r="M16">
        <f>IF(LeadsData[[#This Row],[Stage Number]]&gt;=2,1,0)</f>
        <v>1</v>
      </c>
      <c r="N16" s="2">
        <f>IF(LeadsData[[#This Row],[Stage Number]]&gt;=3,1,0)</f>
        <v>0</v>
      </c>
      <c r="O16" s="2">
        <f>IF(LeadsData[[#This Row],[Stage Number]]&gt;=4,1,0)</f>
        <v>0</v>
      </c>
    </row>
    <row r="17" spans="1:15" x14ac:dyDescent="0.25">
      <c r="A17" t="s">
        <v>51</v>
      </c>
      <c r="B17" s="1">
        <v>45497</v>
      </c>
      <c r="C17" t="s">
        <v>36</v>
      </c>
      <c r="D17" t="s">
        <v>37</v>
      </c>
      <c r="E17" t="s">
        <v>13</v>
      </c>
      <c r="F17" t="s">
        <v>14</v>
      </c>
      <c r="G17" t="s">
        <v>42</v>
      </c>
      <c r="H17">
        <v>65</v>
      </c>
      <c r="I17" t="s">
        <v>43</v>
      </c>
      <c r="J17">
        <v>789.38</v>
      </c>
      <c r="K17" cm="1">
        <f t="array" ref="K17">_xlfn.SWITCH(LeadsData[[#This Row],[Funnel Stage Reached]],"Lead",1,"MQL",2,"SQL",3,"Customer",4)</f>
        <v>4</v>
      </c>
      <c r="L17" t="str">
        <f>TEXT(LeadsData[[#This Row],[Signup Date]],"mmm-yyyy")</f>
        <v>Jul-2024</v>
      </c>
      <c r="M17">
        <f>IF(LeadsData[[#This Row],[Stage Number]]&gt;=2,1,0)</f>
        <v>1</v>
      </c>
      <c r="N17" s="2">
        <f>IF(LeadsData[[#This Row],[Stage Number]]&gt;=3,1,0)</f>
        <v>1</v>
      </c>
      <c r="O17" s="2">
        <f>IF(LeadsData[[#This Row],[Stage Number]]&gt;=4,1,0)</f>
        <v>1</v>
      </c>
    </row>
    <row r="18" spans="1:15" x14ac:dyDescent="0.25">
      <c r="A18" t="s">
        <v>52</v>
      </c>
      <c r="B18" s="1">
        <v>45364</v>
      </c>
      <c r="C18" t="s">
        <v>17</v>
      </c>
      <c r="D18" t="s">
        <v>53</v>
      </c>
      <c r="E18" t="s">
        <v>13</v>
      </c>
      <c r="F18" t="s">
        <v>19</v>
      </c>
      <c r="G18" t="s">
        <v>15</v>
      </c>
      <c r="K18" cm="1">
        <f t="array" ref="K18">_xlfn.SWITCH(LeadsData[[#This Row],[Funnel Stage Reached]],"Lead",1,"MQL",2,"SQL",3,"Customer",4)</f>
        <v>1</v>
      </c>
      <c r="L18" t="str">
        <f>TEXT(LeadsData[[#This Row],[Signup Date]],"mmm-yyyy")</f>
        <v>Mar-2024</v>
      </c>
      <c r="M18">
        <f>IF(LeadsData[[#This Row],[Stage Number]]&gt;=2,1,0)</f>
        <v>0</v>
      </c>
      <c r="N18" s="2">
        <f>IF(LeadsData[[#This Row],[Stage Number]]&gt;=3,1,0)</f>
        <v>0</v>
      </c>
      <c r="O18" s="2">
        <f>IF(LeadsData[[#This Row],[Stage Number]]&gt;=4,1,0)</f>
        <v>0</v>
      </c>
    </row>
    <row r="19" spans="1:15" x14ac:dyDescent="0.25">
      <c r="A19" t="s">
        <v>54</v>
      </c>
      <c r="B19" s="1">
        <v>45557</v>
      </c>
      <c r="C19" t="s">
        <v>17</v>
      </c>
      <c r="D19" t="s">
        <v>53</v>
      </c>
      <c r="E19" t="s">
        <v>48</v>
      </c>
      <c r="F19" t="s">
        <v>19</v>
      </c>
      <c r="G19" t="s">
        <v>23</v>
      </c>
      <c r="K19" cm="1">
        <f t="array" ref="K19">_xlfn.SWITCH(LeadsData[[#This Row],[Funnel Stage Reached]],"Lead",1,"MQL",2,"SQL",3,"Customer",4)</f>
        <v>2</v>
      </c>
      <c r="L19" t="str">
        <f>TEXT(LeadsData[[#This Row],[Signup Date]],"mmm-yyyy")</f>
        <v>Sep-2024</v>
      </c>
      <c r="M19">
        <f>IF(LeadsData[[#This Row],[Stage Number]]&gt;=2,1,0)</f>
        <v>1</v>
      </c>
      <c r="N19" s="2">
        <f>IF(LeadsData[[#This Row],[Stage Number]]&gt;=3,1,0)</f>
        <v>0</v>
      </c>
      <c r="O19" s="2">
        <f>IF(LeadsData[[#This Row],[Stage Number]]&gt;=4,1,0)</f>
        <v>0</v>
      </c>
    </row>
    <row r="20" spans="1:15" x14ac:dyDescent="0.25">
      <c r="A20" t="s">
        <v>55</v>
      </c>
      <c r="B20" s="1">
        <v>45323</v>
      </c>
      <c r="C20" t="s">
        <v>46</v>
      </c>
      <c r="D20" t="s">
        <v>56</v>
      </c>
      <c r="E20" t="s">
        <v>13</v>
      </c>
      <c r="F20" t="s">
        <v>14</v>
      </c>
      <c r="G20" t="s">
        <v>29</v>
      </c>
      <c r="K20" cm="1">
        <f t="array" ref="K20">_xlfn.SWITCH(LeadsData[[#This Row],[Funnel Stage Reached]],"Lead",1,"MQL",2,"SQL",3,"Customer",4)</f>
        <v>3</v>
      </c>
      <c r="L20" t="str">
        <f>TEXT(LeadsData[[#This Row],[Signup Date]],"mmm-yyyy")</f>
        <v>Feb-2024</v>
      </c>
      <c r="M20">
        <f>IF(LeadsData[[#This Row],[Stage Number]]&gt;=2,1,0)</f>
        <v>1</v>
      </c>
      <c r="N20" s="2">
        <f>IF(LeadsData[[#This Row],[Stage Number]]&gt;=3,1,0)</f>
        <v>1</v>
      </c>
      <c r="O20" s="2">
        <f>IF(LeadsData[[#This Row],[Stage Number]]&gt;=4,1,0)</f>
        <v>0</v>
      </c>
    </row>
    <row r="21" spans="1:15" x14ac:dyDescent="0.25">
      <c r="A21" t="s">
        <v>57</v>
      </c>
      <c r="B21" s="1">
        <v>45578</v>
      </c>
      <c r="C21" t="s">
        <v>17</v>
      </c>
      <c r="D21" t="s">
        <v>18</v>
      </c>
      <c r="E21" t="s">
        <v>13</v>
      </c>
      <c r="F21" t="s">
        <v>28</v>
      </c>
      <c r="G21" t="s">
        <v>23</v>
      </c>
      <c r="K21" cm="1">
        <f t="array" ref="K21">_xlfn.SWITCH(LeadsData[[#This Row],[Funnel Stage Reached]],"Lead",1,"MQL",2,"SQL",3,"Customer",4)</f>
        <v>2</v>
      </c>
      <c r="L21" t="str">
        <f>TEXT(LeadsData[[#This Row],[Signup Date]],"mmm-yyyy")</f>
        <v>Oct-2024</v>
      </c>
      <c r="M21">
        <f>IF(LeadsData[[#This Row],[Stage Number]]&gt;=2,1,0)</f>
        <v>1</v>
      </c>
      <c r="N21" s="2">
        <f>IF(LeadsData[[#This Row],[Stage Number]]&gt;=3,1,0)</f>
        <v>0</v>
      </c>
      <c r="O21" s="2">
        <f>IF(LeadsData[[#This Row],[Stage Number]]&gt;=4,1,0)</f>
        <v>0</v>
      </c>
    </row>
    <row r="22" spans="1:15" x14ac:dyDescent="0.25">
      <c r="A22" t="s">
        <v>58</v>
      </c>
      <c r="B22" s="1">
        <v>45527</v>
      </c>
      <c r="C22" t="s">
        <v>36</v>
      </c>
      <c r="D22" t="s">
        <v>37</v>
      </c>
      <c r="E22" t="s">
        <v>13</v>
      </c>
      <c r="F22" t="s">
        <v>22</v>
      </c>
      <c r="G22" t="s">
        <v>42</v>
      </c>
      <c r="H22">
        <v>66</v>
      </c>
      <c r="I22" t="s">
        <v>43</v>
      </c>
      <c r="J22">
        <v>685.74</v>
      </c>
      <c r="K22" cm="1">
        <f t="array" ref="K22">_xlfn.SWITCH(LeadsData[[#This Row],[Funnel Stage Reached]],"Lead",1,"MQL",2,"SQL",3,"Customer",4)</f>
        <v>4</v>
      </c>
      <c r="L22" t="str">
        <f>TEXT(LeadsData[[#This Row],[Signup Date]],"mmm-yyyy")</f>
        <v>Aug-2024</v>
      </c>
      <c r="M22">
        <f>IF(LeadsData[[#This Row],[Stage Number]]&gt;=2,1,0)</f>
        <v>1</v>
      </c>
      <c r="N22" s="2">
        <f>IF(LeadsData[[#This Row],[Stage Number]]&gt;=3,1,0)</f>
        <v>1</v>
      </c>
      <c r="O22" s="2">
        <f>IF(LeadsData[[#This Row],[Stage Number]]&gt;=4,1,0)</f>
        <v>1</v>
      </c>
    </row>
    <row r="23" spans="1:15" x14ac:dyDescent="0.25">
      <c r="A23" t="s">
        <v>59</v>
      </c>
      <c r="B23" s="1">
        <v>45646</v>
      </c>
      <c r="C23" t="s">
        <v>25</v>
      </c>
      <c r="D23" t="s">
        <v>26</v>
      </c>
      <c r="E23" t="s">
        <v>21</v>
      </c>
      <c r="F23" t="s">
        <v>14</v>
      </c>
      <c r="G23" t="s">
        <v>15</v>
      </c>
      <c r="K23" cm="1">
        <f t="array" ref="K23">_xlfn.SWITCH(LeadsData[[#This Row],[Funnel Stage Reached]],"Lead",1,"MQL",2,"SQL",3,"Customer",4)</f>
        <v>1</v>
      </c>
      <c r="L23" t="str">
        <f>TEXT(LeadsData[[#This Row],[Signup Date]],"mmm-yyyy")</f>
        <v>Dec-2024</v>
      </c>
      <c r="M23">
        <f>IF(LeadsData[[#This Row],[Stage Number]]&gt;=2,1,0)</f>
        <v>0</v>
      </c>
      <c r="N23" s="2">
        <f>IF(LeadsData[[#This Row],[Stage Number]]&gt;=3,1,0)</f>
        <v>0</v>
      </c>
      <c r="O23" s="2">
        <f>IF(LeadsData[[#This Row],[Stage Number]]&gt;=4,1,0)</f>
        <v>0</v>
      </c>
    </row>
    <row r="24" spans="1:15" x14ac:dyDescent="0.25">
      <c r="A24" t="s">
        <v>60</v>
      </c>
      <c r="B24" s="1">
        <v>45642</v>
      </c>
      <c r="C24" t="s">
        <v>31</v>
      </c>
      <c r="D24" t="s">
        <v>32</v>
      </c>
      <c r="E24" t="s">
        <v>21</v>
      </c>
      <c r="F24" t="s">
        <v>22</v>
      </c>
      <c r="G24" t="s">
        <v>23</v>
      </c>
      <c r="K24" cm="1">
        <f t="array" ref="K24">_xlfn.SWITCH(LeadsData[[#This Row],[Funnel Stage Reached]],"Lead",1,"MQL",2,"SQL",3,"Customer",4)</f>
        <v>2</v>
      </c>
      <c r="L24" t="str">
        <f>TEXT(LeadsData[[#This Row],[Signup Date]],"mmm-yyyy")</f>
        <v>Dec-2024</v>
      </c>
      <c r="M24">
        <f>IF(LeadsData[[#This Row],[Stage Number]]&gt;=2,1,0)</f>
        <v>1</v>
      </c>
      <c r="N24" s="2">
        <f>IF(LeadsData[[#This Row],[Stage Number]]&gt;=3,1,0)</f>
        <v>0</v>
      </c>
      <c r="O24" s="2">
        <f>IF(LeadsData[[#This Row],[Stage Number]]&gt;=4,1,0)</f>
        <v>0</v>
      </c>
    </row>
    <row r="25" spans="1:15" x14ac:dyDescent="0.25">
      <c r="A25" t="s">
        <v>61</v>
      </c>
      <c r="B25" s="1">
        <v>45615</v>
      </c>
      <c r="C25" t="s">
        <v>31</v>
      </c>
      <c r="D25" t="s">
        <v>34</v>
      </c>
      <c r="E25" t="s">
        <v>21</v>
      </c>
      <c r="F25" t="s">
        <v>19</v>
      </c>
      <c r="G25" t="s">
        <v>23</v>
      </c>
      <c r="K25" cm="1">
        <f t="array" ref="K25">_xlfn.SWITCH(LeadsData[[#This Row],[Funnel Stage Reached]],"Lead",1,"MQL",2,"SQL",3,"Customer",4)</f>
        <v>2</v>
      </c>
      <c r="L25" t="str">
        <f>TEXT(LeadsData[[#This Row],[Signup Date]],"mmm-yyyy")</f>
        <v>Nov-2024</v>
      </c>
      <c r="M25">
        <f>IF(LeadsData[[#This Row],[Stage Number]]&gt;=2,1,0)</f>
        <v>1</v>
      </c>
      <c r="N25" s="2">
        <f>IF(LeadsData[[#This Row],[Stage Number]]&gt;=3,1,0)</f>
        <v>0</v>
      </c>
      <c r="O25" s="2">
        <f>IF(LeadsData[[#This Row],[Stage Number]]&gt;=4,1,0)</f>
        <v>0</v>
      </c>
    </row>
    <row r="26" spans="1:15" x14ac:dyDescent="0.25">
      <c r="A26" t="s">
        <v>62</v>
      </c>
      <c r="B26" s="1">
        <v>45635</v>
      </c>
      <c r="C26" t="s">
        <v>17</v>
      </c>
      <c r="D26" t="s">
        <v>53</v>
      </c>
      <c r="E26" t="s">
        <v>13</v>
      </c>
      <c r="F26" t="s">
        <v>22</v>
      </c>
      <c r="G26" t="s">
        <v>15</v>
      </c>
      <c r="K26" cm="1">
        <f t="array" ref="K26">_xlfn.SWITCH(LeadsData[[#This Row],[Funnel Stage Reached]],"Lead",1,"MQL",2,"SQL",3,"Customer",4)</f>
        <v>1</v>
      </c>
      <c r="L26" t="str">
        <f>TEXT(LeadsData[[#This Row],[Signup Date]],"mmm-yyyy")</f>
        <v>Dec-2024</v>
      </c>
      <c r="M26">
        <f>IF(LeadsData[[#This Row],[Stage Number]]&gt;=2,1,0)</f>
        <v>0</v>
      </c>
      <c r="N26" s="2">
        <f>IF(LeadsData[[#This Row],[Stage Number]]&gt;=3,1,0)</f>
        <v>0</v>
      </c>
      <c r="O26" s="2">
        <f>IF(LeadsData[[#This Row],[Stage Number]]&gt;=4,1,0)</f>
        <v>0</v>
      </c>
    </row>
    <row r="27" spans="1:15" x14ac:dyDescent="0.25">
      <c r="A27" t="s">
        <v>63</v>
      </c>
      <c r="B27" s="1">
        <v>45440</v>
      </c>
      <c r="C27" t="s">
        <v>36</v>
      </c>
      <c r="D27" t="s">
        <v>37</v>
      </c>
      <c r="E27" t="s">
        <v>13</v>
      </c>
      <c r="F27" t="s">
        <v>19</v>
      </c>
      <c r="G27" t="s">
        <v>15</v>
      </c>
      <c r="K27" cm="1">
        <f t="array" ref="K27">_xlfn.SWITCH(LeadsData[[#This Row],[Funnel Stage Reached]],"Lead",1,"MQL",2,"SQL",3,"Customer",4)</f>
        <v>1</v>
      </c>
      <c r="L27" t="str">
        <f>TEXT(LeadsData[[#This Row],[Signup Date]],"mmm-yyyy")</f>
        <v>May-2024</v>
      </c>
      <c r="M27">
        <f>IF(LeadsData[[#This Row],[Stage Number]]&gt;=2,1,0)</f>
        <v>0</v>
      </c>
      <c r="N27" s="2">
        <f>IF(LeadsData[[#This Row],[Stage Number]]&gt;=3,1,0)</f>
        <v>0</v>
      </c>
      <c r="O27" s="2">
        <f>IF(LeadsData[[#This Row],[Stage Number]]&gt;=4,1,0)</f>
        <v>0</v>
      </c>
    </row>
    <row r="28" spans="1:15" x14ac:dyDescent="0.25">
      <c r="A28" t="s">
        <v>64</v>
      </c>
      <c r="B28" s="1">
        <v>45319</v>
      </c>
      <c r="C28" t="s">
        <v>36</v>
      </c>
      <c r="D28" t="s">
        <v>50</v>
      </c>
      <c r="E28" t="s">
        <v>21</v>
      </c>
      <c r="F28" t="s">
        <v>14</v>
      </c>
      <c r="G28" t="s">
        <v>15</v>
      </c>
      <c r="K28" cm="1">
        <f t="array" ref="K28">_xlfn.SWITCH(LeadsData[[#This Row],[Funnel Stage Reached]],"Lead",1,"MQL",2,"SQL",3,"Customer",4)</f>
        <v>1</v>
      </c>
      <c r="L28" t="str">
        <f>TEXT(LeadsData[[#This Row],[Signup Date]],"mmm-yyyy")</f>
        <v>Jan-2024</v>
      </c>
      <c r="M28">
        <f>IF(LeadsData[[#This Row],[Stage Number]]&gt;=2,1,0)</f>
        <v>0</v>
      </c>
      <c r="N28" s="2">
        <f>IF(LeadsData[[#This Row],[Stage Number]]&gt;=3,1,0)</f>
        <v>0</v>
      </c>
      <c r="O28" s="2">
        <f>IF(LeadsData[[#This Row],[Stage Number]]&gt;=4,1,0)</f>
        <v>0</v>
      </c>
    </row>
    <row r="29" spans="1:15" x14ac:dyDescent="0.25">
      <c r="A29" t="s">
        <v>65</v>
      </c>
      <c r="B29" s="1">
        <v>45490</v>
      </c>
      <c r="C29" t="s">
        <v>17</v>
      </c>
      <c r="D29" t="s">
        <v>53</v>
      </c>
      <c r="E29" t="s">
        <v>21</v>
      </c>
      <c r="F29" t="s">
        <v>19</v>
      </c>
      <c r="G29" t="s">
        <v>15</v>
      </c>
      <c r="K29" cm="1">
        <f t="array" ref="K29">_xlfn.SWITCH(LeadsData[[#This Row],[Funnel Stage Reached]],"Lead",1,"MQL",2,"SQL",3,"Customer",4)</f>
        <v>1</v>
      </c>
      <c r="L29" t="str">
        <f>TEXT(LeadsData[[#This Row],[Signup Date]],"mmm-yyyy")</f>
        <v>Jul-2024</v>
      </c>
      <c r="M29">
        <f>IF(LeadsData[[#This Row],[Stage Number]]&gt;=2,1,0)</f>
        <v>0</v>
      </c>
      <c r="N29" s="2">
        <f>IF(LeadsData[[#This Row],[Stage Number]]&gt;=3,1,0)</f>
        <v>0</v>
      </c>
      <c r="O29" s="2">
        <f>IF(LeadsData[[#This Row],[Stage Number]]&gt;=4,1,0)</f>
        <v>0</v>
      </c>
    </row>
    <row r="30" spans="1:15" x14ac:dyDescent="0.25">
      <c r="A30" t="s">
        <v>66</v>
      </c>
      <c r="B30" s="1">
        <v>45514</v>
      </c>
      <c r="C30" t="s">
        <v>31</v>
      </c>
      <c r="D30" t="s">
        <v>32</v>
      </c>
      <c r="E30" t="s">
        <v>13</v>
      </c>
      <c r="F30" t="s">
        <v>19</v>
      </c>
      <c r="G30" t="s">
        <v>15</v>
      </c>
      <c r="K30" cm="1">
        <f t="array" ref="K30">_xlfn.SWITCH(LeadsData[[#This Row],[Funnel Stage Reached]],"Lead",1,"MQL",2,"SQL",3,"Customer",4)</f>
        <v>1</v>
      </c>
      <c r="L30" t="str">
        <f>TEXT(LeadsData[[#This Row],[Signup Date]],"mmm-yyyy")</f>
        <v>Aug-2024</v>
      </c>
      <c r="M30">
        <f>IF(LeadsData[[#This Row],[Stage Number]]&gt;=2,1,0)</f>
        <v>0</v>
      </c>
      <c r="N30" s="2">
        <f>IF(LeadsData[[#This Row],[Stage Number]]&gt;=3,1,0)</f>
        <v>0</v>
      </c>
      <c r="O30" s="2">
        <f>IF(LeadsData[[#This Row],[Stage Number]]&gt;=4,1,0)</f>
        <v>0</v>
      </c>
    </row>
    <row r="31" spans="1:15" x14ac:dyDescent="0.25">
      <c r="A31" t="s">
        <v>67</v>
      </c>
      <c r="B31" s="1">
        <v>45589</v>
      </c>
      <c r="C31" t="s">
        <v>11</v>
      </c>
      <c r="D31" t="s">
        <v>68</v>
      </c>
      <c r="E31" t="s">
        <v>21</v>
      </c>
      <c r="F31" t="s">
        <v>19</v>
      </c>
      <c r="G31" t="s">
        <v>15</v>
      </c>
      <c r="K31" cm="1">
        <f t="array" ref="K31">_xlfn.SWITCH(LeadsData[[#This Row],[Funnel Stage Reached]],"Lead",1,"MQL",2,"SQL",3,"Customer",4)</f>
        <v>1</v>
      </c>
      <c r="L31" t="str">
        <f>TEXT(LeadsData[[#This Row],[Signup Date]],"mmm-yyyy")</f>
        <v>Oct-2024</v>
      </c>
      <c r="M31">
        <f>IF(LeadsData[[#This Row],[Stage Number]]&gt;=2,1,0)</f>
        <v>0</v>
      </c>
      <c r="N31" s="2">
        <f>IF(LeadsData[[#This Row],[Stage Number]]&gt;=3,1,0)</f>
        <v>0</v>
      </c>
      <c r="O31" s="2">
        <f>IF(LeadsData[[#This Row],[Stage Number]]&gt;=4,1,0)</f>
        <v>0</v>
      </c>
    </row>
    <row r="32" spans="1:15" x14ac:dyDescent="0.25">
      <c r="A32" t="s">
        <v>69</v>
      </c>
      <c r="B32" s="1">
        <v>45479</v>
      </c>
      <c r="C32" t="s">
        <v>31</v>
      </c>
      <c r="D32" t="s">
        <v>32</v>
      </c>
      <c r="E32" t="s">
        <v>21</v>
      </c>
      <c r="F32" t="s">
        <v>22</v>
      </c>
      <c r="G32" t="s">
        <v>42</v>
      </c>
      <c r="H32">
        <v>34</v>
      </c>
      <c r="I32" t="s">
        <v>43</v>
      </c>
      <c r="J32">
        <v>1417.9</v>
      </c>
      <c r="K32" cm="1">
        <f t="array" ref="K32">_xlfn.SWITCH(LeadsData[[#This Row],[Funnel Stage Reached]],"Lead",1,"MQL",2,"SQL",3,"Customer",4)</f>
        <v>4</v>
      </c>
      <c r="L32" t="str">
        <f>TEXT(LeadsData[[#This Row],[Signup Date]],"mmm-yyyy")</f>
        <v>Jul-2024</v>
      </c>
      <c r="M32">
        <f>IF(LeadsData[[#This Row],[Stage Number]]&gt;=2,1,0)</f>
        <v>1</v>
      </c>
      <c r="N32" s="2">
        <f>IF(LeadsData[[#This Row],[Stage Number]]&gt;=3,1,0)</f>
        <v>1</v>
      </c>
      <c r="O32" s="2">
        <f>IF(LeadsData[[#This Row],[Stage Number]]&gt;=4,1,0)</f>
        <v>1</v>
      </c>
    </row>
    <row r="33" spans="1:15" x14ac:dyDescent="0.25">
      <c r="A33" t="s">
        <v>70</v>
      </c>
      <c r="B33" s="1">
        <v>45637</v>
      </c>
      <c r="C33" t="s">
        <v>25</v>
      </c>
      <c r="D33" t="s">
        <v>26</v>
      </c>
      <c r="E33" t="s">
        <v>13</v>
      </c>
      <c r="F33" t="s">
        <v>19</v>
      </c>
      <c r="G33" t="s">
        <v>15</v>
      </c>
      <c r="K33" cm="1">
        <f t="array" ref="K33">_xlfn.SWITCH(LeadsData[[#This Row],[Funnel Stage Reached]],"Lead",1,"MQL",2,"SQL",3,"Customer",4)</f>
        <v>1</v>
      </c>
      <c r="L33" t="str">
        <f>TEXT(LeadsData[[#This Row],[Signup Date]],"mmm-yyyy")</f>
        <v>Dec-2024</v>
      </c>
      <c r="M33">
        <f>IF(LeadsData[[#This Row],[Stage Number]]&gt;=2,1,0)</f>
        <v>0</v>
      </c>
      <c r="N33" s="2">
        <f>IF(LeadsData[[#This Row],[Stage Number]]&gt;=3,1,0)</f>
        <v>0</v>
      </c>
      <c r="O33" s="2">
        <f>IF(LeadsData[[#This Row],[Stage Number]]&gt;=4,1,0)</f>
        <v>0</v>
      </c>
    </row>
    <row r="34" spans="1:15" x14ac:dyDescent="0.25">
      <c r="A34" t="s">
        <v>71</v>
      </c>
      <c r="B34" s="1">
        <v>45620</v>
      </c>
      <c r="C34" t="s">
        <v>31</v>
      </c>
      <c r="D34" t="s">
        <v>34</v>
      </c>
      <c r="E34" t="s">
        <v>21</v>
      </c>
      <c r="F34" t="s">
        <v>28</v>
      </c>
      <c r="G34" t="s">
        <v>29</v>
      </c>
      <c r="K34" cm="1">
        <f t="array" ref="K34">_xlfn.SWITCH(LeadsData[[#This Row],[Funnel Stage Reached]],"Lead",1,"MQL",2,"SQL",3,"Customer",4)</f>
        <v>3</v>
      </c>
      <c r="L34" t="str">
        <f>TEXT(LeadsData[[#This Row],[Signup Date]],"mmm-yyyy")</f>
        <v>Nov-2024</v>
      </c>
      <c r="M34">
        <f>IF(LeadsData[[#This Row],[Stage Number]]&gt;=2,1,0)</f>
        <v>1</v>
      </c>
      <c r="N34" s="2">
        <f>IF(LeadsData[[#This Row],[Stage Number]]&gt;=3,1,0)</f>
        <v>1</v>
      </c>
      <c r="O34" s="2">
        <f>IF(LeadsData[[#This Row],[Stage Number]]&gt;=4,1,0)</f>
        <v>0</v>
      </c>
    </row>
    <row r="35" spans="1:15" x14ac:dyDescent="0.25">
      <c r="A35" t="s">
        <v>72</v>
      </c>
      <c r="B35" s="1">
        <v>45358</v>
      </c>
      <c r="C35" t="s">
        <v>36</v>
      </c>
      <c r="D35" t="s">
        <v>50</v>
      </c>
      <c r="E35" t="s">
        <v>21</v>
      </c>
      <c r="F35" t="s">
        <v>14</v>
      </c>
      <c r="G35" t="s">
        <v>42</v>
      </c>
      <c r="H35">
        <v>72</v>
      </c>
      <c r="I35" t="s">
        <v>43</v>
      </c>
      <c r="J35">
        <v>1018.89</v>
      </c>
      <c r="K35" cm="1">
        <f t="array" ref="K35">_xlfn.SWITCH(LeadsData[[#This Row],[Funnel Stage Reached]],"Lead",1,"MQL",2,"SQL",3,"Customer",4)</f>
        <v>4</v>
      </c>
      <c r="L35" t="str">
        <f>TEXT(LeadsData[[#This Row],[Signup Date]],"mmm-yyyy")</f>
        <v>Mar-2024</v>
      </c>
      <c r="M35">
        <f>IF(LeadsData[[#This Row],[Stage Number]]&gt;=2,1,0)</f>
        <v>1</v>
      </c>
      <c r="N35" s="2">
        <f>IF(LeadsData[[#This Row],[Stage Number]]&gt;=3,1,0)</f>
        <v>1</v>
      </c>
      <c r="O35" s="2">
        <f>IF(LeadsData[[#This Row],[Stage Number]]&gt;=4,1,0)</f>
        <v>1</v>
      </c>
    </row>
    <row r="36" spans="1:15" x14ac:dyDescent="0.25">
      <c r="A36" t="s">
        <v>73</v>
      </c>
      <c r="B36" s="1">
        <v>45560</v>
      </c>
      <c r="C36" t="s">
        <v>36</v>
      </c>
      <c r="D36" t="s">
        <v>37</v>
      </c>
      <c r="E36" t="s">
        <v>21</v>
      </c>
      <c r="F36" t="s">
        <v>14</v>
      </c>
      <c r="G36" t="s">
        <v>23</v>
      </c>
      <c r="K36" cm="1">
        <f t="array" ref="K36">_xlfn.SWITCH(LeadsData[[#This Row],[Funnel Stage Reached]],"Lead",1,"MQL",2,"SQL",3,"Customer",4)</f>
        <v>2</v>
      </c>
      <c r="L36" t="str">
        <f>TEXT(LeadsData[[#This Row],[Signup Date]],"mmm-yyyy")</f>
        <v>Sep-2024</v>
      </c>
      <c r="M36">
        <f>IF(LeadsData[[#This Row],[Stage Number]]&gt;=2,1,0)</f>
        <v>1</v>
      </c>
      <c r="N36" s="2">
        <f>IF(LeadsData[[#This Row],[Stage Number]]&gt;=3,1,0)</f>
        <v>0</v>
      </c>
      <c r="O36" s="2">
        <f>IF(LeadsData[[#This Row],[Stage Number]]&gt;=4,1,0)</f>
        <v>0</v>
      </c>
    </row>
    <row r="37" spans="1:15" x14ac:dyDescent="0.25">
      <c r="A37" t="s">
        <v>74</v>
      </c>
      <c r="B37" s="1">
        <v>45486</v>
      </c>
      <c r="C37" t="s">
        <v>46</v>
      </c>
      <c r="D37" t="s">
        <v>56</v>
      </c>
      <c r="E37" t="s">
        <v>13</v>
      </c>
      <c r="F37" t="s">
        <v>19</v>
      </c>
      <c r="G37" t="s">
        <v>15</v>
      </c>
      <c r="K37" cm="1">
        <f t="array" ref="K37">_xlfn.SWITCH(LeadsData[[#This Row],[Funnel Stage Reached]],"Lead",1,"MQL",2,"SQL",3,"Customer",4)</f>
        <v>1</v>
      </c>
      <c r="L37" t="str">
        <f>TEXT(LeadsData[[#This Row],[Signup Date]],"mmm-yyyy")</f>
        <v>Jul-2024</v>
      </c>
      <c r="M37">
        <f>IF(LeadsData[[#This Row],[Stage Number]]&gt;=2,1,0)</f>
        <v>0</v>
      </c>
      <c r="N37" s="2">
        <f>IF(LeadsData[[#This Row],[Stage Number]]&gt;=3,1,0)</f>
        <v>0</v>
      </c>
      <c r="O37" s="2">
        <f>IF(LeadsData[[#This Row],[Stage Number]]&gt;=4,1,0)</f>
        <v>0</v>
      </c>
    </row>
    <row r="38" spans="1:15" x14ac:dyDescent="0.25">
      <c r="A38" t="s">
        <v>75</v>
      </c>
      <c r="B38" s="1">
        <v>45554</v>
      </c>
      <c r="C38" t="s">
        <v>17</v>
      </c>
      <c r="D38" t="s">
        <v>53</v>
      </c>
      <c r="E38" t="s">
        <v>13</v>
      </c>
      <c r="F38" t="s">
        <v>14</v>
      </c>
      <c r="G38" t="s">
        <v>23</v>
      </c>
      <c r="K38" cm="1">
        <f t="array" ref="K38">_xlfn.SWITCH(LeadsData[[#This Row],[Funnel Stage Reached]],"Lead",1,"MQL",2,"SQL",3,"Customer",4)</f>
        <v>2</v>
      </c>
      <c r="L38" t="str">
        <f>TEXT(LeadsData[[#This Row],[Signup Date]],"mmm-yyyy")</f>
        <v>Sep-2024</v>
      </c>
      <c r="M38">
        <f>IF(LeadsData[[#This Row],[Stage Number]]&gt;=2,1,0)</f>
        <v>1</v>
      </c>
      <c r="N38" s="2">
        <f>IF(LeadsData[[#This Row],[Stage Number]]&gt;=3,1,0)</f>
        <v>0</v>
      </c>
      <c r="O38" s="2">
        <f>IF(LeadsData[[#This Row],[Stage Number]]&gt;=4,1,0)</f>
        <v>0</v>
      </c>
    </row>
    <row r="39" spans="1:15" x14ac:dyDescent="0.25">
      <c r="A39" t="s">
        <v>76</v>
      </c>
      <c r="B39" s="1">
        <v>45397</v>
      </c>
      <c r="C39" t="s">
        <v>31</v>
      </c>
      <c r="D39" t="s">
        <v>32</v>
      </c>
      <c r="E39" t="s">
        <v>13</v>
      </c>
      <c r="F39" t="s">
        <v>19</v>
      </c>
      <c r="G39" t="s">
        <v>15</v>
      </c>
      <c r="K39" cm="1">
        <f t="array" ref="K39">_xlfn.SWITCH(LeadsData[[#This Row],[Funnel Stage Reached]],"Lead",1,"MQL",2,"SQL",3,"Customer",4)</f>
        <v>1</v>
      </c>
      <c r="L39" t="str">
        <f>TEXT(LeadsData[[#This Row],[Signup Date]],"mmm-yyyy")</f>
        <v>Apr-2024</v>
      </c>
      <c r="M39">
        <f>IF(LeadsData[[#This Row],[Stage Number]]&gt;=2,1,0)</f>
        <v>0</v>
      </c>
      <c r="N39" s="2">
        <f>IF(LeadsData[[#This Row],[Stage Number]]&gt;=3,1,0)</f>
        <v>0</v>
      </c>
      <c r="O39" s="2">
        <f>IF(LeadsData[[#This Row],[Stage Number]]&gt;=4,1,0)</f>
        <v>0</v>
      </c>
    </row>
    <row r="40" spans="1:15" x14ac:dyDescent="0.25">
      <c r="A40" t="s">
        <v>77</v>
      </c>
      <c r="B40" s="1">
        <v>45311</v>
      </c>
      <c r="C40" t="s">
        <v>17</v>
      </c>
      <c r="D40" t="s">
        <v>18</v>
      </c>
      <c r="E40" t="s">
        <v>21</v>
      </c>
      <c r="F40" t="s">
        <v>22</v>
      </c>
      <c r="G40" t="s">
        <v>23</v>
      </c>
      <c r="K40" cm="1">
        <f t="array" ref="K40">_xlfn.SWITCH(LeadsData[[#This Row],[Funnel Stage Reached]],"Lead",1,"MQL",2,"SQL",3,"Customer",4)</f>
        <v>2</v>
      </c>
      <c r="L40" t="str">
        <f>TEXT(LeadsData[[#This Row],[Signup Date]],"mmm-yyyy")</f>
        <v>Jan-2024</v>
      </c>
      <c r="M40">
        <f>IF(LeadsData[[#This Row],[Stage Number]]&gt;=2,1,0)</f>
        <v>1</v>
      </c>
      <c r="N40" s="2">
        <f>IF(LeadsData[[#This Row],[Stage Number]]&gt;=3,1,0)</f>
        <v>0</v>
      </c>
      <c r="O40" s="2">
        <f>IF(LeadsData[[#This Row],[Stage Number]]&gt;=4,1,0)</f>
        <v>0</v>
      </c>
    </row>
    <row r="41" spans="1:15" x14ac:dyDescent="0.25">
      <c r="A41" t="s">
        <v>78</v>
      </c>
      <c r="B41" s="1">
        <v>45540</v>
      </c>
      <c r="C41" t="s">
        <v>11</v>
      </c>
      <c r="D41" t="s">
        <v>79</v>
      </c>
      <c r="E41" t="s">
        <v>13</v>
      </c>
      <c r="F41" t="s">
        <v>14</v>
      </c>
      <c r="G41" t="s">
        <v>15</v>
      </c>
      <c r="K41" cm="1">
        <f t="array" ref="K41">_xlfn.SWITCH(LeadsData[[#This Row],[Funnel Stage Reached]],"Lead",1,"MQL",2,"SQL",3,"Customer",4)</f>
        <v>1</v>
      </c>
      <c r="L41" t="str">
        <f>TEXT(LeadsData[[#This Row],[Signup Date]],"mmm-yyyy")</f>
        <v>Sep-2024</v>
      </c>
      <c r="M41">
        <f>IF(LeadsData[[#This Row],[Stage Number]]&gt;=2,1,0)</f>
        <v>0</v>
      </c>
      <c r="N41" s="2">
        <f>IF(LeadsData[[#This Row],[Stage Number]]&gt;=3,1,0)</f>
        <v>0</v>
      </c>
      <c r="O41" s="2">
        <f>IF(LeadsData[[#This Row],[Stage Number]]&gt;=4,1,0)</f>
        <v>0</v>
      </c>
    </row>
    <row r="42" spans="1:15" x14ac:dyDescent="0.25">
      <c r="A42" t="s">
        <v>80</v>
      </c>
      <c r="B42" s="1">
        <v>45419</v>
      </c>
      <c r="C42" t="s">
        <v>17</v>
      </c>
      <c r="D42" t="s">
        <v>18</v>
      </c>
      <c r="E42" t="s">
        <v>21</v>
      </c>
      <c r="F42" t="s">
        <v>19</v>
      </c>
      <c r="G42" t="s">
        <v>23</v>
      </c>
      <c r="K42" cm="1">
        <f t="array" ref="K42">_xlfn.SWITCH(LeadsData[[#This Row],[Funnel Stage Reached]],"Lead",1,"MQL",2,"SQL",3,"Customer",4)</f>
        <v>2</v>
      </c>
      <c r="L42" t="str">
        <f>TEXT(LeadsData[[#This Row],[Signup Date]],"mmm-yyyy")</f>
        <v>May-2024</v>
      </c>
      <c r="M42">
        <f>IF(LeadsData[[#This Row],[Stage Number]]&gt;=2,1,0)</f>
        <v>1</v>
      </c>
      <c r="N42" s="2">
        <f>IF(LeadsData[[#This Row],[Stage Number]]&gt;=3,1,0)</f>
        <v>0</v>
      </c>
      <c r="O42" s="2">
        <f>IF(LeadsData[[#This Row],[Stage Number]]&gt;=4,1,0)</f>
        <v>0</v>
      </c>
    </row>
    <row r="43" spans="1:15" x14ac:dyDescent="0.25">
      <c r="A43" t="s">
        <v>81</v>
      </c>
      <c r="B43" s="1">
        <v>45395</v>
      </c>
      <c r="C43" t="s">
        <v>46</v>
      </c>
      <c r="D43" t="s">
        <v>47</v>
      </c>
      <c r="E43" t="s">
        <v>13</v>
      </c>
      <c r="F43" t="s">
        <v>22</v>
      </c>
      <c r="G43" t="s">
        <v>15</v>
      </c>
      <c r="K43" cm="1">
        <f t="array" ref="K43">_xlfn.SWITCH(LeadsData[[#This Row],[Funnel Stage Reached]],"Lead",1,"MQL",2,"SQL",3,"Customer",4)</f>
        <v>1</v>
      </c>
      <c r="L43" t="str">
        <f>TEXT(LeadsData[[#This Row],[Signup Date]],"mmm-yyyy")</f>
        <v>Apr-2024</v>
      </c>
      <c r="M43">
        <f>IF(LeadsData[[#This Row],[Stage Number]]&gt;=2,1,0)</f>
        <v>0</v>
      </c>
      <c r="N43" s="2">
        <f>IF(LeadsData[[#This Row],[Stage Number]]&gt;=3,1,0)</f>
        <v>0</v>
      </c>
      <c r="O43" s="2">
        <f>IF(LeadsData[[#This Row],[Stage Number]]&gt;=4,1,0)</f>
        <v>0</v>
      </c>
    </row>
    <row r="44" spans="1:15" x14ac:dyDescent="0.25">
      <c r="A44" t="s">
        <v>82</v>
      </c>
      <c r="B44" s="1">
        <v>45609</v>
      </c>
      <c r="C44" t="s">
        <v>46</v>
      </c>
      <c r="D44" t="s">
        <v>56</v>
      </c>
      <c r="E44" t="s">
        <v>21</v>
      </c>
      <c r="F44" t="s">
        <v>28</v>
      </c>
      <c r="G44" t="s">
        <v>23</v>
      </c>
      <c r="K44" cm="1">
        <f t="array" ref="K44">_xlfn.SWITCH(LeadsData[[#This Row],[Funnel Stage Reached]],"Lead",1,"MQL",2,"SQL",3,"Customer",4)</f>
        <v>2</v>
      </c>
      <c r="L44" t="str">
        <f>TEXT(LeadsData[[#This Row],[Signup Date]],"mmm-yyyy")</f>
        <v>Nov-2024</v>
      </c>
      <c r="M44">
        <f>IF(LeadsData[[#This Row],[Stage Number]]&gt;=2,1,0)</f>
        <v>1</v>
      </c>
      <c r="N44" s="2">
        <f>IF(LeadsData[[#This Row],[Stage Number]]&gt;=3,1,0)</f>
        <v>0</v>
      </c>
      <c r="O44" s="2">
        <f>IF(LeadsData[[#This Row],[Stage Number]]&gt;=4,1,0)</f>
        <v>0</v>
      </c>
    </row>
    <row r="45" spans="1:15" x14ac:dyDescent="0.25">
      <c r="A45" t="s">
        <v>83</v>
      </c>
      <c r="B45" s="1">
        <v>45604</v>
      </c>
      <c r="C45" t="s">
        <v>25</v>
      </c>
      <c r="D45" t="s">
        <v>26</v>
      </c>
      <c r="E45" t="s">
        <v>13</v>
      </c>
      <c r="F45" t="s">
        <v>22</v>
      </c>
      <c r="G45" t="s">
        <v>15</v>
      </c>
      <c r="K45" cm="1">
        <f t="array" ref="K45">_xlfn.SWITCH(LeadsData[[#This Row],[Funnel Stage Reached]],"Lead",1,"MQL",2,"SQL",3,"Customer",4)</f>
        <v>1</v>
      </c>
      <c r="L45" t="str">
        <f>TEXT(LeadsData[[#This Row],[Signup Date]],"mmm-yyyy")</f>
        <v>Nov-2024</v>
      </c>
      <c r="M45">
        <f>IF(LeadsData[[#This Row],[Stage Number]]&gt;=2,1,0)</f>
        <v>0</v>
      </c>
      <c r="N45" s="2">
        <f>IF(LeadsData[[#This Row],[Stage Number]]&gt;=3,1,0)</f>
        <v>0</v>
      </c>
      <c r="O45" s="2">
        <f>IF(LeadsData[[#This Row],[Stage Number]]&gt;=4,1,0)</f>
        <v>0</v>
      </c>
    </row>
    <row r="46" spans="1:15" x14ac:dyDescent="0.25">
      <c r="A46" t="s">
        <v>84</v>
      </c>
      <c r="B46" s="1">
        <v>45336</v>
      </c>
      <c r="C46" t="s">
        <v>46</v>
      </c>
      <c r="D46" t="s">
        <v>47</v>
      </c>
      <c r="E46" t="s">
        <v>48</v>
      </c>
      <c r="F46" t="s">
        <v>22</v>
      </c>
      <c r="G46" t="s">
        <v>15</v>
      </c>
      <c r="K46" cm="1">
        <f t="array" ref="K46">_xlfn.SWITCH(LeadsData[[#This Row],[Funnel Stage Reached]],"Lead",1,"MQL",2,"SQL",3,"Customer",4)</f>
        <v>1</v>
      </c>
      <c r="L46" t="str">
        <f>TEXT(LeadsData[[#This Row],[Signup Date]],"mmm-yyyy")</f>
        <v>Feb-2024</v>
      </c>
      <c r="M46">
        <f>IF(LeadsData[[#This Row],[Stage Number]]&gt;=2,1,0)</f>
        <v>0</v>
      </c>
      <c r="N46" s="2">
        <f>IF(LeadsData[[#This Row],[Stage Number]]&gt;=3,1,0)</f>
        <v>0</v>
      </c>
      <c r="O46" s="2">
        <f>IF(LeadsData[[#This Row],[Stage Number]]&gt;=4,1,0)</f>
        <v>0</v>
      </c>
    </row>
    <row r="47" spans="1:15" x14ac:dyDescent="0.25">
      <c r="A47" t="s">
        <v>85</v>
      </c>
      <c r="B47" s="1">
        <v>45417</v>
      </c>
      <c r="C47" t="s">
        <v>11</v>
      </c>
      <c r="D47" t="s">
        <v>12</v>
      </c>
      <c r="E47" t="s">
        <v>13</v>
      </c>
      <c r="F47" t="s">
        <v>28</v>
      </c>
      <c r="G47" t="s">
        <v>15</v>
      </c>
      <c r="K47" cm="1">
        <f t="array" ref="K47">_xlfn.SWITCH(LeadsData[[#This Row],[Funnel Stage Reached]],"Lead",1,"MQL",2,"SQL",3,"Customer",4)</f>
        <v>1</v>
      </c>
      <c r="L47" t="str">
        <f>TEXT(LeadsData[[#This Row],[Signup Date]],"mmm-yyyy")</f>
        <v>May-2024</v>
      </c>
      <c r="M47">
        <f>IF(LeadsData[[#This Row],[Stage Number]]&gt;=2,1,0)</f>
        <v>0</v>
      </c>
      <c r="N47" s="2">
        <f>IF(LeadsData[[#This Row],[Stage Number]]&gt;=3,1,0)</f>
        <v>0</v>
      </c>
      <c r="O47" s="2">
        <f>IF(LeadsData[[#This Row],[Stage Number]]&gt;=4,1,0)</f>
        <v>0</v>
      </c>
    </row>
    <row r="48" spans="1:15" x14ac:dyDescent="0.25">
      <c r="A48" t="s">
        <v>86</v>
      </c>
      <c r="B48" s="1">
        <v>45630</v>
      </c>
      <c r="C48" t="s">
        <v>31</v>
      </c>
      <c r="D48" t="s">
        <v>34</v>
      </c>
      <c r="E48" t="s">
        <v>21</v>
      </c>
      <c r="F48" t="s">
        <v>19</v>
      </c>
      <c r="G48" t="s">
        <v>42</v>
      </c>
      <c r="H48">
        <v>56</v>
      </c>
      <c r="I48" t="s">
        <v>87</v>
      </c>
      <c r="J48">
        <v>3409.91</v>
      </c>
      <c r="K48" cm="1">
        <f t="array" ref="K48">_xlfn.SWITCH(LeadsData[[#This Row],[Funnel Stage Reached]],"Lead",1,"MQL",2,"SQL",3,"Customer",4)</f>
        <v>4</v>
      </c>
      <c r="L48" t="str">
        <f>TEXT(LeadsData[[#This Row],[Signup Date]],"mmm-yyyy")</f>
        <v>Dec-2024</v>
      </c>
      <c r="M48">
        <f>IF(LeadsData[[#This Row],[Stage Number]]&gt;=2,1,0)</f>
        <v>1</v>
      </c>
      <c r="N48" s="2">
        <f>IF(LeadsData[[#This Row],[Stage Number]]&gt;=3,1,0)</f>
        <v>1</v>
      </c>
      <c r="O48" s="2">
        <f>IF(LeadsData[[#This Row],[Stage Number]]&gt;=4,1,0)</f>
        <v>1</v>
      </c>
    </row>
    <row r="49" spans="1:15" x14ac:dyDescent="0.25">
      <c r="A49" t="s">
        <v>88</v>
      </c>
      <c r="B49" s="1">
        <v>45540</v>
      </c>
      <c r="C49" t="s">
        <v>31</v>
      </c>
      <c r="D49" t="s">
        <v>34</v>
      </c>
      <c r="E49" t="s">
        <v>21</v>
      </c>
      <c r="F49" t="s">
        <v>14</v>
      </c>
      <c r="G49" t="s">
        <v>15</v>
      </c>
      <c r="K49" cm="1">
        <f t="array" ref="K49">_xlfn.SWITCH(LeadsData[[#This Row],[Funnel Stage Reached]],"Lead",1,"MQL",2,"SQL",3,"Customer",4)</f>
        <v>1</v>
      </c>
      <c r="L49" t="str">
        <f>TEXT(LeadsData[[#This Row],[Signup Date]],"mmm-yyyy")</f>
        <v>Sep-2024</v>
      </c>
      <c r="M49">
        <f>IF(LeadsData[[#This Row],[Stage Number]]&gt;=2,1,0)</f>
        <v>0</v>
      </c>
      <c r="N49" s="2">
        <f>IF(LeadsData[[#This Row],[Stage Number]]&gt;=3,1,0)</f>
        <v>0</v>
      </c>
      <c r="O49" s="2">
        <f>IF(LeadsData[[#This Row],[Stage Number]]&gt;=4,1,0)</f>
        <v>0</v>
      </c>
    </row>
    <row r="50" spans="1:15" x14ac:dyDescent="0.25">
      <c r="A50" t="s">
        <v>89</v>
      </c>
      <c r="B50" s="1">
        <v>45312</v>
      </c>
      <c r="C50" t="s">
        <v>11</v>
      </c>
      <c r="D50" t="s">
        <v>68</v>
      </c>
      <c r="E50" t="s">
        <v>13</v>
      </c>
      <c r="F50" t="s">
        <v>14</v>
      </c>
      <c r="G50" t="s">
        <v>15</v>
      </c>
      <c r="K50" cm="1">
        <f t="array" ref="K50">_xlfn.SWITCH(LeadsData[[#This Row],[Funnel Stage Reached]],"Lead",1,"MQL",2,"SQL",3,"Customer",4)</f>
        <v>1</v>
      </c>
      <c r="L50" t="str">
        <f>TEXT(LeadsData[[#This Row],[Signup Date]],"mmm-yyyy")</f>
        <v>Jan-2024</v>
      </c>
      <c r="M50">
        <f>IF(LeadsData[[#This Row],[Stage Number]]&gt;=2,1,0)</f>
        <v>0</v>
      </c>
      <c r="N50" s="2">
        <f>IF(LeadsData[[#This Row],[Stage Number]]&gt;=3,1,0)</f>
        <v>0</v>
      </c>
      <c r="O50" s="2">
        <f>IF(LeadsData[[#This Row],[Stage Number]]&gt;=4,1,0)</f>
        <v>0</v>
      </c>
    </row>
    <row r="51" spans="1:15" x14ac:dyDescent="0.25">
      <c r="A51" t="s">
        <v>90</v>
      </c>
      <c r="B51" s="1">
        <v>45496</v>
      </c>
      <c r="C51" t="s">
        <v>31</v>
      </c>
      <c r="D51" t="s">
        <v>34</v>
      </c>
      <c r="E51" t="s">
        <v>13</v>
      </c>
      <c r="F51" t="s">
        <v>19</v>
      </c>
      <c r="G51" t="s">
        <v>23</v>
      </c>
      <c r="K51" cm="1">
        <f t="array" ref="K51">_xlfn.SWITCH(LeadsData[[#This Row],[Funnel Stage Reached]],"Lead",1,"MQL",2,"SQL",3,"Customer",4)</f>
        <v>2</v>
      </c>
      <c r="L51" t="str">
        <f>TEXT(LeadsData[[#This Row],[Signup Date]],"mmm-yyyy")</f>
        <v>Jul-2024</v>
      </c>
      <c r="M51">
        <f>IF(LeadsData[[#This Row],[Stage Number]]&gt;=2,1,0)</f>
        <v>1</v>
      </c>
      <c r="N51" s="2">
        <f>IF(LeadsData[[#This Row],[Stage Number]]&gt;=3,1,0)</f>
        <v>0</v>
      </c>
      <c r="O51" s="2">
        <f>IF(LeadsData[[#This Row],[Stage Number]]&gt;=4,1,0)</f>
        <v>0</v>
      </c>
    </row>
    <row r="52" spans="1:15" x14ac:dyDescent="0.25">
      <c r="A52" t="s">
        <v>91</v>
      </c>
      <c r="B52" s="1">
        <v>45325</v>
      </c>
      <c r="C52" t="s">
        <v>36</v>
      </c>
      <c r="D52" t="s">
        <v>50</v>
      </c>
      <c r="E52" t="s">
        <v>48</v>
      </c>
      <c r="F52" t="s">
        <v>19</v>
      </c>
      <c r="G52" t="s">
        <v>23</v>
      </c>
      <c r="K52" cm="1">
        <f t="array" ref="K52">_xlfn.SWITCH(LeadsData[[#This Row],[Funnel Stage Reached]],"Lead",1,"MQL",2,"SQL",3,"Customer",4)</f>
        <v>2</v>
      </c>
      <c r="L52" t="str">
        <f>TEXT(LeadsData[[#This Row],[Signup Date]],"mmm-yyyy")</f>
        <v>Feb-2024</v>
      </c>
      <c r="M52">
        <f>IF(LeadsData[[#This Row],[Stage Number]]&gt;=2,1,0)</f>
        <v>1</v>
      </c>
      <c r="N52" s="2">
        <f>IF(LeadsData[[#This Row],[Stage Number]]&gt;=3,1,0)</f>
        <v>0</v>
      </c>
      <c r="O52" s="2">
        <f>IF(LeadsData[[#This Row],[Stage Number]]&gt;=4,1,0)</f>
        <v>0</v>
      </c>
    </row>
    <row r="53" spans="1:15" x14ac:dyDescent="0.25">
      <c r="A53" t="s">
        <v>92</v>
      </c>
      <c r="B53" s="1">
        <v>45458</v>
      </c>
      <c r="C53" t="s">
        <v>17</v>
      </c>
      <c r="D53" t="s">
        <v>18</v>
      </c>
      <c r="E53" t="s">
        <v>21</v>
      </c>
      <c r="F53" t="s">
        <v>19</v>
      </c>
      <c r="G53" t="s">
        <v>15</v>
      </c>
      <c r="K53" cm="1">
        <f t="array" ref="K53">_xlfn.SWITCH(LeadsData[[#This Row],[Funnel Stage Reached]],"Lead",1,"MQL",2,"SQL",3,"Customer",4)</f>
        <v>1</v>
      </c>
      <c r="L53" t="str">
        <f>TEXT(LeadsData[[#This Row],[Signup Date]],"mmm-yyyy")</f>
        <v>Jun-2024</v>
      </c>
      <c r="M53">
        <f>IF(LeadsData[[#This Row],[Stage Number]]&gt;=2,1,0)</f>
        <v>0</v>
      </c>
      <c r="N53" s="2">
        <f>IF(LeadsData[[#This Row],[Stage Number]]&gt;=3,1,0)</f>
        <v>0</v>
      </c>
      <c r="O53" s="2">
        <f>IF(LeadsData[[#This Row],[Stage Number]]&gt;=4,1,0)</f>
        <v>0</v>
      </c>
    </row>
    <row r="54" spans="1:15" x14ac:dyDescent="0.25">
      <c r="A54" t="s">
        <v>93</v>
      </c>
      <c r="B54" s="1">
        <v>45444</v>
      </c>
      <c r="C54" t="s">
        <v>17</v>
      </c>
      <c r="D54" t="s">
        <v>18</v>
      </c>
      <c r="E54" t="s">
        <v>21</v>
      </c>
      <c r="F54" t="s">
        <v>14</v>
      </c>
      <c r="G54" t="s">
        <v>15</v>
      </c>
      <c r="K54" cm="1">
        <f t="array" ref="K54">_xlfn.SWITCH(LeadsData[[#This Row],[Funnel Stage Reached]],"Lead",1,"MQL",2,"SQL",3,"Customer",4)</f>
        <v>1</v>
      </c>
      <c r="L54" t="str">
        <f>TEXT(LeadsData[[#This Row],[Signup Date]],"mmm-yyyy")</f>
        <v>Jun-2024</v>
      </c>
      <c r="M54">
        <f>IF(LeadsData[[#This Row],[Stage Number]]&gt;=2,1,0)</f>
        <v>0</v>
      </c>
      <c r="N54" s="2">
        <f>IF(LeadsData[[#This Row],[Stage Number]]&gt;=3,1,0)</f>
        <v>0</v>
      </c>
      <c r="O54" s="2">
        <f>IF(LeadsData[[#This Row],[Stage Number]]&gt;=4,1,0)</f>
        <v>0</v>
      </c>
    </row>
    <row r="55" spans="1:15" x14ac:dyDescent="0.25">
      <c r="A55" t="s">
        <v>94</v>
      </c>
      <c r="B55" s="1">
        <v>45573</v>
      </c>
      <c r="C55" t="s">
        <v>31</v>
      </c>
      <c r="D55" t="s">
        <v>34</v>
      </c>
      <c r="E55" t="s">
        <v>21</v>
      </c>
      <c r="F55" t="s">
        <v>19</v>
      </c>
      <c r="G55" t="s">
        <v>23</v>
      </c>
      <c r="K55" cm="1">
        <f t="array" ref="K55">_xlfn.SWITCH(LeadsData[[#This Row],[Funnel Stage Reached]],"Lead",1,"MQL",2,"SQL",3,"Customer",4)</f>
        <v>2</v>
      </c>
      <c r="L55" t="str">
        <f>TEXT(LeadsData[[#This Row],[Signup Date]],"mmm-yyyy")</f>
        <v>Oct-2024</v>
      </c>
      <c r="M55">
        <f>IF(LeadsData[[#This Row],[Stage Number]]&gt;=2,1,0)</f>
        <v>1</v>
      </c>
      <c r="N55" s="2">
        <f>IF(LeadsData[[#This Row],[Stage Number]]&gt;=3,1,0)</f>
        <v>0</v>
      </c>
      <c r="O55" s="2">
        <f>IF(LeadsData[[#This Row],[Stage Number]]&gt;=4,1,0)</f>
        <v>0</v>
      </c>
    </row>
    <row r="56" spans="1:15" x14ac:dyDescent="0.25">
      <c r="A56" t="s">
        <v>95</v>
      </c>
      <c r="B56" s="1">
        <v>45357</v>
      </c>
      <c r="C56" t="s">
        <v>17</v>
      </c>
      <c r="D56" t="s">
        <v>18</v>
      </c>
      <c r="E56" t="s">
        <v>48</v>
      </c>
      <c r="F56" t="s">
        <v>19</v>
      </c>
      <c r="G56" t="s">
        <v>23</v>
      </c>
      <c r="K56" cm="1">
        <f t="array" ref="K56">_xlfn.SWITCH(LeadsData[[#This Row],[Funnel Stage Reached]],"Lead",1,"MQL",2,"SQL",3,"Customer",4)</f>
        <v>2</v>
      </c>
      <c r="L56" t="str">
        <f>TEXT(LeadsData[[#This Row],[Signup Date]],"mmm-yyyy")</f>
        <v>Mar-2024</v>
      </c>
      <c r="M56">
        <f>IF(LeadsData[[#This Row],[Stage Number]]&gt;=2,1,0)</f>
        <v>1</v>
      </c>
      <c r="N56" s="2">
        <f>IF(LeadsData[[#This Row],[Stage Number]]&gt;=3,1,0)</f>
        <v>0</v>
      </c>
      <c r="O56" s="2">
        <f>IF(LeadsData[[#This Row],[Stage Number]]&gt;=4,1,0)</f>
        <v>0</v>
      </c>
    </row>
    <row r="57" spans="1:15" x14ac:dyDescent="0.25">
      <c r="A57" t="s">
        <v>96</v>
      </c>
      <c r="B57" s="1">
        <v>45492</v>
      </c>
      <c r="C57" t="s">
        <v>25</v>
      </c>
      <c r="D57" t="s">
        <v>26</v>
      </c>
      <c r="E57" t="s">
        <v>13</v>
      </c>
      <c r="F57" t="s">
        <v>19</v>
      </c>
      <c r="G57" t="s">
        <v>15</v>
      </c>
      <c r="K57" cm="1">
        <f t="array" ref="K57">_xlfn.SWITCH(LeadsData[[#This Row],[Funnel Stage Reached]],"Lead",1,"MQL",2,"SQL",3,"Customer",4)</f>
        <v>1</v>
      </c>
      <c r="L57" t="str">
        <f>TEXT(LeadsData[[#This Row],[Signup Date]],"mmm-yyyy")</f>
        <v>Jul-2024</v>
      </c>
      <c r="M57">
        <f>IF(LeadsData[[#This Row],[Stage Number]]&gt;=2,1,0)</f>
        <v>0</v>
      </c>
      <c r="N57" s="2">
        <f>IF(LeadsData[[#This Row],[Stage Number]]&gt;=3,1,0)</f>
        <v>0</v>
      </c>
      <c r="O57" s="2">
        <f>IF(LeadsData[[#This Row],[Stage Number]]&gt;=4,1,0)</f>
        <v>0</v>
      </c>
    </row>
    <row r="58" spans="1:15" x14ac:dyDescent="0.25">
      <c r="A58" t="s">
        <v>97</v>
      </c>
      <c r="B58" s="1">
        <v>45486</v>
      </c>
      <c r="C58" t="s">
        <v>36</v>
      </c>
      <c r="D58" t="s">
        <v>50</v>
      </c>
      <c r="E58" t="s">
        <v>13</v>
      </c>
      <c r="F58" t="s">
        <v>19</v>
      </c>
      <c r="G58" t="s">
        <v>15</v>
      </c>
      <c r="K58" cm="1">
        <f t="array" ref="K58">_xlfn.SWITCH(LeadsData[[#This Row],[Funnel Stage Reached]],"Lead",1,"MQL",2,"SQL",3,"Customer",4)</f>
        <v>1</v>
      </c>
      <c r="L58" t="str">
        <f>TEXT(LeadsData[[#This Row],[Signup Date]],"mmm-yyyy")</f>
        <v>Jul-2024</v>
      </c>
      <c r="M58">
        <f>IF(LeadsData[[#This Row],[Stage Number]]&gt;=2,1,0)</f>
        <v>0</v>
      </c>
      <c r="N58" s="2">
        <f>IF(LeadsData[[#This Row],[Stage Number]]&gt;=3,1,0)</f>
        <v>0</v>
      </c>
      <c r="O58" s="2">
        <f>IF(LeadsData[[#This Row],[Stage Number]]&gt;=4,1,0)</f>
        <v>0</v>
      </c>
    </row>
    <row r="59" spans="1:15" x14ac:dyDescent="0.25">
      <c r="A59" t="s">
        <v>98</v>
      </c>
      <c r="B59" s="1">
        <v>45644</v>
      </c>
      <c r="C59" t="s">
        <v>46</v>
      </c>
      <c r="D59" t="s">
        <v>56</v>
      </c>
      <c r="E59" t="s">
        <v>13</v>
      </c>
      <c r="F59" t="s">
        <v>22</v>
      </c>
      <c r="G59" t="s">
        <v>42</v>
      </c>
      <c r="H59">
        <v>39</v>
      </c>
      <c r="I59" t="s">
        <v>43</v>
      </c>
      <c r="J59">
        <v>1123.24</v>
      </c>
      <c r="K59" cm="1">
        <f t="array" ref="K59">_xlfn.SWITCH(LeadsData[[#This Row],[Funnel Stage Reached]],"Lead",1,"MQL",2,"SQL",3,"Customer",4)</f>
        <v>4</v>
      </c>
      <c r="L59" t="str">
        <f>TEXT(LeadsData[[#This Row],[Signup Date]],"mmm-yyyy")</f>
        <v>Dec-2024</v>
      </c>
      <c r="M59">
        <f>IF(LeadsData[[#This Row],[Stage Number]]&gt;=2,1,0)</f>
        <v>1</v>
      </c>
      <c r="N59" s="2">
        <f>IF(LeadsData[[#This Row],[Stage Number]]&gt;=3,1,0)</f>
        <v>1</v>
      </c>
      <c r="O59" s="2">
        <f>IF(LeadsData[[#This Row],[Stage Number]]&gt;=4,1,0)</f>
        <v>1</v>
      </c>
    </row>
    <row r="60" spans="1:15" x14ac:dyDescent="0.25">
      <c r="A60" t="s">
        <v>99</v>
      </c>
      <c r="B60" s="1">
        <v>45598</v>
      </c>
      <c r="C60" t="s">
        <v>31</v>
      </c>
      <c r="D60" t="s">
        <v>32</v>
      </c>
      <c r="E60" t="s">
        <v>13</v>
      </c>
      <c r="F60" t="s">
        <v>22</v>
      </c>
      <c r="G60" t="s">
        <v>15</v>
      </c>
      <c r="K60" cm="1">
        <f t="array" ref="K60">_xlfn.SWITCH(LeadsData[[#This Row],[Funnel Stage Reached]],"Lead",1,"MQL",2,"SQL",3,"Customer",4)</f>
        <v>1</v>
      </c>
      <c r="L60" t="str">
        <f>TEXT(LeadsData[[#This Row],[Signup Date]],"mmm-yyyy")</f>
        <v>Nov-2024</v>
      </c>
      <c r="M60">
        <f>IF(LeadsData[[#This Row],[Stage Number]]&gt;=2,1,0)</f>
        <v>0</v>
      </c>
      <c r="N60" s="2">
        <f>IF(LeadsData[[#This Row],[Stage Number]]&gt;=3,1,0)</f>
        <v>0</v>
      </c>
      <c r="O60" s="2">
        <f>IF(LeadsData[[#This Row],[Stage Number]]&gt;=4,1,0)</f>
        <v>0</v>
      </c>
    </row>
    <row r="61" spans="1:15" x14ac:dyDescent="0.25">
      <c r="A61" t="s">
        <v>100</v>
      </c>
      <c r="B61" s="1">
        <v>45628</v>
      </c>
      <c r="C61" t="s">
        <v>25</v>
      </c>
      <c r="D61" t="s">
        <v>26</v>
      </c>
      <c r="E61" t="s">
        <v>13</v>
      </c>
      <c r="F61" t="s">
        <v>19</v>
      </c>
      <c r="G61" t="s">
        <v>23</v>
      </c>
      <c r="K61" cm="1">
        <f t="array" ref="K61">_xlfn.SWITCH(LeadsData[[#This Row],[Funnel Stage Reached]],"Lead",1,"MQL",2,"SQL",3,"Customer",4)</f>
        <v>2</v>
      </c>
      <c r="L61" t="str">
        <f>TEXT(LeadsData[[#This Row],[Signup Date]],"mmm-yyyy")</f>
        <v>Dec-2024</v>
      </c>
      <c r="M61">
        <f>IF(LeadsData[[#This Row],[Stage Number]]&gt;=2,1,0)</f>
        <v>1</v>
      </c>
      <c r="N61" s="2">
        <f>IF(LeadsData[[#This Row],[Stage Number]]&gt;=3,1,0)</f>
        <v>0</v>
      </c>
      <c r="O61" s="2">
        <f>IF(LeadsData[[#This Row],[Stage Number]]&gt;=4,1,0)</f>
        <v>0</v>
      </c>
    </row>
    <row r="62" spans="1:15" x14ac:dyDescent="0.25">
      <c r="A62" t="s">
        <v>101</v>
      </c>
      <c r="B62" s="1">
        <v>45489</v>
      </c>
      <c r="C62" t="s">
        <v>31</v>
      </c>
      <c r="D62" t="s">
        <v>32</v>
      </c>
      <c r="E62" t="s">
        <v>48</v>
      </c>
      <c r="F62" t="s">
        <v>22</v>
      </c>
      <c r="G62" t="s">
        <v>23</v>
      </c>
      <c r="K62" cm="1">
        <f t="array" ref="K62">_xlfn.SWITCH(LeadsData[[#This Row],[Funnel Stage Reached]],"Lead",1,"MQL",2,"SQL",3,"Customer",4)</f>
        <v>2</v>
      </c>
      <c r="L62" t="str">
        <f>TEXT(LeadsData[[#This Row],[Signup Date]],"mmm-yyyy")</f>
        <v>Jul-2024</v>
      </c>
      <c r="M62">
        <f>IF(LeadsData[[#This Row],[Stage Number]]&gt;=2,1,0)</f>
        <v>1</v>
      </c>
      <c r="N62" s="2">
        <f>IF(LeadsData[[#This Row],[Stage Number]]&gt;=3,1,0)</f>
        <v>0</v>
      </c>
      <c r="O62" s="2">
        <f>IF(LeadsData[[#This Row],[Stage Number]]&gt;=4,1,0)</f>
        <v>0</v>
      </c>
    </row>
    <row r="63" spans="1:15" x14ac:dyDescent="0.25">
      <c r="A63" t="s">
        <v>102</v>
      </c>
      <c r="B63" s="1">
        <v>45300</v>
      </c>
      <c r="C63" t="s">
        <v>46</v>
      </c>
      <c r="D63" t="s">
        <v>47</v>
      </c>
      <c r="E63" t="s">
        <v>21</v>
      </c>
      <c r="F63" t="s">
        <v>22</v>
      </c>
      <c r="G63" t="s">
        <v>42</v>
      </c>
      <c r="H63">
        <v>50</v>
      </c>
      <c r="I63" t="s">
        <v>43</v>
      </c>
      <c r="J63">
        <v>1134.24</v>
      </c>
      <c r="K63" cm="1">
        <f t="array" ref="K63">_xlfn.SWITCH(LeadsData[[#This Row],[Funnel Stage Reached]],"Lead",1,"MQL",2,"SQL",3,"Customer",4)</f>
        <v>4</v>
      </c>
      <c r="L63" t="str">
        <f>TEXT(LeadsData[[#This Row],[Signup Date]],"mmm-yyyy")</f>
        <v>Jan-2024</v>
      </c>
      <c r="M63">
        <f>IF(LeadsData[[#This Row],[Stage Number]]&gt;=2,1,0)</f>
        <v>1</v>
      </c>
      <c r="N63" s="2">
        <f>IF(LeadsData[[#This Row],[Stage Number]]&gt;=3,1,0)</f>
        <v>1</v>
      </c>
      <c r="O63" s="2">
        <f>IF(LeadsData[[#This Row],[Stage Number]]&gt;=4,1,0)</f>
        <v>1</v>
      </c>
    </row>
    <row r="64" spans="1:15" x14ac:dyDescent="0.25">
      <c r="A64" t="s">
        <v>103</v>
      </c>
      <c r="B64" s="1">
        <v>45530</v>
      </c>
      <c r="C64" t="s">
        <v>31</v>
      </c>
      <c r="D64" t="s">
        <v>32</v>
      </c>
      <c r="E64" t="s">
        <v>13</v>
      </c>
      <c r="F64" t="s">
        <v>19</v>
      </c>
      <c r="G64" t="s">
        <v>15</v>
      </c>
      <c r="K64" cm="1">
        <f t="array" ref="K64">_xlfn.SWITCH(LeadsData[[#This Row],[Funnel Stage Reached]],"Lead",1,"MQL",2,"SQL",3,"Customer",4)</f>
        <v>1</v>
      </c>
      <c r="L64" t="str">
        <f>TEXT(LeadsData[[#This Row],[Signup Date]],"mmm-yyyy")</f>
        <v>Aug-2024</v>
      </c>
      <c r="M64">
        <f>IF(LeadsData[[#This Row],[Stage Number]]&gt;=2,1,0)</f>
        <v>0</v>
      </c>
      <c r="N64" s="2">
        <f>IF(LeadsData[[#This Row],[Stage Number]]&gt;=3,1,0)</f>
        <v>0</v>
      </c>
      <c r="O64" s="2">
        <f>IF(LeadsData[[#This Row],[Stage Number]]&gt;=4,1,0)</f>
        <v>0</v>
      </c>
    </row>
    <row r="65" spans="1:15" x14ac:dyDescent="0.25">
      <c r="A65" t="s">
        <v>104</v>
      </c>
      <c r="B65" s="1">
        <v>45371</v>
      </c>
      <c r="C65" t="s">
        <v>46</v>
      </c>
      <c r="D65" t="s">
        <v>56</v>
      </c>
      <c r="E65" t="s">
        <v>21</v>
      </c>
      <c r="F65" t="s">
        <v>19</v>
      </c>
      <c r="G65" t="s">
        <v>42</v>
      </c>
      <c r="H65">
        <v>18</v>
      </c>
      <c r="I65" t="s">
        <v>87</v>
      </c>
      <c r="J65">
        <v>3578.06</v>
      </c>
      <c r="K65" cm="1">
        <f t="array" ref="K65">_xlfn.SWITCH(LeadsData[[#This Row],[Funnel Stage Reached]],"Lead",1,"MQL",2,"SQL",3,"Customer",4)</f>
        <v>4</v>
      </c>
      <c r="L65" t="str">
        <f>TEXT(LeadsData[[#This Row],[Signup Date]],"mmm-yyyy")</f>
        <v>Mar-2024</v>
      </c>
      <c r="M65">
        <f>IF(LeadsData[[#This Row],[Stage Number]]&gt;=2,1,0)</f>
        <v>1</v>
      </c>
      <c r="N65" s="2">
        <f>IF(LeadsData[[#This Row],[Stage Number]]&gt;=3,1,0)</f>
        <v>1</v>
      </c>
      <c r="O65" s="2">
        <f>IF(LeadsData[[#This Row],[Stage Number]]&gt;=4,1,0)</f>
        <v>1</v>
      </c>
    </row>
    <row r="66" spans="1:15" x14ac:dyDescent="0.25">
      <c r="A66" t="s">
        <v>105</v>
      </c>
      <c r="B66" s="1">
        <v>45372</v>
      </c>
      <c r="C66" t="s">
        <v>11</v>
      </c>
      <c r="D66" t="s">
        <v>68</v>
      </c>
      <c r="E66" t="s">
        <v>21</v>
      </c>
      <c r="F66" t="s">
        <v>14</v>
      </c>
      <c r="G66" t="s">
        <v>15</v>
      </c>
      <c r="K66" cm="1">
        <f t="array" ref="K66">_xlfn.SWITCH(LeadsData[[#This Row],[Funnel Stage Reached]],"Lead",1,"MQL",2,"SQL",3,"Customer",4)</f>
        <v>1</v>
      </c>
      <c r="L66" t="str">
        <f>TEXT(LeadsData[[#This Row],[Signup Date]],"mmm-yyyy")</f>
        <v>Mar-2024</v>
      </c>
      <c r="M66">
        <f>IF(LeadsData[[#This Row],[Stage Number]]&gt;=2,1,0)</f>
        <v>0</v>
      </c>
      <c r="N66" s="2">
        <f>IF(LeadsData[[#This Row],[Stage Number]]&gt;=3,1,0)</f>
        <v>0</v>
      </c>
      <c r="O66" s="2">
        <f>IF(LeadsData[[#This Row],[Stage Number]]&gt;=4,1,0)</f>
        <v>0</v>
      </c>
    </row>
    <row r="67" spans="1:15" x14ac:dyDescent="0.25">
      <c r="A67" t="s">
        <v>106</v>
      </c>
      <c r="B67" s="1">
        <v>45651</v>
      </c>
      <c r="C67" t="s">
        <v>11</v>
      </c>
      <c r="D67" t="s">
        <v>79</v>
      </c>
      <c r="E67" t="s">
        <v>13</v>
      </c>
      <c r="F67" t="s">
        <v>22</v>
      </c>
      <c r="G67" t="s">
        <v>15</v>
      </c>
      <c r="K67" cm="1">
        <f t="array" ref="K67">_xlfn.SWITCH(LeadsData[[#This Row],[Funnel Stage Reached]],"Lead",1,"MQL",2,"SQL",3,"Customer",4)</f>
        <v>1</v>
      </c>
      <c r="L67" t="str">
        <f>TEXT(LeadsData[[#This Row],[Signup Date]],"mmm-yyyy")</f>
        <v>Dec-2024</v>
      </c>
      <c r="M67">
        <f>IF(LeadsData[[#This Row],[Stage Number]]&gt;=2,1,0)</f>
        <v>0</v>
      </c>
      <c r="N67" s="2">
        <f>IF(LeadsData[[#This Row],[Stage Number]]&gt;=3,1,0)</f>
        <v>0</v>
      </c>
      <c r="O67" s="2">
        <f>IF(LeadsData[[#This Row],[Stage Number]]&gt;=4,1,0)</f>
        <v>0</v>
      </c>
    </row>
    <row r="68" spans="1:15" x14ac:dyDescent="0.25">
      <c r="A68" t="s">
        <v>107</v>
      </c>
      <c r="B68" s="1">
        <v>45357</v>
      </c>
      <c r="C68" t="s">
        <v>25</v>
      </c>
      <c r="D68" t="s">
        <v>26</v>
      </c>
      <c r="E68" t="s">
        <v>21</v>
      </c>
      <c r="F68" t="s">
        <v>19</v>
      </c>
      <c r="G68" t="s">
        <v>23</v>
      </c>
      <c r="K68" cm="1">
        <f t="array" ref="K68">_xlfn.SWITCH(LeadsData[[#This Row],[Funnel Stage Reached]],"Lead",1,"MQL",2,"SQL",3,"Customer",4)</f>
        <v>2</v>
      </c>
      <c r="L68" t="str">
        <f>TEXT(LeadsData[[#This Row],[Signup Date]],"mmm-yyyy")</f>
        <v>Mar-2024</v>
      </c>
      <c r="M68">
        <f>IF(LeadsData[[#This Row],[Stage Number]]&gt;=2,1,0)</f>
        <v>1</v>
      </c>
      <c r="N68" s="2">
        <f>IF(LeadsData[[#This Row],[Stage Number]]&gt;=3,1,0)</f>
        <v>0</v>
      </c>
      <c r="O68" s="2">
        <f>IF(LeadsData[[#This Row],[Stage Number]]&gt;=4,1,0)</f>
        <v>0</v>
      </c>
    </row>
    <row r="69" spans="1:15" x14ac:dyDescent="0.25">
      <c r="A69" t="s">
        <v>108</v>
      </c>
      <c r="B69" s="1">
        <v>45471</v>
      </c>
      <c r="C69" t="s">
        <v>46</v>
      </c>
      <c r="D69" t="s">
        <v>47</v>
      </c>
      <c r="E69" t="s">
        <v>21</v>
      </c>
      <c r="F69" t="s">
        <v>22</v>
      </c>
      <c r="G69" t="s">
        <v>15</v>
      </c>
      <c r="K69" cm="1">
        <f t="array" ref="K69">_xlfn.SWITCH(LeadsData[[#This Row],[Funnel Stage Reached]],"Lead",1,"MQL",2,"SQL",3,"Customer",4)</f>
        <v>1</v>
      </c>
      <c r="L69" t="str">
        <f>TEXT(LeadsData[[#This Row],[Signup Date]],"mmm-yyyy")</f>
        <v>Jun-2024</v>
      </c>
      <c r="M69">
        <f>IF(LeadsData[[#This Row],[Stage Number]]&gt;=2,1,0)</f>
        <v>0</v>
      </c>
      <c r="N69" s="2">
        <f>IF(LeadsData[[#This Row],[Stage Number]]&gt;=3,1,0)</f>
        <v>0</v>
      </c>
      <c r="O69" s="2">
        <f>IF(LeadsData[[#This Row],[Stage Number]]&gt;=4,1,0)</f>
        <v>0</v>
      </c>
    </row>
    <row r="70" spans="1:15" x14ac:dyDescent="0.25">
      <c r="A70" t="s">
        <v>109</v>
      </c>
      <c r="B70" s="1">
        <v>45427</v>
      </c>
      <c r="C70" t="s">
        <v>17</v>
      </c>
      <c r="D70" t="s">
        <v>53</v>
      </c>
      <c r="E70" t="s">
        <v>13</v>
      </c>
      <c r="F70" t="s">
        <v>19</v>
      </c>
      <c r="G70" t="s">
        <v>15</v>
      </c>
      <c r="K70" cm="1">
        <f t="array" ref="K70">_xlfn.SWITCH(LeadsData[[#This Row],[Funnel Stage Reached]],"Lead",1,"MQL",2,"SQL",3,"Customer",4)</f>
        <v>1</v>
      </c>
      <c r="L70" t="str">
        <f>TEXT(LeadsData[[#This Row],[Signup Date]],"mmm-yyyy")</f>
        <v>May-2024</v>
      </c>
      <c r="M70">
        <f>IF(LeadsData[[#This Row],[Stage Number]]&gt;=2,1,0)</f>
        <v>0</v>
      </c>
      <c r="N70" s="2">
        <f>IF(LeadsData[[#This Row],[Stage Number]]&gt;=3,1,0)</f>
        <v>0</v>
      </c>
      <c r="O70" s="2">
        <f>IF(LeadsData[[#This Row],[Stage Number]]&gt;=4,1,0)</f>
        <v>0</v>
      </c>
    </row>
    <row r="71" spans="1:15" x14ac:dyDescent="0.25">
      <c r="A71" t="s">
        <v>110</v>
      </c>
      <c r="B71" s="1">
        <v>45650</v>
      </c>
      <c r="C71" t="s">
        <v>46</v>
      </c>
      <c r="D71" t="s">
        <v>56</v>
      </c>
      <c r="E71" t="s">
        <v>13</v>
      </c>
      <c r="F71" t="s">
        <v>22</v>
      </c>
      <c r="G71" t="s">
        <v>23</v>
      </c>
      <c r="K71" cm="1">
        <f t="array" ref="K71">_xlfn.SWITCH(LeadsData[[#This Row],[Funnel Stage Reached]],"Lead",1,"MQL",2,"SQL",3,"Customer",4)</f>
        <v>2</v>
      </c>
      <c r="L71" t="str">
        <f>TEXT(LeadsData[[#This Row],[Signup Date]],"mmm-yyyy")</f>
        <v>Dec-2024</v>
      </c>
      <c r="M71">
        <f>IF(LeadsData[[#This Row],[Stage Number]]&gt;=2,1,0)</f>
        <v>1</v>
      </c>
      <c r="N71" s="2">
        <f>IF(LeadsData[[#This Row],[Stage Number]]&gt;=3,1,0)</f>
        <v>0</v>
      </c>
      <c r="O71" s="2">
        <f>IF(LeadsData[[#This Row],[Stage Number]]&gt;=4,1,0)</f>
        <v>0</v>
      </c>
    </row>
    <row r="72" spans="1:15" x14ac:dyDescent="0.25">
      <c r="A72" t="s">
        <v>111</v>
      </c>
      <c r="B72" s="1">
        <v>45467</v>
      </c>
      <c r="C72" t="s">
        <v>31</v>
      </c>
      <c r="D72" t="s">
        <v>32</v>
      </c>
      <c r="E72" t="s">
        <v>13</v>
      </c>
      <c r="F72" t="s">
        <v>22</v>
      </c>
      <c r="G72" t="s">
        <v>15</v>
      </c>
      <c r="K72" cm="1">
        <f t="array" ref="K72">_xlfn.SWITCH(LeadsData[[#This Row],[Funnel Stage Reached]],"Lead",1,"MQL",2,"SQL",3,"Customer",4)</f>
        <v>1</v>
      </c>
      <c r="L72" t="str">
        <f>TEXT(LeadsData[[#This Row],[Signup Date]],"mmm-yyyy")</f>
        <v>Jun-2024</v>
      </c>
      <c r="M72">
        <f>IF(LeadsData[[#This Row],[Stage Number]]&gt;=2,1,0)</f>
        <v>0</v>
      </c>
      <c r="N72" s="2">
        <f>IF(LeadsData[[#This Row],[Stage Number]]&gt;=3,1,0)</f>
        <v>0</v>
      </c>
      <c r="O72" s="2">
        <f>IF(LeadsData[[#This Row],[Stage Number]]&gt;=4,1,0)</f>
        <v>0</v>
      </c>
    </row>
    <row r="73" spans="1:15" x14ac:dyDescent="0.25">
      <c r="A73" t="s">
        <v>112</v>
      </c>
      <c r="B73" s="1">
        <v>45375</v>
      </c>
      <c r="C73" t="s">
        <v>11</v>
      </c>
      <c r="D73" t="s">
        <v>68</v>
      </c>
      <c r="E73" t="s">
        <v>13</v>
      </c>
      <c r="F73" t="s">
        <v>19</v>
      </c>
      <c r="G73" t="s">
        <v>29</v>
      </c>
      <c r="K73" cm="1">
        <f t="array" ref="K73">_xlfn.SWITCH(LeadsData[[#This Row],[Funnel Stage Reached]],"Lead",1,"MQL",2,"SQL",3,"Customer",4)</f>
        <v>3</v>
      </c>
      <c r="L73" t="str">
        <f>TEXT(LeadsData[[#This Row],[Signup Date]],"mmm-yyyy")</f>
        <v>Mar-2024</v>
      </c>
      <c r="M73">
        <f>IF(LeadsData[[#This Row],[Stage Number]]&gt;=2,1,0)</f>
        <v>1</v>
      </c>
      <c r="N73" s="2">
        <f>IF(LeadsData[[#This Row],[Stage Number]]&gt;=3,1,0)</f>
        <v>1</v>
      </c>
      <c r="O73" s="2">
        <f>IF(LeadsData[[#This Row],[Stage Number]]&gt;=4,1,0)</f>
        <v>0</v>
      </c>
    </row>
    <row r="74" spans="1:15" x14ac:dyDescent="0.25">
      <c r="A74" t="s">
        <v>113</v>
      </c>
      <c r="B74" s="1">
        <v>45636</v>
      </c>
      <c r="C74" t="s">
        <v>17</v>
      </c>
      <c r="D74" t="s">
        <v>53</v>
      </c>
      <c r="E74" t="s">
        <v>13</v>
      </c>
      <c r="F74" t="s">
        <v>14</v>
      </c>
      <c r="G74" t="s">
        <v>15</v>
      </c>
      <c r="K74" cm="1">
        <f t="array" ref="K74">_xlfn.SWITCH(LeadsData[[#This Row],[Funnel Stage Reached]],"Lead",1,"MQL",2,"SQL",3,"Customer",4)</f>
        <v>1</v>
      </c>
      <c r="L74" t="str">
        <f>TEXT(LeadsData[[#This Row],[Signup Date]],"mmm-yyyy")</f>
        <v>Dec-2024</v>
      </c>
      <c r="M74">
        <f>IF(LeadsData[[#This Row],[Stage Number]]&gt;=2,1,0)</f>
        <v>0</v>
      </c>
      <c r="N74" s="2">
        <f>IF(LeadsData[[#This Row],[Stage Number]]&gt;=3,1,0)</f>
        <v>0</v>
      </c>
      <c r="O74" s="2">
        <f>IF(LeadsData[[#This Row],[Stage Number]]&gt;=4,1,0)</f>
        <v>0</v>
      </c>
    </row>
    <row r="75" spans="1:15" x14ac:dyDescent="0.25">
      <c r="A75" t="s">
        <v>114</v>
      </c>
      <c r="B75" s="1">
        <v>45570</v>
      </c>
      <c r="C75" t="s">
        <v>46</v>
      </c>
      <c r="D75" t="s">
        <v>56</v>
      </c>
      <c r="E75" t="s">
        <v>13</v>
      </c>
      <c r="F75" t="s">
        <v>19</v>
      </c>
      <c r="G75" t="s">
        <v>15</v>
      </c>
      <c r="K75" cm="1">
        <f t="array" ref="K75">_xlfn.SWITCH(LeadsData[[#This Row],[Funnel Stage Reached]],"Lead",1,"MQL",2,"SQL",3,"Customer",4)</f>
        <v>1</v>
      </c>
      <c r="L75" t="str">
        <f>TEXT(LeadsData[[#This Row],[Signup Date]],"mmm-yyyy")</f>
        <v>Oct-2024</v>
      </c>
      <c r="M75">
        <f>IF(LeadsData[[#This Row],[Stage Number]]&gt;=2,1,0)</f>
        <v>0</v>
      </c>
      <c r="N75" s="2">
        <f>IF(LeadsData[[#This Row],[Stage Number]]&gt;=3,1,0)</f>
        <v>0</v>
      </c>
      <c r="O75" s="2">
        <f>IF(LeadsData[[#This Row],[Stage Number]]&gt;=4,1,0)</f>
        <v>0</v>
      </c>
    </row>
    <row r="76" spans="1:15" x14ac:dyDescent="0.25">
      <c r="A76" t="s">
        <v>115</v>
      </c>
      <c r="B76" s="1">
        <v>45621</v>
      </c>
      <c r="C76" t="s">
        <v>36</v>
      </c>
      <c r="D76" t="s">
        <v>37</v>
      </c>
      <c r="E76" t="s">
        <v>21</v>
      </c>
      <c r="F76" t="s">
        <v>19</v>
      </c>
      <c r="G76" t="s">
        <v>15</v>
      </c>
      <c r="K76" cm="1">
        <f t="array" ref="K76">_xlfn.SWITCH(LeadsData[[#This Row],[Funnel Stage Reached]],"Lead",1,"MQL",2,"SQL",3,"Customer",4)</f>
        <v>1</v>
      </c>
      <c r="L76" t="str">
        <f>TEXT(LeadsData[[#This Row],[Signup Date]],"mmm-yyyy")</f>
        <v>Nov-2024</v>
      </c>
      <c r="M76">
        <f>IF(LeadsData[[#This Row],[Stage Number]]&gt;=2,1,0)</f>
        <v>0</v>
      </c>
      <c r="N76" s="2">
        <f>IF(LeadsData[[#This Row],[Stage Number]]&gt;=3,1,0)</f>
        <v>0</v>
      </c>
      <c r="O76" s="2">
        <f>IF(LeadsData[[#This Row],[Stage Number]]&gt;=4,1,0)</f>
        <v>0</v>
      </c>
    </row>
    <row r="77" spans="1:15" x14ac:dyDescent="0.25">
      <c r="A77" t="s">
        <v>116</v>
      </c>
      <c r="B77" s="1">
        <v>45379</v>
      </c>
      <c r="C77" t="s">
        <v>17</v>
      </c>
      <c r="D77" t="s">
        <v>18</v>
      </c>
      <c r="E77" t="s">
        <v>13</v>
      </c>
      <c r="F77" t="s">
        <v>14</v>
      </c>
      <c r="G77" t="s">
        <v>15</v>
      </c>
      <c r="K77" cm="1">
        <f t="array" ref="K77">_xlfn.SWITCH(LeadsData[[#This Row],[Funnel Stage Reached]],"Lead",1,"MQL",2,"SQL",3,"Customer",4)</f>
        <v>1</v>
      </c>
      <c r="L77" t="str">
        <f>TEXT(LeadsData[[#This Row],[Signup Date]],"mmm-yyyy")</f>
        <v>Mar-2024</v>
      </c>
      <c r="M77">
        <f>IF(LeadsData[[#This Row],[Stage Number]]&gt;=2,1,0)</f>
        <v>0</v>
      </c>
      <c r="N77" s="2">
        <f>IF(LeadsData[[#This Row],[Stage Number]]&gt;=3,1,0)</f>
        <v>0</v>
      </c>
      <c r="O77" s="2">
        <f>IF(LeadsData[[#This Row],[Stage Number]]&gt;=4,1,0)</f>
        <v>0</v>
      </c>
    </row>
    <row r="78" spans="1:15" x14ac:dyDescent="0.25">
      <c r="A78" t="s">
        <v>117</v>
      </c>
      <c r="B78" s="1">
        <v>45537</v>
      </c>
      <c r="C78" t="s">
        <v>11</v>
      </c>
      <c r="D78" t="s">
        <v>12</v>
      </c>
      <c r="E78" t="s">
        <v>13</v>
      </c>
      <c r="F78" t="s">
        <v>19</v>
      </c>
      <c r="G78" t="s">
        <v>23</v>
      </c>
      <c r="K78" cm="1">
        <f t="array" ref="K78">_xlfn.SWITCH(LeadsData[[#This Row],[Funnel Stage Reached]],"Lead",1,"MQL",2,"SQL",3,"Customer",4)</f>
        <v>2</v>
      </c>
      <c r="L78" t="str">
        <f>TEXT(LeadsData[[#This Row],[Signup Date]],"mmm-yyyy")</f>
        <v>Sep-2024</v>
      </c>
      <c r="M78">
        <f>IF(LeadsData[[#This Row],[Stage Number]]&gt;=2,1,0)</f>
        <v>1</v>
      </c>
      <c r="N78" s="2">
        <f>IF(LeadsData[[#This Row],[Stage Number]]&gt;=3,1,0)</f>
        <v>0</v>
      </c>
      <c r="O78" s="2">
        <f>IF(LeadsData[[#This Row],[Stage Number]]&gt;=4,1,0)</f>
        <v>0</v>
      </c>
    </row>
    <row r="79" spans="1:15" x14ac:dyDescent="0.25">
      <c r="A79" t="s">
        <v>118</v>
      </c>
      <c r="B79" s="1">
        <v>45615</v>
      </c>
      <c r="C79" t="s">
        <v>11</v>
      </c>
      <c r="D79" t="s">
        <v>12</v>
      </c>
      <c r="E79" t="s">
        <v>21</v>
      </c>
      <c r="F79" t="s">
        <v>14</v>
      </c>
      <c r="G79" t="s">
        <v>15</v>
      </c>
      <c r="K79" cm="1">
        <f t="array" ref="K79">_xlfn.SWITCH(LeadsData[[#This Row],[Funnel Stage Reached]],"Lead",1,"MQL",2,"SQL",3,"Customer",4)</f>
        <v>1</v>
      </c>
      <c r="L79" t="str">
        <f>TEXT(LeadsData[[#This Row],[Signup Date]],"mmm-yyyy")</f>
        <v>Nov-2024</v>
      </c>
      <c r="M79">
        <f>IF(LeadsData[[#This Row],[Stage Number]]&gt;=2,1,0)</f>
        <v>0</v>
      </c>
      <c r="N79" s="2">
        <f>IF(LeadsData[[#This Row],[Stage Number]]&gt;=3,1,0)</f>
        <v>0</v>
      </c>
      <c r="O79" s="2">
        <f>IF(LeadsData[[#This Row],[Stage Number]]&gt;=4,1,0)</f>
        <v>0</v>
      </c>
    </row>
    <row r="80" spans="1:15" x14ac:dyDescent="0.25">
      <c r="A80" t="s">
        <v>119</v>
      </c>
      <c r="B80" s="1">
        <v>45347</v>
      </c>
      <c r="C80" t="s">
        <v>36</v>
      </c>
      <c r="D80" t="s">
        <v>37</v>
      </c>
      <c r="E80" t="s">
        <v>21</v>
      </c>
      <c r="F80" t="s">
        <v>22</v>
      </c>
      <c r="G80" t="s">
        <v>29</v>
      </c>
      <c r="K80" cm="1">
        <f t="array" ref="K80">_xlfn.SWITCH(LeadsData[[#This Row],[Funnel Stage Reached]],"Lead",1,"MQL",2,"SQL",3,"Customer",4)</f>
        <v>3</v>
      </c>
      <c r="L80" t="str">
        <f>TEXT(LeadsData[[#This Row],[Signup Date]],"mmm-yyyy")</f>
        <v>Feb-2024</v>
      </c>
      <c r="M80">
        <f>IF(LeadsData[[#This Row],[Stage Number]]&gt;=2,1,0)</f>
        <v>1</v>
      </c>
      <c r="N80" s="2">
        <f>IF(LeadsData[[#This Row],[Stage Number]]&gt;=3,1,0)</f>
        <v>1</v>
      </c>
      <c r="O80" s="2">
        <f>IF(LeadsData[[#This Row],[Stage Number]]&gt;=4,1,0)</f>
        <v>0</v>
      </c>
    </row>
    <row r="81" spans="1:15" x14ac:dyDescent="0.25">
      <c r="A81" t="s">
        <v>120</v>
      </c>
      <c r="B81" s="1">
        <v>45649</v>
      </c>
      <c r="C81" t="s">
        <v>31</v>
      </c>
      <c r="D81" t="s">
        <v>32</v>
      </c>
      <c r="E81" t="s">
        <v>13</v>
      </c>
      <c r="F81" t="s">
        <v>19</v>
      </c>
      <c r="G81" t="s">
        <v>15</v>
      </c>
      <c r="K81" cm="1">
        <f t="array" ref="K81">_xlfn.SWITCH(LeadsData[[#This Row],[Funnel Stage Reached]],"Lead",1,"MQL",2,"SQL",3,"Customer",4)</f>
        <v>1</v>
      </c>
      <c r="L81" t="str">
        <f>TEXT(LeadsData[[#This Row],[Signup Date]],"mmm-yyyy")</f>
        <v>Dec-2024</v>
      </c>
      <c r="M81">
        <f>IF(LeadsData[[#This Row],[Stage Number]]&gt;=2,1,0)</f>
        <v>0</v>
      </c>
      <c r="N81" s="2">
        <f>IF(LeadsData[[#This Row],[Stage Number]]&gt;=3,1,0)</f>
        <v>0</v>
      </c>
      <c r="O81" s="2">
        <f>IF(LeadsData[[#This Row],[Stage Number]]&gt;=4,1,0)</f>
        <v>0</v>
      </c>
    </row>
    <row r="82" spans="1:15" x14ac:dyDescent="0.25">
      <c r="A82" t="s">
        <v>121</v>
      </c>
      <c r="B82" s="1">
        <v>45654</v>
      </c>
      <c r="C82" t="s">
        <v>17</v>
      </c>
      <c r="D82" t="s">
        <v>53</v>
      </c>
      <c r="E82" t="s">
        <v>21</v>
      </c>
      <c r="F82" t="s">
        <v>14</v>
      </c>
      <c r="G82" t="s">
        <v>15</v>
      </c>
      <c r="K82" cm="1">
        <f t="array" ref="K82">_xlfn.SWITCH(LeadsData[[#This Row],[Funnel Stage Reached]],"Lead",1,"MQL",2,"SQL",3,"Customer",4)</f>
        <v>1</v>
      </c>
      <c r="L82" t="str">
        <f>TEXT(LeadsData[[#This Row],[Signup Date]],"mmm-yyyy")</f>
        <v>Dec-2024</v>
      </c>
      <c r="M82">
        <f>IF(LeadsData[[#This Row],[Stage Number]]&gt;=2,1,0)</f>
        <v>0</v>
      </c>
      <c r="N82" s="2">
        <f>IF(LeadsData[[#This Row],[Stage Number]]&gt;=3,1,0)</f>
        <v>0</v>
      </c>
      <c r="O82" s="2">
        <f>IF(LeadsData[[#This Row],[Stage Number]]&gt;=4,1,0)</f>
        <v>0</v>
      </c>
    </row>
    <row r="83" spans="1:15" x14ac:dyDescent="0.25">
      <c r="A83" t="s">
        <v>122</v>
      </c>
      <c r="B83" s="1">
        <v>45652</v>
      </c>
      <c r="C83" t="s">
        <v>25</v>
      </c>
      <c r="D83" t="s">
        <v>26</v>
      </c>
      <c r="E83" t="s">
        <v>13</v>
      </c>
      <c r="F83" t="s">
        <v>14</v>
      </c>
      <c r="G83" t="s">
        <v>29</v>
      </c>
      <c r="K83" cm="1">
        <f t="array" ref="K83">_xlfn.SWITCH(LeadsData[[#This Row],[Funnel Stage Reached]],"Lead",1,"MQL",2,"SQL",3,"Customer",4)</f>
        <v>3</v>
      </c>
      <c r="L83" t="str">
        <f>TEXT(LeadsData[[#This Row],[Signup Date]],"mmm-yyyy")</f>
        <v>Dec-2024</v>
      </c>
      <c r="M83">
        <f>IF(LeadsData[[#This Row],[Stage Number]]&gt;=2,1,0)</f>
        <v>1</v>
      </c>
      <c r="N83" s="2">
        <f>IF(LeadsData[[#This Row],[Stage Number]]&gt;=3,1,0)</f>
        <v>1</v>
      </c>
      <c r="O83" s="2">
        <f>IF(LeadsData[[#This Row],[Stage Number]]&gt;=4,1,0)</f>
        <v>0</v>
      </c>
    </row>
    <row r="84" spans="1:15" x14ac:dyDescent="0.25">
      <c r="A84" t="s">
        <v>123</v>
      </c>
      <c r="B84" s="1">
        <v>45376</v>
      </c>
      <c r="C84" t="s">
        <v>36</v>
      </c>
      <c r="D84" t="s">
        <v>37</v>
      </c>
      <c r="E84" t="s">
        <v>13</v>
      </c>
      <c r="F84" t="s">
        <v>22</v>
      </c>
      <c r="G84" t="s">
        <v>29</v>
      </c>
      <c r="K84" cm="1">
        <f t="array" ref="K84">_xlfn.SWITCH(LeadsData[[#This Row],[Funnel Stage Reached]],"Lead",1,"MQL",2,"SQL",3,"Customer",4)</f>
        <v>3</v>
      </c>
      <c r="L84" t="str">
        <f>TEXT(LeadsData[[#This Row],[Signup Date]],"mmm-yyyy")</f>
        <v>Mar-2024</v>
      </c>
      <c r="M84">
        <f>IF(LeadsData[[#This Row],[Stage Number]]&gt;=2,1,0)</f>
        <v>1</v>
      </c>
      <c r="N84" s="2">
        <f>IF(LeadsData[[#This Row],[Stage Number]]&gt;=3,1,0)</f>
        <v>1</v>
      </c>
      <c r="O84" s="2">
        <f>IF(LeadsData[[#This Row],[Stage Number]]&gt;=4,1,0)</f>
        <v>0</v>
      </c>
    </row>
    <row r="85" spans="1:15" x14ac:dyDescent="0.25">
      <c r="A85" t="s">
        <v>124</v>
      </c>
      <c r="B85" s="1">
        <v>45428</v>
      </c>
      <c r="C85" t="s">
        <v>31</v>
      </c>
      <c r="D85" t="s">
        <v>34</v>
      </c>
      <c r="E85" t="s">
        <v>13</v>
      </c>
      <c r="F85" t="s">
        <v>22</v>
      </c>
      <c r="G85" t="s">
        <v>23</v>
      </c>
      <c r="K85" cm="1">
        <f t="array" ref="K85">_xlfn.SWITCH(LeadsData[[#This Row],[Funnel Stage Reached]],"Lead",1,"MQL",2,"SQL",3,"Customer",4)</f>
        <v>2</v>
      </c>
      <c r="L85" t="str">
        <f>TEXT(LeadsData[[#This Row],[Signup Date]],"mmm-yyyy")</f>
        <v>May-2024</v>
      </c>
      <c r="M85">
        <f>IF(LeadsData[[#This Row],[Stage Number]]&gt;=2,1,0)</f>
        <v>1</v>
      </c>
      <c r="N85" s="2">
        <f>IF(LeadsData[[#This Row],[Stage Number]]&gt;=3,1,0)</f>
        <v>0</v>
      </c>
      <c r="O85" s="2">
        <f>IF(LeadsData[[#This Row],[Stage Number]]&gt;=4,1,0)</f>
        <v>0</v>
      </c>
    </row>
    <row r="86" spans="1:15" x14ac:dyDescent="0.25">
      <c r="A86" t="s">
        <v>125</v>
      </c>
      <c r="B86" s="1">
        <v>45340</v>
      </c>
      <c r="C86" t="s">
        <v>17</v>
      </c>
      <c r="D86" t="s">
        <v>18</v>
      </c>
      <c r="E86" t="s">
        <v>13</v>
      </c>
      <c r="F86" t="s">
        <v>22</v>
      </c>
      <c r="G86" t="s">
        <v>15</v>
      </c>
      <c r="K86" cm="1">
        <f t="array" ref="K86">_xlfn.SWITCH(LeadsData[[#This Row],[Funnel Stage Reached]],"Lead",1,"MQL",2,"SQL",3,"Customer",4)</f>
        <v>1</v>
      </c>
      <c r="L86" t="str">
        <f>TEXT(LeadsData[[#This Row],[Signup Date]],"mmm-yyyy")</f>
        <v>Feb-2024</v>
      </c>
      <c r="M86">
        <f>IF(LeadsData[[#This Row],[Stage Number]]&gt;=2,1,0)</f>
        <v>0</v>
      </c>
      <c r="N86" s="2">
        <f>IF(LeadsData[[#This Row],[Stage Number]]&gt;=3,1,0)</f>
        <v>0</v>
      </c>
      <c r="O86" s="2">
        <f>IF(LeadsData[[#This Row],[Stage Number]]&gt;=4,1,0)</f>
        <v>0</v>
      </c>
    </row>
    <row r="87" spans="1:15" x14ac:dyDescent="0.25">
      <c r="A87" t="s">
        <v>126</v>
      </c>
      <c r="B87" s="1">
        <v>45609</v>
      </c>
      <c r="C87" t="s">
        <v>31</v>
      </c>
      <c r="D87" t="s">
        <v>32</v>
      </c>
      <c r="E87" t="s">
        <v>21</v>
      </c>
      <c r="F87" t="s">
        <v>14</v>
      </c>
      <c r="G87" t="s">
        <v>15</v>
      </c>
      <c r="K87" cm="1">
        <f t="array" ref="K87">_xlfn.SWITCH(LeadsData[[#This Row],[Funnel Stage Reached]],"Lead",1,"MQL",2,"SQL",3,"Customer",4)</f>
        <v>1</v>
      </c>
      <c r="L87" t="str">
        <f>TEXT(LeadsData[[#This Row],[Signup Date]],"mmm-yyyy")</f>
        <v>Nov-2024</v>
      </c>
      <c r="M87">
        <f>IF(LeadsData[[#This Row],[Stage Number]]&gt;=2,1,0)</f>
        <v>0</v>
      </c>
      <c r="N87" s="2">
        <f>IF(LeadsData[[#This Row],[Stage Number]]&gt;=3,1,0)</f>
        <v>0</v>
      </c>
      <c r="O87" s="2">
        <f>IF(LeadsData[[#This Row],[Stage Number]]&gt;=4,1,0)</f>
        <v>0</v>
      </c>
    </row>
    <row r="88" spans="1:15" x14ac:dyDescent="0.25">
      <c r="A88" t="s">
        <v>127</v>
      </c>
      <c r="B88" s="1">
        <v>45387</v>
      </c>
      <c r="C88" t="s">
        <v>46</v>
      </c>
      <c r="D88" t="s">
        <v>56</v>
      </c>
      <c r="E88" t="s">
        <v>21</v>
      </c>
      <c r="F88" t="s">
        <v>14</v>
      </c>
      <c r="G88" t="s">
        <v>23</v>
      </c>
      <c r="K88" cm="1">
        <f t="array" ref="K88">_xlfn.SWITCH(LeadsData[[#This Row],[Funnel Stage Reached]],"Lead",1,"MQL",2,"SQL",3,"Customer",4)</f>
        <v>2</v>
      </c>
      <c r="L88" t="str">
        <f>TEXT(LeadsData[[#This Row],[Signup Date]],"mmm-yyyy")</f>
        <v>Apr-2024</v>
      </c>
      <c r="M88">
        <f>IF(LeadsData[[#This Row],[Stage Number]]&gt;=2,1,0)</f>
        <v>1</v>
      </c>
      <c r="N88" s="2">
        <f>IF(LeadsData[[#This Row],[Stage Number]]&gt;=3,1,0)</f>
        <v>0</v>
      </c>
      <c r="O88" s="2">
        <f>IF(LeadsData[[#This Row],[Stage Number]]&gt;=4,1,0)</f>
        <v>0</v>
      </c>
    </row>
    <row r="89" spans="1:15" x14ac:dyDescent="0.25">
      <c r="A89" t="s">
        <v>128</v>
      </c>
      <c r="B89" s="1">
        <v>45294</v>
      </c>
      <c r="C89" t="s">
        <v>11</v>
      </c>
      <c r="D89" t="s">
        <v>12</v>
      </c>
      <c r="E89" t="s">
        <v>21</v>
      </c>
      <c r="F89" t="s">
        <v>19</v>
      </c>
      <c r="G89" t="s">
        <v>23</v>
      </c>
      <c r="K89" cm="1">
        <f t="array" ref="K89">_xlfn.SWITCH(LeadsData[[#This Row],[Funnel Stage Reached]],"Lead",1,"MQL",2,"SQL",3,"Customer",4)</f>
        <v>2</v>
      </c>
      <c r="L89" t="str">
        <f>TEXT(LeadsData[[#This Row],[Signup Date]],"mmm-yyyy")</f>
        <v>Jan-2024</v>
      </c>
      <c r="M89">
        <f>IF(LeadsData[[#This Row],[Stage Number]]&gt;=2,1,0)</f>
        <v>1</v>
      </c>
      <c r="N89" s="2">
        <f>IF(LeadsData[[#This Row],[Stage Number]]&gt;=3,1,0)</f>
        <v>0</v>
      </c>
      <c r="O89" s="2">
        <f>IF(LeadsData[[#This Row],[Stage Number]]&gt;=4,1,0)</f>
        <v>0</v>
      </c>
    </row>
    <row r="90" spans="1:15" x14ac:dyDescent="0.25">
      <c r="A90" t="s">
        <v>129</v>
      </c>
      <c r="B90" s="1">
        <v>45385</v>
      </c>
      <c r="C90" t="s">
        <v>31</v>
      </c>
      <c r="D90" t="s">
        <v>34</v>
      </c>
      <c r="E90" t="s">
        <v>13</v>
      </c>
      <c r="F90" t="s">
        <v>14</v>
      </c>
      <c r="G90" t="s">
        <v>15</v>
      </c>
      <c r="K90" cm="1">
        <f t="array" ref="K90">_xlfn.SWITCH(LeadsData[[#This Row],[Funnel Stage Reached]],"Lead",1,"MQL",2,"SQL",3,"Customer",4)</f>
        <v>1</v>
      </c>
      <c r="L90" t="str">
        <f>TEXT(LeadsData[[#This Row],[Signup Date]],"mmm-yyyy")</f>
        <v>Apr-2024</v>
      </c>
      <c r="M90">
        <f>IF(LeadsData[[#This Row],[Stage Number]]&gt;=2,1,0)</f>
        <v>0</v>
      </c>
      <c r="N90" s="2">
        <f>IF(LeadsData[[#This Row],[Stage Number]]&gt;=3,1,0)</f>
        <v>0</v>
      </c>
      <c r="O90" s="2">
        <f>IF(LeadsData[[#This Row],[Stage Number]]&gt;=4,1,0)</f>
        <v>0</v>
      </c>
    </row>
    <row r="91" spans="1:15" x14ac:dyDescent="0.25">
      <c r="A91" t="s">
        <v>130</v>
      </c>
      <c r="B91" s="1">
        <v>45451</v>
      </c>
      <c r="C91" t="s">
        <v>17</v>
      </c>
      <c r="D91" t="s">
        <v>53</v>
      </c>
      <c r="E91" t="s">
        <v>13</v>
      </c>
      <c r="F91" t="s">
        <v>22</v>
      </c>
      <c r="G91" t="s">
        <v>15</v>
      </c>
      <c r="K91" cm="1">
        <f t="array" ref="K91">_xlfn.SWITCH(LeadsData[[#This Row],[Funnel Stage Reached]],"Lead",1,"MQL",2,"SQL",3,"Customer",4)</f>
        <v>1</v>
      </c>
      <c r="L91" t="str">
        <f>TEXT(LeadsData[[#This Row],[Signup Date]],"mmm-yyyy")</f>
        <v>Jun-2024</v>
      </c>
      <c r="M91">
        <f>IF(LeadsData[[#This Row],[Stage Number]]&gt;=2,1,0)</f>
        <v>0</v>
      </c>
      <c r="N91" s="2">
        <f>IF(LeadsData[[#This Row],[Stage Number]]&gt;=3,1,0)</f>
        <v>0</v>
      </c>
      <c r="O91" s="2">
        <f>IF(LeadsData[[#This Row],[Stage Number]]&gt;=4,1,0)</f>
        <v>0</v>
      </c>
    </row>
    <row r="92" spans="1:15" x14ac:dyDescent="0.25">
      <c r="A92" t="s">
        <v>131</v>
      </c>
      <c r="B92" s="1">
        <v>45362</v>
      </c>
      <c r="C92" t="s">
        <v>25</v>
      </c>
      <c r="D92" t="s">
        <v>26</v>
      </c>
      <c r="E92" t="s">
        <v>13</v>
      </c>
      <c r="F92" t="s">
        <v>19</v>
      </c>
      <c r="G92" t="s">
        <v>15</v>
      </c>
      <c r="K92" cm="1">
        <f t="array" ref="K92">_xlfn.SWITCH(LeadsData[[#This Row],[Funnel Stage Reached]],"Lead",1,"MQL",2,"SQL",3,"Customer",4)</f>
        <v>1</v>
      </c>
      <c r="L92" t="str">
        <f>TEXT(LeadsData[[#This Row],[Signup Date]],"mmm-yyyy")</f>
        <v>Mar-2024</v>
      </c>
      <c r="M92">
        <f>IF(LeadsData[[#This Row],[Stage Number]]&gt;=2,1,0)</f>
        <v>0</v>
      </c>
      <c r="N92" s="2">
        <f>IF(LeadsData[[#This Row],[Stage Number]]&gt;=3,1,0)</f>
        <v>0</v>
      </c>
      <c r="O92" s="2">
        <f>IF(LeadsData[[#This Row],[Stage Number]]&gt;=4,1,0)</f>
        <v>0</v>
      </c>
    </row>
    <row r="93" spans="1:15" x14ac:dyDescent="0.25">
      <c r="A93" t="s">
        <v>132</v>
      </c>
      <c r="B93" s="1">
        <v>45445</v>
      </c>
      <c r="C93" t="s">
        <v>31</v>
      </c>
      <c r="D93" t="s">
        <v>32</v>
      </c>
      <c r="E93" t="s">
        <v>21</v>
      </c>
      <c r="F93" t="s">
        <v>19</v>
      </c>
      <c r="G93" t="s">
        <v>29</v>
      </c>
      <c r="K93" cm="1">
        <f t="array" ref="K93">_xlfn.SWITCH(LeadsData[[#This Row],[Funnel Stage Reached]],"Lead",1,"MQL",2,"SQL",3,"Customer",4)</f>
        <v>3</v>
      </c>
      <c r="L93" t="str">
        <f>TEXT(LeadsData[[#This Row],[Signup Date]],"mmm-yyyy")</f>
        <v>Jun-2024</v>
      </c>
      <c r="M93">
        <f>IF(LeadsData[[#This Row],[Stage Number]]&gt;=2,1,0)</f>
        <v>1</v>
      </c>
      <c r="N93" s="2">
        <f>IF(LeadsData[[#This Row],[Stage Number]]&gt;=3,1,0)</f>
        <v>1</v>
      </c>
      <c r="O93" s="2">
        <f>IF(LeadsData[[#This Row],[Stage Number]]&gt;=4,1,0)</f>
        <v>0</v>
      </c>
    </row>
    <row r="94" spans="1:15" x14ac:dyDescent="0.25">
      <c r="A94" t="s">
        <v>133</v>
      </c>
      <c r="B94" s="1">
        <v>45506</v>
      </c>
      <c r="C94" t="s">
        <v>36</v>
      </c>
      <c r="D94" t="s">
        <v>37</v>
      </c>
      <c r="E94" t="s">
        <v>13</v>
      </c>
      <c r="F94" t="s">
        <v>22</v>
      </c>
      <c r="G94" t="s">
        <v>29</v>
      </c>
      <c r="K94" cm="1">
        <f t="array" ref="K94">_xlfn.SWITCH(LeadsData[[#This Row],[Funnel Stage Reached]],"Lead",1,"MQL",2,"SQL",3,"Customer",4)</f>
        <v>3</v>
      </c>
      <c r="L94" t="str">
        <f>TEXT(LeadsData[[#This Row],[Signup Date]],"mmm-yyyy")</f>
        <v>Aug-2024</v>
      </c>
      <c r="M94">
        <f>IF(LeadsData[[#This Row],[Stage Number]]&gt;=2,1,0)</f>
        <v>1</v>
      </c>
      <c r="N94" s="2">
        <f>IF(LeadsData[[#This Row],[Stage Number]]&gt;=3,1,0)</f>
        <v>1</v>
      </c>
      <c r="O94" s="2">
        <f>IF(LeadsData[[#This Row],[Stage Number]]&gt;=4,1,0)</f>
        <v>0</v>
      </c>
    </row>
    <row r="95" spans="1:15" x14ac:dyDescent="0.25">
      <c r="A95" t="s">
        <v>134</v>
      </c>
      <c r="B95" s="1">
        <v>45319</v>
      </c>
      <c r="C95" t="s">
        <v>25</v>
      </c>
      <c r="D95" t="s">
        <v>26</v>
      </c>
      <c r="E95" t="s">
        <v>21</v>
      </c>
      <c r="F95" t="s">
        <v>22</v>
      </c>
      <c r="G95" t="s">
        <v>23</v>
      </c>
      <c r="K95" cm="1">
        <f t="array" ref="K95">_xlfn.SWITCH(LeadsData[[#This Row],[Funnel Stage Reached]],"Lead",1,"MQL",2,"SQL",3,"Customer",4)</f>
        <v>2</v>
      </c>
      <c r="L95" t="str">
        <f>TEXT(LeadsData[[#This Row],[Signup Date]],"mmm-yyyy")</f>
        <v>Jan-2024</v>
      </c>
      <c r="M95">
        <f>IF(LeadsData[[#This Row],[Stage Number]]&gt;=2,1,0)</f>
        <v>1</v>
      </c>
      <c r="N95" s="2">
        <f>IF(LeadsData[[#This Row],[Stage Number]]&gt;=3,1,0)</f>
        <v>0</v>
      </c>
      <c r="O95" s="2">
        <f>IF(LeadsData[[#This Row],[Stage Number]]&gt;=4,1,0)</f>
        <v>0</v>
      </c>
    </row>
    <row r="96" spans="1:15" x14ac:dyDescent="0.25">
      <c r="A96" t="s">
        <v>135</v>
      </c>
      <c r="B96" s="1">
        <v>45488</v>
      </c>
      <c r="C96" t="s">
        <v>31</v>
      </c>
      <c r="D96" t="s">
        <v>34</v>
      </c>
      <c r="E96" t="s">
        <v>21</v>
      </c>
      <c r="F96" t="s">
        <v>14</v>
      </c>
      <c r="G96" t="s">
        <v>23</v>
      </c>
      <c r="K96" cm="1">
        <f t="array" ref="K96">_xlfn.SWITCH(LeadsData[[#This Row],[Funnel Stage Reached]],"Lead",1,"MQL",2,"SQL",3,"Customer",4)</f>
        <v>2</v>
      </c>
      <c r="L96" t="str">
        <f>TEXT(LeadsData[[#This Row],[Signup Date]],"mmm-yyyy")</f>
        <v>Jul-2024</v>
      </c>
      <c r="M96">
        <f>IF(LeadsData[[#This Row],[Stage Number]]&gt;=2,1,0)</f>
        <v>1</v>
      </c>
      <c r="N96" s="2">
        <f>IF(LeadsData[[#This Row],[Stage Number]]&gt;=3,1,0)</f>
        <v>0</v>
      </c>
      <c r="O96" s="2">
        <f>IF(LeadsData[[#This Row],[Stage Number]]&gt;=4,1,0)</f>
        <v>0</v>
      </c>
    </row>
    <row r="97" spans="1:15" x14ac:dyDescent="0.25">
      <c r="A97" t="s">
        <v>136</v>
      </c>
      <c r="B97" s="1">
        <v>45487</v>
      </c>
      <c r="C97" t="s">
        <v>17</v>
      </c>
      <c r="D97" t="s">
        <v>18</v>
      </c>
      <c r="E97" t="s">
        <v>13</v>
      </c>
      <c r="F97" t="s">
        <v>19</v>
      </c>
      <c r="G97" t="s">
        <v>15</v>
      </c>
      <c r="K97" cm="1">
        <f t="array" ref="K97">_xlfn.SWITCH(LeadsData[[#This Row],[Funnel Stage Reached]],"Lead",1,"MQL",2,"SQL",3,"Customer",4)</f>
        <v>1</v>
      </c>
      <c r="L97" t="str">
        <f>TEXT(LeadsData[[#This Row],[Signup Date]],"mmm-yyyy")</f>
        <v>Jul-2024</v>
      </c>
      <c r="M97">
        <f>IF(LeadsData[[#This Row],[Stage Number]]&gt;=2,1,0)</f>
        <v>0</v>
      </c>
      <c r="N97" s="2">
        <f>IF(LeadsData[[#This Row],[Stage Number]]&gt;=3,1,0)</f>
        <v>0</v>
      </c>
      <c r="O97" s="2">
        <f>IF(LeadsData[[#This Row],[Stage Number]]&gt;=4,1,0)</f>
        <v>0</v>
      </c>
    </row>
    <row r="98" spans="1:15" x14ac:dyDescent="0.25">
      <c r="A98" t="s">
        <v>137</v>
      </c>
      <c r="B98" s="1">
        <v>45488</v>
      </c>
      <c r="C98" t="s">
        <v>31</v>
      </c>
      <c r="D98" t="s">
        <v>32</v>
      </c>
      <c r="E98" t="s">
        <v>21</v>
      </c>
      <c r="F98" t="s">
        <v>22</v>
      </c>
      <c r="G98" t="s">
        <v>15</v>
      </c>
      <c r="K98" cm="1">
        <f t="array" ref="K98">_xlfn.SWITCH(LeadsData[[#This Row],[Funnel Stage Reached]],"Lead",1,"MQL",2,"SQL",3,"Customer",4)</f>
        <v>1</v>
      </c>
      <c r="L98" t="str">
        <f>TEXT(LeadsData[[#This Row],[Signup Date]],"mmm-yyyy")</f>
        <v>Jul-2024</v>
      </c>
      <c r="M98">
        <f>IF(LeadsData[[#This Row],[Stage Number]]&gt;=2,1,0)</f>
        <v>0</v>
      </c>
      <c r="N98" s="2">
        <f>IF(LeadsData[[#This Row],[Stage Number]]&gt;=3,1,0)</f>
        <v>0</v>
      </c>
      <c r="O98" s="2">
        <f>IF(LeadsData[[#This Row],[Stage Number]]&gt;=4,1,0)</f>
        <v>0</v>
      </c>
    </row>
    <row r="99" spans="1:15" x14ac:dyDescent="0.25">
      <c r="A99" t="s">
        <v>138</v>
      </c>
      <c r="B99" s="1">
        <v>45343</v>
      </c>
      <c r="C99" t="s">
        <v>31</v>
      </c>
      <c r="D99" t="s">
        <v>34</v>
      </c>
      <c r="E99" t="s">
        <v>21</v>
      </c>
      <c r="F99" t="s">
        <v>19</v>
      </c>
      <c r="G99" t="s">
        <v>23</v>
      </c>
      <c r="K99" cm="1">
        <f t="array" ref="K99">_xlfn.SWITCH(LeadsData[[#This Row],[Funnel Stage Reached]],"Lead",1,"MQL",2,"SQL",3,"Customer",4)</f>
        <v>2</v>
      </c>
      <c r="L99" t="str">
        <f>TEXT(LeadsData[[#This Row],[Signup Date]],"mmm-yyyy")</f>
        <v>Feb-2024</v>
      </c>
      <c r="M99">
        <f>IF(LeadsData[[#This Row],[Stage Number]]&gt;=2,1,0)</f>
        <v>1</v>
      </c>
      <c r="N99" s="2">
        <f>IF(LeadsData[[#This Row],[Stage Number]]&gt;=3,1,0)</f>
        <v>0</v>
      </c>
      <c r="O99" s="2">
        <f>IF(LeadsData[[#This Row],[Stage Number]]&gt;=4,1,0)</f>
        <v>0</v>
      </c>
    </row>
    <row r="100" spans="1:15" x14ac:dyDescent="0.25">
      <c r="A100" t="s">
        <v>139</v>
      </c>
      <c r="B100" s="1">
        <v>45627</v>
      </c>
      <c r="C100" t="s">
        <v>36</v>
      </c>
      <c r="D100" t="s">
        <v>37</v>
      </c>
      <c r="E100" t="s">
        <v>21</v>
      </c>
      <c r="F100" t="s">
        <v>22</v>
      </c>
      <c r="G100" t="s">
        <v>29</v>
      </c>
      <c r="K100" cm="1">
        <f t="array" ref="K100">_xlfn.SWITCH(LeadsData[[#This Row],[Funnel Stage Reached]],"Lead",1,"MQL",2,"SQL",3,"Customer",4)</f>
        <v>3</v>
      </c>
      <c r="L100" t="str">
        <f>TEXT(LeadsData[[#This Row],[Signup Date]],"mmm-yyyy")</f>
        <v>Dec-2024</v>
      </c>
      <c r="M100">
        <f>IF(LeadsData[[#This Row],[Stage Number]]&gt;=2,1,0)</f>
        <v>1</v>
      </c>
      <c r="N100" s="2">
        <f>IF(LeadsData[[#This Row],[Stage Number]]&gt;=3,1,0)</f>
        <v>1</v>
      </c>
      <c r="O100" s="2">
        <f>IF(LeadsData[[#This Row],[Stage Number]]&gt;=4,1,0)</f>
        <v>0</v>
      </c>
    </row>
    <row r="101" spans="1:15" x14ac:dyDescent="0.25">
      <c r="A101" t="s">
        <v>140</v>
      </c>
      <c r="B101" s="1">
        <v>45340</v>
      </c>
      <c r="C101" t="s">
        <v>46</v>
      </c>
      <c r="D101" t="s">
        <v>56</v>
      </c>
      <c r="E101" t="s">
        <v>13</v>
      </c>
      <c r="F101" t="s">
        <v>19</v>
      </c>
      <c r="G101" t="s">
        <v>23</v>
      </c>
      <c r="K101" cm="1">
        <f t="array" ref="K101">_xlfn.SWITCH(LeadsData[[#This Row],[Funnel Stage Reached]],"Lead",1,"MQL",2,"SQL",3,"Customer",4)</f>
        <v>2</v>
      </c>
      <c r="L101" t="str">
        <f>TEXT(LeadsData[[#This Row],[Signup Date]],"mmm-yyyy")</f>
        <v>Feb-2024</v>
      </c>
      <c r="M101">
        <f>IF(LeadsData[[#This Row],[Stage Number]]&gt;=2,1,0)</f>
        <v>1</v>
      </c>
      <c r="N101" s="2">
        <f>IF(LeadsData[[#This Row],[Stage Number]]&gt;=3,1,0)</f>
        <v>0</v>
      </c>
      <c r="O101" s="2">
        <f>IF(LeadsData[[#This Row],[Stage Number]]&gt;=4,1,0)</f>
        <v>0</v>
      </c>
    </row>
    <row r="102" spans="1:15" x14ac:dyDescent="0.25">
      <c r="A102" t="s">
        <v>141</v>
      </c>
      <c r="B102" s="1">
        <v>45604</v>
      </c>
      <c r="C102" t="s">
        <v>46</v>
      </c>
      <c r="D102" t="s">
        <v>56</v>
      </c>
      <c r="E102" t="s">
        <v>21</v>
      </c>
      <c r="F102" t="s">
        <v>22</v>
      </c>
      <c r="G102" t="s">
        <v>15</v>
      </c>
      <c r="K102" cm="1">
        <f t="array" ref="K102">_xlfn.SWITCH(LeadsData[[#This Row],[Funnel Stage Reached]],"Lead",1,"MQL",2,"SQL",3,"Customer",4)</f>
        <v>1</v>
      </c>
      <c r="L102" t="str">
        <f>TEXT(LeadsData[[#This Row],[Signup Date]],"mmm-yyyy")</f>
        <v>Nov-2024</v>
      </c>
      <c r="M102">
        <f>IF(LeadsData[[#This Row],[Stage Number]]&gt;=2,1,0)</f>
        <v>0</v>
      </c>
      <c r="N102" s="2">
        <f>IF(LeadsData[[#This Row],[Stage Number]]&gt;=3,1,0)</f>
        <v>0</v>
      </c>
      <c r="O102" s="2">
        <f>IF(LeadsData[[#This Row],[Stage Number]]&gt;=4,1,0)</f>
        <v>0</v>
      </c>
    </row>
    <row r="103" spans="1:15" x14ac:dyDescent="0.25">
      <c r="A103" t="s">
        <v>142</v>
      </c>
      <c r="B103" s="1">
        <v>45511</v>
      </c>
      <c r="C103" t="s">
        <v>25</v>
      </c>
      <c r="D103" t="s">
        <v>26</v>
      </c>
      <c r="E103" t="s">
        <v>13</v>
      </c>
      <c r="F103" t="s">
        <v>19</v>
      </c>
      <c r="G103" t="s">
        <v>15</v>
      </c>
      <c r="K103" cm="1">
        <f t="array" ref="K103">_xlfn.SWITCH(LeadsData[[#This Row],[Funnel Stage Reached]],"Lead",1,"MQL",2,"SQL",3,"Customer",4)</f>
        <v>1</v>
      </c>
      <c r="L103" t="str">
        <f>TEXT(LeadsData[[#This Row],[Signup Date]],"mmm-yyyy")</f>
        <v>Aug-2024</v>
      </c>
      <c r="M103">
        <f>IF(LeadsData[[#This Row],[Stage Number]]&gt;=2,1,0)</f>
        <v>0</v>
      </c>
      <c r="N103" s="2">
        <f>IF(LeadsData[[#This Row],[Stage Number]]&gt;=3,1,0)</f>
        <v>0</v>
      </c>
      <c r="O103" s="2">
        <f>IF(LeadsData[[#This Row],[Stage Number]]&gt;=4,1,0)</f>
        <v>0</v>
      </c>
    </row>
    <row r="104" spans="1:15" x14ac:dyDescent="0.25">
      <c r="A104" t="s">
        <v>143</v>
      </c>
      <c r="B104" s="1">
        <v>45642</v>
      </c>
      <c r="C104" t="s">
        <v>31</v>
      </c>
      <c r="D104" t="s">
        <v>32</v>
      </c>
      <c r="E104" t="s">
        <v>48</v>
      </c>
      <c r="F104" t="s">
        <v>19</v>
      </c>
      <c r="G104" t="s">
        <v>15</v>
      </c>
      <c r="K104" cm="1">
        <f t="array" ref="K104">_xlfn.SWITCH(LeadsData[[#This Row],[Funnel Stage Reached]],"Lead",1,"MQL",2,"SQL",3,"Customer",4)</f>
        <v>1</v>
      </c>
      <c r="L104" t="str">
        <f>TEXT(LeadsData[[#This Row],[Signup Date]],"mmm-yyyy")</f>
        <v>Dec-2024</v>
      </c>
      <c r="M104">
        <f>IF(LeadsData[[#This Row],[Stage Number]]&gt;=2,1,0)</f>
        <v>0</v>
      </c>
      <c r="N104" s="2">
        <f>IF(LeadsData[[#This Row],[Stage Number]]&gt;=3,1,0)</f>
        <v>0</v>
      </c>
      <c r="O104" s="2">
        <f>IF(LeadsData[[#This Row],[Stage Number]]&gt;=4,1,0)</f>
        <v>0</v>
      </c>
    </row>
    <row r="105" spans="1:15" x14ac:dyDescent="0.25">
      <c r="A105" t="s">
        <v>144</v>
      </c>
      <c r="B105" s="1">
        <v>45384</v>
      </c>
      <c r="C105" t="s">
        <v>31</v>
      </c>
      <c r="D105" t="s">
        <v>32</v>
      </c>
      <c r="E105" t="s">
        <v>13</v>
      </c>
      <c r="F105" t="s">
        <v>14</v>
      </c>
      <c r="G105" t="s">
        <v>23</v>
      </c>
      <c r="K105" cm="1">
        <f t="array" ref="K105">_xlfn.SWITCH(LeadsData[[#This Row],[Funnel Stage Reached]],"Lead",1,"MQL",2,"SQL",3,"Customer",4)</f>
        <v>2</v>
      </c>
      <c r="L105" t="str">
        <f>TEXT(LeadsData[[#This Row],[Signup Date]],"mmm-yyyy")</f>
        <v>Apr-2024</v>
      </c>
      <c r="M105">
        <f>IF(LeadsData[[#This Row],[Stage Number]]&gt;=2,1,0)</f>
        <v>1</v>
      </c>
      <c r="N105" s="2">
        <f>IF(LeadsData[[#This Row],[Stage Number]]&gt;=3,1,0)</f>
        <v>0</v>
      </c>
      <c r="O105" s="2">
        <f>IF(LeadsData[[#This Row],[Stage Number]]&gt;=4,1,0)</f>
        <v>0</v>
      </c>
    </row>
    <row r="106" spans="1:15" x14ac:dyDescent="0.25">
      <c r="A106" t="s">
        <v>145</v>
      </c>
      <c r="B106" s="1">
        <v>45607</v>
      </c>
      <c r="C106" t="s">
        <v>11</v>
      </c>
      <c r="D106" t="s">
        <v>12</v>
      </c>
      <c r="E106" t="s">
        <v>21</v>
      </c>
      <c r="F106" t="s">
        <v>14</v>
      </c>
      <c r="G106" t="s">
        <v>15</v>
      </c>
      <c r="K106" cm="1">
        <f t="array" ref="K106">_xlfn.SWITCH(LeadsData[[#This Row],[Funnel Stage Reached]],"Lead",1,"MQL",2,"SQL",3,"Customer",4)</f>
        <v>1</v>
      </c>
      <c r="L106" t="str">
        <f>TEXT(LeadsData[[#This Row],[Signup Date]],"mmm-yyyy")</f>
        <v>Nov-2024</v>
      </c>
      <c r="M106">
        <f>IF(LeadsData[[#This Row],[Stage Number]]&gt;=2,1,0)</f>
        <v>0</v>
      </c>
      <c r="N106" s="2">
        <f>IF(LeadsData[[#This Row],[Stage Number]]&gt;=3,1,0)</f>
        <v>0</v>
      </c>
      <c r="O106" s="2">
        <f>IF(LeadsData[[#This Row],[Stage Number]]&gt;=4,1,0)</f>
        <v>0</v>
      </c>
    </row>
    <row r="107" spans="1:15" x14ac:dyDescent="0.25">
      <c r="A107" t="s">
        <v>146</v>
      </c>
      <c r="B107" s="1">
        <v>45618</v>
      </c>
      <c r="C107" t="s">
        <v>17</v>
      </c>
      <c r="D107" t="s">
        <v>18</v>
      </c>
      <c r="E107" t="s">
        <v>21</v>
      </c>
      <c r="F107" t="s">
        <v>14</v>
      </c>
      <c r="G107" t="s">
        <v>15</v>
      </c>
      <c r="K107" cm="1">
        <f t="array" ref="K107">_xlfn.SWITCH(LeadsData[[#This Row],[Funnel Stage Reached]],"Lead",1,"MQL",2,"SQL",3,"Customer",4)</f>
        <v>1</v>
      </c>
      <c r="L107" t="str">
        <f>TEXT(LeadsData[[#This Row],[Signup Date]],"mmm-yyyy")</f>
        <v>Nov-2024</v>
      </c>
      <c r="M107">
        <f>IF(LeadsData[[#This Row],[Stage Number]]&gt;=2,1,0)</f>
        <v>0</v>
      </c>
      <c r="N107" s="2">
        <f>IF(LeadsData[[#This Row],[Stage Number]]&gt;=3,1,0)</f>
        <v>0</v>
      </c>
      <c r="O107" s="2">
        <f>IF(LeadsData[[#This Row],[Stage Number]]&gt;=4,1,0)</f>
        <v>0</v>
      </c>
    </row>
    <row r="108" spans="1:15" x14ac:dyDescent="0.25">
      <c r="A108" t="s">
        <v>147</v>
      </c>
      <c r="B108" s="1">
        <v>45603</v>
      </c>
      <c r="C108" t="s">
        <v>17</v>
      </c>
      <c r="D108" t="s">
        <v>18</v>
      </c>
      <c r="E108" t="s">
        <v>13</v>
      </c>
      <c r="F108" t="s">
        <v>19</v>
      </c>
      <c r="G108" t="s">
        <v>15</v>
      </c>
      <c r="K108" cm="1">
        <f t="array" ref="K108">_xlfn.SWITCH(LeadsData[[#This Row],[Funnel Stage Reached]],"Lead",1,"MQL",2,"SQL",3,"Customer",4)</f>
        <v>1</v>
      </c>
      <c r="L108" t="str">
        <f>TEXT(LeadsData[[#This Row],[Signup Date]],"mmm-yyyy")</f>
        <v>Nov-2024</v>
      </c>
      <c r="M108">
        <f>IF(LeadsData[[#This Row],[Stage Number]]&gt;=2,1,0)</f>
        <v>0</v>
      </c>
      <c r="N108" s="2">
        <f>IF(LeadsData[[#This Row],[Stage Number]]&gt;=3,1,0)</f>
        <v>0</v>
      </c>
      <c r="O108" s="2">
        <f>IF(LeadsData[[#This Row],[Stage Number]]&gt;=4,1,0)</f>
        <v>0</v>
      </c>
    </row>
    <row r="109" spans="1:15" x14ac:dyDescent="0.25">
      <c r="A109" t="s">
        <v>148</v>
      </c>
      <c r="B109" s="1">
        <v>45506</v>
      </c>
      <c r="C109" t="s">
        <v>31</v>
      </c>
      <c r="D109" t="s">
        <v>32</v>
      </c>
      <c r="E109" t="s">
        <v>13</v>
      </c>
      <c r="F109" t="s">
        <v>14</v>
      </c>
      <c r="G109" t="s">
        <v>15</v>
      </c>
      <c r="K109" cm="1">
        <f t="array" ref="K109">_xlfn.SWITCH(LeadsData[[#This Row],[Funnel Stage Reached]],"Lead",1,"MQL",2,"SQL",3,"Customer",4)</f>
        <v>1</v>
      </c>
      <c r="L109" t="str">
        <f>TEXT(LeadsData[[#This Row],[Signup Date]],"mmm-yyyy")</f>
        <v>Aug-2024</v>
      </c>
      <c r="M109">
        <f>IF(LeadsData[[#This Row],[Stage Number]]&gt;=2,1,0)</f>
        <v>0</v>
      </c>
      <c r="N109" s="2">
        <f>IF(LeadsData[[#This Row],[Stage Number]]&gt;=3,1,0)</f>
        <v>0</v>
      </c>
      <c r="O109" s="2">
        <f>IF(LeadsData[[#This Row],[Stage Number]]&gt;=4,1,0)</f>
        <v>0</v>
      </c>
    </row>
    <row r="110" spans="1:15" x14ac:dyDescent="0.25">
      <c r="A110" t="s">
        <v>149</v>
      </c>
      <c r="B110" s="1">
        <v>45652</v>
      </c>
      <c r="C110" t="s">
        <v>25</v>
      </c>
      <c r="D110" t="s">
        <v>26</v>
      </c>
      <c r="E110" t="s">
        <v>21</v>
      </c>
      <c r="F110" t="s">
        <v>28</v>
      </c>
      <c r="G110" t="s">
        <v>15</v>
      </c>
      <c r="K110" cm="1">
        <f t="array" ref="K110">_xlfn.SWITCH(LeadsData[[#This Row],[Funnel Stage Reached]],"Lead",1,"MQL",2,"SQL",3,"Customer",4)</f>
        <v>1</v>
      </c>
      <c r="L110" t="str">
        <f>TEXT(LeadsData[[#This Row],[Signup Date]],"mmm-yyyy")</f>
        <v>Dec-2024</v>
      </c>
      <c r="M110">
        <f>IF(LeadsData[[#This Row],[Stage Number]]&gt;=2,1,0)</f>
        <v>0</v>
      </c>
      <c r="N110" s="2">
        <f>IF(LeadsData[[#This Row],[Stage Number]]&gt;=3,1,0)</f>
        <v>0</v>
      </c>
      <c r="O110" s="2">
        <f>IF(LeadsData[[#This Row],[Stage Number]]&gt;=4,1,0)</f>
        <v>0</v>
      </c>
    </row>
    <row r="111" spans="1:15" x14ac:dyDescent="0.25">
      <c r="A111" t="s">
        <v>150</v>
      </c>
      <c r="B111" s="1">
        <v>45421</v>
      </c>
      <c r="C111" t="s">
        <v>31</v>
      </c>
      <c r="D111" t="s">
        <v>32</v>
      </c>
      <c r="E111" t="s">
        <v>13</v>
      </c>
      <c r="F111" t="s">
        <v>22</v>
      </c>
      <c r="G111" t="s">
        <v>29</v>
      </c>
      <c r="K111" cm="1">
        <f t="array" ref="K111">_xlfn.SWITCH(LeadsData[[#This Row],[Funnel Stage Reached]],"Lead",1,"MQL",2,"SQL",3,"Customer",4)</f>
        <v>3</v>
      </c>
      <c r="L111" t="str">
        <f>TEXT(LeadsData[[#This Row],[Signup Date]],"mmm-yyyy")</f>
        <v>May-2024</v>
      </c>
      <c r="M111">
        <f>IF(LeadsData[[#This Row],[Stage Number]]&gt;=2,1,0)</f>
        <v>1</v>
      </c>
      <c r="N111" s="2">
        <f>IF(LeadsData[[#This Row],[Stage Number]]&gt;=3,1,0)</f>
        <v>1</v>
      </c>
      <c r="O111" s="2">
        <f>IF(LeadsData[[#This Row],[Stage Number]]&gt;=4,1,0)</f>
        <v>0</v>
      </c>
    </row>
    <row r="112" spans="1:15" x14ac:dyDescent="0.25">
      <c r="A112" t="s">
        <v>151</v>
      </c>
      <c r="B112" s="1">
        <v>45606</v>
      </c>
      <c r="C112" t="s">
        <v>31</v>
      </c>
      <c r="D112" t="s">
        <v>32</v>
      </c>
      <c r="E112" t="s">
        <v>13</v>
      </c>
      <c r="F112" t="s">
        <v>28</v>
      </c>
      <c r="G112" t="s">
        <v>23</v>
      </c>
      <c r="K112" cm="1">
        <f t="array" ref="K112">_xlfn.SWITCH(LeadsData[[#This Row],[Funnel Stage Reached]],"Lead",1,"MQL",2,"SQL",3,"Customer",4)</f>
        <v>2</v>
      </c>
      <c r="L112" t="str">
        <f>TEXT(LeadsData[[#This Row],[Signup Date]],"mmm-yyyy")</f>
        <v>Nov-2024</v>
      </c>
      <c r="M112">
        <f>IF(LeadsData[[#This Row],[Stage Number]]&gt;=2,1,0)</f>
        <v>1</v>
      </c>
      <c r="N112" s="2">
        <f>IF(LeadsData[[#This Row],[Stage Number]]&gt;=3,1,0)</f>
        <v>0</v>
      </c>
      <c r="O112" s="2">
        <f>IF(LeadsData[[#This Row],[Stage Number]]&gt;=4,1,0)</f>
        <v>0</v>
      </c>
    </row>
    <row r="113" spans="1:15" x14ac:dyDescent="0.25">
      <c r="A113" t="s">
        <v>152</v>
      </c>
      <c r="B113" s="1">
        <v>45431</v>
      </c>
      <c r="C113" t="s">
        <v>36</v>
      </c>
      <c r="D113" t="s">
        <v>37</v>
      </c>
      <c r="E113" t="s">
        <v>13</v>
      </c>
      <c r="F113" t="s">
        <v>19</v>
      </c>
      <c r="G113" t="s">
        <v>29</v>
      </c>
      <c r="K113" cm="1">
        <f t="array" ref="K113">_xlfn.SWITCH(LeadsData[[#This Row],[Funnel Stage Reached]],"Lead",1,"MQL",2,"SQL",3,"Customer",4)</f>
        <v>3</v>
      </c>
      <c r="L113" t="str">
        <f>TEXT(LeadsData[[#This Row],[Signup Date]],"mmm-yyyy")</f>
        <v>May-2024</v>
      </c>
      <c r="M113">
        <f>IF(LeadsData[[#This Row],[Stage Number]]&gt;=2,1,0)</f>
        <v>1</v>
      </c>
      <c r="N113" s="2">
        <f>IF(LeadsData[[#This Row],[Stage Number]]&gt;=3,1,0)</f>
        <v>1</v>
      </c>
      <c r="O113" s="2">
        <f>IF(LeadsData[[#This Row],[Stage Number]]&gt;=4,1,0)</f>
        <v>0</v>
      </c>
    </row>
    <row r="114" spans="1:15" x14ac:dyDescent="0.25">
      <c r="A114" t="s">
        <v>153</v>
      </c>
      <c r="B114" s="1">
        <v>45574</v>
      </c>
      <c r="C114" t="s">
        <v>31</v>
      </c>
      <c r="D114" t="s">
        <v>34</v>
      </c>
      <c r="E114" t="s">
        <v>21</v>
      </c>
      <c r="F114" t="s">
        <v>14</v>
      </c>
      <c r="G114" t="s">
        <v>15</v>
      </c>
      <c r="K114" cm="1">
        <f t="array" ref="K114">_xlfn.SWITCH(LeadsData[[#This Row],[Funnel Stage Reached]],"Lead",1,"MQL",2,"SQL",3,"Customer",4)</f>
        <v>1</v>
      </c>
      <c r="L114" t="str">
        <f>TEXT(LeadsData[[#This Row],[Signup Date]],"mmm-yyyy")</f>
        <v>Oct-2024</v>
      </c>
      <c r="M114">
        <f>IF(LeadsData[[#This Row],[Stage Number]]&gt;=2,1,0)</f>
        <v>0</v>
      </c>
      <c r="N114" s="2">
        <f>IF(LeadsData[[#This Row],[Stage Number]]&gt;=3,1,0)</f>
        <v>0</v>
      </c>
      <c r="O114" s="2">
        <f>IF(LeadsData[[#This Row],[Stage Number]]&gt;=4,1,0)</f>
        <v>0</v>
      </c>
    </row>
    <row r="115" spans="1:15" x14ac:dyDescent="0.25">
      <c r="A115" t="s">
        <v>154</v>
      </c>
      <c r="B115" s="1">
        <v>45582</v>
      </c>
      <c r="C115" t="s">
        <v>36</v>
      </c>
      <c r="D115" t="s">
        <v>37</v>
      </c>
      <c r="E115" t="s">
        <v>21</v>
      </c>
      <c r="F115" t="s">
        <v>14</v>
      </c>
      <c r="G115" t="s">
        <v>29</v>
      </c>
      <c r="K115" cm="1">
        <f t="array" ref="K115">_xlfn.SWITCH(LeadsData[[#This Row],[Funnel Stage Reached]],"Lead",1,"MQL",2,"SQL",3,"Customer",4)</f>
        <v>3</v>
      </c>
      <c r="L115" t="str">
        <f>TEXT(LeadsData[[#This Row],[Signup Date]],"mmm-yyyy")</f>
        <v>Oct-2024</v>
      </c>
      <c r="M115">
        <f>IF(LeadsData[[#This Row],[Stage Number]]&gt;=2,1,0)</f>
        <v>1</v>
      </c>
      <c r="N115" s="2">
        <f>IF(LeadsData[[#This Row],[Stage Number]]&gt;=3,1,0)</f>
        <v>1</v>
      </c>
      <c r="O115" s="2">
        <f>IF(LeadsData[[#This Row],[Stage Number]]&gt;=4,1,0)</f>
        <v>0</v>
      </c>
    </row>
    <row r="116" spans="1:15" x14ac:dyDescent="0.25">
      <c r="A116" t="s">
        <v>155</v>
      </c>
      <c r="B116" s="1">
        <v>45417</v>
      </c>
      <c r="C116" t="s">
        <v>17</v>
      </c>
      <c r="D116" t="s">
        <v>53</v>
      </c>
      <c r="E116" t="s">
        <v>21</v>
      </c>
      <c r="F116" t="s">
        <v>19</v>
      </c>
      <c r="G116" t="s">
        <v>15</v>
      </c>
      <c r="K116" cm="1">
        <f t="array" ref="K116">_xlfn.SWITCH(LeadsData[[#This Row],[Funnel Stage Reached]],"Lead",1,"MQL",2,"SQL",3,"Customer",4)</f>
        <v>1</v>
      </c>
      <c r="L116" t="str">
        <f>TEXT(LeadsData[[#This Row],[Signup Date]],"mmm-yyyy")</f>
        <v>May-2024</v>
      </c>
      <c r="M116">
        <f>IF(LeadsData[[#This Row],[Stage Number]]&gt;=2,1,0)</f>
        <v>0</v>
      </c>
      <c r="N116" s="2">
        <f>IF(LeadsData[[#This Row],[Stage Number]]&gt;=3,1,0)</f>
        <v>0</v>
      </c>
      <c r="O116" s="2">
        <f>IF(LeadsData[[#This Row],[Stage Number]]&gt;=4,1,0)</f>
        <v>0</v>
      </c>
    </row>
    <row r="117" spans="1:15" x14ac:dyDescent="0.25">
      <c r="A117" t="s">
        <v>156</v>
      </c>
      <c r="B117" s="1">
        <v>45389</v>
      </c>
      <c r="C117" t="s">
        <v>46</v>
      </c>
      <c r="D117" t="s">
        <v>56</v>
      </c>
      <c r="E117" t="s">
        <v>13</v>
      </c>
      <c r="F117" t="s">
        <v>19</v>
      </c>
      <c r="G117" t="s">
        <v>15</v>
      </c>
      <c r="K117" cm="1">
        <f t="array" ref="K117">_xlfn.SWITCH(LeadsData[[#This Row],[Funnel Stage Reached]],"Lead",1,"MQL",2,"SQL",3,"Customer",4)</f>
        <v>1</v>
      </c>
      <c r="L117" t="str">
        <f>TEXT(LeadsData[[#This Row],[Signup Date]],"mmm-yyyy")</f>
        <v>Apr-2024</v>
      </c>
      <c r="M117">
        <f>IF(LeadsData[[#This Row],[Stage Number]]&gt;=2,1,0)</f>
        <v>0</v>
      </c>
      <c r="N117" s="2">
        <f>IF(LeadsData[[#This Row],[Stage Number]]&gt;=3,1,0)</f>
        <v>0</v>
      </c>
      <c r="O117" s="2">
        <f>IF(LeadsData[[#This Row],[Stage Number]]&gt;=4,1,0)</f>
        <v>0</v>
      </c>
    </row>
    <row r="118" spans="1:15" x14ac:dyDescent="0.25">
      <c r="A118" t="s">
        <v>157</v>
      </c>
      <c r="B118" s="1">
        <v>45495</v>
      </c>
      <c r="C118" t="s">
        <v>17</v>
      </c>
      <c r="D118" t="s">
        <v>18</v>
      </c>
      <c r="E118" t="s">
        <v>13</v>
      </c>
      <c r="F118" t="s">
        <v>22</v>
      </c>
      <c r="G118" t="s">
        <v>29</v>
      </c>
      <c r="K118" cm="1">
        <f t="array" ref="K118">_xlfn.SWITCH(LeadsData[[#This Row],[Funnel Stage Reached]],"Lead",1,"MQL",2,"SQL",3,"Customer",4)</f>
        <v>3</v>
      </c>
      <c r="L118" t="str">
        <f>TEXT(LeadsData[[#This Row],[Signup Date]],"mmm-yyyy")</f>
        <v>Jul-2024</v>
      </c>
      <c r="M118">
        <f>IF(LeadsData[[#This Row],[Stage Number]]&gt;=2,1,0)</f>
        <v>1</v>
      </c>
      <c r="N118" s="2">
        <f>IF(LeadsData[[#This Row],[Stage Number]]&gt;=3,1,0)</f>
        <v>1</v>
      </c>
      <c r="O118" s="2">
        <f>IF(LeadsData[[#This Row],[Stage Number]]&gt;=4,1,0)</f>
        <v>0</v>
      </c>
    </row>
    <row r="119" spans="1:15" x14ac:dyDescent="0.25">
      <c r="A119" t="s">
        <v>158</v>
      </c>
      <c r="B119" s="1">
        <v>45311</v>
      </c>
      <c r="C119" t="s">
        <v>31</v>
      </c>
      <c r="D119" t="s">
        <v>34</v>
      </c>
      <c r="E119" t="s">
        <v>21</v>
      </c>
      <c r="F119" t="s">
        <v>22</v>
      </c>
      <c r="G119" t="s">
        <v>29</v>
      </c>
      <c r="K119" cm="1">
        <f t="array" ref="K119">_xlfn.SWITCH(LeadsData[[#This Row],[Funnel Stage Reached]],"Lead",1,"MQL",2,"SQL",3,"Customer",4)</f>
        <v>3</v>
      </c>
      <c r="L119" t="str">
        <f>TEXT(LeadsData[[#This Row],[Signup Date]],"mmm-yyyy")</f>
        <v>Jan-2024</v>
      </c>
      <c r="M119">
        <f>IF(LeadsData[[#This Row],[Stage Number]]&gt;=2,1,0)</f>
        <v>1</v>
      </c>
      <c r="N119" s="2">
        <f>IF(LeadsData[[#This Row],[Stage Number]]&gt;=3,1,0)</f>
        <v>1</v>
      </c>
      <c r="O119" s="2">
        <f>IF(LeadsData[[#This Row],[Stage Number]]&gt;=4,1,0)</f>
        <v>0</v>
      </c>
    </row>
    <row r="120" spans="1:15" x14ac:dyDescent="0.25">
      <c r="A120" t="s">
        <v>159</v>
      </c>
      <c r="B120" s="1">
        <v>45549</v>
      </c>
      <c r="C120" t="s">
        <v>46</v>
      </c>
      <c r="D120" t="s">
        <v>56</v>
      </c>
      <c r="E120" t="s">
        <v>13</v>
      </c>
      <c r="F120" t="s">
        <v>14</v>
      </c>
      <c r="G120" t="s">
        <v>15</v>
      </c>
      <c r="K120" cm="1">
        <f t="array" ref="K120">_xlfn.SWITCH(LeadsData[[#This Row],[Funnel Stage Reached]],"Lead",1,"MQL",2,"SQL",3,"Customer",4)</f>
        <v>1</v>
      </c>
      <c r="L120" t="str">
        <f>TEXT(LeadsData[[#This Row],[Signup Date]],"mmm-yyyy")</f>
        <v>Sep-2024</v>
      </c>
      <c r="M120">
        <f>IF(LeadsData[[#This Row],[Stage Number]]&gt;=2,1,0)</f>
        <v>0</v>
      </c>
      <c r="N120" s="2">
        <f>IF(LeadsData[[#This Row],[Stage Number]]&gt;=3,1,0)</f>
        <v>0</v>
      </c>
      <c r="O120" s="2">
        <f>IF(LeadsData[[#This Row],[Stage Number]]&gt;=4,1,0)</f>
        <v>0</v>
      </c>
    </row>
    <row r="121" spans="1:15" x14ac:dyDescent="0.25">
      <c r="A121" t="s">
        <v>160</v>
      </c>
      <c r="B121" s="1">
        <v>45408</v>
      </c>
      <c r="C121" t="s">
        <v>46</v>
      </c>
      <c r="D121" t="s">
        <v>56</v>
      </c>
      <c r="E121" t="s">
        <v>13</v>
      </c>
      <c r="F121" t="s">
        <v>14</v>
      </c>
      <c r="G121" t="s">
        <v>23</v>
      </c>
      <c r="K121" cm="1">
        <f t="array" ref="K121">_xlfn.SWITCH(LeadsData[[#This Row],[Funnel Stage Reached]],"Lead",1,"MQL",2,"SQL",3,"Customer",4)</f>
        <v>2</v>
      </c>
      <c r="L121" t="str">
        <f>TEXT(LeadsData[[#This Row],[Signup Date]],"mmm-yyyy")</f>
        <v>Apr-2024</v>
      </c>
      <c r="M121">
        <f>IF(LeadsData[[#This Row],[Stage Number]]&gt;=2,1,0)</f>
        <v>1</v>
      </c>
      <c r="N121" s="2">
        <f>IF(LeadsData[[#This Row],[Stage Number]]&gt;=3,1,0)</f>
        <v>0</v>
      </c>
      <c r="O121" s="2">
        <f>IF(LeadsData[[#This Row],[Stage Number]]&gt;=4,1,0)</f>
        <v>0</v>
      </c>
    </row>
    <row r="122" spans="1:15" x14ac:dyDescent="0.25">
      <c r="A122" t="s">
        <v>161</v>
      </c>
      <c r="B122" s="1">
        <v>45449</v>
      </c>
      <c r="C122" t="s">
        <v>36</v>
      </c>
      <c r="D122" t="s">
        <v>50</v>
      </c>
      <c r="E122" t="s">
        <v>21</v>
      </c>
      <c r="F122" t="s">
        <v>19</v>
      </c>
      <c r="G122" t="s">
        <v>29</v>
      </c>
      <c r="K122" cm="1">
        <f t="array" ref="K122">_xlfn.SWITCH(LeadsData[[#This Row],[Funnel Stage Reached]],"Lead",1,"MQL",2,"SQL",3,"Customer",4)</f>
        <v>3</v>
      </c>
      <c r="L122" t="str">
        <f>TEXT(LeadsData[[#This Row],[Signup Date]],"mmm-yyyy")</f>
        <v>Jun-2024</v>
      </c>
      <c r="M122">
        <f>IF(LeadsData[[#This Row],[Stage Number]]&gt;=2,1,0)</f>
        <v>1</v>
      </c>
      <c r="N122" s="2">
        <f>IF(LeadsData[[#This Row],[Stage Number]]&gt;=3,1,0)</f>
        <v>1</v>
      </c>
      <c r="O122" s="2">
        <f>IF(LeadsData[[#This Row],[Stage Number]]&gt;=4,1,0)</f>
        <v>0</v>
      </c>
    </row>
    <row r="123" spans="1:15" x14ac:dyDescent="0.25">
      <c r="A123" t="s">
        <v>162</v>
      </c>
      <c r="B123" s="1">
        <v>45622</v>
      </c>
      <c r="C123" t="s">
        <v>46</v>
      </c>
      <c r="D123" t="s">
        <v>56</v>
      </c>
      <c r="E123" t="s">
        <v>13</v>
      </c>
      <c r="F123" t="s">
        <v>28</v>
      </c>
      <c r="G123" t="s">
        <v>29</v>
      </c>
      <c r="K123" cm="1">
        <f t="array" ref="K123">_xlfn.SWITCH(LeadsData[[#This Row],[Funnel Stage Reached]],"Lead",1,"MQL",2,"SQL",3,"Customer",4)</f>
        <v>3</v>
      </c>
      <c r="L123" t="str">
        <f>TEXT(LeadsData[[#This Row],[Signup Date]],"mmm-yyyy")</f>
        <v>Nov-2024</v>
      </c>
      <c r="M123">
        <f>IF(LeadsData[[#This Row],[Stage Number]]&gt;=2,1,0)</f>
        <v>1</v>
      </c>
      <c r="N123" s="2">
        <f>IF(LeadsData[[#This Row],[Stage Number]]&gt;=3,1,0)</f>
        <v>1</v>
      </c>
      <c r="O123" s="2">
        <f>IF(LeadsData[[#This Row],[Stage Number]]&gt;=4,1,0)</f>
        <v>0</v>
      </c>
    </row>
    <row r="124" spans="1:15" x14ac:dyDescent="0.25">
      <c r="A124" t="s">
        <v>163</v>
      </c>
      <c r="B124" s="1">
        <v>45592</v>
      </c>
      <c r="C124" t="s">
        <v>11</v>
      </c>
      <c r="D124" t="s">
        <v>79</v>
      </c>
      <c r="E124" t="s">
        <v>13</v>
      </c>
      <c r="F124" t="s">
        <v>14</v>
      </c>
      <c r="G124" t="s">
        <v>23</v>
      </c>
      <c r="K124" cm="1">
        <f t="array" ref="K124">_xlfn.SWITCH(LeadsData[[#This Row],[Funnel Stage Reached]],"Lead",1,"MQL",2,"SQL",3,"Customer",4)</f>
        <v>2</v>
      </c>
      <c r="L124" t="str">
        <f>TEXT(LeadsData[[#This Row],[Signup Date]],"mmm-yyyy")</f>
        <v>Oct-2024</v>
      </c>
      <c r="M124">
        <f>IF(LeadsData[[#This Row],[Stage Number]]&gt;=2,1,0)</f>
        <v>1</v>
      </c>
      <c r="N124" s="2">
        <f>IF(LeadsData[[#This Row],[Stage Number]]&gt;=3,1,0)</f>
        <v>0</v>
      </c>
      <c r="O124" s="2">
        <f>IF(LeadsData[[#This Row],[Stage Number]]&gt;=4,1,0)</f>
        <v>0</v>
      </c>
    </row>
    <row r="125" spans="1:15" x14ac:dyDescent="0.25">
      <c r="A125" t="s">
        <v>164</v>
      </c>
      <c r="B125" s="1">
        <v>45300</v>
      </c>
      <c r="C125" t="s">
        <v>17</v>
      </c>
      <c r="D125" t="s">
        <v>53</v>
      </c>
      <c r="E125" t="s">
        <v>13</v>
      </c>
      <c r="F125" t="s">
        <v>22</v>
      </c>
      <c r="G125" t="s">
        <v>15</v>
      </c>
      <c r="K125" cm="1">
        <f t="array" ref="K125">_xlfn.SWITCH(LeadsData[[#This Row],[Funnel Stage Reached]],"Lead",1,"MQL",2,"SQL",3,"Customer",4)</f>
        <v>1</v>
      </c>
      <c r="L125" t="str">
        <f>TEXT(LeadsData[[#This Row],[Signup Date]],"mmm-yyyy")</f>
        <v>Jan-2024</v>
      </c>
      <c r="M125">
        <f>IF(LeadsData[[#This Row],[Stage Number]]&gt;=2,1,0)</f>
        <v>0</v>
      </c>
      <c r="N125" s="2">
        <f>IF(LeadsData[[#This Row],[Stage Number]]&gt;=3,1,0)</f>
        <v>0</v>
      </c>
      <c r="O125" s="2">
        <f>IF(LeadsData[[#This Row],[Stage Number]]&gt;=4,1,0)</f>
        <v>0</v>
      </c>
    </row>
    <row r="126" spans="1:15" x14ac:dyDescent="0.25">
      <c r="A126" t="s">
        <v>165</v>
      </c>
      <c r="B126" s="1">
        <v>45654</v>
      </c>
      <c r="C126" t="s">
        <v>36</v>
      </c>
      <c r="D126" t="s">
        <v>50</v>
      </c>
      <c r="E126" t="s">
        <v>21</v>
      </c>
      <c r="F126" t="s">
        <v>19</v>
      </c>
      <c r="G126" t="s">
        <v>15</v>
      </c>
      <c r="K126" cm="1">
        <f t="array" ref="K126">_xlfn.SWITCH(LeadsData[[#This Row],[Funnel Stage Reached]],"Lead",1,"MQL",2,"SQL",3,"Customer",4)</f>
        <v>1</v>
      </c>
      <c r="L126" t="str">
        <f>TEXT(LeadsData[[#This Row],[Signup Date]],"mmm-yyyy")</f>
        <v>Dec-2024</v>
      </c>
      <c r="M126">
        <f>IF(LeadsData[[#This Row],[Stage Number]]&gt;=2,1,0)</f>
        <v>0</v>
      </c>
      <c r="N126" s="2">
        <f>IF(LeadsData[[#This Row],[Stage Number]]&gt;=3,1,0)</f>
        <v>0</v>
      </c>
      <c r="O126" s="2">
        <f>IF(LeadsData[[#This Row],[Stage Number]]&gt;=4,1,0)</f>
        <v>0</v>
      </c>
    </row>
    <row r="127" spans="1:15" x14ac:dyDescent="0.25">
      <c r="A127" t="s">
        <v>166</v>
      </c>
      <c r="B127" s="1">
        <v>45334</v>
      </c>
      <c r="C127" t="s">
        <v>46</v>
      </c>
      <c r="D127" t="s">
        <v>56</v>
      </c>
      <c r="E127" t="s">
        <v>21</v>
      </c>
      <c r="F127" t="s">
        <v>19</v>
      </c>
      <c r="G127" t="s">
        <v>23</v>
      </c>
      <c r="K127" cm="1">
        <f t="array" ref="K127">_xlfn.SWITCH(LeadsData[[#This Row],[Funnel Stage Reached]],"Lead",1,"MQL",2,"SQL",3,"Customer",4)</f>
        <v>2</v>
      </c>
      <c r="L127" t="str">
        <f>TEXT(LeadsData[[#This Row],[Signup Date]],"mmm-yyyy")</f>
        <v>Feb-2024</v>
      </c>
      <c r="M127">
        <f>IF(LeadsData[[#This Row],[Stage Number]]&gt;=2,1,0)</f>
        <v>1</v>
      </c>
      <c r="N127" s="2">
        <f>IF(LeadsData[[#This Row],[Stage Number]]&gt;=3,1,0)</f>
        <v>0</v>
      </c>
      <c r="O127" s="2">
        <f>IF(LeadsData[[#This Row],[Stage Number]]&gt;=4,1,0)</f>
        <v>0</v>
      </c>
    </row>
    <row r="128" spans="1:15" x14ac:dyDescent="0.25">
      <c r="A128" t="s">
        <v>167</v>
      </c>
      <c r="B128" s="1">
        <v>45384</v>
      </c>
      <c r="C128" t="s">
        <v>31</v>
      </c>
      <c r="D128" t="s">
        <v>34</v>
      </c>
      <c r="E128" t="s">
        <v>13</v>
      </c>
      <c r="F128" t="s">
        <v>19</v>
      </c>
      <c r="G128" t="s">
        <v>15</v>
      </c>
      <c r="K128" cm="1">
        <f t="array" ref="K128">_xlfn.SWITCH(LeadsData[[#This Row],[Funnel Stage Reached]],"Lead",1,"MQL",2,"SQL",3,"Customer",4)</f>
        <v>1</v>
      </c>
      <c r="L128" t="str">
        <f>TEXT(LeadsData[[#This Row],[Signup Date]],"mmm-yyyy")</f>
        <v>Apr-2024</v>
      </c>
      <c r="M128">
        <f>IF(LeadsData[[#This Row],[Stage Number]]&gt;=2,1,0)</f>
        <v>0</v>
      </c>
      <c r="N128" s="2">
        <f>IF(LeadsData[[#This Row],[Stage Number]]&gt;=3,1,0)</f>
        <v>0</v>
      </c>
      <c r="O128" s="2">
        <f>IF(LeadsData[[#This Row],[Stage Number]]&gt;=4,1,0)</f>
        <v>0</v>
      </c>
    </row>
    <row r="129" spans="1:15" x14ac:dyDescent="0.25">
      <c r="A129" t="s">
        <v>168</v>
      </c>
      <c r="B129" s="1">
        <v>45563</v>
      </c>
      <c r="C129" t="s">
        <v>17</v>
      </c>
      <c r="D129" t="s">
        <v>18</v>
      </c>
      <c r="E129" t="s">
        <v>21</v>
      </c>
      <c r="F129" t="s">
        <v>22</v>
      </c>
      <c r="G129" t="s">
        <v>15</v>
      </c>
      <c r="K129" cm="1">
        <f t="array" ref="K129">_xlfn.SWITCH(LeadsData[[#This Row],[Funnel Stage Reached]],"Lead",1,"MQL",2,"SQL",3,"Customer",4)</f>
        <v>1</v>
      </c>
      <c r="L129" t="str">
        <f>TEXT(LeadsData[[#This Row],[Signup Date]],"mmm-yyyy")</f>
        <v>Sep-2024</v>
      </c>
      <c r="M129">
        <f>IF(LeadsData[[#This Row],[Stage Number]]&gt;=2,1,0)</f>
        <v>0</v>
      </c>
      <c r="N129" s="2">
        <f>IF(LeadsData[[#This Row],[Stage Number]]&gt;=3,1,0)</f>
        <v>0</v>
      </c>
      <c r="O129" s="2">
        <f>IF(LeadsData[[#This Row],[Stage Number]]&gt;=4,1,0)</f>
        <v>0</v>
      </c>
    </row>
    <row r="130" spans="1:15" x14ac:dyDescent="0.25">
      <c r="A130" t="s">
        <v>169</v>
      </c>
      <c r="B130" s="1">
        <v>45483</v>
      </c>
      <c r="C130" t="s">
        <v>17</v>
      </c>
      <c r="D130" t="s">
        <v>18</v>
      </c>
      <c r="E130" t="s">
        <v>21</v>
      </c>
      <c r="F130" t="s">
        <v>28</v>
      </c>
      <c r="G130" t="s">
        <v>23</v>
      </c>
      <c r="K130" cm="1">
        <f t="array" ref="K130">_xlfn.SWITCH(LeadsData[[#This Row],[Funnel Stage Reached]],"Lead",1,"MQL",2,"SQL",3,"Customer",4)</f>
        <v>2</v>
      </c>
      <c r="L130" t="str">
        <f>TEXT(LeadsData[[#This Row],[Signup Date]],"mmm-yyyy")</f>
        <v>Jul-2024</v>
      </c>
      <c r="M130">
        <f>IF(LeadsData[[#This Row],[Stage Number]]&gt;=2,1,0)</f>
        <v>1</v>
      </c>
      <c r="N130" s="2">
        <f>IF(LeadsData[[#This Row],[Stage Number]]&gt;=3,1,0)</f>
        <v>0</v>
      </c>
      <c r="O130" s="2">
        <f>IF(LeadsData[[#This Row],[Stage Number]]&gt;=4,1,0)</f>
        <v>0</v>
      </c>
    </row>
    <row r="131" spans="1:15" x14ac:dyDescent="0.25">
      <c r="A131" t="s">
        <v>170</v>
      </c>
      <c r="B131" s="1">
        <v>45648</v>
      </c>
      <c r="C131" t="s">
        <v>25</v>
      </c>
      <c r="D131" t="s">
        <v>26</v>
      </c>
      <c r="E131" t="s">
        <v>13</v>
      </c>
      <c r="F131" t="s">
        <v>19</v>
      </c>
      <c r="G131" t="s">
        <v>29</v>
      </c>
      <c r="K131" cm="1">
        <f t="array" ref="K131">_xlfn.SWITCH(LeadsData[[#This Row],[Funnel Stage Reached]],"Lead",1,"MQL",2,"SQL",3,"Customer",4)</f>
        <v>3</v>
      </c>
      <c r="L131" t="str">
        <f>TEXT(LeadsData[[#This Row],[Signup Date]],"mmm-yyyy")</f>
        <v>Dec-2024</v>
      </c>
      <c r="M131">
        <f>IF(LeadsData[[#This Row],[Stage Number]]&gt;=2,1,0)</f>
        <v>1</v>
      </c>
      <c r="N131" s="2">
        <f>IF(LeadsData[[#This Row],[Stage Number]]&gt;=3,1,0)</f>
        <v>1</v>
      </c>
      <c r="O131" s="2">
        <f>IF(LeadsData[[#This Row],[Stage Number]]&gt;=4,1,0)</f>
        <v>0</v>
      </c>
    </row>
    <row r="132" spans="1:15" x14ac:dyDescent="0.25">
      <c r="A132" t="s">
        <v>171</v>
      </c>
      <c r="B132" s="1">
        <v>45609</v>
      </c>
      <c r="C132" t="s">
        <v>25</v>
      </c>
      <c r="D132" t="s">
        <v>26</v>
      </c>
      <c r="E132" t="s">
        <v>13</v>
      </c>
      <c r="F132" t="s">
        <v>19</v>
      </c>
      <c r="G132" t="s">
        <v>15</v>
      </c>
      <c r="K132" cm="1">
        <f t="array" ref="K132">_xlfn.SWITCH(LeadsData[[#This Row],[Funnel Stage Reached]],"Lead",1,"MQL",2,"SQL",3,"Customer",4)</f>
        <v>1</v>
      </c>
      <c r="L132" t="str">
        <f>TEXT(LeadsData[[#This Row],[Signup Date]],"mmm-yyyy")</f>
        <v>Nov-2024</v>
      </c>
      <c r="M132">
        <f>IF(LeadsData[[#This Row],[Stage Number]]&gt;=2,1,0)</f>
        <v>0</v>
      </c>
      <c r="N132" s="2">
        <f>IF(LeadsData[[#This Row],[Stage Number]]&gt;=3,1,0)</f>
        <v>0</v>
      </c>
      <c r="O132" s="2">
        <f>IF(LeadsData[[#This Row],[Stage Number]]&gt;=4,1,0)</f>
        <v>0</v>
      </c>
    </row>
    <row r="133" spans="1:15" x14ac:dyDescent="0.25">
      <c r="A133" t="s">
        <v>172</v>
      </c>
      <c r="B133" s="1">
        <v>45315</v>
      </c>
      <c r="C133" t="s">
        <v>36</v>
      </c>
      <c r="D133" t="s">
        <v>50</v>
      </c>
      <c r="E133" t="s">
        <v>21</v>
      </c>
      <c r="F133" t="s">
        <v>14</v>
      </c>
      <c r="G133" t="s">
        <v>15</v>
      </c>
      <c r="K133" cm="1">
        <f t="array" ref="K133">_xlfn.SWITCH(LeadsData[[#This Row],[Funnel Stage Reached]],"Lead",1,"MQL",2,"SQL",3,"Customer",4)</f>
        <v>1</v>
      </c>
      <c r="L133" t="str">
        <f>TEXT(LeadsData[[#This Row],[Signup Date]],"mmm-yyyy")</f>
        <v>Jan-2024</v>
      </c>
      <c r="M133">
        <f>IF(LeadsData[[#This Row],[Stage Number]]&gt;=2,1,0)</f>
        <v>0</v>
      </c>
      <c r="N133" s="2">
        <f>IF(LeadsData[[#This Row],[Stage Number]]&gt;=3,1,0)</f>
        <v>0</v>
      </c>
      <c r="O133" s="2">
        <f>IF(LeadsData[[#This Row],[Stage Number]]&gt;=4,1,0)</f>
        <v>0</v>
      </c>
    </row>
    <row r="134" spans="1:15" x14ac:dyDescent="0.25">
      <c r="A134" t="s">
        <v>173</v>
      </c>
      <c r="B134" s="1">
        <v>45501</v>
      </c>
      <c r="C134" t="s">
        <v>17</v>
      </c>
      <c r="D134" t="s">
        <v>53</v>
      </c>
      <c r="E134" t="s">
        <v>13</v>
      </c>
      <c r="F134" t="s">
        <v>28</v>
      </c>
      <c r="G134" t="s">
        <v>15</v>
      </c>
      <c r="K134" cm="1">
        <f t="array" ref="K134">_xlfn.SWITCH(LeadsData[[#This Row],[Funnel Stage Reached]],"Lead",1,"MQL",2,"SQL",3,"Customer",4)</f>
        <v>1</v>
      </c>
      <c r="L134" t="str">
        <f>TEXT(LeadsData[[#This Row],[Signup Date]],"mmm-yyyy")</f>
        <v>Jul-2024</v>
      </c>
      <c r="M134">
        <f>IF(LeadsData[[#This Row],[Stage Number]]&gt;=2,1,0)</f>
        <v>0</v>
      </c>
      <c r="N134" s="2">
        <f>IF(LeadsData[[#This Row],[Stage Number]]&gt;=3,1,0)</f>
        <v>0</v>
      </c>
      <c r="O134" s="2">
        <f>IF(LeadsData[[#This Row],[Stage Number]]&gt;=4,1,0)</f>
        <v>0</v>
      </c>
    </row>
    <row r="135" spans="1:15" x14ac:dyDescent="0.25">
      <c r="A135" t="s">
        <v>174</v>
      </c>
      <c r="B135" s="1">
        <v>45479</v>
      </c>
      <c r="C135" t="s">
        <v>31</v>
      </c>
      <c r="D135" t="s">
        <v>32</v>
      </c>
      <c r="E135" t="s">
        <v>13</v>
      </c>
      <c r="F135" t="s">
        <v>19</v>
      </c>
      <c r="G135" t="s">
        <v>15</v>
      </c>
      <c r="K135" cm="1">
        <f t="array" ref="K135">_xlfn.SWITCH(LeadsData[[#This Row],[Funnel Stage Reached]],"Lead",1,"MQL",2,"SQL",3,"Customer",4)</f>
        <v>1</v>
      </c>
      <c r="L135" t="str">
        <f>TEXT(LeadsData[[#This Row],[Signup Date]],"mmm-yyyy")</f>
        <v>Jul-2024</v>
      </c>
      <c r="M135">
        <f>IF(LeadsData[[#This Row],[Stage Number]]&gt;=2,1,0)</f>
        <v>0</v>
      </c>
      <c r="N135" s="2">
        <f>IF(LeadsData[[#This Row],[Stage Number]]&gt;=3,1,0)</f>
        <v>0</v>
      </c>
      <c r="O135" s="2">
        <f>IF(LeadsData[[#This Row],[Stage Number]]&gt;=4,1,0)</f>
        <v>0</v>
      </c>
    </row>
    <row r="136" spans="1:15" x14ac:dyDescent="0.25">
      <c r="A136" t="s">
        <v>175</v>
      </c>
      <c r="B136" s="1">
        <v>45630</v>
      </c>
      <c r="C136" t="s">
        <v>31</v>
      </c>
      <c r="D136" t="s">
        <v>34</v>
      </c>
      <c r="E136" t="s">
        <v>48</v>
      </c>
      <c r="F136" t="s">
        <v>19</v>
      </c>
      <c r="G136" t="s">
        <v>23</v>
      </c>
      <c r="K136" cm="1">
        <f t="array" ref="K136">_xlfn.SWITCH(LeadsData[[#This Row],[Funnel Stage Reached]],"Lead",1,"MQL",2,"SQL",3,"Customer",4)</f>
        <v>2</v>
      </c>
      <c r="L136" t="str">
        <f>TEXT(LeadsData[[#This Row],[Signup Date]],"mmm-yyyy")</f>
        <v>Dec-2024</v>
      </c>
      <c r="M136">
        <f>IF(LeadsData[[#This Row],[Stage Number]]&gt;=2,1,0)</f>
        <v>1</v>
      </c>
      <c r="N136" s="2">
        <f>IF(LeadsData[[#This Row],[Stage Number]]&gt;=3,1,0)</f>
        <v>0</v>
      </c>
      <c r="O136" s="2">
        <f>IF(LeadsData[[#This Row],[Stage Number]]&gt;=4,1,0)</f>
        <v>0</v>
      </c>
    </row>
    <row r="137" spans="1:15" x14ac:dyDescent="0.25">
      <c r="A137" t="s">
        <v>176</v>
      </c>
      <c r="B137" s="1">
        <v>45592</v>
      </c>
      <c r="C137" t="s">
        <v>46</v>
      </c>
      <c r="D137" t="s">
        <v>56</v>
      </c>
      <c r="E137" t="s">
        <v>13</v>
      </c>
      <c r="F137" t="s">
        <v>22</v>
      </c>
      <c r="G137" t="s">
        <v>15</v>
      </c>
      <c r="K137" cm="1">
        <f t="array" ref="K137">_xlfn.SWITCH(LeadsData[[#This Row],[Funnel Stage Reached]],"Lead",1,"MQL",2,"SQL",3,"Customer",4)</f>
        <v>1</v>
      </c>
      <c r="L137" t="str">
        <f>TEXT(LeadsData[[#This Row],[Signup Date]],"mmm-yyyy")</f>
        <v>Oct-2024</v>
      </c>
      <c r="M137">
        <f>IF(LeadsData[[#This Row],[Stage Number]]&gt;=2,1,0)</f>
        <v>0</v>
      </c>
      <c r="N137" s="2">
        <f>IF(LeadsData[[#This Row],[Stage Number]]&gt;=3,1,0)</f>
        <v>0</v>
      </c>
      <c r="O137" s="2">
        <f>IF(LeadsData[[#This Row],[Stage Number]]&gt;=4,1,0)</f>
        <v>0</v>
      </c>
    </row>
    <row r="138" spans="1:15" x14ac:dyDescent="0.25">
      <c r="A138" t="s">
        <v>177</v>
      </c>
      <c r="B138" s="1">
        <v>45581</v>
      </c>
      <c r="C138" t="s">
        <v>17</v>
      </c>
      <c r="D138" t="s">
        <v>53</v>
      </c>
      <c r="E138" t="s">
        <v>21</v>
      </c>
      <c r="F138" t="s">
        <v>19</v>
      </c>
      <c r="G138" t="s">
        <v>42</v>
      </c>
      <c r="H138">
        <v>22</v>
      </c>
      <c r="I138" t="s">
        <v>87</v>
      </c>
      <c r="J138">
        <v>2041.58</v>
      </c>
      <c r="K138" cm="1">
        <f t="array" ref="K138">_xlfn.SWITCH(LeadsData[[#This Row],[Funnel Stage Reached]],"Lead",1,"MQL",2,"SQL",3,"Customer",4)</f>
        <v>4</v>
      </c>
      <c r="L138" t="str">
        <f>TEXT(LeadsData[[#This Row],[Signup Date]],"mmm-yyyy")</f>
        <v>Oct-2024</v>
      </c>
      <c r="M138">
        <f>IF(LeadsData[[#This Row],[Stage Number]]&gt;=2,1,0)</f>
        <v>1</v>
      </c>
      <c r="N138" s="2">
        <f>IF(LeadsData[[#This Row],[Stage Number]]&gt;=3,1,0)</f>
        <v>1</v>
      </c>
      <c r="O138" s="2">
        <f>IF(LeadsData[[#This Row],[Stage Number]]&gt;=4,1,0)</f>
        <v>1</v>
      </c>
    </row>
    <row r="139" spans="1:15" x14ac:dyDescent="0.25">
      <c r="A139" t="s">
        <v>178</v>
      </c>
      <c r="B139" s="1">
        <v>45518</v>
      </c>
      <c r="C139" t="s">
        <v>11</v>
      </c>
      <c r="D139" t="s">
        <v>68</v>
      </c>
      <c r="E139" t="s">
        <v>13</v>
      </c>
      <c r="F139" t="s">
        <v>19</v>
      </c>
      <c r="G139" t="s">
        <v>15</v>
      </c>
      <c r="K139" cm="1">
        <f t="array" ref="K139">_xlfn.SWITCH(LeadsData[[#This Row],[Funnel Stage Reached]],"Lead",1,"MQL",2,"SQL",3,"Customer",4)</f>
        <v>1</v>
      </c>
      <c r="L139" t="str">
        <f>TEXT(LeadsData[[#This Row],[Signup Date]],"mmm-yyyy")</f>
        <v>Aug-2024</v>
      </c>
      <c r="M139">
        <f>IF(LeadsData[[#This Row],[Stage Number]]&gt;=2,1,0)</f>
        <v>0</v>
      </c>
      <c r="N139" s="2">
        <f>IF(LeadsData[[#This Row],[Stage Number]]&gt;=3,1,0)</f>
        <v>0</v>
      </c>
      <c r="O139" s="2">
        <f>IF(LeadsData[[#This Row],[Stage Number]]&gt;=4,1,0)</f>
        <v>0</v>
      </c>
    </row>
    <row r="140" spans="1:15" x14ac:dyDescent="0.25">
      <c r="A140" t="s">
        <v>179</v>
      </c>
      <c r="B140" s="1">
        <v>45490</v>
      </c>
      <c r="C140" t="s">
        <v>36</v>
      </c>
      <c r="D140" t="s">
        <v>37</v>
      </c>
      <c r="E140" t="s">
        <v>21</v>
      </c>
      <c r="F140" t="s">
        <v>28</v>
      </c>
      <c r="G140" t="s">
        <v>15</v>
      </c>
      <c r="K140" cm="1">
        <f t="array" ref="K140">_xlfn.SWITCH(LeadsData[[#This Row],[Funnel Stage Reached]],"Lead",1,"MQL",2,"SQL",3,"Customer",4)</f>
        <v>1</v>
      </c>
      <c r="L140" t="str">
        <f>TEXT(LeadsData[[#This Row],[Signup Date]],"mmm-yyyy")</f>
        <v>Jul-2024</v>
      </c>
      <c r="M140">
        <f>IF(LeadsData[[#This Row],[Stage Number]]&gt;=2,1,0)</f>
        <v>0</v>
      </c>
      <c r="N140" s="2">
        <f>IF(LeadsData[[#This Row],[Stage Number]]&gt;=3,1,0)</f>
        <v>0</v>
      </c>
      <c r="O140" s="2">
        <f>IF(LeadsData[[#This Row],[Stage Number]]&gt;=4,1,0)</f>
        <v>0</v>
      </c>
    </row>
    <row r="141" spans="1:15" x14ac:dyDescent="0.25">
      <c r="A141" t="s">
        <v>180</v>
      </c>
      <c r="B141" s="1">
        <v>45307</v>
      </c>
      <c r="C141" t="s">
        <v>11</v>
      </c>
      <c r="D141" t="s">
        <v>12</v>
      </c>
      <c r="E141" t="s">
        <v>21</v>
      </c>
      <c r="F141" t="s">
        <v>19</v>
      </c>
      <c r="G141" t="s">
        <v>23</v>
      </c>
      <c r="K141" cm="1">
        <f t="array" ref="K141">_xlfn.SWITCH(LeadsData[[#This Row],[Funnel Stage Reached]],"Lead",1,"MQL",2,"SQL",3,"Customer",4)</f>
        <v>2</v>
      </c>
      <c r="L141" t="str">
        <f>TEXT(LeadsData[[#This Row],[Signup Date]],"mmm-yyyy")</f>
        <v>Jan-2024</v>
      </c>
      <c r="M141">
        <f>IF(LeadsData[[#This Row],[Stage Number]]&gt;=2,1,0)</f>
        <v>1</v>
      </c>
      <c r="N141" s="2">
        <f>IF(LeadsData[[#This Row],[Stage Number]]&gt;=3,1,0)</f>
        <v>0</v>
      </c>
      <c r="O141" s="2">
        <f>IF(LeadsData[[#This Row],[Stage Number]]&gt;=4,1,0)</f>
        <v>0</v>
      </c>
    </row>
    <row r="142" spans="1:15" x14ac:dyDescent="0.25">
      <c r="A142" t="s">
        <v>181</v>
      </c>
      <c r="B142" s="1">
        <v>45586</v>
      </c>
      <c r="C142" t="s">
        <v>25</v>
      </c>
      <c r="D142" t="s">
        <v>26</v>
      </c>
      <c r="E142" t="s">
        <v>13</v>
      </c>
      <c r="F142" t="s">
        <v>28</v>
      </c>
      <c r="G142" t="s">
        <v>15</v>
      </c>
      <c r="K142" cm="1">
        <f t="array" ref="K142">_xlfn.SWITCH(LeadsData[[#This Row],[Funnel Stage Reached]],"Lead",1,"MQL",2,"SQL",3,"Customer",4)</f>
        <v>1</v>
      </c>
      <c r="L142" t="str">
        <f>TEXT(LeadsData[[#This Row],[Signup Date]],"mmm-yyyy")</f>
        <v>Oct-2024</v>
      </c>
      <c r="M142">
        <f>IF(LeadsData[[#This Row],[Stage Number]]&gt;=2,1,0)</f>
        <v>0</v>
      </c>
      <c r="N142" s="2">
        <f>IF(LeadsData[[#This Row],[Stage Number]]&gt;=3,1,0)</f>
        <v>0</v>
      </c>
      <c r="O142" s="2">
        <f>IF(LeadsData[[#This Row],[Stage Number]]&gt;=4,1,0)</f>
        <v>0</v>
      </c>
    </row>
    <row r="143" spans="1:15" x14ac:dyDescent="0.25">
      <c r="A143" t="s">
        <v>182</v>
      </c>
      <c r="B143" s="1">
        <v>45494</v>
      </c>
      <c r="C143" t="s">
        <v>36</v>
      </c>
      <c r="D143" t="s">
        <v>50</v>
      </c>
      <c r="E143" t="s">
        <v>21</v>
      </c>
      <c r="F143" t="s">
        <v>14</v>
      </c>
      <c r="G143" t="s">
        <v>42</v>
      </c>
      <c r="H143">
        <v>63</v>
      </c>
      <c r="I143" t="s">
        <v>183</v>
      </c>
      <c r="J143">
        <v>6751.68</v>
      </c>
      <c r="K143" cm="1">
        <f t="array" ref="K143">_xlfn.SWITCH(LeadsData[[#This Row],[Funnel Stage Reached]],"Lead",1,"MQL",2,"SQL",3,"Customer",4)</f>
        <v>4</v>
      </c>
      <c r="L143" t="str">
        <f>TEXT(LeadsData[[#This Row],[Signup Date]],"mmm-yyyy")</f>
        <v>Jul-2024</v>
      </c>
      <c r="M143">
        <f>IF(LeadsData[[#This Row],[Stage Number]]&gt;=2,1,0)</f>
        <v>1</v>
      </c>
      <c r="N143" s="2">
        <f>IF(LeadsData[[#This Row],[Stage Number]]&gt;=3,1,0)</f>
        <v>1</v>
      </c>
      <c r="O143" s="2">
        <f>IF(LeadsData[[#This Row],[Stage Number]]&gt;=4,1,0)</f>
        <v>1</v>
      </c>
    </row>
    <row r="144" spans="1:15" x14ac:dyDescent="0.25">
      <c r="A144" t="s">
        <v>184</v>
      </c>
      <c r="B144" s="1">
        <v>45430</v>
      </c>
      <c r="C144" t="s">
        <v>25</v>
      </c>
      <c r="D144" t="s">
        <v>26</v>
      </c>
      <c r="E144" t="s">
        <v>13</v>
      </c>
      <c r="F144" t="s">
        <v>28</v>
      </c>
      <c r="G144" t="s">
        <v>15</v>
      </c>
      <c r="K144" cm="1">
        <f t="array" ref="K144">_xlfn.SWITCH(LeadsData[[#This Row],[Funnel Stage Reached]],"Lead",1,"MQL",2,"SQL",3,"Customer",4)</f>
        <v>1</v>
      </c>
      <c r="L144" t="str">
        <f>TEXT(LeadsData[[#This Row],[Signup Date]],"mmm-yyyy")</f>
        <v>May-2024</v>
      </c>
      <c r="M144">
        <f>IF(LeadsData[[#This Row],[Stage Number]]&gt;=2,1,0)</f>
        <v>0</v>
      </c>
      <c r="N144" s="2">
        <f>IF(LeadsData[[#This Row],[Stage Number]]&gt;=3,1,0)</f>
        <v>0</v>
      </c>
      <c r="O144" s="2">
        <f>IF(LeadsData[[#This Row],[Stage Number]]&gt;=4,1,0)</f>
        <v>0</v>
      </c>
    </row>
    <row r="145" spans="1:15" x14ac:dyDescent="0.25">
      <c r="A145" t="s">
        <v>185</v>
      </c>
      <c r="B145" s="1">
        <v>45428</v>
      </c>
      <c r="C145" t="s">
        <v>36</v>
      </c>
      <c r="D145" t="s">
        <v>37</v>
      </c>
      <c r="E145" t="s">
        <v>21</v>
      </c>
      <c r="F145" t="s">
        <v>14</v>
      </c>
      <c r="G145" t="s">
        <v>23</v>
      </c>
      <c r="K145" cm="1">
        <f t="array" ref="K145">_xlfn.SWITCH(LeadsData[[#This Row],[Funnel Stage Reached]],"Lead",1,"MQL",2,"SQL",3,"Customer",4)</f>
        <v>2</v>
      </c>
      <c r="L145" t="str">
        <f>TEXT(LeadsData[[#This Row],[Signup Date]],"mmm-yyyy")</f>
        <v>May-2024</v>
      </c>
      <c r="M145">
        <f>IF(LeadsData[[#This Row],[Stage Number]]&gt;=2,1,0)</f>
        <v>1</v>
      </c>
      <c r="N145" s="2">
        <f>IF(LeadsData[[#This Row],[Stage Number]]&gt;=3,1,0)</f>
        <v>0</v>
      </c>
      <c r="O145" s="2">
        <f>IF(LeadsData[[#This Row],[Stage Number]]&gt;=4,1,0)</f>
        <v>0</v>
      </c>
    </row>
    <row r="146" spans="1:15" x14ac:dyDescent="0.25">
      <c r="A146" t="s">
        <v>186</v>
      </c>
      <c r="B146" s="1">
        <v>45419</v>
      </c>
      <c r="C146" t="s">
        <v>31</v>
      </c>
      <c r="D146" t="s">
        <v>32</v>
      </c>
      <c r="E146" t="s">
        <v>48</v>
      </c>
      <c r="F146" t="s">
        <v>22</v>
      </c>
      <c r="G146" t="s">
        <v>23</v>
      </c>
      <c r="K146" cm="1">
        <f t="array" ref="K146">_xlfn.SWITCH(LeadsData[[#This Row],[Funnel Stage Reached]],"Lead",1,"MQL",2,"SQL",3,"Customer",4)</f>
        <v>2</v>
      </c>
      <c r="L146" t="str">
        <f>TEXT(LeadsData[[#This Row],[Signup Date]],"mmm-yyyy")</f>
        <v>May-2024</v>
      </c>
      <c r="M146">
        <f>IF(LeadsData[[#This Row],[Stage Number]]&gt;=2,1,0)</f>
        <v>1</v>
      </c>
      <c r="N146" s="2">
        <f>IF(LeadsData[[#This Row],[Stage Number]]&gt;=3,1,0)</f>
        <v>0</v>
      </c>
      <c r="O146" s="2">
        <f>IF(LeadsData[[#This Row],[Stage Number]]&gt;=4,1,0)</f>
        <v>0</v>
      </c>
    </row>
    <row r="147" spans="1:15" x14ac:dyDescent="0.25">
      <c r="A147" t="s">
        <v>187</v>
      </c>
      <c r="B147" s="1">
        <v>45528</v>
      </c>
      <c r="C147" t="s">
        <v>46</v>
      </c>
      <c r="D147" t="s">
        <v>56</v>
      </c>
      <c r="E147" t="s">
        <v>13</v>
      </c>
      <c r="F147" t="s">
        <v>22</v>
      </c>
      <c r="G147" t="s">
        <v>15</v>
      </c>
      <c r="K147" cm="1">
        <f t="array" ref="K147">_xlfn.SWITCH(LeadsData[[#This Row],[Funnel Stage Reached]],"Lead",1,"MQL",2,"SQL",3,"Customer",4)</f>
        <v>1</v>
      </c>
      <c r="L147" t="str">
        <f>TEXT(LeadsData[[#This Row],[Signup Date]],"mmm-yyyy")</f>
        <v>Aug-2024</v>
      </c>
      <c r="M147">
        <f>IF(LeadsData[[#This Row],[Stage Number]]&gt;=2,1,0)</f>
        <v>0</v>
      </c>
      <c r="N147" s="2">
        <f>IF(LeadsData[[#This Row],[Stage Number]]&gt;=3,1,0)</f>
        <v>0</v>
      </c>
      <c r="O147" s="2">
        <f>IF(LeadsData[[#This Row],[Stage Number]]&gt;=4,1,0)</f>
        <v>0</v>
      </c>
    </row>
    <row r="148" spans="1:15" x14ac:dyDescent="0.25">
      <c r="A148" t="s">
        <v>188</v>
      </c>
      <c r="B148" s="1">
        <v>45567</v>
      </c>
      <c r="C148" t="s">
        <v>11</v>
      </c>
      <c r="D148" t="s">
        <v>79</v>
      </c>
      <c r="E148" t="s">
        <v>48</v>
      </c>
      <c r="F148" t="s">
        <v>28</v>
      </c>
      <c r="G148" t="s">
        <v>23</v>
      </c>
      <c r="K148" cm="1">
        <f t="array" ref="K148">_xlfn.SWITCH(LeadsData[[#This Row],[Funnel Stage Reached]],"Lead",1,"MQL",2,"SQL",3,"Customer",4)</f>
        <v>2</v>
      </c>
      <c r="L148" t="str">
        <f>TEXT(LeadsData[[#This Row],[Signup Date]],"mmm-yyyy")</f>
        <v>Oct-2024</v>
      </c>
      <c r="M148">
        <f>IF(LeadsData[[#This Row],[Stage Number]]&gt;=2,1,0)</f>
        <v>1</v>
      </c>
      <c r="N148" s="2">
        <f>IF(LeadsData[[#This Row],[Stage Number]]&gt;=3,1,0)</f>
        <v>0</v>
      </c>
      <c r="O148" s="2">
        <f>IF(LeadsData[[#This Row],[Stage Number]]&gt;=4,1,0)</f>
        <v>0</v>
      </c>
    </row>
    <row r="149" spans="1:15" x14ac:dyDescent="0.25">
      <c r="A149" t="s">
        <v>189</v>
      </c>
      <c r="B149" s="1">
        <v>45398</v>
      </c>
      <c r="C149" t="s">
        <v>11</v>
      </c>
      <c r="D149" t="s">
        <v>79</v>
      </c>
      <c r="E149" t="s">
        <v>21</v>
      </c>
      <c r="F149" t="s">
        <v>22</v>
      </c>
      <c r="G149" t="s">
        <v>29</v>
      </c>
      <c r="K149" cm="1">
        <f t="array" ref="K149">_xlfn.SWITCH(LeadsData[[#This Row],[Funnel Stage Reached]],"Lead",1,"MQL",2,"SQL",3,"Customer",4)</f>
        <v>3</v>
      </c>
      <c r="L149" t="str">
        <f>TEXT(LeadsData[[#This Row],[Signup Date]],"mmm-yyyy")</f>
        <v>Apr-2024</v>
      </c>
      <c r="M149">
        <f>IF(LeadsData[[#This Row],[Stage Number]]&gt;=2,1,0)</f>
        <v>1</v>
      </c>
      <c r="N149" s="2">
        <f>IF(LeadsData[[#This Row],[Stage Number]]&gt;=3,1,0)</f>
        <v>1</v>
      </c>
      <c r="O149" s="2">
        <f>IF(LeadsData[[#This Row],[Stage Number]]&gt;=4,1,0)</f>
        <v>0</v>
      </c>
    </row>
    <row r="150" spans="1:15" x14ac:dyDescent="0.25">
      <c r="A150" t="s">
        <v>190</v>
      </c>
      <c r="B150" s="1">
        <v>45546</v>
      </c>
      <c r="C150" t="s">
        <v>31</v>
      </c>
      <c r="D150" t="s">
        <v>34</v>
      </c>
      <c r="E150" t="s">
        <v>21</v>
      </c>
      <c r="F150" t="s">
        <v>14</v>
      </c>
      <c r="G150" t="s">
        <v>29</v>
      </c>
      <c r="K150" cm="1">
        <f t="array" ref="K150">_xlfn.SWITCH(LeadsData[[#This Row],[Funnel Stage Reached]],"Lead",1,"MQL",2,"SQL",3,"Customer",4)</f>
        <v>3</v>
      </c>
      <c r="L150" t="str">
        <f>TEXT(LeadsData[[#This Row],[Signup Date]],"mmm-yyyy")</f>
        <v>Sep-2024</v>
      </c>
      <c r="M150">
        <f>IF(LeadsData[[#This Row],[Stage Number]]&gt;=2,1,0)</f>
        <v>1</v>
      </c>
      <c r="N150" s="2">
        <f>IF(LeadsData[[#This Row],[Stage Number]]&gt;=3,1,0)</f>
        <v>1</v>
      </c>
      <c r="O150" s="2">
        <f>IF(LeadsData[[#This Row],[Stage Number]]&gt;=4,1,0)</f>
        <v>0</v>
      </c>
    </row>
    <row r="151" spans="1:15" x14ac:dyDescent="0.25">
      <c r="A151" t="s">
        <v>191</v>
      </c>
      <c r="B151" s="1">
        <v>45571</v>
      </c>
      <c r="C151" t="s">
        <v>17</v>
      </c>
      <c r="D151" t="s">
        <v>18</v>
      </c>
      <c r="E151" t="s">
        <v>48</v>
      </c>
      <c r="F151" t="s">
        <v>19</v>
      </c>
      <c r="G151" t="s">
        <v>15</v>
      </c>
      <c r="K151" cm="1">
        <f t="array" ref="K151">_xlfn.SWITCH(LeadsData[[#This Row],[Funnel Stage Reached]],"Lead",1,"MQL",2,"SQL",3,"Customer",4)</f>
        <v>1</v>
      </c>
      <c r="L151" t="str">
        <f>TEXT(LeadsData[[#This Row],[Signup Date]],"mmm-yyyy")</f>
        <v>Oct-2024</v>
      </c>
      <c r="M151">
        <f>IF(LeadsData[[#This Row],[Stage Number]]&gt;=2,1,0)</f>
        <v>0</v>
      </c>
      <c r="N151" s="2">
        <f>IF(LeadsData[[#This Row],[Stage Number]]&gt;=3,1,0)</f>
        <v>0</v>
      </c>
      <c r="O151" s="2">
        <f>IF(LeadsData[[#This Row],[Stage Number]]&gt;=4,1,0)</f>
        <v>0</v>
      </c>
    </row>
    <row r="152" spans="1:15" x14ac:dyDescent="0.25">
      <c r="A152" t="s">
        <v>192</v>
      </c>
      <c r="B152" s="1">
        <v>45608</v>
      </c>
      <c r="C152" t="s">
        <v>11</v>
      </c>
      <c r="D152" t="s">
        <v>12</v>
      </c>
      <c r="E152" t="s">
        <v>13</v>
      </c>
      <c r="F152" t="s">
        <v>22</v>
      </c>
      <c r="G152" t="s">
        <v>23</v>
      </c>
      <c r="K152" cm="1">
        <f t="array" ref="K152">_xlfn.SWITCH(LeadsData[[#This Row],[Funnel Stage Reached]],"Lead",1,"MQL",2,"SQL",3,"Customer",4)</f>
        <v>2</v>
      </c>
      <c r="L152" t="str">
        <f>TEXT(LeadsData[[#This Row],[Signup Date]],"mmm-yyyy")</f>
        <v>Nov-2024</v>
      </c>
      <c r="M152">
        <f>IF(LeadsData[[#This Row],[Stage Number]]&gt;=2,1,0)</f>
        <v>1</v>
      </c>
      <c r="N152" s="2">
        <f>IF(LeadsData[[#This Row],[Stage Number]]&gt;=3,1,0)</f>
        <v>0</v>
      </c>
      <c r="O152" s="2">
        <f>IF(LeadsData[[#This Row],[Stage Number]]&gt;=4,1,0)</f>
        <v>0</v>
      </c>
    </row>
    <row r="153" spans="1:15" x14ac:dyDescent="0.25">
      <c r="A153" t="s">
        <v>193</v>
      </c>
      <c r="B153" s="1">
        <v>45362</v>
      </c>
      <c r="C153" t="s">
        <v>46</v>
      </c>
      <c r="D153" t="s">
        <v>56</v>
      </c>
      <c r="E153" t="s">
        <v>13</v>
      </c>
      <c r="F153" t="s">
        <v>22</v>
      </c>
      <c r="G153" t="s">
        <v>15</v>
      </c>
      <c r="K153" cm="1">
        <f t="array" ref="K153">_xlfn.SWITCH(LeadsData[[#This Row],[Funnel Stage Reached]],"Lead",1,"MQL",2,"SQL",3,"Customer",4)</f>
        <v>1</v>
      </c>
      <c r="L153" t="str">
        <f>TEXT(LeadsData[[#This Row],[Signup Date]],"mmm-yyyy")</f>
        <v>Mar-2024</v>
      </c>
      <c r="M153">
        <f>IF(LeadsData[[#This Row],[Stage Number]]&gt;=2,1,0)</f>
        <v>0</v>
      </c>
      <c r="N153" s="2">
        <f>IF(LeadsData[[#This Row],[Stage Number]]&gt;=3,1,0)</f>
        <v>0</v>
      </c>
      <c r="O153" s="2">
        <f>IF(LeadsData[[#This Row],[Stage Number]]&gt;=4,1,0)</f>
        <v>0</v>
      </c>
    </row>
    <row r="154" spans="1:15" x14ac:dyDescent="0.25">
      <c r="A154" t="s">
        <v>194</v>
      </c>
      <c r="B154" s="1">
        <v>45359</v>
      </c>
      <c r="C154" t="s">
        <v>11</v>
      </c>
      <c r="D154" t="s">
        <v>79</v>
      </c>
      <c r="E154" t="s">
        <v>21</v>
      </c>
      <c r="F154" t="s">
        <v>14</v>
      </c>
      <c r="G154" t="s">
        <v>15</v>
      </c>
      <c r="K154" cm="1">
        <f t="array" ref="K154">_xlfn.SWITCH(LeadsData[[#This Row],[Funnel Stage Reached]],"Lead",1,"MQL",2,"SQL",3,"Customer",4)</f>
        <v>1</v>
      </c>
      <c r="L154" t="str">
        <f>TEXT(LeadsData[[#This Row],[Signup Date]],"mmm-yyyy")</f>
        <v>Mar-2024</v>
      </c>
      <c r="M154">
        <f>IF(LeadsData[[#This Row],[Stage Number]]&gt;=2,1,0)</f>
        <v>0</v>
      </c>
      <c r="N154" s="2">
        <f>IF(LeadsData[[#This Row],[Stage Number]]&gt;=3,1,0)</f>
        <v>0</v>
      </c>
      <c r="O154" s="2">
        <f>IF(LeadsData[[#This Row],[Stage Number]]&gt;=4,1,0)</f>
        <v>0</v>
      </c>
    </row>
    <row r="155" spans="1:15" x14ac:dyDescent="0.25">
      <c r="A155" t="s">
        <v>195</v>
      </c>
      <c r="B155" s="1">
        <v>45505</v>
      </c>
      <c r="C155" t="s">
        <v>17</v>
      </c>
      <c r="D155" t="s">
        <v>53</v>
      </c>
      <c r="E155" t="s">
        <v>21</v>
      </c>
      <c r="F155" t="s">
        <v>22</v>
      </c>
      <c r="G155" t="s">
        <v>23</v>
      </c>
      <c r="K155" cm="1">
        <f t="array" ref="K155">_xlfn.SWITCH(LeadsData[[#This Row],[Funnel Stage Reached]],"Lead",1,"MQL",2,"SQL",3,"Customer",4)</f>
        <v>2</v>
      </c>
      <c r="L155" t="str">
        <f>TEXT(LeadsData[[#This Row],[Signup Date]],"mmm-yyyy")</f>
        <v>Aug-2024</v>
      </c>
      <c r="M155">
        <f>IF(LeadsData[[#This Row],[Stage Number]]&gt;=2,1,0)</f>
        <v>1</v>
      </c>
      <c r="N155" s="2">
        <f>IF(LeadsData[[#This Row],[Stage Number]]&gt;=3,1,0)</f>
        <v>0</v>
      </c>
      <c r="O155" s="2">
        <f>IF(LeadsData[[#This Row],[Stage Number]]&gt;=4,1,0)</f>
        <v>0</v>
      </c>
    </row>
    <row r="156" spans="1:15" x14ac:dyDescent="0.25">
      <c r="A156" t="s">
        <v>196</v>
      </c>
      <c r="B156" s="1">
        <v>45604</v>
      </c>
      <c r="C156" t="s">
        <v>31</v>
      </c>
      <c r="D156" t="s">
        <v>34</v>
      </c>
      <c r="E156" t="s">
        <v>13</v>
      </c>
      <c r="F156" t="s">
        <v>28</v>
      </c>
      <c r="G156" t="s">
        <v>15</v>
      </c>
      <c r="K156" cm="1">
        <f t="array" ref="K156">_xlfn.SWITCH(LeadsData[[#This Row],[Funnel Stage Reached]],"Lead",1,"MQL",2,"SQL",3,"Customer",4)</f>
        <v>1</v>
      </c>
      <c r="L156" t="str">
        <f>TEXT(LeadsData[[#This Row],[Signup Date]],"mmm-yyyy")</f>
        <v>Nov-2024</v>
      </c>
      <c r="M156">
        <f>IF(LeadsData[[#This Row],[Stage Number]]&gt;=2,1,0)</f>
        <v>0</v>
      </c>
      <c r="N156" s="2">
        <f>IF(LeadsData[[#This Row],[Stage Number]]&gt;=3,1,0)</f>
        <v>0</v>
      </c>
      <c r="O156" s="2">
        <f>IF(LeadsData[[#This Row],[Stage Number]]&gt;=4,1,0)</f>
        <v>0</v>
      </c>
    </row>
    <row r="157" spans="1:15" x14ac:dyDescent="0.25">
      <c r="A157" t="s">
        <v>197</v>
      </c>
      <c r="B157" s="1">
        <v>45424</v>
      </c>
      <c r="C157" t="s">
        <v>31</v>
      </c>
      <c r="D157" t="s">
        <v>32</v>
      </c>
      <c r="E157" t="s">
        <v>13</v>
      </c>
      <c r="F157" t="s">
        <v>19</v>
      </c>
      <c r="G157" t="s">
        <v>42</v>
      </c>
      <c r="H157">
        <v>70</v>
      </c>
      <c r="I157" t="s">
        <v>87</v>
      </c>
      <c r="J157">
        <v>2957.21</v>
      </c>
      <c r="K157" cm="1">
        <f t="array" ref="K157">_xlfn.SWITCH(LeadsData[[#This Row],[Funnel Stage Reached]],"Lead",1,"MQL",2,"SQL",3,"Customer",4)</f>
        <v>4</v>
      </c>
      <c r="L157" t="str">
        <f>TEXT(LeadsData[[#This Row],[Signup Date]],"mmm-yyyy")</f>
        <v>May-2024</v>
      </c>
      <c r="M157">
        <f>IF(LeadsData[[#This Row],[Stage Number]]&gt;=2,1,0)</f>
        <v>1</v>
      </c>
      <c r="N157" s="2">
        <f>IF(LeadsData[[#This Row],[Stage Number]]&gt;=3,1,0)</f>
        <v>1</v>
      </c>
      <c r="O157" s="2">
        <f>IF(LeadsData[[#This Row],[Stage Number]]&gt;=4,1,0)</f>
        <v>1</v>
      </c>
    </row>
    <row r="158" spans="1:15" x14ac:dyDescent="0.25">
      <c r="A158" t="s">
        <v>198</v>
      </c>
      <c r="B158" s="1">
        <v>45588</v>
      </c>
      <c r="C158" t="s">
        <v>17</v>
      </c>
      <c r="D158" t="s">
        <v>18</v>
      </c>
      <c r="E158" t="s">
        <v>21</v>
      </c>
      <c r="F158" t="s">
        <v>28</v>
      </c>
      <c r="G158" t="s">
        <v>23</v>
      </c>
      <c r="K158" cm="1">
        <f t="array" ref="K158">_xlfn.SWITCH(LeadsData[[#This Row],[Funnel Stage Reached]],"Lead",1,"MQL",2,"SQL",3,"Customer",4)</f>
        <v>2</v>
      </c>
      <c r="L158" t="str">
        <f>TEXT(LeadsData[[#This Row],[Signup Date]],"mmm-yyyy")</f>
        <v>Oct-2024</v>
      </c>
      <c r="M158">
        <f>IF(LeadsData[[#This Row],[Stage Number]]&gt;=2,1,0)</f>
        <v>1</v>
      </c>
      <c r="N158" s="2">
        <f>IF(LeadsData[[#This Row],[Stage Number]]&gt;=3,1,0)</f>
        <v>0</v>
      </c>
      <c r="O158" s="2">
        <f>IF(LeadsData[[#This Row],[Stage Number]]&gt;=4,1,0)</f>
        <v>0</v>
      </c>
    </row>
    <row r="159" spans="1:15" x14ac:dyDescent="0.25">
      <c r="A159" t="s">
        <v>199</v>
      </c>
      <c r="B159" s="1">
        <v>45512</v>
      </c>
      <c r="C159" t="s">
        <v>25</v>
      </c>
      <c r="D159" t="s">
        <v>26</v>
      </c>
      <c r="E159" t="s">
        <v>21</v>
      </c>
      <c r="F159" t="s">
        <v>22</v>
      </c>
      <c r="G159" t="s">
        <v>23</v>
      </c>
      <c r="K159" cm="1">
        <f t="array" ref="K159">_xlfn.SWITCH(LeadsData[[#This Row],[Funnel Stage Reached]],"Lead",1,"MQL",2,"SQL",3,"Customer",4)</f>
        <v>2</v>
      </c>
      <c r="L159" t="str">
        <f>TEXT(LeadsData[[#This Row],[Signup Date]],"mmm-yyyy")</f>
        <v>Aug-2024</v>
      </c>
      <c r="M159">
        <f>IF(LeadsData[[#This Row],[Stage Number]]&gt;=2,1,0)</f>
        <v>1</v>
      </c>
      <c r="N159" s="2">
        <f>IF(LeadsData[[#This Row],[Stage Number]]&gt;=3,1,0)</f>
        <v>0</v>
      </c>
      <c r="O159" s="2">
        <f>IF(LeadsData[[#This Row],[Stage Number]]&gt;=4,1,0)</f>
        <v>0</v>
      </c>
    </row>
    <row r="160" spans="1:15" x14ac:dyDescent="0.25">
      <c r="A160" t="s">
        <v>200</v>
      </c>
      <c r="B160" s="1">
        <v>45474</v>
      </c>
      <c r="C160" t="s">
        <v>36</v>
      </c>
      <c r="D160" t="s">
        <v>50</v>
      </c>
      <c r="E160" t="s">
        <v>13</v>
      </c>
      <c r="F160" t="s">
        <v>19</v>
      </c>
      <c r="G160" t="s">
        <v>29</v>
      </c>
      <c r="K160" cm="1">
        <f t="array" ref="K160">_xlfn.SWITCH(LeadsData[[#This Row],[Funnel Stage Reached]],"Lead",1,"MQL",2,"SQL",3,"Customer",4)</f>
        <v>3</v>
      </c>
      <c r="L160" t="str">
        <f>TEXT(LeadsData[[#This Row],[Signup Date]],"mmm-yyyy")</f>
        <v>Jul-2024</v>
      </c>
      <c r="M160">
        <f>IF(LeadsData[[#This Row],[Stage Number]]&gt;=2,1,0)</f>
        <v>1</v>
      </c>
      <c r="N160" s="2">
        <f>IF(LeadsData[[#This Row],[Stage Number]]&gt;=3,1,0)</f>
        <v>1</v>
      </c>
      <c r="O160" s="2">
        <f>IF(LeadsData[[#This Row],[Stage Number]]&gt;=4,1,0)</f>
        <v>0</v>
      </c>
    </row>
    <row r="161" spans="1:15" x14ac:dyDescent="0.25">
      <c r="A161" t="s">
        <v>201</v>
      </c>
      <c r="B161" s="1">
        <v>45384</v>
      </c>
      <c r="C161" t="s">
        <v>36</v>
      </c>
      <c r="D161" t="s">
        <v>37</v>
      </c>
      <c r="E161" t="s">
        <v>13</v>
      </c>
      <c r="F161" t="s">
        <v>14</v>
      </c>
      <c r="G161" t="s">
        <v>29</v>
      </c>
      <c r="K161" cm="1">
        <f t="array" ref="K161">_xlfn.SWITCH(LeadsData[[#This Row],[Funnel Stage Reached]],"Lead",1,"MQL",2,"SQL",3,"Customer",4)</f>
        <v>3</v>
      </c>
      <c r="L161" t="str">
        <f>TEXT(LeadsData[[#This Row],[Signup Date]],"mmm-yyyy")</f>
        <v>Apr-2024</v>
      </c>
      <c r="M161">
        <f>IF(LeadsData[[#This Row],[Stage Number]]&gt;=2,1,0)</f>
        <v>1</v>
      </c>
      <c r="N161" s="2">
        <f>IF(LeadsData[[#This Row],[Stage Number]]&gt;=3,1,0)</f>
        <v>1</v>
      </c>
      <c r="O161" s="2">
        <f>IF(LeadsData[[#This Row],[Stage Number]]&gt;=4,1,0)</f>
        <v>0</v>
      </c>
    </row>
    <row r="162" spans="1:15" x14ac:dyDescent="0.25">
      <c r="A162" t="s">
        <v>202</v>
      </c>
      <c r="B162" s="1">
        <v>45514</v>
      </c>
      <c r="C162" t="s">
        <v>36</v>
      </c>
      <c r="D162" t="s">
        <v>50</v>
      </c>
      <c r="E162" t="s">
        <v>13</v>
      </c>
      <c r="F162" t="s">
        <v>22</v>
      </c>
      <c r="G162" t="s">
        <v>15</v>
      </c>
      <c r="K162" cm="1">
        <f t="array" ref="K162">_xlfn.SWITCH(LeadsData[[#This Row],[Funnel Stage Reached]],"Lead",1,"MQL",2,"SQL",3,"Customer",4)</f>
        <v>1</v>
      </c>
      <c r="L162" t="str">
        <f>TEXT(LeadsData[[#This Row],[Signup Date]],"mmm-yyyy")</f>
        <v>Aug-2024</v>
      </c>
      <c r="M162">
        <f>IF(LeadsData[[#This Row],[Stage Number]]&gt;=2,1,0)</f>
        <v>0</v>
      </c>
      <c r="N162" s="2">
        <f>IF(LeadsData[[#This Row],[Stage Number]]&gt;=3,1,0)</f>
        <v>0</v>
      </c>
      <c r="O162" s="2">
        <f>IF(LeadsData[[#This Row],[Stage Number]]&gt;=4,1,0)</f>
        <v>0</v>
      </c>
    </row>
    <row r="163" spans="1:15" x14ac:dyDescent="0.25">
      <c r="A163" t="s">
        <v>203</v>
      </c>
      <c r="B163" s="1">
        <v>45325</v>
      </c>
      <c r="C163" t="s">
        <v>46</v>
      </c>
      <c r="D163" t="s">
        <v>56</v>
      </c>
      <c r="E163" t="s">
        <v>13</v>
      </c>
      <c r="F163" t="s">
        <v>19</v>
      </c>
      <c r="G163" t="s">
        <v>42</v>
      </c>
      <c r="H163">
        <v>20</v>
      </c>
      <c r="I163" t="s">
        <v>87</v>
      </c>
      <c r="J163">
        <v>1668.52</v>
      </c>
      <c r="K163" cm="1">
        <f t="array" ref="K163">_xlfn.SWITCH(LeadsData[[#This Row],[Funnel Stage Reached]],"Lead",1,"MQL",2,"SQL",3,"Customer",4)</f>
        <v>4</v>
      </c>
      <c r="L163" t="str">
        <f>TEXT(LeadsData[[#This Row],[Signup Date]],"mmm-yyyy")</f>
        <v>Feb-2024</v>
      </c>
      <c r="M163">
        <f>IF(LeadsData[[#This Row],[Stage Number]]&gt;=2,1,0)</f>
        <v>1</v>
      </c>
      <c r="N163" s="2">
        <f>IF(LeadsData[[#This Row],[Stage Number]]&gt;=3,1,0)</f>
        <v>1</v>
      </c>
      <c r="O163" s="2">
        <f>IF(LeadsData[[#This Row],[Stage Number]]&gt;=4,1,0)</f>
        <v>1</v>
      </c>
    </row>
    <row r="164" spans="1:15" x14ac:dyDescent="0.25">
      <c r="A164" t="s">
        <v>204</v>
      </c>
      <c r="B164" s="1">
        <v>45447</v>
      </c>
      <c r="C164" t="s">
        <v>11</v>
      </c>
      <c r="D164" t="s">
        <v>12</v>
      </c>
      <c r="E164" t="s">
        <v>21</v>
      </c>
      <c r="F164" t="s">
        <v>28</v>
      </c>
      <c r="G164" t="s">
        <v>23</v>
      </c>
      <c r="K164" cm="1">
        <f t="array" ref="K164">_xlfn.SWITCH(LeadsData[[#This Row],[Funnel Stage Reached]],"Lead",1,"MQL",2,"SQL",3,"Customer",4)</f>
        <v>2</v>
      </c>
      <c r="L164" t="str">
        <f>TEXT(LeadsData[[#This Row],[Signup Date]],"mmm-yyyy")</f>
        <v>Jun-2024</v>
      </c>
      <c r="M164">
        <f>IF(LeadsData[[#This Row],[Stage Number]]&gt;=2,1,0)</f>
        <v>1</v>
      </c>
      <c r="N164" s="2">
        <f>IF(LeadsData[[#This Row],[Stage Number]]&gt;=3,1,0)</f>
        <v>0</v>
      </c>
      <c r="O164" s="2">
        <f>IF(LeadsData[[#This Row],[Stage Number]]&gt;=4,1,0)</f>
        <v>0</v>
      </c>
    </row>
    <row r="165" spans="1:15" x14ac:dyDescent="0.25">
      <c r="A165" t="s">
        <v>205</v>
      </c>
      <c r="B165" s="1">
        <v>45631</v>
      </c>
      <c r="C165" t="s">
        <v>11</v>
      </c>
      <c r="D165" t="s">
        <v>79</v>
      </c>
      <c r="E165" t="s">
        <v>21</v>
      </c>
      <c r="F165" t="s">
        <v>19</v>
      </c>
      <c r="G165" t="s">
        <v>15</v>
      </c>
      <c r="K165" cm="1">
        <f t="array" ref="K165">_xlfn.SWITCH(LeadsData[[#This Row],[Funnel Stage Reached]],"Lead",1,"MQL",2,"SQL",3,"Customer",4)</f>
        <v>1</v>
      </c>
      <c r="L165" t="str">
        <f>TEXT(LeadsData[[#This Row],[Signup Date]],"mmm-yyyy")</f>
        <v>Dec-2024</v>
      </c>
      <c r="M165">
        <f>IF(LeadsData[[#This Row],[Stage Number]]&gt;=2,1,0)</f>
        <v>0</v>
      </c>
      <c r="N165" s="2">
        <f>IF(LeadsData[[#This Row],[Stage Number]]&gt;=3,1,0)</f>
        <v>0</v>
      </c>
      <c r="O165" s="2">
        <f>IF(LeadsData[[#This Row],[Stage Number]]&gt;=4,1,0)</f>
        <v>0</v>
      </c>
    </row>
    <row r="166" spans="1:15" x14ac:dyDescent="0.25">
      <c r="A166" t="s">
        <v>206</v>
      </c>
      <c r="B166" s="1">
        <v>45611</v>
      </c>
      <c r="C166" t="s">
        <v>36</v>
      </c>
      <c r="D166" t="s">
        <v>50</v>
      </c>
      <c r="E166" t="s">
        <v>13</v>
      </c>
      <c r="F166" t="s">
        <v>14</v>
      </c>
      <c r="G166" t="s">
        <v>15</v>
      </c>
      <c r="K166" cm="1">
        <f t="array" ref="K166">_xlfn.SWITCH(LeadsData[[#This Row],[Funnel Stage Reached]],"Lead",1,"MQL",2,"SQL",3,"Customer",4)</f>
        <v>1</v>
      </c>
      <c r="L166" t="str">
        <f>TEXT(LeadsData[[#This Row],[Signup Date]],"mmm-yyyy")</f>
        <v>Nov-2024</v>
      </c>
      <c r="M166">
        <f>IF(LeadsData[[#This Row],[Stage Number]]&gt;=2,1,0)</f>
        <v>0</v>
      </c>
      <c r="N166" s="2">
        <f>IF(LeadsData[[#This Row],[Stage Number]]&gt;=3,1,0)</f>
        <v>0</v>
      </c>
      <c r="O166" s="2">
        <f>IF(LeadsData[[#This Row],[Stage Number]]&gt;=4,1,0)</f>
        <v>0</v>
      </c>
    </row>
    <row r="167" spans="1:15" x14ac:dyDescent="0.25">
      <c r="A167" t="s">
        <v>207</v>
      </c>
      <c r="B167" s="1">
        <v>45420</v>
      </c>
      <c r="C167" t="s">
        <v>17</v>
      </c>
      <c r="D167" t="s">
        <v>18</v>
      </c>
      <c r="E167" t="s">
        <v>21</v>
      </c>
      <c r="F167" t="s">
        <v>19</v>
      </c>
      <c r="G167" t="s">
        <v>15</v>
      </c>
      <c r="K167" cm="1">
        <f t="array" ref="K167">_xlfn.SWITCH(LeadsData[[#This Row],[Funnel Stage Reached]],"Lead",1,"MQL",2,"SQL",3,"Customer",4)</f>
        <v>1</v>
      </c>
      <c r="L167" t="str">
        <f>TEXT(LeadsData[[#This Row],[Signup Date]],"mmm-yyyy")</f>
        <v>May-2024</v>
      </c>
      <c r="M167">
        <f>IF(LeadsData[[#This Row],[Stage Number]]&gt;=2,1,0)</f>
        <v>0</v>
      </c>
      <c r="N167" s="2">
        <f>IF(LeadsData[[#This Row],[Stage Number]]&gt;=3,1,0)</f>
        <v>0</v>
      </c>
      <c r="O167" s="2">
        <f>IF(LeadsData[[#This Row],[Stage Number]]&gt;=4,1,0)</f>
        <v>0</v>
      </c>
    </row>
    <row r="168" spans="1:15" x14ac:dyDescent="0.25">
      <c r="A168" t="s">
        <v>208</v>
      </c>
      <c r="B168" s="1">
        <v>45369</v>
      </c>
      <c r="C168" t="s">
        <v>17</v>
      </c>
      <c r="D168" t="s">
        <v>53</v>
      </c>
      <c r="E168" t="s">
        <v>13</v>
      </c>
      <c r="F168" t="s">
        <v>14</v>
      </c>
      <c r="G168" t="s">
        <v>15</v>
      </c>
      <c r="K168" cm="1">
        <f t="array" ref="K168">_xlfn.SWITCH(LeadsData[[#This Row],[Funnel Stage Reached]],"Lead",1,"MQL",2,"SQL",3,"Customer",4)</f>
        <v>1</v>
      </c>
      <c r="L168" t="str">
        <f>TEXT(LeadsData[[#This Row],[Signup Date]],"mmm-yyyy")</f>
        <v>Mar-2024</v>
      </c>
      <c r="M168">
        <f>IF(LeadsData[[#This Row],[Stage Number]]&gt;=2,1,0)</f>
        <v>0</v>
      </c>
      <c r="N168" s="2">
        <f>IF(LeadsData[[#This Row],[Stage Number]]&gt;=3,1,0)</f>
        <v>0</v>
      </c>
      <c r="O168" s="2">
        <f>IF(LeadsData[[#This Row],[Stage Number]]&gt;=4,1,0)</f>
        <v>0</v>
      </c>
    </row>
    <row r="169" spans="1:15" x14ac:dyDescent="0.25">
      <c r="A169" t="s">
        <v>209</v>
      </c>
      <c r="B169" s="1">
        <v>45653</v>
      </c>
      <c r="C169" t="s">
        <v>31</v>
      </c>
      <c r="D169" t="s">
        <v>32</v>
      </c>
      <c r="E169" t="s">
        <v>21</v>
      </c>
      <c r="F169" t="s">
        <v>19</v>
      </c>
      <c r="G169" t="s">
        <v>23</v>
      </c>
      <c r="K169" cm="1">
        <f t="array" ref="K169">_xlfn.SWITCH(LeadsData[[#This Row],[Funnel Stage Reached]],"Lead",1,"MQL",2,"SQL",3,"Customer",4)</f>
        <v>2</v>
      </c>
      <c r="L169" t="str">
        <f>TEXT(LeadsData[[#This Row],[Signup Date]],"mmm-yyyy")</f>
        <v>Dec-2024</v>
      </c>
      <c r="M169">
        <f>IF(LeadsData[[#This Row],[Stage Number]]&gt;=2,1,0)</f>
        <v>1</v>
      </c>
      <c r="N169" s="2">
        <f>IF(LeadsData[[#This Row],[Stage Number]]&gt;=3,1,0)</f>
        <v>0</v>
      </c>
      <c r="O169" s="2">
        <f>IF(LeadsData[[#This Row],[Stage Number]]&gt;=4,1,0)</f>
        <v>0</v>
      </c>
    </row>
    <row r="170" spans="1:15" x14ac:dyDescent="0.25">
      <c r="A170" t="s">
        <v>210</v>
      </c>
      <c r="B170" s="1">
        <v>45536</v>
      </c>
      <c r="C170" t="s">
        <v>25</v>
      </c>
      <c r="D170" t="s">
        <v>26</v>
      </c>
      <c r="E170" t="s">
        <v>13</v>
      </c>
      <c r="F170" t="s">
        <v>19</v>
      </c>
      <c r="G170" t="s">
        <v>23</v>
      </c>
      <c r="K170" cm="1">
        <f t="array" ref="K170">_xlfn.SWITCH(LeadsData[[#This Row],[Funnel Stage Reached]],"Lead",1,"MQL",2,"SQL",3,"Customer",4)</f>
        <v>2</v>
      </c>
      <c r="L170" t="str">
        <f>TEXT(LeadsData[[#This Row],[Signup Date]],"mmm-yyyy")</f>
        <v>Sep-2024</v>
      </c>
      <c r="M170">
        <f>IF(LeadsData[[#This Row],[Stage Number]]&gt;=2,1,0)</f>
        <v>1</v>
      </c>
      <c r="N170" s="2">
        <f>IF(LeadsData[[#This Row],[Stage Number]]&gt;=3,1,0)</f>
        <v>0</v>
      </c>
      <c r="O170" s="2">
        <f>IF(LeadsData[[#This Row],[Stage Number]]&gt;=4,1,0)</f>
        <v>0</v>
      </c>
    </row>
    <row r="171" spans="1:15" x14ac:dyDescent="0.25">
      <c r="A171" t="s">
        <v>211</v>
      </c>
      <c r="B171" s="1">
        <v>45445</v>
      </c>
      <c r="C171" t="s">
        <v>25</v>
      </c>
      <c r="D171" t="s">
        <v>26</v>
      </c>
      <c r="E171" t="s">
        <v>21</v>
      </c>
      <c r="F171" t="s">
        <v>22</v>
      </c>
      <c r="G171" t="s">
        <v>29</v>
      </c>
      <c r="K171" cm="1">
        <f t="array" ref="K171">_xlfn.SWITCH(LeadsData[[#This Row],[Funnel Stage Reached]],"Lead",1,"MQL",2,"SQL",3,"Customer",4)</f>
        <v>3</v>
      </c>
      <c r="L171" t="str">
        <f>TEXT(LeadsData[[#This Row],[Signup Date]],"mmm-yyyy")</f>
        <v>Jun-2024</v>
      </c>
      <c r="M171">
        <f>IF(LeadsData[[#This Row],[Stage Number]]&gt;=2,1,0)</f>
        <v>1</v>
      </c>
      <c r="N171" s="2">
        <f>IF(LeadsData[[#This Row],[Stage Number]]&gt;=3,1,0)</f>
        <v>1</v>
      </c>
      <c r="O171" s="2">
        <f>IF(LeadsData[[#This Row],[Stage Number]]&gt;=4,1,0)</f>
        <v>0</v>
      </c>
    </row>
    <row r="172" spans="1:15" x14ac:dyDescent="0.25">
      <c r="A172" t="s">
        <v>212</v>
      </c>
      <c r="B172" s="1">
        <v>45601</v>
      </c>
      <c r="C172" t="s">
        <v>25</v>
      </c>
      <c r="D172" t="s">
        <v>26</v>
      </c>
      <c r="E172" t="s">
        <v>13</v>
      </c>
      <c r="F172" t="s">
        <v>22</v>
      </c>
      <c r="G172" t="s">
        <v>29</v>
      </c>
      <c r="K172" cm="1">
        <f t="array" ref="K172">_xlfn.SWITCH(LeadsData[[#This Row],[Funnel Stage Reached]],"Lead",1,"MQL",2,"SQL",3,"Customer",4)</f>
        <v>3</v>
      </c>
      <c r="L172" t="str">
        <f>TEXT(LeadsData[[#This Row],[Signup Date]],"mmm-yyyy")</f>
        <v>Nov-2024</v>
      </c>
      <c r="M172">
        <f>IF(LeadsData[[#This Row],[Stage Number]]&gt;=2,1,0)</f>
        <v>1</v>
      </c>
      <c r="N172" s="2">
        <f>IF(LeadsData[[#This Row],[Stage Number]]&gt;=3,1,0)</f>
        <v>1</v>
      </c>
      <c r="O172" s="2">
        <f>IF(LeadsData[[#This Row],[Stage Number]]&gt;=4,1,0)</f>
        <v>0</v>
      </c>
    </row>
    <row r="173" spans="1:15" x14ac:dyDescent="0.25">
      <c r="A173" t="s">
        <v>213</v>
      </c>
      <c r="B173" s="1">
        <v>45476</v>
      </c>
      <c r="C173" t="s">
        <v>25</v>
      </c>
      <c r="D173" t="s">
        <v>26</v>
      </c>
      <c r="E173" t="s">
        <v>21</v>
      </c>
      <c r="F173" t="s">
        <v>14</v>
      </c>
      <c r="G173" t="s">
        <v>23</v>
      </c>
      <c r="K173" cm="1">
        <f t="array" ref="K173">_xlfn.SWITCH(LeadsData[[#This Row],[Funnel Stage Reached]],"Lead",1,"MQL",2,"SQL",3,"Customer",4)</f>
        <v>2</v>
      </c>
      <c r="L173" t="str">
        <f>TEXT(LeadsData[[#This Row],[Signup Date]],"mmm-yyyy")</f>
        <v>Jul-2024</v>
      </c>
      <c r="M173">
        <f>IF(LeadsData[[#This Row],[Stage Number]]&gt;=2,1,0)</f>
        <v>1</v>
      </c>
      <c r="N173" s="2">
        <f>IF(LeadsData[[#This Row],[Stage Number]]&gt;=3,1,0)</f>
        <v>0</v>
      </c>
      <c r="O173" s="2">
        <f>IF(LeadsData[[#This Row],[Stage Number]]&gt;=4,1,0)</f>
        <v>0</v>
      </c>
    </row>
    <row r="174" spans="1:15" x14ac:dyDescent="0.25">
      <c r="A174" t="s">
        <v>214</v>
      </c>
      <c r="B174" s="1">
        <v>45434</v>
      </c>
      <c r="C174" t="s">
        <v>25</v>
      </c>
      <c r="D174" t="s">
        <v>26</v>
      </c>
      <c r="E174" t="s">
        <v>21</v>
      </c>
      <c r="F174" t="s">
        <v>14</v>
      </c>
      <c r="G174" t="s">
        <v>23</v>
      </c>
      <c r="K174" cm="1">
        <f t="array" ref="K174">_xlfn.SWITCH(LeadsData[[#This Row],[Funnel Stage Reached]],"Lead",1,"MQL",2,"SQL",3,"Customer",4)</f>
        <v>2</v>
      </c>
      <c r="L174" t="str">
        <f>TEXT(LeadsData[[#This Row],[Signup Date]],"mmm-yyyy")</f>
        <v>May-2024</v>
      </c>
      <c r="M174">
        <f>IF(LeadsData[[#This Row],[Stage Number]]&gt;=2,1,0)</f>
        <v>1</v>
      </c>
      <c r="N174" s="2">
        <f>IF(LeadsData[[#This Row],[Stage Number]]&gt;=3,1,0)</f>
        <v>0</v>
      </c>
      <c r="O174" s="2">
        <f>IF(LeadsData[[#This Row],[Stage Number]]&gt;=4,1,0)</f>
        <v>0</v>
      </c>
    </row>
    <row r="175" spans="1:15" x14ac:dyDescent="0.25">
      <c r="A175" t="s">
        <v>215</v>
      </c>
      <c r="B175" s="1">
        <v>45532</v>
      </c>
      <c r="C175" t="s">
        <v>17</v>
      </c>
      <c r="D175" t="s">
        <v>18</v>
      </c>
      <c r="E175" t="s">
        <v>13</v>
      </c>
      <c r="F175" t="s">
        <v>14</v>
      </c>
      <c r="G175" t="s">
        <v>15</v>
      </c>
      <c r="K175" cm="1">
        <f t="array" ref="K175">_xlfn.SWITCH(LeadsData[[#This Row],[Funnel Stage Reached]],"Lead",1,"MQL",2,"SQL",3,"Customer",4)</f>
        <v>1</v>
      </c>
      <c r="L175" t="str">
        <f>TEXT(LeadsData[[#This Row],[Signup Date]],"mmm-yyyy")</f>
        <v>Aug-2024</v>
      </c>
      <c r="M175">
        <f>IF(LeadsData[[#This Row],[Stage Number]]&gt;=2,1,0)</f>
        <v>0</v>
      </c>
      <c r="N175" s="2">
        <f>IF(LeadsData[[#This Row],[Stage Number]]&gt;=3,1,0)</f>
        <v>0</v>
      </c>
      <c r="O175" s="2">
        <f>IF(LeadsData[[#This Row],[Stage Number]]&gt;=4,1,0)</f>
        <v>0</v>
      </c>
    </row>
    <row r="176" spans="1:15" x14ac:dyDescent="0.25">
      <c r="A176" t="s">
        <v>216</v>
      </c>
      <c r="B176" s="1">
        <v>45599</v>
      </c>
      <c r="C176" t="s">
        <v>31</v>
      </c>
      <c r="D176" t="s">
        <v>32</v>
      </c>
      <c r="E176" t="s">
        <v>13</v>
      </c>
      <c r="F176" t="s">
        <v>22</v>
      </c>
      <c r="G176" t="s">
        <v>29</v>
      </c>
      <c r="K176" cm="1">
        <f t="array" ref="K176">_xlfn.SWITCH(LeadsData[[#This Row],[Funnel Stage Reached]],"Lead",1,"MQL",2,"SQL",3,"Customer",4)</f>
        <v>3</v>
      </c>
      <c r="L176" t="str">
        <f>TEXT(LeadsData[[#This Row],[Signup Date]],"mmm-yyyy")</f>
        <v>Nov-2024</v>
      </c>
      <c r="M176">
        <f>IF(LeadsData[[#This Row],[Stage Number]]&gt;=2,1,0)</f>
        <v>1</v>
      </c>
      <c r="N176" s="2">
        <f>IF(LeadsData[[#This Row],[Stage Number]]&gt;=3,1,0)</f>
        <v>1</v>
      </c>
      <c r="O176" s="2">
        <f>IF(LeadsData[[#This Row],[Stage Number]]&gt;=4,1,0)</f>
        <v>0</v>
      </c>
    </row>
    <row r="177" spans="1:15" x14ac:dyDescent="0.25">
      <c r="A177" t="s">
        <v>217</v>
      </c>
      <c r="B177" s="1">
        <v>45552</v>
      </c>
      <c r="C177" t="s">
        <v>11</v>
      </c>
      <c r="D177" t="s">
        <v>12</v>
      </c>
      <c r="E177" t="s">
        <v>13</v>
      </c>
      <c r="F177" t="s">
        <v>19</v>
      </c>
      <c r="G177" t="s">
        <v>23</v>
      </c>
      <c r="K177" cm="1">
        <f t="array" ref="K177">_xlfn.SWITCH(LeadsData[[#This Row],[Funnel Stage Reached]],"Lead",1,"MQL",2,"SQL",3,"Customer",4)</f>
        <v>2</v>
      </c>
      <c r="L177" t="str">
        <f>TEXT(LeadsData[[#This Row],[Signup Date]],"mmm-yyyy")</f>
        <v>Sep-2024</v>
      </c>
      <c r="M177">
        <f>IF(LeadsData[[#This Row],[Stage Number]]&gt;=2,1,0)</f>
        <v>1</v>
      </c>
      <c r="N177" s="2">
        <f>IF(LeadsData[[#This Row],[Stage Number]]&gt;=3,1,0)</f>
        <v>0</v>
      </c>
      <c r="O177" s="2">
        <f>IF(LeadsData[[#This Row],[Stage Number]]&gt;=4,1,0)</f>
        <v>0</v>
      </c>
    </row>
    <row r="178" spans="1:15" x14ac:dyDescent="0.25">
      <c r="A178" t="s">
        <v>218</v>
      </c>
      <c r="B178" s="1">
        <v>45590</v>
      </c>
      <c r="C178" t="s">
        <v>11</v>
      </c>
      <c r="D178" t="s">
        <v>12</v>
      </c>
      <c r="E178" t="s">
        <v>21</v>
      </c>
      <c r="F178" t="s">
        <v>19</v>
      </c>
      <c r="G178" t="s">
        <v>23</v>
      </c>
      <c r="K178" cm="1">
        <f t="array" ref="K178">_xlfn.SWITCH(LeadsData[[#This Row],[Funnel Stage Reached]],"Lead",1,"MQL",2,"SQL",3,"Customer",4)</f>
        <v>2</v>
      </c>
      <c r="L178" t="str">
        <f>TEXT(LeadsData[[#This Row],[Signup Date]],"mmm-yyyy")</f>
        <v>Oct-2024</v>
      </c>
      <c r="M178">
        <f>IF(LeadsData[[#This Row],[Stage Number]]&gt;=2,1,0)</f>
        <v>1</v>
      </c>
      <c r="N178" s="2">
        <f>IF(LeadsData[[#This Row],[Stage Number]]&gt;=3,1,0)</f>
        <v>0</v>
      </c>
      <c r="O178" s="2">
        <f>IF(LeadsData[[#This Row],[Stage Number]]&gt;=4,1,0)</f>
        <v>0</v>
      </c>
    </row>
    <row r="179" spans="1:15" x14ac:dyDescent="0.25">
      <c r="A179" t="s">
        <v>219</v>
      </c>
      <c r="B179" s="1">
        <v>45560</v>
      </c>
      <c r="C179" t="s">
        <v>11</v>
      </c>
      <c r="D179" t="s">
        <v>68</v>
      </c>
      <c r="E179" t="s">
        <v>13</v>
      </c>
      <c r="F179" t="s">
        <v>19</v>
      </c>
      <c r="G179" t="s">
        <v>15</v>
      </c>
      <c r="K179" cm="1">
        <f t="array" ref="K179">_xlfn.SWITCH(LeadsData[[#This Row],[Funnel Stage Reached]],"Lead",1,"MQL",2,"SQL",3,"Customer",4)</f>
        <v>1</v>
      </c>
      <c r="L179" t="str">
        <f>TEXT(LeadsData[[#This Row],[Signup Date]],"mmm-yyyy")</f>
        <v>Sep-2024</v>
      </c>
      <c r="M179">
        <f>IF(LeadsData[[#This Row],[Stage Number]]&gt;=2,1,0)</f>
        <v>0</v>
      </c>
      <c r="N179" s="2">
        <f>IF(LeadsData[[#This Row],[Stage Number]]&gt;=3,1,0)</f>
        <v>0</v>
      </c>
      <c r="O179" s="2">
        <f>IF(LeadsData[[#This Row],[Stage Number]]&gt;=4,1,0)</f>
        <v>0</v>
      </c>
    </row>
    <row r="180" spans="1:15" x14ac:dyDescent="0.25">
      <c r="A180" t="s">
        <v>220</v>
      </c>
      <c r="B180" s="1">
        <v>45419</v>
      </c>
      <c r="C180" t="s">
        <v>25</v>
      </c>
      <c r="D180" t="s">
        <v>26</v>
      </c>
      <c r="E180" t="s">
        <v>13</v>
      </c>
      <c r="F180" t="s">
        <v>28</v>
      </c>
      <c r="G180" t="s">
        <v>29</v>
      </c>
      <c r="K180" cm="1">
        <f t="array" ref="K180">_xlfn.SWITCH(LeadsData[[#This Row],[Funnel Stage Reached]],"Lead",1,"MQL",2,"SQL",3,"Customer",4)</f>
        <v>3</v>
      </c>
      <c r="L180" t="str">
        <f>TEXT(LeadsData[[#This Row],[Signup Date]],"mmm-yyyy")</f>
        <v>May-2024</v>
      </c>
      <c r="M180">
        <f>IF(LeadsData[[#This Row],[Stage Number]]&gt;=2,1,0)</f>
        <v>1</v>
      </c>
      <c r="N180" s="2">
        <f>IF(LeadsData[[#This Row],[Stage Number]]&gt;=3,1,0)</f>
        <v>1</v>
      </c>
      <c r="O180" s="2">
        <f>IF(LeadsData[[#This Row],[Stage Number]]&gt;=4,1,0)</f>
        <v>0</v>
      </c>
    </row>
    <row r="181" spans="1:15" x14ac:dyDescent="0.25">
      <c r="A181" t="s">
        <v>221</v>
      </c>
      <c r="B181" s="1">
        <v>45639</v>
      </c>
      <c r="C181" t="s">
        <v>36</v>
      </c>
      <c r="D181" t="s">
        <v>50</v>
      </c>
      <c r="E181" t="s">
        <v>13</v>
      </c>
      <c r="F181" t="s">
        <v>14</v>
      </c>
      <c r="G181" t="s">
        <v>23</v>
      </c>
      <c r="K181" cm="1">
        <f t="array" ref="K181">_xlfn.SWITCH(LeadsData[[#This Row],[Funnel Stage Reached]],"Lead",1,"MQL",2,"SQL",3,"Customer",4)</f>
        <v>2</v>
      </c>
      <c r="L181" t="str">
        <f>TEXT(LeadsData[[#This Row],[Signup Date]],"mmm-yyyy")</f>
        <v>Dec-2024</v>
      </c>
      <c r="M181">
        <f>IF(LeadsData[[#This Row],[Stage Number]]&gt;=2,1,0)</f>
        <v>1</v>
      </c>
      <c r="N181" s="2">
        <f>IF(LeadsData[[#This Row],[Stage Number]]&gt;=3,1,0)</f>
        <v>0</v>
      </c>
      <c r="O181" s="2">
        <f>IF(LeadsData[[#This Row],[Stage Number]]&gt;=4,1,0)</f>
        <v>0</v>
      </c>
    </row>
    <row r="182" spans="1:15" x14ac:dyDescent="0.25">
      <c r="A182" t="s">
        <v>222</v>
      </c>
      <c r="B182" s="1">
        <v>45530</v>
      </c>
      <c r="C182" t="s">
        <v>36</v>
      </c>
      <c r="D182" t="s">
        <v>50</v>
      </c>
      <c r="E182" t="s">
        <v>21</v>
      </c>
      <c r="F182" t="s">
        <v>19</v>
      </c>
      <c r="G182" t="s">
        <v>42</v>
      </c>
      <c r="H182">
        <v>31</v>
      </c>
      <c r="I182" t="s">
        <v>87</v>
      </c>
      <c r="J182">
        <v>2002.8</v>
      </c>
      <c r="K182" cm="1">
        <f t="array" ref="K182">_xlfn.SWITCH(LeadsData[[#This Row],[Funnel Stage Reached]],"Lead",1,"MQL",2,"SQL",3,"Customer",4)</f>
        <v>4</v>
      </c>
      <c r="L182" t="str">
        <f>TEXT(LeadsData[[#This Row],[Signup Date]],"mmm-yyyy")</f>
        <v>Aug-2024</v>
      </c>
      <c r="M182">
        <f>IF(LeadsData[[#This Row],[Stage Number]]&gt;=2,1,0)</f>
        <v>1</v>
      </c>
      <c r="N182" s="2">
        <f>IF(LeadsData[[#This Row],[Stage Number]]&gt;=3,1,0)</f>
        <v>1</v>
      </c>
      <c r="O182" s="2">
        <f>IF(LeadsData[[#This Row],[Stage Number]]&gt;=4,1,0)</f>
        <v>1</v>
      </c>
    </row>
    <row r="183" spans="1:15" x14ac:dyDescent="0.25">
      <c r="A183" t="s">
        <v>223</v>
      </c>
      <c r="B183" s="1">
        <v>45311</v>
      </c>
      <c r="C183" t="s">
        <v>11</v>
      </c>
      <c r="D183" t="s">
        <v>12</v>
      </c>
      <c r="E183" t="s">
        <v>21</v>
      </c>
      <c r="F183" t="s">
        <v>14</v>
      </c>
      <c r="G183" t="s">
        <v>23</v>
      </c>
      <c r="K183" cm="1">
        <f t="array" ref="K183">_xlfn.SWITCH(LeadsData[[#This Row],[Funnel Stage Reached]],"Lead",1,"MQL",2,"SQL",3,"Customer",4)</f>
        <v>2</v>
      </c>
      <c r="L183" t="str">
        <f>TEXT(LeadsData[[#This Row],[Signup Date]],"mmm-yyyy")</f>
        <v>Jan-2024</v>
      </c>
      <c r="M183">
        <f>IF(LeadsData[[#This Row],[Stage Number]]&gt;=2,1,0)</f>
        <v>1</v>
      </c>
      <c r="N183" s="2">
        <f>IF(LeadsData[[#This Row],[Stage Number]]&gt;=3,1,0)</f>
        <v>0</v>
      </c>
      <c r="O183" s="2">
        <f>IF(LeadsData[[#This Row],[Stage Number]]&gt;=4,1,0)</f>
        <v>0</v>
      </c>
    </row>
    <row r="184" spans="1:15" x14ac:dyDescent="0.25">
      <c r="A184" t="s">
        <v>224</v>
      </c>
      <c r="B184" s="1">
        <v>45395</v>
      </c>
      <c r="C184" t="s">
        <v>17</v>
      </c>
      <c r="D184" t="s">
        <v>53</v>
      </c>
      <c r="E184" t="s">
        <v>13</v>
      </c>
      <c r="F184" t="s">
        <v>22</v>
      </c>
      <c r="G184" t="s">
        <v>15</v>
      </c>
      <c r="K184" cm="1">
        <f t="array" ref="K184">_xlfn.SWITCH(LeadsData[[#This Row],[Funnel Stage Reached]],"Lead",1,"MQL",2,"SQL",3,"Customer",4)</f>
        <v>1</v>
      </c>
      <c r="L184" t="str">
        <f>TEXT(LeadsData[[#This Row],[Signup Date]],"mmm-yyyy")</f>
        <v>Apr-2024</v>
      </c>
      <c r="M184">
        <f>IF(LeadsData[[#This Row],[Stage Number]]&gt;=2,1,0)</f>
        <v>0</v>
      </c>
      <c r="N184" s="2">
        <f>IF(LeadsData[[#This Row],[Stage Number]]&gt;=3,1,0)</f>
        <v>0</v>
      </c>
      <c r="O184" s="2">
        <f>IF(LeadsData[[#This Row],[Stage Number]]&gt;=4,1,0)</f>
        <v>0</v>
      </c>
    </row>
    <row r="185" spans="1:15" x14ac:dyDescent="0.25">
      <c r="A185" t="s">
        <v>225</v>
      </c>
      <c r="B185" s="1">
        <v>45629</v>
      </c>
      <c r="C185" t="s">
        <v>17</v>
      </c>
      <c r="D185" t="s">
        <v>18</v>
      </c>
      <c r="E185" t="s">
        <v>21</v>
      </c>
      <c r="F185" t="s">
        <v>19</v>
      </c>
      <c r="G185" t="s">
        <v>15</v>
      </c>
      <c r="K185" cm="1">
        <f t="array" ref="K185">_xlfn.SWITCH(LeadsData[[#This Row],[Funnel Stage Reached]],"Lead",1,"MQL",2,"SQL",3,"Customer",4)</f>
        <v>1</v>
      </c>
      <c r="L185" t="str">
        <f>TEXT(LeadsData[[#This Row],[Signup Date]],"mmm-yyyy")</f>
        <v>Dec-2024</v>
      </c>
      <c r="M185">
        <f>IF(LeadsData[[#This Row],[Stage Number]]&gt;=2,1,0)</f>
        <v>0</v>
      </c>
      <c r="N185" s="2">
        <f>IF(LeadsData[[#This Row],[Stage Number]]&gt;=3,1,0)</f>
        <v>0</v>
      </c>
      <c r="O185" s="2">
        <f>IF(LeadsData[[#This Row],[Stage Number]]&gt;=4,1,0)</f>
        <v>0</v>
      </c>
    </row>
    <row r="186" spans="1:15" x14ac:dyDescent="0.25">
      <c r="A186" t="s">
        <v>226</v>
      </c>
      <c r="B186" s="1">
        <v>45591</v>
      </c>
      <c r="C186" t="s">
        <v>17</v>
      </c>
      <c r="D186" t="s">
        <v>18</v>
      </c>
      <c r="E186" t="s">
        <v>13</v>
      </c>
      <c r="F186" t="s">
        <v>22</v>
      </c>
      <c r="G186" t="s">
        <v>23</v>
      </c>
      <c r="K186" cm="1">
        <f t="array" ref="K186">_xlfn.SWITCH(LeadsData[[#This Row],[Funnel Stage Reached]],"Lead",1,"MQL",2,"SQL",3,"Customer",4)</f>
        <v>2</v>
      </c>
      <c r="L186" t="str">
        <f>TEXT(LeadsData[[#This Row],[Signup Date]],"mmm-yyyy")</f>
        <v>Oct-2024</v>
      </c>
      <c r="M186">
        <f>IF(LeadsData[[#This Row],[Stage Number]]&gt;=2,1,0)</f>
        <v>1</v>
      </c>
      <c r="N186" s="2">
        <f>IF(LeadsData[[#This Row],[Stage Number]]&gt;=3,1,0)</f>
        <v>0</v>
      </c>
      <c r="O186" s="2">
        <f>IF(LeadsData[[#This Row],[Stage Number]]&gt;=4,1,0)</f>
        <v>0</v>
      </c>
    </row>
    <row r="187" spans="1:15" x14ac:dyDescent="0.25">
      <c r="A187" t="s">
        <v>227</v>
      </c>
      <c r="B187" s="1">
        <v>45510</v>
      </c>
      <c r="C187" t="s">
        <v>17</v>
      </c>
      <c r="D187" t="s">
        <v>18</v>
      </c>
      <c r="E187" t="s">
        <v>13</v>
      </c>
      <c r="F187" t="s">
        <v>14</v>
      </c>
      <c r="G187" t="s">
        <v>23</v>
      </c>
      <c r="K187" cm="1">
        <f t="array" ref="K187">_xlfn.SWITCH(LeadsData[[#This Row],[Funnel Stage Reached]],"Lead",1,"MQL",2,"SQL",3,"Customer",4)</f>
        <v>2</v>
      </c>
      <c r="L187" t="str">
        <f>TEXT(LeadsData[[#This Row],[Signup Date]],"mmm-yyyy")</f>
        <v>Aug-2024</v>
      </c>
      <c r="M187">
        <f>IF(LeadsData[[#This Row],[Stage Number]]&gt;=2,1,0)</f>
        <v>1</v>
      </c>
      <c r="N187" s="2">
        <f>IF(LeadsData[[#This Row],[Stage Number]]&gt;=3,1,0)</f>
        <v>0</v>
      </c>
      <c r="O187" s="2">
        <f>IF(LeadsData[[#This Row],[Stage Number]]&gt;=4,1,0)</f>
        <v>0</v>
      </c>
    </row>
    <row r="188" spans="1:15" x14ac:dyDescent="0.25">
      <c r="A188" t="s">
        <v>228</v>
      </c>
      <c r="B188" s="1">
        <v>45418</v>
      </c>
      <c r="C188" t="s">
        <v>36</v>
      </c>
      <c r="D188" t="s">
        <v>50</v>
      </c>
      <c r="E188" t="s">
        <v>13</v>
      </c>
      <c r="F188" t="s">
        <v>19</v>
      </c>
      <c r="G188" t="s">
        <v>15</v>
      </c>
      <c r="K188" cm="1">
        <f t="array" ref="K188">_xlfn.SWITCH(LeadsData[[#This Row],[Funnel Stage Reached]],"Lead",1,"MQL",2,"SQL",3,"Customer",4)</f>
        <v>1</v>
      </c>
      <c r="L188" t="str">
        <f>TEXT(LeadsData[[#This Row],[Signup Date]],"mmm-yyyy")</f>
        <v>May-2024</v>
      </c>
      <c r="M188">
        <f>IF(LeadsData[[#This Row],[Stage Number]]&gt;=2,1,0)</f>
        <v>0</v>
      </c>
      <c r="N188" s="2">
        <f>IF(LeadsData[[#This Row],[Stage Number]]&gt;=3,1,0)</f>
        <v>0</v>
      </c>
      <c r="O188" s="2">
        <f>IF(LeadsData[[#This Row],[Stage Number]]&gt;=4,1,0)</f>
        <v>0</v>
      </c>
    </row>
    <row r="189" spans="1:15" x14ac:dyDescent="0.25">
      <c r="A189" t="s">
        <v>229</v>
      </c>
      <c r="B189" s="1">
        <v>45611</v>
      </c>
      <c r="C189" t="s">
        <v>25</v>
      </c>
      <c r="D189" t="s">
        <v>26</v>
      </c>
      <c r="E189" t="s">
        <v>48</v>
      </c>
      <c r="F189" t="s">
        <v>19</v>
      </c>
      <c r="G189" t="s">
        <v>23</v>
      </c>
      <c r="K189" cm="1">
        <f t="array" ref="K189">_xlfn.SWITCH(LeadsData[[#This Row],[Funnel Stage Reached]],"Lead",1,"MQL",2,"SQL",3,"Customer",4)</f>
        <v>2</v>
      </c>
      <c r="L189" t="str">
        <f>TEXT(LeadsData[[#This Row],[Signup Date]],"mmm-yyyy")</f>
        <v>Nov-2024</v>
      </c>
      <c r="M189">
        <f>IF(LeadsData[[#This Row],[Stage Number]]&gt;=2,1,0)</f>
        <v>1</v>
      </c>
      <c r="N189" s="2">
        <f>IF(LeadsData[[#This Row],[Stage Number]]&gt;=3,1,0)</f>
        <v>0</v>
      </c>
      <c r="O189" s="2">
        <f>IF(LeadsData[[#This Row],[Stage Number]]&gt;=4,1,0)</f>
        <v>0</v>
      </c>
    </row>
    <row r="190" spans="1:15" x14ac:dyDescent="0.25">
      <c r="A190" t="s">
        <v>230</v>
      </c>
      <c r="B190" s="1">
        <v>45299</v>
      </c>
      <c r="C190" t="s">
        <v>46</v>
      </c>
      <c r="D190" t="s">
        <v>47</v>
      </c>
      <c r="E190" t="s">
        <v>13</v>
      </c>
      <c r="F190" t="s">
        <v>19</v>
      </c>
      <c r="G190" t="s">
        <v>23</v>
      </c>
      <c r="K190" cm="1">
        <f t="array" ref="K190">_xlfn.SWITCH(LeadsData[[#This Row],[Funnel Stage Reached]],"Lead",1,"MQL",2,"SQL",3,"Customer",4)</f>
        <v>2</v>
      </c>
      <c r="L190" t="str">
        <f>TEXT(LeadsData[[#This Row],[Signup Date]],"mmm-yyyy")</f>
        <v>Jan-2024</v>
      </c>
      <c r="M190">
        <f>IF(LeadsData[[#This Row],[Stage Number]]&gt;=2,1,0)</f>
        <v>1</v>
      </c>
      <c r="N190" s="2">
        <f>IF(LeadsData[[#This Row],[Stage Number]]&gt;=3,1,0)</f>
        <v>0</v>
      </c>
      <c r="O190" s="2">
        <f>IF(LeadsData[[#This Row],[Stage Number]]&gt;=4,1,0)</f>
        <v>0</v>
      </c>
    </row>
    <row r="191" spans="1:15" x14ac:dyDescent="0.25">
      <c r="A191" t="s">
        <v>231</v>
      </c>
      <c r="B191" s="1">
        <v>45551</v>
      </c>
      <c r="C191" t="s">
        <v>11</v>
      </c>
      <c r="D191" t="s">
        <v>68</v>
      </c>
      <c r="E191" t="s">
        <v>13</v>
      </c>
      <c r="F191" t="s">
        <v>19</v>
      </c>
      <c r="G191" t="s">
        <v>15</v>
      </c>
      <c r="K191" cm="1">
        <f t="array" ref="K191">_xlfn.SWITCH(LeadsData[[#This Row],[Funnel Stage Reached]],"Lead",1,"MQL",2,"SQL",3,"Customer",4)</f>
        <v>1</v>
      </c>
      <c r="L191" t="str">
        <f>TEXT(LeadsData[[#This Row],[Signup Date]],"mmm-yyyy")</f>
        <v>Sep-2024</v>
      </c>
      <c r="M191">
        <f>IF(LeadsData[[#This Row],[Stage Number]]&gt;=2,1,0)</f>
        <v>0</v>
      </c>
      <c r="N191" s="2">
        <f>IF(LeadsData[[#This Row],[Stage Number]]&gt;=3,1,0)</f>
        <v>0</v>
      </c>
      <c r="O191" s="2">
        <f>IF(LeadsData[[#This Row],[Stage Number]]&gt;=4,1,0)</f>
        <v>0</v>
      </c>
    </row>
    <row r="192" spans="1:15" x14ac:dyDescent="0.25">
      <c r="A192" t="s">
        <v>232</v>
      </c>
      <c r="B192" s="1">
        <v>45324</v>
      </c>
      <c r="C192" t="s">
        <v>46</v>
      </c>
      <c r="D192" t="s">
        <v>47</v>
      </c>
      <c r="E192" t="s">
        <v>13</v>
      </c>
      <c r="F192" t="s">
        <v>22</v>
      </c>
      <c r="G192" t="s">
        <v>29</v>
      </c>
      <c r="K192" cm="1">
        <f t="array" ref="K192">_xlfn.SWITCH(LeadsData[[#This Row],[Funnel Stage Reached]],"Lead",1,"MQL",2,"SQL",3,"Customer",4)</f>
        <v>3</v>
      </c>
      <c r="L192" t="str">
        <f>TEXT(LeadsData[[#This Row],[Signup Date]],"mmm-yyyy")</f>
        <v>Feb-2024</v>
      </c>
      <c r="M192">
        <f>IF(LeadsData[[#This Row],[Stage Number]]&gt;=2,1,0)</f>
        <v>1</v>
      </c>
      <c r="N192" s="2">
        <f>IF(LeadsData[[#This Row],[Stage Number]]&gt;=3,1,0)</f>
        <v>1</v>
      </c>
      <c r="O192" s="2">
        <f>IF(LeadsData[[#This Row],[Stage Number]]&gt;=4,1,0)</f>
        <v>0</v>
      </c>
    </row>
    <row r="193" spans="1:15" x14ac:dyDescent="0.25">
      <c r="A193" t="s">
        <v>233</v>
      </c>
      <c r="B193" s="1">
        <v>45328</v>
      </c>
      <c r="C193" t="s">
        <v>31</v>
      </c>
      <c r="D193" t="s">
        <v>32</v>
      </c>
      <c r="E193" t="s">
        <v>13</v>
      </c>
      <c r="F193" t="s">
        <v>19</v>
      </c>
      <c r="G193" t="s">
        <v>15</v>
      </c>
      <c r="K193" cm="1">
        <f t="array" ref="K193">_xlfn.SWITCH(LeadsData[[#This Row],[Funnel Stage Reached]],"Lead",1,"MQL",2,"SQL",3,"Customer",4)</f>
        <v>1</v>
      </c>
      <c r="L193" t="str">
        <f>TEXT(LeadsData[[#This Row],[Signup Date]],"mmm-yyyy")</f>
        <v>Feb-2024</v>
      </c>
      <c r="M193">
        <f>IF(LeadsData[[#This Row],[Stage Number]]&gt;=2,1,0)</f>
        <v>0</v>
      </c>
      <c r="N193" s="2">
        <f>IF(LeadsData[[#This Row],[Stage Number]]&gt;=3,1,0)</f>
        <v>0</v>
      </c>
      <c r="O193" s="2">
        <f>IF(LeadsData[[#This Row],[Stage Number]]&gt;=4,1,0)</f>
        <v>0</v>
      </c>
    </row>
    <row r="194" spans="1:15" x14ac:dyDescent="0.25">
      <c r="A194" t="s">
        <v>234</v>
      </c>
      <c r="B194" s="1">
        <v>45358</v>
      </c>
      <c r="C194" t="s">
        <v>36</v>
      </c>
      <c r="D194" t="s">
        <v>37</v>
      </c>
      <c r="E194" t="s">
        <v>13</v>
      </c>
      <c r="F194" t="s">
        <v>28</v>
      </c>
      <c r="G194" t="s">
        <v>42</v>
      </c>
      <c r="H194">
        <v>21</v>
      </c>
      <c r="I194" t="s">
        <v>43</v>
      </c>
      <c r="J194">
        <v>940.41</v>
      </c>
      <c r="K194" cm="1">
        <f t="array" ref="K194">_xlfn.SWITCH(LeadsData[[#This Row],[Funnel Stage Reached]],"Lead",1,"MQL",2,"SQL",3,"Customer",4)</f>
        <v>4</v>
      </c>
      <c r="L194" t="str">
        <f>TEXT(LeadsData[[#This Row],[Signup Date]],"mmm-yyyy")</f>
        <v>Mar-2024</v>
      </c>
      <c r="M194">
        <f>IF(LeadsData[[#This Row],[Stage Number]]&gt;=2,1,0)</f>
        <v>1</v>
      </c>
      <c r="N194" s="2">
        <f>IF(LeadsData[[#This Row],[Stage Number]]&gt;=3,1,0)</f>
        <v>1</v>
      </c>
      <c r="O194" s="2">
        <f>IF(LeadsData[[#This Row],[Stage Number]]&gt;=4,1,0)</f>
        <v>1</v>
      </c>
    </row>
    <row r="195" spans="1:15" x14ac:dyDescent="0.25">
      <c r="A195" t="s">
        <v>235</v>
      </c>
      <c r="B195" s="1">
        <v>45627</v>
      </c>
      <c r="C195" t="s">
        <v>36</v>
      </c>
      <c r="D195" t="s">
        <v>50</v>
      </c>
      <c r="E195" t="s">
        <v>21</v>
      </c>
      <c r="F195" t="s">
        <v>22</v>
      </c>
      <c r="G195" t="s">
        <v>42</v>
      </c>
      <c r="H195">
        <v>53</v>
      </c>
      <c r="I195" t="s">
        <v>87</v>
      </c>
      <c r="J195">
        <v>2471.5100000000002</v>
      </c>
      <c r="K195" cm="1">
        <f t="array" ref="K195">_xlfn.SWITCH(LeadsData[[#This Row],[Funnel Stage Reached]],"Lead",1,"MQL",2,"SQL",3,"Customer",4)</f>
        <v>4</v>
      </c>
      <c r="L195" t="str">
        <f>TEXT(LeadsData[[#This Row],[Signup Date]],"mmm-yyyy")</f>
        <v>Dec-2024</v>
      </c>
      <c r="M195">
        <f>IF(LeadsData[[#This Row],[Stage Number]]&gt;=2,1,0)</f>
        <v>1</v>
      </c>
      <c r="N195" s="2">
        <f>IF(LeadsData[[#This Row],[Stage Number]]&gt;=3,1,0)</f>
        <v>1</v>
      </c>
      <c r="O195" s="2">
        <f>IF(LeadsData[[#This Row],[Stage Number]]&gt;=4,1,0)</f>
        <v>1</v>
      </c>
    </row>
    <row r="196" spans="1:15" x14ac:dyDescent="0.25">
      <c r="A196" t="s">
        <v>236</v>
      </c>
      <c r="B196" s="1">
        <v>45629</v>
      </c>
      <c r="C196" t="s">
        <v>36</v>
      </c>
      <c r="D196" t="s">
        <v>50</v>
      </c>
      <c r="E196" t="s">
        <v>21</v>
      </c>
      <c r="F196" t="s">
        <v>19</v>
      </c>
      <c r="G196" t="s">
        <v>15</v>
      </c>
      <c r="K196" cm="1">
        <f t="array" ref="K196">_xlfn.SWITCH(LeadsData[[#This Row],[Funnel Stage Reached]],"Lead",1,"MQL",2,"SQL",3,"Customer",4)</f>
        <v>1</v>
      </c>
      <c r="L196" t="str">
        <f>TEXT(LeadsData[[#This Row],[Signup Date]],"mmm-yyyy")</f>
        <v>Dec-2024</v>
      </c>
      <c r="M196">
        <f>IF(LeadsData[[#This Row],[Stage Number]]&gt;=2,1,0)</f>
        <v>0</v>
      </c>
      <c r="N196" s="2">
        <f>IF(LeadsData[[#This Row],[Stage Number]]&gt;=3,1,0)</f>
        <v>0</v>
      </c>
      <c r="O196" s="2">
        <f>IF(LeadsData[[#This Row],[Stage Number]]&gt;=4,1,0)</f>
        <v>0</v>
      </c>
    </row>
    <row r="197" spans="1:15" x14ac:dyDescent="0.25">
      <c r="A197" t="s">
        <v>237</v>
      </c>
      <c r="B197" s="1">
        <v>45445</v>
      </c>
      <c r="C197" t="s">
        <v>17</v>
      </c>
      <c r="D197" t="s">
        <v>53</v>
      </c>
      <c r="E197" t="s">
        <v>13</v>
      </c>
      <c r="F197" t="s">
        <v>19</v>
      </c>
      <c r="G197" t="s">
        <v>15</v>
      </c>
      <c r="K197" cm="1">
        <f t="array" ref="K197">_xlfn.SWITCH(LeadsData[[#This Row],[Funnel Stage Reached]],"Lead",1,"MQL",2,"SQL",3,"Customer",4)</f>
        <v>1</v>
      </c>
      <c r="L197" t="str">
        <f>TEXT(LeadsData[[#This Row],[Signup Date]],"mmm-yyyy")</f>
        <v>Jun-2024</v>
      </c>
      <c r="M197">
        <f>IF(LeadsData[[#This Row],[Stage Number]]&gt;=2,1,0)</f>
        <v>0</v>
      </c>
      <c r="N197" s="2">
        <f>IF(LeadsData[[#This Row],[Stage Number]]&gt;=3,1,0)</f>
        <v>0</v>
      </c>
      <c r="O197" s="2">
        <f>IF(LeadsData[[#This Row],[Stage Number]]&gt;=4,1,0)</f>
        <v>0</v>
      </c>
    </row>
    <row r="198" spans="1:15" x14ac:dyDescent="0.25">
      <c r="A198" t="s">
        <v>238</v>
      </c>
      <c r="B198" s="1">
        <v>45604</v>
      </c>
      <c r="C198" t="s">
        <v>36</v>
      </c>
      <c r="D198" t="s">
        <v>50</v>
      </c>
      <c r="E198" t="s">
        <v>21</v>
      </c>
      <c r="F198" t="s">
        <v>19</v>
      </c>
      <c r="G198" t="s">
        <v>23</v>
      </c>
      <c r="K198" cm="1">
        <f t="array" ref="K198">_xlfn.SWITCH(LeadsData[[#This Row],[Funnel Stage Reached]],"Lead",1,"MQL",2,"SQL",3,"Customer",4)</f>
        <v>2</v>
      </c>
      <c r="L198" t="str">
        <f>TEXT(LeadsData[[#This Row],[Signup Date]],"mmm-yyyy")</f>
        <v>Nov-2024</v>
      </c>
      <c r="M198">
        <f>IF(LeadsData[[#This Row],[Stage Number]]&gt;=2,1,0)</f>
        <v>1</v>
      </c>
      <c r="N198" s="2">
        <f>IF(LeadsData[[#This Row],[Stage Number]]&gt;=3,1,0)</f>
        <v>0</v>
      </c>
      <c r="O198" s="2">
        <f>IF(LeadsData[[#This Row],[Stage Number]]&gt;=4,1,0)</f>
        <v>0</v>
      </c>
    </row>
    <row r="199" spans="1:15" x14ac:dyDescent="0.25">
      <c r="A199" t="s">
        <v>239</v>
      </c>
      <c r="B199" s="1">
        <v>45528</v>
      </c>
      <c r="C199" t="s">
        <v>31</v>
      </c>
      <c r="D199" t="s">
        <v>32</v>
      </c>
      <c r="E199" t="s">
        <v>13</v>
      </c>
      <c r="F199" t="s">
        <v>14</v>
      </c>
      <c r="G199" t="s">
        <v>15</v>
      </c>
      <c r="K199" cm="1">
        <f t="array" ref="K199">_xlfn.SWITCH(LeadsData[[#This Row],[Funnel Stage Reached]],"Lead",1,"MQL",2,"SQL",3,"Customer",4)</f>
        <v>1</v>
      </c>
      <c r="L199" t="str">
        <f>TEXT(LeadsData[[#This Row],[Signup Date]],"mmm-yyyy")</f>
        <v>Aug-2024</v>
      </c>
      <c r="M199">
        <f>IF(LeadsData[[#This Row],[Stage Number]]&gt;=2,1,0)</f>
        <v>0</v>
      </c>
      <c r="N199" s="2">
        <f>IF(LeadsData[[#This Row],[Stage Number]]&gt;=3,1,0)</f>
        <v>0</v>
      </c>
      <c r="O199" s="2">
        <f>IF(LeadsData[[#This Row],[Stage Number]]&gt;=4,1,0)</f>
        <v>0</v>
      </c>
    </row>
    <row r="200" spans="1:15" x14ac:dyDescent="0.25">
      <c r="A200" t="s">
        <v>240</v>
      </c>
      <c r="B200" s="1">
        <v>45368</v>
      </c>
      <c r="C200" t="s">
        <v>25</v>
      </c>
      <c r="D200" t="s">
        <v>26</v>
      </c>
      <c r="E200" t="s">
        <v>13</v>
      </c>
      <c r="F200" t="s">
        <v>19</v>
      </c>
      <c r="G200" t="s">
        <v>42</v>
      </c>
      <c r="H200">
        <v>66</v>
      </c>
      <c r="I200" t="s">
        <v>43</v>
      </c>
      <c r="J200">
        <v>1245.96</v>
      </c>
      <c r="K200" cm="1">
        <f t="array" ref="K200">_xlfn.SWITCH(LeadsData[[#This Row],[Funnel Stage Reached]],"Lead",1,"MQL",2,"SQL",3,"Customer",4)</f>
        <v>4</v>
      </c>
      <c r="L200" t="str">
        <f>TEXT(LeadsData[[#This Row],[Signup Date]],"mmm-yyyy")</f>
        <v>Mar-2024</v>
      </c>
      <c r="M200">
        <f>IF(LeadsData[[#This Row],[Stage Number]]&gt;=2,1,0)</f>
        <v>1</v>
      </c>
      <c r="N200" s="2">
        <f>IF(LeadsData[[#This Row],[Stage Number]]&gt;=3,1,0)</f>
        <v>1</v>
      </c>
      <c r="O200" s="2">
        <f>IF(LeadsData[[#This Row],[Stage Number]]&gt;=4,1,0)</f>
        <v>1</v>
      </c>
    </row>
    <row r="201" spans="1:15" x14ac:dyDescent="0.25">
      <c r="A201" t="s">
        <v>241</v>
      </c>
      <c r="B201" s="1">
        <v>45498</v>
      </c>
      <c r="C201" t="s">
        <v>31</v>
      </c>
      <c r="D201" t="s">
        <v>34</v>
      </c>
      <c r="E201" t="s">
        <v>13</v>
      </c>
      <c r="F201" t="s">
        <v>22</v>
      </c>
      <c r="G201" t="s">
        <v>42</v>
      </c>
      <c r="H201">
        <v>48</v>
      </c>
      <c r="I201" t="s">
        <v>43</v>
      </c>
      <c r="J201">
        <v>1351.63</v>
      </c>
      <c r="K201" cm="1">
        <f t="array" ref="K201">_xlfn.SWITCH(LeadsData[[#This Row],[Funnel Stage Reached]],"Lead",1,"MQL",2,"SQL",3,"Customer",4)</f>
        <v>4</v>
      </c>
      <c r="L201" t="str">
        <f>TEXT(LeadsData[[#This Row],[Signup Date]],"mmm-yyyy")</f>
        <v>Jul-2024</v>
      </c>
      <c r="M201">
        <f>IF(LeadsData[[#This Row],[Stage Number]]&gt;=2,1,0)</f>
        <v>1</v>
      </c>
      <c r="N201" s="2">
        <f>IF(LeadsData[[#This Row],[Stage Number]]&gt;=3,1,0)</f>
        <v>1</v>
      </c>
      <c r="O201" s="2">
        <f>IF(LeadsData[[#This Row],[Stage Number]]&gt;=4,1,0)</f>
        <v>1</v>
      </c>
    </row>
    <row r="202" spans="1:15" x14ac:dyDescent="0.25">
      <c r="A202" t="s">
        <v>242</v>
      </c>
      <c r="B202" s="1">
        <v>45326</v>
      </c>
      <c r="C202" t="s">
        <v>17</v>
      </c>
      <c r="D202" t="s">
        <v>53</v>
      </c>
      <c r="E202" t="s">
        <v>13</v>
      </c>
      <c r="F202" t="s">
        <v>19</v>
      </c>
      <c r="G202" t="s">
        <v>15</v>
      </c>
      <c r="K202" cm="1">
        <f t="array" ref="K202">_xlfn.SWITCH(LeadsData[[#This Row],[Funnel Stage Reached]],"Lead",1,"MQL",2,"SQL",3,"Customer",4)</f>
        <v>1</v>
      </c>
      <c r="L202" t="str">
        <f>TEXT(LeadsData[[#This Row],[Signup Date]],"mmm-yyyy")</f>
        <v>Feb-2024</v>
      </c>
      <c r="M202">
        <f>IF(LeadsData[[#This Row],[Stage Number]]&gt;=2,1,0)</f>
        <v>0</v>
      </c>
      <c r="N202" s="2">
        <f>IF(LeadsData[[#This Row],[Stage Number]]&gt;=3,1,0)</f>
        <v>0</v>
      </c>
      <c r="O202" s="2">
        <f>IF(LeadsData[[#This Row],[Stage Number]]&gt;=4,1,0)</f>
        <v>0</v>
      </c>
    </row>
    <row r="203" spans="1:15" x14ac:dyDescent="0.25">
      <c r="A203" t="s">
        <v>243</v>
      </c>
      <c r="B203" s="1">
        <v>45354</v>
      </c>
      <c r="C203" t="s">
        <v>31</v>
      </c>
      <c r="D203" t="s">
        <v>32</v>
      </c>
      <c r="E203" t="s">
        <v>13</v>
      </c>
      <c r="F203" t="s">
        <v>22</v>
      </c>
      <c r="G203" t="s">
        <v>23</v>
      </c>
      <c r="K203" cm="1">
        <f t="array" ref="K203">_xlfn.SWITCH(LeadsData[[#This Row],[Funnel Stage Reached]],"Lead",1,"MQL",2,"SQL",3,"Customer",4)</f>
        <v>2</v>
      </c>
      <c r="L203" t="str">
        <f>TEXT(LeadsData[[#This Row],[Signup Date]],"mmm-yyyy")</f>
        <v>Mar-2024</v>
      </c>
      <c r="M203">
        <f>IF(LeadsData[[#This Row],[Stage Number]]&gt;=2,1,0)</f>
        <v>1</v>
      </c>
      <c r="N203" s="2">
        <f>IF(LeadsData[[#This Row],[Stage Number]]&gt;=3,1,0)</f>
        <v>0</v>
      </c>
      <c r="O203" s="2">
        <f>IF(LeadsData[[#This Row],[Stage Number]]&gt;=4,1,0)</f>
        <v>0</v>
      </c>
    </row>
    <row r="204" spans="1:15" x14ac:dyDescent="0.25">
      <c r="A204" t="s">
        <v>244</v>
      </c>
      <c r="B204" s="1">
        <v>45620</v>
      </c>
      <c r="C204" t="s">
        <v>36</v>
      </c>
      <c r="D204" t="s">
        <v>50</v>
      </c>
      <c r="E204" t="s">
        <v>21</v>
      </c>
      <c r="F204" t="s">
        <v>19</v>
      </c>
      <c r="G204" t="s">
        <v>15</v>
      </c>
      <c r="K204" cm="1">
        <f t="array" ref="K204">_xlfn.SWITCH(LeadsData[[#This Row],[Funnel Stage Reached]],"Lead",1,"MQL",2,"SQL",3,"Customer",4)</f>
        <v>1</v>
      </c>
      <c r="L204" t="str">
        <f>TEXT(LeadsData[[#This Row],[Signup Date]],"mmm-yyyy")</f>
        <v>Nov-2024</v>
      </c>
      <c r="M204">
        <f>IF(LeadsData[[#This Row],[Stage Number]]&gt;=2,1,0)</f>
        <v>0</v>
      </c>
      <c r="N204" s="2">
        <f>IF(LeadsData[[#This Row],[Stage Number]]&gt;=3,1,0)</f>
        <v>0</v>
      </c>
      <c r="O204" s="2">
        <f>IF(LeadsData[[#This Row],[Stage Number]]&gt;=4,1,0)</f>
        <v>0</v>
      </c>
    </row>
    <row r="205" spans="1:15" x14ac:dyDescent="0.25">
      <c r="A205" t="s">
        <v>245</v>
      </c>
      <c r="B205" s="1">
        <v>45562</v>
      </c>
      <c r="C205" t="s">
        <v>46</v>
      </c>
      <c r="D205" t="s">
        <v>47</v>
      </c>
      <c r="E205" t="s">
        <v>13</v>
      </c>
      <c r="F205" t="s">
        <v>22</v>
      </c>
      <c r="G205" t="s">
        <v>15</v>
      </c>
      <c r="K205" cm="1">
        <f t="array" ref="K205">_xlfn.SWITCH(LeadsData[[#This Row],[Funnel Stage Reached]],"Lead",1,"MQL",2,"SQL",3,"Customer",4)</f>
        <v>1</v>
      </c>
      <c r="L205" t="str">
        <f>TEXT(LeadsData[[#This Row],[Signup Date]],"mmm-yyyy")</f>
        <v>Sep-2024</v>
      </c>
      <c r="M205">
        <f>IF(LeadsData[[#This Row],[Stage Number]]&gt;=2,1,0)</f>
        <v>0</v>
      </c>
      <c r="N205" s="2">
        <f>IF(LeadsData[[#This Row],[Stage Number]]&gt;=3,1,0)</f>
        <v>0</v>
      </c>
      <c r="O205" s="2">
        <f>IF(LeadsData[[#This Row],[Stage Number]]&gt;=4,1,0)</f>
        <v>0</v>
      </c>
    </row>
    <row r="206" spans="1:15" x14ac:dyDescent="0.25">
      <c r="A206" t="s">
        <v>246</v>
      </c>
      <c r="B206" s="1">
        <v>45295</v>
      </c>
      <c r="C206" t="s">
        <v>46</v>
      </c>
      <c r="D206" t="s">
        <v>56</v>
      </c>
      <c r="E206" t="s">
        <v>13</v>
      </c>
      <c r="F206" t="s">
        <v>22</v>
      </c>
      <c r="G206" t="s">
        <v>15</v>
      </c>
      <c r="K206" cm="1">
        <f t="array" ref="K206">_xlfn.SWITCH(LeadsData[[#This Row],[Funnel Stage Reached]],"Lead",1,"MQL",2,"SQL",3,"Customer",4)</f>
        <v>1</v>
      </c>
      <c r="L206" t="str">
        <f>TEXT(LeadsData[[#This Row],[Signup Date]],"mmm-yyyy")</f>
        <v>Jan-2024</v>
      </c>
      <c r="M206">
        <f>IF(LeadsData[[#This Row],[Stage Number]]&gt;=2,1,0)</f>
        <v>0</v>
      </c>
      <c r="N206" s="2">
        <f>IF(LeadsData[[#This Row],[Stage Number]]&gt;=3,1,0)</f>
        <v>0</v>
      </c>
      <c r="O206" s="2">
        <f>IF(LeadsData[[#This Row],[Stage Number]]&gt;=4,1,0)</f>
        <v>0</v>
      </c>
    </row>
    <row r="207" spans="1:15" x14ac:dyDescent="0.25">
      <c r="A207" t="s">
        <v>247</v>
      </c>
      <c r="B207" s="1">
        <v>45338</v>
      </c>
      <c r="C207" t="s">
        <v>17</v>
      </c>
      <c r="D207" t="s">
        <v>18</v>
      </c>
      <c r="E207" t="s">
        <v>13</v>
      </c>
      <c r="F207" t="s">
        <v>19</v>
      </c>
      <c r="G207" t="s">
        <v>29</v>
      </c>
      <c r="K207" cm="1">
        <f t="array" ref="K207">_xlfn.SWITCH(LeadsData[[#This Row],[Funnel Stage Reached]],"Lead",1,"MQL",2,"SQL",3,"Customer",4)</f>
        <v>3</v>
      </c>
      <c r="L207" t="str">
        <f>TEXT(LeadsData[[#This Row],[Signup Date]],"mmm-yyyy")</f>
        <v>Feb-2024</v>
      </c>
      <c r="M207">
        <f>IF(LeadsData[[#This Row],[Stage Number]]&gt;=2,1,0)</f>
        <v>1</v>
      </c>
      <c r="N207" s="2">
        <f>IF(LeadsData[[#This Row],[Stage Number]]&gt;=3,1,0)</f>
        <v>1</v>
      </c>
      <c r="O207" s="2">
        <f>IF(LeadsData[[#This Row],[Stage Number]]&gt;=4,1,0)</f>
        <v>0</v>
      </c>
    </row>
    <row r="208" spans="1:15" x14ac:dyDescent="0.25">
      <c r="A208" t="s">
        <v>248</v>
      </c>
      <c r="B208" s="1">
        <v>45544</v>
      </c>
      <c r="C208" t="s">
        <v>31</v>
      </c>
      <c r="D208" t="s">
        <v>32</v>
      </c>
      <c r="E208" t="s">
        <v>21</v>
      </c>
      <c r="F208" t="s">
        <v>22</v>
      </c>
      <c r="G208" t="s">
        <v>29</v>
      </c>
      <c r="K208" cm="1">
        <f t="array" ref="K208">_xlfn.SWITCH(LeadsData[[#This Row],[Funnel Stage Reached]],"Lead",1,"MQL",2,"SQL",3,"Customer",4)</f>
        <v>3</v>
      </c>
      <c r="L208" t="str">
        <f>TEXT(LeadsData[[#This Row],[Signup Date]],"mmm-yyyy")</f>
        <v>Sep-2024</v>
      </c>
      <c r="M208">
        <f>IF(LeadsData[[#This Row],[Stage Number]]&gt;=2,1,0)</f>
        <v>1</v>
      </c>
      <c r="N208" s="2">
        <f>IF(LeadsData[[#This Row],[Stage Number]]&gt;=3,1,0)</f>
        <v>1</v>
      </c>
      <c r="O208" s="2">
        <f>IF(LeadsData[[#This Row],[Stage Number]]&gt;=4,1,0)</f>
        <v>0</v>
      </c>
    </row>
    <row r="209" spans="1:15" x14ac:dyDescent="0.25">
      <c r="A209" t="s">
        <v>249</v>
      </c>
      <c r="B209" s="1">
        <v>45299</v>
      </c>
      <c r="C209" t="s">
        <v>25</v>
      </c>
      <c r="D209" t="s">
        <v>26</v>
      </c>
      <c r="E209" t="s">
        <v>21</v>
      </c>
      <c r="F209" t="s">
        <v>19</v>
      </c>
      <c r="G209" t="s">
        <v>23</v>
      </c>
      <c r="K209" cm="1">
        <f t="array" ref="K209">_xlfn.SWITCH(LeadsData[[#This Row],[Funnel Stage Reached]],"Lead",1,"MQL",2,"SQL",3,"Customer",4)</f>
        <v>2</v>
      </c>
      <c r="L209" t="str">
        <f>TEXT(LeadsData[[#This Row],[Signup Date]],"mmm-yyyy")</f>
        <v>Jan-2024</v>
      </c>
      <c r="M209">
        <f>IF(LeadsData[[#This Row],[Stage Number]]&gt;=2,1,0)</f>
        <v>1</v>
      </c>
      <c r="N209" s="2">
        <f>IF(LeadsData[[#This Row],[Stage Number]]&gt;=3,1,0)</f>
        <v>0</v>
      </c>
      <c r="O209" s="2">
        <f>IF(LeadsData[[#This Row],[Stage Number]]&gt;=4,1,0)</f>
        <v>0</v>
      </c>
    </row>
    <row r="210" spans="1:15" x14ac:dyDescent="0.25">
      <c r="A210" t="s">
        <v>250</v>
      </c>
      <c r="B210" s="1">
        <v>45537</v>
      </c>
      <c r="C210" t="s">
        <v>25</v>
      </c>
      <c r="D210" t="s">
        <v>26</v>
      </c>
      <c r="E210" t="s">
        <v>13</v>
      </c>
      <c r="F210" t="s">
        <v>22</v>
      </c>
      <c r="G210" t="s">
        <v>23</v>
      </c>
      <c r="K210" cm="1">
        <f t="array" ref="K210">_xlfn.SWITCH(LeadsData[[#This Row],[Funnel Stage Reached]],"Lead",1,"MQL",2,"SQL",3,"Customer",4)</f>
        <v>2</v>
      </c>
      <c r="L210" t="str">
        <f>TEXT(LeadsData[[#This Row],[Signup Date]],"mmm-yyyy")</f>
        <v>Sep-2024</v>
      </c>
      <c r="M210">
        <f>IF(LeadsData[[#This Row],[Stage Number]]&gt;=2,1,0)</f>
        <v>1</v>
      </c>
      <c r="N210" s="2">
        <f>IF(LeadsData[[#This Row],[Stage Number]]&gt;=3,1,0)</f>
        <v>0</v>
      </c>
      <c r="O210" s="2">
        <f>IF(LeadsData[[#This Row],[Stage Number]]&gt;=4,1,0)</f>
        <v>0</v>
      </c>
    </row>
    <row r="211" spans="1:15" x14ac:dyDescent="0.25">
      <c r="A211" t="s">
        <v>251</v>
      </c>
      <c r="B211" s="1">
        <v>45396</v>
      </c>
      <c r="C211" t="s">
        <v>46</v>
      </c>
      <c r="D211" t="s">
        <v>56</v>
      </c>
      <c r="E211" t="s">
        <v>21</v>
      </c>
      <c r="F211" t="s">
        <v>19</v>
      </c>
      <c r="G211" t="s">
        <v>23</v>
      </c>
      <c r="K211" cm="1">
        <f t="array" ref="K211">_xlfn.SWITCH(LeadsData[[#This Row],[Funnel Stage Reached]],"Lead",1,"MQL",2,"SQL",3,"Customer",4)</f>
        <v>2</v>
      </c>
      <c r="L211" t="str">
        <f>TEXT(LeadsData[[#This Row],[Signup Date]],"mmm-yyyy")</f>
        <v>Apr-2024</v>
      </c>
      <c r="M211">
        <f>IF(LeadsData[[#This Row],[Stage Number]]&gt;=2,1,0)</f>
        <v>1</v>
      </c>
      <c r="N211" s="2">
        <f>IF(LeadsData[[#This Row],[Stage Number]]&gt;=3,1,0)</f>
        <v>0</v>
      </c>
      <c r="O211" s="2">
        <f>IF(LeadsData[[#This Row],[Stage Number]]&gt;=4,1,0)</f>
        <v>0</v>
      </c>
    </row>
    <row r="212" spans="1:15" x14ac:dyDescent="0.25">
      <c r="A212" t="s">
        <v>252</v>
      </c>
      <c r="B212" s="1">
        <v>45403</v>
      </c>
      <c r="C212" t="s">
        <v>17</v>
      </c>
      <c r="D212" t="s">
        <v>18</v>
      </c>
      <c r="E212" t="s">
        <v>13</v>
      </c>
      <c r="F212" t="s">
        <v>19</v>
      </c>
      <c r="G212" t="s">
        <v>23</v>
      </c>
      <c r="K212" cm="1">
        <f t="array" ref="K212">_xlfn.SWITCH(LeadsData[[#This Row],[Funnel Stage Reached]],"Lead",1,"MQL",2,"SQL",3,"Customer",4)</f>
        <v>2</v>
      </c>
      <c r="L212" t="str">
        <f>TEXT(LeadsData[[#This Row],[Signup Date]],"mmm-yyyy")</f>
        <v>Apr-2024</v>
      </c>
      <c r="M212">
        <f>IF(LeadsData[[#This Row],[Stage Number]]&gt;=2,1,0)</f>
        <v>1</v>
      </c>
      <c r="N212" s="2">
        <f>IF(LeadsData[[#This Row],[Stage Number]]&gt;=3,1,0)</f>
        <v>0</v>
      </c>
      <c r="O212" s="2">
        <f>IF(LeadsData[[#This Row],[Stage Number]]&gt;=4,1,0)</f>
        <v>0</v>
      </c>
    </row>
    <row r="213" spans="1:15" x14ac:dyDescent="0.25">
      <c r="A213" t="s">
        <v>253</v>
      </c>
      <c r="B213" s="1">
        <v>45374</v>
      </c>
      <c r="C213" t="s">
        <v>31</v>
      </c>
      <c r="D213" t="s">
        <v>32</v>
      </c>
      <c r="E213" t="s">
        <v>21</v>
      </c>
      <c r="F213" t="s">
        <v>19</v>
      </c>
      <c r="G213" t="s">
        <v>15</v>
      </c>
      <c r="K213" cm="1">
        <f t="array" ref="K213">_xlfn.SWITCH(LeadsData[[#This Row],[Funnel Stage Reached]],"Lead",1,"MQL",2,"SQL",3,"Customer",4)</f>
        <v>1</v>
      </c>
      <c r="L213" t="str">
        <f>TEXT(LeadsData[[#This Row],[Signup Date]],"mmm-yyyy")</f>
        <v>Mar-2024</v>
      </c>
      <c r="M213">
        <f>IF(LeadsData[[#This Row],[Stage Number]]&gt;=2,1,0)</f>
        <v>0</v>
      </c>
      <c r="N213" s="2">
        <f>IF(LeadsData[[#This Row],[Stage Number]]&gt;=3,1,0)</f>
        <v>0</v>
      </c>
      <c r="O213" s="2">
        <f>IF(LeadsData[[#This Row],[Stage Number]]&gt;=4,1,0)</f>
        <v>0</v>
      </c>
    </row>
    <row r="214" spans="1:15" x14ac:dyDescent="0.25">
      <c r="A214" t="s">
        <v>254</v>
      </c>
      <c r="B214" s="1">
        <v>45376</v>
      </c>
      <c r="C214" t="s">
        <v>25</v>
      </c>
      <c r="D214" t="s">
        <v>26</v>
      </c>
      <c r="E214" t="s">
        <v>21</v>
      </c>
      <c r="F214" t="s">
        <v>19</v>
      </c>
      <c r="G214" t="s">
        <v>29</v>
      </c>
      <c r="K214" cm="1">
        <f t="array" ref="K214">_xlfn.SWITCH(LeadsData[[#This Row],[Funnel Stage Reached]],"Lead",1,"MQL",2,"SQL",3,"Customer",4)</f>
        <v>3</v>
      </c>
      <c r="L214" t="str">
        <f>TEXT(LeadsData[[#This Row],[Signup Date]],"mmm-yyyy")</f>
        <v>Mar-2024</v>
      </c>
      <c r="M214">
        <f>IF(LeadsData[[#This Row],[Stage Number]]&gt;=2,1,0)</f>
        <v>1</v>
      </c>
      <c r="N214" s="2">
        <f>IF(LeadsData[[#This Row],[Stage Number]]&gt;=3,1,0)</f>
        <v>1</v>
      </c>
      <c r="O214" s="2">
        <f>IF(LeadsData[[#This Row],[Stage Number]]&gt;=4,1,0)</f>
        <v>0</v>
      </c>
    </row>
    <row r="215" spans="1:15" x14ac:dyDescent="0.25">
      <c r="A215" t="s">
        <v>255</v>
      </c>
      <c r="B215" s="1">
        <v>45337</v>
      </c>
      <c r="C215" t="s">
        <v>31</v>
      </c>
      <c r="D215" t="s">
        <v>32</v>
      </c>
      <c r="E215" t="s">
        <v>13</v>
      </c>
      <c r="F215" t="s">
        <v>19</v>
      </c>
      <c r="G215" t="s">
        <v>29</v>
      </c>
      <c r="K215" cm="1">
        <f t="array" ref="K215">_xlfn.SWITCH(LeadsData[[#This Row],[Funnel Stage Reached]],"Lead",1,"MQL",2,"SQL",3,"Customer",4)</f>
        <v>3</v>
      </c>
      <c r="L215" t="str">
        <f>TEXT(LeadsData[[#This Row],[Signup Date]],"mmm-yyyy")</f>
        <v>Feb-2024</v>
      </c>
      <c r="M215">
        <f>IF(LeadsData[[#This Row],[Stage Number]]&gt;=2,1,0)</f>
        <v>1</v>
      </c>
      <c r="N215" s="2">
        <f>IF(LeadsData[[#This Row],[Stage Number]]&gt;=3,1,0)</f>
        <v>1</v>
      </c>
      <c r="O215" s="2">
        <f>IF(LeadsData[[#This Row],[Stage Number]]&gt;=4,1,0)</f>
        <v>0</v>
      </c>
    </row>
    <row r="216" spans="1:15" x14ac:dyDescent="0.25">
      <c r="A216" t="s">
        <v>256</v>
      </c>
      <c r="B216" s="1">
        <v>45489</v>
      </c>
      <c r="C216" t="s">
        <v>11</v>
      </c>
      <c r="D216" t="s">
        <v>79</v>
      </c>
      <c r="E216" t="s">
        <v>13</v>
      </c>
      <c r="F216" t="s">
        <v>19</v>
      </c>
      <c r="G216" t="s">
        <v>15</v>
      </c>
      <c r="K216" cm="1">
        <f t="array" ref="K216">_xlfn.SWITCH(LeadsData[[#This Row],[Funnel Stage Reached]],"Lead",1,"MQL",2,"SQL",3,"Customer",4)</f>
        <v>1</v>
      </c>
      <c r="L216" t="str">
        <f>TEXT(LeadsData[[#This Row],[Signup Date]],"mmm-yyyy")</f>
        <v>Jul-2024</v>
      </c>
      <c r="M216">
        <f>IF(LeadsData[[#This Row],[Stage Number]]&gt;=2,1,0)</f>
        <v>0</v>
      </c>
      <c r="N216" s="2">
        <f>IF(LeadsData[[#This Row],[Stage Number]]&gt;=3,1,0)</f>
        <v>0</v>
      </c>
      <c r="O216" s="2">
        <f>IF(LeadsData[[#This Row],[Stage Number]]&gt;=4,1,0)</f>
        <v>0</v>
      </c>
    </row>
    <row r="217" spans="1:15" x14ac:dyDescent="0.25">
      <c r="A217" t="s">
        <v>257</v>
      </c>
      <c r="B217" s="1">
        <v>45409</v>
      </c>
      <c r="C217" t="s">
        <v>17</v>
      </c>
      <c r="D217" t="s">
        <v>53</v>
      </c>
      <c r="E217" t="s">
        <v>13</v>
      </c>
      <c r="F217" t="s">
        <v>28</v>
      </c>
      <c r="G217" t="s">
        <v>23</v>
      </c>
      <c r="K217" cm="1">
        <f t="array" ref="K217">_xlfn.SWITCH(LeadsData[[#This Row],[Funnel Stage Reached]],"Lead",1,"MQL",2,"SQL",3,"Customer",4)</f>
        <v>2</v>
      </c>
      <c r="L217" t="str">
        <f>TEXT(LeadsData[[#This Row],[Signup Date]],"mmm-yyyy")</f>
        <v>Apr-2024</v>
      </c>
      <c r="M217">
        <f>IF(LeadsData[[#This Row],[Stage Number]]&gt;=2,1,0)</f>
        <v>1</v>
      </c>
      <c r="N217" s="2">
        <f>IF(LeadsData[[#This Row],[Stage Number]]&gt;=3,1,0)</f>
        <v>0</v>
      </c>
      <c r="O217" s="2">
        <f>IF(LeadsData[[#This Row],[Stage Number]]&gt;=4,1,0)</f>
        <v>0</v>
      </c>
    </row>
    <row r="218" spans="1:15" x14ac:dyDescent="0.25">
      <c r="A218" t="s">
        <v>258</v>
      </c>
      <c r="B218" s="1">
        <v>45337</v>
      </c>
      <c r="C218" t="s">
        <v>31</v>
      </c>
      <c r="D218" t="s">
        <v>34</v>
      </c>
      <c r="E218" t="s">
        <v>21</v>
      </c>
      <c r="F218" t="s">
        <v>19</v>
      </c>
      <c r="G218" t="s">
        <v>42</v>
      </c>
      <c r="H218">
        <v>44</v>
      </c>
      <c r="I218" t="s">
        <v>43</v>
      </c>
      <c r="J218">
        <v>617.01</v>
      </c>
      <c r="K218" cm="1">
        <f t="array" ref="K218">_xlfn.SWITCH(LeadsData[[#This Row],[Funnel Stage Reached]],"Lead",1,"MQL",2,"SQL",3,"Customer",4)</f>
        <v>4</v>
      </c>
      <c r="L218" t="str">
        <f>TEXT(LeadsData[[#This Row],[Signup Date]],"mmm-yyyy")</f>
        <v>Feb-2024</v>
      </c>
      <c r="M218">
        <f>IF(LeadsData[[#This Row],[Stage Number]]&gt;=2,1,0)</f>
        <v>1</v>
      </c>
      <c r="N218" s="2">
        <f>IF(LeadsData[[#This Row],[Stage Number]]&gt;=3,1,0)</f>
        <v>1</v>
      </c>
      <c r="O218" s="2">
        <f>IF(LeadsData[[#This Row],[Stage Number]]&gt;=4,1,0)</f>
        <v>1</v>
      </c>
    </row>
    <row r="219" spans="1:15" x14ac:dyDescent="0.25">
      <c r="A219" t="s">
        <v>259</v>
      </c>
      <c r="B219" s="1">
        <v>45607</v>
      </c>
      <c r="C219" t="s">
        <v>17</v>
      </c>
      <c r="D219" t="s">
        <v>53</v>
      </c>
      <c r="E219" t="s">
        <v>13</v>
      </c>
      <c r="F219" t="s">
        <v>19</v>
      </c>
      <c r="G219" t="s">
        <v>15</v>
      </c>
      <c r="K219" cm="1">
        <f t="array" ref="K219">_xlfn.SWITCH(LeadsData[[#This Row],[Funnel Stage Reached]],"Lead",1,"MQL",2,"SQL",3,"Customer",4)</f>
        <v>1</v>
      </c>
      <c r="L219" t="str">
        <f>TEXT(LeadsData[[#This Row],[Signup Date]],"mmm-yyyy")</f>
        <v>Nov-2024</v>
      </c>
      <c r="M219">
        <f>IF(LeadsData[[#This Row],[Stage Number]]&gt;=2,1,0)</f>
        <v>0</v>
      </c>
      <c r="N219" s="2">
        <f>IF(LeadsData[[#This Row],[Stage Number]]&gt;=3,1,0)</f>
        <v>0</v>
      </c>
      <c r="O219" s="2">
        <f>IF(LeadsData[[#This Row],[Stage Number]]&gt;=4,1,0)</f>
        <v>0</v>
      </c>
    </row>
    <row r="220" spans="1:15" x14ac:dyDescent="0.25">
      <c r="A220" t="s">
        <v>260</v>
      </c>
      <c r="B220" s="1">
        <v>45315</v>
      </c>
      <c r="C220" t="s">
        <v>31</v>
      </c>
      <c r="D220" t="s">
        <v>34</v>
      </c>
      <c r="E220" t="s">
        <v>21</v>
      </c>
      <c r="F220" t="s">
        <v>22</v>
      </c>
      <c r="G220" t="s">
        <v>29</v>
      </c>
      <c r="K220" cm="1">
        <f t="array" ref="K220">_xlfn.SWITCH(LeadsData[[#This Row],[Funnel Stage Reached]],"Lead",1,"MQL",2,"SQL",3,"Customer",4)</f>
        <v>3</v>
      </c>
      <c r="L220" t="str">
        <f>TEXT(LeadsData[[#This Row],[Signup Date]],"mmm-yyyy")</f>
        <v>Jan-2024</v>
      </c>
      <c r="M220">
        <f>IF(LeadsData[[#This Row],[Stage Number]]&gt;=2,1,0)</f>
        <v>1</v>
      </c>
      <c r="N220" s="2">
        <f>IF(LeadsData[[#This Row],[Stage Number]]&gt;=3,1,0)</f>
        <v>1</v>
      </c>
      <c r="O220" s="2">
        <f>IF(LeadsData[[#This Row],[Stage Number]]&gt;=4,1,0)</f>
        <v>0</v>
      </c>
    </row>
    <row r="221" spans="1:15" x14ac:dyDescent="0.25">
      <c r="A221" t="s">
        <v>261</v>
      </c>
      <c r="B221" s="1">
        <v>45356</v>
      </c>
      <c r="C221" t="s">
        <v>46</v>
      </c>
      <c r="D221" t="s">
        <v>47</v>
      </c>
      <c r="E221" t="s">
        <v>13</v>
      </c>
      <c r="F221" t="s">
        <v>22</v>
      </c>
      <c r="G221" t="s">
        <v>15</v>
      </c>
      <c r="K221" cm="1">
        <f t="array" ref="K221">_xlfn.SWITCH(LeadsData[[#This Row],[Funnel Stage Reached]],"Lead",1,"MQL",2,"SQL",3,"Customer",4)</f>
        <v>1</v>
      </c>
      <c r="L221" t="str">
        <f>TEXT(LeadsData[[#This Row],[Signup Date]],"mmm-yyyy")</f>
        <v>Mar-2024</v>
      </c>
      <c r="M221">
        <f>IF(LeadsData[[#This Row],[Stage Number]]&gt;=2,1,0)</f>
        <v>0</v>
      </c>
      <c r="N221" s="2">
        <f>IF(LeadsData[[#This Row],[Stage Number]]&gt;=3,1,0)</f>
        <v>0</v>
      </c>
      <c r="O221" s="2">
        <f>IF(LeadsData[[#This Row],[Stage Number]]&gt;=4,1,0)</f>
        <v>0</v>
      </c>
    </row>
    <row r="222" spans="1:15" x14ac:dyDescent="0.25">
      <c r="A222" t="s">
        <v>262</v>
      </c>
      <c r="B222" s="1">
        <v>45652</v>
      </c>
      <c r="C222" t="s">
        <v>17</v>
      </c>
      <c r="D222" t="s">
        <v>18</v>
      </c>
      <c r="E222" t="s">
        <v>13</v>
      </c>
      <c r="F222" t="s">
        <v>22</v>
      </c>
      <c r="G222" t="s">
        <v>23</v>
      </c>
      <c r="K222" cm="1">
        <f t="array" ref="K222">_xlfn.SWITCH(LeadsData[[#This Row],[Funnel Stage Reached]],"Lead",1,"MQL",2,"SQL",3,"Customer",4)</f>
        <v>2</v>
      </c>
      <c r="L222" t="str">
        <f>TEXT(LeadsData[[#This Row],[Signup Date]],"mmm-yyyy")</f>
        <v>Dec-2024</v>
      </c>
      <c r="M222">
        <f>IF(LeadsData[[#This Row],[Stage Number]]&gt;=2,1,0)</f>
        <v>1</v>
      </c>
      <c r="N222" s="2">
        <f>IF(LeadsData[[#This Row],[Stage Number]]&gt;=3,1,0)</f>
        <v>0</v>
      </c>
      <c r="O222" s="2">
        <f>IF(LeadsData[[#This Row],[Stage Number]]&gt;=4,1,0)</f>
        <v>0</v>
      </c>
    </row>
    <row r="223" spans="1:15" x14ac:dyDescent="0.25">
      <c r="A223" t="s">
        <v>263</v>
      </c>
      <c r="B223" s="1">
        <v>45340</v>
      </c>
      <c r="C223" t="s">
        <v>11</v>
      </c>
      <c r="D223" t="s">
        <v>68</v>
      </c>
      <c r="E223" t="s">
        <v>13</v>
      </c>
      <c r="F223" t="s">
        <v>22</v>
      </c>
      <c r="G223" t="s">
        <v>15</v>
      </c>
      <c r="K223" cm="1">
        <f t="array" ref="K223">_xlfn.SWITCH(LeadsData[[#This Row],[Funnel Stage Reached]],"Lead",1,"MQL",2,"SQL",3,"Customer",4)</f>
        <v>1</v>
      </c>
      <c r="L223" t="str">
        <f>TEXT(LeadsData[[#This Row],[Signup Date]],"mmm-yyyy")</f>
        <v>Feb-2024</v>
      </c>
      <c r="M223">
        <f>IF(LeadsData[[#This Row],[Stage Number]]&gt;=2,1,0)</f>
        <v>0</v>
      </c>
      <c r="N223" s="2">
        <f>IF(LeadsData[[#This Row],[Stage Number]]&gt;=3,1,0)</f>
        <v>0</v>
      </c>
      <c r="O223" s="2">
        <f>IF(LeadsData[[#This Row],[Stage Number]]&gt;=4,1,0)</f>
        <v>0</v>
      </c>
    </row>
    <row r="224" spans="1:15" x14ac:dyDescent="0.25">
      <c r="A224" t="s">
        <v>264</v>
      </c>
      <c r="B224" s="1">
        <v>45485</v>
      </c>
      <c r="C224" t="s">
        <v>11</v>
      </c>
      <c r="D224" t="s">
        <v>79</v>
      </c>
      <c r="E224" t="s">
        <v>13</v>
      </c>
      <c r="F224" t="s">
        <v>22</v>
      </c>
      <c r="G224" t="s">
        <v>23</v>
      </c>
      <c r="K224" cm="1">
        <f t="array" ref="K224">_xlfn.SWITCH(LeadsData[[#This Row],[Funnel Stage Reached]],"Lead",1,"MQL",2,"SQL",3,"Customer",4)</f>
        <v>2</v>
      </c>
      <c r="L224" t="str">
        <f>TEXT(LeadsData[[#This Row],[Signup Date]],"mmm-yyyy")</f>
        <v>Jul-2024</v>
      </c>
      <c r="M224">
        <f>IF(LeadsData[[#This Row],[Stage Number]]&gt;=2,1,0)</f>
        <v>1</v>
      </c>
      <c r="N224" s="2">
        <f>IF(LeadsData[[#This Row],[Stage Number]]&gt;=3,1,0)</f>
        <v>0</v>
      </c>
      <c r="O224" s="2">
        <f>IF(LeadsData[[#This Row],[Stage Number]]&gt;=4,1,0)</f>
        <v>0</v>
      </c>
    </row>
    <row r="225" spans="1:15" x14ac:dyDescent="0.25">
      <c r="A225" t="s">
        <v>265</v>
      </c>
      <c r="B225" s="1">
        <v>45530</v>
      </c>
      <c r="C225" t="s">
        <v>36</v>
      </c>
      <c r="D225" t="s">
        <v>37</v>
      </c>
      <c r="E225" t="s">
        <v>48</v>
      </c>
      <c r="F225" t="s">
        <v>22</v>
      </c>
      <c r="G225" t="s">
        <v>42</v>
      </c>
      <c r="H225">
        <v>69</v>
      </c>
      <c r="I225" t="s">
        <v>87</v>
      </c>
      <c r="J225">
        <v>2231.0300000000002</v>
      </c>
      <c r="K225" cm="1">
        <f t="array" ref="K225">_xlfn.SWITCH(LeadsData[[#This Row],[Funnel Stage Reached]],"Lead",1,"MQL",2,"SQL",3,"Customer",4)</f>
        <v>4</v>
      </c>
      <c r="L225" t="str">
        <f>TEXT(LeadsData[[#This Row],[Signup Date]],"mmm-yyyy")</f>
        <v>Aug-2024</v>
      </c>
      <c r="M225">
        <f>IF(LeadsData[[#This Row],[Stage Number]]&gt;=2,1,0)</f>
        <v>1</v>
      </c>
      <c r="N225" s="2">
        <f>IF(LeadsData[[#This Row],[Stage Number]]&gt;=3,1,0)</f>
        <v>1</v>
      </c>
      <c r="O225" s="2">
        <f>IF(LeadsData[[#This Row],[Stage Number]]&gt;=4,1,0)</f>
        <v>1</v>
      </c>
    </row>
    <row r="226" spans="1:15" x14ac:dyDescent="0.25">
      <c r="A226" t="s">
        <v>266</v>
      </c>
      <c r="B226" s="1">
        <v>45495</v>
      </c>
      <c r="C226" t="s">
        <v>17</v>
      </c>
      <c r="D226" t="s">
        <v>18</v>
      </c>
      <c r="E226" t="s">
        <v>21</v>
      </c>
      <c r="F226" t="s">
        <v>28</v>
      </c>
      <c r="G226" t="s">
        <v>29</v>
      </c>
      <c r="K226" cm="1">
        <f t="array" ref="K226">_xlfn.SWITCH(LeadsData[[#This Row],[Funnel Stage Reached]],"Lead",1,"MQL",2,"SQL",3,"Customer",4)</f>
        <v>3</v>
      </c>
      <c r="L226" t="str">
        <f>TEXT(LeadsData[[#This Row],[Signup Date]],"mmm-yyyy")</f>
        <v>Jul-2024</v>
      </c>
      <c r="M226">
        <f>IF(LeadsData[[#This Row],[Stage Number]]&gt;=2,1,0)</f>
        <v>1</v>
      </c>
      <c r="N226" s="2">
        <f>IF(LeadsData[[#This Row],[Stage Number]]&gt;=3,1,0)</f>
        <v>1</v>
      </c>
      <c r="O226" s="2">
        <f>IF(LeadsData[[#This Row],[Stage Number]]&gt;=4,1,0)</f>
        <v>0</v>
      </c>
    </row>
    <row r="227" spans="1:15" x14ac:dyDescent="0.25">
      <c r="A227" t="s">
        <v>267</v>
      </c>
      <c r="B227" s="1">
        <v>45523</v>
      </c>
      <c r="C227" t="s">
        <v>36</v>
      </c>
      <c r="D227" t="s">
        <v>50</v>
      </c>
      <c r="E227" t="s">
        <v>21</v>
      </c>
      <c r="F227" t="s">
        <v>14</v>
      </c>
      <c r="G227" t="s">
        <v>29</v>
      </c>
      <c r="K227" cm="1">
        <f t="array" ref="K227">_xlfn.SWITCH(LeadsData[[#This Row],[Funnel Stage Reached]],"Lead",1,"MQL",2,"SQL",3,"Customer",4)</f>
        <v>3</v>
      </c>
      <c r="L227" t="str">
        <f>TEXT(LeadsData[[#This Row],[Signup Date]],"mmm-yyyy")</f>
        <v>Aug-2024</v>
      </c>
      <c r="M227">
        <f>IF(LeadsData[[#This Row],[Stage Number]]&gt;=2,1,0)</f>
        <v>1</v>
      </c>
      <c r="N227" s="2">
        <f>IF(LeadsData[[#This Row],[Stage Number]]&gt;=3,1,0)</f>
        <v>1</v>
      </c>
      <c r="O227" s="2">
        <f>IF(LeadsData[[#This Row],[Stage Number]]&gt;=4,1,0)</f>
        <v>0</v>
      </c>
    </row>
    <row r="228" spans="1:15" x14ac:dyDescent="0.25">
      <c r="A228" t="s">
        <v>268</v>
      </c>
      <c r="B228" s="1">
        <v>45417</v>
      </c>
      <c r="C228" t="s">
        <v>11</v>
      </c>
      <c r="D228" t="s">
        <v>68</v>
      </c>
      <c r="E228" t="s">
        <v>21</v>
      </c>
      <c r="F228" t="s">
        <v>19</v>
      </c>
      <c r="G228" t="s">
        <v>29</v>
      </c>
      <c r="K228" cm="1">
        <f t="array" ref="K228">_xlfn.SWITCH(LeadsData[[#This Row],[Funnel Stage Reached]],"Lead",1,"MQL",2,"SQL",3,"Customer",4)</f>
        <v>3</v>
      </c>
      <c r="L228" t="str">
        <f>TEXT(LeadsData[[#This Row],[Signup Date]],"mmm-yyyy")</f>
        <v>May-2024</v>
      </c>
      <c r="M228">
        <f>IF(LeadsData[[#This Row],[Stage Number]]&gt;=2,1,0)</f>
        <v>1</v>
      </c>
      <c r="N228" s="2">
        <f>IF(LeadsData[[#This Row],[Stage Number]]&gt;=3,1,0)</f>
        <v>1</v>
      </c>
      <c r="O228" s="2">
        <f>IF(LeadsData[[#This Row],[Stage Number]]&gt;=4,1,0)</f>
        <v>0</v>
      </c>
    </row>
    <row r="229" spans="1:15" x14ac:dyDescent="0.25">
      <c r="A229" t="s">
        <v>269</v>
      </c>
      <c r="B229" s="1">
        <v>45633</v>
      </c>
      <c r="C229" t="s">
        <v>46</v>
      </c>
      <c r="D229" t="s">
        <v>47</v>
      </c>
      <c r="E229" t="s">
        <v>48</v>
      </c>
      <c r="F229" t="s">
        <v>14</v>
      </c>
      <c r="G229" t="s">
        <v>42</v>
      </c>
      <c r="H229">
        <v>72</v>
      </c>
      <c r="I229" t="s">
        <v>183</v>
      </c>
      <c r="J229">
        <v>12214.39</v>
      </c>
      <c r="K229" cm="1">
        <f t="array" ref="K229">_xlfn.SWITCH(LeadsData[[#This Row],[Funnel Stage Reached]],"Lead",1,"MQL",2,"SQL",3,"Customer",4)</f>
        <v>4</v>
      </c>
      <c r="L229" t="str">
        <f>TEXT(LeadsData[[#This Row],[Signup Date]],"mmm-yyyy")</f>
        <v>Dec-2024</v>
      </c>
      <c r="M229">
        <f>IF(LeadsData[[#This Row],[Stage Number]]&gt;=2,1,0)</f>
        <v>1</v>
      </c>
      <c r="N229" s="2">
        <f>IF(LeadsData[[#This Row],[Stage Number]]&gt;=3,1,0)</f>
        <v>1</v>
      </c>
      <c r="O229" s="2">
        <f>IF(LeadsData[[#This Row],[Stage Number]]&gt;=4,1,0)</f>
        <v>1</v>
      </c>
    </row>
    <row r="230" spans="1:15" x14ac:dyDescent="0.25">
      <c r="A230" t="s">
        <v>270</v>
      </c>
      <c r="B230" s="1">
        <v>45639</v>
      </c>
      <c r="C230" t="s">
        <v>46</v>
      </c>
      <c r="D230" t="s">
        <v>56</v>
      </c>
      <c r="E230" t="s">
        <v>21</v>
      </c>
      <c r="F230" t="s">
        <v>19</v>
      </c>
      <c r="G230" t="s">
        <v>15</v>
      </c>
      <c r="K230" cm="1">
        <f t="array" ref="K230">_xlfn.SWITCH(LeadsData[[#This Row],[Funnel Stage Reached]],"Lead",1,"MQL",2,"SQL",3,"Customer",4)</f>
        <v>1</v>
      </c>
      <c r="L230" t="str">
        <f>TEXT(LeadsData[[#This Row],[Signup Date]],"mmm-yyyy")</f>
        <v>Dec-2024</v>
      </c>
      <c r="M230">
        <f>IF(LeadsData[[#This Row],[Stage Number]]&gt;=2,1,0)</f>
        <v>0</v>
      </c>
      <c r="N230" s="2">
        <f>IF(LeadsData[[#This Row],[Stage Number]]&gt;=3,1,0)</f>
        <v>0</v>
      </c>
      <c r="O230" s="2">
        <f>IF(LeadsData[[#This Row],[Stage Number]]&gt;=4,1,0)</f>
        <v>0</v>
      </c>
    </row>
    <row r="231" spans="1:15" x14ac:dyDescent="0.25">
      <c r="A231" t="s">
        <v>271</v>
      </c>
      <c r="B231" s="1">
        <v>45652</v>
      </c>
      <c r="C231" t="s">
        <v>25</v>
      </c>
      <c r="D231" t="s">
        <v>26</v>
      </c>
      <c r="E231" t="s">
        <v>21</v>
      </c>
      <c r="F231" t="s">
        <v>14</v>
      </c>
      <c r="G231" t="s">
        <v>15</v>
      </c>
      <c r="K231" cm="1">
        <f t="array" ref="K231">_xlfn.SWITCH(LeadsData[[#This Row],[Funnel Stage Reached]],"Lead",1,"MQL",2,"SQL",3,"Customer",4)</f>
        <v>1</v>
      </c>
      <c r="L231" t="str">
        <f>TEXT(LeadsData[[#This Row],[Signup Date]],"mmm-yyyy")</f>
        <v>Dec-2024</v>
      </c>
      <c r="M231">
        <f>IF(LeadsData[[#This Row],[Stage Number]]&gt;=2,1,0)</f>
        <v>0</v>
      </c>
      <c r="N231" s="2">
        <f>IF(LeadsData[[#This Row],[Stage Number]]&gt;=3,1,0)</f>
        <v>0</v>
      </c>
      <c r="O231" s="2">
        <f>IF(LeadsData[[#This Row],[Stage Number]]&gt;=4,1,0)</f>
        <v>0</v>
      </c>
    </row>
    <row r="232" spans="1:15" x14ac:dyDescent="0.25">
      <c r="A232" t="s">
        <v>272</v>
      </c>
      <c r="B232" s="1">
        <v>45386</v>
      </c>
      <c r="C232" t="s">
        <v>31</v>
      </c>
      <c r="D232" t="s">
        <v>34</v>
      </c>
      <c r="E232" t="s">
        <v>13</v>
      </c>
      <c r="F232" t="s">
        <v>22</v>
      </c>
      <c r="G232" t="s">
        <v>23</v>
      </c>
      <c r="K232" cm="1">
        <f t="array" ref="K232">_xlfn.SWITCH(LeadsData[[#This Row],[Funnel Stage Reached]],"Lead",1,"MQL",2,"SQL",3,"Customer",4)</f>
        <v>2</v>
      </c>
      <c r="L232" t="str">
        <f>TEXT(LeadsData[[#This Row],[Signup Date]],"mmm-yyyy")</f>
        <v>Apr-2024</v>
      </c>
      <c r="M232">
        <f>IF(LeadsData[[#This Row],[Stage Number]]&gt;=2,1,0)</f>
        <v>1</v>
      </c>
      <c r="N232" s="2">
        <f>IF(LeadsData[[#This Row],[Stage Number]]&gt;=3,1,0)</f>
        <v>0</v>
      </c>
      <c r="O232" s="2">
        <f>IF(LeadsData[[#This Row],[Stage Number]]&gt;=4,1,0)</f>
        <v>0</v>
      </c>
    </row>
    <row r="233" spans="1:15" x14ac:dyDescent="0.25">
      <c r="A233" t="s">
        <v>273</v>
      </c>
      <c r="B233" s="1">
        <v>45576</v>
      </c>
      <c r="C233" t="s">
        <v>46</v>
      </c>
      <c r="D233" t="s">
        <v>47</v>
      </c>
      <c r="E233" t="s">
        <v>13</v>
      </c>
      <c r="F233" t="s">
        <v>22</v>
      </c>
      <c r="G233" t="s">
        <v>23</v>
      </c>
      <c r="K233" cm="1">
        <f t="array" ref="K233">_xlfn.SWITCH(LeadsData[[#This Row],[Funnel Stage Reached]],"Lead",1,"MQL",2,"SQL",3,"Customer",4)</f>
        <v>2</v>
      </c>
      <c r="L233" t="str">
        <f>TEXT(LeadsData[[#This Row],[Signup Date]],"mmm-yyyy")</f>
        <v>Oct-2024</v>
      </c>
      <c r="M233">
        <f>IF(LeadsData[[#This Row],[Stage Number]]&gt;=2,1,0)</f>
        <v>1</v>
      </c>
      <c r="N233" s="2">
        <f>IF(LeadsData[[#This Row],[Stage Number]]&gt;=3,1,0)</f>
        <v>0</v>
      </c>
      <c r="O233" s="2">
        <f>IF(LeadsData[[#This Row],[Stage Number]]&gt;=4,1,0)</f>
        <v>0</v>
      </c>
    </row>
    <row r="234" spans="1:15" x14ac:dyDescent="0.25">
      <c r="A234" t="s">
        <v>274</v>
      </c>
      <c r="B234" s="1">
        <v>45543</v>
      </c>
      <c r="C234" t="s">
        <v>36</v>
      </c>
      <c r="D234" t="s">
        <v>37</v>
      </c>
      <c r="E234" t="s">
        <v>13</v>
      </c>
      <c r="F234" t="s">
        <v>22</v>
      </c>
      <c r="G234" t="s">
        <v>29</v>
      </c>
      <c r="K234" cm="1">
        <f t="array" ref="K234">_xlfn.SWITCH(LeadsData[[#This Row],[Funnel Stage Reached]],"Lead",1,"MQL",2,"SQL",3,"Customer",4)</f>
        <v>3</v>
      </c>
      <c r="L234" t="str">
        <f>TEXT(LeadsData[[#This Row],[Signup Date]],"mmm-yyyy")</f>
        <v>Sep-2024</v>
      </c>
      <c r="M234">
        <f>IF(LeadsData[[#This Row],[Stage Number]]&gt;=2,1,0)</f>
        <v>1</v>
      </c>
      <c r="N234" s="2">
        <f>IF(LeadsData[[#This Row],[Stage Number]]&gt;=3,1,0)</f>
        <v>1</v>
      </c>
      <c r="O234" s="2">
        <f>IF(LeadsData[[#This Row],[Stage Number]]&gt;=4,1,0)</f>
        <v>0</v>
      </c>
    </row>
    <row r="235" spans="1:15" x14ac:dyDescent="0.25">
      <c r="A235" t="s">
        <v>275</v>
      </c>
      <c r="B235" s="1">
        <v>45560</v>
      </c>
      <c r="C235" t="s">
        <v>31</v>
      </c>
      <c r="D235" t="s">
        <v>32</v>
      </c>
      <c r="E235" t="s">
        <v>21</v>
      </c>
      <c r="F235" t="s">
        <v>22</v>
      </c>
      <c r="G235" t="s">
        <v>23</v>
      </c>
      <c r="K235" cm="1">
        <f t="array" ref="K235">_xlfn.SWITCH(LeadsData[[#This Row],[Funnel Stage Reached]],"Lead",1,"MQL",2,"SQL",3,"Customer",4)</f>
        <v>2</v>
      </c>
      <c r="L235" t="str">
        <f>TEXT(LeadsData[[#This Row],[Signup Date]],"mmm-yyyy")</f>
        <v>Sep-2024</v>
      </c>
      <c r="M235">
        <f>IF(LeadsData[[#This Row],[Stage Number]]&gt;=2,1,0)</f>
        <v>1</v>
      </c>
      <c r="N235" s="2">
        <f>IF(LeadsData[[#This Row],[Stage Number]]&gt;=3,1,0)</f>
        <v>0</v>
      </c>
      <c r="O235" s="2">
        <f>IF(LeadsData[[#This Row],[Stage Number]]&gt;=4,1,0)</f>
        <v>0</v>
      </c>
    </row>
    <row r="236" spans="1:15" x14ac:dyDescent="0.25">
      <c r="A236" t="s">
        <v>276</v>
      </c>
      <c r="B236" s="1">
        <v>45643</v>
      </c>
      <c r="C236" t="s">
        <v>25</v>
      </c>
      <c r="D236" t="s">
        <v>26</v>
      </c>
      <c r="E236" t="s">
        <v>13</v>
      </c>
      <c r="F236" t="s">
        <v>19</v>
      </c>
      <c r="G236" t="s">
        <v>15</v>
      </c>
      <c r="K236" cm="1">
        <f t="array" ref="K236">_xlfn.SWITCH(LeadsData[[#This Row],[Funnel Stage Reached]],"Lead",1,"MQL",2,"SQL",3,"Customer",4)</f>
        <v>1</v>
      </c>
      <c r="L236" t="str">
        <f>TEXT(LeadsData[[#This Row],[Signup Date]],"mmm-yyyy")</f>
        <v>Dec-2024</v>
      </c>
      <c r="M236">
        <f>IF(LeadsData[[#This Row],[Stage Number]]&gt;=2,1,0)</f>
        <v>0</v>
      </c>
      <c r="N236" s="2">
        <f>IF(LeadsData[[#This Row],[Stage Number]]&gt;=3,1,0)</f>
        <v>0</v>
      </c>
      <c r="O236" s="2">
        <f>IF(LeadsData[[#This Row],[Stage Number]]&gt;=4,1,0)</f>
        <v>0</v>
      </c>
    </row>
    <row r="237" spans="1:15" x14ac:dyDescent="0.25">
      <c r="A237" t="s">
        <v>277</v>
      </c>
      <c r="B237" s="1">
        <v>45313</v>
      </c>
      <c r="C237" t="s">
        <v>31</v>
      </c>
      <c r="D237" t="s">
        <v>32</v>
      </c>
      <c r="E237" t="s">
        <v>21</v>
      </c>
      <c r="F237" t="s">
        <v>22</v>
      </c>
      <c r="G237" t="s">
        <v>29</v>
      </c>
      <c r="K237" cm="1">
        <f t="array" ref="K237">_xlfn.SWITCH(LeadsData[[#This Row],[Funnel Stage Reached]],"Lead",1,"MQL",2,"SQL",3,"Customer",4)</f>
        <v>3</v>
      </c>
      <c r="L237" t="str">
        <f>TEXT(LeadsData[[#This Row],[Signup Date]],"mmm-yyyy")</f>
        <v>Jan-2024</v>
      </c>
      <c r="M237">
        <f>IF(LeadsData[[#This Row],[Stage Number]]&gt;=2,1,0)</f>
        <v>1</v>
      </c>
      <c r="N237" s="2">
        <f>IF(LeadsData[[#This Row],[Stage Number]]&gt;=3,1,0)</f>
        <v>1</v>
      </c>
      <c r="O237" s="2">
        <f>IF(LeadsData[[#This Row],[Stage Number]]&gt;=4,1,0)</f>
        <v>0</v>
      </c>
    </row>
    <row r="238" spans="1:15" x14ac:dyDescent="0.25">
      <c r="A238" t="s">
        <v>278</v>
      </c>
      <c r="B238" s="1">
        <v>45640</v>
      </c>
      <c r="C238" t="s">
        <v>11</v>
      </c>
      <c r="D238" t="s">
        <v>79</v>
      </c>
      <c r="E238" t="s">
        <v>21</v>
      </c>
      <c r="F238" t="s">
        <v>22</v>
      </c>
      <c r="G238" t="s">
        <v>23</v>
      </c>
      <c r="K238" cm="1">
        <f t="array" ref="K238">_xlfn.SWITCH(LeadsData[[#This Row],[Funnel Stage Reached]],"Lead",1,"MQL",2,"SQL",3,"Customer",4)</f>
        <v>2</v>
      </c>
      <c r="L238" t="str">
        <f>TEXT(LeadsData[[#This Row],[Signup Date]],"mmm-yyyy")</f>
        <v>Dec-2024</v>
      </c>
      <c r="M238">
        <f>IF(LeadsData[[#This Row],[Stage Number]]&gt;=2,1,0)</f>
        <v>1</v>
      </c>
      <c r="N238" s="2">
        <f>IF(LeadsData[[#This Row],[Stage Number]]&gt;=3,1,0)</f>
        <v>0</v>
      </c>
      <c r="O238" s="2">
        <f>IF(LeadsData[[#This Row],[Stage Number]]&gt;=4,1,0)</f>
        <v>0</v>
      </c>
    </row>
    <row r="239" spans="1:15" x14ac:dyDescent="0.25">
      <c r="A239" t="s">
        <v>279</v>
      </c>
      <c r="B239" s="1">
        <v>45540</v>
      </c>
      <c r="C239" t="s">
        <v>11</v>
      </c>
      <c r="D239" t="s">
        <v>79</v>
      </c>
      <c r="E239" t="s">
        <v>21</v>
      </c>
      <c r="F239" t="s">
        <v>14</v>
      </c>
      <c r="G239" t="s">
        <v>15</v>
      </c>
      <c r="K239" cm="1">
        <f t="array" ref="K239">_xlfn.SWITCH(LeadsData[[#This Row],[Funnel Stage Reached]],"Lead",1,"MQL",2,"SQL",3,"Customer",4)</f>
        <v>1</v>
      </c>
      <c r="L239" t="str">
        <f>TEXT(LeadsData[[#This Row],[Signup Date]],"mmm-yyyy")</f>
        <v>Sep-2024</v>
      </c>
      <c r="M239">
        <f>IF(LeadsData[[#This Row],[Stage Number]]&gt;=2,1,0)</f>
        <v>0</v>
      </c>
      <c r="N239" s="2">
        <f>IF(LeadsData[[#This Row],[Stage Number]]&gt;=3,1,0)</f>
        <v>0</v>
      </c>
      <c r="O239" s="2">
        <f>IF(LeadsData[[#This Row],[Stage Number]]&gt;=4,1,0)</f>
        <v>0</v>
      </c>
    </row>
    <row r="240" spans="1:15" x14ac:dyDescent="0.25">
      <c r="A240" t="s">
        <v>280</v>
      </c>
      <c r="B240" s="1">
        <v>45444</v>
      </c>
      <c r="C240" t="s">
        <v>31</v>
      </c>
      <c r="D240" t="s">
        <v>34</v>
      </c>
      <c r="E240" t="s">
        <v>21</v>
      </c>
      <c r="F240" t="s">
        <v>19</v>
      </c>
      <c r="G240" t="s">
        <v>23</v>
      </c>
      <c r="K240" cm="1">
        <f t="array" ref="K240">_xlfn.SWITCH(LeadsData[[#This Row],[Funnel Stage Reached]],"Lead",1,"MQL",2,"SQL",3,"Customer",4)</f>
        <v>2</v>
      </c>
      <c r="L240" t="str">
        <f>TEXT(LeadsData[[#This Row],[Signup Date]],"mmm-yyyy")</f>
        <v>Jun-2024</v>
      </c>
      <c r="M240">
        <f>IF(LeadsData[[#This Row],[Stage Number]]&gt;=2,1,0)</f>
        <v>1</v>
      </c>
      <c r="N240" s="2">
        <f>IF(LeadsData[[#This Row],[Stage Number]]&gt;=3,1,0)</f>
        <v>0</v>
      </c>
      <c r="O240" s="2">
        <f>IF(LeadsData[[#This Row],[Stage Number]]&gt;=4,1,0)</f>
        <v>0</v>
      </c>
    </row>
    <row r="241" spans="1:15" x14ac:dyDescent="0.25">
      <c r="A241" t="s">
        <v>281</v>
      </c>
      <c r="B241" s="1">
        <v>45585</v>
      </c>
      <c r="C241" t="s">
        <v>31</v>
      </c>
      <c r="D241" t="s">
        <v>32</v>
      </c>
      <c r="E241" t="s">
        <v>21</v>
      </c>
      <c r="F241" t="s">
        <v>14</v>
      </c>
      <c r="G241" t="s">
        <v>15</v>
      </c>
      <c r="K241" cm="1">
        <f t="array" ref="K241">_xlfn.SWITCH(LeadsData[[#This Row],[Funnel Stage Reached]],"Lead",1,"MQL",2,"SQL",3,"Customer",4)</f>
        <v>1</v>
      </c>
      <c r="L241" t="str">
        <f>TEXT(LeadsData[[#This Row],[Signup Date]],"mmm-yyyy")</f>
        <v>Oct-2024</v>
      </c>
      <c r="M241">
        <f>IF(LeadsData[[#This Row],[Stage Number]]&gt;=2,1,0)</f>
        <v>0</v>
      </c>
      <c r="N241" s="2">
        <f>IF(LeadsData[[#This Row],[Stage Number]]&gt;=3,1,0)</f>
        <v>0</v>
      </c>
      <c r="O241" s="2">
        <f>IF(LeadsData[[#This Row],[Stage Number]]&gt;=4,1,0)</f>
        <v>0</v>
      </c>
    </row>
    <row r="242" spans="1:15" x14ac:dyDescent="0.25">
      <c r="A242" t="s">
        <v>282</v>
      </c>
      <c r="B242" s="1">
        <v>45301</v>
      </c>
      <c r="C242" t="s">
        <v>17</v>
      </c>
      <c r="D242" t="s">
        <v>53</v>
      </c>
      <c r="E242" t="s">
        <v>21</v>
      </c>
      <c r="F242" t="s">
        <v>22</v>
      </c>
      <c r="G242" t="s">
        <v>23</v>
      </c>
      <c r="K242" cm="1">
        <f t="array" ref="K242">_xlfn.SWITCH(LeadsData[[#This Row],[Funnel Stage Reached]],"Lead",1,"MQL",2,"SQL",3,"Customer",4)</f>
        <v>2</v>
      </c>
      <c r="L242" t="str">
        <f>TEXT(LeadsData[[#This Row],[Signup Date]],"mmm-yyyy")</f>
        <v>Jan-2024</v>
      </c>
      <c r="M242">
        <f>IF(LeadsData[[#This Row],[Stage Number]]&gt;=2,1,0)</f>
        <v>1</v>
      </c>
      <c r="N242" s="2">
        <f>IF(LeadsData[[#This Row],[Stage Number]]&gt;=3,1,0)</f>
        <v>0</v>
      </c>
      <c r="O242" s="2">
        <f>IF(LeadsData[[#This Row],[Stage Number]]&gt;=4,1,0)</f>
        <v>0</v>
      </c>
    </row>
    <row r="243" spans="1:15" x14ac:dyDescent="0.25">
      <c r="A243" t="s">
        <v>283</v>
      </c>
      <c r="B243" s="1">
        <v>45336</v>
      </c>
      <c r="C243" t="s">
        <v>11</v>
      </c>
      <c r="D243" t="s">
        <v>68</v>
      </c>
      <c r="E243" t="s">
        <v>13</v>
      </c>
      <c r="F243" t="s">
        <v>19</v>
      </c>
      <c r="G243" t="s">
        <v>29</v>
      </c>
      <c r="K243" cm="1">
        <f t="array" ref="K243">_xlfn.SWITCH(LeadsData[[#This Row],[Funnel Stage Reached]],"Lead",1,"MQL",2,"SQL",3,"Customer",4)</f>
        <v>3</v>
      </c>
      <c r="L243" t="str">
        <f>TEXT(LeadsData[[#This Row],[Signup Date]],"mmm-yyyy")</f>
        <v>Feb-2024</v>
      </c>
      <c r="M243">
        <f>IF(LeadsData[[#This Row],[Stage Number]]&gt;=2,1,0)</f>
        <v>1</v>
      </c>
      <c r="N243" s="2">
        <f>IF(LeadsData[[#This Row],[Stage Number]]&gt;=3,1,0)</f>
        <v>1</v>
      </c>
      <c r="O243" s="2">
        <f>IF(LeadsData[[#This Row],[Stage Number]]&gt;=4,1,0)</f>
        <v>0</v>
      </c>
    </row>
    <row r="244" spans="1:15" x14ac:dyDescent="0.25">
      <c r="A244" t="s">
        <v>284</v>
      </c>
      <c r="B244" s="1">
        <v>45543</v>
      </c>
      <c r="C244" t="s">
        <v>17</v>
      </c>
      <c r="D244" t="s">
        <v>18</v>
      </c>
      <c r="E244" t="s">
        <v>13</v>
      </c>
      <c r="F244" t="s">
        <v>19</v>
      </c>
      <c r="G244" t="s">
        <v>15</v>
      </c>
      <c r="K244" cm="1">
        <f t="array" ref="K244">_xlfn.SWITCH(LeadsData[[#This Row],[Funnel Stage Reached]],"Lead",1,"MQL",2,"SQL",3,"Customer",4)</f>
        <v>1</v>
      </c>
      <c r="L244" t="str">
        <f>TEXT(LeadsData[[#This Row],[Signup Date]],"mmm-yyyy")</f>
        <v>Sep-2024</v>
      </c>
      <c r="M244">
        <f>IF(LeadsData[[#This Row],[Stage Number]]&gt;=2,1,0)</f>
        <v>0</v>
      </c>
      <c r="N244" s="2">
        <f>IF(LeadsData[[#This Row],[Stage Number]]&gt;=3,1,0)</f>
        <v>0</v>
      </c>
      <c r="O244" s="2">
        <f>IF(LeadsData[[#This Row],[Stage Number]]&gt;=4,1,0)</f>
        <v>0</v>
      </c>
    </row>
    <row r="245" spans="1:15" x14ac:dyDescent="0.25">
      <c r="A245" t="s">
        <v>285</v>
      </c>
      <c r="B245" s="1">
        <v>45547</v>
      </c>
      <c r="C245" t="s">
        <v>17</v>
      </c>
      <c r="D245" t="s">
        <v>18</v>
      </c>
      <c r="E245" t="s">
        <v>21</v>
      </c>
      <c r="F245" t="s">
        <v>22</v>
      </c>
      <c r="G245" t="s">
        <v>29</v>
      </c>
      <c r="K245" cm="1">
        <f t="array" ref="K245">_xlfn.SWITCH(LeadsData[[#This Row],[Funnel Stage Reached]],"Lead",1,"MQL",2,"SQL",3,"Customer",4)</f>
        <v>3</v>
      </c>
      <c r="L245" t="str">
        <f>TEXT(LeadsData[[#This Row],[Signup Date]],"mmm-yyyy")</f>
        <v>Sep-2024</v>
      </c>
      <c r="M245">
        <f>IF(LeadsData[[#This Row],[Stage Number]]&gt;=2,1,0)</f>
        <v>1</v>
      </c>
      <c r="N245" s="2">
        <f>IF(LeadsData[[#This Row],[Stage Number]]&gt;=3,1,0)</f>
        <v>1</v>
      </c>
      <c r="O245" s="2">
        <f>IF(LeadsData[[#This Row],[Stage Number]]&gt;=4,1,0)</f>
        <v>0</v>
      </c>
    </row>
    <row r="246" spans="1:15" x14ac:dyDescent="0.25">
      <c r="A246" t="s">
        <v>286</v>
      </c>
      <c r="B246" s="1">
        <v>45449</v>
      </c>
      <c r="C246" t="s">
        <v>46</v>
      </c>
      <c r="D246" t="s">
        <v>47</v>
      </c>
      <c r="E246" t="s">
        <v>21</v>
      </c>
      <c r="F246" t="s">
        <v>19</v>
      </c>
      <c r="G246" t="s">
        <v>23</v>
      </c>
      <c r="K246" cm="1">
        <f t="array" ref="K246">_xlfn.SWITCH(LeadsData[[#This Row],[Funnel Stage Reached]],"Lead",1,"MQL",2,"SQL",3,"Customer",4)</f>
        <v>2</v>
      </c>
      <c r="L246" t="str">
        <f>TEXT(LeadsData[[#This Row],[Signup Date]],"mmm-yyyy")</f>
        <v>Jun-2024</v>
      </c>
      <c r="M246">
        <f>IF(LeadsData[[#This Row],[Stage Number]]&gt;=2,1,0)</f>
        <v>1</v>
      </c>
      <c r="N246" s="2">
        <f>IF(LeadsData[[#This Row],[Stage Number]]&gt;=3,1,0)</f>
        <v>0</v>
      </c>
      <c r="O246" s="2">
        <f>IF(LeadsData[[#This Row],[Stage Number]]&gt;=4,1,0)</f>
        <v>0</v>
      </c>
    </row>
    <row r="247" spans="1:15" x14ac:dyDescent="0.25">
      <c r="A247" t="s">
        <v>287</v>
      </c>
      <c r="B247" s="1">
        <v>45647</v>
      </c>
      <c r="C247" t="s">
        <v>36</v>
      </c>
      <c r="D247" t="s">
        <v>50</v>
      </c>
      <c r="E247" t="s">
        <v>13</v>
      </c>
      <c r="F247" t="s">
        <v>19</v>
      </c>
      <c r="G247" t="s">
        <v>15</v>
      </c>
      <c r="K247" cm="1">
        <f t="array" ref="K247">_xlfn.SWITCH(LeadsData[[#This Row],[Funnel Stage Reached]],"Lead",1,"MQL",2,"SQL",3,"Customer",4)</f>
        <v>1</v>
      </c>
      <c r="L247" t="str">
        <f>TEXT(LeadsData[[#This Row],[Signup Date]],"mmm-yyyy")</f>
        <v>Dec-2024</v>
      </c>
      <c r="M247">
        <f>IF(LeadsData[[#This Row],[Stage Number]]&gt;=2,1,0)</f>
        <v>0</v>
      </c>
      <c r="N247" s="2">
        <f>IF(LeadsData[[#This Row],[Stage Number]]&gt;=3,1,0)</f>
        <v>0</v>
      </c>
      <c r="O247" s="2">
        <f>IF(LeadsData[[#This Row],[Stage Number]]&gt;=4,1,0)</f>
        <v>0</v>
      </c>
    </row>
    <row r="248" spans="1:15" x14ac:dyDescent="0.25">
      <c r="A248" t="s">
        <v>288</v>
      </c>
      <c r="B248" s="1">
        <v>45522</v>
      </c>
      <c r="C248" t="s">
        <v>11</v>
      </c>
      <c r="D248" t="s">
        <v>79</v>
      </c>
      <c r="E248" t="s">
        <v>21</v>
      </c>
      <c r="F248" t="s">
        <v>22</v>
      </c>
      <c r="G248" t="s">
        <v>15</v>
      </c>
      <c r="K248" cm="1">
        <f t="array" ref="K248">_xlfn.SWITCH(LeadsData[[#This Row],[Funnel Stage Reached]],"Lead",1,"MQL",2,"SQL",3,"Customer",4)</f>
        <v>1</v>
      </c>
      <c r="L248" t="str">
        <f>TEXT(LeadsData[[#This Row],[Signup Date]],"mmm-yyyy")</f>
        <v>Aug-2024</v>
      </c>
      <c r="M248">
        <f>IF(LeadsData[[#This Row],[Stage Number]]&gt;=2,1,0)</f>
        <v>0</v>
      </c>
      <c r="N248" s="2">
        <f>IF(LeadsData[[#This Row],[Stage Number]]&gt;=3,1,0)</f>
        <v>0</v>
      </c>
      <c r="O248" s="2">
        <f>IF(LeadsData[[#This Row],[Stage Number]]&gt;=4,1,0)</f>
        <v>0</v>
      </c>
    </row>
    <row r="249" spans="1:15" x14ac:dyDescent="0.25">
      <c r="A249" t="s">
        <v>289</v>
      </c>
      <c r="B249" s="1">
        <v>45470</v>
      </c>
      <c r="C249" t="s">
        <v>31</v>
      </c>
      <c r="D249" t="s">
        <v>34</v>
      </c>
      <c r="E249" t="s">
        <v>13</v>
      </c>
      <c r="F249" t="s">
        <v>19</v>
      </c>
      <c r="G249" t="s">
        <v>15</v>
      </c>
      <c r="K249" cm="1">
        <f t="array" ref="K249">_xlfn.SWITCH(LeadsData[[#This Row],[Funnel Stage Reached]],"Lead",1,"MQL",2,"SQL",3,"Customer",4)</f>
        <v>1</v>
      </c>
      <c r="L249" t="str">
        <f>TEXT(LeadsData[[#This Row],[Signup Date]],"mmm-yyyy")</f>
        <v>Jun-2024</v>
      </c>
      <c r="M249">
        <f>IF(LeadsData[[#This Row],[Stage Number]]&gt;=2,1,0)</f>
        <v>0</v>
      </c>
      <c r="N249" s="2">
        <f>IF(LeadsData[[#This Row],[Stage Number]]&gt;=3,1,0)</f>
        <v>0</v>
      </c>
      <c r="O249" s="2">
        <f>IF(LeadsData[[#This Row],[Stage Number]]&gt;=4,1,0)</f>
        <v>0</v>
      </c>
    </row>
    <row r="250" spans="1:15" x14ac:dyDescent="0.25">
      <c r="A250" t="s">
        <v>290</v>
      </c>
      <c r="B250" s="1">
        <v>45501</v>
      </c>
      <c r="C250" t="s">
        <v>17</v>
      </c>
      <c r="D250" t="s">
        <v>18</v>
      </c>
      <c r="E250" t="s">
        <v>21</v>
      </c>
      <c r="F250" t="s">
        <v>28</v>
      </c>
      <c r="G250" t="s">
        <v>23</v>
      </c>
      <c r="K250" cm="1">
        <f t="array" ref="K250">_xlfn.SWITCH(LeadsData[[#This Row],[Funnel Stage Reached]],"Lead",1,"MQL",2,"SQL",3,"Customer",4)</f>
        <v>2</v>
      </c>
      <c r="L250" t="str">
        <f>TEXT(LeadsData[[#This Row],[Signup Date]],"mmm-yyyy")</f>
        <v>Jul-2024</v>
      </c>
      <c r="M250">
        <f>IF(LeadsData[[#This Row],[Stage Number]]&gt;=2,1,0)</f>
        <v>1</v>
      </c>
      <c r="N250" s="2">
        <f>IF(LeadsData[[#This Row],[Stage Number]]&gt;=3,1,0)</f>
        <v>0</v>
      </c>
      <c r="O250" s="2">
        <f>IF(LeadsData[[#This Row],[Stage Number]]&gt;=4,1,0)</f>
        <v>0</v>
      </c>
    </row>
    <row r="251" spans="1:15" x14ac:dyDescent="0.25">
      <c r="A251" t="s">
        <v>291</v>
      </c>
      <c r="B251" s="1">
        <v>45569</v>
      </c>
      <c r="C251" t="s">
        <v>31</v>
      </c>
      <c r="D251" t="s">
        <v>32</v>
      </c>
      <c r="E251" t="s">
        <v>13</v>
      </c>
      <c r="F251" t="s">
        <v>22</v>
      </c>
      <c r="G251" t="s">
        <v>15</v>
      </c>
      <c r="K251" cm="1">
        <f t="array" ref="K251">_xlfn.SWITCH(LeadsData[[#This Row],[Funnel Stage Reached]],"Lead",1,"MQL",2,"SQL",3,"Customer",4)</f>
        <v>1</v>
      </c>
      <c r="L251" t="str">
        <f>TEXT(LeadsData[[#This Row],[Signup Date]],"mmm-yyyy")</f>
        <v>Oct-2024</v>
      </c>
      <c r="M251">
        <f>IF(LeadsData[[#This Row],[Stage Number]]&gt;=2,1,0)</f>
        <v>0</v>
      </c>
      <c r="N251" s="2">
        <f>IF(LeadsData[[#This Row],[Stage Number]]&gt;=3,1,0)</f>
        <v>0</v>
      </c>
      <c r="O251" s="2">
        <f>IF(LeadsData[[#This Row],[Stage Number]]&gt;=4,1,0)</f>
        <v>0</v>
      </c>
    </row>
    <row r="252" spans="1:15" x14ac:dyDescent="0.25">
      <c r="A252" t="s">
        <v>292</v>
      </c>
      <c r="B252" s="1">
        <v>45344</v>
      </c>
      <c r="C252" t="s">
        <v>46</v>
      </c>
      <c r="D252" t="s">
        <v>47</v>
      </c>
      <c r="E252" t="s">
        <v>13</v>
      </c>
      <c r="F252" t="s">
        <v>22</v>
      </c>
      <c r="G252" t="s">
        <v>23</v>
      </c>
      <c r="K252" cm="1">
        <f t="array" ref="K252">_xlfn.SWITCH(LeadsData[[#This Row],[Funnel Stage Reached]],"Lead",1,"MQL",2,"SQL",3,"Customer",4)</f>
        <v>2</v>
      </c>
      <c r="L252" t="str">
        <f>TEXT(LeadsData[[#This Row],[Signup Date]],"mmm-yyyy")</f>
        <v>Feb-2024</v>
      </c>
      <c r="M252">
        <f>IF(LeadsData[[#This Row],[Stage Number]]&gt;=2,1,0)</f>
        <v>1</v>
      </c>
      <c r="N252" s="2">
        <f>IF(LeadsData[[#This Row],[Stage Number]]&gt;=3,1,0)</f>
        <v>0</v>
      </c>
      <c r="O252" s="2">
        <f>IF(LeadsData[[#This Row],[Stage Number]]&gt;=4,1,0)</f>
        <v>0</v>
      </c>
    </row>
    <row r="253" spans="1:15" x14ac:dyDescent="0.25">
      <c r="A253" t="s">
        <v>293</v>
      </c>
      <c r="B253" s="1">
        <v>45559</v>
      </c>
      <c r="C253" t="s">
        <v>25</v>
      </c>
      <c r="D253" t="s">
        <v>26</v>
      </c>
      <c r="E253" t="s">
        <v>13</v>
      </c>
      <c r="F253" t="s">
        <v>14</v>
      </c>
      <c r="G253" t="s">
        <v>15</v>
      </c>
      <c r="K253" cm="1">
        <f t="array" ref="K253">_xlfn.SWITCH(LeadsData[[#This Row],[Funnel Stage Reached]],"Lead",1,"MQL",2,"SQL",3,"Customer",4)</f>
        <v>1</v>
      </c>
      <c r="L253" t="str">
        <f>TEXT(LeadsData[[#This Row],[Signup Date]],"mmm-yyyy")</f>
        <v>Sep-2024</v>
      </c>
      <c r="M253">
        <f>IF(LeadsData[[#This Row],[Stage Number]]&gt;=2,1,0)</f>
        <v>0</v>
      </c>
      <c r="N253" s="2">
        <f>IF(LeadsData[[#This Row],[Stage Number]]&gt;=3,1,0)</f>
        <v>0</v>
      </c>
      <c r="O253" s="2">
        <f>IF(LeadsData[[#This Row],[Stage Number]]&gt;=4,1,0)</f>
        <v>0</v>
      </c>
    </row>
    <row r="254" spans="1:15" x14ac:dyDescent="0.25">
      <c r="A254" t="s">
        <v>294</v>
      </c>
      <c r="B254" s="1">
        <v>45567</v>
      </c>
      <c r="C254" t="s">
        <v>11</v>
      </c>
      <c r="D254" t="s">
        <v>12</v>
      </c>
      <c r="E254" t="s">
        <v>21</v>
      </c>
      <c r="F254" t="s">
        <v>28</v>
      </c>
      <c r="G254" t="s">
        <v>15</v>
      </c>
      <c r="K254" cm="1">
        <f t="array" ref="K254">_xlfn.SWITCH(LeadsData[[#This Row],[Funnel Stage Reached]],"Lead",1,"MQL",2,"SQL",3,"Customer",4)</f>
        <v>1</v>
      </c>
      <c r="L254" t="str">
        <f>TEXT(LeadsData[[#This Row],[Signup Date]],"mmm-yyyy")</f>
        <v>Oct-2024</v>
      </c>
      <c r="M254">
        <f>IF(LeadsData[[#This Row],[Stage Number]]&gt;=2,1,0)</f>
        <v>0</v>
      </c>
      <c r="N254" s="2">
        <f>IF(LeadsData[[#This Row],[Stage Number]]&gt;=3,1,0)</f>
        <v>0</v>
      </c>
      <c r="O254" s="2">
        <f>IF(LeadsData[[#This Row],[Stage Number]]&gt;=4,1,0)</f>
        <v>0</v>
      </c>
    </row>
    <row r="255" spans="1:15" x14ac:dyDescent="0.25">
      <c r="A255" t="s">
        <v>295</v>
      </c>
      <c r="B255" s="1">
        <v>45600</v>
      </c>
      <c r="C255" t="s">
        <v>36</v>
      </c>
      <c r="D255" t="s">
        <v>37</v>
      </c>
      <c r="E255" t="s">
        <v>13</v>
      </c>
      <c r="F255" t="s">
        <v>19</v>
      </c>
      <c r="G255" t="s">
        <v>29</v>
      </c>
      <c r="K255" cm="1">
        <f t="array" ref="K255">_xlfn.SWITCH(LeadsData[[#This Row],[Funnel Stage Reached]],"Lead",1,"MQL",2,"SQL",3,"Customer",4)</f>
        <v>3</v>
      </c>
      <c r="L255" t="str">
        <f>TEXT(LeadsData[[#This Row],[Signup Date]],"mmm-yyyy")</f>
        <v>Nov-2024</v>
      </c>
      <c r="M255">
        <f>IF(LeadsData[[#This Row],[Stage Number]]&gt;=2,1,0)</f>
        <v>1</v>
      </c>
      <c r="N255" s="2">
        <f>IF(LeadsData[[#This Row],[Stage Number]]&gt;=3,1,0)</f>
        <v>1</v>
      </c>
      <c r="O255" s="2">
        <f>IF(LeadsData[[#This Row],[Stage Number]]&gt;=4,1,0)</f>
        <v>0</v>
      </c>
    </row>
    <row r="256" spans="1:15" x14ac:dyDescent="0.25">
      <c r="A256" t="s">
        <v>296</v>
      </c>
      <c r="B256" s="1">
        <v>45554</v>
      </c>
      <c r="C256" t="s">
        <v>25</v>
      </c>
      <c r="D256" t="s">
        <v>26</v>
      </c>
      <c r="E256" t="s">
        <v>48</v>
      </c>
      <c r="F256" t="s">
        <v>19</v>
      </c>
      <c r="G256" t="s">
        <v>29</v>
      </c>
      <c r="K256" cm="1">
        <f t="array" ref="K256">_xlfn.SWITCH(LeadsData[[#This Row],[Funnel Stage Reached]],"Lead",1,"MQL",2,"SQL",3,"Customer",4)</f>
        <v>3</v>
      </c>
      <c r="L256" t="str">
        <f>TEXT(LeadsData[[#This Row],[Signup Date]],"mmm-yyyy")</f>
        <v>Sep-2024</v>
      </c>
      <c r="M256">
        <f>IF(LeadsData[[#This Row],[Stage Number]]&gt;=2,1,0)</f>
        <v>1</v>
      </c>
      <c r="N256" s="2">
        <f>IF(LeadsData[[#This Row],[Stage Number]]&gt;=3,1,0)</f>
        <v>1</v>
      </c>
      <c r="O256" s="2">
        <f>IF(LeadsData[[#This Row],[Stage Number]]&gt;=4,1,0)</f>
        <v>0</v>
      </c>
    </row>
    <row r="257" spans="1:15" x14ac:dyDescent="0.25">
      <c r="A257" t="s">
        <v>297</v>
      </c>
      <c r="B257" s="1">
        <v>45366</v>
      </c>
      <c r="C257" t="s">
        <v>11</v>
      </c>
      <c r="D257" t="s">
        <v>12</v>
      </c>
      <c r="E257" t="s">
        <v>13</v>
      </c>
      <c r="F257" t="s">
        <v>22</v>
      </c>
      <c r="G257" t="s">
        <v>15</v>
      </c>
      <c r="K257" cm="1">
        <f t="array" ref="K257">_xlfn.SWITCH(LeadsData[[#This Row],[Funnel Stage Reached]],"Lead",1,"MQL",2,"SQL",3,"Customer",4)</f>
        <v>1</v>
      </c>
      <c r="L257" t="str">
        <f>TEXT(LeadsData[[#This Row],[Signup Date]],"mmm-yyyy")</f>
        <v>Mar-2024</v>
      </c>
      <c r="M257">
        <f>IF(LeadsData[[#This Row],[Stage Number]]&gt;=2,1,0)</f>
        <v>0</v>
      </c>
      <c r="N257" s="2">
        <f>IF(LeadsData[[#This Row],[Stage Number]]&gt;=3,1,0)</f>
        <v>0</v>
      </c>
      <c r="O257" s="2">
        <f>IF(LeadsData[[#This Row],[Stage Number]]&gt;=4,1,0)</f>
        <v>0</v>
      </c>
    </row>
    <row r="258" spans="1:15" x14ac:dyDescent="0.25">
      <c r="A258" t="s">
        <v>298</v>
      </c>
      <c r="B258" s="1">
        <v>45628</v>
      </c>
      <c r="C258" t="s">
        <v>36</v>
      </c>
      <c r="D258" t="s">
        <v>37</v>
      </c>
      <c r="E258" t="s">
        <v>13</v>
      </c>
      <c r="F258" t="s">
        <v>28</v>
      </c>
      <c r="G258" t="s">
        <v>23</v>
      </c>
      <c r="K258" cm="1">
        <f t="array" ref="K258">_xlfn.SWITCH(LeadsData[[#This Row],[Funnel Stage Reached]],"Lead",1,"MQL",2,"SQL",3,"Customer",4)</f>
        <v>2</v>
      </c>
      <c r="L258" t="str">
        <f>TEXT(LeadsData[[#This Row],[Signup Date]],"mmm-yyyy")</f>
        <v>Dec-2024</v>
      </c>
      <c r="M258">
        <f>IF(LeadsData[[#This Row],[Stage Number]]&gt;=2,1,0)</f>
        <v>1</v>
      </c>
      <c r="N258" s="2">
        <f>IF(LeadsData[[#This Row],[Stage Number]]&gt;=3,1,0)</f>
        <v>0</v>
      </c>
      <c r="O258" s="2">
        <f>IF(LeadsData[[#This Row],[Stage Number]]&gt;=4,1,0)</f>
        <v>0</v>
      </c>
    </row>
    <row r="259" spans="1:15" x14ac:dyDescent="0.25">
      <c r="A259" t="s">
        <v>299</v>
      </c>
      <c r="B259" s="1">
        <v>45362</v>
      </c>
      <c r="C259" t="s">
        <v>25</v>
      </c>
      <c r="D259" t="s">
        <v>26</v>
      </c>
      <c r="E259" t="s">
        <v>13</v>
      </c>
      <c r="F259" t="s">
        <v>19</v>
      </c>
      <c r="G259" t="s">
        <v>15</v>
      </c>
      <c r="K259" cm="1">
        <f t="array" ref="K259">_xlfn.SWITCH(LeadsData[[#This Row],[Funnel Stage Reached]],"Lead",1,"MQL",2,"SQL",3,"Customer",4)</f>
        <v>1</v>
      </c>
      <c r="L259" t="str">
        <f>TEXT(LeadsData[[#This Row],[Signup Date]],"mmm-yyyy")</f>
        <v>Mar-2024</v>
      </c>
      <c r="M259">
        <f>IF(LeadsData[[#This Row],[Stage Number]]&gt;=2,1,0)</f>
        <v>0</v>
      </c>
      <c r="N259" s="2">
        <f>IF(LeadsData[[#This Row],[Stage Number]]&gt;=3,1,0)</f>
        <v>0</v>
      </c>
      <c r="O259" s="2">
        <f>IF(LeadsData[[#This Row],[Stage Number]]&gt;=4,1,0)</f>
        <v>0</v>
      </c>
    </row>
    <row r="260" spans="1:15" x14ac:dyDescent="0.25">
      <c r="A260" t="s">
        <v>300</v>
      </c>
      <c r="B260" s="1">
        <v>45588</v>
      </c>
      <c r="C260" t="s">
        <v>31</v>
      </c>
      <c r="D260" t="s">
        <v>34</v>
      </c>
      <c r="E260" t="s">
        <v>13</v>
      </c>
      <c r="F260" t="s">
        <v>19</v>
      </c>
      <c r="G260" t="s">
        <v>15</v>
      </c>
      <c r="K260" cm="1">
        <f t="array" ref="K260">_xlfn.SWITCH(LeadsData[[#This Row],[Funnel Stage Reached]],"Lead",1,"MQL",2,"SQL",3,"Customer",4)</f>
        <v>1</v>
      </c>
      <c r="L260" t="str">
        <f>TEXT(LeadsData[[#This Row],[Signup Date]],"mmm-yyyy")</f>
        <v>Oct-2024</v>
      </c>
      <c r="M260">
        <f>IF(LeadsData[[#This Row],[Stage Number]]&gt;=2,1,0)</f>
        <v>0</v>
      </c>
      <c r="N260" s="2">
        <f>IF(LeadsData[[#This Row],[Stage Number]]&gt;=3,1,0)</f>
        <v>0</v>
      </c>
      <c r="O260" s="2">
        <f>IF(LeadsData[[#This Row],[Stage Number]]&gt;=4,1,0)</f>
        <v>0</v>
      </c>
    </row>
    <row r="261" spans="1:15" x14ac:dyDescent="0.25">
      <c r="A261" t="s">
        <v>301</v>
      </c>
      <c r="B261" s="1">
        <v>45480</v>
      </c>
      <c r="C261" t="s">
        <v>36</v>
      </c>
      <c r="D261" t="s">
        <v>37</v>
      </c>
      <c r="E261" t="s">
        <v>13</v>
      </c>
      <c r="F261" t="s">
        <v>22</v>
      </c>
      <c r="G261" t="s">
        <v>29</v>
      </c>
      <c r="K261" cm="1">
        <f t="array" ref="K261">_xlfn.SWITCH(LeadsData[[#This Row],[Funnel Stage Reached]],"Lead",1,"MQL",2,"SQL",3,"Customer",4)</f>
        <v>3</v>
      </c>
      <c r="L261" t="str">
        <f>TEXT(LeadsData[[#This Row],[Signup Date]],"mmm-yyyy")</f>
        <v>Jul-2024</v>
      </c>
      <c r="M261">
        <f>IF(LeadsData[[#This Row],[Stage Number]]&gt;=2,1,0)</f>
        <v>1</v>
      </c>
      <c r="N261" s="2">
        <f>IF(LeadsData[[#This Row],[Stage Number]]&gt;=3,1,0)</f>
        <v>1</v>
      </c>
      <c r="O261" s="2">
        <f>IF(LeadsData[[#This Row],[Stage Number]]&gt;=4,1,0)</f>
        <v>0</v>
      </c>
    </row>
    <row r="262" spans="1:15" x14ac:dyDescent="0.25">
      <c r="A262" t="s">
        <v>302</v>
      </c>
      <c r="B262" s="1">
        <v>45469</v>
      </c>
      <c r="C262" t="s">
        <v>17</v>
      </c>
      <c r="D262" t="s">
        <v>53</v>
      </c>
      <c r="E262" t="s">
        <v>13</v>
      </c>
      <c r="F262" t="s">
        <v>19</v>
      </c>
      <c r="G262" t="s">
        <v>23</v>
      </c>
      <c r="K262" cm="1">
        <f t="array" ref="K262">_xlfn.SWITCH(LeadsData[[#This Row],[Funnel Stage Reached]],"Lead",1,"MQL",2,"SQL",3,"Customer",4)</f>
        <v>2</v>
      </c>
      <c r="L262" t="str">
        <f>TEXT(LeadsData[[#This Row],[Signup Date]],"mmm-yyyy")</f>
        <v>Jun-2024</v>
      </c>
      <c r="M262">
        <f>IF(LeadsData[[#This Row],[Stage Number]]&gt;=2,1,0)</f>
        <v>1</v>
      </c>
      <c r="N262" s="2">
        <f>IF(LeadsData[[#This Row],[Stage Number]]&gt;=3,1,0)</f>
        <v>0</v>
      </c>
      <c r="O262" s="2">
        <f>IF(LeadsData[[#This Row],[Stage Number]]&gt;=4,1,0)</f>
        <v>0</v>
      </c>
    </row>
    <row r="263" spans="1:15" x14ac:dyDescent="0.25">
      <c r="A263" t="s">
        <v>303</v>
      </c>
      <c r="B263" s="1">
        <v>45311</v>
      </c>
      <c r="C263" t="s">
        <v>25</v>
      </c>
      <c r="D263" t="s">
        <v>26</v>
      </c>
      <c r="E263" t="s">
        <v>13</v>
      </c>
      <c r="F263" t="s">
        <v>22</v>
      </c>
      <c r="G263" t="s">
        <v>15</v>
      </c>
      <c r="K263" cm="1">
        <f t="array" ref="K263">_xlfn.SWITCH(LeadsData[[#This Row],[Funnel Stage Reached]],"Lead",1,"MQL",2,"SQL",3,"Customer",4)</f>
        <v>1</v>
      </c>
      <c r="L263" t="str">
        <f>TEXT(LeadsData[[#This Row],[Signup Date]],"mmm-yyyy")</f>
        <v>Jan-2024</v>
      </c>
      <c r="M263">
        <f>IF(LeadsData[[#This Row],[Stage Number]]&gt;=2,1,0)</f>
        <v>0</v>
      </c>
      <c r="N263" s="2">
        <f>IF(LeadsData[[#This Row],[Stage Number]]&gt;=3,1,0)</f>
        <v>0</v>
      </c>
      <c r="O263" s="2">
        <f>IF(LeadsData[[#This Row],[Stage Number]]&gt;=4,1,0)</f>
        <v>0</v>
      </c>
    </row>
    <row r="264" spans="1:15" x14ac:dyDescent="0.25">
      <c r="A264" t="s">
        <v>304</v>
      </c>
      <c r="B264" s="1">
        <v>45471</v>
      </c>
      <c r="C264" t="s">
        <v>31</v>
      </c>
      <c r="D264" t="s">
        <v>34</v>
      </c>
      <c r="E264" t="s">
        <v>13</v>
      </c>
      <c r="F264" t="s">
        <v>22</v>
      </c>
      <c r="G264" t="s">
        <v>42</v>
      </c>
      <c r="H264">
        <v>66</v>
      </c>
      <c r="I264" t="s">
        <v>87</v>
      </c>
      <c r="J264">
        <v>4687.32</v>
      </c>
      <c r="K264" cm="1">
        <f t="array" ref="K264">_xlfn.SWITCH(LeadsData[[#This Row],[Funnel Stage Reached]],"Lead",1,"MQL",2,"SQL",3,"Customer",4)</f>
        <v>4</v>
      </c>
      <c r="L264" t="str">
        <f>TEXT(LeadsData[[#This Row],[Signup Date]],"mmm-yyyy")</f>
        <v>Jun-2024</v>
      </c>
      <c r="M264">
        <f>IF(LeadsData[[#This Row],[Stage Number]]&gt;=2,1,0)</f>
        <v>1</v>
      </c>
      <c r="N264" s="2">
        <f>IF(LeadsData[[#This Row],[Stage Number]]&gt;=3,1,0)</f>
        <v>1</v>
      </c>
      <c r="O264" s="2">
        <f>IF(LeadsData[[#This Row],[Stage Number]]&gt;=4,1,0)</f>
        <v>1</v>
      </c>
    </row>
    <row r="265" spans="1:15" x14ac:dyDescent="0.25">
      <c r="A265" t="s">
        <v>305</v>
      </c>
      <c r="B265" s="1">
        <v>45310</v>
      </c>
      <c r="C265" t="s">
        <v>46</v>
      </c>
      <c r="D265" t="s">
        <v>56</v>
      </c>
      <c r="E265" t="s">
        <v>13</v>
      </c>
      <c r="F265" t="s">
        <v>22</v>
      </c>
      <c r="G265" t="s">
        <v>29</v>
      </c>
      <c r="K265" cm="1">
        <f t="array" ref="K265">_xlfn.SWITCH(LeadsData[[#This Row],[Funnel Stage Reached]],"Lead",1,"MQL",2,"SQL",3,"Customer",4)</f>
        <v>3</v>
      </c>
      <c r="L265" t="str">
        <f>TEXT(LeadsData[[#This Row],[Signup Date]],"mmm-yyyy")</f>
        <v>Jan-2024</v>
      </c>
      <c r="M265">
        <f>IF(LeadsData[[#This Row],[Stage Number]]&gt;=2,1,0)</f>
        <v>1</v>
      </c>
      <c r="N265" s="2">
        <f>IF(LeadsData[[#This Row],[Stage Number]]&gt;=3,1,0)</f>
        <v>1</v>
      </c>
      <c r="O265" s="2">
        <f>IF(LeadsData[[#This Row],[Stage Number]]&gt;=4,1,0)</f>
        <v>0</v>
      </c>
    </row>
    <row r="266" spans="1:15" x14ac:dyDescent="0.25">
      <c r="A266" t="s">
        <v>306</v>
      </c>
      <c r="B266" s="1">
        <v>45609</v>
      </c>
      <c r="C266" t="s">
        <v>11</v>
      </c>
      <c r="D266" t="s">
        <v>68</v>
      </c>
      <c r="E266" t="s">
        <v>13</v>
      </c>
      <c r="F266" t="s">
        <v>14</v>
      </c>
      <c r="G266" t="s">
        <v>15</v>
      </c>
      <c r="K266" cm="1">
        <f t="array" ref="K266">_xlfn.SWITCH(LeadsData[[#This Row],[Funnel Stage Reached]],"Lead",1,"MQL",2,"SQL",3,"Customer",4)</f>
        <v>1</v>
      </c>
      <c r="L266" t="str">
        <f>TEXT(LeadsData[[#This Row],[Signup Date]],"mmm-yyyy")</f>
        <v>Nov-2024</v>
      </c>
      <c r="M266">
        <f>IF(LeadsData[[#This Row],[Stage Number]]&gt;=2,1,0)</f>
        <v>0</v>
      </c>
      <c r="N266" s="2">
        <f>IF(LeadsData[[#This Row],[Stage Number]]&gt;=3,1,0)</f>
        <v>0</v>
      </c>
      <c r="O266" s="2">
        <f>IF(LeadsData[[#This Row],[Stage Number]]&gt;=4,1,0)</f>
        <v>0</v>
      </c>
    </row>
    <row r="267" spans="1:15" x14ac:dyDescent="0.25">
      <c r="A267" t="s">
        <v>307</v>
      </c>
      <c r="B267" s="1">
        <v>45338</v>
      </c>
      <c r="C267" t="s">
        <v>11</v>
      </c>
      <c r="D267" t="s">
        <v>12</v>
      </c>
      <c r="E267" t="s">
        <v>13</v>
      </c>
      <c r="F267" t="s">
        <v>22</v>
      </c>
      <c r="G267" t="s">
        <v>42</v>
      </c>
      <c r="H267">
        <v>31</v>
      </c>
      <c r="I267" t="s">
        <v>43</v>
      </c>
      <c r="J267">
        <v>950.65</v>
      </c>
      <c r="K267" cm="1">
        <f t="array" ref="K267">_xlfn.SWITCH(LeadsData[[#This Row],[Funnel Stage Reached]],"Lead",1,"MQL",2,"SQL",3,"Customer",4)</f>
        <v>4</v>
      </c>
      <c r="L267" t="str">
        <f>TEXT(LeadsData[[#This Row],[Signup Date]],"mmm-yyyy")</f>
        <v>Feb-2024</v>
      </c>
      <c r="M267">
        <f>IF(LeadsData[[#This Row],[Stage Number]]&gt;=2,1,0)</f>
        <v>1</v>
      </c>
      <c r="N267" s="2">
        <f>IF(LeadsData[[#This Row],[Stage Number]]&gt;=3,1,0)</f>
        <v>1</v>
      </c>
      <c r="O267" s="2">
        <f>IF(LeadsData[[#This Row],[Stage Number]]&gt;=4,1,0)</f>
        <v>1</v>
      </c>
    </row>
    <row r="268" spans="1:15" x14ac:dyDescent="0.25">
      <c r="A268" t="s">
        <v>308</v>
      </c>
      <c r="B268" s="1">
        <v>45324</v>
      </c>
      <c r="C268" t="s">
        <v>17</v>
      </c>
      <c r="D268" t="s">
        <v>53</v>
      </c>
      <c r="E268" t="s">
        <v>21</v>
      </c>
      <c r="F268" t="s">
        <v>19</v>
      </c>
      <c r="G268" t="s">
        <v>15</v>
      </c>
      <c r="K268" cm="1">
        <f t="array" ref="K268">_xlfn.SWITCH(LeadsData[[#This Row],[Funnel Stage Reached]],"Lead",1,"MQL",2,"SQL",3,"Customer",4)</f>
        <v>1</v>
      </c>
      <c r="L268" t="str">
        <f>TEXT(LeadsData[[#This Row],[Signup Date]],"mmm-yyyy")</f>
        <v>Feb-2024</v>
      </c>
      <c r="M268">
        <f>IF(LeadsData[[#This Row],[Stage Number]]&gt;=2,1,0)</f>
        <v>0</v>
      </c>
      <c r="N268" s="2">
        <f>IF(LeadsData[[#This Row],[Stage Number]]&gt;=3,1,0)</f>
        <v>0</v>
      </c>
      <c r="O268" s="2">
        <f>IF(LeadsData[[#This Row],[Stage Number]]&gt;=4,1,0)</f>
        <v>0</v>
      </c>
    </row>
    <row r="269" spans="1:15" x14ac:dyDescent="0.25">
      <c r="A269" t="s">
        <v>309</v>
      </c>
      <c r="B269" s="1">
        <v>45468</v>
      </c>
      <c r="C269" t="s">
        <v>36</v>
      </c>
      <c r="D269" t="s">
        <v>37</v>
      </c>
      <c r="E269" t="s">
        <v>13</v>
      </c>
      <c r="F269" t="s">
        <v>19</v>
      </c>
      <c r="G269" t="s">
        <v>15</v>
      </c>
      <c r="K269" cm="1">
        <f t="array" ref="K269">_xlfn.SWITCH(LeadsData[[#This Row],[Funnel Stage Reached]],"Lead",1,"MQL",2,"SQL",3,"Customer",4)</f>
        <v>1</v>
      </c>
      <c r="L269" t="str">
        <f>TEXT(LeadsData[[#This Row],[Signup Date]],"mmm-yyyy")</f>
        <v>Jun-2024</v>
      </c>
      <c r="M269">
        <f>IF(LeadsData[[#This Row],[Stage Number]]&gt;=2,1,0)</f>
        <v>0</v>
      </c>
      <c r="N269" s="2">
        <f>IF(LeadsData[[#This Row],[Stage Number]]&gt;=3,1,0)</f>
        <v>0</v>
      </c>
      <c r="O269" s="2">
        <f>IF(LeadsData[[#This Row],[Stage Number]]&gt;=4,1,0)</f>
        <v>0</v>
      </c>
    </row>
    <row r="270" spans="1:15" x14ac:dyDescent="0.25">
      <c r="A270" t="s">
        <v>310</v>
      </c>
      <c r="B270" s="1">
        <v>45484</v>
      </c>
      <c r="C270" t="s">
        <v>46</v>
      </c>
      <c r="D270" t="s">
        <v>56</v>
      </c>
      <c r="E270" t="s">
        <v>13</v>
      </c>
      <c r="F270" t="s">
        <v>19</v>
      </c>
      <c r="G270" t="s">
        <v>23</v>
      </c>
      <c r="K270" cm="1">
        <f t="array" ref="K270">_xlfn.SWITCH(LeadsData[[#This Row],[Funnel Stage Reached]],"Lead",1,"MQL",2,"SQL",3,"Customer",4)</f>
        <v>2</v>
      </c>
      <c r="L270" t="str">
        <f>TEXT(LeadsData[[#This Row],[Signup Date]],"mmm-yyyy")</f>
        <v>Jul-2024</v>
      </c>
      <c r="M270">
        <f>IF(LeadsData[[#This Row],[Stage Number]]&gt;=2,1,0)</f>
        <v>1</v>
      </c>
      <c r="N270" s="2">
        <f>IF(LeadsData[[#This Row],[Stage Number]]&gt;=3,1,0)</f>
        <v>0</v>
      </c>
      <c r="O270" s="2">
        <f>IF(LeadsData[[#This Row],[Stage Number]]&gt;=4,1,0)</f>
        <v>0</v>
      </c>
    </row>
    <row r="271" spans="1:15" x14ac:dyDescent="0.25">
      <c r="A271" t="s">
        <v>311</v>
      </c>
      <c r="B271" s="1">
        <v>45616</v>
      </c>
      <c r="C271" t="s">
        <v>17</v>
      </c>
      <c r="D271" t="s">
        <v>53</v>
      </c>
      <c r="E271" t="s">
        <v>13</v>
      </c>
      <c r="F271" t="s">
        <v>19</v>
      </c>
      <c r="G271" t="s">
        <v>15</v>
      </c>
      <c r="K271" cm="1">
        <f t="array" ref="K271">_xlfn.SWITCH(LeadsData[[#This Row],[Funnel Stage Reached]],"Lead",1,"MQL",2,"SQL",3,"Customer",4)</f>
        <v>1</v>
      </c>
      <c r="L271" t="str">
        <f>TEXT(LeadsData[[#This Row],[Signup Date]],"mmm-yyyy")</f>
        <v>Nov-2024</v>
      </c>
      <c r="M271">
        <f>IF(LeadsData[[#This Row],[Stage Number]]&gt;=2,1,0)</f>
        <v>0</v>
      </c>
      <c r="N271" s="2">
        <f>IF(LeadsData[[#This Row],[Stage Number]]&gt;=3,1,0)</f>
        <v>0</v>
      </c>
      <c r="O271" s="2">
        <f>IF(LeadsData[[#This Row],[Stage Number]]&gt;=4,1,0)</f>
        <v>0</v>
      </c>
    </row>
    <row r="272" spans="1:15" x14ac:dyDescent="0.25">
      <c r="A272" t="s">
        <v>312</v>
      </c>
      <c r="B272" s="1">
        <v>45474</v>
      </c>
      <c r="C272" t="s">
        <v>46</v>
      </c>
      <c r="D272" t="s">
        <v>47</v>
      </c>
      <c r="E272" t="s">
        <v>13</v>
      </c>
      <c r="F272" t="s">
        <v>14</v>
      </c>
      <c r="G272" t="s">
        <v>29</v>
      </c>
      <c r="K272" cm="1">
        <f t="array" ref="K272">_xlfn.SWITCH(LeadsData[[#This Row],[Funnel Stage Reached]],"Lead",1,"MQL",2,"SQL",3,"Customer",4)</f>
        <v>3</v>
      </c>
      <c r="L272" t="str">
        <f>TEXT(LeadsData[[#This Row],[Signup Date]],"mmm-yyyy")</f>
        <v>Jul-2024</v>
      </c>
      <c r="M272">
        <f>IF(LeadsData[[#This Row],[Stage Number]]&gt;=2,1,0)</f>
        <v>1</v>
      </c>
      <c r="N272" s="2">
        <f>IF(LeadsData[[#This Row],[Stage Number]]&gt;=3,1,0)</f>
        <v>1</v>
      </c>
      <c r="O272" s="2">
        <f>IF(LeadsData[[#This Row],[Stage Number]]&gt;=4,1,0)</f>
        <v>0</v>
      </c>
    </row>
    <row r="273" spans="1:15" x14ac:dyDescent="0.25">
      <c r="A273" t="s">
        <v>313</v>
      </c>
      <c r="B273" s="1">
        <v>45396</v>
      </c>
      <c r="C273" t="s">
        <v>17</v>
      </c>
      <c r="D273" t="s">
        <v>18</v>
      </c>
      <c r="E273" t="s">
        <v>21</v>
      </c>
      <c r="F273" t="s">
        <v>14</v>
      </c>
      <c r="G273" t="s">
        <v>29</v>
      </c>
      <c r="K273" cm="1">
        <f t="array" ref="K273">_xlfn.SWITCH(LeadsData[[#This Row],[Funnel Stage Reached]],"Lead",1,"MQL",2,"SQL",3,"Customer",4)</f>
        <v>3</v>
      </c>
      <c r="L273" t="str">
        <f>TEXT(LeadsData[[#This Row],[Signup Date]],"mmm-yyyy")</f>
        <v>Apr-2024</v>
      </c>
      <c r="M273">
        <f>IF(LeadsData[[#This Row],[Stage Number]]&gt;=2,1,0)</f>
        <v>1</v>
      </c>
      <c r="N273" s="2">
        <f>IF(LeadsData[[#This Row],[Stage Number]]&gt;=3,1,0)</f>
        <v>1</v>
      </c>
      <c r="O273" s="2">
        <f>IF(LeadsData[[#This Row],[Stage Number]]&gt;=4,1,0)</f>
        <v>0</v>
      </c>
    </row>
    <row r="274" spans="1:15" x14ac:dyDescent="0.25">
      <c r="A274" t="s">
        <v>314</v>
      </c>
      <c r="B274" s="1">
        <v>45570</v>
      </c>
      <c r="C274" t="s">
        <v>17</v>
      </c>
      <c r="D274" t="s">
        <v>18</v>
      </c>
      <c r="E274" t="s">
        <v>13</v>
      </c>
      <c r="F274" t="s">
        <v>28</v>
      </c>
      <c r="G274" t="s">
        <v>15</v>
      </c>
      <c r="K274" cm="1">
        <f t="array" ref="K274">_xlfn.SWITCH(LeadsData[[#This Row],[Funnel Stage Reached]],"Lead",1,"MQL",2,"SQL",3,"Customer",4)</f>
        <v>1</v>
      </c>
      <c r="L274" t="str">
        <f>TEXT(LeadsData[[#This Row],[Signup Date]],"mmm-yyyy")</f>
        <v>Oct-2024</v>
      </c>
      <c r="M274">
        <f>IF(LeadsData[[#This Row],[Stage Number]]&gt;=2,1,0)</f>
        <v>0</v>
      </c>
      <c r="N274" s="2">
        <f>IF(LeadsData[[#This Row],[Stage Number]]&gt;=3,1,0)</f>
        <v>0</v>
      </c>
      <c r="O274" s="2">
        <f>IF(LeadsData[[#This Row],[Stage Number]]&gt;=4,1,0)</f>
        <v>0</v>
      </c>
    </row>
    <row r="275" spans="1:15" x14ac:dyDescent="0.25">
      <c r="A275" t="s">
        <v>315</v>
      </c>
      <c r="B275" s="1">
        <v>45311</v>
      </c>
      <c r="C275" t="s">
        <v>46</v>
      </c>
      <c r="D275" t="s">
        <v>47</v>
      </c>
      <c r="E275" t="s">
        <v>13</v>
      </c>
      <c r="F275" t="s">
        <v>22</v>
      </c>
      <c r="G275" t="s">
        <v>29</v>
      </c>
      <c r="K275" cm="1">
        <f t="array" ref="K275">_xlfn.SWITCH(LeadsData[[#This Row],[Funnel Stage Reached]],"Lead",1,"MQL",2,"SQL",3,"Customer",4)</f>
        <v>3</v>
      </c>
      <c r="L275" t="str">
        <f>TEXT(LeadsData[[#This Row],[Signup Date]],"mmm-yyyy")</f>
        <v>Jan-2024</v>
      </c>
      <c r="M275">
        <f>IF(LeadsData[[#This Row],[Stage Number]]&gt;=2,1,0)</f>
        <v>1</v>
      </c>
      <c r="N275" s="2">
        <f>IF(LeadsData[[#This Row],[Stage Number]]&gt;=3,1,0)</f>
        <v>1</v>
      </c>
      <c r="O275" s="2">
        <f>IF(LeadsData[[#This Row],[Stage Number]]&gt;=4,1,0)</f>
        <v>0</v>
      </c>
    </row>
    <row r="276" spans="1:15" x14ac:dyDescent="0.25">
      <c r="A276" t="s">
        <v>316</v>
      </c>
      <c r="B276" s="1">
        <v>45299</v>
      </c>
      <c r="C276" t="s">
        <v>17</v>
      </c>
      <c r="D276" t="s">
        <v>18</v>
      </c>
      <c r="E276" t="s">
        <v>21</v>
      </c>
      <c r="F276" t="s">
        <v>22</v>
      </c>
      <c r="G276" t="s">
        <v>23</v>
      </c>
      <c r="K276" cm="1">
        <f t="array" ref="K276">_xlfn.SWITCH(LeadsData[[#This Row],[Funnel Stage Reached]],"Lead",1,"MQL",2,"SQL",3,"Customer",4)</f>
        <v>2</v>
      </c>
      <c r="L276" t="str">
        <f>TEXT(LeadsData[[#This Row],[Signup Date]],"mmm-yyyy")</f>
        <v>Jan-2024</v>
      </c>
      <c r="M276">
        <f>IF(LeadsData[[#This Row],[Stage Number]]&gt;=2,1,0)</f>
        <v>1</v>
      </c>
      <c r="N276" s="2">
        <f>IF(LeadsData[[#This Row],[Stage Number]]&gt;=3,1,0)</f>
        <v>0</v>
      </c>
      <c r="O276" s="2">
        <f>IF(LeadsData[[#This Row],[Stage Number]]&gt;=4,1,0)</f>
        <v>0</v>
      </c>
    </row>
    <row r="277" spans="1:15" x14ac:dyDescent="0.25">
      <c r="A277" t="s">
        <v>317</v>
      </c>
      <c r="B277" s="1">
        <v>45390</v>
      </c>
      <c r="C277" t="s">
        <v>31</v>
      </c>
      <c r="D277" t="s">
        <v>32</v>
      </c>
      <c r="E277" t="s">
        <v>21</v>
      </c>
      <c r="F277" t="s">
        <v>19</v>
      </c>
      <c r="G277" t="s">
        <v>15</v>
      </c>
      <c r="K277" cm="1">
        <f t="array" ref="K277">_xlfn.SWITCH(LeadsData[[#This Row],[Funnel Stage Reached]],"Lead",1,"MQL",2,"SQL",3,"Customer",4)</f>
        <v>1</v>
      </c>
      <c r="L277" t="str">
        <f>TEXT(LeadsData[[#This Row],[Signup Date]],"mmm-yyyy")</f>
        <v>Apr-2024</v>
      </c>
      <c r="M277">
        <f>IF(LeadsData[[#This Row],[Stage Number]]&gt;=2,1,0)</f>
        <v>0</v>
      </c>
      <c r="N277" s="2">
        <f>IF(LeadsData[[#This Row],[Stage Number]]&gt;=3,1,0)</f>
        <v>0</v>
      </c>
      <c r="O277" s="2">
        <f>IF(LeadsData[[#This Row],[Stage Number]]&gt;=4,1,0)</f>
        <v>0</v>
      </c>
    </row>
    <row r="278" spans="1:15" x14ac:dyDescent="0.25">
      <c r="A278" t="s">
        <v>318</v>
      </c>
      <c r="B278" s="1">
        <v>45550</v>
      </c>
      <c r="C278" t="s">
        <v>11</v>
      </c>
      <c r="D278" t="s">
        <v>12</v>
      </c>
      <c r="E278" t="s">
        <v>13</v>
      </c>
      <c r="F278" t="s">
        <v>19</v>
      </c>
      <c r="G278" t="s">
        <v>23</v>
      </c>
      <c r="K278" cm="1">
        <f t="array" ref="K278">_xlfn.SWITCH(LeadsData[[#This Row],[Funnel Stage Reached]],"Lead",1,"MQL",2,"SQL",3,"Customer",4)</f>
        <v>2</v>
      </c>
      <c r="L278" t="str">
        <f>TEXT(LeadsData[[#This Row],[Signup Date]],"mmm-yyyy")</f>
        <v>Sep-2024</v>
      </c>
      <c r="M278">
        <f>IF(LeadsData[[#This Row],[Stage Number]]&gt;=2,1,0)</f>
        <v>1</v>
      </c>
      <c r="N278" s="2">
        <f>IF(LeadsData[[#This Row],[Stage Number]]&gt;=3,1,0)</f>
        <v>0</v>
      </c>
      <c r="O278" s="2">
        <f>IF(LeadsData[[#This Row],[Stage Number]]&gt;=4,1,0)</f>
        <v>0</v>
      </c>
    </row>
    <row r="279" spans="1:15" x14ac:dyDescent="0.25">
      <c r="A279" t="s">
        <v>319</v>
      </c>
      <c r="B279" s="1">
        <v>45574</v>
      </c>
      <c r="C279" t="s">
        <v>46</v>
      </c>
      <c r="D279" t="s">
        <v>47</v>
      </c>
      <c r="E279" t="s">
        <v>13</v>
      </c>
      <c r="F279" t="s">
        <v>28</v>
      </c>
      <c r="G279" t="s">
        <v>15</v>
      </c>
      <c r="K279" cm="1">
        <f t="array" ref="K279">_xlfn.SWITCH(LeadsData[[#This Row],[Funnel Stage Reached]],"Lead",1,"MQL",2,"SQL",3,"Customer",4)</f>
        <v>1</v>
      </c>
      <c r="L279" t="str">
        <f>TEXT(LeadsData[[#This Row],[Signup Date]],"mmm-yyyy")</f>
        <v>Oct-2024</v>
      </c>
      <c r="M279">
        <f>IF(LeadsData[[#This Row],[Stage Number]]&gt;=2,1,0)</f>
        <v>0</v>
      </c>
      <c r="N279" s="2">
        <f>IF(LeadsData[[#This Row],[Stage Number]]&gt;=3,1,0)</f>
        <v>0</v>
      </c>
      <c r="O279" s="2">
        <f>IF(LeadsData[[#This Row],[Stage Number]]&gt;=4,1,0)</f>
        <v>0</v>
      </c>
    </row>
    <row r="280" spans="1:15" x14ac:dyDescent="0.25">
      <c r="A280" t="s">
        <v>320</v>
      </c>
      <c r="B280" s="1">
        <v>45385</v>
      </c>
      <c r="C280" t="s">
        <v>11</v>
      </c>
      <c r="D280" t="s">
        <v>79</v>
      </c>
      <c r="E280" t="s">
        <v>21</v>
      </c>
      <c r="F280" t="s">
        <v>19</v>
      </c>
      <c r="G280" t="s">
        <v>23</v>
      </c>
      <c r="K280" cm="1">
        <f t="array" ref="K280">_xlfn.SWITCH(LeadsData[[#This Row],[Funnel Stage Reached]],"Lead",1,"MQL",2,"SQL",3,"Customer",4)</f>
        <v>2</v>
      </c>
      <c r="L280" t="str">
        <f>TEXT(LeadsData[[#This Row],[Signup Date]],"mmm-yyyy")</f>
        <v>Apr-2024</v>
      </c>
      <c r="M280">
        <f>IF(LeadsData[[#This Row],[Stage Number]]&gt;=2,1,0)</f>
        <v>1</v>
      </c>
      <c r="N280" s="2">
        <f>IF(LeadsData[[#This Row],[Stage Number]]&gt;=3,1,0)</f>
        <v>0</v>
      </c>
      <c r="O280" s="2">
        <f>IF(LeadsData[[#This Row],[Stage Number]]&gt;=4,1,0)</f>
        <v>0</v>
      </c>
    </row>
    <row r="281" spans="1:15" x14ac:dyDescent="0.25">
      <c r="A281" t="s">
        <v>321</v>
      </c>
      <c r="B281" s="1">
        <v>45498</v>
      </c>
      <c r="C281" t="s">
        <v>46</v>
      </c>
      <c r="D281" t="s">
        <v>47</v>
      </c>
      <c r="E281" t="s">
        <v>13</v>
      </c>
      <c r="F281" t="s">
        <v>22</v>
      </c>
      <c r="G281" t="s">
        <v>29</v>
      </c>
      <c r="K281" cm="1">
        <f t="array" ref="K281">_xlfn.SWITCH(LeadsData[[#This Row],[Funnel Stage Reached]],"Lead",1,"MQL",2,"SQL",3,"Customer",4)</f>
        <v>3</v>
      </c>
      <c r="L281" t="str">
        <f>TEXT(LeadsData[[#This Row],[Signup Date]],"mmm-yyyy")</f>
        <v>Jul-2024</v>
      </c>
      <c r="M281">
        <f>IF(LeadsData[[#This Row],[Stage Number]]&gt;=2,1,0)</f>
        <v>1</v>
      </c>
      <c r="N281" s="2">
        <f>IF(LeadsData[[#This Row],[Stage Number]]&gt;=3,1,0)</f>
        <v>1</v>
      </c>
      <c r="O281" s="2">
        <f>IF(LeadsData[[#This Row],[Stage Number]]&gt;=4,1,0)</f>
        <v>0</v>
      </c>
    </row>
    <row r="282" spans="1:15" x14ac:dyDescent="0.25">
      <c r="A282" t="s">
        <v>322</v>
      </c>
      <c r="B282" s="1">
        <v>45531</v>
      </c>
      <c r="C282" t="s">
        <v>31</v>
      </c>
      <c r="D282" t="s">
        <v>32</v>
      </c>
      <c r="E282" t="s">
        <v>21</v>
      </c>
      <c r="F282" t="s">
        <v>22</v>
      </c>
      <c r="G282" t="s">
        <v>42</v>
      </c>
      <c r="H282">
        <v>26</v>
      </c>
      <c r="I282" t="s">
        <v>43</v>
      </c>
      <c r="J282">
        <v>822.86</v>
      </c>
      <c r="K282" cm="1">
        <f t="array" ref="K282">_xlfn.SWITCH(LeadsData[[#This Row],[Funnel Stage Reached]],"Lead",1,"MQL",2,"SQL",3,"Customer",4)</f>
        <v>4</v>
      </c>
      <c r="L282" t="str">
        <f>TEXT(LeadsData[[#This Row],[Signup Date]],"mmm-yyyy")</f>
        <v>Aug-2024</v>
      </c>
      <c r="M282">
        <f>IF(LeadsData[[#This Row],[Stage Number]]&gt;=2,1,0)</f>
        <v>1</v>
      </c>
      <c r="N282" s="2">
        <f>IF(LeadsData[[#This Row],[Stage Number]]&gt;=3,1,0)</f>
        <v>1</v>
      </c>
      <c r="O282" s="2">
        <f>IF(LeadsData[[#This Row],[Stage Number]]&gt;=4,1,0)</f>
        <v>1</v>
      </c>
    </row>
    <row r="283" spans="1:15" x14ac:dyDescent="0.25">
      <c r="A283" t="s">
        <v>323</v>
      </c>
      <c r="B283" s="1">
        <v>45397</v>
      </c>
      <c r="C283" t="s">
        <v>31</v>
      </c>
      <c r="D283" t="s">
        <v>34</v>
      </c>
      <c r="E283" t="s">
        <v>13</v>
      </c>
      <c r="F283" t="s">
        <v>14</v>
      </c>
      <c r="G283" t="s">
        <v>42</v>
      </c>
      <c r="H283">
        <v>71</v>
      </c>
      <c r="I283" t="s">
        <v>43</v>
      </c>
      <c r="J283">
        <v>833.74</v>
      </c>
      <c r="K283" cm="1">
        <f t="array" ref="K283">_xlfn.SWITCH(LeadsData[[#This Row],[Funnel Stage Reached]],"Lead",1,"MQL",2,"SQL",3,"Customer",4)</f>
        <v>4</v>
      </c>
      <c r="L283" t="str">
        <f>TEXT(LeadsData[[#This Row],[Signup Date]],"mmm-yyyy")</f>
        <v>Apr-2024</v>
      </c>
      <c r="M283">
        <f>IF(LeadsData[[#This Row],[Stage Number]]&gt;=2,1,0)</f>
        <v>1</v>
      </c>
      <c r="N283" s="2">
        <f>IF(LeadsData[[#This Row],[Stage Number]]&gt;=3,1,0)</f>
        <v>1</v>
      </c>
      <c r="O283" s="2">
        <f>IF(LeadsData[[#This Row],[Stage Number]]&gt;=4,1,0)</f>
        <v>1</v>
      </c>
    </row>
    <row r="284" spans="1:15" x14ac:dyDescent="0.25">
      <c r="A284" t="s">
        <v>324</v>
      </c>
      <c r="B284" s="1">
        <v>45484</v>
      </c>
      <c r="C284" t="s">
        <v>36</v>
      </c>
      <c r="D284" t="s">
        <v>50</v>
      </c>
      <c r="E284" t="s">
        <v>13</v>
      </c>
      <c r="F284" t="s">
        <v>22</v>
      </c>
      <c r="G284" t="s">
        <v>15</v>
      </c>
      <c r="K284" cm="1">
        <f t="array" ref="K284">_xlfn.SWITCH(LeadsData[[#This Row],[Funnel Stage Reached]],"Lead",1,"MQL",2,"SQL",3,"Customer",4)</f>
        <v>1</v>
      </c>
      <c r="L284" t="str">
        <f>TEXT(LeadsData[[#This Row],[Signup Date]],"mmm-yyyy")</f>
        <v>Jul-2024</v>
      </c>
      <c r="M284">
        <f>IF(LeadsData[[#This Row],[Stage Number]]&gt;=2,1,0)</f>
        <v>0</v>
      </c>
      <c r="N284" s="2">
        <f>IF(LeadsData[[#This Row],[Stage Number]]&gt;=3,1,0)</f>
        <v>0</v>
      </c>
      <c r="O284" s="2">
        <f>IF(LeadsData[[#This Row],[Stage Number]]&gt;=4,1,0)</f>
        <v>0</v>
      </c>
    </row>
    <row r="285" spans="1:15" x14ac:dyDescent="0.25">
      <c r="A285" t="s">
        <v>325</v>
      </c>
      <c r="B285" s="1">
        <v>45598</v>
      </c>
      <c r="C285" t="s">
        <v>46</v>
      </c>
      <c r="D285" t="s">
        <v>47</v>
      </c>
      <c r="E285" t="s">
        <v>13</v>
      </c>
      <c r="F285" t="s">
        <v>22</v>
      </c>
      <c r="G285" t="s">
        <v>15</v>
      </c>
      <c r="K285" cm="1">
        <f t="array" ref="K285">_xlfn.SWITCH(LeadsData[[#This Row],[Funnel Stage Reached]],"Lead",1,"MQL",2,"SQL",3,"Customer",4)</f>
        <v>1</v>
      </c>
      <c r="L285" t="str">
        <f>TEXT(LeadsData[[#This Row],[Signup Date]],"mmm-yyyy")</f>
        <v>Nov-2024</v>
      </c>
      <c r="M285">
        <f>IF(LeadsData[[#This Row],[Stage Number]]&gt;=2,1,0)</f>
        <v>0</v>
      </c>
      <c r="N285" s="2">
        <f>IF(LeadsData[[#This Row],[Stage Number]]&gt;=3,1,0)</f>
        <v>0</v>
      </c>
      <c r="O285" s="2">
        <f>IF(LeadsData[[#This Row],[Stage Number]]&gt;=4,1,0)</f>
        <v>0</v>
      </c>
    </row>
    <row r="286" spans="1:15" x14ac:dyDescent="0.25">
      <c r="A286" t="s">
        <v>326</v>
      </c>
      <c r="B286" s="1">
        <v>45547</v>
      </c>
      <c r="C286" t="s">
        <v>46</v>
      </c>
      <c r="D286" t="s">
        <v>47</v>
      </c>
      <c r="E286" t="s">
        <v>21</v>
      </c>
      <c r="F286" t="s">
        <v>14</v>
      </c>
      <c r="G286" t="s">
        <v>23</v>
      </c>
      <c r="K286" cm="1">
        <f t="array" ref="K286">_xlfn.SWITCH(LeadsData[[#This Row],[Funnel Stage Reached]],"Lead",1,"MQL",2,"SQL",3,"Customer",4)</f>
        <v>2</v>
      </c>
      <c r="L286" t="str">
        <f>TEXT(LeadsData[[#This Row],[Signup Date]],"mmm-yyyy")</f>
        <v>Sep-2024</v>
      </c>
      <c r="M286">
        <f>IF(LeadsData[[#This Row],[Stage Number]]&gt;=2,1,0)</f>
        <v>1</v>
      </c>
      <c r="N286" s="2">
        <f>IF(LeadsData[[#This Row],[Stage Number]]&gt;=3,1,0)</f>
        <v>0</v>
      </c>
      <c r="O286" s="2">
        <f>IF(LeadsData[[#This Row],[Stage Number]]&gt;=4,1,0)</f>
        <v>0</v>
      </c>
    </row>
    <row r="287" spans="1:15" x14ac:dyDescent="0.25">
      <c r="A287" t="s">
        <v>327</v>
      </c>
      <c r="B287" s="1">
        <v>45583</v>
      </c>
      <c r="C287" t="s">
        <v>11</v>
      </c>
      <c r="D287" t="s">
        <v>12</v>
      </c>
      <c r="E287" t="s">
        <v>13</v>
      </c>
      <c r="F287" t="s">
        <v>22</v>
      </c>
      <c r="G287" t="s">
        <v>15</v>
      </c>
      <c r="K287" cm="1">
        <f t="array" ref="K287">_xlfn.SWITCH(LeadsData[[#This Row],[Funnel Stage Reached]],"Lead",1,"MQL",2,"SQL",3,"Customer",4)</f>
        <v>1</v>
      </c>
      <c r="L287" t="str">
        <f>TEXT(LeadsData[[#This Row],[Signup Date]],"mmm-yyyy")</f>
        <v>Oct-2024</v>
      </c>
      <c r="M287">
        <f>IF(LeadsData[[#This Row],[Stage Number]]&gt;=2,1,0)</f>
        <v>0</v>
      </c>
      <c r="N287" s="2">
        <f>IF(LeadsData[[#This Row],[Stage Number]]&gt;=3,1,0)</f>
        <v>0</v>
      </c>
      <c r="O287" s="2">
        <f>IF(LeadsData[[#This Row],[Stage Number]]&gt;=4,1,0)</f>
        <v>0</v>
      </c>
    </row>
    <row r="288" spans="1:15" x14ac:dyDescent="0.25">
      <c r="A288" t="s">
        <v>328</v>
      </c>
      <c r="B288" s="1">
        <v>45410</v>
      </c>
      <c r="C288" t="s">
        <v>36</v>
      </c>
      <c r="D288" t="s">
        <v>37</v>
      </c>
      <c r="E288" t="s">
        <v>21</v>
      </c>
      <c r="F288" t="s">
        <v>19</v>
      </c>
      <c r="G288" t="s">
        <v>15</v>
      </c>
      <c r="K288" cm="1">
        <f t="array" ref="K288">_xlfn.SWITCH(LeadsData[[#This Row],[Funnel Stage Reached]],"Lead",1,"MQL",2,"SQL",3,"Customer",4)</f>
        <v>1</v>
      </c>
      <c r="L288" t="str">
        <f>TEXT(LeadsData[[#This Row],[Signup Date]],"mmm-yyyy")</f>
        <v>Apr-2024</v>
      </c>
      <c r="M288">
        <f>IF(LeadsData[[#This Row],[Stage Number]]&gt;=2,1,0)</f>
        <v>0</v>
      </c>
      <c r="N288" s="2">
        <f>IF(LeadsData[[#This Row],[Stage Number]]&gt;=3,1,0)</f>
        <v>0</v>
      </c>
      <c r="O288" s="2">
        <f>IF(LeadsData[[#This Row],[Stage Number]]&gt;=4,1,0)</f>
        <v>0</v>
      </c>
    </row>
    <row r="289" spans="1:15" x14ac:dyDescent="0.25">
      <c r="A289" t="s">
        <v>329</v>
      </c>
      <c r="B289" s="1">
        <v>45505</v>
      </c>
      <c r="C289" t="s">
        <v>46</v>
      </c>
      <c r="D289" t="s">
        <v>47</v>
      </c>
      <c r="E289" t="s">
        <v>21</v>
      </c>
      <c r="F289" t="s">
        <v>22</v>
      </c>
      <c r="G289" t="s">
        <v>23</v>
      </c>
      <c r="K289" cm="1">
        <f t="array" ref="K289">_xlfn.SWITCH(LeadsData[[#This Row],[Funnel Stage Reached]],"Lead",1,"MQL",2,"SQL",3,"Customer",4)</f>
        <v>2</v>
      </c>
      <c r="L289" t="str">
        <f>TEXT(LeadsData[[#This Row],[Signup Date]],"mmm-yyyy")</f>
        <v>Aug-2024</v>
      </c>
      <c r="M289">
        <f>IF(LeadsData[[#This Row],[Stage Number]]&gt;=2,1,0)</f>
        <v>1</v>
      </c>
      <c r="N289" s="2">
        <f>IF(LeadsData[[#This Row],[Stage Number]]&gt;=3,1,0)</f>
        <v>0</v>
      </c>
      <c r="O289" s="2">
        <f>IF(LeadsData[[#This Row],[Stage Number]]&gt;=4,1,0)</f>
        <v>0</v>
      </c>
    </row>
    <row r="290" spans="1:15" x14ac:dyDescent="0.25">
      <c r="A290" t="s">
        <v>330</v>
      </c>
      <c r="B290" s="1">
        <v>45498</v>
      </c>
      <c r="C290" t="s">
        <v>17</v>
      </c>
      <c r="D290" t="s">
        <v>18</v>
      </c>
      <c r="E290" t="s">
        <v>13</v>
      </c>
      <c r="F290" t="s">
        <v>19</v>
      </c>
      <c r="G290" t="s">
        <v>42</v>
      </c>
      <c r="H290">
        <v>70</v>
      </c>
      <c r="I290" t="s">
        <v>43</v>
      </c>
      <c r="J290">
        <v>879.48</v>
      </c>
      <c r="K290" cm="1">
        <f t="array" ref="K290">_xlfn.SWITCH(LeadsData[[#This Row],[Funnel Stage Reached]],"Lead",1,"MQL",2,"SQL",3,"Customer",4)</f>
        <v>4</v>
      </c>
      <c r="L290" t="str">
        <f>TEXT(LeadsData[[#This Row],[Signup Date]],"mmm-yyyy")</f>
        <v>Jul-2024</v>
      </c>
      <c r="M290">
        <f>IF(LeadsData[[#This Row],[Stage Number]]&gt;=2,1,0)</f>
        <v>1</v>
      </c>
      <c r="N290" s="2">
        <f>IF(LeadsData[[#This Row],[Stage Number]]&gt;=3,1,0)</f>
        <v>1</v>
      </c>
      <c r="O290" s="2">
        <f>IF(LeadsData[[#This Row],[Stage Number]]&gt;=4,1,0)</f>
        <v>1</v>
      </c>
    </row>
    <row r="291" spans="1:15" x14ac:dyDescent="0.25">
      <c r="A291" t="s">
        <v>331</v>
      </c>
      <c r="B291" s="1">
        <v>45559</v>
      </c>
      <c r="C291" t="s">
        <v>25</v>
      </c>
      <c r="D291" t="s">
        <v>26</v>
      </c>
      <c r="E291" t="s">
        <v>21</v>
      </c>
      <c r="F291" t="s">
        <v>19</v>
      </c>
      <c r="G291" t="s">
        <v>23</v>
      </c>
      <c r="K291" cm="1">
        <f t="array" ref="K291">_xlfn.SWITCH(LeadsData[[#This Row],[Funnel Stage Reached]],"Lead",1,"MQL",2,"SQL",3,"Customer",4)</f>
        <v>2</v>
      </c>
      <c r="L291" t="str">
        <f>TEXT(LeadsData[[#This Row],[Signup Date]],"mmm-yyyy")</f>
        <v>Sep-2024</v>
      </c>
      <c r="M291">
        <f>IF(LeadsData[[#This Row],[Stage Number]]&gt;=2,1,0)</f>
        <v>1</v>
      </c>
      <c r="N291" s="2">
        <f>IF(LeadsData[[#This Row],[Stage Number]]&gt;=3,1,0)</f>
        <v>0</v>
      </c>
      <c r="O291" s="2">
        <f>IF(LeadsData[[#This Row],[Stage Number]]&gt;=4,1,0)</f>
        <v>0</v>
      </c>
    </row>
    <row r="292" spans="1:15" x14ac:dyDescent="0.25">
      <c r="A292" t="s">
        <v>332</v>
      </c>
      <c r="B292" s="1">
        <v>45311</v>
      </c>
      <c r="C292" t="s">
        <v>46</v>
      </c>
      <c r="D292" t="s">
        <v>56</v>
      </c>
      <c r="E292" t="s">
        <v>48</v>
      </c>
      <c r="F292" t="s">
        <v>14</v>
      </c>
      <c r="G292" t="s">
        <v>15</v>
      </c>
      <c r="K292" cm="1">
        <f t="array" ref="K292">_xlfn.SWITCH(LeadsData[[#This Row],[Funnel Stage Reached]],"Lead",1,"MQL",2,"SQL",3,"Customer",4)</f>
        <v>1</v>
      </c>
      <c r="L292" t="str">
        <f>TEXT(LeadsData[[#This Row],[Signup Date]],"mmm-yyyy")</f>
        <v>Jan-2024</v>
      </c>
      <c r="M292">
        <f>IF(LeadsData[[#This Row],[Stage Number]]&gt;=2,1,0)</f>
        <v>0</v>
      </c>
      <c r="N292" s="2">
        <f>IF(LeadsData[[#This Row],[Stage Number]]&gt;=3,1,0)</f>
        <v>0</v>
      </c>
      <c r="O292" s="2">
        <f>IF(LeadsData[[#This Row],[Stage Number]]&gt;=4,1,0)</f>
        <v>0</v>
      </c>
    </row>
    <row r="293" spans="1:15" x14ac:dyDescent="0.25">
      <c r="A293" t="s">
        <v>333</v>
      </c>
      <c r="B293" s="1">
        <v>45509</v>
      </c>
      <c r="C293" t="s">
        <v>31</v>
      </c>
      <c r="D293" t="s">
        <v>32</v>
      </c>
      <c r="E293" t="s">
        <v>13</v>
      </c>
      <c r="F293" t="s">
        <v>19</v>
      </c>
      <c r="G293" t="s">
        <v>15</v>
      </c>
      <c r="K293" cm="1">
        <f t="array" ref="K293">_xlfn.SWITCH(LeadsData[[#This Row],[Funnel Stage Reached]],"Lead",1,"MQL",2,"SQL",3,"Customer",4)</f>
        <v>1</v>
      </c>
      <c r="L293" t="str">
        <f>TEXT(LeadsData[[#This Row],[Signup Date]],"mmm-yyyy")</f>
        <v>Aug-2024</v>
      </c>
      <c r="M293">
        <f>IF(LeadsData[[#This Row],[Stage Number]]&gt;=2,1,0)</f>
        <v>0</v>
      </c>
      <c r="N293" s="2">
        <f>IF(LeadsData[[#This Row],[Stage Number]]&gt;=3,1,0)</f>
        <v>0</v>
      </c>
      <c r="O293" s="2">
        <f>IF(LeadsData[[#This Row],[Stage Number]]&gt;=4,1,0)</f>
        <v>0</v>
      </c>
    </row>
    <row r="294" spans="1:15" x14ac:dyDescent="0.25">
      <c r="A294" t="s">
        <v>334</v>
      </c>
      <c r="B294" s="1">
        <v>45511</v>
      </c>
      <c r="C294" t="s">
        <v>17</v>
      </c>
      <c r="D294" t="s">
        <v>18</v>
      </c>
      <c r="E294" t="s">
        <v>13</v>
      </c>
      <c r="F294" t="s">
        <v>19</v>
      </c>
      <c r="G294" t="s">
        <v>15</v>
      </c>
      <c r="K294" cm="1">
        <f t="array" ref="K294">_xlfn.SWITCH(LeadsData[[#This Row],[Funnel Stage Reached]],"Lead",1,"MQL",2,"SQL",3,"Customer",4)</f>
        <v>1</v>
      </c>
      <c r="L294" t="str">
        <f>TEXT(LeadsData[[#This Row],[Signup Date]],"mmm-yyyy")</f>
        <v>Aug-2024</v>
      </c>
      <c r="M294">
        <f>IF(LeadsData[[#This Row],[Stage Number]]&gt;=2,1,0)</f>
        <v>0</v>
      </c>
      <c r="N294" s="2">
        <f>IF(LeadsData[[#This Row],[Stage Number]]&gt;=3,1,0)</f>
        <v>0</v>
      </c>
      <c r="O294" s="2">
        <f>IF(LeadsData[[#This Row],[Stage Number]]&gt;=4,1,0)</f>
        <v>0</v>
      </c>
    </row>
    <row r="295" spans="1:15" x14ac:dyDescent="0.25">
      <c r="A295" t="s">
        <v>335</v>
      </c>
      <c r="B295" s="1">
        <v>45387</v>
      </c>
      <c r="C295" t="s">
        <v>31</v>
      </c>
      <c r="D295" t="s">
        <v>32</v>
      </c>
      <c r="E295" t="s">
        <v>21</v>
      </c>
      <c r="F295" t="s">
        <v>22</v>
      </c>
      <c r="G295" t="s">
        <v>23</v>
      </c>
      <c r="K295" cm="1">
        <f t="array" ref="K295">_xlfn.SWITCH(LeadsData[[#This Row],[Funnel Stage Reached]],"Lead",1,"MQL",2,"SQL",3,"Customer",4)</f>
        <v>2</v>
      </c>
      <c r="L295" t="str">
        <f>TEXT(LeadsData[[#This Row],[Signup Date]],"mmm-yyyy")</f>
        <v>Apr-2024</v>
      </c>
      <c r="M295">
        <f>IF(LeadsData[[#This Row],[Stage Number]]&gt;=2,1,0)</f>
        <v>1</v>
      </c>
      <c r="N295" s="2">
        <f>IF(LeadsData[[#This Row],[Stage Number]]&gt;=3,1,0)</f>
        <v>0</v>
      </c>
      <c r="O295" s="2">
        <f>IF(LeadsData[[#This Row],[Stage Number]]&gt;=4,1,0)</f>
        <v>0</v>
      </c>
    </row>
    <row r="296" spans="1:15" x14ac:dyDescent="0.25">
      <c r="A296" t="s">
        <v>336</v>
      </c>
      <c r="B296" s="1">
        <v>45330</v>
      </c>
      <c r="C296" t="s">
        <v>46</v>
      </c>
      <c r="D296" t="s">
        <v>47</v>
      </c>
      <c r="E296" t="s">
        <v>13</v>
      </c>
      <c r="F296" t="s">
        <v>14</v>
      </c>
      <c r="G296" t="s">
        <v>42</v>
      </c>
      <c r="H296">
        <v>20</v>
      </c>
      <c r="I296" t="s">
        <v>43</v>
      </c>
      <c r="J296">
        <v>670.11</v>
      </c>
      <c r="K296" cm="1">
        <f t="array" ref="K296">_xlfn.SWITCH(LeadsData[[#This Row],[Funnel Stage Reached]],"Lead",1,"MQL",2,"SQL",3,"Customer",4)</f>
        <v>4</v>
      </c>
      <c r="L296" t="str">
        <f>TEXT(LeadsData[[#This Row],[Signup Date]],"mmm-yyyy")</f>
        <v>Feb-2024</v>
      </c>
      <c r="M296">
        <f>IF(LeadsData[[#This Row],[Stage Number]]&gt;=2,1,0)</f>
        <v>1</v>
      </c>
      <c r="N296" s="2">
        <f>IF(LeadsData[[#This Row],[Stage Number]]&gt;=3,1,0)</f>
        <v>1</v>
      </c>
      <c r="O296" s="2">
        <f>IF(LeadsData[[#This Row],[Stage Number]]&gt;=4,1,0)</f>
        <v>1</v>
      </c>
    </row>
    <row r="297" spans="1:15" x14ac:dyDescent="0.25">
      <c r="A297" t="s">
        <v>337</v>
      </c>
      <c r="B297" s="1">
        <v>45525</v>
      </c>
      <c r="C297" t="s">
        <v>36</v>
      </c>
      <c r="D297" t="s">
        <v>50</v>
      </c>
      <c r="E297" t="s">
        <v>21</v>
      </c>
      <c r="F297" t="s">
        <v>19</v>
      </c>
      <c r="G297" t="s">
        <v>15</v>
      </c>
      <c r="K297" cm="1">
        <f t="array" ref="K297">_xlfn.SWITCH(LeadsData[[#This Row],[Funnel Stage Reached]],"Lead",1,"MQL",2,"SQL",3,"Customer",4)</f>
        <v>1</v>
      </c>
      <c r="L297" t="str">
        <f>TEXT(LeadsData[[#This Row],[Signup Date]],"mmm-yyyy")</f>
        <v>Aug-2024</v>
      </c>
      <c r="M297">
        <f>IF(LeadsData[[#This Row],[Stage Number]]&gt;=2,1,0)</f>
        <v>0</v>
      </c>
      <c r="N297" s="2">
        <f>IF(LeadsData[[#This Row],[Stage Number]]&gt;=3,1,0)</f>
        <v>0</v>
      </c>
      <c r="O297" s="2">
        <f>IF(LeadsData[[#This Row],[Stage Number]]&gt;=4,1,0)</f>
        <v>0</v>
      </c>
    </row>
    <row r="298" spans="1:15" x14ac:dyDescent="0.25">
      <c r="A298" t="s">
        <v>338</v>
      </c>
      <c r="B298" s="1">
        <v>45563</v>
      </c>
      <c r="C298" t="s">
        <v>36</v>
      </c>
      <c r="D298" t="s">
        <v>50</v>
      </c>
      <c r="E298" t="s">
        <v>21</v>
      </c>
      <c r="F298" t="s">
        <v>14</v>
      </c>
      <c r="G298" t="s">
        <v>29</v>
      </c>
      <c r="K298" cm="1">
        <f t="array" ref="K298">_xlfn.SWITCH(LeadsData[[#This Row],[Funnel Stage Reached]],"Lead",1,"MQL",2,"SQL",3,"Customer",4)</f>
        <v>3</v>
      </c>
      <c r="L298" t="str">
        <f>TEXT(LeadsData[[#This Row],[Signup Date]],"mmm-yyyy")</f>
        <v>Sep-2024</v>
      </c>
      <c r="M298">
        <f>IF(LeadsData[[#This Row],[Stage Number]]&gt;=2,1,0)</f>
        <v>1</v>
      </c>
      <c r="N298" s="2">
        <f>IF(LeadsData[[#This Row],[Stage Number]]&gt;=3,1,0)</f>
        <v>1</v>
      </c>
      <c r="O298" s="2">
        <f>IF(LeadsData[[#This Row],[Stage Number]]&gt;=4,1,0)</f>
        <v>0</v>
      </c>
    </row>
    <row r="299" spans="1:15" x14ac:dyDescent="0.25">
      <c r="A299" t="s">
        <v>339</v>
      </c>
      <c r="B299" s="1">
        <v>45302</v>
      </c>
      <c r="C299" t="s">
        <v>25</v>
      </c>
      <c r="D299" t="s">
        <v>26</v>
      </c>
      <c r="E299" t="s">
        <v>13</v>
      </c>
      <c r="F299" t="s">
        <v>22</v>
      </c>
      <c r="G299" t="s">
        <v>23</v>
      </c>
      <c r="K299" cm="1">
        <f t="array" ref="K299">_xlfn.SWITCH(LeadsData[[#This Row],[Funnel Stage Reached]],"Lead",1,"MQL",2,"SQL",3,"Customer",4)</f>
        <v>2</v>
      </c>
      <c r="L299" t="str">
        <f>TEXT(LeadsData[[#This Row],[Signup Date]],"mmm-yyyy")</f>
        <v>Jan-2024</v>
      </c>
      <c r="M299">
        <f>IF(LeadsData[[#This Row],[Stage Number]]&gt;=2,1,0)</f>
        <v>1</v>
      </c>
      <c r="N299" s="2">
        <f>IF(LeadsData[[#This Row],[Stage Number]]&gt;=3,1,0)</f>
        <v>0</v>
      </c>
      <c r="O299" s="2">
        <f>IF(LeadsData[[#This Row],[Stage Number]]&gt;=4,1,0)</f>
        <v>0</v>
      </c>
    </row>
    <row r="300" spans="1:15" x14ac:dyDescent="0.25">
      <c r="A300" t="s">
        <v>340</v>
      </c>
      <c r="B300" s="1">
        <v>45346</v>
      </c>
      <c r="C300" t="s">
        <v>25</v>
      </c>
      <c r="D300" t="s">
        <v>26</v>
      </c>
      <c r="E300" t="s">
        <v>13</v>
      </c>
      <c r="F300" t="s">
        <v>14</v>
      </c>
      <c r="G300" t="s">
        <v>15</v>
      </c>
      <c r="K300" cm="1">
        <f t="array" ref="K300">_xlfn.SWITCH(LeadsData[[#This Row],[Funnel Stage Reached]],"Lead",1,"MQL",2,"SQL",3,"Customer",4)</f>
        <v>1</v>
      </c>
      <c r="L300" t="str">
        <f>TEXT(LeadsData[[#This Row],[Signup Date]],"mmm-yyyy")</f>
        <v>Feb-2024</v>
      </c>
      <c r="M300">
        <f>IF(LeadsData[[#This Row],[Stage Number]]&gt;=2,1,0)</f>
        <v>0</v>
      </c>
      <c r="N300" s="2">
        <f>IF(LeadsData[[#This Row],[Stage Number]]&gt;=3,1,0)</f>
        <v>0</v>
      </c>
      <c r="O300" s="2">
        <f>IF(LeadsData[[#This Row],[Stage Number]]&gt;=4,1,0)</f>
        <v>0</v>
      </c>
    </row>
    <row r="301" spans="1:15" x14ac:dyDescent="0.25">
      <c r="A301" t="s">
        <v>341</v>
      </c>
      <c r="B301" s="1">
        <v>45461</v>
      </c>
      <c r="C301" t="s">
        <v>17</v>
      </c>
      <c r="D301" t="s">
        <v>18</v>
      </c>
      <c r="E301" t="s">
        <v>48</v>
      </c>
      <c r="F301" t="s">
        <v>19</v>
      </c>
      <c r="G301" t="s">
        <v>15</v>
      </c>
      <c r="K301" cm="1">
        <f t="array" ref="K301">_xlfn.SWITCH(LeadsData[[#This Row],[Funnel Stage Reached]],"Lead",1,"MQL",2,"SQL",3,"Customer",4)</f>
        <v>1</v>
      </c>
      <c r="L301" t="str">
        <f>TEXT(LeadsData[[#This Row],[Signup Date]],"mmm-yyyy")</f>
        <v>Jun-2024</v>
      </c>
      <c r="M301">
        <f>IF(LeadsData[[#This Row],[Stage Number]]&gt;=2,1,0)</f>
        <v>0</v>
      </c>
      <c r="N301" s="2">
        <f>IF(LeadsData[[#This Row],[Stage Number]]&gt;=3,1,0)</f>
        <v>0</v>
      </c>
      <c r="O301" s="2">
        <f>IF(LeadsData[[#This Row],[Stage Number]]&gt;=4,1,0)</f>
        <v>0</v>
      </c>
    </row>
    <row r="302" spans="1:15" x14ac:dyDescent="0.25">
      <c r="A302" t="s">
        <v>342</v>
      </c>
      <c r="B302" s="1">
        <v>45602</v>
      </c>
      <c r="C302" t="s">
        <v>11</v>
      </c>
      <c r="D302" t="s">
        <v>68</v>
      </c>
      <c r="E302" t="s">
        <v>13</v>
      </c>
      <c r="F302" t="s">
        <v>19</v>
      </c>
      <c r="G302" t="s">
        <v>23</v>
      </c>
      <c r="K302" cm="1">
        <f t="array" ref="K302">_xlfn.SWITCH(LeadsData[[#This Row],[Funnel Stage Reached]],"Lead",1,"MQL",2,"SQL",3,"Customer",4)</f>
        <v>2</v>
      </c>
      <c r="L302" t="str">
        <f>TEXT(LeadsData[[#This Row],[Signup Date]],"mmm-yyyy")</f>
        <v>Nov-2024</v>
      </c>
      <c r="M302">
        <f>IF(LeadsData[[#This Row],[Stage Number]]&gt;=2,1,0)</f>
        <v>1</v>
      </c>
      <c r="N302" s="2">
        <f>IF(LeadsData[[#This Row],[Stage Number]]&gt;=3,1,0)</f>
        <v>0</v>
      </c>
      <c r="O302" s="2">
        <f>IF(LeadsData[[#This Row],[Stage Number]]&gt;=4,1,0)</f>
        <v>0</v>
      </c>
    </row>
    <row r="303" spans="1:15" x14ac:dyDescent="0.25">
      <c r="A303" t="s">
        <v>343</v>
      </c>
      <c r="B303" s="1">
        <v>45567</v>
      </c>
      <c r="C303" t="s">
        <v>25</v>
      </c>
      <c r="D303" t="s">
        <v>26</v>
      </c>
      <c r="E303" t="s">
        <v>13</v>
      </c>
      <c r="F303" t="s">
        <v>19</v>
      </c>
      <c r="G303" t="s">
        <v>23</v>
      </c>
      <c r="K303" cm="1">
        <f t="array" ref="K303">_xlfn.SWITCH(LeadsData[[#This Row],[Funnel Stage Reached]],"Lead",1,"MQL",2,"SQL",3,"Customer",4)</f>
        <v>2</v>
      </c>
      <c r="L303" t="str">
        <f>TEXT(LeadsData[[#This Row],[Signup Date]],"mmm-yyyy")</f>
        <v>Oct-2024</v>
      </c>
      <c r="M303">
        <f>IF(LeadsData[[#This Row],[Stage Number]]&gt;=2,1,0)</f>
        <v>1</v>
      </c>
      <c r="N303" s="2">
        <f>IF(LeadsData[[#This Row],[Stage Number]]&gt;=3,1,0)</f>
        <v>0</v>
      </c>
      <c r="O303" s="2">
        <f>IF(LeadsData[[#This Row],[Stage Number]]&gt;=4,1,0)</f>
        <v>0</v>
      </c>
    </row>
    <row r="304" spans="1:15" x14ac:dyDescent="0.25">
      <c r="A304" t="s">
        <v>344</v>
      </c>
      <c r="B304" s="1">
        <v>45342</v>
      </c>
      <c r="C304" t="s">
        <v>31</v>
      </c>
      <c r="D304" t="s">
        <v>32</v>
      </c>
      <c r="E304" t="s">
        <v>21</v>
      </c>
      <c r="F304" t="s">
        <v>19</v>
      </c>
      <c r="G304" t="s">
        <v>15</v>
      </c>
      <c r="K304" cm="1">
        <f t="array" ref="K304">_xlfn.SWITCH(LeadsData[[#This Row],[Funnel Stage Reached]],"Lead",1,"MQL",2,"SQL",3,"Customer",4)</f>
        <v>1</v>
      </c>
      <c r="L304" t="str">
        <f>TEXT(LeadsData[[#This Row],[Signup Date]],"mmm-yyyy")</f>
        <v>Feb-2024</v>
      </c>
      <c r="M304">
        <f>IF(LeadsData[[#This Row],[Stage Number]]&gt;=2,1,0)</f>
        <v>0</v>
      </c>
      <c r="N304" s="2">
        <f>IF(LeadsData[[#This Row],[Stage Number]]&gt;=3,1,0)</f>
        <v>0</v>
      </c>
      <c r="O304" s="2">
        <f>IF(LeadsData[[#This Row],[Stage Number]]&gt;=4,1,0)</f>
        <v>0</v>
      </c>
    </row>
    <row r="305" spans="1:15" x14ac:dyDescent="0.25">
      <c r="A305" t="s">
        <v>345</v>
      </c>
      <c r="B305" s="1">
        <v>45641</v>
      </c>
      <c r="C305" t="s">
        <v>36</v>
      </c>
      <c r="D305" t="s">
        <v>37</v>
      </c>
      <c r="E305" t="s">
        <v>21</v>
      </c>
      <c r="F305" t="s">
        <v>19</v>
      </c>
      <c r="G305" t="s">
        <v>29</v>
      </c>
      <c r="K305" cm="1">
        <f t="array" ref="K305">_xlfn.SWITCH(LeadsData[[#This Row],[Funnel Stage Reached]],"Lead",1,"MQL",2,"SQL",3,"Customer",4)</f>
        <v>3</v>
      </c>
      <c r="L305" t="str">
        <f>TEXT(LeadsData[[#This Row],[Signup Date]],"mmm-yyyy")</f>
        <v>Dec-2024</v>
      </c>
      <c r="M305">
        <f>IF(LeadsData[[#This Row],[Stage Number]]&gt;=2,1,0)</f>
        <v>1</v>
      </c>
      <c r="N305" s="2">
        <f>IF(LeadsData[[#This Row],[Stage Number]]&gt;=3,1,0)</f>
        <v>1</v>
      </c>
      <c r="O305" s="2">
        <f>IF(LeadsData[[#This Row],[Stage Number]]&gt;=4,1,0)</f>
        <v>0</v>
      </c>
    </row>
    <row r="306" spans="1:15" x14ac:dyDescent="0.25">
      <c r="A306" t="s">
        <v>346</v>
      </c>
      <c r="B306" s="1">
        <v>45302</v>
      </c>
      <c r="C306" t="s">
        <v>17</v>
      </c>
      <c r="D306" t="s">
        <v>53</v>
      </c>
      <c r="E306" t="s">
        <v>13</v>
      </c>
      <c r="F306" t="s">
        <v>28</v>
      </c>
      <c r="G306" t="s">
        <v>15</v>
      </c>
      <c r="K306" cm="1">
        <f t="array" ref="K306">_xlfn.SWITCH(LeadsData[[#This Row],[Funnel Stage Reached]],"Lead",1,"MQL",2,"SQL",3,"Customer",4)</f>
        <v>1</v>
      </c>
      <c r="L306" t="str">
        <f>TEXT(LeadsData[[#This Row],[Signup Date]],"mmm-yyyy")</f>
        <v>Jan-2024</v>
      </c>
      <c r="M306">
        <f>IF(LeadsData[[#This Row],[Stage Number]]&gt;=2,1,0)</f>
        <v>0</v>
      </c>
      <c r="N306" s="2">
        <f>IF(LeadsData[[#This Row],[Stage Number]]&gt;=3,1,0)</f>
        <v>0</v>
      </c>
      <c r="O306" s="2">
        <f>IF(LeadsData[[#This Row],[Stage Number]]&gt;=4,1,0)</f>
        <v>0</v>
      </c>
    </row>
    <row r="307" spans="1:15" x14ac:dyDescent="0.25">
      <c r="A307" t="s">
        <v>347</v>
      </c>
      <c r="B307" s="1">
        <v>45639</v>
      </c>
      <c r="C307" t="s">
        <v>11</v>
      </c>
      <c r="D307" t="s">
        <v>79</v>
      </c>
      <c r="E307" t="s">
        <v>21</v>
      </c>
      <c r="F307" t="s">
        <v>22</v>
      </c>
      <c r="G307" t="s">
        <v>15</v>
      </c>
      <c r="K307" cm="1">
        <f t="array" ref="K307">_xlfn.SWITCH(LeadsData[[#This Row],[Funnel Stage Reached]],"Lead",1,"MQL",2,"SQL",3,"Customer",4)</f>
        <v>1</v>
      </c>
      <c r="L307" t="str">
        <f>TEXT(LeadsData[[#This Row],[Signup Date]],"mmm-yyyy")</f>
        <v>Dec-2024</v>
      </c>
      <c r="M307">
        <f>IF(LeadsData[[#This Row],[Stage Number]]&gt;=2,1,0)</f>
        <v>0</v>
      </c>
      <c r="N307" s="2">
        <f>IF(LeadsData[[#This Row],[Stage Number]]&gt;=3,1,0)</f>
        <v>0</v>
      </c>
      <c r="O307" s="2">
        <f>IF(LeadsData[[#This Row],[Stage Number]]&gt;=4,1,0)</f>
        <v>0</v>
      </c>
    </row>
    <row r="308" spans="1:15" x14ac:dyDescent="0.25">
      <c r="A308" t="s">
        <v>348</v>
      </c>
      <c r="B308" s="1">
        <v>45378</v>
      </c>
      <c r="C308" t="s">
        <v>25</v>
      </c>
      <c r="D308" t="s">
        <v>26</v>
      </c>
      <c r="E308" t="s">
        <v>13</v>
      </c>
      <c r="F308" t="s">
        <v>22</v>
      </c>
      <c r="G308" t="s">
        <v>15</v>
      </c>
      <c r="K308" cm="1">
        <f t="array" ref="K308">_xlfn.SWITCH(LeadsData[[#This Row],[Funnel Stage Reached]],"Lead",1,"MQL",2,"SQL",3,"Customer",4)</f>
        <v>1</v>
      </c>
      <c r="L308" t="str">
        <f>TEXT(LeadsData[[#This Row],[Signup Date]],"mmm-yyyy")</f>
        <v>Mar-2024</v>
      </c>
      <c r="M308">
        <f>IF(LeadsData[[#This Row],[Stage Number]]&gt;=2,1,0)</f>
        <v>0</v>
      </c>
      <c r="N308" s="2">
        <f>IF(LeadsData[[#This Row],[Stage Number]]&gt;=3,1,0)</f>
        <v>0</v>
      </c>
      <c r="O308" s="2">
        <f>IF(LeadsData[[#This Row],[Stage Number]]&gt;=4,1,0)</f>
        <v>0</v>
      </c>
    </row>
    <row r="309" spans="1:15" x14ac:dyDescent="0.25">
      <c r="A309" t="s">
        <v>349</v>
      </c>
      <c r="B309" s="1">
        <v>45629</v>
      </c>
      <c r="C309" t="s">
        <v>46</v>
      </c>
      <c r="D309" t="s">
        <v>56</v>
      </c>
      <c r="E309" t="s">
        <v>21</v>
      </c>
      <c r="F309" t="s">
        <v>19</v>
      </c>
      <c r="G309" t="s">
        <v>15</v>
      </c>
      <c r="K309" cm="1">
        <f t="array" ref="K309">_xlfn.SWITCH(LeadsData[[#This Row],[Funnel Stage Reached]],"Lead",1,"MQL",2,"SQL",3,"Customer",4)</f>
        <v>1</v>
      </c>
      <c r="L309" t="str">
        <f>TEXT(LeadsData[[#This Row],[Signup Date]],"mmm-yyyy")</f>
        <v>Dec-2024</v>
      </c>
      <c r="M309">
        <f>IF(LeadsData[[#This Row],[Stage Number]]&gt;=2,1,0)</f>
        <v>0</v>
      </c>
      <c r="N309" s="2">
        <f>IF(LeadsData[[#This Row],[Stage Number]]&gt;=3,1,0)</f>
        <v>0</v>
      </c>
      <c r="O309" s="2">
        <f>IF(LeadsData[[#This Row],[Stage Number]]&gt;=4,1,0)</f>
        <v>0</v>
      </c>
    </row>
    <row r="310" spans="1:15" x14ac:dyDescent="0.25">
      <c r="A310" t="s">
        <v>350</v>
      </c>
      <c r="B310" s="1">
        <v>45541</v>
      </c>
      <c r="C310" t="s">
        <v>46</v>
      </c>
      <c r="D310" t="s">
        <v>47</v>
      </c>
      <c r="E310" t="s">
        <v>13</v>
      </c>
      <c r="F310" t="s">
        <v>19</v>
      </c>
      <c r="G310" t="s">
        <v>15</v>
      </c>
      <c r="K310" cm="1">
        <f t="array" ref="K310">_xlfn.SWITCH(LeadsData[[#This Row],[Funnel Stage Reached]],"Lead",1,"MQL",2,"SQL",3,"Customer",4)</f>
        <v>1</v>
      </c>
      <c r="L310" t="str">
        <f>TEXT(LeadsData[[#This Row],[Signup Date]],"mmm-yyyy")</f>
        <v>Sep-2024</v>
      </c>
      <c r="M310">
        <f>IF(LeadsData[[#This Row],[Stage Number]]&gt;=2,1,0)</f>
        <v>0</v>
      </c>
      <c r="N310" s="2">
        <f>IF(LeadsData[[#This Row],[Stage Number]]&gt;=3,1,0)</f>
        <v>0</v>
      </c>
      <c r="O310" s="2">
        <f>IF(LeadsData[[#This Row],[Stage Number]]&gt;=4,1,0)</f>
        <v>0</v>
      </c>
    </row>
    <row r="311" spans="1:15" x14ac:dyDescent="0.25">
      <c r="A311" t="s">
        <v>351</v>
      </c>
      <c r="B311" s="1">
        <v>45297</v>
      </c>
      <c r="C311" t="s">
        <v>46</v>
      </c>
      <c r="D311" t="s">
        <v>56</v>
      </c>
      <c r="E311" t="s">
        <v>13</v>
      </c>
      <c r="F311" t="s">
        <v>19</v>
      </c>
      <c r="G311" t="s">
        <v>29</v>
      </c>
      <c r="K311" cm="1">
        <f t="array" ref="K311">_xlfn.SWITCH(LeadsData[[#This Row],[Funnel Stage Reached]],"Lead",1,"MQL",2,"SQL",3,"Customer",4)</f>
        <v>3</v>
      </c>
      <c r="L311" t="str">
        <f>TEXT(LeadsData[[#This Row],[Signup Date]],"mmm-yyyy")</f>
        <v>Jan-2024</v>
      </c>
      <c r="M311">
        <f>IF(LeadsData[[#This Row],[Stage Number]]&gt;=2,1,0)</f>
        <v>1</v>
      </c>
      <c r="N311" s="2">
        <f>IF(LeadsData[[#This Row],[Stage Number]]&gt;=3,1,0)</f>
        <v>1</v>
      </c>
      <c r="O311" s="2">
        <f>IF(LeadsData[[#This Row],[Stage Number]]&gt;=4,1,0)</f>
        <v>0</v>
      </c>
    </row>
    <row r="312" spans="1:15" x14ac:dyDescent="0.25">
      <c r="A312" t="s">
        <v>352</v>
      </c>
      <c r="B312" s="1">
        <v>45387</v>
      </c>
      <c r="C312" t="s">
        <v>46</v>
      </c>
      <c r="D312" t="s">
        <v>56</v>
      </c>
      <c r="E312" t="s">
        <v>13</v>
      </c>
      <c r="F312" t="s">
        <v>22</v>
      </c>
      <c r="G312" t="s">
        <v>23</v>
      </c>
      <c r="K312" cm="1">
        <f t="array" ref="K312">_xlfn.SWITCH(LeadsData[[#This Row],[Funnel Stage Reached]],"Lead",1,"MQL",2,"SQL",3,"Customer",4)</f>
        <v>2</v>
      </c>
      <c r="L312" t="str">
        <f>TEXT(LeadsData[[#This Row],[Signup Date]],"mmm-yyyy")</f>
        <v>Apr-2024</v>
      </c>
      <c r="M312">
        <f>IF(LeadsData[[#This Row],[Stage Number]]&gt;=2,1,0)</f>
        <v>1</v>
      </c>
      <c r="N312" s="2">
        <f>IF(LeadsData[[#This Row],[Stage Number]]&gt;=3,1,0)</f>
        <v>0</v>
      </c>
      <c r="O312" s="2">
        <f>IF(LeadsData[[#This Row],[Stage Number]]&gt;=4,1,0)</f>
        <v>0</v>
      </c>
    </row>
    <row r="313" spans="1:15" x14ac:dyDescent="0.25">
      <c r="A313" t="s">
        <v>353</v>
      </c>
      <c r="B313" s="1">
        <v>45561</v>
      </c>
      <c r="C313" t="s">
        <v>31</v>
      </c>
      <c r="D313" t="s">
        <v>32</v>
      </c>
      <c r="E313" t="s">
        <v>13</v>
      </c>
      <c r="F313" t="s">
        <v>19</v>
      </c>
      <c r="G313" t="s">
        <v>15</v>
      </c>
      <c r="K313" cm="1">
        <f t="array" ref="K313">_xlfn.SWITCH(LeadsData[[#This Row],[Funnel Stage Reached]],"Lead",1,"MQL",2,"SQL",3,"Customer",4)</f>
        <v>1</v>
      </c>
      <c r="L313" t="str">
        <f>TEXT(LeadsData[[#This Row],[Signup Date]],"mmm-yyyy")</f>
        <v>Sep-2024</v>
      </c>
      <c r="M313">
        <f>IF(LeadsData[[#This Row],[Stage Number]]&gt;=2,1,0)</f>
        <v>0</v>
      </c>
      <c r="N313" s="2">
        <f>IF(LeadsData[[#This Row],[Stage Number]]&gt;=3,1,0)</f>
        <v>0</v>
      </c>
      <c r="O313" s="2">
        <f>IF(LeadsData[[#This Row],[Stage Number]]&gt;=4,1,0)</f>
        <v>0</v>
      </c>
    </row>
    <row r="314" spans="1:15" x14ac:dyDescent="0.25">
      <c r="A314" t="s">
        <v>354</v>
      </c>
      <c r="B314" s="1">
        <v>45385</v>
      </c>
      <c r="C314" t="s">
        <v>17</v>
      </c>
      <c r="D314" t="s">
        <v>18</v>
      </c>
      <c r="E314" t="s">
        <v>21</v>
      </c>
      <c r="F314" t="s">
        <v>28</v>
      </c>
      <c r="G314" t="s">
        <v>15</v>
      </c>
      <c r="K314" cm="1">
        <f t="array" ref="K314">_xlfn.SWITCH(LeadsData[[#This Row],[Funnel Stage Reached]],"Lead",1,"MQL",2,"SQL",3,"Customer",4)</f>
        <v>1</v>
      </c>
      <c r="L314" t="str">
        <f>TEXT(LeadsData[[#This Row],[Signup Date]],"mmm-yyyy")</f>
        <v>Apr-2024</v>
      </c>
      <c r="M314">
        <f>IF(LeadsData[[#This Row],[Stage Number]]&gt;=2,1,0)</f>
        <v>0</v>
      </c>
      <c r="N314" s="2">
        <f>IF(LeadsData[[#This Row],[Stage Number]]&gt;=3,1,0)</f>
        <v>0</v>
      </c>
      <c r="O314" s="2">
        <f>IF(LeadsData[[#This Row],[Stage Number]]&gt;=4,1,0)</f>
        <v>0</v>
      </c>
    </row>
    <row r="315" spans="1:15" x14ac:dyDescent="0.25">
      <c r="A315" t="s">
        <v>355</v>
      </c>
      <c r="B315" s="1">
        <v>45597</v>
      </c>
      <c r="C315" t="s">
        <v>11</v>
      </c>
      <c r="D315" t="s">
        <v>12</v>
      </c>
      <c r="E315" t="s">
        <v>48</v>
      </c>
      <c r="F315" t="s">
        <v>19</v>
      </c>
      <c r="G315" t="s">
        <v>15</v>
      </c>
      <c r="K315" cm="1">
        <f t="array" ref="K315">_xlfn.SWITCH(LeadsData[[#This Row],[Funnel Stage Reached]],"Lead",1,"MQL",2,"SQL",3,"Customer",4)</f>
        <v>1</v>
      </c>
      <c r="L315" t="str">
        <f>TEXT(LeadsData[[#This Row],[Signup Date]],"mmm-yyyy")</f>
        <v>Nov-2024</v>
      </c>
      <c r="M315">
        <f>IF(LeadsData[[#This Row],[Stage Number]]&gt;=2,1,0)</f>
        <v>0</v>
      </c>
      <c r="N315" s="2">
        <f>IF(LeadsData[[#This Row],[Stage Number]]&gt;=3,1,0)</f>
        <v>0</v>
      </c>
      <c r="O315" s="2">
        <f>IF(LeadsData[[#This Row],[Stage Number]]&gt;=4,1,0)</f>
        <v>0</v>
      </c>
    </row>
    <row r="316" spans="1:15" x14ac:dyDescent="0.25">
      <c r="A316" t="s">
        <v>356</v>
      </c>
      <c r="B316" s="1">
        <v>45409</v>
      </c>
      <c r="C316" t="s">
        <v>11</v>
      </c>
      <c r="D316" t="s">
        <v>68</v>
      </c>
      <c r="E316" t="s">
        <v>21</v>
      </c>
      <c r="F316" t="s">
        <v>22</v>
      </c>
      <c r="G316" t="s">
        <v>23</v>
      </c>
      <c r="K316" cm="1">
        <f t="array" ref="K316">_xlfn.SWITCH(LeadsData[[#This Row],[Funnel Stage Reached]],"Lead",1,"MQL",2,"SQL",3,"Customer",4)</f>
        <v>2</v>
      </c>
      <c r="L316" t="str">
        <f>TEXT(LeadsData[[#This Row],[Signup Date]],"mmm-yyyy")</f>
        <v>Apr-2024</v>
      </c>
      <c r="M316">
        <f>IF(LeadsData[[#This Row],[Stage Number]]&gt;=2,1,0)</f>
        <v>1</v>
      </c>
      <c r="N316" s="2">
        <f>IF(LeadsData[[#This Row],[Stage Number]]&gt;=3,1,0)</f>
        <v>0</v>
      </c>
      <c r="O316" s="2">
        <f>IF(LeadsData[[#This Row],[Stage Number]]&gt;=4,1,0)</f>
        <v>0</v>
      </c>
    </row>
    <row r="317" spans="1:15" x14ac:dyDescent="0.25">
      <c r="A317" t="s">
        <v>357</v>
      </c>
      <c r="B317" s="1">
        <v>45376</v>
      </c>
      <c r="C317" t="s">
        <v>17</v>
      </c>
      <c r="D317" t="s">
        <v>18</v>
      </c>
      <c r="E317" t="s">
        <v>48</v>
      </c>
      <c r="F317" t="s">
        <v>14</v>
      </c>
      <c r="G317" t="s">
        <v>23</v>
      </c>
      <c r="K317" cm="1">
        <f t="array" ref="K317">_xlfn.SWITCH(LeadsData[[#This Row],[Funnel Stage Reached]],"Lead",1,"MQL",2,"SQL",3,"Customer",4)</f>
        <v>2</v>
      </c>
      <c r="L317" t="str">
        <f>TEXT(LeadsData[[#This Row],[Signup Date]],"mmm-yyyy")</f>
        <v>Mar-2024</v>
      </c>
      <c r="M317">
        <f>IF(LeadsData[[#This Row],[Stage Number]]&gt;=2,1,0)</f>
        <v>1</v>
      </c>
      <c r="N317" s="2">
        <f>IF(LeadsData[[#This Row],[Stage Number]]&gt;=3,1,0)</f>
        <v>0</v>
      </c>
      <c r="O317" s="2">
        <f>IF(LeadsData[[#This Row],[Stage Number]]&gt;=4,1,0)</f>
        <v>0</v>
      </c>
    </row>
    <row r="318" spans="1:15" x14ac:dyDescent="0.25">
      <c r="A318" t="s">
        <v>358</v>
      </c>
      <c r="B318" s="1">
        <v>45618</v>
      </c>
      <c r="C318" t="s">
        <v>17</v>
      </c>
      <c r="D318" t="s">
        <v>53</v>
      </c>
      <c r="E318" t="s">
        <v>21</v>
      </c>
      <c r="F318" t="s">
        <v>19</v>
      </c>
      <c r="G318" t="s">
        <v>15</v>
      </c>
      <c r="K318" cm="1">
        <f t="array" ref="K318">_xlfn.SWITCH(LeadsData[[#This Row],[Funnel Stage Reached]],"Lead",1,"MQL",2,"SQL",3,"Customer",4)</f>
        <v>1</v>
      </c>
      <c r="L318" t="str">
        <f>TEXT(LeadsData[[#This Row],[Signup Date]],"mmm-yyyy")</f>
        <v>Nov-2024</v>
      </c>
      <c r="M318">
        <f>IF(LeadsData[[#This Row],[Stage Number]]&gt;=2,1,0)</f>
        <v>0</v>
      </c>
      <c r="N318" s="2">
        <f>IF(LeadsData[[#This Row],[Stage Number]]&gt;=3,1,0)</f>
        <v>0</v>
      </c>
      <c r="O318" s="2">
        <f>IF(LeadsData[[#This Row],[Stage Number]]&gt;=4,1,0)</f>
        <v>0</v>
      </c>
    </row>
    <row r="319" spans="1:15" x14ac:dyDescent="0.25">
      <c r="A319" t="s">
        <v>359</v>
      </c>
      <c r="B319" s="1">
        <v>45644</v>
      </c>
      <c r="C319" t="s">
        <v>17</v>
      </c>
      <c r="D319" t="s">
        <v>53</v>
      </c>
      <c r="E319" t="s">
        <v>21</v>
      </c>
      <c r="F319" t="s">
        <v>22</v>
      </c>
      <c r="G319" t="s">
        <v>29</v>
      </c>
      <c r="K319" cm="1">
        <f t="array" ref="K319">_xlfn.SWITCH(LeadsData[[#This Row],[Funnel Stage Reached]],"Lead",1,"MQL",2,"SQL",3,"Customer",4)</f>
        <v>3</v>
      </c>
      <c r="L319" t="str">
        <f>TEXT(LeadsData[[#This Row],[Signup Date]],"mmm-yyyy")</f>
        <v>Dec-2024</v>
      </c>
      <c r="M319">
        <f>IF(LeadsData[[#This Row],[Stage Number]]&gt;=2,1,0)</f>
        <v>1</v>
      </c>
      <c r="N319" s="2">
        <f>IF(LeadsData[[#This Row],[Stage Number]]&gt;=3,1,0)</f>
        <v>1</v>
      </c>
      <c r="O319" s="2">
        <f>IF(LeadsData[[#This Row],[Stage Number]]&gt;=4,1,0)</f>
        <v>0</v>
      </c>
    </row>
    <row r="320" spans="1:15" x14ac:dyDescent="0.25">
      <c r="A320" t="s">
        <v>360</v>
      </c>
      <c r="B320" s="1">
        <v>45632</v>
      </c>
      <c r="C320" t="s">
        <v>46</v>
      </c>
      <c r="D320" t="s">
        <v>56</v>
      </c>
      <c r="E320" t="s">
        <v>21</v>
      </c>
      <c r="F320" t="s">
        <v>22</v>
      </c>
      <c r="G320" t="s">
        <v>23</v>
      </c>
      <c r="K320" cm="1">
        <f t="array" ref="K320">_xlfn.SWITCH(LeadsData[[#This Row],[Funnel Stage Reached]],"Lead",1,"MQL",2,"SQL",3,"Customer",4)</f>
        <v>2</v>
      </c>
      <c r="L320" t="str">
        <f>TEXT(LeadsData[[#This Row],[Signup Date]],"mmm-yyyy")</f>
        <v>Dec-2024</v>
      </c>
      <c r="M320">
        <f>IF(LeadsData[[#This Row],[Stage Number]]&gt;=2,1,0)</f>
        <v>1</v>
      </c>
      <c r="N320" s="2">
        <f>IF(LeadsData[[#This Row],[Stage Number]]&gt;=3,1,0)</f>
        <v>0</v>
      </c>
      <c r="O320" s="2">
        <f>IF(LeadsData[[#This Row],[Stage Number]]&gt;=4,1,0)</f>
        <v>0</v>
      </c>
    </row>
    <row r="321" spans="1:15" x14ac:dyDescent="0.25">
      <c r="A321" t="s">
        <v>361</v>
      </c>
      <c r="B321" s="1">
        <v>45512</v>
      </c>
      <c r="C321" t="s">
        <v>46</v>
      </c>
      <c r="D321" t="s">
        <v>47</v>
      </c>
      <c r="E321" t="s">
        <v>13</v>
      </c>
      <c r="F321" t="s">
        <v>22</v>
      </c>
      <c r="G321" t="s">
        <v>15</v>
      </c>
      <c r="K321" cm="1">
        <f t="array" ref="K321">_xlfn.SWITCH(LeadsData[[#This Row],[Funnel Stage Reached]],"Lead",1,"MQL",2,"SQL",3,"Customer",4)</f>
        <v>1</v>
      </c>
      <c r="L321" t="str">
        <f>TEXT(LeadsData[[#This Row],[Signup Date]],"mmm-yyyy")</f>
        <v>Aug-2024</v>
      </c>
      <c r="M321">
        <f>IF(LeadsData[[#This Row],[Stage Number]]&gt;=2,1,0)</f>
        <v>0</v>
      </c>
      <c r="N321" s="2">
        <f>IF(LeadsData[[#This Row],[Stage Number]]&gt;=3,1,0)</f>
        <v>0</v>
      </c>
      <c r="O321" s="2">
        <f>IF(LeadsData[[#This Row],[Stage Number]]&gt;=4,1,0)</f>
        <v>0</v>
      </c>
    </row>
    <row r="322" spans="1:15" x14ac:dyDescent="0.25">
      <c r="A322" t="s">
        <v>362</v>
      </c>
      <c r="B322" s="1">
        <v>45420</v>
      </c>
      <c r="C322" t="s">
        <v>11</v>
      </c>
      <c r="D322" t="s">
        <v>68</v>
      </c>
      <c r="E322" t="s">
        <v>13</v>
      </c>
      <c r="F322" t="s">
        <v>28</v>
      </c>
      <c r="G322" t="s">
        <v>29</v>
      </c>
      <c r="K322" cm="1">
        <f t="array" ref="K322">_xlfn.SWITCH(LeadsData[[#This Row],[Funnel Stage Reached]],"Lead",1,"MQL",2,"SQL",3,"Customer",4)</f>
        <v>3</v>
      </c>
      <c r="L322" t="str">
        <f>TEXT(LeadsData[[#This Row],[Signup Date]],"mmm-yyyy")</f>
        <v>May-2024</v>
      </c>
      <c r="M322">
        <f>IF(LeadsData[[#This Row],[Stage Number]]&gt;=2,1,0)</f>
        <v>1</v>
      </c>
      <c r="N322" s="2">
        <f>IF(LeadsData[[#This Row],[Stage Number]]&gt;=3,1,0)</f>
        <v>1</v>
      </c>
      <c r="O322" s="2">
        <f>IF(LeadsData[[#This Row],[Stage Number]]&gt;=4,1,0)</f>
        <v>0</v>
      </c>
    </row>
    <row r="323" spans="1:15" x14ac:dyDescent="0.25">
      <c r="A323" t="s">
        <v>363</v>
      </c>
      <c r="B323" s="1">
        <v>45515</v>
      </c>
      <c r="C323" t="s">
        <v>17</v>
      </c>
      <c r="D323" t="s">
        <v>53</v>
      </c>
      <c r="E323" t="s">
        <v>13</v>
      </c>
      <c r="F323" t="s">
        <v>22</v>
      </c>
      <c r="G323" t="s">
        <v>15</v>
      </c>
      <c r="K323" cm="1">
        <f t="array" ref="K323">_xlfn.SWITCH(LeadsData[[#This Row],[Funnel Stage Reached]],"Lead",1,"MQL",2,"SQL",3,"Customer",4)</f>
        <v>1</v>
      </c>
      <c r="L323" t="str">
        <f>TEXT(LeadsData[[#This Row],[Signup Date]],"mmm-yyyy")</f>
        <v>Aug-2024</v>
      </c>
      <c r="M323">
        <f>IF(LeadsData[[#This Row],[Stage Number]]&gt;=2,1,0)</f>
        <v>0</v>
      </c>
      <c r="N323" s="2">
        <f>IF(LeadsData[[#This Row],[Stage Number]]&gt;=3,1,0)</f>
        <v>0</v>
      </c>
      <c r="O323" s="2">
        <f>IF(LeadsData[[#This Row],[Stage Number]]&gt;=4,1,0)</f>
        <v>0</v>
      </c>
    </row>
    <row r="324" spans="1:15" x14ac:dyDescent="0.25">
      <c r="A324" t="s">
        <v>364</v>
      </c>
      <c r="B324" s="1">
        <v>45623</v>
      </c>
      <c r="C324" t="s">
        <v>11</v>
      </c>
      <c r="D324" t="s">
        <v>12</v>
      </c>
      <c r="E324" t="s">
        <v>21</v>
      </c>
      <c r="F324" t="s">
        <v>28</v>
      </c>
      <c r="G324" t="s">
        <v>23</v>
      </c>
      <c r="K324" cm="1">
        <f t="array" ref="K324">_xlfn.SWITCH(LeadsData[[#This Row],[Funnel Stage Reached]],"Lead",1,"MQL",2,"SQL",3,"Customer",4)</f>
        <v>2</v>
      </c>
      <c r="L324" t="str">
        <f>TEXT(LeadsData[[#This Row],[Signup Date]],"mmm-yyyy")</f>
        <v>Nov-2024</v>
      </c>
      <c r="M324">
        <f>IF(LeadsData[[#This Row],[Stage Number]]&gt;=2,1,0)</f>
        <v>1</v>
      </c>
      <c r="N324" s="2">
        <f>IF(LeadsData[[#This Row],[Stage Number]]&gt;=3,1,0)</f>
        <v>0</v>
      </c>
      <c r="O324" s="2">
        <f>IF(LeadsData[[#This Row],[Stage Number]]&gt;=4,1,0)</f>
        <v>0</v>
      </c>
    </row>
    <row r="325" spans="1:15" x14ac:dyDescent="0.25">
      <c r="A325" t="s">
        <v>365</v>
      </c>
      <c r="B325" s="1">
        <v>45578</v>
      </c>
      <c r="C325" t="s">
        <v>25</v>
      </c>
      <c r="D325" t="s">
        <v>26</v>
      </c>
      <c r="E325" t="s">
        <v>13</v>
      </c>
      <c r="F325" t="s">
        <v>19</v>
      </c>
      <c r="G325" t="s">
        <v>15</v>
      </c>
      <c r="K325" cm="1">
        <f t="array" ref="K325">_xlfn.SWITCH(LeadsData[[#This Row],[Funnel Stage Reached]],"Lead",1,"MQL",2,"SQL",3,"Customer",4)</f>
        <v>1</v>
      </c>
      <c r="L325" t="str">
        <f>TEXT(LeadsData[[#This Row],[Signup Date]],"mmm-yyyy")</f>
        <v>Oct-2024</v>
      </c>
      <c r="M325">
        <f>IF(LeadsData[[#This Row],[Stage Number]]&gt;=2,1,0)</f>
        <v>0</v>
      </c>
      <c r="N325" s="2">
        <f>IF(LeadsData[[#This Row],[Stage Number]]&gt;=3,1,0)</f>
        <v>0</v>
      </c>
      <c r="O325" s="2">
        <f>IF(LeadsData[[#This Row],[Stage Number]]&gt;=4,1,0)</f>
        <v>0</v>
      </c>
    </row>
    <row r="326" spans="1:15" x14ac:dyDescent="0.25">
      <c r="A326" t="s">
        <v>366</v>
      </c>
      <c r="B326" s="1">
        <v>45555</v>
      </c>
      <c r="C326" t="s">
        <v>31</v>
      </c>
      <c r="D326" t="s">
        <v>34</v>
      </c>
      <c r="E326" t="s">
        <v>21</v>
      </c>
      <c r="F326" t="s">
        <v>22</v>
      </c>
      <c r="G326" t="s">
        <v>15</v>
      </c>
      <c r="K326" cm="1">
        <f t="array" ref="K326">_xlfn.SWITCH(LeadsData[[#This Row],[Funnel Stage Reached]],"Lead",1,"MQL",2,"SQL",3,"Customer",4)</f>
        <v>1</v>
      </c>
      <c r="L326" t="str">
        <f>TEXT(LeadsData[[#This Row],[Signup Date]],"mmm-yyyy")</f>
        <v>Sep-2024</v>
      </c>
      <c r="M326">
        <f>IF(LeadsData[[#This Row],[Stage Number]]&gt;=2,1,0)</f>
        <v>0</v>
      </c>
      <c r="N326" s="2">
        <f>IF(LeadsData[[#This Row],[Stage Number]]&gt;=3,1,0)</f>
        <v>0</v>
      </c>
      <c r="O326" s="2">
        <f>IF(LeadsData[[#This Row],[Stage Number]]&gt;=4,1,0)</f>
        <v>0</v>
      </c>
    </row>
    <row r="327" spans="1:15" x14ac:dyDescent="0.25">
      <c r="A327" t="s">
        <v>367</v>
      </c>
      <c r="B327" s="1">
        <v>45624</v>
      </c>
      <c r="C327" t="s">
        <v>25</v>
      </c>
      <c r="D327" t="s">
        <v>26</v>
      </c>
      <c r="E327" t="s">
        <v>21</v>
      </c>
      <c r="F327" t="s">
        <v>19</v>
      </c>
      <c r="G327" t="s">
        <v>23</v>
      </c>
      <c r="K327" cm="1">
        <f t="array" ref="K327">_xlfn.SWITCH(LeadsData[[#This Row],[Funnel Stage Reached]],"Lead",1,"MQL",2,"SQL",3,"Customer",4)</f>
        <v>2</v>
      </c>
      <c r="L327" t="str">
        <f>TEXT(LeadsData[[#This Row],[Signup Date]],"mmm-yyyy")</f>
        <v>Nov-2024</v>
      </c>
      <c r="M327">
        <f>IF(LeadsData[[#This Row],[Stage Number]]&gt;=2,1,0)</f>
        <v>1</v>
      </c>
      <c r="N327" s="2">
        <f>IF(LeadsData[[#This Row],[Stage Number]]&gt;=3,1,0)</f>
        <v>0</v>
      </c>
      <c r="O327" s="2">
        <f>IF(LeadsData[[#This Row],[Stage Number]]&gt;=4,1,0)</f>
        <v>0</v>
      </c>
    </row>
    <row r="328" spans="1:15" x14ac:dyDescent="0.25">
      <c r="A328" t="s">
        <v>368</v>
      </c>
      <c r="B328" s="1">
        <v>45296</v>
      </c>
      <c r="C328" t="s">
        <v>31</v>
      </c>
      <c r="D328" t="s">
        <v>34</v>
      </c>
      <c r="E328" t="s">
        <v>13</v>
      </c>
      <c r="F328" t="s">
        <v>14</v>
      </c>
      <c r="G328" t="s">
        <v>15</v>
      </c>
      <c r="K328" cm="1">
        <f t="array" ref="K328">_xlfn.SWITCH(LeadsData[[#This Row],[Funnel Stage Reached]],"Lead",1,"MQL",2,"SQL",3,"Customer",4)</f>
        <v>1</v>
      </c>
      <c r="L328" t="str">
        <f>TEXT(LeadsData[[#This Row],[Signup Date]],"mmm-yyyy")</f>
        <v>Jan-2024</v>
      </c>
      <c r="M328">
        <f>IF(LeadsData[[#This Row],[Stage Number]]&gt;=2,1,0)</f>
        <v>0</v>
      </c>
      <c r="N328" s="2">
        <f>IF(LeadsData[[#This Row],[Stage Number]]&gt;=3,1,0)</f>
        <v>0</v>
      </c>
      <c r="O328" s="2">
        <f>IF(LeadsData[[#This Row],[Stage Number]]&gt;=4,1,0)</f>
        <v>0</v>
      </c>
    </row>
    <row r="329" spans="1:15" x14ac:dyDescent="0.25">
      <c r="A329" t="s">
        <v>369</v>
      </c>
      <c r="B329" s="1">
        <v>45454</v>
      </c>
      <c r="C329" t="s">
        <v>46</v>
      </c>
      <c r="D329" t="s">
        <v>56</v>
      </c>
      <c r="E329" t="s">
        <v>21</v>
      </c>
      <c r="F329" t="s">
        <v>19</v>
      </c>
      <c r="G329" t="s">
        <v>29</v>
      </c>
      <c r="K329" cm="1">
        <f t="array" ref="K329">_xlfn.SWITCH(LeadsData[[#This Row],[Funnel Stage Reached]],"Lead",1,"MQL",2,"SQL",3,"Customer",4)</f>
        <v>3</v>
      </c>
      <c r="L329" t="str">
        <f>TEXT(LeadsData[[#This Row],[Signup Date]],"mmm-yyyy")</f>
        <v>Jun-2024</v>
      </c>
      <c r="M329">
        <f>IF(LeadsData[[#This Row],[Stage Number]]&gt;=2,1,0)</f>
        <v>1</v>
      </c>
      <c r="N329" s="2">
        <f>IF(LeadsData[[#This Row],[Stage Number]]&gt;=3,1,0)</f>
        <v>1</v>
      </c>
      <c r="O329" s="2">
        <f>IF(LeadsData[[#This Row],[Stage Number]]&gt;=4,1,0)</f>
        <v>0</v>
      </c>
    </row>
    <row r="330" spans="1:15" x14ac:dyDescent="0.25">
      <c r="A330" t="s">
        <v>370</v>
      </c>
      <c r="B330" s="1">
        <v>45436</v>
      </c>
      <c r="C330" t="s">
        <v>31</v>
      </c>
      <c r="D330" t="s">
        <v>32</v>
      </c>
      <c r="E330" t="s">
        <v>13</v>
      </c>
      <c r="F330" t="s">
        <v>22</v>
      </c>
      <c r="G330" t="s">
        <v>23</v>
      </c>
      <c r="K330" cm="1">
        <f t="array" ref="K330">_xlfn.SWITCH(LeadsData[[#This Row],[Funnel Stage Reached]],"Lead",1,"MQL",2,"SQL",3,"Customer",4)</f>
        <v>2</v>
      </c>
      <c r="L330" t="str">
        <f>TEXT(LeadsData[[#This Row],[Signup Date]],"mmm-yyyy")</f>
        <v>May-2024</v>
      </c>
      <c r="M330">
        <f>IF(LeadsData[[#This Row],[Stage Number]]&gt;=2,1,0)</f>
        <v>1</v>
      </c>
      <c r="N330" s="2">
        <f>IF(LeadsData[[#This Row],[Stage Number]]&gt;=3,1,0)</f>
        <v>0</v>
      </c>
      <c r="O330" s="2">
        <f>IF(LeadsData[[#This Row],[Stage Number]]&gt;=4,1,0)</f>
        <v>0</v>
      </c>
    </row>
    <row r="331" spans="1:15" x14ac:dyDescent="0.25">
      <c r="A331" t="s">
        <v>371</v>
      </c>
      <c r="B331" s="1">
        <v>45615</v>
      </c>
      <c r="C331" t="s">
        <v>11</v>
      </c>
      <c r="D331" t="s">
        <v>79</v>
      </c>
      <c r="E331" t="s">
        <v>13</v>
      </c>
      <c r="F331" t="s">
        <v>28</v>
      </c>
      <c r="G331" t="s">
        <v>15</v>
      </c>
      <c r="K331" cm="1">
        <f t="array" ref="K331">_xlfn.SWITCH(LeadsData[[#This Row],[Funnel Stage Reached]],"Lead",1,"MQL",2,"SQL",3,"Customer",4)</f>
        <v>1</v>
      </c>
      <c r="L331" t="str">
        <f>TEXT(LeadsData[[#This Row],[Signup Date]],"mmm-yyyy")</f>
        <v>Nov-2024</v>
      </c>
      <c r="M331">
        <f>IF(LeadsData[[#This Row],[Stage Number]]&gt;=2,1,0)</f>
        <v>0</v>
      </c>
      <c r="N331" s="2">
        <f>IF(LeadsData[[#This Row],[Stage Number]]&gt;=3,1,0)</f>
        <v>0</v>
      </c>
      <c r="O331" s="2">
        <f>IF(LeadsData[[#This Row],[Stage Number]]&gt;=4,1,0)</f>
        <v>0</v>
      </c>
    </row>
    <row r="332" spans="1:15" x14ac:dyDescent="0.25">
      <c r="A332" t="s">
        <v>372</v>
      </c>
      <c r="B332" s="1">
        <v>45465</v>
      </c>
      <c r="C332" t="s">
        <v>31</v>
      </c>
      <c r="D332" t="s">
        <v>32</v>
      </c>
      <c r="E332" t="s">
        <v>13</v>
      </c>
      <c r="F332" t="s">
        <v>19</v>
      </c>
      <c r="G332" t="s">
        <v>23</v>
      </c>
      <c r="K332" cm="1">
        <f t="array" ref="K332">_xlfn.SWITCH(LeadsData[[#This Row],[Funnel Stage Reached]],"Lead",1,"MQL",2,"SQL",3,"Customer",4)</f>
        <v>2</v>
      </c>
      <c r="L332" t="str">
        <f>TEXT(LeadsData[[#This Row],[Signup Date]],"mmm-yyyy")</f>
        <v>Jun-2024</v>
      </c>
      <c r="M332">
        <f>IF(LeadsData[[#This Row],[Stage Number]]&gt;=2,1,0)</f>
        <v>1</v>
      </c>
      <c r="N332" s="2">
        <f>IF(LeadsData[[#This Row],[Stage Number]]&gt;=3,1,0)</f>
        <v>0</v>
      </c>
      <c r="O332" s="2">
        <f>IF(LeadsData[[#This Row],[Stage Number]]&gt;=4,1,0)</f>
        <v>0</v>
      </c>
    </row>
    <row r="333" spans="1:15" x14ac:dyDescent="0.25">
      <c r="A333" t="s">
        <v>373</v>
      </c>
      <c r="B333" s="1">
        <v>45581</v>
      </c>
      <c r="C333" t="s">
        <v>46</v>
      </c>
      <c r="D333" t="s">
        <v>47</v>
      </c>
      <c r="E333" t="s">
        <v>48</v>
      </c>
      <c r="F333" t="s">
        <v>19</v>
      </c>
      <c r="G333" t="s">
        <v>29</v>
      </c>
      <c r="K333" cm="1">
        <f t="array" ref="K333">_xlfn.SWITCH(LeadsData[[#This Row],[Funnel Stage Reached]],"Lead",1,"MQL",2,"SQL",3,"Customer",4)</f>
        <v>3</v>
      </c>
      <c r="L333" t="str">
        <f>TEXT(LeadsData[[#This Row],[Signup Date]],"mmm-yyyy")</f>
        <v>Oct-2024</v>
      </c>
      <c r="M333">
        <f>IF(LeadsData[[#This Row],[Stage Number]]&gt;=2,1,0)</f>
        <v>1</v>
      </c>
      <c r="N333" s="2">
        <f>IF(LeadsData[[#This Row],[Stage Number]]&gt;=3,1,0)</f>
        <v>1</v>
      </c>
      <c r="O333" s="2">
        <f>IF(LeadsData[[#This Row],[Stage Number]]&gt;=4,1,0)</f>
        <v>0</v>
      </c>
    </row>
    <row r="334" spans="1:15" x14ac:dyDescent="0.25">
      <c r="A334" t="s">
        <v>374</v>
      </c>
      <c r="B334" s="1">
        <v>45464</v>
      </c>
      <c r="C334" t="s">
        <v>31</v>
      </c>
      <c r="D334" t="s">
        <v>32</v>
      </c>
      <c r="E334" t="s">
        <v>21</v>
      </c>
      <c r="F334" t="s">
        <v>19</v>
      </c>
      <c r="G334" t="s">
        <v>15</v>
      </c>
      <c r="K334" cm="1">
        <f t="array" ref="K334">_xlfn.SWITCH(LeadsData[[#This Row],[Funnel Stage Reached]],"Lead",1,"MQL",2,"SQL",3,"Customer",4)</f>
        <v>1</v>
      </c>
      <c r="L334" t="str">
        <f>TEXT(LeadsData[[#This Row],[Signup Date]],"mmm-yyyy")</f>
        <v>Jun-2024</v>
      </c>
      <c r="M334">
        <f>IF(LeadsData[[#This Row],[Stage Number]]&gt;=2,1,0)</f>
        <v>0</v>
      </c>
      <c r="N334" s="2">
        <f>IF(LeadsData[[#This Row],[Stage Number]]&gt;=3,1,0)</f>
        <v>0</v>
      </c>
      <c r="O334" s="2">
        <f>IF(LeadsData[[#This Row],[Stage Number]]&gt;=4,1,0)</f>
        <v>0</v>
      </c>
    </row>
    <row r="335" spans="1:15" x14ac:dyDescent="0.25">
      <c r="A335" t="s">
        <v>375</v>
      </c>
      <c r="B335" s="1">
        <v>45493</v>
      </c>
      <c r="C335" t="s">
        <v>25</v>
      </c>
      <c r="D335" t="s">
        <v>26</v>
      </c>
      <c r="E335" t="s">
        <v>48</v>
      </c>
      <c r="F335" t="s">
        <v>19</v>
      </c>
      <c r="G335" t="s">
        <v>15</v>
      </c>
      <c r="K335" cm="1">
        <f t="array" ref="K335">_xlfn.SWITCH(LeadsData[[#This Row],[Funnel Stage Reached]],"Lead",1,"MQL",2,"SQL",3,"Customer",4)</f>
        <v>1</v>
      </c>
      <c r="L335" t="str">
        <f>TEXT(LeadsData[[#This Row],[Signup Date]],"mmm-yyyy")</f>
        <v>Jul-2024</v>
      </c>
      <c r="M335">
        <f>IF(LeadsData[[#This Row],[Stage Number]]&gt;=2,1,0)</f>
        <v>0</v>
      </c>
      <c r="N335" s="2">
        <f>IF(LeadsData[[#This Row],[Stage Number]]&gt;=3,1,0)</f>
        <v>0</v>
      </c>
      <c r="O335" s="2">
        <f>IF(LeadsData[[#This Row],[Stage Number]]&gt;=4,1,0)</f>
        <v>0</v>
      </c>
    </row>
    <row r="336" spans="1:15" x14ac:dyDescent="0.25">
      <c r="A336" t="s">
        <v>376</v>
      </c>
      <c r="B336" s="1">
        <v>45304</v>
      </c>
      <c r="C336" t="s">
        <v>31</v>
      </c>
      <c r="D336" t="s">
        <v>34</v>
      </c>
      <c r="E336" t="s">
        <v>48</v>
      </c>
      <c r="F336" t="s">
        <v>14</v>
      </c>
      <c r="G336" t="s">
        <v>29</v>
      </c>
      <c r="K336" cm="1">
        <f t="array" ref="K336">_xlfn.SWITCH(LeadsData[[#This Row],[Funnel Stage Reached]],"Lead",1,"MQL",2,"SQL",3,"Customer",4)</f>
        <v>3</v>
      </c>
      <c r="L336" t="str">
        <f>TEXT(LeadsData[[#This Row],[Signup Date]],"mmm-yyyy")</f>
        <v>Jan-2024</v>
      </c>
      <c r="M336">
        <f>IF(LeadsData[[#This Row],[Stage Number]]&gt;=2,1,0)</f>
        <v>1</v>
      </c>
      <c r="N336" s="2">
        <f>IF(LeadsData[[#This Row],[Stage Number]]&gt;=3,1,0)</f>
        <v>1</v>
      </c>
      <c r="O336" s="2">
        <f>IF(LeadsData[[#This Row],[Stage Number]]&gt;=4,1,0)</f>
        <v>0</v>
      </c>
    </row>
    <row r="337" spans="1:15" x14ac:dyDescent="0.25">
      <c r="A337" t="s">
        <v>377</v>
      </c>
      <c r="B337" s="1">
        <v>45392</v>
      </c>
      <c r="C337" t="s">
        <v>36</v>
      </c>
      <c r="D337" t="s">
        <v>50</v>
      </c>
      <c r="E337" t="s">
        <v>13</v>
      </c>
      <c r="F337" t="s">
        <v>19</v>
      </c>
      <c r="G337" t="s">
        <v>15</v>
      </c>
      <c r="K337" cm="1">
        <f t="array" ref="K337">_xlfn.SWITCH(LeadsData[[#This Row],[Funnel Stage Reached]],"Lead",1,"MQL",2,"SQL",3,"Customer",4)</f>
        <v>1</v>
      </c>
      <c r="L337" t="str">
        <f>TEXT(LeadsData[[#This Row],[Signup Date]],"mmm-yyyy")</f>
        <v>Apr-2024</v>
      </c>
      <c r="M337">
        <f>IF(LeadsData[[#This Row],[Stage Number]]&gt;=2,1,0)</f>
        <v>0</v>
      </c>
      <c r="N337" s="2">
        <f>IF(LeadsData[[#This Row],[Stage Number]]&gt;=3,1,0)</f>
        <v>0</v>
      </c>
      <c r="O337" s="2">
        <f>IF(LeadsData[[#This Row],[Stage Number]]&gt;=4,1,0)</f>
        <v>0</v>
      </c>
    </row>
    <row r="338" spans="1:15" x14ac:dyDescent="0.25">
      <c r="A338" t="s">
        <v>378</v>
      </c>
      <c r="B338" s="1">
        <v>45558</v>
      </c>
      <c r="C338" t="s">
        <v>31</v>
      </c>
      <c r="D338" t="s">
        <v>34</v>
      </c>
      <c r="E338" t="s">
        <v>13</v>
      </c>
      <c r="F338" t="s">
        <v>19</v>
      </c>
      <c r="G338" t="s">
        <v>15</v>
      </c>
      <c r="K338" cm="1">
        <f t="array" ref="K338">_xlfn.SWITCH(LeadsData[[#This Row],[Funnel Stage Reached]],"Lead",1,"MQL",2,"SQL",3,"Customer",4)</f>
        <v>1</v>
      </c>
      <c r="L338" t="str">
        <f>TEXT(LeadsData[[#This Row],[Signup Date]],"mmm-yyyy")</f>
        <v>Sep-2024</v>
      </c>
      <c r="M338">
        <f>IF(LeadsData[[#This Row],[Stage Number]]&gt;=2,1,0)</f>
        <v>0</v>
      </c>
      <c r="N338" s="2">
        <f>IF(LeadsData[[#This Row],[Stage Number]]&gt;=3,1,0)</f>
        <v>0</v>
      </c>
      <c r="O338" s="2">
        <f>IF(LeadsData[[#This Row],[Stage Number]]&gt;=4,1,0)</f>
        <v>0</v>
      </c>
    </row>
    <row r="339" spans="1:15" x14ac:dyDescent="0.25">
      <c r="A339" t="s">
        <v>379</v>
      </c>
      <c r="B339" s="1">
        <v>45437</v>
      </c>
      <c r="C339" t="s">
        <v>46</v>
      </c>
      <c r="D339" t="s">
        <v>56</v>
      </c>
      <c r="E339" t="s">
        <v>21</v>
      </c>
      <c r="F339" t="s">
        <v>22</v>
      </c>
      <c r="G339" t="s">
        <v>42</v>
      </c>
      <c r="H339">
        <v>62</v>
      </c>
      <c r="I339" t="s">
        <v>43</v>
      </c>
      <c r="J339">
        <v>884.07</v>
      </c>
      <c r="K339" cm="1">
        <f t="array" ref="K339">_xlfn.SWITCH(LeadsData[[#This Row],[Funnel Stage Reached]],"Lead",1,"MQL",2,"SQL",3,"Customer",4)</f>
        <v>4</v>
      </c>
      <c r="L339" t="str">
        <f>TEXT(LeadsData[[#This Row],[Signup Date]],"mmm-yyyy")</f>
        <v>May-2024</v>
      </c>
      <c r="M339">
        <f>IF(LeadsData[[#This Row],[Stage Number]]&gt;=2,1,0)</f>
        <v>1</v>
      </c>
      <c r="N339" s="2">
        <f>IF(LeadsData[[#This Row],[Stage Number]]&gt;=3,1,0)</f>
        <v>1</v>
      </c>
      <c r="O339" s="2">
        <f>IF(LeadsData[[#This Row],[Stage Number]]&gt;=4,1,0)</f>
        <v>1</v>
      </c>
    </row>
    <row r="340" spans="1:15" x14ac:dyDescent="0.25">
      <c r="A340" t="s">
        <v>380</v>
      </c>
      <c r="B340" s="1">
        <v>45617</v>
      </c>
      <c r="C340" t="s">
        <v>11</v>
      </c>
      <c r="D340" t="s">
        <v>79</v>
      </c>
      <c r="E340" t="s">
        <v>21</v>
      </c>
      <c r="F340" t="s">
        <v>19</v>
      </c>
      <c r="G340" t="s">
        <v>23</v>
      </c>
      <c r="K340" cm="1">
        <f t="array" ref="K340">_xlfn.SWITCH(LeadsData[[#This Row],[Funnel Stage Reached]],"Lead",1,"MQL",2,"SQL",3,"Customer",4)</f>
        <v>2</v>
      </c>
      <c r="L340" t="str">
        <f>TEXT(LeadsData[[#This Row],[Signup Date]],"mmm-yyyy")</f>
        <v>Nov-2024</v>
      </c>
      <c r="M340">
        <f>IF(LeadsData[[#This Row],[Stage Number]]&gt;=2,1,0)</f>
        <v>1</v>
      </c>
      <c r="N340" s="2">
        <f>IF(LeadsData[[#This Row],[Stage Number]]&gt;=3,1,0)</f>
        <v>0</v>
      </c>
      <c r="O340" s="2">
        <f>IF(LeadsData[[#This Row],[Stage Number]]&gt;=4,1,0)</f>
        <v>0</v>
      </c>
    </row>
    <row r="341" spans="1:15" x14ac:dyDescent="0.25">
      <c r="A341" t="s">
        <v>381</v>
      </c>
      <c r="B341" s="1">
        <v>45317</v>
      </c>
      <c r="C341" t="s">
        <v>46</v>
      </c>
      <c r="D341" t="s">
        <v>56</v>
      </c>
      <c r="E341" t="s">
        <v>13</v>
      </c>
      <c r="F341" t="s">
        <v>19</v>
      </c>
      <c r="G341" t="s">
        <v>15</v>
      </c>
      <c r="K341" cm="1">
        <f t="array" ref="K341">_xlfn.SWITCH(LeadsData[[#This Row],[Funnel Stage Reached]],"Lead",1,"MQL",2,"SQL",3,"Customer",4)</f>
        <v>1</v>
      </c>
      <c r="L341" t="str">
        <f>TEXT(LeadsData[[#This Row],[Signup Date]],"mmm-yyyy")</f>
        <v>Jan-2024</v>
      </c>
      <c r="M341">
        <f>IF(LeadsData[[#This Row],[Stage Number]]&gt;=2,1,0)</f>
        <v>0</v>
      </c>
      <c r="N341" s="2">
        <f>IF(LeadsData[[#This Row],[Stage Number]]&gt;=3,1,0)</f>
        <v>0</v>
      </c>
      <c r="O341" s="2">
        <f>IF(LeadsData[[#This Row],[Stage Number]]&gt;=4,1,0)</f>
        <v>0</v>
      </c>
    </row>
    <row r="342" spans="1:15" x14ac:dyDescent="0.25">
      <c r="A342" t="s">
        <v>382</v>
      </c>
      <c r="B342" s="1">
        <v>45427</v>
      </c>
      <c r="C342" t="s">
        <v>17</v>
      </c>
      <c r="D342" t="s">
        <v>53</v>
      </c>
      <c r="E342" t="s">
        <v>21</v>
      </c>
      <c r="F342" t="s">
        <v>19</v>
      </c>
      <c r="G342" t="s">
        <v>15</v>
      </c>
      <c r="K342" cm="1">
        <f t="array" ref="K342">_xlfn.SWITCH(LeadsData[[#This Row],[Funnel Stage Reached]],"Lead",1,"MQL",2,"SQL",3,"Customer",4)</f>
        <v>1</v>
      </c>
      <c r="L342" t="str">
        <f>TEXT(LeadsData[[#This Row],[Signup Date]],"mmm-yyyy")</f>
        <v>May-2024</v>
      </c>
      <c r="M342">
        <f>IF(LeadsData[[#This Row],[Stage Number]]&gt;=2,1,0)</f>
        <v>0</v>
      </c>
      <c r="N342" s="2">
        <f>IF(LeadsData[[#This Row],[Stage Number]]&gt;=3,1,0)</f>
        <v>0</v>
      </c>
      <c r="O342" s="2">
        <f>IF(LeadsData[[#This Row],[Stage Number]]&gt;=4,1,0)</f>
        <v>0</v>
      </c>
    </row>
    <row r="343" spans="1:15" x14ac:dyDescent="0.25">
      <c r="A343" t="s">
        <v>383</v>
      </c>
      <c r="B343" s="1">
        <v>45512</v>
      </c>
      <c r="C343" t="s">
        <v>31</v>
      </c>
      <c r="D343" t="s">
        <v>32</v>
      </c>
      <c r="E343" t="s">
        <v>13</v>
      </c>
      <c r="F343" t="s">
        <v>22</v>
      </c>
      <c r="G343" t="s">
        <v>15</v>
      </c>
      <c r="K343" cm="1">
        <f t="array" ref="K343">_xlfn.SWITCH(LeadsData[[#This Row],[Funnel Stage Reached]],"Lead",1,"MQL",2,"SQL",3,"Customer",4)</f>
        <v>1</v>
      </c>
      <c r="L343" t="str">
        <f>TEXT(LeadsData[[#This Row],[Signup Date]],"mmm-yyyy")</f>
        <v>Aug-2024</v>
      </c>
      <c r="M343">
        <f>IF(LeadsData[[#This Row],[Stage Number]]&gt;=2,1,0)</f>
        <v>0</v>
      </c>
      <c r="N343" s="2">
        <f>IF(LeadsData[[#This Row],[Stage Number]]&gt;=3,1,0)</f>
        <v>0</v>
      </c>
      <c r="O343" s="2">
        <f>IF(LeadsData[[#This Row],[Stage Number]]&gt;=4,1,0)</f>
        <v>0</v>
      </c>
    </row>
    <row r="344" spans="1:15" x14ac:dyDescent="0.25">
      <c r="A344" t="s">
        <v>384</v>
      </c>
      <c r="B344" s="1">
        <v>45364</v>
      </c>
      <c r="C344" t="s">
        <v>46</v>
      </c>
      <c r="D344" t="s">
        <v>47</v>
      </c>
      <c r="E344" t="s">
        <v>13</v>
      </c>
      <c r="F344" t="s">
        <v>28</v>
      </c>
      <c r="G344" t="s">
        <v>29</v>
      </c>
      <c r="K344" cm="1">
        <f t="array" ref="K344">_xlfn.SWITCH(LeadsData[[#This Row],[Funnel Stage Reached]],"Lead",1,"MQL",2,"SQL",3,"Customer",4)</f>
        <v>3</v>
      </c>
      <c r="L344" t="str">
        <f>TEXT(LeadsData[[#This Row],[Signup Date]],"mmm-yyyy")</f>
        <v>Mar-2024</v>
      </c>
      <c r="M344">
        <f>IF(LeadsData[[#This Row],[Stage Number]]&gt;=2,1,0)</f>
        <v>1</v>
      </c>
      <c r="N344" s="2">
        <f>IF(LeadsData[[#This Row],[Stage Number]]&gt;=3,1,0)</f>
        <v>1</v>
      </c>
      <c r="O344" s="2">
        <f>IF(LeadsData[[#This Row],[Stage Number]]&gt;=4,1,0)</f>
        <v>0</v>
      </c>
    </row>
    <row r="345" spans="1:15" x14ac:dyDescent="0.25">
      <c r="A345" t="s">
        <v>385</v>
      </c>
      <c r="B345" s="1">
        <v>45623</v>
      </c>
      <c r="C345" t="s">
        <v>17</v>
      </c>
      <c r="D345" t="s">
        <v>53</v>
      </c>
      <c r="E345" t="s">
        <v>48</v>
      </c>
      <c r="F345" t="s">
        <v>19</v>
      </c>
      <c r="G345" t="s">
        <v>15</v>
      </c>
      <c r="K345" cm="1">
        <f t="array" ref="K345">_xlfn.SWITCH(LeadsData[[#This Row],[Funnel Stage Reached]],"Lead",1,"MQL",2,"SQL",3,"Customer",4)</f>
        <v>1</v>
      </c>
      <c r="L345" t="str">
        <f>TEXT(LeadsData[[#This Row],[Signup Date]],"mmm-yyyy")</f>
        <v>Nov-2024</v>
      </c>
      <c r="M345">
        <f>IF(LeadsData[[#This Row],[Stage Number]]&gt;=2,1,0)</f>
        <v>0</v>
      </c>
      <c r="N345" s="2">
        <f>IF(LeadsData[[#This Row],[Stage Number]]&gt;=3,1,0)</f>
        <v>0</v>
      </c>
      <c r="O345" s="2">
        <f>IF(LeadsData[[#This Row],[Stage Number]]&gt;=4,1,0)</f>
        <v>0</v>
      </c>
    </row>
    <row r="346" spans="1:15" x14ac:dyDescent="0.25">
      <c r="A346" t="s">
        <v>386</v>
      </c>
      <c r="B346" s="1">
        <v>45436</v>
      </c>
      <c r="C346" t="s">
        <v>31</v>
      </c>
      <c r="D346" t="s">
        <v>32</v>
      </c>
      <c r="E346" t="s">
        <v>13</v>
      </c>
      <c r="F346" t="s">
        <v>22</v>
      </c>
      <c r="G346" t="s">
        <v>15</v>
      </c>
      <c r="K346" cm="1">
        <f t="array" ref="K346">_xlfn.SWITCH(LeadsData[[#This Row],[Funnel Stage Reached]],"Lead",1,"MQL",2,"SQL",3,"Customer",4)</f>
        <v>1</v>
      </c>
      <c r="L346" t="str">
        <f>TEXT(LeadsData[[#This Row],[Signup Date]],"mmm-yyyy")</f>
        <v>May-2024</v>
      </c>
      <c r="M346">
        <f>IF(LeadsData[[#This Row],[Stage Number]]&gt;=2,1,0)</f>
        <v>0</v>
      </c>
      <c r="N346" s="2">
        <f>IF(LeadsData[[#This Row],[Stage Number]]&gt;=3,1,0)</f>
        <v>0</v>
      </c>
      <c r="O346" s="2">
        <f>IF(LeadsData[[#This Row],[Stage Number]]&gt;=4,1,0)</f>
        <v>0</v>
      </c>
    </row>
    <row r="347" spans="1:15" x14ac:dyDescent="0.25">
      <c r="A347" t="s">
        <v>387</v>
      </c>
      <c r="B347" s="1">
        <v>45597</v>
      </c>
      <c r="C347" t="s">
        <v>25</v>
      </c>
      <c r="D347" t="s">
        <v>26</v>
      </c>
      <c r="E347" t="s">
        <v>21</v>
      </c>
      <c r="F347" t="s">
        <v>28</v>
      </c>
      <c r="G347" t="s">
        <v>23</v>
      </c>
      <c r="K347" cm="1">
        <f t="array" ref="K347">_xlfn.SWITCH(LeadsData[[#This Row],[Funnel Stage Reached]],"Lead",1,"MQL",2,"SQL",3,"Customer",4)</f>
        <v>2</v>
      </c>
      <c r="L347" t="str">
        <f>TEXT(LeadsData[[#This Row],[Signup Date]],"mmm-yyyy")</f>
        <v>Nov-2024</v>
      </c>
      <c r="M347">
        <f>IF(LeadsData[[#This Row],[Stage Number]]&gt;=2,1,0)</f>
        <v>1</v>
      </c>
      <c r="N347" s="2">
        <f>IF(LeadsData[[#This Row],[Stage Number]]&gt;=3,1,0)</f>
        <v>0</v>
      </c>
      <c r="O347" s="2">
        <f>IF(LeadsData[[#This Row],[Stage Number]]&gt;=4,1,0)</f>
        <v>0</v>
      </c>
    </row>
    <row r="348" spans="1:15" x14ac:dyDescent="0.25">
      <c r="A348" t="s">
        <v>388</v>
      </c>
      <c r="B348" s="1">
        <v>45331</v>
      </c>
      <c r="C348" t="s">
        <v>31</v>
      </c>
      <c r="D348" t="s">
        <v>32</v>
      </c>
      <c r="E348" t="s">
        <v>21</v>
      </c>
      <c r="F348" t="s">
        <v>14</v>
      </c>
      <c r="G348" t="s">
        <v>15</v>
      </c>
      <c r="K348" cm="1">
        <f t="array" ref="K348">_xlfn.SWITCH(LeadsData[[#This Row],[Funnel Stage Reached]],"Lead",1,"MQL",2,"SQL",3,"Customer",4)</f>
        <v>1</v>
      </c>
      <c r="L348" t="str">
        <f>TEXT(LeadsData[[#This Row],[Signup Date]],"mmm-yyyy")</f>
        <v>Feb-2024</v>
      </c>
      <c r="M348">
        <f>IF(LeadsData[[#This Row],[Stage Number]]&gt;=2,1,0)</f>
        <v>0</v>
      </c>
      <c r="N348" s="2">
        <f>IF(LeadsData[[#This Row],[Stage Number]]&gt;=3,1,0)</f>
        <v>0</v>
      </c>
      <c r="O348" s="2">
        <f>IF(LeadsData[[#This Row],[Stage Number]]&gt;=4,1,0)</f>
        <v>0</v>
      </c>
    </row>
    <row r="349" spans="1:15" x14ac:dyDescent="0.25">
      <c r="A349" t="s">
        <v>389</v>
      </c>
      <c r="B349" s="1">
        <v>45608</v>
      </c>
      <c r="C349" t="s">
        <v>17</v>
      </c>
      <c r="D349" t="s">
        <v>18</v>
      </c>
      <c r="E349" t="s">
        <v>21</v>
      </c>
      <c r="F349" t="s">
        <v>19</v>
      </c>
      <c r="G349" t="s">
        <v>15</v>
      </c>
      <c r="K349" cm="1">
        <f t="array" ref="K349">_xlfn.SWITCH(LeadsData[[#This Row],[Funnel Stage Reached]],"Lead",1,"MQL",2,"SQL",3,"Customer",4)</f>
        <v>1</v>
      </c>
      <c r="L349" t="str">
        <f>TEXT(LeadsData[[#This Row],[Signup Date]],"mmm-yyyy")</f>
        <v>Nov-2024</v>
      </c>
      <c r="M349">
        <f>IF(LeadsData[[#This Row],[Stage Number]]&gt;=2,1,0)</f>
        <v>0</v>
      </c>
      <c r="N349" s="2">
        <f>IF(LeadsData[[#This Row],[Stage Number]]&gt;=3,1,0)</f>
        <v>0</v>
      </c>
      <c r="O349" s="2">
        <f>IF(LeadsData[[#This Row],[Stage Number]]&gt;=4,1,0)</f>
        <v>0</v>
      </c>
    </row>
    <row r="350" spans="1:15" x14ac:dyDescent="0.25">
      <c r="A350" t="s">
        <v>390</v>
      </c>
      <c r="B350" s="1">
        <v>45515</v>
      </c>
      <c r="C350" t="s">
        <v>31</v>
      </c>
      <c r="D350" t="s">
        <v>32</v>
      </c>
      <c r="E350" t="s">
        <v>21</v>
      </c>
      <c r="F350" t="s">
        <v>14</v>
      </c>
      <c r="G350" t="s">
        <v>29</v>
      </c>
      <c r="K350" cm="1">
        <f t="array" ref="K350">_xlfn.SWITCH(LeadsData[[#This Row],[Funnel Stage Reached]],"Lead",1,"MQL",2,"SQL",3,"Customer",4)</f>
        <v>3</v>
      </c>
      <c r="L350" t="str">
        <f>TEXT(LeadsData[[#This Row],[Signup Date]],"mmm-yyyy")</f>
        <v>Aug-2024</v>
      </c>
      <c r="M350">
        <f>IF(LeadsData[[#This Row],[Stage Number]]&gt;=2,1,0)</f>
        <v>1</v>
      </c>
      <c r="N350" s="2">
        <f>IF(LeadsData[[#This Row],[Stage Number]]&gt;=3,1,0)</f>
        <v>1</v>
      </c>
      <c r="O350" s="2">
        <f>IF(LeadsData[[#This Row],[Stage Number]]&gt;=4,1,0)</f>
        <v>0</v>
      </c>
    </row>
    <row r="351" spans="1:15" x14ac:dyDescent="0.25">
      <c r="A351" t="s">
        <v>391</v>
      </c>
      <c r="B351" s="1">
        <v>45591</v>
      </c>
      <c r="C351" t="s">
        <v>17</v>
      </c>
      <c r="D351" t="s">
        <v>53</v>
      </c>
      <c r="E351" t="s">
        <v>13</v>
      </c>
      <c r="F351" t="s">
        <v>19</v>
      </c>
      <c r="G351" t="s">
        <v>15</v>
      </c>
      <c r="K351" cm="1">
        <f t="array" ref="K351">_xlfn.SWITCH(LeadsData[[#This Row],[Funnel Stage Reached]],"Lead",1,"MQL",2,"SQL",3,"Customer",4)</f>
        <v>1</v>
      </c>
      <c r="L351" t="str">
        <f>TEXT(LeadsData[[#This Row],[Signup Date]],"mmm-yyyy")</f>
        <v>Oct-2024</v>
      </c>
      <c r="M351">
        <f>IF(LeadsData[[#This Row],[Stage Number]]&gt;=2,1,0)</f>
        <v>0</v>
      </c>
      <c r="N351" s="2">
        <f>IF(LeadsData[[#This Row],[Stage Number]]&gt;=3,1,0)</f>
        <v>0</v>
      </c>
      <c r="O351" s="2">
        <f>IF(LeadsData[[#This Row],[Stage Number]]&gt;=4,1,0)</f>
        <v>0</v>
      </c>
    </row>
    <row r="352" spans="1:15" x14ac:dyDescent="0.25">
      <c r="A352" t="s">
        <v>392</v>
      </c>
      <c r="B352" s="1">
        <v>45639</v>
      </c>
      <c r="C352" t="s">
        <v>11</v>
      </c>
      <c r="D352" t="s">
        <v>68</v>
      </c>
      <c r="E352" t="s">
        <v>21</v>
      </c>
      <c r="F352" t="s">
        <v>28</v>
      </c>
      <c r="G352" t="s">
        <v>23</v>
      </c>
      <c r="K352" cm="1">
        <f t="array" ref="K352">_xlfn.SWITCH(LeadsData[[#This Row],[Funnel Stage Reached]],"Lead",1,"MQL",2,"SQL",3,"Customer",4)</f>
        <v>2</v>
      </c>
      <c r="L352" t="str">
        <f>TEXT(LeadsData[[#This Row],[Signup Date]],"mmm-yyyy")</f>
        <v>Dec-2024</v>
      </c>
      <c r="M352">
        <f>IF(LeadsData[[#This Row],[Stage Number]]&gt;=2,1,0)</f>
        <v>1</v>
      </c>
      <c r="N352" s="2">
        <f>IF(LeadsData[[#This Row],[Stage Number]]&gt;=3,1,0)</f>
        <v>0</v>
      </c>
      <c r="O352" s="2">
        <f>IF(LeadsData[[#This Row],[Stage Number]]&gt;=4,1,0)</f>
        <v>0</v>
      </c>
    </row>
    <row r="353" spans="1:15" x14ac:dyDescent="0.25">
      <c r="A353" t="s">
        <v>393</v>
      </c>
      <c r="B353" s="1">
        <v>45634</v>
      </c>
      <c r="C353" t="s">
        <v>31</v>
      </c>
      <c r="D353" t="s">
        <v>32</v>
      </c>
      <c r="E353" t="s">
        <v>13</v>
      </c>
      <c r="F353" t="s">
        <v>19</v>
      </c>
      <c r="G353" t="s">
        <v>15</v>
      </c>
      <c r="K353" cm="1">
        <f t="array" ref="K353">_xlfn.SWITCH(LeadsData[[#This Row],[Funnel Stage Reached]],"Lead",1,"MQL",2,"SQL",3,"Customer",4)</f>
        <v>1</v>
      </c>
      <c r="L353" t="str">
        <f>TEXT(LeadsData[[#This Row],[Signup Date]],"mmm-yyyy")</f>
        <v>Dec-2024</v>
      </c>
      <c r="M353">
        <f>IF(LeadsData[[#This Row],[Stage Number]]&gt;=2,1,0)</f>
        <v>0</v>
      </c>
      <c r="N353" s="2">
        <f>IF(LeadsData[[#This Row],[Stage Number]]&gt;=3,1,0)</f>
        <v>0</v>
      </c>
      <c r="O353" s="2">
        <f>IF(LeadsData[[#This Row],[Stage Number]]&gt;=4,1,0)</f>
        <v>0</v>
      </c>
    </row>
    <row r="354" spans="1:15" x14ac:dyDescent="0.25">
      <c r="A354" t="s">
        <v>394</v>
      </c>
      <c r="B354" s="1">
        <v>45311</v>
      </c>
      <c r="C354" t="s">
        <v>25</v>
      </c>
      <c r="D354" t="s">
        <v>26</v>
      </c>
      <c r="E354" t="s">
        <v>13</v>
      </c>
      <c r="F354" t="s">
        <v>28</v>
      </c>
      <c r="G354" t="s">
        <v>15</v>
      </c>
      <c r="K354" cm="1">
        <f t="array" ref="K354">_xlfn.SWITCH(LeadsData[[#This Row],[Funnel Stage Reached]],"Lead",1,"MQL",2,"SQL",3,"Customer",4)</f>
        <v>1</v>
      </c>
      <c r="L354" t="str">
        <f>TEXT(LeadsData[[#This Row],[Signup Date]],"mmm-yyyy")</f>
        <v>Jan-2024</v>
      </c>
      <c r="M354">
        <f>IF(LeadsData[[#This Row],[Stage Number]]&gt;=2,1,0)</f>
        <v>0</v>
      </c>
      <c r="N354" s="2">
        <f>IF(LeadsData[[#This Row],[Stage Number]]&gt;=3,1,0)</f>
        <v>0</v>
      </c>
      <c r="O354" s="2">
        <f>IF(LeadsData[[#This Row],[Stage Number]]&gt;=4,1,0)</f>
        <v>0</v>
      </c>
    </row>
    <row r="355" spans="1:15" x14ac:dyDescent="0.25">
      <c r="A355" t="s">
        <v>395</v>
      </c>
      <c r="B355" s="1">
        <v>45547</v>
      </c>
      <c r="C355" t="s">
        <v>36</v>
      </c>
      <c r="D355" t="s">
        <v>37</v>
      </c>
      <c r="E355" t="s">
        <v>13</v>
      </c>
      <c r="F355" t="s">
        <v>19</v>
      </c>
      <c r="G355" t="s">
        <v>23</v>
      </c>
      <c r="K355" cm="1">
        <f t="array" ref="K355">_xlfn.SWITCH(LeadsData[[#This Row],[Funnel Stage Reached]],"Lead",1,"MQL",2,"SQL",3,"Customer",4)</f>
        <v>2</v>
      </c>
      <c r="L355" t="str">
        <f>TEXT(LeadsData[[#This Row],[Signup Date]],"mmm-yyyy")</f>
        <v>Sep-2024</v>
      </c>
      <c r="M355">
        <f>IF(LeadsData[[#This Row],[Stage Number]]&gt;=2,1,0)</f>
        <v>1</v>
      </c>
      <c r="N355" s="2">
        <f>IF(LeadsData[[#This Row],[Stage Number]]&gt;=3,1,0)</f>
        <v>0</v>
      </c>
      <c r="O355" s="2">
        <f>IF(LeadsData[[#This Row],[Stage Number]]&gt;=4,1,0)</f>
        <v>0</v>
      </c>
    </row>
    <row r="356" spans="1:15" x14ac:dyDescent="0.25">
      <c r="A356" t="s">
        <v>396</v>
      </c>
      <c r="B356" s="1">
        <v>45396</v>
      </c>
      <c r="C356" t="s">
        <v>31</v>
      </c>
      <c r="D356" t="s">
        <v>32</v>
      </c>
      <c r="E356" t="s">
        <v>13</v>
      </c>
      <c r="F356" t="s">
        <v>19</v>
      </c>
      <c r="G356" t="s">
        <v>15</v>
      </c>
      <c r="K356" cm="1">
        <f t="array" ref="K356">_xlfn.SWITCH(LeadsData[[#This Row],[Funnel Stage Reached]],"Lead",1,"MQL",2,"SQL",3,"Customer",4)</f>
        <v>1</v>
      </c>
      <c r="L356" t="str">
        <f>TEXT(LeadsData[[#This Row],[Signup Date]],"mmm-yyyy")</f>
        <v>Apr-2024</v>
      </c>
      <c r="M356">
        <f>IF(LeadsData[[#This Row],[Stage Number]]&gt;=2,1,0)</f>
        <v>0</v>
      </c>
      <c r="N356" s="2">
        <f>IF(LeadsData[[#This Row],[Stage Number]]&gt;=3,1,0)</f>
        <v>0</v>
      </c>
      <c r="O356" s="2">
        <f>IF(LeadsData[[#This Row],[Stage Number]]&gt;=4,1,0)</f>
        <v>0</v>
      </c>
    </row>
    <row r="357" spans="1:15" x14ac:dyDescent="0.25">
      <c r="A357" t="s">
        <v>397</v>
      </c>
      <c r="B357" s="1">
        <v>45624</v>
      </c>
      <c r="C357" t="s">
        <v>31</v>
      </c>
      <c r="D357" t="s">
        <v>32</v>
      </c>
      <c r="E357" t="s">
        <v>21</v>
      </c>
      <c r="F357" t="s">
        <v>22</v>
      </c>
      <c r="G357" t="s">
        <v>29</v>
      </c>
      <c r="K357" cm="1">
        <f t="array" ref="K357">_xlfn.SWITCH(LeadsData[[#This Row],[Funnel Stage Reached]],"Lead",1,"MQL",2,"SQL",3,"Customer",4)</f>
        <v>3</v>
      </c>
      <c r="L357" t="str">
        <f>TEXT(LeadsData[[#This Row],[Signup Date]],"mmm-yyyy")</f>
        <v>Nov-2024</v>
      </c>
      <c r="M357">
        <f>IF(LeadsData[[#This Row],[Stage Number]]&gt;=2,1,0)</f>
        <v>1</v>
      </c>
      <c r="N357" s="2">
        <f>IF(LeadsData[[#This Row],[Stage Number]]&gt;=3,1,0)</f>
        <v>1</v>
      </c>
      <c r="O357" s="2">
        <f>IF(LeadsData[[#This Row],[Stage Number]]&gt;=4,1,0)</f>
        <v>0</v>
      </c>
    </row>
    <row r="358" spans="1:15" x14ac:dyDescent="0.25">
      <c r="A358" t="s">
        <v>398</v>
      </c>
      <c r="B358" s="1">
        <v>45651</v>
      </c>
      <c r="C358" t="s">
        <v>17</v>
      </c>
      <c r="D358" t="s">
        <v>18</v>
      </c>
      <c r="E358" t="s">
        <v>13</v>
      </c>
      <c r="F358" t="s">
        <v>22</v>
      </c>
      <c r="G358" t="s">
        <v>15</v>
      </c>
      <c r="K358" cm="1">
        <f t="array" ref="K358">_xlfn.SWITCH(LeadsData[[#This Row],[Funnel Stage Reached]],"Lead",1,"MQL",2,"SQL",3,"Customer",4)</f>
        <v>1</v>
      </c>
      <c r="L358" t="str">
        <f>TEXT(LeadsData[[#This Row],[Signup Date]],"mmm-yyyy")</f>
        <v>Dec-2024</v>
      </c>
      <c r="M358">
        <f>IF(LeadsData[[#This Row],[Stage Number]]&gt;=2,1,0)</f>
        <v>0</v>
      </c>
      <c r="N358" s="2">
        <f>IF(LeadsData[[#This Row],[Stage Number]]&gt;=3,1,0)</f>
        <v>0</v>
      </c>
      <c r="O358" s="2">
        <f>IF(LeadsData[[#This Row],[Stage Number]]&gt;=4,1,0)</f>
        <v>0</v>
      </c>
    </row>
    <row r="359" spans="1:15" x14ac:dyDescent="0.25">
      <c r="A359" t="s">
        <v>399</v>
      </c>
      <c r="B359" s="1">
        <v>45325</v>
      </c>
      <c r="C359" t="s">
        <v>46</v>
      </c>
      <c r="D359" t="s">
        <v>47</v>
      </c>
      <c r="E359" t="s">
        <v>21</v>
      </c>
      <c r="F359" t="s">
        <v>19</v>
      </c>
      <c r="G359" t="s">
        <v>15</v>
      </c>
      <c r="K359" cm="1">
        <f t="array" ref="K359">_xlfn.SWITCH(LeadsData[[#This Row],[Funnel Stage Reached]],"Lead",1,"MQL",2,"SQL",3,"Customer",4)</f>
        <v>1</v>
      </c>
      <c r="L359" t="str">
        <f>TEXT(LeadsData[[#This Row],[Signup Date]],"mmm-yyyy")</f>
        <v>Feb-2024</v>
      </c>
      <c r="M359">
        <f>IF(LeadsData[[#This Row],[Stage Number]]&gt;=2,1,0)</f>
        <v>0</v>
      </c>
      <c r="N359" s="2">
        <f>IF(LeadsData[[#This Row],[Stage Number]]&gt;=3,1,0)</f>
        <v>0</v>
      </c>
      <c r="O359" s="2">
        <f>IF(LeadsData[[#This Row],[Stage Number]]&gt;=4,1,0)</f>
        <v>0</v>
      </c>
    </row>
    <row r="360" spans="1:15" x14ac:dyDescent="0.25">
      <c r="A360" t="s">
        <v>400</v>
      </c>
      <c r="B360" s="1">
        <v>45645</v>
      </c>
      <c r="C360" t="s">
        <v>31</v>
      </c>
      <c r="D360" t="s">
        <v>32</v>
      </c>
      <c r="E360" t="s">
        <v>21</v>
      </c>
      <c r="F360" t="s">
        <v>22</v>
      </c>
      <c r="G360" t="s">
        <v>29</v>
      </c>
      <c r="K360" cm="1">
        <f t="array" ref="K360">_xlfn.SWITCH(LeadsData[[#This Row],[Funnel Stage Reached]],"Lead",1,"MQL",2,"SQL",3,"Customer",4)</f>
        <v>3</v>
      </c>
      <c r="L360" t="str">
        <f>TEXT(LeadsData[[#This Row],[Signup Date]],"mmm-yyyy")</f>
        <v>Dec-2024</v>
      </c>
      <c r="M360">
        <f>IF(LeadsData[[#This Row],[Stage Number]]&gt;=2,1,0)</f>
        <v>1</v>
      </c>
      <c r="N360" s="2">
        <f>IF(LeadsData[[#This Row],[Stage Number]]&gt;=3,1,0)</f>
        <v>1</v>
      </c>
      <c r="O360" s="2">
        <f>IF(LeadsData[[#This Row],[Stage Number]]&gt;=4,1,0)</f>
        <v>0</v>
      </c>
    </row>
    <row r="361" spans="1:15" x14ac:dyDescent="0.25">
      <c r="A361" t="s">
        <v>401</v>
      </c>
      <c r="B361" s="1">
        <v>45422</v>
      </c>
      <c r="C361" t="s">
        <v>11</v>
      </c>
      <c r="D361" t="s">
        <v>68</v>
      </c>
      <c r="E361" t="s">
        <v>13</v>
      </c>
      <c r="F361" t="s">
        <v>14</v>
      </c>
      <c r="G361" t="s">
        <v>15</v>
      </c>
      <c r="K361" cm="1">
        <f t="array" ref="K361">_xlfn.SWITCH(LeadsData[[#This Row],[Funnel Stage Reached]],"Lead",1,"MQL",2,"SQL",3,"Customer",4)</f>
        <v>1</v>
      </c>
      <c r="L361" t="str">
        <f>TEXT(LeadsData[[#This Row],[Signup Date]],"mmm-yyyy")</f>
        <v>May-2024</v>
      </c>
      <c r="M361">
        <f>IF(LeadsData[[#This Row],[Stage Number]]&gt;=2,1,0)</f>
        <v>0</v>
      </c>
      <c r="N361" s="2">
        <f>IF(LeadsData[[#This Row],[Stage Number]]&gt;=3,1,0)</f>
        <v>0</v>
      </c>
      <c r="O361" s="2">
        <f>IF(LeadsData[[#This Row],[Stage Number]]&gt;=4,1,0)</f>
        <v>0</v>
      </c>
    </row>
    <row r="362" spans="1:15" x14ac:dyDescent="0.25">
      <c r="A362" t="s">
        <v>402</v>
      </c>
      <c r="B362" s="1">
        <v>45518</v>
      </c>
      <c r="C362" t="s">
        <v>11</v>
      </c>
      <c r="D362" t="s">
        <v>79</v>
      </c>
      <c r="E362" t="s">
        <v>13</v>
      </c>
      <c r="F362" t="s">
        <v>22</v>
      </c>
      <c r="G362" t="s">
        <v>29</v>
      </c>
      <c r="K362" cm="1">
        <f t="array" ref="K362">_xlfn.SWITCH(LeadsData[[#This Row],[Funnel Stage Reached]],"Lead",1,"MQL",2,"SQL",3,"Customer",4)</f>
        <v>3</v>
      </c>
      <c r="L362" t="str">
        <f>TEXT(LeadsData[[#This Row],[Signup Date]],"mmm-yyyy")</f>
        <v>Aug-2024</v>
      </c>
      <c r="M362">
        <f>IF(LeadsData[[#This Row],[Stage Number]]&gt;=2,1,0)</f>
        <v>1</v>
      </c>
      <c r="N362" s="2">
        <f>IF(LeadsData[[#This Row],[Stage Number]]&gt;=3,1,0)</f>
        <v>1</v>
      </c>
      <c r="O362" s="2">
        <f>IF(LeadsData[[#This Row],[Stage Number]]&gt;=4,1,0)</f>
        <v>0</v>
      </c>
    </row>
    <row r="363" spans="1:15" x14ac:dyDescent="0.25">
      <c r="A363" t="s">
        <v>403</v>
      </c>
      <c r="B363" s="1">
        <v>45451</v>
      </c>
      <c r="C363" t="s">
        <v>25</v>
      </c>
      <c r="D363" t="s">
        <v>26</v>
      </c>
      <c r="E363" t="s">
        <v>13</v>
      </c>
      <c r="F363" t="s">
        <v>19</v>
      </c>
      <c r="G363" t="s">
        <v>15</v>
      </c>
      <c r="K363" cm="1">
        <f t="array" ref="K363">_xlfn.SWITCH(LeadsData[[#This Row],[Funnel Stage Reached]],"Lead",1,"MQL",2,"SQL",3,"Customer",4)</f>
        <v>1</v>
      </c>
      <c r="L363" t="str">
        <f>TEXT(LeadsData[[#This Row],[Signup Date]],"mmm-yyyy")</f>
        <v>Jun-2024</v>
      </c>
      <c r="M363">
        <f>IF(LeadsData[[#This Row],[Stage Number]]&gt;=2,1,0)</f>
        <v>0</v>
      </c>
      <c r="N363" s="2">
        <f>IF(LeadsData[[#This Row],[Stage Number]]&gt;=3,1,0)</f>
        <v>0</v>
      </c>
      <c r="O363" s="2">
        <f>IF(LeadsData[[#This Row],[Stage Number]]&gt;=4,1,0)</f>
        <v>0</v>
      </c>
    </row>
    <row r="364" spans="1:15" x14ac:dyDescent="0.25">
      <c r="A364" t="s">
        <v>404</v>
      </c>
      <c r="B364" s="1">
        <v>45366</v>
      </c>
      <c r="C364" t="s">
        <v>25</v>
      </c>
      <c r="D364" t="s">
        <v>26</v>
      </c>
      <c r="E364" t="s">
        <v>21</v>
      </c>
      <c r="F364" t="s">
        <v>14</v>
      </c>
      <c r="G364" t="s">
        <v>15</v>
      </c>
      <c r="K364" cm="1">
        <f t="array" ref="K364">_xlfn.SWITCH(LeadsData[[#This Row],[Funnel Stage Reached]],"Lead",1,"MQL",2,"SQL",3,"Customer",4)</f>
        <v>1</v>
      </c>
      <c r="L364" t="str">
        <f>TEXT(LeadsData[[#This Row],[Signup Date]],"mmm-yyyy")</f>
        <v>Mar-2024</v>
      </c>
      <c r="M364">
        <f>IF(LeadsData[[#This Row],[Stage Number]]&gt;=2,1,0)</f>
        <v>0</v>
      </c>
      <c r="N364" s="2">
        <f>IF(LeadsData[[#This Row],[Stage Number]]&gt;=3,1,0)</f>
        <v>0</v>
      </c>
      <c r="O364" s="2">
        <f>IF(LeadsData[[#This Row],[Stage Number]]&gt;=4,1,0)</f>
        <v>0</v>
      </c>
    </row>
    <row r="365" spans="1:15" x14ac:dyDescent="0.25">
      <c r="A365" t="s">
        <v>405</v>
      </c>
      <c r="B365" s="1">
        <v>45436</v>
      </c>
      <c r="C365" t="s">
        <v>17</v>
      </c>
      <c r="D365" t="s">
        <v>53</v>
      </c>
      <c r="E365" t="s">
        <v>13</v>
      </c>
      <c r="F365" t="s">
        <v>14</v>
      </c>
      <c r="G365" t="s">
        <v>29</v>
      </c>
      <c r="K365" cm="1">
        <f t="array" ref="K365">_xlfn.SWITCH(LeadsData[[#This Row],[Funnel Stage Reached]],"Lead",1,"MQL",2,"SQL",3,"Customer",4)</f>
        <v>3</v>
      </c>
      <c r="L365" t="str">
        <f>TEXT(LeadsData[[#This Row],[Signup Date]],"mmm-yyyy")</f>
        <v>May-2024</v>
      </c>
      <c r="M365">
        <f>IF(LeadsData[[#This Row],[Stage Number]]&gt;=2,1,0)</f>
        <v>1</v>
      </c>
      <c r="N365" s="2">
        <f>IF(LeadsData[[#This Row],[Stage Number]]&gt;=3,1,0)</f>
        <v>1</v>
      </c>
      <c r="O365" s="2">
        <f>IF(LeadsData[[#This Row],[Stage Number]]&gt;=4,1,0)</f>
        <v>0</v>
      </c>
    </row>
    <row r="366" spans="1:15" x14ac:dyDescent="0.25">
      <c r="A366" t="s">
        <v>406</v>
      </c>
      <c r="B366" s="1">
        <v>45431</v>
      </c>
      <c r="C366" t="s">
        <v>25</v>
      </c>
      <c r="D366" t="s">
        <v>26</v>
      </c>
      <c r="E366" t="s">
        <v>21</v>
      </c>
      <c r="F366" t="s">
        <v>14</v>
      </c>
      <c r="G366" t="s">
        <v>23</v>
      </c>
      <c r="K366" cm="1">
        <f t="array" ref="K366">_xlfn.SWITCH(LeadsData[[#This Row],[Funnel Stage Reached]],"Lead",1,"MQL",2,"SQL",3,"Customer",4)</f>
        <v>2</v>
      </c>
      <c r="L366" t="str">
        <f>TEXT(LeadsData[[#This Row],[Signup Date]],"mmm-yyyy")</f>
        <v>May-2024</v>
      </c>
      <c r="M366">
        <f>IF(LeadsData[[#This Row],[Stage Number]]&gt;=2,1,0)</f>
        <v>1</v>
      </c>
      <c r="N366" s="2">
        <f>IF(LeadsData[[#This Row],[Stage Number]]&gt;=3,1,0)</f>
        <v>0</v>
      </c>
      <c r="O366" s="2">
        <f>IF(LeadsData[[#This Row],[Stage Number]]&gt;=4,1,0)</f>
        <v>0</v>
      </c>
    </row>
    <row r="367" spans="1:15" x14ac:dyDescent="0.25">
      <c r="A367" t="s">
        <v>407</v>
      </c>
      <c r="B367" s="1">
        <v>45352</v>
      </c>
      <c r="C367" t="s">
        <v>25</v>
      </c>
      <c r="D367" t="s">
        <v>26</v>
      </c>
      <c r="E367" t="s">
        <v>13</v>
      </c>
      <c r="F367" t="s">
        <v>22</v>
      </c>
      <c r="G367" t="s">
        <v>23</v>
      </c>
      <c r="K367" cm="1">
        <f t="array" ref="K367">_xlfn.SWITCH(LeadsData[[#This Row],[Funnel Stage Reached]],"Lead",1,"MQL",2,"SQL",3,"Customer",4)</f>
        <v>2</v>
      </c>
      <c r="L367" t="str">
        <f>TEXT(LeadsData[[#This Row],[Signup Date]],"mmm-yyyy")</f>
        <v>Mar-2024</v>
      </c>
      <c r="M367">
        <f>IF(LeadsData[[#This Row],[Stage Number]]&gt;=2,1,0)</f>
        <v>1</v>
      </c>
      <c r="N367" s="2">
        <f>IF(LeadsData[[#This Row],[Stage Number]]&gt;=3,1,0)</f>
        <v>0</v>
      </c>
      <c r="O367" s="2">
        <f>IF(LeadsData[[#This Row],[Stage Number]]&gt;=4,1,0)</f>
        <v>0</v>
      </c>
    </row>
    <row r="368" spans="1:15" x14ac:dyDescent="0.25">
      <c r="A368" t="s">
        <v>408</v>
      </c>
      <c r="B368" s="1">
        <v>45424</v>
      </c>
      <c r="C368" t="s">
        <v>17</v>
      </c>
      <c r="D368" t="s">
        <v>18</v>
      </c>
      <c r="E368" t="s">
        <v>13</v>
      </c>
      <c r="F368" t="s">
        <v>22</v>
      </c>
      <c r="G368" t="s">
        <v>15</v>
      </c>
      <c r="K368" cm="1">
        <f t="array" ref="K368">_xlfn.SWITCH(LeadsData[[#This Row],[Funnel Stage Reached]],"Lead",1,"MQL",2,"SQL",3,"Customer",4)</f>
        <v>1</v>
      </c>
      <c r="L368" t="str">
        <f>TEXT(LeadsData[[#This Row],[Signup Date]],"mmm-yyyy")</f>
        <v>May-2024</v>
      </c>
      <c r="M368">
        <f>IF(LeadsData[[#This Row],[Stage Number]]&gt;=2,1,0)</f>
        <v>0</v>
      </c>
      <c r="N368" s="2">
        <f>IF(LeadsData[[#This Row],[Stage Number]]&gt;=3,1,0)</f>
        <v>0</v>
      </c>
      <c r="O368" s="2">
        <f>IF(LeadsData[[#This Row],[Stage Number]]&gt;=4,1,0)</f>
        <v>0</v>
      </c>
    </row>
    <row r="369" spans="1:15" x14ac:dyDescent="0.25">
      <c r="A369" t="s">
        <v>409</v>
      </c>
      <c r="B369" s="1">
        <v>45570</v>
      </c>
      <c r="C369" t="s">
        <v>46</v>
      </c>
      <c r="D369" t="s">
        <v>56</v>
      </c>
      <c r="E369" t="s">
        <v>21</v>
      </c>
      <c r="F369" t="s">
        <v>19</v>
      </c>
      <c r="G369" t="s">
        <v>23</v>
      </c>
      <c r="K369" cm="1">
        <f t="array" ref="K369">_xlfn.SWITCH(LeadsData[[#This Row],[Funnel Stage Reached]],"Lead",1,"MQL",2,"SQL",3,"Customer",4)</f>
        <v>2</v>
      </c>
      <c r="L369" t="str">
        <f>TEXT(LeadsData[[#This Row],[Signup Date]],"mmm-yyyy")</f>
        <v>Oct-2024</v>
      </c>
      <c r="M369">
        <f>IF(LeadsData[[#This Row],[Stage Number]]&gt;=2,1,0)</f>
        <v>1</v>
      </c>
      <c r="N369" s="2">
        <f>IF(LeadsData[[#This Row],[Stage Number]]&gt;=3,1,0)</f>
        <v>0</v>
      </c>
      <c r="O369" s="2">
        <f>IF(LeadsData[[#This Row],[Stage Number]]&gt;=4,1,0)</f>
        <v>0</v>
      </c>
    </row>
    <row r="370" spans="1:15" x14ac:dyDescent="0.25">
      <c r="A370" t="s">
        <v>410</v>
      </c>
      <c r="B370" s="1">
        <v>45602</v>
      </c>
      <c r="C370" t="s">
        <v>36</v>
      </c>
      <c r="D370" t="s">
        <v>50</v>
      </c>
      <c r="E370" t="s">
        <v>21</v>
      </c>
      <c r="F370" t="s">
        <v>19</v>
      </c>
      <c r="G370" t="s">
        <v>42</v>
      </c>
      <c r="H370">
        <v>63</v>
      </c>
      <c r="I370" t="s">
        <v>87</v>
      </c>
      <c r="J370">
        <v>1736.99</v>
      </c>
      <c r="K370" cm="1">
        <f t="array" ref="K370">_xlfn.SWITCH(LeadsData[[#This Row],[Funnel Stage Reached]],"Lead",1,"MQL",2,"SQL",3,"Customer",4)</f>
        <v>4</v>
      </c>
      <c r="L370" t="str">
        <f>TEXT(LeadsData[[#This Row],[Signup Date]],"mmm-yyyy")</f>
        <v>Nov-2024</v>
      </c>
      <c r="M370">
        <f>IF(LeadsData[[#This Row],[Stage Number]]&gt;=2,1,0)</f>
        <v>1</v>
      </c>
      <c r="N370" s="2">
        <f>IF(LeadsData[[#This Row],[Stage Number]]&gt;=3,1,0)</f>
        <v>1</v>
      </c>
      <c r="O370" s="2">
        <f>IF(LeadsData[[#This Row],[Stage Number]]&gt;=4,1,0)</f>
        <v>1</v>
      </c>
    </row>
    <row r="371" spans="1:15" x14ac:dyDescent="0.25">
      <c r="A371" t="s">
        <v>411</v>
      </c>
      <c r="B371" s="1">
        <v>45369</v>
      </c>
      <c r="C371" t="s">
        <v>25</v>
      </c>
      <c r="D371" t="s">
        <v>26</v>
      </c>
      <c r="E371" t="s">
        <v>48</v>
      </c>
      <c r="F371" t="s">
        <v>19</v>
      </c>
      <c r="G371" t="s">
        <v>42</v>
      </c>
      <c r="H371">
        <v>58</v>
      </c>
      <c r="I371" t="s">
        <v>87</v>
      </c>
      <c r="J371">
        <v>1541.93</v>
      </c>
      <c r="K371" cm="1">
        <f t="array" ref="K371">_xlfn.SWITCH(LeadsData[[#This Row],[Funnel Stage Reached]],"Lead",1,"MQL",2,"SQL",3,"Customer",4)</f>
        <v>4</v>
      </c>
      <c r="L371" t="str">
        <f>TEXT(LeadsData[[#This Row],[Signup Date]],"mmm-yyyy")</f>
        <v>Mar-2024</v>
      </c>
      <c r="M371">
        <f>IF(LeadsData[[#This Row],[Stage Number]]&gt;=2,1,0)</f>
        <v>1</v>
      </c>
      <c r="N371" s="2">
        <f>IF(LeadsData[[#This Row],[Stage Number]]&gt;=3,1,0)</f>
        <v>1</v>
      </c>
      <c r="O371" s="2">
        <f>IF(LeadsData[[#This Row],[Stage Number]]&gt;=4,1,0)</f>
        <v>1</v>
      </c>
    </row>
    <row r="372" spans="1:15" x14ac:dyDescent="0.25">
      <c r="A372" t="s">
        <v>412</v>
      </c>
      <c r="B372" s="1">
        <v>45409</v>
      </c>
      <c r="C372" t="s">
        <v>36</v>
      </c>
      <c r="D372" t="s">
        <v>50</v>
      </c>
      <c r="E372" t="s">
        <v>21</v>
      </c>
      <c r="F372" t="s">
        <v>19</v>
      </c>
      <c r="G372" t="s">
        <v>15</v>
      </c>
      <c r="K372" cm="1">
        <f t="array" ref="K372">_xlfn.SWITCH(LeadsData[[#This Row],[Funnel Stage Reached]],"Lead",1,"MQL",2,"SQL",3,"Customer",4)</f>
        <v>1</v>
      </c>
      <c r="L372" t="str">
        <f>TEXT(LeadsData[[#This Row],[Signup Date]],"mmm-yyyy")</f>
        <v>Apr-2024</v>
      </c>
      <c r="M372">
        <f>IF(LeadsData[[#This Row],[Stage Number]]&gt;=2,1,0)</f>
        <v>0</v>
      </c>
      <c r="N372" s="2">
        <f>IF(LeadsData[[#This Row],[Stage Number]]&gt;=3,1,0)</f>
        <v>0</v>
      </c>
      <c r="O372" s="2">
        <f>IF(LeadsData[[#This Row],[Stage Number]]&gt;=4,1,0)</f>
        <v>0</v>
      </c>
    </row>
    <row r="373" spans="1:15" x14ac:dyDescent="0.25">
      <c r="A373" t="s">
        <v>413</v>
      </c>
      <c r="B373" s="1">
        <v>45508</v>
      </c>
      <c r="C373" t="s">
        <v>17</v>
      </c>
      <c r="D373" t="s">
        <v>53</v>
      </c>
      <c r="E373" t="s">
        <v>13</v>
      </c>
      <c r="F373" t="s">
        <v>22</v>
      </c>
      <c r="G373" t="s">
        <v>29</v>
      </c>
      <c r="K373" cm="1">
        <f t="array" ref="K373">_xlfn.SWITCH(LeadsData[[#This Row],[Funnel Stage Reached]],"Lead",1,"MQL",2,"SQL",3,"Customer",4)</f>
        <v>3</v>
      </c>
      <c r="L373" t="str">
        <f>TEXT(LeadsData[[#This Row],[Signup Date]],"mmm-yyyy")</f>
        <v>Aug-2024</v>
      </c>
      <c r="M373">
        <f>IF(LeadsData[[#This Row],[Stage Number]]&gt;=2,1,0)</f>
        <v>1</v>
      </c>
      <c r="N373" s="2">
        <f>IF(LeadsData[[#This Row],[Stage Number]]&gt;=3,1,0)</f>
        <v>1</v>
      </c>
      <c r="O373" s="2">
        <f>IF(LeadsData[[#This Row],[Stage Number]]&gt;=4,1,0)</f>
        <v>0</v>
      </c>
    </row>
    <row r="374" spans="1:15" x14ac:dyDescent="0.25">
      <c r="A374" t="s">
        <v>414</v>
      </c>
      <c r="B374" s="1">
        <v>45610</v>
      </c>
      <c r="C374" t="s">
        <v>25</v>
      </c>
      <c r="D374" t="s">
        <v>26</v>
      </c>
      <c r="E374" t="s">
        <v>13</v>
      </c>
      <c r="F374" t="s">
        <v>19</v>
      </c>
      <c r="G374" t="s">
        <v>15</v>
      </c>
      <c r="K374" cm="1">
        <f t="array" ref="K374">_xlfn.SWITCH(LeadsData[[#This Row],[Funnel Stage Reached]],"Lead",1,"MQL",2,"SQL",3,"Customer",4)</f>
        <v>1</v>
      </c>
      <c r="L374" t="str">
        <f>TEXT(LeadsData[[#This Row],[Signup Date]],"mmm-yyyy")</f>
        <v>Nov-2024</v>
      </c>
      <c r="M374">
        <f>IF(LeadsData[[#This Row],[Stage Number]]&gt;=2,1,0)</f>
        <v>0</v>
      </c>
      <c r="N374" s="2">
        <f>IF(LeadsData[[#This Row],[Stage Number]]&gt;=3,1,0)</f>
        <v>0</v>
      </c>
      <c r="O374" s="2">
        <f>IF(LeadsData[[#This Row],[Stage Number]]&gt;=4,1,0)</f>
        <v>0</v>
      </c>
    </row>
    <row r="375" spans="1:15" x14ac:dyDescent="0.25">
      <c r="A375" t="s">
        <v>415</v>
      </c>
      <c r="B375" s="1">
        <v>45343</v>
      </c>
      <c r="C375" t="s">
        <v>17</v>
      </c>
      <c r="D375" t="s">
        <v>53</v>
      </c>
      <c r="E375" t="s">
        <v>13</v>
      </c>
      <c r="F375" t="s">
        <v>22</v>
      </c>
      <c r="G375" t="s">
        <v>29</v>
      </c>
      <c r="K375" cm="1">
        <f t="array" ref="K375">_xlfn.SWITCH(LeadsData[[#This Row],[Funnel Stage Reached]],"Lead",1,"MQL",2,"SQL",3,"Customer",4)</f>
        <v>3</v>
      </c>
      <c r="L375" t="str">
        <f>TEXT(LeadsData[[#This Row],[Signup Date]],"mmm-yyyy")</f>
        <v>Feb-2024</v>
      </c>
      <c r="M375">
        <f>IF(LeadsData[[#This Row],[Stage Number]]&gt;=2,1,0)</f>
        <v>1</v>
      </c>
      <c r="N375" s="2">
        <f>IF(LeadsData[[#This Row],[Stage Number]]&gt;=3,1,0)</f>
        <v>1</v>
      </c>
      <c r="O375" s="2">
        <f>IF(LeadsData[[#This Row],[Stage Number]]&gt;=4,1,0)</f>
        <v>0</v>
      </c>
    </row>
    <row r="376" spans="1:15" x14ac:dyDescent="0.25">
      <c r="A376" t="s">
        <v>416</v>
      </c>
      <c r="B376" s="1">
        <v>45297</v>
      </c>
      <c r="C376" t="s">
        <v>11</v>
      </c>
      <c r="D376" t="s">
        <v>12</v>
      </c>
      <c r="E376" t="s">
        <v>13</v>
      </c>
      <c r="F376" t="s">
        <v>22</v>
      </c>
      <c r="G376" t="s">
        <v>15</v>
      </c>
      <c r="K376" cm="1">
        <f t="array" ref="K376">_xlfn.SWITCH(LeadsData[[#This Row],[Funnel Stage Reached]],"Lead",1,"MQL",2,"SQL",3,"Customer",4)</f>
        <v>1</v>
      </c>
      <c r="L376" t="str">
        <f>TEXT(LeadsData[[#This Row],[Signup Date]],"mmm-yyyy")</f>
        <v>Jan-2024</v>
      </c>
      <c r="M376">
        <f>IF(LeadsData[[#This Row],[Stage Number]]&gt;=2,1,0)</f>
        <v>0</v>
      </c>
      <c r="N376" s="2">
        <f>IF(LeadsData[[#This Row],[Stage Number]]&gt;=3,1,0)</f>
        <v>0</v>
      </c>
      <c r="O376" s="2">
        <f>IF(LeadsData[[#This Row],[Stage Number]]&gt;=4,1,0)</f>
        <v>0</v>
      </c>
    </row>
    <row r="377" spans="1:15" x14ac:dyDescent="0.25">
      <c r="A377" t="s">
        <v>417</v>
      </c>
      <c r="B377" s="1">
        <v>45598</v>
      </c>
      <c r="C377" t="s">
        <v>46</v>
      </c>
      <c r="D377" t="s">
        <v>56</v>
      </c>
      <c r="E377" t="s">
        <v>13</v>
      </c>
      <c r="F377" t="s">
        <v>22</v>
      </c>
      <c r="G377" t="s">
        <v>15</v>
      </c>
      <c r="K377" cm="1">
        <f t="array" ref="K377">_xlfn.SWITCH(LeadsData[[#This Row],[Funnel Stage Reached]],"Lead",1,"MQL",2,"SQL",3,"Customer",4)</f>
        <v>1</v>
      </c>
      <c r="L377" t="str">
        <f>TEXT(LeadsData[[#This Row],[Signup Date]],"mmm-yyyy")</f>
        <v>Nov-2024</v>
      </c>
      <c r="M377">
        <f>IF(LeadsData[[#This Row],[Stage Number]]&gt;=2,1,0)</f>
        <v>0</v>
      </c>
      <c r="N377" s="2">
        <f>IF(LeadsData[[#This Row],[Stage Number]]&gt;=3,1,0)</f>
        <v>0</v>
      </c>
      <c r="O377" s="2">
        <f>IF(LeadsData[[#This Row],[Stage Number]]&gt;=4,1,0)</f>
        <v>0</v>
      </c>
    </row>
    <row r="378" spans="1:15" x14ac:dyDescent="0.25">
      <c r="A378" t="s">
        <v>418</v>
      </c>
      <c r="B378" s="1">
        <v>45418</v>
      </c>
      <c r="C378" t="s">
        <v>11</v>
      </c>
      <c r="D378" t="s">
        <v>12</v>
      </c>
      <c r="E378" t="s">
        <v>21</v>
      </c>
      <c r="F378" t="s">
        <v>19</v>
      </c>
      <c r="G378" t="s">
        <v>23</v>
      </c>
      <c r="K378" cm="1">
        <f t="array" ref="K378">_xlfn.SWITCH(LeadsData[[#This Row],[Funnel Stage Reached]],"Lead",1,"MQL",2,"SQL",3,"Customer",4)</f>
        <v>2</v>
      </c>
      <c r="L378" t="str">
        <f>TEXT(LeadsData[[#This Row],[Signup Date]],"mmm-yyyy")</f>
        <v>May-2024</v>
      </c>
      <c r="M378">
        <f>IF(LeadsData[[#This Row],[Stage Number]]&gt;=2,1,0)</f>
        <v>1</v>
      </c>
      <c r="N378" s="2">
        <f>IF(LeadsData[[#This Row],[Stage Number]]&gt;=3,1,0)</f>
        <v>0</v>
      </c>
      <c r="O378" s="2">
        <f>IF(LeadsData[[#This Row],[Stage Number]]&gt;=4,1,0)</f>
        <v>0</v>
      </c>
    </row>
    <row r="379" spans="1:15" x14ac:dyDescent="0.25">
      <c r="A379" t="s">
        <v>419</v>
      </c>
      <c r="B379" s="1">
        <v>45366</v>
      </c>
      <c r="C379" t="s">
        <v>31</v>
      </c>
      <c r="D379" t="s">
        <v>32</v>
      </c>
      <c r="E379" t="s">
        <v>13</v>
      </c>
      <c r="F379" t="s">
        <v>19</v>
      </c>
      <c r="G379" t="s">
        <v>42</v>
      </c>
      <c r="H379">
        <v>66</v>
      </c>
      <c r="I379" t="s">
        <v>43</v>
      </c>
      <c r="J379">
        <v>1495.2</v>
      </c>
      <c r="K379" cm="1">
        <f t="array" ref="K379">_xlfn.SWITCH(LeadsData[[#This Row],[Funnel Stage Reached]],"Lead",1,"MQL",2,"SQL",3,"Customer",4)</f>
        <v>4</v>
      </c>
      <c r="L379" t="str">
        <f>TEXT(LeadsData[[#This Row],[Signup Date]],"mmm-yyyy")</f>
        <v>Mar-2024</v>
      </c>
      <c r="M379">
        <f>IF(LeadsData[[#This Row],[Stage Number]]&gt;=2,1,0)</f>
        <v>1</v>
      </c>
      <c r="N379" s="2">
        <f>IF(LeadsData[[#This Row],[Stage Number]]&gt;=3,1,0)</f>
        <v>1</v>
      </c>
      <c r="O379" s="2">
        <f>IF(LeadsData[[#This Row],[Stage Number]]&gt;=4,1,0)</f>
        <v>1</v>
      </c>
    </row>
    <row r="380" spans="1:15" x14ac:dyDescent="0.25">
      <c r="A380" t="s">
        <v>420</v>
      </c>
      <c r="B380" s="1">
        <v>45430</v>
      </c>
      <c r="C380" t="s">
        <v>25</v>
      </c>
      <c r="D380" t="s">
        <v>26</v>
      </c>
      <c r="E380" t="s">
        <v>21</v>
      </c>
      <c r="F380" t="s">
        <v>19</v>
      </c>
      <c r="G380" t="s">
        <v>15</v>
      </c>
      <c r="K380" cm="1">
        <f t="array" ref="K380">_xlfn.SWITCH(LeadsData[[#This Row],[Funnel Stage Reached]],"Lead",1,"MQL",2,"SQL",3,"Customer",4)</f>
        <v>1</v>
      </c>
      <c r="L380" t="str">
        <f>TEXT(LeadsData[[#This Row],[Signup Date]],"mmm-yyyy")</f>
        <v>May-2024</v>
      </c>
      <c r="M380">
        <f>IF(LeadsData[[#This Row],[Stage Number]]&gt;=2,1,0)</f>
        <v>0</v>
      </c>
      <c r="N380" s="2">
        <f>IF(LeadsData[[#This Row],[Stage Number]]&gt;=3,1,0)</f>
        <v>0</v>
      </c>
      <c r="O380" s="2">
        <f>IF(LeadsData[[#This Row],[Stage Number]]&gt;=4,1,0)</f>
        <v>0</v>
      </c>
    </row>
    <row r="381" spans="1:15" x14ac:dyDescent="0.25">
      <c r="A381" t="s">
        <v>421</v>
      </c>
      <c r="B381" s="1">
        <v>45653</v>
      </c>
      <c r="C381" t="s">
        <v>17</v>
      </c>
      <c r="D381" t="s">
        <v>53</v>
      </c>
      <c r="E381" t="s">
        <v>21</v>
      </c>
      <c r="F381" t="s">
        <v>19</v>
      </c>
      <c r="G381" t="s">
        <v>15</v>
      </c>
      <c r="K381" cm="1">
        <f t="array" ref="K381">_xlfn.SWITCH(LeadsData[[#This Row],[Funnel Stage Reached]],"Lead",1,"MQL",2,"SQL",3,"Customer",4)</f>
        <v>1</v>
      </c>
      <c r="L381" t="str">
        <f>TEXT(LeadsData[[#This Row],[Signup Date]],"mmm-yyyy")</f>
        <v>Dec-2024</v>
      </c>
      <c r="M381">
        <f>IF(LeadsData[[#This Row],[Stage Number]]&gt;=2,1,0)</f>
        <v>0</v>
      </c>
      <c r="N381" s="2">
        <f>IF(LeadsData[[#This Row],[Stage Number]]&gt;=3,1,0)</f>
        <v>0</v>
      </c>
      <c r="O381" s="2">
        <f>IF(LeadsData[[#This Row],[Stage Number]]&gt;=4,1,0)</f>
        <v>0</v>
      </c>
    </row>
    <row r="382" spans="1:15" x14ac:dyDescent="0.25">
      <c r="A382" t="s">
        <v>422</v>
      </c>
      <c r="B382" s="1">
        <v>45315</v>
      </c>
      <c r="C382" t="s">
        <v>25</v>
      </c>
      <c r="D382" t="s">
        <v>26</v>
      </c>
      <c r="E382" t="s">
        <v>21</v>
      </c>
      <c r="F382" t="s">
        <v>22</v>
      </c>
      <c r="G382" t="s">
        <v>15</v>
      </c>
      <c r="K382" cm="1">
        <f t="array" ref="K382">_xlfn.SWITCH(LeadsData[[#This Row],[Funnel Stage Reached]],"Lead",1,"MQL",2,"SQL",3,"Customer",4)</f>
        <v>1</v>
      </c>
      <c r="L382" t="str">
        <f>TEXT(LeadsData[[#This Row],[Signup Date]],"mmm-yyyy")</f>
        <v>Jan-2024</v>
      </c>
      <c r="M382">
        <f>IF(LeadsData[[#This Row],[Stage Number]]&gt;=2,1,0)</f>
        <v>0</v>
      </c>
      <c r="N382" s="2">
        <f>IF(LeadsData[[#This Row],[Stage Number]]&gt;=3,1,0)</f>
        <v>0</v>
      </c>
      <c r="O382" s="2">
        <f>IF(LeadsData[[#This Row],[Stage Number]]&gt;=4,1,0)</f>
        <v>0</v>
      </c>
    </row>
    <row r="383" spans="1:15" x14ac:dyDescent="0.25">
      <c r="A383" t="s">
        <v>423</v>
      </c>
      <c r="B383" s="1">
        <v>45379</v>
      </c>
      <c r="C383" t="s">
        <v>36</v>
      </c>
      <c r="D383" t="s">
        <v>50</v>
      </c>
      <c r="E383" t="s">
        <v>13</v>
      </c>
      <c r="F383" t="s">
        <v>19</v>
      </c>
      <c r="G383" t="s">
        <v>23</v>
      </c>
      <c r="K383" cm="1">
        <f t="array" ref="K383">_xlfn.SWITCH(LeadsData[[#This Row],[Funnel Stage Reached]],"Lead",1,"MQL",2,"SQL",3,"Customer",4)</f>
        <v>2</v>
      </c>
      <c r="L383" t="str">
        <f>TEXT(LeadsData[[#This Row],[Signup Date]],"mmm-yyyy")</f>
        <v>Mar-2024</v>
      </c>
      <c r="M383">
        <f>IF(LeadsData[[#This Row],[Stage Number]]&gt;=2,1,0)</f>
        <v>1</v>
      </c>
      <c r="N383" s="2">
        <f>IF(LeadsData[[#This Row],[Stage Number]]&gt;=3,1,0)</f>
        <v>0</v>
      </c>
      <c r="O383" s="2">
        <f>IF(LeadsData[[#This Row],[Stage Number]]&gt;=4,1,0)</f>
        <v>0</v>
      </c>
    </row>
    <row r="384" spans="1:15" x14ac:dyDescent="0.25">
      <c r="A384" t="s">
        <v>424</v>
      </c>
      <c r="B384" s="1">
        <v>45612</v>
      </c>
      <c r="C384" t="s">
        <v>36</v>
      </c>
      <c r="D384" t="s">
        <v>37</v>
      </c>
      <c r="E384" t="s">
        <v>13</v>
      </c>
      <c r="F384" t="s">
        <v>22</v>
      </c>
      <c r="G384" t="s">
        <v>15</v>
      </c>
      <c r="K384" cm="1">
        <f t="array" ref="K384">_xlfn.SWITCH(LeadsData[[#This Row],[Funnel Stage Reached]],"Lead",1,"MQL",2,"SQL",3,"Customer",4)</f>
        <v>1</v>
      </c>
      <c r="L384" t="str">
        <f>TEXT(LeadsData[[#This Row],[Signup Date]],"mmm-yyyy")</f>
        <v>Nov-2024</v>
      </c>
      <c r="M384">
        <f>IF(LeadsData[[#This Row],[Stage Number]]&gt;=2,1,0)</f>
        <v>0</v>
      </c>
      <c r="N384" s="2">
        <f>IF(LeadsData[[#This Row],[Stage Number]]&gt;=3,1,0)</f>
        <v>0</v>
      </c>
      <c r="O384" s="2">
        <f>IF(LeadsData[[#This Row],[Stage Number]]&gt;=4,1,0)</f>
        <v>0</v>
      </c>
    </row>
    <row r="385" spans="1:15" x14ac:dyDescent="0.25">
      <c r="A385" t="s">
        <v>425</v>
      </c>
      <c r="B385" s="1">
        <v>45636</v>
      </c>
      <c r="C385" t="s">
        <v>31</v>
      </c>
      <c r="D385" t="s">
        <v>32</v>
      </c>
      <c r="E385" t="s">
        <v>13</v>
      </c>
      <c r="F385" t="s">
        <v>19</v>
      </c>
      <c r="G385" t="s">
        <v>15</v>
      </c>
      <c r="K385" cm="1">
        <f t="array" ref="K385">_xlfn.SWITCH(LeadsData[[#This Row],[Funnel Stage Reached]],"Lead",1,"MQL",2,"SQL",3,"Customer",4)</f>
        <v>1</v>
      </c>
      <c r="L385" t="str">
        <f>TEXT(LeadsData[[#This Row],[Signup Date]],"mmm-yyyy")</f>
        <v>Dec-2024</v>
      </c>
      <c r="M385">
        <f>IF(LeadsData[[#This Row],[Stage Number]]&gt;=2,1,0)</f>
        <v>0</v>
      </c>
      <c r="N385" s="2">
        <f>IF(LeadsData[[#This Row],[Stage Number]]&gt;=3,1,0)</f>
        <v>0</v>
      </c>
      <c r="O385" s="2">
        <f>IF(LeadsData[[#This Row],[Stage Number]]&gt;=4,1,0)</f>
        <v>0</v>
      </c>
    </row>
    <row r="386" spans="1:15" x14ac:dyDescent="0.25">
      <c r="A386" t="s">
        <v>426</v>
      </c>
      <c r="B386" s="1">
        <v>45444</v>
      </c>
      <c r="C386" t="s">
        <v>36</v>
      </c>
      <c r="D386" t="s">
        <v>37</v>
      </c>
      <c r="E386" t="s">
        <v>13</v>
      </c>
      <c r="F386" t="s">
        <v>19</v>
      </c>
      <c r="G386" t="s">
        <v>15</v>
      </c>
      <c r="K386" cm="1">
        <f t="array" ref="K386">_xlfn.SWITCH(LeadsData[[#This Row],[Funnel Stage Reached]],"Lead",1,"MQL",2,"SQL",3,"Customer",4)</f>
        <v>1</v>
      </c>
      <c r="L386" t="str">
        <f>TEXT(LeadsData[[#This Row],[Signup Date]],"mmm-yyyy")</f>
        <v>Jun-2024</v>
      </c>
      <c r="M386">
        <f>IF(LeadsData[[#This Row],[Stage Number]]&gt;=2,1,0)</f>
        <v>0</v>
      </c>
      <c r="N386" s="2">
        <f>IF(LeadsData[[#This Row],[Stage Number]]&gt;=3,1,0)</f>
        <v>0</v>
      </c>
      <c r="O386" s="2">
        <f>IF(LeadsData[[#This Row],[Stage Number]]&gt;=4,1,0)</f>
        <v>0</v>
      </c>
    </row>
    <row r="387" spans="1:15" x14ac:dyDescent="0.25">
      <c r="A387" t="s">
        <v>427</v>
      </c>
      <c r="B387" s="1">
        <v>45607</v>
      </c>
      <c r="C387" t="s">
        <v>46</v>
      </c>
      <c r="D387" t="s">
        <v>47</v>
      </c>
      <c r="E387" t="s">
        <v>21</v>
      </c>
      <c r="F387" t="s">
        <v>22</v>
      </c>
      <c r="G387" t="s">
        <v>23</v>
      </c>
      <c r="K387" cm="1">
        <f t="array" ref="K387">_xlfn.SWITCH(LeadsData[[#This Row],[Funnel Stage Reached]],"Lead",1,"MQL",2,"SQL",3,"Customer",4)</f>
        <v>2</v>
      </c>
      <c r="L387" t="str">
        <f>TEXT(LeadsData[[#This Row],[Signup Date]],"mmm-yyyy")</f>
        <v>Nov-2024</v>
      </c>
      <c r="M387">
        <f>IF(LeadsData[[#This Row],[Stage Number]]&gt;=2,1,0)</f>
        <v>1</v>
      </c>
      <c r="N387" s="2">
        <f>IF(LeadsData[[#This Row],[Stage Number]]&gt;=3,1,0)</f>
        <v>0</v>
      </c>
      <c r="O387" s="2">
        <f>IF(LeadsData[[#This Row],[Stage Number]]&gt;=4,1,0)</f>
        <v>0</v>
      </c>
    </row>
    <row r="388" spans="1:15" x14ac:dyDescent="0.25">
      <c r="A388" t="s">
        <v>428</v>
      </c>
      <c r="B388" s="1">
        <v>45515</v>
      </c>
      <c r="C388" t="s">
        <v>36</v>
      </c>
      <c r="D388" t="s">
        <v>37</v>
      </c>
      <c r="E388" t="s">
        <v>21</v>
      </c>
      <c r="F388" t="s">
        <v>19</v>
      </c>
      <c r="G388" t="s">
        <v>29</v>
      </c>
      <c r="K388" cm="1">
        <f t="array" ref="K388">_xlfn.SWITCH(LeadsData[[#This Row],[Funnel Stage Reached]],"Lead",1,"MQL",2,"SQL",3,"Customer",4)</f>
        <v>3</v>
      </c>
      <c r="L388" t="str">
        <f>TEXT(LeadsData[[#This Row],[Signup Date]],"mmm-yyyy")</f>
        <v>Aug-2024</v>
      </c>
      <c r="M388">
        <f>IF(LeadsData[[#This Row],[Stage Number]]&gt;=2,1,0)</f>
        <v>1</v>
      </c>
      <c r="N388" s="2">
        <f>IF(LeadsData[[#This Row],[Stage Number]]&gt;=3,1,0)</f>
        <v>1</v>
      </c>
      <c r="O388" s="2">
        <f>IF(LeadsData[[#This Row],[Stage Number]]&gt;=4,1,0)</f>
        <v>0</v>
      </c>
    </row>
    <row r="389" spans="1:15" x14ac:dyDescent="0.25">
      <c r="A389" t="s">
        <v>429</v>
      </c>
      <c r="B389" s="1">
        <v>45357</v>
      </c>
      <c r="C389" t="s">
        <v>46</v>
      </c>
      <c r="D389" t="s">
        <v>47</v>
      </c>
      <c r="E389" t="s">
        <v>13</v>
      </c>
      <c r="F389" t="s">
        <v>14</v>
      </c>
      <c r="G389" t="s">
        <v>23</v>
      </c>
      <c r="K389" cm="1">
        <f t="array" ref="K389">_xlfn.SWITCH(LeadsData[[#This Row],[Funnel Stage Reached]],"Lead",1,"MQL",2,"SQL",3,"Customer",4)</f>
        <v>2</v>
      </c>
      <c r="L389" t="str">
        <f>TEXT(LeadsData[[#This Row],[Signup Date]],"mmm-yyyy")</f>
        <v>Mar-2024</v>
      </c>
      <c r="M389">
        <f>IF(LeadsData[[#This Row],[Stage Number]]&gt;=2,1,0)</f>
        <v>1</v>
      </c>
      <c r="N389" s="2">
        <f>IF(LeadsData[[#This Row],[Stage Number]]&gt;=3,1,0)</f>
        <v>0</v>
      </c>
      <c r="O389" s="2">
        <f>IF(LeadsData[[#This Row],[Stage Number]]&gt;=4,1,0)</f>
        <v>0</v>
      </c>
    </row>
    <row r="390" spans="1:15" x14ac:dyDescent="0.25">
      <c r="A390" t="s">
        <v>430</v>
      </c>
      <c r="B390" s="1">
        <v>45542</v>
      </c>
      <c r="C390" t="s">
        <v>31</v>
      </c>
      <c r="D390" t="s">
        <v>34</v>
      </c>
      <c r="E390" t="s">
        <v>21</v>
      </c>
      <c r="F390" t="s">
        <v>14</v>
      </c>
      <c r="G390" t="s">
        <v>15</v>
      </c>
      <c r="K390" cm="1">
        <f t="array" ref="K390">_xlfn.SWITCH(LeadsData[[#This Row],[Funnel Stage Reached]],"Lead",1,"MQL",2,"SQL",3,"Customer",4)</f>
        <v>1</v>
      </c>
      <c r="L390" t="str">
        <f>TEXT(LeadsData[[#This Row],[Signup Date]],"mmm-yyyy")</f>
        <v>Sep-2024</v>
      </c>
      <c r="M390">
        <f>IF(LeadsData[[#This Row],[Stage Number]]&gt;=2,1,0)</f>
        <v>0</v>
      </c>
      <c r="N390" s="2">
        <f>IF(LeadsData[[#This Row],[Stage Number]]&gt;=3,1,0)</f>
        <v>0</v>
      </c>
      <c r="O390" s="2">
        <f>IF(LeadsData[[#This Row],[Stage Number]]&gt;=4,1,0)</f>
        <v>0</v>
      </c>
    </row>
    <row r="391" spans="1:15" x14ac:dyDescent="0.25">
      <c r="A391" t="s">
        <v>431</v>
      </c>
      <c r="B391" s="1">
        <v>45389</v>
      </c>
      <c r="C391" t="s">
        <v>17</v>
      </c>
      <c r="D391" t="s">
        <v>53</v>
      </c>
      <c r="E391" t="s">
        <v>13</v>
      </c>
      <c r="F391" t="s">
        <v>19</v>
      </c>
      <c r="G391" t="s">
        <v>15</v>
      </c>
      <c r="K391" cm="1">
        <f t="array" ref="K391">_xlfn.SWITCH(LeadsData[[#This Row],[Funnel Stage Reached]],"Lead",1,"MQL",2,"SQL",3,"Customer",4)</f>
        <v>1</v>
      </c>
      <c r="L391" t="str">
        <f>TEXT(LeadsData[[#This Row],[Signup Date]],"mmm-yyyy")</f>
        <v>Apr-2024</v>
      </c>
      <c r="M391">
        <f>IF(LeadsData[[#This Row],[Stage Number]]&gt;=2,1,0)</f>
        <v>0</v>
      </c>
      <c r="N391" s="2">
        <f>IF(LeadsData[[#This Row],[Stage Number]]&gt;=3,1,0)</f>
        <v>0</v>
      </c>
      <c r="O391" s="2">
        <f>IF(LeadsData[[#This Row],[Stage Number]]&gt;=4,1,0)</f>
        <v>0</v>
      </c>
    </row>
    <row r="392" spans="1:15" x14ac:dyDescent="0.25">
      <c r="A392" t="s">
        <v>432</v>
      </c>
      <c r="B392" s="1">
        <v>45368</v>
      </c>
      <c r="C392" t="s">
        <v>46</v>
      </c>
      <c r="D392" t="s">
        <v>56</v>
      </c>
      <c r="E392" t="s">
        <v>21</v>
      </c>
      <c r="F392" t="s">
        <v>14</v>
      </c>
      <c r="G392" t="s">
        <v>23</v>
      </c>
      <c r="K392" cm="1">
        <f t="array" ref="K392">_xlfn.SWITCH(LeadsData[[#This Row],[Funnel Stage Reached]],"Lead",1,"MQL",2,"SQL",3,"Customer",4)</f>
        <v>2</v>
      </c>
      <c r="L392" t="str">
        <f>TEXT(LeadsData[[#This Row],[Signup Date]],"mmm-yyyy")</f>
        <v>Mar-2024</v>
      </c>
      <c r="M392">
        <f>IF(LeadsData[[#This Row],[Stage Number]]&gt;=2,1,0)</f>
        <v>1</v>
      </c>
      <c r="N392" s="2">
        <f>IF(LeadsData[[#This Row],[Stage Number]]&gt;=3,1,0)</f>
        <v>0</v>
      </c>
      <c r="O392" s="2">
        <f>IF(LeadsData[[#This Row],[Stage Number]]&gt;=4,1,0)</f>
        <v>0</v>
      </c>
    </row>
    <row r="393" spans="1:15" x14ac:dyDescent="0.25">
      <c r="A393" t="s">
        <v>433</v>
      </c>
      <c r="B393" s="1">
        <v>45514</v>
      </c>
      <c r="C393" t="s">
        <v>17</v>
      </c>
      <c r="D393" t="s">
        <v>53</v>
      </c>
      <c r="E393" t="s">
        <v>13</v>
      </c>
      <c r="F393" t="s">
        <v>19</v>
      </c>
      <c r="G393" t="s">
        <v>23</v>
      </c>
      <c r="K393" cm="1">
        <f t="array" ref="K393">_xlfn.SWITCH(LeadsData[[#This Row],[Funnel Stage Reached]],"Lead",1,"MQL",2,"SQL",3,"Customer",4)</f>
        <v>2</v>
      </c>
      <c r="L393" t="str">
        <f>TEXT(LeadsData[[#This Row],[Signup Date]],"mmm-yyyy")</f>
        <v>Aug-2024</v>
      </c>
      <c r="M393">
        <f>IF(LeadsData[[#This Row],[Stage Number]]&gt;=2,1,0)</f>
        <v>1</v>
      </c>
      <c r="N393" s="2">
        <f>IF(LeadsData[[#This Row],[Stage Number]]&gt;=3,1,0)</f>
        <v>0</v>
      </c>
      <c r="O393" s="2">
        <f>IF(LeadsData[[#This Row],[Stage Number]]&gt;=4,1,0)</f>
        <v>0</v>
      </c>
    </row>
    <row r="394" spans="1:15" x14ac:dyDescent="0.25">
      <c r="A394" t="s">
        <v>434</v>
      </c>
      <c r="B394" s="1">
        <v>45517</v>
      </c>
      <c r="C394" t="s">
        <v>11</v>
      </c>
      <c r="D394" t="s">
        <v>68</v>
      </c>
      <c r="E394" t="s">
        <v>13</v>
      </c>
      <c r="F394" t="s">
        <v>19</v>
      </c>
      <c r="G394" t="s">
        <v>29</v>
      </c>
      <c r="K394" cm="1">
        <f t="array" ref="K394">_xlfn.SWITCH(LeadsData[[#This Row],[Funnel Stage Reached]],"Lead",1,"MQL",2,"SQL",3,"Customer",4)</f>
        <v>3</v>
      </c>
      <c r="L394" t="str">
        <f>TEXT(LeadsData[[#This Row],[Signup Date]],"mmm-yyyy")</f>
        <v>Aug-2024</v>
      </c>
      <c r="M394">
        <f>IF(LeadsData[[#This Row],[Stage Number]]&gt;=2,1,0)</f>
        <v>1</v>
      </c>
      <c r="N394" s="2">
        <f>IF(LeadsData[[#This Row],[Stage Number]]&gt;=3,1,0)</f>
        <v>1</v>
      </c>
      <c r="O394" s="2">
        <f>IF(LeadsData[[#This Row],[Stage Number]]&gt;=4,1,0)</f>
        <v>0</v>
      </c>
    </row>
    <row r="395" spans="1:15" x14ac:dyDescent="0.25">
      <c r="A395" t="s">
        <v>435</v>
      </c>
      <c r="B395" s="1">
        <v>45332</v>
      </c>
      <c r="C395" t="s">
        <v>36</v>
      </c>
      <c r="D395" t="s">
        <v>50</v>
      </c>
      <c r="E395" t="s">
        <v>13</v>
      </c>
      <c r="F395" t="s">
        <v>19</v>
      </c>
      <c r="G395" t="s">
        <v>15</v>
      </c>
      <c r="K395" cm="1">
        <f t="array" ref="K395">_xlfn.SWITCH(LeadsData[[#This Row],[Funnel Stage Reached]],"Lead",1,"MQL",2,"SQL",3,"Customer",4)</f>
        <v>1</v>
      </c>
      <c r="L395" t="str">
        <f>TEXT(LeadsData[[#This Row],[Signup Date]],"mmm-yyyy")</f>
        <v>Feb-2024</v>
      </c>
      <c r="M395">
        <f>IF(LeadsData[[#This Row],[Stage Number]]&gt;=2,1,0)</f>
        <v>0</v>
      </c>
      <c r="N395" s="2">
        <f>IF(LeadsData[[#This Row],[Stage Number]]&gt;=3,1,0)</f>
        <v>0</v>
      </c>
      <c r="O395" s="2">
        <f>IF(LeadsData[[#This Row],[Stage Number]]&gt;=4,1,0)</f>
        <v>0</v>
      </c>
    </row>
    <row r="396" spans="1:15" x14ac:dyDescent="0.25">
      <c r="A396" t="s">
        <v>436</v>
      </c>
      <c r="B396" s="1">
        <v>45602</v>
      </c>
      <c r="C396" t="s">
        <v>11</v>
      </c>
      <c r="D396" t="s">
        <v>12</v>
      </c>
      <c r="E396" t="s">
        <v>13</v>
      </c>
      <c r="F396" t="s">
        <v>22</v>
      </c>
      <c r="G396" t="s">
        <v>23</v>
      </c>
      <c r="K396" cm="1">
        <f t="array" ref="K396">_xlfn.SWITCH(LeadsData[[#This Row],[Funnel Stage Reached]],"Lead",1,"MQL",2,"SQL",3,"Customer",4)</f>
        <v>2</v>
      </c>
      <c r="L396" t="str">
        <f>TEXT(LeadsData[[#This Row],[Signup Date]],"mmm-yyyy")</f>
        <v>Nov-2024</v>
      </c>
      <c r="M396">
        <f>IF(LeadsData[[#This Row],[Stage Number]]&gt;=2,1,0)</f>
        <v>1</v>
      </c>
      <c r="N396" s="2">
        <f>IF(LeadsData[[#This Row],[Stage Number]]&gt;=3,1,0)</f>
        <v>0</v>
      </c>
      <c r="O396" s="2">
        <f>IF(LeadsData[[#This Row],[Stage Number]]&gt;=4,1,0)</f>
        <v>0</v>
      </c>
    </row>
    <row r="397" spans="1:15" x14ac:dyDescent="0.25">
      <c r="A397" t="s">
        <v>437</v>
      </c>
      <c r="B397" s="1">
        <v>45361</v>
      </c>
      <c r="C397" t="s">
        <v>17</v>
      </c>
      <c r="D397" t="s">
        <v>18</v>
      </c>
      <c r="E397" t="s">
        <v>13</v>
      </c>
      <c r="F397" t="s">
        <v>14</v>
      </c>
      <c r="G397" t="s">
        <v>15</v>
      </c>
      <c r="K397" cm="1">
        <f t="array" ref="K397">_xlfn.SWITCH(LeadsData[[#This Row],[Funnel Stage Reached]],"Lead",1,"MQL",2,"SQL",3,"Customer",4)</f>
        <v>1</v>
      </c>
      <c r="L397" t="str">
        <f>TEXT(LeadsData[[#This Row],[Signup Date]],"mmm-yyyy")</f>
        <v>Mar-2024</v>
      </c>
      <c r="M397">
        <f>IF(LeadsData[[#This Row],[Stage Number]]&gt;=2,1,0)</f>
        <v>0</v>
      </c>
      <c r="N397" s="2">
        <f>IF(LeadsData[[#This Row],[Stage Number]]&gt;=3,1,0)</f>
        <v>0</v>
      </c>
      <c r="O397" s="2">
        <f>IF(LeadsData[[#This Row],[Stage Number]]&gt;=4,1,0)</f>
        <v>0</v>
      </c>
    </row>
    <row r="398" spans="1:15" x14ac:dyDescent="0.25">
      <c r="A398" t="s">
        <v>438</v>
      </c>
      <c r="B398" s="1">
        <v>45639</v>
      </c>
      <c r="C398" t="s">
        <v>31</v>
      </c>
      <c r="D398" t="s">
        <v>32</v>
      </c>
      <c r="E398" t="s">
        <v>21</v>
      </c>
      <c r="F398" t="s">
        <v>19</v>
      </c>
      <c r="G398" t="s">
        <v>29</v>
      </c>
      <c r="K398" cm="1">
        <f t="array" ref="K398">_xlfn.SWITCH(LeadsData[[#This Row],[Funnel Stage Reached]],"Lead",1,"MQL",2,"SQL",3,"Customer",4)</f>
        <v>3</v>
      </c>
      <c r="L398" t="str">
        <f>TEXT(LeadsData[[#This Row],[Signup Date]],"mmm-yyyy")</f>
        <v>Dec-2024</v>
      </c>
      <c r="M398">
        <f>IF(LeadsData[[#This Row],[Stage Number]]&gt;=2,1,0)</f>
        <v>1</v>
      </c>
      <c r="N398" s="2">
        <f>IF(LeadsData[[#This Row],[Stage Number]]&gt;=3,1,0)</f>
        <v>1</v>
      </c>
      <c r="O398" s="2">
        <f>IF(LeadsData[[#This Row],[Stage Number]]&gt;=4,1,0)</f>
        <v>0</v>
      </c>
    </row>
    <row r="399" spans="1:15" x14ac:dyDescent="0.25">
      <c r="A399" t="s">
        <v>439</v>
      </c>
      <c r="B399" s="1">
        <v>45396</v>
      </c>
      <c r="C399" t="s">
        <v>36</v>
      </c>
      <c r="D399" t="s">
        <v>50</v>
      </c>
      <c r="E399" t="s">
        <v>21</v>
      </c>
      <c r="F399" t="s">
        <v>19</v>
      </c>
      <c r="G399" t="s">
        <v>15</v>
      </c>
      <c r="K399" cm="1">
        <f t="array" ref="K399">_xlfn.SWITCH(LeadsData[[#This Row],[Funnel Stage Reached]],"Lead",1,"MQL",2,"SQL",3,"Customer",4)</f>
        <v>1</v>
      </c>
      <c r="L399" t="str">
        <f>TEXT(LeadsData[[#This Row],[Signup Date]],"mmm-yyyy")</f>
        <v>Apr-2024</v>
      </c>
      <c r="M399">
        <f>IF(LeadsData[[#This Row],[Stage Number]]&gt;=2,1,0)</f>
        <v>0</v>
      </c>
      <c r="N399" s="2">
        <f>IF(LeadsData[[#This Row],[Stage Number]]&gt;=3,1,0)</f>
        <v>0</v>
      </c>
      <c r="O399" s="2">
        <f>IF(LeadsData[[#This Row],[Stage Number]]&gt;=4,1,0)</f>
        <v>0</v>
      </c>
    </row>
    <row r="400" spans="1:15" x14ac:dyDescent="0.25">
      <c r="A400" t="s">
        <v>440</v>
      </c>
      <c r="B400" s="1">
        <v>45614</v>
      </c>
      <c r="C400" t="s">
        <v>11</v>
      </c>
      <c r="D400" t="s">
        <v>79</v>
      </c>
      <c r="E400" t="s">
        <v>21</v>
      </c>
      <c r="F400" t="s">
        <v>19</v>
      </c>
      <c r="G400" t="s">
        <v>15</v>
      </c>
      <c r="K400" cm="1">
        <f t="array" ref="K400">_xlfn.SWITCH(LeadsData[[#This Row],[Funnel Stage Reached]],"Lead",1,"MQL",2,"SQL",3,"Customer",4)</f>
        <v>1</v>
      </c>
      <c r="L400" t="str">
        <f>TEXT(LeadsData[[#This Row],[Signup Date]],"mmm-yyyy")</f>
        <v>Nov-2024</v>
      </c>
      <c r="M400">
        <f>IF(LeadsData[[#This Row],[Stage Number]]&gt;=2,1,0)</f>
        <v>0</v>
      </c>
      <c r="N400" s="2">
        <f>IF(LeadsData[[#This Row],[Stage Number]]&gt;=3,1,0)</f>
        <v>0</v>
      </c>
      <c r="O400" s="2">
        <f>IF(LeadsData[[#This Row],[Stage Number]]&gt;=4,1,0)</f>
        <v>0</v>
      </c>
    </row>
    <row r="401" spans="1:15" x14ac:dyDescent="0.25">
      <c r="A401" t="s">
        <v>441</v>
      </c>
      <c r="B401" s="1">
        <v>45628</v>
      </c>
      <c r="C401" t="s">
        <v>17</v>
      </c>
      <c r="D401" t="s">
        <v>53</v>
      </c>
      <c r="E401" t="s">
        <v>21</v>
      </c>
      <c r="F401" t="s">
        <v>22</v>
      </c>
      <c r="G401" t="s">
        <v>15</v>
      </c>
      <c r="K401" cm="1">
        <f t="array" ref="K401">_xlfn.SWITCH(LeadsData[[#This Row],[Funnel Stage Reached]],"Lead",1,"MQL",2,"SQL",3,"Customer",4)</f>
        <v>1</v>
      </c>
      <c r="L401" t="str">
        <f>TEXT(LeadsData[[#This Row],[Signup Date]],"mmm-yyyy")</f>
        <v>Dec-2024</v>
      </c>
      <c r="M401">
        <f>IF(LeadsData[[#This Row],[Stage Number]]&gt;=2,1,0)</f>
        <v>0</v>
      </c>
      <c r="N401" s="2">
        <f>IF(LeadsData[[#This Row],[Stage Number]]&gt;=3,1,0)</f>
        <v>0</v>
      </c>
      <c r="O401" s="2">
        <f>IF(LeadsData[[#This Row],[Stage Number]]&gt;=4,1,0)</f>
        <v>0</v>
      </c>
    </row>
    <row r="402" spans="1:15" x14ac:dyDescent="0.25">
      <c r="A402" t="s">
        <v>442</v>
      </c>
      <c r="B402" s="1">
        <v>45580</v>
      </c>
      <c r="C402" t="s">
        <v>31</v>
      </c>
      <c r="D402" t="s">
        <v>34</v>
      </c>
      <c r="E402" t="s">
        <v>13</v>
      </c>
      <c r="F402" t="s">
        <v>22</v>
      </c>
      <c r="G402" t="s">
        <v>15</v>
      </c>
      <c r="K402" cm="1">
        <f t="array" ref="K402">_xlfn.SWITCH(LeadsData[[#This Row],[Funnel Stage Reached]],"Lead",1,"MQL",2,"SQL",3,"Customer",4)</f>
        <v>1</v>
      </c>
      <c r="L402" t="str">
        <f>TEXT(LeadsData[[#This Row],[Signup Date]],"mmm-yyyy")</f>
        <v>Oct-2024</v>
      </c>
      <c r="M402">
        <f>IF(LeadsData[[#This Row],[Stage Number]]&gt;=2,1,0)</f>
        <v>0</v>
      </c>
      <c r="N402" s="2">
        <f>IF(LeadsData[[#This Row],[Stage Number]]&gt;=3,1,0)</f>
        <v>0</v>
      </c>
      <c r="O402" s="2">
        <f>IF(LeadsData[[#This Row],[Stage Number]]&gt;=4,1,0)</f>
        <v>0</v>
      </c>
    </row>
    <row r="403" spans="1:15" x14ac:dyDescent="0.25">
      <c r="A403" t="s">
        <v>443</v>
      </c>
      <c r="B403" s="1">
        <v>45474</v>
      </c>
      <c r="C403" t="s">
        <v>31</v>
      </c>
      <c r="D403" t="s">
        <v>34</v>
      </c>
      <c r="E403" t="s">
        <v>13</v>
      </c>
      <c r="F403" t="s">
        <v>22</v>
      </c>
      <c r="G403" t="s">
        <v>23</v>
      </c>
      <c r="K403" cm="1">
        <f t="array" ref="K403">_xlfn.SWITCH(LeadsData[[#This Row],[Funnel Stage Reached]],"Lead",1,"MQL",2,"SQL",3,"Customer",4)</f>
        <v>2</v>
      </c>
      <c r="L403" t="str">
        <f>TEXT(LeadsData[[#This Row],[Signup Date]],"mmm-yyyy")</f>
        <v>Jul-2024</v>
      </c>
      <c r="M403">
        <f>IF(LeadsData[[#This Row],[Stage Number]]&gt;=2,1,0)</f>
        <v>1</v>
      </c>
      <c r="N403" s="2">
        <f>IF(LeadsData[[#This Row],[Stage Number]]&gt;=3,1,0)</f>
        <v>0</v>
      </c>
      <c r="O403" s="2">
        <f>IF(LeadsData[[#This Row],[Stage Number]]&gt;=4,1,0)</f>
        <v>0</v>
      </c>
    </row>
    <row r="404" spans="1:15" x14ac:dyDescent="0.25">
      <c r="A404" t="s">
        <v>444</v>
      </c>
      <c r="B404" s="1">
        <v>45563</v>
      </c>
      <c r="C404" t="s">
        <v>46</v>
      </c>
      <c r="D404" t="s">
        <v>47</v>
      </c>
      <c r="E404" t="s">
        <v>13</v>
      </c>
      <c r="F404" t="s">
        <v>19</v>
      </c>
      <c r="G404" t="s">
        <v>42</v>
      </c>
      <c r="H404">
        <v>12</v>
      </c>
      <c r="I404" t="s">
        <v>87</v>
      </c>
      <c r="J404">
        <v>1898.55</v>
      </c>
      <c r="K404" cm="1">
        <f t="array" ref="K404">_xlfn.SWITCH(LeadsData[[#This Row],[Funnel Stage Reached]],"Lead",1,"MQL",2,"SQL",3,"Customer",4)</f>
        <v>4</v>
      </c>
      <c r="L404" t="str">
        <f>TEXT(LeadsData[[#This Row],[Signup Date]],"mmm-yyyy")</f>
        <v>Sep-2024</v>
      </c>
      <c r="M404">
        <f>IF(LeadsData[[#This Row],[Stage Number]]&gt;=2,1,0)</f>
        <v>1</v>
      </c>
      <c r="N404" s="2">
        <f>IF(LeadsData[[#This Row],[Stage Number]]&gt;=3,1,0)</f>
        <v>1</v>
      </c>
      <c r="O404" s="2">
        <f>IF(LeadsData[[#This Row],[Stage Number]]&gt;=4,1,0)</f>
        <v>1</v>
      </c>
    </row>
    <row r="405" spans="1:15" x14ac:dyDescent="0.25">
      <c r="A405" t="s">
        <v>445</v>
      </c>
      <c r="B405" s="1">
        <v>45492</v>
      </c>
      <c r="C405" t="s">
        <v>31</v>
      </c>
      <c r="D405" t="s">
        <v>34</v>
      </c>
      <c r="E405" t="s">
        <v>21</v>
      </c>
      <c r="F405" t="s">
        <v>19</v>
      </c>
      <c r="G405" t="s">
        <v>42</v>
      </c>
      <c r="H405">
        <v>59</v>
      </c>
      <c r="I405" t="s">
        <v>87</v>
      </c>
      <c r="J405">
        <v>2992.98</v>
      </c>
      <c r="K405" cm="1">
        <f t="array" ref="K405">_xlfn.SWITCH(LeadsData[[#This Row],[Funnel Stage Reached]],"Lead",1,"MQL",2,"SQL",3,"Customer",4)</f>
        <v>4</v>
      </c>
      <c r="L405" t="str">
        <f>TEXT(LeadsData[[#This Row],[Signup Date]],"mmm-yyyy")</f>
        <v>Jul-2024</v>
      </c>
      <c r="M405">
        <f>IF(LeadsData[[#This Row],[Stage Number]]&gt;=2,1,0)</f>
        <v>1</v>
      </c>
      <c r="N405" s="2">
        <f>IF(LeadsData[[#This Row],[Stage Number]]&gt;=3,1,0)</f>
        <v>1</v>
      </c>
      <c r="O405" s="2">
        <f>IF(LeadsData[[#This Row],[Stage Number]]&gt;=4,1,0)</f>
        <v>1</v>
      </c>
    </row>
    <row r="406" spans="1:15" x14ac:dyDescent="0.25">
      <c r="A406" t="s">
        <v>446</v>
      </c>
      <c r="B406" s="1">
        <v>45455</v>
      </c>
      <c r="C406" t="s">
        <v>25</v>
      </c>
      <c r="D406" t="s">
        <v>26</v>
      </c>
      <c r="E406" t="s">
        <v>21</v>
      </c>
      <c r="F406" t="s">
        <v>19</v>
      </c>
      <c r="G406" t="s">
        <v>15</v>
      </c>
      <c r="K406" cm="1">
        <f t="array" ref="K406">_xlfn.SWITCH(LeadsData[[#This Row],[Funnel Stage Reached]],"Lead",1,"MQL",2,"SQL",3,"Customer",4)</f>
        <v>1</v>
      </c>
      <c r="L406" t="str">
        <f>TEXT(LeadsData[[#This Row],[Signup Date]],"mmm-yyyy")</f>
        <v>Jun-2024</v>
      </c>
      <c r="M406">
        <f>IF(LeadsData[[#This Row],[Stage Number]]&gt;=2,1,0)</f>
        <v>0</v>
      </c>
      <c r="N406" s="2">
        <f>IF(LeadsData[[#This Row],[Stage Number]]&gt;=3,1,0)</f>
        <v>0</v>
      </c>
      <c r="O406" s="2">
        <f>IF(LeadsData[[#This Row],[Stage Number]]&gt;=4,1,0)</f>
        <v>0</v>
      </c>
    </row>
    <row r="407" spans="1:15" x14ac:dyDescent="0.25">
      <c r="A407" t="s">
        <v>447</v>
      </c>
      <c r="B407" s="1">
        <v>45568</v>
      </c>
      <c r="C407" t="s">
        <v>36</v>
      </c>
      <c r="D407" t="s">
        <v>50</v>
      </c>
      <c r="E407" t="s">
        <v>21</v>
      </c>
      <c r="F407" t="s">
        <v>22</v>
      </c>
      <c r="G407" t="s">
        <v>15</v>
      </c>
      <c r="K407" cm="1">
        <f t="array" ref="K407">_xlfn.SWITCH(LeadsData[[#This Row],[Funnel Stage Reached]],"Lead",1,"MQL",2,"SQL",3,"Customer",4)</f>
        <v>1</v>
      </c>
      <c r="L407" t="str">
        <f>TEXT(LeadsData[[#This Row],[Signup Date]],"mmm-yyyy")</f>
        <v>Oct-2024</v>
      </c>
      <c r="M407">
        <f>IF(LeadsData[[#This Row],[Stage Number]]&gt;=2,1,0)</f>
        <v>0</v>
      </c>
      <c r="N407" s="2">
        <f>IF(LeadsData[[#This Row],[Stage Number]]&gt;=3,1,0)</f>
        <v>0</v>
      </c>
      <c r="O407" s="2">
        <f>IF(LeadsData[[#This Row],[Stage Number]]&gt;=4,1,0)</f>
        <v>0</v>
      </c>
    </row>
    <row r="408" spans="1:15" x14ac:dyDescent="0.25">
      <c r="A408" t="s">
        <v>448</v>
      </c>
      <c r="B408" s="1">
        <v>45568</v>
      </c>
      <c r="C408" t="s">
        <v>25</v>
      </c>
      <c r="D408" t="s">
        <v>26</v>
      </c>
      <c r="E408" t="s">
        <v>13</v>
      </c>
      <c r="F408" t="s">
        <v>14</v>
      </c>
      <c r="G408" t="s">
        <v>23</v>
      </c>
      <c r="K408" cm="1">
        <f t="array" ref="K408">_xlfn.SWITCH(LeadsData[[#This Row],[Funnel Stage Reached]],"Lead",1,"MQL",2,"SQL",3,"Customer",4)</f>
        <v>2</v>
      </c>
      <c r="L408" t="str">
        <f>TEXT(LeadsData[[#This Row],[Signup Date]],"mmm-yyyy")</f>
        <v>Oct-2024</v>
      </c>
      <c r="M408">
        <f>IF(LeadsData[[#This Row],[Stage Number]]&gt;=2,1,0)</f>
        <v>1</v>
      </c>
      <c r="N408" s="2">
        <f>IF(LeadsData[[#This Row],[Stage Number]]&gt;=3,1,0)</f>
        <v>0</v>
      </c>
      <c r="O408" s="2">
        <f>IF(LeadsData[[#This Row],[Stage Number]]&gt;=4,1,0)</f>
        <v>0</v>
      </c>
    </row>
    <row r="409" spans="1:15" x14ac:dyDescent="0.25">
      <c r="A409" t="s">
        <v>449</v>
      </c>
      <c r="B409" s="1">
        <v>45634</v>
      </c>
      <c r="C409" t="s">
        <v>25</v>
      </c>
      <c r="D409" t="s">
        <v>26</v>
      </c>
      <c r="E409" t="s">
        <v>21</v>
      </c>
      <c r="F409" t="s">
        <v>22</v>
      </c>
      <c r="G409" t="s">
        <v>23</v>
      </c>
      <c r="K409" cm="1">
        <f t="array" ref="K409">_xlfn.SWITCH(LeadsData[[#This Row],[Funnel Stage Reached]],"Lead",1,"MQL",2,"SQL",3,"Customer",4)</f>
        <v>2</v>
      </c>
      <c r="L409" t="str">
        <f>TEXT(LeadsData[[#This Row],[Signup Date]],"mmm-yyyy")</f>
        <v>Dec-2024</v>
      </c>
      <c r="M409">
        <f>IF(LeadsData[[#This Row],[Stage Number]]&gt;=2,1,0)</f>
        <v>1</v>
      </c>
      <c r="N409" s="2">
        <f>IF(LeadsData[[#This Row],[Stage Number]]&gt;=3,1,0)</f>
        <v>0</v>
      </c>
      <c r="O409" s="2">
        <f>IF(LeadsData[[#This Row],[Stage Number]]&gt;=4,1,0)</f>
        <v>0</v>
      </c>
    </row>
    <row r="410" spans="1:15" x14ac:dyDescent="0.25">
      <c r="A410" t="s">
        <v>450</v>
      </c>
      <c r="B410" s="1">
        <v>45409</v>
      </c>
      <c r="C410" t="s">
        <v>31</v>
      </c>
      <c r="D410" t="s">
        <v>32</v>
      </c>
      <c r="E410" t="s">
        <v>48</v>
      </c>
      <c r="F410" t="s">
        <v>14</v>
      </c>
      <c r="G410" t="s">
        <v>23</v>
      </c>
      <c r="K410" cm="1">
        <f t="array" ref="K410">_xlfn.SWITCH(LeadsData[[#This Row],[Funnel Stage Reached]],"Lead",1,"MQL",2,"SQL",3,"Customer",4)</f>
        <v>2</v>
      </c>
      <c r="L410" t="str">
        <f>TEXT(LeadsData[[#This Row],[Signup Date]],"mmm-yyyy")</f>
        <v>Apr-2024</v>
      </c>
      <c r="M410">
        <f>IF(LeadsData[[#This Row],[Stage Number]]&gt;=2,1,0)</f>
        <v>1</v>
      </c>
      <c r="N410" s="2">
        <f>IF(LeadsData[[#This Row],[Stage Number]]&gt;=3,1,0)</f>
        <v>0</v>
      </c>
      <c r="O410" s="2">
        <f>IF(LeadsData[[#This Row],[Stage Number]]&gt;=4,1,0)</f>
        <v>0</v>
      </c>
    </row>
    <row r="411" spans="1:15" x14ac:dyDescent="0.25">
      <c r="A411" t="s">
        <v>451</v>
      </c>
      <c r="B411" s="1">
        <v>45367</v>
      </c>
      <c r="C411" t="s">
        <v>31</v>
      </c>
      <c r="D411" t="s">
        <v>34</v>
      </c>
      <c r="E411" t="s">
        <v>21</v>
      </c>
      <c r="F411" t="s">
        <v>28</v>
      </c>
      <c r="G411" t="s">
        <v>23</v>
      </c>
      <c r="K411" cm="1">
        <f t="array" ref="K411">_xlfn.SWITCH(LeadsData[[#This Row],[Funnel Stage Reached]],"Lead",1,"MQL",2,"SQL",3,"Customer",4)</f>
        <v>2</v>
      </c>
      <c r="L411" t="str">
        <f>TEXT(LeadsData[[#This Row],[Signup Date]],"mmm-yyyy")</f>
        <v>Mar-2024</v>
      </c>
      <c r="M411">
        <f>IF(LeadsData[[#This Row],[Stage Number]]&gt;=2,1,0)</f>
        <v>1</v>
      </c>
      <c r="N411" s="2">
        <f>IF(LeadsData[[#This Row],[Stage Number]]&gt;=3,1,0)</f>
        <v>0</v>
      </c>
      <c r="O411" s="2">
        <f>IF(LeadsData[[#This Row],[Stage Number]]&gt;=4,1,0)</f>
        <v>0</v>
      </c>
    </row>
    <row r="412" spans="1:15" x14ac:dyDescent="0.25">
      <c r="A412" t="s">
        <v>452</v>
      </c>
      <c r="B412" s="1">
        <v>45453</v>
      </c>
      <c r="C412" t="s">
        <v>36</v>
      </c>
      <c r="D412" t="s">
        <v>50</v>
      </c>
      <c r="E412" t="s">
        <v>21</v>
      </c>
      <c r="F412" t="s">
        <v>14</v>
      </c>
      <c r="G412" t="s">
        <v>15</v>
      </c>
      <c r="K412" cm="1">
        <f t="array" ref="K412">_xlfn.SWITCH(LeadsData[[#This Row],[Funnel Stage Reached]],"Lead",1,"MQL",2,"SQL",3,"Customer",4)</f>
        <v>1</v>
      </c>
      <c r="L412" t="str">
        <f>TEXT(LeadsData[[#This Row],[Signup Date]],"mmm-yyyy")</f>
        <v>Jun-2024</v>
      </c>
      <c r="M412">
        <f>IF(LeadsData[[#This Row],[Stage Number]]&gt;=2,1,0)</f>
        <v>0</v>
      </c>
      <c r="N412" s="2">
        <f>IF(LeadsData[[#This Row],[Stage Number]]&gt;=3,1,0)</f>
        <v>0</v>
      </c>
      <c r="O412" s="2">
        <f>IF(LeadsData[[#This Row],[Stage Number]]&gt;=4,1,0)</f>
        <v>0</v>
      </c>
    </row>
    <row r="413" spans="1:15" x14ac:dyDescent="0.25">
      <c r="A413" t="s">
        <v>453</v>
      </c>
      <c r="B413" s="1">
        <v>45640</v>
      </c>
      <c r="C413" t="s">
        <v>46</v>
      </c>
      <c r="D413" t="s">
        <v>47</v>
      </c>
      <c r="E413" t="s">
        <v>48</v>
      </c>
      <c r="F413" t="s">
        <v>19</v>
      </c>
      <c r="G413" t="s">
        <v>15</v>
      </c>
      <c r="K413" cm="1">
        <f t="array" ref="K413">_xlfn.SWITCH(LeadsData[[#This Row],[Funnel Stage Reached]],"Lead",1,"MQL",2,"SQL",3,"Customer",4)</f>
        <v>1</v>
      </c>
      <c r="L413" t="str">
        <f>TEXT(LeadsData[[#This Row],[Signup Date]],"mmm-yyyy")</f>
        <v>Dec-2024</v>
      </c>
      <c r="M413">
        <f>IF(LeadsData[[#This Row],[Stage Number]]&gt;=2,1,0)</f>
        <v>0</v>
      </c>
      <c r="N413" s="2">
        <f>IF(LeadsData[[#This Row],[Stage Number]]&gt;=3,1,0)</f>
        <v>0</v>
      </c>
      <c r="O413" s="2">
        <f>IF(LeadsData[[#This Row],[Stage Number]]&gt;=4,1,0)</f>
        <v>0</v>
      </c>
    </row>
    <row r="414" spans="1:15" x14ac:dyDescent="0.25">
      <c r="A414" t="s">
        <v>454</v>
      </c>
      <c r="B414" s="1">
        <v>45410</v>
      </c>
      <c r="C414" t="s">
        <v>17</v>
      </c>
      <c r="D414" t="s">
        <v>18</v>
      </c>
      <c r="E414" t="s">
        <v>13</v>
      </c>
      <c r="F414" t="s">
        <v>19</v>
      </c>
      <c r="G414" t="s">
        <v>15</v>
      </c>
      <c r="K414" cm="1">
        <f t="array" ref="K414">_xlfn.SWITCH(LeadsData[[#This Row],[Funnel Stage Reached]],"Lead",1,"MQL",2,"SQL",3,"Customer",4)</f>
        <v>1</v>
      </c>
      <c r="L414" t="str">
        <f>TEXT(LeadsData[[#This Row],[Signup Date]],"mmm-yyyy")</f>
        <v>Apr-2024</v>
      </c>
      <c r="M414">
        <f>IF(LeadsData[[#This Row],[Stage Number]]&gt;=2,1,0)</f>
        <v>0</v>
      </c>
      <c r="N414" s="2">
        <f>IF(LeadsData[[#This Row],[Stage Number]]&gt;=3,1,0)</f>
        <v>0</v>
      </c>
      <c r="O414" s="2">
        <f>IF(LeadsData[[#This Row],[Stage Number]]&gt;=4,1,0)</f>
        <v>0</v>
      </c>
    </row>
    <row r="415" spans="1:15" x14ac:dyDescent="0.25">
      <c r="A415" t="s">
        <v>455</v>
      </c>
      <c r="B415" s="1">
        <v>45366</v>
      </c>
      <c r="C415" t="s">
        <v>36</v>
      </c>
      <c r="D415" t="s">
        <v>50</v>
      </c>
      <c r="E415" t="s">
        <v>13</v>
      </c>
      <c r="F415" t="s">
        <v>14</v>
      </c>
      <c r="G415" t="s">
        <v>15</v>
      </c>
      <c r="K415" cm="1">
        <f t="array" ref="K415">_xlfn.SWITCH(LeadsData[[#This Row],[Funnel Stage Reached]],"Lead",1,"MQL",2,"SQL",3,"Customer",4)</f>
        <v>1</v>
      </c>
      <c r="L415" t="str">
        <f>TEXT(LeadsData[[#This Row],[Signup Date]],"mmm-yyyy")</f>
        <v>Mar-2024</v>
      </c>
      <c r="M415">
        <f>IF(LeadsData[[#This Row],[Stage Number]]&gt;=2,1,0)</f>
        <v>0</v>
      </c>
      <c r="N415" s="2">
        <f>IF(LeadsData[[#This Row],[Stage Number]]&gt;=3,1,0)</f>
        <v>0</v>
      </c>
      <c r="O415" s="2">
        <f>IF(LeadsData[[#This Row],[Stage Number]]&gt;=4,1,0)</f>
        <v>0</v>
      </c>
    </row>
    <row r="416" spans="1:15" x14ac:dyDescent="0.25">
      <c r="A416" t="s">
        <v>456</v>
      </c>
      <c r="B416" s="1">
        <v>45471</v>
      </c>
      <c r="C416" t="s">
        <v>31</v>
      </c>
      <c r="D416" t="s">
        <v>34</v>
      </c>
      <c r="E416" t="s">
        <v>13</v>
      </c>
      <c r="F416" t="s">
        <v>28</v>
      </c>
      <c r="G416" t="s">
        <v>23</v>
      </c>
      <c r="K416" cm="1">
        <f t="array" ref="K416">_xlfn.SWITCH(LeadsData[[#This Row],[Funnel Stage Reached]],"Lead",1,"MQL",2,"SQL",3,"Customer",4)</f>
        <v>2</v>
      </c>
      <c r="L416" t="str">
        <f>TEXT(LeadsData[[#This Row],[Signup Date]],"mmm-yyyy")</f>
        <v>Jun-2024</v>
      </c>
      <c r="M416">
        <f>IF(LeadsData[[#This Row],[Stage Number]]&gt;=2,1,0)</f>
        <v>1</v>
      </c>
      <c r="N416" s="2">
        <f>IF(LeadsData[[#This Row],[Stage Number]]&gt;=3,1,0)</f>
        <v>0</v>
      </c>
      <c r="O416" s="2">
        <f>IF(LeadsData[[#This Row],[Stage Number]]&gt;=4,1,0)</f>
        <v>0</v>
      </c>
    </row>
    <row r="417" spans="1:15" x14ac:dyDescent="0.25">
      <c r="A417" t="s">
        <v>457</v>
      </c>
      <c r="B417" s="1">
        <v>45470</v>
      </c>
      <c r="C417" t="s">
        <v>31</v>
      </c>
      <c r="D417" t="s">
        <v>32</v>
      </c>
      <c r="E417" t="s">
        <v>21</v>
      </c>
      <c r="F417" t="s">
        <v>14</v>
      </c>
      <c r="G417" t="s">
        <v>42</v>
      </c>
      <c r="H417">
        <v>11</v>
      </c>
      <c r="I417" t="s">
        <v>43</v>
      </c>
      <c r="J417">
        <v>1133.42</v>
      </c>
      <c r="K417" cm="1">
        <f t="array" ref="K417">_xlfn.SWITCH(LeadsData[[#This Row],[Funnel Stage Reached]],"Lead",1,"MQL",2,"SQL",3,"Customer",4)</f>
        <v>4</v>
      </c>
      <c r="L417" t="str">
        <f>TEXT(LeadsData[[#This Row],[Signup Date]],"mmm-yyyy")</f>
        <v>Jun-2024</v>
      </c>
      <c r="M417">
        <f>IF(LeadsData[[#This Row],[Stage Number]]&gt;=2,1,0)</f>
        <v>1</v>
      </c>
      <c r="N417" s="2">
        <f>IF(LeadsData[[#This Row],[Stage Number]]&gt;=3,1,0)</f>
        <v>1</v>
      </c>
      <c r="O417" s="2">
        <f>IF(LeadsData[[#This Row],[Stage Number]]&gt;=4,1,0)</f>
        <v>1</v>
      </c>
    </row>
    <row r="418" spans="1:15" x14ac:dyDescent="0.25">
      <c r="A418" t="s">
        <v>458</v>
      </c>
      <c r="B418" s="1">
        <v>45300</v>
      </c>
      <c r="C418" t="s">
        <v>36</v>
      </c>
      <c r="D418" t="s">
        <v>37</v>
      </c>
      <c r="E418" t="s">
        <v>13</v>
      </c>
      <c r="F418" t="s">
        <v>14</v>
      </c>
      <c r="G418" t="s">
        <v>23</v>
      </c>
      <c r="K418" cm="1">
        <f t="array" ref="K418">_xlfn.SWITCH(LeadsData[[#This Row],[Funnel Stage Reached]],"Lead",1,"MQL",2,"SQL",3,"Customer",4)</f>
        <v>2</v>
      </c>
      <c r="L418" t="str">
        <f>TEXT(LeadsData[[#This Row],[Signup Date]],"mmm-yyyy")</f>
        <v>Jan-2024</v>
      </c>
      <c r="M418">
        <f>IF(LeadsData[[#This Row],[Stage Number]]&gt;=2,1,0)</f>
        <v>1</v>
      </c>
      <c r="N418" s="2">
        <f>IF(LeadsData[[#This Row],[Stage Number]]&gt;=3,1,0)</f>
        <v>0</v>
      </c>
      <c r="O418" s="2">
        <f>IF(LeadsData[[#This Row],[Stage Number]]&gt;=4,1,0)</f>
        <v>0</v>
      </c>
    </row>
    <row r="419" spans="1:15" x14ac:dyDescent="0.25">
      <c r="A419" t="s">
        <v>459</v>
      </c>
      <c r="B419" s="1">
        <v>45652</v>
      </c>
      <c r="C419" t="s">
        <v>36</v>
      </c>
      <c r="D419" t="s">
        <v>50</v>
      </c>
      <c r="E419" t="s">
        <v>13</v>
      </c>
      <c r="F419" t="s">
        <v>19</v>
      </c>
      <c r="G419" t="s">
        <v>29</v>
      </c>
      <c r="K419" cm="1">
        <f t="array" ref="K419">_xlfn.SWITCH(LeadsData[[#This Row],[Funnel Stage Reached]],"Lead",1,"MQL",2,"SQL",3,"Customer",4)</f>
        <v>3</v>
      </c>
      <c r="L419" t="str">
        <f>TEXT(LeadsData[[#This Row],[Signup Date]],"mmm-yyyy")</f>
        <v>Dec-2024</v>
      </c>
      <c r="M419">
        <f>IF(LeadsData[[#This Row],[Stage Number]]&gt;=2,1,0)</f>
        <v>1</v>
      </c>
      <c r="N419" s="2">
        <f>IF(LeadsData[[#This Row],[Stage Number]]&gt;=3,1,0)</f>
        <v>1</v>
      </c>
      <c r="O419" s="2">
        <f>IF(LeadsData[[#This Row],[Stage Number]]&gt;=4,1,0)</f>
        <v>0</v>
      </c>
    </row>
    <row r="420" spans="1:15" x14ac:dyDescent="0.25">
      <c r="A420" t="s">
        <v>460</v>
      </c>
      <c r="B420" s="1">
        <v>45644</v>
      </c>
      <c r="C420" t="s">
        <v>11</v>
      </c>
      <c r="D420" t="s">
        <v>12</v>
      </c>
      <c r="E420" t="s">
        <v>21</v>
      </c>
      <c r="F420" t="s">
        <v>19</v>
      </c>
      <c r="G420" t="s">
        <v>15</v>
      </c>
      <c r="K420" cm="1">
        <f t="array" ref="K420">_xlfn.SWITCH(LeadsData[[#This Row],[Funnel Stage Reached]],"Lead",1,"MQL",2,"SQL",3,"Customer",4)</f>
        <v>1</v>
      </c>
      <c r="L420" t="str">
        <f>TEXT(LeadsData[[#This Row],[Signup Date]],"mmm-yyyy")</f>
        <v>Dec-2024</v>
      </c>
      <c r="M420">
        <f>IF(LeadsData[[#This Row],[Stage Number]]&gt;=2,1,0)</f>
        <v>0</v>
      </c>
      <c r="N420" s="2">
        <f>IF(LeadsData[[#This Row],[Stage Number]]&gt;=3,1,0)</f>
        <v>0</v>
      </c>
      <c r="O420" s="2">
        <f>IF(LeadsData[[#This Row],[Stage Number]]&gt;=4,1,0)</f>
        <v>0</v>
      </c>
    </row>
    <row r="421" spans="1:15" x14ac:dyDescent="0.25">
      <c r="A421" t="s">
        <v>461</v>
      </c>
      <c r="B421" s="1">
        <v>45633</v>
      </c>
      <c r="C421" t="s">
        <v>31</v>
      </c>
      <c r="D421" t="s">
        <v>34</v>
      </c>
      <c r="E421" t="s">
        <v>21</v>
      </c>
      <c r="F421" t="s">
        <v>19</v>
      </c>
      <c r="G421" t="s">
        <v>15</v>
      </c>
      <c r="K421" cm="1">
        <f t="array" ref="K421">_xlfn.SWITCH(LeadsData[[#This Row],[Funnel Stage Reached]],"Lead",1,"MQL",2,"SQL",3,"Customer",4)</f>
        <v>1</v>
      </c>
      <c r="L421" t="str">
        <f>TEXT(LeadsData[[#This Row],[Signup Date]],"mmm-yyyy")</f>
        <v>Dec-2024</v>
      </c>
      <c r="M421">
        <f>IF(LeadsData[[#This Row],[Stage Number]]&gt;=2,1,0)</f>
        <v>0</v>
      </c>
      <c r="N421" s="2">
        <f>IF(LeadsData[[#This Row],[Stage Number]]&gt;=3,1,0)</f>
        <v>0</v>
      </c>
      <c r="O421" s="2">
        <f>IF(LeadsData[[#This Row],[Stage Number]]&gt;=4,1,0)</f>
        <v>0</v>
      </c>
    </row>
    <row r="422" spans="1:15" x14ac:dyDescent="0.25">
      <c r="A422" t="s">
        <v>462</v>
      </c>
      <c r="B422" s="1">
        <v>45345</v>
      </c>
      <c r="C422" t="s">
        <v>31</v>
      </c>
      <c r="D422" t="s">
        <v>34</v>
      </c>
      <c r="E422" t="s">
        <v>13</v>
      </c>
      <c r="F422" t="s">
        <v>19</v>
      </c>
      <c r="G422" t="s">
        <v>23</v>
      </c>
      <c r="K422" cm="1">
        <f t="array" ref="K422">_xlfn.SWITCH(LeadsData[[#This Row],[Funnel Stage Reached]],"Lead",1,"MQL",2,"SQL",3,"Customer",4)</f>
        <v>2</v>
      </c>
      <c r="L422" t="str">
        <f>TEXT(LeadsData[[#This Row],[Signup Date]],"mmm-yyyy")</f>
        <v>Feb-2024</v>
      </c>
      <c r="M422">
        <f>IF(LeadsData[[#This Row],[Stage Number]]&gt;=2,1,0)</f>
        <v>1</v>
      </c>
      <c r="N422" s="2">
        <f>IF(LeadsData[[#This Row],[Stage Number]]&gt;=3,1,0)</f>
        <v>0</v>
      </c>
      <c r="O422" s="2">
        <f>IF(LeadsData[[#This Row],[Stage Number]]&gt;=4,1,0)</f>
        <v>0</v>
      </c>
    </row>
    <row r="423" spans="1:15" x14ac:dyDescent="0.25">
      <c r="A423" t="s">
        <v>463</v>
      </c>
      <c r="B423" s="1">
        <v>45567</v>
      </c>
      <c r="C423" t="s">
        <v>46</v>
      </c>
      <c r="D423" t="s">
        <v>47</v>
      </c>
      <c r="E423" t="s">
        <v>13</v>
      </c>
      <c r="F423" t="s">
        <v>19</v>
      </c>
      <c r="G423" t="s">
        <v>15</v>
      </c>
      <c r="K423" cm="1">
        <f t="array" ref="K423">_xlfn.SWITCH(LeadsData[[#This Row],[Funnel Stage Reached]],"Lead",1,"MQL",2,"SQL",3,"Customer",4)</f>
        <v>1</v>
      </c>
      <c r="L423" t="str">
        <f>TEXT(LeadsData[[#This Row],[Signup Date]],"mmm-yyyy")</f>
        <v>Oct-2024</v>
      </c>
      <c r="M423">
        <f>IF(LeadsData[[#This Row],[Stage Number]]&gt;=2,1,0)</f>
        <v>0</v>
      </c>
      <c r="N423" s="2">
        <f>IF(LeadsData[[#This Row],[Stage Number]]&gt;=3,1,0)</f>
        <v>0</v>
      </c>
      <c r="O423" s="2">
        <f>IF(LeadsData[[#This Row],[Stage Number]]&gt;=4,1,0)</f>
        <v>0</v>
      </c>
    </row>
    <row r="424" spans="1:15" x14ac:dyDescent="0.25">
      <c r="A424" t="s">
        <v>464</v>
      </c>
      <c r="B424" s="1">
        <v>45491</v>
      </c>
      <c r="C424" t="s">
        <v>46</v>
      </c>
      <c r="D424" t="s">
        <v>47</v>
      </c>
      <c r="E424" t="s">
        <v>13</v>
      </c>
      <c r="F424" t="s">
        <v>28</v>
      </c>
      <c r="G424" t="s">
        <v>29</v>
      </c>
      <c r="K424" cm="1">
        <f t="array" ref="K424">_xlfn.SWITCH(LeadsData[[#This Row],[Funnel Stage Reached]],"Lead",1,"MQL",2,"SQL",3,"Customer",4)</f>
        <v>3</v>
      </c>
      <c r="L424" t="str">
        <f>TEXT(LeadsData[[#This Row],[Signup Date]],"mmm-yyyy")</f>
        <v>Jul-2024</v>
      </c>
      <c r="M424">
        <f>IF(LeadsData[[#This Row],[Stage Number]]&gt;=2,1,0)</f>
        <v>1</v>
      </c>
      <c r="N424" s="2">
        <f>IF(LeadsData[[#This Row],[Stage Number]]&gt;=3,1,0)</f>
        <v>1</v>
      </c>
      <c r="O424" s="2">
        <f>IF(LeadsData[[#This Row],[Stage Number]]&gt;=4,1,0)</f>
        <v>0</v>
      </c>
    </row>
    <row r="425" spans="1:15" x14ac:dyDescent="0.25">
      <c r="A425" t="s">
        <v>465</v>
      </c>
      <c r="B425" s="1">
        <v>45560</v>
      </c>
      <c r="C425" t="s">
        <v>36</v>
      </c>
      <c r="D425" t="s">
        <v>37</v>
      </c>
      <c r="E425" t="s">
        <v>21</v>
      </c>
      <c r="F425" t="s">
        <v>14</v>
      </c>
      <c r="G425" t="s">
        <v>15</v>
      </c>
      <c r="K425" cm="1">
        <f t="array" ref="K425">_xlfn.SWITCH(LeadsData[[#This Row],[Funnel Stage Reached]],"Lead",1,"MQL",2,"SQL",3,"Customer",4)</f>
        <v>1</v>
      </c>
      <c r="L425" t="str">
        <f>TEXT(LeadsData[[#This Row],[Signup Date]],"mmm-yyyy")</f>
        <v>Sep-2024</v>
      </c>
      <c r="M425">
        <f>IF(LeadsData[[#This Row],[Stage Number]]&gt;=2,1,0)</f>
        <v>0</v>
      </c>
      <c r="N425" s="2">
        <f>IF(LeadsData[[#This Row],[Stage Number]]&gt;=3,1,0)</f>
        <v>0</v>
      </c>
      <c r="O425" s="2">
        <f>IF(LeadsData[[#This Row],[Stage Number]]&gt;=4,1,0)</f>
        <v>0</v>
      </c>
    </row>
    <row r="426" spans="1:15" x14ac:dyDescent="0.25">
      <c r="A426" t="s">
        <v>466</v>
      </c>
      <c r="B426" s="1">
        <v>45396</v>
      </c>
      <c r="C426" t="s">
        <v>17</v>
      </c>
      <c r="D426" t="s">
        <v>18</v>
      </c>
      <c r="E426" t="s">
        <v>13</v>
      </c>
      <c r="F426" t="s">
        <v>22</v>
      </c>
      <c r="G426" t="s">
        <v>15</v>
      </c>
      <c r="K426" cm="1">
        <f t="array" ref="K426">_xlfn.SWITCH(LeadsData[[#This Row],[Funnel Stage Reached]],"Lead",1,"MQL",2,"SQL",3,"Customer",4)</f>
        <v>1</v>
      </c>
      <c r="L426" t="str">
        <f>TEXT(LeadsData[[#This Row],[Signup Date]],"mmm-yyyy")</f>
        <v>Apr-2024</v>
      </c>
      <c r="M426">
        <f>IF(LeadsData[[#This Row],[Stage Number]]&gt;=2,1,0)</f>
        <v>0</v>
      </c>
      <c r="N426" s="2">
        <f>IF(LeadsData[[#This Row],[Stage Number]]&gt;=3,1,0)</f>
        <v>0</v>
      </c>
      <c r="O426" s="2">
        <f>IF(LeadsData[[#This Row],[Stage Number]]&gt;=4,1,0)</f>
        <v>0</v>
      </c>
    </row>
    <row r="427" spans="1:15" x14ac:dyDescent="0.25">
      <c r="A427" t="s">
        <v>467</v>
      </c>
      <c r="B427" s="1">
        <v>45570</v>
      </c>
      <c r="C427" t="s">
        <v>11</v>
      </c>
      <c r="D427" t="s">
        <v>12</v>
      </c>
      <c r="E427" t="s">
        <v>13</v>
      </c>
      <c r="F427" t="s">
        <v>19</v>
      </c>
      <c r="G427" t="s">
        <v>23</v>
      </c>
      <c r="K427" cm="1">
        <f t="array" ref="K427">_xlfn.SWITCH(LeadsData[[#This Row],[Funnel Stage Reached]],"Lead",1,"MQL",2,"SQL",3,"Customer",4)</f>
        <v>2</v>
      </c>
      <c r="L427" t="str">
        <f>TEXT(LeadsData[[#This Row],[Signup Date]],"mmm-yyyy")</f>
        <v>Oct-2024</v>
      </c>
      <c r="M427">
        <f>IF(LeadsData[[#This Row],[Stage Number]]&gt;=2,1,0)</f>
        <v>1</v>
      </c>
      <c r="N427" s="2">
        <f>IF(LeadsData[[#This Row],[Stage Number]]&gt;=3,1,0)</f>
        <v>0</v>
      </c>
      <c r="O427" s="2">
        <f>IF(LeadsData[[#This Row],[Stage Number]]&gt;=4,1,0)</f>
        <v>0</v>
      </c>
    </row>
    <row r="428" spans="1:15" x14ac:dyDescent="0.25">
      <c r="A428" t="s">
        <v>468</v>
      </c>
      <c r="B428" s="1">
        <v>45551</v>
      </c>
      <c r="C428" t="s">
        <v>46</v>
      </c>
      <c r="D428" t="s">
        <v>47</v>
      </c>
      <c r="E428" t="s">
        <v>13</v>
      </c>
      <c r="F428" t="s">
        <v>19</v>
      </c>
      <c r="G428" t="s">
        <v>15</v>
      </c>
      <c r="K428" cm="1">
        <f t="array" ref="K428">_xlfn.SWITCH(LeadsData[[#This Row],[Funnel Stage Reached]],"Lead",1,"MQL",2,"SQL",3,"Customer",4)</f>
        <v>1</v>
      </c>
      <c r="L428" t="str">
        <f>TEXT(LeadsData[[#This Row],[Signup Date]],"mmm-yyyy")</f>
        <v>Sep-2024</v>
      </c>
      <c r="M428">
        <f>IF(LeadsData[[#This Row],[Stage Number]]&gt;=2,1,0)</f>
        <v>0</v>
      </c>
      <c r="N428" s="2">
        <f>IF(LeadsData[[#This Row],[Stage Number]]&gt;=3,1,0)</f>
        <v>0</v>
      </c>
      <c r="O428" s="2">
        <f>IF(LeadsData[[#This Row],[Stage Number]]&gt;=4,1,0)</f>
        <v>0</v>
      </c>
    </row>
    <row r="429" spans="1:15" x14ac:dyDescent="0.25">
      <c r="A429" t="s">
        <v>469</v>
      </c>
      <c r="B429" s="1">
        <v>45306</v>
      </c>
      <c r="C429" t="s">
        <v>46</v>
      </c>
      <c r="D429" t="s">
        <v>47</v>
      </c>
      <c r="E429" t="s">
        <v>21</v>
      </c>
      <c r="F429" t="s">
        <v>22</v>
      </c>
      <c r="G429" t="s">
        <v>15</v>
      </c>
      <c r="K429" cm="1">
        <f t="array" ref="K429">_xlfn.SWITCH(LeadsData[[#This Row],[Funnel Stage Reached]],"Lead",1,"MQL",2,"SQL",3,"Customer",4)</f>
        <v>1</v>
      </c>
      <c r="L429" t="str">
        <f>TEXT(LeadsData[[#This Row],[Signup Date]],"mmm-yyyy")</f>
        <v>Jan-2024</v>
      </c>
      <c r="M429">
        <f>IF(LeadsData[[#This Row],[Stage Number]]&gt;=2,1,0)</f>
        <v>0</v>
      </c>
      <c r="N429" s="2">
        <f>IF(LeadsData[[#This Row],[Stage Number]]&gt;=3,1,0)</f>
        <v>0</v>
      </c>
      <c r="O429" s="2">
        <f>IF(LeadsData[[#This Row],[Stage Number]]&gt;=4,1,0)</f>
        <v>0</v>
      </c>
    </row>
    <row r="430" spans="1:15" x14ac:dyDescent="0.25">
      <c r="A430" t="s">
        <v>470</v>
      </c>
      <c r="B430" s="1">
        <v>45440</v>
      </c>
      <c r="C430" t="s">
        <v>31</v>
      </c>
      <c r="D430" t="s">
        <v>32</v>
      </c>
      <c r="E430" t="s">
        <v>13</v>
      </c>
      <c r="F430" t="s">
        <v>19</v>
      </c>
      <c r="G430" t="s">
        <v>29</v>
      </c>
      <c r="K430" cm="1">
        <f t="array" ref="K430">_xlfn.SWITCH(LeadsData[[#This Row],[Funnel Stage Reached]],"Lead",1,"MQL",2,"SQL",3,"Customer",4)</f>
        <v>3</v>
      </c>
      <c r="L430" t="str">
        <f>TEXT(LeadsData[[#This Row],[Signup Date]],"mmm-yyyy")</f>
        <v>May-2024</v>
      </c>
      <c r="M430">
        <f>IF(LeadsData[[#This Row],[Stage Number]]&gt;=2,1,0)</f>
        <v>1</v>
      </c>
      <c r="N430" s="2">
        <f>IF(LeadsData[[#This Row],[Stage Number]]&gt;=3,1,0)</f>
        <v>1</v>
      </c>
      <c r="O430" s="2">
        <f>IF(LeadsData[[#This Row],[Stage Number]]&gt;=4,1,0)</f>
        <v>0</v>
      </c>
    </row>
    <row r="431" spans="1:15" x14ac:dyDescent="0.25">
      <c r="A431" t="s">
        <v>471</v>
      </c>
      <c r="B431" s="1">
        <v>45385</v>
      </c>
      <c r="C431" t="s">
        <v>17</v>
      </c>
      <c r="D431" t="s">
        <v>18</v>
      </c>
      <c r="E431" t="s">
        <v>21</v>
      </c>
      <c r="F431" t="s">
        <v>28</v>
      </c>
      <c r="G431" t="s">
        <v>29</v>
      </c>
      <c r="K431" cm="1">
        <f t="array" ref="K431">_xlfn.SWITCH(LeadsData[[#This Row],[Funnel Stage Reached]],"Lead",1,"MQL",2,"SQL",3,"Customer",4)</f>
        <v>3</v>
      </c>
      <c r="L431" t="str">
        <f>TEXT(LeadsData[[#This Row],[Signup Date]],"mmm-yyyy")</f>
        <v>Apr-2024</v>
      </c>
      <c r="M431">
        <f>IF(LeadsData[[#This Row],[Stage Number]]&gt;=2,1,0)</f>
        <v>1</v>
      </c>
      <c r="N431" s="2">
        <f>IF(LeadsData[[#This Row],[Stage Number]]&gt;=3,1,0)</f>
        <v>1</v>
      </c>
      <c r="O431" s="2">
        <f>IF(LeadsData[[#This Row],[Stage Number]]&gt;=4,1,0)</f>
        <v>0</v>
      </c>
    </row>
    <row r="432" spans="1:15" x14ac:dyDescent="0.25">
      <c r="A432" t="s">
        <v>472</v>
      </c>
      <c r="B432" s="1">
        <v>45606</v>
      </c>
      <c r="C432" t="s">
        <v>25</v>
      </c>
      <c r="D432" t="s">
        <v>26</v>
      </c>
      <c r="E432" t="s">
        <v>13</v>
      </c>
      <c r="F432" t="s">
        <v>22</v>
      </c>
      <c r="G432" t="s">
        <v>29</v>
      </c>
      <c r="K432" cm="1">
        <f t="array" ref="K432">_xlfn.SWITCH(LeadsData[[#This Row],[Funnel Stage Reached]],"Lead",1,"MQL",2,"SQL",3,"Customer",4)</f>
        <v>3</v>
      </c>
      <c r="L432" t="str">
        <f>TEXT(LeadsData[[#This Row],[Signup Date]],"mmm-yyyy")</f>
        <v>Nov-2024</v>
      </c>
      <c r="M432">
        <f>IF(LeadsData[[#This Row],[Stage Number]]&gt;=2,1,0)</f>
        <v>1</v>
      </c>
      <c r="N432" s="2">
        <f>IF(LeadsData[[#This Row],[Stage Number]]&gt;=3,1,0)</f>
        <v>1</v>
      </c>
      <c r="O432" s="2">
        <f>IF(LeadsData[[#This Row],[Stage Number]]&gt;=4,1,0)</f>
        <v>0</v>
      </c>
    </row>
    <row r="433" spans="1:15" x14ac:dyDescent="0.25">
      <c r="A433" t="s">
        <v>473</v>
      </c>
      <c r="B433" s="1">
        <v>45499</v>
      </c>
      <c r="C433" t="s">
        <v>31</v>
      </c>
      <c r="D433" t="s">
        <v>34</v>
      </c>
      <c r="E433" t="s">
        <v>13</v>
      </c>
      <c r="F433" t="s">
        <v>19</v>
      </c>
      <c r="G433" t="s">
        <v>42</v>
      </c>
      <c r="H433">
        <v>10</v>
      </c>
      <c r="I433" t="s">
        <v>87</v>
      </c>
      <c r="J433">
        <v>3202.01</v>
      </c>
      <c r="K433" cm="1">
        <f t="array" ref="K433">_xlfn.SWITCH(LeadsData[[#This Row],[Funnel Stage Reached]],"Lead",1,"MQL",2,"SQL",3,"Customer",4)</f>
        <v>4</v>
      </c>
      <c r="L433" t="str">
        <f>TEXT(LeadsData[[#This Row],[Signup Date]],"mmm-yyyy")</f>
        <v>Jul-2024</v>
      </c>
      <c r="M433">
        <f>IF(LeadsData[[#This Row],[Stage Number]]&gt;=2,1,0)</f>
        <v>1</v>
      </c>
      <c r="N433" s="2">
        <f>IF(LeadsData[[#This Row],[Stage Number]]&gt;=3,1,0)</f>
        <v>1</v>
      </c>
      <c r="O433" s="2">
        <f>IF(LeadsData[[#This Row],[Stage Number]]&gt;=4,1,0)</f>
        <v>1</v>
      </c>
    </row>
    <row r="434" spans="1:15" x14ac:dyDescent="0.25">
      <c r="A434" t="s">
        <v>474</v>
      </c>
      <c r="B434" s="1">
        <v>45572</v>
      </c>
      <c r="C434" t="s">
        <v>31</v>
      </c>
      <c r="D434" t="s">
        <v>32</v>
      </c>
      <c r="E434" t="s">
        <v>13</v>
      </c>
      <c r="F434" t="s">
        <v>19</v>
      </c>
      <c r="G434" t="s">
        <v>15</v>
      </c>
      <c r="K434" cm="1">
        <f t="array" ref="K434">_xlfn.SWITCH(LeadsData[[#This Row],[Funnel Stage Reached]],"Lead",1,"MQL",2,"SQL",3,"Customer",4)</f>
        <v>1</v>
      </c>
      <c r="L434" t="str">
        <f>TEXT(LeadsData[[#This Row],[Signup Date]],"mmm-yyyy")</f>
        <v>Oct-2024</v>
      </c>
      <c r="M434">
        <f>IF(LeadsData[[#This Row],[Stage Number]]&gt;=2,1,0)</f>
        <v>0</v>
      </c>
      <c r="N434" s="2">
        <f>IF(LeadsData[[#This Row],[Stage Number]]&gt;=3,1,0)</f>
        <v>0</v>
      </c>
      <c r="O434" s="2">
        <f>IF(LeadsData[[#This Row],[Stage Number]]&gt;=4,1,0)</f>
        <v>0</v>
      </c>
    </row>
    <row r="435" spans="1:15" x14ac:dyDescent="0.25">
      <c r="A435" t="s">
        <v>475</v>
      </c>
      <c r="B435" s="1">
        <v>45467</v>
      </c>
      <c r="C435" t="s">
        <v>36</v>
      </c>
      <c r="D435" t="s">
        <v>50</v>
      </c>
      <c r="E435" t="s">
        <v>21</v>
      </c>
      <c r="F435" t="s">
        <v>19</v>
      </c>
      <c r="G435" t="s">
        <v>29</v>
      </c>
      <c r="K435" cm="1">
        <f t="array" ref="K435">_xlfn.SWITCH(LeadsData[[#This Row],[Funnel Stage Reached]],"Lead",1,"MQL",2,"SQL",3,"Customer",4)</f>
        <v>3</v>
      </c>
      <c r="L435" t="str">
        <f>TEXT(LeadsData[[#This Row],[Signup Date]],"mmm-yyyy")</f>
        <v>Jun-2024</v>
      </c>
      <c r="M435">
        <f>IF(LeadsData[[#This Row],[Stage Number]]&gt;=2,1,0)</f>
        <v>1</v>
      </c>
      <c r="N435" s="2">
        <f>IF(LeadsData[[#This Row],[Stage Number]]&gt;=3,1,0)</f>
        <v>1</v>
      </c>
      <c r="O435" s="2">
        <f>IF(LeadsData[[#This Row],[Stage Number]]&gt;=4,1,0)</f>
        <v>0</v>
      </c>
    </row>
    <row r="436" spans="1:15" x14ac:dyDescent="0.25">
      <c r="A436" t="s">
        <v>476</v>
      </c>
      <c r="B436" s="1">
        <v>45469</v>
      </c>
      <c r="C436" t="s">
        <v>46</v>
      </c>
      <c r="D436" t="s">
        <v>56</v>
      </c>
      <c r="E436" t="s">
        <v>13</v>
      </c>
      <c r="F436" t="s">
        <v>19</v>
      </c>
      <c r="G436" t="s">
        <v>15</v>
      </c>
      <c r="K436" cm="1">
        <f t="array" ref="K436">_xlfn.SWITCH(LeadsData[[#This Row],[Funnel Stage Reached]],"Lead",1,"MQL",2,"SQL",3,"Customer",4)</f>
        <v>1</v>
      </c>
      <c r="L436" t="str">
        <f>TEXT(LeadsData[[#This Row],[Signup Date]],"mmm-yyyy")</f>
        <v>Jun-2024</v>
      </c>
      <c r="M436">
        <f>IF(LeadsData[[#This Row],[Stage Number]]&gt;=2,1,0)</f>
        <v>0</v>
      </c>
      <c r="N436" s="2">
        <f>IF(LeadsData[[#This Row],[Stage Number]]&gt;=3,1,0)</f>
        <v>0</v>
      </c>
      <c r="O436" s="2">
        <f>IF(LeadsData[[#This Row],[Stage Number]]&gt;=4,1,0)</f>
        <v>0</v>
      </c>
    </row>
    <row r="437" spans="1:15" x14ac:dyDescent="0.25">
      <c r="A437" t="s">
        <v>477</v>
      </c>
      <c r="B437" s="1">
        <v>45621</v>
      </c>
      <c r="C437" t="s">
        <v>31</v>
      </c>
      <c r="D437" t="s">
        <v>34</v>
      </c>
      <c r="E437" t="s">
        <v>13</v>
      </c>
      <c r="F437" t="s">
        <v>19</v>
      </c>
      <c r="G437" t="s">
        <v>42</v>
      </c>
      <c r="H437">
        <v>53</v>
      </c>
      <c r="I437" t="s">
        <v>43</v>
      </c>
      <c r="J437">
        <v>1298.1600000000001</v>
      </c>
      <c r="K437" cm="1">
        <f t="array" ref="K437">_xlfn.SWITCH(LeadsData[[#This Row],[Funnel Stage Reached]],"Lead",1,"MQL",2,"SQL",3,"Customer",4)</f>
        <v>4</v>
      </c>
      <c r="L437" t="str">
        <f>TEXT(LeadsData[[#This Row],[Signup Date]],"mmm-yyyy")</f>
        <v>Nov-2024</v>
      </c>
      <c r="M437">
        <f>IF(LeadsData[[#This Row],[Stage Number]]&gt;=2,1,0)</f>
        <v>1</v>
      </c>
      <c r="N437" s="2">
        <f>IF(LeadsData[[#This Row],[Stage Number]]&gt;=3,1,0)</f>
        <v>1</v>
      </c>
      <c r="O437" s="2">
        <f>IF(LeadsData[[#This Row],[Stage Number]]&gt;=4,1,0)</f>
        <v>1</v>
      </c>
    </row>
    <row r="438" spans="1:15" x14ac:dyDescent="0.25">
      <c r="A438" t="s">
        <v>478</v>
      </c>
      <c r="B438" s="1">
        <v>45365</v>
      </c>
      <c r="C438" t="s">
        <v>11</v>
      </c>
      <c r="D438" t="s">
        <v>68</v>
      </c>
      <c r="E438" t="s">
        <v>13</v>
      </c>
      <c r="F438" t="s">
        <v>19</v>
      </c>
      <c r="G438" t="s">
        <v>15</v>
      </c>
      <c r="K438" cm="1">
        <f t="array" ref="K438">_xlfn.SWITCH(LeadsData[[#This Row],[Funnel Stage Reached]],"Lead",1,"MQL",2,"SQL",3,"Customer",4)</f>
        <v>1</v>
      </c>
      <c r="L438" t="str">
        <f>TEXT(LeadsData[[#This Row],[Signup Date]],"mmm-yyyy")</f>
        <v>Mar-2024</v>
      </c>
      <c r="M438">
        <f>IF(LeadsData[[#This Row],[Stage Number]]&gt;=2,1,0)</f>
        <v>0</v>
      </c>
      <c r="N438" s="2">
        <f>IF(LeadsData[[#This Row],[Stage Number]]&gt;=3,1,0)</f>
        <v>0</v>
      </c>
      <c r="O438" s="2">
        <f>IF(LeadsData[[#This Row],[Stage Number]]&gt;=4,1,0)</f>
        <v>0</v>
      </c>
    </row>
    <row r="439" spans="1:15" x14ac:dyDescent="0.25">
      <c r="A439" t="s">
        <v>479</v>
      </c>
      <c r="B439" s="1">
        <v>45645</v>
      </c>
      <c r="C439" t="s">
        <v>31</v>
      </c>
      <c r="D439" t="s">
        <v>34</v>
      </c>
      <c r="E439" t="s">
        <v>13</v>
      </c>
      <c r="F439" t="s">
        <v>22</v>
      </c>
      <c r="G439" t="s">
        <v>15</v>
      </c>
      <c r="K439" cm="1">
        <f t="array" ref="K439">_xlfn.SWITCH(LeadsData[[#This Row],[Funnel Stage Reached]],"Lead",1,"MQL",2,"SQL",3,"Customer",4)</f>
        <v>1</v>
      </c>
      <c r="L439" t="str">
        <f>TEXT(LeadsData[[#This Row],[Signup Date]],"mmm-yyyy")</f>
        <v>Dec-2024</v>
      </c>
      <c r="M439">
        <f>IF(LeadsData[[#This Row],[Stage Number]]&gt;=2,1,0)</f>
        <v>0</v>
      </c>
      <c r="N439" s="2">
        <f>IF(LeadsData[[#This Row],[Stage Number]]&gt;=3,1,0)</f>
        <v>0</v>
      </c>
      <c r="O439" s="2">
        <f>IF(LeadsData[[#This Row],[Stage Number]]&gt;=4,1,0)</f>
        <v>0</v>
      </c>
    </row>
    <row r="440" spans="1:15" x14ac:dyDescent="0.25">
      <c r="A440" t="s">
        <v>480</v>
      </c>
      <c r="B440" s="1">
        <v>45540</v>
      </c>
      <c r="C440" t="s">
        <v>36</v>
      </c>
      <c r="D440" t="s">
        <v>37</v>
      </c>
      <c r="E440" t="s">
        <v>21</v>
      </c>
      <c r="F440" t="s">
        <v>14</v>
      </c>
      <c r="G440" t="s">
        <v>29</v>
      </c>
      <c r="K440" cm="1">
        <f t="array" ref="K440">_xlfn.SWITCH(LeadsData[[#This Row],[Funnel Stage Reached]],"Lead",1,"MQL",2,"SQL",3,"Customer",4)</f>
        <v>3</v>
      </c>
      <c r="L440" t="str">
        <f>TEXT(LeadsData[[#This Row],[Signup Date]],"mmm-yyyy")</f>
        <v>Sep-2024</v>
      </c>
      <c r="M440">
        <f>IF(LeadsData[[#This Row],[Stage Number]]&gt;=2,1,0)</f>
        <v>1</v>
      </c>
      <c r="N440" s="2">
        <f>IF(LeadsData[[#This Row],[Stage Number]]&gt;=3,1,0)</f>
        <v>1</v>
      </c>
      <c r="O440" s="2">
        <f>IF(LeadsData[[#This Row],[Stage Number]]&gt;=4,1,0)</f>
        <v>0</v>
      </c>
    </row>
    <row r="441" spans="1:15" x14ac:dyDescent="0.25">
      <c r="A441" t="s">
        <v>481</v>
      </c>
      <c r="B441" s="1">
        <v>45415</v>
      </c>
      <c r="C441" t="s">
        <v>17</v>
      </c>
      <c r="D441" t="s">
        <v>53</v>
      </c>
      <c r="E441" t="s">
        <v>21</v>
      </c>
      <c r="F441" t="s">
        <v>28</v>
      </c>
      <c r="G441" t="s">
        <v>15</v>
      </c>
      <c r="K441" cm="1">
        <f t="array" ref="K441">_xlfn.SWITCH(LeadsData[[#This Row],[Funnel Stage Reached]],"Lead",1,"MQL",2,"SQL",3,"Customer",4)</f>
        <v>1</v>
      </c>
      <c r="L441" t="str">
        <f>TEXT(LeadsData[[#This Row],[Signup Date]],"mmm-yyyy")</f>
        <v>May-2024</v>
      </c>
      <c r="M441">
        <f>IF(LeadsData[[#This Row],[Stage Number]]&gt;=2,1,0)</f>
        <v>0</v>
      </c>
      <c r="N441" s="2">
        <f>IF(LeadsData[[#This Row],[Stage Number]]&gt;=3,1,0)</f>
        <v>0</v>
      </c>
      <c r="O441" s="2">
        <f>IF(LeadsData[[#This Row],[Stage Number]]&gt;=4,1,0)</f>
        <v>0</v>
      </c>
    </row>
    <row r="442" spans="1:15" x14ac:dyDescent="0.25">
      <c r="A442" t="s">
        <v>482</v>
      </c>
      <c r="B442" s="1">
        <v>45620</v>
      </c>
      <c r="C442" t="s">
        <v>46</v>
      </c>
      <c r="D442" t="s">
        <v>56</v>
      </c>
      <c r="E442" t="s">
        <v>21</v>
      </c>
      <c r="F442" t="s">
        <v>28</v>
      </c>
      <c r="G442" t="s">
        <v>15</v>
      </c>
      <c r="K442" cm="1">
        <f t="array" ref="K442">_xlfn.SWITCH(LeadsData[[#This Row],[Funnel Stage Reached]],"Lead",1,"MQL",2,"SQL",3,"Customer",4)</f>
        <v>1</v>
      </c>
      <c r="L442" t="str">
        <f>TEXT(LeadsData[[#This Row],[Signup Date]],"mmm-yyyy")</f>
        <v>Nov-2024</v>
      </c>
      <c r="M442">
        <f>IF(LeadsData[[#This Row],[Stage Number]]&gt;=2,1,0)</f>
        <v>0</v>
      </c>
      <c r="N442" s="2">
        <f>IF(LeadsData[[#This Row],[Stage Number]]&gt;=3,1,0)</f>
        <v>0</v>
      </c>
      <c r="O442" s="2">
        <f>IF(LeadsData[[#This Row],[Stage Number]]&gt;=4,1,0)</f>
        <v>0</v>
      </c>
    </row>
    <row r="443" spans="1:15" x14ac:dyDescent="0.25">
      <c r="A443" t="s">
        <v>483</v>
      </c>
      <c r="B443" s="1">
        <v>45417</v>
      </c>
      <c r="C443" t="s">
        <v>31</v>
      </c>
      <c r="D443" t="s">
        <v>32</v>
      </c>
      <c r="E443" t="s">
        <v>13</v>
      </c>
      <c r="F443" t="s">
        <v>22</v>
      </c>
      <c r="G443" t="s">
        <v>29</v>
      </c>
      <c r="K443" cm="1">
        <f t="array" ref="K443">_xlfn.SWITCH(LeadsData[[#This Row],[Funnel Stage Reached]],"Lead",1,"MQL",2,"SQL",3,"Customer",4)</f>
        <v>3</v>
      </c>
      <c r="L443" t="str">
        <f>TEXT(LeadsData[[#This Row],[Signup Date]],"mmm-yyyy")</f>
        <v>May-2024</v>
      </c>
      <c r="M443">
        <f>IF(LeadsData[[#This Row],[Stage Number]]&gt;=2,1,0)</f>
        <v>1</v>
      </c>
      <c r="N443" s="2">
        <f>IF(LeadsData[[#This Row],[Stage Number]]&gt;=3,1,0)</f>
        <v>1</v>
      </c>
      <c r="O443" s="2">
        <f>IF(LeadsData[[#This Row],[Stage Number]]&gt;=4,1,0)</f>
        <v>0</v>
      </c>
    </row>
    <row r="444" spans="1:15" x14ac:dyDescent="0.25">
      <c r="A444" t="s">
        <v>484</v>
      </c>
      <c r="B444" s="1">
        <v>45420</v>
      </c>
      <c r="C444" t="s">
        <v>11</v>
      </c>
      <c r="D444" t="s">
        <v>79</v>
      </c>
      <c r="E444" t="s">
        <v>21</v>
      </c>
      <c r="F444" t="s">
        <v>19</v>
      </c>
      <c r="G444" t="s">
        <v>15</v>
      </c>
      <c r="K444" cm="1">
        <f t="array" ref="K444">_xlfn.SWITCH(LeadsData[[#This Row],[Funnel Stage Reached]],"Lead",1,"MQL",2,"SQL",3,"Customer",4)</f>
        <v>1</v>
      </c>
      <c r="L444" t="str">
        <f>TEXT(LeadsData[[#This Row],[Signup Date]],"mmm-yyyy")</f>
        <v>May-2024</v>
      </c>
      <c r="M444">
        <f>IF(LeadsData[[#This Row],[Stage Number]]&gt;=2,1,0)</f>
        <v>0</v>
      </c>
      <c r="N444" s="2">
        <f>IF(LeadsData[[#This Row],[Stage Number]]&gt;=3,1,0)</f>
        <v>0</v>
      </c>
      <c r="O444" s="2">
        <f>IF(LeadsData[[#This Row],[Stage Number]]&gt;=4,1,0)</f>
        <v>0</v>
      </c>
    </row>
    <row r="445" spans="1:15" x14ac:dyDescent="0.25">
      <c r="A445" t="s">
        <v>485</v>
      </c>
      <c r="B445" s="1">
        <v>45490</v>
      </c>
      <c r="C445" t="s">
        <v>17</v>
      </c>
      <c r="D445" t="s">
        <v>53</v>
      </c>
      <c r="E445" t="s">
        <v>48</v>
      </c>
      <c r="F445" t="s">
        <v>19</v>
      </c>
      <c r="G445" t="s">
        <v>42</v>
      </c>
      <c r="H445">
        <v>50</v>
      </c>
      <c r="I445" t="s">
        <v>43</v>
      </c>
      <c r="J445">
        <v>522.13</v>
      </c>
      <c r="K445" cm="1">
        <f t="array" ref="K445">_xlfn.SWITCH(LeadsData[[#This Row],[Funnel Stage Reached]],"Lead",1,"MQL",2,"SQL",3,"Customer",4)</f>
        <v>4</v>
      </c>
      <c r="L445" t="str">
        <f>TEXT(LeadsData[[#This Row],[Signup Date]],"mmm-yyyy")</f>
        <v>Jul-2024</v>
      </c>
      <c r="M445">
        <f>IF(LeadsData[[#This Row],[Stage Number]]&gt;=2,1,0)</f>
        <v>1</v>
      </c>
      <c r="N445" s="2">
        <f>IF(LeadsData[[#This Row],[Stage Number]]&gt;=3,1,0)</f>
        <v>1</v>
      </c>
      <c r="O445" s="2">
        <f>IF(LeadsData[[#This Row],[Stage Number]]&gt;=4,1,0)</f>
        <v>1</v>
      </c>
    </row>
    <row r="446" spans="1:15" x14ac:dyDescent="0.25">
      <c r="A446" t="s">
        <v>486</v>
      </c>
      <c r="B446" s="1">
        <v>45420</v>
      </c>
      <c r="C446" t="s">
        <v>17</v>
      </c>
      <c r="D446" t="s">
        <v>18</v>
      </c>
      <c r="E446" t="s">
        <v>13</v>
      </c>
      <c r="F446" t="s">
        <v>22</v>
      </c>
      <c r="G446" t="s">
        <v>23</v>
      </c>
      <c r="K446" cm="1">
        <f t="array" ref="K446">_xlfn.SWITCH(LeadsData[[#This Row],[Funnel Stage Reached]],"Lead",1,"MQL",2,"SQL",3,"Customer",4)</f>
        <v>2</v>
      </c>
      <c r="L446" t="str">
        <f>TEXT(LeadsData[[#This Row],[Signup Date]],"mmm-yyyy")</f>
        <v>May-2024</v>
      </c>
      <c r="M446">
        <f>IF(LeadsData[[#This Row],[Stage Number]]&gt;=2,1,0)</f>
        <v>1</v>
      </c>
      <c r="N446" s="2">
        <f>IF(LeadsData[[#This Row],[Stage Number]]&gt;=3,1,0)</f>
        <v>0</v>
      </c>
      <c r="O446" s="2">
        <f>IF(LeadsData[[#This Row],[Stage Number]]&gt;=4,1,0)</f>
        <v>0</v>
      </c>
    </row>
    <row r="447" spans="1:15" x14ac:dyDescent="0.25">
      <c r="A447" t="s">
        <v>487</v>
      </c>
      <c r="B447" s="1">
        <v>45518</v>
      </c>
      <c r="C447" t="s">
        <v>36</v>
      </c>
      <c r="D447" t="s">
        <v>50</v>
      </c>
      <c r="E447" t="s">
        <v>48</v>
      </c>
      <c r="F447" t="s">
        <v>19</v>
      </c>
      <c r="G447" t="s">
        <v>29</v>
      </c>
      <c r="K447" cm="1">
        <f t="array" ref="K447">_xlfn.SWITCH(LeadsData[[#This Row],[Funnel Stage Reached]],"Lead",1,"MQL",2,"SQL",3,"Customer",4)</f>
        <v>3</v>
      </c>
      <c r="L447" t="str">
        <f>TEXT(LeadsData[[#This Row],[Signup Date]],"mmm-yyyy")</f>
        <v>Aug-2024</v>
      </c>
      <c r="M447">
        <f>IF(LeadsData[[#This Row],[Stage Number]]&gt;=2,1,0)</f>
        <v>1</v>
      </c>
      <c r="N447" s="2">
        <f>IF(LeadsData[[#This Row],[Stage Number]]&gt;=3,1,0)</f>
        <v>1</v>
      </c>
      <c r="O447" s="2">
        <f>IF(LeadsData[[#This Row],[Stage Number]]&gt;=4,1,0)</f>
        <v>0</v>
      </c>
    </row>
    <row r="448" spans="1:15" x14ac:dyDescent="0.25">
      <c r="A448" t="s">
        <v>488</v>
      </c>
      <c r="B448" s="1">
        <v>45622</v>
      </c>
      <c r="C448" t="s">
        <v>31</v>
      </c>
      <c r="D448" t="s">
        <v>34</v>
      </c>
      <c r="E448" t="s">
        <v>21</v>
      </c>
      <c r="F448" t="s">
        <v>19</v>
      </c>
      <c r="G448" t="s">
        <v>23</v>
      </c>
      <c r="K448" cm="1">
        <f t="array" ref="K448">_xlfn.SWITCH(LeadsData[[#This Row],[Funnel Stage Reached]],"Lead",1,"MQL",2,"SQL",3,"Customer",4)</f>
        <v>2</v>
      </c>
      <c r="L448" t="str">
        <f>TEXT(LeadsData[[#This Row],[Signup Date]],"mmm-yyyy")</f>
        <v>Nov-2024</v>
      </c>
      <c r="M448">
        <f>IF(LeadsData[[#This Row],[Stage Number]]&gt;=2,1,0)</f>
        <v>1</v>
      </c>
      <c r="N448" s="2">
        <f>IF(LeadsData[[#This Row],[Stage Number]]&gt;=3,1,0)</f>
        <v>0</v>
      </c>
      <c r="O448" s="2">
        <f>IF(LeadsData[[#This Row],[Stage Number]]&gt;=4,1,0)</f>
        <v>0</v>
      </c>
    </row>
    <row r="449" spans="1:15" x14ac:dyDescent="0.25">
      <c r="A449" t="s">
        <v>489</v>
      </c>
      <c r="B449" s="1">
        <v>45372</v>
      </c>
      <c r="C449" t="s">
        <v>36</v>
      </c>
      <c r="D449" t="s">
        <v>37</v>
      </c>
      <c r="E449" t="s">
        <v>13</v>
      </c>
      <c r="F449" t="s">
        <v>14</v>
      </c>
      <c r="G449" t="s">
        <v>15</v>
      </c>
      <c r="K449" cm="1">
        <f t="array" ref="K449">_xlfn.SWITCH(LeadsData[[#This Row],[Funnel Stage Reached]],"Lead",1,"MQL",2,"SQL",3,"Customer",4)</f>
        <v>1</v>
      </c>
      <c r="L449" t="str">
        <f>TEXT(LeadsData[[#This Row],[Signup Date]],"mmm-yyyy")</f>
        <v>Mar-2024</v>
      </c>
      <c r="M449">
        <f>IF(LeadsData[[#This Row],[Stage Number]]&gt;=2,1,0)</f>
        <v>0</v>
      </c>
      <c r="N449" s="2">
        <f>IF(LeadsData[[#This Row],[Stage Number]]&gt;=3,1,0)</f>
        <v>0</v>
      </c>
      <c r="O449" s="2">
        <f>IF(LeadsData[[#This Row],[Stage Number]]&gt;=4,1,0)</f>
        <v>0</v>
      </c>
    </row>
    <row r="450" spans="1:15" x14ac:dyDescent="0.25">
      <c r="A450" t="s">
        <v>490</v>
      </c>
      <c r="B450" s="1">
        <v>45603</v>
      </c>
      <c r="C450" t="s">
        <v>17</v>
      </c>
      <c r="D450" t="s">
        <v>53</v>
      </c>
      <c r="E450" t="s">
        <v>21</v>
      </c>
      <c r="F450" t="s">
        <v>22</v>
      </c>
      <c r="G450" t="s">
        <v>15</v>
      </c>
      <c r="K450" cm="1">
        <f t="array" ref="K450">_xlfn.SWITCH(LeadsData[[#This Row],[Funnel Stage Reached]],"Lead",1,"MQL",2,"SQL",3,"Customer",4)</f>
        <v>1</v>
      </c>
      <c r="L450" t="str">
        <f>TEXT(LeadsData[[#This Row],[Signup Date]],"mmm-yyyy")</f>
        <v>Nov-2024</v>
      </c>
      <c r="M450">
        <f>IF(LeadsData[[#This Row],[Stage Number]]&gt;=2,1,0)</f>
        <v>0</v>
      </c>
      <c r="N450" s="2">
        <f>IF(LeadsData[[#This Row],[Stage Number]]&gt;=3,1,0)</f>
        <v>0</v>
      </c>
      <c r="O450" s="2">
        <f>IF(LeadsData[[#This Row],[Stage Number]]&gt;=4,1,0)</f>
        <v>0</v>
      </c>
    </row>
    <row r="451" spans="1:15" x14ac:dyDescent="0.25">
      <c r="A451" t="s">
        <v>491</v>
      </c>
      <c r="B451" s="1">
        <v>45599</v>
      </c>
      <c r="C451" t="s">
        <v>46</v>
      </c>
      <c r="D451" t="s">
        <v>47</v>
      </c>
      <c r="E451" t="s">
        <v>13</v>
      </c>
      <c r="F451" t="s">
        <v>14</v>
      </c>
      <c r="G451" t="s">
        <v>42</v>
      </c>
      <c r="H451">
        <v>74</v>
      </c>
      <c r="I451" t="s">
        <v>183</v>
      </c>
      <c r="J451">
        <v>13096.19</v>
      </c>
      <c r="K451" cm="1">
        <f t="array" ref="K451">_xlfn.SWITCH(LeadsData[[#This Row],[Funnel Stage Reached]],"Lead",1,"MQL",2,"SQL",3,"Customer",4)</f>
        <v>4</v>
      </c>
      <c r="L451" t="str">
        <f>TEXT(LeadsData[[#This Row],[Signup Date]],"mmm-yyyy")</f>
        <v>Nov-2024</v>
      </c>
      <c r="M451">
        <f>IF(LeadsData[[#This Row],[Stage Number]]&gt;=2,1,0)</f>
        <v>1</v>
      </c>
      <c r="N451" s="2">
        <f>IF(LeadsData[[#This Row],[Stage Number]]&gt;=3,1,0)</f>
        <v>1</v>
      </c>
      <c r="O451" s="2">
        <f>IF(LeadsData[[#This Row],[Stage Number]]&gt;=4,1,0)</f>
        <v>1</v>
      </c>
    </row>
    <row r="452" spans="1:15" x14ac:dyDescent="0.25">
      <c r="A452" t="s">
        <v>492</v>
      </c>
      <c r="B452" s="1">
        <v>45645</v>
      </c>
      <c r="C452" t="s">
        <v>25</v>
      </c>
      <c r="D452" t="s">
        <v>26</v>
      </c>
      <c r="E452" t="s">
        <v>13</v>
      </c>
      <c r="F452" t="s">
        <v>14</v>
      </c>
      <c r="G452" t="s">
        <v>29</v>
      </c>
      <c r="K452" cm="1">
        <f t="array" ref="K452">_xlfn.SWITCH(LeadsData[[#This Row],[Funnel Stage Reached]],"Lead",1,"MQL",2,"SQL",3,"Customer",4)</f>
        <v>3</v>
      </c>
      <c r="L452" t="str">
        <f>TEXT(LeadsData[[#This Row],[Signup Date]],"mmm-yyyy")</f>
        <v>Dec-2024</v>
      </c>
      <c r="M452">
        <f>IF(LeadsData[[#This Row],[Stage Number]]&gt;=2,1,0)</f>
        <v>1</v>
      </c>
      <c r="N452" s="2">
        <f>IF(LeadsData[[#This Row],[Stage Number]]&gt;=3,1,0)</f>
        <v>1</v>
      </c>
      <c r="O452" s="2">
        <f>IF(LeadsData[[#This Row],[Stage Number]]&gt;=4,1,0)</f>
        <v>0</v>
      </c>
    </row>
    <row r="453" spans="1:15" x14ac:dyDescent="0.25">
      <c r="A453" t="s">
        <v>493</v>
      </c>
      <c r="B453" s="1">
        <v>45648</v>
      </c>
      <c r="C453" t="s">
        <v>31</v>
      </c>
      <c r="D453" t="s">
        <v>32</v>
      </c>
      <c r="E453" t="s">
        <v>21</v>
      </c>
      <c r="F453" t="s">
        <v>22</v>
      </c>
      <c r="G453" t="s">
        <v>29</v>
      </c>
      <c r="K453" cm="1">
        <f t="array" ref="K453">_xlfn.SWITCH(LeadsData[[#This Row],[Funnel Stage Reached]],"Lead",1,"MQL",2,"SQL",3,"Customer",4)</f>
        <v>3</v>
      </c>
      <c r="L453" t="str">
        <f>TEXT(LeadsData[[#This Row],[Signup Date]],"mmm-yyyy")</f>
        <v>Dec-2024</v>
      </c>
      <c r="M453">
        <f>IF(LeadsData[[#This Row],[Stage Number]]&gt;=2,1,0)</f>
        <v>1</v>
      </c>
      <c r="N453" s="2">
        <f>IF(LeadsData[[#This Row],[Stage Number]]&gt;=3,1,0)</f>
        <v>1</v>
      </c>
      <c r="O453" s="2">
        <f>IF(LeadsData[[#This Row],[Stage Number]]&gt;=4,1,0)</f>
        <v>0</v>
      </c>
    </row>
    <row r="454" spans="1:15" x14ac:dyDescent="0.25">
      <c r="A454" t="s">
        <v>494</v>
      </c>
      <c r="B454" s="1">
        <v>45529</v>
      </c>
      <c r="C454" t="s">
        <v>17</v>
      </c>
      <c r="D454" t="s">
        <v>53</v>
      </c>
      <c r="E454" t="s">
        <v>13</v>
      </c>
      <c r="F454" t="s">
        <v>22</v>
      </c>
      <c r="G454" t="s">
        <v>29</v>
      </c>
      <c r="K454" cm="1">
        <f t="array" ref="K454">_xlfn.SWITCH(LeadsData[[#This Row],[Funnel Stage Reached]],"Lead",1,"MQL",2,"SQL",3,"Customer",4)</f>
        <v>3</v>
      </c>
      <c r="L454" t="str">
        <f>TEXT(LeadsData[[#This Row],[Signup Date]],"mmm-yyyy")</f>
        <v>Aug-2024</v>
      </c>
      <c r="M454">
        <f>IF(LeadsData[[#This Row],[Stage Number]]&gt;=2,1,0)</f>
        <v>1</v>
      </c>
      <c r="N454" s="2">
        <f>IF(LeadsData[[#This Row],[Stage Number]]&gt;=3,1,0)</f>
        <v>1</v>
      </c>
      <c r="O454" s="2">
        <f>IF(LeadsData[[#This Row],[Stage Number]]&gt;=4,1,0)</f>
        <v>0</v>
      </c>
    </row>
    <row r="455" spans="1:15" x14ac:dyDescent="0.25">
      <c r="A455" t="s">
        <v>495</v>
      </c>
      <c r="B455" s="1">
        <v>45462</v>
      </c>
      <c r="C455" t="s">
        <v>31</v>
      </c>
      <c r="D455" t="s">
        <v>34</v>
      </c>
      <c r="E455" t="s">
        <v>48</v>
      </c>
      <c r="F455" t="s">
        <v>19</v>
      </c>
      <c r="G455" t="s">
        <v>15</v>
      </c>
      <c r="K455" cm="1">
        <f t="array" ref="K455">_xlfn.SWITCH(LeadsData[[#This Row],[Funnel Stage Reached]],"Lead",1,"MQL",2,"SQL",3,"Customer",4)</f>
        <v>1</v>
      </c>
      <c r="L455" t="str">
        <f>TEXT(LeadsData[[#This Row],[Signup Date]],"mmm-yyyy")</f>
        <v>Jun-2024</v>
      </c>
      <c r="M455">
        <f>IF(LeadsData[[#This Row],[Stage Number]]&gt;=2,1,0)</f>
        <v>0</v>
      </c>
      <c r="N455" s="2">
        <f>IF(LeadsData[[#This Row],[Stage Number]]&gt;=3,1,0)</f>
        <v>0</v>
      </c>
      <c r="O455" s="2">
        <f>IF(LeadsData[[#This Row],[Stage Number]]&gt;=4,1,0)</f>
        <v>0</v>
      </c>
    </row>
    <row r="456" spans="1:15" x14ac:dyDescent="0.25">
      <c r="A456" t="s">
        <v>496</v>
      </c>
      <c r="B456" s="1">
        <v>45306</v>
      </c>
      <c r="C456" t="s">
        <v>36</v>
      </c>
      <c r="D456" t="s">
        <v>50</v>
      </c>
      <c r="E456" t="s">
        <v>21</v>
      </c>
      <c r="F456" t="s">
        <v>22</v>
      </c>
      <c r="G456" t="s">
        <v>15</v>
      </c>
      <c r="K456" cm="1">
        <f t="array" ref="K456">_xlfn.SWITCH(LeadsData[[#This Row],[Funnel Stage Reached]],"Lead",1,"MQL",2,"SQL",3,"Customer",4)</f>
        <v>1</v>
      </c>
      <c r="L456" t="str">
        <f>TEXT(LeadsData[[#This Row],[Signup Date]],"mmm-yyyy")</f>
        <v>Jan-2024</v>
      </c>
      <c r="M456">
        <f>IF(LeadsData[[#This Row],[Stage Number]]&gt;=2,1,0)</f>
        <v>0</v>
      </c>
      <c r="N456" s="2">
        <f>IF(LeadsData[[#This Row],[Stage Number]]&gt;=3,1,0)</f>
        <v>0</v>
      </c>
      <c r="O456" s="2">
        <f>IF(LeadsData[[#This Row],[Stage Number]]&gt;=4,1,0)</f>
        <v>0</v>
      </c>
    </row>
    <row r="457" spans="1:15" x14ac:dyDescent="0.25">
      <c r="A457" t="s">
        <v>497</v>
      </c>
      <c r="B457" s="1">
        <v>45509</v>
      </c>
      <c r="C457" t="s">
        <v>46</v>
      </c>
      <c r="D457" t="s">
        <v>47</v>
      </c>
      <c r="E457" t="s">
        <v>13</v>
      </c>
      <c r="F457" t="s">
        <v>19</v>
      </c>
      <c r="G457" t="s">
        <v>42</v>
      </c>
      <c r="H457">
        <v>41</v>
      </c>
      <c r="I457" t="s">
        <v>87</v>
      </c>
      <c r="J457">
        <v>1996.71</v>
      </c>
      <c r="K457" cm="1">
        <f t="array" ref="K457">_xlfn.SWITCH(LeadsData[[#This Row],[Funnel Stage Reached]],"Lead",1,"MQL",2,"SQL",3,"Customer",4)</f>
        <v>4</v>
      </c>
      <c r="L457" t="str">
        <f>TEXT(LeadsData[[#This Row],[Signup Date]],"mmm-yyyy")</f>
        <v>Aug-2024</v>
      </c>
      <c r="M457">
        <f>IF(LeadsData[[#This Row],[Stage Number]]&gt;=2,1,0)</f>
        <v>1</v>
      </c>
      <c r="N457" s="2">
        <f>IF(LeadsData[[#This Row],[Stage Number]]&gt;=3,1,0)</f>
        <v>1</v>
      </c>
      <c r="O457" s="2">
        <f>IF(LeadsData[[#This Row],[Stage Number]]&gt;=4,1,0)</f>
        <v>1</v>
      </c>
    </row>
    <row r="458" spans="1:15" x14ac:dyDescent="0.25">
      <c r="A458" t="s">
        <v>498</v>
      </c>
      <c r="B458" s="1">
        <v>45622</v>
      </c>
      <c r="C458" t="s">
        <v>46</v>
      </c>
      <c r="D458" t="s">
        <v>56</v>
      </c>
      <c r="E458" t="s">
        <v>21</v>
      </c>
      <c r="F458" t="s">
        <v>14</v>
      </c>
      <c r="G458" t="s">
        <v>15</v>
      </c>
      <c r="K458" cm="1">
        <f t="array" ref="K458">_xlfn.SWITCH(LeadsData[[#This Row],[Funnel Stage Reached]],"Lead",1,"MQL",2,"SQL",3,"Customer",4)</f>
        <v>1</v>
      </c>
      <c r="L458" t="str">
        <f>TEXT(LeadsData[[#This Row],[Signup Date]],"mmm-yyyy")</f>
        <v>Nov-2024</v>
      </c>
      <c r="M458">
        <f>IF(LeadsData[[#This Row],[Stage Number]]&gt;=2,1,0)</f>
        <v>0</v>
      </c>
      <c r="N458" s="2">
        <f>IF(LeadsData[[#This Row],[Stage Number]]&gt;=3,1,0)</f>
        <v>0</v>
      </c>
      <c r="O458" s="2">
        <f>IF(LeadsData[[#This Row],[Stage Number]]&gt;=4,1,0)</f>
        <v>0</v>
      </c>
    </row>
    <row r="459" spans="1:15" x14ac:dyDescent="0.25">
      <c r="A459" t="s">
        <v>499</v>
      </c>
      <c r="B459" s="1">
        <v>45505</v>
      </c>
      <c r="C459" t="s">
        <v>31</v>
      </c>
      <c r="D459" t="s">
        <v>34</v>
      </c>
      <c r="E459" t="s">
        <v>21</v>
      </c>
      <c r="F459" t="s">
        <v>19</v>
      </c>
      <c r="G459" t="s">
        <v>15</v>
      </c>
      <c r="K459" cm="1">
        <f t="array" ref="K459">_xlfn.SWITCH(LeadsData[[#This Row],[Funnel Stage Reached]],"Lead",1,"MQL",2,"SQL",3,"Customer",4)</f>
        <v>1</v>
      </c>
      <c r="L459" t="str">
        <f>TEXT(LeadsData[[#This Row],[Signup Date]],"mmm-yyyy")</f>
        <v>Aug-2024</v>
      </c>
      <c r="M459">
        <f>IF(LeadsData[[#This Row],[Stage Number]]&gt;=2,1,0)</f>
        <v>0</v>
      </c>
      <c r="N459" s="2">
        <f>IF(LeadsData[[#This Row],[Stage Number]]&gt;=3,1,0)</f>
        <v>0</v>
      </c>
      <c r="O459" s="2">
        <f>IF(LeadsData[[#This Row],[Stage Number]]&gt;=4,1,0)</f>
        <v>0</v>
      </c>
    </row>
    <row r="460" spans="1:15" x14ac:dyDescent="0.25">
      <c r="A460" t="s">
        <v>500</v>
      </c>
      <c r="B460" s="1">
        <v>45292</v>
      </c>
      <c r="C460" t="s">
        <v>31</v>
      </c>
      <c r="D460" t="s">
        <v>34</v>
      </c>
      <c r="E460" t="s">
        <v>13</v>
      </c>
      <c r="F460" t="s">
        <v>22</v>
      </c>
      <c r="G460" t="s">
        <v>15</v>
      </c>
      <c r="K460" cm="1">
        <f t="array" ref="K460">_xlfn.SWITCH(LeadsData[[#This Row],[Funnel Stage Reached]],"Lead",1,"MQL",2,"SQL",3,"Customer",4)</f>
        <v>1</v>
      </c>
      <c r="L460" t="str">
        <f>TEXT(LeadsData[[#This Row],[Signup Date]],"mmm-yyyy")</f>
        <v>Jan-2024</v>
      </c>
      <c r="M460">
        <f>IF(LeadsData[[#This Row],[Stage Number]]&gt;=2,1,0)</f>
        <v>0</v>
      </c>
      <c r="N460" s="2">
        <f>IF(LeadsData[[#This Row],[Stage Number]]&gt;=3,1,0)</f>
        <v>0</v>
      </c>
      <c r="O460" s="2">
        <f>IF(LeadsData[[#This Row],[Stage Number]]&gt;=4,1,0)</f>
        <v>0</v>
      </c>
    </row>
    <row r="461" spans="1:15" x14ac:dyDescent="0.25">
      <c r="A461" t="s">
        <v>501</v>
      </c>
      <c r="B461" s="1">
        <v>45628</v>
      </c>
      <c r="C461" t="s">
        <v>31</v>
      </c>
      <c r="D461" t="s">
        <v>34</v>
      </c>
      <c r="E461" t="s">
        <v>13</v>
      </c>
      <c r="F461" t="s">
        <v>14</v>
      </c>
      <c r="G461" t="s">
        <v>23</v>
      </c>
      <c r="K461" cm="1">
        <f t="array" ref="K461">_xlfn.SWITCH(LeadsData[[#This Row],[Funnel Stage Reached]],"Lead",1,"MQL",2,"SQL",3,"Customer",4)</f>
        <v>2</v>
      </c>
      <c r="L461" t="str">
        <f>TEXT(LeadsData[[#This Row],[Signup Date]],"mmm-yyyy")</f>
        <v>Dec-2024</v>
      </c>
      <c r="M461">
        <f>IF(LeadsData[[#This Row],[Stage Number]]&gt;=2,1,0)</f>
        <v>1</v>
      </c>
      <c r="N461" s="2">
        <f>IF(LeadsData[[#This Row],[Stage Number]]&gt;=3,1,0)</f>
        <v>0</v>
      </c>
      <c r="O461" s="2">
        <f>IF(LeadsData[[#This Row],[Stage Number]]&gt;=4,1,0)</f>
        <v>0</v>
      </c>
    </row>
    <row r="462" spans="1:15" x14ac:dyDescent="0.25">
      <c r="A462" t="s">
        <v>502</v>
      </c>
      <c r="B462" s="1">
        <v>45613</v>
      </c>
      <c r="C462" t="s">
        <v>11</v>
      </c>
      <c r="D462" t="s">
        <v>12</v>
      </c>
      <c r="E462" t="s">
        <v>48</v>
      </c>
      <c r="F462" t="s">
        <v>28</v>
      </c>
      <c r="G462" t="s">
        <v>15</v>
      </c>
      <c r="K462" cm="1">
        <f t="array" ref="K462">_xlfn.SWITCH(LeadsData[[#This Row],[Funnel Stage Reached]],"Lead",1,"MQL",2,"SQL",3,"Customer",4)</f>
        <v>1</v>
      </c>
      <c r="L462" t="str">
        <f>TEXT(LeadsData[[#This Row],[Signup Date]],"mmm-yyyy")</f>
        <v>Nov-2024</v>
      </c>
      <c r="M462">
        <f>IF(LeadsData[[#This Row],[Stage Number]]&gt;=2,1,0)</f>
        <v>0</v>
      </c>
      <c r="N462" s="2">
        <f>IF(LeadsData[[#This Row],[Stage Number]]&gt;=3,1,0)</f>
        <v>0</v>
      </c>
      <c r="O462" s="2">
        <f>IF(LeadsData[[#This Row],[Stage Number]]&gt;=4,1,0)</f>
        <v>0</v>
      </c>
    </row>
    <row r="463" spans="1:15" x14ac:dyDescent="0.25">
      <c r="A463" t="s">
        <v>503</v>
      </c>
      <c r="B463" s="1">
        <v>45362</v>
      </c>
      <c r="C463" t="s">
        <v>17</v>
      </c>
      <c r="D463" t="s">
        <v>18</v>
      </c>
      <c r="E463" t="s">
        <v>13</v>
      </c>
      <c r="F463" t="s">
        <v>19</v>
      </c>
      <c r="G463" t="s">
        <v>29</v>
      </c>
      <c r="K463" cm="1">
        <f t="array" ref="K463">_xlfn.SWITCH(LeadsData[[#This Row],[Funnel Stage Reached]],"Lead",1,"MQL",2,"SQL",3,"Customer",4)</f>
        <v>3</v>
      </c>
      <c r="L463" t="str">
        <f>TEXT(LeadsData[[#This Row],[Signup Date]],"mmm-yyyy")</f>
        <v>Mar-2024</v>
      </c>
      <c r="M463">
        <f>IF(LeadsData[[#This Row],[Stage Number]]&gt;=2,1,0)</f>
        <v>1</v>
      </c>
      <c r="N463" s="2">
        <f>IF(LeadsData[[#This Row],[Stage Number]]&gt;=3,1,0)</f>
        <v>1</v>
      </c>
      <c r="O463" s="2">
        <f>IF(LeadsData[[#This Row],[Stage Number]]&gt;=4,1,0)</f>
        <v>0</v>
      </c>
    </row>
    <row r="464" spans="1:15" x14ac:dyDescent="0.25">
      <c r="A464" t="s">
        <v>504</v>
      </c>
      <c r="B464" s="1">
        <v>45543</v>
      </c>
      <c r="C464" t="s">
        <v>36</v>
      </c>
      <c r="D464" t="s">
        <v>37</v>
      </c>
      <c r="E464" t="s">
        <v>21</v>
      </c>
      <c r="F464" t="s">
        <v>28</v>
      </c>
      <c r="G464" t="s">
        <v>42</v>
      </c>
      <c r="H464">
        <v>45</v>
      </c>
      <c r="I464" t="s">
        <v>43</v>
      </c>
      <c r="J464">
        <v>1289.5899999999999</v>
      </c>
      <c r="K464" cm="1">
        <f t="array" ref="K464">_xlfn.SWITCH(LeadsData[[#This Row],[Funnel Stage Reached]],"Lead",1,"MQL",2,"SQL",3,"Customer",4)</f>
        <v>4</v>
      </c>
      <c r="L464" t="str">
        <f>TEXT(LeadsData[[#This Row],[Signup Date]],"mmm-yyyy")</f>
        <v>Sep-2024</v>
      </c>
      <c r="M464">
        <f>IF(LeadsData[[#This Row],[Stage Number]]&gt;=2,1,0)</f>
        <v>1</v>
      </c>
      <c r="N464" s="2">
        <f>IF(LeadsData[[#This Row],[Stage Number]]&gt;=3,1,0)</f>
        <v>1</v>
      </c>
      <c r="O464" s="2">
        <f>IF(LeadsData[[#This Row],[Stage Number]]&gt;=4,1,0)</f>
        <v>1</v>
      </c>
    </row>
    <row r="465" spans="1:15" x14ac:dyDescent="0.25">
      <c r="A465" t="s">
        <v>505</v>
      </c>
      <c r="B465" s="1">
        <v>45423</v>
      </c>
      <c r="C465" t="s">
        <v>11</v>
      </c>
      <c r="D465" t="s">
        <v>79</v>
      </c>
      <c r="E465" t="s">
        <v>21</v>
      </c>
      <c r="F465" t="s">
        <v>14</v>
      </c>
      <c r="G465" t="s">
        <v>15</v>
      </c>
      <c r="K465" cm="1">
        <f t="array" ref="K465">_xlfn.SWITCH(LeadsData[[#This Row],[Funnel Stage Reached]],"Lead",1,"MQL",2,"SQL",3,"Customer",4)</f>
        <v>1</v>
      </c>
      <c r="L465" t="str">
        <f>TEXT(LeadsData[[#This Row],[Signup Date]],"mmm-yyyy")</f>
        <v>May-2024</v>
      </c>
      <c r="M465">
        <f>IF(LeadsData[[#This Row],[Stage Number]]&gt;=2,1,0)</f>
        <v>0</v>
      </c>
      <c r="N465" s="2">
        <f>IF(LeadsData[[#This Row],[Stage Number]]&gt;=3,1,0)</f>
        <v>0</v>
      </c>
      <c r="O465" s="2">
        <f>IF(LeadsData[[#This Row],[Stage Number]]&gt;=4,1,0)</f>
        <v>0</v>
      </c>
    </row>
    <row r="466" spans="1:15" x14ac:dyDescent="0.25">
      <c r="A466" t="s">
        <v>506</v>
      </c>
      <c r="B466" s="1">
        <v>45620</v>
      </c>
      <c r="C466" t="s">
        <v>17</v>
      </c>
      <c r="D466" t="s">
        <v>53</v>
      </c>
      <c r="E466" t="s">
        <v>21</v>
      </c>
      <c r="F466" t="s">
        <v>14</v>
      </c>
      <c r="G466" t="s">
        <v>23</v>
      </c>
      <c r="K466" cm="1">
        <f t="array" ref="K466">_xlfn.SWITCH(LeadsData[[#This Row],[Funnel Stage Reached]],"Lead",1,"MQL",2,"SQL",3,"Customer",4)</f>
        <v>2</v>
      </c>
      <c r="L466" t="str">
        <f>TEXT(LeadsData[[#This Row],[Signup Date]],"mmm-yyyy")</f>
        <v>Nov-2024</v>
      </c>
      <c r="M466">
        <f>IF(LeadsData[[#This Row],[Stage Number]]&gt;=2,1,0)</f>
        <v>1</v>
      </c>
      <c r="N466" s="2">
        <f>IF(LeadsData[[#This Row],[Stage Number]]&gt;=3,1,0)</f>
        <v>0</v>
      </c>
      <c r="O466" s="2">
        <f>IF(LeadsData[[#This Row],[Stage Number]]&gt;=4,1,0)</f>
        <v>0</v>
      </c>
    </row>
    <row r="467" spans="1:15" x14ac:dyDescent="0.25">
      <c r="A467" t="s">
        <v>507</v>
      </c>
      <c r="B467" s="1">
        <v>45417</v>
      </c>
      <c r="C467" t="s">
        <v>31</v>
      </c>
      <c r="D467" t="s">
        <v>34</v>
      </c>
      <c r="E467" t="s">
        <v>13</v>
      </c>
      <c r="F467" t="s">
        <v>22</v>
      </c>
      <c r="G467" t="s">
        <v>23</v>
      </c>
      <c r="K467" cm="1">
        <f t="array" ref="K467">_xlfn.SWITCH(LeadsData[[#This Row],[Funnel Stage Reached]],"Lead",1,"MQL",2,"SQL",3,"Customer",4)</f>
        <v>2</v>
      </c>
      <c r="L467" t="str">
        <f>TEXT(LeadsData[[#This Row],[Signup Date]],"mmm-yyyy")</f>
        <v>May-2024</v>
      </c>
      <c r="M467">
        <f>IF(LeadsData[[#This Row],[Stage Number]]&gt;=2,1,0)</f>
        <v>1</v>
      </c>
      <c r="N467" s="2">
        <f>IF(LeadsData[[#This Row],[Stage Number]]&gt;=3,1,0)</f>
        <v>0</v>
      </c>
      <c r="O467" s="2">
        <f>IF(LeadsData[[#This Row],[Stage Number]]&gt;=4,1,0)</f>
        <v>0</v>
      </c>
    </row>
    <row r="468" spans="1:15" x14ac:dyDescent="0.25">
      <c r="A468" t="s">
        <v>508</v>
      </c>
      <c r="B468" s="1">
        <v>45588</v>
      </c>
      <c r="C468" t="s">
        <v>46</v>
      </c>
      <c r="D468" t="s">
        <v>56</v>
      </c>
      <c r="E468" t="s">
        <v>13</v>
      </c>
      <c r="F468" t="s">
        <v>14</v>
      </c>
      <c r="G468" t="s">
        <v>15</v>
      </c>
      <c r="K468" cm="1">
        <f t="array" ref="K468">_xlfn.SWITCH(LeadsData[[#This Row],[Funnel Stage Reached]],"Lead",1,"MQL",2,"SQL",3,"Customer",4)</f>
        <v>1</v>
      </c>
      <c r="L468" t="str">
        <f>TEXT(LeadsData[[#This Row],[Signup Date]],"mmm-yyyy")</f>
        <v>Oct-2024</v>
      </c>
      <c r="M468">
        <f>IF(LeadsData[[#This Row],[Stage Number]]&gt;=2,1,0)</f>
        <v>0</v>
      </c>
      <c r="N468" s="2">
        <f>IF(LeadsData[[#This Row],[Stage Number]]&gt;=3,1,0)</f>
        <v>0</v>
      </c>
      <c r="O468" s="2">
        <f>IF(LeadsData[[#This Row],[Stage Number]]&gt;=4,1,0)</f>
        <v>0</v>
      </c>
    </row>
    <row r="469" spans="1:15" x14ac:dyDescent="0.25">
      <c r="A469" t="s">
        <v>509</v>
      </c>
      <c r="B469" s="1">
        <v>45329</v>
      </c>
      <c r="C469" t="s">
        <v>36</v>
      </c>
      <c r="D469" t="s">
        <v>50</v>
      </c>
      <c r="E469" t="s">
        <v>21</v>
      </c>
      <c r="F469" t="s">
        <v>14</v>
      </c>
      <c r="G469" t="s">
        <v>23</v>
      </c>
      <c r="K469" cm="1">
        <f t="array" ref="K469">_xlfn.SWITCH(LeadsData[[#This Row],[Funnel Stage Reached]],"Lead",1,"MQL",2,"SQL",3,"Customer",4)</f>
        <v>2</v>
      </c>
      <c r="L469" t="str">
        <f>TEXT(LeadsData[[#This Row],[Signup Date]],"mmm-yyyy")</f>
        <v>Feb-2024</v>
      </c>
      <c r="M469">
        <f>IF(LeadsData[[#This Row],[Stage Number]]&gt;=2,1,0)</f>
        <v>1</v>
      </c>
      <c r="N469" s="2">
        <f>IF(LeadsData[[#This Row],[Stage Number]]&gt;=3,1,0)</f>
        <v>0</v>
      </c>
      <c r="O469" s="2">
        <f>IF(LeadsData[[#This Row],[Stage Number]]&gt;=4,1,0)</f>
        <v>0</v>
      </c>
    </row>
    <row r="470" spans="1:15" x14ac:dyDescent="0.25">
      <c r="A470" t="s">
        <v>510</v>
      </c>
      <c r="B470" s="1">
        <v>45478</v>
      </c>
      <c r="C470" t="s">
        <v>36</v>
      </c>
      <c r="D470" t="s">
        <v>50</v>
      </c>
      <c r="E470" t="s">
        <v>13</v>
      </c>
      <c r="F470" t="s">
        <v>19</v>
      </c>
      <c r="G470" t="s">
        <v>23</v>
      </c>
      <c r="K470" cm="1">
        <f t="array" ref="K470">_xlfn.SWITCH(LeadsData[[#This Row],[Funnel Stage Reached]],"Lead",1,"MQL",2,"SQL",3,"Customer",4)</f>
        <v>2</v>
      </c>
      <c r="L470" t="str">
        <f>TEXT(LeadsData[[#This Row],[Signup Date]],"mmm-yyyy")</f>
        <v>Jul-2024</v>
      </c>
      <c r="M470">
        <f>IF(LeadsData[[#This Row],[Stage Number]]&gt;=2,1,0)</f>
        <v>1</v>
      </c>
      <c r="N470" s="2">
        <f>IF(LeadsData[[#This Row],[Stage Number]]&gt;=3,1,0)</f>
        <v>0</v>
      </c>
      <c r="O470" s="2">
        <f>IF(LeadsData[[#This Row],[Stage Number]]&gt;=4,1,0)</f>
        <v>0</v>
      </c>
    </row>
    <row r="471" spans="1:15" x14ac:dyDescent="0.25">
      <c r="A471" t="s">
        <v>511</v>
      </c>
      <c r="B471" s="1">
        <v>45399</v>
      </c>
      <c r="C471" t="s">
        <v>36</v>
      </c>
      <c r="D471" t="s">
        <v>50</v>
      </c>
      <c r="E471" t="s">
        <v>13</v>
      </c>
      <c r="F471" t="s">
        <v>19</v>
      </c>
      <c r="G471" t="s">
        <v>42</v>
      </c>
      <c r="H471">
        <v>60</v>
      </c>
      <c r="I471" t="s">
        <v>87</v>
      </c>
      <c r="J471">
        <v>3646.82</v>
      </c>
      <c r="K471" cm="1">
        <f t="array" ref="K471">_xlfn.SWITCH(LeadsData[[#This Row],[Funnel Stage Reached]],"Lead",1,"MQL",2,"SQL",3,"Customer",4)</f>
        <v>4</v>
      </c>
      <c r="L471" t="str">
        <f>TEXT(LeadsData[[#This Row],[Signup Date]],"mmm-yyyy")</f>
        <v>Apr-2024</v>
      </c>
      <c r="M471">
        <f>IF(LeadsData[[#This Row],[Stage Number]]&gt;=2,1,0)</f>
        <v>1</v>
      </c>
      <c r="N471" s="2">
        <f>IF(LeadsData[[#This Row],[Stage Number]]&gt;=3,1,0)</f>
        <v>1</v>
      </c>
      <c r="O471" s="2">
        <f>IF(LeadsData[[#This Row],[Stage Number]]&gt;=4,1,0)</f>
        <v>1</v>
      </c>
    </row>
    <row r="472" spans="1:15" x14ac:dyDescent="0.25">
      <c r="A472" t="s">
        <v>512</v>
      </c>
      <c r="B472" s="1">
        <v>45514</v>
      </c>
      <c r="C472" t="s">
        <v>31</v>
      </c>
      <c r="D472" t="s">
        <v>34</v>
      </c>
      <c r="E472" t="s">
        <v>13</v>
      </c>
      <c r="F472" t="s">
        <v>22</v>
      </c>
      <c r="G472" t="s">
        <v>15</v>
      </c>
      <c r="K472" cm="1">
        <f t="array" ref="K472">_xlfn.SWITCH(LeadsData[[#This Row],[Funnel Stage Reached]],"Lead",1,"MQL",2,"SQL",3,"Customer",4)</f>
        <v>1</v>
      </c>
      <c r="L472" t="str">
        <f>TEXT(LeadsData[[#This Row],[Signup Date]],"mmm-yyyy")</f>
        <v>Aug-2024</v>
      </c>
      <c r="M472">
        <f>IF(LeadsData[[#This Row],[Stage Number]]&gt;=2,1,0)</f>
        <v>0</v>
      </c>
      <c r="N472" s="2">
        <f>IF(LeadsData[[#This Row],[Stage Number]]&gt;=3,1,0)</f>
        <v>0</v>
      </c>
      <c r="O472" s="2">
        <f>IF(LeadsData[[#This Row],[Stage Number]]&gt;=4,1,0)</f>
        <v>0</v>
      </c>
    </row>
    <row r="473" spans="1:15" x14ac:dyDescent="0.25">
      <c r="A473" t="s">
        <v>513</v>
      </c>
      <c r="B473" s="1">
        <v>45574</v>
      </c>
      <c r="C473" t="s">
        <v>25</v>
      </c>
      <c r="D473" t="s">
        <v>26</v>
      </c>
      <c r="E473" t="s">
        <v>21</v>
      </c>
      <c r="F473" t="s">
        <v>28</v>
      </c>
      <c r="G473" t="s">
        <v>29</v>
      </c>
      <c r="K473" cm="1">
        <f t="array" ref="K473">_xlfn.SWITCH(LeadsData[[#This Row],[Funnel Stage Reached]],"Lead",1,"MQL",2,"SQL",3,"Customer",4)</f>
        <v>3</v>
      </c>
      <c r="L473" t="str">
        <f>TEXT(LeadsData[[#This Row],[Signup Date]],"mmm-yyyy")</f>
        <v>Oct-2024</v>
      </c>
      <c r="M473">
        <f>IF(LeadsData[[#This Row],[Stage Number]]&gt;=2,1,0)</f>
        <v>1</v>
      </c>
      <c r="N473" s="2">
        <f>IF(LeadsData[[#This Row],[Stage Number]]&gt;=3,1,0)</f>
        <v>1</v>
      </c>
      <c r="O473" s="2">
        <f>IF(LeadsData[[#This Row],[Stage Number]]&gt;=4,1,0)</f>
        <v>0</v>
      </c>
    </row>
    <row r="474" spans="1:15" x14ac:dyDescent="0.25">
      <c r="A474" t="s">
        <v>514</v>
      </c>
      <c r="B474" s="1">
        <v>45637</v>
      </c>
      <c r="C474" t="s">
        <v>46</v>
      </c>
      <c r="D474" t="s">
        <v>47</v>
      </c>
      <c r="E474" t="s">
        <v>13</v>
      </c>
      <c r="F474" t="s">
        <v>22</v>
      </c>
      <c r="G474" t="s">
        <v>23</v>
      </c>
      <c r="K474" cm="1">
        <f t="array" ref="K474">_xlfn.SWITCH(LeadsData[[#This Row],[Funnel Stage Reached]],"Lead",1,"MQL",2,"SQL",3,"Customer",4)</f>
        <v>2</v>
      </c>
      <c r="L474" t="str">
        <f>TEXT(LeadsData[[#This Row],[Signup Date]],"mmm-yyyy")</f>
        <v>Dec-2024</v>
      </c>
      <c r="M474">
        <f>IF(LeadsData[[#This Row],[Stage Number]]&gt;=2,1,0)</f>
        <v>1</v>
      </c>
      <c r="N474" s="2">
        <f>IF(LeadsData[[#This Row],[Stage Number]]&gt;=3,1,0)</f>
        <v>0</v>
      </c>
      <c r="O474" s="2">
        <f>IF(LeadsData[[#This Row],[Stage Number]]&gt;=4,1,0)</f>
        <v>0</v>
      </c>
    </row>
    <row r="475" spans="1:15" x14ac:dyDescent="0.25">
      <c r="A475" t="s">
        <v>515</v>
      </c>
      <c r="B475" s="1">
        <v>45514</v>
      </c>
      <c r="C475" t="s">
        <v>31</v>
      </c>
      <c r="D475" t="s">
        <v>32</v>
      </c>
      <c r="E475" t="s">
        <v>13</v>
      </c>
      <c r="F475" t="s">
        <v>19</v>
      </c>
      <c r="G475" t="s">
        <v>23</v>
      </c>
      <c r="K475" cm="1">
        <f t="array" ref="K475">_xlfn.SWITCH(LeadsData[[#This Row],[Funnel Stage Reached]],"Lead",1,"MQL",2,"SQL",3,"Customer",4)</f>
        <v>2</v>
      </c>
      <c r="L475" t="str">
        <f>TEXT(LeadsData[[#This Row],[Signup Date]],"mmm-yyyy")</f>
        <v>Aug-2024</v>
      </c>
      <c r="M475">
        <f>IF(LeadsData[[#This Row],[Stage Number]]&gt;=2,1,0)</f>
        <v>1</v>
      </c>
      <c r="N475" s="2">
        <f>IF(LeadsData[[#This Row],[Stage Number]]&gt;=3,1,0)</f>
        <v>0</v>
      </c>
      <c r="O475" s="2">
        <f>IF(LeadsData[[#This Row],[Stage Number]]&gt;=4,1,0)</f>
        <v>0</v>
      </c>
    </row>
    <row r="476" spans="1:15" x14ac:dyDescent="0.25">
      <c r="A476" t="s">
        <v>516</v>
      </c>
      <c r="B476" s="1">
        <v>45586</v>
      </c>
      <c r="C476" t="s">
        <v>31</v>
      </c>
      <c r="D476" t="s">
        <v>34</v>
      </c>
      <c r="E476" t="s">
        <v>48</v>
      </c>
      <c r="F476" t="s">
        <v>22</v>
      </c>
      <c r="G476" t="s">
        <v>29</v>
      </c>
      <c r="K476" cm="1">
        <f t="array" ref="K476">_xlfn.SWITCH(LeadsData[[#This Row],[Funnel Stage Reached]],"Lead",1,"MQL",2,"SQL",3,"Customer",4)</f>
        <v>3</v>
      </c>
      <c r="L476" t="str">
        <f>TEXT(LeadsData[[#This Row],[Signup Date]],"mmm-yyyy")</f>
        <v>Oct-2024</v>
      </c>
      <c r="M476">
        <f>IF(LeadsData[[#This Row],[Stage Number]]&gt;=2,1,0)</f>
        <v>1</v>
      </c>
      <c r="N476" s="2">
        <f>IF(LeadsData[[#This Row],[Stage Number]]&gt;=3,1,0)</f>
        <v>1</v>
      </c>
      <c r="O476" s="2">
        <f>IF(LeadsData[[#This Row],[Stage Number]]&gt;=4,1,0)</f>
        <v>0</v>
      </c>
    </row>
    <row r="477" spans="1:15" x14ac:dyDescent="0.25">
      <c r="A477" t="s">
        <v>517</v>
      </c>
      <c r="B477" s="1">
        <v>45615</v>
      </c>
      <c r="C477" t="s">
        <v>46</v>
      </c>
      <c r="D477" t="s">
        <v>56</v>
      </c>
      <c r="E477" t="s">
        <v>13</v>
      </c>
      <c r="F477" t="s">
        <v>14</v>
      </c>
      <c r="G477" t="s">
        <v>15</v>
      </c>
      <c r="K477" cm="1">
        <f t="array" ref="K477">_xlfn.SWITCH(LeadsData[[#This Row],[Funnel Stage Reached]],"Lead",1,"MQL",2,"SQL",3,"Customer",4)</f>
        <v>1</v>
      </c>
      <c r="L477" t="str">
        <f>TEXT(LeadsData[[#This Row],[Signup Date]],"mmm-yyyy")</f>
        <v>Nov-2024</v>
      </c>
      <c r="M477">
        <f>IF(LeadsData[[#This Row],[Stage Number]]&gt;=2,1,0)</f>
        <v>0</v>
      </c>
      <c r="N477" s="2">
        <f>IF(LeadsData[[#This Row],[Stage Number]]&gt;=3,1,0)</f>
        <v>0</v>
      </c>
      <c r="O477" s="2">
        <f>IF(LeadsData[[#This Row],[Stage Number]]&gt;=4,1,0)</f>
        <v>0</v>
      </c>
    </row>
    <row r="478" spans="1:15" x14ac:dyDescent="0.25">
      <c r="A478" t="s">
        <v>518</v>
      </c>
      <c r="B478" s="1">
        <v>45551</v>
      </c>
      <c r="C478" t="s">
        <v>31</v>
      </c>
      <c r="D478" t="s">
        <v>32</v>
      </c>
      <c r="E478" t="s">
        <v>13</v>
      </c>
      <c r="F478" t="s">
        <v>19</v>
      </c>
      <c r="G478" t="s">
        <v>29</v>
      </c>
      <c r="K478" cm="1">
        <f t="array" ref="K478">_xlfn.SWITCH(LeadsData[[#This Row],[Funnel Stage Reached]],"Lead",1,"MQL",2,"SQL",3,"Customer",4)</f>
        <v>3</v>
      </c>
      <c r="L478" t="str">
        <f>TEXT(LeadsData[[#This Row],[Signup Date]],"mmm-yyyy")</f>
        <v>Sep-2024</v>
      </c>
      <c r="M478">
        <f>IF(LeadsData[[#This Row],[Stage Number]]&gt;=2,1,0)</f>
        <v>1</v>
      </c>
      <c r="N478" s="2">
        <f>IF(LeadsData[[#This Row],[Stage Number]]&gt;=3,1,0)</f>
        <v>1</v>
      </c>
      <c r="O478" s="2">
        <f>IF(LeadsData[[#This Row],[Stage Number]]&gt;=4,1,0)</f>
        <v>0</v>
      </c>
    </row>
    <row r="479" spans="1:15" x14ac:dyDescent="0.25">
      <c r="A479" t="s">
        <v>519</v>
      </c>
      <c r="B479" s="1">
        <v>45555</v>
      </c>
      <c r="C479" t="s">
        <v>36</v>
      </c>
      <c r="D479" t="s">
        <v>50</v>
      </c>
      <c r="E479" t="s">
        <v>13</v>
      </c>
      <c r="F479" t="s">
        <v>14</v>
      </c>
      <c r="G479" t="s">
        <v>29</v>
      </c>
      <c r="K479" cm="1">
        <f t="array" ref="K479">_xlfn.SWITCH(LeadsData[[#This Row],[Funnel Stage Reached]],"Lead",1,"MQL",2,"SQL",3,"Customer",4)</f>
        <v>3</v>
      </c>
      <c r="L479" t="str">
        <f>TEXT(LeadsData[[#This Row],[Signup Date]],"mmm-yyyy")</f>
        <v>Sep-2024</v>
      </c>
      <c r="M479">
        <f>IF(LeadsData[[#This Row],[Stage Number]]&gt;=2,1,0)</f>
        <v>1</v>
      </c>
      <c r="N479" s="2">
        <f>IF(LeadsData[[#This Row],[Stage Number]]&gt;=3,1,0)</f>
        <v>1</v>
      </c>
      <c r="O479" s="2">
        <f>IF(LeadsData[[#This Row],[Stage Number]]&gt;=4,1,0)</f>
        <v>0</v>
      </c>
    </row>
    <row r="480" spans="1:15" x14ac:dyDescent="0.25">
      <c r="A480" t="s">
        <v>520</v>
      </c>
      <c r="B480" s="1">
        <v>45361</v>
      </c>
      <c r="C480" t="s">
        <v>46</v>
      </c>
      <c r="D480" t="s">
        <v>47</v>
      </c>
      <c r="E480" t="s">
        <v>21</v>
      </c>
      <c r="F480" t="s">
        <v>22</v>
      </c>
      <c r="G480" t="s">
        <v>15</v>
      </c>
      <c r="K480" cm="1">
        <f t="array" ref="K480">_xlfn.SWITCH(LeadsData[[#This Row],[Funnel Stage Reached]],"Lead",1,"MQL",2,"SQL",3,"Customer",4)</f>
        <v>1</v>
      </c>
      <c r="L480" t="str">
        <f>TEXT(LeadsData[[#This Row],[Signup Date]],"mmm-yyyy")</f>
        <v>Mar-2024</v>
      </c>
      <c r="M480">
        <f>IF(LeadsData[[#This Row],[Stage Number]]&gt;=2,1,0)</f>
        <v>0</v>
      </c>
      <c r="N480" s="2">
        <f>IF(LeadsData[[#This Row],[Stage Number]]&gt;=3,1,0)</f>
        <v>0</v>
      </c>
      <c r="O480" s="2">
        <f>IF(LeadsData[[#This Row],[Stage Number]]&gt;=4,1,0)</f>
        <v>0</v>
      </c>
    </row>
    <row r="481" spans="1:15" x14ac:dyDescent="0.25">
      <c r="A481" t="s">
        <v>521</v>
      </c>
      <c r="B481" s="1">
        <v>45636</v>
      </c>
      <c r="C481" t="s">
        <v>36</v>
      </c>
      <c r="D481" t="s">
        <v>50</v>
      </c>
      <c r="E481" t="s">
        <v>13</v>
      </c>
      <c r="F481" t="s">
        <v>19</v>
      </c>
      <c r="G481" t="s">
        <v>23</v>
      </c>
      <c r="K481" cm="1">
        <f t="array" ref="K481">_xlfn.SWITCH(LeadsData[[#This Row],[Funnel Stage Reached]],"Lead",1,"MQL",2,"SQL",3,"Customer",4)</f>
        <v>2</v>
      </c>
      <c r="L481" t="str">
        <f>TEXT(LeadsData[[#This Row],[Signup Date]],"mmm-yyyy")</f>
        <v>Dec-2024</v>
      </c>
      <c r="M481">
        <f>IF(LeadsData[[#This Row],[Stage Number]]&gt;=2,1,0)</f>
        <v>1</v>
      </c>
      <c r="N481" s="2">
        <f>IF(LeadsData[[#This Row],[Stage Number]]&gt;=3,1,0)</f>
        <v>0</v>
      </c>
      <c r="O481" s="2">
        <f>IF(LeadsData[[#This Row],[Stage Number]]&gt;=4,1,0)</f>
        <v>0</v>
      </c>
    </row>
    <row r="482" spans="1:15" x14ac:dyDescent="0.25">
      <c r="A482" t="s">
        <v>522</v>
      </c>
      <c r="B482" s="1">
        <v>45569</v>
      </c>
      <c r="C482" t="s">
        <v>31</v>
      </c>
      <c r="D482" t="s">
        <v>34</v>
      </c>
      <c r="E482" t="s">
        <v>13</v>
      </c>
      <c r="F482" t="s">
        <v>19</v>
      </c>
      <c r="G482" t="s">
        <v>15</v>
      </c>
      <c r="K482" cm="1">
        <f t="array" ref="K482">_xlfn.SWITCH(LeadsData[[#This Row],[Funnel Stage Reached]],"Lead",1,"MQL",2,"SQL",3,"Customer",4)</f>
        <v>1</v>
      </c>
      <c r="L482" t="str">
        <f>TEXT(LeadsData[[#This Row],[Signup Date]],"mmm-yyyy")</f>
        <v>Oct-2024</v>
      </c>
      <c r="M482">
        <f>IF(LeadsData[[#This Row],[Stage Number]]&gt;=2,1,0)</f>
        <v>0</v>
      </c>
      <c r="N482" s="2">
        <f>IF(LeadsData[[#This Row],[Stage Number]]&gt;=3,1,0)</f>
        <v>0</v>
      </c>
      <c r="O482" s="2">
        <f>IF(LeadsData[[#This Row],[Stage Number]]&gt;=4,1,0)</f>
        <v>0</v>
      </c>
    </row>
    <row r="483" spans="1:15" x14ac:dyDescent="0.25">
      <c r="A483" t="s">
        <v>523</v>
      </c>
      <c r="B483" s="1">
        <v>45613</v>
      </c>
      <c r="C483" t="s">
        <v>11</v>
      </c>
      <c r="D483" t="s">
        <v>79</v>
      </c>
      <c r="E483" t="s">
        <v>13</v>
      </c>
      <c r="F483" t="s">
        <v>19</v>
      </c>
      <c r="G483" t="s">
        <v>23</v>
      </c>
      <c r="K483" cm="1">
        <f t="array" ref="K483">_xlfn.SWITCH(LeadsData[[#This Row],[Funnel Stage Reached]],"Lead",1,"MQL",2,"SQL",3,"Customer",4)</f>
        <v>2</v>
      </c>
      <c r="L483" t="str">
        <f>TEXT(LeadsData[[#This Row],[Signup Date]],"mmm-yyyy")</f>
        <v>Nov-2024</v>
      </c>
      <c r="M483">
        <f>IF(LeadsData[[#This Row],[Stage Number]]&gt;=2,1,0)</f>
        <v>1</v>
      </c>
      <c r="N483" s="2">
        <f>IF(LeadsData[[#This Row],[Stage Number]]&gt;=3,1,0)</f>
        <v>0</v>
      </c>
      <c r="O483" s="2">
        <f>IF(LeadsData[[#This Row],[Stage Number]]&gt;=4,1,0)</f>
        <v>0</v>
      </c>
    </row>
    <row r="484" spans="1:15" x14ac:dyDescent="0.25">
      <c r="A484" t="s">
        <v>524</v>
      </c>
      <c r="B484" s="1">
        <v>45315</v>
      </c>
      <c r="C484" t="s">
        <v>17</v>
      </c>
      <c r="D484" t="s">
        <v>18</v>
      </c>
      <c r="E484" t="s">
        <v>13</v>
      </c>
      <c r="F484" t="s">
        <v>19</v>
      </c>
      <c r="G484" t="s">
        <v>15</v>
      </c>
      <c r="K484" cm="1">
        <f t="array" ref="K484">_xlfn.SWITCH(LeadsData[[#This Row],[Funnel Stage Reached]],"Lead",1,"MQL",2,"SQL",3,"Customer",4)</f>
        <v>1</v>
      </c>
      <c r="L484" t="str">
        <f>TEXT(LeadsData[[#This Row],[Signup Date]],"mmm-yyyy")</f>
        <v>Jan-2024</v>
      </c>
      <c r="M484">
        <f>IF(LeadsData[[#This Row],[Stage Number]]&gt;=2,1,0)</f>
        <v>0</v>
      </c>
      <c r="N484" s="2">
        <f>IF(LeadsData[[#This Row],[Stage Number]]&gt;=3,1,0)</f>
        <v>0</v>
      </c>
      <c r="O484" s="2">
        <f>IF(LeadsData[[#This Row],[Stage Number]]&gt;=4,1,0)</f>
        <v>0</v>
      </c>
    </row>
    <row r="485" spans="1:15" x14ac:dyDescent="0.25">
      <c r="A485" t="s">
        <v>525</v>
      </c>
      <c r="B485" s="1">
        <v>45570</v>
      </c>
      <c r="C485" t="s">
        <v>31</v>
      </c>
      <c r="D485" t="s">
        <v>34</v>
      </c>
      <c r="E485" t="s">
        <v>21</v>
      </c>
      <c r="F485" t="s">
        <v>22</v>
      </c>
      <c r="G485" t="s">
        <v>15</v>
      </c>
      <c r="K485" cm="1">
        <f t="array" ref="K485">_xlfn.SWITCH(LeadsData[[#This Row],[Funnel Stage Reached]],"Lead",1,"MQL",2,"SQL",3,"Customer",4)</f>
        <v>1</v>
      </c>
      <c r="L485" t="str">
        <f>TEXT(LeadsData[[#This Row],[Signup Date]],"mmm-yyyy")</f>
        <v>Oct-2024</v>
      </c>
      <c r="M485">
        <f>IF(LeadsData[[#This Row],[Stage Number]]&gt;=2,1,0)</f>
        <v>0</v>
      </c>
      <c r="N485" s="2">
        <f>IF(LeadsData[[#This Row],[Stage Number]]&gt;=3,1,0)</f>
        <v>0</v>
      </c>
      <c r="O485" s="2">
        <f>IF(LeadsData[[#This Row],[Stage Number]]&gt;=4,1,0)</f>
        <v>0</v>
      </c>
    </row>
    <row r="486" spans="1:15" x14ac:dyDescent="0.25">
      <c r="A486" t="s">
        <v>526</v>
      </c>
      <c r="B486" s="1">
        <v>45553</v>
      </c>
      <c r="C486" t="s">
        <v>11</v>
      </c>
      <c r="D486" t="s">
        <v>12</v>
      </c>
      <c r="E486" t="s">
        <v>21</v>
      </c>
      <c r="F486" t="s">
        <v>19</v>
      </c>
      <c r="G486" t="s">
        <v>23</v>
      </c>
      <c r="K486" cm="1">
        <f t="array" ref="K486">_xlfn.SWITCH(LeadsData[[#This Row],[Funnel Stage Reached]],"Lead",1,"MQL",2,"SQL",3,"Customer",4)</f>
        <v>2</v>
      </c>
      <c r="L486" t="str">
        <f>TEXT(LeadsData[[#This Row],[Signup Date]],"mmm-yyyy")</f>
        <v>Sep-2024</v>
      </c>
      <c r="M486">
        <f>IF(LeadsData[[#This Row],[Stage Number]]&gt;=2,1,0)</f>
        <v>1</v>
      </c>
      <c r="N486" s="2">
        <f>IF(LeadsData[[#This Row],[Stage Number]]&gt;=3,1,0)</f>
        <v>0</v>
      </c>
      <c r="O486" s="2">
        <f>IF(LeadsData[[#This Row],[Stage Number]]&gt;=4,1,0)</f>
        <v>0</v>
      </c>
    </row>
    <row r="487" spans="1:15" x14ac:dyDescent="0.25">
      <c r="A487" t="s">
        <v>527</v>
      </c>
      <c r="B487" s="1">
        <v>45647</v>
      </c>
      <c r="C487" t="s">
        <v>17</v>
      </c>
      <c r="D487" t="s">
        <v>18</v>
      </c>
      <c r="E487" t="s">
        <v>21</v>
      </c>
      <c r="F487" t="s">
        <v>22</v>
      </c>
      <c r="G487" t="s">
        <v>15</v>
      </c>
      <c r="K487" cm="1">
        <f t="array" ref="K487">_xlfn.SWITCH(LeadsData[[#This Row],[Funnel Stage Reached]],"Lead",1,"MQL",2,"SQL",3,"Customer",4)</f>
        <v>1</v>
      </c>
      <c r="L487" t="str">
        <f>TEXT(LeadsData[[#This Row],[Signup Date]],"mmm-yyyy")</f>
        <v>Dec-2024</v>
      </c>
      <c r="M487">
        <f>IF(LeadsData[[#This Row],[Stage Number]]&gt;=2,1,0)</f>
        <v>0</v>
      </c>
      <c r="N487" s="2">
        <f>IF(LeadsData[[#This Row],[Stage Number]]&gt;=3,1,0)</f>
        <v>0</v>
      </c>
      <c r="O487" s="2">
        <f>IF(LeadsData[[#This Row],[Stage Number]]&gt;=4,1,0)</f>
        <v>0</v>
      </c>
    </row>
    <row r="488" spans="1:15" x14ac:dyDescent="0.25">
      <c r="A488" t="s">
        <v>528</v>
      </c>
      <c r="B488" s="1">
        <v>45315</v>
      </c>
      <c r="C488" t="s">
        <v>25</v>
      </c>
      <c r="D488" t="s">
        <v>26</v>
      </c>
      <c r="E488" t="s">
        <v>21</v>
      </c>
      <c r="F488" t="s">
        <v>22</v>
      </c>
      <c r="G488" t="s">
        <v>15</v>
      </c>
      <c r="K488" cm="1">
        <f t="array" ref="K488">_xlfn.SWITCH(LeadsData[[#This Row],[Funnel Stage Reached]],"Lead",1,"MQL",2,"SQL",3,"Customer",4)</f>
        <v>1</v>
      </c>
      <c r="L488" t="str">
        <f>TEXT(LeadsData[[#This Row],[Signup Date]],"mmm-yyyy")</f>
        <v>Jan-2024</v>
      </c>
      <c r="M488">
        <f>IF(LeadsData[[#This Row],[Stage Number]]&gt;=2,1,0)</f>
        <v>0</v>
      </c>
      <c r="N488" s="2">
        <f>IF(LeadsData[[#This Row],[Stage Number]]&gt;=3,1,0)</f>
        <v>0</v>
      </c>
      <c r="O488" s="2">
        <f>IF(LeadsData[[#This Row],[Stage Number]]&gt;=4,1,0)</f>
        <v>0</v>
      </c>
    </row>
    <row r="489" spans="1:15" x14ac:dyDescent="0.25">
      <c r="A489" t="s">
        <v>529</v>
      </c>
      <c r="B489" s="1">
        <v>45563</v>
      </c>
      <c r="C489" t="s">
        <v>25</v>
      </c>
      <c r="D489" t="s">
        <v>26</v>
      </c>
      <c r="E489" t="s">
        <v>13</v>
      </c>
      <c r="F489" t="s">
        <v>19</v>
      </c>
      <c r="G489" t="s">
        <v>15</v>
      </c>
      <c r="K489" cm="1">
        <f t="array" ref="K489">_xlfn.SWITCH(LeadsData[[#This Row],[Funnel Stage Reached]],"Lead",1,"MQL",2,"SQL",3,"Customer",4)</f>
        <v>1</v>
      </c>
      <c r="L489" t="str">
        <f>TEXT(LeadsData[[#This Row],[Signup Date]],"mmm-yyyy")</f>
        <v>Sep-2024</v>
      </c>
      <c r="M489">
        <f>IF(LeadsData[[#This Row],[Stage Number]]&gt;=2,1,0)</f>
        <v>0</v>
      </c>
      <c r="N489" s="2">
        <f>IF(LeadsData[[#This Row],[Stage Number]]&gt;=3,1,0)</f>
        <v>0</v>
      </c>
      <c r="O489" s="2">
        <f>IF(LeadsData[[#This Row],[Stage Number]]&gt;=4,1,0)</f>
        <v>0</v>
      </c>
    </row>
    <row r="490" spans="1:15" x14ac:dyDescent="0.25">
      <c r="A490" t="s">
        <v>530</v>
      </c>
      <c r="B490" s="1">
        <v>45302</v>
      </c>
      <c r="C490" t="s">
        <v>17</v>
      </c>
      <c r="D490" t="s">
        <v>18</v>
      </c>
      <c r="E490" t="s">
        <v>21</v>
      </c>
      <c r="F490" t="s">
        <v>19</v>
      </c>
      <c r="G490" t="s">
        <v>15</v>
      </c>
      <c r="K490" cm="1">
        <f t="array" ref="K490">_xlfn.SWITCH(LeadsData[[#This Row],[Funnel Stage Reached]],"Lead",1,"MQL",2,"SQL",3,"Customer",4)</f>
        <v>1</v>
      </c>
      <c r="L490" t="str">
        <f>TEXT(LeadsData[[#This Row],[Signup Date]],"mmm-yyyy")</f>
        <v>Jan-2024</v>
      </c>
      <c r="M490">
        <f>IF(LeadsData[[#This Row],[Stage Number]]&gt;=2,1,0)</f>
        <v>0</v>
      </c>
      <c r="N490" s="2">
        <f>IF(LeadsData[[#This Row],[Stage Number]]&gt;=3,1,0)</f>
        <v>0</v>
      </c>
      <c r="O490" s="2">
        <f>IF(LeadsData[[#This Row],[Stage Number]]&gt;=4,1,0)</f>
        <v>0</v>
      </c>
    </row>
    <row r="491" spans="1:15" x14ac:dyDescent="0.25">
      <c r="A491" t="s">
        <v>531</v>
      </c>
      <c r="B491" s="1">
        <v>45476</v>
      </c>
      <c r="C491" t="s">
        <v>17</v>
      </c>
      <c r="D491" t="s">
        <v>53</v>
      </c>
      <c r="E491" t="s">
        <v>21</v>
      </c>
      <c r="F491" t="s">
        <v>22</v>
      </c>
      <c r="G491" t="s">
        <v>15</v>
      </c>
      <c r="K491" cm="1">
        <f t="array" ref="K491">_xlfn.SWITCH(LeadsData[[#This Row],[Funnel Stage Reached]],"Lead",1,"MQL",2,"SQL",3,"Customer",4)</f>
        <v>1</v>
      </c>
      <c r="L491" t="str">
        <f>TEXT(LeadsData[[#This Row],[Signup Date]],"mmm-yyyy")</f>
        <v>Jul-2024</v>
      </c>
      <c r="M491">
        <f>IF(LeadsData[[#This Row],[Stage Number]]&gt;=2,1,0)</f>
        <v>0</v>
      </c>
      <c r="N491" s="2">
        <f>IF(LeadsData[[#This Row],[Stage Number]]&gt;=3,1,0)</f>
        <v>0</v>
      </c>
      <c r="O491" s="2">
        <f>IF(LeadsData[[#This Row],[Stage Number]]&gt;=4,1,0)</f>
        <v>0</v>
      </c>
    </row>
    <row r="492" spans="1:15" x14ac:dyDescent="0.25">
      <c r="A492" t="s">
        <v>532</v>
      </c>
      <c r="B492" s="1">
        <v>45580</v>
      </c>
      <c r="C492" t="s">
        <v>46</v>
      </c>
      <c r="D492" t="s">
        <v>56</v>
      </c>
      <c r="E492" t="s">
        <v>21</v>
      </c>
      <c r="F492" t="s">
        <v>22</v>
      </c>
      <c r="G492" t="s">
        <v>23</v>
      </c>
      <c r="K492" cm="1">
        <f t="array" ref="K492">_xlfn.SWITCH(LeadsData[[#This Row],[Funnel Stage Reached]],"Lead",1,"MQL",2,"SQL",3,"Customer",4)</f>
        <v>2</v>
      </c>
      <c r="L492" t="str">
        <f>TEXT(LeadsData[[#This Row],[Signup Date]],"mmm-yyyy")</f>
        <v>Oct-2024</v>
      </c>
      <c r="M492">
        <f>IF(LeadsData[[#This Row],[Stage Number]]&gt;=2,1,0)</f>
        <v>1</v>
      </c>
      <c r="N492" s="2">
        <f>IF(LeadsData[[#This Row],[Stage Number]]&gt;=3,1,0)</f>
        <v>0</v>
      </c>
      <c r="O492" s="2">
        <f>IF(LeadsData[[#This Row],[Stage Number]]&gt;=4,1,0)</f>
        <v>0</v>
      </c>
    </row>
    <row r="493" spans="1:15" x14ac:dyDescent="0.25">
      <c r="A493" t="s">
        <v>533</v>
      </c>
      <c r="B493" s="1">
        <v>45398</v>
      </c>
      <c r="C493" t="s">
        <v>31</v>
      </c>
      <c r="D493" t="s">
        <v>34</v>
      </c>
      <c r="E493" t="s">
        <v>21</v>
      </c>
      <c r="F493" t="s">
        <v>22</v>
      </c>
      <c r="G493" t="s">
        <v>23</v>
      </c>
      <c r="K493" cm="1">
        <f t="array" ref="K493">_xlfn.SWITCH(LeadsData[[#This Row],[Funnel Stage Reached]],"Lead",1,"MQL",2,"SQL",3,"Customer",4)</f>
        <v>2</v>
      </c>
      <c r="L493" t="str">
        <f>TEXT(LeadsData[[#This Row],[Signup Date]],"mmm-yyyy")</f>
        <v>Apr-2024</v>
      </c>
      <c r="M493">
        <f>IF(LeadsData[[#This Row],[Stage Number]]&gt;=2,1,0)</f>
        <v>1</v>
      </c>
      <c r="N493" s="2">
        <f>IF(LeadsData[[#This Row],[Stage Number]]&gt;=3,1,0)</f>
        <v>0</v>
      </c>
      <c r="O493" s="2">
        <f>IF(LeadsData[[#This Row],[Stage Number]]&gt;=4,1,0)</f>
        <v>0</v>
      </c>
    </row>
    <row r="494" spans="1:15" x14ac:dyDescent="0.25">
      <c r="A494" t="s">
        <v>534</v>
      </c>
      <c r="B494" s="1">
        <v>45386</v>
      </c>
      <c r="C494" t="s">
        <v>25</v>
      </c>
      <c r="D494" t="s">
        <v>26</v>
      </c>
      <c r="E494" t="s">
        <v>21</v>
      </c>
      <c r="F494" t="s">
        <v>19</v>
      </c>
      <c r="G494" t="s">
        <v>15</v>
      </c>
      <c r="K494" cm="1">
        <f t="array" ref="K494">_xlfn.SWITCH(LeadsData[[#This Row],[Funnel Stage Reached]],"Lead",1,"MQL",2,"SQL",3,"Customer",4)</f>
        <v>1</v>
      </c>
      <c r="L494" t="str">
        <f>TEXT(LeadsData[[#This Row],[Signup Date]],"mmm-yyyy")</f>
        <v>Apr-2024</v>
      </c>
      <c r="M494">
        <f>IF(LeadsData[[#This Row],[Stage Number]]&gt;=2,1,0)</f>
        <v>0</v>
      </c>
      <c r="N494" s="2">
        <f>IF(LeadsData[[#This Row],[Stage Number]]&gt;=3,1,0)</f>
        <v>0</v>
      </c>
      <c r="O494" s="2">
        <f>IF(LeadsData[[#This Row],[Stage Number]]&gt;=4,1,0)</f>
        <v>0</v>
      </c>
    </row>
    <row r="495" spans="1:15" x14ac:dyDescent="0.25">
      <c r="A495" t="s">
        <v>535</v>
      </c>
      <c r="B495" s="1">
        <v>45462</v>
      </c>
      <c r="C495" t="s">
        <v>31</v>
      </c>
      <c r="D495" t="s">
        <v>32</v>
      </c>
      <c r="E495" t="s">
        <v>48</v>
      </c>
      <c r="F495" t="s">
        <v>14</v>
      </c>
      <c r="G495" t="s">
        <v>29</v>
      </c>
      <c r="K495" cm="1">
        <f t="array" ref="K495">_xlfn.SWITCH(LeadsData[[#This Row],[Funnel Stage Reached]],"Lead",1,"MQL",2,"SQL",3,"Customer",4)</f>
        <v>3</v>
      </c>
      <c r="L495" t="str">
        <f>TEXT(LeadsData[[#This Row],[Signup Date]],"mmm-yyyy")</f>
        <v>Jun-2024</v>
      </c>
      <c r="M495">
        <f>IF(LeadsData[[#This Row],[Stage Number]]&gt;=2,1,0)</f>
        <v>1</v>
      </c>
      <c r="N495" s="2">
        <f>IF(LeadsData[[#This Row],[Stage Number]]&gt;=3,1,0)</f>
        <v>1</v>
      </c>
      <c r="O495" s="2">
        <f>IF(LeadsData[[#This Row],[Stage Number]]&gt;=4,1,0)</f>
        <v>0</v>
      </c>
    </row>
    <row r="496" spans="1:15" x14ac:dyDescent="0.25">
      <c r="A496" t="s">
        <v>536</v>
      </c>
      <c r="B496" s="1">
        <v>45358</v>
      </c>
      <c r="C496" t="s">
        <v>25</v>
      </c>
      <c r="D496" t="s">
        <v>26</v>
      </c>
      <c r="E496" t="s">
        <v>13</v>
      </c>
      <c r="F496" t="s">
        <v>14</v>
      </c>
      <c r="G496" t="s">
        <v>29</v>
      </c>
      <c r="K496" cm="1">
        <f t="array" ref="K496">_xlfn.SWITCH(LeadsData[[#This Row],[Funnel Stage Reached]],"Lead",1,"MQL",2,"SQL",3,"Customer",4)</f>
        <v>3</v>
      </c>
      <c r="L496" t="str">
        <f>TEXT(LeadsData[[#This Row],[Signup Date]],"mmm-yyyy")</f>
        <v>Mar-2024</v>
      </c>
      <c r="M496">
        <f>IF(LeadsData[[#This Row],[Stage Number]]&gt;=2,1,0)</f>
        <v>1</v>
      </c>
      <c r="N496" s="2">
        <f>IF(LeadsData[[#This Row],[Stage Number]]&gt;=3,1,0)</f>
        <v>1</v>
      </c>
      <c r="O496" s="2">
        <f>IF(LeadsData[[#This Row],[Stage Number]]&gt;=4,1,0)</f>
        <v>0</v>
      </c>
    </row>
    <row r="497" spans="1:15" x14ac:dyDescent="0.25">
      <c r="A497" t="s">
        <v>537</v>
      </c>
      <c r="B497" s="1">
        <v>45466</v>
      </c>
      <c r="C497" t="s">
        <v>17</v>
      </c>
      <c r="D497" t="s">
        <v>53</v>
      </c>
      <c r="E497" t="s">
        <v>13</v>
      </c>
      <c r="F497" t="s">
        <v>19</v>
      </c>
      <c r="G497" t="s">
        <v>15</v>
      </c>
      <c r="K497" cm="1">
        <f t="array" ref="K497">_xlfn.SWITCH(LeadsData[[#This Row],[Funnel Stage Reached]],"Lead",1,"MQL",2,"SQL",3,"Customer",4)</f>
        <v>1</v>
      </c>
      <c r="L497" t="str">
        <f>TEXT(LeadsData[[#This Row],[Signup Date]],"mmm-yyyy")</f>
        <v>Jun-2024</v>
      </c>
      <c r="M497">
        <f>IF(LeadsData[[#This Row],[Stage Number]]&gt;=2,1,0)</f>
        <v>0</v>
      </c>
      <c r="N497" s="2">
        <f>IF(LeadsData[[#This Row],[Stage Number]]&gt;=3,1,0)</f>
        <v>0</v>
      </c>
      <c r="O497" s="2">
        <f>IF(LeadsData[[#This Row],[Stage Number]]&gt;=4,1,0)</f>
        <v>0</v>
      </c>
    </row>
    <row r="498" spans="1:15" x14ac:dyDescent="0.25">
      <c r="A498" t="s">
        <v>538</v>
      </c>
      <c r="B498" s="1">
        <v>45404</v>
      </c>
      <c r="C498" t="s">
        <v>17</v>
      </c>
      <c r="D498" t="s">
        <v>53</v>
      </c>
      <c r="E498" t="s">
        <v>48</v>
      </c>
      <c r="F498" t="s">
        <v>14</v>
      </c>
      <c r="G498" t="s">
        <v>15</v>
      </c>
      <c r="K498" cm="1">
        <f t="array" ref="K498">_xlfn.SWITCH(LeadsData[[#This Row],[Funnel Stage Reached]],"Lead",1,"MQL",2,"SQL",3,"Customer",4)</f>
        <v>1</v>
      </c>
      <c r="L498" t="str">
        <f>TEXT(LeadsData[[#This Row],[Signup Date]],"mmm-yyyy")</f>
        <v>Apr-2024</v>
      </c>
      <c r="M498">
        <f>IF(LeadsData[[#This Row],[Stage Number]]&gt;=2,1,0)</f>
        <v>0</v>
      </c>
      <c r="N498" s="2">
        <f>IF(LeadsData[[#This Row],[Stage Number]]&gt;=3,1,0)</f>
        <v>0</v>
      </c>
      <c r="O498" s="2">
        <f>IF(LeadsData[[#This Row],[Stage Number]]&gt;=4,1,0)</f>
        <v>0</v>
      </c>
    </row>
    <row r="499" spans="1:15" x14ac:dyDescent="0.25">
      <c r="A499" t="s">
        <v>539</v>
      </c>
      <c r="B499" s="1">
        <v>45587</v>
      </c>
      <c r="C499" t="s">
        <v>11</v>
      </c>
      <c r="D499" t="s">
        <v>68</v>
      </c>
      <c r="E499" t="s">
        <v>21</v>
      </c>
      <c r="F499" t="s">
        <v>14</v>
      </c>
      <c r="G499" t="s">
        <v>15</v>
      </c>
      <c r="K499" cm="1">
        <f t="array" ref="K499">_xlfn.SWITCH(LeadsData[[#This Row],[Funnel Stage Reached]],"Lead",1,"MQL",2,"SQL",3,"Customer",4)</f>
        <v>1</v>
      </c>
      <c r="L499" t="str">
        <f>TEXT(LeadsData[[#This Row],[Signup Date]],"mmm-yyyy")</f>
        <v>Oct-2024</v>
      </c>
      <c r="M499">
        <f>IF(LeadsData[[#This Row],[Stage Number]]&gt;=2,1,0)</f>
        <v>0</v>
      </c>
      <c r="N499" s="2">
        <f>IF(LeadsData[[#This Row],[Stage Number]]&gt;=3,1,0)</f>
        <v>0</v>
      </c>
      <c r="O499" s="2">
        <f>IF(LeadsData[[#This Row],[Stage Number]]&gt;=4,1,0)</f>
        <v>0</v>
      </c>
    </row>
    <row r="500" spans="1:15" x14ac:dyDescent="0.25">
      <c r="A500" t="s">
        <v>540</v>
      </c>
      <c r="B500" s="1">
        <v>45383</v>
      </c>
      <c r="C500" t="s">
        <v>36</v>
      </c>
      <c r="D500" t="s">
        <v>50</v>
      </c>
      <c r="E500" t="s">
        <v>21</v>
      </c>
      <c r="F500" t="s">
        <v>14</v>
      </c>
      <c r="G500" t="s">
        <v>29</v>
      </c>
      <c r="K500" cm="1">
        <f t="array" ref="K500">_xlfn.SWITCH(LeadsData[[#This Row],[Funnel Stage Reached]],"Lead",1,"MQL",2,"SQL",3,"Customer",4)</f>
        <v>3</v>
      </c>
      <c r="L500" t="str">
        <f>TEXT(LeadsData[[#This Row],[Signup Date]],"mmm-yyyy")</f>
        <v>Apr-2024</v>
      </c>
      <c r="M500">
        <f>IF(LeadsData[[#This Row],[Stage Number]]&gt;=2,1,0)</f>
        <v>1</v>
      </c>
      <c r="N500" s="2">
        <f>IF(LeadsData[[#This Row],[Stage Number]]&gt;=3,1,0)</f>
        <v>1</v>
      </c>
      <c r="O500" s="2">
        <f>IF(LeadsData[[#This Row],[Stage Number]]&gt;=4,1,0)</f>
        <v>0</v>
      </c>
    </row>
    <row r="501" spans="1:15" x14ac:dyDescent="0.25">
      <c r="A501" t="s">
        <v>541</v>
      </c>
      <c r="B501" s="1">
        <v>45637</v>
      </c>
      <c r="C501" t="s">
        <v>31</v>
      </c>
      <c r="D501" t="s">
        <v>32</v>
      </c>
      <c r="E501" t="s">
        <v>21</v>
      </c>
      <c r="F501" t="s">
        <v>22</v>
      </c>
      <c r="G501" t="s">
        <v>23</v>
      </c>
      <c r="K501" cm="1">
        <f t="array" ref="K501">_xlfn.SWITCH(LeadsData[[#This Row],[Funnel Stage Reached]],"Lead",1,"MQL",2,"SQL",3,"Customer",4)</f>
        <v>2</v>
      </c>
      <c r="L501" t="str">
        <f>TEXT(LeadsData[[#This Row],[Signup Date]],"mmm-yyyy")</f>
        <v>Dec-2024</v>
      </c>
      <c r="M501">
        <f>IF(LeadsData[[#This Row],[Stage Number]]&gt;=2,1,0)</f>
        <v>1</v>
      </c>
      <c r="N501" s="2">
        <f>IF(LeadsData[[#This Row],[Stage Number]]&gt;=3,1,0)</f>
        <v>0</v>
      </c>
      <c r="O501" s="2">
        <f>IF(LeadsData[[#This Row],[Stage Number]]&gt;=4,1,0)</f>
        <v>0</v>
      </c>
    </row>
    <row r="502" spans="1:15" x14ac:dyDescent="0.25">
      <c r="A502" t="s">
        <v>542</v>
      </c>
      <c r="B502" s="1">
        <v>45292</v>
      </c>
      <c r="C502" t="s">
        <v>11</v>
      </c>
      <c r="D502" t="s">
        <v>79</v>
      </c>
      <c r="E502" t="s">
        <v>13</v>
      </c>
      <c r="F502" t="s">
        <v>14</v>
      </c>
      <c r="G502" t="s">
        <v>23</v>
      </c>
      <c r="K502" cm="1">
        <f t="array" ref="K502">_xlfn.SWITCH(LeadsData[[#This Row],[Funnel Stage Reached]],"Lead",1,"MQL",2,"SQL",3,"Customer",4)</f>
        <v>2</v>
      </c>
      <c r="L502" t="str">
        <f>TEXT(LeadsData[[#This Row],[Signup Date]],"mmm-yyyy")</f>
        <v>Jan-2024</v>
      </c>
      <c r="M502">
        <f>IF(LeadsData[[#This Row],[Stage Number]]&gt;=2,1,0)</f>
        <v>1</v>
      </c>
      <c r="N502" s="2">
        <f>IF(LeadsData[[#This Row],[Stage Number]]&gt;=3,1,0)</f>
        <v>0</v>
      </c>
      <c r="O502" s="2">
        <f>IF(LeadsData[[#This Row],[Stage Number]]&gt;=4,1,0)</f>
        <v>0</v>
      </c>
    </row>
    <row r="503" spans="1:15" x14ac:dyDescent="0.25">
      <c r="A503" t="s">
        <v>543</v>
      </c>
      <c r="B503" s="1">
        <v>45395</v>
      </c>
      <c r="C503" t="s">
        <v>11</v>
      </c>
      <c r="D503" t="s">
        <v>79</v>
      </c>
      <c r="E503" t="s">
        <v>48</v>
      </c>
      <c r="F503" t="s">
        <v>19</v>
      </c>
      <c r="G503" t="s">
        <v>15</v>
      </c>
      <c r="K503" cm="1">
        <f t="array" ref="K503">_xlfn.SWITCH(LeadsData[[#This Row],[Funnel Stage Reached]],"Lead",1,"MQL",2,"SQL",3,"Customer",4)</f>
        <v>1</v>
      </c>
      <c r="L503" t="str">
        <f>TEXT(LeadsData[[#This Row],[Signup Date]],"mmm-yyyy")</f>
        <v>Apr-2024</v>
      </c>
      <c r="M503">
        <f>IF(LeadsData[[#This Row],[Stage Number]]&gt;=2,1,0)</f>
        <v>0</v>
      </c>
      <c r="N503" s="2">
        <f>IF(LeadsData[[#This Row],[Stage Number]]&gt;=3,1,0)</f>
        <v>0</v>
      </c>
      <c r="O503" s="2">
        <f>IF(LeadsData[[#This Row],[Stage Number]]&gt;=4,1,0)</f>
        <v>0</v>
      </c>
    </row>
    <row r="504" spans="1:15" x14ac:dyDescent="0.25">
      <c r="A504" t="s">
        <v>544</v>
      </c>
      <c r="B504" s="1">
        <v>45519</v>
      </c>
      <c r="C504" t="s">
        <v>25</v>
      </c>
      <c r="D504" t="s">
        <v>26</v>
      </c>
      <c r="E504" t="s">
        <v>21</v>
      </c>
      <c r="F504" t="s">
        <v>14</v>
      </c>
      <c r="G504" t="s">
        <v>15</v>
      </c>
      <c r="K504" cm="1">
        <f t="array" ref="K504">_xlfn.SWITCH(LeadsData[[#This Row],[Funnel Stage Reached]],"Lead",1,"MQL",2,"SQL",3,"Customer",4)</f>
        <v>1</v>
      </c>
      <c r="L504" t="str">
        <f>TEXT(LeadsData[[#This Row],[Signup Date]],"mmm-yyyy")</f>
        <v>Aug-2024</v>
      </c>
      <c r="M504">
        <f>IF(LeadsData[[#This Row],[Stage Number]]&gt;=2,1,0)</f>
        <v>0</v>
      </c>
      <c r="N504" s="2">
        <f>IF(LeadsData[[#This Row],[Stage Number]]&gt;=3,1,0)</f>
        <v>0</v>
      </c>
      <c r="O504" s="2">
        <f>IF(LeadsData[[#This Row],[Stage Number]]&gt;=4,1,0)</f>
        <v>0</v>
      </c>
    </row>
    <row r="505" spans="1:15" x14ac:dyDescent="0.25">
      <c r="A505" t="s">
        <v>545</v>
      </c>
      <c r="B505" s="1">
        <v>45350</v>
      </c>
      <c r="C505" t="s">
        <v>46</v>
      </c>
      <c r="D505" t="s">
        <v>56</v>
      </c>
      <c r="E505" t="s">
        <v>13</v>
      </c>
      <c r="F505" t="s">
        <v>22</v>
      </c>
      <c r="G505" t="s">
        <v>23</v>
      </c>
      <c r="K505" cm="1">
        <f t="array" ref="K505">_xlfn.SWITCH(LeadsData[[#This Row],[Funnel Stage Reached]],"Lead",1,"MQL",2,"SQL",3,"Customer",4)</f>
        <v>2</v>
      </c>
      <c r="L505" t="str">
        <f>TEXT(LeadsData[[#This Row],[Signup Date]],"mmm-yyyy")</f>
        <v>Feb-2024</v>
      </c>
      <c r="M505">
        <f>IF(LeadsData[[#This Row],[Stage Number]]&gt;=2,1,0)</f>
        <v>1</v>
      </c>
      <c r="N505" s="2">
        <f>IF(LeadsData[[#This Row],[Stage Number]]&gt;=3,1,0)</f>
        <v>0</v>
      </c>
      <c r="O505" s="2">
        <f>IF(LeadsData[[#This Row],[Stage Number]]&gt;=4,1,0)</f>
        <v>0</v>
      </c>
    </row>
    <row r="506" spans="1:15" x14ac:dyDescent="0.25">
      <c r="A506" t="s">
        <v>546</v>
      </c>
      <c r="B506" s="1">
        <v>45311</v>
      </c>
      <c r="C506" t="s">
        <v>46</v>
      </c>
      <c r="D506" t="s">
        <v>56</v>
      </c>
      <c r="E506" t="s">
        <v>13</v>
      </c>
      <c r="F506" t="s">
        <v>28</v>
      </c>
      <c r="G506" t="s">
        <v>29</v>
      </c>
      <c r="K506" cm="1">
        <f t="array" ref="K506">_xlfn.SWITCH(LeadsData[[#This Row],[Funnel Stage Reached]],"Lead",1,"MQL",2,"SQL",3,"Customer",4)</f>
        <v>3</v>
      </c>
      <c r="L506" t="str">
        <f>TEXT(LeadsData[[#This Row],[Signup Date]],"mmm-yyyy")</f>
        <v>Jan-2024</v>
      </c>
      <c r="M506">
        <f>IF(LeadsData[[#This Row],[Stage Number]]&gt;=2,1,0)</f>
        <v>1</v>
      </c>
      <c r="N506" s="2">
        <f>IF(LeadsData[[#This Row],[Stage Number]]&gt;=3,1,0)</f>
        <v>1</v>
      </c>
      <c r="O506" s="2">
        <f>IF(LeadsData[[#This Row],[Stage Number]]&gt;=4,1,0)</f>
        <v>0</v>
      </c>
    </row>
    <row r="507" spans="1:15" x14ac:dyDescent="0.25">
      <c r="A507" t="s">
        <v>547</v>
      </c>
      <c r="B507" s="1">
        <v>45323</v>
      </c>
      <c r="C507" t="s">
        <v>17</v>
      </c>
      <c r="D507" t="s">
        <v>18</v>
      </c>
      <c r="E507" t="s">
        <v>21</v>
      </c>
      <c r="F507" t="s">
        <v>28</v>
      </c>
      <c r="G507" t="s">
        <v>15</v>
      </c>
      <c r="K507" cm="1">
        <f t="array" ref="K507">_xlfn.SWITCH(LeadsData[[#This Row],[Funnel Stage Reached]],"Lead",1,"MQL",2,"SQL",3,"Customer",4)</f>
        <v>1</v>
      </c>
      <c r="L507" t="str">
        <f>TEXT(LeadsData[[#This Row],[Signup Date]],"mmm-yyyy")</f>
        <v>Feb-2024</v>
      </c>
      <c r="M507">
        <f>IF(LeadsData[[#This Row],[Stage Number]]&gt;=2,1,0)</f>
        <v>0</v>
      </c>
      <c r="N507" s="2">
        <f>IF(LeadsData[[#This Row],[Stage Number]]&gt;=3,1,0)</f>
        <v>0</v>
      </c>
      <c r="O507" s="2">
        <f>IF(LeadsData[[#This Row],[Stage Number]]&gt;=4,1,0)</f>
        <v>0</v>
      </c>
    </row>
    <row r="508" spans="1:15" x14ac:dyDescent="0.25">
      <c r="A508" t="s">
        <v>548</v>
      </c>
      <c r="B508" s="1">
        <v>45558</v>
      </c>
      <c r="C508" t="s">
        <v>11</v>
      </c>
      <c r="D508" t="s">
        <v>79</v>
      </c>
      <c r="E508" t="s">
        <v>21</v>
      </c>
      <c r="F508" t="s">
        <v>22</v>
      </c>
      <c r="G508" t="s">
        <v>29</v>
      </c>
      <c r="K508" cm="1">
        <f t="array" ref="K508">_xlfn.SWITCH(LeadsData[[#This Row],[Funnel Stage Reached]],"Lead",1,"MQL",2,"SQL",3,"Customer",4)</f>
        <v>3</v>
      </c>
      <c r="L508" t="str">
        <f>TEXT(LeadsData[[#This Row],[Signup Date]],"mmm-yyyy")</f>
        <v>Sep-2024</v>
      </c>
      <c r="M508">
        <f>IF(LeadsData[[#This Row],[Stage Number]]&gt;=2,1,0)</f>
        <v>1</v>
      </c>
      <c r="N508" s="2">
        <f>IF(LeadsData[[#This Row],[Stage Number]]&gt;=3,1,0)</f>
        <v>1</v>
      </c>
      <c r="O508" s="2">
        <f>IF(LeadsData[[#This Row],[Stage Number]]&gt;=4,1,0)</f>
        <v>0</v>
      </c>
    </row>
    <row r="509" spans="1:15" x14ac:dyDescent="0.25">
      <c r="A509" t="s">
        <v>549</v>
      </c>
      <c r="B509" s="1">
        <v>45449</v>
      </c>
      <c r="C509" t="s">
        <v>46</v>
      </c>
      <c r="D509" t="s">
        <v>47</v>
      </c>
      <c r="E509" t="s">
        <v>48</v>
      </c>
      <c r="F509" t="s">
        <v>19</v>
      </c>
      <c r="G509" t="s">
        <v>29</v>
      </c>
      <c r="K509" cm="1">
        <f t="array" ref="K509">_xlfn.SWITCH(LeadsData[[#This Row],[Funnel Stage Reached]],"Lead",1,"MQL",2,"SQL",3,"Customer",4)</f>
        <v>3</v>
      </c>
      <c r="L509" t="str">
        <f>TEXT(LeadsData[[#This Row],[Signup Date]],"mmm-yyyy")</f>
        <v>Jun-2024</v>
      </c>
      <c r="M509">
        <f>IF(LeadsData[[#This Row],[Stage Number]]&gt;=2,1,0)</f>
        <v>1</v>
      </c>
      <c r="N509" s="2">
        <f>IF(LeadsData[[#This Row],[Stage Number]]&gt;=3,1,0)</f>
        <v>1</v>
      </c>
      <c r="O509" s="2">
        <f>IF(LeadsData[[#This Row],[Stage Number]]&gt;=4,1,0)</f>
        <v>0</v>
      </c>
    </row>
    <row r="510" spans="1:15" x14ac:dyDescent="0.25">
      <c r="A510" t="s">
        <v>550</v>
      </c>
      <c r="B510" s="1">
        <v>45451</v>
      </c>
      <c r="C510" t="s">
        <v>17</v>
      </c>
      <c r="D510" t="s">
        <v>18</v>
      </c>
      <c r="E510" t="s">
        <v>21</v>
      </c>
      <c r="F510" t="s">
        <v>19</v>
      </c>
      <c r="G510" t="s">
        <v>29</v>
      </c>
      <c r="K510" cm="1">
        <f t="array" ref="K510">_xlfn.SWITCH(LeadsData[[#This Row],[Funnel Stage Reached]],"Lead",1,"MQL",2,"SQL",3,"Customer",4)</f>
        <v>3</v>
      </c>
      <c r="L510" t="str">
        <f>TEXT(LeadsData[[#This Row],[Signup Date]],"mmm-yyyy")</f>
        <v>Jun-2024</v>
      </c>
      <c r="M510">
        <f>IF(LeadsData[[#This Row],[Stage Number]]&gt;=2,1,0)</f>
        <v>1</v>
      </c>
      <c r="N510" s="2">
        <f>IF(LeadsData[[#This Row],[Stage Number]]&gt;=3,1,0)</f>
        <v>1</v>
      </c>
      <c r="O510" s="2">
        <f>IF(LeadsData[[#This Row],[Stage Number]]&gt;=4,1,0)</f>
        <v>0</v>
      </c>
    </row>
    <row r="511" spans="1:15" x14ac:dyDescent="0.25">
      <c r="A511" t="s">
        <v>551</v>
      </c>
      <c r="B511" s="1">
        <v>45649</v>
      </c>
      <c r="C511" t="s">
        <v>46</v>
      </c>
      <c r="D511" t="s">
        <v>47</v>
      </c>
      <c r="E511" t="s">
        <v>21</v>
      </c>
      <c r="F511" t="s">
        <v>22</v>
      </c>
      <c r="G511" t="s">
        <v>23</v>
      </c>
      <c r="K511" cm="1">
        <f t="array" ref="K511">_xlfn.SWITCH(LeadsData[[#This Row],[Funnel Stage Reached]],"Lead",1,"MQL",2,"SQL",3,"Customer",4)</f>
        <v>2</v>
      </c>
      <c r="L511" t="str">
        <f>TEXT(LeadsData[[#This Row],[Signup Date]],"mmm-yyyy")</f>
        <v>Dec-2024</v>
      </c>
      <c r="M511">
        <f>IF(LeadsData[[#This Row],[Stage Number]]&gt;=2,1,0)</f>
        <v>1</v>
      </c>
      <c r="N511" s="2">
        <f>IF(LeadsData[[#This Row],[Stage Number]]&gt;=3,1,0)</f>
        <v>0</v>
      </c>
      <c r="O511" s="2">
        <f>IF(LeadsData[[#This Row],[Stage Number]]&gt;=4,1,0)</f>
        <v>0</v>
      </c>
    </row>
    <row r="512" spans="1:15" x14ac:dyDescent="0.25">
      <c r="A512" t="s">
        <v>552</v>
      </c>
      <c r="B512" s="1">
        <v>45480</v>
      </c>
      <c r="C512" t="s">
        <v>46</v>
      </c>
      <c r="D512" t="s">
        <v>56</v>
      </c>
      <c r="E512" t="s">
        <v>13</v>
      </c>
      <c r="F512" t="s">
        <v>19</v>
      </c>
      <c r="G512" t="s">
        <v>23</v>
      </c>
      <c r="K512" cm="1">
        <f t="array" ref="K512">_xlfn.SWITCH(LeadsData[[#This Row],[Funnel Stage Reached]],"Lead",1,"MQL",2,"SQL",3,"Customer",4)</f>
        <v>2</v>
      </c>
      <c r="L512" t="str">
        <f>TEXT(LeadsData[[#This Row],[Signup Date]],"mmm-yyyy")</f>
        <v>Jul-2024</v>
      </c>
      <c r="M512">
        <f>IF(LeadsData[[#This Row],[Stage Number]]&gt;=2,1,0)</f>
        <v>1</v>
      </c>
      <c r="N512" s="2">
        <f>IF(LeadsData[[#This Row],[Stage Number]]&gt;=3,1,0)</f>
        <v>0</v>
      </c>
      <c r="O512" s="2">
        <f>IF(LeadsData[[#This Row],[Stage Number]]&gt;=4,1,0)</f>
        <v>0</v>
      </c>
    </row>
    <row r="513" spans="1:15" x14ac:dyDescent="0.25">
      <c r="A513" t="s">
        <v>553</v>
      </c>
      <c r="B513" s="1">
        <v>45424</v>
      </c>
      <c r="C513" t="s">
        <v>25</v>
      </c>
      <c r="D513" t="s">
        <v>26</v>
      </c>
      <c r="E513" t="s">
        <v>13</v>
      </c>
      <c r="F513" t="s">
        <v>14</v>
      </c>
      <c r="G513" t="s">
        <v>42</v>
      </c>
      <c r="H513">
        <v>69</v>
      </c>
      <c r="I513" t="s">
        <v>43</v>
      </c>
      <c r="J513">
        <v>516.04</v>
      </c>
      <c r="K513" cm="1">
        <f t="array" ref="K513">_xlfn.SWITCH(LeadsData[[#This Row],[Funnel Stage Reached]],"Lead",1,"MQL",2,"SQL",3,"Customer",4)</f>
        <v>4</v>
      </c>
      <c r="L513" t="str">
        <f>TEXT(LeadsData[[#This Row],[Signup Date]],"mmm-yyyy")</f>
        <v>May-2024</v>
      </c>
      <c r="M513">
        <f>IF(LeadsData[[#This Row],[Stage Number]]&gt;=2,1,0)</f>
        <v>1</v>
      </c>
      <c r="N513" s="2">
        <f>IF(LeadsData[[#This Row],[Stage Number]]&gt;=3,1,0)</f>
        <v>1</v>
      </c>
      <c r="O513" s="2">
        <f>IF(LeadsData[[#This Row],[Stage Number]]&gt;=4,1,0)</f>
        <v>1</v>
      </c>
    </row>
    <row r="514" spans="1:15" x14ac:dyDescent="0.25">
      <c r="A514" t="s">
        <v>554</v>
      </c>
      <c r="B514" s="1">
        <v>45458</v>
      </c>
      <c r="C514" t="s">
        <v>31</v>
      </c>
      <c r="D514" t="s">
        <v>34</v>
      </c>
      <c r="E514" t="s">
        <v>21</v>
      </c>
      <c r="F514" t="s">
        <v>19</v>
      </c>
      <c r="G514" t="s">
        <v>42</v>
      </c>
      <c r="H514">
        <v>18</v>
      </c>
      <c r="I514" t="s">
        <v>87</v>
      </c>
      <c r="J514">
        <v>4629.93</v>
      </c>
      <c r="K514" cm="1">
        <f t="array" ref="K514">_xlfn.SWITCH(LeadsData[[#This Row],[Funnel Stage Reached]],"Lead",1,"MQL",2,"SQL",3,"Customer",4)</f>
        <v>4</v>
      </c>
      <c r="L514" t="str">
        <f>TEXT(LeadsData[[#This Row],[Signup Date]],"mmm-yyyy")</f>
        <v>Jun-2024</v>
      </c>
      <c r="M514">
        <f>IF(LeadsData[[#This Row],[Stage Number]]&gt;=2,1,0)</f>
        <v>1</v>
      </c>
      <c r="N514" s="2">
        <f>IF(LeadsData[[#This Row],[Stage Number]]&gt;=3,1,0)</f>
        <v>1</v>
      </c>
      <c r="O514" s="2">
        <f>IF(LeadsData[[#This Row],[Stage Number]]&gt;=4,1,0)</f>
        <v>1</v>
      </c>
    </row>
    <row r="515" spans="1:15" x14ac:dyDescent="0.25">
      <c r="A515" t="s">
        <v>555</v>
      </c>
      <c r="B515" s="1">
        <v>45541</v>
      </c>
      <c r="C515" t="s">
        <v>25</v>
      </c>
      <c r="D515" t="s">
        <v>26</v>
      </c>
      <c r="E515" t="s">
        <v>13</v>
      </c>
      <c r="F515" t="s">
        <v>14</v>
      </c>
      <c r="G515" t="s">
        <v>15</v>
      </c>
      <c r="K515" cm="1">
        <f t="array" ref="K515">_xlfn.SWITCH(LeadsData[[#This Row],[Funnel Stage Reached]],"Lead",1,"MQL",2,"SQL",3,"Customer",4)</f>
        <v>1</v>
      </c>
      <c r="L515" t="str">
        <f>TEXT(LeadsData[[#This Row],[Signup Date]],"mmm-yyyy")</f>
        <v>Sep-2024</v>
      </c>
      <c r="M515">
        <f>IF(LeadsData[[#This Row],[Stage Number]]&gt;=2,1,0)</f>
        <v>0</v>
      </c>
      <c r="N515" s="2">
        <f>IF(LeadsData[[#This Row],[Stage Number]]&gt;=3,1,0)</f>
        <v>0</v>
      </c>
      <c r="O515" s="2">
        <f>IF(LeadsData[[#This Row],[Stage Number]]&gt;=4,1,0)</f>
        <v>0</v>
      </c>
    </row>
    <row r="516" spans="1:15" x14ac:dyDescent="0.25">
      <c r="A516" t="s">
        <v>556</v>
      </c>
      <c r="B516" s="1">
        <v>45356</v>
      </c>
      <c r="C516" t="s">
        <v>17</v>
      </c>
      <c r="D516" t="s">
        <v>53</v>
      </c>
      <c r="E516" t="s">
        <v>13</v>
      </c>
      <c r="F516" t="s">
        <v>19</v>
      </c>
      <c r="G516" t="s">
        <v>15</v>
      </c>
      <c r="K516" cm="1">
        <f t="array" ref="K516">_xlfn.SWITCH(LeadsData[[#This Row],[Funnel Stage Reached]],"Lead",1,"MQL",2,"SQL",3,"Customer",4)</f>
        <v>1</v>
      </c>
      <c r="L516" t="str">
        <f>TEXT(LeadsData[[#This Row],[Signup Date]],"mmm-yyyy")</f>
        <v>Mar-2024</v>
      </c>
      <c r="M516">
        <f>IF(LeadsData[[#This Row],[Stage Number]]&gt;=2,1,0)</f>
        <v>0</v>
      </c>
      <c r="N516" s="2">
        <f>IF(LeadsData[[#This Row],[Stage Number]]&gt;=3,1,0)</f>
        <v>0</v>
      </c>
      <c r="O516" s="2">
        <f>IF(LeadsData[[#This Row],[Stage Number]]&gt;=4,1,0)</f>
        <v>0</v>
      </c>
    </row>
    <row r="517" spans="1:15" x14ac:dyDescent="0.25">
      <c r="A517" t="s">
        <v>557</v>
      </c>
      <c r="B517" s="1">
        <v>45597</v>
      </c>
      <c r="C517" t="s">
        <v>11</v>
      </c>
      <c r="D517" t="s">
        <v>68</v>
      </c>
      <c r="E517" t="s">
        <v>13</v>
      </c>
      <c r="F517" t="s">
        <v>22</v>
      </c>
      <c r="G517" t="s">
        <v>23</v>
      </c>
      <c r="K517" cm="1">
        <f t="array" ref="K517">_xlfn.SWITCH(LeadsData[[#This Row],[Funnel Stage Reached]],"Lead",1,"MQL",2,"SQL",3,"Customer",4)</f>
        <v>2</v>
      </c>
      <c r="L517" t="str">
        <f>TEXT(LeadsData[[#This Row],[Signup Date]],"mmm-yyyy")</f>
        <v>Nov-2024</v>
      </c>
      <c r="M517">
        <f>IF(LeadsData[[#This Row],[Stage Number]]&gt;=2,1,0)</f>
        <v>1</v>
      </c>
      <c r="N517" s="2">
        <f>IF(LeadsData[[#This Row],[Stage Number]]&gt;=3,1,0)</f>
        <v>0</v>
      </c>
      <c r="O517" s="2">
        <f>IF(LeadsData[[#This Row],[Stage Number]]&gt;=4,1,0)</f>
        <v>0</v>
      </c>
    </row>
    <row r="518" spans="1:15" x14ac:dyDescent="0.25">
      <c r="A518" t="s">
        <v>558</v>
      </c>
      <c r="B518" s="1">
        <v>45512</v>
      </c>
      <c r="C518" t="s">
        <v>17</v>
      </c>
      <c r="D518" t="s">
        <v>53</v>
      </c>
      <c r="E518" t="s">
        <v>13</v>
      </c>
      <c r="F518" t="s">
        <v>22</v>
      </c>
      <c r="G518" t="s">
        <v>15</v>
      </c>
      <c r="K518" cm="1">
        <f t="array" ref="K518">_xlfn.SWITCH(LeadsData[[#This Row],[Funnel Stage Reached]],"Lead",1,"MQL",2,"SQL",3,"Customer",4)</f>
        <v>1</v>
      </c>
      <c r="L518" t="str">
        <f>TEXT(LeadsData[[#This Row],[Signup Date]],"mmm-yyyy")</f>
        <v>Aug-2024</v>
      </c>
      <c r="M518">
        <f>IF(LeadsData[[#This Row],[Stage Number]]&gt;=2,1,0)</f>
        <v>0</v>
      </c>
      <c r="N518" s="2">
        <f>IF(LeadsData[[#This Row],[Stage Number]]&gt;=3,1,0)</f>
        <v>0</v>
      </c>
      <c r="O518" s="2">
        <f>IF(LeadsData[[#This Row],[Stage Number]]&gt;=4,1,0)</f>
        <v>0</v>
      </c>
    </row>
    <row r="519" spans="1:15" x14ac:dyDescent="0.25">
      <c r="A519" t="s">
        <v>559</v>
      </c>
      <c r="B519" s="1">
        <v>45456</v>
      </c>
      <c r="C519" t="s">
        <v>17</v>
      </c>
      <c r="D519" t="s">
        <v>53</v>
      </c>
      <c r="E519" t="s">
        <v>21</v>
      </c>
      <c r="F519" t="s">
        <v>19</v>
      </c>
      <c r="G519" t="s">
        <v>29</v>
      </c>
      <c r="K519" cm="1">
        <f t="array" ref="K519">_xlfn.SWITCH(LeadsData[[#This Row],[Funnel Stage Reached]],"Lead",1,"MQL",2,"SQL",3,"Customer",4)</f>
        <v>3</v>
      </c>
      <c r="L519" t="str">
        <f>TEXT(LeadsData[[#This Row],[Signup Date]],"mmm-yyyy")</f>
        <v>Jun-2024</v>
      </c>
      <c r="M519">
        <f>IF(LeadsData[[#This Row],[Stage Number]]&gt;=2,1,0)</f>
        <v>1</v>
      </c>
      <c r="N519" s="2">
        <f>IF(LeadsData[[#This Row],[Stage Number]]&gt;=3,1,0)</f>
        <v>1</v>
      </c>
      <c r="O519" s="2">
        <f>IF(LeadsData[[#This Row],[Stage Number]]&gt;=4,1,0)</f>
        <v>0</v>
      </c>
    </row>
    <row r="520" spans="1:15" x14ac:dyDescent="0.25">
      <c r="A520" t="s">
        <v>560</v>
      </c>
      <c r="B520" s="1">
        <v>45598</v>
      </c>
      <c r="C520" t="s">
        <v>36</v>
      </c>
      <c r="D520" t="s">
        <v>50</v>
      </c>
      <c r="E520" t="s">
        <v>13</v>
      </c>
      <c r="F520" t="s">
        <v>22</v>
      </c>
      <c r="G520" t="s">
        <v>29</v>
      </c>
      <c r="K520" cm="1">
        <f t="array" ref="K520">_xlfn.SWITCH(LeadsData[[#This Row],[Funnel Stage Reached]],"Lead",1,"MQL",2,"SQL",3,"Customer",4)</f>
        <v>3</v>
      </c>
      <c r="L520" t="str">
        <f>TEXT(LeadsData[[#This Row],[Signup Date]],"mmm-yyyy")</f>
        <v>Nov-2024</v>
      </c>
      <c r="M520">
        <f>IF(LeadsData[[#This Row],[Stage Number]]&gt;=2,1,0)</f>
        <v>1</v>
      </c>
      <c r="N520" s="2">
        <f>IF(LeadsData[[#This Row],[Stage Number]]&gt;=3,1,0)</f>
        <v>1</v>
      </c>
      <c r="O520" s="2">
        <f>IF(LeadsData[[#This Row],[Stage Number]]&gt;=4,1,0)</f>
        <v>0</v>
      </c>
    </row>
    <row r="521" spans="1:15" x14ac:dyDescent="0.25">
      <c r="A521" t="s">
        <v>561</v>
      </c>
      <c r="B521" s="1">
        <v>45570</v>
      </c>
      <c r="C521" t="s">
        <v>36</v>
      </c>
      <c r="D521" t="s">
        <v>50</v>
      </c>
      <c r="E521" t="s">
        <v>13</v>
      </c>
      <c r="F521" t="s">
        <v>14</v>
      </c>
      <c r="G521" t="s">
        <v>29</v>
      </c>
      <c r="K521" cm="1">
        <f t="array" ref="K521">_xlfn.SWITCH(LeadsData[[#This Row],[Funnel Stage Reached]],"Lead",1,"MQL",2,"SQL",3,"Customer",4)</f>
        <v>3</v>
      </c>
      <c r="L521" t="str">
        <f>TEXT(LeadsData[[#This Row],[Signup Date]],"mmm-yyyy")</f>
        <v>Oct-2024</v>
      </c>
      <c r="M521">
        <f>IF(LeadsData[[#This Row],[Stage Number]]&gt;=2,1,0)</f>
        <v>1</v>
      </c>
      <c r="N521" s="2">
        <f>IF(LeadsData[[#This Row],[Stage Number]]&gt;=3,1,0)</f>
        <v>1</v>
      </c>
      <c r="O521" s="2">
        <f>IF(LeadsData[[#This Row],[Stage Number]]&gt;=4,1,0)</f>
        <v>0</v>
      </c>
    </row>
    <row r="522" spans="1:15" x14ac:dyDescent="0.25">
      <c r="A522" t="s">
        <v>562</v>
      </c>
      <c r="B522" s="1">
        <v>45368</v>
      </c>
      <c r="C522" t="s">
        <v>17</v>
      </c>
      <c r="D522" t="s">
        <v>18</v>
      </c>
      <c r="E522" t="s">
        <v>13</v>
      </c>
      <c r="F522" t="s">
        <v>22</v>
      </c>
      <c r="G522" t="s">
        <v>15</v>
      </c>
      <c r="K522" cm="1">
        <f t="array" ref="K522">_xlfn.SWITCH(LeadsData[[#This Row],[Funnel Stage Reached]],"Lead",1,"MQL",2,"SQL",3,"Customer",4)</f>
        <v>1</v>
      </c>
      <c r="L522" t="str">
        <f>TEXT(LeadsData[[#This Row],[Signup Date]],"mmm-yyyy")</f>
        <v>Mar-2024</v>
      </c>
      <c r="M522">
        <f>IF(LeadsData[[#This Row],[Stage Number]]&gt;=2,1,0)</f>
        <v>0</v>
      </c>
      <c r="N522" s="2">
        <f>IF(LeadsData[[#This Row],[Stage Number]]&gt;=3,1,0)</f>
        <v>0</v>
      </c>
      <c r="O522" s="2">
        <f>IF(LeadsData[[#This Row],[Stage Number]]&gt;=4,1,0)</f>
        <v>0</v>
      </c>
    </row>
    <row r="523" spans="1:15" x14ac:dyDescent="0.25">
      <c r="A523" t="s">
        <v>563</v>
      </c>
      <c r="B523" s="1">
        <v>45549</v>
      </c>
      <c r="C523" t="s">
        <v>36</v>
      </c>
      <c r="D523" t="s">
        <v>50</v>
      </c>
      <c r="E523" t="s">
        <v>13</v>
      </c>
      <c r="F523" t="s">
        <v>19</v>
      </c>
      <c r="G523" t="s">
        <v>29</v>
      </c>
      <c r="K523" cm="1">
        <f t="array" ref="K523">_xlfn.SWITCH(LeadsData[[#This Row],[Funnel Stage Reached]],"Lead",1,"MQL",2,"SQL",3,"Customer",4)</f>
        <v>3</v>
      </c>
      <c r="L523" t="str">
        <f>TEXT(LeadsData[[#This Row],[Signup Date]],"mmm-yyyy")</f>
        <v>Sep-2024</v>
      </c>
      <c r="M523">
        <f>IF(LeadsData[[#This Row],[Stage Number]]&gt;=2,1,0)</f>
        <v>1</v>
      </c>
      <c r="N523" s="2">
        <f>IF(LeadsData[[#This Row],[Stage Number]]&gt;=3,1,0)</f>
        <v>1</v>
      </c>
      <c r="O523" s="2">
        <f>IF(LeadsData[[#This Row],[Stage Number]]&gt;=4,1,0)</f>
        <v>0</v>
      </c>
    </row>
    <row r="524" spans="1:15" x14ac:dyDescent="0.25">
      <c r="A524" t="s">
        <v>564</v>
      </c>
      <c r="B524" s="1">
        <v>45517</v>
      </c>
      <c r="C524" t="s">
        <v>31</v>
      </c>
      <c r="D524" t="s">
        <v>32</v>
      </c>
      <c r="E524" t="s">
        <v>13</v>
      </c>
      <c r="F524" t="s">
        <v>14</v>
      </c>
      <c r="G524" t="s">
        <v>15</v>
      </c>
      <c r="K524" cm="1">
        <f t="array" ref="K524">_xlfn.SWITCH(LeadsData[[#This Row],[Funnel Stage Reached]],"Lead",1,"MQL",2,"SQL",3,"Customer",4)</f>
        <v>1</v>
      </c>
      <c r="L524" t="str">
        <f>TEXT(LeadsData[[#This Row],[Signup Date]],"mmm-yyyy")</f>
        <v>Aug-2024</v>
      </c>
      <c r="M524">
        <f>IF(LeadsData[[#This Row],[Stage Number]]&gt;=2,1,0)</f>
        <v>0</v>
      </c>
      <c r="N524" s="2">
        <f>IF(LeadsData[[#This Row],[Stage Number]]&gt;=3,1,0)</f>
        <v>0</v>
      </c>
      <c r="O524" s="2">
        <f>IF(LeadsData[[#This Row],[Stage Number]]&gt;=4,1,0)</f>
        <v>0</v>
      </c>
    </row>
    <row r="525" spans="1:15" x14ac:dyDescent="0.25">
      <c r="A525" t="s">
        <v>565</v>
      </c>
      <c r="B525" s="1">
        <v>45384</v>
      </c>
      <c r="C525" t="s">
        <v>25</v>
      </c>
      <c r="D525" t="s">
        <v>26</v>
      </c>
      <c r="E525" t="s">
        <v>21</v>
      </c>
      <c r="F525" t="s">
        <v>22</v>
      </c>
      <c r="G525" t="s">
        <v>15</v>
      </c>
      <c r="K525" cm="1">
        <f t="array" ref="K525">_xlfn.SWITCH(LeadsData[[#This Row],[Funnel Stage Reached]],"Lead",1,"MQL",2,"SQL",3,"Customer",4)</f>
        <v>1</v>
      </c>
      <c r="L525" t="str">
        <f>TEXT(LeadsData[[#This Row],[Signup Date]],"mmm-yyyy")</f>
        <v>Apr-2024</v>
      </c>
      <c r="M525">
        <f>IF(LeadsData[[#This Row],[Stage Number]]&gt;=2,1,0)</f>
        <v>0</v>
      </c>
      <c r="N525" s="2">
        <f>IF(LeadsData[[#This Row],[Stage Number]]&gt;=3,1,0)</f>
        <v>0</v>
      </c>
      <c r="O525" s="2">
        <f>IF(LeadsData[[#This Row],[Stage Number]]&gt;=4,1,0)</f>
        <v>0</v>
      </c>
    </row>
    <row r="526" spans="1:15" x14ac:dyDescent="0.25">
      <c r="A526" t="s">
        <v>566</v>
      </c>
      <c r="B526" s="1">
        <v>45637</v>
      </c>
      <c r="C526" t="s">
        <v>25</v>
      </c>
      <c r="D526" t="s">
        <v>26</v>
      </c>
      <c r="E526" t="s">
        <v>13</v>
      </c>
      <c r="F526" t="s">
        <v>22</v>
      </c>
      <c r="G526" t="s">
        <v>15</v>
      </c>
      <c r="K526" cm="1">
        <f t="array" ref="K526">_xlfn.SWITCH(LeadsData[[#This Row],[Funnel Stage Reached]],"Lead",1,"MQL",2,"SQL",3,"Customer",4)</f>
        <v>1</v>
      </c>
      <c r="L526" t="str">
        <f>TEXT(LeadsData[[#This Row],[Signup Date]],"mmm-yyyy")</f>
        <v>Dec-2024</v>
      </c>
      <c r="M526">
        <f>IF(LeadsData[[#This Row],[Stage Number]]&gt;=2,1,0)</f>
        <v>0</v>
      </c>
      <c r="N526" s="2">
        <f>IF(LeadsData[[#This Row],[Stage Number]]&gt;=3,1,0)</f>
        <v>0</v>
      </c>
      <c r="O526" s="2">
        <f>IF(LeadsData[[#This Row],[Stage Number]]&gt;=4,1,0)</f>
        <v>0</v>
      </c>
    </row>
    <row r="527" spans="1:15" x14ac:dyDescent="0.25">
      <c r="A527" t="s">
        <v>567</v>
      </c>
      <c r="B527" s="1">
        <v>45493</v>
      </c>
      <c r="C527" t="s">
        <v>36</v>
      </c>
      <c r="D527" t="s">
        <v>37</v>
      </c>
      <c r="E527" t="s">
        <v>21</v>
      </c>
      <c r="F527" t="s">
        <v>19</v>
      </c>
      <c r="G527" t="s">
        <v>29</v>
      </c>
      <c r="K527" cm="1">
        <f t="array" ref="K527">_xlfn.SWITCH(LeadsData[[#This Row],[Funnel Stage Reached]],"Lead",1,"MQL",2,"SQL",3,"Customer",4)</f>
        <v>3</v>
      </c>
      <c r="L527" t="str">
        <f>TEXT(LeadsData[[#This Row],[Signup Date]],"mmm-yyyy")</f>
        <v>Jul-2024</v>
      </c>
      <c r="M527">
        <f>IF(LeadsData[[#This Row],[Stage Number]]&gt;=2,1,0)</f>
        <v>1</v>
      </c>
      <c r="N527" s="2">
        <f>IF(LeadsData[[#This Row],[Stage Number]]&gt;=3,1,0)</f>
        <v>1</v>
      </c>
      <c r="O527" s="2">
        <f>IF(LeadsData[[#This Row],[Stage Number]]&gt;=4,1,0)</f>
        <v>0</v>
      </c>
    </row>
    <row r="528" spans="1:15" x14ac:dyDescent="0.25">
      <c r="A528" t="s">
        <v>568</v>
      </c>
      <c r="B528" s="1">
        <v>45617</v>
      </c>
      <c r="C528" t="s">
        <v>31</v>
      </c>
      <c r="D528" t="s">
        <v>32</v>
      </c>
      <c r="E528" t="s">
        <v>13</v>
      </c>
      <c r="F528" t="s">
        <v>22</v>
      </c>
      <c r="G528" t="s">
        <v>23</v>
      </c>
      <c r="K528" cm="1">
        <f t="array" ref="K528">_xlfn.SWITCH(LeadsData[[#This Row],[Funnel Stage Reached]],"Lead",1,"MQL",2,"SQL",3,"Customer",4)</f>
        <v>2</v>
      </c>
      <c r="L528" t="str">
        <f>TEXT(LeadsData[[#This Row],[Signup Date]],"mmm-yyyy")</f>
        <v>Nov-2024</v>
      </c>
      <c r="M528">
        <f>IF(LeadsData[[#This Row],[Stage Number]]&gt;=2,1,0)</f>
        <v>1</v>
      </c>
      <c r="N528" s="2">
        <f>IF(LeadsData[[#This Row],[Stage Number]]&gt;=3,1,0)</f>
        <v>0</v>
      </c>
      <c r="O528" s="2">
        <f>IF(LeadsData[[#This Row],[Stage Number]]&gt;=4,1,0)</f>
        <v>0</v>
      </c>
    </row>
    <row r="529" spans="1:15" x14ac:dyDescent="0.25">
      <c r="A529" t="s">
        <v>569</v>
      </c>
      <c r="B529" s="1">
        <v>45389</v>
      </c>
      <c r="C529" t="s">
        <v>31</v>
      </c>
      <c r="D529" t="s">
        <v>34</v>
      </c>
      <c r="E529" t="s">
        <v>21</v>
      </c>
      <c r="F529" t="s">
        <v>22</v>
      </c>
      <c r="G529" t="s">
        <v>29</v>
      </c>
      <c r="K529" cm="1">
        <f t="array" ref="K529">_xlfn.SWITCH(LeadsData[[#This Row],[Funnel Stage Reached]],"Lead",1,"MQL",2,"SQL",3,"Customer",4)</f>
        <v>3</v>
      </c>
      <c r="L529" t="str">
        <f>TEXT(LeadsData[[#This Row],[Signup Date]],"mmm-yyyy")</f>
        <v>Apr-2024</v>
      </c>
      <c r="M529">
        <f>IF(LeadsData[[#This Row],[Stage Number]]&gt;=2,1,0)</f>
        <v>1</v>
      </c>
      <c r="N529" s="2">
        <f>IF(LeadsData[[#This Row],[Stage Number]]&gt;=3,1,0)</f>
        <v>1</v>
      </c>
      <c r="O529" s="2">
        <f>IF(LeadsData[[#This Row],[Stage Number]]&gt;=4,1,0)</f>
        <v>0</v>
      </c>
    </row>
    <row r="530" spans="1:15" x14ac:dyDescent="0.25">
      <c r="A530" t="s">
        <v>570</v>
      </c>
      <c r="B530" s="1">
        <v>45454</v>
      </c>
      <c r="C530" t="s">
        <v>25</v>
      </c>
      <c r="D530" t="s">
        <v>26</v>
      </c>
      <c r="E530" t="s">
        <v>13</v>
      </c>
      <c r="F530" t="s">
        <v>14</v>
      </c>
      <c r="G530" t="s">
        <v>29</v>
      </c>
      <c r="K530" cm="1">
        <f t="array" ref="K530">_xlfn.SWITCH(LeadsData[[#This Row],[Funnel Stage Reached]],"Lead",1,"MQL",2,"SQL",3,"Customer",4)</f>
        <v>3</v>
      </c>
      <c r="L530" t="str">
        <f>TEXT(LeadsData[[#This Row],[Signup Date]],"mmm-yyyy")</f>
        <v>Jun-2024</v>
      </c>
      <c r="M530">
        <f>IF(LeadsData[[#This Row],[Stage Number]]&gt;=2,1,0)</f>
        <v>1</v>
      </c>
      <c r="N530" s="2">
        <f>IF(LeadsData[[#This Row],[Stage Number]]&gt;=3,1,0)</f>
        <v>1</v>
      </c>
      <c r="O530" s="2">
        <f>IF(LeadsData[[#This Row],[Stage Number]]&gt;=4,1,0)</f>
        <v>0</v>
      </c>
    </row>
    <row r="531" spans="1:15" x14ac:dyDescent="0.25">
      <c r="A531" t="s">
        <v>571</v>
      </c>
      <c r="B531" s="1">
        <v>45531</v>
      </c>
      <c r="C531" t="s">
        <v>36</v>
      </c>
      <c r="D531" t="s">
        <v>37</v>
      </c>
      <c r="E531" t="s">
        <v>21</v>
      </c>
      <c r="F531" t="s">
        <v>19</v>
      </c>
      <c r="G531" t="s">
        <v>23</v>
      </c>
      <c r="K531" cm="1">
        <f t="array" ref="K531">_xlfn.SWITCH(LeadsData[[#This Row],[Funnel Stage Reached]],"Lead",1,"MQL",2,"SQL",3,"Customer",4)</f>
        <v>2</v>
      </c>
      <c r="L531" t="str">
        <f>TEXT(LeadsData[[#This Row],[Signup Date]],"mmm-yyyy")</f>
        <v>Aug-2024</v>
      </c>
      <c r="M531">
        <f>IF(LeadsData[[#This Row],[Stage Number]]&gt;=2,1,0)</f>
        <v>1</v>
      </c>
      <c r="N531" s="2">
        <f>IF(LeadsData[[#This Row],[Stage Number]]&gt;=3,1,0)</f>
        <v>0</v>
      </c>
      <c r="O531" s="2">
        <f>IF(LeadsData[[#This Row],[Stage Number]]&gt;=4,1,0)</f>
        <v>0</v>
      </c>
    </row>
    <row r="532" spans="1:15" x14ac:dyDescent="0.25">
      <c r="A532" t="s">
        <v>572</v>
      </c>
      <c r="B532" s="1">
        <v>45597</v>
      </c>
      <c r="C532" t="s">
        <v>46</v>
      </c>
      <c r="D532" t="s">
        <v>56</v>
      </c>
      <c r="E532" t="s">
        <v>13</v>
      </c>
      <c r="F532" t="s">
        <v>19</v>
      </c>
      <c r="G532" t="s">
        <v>29</v>
      </c>
      <c r="K532" cm="1">
        <f t="array" ref="K532">_xlfn.SWITCH(LeadsData[[#This Row],[Funnel Stage Reached]],"Lead",1,"MQL",2,"SQL",3,"Customer",4)</f>
        <v>3</v>
      </c>
      <c r="L532" t="str">
        <f>TEXT(LeadsData[[#This Row],[Signup Date]],"mmm-yyyy")</f>
        <v>Nov-2024</v>
      </c>
      <c r="M532">
        <f>IF(LeadsData[[#This Row],[Stage Number]]&gt;=2,1,0)</f>
        <v>1</v>
      </c>
      <c r="N532" s="2">
        <f>IF(LeadsData[[#This Row],[Stage Number]]&gt;=3,1,0)</f>
        <v>1</v>
      </c>
      <c r="O532" s="2">
        <f>IF(LeadsData[[#This Row],[Stage Number]]&gt;=4,1,0)</f>
        <v>0</v>
      </c>
    </row>
    <row r="533" spans="1:15" x14ac:dyDescent="0.25">
      <c r="A533" t="s">
        <v>573</v>
      </c>
      <c r="B533" s="1">
        <v>45298</v>
      </c>
      <c r="C533" t="s">
        <v>11</v>
      </c>
      <c r="D533" t="s">
        <v>12</v>
      </c>
      <c r="E533" t="s">
        <v>13</v>
      </c>
      <c r="F533" t="s">
        <v>19</v>
      </c>
      <c r="G533" t="s">
        <v>23</v>
      </c>
      <c r="K533" cm="1">
        <f t="array" ref="K533">_xlfn.SWITCH(LeadsData[[#This Row],[Funnel Stage Reached]],"Lead",1,"MQL",2,"SQL",3,"Customer",4)</f>
        <v>2</v>
      </c>
      <c r="L533" t="str">
        <f>TEXT(LeadsData[[#This Row],[Signup Date]],"mmm-yyyy")</f>
        <v>Jan-2024</v>
      </c>
      <c r="M533">
        <f>IF(LeadsData[[#This Row],[Stage Number]]&gt;=2,1,0)</f>
        <v>1</v>
      </c>
      <c r="N533" s="2">
        <f>IF(LeadsData[[#This Row],[Stage Number]]&gt;=3,1,0)</f>
        <v>0</v>
      </c>
      <c r="O533" s="2">
        <f>IF(LeadsData[[#This Row],[Stage Number]]&gt;=4,1,0)</f>
        <v>0</v>
      </c>
    </row>
    <row r="534" spans="1:15" x14ac:dyDescent="0.25">
      <c r="A534" t="s">
        <v>574</v>
      </c>
      <c r="B534" s="1">
        <v>45367</v>
      </c>
      <c r="C534" t="s">
        <v>36</v>
      </c>
      <c r="D534" t="s">
        <v>50</v>
      </c>
      <c r="E534" t="s">
        <v>13</v>
      </c>
      <c r="F534" t="s">
        <v>14</v>
      </c>
      <c r="G534" t="s">
        <v>23</v>
      </c>
      <c r="K534" cm="1">
        <f t="array" ref="K534">_xlfn.SWITCH(LeadsData[[#This Row],[Funnel Stage Reached]],"Lead",1,"MQL",2,"SQL",3,"Customer",4)</f>
        <v>2</v>
      </c>
      <c r="L534" t="str">
        <f>TEXT(LeadsData[[#This Row],[Signup Date]],"mmm-yyyy")</f>
        <v>Mar-2024</v>
      </c>
      <c r="M534">
        <f>IF(LeadsData[[#This Row],[Stage Number]]&gt;=2,1,0)</f>
        <v>1</v>
      </c>
      <c r="N534" s="2">
        <f>IF(LeadsData[[#This Row],[Stage Number]]&gt;=3,1,0)</f>
        <v>0</v>
      </c>
      <c r="O534" s="2">
        <f>IF(LeadsData[[#This Row],[Stage Number]]&gt;=4,1,0)</f>
        <v>0</v>
      </c>
    </row>
    <row r="535" spans="1:15" x14ac:dyDescent="0.25">
      <c r="A535" t="s">
        <v>575</v>
      </c>
      <c r="B535" s="1">
        <v>45540</v>
      </c>
      <c r="C535" t="s">
        <v>17</v>
      </c>
      <c r="D535" t="s">
        <v>53</v>
      </c>
      <c r="E535" t="s">
        <v>13</v>
      </c>
      <c r="F535" t="s">
        <v>19</v>
      </c>
      <c r="G535" t="s">
        <v>23</v>
      </c>
      <c r="K535" cm="1">
        <f t="array" ref="K535">_xlfn.SWITCH(LeadsData[[#This Row],[Funnel Stage Reached]],"Lead",1,"MQL",2,"SQL",3,"Customer",4)</f>
        <v>2</v>
      </c>
      <c r="L535" t="str">
        <f>TEXT(LeadsData[[#This Row],[Signup Date]],"mmm-yyyy")</f>
        <v>Sep-2024</v>
      </c>
      <c r="M535">
        <f>IF(LeadsData[[#This Row],[Stage Number]]&gt;=2,1,0)</f>
        <v>1</v>
      </c>
      <c r="N535" s="2">
        <f>IF(LeadsData[[#This Row],[Stage Number]]&gt;=3,1,0)</f>
        <v>0</v>
      </c>
      <c r="O535" s="2">
        <f>IF(LeadsData[[#This Row],[Stage Number]]&gt;=4,1,0)</f>
        <v>0</v>
      </c>
    </row>
    <row r="536" spans="1:15" x14ac:dyDescent="0.25">
      <c r="A536" t="s">
        <v>576</v>
      </c>
      <c r="B536" s="1">
        <v>45439</v>
      </c>
      <c r="C536" t="s">
        <v>11</v>
      </c>
      <c r="D536" t="s">
        <v>68</v>
      </c>
      <c r="E536" t="s">
        <v>21</v>
      </c>
      <c r="F536" t="s">
        <v>19</v>
      </c>
      <c r="G536" t="s">
        <v>15</v>
      </c>
      <c r="K536" cm="1">
        <f t="array" ref="K536">_xlfn.SWITCH(LeadsData[[#This Row],[Funnel Stage Reached]],"Lead",1,"MQL",2,"SQL",3,"Customer",4)</f>
        <v>1</v>
      </c>
      <c r="L536" t="str">
        <f>TEXT(LeadsData[[#This Row],[Signup Date]],"mmm-yyyy")</f>
        <v>May-2024</v>
      </c>
      <c r="M536">
        <f>IF(LeadsData[[#This Row],[Stage Number]]&gt;=2,1,0)</f>
        <v>0</v>
      </c>
      <c r="N536" s="2">
        <f>IF(LeadsData[[#This Row],[Stage Number]]&gt;=3,1,0)</f>
        <v>0</v>
      </c>
      <c r="O536" s="2">
        <f>IF(LeadsData[[#This Row],[Stage Number]]&gt;=4,1,0)</f>
        <v>0</v>
      </c>
    </row>
    <row r="537" spans="1:15" x14ac:dyDescent="0.25">
      <c r="A537" t="s">
        <v>577</v>
      </c>
      <c r="B537" s="1">
        <v>45505</v>
      </c>
      <c r="C537" t="s">
        <v>31</v>
      </c>
      <c r="D537" t="s">
        <v>32</v>
      </c>
      <c r="E537" t="s">
        <v>21</v>
      </c>
      <c r="F537" t="s">
        <v>22</v>
      </c>
      <c r="G537" t="s">
        <v>15</v>
      </c>
      <c r="K537" cm="1">
        <f t="array" ref="K537">_xlfn.SWITCH(LeadsData[[#This Row],[Funnel Stage Reached]],"Lead",1,"MQL",2,"SQL",3,"Customer",4)</f>
        <v>1</v>
      </c>
      <c r="L537" t="str">
        <f>TEXT(LeadsData[[#This Row],[Signup Date]],"mmm-yyyy")</f>
        <v>Aug-2024</v>
      </c>
      <c r="M537">
        <f>IF(LeadsData[[#This Row],[Stage Number]]&gt;=2,1,0)</f>
        <v>0</v>
      </c>
      <c r="N537" s="2">
        <f>IF(LeadsData[[#This Row],[Stage Number]]&gt;=3,1,0)</f>
        <v>0</v>
      </c>
      <c r="O537" s="2">
        <f>IF(LeadsData[[#This Row],[Stage Number]]&gt;=4,1,0)</f>
        <v>0</v>
      </c>
    </row>
    <row r="538" spans="1:15" x14ac:dyDescent="0.25">
      <c r="A538" t="s">
        <v>578</v>
      </c>
      <c r="B538" s="1">
        <v>45323</v>
      </c>
      <c r="C538" t="s">
        <v>31</v>
      </c>
      <c r="D538" t="s">
        <v>34</v>
      </c>
      <c r="E538" t="s">
        <v>48</v>
      </c>
      <c r="F538" t="s">
        <v>22</v>
      </c>
      <c r="G538" t="s">
        <v>42</v>
      </c>
      <c r="H538">
        <v>36</v>
      </c>
      <c r="I538" t="s">
        <v>87</v>
      </c>
      <c r="J538">
        <v>3418.74</v>
      </c>
      <c r="K538" cm="1">
        <f t="array" ref="K538">_xlfn.SWITCH(LeadsData[[#This Row],[Funnel Stage Reached]],"Lead",1,"MQL",2,"SQL",3,"Customer",4)</f>
        <v>4</v>
      </c>
      <c r="L538" t="str">
        <f>TEXT(LeadsData[[#This Row],[Signup Date]],"mmm-yyyy")</f>
        <v>Feb-2024</v>
      </c>
      <c r="M538">
        <f>IF(LeadsData[[#This Row],[Stage Number]]&gt;=2,1,0)</f>
        <v>1</v>
      </c>
      <c r="N538" s="2">
        <f>IF(LeadsData[[#This Row],[Stage Number]]&gt;=3,1,0)</f>
        <v>1</v>
      </c>
      <c r="O538" s="2">
        <f>IF(LeadsData[[#This Row],[Stage Number]]&gt;=4,1,0)</f>
        <v>1</v>
      </c>
    </row>
    <row r="539" spans="1:15" x14ac:dyDescent="0.25">
      <c r="A539" t="s">
        <v>579</v>
      </c>
      <c r="B539" s="1">
        <v>45650</v>
      </c>
      <c r="C539" t="s">
        <v>11</v>
      </c>
      <c r="D539" t="s">
        <v>12</v>
      </c>
      <c r="E539" t="s">
        <v>21</v>
      </c>
      <c r="F539" t="s">
        <v>19</v>
      </c>
      <c r="G539" t="s">
        <v>15</v>
      </c>
      <c r="K539" cm="1">
        <f t="array" ref="K539">_xlfn.SWITCH(LeadsData[[#This Row],[Funnel Stage Reached]],"Lead",1,"MQL",2,"SQL",3,"Customer",4)</f>
        <v>1</v>
      </c>
      <c r="L539" t="str">
        <f>TEXT(LeadsData[[#This Row],[Signup Date]],"mmm-yyyy")</f>
        <v>Dec-2024</v>
      </c>
      <c r="M539">
        <f>IF(LeadsData[[#This Row],[Stage Number]]&gt;=2,1,0)</f>
        <v>0</v>
      </c>
      <c r="N539" s="2">
        <f>IF(LeadsData[[#This Row],[Stage Number]]&gt;=3,1,0)</f>
        <v>0</v>
      </c>
      <c r="O539" s="2">
        <f>IF(LeadsData[[#This Row],[Stage Number]]&gt;=4,1,0)</f>
        <v>0</v>
      </c>
    </row>
    <row r="540" spans="1:15" x14ac:dyDescent="0.25">
      <c r="A540" t="s">
        <v>580</v>
      </c>
      <c r="B540" s="1">
        <v>45566</v>
      </c>
      <c r="C540" t="s">
        <v>31</v>
      </c>
      <c r="D540" t="s">
        <v>34</v>
      </c>
      <c r="E540" t="s">
        <v>13</v>
      </c>
      <c r="F540" t="s">
        <v>14</v>
      </c>
      <c r="G540" t="s">
        <v>15</v>
      </c>
      <c r="K540" cm="1">
        <f t="array" ref="K540">_xlfn.SWITCH(LeadsData[[#This Row],[Funnel Stage Reached]],"Lead",1,"MQL",2,"SQL",3,"Customer",4)</f>
        <v>1</v>
      </c>
      <c r="L540" t="str">
        <f>TEXT(LeadsData[[#This Row],[Signup Date]],"mmm-yyyy")</f>
        <v>Oct-2024</v>
      </c>
      <c r="M540">
        <f>IF(LeadsData[[#This Row],[Stage Number]]&gt;=2,1,0)</f>
        <v>0</v>
      </c>
      <c r="N540" s="2">
        <f>IF(LeadsData[[#This Row],[Stage Number]]&gt;=3,1,0)</f>
        <v>0</v>
      </c>
      <c r="O540" s="2">
        <f>IF(LeadsData[[#This Row],[Stage Number]]&gt;=4,1,0)</f>
        <v>0</v>
      </c>
    </row>
    <row r="541" spans="1:15" x14ac:dyDescent="0.25">
      <c r="A541" t="s">
        <v>581</v>
      </c>
      <c r="B541" s="1">
        <v>45644</v>
      </c>
      <c r="C541" t="s">
        <v>25</v>
      </c>
      <c r="D541" t="s">
        <v>26</v>
      </c>
      <c r="E541" t="s">
        <v>21</v>
      </c>
      <c r="F541" t="s">
        <v>19</v>
      </c>
      <c r="G541" t="s">
        <v>15</v>
      </c>
      <c r="K541" cm="1">
        <f t="array" ref="K541">_xlfn.SWITCH(LeadsData[[#This Row],[Funnel Stage Reached]],"Lead",1,"MQL",2,"SQL",3,"Customer",4)</f>
        <v>1</v>
      </c>
      <c r="L541" t="str">
        <f>TEXT(LeadsData[[#This Row],[Signup Date]],"mmm-yyyy")</f>
        <v>Dec-2024</v>
      </c>
      <c r="M541">
        <f>IF(LeadsData[[#This Row],[Stage Number]]&gt;=2,1,0)</f>
        <v>0</v>
      </c>
      <c r="N541" s="2">
        <f>IF(LeadsData[[#This Row],[Stage Number]]&gt;=3,1,0)</f>
        <v>0</v>
      </c>
      <c r="O541" s="2">
        <f>IF(LeadsData[[#This Row],[Stage Number]]&gt;=4,1,0)</f>
        <v>0</v>
      </c>
    </row>
    <row r="542" spans="1:15" x14ac:dyDescent="0.25">
      <c r="A542" t="s">
        <v>582</v>
      </c>
      <c r="B542" s="1">
        <v>45606</v>
      </c>
      <c r="C542" t="s">
        <v>46</v>
      </c>
      <c r="D542" t="s">
        <v>56</v>
      </c>
      <c r="E542" t="s">
        <v>21</v>
      </c>
      <c r="F542" t="s">
        <v>22</v>
      </c>
      <c r="G542" t="s">
        <v>29</v>
      </c>
      <c r="K542" cm="1">
        <f t="array" ref="K542">_xlfn.SWITCH(LeadsData[[#This Row],[Funnel Stage Reached]],"Lead",1,"MQL",2,"SQL",3,"Customer",4)</f>
        <v>3</v>
      </c>
      <c r="L542" t="str">
        <f>TEXT(LeadsData[[#This Row],[Signup Date]],"mmm-yyyy")</f>
        <v>Nov-2024</v>
      </c>
      <c r="M542">
        <f>IF(LeadsData[[#This Row],[Stage Number]]&gt;=2,1,0)</f>
        <v>1</v>
      </c>
      <c r="N542" s="2">
        <f>IF(LeadsData[[#This Row],[Stage Number]]&gt;=3,1,0)</f>
        <v>1</v>
      </c>
      <c r="O542" s="2">
        <f>IF(LeadsData[[#This Row],[Stage Number]]&gt;=4,1,0)</f>
        <v>0</v>
      </c>
    </row>
    <row r="543" spans="1:15" x14ac:dyDescent="0.25">
      <c r="A543" t="s">
        <v>583</v>
      </c>
      <c r="B543" s="1">
        <v>45545</v>
      </c>
      <c r="C543" t="s">
        <v>31</v>
      </c>
      <c r="D543" t="s">
        <v>34</v>
      </c>
      <c r="E543" t="s">
        <v>21</v>
      </c>
      <c r="F543" t="s">
        <v>19</v>
      </c>
      <c r="G543" t="s">
        <v>15</v>
      </c>
      <c r="K543" cm="1">
        <f t="array" ref="K543">_xlfn.SWITCH(LeadsData[[#This Row],[Funnel Stage Reached]],"Lead",1,"MQL",2,"SQL",3,"Customer",4)</f>
        <v>1</v>
      </c>
      <c r="L543" t="str">
        <f>TEXT(LeadsData[[#This Row],[Signup Date]],"mmm-yyyy")</f>
        <v>Sep-2024</v>
      </c>
      <c r="M543">
        <f>IF(LeadsData[[#This Row],[Stage Number]]&gt;=2,1,0)</f>
        <v>0</v>
      </c>
      <c r="N543" s="2">
        <f>IF(LeadsData[[#This Row],[Stage Number]]&gt;=3,1,0)</f>
        <v>0</v>
      </c>
      <c r="O543" s="2">
        <f>IF(LeadsData[[#This Row],[Stage Number]]&gt;=4,1,0)</f>
        <v>0</v>
      </c>
    </row>
    <row r="544" spans="1:15" x14ac:dyDescent="0.25">
      <c r="A544" t="s">
        <v>584</v>
      </c>
      <c r="B544" s="1">
        <v>45634</v>
      </c>
      <c r="C544" t="s">
        <v>11</v>
      </c>
      <c r="D544" t="s">
        <v>12</v>
      </c>
      <c r="E544" t="s">
        <v>21</v>
      </c>
      <c r="F544" t="s">
        <v>22</v>
      </c>
      <c r="G544" t="s">
        <v>15</v>
      </c>
      <c r="K544" cm="1">
        <f t="array" ref="K544">_xlfn.SWITCH(LeadsData[[#This Row],[Funnel Stage Reached]],"Lead",1,"MQL",2,"SQL",3,"Customer",4)</f>
        <v>1</v>
      </c>
      <c r="L544" t="str">
        <f>TEXT(LeadsData[[#This Row],[Signup Date]],"mmm-yyyy")</f>
        <v>Dec-2024</v>
      </c>
      <c r="M544">
        <f>IF(LeadsData[[#This Row],[Stage Number]]&gt;=2,1,0)</f>
        <v>0</v>
      </c>
      <c r="N544" s="2">
        <f>IF(LeadsData[[#This Row],[Stage Number]]&gt;=3,1,0)</f>
        <v>0</v>
      </c>
      <c r="O544" s="2">
        <f>IF(LeadsData[[#This Row],[Stage Number]]&gt;=4,1,0)</f>
        <v>0</v>
      </c>
    </row>
    <row r="545" spans="1:15" x14ac:dyDescent="0.25">
      <c r="A545" t="s">
        <v>585</v>
      </c>
      <c r="B545" s="1">
        <v>45329</v>
      </c>
      <c r="C545" t="s">
        <v>31</v>
      </c>
      <c r="D545" t="s">
        <v>32</v>
      </c>
      <c r="E545" t="s">
        <v>13</v>
      </c>
      <c r="F545" t="s">
        <v>19</v>
      </c>
      <c r="G545" t="s">
        <v>23</v>
      </c>
      <c r="K545" cm="1">
        <f t="array" ref="K545">_xlfn.SWITCH(LeadsData[[#This Row],[Funnel Stage Reached]],"Lead",1,"MQL",2,"SQL",3,"Customer",4)</f>
        <v>2</v>
      </c>
      <c r="L545" t="str">
        <f>TEXT(LeadsData[[#This Row],[Signup Date]],"mmm-yyyy")</f>
        <v>Feb-2024</v>
      </c>
      <c r="M545">
        <f>IF(LeadsData[[#This Row],[Stage Number]]&gt;=2,1,0)</f>
        <v>1</v>
      </c>
      <c r="N545" s="2">
        <f>IF(LeadsData[[#This Row],[Stage Number]]&gt;=3,1,0)</f>
        <v>0</v>
      </c>
      <c r="O545" s="2">
        <f>IF(LeadsData[[#This Row],[Stage Number]]&gt;=4,1,0)</f>
        <v>0</v>
      </c>
    </row>
    <row r="546" spans="1:15" x14ac:dyDescent="0.25">
      <c r="A546" t="s">
        <v>586</v>
      </c>
      <c r="B546" s="1">
        <v>45621</v>
      </c>
      <c r="C546" t="s">
        <v>46</v>
      </c>
      <c r="D546" t="s">
        <v>47</v>
      </c>
      <c r="E546" t="s">
        <v>13</v>
      </c>
      <c r="F546" t="s">
        <v>14</v>
      </c>
      <c r="G546" t="s">
        <v>15</v>
      </c>
      <c r="K546" cm="1">
        <f t="array" ref="K546">_xlfn.SWITCH(LeadsData[[#This Row],[Funnel Stage Reached]],"Lead",1,"MQL",2,"SQL",3,"Customer",4)</f>
        <v>1</v>
      </c>
      <c r="L546" t="str">
        <f>TEXT(LeadsData[[#This Row],[Signup Date]],"mmm-yyyy")</f>
        <v>Nov-2024</v>
      </c>
      <c r="M546">
        <f>IF(LeadsData[[#This Row],[Stage Number]]&gt;=2,1,0)</f>
        <v>0</v>
      </c>
      <c r="N546" s="2">
        <f>IF(LeadsData[[#This Row],[Stage Number]]&gt;=3,1,0)</f>
        <v>0</v>
      </c>
      <c r="O546" s="2">
        <f>IF(LeadsData[[#This Row],[Stage Number]]&gt;=4,1,0)</f>
        <v>0</v>
      </c>
    </row>
    <row r="547" spans="1:15" x14ac:dyDescent="0.25">
      <c r="A547" t="s">
        <v>587</v>
      </c>
      <c r="B547" s="1">
        <v>45471</v>
      </c>
      <c r="C547" t="s">
        <v>17</v>
      </c>
      <c r="D547" t="s">
        <v>18</v>
      </c>
      <c r="E547" t="s">
        <v>13</v>
      </c>
      <c r="F547" t="s">
        <v>14</v>
      </c>
      <c r="G547" t="s">
        <v>15</v>
      </c>
      <c r="K547" cm="1">
        <f t="array" ref="K547">_xlfn.SWITCH(LeadsData[[#This Row],[Funnel Stage Reached]],"Lead",1,"MQL",2,"SQL",3,"Customer",4)</f>
        <v>1</v>
      </c>
      <c r="L547" t="str">
        <f>TEXT(LeadsData[[#This Row],[Signup Date]],"mmm-yyyy")</f>
        <v>Jun-2024</v>
      </c>
      <c r="M547">
        <f>IF(LeadsData[[#This Row],[Stage Number]]&gt;=2,1,0)</f>
        <v>0</v>
      </c>
      <c r="N547" s="2">
        <f>IF(LeadsData[[#This Row],[Stage Number]]&gt;=3,1,0)</f>
        <v>0</v>
      </c>
      <c r="O547" s="2">
        <f>IF(LeadsData[[#This Row],[Stage Number]]&gt;=4,1,0)</f>
        <v>0</v>
      </c>
    </row>
    <row r="548" spans="1:15" x14ac:dyDescent="0.25">
      <c r="A548" t="s">
        <v>588</v>
      </c>
      <c r="B548" s="1">
        <v>45614</v>
      </c>
      <c r="C548" t="s">
        <v>17</v>
      </c>
      <c r="D548" t="s">
        <v>18</v>
      </c>
      <c r="E548" t="s">
        <v>48</v>
      </c>
      <c r="F548" t="s">
        <v>22</v>
      </c>
      <c r="G548" t="s">
        <v>15</v>
      </c>
      <c r="K548" cm="1">
        <f t="array" ref="K548">_xlfn.SWITCH(LeadsData[[#This Row],[Funnel Stage Reached]],"Lead",1,"MQL",2,"SQL",3,"Customer",4)</f>
        <v>1</v>
      </c>
      <c r="L548" t="str">
        <f>TEXT(LeadsData[[#This Row],[Signup Date]],"mmm-yyyy")</f>
        <v>Nov-2024</v>
      </c>
      <c r="M548">
        <f>IF(LeadsData[[#This Row],[Stage Number]]&gt;=2,1,0)</f>
        <v>0</v>
      </c>
      <c r="N548" s="2">
        <f>IF(LeadsData[[#This Row],[Stage Number]]&gt;=3,1,0)</f>
        <v>0</v>
      </c>
      <c r="O548" s="2">
        <f>IF(LeadsData[[#This Row],[Stage Number]]&gt;=4,1,0)</f>
        <v>0</v>
      </c>
    </row>
    <row r="549" spans="1:15" x14ac:dyDescent="0.25">
      <c r="A549" t="s">
        <v>589</v>
      </c>
      <c r="B549" s="1">
        <v>45449</v>
      </c>
      <c r="C549" t="s">
        <v>46</v>
      </c>
      <c r="D549" t="s">
        <v>47</v>
      </c>
      <c r="E549" t="s">
        <v>21</v>
      </c>
      <c r="F549" t="s">
        <v>19</v>
      </c>
      <c r="G549" t="s">
        <v>29</v>
      </c>
      <c r="K549" cm="1">
        <f t="array" ref="K549">_xlfn.SWITCH(LeadsData[[#This Row],[Funnel Stage Reached]],"Lead",1,"MQL",2,"SQL",3,"Customer",4)</f>
        <v>3</v>
      </c>
      <c r="L549" t="str">
        <f>TEXT(LeadsData[[#This Row],[Signup Date]],"mmm-yyyy")</f>
        <v>Jun-2024</v>
      </c>
      <c r="M549">
        <f>IF(LeadsData[[#This Row],[Stage Number]]&gt;=2,1,0)</f>
        <v>1</v>
      </c>
      <c r="N549" s="2">
        <f>IF(LeadsData[[#This Row],[Stage Number]]&gt;=3,1,0)</f>
        <v>1</v>
      </c>
      <c r="O549" s="2">
        <f>IF(LeadsData[[#This Row],[Stage Number]]&gt;=4,1,0)</f>
        <v>0</v>
      </c>
    </row>
    <row r="550" spans="1:15" x14ac:dyDescent="0.25">
      <c r="A550" t="s">
        <v>590</v>
      </c>
      <c r="B550" s="1">
        <v>45355</v>
      </c>
      <c r="C550" t="s">
        <v>31</v>
      </c>
      <c r="D550" t="s">
        <v>32</v>
      </c>
      <c r="E550" t="s">
        <v>21</v>
      </c>
      <c r="F550" t="s">
        <v>28</v>
      </c>
      <c r="G550" t="s">
        <v>15</v>
      </c>
      <c r="K550" cm="1">
        <f t="array" ref="K550">_xlfn.SWITCH(LeadsData[[#This Row],[Funnel Stage Reached]],"Lead",1,"MQL",2,"SQL",3,"Customer",4)</f>
        <v>1</v>
      </c>
      <c r="L550" t="str">
        <f>TEXT(LeadsData[[#This Row],[Signup Date]],"mmm-yyyy")</f>
        <v>Mar-2024</v>
      </c>
      <c r="M550">
        <f>IF(LeadsData[[#This Row],[Stage Number]]&gt;=2,1,0)</f>
        <v>0</v>
      </c>
      <c r="N550" s="2">
        <f>IF(LeadsData[[#This Row],[Stage Number]]&gt;=3,1,0)</f>
        <v>0</v>
      </c>
      <c r="O550" s="2">
        <f>IF(LeadsData[[#This Row],[Stage Number]]&gt;=4,1,0)</f>
        <v>0</v>
      </c>
    </row>
    <row r="551" spans="1:15" x14ac:dyDescent="0.25">
      <c r="A551" t="s">
        <v>591</v>
      </c>
      <c r="B551" s="1">
        <v>45391</v>
      </c>
      <c r="C551" t="s">
        <v>36</v>
      </c>
      <c r="D551" t="s">
        <v>50</v>
      </c>
      <c r="E551" t="s">
        <v>48</v>
      </c>
      <c r="F551" t="s">
        <v>14</v>
      </c>
      <c r="G551" t="s">
        <v>23</v>
      </c>
      <c r="K551" cm="1">
        <f t="array" ref="K551">_xlfn.SWITCH(LeadsData[[#This Row],[Funnel Stage Reached]],"Lead",1,"MQL",2,"SQL",3,"Customer",4)</f>
        <v>2</v>
      </c>
      <c r="L551" t="str">
        <f>TEXT(LeadsData[[#This Row],[Signup Date]],"mmm-yyyy")</f>
        <v>Apr-2024</v>
      </c>
      <c r="M551">
        <f>IF(LeadsData[[#This Row],[Stage Number]]&gt;=2,1,0)</f>
        <v>1</v>
      </c>
      <c r="N551" s="2">
        <f>IF(LeadsData[[#This Row],[Stage Number]]&gt;=3,1,0)</f>
        <v>0</v>
      </c>
      <c r="O551" s="2">
        <f>IF(LeadsData[[#This Row],[Stage Number]]&gt;=4,1,0)</f>
        <v>0</v>
      </c>
    </row>
    <row r="552" spans="1:15" x14ac:dyDescent="0.25">
      <c r="A552" t="s">
        <v>592</v>
      </c>
      <c r="B552" s="1">
        <v>45653</v>
      </c>
      <c r="C552" t="s">
        <v>25</v>
      </c>
      <c r="D552" t="s">
        <v>26</v>
      </c>
      <c r="E552" t="s">
        <v>21</v>
      </c>
      <c r="F552" t="s">
        <v>28</v>
      </c>
      <c r="G552" t="s">
        <v>29</v>
      </c>
      <c r="K552" cm="1">
        <f t="array" ref="K552">_xlfn.SWITCH(LeadsData[[#This Row],[Funnel Stage Reached]],"Lead",1,"MQL",2,"SQL",3,"Customer",4)</f>
        <v>3</v>
      </c>
      <c r="L552" t="str">
        <f>TEXT(LeadsData[[#This Row],[Signup Date]],"mmm-yyyy")</f>
        <v>Dec-2024</v>
      </c>
      <c r="M552">
        <f>IF(LeadsData[[#This Row],[Stage Number]]&gt;=2,1,0)</f>
        <v>1</v>
      </c>
      <c r="N552" s="2">
        <f>IF(LeadsData[[#This Row],[Stage Number]]&gt;=3,1,0)</f>
        <v>1</v>
      </c>
      <c r="O552" s="2">
        <f>IF(LeadsData[[#This Row],[Stage Number]]&gt;=4,1,0)</f>
        <v>0</v>
      </c>
    </row>
    <row r="553" spans="1:15" x14ac:dyDescent="0.25">
      <c r="A553" t="s">
        <v>593</v>
      </c>
      <c r="B553" s="1">
        <v>45618</v>
      </c>
      <c r="C553" t="s">
        <v>11</v>
      </c>
      <c r="D553" t="s">
        <v>12</v>
      </c>
      <c r="E553" t="s">
        <v>13</v>
      </c>
      <c r="F553" t="s">
        <v>22</v>
      </c>
      <c r="G553" t="s">
        <v>23</v>
      </c>
      <c r="K553" cm="1">
        <f t="array" ref="K553">_xlfn.SWITCH(LeadsData[[#This Row],[Funnel Stage Reached]],"Lead",1,"MQL",2,"SQL",3,"Customer",4)</f>
        <v>2</v>
      </c>
      <c r="L553" t="str">
        <f>TEXT(LeadsData[[#This Row],[Signup Date]],"mmm-yyyy")</f>
        <v>Nov-2024</v>
      </c>
      <c r="M553">
        <f>IF(LeadsData[[#This Row],[Stage Number]]&gt;=2,1,0)</f>
        <v>1</v>
      </c>
      <c r="N553" s="2">
        <f>IF(LeadsData[[#This Row],[Stage Number]]&gt;=3,1,0)</f>
        <v>0</v>
      </c>
      <c r="O553" s="2">
        <f>IF(LeadsData[[#This Row],[Stage Number]]&gt;=4,1,0)</f>
        <v>0</v>
      </c>
    </row>
    <row r="554" spans="1:15" x14ac:dyDescent="0.25">
      <c r="A554" t="s">
        <v>594</v>
      </c>
      <c r="B554" s="1">
        <v>45456</v>
      </c>
      <c r="C554" t="s">
        <v>31</v>
      </c>
      <c r="D554" t="s">
        <v>32</v>
      </c>
      <c r="E554" t="s">
        <v>13</v>
      </c>
      <c r="F554" t="s">
        <v>22</v>
      </c>
      <c r="G554" t="s">
        <v>23</v>
      </c>
      <c r="K554" cm="1">
        <f t="array" ref="K554">_xlfn.SWITCH(LeadsData[[#This Row],[Funnel Stage Reached]],"Lead",1,"MQL",2,"SQL",3,"Customer",4)</f>
        <v>2</v>
      </c>
      <c r="L554" t="str">
        <f>TEXT(LeadsData[[#This Row],[Signup Date]],"mmm-yyyy")</f>
        <v>Jun-2024</v>
      </c>
      <c r="M554">
        <f>IF(LeadsData[[#This Row],[Stage Number]]&gt;=2,1,0)</f>
        <v>1</v>
      </c>
      <c r="N554" s="2">
        <f>IF(LeadsData[[#This Row],[Stage Number]]&gt;=3,1,0)</f>
        <v>0</v>
      </c>
      <c r="O554" s="2">
        <f>IF(LeadsData[[#This Row],[Stage Number]]&gt;=4,1,0)</f>
        <v>0</v>
      </c>
    </row>
    <row r="555" spans="1:15" x14ac:dyDescent="0.25">
      <c r="A555" t="s">
        <v>595</v>
      </c>
      <c r="B555" s="1">
        <v>45562</v>
      </c>
      <c r="C555" t="s">
        <v>31</v>
      </c>
      <c r="D555" t="s">
        <v>34</v>
      </c>
      <c r="E555" t="s">
        <v>21</v>
      </c>
      <c r="F555" t="s">
        <v>14</v>
      </c>
      <c r="G555" t="s">
        <v>23</v>
      </c>
      <c r="K555" cm="1">
        <f t="array" ref="K555">_xlfn.SWITCH(LeadsData[[#This Row],[Funnel Stage Reached]],"Lead",1,"MQL",2,"SQL",3,"Customer",4)</f>
        <v>2</v>
      </c>
      <c r="L555" t="str">
        <f>TEXT(LeadsData[[#This Row],[Signup Date]],"mmm-yyyy")</f>
        <v>Sep-2024</v>
      </c>
      <c r="M555">
        <f>IF(LeadsData[[#This Row],[Stage Number]]&gt;=2,1,0)</f>
        <v>1</v>
      </c>
      <c r="N555" s="2">
        <f>IF(LeadsData[[#This Row],[Stage Number]]&gt;=3,1,0)</f>
        <v>0</v>
      </c>
      <c r="O555" s="2">
        <f>IF(LeadsData[[#This Row],[Stage Number]]&gt;=4,1,0)</f>
        <v>0</v>
      </c>
    </row>
    <row r="556" spans="1:15" x14ac:dyDescent="0.25">
      <c r="A556" t="s">
        <v>596</v>
      </c>
      <c r="B556" s="1">
        <v>45302</v>
      </c>
      <c r="C556" t="s">
        <v>36</v>
      </c>
      <c r="D556" t="s">
        <v>37</v>
      </c>
      <c r="E556" t="s">
        <v>48</v>
      </c>
      <c r="F556" t="s">
        <v>19</v>
      </c>
      <c r="G556" t="s">
        <v>23</v>
      </c>
      <c r="K556" cm="1">
        <f t="array" ref="K556">_xlfn.SWITCH(LeadsData[[#This Row],[Funnel Stage Reached]],"Lead",1,"MQL",2,"SQL",3,"Customer",4)</f>
        <v>2</v>
      </c>
      <c r="L556" t="str">
        <f>TEXT(LeadsData[[#This Row],[Signup Date]],"mmm-yyyy")</f>
        <v>Jan-2024</v>
      </c>
      <c r="M556">
        <f>IF(LeadsData[[#This Row],[Stage Number]]&gt;=2,1,0)</f>
        <v>1</v>
      </c>
      <c r="N556" s="2">
        <f>IF(LeadsData[[#This Row],[Stage Number]]&gt;=3,1,0)</f>
        <v>0</v>
      </c>
      <c r="O556" s="2">
        <f>IF(LeadsData[[#This Row],[Stage Number]]&gt;=4,1,0)</f>
        <v>0</v>
      </c>
    </row>
    <row r="557" spans="1:15" x14ac:dyDescent="0.25">
      <c r="A557" t="s">
        <v>597</v>
      </c>
      <c r="B557" s="1">
        <v>45337</v>
      </c>
      <c r="C557" t="s">
        <v>17</v>
      </c>
      <c r="D557" t="s">
        <v>53</v>
      </c>
      <c r="E557" t="s">
        <v>21</v>
      </c>
      <c r="F557" t="s">
        <v>19</v>
      </c>
      <c r="G557" t="s">
        <v>15</v>
      </c>
      <c r="K557" cm="1">
        <f t="array" ref="K557">_xlfn.SWITCH(LeadsData[[#This Row],[Funnel Stage Reached]],"Lead",1,"MQL",2,"SQL",3,"Customer",4)</f>
        <v>1</v>
      </c>
      <c r="L557" t="str">
        <f>TEXT(LeadsData[[#This Row],[Signup Date]],"mmm-yyyy")</f>
        <v>Feb-2024</v>
      </c>
      <c r="M557">
        <f>IF(LeadsData[[#This Row],[Stage Number]]&gt;=2,1,0)</f>
        <v>0</v>
      </c>
      <c r="N557" s="2">
        <f>IF(LeadsData[[#This Row],[Stage Number]]&gt;=3,1,0)</f>
        <v>0</v>
      </c>
      <c r="O557" s="2">
        <f>IF(LeadsData[[#This Row],[Stage Number]]&gt;=4,1,0)</f>
        <v>0</v>
      </c>
    </row>
    <row r="558" spans="1:15" x14ac:dyDescent="0.25">
      <c r="A558" t="s">
        <v>598</v>
      </c>
      <c r="B558" s="1">
        <v>45587</v>
      </c>
      <c r="C558" t="s">
        <v>31</v>
      </c>
      <c r="D558" t="s">
        <v>34</v>
      </c>
      <c r="E558" t="s">
        <v>21</v>
      </c>
      <c r="F558" t="s">
        <v>22</v>
      </c>
      <c r="G558" t="s">
        <v>15</v>
      </c>
      <c r="K558" cm="1">
        <f t="array" ref="K558">_xlfn.SWITCH(LeadsData[[#This Row],[Funnel Stage Reached]],"Lead",1,"MQL",2,"SQL",3,"Customer",4)</f>
        <v>1</v>
      </c>
      <c r="L558" t="str">
        <f>TEXT(LeadsData[[#This Row],[Signup Date]],"mmm-yyyy")</f>
        <v>Oct-2024</v>
      </c>
      <c r="M558">
        <f>IF(LeadsData[[#This Row],[Stage Number]]&gt;=2,1,0)</f>
        <v>0</v>
      </c>
      <c r="N558" s="2">
        <f>IF(LeadsData[[#This Row],[Stage Number]]&gt;=3,1,0)</f>
        <v>0</v>
      </c>
      <c r="O558" s="2">
        <f>IF(LeadsData[[#This Row],[Stage Number]]&gt;=4,1,0)</f>
        <v>0</v>
      </c>
    </row>
    <row r="559" spans="1:15" x14ac:dyDescent="0.25">
      <c r="A559" t="s">
        <v>599</v>
      </c>
      <c r="B559" s="1">
        <v>45308</v>
      </c>
      <c r="C559" t="s">
        <v>46</v>
      </c>
      <c r="D559" t="s">
        <v>47</v>
      </c>
      <c r="E559" t="s">
        <v>13</v>
      </c>
      <c r="F559" t="s">
        <v>22</v>
      </c>
      <c r="G559" t="s">
        <v>15</v>
      </c>
      <c r="K559" cm="1">
        <f t="array" ref="K559">_xlfn.SWITCH(LeadsData[[#This Row],[Funnel Stage Reached]],"Lead",1,"MQL",2,"SQL",3,"Customer",4)</f>
        <v>1</v>
      </c>
      <c r="L559" t="str">
        <f>TEXT(LeadsData[[#This Row],[Signup Date]],"mmm-yyyy")</f>
        <v>Jan-2024</v>
      </c>
      <c r="M559">
        <f>IF(LeadsData[[#This Row],[Stage Number]]&gt;=2,1,0)</f>
        <v>0</v>
      </c>
      <c r="N559" s="2">
        <f>IF(LeadsData[[#This Row],[Stage Number]]&gt;=3,1,0)</f>
        <v>0</v>
      </c>
      <c r="O559" s="2">
        <f>IF(LeadsData[[#This Row],[Stage Number]]&gt;=4,1,0)</f>
        <v>0</v>
      </c>
    </row>
    <row r="560" spans="1:15" x14ac:dyDescent="0.25">
      <c r="A560" t="s">
        <v>600</v>
      </c>
      <c r="B560" s="1">
        <v>45396</v>
      </c>
      <c r="C560" t="s">
        <v>11</v>
      </c>
      <c r="D560" t="s">
        <v>79</v>
      </c>
      <c r="E560" t="s">
        <v>21</v>
      </c>
      <c r="F560" t="s">
        <v>19</v>
      </c>
      <c r="G560" t="s">
        <v>15</v>
      </c>
      <c r="K560" cm="1">
        <f t="array" ref="K560">_xlfn.SWITCH(LeadsData[[#This Row],[Funnel Stage Reached]],"Lead",1,"MQL",2,"SQL",3,"Customer",4)</f>
        <v>1</v>
      </c>
      <c r="L560" t="str">
        <f>TEXT(LeadsData[[#This Row],[Signup Date]],"mmm-yyyy")</f>
        <v>Apr-2024</v>
      </c>
      <c r="M560">
        <f>IF(LeadsData[[#This Row],[Stage Number]]&gt;=2,1,0)</f>
        <v>0</v>
      </c>
      <c r="N560" s="2">
        <f>IF(LeadsData[[#This Row],[Stage Number]]&gt;=3,1,0)</f>
        <v>0</v>
      </c>
      <c r="O560" s="2">
        <f>IF(LeadsData[[#This Row],[Stage Number]]&gt;=4,1,0)</f>
        <v>0</v>
      </c>
    </row>
    <row r="561" spans="1:15" x14ac:dyDescent="0.25">
      <c r="A561" t="s">
        <v>601</v>
      </c>
      <c r="B561" s="1">
        <v>45605</v>
      </c>
      <c r="C561" t="s">
        <v>36</v>
      </c>
      <c r="D561" t="s">
        <v>37</v>
      </c>
      <c r="E561" t="s">
        <v>48</v>
      </c>
      <c r="F561" t="s">
        <v>19</v>
      </c>
      <c r="G561" t="s">
        <v>29</v>
      </c>
      <c r="K561" cm="1">
        <f t="array" ref="K561">_xlfn.SWITCH(LeadsData[[#This Row],[Funnel Stage Reached]],"Lead",1,"MQL",2,"SQL",3,"Customer",4)</f>
        <v>3</v>
      </c>
      <c r="L561" t="str">
        <f>TEXT(LeadsData[[#This Row],[Signup Date]],"mmm-yyyy")</f>
        <v>Nov-2024</v>
      </c>
      <c r="M561">
        <f>IF(LeadsData[[#This Row],[Stage Number]]&gt;=2,1,0)</f>
        <v>1</v>
      </c>
      <c r="N561" s="2">
        <f>IF(LeadsData[[#This Row],[Stage Number]]&gt;=3,1,0)</f>
        <v>1</v>
      </c>
      <c r="O561" s="2">
        <f>IF(LeadsData[[#This Row],[Stage Number]]&gt;=4,1,0)</f>
        <v>0</v>
      </c>
    </row>
    <row r="562" spans="1:15" x14ac:dyDescent="0.25">
      <c r="A562" t="s">
        <v>602</v>
      </c>
      <c r="B562" s="1">
        <v>45587</v>
      </c>
      <c r="C562" t="s">
        <v>17</v>
      </c>
      <c r="D562" t="s">
        <v>18</v>
      </c>
      <c r="E562" t="s">
        <v>13</v>
      </c>
      <c r="F562" t="s">
        <v>14</v>
      </c>
      <c r="G562" t="s">
        <v>15</v>
      </c>
      <c r="K562" cm="1">
        <f t="array" ref="K562">_xlfn.SWITCH(LeadsData[[#This Row],[Funnel Stage Reached]],"Lead",1,"MQL",2,"SQL",3,"Customer",4)</f>
        <v>1</v>
      </c>
      <c r="L562" t="str">
        <f>TEXT(LeadsData[[#This Row],[Signup Date]],"mmm-yyyy")</f>
        <v>Oct-2024</v>
      </c>
      <c r="M562">
        <f>IF(LeadsData[[#This Row],[Stage Number]]&gt;=2,1,0)</f>
        <v>0</v>
      </c>
      <c r="N562" s="2">
        <f>IF(LeadsData[[#This Row],[Stage Number]]&gt;=3,1,0)</f>
        <v>0</v>
      </c>
      <c r="O562" s="2">
        <f>IF(LeadsData[[#This Row],[Stage Number]]&gt;=4,1,0)</f>
        <v>0</v>
      </c>
    </row>
    <row r="563" spans="1:15" x14ac:dyDescent="0.25">
      <c r="A563" t="s">
        <v>603</v>
      </c>
      <c r="B563" s="1">
        <v>45632</v>
      </c>
      <c r="C563" t="s">
        <v>17</v>
      </c>
      <c r="D563" t="s">
        <v>18</v>
      </c>
      <c r="E563" t="s">
        <v>21</v>
      </c>
      <c r="F563" t="s">
        <v>14</v>
      </c>
      <c r="G563" t="s">
        <v>23</v>
      </c>
      <c r="K563" cm="1">
        <f t="array" ref="K563">_xlfn.SWITCH(LeadsData[[#This Row],[Funnel Stage Reached]],"Lead",1,"MQL",2,"SQL",3,"Customer",4)</f>
        <v>2</v>
      </c>
      <c r="L563" t="str">
        <f>TEXT(LeadsData[[#This Row],[Signup Date]],"mmm-yyyy")</f>
        <v>Dec-2024</v>
      </c>
      <c r="M563">
        <f>IF(LeadsData[[#This Row],[Stage Number]]&gt;=2,1,0)</f>
        <v>1</v>
      </c>
      <c r="N563" s="2">
        <f>IF(LeadsData[[#This Row],[Stage Number]]&gt;=3,1,0)</f>
        <v>0</v>
      </c>
      <c r="O563" s="2">
        <f>IF(LeadsData[[#This Row],[Stage Number]]&gt;=4,1,0)</f>
        <v>0</v>
      </c>
    </row>
    <row r="564" spans="1:15" x14ac:dyDescent="0.25">
      <c r="A564" t="s">
        <v>604</v>
      </c>
      <c r="B564" s="1">
        <v>45481</v>
      </c>
      <c r="C564" t="s">
        <v>46</v>
      </c>
      <c r="D564" t="s">
        <v>56</v>
      </c>
      <c r="E564" t="s">
        <v>21</v>
      </c>
      <c r="F564" t="s">
        <v>19</v>
      </c>
      <c r="G564" t="s">
        <v>42</v>
      </c>
      <c r="H564">
        <v>62</v>
      </c>
      <c r="I564" t="s">
        <v>43</v>
      </c>
      <c r="J564">
        <v>929.27</v>
      </c>
      <c r="K564" cm="1">
        <f t="array" ref="K564">_xlfn.SWITCH(LeadsData[[#This Row],[Funnel Stage Reached]],"Lead",1,"MQL",2,"SQL",3,"Customer",4)</f>
        <v>4</v>
      </c>
      <c r="L564" t="str">
        <f>TEXT(LeadsData[[#This Row],[Signup Date]],"mmm-yyyy")</f>
        <v>Jul-2024</v>
      </c>
      <c r="M564">
        <f>IF(LeadsData[[#This Row],[Stage Number]]&gt;=2,1,0)</f>
        <v>1</v>
      </c>
      <c r="N564" s="2">
        <f>IF(LeadsData[[#This Row],[Stage Number]]&gt;=3,1,0)</f>
        <v>1</v>
      </c>
      <c r="O564" s="2">
        <f>IF(LeadsData[[#This Row],[Stage Number]]&gt;=4,1,0)</f>
        <v>1</v>
      </c>
    </row>
    <row r="565" spans="1:15" x14ac:dyDescent="0.25">
      <c r="A565" t="s">
        <v>605</v>
      </c>
      <c r="B565" s="1">
        <v>45395</v>
      </c>
      <c r="C565" t="s">
        <v>11</v>
      </c>
      <c r="D565" t="s">
        <v>79</v>
      </c>
      <c r="E565" t="s">
        <v>13</v>
      </c>
      <c r="F565" t="s">
        <v>19</v>
      </c>
      <c r="G565" t="s">
        <v>15</v>
      </c>
      <c r="K565" cm="1">
        <f t="array" ref="K565">_xlfn.SWITCH(LeadsData[[#This Row],[Funnel Stage Reached]],"Lead",1,"MQL",2,"SQL",3,"Customer",4)</f>
        <v>1</v>
      </c>
      <c r="L565" t="str">
        <f>TEXT(LeadsData[[#This Row],[Signup Date]],"mmm-yyyy")</f>
        <v>Apr-2024</v>
      </c>
      <c r="M565">
        <f>IF(LeadsData[[#This Row],[Stage Number]]&gt;=2,1,0)</f>
        <v>0</v>
      </c>
      <c r="N565" s="2">
        <f>IF(LeadsData[[#This Row],[Stage Number]]&gt;=3,1,0)</f>
        <v>0</v>
      </c>
      <c r="O565" s="2">
        <f>IF(LeadsData[[#This Row],[Stage Number]]&gt;=4,1,0)</f>
        <v>0</v>
      </c>
    </row>
    <row r="566" spans="1:15" x14ac:dyDescent="0.25">
      <c r="A566" t="s">
        <v>606</v>
      </c>
      <c r="B566" s="1">
        <v>45654</v>
      </c>
      <c r="C566" t="s">
        <v>11</v>
      </c>
      <c r="D566" t="s">
        <v>68</v>
      </c>
      <c r="E566" t="s">
        <v>48</v>
      </c>
      <c r="F566" t="s">
        <v>19</v>
      </c>
      <c r="G566" t="s">
        <v>15</v>
      </c>
      <c r="K566" cm="1">
        <f t="array" ref="K566">_xlfn.SWITCH(LeadsData[[#This Row],[Funnel Stage Reached]],"Lead",1,"MQL",2,"SQL",3,"Customer",4)</f>
        <v>1</v>
      </c>
      <c r="L566" t="str">
        <f>TEXT(LeadsData[[#This Row],[Signup Date]],"mmm-yyyy")</f>
        <v>Dec-2024</v>
      </c>
      <c r="M566">
        <f>IF(LeadsData[[#This Row],[Stage Number]]&gt;=2,1,0)</f>
        <v>0</v>
      </c>
      <c r="N566" s="2">
        <f>IF(LeadsData[[#This Row],[Stage Number]]&gt;=3,1,0)</f>
        <v>0</v>
      </c>
      <c r="O566" s="2">
        <f>IF(LeadsData[[#This Row],[Stage Number]]&gt;=4,1,0)</f>
        <v>0</v>
      </c>
    </row>
    <row r="567" spans="1:15" x14ac:dyDescent="0.25">
      <c r="A567" t="s">
        <v>607</v>
      </c>
      <c r="B567" s="1">
        <v>45545</v>
      </c>
      <c r="C567" t="s">
        <v>17</v>
      </c>
      <c r="D567" t="s">
        <v>18</v>
      </c>
      <c r="E567" t="s">
        <v>48</v>
      </c>
      <c r="F567" t="s">
        <v>19</v>
      </c>
      <c r="G567" t="s">
        <v>23</v>
      </c>
      <c r="K567" cm="1">
        <f t="array" ref="K567">_xlfn.SWITCH(LeadsData[[#This Row],[Funnel Stage Reached]],"Lead",1,"MQL",2,"SQL",3,"Customer",4)</f>
        <v>2</v>
      </c>
      <c r="L567" t="str">
        <f>TEXT(LeadsData[[#This Row],[Signup Date]],"mmm-yyyy")</f>
        <v>Sep-2024</v>
      </c>
      <c r="M567">
        <f>IF(LeadsData[[#This Row],[Stage Number]]&gt;=2,1,0)</f>
        <v>1</v>
      </c>
      <c r="N567" s="2">
        <f>IF(LeadsData[[#This Row],[Stage Number]]&gt;=3,1,0)</f>
        <v>0</v>
      </c>
      <c r="O567" s="2">
        <f>IF(LeadsData[[#This Row],[Stage Number]]&gt;=4,1,0)</f>
        <v>0</v>
      </c>
    </row>
    <row r="568" spans="1:15" x14ac:dyDescent="0.25">
      <c r="A568" t="s">
        <v>608</v>
      </c>
      <c r="B568" s="1">
        <v>45627</v>
      </c>
      <c r="C568" t="s">
        <v>17</v>
      </c>
      <c r="D568" t="s">
        <v>53</v>
      </c>
      <c r="E568" t="s">
        <v>21</v>
      </c>
      <c r="F568" t="s">
        <v>19</v>
      </c>
      <c r="G568" t="s">
        <v>15</v>
      </c>
      <c r="K568" cm="1">
        <f t="array" ref="K568">_xlfn.SWITCH(LeadsData[[#This Row],[Funnel Stage Reached]],"Lead",1,"MQL",2,"SQL",3,"Customer",4)</f>
        <v>1</v>
      </c>
      <c r="L568" t="str">
        <f>TEXT(LeadsData[[#This Row],[Signup Date]],"mmm-yyyy")</f>
        <v>Dec-2024</v>
      </c>
      <c r="M568">
        <f>IF(LeadsData[[#This Row],[Stage Number]]&gt;=2,1,0)</f>
        <v>0</v>
      </c>
      <c r="N568" s="2">
        <f>IF(LeadsData[[#This Row],[Stage Number]]&gt;=3,1,0)</f>
        <v>0</v>
      </c>
      <c r="O568" s="2">
        <f>IF(LeadsData[[#This Row],[Stage Number]]&gt;=4,1,0)</f>
        <v>0</v>
      </c>
    </row>
    <row r="569" spans="1:15" x14ac:dyDescent="0.25">
      <c r="A569" t="s">
        <v>609</v>
      </c>
      <c r="B569" s="1">
        <v>45431</v>
      </c>
      <c r="C569" t="s">
        <v>17</v>
      </c>
      <c r="D569" t="s">
        <v>18</v>
      </c>
      <c r="E569" t="s">
        <v>13</v>
      </c>
      <c r="F569" t="s">
        <v>19</v>
      </c>
      <c r="G569" t="s">
        <v>42</v>
      </c>
      <c r="H569">
        <v>27</v>
      </c>
      <c r="I569" t="s">
        <v>43</v>
      </c>
      <c r="J569">
        <v>1016.47</v>
      </c>
      <c r="K569" cm="1">
        <f t="array" ref="K569">_xlfn.SWITCH(LeadsData[[#This Row],[Funnel Stage Reached]],"Lead",1,"MQL",2,"SQL",3,"Customer",4)</f>
        <v>4</v>
      </c>
      <c r="L569" t="str">
        <f>TEXT(LeadsData[[#This Row],[Signup Date]],"mmm-yyyy")</f>
        <v>May-2024</v>
      </c>
      <c r="M569">
        <f>IF(LeadsData[[#This Row],[Stage Number]]&gt;=2,1,0)</f>
        <v>1</v>
      </c>
      <c r="N569" s="2">
        <f>IF(LeadsData[[#This Row],[Stage Number]]&gt;=3,1,0)</f>
        <v>1</v>
      </c>
      <c r="O569" s="2">
        <f>IF(LeadsData[[#This Row],[Stage Number]]&gt;=4,1,0)</f>
        <v>1</v>
      </c>
    </row>
    <row r="570" spans="1:15" x14ac:dyDescent="0.25">
      <c r="A570" t="s">
        <v>610</v>
      </c>
      <c r="B570" s="1">
        <v>45328</v>
      </c>
      <c r="C570" t="s">
        <v>11</v>
      </c>
      <c r="D570" t="s">
        <v>79</v>
      </c>
      <c r="E570" t="s">
        <v>21</v>
      </c>
      <c r="F570" t="s">
        <v>19</v>
      </c>
      <c r="G570" t="s">
        <v>29</v>
      </c>
      <c r="K570" cm="1">
        <f t="array" ref="K570">_xlfn.SWITCH(LeadsData[[#This Row],[Funnel Stage Reached]],"Lead",1,"MQL",2,"SQL",3,"Customer",4)</f>
        <v>3</v>
      </c>
      <c r="L570" t="str">
        <f>TEXT(LeadsData[[#This Row],[Signup Date]],"mmm-yyyy")</f>
        <v>Feb-2024</v>
      </c>
      <c r="M570">
        <f>IF(LeadsData[[#This Row],[Stage Number]]&gt;=2,1,0)</f>
        <v>1</v>
      </c>
      <c r="N570" s="2">
        <f>IF(LeadsData[[#This Row],[Stage Number]]&gt;=3,1,0)</f>
        <v>1</v>
      </c>
      <c r="O570" s="2">
        <f>IF(LeadsData[[#This Row],[Stage Number]]&gt;=4,1,0)</f>
        <v>0</v>
      </c>
    </row>
    <row r="571" spans="1:15" x14ac:dyDescent="0.25">
      <c r="A571" t="s">
        <v>611</v>
      </c>
      <c r="B571" s="1">
        <v>45510</v>
      </c>
      <c r="C571" t="s">
        <v>36</v>
      </c>
      <c r="D571" t="s">
        <v>37</v>
      </c>
      <c r="E571" t="s">
        <v>13</v>
      </c>
      <c r="F571" t="s">
        <v>19</v>
      </c>
      <c r="G571" t="s">
        <v>29</v>
      </c>
      <c r="K571" cm="1">
        <f t="array" ref="K571">_xlfn.SWITCH(LeadsData[[#This Row],[Funnel Stage Reached]],"Lead",1,"MQL",2,"SQL",3,"Customer",4)</f>
        <v>3</v>
      </c>
      <c r="L571" t="str">
        <f>TEXT(LeadsData[[#This Row],[Signup Date]],"mmm-yyyy")</f>
        <v>Aug-2024</v>
      </c>
      <c r="M571">
        <f>IF(LeadsData[[#This Row],[Stage Number]]&gt;=2,1,0)</f>
        <v>1</v>
      </c>
      <c r="N571" s="2">
        <f>IF(LeadsData[[#This Row],[Stage Number]]&gt;=3,1,0)</f>
        <v>1</v>
      </c>
      <c r="O571" s="2">
        <f>IF(LeadsData[[#This Row],[Stage Number]]&gt;=4,1,0)</f>
        <v>0</v>
      </c>
    </row>
    <row r="572" spans="1:15" x14ac:dyDescent="0.25">
      <c r="A572" t="s">
        <v>612</v>
      </c>
      <c r="B572" s="1">
        <v>45600</v>
      </c>
      <c r="C572" t="s">
        <v>17</v>
      </c>
      <c r="D572" t="s">
        <v>53</v>
      </c>
      <c r="E572" t="s">
        <v>48</v>
      </c>
      <c r="F572" t="s">
        <v>19</v>
      </c>
      <c r="G572" t="s">
        <v>15</v>
      </c>
      <c r="K572" cm="1">
        <f t="array" ref="K572">_xlfn.SWITCH(LeadsData[[#This Row],[Funnel Stage Reached]],"Lead",1,"MQL",2,"SQL",3,"Customer",4)</f>
        <v>1</v>
      </c>
      <c r="L572" t="str">
        <f>TEXT(LeadsData[[#This Row],[Signup Date]],"mmm-yyyy")</f>
        <v>Nov-2024</v>
      </c>
      <c r="M572">
        <f>IF(LeadsData[[#This Row],[Stage Number]]&gt;=2,1,0)</f>
        <v>0</v>
      </c>
      <c r="N572" s="2">
        <f>IF(LeadsData[[#This Row],[Stage Number]]&gt;=3,1,0)</f>
        <v>0</v>
      </c>
      <c r="O572" s="2">
        <f>IF(LeadsData[[#This Row],[Stage Number]]&gt;=4,1,0)</f>
        <v>0</v>
      </c>
    </row>
    <row r="573" spans="1:15" x14ac:dyDescent="0.25">
      <c r="A573" t="s">
        <v>613</v>
      </c>
      <c r="B573" s="1">
        <v>45523</v>
      </c>
      <c r="C573" t="s">
        <v>17</v>
      </c>
      <c r="D573" t="s">
        <v>18</v>
      </c>
      <c r="E573" t="s">
        <v>13</v>
      </c>
      <c r="F573" t="s">
        <v>19</v>
      </c>
      <c r="G573" t="s">
        <v>23</v>
      </c>
      <c r="K573" cm="1">
        <f t="array" ref="K573">_xlfn.SWITCH(LeadsData[[#This Row],[Funnel Stage Reached]],"Lead",1,"MQL",2,"SQL",3,"Customer",4)</f>
        <v>2</v>
      </c>
      <c r="L573" t="str">
        <f>TEXT(LeadsData[[#This Row],[Signup Date]],"mmm-yyyy")</f>
        <v>Aug-2024</v>
      </c>
      <c r="M573">
        <f>IF(LeadsData[[#This Row],[Stage Number]]&gt;=2,1,0)</f>
        <v>1</v>
      </c>
      <c r="N573" s="2">
        <f>IF(LeadsData[[#This Row],[Stage Number]]&gt;=3,1,0)</f>
        <v>0</v>
      </c>
      <c r="O573" s="2">
        <f>IF(LeadsData[[#This Row],[Stage Number]]&gt;=4,1,0)</f>
        <v>0</v>
      </c>
    </row>
    <row r="574" spans="1:15" x14ac:dyDescent="0.25">
      <c r="A574" t="s">
        <v>614</v>
      </c>
      <c r="B574" s="1">
        <v>45561</v>
      </c>
      <c r="C574" t="s">
        <v>46</v>
      </c>
      <c r="D574" t="s">
        <v>56</v>
      </c>
      <c r="E574" t="s">
        <v>21</v>
      </c>
      <c r="F574" t="s">
        <v>14</v>
      </c>
      <c r="G574" t="s">
        <v>23</v>
      </c>
      <c r="K574" cm="1">
        <f t="array" ref="K574">_xlfn.SWITCH(LeadsData[[#This Row],[Funnel Stage Reached]],"Lead",1,"MQL",2,"SQL",3,"Customer",4)</f>
        <v>2</v>
      </c>
      <c r="L574" t="str">
        <f>TEXT(LeadsData[[#This Row],[Signup Date]],"mmm-yyyy")</f>
        <v>Sep-2024</v>
      </c>
      <c r="M574">
        <f>IF(LeadsData[[#This Row],[Stage Number]]&gt;=2,1,0)</f>
        <v>1</v>
      </c>
      <c r="N574" s="2">
        <f>IF(LeadsData[[#This Row],[Stage Number]]&gt;=3,1,0)</f>
        <v>0</v>
      </c>
      <c r="O574" s="2">
        <f>IF(LeadsData[[#This Row],[Stage Number]]&gt;=4,1,0)</f>
        <v>0</v>
      </c>
    </row>
    <row r="575" spans="1:15" x14ac:dyDescent="0.25">
      <c r="A575" t="s">
        <v>615</v>
      </c>
      <c r="B575" s="1">
        <v>45548</v>
      </c>
      <c r="C575" t="s">
        <v>17</v>
      </c>
      <c r="D575" t="s">
        <v>18</v>
      </c>
      <c r="E575" t="s">
        <v>13</v>
      </c>
      <c r="F575" t="s">
        <v>19</v>
      </c>
      <c r="G575" t="s">
        <v>15</v>
      </c>
      <c r="K575" cm="1">
        <f t="array" ref="K575">_xlfn.SWITCH(LeadsData[[#This Row],[Funnel Stage Reached]],"Lead",1,"MQL",2,"SQL",3,"Customer",4)</f>
        <v>1</v>
      </c>
      <c r="L575" t="str">
        <f>TEXT(LeadsData[[#This Row],[Signup Date]],"mmm-yyyy")</f>
        <v>Sep-2024</v>
      </c>
      <c r="M575">
        <f>IF(LeadsData[[#This Row],[Stage Number]]&gt;=2,1,0)</f>
        <v>0</v>
      </c>
      <c r="N575" s="2">
        <f>IF(LeadsData[[#This Row],[Stage Number]]&gt;=3,1,0)</f>
        <v>0</v>
      </c>
      <c r="O575" s="2">
        <f>IF(LeadsData[[#This Row],[Stage Number]]&gt;=4,1,0)</f>
        <v>0</v>
      </c>
    </row>
    <row r="576" spans="1:15" x14ac:dyDescent="0.25">
      <c r="A576" t="s">
        <v>616</v>
      </c>
      <c r="B576" s="1">
        <v>45357</v>
      </c>
      <c r="C576" t="s">
        <v>25</v>
      </c>
      <c r="D576" t="s">
        <v>26</v>
      </c>
      <c r="E576" t="s">
        <v>13</v>
      </c>
      <c r="F576" t="s">
        <v>19</v>
      </c>
      <c r="G576" t="s">
        <v>29</v>
      </c>
      <c r="K576" cm="1">
        <f t="array" ref="K576">_xlfn.SWITCH(LeadsData[[#This Row],[Funnel Stage Reached]],"Lead",1,"MQL",2,"SQL",3,"Customer",4)</f>
        <v>3</v>
      </c>
      <c r="L576" t="str">
        <f>TEXT(LeadsData[[#This Row],[Signup Date]],"mmm-yyyy")</f>
        <v>Mar-2024</v>
      </c>
      <c r="M576">
        <f>IF(LeadsData[[#This Row],[Stage Number]]&gt;=2,1,0)</f>
        <v>1</v>
      </c>
      <c r="N576" s="2">
        <f>IF(LeadsData[[#This Row],[Stage Number]]&gt;=3,1,0)</f>
        <v>1</v>
      </c>
      <c r="O576" s="2">
        <f>IF(LeadsData[[#This Row],[Stage Number]]&gt;=4,1,0)</f>
        <v>0</v>
      </c>
    </row>
    <row r="577" spans="1:15" x14ac:dyDescent="0.25">
      <c r="A577" t="s">
        <v>617</v>
      </c>
      <c r="B577" s="1">
        <v>45376</v>
      </c>
      <c r="C577" t="s">
        <v>11</v>
      </c>
      <c r="D577" t="s">
        <v>12</v>
      </c>
      <c r="E577" t="s">
        <v>13</v>
      </c>
      <c r="F577" t="s">
        <v>22</v>
      </c>
      <c r="G577" t="s">
        <v>15</v>
      </c>
      <c r="K577" cm="1">
        <f t="array" ref="K577">_xlfn.SWITCH(LeadsData[[#This Row],[Funnel Stage Reached]],"Lead",1,"MQL",2,"SQL",3,"Customer",4)</f>
        <v>1</v>
      </c>
      <c r="L577" t="str">
        <f>TEXT(LeadsData[[#This Row],[Signup Date]],"mmm-yyyy")</f>
        <v>Mar-2024</v>
      </c>
      <c r="M577">
        <f>IF(LeadsData[[#This Row],[Stage Number]]&gt;=2,1,0)</f>
        <v>0</v>
      </c>
      <c r="N577" s="2">
        <f>IF(LeadsData[[#This Row],[Stage Number]]&gt;=3,1,0)</f>
        <v>0</v>
      </c>
      <c r="O577" s="2">
        <f>IF(LeadsData[[#This Row],[Stage Number]]&gt;=4,1,0)</f>
        <v>0</v>
      </c>
    </row>
    <row r="578" spans="1:15" x14ac:dyDescent="0.25">
      <c r="A578" t="s">
        <v>618</v>
      </c>
      <c r="B578" s="1">
        <v>45554</v>
      </c>
      <c r="C578" t="s">
        <v>31</v>
      </c>
      <c r="D578" t="s">
        <v>34</v>
      </c>
      <c r="E578" t="s">
        <v>21</v>
      </c>
      <c r="F578" t="s">
        <v>19</v>
      </c>
      <c r="G578" t="s">
        <v>23</v>
      </c>
      <c r="K578" cm="1">
        <f t="array" ref="K578">_xlfn.SWITCH(LeadsData[[#This Row],[Funnel Stage Reached]],"Lead",1,"MQL",2,"SQL",3,"Customer",4)</f>
        <v>2</v>
      </c>
      <c r="L578" t="str">
        <f>TEXT(LeadsData[[#This Row],[Signup Date]],"mmm-yyyy")</f>
        <v>Sep-2024</v>
      </c>
      <c r="M578">
        <f>IF(LeadsData[[#This Row],[Stage Number]]&gt;=2,1,0)</f>
        <v>1</v>
      </c>
      <c r="N578" s="2">
        <f>IF(LeadsData[[#This Row],[Stage Number]]&gt;=3,1,0)</f>
        <v>0</v>
      </c>
      <c r="O578" s="2">
        <f>IF(LeadsData[[#This Row],[Stage Number]]&gt;=4,1,0)</f>
        <v>0</v>
      </c>
    </row>
    <row r="579" spans="1:15" x14ac:dyDescent="0.25">
      <c r="A579" t="s">
        <v>619</v>
      </c>
      <c r="B579" s="1">
        <v>45376</v>
      </c>
      <c r="C579" t="s">
        <v>46</v>
      </c>
      <c r="D579" t="s">
        <v>56</v>
      </c>
      <c r="E579" t="s">
        <v>13</v>
      </c>
      <c r="F579" t="s">
        <v>14</v>
      </c>
      <c r="G579" t="s">
        <v>29</v>
      </c>
      <c r="K579" cm="1">
        <f t="array" ref="K579">_xlfn.SWITCH(LeadsData[[#This Row],[Funnel Stage Reached]],"Lead",1,"MQL",2,"SQL",3,"Customer",4)</f>
        <v>3</v>
      </c>
      <c r="L579" t="str">
        <f>TEXT(LeadsData[[#This Row],[Signup Date]],"mmm-yyyy")</f>
        <v>Mar-2024</v>
      </c>
      <c r="M579">
        <f>IF(LeadsData[[#This Row],[Stage Number]]&gt;=2,1,0)</f>
        <v>1</v>
      </c>
      <c r="N579" s="2">
        <f>IF(LeadsData[[#This Row],[Stage Number]]&gt;=3,1,0)</f>
        <v>1</v>
      </c>
      <c r="O579" s="2">
        <f>IF(LeadsData[[#This Row],[Stage Number]]&gt;=4,1,0)</f>
        <v>0</v>
      </c>
    </row>
    <row r="580" spans="1:15" x14ac:dyDescent="0.25">
      <c r="A580" t="s">
        <v>620</v>
      </c>
      <c r="B580" s="1">
        <v>45531</v>
      </c>
      <c r="C580" t="s">
        <v>31</v>
      </c>
      <c r="D580" t="s">
        <v>32</v>
      </c>
      <c r="E580" t="s">
        <v>21</v>
      </c>
      <c r="F580" t="s">
        <v>19</v>
      </c>
      <c r="G580" t="s">
        <v>29</v>
      </c>
      <c r="K580" cm="1">
        <f t="array" ref="K580">_xlfn.SWITCH(LeadsData[[#This Row],[Funnel Stage Reached]],"Lead",1,"MQL",2,"SQL",3,"Customer",4)</f>
        <v>3</v>
      </c>
      <c r="L580" t="str">
        <f>TEXT(LeadsData[[#This Row],[Signup Date]],"mmm-yyyy")</f>
        <v>Aug-2024</v>
      </c>
      <c r="M580">
        <f>IF(LeadsData[[#This Row],[Stage Number]]&gt;=2,1,0)</f>
        <v>1</v>
      </c>
      <c r="N580" s="2">
        <f>IF(LeadsData[[#This Row],[Stage Number]]&gt;=3,1,0)</f>
        <v>1</v>
      </c>
      <c r="O580" s="2">
        <f>IF(LeadsData[[#This Row],[Stage Number]]&gt;=4,1,0)</f>
        <v>0</v>
      </c>
    </row>
    <row r="581" spans="1:15" x14ac:dyDescent="0.25">
      <c r="A581" t="s">
        <v>621</v>
      </c>
      <c r="B581" s="1">
        <v>45607</v>
      </c>
      <c r="C581" t="s">
        <v>31</v>
      </c>
      <c r="D581" t="s">
        <v>34</v>
      </c>
      <c r="E581" t="s">
        <v>48</v>
      </c>
      <c r="F581" t="s">
        <v>22</v>
      </c>
      <c r="G581" t="s">
        <v>29</v>
      </c>
      <c r="K581" cm="1">
        <f t="array" ref="K581">_xlfn.SWITCH(LeadsData[[#This Row],[Funnel Stage Reached]],"Lead",1,"MQL",2,"SQL",3,"Customer",4)</f>
        <v>3</v>
      </c>
      <c r="L581" t="str">
        <f>TEXT(LeadsData[[#This Row],[Signup Date]],"mmm-yyyy")</f>
        <v>Nov-2024</v>
      </c>
      <c r="M581">
        <f>IF(LeadsData[[#This Row],[Stage Number]]&gt;=2,1,0)</f>
        <v>1</v>
      </c>
      <c r="N581" s="2">
        <f>IF(LeadsData[[#This Row],[Stage Number]]&gt;=3,1,0)</f>
        <v>1</v>
      </c>
      <c r="O581" s="2">
        <f>IF(LeadsData[[#This Row],[Stage Number]]&gt;=4,1,0)</f>
        <v>0</v>
      </c>
    </row>
    <row r="582" spans="1:15" x14ac:dyDescent="0.25">
      <c r="A582" t="s">
        <v>622</v>
      </c>
      <c r="B582" s="1">
        <v>45395</v>
      </c>
      <c r="C582" t="s">
        <v>11</v>
      </c>
      <c r="D582" t="s">
        <v>12</v>
      </c>
      <c r="E582" t="s">
        <v>13</v>
      </c>
      <c r="F582" t="s">
        <v>19</v>
      </c>
      <c r="G582" t="s">
        <v>23</v>
      </c>
      <c r="K582" cm="1">
        <f t="array" ref="K582">_xlfn.SWITCH(LeadsData[[#This Row],[Funnel Stage Reached]],"Lead",1,"MQL",2,"SQL",3,"Customer",4)</f>
        <v>2</v>
      </c>
      <c r="L582" t="str">
        <f>TEXT(LeadsData[[#This Row],[Signup Date]],"mmm-yyyy")</f>
        <v>Apr-2024</v>
      </c>
      <c r="M582">
        <f>IF(LeadsData[[#This Row],[Stage Number]]&gt;=2,1,0)</f>
        <v>1</v>
      </c>
      <c r="N582" s="2">
        <f>IF(LeadsData[[#This Row],[Stage Number]]&gt;=3,1,0)</f>
        <v>0</v>
      </c>
      <c r="O582" s="2">
        <f>IF(LeadsData[[#This Row],[Stage Number]]&gt;=4,1,0)</f>
        <v>0</v>
      </c>
    </row>
    <row r="583" spans="1:15" x14ac:dyDescent="0.25">
      <c r="A583" t="s">
        <v>623</v>
      </c>
      <c r="B583" s="1">
        <v>45325</v>
      </c>
      <c r="C583" t="s">
        <v>46</v>
      </c>
      <c r="D583" t="s">
        <v>56</v>
      </c>
      <c r="E583" t="s">
        <v>21</v>
      </c>
      <c r="F583" t="s">
        <v>22</v>
      </c>
      <c r="G583" t="s">
        <v>29</v>
      </c>
      <c r="K583" cm="1">
        <f t="array" ref="K583">_xlfn.SWITCH(LeadsData[[#This Row],[Funnel Stage Reached]],"Lead",1,"MQL",2,"SQL",3,"Customer",4)</f>
        <v>3</v>
      </c>
      <c r="L583" t="str">
        <f>TEXT(LeadsData[[#This Row],[Signup Date]],"mmm-yyyy")</f>
        <v>Feb-2024</v>
      </c>
      <c r="M583">
        <f>IF(LeadsData[[#This Row],[Stage Number]]&gt;=2,1,0)</f>
        <v>1</v>
      </c>
      <c r="N583" s="2">
        <f>IF(LeadsData[[#This Row],[Stage Number]]&gt;=3,1,0)</f>
        <v>1</v>
      </c>
      <c r="O583" s="2">
        <f>IF(LeadsData[[#This Row],[Stage Number]]&gt;=4,1,0)</f>
        <v>0</v>
      </c>
    </row>
    <row r="584" spans="1:15" x14ac:dyDescent="0.25">
      <c r="A584" t="s">
        <v>624</v>
      </c>
      <c r="B584" s="1">
        <v>45398</v>
      </c>
      <c r="C584" t="s">
        <v>36</v>
      </c>
      <c r="D584" t="s">
        <v>37</v>
      </c>
      <c r="E584" t="s">
        <v>13</v>
      </c>
      <c r="F584" t="s">
        <v>19</v>
      </c>
      <c r="G584" t="s">
        <v>15</v>
      </c>
      <c r="K584" cm="1">
        <f t="array" ref="K584">_xlfn.SWITCH(LeadsData[[#This Row],[Funnel Stage Reached]],"Lead",1,"MQL",2,"SQL",3,"Customer",4)</f>
        <v>1</v>
      </c>
      <c r="L584" t="str">
        <f>TEXT(LeadsData[[#This Row],[Signup Date]],"mmm-yyyy")</f>
        <v>Apr-2024</v>
      </c>
      <c r="M584">
        <f>IF(LeadsData[[#This Row],[Stage Number]]&gt;=2,1,0)</f>
        <v>0</v>
      </c>
      <c r="N584" s="2">
        <f>IF(LeadsData[[#This Row],[Stage Number]]&gt;=3,1,0)</f>
        <v>0</v>
      </c>
      <c r="O584" s="2">
        <f>IF(LeadsData[[#This Row],[Stage Number]]&gt;=4,1,0)</f>
        <v>0</v>
      </c>
    </row>
    <row r="585" spans="1:15" x14ac:dyDescent="0.25">
      <c r="A585" t="s">
        <v>625</v>
      </c>
      <c r="B585" s="1">
        <v>45430</v>
      </c>
      <c r="C585" t="s">
        <v>36</v>
      </c>
      <c r="D585" t="s">
        <v>50</v>
      </c>
      <c r="E585" t="s">
        <v>13</v>
      </c>
      <c r="F585" t="s">
        <v>22</v>
      </c>
      <c r="G585" t="s">
        <v>15</v>
      </c>
      <c r="K585" cm="1">
        <f t="array" ref="K585">_xlfn.SWITCH(LeadsData[[#This Row],[Funnel Stage Reached]],"Lead",1,"MQL",2,"SQL",3,"Customer",4)</f>
        <v>1</v>
      </c>
      <c r="L585" t="str">
        <f>TEXT(LeadsData[[#This Row],[Signup Date]],"mmm-yyyy")</f>
        <v>May-2024</v>
      </c>
      <c r="M585">
        <f>IF(LeadsData[[#This Row],[Stage Number]]&gt;=2,1,0)</f>
        <v>0</v>
      </c>
      <c r="N585" s="2">
        <f>IF(LeadsData[[#This Row],[Stage Number]]&gt;=3,1,0)</f>
        <v>0</v>
      </c>
      <c r="O585" s="2">
        <f>IF(LeadsData[[#This Row],[Stage Number]]&gt;=4,1,0)</f>
        <v>0</v>
      </c>
    </row>
    <row r="586" spans="1:15" x14ac:dyDescent="0.25">
      <c r="A586" t="s">
        <v>626</v>
      </c>
      <c r="B586" s="1">
        <v>45651</v>
      </c>
      <c r="C586" t="s">
        <v>36</v>
      </c>
      <c r="D586" t="s">
        <v>50</v>
      </c>
      <c r="E586" t="s">
        <v>21</v>
      </c>
      <c r="F586" t="s">
        <v>19</v>
      </c>
      <c r="G586" t="s">
        <v>15</v>
      </c>
      <c r="K586" cm="1">
        <f t="array" ref="K586">_xlfn.SWITCH(LeadsData[[#This Row],[Funnel Stage Reached]],"Lead",1,"MQL",2,"SQL",3,"Customer",4)</f>
        <v>1</v>
      </c>
      <c r="L586" t="str">
        <f>TEXT(LeadsData[[#This Row],[Signup Date]],"mmm-yyyy")</f>
        <v>Dec-2024</v>
      </c>
      <c r="M586">
        <f>IF(LeadsData[[#This Row],[Stage Number]]&gt;=2,1,0)</f>
        <v>0</v>
      </c>
      <c r="N586" s="2">
        <f>IF(LeadsData[[#This Row],[Stage Number]]&gt;=3,1,0)</f>
        <v>0</v>
      </c>
      <c r="O586" s="2">
        <f>IF(LeadsData[[#This Row],[Stage Number]]&gt;=4,1,0)</f>
        <v>0</v>
      </c>
    </row>
    <row r="587" spans="1:15" x14ac:dyDescent="0.25">
      <c r="A587" t="s">
        <v>627</v>
      </c>
      <c r="B587" s="1">
        <v>45303</v>
      </c>
      <c r="C587" t="s">
        <v>31</v>
      </c>
      <c r="D587" t="s">
        <v>34</v>
      </c>
      <c r="E587" t="s">
        <v>21</v>
      </c>
      <c r="F587" t="s">
        <v>22</v>
      </c>
      <c r="G587" t="s">
        <v>15</v>
      </c>
      <c r="K587" cm="1">
        <f t="array" ref="K587">_xlfn.SWITCH(LeadsData[[#This Row],[Funnel Stage Reached]],"Lead",1,"MQL",2,"SQL",3,"Customer",4)</f>
        <v>1</v>
      </c>
      <c r="L587" t="str">
        <f>TEXT(LeadsData[[#This Row],[Signup Date]],"mmm-yyyy")</f>
        <v>Jan-2024</v>
      </c>
      <c r="M587">
        <f>IF(LeadsData[[#This Row],[Stage Number]]&gt;=2,1,0)</f>
        <v>0</v>
      </c>
      <c r="N587" s="2">
        <f>IF(LeadsData[[#This Row],[Stage Number]]&gt;=3,1,0)</f>
        <v>0</v>
      </c>
      <c r="O587" s="2">
        <f>IF(LeadsData[[#This Row],[Stage Number]]&gt;=4,1,0)</f>
        <v>0</v>
      </c>
    </row>
    <row r="588" spans="1:15" x14ac:dyDescent="0.25">
      <c r="A588" t="s">
        <v>628</v>
      </c>
      <c r="B588" s="1">
        <v>45591</v>
      </c>
      <c r="C588" t="s">
        <v>31</v>
      </c>
      <c r="D588" t="s">
        <v>32</v>
      </c>
      <c r="E588" t="s">
        <v>13</v>
      </c>
      <c r="F588" t="s">
        <v>19</v>
      </c>
      <c r="G588" t="s">
        <v>42</v>
      </c>
      <c r="H588">
        <v>39</v>
      </c>
      <c r="I588" t="s">
        <v>43</v>
      </c>
      <c r="J588">
        <v>1367.98</v>
      </c>
      <c r="K588" cm="1">
        <f t="array" ref="K588">_xlfn.SWITCH(LeadsData[[#This Row],[Funnel Stage Reached]],"Lead",1,"MQL",2,"SQL",3,"Customer",4)</f>
        <v>4</v>
      </c>
      <c r="L588" t="str">
        <f>TEXT(LeadsData[[#This Row],[Signup Date]],"mmm-yyyy")</f>
        <v>Oct-2024</v>
      </c>
      <c r="M588">
        <f>IF(LeadsData[[#This Row],[Stage Number]]&gt;=2,1,0)</f>
        <v>1</v>
      </c>
      <c r="N588" s="2">
        <f>IF(LeadsData[[#This Row],[Stage Number]]&gt;=3,1,0)</f>
        <v>1</v>
      </c>
      <c r="O588" s="2">
        <f>IF(LeadsData[[#This Row],[Stage Number]]&gt;=4,1,0)</f>
        <v>1</v>
      </c>
    </row>
    <row r="589" spans="1:15" x14ac:dyDescent="0.25">
      <c r="A589" t="s">
        <v>629</v>
      </c>
      <c r="B589" s="1">
        <v>45551</v>
      </c>
      <c r="C589" t="s">
        <v>11</v>
      </c>
      <c r="D589" t="s">
        <v>68</v>
      </c>
      <c r="E589" t="s">
        <v>21</v>
      </c>
      <c r="F589" t="s">
        <v>14</v>
      </c>
      <c r="G589" t="s">
        <v>29</v>
      </c>
      <c r="K589" cm="1">
        <f t="array" ref="K589">_xlfn.SWITCH(LeadsData[[#This Row],[Funnel Stage Reached]],"Lead",1,"MQL",2,"SQL",3,"Customer",4)</f>
        <v>3</v>
      </c>
      <c r="L589" t="str">
        <f>TEXT(LeadsData[[#This Row],[Signup Date]],"mmm-yyyy")</f>
        <v>Sep-2024</v>
      </c>
      <c r="M589">
        <f>IF(LeadsData[[#This Row],[Stage Number]]&gt;=2,1,0)</f>
        <v>1</v>
      </c>
      <c r="N589" s="2">
        <f>IF(LeadsData[[#This Row],[Stage Number]]&gt;=3,1,0)</f>
        <v>1</v>
      </c>
      <c r="O589" s="2">
        <f>IF(LeadsData[[#This Row],[Stage Number]]&gt;=4,1,0)</f>
        <v>0</v>
      </c>
    </row>
    <row r="590" spans="1:15" x14ac:dyDescent="0.25">
      <c r="A590" t="s">
        <v>630</v>
      </c>
      <c r="B590" s="1">
        <v>45448</v>
      </c>
      <c r="C590" t="s">
        <v>36</v>
      </c>
      <c r="D590" t="s">
        <v>37</v>
      </c>
      <c r="E590" t="s">
        <v>21</v>
      </c>
      <c r="F590" t="s">
        <v>19</v>
      </c>
      <c r="G590" t="s">
        <v>15</v>
      </c>
      <c r="K590" cm="1">
        <f t="array" ref="K590">_xlfn.SWITCH(LeadsData[[#This Row],[Funnel Stage Reached]],"Lead",1,"MQL",2,"SQL",3,"Customer",4)</f>
        <v>1</v>
      </c>
      <c r="L590" t="str">
        <f>TEXT(LeadsData[[#This Row],[Signup Date]],"mmm-yyyy")</f>
        <v>Jun-2024</v>
      </c>
      <c r="M590">
        <f>IF(LeadsData[[#This Row],[Stage Number]]&gt;=2,1,0)</f>
        <v>0</v>
      </c>
      <c r="N590" s="2">
        <f>IF(LeadsData[[#This Row],[Stage Number]]&gt;=3,1,0)</f>
        <v>0</v>
      </c>
      <c r="O590" s="2">
        <f>IF(LeadsData[[#This Row],[Stage Number]]&gt;=4,1,0)</f>
        <v>0</v>
      </c>
    </row>
    <row r="591" spans="1:15" x14ac:dyDescent="0.25">
      <c r="A591" t="s">
        <v>631</v>
      </c>
      <c r="B591" s="1">
        <v>45579</v>
      </c>
      <c r="C591" t="s">
        <v>17</v>
      </c>
      <c r="D591" t="s">
        <v>18</v>
      </c>
      <c r="E591" t="s">
        <v>48</v>
      </c>
      <c r="F591" t="s">
        <v>14</v>
      </c>
      <c r="G591" t="s">
        <v>15</v>
      </c>
      <c r="K591" cm="1">
        <f t="array" ref="K591">_xlfn.SWITCH(LeadsData[[#This Row],[Funnel Stage Reached]],"Lead",1,"MQL",2,"SQL",3,"Customer",4)</f>
        <v>1</v>
      </c>
      <c r="L591" t="str">
        <f>TEXT(LeadsData[[#This Row],[Signup Date]],"mmm-yyyy")</f>
        <v>Oct-2024</v>
      </c>
      <c r="M591">
        <f>IF(LeadsData[[#This Row],[Stage Number]]&gt;=2,1,0)</f>
        <v>0</v>
      </c>
      <c r="N591" s="2">
        <f>IF(LeadsData[[#This Row],[Stage Number]]&gt;=3,1,0)</f>
        <v>0</v>
      </c>
      <c r="O591" s="2">
        <f>IF(LeadsData[[#This Row],[Stage Number]]&gt;=4,1,0)</f>
        <v>0</v>
      </c>
    </row>
    <row r="592" spans="1:15" x14ac:dyDescent="0.25">
      <c r="A592" t="s">
        <v>632</v>
      </c>
      <c r="B592" s="1">
        <v>45580</v>
      </c>
      <c r="C592" t="s">
        <v>25</v>
      </c>
      <c r="D592" t="s">
        <v>26</v>
      </c>
      <c r="E592" t="s">
        <v>13</v>
      </c>
      <c r="F592" t="s">
        <v>14</v>
      </c>
      <c r="G592" t="s">
        <v>15</v>
      </c>
      <c r="K592" cm="1">
        <f t="array" ref="K592">_xlfn.SWITCH(LeadsData[[#This Row],[Funnel Stage Reached]],"Lead",1,"MQL",2,"SQL",3,"Customer",4)</f>
        <v>1</v>
      </c>
      <c r="L592" t="str">
        <f>TEXT(LeadsData[[#This Row],[Signup Date]],"mmm-yyyy")</f>
        <v>Oct-2024</v>
      </c>
      <c r="M592">
        <f>IF(LeadsData[[#This Row],[Stage Number]]&gt;=2,1,0)</f>
        <v>0</v>
      </c>
      <c r="N592" s="2">
        <f>IF(LeadsData[[#This Row],[Stage Number]]&gt;=3,1,0)</f>
        <v>0</v>
      </c>
      <c r="O592" s="2">
        <f>IF(LeadsData[[#This Row],[Stage Number]]&gt;=4,1,0)</f>
        <v>0</v>
      </c>
    </row>
    <row r="593" spans="1:15" x14ac:dyDescent="0.25">
      <c r="A593" t="s">
        <v>633</v>
      </c>
      <c r="B593" s="1">
        <v>45365</v>
      </c>
      <c r="C593" t="s">
        <v>31</v>
      </c>
      <c r="D593" t="s">
        <v>32</v>
      </c>
      <c r="E593" t="s">
        <v>13</v>
      </c>
      <c r="F593" t="s">
        <v>22</v>
      </c>
      <c r="G593" t="s">
        <v>42</v>
      </c>
      <c r="H593">
        <v>22</v>
      </c>
      <c r="I593" t="s">
        <v>43</v>
      </c>
      <c r="J593">
        <v>1090.3399999999999</v>
      </c>
      <c r="K593" cm="1">
        <f t="array" ref="K593">_xlfn.SWITCH(LeadsData[[#This Row],[Funnel Stage Reached]],"Lead",1,"MQL",2,"SQL",3,"Customer",4)</f>
        <v>4</v>
      </c>
      <c r="L593" t="str">
        <f>TEXT(LeadsData[[#This Row],[Signup Date]],"mmm-yyyy")</f>
        <v>Mar-2024</v>
      </c>
      <c r="M593">
        <f>IF(LeadsData[[#This Row],[Stage Number]]&gt;=2,1,0)</f>
        <v>1</v>
      </c>
      <c r="N593" s="2">
        <f>IF(LeadsData[[#This Row],[Stage Number]]&gt;=3,1,0)</f>
        <v>1</v>
      </c>
      <c r="O593" s="2">
        <f>IF(LeadsData[[#This Row],[Stage Number]]&gt;=4,1,0)</f>
        <v>1</v>
      </c>
    </row>
    <row r="594" spans="1:15" x14ac:dyDescent="0.25">
      <c r="A594" t="s">
        <v>634</v>
      </c>
      <c r="B594" s="1">
        <v>45454</v>
      </c>
      <c r="C594" t="s">
        <v>31</v>
      </c>
      <c r="D594" t="s">
        <v>32</v>
      </c>
      <c r="E594" t="s">
        <v>13</v>
      </c>
      <c r="F594" t="s">
        <v>22</v>
      </c>
      <c r="G594" t="s">
        <v>23</v>
      </c>
      <c r="K594" cm="1">
        <f t="array" ref="K594">_xlfn.SWITCH(LeadsData[[#This Row],[Funnel Stage Reached]],"Lead",1,"MQL",2,"SQL",3,"Customer",4)</f>
        <v>2</v>
      </c>
      <c r="L594" t="str">
        <f>TEXT(LeadsData[[#This Row],[Signup Date]],"mmm-yyyy")</f>
        <v>Jun-2024</v>
      </c>
      <c r="M594">
        <f>IF(LeadsData[[#This Row],[Stage Number]]&gt;=2,1,0)</f>
        <v>1</v>
      </c>
      <c r="N594" s="2">
        <f>IF(LeadsData[[#This Row],[Stage Number]]&gt;=3,1,0)</f>
        <v>0</v>
      </c>
      <c r="O594" s="2">
        <f>IF(LeadsData[[#This Row],[Stage Number]]&gt;=4,1,0)</f>
        <v>0</v>
      </c>
    </row>
    <row r="595" spans="1:15" x14ac:dyDescent="0.25">
      <c r="A595" t="s">
        <v>635</v>
      </c>
      <c r="B595" s="1">
        <v>45323</v>
      </c>
      <c r="C595" t="s">
        <v>36</v>
      </c>
      <c r="D595" t="s">
        <v>37</v>
      </c>
      <c r="E595" t="s">
        <v>21</v>
      </c>
      <c r="F595" t="s">
        <v>19</v>
      </c>
      <c r="G595" t="s">
        <v>23</v>
      </c>
      <c r="K595" cm="1">
        <f t="array" ref="K595">_xlfn.SWITCH(LeadsData[[#This Row],[Funnel Stage Reached]],"Lead",1,"MQL",2,"SQL",3,"Customer",4)</f>
        <v>2</v>
      </c>
      <c r="L595" t="str">
        <f>TEXT(LeadsData[[#This Row],[Signup Date]],"mmm-yyyy")</f>
        <v>Feb-2024</v>
      </c>
      <c r="M595">
        <f>IF(LeadsData[[#This Row],[Stage Number]]&gt;=2,1,0)</f>
        <v>1</v>
      </c>
      <c r="N595" s="2">
        <f>IF(LeadsData[[#This Row],[Stage Number]]&gt;=3,1,0)</f>
        <v>0</v>
      </c>
      <c r="O595" s="2">
        <f>IF(LeadsData[[#This Row],[Stage Number]]&gt;=4,1,0)</f>
        <v>0</v>
      </c>
    </row>
    <row r="596" spans="1:15" x14ac:dyDescent="0.25">
      <c r="A596" t="s">
        <v>636</v>
      </c>
      <c r="B596" s="1">
        <v>45361</v>
      </c>
      <c r="C596" t="s">
        <v>25</v>
      </c>
      <c r="D596" t="s">
        <v>26</v>
      </c>
      <c r="E596" t="s">
        <v>21</v>
      </c>
      <c r="F596" t="s">
        <v>19</v>
      </c>
      <c r="G596" t="s">
        <v>29</v>
      </c>
      <c r="K596" cm="1">
        <f t="array" ref="K596">_xlfn.SWITCH(LeadsData[[#This Row],[Funnel Stage Reached]],"Lead",1,"MQL",2,"SQL",3,"Customer",4)</f>
        <v>3</v>
      </c>
      <c r="L596" t="str">
        <f>TEXT(LeadsData[[#This Row],[Signup Date]],"mmm-yyyy")</f>
        <v>Mar-2024</v>
      </c>
      <c r="M596">
        <f>IF(LeadsData[[#This Row],[Stage Number]]&gt;=2,1,0)</f>
        <v>1</v>
      </c>
      <c r="N596" s="2">
        <f>IF(LeadsData[[#This Row],[Stage Number]]&gt;=3,1,0)</f>
        <v>1</v>
      </c>
      <c r="O596" s="2">
        <f>IF(LeadsData[[#This Row],[Stage Number]]&gt;=4,1,0)</f>
        <v>0</v>
      </c>
    </row>
    <row r="597" spans="1:15" x14ac:dyDescent="0.25">
      <c r="A597" t="s">
        <v>637</v>
      </c>
      <c r="B597" s="1">
        <v>45452</v>
      </c>
      <c r="C597" t="s">
        <v>11</v>
      </c>
      <c r="D597" t="s">
        <v>12</v>
      </c>
      <c r="E597" t="s">
        <v>21</v>
      </c>
      <c r="F597" t="s">
        <v>19</v>
      </c>
      <c r="G597" t="s">
        <v>23</v>
      </c>
      <c r="K597" cm="1">
        <f t="array" ref="K597">_xlfn.SWITCH(LeadsData[[#This Row],[Funnel Stage Reached]],"Lead",1,"MQL",2,"SQL",3,"Customer",4)</f>
        <v>2</v>
      </c>
      <c r="L597" t="str">
        <f>TEXT(LeadsData[[#This Row],[Signup Date]],"mmm-yyyy")</f>
        <v>Jun-2024</v>
      </c>
      <c r="M597">
        <f>IF(LeadsData[[#This Row],[Stage Number]]&gt;=2,1,0)</f>
        <v>1</v>
      </c>
      <c r="N597" s="2">
        <f>IF(LeadsData[[#This Row],[Stage Number]]&gt;=3,1,0)</f>
        <v>0</v>
      </c>
      <c r="O597" s="2">
        <f>IF(LeadsData[[#This Row],[Stage Number]]&gt;=4,1,0)</f>
        <v>0</v>
      </c>
    </row>
    <row r="598" spans="1:15" x14ac:dyDescent="0.25">
      <c r="A598" t="s">
        <v>638</v>
      </c>
      <c r="B598" s="1">
        <v>45417</v>
      </c>
      <c r="C598" t="s">
        <v>46</v>
      </c>
      <c r="D598" t="s">
        <v>47</v>
      </c>
      <c r="E598" t="s">
        <v>21</v>
      </c>
      <c r="F598" t="s">
        <v>22</v>
      </c>
      <c r="G598" t="s">
        <v>15</v>
      </c>
      <c r="K598" cm="1">
        <f t="array" ref="K598">_xlfn.SWITCH(LeadsData[[#This Row],[Funnel Stage Reached]],"Lead",1,"MQL",2,"SQL",3,"Customer",4)</f>
        <v>1</v>
      </c>
      <c r="L598" t="str">
        <f>TEXT(LeadsData[[#This Row],[Signup Date]],"mmm-yyyy")</f>
        <v>May-2024</v>
      </c>
      <c r="M598">
        <f>IF(LeadsData[[#This Row],[Stage Number]]&gt;=2,1,0)</f>
        <v>0</v>
      </c>
      <c r="N598" s="2">
        <f>IF(LeadsData[[#This Row],[Stage Number]]&gt;=3,1,0)</f>
        <v>0</v>
      </c>
      <c r="O598" s="2">
        <f>IF(LeadsData[[#This Row],[Stage Number]]&gt;=4,1,0)</f>
        <v>0</v>
      </c>
    </row>
    <row r="599" spans="1:15" x14ac:dyDescent="0.25">
      <c r="A599" t="s">
        <v>639</v>
      </c>
      <c r="B599" s="1">
        <v>45432</v>
      </c>
      <c r="C599" t="s">
        <v>46</v>
      </c>
      <c r="D599" t="s">
        <v>47</v>
      </c>
      <c r="E599" t="s">
        <v>13</v>
      </c>
      <c r="F599" t="s">
        <v>19</v>
      </c>
      <c r="G599" t="s">
        <v>15</v>
      </c>
      <c r="K599" cm="1">
        <f t="array" ref="K599">_xlfn.SWITCH(LeadsData[[#This Row],[Funnel Stage Reached]],"Lead",1,"MQL",2,"SQL",3,"Customer",4)</f>
        <v>1</v>
      </c>
      <c r="L599" t="str">
        <f>TEXT(LeadsData[[#This Row],[Signup Date]],"mmm-yyyy")</f>
        <v>May-2024</v>
      </c>
      <c r="M599">
        <f>IF(LeadsData[[#This Row],[Stage Number]]&gt;=2,1,0)</f>
        <v>0</v>
      </c>
      <c r="N599" s="2">
        <f>IF(LeadsData[[#This Row],[Stage Number]]&gt;=3,1,0)</f>
        <v>0</v>
      </c>
      <c r="O599" s="2">
        <f>IF(LeadsData[[#This Row],[Stage Number]]&gt;=4,1,0)</f>
        <v>0</v>
      </c>
    </row>
    <row r="600" spans="1:15" x14ac:dyDescent="0.25">
      <c r="A600" t="s">
        <v>640</v>
      </c>
      <c r="B600" s="1">
        <v>45644</v>
      </c>
      <c r="C600" t="s">
        <v>25</v>
      </c>
      <c r="D600" t="s">
        <v>26</v>
      </c>
      <c r="E600" t="s">
        <v>13</v>
      </c>
      <c r="F600" t="s">
        <v>22</v>
      </c>
      <c r="G600" t="s">
        <v>15</v>
      </c>
      <c r="K600" cm="1">
        <f t="array" ref="K600">_xlfn.SWITCH(LeadsData[[#This Row],[Funnel Stage Reached]],"Lead",1,"MQL",2,"SQL",3,"Customer",4)</f>
        <v>1</v>
      </c>
      <c r="L600" t="str">
        <f>TEXT(LeadsData[[#This Row],[Signup Date]],"mmm-yyyy")</f>
        <v>Dec-2024</v>
      </c>
      <c r="M600">
        <f>IF(LeadsData[[#This Row],[Stage Number]]&gt;=2,1,0)</f>
        <v>0</v>
      </c>
      <c r="N600" s="2">
        <f>IF(LeadsData[[#This Row],[Stage Number]]&gt;=3,1,0)</f>
        <v>0</v>
      </c>
      <c r="O600" s="2">
        <f>IF(LeadsData[[#This Row],[Stage Number]]&gt;=4,1,0)</f>
        <v>0</v>
      </c>
    </row>
    <row r="601" spans="1:15" x14ac:dyDescent="0.25">
      <c r="A601" t="s">
        <v>641</v>
      </c>
      <c r="B601" s="1">
        <v>45556</v>
      </c>
      <c r="C601" t="s">
        <v>31</v>
      </c>
      <c r="D601" t="s">
        <v>32</v>
      </c>
      <c r="E601" t="s">
        <v>21</v>
      </c>
      <c r="F601" t="s">
        <v>22</v>
      </c>
      <c r="G601" t="s">
        <v>29</v>
      </c>
      <c r="K601" cm="1">
        <f t="array" ref="K601">_xlfn.SWITCH(LeadsData[[#This Row],[Funnel Stage Reached]],"Lead",1,"MQL",2,"SQL",3,"Customer",4)</f>
        <v>3</v>
      </c>
      <c r="L601" t="str">
        <f>TEXT(LeadsData[[#This Row],[Signup Date]],"mmm-yyyy")</f>
        <v>Sep-2024</v>
      </c>
      <c r="M601">
        <f>IF(LeadsData[[#This Row],[Stage Number]]&gt;=2,1,0)</f>
        <v>1</v>
      </c>
      <c r="N601" s="2">
        <f>IF(LeadsData[[#This Row],[Stage Number]]&gt;=3,1,0)</f>
        <v>1</v>
      </c>
      <c r="O601" s="2">
        <f>IF(LeadsData[[#This Row],[Stage Number]]&gt;=4,1,0)</f>
        <v>0</v>
      </c>
    </row>
    <row r="602" spans="1:15" x14ac:dyDescent="0.25">
      <c r="A602" t="s">
        <v>642</v>
      </c>
      <c r="B602" s="1">
        <v>45372</v>
      </c>
      <c r="C602" t="s">
        <v>11</v>
      </c>
      <c r="D602" t="s">
        <v>12</v>
      </c>
      <c r="E602" t="s">
        <v>13</v>
      </c>
      <c r="F602" t="s">
        <v>19</v>
      </c>
      <c r="G602" t="s">
        <v>23</v>
      </c>
      <c r="K602" cm="1">
        <f t="array" ref="K602">_xlfn.SWITCH(LeadsData[[#This Row],[Funnel Stage Reached]],"Lead",1,"MQL",2,"SQL",3,"Customer",4)</f>
        <v>2</v>
      </c>
      <c r="L602" t="str">
        <f>TEXT(LeadsData[[#This Row],[Signup Date]],"mmm-yyyy")</f>
        <v>Mar-2024</v>
      </c>
      <c r="M602">
        <f>IF(LeadsData[[#This Row],[Stage Number]]&gt;=2,1,0)</f>
        <v>1</v>
      </c>
      <c r="N602" s="2">
        <f>IF(LeadsData[[#This Row],[Stage Number]]&gt;=3,1,0)</f>
        <v>0</v>
      </c>
      <c r="O602" s="2">
        <f>IF(LeadsData[[#This Row],[Stage Number]]&gt;=4,1,0)</f>
        <v>0</v>
      </c>
    </row>
    <row r="603" spans="1:15" x14ac:dyDescent="0.25">
      <c r="A603" t="s">
        <v>643</v>
      </c>
      <c r="B603" s="1">
        <v>45601</v>
      </c>
      <c r="C603" t="s">
        <v>17</v>
      </c>
      <c r="D603" t="s">
        <v>53</v>
      </c>
      <c r="E603" t="s">
        <v>48</v>
      </c>
      <c r="F603" t="s">
        <v>19</v>
      </c>
      <c r="G603" t="s">
        <v>15</v>
      </c>
      <c r="K603" cm="1">
        <f t="array" ref="K603">_xlfn.SWITCH(LeadsData[[#This Row],[Funnel Stage Reached]],"Lead",1,"MQL",2,"SQL",3,"Customer",4)</f>
        <v>1</v>
      </c>
      <c r="L603" t="str">
        <f>TEXT(LeadsData[[#This Row],[Signup Date]],"mmm-yyyy")</f>
        <v>Nov-2024</v>
      </c>
      <c r="M603">
        <f>IF(LeadsData[[#This Row],[Stage Number]]&gt;=2,1,0)</f>
        <v>0</v>
      </c>
      <c r="N603" s="2">
        <f>IF(LeadsData[[#This Row],[Stage Number]]&gt;=3,1,0)</f>
        <v>0</v>
      </c>
      <c r="O603" s="2">
        <f>IF(LeadsData[[#This Row],[Stage Number]]&gt;=4,1,0)</f>
        <v>0</v>
      </c>
    </row>
    <row r="604" spans="1:15" x14ac:dyDescent="0.25">
      <c r="A604" t="s">
        <v>644</v>
      </c>
      <c r="B604" s="1">
        <v>45312</v>
      </c>
      <c r="C604" t="s">
        <v>31</v>
      </c>
      <c r="D604" t="s">
        <v>34</v>
      </c>
      <c r="E604" t="s">
        <v>21</v>
      </c>
      <c r="F604" t="s">
        <v>19</v>
      </c>
      <c r="G604" t="s">
        <v>29</v>
      </c>
      <c r="K604" cm="1">
        <f t="array" ref="K604">_xlfn.SWITCH(LeadsData[[#This Row],[Funnel Stage Reached]],"Lead",1,"MQL",2,"SQL",3,"Customer",4)</f>
        <v>3</v>
      </c>
      <c r="L604" t="str">
        <f>TEXT(LeadsData[[#This Row],[Signup Date]],"mmm-yyyy")</f>
        <v>Jan-2024</v>
      </c>
      <c r="M604">
        <f>IF(LeadsData[[#This Row],[Stage Number]]&gt;=2,1,0)</f>
        <v>1</v>
      </c>
      <c r="N604" s="2">
        <f>IF(LeadsData[[#This Row],[Stage Number]]&gt;=3,1,0)</f>
        <v>1</v>
      </c>
      <c r="O604" s="2">
        <f>IF(LeadsData[[#This Row],[Stage Number]]&gt;=4,1,0)</f>
        <v>0</v>
      </c>
    </row>
    <row r="605" spans="1:15" x14ac:dyDescent="0.25">
      <c r="A605" t="s">
        <v>645</v>
      </c>
      <c r="B605" s="1">
        <v>45427</v>
      </c>
      <c r="C605" t="s">
        <v>25</v>
      </c>
      <c r="D605" t="s">
        <v>26</v>
      </c>
      <c r="E605" t="s">
        <v>13</v>
      </c>
      <c r="F605" t="s">
        <v>22</v>
      </c>
      <c r="G605" t="s">
        <v>15</v>
      </c>
      <c r="K605" cm="1">
        <f t="array" ref="K605">_xlfn.SWITCH(LeadsData[[#This Row],[Funnel Stage Reached]],"Lead",1,"MQL",2,"SQL",3,"Customer",4)</f>
        <v>1</v>
      </c>
      <c r="L605" t="str">
        <f>TEXT(LeadsData[[#This Row],[Signup Date]],"mmm-yyyy")</f>
        <v>May-2024</v>
      </c>
      <c r="M605">
        <f>IF(LeadsData[[#This Row],[Stage Number]]&gt;=2,1,0)</f>
        <v>0</v>
      </c>
      <c r="N605" s="2">
        <f>IF(LeadsData[[#This Row],[Stage Number]]&gt;=3,1,0)</f>
        <v>0</v>
      </c>
      <c r="O605" s="2">
        <f>IF(LeadsData[[#This Row],[Stage Number]]&gt;=4,1,0)</f>
        <v>0</v>
      </c>
    </row>
    <row r="606" spans="1:15" x14ac:dyDescent="0.25">
      <c r="A606" t="s">
        <v>646</v>
      </c>
      <c r="B606" s="1">
        <v>45440</v>
      </c>
      <c r="C606" t="s">
        <v>31</v>
      </c>
      <c r="D606" t="s">
        <v>34</v>
      </c>
      <c r="E606" t="s">
        <v>13</v>
      </c>
      <c r="F606" t="s">
        <v>28</v>
      </c>
      <c r="G606" t="s">
        <v>29</v>
      </c>
      <c r="K606" cm="1">
        <f t="array" ref="K606">_xlfn.SWITCH(LeadsData[[#This Row],[Funnel Stage Reached]],"Lead",1,"MQL",2,"SQL",3,"Customer",4)</f>
        <v>3</v>
      </c>
      <c r="L606" t="str">
        <f>TEXT(LeadsData[[#This Row],[Signup Date]],"mmm-yyyy")</f>
        <v>May-2024</v>
      </c>
      <c r="M606">
        <f>IF(LeadsData[[#This Row],[Stage Number]]&gt;=2,1,0)</f>
        <v>1</v>
      </c>
      <c r="N606" s="2">
        <f>IF(LeadsData[[#This Row],[Stage Number]]&gt;=3,1,0)</f>
        <v>1</v>
      </c>
      <c r="O606" s="2">
        <f>IF(LeadsData[[#This Row],[Stage Number]]&gt;=4,1,0)</f>
        <v>0</v>
      </c>
    </row>
    <row r="607" spans="1:15" x14ac:dyDescent="0.25">
      <c r="A607" t="s">
        <v>647</v>
      </c>
      <c r="B607" s="1">
        <v>45528</v>
      </c>
      <c r="C607" t="s">
        <v>46</v>
      </c>
      <c r="D607" t="s">
        <v>47</v>
      </c>
      <c r="E607" t="s">
        <v>21</v>
      </c>
      <c r="F607" t="s">
        <v>19</v>
      </c>
      <c r="G607" t="s">
        <v>15</v>
      </c>
      <c r="K607" cm="1">
        <f t="array" ref="K607">_xlfn.SWITCH(LeadsData[[#This Row],[Funnel Stage Reached]],"Lead",1,"MQL",2,"SQL",3,"Customer",4)</f>
        <v>1</v>
      </c>
      <c r="L607" t="str">
        <f>TEXT(LeadsData[[#This Row],[Signup Date]],"mmm-yyyy")</f>
        <v>Aug-2024</v>
      </c>
      <c r="M607">
        <f>IF(LeadsData[[#This Row],[Stage Number]]&gt;=2,1,0)</f>
        <v>0</v>
      </c>
      <c r="N607" s="2">
        <f>IF(LeadsData[[#This Row],[Stage Number]]&gt;=3,1,0)</f>
        <v>0</v>
      </c>
      <c r="O607" s="2">
        <f>IF(LeadsData[[#This Row],[Stage Number]]&gt;=4,1,0)</f>
        <v>0</v>
      </c>
    </row>
    <row r="608" spans="1:15" x14ac:dyDescent="0.25">
      <c r="A608" t="s">
        <v>648</v>
      </c>
      <c r="B608" s="1">
        <v>45529</v>
      </c>
      <c r="C608" t="s">
        <v>36</v>
      </c>
      <c r="D608" t="s">
        <v>37</v>
      </c>
      <c r="E608" t="s">
        <v>21</v>
      </c>
      <c r="F608" t="s">
        <v>19</v>
      </c>
      <c r="G608" t="s">
        <v>29</v>
      </c>
      <c r="K608" cm="1">
        <f t="array" ref="K608">_xlfn.SWITCH(LeadsData[[#This Row],[Funnel Stage Reached]],"Lead",1,"MQL",2,"SQL",3,"Customer",4)</f>
        <v>3</v>
      </c>
      <c r="L608" t="str">
        <f>TEXT(LeadsData[[#This Row],[Signup Date]],"mmm-yyyy")</f>
        <v>Aug-2024</v>
      </c>
      <c r="M608">
        <f>IF(LeadsData[[#This Row],[Stage Number]]&gt;=2,1,0)</f>
        <v>1</v>
      </c>
      <c r="N608" s="2">
        <f>IF(LeadsData[[#This Row],[Stage Number]]&gt;=3,1,0)</f>
        <v>1</v>
      </c>
      <c r="O608" s="2">
        <f>IF(LeadsData[[#This Row],[Stage Number]]&gt;=4,1,0)</f>
        <v>0</v>
      </c>
    </row>
    <row r="609" spans="1:15" x14ac:dyDescent="0.25">
      <c r="A609" t="s">
        <v>649</v>
      </c>
      <c r="B609" s="1">
        <v>45523</v>
      </c>
      <c r="C609" t="s">
        <v>25</v>
      </c>
      <c r="D609" t="s">
        <v>26</v>
      </c>
      <c r="E609" t="s">
        <v>48</v>
      </c>
      <c r="F609" t="s">
        <v>19</v>
      </c>
      <c r="G609" t="s">
        <v>15</v>
      </c>
      <c r="K609" cm="1">
        <f t="array" ref="K609">_xlfn.SWITCH(LeadsData[[#This Row],[Funnel Stage Reached]],"Lead",1,"MQL",2,"SQL",3,"Customer",4)</f>
        <v>1</v>
      </c>
      <c r="L609" t="str">
        <f>TEXT(LeadsData[[#This Row],[Signup Date]],"mmm-yyyy")</f>
        <v>Aug-2024</v>
      </c>
      <c r="M609">
        <f>IF(LeadsData[[#This Row],[Stage Number]]&gt;=2,1,0)</f>
        <v>0</v>
      </c>
      <c r="N609" s="2">
        <f>IF(LeadsData[[#This Row],[Stage Number]]&gt;=3,1,0)</f>
        <v>0</v>
      </c>
      <c r="O609" s="2">
        <f>IF(LeadsData[[#This Row],[Stage Number]]&gt;=4,1,0)</f>
        <v>0</v>
      </c>
    </row>
    <row r="610" spans="1:15" x14ac:dyDescent="0.25">
      <c r="A610" t="s">
        <v>650</v>
      </c>
      <c r="B610" s="1">
        <v>45424</v>
      </c>
      <c r="C610" t="s">
        <v>17</v>
      </c>
      <c r="D610" t="s">
        <v>18</v>
      </c>
      <c r="E610" t="s">
        <v>21</v>
      </c>
      <c r="F610" t="s">
        <v>22</v>
      </c>
      <c r="G610" t="s">
        <v>23</v>
      </c>
      <c r="K610" cm="1">
        <f t="array" ref="K610">_xlfn.SWITCH(LeadsData[[#This Row],[Funnel Stage Reached]],"Lead",1,"MQL",2,"SQL",3,"Customer",4)</f>
        <v>2</v>
      </c>
      <c r="L610" t="str">
        <f>TEXT(LeadsData[[#This Row],[Signup Date]],"mmm-yyyy")</f>
        <v>May-2024</v>
      </c>
      <c r="M610">
        <f>IF(LeadsData[[#This Row],[Stage Number]]&gt;=2,1,0)</f>
        <v>1</v>
      </c>
      <c r="N610" s="2">
        <f>IF(LeadsData[[#This Row],[Stage Number]]&gt;=3,1,0)</f>
        <v>0</v>
      </c>
      <c r="O610" s="2">
        <f>IF(LeadsData[[#This Row],[Stage Number]]&gt;=4,1,0)</f>
        <v>0</v>
      </c>
    </row>
    <row r="611" spans="1:15" x14ac:dyDescent="0.25">
      <c r="A611" t="s">
        <v>651</v>
      </c>
      <c r="B611" s="1">
        <v>45316</v>
      </c>
      <c r="C611" t="s">
        <v>17</v>
      </c>
      <c r="D611" t="s">
        <v>53</v>
      </c>
      <c r="E611" t="s">
        <v>21</v>
      </c>
      <c r="F611" t="s">
        <v>28</v>
      </c>
      <c r="G611" t="s">
        <v>15</v>
      </c>
      <c r="K611" cm="1">
        <f t="array" ref="K611">_xlfn.SWITCH(LeadsData[[#This Row],[Funnel Stage Reached]],"Lead",1,"MQL",2,"SQL",3,"Customer",4)</f>
        <v>1</v>
      </c>
      <c r="L611" t="str">
        <f>TEXT(LeadsData[[#This Row],[Signup Date]],"mmm-yyyy")</f>
        <v>Jan-2024</v>
      </c>
      <c r="M611">
        <f>IF(LeadsData[[#This Row],[Stage Number]]&gt;=2,1,0)</f>
        <v>0</v>
      </c>
      <c r="N611" s="2">
        <f>IF(LeadsData[[#This Row],[Stage Number]]&gt;=3,1,0)</f>
        <v>0</v>
      </c>
      <c r="O611" s="2">
        <f>IF(LeadsData[[#This Row],[Stage Number]]&gt;=4,1,0)</f>
        <v>0</v>
      </c>
    </row>
    <row r="612" spans="1:15" x14ac:dyDescent="0.25">
      <c r="A612" t="s">
        <v>652</v>
      </c>
      <c r="B612" s="1">
        <v>45314</v>
      </c>
      <c r="C612" t="s">
        <v>25</v>
      </c>
      <c r="D612" t="s">
        <v>26</v>
      </c>
      <c r="E612" t="s">
        <v>13</v>
      </c>
      <c r="F612" t="s">
        <v>19</v>
      </c>
      <c r="G612" t="s">
        <v>42</v>
      </c>
      <c r="H612">
        <v>35</v>
      </c>
      <c r="I612" t="s">
        <v>43</v>
      </c>
      <c r="J612">
        <v>945.07</v>
      </c>
      <c r="K612" cm="1">
        <f t="array" ref="K612">_xlfn.SWITCH(LeadsData[[#This Row],[Funnel Stage Reached]],"Lead",1,"MQL",2,"SQL",3,"Customer",4)</f>
        <v>4</v>
      </c>
      <c r="L612" t="str">
        <f>TEXT(LeadsData[[#This Row],[Signup Date]],"mmm-yyyy")</f>
        <v>Jan-2024</v>
      </c>
      <c r="M612">
        <f>IF(LeadsData[[#This Row],[Stage Number]]&gt;=2,1,0)</f>
        <v>1</v>
      </c>
      <c r="N612" s="2">
        <f>IF(LeadsData[[#This Row],[Stage Number]]&gt;=3,1,0)</f>
        <v>1</v>
      </c>
      <c r="O612" s="2">
        <f>IF(LeadsData[[#This Row],[Stage Number]]&gt;=4,1,0)</f>
        <v>1</v>
      </c>
    </row>
    <row r="613" spans="1:15" x14ac:dyDescent="0.25">
      <c r="A613" t="s">
        <v>653</v>
      </c>
      <c r="B613" s="1">
        <v>45364</v>
      </c>
      <c r="C613" t="s">
        <v>46</v>
      </c>
      <c r="D613" t="s">
        <v>56</v>
      </c>
      <c r="E613" t="s">
        <v>13</v>
      </c>
      <c r="F613" t="s">
        <v>22</v>
      </c>
      <c r="G613" t="s">
        <v>29</v>
      </c>
      <c r="K613" cm="1">
        <f t="array" ref="K613">_xlfn.SWITCH(LeadsData[[#This Row],[Funnel Stage Reached]],"Lead",1,"MQL",2,"SQL",3,"Customer",4)</f>
        <v>3</v>
      </c>
      <c r="L613" t="str">
        <f>TEXT(LeadsData[[#This Row],[Signup Date]],"mmm-yyyy")</f>
        <v>Mar-2024</v>
      </c>
      <c r="M613">
        <f>IF(LeadsData[[#This Row],[Stage Number]]&gt;=2,1,0)</f>
        <v>1</v>
      </c>
      <c r="N613" s="2">
        <f>IF(LeadsData[[#This Row],[Stage Number]]&gt;=3,1,0)</f>
        <v>1</v>
      </c>
      <c r="O613" s="2">
        <f>IF(LeadsData[[#This Row],[Stage Number]]&gt;=4,1,0)</f>
        <v>0</v>
      </c>
    </row>
    <row r="614" spans="1:15" x14ac:dyDescent="0.25">
      <c r="A614" t="s">
        <v>654</v>
      </c>
      <c r="B614" s="1">
        <v>45622</v>
      </c>
      <c r="C614" t="s">
        <v>31</v>
      </c>
      <c r="D614" t="s">
        <v>32</v>
      </c>
      <c r="E614" t="s">
        <v>13</v>
      </c>
      <c r="F614" t="s">
        <v>19</v>
      </c>
      <c r="G614" t="s">
        <v>23</v>
      </c>
      <c r="K614" cm="1">
        <f t="array" ref="K614">_xlfn.SWITCH(LeadsData[[#This Row],[Funnel Stage Reached]],"Lead",1,"MQL",2,"SQL",3,"Customer",4)</f>
        <v>2</v>
      </c>
      <c r="L614" t="str">
        <f>TEXT(LeadsData[[#This Row],[Signup Date]],"mmm-yyyy")</f>
        <v>Nov-2024</v>
      </c>
      <c r="M614">
        <f>IF(LeadsData[[#This Row],[Stage Number]]&gt;=2,1,0)</f>
        <v>1</v>
      </c>
      <c r="N614" s="2">
        <f>IF(LeadsData[[#This Row],[Stage Number]]&gt;=3,1,0)</f>
        <v>0</v>
      </c>
      <c r="O614" s="2">
        <f>IF(LeadsData[[#This Row],[Stage Number]]&gt;=4,1,0)</f>
        <v>0</v>
      </c>
    </row>
    <row r="615" spans="1:15" x14ac:dyDescent="0.25">
      <c r="A615" t="s">
        <v>655</v>
      </c>
      <c r="B615" s="1">
        <v>45498</v>
      </c>
      <c r="C615" t="s">
        <v>17</v>
      </c>
      <c r="D615" t="s">
        <v>53</v>
      </c>
      <c r="E615" t="s">
        <v>13</v>
      </c>
      <c r="F615" t="s">
        <v>19</v>
      </c>
      <c r="G615" t="s">
        <v>15</v>
      </c>
      <c r="K615" cm="1">
        <f t="array" ref="K615">_xlfn.SWITCH(LeadsData[[#This Row],[Funnel Stage Reached]],"Lead",1,"MQL",2,"SQL",3,"Customer",4)</f>
        <v>1</v>
      </c>
      <c r="L615" t="str">
        <f>TEXT(LeadsData[[#This Row],[Signup Date]],"mmm-yyyy")</f>
        <v>Jul-2024</v>
      </c>
      <c r="M615">
        <f>IF(LeadsData[[#This Row],[Stage Number]]&gt;=2,1,0)</f>
        <v>0</v>
      </c>
      <c r="N615" s="2">
        <f>IF(LeadsData[[#This Row],[Stage Number]]&gt;=3,1,0)</f>
        <v>0</v>
      </c>
      <c r="O615" s="2">
        <f>IF(LeadsData[[#This Row],[Stage Number]]&gt;=4,1,0)</f>
        <v>0</v>
      </c>
    </row>
    <row r="616" spans="1:15" x14ac:dyDescent="0.25">
      <c r="A616" t="s">
        <v>656</v>
      </c>
      <c r="B616" s="1">
        <v>45632</v>
      </c>
      <c r="C616" t="s">
        <v>31</v>
      </c>
      <c r="D616" t="s">
        <v>32</v>
      </c>
      <c r="E616" t="s">
        <v>21</v>
      </c>
      <c r="F616" t="s">
        <v>22</v>
      </c>
      <c r="G616" t="s">
        <v>15</v>
      </c>
      <c r="K616" cm="1">
        <f t="array" ref="K616">_xlfn.SWITCH(LeadsData[[#This Row],[Funnel Stage Reached]],"Lead",1,"MQL",2,"SQL",3,"Customer",4)</f>
        <v>1</v>
      </c>
      <c r="L616" t="str">
        <f>TEXT(LeadsData[[#This Row],[Signup Date]],"mmm-yyyy")</f>
        <v>Dec-2024</v>
      </c>
      <c r="M616">
        <f>IF(LeadsData[[#This Row],[Stage Number]]&gt;=2,1,0)</f>
        <v>0</v>
      </c>
      <c r="N616" s="2">
        <f>IF(LeadsData[[#This Row],[Stage Number]]&gt;=3,1,0)</f>
        <v>0</v>
      </c>
      <c r="O616" s="2">
        <f>IF(LeadsData[[#This Row],[Stage Number]]&gt;=4,1,0)</f>
        <v>0</v>
      </c>
    </row>
    <row r="617" spans="1:15" x14ac:dyDescent="0.25">
      <c r="A617" t="s">
        <v>657</v>
      </c>
      <c r="B617" s="1">
        <v>45373</v>
      </c>
      <c r="C617" t="s">
        <v>25</v>
      </c>
      <c r="D617" t="s">
        <v>26</v>
      </c>
      <c r="E617" t="s">
        <v>21</v>
      </c>
      <c r="F617" t="s">
        <v>22</v>
      </c>
      <c r="G617" t="s">
        <v>23</v>
      </c>
      <c r="K617" cm="1">
        <f t="array" ref="K617">_xlfn.SWITCH(LeadsData[[#This Row],[Funnel Stage Reached]],"Lead",1,"MQL",2,"SQL",3,"Customer",4)</f>
        <v>2</v>
      </c>
      <c r="L617" t="str">
        <f>TEXT(LeadsData[[#This Row],[Signup Date]],"mmm-yyyy")</f>
        <v>Mar-2024</v>
      </c>
      <c r="M617">
        <f>IF(LeadsData[[#This Row],[Stage Number]]&gt;=2,1,0)</f>
        <v>1</v>
      </c>
      <c r="N617" s="2">
        <f>IF(LeadsData[[#This Row],[Stage Number]]&gt;=3,1,0)</f>
        <v>0</v>
      </c>
      <c r="O617" s="2">
        <f>IF(LeadsData[[#This Row],[Stage Number]]&gt;=4,1,0)</f>
        <v>0</v>
      </c>
    </row>
    <row r="618" spans="1:15" x14ac:dyDescent="0.25">
      <c r="A618" t="s">
        <v>658</v>
      </c>
      <c r="B618" s="1">
        <v>45306</v>
      </c>
      <c r="C618" t="s">
        <v>17</v>
      </c>
      <c r="D618" t="s">
        <v>18</v>
      </c>
      <c r="E618" t="s">
        <v>21</v>
      </c>
      <c r="F618" t="s">
        <v>19</v>
      </c>
      <c r="G618" t="s">
        <v>15</v>
      </c>
      <c r="K618" cm="1">
        <f t="array" ref="K618">_xlfn.SWITCH(LeadsData[[#This Row],[Funnel Stage Reached]],"Lead",1,"MQL",2,"SQL",3,"Customer",4)</f>
        <v>1</v>
      </c>
      <c r="L618" t="str">
        <f>TEXT(LeadsData[[#This Row],[Signup Date]],"mmm-yyyy")</f>
        <v>Jan-2024</v>
      </c>
      <c r="M618">
        <f>IF(LeadsData[[#This Row],[Stage Number]]&gt;=2,1,0)</f>
        <v>0</v>
      </c>
      <c r="N618" s="2">
        <f>IF(LeadsData[[#This Row],[Stage Number]]&gt;=3,1,0)</f>
        <v>0</v>
      </c>
      <c r="O618" s="2">
        <f>IF(LeadsData[[#This Row],[Stage Number]]&gt;=4,1,0)</f>
        <v>0</v>
      </c>
    </row>
    <row r="619" spans="1:15" x14ac:dyDescent="0.25">
      <c r="A619" t="s">
        <v>659</v>
      </c>
      <c r="B619" s="1">
        <v>45303</v>
      </c>
      <c r="C619" t="s">
        <v>36</v>
      </c>
      <c r="D619" t="s">
        <v>50</v>
      </c>
      <c r="E619" t="s">
        <v>13</v>
      </c>
      <c r="F619" t="s">
        <v>19</v>
      </c>
      <c r="G619" t="s">
        <v>23</v>
      </c>
      <c r="K619" cm="1">
        <f t="array" ref="K619">_xlfn.SWITCH(LeadsData[[#This Row],[Funnel Stage Reached]],"Lead",1,"MQL",2,"SQL",3,"Customer",4)</f>
        <v>2</v>
      </c>
      <c r="L619" t="str">
        <f>TEXT(LeadsData[[#This Row],[Signup Date]],"mmm-yyyy")</f>
        <v>Jan-2024</v>
      </c>
      <c r="M619">
        <f>IF(LeadsData[[#This Row],[Stage Number]]&gt;=2,1,0)</f>
        <v>1</v>
      </c>
      <c r="N619" s="2">
        <f>IF(LeadsData[[#This Row],[Stage Number]]&gt;=3,1,0)</f>
        <v>0</v>
      </c>
      <c r="O619" s="2">
        <f>IF(LeadsData[[#This Row],[Stage Number]]&gt;=4,1,0)</f>
        <v>0</v>
      </c>
    </row>
    <row r="620" spans="1:15" x14ac:dyDescent="0.25">
      <c r="A620" t="s">
        <v>660</v>
      </c>
      <c r="B620" s="1">
        <v>45484</v>
      </c>
      <c r="C620" t="s">
        <v>11</v>
      </c>
      <c r="D620" t="s">
        <v>79</v>
      </c>
      <c r="E620" t="s">
        <v>13</v>
      </c>
      <c r="F620" t="s">
        <v>19</v>
      </c>
      <c r="G620" t="s">
        <v>15</v>
      </c>
      <c r="K620" cm="1">
        <f t="array" ref="K620">_xlfn.SWITCH(LeadsData[[#This Row],[Funnel Stage Reached]],"Lead",1,"MQL",2,"SQL",3,"Customer",4)</f>
        <v>1</v>
      </c>
      <c r="L620" t="str">
        <f>TEXT(LeadsData[[#This Row],[Signup Date]],"mmm-yyyy")</f>
        <v>Jul-2024</v>
      </c>
      <c r="M620">
        <f>IF(LeadsData[[#This Row],[Stage Number]]&gt;=2,1,0)</f>
        <v>0</v>
      </c>
      <c r="N620" s="2">
        <f>IF(LeadsData[[#This Row],[Stage Number]]&gt;=3,1,0)</f>
        <v>0</v>
      </c>
      <c r="O620" s="2">
        <f>IF(LeadsData[[#This Row],[Stage Number]]&gt;=4,1,0)</f>
        <v>0</v>
      </c>
    </row>
    <row r="621" spans="1:15" x14ac:dyDescent="0.25">
      <c r="A621" t="s">
        <v>661</v>
      </c>
      <c r="B621" s="1">
        <v>45359</v>
      </c>
      <c r="C621" t="s">
        <v>36</v>
      </c>
      <c r="D621" t="s">
        <v>37</v>
      </c>
      <c r="E621" t="s">
        <v>21</v>
      </c>
      <c r="F621" t="s">
        <v>14</v>
      </c>
      <c r="G621" t="s">
        <v>23</v>
      </c>
      <c r="K621" cm="1">
        <f t="array" ref="K621">_xlfn.SWITCH(LeadsData[[#This Row],[Funnel Stage Reached]],"Lead",1,"MQL",2,"SQL",3,"Customer",4)</f>
        <v>2</v>
      </c>
      <c r="L621" t="str">
        <f>TEXT(LeadsData[[#This Row],[Signup Date]],"mmm-yyyy")</f>
        <v>Mar-2024</v>
      </c>
      <c r="M621">
        <f>IF(LeadsData[[#This Row],[Stage Number]]&gt;=2,1,0)</f>
        <v>1</v>
      </c>
      <c r="N621" s="2">
        <f>IF(LeadsData[[#This Row],[Stage Number]]&gt;=3,1,0)</f>
        <v>0</v>
      </c>
      <c r="O621" s="2">
        <f>IF(LeadsData[[#This Row],[Stage Number]]&gt;=4,1,0)</f>
        <v>0</v>
      </c>
    </row>
    <row r="622" spans="1:15" x14ac:dyDescent="0.25">
      <c r="A622" t="s">
        <v>662</v>
      </c>
      <c r="B622" s="1">
        <v>45574</v>
      </c>
      <c r="C622" t="s">
        <v>11</v>
      </c>
      <c r="D622" t="s">
        <v>12</v>
      </c>
      <c r="E622" t="s">
        <v>21</v>
      </c>
      <c r="F622" t="s">
        <v>19</v>
      </c>
      <c r="G622" t="s">
        <v>15</v>
      </c>
      <c r="K622" cm="1">
        <f t="array" ref="K622">_xlfn.SWITCH(LeadsData[[#This Row],[Funnel Stage Reached]],"Lead",1,"MQL",2,"SQL",3,"Customer",4)</f>
        <v>1</v>
      </c>
      <c r="L622" t="str">
        <f>TEXT(LeadsData[[#This Row],[Signup Date]],"mmm-yyyy")</f>
        <v>Oct-2024</v>
      </c>
      <c r="M622">
        <f>IF(LeadsData[[#This Row],[Stage Number]]&gt;=2,1,0)</f>
        <v>0</v>
      </c>
      <c r="N622" s="2">
        <f>IF(LeadsData[[#This Row],[Stage Number]]&gt;=3,1,0)</f>
        <v>0</v>
      </c>
      <c r="O622" s="2">
        <f>IF(LeadsData[[#This Row],[Stage Number]]&gt;=4,1,0)</f>
        <v>0</v>
      </c>
    </row>
    <row r="623" spans="1:15" x14ac:dyDescent="0.25">
      <c r="A623" t="s">
        <v>663</v>
      </c>
      <c r="B623" s="1">
        <v>45542</v>
      </c>
      <c r="C623" t="s">
        <v>11</v>
      </c>
      <c r="D623" t="s">
        <v>79</v>
      </c>
      <c r="E623" t="s">
        <v>13</v>
      </c>
      <c r="F623" t="s">
        <v>28</v>
      </c>
      <c r="G623" t="s">
        <v>23</v>
      </c>
      <c r="K623" cm="1">
        <f t="array" ref="K623">_xlfn.SWITCH(LeadsData[[#This Row],[Funnel Stage Reached]],"Lead",1,"MQL",2,"SQL",3,"Customer",4)</f>
        <v>2</v>
      </c>
      <c r="L623" t="str">
        <f>TEXT(LeadsData[[#This Row],[Signup Date]],"mmm-yyyy")</f>
        <v>Sep-2024</v>
      </c>
      <c r="M623">
        <f>IF(LeadsData[[#This Row],[Stage Number]]&gt;=2,1,0)</f>
        <v>1</v>
      </c>
      <c r="N623" s="2">
        <f>IF(LeadsData[[#This Row],[Stage Number]]&gt;=3,1,0)</f>
        <v>0</v>
      </c>
      <c r="O623" s="2">
        <f>IF(LeadsData[[#This Row],[Stage Number]]&gt;=4,1,0)</f>
        <v>0</v>
      </c>
    </row>
    <row r="624" spans="1:15" x14ac:dyDescent="0.25">
      <c r="A624" t="s">
        <v>664</v>
      </c>
      <c r="B624" s="1">
        <v>45372</v>
      </c>
      <c r="C624" t="s">
        <v>36</v>
      </c>
      <c r="D624" t="s">
        <v>50</v>
      </c>
      <c r="E624" t="s">
        <v>13</v>
      </c>
      <c r="F624" t="s">
        <v>14</v>
      </c>
      <c r="G624" t="s">
        <v>42</v>
      </c>
      <c r="H624">
        <v>61</v>
      </c>
      <c r="I624" t="s">
        <v>87</v>
      </c>
      <c r="J624">
        <v>3499.8</v>
      </c>
      <c r="K624" cm="1">
        <f t="array" ref="K624">_xlfn.SWITCH(LeadsData[[#This Row],[Funnel Stage Reached]],"Lead",1,"MQL",2,"SQL",3,"Customer",4)</f>
        <v>4</v>
      </c>
      <c r="L624" t="str">
        <f>TEXT(LeadsData[[#This Row],[Signup Date]],"mmm-yyyy")</f>
        <v>Mar-2024</v>
      </c>
      <c r="M624">
        <f>IF(LeadsData[[#This Row],[Stage Number]]&gt;=2,1,0)</f>
        <v>1</v>
      </c>
      <c r="N624" s="2">
        <f>IF(LeadsData[[#This Row],[Stage Number]]&gt;=3,1,0)</f>
        <v>1</v>
      </c>
      <c r="O624" s="2">
        <f>IF(LeadsData[[#This Row],[Stage Number]]&gt;=4,1,0)</f>
        <v>1</v>
      </c>
    </row>
    <row r="625" spans="1:15" x14ac:dyDescent="0.25">
      <c r="A625" t="s">
        <v>665</v>
      </c>
      <c r="B625" s="1">
        <v>45440</v>
      </c>
      <c r="C625" t="s">
        <v>17</v>
      </c>
      <c r="D625" t="s">
        <v>53</v>
      </c>
      <c r="E625" t="s">
        <v>21</v>
      </c>
      <c r="F625" t="s">
        <v>19</v>
      </c>
      <c r="G625" t="s">
        <v>23</v>
      </c>
      <c r="K625" cm="1">
        <f t="array" ref="K625">_xlfn.SWITCH(LeadsData[[#This Row],[Funnel Stage Reached]],"Lead",1,"MQL",2,"SQL",3,"Customer",4)</f>
        <v>2</v>
      </c>
      <c r="L625" t="str">
        <f>TEXT(LeadsData[[#This Row],[Signup Date]],"mmm-yyyy")</f>
        <v>May-2024</v>
      </c>
      <c r="M625">
        <f>IF(LeadsData[[#This Row],[Stage Number]]&gt;=2,1,0)</f>
        <v>1</v>
      </c>
      <c r="N625" s="2">
        <f>IF(LeadsData[[#This Row],[Stage Number]]&gt;=3,1,0)</f>
        <v>0</v>
      </c>
      <c r="O625" s="2">
        <f>IF(LeadsData[[#This Row],[Stage Number]]&gt;=4,1,0)</f>
        <v>0</v>
      </c>
    </row>
    <row r="626" spans="1:15" x14ac:dyDescent="0.25">
      <c r="A626" t="s">
        <v>666</v>
      </c>
      <c r="B626" s="1">
        <v>45588</v>
      </c>
      <c r="C626" t="s">
        <v>31</v>
      </c>
      <c r="D626" t="s">
        <v>32</v>
      </c>
      <c r="E626" t="s">
        <v>13</v>
      </c>
      <c r="F626" t="s">
        <v>22</v>
      </c>
      <c r="G626" t="s">
        <v>23</v>
      </c>
      <c r="K626" cm="1">
        <f t="array" ref="K626">_xlfn.SWITCH(LeadsData[[#This Row],[Funnel Stage Reached]],"Lead",1,"MQL",2,"SQL",3,"Customer",4)</f>
        <v>2</v>
      </c>
      <c r="L626" t="str">
        <f>TEXT(LeadsData[[#This Row],[Signup Date]],"mmm-yyyy")</f>
        <v>Oct-2024</v>
      </c>
      <c r="M626">
        <f>IF(LeadsData[[#This Row],[Stage Number]]&gt;=2,1,0)</f>
        <v>1</v>
      </c>
      <c r="N626" s="2">
        <f>IF(LeadsData[[#This Row],[Stage Number]]&gt;=3,1,0)</f>
        <v>0</v>
      </c>
      <c r="O626" s="2">
        <f>IF(LeadsData[[#This Row],[Stage Number]]&gt;=4,1,0)</f>
        <v>0</v>
      </c>
    </row>
    <row r="627" spans="1:15" x14ac:dyDescent="0.25">
      <c r="A627" t="s">
        <v>667</v>
      </c>
      <c r="B627" s="1">
        <v>45364</v>
      </c>
      <c r="C627" t="s">
        <v>25</v>
      </c>
      <c r="D627" t="s">
        <v>26</v>
      </c>
      <c r="E627" t="s">
        <v>13</v>
      </c>
      <c r="F627" t="s">
        <v>22</v>
      </c>
      <c r="G627" t="s">
        <v>15</v>
      </c>
      <c r="K627" cm="1">
        <f t="array" ref="K627">_xlfn.SWITCH(LeadsData[[#This Row],[Funnel Stage Reached]],"Lead",1,"MQL",2,"SQL",3,"Customer",4)</f>
        <v>1</v>
      </c>
      <c r="L627" t="str">
        <f>TEXT(LeadsData[[#This Row],[Signup Date]],"mmm-yyyy")</f>
        <v>Mar-2024</v>
      </c>
      <c r="M627">
        <f>IF(LeadsData[[#This Row],[Stage Number]]&gt;=2,1,0)</f>
        <v>0</v>
      </c>
      <c r="N627" s="2">
        <f>IF(LeadsData[[#This Row],[Stage Number]]&gt;=3,1,0)</f>
        <v>0</v>
      </c>
      <c r="O627" s="2">
        <f>IF(LeadsData[[#This Row],[Stage Number]]&gt;=4,1,0)</f>
        <v>0</v>
      </c>
    </row>
    <row r="628" spans="1:15" x14ac:dyDescent="0.25">
      <c r="A628" t="s">
        <v>668</v>
      </c>
      <c r="B628" s="1">
        <v>45414</v>
      </c>
      <c r="C628" t="s">
        <v>36</v>
      </c>
      <c r="D628" t="s">
        <v>37</v>
      </c>
      <c r="E628" t="s">
        <v>21</v>
      </c>
      <c r="F628" t="s">
        <v>19</v>
      </c>
      <c r="G628" t="s">
        <v>15</v>
      </c>
      <c r="K628" cm="1">
        <f t="array" ref="K628">_xlfn.SWITCH(LeadsData[[#This Row],[Funnel Stage Reached]],"Lead",1,"MQL",2,"SQL",3,"Customer",4)</f>
        <v>1</v>
      </c>
      <c r="L628" t="str">
        <f>TEXT(LeadsData[[#This Row],[Signup Date]],"mmm-yyyy")</f>
        <v>May-2024</v>
      </c>
      <c r="M628">
        <f>IF(LeadsData[[#This Row],[Stage Number]]&gt;=2,1,0)</f>
        <v>0</v>
      </c>
      <c r="N628" s="2">
        <f>IF(LeadsData[[#This Row],[Stage Number]]&gt;=3,1,0)</f>
        <v>0</v>
      </c>
      <c r="O628" s="2">
        <f>IF(LeadsData[[#This Row],[Stage Number]]&gt;=4,1,0)</f>
        <v>0</v>
      </c>
    </row>
    <row r="629" spans="1:15" x14ac:dyDescent="0.25">
      <c r="A629" t="s">
        <v>669</v>
      </c>
      <c r="B629" s="1">
        <v>45541</v>
      </c>
      <c r="C629" t="s">
        <v>31</v>
      </c>
      <c r="D629" t="s">
        <v>32</v>
      </c>
      <c r="E629" t="s">
        <v>21</v>
      </c>
      <c r="F629" t="s">
        <v>19</v>
      </c>
      <c r="G629" t="s">
        <v>15</v>
      </c>
      <c r="K629" cm="1">
        <f t="array" ref="K629">_xlfn.SWITCH(LeadsData[[#This Row],[Funnel Stage Reached]],"Lead",1,"MQL",2,"SQL",3,"Customer",4)</f>
        <v>1</v>
      </c>
      <c r="L629" t="str">
        <f>TEXT(LeadsData[[#This Row],[Signup Date]],"mmm-yyyy")</f>
        <v>Sep-2024</v>
      </c>
      <c r="M629">
        <f>IF(LeadsData[[#This Row],[Stage Number]]&gt;=2,1,0)</f>
        <v>0</v>
      </c>
      <c r="N629" s="2">
        <f>IF(LeadsData[[#This Row],[Stage Number]]&gt;=3,1,0)</f>
        <v>0</v>
      </c>
      <c r="O629" s="2">
        <f>IF(LeadsData[[#This Row],[Stage Number]]&gt;=4,1,0)</f>
        <v>0</v>
      </c>
    </row>
    <row r="630" spans="1:15" x14ac:dyDescent="0.25">
      <c r="A630" t="s">
        <v>670</v>
      </c>
      <c r="B630" s="1">
        <v>45337</v>
      </c>
      <c r="C630" t="s">
        <v>11</v>
      </c>
      <c r="D630" t="s">
        <v>12</v>
      </c>
      <c r="E630" t="s">
        <v>13</v>
      </c>
      <c r="F630" t="s">
        <v>22</v>
      </c>
      <c r="G630" t="s">
        <v>15</v>
      </c>
      <c r="K630" cm="1">
        <f t="array" ref="K630">_xlfn.SWITCH(LeadsData[[#This Row],[Funnel Stage Reached]],"Lead",1,"MQL",2,"SQL",3,"Customer",4)</f>
        <v>1</v>
      </c>
      <c r="L630" t="str">
        <f>TEXT(LeadsData[[#This Row],[Signup Date]],"mmm-yyyy")</f>
        <v>Feb-2024</v>
      </c>
      <c r="M630">
        <f>IF(LeadsData[[#This Row],[Stage Number]]&gt;=2,1,0)</f>
        <v>0</v>
      </c>
      <c r="N630" s="2">
        <f>IF(LeadsData[[#This Row],[Stage Number]]&gt;=3,1,0)</f>
        <v>0</v>
      </c>
      <c r="O630" s="2">
        <f>IF(LeadsData[[#This Row],[Stage Number]]&gt;=4,1,0)</f>
        <v>0</v>
      </c>
    </row>
    <row r="631" spans="1:15" x14ac:dyDescent="0.25">
      <c r="A631" t="s">
        <v>671</v>
      </c>
      <c r="B631" s="1">
        <v>45431</v>
      </c>
      <c r="C631" t="s">
        <v>46</v>
      </c>
      <c r="D631" t="s">
        <v>56</v>
      </c>
      <c r="E631" t="s">
        <v>13</v>
      </c>
      <c r="F631" t="s">
        <v>22</v>
      </c>
      <c r="G631" t="s">
        <v>15</v>
      </c>
      <c r="K631" cm="1">
        <f t="array" ref="K631">_xlfn.SWITCH(LeadsData[[#This Row],[Funnel Stage Reached]],"Lead",1,"MQL",2,"SQL",3,"Customer",4)</f>
        <v>1</v>
      </c>
      <c r="L631" t="str">
        <f>TEXT(LeadsData[[#This Row],[Signup Date]],"mmm-yyyy")</f>
        <v>May-2024</v>
      </c>
      <c r="M631">
        <f>IF(LeadsData[[#This Row],[Stage Number]]&gt;=2,1,0)</f>
        <v>0</v>
      </c>
      <c r="N631" s="2">
        <f>IF(LeadsData[[#This Row],[Stage Number]]&gt;=3,1,0)</f>
        <v>0</v>
      </c>
      <c r="O631" s="2">
        <f>IF(LeadsData[[#This Row],[Stage Number]]&gt;=4,1,0)</f>
        <v>0</v>
      </c>
    </row>
    <row r="632" spans="1:15" x14ac:dyDescent="0.25">
      <c r="A632" t="s">
        <v>672</v>
      </c>
      <c r="B632" s="1">
        <v>45581</v>
      </c>
      <c r="C632" t="s">
        <v>31</v>
      </c>
      <c r="D632" t="s">
        <v>32</v>
      </c>
      <c r="E632" t="s">
        <v>13</v>
      </c>
      <c r="F632" t="s">
        <v>19</v>
      </c>
      <c r="G632" t="s">
        <v>23</v>
      </c>
      <c r="K632" cm="1">
        <f t="array" ref="K632">_xlfn.SWITCH(LeadsData[[#This Row],[Funnel Stage Reached]],"Lead",1,"MQL",2,"SQL",3,"Customer",4)</f>
        <v>2</v>
      </c>
      <c r="L632" t="str">
        <f>TEXT(LeadsData[[#This Row],[Signup Date]],"mmm-yyyy")</f>
        <v>Oct-2024</v>
      </c>
      <c r="M632">
        <f>IF(LeadsData[[#This Row],[Stage Number]]&gt;=2,1,0)</f>
        <v>1</v>
      </c>
      <c r="N632" s="2">
        <f>IF(LeadsData[[#This Row],[Stage Number]]&gt;=3,1,0)</f>
        <v>0</v>
      </c>
      <c r="O632" s="2">
        <f>IF(LeadsData[[#This Row],[Stage Number]]&gt;=4,1,0)</f>
        <v>0</v>
      </c>
    </row>
    <row r="633" spans="1:15" x14ac:dyDescent="0.25">
      <c r="A633" t="s">
        <v>673</v>
      </c>
      <c r="B633" s="1">
        <v>45637</v>
      </c>
      <c r="C633" t="s">
        <v>36</v>
      </c>
      <c r="D633" t="s">
        <v>37</v>
      </c>
      <c r="E633" t="s">
        <v>21</v>
      </c>
      <c r="F633" t="s">
        <v>19</v>
      </c>
      <c r="G633" t="s">
        <v>15</v>
      </c>
      <c r="K633" cm="1">
        <f t="array" ref="K633">_xlfn.SWITCH(LeadsData[[#This Row],[Funnel Stage Reached]],"Lead",1,"MQL",2,"SQL",3,"Customer",4)</f>
        <v>1</v>
      </c>
      <c r="L633" t="str">
        <f>TEXT(LeadsData[[#This Row],[Signup Date]],"mmm-yyyy")</f>
        <v>Dec-2024</v>
      </c>
      <c r="M633">
        <f>IF(LeadsData[[#This Row],[Stage Number]]&gt;=2,1,0)</f>
        <v>0</v>
      </c>
      <c r="N633" s="2">
        <f>IF(LeadsData[[#This Row],[Stage Number]]&gt;=3,1,0)</f>
        <v>0</v>
      </c>
      <c r="O633" s="2">
        <f>IF(LeadsData[[#This Row],[Stage Number]]&gt;=4,1,0)</f>
        <v>0</v>
      </c>
    </row>
    <row r="634" spans="1:15" x14ac:dyDescent="0.25">
      <c r="A634" t="s">
        <v>674</v>
      </c>
      <c r="B634" s="1">
        <v>45408</v>
      </c>
      <c r="C634" t="s">
        <v>36</v>
      </c>
      <c r="D634" t="s">
        <v>50</v>
      </c>
      <c r="E634" t="s">
        <v>13</v>
      </c>
      <c r="F634" t="s">
        <v>22</v>
      </c>
      <c r="G634" t="s">
        <v>42</v>
      </c>
      <c r="H634">
        <v>66</v>
      </c>
      <c r="I634" t="s">
        <v>43</v>
      </c>
      <c r="J634">
        <v>508.87</v>
      </c>
      <c r="K634" cm="1">
        <f t="array" ref="K634">_xlfn.SWITCH(LeadsData[[#This Row],[Funnel Stage Reached]],"Lead",1,"MQL",2,"SQL",3,"Customer",4)</f>
        <v>4</v>
      </c>
      <c r="L634" t="str">
        <f>TEXT(LeadsData[[#This Row],[Signup Date]],"mmm-yyyy")</f>
        <v>Apr-2024</v>
      </c>
      <c r="M634">
        <f>IF(LeadsData[[#This Row],[Stage Number]]&gt;=2,1,0)</f>
        <v>1</v>
      </c>
      <c r="N634" s="2">
        <f>IF(LeadsData[[#This Row],[Stage Number]]&gt;=3,1,0)</f>
        <v>1</v>
      </c>
      <c r="O634" s="2">
        <f>IF(LeadsData[[#This Row],[Stage Number]]&gt;=4,1,0)</f>
        <v>1</v>
      </c>
    </row>
    <row r="635" spans="1:15" x14ac:dyDescent="0.25">
      <c r="A635" t="s">
        <v>675</v>
      </c>
      <c r="B635" s="1">
        <v>45505</v>
      </c>
      <c r="C635" t="s">
        <v>11</v>
      </c>
      <c r="D635" t="s">
        <v>79</v>
      </c>
      <c r="E635" t="s">
        <v>13</v>
      </c>
      <c r="F635" t="s">
        <v>19</v>
      </c>
      <c r="G635" t="s">
        <v>23</v>
      </c>
      <c r="K635" cm="1">
        <f t="array" ref="K635">_xlfn.SWITCH(LeadsData[[#This Row],[Funnel Stage Reached]],"Lead",1,"MQL",2,"SQL",3,"Customer",4)</f>
        <v>2</v>
      </c>
      <c r="L635" t="str">
        <f>TEXT(LeadsData[[#This Row],[Signup Date]],"mmm-yyyy")</f>
        <v>Aug-2024</v>
      </c>
      <c r="M635">
        <f>IF(LeadsData[[#This Row],[Stage Number]]&gt;=2,1,0)</f>
        <v>1</v>
      </c>
      <c r="N635" s="2">
        <f>IF(LeadsData[[#This Row],[Stage Number]]&gt;=3,1,0)</f>
        <v>0</v>
      </c>
      <c r="O635" s="2">
        <f>IF(LeadsData[[#This Row],[Stage Number]]&gt;=4,1,0)</f>
        <v>0</v>
      </c>
    </row>
    <row r="636" spans="1:15" x14ac:dyDescent="0.25">
      <c r="A636" t="s">
        <v>676</v>
      </c>
      <c r="B636" s="1">
        <v>45373</v>
      </c>
      <c r="C636" t="s">
        <v>31</v>
      </c>
      <c r="D636" t="s">
        <v>34</v>
      </c>
      <c r="E636" t="s">
        <v>13</v>
      </c>
      <c r="F636" t="s">
        <v>28</v>
      </c>
      <c r="G636" t="s">
        <v>29</v>
      </c>
      <c r="K636" cm="1">
        <f t="array" ref="K636">_xlfn.SWITCH(LeadsData[[#This Row],[Funnel Stage Reached]],"Lead",1,"MQL",2,"SQL",3,"Customer",4)</f>
        <v>3</v>
      </c>
      <c r="L636" t="str">
        <f>TEXT(LeadsData[[#This Row],[Signup Date]],"mmm-yyyy")</f>
        <v>Mar-2024</v>
      </c>
      <c r="M636">
        <f>IF(LeadsData[[#This Row],[Stage Number]]&gt;=2,1,0)</f>
        <v>1</v>
      </c>
      <c r="N636" s="2">
        <f>IF(LeadsData[[#This Row],[Stage Number]]&gt;=3,1,0)</f>
        <v>1</v>
      </c>
      <c r="O636" s="2">
        <f>IF(LeadsData[[#This Row],[Stage Number]]&gt;=4,1,0)</f>
        <v>0</v>
      </c>
    </row>
    <row r="637" spans="1:15" x14ac:dyDescent="0.25">
      <c r="A637" t="s">
        <v>677</v>
      </c>
      <c r="B637" s="1">
        <v>45592</v>
      </c>
      <c r="C637" t="s">
        <v>31</v>
      </c>
      <c r="D637" t="s">
        <v>34</v>
      </c>
      <c r="E637" t="s">
        <v>13</v>
      </c>
      <c r="F637" t="s">
        <v>22</v>
      </c>
      <c r="G637" t="s">
        <v>15</v>
      </c>
      <c r="K637" cm="1">
        <f t="array" ref="K637">_xlfn.SWITCH(LeadsData[[#This Row],[Funnel Stage Reached]],"Lead",1,"MQL",2,"SQL",3,"Customer",4)</f>
        <v>1</v>
      </c>
      <c r="L637" t="str">
        <f>TEXT(LeadsData[[#This Row],[Signup Date]],"mmm-yyyy")</f>
        <v>Oct-2024</v>
      </c>
      <c r="M637">
        <f>IF(LeadsData[[#This Row],[Stage Number]]&gt;=2,1,0)</f>
        <v>0</v>
      </c>
      <c r="N637" s="2">
        <f>IF(LeadsData[[#This Row],[Stage Number]]&gt;=3,1,0)</f>
        <v>0</v>
      </c>
      <c r="O637" s="2">
        <f>IF(LeadsData[[#This Row],[Stage Number]]&gt;=4,1,0)</f>
        <v>0</v>
      </c>
    </row>
    <row r="638" spans="1:15" x14ac:dyDescent="0.25">
      <c r="A638" t="s">
        <v>678</v>
      </c>
      <c r="B638" s="1">
        <v>45306</v>
      </c>
      <c r="C638" t="s">
        <v>17</v>
      </c>
      <c r="D638" t="s">
        <v>53</v>
      </c>
      <c r="E638" t="s">
        <v>21</v>
      </c>
      <c r="F638" t="s">
        <v>14</v>
      </c>
      <c r="G638" t="s">
        <v>15</v>
      </c>
      <c r="K638" cm="1">
        <f t="array" ref="K638">_xlfn.SWITCH(LeadsData[[#This Row],[Funnel Stage Reached]],"Lead",1,"MQL",2,"SQL",3,"Customer",4)</f>
        <v>1</v>
      </c>
      <c r="L638" t="str">
        <f>TEXT(LeadsData[[#This Row],[Signup Date]],"mmm-yyyy")</f>
        <v>Jan-2024</v>
      </c>
      <c r="M638">
        <f>IF(LeadsData[[#This Row],[Stage Number]]&gt;=2,1,0)</f>
        <v>0</v>
      </c>
      <c r="N638" s="2">
        <f>IF(LeadsData[[#This Row],[Stage Number]]&gt;=3,1,0)</f>
        <v>0</v>
      </c>
      <c r="O638" s="2">
        <f>IF(LeadsData[[#This Row],[Stage Number]]&gt;=4,1,0)</f>
        <v>0</v>
      </c>
    </row>
    <row r="639" spans="1:15" x14ac:dyDescent="0.25">
      <c r="A639" t="s">
        <v>679</v>
      </c>
      <c r="B639" s="1">
        <v>45495</v>
      </c>
      <c r="C639" t="s">
        <v>17</v>
      </c>
      <c r="D639" t="s">
        <v>18</v>
      </c>
      <c r="E639" t="s">
        <v>21</v>
      </c>
      <c r="F639" t="s">
        <v>28</v>
      </c>
      <c r="G639" t="s">
        <v>23</v>
      </c>
      <c r="K639" cm="1">
        <f t="array" ref="K639">_xlfn.SWITCH(LeadsData[[#This Row],[Funnel Stage Reached]],"Lead",1,"MQL",2,"SQL",3,"Customer",4)</f>
        <v>2</v>
      </c>
      <c r="L639" t="str">
        <f>TEXT(LeadsData[[#This Row],[Signup Date]],"mmm-yyyy")</f>
        <v>Jul-2024</v>
      </c>
      <c r="M639">
        <f>IF(LeadsData[[#This Row],[Stage Number]]&gt;=2,1,0)</f>
        <v>1</v>
      </c>
      <c r="N639" s="2">
        <f>IF(LeadsData[[#This Row],[Stage Number]]&gt;=3,1,0)</f>
        <v>0</v>
      </c>
      <c r="O639" s="2">
        <f>IF(LeadsData[[#This Row],[Stage Number]]&gt;=4,1,0)</f>
        <v>0</v>
      </c>
    </row>
    <row r="640" spans="1:15" x14ac:dyDescent="0.25">
      <c r="A640" t="s">
        <v>680</v>
      </c>
      <c r="B640" s="1">
        <v>45615</v>
      </c>
      <c r="C640" t="s">
        <v>17</v>
      </c>
      <c r="D640" t="s">
        <v>53</v>
      </c>
      <c r="E640" t="s">
        <v>48</v>
      </c>
      <c r="F640" t="s">
        <v>14</v>
      </c>
      <c r="G640" t="s">
        <v>15</v>
      </c>
      <c r="K640" cm="1">
        <f t="array" ref="K640">_xlfn.SWITCH(LeadsData[[#This Row],[Funnel Stage Reached]],"Lead",1,"MQL",2,"SQL",3,"Customer",4)</f>
        <v>1</v>
      </c>
      <c r="L640" t="str">
        <f>TEXT(LeadsData[[#This Row],[Signup Date]],"mmm-yyyy")</f>
        <v>Nov-2024</v>
      </c>
      <c r="M640">
        <f>IF(LeadsData[[#This Row],[Stage Number]]&gt;=2,1,0)</f>
        <v>0</v>
      </c>
      <c r="N640" s="2">
        <f>IF(LeadsData[[#This Row],[Stage Number]]&gt;=3,1,0)</f>
        <v>0</v>
      </c>
      <c r="O640" s="2">
        <f>IF(LeadsData[[#This Row],[Stage Number]]&gt;=4,1,0)</f>
        <v>0</v>
      </c>
    </row>
    <row r="641" spans="1:15" x14ac:dyDescent="0.25">
      <c r="A641" t="s">
        <v>681</v>
      </c>
      <c r="B641" s="1">
        <v>45405</v>
      </c>
      <c r="C641" t="s">
        <v>31</v>
      </c>
      <c r="D641" t="s">
        <v>34</v>
      </c>
      <c r="E641" t="s">
        <v>21</v>
      </c>
      <c r="F641" t="s">
        <v>19</v>
      </c>
      <c r="G641" t="s">
        <v>15</v>
      </c>
      <c r="K641" cm="1">
        <f t="array" ref="K641">_xlfn.SWITCH(LeadsData[[#This Row],[Funnel Stage Reached]],"Lead",1,"MQL",2,"SQL",3,"Customer",4)</f>
        <v>1</v>
      </c>
      <c r="L641" t="str">
        <f>TEXT(LeadsData[[#This Row],[Signup Date]],"mmm-yyyy")</f>
        <v>Apr-2024</v>
      </c>
      <c r="M641">
        <f>IF(LeadsData[[#This Row],[Stage Number]]&gt;=2,1,0)</f>
        <v>0</v>
      </c>
      <c r="N641" s="2">
        <f>IF(LeadsData[[#This Row],[Stage Number]]&gt;=3,1,0)</f>
        <v>0</v>
      </c>
      <c r="O641" s="2">
        <f>IF(LeadsData[[#This Row],[Stage Number]]&gt;=4,1,0)</f>
        <v>0</v>
      </c>
    </row>
    <row r="642" spans="1:15" x14ac:dyDescent="0.25">
      <c r="A642" t="s">
        <v>682</v>
      </c>
      <c r="B642" s="1">
        <v>45599</v>
      </c>
      <c r="C642" t="s">
        <v>31</v>
      </c>
      <c r="D642" t="s">
        <v>34</v>
      </c>
      <c r="E642" t="s">
        <v>21</v>
      </c>
      <c r="F642" t="s">
        <v>22</v>
      </c>
      <c r="G642" t="s">
        <v>42</v>
      </c>
      <c r="H642">
        <v>35</v>
      </c>
      <c r="I642" t="s">
        <v>43</v>
      </c>
      <c r="J642">
        <v>891.35</v>
      </c>
      <c r="K642" cm="1">
        <f t="array" ref="K642">_xlfn.SWITCH(LeadsData[[#This Row],[Funnel Stage Reached]],"Lead",1,"MQL",2,"SQL",3,"Customer",4)</f>
        <v>4</v>
      </c>
      <c r="L642" t="str">
        <f>TEXT(LeadsData[[#This Row],[Signup Date]],"mmm-yyyy")</f>
        <v>Nov-2024</v>
      </c>
      <c r="M642">
        <f>IF(LeadsData[[#This Row],[Stage Number]]&gt;=2,1,0)</f>
        <v>1</v>
      </c>
      <c r="N642" s="2">
        <f>IF(LeadsData[[#This Row],[Stage Number]]&gt;=3,1,0)</f>
        <v>1</v>
      </c>
      <c r="O642" s="2">
        <f>IF(LeadsData[[#This Row],[Stage Number]]&gt;=4,1,0)</f>
        <v>1</v>
      </c>
    </row>
    <row r="643" spans="1:15" x14ac:dyDescent="0.25">
      <c r="A643" t="s">
        <v>683</v>
      </c>
      <c r="B643" s="1">
        <v>45368</v>
      </c>
      <c r="C643" t="s">
        <v>11</v>
      </c>
      <c r="D643" t="s">
        <v>12</v>
      </c>
      <c r="E643" t="s">
        <v>13</v>
      </c>
      <c r="F643" t="s">
        <v>19</v>
      </c>
      <c r="G643" t="s">
        <v>15</v>
      </c>
      <c r="K643" cm="1">
        <f t="array" ref="K643">_xlfn.SWITCH(LeadsData[[#This Row],[Funnel Stage Reached]],"Lead",1,"MQL",2,"SQL",3,"Customer",4)</f>
        <v>1</v>
      </c>
      <c r="L643" t="str">
        <f>TEXT(LeadsData[[#This Row],[Signup Date]],"mmm-yyyy")</f>
        <v>Mar-2024</v>
      </c>
      <c r="M643">
        <f>IF(LeadsData[[#This Row],[Stage Number]]&gt;=2,1,0)</f>
        <v>0</v>
      </c>
      <c r="N643" s="2">
        <f>IF(LeadsData[[#This Row],[Stage Number]]&gt;=3,1,0)</f>
        <v>0</v>
      </c>
      <c r="O643" s="2">
        <f>IF(LeadsData[[#This Row],[Stage Number]]&gt;=4,1,0)</f>
        <v>0</v>
      </c>
    </row>
    <row r="644" spans="1:15" x14ac:dyDescent="0.25">
      <c r="A644" t="s">
        <v>684</v>
      </c>
      <c r="B644" s="1">
        <v>45589</v>
      </c>
      <c r="C644" t="s">
        <v>36</v>
      </c>
      <c r="D644" t="s">
        <v>50</v>
      </c>
      <c r="E644" t="s">
        <v>21</v>
      </c>
      <c r="F644" t="s">
        <v>19</v>
      </c>
      <c r="G644" t="s">
        <v>42</v>
      </c>
      <c r="H644">
        <v>50</v>
      </c>
      <c r="I644" t="s">
        <v>43</v>
      </c>
      <c r="J644">
        <v>980.38</v>
      </c>
      <c r="K644" cm="1">
        <f t="array" ref="K644">_xlfn.SWITCH(LeadsData[[#This Row],[Funnel Stage Reached]],"Lead",1,"MQL",2,"SQL",3,"Customer",4)</f>
        <v>4</v>
      </c>
      <c r="L644" t="str">
        <f>TEXT(LeadsData[[#This Row],[Signup Date]],"mmm-yyyy")</f>
        <v>Oct-2024</v>
      </c>
      <c r="M644">
        <f>IF(LeadsData[[#This Row],[Stage Number]]&gt;=2,1,0)</f>
        <v>1</v>
      </c>
      <c r="N644" s="2">
        <f>IF(LeadsData[[#This Row],[Stage Number]]&gt;=3,1,0)</f>
        <v>1</v>
      </c>
      <c r="O644" s="2">
        <f>IF(LeadsData[[#This Row],[Stage Number]]&gt;=4,1,0)</f>
        <v>1</v>
      </c>
    </row>
    <row r="645" spans="1:15" x14ac:dyDescent="0.25">
      <c r="A645" t="s">
        <v>685</v>
      </c>
      <c r="B645" s="1">
        <v>45487</v>
      </c>
      <c r="C645" t="s">
        <v>31</v>
      </c>
      <c r="D645" t="s">
        <v>34</v>
      </c>
      <c r="E645" t="s">
        <v>13</v>
      </c>
      <c r="F645" t="s">
        <v>14</v>
      </c>
      <c r="G645" t="s">
        <v>15</v>
      </c>
      <c r="K645" cm="1">
        <f t="array" ref="K645">_xlfn.SWITCH(LeadsData[[#This Row],[Funnel Stage Reached]],"Lead",1,"MQL",2,"SQL",3,"Customer",4)</f>
        <v>1</v>
      </c>
      <c r="L645" t="str">
        <f>TEXT(LeadsData[[#This Row],[Signup Date]],"mmm-yyyy")</f>
        <v>Jul-2024</v>
      </c>
      <c r="M645">
        <f>IF(LeadsData[[#This Row],[Stage Number]]&gt;=2,1,0)</f>
        <v>0</v>
      </c>
      <c r="N645" s="2">
        <f>IF(LeadsData[[#This Row],[Stage Number]]&gt;=3,1,0)</f>
        <v>0</v>
      </c>
      <c r="O645" s="2">
        <f>IF(LeadsData[[#This Row],[Stage Number]]&gt;=4,1,0)</f>
        <v>0</v>
      </c>
    </row>
    <row r="646" spans="1:15" x14ac:dyDescent="0.25">
      <c r="A646" t="s">
        <v>686</v>
      </c>
      <c r="B646" s="1">
        <v>45476</v>
      </c>
      <c r="C646" t="s">
        <v>11</v>
      </c>
      <c r="D646" t="s">
        <v>68</v>
      </c>
      <c r="E646" t="s">
        <v>13</v>
      </c>
      <c r="F646" t="s">
        <v>19</v>
      </c>
      <c r="G646" t="s">
        <v>15</v>
      </c>
      <c r="K646" cm="1">
        <f t="array" ref="K646">_xlfn.SWITCH(LeadsData[[#This Row],[Funnel Stage Reached]],"Lead",1,"MQL",2,"SQL",3,"Customer",4)</f>
        <v>1</v>
      </c>
      <c r="L646" t="str">
        <f>TEXT(LeadsData[[#This Row],[Signup Date]],"mmm-yyyy")</f>
        <v>Jul-2024</v>
      </c>
      <c r="M646">
        <f>IF(LeadsData[[#This Row],[Stage Number]]&gt;=2,1,0)</f>
        <v>0</v>
      </c>
      <c r="N646" s="2">
        <f>IF(LeadsData[[#This Row],[Stage Number]]&gt;=3,1,0)</f>
        <v>0</v>
      </c>
      <c r="O646" s="2">
        <f>IF(LeadsData[[#This Row],[Stage Number]]&gt;=4,1,0)</f>
        <v>0</v>
      </c>
    </row>
    <row r="647" spans="1:15" x14ac:dyDescent="0.25">
      <c r="A647" t="s">
        <v>687</v>
      </c>
      <c r="B647" s="1">
        <v>45578</v>
      </c>
      <c r="C647" t="s">
        <v>11</v>
      </c>
      <c r="D647" t="s">
        <v>12</v>
      </c>
      <c r="E647" t="s">
        <v>21</v>
      </c>
      <c r="F647" t="s">
        <v>28</v>
      </c>
      <c r="G647" t="s">
        <v>15</v>
      </c>
      <c r="K647" cm="1">
        <f t="array" ref="K647">_xlfn.SWITCH(LeadsData[[#This Row],[Funnel Stage Reached]],"Lead",1,"MQL",2,"SQL",3,"Customer",4)</f>
        <v>1</v>
      </c>
      <c r="L647" t="str">
        <f>TEXT(LeadsData[[#This Row],[Signup Date]],"mmm-yyyy")</f>
        <v>Oct-2024</v>
      </c>
      <c r="M647">
        <f>IF(LeadsData[[#This Row],[Stage Number]]&gt;=2,1,0)</f>
        <v>0</v>
      </c>
      <c r="N647" s="2">
        <f>IF(LeadsData[[#This Row],[Stage Number]]&gt;=3,1,0)</f>
        <v>0</v>
      </c>
      <c r="O647" s="2">
        <f>IF(LeadsData[[#This Row],[Stage Number]]&gt;=4,1,0)</f>
        <v>0</v>
      </c>
    </row>
    <row r="648" spans="1:15" x14ac:dyDescent="0.25">
      <c r="A648" t="s">
        <v>688</v>
      </c>
      <c r="B648" s="1">
        <v>45471</v>
      </c>
      <c r="C648" t="s">
        <v>11</v>
      </c>
      <c r="D648" t="s">
        <v>79</v>
      </c>
      <c r="E648" t="s">
        <v>48</v>
      </c>
      <c r="F648" t="s">
        <v>14</v>
      </c>
      <c r="G648" t="s">
        <v>23</v>
      </c>
      <c r="K648" cm="1">
        <f t="array" ref="K648">_xlfn.SWITCH(LeadsData[[#This Row],[Funnel Stage Reached]],"Lead",1,"MQL",2,"SQL",3,"Customer",4)</f>
        <v>2</v>
      </c>
      <c r="L648" t="str">
        <f>TEXT(LeadsData[[#This Row],[Signup Date]],"mmm-yyyy")</f>
        <v>Jun-2024</v>
      </c>
      <c r="M648">
        <f>IF(LeadsData[[#This Row],[Stage Number]]&gt;=2,1,0)</f>
        <v>1</v>
      </c>
      <c r="N648" s="2">
        <f>IF(LeadsData[[#This Row],[Stage Number]]&gt;=3,1,0)</f>
        <v>0</v>
      </c>
      <c r="O648" s="2">
        <f>IF(LeadsData[[#This Row],[Stage Number]]&gt;=4,1,0)</f>
        <v>0</v>
      </c>
    </row>
    <row r="649" spans="1:15" x14ac:dyDescent="0.25">
      <c r="A649" t="s">
        <v>689</v>
      </c>
      <c r="B649" s="1">
        <v>45415</v>
      </c>
      <c r="C649" t="s">
        <v>31</v>
      </c>
      <c r="D649" t="s">
        <v>32</v>
      </c>
      <c r="E649" t="s">
        <v>13</v>
      </c>
      <c r="F649" t="s">
        <v>19</v>
      </c>
      <c r="G649" t="s">
        <v>29</v>
      </c>
      <c r="K649" cm="1">
        <f t="array" ref="K649">_xlfn.SWITCH(LeadsData[[#This Row],[Funnel Stage Reached]],"Lead",1,"MQL",2,"SQL",3,"Customer",4)</f>
        <v>3</v>
      </c>
      <c r="L649" t="str">
        <f>TEXT(LeadsData[[#This Row],[Signup Date]],"mmm-yyyy")</f>
        <v>May-2024</v>
      </c>
      <c r="M649">
        <f>IF(LeadsData[[#This Row],[Stage Number]]&gt;=2,1,0)</f>
        <v>1</v>
      </c>
      <c r="N649" s="2">
        <f>IF(LeadsData[[#This Row],[Stage Number]]&gt;=3,1,0)</f>
        <v>1</v>
      </c>
      <c r="O649" s="2">
        <f>IF(LeadsData[[#This Row],[Stage Number]]&gt;=4,1,0)</f>
        <v>0</v>
      </c>
    </row>
    <row r="650" spans="1:15" x14ac:dyDescent="0.25">
      <c r="A650" t="s">
        <v>690</v>
      </c>
      <c r="B650" s="1">
        <v>45466</v>
      </c>
      <c r="C650" t="s">
        <v>46</v>
      </c>
      <c r="D650" t="s">
        <v>47</v>
      </c>
      <c r="E650" t="s">
        <v>13</v>
      </c>
      <c r="F650" t="s">
        <v>14</v>
      </c>
      <c r="G650" t="s">
        <v>15</v>
      </c>
      <c r="K650" cm="1">
        <f t="array" ref="K650">_xlfn.SWITCH(LeadsData[[#This Row],[Funnel Stage Reached]],"Lead",1,"MQL",2,"SQL",3,"Customer",4)</f>
        <v>1</v>
      </c>
      <c r="L650" t="str">
        <f>TEXT(LeadsData[[#This Row],[Signup Date]],"mmm-yyyy")</f>
        <v>Jun-2024</v>
      </c>
      <c r="M650">
        <f>IF(LeadsData[[#This Row],[Stage Number]]&gt;=2,1,0)</f>
        <v>0</v>
      </c>
      <c r="N650" s="2">
        <f>IF(LeadsData[[#This Row],[Stage Number]]&gt;=3,1,0)</f>
        <v>0</v>
      </c>
      <c r="O650" s="2">
        <f>IF(LeadsData[[#This Row],[Stage Number]]&gt;=4,1,0)</f>
        <v>0</v>
      </c>
    </row>
    <row r="651" spans="1:15" x14ac:dyDescent="0.25">
      <c r="A651" t="s">
        <v>691</v>
      </c>
      <c r="B651" s="1">
        <v>45593</v>
      </c>
      <c r="C651" t="s">
        <v>11</v>
      </c>
      <c r="D651" t="s">
        <v>12</v>
      </c>
      <c r="E651" t="s">
        <v>13</v>
      </c>
      <c r="F651" t="s">
        <v>28</v>
      </c>
      <c r="G651" t="s">
        <v>15</v>
      </c>
      <c r="K651" cm="1">
        <f t="array" ref="K651">_xlfn.SWITCH(LeadsData[[#This Row],[Funnel Stage Reached]],"Lead",1,"MQL",2,"SQL",3,"Customer",4)</f>
        <v>1</v>
      </c>
      <c r="L651" t="str">
        <f>TEXT(LeadsData[[#This Row],[Signup Date]],"mmm-yyyy")</f>
        <v>Oct-2024</v>
      </c>
      <c r="M651">
        <f>IF(LeadsData[[#This Row],[Stage Number]]&gt;=2,1,0)</f>
        <v>0</v>
      </c>
      <c r="N651" s="2">
        <f>IF(LeadsData[[#This Row],[Stage Number]]&gt;=3,1,0)</f>
        <v>0</v>
      </c>
      <c r="O651" s="2">
        <f>IF(LeadsData[[#This Row],[Stage Number]]&gt;=4,1,0)</f>
        <v>0</v>
      </c>
    </row>
    <row r="652" spans="1:15" x14ac:dyDescent="0.25">
      <c r="A652" t="s">
        <v>692</v>
      </c>
      <c r="B652" s="1">
        <v>45467</v>
      </c>
      <c r="C652" t="s">
        <v>11</v>
      </c>
      <c r="D652" t="s">
        <v>79</v>
      </c>
      <c r="E652" t="s">
        <v>13</v>
      </c>
      <c r="F652" t="s">
        <v>28</v>
      </c>
      <c r="G652" t="s">
        <v>15</v>
      </c>
      <c r="K652" cm="1">
        <f t="array" ref="K652">_xlfn.SWITCH(LeadsData[[#This Row],[Funnel Stage Reached]],"Lead",1,"MQL",2,"SQL",3,"Customer",4)</f>
        <v>1</v>
      </c>
      <c r="L652" t="str">
        <f>TEXT(LeadsData[[#This Row],[Signup Date]],"mmm-yyyy")</f>
        <v>Jun-2024</v>
      </c>
      <c r="M652">
        <f>IF(LeadsData[[#This Row],[Stage Number]]&gt;=2,1,0)</f>
        <v>0</v>
      </c>
      <c r="N652" s="2">
        <f>IF(LeadsData[[#This Row],[Stage Number]]&gt;=3,1,0)</f>
        <v>0</v>
      </c>
      <c r="O652" s="2">
        <f>IF(LeadsData[[#This Row],[Stage Number]]&gt;=4,1,0)</f>
        <v>0</v>
      </c>
    </row>
    <row r="653" spans="1:15" x14ac:dyDescent="0.25">
      <c r="A653" t="s">
        <v>693</v>
      </c>
      <c r="B653" s="1">
        <v>45519</v>
      </c>
      <c r="C653" t="s">
        <v>36</v>
      </c>
      <c r="D653" t="s">
        <v>37</v>
      </c>
      <c r="E653" t="s">
        <v>21</v>
      </c>
      <c r="F653" t="s">
        <v>22</v>
      </c>
      <c r="G653" t="s">
        <v>29</v>
      </c>
      <c r="K653" cm="1">
        <f t="array" ref="K653">_xlfn.SWITCH(LeadsData[[#This Row],[Funnel Stage Reached]],"Lead",1,"MQL",2,"SQL",3,"Customer",4)</f>
        <v>3</v>
      </c>
      <c r="L653" t="str">
        <f>TEXT(LeadsData[[#This Row],[Signup Date]],"mmm-yyyy")</f>
        <v>Aug-2024</v>
      </c>
      <c r="M653">
        <f>IF(LeadsData[[#This Row],[Stage Number]]&gt;=2,1,0)</f>
        <v>1</v>
      </c>
      <c r="N653" s="2">
        <f>IF(LeadsData[[#This Row],[Stage Number]]&gt;=3,1,0)</f>
        <v>1</v>
      </c>
      <c r="O653" s="2">
        <f>IF(LeadsData[[#This Row],[Stage Number]]&gt;=4,1,0)</f>
        <v>0</v>
      </c>
    </row>
    <row r="654" spans="1:15" x14ac:dyDescent="0.25">
      <c r="A654" t="s">
        <v>694</v>
      </c>
      <c r="B654" s="1">
        <v>45379</v>
      </c>
      <c r="C654" t="s">
        <v>46</v>
      </c>
      <c r="D654" t="s">
        <v>47</v>
      </c>
      <c r="E654" t="s">
        <v>13</v>
      </c>
      <c r="F654" t="s">
        <v>19</v>
      </c>
      <c r="G654" t="s">
        <v>23</v>
      </c>
      <c r="K654" cm="1">
        <f t="array" ref="K654">_xlfn.SWITCH(LeadsData[[#This Row],[Funnel Stage Reached]],"Lead",1,"MQL",2,"SQL",3,"Customer",4)</f>
        <v>2</v>
      </c>
      <c r="L654" t="str">
        <f>TEXT(LeadsData[[#This Row],[Signup Date]],"mmm-yyyy")</f>
        <v>Mar-2024</v>
      </c>
      <c r="M654">
        <f>IF(LeadsData[[#This Row],[Stage Number]]&gt;=2,1,0)</f>
        <v>1</v>
      </c>
      <c r="N654" s="2">
        <f>IF(LeadsData[[#This Row],[Stage Number]]&gt;=3,1,0)</f>
        <v>0</v>
      </c>
      <c r="O654" s="2">
        <f>IF(LeadsData[[#This Row],[Stage Number]]&gt;=4,1,0)</f>
        <v>0</v>
      </c>
    </row>
    <row r="655" spans="1:15" x14ac:dyDescent="0.25">
      <c r="A655" t="s">
        <v>695</v>
      </c>
      <c r="B655" s="1">
        <v>45619</v>
      </c>
      <c r="C655" t="s">
        <v>36</v>
      </c>
      <c r="D655" t="s">
        <v>50</v>
      </c>
      <c r="E655" t="s">
        <v>13</v>
      </c>
      <c r="F655" t="s">
        <v>19</v>
      </c>
      <c r="G655" t="s">
        <v>15</v>
      </c>
      <c r="K655" cm="1">
        <f t="array" ref="K655">_xlfn.SWITCH(LeadsData[[#This Row],[Funnel Stage Reached]],"Lead",1,"MQL",2,"SQL",3,"Customer",4)</f>
        <v>1</v>
      </c>
      <c r="L655" t="str">
        <f>TEXT(LeadsData[[#This Row],[Signup Date]],"mmm-yyyy")</f>
        <v>Nov-2024</v>
      </c>
      <c r="M655">
        <f>IF(LeadsData[[#This Row],[Stage Number]]&gt;=2,1,0)</f>
        <v>0</v>
      </c>
      <c r="N655" s="2">
        <f>IF(LeadsData[[#This Row],[Stage Number]]&gt;=3,1,0)</f>
        <v>0</v>
      </c>
      <c r="O655" s="2">
        <f>IF(LeadsData[[#This Row],[Stage Number]]&gt;=4,1,0)</f>
        <v>0</v>
      </c>
    </row>
    <row r="656" spans="1:15" x14ac:dyDescent="0.25">
      <c r="A656" t="s">
        <v>696</v>
      </c>
      <c r="B656" s="1">
        <v>45447</v>
      </c>
      <c r="C656" t="s">
        <v>36</v>
      </c>
      <c r="D656" t="s">
        <v>37</v>
      </c>
      <c r="E656" t="s">
        <v>13</v>
      </c>
      <c r="F656" t="s">
        <v>22</v>
      </c>
      <c r="G656" t="s">
        <v>29</v>
      </c>
      <c r="K656" cm="1">
        <f t="array" ref="K656">_xlfn.SWITCH(LeadsData[[#This Row],[Funnel Stage Reached]],"Lead",1,"MQL",2,"SQL",3,"Customer",4)</f>
        <v>3</v>
      </c>
      <c r="L656" t="str">
        <f>TEXT(LeadsData[[#This Row],[Signup Date]],"mmm-yyyy")</f>
        <v>Jun-2024</v>
      </c>
      <c r="M656">
        <f>IF(LeadsData[[#This Row],[Stage Number]]&gt;=2,1,0)</f>
        <v>1</v>
      </c>
      <c r="N656" s="2">
        <f>IF(LeadsData[[#This Row],[Stage Number]]&gt;=3,1,0)</f>
        <v>1</v>
      </c>
      <c r="O656" s="2">
        <f>IF(LeadsData[[#This Row],[Stage Number]]&gt;=4,1,0)</f>
        <v>0</v>
      </c>
    </row>
    <row r="657" spans="1:15" x14ac:dyDescent="0.25">
      <c r="A657" t="s">
        <v>697</v>
      </c>
      <c r="B657" s="1">
        <v>45508</v>
      </c>
      <c r="C657" t="s">
        <v>31</v>
      </c>
      <c r="D657" t="s">
        <v>34</v>
      </c>
      <c r="E657" t="s">
        <v>21</v>
      </c>
      <c r="F657" t="s">
        <v>22</v>
      </c>
      <c r="G657" t="s">
        <v>23</v>
      </c>
      <c r="K657" cm="1">
        <f t="array" ref="K657">_xlfn.SWITCH(LeadsData[[#This Row],[Funnel Stage Reached]],"Lead",1,"MQL",2,"SQL",3,"Customer",4)</f>
        <v>2</v>
      </c>
      <c r="L657" t="str">
        <f>TEXT(LeadsData[[#This Row],[Signup Date]],"mmm-yyyy")</f>
        <v>Aug-2024</v>
      </c>
      <c r="M657">
        <f>IF(LeadsData[[#This Row],[Stage Number]]&gt;=2,1,0)</f>
        <v>1</v>
      </c>
      <c r="N657" s="2">
        <f>IF(LeadsData[[#This Row],[Stage Number]]&gt;=3,1,0)</f>
        <v>0</v>
      </c>
      <c r="O657" s="2">
        <f>IF(LeadsData[[#This Row],[Stage Number]]&gt;=4,1,0)</f>
        <v>0</v>
      </c>
    </row>
    <row r="658" spans="1:15" x14ac:dyDescent="0.25">
      <c r="A658" t="s">
        <v>698</v>
      </c>
      <c r="B658" s="1">
        <v>45459</v>
      </c>
      <c r="C658" t="s">
        <v>25</v>
      </c>
      <c r="D658" t="s">
        <v>26</v>
      </c>
      <c r="E658" t="s">
        <v>13</v>
      </c>
      <c r="F658" t="s">
        <v>14</v>
      </c>
      <c r="G658" t="s">
        <v>15</v>
      </c>
      <c r="K658" cm="1">
        <f t="array" ref="K658">_xlfn.SWITCH(LeadsData[[#This Row],[Funnel Stage Reached]],"Lead",1,"MQL",2,"SQL",3,"Customer",4)</f>
        <v>1</v>
      </c>
      <c r="L658" t="str">
        <f>TEXT(LeadsData[[#This Row],[Signup Date]],"mmm-yyyy")</f>
        <v>Jun-2024</v>
      </c>
      <c r="M658">
        <f>IF(LeadsData[[#This Row],[Stage Number]]&gt;=2,1,0)</f>
        <v>0</v>
      </c>
      <c r="N658" s="2">
        <f>IF(LeadsData[[#This Row],[Stage Number]]&gt;=3,1,0)</f>
        <v>0</v>
      </c>
      <c r="O658" s="2">
        <f>IF(LeadsData[[#This Row],[Stage Number]]&gt;=4,1,0)</f>
        <v>0</v>
      </c>
    </row>
    <row r="659" spans="1:15" x14ac:dyDescent="0.25">
      <c r="A659" t="s">
        <v>699</v>
      </c>
      <c r="B659" s="1">
        <v>45317</v>
      </c>
      <c r="C659" t="s">
        <v>36</v>
      </c>
      <c r="D659" t="s">
        <v>37</v>
      </c>
      <c r="E659" t="s">
        <v>21</v>
      </c>
      <c r="F659" t="s">
        <v>19</v>
      </c>
      <c r="G659" t="s">
        <v>29</v>
      </c>
      <c r="K659" cm="1">
        <f t="array" ref="K659">_xlfn.SWITCH(LeadsData[[#This Row],[Funnel Stage Reached]],"Lead",1,"MQL",2,"SQL",3,"Customer",4)</f>
        <v>3</v>
      </c>
      <c r="L659" t="str">
        <f>TEXT(LeadsData[[#This Row],[Signup Date]],"mmm-yyyy")</f>
        <v>Jan-2024</v>
      </c>
      <c r="M659">
        <f>IF(LeadsData[[#This Row],[Stage Number]]&gt;=2,1,0)</f>
        <v>1</v>
      </c>
      <c r="N659" s="2">
        <f>IF(LeadsData[[#This Row],[Stage Number]]&gt;=3,1,0)</f>
        <v>1</v>
      </c>
      <c r="O659" s="2">
        <f>IF(LeadsData[[#This Row],[Stage Number]]&gt;=4,1,0)</f>
        <v>0</v>
      </c>
    </row>
    <row r="660" spans="1:15" x14ac:dyDescent="0.25">
      <c r="A660" t="s">
        <v>700</v>
      </c>
      <c r="B660" s="1">
        <v>45570</v>
      </c>
      <c r="C660" t="s">
        <v>17</v>
      </c>
      <c r="D660" t="s">
        <v>53</v>
      </c>
      <c r="E660" t="s">
        <v>13</v>
      </c>
      <c r="F660" t="s">
        <v>22</v>
      </c>
      <c r="G660" t="s">
        <v>15</v>
      </c>
      <c r="K660" cm="1">
        <f t="array" ref="K660">_xlfn.SWITCH(LeadsData[[#This Row],[Funnel Stage Reached]],"Lead",1,"MQL",2,"SQL",3,"Customer",4)</f>
        <v>1</v>
      </c>
      <c r="L660" t="str">
        <f>TEXT(LeadsData[[#This Row],[Signup Date]],"mmm-yyyy")</f>
        <v>Oct-2024</v>
      </c>
      <c r="M660">
        <f>IF(LeadsData[[#This Row],[Stage Number]]&gt;=2,1,0)</f>
        <v>0</v>
      </c>
      <c r="N660" s="2">
        <f>IF(LeadsData[[#This Row],[Stage Number]]&gt;=3,1,0)</f>
        <v>0</v>
      </c>
      <c r="O660" s="2">
        <f>IF(LeadsData[[#This Row],[Stage Number]]&gt;=4,1,0)</f>
        <v>0</v>
      </c>
    </row>
    <row r="661" spans="1:15" x14ac:dyDescent="0.25">
      <c r="A661" t="s">
        <v>701</v>
      </c>
      <c r="B661" s="1">
        <v>45580</v>
      </c>
      <c r="C661" t="s">
        <v>36</v>
      </c>
      <c r="D661" t="s">
        <v>50</v>
      </c>
      <c r="E661" t="s">
        <v>13</v>
      </c>
      <c r="F661" t="s">
        <v>19</v>
      </c>
      <c r="G661" t="s">
        <v>29</v>
      </c>
      <c r="K661" cm="1">
        <f t="array" ref="K661">_xlfn.SWITCH(LeadsData[[#This Row],[Funnel Stage Reached]],"Lead",1,"MQL",2,"SQL",3,"Customer",4)</f>
        <v>3</v>
      </c>
      <c r="L661" t="str">
        <f>TEXT(LeadsData[[#This Row],[Signup Date]],"mmm-yyyy")</f>
        <v>Oct-2024</v>
      </c>
      <c r="M661">
        <f>IF(LeadsData[[#This Row],[Stage Number]]&gt;=2,1,0)</f>
        <v>1</v>
      </c>
      <c r="N661" s="2">
        <f>IF(LeadsData[[#This Row],[Stage Number]]&gt;=3,1,0)</f>
        <v>1</v>
      </c>
      <c r="O661" s="2">
        <f>IF(LeadsData[[#This Row],[Stage Number]]&gt;=4,1,0)</f>
        <v>0</v>
      </c>
    </row>
    <row r="662" spans="1:15" x14ac:dyDescent="0.25">
      <c r="A662" t="s">
        <v>702</v>
      </c>
      <c r="B662" s="1">
        <v>45304</v>
      </c>
      <c r="C662" t="s">
        <v>31</v>
      </c>
      <c r="D662" t="s">
        <v>34</v>
      </c>
      <c r="E662" t="s">
        <v>13</v>
      </c>
      <c r="F662" t="s">
        <v>22</v>
      </c>
      <c r="G662" t="s">
        <v>29</v>
      </c>
      <c r="K662" cm="1">
        <f t="array" ref="K662">_xlfn.SWITCH(LeadsData[[#This Row],[Funnel Stage Reached]],"Lead",1,"MQL",2,"SQL",3,"Customer",4)</f>
        <v>3</v>
      </c>
      <c r="L662" t="str">
        <f>TEXT(LeadsData[[#This Row],[Signup Date]],"mmm-yyyy")</f>
        <v>Jan-2024</v>
      </c>
      <c r="M662">
        <f>IF(LeadsData[[#This Row],[Stage Number]]&gt;=2,1,0)</f>
        <v>1</v>
      </c>
      <c r="N662" s="2">
        <f>IF(LeadsData[[#This Row],[Stage Number]]&gt;=3,1,0)</f>
        <v>1</v>
      </c>
      <c r="O662" s="2">
        <f>IF(LeadsData[[#This Row],[Stage Number]]&gt;=4,1,0)</f>
        <v>0</v>
      </c>
    </row>
    <row r="663" spans="1:15" x14ac:dyDescent="0.25">
      <c r="A663" t="s">
        <v>703</v>
      </c>
      <c r="B663" s="1">
        <v>45404</v>
      </c>
      <c r="C663" t="s">
        <v>17</v>
      </c>
      <c r="D663" t="s">
        <v>18</v>
      </c>
      <c r="E663" t="s">
        <v>13</v>
      </c>
      <c r="F663" t="s">
        <v>22</v>
      </c>
      <c r="G663" t="s">
        <v>23</v>
      </c>
      <c r="K663" cm="1">
        <f t="array" ref="K663">_xlfn.SWITCH(LeadsData[[#This Row],[Funnel Stage Reached]],"Lead",1,"MQL",2,"SQL",3,"Customer",4)</f>
        <v>2</v>
      </c>
      <c r="L663" t="str">
        <f>TEXT(LeadsData[[#This Row],[Signup Date]],"mmm-yyyy")</f>
        <v>Apr-2024</v>
      </c>
      <c r="M663">
        <f>IF(LeadsData[[#This Row],[Stage Number]]&gt;=2,1,0)</f>
        <v>1</v>
      </c>
      <c r="N663" s="2">
        <f>IF(LeadsData[[#This Row],[Stage Number]]&gt;=3,1,0)</f>
        <v>0</v>
      </c>
      <c r="O663" s="2">
        <f>IF(LeadsData[[#This Row],[Stage Number]]&gt;=4,1,0)</f>
        <v>0</v>
      </c>
    </row>
    <row r="664" spans="1:15" x14ac:dyDescent="0.25">
      <c r="A664" t="s">
        <v>704</v>
      </c>
      <c r="B664" s="1">
        <v>45529</v>
      </c>
      <c r="C664" t="s">
        <v>46</v>
      </c>
      <c r="D664" t="s">
        <v>47</v>
      </c>
      <c r="E664" t="s">
        <v>13</v>
      </c>
      <c r="F664" t="s">
        <v>19</v>
      </c>
      <c r="G664" t="s">
        <v>29</v>
      </c>
      <c r="K664" cm="1">
        <f t="array" ref="K664">_xlfn.SWITCH(LeadsData[[#This Row],[Funnel Stage Reached]],"Lead",1,"MQL",2,"SQL",3,"Customer",4)</f>
        <v>3</v>
      </c>
      <c r="L664" t="str">
        <f>TEXT(LeadsData[[#This Row],[Signup Date]],"mmm-yyyy")</f>
        <v>Aug-2024</v>
      </c>
      <c r="M664">
        <f>IF(LeadsData[[#This Row],[Stage Number]]&gt;=2,1,0)</f>
        <v>1</v>
      </c>
      <c r="N664" s="2">
        <f>IF(LeadsData[[#This Row],[Stage Number]]&gt;=3,1,0)</f>
        <v>1</v>
      </c>
      <c r="O664" s="2">
        <f>IF(LeadsData[[#This Row],[Stage Number]]&gt;=4,1,0)</f>
        <v>0</v>
      </c>
    </row>
    <row r="665" spans="1:15" x14ac:dyDescent="0.25">
      <c r="A665" t="s">
        <v>705</v>
      </c>
      <c r="B665" s="1">
        <v>45539</v>
      </c>
      <c r="C665" t="s">
        <v>36</v>
      </c>
      <c r="D665" t="s">
        <v>37</v>
      </c>
      <c r="E665" t="s">
        <v>13</v>
      </c>
      <c r="F665" t="s">
        <v>19</v>
      </c>
      <c r="G665" t="s">
        <v>15</v>
      </c>
      <c r="K665" cm="1">
        <f t="array" ref="K665">_xlfn.SWITCH(LeadsData[[#This Row],[Funnel Stage Reached]],"Lead",1,"MQL",2,"SQL",3,"Customer",4)</f>
        <v>1</v>
      </c>
      <c r="L665" t="str">
        <f>TEXT(LeadsData[[#This Row],[Signup Date]],"mmm-yyyy")</f>
        <v>Sep-2024</v>
      </c>
      <c r="M665">
        <f>IF(LeadsData[[#This Row],[Stage Number]]&gt;=2,1,0)</f>
        <v>0</v>
      </c>
      <c r="N665" s="2">
        <f>IF(LeadsData[[#This Row],[Stage Number]]&gt;=3,1,0)</f>
        <v>0</v>
      </c>
      <c r="O665" s="2">
        <f>IF(LeadsData[[#This Row],[Stage Number]]&gt;=4,1,0)</f>
        <v>0</v>
      </c>
    </row>
    <row r="666" spans="1:15" x14ac:dyDescent="0.25">
      <c r="A666" t="s">
        <v>706</v>
      </c>
      <c r="B666" s="1">
        <v>45606</v>
      </c>
      <c r="C666" t="s">
        <v>17</v>
      </c>
      <c r="D666" t="s">
        <v>53</v>
      </c>
      <c r="E666" t="s">
        <v>21</v>
      </c>
      <c r="F666" t="s">
        <v>19</v>
      </c>
      <c r="G666" t="s">
        <v>15</v>
      </c>
      <c r="K666" cm="1">
        <f t="array" ref="K666">_xlfn.SWITCH(LeadsData[[#This Row],[Funnel Stage Reached]],"Lead",1,"MQL",2,"SQL",3,"Customer",4)</f>
        <v>1</v>
      </c>
      <c r="L666" t="str">
        <f>TEXT(LeadsData[[#This Row],[Signup Date]],"mmm-yyyy")</f>
        <v>Nov-2024</v>
      </c>
      <c r="M666">
        <f>IF(LeadsData[[#This Row],[Stage Number]]&gt;=2,1,0)</f>
        <v>0</v>
      </c>
      <c r="N666" s="2">
        <f>IF(LeadsData[[#This Row],[Stage Number]]&gt;=3,1,0)</f>
        <v>0</v>
      </c>
      <c r="O666" s="2">
        <f>IF(LeadsData[[#This Row],[Stage Number]]&gt;=4,1,0)</f>
        <v>0</v>
      </c>
    </row>
    <row r="667" spans="1:15" x14ac:dyDescent="0.25">
      <c r="A667" t="s">
        <v>707</v>
      </c>
      <c r="B667" s="1">
        <v>45585</v>
      </c>
      <c r="C667" t="s">
        <v>31</v>
      </c>
      <c r="D667" t="s">
        <v>34</v>
      </c>
      <c r="E667" t="s">
        <v>21</v>
      </c>
      <c r="F667" t="s">
        <v>19</v>
      </c>
      <c r="G667" t="s">
        <v>15</v>
      </c>
      <c r="K667" cm="1">
        <f t="array" ref="K667">_xlfn.SWITCH(LeadsData[[#This Row],[Funnel Stage Reached]],"Lead",1,"MQL",2,"SQL",3,"Customer",4)</f>
        <v>1</v>
      </c>
      <c r="L667" t="str">
        <f>TEXT(LeadsData[[#This Row],[Signup Date]],"mmm-yyyy")</f>
        <v>Oct-2024</v>
      </c>
      <c r="M667">
        <f>IF(LeadsData[[#This Row],[Stage Number]]&gt;=2,1,0)</f>
        <v>0</v>
      </c>
      <c r="N667" s="2">
        <f>IF(LeadsData[[#This Row],[Stage Number]]&gt;=3,1,0)</f>
        <v>0</v>
      </c>
      <c r="O667" s="2">
        <f>IF(LeadsData[[#This Row],[Stage Number]]&gt;=4,1,0)</f>
        <v>0</v>
      </c>
    </row>
    <row r="668" spans="1:15" x14ac:dyDescent="0.25">
      <c r="A668" t="s">
        <v>708</v>
      </c>
      <c r="B668" s="1">
        <v>45394</v>
      </c>
      <c r="C668" t="s">
        <v>46</v>
      </c>
      <c r="D668" t="s">
        <v>47</v>
      </c>
      <c r="E668" t="s">
        <v>21</v>
      </c>
      <c r="F668" t="s">
        <v>28</v>
      </c>
      <c r="G668" t="s">
        <v>15</v>
      </c>
      <c r="K668" cm="1">
        <f t="array" ref="K668">_xlfn.SWITCH(LeadsData[[#This Row],[Funnel Stage Reached]],"Lead",1,"MQL",2,"SQL",3,"Customer",4)</f>
        <v>1</v>
      </c>
      <c r="L668" t="str">
        <f>TEXT(LeadsData[[#This Row],[Signup Date]],"mmm-yyyy")</f>
        <v>Apr-2024</v>
      </c>
      <c r="M668">
        <f>IF(LeadsData[[#This Row],[Stage Number]]&gt;=2,1,0)</f>
        <v>0</v>
      </c>
      <c r="N668" s="2">
        <f>IF(LeadsData[[#This Row],[Stage Number]]&gt;=3,1,0)</f>
        <v>0</v>
      </c>
      <c r="O668" s="2">
        <f>IF(LeadsData[[#This Row],[Stage Number]]&gt;=4,1,0)</f>
        <v>0</v>
      </c>
    </row>
    <row r="669" spans="1:15" x14ac:dyDescent="0.25">
      <c r="A669" t="s">
        <v>709</v>
      </c>
      <c r="B669" s="1">
        <v>45652</v>
      </c>
      <c r="C669" t="s">
        <v>31</v>
      </c>
      <c r="D669" t="s">
        <v>32</v>
      </c>
      <c r="E669" t="s">
        <v>13</v>
      </c>
      <c r="F669" t="s">
        <v>19</v>
      </c>
      <c r="G669" t="s">
        <v>29</v>
      </c>
      <c r="K669" cm="1">
        <f t="array" ref="K669">_xlfn.SWITCH(LeadsData[[#This Row],[Funnel Stage Reached]],"Lead",1,"MQL",2,"SQL",3,"Customer",4)</f>
        <v>3</v>
      </c>
      <c r="L669" t="str">
        <f>TEXT(LeadsData[[#This Row],[Signup Date]],"mmm-yyyy")</f>
        <v>Dec-2024</v>
      </c>
      <c r="M669">
        <f>IF(LeadsData[[#This Row],[Stage Number]]&gt;=2,1,0)</f>
        <v>1</v>
      </c>
      <c r="N669" s="2">
        <f>IF(LeadsData[[#This Row],[Stage Number]]&gt;=3,1,0)</f>
        <v>1</v>
      </c>
      <c r="O669" s="2">
        <f>IF(LeadsData[[#This Row],[Stage Number]]&gt;=4,1,0)</f>
        <v>0</v>
      </c>
    </row>
    <row r="670" spans="1:15" x14ac:dyDescent="0.25">
      <c r="A670" t="s">
        <v>710</v>
      </c>
      <c r="B670" s="1">
        <v>45331</v>
      </c>
      <c r="C670" t="s">
        <v>31</v>
      </c>
      <c r="D670" t="s">
        <v>34</v>
      </c>
      <c r="E670" t="s">
        <v>21</v>
      </c>
      <c r="F670" t="s">
        <v>22</v>
      </c>
      <c r="G670" t="s">
        <v>15</v>
      </c>
      <c r="K670" cm="1">
        <f t="array" ref="K670">_xlfn.SWITCH(LeadsData[[#This Row],[Funnel Stage Reached]],"Lead",1,"MQL",2,"SQL",3,"Customer",4)</f>
        <v>1</v>
      </c>
      <c r="L670" t="str">
        <f>TEXT(LeadsData[[#This Row],[Signup Date]],"mmm-yyyy")</f>
        <v>Feb-2024</v>
      </c>
      <c r="M670">
        <f>IF(LeadsData[[#This Row],[Stage Number]]&gt;=2,1,0)</f>
        <v>0</v>
      </c>
      <c r="N670" s="2">
        <f>IF(LeadsData[[#This Row],[Stage Number]]&gt;=3,1,0)</f>
        <v>0</v>
      </c>
      <c r="O670" s="2">
        <f>IF(LeadsData[[#This Row],[Stage Number]]&gt;=4,1,0)</f>
        <v>0</v>
      </c>
    </row>
    <row r="671" spans="1:15" x14ac:dyDescent="0.25">
      <c r="A671" t="s">
        <v>711</v>
      </c>
      <c r="B671" s="1">
        <v>45386</v>
      </c>
      <c r="C671" t="s">
        <v>17</v>
      </c>
      <c r="D671" t="s">
        <v>53</v>
      </c>
      <c r="E671" t="s">
        <v>13</v>
      </c>
      <c r="F671" t="s">
        <v>22</v>
      </c>
      <c r="G671" t="s">
        <v>23</v>
      </c>
      <c r="K671" cm="1">
        <f t="array" ref="K671">_xlfn.SWITCH(LeadsData[[#This Row],[Funnel Stage Reached]],"Lead",1,"MQL",2,"SQL",3,"Customer",4)</f>
        <v>2</v>
      </c>
      <c r="L671" t="str">
        <f>TEXT(LeadsData[[#This Row],[Signup Date]],"mmm-yyyy")</f>
        <v>Apr-2024</v>
      </c>
      <c r="M671">
        <f>IF(LeadsData[[#This Row],[Stage Number]]&gt;=2,1,0)</f>
        <v>1</v>
      </c>
      <c r="N671" s="2">
        <f>IF(LeadsData[[#This Row],[Stage Number]]&gt;=3,1,0)</f>
        <v>0</v>
      </c>
      <c r="O671" s="2">
        <f>IF(LeadsData[[#This Row],[Stage Number]]&gt;=4,1,0)</f>
        <v>0</v>
      </c>
    </row>
    <row r="672" spans="1:15" x14ac:dyDescent="0.25">
      <c r="A672" t="s">
        <v>712</v>
      </c>
      <c r="B672" s="1">
        <v>45527</v>
      </c>
      <c r="C672" t="s">
        <v>36</v>
      </c>
      <c r="D672" t="s">
        <v>50</v>
      </c>
      <c r="E672" t="s">
        <v>13</v>
      </c>
      <c r="F672" t="s">
        <v>22</v>
      </c>
      <c r="G672" t="s">
        <v>23</v>
      </c>
      <c r="K672" cm="1">
        <f t="array" ref="K672">_xlfn.SWITCH(LeadsData[[#This Row],[Funnel Stage Reached]],"Lead",1,"MQL",2,"SQL",3,"Customer",4)</f>
        <v>2</v>
      </c>
      <c r="L672" t="str">
        <f>TEXT(LeadsData[[#This Row],[Signup Date]],"mmm-yyyy")</f>
        <v>Aug-2024</v>
      </c>
      <c r="M672">
        <f>IF(LeadsData[[#This Row],[Stage Number]]&gt;=2,1,0)</f>
        <v>1</v>
      </c>
      <c r="N672" s="2">
        <f>IF(LeadsData[[#This Row],[Stage Number]]&gt;=3,1,0)</f>
        <v>0</v>
      </c>
      <c r="O672" s="2">
        <f>IF(LeadsData[[#This Row],[Stage Number]]&gt;=4,1,0)</f>
        <v>0</v>
      </c>
    </row>
    <row r="673" spans="1:15" x14ac:dyDescent="0.25">
      <c r="A673" t="s">
        <v>713</v>
      </c>
      <c r="B673" s="1">
        <v>45652</v>
      </c>
      <c r="C673" t="s">
        <v>36</v>
      </c>
      <c r="D673" t="s">
        <v>37</v>
      </c>
      <c r="E673" t="s">
        <v>21</v>
      </c>
      <c r="F673" t="s">
        <v>19</v>
      </c>
      <c r="G673" t="s">
        <v>15</v>
      </c>
      <c r="K673" cm="1">
        <f t="array" ref="K673">_xlfn.SWITCH(LeadsData[[#This Row],[Funnel Stage Reached]],"Lead",1,"MQL",2,"SQL",3,"Customer",4)</f>
        <v>1</v>
      </c>
      <c r="L673" t="str">
        <f>TEXT(LeadsData[[#This Row],[Signup Date]],"mmm-yyyy")</f>
        <v>Dec-2024</v>
      </c>
      <c r="M673">
        <f>IF(LeadsData[[#This Row],[Stage Number]]&gt;=2,1,0)</f>
        <v>0</v>
      </c>
      <c r="N673" s="2">
        <f>IF(LeadsData[[#This Row],[Stage Number]]&gt;=3,1,0)</f>
        <v>0</v>
      </c>
      <c r="O673" s="2">
        <f>IF(LeadsData[[#This Row],[Stage Number]]&gt;=4,1,0)</f>
        <v>0</v>
      </c>
    </row>
    <row r="674" spans="1:15" x14ac:dyDescent="0.25">
      <c r="A674" t="s">
        <v>714</v>
      </c>
      <c r="B674" s="1">
        <v>45375</v>
      </c>
      <c r="C674" t="s">
        <v>46</v>
      </c>
      <c r="D674" t="s">
        <v>47</v>
      </c>
      <c r="E674" t="s">
        <v>13</v>
      </c>
      <c r="F674" t="s">
        <v>22</v>
      </c>
      <c r="G674" t="s">
        <v>23</v>
      </c>
      <c r="K674" cm="1">
        <f t="array" ref="K674">_xlfn.SWITCH(LeadsData[[#This Row],[Funnel Stage Reached]],"Lead",1,"MQL",2,"SQL",3,"Customer",4)</f>
        <v>2</v>
      </c>
      <c r="L674" t="str">
        <f>TEXT(LeadsData[[#This Row],[Signup Date]],"mmm-yyyy")</f>
        <v>Mar-2024</v>
      </c>
      <c r="M674">
        <f>IF(LeadsData[[#This Row],[Stage Number]]&gt;=2,1,0)</f>
        <v>1</v>
      </c>
      <c r="N674" s="2">
        <f>IF(LeadsData[[#This Row],[Stage Number]]&gt;=3,1,0)</f>
        <v>0</v>
      </c>
      <c r="O674" s="2">
        <f>IF(LeadsData[[#This Row],[Stage Number]]&gt;=4,1,0)</f>
        <v>0</v>
      </c>
    </row>
    <row r="675" spans="1:15" x14ac:dyDescent="0.25">
      <c r="A675" t="s">
        <v>715</v>
      </c>
      <c r="B675" s="1">
        <v>45388</v>
      </c>
      <c r="C675" t="s">
        <v>25</v>
      </c>
      <c r="D675" t="s">
        <v>26</v>
      </c>
      <c r="E675" t="s">
        <v>21</v>
      </c>
      <c r="F675" t="s">
        <v>14</v>
      </c>
      <c r="G675" t="s">
        <v>15</v>
      </c>
      <c r="K675" cm="1">
        <f t="array" ref="K675">_xlfn.SWITCH(LeadsData[[#This Row],[Funnel Stage Reached]],"Lead",1,"MQL",2,"SQL",3,"Customer",4)</f>
        <v>1</v>
      </c>
      <c r="L675" t="str">
        <f>TEXT(LeadsData[[#This Row],[Signup Date]],"mmm-yyyy")</f>
        <v>Apr-2024</v>
      </c>
      <c r="M675">
        <f>IF(LeadsData[[#This Row],[Stage Number]]&gt;=2,1,0)</f>
        <v>0</v>
      </c>
      <c r="N675" s="2">
        <f>IF(LeadsData[[#This Row],[Stage Number]]&gt;=3,1,0)</f>
        <v>0</v>
      </c>
      <c r="O675" s="2">
        <f>IF(LeadsData[[#This Row],[Stage Number]]&gt;=4,1,0)</f>
        <v>0</v>
      </c>
    </row>
    <row r="676" spans="1:15" x14ac:dyDescent="0.25">
      <c r="A676" t="s">
        <v>716</v>
      </c>
      <c r="B676" s="1">
        <v>45456</v>
      </c>
      <c r="C676" t="s">
        <v>31</v>
      </c>
      <c r="D676" t="s">
        <v>34</v>
      </c>
      <c r="E676" t="s">
        <v>13</v>
      </c>
      <c r="F676" t="s">
        <v>19</v>
      </c>
      <c r="G676" t="s">
        <v>15</v>
      </c>
      <c r="K676" cm="1">
        <f t="array" ref="K676">_xlfn.SWITCH(LeadsData[[#This Row],[Funnel Stage Reached]],"Lead",1,"MQL",2,"SQL",3,"Customer",4)</f>
        <v>1</v>
      </c>
      <c r="L676" t="str">
        <f>TEXT(LeadsData[[#This Row],[Signup Date]],"mmm-yyyy")</f>
        <v>Jun-2024</v>
      </c>
      <c r="M676">
        <f>IF(LeadsData[[#This Row],[Stage Number]]&gt;=2,1,0)</f>
        <v>0</v>
      </c>
      <c r="N676" s="2">
        <f>IF(LeadsData[[#This Row],[Stage Number]]&gt;=3,1,0)</f>
        <v>0</v>
      </c>
      <c r="O676" s="2">
        <f>IF(LeadsData[[#This Row],[Stage Number]]&gt;=4,1,0)</f>
        <v>0</v>
      </c>
    </row>
    <row r="677" spans="1:15" x14ac:dyDescent="0.25">
      <c r="A677" t="s">
        <v>717</v>
      </c>
      <c r="B677" s="1">
        <v>45631</v>
      </c>
      <c r="C677" t="s">
        <v>25</v>
      </c>
      <c r="D677" t="s">
        <v>26</v>
      </c>
      <c r="E677" t="s">
        <v>13</v>
      </c>
      <c r="F677" t="s">
        <v>19</v>
      </c>
      <c r="G677" t="s">
        <v>15</v>
      </c>
      <c r="K677" cm="1">
        <f t="array" ref="K677">_xlfn.SWITCH(LeadsData[[#This Row],[Funnel Stage Reached]],"Lead",1,"MQL",2,"SQL",3,"Customer",4)</f>
        <v>1</v>
      </c>
      <c r="L677" t="str">
        <f>TEXT(LeadsData[[#This Row],[Signup Date]],"mmm-yyyy")</f>
        <v>Dec-2024</v>
      </c>
      <c r="M677">
        <f>IF(LeadsData[[#This Row],[Stage Number]]&gt;=2,1,0)</f>
        <v>0</v>
      </c>
      <c r="N677" s="2">
        <f>IF(LeadsData[[#This Row],[Stage Number]]&gt;=3,1,0)</f>
        <v>0</v>
      </c>
      <c r="O677" s="2">
        <f>IF(LeadsData[[#This Row],[Stage Number]]&gt;=4,1,0)</f>
        <v>0</v>
      </c>
    </row>
    <row r="678" spans="1:15" x14ac:dyDescent="0.25">
      <c r="A678" t="s">
        <v>718</v>
      </c>
      <c r="B678" s="1">
        <v>45576</v>
      </c>
      <c r="C678" t="s">
        <v>25</v>
      </c>
      <c r="D678" t="s">
        <v>26</v>
      </c>
      <c r="E678" t="s">
        <v>13</v>
      </c>
      <c r="F678" t="s">
        <v>19</v>
      </c>
      <c r="G678" t="s">
        <v>15</v>
      </c>
      <c r="K678" cm="1">
        <f t="array" ref="K678">_xlfn.SWITCH(LeadsData[[#This Row],[Funnel Stage Reached]],"Lead",1,"MQL",2,"SQL",3,"Customer",4)</f>
        <v>1</v>
      </c>
      <c r="L678" t="str">
        <f>TEXT(LeadsData[[#This Row],[Signup Date]],"mmm-yyyy")</f>
        <v>Oct-2024</v>
      </c>
      <c r="M678">
        <f>IF(LeadsData[[#This Row],[Stage Number]]&gt;=2,1,0)</f>
        <v>0</v>
      </c>
      <c r="N678" s="2">
        <f>IF(LeadsData[[#This Row],[Stage Number]]&gt;=3,1,0)</f>
        <v>0</v>
      </c>
      <c r="O678" s="2">
        <f>IF(LeadsData[[#This Row],[Stage Number]]&gt;=4,1,0)</f>
        <v>0</v>
      </c>
    </row>
    <row r="679" spans="1:15" x14ac:dyDescent="0.25">
      <c r="A679" t="s">
        <v>719</v>
      </c>
      <c r="B679" s="1">
        <v>45395</v>
      </c>
      <c r="C679" t="s">
        <v>17</v>
      </c>
      <c r="D679" t="s">
        <v>53</v>
      </c>
      <c r="E679" t="s">
        <v>13</v>
      </c>
      <c r="F679" t="s">
        <v>22</v>
      </c>
      <c r="G679" t="s">
        <v>15</v>
      </c>
      <c r="K679" cm="1">
        <f t="array" ref="K679">_xlfn.SWITCH(LeadsData[[#This Row],[Funnel Stage Reached]],"Lead",1,"MQL",2,"SQL",3,"Customer",4)</f>
        <v>1</v>
      </c>
      <c r="L679" t="str">
        <f>TEXT(LeadsData[[#This Row],[Signup Date]],"mmm-yyyy")</f>
        <v>Apr-2024</v>
      </c>
      <c r="M679">
        <f>IF(LeadsData[[#This Row],[Stage Number]]&gt;=2,1,0)</f>
        <v>0</v>
      </c>
      <c r="N679" s="2">
        <f>IF(LeadsData[[#This Row],[Stage Number]]&gt;=3,1,0)</f>
        <v>0</v>
      </c>
      <c r="O679" s="2">
        <f>IF(LeadsData[[#This Row],[Stage Number]]&gt;=4,1,0)</f>
        <v>0</v>
      </c>
    </row>
    <row r="680" spans="1:15" x14ac:dyDescent="0.25">
      <c r="A680" t="s">
        <v>720</v>
      </c>
      <c r="B680" s="1">
        <v>45605</v>
      </c>
      <c r="C680" t="s">
        <v>31</v>
      </c>
      <c r="D680" t="s">
        <v>34</v>
      </c>
      <c r="E680" t="s">
        <v>13</v>
      </c>
      <c r="F680" t="s">
        <v>19</v>
      </c>
      <c r="G680" t="s">
        <v>15</v>
      </c>
      <c r="K680" cm="1">
        <f t="array" ref="K680">_xlfn.SWITCH(LeadsData[[#This Row],[Funnel Stage Reached]],"Lead",1,"MQL",2,"SQL",3,"Customer",4)</f>
        <v>1</v>
      </c>
      <c r="L680" t="str">
        <f>TEXT(LeadsData[[#This Row],[Signup Date]],"mmm-yyyy")</f>
        <v>Nov-2024</v>
      </c>
      <c r="M680">
        <f>IF(LeadsData[[#This Row],[Stage Number]]&gt;=2,1,0)</f>
        <v>0</v>
      </c>
      <c r="N680" s="2">
        <f>IF(LeadsData[[#This Row],[Stage Number]]&gt;=3,1,0)</f>
        <v>0</v>
      </c>
      <c r="O680" s="2">
        <f>IF(LeadsData[[#This Row],[Stage Number]]&gt;=4,1,0)</f>
        <v>0</v>
      </c>
    </row>
    <row r="681" spans="1:15" x14ac:dyDescent="0.25">
      <c r="A681" t="s">
        <v>721</v>
      </c>
      <c r="B681" s="1">
        <v>45363</v>
      </c>
      <c r="C681" t="s">
        <v>25</v>
      </c>
      <c r="D681" t="s">
        <v>26</v>
      </c>
      <c r="E681" t="s">
        <v>13</v>
      </c>
      <c r="F681" t="s">
        <v>19</v>
      </c>
      <c r="G681" t="s">
        <v>23</v>
      </c>
      <c r="K681" cm="1">
        <f t="array" ref="K681">_xlfn.SWITCH(LeadsData[[#This Row],[Funnel Stage Reached]],"Lead",1,"MQL",2,"SQL",3,"Customer",4)</f>
        <v>2</v>
      </c>
      <c r="L681" t="str">
        <f>TEXT(LeadsData[[#This Row],[Signup Date]],"mmm-yyyy")</f>
        <v>Mar-2024</v>
      </c>
      <c r="M681">
        <f>IF(LeadsData[[#This Row],[Stage Number]]&gt;=2,1,0)</f>
        <v>1</v>
      </c>
      <c r="N681" s="2">
        <f>IF(LeadsData[[#This Row],[Stage Number]]&gt;=3,1,0)</f>
        <v>0</v>
      </c>
      <c r="O681" s="2">
        <f>IF(LeadsData[[#This Row],[Stage Number]]&gt;=4,1,0)</f>
        <v>0</v>
      </c>
    </row>
    <row r="682" spans="1:15" x14ac:dyDescent="0.25">
      <c r="A682" t="s">
        <v>722</v>
      </c>
      <c r="B682" s="1">
        <v>45581</v>
      </c>
      <c r="C682" t="s">
        <v>36</v>
      </c>
      <c r="D682" t="s">
        <v>50</v>
      </c>
      <c r="E682" t="s">
        <v>21</v>
      </c>
      <c r="F682" t="s">
        <v>28</v>
      </c>
      <c r="G682" t="s">
        <v>23</v>
      </c>
      <c r="K682" cm="1">
        <f t="array" ref="K682">_xlfn.SWITCH(LeadsData[[#This Row],[Funnel Stage Reached]],"Lead",1,"MQL",2,"SQL",3,"Customer",4)</f>
        <v>2</v>
      </c>
      <c r="L682" t="str">
        <f>TEXT(LeadsData[[#This Row],[Signup Date]],"mmm-yyyy")</f>
        <v>Oct-2024</v>
      </c>
      <c r="M682">
        <f>IF(LeadsData[[#This Row],[Stage Number]]&gt;=2,1,0)</f>
        <v>1</v>
      </c>
      <c r="N682" s="2">
        <f>IF(LeadsData[[#This Row],[Stage Number]]&gt;=3,1,0)</f>
        <v>0</v>
      </c>
      <c r="O682" s="2">
        <f>IF(LeadsData[[#This Row],[Stage Number]]&gt;=4,1,0)</f>
        <v>0</v>
      </c>
    </row>
    <row r="683" spans="1:15" x14ac:dyDescent="0.25">
      <c r="A683" t="s">
        <v>723</v>
      </c>
      <c r="B683" s="1">
        <v>45307</v>
      </c>
      <c r="C683" t="s">
        <v>31</v>
      </c>
      <c r="D683" t="s">
        <v>32</v>
      </c>
      <c r="E683" t="s">
        <v>13</v>
      </c>
      <c r="F683" t="s">
        <v>22</v>
      </c>
      <c r="G683" t="s">
        <v>15</v>
      </c>
      <c r="K683" cm="1">
        <f t="array" ref="K683">_xlfn.SWITCH(LeadsData[[#This Row],[Funnel Stage Reached]],"Lead",1,"MQL",2,"SQL",3,"Customer",4)</f>
        <v>1</v>
      </c>
      <c r="L683" t="str">
        <f>TEXT(LeadsData[[#This Row],[Signup Date]],"mmm-yyyy")</f>
        <v>Jan-2024</v>
      </c>
      <c r="M683">
        <f>IF(LeadsData[[#This Row],[Stage Number]]&gt;=2,1,0)</f>
        <v>0</v>
      </c>
      <c r="N683" s="2">
        <f>IF(LeadsData[[#This Row],[Stage Number]]&gt;=3,1,0)</f>
        <v>0</v>
      </c>
      <c r="O683" s="2">
        <f>IF(LeadsData[[#This Row],[Stage Number]]&gt;=4,1,0)</f>
        <v>0</v>
      </c>
    </row>
    <row r="684" spans="1:15" x14ac:dyDescent="0.25">
      <c r="A684" t="s">
        <v>724</v>
      </c>
      <c r="B684" s="1">
        <v>45301</v>
      </c>
      <c r="C684" t="s">
        <v>31</v>
      </c>
      <c r="D684" t="s">
        <v>34</v>
      </c>
      <c r="E684" t="s">
        <v>21</v>
      </c>
      <c r="F684" t="s">
        <v>22</v>
      </c>
      <c r="G684" t="s">
        <v>15</v>
      </c>
      <c r="K684" cm="1">
        <f t="array" ref="K684">_xlfn.SWITCH(LeadsData[[#This Row],[Funnel Stage Reached]],"Lead",1,"MQL",2,"SQL",3,"Customer",4)</f>
        <v>1</v>
      </c>
      <c r="L684" t="str">
        <f>TEXT(LeadsData[[#This Row],[Signup Date]],"mmm-yyyy")</f>
        <v>Jan-2024</v>
      </c>
      <c r="M684">
        <f>IF(LeadsData[[#This Row],[Stage Number]]&gt;=2,1,0)</f>
        <v>0</v>
      </c>
      <c r="N684" s="2">
        <f>IF(LeadsData[[#This Row],[Stage Number]]&gt;=3,1,0)</f>
        <v>0</v>
      </c>
      <c r="O684" s="2">
        <f>IF(LeadsData[[#This Row],[Stage Number]]&gt;=4,1,0)</f>
        <v>0</v>
      </c>
    </row>
    <row r="685" spans="1:15" x14ac:dyDescent="0.25">
      <c r="A685" t="s">
        <v>725</v>
      </c>
      <c r="B685" s="1">
        <v>45465</v>
      </c>
      <c r="C685" t="s">
        <v>31</v>
      </c>
      <c r="D685" t="s">
        <v>32</v>
      </c>
      <c r="E685" t="s">
        <v>13</v>
      </c>
      <c r="F685" t="s">
        <v>22</v>
      </c>
      <c r="G685" t="s">
        <v>23</v>
      </c>
      <c r="K685" cm="1">
        <f t="array" ref="K685">_xlfn.SWITCH(LeadsData[[#This Row],[Funnel Stage Reached]],"Lead",1,"MQL",2,"SQL",3,"Customer",4)</f>
        <v>2</v>
      </c>
      <c r="L685" t="str">
        <f>TEXT(LeadsData[[#This Row],[Signup Date]],"mmm-yyyy")</f>
        <v>Jun-2024</v>
      </c>
      <c r="M685">
        <f>IF(LeadsData[[#This Row],[Stage Number]]&gt;=2,1,0)</f>
        <v>1</v>
      </c>
      <c r="N685" s="2">
        <f>IF(LeadsData[[#This Row],[Stage Number]]&gt;=3,1,0)</f>
        <v>0</v>
      </c>
      <c r="O685" s="2">
        <f>IF(LeadsData[[#This Row],[Stage Number]]&gt;=4,1,0)</f>
        <v>0</v>
      </c>
    </row>
    <row r="686" spans="1:15" x14ac:dyDescent="0.25">
      <c r="A686" t="s">
        <v>726</v>
      </c>
      <c r="B686" s="1">
        <v>45543</v>
      </c>
      <c r="C686" t="s">
        <v>25</v>
      </c>
      <c r="D686" t="s">
        <v>26</v>
      </c>
      <c r="E686" t="s">
        <v>21</v>
      </c>
      <c r="F686" t="s">
        <v>19</v>
      </c>
      <c r="G686" t="s">
        <v>15</v>
      </c>
      <c r="K686" cm="1">
        <f t="array" ref="K686">_xlfn.SWITCH(LeadsData[[#This Row],[Funnel Stage Reached]],"Lead",1,"MQL",2,"SQL",3,"Customer",4)</f>
        <v>1</v>
      </c>
      <c r="L686" t="str">
        <f>TEXT(LeadsData[[#This Row],[Signup Date]],"mmm-yyyy")</f>
        <v>Sep-2024</v>
      </c>
      <c r="M686">
        <f>IF(LeadsData[[#This Row],[Stage Number]]&gt;=2,1,0)</f>
        <v>0</v>
      </c>
      <c r="N686" s="2">
        <f>IF(LeadsData[[#This Row],[Stage Number]]&gt;=3,1,0)</f>
        <v>0</v>
      </c>
      <c r="O686" s="2">
        <f>IF(LeadsData[[#This Row],[Stage Number]]&gt;=4,1,0)</f>
        <v>0</v>
      </c>
    </row>
    <row r="687" spans="1:15" x14ac:dyDescent="0.25">
      <c r="A687" t="s">
        <v>727</v>
      </c>
      <c r="B687" s="1">
        <v>45365</v>
      </c>
      <c r="C687" t="s">
        <v>11</v>
      </c>
      <c r="D687" t="s">
        <v>12</v>
      </c>
      <c r="E687" t="s">
        <v>13</v>
      </c>
      <c r="F687" t="s">
        <v>22</v>
      </c>
      <c r="G687" t="s">
        <v>23</v>
      </c>
      <c r="K687" cm="1">
        <f t="array" ref="K687">_xlfn.SWITCH(LeadsData[[#This Row],[Funnel Stage Reached]],"Lead",1,"MQL",2,"SQL",3,"Customer",4)</f>
        <v>2</v>
      </c>
      <c r="L687" t="str">
        <f>TEXT(LeadsData[[#This Row],[Signup Date]],"mmm-yyyy")</f>
        <v>Mar-2024</v>
      </c>
      <c r="M687">
        <f>IF(LeadsData[[#This Row],[Stage Number]]&gt;=2,1,0)</f>
        <v>1</v>
      </c>
      <c r="N687" s="2">
        <f>IF(LeadsData[[#This Row],[Stage Number]]&gt;=3,1,0)</f>
        <v>0</v>
      </c>
      <c r="O687" s="2">
        <f>IF(LeadsData[[#This Row],[Stage Number]]&gt;=4,1,0)</f>
        <v>0</v>
      </c>
    </row>
    <row r="688" spans="1:15" x14ac:dyDescent="0.25">
      <c r="A688" t="s">
        <v>728</v>
      </c>
      <c r="B688" s="1">
        <v>45479</v>
      </c>
      <c r="C688" t="s">
        <v>25</v>
      </c>
      <c r="D688" t="s">
        <v>26</v>
      </c>
      <c r="E688" t="s">
        <v>21</v>
      </c>
      <c r="F688" t="s">
        <v>19</v>
      </c>
      <c r="G688" t="s">
        <v>15</v>
      </c>
      <c r="K688" cm="1">
        <f t="array" ref="K688">_xlfn.SWITCH(LeadsData[[#This Row],[Funnel Stage Reached]],"Lead",1,"MQL",2,"SQL",3,"Customer",4)</f>
        <v>1</v>
      </c>
      <c r="L688" t="str">
        <f>TEXT(LeadsData[[#This Row],[Signup Date]],"mmm-yyyy")</f>
        <v>Jul-2024</v>
      </c>
      <c r="M688">
        <f>IF(LeadsData[[#This Row],[Stage Number]]&gt;=2,1,0)</f>
        <v>0</v>
      </c>
      <c r="N688" s="2">
        <f>IF(LeadsData[[#This Row],[Stage Number]]&gt;=3,1,0)</f>
        <v>0</v>
      </c>
      <c r="O688" s="2">
        <f>IF(LeadsData[[#This Row],[Stage Number]]&gt;=4,1,0)</f>
        <v>0</v>
      </c>
    </row>
    <row r="689" spans="1:15" x14ac:dyDescent="0.25">
      <c r="A689" t="s">
        <v>729</v>
      </c>
      <c r="B689" s="1">
        <v>45452</v>
      </c>
      <c r="C689" t="s">
        <v>46</v>
      </c>
      <c r="D689" t="s">
        <v>47</v>
      </c>
      <c r="E689" t="s">
        <v>21</v>
      </c>
      <c r="F689" t="s">
        <v>22</v>
      </c>
      <c r="G689" t="s">
        <v>23</v>
      </c>
      <c r="K689" cm="1">
        <f t="array" ref="K689">_xlfn.SWITCH(LeadsData[[#This Row],[Funnel Stage Reached]],"Lead",1,"MQL",2,"SQL",3,"Customer",4)</f>
        <v>2</v>
      </c>
      <c r="L689" t="str">
        <f>TEXT(LeadsData[[#This Row],[Signup Date]],"mmm-yyyy")</f>
        <v>Jun-2024</v>
      </c>
      <c r="M689">
        <f>IF(LeadsData[[#This Row],[Stage Number]]&gt;=2,1,0)</f>
        <v>1</v>
      </c>
      <c r="N689" s="2">
        <f>IF(LeadsData[[#This Row],[Stage Number]]&gt;=3,1,0)</f>
        <v>0</v>
      </c>
      <c r="O689" s="2">
        <f>IF(LeadsData[[#This Row],[Stage Number]]&gt;=4,1,0)</f>
        <v>0</v>
      </c>
    </row>
    <row r="690" spans="1:15" x14ac:dyDescent="0.25">
      <c r="A690" t="s">
        <v>730</v>
      </c>
      <c r="B690" s="1">
        <v>45356</v>
      </c>
      <c r="C690" t="s">
        <v>17</v>
      </c>
      <c r="D690" t="s">
        <v>18</v>
      </c>
      <c r="E690" t="s">
        <v>13</v>
      </c>
      <c r="F690" t="s">
        <v>19</v>
      </c>
      <c r="G690" t="s">
        <v>15</v>
      </c>
      <c r="K690" cm="1">
        <f t="array" ref="K690">_xlfn.SWITCH(LeadsData[[#This Row],[Funnel Stage Reached]],"Lead",1,"MQL",2,"SQL",3,"Customer",4)</f>
        <v>1</v>
      </c>
      <c r="L690" t="str">
        <f>TEXT(LeadsData[[#This Row],[Signup Date]],"mmm-yyyy")</f>
        <v>Mar-2024</v>
      </c>
      <c r="M690">
        <f>IF(LeadsData[[#This Row],[Stage Number]]&gt;=2,1,0)</f>
        <v>0</v>
      </c>
      <c r="N690" s="2">
        <f>IF(LeadsData[[#This Row],[Stage Number]]&gt;=3,1,0)</f>
        <v>0</v>
      </c>
      <c r="O690" s="2">
        <f>IF(LeadsData[[#This Row],[Stage Number]]&gt;=4,1,0)</f>
        <v>0</v>
      </c>
    </row>
    <row r="691" spans="1:15" x14ac:dyDescent="0.25">
      <c r="A691" t="s">
        <v>731</v>
      </c>
      <c r="B691" s="1">
        <v>45561</v>
      </c>
      <c r="C691" t="s">
        <v>46</v>
      </c>
      <c r="D691" t="s">
        <v>56</v>
      </c>
      <c r="E691" t="s">
        <v>13</v>
      </c>
      <c r="F691" t="s">
        <v>19</v>
      </c>
      <c r="G691" t="s">
        <v>15</v>
      </c>
      <c r="K691" cm="1">
        <f t="array" ref="K691">_xlfn.SWITCH(LeadsData[[#This Row],[Funnel Stage Reached]],"Lead",1,"MQL",2,"SQL",3,"Customer",4)</f>
        <v>1</v>
      </c>
      <c r="L691" t="str">
        <f>TEXT(LeadsData[[#This Row],[Signup Date]],"mmm-yyyy")</f>
        <v>Sep-2024</v>
      </c>
      <c r="M691">
        <f>IF(LeadsData[[#This Row],[Stage Number]]&gt;=2,1,0)</f>
        <v>0</v>
      </c>
      <c r="N691" s="2">
        <f>IF(LeadsData[[#This Row],[Stage Number]]&gt;=3,1,0)</f>
        <v>0</v>
      </c>
      <c r="O691" s="2">
        <f>IF(LeadsData[[#This Row],[Stage Number]]&gt;=4,1,0)</f>
        <v>0</v>
      </c>
    </row>
    <row r="692" spans="1:15" x14ac:dyDescent="0.25">
      <c r="A692" t="s">
        <v>732</v>
      </c>
      <c r="B692" s="1">
        <v>45584</v>
      </c>
      <c r="C692" t="s">
        <v>36</v>
      </c>
      <c r="D692" t="s">
        <v>37</v>
      </c>
      <c r="E692" t="s">
        <v>21</v>
      </c>
      <c r="F692" t="s">
        <v>19</v>
      </c>
      <c r="G692" t="s">
        <v>42</v>
      </c>
      <c r="H692">
        <v>29</v>
      </c>
      <c r="I692" t="s">
        <v>87</v>
      </c>
      <c r="J692">
        <v>4988.4799999999996</v>
      </c>
      <c r="K692" cm="1">
        <f t="array" ref="K692">_xlfn.SWITCH(LeadsData[[#This Row],[Funnel Stage Reached]],"Lead",1,"MQL",2,"SQL",3,"Customer",4)</f>
        <v>4</v>
      </c>
      <c r="L692" t="str">
        <f>TEXT(LeadsData[[#This Row],[Signup Date]],"mmm-yyyy")</f>
        <v>Oct-2024</v>
      </c>
      <c r="M692">
        <f>IF(LeadsData[[#This Row],[Stage Number]]&gt;=2,1,0)</f>
        <v>1</v>
      </c>
      <c r="N692" s="2">
        <f>IF(LeadsData[[#This Row],[Stage Number]]&gt;=3,1,0)</f>
        <v>1</v>
      </c>
      <c r="O692" s="2">
        <f>IF(LeadsData[[#This Row],[Stage Number]]&gt;=4,1,0)</f>
        <v>1</v>
      </c>
    </row>
    <row r="693" spans="1:15" x14ac:dyDescent="0.25">
      <c r="A693" t="s">
        <v>733</v>
      </c>
      <c r="B693" s="1">
        <v>45532</v>
      </c>
      <c r="C693" t="s">
        <v>36</v>
      </c>
      <c r="D693" t="s">
        <v>37</v>
      </c>
      <c r="E693" t="s">
        <v>13</v>
      </c>
      <c r="F693" t="s">
        <v>22</v>
      </c>
      <c r="G693" t="s">
        <v>29</v>
      </c>
      <c r="K693" cm="1">
        <f t="array" ref="K693">_xlfn.SWITCH(LeadsData[[#This Row],[Funnel Stage Reached]],"Lead",1,"MQL",2,"SQL",3,"Customer",4)</f>
        <v>3</v>
      </c>
      <c r="L693" t="str">
        <f>TEXT(LeadsData[[#This Row],[Signup Date]],"mmm-yyyy")</f>
        <v>Aug-2024</v>
      </c>
      <c r="M693">
        <f>IF(LeadsData[[#This Row],[Stage Number]]&gt;=2,1,0)</f>
        <v>1</v>
      </c>
      <c r="N693" s="2">
        <f>IF(LeadsData[[#This Row],[Stage Number]]&gt;=3,1,0)</f>
        <v>1</v>
      </c>
      <c r="O693" s="2">
        <f>IF(LeadsData[[#This Row],[Stage Number]]&gt;=4,1,0)</f>
        <v>0</v>
      </c>
    </row>
    <row r="694" spans="1:15" x14ac:dyDescent="0.25">
      <c r="A694" t="s">
        <v>734</v>
      </c>
      <c r="B694" s="1">
        <v>45515</v>
      </c>
      <c r="C694" t="s">
        <v>11</v>
      </c>
      <c r="D694" t="s">
        <v>68</v>
      </c>
      <c r="E694" t="s">
        <v>21</v>
      </c>
      <c r="F694" t="s">
        <v>19</v>
      </c>
      <c r="G694" t="s">
        <v>29</v>
      </c>
      <c r="K694" cm="1">
        <f t="array" ref="K694">_xlfn.SWITCH(LeadsData[[#This Row],[Funnel Stage Reached]],"Lead",1,"MQL",2,"SQL",3,"Customer",4)</f>
        <v>3</v>
      </c>
      <c r="L694" t="str">
        <f>TEXT(LeadsData[[#This Row],[Signup Date]],"mmm-yyyy")</f>
        <v>Aug-2024</v>
      </c>
      <c r="M694">
        <f>IF(LeadsData[[#This Row],[Stage Number]]&gt;=2,1,0)</f>
        <v>1</v>
      </c>
      <c r="N694" s="2">
        <f>IF(LeadsData[[#This Row],[Stage Number]]&gt;=3,1,0)</f>
        <v>1</v>
      </c>
      <c r="O694" s="2">
        <f>IF(LeadsData[[#This Row],[Stage Number]]&gt;=4,1,0)</f>
        <v>0</v>
      </c>
    </row>
    <row r="695" spans="1:15" x14ac:dyDescent="0.25">
      <c r="A695" t="s">
        <v>735</v>
      </c>
      <c r="B695" s="1">
        <v>45304</v>
      </c>
      <c r="C695" t="s">
        <v>17</v>
      </c>
      <c r="D695" t="s">
        <v>18</v>
      </c>
      <c r="E695" t="s">
        <v>13</v>
      </c>
      <c r="F695" t="s">
        <v>19</v>
      </c>
      <c r="G695" t="s">
        <v>15</v>
      </c>
      <c r="K695" cm="1">
        <f t="array" ref="K695">_xlfn.SWITCH(LeadsData[[#This Row],[Funnel Stage Reached]],"Lead",1,"MQL",2,"SQL",3,"Customer",4)</f>
        <v>1</v>
      </c>
      <c r="L695" t="str">
        <f>TEXT(LeadsData[[#This Row],[Signup Date]],"mmm-yyyy")</f>
        <v>Jan-2024</v>
      </c>
      <c r="M695">
        <f>IF(LeadsData[[#This Row],[Stage Number]]&gt;=2,1,0)</f>
        <v>0</v>
      </c>
      <c r="N695" s="2">
        <f>IF(LeadsData[[#This Row],[Stage Number]]&gt;=3,1,0)</f>
        <v>0</v>
      </c>
      <c r="O695" s="2">
        <f>IF(LeadsData[[#This Row],[Stage Number]]&gt;=4,1,0)</f>
        <v>0</v>
      </c>
    </row>
    <row r="696" spans="1:15" x14ac:dyDescent="0.25">
      <c r="A696" t="s">
        <v>736</v>
      </c>
      <c r="B696" s="1">
        <v>45500</v>
      </c>
      <c r="C696" t="s">
        <v>46</v>
      </c>
      <c r="D696" t="s">
        <v>47</v>
      </c>
      <c r="E696" t="s">
        <v>13</v>
      </c>
      <c r="F696" t="s">
        <v>19</v>
      </c>
      <c r="G696" t="s">
        <v>23</v>
      </c>
      <c r="K696" cm="1">
        <f t="array" ref="K696">_xlfn.SWITCH(LeadsData[[#This Row],[Funnel Stage Reached]],"Lead",1,"MQL",2,"SQL",3,"Customer",4)</f>
        <v>2</v>
      </c>
      <c r="L696" t="str">
        <f>TEXT(LeadsData[[#This Row],[Signup Date]],"mmm-yyyy")</f>
        <v>Jul-2024</v>
      </c>
      <c r="M696">
        <f>IF(LeadsData[[#This Row],[Stage Number]]&gt;=2,1,0)</f>
        <v>1</v>
      </c>
      <c r="N696" s="2">
        <f>IF(LeadsData[[#This Row],[Stage Number]]&gt;=3,1,0)</f>
        <v>0</v>
      </c>
      <c r="O696" s="2">
        <f>IF(LeadsData[[#This Row],[Stage Number]]&gt;=4,1,0)</f>
        <v>0</v>
      </c>
    </row>
    <row r="697" spans="1:15" x14ac:dyDescent="0.25">
      <c r="A697" t="s">
        <v>737</v>
      </c>
      <c r="B697" s="1">
        <v>45296</v>
      </c>
      <c r="C697" t="s">
        <v>31</v>
      </c>
      <c r="D697" t="s">
        <v>32</v>
      </c>
      <c r="E697" t="s">
        <v>13</v>
      </c>
      <c r="F697" t="s">
        <v>14</v>
      </c>
      <c r="G697" t="s">
        <v>23</v>
      </c>
      <c r="K697" cm="1">
        <f t="array" ref="K697">_xlfn.SWITCH(LeadsData[[#This Row],[Funnel Stage Reached]],"Lead",1,"MQL",2,"SQL",3,"Customer",4)</f>
        <v>2</v>
      </c>
      <c r="L697" t="str">
        <f>TEXT(LeadsData[[#This Row],[Signup Date]],"mmm-yyyy")</f>
        <v>Jan-2024</v>
      </c>
      <c r="M697">
        <f>IF(LeadsData[[#This Row],[Stage Number]]&gt;=2,1,0)</f>
        <v>1</v>
      </c>
      <c r="N697" s="2">
        <f>IF(LeadsData[[#This Row],[Stage Number]]&gt;=3,1,0)</f>
        <v>0</v>
      </c>
      <c r="O697" s="2">
        <f>IF(LeadsData[[#This Row],[Stage Number]]&gt;=4,1,0)</f>
        <v>0</v>
      </c>
    </row>
    <row r="698" spans="1:15" x14ac:dyDescent="0.25">
      <c r="A698" t="s">
        <v>738</v>
      </c>
      <c r="B698" s="1">
        <v>45368</v>
      </c>
      <c r="C698" t="s">
        <v>11</v>
      </c>
      <c r="D698" t="s">
        <v>12</v>
      </c>
      <c r="E698" t="s">
        <v>13</v>
      </c>
      <c r="F698" t="s">
        <v>22</v>
      </c>
      <c r="G698" t="s">
        <v>23</v>
      </c>
      <c r="K698" cm="1">
        <f t="array" ref="K698">_xlfn.SWITCH(LeadsData[[#This Row],[Funnel Stage Reached]],"Lead",1,"MQL",2,"SQL",3,"Customer",4)</f>
        <v>2</v>
      </c>
      <c r="L698" t="str">
        <f>TEXT(LeadsData[[#This Row],[Signup Date]],"mmm-yyyy")</f>
        <v>Mar-2024</v>
      </c>
      <c r="M698">
        <f>IF(LeadsData[[#This Row],[Stage Number]]&gt;=2,1,0)</f>
        <v>1</v>
      </c>
      <c r="N698" s="2">
        <f>IF(LeadsData[[#This Row],[Stage Number]]&gt;=3,1,0)</f>
        <v>0</v>
      </c>
      <c r="O698" s="2">
        <f>IF(LeadsData[[#This Row],[Stage Number]]&gt;=4,1,0)</f>
        <v>0</v>
      </c>
    </row>
    <row r="699" spans="1:15" x14ac:dyDescent="0.25">
      <c r="A699" t="s">
        <v>739</v>
      </c>
      <c r="B699" s="1">
        <v>45651</v>
      </c>
      <c r="C699" t="s">
        <v>31</v>
      </c>
      <c r="D699" t="s">
        <v>32</v>
      </c>
      <c r="E699" t="s">
        <v>13</v>
      </c>
      <c r="F699" t="s">
        <v>14</v>
      </c>
      <c r="G699" t="s">
        <v>29</v>
      </c>
      <c r="K699" cm="1">
        <f t="array" ref="K699">_xlfn.SWITCH(LeadsData[[#This Row],[Funnel Stage Reached]],"Lead",1,"MQL",2,"SQL",3,"Customer",4)</f>
        <v>3</v>
      </c>
      <c r="L699" t="str">
        <f>TEXT(LeadsData[[#This Row],[Signup Date]],"mmm-yyyy")</f>
        <v>Dec-2024</v>
      </c>
      <c r="M699">
        <f>IF(LeadsData[[#This Row],[Stage Number]]&gt;=2,1,0)</f>
        <v>1</v>
      </c>
      <c r="N699" s="2">
        <f>IF(LeadsData[[#This Row],[Stage Number]]&gt;=3,1,0)</f>
        <v>1</v>
      </c>
      <c r="O699" s="2">
        <f>IF(LeadsData[[#This Row],[Stage Number]]&gt;=4,1,0)</f>
        <v>0</v>
      </c>
    </row>
    <row r="700" spans="1:15" x14ac:dyDescent="0.25">
      <c r="A700" t="s">
        <v>740</v>
      </c>
      <c r="B700" s="1">
        <v>45413</v>
      </c>
      <c r="C700" t="s">
        <v>17</v>
      </c>
      <c r="D700" t="s">
        <v>53</v>
      </c>
      <c r="E700" t="s">
        <v>13</v>
      </c>
      <c r="F700" t="s">
        <v>19</v>
      </c>
      <c r="G700" t="s">
        <v>23</v>
      </c>
      <c r="K700" cm="1">
        <f t="array" ref="K700">_xlfn.SWITCH(LeadsData[[#This Row],[Funnel Stage Reached]],"Lead",1,"MQL",2,"SQL",3,"Customer",4)</f>
        <v>2</v>
      </c>
      <c r="L700" t="str">
        <f>TEXT(LeadsData[[#This Row],[Signup Date]],"mmm-yyyy")</f>
        <v>May-2024</v>
      </c>
      <c r="M700">
        <f>IF(LeadsData[[#This Row],[Stage Number]]&gt;=2,1,0)</f>
        <v>1</v>
      </c>
      <c r="N700" s="2">
        <f>IF(LeadsData[[#This Row],[Stage Number]]&gt;=3,1,0)</f>
        <v>0</v>
      </c>
      <c r="O700" s="2">
        <f>IF(LeadsData[[#This Row],[Stage Number]]&gt;=4,1,0)</f>
        <v>0</v>
      </c>
    </row>
    <row r="701" spans="1:15" x14ac:dyDescent="0.25">
      <c r="A701" t="s">
        <v>741</v>
      </c>
      <c r="B701" s="1">
        <v>45527</v>
      </c>
      <c r="C701" t="s">
        <v>17</v>
      </c>
      <c r="D701" t="s">
        <v>18</v>
      </c>
      <c r="E701" t="s">
        <v>13</v>
      </c>
      <c r="F701" t="s">
        <v>14</v>
      </c>
      <c r="G701" t="s">
        <v>15</v>
      </c>
      <c r="K701" cm="1">
        <f t="array" ref="K701">_xlfn.SWITCH(LeadsData[[#This Row],[Funnel Stage Reached]],"Lead",1,"MQL",2,"SQL",3,"Customer",4)</f>
        <v>1</v>
      </c>
      <c r="L701" t="str">
        <f>TEXT(LeadsData[[#This Row],[Signup Date]],"mmm-yyyy")</f>
        <v>Aug-2024</v>
      </c>
      <c r="M701">
        <f>IF(LeadsData[[#This Row],[Stage Number]]&gt;=2,1,0)</f>
        <v>0</v>
      </c>
      <c r="N701" s="2">
        <f>IF(LeadsData[[#This Row],[Stage Number]]&gt;=3,1,0)</f>
        <v>0</v>
      </c>
      <c r="O701" s="2">
        <f>IF(LeadsData[[#This Row],[Stage Number]]&gt;=4,1,0)</f>
        <v>0</v>
      </c>
    </row>
    <row r="702" spans="1:15" x14ac:dyDescent="0.25">
      <c r="A702" t="s">
        <v>742</v>
      </c>
      <c r="B702" s="1">
        <v>45571</v>
      </c>
      <c r="C702" t="s">
        <v>17</v>
      </c>
      <c r="D702" t="s">
        <v>18</v>
      </c>
      <c r="E702" t="s">
        <v>13</v>
      </c>
      <c r="F702" t="s">
        <v>28</v>
      </c>
      <c r="G702" t="s">
        <v>15</v>
      </c>
      <c r="K702" cm="1">
        <f t="array" ref="K702">_xlfn.SWITCH(LeadsData[[#This Row],[Funnel Stage Reached]],"Lead",1,"MQL",2,"SQL",3,"Customer",4)</f>
        <v>1</v>
      </c>
      <c r="L702" t="str">
        <f>TEXT(LeadsData[[#This Row],[Signup Date]],"mmm-yyyy")</f>
        <v>Oct-2024</v>
      </c>
      <c r="M702">
        <f>IF(LeadsData[[#This Row],[Stage Number]]&gt;=2,1,0)</f>
        <v>0</v>
      </c>
      <c r="N702" s="2">
        <f>IF(LeadsData[[#This Row],[Stage Number]]&gt;=3,1,0)</f>
        <v>0</v>
      </c>
      <c r="O702" s="2">
        <f>IF(LeadsData[[#This Row],[Stage Number]]&gt;=4,1,0)</f>
        <v>0</v>
      </c>
    </row>
    <row r="703" spans="1:15" x14ac:dyDescent="0.25">
      <c r="A703" t="s">
        <v>743</v>
      </c>
      <c r="B703" s="1">
        <v>45354</v>
      </c>
      <c r="C703" t="s">
        <v>17</v>
      </c>
      <c r="D703" t="s">
        <v>53</v>
      </c>
      <c r="E703" t="s">
        <v>13</v>
      </c>
      <c r="F703" t="s">
        <v>22</v>
      </c>
      <c r="G703" t="s">
        <v>15</v>
      </c>
      <c r="K703" cm="1">
        <f t="array" ref="K703">_xlfn.SWITCH(LeadsData[[#This Row],[Funnel Stage Reached]],"Lead",1,"MQL",2,"SQL",3,"Customer",4)</f>
        <v>1</v>
      </c>
      <c r="L703" t="str">
        <f>TEXT(LeadsData[[#This Row],[Signup Date]],"mmm-yyyy")</f>
        <v>Mar-2024</v>
      </c>
      <c r="M703">
        <f>IF(LeadsData[[#This Row],[Stage Number]]&gt;=2,1,0)</f>
        <v>0</v>
      </c>
      <c r="N703" s="2">
        <f>IF(LeadsData[[#This Row],[Stage Number]]&gt;=3,1,0)</f>
        <v>0</v>
      </c>
      <c r="O703" s="2">
        <f>IF(LeadsData[[#This Row],[Stage Number]]&gt;=4,1,0)</f>
        <v>0</v>
      </c>
    </row>
    <row r="704" spans="1:15" x14ac:dyDescent="0.25">
      <c r="A704" t="s">
        <v>744</v>
      </c>
      <c r="B704" s="1">
        <v>45461</v>
      </c>
      <c r="C704" t="s">
        <v>36</v>
      </c>
      <c r="D704" t="s">
        <v>37</v>
      </c>
      <c r="E704" t="s">
        <v>21</v>
      </c>
      <c r="F704" t="s">
        <v>22</v>
      </c>
      <c r="G704" t="s">
        <v>15</v>
      </c>
      <c r="K704" cm="1">
        <f t="array" ref="K704">_xlfn.SWITCH(LeadsData[[#This Row],[Funnel Stage Reached]],"Lead",1,"MQL",2,"SQL",3,"Customer",4)</f>
        <v>1</v>
      </c>
      <c r="L704" t="str">
        <f>TEXT(LeadsData[[#This Row],[Signup Date]],"mmm-yyyy")</f>
        <v>Jun-2024</v>
      </c>
      <c r="M704">
        <f>IF(LeadsData[[#This Row],[Stage Number]]&gt;=2,1,0)</f>
        <v>0</v>
      </c>
      <c r="N704" s="2">
        <f>IF(LeadsData[[#This Row],[Stage Number]]&gt;=3,1,0)</f>
        <v>0</v>
      </c>
      <c r="O704" s="2">
        <f>IF(LeadsData[[#This Row],[Stage Number]]&gt;=4,1,0)</f>
        <v>0</v>
      </c>
    </row>
    <row r="705" spans="1:15" x14ac:dyDescent="0.25">
      <c r="A705" t="s">
        <v>745</v>
      </c>
      <c r="B705" s="1">
        <v>45402</v>
      </c>
      <c r="C705" t="s">
        <v>11</v>
      </c>
      <c r="D705" t="s">
        <v>12</v>
      </c>
      <c r="E705" t="s">
        <v>13</v>
      </c>
      <c r="F705" t="s">
        <v>22</v>
      </c>
      <c r="G705" t="s">
        <v>15</v>
      </c>
      <c r="K705" cm="1">
        <f t="array" ref="K705">_xlfn.SWITCH(LeadsData[[#This Row],[Funnel Stage Reached]],"Lead",1,"MQL",2,"SQL",3,"Customer",4)</f>
        <v>1</v>
      </c>
      <c r="L705" t="str">
        <f>TEXT(LeadsData[[#This Row],[Signup Date]],"mmm-yyyy")</f>
        <v>Apr-2024</v>
      </c>
      <c r="M705">
        <f>IF(LeadsData[[#This Row],[Stage Number]]&gt;=2,1,0)</f>
        <v>0</v>
      </c>
      <c r="N705" s="2">
        <f>IF(LeadsData[[#This Row],[Stage Number]]&gt;=3,1,0)</f>
        <v>0</v>
      </c>
      <c r="O705" s="2">
        <f>IF(LeadsData[[#This Row],[Stage Number]]&gt;=4,1,0)</f>
        <v>0</v>
      </c>
    </row>
    <row r="706" spans="1:15" x14ac:dyDescent="0.25">
      <c r="A706" t="s">
        <v>746</v>
      </c>
      <c r="B706" s="1">
        <v>45577</v>
      </c>
      <c r="C706" t="s">
        <v>31</v>
      </c>
      <c r="D706" t="s">
        <v>32</v>
      </c>
      <c r="E706" t="s">
        <v>21</v>
      </c>
      <c r="F706" t="s">
        <v>22</v>
      </c>
      <c r="G706" t="s">
        <v>23</v>
      </c>
      <c r="K706" cm="1">
        <f t="array" ref="K706">_xlfn.SWITCH(LeadsData[[#This Row],[Funnel Stage Reached]],"Lead",1,"MQL",2,"SQL",3,"Customer",4)</f>
        <v>2</v>
      </c>
      <c r="L706" t="str">
        <f>TEXT(LeadsData[[#This Row],[Signup Date]],"mmm-yyyy")</f>
        <v>Oct-2024</v>
      </c>
      <c r="M706">
        <f>IF(LeadsData[[#This Row],[Stage Number]]&gt;=2,1,0)</f>
        <v>1</v>
      </c>
      <c r="N706" s="2">
        <f>IF(LeadsData[[#This Row],[Stage Number]]&gt;=3,1,0)</f>
        <v>0</v>
      </c>
      <c r="O706" s="2">
        <f>IF(LeadsData[[#This Row],[Stage Number]]&gt;=4,1,0)</f>
        <v>0</v>
      </c>
    </row>
    <row r="707" spans="1:15" x14ac:dyDescent="0.25">
      <c r="A707" t="s">
        <v>747</v>
      </c>
      <c r="B707" s="1">
        <v>45649</v>
      </c>
      <c r="C707" t="s">
        <v>36</v>
      </c>
      <c r="D707" t="s">
        <v>37</v>
      </c>
      <c r="E707" t="s">
        <v>21</v>
      </c>
      <c r="F707" t="s">
        <v>19</v>
      </c>
      <c r="G707" t="s">
        <v>15</v>
      </c>
      <c r="K707" cm="1">
        <f t="array" ref="K707">_xlfn.SWITCH(LeadsData[[#This Row],[Funnel Stage Reached]],"Lead",1,"MQL",2,"SQL",3,"Customer",4)</f>
        <v>1</v>
      </c>
      <c r="L707" t="str">
        <f>TEXT(LeadsData[[#This Row],[Signup Date]],"mmm-yyyy")</f>
        <v>Dec-2024</v>
      </c>
      <c r="M707">
        <f>IF(LeadsData[[#This Row],[Stage Number]]&gt;=2,1,0)</f>
        <v>0</v>
      </c>
      <c r="N707" s="2">
        <f>IF(LeadsData[[#This Row],[Stage Number]]&gt;=3,1,0)</f>
        <v>0</v>
      </c>
      <c r="O707" s="2">
        <f>IF(LeadsData[[#This Row],[Stage Number]]&gt;=4,1,0)</f>
        <v>0</v>
      </c>
    </row>
    <row r="708" spans="1:15" x14ac:dyDescent="0.25">
      <c r="A708" t="s">
        <v>748</v>
      </c>
      <c r="B708" s="1">
        <v>45354</v>
      </c>
      <c r="C708" t="s">
        <v>17</v>
      </c>
      <c r="D708" t="s">
        <v>18</v>
      </c>
      <c r="E708" t="s">
        <v>13</v>
      </c>
      <c r="F708" t="s">
        <v>19</v>
      </c>
      <c r="G708" t="s">
        <v>15</v>
      </c>
      <c r="K708" cm="1">
        <f t="array" ref="K708">_xlfn.SWITCH(LeadsData[[#This Row],[Funnel Stage Reached]],"Lead",1,"MQL",2,"SQL",3,"Customer",4)</f>
        <v>1</v>
      </c>
      <c r="L708" t="str">
        <f>TEXT(LeadsData[[#This Row],[Signup Date]],"mmm-yyyy")</f>
        <v>Mar-2024</v>
      </c>
      <c r="M708">
        <f>IF(LeadsData[[#This Row],[Stage Number]]&gt;=2,1,0)</f>
        <v>0</v>
      </c>
      <c r="N708" s="2">
        <f>IF(LeadsData[[#This Row],[Stage Number]]&gt;=3,1,0)</f>
        <v>0</v>
      </c>
      <c r="O708" s="2">
        <f>IF(LeadsData[[#This Row],[Stage Number]]&gt;=4,1,0)</f>
        <v>0</v>
      </c>
    </row>
    <row r="709" spans="1:15" x14ac:dyDescent="0.25">
      <c r="A709" t="s">
        <v>749</v>
      </c>
      <c r="B709" s="1">
        <v>45463</v>
      </c>
      <c r="C709" t="s">
        <v>17</v>
      </c>
      <c r="D709" t="s">
        <v>53</v>
      </c>
      <c r="E709" t="s">
        <v>21</v>
      </c>
      <c r="F709" t="s">
        <v>22</v>
      </c>
      <c r="G709" t="s">
        <v>15</v>
      </c>
      <c r="K709" cm="1">
        <f t="array" ref="K709">_xlfn.SWITCH(LeadsData[[#This Row],[Funnel Stage Reached]],"Lead",1,"MQL",2,"SQL",3,"Customer",4)</f>
        <v>1</v>
      </c>
      <c r="L709" t="str">
        <f>TEXT(LeadsData[[#This Row],[Signup Date]],"mmm-yyyy")</f>
        <v>Jun-2024</v>
      </c>
      <c r="M709">
        <f>IF(LeadsData[[#This Row],[Stage Number]]&gt;=2,1,0)</f>
        <v>0</v>
      </c>
      <c r="N709" s="2">
        <f>IF(LeadsData[[#This Row],[Stage Number]]&gt;=3,1,0)</f>
        <v>0</v>
      </c>
      <c r="O709" s="2">
        <f>IF(LeadsData[[#This Row],[Stage Number]]&gt;=4,1,0)</f>
        <v>0</v>
      </c>
    </row>
    <row r="710" spans="1:15" x14ac:dyDescent="0.25">
      <c r="A710" t="s">
        <v>750</v>
      </c>
      <c r="B710" s="1">
        <v>45455</v>
      </c>
      <c r="C710" t="s">
        <v>17</v>
      </c>
      <c r="D710" t="s">
        <v>18</v>
      </c>
      <c r="E710" t="s">
        <v>13</v>
      </c>
      <c r="F710" t="s">
        <v>22</v>
      </c>
      <c r="G710" t="s">
        <v>15</v>
      </c>
      <c r="K710" cm="1">
        <f t="array" ref="K710">_xlfn.SWITCH(LeadsData[[#This Row],[Funnel Stage Reached]],"Lead",1,"MQL",2,"SQL",3,"Customer",4)</f>
        <v>1</v>
      </c>
      <c r="L710" t="str">
        <f>TEXT(LeadsData[[#This Row],[Signup Date]],"mmm-yyyy")</f>
        <v>Jun-2024</v>
      </c>
      <c r="M710">
        <f>IF(LeadsData[[#This Row],[Stage Number]]&gt;=2,1,0)</f>
        <v>0</v>
      </c>
      <c r="N710" s="2">
        <f>IF(LeadsData[[#This Row],[Stage Number]]&gt;=3,1,0)</f>
        <v>0</v>
      </c>
      <c r="O710" s="2">
        <f>IF(LeadsData[[#This Row],[Stage Number]]&gt;=4,1,0)</f>
        <v>0</v>
      </c>
    </row>
    <row r="711" spans="1:15" x14ac:dyDescent="0.25">
      <c r="A711" t="s">
        <v>751</v>
      </c>
      <c r="B711" s="1">
        <v>45577</v>
      </c>
      <c r="C711" t="s">
        <v>46</v>
      </c>
      <c r="D711" t="s">
        <v>56</v>
      </c>
      <c r="E711" t="s">
        <v>21</v>
      </c>
      <c r="F711" t="s">
        <v>14</v>
      </c>
      <c r="G711" t="s">
        <v>15</v>
      </c>
      <c r="K711" cm="1">
        <f t="array" ref="K711">_xlfn.SWITCH(LeadsData[[#This Row],[Funnel Stage Reached]],"Lead",1,"MQL",2,"SQL",3,"Customer",4)</f>
        <v>1</v>
      </c>
      <c r="L711" t="str">
        <f>TEXT(LeadsData[[#This Row],[Signup Date]],"mmm-yyyy")</f>
        <v>Oct-2024</v>
      </c>
      <c r="M711">
        <f>IF(LeadsData[[#This Row],[Stage Number]]&gt;=2,1,0)</f>
        <v>0</v>
      </c>
      <c r="N711" s="2">
        <f>IF(LeadsData[[#This Row],[Stage Number]]&gt;=3,1,0)</f>
        <v>0</v>
      </c>
      <c r="O711" s="2">
        <f>IF(LeadsData[[#This Row],[Stage Number]]&gt;=4,1,0)</f>
        <v>0</v>
      </c>
    </row>
    <row r="712" spans="1:15" x14ac:dyDescent="0.25">
      <c r="A712" t="s">
        <v>752</v>
      </c>
      <c r="B712" s="1">
        <v>45613</v>
      </c>
      <c r="C712" t="s">
        <v>36</v>
      </c>
      <c r="D712" t="s">
        <v>50</v>
      </c>
      <c r="E712" t="s">
        <v>21</v>
      </c>
      <c r="F712" t="s">
        <v>14</v>
      </c>
      <c r="G712" t="s">
        <v>15</v>
      </c>
      <c r="K712" cm="1">
        <f t="array" ref="K712">_xlfn.SWITCH(LeadsData[[#This Row],[Funnel Stage Reached]],"Lead",1,"MQL",2,"SQL",3,"Customer",4)</f>
        <v>1</v>
      </c>
      <c r="L712" t="str">
        <f>TEXT(LeadsData[[#This Row],[Signup Date]],"mmm-yyyy")</f>
        <v>Nov-2024</v>
      </c>
      <c r="M712">
        <f>IF(LeadsData[[#This Row],[Stage Number]]&gt;=2,1,0)</f>
        <v>0</v>
      </c>
      <c r="N712" s="2">
        <f>IF(LeadsData[[#This Row],[Stage Number]]&gt;=3,1,0)</f>
        <v>0</v>
      </c>
      <c r="O712" s="2">
        <f>IF(LeadsData[[#This Row],[Stage Number]]&gt;=4,1,0)</f>
        <v>0</v>
      </c>
    </row>
    <row r="713" spans="1:15" x14ac:dyDescent="0.25">
      <c r="A713" t="s">
        <v>753</v>
      </c>
      <c r="B713" s="1">
        <v>45651</v>
      </c>
      <c r="C713" t="s">
        <v>31</v>
      </c>
      <c r="D713" t="s">
        <v>34</v>
      </c>
      <c r="E713" t="s">
        <v>13</v>
      </c>
      <c r="F713" t="s">
        <v>19</v>
      </c>
      <c r="G713" t="s">
        <v>23</v>
      </c>
      <c r="K713" cm="1">
        <f t="array" ref="K713">_xlfn.SWITCH(LeadsData[[#This Row],[Funnel Stage Reached]],"Lead",1,"MQL",2,"SQL",3,"Customer",4)</f>
        <v>2</v>
      </c>
      <c r="L713" t="str">
        <f>TEXT(LeadsData[[#This Row],[Signup Date]],"mmm-yyyy")</f>
        <v>Dec-2024</v>
      </c>
      <c r="M713">
        <f>IF(LeadsData[[#This Row],[Stage Number]]&gt;=2,1,0)</f>
        <v>1</v>
      </c>
      <c r="N713" s="2">
        <f>IF(LeadsData[[#This Row],[Stage Number]]&gt;=3,1,0)</f>
        <v>0</v>
      </c>
      <c r="O713" s="2">
        <f>IF(LeadsData[[#This Row],[Stage Number]]&gt;=4,1,0)</f>
        <v>0</v>
      </c>
    </row>
    <row r="714" spans="1:15" x14ac:dyDescent="0.25">
      <c r="A714" t="s">
        <v>754</v>
      </c>
      <c r="B714" s="1">
        <v>45624</v>
      </c>
      <c r="C714" t="s">
        <v>31</v>
      </c>
      <c r="D714" t="s">
        <v>32</v>
      </c>
      <c r="E714" t="s">
        <v>21</v>
      </c>
      <c r="F714" t="s">
        <v>19</v>
      </c>
      <c r="G714" t="s">
        <v>23</v>
      </c>
      <c r="K714" cm="1">
        <f t="array" ref="K714">_xlfn.SWITCH(LeadsData[[#This Row],[Funnel Stage Reached]],"Lead",1,"MQL",2,"SQL",3,"Customer",4)</f>
        <v>2</v>
      </c>
      <c r="L714" t="str">
        <f>TEXT(LeadsData[[#This Row],[Signup Date]],"mmm-yyyy")</f>
        <v>Nov-2024</v>
      </c>
      <c r="M714">
        <f>IF(LeadsData[[#This Row],[Stage Number]]&gt;=2,1,0)</f>
        <v>1</v>
      </c>
      <c r="N714" s="2">
        <f>IF(LeadsData[[#This Row],[Stage Number]]&gt;=3,1,0)</f>
        <v>0</v>
      </c>
      <c r="O714" s="2">
        <f>IF(LeadsData[[#This Row],[Stage Number]]&gt;=4,1,0)</f>
        <v>0</v>
      </c>
    </row>
    <row r="715" spans="1:15" x14ac:dyDescent="0.25">
      <c r="A715" t="s">
        <v>755</v>
      </c>
      <c r="B715" s="1">
        <v>45386</v>
      </c>
      <c r="C715" t="s">
        <v>46</v>
      </c>
      <c r="D715" t="s">
        <v>56</v>
      </c>
      <c r="E715" t="s">
        <v>13</v>
      </c>
      <c r="F715" t="s">
        <v>22</v>
      </c>
      <c r="G715" t="s">
        <v>15</v>
      </c>
      <c r="K715" cm="1">
        <f t="array" ref="K715">_xlfn.SWITCH(LeadsData[[#This Row],[Funnel Stage Reached]],"Lead",1,"MQL",2,"SQL",3,"Customer",4)</f>
        <v>1</v>
      </c>
      <c r="L715" t="str">
        <f>TEXT(LeadsData[[#This Row],[Signup Date]],"mmm-yyyy")</f>
        <v>Apr-2024</v>
      </c>
      <c r="M715">
        <f>IF(LeadsData[[#This Row],[Stage Number]]&gt;=2,1,0)</f>
        <v>0</v>
      </c>
      <c r="N715" s="2">
        <f>IF(LeadsData[[#This Row],[Stage Number]]&gt;=3,1,0)</f>
        <v>0</v>
      </c>
      <c r="O715" s="2">
        <f>IF(LeadsData[[#This Row],[Stage Number]]&gt;=4,1,0)</f>
        <v>0</v>
      </c>
    </row>
    <row r="716" spans="1:15" x14ac:dyDescent="0.25">
      <c r="A716" t="s">
        <v>756</v>
      </c>
      <c r="B716" s="1">
        <v>45363</v>
      </c>
      <c r="C716" t="s">
        <v>11</v>
      </c>
      <c r="D716" t="s">
        <v>68</v>
      </c>
      <c r="E716" t="s">
        <v>21</v>
      </c>
      <c r="F716" t="s">
        <v>14</v>
      </c>
      <c r="G716" t="s">
        <v>15</v>
      </c>
      <c r="K716" cm="1">
        <f t="array" ref="K716">_xlfn.SWITCH(LeadsData[[#This Row],[Funnel Stage Reached]],"Lead",1,"MQL",2,"SQL",3,"Customer",4)</f>
        <v>1</v>
      </c>
      <c r="L716" t="str">
        <f>TEXT(LeadsData[[#This Row],[Signup Date]],"mmm-yyyy")</f>
        <v>Mar-2024</v>
      </c>
      <c r="M716">
        <f>IF(LeadsData[[#This Row],[Stage Number]]&gt;=2,1,0)</f>
        <v>0</v>
      </c>
      <c r="N716" s="2">
        <f>IF(LeadsData[[#This Row],[Stage Number]]&gt;=3,1,0)</f>
        <v>0</v>
      </c>
      <c r="O716" s="2">
        <f>IF(LeadsData[[#This Row],[Stage Number]]&gt;=4,1,0)</f>
        <v>0</v>
      </c>
    </row>
    <row r="717" spans="1:15" x14ac:dyDescent="0.25">
      <c r="A717" t="s">
        <v>757</v>
      </c>
      <c r="B717" s="1">
        <v>45589</v>
      </c>
      <c r="C717" t="s">
        <v>25</v>
      </c>
      <c r="D717" t="s">
        <v>26</v>
      </c>
      <c r="E717" t="s">
        <v>13</v>
      </c>
      <c r="F717" t="s">
        <v>28</v>
      </c>
      <c r="G717" t="s">
        <v>23</v>
      </c>
      <c r="K717" cm="1">
        <f t="array" ref="K717">_xlfn.SWITCH(LeadsData[[#This Row],[Funnel Stage Reached]],"Lead",1,"MQL",2,"SQL",3,"Customer",4)</f>
        <v>2</v>
      </c>
      <c r="L717" t="str">
        <f>TEXT(LeadsData[[#This Row],[Signup Date]],"mmm-yyyy")</f>
        <v>Oct-2024</v>
      </c>
      <c r="M717">
        <f>IF(LeadsData[[#This Row],[Stage Number]]&gt;=2,1,0)</f>
        <v>1</v>
      </c>
      <c r="N717" s="2">
        <f>IF(LeadsData[[#This Row],[Stage Number]]&gt;=3,1,0)</f>
        <v>0</v>
      </c>
      <c r="O717" s="2">
        <f>IF(LeadsData[[#This Row],[Stage Number]]&gt;=4,1,0)</f>
        <v>0</v>
      </c>
    </row>
    <row r="718" spans="1:15" x14ac:dyDescent="0.25">
      <c r="A718" t="s">
        <v>758</v>
      </c>
      <c r="B718" s="1">
        <v>45489</v>
      </c>
      <c r="C718" t="s">
        <v>31</v>
      </c>
      <c r="D718" t="s">
        <v>34</v>
      </c>
      <c r="E718" t="s">
        <v>21</v>
      </c>
      <c r="F718" t="s">
        <v>19</v>
      </c>
      <c r="G718" t="s">
        <v>23</v>
      </c>
      <c r="K718" cm="1">
        <f t="array" ref="K718">_xlfn.SWITCH(LeadsData[[#This Row],[Funnel Stage Reached]],"Lead",1,"MQL",2,"SQL",3,"Customer",4)</f>
        <v>2</v>
      </c>
      <c r="L718" t="str">
        <f>TEXT(LeadsData[[#This Row],[Signup Date]],"mmm-yyyy")</f>
        <v>Jul-2024</v>
      </c>
      <c r="M718">
        <f>IF(LeadsData[[#This Row],[Stage Number]]&gt;=2,1,0)</f>
        <v>1</v>
      </c>
      <c r="N718" s="2">
        <f>IF(LeadsData[[#This Row],[Stage Number]]&gt;=3,1,0)</f>
        <v>0</v>
      </c>
      <c r="O718" s="2">
        <f>IF(LeadsData[[#This Row],[Stage Number]]&gt;=4,1,0)</f>
        <v>0</v>
      </c>
    </row>
    <row r="719" spans="1:15" x14ac:dyDescent="0.25">
      <c r="A719" t="s">
        <v>759</v>
      </c>
      <c r="B719" s="1">
        <v>45530</v>
      </c>
      <c r="C719" t="s">
        <v>17</v>
      </c>
      <c r="D719" t="s">
        <v>18</v>
      </c>
      <c r="E719" t="s">
        <v>13</v>
      </c>
      <c r="F719" t="s">
        <v>28</v>
      </c>
      <c r="G719" t="s">
        <v>23</v>
      </c>
      <c r="K719" cm="1">
        <f t="array" ref="K719">_xlfn.SWITCH(LeadsData[[#This Row],[Funnel Stage Reached]],"Lead",1,"MQL",2,"SQL",3,"Customer",4)</f>
        <v>2</v>
      </c>
      <c r="L719" t="str">
        <f>TEXT(LeadsData[[#This Row],[Signup Date]],"mmm-yyyy")</f>
        <v>Aug-2024</v>
      </c>
      <c r="M719">
        <f>IF(LeadsData[[#This Row],[Stage Number]]&gt;=2,1,0)</f>
        <v>1</v>
      </c>
      <c r="N719" s="2">
        <f>IF(LeadsData[[#This Row],[Stage Number]]&gt;=3,1,0)</f>
        <v>0</v>
      </c>
      <c r="O719" s="2">
        <f>IF(LeadsData[[#This Row],[Stage Number]]&gt;=4,1,0)</f>
        <v>0</v>
      </c>
    </row>
    <row r="720" spans="1:15" x14ac:dyDescent="0.25">
      <c r="A720" t="s">
        <v>760</v>
      </c>
      <c r="B720" s="1">
        <v>45426</v>
      </c>
      <c r="C720" t="s">
        <v>31</v>
      </c>
      <c r="D720" t="s">
        <v>34</v>
      </c>
      <c r="E720" t="s">
        <v>13</v>
      </c>
      <c r="F720" t="s">
        <v>19</v>
      </c>
      <c r="G720" t="s">
        <v>42</v>
      </c>
      <c r="H720">
        <v>17</v>
      </c>
      <c r="I720" t="s">
        <v>183</v>
      </c>
      <c r="J720">
        <v>18781.64</v>
      </c>
      <c r="K720" cm="1">
        <f t="array" ref="K720">_xlfn.SWITCH(LeadsData[[#This Row],[Funnel Stage Reached]],"Lead",1,"MQL",2,"SQL",3,"Customer",4)</f>
        <v>4</v>
      </c>
      <c r="L720" t="str">
        <f>TEXT(LeadsData[[#This Row],[Signup Date]],"mmm-yyyy")</f>
        <v>May-2024</v>
      </c>
      <c r="M720">
        <f>IF(LeadsData[[#This Row],[Stage Number]]&gt;=2,1,0)</f>
        <v>1</v>
      </c>
      <c r="N720" s="2">
        <f>IF(LeadsData[[#This Row],[Stage Number]]&gt;=3,1,0)</f>
        <v>1</v>
      </c>
      <c r="O720" s="2">
        <f>IF(LeadsData[[#This Row],[Stage Number]]&gt;=4,1,0)</f>
        <v>1</v>
      </c>
    </row>
    <row r="721" spans="1:15" x14ac:dyDescent="0.25">
      <c r="A721" t="s">
        <v>761</v>
      </c>
      <c r="B721" s="1">
        <v>45593</v>
      </c>
      <c r="C721" t="s">
        <v>31</v>
      </c>
      <c r="D721" t="s">
        <v>32</v>
      </c>
      <c r="E721" t="s">
        <v>21</v>
      </c>
      <c r="F721" t="s">
        <v>19</v>
      </c>
      <c r="G721" t="s">
        <v>15</v>
      </c>
      <c r="K721" cm="1">
        <f t="array" ref="K721">_xlfn.SWITCH(LeadsData[[#This Row],[Funnel Stage Reached]],"Lead",1,"MQL",2,"SQL",3,"Customer",4)</f>
        <v>1</v>
      </c>
      <c r="L721" t="str">
        <f>TEXT(LeadsData[[#This Row],[Signup Date]],"mmm-yyyy")</f>
        <v>Oct-2024</v>
      </c>
      <c r="M721">
        <f>IF(LeadsData[[#This Row],[Stage Number]]&gt;=2,1,0)</f>
        <v>0</v>
      </c>
      <c r="N721" s="2">
        <f>IF(LeadsData[[#This Row],[Stage Number]]&gt;=3,1,0)</f>
        <v>0</v>
      </c>
      <c r="O721" s="2">
        <f>IF(LeadsData[[#This Row],[Stage Number]]&gt;=4,1,0)</f>
        <v>0</v>
      </c>
    </row>
    <row r="722" spans="1:15" x14ac:dyDescent="0.25">
      <c r="A722" t="s">
        <v>762</v>
      </c>
      <c r="B722" s="1">
        <v>45519</v>
      </c>
      <c r="C722" t="s">
        <v>31</v>
      </c>
      <c r="D722" t="s">
        <v>34</v>
      </c>
      <c r="E722" t="s">
        <v>21</v>
      </c>
      <c r="F722" t="s">
        <v>22</v>
      </c>
      <c r="G722" t="s">
        <v>29</v>
      </c>
      <c r="K722" cm="1">
        <f t="array" ref="K722">_xlfn.SWITCH(LeadsData[[#This Row],[Funnel Stage Reached]],"Lead",1,"MQL",2,"SQL",3,"Customer",4)</f>
        <v>3</v>
      </c>
      <c r="L722" t="str">
        <f>TEXT(LeadsData[[#This Row],[Signup Date]],"mmm-yyyy")</f>
        <v>Aug-2024</v>
      </c>
      <c r="M722">
        <f>IF(LeadsData[[#This Row],[Stage Number]]&gt;=2,1,0)</f>
        <v>1</v>
      </c>
      <c r="N722" s="2">
        <f>IF(LeadsData[[#This Row],[Stage Number]]&gt;=3,1,0)</f>
        <v>1</v>
      </c>
      <c r="O722" s="2">
        <f>IF(LeadsData[[#This Row],[Stage Number]]&gt;=4,1,0)</f>
        <v>0</v>
      </c>
    </row>
    <row r="723" spans="1:15" x14ac:dyDescent="0.25">
      <c r="A723" t="s">
        <v>763</v>
      </c>
      <c r="B723" s="1">
        <v>45318</v>
      </c>
      <c r="C723" t="s">
        <v>31</v>
      </c>
      <c r="D723" t="s">
        <v>34</v>
      </c>
      <c r="E723" t="s">
        <v>21</v>
      </c>
      <c r="F723" t="s">
        <v>19</v>
      </c>
      <c r="G723" t="s">
        <v>23</v>
      </c>
      <c r="K723" cm="1">
        <f t="array" ref="K723">_xlfn.SWITCH(LeadsData[[#This Row],[Funnel Stage Reached]],"Lead",1,"MQL",2,"SQL",3,"Customer",4)</f>
        <v>2</v>
      </c>
      <c r="L723" t="str">
        <f>TEXT(LeadsData[[#This Row],[Signup Date]],"mmm-yyyy")</f>
        <v>Jan-2024</v>
      </c>
      <c r="M723">
        <f>IF(LeadsData[[#This Row],[Stage Number]]&gt;=2,1,0)</f>
        <v>1</v>
      </c>
      <c r="N723" s="2">
        <f>IF(LeadsData[[#This Row],[Stage Number]]&gt;=3,1,0)</f>
        <v>0</v>
      </c>
      <c r="O723" s="2">
        <f>IF(LeadsData[[#This Row],[Stage Number]]&gt;=4,1,0)</f>
        <v>0</v>
      </c>
    </row>
    <row r="724" spans="1:15" x14ac:dyDescent="0.25">
      <c r="A724" t="s">
        <v>764</v>
      </c>
      <c r="B724" s="1">
        <v>45529</v>
      </c>
      <c r="C724" t="s">
        <v>17</v>
      </c>
      <c r="D724" t="s">
        <v>18</v>
      </c>
      <c r="E724" t="s">
        <v>13</v>
      </c>
      <c r="F724" t="s">
        <v>22</v>
      </c>
      <c r="G724" t="s">
        <v>15</v>
      </c>
      <c r="K724" cm="1">
        <f t="array" ref="K724">_xlfn.SWITCH(LeadsData[[#This Row],[Funnel Stage Reached]],"Lead",1,"MQL",2,"SQL",3,"Customer",4)</f>
        <v>1</v>
      </c>
      <c r="L724" t="str">
        <f>TEXT(LeadsData[[#This Row],[Signup Date]],"mmm-yyyy")</f>
        <v>Aug-2024</v>
      </c>
      <c r="M724">
        <f>IF(LeadsData[[#This Row],[Stage Number]]&gt;=2,1,0)</f>
        <v>0</v>
      </c>
      <c r="N724" s="2">
        <f>IF(LeadsData[[#This Row],[Stage Number]]&gt;=3,1,0)</f>
        <v>0</v>
      </c>
      <c r="O724" s="2">
        <f>IF(LeadsData[[#This Row],[Stage Number]]&gt;=4,1,0)</f>
        <v>0</v>
      </c>
    </row>
    <row r="725" spans="1:15" x14ac:dyDescent="0.25">
      <c r="A725" t="s">
        <v>765</v>
      </c>
      <c r="B725" s="1">
        <v>45495</v>
      </c>
      <c r="C725" t="s">
        <v>46</v>
      </c>
      <c r="D725" t="s">
        <v>47</v>
      </c>
      <c r="E725" t="s">
        <v>21</v>
      </c>
      <c r="F725" t="s">
        <v>19</v>
      </c>
      <c r="G725" t="s">
        <v>29</v>
      </c>
      <c r="K725" cm="1">
        <f t="array" ref="K725">_xlfn.SWITCH(LeadsData[[#This Row],[Funnel Stage Reached]],"Lead",1,"MQL",2,"SQL",3,"Customer",4)</f>
        <v>3</v>
      </c>
      <c r="L725" t="str">
        <f>TEXT(LeadsData[[#This Row],[Signup Date]],"mmm-yyyy")</f>
        <v>Jul-2024</v>
      </c>
      <c r="M725">
        <f>IF(LeadsData[[#This Row],[Stage Number]]&gt;=2,1,0)</f>
        <v>1</v>
      </c>
      <c r="N725" s="2">
        <f>IF(LeadsData[[#This Row],[Stage Number]]&gt;=3,1,0)</f>
        <v>1</v>
      </c>
      <c r="O725" s="2">
        <f>IF(LeadsData[[#This Row],[Stage Number]]&gt;=4,1,0)</f>
        <v>0</v>
      </c>
    </row>
    <row r="726" spans="1:15" x14ac:dyDescent="0.25">
      <c r="A726" t="s">
        <v>766</v>
      </c>
      <c r="B726" s="1">
        <v>45545</v>
      </c>
      <c r="C726" t="s">
        <v>11</v>
      </c>
      <c r="D726" t="s">
        <v>79</v>
      </c>
      <c r="E726" t="s">
        <v>13</v>
      </c>
      <c r="F726" t="s">
        <v>14</v>
      </c>
      <c r="G726" t="s">
        <v>15</v>
      </c>
      <c r="K726" cm="1">
        <f t="array" ref="K726">_xlfn.SWITCH(LeadsData[[#This Row],[Funnel Stage Reached]],"Lead",1,"MQL",2,"SQL",3,"Customer",4)</f>
        <v>1</v>
      </c>
      <c r="L726" t="str">
        <f>TEXT(LeadsData[[#This Row],[Signup Date]],"mmm-yyyy")</f>
        <v>Sep-2024</v>
      </c>
      <c r="M726">
        <f>IF(LeadsData[[#This Row],[Stage Number]]&gt;=2,1,0)</f>
        <v>0</v>
      </c>
      <c r="N726" s="2">
        <f>IF(LeadsData[[#This Row],[Stage Number]]&gt;=3,1,0)</f>
        <v>0</v>
      </c>
      <c r="O726" s="2">
        <f>IF(LeadsData[[#This Row],[Stage Number]]&gt;=4,1,0)</f>
        <v>0</v>
      </c>
    </row>
    <row r="727" spans="1:15" x14ac:dyDescent="0.25">
      <c r="A727" t="s">
        <v>767</v>
      </c>
      <c r="B727" s="1">
        <v>45627</v>
      </c>
      <c r="C727" t="s">
        <v>46</v>
      </c>
      <c r="D727" t="s">
        <v>56</v>
      </c>
      <c r="E727" t="s">
        <v>13</v>
      </c>
      <c r="F727" t="s">
        <v>19</v>
      </c>
      <c r="G727" t="s">
        <v>15</v>
      </c>
      <c r="K727" cm="1">
        <f t="array" ref="K727">_xlfn.SWITCH(LeadsData[[#This Row],[Funnel Stage Reached]],"Lead",1,"MQL",2,"SQL",3,"Customer",4)</f>
        <v>1</v>
      </c>
      <c r="L727" t="str">
        <f>TEXT(LeadsData[[#This Row],[Signup Date]],"mmm-yyyy")</f>
        <v>Dec-2024</v>
      </c>
      <c r="M727">
        <f>IF(LeadsData[[#This Row],[Stage Number]]&gt;=2,1,0)</f>
        <v>0</v>
      </c>
      <c r="N727" s="2">
        <f>IF(LeadsData[[#This Row],[Stage Number]]&gt;=3,1,0)</f>
        <v>0</v>
      </c>
      <c r="O727" s="2">
        <f>IF(LeadsData[[#This Row],[Stage Number]]&gt;=4,1,0)</f>
        <v>0</v>
      </c>
    </row>
    <row r="728" spans="1:15" x14ac:dyDescent="0.25">
      <c r="A728" t="s">
        <v>768</v>
      </c>
      <c r="B728" s="1">
        <v>45427</v>
      </c>
      <c r="C728" t="s">
        <v>25</v>
      </c>
      <c r="D728" t="s">
        <v>26</v>
      </c>
      <c r="E728" t="s">
        <v>21</v>
      </c>
      <c r="F728" t="s">
        <v>22</v>
      </c>
      <c r="G728" t="s">
        <v>15</v>
      </c>
      <c r="K728" cm="1">
        <f t="array" ref="K728">_xlfn.SWITCH(LeadsData[[#This Row],[Funnel Stage Reached]],"Lead",1,"MQL",2,"SQL",3,"Customer",4)</f>
        <v>1</v>
      </c>
      <c r="L728" t="str">
        <f>TEXT(LeadsData[[#This Row],[Signup Date]],"mmm-yyyy")</f>
        <v>May-2024</v>
      </c>
      <c r="M728">
        <f>IF(LeadsData[[#This Row],[Stage Number]]&gt;=2,1,0)</f>
        <v>0</v>
      </c>
      <c r="N728" s="2">
        <f>IF(LeadsData[[#This Row],[Stage Number]]&gt;=3,1,0)</f>
        <v>0</v>
      </c>
      <c r="O728" s="2">
        <f>IF(LeadsData[[#This Row],[Stage Number]]&gt;=4,1,0)</f>
        <v>0</v>
      </c>
    </row>
    <row r="729" spans="1:15" x14ac:dyDescent="0.25">
      <c r="A729" t="s">
        <v>769</v>
      </c>
      <c r="B729" s="1">
        <v>45546</v>
      </c>
      <c r="C729" t="s">
        <v>36</v>
      </c>
      <c r="D729" t="s">
        <v>37</v>
      </c>
      <c r="E729" t="s">
        <v>21</v>
      </c>
      <c r="F729" t="s">
        <v>14</v>
      </c>
      <c r="G729" t="s">
        <v>23</v>
      </c>
      <c r="K729" cm="1">
        <f t="array" ref="K729">_xlfn.SWITCH(LeadsData[[#This Row],[Funnel Stage Reached]],"Lead",1,"MQL",2,"SQL",3,"Customer",4)</f>
        <v>2</v>
      </c>
      <c r="L729" t="str">
        <f>TEXT(LeadsData[[#This Row],[Signup Date]],"mmm-yyyy")</f>
        <v>Sep-2024</v>
      </c>
      <c r="M729">
        <f>IF(LeadsData[[#This Row],[Stage Number]]&gt;=2,1,0)</f>
        <v>1</v>
      </c>
      <c r="N729" s="2">
        <f>IF(LeadsData[[#This Row],[Stage Number]]&gt;=3,1,0)</f>
        <v>0</v>
      </c>
      <c r="O729" s="2">
        <f>IF(LeadsData[[#This Row],[Stage Number]]&gt;=4,1,0)</f>
        <v>0</v>
      </c>
    </row>
    <row r="730" spans="1:15" x14ac:dyDescent="0.25">
      <c r="A730" t="s">
        <v>770</v>
      </c>
      <c r="B730" s="1">
        <v>45538</v>
      </c>
      <c r="C730" t="s">
        <v>17</v>
      </c>
      <c r="D730" t="s">
        <v>18</v>
      </c>
      <c r="E730" t="s">
        <v>48</v>
      </c>
      <c r="F730" t="s">
        <v>14</v>
      </c>
      <c r="G730" t="s">
        <v>15</v>
      </c>
      <c r="K730" cm="1">
        <f t="array" ref="K730">_xlfn.SWITCH(LeadsData[[#This Row],[Funnel Stage Reached]],"Lead",1,"MQL",2,"SQL",3,"Customer",4)</f>
        <v>1</v>
      </c>
      <c r="L730" t="str">
        <f>TEXT(LeadsData[[#This Row],[Signup Date]],"mmm-yyyy")</f>
        <v>Sep-2024</v>
      </c>
      <c r="M730">
        <f>IF(LeadsData[[#This Row],[Stage Number]]&gt;=2,1,0)</f>
        <v>0</v>
      </c>
      <c r="N730" s="2">
        <f>IF(LeadsData[[#This Row],[Stage Number]]&gt;=3,1,0)</f>
        <v>0</v>
      </c>
      <c r="O730" s="2">
        <f>IF(LeadsData[[#This Row],[Stage Number]]&gt;=4,1,0)</f>
        <v>0</v>
      </c>
    </row>
    <row r="731" spans="1:15" x14ac:dyDescent="0.25">
      <c r="A731" t="s">
        <v>771</v>
      </c>
      <c r="B731" s="1">
        <v>45309</v>
      </c>
      <c r="C731" t="s">
        <v>46</v>
      </c>
      <c r="D731" t="s">
        <v>56</v>
      </c>
      <c r="E731" t="s">
        <v>21</v>
      </c>
      <c r="F731" t="s">
        <v>19</v>
      </c>
      <c r="G731" t="s">
        <v>15</v>
      </c>
      <c r="K731" cm="1">
        <f t="array" ref="K731">_xlfn.SWITCH(LeadsData[[#This Row],[Funnel Stage Reached]],"Lead",1,"MQL",2,"SQL",3,"Customer",4)</f>
        <v>1</v>
      </c>
      <c r="L731" t="str">
        <f>TEXT(LeadsData[[#This Row],[Signup Date]],"mmm-yyyy")</f>
        <v>Jan-2024</v>
      </c>
      <c r="M731">
        <f>IF(LeadsData[[#This Row],[Stage Number]]&gt;=2,1,0)</f>
        <v>0</v>
      </c>
      <c r="N731" s="2">
        <f>IF(LeadsData[[#This Row],[Stage Number]]&gt;=3,1,0)</f>
        <v>0</v>
      </c>
      <c r="O731" s="2">
        <f>IF(LeadsData[[#This Row],[Stage Number]]&gt;=4,1,0)</f>
        <v>0</v>
      </c>
    </row>
    <row r="732" spans="1:15" x14ac:dyDescent="0.25">
      <c r="A732" t="s">
        <v>772</v>
      </c>
      <c r="B732" s="1">
        <v>45617</v>
      </c>
      <c r="C732" t="s">
        <v>31</v>
      </c>
      <c r="D732" t="s">
        <v>34</v>
      </c>
      <c r="E732" t="s">
        <v>21</v>
      </c>
      <c r="F732" t="s">
        <v>28</v>
      </c>
      <c r="G732" t="s">
        <v>15</v>
      </c>
      <c r="K732" cm="1">
        <f t="array" ref="K732">_xlfn.SWITCH(LeadsData[[#This Row],[Funnel Stage Reached]],"Lead",1,"MQL",2,"SQL",3,"Customer",4)</f>
        <v>1</v>
      </c>
      <c r="L732" t="str">
        <f>TEXT(LeadsData[[#This Row],[Signup Date]],"mmm-yyyy")</f>
        <v>Nov-2024</v>
      </c>
      <c r="M732">
        <f>IF(LeadsData[[#This Row],[Stage Number]]&gt;=2,1,0)</f>
        <v>0</v>
      </c>
      <c r="N732" s="2">
        <f>IF(LeadsData[[#This Row],[Stage Number]]&gt;=3,1,0)</f>
        <v>0</v>
      </c>
      <c r="O732" s="2">
        <f>IF(LeadsData[[#This Row],[Stage Number]]&gt;=4,1,0)</f>
        <v>0</v>
      </c>
    </row>
    <row r="733" spans="1:15" x14ac:dyDescent="0.25">
      <c r="A733" t="s">
        <v>773</v>
      </c>
      <c r="B733" s="1">
        <v>45325</v>
      </c>
      <c r="C733" t="s">
        <v>31</v>
      </c>
      <c r="D733" t="s">
        <v>34</v>
      </c>
      <c r="E733" t="s">
        <v>21</v>
      </c>
      <c r="F733" t="s">
        <v>14</v>
      </c>
      <c r="G733" t="s">
        <v>29</v>
      </c>
      <c r="K733" cm="1">
        <f t="array" ref="K733">_xlfn.SWITCH(LeadsData[[#This Row],[Funnel Stage Reached]],"Lead",1,"MQL",2,"SQL",3,"Customer",4)</f>
        <v>3</v>
      </c>
      <c r="L733" t="str">
        <f>TEXT(LeadsData[[#This Row],[Signup Date]],"mmm-yyyy")</f>
        <v>Feb-2024</v>
      </c>
      <c r="M733">
        <f>IF(LeadsData[[#This Row],[Stage Number]]&gt;=2,1,0)</f>
        <v>1</v>
      </c>
      <c r="N733" s="2">
        <f>IF(LeadsData[[#This Row],[Stage Number]]&gt;=3,1,0)</f>
        <v>1</v>
      </c>
      <c r="O733" s="2">
        <f>IF(LeadsData[[#This Row],[Stage Number]]&gt;=4,1,0)</f>
        <v>0</v>
      </c>
    </row>
    <row r="734" spans="1:15" x14ac:dyDescent="0.25">
      <c r="A734" t="s">
        <v>774</v>
      </c>
      <c r="B734" s="1">
        <v>45544</v>
      </c>
      <c r="C734" t="s">
        <v>31</v>
      </c>
      <c r="D734" t="s">
        <v>32</v>
      </c>
      <c r="E734" t="s">
        <v>13</v>
      </c>
      <c r="F734" t="s">
        <v>14</v>
      </c>
      <c r="G734" t="s">
        <v>15</v>
      </c>
      <c r="K734" cm="1">
        <f t="array" ref="K734">_xlfn.SWITCH(LeadsData[[#This Row],[Funnel Stage Reached]],"Lead",1,"MQL",2,"SQL",3,"Customer",4)</f>
        <v>1</v>
      </c>
      <c r="L734" t="str">
        <f>TEXT(LeadsData[[#This Row],[Signup Date]],"mmm-yyyy")</f>
        <v>Sep-2024</v>
      </c>
      <c r="M734">
        <f>IF(LeadsData[[#This Row],[Stage Number]]&gt;=2,1,0)</f>
        <v>0</v>
      </c>
      <c r="N734" s="2">
        <f>IF(LeadsData[[#This Row],[Stage Number]]&gt;=3,1,0)</f>
        <v>0</v>
      </c>
      <c r="O734" s="2">
        <f>IF(LeadsData[[#This Row],[Stage Number]]&gt;=4,1,0)</f>
        <v>0</v>
      </c>
    </row>
    <row r="735" spans="1:15" x14ac:dyDescent="0.25">
      <c r="A735" t="s">
        <v>775</v>
      </c>
      <c r="B735" s="1">
        <v>45314</v>
      </c>
      <c r="C735" t="s">
        <v>46</v>
      </c>
      <c r="D735" t="s">
        <v>47</v>
      </c>
      <c r="E735" t="s">
        <v>21</v>
      </c>
      <c r="F735" t="s">
        <v>19</v>
      </c>
      <c r="G735" t="s">
        <v>15</v>
      </c>
      <c r="K735" cm="1">
        <f t="array" ref="K735">_xlfn.SWITCH(LeadsData[[#This Row],[Funnel Stage Reached]],"Lead",1,"MQL",2,"SQL",3,"Customer",4)</f>
        <v>1</v>
      </c>
      <c r="L735" t="str">
        <f>TEXT(LeadsData[[#This Row],[Signup Date]],"mmm-yyyy")</f>
        <v>Jan-2024</v>
      </c>
      <c r="M735">
        <f>IF(LeadsData[[#This Row],[Stage Number]]&gt;=2,1,0)</f>
        <v>0</v>
      </c>
      <c r="N735" s="2">
        <f>IF(LeadsData[[#This Row],[Stage Number]]&gt;=3,1,0)</f>
        <v>0</v>
      </c>
      <c r="O735" s="2">
        <f>IF(LeadsData[[#This Row],[Stage Number]]&gt;=4,1,0)</f>
        <v>0</v>
      </c>
    </row>
    <row r="736" spans="1:15" x14ac:dyDescent="0.25">
      <c r="A736" t="s">
        <v>776</v>
      </c>
      <c r="B736" s="1">
        <v>45608</v>
      </c>
      <c r="C736" t="s">
        <v>46</v>
      </c>
      <c r="D736" t="s">
        <v>56</v>
      </c>
      <c r="E736" t="s">
        <v>13</v>
      </c>
      <c r="F736" t="s">
        <v>22</v>
      </c>
      <c r="G736" t="s">
        <v>29</v>
      </c>
      <c r="K736" cm="1">
        <f t="array" ref="K736">_xlfn.SWITCH(LeadsData[[#This Row],[Funnel Stage Reached]],"Lead",1,"MQL",2,"SQL",3,"Customer",4)</f>
        <v>3</v>
      </c>
      <c r="L736" t="str">
        <f>TEXT(LeadsData[[#This Row],[Signup Date]],"mmm-yyyy")</f>
        <v>Nov-2024</v>
      </c>
      <c r="M736">
        <f>IF(LeadsData[[#This Row],[Stage Number]]&gt;=2,1,0)</f>
        <v>1</v>
      </c>
      <c r="N736" s="2">
        <f>IF(LeadsData[[#This Row],[Stage Number]]&gt;=3,1,0)</f>
        <v>1</v>
      </c>
      <c r="O736" s="2">
        <f>IF(LeadsData[[#This Row],[Stage Number]]&gt;=4,1,0)</f>
        <v>0</v>
      </c>
    </row>
    <row r="737" spans="1:15" x14ac:dyDescent="0.25">
      <c r="A737" t="s">
        <v>777</v>
      </c>
      <c r="B737" s="1">
        <v>45598</v>
      </c>
      <c r="C737" t="s">
        <v>36</v>
      </c>
      <c r="D737" t="s">
        <v>37</v>
      </c>
      <c r="E737" t="s">
        <v>13</v>
      </c>
      <c r="F737" t="s">
        <v>22</v>
      </c>
      <c r="G737" t="s">
        <v>15</v>
      </c>
      <c r="K737" cm="1">
        <f t="array" ref="K737">_xlfn.SWITCH(LeadsData[[#This Row],[Funnel Stage Reached]],"Lead",1,"MQL",2,"SQL",3,"Customer",4)</f>
        <v>1</v>
      </c>
      <c r="L737" t="str">
        <f>TEXT(LeadsData[[#This Row],[Signup Date]],"mmm-yyyy")</f>
        <v>Nov-2024</v>
      </c>
      <c r="M737">
        <f>IF(LeadsData[[#This Row],[Stage Number]]&gt;=2,1,0)</f>
        <v>0</v>
      </c>
      <c r="N737" s="2">
        <f>IF(LeadsData[[#This Row],[Stage Number]]&gt;=3,1,0)</f>
        <v>0</v>
      </c>
      <c r="O737" s="2">
        <f>IF(LeadsData[[#This Row],[Stage Number]]&gt;=4,1,0)</f>
        <v>0</v>
      </c>
    </row>
    <row r="738" spans="1:15" x14ac:dyDescent="0.25">
      <c r="A738" t="s">
        <v>778</v>
      </c>
      <c r="B738" s="1">
        <v>45307</v>
      </c>
      <c r="C738" t="s">
        <v>31</v>
      </c>
      <c r="D738" t="s">
        <v>34</v>
      </c>
      <c r="E738" t="s">
        <v>13</v>
      </c>
      <c r="F738" t="s">
        <v>22</v>
      </c>
      <c r="G738" t="s">
        <v>15</v>
      </c>
      <c r="K738" cm="1">
        <f t="array" ref="K738">_xlfn.SWITCH(LeadsData[[#This Row],[Funnel Stage Reached]],"Lead",1,"MQL",2,"SQL",3,"Customer",4)</f>
        <v>1</v>
      </c>
      <c r="L738" t="str">
        <f>TEXT(LeadsData[[#This Row],[Signup Date]],"mmm-yyyy")</f>
        <v>Jan-2024</v>
      </c>
      <c r="M738">
        <f>IF(LeadsData[[#This Row],[Stage Number]]&gt;=2,1,0)</f>
        <v>0</v>
      </c>
      <c r="N738" s="2">
        <f>IF(LeadsData[[#This Row],[Stage Number]]&gt;=3,1,0)</f>
        <v>0</v>
      </c>
      <c r="O738" s="2">
        <f>IF(LeadsData[[#This Row],[Stage Number]]&gt;=4,1,0)</f>
        <v>0</v>
      </c>
    </row>
    <row r="739" spans="1:15" x14ac:dyDescent="0.25">
      <c r="A739" t="s">
        <v>779</v>
      </c>
      <c r="B739" s="1">
        <v>45589</v>
      </c>
      <c r="C739" t="s">
        <v>25</v>
      </c>
      <c r="D739" t="s">
        <v>26</v>
      </c>
      <c r="E739" t="s">
        <v>21</v>
      </c>
      <c r="F739" t="s">
        <v>19</v>
      </c>
      <c r="G739" t="s">
        <v>15</v>
      </c>
      <c r="K739" cm="1">
        <f t="array" ref="K739">_xlfn.SWITCH(LeadsData[[#This Row],[Funnel Stage Reached]],"Lead",1,"MQL",2,"SQL",3,"Customer",4)</f>
        <v>1</v>
      </c>
      <c r="L739" t="str">
        <f>TEXT(LeadsData[[#This Row],[Signup Date]],"mmm-yyyy")</f>
        <v>Oct-2024</v>
      </c>
      <c r="M739">
        <f>IF(LeadsData[[#This Row],[Stage Number]]&gt;=2,1,0)</f>
        <v>0</v>
      </c>
      <c r="N739" s="2">
        <f>IF(LeadsData[[#This Row],[Stage Number]]&gt;=3,1,0)</f>
        <v>0</v>
      </c>
      <c r="O739" s="2">
        <f>IF(LeadsData[[#This Row],[Stage Number]]&gt;=4,1,0)</f>
        <v>0</v>
      </c>
    </row>
    <row r="740" spans="1:15" x14ac:dyDescent="0.25">
      <c r="A740" t="s">
        <v>780</v>
      </c>
      <c r="B740" s="1">
        <v>45445</v>
      </c>
      <c r="C740" t="s">
        <v>36</v>
      </c>
      <c r="D740" t="s">
        <v>37</v>
      </c>
      <c r="E740" t="s">
        <v>13</v>
      </c>
      <c r="F740" t="s">
        <v>22</v>
      </c>
      <c r="G740" t="s">
        <v>29</v>
      </c>
      <c r="K740" cm="1">
        <f t="array" ref="K740">_xlfn.SWITCH(LeadsData[[#This Row],[Funnel Stage Reached]],"Lead",1,"MQL",2,"SQL",3,"Customer",4)</f>
        <v>3</v>
      </c>
      <c r="L740" t="str">
        <f>TEXT(LeadsData[[#This Row],[Signup Date]],"mmm-yyyy")</f>
        <v>Jun-2024</v>
      </c>
      <c r="M740">
        <f>IF(LeadsData[[#This Row],[Stage Number]]&gt;=2,1,0)</f>
        <v>1</v>
      </c>
      <c r="N740" s="2">
        <f>IF(LeadsData[[#This Row],[Stage Number]]&gt;=3,1,0)</f>
        <v>1</v>
      </c>
      <c r="O740" s="2">
        <f>IF(LeadsData[[#This Row],[Stage Number]]&gt;=4,1,0)</f>
        <v>0</v>
      </c>
    </row>
    <row r="741" spans="1:15" x14ac:dyDescent="0.25">
      <c r="A741" t="s">
        <v>781</v>
      </c>
      <c r="B741" s="1">
        <v>45585</v>
      </c>
      <c r="C741" t="s">
        <v>46</v>
      </c>
      <c r="D741" t="s">
        <v>47</v>
      </c>
      <c r="E741" t="s">
        <v>13</v>
      </c>
      <c r="F741" t="s">
        <v>19</v>
      </c>
      <c r="G741" t="s">
        <v>15</v>
      </c>
      <c r="K741" cm="1">
        <f t="array" ref="K741">_xlfn.SWITCH(LeadsData[[#This Row],[Funnel Stage Reached]],"Lead",1,"MQL",2,"SQL",3,"Customer",4)</f>
        <v>1</v>
      </c>
      <c r="L741" t="str">
        <f>TEXT(LeadsData[[#This Row],[Signup Date]],"mmm-yyyy")</f>
        <v>Oct-2024</v>
      </c>
      <c r="M741">
        <f>IF(LeadsData[[#This Row],[Stage Number]]&gt;=2,1,0)</f>
        <v>0</v>
      </c>
      <c r="N741" s="2">
        <f>IF(LeadsData[[#This Row],[Stage Number]]&gt;=3,1,0)</f>
        <v>0</v>
      </c>
      <c r="O741" s="2">
        <f>IF(LeadsData[[#This Row],[Stage Number]]&gt;=4,1,0)</f>
        <v>0</v>
      </c>
    </row>
    <row r="742" spans="1:15" x14ac:dyDescent="0.25">
      <c r="A742" t="s">
        <v>782</v>
      </c>
      <c r="B742" s="1">
        <v>45489</v>
      </c>
      <c r="C742" t="s">
        <v>17</v>
      </c>
      <c r="D742" t="s">
        <v>53</v>
      </c>
      <c r="E742" t="s">
        <v>21</v>
      </c>
      <c r="F742" t="s">
        <v>19</v>
      </c>
      <c r="G742" t="s">
        <v>15</v>
      </c>
      <c r="K742" cm="1">
        <f t="array" ref="K742">_xlfn.SWITCH(LeadsData[[#This Row],[Funnel Stage Reached]],"Lead",1,"MQL",2,"SQL",3,"Customer",4)</f>
        <v>1</v>
      </c>
      <c r="L742" t="str">
        <f>TEXT(LeadsData[[#This Row],[Signup Date]],"mmm-yyyy")</f>
        <v>Jul-2024</v>
      </c>
      <c r="M742">
        <f>IF(LeadsData[[#This Row],[Stage Number]]&gt;=2,1,0)</f>
        <v>0</v>
      </c>
      <c r="N742" s="2">
        <f>IF(LeadsData[[#This Row],[Stage Number]]&gt;=3,1,0)</f>
        <v>0</v>
      </c>
      <c r="O742" s="2">
        <f>IF(LeadsData[[#This Row],[Stage Number]]&gt;=4,1,0)</f>
        <v>0</v>
      </c>
    </row>
    <row r="743" spans="1:15" x14ac:dyDescent="0.25">
      <c r="A743" t="s">
        <v>783</v>
      </c>
      <c r="B743" s="1">
        <v>45588</v>
      </c>
      <c r="C743" t="s">
        <v>11</v>
      </c>
      <c r="D743" t="s">
        <v>12</v>
      </c>
      <c r="E743" t="s">
        <v>13</v>
      </c>
      <c r="F743" t="s">
        <v>19</v>
      </c>
      <c r="G743" t="s">
        <v>23</v>
      </c>
      <c r="K743" cm="1">
        <f t="array" ref="K743">_xlfn.SWITCH(LeadsData[[#This Row],[Funnel Stage Reached]],"Lead",1,"MQL",2,"SQL",3,"Customer",4)</f>
        <v>2</v>
      </c>
      <c r="L743" t="str">
        <f>TEXT(LeadsData[[#This Row],[Signup Date]],"mmm-yyyy")</f>
        <v>Oct-2024</v>
      </c>
      <c r="M743">
        <f>IF(LeadsData[[#This Row],[Stage Number]]&gt;=2,1,0)</f>
        <v>1</v>
      </c>
      <c r="N743" s="2">
        <f>IF(LeadsData[[#This Row],[Stage Number]]&gt;=3,1,0)</f>
        <v>0</v>
      </c>
      <c r="O743" s="2">
        <f>IF(LeadsData[[#This Row],[Stage Number]]&gt;=4,1,0)</f>
        <v>0</v>
      </c>
    </row>
    <row r="744" spans="1:15" x14ac:dyDescent="0.25">
      <c r="A744" t="s">
        <v>784</v>
      </c>
      <c r="B744" s="1">
        <v>45424</v>
      </c>
      <c r="C744" t="s">
        <v>31</v>
      </c>
      <c r="D744" t="s">
        <v>34</v>
      </c>
      <c r="E744" t="s">
        <v>48</v>
      </c>
      <c r="F744" t="s">
        <v>14</v>
      </c>
      <c r="G744" t="s">
        <v>23</v>
      </c>
      <c r="K744" cm="1">
        <f t="array" ref="K744">_xlfn.SWITCH(LeadsData[[#This Row],[Funnel Stage Reached]],"Lead",1,"MQL",2,"SQL",3,"Customer",4)</f>
        <v>2</v>
      </c>
      <c r="L744" t="str">
        <f>TEXT(LeadsData[[#This Row],[Signup Date]],"mmm-yyyy")</f>
        <v>May-2024</v>
      </c>
      <c r="M744">
        <f>IF(LeadsData[[#This Row],[Stage Number]]&gt;=2,1,0)</f>
        <v>1</v>
      </c>
      <c r="N744" s="2">
        <f>IF(LeadsData[[#This Row],[Stage Number]]&gt;=3,1,0)</f>
        <v>0</v>
      </c>
      <c r="O744" s="2">
        <f>IF(LeadsData[[#This Row],[Stage Number]]&gt;=4,1,0)</f>
        <v>0</v>
      </c>
    </row>
    <row r="745" spans="1:15" x14ac:dyDescent="0.25">
      <c r="A745" t="s">
        <v>785</v>
      </c>
      <c r="B745" s="1">
        <v>45452</v>
      </c>
      <c r="C745" t="s">
        <v>31</v>
      </c>
      <c r="D745" t="s">
        <v>34</v>
      </c>
      <c r="E745" t="s">
        <v>21</v>
      </c>
      <c r="F745" t="s">
        <v>28</v>
      </c>
      <c r="G745" t="s">
        <v>15</v>
      </c>
      <c r="K745" cm="1">
        <f t="array" ref="K745">_xlfn.SWITCH(LeadsData[[#This Row],[Funnel Stage Reached]],"Lead",1,"MQL",2,"SQL",3,"Customer",4)</f>
        <v>1</v>
      </c>
      <c r="L745" t="str">
        <f>TEXT(LeadsData[[#This Row],[Signup Date]],"mmm-yyyy")</f>
        <v>Jun-2024</v>
      </c>
      <c r="M745">
        <f>IF(LeadsData[[#This Row],[Stage Number]]&gt;=2,1,0)</f>
        <v>0</v>
      </c>
      <c r="N745" s="2">
        <f>IF(LeadsData[[#This Row],[Stage Number]]&gt;=3,1,0)</f>
        <v>0</v>
      </c>
      <c r="O745" s="2">
        <f>IF(LeadsData[[#This Row],[Stage Number]]&gt;=4,1,0)</f>
        <v>0</v>
      </c>
    </row>
    <row r="746" spans="1:15" x14ac:dyDescent="0.25">
      <c r="A746" t="s">
        <v>786</v>
      </c>
      <c r="B746" s="1">
        <v>45305</v>
      </c>
      <c r="C746" t="s">
        <v>31</v>
      </c>
      <c r="D746" t="s">
        <v>34</v>
      </c>
      <c r="E746" t="s">
        <v>13</v>
      </c>
      <c r="F746" t="s">
        <v>19</v>
      </c>
      <c r="G746" t="s">
        <v>15</v>
      </c>
      <c r="K746" cm="1">
        <f t="array" ref="K746">_xlfn.SWITCH(LeadsData[[#This Row],[Funnel Stage Reached]],"Lead",1,"MQL",2,"SQL",3,"Customer",4)</f>
        <v>1</v>
      </c>
      <c r="L746" t="str">
        <f>TEXT(LeadsData[[#This Row],[Signup Date]],"mmm-yyyy")</f>
        <v>Jan-2024</v>
      </c>
      <c r="M746">
        <f>IF(LeadsData[[#This Row],[Stage Number]]&gt;=2,1,0)</f>
        <v>0</v>
      </c>
      <c r="N746" s="2">
        <f>IF(LeadsData[[#This Row],[Stage Number]]&gt;=3,1,0)</f>
        <v>0</v>
      </c>
      <c r="O746" s="2">
        <f>IF(LeadsData[[#This Row],[Stage Number]]&gt;=4,1,0)</f>
        <v>0</v>
      </c>
    </row>
    <row r="747" spans="1:15" x14ac:dyDescent="0.25">
      <c r="A747" t="s">
        <v>787</v>
      </c>
      <c r="B747" s="1">
        <v>45575</v>
      </c>
      <c r="C747" t="s">
        <v>11</v>
      </c>
      <c r="D747" t="s">
        <v>79</v>
      </c>
      <c r="E747" t="s">
        <v>13</v>
      </c>
      <c r="F747" t="s">
        <v>22</v>
      </c>
      <c r="G747" t="s">
        <v>15</v>
      </c>
      <c r="K747" cm="1">
        <f t="array" ref="K747">_xlfn.SWITCH(LeadsData[[#This Row],[Funnel Stage Reached]],"Lead",1,"MQL",2,"SQL",3,"Customer",4)</f>
        <v>1</v>
      </c>
      <c r="L747" t="str">
        <f>TEXT(LeadsData[[#This Row],[Signup Date]],"mmm-yyyy")</f>
        <v>Oct-2024</v>
      </c>
      <c r="M747">
        <f>IF(LeadsData[[#This Row],[Stage Number]]&gt;=2,1,0)</f>
        <v>0</v>
      </c>
      <c r="N747" s="2">
        <f>IF(LeadsData[[#This Row],[Stage Number]]&gt;=3,1,0)</f>
        <v>0</v>
      </c>
      <c r="O747" s="2">
        <f>IF(LeadsData[[#This Row],[Stage Number]]&gt;=4,1,0)</f>
        <v>0</v>
      </c>
    </row>
    <row r="748" spans="1:15" x14ac:dyDescent="0.25">
      <c r="A748" t="s">
        <v>788</v>
      </c>
      <c r="B748" s="1">
        <v>45581</v>
      </c>
      <c r="C748" t="s">
        <v>17</v>
      </c>
      <c r="D748" t="s">
        <v>18</v>
      </c>
      <c r="E748" t="s">
        <v>21</v>
      </c>
      <c r="F748" t="s">
        <v>22</v>
      </c>
      <c r="G748" t="s">
        <v>29</v>
      </c>
      <c r="K748" cm="1">
        <f t="array" ref="K748">_xlfn.SWITCH(LeadsData[[#This Row],[Funnel Stage Reached]],"Lead",1,"MQL",2,"SQL",3,"Customer",4)</f>
        <v>3</v>
      </c>
      <c r="L748" t="str">
        <f>TEXT(LeadsData[[#This Row],[Signup Date]],"mmm-yyyy")</f>
        <v>Oct-2024</v>
      </c>
      <c r="M748">
        <f>IF(LeadsData[[#This Row],[Stage Number]]&gt;=2,1,0)</f>
        <v>1</v>
      </c>
      <c r="N748" s="2">
        <f>IF(LeadsData[[#This Row],[Stage Number]]&gt;=3,1,0)</f>
        <v>1</v>
      </c>
      <c r="O748" s="2">
        <f>IF(LeadsData[[#This Row],[Stage Number]]&gt;=4,1,0)</f>
        <v>0</v>
      </c>
    </row>
    <row r="749" spans="1:15" x14ac:dyDescent="0.25">
      <c r="A749" t="s">
        <v>789</v>
      </c>
      <c r="B749" s="1">
        <v>45618</v>
      </c>
      <c r="C749" t="s">
        <v>36</v>
      </c>
      <c r="D749" t="s">
        <v>37</v>
      </c>
      <c r="E749" t="s">
        <v>21</v>
      </c>
      <c r="F749" t="s">
        <v>19</v>
      </c>
      <c r="G749" t="s">
        <v>29</v>
      </c>
      <c r="K749" cm="1">
        <f t="array" ref="K749">_xlfn.SWITCH(LeadsData[[#This Row],[Funnel Stage Reached]],"Lead",1,"MQL",2,"SQL",3,"Customer",4)</f>
        <v>3</v>
      </c>
      <c r="L749" t="str">
        <f>TEXT(LeadsData[[#This Row],[Signup Date]],"mmm-yyyy")</f>
        <v>Nov-2024</v>
      </c>
      <c r="M749">
        <f>IF(LeadsData[[#This Row],[Stage Number]]&gt;=2,1,0)</f>
        <v>1</v>
      </c>
      <c r="N749" s="2">
        <f>IF(LeadsData[[#This Row],[Stage Number]]&gt;=3,1,0)</f>
        <v>1</v>
      </c>
      <c r="O749" s="2">
        <f>IF(LeadsData[[#This Row],[Stage Number]]&gt;=4,1,0)</f>
        <v>0</v>
      </c>
    </row>
    <row r="750" spans="1:15" x14ac:dyDescent="0.25">
      <c r="A750" t="s">
        <v>790</v>
      </c>
      <c r="B750" s="1">
        <v>45529</v>
      </c>
      <c r="C750" t="s">
        <v>25</v>
      </c>
      <c r="D750" t="s">
        <v>26</v>
      </c>
      <c r="E750" t="s">
        <v>13</v>
      </c>
      <c r="F750" t="s">
        <v>19</v>
      </c>
      <c r="G750" t="s">
        <v>15</v>
      </c>
      <c r="K750" cm="1">
        <f t="array" ref="K750">_xlfn.SWITCH(LeadsData[[#This Row],[Funnel Stage Reached]],"Lead",1,"MQL",2,"SQL",3,"Customer",4)</f>
        <v>1</v>
      </c>
      <c r="L750" t="str">
        <f>TEXT(LeadsData[[#This Row],[Signup Date]],"mmm-yyyy")</f>
        <v>Aug-2024</v>
      </c>
      <c r="M750">
        <f>IF(LeadsData[[#This Row],[Stage Number]]&gt;=2,1,0)</f>
        <v>0</v>
      </c>
      <c r="N750" s="2">
        <f>IF(LeadsData[[#This Row],[Stage Number]]&gt;=3,1,0)</f>
        <v>0</v>
      </c>
      <c r="O750" s="2">
        <f>IF(LeadsData[[#This Row],[Stage Number]]&gt;=4,1,0)</f>
        <v>0</v>
      </c>
    </row>
    <row r="751" spans="1:15" x14ac:dyDescent="0.25">
      <c r="A751" t="s">
        <v>791</v>
      </c>
      <c r="B751" s="1">
        <v>45483</v>
      </c>
      <c r="C751" t="s">
        <v>36</v>
      </c>
      <c r="D751" t="s">
        <v>37</v>
      </c>
      <c r="E751" t="s">
        <v>21</v>
      </c>
      <c r="F751" t="s">
        <v>22</v>
      </c>
      <c r="G751" t="s">
        <v>15</v>
      </c>
      <c r="K751" cm="1">
        <f t="array" ref="K751">_xlfn.SWITCH(LeadsData[[#This Row],[Funnel Stage Reached]],"Lead",1,"MQL",2,"SQL",3,"Customer",4)</f>
        <v>1</v>
      </c>
      <c r="L751" t="str">
        <f>TEXT(LeadsData[[#This Row],[Signup Date]],"mmm-yyyy")</f>
        <v>Jul-2024</v>
      </c>
      <c r="M751">
        <f>IF(LeadsData[[#This Row],[Stage Number]]&gt;=2,1,0)</f>
        <v>0</v>
      </c>
      <c r="N751" s="2">
        <f>IF(LeadsData[[#This Row],[Stage Number]]&gt;=3,1,0)</f>
        <v>0</v>
      </c>
      <c r="O751" s="2">
        <f>IF(LeadsData[[#This Row],[Stage Number]]&gt;=4,1,0)</f>
        <v>0</v>
      </c>
    </row>
    <row r="752" spans="1:15" x14ac:dyDescent="0.25">
      <c r="A752" t="s">
        <v>792</v>
      </c>
      <c r="B752" s="1">
        <v>45468</v>
      </c>
      <c r="C752" t="s">
        <v>46</v>
      </c>
      <c r="D752" t="s">
        <v>56</v>
      </c>
      <c r="E752" t="s">
        <v>21</v>
      </c>
      <c r="F752" t="s">
        <v>22</v>
      </c>
      <c r="G752" t="s">
        <v>29</v>
      </c>
      <c r="K752" cm="1">
        <f t="array" ref="K752">_xlfn.SWITCH(LeadsData[[#This Row],[Funnel Stage Reached]],"Lead",1,"MQL",2,"SQL",3,"Customer",4)</f>
        <v>3</v>
      </c>
      <c r="L752" t="str">
        <f>TEXT(LeadsData[[#This Row],[Signup Date]],"mmm-yyyy")</f>
        <v>Jun-2024</v>
      </c>
      <c r="M752">
        <f>IF(LeadsData[[#This Row],[Stage Number]]&gt;=2,1,0)</f>
        <v>1</v>
      </c>
      <c r="N752" s="2">
        <f>IF(LeadsData[[#This Row],[Stage Number]]&gt;=3,1,0)</f>
        <v>1</v>
      </c>
      <c r="O752" s="2">
        <f>IF(LeadsData[[#This Row],[Stage Number]]&gt;=4,1,0)</f>
        <v>0</v>
      </c>
    </row>
    <row r="753" spans="1:15" x14ac:dyDescent="0.25">
      <c r="A753" t="s">
        <v>793</v>
      </c>
      <c r="B753" s="1">
        <v>45355</v>
      </c>
      <c r="C753" t="s">
        <v>17</v>
      </c>
      <c r="D753" t="s">
        <v>18</v>
      </c>
      <c r="E753" t="s">
        <v>13</v>
      </c>
      <c r="F753" t="s">
        <v>22</v>
      </c>
      <c r="G753" t="s">
        <v>15</v>
      </c>
      <c r="K753" cm="1">
        <f t="array" ref="K753">_xlfn.SWITCH(LeadsData[[#This Row],[Funnel Stage Reached]],"Lead",1,"MQL",2,"SQL",3,"Customer",4)</f>
        <v>1</v>
      </c>
      <c r="L753" t="str">
        <f>TEXT(LeadsData[[#This Row],[Signup Date]],"mmm-yyyy")</f>
        <v>Mar-2024</v>
      </c>
      <c r="M753">
        <f>IF(LeadsData[[#This Row],[Stage Number]]&gt;=2,1,0)</f>
        <v>0</v>
      </c>
      <c r="N753" s="2">
        <f>IF(LeadsData[[#This Row],[Stage Number]]&gt;=3,1,0)</f>
        <v>0</v>
      </c>
      <c r="O753" s="2">
        <f>IF(LeadsData[[#This Row],[Stage Number]]&gt;=4,1,0)</f>
        <v>0</v>
      </c>
    </row>
    <row r="754" spans="1:15" x14ac:dyDescent="0.25">
      <c r="A754" t="s">
        <v>794</v>
      </c>
      <c r="B754" s="1">
        <v>45332</v>
      </c>
      <c r="C754" t="s">
        <v>17</v>
      </c>
      <c r="D754" t="s">
        <v>53</v>
      </c>
      <c r="E754" t="s">
        <v>13</v>
      </c>
      <c r="F754" t="s">
        <v>19</v>
      </c>
      <c r="G754" t="s">
        <v>29</v>
      </c>
      <c r="K754" cm="1">
        <f t="array" ref="K754">_xlfn.SWITCH(LeadsData[[#This Row],[Funnel Stage Reached]],"Lead",1,"MQL",2,"SQL",3,"Customer",4)</f>
        <v>3</v>
      </c>
      <c r="L754" t="str">
        <f>TEXT(LeadsData[[#This Row],[Signup Date]],"mmm-yyyy")</f>
        <v>Feb-2024</v>
      </c>
      <c r="M754">
        <f>IF(LeadsData[[#This Row],[Stage Number]]&gt;=2,1,0)</f>
        <v>1</v>
      </c>
      <c r="N754" s="2">
        <f>IF(LeadsData[[#This Row],[Stage Number]]&gt;=3,1,0)</f>
        <v>1</v>
      </c>
      <c r="O754" s="2">
        <f>IF(LeadsData[[#This Row],[Stage Number]]&gt;=4,1,0)</f>
        <v>0</v>
      </c>
    </row>
    <row r="755" spans="1:15" x14ac:dyDescent="0.25">
      <c r="A755" t="s">
        <v>795</v>
      </c>
      <c r="B755" s="1">
        <v>45481</v>
      </c>
      <c r="C755" t="s">
        <v>11</v>
      </c>
      <c r="D755" t="s">
        <v>68</v>
      </c>
      <c r="E755" t="s">
        <v>48</v>
      </c>
      <c r="F755" t="s">
        <v>14</v>
      </c>
      <c r="G755" t="s">
        <v>15</v>
      </c>
      <c r="K755" cm="1">
        <f t="array" ref="K755">_xlfn.SWITCH(LeadsData[[#This Row],[Funnel Stage Reached]],"Lead",1,"MQL",2,"SQL",3,"Customer",4)</f>
        <v>1</v>
      </c>
      <c r="L755" t="str">
        <f>TEXT(LeadsData[[#This Row],[Signup Date]],"mmm-yyyy")</f>
        <v>Jul-2024</v>
      </c>
      <c r="M755">
        <f>IF(LeadsData[[#This Row],[Stage Number]]&gt;=2,1,0)</f>
        <v>0</v>
      </c>
      <c r="N755" s="2">
        <f>IF(LeadsData[[#This Row],[Stage Number]]&gt;=3,1,0)</f>
        <v>0</v>
      </c>
      <c r="O755" s="2">
        <f>IF(LeadsData[[#This Row],[Stage Number]]&gt;=4,1,0)</f>
        <v>0</v>
      </c>
    </row>
    <row r="756" spans="1:15" x14ac:dyDescent="0.25">
      <c r="A756" t="s">
        <v>796</v>
      </c>
      <c r="B756" s="1">
        <v>45548</v>
      </c>
      <c r="C756" t="s">
        <v>31</v>
      </c>
      <c r="D756" t="s">
        <v>32</v>
      </c>
      <c r="E756" t="s">
        <v>21</v>
      </c>
      <c r="F756" t="s">
        <v>22</v>
      </c>
      <c r="G756" t="s">
        <v>23</v>
      </c>
      <c r="K756" cm="1">
        <f t="array" ref="K756">_xlfn.SWITCH(LeadsData[[#This Row],[Funnel Stage Reached]],"Lead",1,"MQL",2,"SQL",3,"Customer",4)</f>
        <v>2</v>
      </c>
      <c r="L756" t="str">
        <f>TEXT(LeadsData[[#This Row],[Signup Date]],"mmm-yyyy")</f>
        <v>Sep-2024</v>
      </c>
      <c r="M756">
        <f>IF(LeadsData[[#This Row],[Stage Number]]&gt;=2,1,0)</f>
        <v>1</v>
      </c>
      <c r="N756" s="2">
        <f>IF(LeadsData[[#This Row],[Stage Number]]&gt;=3,1,0)</f>
        <v>0</v>
      </c>
      <c r="O756" s="2">
        <f>IF(LeadsData[[#This Row],[Stage Number]]&gt;=4,1,0)</f>
        <v>0</v>
      </c>
    </row>
    <row r="757" spans="1:15" x14ac:dyDescent="0.25">
      <c r="A757" t="s">
        <v>797</v>
      </c>
      <c r="B757" s="1">
        <v>45636</v>
      </c>
      <c r="C757" t="s">
        <v>25</v>
      </c>
      <c r="D757" t="s">
        <v>26</v>
      </c>
      <c r="E757" t="s">
        <v>21</v>
      </c>
      <c r="F757" t="s">
        <v>19</v>
      </c>
      <c r="G757" t="s">
        <v>29</v>
      </c>
      <c r="K757" cm="1">
        <f t="array" ref="K757">_xlfn.SWITCH(LeadsData[[#This Row],[Funnel Stage Reached]],"Lead",1,"MQL",2,"SQL",3,"Customer",4)</f>
        <v>3</v>
      </c>
      <c r="L757" t="str">
        <f>TEXT(LeadsData[[#This Row],[Signup Date]],"mmm-yyyy")</f>
        <v>Dec-2024</v>
      </c>
      <c r="M757">
        <f>IF(LeadsData[[#This Row],[Stage Number]]&gt;=2,1,0)</f>
        <v>1</v>
      </c>
      <c r="N757" s="2">
        <f>IF(LeadsData[[#This Row],[Stage Number]]&gt;=3,1,0)</f>
        <v>1</v>
      </c>
      <c r="O757" s="2">
        <f>IF(LeadsData[[#This Row],[Stage Number]]&gt;=4,1,0)</f>
        <v>0</v>
      </c>
    </row>
    <row r="758" spans="1:15" x14ac:dyDescent="0.25">
      <c r="A758" t="s">
        <v>798</v>
      </c>
      <c r="B758" s="1">
        <v>45368</v>
      </c>
      <c r="C758" t="s">
        <v>17</v>
      </c>
      <c r="D758" t="s">
        <v>53</v>
      </c>
      <c r="E758" t="s">
        <v>13</v>
      </c>
      <c r="F758" t="s">
        <v>19</v>
      </c>
      <c r="G758" t="s">
        <v>23</v>
      </c>
      <c r="K758" cm="1">
        <f t="array" ref="K758">_xlfn.SWITCH(LeadsData[[#This Row],[Funnel Stage Reached]],"Lead",1,"MQL",2,"SQL",3,"Customer",4)</f>
        <v>2</v>
      </c>
      <c r="L758" t="str">
        <f>TEXT(LeadsData[[#This Row],[Signup Date]],"mmm-yyyy")</f>
        <v>Mar-2024</v>
      </c>
      <c r="M758">
        <f>IF(LeadsData[[#This Row],[Stage Number]]&gt;=2,1,0)</f>
        <v>1</v>
      </c>
      <c r="N758" s="2">
        <f>IF(LeadsData[[#This Row],[Stage Number]]&gt;=3,1,0)</f>
        <v>0</v>
      </c>
      <c r="O758" s="2">
        <f>IF(LeadsData[[#This Row],[Stage Number]]&gt;=4,1,0)</f>
        <v>0</v>
      </c>
    </row>
    <row r="759" spans="1:15" x14ac:dyDescent="0.25">
      <c r="A759" t="s">
        <v>799</v>
      </c>
      <c r="B759" s="1">
        <v>45532</v>
      </c>
      <c r="C759" t="s">
        <v>31</v>
      </c>
      <c r="D759" t="s">
        <v>32</v>
      </c>
      <c r="E759" t="s">
        <v>13</v>
      </c>
      <c r="F759" t="s">
        <v>19</v>
      </c>
      <c r="G759" t="s">
        <v>23</v>
      </c>
      <c r="K759" cm="1">
        <f t="array" ref="K759">_xlfn.SWITCH(LeadsData[[#This Row],[Funnel Stage Reached]],"Lead",1,"MQL",2,"SQL",3,"Customer",4)</f>
        <v>2</v>
      </c>
      <c r="L759" t="str">
        <f>TEXT(LeadsData[[#This Row],[Signup Date]],"mmm-yyyy")</f>
        <v>Aug-2024</v>
      </c>
      <c r="M759">
        <f>IF(LeadsData[[#This Row],[Stage Number]]&gt;=2,1,0)</f>
        <v>1</v>
      </c>
      <c r="N759" s="2">
        <f>IF(LeadsData[[#This Row],[Stage Number]]&gt;=3,1,0)</f>
        <v>0</v>
      </c>
      <c r="O759" s="2">
        <f>IF(LeadsData[[#This Row],[Stage Number]]&gt;=4,1,0)</f>
        <v>0</v>
      </c>
    </row>
    <row r="760" spans="1:15" x14ac:dyDescent="0.25">
      <c r="A760" t="s">
        <v>800</v>
      </c>
      <c r="B760" s="1">
        <v>45614</v>
      </c>
      <c r="C760" t="s">
        <v>11</v>
      </c>
      <c r="D760" t="s">
        <v>68</v>
      </c>
      <c r="E760" t="s">
        <v>21</v>
      </c>
      <c r="F760" t="s">
        <v>14</v>
      </c>
      <c r="G760" t="s">
        <v>15</v>
      </c>
      <c r="K760" cm="1">
        <f t="array" ref="K760">_xlfn.SWITCH(LeadsData[[#This Row],[Funnel Stage Reached]],"Lead",1,"MQL",2,"SQL",3,"Customer",4)</f>
        <v>1</v>
      </c>
      <c r="L760" t="str">
        <f>TEXT(LeadsData[[#This Row],[Signup Date]],"mmm-yyyy")</f>
        <v>Nov-2024</v>
      </c>
      <c r="M760">
        <f>IF(LeadsData[[#This Row],[Stage Number]]&gt;=2,1,0)</f>
        <v>0</v>
      </c>
      <c r="N760" s="2">
        <f>IF(LeadsData[[#This Row],[Stage Number]]&gt;=3,1,0)</f>
        <v>0</v>
      </c>
      <c r="O760" s="2">
        <f>IF(LeadsData[[#This Row],[Stage Number]]&gt;=4,1,0)</f>
        <v>0</v>
      </c>
    </row>
    <row r="761" spans="1:15" x14ac:dyDescent="0.25">
      <c r="A761" t="s">
        <v>801</v>
      </c>
      <c r="B761" s="1">
        <v>45618</v>
      </c>
      <c r="C761" t="s">
        <v>36</v>
      </c>
      <c r="D761" t="s">
        <v>50</v>
      </c>
      <c r="E761" t="s">
        <v>21</v>
      </c>
      <c r="F761" t="s">
        <v>22</v>
      </c>
      <c r="G761" t="s">
        <v>23</v>
      </c>
      <c r="K761" cm="1">
        <f t="array" ref="K761">_xlfn.SWITCH(LeadsData[[#This Row],[Funnel Stage Reached]],"Lead",1,"MQL",2,"SQL",3,"Customer",4)</f>
        <v>2</v>
      </c>
      <c r="L761" t="str">
        <f>TEXT(LeadsData[[#This Row],[Signup Date]],"mmm-yyyy")</f>
        <v>Nov-2024</v>
      </c>
      <c r="M761">
        <f>IF(LeadsData[[#This Row],[Stage Number]]&gt;=2,1,0)</f>
        <v>1</v>
      </c>
      <c r="N761" s="2">
        <f>IF(LeadsData[[#This Row],[Stage Number]]&gt;=3,1,0)</f>
        <v>0</v>
      </c>
      <c r="O761" s="2">
        <f>IF(LeadsData[[#This Row],[Stage Number]]&gt;=4,1,0)</f>
        <v>0</v>
      </c>
    </row>
    <row r="762" spans="1:15" x14ac:dyDescent="0.25">
      <c r="A762" t="s">
        <v>802</v>
      </c>
      <c r="B762" s="1">
        <v>45465</v>
      </c>
      <c r="C762" t="s">
        <v>17</v>
      </c>
      <c r="D762" t="s">
        <v>53</v>
      </c>
      <c r="E762" t="s">
        <v>21</v>
      </c>
      <c r="F762" t="s">
        <v>19</v>
      </c>
      <c r="G762" t="s">
        <v>15</v>
      </c>
      <c r="K762" cm="1">
        <f t="array" ref="K762">_xlfn.SWITCH(LeadsData[[#This Row],[Funnel Stage Reached]],"Lead",1,"MQL",2,"SQL",3,"Customer",4)</f>
        <v>1</v>
      </c>
      <c r="L762" t="str">
        <f>TEXT(LeadsData[[#This Row],[Signup Date]],"mmm-yyyy")</f>
        <v>Jun-2024</v>
      </c>
      <c r="M762">
        <f>IF(LeadsData[[#This Row],[Stage Number]]&gt;=2,1,0)</f>
        <v>0</v>
      </c>
      <c r="N762" s="2">
        <f>IF(LeadsData[[#This Row],[Stage Number]]&gt;=3,1,0)</f>
        <v>0</v>
      </c>
      <c r="O762" s="2">
        <f>IF(LeadsData[[#This Row],[Stage Number]]&gt;=4,1,0)</f>
        <v>0</v>
      </c>
    </row>
    <row r="763" spans="1:15" x14ac:dyDescent="0.25">
      <c r="A763" t="s">
        <v>803</v>
      </c>
      <c r="B763" s="1">
        <v>45619</v>
      </c>
      <c r="C763" t="s">
        <v>31</v>
      </c>
      <c r="D763" t="s">
        <v>34</v>
      </c>
      <c r="E763" t="s">
        <v>21</v>
      </c>
      <c r="F763" t="s">
        <v>14</v>
      </c>
      <c r="G763" t="s">
        <v>15</v>
      </c>
      <c r="K763" cm="1">
        <f t="array" ref="K763">_xlfn.SWITCH(LeadsData[[#This Row],[Funnel Stage Reached]],"Lead",1,"MQL",2,"SQL",3,"Customer",4)</f>
        <v>1</v>
      </c>
      <c r="L763" t="str">
        <f>TEXT(LeadsData[[#This Row],[Signup Date]],"mmm-yyyy")</f>
        <v>Nov-2024</v>
      </c>
      <c r="M763">
        <f>IF(LeadsData[[#This Row],[Stage Number]]&gt;=2,1,0)</f>
        <v>0</v>
      </c>
      <c r="N763" s="2">
        <f>IF(LeadsData[[#This Row],[Stage Number]]&gt;=3,1,0)</f>
        <v>0</v>
      </c>
      <c r="O763" s="2">
        <f>IF(LeadsData[[#This Row],[Stage Number]]&gt;=4,1,0)</f>
        <v>0</v>
      </c>
    </row>
    <row r="764" spans="1:15" x14ac:dyDescent="0.25">
      <c r="A764" t="s">
        <v>804</v>
      </c>
      <c r="B764" s="1">
        <v>45531</v>
      </c>
      <c r="C764" t="s">
        <v>17</v>
      </c>
      <c r="D764" t="s">
        <v>18</v>
      </c>
      <c r="E764" t="s">
        <v>13</v>
      </c>
      <c r="F764" t="s">
        <v>22</v>
      </c>
      <c r="G764" t="s">
        <v>15</v>
      </c>
      <c r="K764" cm="1">
        <f t="array" ref="K764">_xlfn.SWITCH(LeadsData[[#This Row],[Funnel Stage Reached]],"Lead",1,"MQL",2,"SQL",3,"Customer",4)</f>
        <v>1</v>
      </c>
      <c r="L764" t="str">
        <f>TEXT(LeadsData[[#This Row],[Signup Date]],"mmm-yyyy")</f>
        <v>Aug-2024</v>
      </c>
      <c r="M764">
        <f>IF(LeadsData[[#This Row],[Stage Number]]&gt;=2,1,0)</f>
        <v>0</v>
      </c>
      <c r="N764" s="2">
        <f>IF(LeadsData[[#This Row],[Stage Number]]&gt;=3,1,0)</f>
        <v>0</v>
      </c>
      <c r="O764" s="2">
        <f>IF(LeadsData[[#This Row],[Stage Number]]&gt;=4,1,0)</f>
        <v>0</v>
      </c>
    </row>
    <row r="765" spans="1:15" x14ac:dyDescent="0.25">
      <c r="A765" t="s">
        <v>805</v>
      </c>
      <c r="B765" s="1">
        <v>45513</v>
      </c>
      <c r="C765" t="s">
        <v>31</v>
      </c>
      <c r="D765" t="s">
        <v>32</v>
      </c>
      <c r="E765" t="s">
        <v>48</v>
      </c>
      <c r="F765" t="s">
        <v>14</v>
      </c>
      <c r="G765" t="s">
        <v>15</v>
      </c>
      <c r="K765" cm="1">
        <f t="array" ref="K765">_xlfn.SWITCH(LeadsData[[#This Row],[Funnel Stage Reached]],"Lead",1,"MQL",2,"SQL",3,"Customer",4)</f>
        <v>1</v>
      </c>
      <c r="L765" t="str">
        <f>TEXT(LeadsData[[#This Row],[Signup Date]],"mmm-yyyy")</f>
        <v>Aug-2024</v>
      </c>
      <c r="M765">
        <f>IF(LeadsData[[#This Row],[Stage Number]]&gt;=2,1,0)</f>
        <v>0</v>
      </c>
      <c r="N765" s="2">
        <f>IF(LeadsData[[#This Row],[Stage Number]]&gt;=3,1,0)</f>
        <v>0</v>
      </c>
      <c r="O765" s="2">
        <f>IF(LeadsData[[#This Row],[Stage Number]]&gt;=4,1,0)</f>
        <v>0</v>
      </c>
    </row>
    <row r="766" spans="1:15" x14ac:dyDescent="0.25">
      <c r="A766" t="s">
        <v>806</v>
      </c>
      <c r="B766" s="1">
        <v>45589</v>
      </c>
      <c r="C766" t="s">
        <v>46</v>
      </c>
      <c r="D766" t="s">
        <v>47</v>
      </c>
      <c r="E766" t="s">
        <v>13</v>
      </c>
      <c r="F766" t="s">
        <v>22</v>
      </c>
      <c r="G766" t="s">
        <v>29</v>
      </c>
      <c r="K766" cm="1">
        <f t="array" ref="K766">_xlfn.SWITCH(LeadsData[[#This Row],[Funnel Stage Reached]],"Lead",1,"MQL",2,"SQL",3,"Customer",4)</f>
        <v>3</v>
      </c>
      <c r="L766" t="str">
        <f>TEXT(LeadsData[[#This Row],[Signup Date]],"mmm-yyyy")</f>
        <v>Oct-2024</v>
      </c>
      <c r="M766">
        <f>IF(LeadsData[[#This Row],[Stage Number]]&gt;=2,1,0)</f>
        <v>1</v>
      </c>
      <c r="N766" s="2">
        <f>IF(LeadsData[[#This Row],[Stage Number]]&gt;=3,1,0)</f>
        <v>1</v>
      </c>
      <c r="O766" s="2">
        <f>IF(LeadsData[[#This Row],[Stage Number]]&gt;=4,1,0)</f>
        <v>0</v>
      </c>
    </row>
    <row r="767" spans="1:15" x14ac:dyDescent="0.25">
      <c r="A767" t="s">
        <v>807</v>
      </c>
      <c r="B767" s="1">
        <v>45397</v>
      </c>
      <c r="C767" t="s">
        <v>31</v>
      </c>
      <c r="D767" t="s">
        <v>32</v>
      </c>
      <c r="E767" t="s">
        <v>13</v>
      </c>
      <c r="F767" t="s">
        <v>14</v>
      </c>
      <c r="G767" t="s">
        <v>23</v>
      </c>
      <c r="K767" cm="1">
        <f t="array" ref="K767">_xlfn.SWITCH(LeadsData[[#This Row],[Funnel Stage Reached]],"Lead",1,"MQL",2,"SQL",3,"Customer",4)</f>
        <v>2</v>
      </c>
      <c r="L767" t="str">
        <f>TEXT(LeadsData[[#This Row],[Signup Date]],"mmm-yyyy")</f>
        <v>Apr-2024</v>
      </c>
      <c r="M767">
        <f>IF(LeadsData[[#This Row],[Stage Number]]&gt;=2,1,0)</f>
        <v>1</v>
      </c>
      <c r="N767" s="2">
        <f>IF(LeadsData[[#This Row],[Stage Number]]&gt;=3,1,0)</f>
        <v>0</v>
      </c>
      <c r="O767" s="2">
        <f>IF(LeadsData[[#This Row],[Stage Number]]&gt;=4,1,0)</f>
        <v>0</v>
      </c>
    </row>
    <row r="768" spans="1:15" x14ac:dyDescent="0.25">
      <c r="A768" t="s">
        <v>808</v>
      </c>
      <c r="B768" s="1">
        <v>45358</v>
      </c>
      <c r="C768" t="s">
        <v>11</v>
      </c>
      <c r="D768" t="s">
        <v>12</v>
      </c>
      <c r="E768" t="s">
        <v>21</v>
      </c>
      <c r="F768" t="s">
        <v>28</v>
      </c>
      <c r="G768" t="s">
        <v>23</v>
      </c>
      <c r="K768" cm="1">
        <f t="array" ref="K768">_xlfn.SWITCH(LeadsData[[#This Row],[Funnel Stage Reached]],"Lead",1,"MQL",2,"SQL",3,"Customer",4)</f>
        <v>2</v>
      </c>
      <c r="L768" t="str">
        <f>TEXT(LeadsData[[#This Row],[Signup Date]],"mmm-yyyy")</f>
        <v>Mar-2024</v>
      </c>
      <c r="M768">
        <f>IF(LeadsData[[#This Row],[Stage Number]]&gt;=2,1,0)</f>
        <v>1</v>
      </c>
      <c r="N768" s="2">
        <f>IF(LeadsData[[#This Row],[Stage Number]]&gt;=3,1,0)</f>
        <v>0</v>
      </c>
      <c r="O768" s="2">
        <f>IF(LeadsData[[#This Row],[Stage Number]]&gt;=4,1,0)</f>
        <v>0</v>
      </c>
    </row>
    <row r="769" spans="1:15" x14ac:dyDescent="0.25">
      <c r="A769" t="s">
        <v>809</v>
      </c>
      <c r="B769" s="1">
        <v>45302</v>
      </c>
      <c r="C769" t="s">
        <v>11</v>
      </c>
      <c r="D769" t="s">
        <v>79</v>
      </c>
      <c r="E769" t="s">
        <v>21</v>
      </c>
      <c r="F769" t="s">
        <v>22</v>
      </c>
      <c r="G769" t="s">
        <v>23</v>
      </c>
      <c r="K769" cm="1">
        <f t="array" ref="K769">_xlfn.SWITCH(LeadsData[[#This Row],[Funnel Stage Reached]],"Lead",1,"MQL",2,"SQL",3,"Customer",4)</f>
        <v>2</v>
      </c>
      <c r="L769" t="str">
        <f>TEXT(LeadsData[[#This Row],[Signup Date]],"mmm-yyyy")</f>
        <v>Jan-2024</v>
      </c>
      <c r="M769">
        <f>IF(LeadsData[[#This Row],[Stage Number]]&gt;=2,1,0)</f>
        <v>1</v>
      </c>
      <c r="N769" s="2">
        <f>IF(LeadsData[[#This Row],[Stage Number]]&gt;=3,1,0)</f>
        <v>0</v>
      </c>
      <c r="O769" s="2">
        <f>IF(LeadsData[[#This Row],[Stage Number]]&gt;=4,1,0)</f>
        <v>0</v>
      </c>
    </row>
    <row r="770" spans="1:15" x14ac:dyDescent="0.25">
      <c r="A770" t="s">
        <v>810</v>
      </c>
      <c r="B770" s="1">
        <v>45519</v>
      </c>
      <c r="C770" t="s">
        <v>36</v>
      </c>
      <c r="D770" t="s">
        <v>50</v>
      </c>
      <c r="E770" t="s">
        <v>13</v>
      </c>
      <c r="F770" t="s">
        <v>22</v>
      </c>
      <c r="G770" t="s">
        <v>23</v>
      </c>
      <c r="K770" cm="1">
        <f t="array" ref="K770">_xlfn.SWITCH(LeadsData[[#This Row],[Funnel Stage Reached]],"Lead",1,"MQL",2,"SQL",3,"Customer",4)</f>
        <v>2</v>
      </c>
      <c r="L770" t="str">
        <f>TEXT(LeadsData[[#This Row],[Signup Date]],"mmm-yyyy")</f>
        <v>Aug-2024</v>
      </c>
      <c r="M770">
        <f>IF(LeadsData[[#This Row],[Stage Number]]&gt;=2,1,0)</f>
        <v>1</v>
      </c>
      <c r="N770" s="2">
        <f>IF(LeadsData[[#This Row],[Stage Number]]&gt;=3,1,0)</f>
        <v>0</v>
      </c>
      <c r="O770" s="2">
        <f>IF(LeadsData[[#This Row],[Stage Number]]&gt;=4,1,0)</f>
        <v>0</v>
      </c>
    </row>
    <row r="771" spans="1:15" x14ac:dyDescent="0.25">
      <c r="A771" t="s">
        <v>811</v>
      </c>
      <c r="B771" s="1">
        <v>45635</v>
      </c>
      <c r="C771" t="s">
        <v>36</v>
      </c>
      <c r="D771" t="s">
        <v>37</v>
      </c>
      <c r="E771" t="s">
        <v>13</v>
      </c>
      <c r="F771" t="s">
        <v>19</v>
      </c>
      <c r="G771" t="s">
        <v>42</v>
      </c>
      <c r="H771">
        <v>53</v>
      </c>
      <c r="I771" t="s">
        <v>87</v>
      </c>
      <c r="J771">
        <v>4763.53</v>
      </c>
      <c r="K771" cm="1">
        <f t="array" ref="K771">_xlfn.SWITCH(LeadsData[[#This Row],[Funnel Stage Reached]],"Lead",1,"MQL",2,"SQL",3,"Customer",4)</f>
        <v>4</v>
      </c>
      <c r="L771" t="str">
        <f>TEXT(LeadsData[[#This Row],[Signup Date]],"mmm-yyyy")</f>
        <v>Dec-2024</v>
      </c>
      <c r="M771">
        <f>IF(LeadsData[[#This Row],[Stage Number]]&gt;=2,1,0)</f>
        <v>1</v>
      </c>
      <c r="N771" s="2">
        <f>IF(LeadsData[[#This Row],[Stage Number]]&gt;=3,1,0)</f>
        <v>1</v>
      </c>
      <c r="O771" s="2">
        <f>IF(LeadsData[[#This Row],[Stage Number]]&gt;=4,1,0)</f>
        <v>1</v>
      </c>
    </row>
    <row r="772" spans="1:15" x14ac:dyDescent="0.25">
      <c r="A772" t="s">
        <v>812</v>
      </c>
      <c r="B772" s="1">
        <v>45486</v>
      </c>
      <c r="C772" t="s">
        <v>17</v>
      </c>
      <c r="D772" t="s">
        <v>18</v>
      </c>
      <c r="E772" t="s">
        <v>13</v>
      </c>
      <c r="F772" t="s">
        <v>28</v>
      </c>
      <c r="G772" t="s">
        <v>23</v>
      </c>
      <c r="K772" cm="1">
        <f t="array" ref="K772">_xlfn.SWITCH(LeadsData[[#This Row],[Funnel Stage Reached]],"Lead",1,"MQL",2,"SQL",3,"Customer",4)</f>
        <v>2</v>
      </c>
      <c r="L772" t="str">
        <f>TEXT(LeadsData[[#This Row],[Signup Date]],"mmm-yyyy")</f>
        <v>Jul-2024</v>
      </c>
      <c r="M772">
        <f>IF(LeadsData[[#This Row],[Stage Number]]&gt;=2,1,0)</f>
        <v>1</v>
      </c>
      <c r="N772" s="2">
        <f>IF(LeadsData[[#This Row],[Stage Number]]&gt;=3,1,0)</f>
        <v>0</v>
      </c>
      <c r="O772" s="2">
        <f>IF(LeadsData[[#This Row],[Stage Number]]&gt;=4,1,0)</f>
        <v>0</v>
      </c>
    </row>
    <row r="773" spans="1:15" x14ac:dyDescent="0.25">
      <c r="A773" t="s">
        <v>813</v>
      </c>
      <c r="B773" s="1">
        <v>45438</v>
      </c>
      <c r="C773" t="s">
        <v>25</v>
      </c>
      <c r="D773" t="s">
        <v>26</v>
      </c>
      <c r="E773" t="s">
        <v>48</v>
      </c>
      <c r="F773" t="s">
        <v>19</v>
      </c>
      <c r="G773" t="s">
        <v>29</v>
      </c>
      <c r="K773" cm="1">
        <f t="array" ref="K773">_xlfn.SWITCH(LeadsData[[#This Row],[Funnel Stage Reached]],"Lead",1,"MQL",2,"SQL",3,"Customer",4)</f>
        <v>3</v>
      </c>
      <c r="L773" t="str">
        <f>TEXT(LeadsData[[#This Row],[Signup Date]],"mmm-yyyy")</f>
        <v>May-2024</v>
      </c>
      <c r="M773">
        <f>IF(LeadsData[[#This Row],[Stage Number]]&gt;=2,1,0)</f>
        <v>1</v>
      </c>
      <c r="N773" s="2">
        <f>IF(LeadsData[[#This Row],[Stage Number]]&gt;=3,1,0)</f>
        <v>1</v>
      </c>
      <c r="O773" s="2">
        <f>IF(LeadsData[[#This Row],[Stage Number]]&gt;=4,1,0)</f>
        <v>0</v>
      </c>
    </row>
    <row r="774" spans="1:15" x14ac:dyDescent="0.25">
      <c r="A774" t="s">
        <v>814</v>
      </c>
      <c r="B774" s="1">
        <v>45618</v>
      </c>
      <c r="C774" t="s">
        <v>17</v>
      </c>
      <c r="D774" t="s">
        <v>18</v>
      </c>
      <c r="E774" t="s">
        <v>21</v>
      </c>
      <c r="F774" t="s">
        <v>19</v>
      </c>
      <c r="G774" t="s">
        <v>15</v>
      </c>
      <c r="K774" cm="1">
        <f t="array" ref="K774">_xlfn.SWITCH(LeadsData[[#This Row],[Funnel Stage Reached]],"Lead",1,"MQL",2,"SQL",3,"Customer",4)</f>
        <v>1</v>
      </c>
      <c r="L774" t="str">
        <f>TEXT(LeadsData[[#This Row],[Signup Date]],"mmm-yyyy")</f>
        <v>Nov-2024</v>
      </c>
      <c r="M774">
        <f>IF(LeadsData[[#This Row],[Stage Number]]&gt;=2,1,0)</f>
        <v>0</v>
      </c>
      <c r="N774" s="2">
        <f>IF(LeadsData[[#This Row],[Stage Number]]&gt;=3,1,0)</f>
        <v>0</v>
      </c>
      <c r="O774" s="2">
        <f>IF(LeadsData[[#This Row],[Stage Number]]&gt;=4,1,0)</f>
        <v>0</v>
      </c>
    </row>
    <row r="775" spans="1:15" x14ac:dyDescent="0.25">
      <c r="A775" t="s">
        <v>815</v>
      </c>
      <c r="B775" s="1">
        <v>45548</v>
      </c>
      <c r="C775" t="s">
        <v>31</v>
      </c>
      <c r="D775" t="s">
        <v>34</v>
      </c>
      <c r="E775" t="s">
        <v>21</v>
      </c>
      <c r="F775" t="s">
        <v>19</v>
      </c>
      <c r="G775" t="s">
        <v>23</v>
      </c>
      <c r="K775" cm="1">
        <f t="array" ref="K775">_xlfn.SWITCH(LeadsData[[#This Row],[Funnel Stage Reached]],"Lead",1,"MQL",2,"SQL",3,"Customer",4)</f>
        <v>2</v>
      </c>
      <c r="L775" t="str">
        <f>TEXT(LeadsData[[#This Row],[Signup Date]],"mmm-yyyy")</f>
        <v>Sep-2024</v>
      </c>
      <c r="M775">
        <f>IF(LeadsData[[#This Row],[Stage Number]]&gt;=2,1,0)</f>
        <v>1</v>
      </c>
      <c r="N775" s="2">
        <f>IF(LeadsData[[#This Row],[Stage Number]]&gt;=3,1,0)</f>
        <v>0</v>
      </c>
      <c r="O775" s="2">
        <f>IF(LeadsData[[#This Row],[Stage Number]]&gt;=4,1,0)</f>
        <v>0</v>
      </c>
    </row>
    <row r="776" spans="1:15" x14ac:dyDescent="0.25">
      <c r="A776" t="s">
        <v>816</v>
      </c>
      <c r="B776" s="1">
        <v>45292</v>
      </c>
      <c r="C776" t="s">
        <v>25</v>
      </c>
      <c r="D776" t="s">
        <v>26</v>
      </c>
      <c r="E776" t="s">
        <v>13</v>
      </c>
      <c r="F776" t="s">
        <v>14</v>
      </c>
      <c r="G776" t="s">
        <v>15</v>
      </c>
      <c r="K776" cm="1">
        <f t="array" ref="K776">_xlfn.SWITCH(LeadsData[[#This Row],[Funnel Stage Reached]],"Lead",1,"MQL",2,"SQL",3,"Customer",4)</f>
        <v>1</v>
      </c>
      <c r="L776" t="str">
        <f>TEXT(LeadsData[[#This Row],[Signup Date]],"mmm-yyyy")</f>
        <v>Jan-2024</v>
      </c>
      <c r="M776">
        <f>IF(LeadsData[[#This Row],[Stage Number]]&gt;=2,1,0)</f>
        <v>0</v>
      </c>
      <c r="N776" s="2">
        <f>IF(LeadsData[[#This Row],[Stage Number]]&gt;=3,1,0)</f>
        <v>0</v>
      </c>
      <c r="O776" s="2">
        <f>IF(LeadsData[[#This Row],[Stage Number]]&gt;=4,1,0)</f>
        <v>0</v>
      </c>
    </row>
    <row r="777" spans="1:15" x14ac:dyDescent="0.25">
      <c r="A777" t="s">
        <v>817</v>
      </c>
      <c r="B777" s="1">
        <v>45618</v>
      </c>
      <c r="C777" t="s">
        <v>31</v>
      </c>
      <c r="D777" t="s">
        <v>32</v>
      </c>
      <c r="E777" t="s">
        <v>13</v>
      </c>
      <c r="F777" t="s">
        <v>19</v>
      </c>
      <c r="G777" t="s">
        <v>15</v>
      </c>
      <c r="K777" cm="1">
        <f t="array" ref="K777">_xlfn.SWITCH(LeadsData[[#This Row],[Funnel Stage Reached]],"Lead",1,"MQL",2,"SQL",3,"Customer",4)</f>
        <v>1</v>
      </c>
      <c r="L777" t="str">
        <f>TEXT(LeadsData[[#This Row],[Signup Date]],"mmm-yyyy")</f>
        <v>Nov-2024</v>
      </c>
      <c r="M777">
        <f>IF(LeadsData[[#This Row],[Stage Number]]&gt;=2,1,0)</f>
        <v>0</v>
      </c>
      <c r="N777" s="2">
        <f>IF(LeadsData[[#This Row],[Stage Number]]&gt;=3,1,0)</f>
        <v>0</v>
      </c>
      <c r="O777" s="2">
        <f>IF(LeadsData[[#This Row],[Stage Number]]&gt;=4,1,0)</f>
        <v>0</v>
      </c>
    </row>
    <row r="778" spans="1:15" x14ac:dyDescent="0.25">
      <c r="A778" t="s">
        <v>818</v>
      </c>
      <c r="B778" s="1">
        <v>45583</v>
      </c>
      <c r="C778" t="s">
        <v>11</v>
      </c>
      <c r="D778" t="s">
        <v>68</v>
      </c>
      <c r="E778" t="s">
        <v>13</v>
      </c>
      <c r="F778" t="s">
        <v>28</v>
      </c>
      <c r="G778" t="s">
        <v>15</v>
      </c>
      <c r="K778" cm="1">
        <f t="array" ref="K778">_xlfn.SWITCH(LeadsData[[#This Row],[Funnel Stage Reached]],"Lead",1,"MQL",2,"SQL",3,"Customer",4)</f>
        <v>1</v>
      </c>
      <c r="L778" t="str">
        <f>TEXT(LeadsData[[#This Row],[Signup Date]],"mmm-yyyy")</f>
        <v>Oct-2024</v>
      </c>
      <c r="M778">
        <f>IF(LeadsData[[#This Row],[Stage Number]]&gt;=2,1,0)</f>
        <v>0</v>
      </c>
      <c r="N778" s="2">
        <f>IF(LeadsData[[#This Row],[Stage Number]]&gt;=3,1,0)</f>
        <v>0</v>
      </c>
      <c r="O778" s="2">
        <f>IF(LeadsData[[#This Row],[Stage Number]]&gt;=4,1,0)</f>
        <v>0</v>
      </c>
    </row>
    <row r="779" spans="1:15" x14ac:dyDescent="0.25">
      <c r="A779" t="s">
        <v>819</v>
      </c>
      <c r="B779" s="1">
        <v>45607</v>
      </c>
      <c r="C779" t="s">
        <v>31</v>
      </c>
      <c r="D779" t="s">
        <v>32</v>
      </c>
      <c r="E779" t="s">
        <v>21</v>
      </c>
      <c r="F779" t="s">
        <v>22</v>
      </c>
      <c r="G779" t="s">
        <v>42</v>
      </c>
      <c r="H779">
        <v>31</v>
      </c>
      <c r="I779" t="s">
        <v>43</v>
      </c>
      <c r="J779">
        <v>814.65</v>
      </c>
      <c r="K779" cm="1">
        <f t="array" ref="K779">_xlfn.SWITCH(LeadsData[[#This Row],[Funnel Stage Reached]],"Lead",1,"MQL",2,"SQL",3,"Customer",4)</f>
        <v>4</v>
      </c>
      <c r="L779" t="str">
        <f>TEXT(LeadsData[[#This Row],[Signup Date]],"mmm-yyyy")</f>
        <v>Nov-2024</v>
      </c>
      <c r="M779">
        <f>IF(LeadsData[[#This Row],[Stage Number]]&gt;=2,1,0)</f>
        <v>1</v>
      </c>
      <c r="N779" s="2">
        <f>IF(LeadsData[[#This Row],[Stage Number]]&gt;=3,1,0)</f>
        <v>1</v>
      </c>
      <c r="O779" s="2">
        <f>IF(LeadsData[[#This Row],[Stage Number]]&gt;=4,1,0)</f>
        <v>1</v>
      </c>
    </row>
    <row r="780" spans="1:15" x14ac:dyDescent="0.25">
      <c r="A780" t="s">
        <v>820</v>
      </c>
      <c r="B780" s="1">
        <v>45541</v>
      </c>
      <c r="C780" t="s">
        <v>17</v>
      </c>
      <c r="D780" t="s">
        <v>18</v>
      </c>
      <c r="E780" t="s">
        <v>13</v>
      </c>
      <c r="F780" t="s">
        <v>19</v>
      </c>
      <c r="G780" t="s">
        <v>15</v>
      </c>
      <c r="K780" cm="1">
        <f t="array" ref="K780">_xlfn.SWITCH(LeadsData[[#This Row],[Funnel Stage Reached]],"Lead",1,"MQL",2,"SQL",3,"Customer",4)</f>
        <v>1</v>
      </c>
      <c r="L780" t="str">
        <f>TEXT(LeadsData[[#This Row],[Signup Date]],"mmm-yyyy")</f>
        <v>Sep-2024</v>
      </c>
      <c r="M780">
        <f>IF(LeadsData[[#This Row],[Stage Number]]&gt;=2,1,0)</f>
        <v>0</v>
      </c>
      <c r="N780" s="2">
        <f>IF(LeadsData[[#This Row],[Stage Number]]&gt;=3,1,0)</f>
        <v>0</v>
      </c>
      <c r="O780" s="2">
        <f>IF(LeadsData[[#This Row],[Stage Number]]&gt;=4,1,0)</f>
        <v>0</v>
      </c>
    </row>
    <row r="781" spans="1:15" x14ac:dyDescent="0.25">
      <c r="A781" t="s">
        <v>821</v>
      </c>
      <c r="B781" s="1">
        <v>45426</v>
      </c>
      <c r="C781" t="s">
        <v>31</v>
      </c>
      <c r="D781" t="s">
        <v>34</v>
      </c>
      <c r="E781" t="s">
        <v>21</v>
      </c>
      <c r="F781" t="s">
        <v>19</v>
      </c>
      <c r="G781" t="s">
        <v>29</v>
      </c>
      <c r="K781" cm="1">
        <f t="array" ref="K781">_xlfn.SWITCH(LeadsData[[#This Row],[Funnel Stage Reached]],"Lead",1,"MQL",2,"SQL",3,"Customer",4)</f>
        <v>3</v>
      </c>
      <c r="L781" t="str">
        <f>TEXT(LeadsData[[#This Row],[Signup Date]],"mmm-yyyy")</f>
        <v>May-2024</v>
      </c>
      <c r="M781">
        <f>IF(LeadsData[[#This Row],[Stage Number]]&gt;=2,1,0)</f>
        <v>1</v>
      </c>
      <c r="N781" s="2">
        <f>IF(LeadsData[[#This Row],[Stage Number]]&gt;=3,1,0)</f>
        <v>1</v>
      </c>
      <c r="O781" s="2">
        <f>IF(LeadsData[[#This Row],[Stage Number]]&gt;=4,1,0)</f>
        <v>0</v>
      </c>
    </row>
    <row r="782" spans="1:15" x14ac:dyDescent="0.25">
      <c r="A782" t="s">
        <v>822</v>
      </c>
      <c r="B782" s="1">
        <v>45518</v>
      </c>
      <c r="C782" t="s">
        <v>25</v>
      </c>
      <c r="D782" t="s">
        <v>26</v>
      </c>
      <c r="E782" t="s">
        <v>13</v>
      </c>
      <c r="F782" t="s">
        <v>19</v>
      </c>
      <c r="G782" t="s">
        <v>23</v>
      </c>
      <c r="K782" cm="1">
        <f t="array" ref="K782">_xlfn.SWITCH(LeadsData[[#This Row],[Funnel Stage Reached]],"Lead",1,"MQL",2,"SQL",3,"Customer",4)</f>
        <v>2</v>
      </c>
      <c r="L782" t="str">
        <f>TEXT(LeadsData[[#This Row],[Signup Date]],"mmm-yyyy")</f>
        <v>Aug-2024</v>
      </c>
      <c r="M782">
        <f>IF(LeadsData[[#This Row],[Stage Number]]&gt;=2,1,0)</f>
        <v>1</v>
      </c>
      <c r="N782" s="2">
        <f>IF(LeadsData[[#This Row],[Stage Number]]&gt;=3,1,0)</f>
        <v>0</v>
      </c>
      <c r="O782" s="2">
        <f>IF(LeadsData[[#This Row],[Stage Number]]&gt;=4,1,0)</f>
        <v>0</v>
      </c>
    </row>
    <row r="783" spans="1:15" x14ac:dyDescent="0.25">
      <c r="A783" t="s">
        <v>823</v>
      </c>
      <c r="B783" s="1">
        <v>45362</v>
      </c>
      <c r="C783" t="s">
        <v>11</v>
      </c>
      <c r="D783" t="s">
        <v>12</v>
      </c>
      <c r="E783" t="s">
        <v>13</v>
      </c>
      <c r="F783" t="s">
        <v>19</v>
      </c>
      <c r="G783" t="s">
        <v>23</v>
      </c>
      <c r="K783" cm="1">
        <f t="array" ref="K783">_xlfn.SWITCH(LeadsData[[#This Row],[Funnel Stage Reached]],"Lead",1,"MQL",2,"SQL",3,"Customer",4)</f>
        <v>2</v>
      </c>
      <c r="L783" t="str">
        <f>TEXT(LeadsData[[#This Row],[Signup Date]],"mmm-yyyy")</f>
        <v>Mar-2024</v>
      </c>
      <c r="M783">
        <f>IF(LeadsData[[#This Row],[Stage Number]]&gt;=2,1,0)</f>
        <v>1</v>
      </c>
      <c r="N783" s="2">
        <f>IF(LeadsData[[#This Row],[Stage Number]]&gt;=3,1,0)</f>
        <v>0</v>
      </c>
      <c r="O783" s="2">
        <f>IF(LeadsData[[#This Row],[Stage Number]]&gt;=4,1,0)</f>
        <v>0</v>
      </c>
    </row>
    <row r="784" spans="1:15" x14ac:dyDescent="0.25">
      <c r="A784" t="s">
        <v>824</v>
      </c>
      <c r="B784" s="1">
        <v>45600</v>
      </c>
      <c r="C784" t="s">
        <v>31</v>
      </c>
      <c r="D784" t="s">
        <v>32</v>
      </c>
      <c r="E784" t="s">
        <v>13</v>
      </c>
      <c r="F784" t="s">
        <v>19</v>
      </c>
      <c r="G784" t="s">
        <v>23</v>
      </c>
      <c r="K784" cm="1">
        <f t="array" ref="K784">_xlfn.SWITCH(LeadsData[[#This Row],[Funnel Stage Reached]],"Lead",1,"MQL",2,"SQL",3,"Customer",4)</f>
        <v>2</v>
      </c>
      <c r="L784" t="str">
        <f>TEXT(LeadsData[[#This Row],[Signup Date]],"mmm-yyyy")</f>
        <v>Nov-2024</v>
      </c>
      <c r="M784">
        <f>IF(LeadsData[[#This Row],[Stage Number]]&gt;=2,1,0)</f>
        <v>1</v>
      </c>
      <c r="N784" s="2">
        <f>IF(LeadsData[[#This Row],[Stage Number]]&gt;=3,1,0)</f>
        <v>0</v>
      </c>
      <c r="O784" s="2">
        <f>IF(LeadsData[[#This Row],[Stage Number]]&gt;=4,1,0)</f>
        <v>0</v>
      </c>
    </row>
    <row r="785" spans="1:15" x14ac:dyDescent="0.25">
      <c r="A785" t="s">
        <v>825</v>
      </c>
      <c r="B785" s="1">
        <v>45420</v>
      </c>
      <c r="C785" t="s">
        <v>31</v>
      </c>
      <c r="D785" t="s">
        <v>32</v>
      </c>
      <c r="E785" t="s">
        <v>13</v>
      </c>
      <c r="F785" t="s">
        <v>19</v>
      </c>
      <c r="G785" t="s">
        <v>29</v>
      </c>
      <c r="K785" cm="1">
        <f t="array" ref="K785">_xlfn.SWITCH(LeadsData[[#This Row],[Funnel Stage Reached]],"Lead",1,"MQL",2,"SQL",3,"Customer",4)</f>
        <v>3</v>
      </c>
      <c r="L785" t="str">
        <f>TEXT(LeadsData[[#This Row],[Signup Date]],"mmm-yyyy")</f>
        <v>May-2024</v>
      </c>
      <c r="M785">
        <f>IF(LeadsData[[#This Row],[Stage Number]]&gt;=2,1,0)</f>
        <v>1</v>
      </c>
      <c r="N785" s="2">
        <f>IF(LeadsData[[#This Row],[Stage Number]]&gt;=3,1,0)</f>
        <v>1</v>
      </c>
      <c r="O785" s="2">
        <f>IF(LeadsData[[#This Row],[Stage Number]]&gt;=4,1,0)</f>
        <v>0</v>
      </c>
    </row>
    <row r="786" spans="1:15" x14ac:dyDescent="0.25">
      <c r="A786" t="s">
        <v>826</v>
      </c>
      <c r="B786" s="1">
        <v>45296</v>
      </c>
      <c r="C786" t="s">
        <v>46</v>
      </c>
      <c r="D786" t="s">
        <v>47</v>
      </c>
      <c r="E786" t="s">
        <v>13</v>
      </c>
      <c r="F786" t="s">
        <v>19</v>
      </c>
      <c r="G786" t="s">
        <v>29</v>
      </c>
      <c r="K786" cm="1">
        <f t="array" ref="K786">_xlfn.SWITCH(LeadsData[[#This Row],[Funnel Stage Reached]],"Lead",1,"MQL",2,"SQL",3,"Customer",4)</f>
        <v>3</v>
      </c>
      <c r="L786" t="str">
        <f>TEXT(LeadsData[[#This Row],[Signup Date]],"mmm-yyyy")</f>
        <v>Jan-2024</v>
      </c>
      <c r="M786">
        <f>IF(LeadsData[[#This Row],[Stage Number]]&gt;=2,1,0)</f>
        <v>1</v>
      </c>
      <c r="N786" s="2">
        <f>IF(LeadsData[[#This Row],[Stage Number]]&gt;=3,1,0)</f>
        <v>1</v>
      </c>
      <c r="O786" s="2">
        <f>IF(LeadsData[[#This Row],[Stage Number]]&gt;=4,1,0)</f>
        <v>0</v>
      </c>
    </row>
    <row r="787" spans="1:15" x14ac:dyDescent="0.25">
      <c r="A787" t="s">
        <v>827</v>
      </c>
      <c r="B787" s="1">
        <v>45639</v>
      </c>
      <c r="C787" t="s">
        <v>36</v>
      </c>
      <c r="D787" t="s">
        <v>50</v>
      </c>
      <c r="E787" t="s">
        <v>21</v>
      </c>
      <c r="F787" t="s">
        <v>19</v>
      </c>
      <c r="G787" t="s">
        <v>29</v>
      </c>
      <c r="K787" cm="1">
        <f t="array" ref="K787">_xlfn.SWITCH(LeadsData[[#This Row],[Funnel Stage Reached]],"Lead",1,"MQL",2,"SQL",3,"Customer",4)</f>
        <v>3</v>
      </c>
      <c r="L787" t="str">
        <f>TEXT(LeadsData[[#This Row],[Signup Date]],"mmm-yyyy")</f>
        <v>Dec-2024</v>
      </c>
      <c r="M787">
        <f>IF(LeadsData[[#This Row],[Stage Number]]&gt;=2,1,0)</f>
        <v>1</v>
      </c>
      <c r="N787" s="2">
        <f>IF(LeadsData[[#This Row],[Stage Number]]&gt;=3,1,0)</f>
        <v>1</v>
      </c>
      <c r="O787" s="2">
        <f>IF(LeadsData[[#This Row],[Stage Number]]&gt;=4,1,0)</f>
        <v>0</v>
      </c>
    </row>
    <row r="788" spans="1:15" x14ac:dyDescent="0.25">
      <c r="A788" t="s">
        <v>828</v>
      </c>
      <c r="B788" s="1">
        <v>45372</v>
      </c>
      <c r="C788" t="s">
        <v>31</v>
      </c>
      <c r="D788" t="s">
        <v>32</v>
      </c>
      <c r="E788" t="s">
        <v>13</v>
      </c>
      <c r="F788" t="s">
        <v>19</v>
      </c>
      <c r="G788" t="s">
        <v>23</v>
      </c>
      <c r="K788" cm="1">
        <f t="array" ref="K788">_xlfn.SWITCH(LeadsData[[#This Row],[Funnel Stage Reached]],"Lead",1,"MQL",2,"SQL",3,"Customer",4)</f>
        <v>2</v>
      </c>
      <c r="L788" t="str">
        <f>TEXT(LeadsData[[#This Row],[Signup Date]],"mmm-yyyy")</f>
        <v>Mar-2024</v>
      </c>
      <c r="M788">
        <f>IF(LeadsData[[#This Row],[Stage Number]]&gt;=2,1,0)</f>
        <v>1</v>
      </c>
      <c r="N788" s="2">
        <f>IF(LeadsData[[#This Row],[Stage Number]]&gt;=3,1,0)</f>
        <v>0</v>
      </c>
      <c r="O788" s="2">
        <f>IF(LeadsData[[#This Row],[Stage Number]]&gt;=4,1,0)</f>
        <v>0</v>
      </c>
    </row>
    <row r="789" spans="1:15" x14ac:dyDescent="0.25">
      <c r="A789" t="s">
        <v>829</v>
      </c>
      <c r="B789" s="1">
        <v>45518</v>
      </c>
      <c r="C789" t="s">
        <v>46</v>
      </c>
      <c r="D789" t="s">
        <v>56</v>
      </c>
      <c r="E789" t="s">
        <v>48</v>
      </c>
      <c r="F789" t="s">
        <v>28</v>
      </c>
      <c r="G789" t="s">
        <v>15</v>
      </c>
      <c r="K789" cm="1">
        <f t="array" ref="K789">_xlfn.SWITCH(LeadsData[[#This Row],[Funnel Stage Reached]],"Lead",1,"MQL",2,"SQL",3,"Customer",4)</f>
        <v>1</v>
      </c>
      <c r="L789" t="str">
        <f>TEXT(LeadsData[[#This Row],[Signup Date]],"mmm-yyyy")</f>
        <v>Aug-2024</v>
      </c>
      <c r="M789">
        <f>IF(LeadsData[[#This Row],[Stage Number]]&gt;=2,1,0)</f>
        <v>0</v>
      </c>
      <c r="N789" s="2">
        <f>IF(LeadsData[[#This Row],[Stage Number]]&gt;=3,1,0)</f>
        <v>0</v>
      </c>
      <c r="O789" s="2">
        <f>IF(LeadsData[[#This Row],[Stage Number]]&gt;=4,1,0)</f>
        <v>0</v>
      </c>
    </row>
    <row r="790" spans="1:15" x14ac:dyDescent="0.25">
      <c r="A790" t="s">
        <v>830</v>
      </c>
      <c r="B790" s="1">
        <v>45294</v>
      </c>
      <c r="C790" t="s">
        <v>25</v>
      </c>
      <c r="D790" t="s">
        <v>26</v>
      </c>
      <c r="E790" t="s">
        <v>21</v>
      </c>
      <c r="F790" t="s">
        <v>22</v>
      </c>
      <c r="G790" t="s">
        <v>29</v>
      </c>
      <c r="K790" cm="1">
        <f t="array" ref="K790">_xlfn.SWITCH(LeadsData[[#This Row],[Funnel Stage Reached]],"Lead",1,"MQL",2,"SQL",3,"Customer",4)</f>
        <v>3</v>
      </c>
      <c r="L790" t="str">
        <f>TEXT(LeadsData[[#This Row],[Signup Date]],"mmm-yyyy")</f>
        <v>Jan-2024</v>
      </c>
      <c r="M790">
        <f>IF(LeadsData[[#This Row],[Stage Number]]&gt;=2,1,0)</f>
        <v>1</v>
      </c>
      <c r="N790" s="2">
        <f>IF(LeadsData[[#This Row],[Stage Number]]&gt;=3,1,0)</f>
        <v>1</v>
      </c>
      <c r="O790" s="2">
        <f>IF(LeadsData[[#This Row],[Stage Number]]&gt;=4,1,0)</f>
        <v>0</v>
      </c>
    </row>
    <row r="791" spans="1:15" x14ac:dyDescent="0.25">
      <c r="A791" t="s">
        <v>831</v>
      </c>
      <c r="B791" s="1">
        <v>45540</v>
      </c>
      <c r="C791" t="s">
        <v>36</v>
      </c>
      <c r="D791" t="s">
        <v>37</v>
      </c>
      <c r="E791" t="s">
        <v>21</v>
      </c>
      <c r="F791" t="s">
        <v>28</v>
      </c>
      <c r="G791" t="s">
        <v>23</v>
      </c>
      <c r="K791" cm="1">
        <f t="array" ref="K791">_xlfn.SWITCH(LeadsData[[#This Row],[Funnel Stage Reached]],"Lead",1,"MQL",2,"SQL",3,"Customer",4)</f>
        <v>2</v>
      </c>
      <c r="L791" t="str">
        <f>TEXT(LeadsData[[#This Row],[Signup Date]],"mmm-yyyy")</f>
        <v>Sep-2024</v>
      </c>
      <c r="M791">
        <f>IF(LeadsData[[#This Row],[Stage Number]]&gt;=2,1,0)</f>
        <v>1</v>
      </c>
      <c r="N791" s="2">
        <f>IF(LeadsData[[#This Row],[Stage Number]]&gt;=3,1,0)</f>
        <v>0</v>
      </c>
      <c r="O791" s="2">
        <f>IF(LeadsData[[#This Row],[Stage Number]]&gt;=4,1,0)</f>
        <v>0</v>
      </c>
    </row>
    <row r="792" spans="1:15" x14ac:dyDescent="0.25">
      <c r="A792" t="s">
        <v>832</v>
      </c>
      <c r="B792" s="1">
        <v>45348</v>
      </c>
      <c r="C792" t="s">
        <v>25</v>
      </c>
      <c r="D792" t="s">
        <v>26</v>
      </c>
      <c r="E792" t="s">
        <v>13</v>
      </c>
      <c r="F792" t="s">
        <v>19</v>
      </c>
      <c r="G792" t="s">
        <v>15</v>
      </c>
      <c r="K792" cm="1">
        <f t="array" ref="K792">_xlfn.SWITCH(LeadsData[[#This Row],[Funnel Stage Reached]],"Lead",1,"MQL",2,"SQL",3,"Customer",4)</f>
        <v>1</v>
      </c>
      <c r="L792" t="str">
        <f>TEXT(LeadsData[[#This Row],[Signup Date]],"mmm-yyyy")</f>
        <v>Feb-2024</v>
      </c>
      <c r="M792">
        <f>IF(LeadsData[[#This Row],[Stage Number]]&gt;=2,1,0)</f>
        <v>0</v>
      </c>
      <c r="N792" s="2">
        <f>IF(LeadsData[[#This Row],[Stage Number]]&gt;=3,1,0)</f>
        <v>0</v>
      </c>
      <c r="O792" s="2">
        <f>IF(LeadsData[[#This Row],[Stage Number]]&gt;=4,1,0)</f>
        <v>0</v>
      </c>
    </row>
    <row r="793" spans="1:15" x14ac:dyDescent="0.25">
      <c r="A793" t="s">
        <v>833</v>
      </c>
      <c r="B793" s="1">
        <v>45341</v>
      </c>
      <c r="C793" t="s">
        <v>31</v>
      </c>
      <c r="D793" t="s">
        <v>32</v>
      </c>
      <c r="E793" t="s">
        <v>13</v>
      </c>
      <c r="F793" t="s">
        <v>19</v>
      </c>
      <c r="G793" t="s">
        <v>15</v>
      </c>
      <c r="K793" cm="1">
        <f t="array" ref="K793">_xlfn.SWITCH(LeadsData[[#This Row],[Funnel Stage Reached]],"Lead",1,"MQL",2,"SQL",3,"Customer",4)</f>
        <v>1</v>
      </c>
      <c r="L793" t="str">
        <f>TEXT(LeadsData[[#This Row],[Signup Date]],"mmm-yyyy")</f>
        <v>Feb-2024</v>
      </c>
      <c r="M793">
        <f>IF(LeadsData[[#This Row],[Stage Number]]&gt;=2,1,0)</f>
        <v>0</v>
      </c>
      <c r="N793" s="2">
        <f>IF(LeadsData[[#This Row],[Stage Number]]&gt;=3,1,0)</f>
        <v>0</v>
      </c>
      <c r="O793" s="2">
        <f>IF(LeadsData[[#This Row],[Stage Number]]&gt;=4,1,0)</f>
        <v>0</v>
      </c>
    </row>
    <row r="794" spans="1:15" x14ac:dyDescent="0.25">
      <c r="A794" t="s">
        <v>834</v>
      </c>
      <c r="B794" s="1">
        <v>45495</v>
      </c>
      <c r="C794" t="s">
        <v>11</v>
      </c>
      <c r="D794" t="s">
        <v>79</v>
      </c>
      <c r="E794" t="s">
        <v>21</v>
      </c>
      <c r="F794" t="s">
        <v>19</v>
      </c>
      <c r="G794" t="s">
        <v>15</v>
      </c>
      <c r="K794" cm="1">
        <f t="array" ref="K794">_xlfn.SWITCH(LeadsData[[#This Row],[Funnel Stage Reached]],"Lead",1,"MQL",2,"SQL",3,"Customer",4)</f>
        <v>1</v>
      </c>
      <c r="L794" t="str">
        <f>TEXT(LeadsData[[#This Row],[Signup Date]],"mmm-yyyy")</f>
        <v>Jul-2024</v>
      </c>
      <c r="M794">
        <f>IF(LeadsData[[#This Row],[Stage Number]]&gt;=2,1,0)</f>
        <v>0</v>
      </c>
      <c r="N794" s="2">
        <f>IF(LeadsData[[#This Row],[Stage Number]]&gt;=3,1,0)</f>
        <v>0</v>
      </c>
      <c r="O794" s="2">
        <f>IF(LeadsData[[#This Row],[Stage Number]]&gt;=4,1,0)</f>
        <v>0</v>
      </c>
    </row>
    <row r="795" spans="1:15" x14ac:dyDescent="0.25">
      <c r="A795" t="s">
        <v>835</v>
      </c>
      <c r="B795" s="1">
        <v>45487</v>
      </c>
      <c r="C795" t="s">
        <v>11</v>
      </c>
      <c r="D795" t="s">
        <v>12</v>
      </c>
      <c r="E795" t="s">
        <v>21</v>
      </c>
      <c r="F795" t="s">
        <v>14</v>
      </c>
      <c r="G795" t="s">
        <v>23</v>
      </c>
      <c r="K795" cm="1">
        <f t="array" ref="K795">_xlfn.SWITCH(LeadsData[[#This Row],[Funnel Stage Reached]],"Lead",1,"MQL",2,"SQL",3,"Customer",4)</f>
        <v>2</v>
      </c>
      <c r="L795" t="str">
        <f>TEXT(LeadsData[[#This Row],[Signup Date]],"mmm-yyyy")</f>
        <v>Jul-2024</v>
      </c>
      <c r="M795">
        <f>IF(LeadsData[[#This Row],[Stage Number]]&gt;=2,1,0)</f>
        <v>1</v>
      </c>
      <c r="N795" s="2">
        <f>IF(LeadsData[[#This Row],[Stage Number]]&gt;=3,1,0)</f>
        <v>0</v>
      </c>
      <c r="O795" s="2">
        <f>IF(LeadsData[[#This Row],[Stage Number]]&gt;=4,1,0)</f>
        <v>0</v>
      </c>
    </row>
    <row r="796" spans="1:15" x14ac:dyDescent="0.25">
      <c r="A796" t="s">
        <v>836</v>
      </c>
      <c r="B796" s="1">
        <v>45347</v>
      </c>
      <c r="C796" t="s">
        <v>17</v>
      </c>
      <c r="D796" t="s">
        <v>18</v>
      </c>
      <c r="E796" t="s">
        <v>13</v>
      </c>
      <c r="F796" t="s">
        <v>19</v>
      </c>
      <c r="G796" t="s">
        <v>15</v>
      </c>
      <c r="K796" cm="1">
        <f t="array" ref="K796">_xlfn.SWITCH(LeadsData[[#This Row],[Funnel Stage Reached]],"Lead",1,"MQL",2,"SQL",3,"Customer",4)</f>
        <v>1</v>
      </c>
      <c r="L796" t="str">
        <f>TEXT(LeadsData[[#This Row],[Signup Date]],"mmm-yyyy")</f>
        <v>Feb-2024</v>
      </c>
      <c r="M796">
        <f>IF(LeadsData[[#This Row],[Stage Number]]&gt;=2,1,0)</f>
        <v>0</v>
      </c>
      <c r="N796" s="2">
        <f>IF(LeadsData[[#This Row],[Stage Number]]&gt;=3,1,0)</f>
        <v>0</v>
      </c>
      <c r="O796" s="2">
        <f>IF(LeadsData[[#This Row],[Stage Number]]&gt;=4,1,0)</f>
        <v>0</v>
      </c>
    </row>
    <row r="797" spans="1:15" x14ac:dyDescent="0.25">
      <c r="A797" t="s">
        <v>837</v>
      </c>
      <c r="B797" s="1">
        <v>45537</v>
      </c>
      <c r="C797" t="s">
        <v>46</v>
      </c>
      <c r="D797" t="s">
        <v>56</v>
      </c>
      <c r="E797" t="s">
        <v>13</v>
      </c>
      <c r="F797" t="s">
        <v>19</v>
      </c>
      <c r="G797" t="s">
        <v>15</v>
      </c>
      <c r="K797" cm="1">
        <f t="array" ref="K797">_xlfn.SWITCH(LeadsData[[#This Row],[Funnel Stage Reached]],"Lead",1,"MQL",2,"SQL",3,"Customer",4)</f>
        <v>1</v>
      </c>
      <c r="L797" t="str">
        <f>TEXT(LeadsData[[#This Row],[Signup Date]],"mmm-yyyy")</f>
        <v>Sep-2024</v>
      </c>
      <c r="M797">
        <f>IF(LeadsData[[#This Row],[Stage Number]]&gt;=2,1,0)</f>
        <v>0</v>
      </c>
      <c r="N797" s="2">
        <f>IF(LeadsData[[#This Row],[Stage Number]]&gt;=3,1,0)</f>
        <v>0</v>
      </c>
      <c r="O797" s="2">
        <f>IF(LeadsData[[#This Row],[Stage Number]]&gt;=4,1,0)</f>
        <v>0</v>
      </c>
    </row>
    <row r="798" spans="1:15" x14ac:dyDescent="0.25">
      <c r="A798" t="s">
        <v>838</v>
      </c>
      <c r="B798" s="1">
        <v>45486</v>
      </c>
      <c r="C798" t="s">
        <v>11</v>
      </c>
      <c r="D798" t="s">
        <v>68</v>
      </c>
      <c r="E798" t="s">
        <v>21</v>
      </c>
      <c r="F798" t="s">
        <v>22</v>
      </c>
      <c r="G798" t="s">
        <v>23</v>
      </c>
      <c r="K798" cm="1">
        <f t="array" ref="K798">_xlfn.SWITCH(LeadsData[[#This Row],[Funnel Stage Reached]],"Lead",1,"MQL",2,"SQL",3,"Customer",4)</f>
        <v>2</v>
      </c>
      <c r="L798" t="str">
        <f>TEXT(LeadsData[[#This Row],[Signup Date]],"mmm-yyyy")</f>
        <v>Jul-2024</v>
      </c>
      <c r="M798">
        <f>IF(LeadsData[[#This Row],[Stage Number]]&gt;=2,1,0)</f>
        <v>1</v>
      </c>
      <c r="N798" s="2">
        <f>IF(LeadsData[[#This Row],[Stage Number]]&gt;=3,1,0)</f>
        <v>0</v>
      </c>
      <c r="O798" s="2">
        <f>IF(LeadsData[[#This Row],[Stage Number]]&gt;=4,1,0)</f>
        <v>0</v>
      </c>
    </row>
    <row r="799" spans="1:15" x14ac:dyDescent="0.25">
      <c r="A799" t="s">
        <v>839</v>
      </c>
      <c r="B799" s="1">
        <v>45640</v>
      </c>
      <c r="C799" t="s">
        <v>46</v>
      </c>
      <c r="D799" t="s">
        <v>56</v>
      </c>
      <c r="E799" t="s">
        <v>48</v>
      </c>
      <c r="F799" t="s">
        <v>14</v>
      </c>
      <c r="G799" t="s">
        <v>29</v>
      </c>
      <c r="K799" cm="1">
        <f t="array" ref="K799">_xlfn.SWITCH(LeadsData[[#This Row],[Funnel Stage Reached]],"Lead",1,"MQL",2,"SQL",3,"Customer",4)</f>
        <v>3</v>
      </c>
      <c r="L799" t="str">
        <f>TEXT(LeadsData[[#This Row],[Signup Date]],"mmm-yyyy")</f>
        <v>Dec-2024</v>
      </c>
      <c r="M799">
        <f>IF(LeadsData[[#This Row],[Stage Number]]&gt;=2,1,0)</f>
        <v>1</v>
      </c>
      <c r="N799" s="2">
        <f>IF(LeadsData[[#This Row],[Stage Number]]&gt;=3,1,0)</f>
        <v>1</v>
      </c>
      <c r="O799" s="2">
        <f>IF(LeadsData[[#This Row],[Stage Number]]&gt;=4,1,0)</f>
        <v>0</v>
      </c>
    </row>
    <row r="800" spans="1:15" x14ac:dyDescent="0.25">
      <c r="A800" t="s">
        <v>840</v>
      </c>
      <c r="B800" s="1">
        <v>45396</v>
      </c>
      <c r="C800" t="s">
        <v>31</v>
      </c>
      <c r="D800" t="s">
        <v>34</v>
      </c>
      <c r="E800" t="s">
        <v>21</v>
      </c>
      <c r="F800" t="s">
        <v>14</v>
      </c>
      <c r="G800" t="s">
        <v>15</v>
      </c>
      <c r="K800" cm="1">
        <f t="array" ref="K800">_xlfn.SWITCH(LeadsData[[#This Row],[Funnel Stage Reached]],"Lead",1,"MQL",2,"SQL",3,"Customer",4)</f>
        <v>1</v>
      </c>
      <c r="L800" t="str">
        <f>TEXT(LeadsData[[#This Row],[Signup Date]],"mmm-yyyy")</f>
        <v>Apr-2024</v>
      </c>
      <c r="M800">
        <f>IF(LeadsData[[#This Row],[Stage Number]]&gt;=2,1,0)</f>
        <v>0</v>
      </c>
      <c r="N800" s="2">
        <f>IF(LeadsData[[#This Row],[Stage Number]]&gt;=3,1,0)</f>
        <v>0</v>
      </c>
      <c r="O800" s="2">
        <f>IF(LeadsData[[#This Row],[Stage Number]]&gt;=4,1,0)</f>
        <v>0</v>
      </c>
    </row>
    <row r="801" spans="1:15" x14ac:dyDescent="0.25">
      <c r="A801" t="s">
        <v>841</v>
      </c>
      <c r="B801" s="1">
        <v>45376</v>
      </c>
      <c r="C801" t="s">
        <v>46</v>
      </c>
      <c r="D801" t="s">
        <v>56</v>
      </c>
      <c r="E801" t="s">
        <v>13</v>
      </c>
      <c r="F801" t="s">
        <v>19</v>
      </c>
      <c r="G801" t="s">
        <v>15</v>
      </c>
      <c r="K801" cm="1">
        <f t="array" ref="K801">_xlfn.SWITCH(LeadsData[[#This Row],[Funnel Stage Reached]],"Lead",1,"MQL",2,"SQL",3,"Customer",4)</f>
        <v>1</v>
      </c>
      <c r="L801" t="str">
        <f>TEXT(LeadsData[[#This Row],[Signup Date]],"mmm-yyyy")</f>
        <v>Mar-2024</v>
      </c>
      <c r="M801">
        <f>IF(LeadsData[[#This Row],[Stage Number]]&gt;=2,1,0)</f>
        <v>0</v>
      </c>
      <c r="N801" s="2">
        <f>IF(LeadsData[[#This Row],[Stage Number]]&gt;=3,1,0)</f>
        <v>0</v>
      </c>
      <c r="O801" s="2">
        <f>IF(LeadsData[[#This Row],[Stage Number]]&gt;=4,1,0)</f>
        <v>0</v>
      </c>
    </row>
    <row r="802" spans="1:15" x14ac:dyDescent="0.25">
      <c r="A802" t="s">
        <v>842</v>
      </c>
      <c r="B802" s="1">
        <v>45561</v>
      </c>
      <c r="C802" t="s">
        <v>31</v>
      </c>
      <c r="D802" t="s">
        <v>32</v>
      </c>
      <c r="E802" t="s">
        <v>13</v>
      </c>
      <c r="F802" t="s">
        <v>22</v>
      </c>
      <c r="G802" t="s">
        <v>42</v>
      </c>
      <c r="H802">
        <v>25</v>
      </c>
      <c r="I802" t="s">
        <v>43</v>
      </c>
      <c r="J802">
        <v>614.54</v>
      </c>
      <c r="K802" cm="1">
        <f t="array" ref="K802">_xlfn.SWITCH(LeadsData[[#This Row],[Funnel Stage Reached]],"Lead",1,"MQL",2,"SQL",3,"Customer",4)</f>
        <v>4</v>
      </c>
      <c r="L802" t="str">
        <f>TEXT(LeadsData[[#This Row],[Signup Date]],"mmm-yyyy")</f>
        <v>Sep-2024</v>
      </c>
      <c r="M802">
        <f>IF(LeadsData[[#This Row],[Stage Number]]&gt;=2,1,0)</f>
        <v>1</v>
      </c>
      <c r="N802" s="2">
        <f>IF(LeadsData[[#This Row],[Stage Number]]&gt;=3,1,0)</f>
        <v>1</v>
      </c>
      <c r="O802" s="2">
        <f>IF(LeadsData[[#This Row],[Stage Number]]&gt;=4,1,0)</f>
        <v>1</v>
      </c>
    </row>
    <row r="803" spans="1:15" x14ac:dyDescent="0.25">
      <c r="A803" t="s">
        <v>843</v>
      </c>
      <c r="B803" s="1">
        <v>45653</v>
      </c>
      <c r="C803" t="s">
        <v>36</v>
      </c>
      <c r="D803" t="s">
        <v>37</v>
      </c>
      <c r="E803" t="s">
        <v>13</v>
      </c>
      <c r="F803" t="s">
        <v>22</v>
      </c>
      <c r="G803" t="s">
        <v>29</v>
      </c>
      <c r="K803" cm="1">
        <f t="array" ref="K803">_xlfn.SWITCH(LeadsData[[#This Row],[Funnel Stage Reached]],"Lead",1,"MQL",2,"SQL",3,"Customer",4)</f>
        <v>3</v>
      </c>
      <c r="L803" t="str">
        <f>TEXT(LeadsData[[#This Row],[Signup Date]],"mmm-yyyy")</f>
        <v>Dec-2024</v>
      </c>
      <c r="M803">
        <f>IF(LeadsData[[#This Row],[Stage Number]]&gt;=2,1,0)</f>
        <v>1</v>
      </c>
      <c r="N803" s="2">
        <f>IF(LeadsData[[#This Row],[Stage Number]]&gt;=3,1,0)</f>
        <v>1</v>
      </c>
      <c r="O803" s="2">
        <f>IF(LeadsData[[#This Row],[Stage Number]]&gt;=4,1,0)</f>
        <v>0</v>
      </c>
    </row>
    <row r="804" spans="1:15" x14ac:dyDescent="0.25">
      <c r="A804" t="s">
        <v>844</v>
      </c>
      <c r="B804" s="1">
        <v>45590</v>
      </c>
      <c r="C804" t="s">
        <v>31</v>
      </c>
      <c r="D804" t="s">
        <v>34</v>
      </c>
      <c r="E804" t="s">
        <v>13</v>
      </c>
      <c r="F804" t="s">
        <v>22</v>
      </c>
      <c r="G804" t="s">
        <v>15</v>
      </c>
      <c r="K804" cm="1">
        <f t="array" ref="K804">_xlfn.SWITCH(LeadsData[[#This Row],[Funnel Stage Reached]],"Lead",1,"MQL",2,"SQL",3,"Customer",4)</f>
        <v>1</v>
      </c>
      <c r="L804" t="str">
        <f>TEXT(LeadsData[[#This Row],[Signup Date]],"mmm-yyyy")</f>
        <v>Oct-2024</v>
      </c>
      <c r="M804">
        <f>IF(LeadsData[[#This Row],[Stage Number]]&gt;=2,1,0)</f>
        <v>0</v>
      </c>
      <c r="N804" s="2">
        <f>IF(LeadsData[[#This Row],[Stage Number]]&gt;=3,1,0)</f>
        <v>0</v>
      </c>
      <c r="O804" s="2">
        <f>IF(LeadsData[[#This Row],[Stage Number]]&gt;=4,1,0)</f>
        <v>0</v>
      </c>
    </row>
    <row r="805" spans="1:15" x14ac:dyDescent="0.25">
      <c r="A805" t="s">
        <v>845</v>
      </c>
      <c r="B805" s="1">
        <v>45314</v>
      </c>
      <c r="C805" t="s">
        <v>11</v>
      </c>
      <c r="D805" t="s">
        <v>12</v>
      </c>
      <c r="E805" t="s">
        <v>21</v>
      </c>
      <c r="F805" t="s">
        <v>19</v>
      </c>
      <c r="G805" t="s">
        <v>29</v>
      </c>
      <c r="K805" cm="1">
        <f t="array" ref="K805">_xlfn.SWITCH(LeadsData[[#This Row],[Funnel Stage Reached]],"Lead",1,"MQL",2,"SQL",3,"Customer",4)</f>
        <v>3</v>
      </c>
      <c r="L805" t="str">
        <f>TEXT(LeadsData[[#This Row],[Signup Date]],"mmm-yyyy")</f>
        <v>Jan-2024</v>
      </c>
      <c r="M805">
        <f>IF(LeadsData[[#This Row],[Stage Number]]&gt;=2,1,0)</f>
        <v>1</v>
      </c>
      <c r="N805" s="2">
        <f>IF(LeadsData[[#This Row],[Stage Number]]&gt;=3,1,0)</f>
        <v>1</v>
      </c>
      <c r="O805" s="2">
        <f>IF(LeadsData[[#This Row],[Stage Number]]&gt;=4,1,0)</f>
        <v>0</v>
      </c>
    </row>
    <row r="806" spans="1:15" x14ac:dyDescent="0.25">
      <c r="A806" t="s">
        <v>846</v>
      </c>
      <c r="B806" s="1">
        <v>45384</v>
      </c>
      <c r="C806" t="s">
        <v>46</v>
      </c>
      <c r="D806" t="s">
        <v>56</v>
      </c>
      <c r="E806" t="s">
        <v>13</v>
      </c>
      <c r="F806" t="s">
        <v>22</v>
      </c>
      <c r="G806" t="s">
        <v>23</v>
      </c>
      <c r="K806" cm="1">
        <f t="array" ref="K806">_xlfn.SWITCH(LeadsData[[#This Row],[Funnel Stage Reached]],"Lead",1,"MQL",2,"SQL",3,"Customer",4)</f>
        <v>2</v>
      </c>
      <c r="L806" t="str">
        <f>TEXT(LeadsData[[#This Row],[Signup Date]],"mmm-yyyy")</f>
        <v>Apr-2024</v>
      </c>
      <c r="M806">
        <f>IF(LeadsData[[#This Row],[Stage Number]]&gt;=2,1,0)</f>
        <v>1</v>
      </c>
      <c r="N806" s="2">
        <f>IF(LeadsData[[#This Row],[Stage Number]]&gt;=3,1,0)</f>
        <v>0</v>
      </c>
      <c r="O806" s="2">
        <f>IF(LeadsData[[#This Row],[Stage Number]]&gt;=4,1,0)</f>
        <v>0</v>
      </c>
    </row>
    <row r="807" spans="1:15" x14ac:dyDescent="0.25">
      <c r="A807" t="s">
        <v>847</v>
      </c>
      <c r="B807" s="1">
        <v>45493</v>
      </c>
      <c r="C807" t="s">
        <v>46</v>
      </c>
      <c r="D807" t="s">
        <v>56</v>
      </c>
      <c r="E807" t="s">
        <v>21</v>
      </c>
      <c r="F807" t="s">
        <v>14</v>
      </c>
      <c r="G807" t="s">
        <v>29</v>
      </c>
      <c r="K807" cm="1">
        <f t="array" ref="K807">_xlfn.SWITCH(LeadsData[[#This Row],[Funnel Stage Reached]],"Lead",1,"MQL",2,"SQL",3,"Customer",4)</f>
        <v>3</v>
      </c>
      <c r="L807" t="str">
        <f>TEXT(LeadsData[[#This Row],[Signup Date]],"mmm-yyyy")</f>
        <v>Jul-2024</v>
      </c>
      <c r="M807">
        <f>IF(LeadsData[[#This Row],[Stage Number]]&gt;=2,1,0)</f>
        <v>1</v>
      </c>
      <c r="N807" s="2">
        <f>IF(LeadsData[[#This Row],[Stage Number]]&gt;=3,1,0)</f>
        <v>1</v>
      </c>
      <c r="O807" s="2">
        <f>IF(LeadsData[[#This Row],[Stage Number]]&gt;=4,1,0)</f>
        <v>0</v>
      </c>
    </row>
    <row r="808" spans="1:15" x14ac:dyDescent="0.25">
      <c r="A808" t="s">
        <v>848</v>
      </c>
      <c r="B808" s="1">
        <v>45553</v>
      </c>
      <c r="C808" t="s">
        <v>31</v>
      </c>
      <c r="D808" t="s">
        <v>34</v>
      </c>
      <c r="E808" t="s">
        <v>13</v>
      </c>
      <c r="F808" t="s">
        <v>14</v>
      </c>
      <c r="G808" t="s">
        <v>23</v>
      </c>
      <c r="K808" cm="1">
        <f t="array" ref="K808">_xlfn.SWITCH(LeadsData[[#This Row],[Funnel Stage Reached]],"Lead",1,"MQL",2,"SQL",3,"Customer",4)</f>
        <v>2</v>
      </c>
      <c r="L808" t="str">
        <f>TEXT(LeadsData[[#This Row],[Signup Date]],"mmm-yyyy")</f>
        <v>Sep-2024</v>
      </c>
      <c r="M808">
        <f>IF(LeadsData[[#This Row],[Stage Number]]&gt;=2,1,0)</f>
        <v>1</v>
      </c>
      <c r="N808" s="2">
        <f>IF(LeadsData[[#This Row],[Stage Number]]&gt;=3,1,0)</f>
        <v>0</v>
      </c>
      <c r="O808" s="2">
        <f>IF(LeadsData[[#This Row],[Stage Number]]&gt;=4,1,0)</f>
        <v>0</v>
      </c>
    </row>
    <row r="809" spans="1:15" x14ac:dyDescent="0.25">
      <c r="A809" t="s">
        <v>849</v>
      </c>
      <c r="B809" s="1">
        <v>45493</v>
      </c>
      <c r="C809" t="s">
        <v>36</v>
      </c>
      <c r="D809" t="s">
        <v>37</v>
      </c>
      <c r="E809" t="s">
        <v>21</v>
      </c>
      <c r="F809" t="s">
        <v>19</v>
      </c>
      <c r="G809" t="s">
        <v>23</v>
      </c>
      <c r="K809" cm="1">
        <f t="array" ref="K809">_xlfn.SWITCH(LeadsData[[#This Row],[Funnel Stage Reached]],"Lead",1,"MQL",2,"SQL",3,"Customer",4)</f>
        <v>2</v>
      </c>
      <c r="L809" t="str">
        <f>TEXT(LeadsData[[#This Row],[Signup Date]],"mmm-yyyy")</f>
        <v>Jul-2024</v>
      </c>
      <c r="M809">
        <f>IF(LeadsData[[#This Row],[Stage Number]]&gt;=2,1,0)</f>
        <v>1</v>
      </c>
      <c r="N809" s="2">
        <f>IF(LeadsData[[#This Row],[Stage Number]]&gt;=3,1,0)</f>
        <v>0</v>
      </c>
      <c r="O809" s="2">
        <f>IF(LeadsData[[#This Row],[Stage Number]]&gt;=4,1,0)</f>
        <v>0</v>
      </c>
    </row>
    <row r="810" spans="1:15" x14ac:dyDescent="0.25">
      <c r="A810" t="s">
        <v>850</v>
      </c>
      <c r="B810" s="1">
        <v>45486</v>
      </c>
      <c r="C810" t="s">
        <v>11</v>
      </c>
      <c r="D810" t="s">
        <v>68</v>
      </c>
      <c r="E810" t="s">
        <v>13</v>
      </c>
      <c r="F810" t="s">
        <v>14</v>
      </c>
      <c r="G810" t="s">
        <v>15</v>
      </c>
      <c r="K810" cm="1">
        <f t="array" ref="K810">_xlfn.SWITCH(LeadsData[[#This Row],[Funnel Stage Reached]],"Lead",1,"MQL",2,"SQL",3,"Customer",4)</f>
        <v>1</v>
      </c>
      <c r="L810" t="str">
        <f>TEXT(LeadsData[[#This Row],[Signup Date]],"mmm-yyyy")</f>
        <v>Jul-2024</v>
      </c>
      <c r="M810">
        <f>IF(LeadsData[[#This Row],[Stage Number]]&gt;=2,1,0)</f>
        <v>0</v>
      </c>
      <c r="N810" s="2">
        <f>IF(LeadsData[[#This Row],[Stage Number]]&gt;=3,1,0)</f>
        <v>0</v>
      </c>
      <c r="O810" s="2">
        <f>IF(LeadsData[[#This Row],[Stage Number]]&gt;=4,1,0)</f>
        <v>0</v>
      </c>
    </row>
    <row r="811" spans="1:15" x14ac:dyDescent="0.25">
      <c r="A811" t="s">
        <v>851</v>
      </c>
      <c r="B811" s="1">
        <v>45422</v>
      </c>
      <c r="C811" t="s">
        <v>31</v>
      </c>
      <c r="D811" t="s">
        <v>34</v>
      </c>
      <c r="E811" t="s">
        <v>13</v>
      </c>
      <c r="F811" t="s">
        <v>22</v>
      </c>
      <c r="G811" t="s">
        <v>42</v>
      </c>
      <c r="H811">
        <v>31</v>
      </c>
      <c r="I811" t="s">
        <v>183</v>
      </c>
      <c r="J811">
        <v>16127.7</v>
      </c>
      <c r="K811" cm="1">
        <f t="array" ref="K811">_xlfn.SWITCH(LeadsData[[#This Row],[Funnel Stage Reached]],"Lead",1,"MQL",2,"SQL",3,"Customer",4)</f>
        <v>4</v>
      </c>
      <c r="L811" t="str">
        <f>TEXT(LeadsData[[#This Row],[Signup Date]],"mmm-yyyy")</f>
        <v>May-2024</v>
      </c>
      <c r="M811">
        <f>IF(LeadsData[[#This Row],[Stage Number]]&gt;=2,1,0)</f>
        <v>1</v>
      </c>
      <c r="N811" s="2">
        <f>IF(LeadsData[[#This Row],[Stage Number]]&gt;=3,1,0)</f>
        <v>1</v>
      </c>
      <c r="O811" s="2">
        <f>IF(LeadsData[[#This Row],[Stage Number]]&gt;=4,1,0)</f>
        <v>1</v>
      </c>
    </row>
    <row r="812" spans="1:15" x14ac:dyDescent="0.25">
      <c r="A812" t="s">
        <v>852</v>
      </c>
      <c r="B812" s="1">
        <v>45561</v>
      </c>
      <c r="C812" t="s">
        <v>46</v>
      </c>
      <c r="D812" t="s">
        <v>56</v>
      </c>
      <c r="E812" t="s">
        <v>21</v>
      </c>
      <c r="F812" t="s">
        <v>19</v>
      </c>
      <c r="G812" t="s">
        <v>29</v>
      </c>
      <c r="K812" cm="1">
        <f t="array" ref="K812">_xlfn.SWITCH(LeadsData[[#This Row],[Funnel Stage Reached]],"Lead",1,"MQL",2,"SQL",3,"Customer",4)</f>
        <v>3</v>
      </c>
      <c r="L812" t="str">
        <f>TEXT(LeadsData[[#This Row],[Signup Date]],"mmm-yyyy")</f>
        <v>Sep-2024</v>
      </c>
      <c r="M812">
        <f>IF(LeadsData[[#This Row],[Stage Number]]&gt;=2,1,0)</f>
        <v>1</v>
      </c>
      <c r="N812" s="2">
        <f>IF(LeadsData[[#This Row],[Stage Number]]&gt;=3,1,0)</f>
        <v>1</v>
      </c>
      <c r="O812" s="2">
        <f>IF(LeadsData[[#This Row],[Stage Number]]&gt;=4,1,0)</f>
        <v>0</v>
      </c>
    </row>
    <row r="813" spans="1:15" x14ac:dyDescent="0.25">
      <c r="A813" t="s">
        <v>853</v>
      </c>
      <c r="B813" s="1">
        <v>45538</v>
      </c>
      <c r="C813" t="s">
        <v>46</v>
      </c>
      <c r="D813" t="s">
        <v>56</v>
      </c>
      <c r="E813" t="s">
        <v>21</v>
      </c>
      <c r="F813" t="s">
        <v>19</v>
      </c>
      <c r="G813" t="s">
        <v>15</v>
      </c>
      <c r="K813" cm="1">
        <f t="array" ref="K813">_xlfn.SWITCH(LeadsData[[#This Row],[Funnel Stage Reached]],"Lead",1,"MQL",2,"SQL",3,"Customer",4)</f>
        <v>1</v>
      </c>
      <c r="L813" t="str">
        <f>TEXT(LeadsData[[#This Row],[Signup Date]],"mmm-yyyy")</f>
        <v>Sep-2024</v>
      </c>
      <c r="M813">
        <f>IF(LeadsData[[#This Row],[Stage Number]]&gt;=2,1,0)</f>
        <v>0</v>
      </c>
      <c r="N813" s="2">
        <f>IF(LeadsData[[#This Row],[Stage Number]]&gt;=3,1,0)</f>
        <v>0</v>
      </c>
      <c r="O813" s="2">
        <f>IF(LeadsData[[#This Row],[Stage Number]]&gt;=4,1,0)</f>
        <v>0</v>
      </c>
    </row>
    <row r="814" spans="1:15" x14ac:dyDescent="0.25">
      <c r="A814" t="s">
        <v>854</v>
      </c>
      <c r="B814" s="1">
        <v>45617</v>
      </c>
      <c r="C814" t="s">
        <v>46</v>
      </c>
      <c r="D814" t="s">
        <v>47</v>
      </c>
      <c r="E814" t="s">
        <v>13</v>
      </c>
      <c r="F814" t="s">
        <v>14</v>
      </c>
      <c r="G814" t="s">
        <v>15</v>
      </c>
      <c r="K814" cm="1">
        <f t="array" ref="K814">_xlfn.SWITCH(LeadsData[[#This Row],[Funnel Stage Reached]],"Lead",1,"MQL",2,"SQL",3,"Customer",4)</f>
        <v>1</v>
      </c>
      <c r="L814" t="str">
        <f>TEXT(LeadsData[[#This Row],[Signup Date]],"mmm-yyyy")</f>
        <v>Nov-2024</v>
      </c>
      <c r="M814">
        <f>IF(LeadsData[[#This Row],[Stage Number]]&gt;=2,1,0)</f>
        <v>0</v>
      </c>
      <c r="N814" s="2">
        <f>IF(LeadsData[[#This Row],[Stage Number]]&gt;=3,1,0)</f>
        <v>0</v>
      </c>
      <c r="O814" s="2">
        <f>IF(LeadsData[[#This Row],[Stage Number]]&gt;=4,1,0)</f>
        <v>0</v>
      </c>
    </row>
    <row r="815" spans="1:15" x14ac:dyDescent="0.25">
      <c r="A815" t="s">
        <v>855</v>
      </c>
      <c r="B815" s="1">
        <v>45339</v>
      </c>
      <c r="C815" t="s">
        <v>46</v>
      </c>
      <c r="D815" t="s">
        <v>56</v>
      </c>
      <c r="E815" t="s">
        <v>13</v>
      </c>
      <c r="F815" t="s">
        <v>19</v>
      </c>
      <c r="G815" t="s">
        <v>15</v>
      </c>
      <c r="K815" cm="1">
        <f t="array" ref="K815">_xlfn.SWITCH(LeadsData[[#This Row],[Funnel Stage Reached]],"Lead",1,"MQL",2,"SQL",3,"Customer",4)</f>
        <v>1</v>
      </c>
      <c r="L815" t="str">
        <f>TEXT(LeadsData[[#This Row],[Signup Date]],"mmm-yyyy")</f>
        <v>Feb-2024</v>
      </c>
      <c r="M815">
        <f>IF(LeadsData[[#This Row],[Stage Number]]&gt;=2,1,0)</f>
        <v>0</v>
      </c>
      <c r="N815" s="2">
        <f>IF(LeadsData[[#This Row],[Stage Number]]&gt;=3,1,0)</f>
        <v>0</v>
      </c>
      <c r="O815" s="2">
        <f>IF(LeadsData[[#This Row],[Stage Number]]&gt;=4,1,0)</f>
        <v>0</v>
      </c>
    </row>
    <row r="816" spans="1:15" x14ac:dyDescent="0.25">
      <c r="A816" t="s">
        <v>856</v>
      </c>
      <c r="B816" s="1">
        <v>45640</v>
      </c>
      <c r="C816" t="s">
        <v>17</v>
      </c>
      <c r="D816" t="s">
        <v>18</v>
      </c>
      <c r="E816" t="s">
        <v>13</v>
      </c>
      <c r="F816" t="s">
        <v>19</v>
      </c>
      <c r="G816" t="s">
        <v>23</v>
      </c>
      <c r="K816" cm="1">
        <f t="array" ref="K816">_xlfn.SWITCH(LeadsData[[#This Row],[Funnel Stage Reached]],"Lead",1,"MQL",2,"SQL",3,"Customer",4)</f>
        <v>2</v>
      </c>
      <c r="L816" t="str">
        <f>TEXT(LeadsData[[#This Row],[Signup Date]],"mmm-yyyy")</f>
        <v>Dec-2024</v>
      </c>
      <c r="M816">
        <f>IF(LeadsData[[#This Row],[Stage Number]]&gt;=2,1,0)</f>
        <v>1</v>
      </c>
      <c r="N816" s="2">
        <f>IF(LeadsData[[#This Row],[Stage Number]]&gt;=3,1,0)</f>
        <v>0</v>
      </c>
      <c r="O816" s="2">
        <f>IF(LeadsData[[#This Row],[Stage Number]]&gt;=4,1,0)</f>
        <v>0</v>
      </c>
    </row>
    <row r="817" spans="1:15" x14ac:dyDescent="0.25">
      <c r="A817" t="s">
        <v>857</v>
      </c>
      <c r="B817" s="1">
        <v>45558</v>
      </c>
      <c r="C817" t="s">
        <v>31</v>
      </c>
      <c r="D817" t="s">
        <v>32</v>
      </c>
      <c r="E817" t="s">
        <v>13</v>
      </c>
      <c r="F817" t="s">
        <v>14</v>
      </c>
      <c r="G817" t="s">
        <v>15</v>
      </c>
      <c r="K817" cm="1">
        <f t="array" ref="K817">_xlfn.SWITCH(LeadsData[[#This Row],[Funnel Stage Reached]],"Lead",1,"MQL",2,"SQL",3,"Customer",4)</f>
        <v>1</v>
      </c>
      <c r="L817" t="str">
        <f>TEXT(LeadsData[[#This Row],[Signup Date]],"mmm-yyyy")</f>
        <v>Sep-2024</v>
      </c>
      <c r="M817">
        <f>IF(LeadsData[[#This Row],[Stage Number]]&gt;=2,1,0)</f>
        <v>0</v>
      </c>
      <c r="N817" s="2">
        <f>IF(LeadsData[[#This Row],[Stage Number]]&gt;=3,1,0)</f>
        <v>0</v>
      </c>
      <c r="O817" s="2">
        <f>IF(LeadsData[[#This Row],[Stage Number]]&gt;=4,1,0)</f>
        <v>0</v>
      </c>
    </row>
    <row r="818" spans="1:15" x14ac:dyDescent="0.25">
      <c r="A818" t="s">
        <v>858</v>
      </c>
      <c r="B818" s="1">
        <v>45392</v>
      </c>
      <c r="C818" t="s">
        <v>17</v>
      </c>
      <c r="D818" t="s">
        <v>53</v>
      </c>
      <c r="E818" t="s">
        <v>13</v>
      </c>
      <c r="F818" t="s">
        <v>19</v>
      </c>
      <c r="G818" t="s">
        <v>15</v>
      </c>
      <c r="K818" cm="1">
        <f t="array" ref="K818">_xlfn.SWITCH(LeadsData[[#This Row],[Funnel Stage Reached]],"Lead",1,"MQL",2,"SQL",3,"Customer",4)</f>
        <v>1</v>
      </c>
      <c r="L818" t="str">
        <f>TEXT(LeadsData[[#This Row],[Signup Date]],"mmm-yyyy")</f>
        <v>Apr-2024</v>
      </c>
      <c r="M818">
        <f>IF(LeadsData[[#This Row],[Stage Number]]&gt;=2,1,0)</f>
        <v>0</v>
      </c>
      <c r="N818" s="2">
        <f>IF(LeadsData[[#This Row],[Stage Number]]&gt;=3,1,0)</f>
        <v>0</v>
      </c>
      <c r="O818" s="2">
        <f>IF(LeadsData[[#This Row],[Stage Number]]&gt;=4,1,0)</f>
        <v>0</v>
      </c>
    </row>
    <row r="819" spans="1:15" x14ac:dyDescent="0.25">
      <c r="A819" t="s">
        <v>859</v>
      </c>
      <c r="B819" s="1">
        <v>45617</v>
      </c>
      <c r="C819" t="s">
        <v>36</v>
      </c>
      <c r="D819" t="s">
        <v>50</v>
      </c>
      <c r="E819" t="s">
        <v>13</v>
      </c>
      <c r="F819" t="s">
        <v>19</v>
      </c>
      <c r="G819" t="s">
        <v>15</v>
      </c>
      <c r="K819" cm="1">
        <f t="array" ref="K819">_xlfn.SWITCH(LeadsData[[#This Row],[Funnel Stage Reached]],"Lead",1,"MQL",2,"SQL",3,"Customer",4)</f>
        <v>1</v>
      </c>
      <c r="L819" t="str">
        <f>TEXT(LeadsData[[#This Row],[Signup Date]],"mmm-yyyy")</f>
        <v>Nov-2024</v>
      </c>
      <c r="M819">
        <f>IF(LeadsData[[#This Row],[Stage Number]]&gt;=2,1,0)</f>
        <v>0</v>
      </c>
      <c r="N819" s="2">
        <f>IF(LeadsData[[#This Row],[Stage Number]]&gt;=3,1,0)</f>
        <v>0</v>
      </c>
      <c r="O819" s="2">
        <f>IF(LeadsData[[#This Row],[Stage Number]]&gt;=4,1,0)</f>
        <v>0</v>
      </c>
    </row>
    <row r="820" spans="1:15" x14ac:dyDescent="0.25">
      <c r="A820" t="s">
        <v>860</v>
      </c>
      <c r="B820" s="1">
        <v>45410</v>
      </c>
      <c r="C820" t="s">
        <v>46</v>
      </c>
      <c r="D820" t="s">
        <v>47</v>
      </c>
      <c r="E820" t="s">
        <v>48</v>
      </c>
      <c r="F820" t="s">
        <v>22</v>
      </c>
      <c r="G820" t="s">
        <v>23</v>
      </c>
      <c r="K820" cm="1">
        <f t="array" ref="K820">_xlfn.SWITCH(LeadsData[[#This Row],[Funnel Stage Reached]],"Lead",1,"MQL",2,"SQL",3,"Customer",4)</f>
        <v>2</v>
      </c>
      <c r="L820" t="str">
        <f>TEXT(LeadsData[[#This Row],[Signup Date]],"mmm-yyyy")</f>
        <v>Apr-2024</v>
      </c>
      <c r="M820">
        <f>IF(LeadsData[[#This Row],[Stage Number]]&gt;=2,1,0)</f>
        <v>1</v>
      </c>
      <c r="N820" s="2">
        <f>IF(LeadsData[[#This Row],[Stage Number]]&gt;=3,1,0)</f>
        <v>0</v>
      </c>
      <c r="O820" s="2">
        <f>IF(LeadsData[[#This Row],[Stage Number]]&gt;=4,1,0)</f>
        <v>0</v>
      </c>
    </row>
    <row r="821" spans="1:15" x14ac:dyDescent="0.25">
      <c r="A821" t="s">
        <v>861</v>
      </c>
      <c r="B821" s="1">
        <v>45537</v>
      </c>
      <c r="C821" t="s">
        <v>31</v>
      </c>
      <c r="D821" t="s">
        <v>32</v>
      </c>
      <c r="E821" t="s">
        <v>13</v>
      </c>
      <c r="F821" t="s">
        <v>28</v>
      </c>
      <c r="G821" t="s">
        <v>23</v>
      </c>
      <c r="K821" cm="1">
        <f t="array" ref="K821">_xlfn.SWITCH(LeadsData[[#This Row],[Funnel Stage Reached]],"Lead",1,"MQL",2,"SQL",3,"Customer",4)</f>
        <v>2</v>
      </c>
      <c r="L821" t="str">
        <f>TEXT(LeadsData[[#This Row],[Signup Date]],"mmm-yyyy")</f>
        <v>Sep-2024</v>
      </c>
      <c r="M821">
        <f>IF(LeadsData[[#This Row],[Stage Number]]&gt;=2,1,0)</f>
        <v>1</v>
      </c>
      <c r="N821" s="2">
        <f>IF(LeadsData[[#This Row],[Stage Number]]&gt;=3,1,0)</f>
        <v>0</v>
      </c>
      <c r="O821" s="2">
        <f>IF(LeadsData[[#This Row],[Stage Number]]&gt;=4,1,0)</f>
        <v>0</v>
      </c>
    </row>
    <row r="822" spans="1:15" x14ac:dyDescent="0.25">
      <c r="A822" t="s">
        <v>862</v>
      </c>
      <c r="B822" s="1">
        <v>45424</v>
      </c>
      <c r="C822" t="s">
        <v>31</v>
      </c>
      <c r="D822" t="s">
        <v>32</v>
      </c>
      <c r="E822" t="s">
        <v>13</v>
      </c>
      <c r="F822" t="s">
        <v>22</v>
      </c>
      <c r="G822" t="s">
        <v>42</v>
      </c>
      <c r="H822">
        <v>25</v>
      </c>
      <c r="I822" t="s">
        <v>43</v>
      </c>
      <c r="J822">
        <v>1430.13</v>
      </c>
      <c r="K822" cm="1">
        <f t="array" ref="K822">_xlfn.SWITCH(LeadsData[[#This Row],[Funnel Stage Reached]],"Lead",1,"MQL",2,"SQL",3,"Customer",4)</f>
        <v>4</v>
      </c>
      <c r="L822" t="str">
        <f>TEXT(LeadsData[[#This Row],[Signup Date]],"mmm-yyyy")</f>
        <v>May-2024</v>
      </c>
      <c r="M822">
        <f>IF(LeadsData[[#This Row],[Stage Number]]&gt;=2,1,0)</f>
        <v>1</v>
      </c>
      <c r="N822" s="2">
        <f>IF(LeadsData[[#This Row],[Stage Number]]&gt;=3,1,0)</f>
        <v>1</v>
      </c>
      <c r="O822" s="2">
        <f>IF(LeadsData[[#This Row],[Stage Number]]&gt;=4,1,0)</f>
        <v>1</v>
      </c>
    </row>
    <row r="823" spans="1:15" x14ac:dyDescent="0.25">
      <c r="A823" t="s">
        <v>863</v>
      </c>
      <c r="B823" s="1">
        <v>45467</v>
      </c>
      <c r="C823" t="s">
        <v>46</v>
      </c>
      <c r="D823" t="s">
        <v>56</v>
      </c>
      <c r="E823" t="s">
        <v>21</v>
      </c>
      <c r="F823" t="s">
        <v>22</v>
      </c>
      <c r="G823" t="s">
        <v>15</v>
      </c>
      <c r="K823" cm="1">
        <f t="array" ref="K823">_xlfn.SWITCH(LeadsData[[#This Row],[Funnel Stage Reached]],"Lead",1,"MQL",2,"SQL",3,"Customer",4)</f>
        <v>1</v>
      </c>
      <c r="L823" t="str">
        <f>TEXT(LeadsData[[#This Row],[Signup Date]],"mmm-yyyy")</f>
        <v>Jun-2024</v>
      </c>
      <c r="M823">
        <f>IF(LeadsData[[#This Row],[Stage Number]]&gt;=2,1,0)</f>
        <v>0</v>
      </c>
      <c r="N823" s="2">
        <f>IF(LeadsData[[#This Row],[Stage Number]]&gt;=3,1,0)</f>
        <v>0</v>
      </c>
      <c r="O823" s="2">
        <f>IF(LeadsData[[#This Row],[Stage Number]]&gt;=4,1,0)</f>
        <v>0</v>
      </c>
    </row>
    <row r="824" spans="1:15" x14ac:dyDescent="0.25">
      <c r="A824" t="s">
        <v>864</v>
      </c>
      <c r="B824" s="1">
        <v>45461</v>
      </c>
      <c r="C824" t="s">
        <v>46</v>
      </c>
      <c r="D824" t="s">
        <v>56</v>
      </c>
      <c r="E824" t="s">
        <v>13</v>
      </c>
      <c r="F824" t="s">
        <v>14</v>
      </c>
      <c r="G824" t="s">
        <v>15</v>
      </c>
      <c r="K824" cm="1">
        <f t="array" ref="K824">_xlfn.SWITCH(LeadsData[[#This Row],[Funnel Stage Reached]],"Lead",1,"MQL",2,"SQL",3,"Customer",4)</f>
        <v>1</v>
      </c>
      <c r="L824" t="str">
        <f>TEXT(LeadsData[[#This Row],[Signup Date]],"mmm-yyyy")</f>
        <v>Jun-2024</v>
      </c>
      <c r="M824">
        <f>IF(LeadsData[[#This Row],[Stage Number]]&gt;=2,1,0)</f>
        <v>0</v>
      </c>
      <c r="N824" s="2">
        <f>IF(LeadsData[[#This Row],[Stage Number]]&gt;=3,1,0)</f>
        <v>0</v>
      </c>
      <c r="O824" s="2">
        <f>IF(LeadsData[[#This Row],[Stage Number]]&gt;=4,1,0)</f>
        <v>0</v>
      </c>
    </row>
    <row r="825" spans="1:15" x14ac:dyDescent="0.25">
      <c r="A825" t="s">
        <v>865</v>
      </c>
      <c r="B825" s="1">
        <v>45490</v>
      </c>
      <c r="C825" t="s">
        <v>31</v>
      </c>
      <c r="D825" t="s">
        <v>32</v>
      </c>
      <c r="E825" t="s">
        <v>13</v>
      </c>
      <c r="F825" t="s">
        <v>22</v>
      </c>
      <c r="G825" t="s">
        <v>23</v>
      </c>
      <c r="K825" cm="1">
        <f t="array" ref="K825">_xlfn.SWITCH(LeadsData[[#This Row],[Funnel Stage Reached]],"Lead",1,"MQL",2,"SQL",3,"Customer",4)</f>
        <v>2</v>
      </c>
      <c r="L825" t="str">
        <f>TEXT(LeadsData[[#This Row],[Signup Date]],"mmm-yyyy")</f>
        <v>Jul-2024</v>
      </c>
      <c r="M825">
        <f>IF(LeadsData[[#This Row],[Stage Number]]&gt;=2,1,0)</f>
        <v>1</v>
      </c>
      <c r="N825" s="2">
        <f>IF(LeadsData[[#This Row],[Stage Number]]&gt;=3,1,0)</f>
        <v>0</v>
      </c>
      <c r="O825" s="2">
        <f>IF(LeadsData[[#This Row],[Stage Number]]&gt;=4,1,0)</f>
        <v>0</v>
      </c>
    </row>
    <row r="826" spans="1:15" x14ac:dyDescent="0.25">
      <c r="A826" t="s">
        <v>866</v>
      </c>
      <c r="B826" s="1">
        <v>45409</v>
      </c>
      <c r="C826" t="s">
        <v>31</v>
      </c>
      <c r="D826" t="s">
        <v>32</v>
      </c>
      <c r="E826" t="s">
        <v>13</v>
      </c>
      <c r="F826" t="s">
        <v>19</v>
      </c>
      <c r="G826" t="s">
        <v>23</v>
      </c>
      <c r="K826" cm="1">
        <f t="array" ref="K826">_xlfn.SWITCH(LeadsData[[#This Row],[Funnel Stage Reached]],"Lead",1,"MQL",2,"SQL",3,"Customer",4)</f>
        <v>2</v>
      </c>
      <c r="L826" t="str">
        <f>TEXT(LeadsData[[#This Row],[Signup Date]],"mmm-yyyy")</f>
        <v>Apr-2024</v>
      </c>
      <c r="M826">
        <f>IF(LeadsData[[#This Row],[Stage Number]]&gt;=2,1,0)</f>
        <v>1</v>
      </c>
      <c r="N826" s="2">
        <f>IF(LeadsData[[#This Row],[Stage Number]]&gt;=3,1,0)</f>
        <v>0</v>
      </c>
      <c r="O826" s="2">
        <f>IF(LeadsData[[#This Row],[Stage Number]]&gt;=4,1,0)</f>
        <v>0</v>
      </c>
    </row>
    <row r="827" spans="1:15" x14ac:dyDescent="0.25">
      <c r="A827" t="s">
        <v>867</v>
      </c>
      <c r="B827" s="1">
        <v>45376</v>
      </c>
      <c r="C827" t="s">
        <v>11</v>
      </c>
      <c r="D827" t="s">
        <v>68</v>
      </c>
      <c r="E827" t="s">
        <v>21</v>
      </c>
      <c r="F827" t="s">
        <v>14</v>
      </c>
      <c r="G827" t="s">
        <v>15</v>
      </c>
      <c r="K827" cm="1">
        <f t="array" ref="K827">_xlfn.SWITCH(LeadsData[[#This Row],[Funnel Stage Reached]],"Lead",1,"MQL",2,"SQL",3,"Customer",4)</f>
        <v>1</v>
      </c>
      <c r="L827" t="str">
        <f>TEXT(LeadsData[[#This Row],[Signup Date]],"mmm-yyyy")</f>
        <v>Mar-2024</v>
      </c>
      <c r="M827">
        <f>IF(LeadsData[[#This Row],[Stage Number]]&gt;=2,1,0)</f>
        <v>0</v>
      </c>
      <c r="N827" s="2">
        <f>IF(LeadsData[[#This Row],[Stage Number]]&gt;=3,1,0)</f>
        <v>0</v>
      </c>
      <c r="O827" s="2">
        <f>IF(LeadsData[[#This Row],[Stage Number]]&gt;=4,1,0)</f>
        <v>0</v>
      </c>
    </row>
    <row r="828" spans="1:15" x14ac:dyDescent="0.25">
      <c r="A828" t="s">
        <v>868</v>
      </c>
      <c r="B828" s="1">
        <v>45648</v>
      </c>
      <c r="C828" t="s">
        <v>11</v>
      </c>
      <c r="D828" t="s">
        <v>79</v>
      </c>
      <c r="E828" t="s">
        <v>21</v>
      </c>
      <c r="F828" t="s">
        <v>19</v>
      </c>
      <c r="G828" t="s">
        <v>15</v>
      </c>
      <c r="K828" cm="1">
        <f t="array" ref="K828">_xlfn.SWITCH(LeadsData[[#This Row],[Funnel Stage Reached]],"Lead",1,"MQL",2,"SQL",3,"Customer",4)</f>
        <v>1</v>
      </c>
      <c r="L828" t="str">
        <f>TEXT(LeadsData[[#This Row],[Signup Date]],"mmm-yyyy")</f>
        <v>Dec-2024</v>
      </c>
      <c r="M828">
        <f>IF(LeadsData[[#This Row],[Stage Number]]&gt;=2,1,0)</f>
        <v>0</v>
      </c>
      <c r="N828" s="2">
        <f>IF(LeadsData[[#This Row],[Stage Number]]&gt;=3,1,0)</f>
        <v>0</v>
      </c>
      <c r="O828" s="2">
        <f>IF(LeadsData[[#This Row],[Stage Number]]&gt;=4,1,0)</f>
        <v>0</v>
      </c>
    </row>
    <row r="829" spans="1:15" x14ac:dyDescent="0.25">
      <c r="A829" t="s">
        <v>869</v>
      </c>
      <c r="B829" s="1">
        <v>45550</v>
      </c>
      <c r="C829" t="s">
        <v>17</v>
      </c>
      <c r="D829" t="s">
        <v>53</v>
      </c>
      <c r="E829" t="s">
        <v>13</v>
      </c>
      <c r="F829" t="s">
        <v>14</v>
      </c>
      <c r="G829" t="s">
        <v>15</v>
      </c>
      <c r="K829" cm="1">
        <f t="array" ref="K829">_xlfn.SWITCH(LeadsData[[#This Row],[Funnel Stage Reached]],"Lead",1,"MQL",2,"SQL",3,"Customer",4)</f>
        <v>1</v>
      </c>
      <c r="L829" t="str">
        <f>TEXT(LeadsData[[#This Row],[Signup Date]],"mmm-yyyy")</f>
        <v>Sep-2024</v>
      </c>
      <c r="M829">
        <f>IF(LeadsData[[#This Row],[Stage Number]]&gt;=2,1,0)</f>
        <v>0</v>
      </c>
      <c r="N829" s="2">
        <f>IF(LeadsData[[#This Row],[Stage Number]]&gt;=3,1,0)</f>
        <v>0</v>
      </c>
      <c r="O829" s="2">
        <f>IF(LeadsData[[#This Row],[Stage Number]]&gt;=4,1,0)</f>
        <v>0</v>
      </c>
    </row>
    <row r="830" spans="1:15" x14ac:dyDescent="0.25">
      <c r="A830" t="s">
        <v>870</v>
      </c>
      <c r="B830" s="1">
        <v>45360</v>
      </c>
      <c r="C830" t="s">
        <v>36</v>
      </c>
      <c r="D830" t="s">
        <v>50</v>
      </c>
      <c r="E830" t="s">
        <v>21</v>
      </c>
      <c r="F830" t="s">
        <v>28</v>
      </c>
      <c r="G830" t="s">
        <v>15</v>
      </c>
      <c r="K830" cm="1">
        <f t="array" ref="K830">_xlfn.SWITCH(LeadsData[[#This Row],[Funnel Stage Reached]],"Lead",1,"MQL",2,"SQL",3,"Customer",4)</f>
        <v>1</v>
      </c>
      <c r="L830" t="str">
        <f>TEXT(LeadsData[[#This Row],[Signup Date]],"mmm-yyyy")</f>
        <v>Mar-2024</v>
      </c>
      <c r="M830">
        <f>IF(LeadsData[[#This Row],[Stage Number]]&gt;=2,1,0)</f>
        <v>0</v>
      </c>
      <c r="N830" s="2">
        <f>IF(LeadsData[[#This Row],[Stage Number]]&gt;=3,1,0)</f>
        <v>0</v>
      </c>
      <c r="O830" s="2">
        <f>IF(LeadsData[[#This Row],[Stage Number]]&gt;=4,1,0)</f>
        <v>0</v>
      </c>
    </row>
    <row r="831" spans="1:15" x14ac:dyDescent="0.25">
      <c r="A831" t="s">
        <v>871</v>
      </c>
      <c r="B831" s="1">
        <v>45302</v>
      </c>
      <c r="C831" t="s">
        <v>11</v>
      </c>
      <c r="D831" t="s">
        <v>79</v>
      </c>
      <c r="E831" t="s">
        <v>13</v>
      </c>
      <c r="F831" t="s">
        <v>22</v>
      </c>
      <c r="G831" t="s">
        <v>23</v>
      </c>
      <c r="K831" cm="1">
        <f t="array" ref="K831">_xlfn.SWITCH(LeadsData[[#This Row],[Funnel Stage Reached]],"Lead",1,"MQL",2,"SQL",3,"Customer",4)</f>
        <v>2</v>
      </c>
      <c r="L831" t="str">
        <f>TEXT(LeadsData[[#This Row],[Signup Date]],"mmm-yyyy")</f>
        <v>Jan-2024</v>
      </c>
      <c r="M831">
        <f>IF(LeadsData[[#This Row],[Stage Number]]&gt;=2,1,0)</f>
        <v>1</v>
      </c>
      <c r="N831" s="2">
        <f>IF(LeadsData[[#This Row],[Stage Number]]&gt;=3,1,0)</f>
        <v>0</v>
      </c>
      <c r="O831" s="2">
        <f>IF(LeadsData[[#This Row],[Stage Number]]&gt;=4,1,0)</f>
        <v>0</v>
      </c>
    </row>
    <row r="832" spans="1:15" x14ac:dyDescent="0.25">
      <c r="A832" t="s">
        <v>872</v>
      </c>
      <c r="B832" s="1">
        <v>45522</v>
      </c>
      <c r="C832" t="s">
        <v>25</v>
      </c>
      <c r="D832" t="s">
        <v>26</v>
      </c>
      <c r="E832" t="s">
        <v>13</v>
      </c>
      <c r="F832" t="s">
        <v>19</v>
      </c>
      <c r="G832" t="s">
        <v>15</v>
      </c>
      <c r="K832" cm="1">
        <f t="array" ref="K832">_xlfn.SWITCH(LeadsData[[#This Row],[Funnel Stage Reached]],"Lead",1,"MQL",2,"SQL",3,"Customer",4)</f>
        <v>1</v>
      </c>
      <c r="L832" t="str">
        <f>TEXT(LeadsData[[#This Row],[Signup Date]],"mmm-yyyy")</f>
        <v>Aug-2024</v>
      </c>
      <c r="M832">
        <f>IF(LeadsData[[#This Row],[Stage Number]]&gt;=2,1,0)</f>
        <v>0</v>
      </c>
      <c r="N832" s="2">
        <f>IF(LeadsData[[#This Row],[Stage Number]]&gt;=3,1,0)</f>
        <v>0</v>
      </c>
      <c r="O832" s="2">
        <f>IF(LeadsData[[#This Row],[Stage Number]]&gt;=4,1,0)</f>
        <v>0</v>
      </c>
    </row>
    <row r="833" spans="1:15" x14ac:dyDescent="0.25">
      <c r="A833" t="s">
        <v>873</v>
      </c>
      <c r="B833" s="1">
        <v>45391</v>
      </c>
      <c r="C833" t="s">
        <v>46</v>
      </c>
      <c r="D833" t="s">
        <v>47</v>
      </c>
      <c r="E833" t="s">
        <v>21</v>
      </c>
      <c r="F833" t="s">
        <v>19</v>
      </c>
      <c r="G833" t="s">
        <v>23</v>
      </c>
      <c r="K833" cm="1">
        <f t="array" ref="K833">_xlfn.SWITCH(LeadsData[[#This Row],[Funnel Stage Reached]],"Lead",1,"MQL",2,"SQL",3,"Customer",4)</f>
        <v>2</v>
      </c>
      <c r="L833" t="str">
        <f>TEXT(LeadsData[[#This Row],[Signup Date]],"mmm-yyyy")</f>
        <v>Apr-2024</v>
      </c>
      <c r="M833">
        <f>IF(LeadsData[[#This Row],[Stage Number]]&gt;=2,1,0)</f>
        <v>1</v>
      </c>
      <c r="N833" s="2">
        <f>IF(LeadsData[[#This Row],[Stage Number]]&gt;=3,1,0)</f>
        <v>0</v>
      </c>
      <c r="O833" s="2">
        <f>IF(LeadsData[[#This Row],[Stage Number]]&gt;=4,1,0)</f>
        <v>0</v>
      </c>
    </row>
    <row r="834" spans="1:15" x14ac:dyDescent="0.25">
      <c r="A834" t="s">
        <v>874</v>
      </c>
      <c r="B834" s="1">
        <v>45577</v>
      </c>
      <c r="C834" t="s">
        <v>11</v>
      </c>
      <c r="D834" t="s">
        <v>79</v>
      </c>
      <c r="E834" t="s">
        <v>13</v>
      </c>
      <c r="F834" t="s">
        <v>22</v>
      </c>
      <c r="G834" t="s">
        <v>15</v>
      </c>
      <c r="K834" cm="1">
        <f t="array" ref="K834">_xlfn.SWITCH(LeadsData[[#This Row],[Funnel Stage Reached]],"Lead",1,"MQL",2,"SQL",3,"Customer",4)</f>
        <v>1</v>
      </c>
      <c r="L834" t="str">
        <f>TEXT(LeadsData[[#This Row],[Signup Date]],"mmm-yyyy")</f>
        <v>Oct-2024</v>
      </c>
      <c r="M834">
        <f>IF(LeadsData[[#This Row],[Stage Number]]&gt;=2,1,0)</f>
        <v>0</v>
      </c>
      <c r="N834" s="2">
        <f>IF(LeadsData[[#This Row],[Stage Number]]&gt;=3,1,0)</f>
        <v>0</v>
      </c>
      <c r="O834" s="2">
        <f>IF(LeadsData[[#This Row],[Stage Number]]&gt;=4,1,0)</f>
        <v>0</v>
      </c>
    </row>
    <row r="835" spans="1:15" x14ac:dyDescent="0.25">
      <c r="A835" t="s">
        <v>875</v>
      </c>
      <c r="B835" s="1">
        <v>45457</v>
      </c>
      <c r="C835" t="s">
        <v>31</v>
      </c>
      <c r="D835" t="s">
        <v>32</v>
      </c>
      <c r="E835" t="s">
        <v>21</v>
      </c>
      <c r="F835" t="s">
        <v>19</v>
      </c>
      <c r="G835" t="s">
        <v>23</v>
      </c>
      <c r="K835" cm="1">
        <f t="array" ref="K835">_xlfn.SWITCH(LeadsData[[#This Row],[Funnel Stage Reached]],"Lead",1,"MQL",2,"SQL",3,"Customer",4)</f>
        <v>2</v>
      </c>
      <c r="L835" t="str">
        <f>TEXT(LeadsData[[#This Row],[Signup Date]],"mmm-yyyy")</f>
        <v>Jun-2024</v>
      </c>
      <c r="M835">
        <f>IF(LeadsData[[#This Row],[Stage Number]]&gt;=2,1,0)</f>
        <v>1</v>
      </c>
      <c r="N835" s="2">
        <f>IF(LeadsData[[#This Row],[Stage Number]]&gt;=3,1,0)</f>
        <v>0</v>
      </c>
      <c r="O835" s="2">
        <f>IF(LeadsData[[#This Row],[Stage Number]]&gt;=4,1,0)</f>
        <v>0</v>
      </c>
    </row>
    <row r="836" spans="1:15" x14ac:dyDescent="0.25">
      <c r="A836" t="s">
        <v>876</v>
      </c>
      <c r="B836" s="1">
        <v>45408</v>
      </c>
      <c r="C836" t="s">
        <v>36</v>
      </c>
      <c r="D836" t="s">
        <v>37</v>
      </c>
      <c r="E836" t="s">
        <v>13</v>
      </c>
      <c r="F836" t="s">
        <v>19</v>
      </c>
      <c r="G836" t="s">
        <v>15</v>
      </c>
      <c r="K836" cm="1">
        <f t="array" ref="K836">_xlfn.SWITCH(LeadsData[[#This Row],[Funnel Stage Reached]],"Lead",1,"MQL",2,"SQL",3,"Customer",4)</f>
        <v>1</v>
      </c>
      <c r="L836" t="str">
        <f>TEXT(LeadsData[[#This Row],[Signup Date]],"mmm-yyyy")</f>
        <v>Apr-2024</v>
      </c>
      <c r="M836">
        <f>IF(LeadsData[[#This Row],[Stage Number]]&gt;=2,1,0)</f>
        <v>0</v>
      </c>
      <c r="N836" s="2">
        <f>IF(LeadsData[[#This Row],[Stage Number]]&gt;=3,1,0)</f>
        <v>0</v>
      </c>
      <c r="O836" s="2">
        <f>IF(LeadsData[[#This Row],[Stage Number]]&gt;=4,1,0)</f>
        <v>0</v>
      </c>
    </row>
    <row r="837" spans="1:15" x14ac:dyDescent="0.25">
      <c r="A837" t="s">
        <v>877</v>
      </c>
      <c r="B837" s="1">
        <v>45374</v>
      </c>
      <c r="C837" t="s">
        <v>11</v>
      </c>
      <c r="D837" t="s">
        <v>68</v>
      </c>
      <c r="E837" t="s">
        <v>13</v>
      </c>
      <c r="F837" t="s">
        <v>22</v>
      </c>
      <c r="G837" t="s">
        <v>23</v>
      </c>
      <c r="K837" cm="1">
        <f t="array" ref="K837">_xlfn.SWITCH(LeadsData[[#This Row],[Funnel Stage Reached]],"Lead",1,"MQL",2,"SQL",3,"Customer",4)</f>
        <v>2</v>
      </c>
      <c r="L837" t="str">
        <f>TEXT(LeadsData[[#This Row],[Signup Date]],"mmm-yyyy")</f>
        <v>Mar-2024</v>
      </c>
      <c r="M837">
        <f>IF(LeadsData[[#This Row],[Stage Number]]&gt;=2,1,0)</f>
        <v>1</v>
      </c>
      <c r="N837" s="2">
        <f>IF(LeadsData[[#This Row],[Stage Number]]&gt;=3,1,0)</f>
        <v>0</v>
      </c>
      <c r="O837" s="2">
        <f>IF(LeadsData[[#This Row],[Stage Number]]&gt;=4,1,0)</f>
        <v>0</v>
      </c>
    </row>
    <row r="838" spans="1:15" x14ac:dyDescent="0.25">
      <c r="A838" t="s">
        <v>878</v>
      </c>
      <c r="B838" s="1">
        <v>45394</v>
      </c>
      <c r="C838" t="s">
        <v>25</v>
      </c>
      <c r="D838" t="s">
        <v>26</v>
      </c>
      <c r="E838" t="s">
        <v>13</v>
      </c>
      <c r="F838" t="s">
        <v>22</v>
      </c>
      <c r="G838" t="s">
        <v>15</v>
      </c>
      <c r="K838" cm="1">
        <f t="array" ref="K838">_xlfn.SWITCH(LeadsData[[#This Row],[Funnel Stage Reached]],"Lead",1,"MQL",2,"SQL",3,"Customer",4)</f>
        <v>1</v>
      </c>
      <c r="L838" t="str">
        <f>TEXT(LeadsData[[#This Row],[Signup Date]],"mmm-yyyy")</f>
        <v>Apr-2024</v>
      </c>
      <c r="M838">
        <f>IF(LeadsData[[#This Row],[Stage Number]]&gt;=2,1,0)</f>
        <v>0</v>
      </c>
      <c r="N838" s="2">
        <f>IF(LeadsData[[#This Row],[Stage Number]]&gt;=3,1,0)</f>
        <v>0</v>
      </c>
      <c r="O838" s="2">
        <f>IF(LeadsData[[#This Row],[Stage Number]]&gt;=4,1,0)</f>
        <v>0</v>
      </c>
    </row>
    <row r="839" spans="1:15" x14ac:dyDescent="0.25">
      <c r="A839" t="s">
        <v>879</v>
      </c>
      <c r="B839" s="1">
        <v>45378</v>
      </c>
      <c r="C839" t="s">
        <v>25</v>
      </c>
      <c r="D839" t="s">
        <v>26</v>
      </c>
      <c r="E839" t="s">
        <v>13</v>
      </c>
      <c r="F839" t="s">
        <v>14</v>
      </c>
      <c r="G839" t="s">
        <v>15</v>
      </c>
      <c r="K839" cm="1">
        <f t="array" ref="K839">_xlfn.SWITCH(LeadsData[[#This Row],[Funnel Stage Reached]],"Lead",1,"MQL",2,"SQL",3,"Customer",4)</f>
        <v>1</v>
      </c>
      <c r="L839" t="str">
        <f>TEXT(LeadsData[[#This Row],[Signup Date]],"mmm-yyyy")</f>
        <v>Mar-2024</v>
      </c>
      <c r="M839">
        <f>IF(LeadsData[[#This Row],[Stage Number]]&gt;=2,1,0)</f>
        <v>0</v>
      </c>
      <c r="N839" s="2">
        <f>IF(LeadsData[[#This Row],[Stage Number]]&gt;=3,1,0)</f>
        <v>0</v>
      </c>
      <c r="O839" s="2">
        <f>IF(LeadsData[[#This Row],[Stage Number]]&gt;=4,1,0)</f>
        <v>0</v>
      </c>
    </row>
    <row r="840" spans="1:15" x14ac:dyDescent="0.25">
      <c r="A840" t="s">
        <v>880</v>
      </c>
      <c r="B840" s="1">
        <v>45544</v>
      </c>
      <c r="C840" t="s">
        <v>46</v>
      </c>
      <c r="D840" t="s">
        <v>56</v>
      </c>
      <c r="E840" t="s">
        <v>13</v>
      </c>
      <c r="F840" t="s">
        <v>19</v>
      </c>
      <c r="G840" t="s">
        <v>29</v>
      </c>
      <c r="K840" cm="1">
        <f t="array" ref="K840">_xlfn.SWITCH(LeadsData[[#This Row],[Funnel Stage Reached]],"Lead",1,"MQL",2,"SQL",3,"Customer",4)</f>
        <v>3</v>
      </c>
      <c r="L840" t="str">
        <f>TEXT(LeadsData[[#This Row],[Signup Date]],"mmm-yyyy")</f>
        <v>Sep-2024</v>
      </c>
      <c r="M840">
        <f>IF(LeadsData[[#This Row],[Stage Number]]&gt;=2,1,0)</f>
        <v>1</v>
      </c>
      <c r="N840" s="2">
        <f>IF(LeadsData[[#This Row],[Stage Number]]&gt;=3,1,0)</f>
        <v>1</v>
      </c>
      <c r="O840" s="2">
        <f>IF(LeadsData[[#This Row],[Stage Number]]&gt;=4,1,0)</f>
        <v>0</v>
      </c>
    </row>
    <row r="841" spans="1:15" x14ac:dyDescent="0.25">
      <c r="A841" t="s">
        <v>881</v>
      </c>
      <c r="B841" s="1">
        <v>45567</v>
      </c>
      <c r="C841" t="s">
        <v>36</v>
      </c>
      <c r="D841" t="s">
        <v>37</v>
      </c>
      <c r="E841" t="s">
        <v>13</v>
      </c>
      <c r="F841" t="s">
        <v>19</v>
      </c>
      <c r="G841" t="s">
        <v>15</v>
      </c>
      <c r="K841" cm="1">
        <f t="array" ref="K841">_xlfn.SWITCH(LeadsData[[#This Row],[Funnel Stage Reached]],"Lead",1,"MQL",2,"SQL",3,"Customer",4)</f>
        <v>1</v>
      </c>
      <c r="L841" t="str">
        <f>TEXT(LeadsData[[#This Row],[Signup Date]],"mmm-yyyy")</f>
        <v>Oct-2024</v>
      </c>
      <c r="M841">
        <f>IF(LeadsData[[#This Row],[Stage Number]]&gt;=2,1,0)</f>
        <v>0</v>
      </c>
      <c r="N841" s="2">
        <f>IF(LeadsData[[#This Row],[Stage Number]]&gt;=3,1,0)</f>
        <v>0</v>
      </c>
      <c r="O841" s="2">
        <f>IF(LeadsData[[#This Row],[Stage Number]]&gt;=4,1,0)</f>
        <v>0</v>
      </c>
    </row>
    <row r="842" spans="1:15" x14ac:dyDescent="0.25">
      <c r="A842" t="s">
        <v>882</v>
      </c>
      <c r="B842" s="1">
        <v>45542</v>
      </c>
      <c r="C842" t="s">
        <v>25</v>
      </c>
      <c r="D842" t="s">
        <v>26</v>
      </c>
      <c r="E842" t="s">
        <v>13</v>
      </c>
      <c r="F842" t="s">
        <v>22</v>
      </c>
      <c r="G842" t="s">
        <v>15</v>
      </c>
      <c r="K842" cm="1">
        <f t="array" ref="K842">_xlfn.SWITCH(LeadsData[[#This Row],[Funnel Stage Reached]],"Lead",1,"MQL",2,"SQL",3,"Customer",4)</f>
        <v>1</v>
      </c>
      <c r="L842" t="str">
        <f>TEXT(LeadsData[[#This Row],[Signup Date]],"mmm-yyyy")</f>
        <v>Sep-2024</v>
      </c>
      <c r="M842">
        <f>IF(LeadsData[[#This Row],[Stage Number]]&gt;=2,1,0)</f>
        <v>0</v>
      </c>
      <c r="N842" s="2">
        <f>IF(LeadsData[[#This Row],[Stage Number]]&gt;=3,1,0)</f>
        <v>0</v>
      </c>
      <c r="O842" s="2">
        <f>IF(LeadsData[[#This Row],[Stage Number]]&gt;=4,1,0)</f>
        <v>0</v>
      </c>
    </row>
    <row r="843" spans="1:15" x14ac:dyDescent="0.25">
      <c r="A843" t="s">
        <v>883</v>
      </c>
      <c r="B843" s="1">
        <v>45562</v>
      </c>
      <c r="C843" t="s">
        <v>17</v>
      </c>
      <c r="D843" t="s">
        <v>53</v>
      </c>
      <c r="E843" t="s">
        <v>13</v>
      </c>
      <c r="F843" t="s">
        <v>28</v>
      </c>
      <c r="G843" t="s">
        <v>23</v>
      </c>
      <c r="K843" cm="1">
        <f t="array" ref="K843">_xlfn.SWITCH(LeadsData[[#This Row],[Funnel Stage Reached]],"Lead",1,"MQL",2,"SQL",3,"Customer",4)</f>
        <v>2</v>
      </c>
      <c r="L843" t="str">
        <f>TEXT(LeadsData[[#This Row],[Signup Date]],"mmm-yyyy")</f>
        <v>Sep-2024</v>
      </c>
      <c r="M843">
        <f>IF(LeadsData[[#This Row],[Stage Number]]&gt;=2,1,0)</f>
        <v>1</v>
      </c>
      <c r="N843" s="2">
        <f>IF(LeadsData[[#This Row],[Stage Number]]&gt;=3,1,0)</f>
        <v>0</v>
      </c>
      <c r="O843" s="2">
        <f>IF(LeadsData[[#This Row],[Stage Number]]&gt;=4,1,0)</f>
        <v>0</v>
      </c>
    </row>
    <row r="844" spans="1:15" x14ac:dyDescent="0.25">
      <c r="A844" t="s">
        <v>884</v>
      </c>
      <c r="B844" s="1">
        <v>45518</v>
      </c>
      <c r="C844" t="s">
        <v>11</v>
      </c>
      <c r="D844" t="s">
        <v>79</v>
      </c>
      <c r="E844" t="s">
        <v>13</v>
      </c>
      <c r="F844" t="s">
        <v>19</v>
      </c>
      <c r="G844" t="s">
        <v>29</v>
      </c>
      <c r="K844" cm="1">
        <f t="array" ref="K844">_xlfn.SWITCH(LeadsData[[#This Row],[Funnel Stage Reached]],"Lead",1,"MQL",2,"SQL",3,"Customer",4)</f>
        <v>3</v>
      </c>
      <c r="L844" t="str">
        <f>TEXT(LeadsData[[#This Row],[Signup Date]],"mmm-yyyy")</f>
        <v>Aug-2024</v>
      </c>
      <c r="M844">
        <f>IF(LeadsData[[#This Row],[Stage Number]]&gt;=2,1,0)</f>
        <v>1</v>
      </c>
      <c r="N844" s="2">
        <f>IF(LeadsData[[#This Row],[Stage Number]]&gt;=3,1,0)</f>
        <v>1</v>
      </c>
      <c r="O844" s="2">
        <f>IF(LeadsData[[#This Row],[Stage Number]]&gt;=4,1,0)</f>
        <v>0</v>
      </c>
    </row>
    <row r="845" spans="1:15" x14ac:dyDescent="0.25">
      <c r="A845" t="s">
        <v>885</v>
      </c>
      <c r="B845" s="1">
        <v>45568</v>
      </c>
      <c r="C845" t="s">
        <v>36</v>
      </c>
      <c r="D845" t="s">
        <v>37</v>
      </c>
      <c r="E845" t="s">
        <v>13</v>
      </c>
      <c r="F845" t="s">
        <v>19</v>
      </c>
      <c r="G845" t="s">
        <v>15</v>
      </c>
      <c r="K845" cm="1">
        <f t="array" ref="K845">_xlfn.SWITCH(LeadsData[[#This Row],[Funnel Stage Reached]],"Lead",1,"MQL",2,"SQL",3,"Customer",4)</f>
        <v>1</v>
      </c>
      <c r="L845" t="str">
        <f>TEXT(LeadsData[[#This Row],[Signup Date]],"mmm-yyyy")</f>
        <v>Oct-2024</v>
      </c>
      <c r="M845">
        <f>IF(LeadsData[[#This Row],[Stage Number]]&gt;=2,1,0)</f>
        <v>0</v>
      </c>
      <c r="N845" s="2">
        <f>IF(LeadsData[[#This Row],[Stage Number]]&gt;=3,1,0)</f>
        <v>0</v>
      </c>
      <c r="O845" s="2">
        <f>IF(LeadsData[[#This Row],[Stage Number]]&gt;=4,1,0)</f>
        <v>0</v>
      </c>
    </row>
    <row r="846" spans="1:15" x14ac:dyDescent="0.25">
      <c r="A846" t="s">
        <v>886</v>
      </c>
      <c r="B846" s="1">
        <v>45552</v>
      </c>
      <c r="C846" t="s">
        <v>31</v>
      </c>
      <c r="D846" t="s">
        <v>34</v>
      </c>
      <c r="E846" t="s">
        <v>13</v>
      </c>
      <c r="F846" t="s">
        <v>22</v>
      </c>
      <c r="G846" t="s">
        <v>23</v>
      </c>
      <c r="K846" cm="1">
        <f t="array" ref="K846">_xlfn.SWITCH(LeadsData[[#This Row],[Funnel Stage Reached]],"Lead",1,"MQL",2,"SQL",3,"Customer",4)</f>
        <v>2</v>
      </c>
      <c r="L846" t="str">
        <f>TEXT(LeadsData[[#This Row],[Signup Date]],"mmm-yyyy")</f>
        <v>Sep-2024</v>
      </c>
      <c r="M846">
        <f>IF(LeadsData[[#This Row],[Stage Number]]&gt;=2,1,0)</f>
        <v>1</v>
      </c>
      <c r="N846" s="2">
        <f>IF(LeadsData[[#This Row],[Stage Number]]&gt;=3,1,0)</f>
        <v>0</v>
      </c>
      <c r="O846" s="2">
        <f>IF(LeadsData[[#This Row],[Stage Number]]&gt;=4,1,0)</f>
        <v>0</v>
      </c>
    </row>
    <row r="847" spans="1:15" x14ac:dyDescent="0.25">
      <c r="A847" t="s">
        <v>887</v>
      </c>
      <c r="B847" s="1">
        <v>45483</v>
      </c>
      <c r="C847" t="s">
        <v>17</v>
      </c>
      <c r="D847" t="s">
        <v>18</v>
      </c>
      <c r="E847" t="s">
        <v>21</v>
      </c>
      <c r="F847" t="s">
        <v>19</v>
      </c>
      <c r="G847" t="s">
        <v>29</v>
      </c>
      <c r="K847" cm="1">
        <f t="array" ref="K847">_xlfn.SWITCH(LeadsData[[#This Row],[Funnel Stage Reached]],"Lead",1,"MQL",2,"SQL",3,"Customer",4)</f>
        <v>3</v>
      </c>
      <c r="L847" t="str">
        <f>TEXT(LeadsData[[#This Row],[Signup Date]],"mmm-yyyy")</f>
        <v>Jul-2024</v>
      </c>
      <c r="M847">
        <f>IF(LeadsData[[#This Row],[Stage Number]]&gt;=2,1,0)</f>
        <v>1</v>
      </c>
      <c r="N847" s="2">
        <f>IF(LeadsData[[#This Row],[Stage Number]]&gt;=3,1,0)</f>
        <v>1</v>
      </c>
      <c r="O847" s="2">
        <f>IF(LeadsData[[#This Row],[Stage Number]]&gt;=4,1,0)</f>
        <v>0</v>
      </c>
    </row>
    <row r="848" spans="1:15" x14ac:dyDescent="0.25">
      <c r="A848" t="s">
        <v>888</v>
      </c>
      <c r="B848" s="1">
        <v>45515</v>
      </c>
      <c r="C848" t="s">
        <v>17</v>
      </c>
      <c r="D848" t="s">
        <v>18</v>
      </c>
      <c r="E848" t="s">
        <v>21</v>
      </c>
      <c r="F848" t="s">
        <v>19</v>
      </c>
      <c r="G848" t="s">
        <v>15</v>
      </c>
      <c r="K848" cm="1">
        <f t="array" ref="K848">_xlfn.SWITCH(LeadsData[[#This Row],[Funnel Stage Reached]],"Lead",1,"MQL",2,"SQL",3,"Customer",4)</f>
        <v>1</v>
      </c>
      <c r="L848" t="str">
        <f>TEXT(LeadsData[[#This Row],[Signup Date]],"mmm-yyyy")</f>
        <v>Aug-2024</v>
      </c>
      <c r="M848">
        <f>IF(LeadsData[[#This Row],[Stage Number]]&gt;=2,1,0)</f>
        <v>0</v>
      </c>
      <c r="N848" s="2">
        <f>IF(LeadsData[[#This Row],[Stage Number]]&gt;=3,1,0)</f>
        <v>0</v>
      </c>
      <c r="O848" s="2">
        <f>IF(LeadsData[[#This Row],[Stage Number]]&gt;=4,1,0)</f>
        <v>0</v>
      </c>
    </row>
    <row r="849" spans="1:15" x14ac:dyDescent="0.25">
      <c r="A849" t="s">
        <v>889</v>
      </c>
      <c r="B849" s="1">
        <v>45518</v>
      </c>
      <c r="C849" t="s">
        <v>36</v>
      </c>
      <c r="D849" t="s">
        <v>50</v>
      </c>
      <c r="E849" t="s">
        <v>21</v>
      </c>
      <c r="F849" t="s">
        <v>19</v>
      </c>
      <c r="G849" t="s">
        <v>23</v>
      </c>
      <c r="K849" cm="1">
        <f t="array" ref="K849">_xlfn.SWITCH(LeadsData[[#This Row],[Funnel Stage Reached]],"Lead",1,"MQL",2,"SQL",3,"Customer",4)</f>
        <v>2</v>
      </c>
      <c r="L849" t="str">
        <f>TEXT(LeadsData[[#This Row],[Signup Date]],"mmm-yyyy")</f>
        <v>Aug-2024</v>
      </c>
      <c r="M849">
        <f>IF(LeadsData[[#This Row],[Stage Number]]&gt;=2,1,0)</f>
        <v>1</v>
      </c>
      <c r="N849" s="2">
        <f>IF(LeadsData[[#This Row],[Stage Number]]&gt;=3,1,0)</f>
        <v>0</v>
      </c>
      <c r="O849" s="2">
        <f>IF(LeadsData[[#This Row],[Stage Number]]&gt;=4,1,0)</f>
        <v>0</v>
      </c>
    </row>
    <row r="850" spans="1:15" x14ac:dyDescent="0.25">
      <c r="A850" t="s">
        <v>890</v>
      </c>
      <c r="B850" s="1">
        <v>45602</v>
      </c>
      <c r="C850" t="s">
        <v>31</v>
      </c>
      <c r="D850" t="s">
        <v>34</v>
      </c>
      <c r="E850" t="s">
        <v>21</v>
      </c>
      <c r="F850" t="s">
        <v>19</v>
      </c>
      <c r="G850" t="s">
        <v>29</v>
      </c>
      <c r="K850" cm="1">
        <f t="array" ref="K850">_xlfn.SWITCH(LeadsData[[#This Row],[Funnel Stage Reached]],"Lead",1,"MQL",2,"SQL",3,"Customer",4)</f>
        <v>3</v>
      </c>
      <c r="L850" t="str">
        <f>TEXT(LeadsData[[#This Row],[Signup Date]],"mmm-yyyy")</f>
        <v>Nov-2024</v>
      </c>
      <c r="M850">
        <f>IF(LeadsData[[#This Row],[Stage Number]]&gt;=2,1,0)</f>
        <v>1</v>
      </c>
      <c r="N850" s="2">
        <f>IF(LeadsData[[#This Row],[Stage Number]]&gt;=3,1,0)</f>
        <v>1</v>
      </c>
      <c r="O850" s="2">
        <f>IF(LeadsData[[#This Row],[Stage Number]]&gt;=4,1,0)</f>
        <v>0</v>
      </c>
    </row>
    <row r="851" spans="1:15" x14ac:dyDescent="0.25">
      <c r="A851" t="s">
        <v>891</v>
      </c>
      <c r="B851" s="1">
        <v>45476</v>
      </c>
      <c r="C851" t="s">
        <v>11</v>
      </c>
      <c r="D851" t="s">
        <v>79</v>
      </c>
      <c r="E851" t="s">
        <v>21</v>
      </c>
      <c r="F851" t="s">
        <v>19</v>
      </c>
      <c r="G851" t="s">
        <v>15</v>
      </c>
      <c r="K851" cm="1">
        <f t="array" ref="K851">_xlfn.SWITCH(LeadsData[[#This Row],[Funnel Stage Reached]],"Lead",1,"MQL",2,"SQL",3,"Customer",4)</f>
        <v>1</v>
      </c>
      <c r="L851" t="str">
        <f>TEXT(LeadsData[[#This Row],[Signup Date]],"mmm-yyyy")</f>
        <v>Jul-2024</v>
      </c>
      <c r="M851">
        <f>IF(LeadsData[[#This Row],[Stage Number]]&gt;=2,1,0)</f>
        <v>0</v>
      </c>
      <c r="N851" s="2">
        <f>IF(LeadsData[[#This Row],[Stage Number]]&gt;=3,1,0)</f>
        <v>0</v>
      </c>
      <c r="O851" s="2">
        <f>IF(LeadsData[[#This Row],[Stage Number]]&gt;=4,1,0)</f>
        <v>0</v>
      </c>
    </row>
    <row r="852" spans="1:15" x14ac:dyDescent="0.25">
      <c r="A852" t="s">
        <v>892</v>
      </c>
      <c r="B852" s="1">
        <v>45560</v>
      </c>
      <c r="C852" t="s">
        <v>46</v>
      </c>
      <c r="D852" t="s">
        <v>56</v>
      </c>
      <c r="E852" t="s">
        <v>21</v>
      </c>
      <c r="F852" t="s">
        <v>14</v>
      </c>
      <c r="G852" t="s">
        <v>15</v>
      </c>
      <c r="K852" cm="1">
        <f t="array" ref="K852">_xlfn.SWITCH(LeadsData[[#This Row],[Funnel Stage Reached]],"Lead",1,"MQL",2,"SQL",3,"Customer",4)</f>
        <v>1</v>
      </c>
      <c r="L852" t="str">
        <f>TEXT(LeadsData[[#This Row],[Signup Date]],"mmm-yyyy")</f>
        <v>Sep-2024</v>
      </c>
      <c r="M852">
        <f>IF(LeadsData[[#This Row],[Stage Number]]&gt;=2,1,0)</f>
        <v>0</v>
      </c>
      <c r="N852" s="2">
        <f>IF(LeadsData[[#This Row],[Stage Number]]&gt;=3,1,0)</f>
        <v>0</v>
      </c>
      <c r="O852" s="2">
        <f>IF(LeadsData[[#This Row],[Stage Number]]&gt;=4,1,0)</f>
        <v>0</v>
      </c>
    </row>
    <row r="853" spans="1:15" x14ac:dyDescent="0.25">
      <c r="A853" t="s">
        <v>893</v>
      </c>
      <c r="B853" s="1">
        <v>45427</v>
      </c>
      <c r="C853" t="s">
        <v>31</v>
      </c>
      <c r="D853" t="s">
        <v>32</v>
      </c>
      <c r="E853" t="s">
        <v>13</v>
      </c>
      <c r="F853" t="s">
        <v>19</v>
      </c>
      <c r="G853" t="s">
        <v>15</v>
      </c>
      <c r="K853" cm="1">
        <f t="array" ref="K853">_xlfn.SWITCH(LeadsData[[#This Row],[Funnel Stage Reached]],"Lead",1,"MQL",2,"SQL",3,"Customer",4)</f>
        <v>1</v>
      </c>
      <c r="L853" t="str">
        <f>TEXT(LeadsData[[#This Row],[Signup Date]],"mmm-yyyy")</f>
        <v>May-2024</v>
      </c>
      <c r="M853">
        <f>IF(LeadsData[[#This Row],[Stage Number]]&gt;=2,1,0)</f>
        <v>0</v>
      </c>
      <c r="N853" s="2">
        <f>IF(LeadsData[[#This Row],[Stage Number]]&gt;=3,1,0)</f>
        <v>0</v>
      </c>
      <c r="O853" s="2">
        <f>IF(LeadsData[[#This Row],[Stage Number]]&gt;=4,1,0)</f>
        <v>0</v>
      </c>
    </row>
    <row r="854" spans="1:15" x14ac:dyDescent="0.25">
      <c r="A854" t="s">
        <v>894</v>
      </c>
      <c r="B854" s="1">
        <v>45308</v>
      </c>
      <c r="C854" t="s">
        <v>31</v>
      </c>
      <c r="D854" t="s">
        <v>32</v>
      </c>
      <c r="E854" t="s">
        <v>21</v>
      </c>
      <c r="F854" t="s">
        <v>14</v>
      </c>
      <c r="G854" t="s">
        <v>15</v>
      </c>
      <c r="K854" cm="1">
        <f t="array" ref="K854">_xlfn.SWITCH(LeadsData[[#This Row],[Funnel Stage Reached]],"Lead",1,"MQL",2,"SQL",3,"Customer",4)</f>
        <v>1</v>
      </c>
      <c r="L854" t="str">
        <f>TEXT(LeadsData[[#This Row],[Signup Date]],"mmm-yyyy")</f>
        <v>Jan-2024</v>
      </c>
      <c r="M854">
        <f>IF(LeadsData[[#This Row],[Stage Number]]&gt;=2,1,0)</f>
        <v>0</v>
      </c>
      <c r="N854" s="2">
        <f>IF(LeadsData[[#This Row],[Stage Number]]&gt;=3,1,0)</f>
        <v>0</v>
      </c>
      <c r="O854" s="2">
        <f>IF(LeadsData[[#This Row],[Stage Number]]&gt;=4,1,0)</f>
        <v>0</v>
      </c>
    </row>
    <row r="855" spans="1:15" x14ac:dyDescent="0.25">
      <c r="A855" t="s">
        <v>895</v>
      </c>
      <c r="B855" s="1">
        <v>45630</v>
      </c>
      <c r="C855" t="s">
        <v>46</v>
      </c>
      <c r="D855" t="s">
        <v>56</v>
      </c>
      <c r="E855" t="s">
        <v>48</v>
      </c>
      <c r="F855" t="s">
        <v>19</v>
      </c>
      <c r="G855" t="s">
        <v>15</v>
      </c>
      <c r="K855" cm="1">
        <f t="array" ref="K855">_xlfn.SWITCH(LeadsData[[#This Row],[Funnel Stage Reached]],"Lead",1,"MQL",2,"SQL",3,"Customer",4)</f>
        <v>1</v>
      </c>
      <c r="L855" t="str">
        <f>TEXT(LeadsData[[#This Row],[Signup Date]],"mmm-yyyy")</f>
        <v>Dec-2024</v>
      </c>
      <c r="M855">
        <f>IF(LeadsData[[#This Row],[Stage Number]]&gt;=2,1,0)</f>
        <v>0</v>
      </c>
      <c r="N855" s="2">
        <f>IF(LeadsData[[#This Row],[Stage Number]]&gt;=3,1,0)</f>
        <v>0</v>
      </c>
      <c r="O855" s="2">
        <f>IF(LeadsData[[#This Row],[Stage Number]]&gt;=4,1,0)</f>
        <v>0</v>
      </c>
    </row>
    <row r="856" spans="1:15" x14ac:dyDescent="0.25">
      <c r="A856" t="s">
        <v>896</v>
      </c>
      <c r="B856" s="1">
        <v>45419</v>
      </c>
      <c r="C856" t="s">
        <v>36</v>
      </c>
      <c r="D856" t="s">
        <v>37</v>
      </c>
      <c r="E856" t="s">
        <v>13</v>
      </c>
      <c r="F856" t="s">
        <v>19</v>
      </c>
      <c r="G856" t="s">
        <v>23</v>
      </c>
      <c r="K856" cm="1">
        <f t="array" ref="K856">_xlfn.SWITCH(LeadsData[[#This Row],[Funnel Stage Reached]],"Lead",1,"MQL",2,"SQL",3,"Customer",4)</f>
        <v>2</v>
      </c>
      <c r="L856" t="str">
        <f>TEXT(LeadsData[[#This Row],[Signup Date]],"mmm-yyyy")</f>
        <v>May-2024</v>
      </c>
      <c r="M856">
        <f>IF(LeadsData[[#This Row],[Stage Number]]&gt;=2,1,0)</f>
        <v>1</v>
      </c>
      <c r="N856" s="2">
        <f>IF(LeadsData[[#This Row],[Stage Number]]&gt;=3,1,0)</f>
        <v>0</v>
      </c>
      <c r="O856" s="2">
        <f>IF(LeadsData[[#This Row],[Stage Number]]&gt;=4,1,0)</f>
        <v>0</v>
      </c>
    </row>
    <row r="857" spans="1:15" x14ac:dyDescent="0.25">
      <c r="A857" t="s">
        <v>897</v>
      </c>
      <c r="B857" s="1">
        <v>45408</v>
      </c>
      <c r="C857" t="s">
        <v>17</v>
      </c>
      <c r="D857" t="s">
        <v>18</v>
      </c>
      <c r="E857" t="s">
        <v>21</v>
      </c>
      <c r="F857" t="s">
        <v>22</v>
      </c>
      <c r="G857" t="s">
        <v>23</v>
      </c>
      <c r="K857" cm="1">
        <f t="array" ref="K857">_xlfn.SWITCH(LeadsData[[#This Row],[Funnel Stage Reached]],"Lead",1,"MQL",2,"SQL",3,"Customer",4)</f>
        <v>2</v>
      </c>
      <c r="L857" t="str">
        <f>TEXT(LeadsData[[#This Row],[Signup Date]],"mmm-yyyy")</f>
        <v>Apr-2024</v>
      </c>
      <c r="M857">
        <f>IF(LeadsData[[#This Row],[Stage Number]]&gt;=2,1,0)</f>
        <v>1</v>
      </c>
      <c r="N857" s="2">
        <f>IF(LeadsData[[#This Row],[Stage Number]]&gt;=3,1,0)</f>
        <v>0</v>
      </c>
      <c r="O857" s="2">
        <f>IF(LeadsData[[#This Row],[Stage Number]]&gt;=4,1,0)</f>
        <v>0</v>
      </c>
    </row>
    <row r="858" spans="1:15" x14ac:dyDescent="0.25">
      <c r="A858" t="s">
        <v>898</v>
      </c>
      <c r="B858" s="1">
        <v>45414</v>
      </c>
      <c r="C858" t="s">
        <v>11</v>
      </c>
      <c r="D858" t="s">
        <v>68</v>
      </c>
      <c r="E858" t="s">
        <v>21</v>
      </c>
      <c r="F858" t="s">
        <v>19</v>
      </c>
      <c r="G858" t="s">
        <v>23</v>
      </c>
      <c r="K858" cm="1">
        <f t="array" ref="K858">_xlfn.SWITCH(LeadsData[[#This Row],[Funnel Stage Reached]],"Lead",1,"MQL",2,"SQL",3,"Customer",4)</f>
        <v>2</v>
      </c>
      <c r="L858" t="str">
        <f>TEXT(LeadsData[[#This Row],[Signup Date]],"mmm-yyyy")</f>
        <v>May-2024</v>
      </c>
      <c r="M858">
        <f>IF(LeadsData[[#This Row],[Stage Number]]&gt;=2,1,0)</f>
        <v>1</v>
      </c>
      <c r="N858" s="2">
        <f>IF(LeadsData[[#This Row],[Stage Number]]&gt;=3,1,0)</f>
        <v>0</v>
      </c>
      <c r="O858" s="2">
        <f>IF(LeadsData[[#This Row],[Stage Number]]&gt;=4,1,0)</f>
        <v>0</v>
      </c>
    </row>
    <row r="859" spans="1:15" x14ac:dyDescent="0.25">
      <c r="A859" t="s">
        <v>899</v>
      </c>
      <c r="B859" s="1">
        <v>45298</v>
      </c>
      <c r="C859" t="s">
        <v>11</v>
      </c>
      <c r="D859" t="s">
        <v>12</v>
      </c>
      <c r="E859" t="s">
        <v>13</v>
      </c>
      <c r="F859" t="s">
        <v>19</v>
      </c>
      <c r="G859" t="s">
        <v>15</v>
      </c>
      <c r="K859" cm="1">
        <f t="array" ref="K859">_xlfn.SWITCH(LeadsData[[#This Row],[Funnel Stage Reached]],"Lead",1,"MQL",2,"SQL",3,"Customer",4)</f>
        <v>1</v>
      </c>
      <c r="L859" t="str">
        <f>TEXT(LeadsData[[#This Row],[Signup Date]],"mmm-yyyy")</f>
        <v>Jan-2024</v>
      </c>
      <c r="M859">
        <f>IF(LeadsData[[#This Row],[Stage Number]]&gt;=2,1,0)</f>
        <v>0</v>
      </c>
      <c r="N859" s="2">
        <f>IF(LeadsData[[#This Row],[Stage Number]]&gt;=3,1,0)</f>
        <v>0</v>
      </c>
      <c r="O859" s="2">
        <f>IF(LeadsData[[#This Row],[Stage Number]]&gt;=4,1,0)</f>
        <v>0</v>
      </c>
    </row>
    <row r="860" spans="1:15" x14ac:dyDescent="0.25">
      <c r="A860" t="s">
        <v>900</v>
      </c>
      <c r="B860" s="1">
        <v>45592</v>
      </c>
      <c r="C860" t="s">
        <v>31</v>
      </c>
      <c r="D860" t="s">
        <v>34</v>
      </c>
      <c r="E860" t="s">
        <v>48</v>
      </c>
      <c r="F860" t="s">
        <v>19</v>
      </c>
      <c r="G860" t="s">
        <v>23</v>
      </c>
      <c r="K860" cm="1">
        <f t="array" ref="K860">_xlfn.SWITCH(LeadsData[[#This Row],[Funnel Stage Reached]],"Lead",1,"MQL",2,"SQL",3,"Customer",4)</f>
        <v>2</v>
      </c>
      <c r="L860" t="str">
        <f>TEXT(LeadsData[[#This Row],[Signup Date]],"mmm-yyyy")</f>
        <v>Oct-2024</v>
      </c>
      <c r="M860">
        <f>IF(LeadsData[[#This Row],[Stage Number]]&gt;=2,1,0)</f>
        <v>1</v>
      </c>
      <c r="N860" s="2">
        <f>IF(LeadsData[[#This Row],[Stage Number]]&gt;=3,1,0)</f>
        <v>0</v>
      </c>
      <c r="O860" s="2">
        <f>IF(LeadsData[[#This Row],[Stage Number]]&gt;=4,1,0)</f>
        <v>0</v>
      </c>
    </row>
    <row r="861" spans="1:15" x14ac:dyDescent="0.25">
      <c r="A861" t="s">
        <v>901</v>
      </c>
      <c r="B861" s="1">
        <v>45387</v>
      </c>
      <c r="C861" t="s">
        <v>46</v>
      </c>
      <c r="D861" t="s">
        <v>47</v>
      </c>
      <c r="E861" t="s">
        <v>13</v>
      </c>
      <c r="F861" t="s">
        <v>22</v>
      </c>
      <c r="G861" t="s">
        <v>23</v>
      </c>
      <c r="K861" cm="1">
        <f t="array" ref="K861">_xlfn.SWITCH(LeadsData[[#This Row],[Funnel Stage Reached]],"Lead",1,"MQL",2,"SQL",3,"Customer",4)</f>
        <v>2</v>
      </c>
      <c r="L861" t="str">
        <f>TEXT(LeadsData[[#This Row],[Signup Date]],"mmm-yyyy")</f>
        <v>Apr-2024</v>
      </c>
      <c r="M861">
        <f>IF(LeadsData[[#This Row],[Stage Number]]&gt;=2,1,0)</f>
        <v>1</v>
      </c>
      <c r="N861" s="2">
        <f>IF(LeadsData[[#This Row],[Stage Number]]&gt;=3,1,0)</f>
        <v>0</v>
      </c>
      <c r="O861" s="2">
        <f>IF(LeadsData[[#This Row],[Stage Number]]&gt;=4,1,0)</f>
        <v>0</v>
      </c>
    </row>
    <row r="862" spans="1:15" x14ac:dyDescent="0.25">
      <c r="A862" t="s">
        <v>902</v>
      </c>
      <c r="B862" s="1">
        <v>45305</v>
      </c>
      <c r="C862" t="s">
        <v>46</v>
      </c>
      <c r="D862" t="s">
        <v>47</v>
      </c>
      <c r="E862" t="s">
        <v>13</v>
      </c>
      <c r="F862" t="s">
        <v>22</v>
      </c>
      <c r="G862" t="s">
        <v>23</v>
      </c>
      <c r="K862" cm="1">
        <f t="array" ref="K862">_xlfn.SWITCH(LeadsData[[#This Row],[Funnel Stage Reached]],"Lead",1,"MQL",2,"SQL",3,"Customer",4)</f>
        <v>2</v>
      </c>
      <c r="L862" t="str">
        <f>TEXT(LeadsData[[#This Row],[Signup Date]],"mmm-yyyy")</f>
        <v>Jan-2024</v>
      </c>
      <c r="M862">
        <f>IF(LeadsData[[#This Row],[Stage Number]]&gt;=2,1,0)</f>
        <v>1</v>
      </c>
      <c r="N862" s="2">
        <f>IF(LeadsData[[#This Row],[Stage Number]]&gt;=3,1,0)</f>
        <v>0</v>
      </c>
      <c r="O862" s="2">
        <f>IF(LeadsData[[#This Row],[Stage Number]]&gt;=4,1,0)</f>
        <v>0</v>
      </c>
    </row>
    <row r="863" spans="1:15" x14ac:dyDescent="0.25">
      <c r="A863" t="s">
        <v>903</v>
      </c>
      <c r="B863" s="1">
        <v>45390</v>
      </c>
      <c r="C863" t="s">
        <v>46</v>
      </c>
      <c r="D863" t="s">
        <v>56</v>
      </c>
      <c r="E863" t="s">
        <v>13</v>
      </c>
      <c r="F863" t="s">
        <v>19</v>
      </c>
      <c r="G863" t="s">
        <v>29</v>
      </c>
      <c r="K863" cm="1">
        <f t="array" ref="K863">_xlfn.SWITCH(LeadsData[[#This Row],[Funnel Stage Reached]],"Lead",1,"MQL",2,"SQL",3,"Customer",4)</f>
        <v>3</v>
      </c>
      <c r="L863" t="str">
        <f>TEXT(LeadsData[[#This Row],[Signup Date]],"mmm-yyyy")</f>
        <v>Apr-2024</v>
      </c>
      <c r="M863">
        <f>IF(LeadsData[[#This Row],[Stage Number]]&gt;=2,1,0)</f>
        <v>1</v>
      </c>
      <c r="N863" s="2">
        <f>IF(LeadsData[[#This Row],[Stage Number]]&gt;=3,1,0)</f>
        <v>1</v>
      </c>
      <c r="O863" s="2">
        <f>IF(LeadsData[[#This Row],[Stage Number]]&gt;=4,1,0)</f>
        <v>0</v>
      </c>
    </row>
    <row r="864" spans="1:15" x14ac:dyDescent="0.25">
      <c r="A864" t="s">
        <v>904</v>
      </c>
      <c r="B864" s="1">
        <v>45562</v>
      </c>
      <c r="C864" t="s">
        <v>36</v>
      </c>
      <c r="D864" t="s">
        <v>37</v>
      </c>
      <c r="E864" t="s">
        <v>13</v>
      </c>
      <c r="F864" t="s">
        <v>19</v>
      </c>
      <c r="G864" t="s">
        <v>15</v>
      </c>
      <c r="K864" cm="1">
        <f t="array" ref="K864">_xlfn.SWITCH(LeadsData[[#This Row],[Funnel Stage Reached]],"Lead",1,"MQL",2,"SQL",3,"Customer",4)</f>
        <v>1</v>
      </c>
      <c r="L864" t="str">
        <f>TEXT(LeadsData[[#This Row],[Signup Date]],"mmm-yyyy")</f>
        <v>Sep-2024</v>
      </c>
      <c r="M864">
        <f>IF(LeadsData[[#This Row],[Stage Number]]&gt;=2,1,0)</f>
        <v>0</v>
      </c>
      <c r="N864" s="2">
        <f>IF(LeadsData[[#This Row],[Stage Number]]&gt;=3,1,0)</f>
        <v>0</v>
      </c>
      <c r="O864" s="2">
        <f>IF(LeadsData[[#This Row],[Stage Number]]&gt;=4,1,0)</f>
        <v>0</v>
      </c>
    </row>
    <row r="865" spans="1:15" x14ac:dyDescent="0.25">
      <c r="A865" t="s">
        <v>905</v>
      </c>
      <c r="B865" s="1">
        <v>45653</v>
      </c>
      <c r="C865" t="s">
        <v>31</v>
      </c>
      <c r="D865" t="s">
        <v>34</v>
      </c>
      <c r="E865" t="s">
        <v>13</v>
      </c>
      <c r="F865" t="s">
        <v>19</v>
      </c>
      <c r="G865" t="s">
        <v>15</v>
      </c>
      <c r="K865" cm="1">
        <f t="array" ref="K865">_xlfn.SWITCH(LeadsData[[#This Row],[Funnel Stage Reached]],"Lead",1,"MQL",2,"SQL",3,"Customer",4)</f>
        <v>1</v>
      </c>
      <c r="L865" t="str">
        <f>TEXT(LeadsData[[#This Row],[Signup Date]],"mmm-yyyy")</f>
        <v>Dec-2024</v>
      </c>
      <c r="M865">
        <f>IF(LeadsData[[#This Row],[Stage Number]]&gt;=2,1,0)</f>
        <v>0</v>
      </c>
      <c r="N865" s="2">
        <f>IF(LeadsData[[#This Row],[Stage Number]]&gt;=3,1,0)</f>
        <v>0</v>
      </c>
      <c r="O865" s="2">
        <f>IF(LeadsData[[#This Row],[Stage Number]]&gt;=4,1,0)</f>
        <v>0</v>
      </c>
    </row>
    <row r="866" spans="1:15" x14ac:dyDescent="0.25">
      <c r="A866" t="s">
        <v>906</v>
      </c>
      <c r="B866" s="1">
        <v>45569</v>
      </c>
      <c r="C866" t="s">
        <v>31</v>
      </c>
      <c r="D866" t="s">
        <v>34</v>
      </c>
      <c r="E866" t="s">
        <v>21</v>
      </c>
      <c r="F866" t="s">
        <v>22</v>
      </c>
      <c r="G866" t="s">
        <v>29</v>
      </c>
      <c r="K866" cm="1">
        <f t="array" ref="K866">_xlfn.SWITCH(LeadsData[[#This Row],[Funnel Stage Reached]],"Lead",1,"MQL",2,"SQL",3,"Customer",4)</f>
        <v>3</v>
      </c>
      <c r="L866" t="str">
        <f>TEXT(LeadsData[[#This Row],[Signup Date]],"mmm-yyyy")</f>
        <v>Oct-2024</v>
      </c>
      <c r="M866">
        <f>IF(LeadsData[[#This Row],[Stage Number]]&gt;=2,1,0)</f>
        <v>1</v>
      </c>
      <c r="N866" s="2">
        <f>IF(LeadsData[[#This Row],[Stage Number]]&gt;=3,1,0)</f>
        <v>1</v>
      </c>
      <c r="O866" s="2">
        <f>IF(LeadsData[[#This Row],[Stage Number]]&gt;=4,1,0)</f>
        <v>0</v>
      </c>
    </row>
    <row r="867" spans="1:15" x14ac:dyDescent="0.25">
      <c r="A867" t="s">
        <v>907</v>
      </c>
      <c r="B867" s="1">
        <v>45632</v>
      </c>
      <c r="C867" t="s">
        <v>31</v>
      </c>
      <c r="D867" t="s">
        <v>32</v>
      </c>
      <c r="E867" t="s">
        <v>21</v>
      </c>
      <c r="F867" t="s">
        <v>19</v>
      </c>
      <c r="G867" t="s">
        <v>29</v>
      </c>
      <c r="K867" cm="1">
        <f t="array" ref="K867">_xlfn.SWITCH(LeadsData[[#This Row],[Funnel Stage Reached]],"Lead",1,"MQL",2,"SQL",3,"Customer",4)</f>
        <v>3</v>
      </c>
      <c r="L867" t="str">
        <f>TEXT(LeadsData[[#This Row],[Signup Date]],"mmm-yyyy")</f>
        <v>Dec-2024</v>
      </c>
      <c r="M867">
        <f>IF(LeadsData[[#This Row],[Stage Number]]&gt;=2,1,0)</f>
        <v>1</v>
      </c>
      <c r="N867" s="2">
        <f>IF(LeadsData[[#This Row],[Stage Number]]&gt;=3,1,0)</f>
        <v>1</v>
      </c>
      <c r="O867" s="2">
        <f>IF(LeadsData[[#This Row],[Stage Number]]&gt;=4,1,0)</f>
        <v>0</v>
      </c>
    </row>
    <row r="868" spans="1:15" x14ac:dyDescent="0.25">
      <c r="A868" t="s">
        <v>908</v>
      </c>
      <c r="B868" s="1">
        <v>45460</v>
      </c>
      <c r="C868" t="s">
        <v>36</v>
      </c>
      <c r="D868" t="s">
        <v>37</v>
      </c>
      <c r="E868" t="s">
        <v>13</v>
      </c>
      <c r="F868" t="s">
        <v>19</v>
      </c>
      <c r="G868" t="s">
        <v>23</v>
      </c>
      <c r="K868" cm="1">
        <f t="array" ref="K868">_xlfn.SWITCH(LeadsData[[#This Row],[Funnel Stage Reached]],"Lead",1,"MQL",2,"SQL",3,"Customer",4)</f>
        <v>2</v>
      </c>
      <c r="L868" t="str">
        <f>TEXT(LeadsData[[#This Row],[Signup Date]],"mmm-yyyy")</f>
        <v>Jun-2024</v>
      </c>
      <c r="M868">
        <f>IF(LeadsData[[#This Row],[Stage Number]]&gt;=2,1,0)</f>
        <v>1</v>
      </c>
      <c r="N868" s="2">
        <f>IF(LeadsData[[#This Row],[Stage Number]]&gt;=3,1,0)</f>
        <v>0</v>
      </c>
      <c r="O868" s="2">
        <f>IF(LeadsData[[#This Row],[Stage Number]]&gt;=4,1,0)</f>
        <v>0</v>
      </c>
    </row>
    <row r="869" spans="1:15" x14ac:dyDescent="0.25">
      <c r="A869" t="s">
        <v>909</v>
      </c>
      <c r="B869" s="1">
        <v>45569</v>
      </c>
      <c r="C869" t="s">
        <v>31</v>
      </c>
      <c r="D869" t="s">
        <v>32</v>
      </c>
      <c r="E869" t="s">
        <v>13</v>
      </c>
      <c r="F869" t="s">
        <v>19</v>
      </c>
      <c r="G869" t="s">
        <v>29</v>
      </c>
      <c r="K869" cm="1">
        <f t="array" ref="K869">_xlfn.SWITCH(LeadsData[[#This Row],[Funnel Stage Reached]],"Lead",1,"MQL",2,"SQL",3,"Customer",4)</f>
        <v>3</v>
      </c>
      <c r="L869" t="str">
        <f>TEXT(LeadsData[[#This Row],[Signup Date]],"mmm-yyyy")</f>
        <v>Oct-2024</v>
      </c>
      <c r="M869">
        <f>IF(LeadsData[[#This Row],[Stage Number]]&gt;=2,1,0)</f>
        <v>1</v>
      </c>
      <c r="N869" s="2">
        <f>IF(LeadsData[[#This Row],[Stage Number]]&gt;=3,1,0)</f>
        <v>1</v>
      </c>
      <c r="O869" s="2">
        <f>IF(LeadsData[[#This Row],[Stage Number]]&gt;=4,1,0)</f>
        <v>0</v>
      </c>
    </row>
    <row r="870" spans="1:15" x14ac:dyDescent="0.25">
      <c r="A870" t="s">
        <v>910</v>
      </c>
      <c r="B870" s="1">
        <v>45482</v>
      </c>
      <c r="C870" t="s">
        <v>31</v>
      </c>
      <c r="D870" t="s">
        <v>32</v>
      </c>
      <c r="E870" t="s">
        <v>13</v>
      </c>
      <c r="F870" t="s">
        <v>22</v>
      </c>
      <c r="G870" t="s">
        <v>42</v>
      </c>
      <c r="H870">
        <v>25</v>
      </c>
      <c r="I870" t="s">
        <v>43</v>
      </c>
      <c r="J870">
        <v>676.15</v>
      </c>
      <c r="K870" cm="1">
        <f t="array" ref="K870">_xlfn.SWITCH(LeadsData[[#This Row],[Funnel Stage Reached]],"Lead",1,"MQL",2,"SQL",3,"Customer",4)</f>
        <v>4</v>
      </c>
      <c r="L870" t="str">
        <f>TEXT(LeadsData[[#This Row],[Signup Date]],"mmm-yyyy")</f>
        <v>Jul-2024</v>
      </c>
      <c r="M870">
        <f>IF(LeadsData[[#This Row],[Stage Number]]&gt;=2,1,0)</f>
        <v>1</v>
      </c>
      <c r="N870" s="2">
        <f>IF(LeadsData[[#This Row],[Stage Number]]&gt;=3,1,0)</f>
        <v>1</v>
      </c>
      <c r="O870" s="2">
        <f>IF(LeadsData[[#This Row],[Stage Number]]&gt;=4,1,0)</f>
        <v>1</v>
      </c>
    </row>
    <row r="871" spans="1:15" x14ac:dyDescent="0.25">
      <c r="A871" t="s">
        <v>911</v>
      </c>
      <c r="B871" s="1">
        <v>45518</v>
      </c>
      <c r="C871" t="s">
        <v>31</v>
      </c>
      <c r="D871" t="s">
        <v>34</v>
      </c>
      <c r="E871" t="s">
        <v>13</v>
      </c>
      <c r="F871" t="s">
        <v>19</v>
      </c>
      <c r="G871" t="s">
        <v>29</v>
      </c>
      <c r="K871" cm="1">
        <f t="array" ref="K871">_xlfn.SWITCH(LeadsData[[#This Row],[Funnel Stage Reached]],"Lead",1,"MQL",2,"SQL",3,"Customer",4)</f>
        <v>3</v>
      </c>
      <c r="L871" t="str">
        <f>TEXT(LeadsData[[#This Row],[Signup Date]],"mmm-yyyy")</f>
        <v>Aug-2024</v>
      </c>
      <c r="M871">
        <f>IF(LeadsData[[#This Row],[Stage Number]]&gt;=2,1,0)</f>
        <v>1</v>
      </c>
      <c r="N871" s="2">
        <f>IF(LeadsData[[#This Row],[Stage Number]]&gt;=3,1,0)</f>
        <v>1</v>
      </c>
      <c r="O871" s="2">
        <f>IF(LeadsData[[#This Row],[Stage Number]]&gt;=4,1,0)</f>
        <v>0</v>
      </c>
    </row>
    <row r="872" spans="1:15" x14ac:dyDescent="0.25">
      <c r="A872" t="s">
        <v>912</v>
      </c>
      <c r="B872" s="1">
        <v>45388</v>
      </c>
      <c r="C872" t="s">
        <v>46</v>
      </c>
      <c r="D872" t="s">
        <v>56</v>
      </c>
      <c r="E872" t="s">
        <v>21</v>
      </c>
      <c r="F872" t="s">
        <v>19</v>
      </c>
      <c r="G872" t="s">
        <v>15</v>
      </c>
      <c r="K872" cm="1">
        <f t="array" ref="K872">_xlfn.SWITCH(LeadsData[[#This Row],[Funnel Stage Reached]],"Lead",1,"MQL",2,"SQL",3,"Customer",4)</f>
        <v>1</v>
      </c>
      <c r="L872" t="str">
        <f>TEXT(LeadsData[[#This Row],[Signup Date]],"mmm-yyyy")</f>
        <v>Apr-2024</v>
      </c>
      <c r="M872">
        <f>IF(LeadsData[[#This Row],[Stage Number]]&gt;=2,1,0)</f>
        <v>0</v>
      </c>
      <c r="N872" s="2">
        <f>IF(LeadsData[[#This Row],[Stage Number]]&gt;=3,1,0)</f>
        <v>0</v>
      </c>
      <c r="O872" s="2">
        <f>IF(LeadsData[[#This Row],[Stage Number]]&gt;=4,1,0)</f>
        <v>0</v>
      </c>
    </row>
    <row r="873" spans="1:15" x14ac:dyDescent="0.25">
      <c r="A873" t="s">
        <v>913</v>
      </c>
      <c r="B873" s="1">
        <v>45482</v>
      </c>
      <c r="C873" t="s">
        <v>46</v>
      </c>
      <c r="D873" t="s">
        <v>56</v>
      </c>
      <c r="E873" t="s">
        <v>21</v>
      </c>
      <c r="F873" t="s">
        <v>22</v>
      </c>
      <c r="G873" t="s">
        <v>29</v>
      </c>
      <c r="K873" cm="1">
        <f t="array" ref="K873">_xlfn.SWITCH(LeadsData[[#This Row],[Funnel Stage Reached]],"Lead",1,"MQL",2,"SQL",3,"Customer",4)</f>
        <v>3</v>
      </c>
      <c r="L873" t="str">
        <f>TEXT(LeadsData[[#This Row],[Signup Date]],"mmm-yyyy")</f>
        <v>Jul-2024</v>
      </c>
      <c r="M873">
        <f>IF(LeadsData[[#This Row],[Stage Number]]&gt;=2,1,0)</f>
        <v>1</v>
      </c>
      <c r="N873" s="2">
        <f>IF(LeadsData[[#This Row],[Stage Number]]&gt;=3,1,0)</f>
        <v>1</v>
      </c>
      <c r="O873" s="2">
        <f>IF(LeadsData[[#This Row],[Stage Number]]&gt;=4,1,0)</f>
        <v>0</v>
      </c>
    </row>
    <row r="874" spans="1:15" x14ac:dyDescent="0.25">
      <c r="A874" t="s">
        <v>914</v>
      </c>
      <c r="B874" s="1">
        <v>45615</v>
      </c>
      <c r="C874" t="s">
        <v>31</v>
      </c>
      <c r="D874" t="s">
        <v>34</v>
      </c>
      <c r="E874" t="s">
        <v>13</v>
      </c>
      <c r="F874" t="s">
        <v>19</v>
      </c>
      <c r="G874" t="s">
        <v>23</v>
      </c>
      <c r="K874" cm="1">
        <f t="array" ref="K874">_xlfn.SWITCH(LeadsData[[#This Row],[Funnel Stage Reached]],"Lead",1,"MQL",2,"SQL",3,"Customer",4)</f>
        <v>2</v>
      </c>
      <c r="L874" t="str">
        <f>TEXT(LeadsData[[#This Row],[Signup Date]],"mmm-yyyy")</f>
        <v>Nov-2024</v>
      </c>
      <c r="M874">
        <f>IF(LeadsData[[#This Row],[Stage Number]]&gt;=2,1,0)</f>
        <v>1</v>
      </c>
      <c r="N874" s="2">
        <f>IF(LeadsData[[#This Row],[Stage Number]]&gt;=3,1,0)</f>
        <v>0</v>
      </c>
      <c r="O874" s="2">
        <f>IF(LeadsData[[#This Row],[Stage Number]]&gt;=4,1,0)</f>
        <v>0</v>
      </c>
    </row>
    <row r="875" spans="1:15" x14ac:dyDescent="0.25">
      <c r="A875" t="s">
        <v>915</v>
      </c>
      <c r="B875" s="1">
        <v>45615</v>
      </c>
      <c r="C875" t="s">
        <v>17</v>
      </c>
      <c r="D875" t="s">
        <v>18</v>
      </c>
      <c r="E875" t="s">
        <v>13</v>
      </c>
      <c r="F875" t="s">
        <v>14</v>
      </c>
      <c r="G875" t="s">
        <v>15</v>
      </c>
      <c r="K875" cm="1">
        <f t="array" ref="K875">_xlfn.SWITCH(LeadsData[[#This Row],[Funnel Stage Reached]],"Lead",1,"MQL",2,"SQL",3,"Customer",4)</f>
        <v>1</v>
      </c>
      <c r="L875" t="str">
        <f>TEXT(LeadsData[[#This Row],[Signup Date]],"mmm-yyyy")</f>
        <v>Nov-2024</v>
      </c>
      <c r="M875">
        <f>IF(LeadsData[[#This Row],[Stage Number]]&gt;=2,1,0)</f>
        <v>0</v>
      </c>
      <c r="N875" s="2">
        <f>IF(LeadsData[[#This Row],[Stage Number]]&gt;=3,1,0)</f>
        <v>0</v>
      </c>
      <c r="O875" s="2">
        <f>IF(LeadsData[[#This Row],[Stage Number]]&gt;=4,1,0)</f>
        <v>0</v>
      </c>
    </row>
    <row r="876" spans="1:15" x14ac:dyDescent="0.25">
      <c r="A876" t="s">
        <v>916</v>
      </c>
      <c r="B876" s="1">
        <v>45401</v>
      </c>
      <c r="C876" t="s">
        <v>31</v>
      </c>
      <c r="D876" t="s">
        <v>32</v>
      </c>
      <c r="E876" t="s">
        <v>13</v>
      </c>
      <c r="F876" t="s">
        <v>22</v>
      </c>
      <c r="G876" t="s">
        <v>42</v>
      </c>
      <c r="H876">
        <v>49</v>
      </c>
      <c r="I876" t="s">
        <v>43</v>
      </c>
      <c r="J876">
        <v>1321.33</v>
      </c>
      <c r="K876" cm="1">
        <f t="array" ref="K876">_xlfn.SWITCH(LeadsData[[#This Row],[Funnel Stage Reached]],"Lead",1,"MQL",2,"SQL",3,"Customer",4)</f>
        <v>4</v>
      </c>
      <c r="L876" t="str">
        <f>TEXT(LeadsData[[#This Row],[Signup Date]],"mmm-yyyy")</f>
        <v>Apr-2024</v>
      </c>
      <c r="M876">
        <f>IF(LeadsData[[#This Row],[Stage Number]]&gt;=2,1,0)</f>
        <v>1</v>
      </c>
      <c r="N876" s="2">
        <f>IF(LeadsData[[#This Row],[Stage Number]]&gt;=3,1,0)</f>
        <v>1</v>
      </c>
      <c r="O876" s="2">
        <f>IF(LeadsData[[#This Row],[Stage Number]]&gt;=4,1,0)</f>
        <v>1</v>
      </c>
    </row>
    <row r="877" spans="1:15" x14ac:dyDescent="0.25">
      <c r="A877" t="s">
        <v>917</v>
      </c>
      <c r="B877" s="1">
        <v>45527</v>
      </c>
      <c r="C877" t="s">
        <v>36</v>
      </c>
      <c r="D877" t="s">
        <v>37</v>
      </c>
      <c r="E877" t="s">
        <v>13</v>
      </c>
      <c r="F877" t="s">
        <v>22</v>
      </c>
      <c r="G877" t="s">
        <v>29</v>
      </c>
      <c r="K877" cm="1">
        <f t="array" ref="K877">_xlfn.SWITCH(LeadsData[[#This Row],[Funnel Stage Reached]],"Lead",1,"MQL",2,"SQL",3,"Customer",4)</f>
        <v>3</v>
      </c>
      <c r="L877" t="str">
        <f>TEXT(LeadsData[[#This Row],[Signup Date]],"mmm-yyyy")</f>
        <v>Aug-2024</v>
      </c>
      <c r="M877">
        <f>IF(LeadsData[[#This Row],[Stage Number]]&gt;=2,1,0)</f>
        <v>1</v>
      </c>
      <c r="N877" s="2">
        <f>IF(LeadsData[[#This Row],[Stage Number]]&gt;=3,1,0)</f>
        <v>1</v>
      </c>
      <c r="O877" s="2">
        <f>IF(LeadsData[[#This Row],[Stage Number]]&gt;=4,1,0)</f>
        <v>0</v>
      </c>
    </row>
    <row r="878" spans="1:15" x14ac:dyDescent="0.25">
      <c r="A878" t="s">
        <v>918</v>
      </c>
      <c r="B878" s="1">
        <v>45585</v>
      </c>
      <c r="C878" t="s">
        <v>25</v>
      </c>
      <c r="D878" t="s">
        <v>26</v>
      </c>
      <c r="E878" t="s">
        <v>48</v>
      </c>
      <c r="F878" t="s">
        <v>14</v>
      </c>
      <c r="G878" t="s">
        <v>29</v>
      </c>
      <c r="K878" cm="1">
        <f t="array" ref="K878">_xlfn.SWITCH(LeadsData[[#This Row],[Funnel Stage Reached]],"Lead",1,"MQL",2,"SQL",3,"Customer",4)</f>
        <v>3</v>
      </c>
      <c r="L878" t="str">
        <f>TEXT(LeadsData[[#This Row],[Signup Date]],"mmm-yyyy")</f>
        <v>Oct-2024</v>
      </c>
      <c r="M878">
        <f>IF(LeadsData[[#This Row],[Stage Number]]&gt;=2,1,0)</f>
        <v>1</v>
      </c>
      <c r="N878" s="2">
        <f>IF(LeadsData[[#This Row],[Stage Number]]&gt;=3,1,0)</f>
        <v>1</v>
      </c>
      <c r="O878" s="2">
        <f>IF(LeadsData[[#This Row],[Stage Number]]&gt;=4,1,0)</f>
        <v>0</v>
      </c>
    </row>
    <row r="879" spans="1:15" x14ac:dyDescent="0.25">
      <c r="A879" t="s">
        <v>919</v>
      </c>
      <c r="B879" s="1">
        <v>45426</v>
      </c>
      <c r="C879" t="s">
        <v>25</v>
      </c>
      <c r="D879" t="s">
        <v>26</v>
      </c>
      <c r="E879" t="s">
        <v>13</v>
      </c>
      <c r="F879" t="s">
        <v>22</v>
      </c>
      <c r="G879" t="s">
        <v>15</v>
      </c>
      <c r="K879" cm="1">
        <f t="array" ref="K879">_xlfn.SWITCH(LeadsData[[#This Row],[Funnel Stage Reached]],"Lead",1,"MQL",2,"SQL",3,"Customer",4)</f>
        <v>1</v>
      </c>
      <c r="L879" t="str">
        <f>TEXT(LeadsData[[#This Row],[Signup Date]],"mmm-yyyy")</f>
        <v>May-2024</v>
      </c>
      <c r="M879">
        <f>IF(LeadsData[[#This Row],[Stage Number]]&gt;=2,1,0)</f>
        <v>0</v>
      </c>
      <c r="N879" s="2">
        <f>IF(LeadsData[[#This Row],[Stage Number]]&gt;=3,1,0)</f>
        <v>0</v>
      </c>
      <c r="O879" s="2">
        <f>IF(LeadsData[[#This Row],[Stage Number]]&gt;=4,1,0)</f>
        <v>0</v>
      </c>
    </row>
    <row r="880" spans="1:15" x14ac:dyDescent="0.25">
      <c r="A880" t="s">
        <v>920</v>
      </c>
      <c r="B880" s="1">
        <v>45457</v>
      </c>
      <c r="C880" t="s">
        <v>31</v>
      </c>
      <c r="D880" t="s">
        <v>34</v>
      </c>
      <c r="E880" t="s">
        <v>21</v>
      </c>
      <c r="F880" t="s">
        <v>14</v>
      </c>
      <c r="G880" t="s">
        <v>15</v>
      </c>
      <c r="K880" cm="1">
        <f t="array" ref="K880">_xlfn.SWITCH(LeadsData[[#This Row],[Funnel Stage Reached]],"Lead",1,"MQL",2,"SQL",3,"Customer",4)</f>
        <v>1</v>
      </c>
      <c r="L880" t="str">
        <f>TEXT(LeadsData[[#This Row],[Signup Date]],"mmm-yyyy")</f>
        <v>Jun-2024</v>
      </c>
      <c r="M880">
        <f>IF(LeadsData[[#This Row],[Stage Number]]&gt;=2,1,0)</f>
        <v>0</v>
      </c>
      <c r="N880" s="2">
        <f>IF(LeadsData[[#This Row],[Stage Number]]&gt;=3,1,0)</f>
        <v>0</v>
      </c>
      <c r="O880" s="2">
        <f>IF(LeadsData[[#This Row],[Stage Number]]&gt;=4,1,0)</f>
        <v>0</v>
      </c>
    </row>
    <row r="881" spans="1:15" x14ac:dyDescent="0.25">
      <c r="A881" t="s">
        <v>921</v>
      </c>
      <c r="B881" s="1">
        <v>45514</v>
      </c>
      <c r="C881" t="s">
        <v>36</v>
      </c>
      <c r="D881" t="s">
        <v>37</v>
      </c>
      <c r="E881" t="s">
        <v>21</v>
      </c>
      <c r="F881" t="s">
        <v>19</v>
      </c>
      <c r="G881" t="s">
        <v>23</v>
      </c>
      <c r="K881" cm="1">
        <f t="array" ref="K881">_xlfn.SWITCH(LeadsData[[#This Row],[Funnel Stage Reached]],"Lead",1,"MQL",2,"SQL",3,"Customer",4)</f>
        <v>2</v>
      </c>
      <c r="L881" t="str">
        <f>TEXT(LeadsData[[#This Row],[Signup Date]],"mmm-yyyy")</f>
        <v>Aug-2024</v>
      </c>
      <c r="M881">
        <f>IF(LeadsData[[#This Row],[Stage Number]]&gt;=2,1,0)</f>
        <v>1</v>
      </c>
      <c r="N881" s="2">
        <f>IF(LeadsData[[#This Row],[Stage Number]]&gt;=3,1,0)</f>
        <v>0</v>
      </c>
      <c r="O881" s="2">
        <f>IF(LeadsData[[#This Row],[Stage Number]]&gt;=4,1,0)</f>
        <v>0</v>
      </c>
    </row>
    <row r="882" spans="1:15" x14ac:dyDescent="0.25">
      <c r="A882" t="s">
        <v>922</v>
      </c>
      <c r="B882" s="1">
        <v>45384</v>
      </c>
      <c r="C882" t="s">
        <v>25</v>
      </c>
      <c r="D882" t="s">
        <v>26</v>
      </c>
      <c r="E882" t="s">
        <v>13</v>
      </c>
      <c r="F882" t="s">
        <v>19</v>
      </c>
      <c r="G882" t="s">
        <v>15</v>
      </c>
      <c r="K882" cm="1">
        <f t="array" ref="K882">_xlfn.SWITCH(LeadsData[[#This Row],[Funnel Stage Reached]],"Lead",1,"MQL",2,"SQL",3,"Customer",4)</f>
        <v>1</v>
      </c>
      <c r="L882" t="str">
        <f>TEXT(LeadsData[[#This Row],[Signup Date]],"mmm-yyyy")</f>
        <v>Apr-2024</v>
      </c>
      <c r="M882">
        <f>IF(LeadsData[[#This Row],[Stage Number]]&gt;=2,1,0)</f>
        <v>0</v>
      </c>
      <c r="N882" s="2">
        <f>IF(LeadsData[[#This Row],[Stage Number]]&gt;=3,1,0)</f>
        <v>0</v>
      </c>
      <c r="O882" s="2">
        <f>IF(LeadsData[[#This Row],[Stage Number]]&gt;=4,1,0)</f>
        <v>0</v>
      </c>
    </row>
    <row r="883" spans="1:15" x14ac:dyDescent="0.25">
      <c r="A883" t="s">
        <v>923</v>
      </c>
      <c r="B883" s="1">
        <v>45651</v>
      </c>
      <c r="C883" t="s">
        <v>17</v>
      </c>
      <c r="D883" t="s">
        <v>53</v>
      </c>
      <c r="E883" t="s">
        <v>13</v>
      </c>
      <c r="F883" t="s">
        <v>22</v>
      </c>
      <c r="G883" t="s">
        <v>15</v>
      </c>
      <c r="K883" cm="1">
        <f t="array" ref="K883">_xlfn.SWITCH(LeadsData[[#This Row],[Funnel Stage Reached]],"Lead",1,"MQL",2,"SQL",3,"Customer",4)</f>
        <v>1</v>
      </c>
      <c r="L883" t="str">
        <f>TEXT(LeadsData[[#This Row],[Signup Date]],"mmm-yyyy")</f>
        <v>Dec-2024</v>
      </c>
      <c r="M883">
        <f>IF(LeadsData[[#This Row],[Stage Number]]&gt;=2,1,0)</f>
        <v>0</v>
      </c>
      <c r="N883" s="2">
        <f>IF(LeadsData[[#This Row],[Stage Number]]&gt;=3,1,0)</f>
        <v>0</v>
      </c>
      <c r="O883" s="2">
        <f>IF(LeadsData[[#This Row],[Stage Number]]&gt;=4,1,0)</f>
        <v>0</v>
      </c>
    </row>
    <row r="884" spans="1:15" x14ac:dyDescent="0.25">
      <c r="A884" t="s">
        <v>924</v>
      </c>
      <c r="B884" s="1">
        <v>45395</v>
      </c>
      <c r="C884" t="s">
        <v>25</v>
      </c>
      <c r="D884" t="s">
        <v>26</v>
      </c>
      <c r="E884" t="s">
        <v>21</v>
      </c>
      <c r="F884" t="s">
        <v>22</v>
      </c>
      <c r="G884" t="s">
        <v>23</v>
      </c>
      <c r="K884" cm="1">
        <f t="array" ref="K884">_xlfn.SWITCH(LeadsData[[#This Row],[Funnel Stage Reached]],"Lead",1,"MQL",2,"SQL",3,"Customer",4)</f>
        <v>2</v>
      </c>
      <c r="L884" t="str">
        <f>TEXT(LeadsData[[#This Row],[Signup Date]],"mmm-yyyy")</f>
        <v>Apr-2024</v>
      </c>
      <c r="M884">
        <f>IF(LeadsData[[#This Row],[Stage Number]]&gt;=2,1,0)</f>
        <v>1</v>
      </c>
      <c r="N884" s="2">
        <f>IF(LeadsData[[#This Row],[Stage Number]]&gt;=3,1,0)</f>
        <v>0</v>
      </c>
      <c r="O884" s="2">
        <f>IF(LeadsData[[#This Row],[Stage Number]]&gt;=4,1,0)</f>
        <v>0</v>
      </c>
    </row>
    <row r="885" spans="1:15" x14ac:dyDescent="0.25">
      <c r="A885" t="s">
        <v>925</v>
      </c>
      <c r="B885" s="1">
        <v>45294</v>
      </c>
      <c r="C885" t="s">
        <v>36</v>
      </c>
      <c r="D885" t="s">
        <v>50</v>
      </c>
      <c r="E885" t="s">
        <v>13</v>
      </c>
      <c r="F885" t="s">
        <v>19</v>
      </c>
      <c r="G885" t="s">
        <v>42</v>
      </c>
      <c r="H885">
        <v>34</v>
      </c>
      <c r="I885" t="s">
        <v>43</v>
      </c>
      <c r="J885">
        <v>1369.47</v>
      </c>
      <c r="K885" cm="1">
        <f t="array" ref="K885">_xlfn.SWITCH(LeadsData[[#This Row],[Funnel Stage Reached]],"Lead",1,"MQL",2,"SQL",3,"Customer",4)</f>
        <v>4</v>
      </c>
      <c r="L885" t="str">
        <f>TEXT(LeadsData[[#This Row],[Signup Date]],"mmm-yyyy")</f>
        <v>Jan-2024</v>
      </c>
      <c r="M885">
        <f>IF(LeadsData[[#This Row],[Stage Number]]&gt;=2,1,0)</f>
        <v>1</v>
      </c>
      <c r="N885" s="2">
        <f>IF(LeadsData[[#This Row],[Stage Number]]&gt;=3,1,0)</f>
        <v>1</v>
      </c>
      <c r="O885" s="2">
        <f>IF(LeadsData[[#This Row],[Stage Number]]&gt;=4,1,0)</f>
        <v>1</v>
      </c>
    </row>
    <row r="886" spans="1:15" x14ac:dyDescent="0.25">
      <c r="A886" t="s">
        <v>926</v>
      </c>
      <c r="B886" s="1">
        <v>45638</v>
      </c>
      <c r="C886" t="s">
        <v>46</v>
      </c>
      <c r="D886" t="s">
        <v>47</v>
      </c>
      <c r="E886" t="s">
        <v>13</v>
      </c>
      <c r="F886" t="s">
        <v>22</v>
      </c>
      <c r="G886" t="s">
        <v>23</v>
      </c>
      <c r="K886" cm="1">
        <f t="array" ref="K886">_xlfn.SWITCH(LeadsData[[#This Row],[Funnel Stage Reached]],"Lead",1,"MQL",2,"SQL",3,"Customer",4)</f>
        <v>2</v>
      </c>
      <c r="L886" t="str">
        <f>TEXT(LeadsData[[#This Row],[Signup Date]],"mmm-yyyy")</f>
        <v>Dec-2024</v>
      </c>
      <c r="M886">
        <f>IF(LeadsData[[#This Row],[Stage Number]]&gt;=2,1,0)</f>
        <v>1</v>
      </c>
      <c r="N886" s="2">
        <f>IF(LeadsData[[#This Row],[Stage Number]]&gt;=3,1,0)</f>
        <v>0</v>
      </c>
      <c r="O886" s="2">
        <f>IF(LeadsData[[#This Row],[Stage Number]]&gt;=4,1,0)</f>
        <v>0</v>
      </c>
    </row>
    <row r="887" spans="1:15" x14ac:dyDescent="0.25">
      <c r="A887" t="s">
        <v>927</v>
      </c>
      <c r="B887" s="1">
        <v>45342</v>
      </c>
      <c r="C887" t="s">
        <v>46</v>
      </c>
      <c r="D887" t="s">
        <v>47</v>
      </c>
      <c r="E887" t="s">
        <v>21</v>
      </c>
      <c r="F887" t="s">
        <v>19</v>
      </c>
      <c r="G887" t="s">
        <v>42</v>
      </c>
      <c r="H887">
        <v>51</v>
      </c>
      <c r="I887" t="s">
        <v>183</v>
      </c>
      <c r="J887">
        <v>7518.31</v>
      </c>
      <c r="K887" cm="1">
        <f t="array" ref="K887">_xlfn.SWITCH(LeadsData[[#This Row],[Funnel Stage Reached]],"Lead",1,"MQL",2,"SQL",3,"Customer",4)</f>
        <v>4</v>
      </c>
      <c r="L887" t="str">
        <f>TEXT(LeadsData[[#This Row],[Signup Date]],"mmm-yyyy")</f>
        <v>Feb-2024</v>
      </c>
      <c r="M887">
        <f>IF(LeadsData[[#This Row],[Stage Number]]&gt;=2,1,0)</f>
        <v>1</v>
      </c>
      <c r="N887" s="2">
        <f>IF(LeadsData[[#This Row],[Stage Number]]&gt;=3,1,0)</f>
        <v>1</v>
      </c>
      <c r="O887" s="2">
        <f>IF(LeadsData[[#This Row],[Stage Number]]&gt;=4,1,0)</f>
        <v>1</v>
      </c>
    </row>
    <row r="888" spans="1:15" x14ac:dyDescent="0.25">
      <c r="A888" t="s">
        <v>928</v>
      </c>
      <c r="B888" s="1">
        <v>45506</v>
      </c>
      <c r="C888" t="s">
        <v>11</v>
      </c>
      <c r="D888" t="s">
        <v>79</v>
      </c>
      <c r="E888" t="s">
        <v>21</v>
      </c>
      <c r="F888" t="s">
        <v>22</v>
      </c>
      <c r="G888" t="s">
        <v>15</v>
      </c>
      <c r="K888" cm="1">
        <f t="array" ref="K888">_xlfn.SWITCH(LeadsData[[#This Row],[Funnel Stage Reached]],"Lead",1,"MQL",2,"SQL",3,"Customer",4)</f>
        <v>1</v>
      </c>
      <c r="L888" t="str">
        <f>TEXT(LeadsData[[#This Row],[Signup Date]],"mmm-yyyy")</f>
        <v>Aug-2024</v>
      </c>
      <c r="M888">
        <f>IF(LeadsData[[#This Row],[Stage Number]]&gt;=2,1,0)</f>
        <v>0</v>
      </c>
      <c r="N888" s="2">
        <f>IF(LeadsData[[#This Row],[Stage Number]]&gt;=3,1,0)</f>
        <v>0</v>
      </c>
      <c r="O888" s="2">
        <f>IF(LeadsData[[#This Row],[Stage Number]]&gt;=4,1,0)</f>
        <v>0</v>
      </c>
    </row>
    <row r="889" spans="1:15" x14ac:dyDescent="0.25">
      <c r="A889" t="s">
        <v>929</v>
      </c>
      <c r="B889" s="1">
        <v>45376</v>
      </c>
      <c r="C889" t="s">
        <v>36</v>
      </c>
      <c r="D889" t="s">
        <v>50</v>
      </c>
      <c r="E889" t="s">
        <v>21</v>
      </c>
      <c r="F889" t="s">
        <v>19</v>
      </c>
      <c r="G889" t="s">
        <v>29</v>
      </c>
      <c r="K889" cm="1">
        <f t="array" ref="K889">_xlfn.SWITCH(LeadsData[[#This Row],[Funnel Stage Reached]],"Lead",1,"MQL",2,"SQL",3,"Customer",4)</f>
        <v>3</v>
      </c>
      <c r="L889" t="str">
        <f>TEXT(LeadsData[[#This Row],[Signup Date]],"mmm-yyyy")</f>
        <v>Mar-2024</v>
      </c>
      <c r="M889">
        <f>IF(LeadsData[[#This Row],[Stage Number]]&gt;=2,1,0)</f>
        <v>1</v>
      </c>
      <c r="N889" s="2">
        <f>IF(LeadsData[[#This Row],[Stage Number]]&gt;=3,1,0)</f>
        <v>1</v>
      </c>
      <c r="O889" s="2">
        <f>IF(LeadsData[[#This Row],[Stage Number]]&gt;=4,1,0)</f>
        <v>0</v>
      </c>
    </row>
    <row r="890" spans="1:15" x14ac:dyDescent="0.25">
      <c r="A890" t="s">
        <v>930</v>
      </c>
      <c r="B890" s="1">
        <v>45636</v>
      </c>
      <c r="C890" t="s">
        <v>17</v>
      </c>
      <c r="D890" t="s">
        <v>18</v>
      </c>
      <c r="E890" t="s">
        <v>13</v>
      </c>
      <c r="F890" t="s">
        <v>28</v>
      </c>
      <c r="G890" t="s">
        <v>15</v>
      </c>
      <c r="K890" cm="1">
        <f t="array" ref="K890">_xlfn.SWITCH(LeadsData[[#This Row],[Funnel Stage Reached]],"Lead",1,"MQL",2,"SQL",3,"Customer",4)</f>
        <v>1</v>
      </c>
      <c r="L890" t="str">
        <f>TEXT(LeadsData[[#This Row],[Signup Date]],"mmm-yyyy")</f>
        <v>Dec-2024</v>
      </c>
      <c r="M890">
        <f>IF(LeadsData[[#This Row],[Stage Number]]&gt;=2,1,0)</f>
        <v>0</v>
      </c>
      <c r="N890" s="2">
        <f>IF(LeadsData[[#This Row],[Stage Number]]&gt;=3,1,0)</f>
        <v>0</v>
      </c>
      <c r="O890" s="2">
        <f>IF(LeadsData[[#This Row],[Stage Number]]&gt;=4,1,0)</f>
        <v>0</v>
      </c>
    </row>
    <row r="891" spans="1:15" x14ac:dyDescent="0.25">
      <c r="A891" t="s">
        <v>931</v>
      </c>
      <c r="B891" s="1">
        <v>45341</v>
      </c>
      <c r="C891" t="s">
        <v>31</v>
      </c>
      <c r="D891" t="s">
        <v>34</v>
      </c>
      <c r="E891" t="s">
        <v>13</v>
      </c>
      <c r="F891" t="s">
        <v>14</v>
      </c>
      <c r="G891" t="s">
        <v>23</v>
      </c>
      <c r="K891" cm="1">
        <f t="array" ref="K891">_xlfn.SWITCH(LeadsData[[#This Row],[Funnel Stage Reached]],"Lead",1,"MQL",2,"SQL",3,"Customer",4)</f>
        <v>2</v>
      </c>
      <c r="L891" t="str">
        <f>TEXT(LeadsData[[#This Row],[Signup Date]],"mmm-yyyy")</f>
        <v>Feb-2024</v>
      </c>
      <c r="M891">
        <f>IF(LeadsData[[#This Row],[Stage Number]]&gt;=2,1,0)</f>
        <v>1</v>
      </c>
      <c r="N891" s="2">
        <f>IF(LeadsData[[#This Row],[Stage Number]]&gt;=3,1,0)</f>
        <v>0</v>
      </c>
      <c r="O891" s="2">
        <f>IF(LeadsData[[#This Row],[Stage Number]]&gt;=4,1,0)</f>
        <v>0</v>
      </c>
    </row>
    <row r="892" spans="1:15" x14ac:dyDescent="0.25">
      <c r="A892" t="s">
        <v>932</v>
      </c>
      <c r="B892" s="1">
        <v>45299</v>
      </c>
      <c r="C892" t="s">
        <v>31</v>
      </c>
      <c r="D892" t="s">
        <v>32</v>
      </c>
      <c r="E892" t="s">
        <v>13</v>
      </c>
      <c r="F892" t="s">
        <v>19</v>
      </c>
      <c r="G892" t="s">
        <v>23</v>
      </c>
      <c r="K892" cm="1">
        <f t="array" ref="K892">_xlfn.SWITCH(LeadsData[[#This Row],[Funnel Stage Reached]],"Lead",1,"MQL",2,"SQL",3,"Customer",4)</f>
        <v>2</v>
      </c>
      <c r="L892" t="str">
        <f>TEXT(LeadsData[[#This Row],[Signup Date]],"mmm-yyyy")</f>
        <v>Jan-2024</v>
      </c>
      <c r="M892">
        <f>IF(LeadsData[[#This Row],[Stage Number]]&gt;=2,1,0)</f>
        <v>1</v>
      </c>
      <c r="N892" s="2">
        <f>IF(LeadsData[[#This Row],[Stage Number]]&gt;=3,1,0)</f>
        <v>0</v>
      </c>
      <c r="O892" s="2">
        <f>IF(LeadsData[[#This Row],[Stage Number]]&gt;=4,1,0)</f>
        <v>0</v>
      </c>
    </row>
    <row r="893" spans="1:15" x14ac:dyDescent="0.25">
      <c r="A893" t="s">
        <v>933</v>
      </c>
      <c r="B893" s="1">
        <v>45350</v>
      </c>
      <c r="C893" t="s">
        <v>31</v>
      </c>
      <c r="D893" t="s">
        <v>34</v>
      </c>
      <c r="E893" t="s">
        <v>13</v>
      </c>
      <c r="F893" t="s">
        <v>19</v>
      </c>
      <c r="G893" t="s">
        <v>23</v>
      </c>
      <c r="K893" cm="1">
        <f t="array" ref="K893">_xlfn.SWITCH(LeadsData[[#This Row],[Funnel Stage Reached]],"Lead",1,"MQL",2,"SQL",3,"Customer",4)</f>
        <v>2</v>
      </c>
      <c r="L893" t="str">
        <f>TEXT(LeadsData[[#This Row],[Signup Date]],"mmm-yyyy")</f>
        <v>Feb-2024</v>
      </c>
      <c r="M893">
        <f>IF(LeadsData[[#This Row],[Stage Number]]&gt;=2,1,0)</f>
        <v>1</v>
      </c>
      <c r="N893" s="2">
        <f>IF(LeadsData[[#This Row],[Stage Number]]&gt;=3,1,0)</f>
        <v>0</v>
      </c>
      <c r="O893" s="2">
        <f>IF(LeadsData[[#This Row],[Stage Number]]&gt;=4,1,0)</f>
        <v>0</v>
      </c>
    </row>
    <row r="894" spans="1:15" x14ac:dyDescent="0.25">
      <c r="A894" t="s">
        <v>934</v>
      </c>
      <c r="B894" s="1">
        <v>45410</v>
      </c>
      <c r="C894" t="s">
        <v>17</v>
      </c>
      <c r="D894" t="s">
        <v>18</v>
      </c>
      <c r="E894" t="s">
        <v>13</v>
      </c>
      <c r="F894" t="s">
        <v>19</v>
      </c>
      <c r="G894" t="s">
        <v>29</v>
      </c>
      <c r="K894" cm="1">
        <f t="array" ref="K894">_xlfn.SWITCH(LeadsData[[#This Row],[Funnel Stage Reached]],"Lead",1,"MQL",2,"SQL",3,"Customer",4)</f>
        <v>3</v>
      </c>
      <c r="L894" t="str">
        <f>TEXT(LeadsData[[#This Row],[Signup Date]],"mmm-yyyy")</f>
        <v>Apr-2024</v>
      </c>
      <c r="M894">
        <f>IF(LeadsData[[#This Row],[Stage Number]]&gt;=2,1,0)</f>
        <v>1</v>
      </c>
      <c r="N894" s="2">
        <f>IF(LeadsData[[#This Row],[Stage Number]]&gt;=3,1,0)</f>
        <v>1</v>
      </c>
      <c r="O894" s="2">
        <f>IF(LeadsData[[#This Row],[Stage Number]]&gt;=4,1,0)</f>
        <v>0</v>
      </c>
    </row>
    <row r="895" spans="1:15" x14ac:dyDescent="0.25">
      <c r="A895" t="s">
        <v>935</v>
      </c>
      <c r="B895" s="1">
        <v>45369</v>
      </c>
      <c r="C895" t="s">
        <v>17</v>
      </c>
      <c r="D895" t="s">
        <v>53</v>
      </c>
      <c r="E895" t="s">
        <v>21</v>
      </c>
      <c r="F895" t="s">
        <v>19</v>
      </c>
      <c r="G895" t="s">
        <v>15</v>
      </c>
      <c r="K895" cm="1">
        <f t="array" ref="K895">_xlfn.SWITCH(LeadsData[[#This Row],[Funnel Stage Reached]],"Lead",1,"MQL",2,"SQL",3,"Customer",4)</f>
        <v>1</v>
      </c>
      <c r="L895" t="str">
        <f>TEXT(LeadsData[[#This Row],[Signup Date]],"mmm-yyyy")</f>
        <v>Mar-2024</v>
      </c>
      <c r="M895">
        <f>IF(LeadsData[[#This Row],[Stage Number]]&gt;=2,1,0)</f>
        <v>0</v>
      </c>
      <c r="N895" s="2">
        <f>IF(LeadsData[[#This Row],[Stage Number]]&gt;=3,1,0)</f>
        <v>0</v>
      </c>
      <c r="O895" s="2">
        <f>IF(LeadsData[[#This Row],[Stage Number]]&gt;=4,1,0)</f>
        <v>0</v>
      </c>
    </row>
    <row r="896" spans="1:15" x14ac:dyDescent="0.25">
      <c r="A896" t="s">
        <v>936</v>
      </c>
      <c r="B896" s="1">
        <v>45310</v>
      </c>
      <c r="C896" t="s">
        <v>11</v>
      </c>
      <c r="D896" t="s">
        <v>68</v>
      </c>
      <c r="E896" t="s">
        <v>21</v>
      </c>
      <c r="F896" t="s">
        <v>14</v>
      </c>
      <c r="G896" t="s">
        <v>15</v>
      </c>
      <c r="K896" cm="1">
        <f t="array" ref="K896">_xlfn.SWITCH(LeadsData[[#This Row],[Funnel Stage Reached]],"Lead",1,"MQL",2,"SQL",3,"Customer",4)</f>
        <v>1</v>
      </c>
      <c r="L896" t="str">
        <f>TEXT(LeadsData[[#This Row],[Signup Date]],"mmm-yyyy")</f>
        <v>Jan-2024</v>
      </c>
      <c r="M896">
        <f>IF(LeadsData[[#This Row],[Stage Number]]&gt;=2,1,0)</f>
        <v>0</v>
      </c>
      <c r="N896" s="2">
        <f>IF(LeadsData[[#This Row],[Stage Number]]&gt;=3,1,0)</f>
        <v>0</v>
      </c>
      <c r="O896" s="2">
        <f>IF(LeadsData[[#This Row],[Stage Number]]&gt;=4,1,0)</f>
        <v>0</v>
      </c>
    </row>
    <row r="897" spans="1:15" x14ac:dyDescent="0.25">
      <c r="A897" t="s">
        <v>937</v>
      </c>
      <c r="B897" s="1">
        <v>45363</v>
      </c>
      <c r="C897" t="s">
        <v>36</v>
      </c>
      <c r="D897" t="s">
        <v>50</v>
      </c>
      <c r="E897" t="s">
        <v>13</v>
      </c>
      <c r="F897" t="s">
        <v>22</v>
      </c>
      <c r="G897" t="s">
        <v>42</v>
      </c>
      <c r="H897">
        <v>36</v>
      </c>
      <c r="I897" t="s">
        <v>43</v>
      </c>
      <c r="J897">
        <v>571.35</v>
      </c>
      <c r="K897" cm="1">
        <f t="array" ref="K897">_xlfn.SWITCH(LeadsData[[#This Row],[Funnel Stage Reached]],"Lead",1,"MQL",2,"SQL",3,"Customer",4)</f>
        <v>4</v>
      </c>
      <c r="L897" t="str">
        <f>TEXT(LeadsData[[#This Row],[Signup Date]],"mmm-yyyy")</f>
        <v>Mar-2024</v>
      </c>
      <c r="M897">
        <f>IF(LeadsData[[#This Row],[Stage Number]]&gt;=2,1,0)</f>
        <v>1</v>
      </c>
      <c r="N897" s="2">
        <f>IF(LeadsData[[#This Row],[Stage Number]]&gt;=3,1,0)</f>
        <v>1</v>
      </c>
      <c r="O897" s="2">
        <f>IF(LeadsData[[#This Row],[Stage Number]]&gt;=4,1,0)</f>
        <v>1</v>
      </c>
    </row>
    <row r="898" spans="1:15" x14ac:dyDescent="0.25">
      <c r="A898" t="s">
        <v>938</v>
      </c>
      <c r="B898" s="1">
        <v>45302</v>
      </c>
      <c r="C898" t="s">
        <v>11</v>
      </c>
      <c r="D898" t="s">
        <v>68</v>
      </c>
      <c r="E898" t="s">
        <v>13</v>
      </c>
      <c r="F898" t="s">
        <v>19</v>
      </c>
      <c r="G898" t="s">
        <v>15</v>
      </c>
      <c r="K898" cm="1">
        <f t="array" ref="K898">_xlfn.SWITCH(LeadsData[[#This Row],[Funnel Stage Reached]],"Lead",1,"MQL",2,"SQL",3,"Customer",4)</f>
        <v>1</v>
      </c>
      <c r="L898" t="str">
        <f>TEXT(LeadsData[[#This Row],[Signup Date]],"mmm-yyyy")</f>
        <v>Jan-2024</v>
      </c>
      <c r="M898">
        <f>IF(LeadsData[[#This Row],[Stage Number]]&gt;=2,1,0)</f>
        <v>0</v>
      </c>
      <c r="N898" s="2">
        <f>IF(LeadsData[[#This Row],[Stage Number]]&gt;=3,1,0)</f>
        <v>0</v>
      </c>
      <c r="O898" s="2">
        <f>IF(LeadsData[[#This Row],[Stage Number]]&gt;=4,1,0)</f>
        <v>0</v>
      </c>
    </row>
    <row r="899" spans="1:15" x14ac:dyDescent="0.25">
      <c r="A899" t="s">
        <v>939</v>
      </c>
      <c r="B899" s="1">
        <v>45641</v>
      </c>
      <c r="C899" t="s">
        <v>31</v>
      </c>
      <c r="D899" t="s">
        <v>34</v>
      </c>
      <c r="E899" t="s">
        <v>13</v>
      </c>
      <c r="F899" t="s">
        <v>19</v>
      </c>
      <c r="G899" t="s">
        <v>42</v>
      </c>
      <c r="H899">
        <v>10</v>
      </c>
      <c r="I899" t="s">
        <v>43</v>
      </c>
      <c r="J899">
        <v>1492.9</v>
      </c>
      <c r="K899" cm="1">
        <f t="array" ref="K899">_xlfn.SWITCH(LeadsData[[#This Row],[Funnel Stage Reached]],"Lead",1,"MQL",2,"SQL",3,"Customer",4)</f>
        <v>4</v>
      </c>
      <c r="L899" t="str">
        <f>TEXT(LeadsData[[#This Row],[Signup Date]],"mmm-yyyy")</f>
        <v>Dec-2024</v>
      </c>
      <c r="M899">
        <f>IF(LeadsData[[#This Row],[Stage Number]]&gt;=2,1,0)</f>
        <v>1</v>
      </c>
      <c r="N899" s="2">
        <f>IF(LeadsData[[#This Row],[Stage Number]]&gt;=3,1,0)</f>
        <v>1</v>
      </c>
      <c r="O899" s="2">
        <f>IF(LeadsData[[#This Row],[Stage Number]]&gt;=4,1,0)</f>
        <v>1</v>
      </c>
    </row>
    <row r="900" spans="1:15" x14ac:dyDescent="0.25">
      <c r="A900" t="s">
        <v>940</v>
      </c>
      <c r="B900" s="1">
        <v>45421</v>
      </c>
      <c r="C900" t="s">
        <v>11</v>
      </c>
      <c r="D900" t="s">
        <v>68</v>
      </c>
      <c r="E900" t="s">
        <v>13</v>
      </c>
      <c r="F900" t="s">
        <v>22</v>
      </c>
      <c r="G900" t="s">
        <v>23</v>
      </c>
      <c r="K900" cm="1">
        <f t="array" ref="K900">_xlfn.SWITCH(LeadsData[[#This Row],[Funnel Stage Reached]],"Lead",1,"MQL",2,"SQL",3,"Customer",4)</f>
        <v>2</v>
      </c>
      <c r="L900" t="str">
        <f>TEXT(LeadsData[[#This Row],[Signup Date]],"mmm-yyyy")</f>
        <v>May-2024</v>
      </c>
      <c r="M900">
        <f>IF(LeadsData[[#This Row],[Stage Number]]&gt;=2,1,0)</f>
        <v>1</v>
      </c>
      <c r="N900" s="2">
        <f>IF(LeadsData[[#This Row],[Stage Number]]&gt;=3,1,0)</f>
        <v>0</v>
      </c>
      <c r="O900" s="2">
        <f>IF(LeadsData[[#This Row],[Stage Number]]&gt;=4,1,0)</f>
        <v>0</v>
      </c>
    </row>
    <row r="901" spans="1:15" x14ac:dyDescent="0.25">
      <c r="A901" t="s">
        <v>941</v>
      </c>
      <c r="B901" s="1">
        <v>45538</v>
      </c>
      <c r="C901" t="s">
        <v>36</v>
      </c>
      <c r="D901" t="s">
        <v>50</v>
      </c>
      <c r="E901" t="s">
        <v>21</v>
      </c>
      <c r="F901" t="s">
        <v>14</v>
      </c>
      <c r="G901" t="s">
        <v>42</v>
      </c>
      <c r="H901">
        <v>49</v>
      </c>
      <c r="I901" t="s">
        <v>43</v>
      </c>
      <c r="J901">
        <v>1306.51</v>
      </c>
      <c r="K901" cm="1">
        <f t="array" ref="K901">_xlfn.SWITCH(LeadsData[[#This Row],[Funnel Stage Reached]],"Lead",1,"MQL",2,"SQL",3,"Customer",4)</f>
        <v>4</v>
      </c>
      <c r="L901" t="str">
        <f>TEXT(LeadsData[[#This Row],[Signup Date]],"mmm-yyyy")</f>
        <v>Sep-2024</v>
      </c>
      <c r="M901">
        <f>IF(LeadsData[[#This Row],[Stage Number]]&gt;=2,1,0)</f>
        <v>1</v>
      </c>
      <c r="N901" s="2">
        <f>IF(LeadsData[[#This Row],[Stage Number]]&gt;=3,1,0)</f>
        <v>1</v>
      </c>
      <c r="O901" s="2">
        <f>IF(LeadsData[[#This Row],[Stage Number]]&gt;=4,1,0)</f>
        <v>1</v>
      </c>
    </row>
    <row r="902" spans="1:15" x14ac:dyDescent="0.25">
      <c r="A902" t="s">
        <v>942</v>
      </c>
      <c r="B902" s="1">
        <v>45429</v>
      </c>
      <c r="C902" t="s">
        <v>31</v>
      </c>
      <c r="D902" t="s">
        <v>34</v>
      </c>
      <c r="E902" t="s">
        <v>21</v>
      </c>
      <c r="F902" t="s">
        <v>19</v>
      </c>
      <c r="G902" t="s">
        <v>23</v>
      </c>
      <c r="K902" cm="1">
        <f t="array" ref="K902">_xlfn.SWITCH(LeadsData[[#This Row],[Funnel Stage Reached]],"Lead",1,"MQL",2,"SQL",3,"Customer",4)</f>
        <v>2</v>
      </c>
      <c r="L902" t="str">
        <f>TEXT(LeadsData[[#This Row],[Signup Date]],"mmm-yyyy")</f>
        <v>May-2024</v>
      </c>
      <c r="M902">
        <f>IF(LeadsData[[#This Row],[Stage Number]]&gt;=2,1,0)</f>
        <v>1</v>
      </c>
      <c r="N902" s="2">
        <f>IF(LeadsData[[#This Row],[Stage Number]]&gt;=3,1,0)</f>
        <v>0</v>
      </c>
      <c r="O902" s="2">
        <f>IF(LeadsData[[#This Row],[Stage Number]]&gt;=4,1,0)</f>
        <v>0</v>
      </c>
    </row>
    <row r="903" spans="1:15" x14ac:dyDescent="0.25">
      <c r="A903" t="s">
        <v>943</v>
      </c>
      <c r="B903" s="1">
        <v>45604</v>
      </c>
      <c r="C903" t="s">
        <v>17</v>
      </c>
      <c r="D903" t="s">
        <v>53</v>
      </c>
      <c r="E903" t="s">
        <v>13</v>
      </c>
      <c r="F903" t="s">
        <v>22</v>
      </c>
      <c r="G903" t="s">
        <v>23</v>
      </c>
      <c r="K903" cm="1">
        <f t="array" ref="K903">_xlfn.SWITCH(LeadsData[[#This Row],[Funnel Stage Reached]],"Lead",1,"MQL",2,"SQL",3,"Customer",4)</f>
        <v>2</v>
      </c>
      <c r="L903" t="str">
        <f>TEXT(LeadsData[[#This Row],[Signup Date]],"mmm-yyyy")</f>
        <v>Nov-2024</v>
      </c>
      <c r="M903">
        <f>IF(LeadsData[[#This Row],[Stage Number]]&gt;=2,1,0)</f>
        <v>1</v>
      </c>
      <c r="N903" s="2">
        <f>IF(LeadsData[[#This Row],[Stage Number]]&gt;=3,1,0)</f>
        <v>0</v>
      </c>
      <c r="O903" s="2">
        <f>IF(LeadsData[[#This Row],[Stage Number]]&gt;=4,1,0)</f>
        <v>0</v>
      </c>
    </row>
    <row r="904" spans="1:15" x14ac:dyDescent="0.25">
      <c r="A904" t="s">
        <v>944</v>
      </c>
      <c r="B904" s="1">
        <v>45327</v>
      </c>
      <c r="C904" t="s">
        <v>46</v>
      </c>
      <c r="D904" t="s">
        <v>47</v>
      </c>
      <c r="E904" t="s">
        <v>48</v>
      </c>
      <c r="F904" t="s">
        <v>19</v>
      </c>
      <c r="G904" t="s">
        <v>23</v>
      </c>
      <c r="K904" cm="1">
        <f t="array" ref="K904">_xlfn.SWITCH(LeadsData[[#This Row],[Funnel Stage Reached]],"Lead",1,"MQL",2,"SQL",3,"Customer",4)</f>
        <v>2</v>
      </c>
      <c r="L904" t="str">
        <f>TEXT(LeadsData[[#This Row],[Signup Date]],"mmm-yyyy")</f>
        <v>Feb-2024</v>
      </c>
      <c r="M904">
        <f>IF(LeadsData[[#This Row],[Stage Number]]&gt;=2,1,0)</f>
        <v>1</v>
      </c>
      <c r="N904" s="2">
        <f>IF(LeadsData[[#This Row],[Stage Number]]&gt;=3,1,0)</f>
        <v>0</v>
      </c>
      <c r="O904" s="2">
        <f>IF(LeadsData[[#This Row],[Stage Number]]&gt;=4,1,0)</f>
        <v>0</v>
      </c>
    </row>
    <row r="905" spans="1:15" x14ac:dyDescent="0.25">
      <c r="A905" t="s">
        <v>945</v>
      </c>
      <c r="B905" s="1">
        <v>45575</v>
      </c>
      <c r="C905" t="s">
        <v>31</v>
      </c>
      <c r="D905" t="s">
        <v>34</v>
      </c>
      <c r="E905" t="s">
        <v>21</v>
      </c>
      <c r="F905" t="s">
        <v>19</v>
      </c>
      <c r="G905" t="s">
        <v>23</v>
      </c>
      <c r="K905" cm="1">
        <f t="array" ref="K905">_xlfn.SWITCH(LeadsData[[#This Row],[Funnel Stage Reached]],"Lead",1,"MQL",2,"SQL",3,"Customer",4)</f>
        <v>2</v>
      </c>
      <c r="L905" t="str">
        <f>TEXT(LeadsData[[#This Row],[Signup Date]],"mmm-yyyy")</f>
        <v>Oct-2024</v>
      </c>
      <c r="M905">
        <f>IF(LeadsData[[#This Row],[Stage Number]]&gt;=2,1,0)</f>
        <v>1</v>
      </c>
      <c r="N905" s="2">
        <f>IF(LeadsData[[#This Row],[Stage Number]]&gt;=3,1,0)</f>
        <v>0</v>
      </c>
      <c r="O905" s="2">
        <f>IF(LeadsData[[#This Row],[Stage Number]]&gt;=4,1,0)</f>
        <v>0</v>
      </c>
    </row>
    <row r="906" spans="1:15" x14ac:dyDescent="0.25">
      <c r="A906" t="s">
        <v>946</v>
      </c>
      <c r="B906" s="1">
        <v>45419</v>
      </c>
      <c r="C906" t="s">
        <v>36</v>
      </c>
      <c r="D906" t="s">
        <v>37</v>
      </c>
      <c r="E906" t="s">
        <v>13</v>
      </c>
      <c r="F906" t="s">
        <v>22</v>
      </c>
      <c r="G906" t="s">
        <v>23</v>
      </c>
      <c r="K906" cm="1">
        <f t="array" ref="K906">_xlfn.SWITCH(LeadsData[[#This Row],[Funnel Stage Reached]],"Lead",1,"MQL",2,"SQL",3,"Customer",4)</f>
        <v>2</v>
      </c>
      <c r="L906" t="str">
        <f>TEXT(LeadsData[[#This Row],[Signup Date]],"mmm-yyyy")</f>
        <v>May-2024</v>
      </c>
      <c r="M906">
        <f>IF(LeadsData[[#This Row],[Stage Number]]&gt;=2,1,0)</f>
        <v>1</v>
      </c>
      <c r="N906" s="2">
        <f>IF(LeadsData[[#This Row],[Stage Number]]&gt;=3,1,0)</f>
        <v>0</v>
      </c>
      <c r="O906" s="2">
        <f>IF(LeadsData[[#This Row],[Stage Number]]&gt;=4,1,0)</f>
        <v>0</v>
      </c>
    </row>
    <row r="907" spans="1:15" x14ac:dyDescent="0.25">
      <c r="A907" t="s">
        <v>947</v>
      </c>
      <c r="B907" s="1">
        <v>45458</v>
      </c>
      <c r="C907" t="s">
        <v>36</v>
      </c>
      <c r="D907" t="s">
        <v>50</v>
      </c>
      <c r="E907" t="s">
        <v>13</v>
      </c>
      <c r="F907" t="s">
        <v>14</v>
      </c>
      <c r="G907" t="s">
        <v>23</v>
      </c>
      <c r="K907" cm="1">
        <f t="array" ref="K907">_xlfn.SWITCH(LeadsData[[#This Row],[Funnel Stage Reached]],"Lead",1,"MQL",2,"SQL",3,"Customer",4)</f>
        <v>2</v>
      </c>
      <c r="L907" t="str">
        <f>TEXT(LeadsData[[#This Row],[Signup Date]],"mmm-yyyy")</f>
        <v>Jun-2024</v>
      </c>
      <c r="M907">
        <f>IF(LeadsData[[#This Row],[Stage Number]]&gt;=2,1,0)</f>
        <v>1</v>
      </c>
      <c r="N907" s="2">
        <f>IF(LeadsData[[#This Row],[Stage Number]]&gt;=3,1,0)</f>
        <v>0</v>
      </c>
      <c r="O907" s="2">
        <f>IF(LeadsData[[#This Row],[Stage Number]]&gt;=4,1,0)</f>
        <v>0</v>
      </c>
    </row>
    <row r="908" spans="1:15" x14ac:dyDescent="0.25">
      <c r="A908" t="s">
        <v>948</v>
      </c>
      <c r="B908" s="1">
        <v>45603</v>
      </c>
      <c r="C908" t="s">
        <v>11</v>
      </c>
      <c r="D908" t="s">
        <v>79</v>
      </c>
      <c r="E908" t="s">
        <v>21</v>
      </c>
      <c r="F908" t="s">
        <v>22</v>
      </c>
      <c r="G908" t="s">
        <v>15</v>
      </c>
      <c r="K908" cm="1">
        <f t="array" ref="K908">_xlfn.SWITCH(LeadsData[[#This Row],[Funnel Stage Reached]],"Lead",1,"MQL",2,"SQL",3,"Customer",4)</f>
        <v>1</v>
      </c>
      <c r="L908" t="str">
        <f>TEXT(LeadsData[[#This Row],[Signup Date]],"mmm-yyyy")</f>
        <v>Nov-2024</v>
      </c>
      <c r="M908">
        <f>IF(LeadsData[[#This Row],[Stage Number]]&gt;=2,1,0)</f>
        <v>0</v>
      </c>
      <c r="N908" s="2">
        <f>IF(LeadsData[[#This Row],[Stage Number]]&gt;=3,1,0)</f>
        <v>0</v>
      </c>
      <c r="O908" s="2">
        <f>IF(LeadsData[[#This Row],[Stage Number]]&gt;=4,1,0)</f>
        <v>0</v>
      </c>
    </row>
    <row r="909" spans="1:15" x14ac:dyDescent="0.25">
      <c r="A909" t="s">
        <v>949</v>
      </c>
      <c r="B909" s="1">
        <v>45333</v>
      </c>
      <c r="C909" t="s">
        <v>31</v>
      </c>
      <c r="D909" t="s">
        <v>32</v>
      </c>
      <c r="E909" t="s">
        <v>13</v>
      </c>
      <c r="F909" t="s">
        <v>28</v>
      </c>
      <c r="G909" t="s">
        <v>42</v>
      </c>
      <c r="H909">
        <v>62</v>
      </c>
      <c r="I909" t="s">
        <v>43</v>
      </c>
      <c r="J909">
        <v>763.09</v>
      </c>
      <c r="K909" cm="1">
        <f t="array" ref="K909">_xlfn.SWITCH(LeadsData[[#This Row],[Funnel Stage Reached]],"Lead",1,"MQL",2,"SQL",3,"Customer",4)</f>
        <v>4</v>
      </c>
      <c r="L909" t="str">
        <f>TEXT(LeadsData[[#This Row],[Signup Date]],"mmm-yyyy")</f>
        <v>Feb-2024</v>
      </c>
      <c r="M909">
        <f>IF(LeadsData[[#This Row],[Stage Number]]&gt;=2,1,0)</f>
        <v>1</v>
      </c>
      <c r="N909" s="2">
        <f>IF(LeadsData[[#This Row],[Stage Number]]&gt;=3,1,0)</f>
        <v>1</v>
      </c>
      <c r="O909" s="2">
        <f>IF(LeadsData[[#This Row],[Stage Number]]&gt;=4,1,0)</f>
        <v>1</v>
      </c>
    </row>
    <row r="910" spans="1:15" x14ac:dyDescent="0.25">
      <c r="A910" t="s">
        <v>950</v>
      </c>
      <c r="B910" s="1">
        <v>45637</v>
      </c>
      <c r="C910" t="s">
        <v>17</v>
      </c>
      <c r="D910" t="s">
        <v>18</v>
      </c>
      <c r="E910" t="s">
        <v>13</v>
      </c>
      <c r="F910" t="s">
        <v>22</v>
      </c>
      <c r="G910" t="s">
        <v>15</v>
      </c>
      <c r="K910" cm="1">
        <f t="array" ref="K910">_xlfn.SWITCH(LeadsData[[#This Row],[Funnel Stage Reached]],"Lead",1,"MQL",2,"SQL",3,"Customer",4)</f>
        <v>1</v>
      </c>
      <c r="L910" t="str">
        <f>TEXT(LeadsData[[#This Row],[Signup Date]],"mmm-yyyy")</f>
        <v>Dec-2024</v>
      </c>
      <c r="M910">
        <f>IF(LeadsData[[#This Row],[Stage Number]]&gt;=2,1,0)</f>
        <v>0</v>
      </c>
      <c r="N910" s="2">
        <f>IF(LeadsData[[#This Row],[Stage Number]]&gt;=3,1,0)</f>
        <v>0</v>
      </c>
      <c r="O910" s="2">
        <f>IF(LeadsData[[#This Row],[Stage Number]]&gt;=4,1,0)</f>
        <v>0</v>
      </c>
    </row>
    <row r="911" spans="1:15" x14ac:dyDescent="0.25">
      <c r="A911" t="s">
        <v>951</v>
      </c>
      <c r="B911" s="1">
        <v>45323</v>
      </c>
      <c r="C911" t="s">
        <v>11</v>
      </c>
      <c r="D911" t="s">
        <v>68</v>
      </c>
      <c r="E911" t="s">
        <v>13</v>
      </c>
      <c r="F911" t="s">
        <v>22</v>
      </c>
      <c r="G911" t="s">
        <v>15</v>
      </c>
      <c r="K911" cm="1">
        <f t="array" ref="K911">_xlfn.SWITCH(LeadsData[[#This Row],[Funnel Stage Reached]],"Lead",1,"MQL",2,"SQL",3,"Customer",4)</f>
        <v>1</v>
      </c>
      <c r="L911" t="str">
        <f>TEXT(LeadsData[[#This Row],[Signup Date]],"mmm-yyyy")</f>
        <v>Feb-2024</v>
      </c>
      <c r="M911">
        <f>IF(LeadsData[[#This Row],[Stage Number]]&gt;=2,1,0)</f>
        <v>0</v>
      </c>
      <c r="N911" s="2">
        <f>IF(LeadsData[[#This Row],[Stage Number]]&gt;=3,1,0)</f>
        <v>0</v>
      </c>
      <c r="O911" s="2">
        <f>IF(LeadsData[[#This Row],[Stage Number]]&gt;=4,1,0)</f>
        <v>0</v>
      </c>
    </row>
    <row r="912" spans="1:15" x14ac:dyDescent="0.25">
      <c r="A912" t="s">
        <v>952</v>
      </c>
      <c r="B912" s="1">
        <v>45580</v>
      </c>
      <c r="C912" t="s">
        <v>31</v>
      </c>
      <c r="D912" t="s">
        <v>32</v>
      </c>
      <c r="E912" t="s">
        <v>13</v>
      </c>
      <c r="F912" t="s">
        <v>19</v>
      </c>
      <c r="G912" t="s">
        <v>29</v>
      </c>
      <c r="K912" cm="1">
        <f t="array" ref="K912">_xlfn.SWITCH(LeadsData[[#This Row],[Funnel Stage Reached]],"Lead",1,"MQL",2,"SQL",3,"Customer",4)</f>
        <v>3</v>
      </c>
      <c r="L912" t="str">
        <f>TEXT(LeadsData[[#This Row],[Signup Date]],"mmm-yyyy")</f>
        <v>Oct-2024</v>
      </c>
      <c r="M912">
        <f>IF(LeadsData[[#This Row],[Stage Number]]&gt;=2,1,0)</f>
        <v>1</v>
      </c>
      <c r="N912" s="2">
        <f>IF(LeadsData[[#This Row],[Stage Number]]&gt;=3,1,0)</f>
        <v>1</v>
      </c>
      <c r="O912" s="2">
        <f>IF(LeadsData[[#This Row],[Stage Number]]&gt;=4,1,0)</f>
        <v>0</v>
      </c>
    </row>
    <row r="913" spans="1:15" x14ac:dyDescent="0.25">
      <c r="A913" t="s">
        <v>953</v>
      </c>
      <c r="B913" s="1">
        <v>45358</v>
      </c>
      <c r="C913" t="s">
        <v>25</v>
      </c>
      <c r="D913" t="s">
        <v>26</v>
      </c>
      <c r="E913" t="s">
        <v>13</v>
      </c>
      <c r="F913" t="s">
        <v>22</v>
      </c>
      <c r="G913" t="s">
        <v>23</v>
      </c>
      <c r="K913" cm="1">
        <f t="array" ref="K913">_xlfn.SWITCH(LeadsData[[#This Row],[Funnel Stage Reached]],"Lead",1,"MQL",2,"SQL",3,"Customer",4)</f>
        <v>2</v>
      </c>
      <c r="L913" t="str">
        <f>TEXT(LeadsData[[#This Row],[Signup Date]],"mmm-yyyy")</f>
        <v>Mar-2024</v>
      </c>
      <c r="M913">
        <f>IF(LeadsData[[#This Row],[Stage Number]]&gt;=2,1,0)</f>
        <v>1</v>
      </c>
      <c r="N913" s="2">
        <f>IF(LeadsData[[#This Row],[Stage Number]]&gt;=3,1,0)</f>
        <v>0</v>
      </c>
      <c r="O913" s="2">
        <f>IF(LeadsData[[#This Row],[Stage Number]]&gt;=4,1,0)</f>
        <v>0</v>
      </c>
    </row>
    <row r="914" spans="1:15" x14ac:dyDescent="0.25">
      <c r="A914" t="s">
        <v>954</v>
      </c>
      <c r="B914" s="1">
        <v>45364</v>
      </c>
      <c r="C914" t="s">
        <v>11</v>
      </c>
      <c r="D914" t="s">
        <v>79</v>
      </c>
      <c r="E914" t="s">
        <v>21</v>
      </c>
      <c r="F914" t="s">
        <v>19</v>
      </c>
      <c r="G914" t="s">
        <v>15</v>
      </c>
      <c r="K914" cm="1">
        <f t="array" ref="K914">_xlfn.SWITCH(LeadsData[[#This Row],[Funnel Stage Reached]],"Lead",1,"MQL",2,"SQL",3,"Customer",4)</f>
        <v>1</v>
      </c>
      <c r="L914" t="str">
        <f>TEXT(LeadsData[[#This Row],[Signup Date]],"mmm-yyyy")</f>
        <v>Mar-2024</v>
      </c>
      <c r="M914">
        <f>IF(LeadsData[[#This Row],[Stage Number]]&gt;=2,1,0)</f>
        <v>0</v>
      </c>
      <c r="N914" s="2">
        <f>IF(LeadsData[[#This Row],[Stage Number]]&gt;=3,1,0)</f>
        <v>0</v>
      </c>
      <c r="O914" s="2">
        <f>IF(LeadsData[[#This Row],[Stage Number]]&gt;=4,1,0)</f>
        <v>0</v>
      </c>
    </row>
    <row r="915" spans="1:15" x14ac:dyDescent="0.25">
      <c r="A915" t="s">
        <v>955</v>
      </c>
      <c r="B915" s="1">
        <v>45597</v>
      </c>
      <c r="C915" t="s">
        <v>17</v>
      </c>
      <c r="D915" t="s">
        <v>18</v>
      </c>
      <c r="E915" t="s">
        <v>13</v>
      </c>
      <c r="F915" t="s">
        <v>22</v>
      </c>
      <c r="G915" t="s">
        <v>15</v>
      </c>
      <c r="K915" cm="1">
        <f t="array" ref="K915">_xlfn.SWITCH(LeadsData[[#This Row],[Funnel Stage Reached]],"Lead",1,"MQL",2,"SQL",3,"Customer",4)</f>
        <v>1</v>
      </c>
      <c r="L915" t="str">
        <f>TEXT(LeadsData[[#This Row],[Signup Date]],"mmm-yyyy")</f>
        <v>Nov-2024</v>
      </c>
      <c r="M915">
        <f>IF(LeadsData[[#This Row],[Stage Number]]&gt;=2,1,0)</f>
        <v>0</v>
      </c>
      <c r="N915" s="2">
        <f>IF(LeadsData[[#This Row],[Stage Number]]&gt;=3,1,0)</f>
        <v>0</v>
      </c>
      <c r="O915" s="2">
        <f>IF(LeadsData[[#This Row],[Stage Number]]&gt;=4,1,0)</f>
        <v>0</v>
      </c>
    </row>
    <row r="916" spans="1:15" x14ac:dyDescent="0.25">
      <c r="A916" t="s">
        <v>956</v>
      </c>
      <c r="B916" s="1">
        <v>45517</v>
      </c>
      <c r="C916" t="s">
        <v>36</v>
      </c>
      <c r="D916" t="s">
        <v>50</v>
      </c>
      <c r="E916" t="s">
        <v>13</v>
      </c>
      <c r="F916" t="s">
        <v>28</v>
      </c>
      <c r="G916" t="s">
        <v>29</v>
      </c>
      <c r="K916" cm="1">
        <f t="array" ref="K916">_xlfn.SWITCH(LeadsData[[#This Row],[Funnel Stage Reached]],"Lead",1,"MQL",2,"SQL",3,"Customer",4)</f>
        <v>3</v>
      </c>
      <c r="L916" t="str">
        <f>TEXT(LeadsData[[#This Row],[Signup Date]],"mmm-yyyy")</f>
        <v>Aug-2024</v>
      </c>
      <c r="M916">
        <f>IF(LeadsData[[#This Row],[Stage Number]]&gt;=2,1,0)</f>
        <v>1</v>
      </c>
      <c r="N916" s="2">
        <f>IF(LeadsData[[#This Row],[Stage Number]]&gt;=3,1,0)</f>
        <v>1</v>
      </c>
      <c r="O916" s="2">
        <f>IF(LeadsData[[#This Row],[Stage Number]]&gt;=4,1,0)</f>
        <v>0</v>
      </c>
    </row>
    <row r="917" spans="1:15" x14ac:dyDescent="0.25">
      <c r="A917" t="s">
        <v>957</v>
      </c>
      <c r="B917" s="1">
        <v>45581</v>
      </c>
      <c r="C917" t="s">
        <v>25</v>
      </c>
      <c r="D917" t="s">
        <v>26</v>
      </c>
      <c r="E917" t="s">
        <v>13</v>
      </c>
      <c r="F917" t="s">
        <v>14</v>
      </c>
      <c r="G917" t="s">
        <v>42</v>
      </c>
      <c r="H917">
        <v>27</v>
      </c>
      <c r="I917" t="s">
        <v>43</v>
      </c>
      <c r="J917">
        <v>1387.35</v>
      </c>
      <c r="K917" cm="1">
        <f t="array" ref="K917">_xlfn.SWITCH(LeadsData[[#This Row],[Funnel Stage Reached]],"Lead",1,"MQL",2,"SQL",3,"Customer",4)</f>
        <v>4</v>
      </c>
      <c r="L917" t="str">
        <f>TEXT(LeadsData[[#This Row],[Signup Date]],"mmm-yyyy")</f>
        <v>Oct-2024</v>
      </c>
      <c r="M917">
        <f>IF(LeadsData[[#This Row],[Stage Number]]&gt;=2,1,0)</f>
        <v>1</v>
      </c>
      <c r="N917" s="2">
        <f>IF(LeadsData[[#This Row],[Stage Number]]&gt;=3,1,0)</f>
        <v>1</v>
      </c>
      <c r="O917" s="2">
        <f>IF(LeadsData[[#This Row],[Stage Number]]&gt;=4,1,0)</f>
        <v>1</v>
      </c>
    </row>
    <row r="918" spans="1:15" x14ac:dyDescent="0.25">
      <c r="A918" t="s">
        <v>958</v>
      </c>
      <c r="B918" s="1">
        <v>45362</v>
      </c>
      <c r="C918" t="s">
        <v>31</v>
      </c>
      <c r="D918" t="s">
        <v>34</v>
      </c>
      <c r="E918" t="s">
        <v>13</v>
      </c>
      <c r="F918" t="s">
        <v>19</v>
      </c>
      <c r="G918" t="s">
        <v>29</v>
      </c>
      <c r="K918" cm="1">
        <f t="array" ref="K918">_xlfn.SWITCH(LeadsData[[#This Row],[Funnel Stage Reached]],"Lead",1,"MQL",2,"SQL",3,"Customer",4)</f>
        <v>3</v>
      </c>
      <c r="L918" t="str">
        <f>TEXT(LeadsData[[#This Row],[Signup Date]],"mmm-yyyy")</f>
        <v>Mar-2024</v>
      </c>
      <c r="M918">
        <f>IF(LeadsData[[#This Row],[Stage Number]]&gt;=2,1,0)</f>
        <v>1</v>
      </c>
      <c r="N918" s="2">
        <f>IF(LeadsData[[#This Row],[Stage Number]]&gt;=3,1,0)</f>
        <v>1</v>
      </c>
      <c r="O918" s="2">
        <f>IF(LeadsData[[#This Row],[Stage Number]]&gt;=4,1,0)</f>
        <v>0</v>
      </c>
    </row>
    <row r="919" spans="1:15" x14ac:dyDescent="0.25">
      <c r="A919" t="s">
        <v>959</v>
      </c>
      <c r="B919" s="1">
        <v>45652</v>
      </c>
      <c r="C919" t="s">
        <v>31</v>
      </c>
      <c r="D919" t="s">
        <v>32</v>
      </c>
      <c r="E919" t="s">
        <v>13</v>
      </c>
      <c r="F919" t="s">
        <v>22</v>
      </c>
      <c r="G919" t="s">
        <v>15</v>
      </c>
      <c r="K919" cm="1">
        <f t="array" ref="K919">_xlfn.SWITCH(LeadsData[[#This Row],[Funnel Stage Reached]],"Lead",1,"MQL",2,"SQL",3,"Customer",4)</f>
        <v>1</v>
      </c>
      <c r="L919" t="str">
        <f>TEXT(LeadsData[[#This Row],[Signup Date]],"mmm-yyyy")</f>
        <v>Dec-2024</v>
      </c>
      <c r="M919">
        <f>IF(LeadsData[[#This Row],[Stage Number]]&gt;=2,1,0)</f>
        <v>0</v>
      </c>
      <c r="N919" s="2">
        <f>IF(LeadsData[[#This Row],[Stage Number]]&gt;=3,1,0)</f>
        <v>0</v>
      </c>
      <c r="O919" s="2">
        <f>IF(LeadsData[[#This Row],[Stage Number]]&gt;=4,1,0)</f>
        <v>0</v>
      </c>
    </row>
    <row r="920" spans="1:15" x14ac:dyDescent="0.25">
      <c r="A920" t="s">
        <v>960</v>
      </c>
      <c r="B920" s="1">
        <v>45577</v>
      </c>
      <c r="C920" t="s">
        <v>25</v>
      </c>
      <c r="D920" t="s">
        <v>26</v>
      </c>
      <c r="E920" t="s">
        <v>21</v>
      </c>
      <c r="F920" t="s">
        <v>22</v>
      </c>
      <c r="G920" t="s">
        <v>29</v>
      </c>
      <c r="K920" cm="1">
        <f t="array" ref="K920">_xlfn.SWITCH(LeadsData[[#This Row],[Funnel Stage Reached]],"Lead",1,"MQL",2,"SQL",3,"Customer",4)</f>
        <v>3</v>
      </c>
      <c r="L920" t="str">
        <f>TEXT(LeadsData[[#This Row],[Signup Date]],"mmm-yyyy")</f>
        <v>Oct-2024</v>
      </c>
      <c r="M920">
        <f>IF(LeadsData[[#This Row],[Stage Number]]&gt;=2,1,0)</f>
        <v>1</v>
      </c>
      <c r="N920" s="2">
        <f>IF(LeadsData[[#This Row],[Stage Number]]&gt;=3,1,0)</f>
        <v>1</v>
      </c>
      <c r="O920" s="2">
        <f>IF(LeadsData[[#This Row],[Stage Number]]&gt;=4,1,0)</f>
        <v>0</v>
      </c>
    </row>
    <row r="921" spans="1:15" x14ac:dyDescent="0.25">
      <c r="A921" t="s">
        <v>961</v>
      </c>
      <c r="B921" s="1">
        <v>45301</v>
      </c>
      <c r="C921" t="s">
        <v>17</v>
      </c>
      <c r="D921" t="s">
        <v>18</v>
      </c>
      <c r="E921" t="s">
        <v>13</v>
      </c>
      <c r="F921" t="s">
        <v>28</v>
      </c>
      <c r="G921" t="s">
        <v>15</v>
      </c>
      <c r="K921" cm="1">
        <f t="array" ref="K921">_xlfn.SWITCH(LeadsData[[#This Row],[Funnel Stage Reached]],"Lead",1,"MQL",2,"SQL",3,"Customer",4)</f>
        <v>1</v>
      </c>
      <c r="L921" t="str">
        <f>TEXT(LeadsData[[#This Row],[Signup Date]],"mmm-yyyy")</f>
        <v>Jan-2024</v>
      </c>
      <c r="M921">
        <f>IF(LeadsData[[#This Row],[Stage Number]]&gt;=2,1,0)</f>
        <v>0</v>
      </c>
      <c r="N921" s="2">
        <f>IF(LeadsData[[#This Row],[Stage Number]]&gt;=3,1,0)</f>
        <v>0</v>
      </c>
      <c r="O921" s="2">
        <f>IF(LeadsData[[#This Row],[Stage Number]]&gt;=4,1,0)</f>
        <v>0</v>
      </c>
    </row>
    <row r="922" spans="1:15" x14ac:dyDescent="0.25">
      <c r="A922" t="s">
        <v>962</v>
      </c>
      <c r="B922" s="1">
        <v>45491</v>
      </c>
      <c r="C922" t="s">
        <v>17</v>
      </c>
      <c r="D922" t="s">
        <v>53</v>
      </c>
      <c r="E922" t="s">
        <v>13</v>
      </c>
      <c r="F922" t="s">
        <v>19</v>
      </c>
      <c r="G922" t="s">
        <v>15</v>
      </c>
      <c r="K922" cm="1">
        <f t="array" ref="K922">_xlfn.SWITCH(LeadsData[[#This Row],[Funnel Stage Reached]],"Lead",1,"MQL",2,"SQL",3,"Customer",4)</f>
        <v>1</v>
      </c>
      <c r="L922" t="str">
        <f>TEXT(LeadsData[[#This Row],[Signup Date]],"mmm-yyyy")</f>
        <v>Jul-2024</v>
      </c>
      <c r="M922">
        <f>IF(LeadsData[[#This Row],[Stage Number]]&gt;=2,1,0)</f>
        <v>0</v>
      </c>
      <c r="N922" s="2">
        <f>IF(LeadsData[[#This Row],[Stage Number]]&gt;=3,1,0)</f>
        <v>0</v>
      </c>
      <c r="O922" s="2">
        <f>IF(LeadsData[[#This Row],[Stage Number]]&gt;=4,1,0)</f>
        <v>0</v>
      </c>
    </row>
    <row r="923" spans="1:15" x14ac:dyDescent="0.25">
      <c r="A923" t="s">
        <v>963</v>
      </c>
      <c r="B923" s="1">
        <v>45612</v>
      </c>
      <c r="C923" t="s">
        <v>17</v>
      </c>
      <c r="D923" t="s">
        <v>53</v>
      </c>
      <c r="E923" t="s">
        <v>21</v>
      </c>
      <c r="F923" t="s">
        <v>19</v>
      </c>
      <c r="G923" t="s">
        <v>15</v>
      </c>
      <c r="K923" cm="1">
        <f t="array" ref="K923">_xlfn.SWITCH(LeadsData[[#This Row],[Funnel Stage Reached]],"Lead",1,"MQL",2,"SQL",3,"Customer",4)</f>
        <v>1</v>
      </c>
      <c r="L923" t="str">
        <f>TEXT(LeadsData[[#This Row],[Signup Date]],"mmm-yyyy")</f>
        <v>Nov-2024</v>
      </c>
      <c r="M923">
        <f>IF(LeadsData[[#This Row],[Stage Number]]&gt;=2,1,0)</f>
        <v>0</v>
      </c>
      <c r="N923" s="2">
        <f>IF(LeadsData[[#This Row],[Stage Number]]&gt;=3,1,0)</f>
        <v>0</v>
      </c>
      <c r="O923" s="2">
        <f>IF(LeadsData[[#This Row],[Stage Number]]&gt;=4,1,0)</f>
        <v>0</v>
      </c>
    </row>
    <row r="924" spans="1:15" x14ac:dyDescent="0.25">
      <c r="A924" t="s">
        <v>964</v>
      </c>
      <c r="B924" s="1">
        <v>45624</v>
      </c>
      <c r="C924" t="s">
        <v>17</v>
      </c>
      <c r="D924" t="s">
        <v>18</v>
      </c>
      <c r="E924" t="s">
        <v>21</v>
      </c>
      <c r="F924" t="s">
        <v>22</v>
      </c>
      <c r="G924" t="s">
        <v>15</v>
      </c>
      <c r="K924" cm="1">
        <f t="array" ref="K924">_xlfn.SWITCH(LeadsData[[#This Row],[Funnel Stage Reached]],"Lead",1,"MQL",2,"SQL",3,"Customer",4)</f>
        <v>1</v>
      </c>
      <c r="L924" t="str">
        <f>TEXT(LeadsData[[#This Row],[Signup Date]],"mmm-yyyy")</f>
        <v>Nov-2024</v>
      </c>
      <c r="M924">
        <f>IF(LeadsData[[#This Row],[Stage Number]]&gt;=2,1,0)</f>
        <v>0</v>
      </c>
      <c r="N924" s="2">
        <f>IF(LeadsData[[#This Row],[Stage Number]]&gt;=3,1,0)</f>
        <v>0</v>
      </c>
      <c r="O924" s="2">
        <f>IF(LeadsData[[#This Row],[Stage Number]]&gt;=4,1,0)</f>
        <v>0</v>
      </c>
    </row>
    <row r="925" spans="1:15" x14ac:dyDescent="0.25">
      <c r="A925" t="s">
        <v>965</v>
      </c>
      <c r="B925" s="1">
        <v>45323</v>
      </c>
      <c r="C925" t="s">
        <v>46</v>
      </c>
      <c r="D925" t="s">
        <v>47</v>
      </c>
      <c r="E925" t="s">
        <v>13</v>
      </c>
      <c r="F925" t="s">
        <v>22</v>
      </c>
      <c r="G925" t="s">
        <v>15</v>
      </c>
      <c r="K925" cm="1">
        <f t="array" ref="K925">_xlfn.SWITCH(LeadsData[[#This Row],[Funnel Stage Reached]],"Lead",1,"MQL",2,"SQL",3,"Customer",4)</f>
        <v>1</v>
      </c>
      <c r="L925" t="str">
        <f>TEXT(LeadsData[[#This Row],[Signup Date]],"mmm-yyyy")</f>
        <v>Feb-2024</v>
      </c>
      <c r="M925">
        <f>IF(LeadsData[[#This Row],[Stage Number]]&gt;=2,1,0)</f>
        <v>0</v>
      </c>
      <c r="N925" s="2">
        <f>IF(LeadsData[[#This Row],[Stage Number]]&gt;=3,1,0)</f>
        <v>0</v>
      </c>
      <c r="O925" s="2">
        <f>IF(LeadsData[[#This Row],[Stage Number]]&gt;=4,1,0)</f>
        <v>0</v>
      </c>
    </row>
    <row r="926" spans="1:15" x14ac:dyDescent="0.25">
      <c r="A926" t="s">
        <v>966</v>
      </c>
      <c r="B926" s="1">
        <v>45383</v>
      </c>
      <c r="C926" t="s">
        <v>36</v>
      </c>
      <c r="D926" t="s">
        <v>37</v>
      </c>
      <c r="E926" t="s">
        <v>13</v>
      </c>
      <c r="F926" t="s">
        <v>19</v>
      </c>
      <c r="G926" t="s">
        <v>23</v>
      </c>
      <c r="K926" cm="1">
        <f t="array" ref="K926">_xlfn.SWITCH(LeadsData[[#This Row],[Funnel Stage Reached]],"Lead",1,"MQL",2,"SQL",3,"Customer",4)</f>
        <v>2</v>
      </c>
      <c r="L926" t="str">
        <f>TEXT(LeadsData[[#This Row],[Signup Date]],"mmm-yyyy")</f>
        <v>Apr-2024</v>
      </c>
      <c r="M926">
        <f>IF(LeadsData[[#This Row],[Stage Number]]&gt;=2,1,0)</f>
        <v>1</v>
      </c>
      <c r="N926" s="2">
        <f>IF(LeadsData[[#This Row],[Stage Number]]&gt;=3,1,0)</f>
        <v>0</v>
      </c>
      <c r="O926" s="2">
        <f>IF(LeadsData[[#This Row],[Stage Number]]&gt;=4,1,0)</f>
        <v>0</v>
      </c>
    </row>
    <row r="927" spans="1:15" x14ac:dyDescent="0.25">
      <c r="A927" t="s">
        <v>967</v>
      </c>
      <c r="B927" s="1">
        <v>45372</v>
      </c>
      <c r="C927" t="s">
        <v>46</v>
      </c>
      <c r="D927" t="s">
        <v>47</v>
      </c>
      <c r="E927" t="s">
        <v>21</v>
      </c>
      <c r="F927" t="s">
        <v>22</v>
      </c>
      <c r="G927" t="s">
        <v>23</v>
      </c>
      <c r="K927" cm="1">
        <f t="array" ref="K927">_xlfn.SWITCH(LeadsData[[#This Row],[Funnel Stage Reached]],"Lead",1,"MQL",2,"SQL",3,"Customer",4)</f>
        <v>2</v>
      </c>
      <c r="L927" t="str">
        <f>TEXT(LeadsData[[#This Row],[Signup Date]],"mmm-yyyy")</f>
        <v>Mar-2024</v>
      </c>
      <c r="M927">
        <f>IF(LeadsData[[#This Row],[Stage Number]]&gt;=2,1,0)</f>
        <v>1</v>
      </c>
      <c r="N927" s="2">
        <f>IF(LeadsData[[#This Row],[Stage Number]]&gt;=3,1,0)</f>
        <v>0</v>
      </c>
      <c r="O927" s="2">
        <f>IF(LeadsData[[#This Row],[Stage Number]]&gt;=4,1,0)</f>
        <v>0</v>
      </c>
    </row>
    <row r="928" spans="1:15" x14ac:dyDescent="0.25">
      <c r="A928" t="s">
        <v>968</v>
      </c>
      <c r="B928" s="1">
        <v>45542</v>
      </c>
      <c r="C928" t="s">
        <v>46</v>
      </c>
      <c r="D928" t="s">
        <v>56</v>
      </c>
      <c r="E928" t="s">
        <v>13</v>
      </c>
      <c r="F928" t="s">
        <v>19</v>
      </c>
      <c r="G928" t="s">
        <v>15</v>
      </c>
      <c r="K928" cm="1">
        <f t="array" ref="K928">_xlfn.SWITCH(LeadsData[[#This Row],[Funnel Stage Reached]],"Lead",1,"MQL",2,"SQL",3,"Customer",4)</f>
        <v>1</v>
      </c>
      <c r="L928" t="str">
        <f>TEXT(LeadsData[[#This Row],[Signup Date]],"mmm-yyyy")</f>
        <v>Sep-2024</v>
      </c>
      <c r="M928">
        <f>IF(LeadsData[[#This Row],[Stage Number]]&gt;=2,1,0)</f>
        <v>0</v>
      </c>
      <c r="N928" s="2">
        <f>IF(LeadsData[[#This Row],[Stage Number]]&gt;=3,1,0)</f>
        <v>0</v>
      </c>
      <c r="O928" s="2">
        <f>IF(LeadsData[[#This Row],[Stage Number]]&gt;=4,1,0)</f>
        <v>0</v>
      </c>
    </row>
    <row r="929" spans="1:15" x14ac:dyDescent="0.25">
      <c r="A929" t="s">
        <v>969</v>
      </c>
      <c r="B929" s="1">
        <v>45316</v>
      </c>
      <c r="C929" t="s">
        <v>31</v>
      </c>
      <c r="D929" t="s">
        <v>32</v>
      </c>
      <c r="E929" t="s">
        <v>13</v>
      </c>
      <c r="F929" t="s">
        <v>22</v>
      </c>
      <c r="G929" t="s">
        <v>42</v>
      </c>
      <c r="H929">
        <v>49</v>
      </c>
      <c r="I929" t="s">
        <v>87</v>
      </c>
      <c r="J929">
        <v>3317.66</v>
      </c>
      <c r="K929" cm="1">
        <f t="array" ref="K929">_xlfn.SWITCH(LeadsData[[#This Row],[Funnel Stage Reached]],"Lead",1,"MQL",2,"SQL",3,"Customer",4)</f>
        <v>4</v>
      </c>
      <c r="L929" t="str">
        <f>TEXT(LeadsData[[#This Row],[Signup Date]],"mmm-yyyy")</f>
        <v>Jan-2024</v>
      </c>
      <c r="M929">
        <f>IF(LeadsData[[#This Row],[Stage Number]]&gt;=2,1,0)</f>
        <v>1</v>
      </c>
      <c r="N929" s="2">
        <f>IF(LeadsData[[#This Row],[Stage Number]]&gt;=3,1,0)</f>
        <v>1</v>
      </c>
      <c r="O929" s="2">
        <f>IF(LeadsData[[#This Row],[Stage Number]]&gt;=4,1,0)</f>
        <v>1</v>
      </c>
    </row>
    <row r="930" spans="1:15" x14ac:dyDescent="0.25">
      <c r="A930" t="s">
        <v>970</v>
      </c>
      <c r="B930" s="1">
        <v>45532</v>
      </c>
      <c r="C930" t="s">
        <v>17</v>
      </c>
      <c r="D930" t="s">
        <v>18</v>
      </c>
      <c r="E930" t="s">
        <v>13</v>
      </c>
      <c r="F930" t="s">
        <v>14</v>
      </c>
      <c r="G930" t="s">
        <v>15</v>
      </c>
      <c r="K930" cm="1">
        <f t="array" ref="K930">_xlfn.SWITCH(LeadsData[[#This Row],[Funnel Stage Reached]],"Lead",1,"MQL",2,"SQL",3,"Customer",4)</f>
        <v>1</v>
      </c>
      <c r="L930" t="str">
        <f>TEXT(LeadsData[[#This Row],[Signup Date]],"mmm-yyyy")</f>
        <v>Aug-2024</v>
      </c>
      <c r="M930">
        <f>IF(LeadsData[[#This Row],[Stage Number]]&gt;=2,1,0)</f>
        <v>0</v>
      </c>
      <c r="N930" s="2">
        <f>IF(LeadsData[[#This Row],[Stage Number]]&gt;=3,1,0)</f>
        <v>0</v>
      </c>
      <c r="O930" s="2">
        <f>IF(LeadsData[[#This Row],[Stage Number]]&gt;=4,1,0)</f>
        <v>0</v>
      </c>
    </row>
    <row r="931" spans="1:15" x14ac:dyDescent="0.25">
      <c r="A931" t="s">
        <v>971</v>
      </c>
      <c r="B931" s="1">
        <v>45451</v>
      </c>
      <c r="C931" t="s">
        <v>17</v>
      </c>
      <c r="D931" t="s">
        <v>53</v>
      </c>
      <c r="E931" t="s">
        <v>13</v>
      </c>
      <c r="F931" t="s">
        <v>22</v>
      </c>
      <c r="G931" t="s">
        <v>23</v>
      </c>
      <c r="K931" cm="1">
        <f t="array" ref="K931">_xlfn.SWITCH(LeadsData[[#This Row],[Funnel Stage Reached]],"Lead",1,"MQL",2,"SQL",3,"Customer",4)</f>
        <v>2</v>
      </c>
      <c r="L931" t="str">
        <f>TEXT(LeadsData[[#This Row],[Signup Date]],"mmm-yyyy")</f>
        <v>Jun-2024</v>
      </c>
      <c r="M931">
        <f>IF(LeadsData[[#This Row],[Stage Number]]&gt;=2,1,0)</f>
        <v>1</v>
      </c>
      <c r="N931" s="2">
        <f>IF(LeadsData[[#This Row],[Stage Number]]&gt;=3,1,0)</f>
        <v>0</v>
      </c>
      <c r="O931" s="2">
        <f>IF(LeadsData[[#This Row],[Stage Number]]&gt;=4,1,0)</f>
        <v>0</v>
      </c>
    </row>
    <row r="932" spans="1:15" x14ac:dyDescent="0.25">
      <c r="A932" t="s">
        <v>972</v>
      </c>
      <c r="B932" s="1">
        <v>45641</v>
      </c>
      <c r="C932" t="s">
        <v>46</v>
      </c>
      <c r="D932" t="s">
        <v>47</v>
      </c>
      <c r="E932" t="s">
        <v>13</v>
      </c>
      <c r="F932" t="s">
        <v>22</v>
      </c>
      <c r="G932" t="s">
        <v>23</v>
      </c>
      <c r="K932" cm="1">
        <f t="array" ref="K932">_xlfn.SWITCH(LeadsData[[#This Row],[Funnel Stage Reached]],"Lead",1,"MQL",2,"SQL",3,"Customer",4)</f>
        <v>2</v>
      </c>
      <c r="L932" t="str">
        <f>TEXT(LeadsData[[#This Row],[Signup Date]],"mmm-yyyy")</f>
        <v>Dec-2024</v>
      </c>
      <c r="M932">
        <f>IF(LeadsData[[#This Row],[Stage Number]]&gt;=2,1,0)</f>
        <v>1</v>
      </c>
      <c r="N932" s="2">
        <f>IF(LeadsData[[#This Row],[Stage Number]]&gt;=3,1,0)</f>
        <v>0</v>
      </c>
      <c r="O932" s="2">
        <f>IF(LeadsData[[#This Row],[Stage Number]]&gt;=4,1,0)</f>
        <v>0</v>
      </c>
    </row>
    <row r="933" spans="1:15" x14ac:dyDescent="0.25">
      <c r="A933" t="s">
        <v>973</v>
      </c>
      <c r="B933" s="1">
        <v>45293</v>
      </c>
      <c r="C933" t="s">
        <v>31</v>
      </c>
      <c r="D933" t="s">
        <v>32</v>
      </c>
      <c r="E933" t="s">
        <v>21</v>
      </c>
      <c r="F933" t="s">
        <v>28</v>
      </c>
      <c r="G933" t="s">
        <v>23</v>
      </c>
      <c r="K933" cm="1">
        <f t="array" ref="K933">_xlfn.SWITCH(LeadsData[[#This Row],[Funnel Stage Reached]],"Lead",1,"MQL",2,"SQL",3,"Customer",4)</f>
        <v>2</v>
      </c>
      <c r="L933" t="str">
        <f>TEXT(LeadsData[[#This Row],[Signup Date]],"mmm-yyyy")</f>
        <v>Jan-2024</v>
      </c>
      <c r="M933">
        <f>IF(LeadsData[[#This Row],[Stage Number]]&gt;=2,1,0)</f>
        <v>1</v>
      </c>
      <c r="N933" s="2">
        <f>IF(LeadsData[[#This Row],[Stage Number]]&gt;=3,1,0)</f>
        <v>0</v>
      </c>
      <c r="O933" s="2">
        <f>IF(LeadsData[[#This Row],[Stage Number]]&gt;=4,1,0)</f>
        <v>0</v>
      </c>
    </row>
    <row r="934" spans="1:15" x14ac:dyDescent="0.25">
      <c r="A934" t="s">
        <v>974</v>
      </c>
      <c r="B934" s="1">
        <v>45490</v>
      </c>
      <c r="C934" t="s">
        <v>36</v>
      </c>
      <c r="D934" t="s">
        <v>50</v>
      </c>
      <c r="E934" t="s">
        <v>13</v>
      </c>
      <c r="F934" t="s">
        <v>22</v>
      </c>
      <c r="G934" t="s">
        <v>29</v>
      </c>
      <c r="K934" cm="1">
        <f t="array" ref="K934">_xlfn.SWITCH(LeadsData[[#This Row],[Funnel Stage Reached]],"Lead",1,"MQL",2,"SQL",3,"Customer",4)</f>
        <v>3</v>
      </c>
      <c r="L934" t="str">
        <f>TEXT(LeadsData[[#This Row],[Signup Date]],"mmm-yyyy")</f>
        <v>Jul-2024</v>
      </c>
      <c r="M934">
        <f>IF(LeadsData[[#This Row],[Stage Number]]&gt;=2,1,0)</f>
        <v>1</v>
      </c>
      <c r="N934" s="2">
        <f>IF(LeadsData[[#This Row],[Stage Number]]&gt;=3,1,0)</f>
        <v>1</v>
      </c>
      <c r="O934" s="2">
        <f>IF(LeadsData[[#This Row],[Stage Number]]&gt;=4,1,0)</f>
        <v>0</v>
      </c>
    </row>
    <row r="935" spans="1:15" x14ac:dyDescent="0.25">
      <c r="A935" t="s">
        <v>975</v>
      </c>
      <c r="B935" s="1">
        <v>45560</v>
      </c>
      <c r="C935" t="s">
        <v>46</v>
      </c>
      <c r="D935" t="s">
        <v>56</v>
      </c>
      <c r="E935" t="s">
        <v>13</v>
      </c>
      <c r="F935" t="s">
        <v>22</v>
      </c>
      <c r="G935" t="s">
        <v>42</v>
      </c>
      <c r="H935">
        <v>65</v>
      </c>
      <c r="I935" t="s">
        <v>87</v>
      </c>
      <c r="J935">
        <v>3942.45</v>
      </c>
      <c r="K935" cm="1">
        <f t="array" ref="K935">_xlfn.SWITCH(LeadsData[[#This Row],[Funnel Stage Reached]],"Lead",1,"MQL",2,"SQL",3,"Customer",4)</f>
        <v>4</v>
      </c>
      <c r="L935" t="str">
        <f>TEXT(LeadsData[[#This Row],[Signup Date]],"mmm-yyyy")</f>
        <v>Sep-2024</v>
      </c>
      <c r="M935">
        <f>IF(LeadsData[[#This Row],[Stage Number]]&gt;=2,1,0)</f>
        <v>1</v>
      </c>
      <c r="N935" s="2">
        <f>IF(LeadsData[[#This Row],[Stage Number]]&gt;=3,1,0)</f>
        <v>1</v>
      </c>
      <c r="O935" s="2">
        <f>IF(LeadsData[[#This Row],[Stage Number]]&gt;=4,1,0)</f>
        <v>1</v>
      </c>
    </row>
    <row r="936" spans="1:15" x14ac:dyDescent="0.25">
      <c r="A936" t="s">
        <v>976</v>
      </c>
      <c r="B936" s="1">
        <v>45622</v>
      </c>
      <c r="C936" t="s">
        <v>36</v>
      </c>
      <c r="D936" t="s">
        <v>37</v>
      </c>
      <c r="E936" t="s">
        <v>13</v>
      </c>
      <c r="F936" t="s">
        <v>28</v>
      </c>
      <c r="G936" t="s">
        <v>15</v>
      </c>
      <c r="K936" cm="1">
        <f t="array" ref="K936">_xlfn.SWITCH(LeadsData[[#This Row],[Funnel Stage Reached]],"Lead",1,"MQL",2,"SQL",3,"Customer",4)</f>
        <v>1</v>
      </c>
      <c r="L936" t="str">
        <f>TEXT(LeadsData[[#This Row],[Signup Date]],"mmm-yyyy")</f>
        <v>Nov-2024</v>
      </c>
      <c r="M936">
        <f>IF(LeadsData[[#This Row],[Stage Number]]&gt;=2,1,0)</f>
        <v>0</v>
      </c>
      <c r="N936" s="2">
        <f>IF(LeadsData[[#This Row],[Stage Number]]&gt;=3,1,0)</f>
        <v>0</v>
      </c>
      <c r="O936" s="2">
        <f>IF(LeadsData[[#This Row],[Stage Number]]&gt;=4,1,0)</f>
        <v>0</v>
      </c>
    </row>
    <row r="937" spans="1:15" x14ac:dyDescent="0.25">
      <c r="A937" t="s">
        <v>977</v>
      </c>
      <c r="B937" s="1">
        <v>45325</v>
      </c>
      <c r="C937" t="s">
        <v>46</v>
      </c>
      <c r="D937" t="s">
        <v>47</v>
      </c>
      <c r="E937" t="s">
        <v>13</v>
      </c>
      <c r="F937" t="s">
        <v>22</v>
      </c>
      <c r="G937" t="s">
        <v>23</v>
      </c>
      <c r="K937" cm="1">
        <f t="array" ref="K937">_xlfn.SWITCH(LeadsData[[#This Row],[Funnel Stage Reached]],"Lead",1,"MQL",2,"SQL",3,"Customer",4)</f>
        <v>2</v>
      </c>
      <c r="L937" t="str">
        <f>TEXT(LeadsData[[#This Row],[Signup Date]],"mmm-yyyy")</f>
        <v>Feb-2024</v>
      </c>
      <c r="M937">
        <f>IF(LeadsData[[#This Row],[Stage Number]]&gt;=2,1,0)</f>
        <v>1</v>
      </c>
      <c r="N937" s="2">
        <f>IF(LeadsData[[#This Row],[Stage Number]]&gt;=3,1,0)</f>
        <v>0</v>
      </c>
      <c r="O937" s="2">
        <f>IF(LeadsData[[#This Row],[Stage Number]]&gt;=4,1,0)</f>
        <v>0</v>
      </c>
    </row>
    <row r="938" spans="1:15" x14ac:dyDescent="0.25">
      <c r="A938" t="s">
        <v>978</v>
      </c>
      <c r="B938" s="1">
        <v>45643</v>
      </c>
      <c r="C938" t="s">
        <v>46</v>
      </c>
      <c r="D938" t="s">
        <v>47</v>
      </c>
      <c r="E938" t="s">
        <v>21</v>
      </c>
      <c r="F938" t="s">
        <v>22</v>
      </c>
      <c r="G938" t="s">
        <v>15</v>
      </c>
      <c r="K938" cm="1">
        <f t="array" ref="K938">_xlfn.SWITCH(LeadsData[[#This Row],[Funnel Stage Reached]],"Lead",1,"MQL",2,"SQL",3,"Customer",4)</f>
        <v>1</v>
      </c>
      <c r="L938" t="str">
        <f>TEXT(LeadsData[[#This Row],[Signup Date]],"mmm-yyyy")</f>
        <v>Dec-2024</v>
      </c>
      <c r="M938">
        <f>IF(LeadsData[[#This Row],[Stage Number]]&gt;=2,1,0)</f>
        <v>0</v>
      </c>
      <c r="N938" s="2">
        <f>IF(LeadsData[[#This Row],[Stage Number]]&gt;=3,1,0)</f>
        <v>0</v>
      </c>
      <c r="O938" s="2">
        <f>IF(LeadsData[[#This Row],[Stage Number]]&gt;=4,1,0)</f>
        <v>0</v>
      </c>
    </row>
    <row r="939" spans="1:15" x14ac:dyDescent="0.25">
      <c r="A939" t="s">
        <v>979</v>
      </c>
      <c r="B939" s="1">
        <v>45501</v>
      </c>
      <c r="C939" t="s">
        <v>11</v>
      </c>
      <c r="D939" t="s">
        <v>79</v>
      </c>
      <c r="E939" t="s">
        <v>13</v>
      </c>
      <c r="F939" t="s">
        <v>19</v>
      </c>
      <c r="G939" t="s">
        <v>23</v>
      </c>
      <c r="K939" cm="1">
        <f t="array" ref="K939">_xlfn.SWITCH(LeadsData[[#This Row],[Funnel Stage Reached]],"Lead",1,"MQL",2,"SQL",3,"Customer",4)</f>
        <v>2</v>
      </c>
      <c r="L939" t="str">
        <f>TEXT(LeadsData[[#This Row],[Signup Date]],"mmm-yyyy")</f>
        <v>Jul-2024</v>
      </c>
      <c r="M939">
        <f>IF(LeadsData[[#This Row],[Stage Number]]&gt;=2,1,0)</f>
        <v>1</v>
      </c>
      <c r="N939" s="2">
        <f>IF(LeadsData[[#This Row],[Stage Number]]&gt;=3,1,0)</f>
        <v>0</v>
      </c>
      <c r="O939" s="2">
        <f>IF(LeadsData[[#This Row],[Stage Number]]&gt;=4,1,0)</f>
        <v>0</v>
      </c>
    </row>
    <row r="940" spans="1:15" x14ac:dyDescent="0.25">
      <c r="A940" t="s">
        <v>980</v>
      </c>
      <c r="B940" s="1">
        <v>45305</v>
      </c>
      <c r="C940" t="s">
        <v>11</v>
      </c>
      <c r="D940" t="s">
        <v>68</v>
      </c>
      <c r="E940" t="s">
        <v>48</v>
      </c>
      <c r="F940" t="s">
        <v>14</v>
      </c>
      <c r="G940" t="s">
        <v>15</v>
      </c>
      <c r="K940" cm="1">
        <f t="array" ref="K940">_xlfn.SWITCH(LeadsData[[#This Row],[Funnel Stage Reached]],"Lead",1,"MQL",2,"SQL",3,"Customer",4)</f>
        <v>1</v>
      </c>
      <c r="L940" t="str">
        <f>TEXT(LeadsData[[#This Row],[Signup Date]],"mmm-yyyy")</f>
        <v>Jan-2024</v>
      </c>
      <c r="M940">
        <f>IF(LeadsData[[#This Row],[Stage Number]]&gt;=2,1,0)</f>
        <v>0</v>
      </c>
      <c r="N940" s="2">
        <f>IF(LeadsData[[#This Row],[Stage Number]]&gt;=3,1,0)</f>
        <v>0</v>
      </c>
      <c r="O940" s="2">
        <f>IF(LeadsData[[#This Row],[Stage Number]]&gt;=4,1,0)</f>
        <v>0</v>
      </c>
    </row>
    <row r="941" spans="1:15" x14ac:dyDescent="0.25">
      <c r="A941" t="s">
        <v>981</v>
      </c>
      <c r="B941" s="1">
        <v>45605</v>
      </c>
      <c r="C941" t="s">
        <v>46</v>
      </c>
      <c r="D941" t="s">
        <v>56</v>
      </c>
      <c r="E941" t="s">
        <v>21</v>
      </c>
      <c r="F941" t="s">
        <v>22</v>
      </c>
      <c r="G941" t="s">
        <v>15</v>
      </c>
      <c r="K941" cm="1">
        <f t="array" ref="K941">_xlfn.SWITCH(LeadsData[[#This Row],[Funnel Stage Reached]],"Lead",1,"MQL",2,"SQL",3,"Customer",4)</f>
        <v>1</v>
      </c>
      <c r="L941" t="str">
        <f>TEXT(LeadsData[[#This Row],[Signup Date]],"mmm-yyyy")</f>
        <v>Nov-2024</v>
      </c>
      <c r="M941">
        <f>IF(LeadsData[[#This Row],[Stage Number]]&gt;=2,1,0)</f>
        <v>0</v>
      </c>
      <c r="N941" s="2">
        <f>IF(LeadsData[[#This Row],[Stage Number]]&gt;=3,1,0)</f>
        <v>0</v>
      </c>
      <c r="O941" s="2">
        <f>IF(LeadsData[[#This Row],[Stage Number]]&gt;=4,1,0)</f>
        <v>0</v>
      </c>
    </row>
    <row r="942" spans="1:15" x14ac:dyDescent="0.25">
      <c r="A942" t="s">
        <v>982</v>
      </c>
      <c r="B942" s="1">
        <v>45558</v>
      </c>
      <c r="C942" t="s">
        <v>31</v>
      </c>
      <c r="D942" t="s">
        <v>32</v>
      </c>
      <c r="E942" t="s">
        <v>21</v>
      </c>
      <c r="F942" t="s">
        <v>14</v>
      </c>
      <c r="G942" t="s">
        <v>23</v>
      </c>
      <c r="K942" cm="1">
        <f t="array" ref="K942">_xlfn.SWITCH(LeadsData[[#This Row],[Funnel Stage Reached]],"Lead",1,"MQL",2,"SQL",3,"Customer",4)</f>
        <v>2</v>
      </c>
      <c r="L942" t="str">
        <f>TEXT(LeadsData[[#This Row],[Signup Date]],"mmm-yyyy")</f>
        <v>Sep-2024</v>
      </c>
      <c r="M942">
        <f>IF(LeadsData[[#This Row],[Stage Number]]&gt;=2,1,0)</f>
        <v>1</v>
      </c>
      <c r="N942" s="2">
        <f>IF(LeadsData[[#This Row],[Stage Number]]&gt;=3,1,0)</f>
        <v>0</v>
      </c>
      <c r="O942" s="2">
        <f>IF(LeadsData[[#This Row],[Stage Number]]&gt;=4,1,0)</f>
        <v>0</v>
      </c>
    </row>
    <row r="943" spans="1:15" x14ac:dyDescent="0.25">
      <c r="A943" t="s">
        <v>983</v>
      </c>
      <c r="B943" s="1">
        <v>45379</v>
      </c>
      <c r="C943" t="s">
        <v>17</v>
      </c>
      <c r="D943" t="s">
        <v>18</v>
      </c>
      <c r="E943" t="s">
        <v>48</v>
      </c>
      <c r="F943" t="s">
        <v>22</v>
      </c>
      <c r="G943" t="s">
        <v>23</v>
      </c>
      <c r="K943" cm="1">
        <f t="array" ref="K943">_xlfn.SWITCH(LeadsData[[#This Row],[Funnel Stage Reached]],"Lead",1,"MQL",2,"SQL",3,"Customer",4)</f>
        <v>2</v>
      </c>
      <c r="L943" t="str">
        <f>TEXT(LeadsData[[#This Row],[Signup Date]],"mmm-yyyy")</f>
        <v>Mar-2024</v>
      </c>
      <c r="M943">
        <f>IF(LeadsData[[#This Row],[Stage Number]]&gt;=2,1,0)</f>
        <v>1</v>
      </c>
      <c r="N943" s="2">
        <f>IF(LeadsData[[#This Row],[Stage Number]]&gt;=3,1,0)</f>
        <v>0</v>
      </c>
      <c r="O943" s="2">
        <f>IF(LeadsData[[#This Row],[Stage Number]]&gt;=4,1,0)</f>
        <v>0</v>
      </c>
    </row>
    <row r="944" spans="1:15" x14ac:dyDescent="0.25">
      <c r="A944" t="s">
        <v>984</v>
      </c>
      <c r="B944" s="1">
        <v>45575</v>
      </c>
      <c r="C944" t="s">
        <v>31</v>
      </c>
      <c r="D944" t="s">
        <v>32</v>
      </c>
      <c r="E944" t="s">
        <v>13</v>
      </c>
      <c r="F944" t="s">
        <v>19</v>
      </c>
      <c r="G944" t="s">
        <v>23</v>
      </c>
      <c r="K944" cm="1">
        <f t="array" ref="K944">_xlfn.SWITCH(LeadsData[[#This Row],[Funnel Stage Reached]],"Lead",1,"MQL",2,"SQL",3,"Customer",4)</f>
        <v>2</v>
      </c>
      <c r="L944" t="str">
        <f>TEXT(LeadsData[[#This Row],[Signup Date]],"mmm-yyyy")</f>
        <v>Oct-2024</v>
      </c>
      <c r="M944">
        <f>IF(LeadsData[[#This Row],[Stage Number]]&gt;=2,1,0)</f>
        <v>1</v>
      </c>
      <c r="N944" s="2">
        <f>IF(LeadsData[[#This Row],[Stage Number]]&gt;=3,1,0)</f>
        <v>0</v>
      </c>
      <c r="O944" s="2">
        <f>IF(LeadsData[[#This Row],[Stage Number]]&gt;=4,1,0)</f>
        <v>0</v>
      </c>
    </row>
    <row r="945" spans="1:15" x14ac:dyDescent="0.25">
      <c r="A945" t="s">
        <v>985</v>
      </c>
      <c r="B945" s="1">
        <v>45433</v>
      </c>
      <c r="C945" t="s">
        <v>46</v>
      </c>
      <c r="D945" t="s">
        <v>56</v>
      </c>
      <c r="E945" t="s">
        <v>21</v>
      </c>
      <c r="F945" t="s">
        <v>19</v>
      </c>
      <c r="G945" t="s">
        <v>23</v>
      </c>
      <c r="K945" cm="1">
        <f t="array" ref="K945">_xlfn.SWITCH(LeadsData[[#This Row],[Funnel Stage Reached]],"Lead",1,"MQL",2,"SQL",3,"Customer",4)</f>
        <v>2</v>
      </c>
      <c r="L945" t="str">
        <f>TEXT(LeadsData[[#This Row],[Signup Date]],"mmm-yyyy")</f>
        <v>May-2024</v>
      </c>
      <c r="M945">
        <f>IF(LeadsData[[#This Row],[Stage Number]]&gt;=2,1,0)</f>
        <v>1</v>
      </c>
      <c r="N945" s="2">
        <f>IF(LeadsData[[#This Row],[Stage Number]]&gt;=3,1,0)</f>
        <v>0</v>
      </c>
      <c r="O945" s="2">
        <f>IF(LeadsData[[#This Row],[Stage Number]]&gt;=4,1,0)</f>
        <v>0</v>
      </c>
    </row>
    <row r="946" spans="1:15" x14ac:dyDescent="0.25">
      <c r="A946" t="s">
        <v>986</v>
      </c>
      <c r="B946" s="1">
        <v>45490</v>
      </c>
      <c r="C946" t="s">
        <v>11</v>
      </c>
      <c r="D946" t="s">
        <v>12</v>
      </c>
      <c r="E946" t="s">
        <v>13</v>
      </c>
      <c r="F946" t="s">
        <v>14</v>
      </c>
      <c r="G946" t="s">
        <v>15</v>
      </c>
      <c r="K946" cm="1">
        <f t="array" ref="K946">_xlfn.SWITCH(LeadsData[[#This Row],[Funnel Stage Reached]],"Lead",1,"MQL",2,"SQL",3,"Customer",4)</f>
        <v>1</v>
      </c>
      <c r="L946" t="str">
        <f>TEXT(LeadsData[[#This Row],[Signup Date]],"mmm-yyyy")</f>
        <v>Jul-2024</v>
      </c>
      <c r="M946">
        <f>IF(LeadsData[[#This Row],[Stage Number]]&gt;=2,1,0)</f>
        <v>0</v>
      </c>
      <c r="N946" s="2">
        <f>IF(LeadsData[[#This Row],[Stage Number]]&gt;=3,1,0)</f>
        <v>0</v>
      </c>
      <c r="O946" s="2">
        <f>IF(LeadsData[[#This Row],[Stage Number]]&gt;=4,1,0)</f>
        <v>0</v>
      </c>
    </row>
    <row r="947" spans="1:15" x14ac:dyDescent="0.25">
      <c r="A947" t="s">
        <v>987</v>
      </c>
      <c r="B947" s="1">
        <v>45577</v>
      </c>
      <c r="C947" t="s">
        <v>11</v>
      </c>
      <c r="D947" t="s">
        <v>79</v>
      </c>
      <c r="E947" t="s">
        <v>13</v>
      </c>
      <c r="F947" t="s">
        <v>22</v>
      </c>
      <c r="G947" t="s">
        <v>15</v>
      </c>
      <c r="K947" cm="1">
        <f t="array" ref="K947">_xlfn.SWITCH(LeadsData[[#This Row],[Funnel Stage Reached]],"Lead",1,"MQL",2,"SQL",3,"Customer",4)</f>
        <v>1</v>
      </c>
      <c r="L947" t="str">
        <f>TEXT(LeadsData[[#This Row],[Signup Date]],"mmm-yyyy")</f>
        <v>Oct-2024</v>
      </c>
      <c r="M947">
        <f>IF(LeadsData[[#This Row],[Stage Number]]&gt;=2,1,0)</f>
        <v>0</v>
      </c>
      <c r="N947" s="2">
        <f>IF(LeadsData[[#This Row],[Stage Number]]&gt;=3,1,0)</f>
        <v>0</v>
      </c>
      <c r="O947" s="2">
        <f>IF(LeadsData[[#This Row],[Stage Number]]&gt;=4,1,0)</f>
        <v>0</v>
      </c>
    </row>
    <row r="948" spans="1:15" x14ac:dyDescent="0.25">
      <c r="A948" t="s">
        <v>988</v>
      </c>
      <c r="B948" s="1">
        <v>45514</v>
      </c>
      <c r="C948" t="s">
        <v>46</v>
      </c>
      <c r="D948" t="s">
        <v>47</v>
      </c>
      <c r="E948" t="s">
        <v>21</v>
      </c>
      <c r="F948" t="s">
        <v>28</v>
      </c>
      <c r="G948" t="s">
        <v>29</v>
      </c>
      <c r="K948" cm="1">
        <f t="array" ref="K948">_xlfn.SWITCH(LeadsData[[#This Row],[Funnel Stage Reached]],"Lead",1,"MQL",2,"SQL",3,"Customer",4)</f>
        <v>3</v>
      </c>
      <c r="L948" t="str">
        <f>TEXT(LeadsData[[#This Row],[Signup Date]],"mmm-yyyy")</f>
        <v>Aug-2024</v>
      </c>
      <c r="M948">
        <f>IF(LeadsData[[#This Row],[Stage Number]]&gt;=2,1,0)</f>
        <v>1</v>
      </c>
      <c r="N948" s="2">
        <f>IF(LeadsData[[#This Row],[Stage Number]]&gt;=3,1,0)</f>
        <v>1</v>
      </c>
      <c r="O948" s="2">
        <f>IF(LeadsData[[#This Row],[Stage Number]]&gt;=4,1,0)</f>
        <v>0</v>
      </c>
    </row>
    <row r="949" spans="1:15" x14ac:dyDescent="0.25">
      <c r="A949" t="s">
        <v>989</v>
      </c>
      <c r="B949" s="1">
        <v>45618</v>
      </c>
      <c r="C949" t="s">
        <v>36</v>
      </c>
      <c r="D949" t="s">
        <v>37</v>
      </c>
      <c r="E949" t="s">
        <v>13</v>
      </c>
      <c r="F949" t="s">
        <v>19</v>
      </c>
      <c r="G949" t="s">
        <v>42</v>
      </c>
      <c r="H949">
        <v>52</v>
      </c>
      <c r="I949" t="s">
        <v>183</v>
      </c>
      <c r="J949">
        <v>17980.16</v>
      </c>
      <c r="K949" cm="1">
        <f t="array" ref="K949">_xlfn.SWITCH(LeadsData[[#This Row],[Funnel Stage Reached]],"Lead",1,"MQL",2,"SQL",3,"Customer",4)</f>
        <v>4</v>
      </c>
      <c r="L949" t="str">
        <f>TEXT(LeadsData[[#This Row],[Signup Date]],"mmm-yyyy")</f>
        <v>Nov-2024</v>
      </c>
      <c r="M949">
        <f>IF(LeadsData[[#This Row],[Stage Number]]&gt;=2,1,0)</f>
        <v>1</v>
      </c>
      <c r="N949" s="2">
        <f>IF(LeadsData[[#This Row],[Stage Number]]&gt;=3,1,0)</f>
        <v>1</v>
      </c>
      <c r="O949" s="2">
        <f>IF(LeadsData[[#This Row],[Stage Number]]&gt;=4,1,0)</f>
        <v>1</v>
      </c>
    </row>
    <row r="950" spans="1:15" x14ac:dyDescent="0.25">
      <c r="A950" t="s">
        <v>990</v>
      </c>
      <c r="B950" s="1">
        <v>45379</v>
      </c>
      <c r="C950" t="s">
        <v>31</v>
      </c>
      <c r="D950" t="s">
        <v>32</v>
      </c>
      <c r="E950" t="s">
        <v>21</v>
      </c>
      <c r="F950" t="s">
        <v>14</v>
      </c>
      <c r="G950" t="s">
        <v>29</v>
      </c>
      <c r="K950" cm="1">
        <f t="array" ref="K950">_xlfn.SWITCH(LeadsData[[#This Row],[Funnel Stage Reached]],"Lead",1,"MQL",2,"SQL",3,"Customer",4)</f>
        <v>3</v>
      </c>
      <c r="L950" t="str">
        <f>TEXT(LeadsData[[#This Row],[Signup Date]],"mmm-yyyy")</f>
        <v>Mar-2024</v>
      </c>
      <c r="M950">
        <f>IF(LeadsData[[#This Row],[Stage Number]]&gt;=2,1,0)</f>
        <v>1</v>
      </c>
      <c r="N950" s="2">
        <f>IF(LeadsData[[#This Row],[Stage Number]]&gt;=3,1,0)</f>
        <v>1</v>
      </c>
      <c r="O950" s="2">
        <f>IF(LeadsData[[#This Row],[Stage Number]]&gt;=4,1,0)</f>
        <v>0</v>
      </c>
    </row>
    <row r="951" spans="1:15" x14ac:dyDescent="0.25">
      <c r="A951" t="s">
        <v>991</v>
      </c>
      <c r="B951" s="1">
        <v>45461</v>
      </c>
      <c r="C951" t="s">
        <v>17</v>
      </c>
      <c r="D951" t="s">
        <v>53</v>
      </c>
      <c r="E951" t="s">
        <v>21</v>
      </c>
      <c r="F951" t="s">
        <v>19</v>
      </c>
      <c r="G951" t="s">
        <v>23</v>
      </c>
      <c r="K951" cm="1">
        <f t="array" ref="K951">_xlfn.SWITCH(LeadsData[[#This Row],[Funnel Stage Reached]],"Lead",1,"MQL",2,"SQL",3,"Customer",4)</f>
        <v>2</v>
      </c>
      <c r="L951" t="str">
        <f>TEXT(LeadsData[[#This Row],[Signup Date]],"mmm-yyyy")</f>
        <v>Jun-2024</v>
      </c>
      <c r="M951">
        <f>IF(LeadsData[[#This Row],[Stage Number]]&gt;=2,1,0)</f>
        <v>1</v>
      </c>
      <c r="N951" s="2">
        <f>IF(LeadsData[[#This Row],[Stage Number]]&gt;=3,1,0)</f>
        <v>0</v>
      </c>
      <c r="O951" s="2">
        <f>IF(LeadsData[[#This Row],[Stage Number]]&gt;=4,1,0)</f>
        <v>0</v>
      </c>
    </row>
    <row r="952" spans="1:15" x14ac:dyDescent="0.25">
      <c r="A952" t="s">
        <v>992</v>
      </c>
      <c r="B952" s="1">
        <v>45587</v>
      </c>
      <c r="C952" t="s">
        <v>17</v>
      </c>
      <c r="D952" t="s">
        <v>53</v>
      </c>
      <c r="E952" t="s">
        <v>13</v>
      </c>
      <c r="F952" t="s">
        <v>19</v>
      </c>
      <c r="G952" t="s">
        <v>42</v>
      </c>
      <c r="H952">
        <v>71</v>
      </c>
      <c r="I952" t="s">
        <v>43</v>
      </c>
      <c r="J952">
        <v>504.49</v>
      </c>
      <c r="K952" cm="1">
        <f t="array" ref="K952">_xlfn.SWITCH(LeadsData[[#This Row],[Funnel Stage Reached]],"Lead",1,"MQL",2,"SQL",3,"Customer",4)</f>
        <v>4</v>
      </c>
      <c r="L952" t="str">
        <f>TEXT(LeadsData[[#This Row],[Signup Date]],"mmm-yyyy")</f>
        <v>Oct-2024</v>
      </c>
      <c r="M952">
        <f>IF(LeadsData[[#This Row],[Stage Number]]&gt;=2,1,0)</f>
        <v>1</v>
      </c>
      <c r="N952" s="2">
        <f>IF(LeadsData[[#This Row],[Stage Number]]&gt;=3,1,0)</f>
        <v>1</v>
      </c>
      <c r="O952" s="2">
        <f>IF(LeadsData[[#This Row],[Stage Number]]&gt;=4,1,0)</f>
        <v>1</v>
      </c>
    </row>
    <row r="953" spans="1:15" x14ac:dyDescent="0.25">
      <c r="A953" t="s">
        <v>993</v>
      </c>
      <c r="B953" s="1">
        <v>45315</v>
      </c>
      <c r="C953" t="s">
        <v>31</v>
      </c>
      <c r="D953" t="s">
        <v>34</v>
      </c>
      <c r="E953" t="s">
        <v>13</v>
      </c>
      <c r="F953" t="s">
        <v>22</v>
      </c>
      <c r="G953" t="s">
        <v>23</v>
      </c>
      <c r="K953" cm="1">
        <f t="array" ref="K953">_xlfn.SWITCH(LeadsData[[#This Row],[Funnel Stage Reached]],"Lead",1,"MQL",2,"SQL",3,"Customer",4)</f>
        <v>2</v>
      </c>
      <c r="L953" t="str">
        <f>TEXT(LeadsData[[#This Row],[Signup Date]],"mmm-yyyy")</f>
        <v>Jan-2024</v>
      </c>
      <c r="M953">
        <f>IF(LeadsData[[#This Row],[Stage Number]]&gt;=2,1,0)</f>
        <v>1</v>
      </c>
      <c r="N953" s="2">
        <f>IF(LeadsData[[#This Row],[Stage Number]]&gt;=3,1,0)</f>
        <v>0</v>
      </c>
      <c r="O953" s="2">
        <f>IF(LeadsData[[#This Row],[Stage Number]]&gt;=4,1,0)</f>
        <v>0</v>
      </c>
    </row>
    <row r="954" spans="1:15" x14ac:dyDescent="0.25">
      <c r="A954" t="s">
        <v>994</v>
      </c>
      <c r="B954" s="1">
        <v>45622</v>
      </c>
      <c r="C954" t="s">
        <v>31</v>
      </c>
      <c r="D954" t="s">
        <v>34</v>
      </c>
      <c r="E954" t="s">
        <v>21</v>
      </c>
      <c r="F954" t="s">
        <v>19</v>
      </c>
      <c r="G954" t="s">
        <v>23</v>
      </c>
      <c r="K954" cm="1">
        <f t="array" ref="K954">_xlfn.SWITCH(LeadsData[[#This Row],[Funnel Stage Reached]],"Lead",1,"MQL",2,"SQL",3,"Customer",4)</f>
        <v>2</v>
      </c>
      <c r="L954" t="str">
        <f>TEXT(LeadsData[[#This Row],[Signup Date]],"mmm-yyyy")</f>
        <v>Nov-2024</v>
      </c>
      <c r="M954">
        <f>IF(LeadsData[[#This Row],[Stage Number]]&gt;=2,1,0)</f>
        <v>1</v>
      </c>
      <c r="N954" s="2">
        <f>IF(LeadsData[[#This Row],[Stage Number]]&gt;=3,1,0)</f>
        <v>0</v>
      </c>
      <c r="O954" s="2">
        <f>IF(LeadsData[[#This Row],[Stage Number]]&gt;=4,1,0)</f>
        <v>0</v>
      </c>
    </row>
    <row r="955" spans="1:15" x14ac:dyDescent="0.25">
      <c r="A955" t="s">
        <v>995</v>
      </c>
      <c r="B955" s="1">
        <v>45517</v>
      </c>
      <c r="C955" t="s">
        <v>17</v>
      </c>
      <c r="D955" t="s">
        <v>18</v>
      </c>
      <c r="E955" t="s">
        <v>13</v>
      </c>
      <c r="F955" t="s">
        <v>22</v>
      </c>
      <c r="G955" t="s">
        <v>15</v>
      </c>
      <c r="K955" cm="1">
        <f t="array" ref="K955">_xlfn.SWITCH(LeadsData[[#This Row],[Funnel Stage Reached]],"Lead",1,"MQL",2,"SQL",3,"Customer",4)</f>
        <v>1</v>
      </c>
      <c r="L955" t="str">
        <f>TEXT(LeadsData[[#This Row],[Signup Date]],"mmm-yyyy")</f>
        <v>Aug-2024</v>
      </c>
      <c r="M955">
        <f>IF(LeadsData[[#This Row],[Stage Number]]&gt;=2,1,0)</f>
        <v>0</v>
      </c>
      <c r="N955" s="2">
        <f>IF(LeadsData[[#This Row],[Stage Number]]&gt;=3,1,0)</f>
        <v>0</v>
      </c>
      <c r="O955" s="2">
        <f>IF(LeadsData[[#This Row],[Stage Number]]&gt;=4,1,0)</f>
        <v>0</v>
      </c>
    </row>
    <row r="956" spans="1:15" x14ac:dyDescent="0.25">
      <c r="A956" t="s">
        <v>996</v>
      </c>
      <c r="B956" s="1">
        <v>45644</v>
      </c>
      <c r="C956" t="s">
        <v>17</v>
      </c>
      <c r="D956" t="s">
        <v>53</v>
      </c>
      <c r="E956" t="s">
        <v>13</v>
      </c>
      <c r="F956" t="s">
        <v>14</v>
      </c>
      <c r="G956" t="s">
        <v>15</v>
      </c>
      <c r="K956" cm="1">
        <f t="array" ref="K956">_xlfn.SWITCH(LeadsData[[#This Row],[Funnel Stage Reached]],"Lead",1,"MQL",2,"SQL",3,"Customer",4)</f>
        <v>1</v>
      </c>
      <c r="L956" t="str">
        <f>TEXT(LeadsData[[#This Row],[Signup Date]],"mmm-yyyy")</f>
        <v>Dec-2024</v>
      </c>
      <c r="M956">
        <f>IF(LeadsData[[#This Row],[Stage Number]]&gt;=2,1,0)</f>
        <v>0</v>
      </c>
      <c r="N956" s="2">
        <f>IF(LeadsData[[#This Row],[Stage Number]]&gt;=3,1,0)</f>
        <v>0</v>
      </c>
      <c r="O956" s="2">
        <f>IF(LeadsData[[#This Row],[Stage Number]]&gt;=4,1,0)</f>
        <v>0</v>
      </c>
    </row>
    <row r="957" spans="1:15" x14ac:dyDescent="0.25">
      <c r="A957" t="s">
        <v>997</v>
      </c>
      <c r="B957" s="1">
        <v>45633</v>
      </c>
      <c r="C957" t="s">
        <v>25</v>
      </c>
      <c r="D957" t="s">
        <v>26</v>
      </c>
      <c r="E957" t="s">
        <v>13</v>
      </c>
      <c r="F957" t="s">
        <v>19</v>
      </c>
      <c r="G957" t="s">
        <v>23</v>
      </c>
      <c r="K957" cm="1">
        <f t="array" ref="K957">_xlfn.SWITCH(LeadsData[[#This Row],[Funnel Stage Reached]],"Lead",1,"MQL",2,"SQL",3,"Customer",4)</f>
        <v>2</v>
      </c>
      <c r="L957" t="str">
        <f>TEXT(LeadsData[[#This Row],[Signup Date]],"mmm-yyyy")</f>
        <v>Dec-2024</v>
      </c>
      <c r="M957">
        <f>IF(LeadsData[[#This Row],[Stage Number]]&gt;=2,1,0)</f>
        <v>1</v>
      </c>
      <c r="N957" s="2">
        <f>IF(LeadsData[[#This Row],[Stage Number]]&gt;=3,1,0)</f>
        <v>0</v>
      </c>
      <c r="O957" s="2">
        <f>IF(LeadsData[[#This Row],[Stage Number]]&gt;=4,1,0)</f>
        <v>0</v>
      </c>
    </row>
    <row r="958" spans="1:15" x14ac:dyDescent="0.25">
      <c r="A958" t="s">
        <v>998</v>
      </c>
      <c r="B958" s="1">
        <v>45604</v>
      </c>
      <c r="C958" t="s">
        <v>31</v>
      </c>
      <c r="D958" t="s">
        <v>34</v>
      </c>
      <c r="E958" t="s">
        <v>13</v>
      </c>
      <c r="F958" t="s">
        <v>19</v>
      </c>
      <c r="G958" t="s">
        <v>15</v>
      </c>
      <c r="K958" cm="1">
        <f t="array" ref="K958">_xlfn.SWITCH(LeadsData[[#This Row],[Funnel Stage Reached]],"Lead",1,"MQL",2,"SQL",3,"Customer",4)</f>
        <v>1</v>
      </c>
      <c r="L958" t="str">
        <f>TEXT(LeadsData[[#This Row],[Signup Date]],"mmm-yyyy")</f>
        <v>Nov-2024</v>
      </c>
      <c r="M958">
        <f>IF(LeadsData[[#This Row],[Stage Number]]&gt;=2,1,0)</f>
        <v>0</v>
      </c>
      <c r="N958" s="2">
        <f>IF(LeadsData[[#This Row],[Stage Number]]&gt;=3,1,0)</f>
        <v>0</v>
      </c>
      <c r="O958" s="2">
        <f>IF(LeadsData[[#This Row],[Stage Number]]&gt;=4,1,0)</f>
        <v>0</v>
      </c>
    </row>
    <row r="959" spans="1:15" x14ac:dyDescent="0.25">
      <c r="A959" t="s">
        <v>999</v>
      </c>
      <c r="B959" s="1">
        <v>45497</v>
      </c>
      <c r="C959" t="s">
        <v>31</v>
      </c>
      <c r="D959" t="s">
        <v>34</v>
      </c>
      <c r="E959" t="s">
        <v>13</v>
      </c>
      <c r="F959" t="s">
        <v>19</v>
      </c>
      <c r="G959" t="s">
        <v>42</v>
      </c>
      <c r="H959">
        <v>28</v>
      </c>
      <c r="I959" t="s">
        <v>43</v>
      </c>
      <c r="J959">
        <v>858.69</v>
      </c>
      <c r="K959" cm="1">
        <f t="array" ref="K959">_xlfn.SWITCH(LeadsData[[#This Row],[Funnel Stage Reached]],"Lead",1,"MQL",2,"SQL",3,"Customer",4)</f>
        <v>4</v>
      </c>
      <c r="L959" t="str">
        <f>TEXT(LeadsData[[#This Row],[Signup Date]],"mmm-yyyy")</f>
        <v>Jul-2024</v>
      </c>
      <c r="M959">
        <f>IF(LeadsData[[#This Row],[Stage Number]]&gt;=2,1,0)</f>
        <v>1</v>
      </c>
      <c r="N959" s="2">
        <f>IF(LeadsData[[#This Row],[Stage Number]]&gt;=3,1,0)</f>
        <v>1</v>
      </c>
      <c r="O959" s="2">
        <f>IF(LeadsData[[#This Row],[Stage Number]]&gt;=4,1,0)</f>
        <v>1</v>
      </c>
    </row>
    <row r="960" spans="1:15" x14ac:dyDescent="0.25">
      <c r="A960" t="s">
        <v>1000</v>
      </c>
      <c r="B960" s="1">
        <v>45651</v>
      </c>
      <c r="C960" t="s">
        <v>17</v>
      </c>
      <c r="D960" t="s">
        <v>53</v>
      </c>
      <c r="E960" t="s">
        <v>21</v>
      </c>
      <c r="F960" t="s">
        <v>28</v>
      </c>
      <c r="G960" t="s">
        <v>23</v>
      </c>
      <c r="K960" cm="1">
        <f t="array" ref="K960">_xlfn.SWITCH(LeadsData[[#This Row],[Funnel Stage Reached]],"Lead",1,"MQL",2,"SQL",3,"Customer",4)</f>
        <v>2</v>
      </c>
      <c r="L960" t="str">
        <f>TEXT(LeadsData[[#This Row],[Signup Date]],"mmm-yyyy")</f>
        <v>Dec-2024</v>
      </c>
      <c r="M960">
        <f>IF(LeadsData[[#This Row],[Stage Number]]&gt;=2,1,0)</f>
        <v>1</v>
      </c>
      <c r="N960" s="2">
        <f>IF(LeadsData[[#This Row],[Stage Number]]&gt;=3,1,0)</f>
        <v>0</v>
      </c>
      <c r="O960" s="2">
        <f>IF(LeadsData[[#This Row],[Stage Number]]&gt;=4,1,0)</f>
        <v>0</v>
      </c>
    </row>
    <row r="961" spans="1:15" x14ac:dyDescent="0.25">
      <c r="A961" t="s">
        <v>1001</v>
      </c>
      <c r="B961" s="1">
        <v>45650</v>
      </c>
      <c r="C961" t="s">
        <v>25</v>
      </c>
      <c r="D961" t="s">
        <v>26</v>
      </c>
      <c r="E961" t="s">
        <v>13</v>
      </c>
      <c r="F961" t="s">
        <v>14</v>
      </c>
      <c r="G961" t="s">
        <v>15</v>
      </c>
      <c r="K961" cm="1">
        <f t="array" ref="K961">_xlfn.SWITCH(LeadsData[[#This Row],[Funnel Stage Reached]],"Lead",1,"MQL",2,"SQL",3,"Customer",4)</f>
        <v>1</v>
      </c>
      <c r="L961" t="str">
        <f>TEXT(LeadsData[[#This Row],[Signup Date]],"mmm-yyyy")</f>
        <v>Dec-2024</v>
      </c>
      <c r="M961">
        <f>IF(LeadsData[[#This Row],[Stage Number]]&gt;=2,1,0)</f>
        <v>0</v>
      </c>
      <c r="N961" s="2">
        <f>IF(LeadsData[[#This Row],[Stage Number]]&gt;=3,1,0)</f>
        <v>0</v>
      </c>
      <c r="O961" s="2">
        <f>IF(LeadsData[[#This Row],[Stage Number]]&gt;=4,1,0)</f>
        <v>0</v>
      </c>
    </row>
    <row r="962" spans="1:15" x14ac:dyDescent="0.25">
      <c r="A962" t="s">
        <v>1002</v>
      </c>
      <c r="B962" s="1">
        <v>45610</v>
      </c>
      <c r="C962" t="s">
        <v>31</v>
      </c>
      <c r="D962" t="s">
        <v>34</v>
      </c>
      <c r="E962" t="s">
        <v>21</v>
      </c>
      <c r="F962" t="s">
        <v>22</v>
      </c>
      <c r="G962" t="s">
        <v>15</v>
      </c>
      <c r="K962" cm="1">
        <f t="array" ref="K962">_xlfn.SWITCH(LeadsData[[#This Row],[Funnel Stage Reached]],"Lead",1,"MQL",2,"SQL",3,"Customer",4)</f>
        <v>1</v>
      </c>
      <c r="L962" t="str">
        <f>TEXT(LeadsData[[#This Row],[Signup Date]],"mmm-yyyy")</f>
        <v>Nov-2024</v>
      </c>
      <c r="M962">
        <f>IF(LeadsData[[#This Row],[Stage Number]]&gt;=2,1,0)</f>
        <v>0</v>
      </c>
      <c r="N962" s="2">
        <f>IF(LeadsData[[#This Row],[Stage Number]]&gt;=3,1,0)</f>
        <v>0</v>
      </c>
      <c r="O962" s="2">
        <f>IF(LeadsData[[#This Row],[Stage Number]]&gt;=4,1,0)</f>
        <v>0</v>
      </c>
    </row>
    <row r="963" spans="1:15" x14ac:dyDescent="0.25">
      <c r="A963" t="s">
        <v>1003</v>
      </c>
      <c r="B963" s="1">
        <v>45417</v>
      </c>
      <c r="C963" t="s">
        <v>17</v>
      </c>
      <c r="D963" t="s">
        <v>53</v>
      </c>
      <c r="E963" t="s">
        <v>21</v>
      </c>
      <c r="F963" t="s">
        <v>19</v>
      </c>
      <c r="G963" t="s">
        <v>15</v>
      </c>
      <c r="K963" cm="1">
        <f t="array" ref="K963">_xlfn.SWITCH(LeadsData[[#This Row],[Funnel Stage Reached]],"Lead",1,"MQL",2,"SQL",3,"Customer",4)</f>
        <v>1</v>
      </c>
      <c r="L963" t="str">
        <f>TEXT(LeadsData[[#This Row],[Signup Date]],"mmm-yyyy")</f>
        <v>May-2024</v>
      </c>
      <c r="M963">
        <f>IF(LeadsData[[#This Row],[Stage Number]]&gt;=2,1,0)</f>
        <v>0</v>
      </c>
      <c r="N963" s="2">
        <f>IF(LeadsData[[#This Row],[Stage Number]]&gt;=3,1,0)</f>
        <v>0</v>
      </c>
      <c r="O963" s="2">
        <f>IF(LeadsData[[#This Row],[Stage Number]]&gt;=4,1,0)</f>
        <v>0</v>
      </c>
    </row>
    <row r="964" spans="1:15" x14ac:dyDescent="0.25">
      <c r="A964" t="s">
        <v>1004</v>
      </c>
      <c r="B964" s="1">
        <v>45326</v>
      </c>
      <c r="C964" t="s">
        <v>31</v>
      </c>
      <c r="D964" t="s">
        <v>32</v>
      </c>
      <c r="E964" t="s">
        <v>13</v>
      </c>
      <c r="F964" t="s">
        <v>22</v>
      </c>
      <c r="G964" t="s">
        <v>29</v>
      </c>
      <c r="K964" cm="1">
        <f t="array" ref="K964">_xlfn.SWITCH(LeadsData[[#This Row],[Funnel Stage Reached]],"Lead",1,"MQL",2,"SQL",3,"Customer",4)</f>
        <v>3</v>
      </c>
      <c r="L964" t="str">
        <f>TEXT(LeadsData[[#This Row],[Signup Date]],"mmm-yyyy")</f>
        <v>Feb-2024</v>
      </c>
      <c r="M964">
        <f>IF(LeadsData[[#This Row],[Stage Number]]&gt;=2,1,0)</f>
        <v>1</v>
      </c>
      <c r="N964" s="2">
        <f>IF(LeadsData[[#This Row],[Stage Number]]&gt;=3,1,0)</f>
        <v>1</v>
      </c>
      <c r="O964" s="2">
        <f>IF(LeadsData[[#This Row],[Stage Number]]&gt;=4,1,0)</f>
        <v>0</v>
      </c>
    </row>
    <row r="965" spans="1:15" x14ac:dyDescent="0.25">
      <c r="A965" t="s">
        <v>1005</v>
      </c>
      <c r="B965" s="1">
        <v>45463</v>
      </c>
      <c r="C965" t="s">
        <v>25</v>
      </c>
      <c r="D965" t="s">
        <v>26</v>
      </c>
      <c r="E965" t="s">
        <v>48</v>
      </c>
      <c r="F965" t="s">
        <v>14</v>
      </c>
      <c r="G965" t="s">
        <v>23</v>
      </c>
      <c r="K965" cm="1">
        <f t="array" ref="K965">_xlfn.SWITCH(LeadsData[[#This Row],[Funnel Stage Reached]],"Lead",1,"MQL",2,"SQL",3,"Customer",4)</f>
        <v>2</v>
      </c>
      <c r="L965" t="str">
        <f>TEXT(LeadsData[[#This Row],[Signup Date]],"mmm-yyyy")</f>
        <v>Jun-2024</v>
      </c>
      <c r="M965">
        <f>IF(LeadsData[[#This Row],[Stage Number]]&gt;=2,1,0)</f>
        <v>1</v>
      </c>
      <c r="N965" s="2">
        <f>IF(LeadsData[[#This Row],[Stage Number]]&gt;=3,1,0)</f>
        <v>0</v>
      </c>
      <c r="O965" s="2">
        <f>IF(LeadsData[[#This Row],[Stage Number]]&gt;=4,1,0)</f>
        <v>0</v>
      </c>
    </row>
    <row r="966" spans="1:15" x14ac:dyDescent="0.25">
      <c r="A966" t="s">
        <v>1006</v>
      </c>
      <c r="B966" s="1">
        <v>45401</v>
      </c>
      <c r="C966" t="s">
        <v>31</v>
      </c>
      <c r="D966" t="s">
        <v>34</v>
      </c>
      <c r="E966" t="s">
        <v>21</v>
      </c>
      <c r="F966" t="s">
        <v>22</v>
      </c>
      <c r="G966" t="s">
        <v>42</v>
      </c>
      <c r="H966">
        <v>45</v>
      </c>
      <c r="I966" t="s">
        <v>87</v>
      </c>
      <c r="J966">
        <v>2674.87</v>
      </c>
      <c r="K966" cm="1">
        <f t="array" ref="K966">_xlfn.SWITCH(LeadsData[[#This Row],[Funnel Stage Reached]],"Lead",1,"MQL",2,"SQL",3,"Customer",4)</f>
        <v>4</v>
      </c>
      <c r="L966" t="str">
        <f>TEXT(LeadsData[[#This Row],[Signup Date]],"mmm-yyyy")</f>
        <v>Apr-2024</v>
      </c>
      <c r="M966">
        <f>IF(LeadsData[[#This Row],[Stage Number]]&gt;=2,1,0)</f>
        <v>1</v>
      </c>
      <c r="N966" s="2">
        <f>IF(LeadsData[[#This Row],[Stage Number]]&gt;=3,1,0)</f>
        <v>1</v>
      </c>
      <c r="O966" s="2">
        <f>IF(LeadsData[[#This Row],[Stage Number]]&gt;=4,1,0)</f>
        <v>1</v>
      </c>
    </row>
    <row r="967" spans="1:15" x14ac:dyDescent="0.25">
      <c r="A967" t="s">
        <v>1007</v>
      </c>
      <c r="B967" s="1">
        <v>45532</v>
      </c>
      <c r="C967" t="s">
        <v>31</v>
      </c>
      <c r="D967" t="s">
        <v>34</v>
      </c>
      <c r="E967" t="s">
        <v>21</v>
      </c>
      <c r="F967" t="s">
        <v>22</v>
      </c>
      <c r="G967" t="s">
        <v>23</v>
      </c>
      <c r="K967" cm="1">
        <f t="array" ref="K967">_xlfn.SWITCH(LeadsData[[#This Row],[Funnel Stage Reached]],"Lead",1,"MQL",2,"SQL",3,"Customer",4)</f>
        <v>2</v>
      </c>
      <c r="L967" t="str">
        <f>TEXT(LeadsData[[#This Row],[Signup Date]],"mmm-yyyy")</f>
        <v>Aug-2024</v>
      </c>
      <c r="M967">
        <f>IF(LeadsData[[#This Row],[Stage Number]]&gt;=2,1,0)</f>
        <v>1</v>
      </c>
      <c r="N967" s="2">
        <f>IF(LeadsData[[#This Row],[Stage Number]]&gt;=3,1,0)</f>
        <v>0</v>
      </c>
      <c r="O967" s="2">
        <f>IF(LeadsData[[#This Row],[Stage Number]]&gt;=4,1,0)</f>
        <v>0</v>
      </c>
    </row>
    <row r="968" spans="1:15" x14ac:dyDescent="0.25">
      <c r="A968" t="s">
        <v>1008</v>
      </c>
      <c r="B968" s="1">
        <v>45367</v>
      </c>
      <c r="C968" t="s">
        <v>25</v>
      </c>
      <c r="D968" t="s">
        <v>26</v>
      </c>
      <c r="E968" t="s">
        <v>21</v>
      </c>
      <c r="F968" t="s">
        <v>14</v>
      </c>
      <c r="G968" t="s">
        <v>15</v>
      </c>
      <c r="K968" cm="1">
        <f t="array" ref="K968">_xlfn.SWITCH(LeadsData[[#This Row],[Funnel Stage Reached]],"Lead",1,"MQL",2,"SQL",3,"Customer",4)</f>
        <v>1</v>
      </c>
      <c r="L968" t="str">
        <f>TEXT(LeadsData[[#This Row],[Signup Date]],"mmm-yyyy")</f>
        <v>Mar-2024</v>
      </c>
      <c r="M968">
        <f>IF(LeadsData[[#This Row],[Stage Number]]&gt;=2,1,0)</f>
        <v>0</v>
      </c>
      <c r="N968" s="2">
        <f>IF(LeadsData[[#This Row],[Stage Number]]&gt;=3,1,0)</f>
        <v>0</v>
      </c>
      <c r="O968" s="2">
        <f>IF(LeadsData[[#This Row],[Stage Number]]&gt;=4,1,0)</f>
        <v>0</v>
      </c>
    </row>
    <row r="969" spans="1:15" x14ac:dyDescent="0.25">
      <c r="A969" t="s">
        <v>1009</v>
      </c>
      <c r="B969" s="1">
        <v>45639</v>
      </c>
      <c r="C969" t="s">
        <v>11</v>
      </c>
      <c r="D969" t="s">
        <v>12</v>
      </c>
      <c r="E969" t="s">
        <v>13</v>
      </c>
      <c r="F969" t="s">
        <v>19</v>
      </c>
      <c r="G969" t="s">
        <v>29</v>
      </c>
      <c r="K969" cm="1">
        <f t="array" ref="K969">_xlfn.SWITCH(LeadsData[[#This Row],[Funnel Stage Reached]],"Lead",1,"MQL",2,"SQL",3,"Customer",4)</f>
        <v>3</v>
      </c>
      <c r="L969" t="str">
        <f>TEXT(LeadsData[[#This Row],[Signup Date]],"mmm-yyyy")</f>
        <v>Dec-2024</v>
      </c>
      <c r="M969">
        <f>IF(LeadsData[[#This Row],[Stage Number]]&gt;=2,1,0)</f>
        <v>1</v>
      </c>
      <c r="N969" s="2">
        <f>IF(LeadsData[[#This Row],[Stage Number]]&gt;=3,1,0)</f>
        <v>1</v>
      </c>
      <c r="O969" s="2">
        <f>IF(LeadsData[[#This Row],[Stage Number]]&gt;=4,1,0)</f>
        <v>0</v>
      </c>
    </row>
    <row r="970" spans="1:15" x14ac:dyDescent="0.25">
      <c r="A970" t="s">
        <v>1010</v>
      </c>
      <c r="B970" s="1">
        <v>45304</v>
      </c>
      <c r="C970" t="s">
        <v>25</v>
      </c>
      <c r="D970" t="s">
        <v>26</v>
      </c>
      <c r="E970" t="s">
        <v>13</v>
      </c>
      <c r="F970" t="s">
        <v>22</v>
      </c>
      <c r="G970" t="s">
        <v>15</v>
      </c>
      <c r="K970" cm="1">
        <f t="array" ref="K970">_xlfn.SWITCH(LeadsData[[#This Row],[Funnel Stage Reached]],"Lead",1,"MQL",2,"SQL",3,"Customer",4)</f>
        <v>1</v>
      </c>
      <c r="L970" t="str">
        <f>TEXT(LeadsData[[#This Row],[Signup Date]],"mmm-yyyy")</f>
        <v>Jan-2024</v>
      </c>
      <c r="M970">
        <f>IF(LeadsData[[#This Row],[Stage Number]]&gt;=2,1,0)</f>
        <v>0</v>
      </c>
      <c r="N970" s="2">
        <f>IF(LeadsData[[#This Row],[Stage Number]]&gt;=3,1,0)</f>
        <v>0</v>
      </c>
      <c r="O970" s="2">
        <f>IF(LeadsData[[#This Row],[Stage Number]]&gt;=4,1,0)</f>
        <v>0</v>
      </c>
    </row>
    <row r="971" spans="1:15" x14ac:dyDescent="0.25">
      <c r="A971" t="s">
        <v>1011</v>
      </c>
      <c r="B971" s="1">
        <v>45298</v>
      </c>
      <c r="C971" t="s">
        <v>31</v>
      </c>
      <c r="D971" t="s">
        <v>32</v>
      </c>
      <c r="E971" t="s">
        <v>21</v>
      </c>
      <c r="F971" t="s">
        <v>22</v>
      </c>
      <c r="G971" t="s">
        <v>42</v>
      </c>
      <c r="H971">
        <v>58</v>
      </c>
      <c r="I971" t="s">
        <v>87</v>
      </c>
      <c r="J971">
        <v>2146.73</v>
      </c>
      <c r="K971" cm="1">
        <f t="array" ref="K971">_xlfn.SWITCH(LeadsData[[#This Row],[Funnel Stage Reached]],"Lead",1,"MQL",2,"SQL",3,"Customer",4)</f>
        <v>4</v>
      </c>
      <c r="L971" t="str">
        <f>TEXT(LeadsData[[#This Row],[Signup Date]],"mmm-yyyy")</f>
        <v>Jan-2024</v>
      </c>
      <c r="M971">
        <f>IF(LeadsData[[#This Row],[Stage Number]]&gt;=2,1,0)</f>
        <v>1</v>
      </c>
      <c r="N971" s="2">
        <f>IF(LeadsData[[#This Row],[Stage Number]]&gt;=3,1,0)</f>
        <v>1</v>
      </c>
      <c r="O971" s="2">
        <f>IF(LeadsData[[#This Row],[Stage Number]]&gt;=4,1,0)</f>
        <v>1</v>
      </c>
    </row>
    <row r="972" spans="1:15" x14ac:dyDescent="0.25">
      <c r="A972" t="s">
        <v>1012</v>
      </c>
      <c r="B972" s="1">
        <v>45617</v>
      </c>
      <c r="C972" t="s">
        <v>46</v>
      </c>
      <c r="D972" t="s">
        <v>47</v>
      </c>
      <c r="E972" t="s">
        <v>21</v>
      </c>
      <c r="F972" t="s">
        <v>22</v>
      </c>
      <c r="G972" t="s">
        <v>15</v>
      </c>
      <c r="K972" cm="1">
        <f t="array" ref="K972">_xlfn.SWITCH(LeadsData[[#This Row],[Funnel Stage Reached]],"Lead",1,"MQL",2,"SQL",3,"Customer",4)</f>
        <v>1</v>
      </c>
      <c r="L972" t="str">
        <f>TEXT(LeadsData[[#This Row],[Signup Date]],"mmm-yyyy")</f>
        <v>Nov-2024</v>
      </c>
      <c r="M972">
        <f>IF(LeadsData[[#This Row],[Stage Number]]&gt;=2,1,0)</f>
        <v>0</v>
      </c>
      <c r="N972" s="2">
        <f>IF(LeadsData[[#This Row],[Stage Number]]&gt;=3,1,0)</f>
        <v>0</v>
      </c>
      <c r="O972" s="2">
        <f>IF(LeadsData[[#This Row],[Stage Number]]&gt;=4,1,0)</f>
        <v>0</v>
      </c>
    </row>
    <row r="973" spans="1:15" x14ac:dyDescent="0.25">
      <c r="A973" t="s">
        <v>1013</v>
      </c>
      <c r="B973" s="1">
        <v>45418</v>
      </c>
      <c r="C973" t="s">
        <v>31</v>
      </c>
      <c r="D973" t="s">
        <v>34</v>
      </c>
      <c r="E973" t="s">
        <v>21</v>
      </c>
      <c r="F973" t="s">
        <v>19</v>
      </c>
      <c r="G973" t="s">
        <v>15</v>
      </c>
      <c r="K973" cm="1">
        <f t="array" ref="K973">_xlfn.SWITCH(LeadsData[[#This Row],[Funnel Stage Reached]],"Lead",1,"MQL",2,"SQL",3,"Customer",4)</f>
        <v>1</v>
      </c>
      <c r="L973" t="str">
        <f>TEXT(LeadsData[[#This Row],[Signup Date]],"mmm-yyyy")</f>
        <v>May-2024</v>
      </c>
      <c r="M973">
        <f>IF(LeadsData[[#This Row],[Stage Number]]&gt;=2,1,0)</f>
        <v>0</v>
      </c>
      <c r="N973" s="2">
        <f>IF(LeadsData[[#This Row],[Stage Number]]&gt;=3,1,0)</f>
        <v>0</v>
      </c>
      <c r="O973" s="2">
        <f>IF(LeadsData[[#This Row],[Stage Number]]&gt;=4,1,0)</f>
        <v>0</v>
      </c>
    </row>
    <row r="974" spans="1:15" x14ac:dyDescent="0.25">
      <c r="A974" t="s">
        <v>1014</v>
      </c>
      <c r="B974" s="1">
        <v>45383</v>
      </c>
      <c r="C974" t="s">
        <v>46</v>
      </c>
      <c r="D974" t="s">
        <v>56</v>
      </c>
      <c r="E974" t="s">
        <v>13</v>
      </c>
      <c r="F974" t="s">
        <v>22</v>
      </c>
      <c r="G974" t="s">
        <v>15</v>
      </c>
      <c r="K974" cm="1">
        <f t="array" ref="K974">_xlfn.SWITCH(LeadsData[[#This Row],[Funnel Stage Reached]],"Lead",1,"MQL",2,"SQL",3,"Customer",4)</f>
        <v>1</v>
      </c>
      <c r="L974" t="str">
        <f>TEXT(LeadsData[[#This Row],[Signup Date]],"mmm-yyyy")</f>
        <v>Apr-2024</v>
      </c>
      <c r="M974">
        <f>IF(LeadsData[[#This Row],[Stage Number]]&gt;=2,1,0)</f>
        <v>0</v>
      </c>
      <c r="N974" s="2">
        <f>IF(LeadsData[[#This Row],[Stage Number]]&gt;=3,1,0)</f>
        <v>0</v>
      </c>
      <c r="O974" s="2">
        <f>IF(LeadsData[[#This Row],[Stage Number]]&gt;=4,1,0)</f>
        <v>0</v>
      </c>
    </row>
    <row r="975" spans="1:15" x14ac:dyDescent="0.25">
      <c r="A975" t="s">
        <v>1015</v>
      </c>
      <c r="B975" s="1">
        <v>45495</v>
      </c>
      <c r="C975" t="s">
        <v>25</v>
      </c>
      <c r="D975" t="s">
        <v>26</v>
      </c>
      <c r="E975" t="s">
        <v>21</v>
      </c>
      <c r="F975" t="s">
        <v>19</v>
      </c>
      <c r="G975" t="s">
        <v>15</v>
      </c>
      <c r="K975" cm="1">
        <f t="array" ref="K975">_xlfn.SWITCH(LeadsData[[#This Row],[Funnel Stage Reached]],"Lead",1,"MQL",2,"SQL",3,"Customer",4)</f>
        <v>1</v>
      </c>
      <c r="L975" t="str">
        <f>TEXT(LeadsData[[#This Row],[Signup Date]],"mmm-yyyy")</f>
        <v>Jul-2024</v>
      </c>
      <c r="M975">
        <f>IF(LeadsData[[#This Row],[Stage Number]]&gt;=2,1,0)</f>
        <v>0</v>
      </c>
      <c r="N975" s="2">
        <f>IF(LeadsData[[#This Row],[Stage Number]]&gt;=3,1,0)</f>
        <v>0</v>
      </c>
      <c r="O975" s="2">
        <f>IF(LeadsData[[#This Row],[Stage Number]]&gt;=4,1,0)</f>
        <v>0</v>
      </c>
    </row>
    <row r="976" spans="1:15" x14ac:dyDescent="0.25">
      <c r="A976" t="s">
        <v>1016</v>
      </c>
      <c r="B976" s="1">
        <v>45426</v>
      </c>
      <c r="C976" t="s">
        <v>11</v>
      </c>
      <c r="D976" t="s">
        <v>68</v>
      </c>
      <c r="E976" t="s">
        <v>21</v>
      </c>
      <c r="F976" t="s">
        <v>14</v>
      </c>
      <c r="G976" t="s">
        <v>15</v>
      </c>
      <c r="K976" cm="1">
        <f t="array" ref="K976">_xlfn.SWITCH(LeadsData[[#This Row],[Funnel Stage Reached]],"Lead",1,"MQL",2,"SQL",3,"Customer",4)</f>
        <v>1</v>
      </c>
      <c r="L976" t="str">
        <f>TEXT(LeadsData[[#This Row],[Signup Date]],"mmm-yyyy")</f>
        <v>May-2024</v>
      </c>
      <c r="M976">
        <f>IF(LeadsData[[#This Row],[Stage Number]]&gt;=2,1,0)</f>
        <v>0</v>
      </c>
      <c r="N976" s="2">
        <f>IF(LeadsData[[#This Row],[Stage Number]]&gt;=3,1,0)</f>
        <v>0</v>
      </c>
      <c r="O976" s="2">
        <f>IF(LeadsData[[#This Row],[Stage Number]]&gt;=4,1,0)</f>
        <v>0</v>
      </c>
    </row>
    <row r="977" spans="1:15" x14ac:dyDescent="0.25">
      <c r="A977" t="s">
        <v>1017</v>
      </c>
      <c r="B977" s="1">
        <v>45389</v>
      </c>
      <c r="C977" t="s">
        <v>36</v>
      </c>
      <c r="D977" t="s">
        <v>37</v>
      </c>
      <c r="E977" t="s">
        <v>13</v>
      </c>
      <c r="F977" t="s">
        <v>22</v>
      </c>
      <c r="G977" t="s">
        <v>42</v>
      </c>
      <c r="H977">
        <v>22</v>
      </c>
      <c r="I977" t="s">
        <v>43</v>
      </c>
      <c r="J977">
        <v>986.64</v>
      </c>
      <c r="K977" cm="1">
        <f t="array" ref="K977">_xlfn.SWITCH(LeadsData[[#This Row],[Funnel Stage Reached]],"Lead",1,"MQL",2,"SQL",3,"Customer",4)</f>
        <v>4</v>
      </c>
      <c r="L977" t="str">
        <f>TEXT(LeadsData[[#This Row],[Signup Date]],"mmm-yyyy")</f>
        <v>Apr-2024</v>
      </c>
      <c r="M977">
        <f>IF(LeadsData[[#This Row],[Stage Number]]&gt;=2,1,0)</f>
        <v>1</v>
      </c>
      <c r="N977" s="2">
        <f>IF(LeadsData[[#This Row],[Stage Number]]&gt;=3,1,0)</f>
        <v>1</v>
      </c>
      <c r="O977" s="2">
        <f>IF(LeadsData[[#This Row],[Stage Number]]&gt;=4,1,0)</f>
        <v>1</v>
      </c>
    </row>
    <row r="978" spans="1:15" x14ac:dyDescent="0.25">
      <c r="A978" t="s">
        <v>1018</v>
      </c>
      <c r="B978" s="1">
        <v>45539</v>
      </c>
      <c r="C978" t="s">
        <v>17</v>
      </c>
      <c r="D978" t="s">
        <v>53</v>
      </c>
      <c r="E978" t="s">
        <v>21</v>
      </c>
      <c r="F978" t="s">
        <v>22</v>
      </c>
      <c r="G978" t="s">
        <v>29</v>
      </c>
      <c r="K978" cm="1">
        <f t="array" ref="K978">_xlfn.SWITCH(LeadsData[[#This Row],[Funnel Stage Reached]],"Lead",1,"MQL",2,"SQL",3,"Customer",4)</f>
        <v>3</v>
      </c>
      <c r="L978" t="str">
        <f>TEXT(LeadsData[[#This Row],[Signup Date]],"mmm-yyyy")</f>
        <v>Sep-2024</v>
      </c>
      <c r="M978">
        <f>IF(LeadsData[[#This Row],[Stage Number]]&gt;=2,1,0)</f>
        <v>1</v>
      </c>
      <c r="N978" s="2">
        <f>IF(LeadsData[[#This Row],[Stage Number]]&gt;=3,1,0)</f>
        <v>1</v>
      </c>
      <c r="O978" s="2">
        <f>IF(LeadsData[[#This Row],[Stage Number]]&gt;=4,1,0)</f>
        <v>0</v>
      </c>
    </row>
    <row r="979" spans="1:15" x14ac:dyDescent="0.25">
      <c r="A979" t="s">
        <v>1019</v>
      </c>
      <c r="B979" s="1">
        <v>45310</v>
      </c>
      <c r="C979" t="s">
        <v>31</v>
      </c>
      <c r="D979" t="s">
        <v>34</v>
      </c>
      <c r="E979" t="s">
        <v>13</v>
      </c>
      <c r="F979" t="s">
        <v>19</v>
      </c>
      <c r="G979" t="s">
        <v>23</v>
      </c>
      <c r="K979" cm="1">
        <f t="array" ref="K979">_xlfn.SWITCH(LeadsData[[#This Row],[Funnel Stage Reached]],"Lead",1,"MQL",2,"SQL",3,"Customer",4)</f>
        <v>2</v>
      </c>
      <c r="L979" t="str">
        <f>TEXT(LeadsData[[#This Row],[Signup Date]],"mmm-yyyy")</f>
        <v>Jan-2024</v>
      </c>
      <c r="M979">
        <f>IF(LeadsData[[#This Row],[Stage Number]]&gt;=2,1,0)</f>
        <v>1</v>
      </c>
      <c r="N979" s="2">
        <f>IF(LeadsData[[#This Row],[Stage Number]]&gt;=3,1,0)</f>
        <v>0</v>
      </c>
      <c r="O979" s="2">
        <f>IF(LeadsData[[#This Row],[Stage Number]]&gt;=4,1,0)</f>
        <v>0</v>
      </c>
    </row>
    <row r="980" spans="1:15" x14ac:dyDescent="0.25">
      <c r="A980" t="s">
        <v>1020</v>
      </c>
      <c r="B980" s="1">
        <v>45467</v>
      </c>
      <c r="C980" t="s">
        <v>31</v>
      </c>
      <c r="D980" t="s">
        <v>32</v>
      </c>
      <c r="E980" t="s">
        <v>21</v>
      </c>
      <c r="F980" t="s">
        <v>19</v>
      </c>
      <c r="G980" t="s">
        <v>15</v>
      </c>
      <c r="K980" cm="1">
        <f t="array" ref="K980">_xlfn.SWITCH(LeadsData[[#This Row],[Funnel Stage Reached]],"Lead",1,"MQL",2,"SQL",3,"Customer",4)</f>
        <v>1</v>
      </c>
      <c r="L980" t="str">
        <f>TEXT(LeadsData[[#This Row],[Signup Date]],"mmm-yyyy")</f>
        <v>Jun-2024</v>
      </c>
      <c r="M980">
        <f>IF(LeadsData[[#This Row],[Stage Number]]&gt;=2,1,0)</f>
        <v>0</v>
      </c>
      <c r="N980" s="2">
        <f>IF(LeadsData[[#This Row],[Stage Number]]&gt;=3,1,0)</f>
        <v>0</v>
      </c>
      <c r="O980" s="2">
        <f>IF(LeadsData[[#This Row],[Stage Number]]&gt;=4,1,0)</f>
        <v>0</v>
      </c>
    </row>
    <row r="981" spans="1:15" x14ac:dyDescent="0.25">
      <c r="A981" t="s">
        <v>1021</v>
      </c>
      <c r="B981" s="1">
        <v>45576</v>
      </c>
      <c r="C981" t="s">
        <v>11</v>
      </c>
      <c r="D981" t="s">
        <v>79</v>
      </c>
      <c r="E981" t="s">
        <v>13</v>
      </c>
      <c r="F981" t="s">
        <v>14</v>
      </c>
      <c r="G981" t="s">
        <v>15</v>
      </c>
      <c r="K981" cm="1">
        <f t="array" ref="K981">_xlfn.SWITCH(LeadsData[[#This Row],[Funnel Stage Reached]],"Lead",1,"MQL",2,"SQL",3,"Customer",4)</f>
        <v>1</v>
      </c>
      <c r="L981" t="str">
        <f>TEXT(LeadsData[[#This Row],[Signup Date]],"mmm-yyyy")</f>
        <v>Oct-2024</v>
      </c>
      <c r="M981">
        <f>IF(LeadsData[[#This Row],[Stage Number]]&gt;=2,1,0)</f>
        <v>0</v>
      </c>
      <c r="N981" s="2">
        <f>IF(LeadsData[[#This Row],[Stage Number]]&gt;=3,1,0)</f>
        <v>0</v>
      </c>
      <c r="O981" s="2">
        <f>IF(LeadsData[[#This Row],[Stage Number]]&gt;=4,1,0)</f>
        <v>0</v>
      </c>
    </row>
    <row r="982" spans="1:15" x14ac:dyDescent="0.25">
      <c r="A982" t="s">
        <v>1022</v>
      </c>
      <c r="B982" s="1">
        <v>45421</v>
      </c>
      <c r="C982" t="s">
        <v>17</v>
      </c>
      <c r="D982" t="s">
        <v>18</v>
      </c>
      <c r="E982" t="s">
        <v>13</v>
      </c>
      <c r="F982" t="s">
        <v>19</v>
      </c>
      <c r="G982" t="s">
        <v>15</v>
      </c>
      <c r="K982" cm="1">
        <f t="array" ref="K982">_xlfn.SWITCH(LeadsData[[#This Row],[Funnel Stage Reached]],"Lead",1,"MQL",2,"SQL",3,"Customer",4)</f>
        <v>1</v>
      </c>
      <c r="L982" t="str">
        <f>TEXT(LeadsData[[#This Row],[Signup Date]],"mmm-yyyy")</f>
        <v>May-2024</v>
      </c>
      <c r="M982">
        <f>IF(LeadsData[[#This Row],[Stage Number]]&gt;=2,1,0)</f>
        <v>0</v>
      </c>
      <c r="N982" s="2">
        <f>IF(LeadsData[[#This Row],[Stage Number]]&gt;=3,1,0)</f>
        <v>0</v>
      </c>
      <c r="O982" s="2">
        <f>IF(LeadsData[[#This Row],[Stage Number]]&gt;=4,1,0)</f>
        <v>0</v>
      </c>
    </row>
    <row r="983" spans="1:15" x14ac:dyDescent="0.25">
      <c r="A983" t="s">
        <v>1023</v>
      </c>
      <c r="B983" s="1">
        <v>45556</v>
      </c>
      <c r="C983" t="s">
        <v>46</v>
      </c>
      <c r="D983" t="s">
        <v>56</v>
      </c>
      <c r="E983" t="s">
        <v>13</v>
      </c>
      <c r="F983" t="s">
        <v>14</v>
      </c>
      <c r="G983" t="s">
        <v>15</v>
      </c>
      <c r="K983" cm="1">
        <f t="array" ref="K983">_xlfn.SWITCH(LeadsData[[#This Row],[Funnel Stage Reached]],"Lead",1,"MQL",2,"SQL",3,"Customer",4)</f>
        <v>1</v>
      </c>
      <c r="L983" t="str">
        <f>TEXT(LeadsData[[#This Row],[Signup Date]],"mmm-yyyy")</f>
        <v>Sep-2024</v>
      </c>
      <c r="M983">
        <f>IF(LeadsData[[#This Row],[Stage Number]]&gt;=2,1,0)</f>
        <v>0</v>
      </c>
      <c r="N983" s="2">
        <f>IF(LeadsData[[#This Row],[Stage Number]]&gt;=3,1,0)</f>
        <v>0</v>
      </c>
      <c r="O983" s="2">
        <f>IF(LeadsData[[#This Row],[Stage Number]]&gt;=4,1,0)</f>
        <v>0</v>
      </c>
    </row>
    <row r="984" spans="1:15" x14ac:dyDescent="0.25">
      <c r="A984" t="s">
        <v>1024</v>
      </c>
      <c r="B984" s="1">
        <v>45568</v>
      </c>
      <c r="C984" t="s">
        <v>31</v>
      </c>
      <c r="D984" t="s">
        <v>34</v>
      </c>
      <c r="E984" t="s">
        <v>21</v>
      </c>
      <c r="F984" t="s">
        <v>19</v>
      </c>
      <c r="G984" t="s">
        <v>15</v>
      </c>
      <c r="K984" cm="1">
        <f t="array" ref="K984">_xlfn.SWITCH(LeadsData[[#This Row],[Funnel Stage Reached]],"Lead",1,"MQL",2,"SQL",3,"Customer",4)</f>
        <v>1</v>
      </c>
      <c r="L984" t="str">
        <f>TEXT(LeadsData[[#This Row],[Signup Date]],"mmm-yyyy")</f>
        <v>Oct-2024</v>
      </c>
      <c r="M984">
        <f>IF(LeadsData[[#This Row],[Stage Number]]&gt;=2,1,0)</f>
        <v>0</v>
      </c>
      <c r="N984" s="2">
        <f>IF(LeadsData[[#This Row],[Stage Number]]&gt;=3,1,0)</f>
        <v>0</v>
      </c>
      <c r="O984" s="2">
        <f>IF(LeadsData[[#This Row],[Stage Number]]&gt;=4,1,0)</f>
        <v>0</v>
      </c>
    </row>
    <row r="985" spans="1:15" x14ac:dyDescent="0.25">
      <c r="A985" t="s">
        <v>1025</v>
      </c>
      <c r="B985" s="1">
        <v>45641</v>
      </c>
      <c r="C985" t="s">
        <v>17</v>
      </c>
      <c r="D985" t="s">
        <v>18</v>
      </c>
      <c r="E985" t="s">
        <v>13</v>
      </c>
      <c r="F985" t="s">
        <v>22</v>
      </c>
      <c r="G985" t="s">
        <v>23</v>
      </c>
      <c r="K985" cm="1">
        <f t="array" ref="K985">_xlfn.SWITCH(LeadsData[[#This Row],[Funnel Stage Reached]],"Lead",1,"MQL",2,"SQL",3,"Customer",4)</f>
        <v>2</v>
      </c>
      <c r="L985" t="str">
        <f>TEXT(LeadsData[[#This Row],[Signup Date]],"mmm-yyyy")</f>
        <v>Dec-2024</v>
      </c>
      <c r="M985">
        <f>IF(LeadsData[[#This Row],[Stage Number]]&gt;=2,1,0)</f>
        <v>1</v>
      </c>
      <c r="N985" s="2">
        <f>IF(LeadsData[[#This Row],[Stage Number]]&gt;=3,1,0)</f>
        <v>0</v>
      </c>
      <c r="O985" s="2">
        <f>IF(LeadsData[[#This Row],[Stage Number]]&gt;=4,1,0)</f>
        <v>0</v>
      </c>
    </row>
    <row r="986" spans="1:15" x14ac:dyDescent="0.25">
      <c r="A986" t="s">
        <v>1026</v>
      </c>
      <c r="B986" s="1">
        <v>45462</v>
      </c>
      <c r="C986" t="s">
        <v>31</v>
      </c>
      <c r="D986" t="s">
        <v>32</v>
      </c>
      <c r="E986" t="s">
        <v>13</v>
      </c>
      <c r="F986" t="s">
        <v>19</v>
      </c>
      <c r="G986" t="s">
        <v>23</v>
      </c>
      <c r="K986" cm="1">
        <f t="array" ref="K986">_xlfn.SWITCH(LeadsData[[#This Row],[Funnel Stage Reached]],"Lead",1,"MQL",2,"SQL",3,"Customer",4)</f>
        <v>2</v>
      </c>
      <c r="L986" t="str">
        <f>TEXT(LeadsData[[#This Row],[Signup Date]],"mmm-yyyy")</f>
        <v>Jun-2024</v>
      </c>
      <c r="M986">
        <f>IF(LeadsData[[#This Row],[Stage Number]]&gt;=2,1,0)</f>
        <v>1</v>
      </c>
      <c r="N986" s="2">
        <f>IF(LeadsData[[#This Row],[Stage Number]]&gt;=3,1,0)</f>
        <v>0</v>
      </c>
      <c r="O986" s="2">
        <f>IF(LeadsData[[#This Row],[Stage Number]]&gt;=4,1,0)</f>
        <v>0</v>
      </c>
    </row>
    <row r="987" spans="1:15" x14ac:dyDescent="0.25">
      <c r="A987" t="s">
        <v>1027</v>
      </c>
      <c r="B987" s="1">
        <v>45386</v>
      </c>
      <c r="C987" t="s">
        <v>46</v>
      </c>
      <c r="D987" t="s">
        <v>47</v>
      </c>
      <c r="E987" t="s">
        <v>21</v>
      </c>
      <c r="F987" t="s">
        <v>22</v>
      </c>
      <c r="G987" t="s">
        <v>23</v>
      </c>
      <c r="K987" cm="1">
        <f t="array" ref="K987">_xlfn.SWITCH(LeadsData[[#This Row],[Funnel Stage Reached]],"Lead",1,"MQL",2,"SQL",3,"Customer",4)</f>
        <v>2</v>
      </c>
      <c r="L987" t="str">
        <f>TEXT(LeadsData[[#This Row],[Signup Date]],"mmm-yyyy")</f>
        <v>Apr-2024</v>
      </c>
      <c r="M987">
        <f>IF(LeadsData[[#This Row],[Stage Number]]&gt;=2,1,0)</f>
        <v>1</v>
      </c>
      <c r="N987" s="2">
        <f>IF(LeadsData[[#This Row],[Stage Number]]&gt;=3,1,0)</f>
        <v>0</v>
      </c>
      <c r="O987" s="2">
        <f>IF(LeadsData[[#This Row],[Stage Number]]&gt;=4,1,0)</f>
        <v>0</v>
      </c>
    </row>
    <row r="988" spans="1:15" x14ac:dyDescent="0.25">
      <c r="A988" t="s">
        <v>1028</v>
      </c>
      <c r="B988" s="1">
        <v>45611</v>
      </c>
      <c r="C988" t="s">
        <v>46</v>
      </c>
      <c r="D988" t="s">
        <v>47</v>
      </c>
      <c r="E988" t="s">
        <v>13</v>
      </c>
      <c r="F988" t="s">
        <v>22</v>
      </c>
      <c r="G988" t="s">
        <v>15</v>
      </c>
      <c r="K988" cm="1">
        <f t="array" ref="K988">_xlfn.SWITCH(LeadsData[[#This Row],[Funnel Stage Reached]],"Lead",1,"MQL",2,"SQL",3,"Customer",4)</f>
        <v>1</v>
      </c>
      <c r="L988" t="str">
        <f>TEXT(LeadsData[[#This Row],[Signup Date]],"mmm-yyyy")</f>
        <v>Nov-2024</v>
      </c>
      <c r="M988">
        <f>IF(LeadsData[[#This Row],[Stage Number]]&gt;=2,1,0)</f>
        <v>0</v>
      </c>
      <c r="N988" s="2">
        <f>IF(LeadsData[[#This Row],[Stage Number]]&gt;=3,1,0)</f>
        <v>0</v>
      </c>
      <c r="O988" s="2">
        <f>IF(LeadsData[[#This Row],[Stage Number]]&gt;=4,1,0)</f>
        <v>0</v>
      </c>
    </row>
    <row r="989" spans="1:15" x14ac:dyDescent="0.25">
      <c r="A989" t="s">
        <v>1029</v>
      </c>
      <c r="B989" s="1">
        <v>45631</v>
      </c>
      <c r="C989" t="s">
        <v>17</v>
      </c>
      <c r="D989" t="s">
        <v>18</v>
      </c>
      <c r="E989" t="s">
        <v>21</v>
      </c>
      <c r="F989" t="s">
        <v>19</v>
      </c>
      <c r="G989" t="s">
        <v>23</v>
      </c>
      <c r="K989" cm="1">
        <f t="array" ref="K989">_xlfn.SWITCH(LeadsData[[#This Row],[Funnel Stage Reached]],"Lead",1,"MQL",2,"SQL",3,"Customer",4)</f>
        <v>2</v>
      </c>
      <c r="L989" t="str">
        <f>TEXT(LeadsData[[#This Row],[Signup Date]],"mmm-yyyy")</f>
        <v>Dec-2024</v>
      </c>
      <c r="M989">
        <f>IF(LeadsData[[#This Row],[Stage Number]]&gt;=2,1,0)</f>
        <v>1</v>
      </c>
      <c r="N989" s="2">
        <f>IF(LeadsData[[#This Row],[Stage Number]]&gt;=3,1,0)</f>
        <v>0</v>
      </c>
      <c r="O989" s="2">
        <f>IF(LeadsData[[#This Row],[Stage Number]]&gt;=4,1,0)</f>
        <v>0</v>
      </c>
    </row>
    <row r="990" spans="1:15" x14ac:dyDescent="0.25">
      <c r="A990" t="s">
        <v>1030</v>
      </c>
      <c r="B990" s="1">
        <v>45333</v>
      </c>
      <c r="C990" t="s">
        <v>17</v>
      </c>
      <c r="D990" t="s">
        <v>53</v>
      </c>
      <c r="E990" t="s">
        <v>48</v>
      </c>
      <c r="F990" t="s">
        <v>14</v>
      </c>
      <c r="G990" t="s">
        <v>15</v>
      </c>
      <c r="K990" cm="1">
        <f t="array" ref="K990">_xlfn.SWITCH(LeadsData[[#This Row],[Funnel Stage Reached]],"Lead",1,"MQL",2,"SQL",3,"Customer",4)</f>
        <v>1</v>
      </c>
      <c r="L990" t="str">
        <f>TEXT(LeadsData[[#This Row],[Signup Date]],"mmm-yyyy")</f>
        <v>Feb-2024</v>
      </c>
      <c r="M990">
        <f>IF(LeadsData[[#This Row],[Stage Number]]&gt;=2,1,0)</f>
        <v>0</v>
      </c>
      <c r="N990" s="2">
        <f>IF(LeadsData[[#This Row],[Stage Number]]&gt;=3,1,0)</f>
        <v>0</v>
      </c>
      <c r="O990" s="2">
        <f>IF(LeadsData[[#This Row],[Stage Number]]&gt;=4,1,0)</f>
        <v>0</v>
      </c>
    </row>
    <row r="991" spans="1:15" x14ac:dyDescent="0.25">
      <c r="A991" t="s">
        <v>1031</v>
      </c>
      <c r="B991" s="1">
        <v>45616</v>
      </c>
      <c r="C991" t="s">
        <v>31</v>
      </c>
      <c r="D991" t="s">
        <v>34</v>
      </c>
      <c r="E991" t="s">
        <v>13</v>
      </c>
      <c r="F991" t="s">
        <v>19</v>
      </c>
      <c r="G991" t="s">
        <v>23</v>
      </c>
      <c r="K991" cm="1">
        <f t="array" ref="K991">_xlfn.SWITCH(LeadsData[[#This Row],[Funnel Stage Reached]],"Lead",1,"MQL",2,"SQL",3,"Customer",4)</f>
        <v>2</v>
      </c>
      <c r="L991" t="str">
        <f>TEXT(LeadsData[[#This Row],[Signup Date]],"mmm-yyyy")</f>
        <v>Nov-2024</v>
      </c>
      <c r="M991">
        <f>IF(LeadsData[[#This Row],[Stage Number]]&gt;=2,1,0)</f>
        <v>1</v>
      </c>
      <c r="N991" s="2">
        <f>IF(LeadsData[[#This Row],[Stage Number]]&gt;=3,1,0)</f>
        <v>0</v>
      </c>
      <c r="O991" s="2">
        <f>IF(LeadsData[[#This Row],[Stage Number]]&gt;=4,1,0)</f>
        <v>0</v>
      </c>
    </row>
    <row r="992" spans="1:15" x14ac:dyDescent="0.25">
      <c r="A992" t="s">
        <v>1032</v>
      </c>
      <c r="B992" s="1">
        <v>45299</v>
      </c>
      <c r="C992" t="s">
        <v>46</v>
      </c>
      <c r="D992" t="s">
        <v>56</v>
      </c>
      <c r="E992" t="s">
        <v>13</v>
      </c>
      <c r="F992" t="s">
        <v>22</v>
      </c>
      <c r="G992" t="s">
        <v>29</v>
      </c>
      <c r="K992" cm="1">
        <f t="array" ref="K992">_xlfn.SWITCH(LeadsData[[#This Row],[Funnel Stage Reached]],"Lead",1,"MQL",2,"SQL",3,"Customer",4)</f>
        <v>3</v>
      </c>
      <c r="L992" t="str">
        <f>TEXT(LeadsData[[#This Row],[Signup Date]],"mmm-yyyy")</f>
        <v>Jan-2024</v>
      </c>
      <c r="M992">
        <f>IF(LeadsData[[#This Row],[Stage Number]]&gt;=2,1,0)</f>
        <v>1</v>
      </c>
      <c r="N992" s="2">
        <f>IF(LeadsData[[#This Row],[Stage Number]]&gt;=3,1,0)</f>
        <v>1</v>
      </c>
      <c r="O992" s="2">
        <f>IF(LeadsData[[#This Row],[Stage Number]]&gt;=4,1,0)</f>
        <v>0</v>
      </c>
    </row>
    <row r="993" spans="1:15" x14ac:dyDescent="0.25">
      <c r="A993" t="s">
        <v>1033</v>
      </c>
      <c r="B993" s="1">
        <v>45568</v>
      </c>
      <c r="C993" t="s">
        <v>25</v>
      </c>
      <c r="D993" t="s">
        <v>26</v>
      </c>
      <c r="E993" t="s">
        <v>13</v>
      </c>
      <c r="F993" t="s">
        <v>19</v>
      </c>
      <c r="G993" t="s">
        <v>42</v>
      </c>
      <c r="H993">
        <v>32</v>
      </c>
      <c r="I993" t="s">
        <v>87</v>
      </c>
      <c r="J993">
        <v>1766.45</v>
      </c>
      <c r="K993" cm="1">
        <f t="array" ref="K993">_xlfn.SWITCH(LeadsData[[#This Row],[Funnel Stage Reached]],"Lead",1,"MQL",2,"SQL",3,"Customer",4)</f>
        <v>4</v>
      </c>
      <c r="L993" t="str">
        <f>TEXT(LeadsData[[#This Row],[Signup Date]],"mmm-yyyy")</f>
        <v>Oct-2024</v>
      </c>
      <c r="M993">
        <f>IF(LeadsData[[#This Row],[Stage Number]]&gt;=2,1,0)</f>
        <v>1</v>
      </c>
      <c r="N993" s="2">
        <f>IF(LeadsData[[#This Row],[Stage Number]]&gt;=3,1,0)</f>
        <v>1</v>
      </c>
      <c r="O993" s="2">
        <f>IF(LeadsData[[#This Row],[Stage Number]]&gt;=4,1,0)</f>
        <v>1</v>
      </c>
    </row>
    <row r="994" spans="1:15" x14ac:dyDescent="0.25">
      <c r="A994" t="s">
        <v>1034</v>
      </c>
      <c r="B994" s="1">
        <v>45446</v>
      </c>
      <c r="C994" t="s">
        <v>31</v>
      </c>
      <c r="D994" t="s">
        <v>34</v>
      </c>
      <c r="E994" t="s">
        <v>13</v>
      </c>
      <c r="F994" t="s">
        <v>22</v>
      </c>
      <c r="G994" t="s">
        <v>15</v>
      </c>
      <c r="K994" cm="1">
        <f t="array" ref="K994">_xlfn.SWITCH(LeadsData[[#This Row],[Funnel Stage Reached]],"Lead",1,"MQL",2,"SQL",3,"Customer",4)</f>
        <v>1</v>
      </c>
      <c r="L994" t="str">
        <f>TEXT(LeadsData[[#This Row],[Signup Date]],"mmm-yyyy")</f>
        <v>Jun-2024</v>
      </c>
      <c r="M994">
        <f>IF(LeadsData[[#This Row],[Stage Number]]&gt;=2,1,0)</f>
        <v>0</v>
      </c>
      <c r="N994" s="2">
        <f>IF(LeadsData[[#This Row],[Stage Number]]&gt;=3,1,0)</f>
        <v>0</v>
      </c>
      <c r="O994" s="2">
        <f>IF(LeadsData[[#This Row],[Stage Number]]&gt;=4,1,0)</f>
        <v>0</v>
      </c>
    </row>
    <row r="995" spans="1:15" x14ac:dyDescent="0.25">
      <c r="A995" t="s">
        <v>1035</v>
      </c>
      <c r="B995" s="1">
        <v>45573</v>
      </c>
      <c r="C995" t="s">
        <v>31</v>
      </c>
      <c r="D995" t="s">
        <v>34</v>
      </c>
      <c r="E995" t="s">
        <v>48</v>
      </c>
      <c r="F995" t="s">
        <v>19</v>
      </c>
      <c r="G995" t="s">
        <v>15</v>
      </c>
      <c r="K995" cm="1">
        <f t="array" ref="K995">_xlfn.SWITCH(LeadsData[[#This Row],[Funnel Stage Reached]],"Lead",1,"MQL",2,"SQL",3,"Customer",4)</f>
        <v>1</v>
      </c>
      <c r="L995" t="str">
        <f>TEXT(LeadsData[[#This Row],[Signup Date]],"mmm-yyyy")</f>
        <v>Oct-2024</v>
      </c>
      <c r="M995">
        <f>IF(LeadsData[[#This Row],[Stage Number]]&gt;=2,1,0)</f>
        <v>0</v>
      </c>
      <c r="N995" s="2">
        <f>IF(LeadsData[[#This Row],[Stage Number]]&gt;=3,1,0)</f>
        <v>0</v>
      </c>
      <c r="O995" s="2">
        <f>IF(LeadsData[[#This Row],[Stage Number]]&gt;=4,1,0)</f>
        <v>0</v>
      </c>
    </row>
    <row r="996" spans="1:15" x14ac:dyDescent="0.25">
      <c r="A996" t="s">
        <v>1036</v>
      </c>
      <c r="B996" s="1">
        <v>45584</v>
      </c>
      <c r="C996" t="s">
        <v>36</v>
      </c>
      <c r="D996" t="s">
        <v>50</v>
      </c>
      <c r="E996" t="s">
        <v>13</v>
      </c>
      <c r="F996" t="s">
        <v>14</v>
      </c>
      <c r="G996" t="s">
        <v>42</v>
      </c>
      <c r="H996">
        <v>42</v>
      </c>
      <c r="I996" t="s">
        <v>87</v>
      </c>
      <c r="J996">
        <v>3347.95</v>
      </c>
      <c r="K996" cm="1">
        <f t="array" ref="K996">_xlfn.SWITCH(LeadsData[[#This Row],[Funnel Stage Reached]],"Lead",1,"MQL",2,"SQL",3,"Customer",4)</f>
        <v>4</v>
      </c>
      <c r="L996" t="str">
        <f>TEXT(LeadsData[[#This Row],[Signup Date]],"mmm-yyyy")</f>
        <v>Oct-2024</v>
      </c>
      <c r="M996">
        <f>IF(LeadsData[[#This Row],[Stage Number]]&gt;=2,1,0)</f>
        <v>1</v>
      </c>
      <c r="N996" s="2">
        <f>IF(LeadsData[[#This Row],[Stage Number]]&gt;=3,1,0)</f>
        <v>1</v>
      </c>
      <c r="O996" s="2">
        <f>IF(LeadsData[[#This Row],[Stage Number]]&gt;=4,1,0)</f>
        <v>1</v>
      </c>
    </row>
    <row r="997" spans="1:15" x14ac:dyDescent="0.25">
      <c r="A997" t="s">
        <v>1037</v>
      </c>
      <c r="B997" s="1">
        <v>45539</v>
      </c>
      <c r="C997" t="s">
        <v>31</v>
      </c>
      <c r="D997" t="s">
        <v>34</v>
      </c>
      <c r="E997" t="s">
        <v>21</v>
      </c>
      <c r="F997" t="s">
        <v>22</v>
      </c>
      <c r="G997" t="s">
        <v>42</v>
      </c>
      <c r="H997">
        <v>71</v>
      </c>
      <c r="I997" t="s">
        <v>183</v>
      </c>
      <c r="J997">
        <v>19774.27</v>
      </c>
      <c r="K997" cm="1">
        <f t="array" ref="K997">_xlfn.SWITCH(LeadsData[[#This Row],[Funnel Stage Reached]],"Lead",1,"MQL",2,"SQL",3,"Customer",4)</f>
        <v>4</v>
      </c>
      <c r="L997" t="str">
        <f>TEXT(LeadsData[[#This Row],[Signup Date]],"mmm-yyyy")</f>
        <v>Sep-2024</v>
      </c>
      <c r="M997">
        <f>IF(LeadsData[[#This Row],[Stage Number]]&gt;=2,1,0)</f>
        <v>1</v>
      </c>
      <c r="N997" s="2">
        <f>IF(LeadsData[[#This Row],[Stage Number]]&gt;=3,1,0)</f>
        <v>1</v>
      </c>
      <c r="O997" s="2">
        <f>IF(LeadsData[[#This Row],[Stage Number]]&gt;=4,1,0)</f>
        <v>1</v>
      </c>
    </row>
    <row r="998" spans="1:15" x14ac:dyDescent="0.25">
      <c r="A998" t="s">
        <v>1038</v>
      </c>
      <c r="B998" s="1">
        <v>45495</v>
      </c>
      <c r="C998" t="s">
        <v>46</v>
      </c>
      <c r="D998" t="s">
        <v>56</v>
      </c>
      <c r="E998" t="s">
        <v>13</v>
      </c>
      <c r="F998" t="s">
        <v>19</v>
      </c>
      <c r="G998" t="s">
        <v>29</v>
      </c>
      <c r="K998" cm="1">
        <f t="array" ref="K998">_xlfn.SWITCH(LeadsData[[#This Row],[Funnel Stage Reached]],"Lead",1,"MQL",2,"SQL",3,"Customer",4)</f>
        <v>3</v>
      </c>
      <c r="L998" t="str">
        <f>TEXT(LeadsData[[#This Row],[Signup Date]],"mmm-yyyy")</f>
        <v>Jul-2024</v>
      </c>
      <c r="M998">
        <f>IF(LeadsData[[#This Row],[Stage Number]]&gt;=2,1,0)</f>
        <v>1</v>
      </c>
      <c r="N998" s="2">
        <f>IF(LeadsData[[#This Row],[Stage Number]]&gt;=3,1,0)</f>
        <v>1</v>
      </c>
      <c r="O998" s="2">
        <f>IF(LeadsData[[#This Row],[Stage Number]]&gt;=4,1,0)</f>
        <v>0</v>
      </c>
    </row>
    <row r="999" spans="1:15" x14ac:dyDescent="0.25">
      <c r="A999" t="s">
        <v>1039</v>
      </c>
      <c r="B999" s="1">
        <v>45406</v>
      </c>
      <c r="C999" t="s">
        <v>46</v>
      </c>
      <c r="D999" t="s">
        <v>47</v>
      </c>
      <c r="E999" t="s">
        <v>21</v>
      </c>
      <c r="F999" t="s">
        <v>22</v>
      </c>
      <c r="G999" t="s">
        <v>15</v>
      </c>
      <c r="K999" cm="1">
        <f t="array" ref="K999">_xlfn.SWITCH(LeadsData[[#This Row],[Funnel Stage Reached]],"Lead",1,"MQL",2,"SQL",3,"Customer",4)</f>
        <v>1</v>
      </c>
      <c r="L999" t="str">
        <f>TEXT(LeadsData[[#This Row],[Signup Date]],"mmm-yyyy")</f>
        <v>Apr-2024</v>
      </c>
      <c r="M999">
        <f>IF(LeadsData[[#This Row],[Stage Number]]&gt;=2,1,0)</f>
        <v>0</v>
      </c>
      <c r="N999" s="2">
        <f>IF(LeadsData[[#This Row],[Stage Number]]&gt;=3,1,0)</f>
        <v>0</v>
      </c>
      <c r="O999" s="2">
        <f>IF(LeadsData[[#This Row],[Stage Number]]&gt;=4,1,0)</f>
        <v>0</v>
      </c>
    </row>
    <row r="1000" spans="1:15" x14ac:dyDescent="0.25">
      <c r="A1000" t="s">
        <v>1040</v>
      </c>
      <c r="B1000" s="1">
        <v>45378</v>
      </c>
      <c r="C1000" t="s">
        <v>25</v>
      </c>
      <c r="D1000" t="s">
        <v>26</v>
      </c>
      <c r="E1000" t="s">
        <v>13</v>
      </c>
      <c r="F1000" t="s">
        <v>19</v>
      </c>
      <c r="G1000" t="s">
        <v>15</v>
      </c>
      <c r="K1000" cm="1">
        <f t="array" ref="K1000">_xlfn.SWITCH(LeadsData[[#This Row],[Funnel Stage Reached]],"Lead",1,"MQL",2,"SQL",3,"Customer",4)</f>
        <v>1</v>
      </c>
      <c r="L1000" t="str">
        <f>TEXT(LeadsData[[#This Row],[Signup Date]],"mmm-yyyy")</f>
        <v>Mar-2024</v>
      </c>
      <c r="M1000">
        <f>IF(LeadsData[[#This Row],[Stage Number]]&gt;=2,1,0)</f>
        <v>0</v>
      </c>
      <c r="N1000" s="2">
        <f>IF(LeadsData[[#This Row],[Stage Number]]&gt;=3,1,0)</f>
        <v>0</v>
      </c>
      <c r="O1000" s="2">
        <f>IF(LeadsData[[#This Row],[Stage Number]]&gt;=4,1,0)</f>
        <v>0</v>
      </c>
    </row>
    <row r="1001" spans="1:15" x14ac:dyDescent="0.25">
      <c r="A1001" t="s">
        <v>1041</v>
      </c>
      <c r="B1001" s="1">
        <v>45597</v>
      </c>
      <c r="C1001" t="s">
        <v>31</v>
      </c>
      <c r="D1001" t="s">
        <v>32</v>
      </c>
      <c r="E1001" t="s">
        <v>21</v>
      </c>
      <c r="F1001" t="s">
        <v>19</v>
      </c>
      <c r="G1001" t="s">
        <v>15</v>
      </c>
      <c r="K1001" cm="1">
        <f t="array" ref="K1001">_xlfn.SWITCH(LeadsData[[#This Row],[Funnel Stage Reached]],"Lead",1,"MQL",2,"SQL",3,"Customer",4)</f>
        <v>1</v>
      </c>
      <c r="L1001" t="str">
        <f>TEXT(LeadsData[[#This Row],[Signup Date]],"mmm-yyyy")</f>
        <v>Nov-2024</v>
      </c>
      <c r="M1001">
        <f>IF(LeadsData[[#This Row],[Stage Number]]&gt;=2,1,0)</f>
        <v>0</v>
      </c>
      <c r="N1001" s="2">
        <f>IF(LeadsData[[#This Row],[Stage Number]]&gt;=3,1,0)</f>
        <v>0</v>
      </c>
      <c r="O1001" s="2">
        <f>IF(LeadsData[[#This Row],[Stage Number]]&gt;=4,1,0)</f>
        <v>0</v>
      </c>
    </row>
    <row r="1002" spans="1:15" x14ac:dyDescent="0.25">
      <c r="A1002" t="s">
        <v>1042</v>
      </c>
      <c r="B1002" s="1">
        <v>45647</v>
      </c>
      <c r="C1002" t="s">
        <v>17</v>
      </c>
      <c r="D1002" t="s">
        <v>18</v>
      </c>
      <c r="E1002" t="s">
        <v>13</v>
      </c>
      <c r="F1002" t="s">
        <v>22</v>
      </c>
      <c r="G1002" t="s">
        <v>15</v>
      </c>
      <c r="K1002" cm="1">
        <f t="array" ref="K1002">_xlfn.SWITCH(LeadsData[[#This Row],[Funnel Stage Reached]],"Lead",1,"MQL",2,"SQL",3,"Customer",4)</f>
        <v>1</v>
      </c>
      <c r="L1002" t="str">
        <f>TEXT(LeadsData[[#This Row],[Signup Date]],"mmm-yyyy")</f>
        <v>Dec-2024</v>
      </c>
      <c r="M1002">
        <f>IF(LeadsData[[#This Row],[Stage Number]]&gt;=2,1,0)</f>
        <v>0</v>
      </c>
      <c r="N1002" s="2">
        <f>IF(LeadsData[[#This Row],[Stage Number]]&gt;=3,1,0)</f>
        <v>0</v>
      </c>
      <c r="O1002" s="2">
        <f>IF(LeadsData[[#This Row],[Stage Number]]&gt;=4,1,0)</f>
        <v>0</v>
      </c>
    </row>
    <row r="1003" spans="1:15" x14ac:dyDescent="0.25">
      <c r="A1003" t="s">
        <v>1043</v>
      </c>
      <c r="B1003" s="1">
        <v>45310</v>
      </c>
      <c r="C1003" t="s">
        <v>31</v>
      </c>
      <c r="D1003" t="s">
        <v>34</v>
      </c>
      <c r="E1003" t="s">
        <v>21</v>
      </c>
      <c r="F1003" t="s">
        <v>22</v>
      </c>
      <c r="G1003" t="s">
        <v>15</v>
      </c>
      <c r="K1003" cm="1">
        <f t="array" ref="K1003">_xlfn.SWITCH(LeadsData[[#This Row],[Funnel Stage Reached]],"Lead",1,"MQL",2,"SQL",3,"Customer",4)</f>
        <v>1</v>
      </c>
      <c r="L1003" t="str">
        <f>TEXT(LeadsData[[#This Row],[Signup Date]],"mmm-yyyy")</f>
        <v>Jan-2024</v>
      </c>
      <c r="M1003">
        <f>IF(LeadsData[[#This Row],[Stage Number]]&gt;=2,1,0)</f>
        <v>0</v>
      </c>
      <c r="N1003" s="2">
        <f>IF(LeadsData[[#This Row],[Stage Number]]&gt;=3,1,0)</f>
        <v>0</v>
      </c>
      <c r="O1003" s="2">
        <f>IF(LeadsData[[#This Row],[Stage Number]]&gt;=4,1,0)</f>
        <v>0</v>
      </c>
    </row>
    <row r="1004" spans="1:15" x14ac:dyDescent="0.25">
      <c r="A1004" t="s">
        <v>1044</v>
      </c>
      <c r="B1004" s="1">
        <v>45523</v>
      </c>
      <c r="C1004" t="s">
        <v>31</v>
      </c>
      <c r="D1004" t="s">
        <v>34</v>
      </c>
      <c r="E1004" t="s">
        <v>13</v>
      </c>
      <c r="F1004" t="s">
        <v>14</v>
      </c>
      <c r="G1004" t="s">
        <v>42</v>
      </c>
      <c r="H1004">
        <v>75</v>
      </c>
      <c r="I1004" t="s">
        <v>43</v>
      </c>
      <c r="J1004">
        <v>725.39</v>
      </c>
      <c r="K1004" cm="1">
        <f t="array" ref="K1004">_xlfn.SWITCH(LeadsData[[#This Row],[Funnel Stage Reached]],"Lead",1,"MQL",2,"SQL",3,"Customer",4)</f>
        <v>4</v>
      </c>
      <c r="L1004" t="str">
        <f>TEXT(LeadsData[[#This Row],[Signup Date]],"mmm-yyyy")</f>
        <v>Aug-2024</v>
      </c>
      <c r="M1004">
        <f>IF(LeadsData[[#This Row],[Stage Number]]&gt;=2,1,0)</f>
        <v>1</v>
      </c>
      <c r="N1004" s="2">
        <f>IF(LeadsData[[#This Row],[Stage Number]]&gt;=3,1,0)</f>
        <v>1</v>
      </c>
      <c r="O1004" s="2">
        <f>IF(LeadsData[[#This Row],[Stage Number]]&gt;=4,1,0)</f>
        <v>1</v>
      </c>
    </row>
    <row r="1005" spans="1:15" x14ac:dyDescent="0.25">
      <c r="A1005" t="s">
        <v>1045</v>
      </c>
      <c r="B1005" s="1">
        <v>45498</v>
      </c>
      <c r="C1005" t="s">
        <v>31</v>
      </c>
      <c r="D1005" t="s">
        <v>32</v>
      </c>
      <c r="E1005" t="s">
        <v>13</v>
      </c>
      <c r="F1005" t="s">
        <v>22</v>
      </c>
      <c r="G1005" t="s">
        <v>15</v>
      </c>
      <c r="K1005" cm="1">
        <f t="array" ref="K1005">_xlfn.SWITCH(LeadsData[[#This Row],[Funnel Stage Reached]],"Lead",1,"MQL",2,"SQL",3,"Customer",4)</f>
        <v>1</v>
      </c>
      <c r="L1005" t="str">
        <f>TEXT(LeadsData[[#This Row],[Signup Date]],"mmm-yyyy")</f>
        <v>Jul-2024</v>
      </c>
      <c r="M1005">
        <f>IF(LeadsData[[#This Row],[Stage Number]]&gt;=2,1,0)</f>
        <v>0</v>
      </c>
      <c r="N1005" s="2">
        <f>IF(LeadsData[[#This Row],[Stage Number]]&gt;=3,1,0)</f>
        <v>0</v>
      </c>
      <c r="O1005" s="2">
        <f>IF(LeadsData[[#This Row],[Stage Number]]&gt;=4,1,0)</f>
        <v>0</v>
      </c>
    </row>
    <row r="1006" spans="1:15" x14ac:dyDescent="0.25">
      <c r="A1006" t="s">
        <v>1046</v>
      </c>
      <c r="B1006" s="1">
        <v>45499</v>
      </c>
      <c r="C1006" t="s">
        <v>31</v>
      </c>
      <c r="D1006" t="s">
        <v>32</v>
      </c>
      <c r="E1006" t="s">
        <v>13</v>
      </c>
      <c r="F1006" t="s">
        <v>22</v>
      </c>
      <c r="G1006" t="s">
        <v>15</v>
      </c>
      <c r="K1006" cm="1">
        <f t="array" ref="K1006">_xlfn.SWITCH(LeadsData[[#This Row],[Funnel Stage Reached]],"Lead",1,"MQL",2,"SQL",3,"Customer",4)</f>
        <v>1</v>
      </c>
      <c r="L1006" t="str">
        <f>TEXT(LeadsData[[#This Row],[Signup Date]],"mmm-yyyy")</f>
        <v>Jul-2024</v>
      </c>
      <c r="M1006">
        <f>IF(LeadsData[[#This Row],[Stage Number]]&gt;=2,1,0)</f>
        <v>0</v>
      </c>
      <c r="N1006" s="2">
        <f>IF(LeadsData[[#This Row],[Stage Number]]&gt;=3,1,0)</f>
        <v>0</v>
      </c>
      <c r="O1006" s="2">
        <f>IF(LeadsData[[#This Row],[Stage Number]]&gt;=4,1,0)</f>
        <v>0</v>
      </c>
    </row>
    <row r="1007" spans="1:15" x14ac:dyDescent="0.25">
      <c r="A1007" t="s">
        <v>1047</v>
      </c>
      <c r="B1007" s="1">
        <v>45629</v>
      </c>
      <c r="C1007" t="s">
        <v>31</v>
      </c>
      <c r="D1007" t="s">
        <v>34</v>
      </c>
      <c r="E1007" t="s">
        <v>13</v>
      </c>
      <c r="F1007" t="s">
        <v>14</v>
      </c>
      <c r="G1007" t="s">
        <v>15</v>
      </c>
      <c r="K1007" cm="1">
        <f t="array" ref="K1007">_xlfn.SWITCH(LeadsData[[#This Row],[Funnel Stage Reached]],"Lead",1,"MQL",2,"SQL",3,"Customer",4)</f>
        <v>1</v>
      </c>
      <c r="L1007" t="str">
        <f>TEXT(LeadsData[[#This Row],[Signup Date]],"mmm-yyyy")</f>
        <v>Dec-2024</v>
      </c>
      <c r="M1007">
        <f>IF(LeadsData[[#This Row],[Stage Number]]&gt;=2,1,0)</f>
        <v>0</v>
      </c>
      <c r="N1007" s="2">
        <f>IF(LeadsData[[#This Row],[Stage Number]]&gt;=3,1,0)</f>
        <v>0</v>
      </c>
      <c r="O1007" s="2">
        <f>IF(LeadsData[[#This Row],[Stage Number]]&gt;=4,1,0)</f>
        <v>0</v>
      </c>
    </row>
    <row r="1008" spans="1:15" x14ac:dyDescent="0.25">
      <c r="A1008" t="s">
        <v>1048</v>
      </c>
      <c r="B1008" s="1">
        <v>45604</v>
      </c>
      <c r="C1008" t="s">
        <v>46</v>
      </c>
      <c r="D1008" t="s">
        <v>56</v>
      </c>
      <c r="E1008" t="s">
        <v>13</v>
      </c>
      <c r="F1008" t="s">
        <v>14</v>
      </c>
      <c r="G1008" t="s">
        <v>23</v>
      </c>
      <c r="K1008" cm="1">
        <f t="array" ref="K1008">_xlfn.SWITCH(LeadsData[[#This Row],[Funnel Stage Reached]],"Lead",1,"MQL",2,"SQL",3,"Customer",4)</f>
        <v>2</v>
      </c>
      <c r="L1008" t="str">
        <f>TEXT(LeadsData[[#This Row],[Signup Date]],"mmm-yyyy")</f>
        <v>Nov-2024</v>
      </c>
      <c r="M1008">
        <f>IF(LeadsData[[#This Row],[Stage Number]]&gt;=2,1,0)</f>
        <v>1</v>
      </c>
      <c r="N1008" s="2">
        <f>IF(LeadsData[[#This Row],[Stage Number]]&gt;=3,1,0)</f>
        <v>0</v>
      </c>
      <c r="O1008" s="2">
        <f>IF(LeadsData[[#This Row],[Stage Number]]&gt;=4,1,0)</f>
        <v>0</v>
      </c>
    </row>
    <row r="1009" spans="1:15" x14ac:dyDescent="0.25">
      <c r="A1009" t="s">
        <v>1049</v>
      </c>
      <c r="B1009" s="1">
        <v>45475</v>
      </c>
      <c r="C1009" t="s">
        <v>11</v>
      </c>
      <c r="D1009" t="s">
        <v>12</v>
      </c>
      <c r="E1009" t="s">
        <v>21</v>
      </c>
      <c r="F1009" t="s">
        <v>14</v>
      </c>
      <c r="G1009" t="s">
        <v>29</v>
      </c>
      <c r="K1009" cm="1">
        <f t="array" ref="K1009">_xlfn.SWITCH(LeadsData[[#This Row],[Funnel Stage Reached]],"Lead",1,"MQL",2,"SQL",3,"Customer",4)</f>
        <v>3</v>
      </c>
      <c r="L1009" t="str">
        <f>TEXT(LeadsData[[#This Row],[Signup Date]],"mmm-yyyy")</f>
        <v>Jul-2024</v>
      </c>
      <c r="M1009">
        <f>IF(LeadsData[[#This Row],[Stage Number]]&gt;=2,1,0)</f>
        <v>1</v>
      </c>
      <c r="N1009" s="2">
        <f>IF(LeadsData[[#This Row],[Stage Number]]&gt;=3,1,0)</f>
        <v>1</v>
      </c>
      <c r="O1009" s="2">
        <f>IF(LeadsData[[#This Row],[Stage Number]]&gt;=4,1,0)</f>
        <v>0</v>
      </c>
    </row>
    <row r="1010" spans="1:15" x14ac:dyDescent="0.25">
      <c r="A1010" t="s">
        <v>1050</v>
      </c>
      <c r="B1010" s="1">
        <v>45624</v>
      </c>
      <c r="C1010" t="s">
        <v>11</v>
      </c>
      <c r="D1010" t="s">
        <v>68</v>
      </c>
      <c r="E1010" t="s">
        <v>13</v>
      </c>
      <c r="F1010" t="s">
        <v>22</v>
      </c>
      <c r="G1010" t="s">
        <v>15</v>
      </c>
      <c r="K1010" cm="1">
        <f t="array" ref="K1010">_xlfn.SWITCH(LeadsData[[#This Row],[Funnel Stage Reached]],"Lead",1,"MQL",2,"SQL",3,"Customer",4)</f>
        <v>1</v>
      </c>
      <c r="L1010" t="str">
        <f>TEXT(LeadsData[[#This Row],[Signup Date]],"mmm-yyyy")</f>
        <v>Nov-2024</v>
      </c>
      <c r="M1010">
        <f>IF(LeadsData[[#This Row],[Stage Number]]&gt;=2,1,0)</f>
        <v>0</v>
      </c>
      <c r="N1010" s="2">
        <f>IF(LeadsData[[#This Row],[Stage Number]]&gt;=3,1,0)</f>
        <v>0</v>
      </c>
      <c r="O1010" s="2">
        <f>IF(LeadsData[[#This Row],[Stage Number]]&gt;=4,1,0)</f>
        <v>0</v>
      </c>
    </row>
    <row r="1011" spans="1:15" x14ac:dyDescent="0.25">
      <c r="A1011" t="s">
        <v>1051</v>
      </c>
      <c r="B1011" s="1">
        <v>45642</v>
      </c>
      <c r="C1011" t="s">
        <v>36</v>
      </c>
      <c r="D1011" t="s">
        <v>50</v>
      </c>
      <c r="E1011" t="s">
        <v>21</v>
      </c>
      <c r="F1011" t="s">
        <v>22</v>
      </c>
      <c r="G1011" t="s">
        <v>29</v>
      </c>
      <c r="K1011" cm="1">
        <f t="array" ref="K1011">_xlfn.SWITCH(LeadsData[[#This Row],[Funnel Stage Reached]],"Lead",1,"MQL",2,"SQL",3,"Customer",4)</f>
        <v>3</v>
      </c>
      <c r="L1011" t="str">
        <f>TEXT(LeadsData[[#This Row],[Signup Date]],"mmm-yyyy")</f>
        <v>Dec-2024</v>
      </c>
      <c r="M1011">
        <f>IF(LeadsData[[#This Row],[Stage Number]]&gt;=2,1,0)</f>
        <v>1</v>
      </c>
      <c r="N1011" s="2">
        <f>IF(LeadsData[[#This Row],[Stage Number]]&gt;=3,1,0)</f>
        <v>1</v>
      </c>
      <c r="O1011" s="2">
        <f>IF(LeadsData[[#This Row],[Stage Number]]&gt;=4,1,0)</f>
        <v>0</v>
      </c>
    </row>
    <row r="1012" spans="1:15" x14ac:dyDescent="0.25">
      <c r="A1012" t="s">
        <v>1052</v>
      </c>
      <c r="B1012" s="1">
        <v>45640</v>
      </c>
      <c r="C1012" t="s">
        <v>17</v>
      </c>
      <c r="D1012" t="s">
        <v>53</v>
      </c>
      <c r="E1012" t="s">
        <v>21</v>
      </c>
      <c r="F1012" t="s">
        <v>22</v>
      </c>
      <c r="G1012" t="s">
        <v>15</v>
      </c>
      <c r="K1012" cm="1">
        <f t="array" ref="K1012">_xlfn.SWITCH(LeadsData[[#This Row],[Funnel Stage Reached]],"Lead",1,"MQL",2,"SQL",3,"Customer",4)</f>
        <v>1</v>
      </c>
      <c r="L1012" t="str">
        <f>TEXT(LeadsData[[#This Row],[Signup Date]],"mmm-yyyy")</f>
        <v>Dec-2024</v>
      </c>
      <c r="M1012">
        <f>IF(LeadsData[[#This Row],[Stage Number]]&gt;=2,1,0)</f>
        <v>0</v>
      </c>
      <c r="N1012" s="2">
        <f>IF(LeadsData[[#This Row],[Stage Number]]&gt;=3,1,0)</f>
        <v>0</v>
      </c>
      <c r="O1012" s="2">
        <f>IF(LeadsData[[#This Row],[Stage Number]]&gt;=4,1,0)</f>
        <v>0</v>
      </c>
    </row>
    <row r="1013" spans="1:15" x14ac:dyDescent="0.25">
      <c r="A1013" t="s">
        <v>1053</v>
      </c>
      <c r="B1013" s="1">
        <v>45407</v>
      </c>
      <c r="C1013" t="s">
        <v>31</v>
      </c>
      <c r="D1013" t="s">
        <v>32</v>
      </c>
      <c r="E1013" t="s">
        <v>21</v>
      </c>
      <c r="F1013" t="s">
        <v>19</v>
      </c>
      <c r="G1013" t="s">
        <v>23</v>
      </c>
      <c r="K1013" cm="1">
        <f t="array" ref="K1013">_xlfn.SWITCH(LeadsData[[#This Row],[Funnel Stage Reached]],"Lead",1,"MQL",2,"SQL",3,"Customer",4)</f>
        <v>2</v>
      </c>
      <c r="L1013" t="str">
        <f>TEXT(LeadsData[[#This Row],[Signup Date]],"mmm-yyyy")</f>
        <v>Apr-2024</v>
      </c>
      <c r="M1013">
        <f>IF(LeadsData[[#This Row],[Stage Number]]&gt;=2,1,0)</f>
        <v>1</v>
      </c>
      <c r="N1013" s="2">
        <f>IF(LeadsData[[#This Row],[Stage Number]]&gt;=3,1,0)</f>
        <v>0</v>
      </c>
      <c r="O1013" s="2">
        <f>IF(LeadsData[[#This Row],[Stage Number]]&gt;=4,1,0)</f>
        <v>0</v>
      </c>
    </row>
    <row r="1014" spans="1:15" x14ac:dyDescent="0.25">
      <c r="A1014" t="s">
        <v>1054</v>
      </c>
      <c r="B1014" s="1">
        <v>45319</v>
      </c>
      <c r="C1014" t="s">
        <v>11</v>
      </c>
      <c r="D1014" t="s">
        <v>12</v>
      </c>
      <c r="E1014" t="s">
        <v>21</v>
      </c>
      <c r="F1014" t="s">
        <v>22</v>
      </c>
      <c r="G1014" t="s">
        <v>15</v>
      </c>
      <c r="K1014" cm="1">
        <f t="array" ref="K1014">_xlfn.SWITCH(LeadsData[[#This Row],[Funnel Stage Reached]],"Lead",1,"MQL",2,"SQL",3,"Customer",4)</f>
        <v>1</v>
      </c>
      <c r="L1014" t="str">
        <f>TEXT(LeadsData[[#This Row],[Signup Date]],"mmm-yyyy")</f>
        <v>Jan-2024</v>
      </c>
      <c r="M1014">
        <f>IF(LeadsData[[#This Row],[Stage Number]]&gt;=2,1,0)</f>
        <v>0</v>
      </c>
      <c r="N1014" s="2">
        <f>IF(LeadsData[[#This Row],[Stage Number]]&gt;=3,1,0)</f>
        <v>0</v>
      </c>
      <c r="O1014" s="2">
        <f>IF(LeadsData[[#This Row],[Stage Number]]&gt;=4,1,0)</f>
        <v>0</v>
      </c>
    </row>
    <row r="1015" spans="1:15" x14ac:dyDescent="0.25">
      <c r="A1015" t="s">
        <v>1055</v>
      </c>
      <c r="B1015" s="1">
        <v>45552</v>
      </c>
      <c r="C1015" t="s">
        <v>31</v>
      </c>
      <c r="D1015" t="s">
        <v>32</v>
      </c>
      <c r="E1015" t="s">
        <v>21</v>
      </c>
      <c r="F1015" t="s">
        <v>14</v>
      </c>
      <c r="G1015" t="s">
        <v>23</v>
      </c>
      <c r="K1015" cm="1">
        <f t="array" ref="K1015">_xlfn.SWITCH(LeadsData[[#This Row],[Funnel Stage Reached]],"Lead",1,"MQL",2,"SQL",3,"Customer",4)</f>
        <v>2</v>
      </c>
      <c r="L1015" t="str">
        <f>TEXT(LeadsData[[#This Row],[Signup Date]],"mmm-yyyy")</f>
        <v>Sep-2024</v>
      </c>
      <c r="M1015">
        <f>IF(LeadsData[[#This Row],[Stage Number]]&gt;=2,1,0)</f>
        <v>1</v>
      </c>
      <c r="N1015" s="2">
        <f>IF(LeadsData[[#This Row],[Stage Number]]&gt;=3,1,0)</f>
        <v>0</v>
      </c>
      <c r="O1015" s="2">
        <f>IF(LeadsData[[#This Row],[Stage Number]]&gt;=4,1,0)</f>
        <v>0</v>
      </c>
    </row>
    <row r="1016" spans="1:15" x14ac:dyDescent="0.25">
      <c r="A1016" t="s">
        <v>1056</v>
      </c>
      <c r="B1016" s="1">
        <v>45326</v>
      </c>
      <c r="C1016" t="s">
        <v>17</v>
      </c>
      <c r="D1016" t="s">
        <v>18</v>
      </c>
      <c r="E1016" t="s">
        <v>13</v>
      </c>
      <c r="F1016" t="s">
        <v>22</v>
      </c>
      <c r="G1016" t="s">
        <v>15</v>
      </c>
      <c r="K1016" cm="1">
        <f t="array" ref="K1016">_xlfn.SWITCH(LeadsData[[#This Row],[Funnel Stage Reached]],"Lead",1,"MQL",2,"SQL",3,"Customer",4)</f>
        <v>1</v>
      </c>
      <c r="L1016" t="str">
        <f>TEXT(LeadsData[[#This Row],[Signup Date]],"mmm-yyyy")</f>
        <v>Feb-2024</v>
      </c>
      <c r="M1016">
        <f>IF(LeadsData[[#This Row],[Stage Number]]&gt;=2,1,0)</f>
        <v>0</v>
      </c>
      <c r="N1016" s="2">
        <f>IF(LeadsData[[#This Row],[Stage Number]]&gt;=3,1,0)</f>
        <v>0</v>
      </c>
      <c r="O1016" s="2">
        <f>IF(LeadsData[[#This Row],[Stage Number]]&gt;=4,1,0)</f>
        <v>0</v>
      </c>
    </row>
    <row r="1017" spans="1:15" x14ac:dyDescent="0.25">
      <c r="A1017" t="s">
        <v>1057</v>
      </c>
      <c r="B1017" s="1">
        <v>45392</v>
      </c>
      <c r="C1017" t="s">
        <v>31</v>
      </c>
      <c r="D1017" t="s">
        <v>32</v>
      </c>
      <c r="E1017" t="s">
        <v>13</v>
      </c>
      <c r="F1017" t="s">
        <v>14</v>
      </c>
      <c r="G1017" t="s">
        <v>29</v>
      </c>
      <c r="K1017" cm="1">
        <f t="array" ref="K1017">_xlfn.SWITCH(LeadsData[[#This Row],[Funnel Stage Reached]],"Lead",1,"MQL",2,"SQL",3,"Customer",4)</f>
        <v>3</v>
      </c>
      <c r="L1017" t="str">
        <f>TEXT(LeadsData[[#This Row],[Signup Date]],"mmm-yyyy")</f>
        <v>Apr-2024</v>
      </c>
      <c r="M1017">
        <f>IF(LeadsData[[#This Row],[Stage Number]]&gt;=2,1,0)</f>
        <v>1</v>
      </c>
      <c r="N1017" s="2">
        <f>IF(LeadsData[[#This Row],[Stage Number]]&gt;=3,1,0)</f>
        <v>1</v>
      </c>
      <c r="O1017" s="2">
        <f>IF(LeadsData[[#This Row],[Stage Number]]&gt;=4,1,0)</f>
        <v>0</v>
      </c>
    </row>
    <row r="1018" spans="1:15" x14ac:dyDescent="0.25">
      <c r="A1018" t="s">
        <v>1058</v>
      </c>
      <c r="B1018" s="1">
        <v>45561</v>
      </c>
      <c r="C1018" t="s">
        <v>46</v>
      </c>
      <c r="D1018" t="s">
        <v>47</v>
      </c>
      <c r="E1018" t="s">
        <v>13</v>
      </c>
      <c r="F1018" t="s">
        <v>19</v>
      </c>
      <c r="G1018" t="s">
        <v>23</v>
      </c>
      <c r="K1018" cm="1">
        <f t="array" ref="K1018">_xlfn.SWITCH(LeadsData[[#This Row],[Funnel Stage Reached]],"Lead",1,"MQL",2,"SQL",3,"Customer",4)</f>
        <v>2</v>
      </c>
      <c r="L1018" t="str">
        <f>TEXT(LeadsData[[#This Row],[Signup Date]],"mmm-yyyy")</f>
        <v>Sep-2024</v>
      </c>
      <c r="M1018">
        <f>IF(LeadsData[[#This Row],[Stage Number]]&gt;=2,1,0)</f>
        <v>1</v>
      </c>
      <c r="N1018" s="2">
        <f>IF(LeadsData[[#This Row],[Stage Number]]&gt;=3,1,0)</f>
        <v>0</v>
      </c>
      <c r="O1018" s="2">
        <f>IF(LeadsData[[#This Row],[Stage Number]]&gt;=4,1,0)</f>
        <v>0</v>
      </c>
    </row>
    <row r="1019" spans="1:15" x14ac:dyDescent="0.25">
      <c r="A1019" t="s">
        <v>1059</v>
      </c>
      <c r="B1019" s="1">
        <v>45469</v>
      </c>
      <c r="C1019" t="s">
        <v>25</v>
      </c>
      <c r="D1019" t="s">
        <v>26</v>
      </c>
      <c r="E1019" t="s">
        <v>21</v>
      </c>
      <c r="F1019" t="s">
        <v>28</v>
      </c>
      <c r="G1019" t="s">
        <v>23</v>
      </c>
      <c r="K1019" cm="1">
        <f t="array" ref="K1019">_xlfn.SWITCH(LeadsData[[#This Row],[Funnel Stage Reached]],"Lead",1,"MQL",2,"SQL",3,"Customer",4)</f>
        <v>2</v>
      </c>
      <c r="L1019" t="str">
        <f>TEXT(LeadsData[[#This Row],[Signup Date]],"mmm-yyyy")</f>
        <v>Jun-2024</v>
      </c>
      <c r="M1019">
        <f>IF(LeadsData[[#This Row],[Stage Number]]&gt;=2,1,0)</f>
        <v>1</v>
      </c>
      <c r="N1019" s="2">
        <f>IF(LeadsData[[#This Row],[Stage Number]]&gt;=3,1,0)</f>
        <v>0</v>
      </c>
      <c r="O1019" s="2">
        <f>IF(LeadsData[[#This Row],[Stage Number]]&gt;=4,1,0)</f>
        <v>0</v>
      </c>
    </row>
    <row r="1020" spans="1:15" x14ac:dyDescent="0.25">
      <c r="A1020" t="s">
        <v>1060</v>
      </c>
      <c r="B1020" s="1">
        <v>45434</v>
      </c>
      <c r="C1020" t="s">
        <v>31</v>
      </c>
      <c r="D1020" t="s">
        <v>32</v>
      </c>
      <c r="E1020" t="s">
        <v>13</v>
      </c>
      <c r="F1020" t="s">
        <v>19</v>
      </c>
      <c r="G1020" t="s">
        <v>42</v>
      </c>
      <c r="H1020">
        <v>8</v>
      </c>
      <c r="I1020" t="s">
        <v>183</v>
      </c>
      <c r="J1020">
        <v>18952.39</v>
      </c>
      <c r="K1020" cm="1">
        <f t="array" ref="K1020">_xlfn.SWITCH(LeadsData[[#This Row],[Funnel Stage Reached]],"Lead",1,"MQL",2,"SQL",3,"Customer",4)</f>
        <v>4</v>
      </c>
      <c r="L1020" t="str">
        <f>TEXT(LeadsData[[#This Row],[Signup Date]],"mmm-yyyy")</f>
        <v>May-2024</v>
      </c>
      <c r="M1020">
        <f>IF(LeadsData[[#This Row],[Stage Number]]&gt;=2,1,0)</f>
        <v>1</v>
      </c>
      <c r="N1020" s="2">
        <f>IF(LeadsData[[#This Row],[Stage Number]]&gt;=3,1,0)</f>
        <v>1</v>
      </c>
      <c r="O1020" s="2">
        <f>IF(LeadsData[[#This Row],[Stage Number]]&gt;=4,1,0)</f>
        <v>1</v>
      </c>
    </row>
    <row r="1021" spans="1:15" x14ac:dyDescent="0.25">
      <c r="A1021" t="s">
        <v>1061</v>
      </c>
      <c r="B1021" s="1">
        <v>45439</v>
      </c>
      <c r="C1021" t="s">
        <v>17</v>
      </c>
      <c r="D1021" t="s">
        <v>53</v>
      </c>
      <c r="E1021" t="s">
        <v>13</v>
      </c>
      <c r="F1021" t="s">
        <v>19</v>
      </c>
      <c r="G1021" t="s">
        <v>23</v>
      </c>
      <c r="K1021" cm="1">
        <f t="array" ref="K1021">_xlfn.SWITCH(LeadsData[[#This Row],[Funnel Stage Reached]],"Lead",1,"MQL",2,"SQL",3,"Customer",4)</f>
        <v>2</v>
      </c>
      <c r="L1021" t="str">
        <f>TEXT(LeadsData[[#This Row],[Signup Date]],"mmm-yyyy")</f>
        <v>May-2024</v>
      </c>
      <c r="M1021">
        <f>IF(LeadsData[[#This Row],[Stage Number]]&gt;=2,1,0)</f>
        <v>1</v>
      </c>
      <c r="N1021" s="2">
        <f>IF(LeadsData[[#This Row],[Stage Number]]&gt;=3,1,0)</f>
        <v>0</v>
      </c>
      <c r="O1021" s="2">
        <f>IF(LeadsData[[#This Row],[Stage Number]]&gt;=4,1,0)</f>
        <v>0</v>
      </c>
    </row>
    <row r="1022" spans="1:15" x14ac:dyDescent="0.25">
      <c r="A1022" t="s">
        <v>1062</v>
      </c>
      <c r="B1022" s="1">
        <v>45604</v>
      </c>
      <c r="C1022" t="s">
        <v>46</v>
      </c>
      <c r="D1022" t="s">
        <v>47</v>
      </c>
      <c r="E1022" t="s">
        <v>21</v>
      </c>
      <c r="F1022" t="s">
        <v>22</v>
      </c>
      <c r="G1022" t="s">
        <v>15</v>
      </c>
      <c r="K1022" cm="1">
        <f t="array" ref="K1022">_xlfn.SWITCH(LeadsData[[#This Row],[Funnel Stage Reached]],"Lead",1,"MQL",2,"SQL",3,"Customer",4)</f>
        <v>1</v>
      </c>
      <c r="L1022" t="str">
        <f>TEXT(LeadsData[[#This Row],[Signup Date]],"mmm-yyyy")</f>
        <v>Nov-2024</v>
      </c>
      <c r="M1022">
        <f>IF(LeadsData[[#This Row],[Stage Number]]&gt;=2,1,0)</f>
        <v>0</v>
      </c>
      <c r="N1022" s="2">
        <f>IF(LeadsData[[#This Row],[Stage Number]]&gt;=3,1,0)</f>
        <v>0</v>
      </c>
      <c r="O1022" s="2">
        <f>IF(LeadsData[[#This Row],[Stage Number]]&gt;=4,1,0)</f>
        <v>0</v>
      </c>
    </row>
    <row r="1023" spans="1:15" x14ac:dyDescent="0.25">
      <c r="A1023" t="s">
        <v>1063</v>
      </c>
      <c r="B1023" s="1">
        <v>45629</v>
      </c>
      <c r="C1023" t="s">
        <v>36</v>
      </c>
      <c r="D1023" t="s">
        <v>37</v>
      </c>
      <c r="E1023" t="s">
        <v>13</v>
      </c>
      <c r="F1023" t="s">
        <v>22</v>
      </c>
      <c r="G1023" t="s">
        <v>23</v>
      </c>
      <c r="K1023" cm="1">
        <f t="array" ref="K1023">_xlfn.SWITCH(LeadsData[[#This Row],[Funnel Stage Reached]],"Lead",1,"MQL",2,"SQL",3,"Customer",4)</f>
        <v>2</v>
      </c>
      <c r="L1023" t="str">
        <f>TEXT(LeadsData[[#This Row],[Signup Date]],"mmm-yyyy")</f>
        <v>Dec-2024</v>
      </c>
      <c r="M1023">
        <f>IF(LeadsData[[#This Row],[Stage Number]]&gt;=2,1,0)</f>
        <v>1</v>
      </c>
      <c r="N1023" s="2">
        <f>IF(LeadsData[[#This Row],[Stage Number]]&gt;=3,1,0)</f>
        <v>0</v>
      </c>
      <c r="O1023" s="2">
        <f>IF(LeadsData[[#This Row],[Stage Number]]&gt;=4,1,0)</f>
        <v>0</v>
      </c>
    </row>
    <row r="1024" spans="1:15" x14ac:dyDescent="0.25">
      <c r="A1024" t="s">
        <v>1064</v>
      </c>
      <c r="B1024" s="1">
        <v>45306</v>
      </c>
      <c r="C1024" t="s">
        <v>25</v>
      </c>
      <c r="D1024" t="s">
        <v>26</v>
      </c>
      <c r="E1024" t="s">
        <v>21</v>
      </c>
      <c r="F1024" t="s">
        <v>19</v>
      </c>
      <c r="G1024" t="s">
        <v>15</v>
      </c>
      <c r="K1024" cm="1">
        <f t="array" ref="K1024">_xlfn.SWITCH(LeadsData[[#This Row],[Funnel Stage Reached]],"Lead",1,"MQL",2,"SQL",3,"Customer",4)</f>
        <v>1</v>
      </c>
      <c r="L1024" t="str">
        <f>TEXT(LeadsData[[#This Row],[Signup Date]],"mmm-yyyy")</f>
        <v>Jan-2024</v>
      </c>
      <c r="M1024">
        <f>IF(LeadsData[[#This Row],[Stage Number]]&gt;=2,1,0)</f>
        <v>0</v>
      </c>
      <c r="N1024" s="2">
        <f>IF(LeadsData[[#This Row],[Stage Number]]&gt;=3,1,0)</f>
        <v>0</v>
      </c>
      <c r="O1024" s="2">
        <f>IF(LeadsData[[#This Row],[Stage Number]]&gt;=4,1,0)</f>
        <v>0</v>
      </c>
    </row>
    <row r="1025" spans="1:15" x14ac:dyDescent="0.25">
      <c r="A1025" t="s">
        <v>1065</v>
      </c>
      <c r="B1025" s="1">
        <v>45645</v>
      </c>
      <c r="C1025" t="s">
        <v>17</v>
      </c>
      <c r="D1025" t="s">
        <v>18</v>
      </c>
      <c r="E1025" t="s">
        <v>13</v>
      </c>
      <c r="F1025" t="s">
        <v>14</v>
      </c>
      <c r="G1025" t="s">
        <v>15</v>
      </c>
      <c r="K1025" cm="1">
        <f t="array" ref="K1025">_xlfn.SWITCH(LeadsData[[#This Row],[Funnel Stage Reached]],"Lead",1,"MQL",2,"SQL",3,"Customer",4)</f>
        <v>1</v>
      </c>
      <c r="L1025" t="str">
        <f>TEXT(LeadsData[[#This Row],[Signup Date]],"mmm-yyyy")</f>
        <v>Dec-2024</v>
      </c>
      <c r="M1025">
        <f>IF(LeadsData[[#This Row],[Stage Number]]&gt;=2,1,0)</f>
        <v>0</v>
      </c>
      <c r="N1025" s="2">
        <f>IF(LeadsData[[#This Row],[Stage Number]]&gt;=3,1,0)</f>
        <v>0</v>
      </c>
      <c r="O1025" s="2">
        <f>IF(LeadsData[[#This Row],[Stage Number]]&gt;=4,1,0)</f>
        <v>0</v>
      </c>
    </row>
    <row r="1026" spans="1:15" x14ac:dyDescent="0.25">
      <c r="A1026" t="s">
        <v>1066</v>
      </c>
      <c r="B1026" s="1">
        <v>45308</v>
      </c>
      <c r="C1026" t="s">
        <v>25</v>
      </c>
      <c r="D1026" t="s">
        <v>26</v>
      </c>
      <c r="E1026" t="s">
        <v>13</v>
      </c>
      <c r="F1026" t="s">
        <v>19</v>
      </c>
      <c r="G1026" t="s">
        <v>15</v>
      </c>
      <c r="K1026" cm="1">
        <f t="array" ref="K1026">_xlfn.SWITCH(LeadsData[[#This Row],[Funnel Stage Reached]],"Lead",1,"MQL",2,"SQL",3,"Customer",4)</f>
        <v>1</v>
      </c>
      <c r="L1026" t="str">
        <f>TEXT(LeadsData[[#This Row],[Signup Date]],"mmm-yyyy")</f>
        <v>Jan-2024</v>
      </c>
      <c r="M1026">
        <f>IF(LeadsData[[#This Row],[Stage Number]]&gt;=2,1,0)</f>
        <v>0</v>
      </c>
      <c r="N1026" s="2">
        <f>IF(LeadsData[[#This Row],[Stage Number]]&gt;=3,1,0)</f>
        <v>0</v>
      </c>
      <c r="O1026" s="2">
        <f>IF(LeadsData[[#This Row],[Stage Number]]&gt;=4,1,0)</f>
        <v>0</v>
      </c>
    </row>
    <row r="1027" spans="1:15" x14ac:dyDescent="0.25">
      <c r="A1027" t="s">
        <v>1067</v>
      </c>
      <c r="B1027" s="1">
        <v>45485</v>
      </c>
      <c r="C1027" t="s">
        <v>25</v>
      </c>
      <c r="D1027" t="s">
        <v>26</v>
      </c>
      <c r="E1027" t="s">
        <v>13</v>
      </c>
      <c r="F1027" t="s">
        <v>14</v>
      </c>
      <c r="G1027" t="s">
        <v>15</v>
      </c>
      <c r="K1027" cm="1">
        <f t="array" ref="K1027">_xlfn.SWITCH(LeadsData[[#This Row],[Funnel Stage Reached]],"Lead",1,"MQL",2,"SQL",3,"Customer",4)</f>
        <v>1</v>
      </c>
      <c r="L1027" t="str">
        <f>TEXT(LeadsData[[#This Row],[Signup Date]],"mmm-yyyy")</f>
        <v>Jul-2024</v>
      </c>
      <c r="M1027">
        <f>IF(LeadsData[[#This Row],[Stage Number]]&gt;=2,1,0)</f>
        <v>0</v>
      </c>
      <c r="N1027" s="2">
        <f>IF(LeadsData[[#This Row],[Stage Number]]&gt;=3,1,0)</f>
        <v>0</v>
      </c>
      <c r="O1027" s="2">
        <f>IF(LeadsData[[#This Row],[Stage Number]]&gt;=4,1,0)</f>
        <v>0</v>
      </c>
    </row>
    <row r="1028" spans="1:15" x14ac:dyDescent="0.25">
      <c r="A1028" t="s">
        <v>1068</v>
      </c>
      <c r="B1028" s="1">
        <v>45348</v>
      </c>
      <c r="C1028" t="s">
        <v>31</v>
      </c>
      <c r="D1028" t="s">
        <v>34</v>
      </c>
      <c r="E1028" t="s">
        <v>48</v>
      </c>
      <c r="F1028" t="s">
        <v>22</v>
      </c>
      <c r="G1028" t="s">
        <v>15</v>
      </c>
      <c r="K1028" cm="1">
        <f t="array" ref="K1028">_xlfn.SWITCH(LeadsData[[#This Row],[Funnel Stage Reached]],"Lead",1,"MQL",2,"SQL",3,"Customer",4)</f>
        <v>1</v>
      </c>
      <c r="L1028" t="str">
        <f>TEXT(LeadsData[[#This Row],[Signup Date]],"mmm-yyyy")</f>
        <v>Feb-2024</v>
      </c>
      <c r="M1028">
        <f>IF(LeadsData[[#This Row],[Stage Number]]&gt;=2,1,0)</f>
        <v>0</v>
      </c>
      <c r="N1028" s="2">
        <f>IF(LeadsData[[#This Row],[Stage Number]]&gt;=3,1,0)</f>
        <v>0</v>
      </c>
      <c r="O1028" s="2">
        <f>IF(LeadsData[[#This Row],[Stage Number]]&gt;=4,1,0)</f>
        <v>0</v>
      </c>
    </row>
    <row r="1029" spans="1:15" x14ac:dyDescent="0.25">
      <c r="A1029" t="s">
        <v>1069</v>
      </c>
      <c r="B1029" s="1">
        <v>45302</v>
      </c>
      <c r="C1029" t="s">
        <v>36</v>
      </c>
      <c r="D1029" t="s">
        <v>37</v>
      </c>
      <c r="E1029" t="s">
        <v>21</v>
      </c>
      <c r="F1029" t="s">
        <v>19</v>
      </c>
      <c r="G1029" t="s">
        <v>23</v>
      </c>
      <c r="K1029" cm="1">
        <f t="array" ref="K1029">_xlfn.SWITCH(LeadsData[[#This Row],[Funnel Stage Reached]],"Lead",1,"MQL",2,"SQL",3,"Customer",4)</f>
        <v>2</v>
      </c>
      <c r="L1029" t="str">
        <f>TEXT(LeadsData[[#This Row],[Signup Date]],"mmm-yyyy")</f>
        <v>Jan-2024</v>
      </c>
      <c r="M1029">
        <f>IF(LeadsData[[#This Row],[Stage Number]]&gt;=2,1,0)</f>
        <v>1</v>
      </c>
      <c r="N1029" s="2">
        <f>IF(LeadsData[[#This Row],[Stage Number]]&gt;=3,1,0)</f>
        <v>0</v>
      </c>
      <c r="O1029" s="2">
        <f>IF(LeadsData[[#This Row],[Stage Number]]&gt;=4,1,0)</f>
        <v>0</v>
      </c>
    </row>
    <row r="1030" spans="1:15" x14ac:dyDescent="0.25">
      <c r="A1030" t="s">
        <v>1070</v>
      </c>
      <c r="B1030" s="1">
        <v>45474</v>
      </c>
      <c r="C1030" t="s">
        <v>31</v>
      </c>
      <c r="D1030" t="s">
        <v>34</v>
      </c>
      <c r="E1030" t="s">
        <v>13</v>
      </c>
      <c r="F1030" t="s">
        <v>22</v>
      </c>
      <c r="G1030" t="s">
        <v>23</v>
      </c>
      <c r="K1030" cm="1">
        <f t="array" ref="K1030">_xlfn.SWITCH(LeadsData[[#This Row],[Funnel Stage Reached]],"Lead",1,"MQL",2,"SQL",3,"Customer",4)</f>
        <v>2</v>
      </c>
      <c r="L1030" t="str">
        <f>TEXT(LeadsData[[#This Row],[Signup Date]],"mmm-yyyy")</f>
        <v>Jul-2024</v>
      </c>
      <c r="M1030">
        <f>IF(LeadsData[[#This Row],[Stage Number]]&gt;=2,1,0)</f>
        <v>1</v>
      </c>
      <c r="N1030" s="2">
        <f>IF(LeadsData[[#This Row],[Stage Number]]&gt;=3,1,0)</f>
        <v>0</v>
      </c>
      <c r="O1030" s="2">
        <f>IF(LeadsData[[#This Row],[Stage Number]]&gt;=4,1,0)</f>
        <v>0</v>
      </c>
    </row>
    <row r="1031" spans="1:15" x14ac:dyDescent="0.25">
      <c r="A1031" t="s">
        <v>1071</v>
      </c>
      <c r="B1031" s="1">
        <v>45312</v>
      </c>
      <c r="C1031" t="s">
        <v>25</v>
      </c>
      <c r="D1031" t="s">
        <v>26</v>
      </c>
      <c r="E1031" t="s">
        <v>21</v>
      </c>
      <c r="F1031" t="s">
        <v>22</v>
      </c>
      <c r="G1031" t="s">
        <v>29</v>
      </c>
      <c r="K1031" cm="1">
        <f t="array" ref="K1031">_xlfn.SWITCH(LeadsData[[#This Row],[Funnel Stage Reached]],"Lead",1,"MQL",2,"SQL",3,"Customer",4)</f>
        <v>3</v>
      </c>
      <c r="L1031" t="str">
        <f>TEXT(LeadsData[[#This Row],[Signup Date]],"mmm-yyyy")</f>
        <v>Jan-2024</v>
      </c>
      <c r="M1031">
        <f>IF(LeadsData[[#This Row],[Stage Number]]&gt;=2,1,0)</f>
        <v>1</v>
      </c>
      <c r="N1031" s="2">
        <f>IF(LeadsData[[#This Row],[Stage Number]]&gt;=3,1,0)</f>
        <v>1</v>
      </c>
      <c r="O1031" s="2">
        <f>IF(LeadsData[[#This Row],[Stage Number]]&gt;=4,1,0)</f>
        <v>0</v>
      </c>
    </row>
    <row r="1032" spans="1:15" x14ac:dyDescent="0.25">
      <c r="A1032" t="s">
        <v>1072</v>
      </c>
      <c r="B1032" s="1">
        <v>45415</v>
      </c>
      <c r="C1032" t="s">
        <v>46</v>
      </c>
      <c r="D1032" t="s">
        <v>56</v>
      </c>
      <c r="E1032" t="s">
        <v>21</v>
      </c>
      <c r="F1032" t="s">
        <v>22</v>
      </c>
      <c r="G1032" t="s">
        <v>42</v>
      </c>
      <c r="H1032">
        <v>63</v>
      </c>
      <c r="I1032" t="s">
        <v>43</v>
      </c>
      <c r="J1032">
        <v>950.38</v>
      </c>
      <c r="K1032" cm="1">
        <f t="array" ref="K1032">_xlfn.SWITCH(LeadsData[[#This Row],[Funnel Stage Reached]],"Lead",1,"MQL",2,"SQL",3,"Customer",4)</f>
        <v>4</v>
      </c>
      <c r="L1032" t="str">
        <f>TEXT(LeadsData[[#This Row],[Signup Date]],"mmm-yyyy")</f>
        <v>May-2024</v>
      </c>
      <c r="M1032">
        <f>IF(LeadsData[[#This Row],[Stage Number]]&gt;=2,1,0)</f>
        <v>1</v>
      </c>
      <c r="N1032" s="2">
        <f>IF(LeadsData[[#This Row],[Stage Number]]&gt;=3,1,0)</f>
        <v>1</v>
      </c>
      <c r="O1032" s="2">
        <f>IF(LeadsData[[#This Row],[Stage Number]]&gt;=4,1,0)</f>
        <v>1</v>
      </c>
    </row>
    <row r="1033" spans="1:15" x14ac:dyDescent="0.25">
      <c r="A1033" t="s">
        <v>1073</v>
      </c>
      <c r="B1033" s="1">
        <v>45617</v>
      </c>
      <c r="C1033" t="s">
        <v>17</v>
      </c>
      <c r="D1033" t="s">
        <v>18</v>
      </c>
      <c r="E1033" t="s">
        <v>13</v>
      </c>
      <c r="F1033" t="s">
        <v>19</v>
      </c>
      <c r="G1033" t="s">
        <v>23</v>
      </c>
      <c r="K1033" cm="1">
        <f t="array" ref="K1033">_xlfn.SWITCH(LeadsData[[#This Row],[Funnel Stage Reached]],"Lead",1,"MQL",2,"SQL",3,"Customer",4)</f>
        <v>2</v>
      </c>
      <c r="L1033" t="str">
        <f>TEXT(LeadsData[[#This Row],[Signup Date]],"mmm-yyyy")</f>
        <v>Nov-2024</v>
      </c>
      <c r="M1033">
        <f>IF(LeadsData[[#This Row],[Stage Number]]&gt;=2,1,0)</f>
        <v>1</v>
      </c>
      <c r="N1033" s="2">
        <f>IF(LeadsData[[#This Row],[Stage Number]]&gt;=3,1,0)</f>
        <v>0</v>
      </c>
      <c r="O1033" s="2">
        <f>IF(LeadsData[[#This Row],[Stage Number]]&gt;=4,1,0)</f>
        <v>0</v>
      </c>
    </row>
    <row r="1034" spans="1:15" x14ac:dyDescent="0.25">
      <c r="A1034" t="s">
        <v>1074</v>
      </c>
      <c r="B1034" s="1">
        <v>45459</v>
      </c>
      <c r="C1034" t="s">
        <v>31</v>
      </c>
      <c r="D1034" t="s">
        <v>32</v>
      </c>
      <c r="E1034" t="s">
        <v>13</v>
      </c>
      <c r="F1034" t="s">
        <v>19</v>
      </c>
      <c r="G1034" t="s">
        <v>15</v>
      </c>
      <c r="K1034" cm="1">
        <f t="array" ref="K1034">_xlfn.SWITCH(LeadsData[[#This Row],[Funnel Stage Reached]],"Lead",1,"MQL",2,"SQL",3,"Customer",4)</f>
        <v>1</v>
      </c>
      <c r="L1034" t="str">
        <f>TEXT(LeadsData[[#This Row],[Signup Date]],"mmm-yyyy")</f>
        <v>Jun-2024</v>
      </c>
      <c r="M1034">
        <f>IF(LeadsData[[#This Row],[Stage Number]]&gt;=2,1,0)</f>
        <v>0</v>
      </c>
      <c r="N1034" s="2">
        <f>IF(LeadsData[[#This Row],[Stage Number]]&gt;=3,1,0)</f>
        <v>0</v>
      </c>
      <c r="O1034" s="2">
        <f>IF(LeadsData[[#This Row],[Stage Number]]&gt;=4,1,0)</f>
        <v>0</v>
      </c>
    </row>
    <row r="1035" spans="1:15" x14ac:dyDescent="0.25">
      <c r="A1035" t="s">
        <v>1075</v>
      </c>
      <c r="B1035" s="1">
        <v>45599</v>
      </c>
      <c r="C1035" t="s">
        <v>25</v>
      </c>
      <c r="D1035" t="s">
        <v>26</v>
      </c>
      <c r="E1035" t="s">
        <v>13</v>
      </c>
      <c r="F1035" t="s">
        <v>19</v>
      </c>
      <c r="G1035" t="s">
        <v>15</v>
      </c>
      <c r="K1035" cm="1">
        <f t="array" ref="K1035">_xlfn.SWITCH(LeadsData[[#This Row],[Funnel Stage Reached]],"Lead",1,"MQL",2,"SQL",3,"Customer",4)</f>
        <v>1</v>
      </c>
      <c r="L1035" t="str">
        <f>TEXT(LeadsData[[#This Row],[Signup Date]],"mmm-yyyy")</f>
        <v>Nov-2024</v>
      </c>
      <c r="M1035">
        <f>IF(LeadsData[[#This Row],[Stage Number]]&gt;=2,1,0)</f>
        <v>0</v>
      </c>
      <c r="N1035" s="2">
        <f>IF(LeadsData[[#This Row],[Stage Number]]&gt;=3,1,0)</f>
        <v>0</v>
      </c>
      <c r="O1035" s="2">
        <f>IF(LeadsData[[#This Row],[Stage Number]]&gt;=4,1,0)</f>
        <v>0</v>
      </c>
    </row>
    <row r="1036" spans="1:15" x14ac:dyDescent="0.25">
      <c r="A1036" t="s">
        <v>1076</v>
      </c>
      <c r="B1036" s="1">
        <v>45458</v>
      </c>
      <c r="C1036" t="s">
        <v>36</v>
      </c>
      <c r="D1036" t="s">
        <v>37</v>
      </c>
      <c r="E1036" t="s">
        <v>21</v>
      </c>
      <c r="F1036" t="s">
        <v>14</v>
      </c>
      <c r="G1036" t="s">
        <v>42</v>
      </c>
      <c r="H1036">
        <v>15</v>
      </c>
      <c r="I1036" t="s">
        <v>43</v>
      </c>
      <c r="J1036">
        <v>1330.69</v>
      </c>
      <c r="K1036" cm="1">
        <f t="array" ref="K1036">_xlfn.SWITCH(LeadsData[[#This Row],[Funnel Stage Reached]],"Lead",1,"MQL",2,"SQL",3,"Customer",4)</f>
        <v>4</v>
      </c>
      <c r="L1036" t="str">
        <f>TEXT(LeadsData[[#This Row],[Signup Date]],"mmm-yyyy")</f>
        <v>Jun-2024</v>
      </c>
      <c r="M1036">
        <f>IF(LeadsData[[#This Row],[Stage Number]]&gt;=2,1,0)</f>
        <v>1</v>
      </c>
      <c r="N1036" s="2">
        <f>IF(LeadsData[[#This Row],[Stage Number]]&gt;=3,1,0)</f>
        <v>1</v>
      </c>
      <c r="O1036" s="2">
        <f>IF(LeadsData[[#This Row],[Stage Number]]&gt;=4,1,0)</f>
        <v>1</v>
      </c>
    </row>
    <row r="1037" spans="1:15" x14ac:dyDescent="0.25">
      <c r="A1037" t="s">
        <v>1077</v>
      </c>
      <c r="B1037" s="1">
        <v>45577</v>
      </c>
      <c r="C1037" t="s">
        <v>17</v>
      </c>
      <c r="D1037" t="s">
        <v>18</v>
      </c>
      <c r="E1037" t="s">
        <v>13</v>
      </c>
      <c r="F1037" t="s">
        <v>22</v>
      </c>
      <c r="G1037" t="s">
        <v>15</v>
      </c>
      <c r="K1037" cm="1">
        <f t="array" ref="K1037">_xlfn.SWITCH(LeadsData[[#This Row],[Funnel Stage Reached]],"Lead",1,"MQL",2,"SQL",3,"Customer",4)</f>
        <v>1</v>
      </c>
      <c r="L1037" t="str">
        <f>TEXT(LeadsData[[#This Row],[Signup Date]],"mmm-yyyy")</f>
        <v>Oct-2024</v>
      </c>
      <c r="M1037">
        <f>IF(LeadsData[[#This Row],[Stage Number]]&gt;=2,1,0)</f>
        <v>0</v>
      </c>
      <c r="N1037" s="2">
        <f>IF(LeadsData[[#This Row],[Stage Number]]&gt;=3,1,0)</f>
        <v>0</v>
      </c>
      <c r="O1037" s="2">
        <f>IF(LeadsData[[#This Row],[Stage Number]]&gt;=4,1,0)</f>
        <v>0</v>
      </c>
    </row>
    <row r="1038" spans="1:15" x14ac:dyDescent="0.25">
      <c r="A1038" t="s">
        <v>1078</v>
      </c>
      <c r="B1038" s="1">
        <v>45578</v>
      </c>
      <c r="C1038" t="s">
        <v>11</v>
      </c>
      <c r="D1038" t="s">
        <v>79</v>
      </c>
      <c r="E1038" t="s">
        <v>13</v>
      </c>
      <c r="F1038" t="s">
        <v>14</v>
      </c>
      <c r="G1038" t="s">
        <v>15</v>
      </c>
      <c r="K1038" cm="1">
        <f t="array" ref="K1038">_xlfn.SWITCH(LeadsData[[#This Row],[Funnel Stage Reached]],"Lead",1,"MQL",2,"SQL",3,"Customer",4)</f>
        <v>1</v>
      </c>
      <c r="L1038" t="str">
        <f>TEXT(LeadsData[[#This Row],[Signup Date]],"mmm-yyyy")</f>
        <v>Oct-2024</v>
      </c>
      <c r="M1038">
        <f>IF(LeadsData[[#This Row],[Stage Number]]&gt;=2,1,0)</f>
        <v>0</v>
      </c>
      <c r="N1038" s="2">
        <f>IF(LeadsData[[#This Row],[Stage Number]]&gt;=3,1,0)</f>
        <v>0</v>
      </c>
      <c r="O1038" s="2">
        <f>IF(LeadsData[[#This Row],[Stage Number]]&gt;=4,1,0)</f>
        <v>0</v>
      </c>
    </row>
    <row r="1039" spans="1:15" x14ac:dyDescent="0.25">
      <c r="A1039" t="s">
        <v>1079</v>
      </c>
      <c r="B1039" s="1">
        <v>45620</v>
      </c>
      <c r="C1039" t="s">
        <v>31</v>
      </c>
      <c r="D1039" t="s">
        <v>34</v>
      </c>
      <c r="E1039" t="s">
        <v>13</v>
      </c>
      <c r="F1039" t="s">
        <v>19</v>
      </c>
      <c r="G1039" t="s">
        <v>23</v>
      </c>
      <c r="K1039" cm="1">
        <f t="array" ref="K1039">_xlfn.SWITCH(LeadsData[[#This Row],[Funnel Stage Reached]],"Lead",1,"MQL",2,"SQL",3,"Customer",4)</f>
        <v>2</v>
      </c>
      <c r="L1039" t="str">
        <f>TEXT(LeadsData[[#This Row],[Signup Date]],"mmm-yyyy")</f>
        <v>Nov-2024</v>
      </c>
      <c r="M1039">
        <f>IF(LeadsData[[#This Row],[Stage Number]]&gt;=2,1,0)</f>
        <v>1</v>
      </c>
      <c r="N1039" s="2">
        <f>IF(LeadsData[[#This Row],[Stage Number]]&gt;=3,1,0)</f>
        <v>0</v>
      </c>
      <c r="O1039" s="2">
        <f>IF(LeadsData[[#This Row],[Stage Number]]&gt;=4,1,0)</f>
        <v>0</v>
      </c>
    </row>
    <row r="1040" spans="1:15" x14ac:dyDescent="0.25">
      <c r="A1040" t="s">
        <v>1080</v>
      </c>
      <c r="B1040" s="1">
        <v>45328</v>
      </c>
      <c r="C1040" t="s">
        <v>17</v>
      </c>
      <c r="D1040" t="s">
        <v>18</v>
      </c>
      <c r="E1040" t="s">
        <v>13</v>
      </c>
      <c r="F1040" t="s">
        <v>28</v>
      </c>
      <c r="G1040" t="s">
        <v>23</v>
      </c>
      <c r="K1040" cm="1">
        <f t="array" ref="K1040">_xlfn.SWITCH(LeadsData[[#This Row],[Funnel Stage Reached]],"Lead",1,"MQL",2,"SQL",3,"Customer",4)</f>
        <v>2</v>
      </c>
      <c r="L1040" t="str">
        <f>TEXT(LeadsData[[#This Row],[Signup Date]],"mmm-yyyy")</f>
        <v>Feb-2024</v>
      </c>
      <c r="M1040">
        <f>IF(LeadsData[[#This Row],[Stage Number]]&gt;=2,1,0)</f>
        <v>1</v>
      </c>
      <c r="N1040" s="2">
        <f>IF(LeadsData[[#This Row],[Stage Number]]&gt;=3,1,0)</f>
        <v>0</v>
      </c>
      <c r="O1040" s="2">
        <f>IF(LeadsData[[#This Row],[Stage Number]]&gt;=4,1,0)</f>
        <v>0</v>
      </c>
    </row>
    <row r="1041" spans="1:15" x14ac:dyDescent="0.25">
      <c r="A1041" t="s">
        <v>1081</v>
      </c>
      <c r="B1041" s="1">
        <v>45509</v>
      </c>
      <c r="C1041" t="s">
        <v>17</v>
      </c>
      <c r="D1041" t="s">
        <v>53</v>
      </c>
      <c r="E1041" t="s">
        <v>13</v>
      </c>
      <c r="F1041" t="s">
        <v>14</v>
      </c>
      <c r="G1041" t="s">
        <v>15</v>
      </c>
      <c r="K1041" cm="1">
        <f t="array" ref="K1041">_xlfn.SWITCH(LeadsData[[#This Row],[Funnel Stage Reached]],"Lead",1,"MQL",2,"SQL",3,"Customer",4)</f>
        <v>1</v>
      </c>
      <c r="L1041" t="str">
        <f>TEXT(LeadsData[[#This Row],[Signup Date]],"mmm-yyyy")</f>
        <v>Aug-2024</v>
      </c>
      <c r="M1041">
        <f>IF(LeadsData[[#This Row],[Stage Number]]&gt;=2,1,0)</f>
        <v>0</v>
      </c>
      <c r="N1041" s="2">
        <f>IF(LeadsData[[#This Row],[Stage Number]]&gt;=3,1,0)</f>
        <v>0</v>
      </c>
      <c r="O1041" s="2">
        <f>IF(LeadsData[[#This Row],[Stage Number]]&gt;=4,1,0)</f>
        <v>0</v>
      </c>
    </row>
    <row r="1042" spans="1:15" x14ac:dyDescent="0.25">
      <c r="A1042" t="s">
        <v>1082</v>
      </c>
      <c r="B1042" s="1">
        <v>45303</v>
      </c>
      <c r="C1042" t="s">
        <v>11</v>
      </c>
      <c r="D1042" t="s">
        <v>79</v>
      </c>
      <c r="E1042" t="s">
        <v>21</v>
      </c>
      <c r="F1042" t="s">
        <v>22</v>
      </c>
      <c r="G1042" t="s">
        <v>29</v>
      </c>
      <c r="K1042" cm="1">
        <f t="array" ref="K1042">_xlfn.SWITCH(LeadsData[[#This Row],[Funnel Stage Reached]],"Lead",1,"MQL",2,"SQL",3,"Customer",4)</f>
        <v>3</v>
      </c>
      <c r="L1042" t="str">
        <f>TEXT(LeadsData[[#This Row],[Signup Date]],"mmm-yyyy")</f>
        <v>Jan-2024</v>
      </c>
      <c r="M1042">
        <f>IF(LeadsData[[#This Row],[Stage Number]]&gt;=2,1,0)</f>
        <v>1</v>
      </c>
      <c r="N1042" s="2">
        <f>IF(LeadsData[[#This Row],[Stage Number]]&gt;=3,1,0)</f>
        <v>1</v>
      </c>
      <c r="O1042" s="2">
        <f>IF(LeadsData[[#This Row],[Stage Number]]&gt;=4,1,0)</f>
        <v>0</v>
      </c>
    </row>
    <row r="1043" spans="1:15" x14ac:dyDescent="0.25">
      <c r="A1043" t="s">
        <v>1083</v>
      </c>
      <c r="B1043" s="1">
        <v>45393</v>
      </c>
      <c r="C1043" t="s">
        <v>36</v>
      </c>
      <c r="D1043" t="s">
        <v>37</v>
      </c>
      <c r="E1043" t="s">
        <v>21</v>
      </c>
      <c r="F1043" t="s">
        <v>19</v>
      </c>
      <c r="G1043" t="s">
        <v>15</v>
      </c>
      <c r="K1043" cm="1">
        <f t="array" ref="K1043">_xlfn.SWITCH(LeadsData[[#This Row],[Funnel Stage Reached]],"Lead",1,"MQL",2,"SQL",3,"Customer",4)</f>
        <v>1</v>
      </c>
      <c r="L1043" t="str">
        <f>TEXT(LeadsData[[#This Row],[Signup Date]],"mmm-yyyy")</f>
        <v>Apr-2024</v>
      </c>
      <c r="M1043">
        <f>IF(LeadsData[[#This Row],[Stage Number]]&gt;=2,1,0)</f>
        <v>0</v>
      </c>
      <c r="N1043" s="2">
        <f>IF(LeadsData[[#This Row],[Stage Number]]&gt;=3,1,0)</f>
        <v>0</v>
      </c>
      <c r="O1043" s="2">
        <f>IF(LeadsData[[#This Row],[Stage Number]]&gt;=4,1,0)</f>
        <v>0</v>
      </c>
    </row>
    <row r="1044" spans="1:15" x14ac:dyDescent="0.25">
      <c r="A1044" t="s">
        <v>1084</v>
      </c>
      <c r="B1044" s="1">
        <v>45507</v>
      </c>
      <c r="C1044" t="s">
        <v>46</v>
      </c>
      <c r="D1044" t="s">
        <v>56</v>
      </c>
      <c r="E1044" t="s">
        <v>13</v>
      </c>
      <c r="F1044" t="s">
        <v>19</v>
      </c>
      <c r="G1044" t="s">
        <v>23</v>
      </c>
      <c r="K1044" cm="1">
        <f t="array" ref="K1044">_xlfn.SWITCH(LeadsData[[#This Row],[Funnel Stage Reached]],"Lead",1,"MQL",2,"SQL",3,"Customer",4)</f>
        <v>2</v>
      </c>
      <c r="L1044" t="str">
        <f>TEXT(LeadsData[[#This Row],[Signup Date]],"mmm-yyyy")</f>
        <v>Aug-2024</v>
      </c>
      <c r="M1044">
        <f>IF(LeadsData[[#This Row],[Stage Number]]&gt;=2,1,0)</f>
        <v>1</v>
      </c>
      <c r="N1044" s="2">
        <f>IF(LeadsData[[#This Row],[Stage Number]]&gt;=3,1,0)</f>
        <v>0</v>
      </c>
      <c r="O1044" s="2">
        <f>IF(LeadsData[[#This Row],[Stage Number]]&gt;=4,1,0)</f>
        <v>0</v>
      </c>
    </row>
    <row r="1045" spans="1:15" x14ac:dyDescent="0.25">
      <c r="A1045" t="s">
        <v>1085</v>
      </c>
      <c r="B1045" s="1">
        <v>45300</v>
      </c>
      <c r="C1045" t="s">
        <v>46</v>
      </c>
      <c r="D1045" t="s">
        <v>56</v>
      </c>
      <c r="E1045" t="s">
        <v>13</v>
      </c>
      <c r="F1045" t="s">
        <v>14</v>
      </c>
      <c r="G1045" t="s">
        <v>23</v>
      </c>
      <c r="K1045" cm="1">
        <f t="array" ref="K1045">_xlfn.SWITCH(LeadsData[[#This Row],[Funnel Stage Reached]],"Lead",1,"MQL",2,"SQL",3,"Customer",4)</f>
        <v>2</v>
      </c>
      <c r="L1045" t="str">
        <f>TEXT(LeadsData[[#This Row],[Signup Date]],"mmm-yyyy")</f>
        <v>Jan-2024</v>
      </c>
      <c r="M1045">
        <f>IF(LeadsData[[#This Row],[Stage Number]]&gt;=2,1,0)</f>
        <v>1</v>
      </c>
      <c r="N1045" s="2">
        <f>IF(LeadsData[[#This Row],[Stage Number]]&gt;=3,1,0)</f>
        <v>0</v>
      </c>
      <c r="O1045" s="2">
        <f>IF(LeadsData[[#This Row],[Stage Number]]&gt;=4,1,0)</f>
        <v>0</v>
      </c>
    </row>
    <row r="1046" spans="1:15" x14ac:dyDescent="0.25">
      <c r="A1046" t="s">
        <v>1086</v>
      </c>
      <c r="B1046" s="1">
        <v>45495</v>
      </c>
      <c r="C1046" t="s">
        <v>17</v>
      </c>
      <c r="D1046" t="s">
        <v>18</v>
      </c>
      <c r="E1046" t="s">
        <v>21</v>
      </c>
      <c r="F1046" t="s">
        <v>22</v>
      </c>
      <c r="G1046" t="s">
        <v>15</v>
      </c>
      <c r="K1046" cm="1">
        <f t="array" ref="K1046">_xlfn.SWITCH(LeadsData[[#This Row],[Funnel Stage Reached]],"Lead",1,"MQL",2,"SQL",3,"Customer",4)</f>
        <v>1</v>
      </c>
      <c r="L1046" t="str">
        <f>TEXT(LeadsData[[#This Row],[Signup Date]],"mmm-yyyy")</f>
        <v>Jul-2024</v>
      </c>
      <c r="M1046">
        <f>IF(LeadsData[[#This Row],[Stage Number]]&gt;=2,1,0)</f>
        <v>0</v>
      </c>
      <c r="N1046" s="2">
        <f>IF(LeadsData[[#This Row],[Stage Number]]&gt;=3,1,0)</f>
        <v>0</v>
      </c>
      <c r="O1046" s="2">
        <f>IF(LeadsData[[#This Row],[Stage Number]]&gt;=4,1,0)</f>
        <v>0</v>
      </c>
    </row>
    <row r="1047" spans="1:15" x14ac:dyDescent="0.25">
      <c r="A1047" t="s">
        <v>1087</v>
      </c>
      <c r="B1047" s="1">
        <v>45600</v>
      </c>
      <c r="C1047" t="s">
        <v>46</v>
      </c>
      <c r="D1047" t="s">
        <v>47</v>
      </c>
      <c r="E1047" t="s">
        <v>13</v>
      </c>
      <c r="F1047" t="s">
        <v>22</v>
      </c>
      <c r="G1047" t="s">
        <v>23</v>
      </c>
      <c r="K1047" cm="1">
        <f t="array" ref="K1047">_xlfn.SWITCH(LeadsData[[#This Row],[Funnel Stage Reached]],"Lead",1,"MQL",2,"SQL",3,"Customer",4)</f>
        <v>2</v>
      </c>
      <c r="L1047" t="str">
        <f>TEXT(LeadsData[[#This Row],[Signup Date]],"mmm-yyyy")</f>
        <v>Nov-2024</v>
      </c>
      <c r="M1047">
        <f>IF(LeadsData[[#This Row],[Stage Number]]&gt;=2,1,0)</f>
        <v>1</v>
      </c>
      <c r="N1047" s="2">
        <f>IF(LeadsData[[#This Row],[Stage Number]]&gt;=3,1,0)</f>
        <v>0</v>
      </c>
      <c r="O1047" s="2">
        <f>IF(LeadsData[[#This Row],[Stage Number]]&gt;=4,1,0)</f>
        <v>0</v>
      </c>
    </row>
    <row r="1048" spans="1:15" x14ac:dyDescent="0.25">
      <c r="A1048" t="s">
        <v>1088</v>
      </c>
      <c r="B1048" s="1">
        <v>45372</v>
      </c>
      <c r="C1048" t="s">
        <v>36</v>
      </c>
      <c r="D1048" t="s">
        <v>37</v>
      </c>
      <c r="E1048" t="s">
        <v>13</v>
      </c>
      <c r="F1048" t="s">
        <v>19</v>
      </c>
      <c r="G1048" t="s">
        <v>29</v>
      </c>
      <c r="K1048" cm="1">
        <f t="array" ref="K1048">_xlfn.SWITCH(LeadsData[[#This Row],[Funnel Stage Reached]],"Lead",1,"MQL",2,"SQL",3,"Customer",4)</f>
        <v>3</v>
      </c>
      <c r="L1048" t="str">
        <f>TEXT(LeadsData[[#This Row],[Signup Date]],"mmm-yyyy")</f>
        <v>Mar-2024</v>
      </c>
      <c r="M1048">
        <f>IF(LeadsData[[#This Row],[Stage Number]]&gt;=2,1,0)</f>
        <v>1</v>
      </c>
      <c r="N1048" s="2">
        <f>IF(LeadsData[[#This Row],[Stage Number]]&gt;=3,1,0)</f>
        <v>1</v>
      </c>
      <c r="O1048" s="2">
        <f>IF(LeadsData[[#This Row],[Stage Number]]&gt;=4,1,0)</f>
        <v>0</v>
      </c>
    </row>
    <row r="1049" spans="1:15" x14ac:dyDescent="0.25">
      <c r="A1049" t="s">
        <v>1089</v>
      </c>
      <c r="B1049" s="1">
        <v>45627</v>
      </c>
      <c r="C1049" t="s">
        <v>31</v>
      </c>
      <c r="D1049" t="s">
        <v>34</v>
      </c>
      <c r="E1049" t="s">
        <v>21</v>
      </c>
      <c r="F1049" t="s">
        <v>22</v>
      </c>
      <c r="G1049" t="s">
        <v>29</v>
      </c>
      <c r="K1049" cm="1">
        <f t="array" ref="K1049">_xlfn.SWITCH(LeadsData[[#This Row],[Funnel Stage Reached]],"Lead",1,"MQL",2,"SQL",3,"Customer",4)</f>
        <v>3</v>
      </c>
      <c r="L1049" t="str">
        <f>TEXT(LeadsData[[#This Row],[Signup Date]],"mmm-yyyy")</f>
        <v>Dec-2024</v>
      </c>
      <c r="M1049">
        <f>IF(LeadsData[[#This Row],[Stage Number]]&gt;=2,1,0)</f>
        <v>1</v>
      </c>
      <c r="N1049" s="2">
        <f>IF(LeadsData[[#This Row],[Stage Number]]&gt;=3,1,0)</f>
        <v>1</v>
      </c>
      <c r="O1049" s="2">
        <f>IF(LeadsData[[#This Row],[Stage Number]]&gt;=4,1,0)</f>
        <v>0</v>
      </c>
    </row>
    <row r="1050" spans="1:15" x14ac:dyDescent="0.25">
      <c r="A1050" t="s">
        <v>1090</v>
      </c>
      <c r="B1050" s="1">
        <v>45578</v>
      </c>
      <c r="C1050" t="s">
        <v>17</v>
      </c>
      <c r="D1050" t="s">
        <v>53</v>
      </c>
      <c r="E1050" t="s">
        <v>48</v>
      </c>
      <c r="F1050" t="s">
        <v>19</v>
      </c>
      <c r="G1050" t="s">
        <v>15</v>
      </c>
      <c r="K1050" cm="1">
        <f t="array" ref="K1050">_xlfn.SWITCH(LeadsData[[#This Row],[Funnel Stage Reached]],"Lead",1,"MQL",2,"SQL",3,"Customer",4)</f>
        <v>1</v>
      </c>
      <c r="L1050" t="str">
        <f>TEXT(LeadsData[[#This Row],[Signup Date]],"mmm-yyyy")</f>
        <v>Oct-2024</v>
      </c>
      <c r="M1050">
        <f>IF(LeadsData[[#This Row],[Stage Number]]&gt;=2,1,0)</f>
        <v>0</v>
      </c>
      <c r="N1050" s="2">
        <f>IF(LeadsData[[#This Row],[Stage Number]]&gt;=3,1,0)</f>
        <v>0</v>
      </c>
      <c r="O1050" s="2">
        <f>IF(LeadsData[[#This Row],[Stage Number]]&gt;=4,1,0)</f>
        <v>0</v>
      </c>
    </row>
    <row r="1051" spans="1:15" x14ac:dyDescent="0.25">
      <c r="A1051" t="s">
        <v>1091</v>
      </c>
      <c r="B1051" s="1">
        <v>45597</v>
      </c>
      <c r="C1051" t="s">
        <v>31</v>
      </c>
      <c r="D1051" t="s">
        <v>34</v>
      </c>
      <c r="E1051" t="s">
        <v>13</v>
      </c>
      <c r="F1051" t="s">
        <v>14</v>
      </c>
      <c r="G1051" t="s">
        <v>15</v>
      </c>
      <c r="K1051" cm="1">
        <f t="array" ref="K1051">_xlfn.SWITCH(LeadsData[[#This Row],[Funnel Stage Reached]],"Lead",1,"MQL",2,"SQL",3,"Customer",4)</f>
        <v>1</v>
      </c>
      <c r="L1051" t="str">
        <f>TEXT(LeadsData[[#This Row],[Signup Date]],"mmm-yyyy")</f>
        <v>Nov-2024</v>
      </c>
      <c r="M1051">
        <f>IF(LeadsData[[#This Row],[Stage Number]]&gt;=2,1,0)</f>
        <v>0</v>
      </c>
      <c r="N1051" s="2">
        <f>IF(LeadsData[[#This Row],[Stage Number]]&gt;=3,1,0)</f>
        <v>0</v>
      </c>
      <c r="O1051" s="2">
        <f>IF(LeadsData[[#This Row],[Stage Number]]&gt;=4,1,0)</f>
        <v>0</v>
      </c>
    </row>
    <row r="1052" spans="1:15" x14ac:dyDescent="0.25">
      <c r="A1052" t="s">
        <v>1092</v>
      </c>
      <c r="B1052" s="1">
        <v>45492</v>
      </c>
      <c r="C1052" t="s">
        <v>17</v>
      </c>
      <c r="D1052" t="s">
        <v>18</v>
      </c>
      <c r="E1052" t="s">
        <v>21</v>
      </c>
      <c r="F1052" t="s">
        <v>19</v>
      </c>
      <c r="G1052" t="s">
        <v>15</v>
      </c>
      <c r="K1052" cm="1">
        <f t="array" ref="K1052">_xlfn.SWITCH(LeadsData[[#This Row],[Funnel Stage Reached]],"Lead",1,"MQL",2,"SQL",3,"Customer",4)</f>
        <v>1</v>
      </c>
      <c r="L1052" t="str">
        <f>TEXT(LeadsData[[#This Row],[Signup Date]],"mmm-yyyy")</f>
        <v>Jul-2024</v>
      </c>
      <c r="M1052">
        <f>IF(LeadsData[[#This Row],[Stage Number]]&gt;=2,1,0)</f>
        <v>0</v>
      </c>
      <c r="N1052" s="2">
        <f>IF(LeadsData[[#This Row],[Stage Number]]&gt;=3,1,0)</f>
        <v>0</v>
      </c>
      <c r="O1052" s="2">
        <f>IF(LeadsData[[#This Row],[Stage Number]]&gt;=4,1,0)</f>
        <v>0</v>
      </c>
    </row>
    <row r="1053" spans="1:15" x14ac:dyDescent="0.25">
      <c r="A1053" t="s">
        <v>1093</v>
      </c>
      <c r="B1053" s="1">
        <v>45427</v>
      </c>
      <c r="C1053" t="s">
        <v>46</v>
      </c>
      <c r="D1053" t="s">
        <v>56</v>
      </c>
      <c r="E1053" t="s">
        <v>13</v>
      </c>
      <c r="F1053" t="s">
        <v>19</v>
      </c>
      <c r="G1053" t="s">
        <v>15</v>
      </c>
      <c r="K1053" cm="1">
        <f t="array" ref="K1053">_xlfn.SWITCH(LeadsData[[#This Row],[Funnel Stage Reached]],"Lead",1,"MQL",2,"SQL",3,"Customer",4)</f>
        <v>1</v>
      </c>
      <c r="L1053" t="str">
        <f>TEXT(LeadsData[[#This Row],[Signup Date]],"mmm-yyyy")</f>
        <v>May-2024</v>
      </c>
      <c r="M1053">
        <f>IF(LeadsData[[#This Row],[Stage Number]]&gt;=2,1,0)</f>
        <v>0</v>
      </c>
      <c r="N1053" s="2">
        <f>IF(LeadsData[[#This Row],[Stage Number]]&gt;=3,1,0)</f>
        <v>0</v>
      </c>
      <c r="O1053" s="2">
        <f>IF(LeadsData[[#This Row],[Stage Number]]&gt;=4,1,0)</f>
        <v>0</v>
      </c>
    </row>
    <row r="1054" spans="1:15" x14ac:dyDescent="0.25">
      <c r="A1054" t="s">
        <v>1094</v>
      </c>
      <c r="B1054" s="1">
        <v>45499</v>
      </c>
      <c r="C1054" t="s">
        <v>31</v>
      </c>
      <c r="D1054" t="s">
        <v>34</v>
      </c>
      <c r="E1054" t="s">
        <v>13</v>
      </c>
      <c r="F1054" t="s">
        <v>14</v>
      </c>
      <c r="G1054" t="s">
        <v>29</v>
      </c>
      <c r="K1054" cm="1">
        <f t="array" ref="K1054">_xlfn.SWITCH(LeadsData[[#This Row],[Funnel Stage Reached]],"Lead",1,"MQL",2,"SQL",3,"Customer",4)</f>
        <v>3</v>
      </c>
      <c r="L1054" t="str">
        <f>TEXT(LeadsData[[#This Row],[Signup Date]],"mmm-yyyy")</f>
        <v>Jul-2024</v>
      </c>
      <c r="M1054">
        <f>IF(LeadsData[[#This Row],[Stage Number]]&gt;=2,1,0)</f>
        <v>1</v>
      </c>
      <c r="N1054" s="2">
        <f>IF(LeadsData[[#This Row],[Stage Number]]&gt;=3,1,0)</f>
        <v>1</v>
      </c>
      <c r="O1054" s="2">
        <f>IF(LeadsData[[#This Row],[Stage Number]]&gt;=4,1,0)</f>
        <v>0</v>
      </c>
    </row>
    <row r="1055" spans="1:15" x14ac:dyDescent="0.25">
      <c r="A1055" t="s">
        <v>1095</v>
      </c>
      <c r="B1055" s="1">
        <v>45554</v>
      </c>
      <c r="C1055" t="s">
        <v>46</v>
      </c>
      <c r="D1055" t="s">
        <v>56</v>
      </c>
      <c r="E1055" t="s">
        <v>13</v>
      </c>
      <c r="F1055" t="s">
        <v>14</v>
      </c>
      <c r="G1055" t="s">
        <v>15</v>
      </c>
      <c r="K1055" cm="1">
        <f t="array" ref="K1055">_xlfn.SWITCH(LeadsData[[#This Row],[Funnel Stage Reached]],"Lead",1,"MQL",2,"SQL",3,"Customer",4)</f>
        <v>1</v>
      </c>
      <c r="L1055" t="str">
        <f>TEXT(LeadsData[[#This Row],[Signup Date]],"mmm-yyyy")</f>
        <v>Sep-2024</v>
      </c>
      <c r="M1055">
        <f>IF(LeadsData[[#This Row],[Stage Number]]&gt;=2,1,0)</f>
        <v>0</v>
      </c>
      <c r="N1055" s="2">
        <f>IF(LeadsData[[#This Row],[Stage Number]]&gt;=3,1,0)</f>
        <v>0</v>
      </c>
      <c r="O1055" s="2">
        <f>IF(LeadsData[[#This Row],[Stage Number]]&gt;=4,1,0)</f>
        <v>0</v>
      </c>
    </row>
    <row r="1056" spans="1:15" x14ac:dyDescent="0.25">
      <c r="A1056" t="s">
        <v>1096</v>
      </c>
      <c r="B1056" s="1">
        <v>45574</v>
      </c>
      <c r="C1056" t="s">
        <v>25</v>
      </c>
      <c r="D1056" t="s">
        <v>26</v>
      </c>
      <c r="E1056" t="s">
        <v>13</v>
      </c>
      <c r="F1056" t="s">
        <v>22</v>
      </c>
      <c r="G1056" t="s">
        <v>15</v>
      </c>
      <c r="K1056" cm="1">
        <f t="array" ref="K1056">_xlfn.SWITCH(LeadsData[[#This Row],[Funnel Stage Reached]],"Lead",1,"MQL",2,"SQL",3,"Customer",4)</f>
        <v>1</v>
      </c>
      <c r="L1056" t="str">
        <f>TEXT(LeadsData[[#This Row],[Signup Date]],"mmm-yyyy")</f>
        <v>Oct-2024</v>
      </c>
      <c r="M1056">
        <f>IF(LeadsData[[#This Row],[Stage Number]]&gt;=2,1,0)</f>
        <v>0</v>
      </c>
      <c r="N1056" s="2">
        <f>IF(LeadsData[[#This Row],[Stage Number]]&gt;=3,1,0)</f>
        <v>0</v>
      </c>
      <c r="O1056" s="2">
        <f>IF(LeadsData[[#This Row],[Stage Number]]&gt;=4,1,0)</f>
        <v>0</v>
      </c>
    </row>
    <row r="1057" spans="1:15" x14ac:dyDescent="0.25">
      <c r="A1057" t="s">
        <v>1097</v>
      </c>
      <c r="B1057" s="1">
        <v>45463</v>
      </c>
      <c r="C1057" t="s">
        <v>11</v>
      </c>
      <c r="D1057" t="s">
        <v>12</v>
      </c>
      <c r="E1057" t="s">
        <v>13</v>
      </c>
      <c r="F1057" t="s">
        <v>22</v>
      </c>
      <c r="G1057" t="s">
        <v>15</v>
      </c>
      <c r="K1057" cm="1">
        <f t="array" ref="K1057">_xlfn.SWITCH(LeadsData[[#This Row],[Funnel Stage Reached]],"Lead",1,"MQL",2,"SQL",3,"Customer",4)</f>
        <v>1</v>
      </c>
      <c r="L1057" t="str">
        <f>TEXT(LeadsData[[#This Row],[Signup Date]],"mmm-yyyy")</f>
        <v>Jun-2024</v>
      </c>
      <c r="M1057">
        <f>IF(LeadsData[[#This Row],[Stage Number]]&gt;=2,1,0)</f>
        <v>0</v>
      </c>
      <c r="N1057" s="2">
        <f>IF(LeadsData[[#This Row],[Stage Number]]&gt;=3,1,0)</f>
        <v>0</v>
      </c>
      <c r="O1057" s="2">
        <f>IF(LeadsData[[#This Row],[Stage Number]]&gt;=4,1,0)</f>
        <v>0</v>
      </c>
    </row>
    <row r="1058" spans="1:15" x14ac:dyDescent="0.25">
      <c r="A1058" t="s">
        <v>1098</v>
      </c>
      <c r="B1058" s="1">
        <v>45582</v>
      </c>
      <c r="C1058" t="s">
        <v>31</v>
      </c>
      <c r="D1058" t="s">
        <v>32</v>
      </c>
      <c r="E1058" t="s">
        <v>13</v>
      </c>
      <c r="F1058" t="s">
        <v>22</v>
      </c>
      <c r="G1058" t="s">
        <v>29</v>
      </c>
      <c r="K1058" cm="1">
        <f t="array" ref="K1058">_xlfn.SWITCH(LeadsData[[#This Row],[Funnel Stage Reached]],"Lead",1,"MQL",2,"SQL",3,"Customer",4)</f>
        <v>3</v>
      </c>
      <c r="L1058" t="str">
        <f>TEXT(LeadsData[[#This Row],[Signup Date]],"mmm-yyyy")</f>
        <v>Oct-2024</v>
      </c>
      <c r="M1058">
        <f>IF(LeadsData[[#This Row],[Stage Number]]&gt;=2,1,0)</f>
        <v>1</v>
      </c>
      <c r="N1058" s="2">
        <f>IF(LeadsData[[#This Row],[Stage Number]]&gt;=3,1,0)</f>
        <v>1</v>
      </c>
      <c r="O1058" s="2">
        <f>IF(LeadsData[[#This Row],[Stage Number]]&gt;=4,1,0)</f>
        <v>0</v>
      </c>
    </row>
    <row r="1059" spans="1:15" x14ac:dyDescent="0.25">
      <c r="A1059" t="s">
        <v>1099</v>
      </c>
      <c r="B1059" s="1">
        <v>45570</v>
      </c>
      <c r="C1059" t="s">
        <v>25</v>
      </c>
      <c r="D1059" t="s">
        <v>26</v>
      </c>
      <c r="E1059" t="s">
        <v>21</v>
      </c>
      <c r="F1059" t="s">
        <v>22</v>
      </c>
      <c r="G1059" t="s">
        <v>15</v>
      </c>
      <c r="K1059" cm="1">
        <f t="array" ref="K1059">_xlfn.SWITCH(LeadsData[[#This Row],[Funnel Stage Reached]],"Lead",1,"MQL",2,"SQL",3,"Customer",4)</f>
        <v>1</v>
      </c>
      <c r="L1059" t="str">
        <f>TEXT(LeadsData[[#This Row],[Signup Date]],"mmm-yyyy")</f>
        <v>Oct-2024</v>
      </c>
      <c r="M1059">
        <f>IF(LeadsData[[#This Row],[Stage Number]]&gt;=2,1,0)</f>
        <v>0</v>
      </c>
      <c r="N1059" s="2">
        <f>IF(LeadsData[[#This Row],[Stage Number]]&gt;=3,1,0)</f>
        <v>0</v>
      </c>
      <c r="O1059" s="2">
        <f>IF(LeadsData[[#This Row],[Stage Number]]&gt;=4,1,0)</f>
        <v>0</v>
      </c>
    </row>
    <row r="1060" spans="1:15" x14ac:dyDescent="0.25">
      <c r="A1060" t="s">
        <v>1100</v>
      </c>
      <c r="B1060" s="1">
        <v>45398</v>
      </c>
      <c r="C1060" t="s">
        <v>11</v>
      </c>
      <c r="D1060" t="s">
        <v>79</v>
      </c>
      <c r="E1060" t="s">
        <v>21</v>
      </c>
      <c r="F1060" t="s">
        <v>19</v>
      </c>
      <c r="G1060" t="s">
        <v>23</v>
      </c>
      <c r="K1060" cm="1">
        <f t="array" ref="K1060">_xlfn.SWITCH(LeadsData[[#This Row],[Funnel Stage Reached]],"Lead",1,"MQL",2,"SQL",3,"Customer",4)</f>
        <v>2</v>
      </c>
      <c r="L1060" t="str">
        <f>TEXT(LeadsData[[#This Row],[Signup Date]],"mmm-yyyy")</f>
        <v>Apr-2024</v>
      </c>
      <c r="M1060">
        <f>IF(LeadsData[[#This Row],[Stage Number]]&gt;=2,1,0)</f>
        <v>1</v>
      </c>
      <c r="N1060" s="2">
        <f>IF(LeadsData[[#This Row],[Stage Number]]&gt;=3,1,0)</f>
        <v>0</v>
      </c>
      <c r="O1060" s="2">
        <f>IF(LeadsData[[#This Row],[Stage Number]]&gt;=4,1,0)</f>
        <v>0</v>
      </c>
    </row>
    <row r="1061" spans="1:15" x14ac:dyDescent="0.25">
      <c r="A1061" t="s">
        <v>1101</v>
      </c>
      <c r="B1061" s="1">
        <v>45337</v>
      </c>
      <c r="C1061" t="s">
        <v>11</v>
      </c>
      <c r="D1061" t="s">
        <v>68</v>
      </c>
      <c r="E1061" t="s">
        <v>13</v>
      </c>
      <c r="F1061" t="s">
        <v>19</v>
      </c>
      <c r="G1061" t="s">
        <v>29</v>
      </c>
      <c r="K1061" cm="1">
        <f t="array" ref="K1061">_xlfn.SWITCH(LeadsData[[#This Row],[Funnel Stage Reached]],"Lead",1,"MQL",2,"SQL",3,"Customer",4)</f>
        <v>3</v>
      </c>
      <c r="L1061" t="str">
        <f>TEXT(LeadsData[[#This Row],[Signup Date]],"mmm-yyyy")</f>
        <v>Feb-2024</v>
      </c>
      <c r="M1061">
        <f>IF(LeadsData[[#This Row],[Stage Number]]&gt;=2,1,0)</f>
        <v>1</v>
      </c>
      <c r="N1061" s="2">
        <f>IF(LeadsData[[#This Row],[Stage Number]]&gt;=3,1,0)</f>
        <v>1</v>
      </c>
      <c r="O1061" s="2">
        <f>IF(LeadsData[[#This Row],[Stage Number]]&gt;=4,1,0)</f>
        <v>0</v>
      </c>
    </row>
    <row r="1062" spans="1:15" x14ac:dyDescent="0.25">
      <c r="A1062" t="s">
        <v>1102</v>
      </c>
      <c r="B1062" s="1">
        <v>45378</v>
      </c>
      <c r="C1062" t="s">
        <v>11</v>
      </c>
      <c r="D1062" t="s">
        <v>79</v>
      </c>
      <c r="E1062" t="s">
        <v>21</v>
      </c>
      <c r="F1062" t="s">
        <v>22</v>
      </c>
      <c r="G1062" t="s">
        <v>15</v>
      </c>
      <c r="K1062" cm="1">
        <f t="array" ref="K1062">_xlfn.SWITCH(LeadsData[[#This Row],[Funnel Stage Reached]],"Lead",1,"MQL",2,"SQL",3,"Customer",4)</f>
        <v>1</v>
      </c>
      <c r="L1062" t="str">
        <f>TEXT(LeadsData[[#This Row],[Signup Date]],"mmm-yyyy")</f>
        <v>Mar-2024</v>
      </c>
      <c r="M1062">
        <f>IF(LeadsData[[#This Row],[Stage Number]]&gt;=2,1,0)</f>
        <v>0</v>
      </c>
      <c r="N1062" s="2">
        <f>IF(LeadsData[[#This Row],[Stage Number]]&gt;=3,1,0)</f>
        <v>0</v>
      </c>
      <c r="O1062" s="2">
        <f>IF(LeadsData[[#This Row],[Stage Number]]&gt;=4,1,0)</f>
        <v>0</v>
      </c>
    </row>
    <row r="1063" spans="1:15" x14ac:dyDescent="0.25">
      <c r="A1063" t="s">
        <v>1103</v>
      </c>
      <c r="B1063" s="1">
        <v>45506</v>
      </c>
      <c r="C1063" t="s">
        <v>31</v>
      </c>
      <c r="D1063" t="s">
        <v>34</v>
      </c>
      <c r="E1063" t="s">
        <v>21</v>
      </c>
      <c r="F1063" t="s">
        <v>19</v>
      </c>
      <c r="G1063" t="s">
        <v>23</v>
      </c>
      <c r="K1063" cm="1">
        <f t="array" ref="K1063">_xlfn.SWITCH(LeadsData[[#This Row],[Funnel Stage Reached]],"Lead",1,"MQL",2,"SQL",3,"Customer",4)</f>
        <v>2</v>
      </c>
      <c r="L1063" t="str">
        <f>TEXT(LeadsData[[#This Row],[Signup Date]],"mmm-yyyy")</f>
        <v>Aug-2024</v>
      </c>
      <c r="M1063">
        <f>IF(LeadsData[[#This Row],[Stage Number]]&gt;=2,1,0)</f>
        <v>1</v>
      </c>
      <c r="N1063" s="2">
        <f>IF(LeadsData[[#This Row],[Stage Number]]&gt;=3,1,0)</f>
        <v>0</v>
      </c>
      <c r="O1063" s="2">
        <f>IF(LeadsData[[#This Row],[Stage Number]]&gt;=4,1,0)</f>
        <v>0</v>
      </c>
    </row>
    <row r="1064" spans="1:15" x14ac:dyDescent="0.25">
      <c r="A1064" t="s">
        <v>1104</v>
      </c>
      <c r="B1064" s="1">
        <v>45588</v>
      </c>
      <c r="C1064" t="s">
        <v>25</v>
      </c>
      <c r="D1064" t="s">
        <v>26</v>
      </c>
      <c r="E1064" t="s">
        <v>13</v>
      </c>
      <c r="F1064" t="s">
        <v>28</v>
      </c>
      <c r="G1064" t="s">
        <v>29</v>
      </c>
      <c r="K1064" cm="1">
        <f t="array" ref="K1064">_xlfn.SWITCH(LeadsData[[#This Row],[Funnel Stage Reached]],"Lead",1,"MQL",2,"SQL",3,"Customer",4)</f>
        <v>3</v>
      </c>
      <c r="L1064" t="str">
        <f>TEXT(LeadsData[[#This Row],[Signup Date]],"mmm-yyyy")</f>
        <v>Oct-2024</v>
      </c>
      <c r="M1064">
        <f>IF(LeadsData[[#This Row],[Stage Number]]&gt;=2,1,0)</f>
        <v>1</v>
      </c>
      <c r="N1064" s="2">
        <f>IF(LeadsData[[#This Row],[Stage Number]]&gt;=3,1,0)</f>
        <v>1</v>
      </c>
      <c r="O1064" s="2">
        <f>IF(LeadsData[[#This Row],[Stage Number]]&gt;=4,1,0)</f>
        <v>0</v>
      </c>
    </row>
    <row r="1065" spans="1:15" x14ac:dyDescent="0.25">
      <c r="A1065" t="s">
        <v>1105</v>
      </c>
      <c r="B1065" s="1">
        <v>45489</v>
      </c>
      <c r="C1065" t="s">
        <v>36</v>
      </c>
      <c r="D1065" t="s">
        <v>50</v>
      </c>
      <c r="E1065" t="s">
        <v>21</v>
      </c>
      <c r="F1065" t="s">
        <v>22</v>
      </c>
      <c r="G1065" t="s">
        <v>23</v>
      </c>
      <c r="K1065" cm="1">
        <f t="array" ref="K1065">_xlfn.SWITCH(LeadsData[[#This Row],[Funnel Stage Reached]],"Lead",1,"MQL",2,"SQL",3,"Customer",4)</f>
        <v>2</v>
      </c>
      <c r="L1065" t="str">
        <f>TEXT(LeadsData[[#This Row],[Signup Date]],"mmm-yyyy")</f>
        <v>Jul-2024</v>
      </c>
      <c r="M1065">
        <f>IF(LeadsData[[#This Row],[Stage Number]]&gt;=2,1,0)</f>
        <v>1</v>
      </c>
      <c r="N1065" s="2">
        <f>IF(LeadsData[[#This Row],[Stage Number]]&gt;=3,1,0)</f>
        <v>0</v>
      </c>
      <c r="O1065" s="2">
        <f>IF(LeadsData[[#This Row],[Stage Number]]&gt;=4,1,0)</f>
        <v>0</v>
      </c>
    </row>
    <row r="1066" spans="1:15" x14ac:dyDescent="0.25">
      <c r="A1066" t="s">
        <v>1106</v>
      </c>
      <c r="B1066" s="1">
        <v>45323</v>
      </c>
      <c r="C1066" t="s">
        <v>46</v>
      </c>
      <c r="D1066" t="s">
        <v>56</v>
      </c>
      <c r="E1066" t="s">
        <v>13</v>
      </c>
      <c r="F1066" t="s">
        <v>28</v>
      </c>
      <c r="G1066" t="s">
        <v>23</v>
      </c>
      <c r="K1066" cm="1">
        <f t="array" ref="K1066">_xlfn.SWITCH(LeadsData[[#This Row],[Funnel Stage Reached]],"Lead",1,"MQL",2,"SQL",3,"Customer",4)</f>
        <v>2</v>
      </c>
      <c r="L1066" t="str">
        <f>TEXT(LeadsData[[#This Row],[Signup Date]],"mmm-yyyy")</f>
        <v>Feb-2024</v>
      </c>
      <c r="M1066">
        <f>IF(LeadsData[[#This Row],[Stage Number]]&gt;=2,1,0)</f>
        <v>1</v>
      </c>
      <c r="N1066" s="2">
        <f>IF(LeadsData[[#This Row],[Stage Number]]&gt;=3,1,0)</f>
        <v>0</v>
      </c>
      <c r="O1066" s="2">
        <f>IF(LeadsData[[#This Row],[Stage Number]]&gt;=4,1,0)</f>
        <v>0</v>
      </c>
    </row>
    <row r="1067" spans="1:15" x14ac:dyDescent="0.25">
      <c r="A1067" t="s">
        <v>1107</v>
      </c>
      <c r="B1067" s="1">
        <v>45548</v>
      </c>
      <c r="C1067" t="s">
        <v>46</v>
      </c>
      <c r="D1067" t="s">
        <v>56</v>
      </c>
      <c r="E1067" t="s">
        <v>13</v>
      </c>
      <c r="F1067" t="s">
        <v>19</v>
      </c>
      <c r="G1067" t="s">
        <v>15</v>
      </c>
      <c r="K1067" cm="1">
        <f t="array" ref="K1067">_xlfn.SWITCH(LeadsData[[#This Row],[Funnel Stage Reached]],"Lead",1,"MQL",2,"SQL",3,"Customer",4)</f>
        <v>1</v>
      </c>
      <c r="L1067" t="str">
        <f>TEXT(LeadsData[[#This Row],[Signup Date]],"mmm-yyyy")</f>
        <v>Sep-2024</v>
      </c>
      <c r="M1067">
        <f>IF(LeadsData[[#This Row],[Stage Number]]&gt;=2,1,0)</f>
        <v>0</v>
      </c>
      <c r="N1067" s="2">
        <f>IF(LeadsData[[#This Row],[Stage Number]]&gt;=3,1,0)</f>
        <v>0</v>
      </c>
      <c r="O1067" s="2">
        <f>IF(LeadsData[[#This Row],[Stage Number]]&gt;=4,1,0)</f>
        <v>0</v>
      </c>
    </row>
    <row r="1068" spans="1:15" x14ac:dyDescent="0.25">
      <c r="A1068" t="s">
        <v>1108</v>
      </c>
      <c r="B1068" s="1">
        <v>45341</v>
      </c>
      <c r="C1068" t="s">
        <v>17</v>
      </c>
      <c r="D1068" t="s">
        <v>18</v>
      </c>
      <c r="E1068" t="s">
        <v>21</v>
      </c>
      <c r="F1068" t="s">
        <v>22</v>
      </c>
      <c r="G1068" t="s">
        <v>29</v>
      </c>
      <c r="K1068" cm="1">
        <f t="array" ref="K1068">_xlfn.SWITCH(LeadsData[[#This Row],[Funnel Stage Reached]],"Lead",1,"MQL",2,"SQL",3,"Customer",4)</f>
        <v>3</v>
      </c>
      <c r="L1068" t="str">
        <f>TEXT(LeadsData[[#This Row],[Signup Date]],"mmm-yyyy")</f>
        <v>Feb-2024</v>
      </c>
      <c r="M1068">
        <f>IF(LeadsData[[#This Row],[Stage Number]]&gt;=2,1,0)</f>
        <v>1</v>
      </c>
      <c r="N1068" s="2">
        <f>IF(LeadsData[[#This Row],[Stage Number]]&gt;=3,1,0)</f>
        <v>1</v>
      </c>
      <c r="O1068" s="2">
        <f>IF(LeadsData[[#This Row],[Stage Number]]&gt;=4,1,0)</f>
        <v>0</v>
      </c>
    </row>
    <row r="1069" spans="1:15" x14ac:dyDescent="0.25">
      <c r="A1069" t="s">
        <v>1109</v>
      </c>
      <c r="B1069" s="1">
        <v>45613</v>
      </c>
      <c r="C1069" t="s">
        <v>11</v>
      </c>
      <c r="D1069" t="s">
        <v>68</v>
      </c>
      <c r="E1069" t="s">
        <v>13</v>
      </c>
      <c r="F1069" t="s">
        <v>14</v>
      </c>
      <c r="G1069" t="s">
        <v>23</v>
      </c>
      <c r="K1069" cm="1">
        <f t="array" ref="K1069">_xlfn.SWITCH(LeadsData[[#This Row],[Funnel Stage Reached]],"Lead",1,"MQL",2,"SQL",3,"Customer",4)</f>
        <v>2</v>
      </c>
      <c r="L1069" t="str">
        <f>TEXT(LeadsData[[#This Row],[Signup Date]],"mmm-yyyy")</f>
        <v>Nov-2024</v>
      </c>
      <c r="M1069">
        <f>IF(LeadsData[[#This Row],[Stage Number]]&gt;=2,1,0)</f>
        <v>1</v>
      </c>
      <c r="N1069" s="2">
        <f>IF(LeadsData[[#This Row],[Stage Number]]&gt;=3,1,0)</f>
        <v>0</v>
      </c>
      <c r="O1069" s="2">
        <f>IF(LeadsData[[#This Row],[Stage Number]]&gt;=4,1,0)</f>
        <v>0</v>
      </c>
    </row>
    <row r="1070" spans="1:15" x14ac:dyDescent="0.25">
      <c r="A1070" t="s">
        <v>1110</v>
      </c>
      <c r="B1070" s="1">
        <v>45460</v>
      </c>
      <c r="C1070" t="s">
        <v>25</v>
      </c>
      <c r="D1070" t="s">
        <v>26</v>
      </c>
      <c r="E1070" t="s">
        <v>21</v>
      </c>
      <c r="F1070" t="s">
        <v>19</v>
      </c>
      <c r="G1070" t="s">
        <v>15</v>
      </c>
      <c r="K1070" cm="1">
        <f t="array" ref="K1070">_xlfn.SWITCH(LeadsData[[#This Row],[Funnel Stage Reached]],"Lead",1,"MQL",2,"SQL",3,"Customer",4)</f>
        <v>1</v>
      </c>
      <c r="L1070" t="str">
        <f>TEXT(LeadsData[[#This Row],[Signup Date]],"mmm-yyyy")</f>
        <v>Jun-2024</v>
      </c>
      <c r="M1070">
        <f>IF(LeadsData[[#This Row],[Stage Number]]&gt;=2,1,0)</f>
        <v>0</v>
      </c>
      <c r="N1070" s="2">
        <f>IF(LeadsData[[#This Row],[Stage Number]]&gt;=3,1,0)</f>
        <v>0</v>
      </c>
      <c r="O1070" s="2">
        <f>IF(LeadsData[[#This Row],[Stage Number]]&gt;=4,1,0)</f>
        <v>0</v>
      </c>
    </row>
    <row r="1071" spans="1:15" x14ac:dyDescent="0.25">
      <c r="A1071" t="s">
        <v>1111</v>
      </c>
      <c r="B1071" s="1">
        <v>45325</v>
      </c>
      <c r="C1071" t="s">
        <v>17</v>
      </c>
      <c r="D1071" t="s">
        <v>53</v>
      </c>
      <c r="E1071" t="s">
        <v>13</v>
      </c>
      <c r="F1071" t="s">
        <v>19</v>
      </c>
      <c r="G1071" t="s">
        <v>15</v>
      </c>
      <c r="K1071" cm="1">
        <f t="array" ref="K1071">_xlfn.SWITCH(LeadsData[[#This Row],[Funnel Stage Reached]],"Lead",1,"MQL",2,"SQL",3,"Customer",4)</f>
        <v>1</v>
      </c>
      <c r="L1071" t="str">
        <f>TEXT(LeadsData[[#This Row],[Signup Date]],"mmm-yyyy")</f>
        <v>Feb-2024</v>
      </c>
      <c r="M1071">
        <f>IF(LeadsData[[#This Row],[Stage Number]]&gt;=2,1,0)</f>
        <v>0</v>
      </c>
      <c r="N1071" s="2">
        <f>IF(LeadsData[[#This Row],[Stage Number]]&gt;=3,1,0)</f>
        <v>0</v>
      </c>
      <c r="O1071" s="2">
        <f>IF(LeadsData[[#This Row],[Stage Number]]&gt;=4,1,0)</f>
        <v>0</v>
      </c>
    </row>
    <row r="1072" spans="1:15" x14ac:dyDescent="0.25">
      <c r="A1072" t="s">
        <v>1112</v>
      </c>
      <c r="B1072" s="1">
        <v>45477</v>
      </c>
      <c r="C1072" t="s">
        <v>36</v>
      </c>
      <c r="D1072" t="s">
        <v>50</v>
      </c>
      <c r="E1072" t="s">
        <v>13</v>
      </c>
      <c r="F1072" t="s">
        <v>19</v>
      </c>
      <c r="G1072" t="s">
        <v>23</v>
      </c>
      <c r="K1072" cm="1">
        <f t="array" ref="K1072">_xlfn.SWITCH(LeadsData[[#This Row],[Funnel Stage Reached]],"Lead",1,"MQL",2,"SQL",3,"Customer",4)</f>
        <v>2</v>
      </c>
      <c r="L1072" t="str">
        <f>TEXT(LeadsData[[#This Row],[Signup Date]],"mmm-yyyy")</f>
        <v>Jul-2024</v>
      </c>
      <c r="M1072">
        <f>IF(LeadsData[[#This Row],[Stage Number]]&gt;=2,1,0)</f>
        <v>1</v>
      </c>
      <c r="N1072" s="2">
        <f>IF(LeadsData[[#This Row],[Stage Number]]&gt;=3,1,0)</f>
        <v>0</v>
      </c>
      <c r="O1072" s="2">
        <f>IF(LeadsData[[#This Row],[Stage Number]]&gt;=4,1,0)</f>
        <v>0</v>
      </c>
    </row>
    <row r="1073" spans="1:15" x14ac:dyDescent="0.25">
      <c r="A1073" t="s">
        <v>1113</v>
      </c>
      <c r="B1073" s="1">
        <v>45325</v>
      </c>
      <c r="C1073" t="s">
        <v>31</v>
      </c>
      <c r="D1073" t="s">
        <v>32</v>
      </c>
      <c r="E1073" t="s">
        <v>13</v>
      </c>
      <c r="F1073" t="s">
        <v>28</v>
      </c>
      <c r="G1073" t="s">
        <v>15</v>
      </c>
      <c r="K1073" cm="1">
        <f t="array" ref="K1073">_xlfn.SWITCH(LeadsData[[#This Row],[Funnel Stage Reached]],"Lead",1,"MQL",2,"SQL",3,"Customer",4)</f>
        <v>1</v>
      </c>
      <c r="L1073" t="str">
        <f>TEXT(LeadsData[[#This Row],[Signup Date]],"mmm-yyyy")</f>
        <v>Feb-2024</v>
      </c>
      <c r="M1073">
        <f>IF(LeadsData[[#This Row],[Stage Number]]&gt;=2,1,0)</f>
        <v>0</v>
      </c>
      <c r="N1073" s="2">
        <f>IF(LeadsData[[#This Row],[Stage Number]]&gt;=3,1,0)</f>
        <v>0</v>
      </c>
      <c r="O1073" s="2">
        <f>IF(LeadsData[[#This Row],[Stage Number]]&gt;=4,1,0)</f>
        <v>0</v>
      </c>
    </row>
    <row r="1074" spans="1:15" x14ac:dyDescent="0.25">
      <c r="A1074" t="s">
        <v>1114</v>
      </c>
      <c r="B1074" s="1">
        <v>45437</v>
      </c>
      <c r="C1074" t="s">
        <v>17</v>
      </c>
      <c r="D1074" t="s">
        <v>53</v>
      </c>
      <c r="E1074" t="s">
        <v>21</v>
      </c>
      <c r="F1074" t="s">
        <v>22</v>
      </c>
      <c r="G1074" t="s">
        <v>15</v>
      </c>
      <c r="K1074" cm="1">
        <f t="array" ref="K1074">_xlfn.SWITCH(LeadsData[[#This Row],[Funnel Stage Reached]],"Lead",1,"MQL",2,"SQL",3,"Customer",4)</f>
        <v>1</v>
      </c>
      <c r="L1074" t="str">
        <f>TEXT(LeadsData[[#This Row],[Signup Date]],"mmm-yyyy")</f>
        <v>May-2024</v>
      </c>
      <c r="M1074">
        <f>IF(LeadsData[[#This Row],[Stage Number]]&gt;=2,1,0)</f>
        <v>0</v>
      </c>
      <c r="N1074" s="2">
        <f>IF(LeadsData[[#This Row],[Stage Number]]&gt;=3,1,0)</f>
        <v>0</v>
      </c>
      <c r="O1074" s="2">
        <f>IF(LeadsData[[#This Row],[Stage Number]]&gt;=4,1,0)</f>
        <v>0</v>
      </c>
    </row>
    <row r="1075" spans="1:15" x14ac:dyDescent="0.25">
      <c r="A1075" t="s">
        <v>1115</v>
      </c>
      <c r="B1075" s="1">
        <v>45640</v>
      </c>
      <c r="C1075" t="s">
        <v>46</v>
      </c>
      <c r="D1075" t="s">
        <v>47</v>
      </c>
      <c r="E1075" t="s">
        <v>21</v>
      </c>
      <c r="F1075" t="s">
        <v>14</v>
      </c>
      <c r="G1075" t="s">
        <v>23</v>
      </c>
      <c r="K1075" cm="1">
        <f t="array" ref="K1075">_xlfn.SWITCH(LeadsData[[#This Row],[Funnel Stage Reached]],"Lead",1,"MQL",2,"SQL",3,"Customer",4)</f>
        <v>2</v>
      </c>
      <c r="L1075" t="str">
        <f>TEXT(LeadsData[[#This Row],[Signup Date]],"mmm-yyyy")</f>
        <v>Dec-2024</v>
      </c>
      <c r="M1075">
        <f>IF(LeadsData[[#This Row],[Stage Number]]&gt;=2,1,0)</f>
        <v>1</v>
      </c>
      <c r="N1075" s="2">
        <f>IF(LeadsData[[#This Row],[Stage Number]]&gt;=3,1,0)</f>
        <v>0</v>
      </c>
      <c r="O1075" s="2">
        <f>IF(LeadsData[[#This Row],[Stage Number]]&gt;=4,1,0)</f>
        <v>0</v>
      </c>
    </row>
    <row r="1076" spans="1:15" x14ac:dyDescent="0.25">
      <c r="A1076" t="s">
        <v>1116</v>
      </c>
      <c r="B1076" s="1">
        <v>45310</v>
      </c>
      <c r="C1076" t="s">
        <v>31</v>
      </c>
      <c r="D1076" t="s">
        <v>32</v>
      </c>
      <c r="E1076" t="s">
        <v>21</v>
      </c>
      <c r="F1076" t="s">
        <v>22</v>
      </c>
      <c r="G1076" t="s">
        <v>23</v>
      </c>
      <c r="K1076" cm="1">
        <f t="array" ref="K1076">_xlfn.SWITCH(LeadsData[[#This Row],[Funnel Stage Reached]],"Lead",1,"MQL",2,"SQL",3,"Customer",4)</f>
        <v>2</v>
      </c>
      <c r="L1076" t="str">
        <f>TEXT(LeadsData[[#This Row],[Signup Date]],"mmm-yyyy")</f>
        <v>Jan-2024</v>
      </c>
      <c r="M1076">
        <f>IF(LeadsData[[#This Row],[Stage Number]]&gt;=2,1,0)</f>
        <v>1</v>
      </c>
      <c r="N1076" s="2">
        <f>IF(LeadsData[[#This Row],[Stage Number]]&gt;=3,1,0)</f>
        <v>0</v>
      </c>
      <c r="O1076" s="2">
        <f>IF(LeadsData[[#This Row],[Stage Number]]&gt;=4,1,0)</f>
        <v>0</v>
      </c>
    </row>
    <row r="1077" spans="1:15" x14ac:dyDescent="0.25">
      <c r="A1077" t="s">
        <v>1117</v>
      </c>
      <c r="B1077" s="1">
        <v>45310</v>
      </c>
      <c r="C1077" t="s">
        <v>31</v>
      </c>
      <c r="D1077" t="s">
        <v>32</v>
      </c>
      <c r="E1077" t="s">
        <v>13</v>
      </c>
      <c r="F1077" t="s">
        <v>19</v>
      </c>
      <c r="G1077" t="s">
        <v>15</v>
      </c>
      <c r="K1077" cm="1">
        <f t="array" ref="K1077">_xlfn.SWITCH(LeadsData[[#This Row],[Funnel Stage Reached]],"Lead",1,"MQL",2,"SQL",3,"Customer",4)</f>
        <v>1</v>
      </c>
      <c r="L1077" t="str">
        <f>TEXT(LeadsData[[#This Row],[Signup Date]],"mmm-yyyy")</f>
        <v>Jan-2024</v>
      </c>
      <c r="M1077">
        <f>IF(LeadsData[[#This Row],[Stage Number]]&gt;=2,1,0)</f>
        <v>0</v>
      </c>
      <c r="N1077" s="2">
        <f>IF(LeadsData[[#This Row],[Stage Number]]&gt;=3,1,0)</f>
        <v>0</v>
      </c>
      <c r="O1077" s="2">
        <f>IF(LeadsData[[#This Row],[Stage Number]]&gt;=4,1,0)</f>
        <v>0</v>
      </c>
    </row>
    <row r="1078" spans="1:15" x14ac:dyDescent="0.25">
      <c r="A1078" t="s">
        <v>1118</v>
      </c>
      <c r="B1078" s="1">
        <v>45524</v>
      </c>
      <c r="C1078" t="s">
        <v>46</v>
      </c>
      <c r="D1078" t="s">
        <v>56</v>
      </c>
      <c r="E1078" t="s">
        <v>13</v>
      </c>
      <c r="F1078" t="s">
        <v>14</v>
      </c>
      <c r="G1078" t="s">
        <v>29</v>
      </c>
      <c r="K1078" cm="1">
        <f t="array" ref="K1078">_xlfn.SWITCH(LeadsData[[#This Row],[Funnel Stage Reached]],"Lead",1,"MQL",2,"SQL",3,"Customer",4)</f>
        <v>3</v>
      </c>
      <c r="L1078" t="str">
        <f>TEXT(LeadsData[[#This Row],[Signup Date]],"mmm-yyyy")</f>
        <v>Aug-2024</v>
      </c>
      <c r="M1078">
        <f>IF(LeadsData[[#This Row],[Stage Number]]&gt;=2,1,0)</f>
        <v>1</v>
      </c>
      <c r="N1078" s="2">
        <f>IF(LeadsData[[#This Row],[Stage Number]]&gt;=3,1,0)</f>
        <v>1</v>
      </c>
      <c r="O1078" s="2">
        <f>IF(LeadsData[[#This Row],[Stage Number]]&gt;=4,1,0)</f>
        <v>0</v>
      </c>
    </row>
    <row r="1079" spans="1:15" x14ac:dyDescent="0.25">
      <c r="A1079" t="s">
        <v>1119</v>
      </c>
      <c r="B1079" s="1">
        <v>45618</v>
      </c>
      <c r="C1079" t="s">
        <v>31</v>
      </c>
      <c r="D1079" t="s">
        <v>34</v>
      </c>
      <c r="E1079" t="s">
        <v>13</v>
      </c>
      <c r="F1079" t="s">
        <v>22</v>
      </c>
      <c r="G1079" t="s">
        <v>42</v>
      </c>
      <c r="H1079">
        <v>66</v>
      </c>
      <c r="I1079" t="s">
        <v>43</v>
      </c>
      <c r="J1079">
        <v>885.7</v>
      </c>
      <c r="K1079" cm="1">
        <f t="array" ref="K1079">_xlfn.SWITCH(LeadsData[[#This Row],[Funnel Stage Reached]],"Lead",1,"MQL",2,"SQL",3,"Customer",4)</f>
        <v>4</v>
      </c>
      <c r="L1079" t="str">
        <f>TEXT(LeadsData[[#This Row],[Signup Date]],"mmm-yyyy")</f>
        <v>Nov-2024</v>
      </c>
      <c r="M1079">
        <f>IF(LeadsData[[#This Row],[Stage Number]]&gt;=2,1,0)</f>
        <v>1</v>
      </c>
      <c r="N1079" s="2">
        <f>IF(LeadsData[[#This Row],[Stage Number]]&gt;=3,1,0)</f>
        <v>1</v>
      </c>
      <c r="O1079" s="2">
        <f>IF(LeadsData[[#This Row],[Stage Number]]&gt;=4,1,0)</f>
        <v>1</v>
      </c>
    </row>
    <row r="1080" spans="1:15" x14ac:dyDescent="0.25">
      <c r="A1080" t="s">
        <v>1120</v>
      </c>
      <c r="B1080" s="1">
        <v>45356</v>
      </c>
      <c r="C1080" t="s">
        <v>25</v>
      </c>
      <c r="D1080" t="s">
        <v>26</v>
      </c>
      <c r="E1080" t="s">
        <v>13</v>
      </c>
      <c r="F1080" t="s">
        <v>19</v>
      </c>
      <c r="G1080" t="s">
        <v>15</v>
      </c>
      <c r="K1080" cm="1">
        <f t="array" ref="K1080">_xlfn.SWITCH(LeadsData[[#This Row],[Funnel Stage Reached]],"Lead",1,"MQL",2,"SQL",3,"Customer",4)</f>
        <v>1</v>
      </c>
      <c r="L1080" t="str">
        <f>TEXT(LeadsData[[#This Row],[Signup Date]],"mmm-yyyy")</f>
        <v>Mar-2024</v>
      </c>
      <c r="M1080">
        <f>IF(LeadsData[[#This Row],[Stage Number]]&gt;=2,1,0)</f>
        <v>0</v>
      </c>
      <c r="N1080" s="2">
        <f>IF(LeadsData[[#This Row],[Stage Number]]&gt;=3,1,0)</f>
        <v>0</v>
      </c>
      <c r="O1080" s="2">
        <f>IF(LeadsData[[#This Row],[Stage Number]]&gt;=4,1,0)</f>
        <v>0</v>
      </c>
    </row>
    <row r="1081" spans="1:15" x14ac:dyDescent="0.25">
      <c r="A1081" t="s">
        <v>1121</v>
      </c>
      <c r="B1081" s="1">
        <v>45514</v>
      </c>
      <c r="C1081" t="s">
        <v>36</v>
      </c>
      <c r="D1081" t="s">
        <v>37</v>
      </c>
      <c r="E1081" t="s">
        <v>21</v>
      </c>
      <c r="F1081" t="s">
        <v>14</v>
      </c>
      <c r="G1081" t="s">
        <v>23</v>
      </c>
      <c r="K1081" cm="1">
        <f t="array" ref="K1081">_xlfn.SWITCH(LeadsData[[#This Row],[Funnel Stage Reached]],"Lead",1,"MQL",2,"SQL",3,"Customer",4)</f>
        <v>2</v>
      </c>
      <c r="L1081" t="str">
        <f>TEXT(LeadsData[[#This Row],[Signup Date]],"mmm-yyyy")</f>
        <v>Aug-2024</v>
      </c>
      <c r="M1081">
        <f>IF(LeadsData[[#This Row],[Stage Number]]&gt;=2,1,0)</f>
        <v>1</v>
      </c>
      <c r="N1081" s="2">
        <f>IF(LeadsData[[#This Row],[Stage Number]]&gt;=3,1,0)</f>
        <v>0</v>
      </c>
      <c r="O1081" s="2">
        <f>IF(LeadsData[[#This Row],[Stage Number]]&gt;=4,1,0)</f>
        <v>0</v>
      </c>
    </row>
    <row r="1082" spans="1:15" x14ac:dyDescent="0.25">
      <c r="A1082" t="s">
        <v>1122</v>
      </c>
      <c r="B1082" s="1">
        <v>45644</v>
      </c>
      <c r="C1082" t="s">
        <v>31</v>
      </c>
      <c r="D1082" t="s">
        <v>32</v>
      </c>
      <c r="E1082" t="s">
        <v>21</v>
      </c>
      <c r="F1082" t="s">
        <v>14</v>
      </c>
      <c r="G1082" t="s">
        <v>29</v>
      </c>
      <c r="K1082" cm="1">
        <f t="array" ref="K1082">_xlfn.SWITCH(LeadsData[[#This Row],[Funnel Stage Reached]],"Lead",1,"MQL",2,"SQL",3,"Customer",4)</f>
        <v>3</v>
      </c>
      <c r="L1082" t="str">
        <f>TEXT(LeadsData[[#This Row],[Signup Date]],"mmm-yyyy")</f>
        <v>Dec-2024</v>
      </c>
      <c r="M1082">
        <f>IF(LeadsData[[#This Row],[Stage Number]]&gt;=2,1,0)</f>
        <v>1</v>
      </c>
      <c r="N1082" s="2">
        <f>IF(LeadsData[[#This Row],[Stage Number]]&gt;=3,1,0)</f>
        <v>1</v>
      </c>
      <c r="O1082" s="2">
        <f>IF(LeadsData[[#This Row],[Stage Number]]&gt;=4,1,0)</f>
        <v>0</v>
      </c>
    </row>
    <row r="1083" spans="1:15" x14ac:dyDescent="0.25">
      <c r="A1083" t="s">
        <v>1123</v>
      </c>
      <c r="B1083" s="1">
        <v>45477</v>
      </c>
      <c r="C1083" t="s">
        <v>31</v>
      </c>
      <c r="D1083" t="s">
        <v>32</v>
      </c>
      <c r="E1083" t="s">
        <v>13</v>
      </c>
      <c r="F1083" t="s">
        <v>19</v>
      </c>
      <c r="G1083" t="s">
        <v>29</v>
      </c>
      <c r="K1083" cm="1">
        <f t="array" ref="K1083">_xlfn.SWITCH(LeadsData[[#This Row],[Funnel Stage Reached]],"Lead",1,"MQL",2,"SQL",3,"Customer",4)</f>
        <v>3</v>
      </c>
      <c r="L1083" t="str">
        <f>TEXT(LeadsData[[#This Row],[Signup Date]],"mmm-yyyy")</f>
        <v>Jul-2024</v>
      </c>
      <c r="M1083">
        <f>IF(LeadsData[[#This Row],[Stage Number]]&gt;=2,1,0)</f>
        <v>1</v>
      </c>
      <c r="N1083" s="2">
        <f>IF(LeadsData[[#This Row],[Stage Number]]&gt;=3,1,0)</f>
        <v>1</v>
      </c>
      <c r="O1083" s="2">
        <f>IF(LeadsData[[#This Row],[Stage Number]]&gt;=4,1,0)</f>
        <v>0</v>
      </c>
    </row>
    <row r="1084" spans="1:15" x14ac:dyDescent="0.25">
      <c r="A1084" t="s">
        <v>1124</v>
      </c>
      <c r="B1084" s="1">
        <v>45479</v>
      </c>
      <c r="C1084" t="s">
        <v>36</v>
      </c>
      <c r="D1084" t="s">
        <v>37</v>
      </c>
      <c r="E1084" t="s">
        <v>48</v>
      </c>
      <c r="F1084" t="s">
        <v>22</v>
      </c>
      <c r="G1084" t="s">
        <v>23</v>
      </c>
      <c r="K1084" cm="1">
        <f t="array" ref="K1084">_xlfn.SWITCH(LeadsData[[#This Row],[Funnel Stage Reached]],"Lead",1,"MQL",2,"SQL",3,"Customer",4)</f>
        <v>2</v>
      </c>
      <c r="L1084" t="str">
        <f>TEXT(LeadsData[[#This Row],[Signup Date]],"mmm-yyyy")</f>
        <v>Jul-2024</v>
      </c>
      <c r="M1084">
        <f>IF(LeadsData[[#This Row],[Stage Number]]&gt;=2,1,0)</f>
        <v>1</v>
      </c>
      <c r="N1084" s="2">
        <f>IF(LeadsData[[#This Row],[Stage Number]]&gt;=3,1,0)</f>
        <v>0</v>
      </c>
      <c r="O1084" s="2">
        <f>IF(LeadsData[[#This Row],[Stage Number]]&gt;=4,1,0)</f>
        <v>0</v>
      </c>
    </row>
    <row r="1085" spans="1:15" x14ac:dyDescent="0.25">
      <c r="A1085" t="s">
        <v>1125</v>
      </c>
      <c r="B1085" s="1">
        <v>45340</v>
      </c>
      <c r="C1085" t="s">
        <v>36</v>
      </c>
      <c r="D1085" t="s">
        <v>50</v>
      </c>
      <c r="E1085" t="s">
        <v>13</v>
      </c>
      <c r="F1085" t="s">
        <v>14</v>
      </c>
      <c r="G1085" t="s">
        <v>29</v>
      </c>
      <c r="K1085" cm="1">
        <f t="array" ref="K1085">_xlfn.SWITCH(LeadsData[[#This Row],[Funnel Stage Reached]],"Lead",1,"MQL",2,"SQL",3,"Customer",4)</f>
        <v>3</v>
      </c>
      <c r="L1085" t="str">
        <f>TEXT(LeadsData[[#This Row],[Signup Date]],"mmm-yyyy")</f>
        <v>Feb-2024</v>
      </c>
      <c r="M1085">
        <f>IF(LeadsData[[#This Row],[Stage Number]]&gt;=2,1,0)</f>
        <v>1</v>
      </c>
      <c r="N1085" s="2">
        <f>IF(LeadsData[[#This Row],[Stage Number]]&gt;=3,1,0)</f>
        <v>1</v>
      </c>
      <c r="O1085" s="2">
        <f>IF(LeadsData[[#This Row],[Stage Number]]&gt;=4,1,0)</f>
        <v>0</v>
      </c>
    </row>
    <row r="1086" spans="1:15" x14ac:dyDescent="0.25">
      <c r="A1086" t="s">
        <v>1126</v>
      </c>
      <c r="B1086" s="1">
        <v>45424</v>
      </c>
      <c r="C1086" t="s">
        <v>36</v>
      </c>
      <c r="D1086" t="s">
        <v>37</v>
      </c>
      <c r="E1086" t="s">
        <v>13</v>
      </c>
      <c r="F1086" t="s">
        <v>14</v>
      </c>
      <c r="G1086" t="s">
        <v>23</v>
      </c>
      <c r="K1086" cm="1">
        <f t="array" ref="K1086">_xlfn.SWITCH(LeadsData[[#This Row],[Funnel Stage Reached]],"Lead",1,"MQL",2,"SQL",3,"Customer",4)</f>
        <v>2</v>
      </c>
      <c r="L1086" t="str">
        <f>TEXT(LeadsData[[#This Row],[Signup Date]],"mmm-yyyy")</f>
        <v>May-2024</v>
      </c>
      <c r="M1086">
        <f>IF(LeadsData[[#This Row],[Stage Number]]&gt;=2,1,0)</f>
        <v>1</v>
      </c>
      <c r="N1086" s="2">
        <f>IF(LeadsData[[#This Row],[Stage Number]]&gt;=3,1,0)</f>
        <v>0</v>
      </c>
      <c r="O1086" s="2">
        <f>IF(LeadsData[[#This Row],[Stage Number]]&gt;=4,1,0)</f>
        <v>0</v>
      </c>
    </row>
    <row r="1087" spans="1:15" x14ac:dyDescent="0.25">
      <c r="A1087" t="s">
        <v>1127</v>
      </c>
      <c r="B1087" s="1">
        <v>45601</v>
      </c>
      <c r="C1087" t="s">
        <v>31</v>
      </c>
      <c r="D1087" t="s">
        <v>32</v>
      </c>
      <c r="E1087" t="s">
        <v>13</v>
      </c>
      <c r="F1087" t="s">
        <v>22</v>
      </c>
      <c r="G1087" t="s">
        <v>29</v>
      </c>
      <c r="K1087" cm="1">
        <f t="array" ref="K1087">_xlfn.SWITCH(LeadsData[[#This Row],[Funnel Stage Reached]],"Lead",1,"MQL",2,"SQL",3,"Customer",4)</f>
        <v>3</v>
      </c>
      <c r="L1087" t="str">
        <f>TEXT(LeadsData[[#This Row],[Signup Date]],"mmm-yyyy")</f>
        <v>Nov-2024</v>
      </c>
      <c r="M1087">
        <f>IF(LeadsData[[#This Row],[Stage Number]]&gt;=2,1,0)</f>
        <v>1</v>
      </c>
      <c r="N1087" s="2">
        <f>IF(LeadsData[[#This Row],[Stage Number]]&gt;=3,1,0)</f>
        <v>1</v>
      </c>
      <c r="O1087" s="2">
        <f>IF(LeadsData[[#This Row],[Stage Number]]&gt;=4,1,0)</f>
        <v>0</v>
      </c>
    </row>
    <row r="1088" spans="1:15" x14ac:dyDescent="0.25">
      <c r="A1088" t="s">
        <v>1128</v>
      </c>
      <c r="B1088" s="1">
        <v>45379</v>
      </c>
      <c r="C1088" t="s">
        <v>36</v>
      </c>
      <c r="D1088" t="s">
        <v>37</v>
      </c>
      <c r="E1088" t="s">
        <v>13</v>
      </c>
      <c r="F1088" t="s">
        <v>22</v>
      </c>
      <c r="G1088" t="s">
        <v>29</v>
      </c>
      <c r="K1088" cm="1">
        <f t="array" ref="K1088">_xlfn.SWITCH(LeadsData[[#This Row],[Funnel Stage Reached]],"Lead",1,"MQL",2,"SQL",3,"Customer",4)</f>
        <v>3</v>
      </c>
      <c r="L1088" t="str">
        <f>TEXT(LeadsData[[#This Row],[Signup Date]],"mmm-yyyy")</f>
        <v>Mar-2024</v>
      </c>
      <c r="M1088">
        <f>IF(LeadsData[[#This Row],[Stage Number]]&gt;=2,1,0)</f>
        <v>1</v>
      </c>
      <c r="N1088" s="2">
        <f>IF(LeadsData[[#This Row],[Stage Number]]&gt;=3,1,0)</f>
        <v>1</v>
      </c>
      <c r="O1088" s="2">
        <f>IF(LeadsData[[#This Row],[Stage Number]]&gt;=4,1,0)</f>
        <v>0</v>
      </c>
    </row>
    <row r="1089" spans="1:15" x14ac:dyDescent="0.25">
      <c r="A1089" t="s">
        <v>1129</v>
      </c>
      <c r="B1089" s="1">
        <v>45555</v>
      </c>
      <c r="C1089" t="s">
        <v>31</v>
      </c>
      <c r="D1089" t="s">
        <v>32</v>
      </c>
      <c r="E1089" t="s">
        <v>13</v>
      </c>
      <c r="F1089" t="s">
        <v>14</v>
      </c>
      <c r="G1089" t="s">
        <v>29</v>
      </c>
      <c r="K1089" cm="1">
        <f t="array" ref="K1089">_xlfn.SWITCH(LeadsData[[#This Row],[Funnel Stage Reached]],"Lead",1,"MQL",2,"SQL",3,"Customer",4)</f>
        <v>3</v>
      </c>
      <c r="L1089" t="str">
        <f>TEXT(LeadsData[[#This Row],[Signup Date]],"mmm-yyyy")</f>
        <v>Sep-2024</v>
      </c>
      <c r="M1089">
        <f>IF(LeadsData[[#This Row],[Stage Number]]&gt;=2,1,0)</f>
        <v>1</v>
      </c>
      <c r="N1089" s="2">
        <f>IF(LeadsData[[#This Row],[Stage Number]]&gt;=3,1,0)</f>
        <v>1</v>
      </c>
      <c r="O1089" s="2">
        <f>IF(LeadsData[[#This Row],[Stage Number]]&gt;=4,1,0)</f>
        <v>0</v>
      </c>
    </row>
    <row r="1090" spans="1:15" x14ac:dyDescent="0.25">
      <c r="A1090" t="s">
        <v>1130</v>
      </c>
      <c r="B1090" s="1">
        <v>45436</v>
      </c>
      <c r="C1090" t="s">
        <v>46</v>
      </c>
      <c r="D1090" t="s">
        <v>47</v>
      </c>
      <c r="E1090" t="s">
        <v>21</v>
      </c>
      <c r="F1090" t="s">
        <v>19</v>
      </c>
      <c r="G1090" t="s">
        <v>23</v>
      </c>
      <c r="K1090" cm="1">
        <f t="array" ref="K1090">_xlfn.SWITCH(LeadsData[[#This Row],[Funnel Stage Reached]],"Lead",1,"MQL",2,"SQL",3,"Customer",4)</f>
        <v>2</v>
      </c>
      <c r="L1090" t="str">
        <f>TEXT(LeadsData[[#This Row],[Signup Date]],"mmm-yyyy")</f>
        <v>May-2024</v>
      </c>
      <c r="M1090">
        <f>IF(LeadsData[[#This Row],[Stage Number]]&gt;=2,1,0)</f>
        <v>1</v>
      </c>
      <c r="N1090" s="2">
        <f>IF(LeadsData[[#This Row],[Stage Number]]&gt;=3,1,0)</f>
        <v>0</v>
      </c>
      <c r="O1090" s="2">
        <f>IF(LeadsData[[#This Row],[Stage Number]]&gt;=4,1,0)</f>
        <v>0</v>
      </c>
    </row>
    <row r="1091" spans="1:15" x14ac:dyDescent="0.25">
      <c r="A1091" t="s">
        <v>1131</v>
      </c>
      <c r="B1091" s="1">
        <v>45527</v>
      </c>
      <c r="C1091" t="s">
        <v>31</v>
      </c>
      <c r="D1091" t="s">
        <v>32</v>
      </c>
      <c r="E1091" t="s">
        <v>13</v>
      </c>
      <c r="F1091" t="s">
        <v>19</v>
      </c>
      <c r="G1091" t="s">
        <v>15</v>
      </c>
      <c r="K1091" cm="1">
        <f t="array" ref="K1091">_xlfn.SWITCH(LeadsData[[#This Row],[Funnel Stage Reached]],"Lead",1,"MQL",2,"SQL",3,"Customer",4)</f>
        <v>1</v>
      </c>
      <c r="L1091" t="str">
        <f>TEXT(LeadsData[[#This Row],[Signup Date]],"mmm-yyyy")</f>
        <v>Aug-2024</v>
      </c>
      <c r="M1091">
        <f>IF(LeadsData[[#This Row],[Stage Number]]&gt;=2,1,0)</f>
        <v>0</v>
      </c>
      <c r="N1091" s="2">
        <f>IF(LeadsData[[#This Row],[Stage Number]]&gt;=3,1,0)</f>
        <v>0</v>
      </c>
      <c r="O1091" s="2">
        <f>IF(LeadsData[[#This Row],[Stage Number]]&gt;=4,1,0)</f>
        <v>0</v>
      </c>
    </row>
    <row r="1092" spans="1:15" x14ac:dyDescent="0.25">
      <c r="A1092" t="s">
        <v>1132</v>
      </c>
      <c r="B1092" s="1">
        <v>45299</v>
      </c>
      <c r="C1092" t="s">
        <v>36</v>
      </c>
      <c r="D1092" t="s">
        <v>37</v>
      </c>
      <c r="E1092" t="s">
        <v>21</v>
      </c>
      <c r="F1092" t="s">
        <v>28</v>
      </c>
      <c r="G1092" t="s">
        <v>42</v>
      </c>
      <c r="H1092">
        <v>29</v>
      </c>
      <c r="I1092" t="s">
        <v>87</v>
      </c>
      <c r="J1092">
        <v>2995.2</v>
      </c>
      <c r="K1092" cm="1">
        <f t="array" ref="K1092">_xlfn.SWITCH(LeadsData[[#This Row],[Funnel Stage Reached]],"Lead",1,"MQL",2,"SQL",3,"Customer",4)</f>
        <v>4</v>
      </c>
      <c r="L1092" t="str">
        <f>TEXT(LeadsData[[#This Row],[Signup Date]],"mmm-yyyy")</f>
        <v>Jan-2024</v>
      </c>
      <c r="M1092">
        <f>IF(LeadsData[[#This Row],[Stage Number]]&gt;=2,1,0)</f>
        <v>1</v>
      </c>
      <c r="N1092" s="2">
        <f>IF(LeadsData[[#This Row],[Stage Number]]&gt;=3,1,0)</f>
        <v>1</v>
      </c>
      <c r="O1092" s="2">
        <f>IF(LeadsData[[#This Row],[Stage Number]]&gt;=4,1,0)</f>
        <v>1</v>
      </c>
    </row>
    <row r="1093" spans="1:15" x14ac:dyDescent="0.25">
      <c r="A1093" t="s">
        <v>1133</v>
      </c>
      <c r="B1093" s="1">
        <v>45570</v>
      </c>
      <c r="C1093" t="s">
        <v>46</v>
      </c>
      <c r="D1093" t="s">
        <v>56</v>
      </c>
      <c r="E1093" t="s">
        <v>21</v>
      </c>
      <c r="F1093" t="s">
        <v>22</v>
      </c>
      <c r="G1093" t="s">
        <v>15</v>
      </c>
      <c r="K1093" cm="1">
        <f t="array" ref="K1093">_xlfn.SWITCH(LeadsData[[#This Row],[Funnel Stage Reached]],"Lead",1,"MQL",2,"SQL",3,"Customer",4)</f>
        <v>1</v>
      </c>
      <c r="L1093" t="str">
        <f>TEXT(LeadsData[[#This Row],[Signup Date]],"mmm-yyyy")</f>
        <v>Oct-2024</v>
      </c>
      <c r="M1093">
        <f>IF(LeadsData[[#This Row],[Stage Number]]&gt;=2,1,0)</f>
        <v>0</v>
      </c>
      <c r="N1093" s="2">
        <f>IF(LeadsData[[#This Row],[Stage Number]]&gt;=3,1,0)</f>
        <v>0</v>
      </c>
      <c r="O1093" s="2">
        <f>IF(LeadsData[[#This Row],[Stage Number]]&gt;=4,1,0)</f>
        <v>0</v>
      </c>
    </row>
    <row r="1094" spans="1:15" x14ac:dyDescent="0.25">
      <c r="A1094" t="s">
        <v>1134</v>
      </c>
      <c r="B1094" s="1">
        <v>45538</v>
      </c>
      <c r="C1094" t="s">
        <v>36</v>
      </c>
      <c r="D1094" t="s">
        <v>37</v>
      </c>
      <c r="E1094" t="s">
        <v>13</v>
      </c>
      <c r="F1094" t="s">
        <v>19</v>
      </c>
      <c r="G1094" t="s">
        <v>23</v>
      </c>
      <c r="K1094" cm="1">
        <f t="array" ref="K1094">_xlfn.SWITCH(LeadsData[[#This Row],[Funnel Stage Reached]],"Lead",1,"MQL",2,"SQL",3,"Customer",4)</f>
        <v>2</v>
      </c>
      <c r="L1094" t="str">
        <f>TEXT(LeadsData[[#This Row],[Signup Date]],"mmm-yyyy")</f>
        <v>Sep-2024</v>
      </c>
      <c r="M1094">
        <f>IF(LeadsData[[#This Row],[Stage Number]]&gt;=2,1,0)</f>
        <v>1</v>
      </c>
      <c r="N1094" s="2">
        <f>IF(LeadsData[[#This Row],[Stage Number]]&gt;=3,1,0)</f>
        <v>0</v>
      </c>
      <c r="O1094" s="2">
        <f>IF(LeadsData[[#This Row],[Stage Number]]&gt;=4,1,0)</f>
        <v>0</v>
      </c>
    </row>
    <row r="1095" spans="1:15" x14ac:dyDescent="0.25">
      <c r="A1095" t="s">
        <v>1135</v>
      </c>
      <c r="B1095" s="1">
        <v>45607</v>
      </c>
      <c r="C1095" t="s">
        <v>36</v>
      </c>
      <c r="D1095" t="s">
        <v>37</v>
      </c>
      <c r="E1095" t="s">
        <v>21</v>
      </c>
      <c r="F1095" t="s">
        <v>19</v>
      </c>
      <c r="G1095" t="s">
        <v>23</v>
      </c>
      <c r="K1095" cm="1">
        <f t="array" ref="K1095">_xlfn.SWITCH(LeadsData[[#This Row],[Funnel Stage Reached]],"Lead",1,"MQL",2,"SQL",3,"Customer",4)</f>
        <v>2</v>
      </c>
      <c r="L1095" t="str">
        <f>TEXT(LeadsData[[#This Row],[Signup Date]],"mmm-yyyy")</f>
        <v>Nov-2024</v>
      </c>
      <c r="M1095">
        <f>IF(LeadsData[[#This Row],[Stage Number]]&gt;=2,1,0)</f>
        <v>1</v>
      </c>
      <c r="N1095" s="2">
        <f>IF(LeadsData[[#This Row],[Stage Number]]&gt;=3,1,0)</f>
        <v>0</v>
      </c>
      <c r="O1095" s="2">
        <f>IF(LeadsData[[#This Row],[Stage Number]]&gt;=4,1,0)</f>
        <v>0</v>
      </c>
    </row>
    <row r="1096" spans="1:15" x14ac:dyDescent="0.25">
      <c r="A1096" t="s">
        <v>1136</v>
      </c>
      <c r="B1096" s="1">
        <v>45352</v>
      </c>
      <c r="C1096" t="s">
        <v>36</v>
      </c>
      <c r="D1096" t="s">
        <v>50</v>
      </c>
      <c r="E1096" t="s">
        <v>13</v>
      </c>
      <c r="F1096" t="s">
        <v>28</v>
      </c>
      <c r="G1096" t="s">
        <v>42</v>
      </c>
      <c r="H1096">
        <v>42</v>
      </c>
      <c r="I1096" t="s">
        <v>87</v>
      </c>
      <c r="J1096">
        <v>3982.19</v>
      </c>
      <c r="K1096" cm="1">
        <f t="array" ref="K1096">_xlfn.SWITCH(LeadsData[[#This Row],[Funnel Stage Reached]],"Lead",1,"MQL",2,"SQL",3,"Customer",4)</f>
        <v>4</v>
      </c>
      <c r="L1096" t="str">
        <f>TEXT(LeadsData[[#This Row],[Signup Date]],"mmm-yyyy")</f>
        <v>Mar-2024</v>
      </c>
      <c r="M1096">
        <f>IF(LeadsData[[#This Row],[Stage Number]]&gt;=2,1,0)</f>
        <v>1</v>
      </c>
      <c r="N1096" s="2">
        <f>IF(LeadsData[[#This Row],[Stage Number]]&gt;=3,1,0)</f>
        <v>1</v>
      </c>
      <c r="O1096" s="2">
        <f>IF(LeadsData[[#This Row],[Stage Number]]&gt;=4,1,0)</f>
        <v>1</v>
      </c>
    </row>
    <row r="1097" spans="1:15" x14ac:dyDescent="0.25">
      <c r="A1097" t="s">
        <v>1137</v>
      </c>
      <c r="B1097" s="1">
        <v>45426</v>
      </c>
      <c r="C1097" t="s">
        <v>25</v>
      </c>
      <c r="D1097" t="s">
        <v>26</v>
      </c>
      <c r="E1097" t="s">
        <v>13</v>
      </c>
      <c r="F1097" t="s">
        <v>28</v>
      </c>
      <c r="G1097" t="s">
        <v>29</v>
      </c>
      <c r="K1097" cm="1">
        <f t="array" ref="K1097">_xlfn.SWITCH(LeadsData[[#This Row],[Funnel Stage Reached]],"Lead",1,"MQL",2,"SQL",3,"Customer",4)</f>
        <v>3</v>
      </c>
      <c r="L1097" t="str">
        <f>TEXT(LeadsData[[#This Row],[Signup Date]],"mmm-yyyy")</f>
        <v>May-2024</v>
      </c>
      <c r="M1097">
        <f>IF(LeadsData[[#This Row],[Stage Number]]&gt;=2,1,0)</f>
        <v>1</v>
      </c>
      <c r="N1097" s="2">
        <f>IF(LeadsData[[#This Row],[Stage Number]]&gt;=3,1,0)</f>
        <v>1</v>
      </c>
      <c r="O1097" s="2">
        <f>IF(LeadsData[[#This Row],[Stage Number]]&gt;=4,1,0)</f>
        <v>0</v>
      </c>
    </row>
    <row r="1098" spans="1:15" x14ac:dyDescent="0.25">
      <c r="A1098" t="s">
        <v>1138</v>
      </c>
      <c r="B1098" s="1">
        <v>45580</v>
      </c>
      <c r="C1098" t="s">
        <v>11</v>
      </c>
      <c r="D1098" t="s">
        <v>79</v>
      </c>
      <c r="E1098" t="s">
        <v>21</v>
      </c>
      <c r="F1098" t="s">
        <v>19</v>
      </c>
      <c r="G1098" t="s">
        <v>15</v>
      </c>
      <c r="K1098" cm="1">
        <f t="array" ref="K1098">_xlfn.SWITCH(LeadsData[[#This Row],[Funnel Stage Reached]],"Lead",1,"MQL",2,"SQL",3,"Customer",4)</f>
        <v>1</v>
      </c>
      <c r="L1098" t="str">
        <f>TEXT(LeadsData[[#This Row],[Signup Date]],"mmm-yyyy")</f>
        <v>Oct-2024</v>
      </c>
      <c r="M1098">
        <f>IF(LeadsData[[#This Row],[Stage Number]]&gt;=2,1,0)</f>
        <v>0</v>
      </c>
      <c r="N1098" s="2">
        <f>IF(LeadsData[[#This Row],[Stage Number]]&gt;=3,1,0)</f>
        <v>0</v>
      </c>
      <c r="O1098" s="2">
        <f>IF(LeadsData[[#This Row],[Stage Number]]&gt;=4,1,0)</f>
        <v>0</v>
      </c>
    </row>
    <row r="1099" spans="1:15" x14ac:dyDescent="0.25">
      <c r="A1099" t="s">
        <v>1139</v>
      </c>
      <c r="B1099" s="1">
        <v>45631</v>
      </c>
      <c r="C1099" t="s">
        <v>31</v>
      </c>
      <c r="D1099" t="s">
        <v>34</v>
      </c>
      <c r="E1099" t="s">
        <v>21</v>
      </c>
      <c r="F1099" t="s">
        <v>19</v>
      </c>
      <c r="G1099" t="s">
        <v>29</v>
      </c>
      <c r="K1099" cm="1">
        <f t="array" ref="K1099">_xlfn.SWITCH(LeadsData[[#This Row],[Funnel Stage Reached]],"Lead",1,"MQL",2,"SQL",3,"Customer",4)</f>
        <v>3</v>
      </c>
      <c r="L1099" t="str">
        <f>TEXT(LeadsData[[#This Row],[Signup Date]],"mmm-yyyy")</f>
        <v>Dec-2024</v>
      </c>
      <c r="M1099">
        <f>IF(LeadsData[[#This Row],[Stage Number]]&gt;=2,1,0)</f>
        <v>1</v>
      </c>
      <c r="N1099" s="2">
        <f>IF(LeadsData[[#This Row],[Stage Number]]&gt;=3,1,0)</f>
        <v>1</v>
      </c>
      <c r="O1099" s="2">
        <f>IF(LeadsData[[#This Row],[Stage Number]]&gt;=4,1,0)</f>
        <v>0</v>
      </c>
    </row>
    <row r="1100" spans="1:15" x14ac:dyDescent="0.25">
      <c r="A1100" t="s">
        <v>1140</v>
      </c>
      <c r="B1100" s="1">
        <v>45512</v>
      </c>
      <c r="C1100" t="s">
        <v>17</v>
      </c>
      <c r="D1100" t="s">
        <v>53</v>
      </c>
      <c r="E1100" t="s">
        <v>13</v>
      </c>
      <c r="F1100" t="s">
        <v>19</v>
      </c>
      <c r="G1100" t="s">
        <v>23</v>
      </c>
      <c r="K1100" cm="1">
        <f t="array" ref="K1100">_xlfn.SWITCH(LeadsData[[#This Row],[Funnel Stage Reached]],"Lead",1,"MQL",2,"SQL",3,"Customer",4)</f>
        <v>2</v>
      </c>
      <c r="L1100" t="str">
        <f>TEXT(LeadsData[[#This Row],[Signup Date]],"mmm-yyyy")</f>
        <v>Aug-2024</v>
      </c>
      <c r="M1100">
        <f>IF(LeadsData[[#This Row],[Stage Number]]&gt;=2,1,0)</f>
        <v>1</v>
      </c>
      <c r="N1100" s="2">
        <f>IF(LeadsData[[#This Row],[Stage Number]]&gt;=3,1,0)</f>
        <v>0</v>
      </c>
      <c r="O1100" s="2">
        <f>IF(LeadsData[[#This Row],[Stage Number]]&gt;=4,1,0)</f>
        <v>0</v>
      </c>
    </row>
    <row r="1101" spans="1:15" x14ac:dyDescent="0.25">
      <c r="A1101" t="s">
        <v>1141</v>
      </c>
      <c r="B1101" s="1">
        <v>45654</v>
      </c>
      <c r="C1101" t="s">
        <v>46</v>
      </c>
      <c r="D1101" t="s">
        <v>47</v>
      </c>
      <c r="E1101" t="s">
        <v>13</v>
      </c>
      <c r="F1101" t="s">
        <v>14</v>
      </c>
      <c r="G1101" t="s">
        <v>29</v>
      </c>
      <c r="K1101" cm="1">
        <f t="array" ref="K1101">_xlfn.SWITCH(LeadsData[[#This Row],[Funnel Stage Reached]],"Lead",1,"MQL",2,"SQL",3,"Customer",4)</f>
        <v>3</v>
      </c>
      <c r="L1101" t="str">
        <f>TEXT(LeadsData[[#This Row],[Signup Date]],"mmm-yyyy")</f>
        <v>Dec-2024</v>
      </c>
      <c r="M1101">
        <f>IF(LeadsData[[#This Row],[Stage Number]]&gt;=2,1,0)</f>
        <v>1</v>
      </c>
      <c r="N1101" s="2">
        <f>IF(LeadsData[[#This Row],[Stage Number]]&gt;=3,1,0)</f>
        <v>1</v>
      </c>
      <c r="O1101" s="2">
        <f>IF(LeadsData[[#This Row],[Stage Number]]&gt;=4,1,0)</f>
        <v>0</v>
      </c>
    </row>
    <row r="1102" spans="1:15" x14ac:dyDescent="0.25">
      <c r="A1102" t="s">
        <v>1142</v>
      </c>
      <c r="B1102" s="1">
        <v>45403</v>
      </c>
      <c r="C1102" t="s">
        <v>46</v>
      </c>
      <c r="D1102" t="s">
        <v>56</v>
      </c>
      <c r="E1102" t="s">
        <v>13</v>
      </c>
      <c r="F1102" t="s">
        <v>22</v>
      </c>
      <c r="G1102" t="s">
        <v>15</v>
      </c>
      <c r="K1102" cm="1">
        <f t="array" ref="K1102">_xlfn.SWITCH(LeadsData[[#This Row],[Funnel Stage Reached]],"Lead",1,"MQL",2,"SQL",3,"Customer",4)</f>
        <v>1</v>
      </c>
      <c r="L1102" t="str">
        <f>TEXT(LeadsData[[#This Row],[Signup Date]],"mmm-yyyy")</f>
        <v>Apr-2024</v>
      </c>
      <c r="M1102">
        <f>IF(LeadsData[[#This Row],[Stage Number]]&gt;=2,1,0)</f>
        <v>0</v>
      </c>
      <c r="N1102" s="2">
        <f>IF(LeadsData[[#This Row],[Stage Number]]&gt;=3,1,0)</f>
        <v>0</v>
      </c>
      <c r="O1102" s="2">
        <f>IF(LeadsData[[#This Row],[Stage Number]]&gt;=4,1,0)</f>
        <v>0</v>
      </c>
    </row>
    <row r="1103" spans="1:15" x14ac:dyDescent="0.25">
      <c r="A1103" t="s">
        <v>1143</v>
      </c>
      <c r="B1103" s="1">
        <v>45511</v>
      </c>
      <c r="C1103" t="s">
        <v>31</v>
      </c>
      <c r="D1103" t="s">
        <v>32</v>
      </c>
      <c r="E1103" t="s">
        <v>13</v>
      </c>
      <c r="F1103" t="s">
        <v>28</v>
      </c>
      <c r="G1103" t="s">
        <v>23</v>
      </c>
      <c r="K1103" cm="1">
        <f t="array" ref="K1103">_xlfn.SWITCH(LeadsData[[#This Row],[Funnel Stage Reached]],"Lead",1,"MQL",2,"SQL",3,"Customer",4)</f>
        <v>2</v>
      </c>
      <c r="L1103" t="str">
        <f>TEXT(LeadsData[[#This Row],[Signup Date]],"mmm-yyyy")</f>
        <v>Aug-2024</v>
      </c>
      <c r="M1103">
        <f>IF(LeadsData[[#This Row],[Stage Number]]&gt;=2,1,0)</f>
        <v>1</v>
      </c>
      <c r="N1103" s="2">
        <f>IF(LeadsData[[#This Row],[Stage Number]]&gt;=3,1,0)</f>
        <v>0</v>
      </c>
      <c r="O1103" s="2">
        <f>IF(LeadsData[[#This Row],[Stage Number]]&gt;=4,1,0)</f>
        <v>0</v>
      </c>
    </row>
    <row r="1104" spans="1:15" x14ac:dyDescent="0.25">
      <c r="A1104" t="s">
        <v>1144</v>
      </c>
      <c r="B1104" s="1">
        <v>45477</v>
      </c>
      <c r="C1104" t="s">
        <v>17</v>
      </c>
      <c r="D1104" t="s">
        <v>53</v>
      </c>
      <c r="E1104" t="s">
        <v>13</v>
      </c>
      <c r="F1104" t="s">
        <v>22</v>
      </c>
      <c r="G1104" t="s">
        <v>23</v>
      </c>
      <c r="K1104" cm="1">
        <f t="array" ref="K1104">_xlfn.SWITCH(LeadsData[[#This Row],[Funnel Stage Reached]],"Lead",1,"MQL",2,"SQL",3,"Customer",4)</f>
        <v>2</v>
      </c>
      <c r="L1104" t="str">
        <f>TEXT(LeadsData[[#This Row],[Signup Date]],"mmm-yyyy")</f>
        <v>Jul-2024</v>
      </c>
      <c r="M1104">
        <f>IF(LeadsData[[#This Row],[Stage Number]]&gt;=2,1,0)</f>
        <v>1</v>
      </c>
      <c r="N1104" s="2">
        <f>IF(LeadsData[[#This Row],[Stage Number]]&gt;=3,1,0)</f>
        <v>0</v>
      </c>
      <c r="O1104" s="2">
        <f>IF(LeadsData[[#This Row],[Stage Number]]&gt;=4,1,0)</f>
        <v>0</v>
      </c>
    </row>
    <row r="1105" spans="1:15" x14ac:dyDescent="0.25">
      <c r="A1105" t="s">
        <v>1145</v>
      </c>
      <c r="B1105" s="1">
        <v>45402</v>
      </c>
      <c r="C1105" t="s">
        <v>31</v>
      </c>
      <c r="D1105" t="s">
        <v>34</v>
      </c>
      <c r="E1105" t="s">
        <v>13</v>
      </c>
      <c r="F1105" t="s">
        <v>19</v>
      </c>
      <c r="G1105" t="s">
        <v>15</v>
      </c>
      <c r="K1105" cm="1">
        <f t="array" ref="K1105">_xlfn.SWITCH(LeadsData[[#This Row],[Funnel Stage Reached]],"Lead",1,"MQL",2,"SQL",3,"Customer",4)</f>
        <v>1</v>
      </c>
      <c r="L1105" t="str">
        <f>TEXT(LeadsData[[#This Row],[Signup Date]],"mmm-yyyy")</f>
        <v>Apr-2024</v>
      </c>
      <c r="M1105">
        <f>IF(LeadsData[[#This Row],[Stage Number]]&gt;=2,1,0)</f>
        <v>0</v>
      </c>
      <c r="N1105" s="2">
        <f>IF(LeadsData[[#This Row],[Stage Number]]&gt;=3,1,0)</f>
        <v>0</v>
      </c>
      <c r="O1105" s="2">
        <f>IF(LeadsData[[#This Row],[Stage Number]]&gt;=4,1,0)</f>
        <v>0</v>
      </c>
    </row>
    <row r="1106" spans="1:15" x14ac:dyDescent="0.25">
      <c r="A1106" t="s">
        <v>1146</v>
      </c>
      <c r="B1106" s="1">
        <v>45295</v>
      </c>
      <c r="C1106" t="s">
        <v>17</v>
      </c>
      <c r="D1106" t="s">
        <v>53</v>
      </c>
      <c r="E1106" t="s">
        <v>21</v>
      </c>
      <c r="F1106" t="s">
        <v>14</v>
      </c>
      <c r="G1106" t="s">
        <v>23</v>
      </c>
      <c r="K1106" cm="1">
        <f t="array" ref="K1106">_xlfn.SWITCH(LeadsData[[#This Row],[Funnel Stage Reached]],"Lead",1,"MQL",2,"SQL",3,"Customer",4)</f>
        <v>2</v>
      </c>
      <c r="L1106" t="str">
        <f>TEXT(LeadsData[[#This Row],[Signup Date]],"mmm-yyyy")</f>
        <v>Jan-2024</v>
      </c>
      <c r="M1106">
        <f>IF(LeadsData[[#This Row],[Stage Number]]&gt;=2,1,0)</f>
        <v>1</v>
      </c>
      <c r="N1106" s="2">
        <f>IF(LeadsData[[#This Row],[Stage Number]]&gt;=3,1,0)</f>
        <v>0</v>
      </c>
      <c r="O1106" s="2">
        <f>IF(LeadsData[[#This Row],[Stage Number]]&gt;=4,1,0)</f>
        <v>0</v>
      </c>
    </row>
    <row r="1107" spans="1:15" x14ac:dyDescent="0.25">
      <c r="A1107" t="s">
        <v>1147</v>
      </c>
      <c r="B1107" s="1">
        <v>45293</v>
      </c>
      <c r="C1107" t="s">
        <v>25</v>
      </c>
      <c r="D1107" t="s">
        <v>26</v>
      </c>
      <c r="E1107" t="s">
        <v>48</v>
      </c>
      <c r="F1107" t="s">
        <v>19</v>
      </c>
      <c r="G1107" t="s">
        <v>23</v>
      </c>
      <c r="K1107" cm="1">
        <f t="array" ref="K1107">_xlfn.SWITCH(LeadsData[[#This Row],[Funnel Stage Reached]],"Lead",1,"MQL",2,"SQL",3,"Customer",4)</f>
        <v>2</v>
      </c>
      <c r="L1107" t="str">
        <f>TEXT(LeadsData[[#This Row],[Signup Date]],"mmm-yyyy")</f>
        <v>Jan-2024</v>
      </c>
      <c r="M1107">
        <f>IF(LeadsData[[#This Row],[Stage Number]]&gt;=2,1,0)</f>
        <v>1</v>
      </c>
      <c r="N1107" s="2">
        <f>IF(LeadsData[[#This Row],[Stage Number]]&gt;=3,1,0)</f>
        <v>0</v>
      </c>
      <c r="O1107" s="2">
        <f>IF(LeadsData[[#This Row],[Stage Number]]&gt;=4,1,0)</f>
        <v>0</v>
      </c>
    </row>
    <row r="1108" spans="1:15" x14ac:dyDescent="0.25">
      <c r="A1108" t="s">
        <v>1148</v>
      </c>
      <c r="B1108" s="1">
        <v>45444</v>
      </c>
      <c r="C1108" t="s">
        <v>11</v>
      </c>
      <c r="D1108" t="s">
        <v>68</v>
      </c>
      <c r="E1108" t="s">
        <v>48</v>
      </c>
      <c r="F1108" t="s">
        <v>14</v>
      </c>
      <c r="G1108" t="s">
        <v>29</v>
      </c>
      <c r="K1108" cm="1">
        <f t="array" ref="K1108">_xlfn.SWITCH(LeadsData[[#This Row],[Funnel Stage Reached]],"Lead",1,"MQL",2,"SQL",3,"Customer",4)</f>
        <v>3</v>
      </c>
      <c r="L1108" t="str">
        <f>TEXT(LeadsData[[#This Row],[Signup Date]],"mmm-yyyy")</f>
        <v>Jun-2024</v>
      </c>
      <c r="M1108">
        <f>IF(LeadsData[[#This Row],[Stage Number]]&gt;=2,1,0)</f>
        <v>1</v>
      </c>
      <c r="N1108" s="2">
        <f>IF(LeadsData[[#This Row],[Stage Number]]&gt;=3,1,0)</f>
        <v>1</v>
      </c>
      <c r="O1108" s="2">
        <f>IF(LeadsData[[#This Row],[Stage Number]]&gt;=4,1,0)</f>
        <v>0</v>
      </c>
    </row>
    <row r="1109" spans="1:15" x14ac:dyDescent="0.25">
      <c r="A1109" t="s">
        <v>1149</v>
      </c>
      <c r="B1109" s="1">
        <v>45598</v>
      </c>
      <c r="C1109" t="s">
        <v>17</v>
      </c>
      <c r="D1109" t="s">
        <v>18</v>
      </c>
      <c r="E1109" t="s">
        <v>13</v>
      </c>
      <c r="F1109" t="s">
        <v>19</v>
      </c>
      <c r="G1109" t="s">
        <v>29</v>
      </c>
      <c r="K1109" cm="1">
        <f t="array" ref="K1109">_xlfn.SWITCH(LeadsData[[#This Row],[Funnel Stage Reached]],"Lead",1,"MQL",2,"SQL",3,"Customer",4)</f>
        <v>3</v>
      </c>
      <c r="L1109" t="str">
        <f>TEXT(LeadsData[[#This Row],[Signup Date]],"mmm-yyyy")</f>
        <v>Nov-2024</v>
      </c>
      <c r="M1109">
        <f>IF(LeadsData[[#This Row],[Stage Number]]&gt;=2,1,0)</f>
        <v>1</v>
      </c>
      <c r="N1109" s="2">
        <f>IF(LeadsData[[#This Row],[Stage Number]]&gt;=3,1,0)</f>
        <v>1</v>
      </c>
      <c r="O1109" s="2">
        <f>IF(LeadsData[[#This Row],[Stage Number]]&gt;=4,1,0)</f>
        <v>0</v>
      </c>
    </row>
    <row r="1110" spans="1:15" x14ac:dyDescent="0.25">
      <c r="A1110" t="s">
        <v>1150</v>
      </c>
      <c r="B1110" s="1">
        <v>45385</v>
      </c>
      <c r="C1110" t="s">
        <v>17</v>
      </c>
      <c r="D1110" t="s">
        <v>18</v>
      </c>
      <c r="E1110" t="s">
        <v>13</v>
      </c>
      <c r="F1110" t="s">
        <v>22</v>
      </c>
      <c r="G1110" t="s">
        <v>15</v>
      </c>
      <c r="K1110" cm="1">
        <f t="array" ref="K1110">_xlfn.SWITCH(LeadsData[[#This Row],[Funnel Stage Reached]],"Lead",1,"MQL",2,"SQL",3,"Customer",4)</f>
        <v>1</v>
      </c>
      <c r="L1110" t="str">
        <f>TEXT(LeadsData[[#This Row],[Signup Date]],"mmm-yyyy")</f>
        <v>Apr-2024</v>
      </c>
      <c r="M1110">
        <f>IF(LeadsData[[#This Row],[Stage Number]]&gt;=2,1,0)</f>
        <v>0</v>
      </c>
      <c r="N1110" s="2">
        <f>IF(LeadsData[[#This Row],[Stage Number]]&gt;=3,1,0)</f>
        <v>0</v>
      </c>
      <c r="O1110" s="2">
        <f>IF(LeadsData[[#This Row],[Stage Number]]&gt;=4,1,0)</f>
        <v>0</v>
      </c>
    </row>
    <row r="1111" spans="1:15" x14ac:dyDescent="0.25">
      <c r="A1111" t="s">
        <v>1151</v>
      </c>
      <c r="B1111" s="1">
        <v>45431</v>
      </c>
      <c r="C1111" t="s">
        <v>11</v>
      </c>
      <c r="D1111" t="s">
        <v>68</v>
      </c>
      <c r="E1111" t="s">
        <v>13</v>
      </c>
      <c r="F1111" t="s">
        <v>19</v>
      </c>
      <c r="G1111" t="s">
        <v>29</v>
      </c>
      <c r="K1111" cm="1">
        <f t="array" ref="K1111">_xlfn.SWITCH(LeadsData[[#This Row],[Funnel Stage Reached]],"Lead",1,"MQL",2,"SQL",3,"Customer",4)</f>
        <v>3</v>
      </c>
      <c r="L1111" t="str">
        <f>TEXT(LeadsData[[#This Row],[Signup Date]],"mmm-yyyy")</f>
        <v>May-2024</v>
      </c>
      <c r="M1111">
        <f>IF(LeadsData[[#This Row],[Stage Number]]&gt;=2,1,0)</f>
        <v>1</v>
      </c>
      <c r="N1111" s="2">
        <f>IF(LeadsData[[#This Row],[Stage Number]]&gt;=3,1,0)</f>
        <v>1</v>
      </c>
      <c r="O1111" s="2">
        <f>IF(LeadsData[[#This Row],[Stage Number]]&gt;=4,1,0)</f>
        <v>0</v>
      </c>
    </row>
    <row r="1112" spans="1:15" x14ac:dyDescent="0.25">
      <c r="A1112" t="s">
        <v>1152</v>
      </c>
      <c r="B1112" s="1">
        <v>45539</v>
      </c>
      <c r="C1112" t="s">
        <v>31</v>
      </c>
      <c r="D1112" t="s">
        <v>34</v>
      </c>
      <c r="E1112" t="s">
        <v>13</v>
      </c>
      <c r="F1112" t="s">
        <v>19</v>
      </c>
      <c r="G1112" t="s">
        <v>29</v>
      </c>
      <c r="K1112" cm="1">
        <f t="array" ref="K1112">_xlfn.SWITCH(LeadsData[[#This Row],[Funnel Stage Reached]],"Lead",1,"MQL",2,"SQL",3,"Customer",4)</f>
        <v>3</v>
      </c>
      <c r="L1112" t="str">
        <f>TEXT(LeadsData[[#This Row],[Signup Date]],"mmm-yyyy")</f>
        <v>Sep-2024</v>
      </c>
      <c r="M1112">
        <f>IF(LeadsData[[#This Row],[Stage Number]]&gt;=2,1,0)</f>
        <v>1</v>
      </c>
      <c r="N1112" s="2">
        <f>IF(LeadsData[[#This Row],[Stage Number]]&gt;=3,1,0)</f>
        <v>1</v>
      </c>
      <c r="O1112" s="2">
        <f>IF(LeadsData[[#This Row],[Stage Number]]&gt;=4,1,0)</f>
        <v>0</v>
      </c>
    </row>
    <row r="1113" spans="1:15" x14ac:dyDescent="0.25">
      <c r="A1113" t="s">
        <v>1153</v>
      </c>
      <c r="B1113" s="1">
        <v>45345</v>
      </c>
      <c r="C1113" t="s">
        <v>25</v>
      </c>
      <c r="D1113" t="s">
        <v>26</v>
      </c>
      <c r="E1113" t="s">
        <v>48</v>
      </c>
      <c r="F1113" t="s">
        <v>14</v>
      </c>
      <c r="G1113" t="s">
        <v>15</v>
      </c>
      <c r="K1113" cm="1">
        <f t="array" ref="K1113">_xlfn.SWITCH(LeadsData[[#This Row],[Funnel Stage Reached]],"Lead",1,"MQL",2,"SQL",3,"Customer",4)</f>
        <v>1</v>
      </c>
      <c r="L1113" t="str">
        <f>TEXT(LeadsData[[#This Row],[Signup Date]],"mmm-yyyy")</f>
        <v>Feb-2024</v>
      </c>
      <c r="M1113">
        <f>IF(LeadsData[[#This Row],[Stage Number]]&gt;=2,1,0)</f>
        <v>0</v>
      </c>
      <c r="N1113" s="2">
        <f>IF(LeadsData[[#This Row],[Stage Number]]&gt;=3,1,0)</f>
        <v>0</v>
      </c>
      <c r="O1113" s="2">
        <f>IF(LeadsData[[#This Row],[Stage Number]]&gt;=4,1,0)</f>
        <v>0</v>
      </c>
    </row>
    <row r="1114" spans="1:15" x14ac:dyDescent="0.25">
      <c r="A1114" t="s">
        <v>1154</v>
      </c>
      <c r="B1114" s="1">
        <v>45585</v>
      </c>
      <c r="C1114" t="s">
        <v>31</v>
      </c>
      <c r="D1114" t="s">
        <v>32</v>
      </c>
      <c r="E1114" t="s">
        <v>21</v>
      </c>
      <c r="F1114" t="s">
        <v>14</v>
      </c>
      <c r="G1114" t="s">
        <v>23</v>
      </c>
      <c r="K1114" cm="1">
        <f t="array" ref="K1114">_xlfn.SWITCH(LeadsData[[#This Row],[Funnel Stage Reached]],"Lead",1,"MQL",2,"SQL",3,"Customer",4)</f>
        <v>2</v>
      </c>
      <c r="L1114" t="str">
        <f>TEXT(LeadsData[[#This Row],[Signup Date]],"mmm-yyyy")</f>
        <v>Oct-2024</v>
      </c>
      <c r="M1114">
        <f>IF(LeadsData[[#This Row],[Stage Number]]&gt;=2,1,0)</f>
        <v>1</v>
      </c>
      <c r="N1114" s="2">
        <f>IF(LeadsData[[#This Row],[Stage Number]]&gt;=3,1,0)</f>
        <v>0</v>
      </c>
      <c r="O1114" s="2">
        <f>IF(LeadsData[[#This Row],[Stage Number]]&gt;=4,1,0)</f>
        <v>0</v>
      </c>
    </row>
    <row r="1115" spans="1:15" x14ac:dyDescent="0.25">
      <c r="A1115" t="s">
        <v>1155</v>
      </c>
      <c r="B1115" s="1">
        <v>45293</v>
      </c>
      <c r="C1115" t="s">
        <v>25</v>
      </c>
      <c r="D1115" t="s">
        <v>26</v>
      </c>
      <c r="E1115" t="s">
        <v>48</v>
      </c>
      <c r="F1115" t="s">
        <v>22</v>
      </c>
      <c r="G1115" t="s">
        <v>29</v>
      </c>
      <c r="K1115" cm="1">
        <f t="array" ref="K1115">_xlfn.SWITCH(LeadsData[[#This Row],[Funnel Stage Reached]],"Lead",1,"MQL",2,"SQL",3,"Customer",4)</f>
        <v>3</v>
      </c>
      <c r="L1115" t="str">
        <f>TEXT(LeadsData[[#This Row],[Signup Date]],"mmm-yyyy")</f>
        <v>Jan-2024</v>
      </c>
      <c r="M1115">
        <f>IF(LeadsData[[#This Row],[Stage Number]]&gt;=2,1,0)</f>
        <v>1</v>
      </c>
      <c r="N1115" s="2">
        <f>IF(LeadsData[[#This Row],[Stage Number]]&gt;=3,1,0)</f>
        <v>1</v>
      </c>
      <c r="O1115" s="2">
        <f>IF(LeadsData[[#This Row],[Stage Number]]&gt;=4,1,0)</f>
        <v>0</v>
      </c>
    </row>
    <row r="1116" spans="1:15" x14ac:dyDescent="0.25">
      <c r="A1116" t="s">
        <v>1156</v>
      </c>
      <c r="B1116" s="1">
        <v>45526</v>
      </c>
      <c r="C1116" t="s">
        <v>25</v>
      </c>
      <c r="D1116" t="s">
        <v>26</v>
      </c>
      <c r="E1116" t="s">
        <v>13</v>
      </c>
      <c r="F1116" t="s">
        <v>22</v>
      </c>
      <c r="G1116" t="s">
        <v>15</v>
      </c>
      <c r="K1116" cm="1">
        <f t="array" ref="K1116">_xlfn.SWITCH(LeadsData[[#This Row],[Funnel Stage Reached]],"Lead",1,"MQL",2,"SQL",3,"Customer",4)</f>
        <v>1</v>
      </c>
      <c r="L1116" t="str">
        <f>TEXT(LeadsData[[#This Row],[Signup Date]],"mmm-yyyy")</f>
        <v>Aug-2024</v>
      </c>
      <c r="M1116">
        <f>IF(LeadsData[[#This Row],[Stage Number]]&gt;=2,1,0)</f>
        <v>0</v>
      </c>
      <c r="N1116" s="2">
        <f>IF(LeadsData[[#This Row],[Stage Number]]&gt;=3,1,0)</f>
        <v>0</v>
      </c>
      <c r="O1116" s="2">
        <f>IF(LeadsData[[#This Row],[Stage Number]]&gt;=4,1,0)</f>
        <v>0</v>
      </c>
    </row>
    <row r="1117" spans="1:15" x14ac:dyDescent="0.25">
      <c r="A1117" t="s">
        <v>1157</v>
      </c>
      <c r="B1117" s="1">
        <v>45567</v>
      </c>
      <c r="C1117" t="s">
        <v>31</v>
      </c>
      <c r="D1117" t="s">
        <v>34</v>
      </c>
      <c r="E1117" t="s">
        <v>21</v>
      </c>
      <c r="F1117" t="s">
        <v>19</v>
      </c>
      <c r="G1117" t="s">
        <v>29</v>
      </c>
      <c r="K1117" cm="1">
        <f t="array" ref="K1117">_xlfn.SWITCH(LeadsData[[#This Row],[Funnel Stage Reached]],"Lead",1,"MQL",2,"SQL",3,"Customer",4)</f>
        <v>3</v>
      </c>
      <c r="L1117" t="str">
        <f>TEXT(LeadsData[[#This Row],[Signup Date]],"mmm-yyyy")</f>
        <v>Oct-2024</v>
      </c>
      <c r="M1117">
        <f>IF(LeadsData[[#This Row],[Stage Number]]&gt;=2,1,0)</f>
        <v>1</v>
      </c>
      <c r="N1117" s="2">
        <f>IF(LeadsData[[#This Row],[Stage Number]]&gt;=3,1,0)</f>
        <v>1</v>
      </c>
      <c r="O1117" s="2">
        <f>IF(LeadsData[[#This Row],[Stage Number]]&gt;=4,1,0)</f>
        <v>0</v>
      </c>
    </row>
    <row r="1118" spans="1:15" x14ac:dyDescent="0.25">
      <c r="A1118" t="s">
        <v>1158</v>
      </c>
      <c r="B1118" s="1">
        <v>45645</v>
      </c>
      <c r="C1118" t="s">
        <v>46</v>
      </c>
      <c r="D1118" t="s">
        <v>56</v>
      </c>
      <c r="E1118" t="s">
        <v>21</v>
      </c>
      <c r="F1118" t="s">
        <v>19</v>
      </c>
      <c r="G1118" t="s">
        <v>15</v>
      </c>
      <c r="K1118" cm="1">
        <f t="array" ref="K1118">_xlfn.SWITCH(LeadsData[[#This Row],[Funnel Stage Reached]],"Lead",1,"MQL",2,"SQL",3,"Customer",4)</f>
        <v>1</v>
      </c>
      <c r="L1118" t="str">
        <f>TEXT(LeadsData[[#This Row],[Signup Date]],"mmm-yyyy")</f>
        <v>Dec-2024</v>
      </c>
      <c r="M1118">
        <f>IF(LeadsData[[#This Row],[Stage Number]]&gt;=2,1,0)</f>
        <v>0</v>
      </c>
      <c r="N1118" s="2">
        <f>IF(LeadsData[[#This Row],[Stage Number]]&gt;=3,1,0)</f>
        <v>0</v>
      </c>
      <c r="O1118" s="2">
        <f>IF(LeadsData[[#This Row],[Stage Number]]&gt;=4,1,0)</f>
        <v>0</v>
      </c>
    </row>
    <row r="1119" spans="1:15" x14ac:dyDescent="0.25">
      <c r="A1119" t="s">
        <v>1159</v>
      </c>
      <c r="B1119" s="1">
        <v>45567</v>
      </c>
      <c r="C1119" t="s">
        <v>11</v>
      </c>
      <c r="D1119" t="s">
        <v>79</v>
      </c>
      <c r="E1119" t="s">
        <v>13</v>
      </c>
      <c r="F1119" t="s">
        <v>14</v>
      </c>
      <c r="G1119" t="s">
        <v>15</v>
      </c>
      <c r="K1119" cm="1">
        <f t="array" ref="K1119">_xlfn.SWITCH(LeadsData[[#This Row],[Funnel Stage Reached]],"Lead",1,"MQL",2,"SQL",3,"Customer",4)</f>
        <v>1</v>
      </c>
      <c r="L1119" t="str">
        <f>TEXT(LeadsData[[#This Row],[Signup Date]],"mmm-yyyy")</f>
        <v>Oct-2024</v>
      </c>
      <c r="M1119">
        <f>IF(LeadsData[[#This Row],[Stage Number]]&gt;=2,1,0)</f>
        <v>0</v>
      </c>
      <c r="N1119" s="2">
        <f>IF(LeadsData[[#This Row],[Stage Number]]&gt;=3,1,0)</f>
        <v>0</v>
      </c>
      <c r="O1119" s="2">
        <f>IF(LeadsData[[#This Row],[Stage Number]]&gt;=4,1,0)</f>
        <v>0</v>
      </c>
    </row>
    <row r="1120" spans="1:15" x14ac:dyDescent="0.25">
      <c r="A1120" t="s">
        <v>1160</v>
      </c>
      <c r="B1120" s="1">
        <v>45542</v>
      </c>
      <c r="C1120" t="s">
        <v>36</v>
      </c>
      <c r="D1120" t="s">
        <v>37</v>
      </c>
      <c r="E1120" t="s">
        <v>21</v>
      </c>
      <c r="F1120" t="s">
        <v>14</v>
      </c>
      <c r="G1120" t="s">
        <v>23</v>
      </c>
      <c r="K1120" cm="1">
        <f t="array" ref="K1120">_xlfn.SWITCH(LeadsData[[#This Row],[Funnel Stage Reached]],"Lead",1,"MQL",2,"SQL",3,"Customer",4)</f>
        <v>2</v>
      </c>
      <c r="L1120" t="str">
        <f>TEXT(LeadsData[[#This Row],[Signup Date]],"mmm-yyyy")</f>
        <v>Sep-2024</v>
      </c>
      <c r="M1120">
        <f>IF(LeadsData[[#This Row],[Stage Number]]&gt;=2,1,0)</f>
        <v>1</v>
      </c>
      <c r="N1120" s="2">
        <f>IF(LeadsData[[#This Row],[Stage Number]]&gt;=3,1,0)</f>
        <v>0</v>
      </c>
      <c r="O1120" s="2">
        <f>IF(LeadsData[[#This Row],[Stage Number]]&gt;=4,1,0)</f>
        <v>0</v>
      </c>
    </row>
    <row r="1121" spans="1:15" x14ac:dyDescent="0.25">
      <c r="A1121" t="s">
        <v>1161</v>
      </c>
      <c r="B1121" s="1">
        <v>45505</v>
      </c>
      <c r="C1121" t="s">
        <v>46</v>
      </c>
      <c r="D1121" t="s">
        <v>47</v>
      </c>
      <c r="E1121" t="s">
        <v>13</v>
      </c>
      <c r="F1121" t="s">
        <v>14</v>
      </c>
      <c r="G1121" t="s">
        <v>15</v>
      </c>
      <c r="K1121" cm="1">
        <f t="array" ref="K1121">_xlfn.SWITCH(LeadsData[[#This Row],[Funnel Stage Reached]],"Lead",1,"MQL",2,"SQL",3,"Customer",4)</f>
        <v>1</v>
      </c>
      <c r="L1121" t="str">
        <f>TEXT(LeadsData[[#This Row],[Signup Date]],"mmm-yyyy")</f>
        <v>Aug-2024</v>
      </c>
      <c r="M1121">
        <f>IF(LeadsData[[#This Row],[Stage Number]]&gt;=2,1,0)</f>
        <v>0</v>
      </c>
      <c r="N1121" s="2">
        <f>IF(LeadsData[[#This Row],[Stage Number]]&gt;=3,1,0)</f>
        <v>0</v>
      </c>
      <c r="O1121" s="2">
        <f>IF(LeadsData[[#This Row],[Stage Number]]&gt;=4,1,0)</f>
        <v>0</v>
      </c>
    </row>
    <row r="1122" spans="1:15" x14ac:dyDescent="0.25">
      <c r="A1122" t="s">
        <v>1162</v>
      </c>
      <c r="B1122" s="1">
        <v>45623</v>
      </c>
      <c r="C1122" t="s">
        <v>17</v>
      </c>
      <c r="D1122" t="s">
        <v>53</v>
      </c>
      <c r="E1122" t="s">
        <v>21</v>
      </c>
      <c r="F1122" t="s">
        <v>14</v>
      </c>
      <c r="G1122" t="s">
        <v>29</v>
      </c>
      <c r="K1122" cm="1">
        <f t="array" ref="K1122">_xlfn.SWITCH(LeadsData[[#This Row],[Funnel Stage Reached]],"Lead",1,"MQL",2,"SQL",3,"Customer",4)</f>
        <v>3</v>
      </c>
      <c r="L1122" t="str">
        <f>TEXT(LeadsData[[#This Row],[Signup Date]],"mmm-yyyy")</f>
        <v>Nov-2024</v>
      </c>
      <c r="M1122">
        <f>IF(LeadsData[[#This Row],[Stage Number]]&gt;=2,1,0)</f>
        <v>1</v>
      </c>
      <c r="N1122" s="2">
        <f>IF(LeadsData[[#This Row],[Stage Number]]&gt;=3,1,0)</f>
        <v>1</v>
      </c>
      <c r="O1122" s="2">
        <f>IF(LeadsData[[#This Row],[Stage Number]]&gt;=4,1,0)</f>
        <v>0</v>
      </c>
    </row>
    <row r="1123" spans="1:15" x14ac:dyDescent="0.25">
      <c r="A1123" t="s">
        <v>1163</v>
      </c>
      <c r="B1123" s="1">
        <v>45607</v>
      </c>
      <c r="C1123" t="s">
        <v>31</v>
      </c>
      <c r="D1123" t="s">
        <v>32</v>
      </c>
      <c r="E1123" t="s">
        <v>13</v>
      </c>
      <c r="F1123" t="s">
        <v>22</v>
      </c>
      <c r="G1123" t="s">
        <v>23</v>
      </c>
      <c r="K1123" cm="1">
        <f t="array" ref="K1123">_xlfn.SWITCH(LeadsData[[#This Row],[Funnel Stage Reached]],"Lead",1,"MQL",2,"SQL",3,"Customer",4)</f>
        <v>2</v>
      </c>
      <c r="L1123" t="str">
        <f>TEXT(LeadsData[[#This Row],[Signup Date]],"mmm-yyyy")</f>
        <v>Nov-2024</v>
      </c>
      <c r="M1123">
        <f>IF(LeadsData[[#This Row],[Stage Number]]&gt;=2,1,0)</f>
        <v>1</v>
      </c>
      <c r="N1123" s="2">
        <f>IF(LeadsData[[#This Row],[Stage Number]]&gt;=3,1,0)</f>
        <v>0</v>
      </c>
      <c r="O1123" s="2">
        <f>IF(LeadsData[[#This Row],[Stage Number]]&gt;=4,1,0)</f>
        <v>0</v>
      </c>
    </row>
    <row r="1124" spans="1:15" x14ac:dyDescent="0.25">
      <c r="A1124" t="s">
        <v>1164</v>
      </c>
      <c r="B1124" s="1">
        <v>45548</v>
      </c>
      <c r="C1124" t="s">
        <v>36</v>
      </c>
      <c r="D1124" t="s">
        <v>37</v>
      </c>
      <c r="E1124" t="s">
        <v>13</v>
      </c>
      <c r="F1124" t="s">
        <v>28</v>
      </c>
      <c r="G1124" t="s">
        <v>29</v>
      </c>
      <c r="K1124" cm="1">
        <f t="array" ref="K1124">_xlfn.SWITCH(LeadsData[[#This Row],[Funnel Stage Reached]],"Lead",1,"MQL",2,"SQL",3,"Customer",4)</f>
        <v>3</v>
      </c>
      <c r="L1124" t="str">
        <f>TEXT(LeadsData[[#This Row],[Signup Date]],"mmm-yyyy")</f>
        <v>Sep-2024</v>
      </c>
      <c r="M1124">
        <f>IF(LeadsData[[#This Row],[Stage Number]]&gt;=2,1,0)</f>
        <v>1</v>
      </c>
      <c r="N1124" s="2">
        <f>IF(LeadsData[[#This Row],[Stage Number]]&gt;=3,1,0)</f>
        <v>1</v>
      </c>
      <c r="O1124" s="2">
        <f>IF(LeadsData[[#This Row],[Stage Number]]&gt;=4,1,0)</f>
        <v>0</v>
      </c>
    </row>
    <row r="1125" spans="1:15" x14ac:dyDescent="0.25">
      <c r="A1125" t="s">
        <v>1165</v>
      </c>
      <c r="B1125" s="1">
        <v>45571</v>
      </c>
      <c r="C1125" t="s">
        <v>46</v>
      </c>
      <c r="D1125" t="s">
        <v>56</v>
      </c>
      <c r="E1125" t="s">
        <v>13</v>
      </c>
      <c r="F1125" t="s">
        <v>19</v>
      </c>
      <c r="G1125" t="s">
        <v>15</v>
      </c>
      <c r="K1125" cm="1">
        <f t="array" ref="K1125">_xlfn.SWITCH(LeadsData[[#This Row],[Funnel Stage Reached]],"Lead",1,"MQL",2,"SQL",3,"Customer",4)</f>
        <v>1</v>
      </c>
      <c r="L1125" t="str">
        <f>TEXT(LeadsData[[#This Row],[Signup Date]],"mmm-yyyy")</f>
        <v>Oct-2024</v>
      </c>
      <c r="M1125">
        <f>IF(LeadsData[[#This Row],[Stage Number]]&gt;=2,1,0)</f>
        <v>0</v>
      </c>
      <c r="N1125" s="2">
        <f>IF(LeadsData[[#This Row],[Stage Number]]&gt;=3,1,0)</f>
        <v>0</v>
      </c>
      <c r="O1125" s="2">
        <f>IF(LeadsData[[#This Row],[Stage Number]]&gt;=4,1,0)</f>
        <v>0</v>
      </c>
    </row>
    <row r="1126" spans="1:15" x14ac:dyDescent="0.25">
      <c r="A1126" t="s">
        <v>1166</v>
      </c>
      <c r="B1126" s="1">
        <v>45586</v>
      </c>
      <c r="C1126" t="s">
        <v>46</v>
      </c>
      <c r="D1126" t="s">
        <v>47</v>
      </c>
      <c r="E1126" t="s">
        <v>21</v>
      </c>
      <c r="F1126" t="s">
        <v>19</v>
      </c>
      <c r="G1126" t="s">
        <v>15</v>
      </c>
      <c r="K1126" cm="1">
        <f t="array" ref="K1126">_xlfn.SWITCH(LeadsData[[#This Row],[Funnel Stage Reached]],"Lead",1,"MQL",2,"SQL",3,"Customer",4)</f>
        <v>1</v>
      </c>
      <c r="L1126" t="str">
        <f>TEXT(LeadsData[[#This Row],[Signup Date]],"mmm-yyyy")</f>
        <v>Oct-2024</v>
      </c>
      <c r="M1126">
        <f>IF(LeadsData[[#This Row],[Stage Number]]&gt;=2,1,0)</f>
        <v>0</v>
      </c>
      <c r="N1126" s="2">
        <f>IF(LeadsData[[#This Row],[Stage Number]]&gt;=3,1,0)</f>
        <v>0</v>
      </c>
      <c r="O1126" s="2">
        <f>IF(LeadsData[[#This Row],[Stage Number]]&gt;=4,1,0)</f>
        <v>0</v>
      </c>
    </row>
    <row r="1127" spans="1:15" x14ac:dyDescent="0.25">
      <c r="A1127" t="s">
        <v>1167</v>
      </c>
      <c r="B1127" s="1">
        <v>45302</v>
      </c>
      <c r="C1127" t="s">
        <v>31</v>
      </c>
      <c r="D1127" t="s">
        <v>34</v>
      </c>
      <c r="E1127" t="s">
        <v>13</v>
      </c>
      <c r="F1127" t="s">
        <v>19</v>
      </c>
      <c r="G1127" t="s">
        <v>15</v>
      </c>
      <c r="K1127" cm="1">
        <f t="array" ref="K1127">_xlfn.SWITCH(LeadsData[[#This Row],[Funnel Stage Reached]],"Lead",1,"MQL",2,"SQL",3,"Customer",4)</f>
        <v>1</v>
      </c>
      <c r="L1127" t="str">
        <f>TEXT(LeadsData[[#This Row],[Signup Date]],"mmm-yyyy")</f>
        <v>Jan-2024</v>
      </c>
      <c r="M1127">
        <f>IF(LeadsData[[#This Row],[Stage Number]]&gt;=2,1,0)</f>
        <v>0</v>
      </c>
      <c r="N1127" s="2">
        <f>IF(LeadsData[[#This Row],[Stage Number]]&gt;=3,1,0)</f>
        <v>0</v>
      </c>
      <c r="O1127" s="2">
        <f>IF(LeadsData[[#This Row],[Stage Number]]&gt;=4,1,0)</f>
        <v>0</v>
      </c>
    </row>
    <row r="1128" spans="1:15" x14ac:dyDescent="0.25">
      <c r="A1128" t="s">
        <v>1168</v>
      </c>
      <c r="B1128" s="1">
        <v>45396</v>
      </c>
      <c r="C1128" t="s">
        <v>11</v>
      </c>
      <c r="D1128" t="s">
        <v>12</v>
      </c>
      <c r="E1128" t="s">
        <v>13</v>
      </c>
      <c r="F1128" t="s">
        <v>22</v>
      </c>
      <c r="G1128" t="s">
        <v>15</v>
      </c>
      <c r="K1128" cm="1">
        <f t="array" ref="K1128">_xlfn.SWITCH(LeadsData[[#This Row],[Funnel Stage Reached]],"Lead",1,"MQL",2,"SQL",3,"Customer",4)</f>
        <v>1</v>
      </c>
      <c r="L1128" t="str">
        <f>TEXT(LeadsData[[#This Row],[Signup Date]],"mmm-yyyy")</f>
        <v>Apr-2024</v>
      </c>
      <c r="M1128">
        <f>IF(LeadsData[[#This Row],[Stage Number]]&gt;=2,1,0)</f>
        <v>0</v>
      </c>
      <c r="N1128" s="2">
        <f>IF(LeadsData[[#This Row],[Stage Number]]&gt;=3,1,0)</f>
        <v>0</v>
      </c>
      <c r="O1128" s="2">
        <f>IF(LeadsData[[#This Row],[Stage Number]]&gt;=4,1,0)</f>
        <v>0</v>
      </c>
    </row>
    <row r="1129" spans="1:15" x14ac:dyDescent="0.25">
      <c r="A1129" t="s">
        <v>1169</v>
      </c>
      <c r="B1129" s="1">
        <v>45617</v>
      </c>
      <c r="C1129" t="s">
        <v>31</v>
      </c>
      <c r="D1129" t="s">
        <v>34</v>
      </c>
      <c r="E1129" t="s">
        <v>13</v>
      </c>
      <c r="F1129" t="s">
        <v>22</v>
      </c>
      <c r="G1129" t="s">
        <v>29</v>
      </c>
      <c r="K1129" cm="1">
        <f t="array" ref="K1129">_xlfn.SWITCH(LeadsData[[#This Row],[Funnel Stage Reached]],"Lead",1,"MQL",2,"SQL",3,"Customer",4)</f>
        <v>3</v>
      </c>
      <c r="L1129" t="str">
        <f>TEXT(LeadsData[[#This Row],[Signup Date]],"mmm-yyyy")</f>
        <v>Nov-2024</v>
      </c>
      <c r="M1129">
        <f>IF(LeadsData[[#This Row],[Stage Number]]&gt;=2,1,0)</f>
        <v>1</v>
      </c>
      <c r="N1129" s="2">
        <f>IF(LeadsData[[#This Row],[Stage Number]]&gt;=3,1,0)</f>
        <v>1</v>
      </c>
      <c r="O1129" s="2">
        <f>IF(LeadsData[[#This Row],[Stage Number]]&gt;=4,1,0)</f>
        <v>0</v>
      </c>
    </row>
    <row r="1130" spans="1:15" x14ac:dyDescent="0.25">
      <c r="A1130" t="s">
        <v>1170</v>
      </c>
      <c r="B1130" s="1">
        <v>45590</v>
      </c>
      <c r="C1130" t="s">
        <v>17</v>
      </c>
      <c r="D1130" t="s">
        <v>18</v>
      </c>
      <c r="E1130" t="s">
        <v>13</v>
      </c>
      <c r="F1130" t="s">
        <v>19</v>
      </c>
      <c r="G1130" t="s">
        <v>23</v>
      </c>
      <c r="K1130" cm="1">
        <f t="array" ref="K1130">_xlfn.SWITCH(LeadsData[[#This Row],[Funnel Stage Reached]],"Lead",1,"MQL",2,"SQL",3,"Customer",4)</f>
        <v>2</v>
      </c>
      <c r="L1130" t="str">
        <f>TEXT(LeadsData[[#This Row],[Signup Date]],"mmm-yyyy")</f>
        <v>Oct-2024</v>
      </c>
      <c r="M1130">
        <f>IF(LeadsData[[#This Row],[Stage Number]]&gt;=2,1,0)</f>
        <v>1</v>
      </c>
      <c r="N1130" s="2">
        <f>IF(LeadsData[[#This Row],[Stage Number]]&gt;=3,1,0)</f>
        <v>0</v>
      </c>
      <c r="O1130" s="2">
        <f>IF(LeadsData[[#This Row],[Stage Number]]&gt;=4,1,0)</f>
        <v>0</v>
      </c>
    </row>
    <row r="1131" spans="1:15" x14ac:dyDescent="0.25">
      <c r="A1131" t="s">
        <v>1171</v>
      </c>
      <c r="B1131" s="1">
        <v>45618</v>
      </c>
      <c r="C1131" t="s">
        <v>31</v>
      </c>
      <c r="D1131" t="s">
        <v>34</v>
      </c>
      <c r="E1131" t="s">
        <v>48</v>
      </c>
      <c r="F1131" t="s">
        <v>19</v>
      </c>
      <c r="G1131" t="s">
        <v>15</v>
      </c>
      <c r="K1131" cm="1">
        <f t="array" ref="K1131">_xlfn.SWITCH(LeadsData[[#This Row],[Funnel Stage Reached]],"Lead",1,"MQL",2,"SQL",3,"Customer",4)</f>
        <v>1</v>
      </c>
      <c r="L1131" t="str">
        <f>TEXT(LeadsData[[#This Row],[Signup Date]],"mmm-yyyy")</f>
        <v>Nov-2024</v>
      </c>
      <c r="M1131">
        <f>IF(LeadsData[[#This Row],[Stage Number]]&gt;=2,1,0)</f>
        <v>0</v>
      </c>
      <c r="N1131" s="2">
        <f>IF(LeadsData[[#This Row],[Stage Number]]&gt;=3,1,0)</f>
        <v>0</v>
      </c>
      <c r="O1131" s="2">
        <f>IF(LeadsData[[#This Row],[Stage Number]]&gt;=4,1,0)</f>
        <v>0</v>
      </c>
    </row>
    <row r="1132" spans="1:15" x14ac:dyDescent="0.25">
      <c r="A1132" t="s">
        <v>1172</v>
      </c>
      <c r="B1132" s="1">
        <v>45524</v>
      </c>
      <c r="C1132" t="s">
        <v>11</v>
      </c>
      <c r="D1132" t="s">
        <v>68</v>
      </c>
      <c r="E1132" t="s">
        <v>21</v>
      </c>
      <c r="F1132" t="s">
        <v>19</v>
      </c>
      <c r="G1132" t="s">
        <v>15</v>
      </c>
      <c r="K1132" cm="1">
        <f t="array" ref="K1132">_xlfn.SWITCH(LeadsData[[#This Row],[Funnel Stage Reached]],"Lead",1,"MQL",2,"SQL",3,"Customer",4)</f>
        <v>1</v>
      </c>
      <c r="L1132" t="str">
        <f>TEXT(LeadsData[[#This Row],[Signup Date]],"mmm-yyyy")</f>
        <v>Aug-2024</v>
      </c>
      <c r="M1132">
        <f>IF(LeadsData[[#This Row],[Stage Number]]&gt;=2,1,0)</f>
        <v>0</v>
      </c>
      <c r="N1132" s="2">
        <f>IF(LeadsData[[#This Row],[Stage Number]]&gt;=3,1,0)</f>
        <v>0</v>
      </c>
      <c r="O1132" s="2">
        <f>IF(LeadsData[[#This Row],[Stage Number]]&gt;=4,1,0)</f>
        <v>0</v>
      </c>
    </row>
    <row r="1133" spans="1:15" x14ac:dyDescent="0.25">
      <c r="A1133" t="s">
        <v>1173</v>
      </c>
      <c r="B1133" s="1">
        <v>45361</v>
      </c>
      <c r="C1133" t="s">
        <v>17</v>
      </c>
      <c r="D1133" t="s">
        <v>53</v>
      </c>
      <c r="E1133" t="s">
        <v>21</v>
      </c>
      <c r="F1133" t="s">
        <v>22</v>
      </c>
      <c r="G1133" t="s">
        <v>23</v>
      </c>
      <c r="K1133" cm="1">
        <f t="array" ref="K1133">_xlfn.SWITCH(LeadsData[[#This Row],[Funnel Stage Reached]],"Lead",1,"MQL",2,"SQL",3,"Customer",4)</f>
        <v>2</v>
      </c>
      <c r="L1133" t="str">
        <f>TEXT(LeadsData[[#This Row],[Signup Date]],"mmm-yyyy")</f>
        <v>Mar-2024</v>
      </c>
      <c r="M1133">
        <f>IF(LeadsData[[#This Row],[Stage Number]]&gt;=2,1,0)</f>
        <v>1</v>
      </c>
      <c r="N1133" s="2">
        <f>IF(LeadsData[[#This Row],[Stage Number]]&gt;=3,1,0)</f>
        <v>0</v>
      </c>
      <c r="O1133" s="2">
        <f>IF(LeadsData[[#This Row],[Stage Number]]&gt;=4,1,0)</f>
        <v>0</v>
      </c>
    </row>
    <row r="1134" spans="1:15" x14ac:dyDescent="0.25">
      <c r="A1134" t="s">
        <v>1174</v>
      </c>
      <c r="B1134" s="1">
        <v>45500</v>
      </c>
      <c r="C1134" t="s">
        <v>17</v>
      </c>
      <c r="D1134" t="s">
        <v>18</v>
      </c>
      <c r="E1134" t="s">
        <v>21</v>
      </c>
      <c r="F1134" t="s">
        <v>22</v>
      </c>
      <c r="G1134" t="s">
        <v>29</v>
      </c>
      <c r="K1134" cm="1">
        <f t="array" ref="K1134">_xlfn.SWITCH(LeadsData[[#This Row],[Funnel Stage Reached]],"Lead",1,"MQL",2,"SQL",3,"Customer",4)</f>
        <v>3</v>
      </c>
      <c r="L1134" t="str">
        <f>TEXT(LeadsData[[#This Row],[Signup Date]],"mmm-yyyy")</f>
        <v>Jul-2024</v>
      </c>
      <c r="M1134">
        <f>IF(LeadsData[[#This Row],[Stage Number]]&gt;=2,1,0)</f>
        <v>1</v>
      </c>
      <c r="N1134" s="2">
        <f>IF(LeadsData[[#This Row],[Stage Number]]&gt;=3,1,0)</f>
        <v>1</v>
      </c>
      <c r="O1134" s="2">
        <f>IF(LeadsData[[#This Row],[Stage Number]]&gt;=4,1,0)</f>
        <v>0</v>
      </c>
    </row>
    <row r="1135" spans="1:15" x14ac:dyDescent="0.25">
      <c r="A1135" t="s">
        <v>1175</v>
      </c>
      <c r="B1135" s="1">
        <v>45550</v>
      </c>
      <c r="C1135" t="s">
        <v>31</v>
      </c>
      <c r="D1135" t="s">
        <v>32</v>
      </c>
      <c r="E1135" t="s">
        <v>21</v>
      </c>
      <c r="F1135" t="s">
        <v>19</v>
      </c>
      <c r="G1135" t="s">
        <v>15</v>
      </c>
      <c r="K1135" cm="1">
        <f t="array" ref="K1135">_xlfn.SWITCH(LeadsData[[#This Row],[Funnel Stage Reached]],"Lead",1,"MQL",2,"SQL",3,"Customer",4)</f>
        <v>1</v>
      </c>
      <c r="L1135" t="str">
        <f>TEXT(LeadsData[[#This Row],[Signup Date]],"mmm-yyyy")</f>
        <v>Sep-2024</v>
      </c>
      <c r="M1135">
        <f>IF(LeadsData[[#This Row],[Stage Number]]&gt;=2,1,0)</f>
        <v>0</v>
      </c>
      <c r="N1135" s="2">
        <f>IF(LeadsData[[#This Row],[Stage Number]]&gt;=3,1,0)</f>
        <v>0</v>
      </c>
      <c r="O1135" s="2">
        <f>IF(LeadsData[[#This Row],[Stage Number]]&gt;=4,1,0)</f>
        <v>0</v>
      </c>
    </row>
    <row r="1136" spans="1:15" x14ac:dyDescent="0.25">
      <c r="A1136" t="s">
        <v>1176</v>
      </c>
      <c r="B1136" s="1">
        <v>45498</v>
      </c>
      <c r="C1136" t="s">
        <v>25</v>
      </c>
      <c r="D1136" t="s">
        <v>26</v>
      </c>
      <c r="E1136" t="s">
        <v>13</v>
      </c>
      <c r="F1136" t="s">
        <v>19</v>
      </c>
      <c r="G1136" t="s">
        <v>42</v>
      </c>
      <c r="H1136">
        <v>39</v>
      </c>
      <c r="I1136" t="s">
        <v>43</v>
      </c>
      <c r="J1136">
        <v>1317</v>
      </c>
      <c r="K1136" cm="1">
        <f t="array" ref="K1136">_xlfn.SWITCH(LeadsData[[#This Row],[Funnel Stage Reached]],"Lead",1,"MQL",2,"SQL",3,"Customer",4)</f>
        <v>4</v>
      </c>
      <c r="L1136" t="str">
        <f>TEXT(LeadsData[[#This Row],[Signup Date]],"mmm-yyyy")</f>
        <v>Jul-2024</v>
      </c>
      <c r="M1136">
        <f>IF(LeadsData[[#This Row],[Stage Number]]&gt;=2,1,0)</f>
        <v>1</v>
      </c>
      <c r="N1136" s="2">
        <f>IF(LeadsData[[#This Row],[Stage Number]]&gt;=3,1,0)</f>
        <v>1</v>
      </c>
      <c r="O1136" s="2">
        <f>IF(LeadsData[[#This Row],[Stage Number]]&gt;=4,1,0)</f>
        <v>1</v>
      </c>
    </row>
    <row r="1137" spans="1:15" x14ac:dyDescent="0.25">
      <c r="A1137" t="s">
        <v>1177</v>
      </c>
      <c r="B1137" s="1">
        <v>45350</v>
      </c>
      <c r="C1137" t="s">
        <v>17</v>
      </c>
      <c r="D1137" t="s">
        <v>53</v>
      </c>
      <c r="E1137" t="s">
        <v>21</v>
      </c>
      <c r="F1137" t="s">
        <v>19</v>
      </c>
      <c r="G1137" t="s">
        <v>23</v>
      </c>
      <c r="K1137" cm="1">
        <f t="array" ref="K1137">_xlfn.SWITCH(LeadsData[[#This Row],[Funnel Stage Reached]],"Lead",1,"MQL",2,"SQL",3,"Customer",4)</f>
        <v>2</v>
      </c>
      <c r="L1137" t="str">
        <f>TEXT(LeadsData[[#This Row],[Signup Date]],"mmm-yyyy")</f>
        <v>Feb-2024</v>
      </c>
      <c r="M1137">
        <f>IF(LeadsData[[#This Row],[Stage Number]]&gt;=2,1,0)</f>
        <v>1</v>
      </c>
      <c r="N1137" s="2">
        <f>IF(LeadsData[[#This Row],[Stage Number]]&gt;=3,1,0)</f>
        <v>0</v>
      </c>
      <c r="O1137" s="2">
        <f>IF(LeadsData[[#This Row],[Stage Number]]&gt;=4,1,0)</f>
        <v>0</v>
      </c>
    </row>
    <row r="1138" spans="1:15" x14ac:dyDescent="0.25">
      <c r="A1138" t="s">
        <v>1178</v>
      </c>
      <c r="B1138" s="1">
        <v>45317</v>
      </c>
      <c r="C1138" t="s">
        <v>46</v>
      </c>
      <c r="D1138" t="s">
        <v>47</v>
      </c>
      <c r="E1138" t="s">
        <v>13</v>
      </c>
      <c r="F1138" t="s">
        <v>14</v>
      </c>
      <c r="G1138" t="s">
        <v>23</v>
      </c>
      <c r="K1138" cm="1">
        <f t="array" ref="K1138">_xlfn.SWITCH(LeadsData[[#This Row],[Funnel Stage Reached]],"Lead",1,"MQL",2,"SQL",3,"Customer",4)</f>
        <v>2</v>
      </c>
      <c r="L1138" t="str">
        <f>TEXT(LeadsData[[#This Row],[Signup Date]],"mmm-yyyy")</f>
        <v>Jan-2024</v>
      </c>
      <c r="M1138">
        <f>IF(LeadsData[[#This Row],[Stage Number]]&gt;=2,1,0)</f>
        <v>1</v>
      </c>
      <c r="N1138" s="2">
        <f>IF(LeadsData[[#This Row],[Stage Number]]&gt;=3,1,0)</f>
        <v>0</v>
      </c>
      <c r="O1138" s="2">
        <f>IF(LeadsData[[#This Row],[Stage Number]]&gt;=4,1,0)</f>
        <v>0</v>
      </c>
    </row>
    <row r="1139" spans="1:15" x14ac:dyDescent="0.25">
      <c r="A1139" t="s">
        <v>1179</v>
      </c>
      <c r="B1139" s="1">
        <v>45587</v>
      </c>
      <c r="C1139" t="s">
        <v>31</v>
      </c>
      <c r="D1139" t="s">
        <v>34</v>
      </c>
      <c r="E1139" t="s">
        <v>13</v>
      </c>
      <c r="F1139" t="s">
        <v>19</v>
      </c>
      <c r="G1139" t="s">
        <v>15</v>
      </c>
      <c r="K1139" cm="1">
        <f t="array" ref="K1139">_xlfn.SWITCH(LeadsData[[#This Row],[Funnel Stage Reached]],"Lead",1,"MQL",2,"SQL",3,"Customer",4)</f>
        <v>1</v>
      </c>
      <c r="L1139" t="str">
        <f>TEXT(LeadsData[[#This Row],[Signup Date]],"mmm-yyyy")</f>
        <v>Oct-2024</v>
      </c>
      <c r="M1139">
        <f>IF(LeadsData[[#This Row],[Stage Number]]&gt;=2,1,0)</f>
        <v>0</v>
      </c>
      <c r="N1139" s="2">
        <f>IF(LeadsData[[#This Row],[Stage Number]]&gt;=3,1,0)</f>
        <v>0</v>
      </c>
      <c r="O1139" s="2">
        <f>IF(LeadsData[[#This Row],[Stage Number]]&gt;=4,1,0)</f>
        <v>0</v>
      </c>
    </row>
    <row r="1140" spans="1:15" x14ac:dyDescent="0.25">
      <c r="A1140" t="s">
        <v>1180</v>
      </c>
      <c r="B1140" s="1">
        <v>45347</v>
      </c>
      <c r="C1140" t="s">
        <v>31</v>
      </c>
      <c r="D1140" t="s">
        <v>34</v>
      </c>
      <c r="E1140" t="s">
        <v>21</v>
      </c>
      <c r="F1140" t="s">
        <v>22</v>
      </c>
      <c r="G1140" t="s">
        <v>29</v>
      </c>
      <c r="K1140" cm="1">
        <f t="array" ref="K1140">_xlfn.SWITCH(LeadsData[[#This Row],[Funnel Stage Reached]],"Lead",1,"MQL",2,"SQL",3,"Customer",4)</f>
        <v>3</v>
      </c>
      <c r="L1140" t="str">
        <f>TEXT(LeadsData[[#This Row],[Signup Date]],"mmm-yyyy")</f>
        <v>Feb-2024</v>
      </c>
      <c r="M1140">
        <f>IF(LeadsData[[#This Row],[Stage Number]]&gt;=2,1,0)</f>
        <v>1</v>
      </c>
      <c r="N1140" s="2">
        <f>IF(LeadsData[[#This Row],[Stage Number]]&gt;=3,1,0)</f>
        <v>1</v>
      </c>
      <c r="O1140" s="2">
        <f>IF(LeadsData[[#This Row],[Stage Number]]&gt;=4,1,0)</f>
        <v>0</v>
      </c>
    </row>
    <row r="1141" spans="1:15" x14ac:dyDescent="0.25">
      <c r="A1141" t="s">
        <v>1181</v>
      </c>
      <c r="B1141" s="1">
        <v>45517</v>
      </c>
      <c r="C1141" t="s">
        <v>31</v>
      </c>
      <c r="D1141" t="s">
        <v>34</v>
      </c>
      <c r="E1141" t="s">
        <v>13</v>
      </c>
      <c r="F1141" t="s">
        <v>22</v>
      </c>
      <c r="G1141" t="s">
        <v>23</v>
      </c>
      <c r="K1141" cm="1">
        <f t="array" ref="K1141">_xlfn.SWITCH(LeadsData[[#This Row],[Funnel Stage Reached]],"Lead",1,"MQL",2,"SQL",3,"Customer",4)</f>
        <v>2</v>
      </c>
      <c r="L1141" t="str">
        <f>TEXT(LeadsData[[#This Row],[Signup Date]],"mmm-yyyy")</f>
        <v>Aug-2024</v>
      </c>
      <c r="M1141">
        <f>IF(LeadsData[[#This Row],[Stage Number]]&gt;=2,1,0)</f>
        <v>1</v>
      </c>
      <c r="N1141" s="2">
        <f>IF(LeadsData[[#This Row],[Stage Number]]&gt;=3,1,0)</f>
        <v>0</v>
      </c>
      <c r="O1141" s="2">
        <f>IF(LeadsData[[#This Row],[Stage Number]]&gt;=4,1,0)</f>
        <v>0</v>
      </c>
    </row>
    <row r="1142" spans="1:15" x14ac:dyDescent="0.25">
      <c r="A1142" t="s">
        <v>1182</v>
      </c>
      <c r="B1142" s="1">
        <v>45547</v>
      </c>
      <c r="C1142" t="s">
        <v>31</v>
      </c>
      <c r="D1142" t="s">
        <v>32</v>
      </c>
      <c r="E1142" t="s">
        <v>13</v>
      </c>
      <c r="F1142" t="s">
        <v>14</v>
      </c>
      <c r="G1142" t="s">
        <v>29</v>
      </c>
      <c r="K1142" cm="1">
        <f t="array" ref="K1142">_xlfn.SWITCH(LeadsData[[#This Row],[Funnel Stage Reached]],"Lead",1,"MQL",2,"SQL",3,"Customer",4)</f>
        <v>3</v>
      </c>
      <c r="L1142" t="str">
        <f>TEXT(LeadsData[[#This Row],[Signup Date]],"mmm-yyyy")</f>
        <v>Sep-2024</v>
      </c>
      <c r="M1142">
        <f>IF(LeadsData[[#This Row],[Stage Number]]&gt;=2,1,0)</f>
        <v>1</v>
      </c>
      <c r="N1142" s="2">
        <f>IF(LeadsData[[#This Row],[Stage Number]]&gt;=3,1,0)</f>
        <v>1</v>
      </c>
      <c r="O1142" s="2">
        <f>IF(LeadsData[[#This Row],[Stage Number]]&gt;=4,1,0)</f>
        <v>0</v>
      </c>
    </row>
    <row r="1143" spans="1:15" x14ac:dyDescent="0.25">
      <c r="A1143" t="s">
        <v>1183</v>
      </c>
      <c r="B1143" s="1">
        <v>45457</v>
      </c>
      <c r="C1143" t="s">
        <v>46</v>
      </c>
      <c r="D1143" t="s">
        <v>47</v>
      </c>
      <c r="E1143" t="s">
        <v>21</v>
      </c>
      <c r="F1143" t="s">
        <v>22</v>
      </c>
      <c r="G1143" t="s">
        <v>15</v>
      </c>
      <c r="K1143" cm="1">
        <f t="array" ref="K1143">_xlfn.SWITCH(LeadsData[[#This Row],[Funnel Stage Reached]],"Lead",1,"MQL",2,"SQL",3,"Customer",4)</f>
        <v>1</v>
      </c>
      <c r="L1143" t="str">
        <f>TEXT(LeadsData[[#This Row],[Signup Date]],"mmm-yyyy")</f>
        <v>Jun-2024</v>
      </c>
      <c r="M1143">
        <f>IF(LeadsData[[#This Row],[Stage Number]]&gt;=2,1,0)</f>
        <v>0</v>
      </c>
      <c r="N1143" s="2">
        <f>IF(LeadsData[[#This Row],[Stage Number]]&gt;=3,1,0)</f>
        <v>0</v>
      </c>
      <c r="O1143" s="2">
        <f>IF(LeadsData[[#This Row],[Stage Number]]&gt;=4,1,0)</f>
        <v>0</v>
      </c>
    </row>
    <row r="1144" spans="1:15" x14ac:dyDescent="0.25">
      <c r="A1144" t="s">
        <v>1184</v>
      </c>
      <c r="B1144" s="1">
        <v>45509</v>
      </c>
      <c r="C1144" t="s">
        <v>36</v>
      </c>
      <c r="D1144" t="s">
        <v>50</v>
      </c>
      <c r="E1144" t="s">
        <v>21</v>
      </c>
      <c r="F1144" t="s">
        <v>19</v>
      </c>
      <c r="G1144" t="s">
        <v>15</v>
      </c>
      <c r="K1144" cm="1">
        <f t="array" ref="K1144">_xlfn.SWITCH(LeadsData[[#This Row],[Funnel Stage Reached]],"Lead",1,"MQL",2,"SQL",3,"Customer",4)</f>
        <v>1</v>
      </c>
      <c r="L1144" t="str">
        <f>TEXT(LeadsData[[#This Row],[Signup Date]],"mmm-yyyy")</f>
        <v>Aug-2024</v>
      </c>
      <c r="M1144">
        <f>IF(LeadsData[[#This Row],[Stage Number]]&gt;=2,1,0)</f>
        <v>0</v>
      </c>
      <c r="N1144" s="2">
        <f>IF(LeadsData[[#This Row],[Stage Number]]&gt;=3,1,0)</f>
        <v>0</v>
      </c>
      <c r="O1144" s="2">
        <f>IF(LeadsData[[#This Row],[Stage Number]]&gt;=4,1,0)</f>
        <v>0</v>
      </c>
    </row>
    <row r="1145" spans="1:15" x14ac:dyDescent="0.25">
      <c r="A1145" t="s">
        <v>1185</v>
      </c>
      <c r="B1145" s="1">
        <v>45499</v>
      </c>
      <c r="C1145" t="s">
        <v>31</v>
      </c>
      <c r="D1145" t="s">
        <v>32</v>
      </c>
      <c r="E1145" t="s">
        <v>21</v>
      </c>
      <c r="F1145" t="s">
        <v>19</v>
      </c>
      <c r="G1145" t="s">
        <v>15</v>
      </c>
      <c r="K1145" cm="1">
        <f t="array" ref="K1145">_xlfn.SWITCH(LeadsData[[#This Row],[Funnel Stage Reached]],"Lead",1,"MQL",2,"SQL",3,"Customer",4)</f>
        <v>1</v>
      </c>
      <c r="L1145" t="str">
        <f>TEXT(LeadsData[[#This Row],[Signup Date]],"mmm-yyyy")</f>
        <v>Jul-2024</v>
      </c>
      <c r="M1145">
        <f>IF(LeadsData[[#This Row],[Stage Number]]&gt;=2,1,0)</f>
        <v>0</v>
      </c>
      <c r="N1145" s="2">
        <f>IF(LeadsData[[#This Row],[Stage Number]]&gt;=3,1,0)</f>
        <v>0</v>
      </c>
      <c r="O1145" s="2">
        <f>IF(LeadsData[[#This Row],[Stage Number]]&gt;=4,1,0)</f>
        <v>0</v>
      </c>
    </row>
    <row r="1146" spans="1:15" x14ac:dyDescent="0.25">
      <c r="A1146" t="s">
        <v>1186</v>
      </c>
      <c r="B1146" s="1">
        <v>45387</v>
      </c>
      <c r="C1146" t="s">
        <v>17</v>
      </c>
      <c r="D1146" t="s">
        <v>53</v>
      </c>
      <c r="E1146" t="s">
        <v>13</v>
      </c>
      <c r="F1146" t="s">
        <v>14</v>
      </c>
      <c r="G1146" t="s">
        <v>15</v>
      </c>
      <c r="K1146" cm="1">
        <f t="array" ref="K1146">_xlfn.SWITCH(LeadsData[[#This Row],[Funnel Stage Reached]],"Lead",1,"MQL",2,"SQL",3,"Customer",4)</f>
        <v>1</v>
      </c>
      <c r="L1146" t="str">
        <f>TEXT(LeadsData[[#This Row],[Signup Date]],"mmm-yyyy")</f>
        <v>Apr-2024</v>
      </c>
      <c r="M1146">
        <f>IF(LeadsData[[#This Row],[Stage Number]]&gt;=2,1,0)</f>
        <v>0</v>
      </c>
      <c r="N1146" s="2">
        <f>IF(LeadsData[[#This Row],[Stage Number]]&gt;=3,1,0)</f>
        <v>0</v>
      </c>
      <c r="O1146" s="2">
        <f>IF(LeadsData[[#This Row],[Stage Number]]&gt;=4,1,0)</f>
        <v>0</v>
      </c>
    </row>
    <row r="1147" spans="1:15" x14ac:dyDescent="0.25">
      <c r="A1147" t="s">
        <v>1187</v>
      </c>
      <c r="B1147" s="1">
        <v>45609</v>
      </c>
      <c r="C1147" t="s">
        <v>31</v>
      </c>
      <c r="D1147" t="s">
        <v>32</v>
      </c>
      <c r="E1147" t="s">
        <v>48</v>
      </c>
      <c r="F1147" t="s">
        <v>19</v>
      </c>
      <c r="G1147" t="s">
        <v>23</v>
      </c>
      <c r="K1147" cm="1">
        <f t="array" ref="K1147">_xlfn.SWITCH(LeadsData[[#This Row],[Funnel Stage Reached]],"Lead",1,"MQL",2,"SQL",3,"Customer",4)</f>
        <v>2</v>
      </c>
      <c r="L1147" t="str">
        <f>TEXT(LeadsData[[#This Row],[Signup Date]],"mmm-yyyy")</f>
        <v>Nov-2024</v>
      </c>
      <c r="M1147">
        <f>IF(LeadsData[[#This Row],[Stage Number]]&gt;=2,1,0)</f>
        <v>1</v>
      </c>
      <c r="N1147" s="2">
        <f>IF(LeadsData[[#This Row],[Stage Number]]&gt;=3,1,0)</f>
        <v>0</v>
      </c>
      <c r="O1147" s="2">
        <f>IF(LeadsData[[#This Row],[Stage Number]]&gt;=4,1,0)</f>
        <v>0</v>
      </c>
    </row>
    <row r="1148" spans="1:15" x14ac:dyDescent="0.25">
      <c r="A1148" t="s">
        <v>1188</v>
      </c>
      <c r="B1148" s="1">
        <v>45652</v>
      </c>
      <c r="C1148" t="s">
        <v>17</v>
      </c>
      <c r="D1148" t="s">
        <v>53</v>
      </c>
      <c r="E1148" t="s">
        <v>13</v>
      </c>
      <c r="F1148" t="s">
        <v>19</v>
      </c>
      <c r="G1148" t="s">
        <v>29</v>
      </c>
      <c r="K1148" cm="1">
        <f t="array" ref="K1148">_xlfn.SWITCH(LeadsData[[#This Row],[Funnel Stage Reached]],"Lead",1,"MQL",2,"SQL",3,"Customer",4)</f>
        <v>3</v>
      </c>
      <c r="L1148" t="str">
        <f>TEXT(LeadsData[[#This Row],[Signup Date]],"mmm-yyyy")</f>
        <v>Dec-2024</v>
      </c>
      <c r="M1148">
        <f>IF(LeadsData[[#This Row],[Stage Number]]&gt;=2,1,0)</f>
        <v>1</v>
      </c>
      <c r="N1148" s="2">
        <f>IF(LeadsData[[#This Row],[Stage Number]]&gt;=3,1,0)</f>
        <v>1</v>
      </c>
      <c r="O1148" s="2">
        <f>IF(LeadsData[[#This Row],[Stage Number]]&gt;=4,1,0)</f>
        <v>0</v>
      </c>
    </row>
    <row r="1149" spans="1:15" x14ac:dyDescent="0.25">
      <c r="A1149" t="s">
        <v>1189</v>
      </c>
      <c r="B1149" s="1">
        <v>45532</v>
      </c>
      <c r="C1149" t="s">
        <v>36</v>
      </c>
      <c r="D1149" t="s">
        <v>50</v>
      </c>
      <c r="E1149" t="s">
        <v>21</v>
      </c>
      <c r="F1149" t="s">
        <v>14</v>
      </c>
      <c r="G1149" t="s">
        <v>23</v>
      </c>
      <c r="K1149" cm="1">
        <f t="array" ref="K1149">_xlfn.SWITCH(LeadsData[[#This Row],[Funnel Stage Reached]],"Lead",1,"MQL",2,"SQL",3,"Customer",4)</f>
        <v>2</v>
      </c>
      <c r="L1149" t="str">
        <f>TEXT(LeadsData[[#This Row],[Signup Date]],"mmm-yyyy")</f>
        <v>Aug-2024</v>
      </c>
      <c r="M1149">
        <f>IF(LeadsData[[#This Row],[Stage Number]]&gt;=2,1,0)</f>
        <v>1</v>
      </c>
      <c r="N1149" s="2">
        <f>IF(LeadsData[[#This Row],[Stage Number]]&gt;=3,1,0)</f>
        <v>0</v>
      </c>
      <c r="O1149" s="2">
        <f>IF(LeadsData[[#This Row],[Stage Number]]&gt;=4,1,0)</f>
        <v>0</v>
      </c>
    </row>
    <row r="1150" spans="1:15" x14ac:dyDescent="0.25">
      <c r="A1150" t="s">
        <v>1190</v>
      </c>
      <c r="B1150" s="1">
        <v>45621</v>
      </c>
      <c r="C1150" t="s">
        <v>36</v>
      </c>
      <c r="D1150" t="s">
        <v>37</v>
      </c>
      <c r="E1150" t="s">
        <v>48</v>
      </c>
      <c r="F1150" t="s">
        <v>19</v>
      </c>
      <c r="G1150" t="s">
        <v>23</v>
      </c>
      <c r="K1150" cm="1">
        <f t="array" ref="K1150">_xlfn.SWITCH(LeadsData[[#This Row],[Funnel Stage Reached]],"Lead",1,"MQL",2,"SQL",3,"Customer",4)</f>
        <v>2</v>
      </c>
      <c r="L1150" t="str">
        <f>TEXT(LeadsData[[#This Row],[Signup Date]],"mmm-yyyy")</f>
        <v>Nov-2024</v>
      </c>
      <c r="M1150">
        <f>IF(LeadsData[[#This Row],[Stage Number]]&gt;=2,1,0)</f>
        <v>1</v>
      </c>
      <c r="N1150" s="2">
        <f>IF(LeadsData[[#This Row],[Stage Number]]&gt;=3,1,0)</f>
        <v>0</v>
      </c>
      <c r="O1150" s="2">
        <f>IF(LeadsData[[#This Row],[Stage Number]]&gt;=4,1,0)</f>
        <v>0</v>
      </c>
    </row>
    <row r="1151" spans="1:15" x14ac:dyDescent="0.25">
      <c r="A1151" t="s">
        <v>1191</v>
      </c>
      <c r="B1151" s="1">
        <v>45510</v>
      </c>
      <c r="C1151" t="s">
        <v>25</v>
      </c>
      <c r="D1151" t="s">
        <v>26</v>
      </c>
      <c r="E1151" t="s">
        <v>21</v>
      </c>
      <c r="F1151" t="s">
        <v>19</v>
      </c>
      <c r="G1151" t="s">
        <v>15</v>
      </c>
      <c r="K1151" cm="1">
        <f t="array" ref="K1151">_xlfn.SWITCH(LeadsData[[#This Row],[Funnel Stage Reached]],"Lead",1,"MQL",2,"SQL",3,"Customer",4)</f>
        <v>1</v>
      </c>
      <c r="L1151" t="str">
        <f>TEXT(LeadsData[[#This Row],[Signup Date]],"mmm-yyyy")</f>
        <v>Aug-2024</v>
      </c>
      <c r="M1151">
        <f>IF(LeadsData[[#This Row],[Stage Number]]&gt;=2,1,0)</f>
        <v>0</v>
      </c>
      <c r="N1151" s="2">
        <f>IF(LeadsData[[#This Row],[Stage Number]]&gt;=3,1,0)</f>
        <v>0</v>
      </c>
      <c r="O1151" s="2">
        <f>IF(LeadsData[[#This Row],[Stage Number]]&gt;=4,1,0)</f>
        <v>0</v>
      </c>
    </row>
    <row r="1152" spans="1:15" x14ac:dyDescent="0.25">
      <c r="A1152" t="s">
        <v>1192</v>
      </c>
      <c r="B1152" s="1">
        <v>45529</v>
      </c>
      <c r="C1152" t="s">
        <v>46</v>
      </c>
      <c r="D1152" t="s">
        <v>47</v>
      </c>
      <c r="E1152" t="s">
        <v>13</v>
      </c>
      <c r="F1152" t="s">
        <v>28</v>
      </c>
      <c r="G1152" t="s">
        <v>15</v>
      </c>
      <c r="K1152" cm="1">
        <f t="array" ref="K1152">_xlfn.SWITCH(LeadsData[[#This Row],[Funnel Stage Reached]],"Lead",1,"MQL",2,"SQL",3,"Customer",4)</f>
        <v>1</v>
      </c>
      <c r="L1152" t="str">
        <f>TEXT(LeadsData[[#This Row],[Signup Date]],"mmm-yyyy")</f>
        <v>Aug-2024</v>
      </c>
      <c r="M1152">
        <f>IF(LeadsData[[#This Row],[Stage Number]]&gt;=2,1,0)</f>
        <v>0</v>
      </c>
      <c r="N1152" s="2">
        <f>IF(LeadsData[[#This Row],[Stage Number]]&gt;=3,1,0)</f>
        <v>0</v>
      </c>
      <c r="O1152" s="2">
        <f>IF(LeadsData[[#This Row],[Stage Number]]&gt;=4,1,0)</f>
        <v>0</v>
      </c>
    </row>
    <row r="1153" spans="1:15" x14ac:dyDescent="0.25">
      <c r="A1153" t="s">
        <v>1193</v>
      </c>
      <c r="B1153" s="1">
        <v>45309</v>
      </c>
      <c r="C1153" t="s">
        <v>36</v>
      </c>
      <c r="D1153" t="s">
        <v>50</v>
      </c>
      <c r="E1153" t="s">
        <v>13</v>
      </c>
      <c r="F1153" t="s">
        <v>19</v>
      </c>
      <c r="G1153" t="s">
        <v>15</v>
      </c>
      <c r="K1153" cm="1">
        <f t="array" ref="K1153">_xlfn.SWITCH(LeadsData[[#This Row],[Funnel Stage Reached]],"Lead",1,"MQL",2,"SQL",3,"Customer",4)</f>
        <v>1</v>
      </c>
      <c r="L1153" t="str">
        <f>TEXT(LeadsData[[#This Row],[Signup Date]],"mmm-yyyy")</f>
        <v>Jan-2024</v>
      </c>
      <c r="M1153">
        <f>IF(LeadsData[[#This Row],[Stage Number]]&gt;=2,1,0)</f>
        <v>0</v>
      </c>
      <c r="N1153" s="2">
        <f>IF(LeadsData[[#This Row],[Stage Number]]&gt;=3,1,0)</f>
        <v>0</v>
      </c>
      <c r="O1153" s="2">
        <f>IF(LeadsData[[#This Row],[Stage Number]]&gt;=4,1,0)</f>
        <v>0</v>
      </c>
    </row>
    <row r="1154" spans="1:15" x14ac:dyDescent="0.25">
      <c r="A1154" t="s">
        <v>1194</v>
      </c>
      <c r="B1154" s="1">
        <v>45586</v>
      </c>
      <c r="C1154" t="s">
        <v>17</v>
      </c>
      <c r="D1154" t="s">
        <v>18</v>
      </c>
      <c r="E1154" t="s">
        <v>21</v>
      </c>
      <c r="F1154" t="s">
        <v>14</v>
      </c>
      <c r="G1154" t="s">
        <v>15</v>
      </c>
      <c r="K1154" cm="1">
        <f t="array" ref="K1154">_xlfn.SWITCH(LeadsData[[#This Row],[Funnel Stage Reached]],"Lead",1,"MQL",2,"SQL",3,"Customer",4)</f>
        <v>1</v>
      </c>
      <c r="L1154" t="str">
        <f>TEXT(LeadsData[[#This Row],[Signup Date]],"mmm-yyyy")</f>
        <v>Oct-2024</v>
      </c>
      <c r="M1154">
        <f>IF(LeadsData[[#This Row],[Stage Number]]&gt;=2,1,0)</f>
        <v>0</v>
      </c>
      <c r="N1154" s="2">
        <f>IF(LeadsData[[#This Row],[Stage Number]]&gt;=3,1,0)</f>
        <v>0</v>
      </c>
      <c r="O1154" s="2">
        <f>IF(LeadsData[[#This Row],[Stage Number]]&gt;=4,1,0)</f>
        <v>0</v>
      </c>
    </row>
    <row r="1155" spans="1:15" x14ac:dyDescent="0.25">
      <c r="A1155" t="s">
        <v>1195</v>
      </c>
      <c r="B1155" s="1">
        <v>45343</v>
      </c>
      <c r="C1155" t="s">
        <v>46</v>
      </c>
      <c r="D1155" t="s">
        <v>56</v>
      </c>
      <c r="E1155" t="s">
        <v>13</v>
      </c>
      <c r="F1155" t="s">
        <v>19</v>
      </c>
      <c r="G1155" t="s">
        <v>42</v>
      </c>
      <c r="H1155">
        <v>21</v>
      </c>
      <c r="I1155" t="s">
        <v>43</v>
      </c>
      <c r="J1155">
        <v>897.47</v>
      </c>
      <c r="K1155" cm="1">
        <f t="array" ref="K1155">_xlfn.SWITCH(LeadsData[[#This Row],[Funnel Stage Reached]],"Lead",1,"MQL",2,"SQL",3,"Customer",4)</f>
        <v>4</v>
      </c>
      <c r="L1155" t="str">
        <f>TEXT(LeadsData[[#This Row],[Signup Date]],"mmm-yyyy")</f>
        <v>Feb-2024</v>
      </c>
      <c r="M1155">
        <f>IF(LeadsData[[#This Row],[Stage Number]]&gt;=2,1,0)</f>
        <v>1</v>
      </c>
      <c r="N1155" s="2">
        <f>IF(LeadsData[[#This Row],[Stage Number]]&gt;=3,1,0)</f>
        <v>1</v>
      </c>
      <c r="O1155" s="2">
        <f>IF(LeadsData[[#This Row],[Stage Number]]&gt;=4,1,0)</f>
        <v>1</v>
      </c>
    </row>
    <row r="1156" spans="1:15" x14ac:dyDescent="0.25">
      <c r="A1156" t="s">
        <v>1196</v>
      </c>
      <c r="B1156" s="1">
        <v>45390</v>
      </c>
      <c r="C1156" t="s">
        <v>46</v>
      </c>
      <c r="D1156" t="s">
        <v>47</v>
      </c>
      <c r="E1156" t="s">
        <v>13</v>
      </c>
      <c r="F1156" t="s">
        <v>14</v>
      </c>
      <c r="G1156" t="s">
        <v>15</v>
      </c>
      <c r="K1156" cm="1">
        <f t="array" ref="K1156">_xlfn.SWITCH(LeadsData[[#This Row],[Funnel Stage Reached]],"Lead",1,"MQL",2,"SQL",3,"Customer",4)</f>
        <v>1</v>
      </c>
      <c r="L1156" t="str">
        <f>TEXT(LeadsData[[#This Row],[Signup Date]],"mmm-yyyy")</f>
        <v>Apr-2024</v>
      </c>
      <c r="M1156">
        <f>IF(LeadsData[[#This Row],[Stage Number]]&gt;=2,1,0)</f>
        <v>0</v>
      </c>
      <c r="N1156" s="2">
        <f>IF(LeadsData[[#This Row],[Stage Number]]&gt;=3,1,0)</f>
        <v>0</v>
      </c>
      <c r="O1156" s="2">
        <f>IF(LeadsData[[#This Row],[Stage Number]]&gt;=4,1,0)</f>
        <v>0</v>
      </c>
    </row>
    <row r="1157" spans="1:15" x14ac:dyDescent="0.25">
      <c r="A1157" t="s">
        <v>1197</v>
      </c>
      <c r="B1157" s="1">
        <v>45620</v>
      </c>
      <c r="C1157" t="s">
        <v>17</v>
      </c>
      <c r="D1157" t="s">
        <v>53</v>
      </c>
      <c r="E1157" t="s">
        <v>13</v>
      </c>
      <c r="F1157" t="s">
        <v>28</v>
      </c>
      <c r="G1157" t="s">
        <v>15</v>
      </c>
      <c r="K1157" cm="1">
        <f t="array" ref="K1157">_xlfn.SWITCH(LeadsData[[#This Row],[Funnel Stage Reached]],"Lead",1,"MQL",2,"SQL",3,"Customer",4)</f>
        <v>1</v>
      </c>
      <c r="L1157" t="str">
        <f>TEXT(LeadsData[[#This Row],[Signup Date]],"mmm-yyyy")</f>
        <v>Nov-2024</v>
      </c>
      <c r="M1157">
        <f>IF(LeadsData[[#This Row],[Stage Number]]&gt;=2,1,0)</f>
        <v>0</v>
      </c>
      <c r="N1157" s="2">
        <f>IF(LeadsData[[#This Row],[Stage Number]]&gt;=3,1,0)</f>
        <v>0</v>
      </c>
      <c r="O1157" s="2">
        <f>IF(LeadsData[[#This Row],[Stage Number]]&gt;=4,1,0)</f>
        <v>0</v>
      </c>
    </row>
    <row r="1158" spans="1:15" x14ac:dyDescent="0.25">
      <c r="A1158" t="s">
        <v>1198</v>
      </c>
      <c r="B1158" s="1">
        <v>45634</v>
      </c>
      <c r="C1158" t="s">
        <v>17</v>
      </c>
      <c r="D1158" t="s">
        <v>18</v>
      </c>
      <c r="E1158" t="s">
        <v>48</v>
      </c>
      <c r="F1158" t="s">
        <v>19</v>
      </c>
      <c r="G1158" t="s">
        <v>15</v>
      </c>
      <c r="K1158" cm="1">
        <f t="array" ref="K1158">_xlfn.SWITCH(LeadsData[[#This Row],[Funnel Stage Reached]],"Lead",1,"MQL",2,"SQL",3,"Customer",4)</f>
        <v>1</v>
      </c>
      <c r="L1158" t="str">
        <f>TEXT(LeadsData[[#This Row],[Signup Date]],"mmm-yyyy")</f>
        <v>Dec-2024</v>
      </c>
      <c r="M1158">
        <f>IF(LeadsData[[#This Row],[Stage Number]]&gt;=2,1,0)</f>
        <v>0</v>
      </c>
      <c r="N1158" s="2">
        <f>IF(LeadsData[[#This Row],[Stage Number]]&gt;=3,1,0)</f>
        <v>0</v>
      </c>
      <c r="O1158" s="2">
        <f>IF(LeadsData[[#This Row],[Stage Number]]&gt;=4,1,0)</f>
        <v>0</v>
      </c>
    </row>
    <row r="1159" spans="1:15" x14ac:dyDescent="0.25">
      <c r="A1159" t="s">
        <v>1199</v>
      </c>
      <c r="B1159" s="1">
        <v>45386</v>
      </c>
      <c r="C1159" t="s">
        <v>25</v>
      </c>
      <c r="D1159" t="s">
        <v>26</v>
      </c>
      <c r="E1159" t="s">
        <v>13</v>
      </c>
      <c r="F1159" t="s">
        <v>19</v>
      </c>
      <c r="G1159" t="s">
        <v>23</v>
      </c>
      <c r="K1159" cm="1">
        <f t="array" ref="K1159">_xlfn.SWITCH(LeadsData[[#This Row],[Funnel Stage Reached]],"Lead",1,"MQL",2,"SQL",3,"Customer",4)</f>
        <v>2</v>
      </c>
      <c r="L1159" t="str">
        <f>TEXT(LeadsData[[#This Row],[Signup Date]],"mmm-yyyy")</f>
        <v>Apr-2024</v>
      </c>
      <c r="M1159">
        <f>IF(LeadsData[[#This Row],[Stage Number]]&gt;=2,1,0)</f>
        <v>1</v>
      </c>
      <c r="N1159" s="2">
        <f>IF(LeadsData[[#This Row],[Stage Number]]&gt;=3,1,0)</f>
        <v>0</v>
      </c>
      <c r="O1159" s="2">
        <f>IF(LeadsData[[#This Row],[Stage Number]]&gt;=4,1,0)</f>
        <v>0</v>
      </c>
    </row>
    <row r="1160" spans="1:15" x14ac:dyDescent="0.25">
      <c r="A1160" t="s">
        <v>1200</v>
      </c>
      <c r="B1160" s="1">
        <v>45623</v>
      </c>
      <c r="C1160" t="s">
        <v>46</v>
      </c>
      <c r="D1160" t="s">
        <v>47</v>
      </c>
      <c r="E1160" t="s">
        <v>13</v>
      </c>
      <c r="F1160" t="s">
        <v>14</v>
      </c>
      <c r="G1160" t="s">
        <v>23</v>
      </c>
      <c r="K1160" cm="1">
        <f t="array" ref="K1160">_xlfn.SWITCH(LeadsData[[#This Row],[Funnel Stage Reached]],"Lead",1,"MQL",2,"SQL",3,"Customer",4)</f>
        <v>2</v>
      </c>
      <c r="L1160" t="str">
        <f>TEXT(LeadsData[[#This Row],[Signup Date]],"mmm-yyyy")</f>
        <v>Nov-2024</v>
      </c>
      <c r="M1160">
        <f>IF(LeadsData[[#This Row],[Stage Number]]&gt;=2,1,0)</f>
        <v>1</v>
      </c>
      <c r="N1160" s="2">
        <f>IF(LeadsData[[#This Row],[Stage Number]]&gt;=3,1,0)</f>
        <v>0</v>
      </c>
      <c r="O1160" s="2">
        <f>IF(LeadsData[[#This Row],[Stage Number]]&gt;=4,1,0)</f>
        <v>0</v>
      </c>
    </row>
    <row r="1161" spans="1:15" x14ac:dyDescent="0.25">
      <c r="A1161" t="s">
        <v>1201</v>
      </c>
      <c r="B1161" s="1">
        <v>45551</v>
      </c>
      <c r="C1161" t="s">
        <v>46</v>
      </c>
      <c r="D1161" t="s">
        <v>47</v>
      </c>
      <c r="E1161" t="s">
        <v>13</v>
      </c>
      <c r="F1161" t="s">
        <v>22</v>
      </c>
      <c r="G1161" t="s">
        <v>15</v>
      </c>
      <c r="K1161" cm="1">
        <f t="array" ref="K1161">_xlfn.SWITCH(LeadsData[[#This Row],[Funnel Stage Reached]],"Lead",1,"MQL",2,"SQL",3,"Customer",4)</f>
        <v>1</v>
      </c>
      <c r="L1161" t="str">
        <f>TEXT(LeadsData[[#This Row],[Signup Date]],"mmm-yyyy")</f>
        <v>Sep-2024</v>
      </c>
      <c r="M1161">
        <f>IF(LeadsData[[#This Row],[Stage Number]]&gt;=2,1,0)</f>
        <v>0</v>
      </c>
      <c r="N1161" s="2">
        <f>IF(LeadsData[[#This Row],[Stage Number]]&gt;=3,1,0)</f>
        <v>0</v>
      </c>
      <c r="O1161" s="2">
        <f>IF(LeadsData[[#This Row],[Stage Number]]&gt;=4,1,0)</f>
        <v>0</v>
      </c>
    </row>
    <row r="1162" spans="1:15" x14ac:dyDescent="0.25">
      <c r="A1162" t="s">
        <v>1202</v>
      </c>
      <c r="B1162" s="1">
        <v>45629</v>
      </c>
      <c r="C1162" t="s">
        <v>17</v>
      </c>
      <c r="D1162" t="s">
        <v>53</v>
      </c>
      <c r="E1162" t="s">
        <v>13</v>
      </c>
      <c r="F1162" t="s">
        <v>14</v>
      </c>
      <c r="G1162" t="s">
        <v>23</v>
      </c>
      <c r="K1162" cm="1">
        <f t="array" ref="K1162">_xlfn.SWITCH(LeadsData[[#This Row],[Funnel Stage Reached]],"Lead",1,"MQL",2,"SQL",3,"Customer",4)</f>
        <v>2</v>
      </c>
      <c r="L1162" t="str">
        <f>TEXT(LeadsData[[#This Row],[Signup Date]],"mmm-yyyy")</f>
        <v>Dec-2024</v>
      </c>
      <c r="M1162">
        <f>IF(LeadsData[[#This Row],[Stage Number]]&gt;=2,1,0)</f>
        <v>1</v>
      </c>
      <c r="N1162" s="2">
        <f>IF(LeadsData[[#This Row],[Stage Number]]&gt;=3,1,0)</f>
        <v>0</v>
      </c>
      <c r="O1162" s="2">
        <f>IF(LeadsData[[#This Row],[Stage Number]]&gt;=4,1,0)</f>
        <v>0</v>
      </c>
    </row>
    <row r="1163" spans="1:15" x14ac:dyDescent="0.25">
      <c r="A1163" t="s">
        <v>1203</v>
      </c>
      <c r="B1163" s="1">
        <v>45425</v>
      </c>
      <c r="C1163" t="s">
        <v>11</v>
      </c>
      <c r="D1163" t="s">
        <v>79</v>
      </c>
      <c r="E1163" t="s">
        <v>13</v>
      </c>
      <c r="F1163" t="s">
        <v>22</v>
      </c>
      <c r="G1163" t="s">
        <v>23</v>
      </c>
      <c r="K1163" cm="1">
        <f t="array" ref="K1163">_xlfn.SWITCH(LeadsData[[#This Row],[Funnel Stage Reached]],"Lead",1,"MQL",2,"SQL",3,"Customer",4)</f>
        <v>2</v>
      </c>
      <c r="L1163" t="str">
        <f>TEXT(LeadsData[[#This Row],[Signup Date]],"mmm-yyyy")</f>
        <v>May-2024</v>
      </c>
      <c r="M1163">
        <f>IF(LeadsData[[#This Row],[Stage Number]]&gt;=2,1,0)</f>
        <v>1</v>
      </c>
      <c r="N1163" s="2">
        <f>IF(LeadsData[[#This Row],[Stage Number]]&gt;=3,1,0)</f>
        <v>0</v>
      </c>
      <c r="O1163" s="2">
        <f>IF(LeadsData[[#This Row],[Stage Number]]&gt;=4,1,0)</f>
        <v>0</v>
      </c>
    </row>
    <row r="1164" spans="1:15" x14ac:dyDescent="0.25">
      <c r="A1164" t="s">
        <v>1204</v>
      </c>
      <c r="B1164" s="1">
        <v>45391</v>
      </c>
      <c r="C1164" t="s">
        <v>46</v>
      </c>
      <c r="D1164" t="s">
        <v>56</v>
      </c>
      <c r="E1164" t="s">
        <v>13</v>
      </c>
      <c r="F1164" t="s">
        <v>19</v>
      </c>
      <c r="G1164" t="s">
        <v>23</v>
      </c>
      <c r="K1164" cm="1">
        <f t="array" ref="K1164">_xlfn.SWITCH(LeadsData[[#This Row],[Funnel Stage Reached]],"Lead",1,"MQL",2,"SQL",3,"Customer",4)</f>
        <v>2</v>
      </c>
      <c r="L1164" t="str">
        <f>TEXT(LeadsData[[#This Row],[Signup Date]],"mmm-yyyy")</f>
        <v>Apr-2024</v>
      </c>
      <c r="M1164">
        <f>IF(LeadsData[[#This Row],[Stage Number]]&gt;=2,1,0)</f>
        <v>1</v>
      </c>
      <c r="N1164" s="2">
        <f>IF(LeadsData[[#This Row],[Stage Number]]&gt;=3,1,0)</f>
        <v>0</v>
      </c>
      <c r="O1164" s="2">
        <f>IF(LeadsData[[#This Row],[Stage Number]]&gt;=4,1,0)</f>
        <v>0</v>
      </c>
    </row>
    <row r="1165" spans="1:15" x14ac:dyDescent="0.25">
      <c r="A1165" t="s">
        <v>1205</v>
      </c>
      <c r="B1165" s="1">
        <v>45574</v>
      </c>
      <c r="C1165" t="s">
        <v>31</v>
      </c>
      <c r="D1165" t="s">
        <v>32</v>
      </c>
      <c r="E1165" t="s">
        <v>21</v>
      </c>
      <c r="F1165" t="s">
        <v>14</v>
      </c>
      <c r="G1165" t="s">
        <v>23</v>
      </c>
      <c r="K1165" cm="1">
        <f t="array" ref="K1165">_xlfn.SWITCH(LeadsData[[#This Row],[Funnel Stage Reached]],"Lead",1,"MQL",2,"SQL",3,"Customer",4)</f>
        <v>2</v>
      </c>
      <c r="L1165" t="str">
        <f>TEXT(LeadsData[[#This Row],[Signup Date]],"mmm-yyyy")</f>
        <v>Oct-2024</v>
      </c>
      <c r="M1165">
        <f>IF(LeadsData[[#This Row],[Stage Number]]&gt;=2,1,0)</f>
        <v>1</v>
      </c>
      <c r="N1165" s="2">
        <f>IF(LeadsData[[#This Row],[Stage Number]]&gt;=3,1,0)</f>
        <v>0</v>
      </c>
      <c r="O1165" s="2">
        <f>IF(LeadsData[[#This Row],[Stage Number]]&gt;=4,1,0)</f>
        <v>0</v>
      </c>
    </row>
    <row r="1166" spans="1:15" x14ac:dyDescent="0.25">
      <c r="A1166" t="s">
        <v>1206</v>
      </c>
      <c r="B1166" s="1">
        <v>45359</v>
      </c>
      <c r="C1166" t="s">
        <v>25</v>
      </c>
      <c r="D1166" t="s">
        <v>26</v>
      </c>
      <c r="E1166" t="s">
        <v>13</v>
      </c>
      <c r="F1166" t="s">
        <v>14</v>
      </c>
      <c r="G1166" t="s">
        <v>15</v>
      </c>
      <c r="K1166" cm="1">
        <f t="array" ref="K1166">_xlfn.SWITCH(LeadsData[[#This Row],[Funnel Stage Reached]],"Lead",1,"MQL",2,"SQL",3,"Customer",4)</f>
        <v>1</v>
      </c>
      <c r="L1166" t="str">
        <f>TEXT(LeadsData[[#This Row],[Signup Date]],"mmm-yyyy")</f>
        <v>Mar-2024</v>
      </c>
      <c r="M1166">
        <f>IF(LeadsData[[#This Row],[Stage Number]]&gt;=2,1,0)</f>
        <v>0</v>
      </c>
      <c r="N1166" s="2">
        <f>IF(LeadsData[[#This Row],[Stage Number]]&gt;=3,1,0)</f>
        <v>0</v>
      </c>
      <c r="O1166" s="2">
        <f>IF(LeadsData[[#This Row],[Stage Number]]&gt;=4,1,0)</f>
        <v>0</v>
      </c>
    </row>
    <row r="1167" spans="1:15" x14ac:dyDescent="0.25">
      <c r="A1167" t="s">
        <v>1207</v>
      </c>
      <c r="B1167" s="1">
        <v>45319</v>
      </c>
      <c r="C1167" t="s">
        <v>11</v>
      </c>
      <c r="D1167" t="s">
        <v>68</v>
      </c>
      <c r="E1167" t="s">
        <v>13</v>
      </c>
      <c r="F1167" t="s">
        <v>14</v>
      </c>
      <c r="G1167" t="s">
        <v>23</v>
      </c>
      <c r="K1167" cm="1">
        <f t="array" ref="K1167">_xlfn.SWITCH(LeadsData[[#This Row],[Funnel Stage Reached]],"Lead",1,"MQL",2,"SQL",3,"Customer",4)</f>
        <v>2</v>
      </c>
      <c r="L1167" t="str">
        <f>TEXT(LeadsData[[#This Row],[Signup Date]],"mmm-yyyy")</f>
        <v>Jan-2024</v>
      </c>
      <c r="M1167">
        <f>IF(LeadsData[[#This Row],[Stage Number]]&gt;=2,1,0)</f>
        <v>1</v>
      </c>
      <c r="N1167" s="2">
        <f>IF(LeadsData[[#This Row],[Stage Number]]&gt;=3,1,0)</f>
        <v>0</v>
      </c>
      <c r="O1167" s="2">
        <f>IF(LeadsData[[#This Row],[Stage Number]]&gt;=4,1,0)</f>
        <v>0</v>
      </c>
    </row>
    <row r="1168" spans="1:15" x14ac:dyDescent="0.25">
      <c r="A1168" t="s">
        <v>1208</v>
      </c>
      <c r="B1168" s="1">
        <v>45610</v>
      </c>
      <c r="C1168" t="s">
        <v>31</v>
      </c>
      <c r="D1168" t="s">
        <v>32</v>
      </c>
      <c r="E1168" t="s">
        <v>21</v>
      </c>
      <c r="F1168" t="s">
        <v>19</v>
      </c>
      <c r="G1168" t="s">
        <v>15</v>
      </c>
      <c r="K1168" cm="1">
        <f t="array" ref="K1168">_xlfn.SWITCH(LeadsData[[#This Row],[Funnel Stage Reached]],"Lead",1,"MQL",2,"SQL",3,"Customer",4)</f>
        <v>1</v>
      </c>
      <c r="L1168" t="str">
        <f>TEXT(LeadsData[[#This Row],[Signup Date]],"mmm-yyyy")</f>
        <v>Nov-2024</v>
      </c>
      <c r="M1168">
        <f>IF(LeadsData[[#This Row],[Stage Number]]&gt;=2,1,0)</f>
        <v>0</v>
      </c>
      <c r="N1168" s="2">
        <f>IF(LeadsData[[#This Row],[Stage Number]]&gt;=3,1,0)</f>
        <v>0</v>
      </c>
      <c r="O1168" s="2">
        <f>IF(LeadsData[[#This Row],[Stage Number]]&gt;=4,1,0)</f>
        <v>0</v>
      </c>
    </row>
    <row r="1169" spans="1:15" x14ac:dyDescent="0.25">
      <c r="A1169" t="s">
        <v>1209</v>
      </c>
      <c r="B1169" s="1">
        <v>45350</v>
      </c>
      <c r="C1169" t="s">
        <v>31</v>
      </c>
      <c r="D1169" t="s">
        <v>34</v>
      </c>
      <c r="E1169" t="s">
        <v>13</v>
      </c>
      <c r="F1169" t="s">
        <v>14</v>
      </c>
      <c r="G1169" t="s">
        <v>15</v>
      </c>
      <c r="K1169" cm="1">
        <f t="array" ref="K1169">_xlfn.SWITCH(LeadsData[[#This Row],[Funnel Stage Reached]],"Lead",1,"MQL",2,"SQL",3,"Customer",4)</f>
        <v>1</v>
      </c>
      <c r="L1169" t="str">
        <f>TEXT(LeadsData[[#This Row],[Signup Date]],"mmm-yyyy")</f>
        <v>Feb-2024</v>
      </c>
      <c r="M1169">
        <f>IF(LeadsData[[#This Row],[Stage Number]]&gt;=2,1,0)</f>
        <v>0</v>
      </c>
      <c r="N1169" s="2">
        <f>IF(LeadsData[[#This Row],[Stage Number]]&gt;=3,1,0)</f>
        <v>0</v>
      </c>
      <c r="O1169" s="2">
        <f>IF(LeadsData[[#This Row],[Stage Number]]&gt;=4,1,0)</f>
        <v>0</v>
      </c>
    </row>
    <row r="1170" spans="1:15" x14ac:dyDescent="0.25">
      <c r="A1170" t="s">
        <v>1210</v>
      </c>
      <c r="B1170" s="1">
        <v>45586</v>
      </c>
      <c r="C1170" t="s">
        <v>17</v>
      </c>
      <c r="D1170" t="s">
        <v>18</v>
      </c>
      <c r="E1170" t="s">
        <v>13</v>
      </c>
      <c r="F1170" t="s">
        <v>19</v>
      </c>
      <c r="G1170" t="s">
        <v>15</v>
      </c>
      <c r="K1170" cm="1">
        <f t="array" ref="K1170">_xlfn.SWITCH(LeadsData[[#This Row],[Funnel Stage Reached]],"Lead",1,"MQL",2,"SQL",3,"Customer",4)</f>
        <v>1</v>
      </c>
      <c r="L1170" t="str">
        <f>TEXT(LeadsData[[#This Row],[Signup Date]],"mmm-yyyy")</f>
        <v>Oct-2024</v>
      </c>
      <c r="M1170">
        <f>IF(LeadsData[[#This Row],[Stage Number]]&gt;=2,1,0)</f>
        <v>0</v>
      </c>
      <c r="N1170" s="2">
        <f>IF(LeadsData[[#This Row],[Stage Number]]&gt;=3,1,0)</f>
        <v>0</v>
      </c>
      <c r="O1170" s="2">
        <f>IF(LeadsData[[#This Row],[Stage Number]]&gt;=4,1,0)</f>
        <v>0</v>
      </c>
    </row>
    <row r="1171" spans="1:15" x14ac:dyDescent="0.25">
      <c r="A1171" t="s">
        <v>1211</v>
      </c>
      <c r="B1171" s="1">
        <v>45552</v>
      </c>
      <c r="C1171" t="s">
        <v>36</v>
      </c>
      <c r="D1171" t="s">
        <v>37</v>
      </c>
      <c r="E1171" t="s">
        <v>21</v>
      </c>
      <c r="F1171" t="s">
        <v>19</v>
      </c>
      <c r="G1171" t="s">
        <v>29</v>
      </c>
      <c r="K1171" cm="1">
        <f t="array" ref="K1171">_xlfn.SWITCH(LeadsData[[#This Row],[Funnel Stage Reached]],"Lead",1,"MQL",2,"SQL",3,"Customer",4)</f>
        <v>3</v>
      </c>
      <c r="L1171" t="str">
        <f>TEXT(LeadsData[[#This Row],[Signup Date]],"mmm-yyyy")</f>
        <v>Sep-2024</v>
      </c>
      <c r="M1171">
        <f>IF(LeadsData[[#This Row],[Stage Number]]&gt;=2,1,0)</f>
        <v>1</v>
      </c>
      <c r="N1171" s="2">
        <f>IF(LeadsData[[#This Row],[Stage Number]]&gt;=3,1,0)</f>
        <v>1</v>
      </c>
      <c r="O1171" s="2">
        <f>IF(LeadsData[[#This Row],[Stage Number]]&gt;=4,1,0)</f>
        <v>0</v>
      </c>
    </row>
    <row r="1172" spans="1:15" x14ac:dyDescent="0.25">
      <c r="A1172" t="s">
        <v>1212</v>
      </c>
      <c r="B1172" s="1">
        <v>45356</v>
      </c>
      <c r="C1172" t="s">
        <v>31</v>
      </c>
      <c r="D1172" t="s">
        <v>34</v>
      </c>
      <c r="E1172" t="s">
        <v>13</v>
      </c>
      <c r="F1172" t="s">
        <v>22</v>
      </c>
      <c r="G1172" t="s">
        <v>29</v>
      </c>
      <c r="K1172" cm="1">
        <f t="array" ref="K1172">_xlfn.SWITCH(LeadsData[[#This Row],[Funnel Stage Reached]],"Lead",1,"MQL",2,"SQL",3,"Customer",4)</f>
        <v>3</v>
      </c>
      <c r="L1172" t="str">
        <f>TEXT(LeadsData[[#This Row],[Signup Date]],"mmm-yyyy")</f>
        <v>Mar-2024</v>
      </c>
      <c r="M1172">
        <f>IF(LeadsData[[#This Row],[Stage Number]]&gt;=2,1,0)</f>
        <v>1</v>
      </c>
      <c r="N1172" s="2">
        <f>IF(LeadsData[[#This Row],[Stage Number]]&gt;=3,1,0)</f>
        <v>1</v>
      </c>
      <c r="O1172" s="2">
        <f>IF(LeadsData[[#This Row],[Stage Number]]&gt;=4,1,0)</f>
        <v>0</v>
      </c>
    </row>
    <row r="1173" spans="1:15" x14ac:dyDescent="0.25">
      <c r="A1173" t="s">
        <v>1213</v>
      </c>
      <c r="B1173" s="1">
        <v>45421</v>
      </c>
      <c r="C1173" t="s">
        <v>17</v>
      </c>
      <c r="D1173" t="s">
        <v>53</v>
      </c>
      <c r="E1173" t="s">
        <v>21</v>
      </c>
      <c r="F1173" t="s">
        <v>22</v>
      </c>
      <c r="G1173" t="s">
        <v>23</v>
      </c>
      <c r="K1173" cm="1">
        <f t="array" ref="K1173">_xlfn.SWITCH(LeadsData[[#This Row],[Funnel Stage Reached]],"Lead",1,"MQL",2,"SQL",3,"Customer",4)</f>
        <v>2</v>
      </c>
      <c r="L1173" t="str">
        <f>TEXT(LeadsData[[#This Row],[Signup Date]],"mmm-yyyy")</f>
        <v>May-2024</v>
      </c>
      <c r="M1173">
        <f>IF(LeadsData[[#This Row],[Stage Number]]&gt;=2,1,0)</f>
        <v>1</v>
      </c>
      <c r="N1173" s="2">
        <f>IF(LeadsData[[#This Row],[Stage Number]]&gt;=3,1,0)</f>
        <v>0</v>
      </c>
      <c r="O1173" s="2">
        <f>IF(LeadsData[[#This Row],[Stage Number]]&gt;=4,1,0)</f>
        <v>0</v>
      </c>
    </row>
    <row r="1174" spans="1:15" x14ac:dyDescent="0.25">
      <c r="A1174" t="s">
        <v>1214</v>
      </c>
      <c r="B1174" s="1">
        <v>45483</v>
      </c>
      <c r="C1174" t="s">
        <v>17</v>
      </c>
      <c r="D1174" t="s">
        <v>18</v>
      </c>
      <c r="E1174" t="s">
        <v>13</v>
      </c>
      <c r="F1174" t="s">
        <v>19</v>
      </c>
      <c r="G1174" t="s">
        <v>15</v>
      </c>
      <c r="K1174" cm="1">
        <f t="array" ref="K1174">_xlfn.SWITCH(LeadsData[[#This Row],[Funnel Stage Reached]],"Lead",1,"MQL",2,"SQL",3,"Customer",4)</f>
        <v>1</v>
      </c>
      <c r="L1174" t="str">
        <f>TEXT(LeadsData[[#This Row],[Signup Date]],"mmm-yyyy")</f>
        <v>Jul-2024</v>
      </c>
      <c r="M1174">
        <f>IF(LeadsData[[#This Row],[Stage Number]]&gt;=2,1,0)</f>
        <v>0</v>
      </c>
      <c r="N1174" s="2">
        <f>IF(LeadsData[[#This Row],[Stage Number]]&gt;=3,1,0)</f>
        <v>0</v>
      </c>
      <c r="O1174" s="2">
        <f>IF(LeadsData[[#This Row],[Stage Number]]&gt;=4,1,0)</f>
        <v>0</v>
      </c>
    </row>
    <row r="1175" spans="1:15" x14ac:dyDescent="0.25">
      <c r="A1175" t="s">
        <v>1215</v>
      </c>
      <c r="B1175" s="1">
        <v>45580</v>
      </c>
      <c r="C1175" t="s">
        <v>11</v>
      </c>
      <c r="D1175" t="s">
        <v>12</v>
      </c>
      <c r="E1175" t="s">
        <v>21</v>
      </c>
      <c r="F1175" t="s">
        <v>19</v>
      </c>
      <c r="G1175" t="s">
        <v>15</v>
      </c>
      <c r="K1175" cm="1">
        <f t="array" ref="K1175">_xlfn.SWITCH(LeadsData[[#This Row],[Funnel Stage Reached]],"Lead",1,"MQL",2,"SQL",3,"Customer",4)</f>
        <v>1</v>
      </c>
      <c r="L1175" t="str">
        <f>TEXT(LeadsData[[#This Row],[Signup Date]],"mmm-yyyy")</f>
        <v>Oct-2024</v>
      </c>
      <c r="M1175">
        <f>IF(LeadsData[[#This Row],[Stage Number]]&gt;=2,1,0)</f>
        <v>0</v>
      </c>
      <c r="N1175" s="2">
        <f>IF(LeadsData[[#This Row],[Stage Number]]&gt;=3,1,0)</f>
        <v>0</v>
      </c>
      <c r="O1175" s="2">
        <f>IF(LeadsData[[#This Row],[Stage Number]]&gt;=4,1,0)</f>
        <v>0</v>
      </c>
    </row>
    <row r="1176" spans="1:15" x14ac:dyDescent="0.25">
      <c r="A1176" t="s">
        <v>1216</v>
      </c>
      <c r="B1176" s="1">
        <v>45348</v>
      </c>
      <c r="C1176" t="s">
        <v>46</v>
      </c>
      <c r="D1176" t="s">
        <v>56</v>
      </c>
      <c r="E1176" t="s">
        <v>13</v>
      </c>
      <c r="F1176" t="s">
        <v>14</v>
      </c>
      <c r="G1176" t="s">
        <v>15</v>
      </c>
      <c r="K1176" cm="1">
        <f t="array" ref="K1176">_xlfn.SWITCH(LeadsData[[#This Row],[Funnel Stage Reached]],"Lead",1,"MQL",2,"SQL",3,"Customer",4)</f>
        <v>1</v>
      </c>
      <c r="L1176" t="str">
        <f>TEXT(LeadsData[[#This Row],[Signup Date]],"mmm-yyyy")</f>
        <v>Feb-2024</v>
      </c>
      <c r="M1176">
        <f>IF(LeadsData[[#This Row],[Stage Number]]&gt;=2,1,0)</f>
        <v>0</v>
      </c>
      <c r="N1176" s="2">
        <f>IF(LeadsData[[#This Row],[Stage Number]]&gt;=3,1,0)</f>
        <v>0</v>
      </c>
      <c r="O1176" s="2">
        <f>IF(LeadsData[[#This Row],[Stage Number]]&gt;=4,1,0)</f>
        <v>0</v>
      </c>
    </row>
    <row r="1177" spans="1:15" x14ac:dyDescent="0.25">
      <c r="A1177" t="s">
        <v>1217</v>
      </c>
      <c r="B1177" s="1">
        <v>45576</v>
      </c>
      <c r="C1177" t="s">
        <v>25</v>
      </c>
      <c r="D1177" t="s">
        <v>26</v>
      </c>
      <c r="E1177" t="s">
        <v>13</v>
      </c>
      <c r="F1177" t="s">
        <v>19</v>
      </c>
      <c r="G1177" t="s">
        <v>15</v>
      </c>
      <c r="K1177" cm="1">
        <f t="array" ref="K1177">_xlfn.SWITCH(LeadsData[[#This Row],[Funnel Stage Reached]],"Lead",1,"MQL",2,"SQL",3,"Customer",4)</f>
        <v>1</v>
      </c>
      <c r="L1177" t="str">
        <f>TEXT(LeadsData[[#This Row],[Signup Date]],"mmm-yyyy")</f>
        <v>Oct-2024</v>
      </c>
      <c r="M1177">
        <f>IF(LeadsData[[#This Row],[Stage Number]]&gt;=2,1,0)</f>
        <v>0</v>
      </c>
      <c r="N1177" s="2">
        <f>IF(LeadsData[[#This Row],[Stage Number]]&gt;=3,1,0)</f>
        <v>0</v>
      </c>
      <c r="O1177" s="2">
        <f>IF(LeadsData[[#This Row],[Stage Number]]&gt;=4,1,0)</f>
        <v>0</v>
      </c>
    </row>
    <row r="1178" spans="1:15" x14ac:dyDescent="0.25">
      <c r="A1178" t="s">
        <v>1218</v>
      </c>
      <c r="B1178" s="1">
        <v>45333</v>
      </c>
      <c r="C1178" t="s">
        <v>31</v>
      </c>
      <c r="D1178" t="s">
        <v>34</v>
      </c>
      <c r="E1178" t="s">
        <v>13</v>
      </c>
      <c r="F1178" t="s">
        <v>19</v>
      </c>
      <c r="G1178" t="s">
        <v>23</v>
      </c>
      <c r="K1178" cm="1">
        <f t="array" ref="K1178">_xlfn.SWITCH(LeadsData[[#This Row],[Funnel Stage Reached]],"Lead",1,"MQL",2,"SQL",3,"Customer",4)</f>
        <v>2</v>
      </c>
      <c r="L1178" t="str">
        <f>TEXT(LeadsData[[#This Row],[Signup Date]],"mmm-yyyy")</f>
        <v>Feb-2024</v>
      </c>
      <c r="M1178">
        <f>IF(LeadsData[[#This Row],[Stage Number]]&gt;=2,1,0)</f>
        <v>1</v>
      </c>
      <c r="N1178" s="2">
        <f>IF(LeadsData[[#This Row],[Stage Number]]&gt;=3,1,0)</f>
        <v>0</v>
      </c>
      <c r="O1178" s="2">
        <f>IF(LeadsData[[#This Row],[Stage Number]]&gt;=4,1,0)</f>
        <v>0</v>
      </c>
    </row>
    <row r="1179" spans="1:15" x14ac:dyDescent="0.25">
      <c r="A1179" t="s">
        <v>1219</v>
      </c>
      <c r="B1179" s="1">
        <v>45360</v>
      </c>
      <c r="C1179" t="s">
        <v>31</v>
      </c>
      <c r="D1179" t="s">
        <v>34</v>
      </c>
      <c r="E1179" t="s">
        <v>21</v>
      </c>
      <c r="F1179" t="s">
        <v>19</v>
      </c>
      <c r="G1179" t="s">
        <v>15</v>
      </c>
      <c r="K1179" cm="1">
        <f t="array" ref="K1179">_xlfn.SWITCH(LeadsData[[#This Row],[Funnel Stage Reached]],"Lead",1,"MQL",2,"SQL",3,"Customer",4)</f>
        <v>1</v>
      </c>
      <c r="L1179" t="str">
        <f>TEXT(LeadsData[[#This Row],[Signup Date]],"mmm-yyyy")</f>
        <v>Mar-2024</v>
      </c>
      <c r="M1179">
        <f>IF(LeadsData[[#This Row],[Stage Number]]&gt;=2,1,0)</f>
        <v>0</v>
      </c>
      <c r="N1179" s="2">
        <f>IF(LeadsData[[#This Row],[Stage Number]]&gt;=3,1,0)</f>
        <v>0</v>
      </c>
      <c r="O1179" s="2">
        <f>IF(LeadsData[[#This Row],[Stage Number]]&gt;=4,1,0)</f>
        <v>0</v>
      </c>
    </row>
    <row r="1180" spans="1:15" x14ac:dyDescent="0.25">
      <c r="A1180" t="s">
        <v>1220</v>
      </c>
      <c r="B1180" s="1">
        <v>45531</v>
      </c>
      <c r="C1180" t="s">
        <v>25</v>
      </c>
      <c r="D1180" t="s">
        <v>26</v>
      </c>
      <c r="E1180" t="s">
        <v>21</v>
      </c>
      <c r="F1180" t="s">
        <v>22</v>
      </c>
      <c r="G1180" t="s">
        <v>15</v>
      </c>
      <c r="K1180" cm="1">
        <f t="array" ref="K1180">_xlfn.SWITCH(LeadsData[[#This Row],[Funnel Stage Reached]],"Lead",1,"MQL",2,"SQL",3,"Customer",4)</f>
        <v>1</v>
      </c>
      <c r="L1180" t="str">
        <f>TEXT(LeadsData[[#This Row],[Signup Date]],"mmm-yyyy")</f>
        <v>Aug-2024</v>
      </c>
      <c r="M1180">
        <f>IF(LeadsData[[#This Row],[Stage Number]]&gt;=2,1,0)</f>
        <v>0</v>
      </c>
      <c r="N1180" s="2">
        <f>IF(LeadsData[[#This Row],[Stage Number]]&gt;=3,1,0)</f>
        <v>0</v>
      </c>
      <c r="O1180" s="2">
        <f>IF(LeadsData[[#This Row],[Stage Number]]&gt;=4,1,0)</f>
        <v>0</v>
      </c>
    </row>
    <row r="1181" spans="1:15" x14ac:dyDescent="0.25">
      <c r="A1181" t="s">
        <v>1221</v>
      </c>
      <c r="B1181" s="1">
        <v>45605</v>
      </c>
      <c r="C1181" t="s">
        <v>31</v>
      </c>
      <c r="D1181" t="s">
        <v>32</v>
      </c>
      <c r="E1181" t="s">
        <v>13</v>
      </c>
      <c r="F1181" t="s">
        <v>22</v>
      </c>
      <c r="G1181" t="s">
        <v>15</v>
      </c>
      <c r="K1181" cm="1">
        <f t="array" ref="K1181">_xlfn.SWITCH(LeadsData[[#This Row],[Funnel Stage Reached]],"Lead",1,"MQL",2,"SQL",3,"Customer",4)</f>
        <v>1</v>
      </c>
      <c r="L1181" t="str">
        <f>TEXT(LeadsData[[#This Row],[Signup Date]],"mmm-yyyy")</f>
        <v>Nov-2024</v>
      </c>
      <c r="M1181">
        <f>IF(LeadsData[[#This Row],[Stage Number]]&gt;=2,1,0)</f>
        <v>0</v>
      </c>
      <c r="N1181" s="2">
        <f>IF(LeadsData[[#This Row],[Stage Number]]&gt;=3,1,0)</f>
        <v>0</v>
      </c>
      <c r="O1181" s="2">
        <f>IF(LeadsData[[#This Row],[Stage Number]]&gt;=4,1,0)</f>
        <v>0</v>
      </c>
    </row>
    <row r="1182" spans="1:15" x14ac:dyDescent="0.25">
      <c r="A1182" t="s">
        <v>1222</v>
      </c>
      <c r="B1182" s="1">
        <v>45620</v>
      </c>
      <c r="C1182" t="s">
        <v>31</v>
      </c>
      <c r="D1182" t="s">
        <v>34</v>
      </c>
      <c r="E1182" t="s">
        <v>21</v>
      </c>
      <c r="F1182" t="s">
        <v>19</v>
      </c>
      <c r="G1182" t="s">
        <v>15</v>
      </c>
      <c r="K1182" cm="1">
        <f t="array" ref="K1182">_xlfn.SWITCH(LeadsData[[#This Row],[Funnel Stage Reached]],"Lead",1,"MQL",2,"SQL",3,"Customer",4)</f>
        <v>1</v>
      </c>
      <c r="L1182" t="str">
        <f>TEXT(LeadsData[[#This Row],[Signup Date]],"mmm-yyyy")</f>
        <v>Nov-2024</v>
      </c>
      <c r="M1182">
        <f>IF(LeadsData[[#This Row],[Stage Number]]&gt;=2,1,0)</f>
        <v>0</v>
      </c>
      <c r="N1182" s="2">
        <f>IF(LeadsData[[#This Row],[Stage Number]]&gt;=3,1,0)</f>
        <v>0</v>
      </c>
      <c r="O1182" s="2">
        <f>IF(LeadsData[[#This Row],[Stage Number]]&gt;=4,1,0)</f>
        <v>0</v>
      </c>
    </row>
    <row r="1183" spans="1:15" x14ac:dyDescent="0.25">
      <c r="A1183" t="s">
        <v>1223</v>
      </c>
      <c r="B1183" s="1">
        <v>45599</v>
      </c>
      <c r="C1183" t="s">
        <v>11</v>
      </c>
      <c r="D1183" t="s">
        <v>12</v>
      </c>
      <c r="E1183" t="s">
        <v>13</v>
      </c>
      <c r="F1183" t="s">
        <v>22</v>
      </c>
      <c r="G1183" t="s">
        <v>15</v>
      </c>
      <c r="K1183" cm="1">
        <f t="array" ref="K1183">_xlfn.SWITCH(LeadsData[[#This Row],[Funnel Stage Reached]],"Lead",1,"MQL",2,"SQL",3,"Customer",4)</f>
        <v>1</v>
      </c>
      <c r="L1183" t="str">
        <f>TEXT(LeadsData[[#This Row],[Signup Date]],"mmm-yyyy")</f>
        <v>Nov-2024</v>
      </c>
      <c r="M1183">
        <f>IF(LeadsData[[#This Row],[Stage Number]]&gt;=2,1,0)</f>
        <v>0</v>
      </c>
      <c r="N1183" s="2">
        <f>IF(LeadsData[[#This Row],[Stage Number]]&gt;=3,1,0)</f>
        <v>0</v>
      </c>
      <c r="O1183" s="2">
        <f>IF(LeadsData[[#This Row],[Stage Number]]&gt;=4,1,0)</f>
        <v>0</v>
      </c>
    </row>
    <row r="1184" spans="1:15" x14ac:dyDescent="0.25">
      <c r="A1184" t="s">
        <v>1224</v>
      </c>
      <c r="B1184" s="1">
        <v>45325</v>
      </c>
      <c r="C1184" t="s">
        <v>25</v>
      </c>
      <c r="D1184" t="s">
        <v>26</v>
      </c>
      <c r="E1184" t="s">
        <v>21</v>
      </c>
      <c r="F1184" t="s">
        <v>22</v>
      </c>
      <c r="G1184" t="s">
        <v>15</v>
      </c>
      <c r="K1184" cm="1">
        <f t="array" ref="K1184">_xlfn.SWITCH(LeadsData[[#This Row],[Funnel Stage Reached]],"Lead",1,"MQL",2,"SQL",3,"Customer",4)</f>
        <v>1</v>
      </c>
      <c r="L1184" t="str">
        <f>TEXT(LeadsData[[#This Row],[Signup Date]],"mmm-yyyy")</f>
        <v>Feb-2024</v>
      </c>
      <c r="M1184">
        <f>IF(LeadsData[[#This Row],[Stage Number]]&gt;=2,1,0)</f>
        <v>0</v>
      </c>
      <c r="N1184" s="2">
        <f>IF(LeadsData[[#This Row],[Stage Number]]&gt;=3,1,0)</f>
        <v>0</v>
      </c>
      <c r="O1184" s="2">
        <f>IF(LeadsData[[#This Row],[Stage Number]]&gt;=4,1,0)</f>
        <v>0</v>
      </c>
    </row>
    <row r="1185" spans="1:15" x14ac:dyDescent="0.25">
      <c r="A1185" t="s">
        <v>1225</v>
      </c>
      <c r="B1185" s="1">
        <v>45573</v>
      </c>
      <c r="C1185" t="s">
        <v>46</v>
      </c>
      <c r="D1185" t="s">
        <v>56</v>
      </c>
      <c r="E1185" t="s">
        <v>21</v>
      </c>
      <c r="F1185" t="s">
        <v>14</v>
      </c>
      <c r="G1185" t="s">
        <v>15</v>
      </c>
      <c r="K1185" cm="1">
        <f t="array" ref="K1185">_xlfn.SWITCH(LeadsData[[#This Row],[Funnel Stage Reached]],"Lead",1,"MQL",2,"SQL",3,"Customer",4)</f>
        <v>1</v>
      </c>
      <c r="L1185" t="str">
        <f>TEXT(LeadsData[[#This Row],[Signup Date]],"mmm-yyyy")</f>
        <v>Oct-2024</v>
      </c>
      <c r="M1185">
        <f>IF(LeadsData[[#This Row],[Stage Number]]&gt;=2,1,0)</f>
        <v>0</v>
      </c>
      <c r="N1185" s="2">
        <f>IF(LeadsData[[#This Row],[Stage Number]]&gt;=3,1,0)</f>
        <v>0</v>
      </c>
      <c r="O1185" s="2">
        <f>IF(LeadsData[[#This Row],[Stage Number]]&gt;=4,1,0)</f>
        <v>0</v>
      </c>
    </row>
    <row r="1186" spans="1:15" x14ac:dyDescent="0.25">
      <c r="A1186" t="s">
        <v>1226</v>
      </c>
      <c r="B1186" s="1">
        <v>45616</v>
      </c>
      <c r="C1186" t="s">
        <v>31</v>
      </c>
      <c r="D1186" t="s">
        <v>34</v>
      </c>
      <c r="E1186" t="s">
        <v>13</v>
      </c>
      <c r="F1186" t="s">
        <v>22</v>
      </c>
      <c r="G1186" t="s">
        <v>29</v>
      </c>
      <c r="K1186" cm="1">
        <f t="array" ref="K1186">_xlfn.SWITCH(LeadsData[[#This Row],[Funnel Stage Reached]],"Lead",1,"MQL",2,"SQL",3,"Customer",4)</f>
        <v>3</v>
      </c>
      <c r="L1186" t="str">
        <f>TEXT(LeadsData[[#This Row],[Signup Date]],"mmm-yyyy")</f>
        <v>Nov-2024</v>
      </c>
      <c r="M1186">
        <f>IF(LeadsData[[#This Row],[Stage Number]]&gt;=2,1,0)</f>
        <v>1</v>
      </c>
      <c r="N1186" s="2">
        <f>IF(LeadsData[[#This Row],[Stage Number]]&gt;=3,1,0)</f>
        <v>1</v>
      </c>
      <c r="O1186" s="2">
        <f>IF(LeadsData[[#This Row],[Stage Number]]&gt;=4,1,0)</f>
        <v>0</v>
      </c>
    </row>
    <row r="1187" spans="1:15" x14ac:dyDescent="0.25">
      <c r="A1187" t="s">
        <v>1227</v>
      </c>
      <c r="B1187" s="1">
        <v>45489</v>
      </c>
      <c r="C1187" t="s">
        <v>31</v>
      </c>
      <c r="D1187" t="s">
        <v>34</v>
      </c>
      <c r="E1187" t="s">
        <v>21</v>
      </c>
      <c r="F1187" t="s">
        <v>22</v>
      </c>
      <c r="G1187" t="s">
        <v>15</v>
      </c>
      <c r="K1187" cm="1">
        <f t="array" ref="K1187">_xlfn.SWITCH(LeadsData[[#This Row],[Funnel Stage Reached]],"Lead",1,"MQL",2,"SQL",3,"Customer",4)</f>
        <v>1</v>
      </c>
      <c r="L1187" t="str">
        <f>TEXT(LeadsData[[#This Row],[Signup Date]],"mmm-yyyy")</f>
        <v>Jul-2024</v>
      </c>
      <c r="M1187">
        <f>IF(LeadsData[[#This Row],[Stage Number]]&gt;=2,1,0)</f>
        <v>0</v>
      </c>
      <c r="N1187" s="2">
        <f>IF(LeadsData[[#This Row],[Stage Number]]&gt;=3,1,0)</f>
        <v>0</v>
      </c>
      <c r="O1187" s="2">
        <f>IF(LeadsData[[#This Row],[Stage Number]]&gt;=4,1,0)</f>
        <v>0</v>
      </c>
    </row>
    <row r="1188" spans="1:15" x14ac:dyDescent="0.25">
      <c r="A1188" t="s">
        <v>1228</v>
      </c>
      <c r="B1188" s="1">
        <v>45508</v>
      </c>
      <c r="C1188" t="s">
        <v>17</v>
      </c>
      <c r="D1188" t="s">
        <v>53</v>
      </c>
      <c r="E1188" t="s">
        <v>21</v>
      </c>
      <c r="F1188" t="s">
        <v>14</v>
      </c>
      <c r="G1188" t="s">
        <v>23</v>
      </c>
      <c r="K1188" cm="1">
        <f t="array" ref="K1188">_xlfn.SWITCH(LeadsData[[#This Row],[Funnel Stage Reached]],"Lead",1,"MQL",2,"SQL",3,"Customer",4)</f>
        <v>2</v>
      </c>
      <c r="L1188" t="str">
        <f>TEXT(LeadsData[[#This Row],[Signup Date]],"mmm-yyyy")</f>
        <v>Aug-2024</v>
      </c>
      <c r="M1188">
        <f>IF(LeadsData[[#This Row],[Stage Number]]&gt;=2,1,0)</f>
        <v>1</v>
      </c>
      <c r="N1188" s="2">
        <f>IF(LeadsData[[#This Row],[Stage Number]]&gt;=3,1,0)</f>
        <v>0</v>
      </c>
      <c r="O1188" s="2">
        <f>IF(LeadsData[[#This Row],[Stage Number]]&gt;=4,1,0)</f>
        <v>0</v>
      </c>
    </row>
    <row r="1189" spans="1:15" x14ac:dyDescent="0.25">
      <c r="A1189" t="s">
        <v>1229</v>
      </c>
      <c r="B1189" s="1">
        <v>45622</v>
      </c>
      <c r="C1189" t="s">
        <v>17</v>
      </c>
      <c r="D1189" t="s">
        <v>53</v>
      </c>
      <c r="E1189" t="s">
        <v>21</v>
      </c>
      <c r="F1189" t="s">
        <v>19</v>
      </c>
      <c r="G1189" t="s">
        <v>23</v>
      </c>
      <c r="K1189" cm="1">
        <f t="array" ref="K1189">_xlfn.SWITCH(LeadsData[[#This Row],[Funnel Stage Reached]],"Lead",1,"MQL",2,"SQL",3,"Customer",4)</f>
        <v>2</v>
      </c>
      <c r="L1189" t="str">
        <f>TEXT(LeadsData[[#This Row],[Signup Date]],"mmm-yyyy")</f>
        <v>Nov-2024</v>
      </c>
      <c r="M1189">
        <f>IF(LeadsData[[#This Row],[Stage Number]]&gt;=2,1,0)</f>
        <v>1</v>
      </c>
      <c r="N1189" s="2">
        <f>IF(LeadsData[[#This Row],[Stage Number]]&gt;=3,1,0)</f>
        <v>0</v>
      </c>
      <c r="O1189" s="2">
        <f>IF(LeadsData[[#This Row],[Stage Number]]&gt;=4,1,0)</f>
        <v>0</v>
      </c>
    </row>
    <row r="1190" spans="1:15" x14ac:dyDescent="0.25">
      <c r="A1190" t="s">
        <v>1230</v>
      </c>
      <c r="B1190" s="1">
        <v>45394</v>
      </c>
      <c r="C1190" t="s">
        <v>17</v>
      </c>
      <c r="D1190" t="s">
        <v>18</v>
      </c>
      <c r="E1190" t="s">
        <v>21</v>
      </c>
      <c r="F1190" t="s">
        <v>19</v>
      </c>
      <c r="G1190" t="s">
        <v>29</v>
      </c>
      <c r="K1190" cm="1">
        <f t="array" ref="K1190">_xlfn.SWITCH(LeadsData[[#This Row],[Funnel Stage Reached]],"Lead",1,"MQL",2,"SQL",3,"Customer",4)</f>
        <v>3</v>
      </c>
      <c r="L1190" t="str">
        <f>TEXT(LeadsData[[#This Row],[Signup Date]],"mmm-yyyy")</f>
        <v>Apr-2024</v>
      </c>
      <c r="M1190">
        <f>IF(LeadsData[[#This Row],[Stage Number]]&gt;=2,1,0)</f>
        <v>1</v>
      </c>
      <c r="N1190" s="2">
        <f>IF(LeadsData[[#This Row],[Stage Number]]&gt;=3,1,0)</f>
        <v>1</v>
      </c>
      <c r="O1190" s="2">
        <f>IF(LeadsData[[#This Row],[Stage Number]]&gt;=4,1,0)</f>
        <v>0</v>
      </c>
    </row>
    <row r="1191" spans="1:15" x14ac:dyDescent="0.25">
      <c r="A1191" t="s">
        <v>1231</v>
      </c>
      <c r="B1191" s="1">
        <v>45497</v>
      </c>
      <c r="C1191" t="s">
        <v>46</v>
      </c>
      <c r="D1191" t="s">
        <v>47</v>
      </c>
      <c r="E1191" t="s">
        <v>21</v>
      </c>
      <c r="F1191" t="s">
        <v>22</v>
      </c>
      <c r="G1191" t="s">
        <v>23</v>
      </c>
      <c r="K1191" cm="1">
        <f t="array" ref="K1191">_xlfn.SWITCH(LeadsData[[#This Row],[Funnel Stage Reached]],"Lead",1,"MQL",2,"SQL",3,"Customer",4)</f>
        <v>2</v>
      </c>
      <c r="L1191" t="str">
        <f>TEXT(LeadsData[[#This Row],[Signup Date]],"mmm-yyyy")</f>
        <v>Jul-2024</v>
      </c>
      <c r="M1191">
        <f>IF(LeadsData[[#This Row],[Stage Number]]&gt;=2,1,0)</f>
        <v>1</v>
      </c>
      <c r="N1191" s="2">
        <f>IF(LeadsData[[#This Row],[Stage Number]]&gt;=3,1,0)</f>
        <v>0</v>
      </c>
      <c r="O1191" s="2">
        <f>IF(LeadsData[[#This Row],[Stage Number]]&gt;=4,1,0)</f>
        <v>0</v>
      </c>
    </row>
    <row r="1192" spans="1:15" x14ac:dyDescent="0.25">
      <c r="A1192" t="s">
        <v>1232</v>
      </c>
      <c r="B1192" s="1">
        <v>45499</v>
      </c>
      <c r="C1192" t="s">
        <v>25</v>
      </c>
      <c r="D1192" t="s">
        <v>26</v>
      </c>
      <c r="E1192" t="s">
        <v>21</v>
      </c>
      <c r="F1192" t="s">
        <v>14</v>
      </c>
      <c r="G1192" t="s">
        <v>15</v>
      </c>
      <c r="K1192" cm="1">
        <f t="array" ref="K1192">_xlfn.SWITCH(LeadsData[[#This Row],[Funnel Stage Reached]],"Lead",1,"MQL",2,"SQL",3,"Customer",4)</f>
        <v>1</v>
      </c>
      <c r="L1192" t="str">
        <f>TEXT(LeadsData[[#This Row],[Signup Date]],"mmm-yyyy")</f>
        <v>Jul-2024</v>
      </c>
      <c r="M1192">
        <f>IF(LeadsData[[#This Row],[Stage Number]]&gt;=2,1,0)</f>
        <v>0</v>
      </c>
      <c r="N1192" s="2">
        <f>IF(LeadsData[[#This Row],[Stage Number]]&gt;=3,1,0)</f>
        <v>0</v>
      </c>
      <c r="O1192" s="2">
        <f>IF(LeadsData[[#This Row],[Stage Number]]&gt;=4,1,0)</f>
        <v>0</v>
      </c>
    </row>
    <row r="1193" spans="1:15" x14ac:dyDescent="0.25">
      <c r="A1193" t="s">
        <v>1233</v>
      </c>
      <c r="B1193" s="1">
        <v>45328</v>
      </c>
      <c r="C1193" t="s">
        <v>25</v>
      </c>
      <c r="D1193" t="s">
        <v>26</v>
      </c>
      <c r="E1193" t="s">
        <v>13</v>
      </c>
      <c r="F1193" t="s">
        <v>19</v>
      </c>
      <c r="G1193" t="s">
        <v>29</v>
      </c>
      <c r="K1193" cm="1">
        <f t="array" ref="K1193">_xlfn.SWITCH(LeadsData[[#This Row],[Funnel Stage Reached]],"Lead",1,"MQL",2,"SQL",3,"Customer",4)</f>
        <v>3</v>
      </c>
      <c r="L1193" t="str">
        <f>TEXT(LeadsData[[#This Row],[Signup Date]],"mmm-yyyy")</f>
        <v>Feb-2024</v>
      </c>
      <c r="M1193">
        <f>IF(LeadsData[[#This Row],[Stage Number]]&gt;=2,1,0)</f>
        <v>1</v>
      </c>
      <c r="N1193" s="2">
        <f>IF(LeadsData[[#This Row],[Stage Number]]&gt;=3,1,0)</f>
        <v>1</v>
      </c>
      <c r="O1193" s="2">
        <f>IF(LeadsData[[#This Row],[Stage Number]]&gt;=4,1,0)</f>
        <v>0</v>
      </c>
    </row>
    <row r="1194" spans="1:15" x14ac:dyDescent="0.25">
      <c r="A1194" t="s">
        <v>1234</v>
      </c>
      <c r="B1194" s="1">
        <v>45468</v>
      </c>
      <c r="C1194" t="s">
        <v>31</v>
      </c>
      <c r="D1194" t="s">
        <v>34</v>
      </c>
      <c r="E1194" t="s">
        <v>21</v>
      </c>
      <c r="F1194" t="s">
        <v>19</v>
      </c>
      <c r="G1194" t="s">
        <v>23</v>
      </c>
      <c r="K1194" cm="1">
        <f t="array" ref="K1194">_xlfn.SWITCH(LeadsData[[#This Row],[Funnel Stage Reached]],"Lead",1,"MQL",2,"SQL",3,"Customer",4)</f>
        <v>2</v>
      </c>
      <c r="L1194" t="str">
        <f>TEXT(LeadsData[[#This Row],[Signup Date]],"mmm-yyyy")</f>
        <v>Jun-2024</v>
      </c>
      <c r="M1194">
        <f>IF(LeadsData[[#This Row],[Stage Number]]&gt;=2,1,0)</f>
        <v>1</v>
      </c>
      <c r="N1194" s="2">
        <f>IF(LeadsData[[#This Row],[Stage Number]]&gt;=3,1,0)</f>
        <v>0</v>
      </c>
      <c r="O1194" s="2">
        <f>IF(LeadsData[[#This Row],[Stage Number]]&gt;=4,1,0)</f>
        <v>0</v>
      </c>
    </row>
    <row r="1195" spans="1:15" x14ac:dyDescent="0.25">
      <c r="A1195" t="s">
        <v>1235</v>
      </c>
      <c r="B1195" s="1">
        <v>45529</v>
      </c>
      <c r="C1195" t="s">
        <v>36</v>
      </c>
      <c r="D1195" t="s">
        <v>37</v>
      </c>
      <c r="E1195" t="s">
        <v>13</v>
      </c>
      <c r="F1195" t="s">
        <v>22</v>
      </c>
      <c r="G1195" t="s">
        <v>23</v>
      </c>
      <c r="K1195" cm="1">
        <f t="array" ref="K1195">_xlfn.SWITCH(LeadsData[[#This Row],[Funnel Stage Reached]],"Lead",1,"MQL",2,"SQL",3,"Customer",4)</f>
        <v>2</v>
      </c>
      <c r="L1195" t="str">
        <f>TEXT(LeadsData[[#This Row],[Signup Date]],"mmm-yyyy")</f>
        <v>Aug-2024</v>
      </c>
      <c r="M1195">
        <f>IF(LeadsData[[#This Row],[Stage Number]]&gt;=2,1,0)</f>
        <v>1</v>
      </c>
      <c r="N1195" s="2">
        <f>IF(LeadsData[[#This Row],[Stage Number]]&gt;=3,1,0)</f>
        <v>0</v>
      </c>
      <c r="O1195" s="2">
        <f>IF(LeadsData[[#This Row],[Stage Number]]&gt;=4,1,0)</f>
        <v>0</v>
      </c>
    </row>
    <row r="1196" spans="1:15" x14ac:dyDescent="0.25">
      <c r="A1196" t="s">
        <v>1236</v>
      </c>
      <c r="B1196" s="1">
        <v>45303</v>
      </c>
      <c r="C1196" t="s">
        <v>46</v>
      </c>
      <c r="D1196" t="s">
        <v>47</v>
      </c>
      <c r="E1196" t="s">
        <v>48</v>
      </c>
      <c r="F1196" t="s">
        <v>19</v>
      </c>
      <c r="G1196" t="s">
        <v>23</v>
      </c>
      <c r="K1196" cm="1">
        <f t="array" ref="K1196">_xlfn.SWITCH(LeadsData[[#This Row],[Funnel Stage Reached]],"Lead",1,"MQL",2,"SQL",3,"Customer",4)</f>
        <v>2</v>
      </c>
      <c r="L1196" t="str">
        <f>TEXT(LeadsData[[#This Row],[Signup Date]],"mmm-yyyy")</f>
        <v>Jan-2024</v>
      </c>
      <c r="M1196">
        <f>IF(LeadsData[[#This Row],[Stage Number]]&gt;=2,1,0)</f>
        <v>1</v>
      </c>
      <c r="N1196" s="2">
        <f>IF(LeadsData[[#This Row],[Stage Number]]&gt;=3,1,0)</f>
        <v>0</v>
      </c>
      <c r="O1196" s="2">
        <f>IF(LeadsData[[#This Row],[Stage Number]]&gt;=4,1,0)</f>
        <v>0</v>
      </c>
    </row>
    <row r="1197" spans="1:15" x14ac:dyDescent="0.25">
      <c r="A1197" t="s">
        <v>1237</v>
      </c>
      <c r="B1197" s="1">
        <v>45638</v>
      </c>
      <c r="C1197" t="s">
        <v>46</v>
      </c>
      <c r="D1197" t="s">
        <v>47</v>
      </c>
      <c r="E1197" t="s">
        <v>13</v>
      </c>
      <c r="F1197" t="s">
        <v>28</v>
      </c>
      <c r="G1197" t="s">
        <v>15</v>
      </c>
      <c r="K1197" cm="1">
        <f t="array" ref="K1197">_xlfn.SWITCH(LeadsData[[#This Row],[Funnel Stage Reached]],"Lead",1,"MQL",2,"SQL",3,"Customer",4)</f>
        <v>1</v>
      </c>
      <c r="L1197" t="str">
        <f>TEXT(LeadsData[[#This Row],[Signup Date]],"mmm-yyyy")</f>
        <v>Dec-2024</v>
      </c>
      <c r="M1197">
        <f>IF(LeadsData[[#This Row],[Stage Number]]&gt;=2,1,0)</f>
        <v>0</v>
      </c>
      <c r="N1197" s="2">
        <f>IF(LeadsData[[#This Row],[Stage Number]]&gt;=3,1,0)</f>
        <v>0</v>
      </c>
      <c r="O1197" s="2">
        <f>IF(LeadsData[[#This Row],[Stage Number]]&gt;=4,1,0)</f>
        <v>0</v>
      </c>
    </row>
    <row r="1198" spans="1:15" x14ac:dyDescent="0.25">
      <c r="A1198" t="s">
        <v>1238</v>
      </c>
      <c r="B1198" s="1">
        <v>45313</v>
      </c>
      <c r="C1198" t="s">
        <v>31</v>
      </c>
      <c r="D1198" t="s">
        <v>34</v>
      </c>
      <c r="E1198" t="s">
        <v>13</v>
      </c>
      <c r="F1198" t="s">
        <v>19</v>
      </c>
      <c r="G1198" t="s">
        <v>42</v>
      </c>
      <c r="H1198">
        <v>53</v>
      </c>
      <c r="I1198" t="s">
        <v>87</v>
      </c>
      <c r="J1198">
        <v>2780.78</v>
      </c>
      <c r="K1198" cm="1">
        <f t="array" ref="K1198">_xlfn.SWITCH(LeadsData[[#This Row],[Funnel Stage Reached]],"Lead",1,"MQL",2,"SQL",3,"Customer",4)</f>
        <v>4</v>
      </c>
      <c r="L1198" t="str">
        <f>TEXT(LeadsData[[#This Row],[Signup Date]],"mmm-yyyy")</f>
        <v>Jan-2024</v>
      </c>
      <c r="M1198">
        <f>IF(LeadsData[[#This Row],[Stage Number]]&gt;=2,1,0)</f>
        <v>1</v>
      </c>
      <c r="N1198" s="2">
        <f>IF(LeadsData[[#This Row],[Stage Number]]&gt;=3,1,0)</f>
        <v>1</v>
      </c>
      <c r="O1198" s="2">
        <f>IF(LeadsData[[#This Row],[Stage Number]]&gt;=4,1,0)</f>
        <v>1</v>
      </c>
    </row>
    <row r="1199" spans="1:15" x14ac:dyDescent="0.25">
      <c r="A1199" t="s">
        <v>1239</v>
      </c>
      <c r="B1199" s="1">
        <v>45435</v>
      </c>
      <c r="C1199" t="s">
        <v>11</v>
      </c>
      <c r="D1199" t="s">
        <v>68</v>
      </c>
      <c r="E1199" t="s">
        <v>13</v>
      </c>
      <c r="F1199" t="s">
        <v>19</v>
      </c>
      <c r="G1199" t="s">
        <v>15</v>
      </c>
      <c r="K1199" cm="1">
        <f t="array" ref="K1199">_xlfn.SWITCH(LeadsData[[#This Row],[Funnel Stage Reached]],"Lead",1,"MQL",2,"SQL",3,"Customer",4)</f>
        <v>1</v>
      </c>
      <c r="L1199" t="str">
        <f>TEXT(LeadsData[[#This Row],[Signup Date]],"mmm-yyyy")</f>
        <v>May-2024</v>
      </c>
      <c r="M1199">
        <f>IF(LeadsData[[#This Row],[Stage Number]]&gt;=2,1,0)</f>
        <v>0</v>
      </c>
      <c r="N1199" s="2">
        <f>IF(LeadsData[[#This Row],[Stage Number]]&gt;=3,1,0)</f>
        <v>0</v>
      </c>
      <c r="O1199" s="2">
        <f>IF(LeadsData[[#This Row],[Stage Number]]&gt;=4,1,0)</f>
        <v>0</v>
      </c>
    </row>
    <row r="1200" spans="1:15" x14ac:dyDescent="0.25">
      <c r="A1200" t="s">
        <v>1240</v>
      </c>
      <c r="B1200" s="1">
        <v>45608</v>
      </c>
      <c r="C1200" t="s">
        <v>11</v>
      </c>
      <c r="D1200" t="s">
        <v>68</v>
      </c>
      <c r="E1200" t="s">
        <v>48</v>
      </c>
      <c r="F1200" t="s">
        <v>22</v>
      </c>
      <c r="G1200" t="s">
        <v>23</v>
      </c>
      <c r="K1200" cm="1">
        <f t="array" ref="K1200">_xlfn.SWITCH(LeadsData[[#This Row],[Funnel Stage Reached]],"Lead",1,"MQL",2,"SQL",3,"Customer",4)</f>
        <v>2</v>
      </c>
      <c r="L1200" t="str">
        <f>TEXT(LeadsData[[#This Row],[Signup Date]],"mmm-yyyy")</f>
        <v>Nov-2024</v>
      </c>
      <c r="M1200">
        <f>IF(LeadsData[[#This Row],[Stage Number]]&gt;=2,1,0)</f>
        <v>1</v>
      </c>
      <c r="N1200" s="2">
        <f>IF(LeadsData[[#This Row],[Stage Number]]&gt;=3,1,0)</f>
        <v>0</v>
      </c>
      <c r="O1200" s="2">
        <f>IF(LeadsData[[#This Row],[Stage Number]]&gt;=4,1,0)</f>
        <v>0</v>
      </c>
    </row>
    <row r="1201" spans="1:15" x14ac:dyDescent="0.25">
      <c r="A1201" t="s">
        <v>1241</v>
      </c>
      <c r="B1201" s="1">
        <v>45375</v>
      </c>
      <c r="C1201" t="s">
        <v>11</v>
      </c>
      <c r="D1201" t="s">
        <v>12</v>
      </c>
      <c r="E1201" t="s">
        <v>13</v>
      </c>
      <c r="F1201" t="s">
        <v>22</v>
      </c>
      <c r="G1201" t="s">
        <v>15</v>
      </c>
      <c r="K1201" cm="1">
        <f t="array" ref="K1201">_xlfn.SWITCH(LeadsData[[#This Row],[Funnel Stage Reached]],"Lead",1,"MQL",2,"SQL",3,"Customer",4)</f>
        <v>1</v>
      </c>
      <c r="L1201" t="str">
        <f>TEXT(LeadsData[[#This Row],[Signup Date]],"mmm-yyyy")</f>
        <v>Mar-2024</v>
      </c>
      <c r="M1201">
        <f>IF(LeadsData[[#This Row],[Stage Number]]&gt;=2,1,0)</f>
        <v>0</v>
      </c>
      <c r="N1201" s="2">
        <f>IF(LeadsData[[#This Row],[Stage Number]]&gt;=3,1,0)</f>
        <v>0</v>
      </c>
      <c r="O1201" s="2">
        <f>IF(LeadsData[[#This Row],[Stage Number]]&gt;=4,1,0)</f>
        <v>0</v>
      </c>
    </row>
    <row r="1202" spans="1:15" x14ac:dyDescent="0.25">
      <c r="A1202" t="s">
        <v>1242</v>
      </c>
      <c r="B1202" s="1">
        <v>45567</v>
      </c>
      <c r="C1202" t="s">
        <v>11</v>
      </c>
      <c r="D1202" t="s">
        <v>79</v>
      </c>
      <c r="E1202" t="s">
        <v>13</v>
      </c>
      <c r="F1202" t="s">
        <v>22</v>
      </c>
      <c r="G1202" t="s">
        <v>29</v>
      </c>
      <c r="K1202" cm="1">
        <f t="array" ref="K1202">_xlfn.SWITCH(LeadsData[[#This Row],[Funnel Stage Reached]],"Lead",1,"MQL",2,"SQL",3,"Customer",4)</f>
        <v>3</v>
      </c>
      <c r="L1202" t="str">
        <f>TEXT(LeadsData[[#This Row],[Signup Date]],"mmm-yyyy")</f>
        <v>Oct-2024</v>
      </c>
      <c r="M1202">
        <f>IF(LeadsData[[#This Row],[Stage Number]]&gt;=2,1,0)</f>
        <v>1</v>
      </c>
      <c r="N1202" s="2">
        <f>IF(LeadsData[[#This Row],[Stage Number]]&gt;=3,1,0)</f>
        <v>1</v>
      </c>
      <c r="O1202" s="2">
        <f>IF(LeadsData[[#This Row],[Stage Number]]&gt;=4,1,0)</f>
        <v>0</v>
      </c>
    </row>
    <row r="1203" spans="1:15" x14ac:dyDescent="0.25">
      <c r="A1203" t="s">
        <v>1243</v>
      </c>
      <c r="B1203" s="1">
        <v>45588</v>
      </c>
      <c r="C1203" t="s">
        <v>25</v>
      </c>
      <c r="D1203" t="s">
        <v>26</v>
      </c>
      <c r="E1203" t="s">
        <v>21</v>
      </c>
      <c r="F1203" t="s">
        <v>19</v>
      </c>
      <c r="G1203" t="s">
        <v>15</v>
      </c>
      <c r="K1203" cm="1">
        <f t="array" ref="K1203">_xlfn.SWITCH(LeadsData[[#This Row],[Funnel Stage Reached]],"Lead",1,"MQL",2,"SQL",3,"Customer",4)</f>
        <v>1</v>
      </c>
      <c r="L1203" t="str">
        <f>TEXT(LeadsData[[#This Row],[Signup Date]],"mmm-yyyy")</f>
        <v>Oct-2024</v>
      </c>
      <c r="M1203">
        <f>IF(LeadsData[[#This Row],[Stage Number]]&gt;=2,1,0)</f>
        <v>0</v>
      </c>
      <c r="N1203" s="2">
        <f>IF(LeadsData[[#This Row],[Stage Number]]&gt;=3,1,0)</f>
        <v>0</v>
      </c>
      <c r="O1203" s="2">
        <f>IF(LeadsData[[#This Row],[Stage Number]]&gt;=4,1,0)</f>
        <v>0</v>
      </c>
    </row>
    <row r="1204" spans="1:15" x14ac:dyDescent="0.25">
      <c r="A1204" t="s">
        <v>1244</v>
      </c>
      <c r="B1204" s="1">
        <v>45652</v>
      </c>
      <c r="C1204" t="s">
        <v>17</v>
      </c>
      <c r="D1204" t="s">
        <v>18</v>
      </c>
      <c r="E1204" t="s">
        <v>13</v>
      </c>
      <c r="F1204" t="s">
        <v>22</v>
      </c>
      <c r="G1204" t="s">
        <v>15</v>
      </c>
      <c r="K1204" cm="1">
        <f t="array" ref="K1204">_xlfn.SWITCH(LeadsData[[#This Row],[Funnel Stage Reached]],"Lead",1,"MQL",2,"SQL",3,"Customer",4)</f>
        <v>1</v>
      </c>
      <c r="L1204" t="str">
        <f>TEXT(LeadsData[[#This Row],[Signup Date]],"mmm-yyyy")</f>
        <v>Dec-2024</v>
      </c>
      <c r="M1204">
        <f>IF(LeadsData[[#This Row],[Stage Number]]&gt;=2,1,0)</f>
        <v>0</v>
      </c>
      <c r="N1204" s="2">
        <f>IF(LeadsData[[#This Row],[Stage Number]]&gt;=3,1,0)</f>
        <v>0</v>
      </c>
      <c r="O1204" s="2">
        <f>IF(LeadsData[[#This Row],[Stage Number]]&gt;=4,1,0)</f>
        <v>0</v>
      </c>
    </row>
    <row r="1205" spans="1:15" x14ac:dyDescent="0.25">
      <c r="A1205" t="s">
        <v>1245</v>
      </c>
      <c r="B1205" s="1">
        <v>45377</v>
      </c>
      <c r="C1205" t="s">
        <v>31</v>
      </c>
      <c r="D1205" t="s">
        <v>32</v>
      </c>
      <c r="E1205" t="s">
        <v>13</v>
      </c>
      <c r="F1205" t="s">
        <v>19</v>
      </c>
      <c r="G1205" t="s">
        <v>15</v>
      </c>
      <c r="K1205" cm="1">
        <f t="array" ref="K1205">_xlfn.SWITCH(LeadsData[[#This Row],[Funnel Stage Reached]],"Lead",1,"MQL",2,"SQL",3,"Customer",4)</f>
        <v>1</v>
      </c>
      <c r="L1205" t="str">
        <f>TEXT(LeadsData[[#This Row],[Signup Date]],"mmm-yyyy")</f>
        <v>Mar-2024</v>
      </c>
      <c r="M1205">
        <f>IF(LeadsData[[#This Row],[Stage Number]]&gt;=2,1,0)</f>
        <v>0</v>
      </c>
      <c r="N1205" s="2">
        <f>IF(LeadsData[[#This Row],[Stage Number]]&gt;=3,1,0)</f>
        <v>0</v>
      </c>
      <c r="O1205" s="2">
        <f>IF(LeadsData[[#This Row],[Stage Number]]&gt;=4,1,0)</f>
        <v>0</v>
      </c>
    </row>
    <row r="1206" spans="1:15" x14ac:dyDescent="0.25">
      <c r="A1206" t="s">
        <v>1246</v>
      </c>
      <c r="B1206" s="1">
        <v>45563</v>
      </c>
      <c r="C1206" t="s">
        <v>36</v>
      </c>
      <c r="D1206" t="s">
        <v>50</v>
      </c>
      <c r="E1206" t="s">
        <v>21</v>
      </c>
      <c r="F1206" t="s">
        <v>14</v>
      </c>
      <c r="G1206" t="s">
        <v>23</v>
      </c>
      <c r="K1206" cm="1">
        <f t="array" ref="K1206">_xlfn.SWITCH(LeadsData[[#This Row],[Funnel Stage Reached]],"Lead",1,"MQL",2,"SQL",3,"Customer",4)</f>
        <v>2</v>
      </c>
      <c r="L1206" t="str">
        <f>TEXT(LeadsData[[#This Row],[Signup Date]],"mmm-yyyy")</f>
        <v>Sep-2024</v>
      </c>
      <c r="M1206">
        <f>IF(LeadsData[[#This Row],[Stage Number]]&gt;=2,1,0)</f>
        <v>1</v>
      </c>
      <c r="N1206" s="2">
        <f>IF(LeadsData[[#This Row],[Stage Number]]&gt;=3,1,0)</f>
        <v>0</v>
      </c>
      <c r="O1206" s="2">
        <f>IF(LeadsData[[#This Row],[Stage Number]]&gt;=4,1,0)</f>
        <v>0</v>
      </c>
    </row>
    <row r="1207" spans="1:15" x14ac:dyDescent="0.25">
      <c r="A1207" t="s">
        <v>1247</v>
      </c>
      <c r="B1207" s="1">
        <v>45641</v>
      </c>
      <c r="C1207" t="s">
        <v>17</v>
      </c>
      <c r="D1207" t="s">
        <v>18</v>
      </c>
      <c r="E1207" t="s">
        <v>13</v>
      </c>
      <c r="F1207" t="s">
        <v>19</v>
      </c>
      <c r="G1207" t="s">
        <v>42</v>
      </c>
      <c r="H1207">
        <v>31</v>
      </c>
      <c r="I1207" t="s">
        <v>43</v>
      </c>
      <c r="J1207">
        <v>544.1</v>
      </c>
      <c r="K1207" cm="1">
        <f t="array" ref="K1207">_xlfn.SWITCH(LeadsData[[#This Row],[Funnel Stage Reached]],"Lead",1,"MQL",2,"SQL",3,"Customer",4)</f>
        <v>4</v>
      </c>
      <c r="L1207" t="str">
        <f>TEXT(LeadsData[[#This Row],[Signup Date]],"mmm-yyyy")</f>
        <v>Dec-2024</v>
      </c>
      <c r="M1207">
        <f>IF(LeadsData[[#This Row],[Stage Number]]&gt;=2,1,0)</f>
        <v>1</v>
      </c>
      <c r="N1207" s="2">
        <f>IF(LeadsData[[#This Row],[Stage Number]]&gt;=3,1,0)</f>
        <v>1</v>
      </c>
      <c r="O1207" s="2">
        <f>IF(LeadsData[[#This Row],[Stage Number]]&gt;=4,1,0)</f>
        <v>1</v>
      </c>
    </row>
    <row r="1208" spans="1:15" x14ac:dyDescent="0.25">
      <c r="A1208" t="s">
        <v>1248</v>
      </c>
      <c r="B1208" s="1">
        <v>45571</v>
      </c>
      <c r="C1208" t="s">
        <v>25</v>
      </c>
      <c r="D1208" t="s">
        <v>26</v>
      </c>
      <c r="E1208" t="s">
        <v>48</v>
      </c>
      <c r="F1208" t="s">
        <v>19</v>
      </c>
      <c r="G1208" t="s">
        <v>23</v>
      </c>
      <c r="K1208" cm="1">
        <f t="array" ref="K1208">_xlfn.SWITCH(LeadsData[[#This Row],[Funnel Stage Reached]],"Lead",1,"MQL",2,"SQL",3,"Customer",4)</f>
        <v>2</v>
      </c>
      <c r="L1208" t="str">
        <f>TEXT(LeadsData[[#This Row],[Signup Date]],"mmm-yyyy")</f>
        <v>Oct-2024</v>
      </c>
      <c r="M1208">
        <f>IF(LeadsData[[#This Row],[Stage Number]]&gt;=2,1,0)</f>
        <v>1</v>
      </c>
      <c r="N1208" s="2">
        <f>IF(LeadsData[[#This Row],[Stage Number]]&gt;=3,1,0)</f>
        <v>0</v>
      </c>
      <c r="O1208" s="2">
        <f>IF(LeadsData[[#This Row],[Stage Number]]&gt;=4,1,0)</f>
        <v>0</v>
      </c>
    </row>
    <row r="1209" spans="1:15" x14ac:dyDescent="0.25">
      <c r="A1209" t="s">
        <v>1249</v>
      </c>
      <c r="B1209" s="1">
        <v>45604</v>
      </c>
      <c r="C1209" t="s">
        <v>11</v>
      </c>
      <c r="D1209" t="s">
        <v>68</v>
      </c>
      <c r="E1209" t="s">
        <v>21</v>
      </c>
      <c r="F1209" t="s">
        <v>14</v>
      </c>
      <c r="G1209" t="s">
        <v>23</v>
      </c>
      <c r="K1209" cm="1">
        <f t="array" ref="K1209">_xlfn.SWITCH(LeadsData[[#This Row],[Funnel Stage Reached]],"Lead",1,"MQL",2,"SQL",3,"Customer",4)</f>
        <v>2</v>
      </c>
      <c r="L1209" t="str">
        <f>TEXT(LeadsData[[#This Row],[Signup Date]],"mmm-yyyy")</f>
        <v>Nov-2024</v>
      </c>
      <c r="M1209">
        <f>IF(LeadsData[[#This Row],[Stage Number]]&gt;=2,1,0)</f>
        <v>1</v>
      </c>
      <c r="N1209" s="2">
        <f>IF(LeadsData[[#This Row],[Stage Number]]&gt;=3,1,0)</f>
        <v>0</v>
      </c>
      <c r="O1209" s="2">
        <f>IF(LeadsData[[#This Row],[Stage Number]]&gt;=4,1,0)</f>
        <v>0</v>
      </c>
    </row>
    <row r="1210" spans="1:15" x14ac:dyDescent="0.25">
      <c r="A1210" t="s">
        <v>1250</v>
      </c>
      <c r="B1210" s="1">
        <v>45637</v>
      </c>
      <c r="C1210" t="s">
        <v>11</v>
      </c>
      <c r="D1210" t="s">
        <v>12</v>
      </c>
      <c r="E1210" t="s">
        <v>21</v>
      </c>
      <c r="F1210" t="s">
        <v>14</v>
      </c>
      <c r="G1210" t="s">
        <v>15</v>
      </c>
      <c r="K1210" cm="1">
        <f t="array" ref="K1210">_xlfn.SWITCH(LeadsData[[#This Row],[Funnel Stage Reached]],"Lead",1,"MQL",2,"SQL",3,"Customer",4)</f>
        <v>1</v>
      </c>
      <c r="L1210" t="str">
        <f>TEXT(LeadsData[[#This Row],[Signup Date]],"mmm-yyyy")</f>
        <v>Dec-2024</v>
      </c>
      <c r="M1210">
        <f>IF(LeadsData[[#This Row],[Stage Number]]&gt;=2,1,0)</f>
        <v>0</v>
      </c>
      <c r="N1210" s="2">
        <f>IF(LeadsData[[#This Row],[Stage Number]]&gt;=3,1,0)</f>
        <v>0</v>
      </c>
      <c r="O1210" s="2">
        <f>IF(LeadsData[[#This Row],[Stage Number]]&gt;=4,1,0)</f>
        <v>0</v>
      </c>
    </row>
    <row r="1211" spans="1:15" x14ac:dyDescent="0.25">
      <c r="A1211" t="s">
        <v>1251</v>
      </c>
      <c r="B1211" s="1">
        <v>45647</v>
      </c>
      <c r="C1211" t="s">
        <v>11</v>
      </c>
      <c r="D1211" t="s">
        <v>12</v>
      </c>
      <c r="E1211" t="s">
        <v>13</v>
      </c>
      <c r="F1211" t="s">
        <v>19</v>
      </c>
      <c r="G1211" t="s">
        <v>15</v>
      </c>
      <c r="K1211" cm="1">
        <f t="array" ref="K1211">_xlfn.SWITCH(LeadsData[[#This Row],[Funnel Stage Reached]],"Lead",1,"MQL",2,"SQL",3,"Customer",4)</f>
        <v>1</v>
      </c>
      <c r="L1211" t="str">
        <f>TEXT(LeadsData[[#This Row],[Signup Date]],"mmm-yyyy")</f>
        <v>Dec-2024</v>
      </c>
      <c r="M1211">
        <f>IF(LeadsData[[#This Row],[Stage Number]]&gt;=2,1,0)</f>
        <v>0</v>
      </c>
      <c r="N1211" s="2">
        <f>IF(LeadsData[[#This Row],[Stage Number]]&gt;=3,1,0)</f>
        <v>0</v>
      </c>
      <c r="O1211" s="2">
        <f>IF(LeadsData[[#This Row],[Stage Number]]&gt;=4,1,0)</f>
        <v>0</v>
      </c>
    </row>
    <row r="1212" spans="1:15" x14ac:dyDescent="0.25">
      <c r="A1212" t="s">
        <v>1252</v>
      </c>
      <c r="B1212" s="1">
        <v>45446</v>
      </c>
      <c r="C1212" t="s">
        <v>31</v>
      </c>
      <c r="D1212" t="s">
        <v>32</v>
      </c>
      <c r="E1212" t="s">
        <v>13</v>
      </c>
      <c r="F1212" t="s">
        <v>22</v>
      </c>
      <c r="G1212" t="s">
        <v>23</v>
      </c>
      <c r="K1212" cm="1">
        <f t="array" ref="K1212">_xlfn.SWITCH(LeadsData[[#This Row],[Funnel Stage Reached]],"Lead",1,"MQL",2,"SQL",3,"Customer",4)</f>
        <v>2</v>
      </c>
      <c r="L1212" t="str">
        <f>TEXT(LeadsData[[#This Row],[Signup Date]],"mmm-yyyy")</f>
        <v>Jun-2024</v>
      </c>
      <c r="M1212">
        <f>IF(LeadsData[[#This Row],[Stage Number]]&gt;=2,1,0)</f>
        <v>1</v>
      </c>
      <c r="N1212" s="2">
        <f>IF(LeadsData[[#This Row],[Stage Number]]&gt;=3,1,0)</f>
        <v>0</v>
      </c>
      <c r="O1212" s="2">
        <f>IF(LeadsData[[#This Row],[Stage Number]]&gt;=4,1,0)</f>
        <v>0</v>
      </c>
    </row>
    <row r="1213" spans="1:15" x14ac:dyDescent="0.25">
      <c r="A1213" t="s">
        <v>1253</v>
      </c>
      <c r="B1213" s="1">
        <v>45602</v>
      </c>
      <c r="C1213" t="s">
        <v>31</v>
      </c>
      <c r="D1213" t="s">
        <v>34</v>
      </c>
      <c r="E1213" t="s">
        <v>21</v>
      </c>
      <c r="F1213" t="s">
        <v>19</v>
      </c>
      <c r="G1213" t="s">
        <v>42</v>
      </c>
      <c r="H1213">
        <v>54</v>
      </c>
      <c r="I1213" t="s">
        <v>87</v>
      </c>
      <c r="J1213">
        <v>1565.35</v>
      </c>
      <c r="K1213" cm="1">
        <f t="array" ref="K1213">_xlfn.SWITCH(LeadsData[[#This Row],[Funnel Stage Reached]],"Lead",1,"MQL",2,"SQL",3,"Customer",4)</f>
        <v>4</v>
      </c>
      <c r="L1213" t="str">
        <f>TEXT(LeadsData[[#This Row],[Signup Date]],"mmm-yyyy")</f>
        <v>Nov-2024</v>
      </c>
      <c r="M1213">
        <f>IF(LeadsData[[#This Row],[Stage Number]]&gt;=2,1,0)</f>
        <v>1</v>
      </c>
      <c r="N1213" s="2">
        <f>IF(LeadsData[[#This Row],[Stage Number]]&gt;=3,1,0)</f>
        <v>1</v>
      </c>
      <c r="O1213" s="2">
        <f>IF(LeadsData[[#This Row],[Stage Number]]&gt;=4,1,0)</f>
        <v>1</v>
      </c>
    </row>
    <row r="1214" spans="1:15" x14ac:dyDescent="0.25">
      <c r="A1214" t="s">
        <v>1254</v>
      </c>
      <c r="B1214" s="1">
        <v>45598</v>
      </c>
      <c r="C1214" t="s">
        <v>46</v>
      </c>
      <c r="D1214" t="s">
        <v>56</v>
      </c>
      <c r="E1214" t="s">
        <v>21</v>
      </c>
      <c r="F1214" t="s">
        <v>14</v>
      </c>
      <c r="G1214" t="s">
        <v>15</v>
      </c>
      <c r="K1214" cm="1">
        <f t="array" ref="K1214">_xlfn.SWITCH(LeadsData[[#This Row],[Funnel Stage Reached]],"Lead",1,"MQL",2,"SQL",3,"Customer",4)</f>
        <v>1</v>
      </c>
      <c r="L1214" t="str">
        <f>TEXT(LeadsData[[#This Row],[Signup Date]],"mmm-yyyy")</f>
        <v>Nov-2024</v>
      </c>
      <c r="M1214">
        <f>IF(LeadsData[[#This Row],[Stage Number]]&gt;=2,1,0)</f>
        <v>0</v>
      </c>
      <c r="N1214" s="2">
        <f>IF(LeadsData[[#This Row],[Stage Number]]&gt;=3,1,0)</f>
        <v>0</v>
      </c>
      <c r="O1214" s="2">
        <f>IF(LeadsData[[#This Row],[Stage Number]]&gt;=4,1,0)</f>
        <v>0</v>
      </c>
    </row>
    <row r="1215" spans="1:15" x14ac:dyDescent="0.25">
      <c r="A1215" t="s">
        <v>1255</v>
      </c>
      <c r="B1215" s="1">
        <v>45436</v>
      </c>
      <c r="C1215" t="s">
        <v>46</v>
      </c>
      <c r="D1215" t="s">
        <v>56</v>
      </c>
      <c r="E1215" t="s">
        <v>21</v>
      </c>
      <c r="F1215" t="s">
        <v>19</v>
      </c>
      <c r="G1215" t="s">
        <v>15</v>
      </c>
      <c r="K1215" cm="1">
        <f t="array" ref="K1215">_xlfn.SWITCH(LeadsData[[#This Row],[Funnel Stage Reached]],"Lead",1,"MQL",2,"SQL",3,"Customer",4)</f>
        <v>1</v>
      </c>
      <c r="L1215" t="str">
        <f>TEXT(LeadsData[[#This Row],[Signup Date]],"mmm-yyyy")</f>
        <v>May-2024</v>
      </c>
      <c r="M1215">
        <f>IF(LeadsData[[#This Row],[Stage Number]]&gt;=2,1,0)</f>
        <v>0</v>
      </c>
      <c r="N1215" s="2">
        <f>IF(LeadsData[[#This Row],[Stage Number]]&gt;=3,1,0)</f>
        <v>0</v>
      </c>
      <c r="O1215" s="2">
        <f>IF(LeadsData[[#This Row],[Stage Number]]&gt;=4,1,0)</f>
        <v>0</v>
      </c>
    </row>
    <row r="1216" spans="1:15" x14ac:dyDescent="0.25">
      <c r="A1216" t="s">
        <v>1256</v>
      </c>
      <c r="B1216" s="1">
        <v>45642</v>
      </c>
      <c r="C1216" t="s">
        <v>17</v>
      </c>
      <c r="D1216" t="s">
        <v>18</v>
      </c>
      <c r="E1216" t="s">
        <v>13</v>
      </c>
      <c r="F1216" t="s">
        <v>19</v>
      </c>
      <c r="G1216" t="s">
        <v>15</v>
      </c>
      <c r="K1216" cm="1">
        <f t="array" ref="K1216">_xlfn.SWITCH(LeadsData[[#This Row],[Funnel Stage Reached]],"Lead",1,"MQL",2,"SQL",3,"Customer",4)</f>
        <v>1</v>
      </c>
      <c r="L1216" t="str">
        <f>TEXT(LeadsData[[#This Row],[Signup Date]],"mmm-yyyy")</f>
        <v>Dec-2024</v>
      </c>
      <c r="M1216">
        <f>IF(LeadsData[[#This Row],[Stage Number]]&gt;=2,1,0)</f>
        <v>0</v>
      </c>
      <c r="N1216" s="2">
        <f>IF(LeadsData[[#This Row],[Stage Number]]&gt;=3,1,0)</f>
        <v>0</v>
      </c>
      <c r="O1216" s="2">
        <f>IF(LeadsData[[#This Row],[Stage Number]]&gt;=4,1,0)</f>
        <v>0</v>
      </c>
    </row>
    <row r="1217" spans="1:15" x14ac:dyDescent="0.25">
      <c r="A1217" t="s">
        <v>1257</v>
      </c>
      <c r="B1217" s="1">
        <v>45586</v>
      </c>
      <c r="C1217" t="s">
        <v>31</v>
      </c>
      <c r="D1217" t="s">
        <v>32</v>
      </c>
      <c r="E1217" t="s">
        <v>21</v>
      </c>
      <c r="F1217" t="s">
        <v>19</v>
      </c>
      <c r="G1217" t="s">
        <v>23</v>
      </c>
      <c r="K1217" cm="1">
        <f t="array" ref="K1217">_xlfn.SWITCH(LeadsData[[#This Row],[Funnel Stage Reached]],"Lead",1,"MQL",2,"SQL",3,"Customer",4)</f>
        <v>2</v>
      </c>
      <c r="L1217" t="str">
        <f>TEXT(LeadsData[[#This Row],[Signup Date]],"mmm-yyyy")</f>
        <v>Oct-2024</v>
      </c>
      <c r="M1217">
        <f>IF(LeadsData[[#This Row],[Stage Number]]&gt;=2,1,0)</f>
        <v>1</v>
      </c>
      <c r="N1217" s="2">
        <f>IF(LeadsData[[#This Row],[Stage Number]]&gt;=3,1,0)</f>
        <v>0</v>
      </c>
      <c r="O1217" s="2">
        <f>IF(LeadsData[[#This Row],[Stage Number]]&gt;=4,1,0)</f>
        <v>0</v>
      </c>
    </row>
    <row r="1218" spans="1:15" x14ac:dyDescent="0.25">
      <c r="A1218" t="s">
        <v>1258</v>
      </c>
      <c r="B1218" s="1">
        <v>45562</v>
      </c>
      <c r="C1218" t="s">
        <v>31</v>
      </c>
      <c r="D1218" t="s">
        <v>34</v>
      </c>
      <c r="E1218" t="s">
        <v>13</v>
      </c>
      <c r="F1218" t="s">
        <v>19</v>
      </c>
      <c r="G1218" t="s">
        <v>23</v>
      </c>
      <c r="K1218" cm="1">
        <f t="array" ref="K1218">_xlfn.SWITCH(LeadsData[[#This Row],[Funnel Stage Reached]],"Lead",1,"MQL",2,"SQL",3,"Customer",4)</f>
        <v>2</v>
      </c>
      <c r="L1218" t="str">
        <f>TEXT(LeadsData[[#This Row],[Signup Date]],"mmm-yyyy")</f>
        <v>Sep-2024</v>
      </c>
      <c r="M1218">
        <f>IF(LeadsData[[#This Row],[Stage Number]]&gt;=2,1,0)</f>
        <v>1</v>
      </c>
      <c r="N1218" s="2">
        <f>IF(LeadsData[[#This Row],[Stage Number]]&gt;=3,1,0)</f>
        <v>0</v>
      </c>
      <c r="O1218" s="2">
        <f>IF(LeadsData[[#This Row],[Stage Number]]&gt;=4,1,0)</f>
        <v>0</v>
      </c>
    </row>
    <row r="1219" spans="1:15" x14ac:dyDescent="0.25">
      <c r="A1219" t="s">
        <v>1259</v>
      </c>
      <c r="B1219" s="1">
        <v>45575</v>
      </c>
      <c r="C1219" t="s">
        <v>17</v>
      </c>
      <c r="D1219" t="s">
        <v>18</v>
      </c>
      <c r="E1219" t="s">
        <v>21</v>
      </c>
      <c r="F1219" t="s">
        <v>19</v>
      </c>
      <c r="G1219" t="s">
        <v>23</v>
      </c>
      <c r="K1219" cm="1">
        <f t="array" ref="K1219">_xlfn.SWITCH(LeadsData[[#This Row],[Funnel Stage Reached]],"Lead",1,"MQL",2,"SQL",3,"Customer",4)</f>
        <v>2</v>
      </c>
      <c r="L1219" t="str">
        <f>TEXT(LeadsData[[#This Row],[Signup Date]],"mmm-yyyy")</f>
        <v>Oct-2024</v>
      </c>
      <c r="M1219">
        <f>IF(LeadsData[[#This Row],[Stage Number]]&gt;=2,1,0)</f>
        <v>1</v>
      </c>
      <c r="N1219" s="2">
        <f>IF(LeadsData[[#This Row],[Stage Number]]&gt;=3,1,0)</f>
        <v>0</v>
      </c>
      <c r="O1219" s="2">
        <f>IF(LeadsData[[#This Row],[Stage Number]]&gt;=4,1,0)</f>
        <v>0</v>
      </c>
    </row>
    <row r="1220" spans="1:15" x14ac:dyDescent="0.25">
      <c r="A1220" t="s">
        <v>1260</v>
      </c>
      <c r="B1220" s="1">
        <v>45460</v>
      </c>
      <c r="C1220" t="s">
        <v>36</v>
      </c>
      <c r="D1220" t="s">
        <v>37</v>
      </c>
      <c r="E1220" t="s">
        <v>21</v>
      </c>
      <c r="F1220" t="s">
        <v>14</v>
      </c>
      <c r="G1220" t="s">
        <v>15</v>
      </c>
      <c r="K1220" cm="1">
        <f t="array" ref="K1220">_xlfn.SWITCH(LeadsData[[#This Row],[Funnel Stage Reached]],"Lead",1,"MQL",2,"SQL",3,"Customer",4)</f>
        <v>1</v>
      </c>
      <c r="L1220" t="str">
        <f>TEXT(LeadsData[[#This Row],[Signup Date]],"mmm-yyyy")</f>
        <v>Jun-2024</v>
      </c>
      <c r="M1220">
        <f>IF(LeadsData[[#This Row],[Stage Number]]&gt;=2,1,0)</f>
        <v>0</v>
      </c>
      <c r="N1220" s="2">
        <f>IF(LeadsData[[#This Row],[Stage Number]]&gt;=3,1,0)</f>
        <v>0</v>
      </c>
      <c r="O1220" s="2">
        <f>IF(LeadsData[[#This Row],[Stage Number]]&gt;=4,1,0)</f>
        <v>0</v>
      </c>
    </row>
    <row r="1221" spans="1:15" x14ac:dyDescent="0.25">
      <c r="A1221" t="s">
        <v>1261</v>
      </c>
      <c r="B1221" s="1">
        <v>45474</v>
      </c>
      <c r="C1221" t="s">
        <v>25</v>
      </c>
      <c r="D1221" t="s">
        <v>26</v>
      </c>
      <c r="E1221" t="s">
        <v>13</v>
      </c>
      <c r="F1221" t="s">
        <v>22</v>
      </c>
      <c r="G1221" t="s">
        <v>15</v>
      </c>
      <c r="K1221" cm="1">
        <f t="array" ref="K1221">_xlfn.SWITCH(LeadsData[[#This Row],[Funnel Stage Reached]],"Lead",1,"MQL",2,"SQL",3,"Customer",4)</f>
        <v>1</v>
      </c>
      <c r="L1221" t="str">
        <f>TEXT(LeadsData[[#This Row],[Signup Date]],"mmm-yyyy")</f>
        <v>Jul-2024</v>
      </c>
      <c r="M1221">
        <f>IF(LeadsData[[#This Row],[Stage Number]]&gt;=2,1,0)</f>
        <v>0</v>
      </c>
      <c r="N1221" s="2">
        <f>IF(LeadsData[[#This Row],[Stage Number]]&gt;=3,1,0)</f>
        <v>0</v>
      </c>
      <c r="O1221" s="2">
        <f>IF(LeadsData[[#This Row],[Stage Number]]&gt;=4,1,0)</f>
        <v>0</v>
      </c>
    </row>
    <row r="1222" spans="1:15" x14ac:dyDescent="0.25">
      <c r="A1222" t="s">
        <v>1262</v>
      </c>
      <c r="B1222" s="1">
        <v>45548</v>
      </c>
      <c r="C1222" t="s">
        <v>31</v>
      </c>
      <c r="D1222" t="s">
        <v>34</v>
      </c>
      <c r="E1222" t="s">
        <v>13</v>
      </c>
      <c r="F1222" t="s">
        <v>19</v>
      </c>
      <c r="G1222" t="s">
        <v>29</v>
      </c>
      <c r="K1222" cm="1">
        <f t="array" ref="K1222">_xlfn.SWITCH(LeadsData[[#This Row],[Funnel Stage Reached]],"Lead",1,"MQL",2,"SQL",3,"Customer",4)</f>
        <v>3</v>
      </c>
      <c r="L1222" t="str">
        <f>TEXT(LeadsData[[#This Row],[Signup Date]],"mmm-yyyy")</f>
        <v>Sep-2024</v>
      </c>
      <c r="M1222">
        <f>IF(LeadsData[[#This Row],[Stage Number]]&gt;=2,1,0)</f>
        <v>1</v>
      </c>
      <c r="N1222" s="2">
        <f>IF(LeadsData[[#This Row],[Stage Number]]&gt;=3,1,0)</f>
        <v>1</v>
      </c>
      <c r="O1222" s="2">
        <f>IF(LeadsData[[#This Row],[Stage Number]]&gt;=4,1,0)</f>
        <v>0</v>
      </c>
    </row>
    <row r="1223" spans="1:15" x14ac:dyDescent="0.25">
      <c r="A1223" t="s">
        <v>1263</v>
      </c>
      <c r="B1223" s="1">
        <v>45375</v>
      </c>
      <c r="C1223" t="s">
        <v>46</v>
      </c>
      <c r="D1223" t="s">
        <v>56</v>
      </c>
      <c r="E1223" t="s">
        <v>21</v>
      </c>
      <c r="F1223" t="s">
        <v>19</v>
      </c>
      <c r="G1223" t="s">
        <v>23</v>
      </c>
      <c r="K1223" cm="1">
        <f t="array" ref="K1223">_xlfn.SWITCH(LeadsData[[#This Row],[Funnel Stage Reached]],"Lead",1,"MQL",2,"SQL",3,"Customer",4)</f>
        <v>2</v>
      </c>
      <c r="L1223" t="str">
        <f>TEXT(LeadsData[[#This Row],[Signup Date]],"mmm-yyyy")</f>
        <v>Mar-2024</v>
      </c>
      <c r="M1223">
        <f>IF(LeadsData[[#This Row],[Stage Number]]&gt;=2,1,0)</f>
        <v>1</v>
      </c>
      <c r="N1223" s="2">
        <f>IF(LeadsData[[#This Row],[Stage Number]]&gt;=3,1,0)</f>
        <v>0</v>
      </c>
      <c r="O1223" s="2">
        <f>IF(LeadsData[[#This Row],[Stage Number]]&gt;=4,1,0)</f>
        <v>0</v>
      </c>
    </row>
    <row r="1224" spans="1:15" x14ac:dyDescent="0.25">
      <c r="A1224" t="s">
        <v>1264</v>
      </c>
      <c r="B1224" s="1">
        <v>45648</v>
      </c>
      <c r="C1224" t="s">
        <v>17</v>
      </c>
      <c r="D1224" t="s">
        <v>18</v>
      </c>
      <c r="E1224" t="s">
        <v>13</v>
      </c>
      <c r="F1224" t="s">
        <v>14</v>
      </c>
      <c r="G1224" t="s">
        <v>23</v>
      </c>
      <c r="K1224" cm="1">
        <f t="array" ref="K1224">_xlfn.SWITCH(LeadsData[[#This Row],[Funnel Stage Reached]],"Lead",1,"MQL",2,"SQL",3,"Customer",4)</f>
        <v>2</v>
      </c>
      <c r="L1224" t="str">
        <f>TEXT(LeadsData[[#This Row],[Signup Date]],"mmm-yyyy")</f>
        <v>Dec-2024</v>
      </c>
      <c r="M1224">
        <f>IF(LeadsData[[#This Row],[Stage Number]]&gt;=2,1,0)</f>
        <v>1</v>
      </c>
      <c r="N1224" s="2">
        <f>IF(LeadsData[[#This Row],[Stage Number]]&gt;=3,1,0)</f>
        <v>0</v>
      </c>
      <c r="O1224" s="2">
        <f>IF(LeadsData[[#This Row],[Stage Number]]&gt;=4,1,0)</f>
        <v>0</v>
      </c>
    </row>
    <row r="1225" spans="1:15" x14ac:dyDescent="0.25">
      <c r="A1225" t="s">
        <v>1265</v>
      </c>
      <c r="B1225" s="1">
        <v>45599</v>
      </c>
      <c r="C1225" t="s">
        <v>36</v>
      </c>
      <c r="D1225" t="s">
        <v>37</v>
      </c>
      <c r="E1225" t="s">
        <v>21</v>
      </c>
      <c r="F1225" t="s">
        <v>19</v>
      </c>
      <c r="G1225" t="s">
        <v>15</v>
      </c>
      <c r="K1225" cm="1">
        <f t="array" ref="K1225">_xlfn.SWITCH(LeadsData[[#This Row],[Funnel Stage Reached]],"Lead",1,"MQL",2,"SQL",3,"Customer",4)</f>
        <v>1</v>
      </c>
      <c r="L1225" t="str">
        <f>TEXT(LeadsData[[#This Row],[Signup Date]],"mmm-yyyy")</f>
        <v>Nov-2024</v>
      </c>
      <c r="M1225">
        <f>IF(LeadsData[[#This Row],[Stage Number]]&gt;=2,1,0)</f>
        <v>0</v>
      </c>
      <c r="N1225" s="2">
        <f>IF(LeadsData[[#This Row],[Stage Number]]&gt;=3,1,0)</f>
        <v>0</v>
      </c>
      <c r="O1225" s="2">
        <f>IF(LeadsData[[#This Row],[Stage Number]]&gt;=4,1,0)</f>
        <v>0</v>
      </c>
    </row>
    <row r="1226" spans="1:15" x14ac:dyDescent="0.25">
      <c r="A1226" t="s">
        <v>1266</v>
      </c>
      <c r="B1226" s="1">
        <v>45652</v>
      </c>
      <c r="C1226" t="s">
        <v>31</v>
      </c>
      <c r="D1226" t="s">
        <v>32</v>
      </c>
      <c r="E1226" t="s">
        <v>13</v>
      </c>
      <c r="F1226" t="s">
        <v>14</v>
      </c>
      <c r="G1226" t="s">
        <v>29</v>
      </c>
      <c r="K1226" cm="1">
        <f t="array" ref="K1226">_xlfn.SWITCH(LeadsData[[#This Row],[Funnel Stage Reached]],"Lead",1,"MQL",2,"SQL",3,"Customer",4)</f>
        <v>3</v>
      </c>
      <c r="L1226" t="str">
        <f>TEXT(LeadsData[[#This Row],[Signup Date]],"mmm-yyyy")</f>
        <v>Dec-2024</v>
      </c>
      <c r="M1226">
        <f>IF(LeadsData[[#This Row],[Stage Number]]&gt;=2,1,0)</f>
        <v>1</v>
      </c>
      <c r="N1226" s="2">
        <f>IF(LeadsData[[#This Row],[Stage Number]]&gt;=3,1,0)</f>
        <v>1</v>
      </c>
      <c r="O1226" s="2">
        <f>IF(LeadsData[[#This Row],[Stage Number]]&gt;=4,1,0)</f>
        <v>0</v>
      </c>
    </row>
    <row r="1227" spans="1:15" x14ac:dyDescent="0.25">
      <c r="A1227" t="s">
        <v>1267</v>
      </c>
      <c r="B1227" s="1">
        <v>45652</v>
      </c>
      <c r="C1227" t="s">
        <v>11</v>
      </c>
      <c r="D1227" t="s">
        <v>12</v>
      </c>
      <c r="E1227" t="s">
        <v>21</v>
      </c>
      <c r="F1227" t="s">
        <v>19</v>
      </c>
      <c r="G1227" t="s">
        <v>15</v>
      </c>
      <c r="K1227" cm="1">
        <f t="array" ref="K1227">_xlfn.SWITCH(LeadsData[[#This Row],[Funnel Stage Reached]],"Lead",1,"MQL",2,"SQL",3,"Customer",4)</f>
        <v>1</v>
      </c>
      <c r="L1227" t="str">
        <f>TEXT(LeadsData[[#This Row],[Signup Date]],"mmm-yyyy")</f>
        <v>Dec-2024</v>
      </c>
      <c r="M1227">
        <f>IF(LeadsData[[#This Row],[Stage Number]]&gt;=2,1,0)</f>
        <v>0</v>
      </c>
      <c r="N1227" s="2">
        <f>IF(LeadsData[[#This Row],[Stage Number]]&gt;=3,1,0)</f>
        <v>0</v>
      </c>
      <c r="O1227" s="2">
        <f>IF(LeadsData[[#This Row],[Stage Number]]&gt;=4,1,0)</f>
        <v>0</v>
      </c>
    </row>
    <row r="1228" spans="1:15" x14ac:dyDescent="0.25">
      <c r="A1228" t="s">
        <v>1268</v>
      </c>
      <c r="B1228" s="1">
        <v>45466</v>
      </c>
      <c r="C1228" t="s">
        <v>17</v>
      </c>
      <c r="D1228" t="s">
        <v>18</v>
      </c>
      <c r="E1228" t="s">
        <v>13</v>
      </c>
      <c r="F1228" t="s">
        <v>14</v>
      </c>
      <c r="G1228" t="s">
        <v>23</v>
      </c>
      <c r="K1228" cm="1">
        <f t="array" ref="K1228">_xlfn.SWITCH(LeadsData[[#This Row],[Funnel Stage Reached]],"Lead",1,"MQL",2,"SQL",3,"Customer",4)</f>
        <v>2</v>
      </c>
      <c r="L1228" t="str">
        <f>TEXT(LeadsData[[#This Row],[Signup Date]],"mmm-yyyy")</f>
        <v>Jun-2024</v>
      </c>
      <c r="M1228">
        <f>IF(LeadsData[[#This Row],[Stage Number]]&gt;=2,1,0)</f>
        <v>1</v>
      </c>
      <c r="N1228" s="2">
        <f>IF(LeadsData[[#This Row],[Stage Number]]&gt;=3,1,0)</f>
        <v>0</v>
      </c>
      <c r="O1228" s="2">
        <f>IF(LeadsData[[#This Row],[Stage Number]]&gt;=4,1,0)</f>
        <v>0</v>
      </c>
    </row>
    <row r="1229" spans="1:15" x14ac:dyDescent="0.25">
      <c r="A1229" t="s">
        <v>1269</v>
      </c>
      <c r="B1229" s="1">
        <v>45367</v>
      </c>
      <c r="C1229" t="s">
        <v>46</v>
      </c>
      <c r="D1229" t="s">
        <v>56</v>
      </c>
      <c r="E1229" t="s">
        <v>13</v>
      </c>
      <c r="F1229" t="s">
        <v>22</v>
      </c>
      <c r="G1229" t="s">
        <v>23</v>
      </c>
      <c r="K1229" cm="1">
        <f t="array" ref="K1229">_xlfn.SWITCH(LeadsData[[#This Row],[Funnel Stage Reached]],"Lead",1,"MQL",2,"SQL",3,"Customer",4)</f>
        <v>2</v>
      </c>
      <c r="L1229" t="str">
        <f>TEXT(LeadsData[[#This Row],[Signup Date]],"mmm-yyyy")</f>
        <v>Mar-2024</v>
      </c>
      <c r="M1229">
        <f>IF(LeadsData[[#This Row],[Stage Number]]&gt;=2,1,0)</f>
        <v>1</v>
      </c>
      <c r="N1229" s="2">
        <f>IF(LeadsData[[#This Row],[Stage Number]]&gt;=3,1,0)</f>
        <v>0</v>
      </c>
      <c r="O1229" s="2">
        <f>IF(LeadsData[[#This Row],[Stage Number]]&gt;=4,1,0)</f>
        <v>0</v>
      </c>
    </row>
    <row r="1230" spans="1:15" x14ac:dyDescent="0.25">
      <c r="A1230" t="s">
        <v>1270</v>
      </c>
      <c r="B1230" s="1">
        <v>45366</v>
      </c>
      <c r="C1230" t="s">
        <v>36</v>
      </c>
      <c r="D1230" t="s">
        <v>50</v>
      </c>
      <c r="E1230" t="s">
        <v>21</v>
      </c>
      <c r="F1230" t="s">
        <v>22</v>
      </c>
      <c r="G1230" t="s">
        <v>42</v>
      </c>
      <c r="H1230">
        <v>47</v>
      </c>
      <c r="I1230" t="s">
        <v>87</v>
      </c>
      <c r="J1230">
        <v>3926.77</v>
      </c>
      <c r="K1230" cm="1">
        <f t="array" ref="K1230">_xlfn.SWITCH(LeadsData[[#This Row],[Funnel Stage Reached]],"Lead",1,"MQL",2,"SQL",3,"Customer",4)</f>
        <v>4</v>
      </c>
      <c r="L1230" t="str">
        <f>TEXT(LeadsData[[#This Row],[Signup Date]],"mmm-yyyy")</f>
        <v>Mar-2024</v>
      </c>
      <c r="M1230">
        <f>IF(LeadsData[[#This Row],[Stage Number]]&gt;=2,1,0)</f>
        <v>1</v>
      </c>
      <c r="N1230" s="2">
        <f>IF(LeadsData[[#This Row],[Stage Number]]&gt;=3,1,0)</f>
        <v>1</v>
      </c>
      <c r="O1230" s="2">
        <f>IF(LeadsData[[#This Row],[Stage Number]]&gt;=4,1,0)</f>
        <v>1</v>
      </c>
    </row>
    <row r="1231" spans="1:15" x14ac:dyDescent="0.25">
      <c r="A1231" t="s">
        <v>1271</v>
      </c>
      <c r="B1231" s="1">
        <v>45391</v>
      </c>
      <c r="C1231" t="s">
        <v>31</v>
      </c>
      <c r="D1231" t="s">
        <v>34</v>
      </c>
      <c r="E1231" t="s">
        <v>21</v>
      </c>
      <c r="F1231" t="s">
        <v>22</v>
      </c>
      <c r="G1231" t="s">
        <v>23</v>
      </c>
      <c r="K1231" cm="1">
        <f t="array" ref="K1231">_xlfn.SWITCH(LeadsData[[#This Row],[Funnel Stage Reached]],"Lead",1,"MQL",2,"SQL",3,"Customer",4)</f>
        <v>2</v>
      </c>
      <c r="L1231" t="str">
        <f>TEXT(LeadsData[[#This Row],[Signup Date]],"mmm-yyyy")</f>
        <v>Apr-2024</v>
      </c>
      <c r="M1231">
        <f>IF(LeadsData[[#This Row],[Stage Number]]&gt;=2,1,0)</f>
        <v>1</v>
      </c>
      <c r="N1231" s="2">
        <f>IF(LeadsData[[#This Row],[Stage Number]]&gt;=3,1,0)</f>
        <v>0</v>
      </c>
      <c r="O1231" s="2">
        <f>IF(LeadsData[[#This Row],[Stage Number]]&gt;=4,1,0)</f>
        <v>0</v>
      </c>
    </row>
    <row r="1232" spans="1:15" x14ac:dyDescent="0.25">
      <c r="A1232" t="s">
        <v>1272</v>
      </c>
      <c r="B1232" s="1">
        <v>45346</v>
      </c>
      <c r="C1232" t="s">
        <v>11</v>
      </c>
      <c r="D1232" t="s">
        <v>68</v>
      </c>
      <c r="E1232" t="s">
        <v>13</v>
      </c>
      <c r="F1232" t="s">
        <v>22</v>
      </c>
      <c r="G1232" t="s">
        <v>42</v>
      </c>
      <c r="H1232">
        <v>39</v>
      </c>
      <c r="I1232" t="s">
        <v>87</v>
      </c>
      <c r="J1232">
        <v>3512.37</v>
      </c>
      <c r="K1232" cm="1">
        <f t="array" ref="K1232">_xlfn.SWITCH(LeadsData[[#This Row],[Funnel Stage Reached]],"Lead",1,"MQL",2,"SQL",3,"Customer",4)</f>
        <v>4</v>
      </c>
      <c r="L1232" t="str">
        <f>TEXT(LeadsData[[#This Row],[Signup Date]],"mmm-yyyy")</f>
        <v>Feb-2024</v>
      </c>
      <c r="M1232">
        <f>IF(LeadsData[[#This Row],[Stage Number]]&gt;=2,1,0)</f>
        <v>1</v>
      </c>
      <c r="N1232" s="2">
        <f>IF(LeadsData[[#This Row],[Stage Number]]&gt;=3,1,0)</f>
        <v>1</v>
      </c>
      <c r="O1232" s="2">
        <f>IF(LeadsData[[#This Row],[Stage Number]]&gt;=4,1,0)</f>
        <v>1</v>
      </c>
    </row>
    <row r="1233" spans="1:15" x14ac:dyDescent="0.25">
      <c r="A1233" t="s">
        <v>1273</v>
      </c>
      <c r="B1233" s="1">
        <v>45327</v>
      </c>
      <c r="C1233" t="s">
        <v>46</v>
      </c>
      <c r="D1233" t="s">
        <v>47</v>
      </c>
      <c r="E1233" t="s">
        <v>21</v>
      </c>
      <c r="F1233" t="s">
        <v>14</v>
      </c>
      <c r="G1233" t="s">
        <v>15</v>
      </c>
      <c r="K1233" cm="1">
        <f t="array" ref="K1233">_xlfn.SWITCH(LeadsData[[#This Row],[Funnel Stage Reached]],"Lead",1,"MQL",2,"SQL",3,"Customer",4)</f>
        <v>1</v>
      </c>
      <c r="L1233" t="str">
        <f>TEXT(LeadsData[[#This Row],[Signup Date]],"mmm-yyyy")</f>
        <v>Feb-2024</v>
      </c>
      <c r="M1233">
        <f>IF(LeadsData[[#This Row],[Stage Number]]&gt;=2,1,0)</f>
        <v>0</v>
      </c>
      <c r="N1233" s="2">
        <f>IF(LeadsData[[#This Row],[Stage Number]]&gt;=3,1,0)</f>
        <v>0</v>
      </c>
      <c r="O1233" s="2">
        <f>IF(LeadsData[[#This Row],[Stage Number]]&gt;=4,1,0)</f>
        <v>0</v>
      </c>
    </row>
    <row r="1234" spans="1:15" x14ac:dyDescent="0.25">
      <c r="A1234" t="s">
        <v>1274</v>
      </c>
      <c r="B1234" s="1">
        <v>45523</v>
      </c>
      <c r="C1234" t="s">
        <v>25</v>
      </c>
      <c r="D1234" t="s">
        <v>26</v>
      </c>
      <c r="E1234" t="s">
        <v>13</v>
      </c>
      <c r="F1234" t="s">
        <v>14</v>
      </c>
      <c r="G1234" t="s">
        <v>15</v>
      </c>
      <c r="K1234" cm="1">
        <f t="array" ref="K1234">_xlfn.SWITCH(LeadsData[[#This Row],[Funnel Stage Reached]],"Lead",1,"MQL",2,"SQL",3,"Customer",4)</f>
        <v>1</v>
      </c>
      <c r="L1234" t="str">
        <f>TEXT(LeadsData[[#This Row],[Signup Date]],"mmm-yyyy")</f>
        <v>Aug-2024</v>
      </c>
      <c r="M1234">
        <f>IF(LeadsData[[#This Row],[Stage Number]]&gt;=2,1,0)</f>
        <v>0</v>
      </c>
      <c r="N1234" s="2">
        <f>IF(LeadsData[[#This Row],[Stage Number]]&gt;=3,1,0)</f>
        <v>0</v>
      </c>
      <c r="O1234" s="2">
        <f>IF(LeadsData[[#This Row],[Stage Number]]&gt;=4,1,0)</f>
        <v>0</v>
      </c>
    </row>
    <row r="1235" spans="1:15" x14ac:dyDescent="0.25">
      <c r="A1235" t="s">
        <v>1275</v>
      </c>
      <c r="B1235" s="1">
        <v>45401</v>
      </c>
      <c r="C1235" t="s">
        <v>36</v>
      </c>
      <c r="D1235" t="s">
        <v>50</v>
      </c>
      <c r="E1235" t="s">
        <v>13</v>
      </c>
      <c r="F1235" t="s">
        <v>19</v>
      </c>
      <c r="G1235" t="s">
        <v>23</v>
      </c>
      <c r="K1235" cm="1">
        <f t="array" ref="K1235">_xlfn.SWITCH(LeadsData[[#This Row],[Funnel Stage Reached]],"Lead",1,"MQL",2,"SQL",3,"Customer",4)</f>
        <v>2</v>
      </c>
      <c r="L1235" t="str">
        <f>TEXT(LeadsData[[#This Row],[Signup Date]],"mmm-yyyy")</f>
        <v>Apr-2024</v>
      </c>
      <c r="M1235">
        <f>IF(LeadsData[[#This Row],[Stage Number]]&gt;=2,1,0)</f>
        <v>1</v>
      </c>
      <c r="N1235" s="2">
        <f>IF(LeadsData[[#This Row],[Stage Number]]&gt;=3,1,0)</f>
        <v>0</v>
      </c>
      <c r="O1235" s="2">
        <f>IF(LeadsData[[#This Row],[Stage Number]]&gt;=4,1,0)</f>
        <v>0</v>
      </c>
    </row>
    <row r="1236" spans="1:15" x14ac:dyDescent="0.25">
      <c r="A1236" t="s">
        <v>1276</v>
      </c>
      <c r="B1236" s="1">
        <v>45337</v>
      </c>
      <c r="C1236" t="s">
        <v>11</v>
      </c>
      <c r="D1236" t="s">
        <v>12</v>
      </c>
      <c r="E1236" t="s">
        <v>21</v>
      </c>
      <c r="F1236" t="s">
        <v>28</v>
      </c>
      <c r="G1236" t="s">
        <v>23</v>
      </c>
      <c r="K1236" cm="1">
        <f t="array" ref="K1236">_xlfn.SWITCH(LeadsData[[#This Row],[Funnel Stage Reached]],"Lead",1,"MQL",2,"SQL",3,"Customer",4)</f>
        <v>2</v>
      </c>
      <c r="L1236" t="str">
        <f>TEXT(LeadsData[[#This Row],[Signup Date]],"mmm-yyyy")</f>
        <v>Feb-2024</v>
      </c>
      <c r="M1236">
        <f>IF(LeadsData[[#This Row],[Stage Number]]&gt;=2,1,0)</f>
        <v>1</v>
      </c>
      <c r="N1236" s="2">
        <f>IF(LeadsData[[#This Row],[Stage Number]]&gt;=3,1,0)</f>
        <v>0</v>
      </c>
      <c r="O1236" s="2">
        <f>IF(LeadsData[[#This Row],[Stage Number]]&gt;=4,1,0)</f>
        <v>0</v>
      </c>
    </row>
    <row r="1237" spans="1:15" x14ac:dyDescent="0.25">
      <c r="A1237" t="s">
        <v>1277</v>
      </c>
      <c r="B1237" s="1">
        <v>45312</v>
      </c>
      <c r="C1237" t="s">
        <v>46</v>
      </c>
      <c r="D1237" t="s">
        <v>47</v>
      </c>
      <c r="E1237" t="s">
        <v>13</v>
      </c>
      <c r="F1237" t="s">
        <v>22</v>
      </c>
      <c r="G1237" t="s">
        <v>15</v>
      </c>
      <c r="K1237" cm="1">
        <f t="array" ref="K1237">_xlfn.SWITCH(LeadsData[[#This Row],[Funnel Stage Reached]],"Lead",1,"MQL",2,"SQL",3,"Customer",4)</f>
        <v>1</v>
      </c>
      <c r="L1237" t="str">
        <f>TEXT(LeadsData[[#This Row],[Signup Date]],"mmm-yyyy")</f>
        <v>Jan-2024</v>
      </c>
      <c r="M1237">
        <f>IF(LeadsData[[#This Row],[Stage Number]]&gt;=2,1,0)</f>
        <v>0</v>
      </c>
      <c r="N1237" s="2">
        <f>IF(LeadsData[[#This Row],[Stage Number]]&gt;=3,1,0)</f>
        <v>0</v>
      </c>
      <c r="O1237" s="2">
        <f>IF(LeadsData[[#This Row],[Stage Number]]&gt;=4,1,0)</f>
        <v>0</v>
      </c>
    </row>
    <row r="1238" spans="1:15" x14ac:dyDescent="0.25">
      <c r="A1238" t="s">
        <v>1278</v>
      </c>
      <c r="B1238" s="1">
        <v>45643</v>
      </c>
      <c r="C1238" t="s">
        <v>17</v>
      </c>
      <c r="D1238" t="s">
        <v>53</v>
      </c>
      <c r="E1238" t="s">
        <v>21</v>
      </c>
      <c r="F1238" t="s">
        <v>19</v>
      </c>
      <c r="G1238" t="s">
        <v>29</v>
      </c>
      <c r="K1238" cm="1">
        <f t="array" ref="K1238">_xlfn.SWITCH(LeadsData[[#This Row],[Funnel Stage Reached]],"Lead",1,"MQL",2,"SQL",3,"Customer",4)</f>
        <v>3</v>
      </c>
      <c r="L1238" t="str">
        <f>TEXT(LeadsData[[#This Row],[Signup Date]],"mmm-yyyy")</f>
        <v>Dec-2024</v>
      </c>
      <c r="M1238">
        <f>IF(LeadsData[[#This Row],[Stage Number]]&gt;=2,1,0)</f>
        <v>1</v>
      </c>
      <c r="N1238" s="2">
        <f>IF(LeadsData[[#This Row],[Stage Number]]&gt;=3,1,0)</f>
        <v>1</v>
      </c>
      <c r="O1238" s="2">
        <f>IF(LeadsData[[#This Row],[Stage Number]]&gt;=4,1,0)</f>
        <v>0</v>
      </c>
    </row>
    <row r="1239" spans="1:15" x14ac:dyDescent="0.25">
      <c r="A1239" t="s">
        <v>1279</v>
      </c>
      <c r="B1239" s="1">
        <v>45308</v>
      </c>
      <c r="C1239" t="s">
        <v>46</v>
      </c>
      <c r="D1239" t="s">
        <v>56</v>
      </c>
      <c r="E1239" t="s">
        <v>48</v>
      </c>
      <c r="F1239" t="s">
        <v>19</v>
      </c>
      <c r="G1239" t="s">
        <v>15</v>
      </c>
      <c r="K1239" cm="1">
        <f t="array" ref="K1239">_xlfn.SWITCH(LeadsData[[#This Row],[Funnel Stage Reached]],"Lead",1,"MQL",2,"SQL",3,"Customer",4)</f>
        <v>1</v>
      </c>
      <c r="L1239" t="str">
        <f>TEXT(LeadsData[[#This Row],[Signup Date]],"mmm-yyyy")</f>
        <v>Jan-2024</v>
      </c>
      <c r="M1239">
        <f>IF(LeadsData[[#This Row],[Stage Number]]&gt;=2,1,0)</f>
        <v>0</v>
      </c>
      <c r="N1239" s="2">
        <f>IF(LeadsData[[#This Row],[Stage Number]]&gt;=3,1,0)</f>
        <v>0</v>
      </c>
      <c r="O1239" s="2">
        <f>IF(LeadsData[[#This Row],[Stage Number]]&gt;=4,1,0)</f>
        <v>0</v>
      </c>
    </row>
    <row r="1240" spans="1:15" x14ac:dyDescent="0.25">
      <c r="A1240" t="s">
        <v>1280</v>
      </c>
      <c r="B1240" s="1">
        <v>45497</v>
      </c>
      <c r="C1240" t="s">
        <v>17</v>
      </c>
      <c r="D1240" t="s">
        <v>18</v>
      </c>
      <c r="E1240" t="s">
        <v>13</v>
      </c>
      <c r="F1240" t="s">
        <v>22</v>
      </c>
      <c r="G1240" t="s">
        <v>15</v>
      </c>
      <c r="K1240" cm="1">
        <f t="array" ref="K1240">_xlfn.SWITCH(LeadsData[[#This Row],[Funnel Stage Reached]],"Lead",1,"MQL",2,"SQL",3,"Customer",4)</f>
        <v>1</v>
      </c>
      <c r="L1240" t="str">
        <f>TEXT(LeadsData[[#This Row],[Signup Date]],"mmm-yyyy")</f>
        <v>Jul-2024</v>
      </c>
      <c r="M1240">
        <f>IF(LeadsData[[#This Row],[Stage Number]]&gt;=2,1,0)</f>
        <v>0</v>
      </c>
      <c r="N1240" s="2">
        <f>IF(LeadsData[[#This Row],[Stage Number]]&gt;=3,1,0)</f>
        <v>0</v>
      </c>
      <c r="O1240" s="2">
        <f>IF(LeadsData[[#This Row],[Stage Number]]&gt;=4,1,0)</f>
        <v>0</v>
      </c>
    </row>
    <row r="1241" spans="1:15" x14ac:dyDescent="0.25">
      <c r="A1241" t="s">
        <v>1281</v>
      </c>
      <c r="B1241" s="1">
        <v>45507</v>
      </c>
      <c r="C1241" t="s">
        <v>11</v>
      </c>
      <c r="D1241" t="s">
        <v>12</v>
      </c>
      <c r="E1241" t="s">
        <v>21</v>
      </c>
      <c r="F1241" t="s">
        <v>22</v>
      </c>
      <c r="G1241" t="s">
        <v>15</v>
      </c>
      <c r="K1241" cm="1">
        <f t="array" ref="K1241">_xlfn.SWITCH(LeadsData[[#This Row],[Funnel Stage Reached]],"Lead",1,"MQL",2,"SQL",3,"Customer",4)</f>
        <v>1</v>
      </c>
      <c r="L1241" t="str">
        <f>TEXT(LeadsData[[#This Row],[Signup Date]],"mmm-yyyy")</f>
        <v>Aug-2024</v>
      </c>
      <c r="M1241">
        <f>IF(LeadsData[[#This Row],[Stage Number]]&gt;=2,1,0)</f>
        <v>0</v>
      </c>
      <c r="N1241" s="2">
        <f>IF(LeadsData[[#This Row],[Stage Number]]&gt;=3,1,0)</f>
        <v>0</v>
      </c>
      <c r="O1241" s="2">
        <f>IF(LeadsData[[#This Row],[Stage Number]]&gt;=4,1,0)</f>
        <v>0</v>
      </c>
    </row>
    <row r="1242" spans="1:15" x14ac:dyDescent="0.25">
      <c r="A1242" t="s">
        <v>1282</v>
      </c>
      <c r="B1242" s="1">
        <v>45379</v>
      </c>
      <c r="C1242" t="s">
        <v>46</v>
      </c>
      <c r="D1242" t="s">
        <v>56</v>
      </c>
      <c r="E1242" t="s">
        <v>21</v>
      </c>
      <c r="F1242" t="s">
        <v>22</v>
      </c>
      <c r="G1242" t="s">
        <v>15</v>
      </c>
      <c r="K1242" cm="1">
        <f t="array" ref="K1242">_xlfn.SWITCH(LeadsData[[#This Row],[Funnel Stage Reached]],"Lead",1,"MQL",2,"SQL",3,"Customer",4)</f>
        <v>1</v>
      </c>
      <c r="L1242" t="str">
        <f>TEXT(LeadsData[[#This Row],[Signup Date]],"mmm-yyyy")</f>
        <v>Mar-2024</v>
      </c>
      <c r="M1242">
        <f>IF(LeadsData[[#This Row],[Stage Number]]&gt;=2,1,0)</f>
        <v>0</v>
      </c>
      <c r="N1242" s="2">
        <f>IF(LeadsData[[#This Row],[Stage Number]]&gt;=3,1,0)</f>
        <v>0</v>
      </c>
      <c r="O1242" s="2">
        <f>IF(LeadsData[[#This Row],[Stage Number]]&gt;=4,1,0)</f>
        <v>0</v>
      </c>
    </row>
    <row r="1243" spans="1:15" x14ac:dyDescent="0.25">
      <c r="A1243" t="s">
        <v>1283</v>
      </c>
      <c r="B1243" s="1">
        <v>45425</v>
      </c>
      <c r="C1243" t="s">
        <v>17</v>
      </c>
      <c r="D1243" t="s">
        <v>53</v>
      </c>
      <c r="E1243" t="s">
        <v>48</v>
      </c>
      <c r="F1243" t="s">
        <v>22</v>
      </c>
      <c r="G1243" t="s">
        <v>23</v>
      </c>
      <c r="K1243" cm="1">
        <f t="array" ref="K1243">_xlfn.SWITCH(LeadsData[[#This Row],[Funnel Stage Reached]],"Lead",1,"MQL",2,"SQL",3,"Customer",4)</f>
        <v>2</v>
      </c>
      <c r="L1243" t="str">
        <f>TEXT(LeadsData[[#This Row],[Signup Date]],"mmm-yyyy")</f>
        <v>May-2024</v>
      </c>
      <c r="M1243">
        <f>IF(LeadsData[[#This Row],[Stage Number]]&gt;=2,1,0)</f>
        <v>1</v>
      </c>
      <c r="N1243" s="2">
        <f>IF(LeadsData[[#This Row],[Stage Number]]&gt;=3,1,0)</f>
        <v>0</v>
      </c>
      <c r="O1243" s="2">
        <f>IF(LeadsData[[#This Row],[Stage Number]]&gt;=4,1,0)</f>
        <v>0</v>
      </c>
    </row>
    <row r="1244" spans="1:15" x14ac:dyDescent="0.25">
      <c r="A1244" t="s">
        <v>1284</v>
      </c>
      <c r="B1244" s="1">
        <v>45387</v>
      </c>
      <c r="C1244" t="s">
        <v>17</v>
      </c>
      <c r="D1244" t="s">
        <v>53</v>
      </c>
      <c r="E1244" t="s">
        <v>13</v>
      </c>
      <c r="F1244" t="s">
        <v>19</v>
      </c>
      <c r="G1244" t="s">
        <v>15</v>
      </c>
      <c r="K1244" cm="1">
        <f t="array" ref="K1244">_xlfn.SWITCH(LeadsData[[#This Row],[Funnel Stage Reached]],"Lead",1,"MQL",2,"SQL",3,"Customer",4)</f>
        <v>1</v>
      </c>
      <c r="L1244" t="str">
        <f>TEXT(LeadsData[[#This Row],[Signup Date]],"mmm-yyyy")</f>
        <v>Apr-2024</v>
      </c>
      <c r="M1244">
        <f>IF(LeadsData[[#This Row],[Stage Number]]&gt;=2,1,0)</f>
        <v>0</v>
      </c>
      <c r="N1244" s="2">
        <f>IF(LeadsData[[#This Row],[Stage Number]]&gt;=3,1,0)</f>
        <v>0</v>
      </c>
      <c r="O1244" s="2">
        <f>IF(LeadsData[[#This Row],[Stage Number]]&gt;=4,1,0)</f>
        <v>0</v>
      </c>
    </row>
    <row r="1245" spans="1:15" x14ac:dyDescent="0.25">
      <c r="A1245" t="s">
        <v>1285</v>
      </c>
      <c r="B1245" s="1">
        <v>45500</v>
      </c>
      <c r="C1245" t="s">
        <v>17</v>
      </c>
      <c r="D1245" t="s">
        <v>18</v>
      </c>
      <c r="E1245" t="s">
        <v>13</v>
      </c>
      <c r="F1245" t="s">
        <v>19</v>
      </c>
      <c r="G1245" t="s">
        <v>15</v>
      </c>
      <c r="K1245" cm="1">
        <f t="array" ref="K1245">_xlfn.SWITCH(LeadsData[[#This Row],[Funnel Stage Reached]],"Lead",1,"MQL",2,"SQL",3,"Customer",4)</f>
        <v>1</v>
      </c>
      <c r="L1245" t="str">
        <f>TEXT(LeadsData[[#This Row],[Signup Date]],"mmm-yyyy")</f>
        <v>Jul-2024</v>
      </c>
      <c r="M1245">
        <f>IF(LeadsData[[#This Row],[Stage Number]]&gt;=2,1,0)</f>
        <v>0</v>
      </c>
      <c r="N1245" s="2">
        <f>IF(LeadsData[[#This Row],[Stage Number]]&gt;=3,1,0)</f>
        <v>0</v>
      </c>
      <c r="O1245" s="2">
        <f>IF(LeadsData[[#This Row],[Stage Number]]&gt;=4,1,0)</f>
        <v>0</v>
      </c>
    </row>
    <row r="1246" spans="1:15" x14ac:dyDescent="0.25">
      <c r="A1246" t="s">
        <v>1286</v>
      </c>
      <c r="B1246" s="1">
        <v>45420</v>
      </c>
      <c r="C1246" t="s">
        <v>46</v>
      </c>
      <c r="D1246" t="s">
        <v>47</v>
      </c>
      <c r="E1246" t="s">
        <v>13</v>
      </c>
      <c r="F1246" t="s">
        <v>22</v>
      </c>
      <c r="G1246" t="s">
        <v>15</v>
      </c>
      <c r="K1246" cm="1">
        <f t="array" ref="K1246">_xlfn.SWITCH(LeadsData[[#This Row],[Funnel Stage Reached]],"Lead",1,"MQL",2,"SQL",3,"Customer",4)</f>
        <v>1</v>
      </c>
      <c r="L1246" t="str">
        <f>TEXT(LeadsData[[#This Row],[Signup Date]],"mmm-yyyy")</f>
        <v>May-2024</v>
      </c>
      <c r="M1246">
        <f>IF(LeadsData[[#This Row],[Stage Number]]&gt;=2,1,0)</f>
        <v>0</v>
      </c>
      <c r="N1246" s="2">
        <f>IF(LeadsData[[#This Row],[Stage Number]]&gt;=3,1,0)</f>
        <v>0</v>
      </c>
      <c r="O1246" s="2">
        <f>IF(LeadsData[[#This Row],[Stage Number]]&gt;=4,1,0)</f>
        <v>0</v>
      </c>
    </row>
    <row r="1247" spans="1:15" x14ac:dyDescent="0.25">
      <c r="A1247" t="s">
        <v>1287</v>
      </c>
      <c r="B1247" s="1">
        <v>45496</v>
      </c>
      <c r="C1247" t="s">
        <v>11</v>
      </c>
      <c r="D1247" t="s">
        <v>79</v>
      </c>
      <c r="E1247" t="s">
        <v>21</v>
      </c>
      <c r="F1247" t="s">
        <v>19</v>
      </c>
      <c r="G1247" t="s">
        <v>15</v>
      </c>
      <c r="K1247" cm="1">
        <f t="array" ref="K1247">_xlfn.SWITCH(LeadsData[[#This Row],[Funnel Stage Reached]],"Lead",1,"MQL",2,"SQL",3,"Customer",4)</f>
        <v>1</v>
      </c>
      <c r="L1247" t="str">
        <f>TEXT(LeadsData[[#This Row],[Signup Date]],"mmm-yyyy")</f>
        <v>Jul-2024</v>
      </c>
      <c r="M1247">
        <f>IF(LeadsData[[#This Row],[Stage Number]]&gt;=2,1,0)</f>
        <v>0</v>
      </c>
      <c r="N1247" s="2">
        <f>IF(LeadsData[[#This Row],[Stage Number]]&gt;=3,1,0)</f>
        <v>0</v>
      </c>
      <c r="O1247" s="2">
        <f>IF(LeadsData[[#This Row],[Stage Number]]&gt;=4,1,0)</f>
        <v>0</v>
      </c>
    </row>
    <row r="1248" spans="1:15" x14ac:dyDescent="0.25">
      <c r="A1248" t="s">
        <v>1288</v>
      </c>
      <c r="B1248" s="1">
        <v>45617</v>
      </c>
      <c r="C1248" t="s">
        <v>31</v>
      </c>
      <c r="D1248" t="s">
        <v>34</v>
      </c>
      <c r="E1248" t="s">
        <v>13</v>
      </c>
      <c r="F1248" t="s">
        <v>19</v>
      </c>
      <c r="G1248" t="s">
        <v>15</v>
      </c>
      <c r="K1248" cm="1">
        <f t="array" ref="K1248">_xlfn.SWITCH(LeadsData[[#This Row],[Funnel Stage Reached]],"Lead",1,"MQL",2,"SQL",3,"Customer",4)</f>
        <v>1</v>
      </c>
      <c r="L1248" t="str">
        <f>TEXT(LeadsData[[#This Row],[Signup Date]],"mmm-yyyy")</f>
        <v>Nov-2024</v>
      </c>
      <c r="M1248">
        <f>IF(LeadsData[[#This Row],[Stage Number]]&gt;=2,1,0)</f>
        <v>0</v>
      </c>
      <c r="N1248" s="2">
        <f>IF(LeadsData[[#This Row],[Stage Number]]&gt;=3,1,0)</f>
        <v>0</v>
      </c>
      <c r="O1248" s="2">
        <f>IF(LeadsData[[#This Row],[Stage Number]]&gt;=4,1,0)</f>
        <v>0</v>
      </c>
    </row>
    <row r="1249" spans="1:15" x14ac:dyDescent="0.25">
      <c r="A1249" t="s">
        <v>1289</v>
      </c>
      <c r="B1249" s="1">
        <v>45602</v>
      </c>
      <c r="C1249" t="s">
        <v>25</v>
      </c>
      <c r="D1249" t="s">
        <v>26</v>
      </c>
      <c r="E1249" t="s">
        <v>21</v>
      </c>
      <c r="F1249" t="s">
        <v>19</v>
      </c>
      <c r="G1249" t="s">
        <v>23</v>
      </c>
      <c r="K1249" cm="1">
        <f t="array" ref="K1249">_xlfn.SWITCH(LeadsData[[#This Row],[Funnel Stage Reached]],"Lead",1,"MQL",2,"SQL",3,"Customer",4)</f>
        <v>2</v>
      </c>
      <c r="L1249" t="str">
        <f>TEXT(LeadsData[[#This Row],[Signup Date]],"mmm-yyyy")</f>
        <v>Nov-2024</v>
      </c>
      <c r="M1249">
        <f>IF(LeadsData[[#This Row],[Stage Number]]&gt;=2,1,0)</f>
        <v>1</v>
      </c>
      <c r="N1249" s="2">
        <f>IF(LeadsData[[#This Row],[Stage Number]]&gt;=3,1,0)</f>
        <v>0</v>
      </c>
      <c r="O1249" s="2">
        <f>IF(LeadsData[[#This Row],[Stage Number]]&gt;=4,1,0)</f>
        <v>0</v>
      </c>
    </row>
    <row r="1250" spans="1:15" x14ac:dyDescent="0.25">
      <c r="A1250" t="s">
        <v>1290</v>
      </c>
      <c r="B1250" s="1">
        <v>45359</v>
      </c>
      <c r="C1250" t="s">
        <v>36</v>
      </c>
      <c r="D1250" t="s">
        <v>37</v>
      </c>
      <c r="E1250" t="s">
        <v>13</v>
      </c>
      <c r="F1250" t="s">
        <v>22</v>
      </c>
      <c r="G1250" t="s">
        <v>15</v>
      </c>
      <c r="K1250" cm="1">
        <f t="array" ref="K1250">_xlfn.SWITCH(LeadsData[[#This Row],[Funnel Stage Reached]],"Lead",1,"MQL",2,"SQL",3,"Customer",4)</f>
        <v>1</v>
      </c>
      <c r="L1250" t="str">
        <f>TEXT(LeadsData[[#This Row],[Signup Date]],"mmm-yyyy")</f>
        <v>Mar-2024</v>
      </c>
      <c r="M1250">
        <f>IF(LeadsData[[#This Row],[Stage Number]]&gt;=2,1,0)</f>
        <v>0</v>
      </c>
      <c r="N1250" s="2">
        <f>IF(LeadsData[[#This Row],[Stage Number]]&gt;=3,1,0)</f>
        <v>0</v>
      </c>
      <c r="O1250" s="2">
        <f>IF(LeadsData[[#This Row],[Stage Number]]&gt;=4,1,0)</f>
        <v>0</v>
      </c>
    </row>
    <row r="1251" spans="1:15" x14ac:dyDescent="0.25">
      <c r="A1251" t="s">
        <v>1291</v>
      </c>
      <c r="B1251" s="1">
        <v>45593</v>
      </c>
      <c r="C1251" t="s">
        <v>25</v>
      </c>
      <c r="D1251" t="s">
        <v>26</v>
      </c>
      <c r="E1251" t="s">
        <v>13</v>
      </c>
      <c r="F1251" t="s">
        <v>19</v>
      </c>
      <c r="G1251" t="s">
        <v>15</v>
      </c>
      <c r="K1251" cm="1">
        <f t="array" ref="K1251">_xlfn.SWITCH(LeadsData[[#This Row],[Funnel Stage Reached]],"Lead",1,"MQL",2,"SQL",3,"Customer",4)</f>
        <v>1</v>
      </c>
      <c r="L1251" t="str">
        <f>TEXT(LeadsData[[#This Row],[Signup Date]],"mmm-yyyy")</f>
        <v>Oct-2024</v>
      </c>
      <c r="M1251">
        <f>IF(LeadsData[[#This Row],[Stage Number]]&gt;=2,1,0)</f>
        <v>0</v>
      </c>
      <c r="N1251" s="2">
        <f>IF(LeadsData[[#This Row],[Stage Number]]&gt;=3,1,0)</f>
        <v>0</v>
      </c>
      <c r="O1251" s="2">
        <f>IF(LeadsData[[#This Row],[Stage Number]]&gt;=4,1,0)</f>
        <v>0</v>
      </c>
    </row>
    <row r="1252" spans="1:15" x14ac:dyDescent="0.25">
      <c r="A1252" t="s">
        <v>1292</v>
      </c>
      <c r="B1252" s="1">
        <v>45431</v>
      </c>
      <c r="C1252" t="s">
        <v>17</v>
      </c>
      <c r="D1252" t="s">
        <v>53</v>
      </c>
      <c r="E1252" t="s">
        <v>13</v>
      </c>
      <c r="F1252" t="s">
        <v>22</v>
      </c>
      <c r="G1252" t="s">
        <v>23</v>
      </c>
      <c r="K1252" cm="1">
        <f t="array" ref="K1252">_xlfn.SWITCH(LeadsData[[#This Row],[Funnel Stage Reached]],"Lead",1,"MQL",2,"SQL",3,"Customer",4)</f>
        <v>2</v>
      </c>
      <c r="L1252" t="str">
        <f>TEXT(LeadsData[[#This Row],[Signup Date]],"mmm-yyyy")</f>
        <v>May-2024</v>
      </c>
      <c r="M1252">
        <f>IF(LeadsData[[#This Row],[Stage Number]]&gt;=2,1,0)</f>
        <v>1</v>
      </c>
      <c r="N1252" s="2">
        <f>IF(LeadsData[[#This Row],[Stage Number]]&gt;=3,1,0)</f>
        <v>0</v>
      </c>
      <c r="O1252" s="2">
        <f>IF(LeadsData[[#This Row],[Stage Number]]&gt;=4,1,0)</f>
        <v>0</v>
      </c>
    </row>
    <row r="1253" spans="1:15" x14ac:dyDescent="0.25">
      <c r="A1253" t="s">
        <v>1293</v>
      </c>
      <c r="B1253" s="1">
        <v>45305</v>
      </c>
      <c r="C1253" t="s">
        <v>46</v>
      </c>
      <c r="D1253" t="s">
        <v>47</v>
      </c>
      <c r="E1253" t="s">
        <v>21</v>
      </c>
      <c r="F1253" t="s">
        <v>14</v>
      </c>
      <c r="G1253" t="s">
        <v>15</v>
      </c>
      <c r="K1253" cm="1">
        <f t="array" ref="K1253">_xlfn.SWITCH(LeadsData[[#This Row],[Funnel Stage Reached]],"Lead",1,"MQL",2,"SQL",3,"Customer",4)</f>
        <v>1</v>
      </c>
      <c r="L1253" t="str">
        <f>TEXT(LeadsData[[#This Row],[Signup Date]],"mmm-yyyy")</f>
        <v>Jan-2024</v>
      </c>
      <c r="M1253">
        <f>IF(LeadsData[[#This Row],[Stage Number]]&gt;=2,1,0)</f>
        <v>0</v>
      </c>
      <c r="N1253" s="2">
        <f>IF(LeadsData[[#This Row],[Stage Number]]&gt;=3,1,0)</f>
        <v>0</v>
      </c>
      <c r="O1253" s="2">
        <f>IF(LeadsData[[#This Row],[Stage Number]]&gt;=4,1,0)</f>
        <v>0</v>
      </c>
    </row>
    <row r="1254" spans="1:15" x14ac:dyDescent="0.25">
      <c r="A1254" t="s">
        <v>1294</v>
      </c>
      <c r="B1254" s="1">
        <v>45499</v>
      </c>
      <c r="C1254" t="s">
        <v>31</v>
      </c>
      <c r="D1254" t="s">
        <v>32</v>
      </c>
      <c r="E1254" t="s">
        <v>21</v>
      </c>
      <c r="F1254" t="s">
        <v>19</v>
      </c>
      <c r="G1254" t="s">
        <v>23</v>
      </c>
      <c r="K1254" cm="1">
        <f t="array" ref="K1254">_xlfn.SWITCH(LeadsData[[#This Row],[Funnel Stage Reached]],"Lead",1,"MQL",2,"SQL",3,"Customer",4)</f>
        <v>2</v>
      </c>
      <c r="L1254" t="str">
        <f>TEXT(LeadsData[[#This Row],[Signup Date]],"mmm-yyyy")</f>
        <v>Jul-2024</v>
      </c>
      <c r="M1254">
        <f>IF(LeadsData[[#This Row],[Stage Number]]&gt;=2,1,0)</f>
        <v>1</v>
      </c>
      <c r="N1254" s="2">
        <f>IF(LeadsData[[#This Row],[Stage Number]]&gt;=3,1,0)</f>
        <v>0</v>
      </c>
      <c r="O1254" s="2">
        <f>IF(LeadsData[[#This Row],[Stage Number]]&gt;=4,1,0)</f>
        <v>0</v>
      </c>
    </row>
    <row r="1255" spans="1:15" x14ac:dyDescent="0.25">
      <c r="A1255" t="s">
        <v>1295</v>
      </c>
      <c r="B1255" s="1">
        <v>45318</v>
      </c>
      <c r="C1255" t="s">
        <v>46</v>
      </c>
      <c r="D1255" t="s">
        <v>56</v>
      </c>
      <c r="E1255" t="s">
        <v>48</v>
      </c>
      <c r="F1255" t="s">
        <v>19</v>
      </c>
      <c r="G1255" t="s">
        <v>15</v>
      </c>
      <c r="K1255" cm="1">
        <f t="array" ref="K1255">_xlfn.SWITCH(LeadsData[[#This Row],[Funnel Stage Reached]],"Lead",1,"MQL",2,"SQL",3,"Customer",4)</f>
        <v>1</v>
      </c>
      <c r="L1255" t="str">
        <f>TEXT(LeadsData[[#This Row],[Signup Date]],"mmm-yyyy")</f>
        <v>Jan-2024</v>
      </c>
      <c r="M1255">
        <f>IF(LeadsData[[#This Row],[Stage Number]]&gt;=2,1,0)</f>
        <v>0</v>
      </c>
      <c r="N1255" s="2">
        <f>IF(LeadsData[[#This Row],[Stage Number]]&gt;=3,1,0)</f>
        <v>0</v>
      </c>
      <c r="O1255" s="2">
        <f>IF(LeadsData[[#This Row],[Stage Number]]&gt;=4,1,0)</f>
        <v>0</v>
      </c>
    </row>
    <row r="1256" spans="1:15" x14ac:dyDescent="0.25">
      <c r="A1256" t="s">
        <v>1296</v>
      </c>
      <c r="B1256" s="1">
        <v>45374</v>
      </c>
      <c r="C1256" t="s">
        <v>17</v>
      </c>
      <c r="D1256" t="s">
        <v>18</v>
      </c>
      <c r="E1256" t="s">
        <v>13</v>
      </c>
      <c r="F1256" t="s">
        <v>19</v>
      </c>
      <c r="G1256" t="s">
        <v>15</v>
      </c>
      <c r="K1256" cm="1">
        <f t="array" ref="K1256">_xlfn.SWITCH(LeadsData[[#This Row],[Funnel Stage Reached]],"Lead",1,"MQL",2,"SQL",3,"Customer",4)</f>
        <v>1</v>
      </c>
      <c r="L1256" t="str">
        <f>TEXT(LeadsData[[#This Row],[Signup Date]],"mmm-yyyy")</f>
        <v>Mar-2024</v>
      </c>
      <c r="M1256">
        <f>IF(LeadsData[[#This Row],[Stage Number]]&gt;=2,1,0)</f>
        <v>0</v>
      </c>
      <c r="N1256" s="2">
        <f>IF(LeadsData[[#This Row],[Stage Number]]&gt;=3,1,0)</f>
        <v>0</v>
      </c>
      <c r="O1256" s="2">
        <f>IF(LeadsData[[#This Row],[Stage Number]]&gt;=4,1,0)</f>
        <v>0</v>
      </c>
    </row>
    <row r="1257" spans="1:15" x14ac:dyDescent="0.25">
      <c r="A1257" t="s">
        <v>1297</v>
      </c>
      <c r="B1257" s="1">
        <v>45432</v>
      </c>
      <c r="C1257" t="s">
        <v>36</v>
      </c>
      <c r="D1257" t="s">
        <v>50</v>
      </c>
      <c r="E1257" t="s">
        <v>13</v>
      </c>
      <c r="F1257" t="s">
        <v>19</v>
      </c>
      <c r="G1257" t="s">
        <v>42</v>
      </c>
      <c r="H1257">
        <v>13</v>
      </c>
      <c r="I1257" t="s">
        <v>43</v>
      </c>
      <c r="J1257">
        <v>570.28</v>
      </c>
      <c r="K1257" cm="1">
        <f t="array" ref="K1257">_xlfn.SWITCH(LeadsData[[#This Row],[Funnel Stage Reached]],"Lead",1,"MQL",2,"SQL",3,"Customer",4)</f>
        <v>4</v>
      </c>
      <c r="L1257" t="str">
        <f>TEXT(LeadsData[[#This Row],[Signup Date]],"mmm-yyyy")</f>
        <v>May-2024</v>
      </c>
      <c r="M1257">
        <f>IF(LeadsData[[#This Row],[Stage Number]]&gt;=2,1,0)</f>
        <v>1</v>
      </c>
      <c r="N1257" s="2">
        <f>IF(LeadsData[[#This Row],[Stage Number]]&gt;=3,1,0)</f>
        <v>1</v>
      </c>
      <c r="O1257" s="2">
        <f>IF(LeadsData[[#This Row],[Stage Number]]&gt;=4,1,0)</f>
        <v>1</v>
      </c>
    </row>
    <row r="1258" spans="1:15" x14ac:dyDescent="0.25">
      <c r="A1258" t="s">
        <v>1298</v>
      </c>
      <c r="B1258" s="1">
        <v>45616</v>
      </c>
      <c r="C1258" t="s">
        <v>25</v>
      </c>
      <c r="D1258" t="s">
        <v>26</v>
      </c>
      <c r="E1258" t="s">
        <v>21</v>
      </c>
      <c r="F1258" t="s">
        <v>22</v>
      </c>
      <c r="G1258" t="s">
        <v>15</v>
      </c>
      <c r="K1258" cm="1">
        <f t="array" ref="K1258">_xlfn.SWITCH(LeadsData[[#This Row],[Funnel Stage Reached]],"Lead",1,"MQL",2,"SQL",3,"Customer",4)</f>
        <v>1</v>
      </c>
      <c r="L1258" t="str">
        <f>TEXT(LeadsData[[#This Row],[Signup Date]],"mmm-yyyy")</f>
        <v>Nov-2024</v>
      </c>
      <c r="M1258">
        <f>IF(LeadsData[[#This Row],[Stage Number]]&gt;=2,1,0)</f>
        <v>0</v>
      </c>
      <c r="N1258" s="2">
        <f>IF(LeadsData[[#This Row],[Stage Number]]&gt;=3,1,0)</f>
        <v>0</v>
      </c>
      <c r="O1258" s="2">
        <f>IF(LeadsData[[#This Row],[Stage Number]]&gt;=4,1,0)</f>
        <v>0</v>
      </c>
    </row>
    <row r="1259" spans="1:15" x14ac:dyDescent="0.25">
      <c r="A1259" t="s">
        <v>1299</v>
      </c>
      <c r="B1259" s="1">
        <v>45311</v>
      </c>
      <c r="C1259" t="s">
        <v>11</v>
      </c>
      <c r="D1259" t="s">
        <v>79</v>
      </c>
      <c r="E1259" t="s">
        <v>13</v>
      </c>
      <c r="F1259" t="s">
        <v>19</v>
      </c>
      <c r="G1259" t="s">
        <v>29</v>
      </c>
      <c r="K1259" cm="1">
        <f t="array" ref="K1259">_xlfn.SWITCH(LeadsData[[#This Row],[Funnel Stage Reached]],"Lead",1,"MQL",2,"SQL",3,"Customer",4)</f>
        <v>3</v>
      </c>
      <c r="L1259" t="str">
        <f>TEXT(LeadsData[[#This Row],[Signup Date]],"mmm-yyyy")</f>
        <v>Jan-2024</v>
      </c>
      <c r="M1259">
        <f>IF(LeadsData[[#This Row],[Stage Number]]&gt;=2,1,0)</f>
        <v>1</v>
      </c>
      <c r="N1259" s="2">
        <f>IF(LeadsData[[#This Row],[Stage Number]]&gt;=3,1,0)</f>
        <v>1</v>
      </c>
      <c r="O1259" s="2">
        <f>IF(LeadsData[[#This Row],[Stage Number]]&gt;=4,1,0)</f>
        <v>0</v>
      </c>
    </row>
    <row r="1260" spans="1:15" x14ac:dyDescent="0.25">
      <c r="A1260" t="s">
        <v>1300</v>
      </c>
      <c r="B1260" s="1">
        <v>45433</v>
      </c>
      <c r="C1260" t="s">
        <v>17</v>
      </c>
      <c r="D1260" t="s">
        <v>18</v>
      </c>
      <c r="E1260" t="s">
        <v>21</v>
      </c>
      <c r="F1260" t="s">
        <v>14</v>
      </c>
      <c r="G1260" t="s">
        <v>23</v>
      </c>
      <c r="K1260" cm="1">
        <f t="array" ref="K1260">_xlfn.SWITCH(LeadsData[[#This Row],[Funnel Stage Reached]],"Lead",1,"MQL",2,"SQL",3,"Customer",4)</f>
        <v>2</v>
      </c>
      <c r="L1260" t="str">
        <f>TEXT(LeadsData[[#This Row],[Signup Date]],"mmm-yyyy")</f>
        <v>May-2024</v>
      </c>
      <c r="M1260">
        <f>IF(LeadsData[[#This Row],[Stage Number]]&gt;=2,1,0)</f>
        <v>1</v>
      </c>
      <c r="N1260" s="2">
        <f>IF(LeadsData[[#This Row],[Stage Number]]&gt;=3,1,0)</f>
        <v>0</v>
      </c>
      <c r="O1260" s="2">
        <f>IF(LeadsData[[#This Row],[Stage Number]]&gt;=4,1,0)</f>
        <v>0</v>
      </c>
    </row>
    <row r="1261" spans="1:15" x14ac:dyDescent="0.25">
      <c r="A1261" t="s">
        <v>1301</v>
      </c>
      <c r="B1261" s="1">
        <v>45466</v>
      </c>
      <c r="C1261" t="s">
        <v>31</v>
      </c>
      <c r="D1261" t="s">
        <v>32</v>
      </c>
      <c r="E1261" t="s">
        <v>13</v>
      </c>
      <c r="F1261" t="s">
        <v>14</v>
      </c>
      <c r="G1261" t="s">
        <v>23</v>
      </c>
      <c r="K1261" cm="1">
        <f t="array" ref="K1261">_xlfn.SWITCH(LeadsData[[#This Row],[Funnel Stage Reached]],"Lead",1,"MQL",2,"SQL",3,"Customer",4)</f>
        <v>2</v>
      </c>
      <c r="L1261" t="str">
        <f>TEXT(LeadsData[[#This Row],[Signup Date]],"mmm-yyyy")</f>
        <v>Jun-2024</v>
      </c>
      <c r="M1261">
        <f>IF(LeadsData[[#This Row],[Stage Number]]&gt;=2,1,0)</f>
        <v>1</v>
      </c>
      <c r="N1261" s="2">
        <f>IF(LeadsData[[#This Row],[Stage Number]]&gt;=3,1,0)</f>
        <v>0</v>
      </c>
      <c r="O1261" s="2">
        <f>IF(LeadsData[[#This Row],[Stage Number]]&gt;=4,1,0)</f>
        <v>0</v>
      </c>
    </row>
    <row r="1262" spans="1:15" x14ac:dyDescent="0.25">
      <c r="A1262" t="s">
        <v>1302</v>
      </c>
      <c r="B1262" s="1">
        <v>45612</v>
      </c>
      <c r="C1262" t="s">
        <v>17</v>
      </c>
      <c r="D1262" t="s">
        <v>18</v>
      </c>
      <c r="E1262" t="s">
        <v>21</v>
      </c>
      <c r="F1262" t="s">
        <v>19</v>
      </c>
      <c r="G1262" t="s">
        <v>15</v>
      </c>
      <c r="K1262" cm="1">
        <f t="array" ref="K1262">_xlfn.SWITCH(LeadsData[[#This Row],[Funnel Stage Reached]],"Lead",1,"MQL",2,"SQL",3,"Customer",4)</f>
        <v>1</v>
      </c>
      <c r="L1262" t="str">
        <f>TEXT(LeadsData[[#This Row],[Signup Date]],"mmm-yyyy")</f>
        <v>Nov-2024</v>
      </c>
      <c r="M1262">
        <f>IF(LeadsData[[#This Row],[Stage Number]]&gt;=2,1,0)</f>
        <v>0</v>
      </c>
      <c r="N1262" s="2">
        <f>IF(LeadsData[[#This Row],[Stage Number]]&gt;=3,1,0)</f>
        <v>0</v>
      </c>
      <c r="O1262" s="2">
        <f>IF(LeadsData[[#This Row],[Stage Number]]&gt;=4,1,0)</f>
        <v>0</v>
      </c>
    </row>
    <row r="1263" spans="1:15" x14ac:dyDescent="0.25">
      <c r="A1263" t="s">
        <v>1303</v>
      </c>
      <c r="B1263" s="1">
        <v>45388</v>
      </c>
      <c r="C1263" t="s">
        <v>46</v>
      </c>
      <c r="D1263" t="s">
        <v>47</v>
      </c>
      <c r="E1263" t="s">
        <v>48</v>
      </c>
      <c r="F1263" t="s">
        <v>28</v>
      </c>
      <c r="G1263" t="s">
        <v>15</v>
      </c>
      <c r="K1263" cm="1">
        <f t="array" ref="K1263">_xlfn.SWITCH(LeadsData[[#This Row],[Funnel Stage Reached]],"Lead",1,"MQL",2,"SQL",3,"Customer",4)</f>
        <v>1</v>
      </c>
      <c r="L1263" t="str">
        <f>TEXT(LeadsData[[#This Row],[Signup Date]],"mmm-yyyy")</f>
        <v>Apr-2024</v>
      </c>
      <c r="M1263">
        <f>IF(LeadsData[[#This Row],[Stage Number]]&gt;=2,1,0)</f>
        <v>0</v>
      </c>
      <c r="N1263" s="2">
        <f>IF(LeadsData[[#This Row],[Stage Number]]&gt;=3,1,0)</f>
        <v>0</v>
      </c>
      <c r="O1263" s="2">
        <f>IF(LeadsData[[#This Row],[Stage Number]]&gt;=4,1,0)</f>
        <v>0</v>
      </c>
    </row>
    <row r="1264" spans="1:15" x14ac:dyDescent="0.25">
      <c r="A1264" t="s">
        <v>1304</v>
      </c>
      <c r="B1264" s="1">
        <v>45495</v>
      </c>
      <c r="C1264" t="s">
        <v>17</v>
      </c>
      <c r="D1264" t="s">
        <v>53</v>
      </c>
      <c r="E1264" t="s">
        <v>21</v>
      </c>
      <c r="F1264" t="s">
        <v>19</v>
      </c>
      <c r="G1264" t="s">
        <v>15</v>
      </c>
      <c r="K1264" cm="1">
        <f t="array" ref="K1264">_xlfn.SWITCH(LeadsData[[#This Row],[Funnel Stage Reached]],"Lead",1,"MQL",2,"SQL",3,"Customer",4)</f>
        <v>1</v>
      </c>
      <c r="L1264" t="str">
        <f>TEXT(LeadsData[[#This Row],[Signup Date]],"mmm-yyyy")</f>
        <v>Jul-2024</v>
      </c>
      <c r="M1264">
        <f>IF(LeadsData[[#This Row],[Stage Number]]&gt;=2,1,0)</f>
        <v>0</v>
      </c>
      <c r="N1264" s="2">
        <f>IF(LeadsData[[#This Row],[Stage Number]]&gt;=3,1,0)</f>
        <v>0</v>
      </c>
      <c r="O1264" s="2">
        <f>IF(LeadsData[[#This Row],[Stage Number]]&gt;=4,1,0)</f>
        <v>0</v>
      </c>
    </row>
    <row r="1265" spans="1:15" x14ac:dyDescent="0.25">
      <c r="A1265" t="s">
        <v>1305</v>
      </c>
      <c r="B1265" s="1">
        <v>45374</v>
      </c>
      <c r="C1265" t="s">
        <v>46</v>
      </c>
      <c r="D1265" t="s">
        <v>47</v>
      </c>
      <c r="E1265" t="s">
        <v>13</v>
      </c>
      <c r="F1265" t="s">
        <v>22</v>
      </c>
      <c r="G1265" t="s">
        <v>15</v>
      </c>
      <c r="K1265" cm="1">
        <f t="array" ref="K1265">_xlfn.SWITCH(LeadsData[[#This Row],[Funnel Stage Reached]],"Lead",1,"MQL",2,"SQL",3,"Customer",4)</f>
        <v>1</v>
      </c>
      <c r="L1265" t="str">
        <f>TEXT(LeadsData[[#This Row],[Signup Date]],"mmm-yyyy")</f>
        <v>Mar-2024</v>
      </c>
      <c r="M1265">
        <f>IF(LeadsData[[#This Row],[Stage Number]]&gt;=2,1,0)</f>
        <v>0</v>
      </c>
      <c r="N1265" s="2">
        <f>IF(LeadsData[[#This Row],[Stage Number]]&gt;=3,1,0)</f>
        <v>0</v>
      </c>
      <c r="O1265" s="2">
        <f>IF(LeadsData[[#This Row],[Stage Number]]&gt;=4,1,0)</f>
        <v>0</v>
      </c>
    </row>
    <row r="1266" spans="1:15" x14ac:dyDescent="0.25">
      <c r="A1266" t="s">
        <v>1306</v>
      </c>
      <c r="B1266" s="1">
        <v>45562</v>
      </c>
      <c r="C1266" t="s">
        <v>31</v>
      </c>
      <c r="D1266" t="s">
        <v>32</v>
      </c>
      <c r="E1266" t="s">
        <v>13</v>
      </c>
      <c r="F1266" t="s">
        <v>19</v>
      </c>
      <c r="G1266" t="s">
        <v>15</v>
      </c>
      <c r="K1266" cm="1">
        <f t="array" ref="K1266">_xlfn.SWITCH(LeadsData[[#This Row],[Funnel Stage Reached]],"Lead",1,"MQL",2,"SQL",3,"Customer",4)</f>
        <v>1</v>
      </c>
      <c r="L1266" t="str">
        <f>TEXT(LeadsData[[#This Row],[Signup Date]],"mmm-yyyy")</f>
        <v>Sep-2024</v>
      </c>
      <c r="M1266">
        <f>IF(LeadsData[[#This Row],[Stage Number]]&gt;=2,1,0)</f>
        <v>0</v>
      </c>
      <c r="N1266" s="2">
        <f>IF(LeadsData[[#This Row],[Stage Number]]&gt;=3,1,0)</f>
        <v>0</v>
      </c>
      <c r="O1266" s="2">
        <f>IF(LeadsData[[#This Row],[Stage Number]]&gt;=4,1,0)</f>
        <v>0</v>
      </c>
    </row>
    <row r="1267" spans="1:15" x14ac:dyDescent="0.25">
      <c r="A1267" t="s">
        <v>1307</v>
      </c>
      <c r="B1267" s="1">
        <v>45386</v>
      </c>
      <c r="C1267" t="s">
        <v>31</v>
      </c>
      <c r="D1267" t="s">
        <v>32</v>
      </c>
      <c r="E1267" t="s">
        <v>48</v>
      </c>
      <c r="F1267" t="s">
        <v>19</v>
      </c>
      <c r="G1267" t="s">
        <v>23</v>
      </c>
      <c r="K1267" cm="1">
        <f t="array" ref="K1267">_xlfn.SWITCH(LeadsData[[#This Row],[Funnel Stage Reached]],"Lead",1,"MQL",2,"SQL",3,"Customer",4)</f>
        <v>2</v>
      </c>
      <c r="L1267" t="str">
        <f>TEXT(LeadsData[[#This Row],[Signup Date]],"mmm-yyyy")</f>
        <v>Apr-2024</v>
      </c>
      <c r="M1267">
        <f>IF(LeadsData[[#This Row],[Stage Number]]&gt;=2,1,0)</f>
        <v>1</v>
      </c>
      <c r="N1267" s="2">
        <f>IF(LeadsData[[#This Row],[Stage Number]]&gt;=3,1,0)</f>
        <v>0</v>
      </c>
      <c r="O1267" s="2">
        <f>IF(LeadsData[[#This Row],[Stage Number]]&gt;=4,1,0)</f>
        <v>0</v>
      </c>
    </row>
    <row r="1268" spans="1:15" x14ac:dyDescent="0.25">
      <c r="A1268" t="s">
        <v>1308</v>
      </c>
      <c r="B1268" s="1">
        <v>45571</v>
      </c>
      <c r="C1268" t="s">
        <v>25</v>
      </c>
      <c r="D1268" t="s">
        <v>26</v>
      </c>
      <c r="E1268" t="s">
        <v>13</v>
      </c>
      <c r="F1268" t="s">
        <v>22</v>
      </c>
      <c r="G1268" t="s">
        <v>23</v>
      </c>
      <c r="K1268" cm="1">
        <f t="array" ref="K1268">_xlfn.SWITCH(LeadsData[[#This Row],[Funnel Stage Reached]],"Lead",1,"MQL",2,"SQL",3,"Customer",4)</f>
        <v>2</v>
      </c>
      <c r="L1268" t="str">
        <f>TEXT(LeadsData[[#This Row],[Signup Date]],"mmm-yyyy")</f>
        <v>Oct-2024</v>
      </c>
      <c r="M1268">
        <f>IF(LeadsData[[#This Row],[Stage Number]]&gt;=2,1,0)</f>
        <v>1</v>
      </c>
      <c r="N1268" s="2">
        <f>IF(LeadsData[[#This Row],[Stage Number]]&gt;=3,1,0)</f>
        <v>0</v>
      </c>
      <c r="O1268" s="2">
        <f>IF(LeadsData[[#This Row],[Stage Number]]&gt;=4,1,0)</f>
        <v>0</v>
      </c>
    </row>
    <row r="1269" spans="1:15" x14ac:dyDescent="0.25">
      <c r="A1269" t="s">
        <v>1309</v>
      </c>
      <c r="B1269" s="1">
        <v>45593</v>
      </c>
      <c r="C1269" t="s">
        <v>17</v>
      </c>
      <c r="D1269" t="s">
        <v>53</v>
      </c>
      <c r="E1269" t="s">
        <v>13</v>
      </c>
      <c r="F1269" t="s">
        <v>14</v>
      </c>
      <c r="G1269" t="s">
        <v>23</v>
      </c>
      <c r="K1269" cm="1">
        <f t="array" ref="K1269">_xlfn.SWITCH(LeadsData[[#This Row],[Funnel Stage Reached]],"Lead",1,"MQL",2,"SQL",3,"Customer",4)</f>
        <v>2</v>
      </c>
      <c r="L1269" t="str">
        <f>TEXT(LeadsData[[#This Row],[Signup Date]],"mmm-yyyy")</f>
        <v>Oct-2024</v>
      </c>
      <c r="M1269">
        <f>IF(LeadsData[[#This Row],[Stage Number]]&gt;=2,1,0)</f>
        <v>1</v>
      </c>
      <c r="N1269" s="2">
        <f>IF(LeadsData[[#This Row],[Stage Number]]&gt;=3,1,0)</f>
        <v>0</v>
      </c>
      <c r="O1269" s="2">
        <f>IF(LeadsData[[#This Row],[Stage Number]]&gt;=4,1,0)</f>
        <v>0</v>
      </c>
    </row>
    <row r="1270" spans="1:15" x14ac:dyDescent="0.25">
      <c r="A1270" t="s">
        <v>1310</v>
      </c>
      <c r="B1270" s="1">
        <v>45549</v>
      </c>
      <c r="C1270" t="s">
        <v>11</v>
      </c>
      <c r="D1270" t="s">
        <v>12</v>
      </c>
      <c r="E1270" t="s">
        <v>13</v>
      </c>
      <c r="F1270" t="s">
        <v>22</v>
      </c>
      <c r="G1270" t="s">
        <v>23</v>
      </c>
      <c r="K1270" cm="1">
        <f t="array" ref="K1270">_xlfn.SWITCH(LeadsData[[#This Row],[Funnel Stage Reached]],"Lead",1,"MQL",2,"SQL",3,"Customer",4)</f>
        <v>2</v>
      </c>
      <c r="L1270" t="str">
        <f>TEXT(LeadsData[[#This Row],[Signup Date]],"mmm-yyyy")</f>
        <v>Sep-2024</v>
      </c>
      <c r="M1270">
        <f>IF(LeadsData[[#This Row],[Stage Number]]&gt;=2,1,0)</f>
        <v>1</v>
      </c>
      <c r="N1270" s="2">
        <f>IF(LeadsData[[#This Row],[Stage Number]]&gt;=3,1,0)</f>
        <v>0</v>
      </c>
      <c r="O1270" s="2">
        <f>IF(LeadsData[[#This Row],[Stage Number]]&gt;=4,1,0)</f>
        <v>0</v>
      </c>
    </row>
    <row r="1271" spans="1:15" x14ac:dyDescent="0.25">
      <c r="A1271" t="s">
        <v>1311</v>
      </c>
      <c r="B1271" s="1">
        <v>45419</v>
      </c>
      <c r="C1271" t="s">
        <v>25</v>
      </c>
      <c r="D1271" t="s">
        <v>26</v>
      </c>
      <c r="E1271" t="s">
        <v>48</v>
      </c>
      <c r="F1271" t="s">
        <v>19</v>
      </c>
      <c r="G1271" t="s">
        <v>23</v>
      </c>
      <c r="K1271" cm="1">
        <f t="array" ref="K1271">_xlfn.SWITCH(LeadsData[[#This Row],[Funnel Stage Reached]],"Lead",1,"MQL",2,"SQL",3,"Customer",4)</f>
        <v>2</v>
      </c>
      <c r="L1271" t="str">
        <f>TEXT(LeadsData[[#This Row],[Signup Date]],"mmm-yyyy")</f>
        <v>May-2024</v>
      </c>
      <c r="M1271">
        <f>IF(LeadsData[[#This Row],[Stage Number]]&gt;=2,1,0)</f>
        <v>1</v>
      </c>
      <c r="N1271" s="2">
        <f>IF(LeadsData[[#This Row],[Stage Number]]&gt;=3,1,0)</f>
        <v>0</v>
      </c>
      <c r="O1271" s="2">
        <f>IF(LeadsData[[#This Row],[Stage Number]]&gt;=4,1,0)</f>
        <v>0</v>
      </c>
    </row>
    <row r="1272" spans="1:15" x14ac:dyDescent="0.25">
      <c r="A1272" t="s">
        <v>1312</v>
      </c>
      <c r="B1272" s="1">
        <v>45434</v>
      </c>
      <c r="C1272" t="s">
        <v>17</v>
      </c>
      <c r="D1272" t="s">
        <v>53</v>
      </c>
      <c r="E1272" t="s">
        <v>13</v>
      </c>
      <c r="F1272" t="s">
        <v>19</v>
      </c>
      <c r="G1272" t="s">
        <v>15</v>
      </c>
      <c r="K1272" cm="1">
        <f t="array" ref="K1272">_xlfn.SWITCH(LeadsData[[#This Row],[Funnel Stage Reached]],"Lead",1,"MQL",2,"SQL",3,"Customer",4)</f>
        <v>1</v>
      </c>
      <c r="L1272" t="str">
        <f>TEXT(LeadsData[[#This Row],[Signup Date]],"mmm-yyyy")</f>
        <v>May-2024</v>
      </c>
      <c r="M1272">
        <f>IF(LeadsData[[#This Row],[Stage Number]]&gt;=2,1,0)</f>
        <v>0</v>
      </c>
      <c r="N1272" s="2">
        <f>IF(LeadsData[[#This Row],[Stage Number]]&gt;=3,1,0)</f>
        <v>0</v>
      </c>
      <c r="O1272" s="2">
        <f>IF(LeadsData[[#This Row],[Stage Number]]&gt;=4,1,0)</f>
        <v>0</v>
      </c>
    </row>
    <row r="1273" spans="1:15" x14ac:dyDescent="0.25">
      <c r="A1273" t="s">
        <v>1313</v>
      </c>
      <c r="B1273" s="1">
        <v>45499</v>
      </c>
      <c r="C1273" t="s">
        <v>36</v>
      </c>
      <c r="D1273" t="s">
        <v>50</v>
      </c>
      <c r="E1273" t="s">
        <v>13</v>
      </c>
      <c r="F1273" t="s">
        <v>22</v>
      </c>
      <c r="G1273" t="s">
        <v>29</v>
      </c>
      <c r="K1273" cm="1">
        <f t="array" ref="K1273">_xlfn.SWITCH(LeadsData[[#This Row],[Funnel Stage Reached]],"Lead",1,"MQL",2,"SQL",3,"Customer",4)</f>
        <v>3</v>
      </c>
      <c r="L1273" t="str">
        <f>TEXT(LeadsData[[#This Row],[Signup Date]],"mmm-yyyy")</f>
        <v>Jul-2024</v>
      </c>
      <c r="M1273">
        <f>IF(LeadsData[[#This Row],[Stage Number]]&gt;=2,1,0)</f>
        <v>1</v>
      </c>
      <c r="N1273" s="2">
        <f>IF(LeadsData[[#This Row],[Stage Number]]&gt;=3,1,0)</f>
        <v>1</v>
      </c>
      <c r="O1273" s="2">
        <f>IF(LeadsData[[#This Row],[Stage Number]]&gt;=4,1,0)</f>
        <v>0</v>
      </c>
    </row>
    <row r="1274" spans="1:15" x14ac:dyDescent="0.25">
      <c r="A1274" t="s">
        <v>1314</v>
      </c>
      <c r="B1274" s="1">
        <v>45615</v>
      </c>
      <c r="C1274" t="s">
        <v>31</v>
      </c>
      <c r="D1274" t="s">
        <v>34</v>
      </c>
      <c r="E1274" t="s">
        <v>13</v>
      </c>
      <c r="F1274" t="s">
        <v>22</v>
      </c>
      <c r="G1274" t="s">
        <v>29</v>
      </c>
      <c r="K1274" cm="1">
        <f t="array" ref="K1274">_xlfn.SWITCH(LeadsData[[#This Row],[Funnel Stage Reached]],"Lead",1,"MQL",2,"SQL",3,"Customer",4)</f>
        <v>3</v>
      </c>
      <c r="L1274" t="str">
        <f>TEXT(LeadsData[[#This Row],[Signup Date]],"mmm-yyyy")</f>
        <v>Nov-2024</v>
      </c>
      <c r="M1274">
        <f>IF(LeadsData[[#This Row],[Stage Number]]&gt;=2,1,0)</f>
        <v>1</v>
      </c>
      <c r="N1274" s="2">
        <f>IF(LeadsData[[#This Row],[Stage Number]]&gt;=3,1,0)</f>
        <v>1</v>
      </c>
      <c r="O1274" s="2">
        <f>IF(LeadsData[[#This Row],[Stage Number]]&gt;=4,1,0)</f>
        <v>0</v>
      </c>
    </row>
    <row r="1275" spans="1:15" x14ac:dyDescent="0.25">
      <c r="A1275" t="s">
        <v>1315</v>
      </c>
      <c r="B1275" s="1">
        <v>45537</v>
      </c>
      <c r="C1275" t="s">
        <v>31</v>
      </c>
      <c r="D1275" t="s">
        <v>34</v>
      </c>
      <c r="E1275" t="s">
        <v>21</v>
      </c>
      <c r="F1275" t="s">
        <v>22</v>
      </c>
      <c r="G1275" t="s">
        <v>15</v>
      </c>
      <c r="K1275" cm="1">
        <f t="array" ref="K1275">_xlfn.SWITCH(LeadsData[[#This Row],[Funnel Stage Reached]],"Lead",1,"MQL",2,"SQL",3,"Customer",4)</f>
        <v>1</v>
      </c>
      <c r="L1275" t="str">
        <f>TEXT(LeadsData[[#This Row],[Signup Date]],"mmm-yyyy")</f>
        <v>Sep-2024</v>
      </c>
      <c r="M1275">
        <f>IF(LeadsData[[#This Row],[Stage Number]]&gt;=2,1,0)</f>
        <v>0</v>
      </c>
      <c r="N1275" s="2">
        <f>IF(LeadsData[[#This Row],[Stage Number]]&gt;=3,1,0)</f>
        <v>0</v>
      </c>
      <c r="O1275" s="2">
        <f>IF(LeadsData[[#This Row],[Stage Number]]&gt;=4,1,0)</f>
        <v>0</v>
      </c>
    </row>
    <row r="1276" spans="1:15" x14ac:dyDescent="0.25">
      <c r="A1276" t="s">
        <v>1316</v>
      </c>
      <c r="B1276" s="1">
        <v>45599</v>
      </c>
      <c r="C1276" t="s">
        <v>31</v>
      </c>
      <c r="D1276" t="s">
        <v>32</v>
      </c>
      <c r="E1276" t="s">
        <v>13</v>
      </c>
      <c r="F1276" t="s">
        <v>14</v>
      </c>
      <c r="G1276" t="s">
        <v>15</v>
      </c>
      <c r="K1276" cm="1">
        <f t="array" ref="K1276">_xlfn.SWITCH(LeadsData[[#This Row],[Funnel Stage Reached]],"Lead",1,"MQL",2,"SQL",3,"Customer",4)</f>
        <v>1</v>
      </c>
      <c r="L1276" t="str">
        <f>TEXT(LeadsData[[#This Row],[Signup Date]],"mmm-yyyy")</f>
        <v>Nov-2024</v>
      </c>
      <c r="M1276">
        <f>IF(LeadsData[[#This Row],[Stage Number]]&gt;=2,1,0)</f>
        <v>0</v>
      </c>
      <c r="N1276" s="2">
        <f>IF(LeadsData[[#This Row],[Stage Number]]&gt;=3,1,0)</f>
        <v>0</v>
      </c>
      <c r="O1276" s="2">
        <f>IF(LeadsData[[#This Row],[Stage Number]]&gt;=4,1,0)</f>
        <v>0</v>
      </c>
    </row>
    <row r="1277" spans="1:15" x14ac:dyDescent="0.25">
      <c r="A1277" t="s">
        <v>1317</v>
      </c>
      <c r="B1277" s="1">
        <v>45367</v>
      </c>
      <c r="C1277" t="s">
        <v>36</v>
      </c>
      <c r="D1277" t="s">
        <v>37</v>
      </c>
      <c r="E1277" t="s">
        <v>21</v>
      </c>
      <c r="F1277" t="s">
        <v>22</v>
      </c>
      <c r="G1277" t="s">
        <v>15</v>
      </c>
      <c r="K1277" cm="1">
        <f t="array" ref="K1277">_xlfn.SWITCH(LeadsData[[#This Row],[Funnel Stage Reached]],"Lead",1,"MQL",2,"SQL",3,"Customer",4)</f>
        <v>1</v>
      </c>
      <c r="L1277" t="str">
        <f>TEXT(LeadsData[[#This Row],[Signup Date]],"mmm-yyyy")</f>
        <v>Mar-2024</v>
      </c>
      <c r="M1277">
        <f>IF(LeadsData[[#This Row],[Stage Number]]&gt;=2,1,0)</f>
        <v>0</v>
      </c>
      <c r="N1277" s="2">
        <f>IF(LeadsData[[#This Row],[Stage Number]]&gt;=3,1,0)</f>
        <v>0</v>
      </c>
      <c r="O1277" s="2">
        <f>IF(LeadsData[[#This Row],[Stage Number]]&gt;=4,1,0)</f>
        <v>0</v>
      </c>
    </row>
    <row r="1278" spans="1:15" x14ac:dyDescent="0.25">
      <c r="A1278" t="s">
        <v>1318</v>
      </c>
      <c r="B1278" s="1">
        <v>45438</v>
      </c>
      <c r="C1278" t="s">
        <v>46</v>
      </c>
      <c r="D1278" t="s">
        <v>47</v>
      </c>
      <c r="E1278" t="s">
        <v>21</v>
      </c>
      <c r="F1278" t="s">
        <v>19</v>
      </c>
      <c r="G1278" t="s">
        <v>15</v>
      </c>
      <c r="K1278" cm="1">
        <f t="array" ref="K1278">_xlfn.SWITCH(LeadsData[[#This Row],[Funnel Stage Reached]],"Lead",1,"MQL",2,"SQL",3,"Customer",4)</f>
        <v>1</v>
      </c>
      <c r="L1278" t="str">
        <f>TEXT(LeadsData[[#This Row],[Signup Date]],"mmm-yyyy")</f>
        <v>May-2024</v>
      </c>
      <c r="M1278">
        <f>IF(LeadsData[[#This Row],[Stage Number]]&gt;=2,1,0)</f>
        <v>0</v>
      </c>
      <c r="N1278" s="2">
        <f>IF(LeadsData[[#This Row],[Stage Number]]&gt;=3,1,0)</f>
        <v>0</v>
      </c>
      <c r="O1278" s="2">
        <f>IF(LeadsData[[#This Row],[Stage Number]]&gt;=4,1,0)</f>
        <v>0</v>
      </c>
    </row>
    <row r="1279" spans="1:15" x14ac:dyDescent="0.25">
      <c r="A1279" t="s">
        <v>1319</v>
      </c>
      <c r="B1279" s="1">
        <v>45315</v>
      </c>
      <c r="C1279" t="s">
        <v>31</v>
      </c>
      <c r="D1279" t="s">
        <v>32</v>
      </c>
      <c r="E1279" t="s">
        <v>21</v>
      </c>
      <c r="F1279" t="s">
        <v>19</v>
      </c>
      <c r="G1279" t="s">
        <v>42</v>
      </c>
      <c r="H1279">
        <v>34</v>
      </c>
      <c r="I1279" t="s">
        <v>43</v>
      </c>
      <c r="J1279">
        <v>1266.1600000000001</v>
      </c>
      <c r="K1279" cm="1">
        <f t="array" ref="K1279">_xlfn.SWITCH(LeadsData[[#This Row],[Funnel Stage Reached]],"Lead",1,"MQL",2,"SQL",3,"Customer",4)</f>
        <v>4</v>
      </c>
      <c r="L1279" t="str">
        <f>TEXT(LeadsData[[#This Row],[Signup Date]],"mmm-yyyy")</f>
        <v>Jan-2024</v>
      </c>
      <c r="M1279">
        <f>IF(LeadsData[[#This Row],[Stage Number]]&gt;=2,1,0)</f>
        <v>1</v>
      </c>
      <c r="N1279" s="2">
        <f>IF(LeadsData[[#This Row],[Stage Number]]&gt;=3,1,0)</f>
        <v>1</v>
      </c>
      <c r="O1279" s="2">
        <f>IF(LeadsData[[#This Row],[Stage Number]]&gt;=4,1,0)</f>
        <v>1</v>
      </c>
    </row>
    <row r="1280" spans="1:15" x14ac:dyDescent="0.25">
      <c r="A1280" t="s">
        <v>1320</v>
      </c>
      <c r="B1280" s="1">
        <v>45530</v>
      </c>
      <c r="C1280" t="s">
        <v>46</v>
      </c>
      <c r="D1280" t="s">
        <v>47</v>
      </c>
      <c r="E1280" t="s">
        <v>13</v>
      </c>
      <c r="F1280" t="s">
        <v>19</v>
      </c>
      <c r="G1280" t="s">
        <v>15</v>
      </c>
      <c r="K1280" cm="1">
        <f t="array" ref="K1280">_xlfn.SWITCH(LeadsData[[#This Row],[Funnel Stage Reached]],"Lead",1,"MQL",2,"SQL",3,"Customer",4)</f>
        <v>1</v>
      </c>
      <c r="L1280" t="str">
        <f>TEXT(LeadsData[[#This Row],[Signup Date]],"mmm-yyyy")</f>
        <v>Aug-2024</v>
      </c>
      <c r="M1280">
        <f>IF(LeadsData[[#This Row],[Stage Number]]&gt;=2,1,0)</f>
        <v>0</v>
      </c>
      <c r="N1280" s="2">
        <f>IF(LeadsData[[#This Row],[Stage Number]]&gt;=3,1,0)</f>
        <v>0</v>
      </c>
      <c r="O1280" s="2">
        <f>IF(LeadsData[[#This Row],[Stage Number]]&gt;=4,1,0)</f>
        <v>0</v>
      </c>
    </row>
    <row r="1281" spans="1:15" x14ac:dyDescent="0.25">
      <c r="A1281" t="s">
        <v>1321</v>
      </c>
      <c r="B1281" s="1">
        <v>45551</v>
      </c>
      <c r="C1281" t="s">
        <v>31</v>
      </c>
      <c r="D1281" t="s">
        <v>32</v>
      </c>
      <c r="E1281" t="s">
        <v>21</v>
      </c>
      <c r="F1281" t="s">
        <v>22</v>
      </c>
      <c r="G1281" t="s">
        <v>23</v>
      </c>
      <c r="K1281" cm="1">
        <f t="array" ref="K1281">_xlfn.SWITCH(LeadsData[[#This Row],[Funnel Stage Reached]],"Lead",1,"MQL",2,"SQL",3,"Customer",4)</f>
        <v>2</v>
      </c>
      <c r="L1281" t="str">
        <f>TEXT(LeadsData[[#This Row],[Signup Date]],"mmm-yyyy")</f>
        <v>Sep-2024</v>
      </c>
      <c r="M1281">
        <f>IF(LeadsData[[#This Row],[Stage Number]]&gt;=2,1,0)</f>
        <v>1</v>
      </c>
      <c r="N1281" s="2">
        <f>IF(LeadsData[[#This Row],[Stage Number]]&gt;=3,1,0)</f>
        <v>0</v>
      </c>
      <c r="O1281" s="2">
        <f>IF(LeadsData[[#This Row],[Stage Number]]&gt;=4,1,0)</f>
        <v>0</v>
      </c>
    </row>
    <row r="1282" spans="1:15" x14ac:dyDescent="0.25">
      <c r="A1282" t="s">
        <v>1322</v>
      </c>
      <c r="B1282" s="1">
        <v>45413</v>
      </c>
      <c r="C1282" t="s">
        <v>31</v>
      </c>
      <c r="D1282" t="s">
        <v>34</v>
      </c>
      <c r="E1282" t="s">
        <v>13</v>
      </c>
      <c r="F1282" t="s">
        <v>19</v>
      </c>
      <c r="G1282" t="s">
        <v>23</v>
      </c>
      <c r="K1282" cm="1">
        <f t="array" ref="K1282">_xlfn.SWITCH(LeadsData[[#This Row],[Funnel Stage Reached]],"Lead",1,"MQL",2,"SQL",3,"Customer",4)</f>
        <v>2</v>
      </c>
      <c r="L1282" t="str">
        <f>TEXT(LeadsData[[#This Row],[Signup Date]],"mmm-yyyy")</f>
        <v>May-2024</v>
      </c>
      <c r="M1282">
        <f>IF(LeadsData[[#This Row],[Stage Number]]&gt;=2,1,0)</f>
        <v>1</v>
      </c>
      <c r="N1282" s="2">
        <f>IF(LeadsData[[#This Row],[Stage Number]]&gt;=3,1,0)</f>
        <v>0</v>
      </c>
      <c r="O1282" s="2">
        <f>IF(LeadsData[[#This Row],[Stage Number]]&gt;=4,1,0)</f>
        <v>0</v>
      </c>
    </row>
    <row r="1283" spans="1:15" x14ac:dyDescent="0.25">
      <c r="A1283" t="s">
        <v>1323</v>
      </c>
      <c r="B1283" s="1">
        <v>45600</v>
      </c>
      <c r="C1283" t="s">
        <v>11</v>
      </c>
      <c r="D1283" t="s">
        <v>68</v>
      </c>
      <c r="E1283" t="s">
        <v>13</v>
      </c>
      <c r="F1283" t="s">
        <v>14</v>
      </c>
      <c r="G1283" t="s">
        <v>15</v>
      </c>
      <c r="K1283" cm="1">
        <f t="array" ref="K1283">_xlfn.SWITCH(LeadsData[[#This Row],[Funnel Stage Reached]],"Lead",1,"MQL",2,"SQL",3,"Customer",4)</f>
        <v>1</v>
      </c>
      <c r="L1283" t="str">
        <f>TEXT(LeadsData[[#This Row],[Signup Date]],"mmm-yyyy")</f>
        <v>Nov-2024</v>
      </c>
      <c r="M1283">
        <f>IF(LeadsData[[#This Row],[Stage Number]]&gt;=2,1,0)</f>
        <v>0</v>
      </c>
      <c r="N1283" s="2">
        <f>IF(LeadsData[[#This Row],[Stage Number]]&gt;=3,1,0)</f>
        <v>0</v>
      </c>
      <c r="O1283" s="2">
        <f>IF(LeadsData[[#This Row],[Stage Number]]&gt;=4,1,0)</f>
        <v>0</v>
      </c>
    </row>
    <row r="1284" spans="1:15" x14ac:dyDescent="0.25">
      <c r="A1284" t="s">
        <v>1324</v>
      </c>
      <c r="B1284" s="1">
        <v>45516</v>
      </c>
      <c r="C1284" t="s">
        <v>46</v>
      </c>
      <c r="D1284" t="s">
        <v>56</v>
      </c>
      <c r="E1284" t="s">
        <v>13</v>
      </c>
      <c r="F1284" t="s">
        <v>19</v>
      </c>
      <c r="G1284" t="s">
        <v>29</v>
      </c>
      <c r="K1284" cm="1">
        <f t="array" ref="K1284">_xlfn.SWITCH(LeadsData[[#This Row],[Funnel Stage Reached]],"Lead",1,"MQL",2,"SQL",3,"Customer",4)</f>
        <v>3</v>
      </c>
      <c r="L1284" t="str">
        <f>TEXT(LeadsData[[#This Row],[Signup Date]],"mmm-yyyy")</f>
        <v>Aug-2024</v>
      </c>
      <c r="M1284">
        <f>IF(LeadsData[[#This Row],[Stage Number]]&gt;=2,1,0)</f>
        <v>1</v>
      </c>
      <c r="N1284" s="2">
        <f>IF(LeadsData[[#This Row],[Stage Number]]&gt;=3,1,0)</f>
        <v>1</v>
      </c>
      <c r="O1284" s="2">
        <f>IF(LeadsData[[#This Row],[Stage Number]]&gt;=4,1,0)</f>
        <v>0</v>
      </c>
    </row>
    <row r="1285" spans="1:15" x14ac:dyDescent="0.25">
      <c r="A1285" t="s">
        <v>1325</v>
      </c>
      <c r="B1285" s="1">
        <v>45650</v>
      </c>
      <c r="C1285" t="s">
        <v>31</v>
      </c>
      <c r="D1285" t="s">
        <v>32</v>
      </c>
      <c r="E1285" t="s">
        <v>13</v>
      </c>
      <c r="F1285" t="s">
        <v>28</v>
      </c>
      <c r="G1285" t="s">
        <v>23</v>
      </c>
      <c r="K1285" cm="1">
        <f t="array" ref="K1285">_xlfn.SWITCH(LeadsData[[#This Row],[Funnel Stage Reached]],"Lead",1,"MQL",2,"SQL",3,"Customer",4)</f>
        <v>2</v>
      </c>
      <c r="L1285" t="str">
        <f>TEXT(LeadsData[[#This Row],[Signup Date]],"mmm-yyyy")</f>
        <v>Dec-2024</v>
      </c>
      <c r="M1285">
        <f>IF(LeadsData[[#This Row],[Stage Number]]&gt;=2,1,0)</f>
        <v>1</v>
      </c>
      <c r="N1285" s="2">
        <f>IF(LeadsData[[#This Row],[Stage Number]]&gt;=3,1,0)</f>
        <v>0</v>
      </c>
      <c r="O1285" s="2">
        <f>IF(LeadsData[[#This Row],[Stage Number]]&gt;=4,1,0)</f>
        <v>0</v>
      </c>
    </row>
    <row r="1286" spans="1:15" x14ac:dyDescent="0.25">
      <c r="A1286" t="s">
        <v>1326</v>
      </c>
      <c r="B1286" s="1">
        <v>45584</v>
      </c>
      <c r="C1286" t="s">
        <v>31</v>
      </c>
      <c r="D1286" t="s">
        <v>32</v>
      </c>
      <c r="E1286" t="s">
        <v>21</v>
      </c>
      <c r="F1286" t="s">
        <v>19</v>
      </c>
      <c r="G1286" t="s">
        <v>23</v>
      </c>
      <c r="K1286" cm="1">
        <f t="array" ref="K1286">_xlfn.SWITCH(LeadsData[[#This Row],[Funnel Stage Reached]],"Lead",1,"MQL",2,"SQL",3,"Customer",4)</f>
        <v>2</v>
      </c>
      <c r="L1286" t="str">
        <f>TEXT(LeadsData[[#This Row],[Signup Date]],"mmm-yyyy")</f>
        <v>Oct-2024</v>
      </c>
      <c r="M1286">
        <f>IF(LeadsData[[#This Row],[Stage Number]]&gt;=2,1,0)</f>
        <v>1</v>
      </c>
      <c r="N1286" s="2">
        <f>IF(LeadsData[[#This Row],[Stage Number]]&gt;=3,1,0)</f>
        <v>0</v>
      </c>
      <c r="O1286" s="2">
        <f>IF(LeadsData[[#This Row],[Stage Number]]&gt;=4,1,0)</f>
        <v>0</v>
      </c>
    </row>
    <row r="1287" spans="1:15" x14ac:dyDescent="0.25">
      <c r="A1287" t="s">
        <v>1327</v>
      </c>
      <c r="B1287" s="1">
        <v>45585</v>
      </c>
      <c r="C1287" t="s">
        <v>36</v>
      </c>
      <c r="D1287" t="s">
        <v>37</v>
      </c>
      <c r="E1287" t="s">
        <v>13</v>
      </c>
      <c r="F1287" t="s">
        <v>22</v>
      </c>
      <c r="G1287" t="s">
        <v>23</v>
      </c>
      <c r="K1287" cm="1">
        <f t="array" ref="K1287">_xlfn.SWITCH(LeadsData[[#This Row],[Funnel Stage Reached]],"Lead",1,"MQL",2,"SQL",3,"Customer",4)</f>
        <v>2</v>
      </c>
      <c r="L1287" t="str">
        <f>TEXT(LeadsData[[#This Row],[Signup Date]],"mmm-yyyy")</f>
        <v>Oct-2024</v>
      </c>
      <c r="M1287">
        <f>IF(LeadsData[[#This Row],[Stage Number]]&gt;=2,1,0)</f>
        <v>1</v>
      </c>
      <c r="N1287" s="2">
        <f>IF(LeadsData[[#This Row],[Stage Number]]&gt;=3,1,0)</f>
        <v>0</v>
      </c>
      <c r="O1287" s="2">
        <f>IF(LeadsData[[#This Row],[Stage Number]]&gt;=4,1,0)</f>
        <v>0</v>
      </c>
    </row>
    <row r="1288" spans="1:15" x14ac:dyDescent="0.25">
      <c r="A1288" t="s">
        <v>1328</v>
      </c>
      <c r="B1288" s="1">
        <v>45584</v>
      </c>
      <c r="C1288" t="s">
        <v>46</v>
      </c>
      <c r="D1288" t="s">
        <v>56</v>
      </c>
      <c r="E1288" t="s">
        <v>13</v>
      </c>
      <c r="F1288" t="s">
        <v>28</v>
      </c>
      <c r="G1288" t="s">
        <v>29</v>
      </c>
      <c r="K1288" cm="1">
        <f t="array" ref="K1288">_xlfn.SWITCH(LeadsData[[#This Row],[Funnel Stage Reached]],"Lead",1,"MQL",2,"SQL",3,"Customer",4)</f>
        <v>3</v>
      </c>
      <c r="L1288" t="str">
        <f>TEXT(LeadsData[[#This Row],[Signup Date]],"mmm-yyyy")</f>
        <v>Oct-2024</v>
      </c>
      <c r="M1288">
        <f>IF(LeadsData[[#This Row],[Stage Number]]&gt;=2,1,0)</f>
        <v>1</v>
      </c>
      <c r="N1288" s="2">
        <f>IF(LeadsData[[#This Row],[Stage Number]]&gt;=3,1,0)</f>
        <v>1</v>
      </c>
      <c r="O1288" s="2">
        <f>IF(LeadsData[[#This Row],[Stage Number]]&gt;=4,1,0)</f>
        <v>0</v>
      </c>
    </row>
    <row r="1289" spans="1:15" x14ac:dyDescent="0.25">
      <c r="A1289" t="s">
        <v>1329</v>
      </c>
      <c r="B1289" s="1">
        <v>45651</v>
      </c>
      <c r="C1289" t="s">
        <v>11</v>
      </c>
      <c r="D1289" t="s">
        <v>12</v>
      </c>
      <c r="E1289" t="s">
        <v>48</v>
      </c>
      <c r="F1289" t="s">
        <v>14</v>
      </c>
      <c r="G1289" t="s">
        <v>15</v>
      </c>
      <c r="K1289" cm="1">
        <f t="array" ref="K1289">_xlfn.SWITCH(LeadsData[[#This Row],[Funnel Stage Reached]],"Lead",1,"MQL",2,"SQL",3,"Customer",4)</f>
        <v>1</v>
      </c>
      <c r="L1289" t="str">
        <f>TEXT(LeadsData[[#This Row],[Signup Date]],"mmm-yyyy")</f>
        <v>Dec-2024</v>
      </c>
      <c r="M1289">
        <f>IF(LeadsData[[#This Row],[Stage Number]]&gt;=2,1,0)</f>
        <v>0</v>
      </c>
      <c r="N1289" s="2">
        <f>IF(LeadsData[[#This Row],[Stage Number]]&gt;=3,1,0)</f>
        <v>0</v>
      </c>
      <c r="O1289" s="2">
        <f>IF(LeadsData[[#This Row],[Stage Number]]&gt;=4,1,0)</f>
        <v>0</v>
      </c>
    </row>
    <row r="1290" spans="1:15" x14ac:dyDescent="0.25">
      <c r="A1290" t="s">
        <v>1330</v>
      </c>
      <c r="B1290" s="1">
        <v>45583</v>
      </c>
      <c r="C1290" t="s">
        <v>31</v>
      </c>
      <c r="D1290" t="s">
        <v>34</v>
      </c>
      <c r="E1290" t="s">
        <v>21</v>
      </c>
      <c r="F1290" t="s">
        <v>19</v>
      </c>
      <c r="G1290" t="s">
        <v>23</v>
      </c>
      <c r="K1290" cm="1">
        <f t="array" ref="K1290">_xlfn.SWITCH(LeadsData[[#This Row],[Funnel Stage Reached]],"Lead",1,"MQL",2,"SQL",3,"Customer",4)</f>
        <v>2</v>
      </c>
      <c r="L1290" t="str">
        <f>TEXT(LeadsData[[#This Row],[Signup Date]],"mmm-yyyy")</f>
        <v>Oct-2024</v>
      </c>
      <c r="M1290">
        <f>IF(LeadsData[[#This Row],[Stage Number]]&gt;=2,1,0)</f>
        <v>1</v>
      </c>
      <c r="N1290" s="2">
        <f>IF(LeadsData[[#This Row],[Stage Number]]&gt;=3,1,0)</f>
        <v>0</v>
      </c>
      <c r="O1290" s="2">
        <f>IF(LeadsData[[#This Row],[Stage Number]]&gt;=4,1,0)</f>
        <v>0</v>
      </c>
    </row>
    <row r="1291" spans="1:15" x14ac:dyDescent="0.25">
      <c r="A1291" t="s">
        <v>1331</v>
      </c>
      <c r="B1291" s="1">
        <v>45510</v>
      </c>
      <c r="C1291" t="s">
        <v>17</v>
      </c>
      <c r="D1291" t="s">
        <v>53</v>
      </c>
      <c r="E1291" t="s">
        <v>13</v>
      </c>
      <c r="F1291" t="s">
        <v>22</v>
      </c>
      <c r="G1291" t="s">
        <v>23</v>
      </c>
      <c r="K1291" cm="1">
        <f t="array" ref="K1291">_xlfn.SWITCH(LeadsData[[#This Row],[Funnel Stage Reached]],"Lead",1,"MQL",2,"SQL",3,"Customer",4)</f>
        <v>2</v>
      </c>
      <c r="L1291" t="str">
        <f>TEXT(LeadsData[[#This Row],[Signup Date]],"mmm-yyyy")</f>
        <v>Aug-2024</v>
      </c>
      <c r="M1291">
        <f>IF(LeadsData[[#This Row],[Stage Number]]&gt;=2,1,0)</f>
        <v>1</v>
      </c>
      <c r="N1291" s="2">
        <f>IF(LeadsData[[#This Row],[Stage Number]]&gt;=3,1,0)</f>
        <v>0</v>
      </c>
      <c r="O1291" s="2">
        <f>IF(LeadsData[[#This Row],[Stage Number]]&gt;=4,1,0)</f>
        <v>0</v>
      </c>
    </row>
    <row r="1292" spans="1:15" x14ac:dyDescent="0.25">
      <c r="A1292" t="s">
        <v>1332</v>
      </c>
      <c r="B1292" s="1">
        <v>45652</v>
      </c>
      <c r="C1292" t="s">
        <v>11</v>
      </c>
      <c r="D1292" t="s">
        <v>79</v>
      </c>
      <c r="E1292" t="s">
        <v>13</v>
      </c>
      <c r="F1292" t="s">
        <v>19</v>
      </c>
      <c r="G1292" t="s">
        <v>23</v>
      </c>
      <c r="K1292" cm="1">
        <f t="array" ref="K1292">_xlfn.SWITCH(LeadsData[[#This Row],[Funnel Stage Reached]],"Lead",1,"MQL",2,"SQL",3,"Customer",4)</f>
        <v>2</v>
      </c>
      <c r="L1292" t="str">
        <f>TEXT(LeadsData[[#This Row],[Signup Date]],"mmm-yyyy")</f>
        <v>Dec-2024</v>
      </c>
      <c r="M1292">
        <f>IF(LeadsData[[#This Row],[Stage Number]]&gt;=2,1,0)</f>
        <v>1</v>
      </c>
      <c r="N1292" s="2">
        <f>IF(LeadsData[[#This Row],[Stage Number]]&gt;=3,1,0)</f>
        <v>0</v>
      </c>
      <c r="O1292" s="2">
        <f>IF(LeadsData[[#This Row],[Stage Number]]&gt;=4,1,0)</f>
        <v>0</v>
      </c>
    </row>
    <row r="1293" spans="1:15" x14ac:dyDescent="0.25">
      <c r="A1293" t="s">
        <v>1333</v>
      </c>
      <c r="B1293" s="1">
        <v>45343</v>
      </c>
      <c r="C1293" t="s">
        <v>17</v>
      </c>
      <c r="D1293" t="s">
        <v>18</v>
      </c>
      <c r="E1293" t="s">
        <v>13</v>
      </c>
      <c r="F1293" t="s">
        <v>19</v>
      </c>
      <c r="G1293" t="s">
        <v>15</v>
      </c>
      <c r="K1293" cm="1">
        <f t="array" ref="K1293">_xlfn.SWITCH(LeadsData[[#This Row],[Funnel Stage Reached]],"Lead",1,"MQL",2,"SQL",3,"Customer",4)</f>
        <v>1</v>
      </c>
      <c r="L1293" t="str">
        <f>TEXT(LeadsData[[#This Row],[Signup Date]],"mmm-yyyy")</f>
        <v>Feb-2024</v>
      </c>
      <c r="M1293">
        <f>IF(LeadsData[[#This Row],[Stage Number]]&gt;=2,1,0)</f>
        <v>0</v>
      </c>
      <c r="N1293" s="2">
        <f>IF(LeadsData[[#This Row],[Stage Number]]&gt;=3,1,0)</f>
        <v>0</v>
      </c>
      <c r="O1293" s="2">
        <f>IF(LeadsData[[#This Row],[Stage Number]]&gt;=4,1,0)</f>
        <v>0</v>
      </c>
    </row>
    <row r="1294" spans="1:15" x14ac:dyDescent="0.25">
      <c r="A1294" t="s">
        <v>1334</v>
      </c>
      <c r="B1294" s="1">
        <v>45557</v>
      </c>
      <c r="C1294" t="s">
        <v>46</v>
      </c>
      <c r="D1294" t="s">
        <v>56</v>
      </c>
      <c r="E1294" t="s">
        <v>21</v>
      </c>
      <c r="F1294" t="s">
        <v>19</v>
      </c>
      <c r="G1294" t="s">
        <v>42</v>
      </c>
      <c r="H1294">
        <v>26</v>
      </c>
      <c r="I1294" t="s">
        <v>43</v>
      </c>
      <c r="J1294">
        <v>908.86</v>
      </c>
      <c r="K1294" cm="1">
        <f t="array" ref="K1294">_xlfn.SWITCH(LeadsData[[#This Row],[Funnel Stage Reached]],"Lead",1,"MQL",2,"SQL",3,"Customer",4)</f>
        <v>4</v>
      </c>
      <c r="L1294" t="str">
        <f>TEXT(LeadsData[[#This Row],[Signup Date]],"mmm-yyyy")</f>
        <v>Sep-2024</v>
      </c>
      <c r="M1294">
        <f>IF(LeadsData[[#This Row],[Stage Number]]&gt;=2,1,0)</f>
        <v>1</v>
      </c>
      <c r="N1294" s="2">
        <f>IF(LeadsData[[#This Row],[Stage Number]]&gt;=3,1,0)</f>
        <v>1</v>
      </c>
      <c r="O1294" s="2">
        <f>IF(LeadsData[[#This Row],[Stage Number]]&gt;=4,1,0)</f>
        <v>1</v>
      </c>
    </row>
    <row r="1295" spans="1:15" x14ac:dyDescent="0.25">
      <c r="A1295" t="s">
        <v>1335</v>
      </c>
      <c r="B1295" s="1">
        <v>45370</v>
      </c>
      <c r="C1295" t="s">
        <v>36</v>
      </c>
      <c r="D1295" t="s">
        <v>50</v>
      </c>
      <c r="E1295" t="s">
        <v>21</v>
      </c>
      <c r="F1295" t="s">
        <v>19</v>
      </c>
      <c r="G1295" t="s">
        <v>23</v>
      </c>
      <c r="K1295" cm="1">
        <f t="array" ref="K1295">_xlfn.SWITCH(LeadsData[[#This Row],[Funnel Stage Reached]],"Lead",1,"MQL",2,"SQL",3,"Customer",4)</f>
        <v>2</v>
      </c>
      <c r="L1295" t="str">
        <f>TEXT(LeadsData[[#This Row],[Signup Date]],"mmm-yyyy")</f>
        <v>Mar-2024</v>
      </c>
      <c r="M1295">
        <f>IF(LeadsData[[#This Row],[Stage Number]]&gt;=2,1,0)</f>
        <v>1</v>
      </c>
      <c r="N1295" s="2">
        <f>IF(LeadsData[[#This Row],[Stage Number]]&gt;=3,1,0)</f>
        <v>0</v>
      </c>
      <c r="O1295" s="2">
        <f>IF(LeadsData[[#This Row],[Stage Number]]&gt;=4,1,0)</f>
        <v>0</v>
      </c>
    </row>
    <row r="1296" spans="1:15" x14ac:dyDescent="0.25">
      <c r="A1296" t="s">
        <v>1336</v>
      </c>
      <c r="B1296" s="1">
        <v>45294</v>
      </c>
      <c r="C1296" t="s">
        <v>31</v>
      </c>
      <c r="D1296" t="s">
        <v>32</v>
      </c>
      <c r="E1296" t="s">
        <v>13</v>
      </c>
      <c r="F1296" t="s">
        <v>28</v>
      </c>
      <c r="G1296" t="s">
        <v>15</v>
      </c>
      <c r="K1296" cm="1">
        <f t="array" ref="K1296">_xlfn.SWITCH(LeadsData[[#This Row],[Funnel Stage Reached]],"Lead",1,"MQL",2,"SQL",3,"Customer",4)</f>
        <v>1</v>
      </c>
      <c r="L1296" t="str">
        <f>TEXT(LeadsData[[#This Row],[Signup Date]],"mmm-yyyy")</f>
        <v>Jan-2024</v>
      </c>
      <c r="M1296">
        <f>IF(LeadsData[[#This Row],[Stage Number]]&gt;=2,1,0)</f>
        <v>0</v>
      </c>
      <c r="N1296" s="2">
        <f>IF(LeadsData[[#This Row],[Stage Number]]&gt;=3,1,0)</f>
        <v>0</v>
      </c>
      <c r="O1296" s="2">
        <f>IF(LeadsData[[#This Row],[Stage Number]]&gt;=4,1,0)</f>
        <v>0</v>
      </c>
    </row>
    <row r="1297" spans="1:15" x14ac:dyDescent="0.25">
      <c r="A1297" t="s">
        <v>1337</v>
      </c>
      <c r="B1297" s="1">
        <v>45309</v>
      </c>
      <c r="C1297" t="s">
        <v>31</v>
      </c>
      <c r="D1297" t="s">
        <v>32</v>
      </c>
      <c r="E1297" t="s">
        <v>13</v>
      </c>
      <c r="F1297" t="s">
        <v>19</v>
      </c>
      <c r="G1297" t="s">
        <v>15</v>
      </c>
      <c r="K1297" cm="1">
        <f t="array" ref="K1297">_xlfn.SWITCH(LeadsData[[#This Row],[Funnel Stage Reached]],"Lead",1,"MQL",2,"SQL",3,"Customer",4)</f>
        <v>1</v>
      </c>
      <c r="L1297" t="str">
        <f>TEXT(LeadsData[[#This Row],[Signup Date]],"mmm-yyyy")</f>
        <v>Jan-2024</v>
      </c>
      <c r="M1297">
        <f>IF(LeadsData[[#This Row],[Stage Number]]&gt;=2,1,0)</f>
        <v>0</v>
      </c>
      <c r="N1297" s="2">
        <f>IF(LeadsData[[#This Row],[Stage Number]]&gt;=3,1,0)</f>
        <v>0</v>
      </c>
      <c r="O1297" s="2">
        <f>IF(LeadsData[[#This Row],[Stage Number]]&gt;=4,1,0)</f>
        <v>0</v>
      </c>
    </row>
    <row r="1298" spans="1:15" x14ac:dyDescent="0.25">
      <c r="A1298" t="s">
        <v>1338</v>
      </c>
      <c r="B1298" s="1">
        <v>45432</v>
      </c>
      <c r="C1298" t="s">
        <v>17</v>
      </c>
      <c r="D1298" t="s">
        <v>53</v>
      </c>
      <c r="E1298" t="s">
        <v>21</v>
      </c>
      <c r="F1298" t="s">
        <v>19</v>
      </c>
      <c r="G1298" t="s">
        <v>15</v>
      </c>
      <c r="K1298" cm="1">
        <f t="array" ref="K1298">_xlfn.SWITCH(LeadsData[[#This Row],[Funnel Stage Reached]],"Lead",1,"MQL",2,"SQL",3,"Customer",4)</f>
        <v>1</v>
      </c>
      <c r="L1298" t="str">
        <f>TEXT(LeadsData[[#This Row],[Signup Date]],"mmm-yyyy")</f>
        <v>May-2024</v>
      </c>
      <c r="M1298">
        <f>IF(LeadsData[[#This Row],[Stage Number]]&gt;=2,1,0)</f>
        <v>0</v>
      </c>
      <c r="N1298" s="2">
        <f>IF(LeadsData[[#This Row],[Stage Number]]&gt;=3,1,0)</f>
        <v>0</v>
      </c>
      <c r="O1298" s="2">
        <f>IF(LeadsData[[#This Row],[Stage Number]]&gt;=4,1,0)</f>
        <v>0</v>
      </c>
    </row>
    <row r="1299" spans="1:15" x14ac:dyDescent="0.25">
      <c r="A1299" t="s">
        <v>1339</v>
      </c>
      <c r="B1299" s="1">
        <v>45497</v>
      </c>
      <c r="C1299" t="s">
        <v>46</v>
      </c>
      <c r="D1299" t="s">
        <v>47</v>
      </c>
      <c r="E1299" t="s">
        <v>13</v>
      </c>
      <c r="F1299" t="s">
        <v>19</v>
      </c>
      <c r="G1299" t="s">
        <v>15</v>
      </c>
      <c r="K1299" cm="1">
        <f t="array" ref="K1299">_xlfn.SWITCH(LeadsData[[#This Row],[Funnel Stage Reached]],"Lead",1,"MQL",2,"SQL",3,"Customer",4)</f>
        <v>1</v>
      </c>
      <c r="L1299" t="str">
        <f>TEXT(LeadsData[[#This Row],[Signup Date]],"mmm-yyyy")</f>
        <v>Jul-2024</v>
      </c>
      <c r="M1299">
        <f>IF(LeadsData[[#This Row],[Stage Number]]&gt;=2,1,0)</f>
        <v>0</v>
      </c>
      <c r="N1299" s="2">
        <f>IF(LeadsData[[#This Row],[Stage Number]]&gt;=3,1,0)</f>
        <v>0</v>
      </c>
      <c r="O1299" s="2">
        <f>IF(LeadsData[[#This Row],[Stage Number]]&gt;=4,1,0)</f>
        <v>0</v>
      </c>
    </row>
    <row r="1300" spans="1:15" x14ac:dyDescent="0.25">
      <c r="A1300" t="s">
        <v>1340</v>
      </c>
      <c r="B1300" s="1">
        <v>45459</v>
      </c>
      <c r="C1300" t="s">
        <v>36</v>
      </c>
      <c r="D1300" t="s">
        <v>37</v>
      </c>
      <c r="E1300" t="s">
        <v>13</v>
      </c>
      <c r="F1300" t="s">
        <v>14</v>
      </c>
      <c r="G1300" t="s">
        <v>29</v>
      </c>
      <c r="K1300" cm="1">
        <f t="array" ref="K1300">_xlfn.SWITCH(LeadsData[[#This Row],[Funnel Stage Reached]],"Lead",1,"MQL",2,"SQL",3,"Customer",4)</f>
        <v>3</v>
      </c>
      <c r="L1300" t="str">
        <f>TEXT(LeadsData[[#This Row],[Signup Date]],"mmm-yyyy")</f>
        <v>Jun-2024</v>
      </c>
      <c r="M1300">
        <f>IF(LeadsData[[#This Row],[Stage Number]]&gt;=2,1,0)</f>
        <v>1</v>
      </c>
      <c r="N1300" s="2">
        <f>IF(LeadsData[[#This Row],[Stage Number]]&gt;=3,1,0)</f>
        <v>1</v>
      </c>
      <c r="O1300" s="2">
        <f>IF(LeadsData[[#This Row],[Stage Number]]&gt;=4,1,0)</f>
        <v>0</v>
      </c>
    </row>
    <row r="1301" spans="1:15" x14ac:dyDescent="0.25">
      <c r="A1301" t="s">
        <v>1341</v>
      </c>
      <c r="B1301" s="1">
        <v>45399</v>
      </c>
      <c r="C1301" t="s">
        <v>11</v>
      </c>
      <c r="D1301" t="s">
        <v>12</v>
      </c>
      <c r="E1301" t="s">
        <v>21</v>
      </c>
      <c r="F1301" t="s">
        <v>19</v>
      </c>
      <c r="G1301" t="s">
        <v>15</v>
      </c>
      <c r="K1301" cm="1">
        <f t="array" ref="K1301">_xlfn.SWITCH(LeadsData[[#This Row],[Funnel Stage Reached]],"Lead",1,"MQL",2,"SQL",3,"Customer",4)</f>
        <v>1</v>
      </c>
      <c r="L1301" t="str">
        <f>TEXT(LeadsData[[#This Row],[Signup Date]],"mmm-yyyy")</f>
        <v>Apr-2024</v>
      </c>
      <c r="M1301">
        <f>IF(LeadsData[[#This Row],[Stage Number]]&gt;=2,1,0)</f>
        <v>0</v>
      </c>
      <c r="N1301" s="2">
        <f>IF(LeadsData[[#This Row],[Stage Number]]&gt;=3,1,0)</f>
        <v>0</v>
      </c>
      <c r="O1301" s="2">
        <f>IF(LeadsData[[#This Row],[Stage Number]]&gt;=4,1,0)</f>
        <v>0</v>
      </c>
    </row>
    <row r="1302" spans="1:15" x14ac:dyDescent="0.25">
      <c r="A1302" t="s">
        <v>1342</v>
      </c>
      <c r="B1302" s="1">
        <v>45545</v>
      </c>
      <c r="C1302" t="s">
        <v>17</v>
      </c>
      <c r="D1302" t="s">
        <v>18</v>
      </c>
      <c r="E1302" t="s">
        <v>21</v>
      </c>
      <c r="F1302" t="s">
        <v>22</v>
      </c>
      <c r="G1302" t="s">
        <v>15</v>
      </c>
      <c r="K1302" cm="1">
        <f t="array" ref="K1302">_xlfn.SWITCH(LeadsData[[#This Row],[Funnel Stage Reached]],"Lead",1,"MQL",2,"SQL",3,"Customer",4)</f>
        <v>1</v>
      </c>
      <c r="L1302" t="str">
        <f>TEXT(LeadsData[[#This Row],[Signup Date]],"mmm-yyyy")</f>
        <v>Sep-2024</v>
      </c>
      <c r="M1302">
        <f>IF(LeadsData[[#This Row],[Stage Number]]&gt;=2,1,0)</f>
        <v>0</v>
      </c>
      <c r="N1302" s="2">
        <f>IF(LeadsData[[#This Row],[Stage Number]]&gt;=3,1,0)</f>
        <v>0</v>
      </c>
      <c r="O1302" s="2">
        <f>IF(LeadsData[[#This Row],[Stage Number]]&gt;=4,1,0)</f>
        <v>0</v>
      </c>
    </row>
    <row r="1303" spans="1:15" x14ac:dyDescent="0.25">
      <c r="A1303" t="s">
        <v>1343</v>
      </c>
      <c r="B1303" s="1">
        <v>45328</v>
      </c>
      <c r="C1303" t="s">
        <v>11</v>
      </c>
      <c r="D1303" t="s">
        <v>68</v>
      </c>
      <c r="E1303" t="s">
        <v>21</v>
      </c>
      <c r="F1303" t="s">
        <v>19</v>
      </c>
      <c r="G1303" t="s">
        <v>15</v>
      </c>
      <c r="K1303" cm="1">
        <f t="array" ref="K1303">_xlfn.SWITCH(LeadsData[[#This Row],[Funnel Stage Reached]],"Lead",1,"MQL",2,"SQL",3,"Customer",4)</f>
        <v>1</v>
      </c>
      <c r="L1303" t="str">
        <f>TEXT(LeadsData[[#This Row],[Signup Date]],"mmm-yyyy")</f>
        <v>Feb-2024</v>
      </c>
      <c r="M1303">
        <f>IF(LeadsData[[#This Row],[Stage Number]]&gt;=2,1,0)</f>
        <v>0</v>
      </c>
      <c r="N1303" s="2">
        <f>IF(LeadsData[[#This Row],[Stage Number]]&gt;=3,1,0)</f>
        <v>0</v>
      </c>
      <c r="O1303" s="2">
        <f>IF(LeadsData[[#This Row],[Stage Number]]&gt;=4,1,0)</f>
        <v>0</v>
      </c>
    </row>
    <row r="1304" spans="1:15" x14ac:dyDescent="0.25">
      <c r="A1304" t="s">
        <v>1344</v>
      </c>
      <c r="B1304" s="1">
        <v>45573</v>
      </c>
      <c r="C1304" t="s">
        <v>11</v>
      </c>
      <c r="D1304" t="s">
        <v>79</v>
      </c>
      <c r="E1304" t="s">
        <v>48</v>
      </c>
      <c r="F1304" t="s">
        <v>22</v>
      </c>
      <c r="G1304" t="s">
        <v>15</v>
      </c>
      <c r="K1304" cm="1">
        <f t="array" ref="K1304">_xlfn.SWITCH(LeadsData[[#This Row],[Funnel Stage Reached]],"Lead",1,"MQL",2,"SQL",3,"Customer",4)</f>
        <v>1</v>
      </c>
      <c r="L1304" t="str">
        <f>TEXT(LeadsData[[#This Row],[Signup Date]],"mmm-yyyy")</f>
        <v>Oct-2024</v>
      </c>
      <c r="M1304">
        <f>IF(LeadsData[[#This Row],[Stage Number]]&gt;=2,1,0)</f>
        <v>0</v>
      </c>
      <c r="N1304" s="2">
        <f>IF(LeadsData[[#This Row],[Stage Number]]&gt;=3,1,0)</f>
        <v>0</v>
      </c>
      <c r="O1304" s="2">
        <f>IF(LeadsData[[#This Row],[Stage Number]]&gt;=4,1,0)</f>
        <v>0</v>
      </c>
    </row>
    <row r="1305" spans="1:15" x14ac:dyDescent="0.25">
      <c r="A1305" t="s">
        <v>1345</v>
      </c>
      <c r="B1305" s="1">
        <v>45513</v>
      </c>
      <c r="C1305" t="s">
        <v>36</v>
      </c>
      <c r="D1305" t="s">
        <v>37</v>
      </c>
      <c r="E1305" t="s">
        <v>13</v>
      </c>
      <c r="F1305" t="s">
        <v>19</v>
      </c>
      <c r="G1305" t="s">
        <v>15</v>
      </c>
      <c r="K1305" cm="1">
        <f t="array" ref="K1305">_xlfn.SWITCH(LeadsData[[#This Row],[Funnel Stage Reached]],"Lead",1,"MQL",2,"SQL",3,"Customer",4)</f>
        <v>1</v>
      </c>
      <c r="L1305" t="str">
        <f>TEXT(LeadsData[[#This Row],[Signup Date]],"mmm-yyyy")</f>
        <v>Aug-2024</v>
      </c>
      <c r="M1305">
        <f>IF(LeadsData[[#This Row],[Stage Number]]&gt;=2,1,0)</f>
        <v>0</v>
      </c>
      <c r="N1305" s="2">
        <f>IF(LeadsData[[#This Row],[Stage Number]]&gt;=3,1,0)</f>
        <v>0</v>
      </c>
      <c r="O1305" s="2">
        <f>IF(LeadsData[[#This Row],[Stage Number]]&gt;=4,1,0)</f>
        <v>0</v>
      </c>
    </row>
    <row r="1306" spans="1:15" x14ac:dyDescent="0.25">
      <c r="A1306" t="s">
        <v>1346</v>
      </c>
      <c r="B1306" s="1">
        <v>45514</v>
      </c>
      <c r="C1306" t="s">
        <v>31</v>
      </c>
      <c r="D1306" t="s">
        <v>34</v>
      </c>
      <c r="E1306" t="s">
        <v>21</v>
      </c>
      <c r="F1306" t="s">
        <v>19</v>
      </c>
      <c r="G1306" t="s">
        <v>15</v>
      </c>
      <c r="K1306" cm="1">
        <f t="array" ref="K1306">_xlfn.SWITCH(LeadsData[[#This Row],[Funnel Stage Reached]],"Lead",1,"MQL",2,"SQL",3,"Customer",4)</f>
        <v>1</v>
      </c>
      <c r="L1306" t="str">
        <f>TEXT(LeadsData[[#This Row],[Signup Date]],"mmm-yyyy")</f>
        <v>Aug-2024</v>
      </c>
      <c r="M1306">
        <f>IF(LeadsData[[#This Row],[Stage Number]]&gt;=2,1,0)</f>
        <v>0</v>
      </c>
      <c r="N1306" s="2">
        <f>IF(LeadsData[[#This Row],[Stage Number]]&gt;=3,1,0)</f>
        <v>0</v>
      </c>
      <c r="O1306" s="2">
        <f>IF(LeadsData[[#This Row],[Stage Number]]&gt;=4,1,0)</f>
        <v>0</v>
      </c>
    </row>
    <row r="1307" spans="1:15" x14ac:dyDescent="0.25">
      <c r="A1307" t="s">
        <v>1347</v>
      </c>
      <c r="B1307" s="1">
        <v>45301</v>
      </c>
      <c r="C1307" t="s">
        <v>31</v>
      </c>
      <c r="D1307" t="s">
        <v>34</v>
      </c>
      <c r="E1307" t="s">
        <v>21</v>
      </c>
      <c r="F1307" t="s">
        <v>19</v>
      </c>
      <c r="G1307" t="s">
        <v>42</v>
      </c>
      <c r="H1307">
        <v>54</v>
      </c>
      <c r="I1307" t="s">
        <v>87</v>
      </c>
      <c r="J1307">
        <v>1768.56</v>
      </c>
      <c r="K1307" cm="1">
        <f t="array" ref="K1307">_xlfn.SWITCH(LeadsData[[#This Row],[Funnel Stage Reached]],"Lead",1,"MQL",2,"SQL",3,"Customer",4)</f>
        <v>4</v>
      </c>
      <c r="L1307" t="str">
        <f>TEXT(LeadsData[[#This Row],[Signup Date]],"mmm-yyyy")</f>
        <v>Jan-2024</v>
      </c>
      <c r="M1307">
        <f>IF(LeadsData[[#This Row],[Stage Number]]&gt;=2,1,0)</f>
        <v>1</v>
      </c>
      <c r="N1307" s="2">
        <f>IF(LeadsData[[#This Row],[Stage Number]]&gt;=3,1,0)</f>
        <v>1</v>
      </c>
      <c r="O1307" s="2">
        <f>IF(LeadsData[[#This Row],[Stage Number]]&gt;=4,1,0)</f>
        <v>1</v>
      </c>
    </row>
    <row r="1308" spans="1:15" x14ac:dyDescent="0.25">
      <c r="A1308" t="s">
        <v>1348</v>
      </c>
      <c r="B1308" s="1">
        <v>45337</v>
      </c>
      <c r="C1308" t="s">
        <v>31</v>
      </c>
      <c r="D1308" t="s">
        <v>32</v>
      </c>
      <c r="E1308" t="s">
        <v>13</v>
      </c>
      <c r="F1308" t="s">
        <v>19</v>
      </c>
      <c r="G1308" t="s">
        <v>15</v>
      </c>
      <c r="K1308" cm="1">
        <f t="array" ref="K1308">_xlfn.SWITCH(LeadsData[[#This Row],[Funnel Stage Reached]],"Lead",1,"MQL",2,"SQL",3,"Customer",4)</f>
        <v>1</v>
      </c>
      <c r="L1308" t="str">
        <f>TEXT(LeadsData[[#This Row],[Signup Date]],"mmm-yyyy")</f>
        <v>Feb-2024</v>
      </c>
      <c r="M1308">
        <f>IF(LeadsData[[#This Row],[Stage Number]]&gt;=2,1,0)</f>
        <v>0</v>
      </c>
      <c r="N1308" s="2">
        <f>IF(LeadsData[[#This Row],[Stage Number]]&gt;=3,1,0)</f>
        <v>0</v>
      </c>
      <c r="O1308" s="2">
        <f>IF(LeadsData[[#This Row],[Stage Number]]&gt;=4,1,0)</f>
        <v>0</v>
      </c>
    </row>
    <row r="1309" spans="1:15" x14ac:dyDescent="0.25">
      <c r="A1309" t="s">
        <v>1349</v>
      </c>
      <c r="B1309" s="1">
        <v>45378</v>
      </c>
      <c r="C1309" t="s">
        <v>46</v>
      </c>
      <c r="D1309" t="s">
        <v>56</v>
      </c>
      <c r="E1309" t="s">
        <v>13</v>
      </c>
      <c r="F1309" t="s">
        <v>28</v>
      </c>
      <c r="G1309" t="s">
        <v>15</v>
      </c>
      <c r="K1309" cm="1">
        <f t="array" ref="K1309">_xlfn.SWITCH(LeadsData[[#This Row],[Funnel Stage Reached]],"Lead",1,"MQL",2,"SQL",3,"Customer",4)</f>
        <v>1</v>
      </c>
      <c r="L1309" t="str">
        <f>TEXT(LeadsData[[#This Row],[Signup Date]],"mmm-yyyy")</f>
        <v>Mar-2024</v>
      </c>
      <c r="M1309">
        <f>IF(LeadsData[[#This Row],[Stage Number]]&gt;=2,1,0)</f>
        <v>0</v>
      </c>
      <c r="N1309" s="2">
        <f>IF(LeadsData[[#This Row],[Stage Number]]&gt;=3,1,0)</f>
        <v>0</v>
      </c>
      <c r="O1309" s="2">
        <f>IF(LeadsData[[#This Row],[Stage Number]]&gt;=4,1,0)</f>
        <v>0</v>
      </c>
    </row>
    <row r="1310" spans="1:15" x14ac:dyDescent="0.25">
      <c r="A1310" t="s">
        <v>1350</v>
      </c>
      <c r="B1310" s="1">
        <v>45447</v>
      </c>
      <c r="C1310" t="s">
        <v>11</v>
      </c>
      <c r="D1310" t="s">
        <v>12</v>
      </c>
      <c r="E1310" t="s">
        <v>13</v>
      </c>
      <c r="F1310" t="s">
        <v>22</v>
      </c>
      <c r="G1310" t="s">
        <v>23</v>
      </c>
      <c r="K1310" cm="1">
        <f t="array" ref="K1310">_xlfn.SWITCH(LeadsData[[#This Row],[Funnel Stage Reached]],"Lead",1,"MQL",2,"SQL",3,"Customer",4)</f>
        <v>2</v>
      </c>
      <c r="L1310" t="str">
        <f>TEXT(LeadsData[[#This Row],[Signup Date]],"mmm-yyyy")</f>
        <v>Jun-2024</v>
      </c>
      <c r="M1310">
        <f>IF(LeadsData[[#This Row],[Stage Number]]&gt;=2,1,0)</f>
        <v>1</v>
      </c>
      <c r="N1310" s="2">
        <f>IF(LeadsData[[#This Row],[Stage Number]]&gt;=3,1,0)</f>
        <v>0</v>
      </c>
      <c r="O1310" s="2">
        <f>IF(LeadsData[[#This Row],[Stage Number]]&gt;=4,1,0)</f>
        <v>0</v>
      </c>
    </row>
    <row r="1311" spans="1:15" x14ac:dyDescent="0.25">
      <c r="A1311" t="s">
        <v>1351</v>
      </c>
      <c r="B1311" s="1">
        <v>45360</v>
      </c>
      <c r="C1311" t="s">
        <v>46</v>
      </c>
      <c r="D1311" t="s">
        <v>56</v>
      </c>
      <c r="E1311" t="s">
        <v>13</v>
      </c>
      <c r="F1311" t="s">
        <v>19</v>
      </c>
      <c r="G1311" t="s">
        <v>15</v>
      </c>
      <c r="K1311" cm="1">
        <f t="array" ref="K1311">_xlfn.SWITCH(LeadsData[[#This Row],[Funnel Stage Reached]],"Lead",1,"MQL",2,"SQL",3,"Customer",4)</f>
        <v>1</v>
      </c>
      <c r="L1311" t="str">
        <f>TEXT(LeadsData[[#This Row],[Signup Date]],"mmm-yyyy")</f>
        <v>Mar-2024</v>
      </c>
      <c r="M1311">
        <f>IF(LeadsData[[#This Row],[Stage Number]]&gt;=2,1,0)</f>
        <v>0</v>
      </c>
      <c r="N1311" s="2">
        <f>IF(LeadsData[[#This Row],[Stage Number]]&gt;=3,1,0)</f>
        <v>0</v>
      </c>
      <c r="O1311" s="2">
        <f>IF(LeadsData[[#This Row],[Stage Number]]&gt;=4,1,0)</f>
        <v>0</v>
      </c>
    </row>
    <row r="1312" spans="1:15" x14ac:dyDescent="0.25">
      <c r="A1312" t="s">
        <v>1352</v>
      </c>
      <c r="B1312" s="1">
        <v>45428</v>
      </c>
      <c r="C1312" t="s">
        <v>46</v>
      </c>
      <c r="D1312" t="s">
        <v>47</v>
      </c>
      <c r="E1312" t="s">
        <v>13</v>
      </c>
      <c r="F1312" t="s">
        <v>28</v>
      </c>
      <c r="G1312" t="s">
        <v>29</v>
      </c>
      <c r="K1312" cm="1">
        <f t="array" ref="K1312">_xlfn.SWITCH(LeadsData[[#This Row],[Funnel Stage Reached]],"Lead",1,"MQL",2,"SQL",3,"Customer",4)</f>
        <v>3</v>
      </c>
      <c r="L1312" t="str">
        <f>TEXT(LeadsData[[#This Row],[Signup Date]],"mmm-yyyy")</f>
        <v>May-2024</v>
      </c>
      <c r="M1312">
        <f>IF(LeadsData[[#This Row],[Stage Number]]&gt;=2,1,0)</f>
        <v>1</v>
      </c>
      <c r="N1312" s="2">
        <f>IF(LeadsData[[#This Row],[Stage Number]]&gt;=3,1,0)</f>
        <v>1</v>
      </c>
      <c r="O1312" s="2">
        <f>IF(LeadsData[[#This Row],[Stage Number]]&gt;=4,1,0)</f>
        <v>0</v>
      </c>
    </row>
    <row r="1313" spans="1:15" x14ac:dyDescent="0.25">
      <c r="A1313" t="s">
        <v>1353</v>
      </c>
      <c r="B1313" s="1">
        <v>45452</v>
      </c>
      <c r="C1313" t="s">
        <v>25</v>
      </c>
      <c r="D1313" t="s">
        <v>26</v>
      </c>
      <c r="E1313" t="s">
        <v>48</v>
      </c>
      <c r="F1313" t="s">
        <v>19</v>
      </c>
      <c r="G1313" t="s">
        <v>15</v>
      </c>
      <c r="K1313" cm="1">
        <f t="array" ref="K1313">_xlfn.SWITCH(LeadsData[[#This Row],[Funnel Stage Reached]],"Lead",1,"MQL",2,"SQL",3,"Customer",4)</f>
        <v>1</v>
      </c>
      <c r="L1313" t="str">
        <f>TEXT(LeadsData[[#This Row],[Signup Date]],"mmm-yyyy")</f>
        <v>Jun-2024</v>
      </c>
      <c r="M1313">
        <f>IF(LeadsData[[#This Row],[Stage Number]]&gt;=2,1,0)</f>
        <v>0</v>
      </c>
      <c r="N1313" s="2">
        <f>IF(LeadsData[[#This Row],[Stage Number]]&gt;=3,1,0)</f>
        <v>0</v>
      </c>
      <c r="O1313" s="2">
        <f>IF(LeadsData[[#This Row],[Stage Number]]&gt;=4,1,0)</f>
        <v>0</v>
      </c>
    </row>
    <row r="1314" spans="1:15" x14ac:dyDescent="0.25">
      <c r="A1314" t="s">
        <v>1354</v>
      </c>
      <c r="B1314" s="1">
        <v>45579</v>
      </c>
      <c r="C1314" t="s">
        <v>11</v>
      </c>
      <c r="D1314" t="s">
        <v>68</v>
      </c>
      <c r="E1314" t="s">
        <v>13</v>
      </c>
      <c r="F1314" t="s">
        <v>19</v>
      </c>
      <c r="G1314" t="s">
        <v>29</v>
      </c>
      <c r="K1314" cm="1">
        <f t="array" ref="K1314">_xlfn.SWITCH(LeadsData[[#This Row],[Funnel Stage Reached]],"Lead",1,"MQL",2,"SQL",3,"Customer",4)</f>
        <v>3</v>
      </c>
      <c r="L1314" t="str">
        <f>TEXT(LeadsData[[#This Row],[Signup Date]],"mmm-yyyy")</f>
        <v>Oct-2024</v>
      </c>
      <c r="M1314">
        <f>IF(LeadsData[[#This Row],[Stage Number]]&gt;=2,1,0)</f>
        <v>1</v>
      </c>
      <c r="N1314" s="2">
        <f>IF(LeadsData[[#This Row],[Stage Number]]&gt;=3,1,0)</f>
        <v>1</v>
      </c>
      <c r="O1314" s="2">
        <f>IF(LeadsData[[#This Row],[Stage Number]]&gt;=4,1,0)</f>
        <v>0</v>
      </c>
    </row>
    <row r="1315" spans="1:15" x14ac:dyDescent="0.25">
      <c r="A1315" t="s">
        <v>1355</v>
      </c>
      <c r="B1315" s="1">
        <v>45306</v>
      </c>
      <c r="C1315" t="s">
        <v>31</v>
      </c>
      <c r="D1315" t="s">
        <v>34</v>
      </c>
      <c r="E1315" t="s">
        <v>21</v>
      </c>
      <c r="F1315" t="s">
        <v>14</v>
      </c>
      <c r="G1315" t="s">
        <v>29</v>
      </c>
      <c r="K1315" cm="1">
        <f t="array" ref="K1315">_xlfn.SWITCH(LeadsData[[#This Row],[Funnel Stage Reached]],"Lead",1,"MQL",2,"SQL",3,"Customer",4)</f>
        <v>3</v>
      </c>
      <c r="L1315" t="str">
        <f>TEXT(LeadsData[[#This Row],[Signup Date]],"mmm-yyyy")</f>
        <v>Jan-2024</v>
      </c>
      <c r="M1315">
        <f>IF(LeadsData[[#This Row],[Stage Number]]&gt;=2,1,0)</f>
        <v>1</v>
      </c>
      <c r="N1315" s="2">
        <f>IF(LeadsData[[#This Row],[Stage Number]]&gt;=3,1,0)</f>
        <v>1</v>
      </c>
      <c r="O1315" s="2">
        <f>IF(LeadsData[[#This Row],[Stage Number]]&gt;=4,1,0)</f>
        <v>0</v>
      </c>
    </row>
    <row r="1316" spans="1:15" x14ac:dyDescent="0.25">
      <c r="A1316" t="s">
        <v>1356</v>
      </c>
      <c r="B1316" s="1">
        <v>45333</v>
      </c>
      <c r="C1316" t="s">
        <v>25</v>
      </c>
      <c r="D1316" t="s">
        <v>26</v>
      </c>
      <c r="E1316" t="s">
        <v>13</v>
      </c>
      <c r="F1316" t="s">
        <v>19</v>
      </c>
      <c r="G1316" t="s">
        <v>15</v>
      </c>
      <c r="K1316" cm="1">
        <f t="array" ref="K1316">_xlfn.SWITCH(LeadsData[[#This Row],[Funnel Stage Reached]],"Lead",1,"MQL",2,"SQL",3,"Customer",4)</f>
        <v>1</v>
      </c>
      <c r="L1316" t="str">
        <f>TEXT(LeadsData[[#This Row],[Signup Date]],"mmm-yyyy")</f>
        <v>Feb-2024</v>
      </c>
      <c r="M1316">
        <f>IF(LeadsData[[#This Row],[Stage Number]]&gt;=2,1,0)</f>
        <v>0</v>
      </c>
      <c r="N1316" s="2">
        <f>IF(LeadsData[[#This Row],[Stage Number]]&gt;=3,1,0)</f>
        <v>0</v>
      </c>
      <c r="O1316" s="2">
        <f>IF(LeadsData[[#This Row],[Stage Number]]&gt;=4,1,0)</f>
        <v>0</v>
      </c>
    </row>
    <row r="1317" spans="1:15" x14ac:dyDescent="0.25">
      <c r="A1317" t="s">
        <v>1357</v>
      </c>
      <c r="B1317" s="1">
        <v>45622</v>
      </c>
      <c r="C1317" t="s">
        <v>46</v>
      </c>
      <c r="D1317" t="s">
        <v>47</v>
      </c>
      <c r="E1317" t="s">
        <v>21</v>
      </c>
      <c r="F1317" t="s">
        <v>22</v>
      </c>
      <c r="G1317" t="s">
        <v>15</v>
      </c>
      <c r="K1317" cm="1">
        <f t="array" ref="K1317">_xlfn.SWITCH(LeadsData[[#This Row],[Funnel Stage Reached]],"Lead",1,"MQL",2,"SQL",3,"Customer",4)</f>
        <v>1</v>
      </c>
      <c r="L1317" t="str">
        <f>TEXT(LeadsData[[#This Row],[Signup Date]],"mmm-yyyy")</f>
        <v>Nov-2024</v>
      </c>
      <c r="M1317">
        <f>IF(LeadsData[[#This Row],[Stage Number]]&gt;=2,1,0)</f>
        <v>0</v>
      </c>
      <c r="N1317" s="2">
        <f>IF(LeadsData[[#This Row],[Stage Number]]&gt;=3,1,0)</f>
        <v>0</v>
      </c>
      <c r="O1317" s="2">
        <f>IF(LeadsData[[#This Row],[Stage Number]]&gt;=4,1,0)</f>
        <v>0</v>
      </c>
    </row>
    <row r="1318" spans="1:15" x14ac:dyDescent="0.25">
      <c r="A1318" t="s">
        <v>1358</v>
      </c>
      <c r="B1318" s="1">
        <v>45549</v>
      </c>
      <c r="C1318" t="s">
        <v>17</v>
      </c>
      <c r="D1318" t="s">
        <v>18</v>
      </c>
      <c r="E1318" t="s">
        <v>13</v>
      </c>
      <c r="F1318" t="s">
        <v>19</v>
      </c>
      <c r="G1318" t="s">
        <v>23</v>
      </c>
      <c r="K1318" cm="1">
        <f t="array" ref="K1318">_xlfn.SWITCH(LeadsData[[#This Row],[Funnel Stage Reached]],"Lead",1,"MQL",2,"SQL",3,"Customer",4)</f>
        <v>2</v>
      </c>
      <c r="L1318" t="str">
        <f>TEXT(LeadsData[[#This Row],[Signup Date]],"mmm-yyyy")</f>
        <v>Sep-2024</v>
      </c>
      <c r="M1318">
        <f>IF(LeadsData[[#This Row],[Stage Number]]&gt;=2,1,0)</f>
        <v>1</v>
      </c>
      <c r="N1318" s="2">
        <f>IF(LeadsData[[#This Row],[Stage Number]]&gt;=3,1,0)</f>
        <v>0</v>
      </c>
      <c r="O1318" s="2">
        <f>IF(LeadsData[[#This Row],[Stage Number]]&gt;=4,1,0)</f>
        <v>0</v>
      </c>
    </row>
    <row r="1319" spans="1:15" x14ac:dyDescent="0.25">
      <c r="A1319" t="s">
        <v>1359</v>
      </c>
      <c r="B1319" s="1">
        <v>45521</v>
      </c>
      <c r="C1319" t="s">
        <v>25</v>
      </c>
      <c r="D1319" t="s">
        <v>26</v>
      </c>
      <c r="E1319" t="s">
        <v>21</v>
      </c>
      <c r="F1319" t="s">
        <v>14</v>
      </c>
      <c r="G1319" t="s">
        <v>23</v>
      </c>
      <c r="K1319" cm="1">
        <f t="array" ref="K1319">_xlfn.SWITCH(LeadsData[[#This Row],[Funnel Stage Reached]],"Lead",1,"MQL",2,"SQL",3,"Customer",4)</f>
        <v>2</v>
      </c>
      <c r="L1319" t="str">
        <f>TEXT(LeadsData[[#This Row],[Signup Date]],"mmm-yyyy")</f>
        <v>Aug-2024</v>
      </c>
      <c r="M1319">
        <f>IF(LeadsData[[#This Row],[Stage Number]]&gt;=2,1,0)</f>
        <v>1</v>
      </c>
      <c r="N1319" s="2">
        <f>IF(LeadsData[[#This Row],[Stage Number]]&gt;=3,1,0)</f>
        <v>0</v>
      </c>
      <c r="O1319" s="2">
        <f>IF(LeadsData[[#This Row],[Stage Number]]&gt;=4,1,0)</f>
        <v>0</v>
      </c>
    </row>
    <row r="1320" spans="1:15" x14ac:dyDescent="0.25">
      <c r="A1320" t="s">
        <v>1360</v>
      </c>
      <c r="B1320" s="1">
        <v>45632</v>
      </c>
      <c r="C1320" t="s">
        <v>31</v>
      </c>
      <c r="D1320" t="s">
        <v>34</v>
      </c>
      <c r="E1320" t="s">
        <v>13</v>
      </c>
      <c r="F1320" t="s">
        <v>22</v>
      </c>
      <c r="G1320" t="s">
        <v>15</v>
      </c>
      <c r="K1320" cm="1">
        <f t="array" ref="K1320">_xlfn.SWITCH(LeadsData[[#This Row],[Funnel Stage Reached]],"Lead",1,"MQL",2,"SQL",3,"Customer",4)</f>
        <v>1</v>
      </c>
      <c r="L1320" t="str">
        <f>TEXT(LeadsData[[#This Row],[Signup Date]],"mmm-yyyy")</f>
        <v>Dec-2024</v>
      </c>
      <c r="M1320">
        <f>IF(LeadsData[[#This Row],[Stage Number]]&gt;=2,1,0)</f>
        <v>0</v>
      </c>
      <c r="N1320" s="2">
        <f>IF(LeadsData[[#This Row],[Stage Number]]&gt;=3,1,0)</f>
        <v>0</v>
      </c>
      <c r="O1320" s="2">
        <f>IF(LeadsData[[#This Row],[Stage Number]]&gt;=4,1,0)</f>
        <v>0</v>
      </c>
    </row>
    <row r="1321" spans="1:15" x14ac:dyDescent="0.25">
      <c r="A1321" t="s">
        <v>1361</v>
      </c>
      <c r="B1321" s="1">
        <v>45395</v>
      </c>
      <c r="C1321" t="s">
        <v>46</v>
      </c>
      <c r="D1321" t="s">
        <v>56</v>
      </c>
      <c r="E1321" t="s">
        <v>13</v>
      </c>
      <c r="F1321" t="s">
        <v>22</v>
      </c>
      <c r="G1321" t="s">
        <v>23</v>
      </c>
      <c r="K1321" cm="1">
        <f t="array" ref="K1321">_xlfn.SWITCH(LeadsData[[#This Row],[Funnel Stage Reached]],"Lead",1,"MQL",2,"SQL",3,"Customer",4)</f>
        <v>2</v>
      </c>
      <c r="L1321" t="str">
        <f>TEXT(LeadsData[[#This Row],[Signup Date]],"mmm-yyyy")</f>
        <v>Apr-2024</v>
      </c>
      <c r="M1321">
        <f>IF(LeadsData[[#This Row],[Stage Number]]&gt;=2,1,0)</f>
        <v>1</v>
      </c>
      <c r="N1321" s="2">
        <f>IF(LeadsData[[#This Row],[Stage Number]]&gt;=3,1,0)</f>
        <v>0</v>
      </c>
      <c r="O1321" s="2">
        <f>IF(LeadsData[[#This Row],[Stage Number]]&gt;=4,1,0)</f>
        <v>0</v>
      </c>
    </row>
    <row r="1322" spans="1:15" x14ac:dyDescent="0.25">
      <c r="A1322" t="s">
        <v>1362</v>
      </c>
      <c r="B1322" s="1">
        <v>45631</v>
      </c>
      <c r="C1322" t="s">
        <v>31</v>
      </c>
      <c r="D1322" t="s">
        <v>34</v>
      </c>
      <c r="E1322" t="s">
        <v>13</v>
      </c>
      <c r="F1322" t="s">
        <v>19</v>
      </c>
      <c r="G1322" t="s">
        <v>23</v>
      </c>
      <c r="K1322" cm="1">
        <f t="array" ref="K1322">_xlfn.SWITCH(LeadsData[[#This Row],[Funnel Stage Reached]],"Lead",1,"MQL",2,"SQL",3,"Customer",4)</f>
        <v>2</v>
      </c>
      <c r="L1322" t="str">
        <f>TEXT(LeadsData[[#This Row],[Signup Date]],"mmm-yyyy")</f>
        <v>Dec-2024</v>
      </c>
      <c r="M1322">
        <f>IF(LeadsData[[#This Row],[Stage Number]]&gt;=2,1,0)</f>
        <v>1</v>
      </c>
      <c r="N1322" s="2">
        <f>IF(LeadsData[[#This Row],[Stage Number]]&gt;=3,1,0)</f>
        <v>0</v>
      </c>
      <c r="O1322" s="2">
        <f>IF(LeadsData[[#This Row],[Stage Number]]&gt;=4,1,0)</f>
        <v>0</v>
      </c>
    </row>
    <row r="1323" spans="1:15" x14ac:dyDescent="0.25">
      <c r="A1323" t="s">
        <v>1363</v>
      </c>
      <c r="B1323" s="1">
        <v>45430</v>
      </c>
      <c r="C1323" t="s">
        <v>11</v>
      </c>
      <c r="D1323" t="s">
        <v>79</v>
      </c>
      <c r="E1323" t="s">
        <v>13</v>
      </c>
      <c r="F1323" t="s">
        <v>19</v>
      </c>
      <c r="G1323" t="s">
        <v>23</v>
      </c>
      <c r="K1323" cm="1">
        <f t="array" ref="K1323">_xlfn.SWITCH(LeadsData[[#This Row],[Funnel Stage Reached]],"Lead",1,"MQL",2,"SQL",3,"Customer",4)</f>
        <v>2</v>
      </c>
      <c r="L1323" t="str">
        <f>TEXT(LeadsData[[#This Row],[Signup Date]],"mmm-yyyy")</f>
        <v>May-2024</v>
      </c>
      <c r="M1323">
        <f>IF(LeadsData[[#This Row],[Stage Number]]&gt;=2,1,0)</f>
        <v>1</v>
      </c>
      <c r="N1323" s="2">
        <f>IF(LeadsData[[#This Row],[Stage Number]]&gt;=3,1,0)</f>
        <v>0</v>
      </c>
      <c r="O1323" s="2">
        <f>IF(LeadsData[[#This Row],[Stage Number]]&gt;=4,1,0)</f>
        <v>0</v>
      </c>
    </row>
    <row r="1324" spans="1:15" x14ac:dyDescent="0.25">
      <c r="A1324" t="s">
        <v>1364</v>
      </c>
      <c r="B1324" s="1">
        <v>45455</v>
      </c>
      <c r="C1324" t="s">
        <v>11</v>
      </c>
      <c r="D1324" t="s">
        <v>68</v>
      </c>
      <c r="E1324" t="s">
        <v>48</v>
      </c>
      <c r="F1324" t="s">
        <v>19</v>
      </c>
      <c r="G1324" t="s">
        <v>15</v>
      </c>
      <c r="K1324" cm="1">
        <f t="array" ref="K1324">_xlfn.SWITCH(LeadsData[[#This Row],[Funnel Stage Reached]],"Lead",1,"MQL",2,"SQL",3,"Customer",4)</f>
        <v>1</v>
      </c>
      <c r="L1324" t="str">
        <f>TEXT(LeadsData[[#This Row],[Signup Date]],"mmm-yyyy")</f>
        <v>Jun-2024</v>
      </c>
      <c r="M1324">
        <f>IF(LeadsData[[#This Row],[Stage Number]]&gt;=2,1,0)</f>
        <v>0</v>
      </c>
      <c r="N1324" s="2">
        <f>IF(LeadsData[[#This Row],[Stage Number]]&gt;=3,1,0)</f>
        <v>0</v>
      </c>
      <c r="O1324" s="2">
        <f>IF(LeadsData[[#This Row],[Stage Number]]&gt;=4,1,0)</f>
        <v>0</v>
      </c>
    </row>
    <row r="1325" spans="1:15" x14ac:dyDescent="0.25">
      <c r="A1325" t="s">
        <v>1365</v>
      </c>
      <c r="B1325" s="1">
        <v>45615</v>
      </c>
      <c r="C1325" t="s">
        <v>36</v>
      </c>
      <c r="D1325" t="s">
        <v>50</v>
      </c>
      <c r="E1325" t="s">
        <v>13</v>
      </c>
      <c r="F1325" t="s">
        <v>22</v>
      </c>
      <c r="G1325" t="s">
        <v>29</v>
      </c>
      <c r="K1325" cm="1">
        <f t="array" ref="K1325">_xlfn.SWITCH(LeadsData[[#This Row],[Funnel Stage Reached]],"Lead",1,"MQL",2,"SQL",3,"Customer",4)</f>
        <v>3</v>
      </c>
      <c r="L1325" t="str">
        <f>TEXT(LeadsData[[#This Row],[Signup Date]],"mmm-yyyy")</f>
        <v>Nov-2024</v>
      </c>
      <c r="M1325">
        <f>IF(LeadsData[[#This Row],[Stage Number]]&gt;=2,1,0)</f>
        <v>1</v>
      </c>
      <c r="N1325" s="2">
        <f>IF(LeadsData[[#This Row],[Stage Number]]&gt;=3,1,0)</f>
        <v>1</v>
      </c>
      <c r="O1325" s="2">
        <f>IF(LeadsData[[#This Row],[Stage Number]]&gt;=4,1,0)</f>
        <v>0</v>
      </c>
    </row>
    <row r="1326" spans="1:15" x14ac:dyDescent="0.25">
      <c r="A1326" t="s">
        <v>1366</v>
      </c>
      <c r="B1326" s="1">
        <v>45424</v>
      </c>
      <c r="C1326" t="s">
        <v>17</v>
      </c>
      <c r="D1326" t="s">
        <v>53</v>
      </c>
      <c r="E1326" t="s">
        <v>21</v>
      </c>
      <c r="F1326" t="s">
        <v>22</v>
      </c>
      <c r="G1326" t="s">
        <v>23</v>
      </c>
      <c r="K1326" cm="1">
        <f t="array" ref="K1326">_xlfn.SWITCH(LeadsData[[#This Row],[Funnel Stage Reached]],"Lead",1,"MQL",2,"SQL",3,"Customer",4)</f>
        <v>2</v>
      </c>
      <c r="L1326" t="str">
        <f>TEXT(LeadsData[[#This Row],[Signup Date]],"mmm-yyyy")</f>
        <v>May-2024</v>
      </c>
      <c r="M1326">
        <f>IF(LeadsData[[#This Row],[Stage Number]]&gt;=2,1,0)</f>
        <v>1</v>
      </c>
      <c r="N1326" s="2">
        <f>IF(LeadsData[[#This Row],[Stage Number]]&gt;=3,1,0)</f>
        <v>0</v>
      </c>
      <c r="O1326" s="2">
        <f>IF(LeadsData[[#This Row],[Stage Number]]&gt;=4,1,0)</f>
        <v>0</v>
      </c>
    </row>
    <row r="1327" spans="1:15" x14ac:dyDescent="0.25">
      <c r="A1327" t="s">
        <v>1367</v>
      </c>
      <c r="B1327" s="1">
        <v>45434</v>
      </c>
      <c r="C1327" t="s">
        <v>46</v>
      </c>
      <c r="D1327" t="s">
        <v>56</v>
      </c>
      <c r="E1327" t="s">
        <v>13</v>
      </c>
      <c r="F1327" t="s">
        <v>14</v>
      </c>
      <c r="G1327" t="s">
        <v>23</v>
      </c>
      <c r="K1327" cm="1">
        <f t="array" ref="K1327">_xlfn.SWITCH(LeadsData[[#This Row],[Funnel Stage Reached]],"Lead",1,"MQL",2,"SQL",3,"Customer",4)</f>
        <v>2</v>
      </c>
      <c r="L1327" t="str">
        <f>TEXT(LeadsData[[#This Row],[Signup Date]],"mmm-yyyy")</f>
        <v>May-2024</v>
      </c>
      <c r="M1327">
        <f>IF(LeadsData[[#This Row],[Stage Number]]&gt;=2,1,0)</f>
        <v>1</v>
      </c>
      <c r="N1327" s="2">
        <f>IF(LeadsData[[#This Row],[Stage Number]]&gt;=3,1,0)</f>
        <v>0</v>
      </c>
      <c r="O1327" s="2">
        <f>IF(LeadsData[[#This Row],[Stage Number]]&gt;=4,1,0)</f>
        <v>0</v>
      </c>
    </row>
    <row r="1328" spans="1:15" x14ac:dyDescent="0.25">
      <c r="A1328" t="s">
        <v>1368</v>
      </c>
      <c r="B1328" s="1">
        <v>45404</v>
      </c>
      <c r="C1328" t="s">
        <v>36</v>
      </c>
      <c r="D1328" t="s">
        <v>50</v>
      </c>
      <c r="E1328" t="s">
        <v>48</v>
      </c>
      <c r="F1328" t="s">
        <v>22</v>
      </c>
      <c r="G1328" t="s">
        <v>23</v>
      </c>
      <c r="K1328" cm="1">
        <f t="array" ref="K1328">_xlfn.SWITCH(LeadsData[[#This Row],[Funnel Stage Reached]],"Lead",1,"MQL",2,"SQL",3,"Customer",4)</f>
        <v>2</v>
      </c>
      <c r="L1328" t="str">
        <f>TEXT(LeadsData[[#This Row],[Signup Date]],"mmm-yyyy")</f>
        <v>Apr-2024</v>
      </c>
      <c r="M1328">
        <f>IF(LeadsData[[#This Row],[Stage Number]]&gt;=2,1,0)</f>
        <v>1</v>
      </c>
      <c r="N1328" s="2">
        <f>IF(LeadsData[[#This Row],[Stage Number]]&gt;=3,1,0)</f>
        <v>0</v>
      </c>
      <c r="O1328" s="2">
        <f>IF(LeadsData[[#This Row],[Stage Number]]&gt;=4,1,0)</f>
        <v>0</v>
      </c>
    </row>
    <row r="1329" spans="1:15" x14ac:dyDescent="0.25">
      <c r="A1329" t="s">
        <v>1369</v>
      </c>
      <c r="B1329" s="1">
        <v>45545</v>
      </c>
      <c r="C1329" t="s">
        <v>17</v>
      </c>
      <c r="D1329" t="s">
        <v>18</v>
      </c>
      <c r="E1329" t="s">
        <v>21</v>
      </c>
      <c r="F1329" t="s">
        <v>19</v>
      </c>
      <c r="G1329" t="s">
        <v>15</v>
      </c>
      <c r="K1329" cm="1">
        <f t="array" ref="K1329">_xlfn.SWITCH(LeadsData[[#This Row],[Funnel Stage Reached]],"Lead",1,"MQL",2,"SQL",3,"Customer",4)</f>
        <v>1</v>
      </c>
      <c r="L1329" t="str">
        <f>TEXT(LeadsData[[#This Row],[Signup Date]],"mmm-yyyy")</f>
        <v>Sep-2024</v>
      </c>
      <c r="M1329">
        <f>IF(LeadsData[[#This Row],[Stage Number]]&gt;=2,1,0)</f>
        <v>0</v>
      </c>
      <c r="N1329" s="2">
        <f>IF(LeadsData[[#This Row],[Stage Number]]&gt;=3,1,0)</f>
        <v>0</v>
      </c>
      <c r="O1329" s="2">
        <f>IF(LeadsData[[#This Row],[Stage Number]]&gt;=4,1,0)</f>
        <v>0</v>
      </c>
    </row>
    <row r="1330" spans="1:15" x14ac:dyDescent="0.25">
      <c r="A1330" t="s">
        <v>1370</v>
      </c>
      <c r="B1330" s="1">
        <v>45528</v>
      </c>
      <c r="C1330" t="s">
        <v>31</v>
      </c>
      <c r="D1330" t="s">
        <v>32</v>
      </c>
      <c r="E1330" t="s">
        <v>48</v>
      </c>
      <c r="F1330" t="s">
        <v>19</v>
      </c>
      <c r="G1330" t="s">
        <v>15</v>
      </c>
      <c r="K1330" cm="1">
        <f t="array" ref="K1330">_xlfn.SWITCH(LeadsData[[#This Row],[Funnel Stage Reached]],"Lead",1,"MQL",2,"SQL",3,"Customer",4)</f>
        <v>1</v>
      </c>
      <c r="L1330" t="str">
        <f>TEXT(LeadsData[[#This Row],[Signup Date]],"mmm-yyyy")</f>
        <v>Aug-2024</v>
      </c>
      <c r="M1330">
        <f>IF(LeadsData[[#This Row],[Stage Number]]&gt;=2,1,0)</f>
        <v>0</v>
      </c>
      <c r="N1330" s="2">
        <f>IF(LeadsData[[#This Row],[Stage Number]]&gt;=3,1,0)</f>
        <v>0</v>
      </c>
      <c r="O1330" s="2">
        <f>IF(LeadsData[[#This Row],[Stage Number]]&gt;=4,1,0)</f>
        <v>0</v>
      </c>
    </row>
    <row r="1331" spans="1:15" x14ac:dyDescent="0.25">
      <c r="A1331" t="s">
        <v>1371</v>
      </c>
      <c r="B1331" s="1">
        <v>45468</v>
      </c>
      <c r="C1331" t="s">
        <v>11</v>
      </c>
      <c r="D1331" t="s">
        <v>79</v>
      </c>
      <c r="E1331" t="s">
        <v>13</v>
      </c>
      <c r="F1331" t="s">
        <v>19</v>
      </c>
      <c r="G1331" t="s">
        <v>23</v>
      </c>
      <c r="K1331" cm="1">
        <f t="array" ref="K1331">_xlfn.SWITCH(LeadsData[[#This Row],[Funnel Stage Reached]],"Lead",1,"MQL",2,"SQL",3,"Customer",4)</f>
        <v>2</v>
      </c>
      <c r="L1331" t="str">
        <f>TEXT(LeadsData[[#This Row],[Signup Date]],"mmm-yyyy")</f>
        <v>Jun-2024</v>
      </c>
      <c r="M1331">
        <f>IF(LeadsData[[#This Row],[Stage Number]]&gt;=2,1,0)</f>
        <v>1</v>
      </c>
      <c r="N1331" s="2">
        <f>IF(LeadsData[[#This Row],[Stage Number]]&gt;=3,1,0)</f>
        <v>0</v>
      </c>
      <c r="O1331" s="2">
        <f>IF(LeadsData[[#This Row],[Stage Number]]&gt;=4,1,0)</f>
        <v>0</v>
      </c>
    </row>
    <row r="1332" spans="1:15" x14ac:dyDescent="0.25">
      <c r="A1332" t="s">
        <v>1372</v>
      </c>
      <c r="B1332" s="1">
        <v>45574</v>
      </c>
      <c r="C1332" t="s">
        <v>17</v>
      </c>
      <c r="D1332" t="s">
        <v>53</v>
      </c>
      <c r="E1332" t="s">
        <v>13</v>
      </c>
      <c r="F1332" t="s">
        <v>19</v>
      </c>
      <c r="G1332" t="s">
        <v>15</v>
      </c>
      <c r="K1332" cm="1">
        <f t="array" ref="K1332">_xlfn.SWITCH(LeadsData[[#This Row],[Funnel Stage Reached]],"Lead",1,"MQL",2,"SQL",3,"Customer",4)</f>
        <v>1</v>
      </c>
      <c r="L1332" t="str">
        <f>TEXT(LeadsData[[#This Row],[Signup Date]],"mmm-yyyy")</f>
        <v>Oct-2024</v>
      </c>
      <c r="M1332">
        <f>IF(LeadsData[[#This Row],[Stage Number]]&gt;=2,1,0)</f>
        <v>0</v>
      </c>
      <c r="N1332" s="2">
        <f>IF(LeadsData[[#This Row],[Stage Number]]&gt;=3,1,0)</f>
        <v>0</v>
      </c>
      <c r="O1332" s="2">
        <f>IF(LeadsData[[#This Row],[Stage Number]]&gt;=4,1,0)</f>
        <v>0</v>
      </c>
    </row>
    <row r="1333" spans="1:15" x14ac:dyDescent="0.25">
      <c r="A1333" t="s">
        <v>1373</v>
      </c>
      <c r="B1333" s="1">
        <v>45389</v>
      </c>
      <c r="C1333" t="s">
        <v>17</v>
      </c>
      <c r="D1333" t="s">
        <v>53</v>
      </c>
      <c r="E1333" t="s">
        <v>48</v>
      </c>
      <c r="F1333" t="s">
        <v>19</v>
      </c>
      <c r="G1333" t="s">
        <v>29</v>
      </c>
      <c r="K1333" cm="1">
        <f t="array" ref="K1333">_xlfn.SWITCH(LeadsData[[#This Row],[Funnel Stage Reached]],"Lead",1,"MQL",2,"SQL",3,"Customer",4)</f>
        <v>3</v>
      </c>
      <c r="L1333" t="str">
        <f>TEXT(LeadsData[[#This Row],[Signup Date]],"mmm-yyyy")</f>
        <v>Apr-2024</v>
      </c>
      <c r="M1333">
        <f>IF(LeadsData[[#This Row],[Stage Number]]&gt;=2,1,0)</f>
        <v>1</v>
      </c>
      <c r="N1333" s="2">
        <f>IF(LeadsData[[#This Row],[Stage Number]]&gt;=3,1,0)</f>
        <v>1</v>
      </c>
      <c r="O1333" s="2">
        <f>IF(LeadsData[[#This Row],[Stage Number]]&gt;=4,1,0)</f>
        <v>0</v>
      </c>
    </row>
    <row r="1334" spans="1:15" x14ac:dyDescent="0.25">
      <c r="A1334" t="s">
        <v>1374</v>
      </c>
      <c r="B1334" s="1">
        <v>45422</v>
      </c>
      <c r="C1334" t="s">
        <v>36</v>
      </c>
      <c r="D1334" t="s">
        <v>37</v>
      </c>
      <c r="E1334" t="s">
        <v>21</v>
      </c>
      <c r="F1334" t="s">
        <v>19</v>
      </c>
      <c r="G1334" t="s">
        <v>42</v>
      </c>
      <c r="H1334">
        <v>25</v>
      </c>
      <c r="I1334" t="s">
        <v>87</v>
      </c>
      <c r="J1334">
        <v>1639.82</v>
      </c>
      <c r="K1334" cm="1">
        <f t="array" ref="K1334">_xlfn.SWITCH(LeadsData[[#This Row],[Funnel Stage Reached]],"Lead",1,"MQL",2,"SQL",3,"Customer",4)</f>
        <v>4</v>
      </c>
      <c r="L1334" t="str">
        <f>TEXT(LeadsData[[#This Row],[Signup Date]],"mmm-yyyy")</f>
        <v>May-2024</v>
      </c>
      <c r="M1334">
        <f>IF(LeadsData[[#This Row],[Stage Number]]&gt;=2,1,0)</f>
        <v>1</v>
      </c>
      <c r="N1334" s="2">
        <f>IF(LeadsData[[#This Row],[Stage Number]]&gt;=3,1,0)</f>
        <v>1</v>
      </c>
      <c r="O1334" s="2">
        <f>IF(LeadsData[[#This Row],[Stage Number]]&gt;=4,1,0)</f>
        <v>1</v>
      </c>
    </row>
    <row r="1335" spans="1:15" x14ac:dyDescent="0.25">
      <c r="A1335" t="s">
        <v>1375</v>
      </c>
      <c r="B1335" s="1">
        <v>45390</v>
      </c>
      <c r="C1335" t="s">
        <v>46</v>
      </c>
      <c r="D1335" t="s">
        <v>47</v>
      </c>
      <c r="E1335" t="s">
        <v>21</v>
      </c>
      <c r="F1335" t="s">
        <v>28</v>
      </c>
      <c r="G1335" t="s">
        <v>15</v>
      </c>
      <c r="K1335" cm="1">
        <f t="array" ref="K1335">_xlfn.SWITCH(LeadsData[[#This Row],[Funnel Stage Reached]],"Lead",1,"MQL",2,"SQL",3,"Customer",4)</f>
        <v>1</v>
      </c>
      <c r="L1335" t="str">
        <f>TEXT(LeadsData[[#This Row],[Signup Date]],"mmm-yyyy")</f>
        <v>Apr-2024</v>
      </c>
      <c r="M1335">
        <f>IF(LeadsData[[#This Row],[Stage Number]]&gt;=2,1,0)</f>
        <v>0</v>
      </c>
      <c r="N1335" s="2">
        <f>IF(LeadsData[[#This Row],[Stage Number]]&gt;=3,1,0)</f>
        <v>0</v>
      </c>
      <c r="O1335" s="2">
        <f>IF(LeadsData[[#This Row],[Stage Number]]&gt;=4,1,0)</f>
        <v>0</v>
      </c>
    </row>
    <row r="1336" spans="1:15" x14ac:dyDescent="0.25">
      <c r="A1336" t="s">
        <v>1376</v>
      </c>
      <c r="B1336" s="1">
        <v>45590</v>
      </c>
      <c r="C1336" t="s">
        <v>31</v>
      </c>
      <c r="D1336" t="s">
        <v>32</v>
      </c>
      <c r="E1336" t="s">
        <v>21</v>
      </c>
      <c r="F1336" t="s">
        <v>19</v>
      </c>
      <c r="G1336" t="s">
        <v>29</v>
      </c>
      <c r="K1336" cm="1">
        <f t="array" ref="K1336">_xlfn.SWITCH(LeadsData[[#This Row],[Funnel Stage Reached]],"Lead",1,"MQL",2,"SQL",3,"Customer",4)</f>
        <v>3</v>
      </c>
      <c r="L1336" t="str">
        <f>TEXT(LeadsData[[#This Row],[Signup Date]],"mmm-yyyy")</f>
        <v>Oct-2024</v>
      </c>
      <c r="M1336">
        <f>IF(LeadsData[[#This Row],[Stage Number]]&gt;=2,1,0)</f>
        <v>1</v>
      </c>
      <c r="N1336" s="2">
        <f>IF(LeadsData[[#This Row],[Stage Number]]&gt;=3,1,0)</f>
        <v>1</v>
      </c>
      <c r="O1336" s="2">
        <f>IF(LeadsData[[#This Row],[Stage Number]]&gt;=4,1,0)</f>
        <v>0</v>
      </c>
    </row>
    <row r="1337" spans="1:15" x14ac:dyDescent="0.25">
      <c r="A1337" t="s">
        <v>1377</v>
      </c>
      <c r="B1337" s="1">
        <v>45505</v>
      </c>
      <c r="C1337" t="s">
        <v>31</v>
      </c>
      <c r="D1337" t="s">
        <v>34</v>
      </c>
      <c r="E1337" t="s">
        <v>21</v>
      </c>
      <c r="F1337" t="s">
        <v>19</v>
      </c>
      <c r="G1337" t="s">
        <v>42</v>
      </c>
      <c r="H1337">
        <v>10</v>
      </c>
      <c r="I1337" t="s">
        <v>43</v>
      </c>
      <c r="J1337">
        <v>1195.46</v>
      </c>
      <c r="K1337" cm="1">
        <f t="array" ref="K1337">_xlfn.SWITCH(LeadsData[[#This Row],[Funnel Stage Reached]],"Lead",1,"MQL",2,"SQL",3,"Customer",4)</f>
        <v>4</v>
      </c>
      <c r="L1337" t="str">
        <f>TEXT(LeadsData[[#This Row],[Signup Date]],"mmm-yyyy")</f>
        <v>Aug-2024</v>
      </c>
      <c r="M1337">
        <f>IF(LeadsData[[#This Row],[Stage Number]]&gt;=2,1,0)</f>
        <v>1</v>
      </c>
      <c r="N1337" s="2">
        <f>IF(LeadsData[[#This Row],[Stage Number]]&gt;=3,1,0)</f>
        <v>1</v>
      </c>
      <c r="O1337" s="2">
        <f>IF(LeadsData[[#This Row],[Stage Number]]&gt;=4,1,0)</f>
        <v>1</v>
      </c>
    </row>
    <row r="1338" spans="1:15" x14ac:dyDescent="0.25">
      <c r="A1338" t="s">
        <v>1378</v>
      </c>
      <c r="B1338" s="1">
        <v>45403</v>
      </c>
      <c r="C1338" t="s">
        <v>46</v>
      </c>
      <c r="D1338" t="s">
        <v>56</v>
      </c>
      <c r="E1338" t="s">
        <v>21</v>
      </c>
      <c r="F1338" t="s">
        <v>19</v>
      </c>
      <c r="G1338" t="s">
        <v>15</v>
      </c>
      <c r="K1338" cm="1">
        <f t="array" ref="K1338">_xlfn.SWITCH(LeadsData[[#This Row],[Funnel Stage Reached]],"Lead",1,"MQL",2,"SQL",3,"Customer",4)</f>
        <v>1</v>
      </c>
      <c r="L1338" t="str">
        <f>TEXT(LeadsData[[#This Row],[Signup Date]],"mmm-yyyy")</f>
        <v>Apr-2024</v>
      </c>
      <c r="M1338">
        <f>IF(LeadsData[[#This Row],[Stage Number]]&gt;=2,1,0)</f>
        <v>0</v>
      </c>
      <c r="N1338" s="2">
        <f>IF(LeadsData[[#This Row],[Stage Number]]&gt;=3,1,0)</f>
        <v>0</v>
      </c>
      <c r="O1338" s="2">
        <f>IF(LeadsData[[#This Row],[Stage Number]]&gt;=4,1,0)</f>
        <v>0</v>
      </c>
    </row>
    <row r="1339" spans="1:15" x14ac:dyDescent="0.25">
      <c r="A1339" t="s">
        <v>1379</v>
      </c>
      <c r="B1339" s="1">
        <v>45438</v>
      </c>
      <c r="C1339" t="s">
        <v>11</v>
      </c>
      <c r="D1339" t="s">
        <v>12</v>
      </c>
      <c r="E1339" t="s">
        <v>21</v>
      </c>
      <c r="F1339" t="s">
        <v>28</v>
      </c>
      <c r="G1339" t="s">
        <v>29</v>
      </c>
      <c r="K1339" cm="1">
        <f t="array" ref="K1339">_xlfn.SWITCH(LeadsData[[#This Row],[Funnel Stage Reached]],"Lead",1,"MQL",2,"SQL",3,"Customer",4)</f>
        <v>3</v>
      </c>
      <c r="L1339" t="str">
        <f>TEXT(LeadsData[[#This Row],[Signup Date]],"mmm-yyyy")</f>
        <v>May-2024</v>
      </c>
      <c r="M1339">
        <f>IF(LeadsData[[#This Row],[Stage Number]]&gt;=2,1,0)</f>
        <v>1</v>
      </c>
      <c r="N1339" s="2">
        <f>IF(LeadsData[[#This Row],[Stage Number]]&gt;=3,1,0)</f>
        <v>1</v>
      </c>
      <c r="O1339" s="2">
        <f>IF(LeadsData[[#This Row],[Stage Number]]&gt;=4,1,0)</f>
        <v>0</v>
      </c>
    </row>
    <row r="1340" spans="1:15" x14ac:dyDescent="0.25">
      <c r="A1340" t="s">
        <v>1380</v>
      </c>
      <c r="B1340" s="1">
        <v>45597</v>
      </c>
      <c r="C1340" t="s">
        <v>25</v>
      </c>
      <c r="D1340" t="s">
        <v>26</v>
      </c>
      <c r="E1340" t="s">
        <v>21</v>
      </c>
      <c r="F1340" t="s">
        <v>19</v>
      </c>
      <c r="G1340" t="s">
        <v>15</v>
      </c>
      <c r="K1340" cm="1">
        <f t="array" ref="K1340">_xlfn.SWITCH(LeadsData[[#This Row],[Funnel Stage Reached]],"Lead",1,"MQL",2,"SQL",3,"Customer",4)</f>
        <v>1</v>
      </c>
      <c r="L1340" t="str">
        <f>TEXT(LeadsData[[#This Row],[Signup Date]],"mmm-yyyy")</f>
        <v>Nov-2024</v>
      </c>
      <c r="M1340">
        <f>IF(LeadsData[[#This Row],[Stage Number]]&gt;=2,1,0)</f>
        <v>0</v>
      </c>
      <c r="N1340" s="2">
        <f>IF(LeadsData[[#This Row],[Stage Number]]&gt;=3,1,0)</f>
        <v>0</v>
      </c>
      <c r="O1340" s="2">
        <f>IF(LeadsData[[#This Row],[Stage Number]]&gt;=4,1,0)</f>
        <v>0</v>
      </c>
    </row>
    <row r="1341" spans="1:15" x14ac:dyDescent="0.25">
      <c r="A1341" t="s">
        <v>1381</v>
      </c>
      <c r="B1341" s="1">
        <v>45422</v>
      </c>
      <c r="C1341" t="s">
        <v>25</v>
      </c>
      <c r="D1341" t="s">
        <v>26</v>
      </c>
      <c r="E1341" t="s">
        <v>21</v>
      </c>
      <c r="F1341" t="s">
        <v>22</v>
      </c>
      <c r="G1341" t="s">
        <v>15</v>
      </c>
      <c r="K1341" cm="1">
        <f t="array" ref="K1341">_xlfn.SWITCH(LeadsData[[#This Row],[Funnel Stage Reached]],"Lead",1,"MQL",2,"SQL",3,"Customer",4)</f>
        <v>1</v>
      </c>
      <c r="L1341" t="str">
        <f>TEXT(LeadsData[[#This Row],[Signup Date]],"mmm-yyyy")</f>
        <v>May-2024</v>
      </c>
      <c r="M1341">
        <f>IF(LeadsData[[#This Row],[Stage Number]]&gt;=2,1,0)</f>
        <v>0</v>
      </c>
      <c r="N1341" s="2">
        <f>IF(LeadsData[[#This Row],[Stage Number]]&gt;=3,1,0)</f>
        <v>0</v>
      </c>
      <c r="O1341" s="2">
        <f>IF(LeadsData[[#This Row],[Stage Number]]&gt;=4,1,0)</f>
        <v>0</v>
      </c>
    </row>
    <row r="1342" spans="1:15" x14ac:dyDescent="0.25">
      <c r="A1342" t="s">
        <v>1382</v>
      </c>
      <c r="B1342" s="1">
        <v>45372</v>
      </c>
      <c r="C1342" t="s">
        <v>17</v>
      </c>
      <c r="D1342" t="s">
        <v>53</v>
      </c>
      <c r="E1342" t="s">
        <v>13</v>
      </c>
      <c r="F1342" t="s">
        <v>22</v>
      </c>
      <c r="G1342" t="s">
        <v>29</v>
      </c>
      <c r="K1342" cm="1">
        <f t="array" ref="K1342">_xlfn.SWITCH(LeadsData[[#This Row],[Funnel Stage Reached]],"Lead",1,"MQL",2,"SQL",3,"Customer",4)</f>
        <v>3</v>
      </c>
      <c r="L1342" t="str">
        <f>TEXT(LeadsData[[#This Row],[Signup Date]],"mmm-yyyy")</f>
        <v>Mar-2024</v>
      </c>
      <c r="M1342">
        <f>IF(LeadsData[[#This Row],[Stage Number]]&gt;=2,1,0)</f>
        <v>1</v>
      </c>
      <c r="N1342" s="2">
        <f>IF(LeadsData[[#This Row],[Stage Number]]&gt;=3,1,0)</f>
        <v>1</v>
      </c>
      <c r="O1342" s="2">
        <f>IF(LeadsData[[#This Row],[Stage Number]]&gt;=4,1,0)</f>
        <v>0</v>
      </c>
    </row>
    <row r="1343" spans="1:15" x14ac:dyDescent="0.25">
      <c r="A1343" t="s">
        <v>1383</v>
      </c>
      <c r="B1343" s="1">
        <v>45643</v>
      </c>
      <c r="C1343" t="s">
        <v>31</v>
      </c>
      <c r="D1343" t="s">
        <v>32</v>
      </c>
      <c r="E1343" t="s">
        <v>13</v>
      </c>
      <c r="F1343" t="s">
        <v>22</v>
      </c>
      <c r="G1343" t="s">
        <v>23</v>
      </c>
      <c r="K1343" cm="1">
        <f t="array" ref="K1343">_xlfn.SWITCH(LeadsData[[#This Row],[Funnel Stage Reached]],"Lead",1,"MQL",2,"SQL",3,"Customer",4)</f>
        <v>2</v>
      </c>
      <c r="L1343" t="str">
        <f>TEXT(LeadsData[[#This Row],[Signup Date]],"mmm-yyyy")</f>
        <v>Dec-2024</v>
      </c>
      <c r="M1343">
        <f>IF(LeadsData[[#This Row],[Stage Number]]&gt;=2,1,0)</f>
        <v>1</v>
      </c>
      <c r="N1343" s="2">
        <f>IF(LeadsData[[#This Row],[Stage Number]]&gt;=3,1,0)</f>
        <v>0</v>
      </c>
      <c r="O1343" s="2">
        <f>IF(LeadsData[[#This Row],[Stage Number]]&gt;=4,1,0)</f>
        <v>0</v>
      </c>
    </row>
    <row r="1344" spans="1:15" x14ac:dyDescent="0.25">
      <c r="A1344" t="s">
        <v>1384</v>
      </c>
      <c r="B1344" s="1">
        <v>45310</v>
      </c>
      <c r="C1344" t="s">
        <v>17</v>
      </c>
      <c r="D1344" t="s">
        <v>18</v>
      </c>
      <c r="E1344" t="s">
        <v>21</v>
      </c>
      <c r="F1344" t="s">
        <v>22</v>
      </c>
      <c r="G1344" t="s">
        <v>15</v>
      </c>
      <c r="K1344" cm="1">
        <f t="array" ref="K1344">_xlfn.SWITCH(LeadsData[[#This Row],[Funnel Stage Reached]],"Lead",1,"MQL",2,"SQL",3,"Customer",4)</f>
        <v>1</v>
      </c>
      <c r="L1344" t="str">
        <f>TEXT(LeadsData[[#This Row],[Signup Date]],"mmm-yyyy")</f>
        <v>Jan-2024</v>
      </c>
      <c r="M1344">
        <f>IF(LeadsData[[#This Row],[Stage Number]]&gt;=2,1,0)</f>
        <v>0</v>
      </c>
      <c r="N1344" s="2">
        <f>IF(LeadsData[[#This Row],[Stage Number]]&gt;=3,1,0)</f>
        <v>0</v>
      </c>
      <c r="O1344" s="2">
        <f>IF(LeadsData[[#This Row],[Stage Number]]&gt;=4,1,0)</f>
        <v>0</v>
      </c>
    </row>
    <row r="1345" spans="1:15" x14ac:dyDescent="0.25">
      <c r="A1345" t="s">
        <v>1385</v>
      </c>
      <c r="B1345" s="1">
        <v>45647</v>
      </c>
      <c r="C1345" t="s">
        <v>36</v>
      </c>
      <c r="D1345" t="s">
        <v>50</v>
      </c>
      <c r="E1345" t="s">
        <v>13</v>
      </c>
      <c r="F1345" t="s">
        <v>19</v>
      </c>
      <c r="G1345" t="s">
        <v>29</v>
      </c>
      <c r="K1345" cm="1">
        <f t="array" ref="K1345">_xlfn.SWITCH(LeadsData[[#This Row],[Funnel Stage Reached]],"Lead",1,"MQL",2,"SQL",3,"Customer",4)</f>
        <v>3</v>
      </c>
      <c r="L1345" t="str">
        <f>TEXT(LeadsData[[#This Row],[Signup Date]],"mmm-yyyy")</f>
        <v>Dec-2024</v>
      </c>
      <c r="M1345">
        <f>IF(LeadsData[[#This Row],[Stage Number]]&gt;=2,1,0)</f>
        <v>1</v>
      </c>
      <c r="N1345" s="2">
        <f>IF(LeadsData[[#This Row],[Stage Number]]&gt;=3,1,0)</f>
        <v>1</v>
      </c>
      <c r="O1345" s="2">
        <f>IF(LeadsData[[#This Row],[Stage Number]]&gt;=4,1,0)</f>
        <v>0</v>
      </c>
    </row>
    <row r="1346" spans="1:15" x14ac:dyDescent="0.25">
      <c r="A1346" t="s">
        <v>1386</v>
      </c>
      <c r="B1346" s="1">
        <v>45399</v>
      </c>
      <c r="C1346" t="s">
        <v>31</v>
      </c>
      <c r="D1346" t="s">
        <v>34</v>
      </c>
      <c r="E1346" t="s">
        <v>21</v>
      </c>
      <c r="F1346" t="s">
        <v>19</v>
      </c>
      <c r="G1346" t="s">
        <v>29</v>
      </c>
      <c r="K1346" cm="1">
        <f t="array" ref="K1346">_xlfn.SWITCH(LeadsData[[#This Row],[Funnel Stage Reached]],"Lead",1,"MQL",2,"SQL",3,"Customer",4)</f>
        <v>3</v>
      </c>
      <c r="L1346" t="str">
        <f>TEXT(LeadsData[[#This Row],[Signup Date]],"mmm-yyyy")</f>
        <v>Apr-2024</v>
      </c>
      <c r="M1346">
        <f>IF(LeadsData[[#This Row],[Stage Number]]&gt;=2,1,0)</f>
        <v>1</v>
      </c>
      <c r="N1346" s="2">
        <f>IF(LeadsData[[#This Row],[Stage Number]]&gt;=3,1,0)</f>
        <v>1</v>
      </c>
      <c r="O1346" s="2">
        <f>IF(LeadsData[[#This Row],[Stage Number]]&gt;=4,1,0)</f>
        <v>0</v>
      </c>
    </row>
    <row r="1347" spans="1:15" x14ac:dyDescent="0.25">
      <c r="A1347" t="s">
        <v>1387</v>
      </c>
      <c r="B1347" s="1">
        <v>45542</v>
      </c>
      <c r="C1347" t="s">
        <v>17</v>
      </c>
      <c r="D1347" t="s">
        <v>18</v>
      </c>
      <c r="E1347" t="s">
        <v>13</v>
      </c>
      <c r="F1347" t="s">
        <v>19</v>
      </c>
      <c r="G1347" t="s">
        <v>15</v>
      </c>
      <c r="K1347" cm="1">
        <f t="array" ref="K1347">_xlfn.SWITCH(LeadsData[[#This Row],[Funnel Stage Reached]],"Lead",1,"MQL",2,"SQL",3,"Customer",4)</f>
        <v>1</v>
      </c>
      <c r="L1347" t="str">
        <f>TEXT(LeadsData[[#This Row],[Signup Date]],"mmm-yyyy")</f>
        <v>Sep-2024</v>
      </c>
      <c r="M1347">
        <f>IF(LeadsData[[#This Row],[Stage Number]]&gt;=2,1,0)</f>
        <v>0</v>
      </c>
      <c r="N1347" s="2">
        <f>IF(LeadsData[[#This Row],[Stage Number]]&gt;=3,1,0)</f>
        <v>0</v>
      </c>
      <c r="O1347" s="2">
        <f>IF(LeadsData[[#This Row],[Stage Number]]&gt;=4,1,0)</f>
        <v>0</v>
      </c>
    </row>
    <row r="1348" spans="1:15" x14ac:dyDescent="0.25">
      <c r="A1348" t="s">
        <v>1388</v>
      </c>
      <c r="B1348" s="1">
        <v>45508</v>
      </c>
      <c r="C1348" t="s">
        <v>46</v>
      </c>
      <c r="D1348" t="s">
        <v>47</v>
      </c>
      <c r="E1348" t="s">
        <v>13</v>
      </c>
      <c r="F1348" t="s">
        <v>28</v>
      </c>
      <c r="G1348" t="s">
        <v>23</v>
      </c>
      <c r="K1348" cm="1">
        <f t="array" ref="K1348">_xlfn.SWITCH(LeadsData[[#This Row],[Funnel Stage Reached]],"Lead",1,"MQL",2,"SQL",3,"Customer",4)</f>
        <v>2</v>
      </c>
      <c r="L1348" t="str">
        <f>TEXT(LeadsData[[#This Row],[Signup Date]],"mmm-yyyy")</f>
        <v>Aug-2024</v>
      </c>
      <c r="M1348">
        <f>IF(LeadsData[[#This Row],[Stage Number]]&gt;=2,1,0)</f>
        <v>1</v>
      </c>
      <c r="N1348" s="2">
        <f>IF(LeadsData[[#This Row],[Stage Number]]&gt;=3,1,0)</f>
        <v>0</v>
      </c>
      <c r="O1348" s="2">
        <f>IF(LeadsData[[#This Row],[Stage Number]]&gt;=4,1,0)</f>
        <v>0</v>
      </c>
    </row>
    <row r="1349" spans="1:15" x14ac:dyDescent="0.25">
      <c r="A1349" t="s">
        <v>1389</v>
      </c>
      <c r="B1349" s="1">
        <v>45453</v>
      </c>
      <c r="C1349" t="s">
        <v>25</v>
      </c>
      <c r="D1349" t="s">
        <v>26</v>
      </c>
      <c r="E1349" t="s">
        <v>13</v>
      </c>
      <c r="F1349" t="s">
        <v>19</v>
      </c>
      <c r="G1349" t="s">
        <v>23</v>
      </c>
      <c r="K1349" cm="1">
        <f t="array" ref="K1349">_xlfn.SWITCH(LeadsData[[#This Row],[Funnel Stage Reached]],"Lead",1,"MQL",2,"SQL",3,"Customer",4)</f>
        <v>2</v>
      </c>
      <c r="L1349" t="str">
        <f>TEXT(LeadsData[[#This Row],[Signup Date]],"mmm-yyyy")</f>
        <v>Jun-2024</v>
      </c>
      <c r="M1349">
        <f>IF(LeadsData[[#This Row],[Stage Number]]&gt;=2,1,0)</f>
        <v>1</v>
      </c>
      <c r="N1349" s="2">
        <f>IF(LeadsData[[#This Row],[Stage Number]]&gt;=3,1,0)</f>
        <v>0</v>
      </c>
      <c r="O1349" s="2">
        <f>IF(LeadsData[[#This Row],[Stage Number]]&gt;=4,1,0)</f>
        <v>0</v>
      </c>
    </row>
    <row r="1350" spans="1:15" x14ac:dyDescent="0.25">
      <c r="A1350" t="s">
        <v>1390</v>
      </c>
      <c r="B1350" s="1">
        <v>45450</v>
      </c>
      <c r="C1350" t="s">
        <v>46</v>
      </c>
      <c r="D1350" t="s">
        <v>47</v>
      </c>
      <c r="E1350" t="s">
        <v>13</v>
      </c>
      <c r="F1350" t="s">
        <v>14</v>
      </c>
      <c r="G1350" t="s">
        <v>23</v>
      </c>
      <c r="K1350" cm="1">
        <f t="array" ref="K1350">_xlfn.SWITCH(LeadsData[[#This Row],[Funnel Stage Reached]],"Lead",1,"MQL",2,"SQL",3,"Customer",4)</f>
        <v>2</v>
      </c>
      <c r="L1350" t="str">
        <f>TEXT(LeadsData[[#This Row],[Signup Date]],"mmm-yyyy")</f>
        <v>Jun-2024</v>
      </c>
      <c r="M1350">
        <f>IF(LeadsData[[#This Row],[Stage Number]]&gt;=2,1,0)</f>
        <v>1</v>
      </c>
      <c r="N1350" s="2">
        <f>IF(LeadsData[[#This Row],[Stage Number]]&gt;=3,1,0)</f>
        <v>0</v>
      </c>
      <c r="O1350" s="2">
        <f>IF(LeadsData[[#This Row],[Stage Number]]&gt;=4,1,0)</f>
        <v>0</v>
      </c>
    </row>
    <row r="1351" spans="1:15" x14ac:dyDescent="0.25">
      <c r="A1351" t="s">
        <v>1391</v>
      </c>
      <c r="B1351" s="1">
        <v>45549</v>
      </c>
      <c r="C1351" t="s">
        <v>36</v>
      </c>
      <c r="D1351" t="s">
        <v>50</v>
      </c>
      <c r="E1351" t="s">
        <v>21</v>
      </c>
      <c r="F1351" t="s">
        <v>19</v>
      </c>
      <c r="G1351" t="s">
        <v>15</v>
      </c>
      <c r="K1351" cm="1">
        <f t="array" ref="K1351">_xlfn.SWITCH(LeadsData[[#This Row],[Funnel Stage Reached]],"Lead",1,"MQL",2,"SQL",3,"Customer",4)</f>
        <v>1</v>
      </c>
      <c r="L1351" t="str">
        <f>TEXT(LeadsData[[#This Row],[Signup Date]],"mmm-yyyy")</f>
        <v>Sep-2024</v>
      </c>
      <c r="M1351">
        <f>IF(LeadsData[[#This Row],[Stage Number]]&gt;=2,1,0)</f>
        <v>0</v>
      </c>
      <c r="N1351" s="2">
        <f>IF(LeadsData[[#This Row],[Stage Number]]&gt;=3,1,0)</f>
        <v>0</v>
      </c>
      <c r="O1351" s="2">
        <f>IF(LeadsData[[#This Row],[Stage Number]]&gt;=4,1,0)</f>
        <v>0</v>
      </c>
    </row>
    <row r="1352" spans="1:15" x14ac:dyDescent="0.25">
      <c r="A1352" t="s">
        <v>1392</v>
      </c>
      <c r="B1352" s="1">
        <v>45456</v>
      </c>
      <c r="C1352" t="s">
        <v>46</v>
      </c>
      <c r="D1352" t="s">
        <v>47</v>
      </c>
      <c r="E1352" t="s">
        <v>21</v>
      </c>
      <c r="F1352" t="s">
        <v>19</v>
      </c>
      <c r="G1352" t="s">
        <v>23</v>
      </c>
      <c r="K1352" cm="1">
        <f t="array" ref="K1352">_xlfn.SWITCH(LeadsData[[#This Row],[Funnel Stage Reached]],"Lead",1,"MQL",2,"SQL",3,"Customer",4)</f>
        <v>2</v>
      </c>
      <c r="L1352" t="str">
        <f>TEXT(LeadsData[[#This Row],[Signup Date]],"mmm-yyyy")</f>
        <v>Jun-2024</v>
      </c>
      <c r="M1352">
        <f>IF(LeadsData[[#This Row],[Stage Number]]&gt;=2,1,0)</f>
        <v>1</v>
      </c>
      <c r="N1352" s="2">
        <f>IF(LeadsData[[#This Row],[Stage Number]]&gt;=3,1,0)</f>
        <v>0</v>
      </c>
      <c r="O1352" s="2">
        <f>IF(LeadsData[[#This Row],[Stage Number]]&gt;=4,1,0)</f>
        <v>0</v>
      </c>
    </row>
    <row r="1353" spans="1:15" x14ac:dyDescent="0.25">
      <c r="A1353" t="s">
        <v>1393</v>
      </c>
      <c r="B1353" s="1">
        <v>45335</v>
      </c>
      <c r="C1353" t="s">
        <v>17</v>
      </c>
      <c r="D1353" t="s">
        <v>53</v>
      </c>
      <c r="E1353" t="s">
        <v>13</v>
      </c>
      <c r="F1353" t="s">
        <v>14</v>
      </c>
      <c r="G1353" t="s">
        <v>23</v>
      </c>
      <c r="K1353" cm="1">
        <f t="array" ref="K1353">_xlfn.SWITCH(LeadsData[[#This Row],[Funnel Stage Reached]],"Lead",1,"MQL",2,"SQL",3,"Customer",4)</f>
        <v>2</v>
      </c>
      <c r="L1353" t="str">
        <f>TEXT(LeadsData[[#This Row],[Signup Date]],"mmm-yyyy")</f>
        <v>Feb-2024</v>
      </c>
      <c r="M1353">
        <f>IF(LeadsData[[#This Row],[Stage Number]]&gt;=2,1,0)</f>
        <v>1</v>
      </c>
      <c r="N1353" s="2">
        <f>IF(LeadsData[[#This Row],[Stage Number]]&gt;=3,1,0)</f>
        <v>0</v>
      </c>
      <c r="O1353" s="2">
        <f>IF(LeadsData[[#This Row],[Stage Number]]&gt;=4,1,0)</f>
        <v>0</v>
      </c>
    </row>
    <row r="1354" spans="1:15" x14ac:dyDescent="0.25">
      <c r="A1354" t="s">
        <v>1394</v>
      </c>
      <c r="B1354" s="1">
        <v>45316</v>
      </c>
      <c r="C1354" t="s">
        <v>46</v>
      </c>
      <c r="D1354" t="s">
        <v>47</v>
      </c>
      <c r="E1354" t="s">
        <v>13</v>
      </c>
      <c r="F1354" t="s">
        <v>14</v>
      </c>
      <c r="G1354" t="s">
        <v>15</v>
      </c>
      <c r="K1354" cm="1">
        <f t="array" ref="K1354">_xlfn.SWITCH(LeadsData[[#This Row],[Funnel Stage Reached]],"Lead",1,"MQL",2,"SQL",3,"Customer",4)</f>
        <v>1</v>
      </c>
      <c r="L1354" t="str">
        <f>TEXT(LeadsData[[#This Row],[Signup Date]],"mmm-yyyy")</f>
        <v>Jan-2024</v>
      </c>
      <c r="M1354">
        <f>IF(LeadsData[[#This Row],[Stage Number]]&gt;=2,1,0)</f>
        <v>0</v>
      </c>
      <c r="N1354" s="2">
        <f>IF(LeadsData[[#This Row],[Stage Number]]&gt;=3,1,0)</f>
        <v>0</v>
      </c>
      <c r="O1354" s="2">
        <f>IF(LeadsData[[#This Row],[Stage Number]]&gt;=4,1,0)</f>
        <v>0</v>
      </c>
    </row>
    <row r="1355" spans="1:15" x14ac:dyDescent="0.25">
      <c r="A1355" t="s">
        <v>1395</v>
      </c>
      <c r="B1355" s="1">
        <v>45369</v>
      </c>
      <c r="C1355" t="s">
        <v>36</v>
      </c>
      <c r="D1355" t="s">
        <v>37</v>
      </c>
      <c r="E1355" t="s">
        <v>13</v>
      </c>
      <c r="F1355" t="s">
        <v>19</v>
      </c>
      <c r="G1355" t="s">
        <v>23</v>
      </c>
      <c r="K1355" cm="1">
        <f t="array" ref="K1355">_xlfn.SWITCH(LeadsData[[#This Row],[Funnel Stage Reached]],"Lead",1,"MQL",2,"SQL",3,"Customer",4)</f>
        <v>2</v>
      </c>
      <c r="L1355" t="str">
        <f>TEXT(LeadsData[[#This Row],[Signup Date]],"mmm-yyyy")</f>
        <v>Mar-2024</v>
      </c>
      <c r="M1355">
        <f>IF(LeadsData[[#This Row],[Stage Number]]&gt;=2,1,0)</f>
        <v>1</v>
      </c>
      <c r="N1355" s="2">
        <f>IF(LeadsData[[#This Row],[Stage Number]]&gt;=3,1,0)</f>
        <v>0</v>
      </c>
      <c r="O1355" s="2">
        <f>IF(LeadsData[[#This Row],[Stage Number]]&gt;=4,1,0)</f>
        <v>0</v>
      </c>
    </row>
    <row r="1356" spans="1:15" x14ac:dyDescent="0.25">
      <c r="A1356" t="s">
        <v>1396</v>
      </c>
      <c r="B1356" s="1">
        <v>45360</v>
      </c>
      <c r="C1356" t="s">
        <v>25</v>
      </c>
      <c r="D1356" t="s">
        <v>26</v>
      </c>
      <c r="E1356" t="s">
        <v>21</v>
      </c>
      <c r="F1356" t="s">
        <v>19</v>
      </c>
      <c r="G1356" t="s">
        <v>15</v>
      </c>
      <c r="K1356" cm="1">
        <f t="array" ref="K1356">_xlfn.SWITCH(LeadsData[[#This Row],[Funnel Stage Reached]],"Lead",1,"MQL",2,"SQL",3,"Customer",4)</f>
        <v>1</v>
      </c>
      <c r="L1356" t="str">
        <f>TEXT(LeadsData[[#This Row],[Signup Date]],"mmm-yyyy")</f>
        <v>Mar-2024</v>
      </c>
      <c r="M1356">
        <f>IF(LeadsData[[#This Row],[Stage Number]]&gt;=2,1,0)</f>
        <v>0</v>
      </c>
      <c r="N1356" s="2">
        <f>IF(LeadsData[[#This Row],[Stage Number]]&gt;=3,1,0)</f>
        <v>0</v>
      </c>
      <c r="O1356" s="2">
        <f>IF(LeadsData[[#This Row],[Stage Number]]&gt;=4,1,0)</f>
        <v>0</v>
      </c>
    </row>
    <row r="1357" spans="1:15" x14ac:dyDescent="0.25">
      <c r="A1357" t="s">
        <v>1397</v>
      </c>
      <c r="B1357" s="1">
        <v>45600</v>
      </c>
      <c r="C1357" t="s">
        <v>36</v>
      </c>
      <c r="D1357" t="s">
        <v>50</v>
      </c>
      <c r="E1357" t="s">
        <v>21</v>
      </c>
      <c r="F1357" t="s">
        <v>19</v>
      </c>
      <c r="G1357" t="s">
        <v>29</v>
      </c>
      <c r="K1357" cm="1">
        <f t="array" ref="K1357">_xlfn.SWITCH(LeadsData[[#This Row],[Funnel Stage Reached]],"Lead",1,"MQL",2,"SQL",3,"Customer",4)</f>
        <v>3</v>
      </c>
      <c r="L1357" t="str">
        <f>TEXT(LeadsData[[#This Row],[Signup Date]],"mmm-yyyy")</f>
        <v>Nov-2024</v>
      </c>
      <c r="M1357">
        <f>IF(LeadsData[[#This Row],[Stage Number]]&gt;=2,1,0)</f>
        <v>1</v>
      </c>
      <c r="N1357" s="2">
        <f>IF(LeadsData[[#This Row],[Stage Number]]&gt;=3,1,0)</f>
        <v>1</v>
      </c>
      <c r="O1357" s="2">
        <f>IF(LeadsData[[#This Row],[Stage Number]]&gt;=4,1,0)</f>
        <v>0</v>
      </c>
    </row>
    <row r="1358" spans="1:15" x14ac:dyDescent="0.25">
      <c r="A1358" t="s">
        <v>1398</v>
      </c>
      <c r="B1358" s="1">
        <v>45462</v>
      </c>
      <c r="C1358" t="s">
        <v>36</v>
      </c>
      <c r="D1358" t="s">
        <v>50</v>
      </c>
      <c r="E1358" t="s">
        <v>13</v>
      </c>
      <c r="F1358" t="s">
        <v>19</v>
      </c>
      <c r="G1358" t="s">
        <v>15</v>
      </c>
      <c r="K1358" cm="1">
        <f t="array" ref="K1358">_xlfn.SWITCH(LeadsData[[#This Row],[Funnel Stage Reached]],"Lead",1,"MQL",2,"SQL",3,"Customer",4)</f>
        <v>1</v>
      </c>
      <c r="L1358" t="str">
        <f>TEXT(LeadsData[[#This Row],[Signup Date]],"mmm-yyyy")</f>
        <v>Jun-2024</v>
      </c>
      <c r="M1358">
        <f>IF(LeadsData[[#This Row],[Stage Number]]&gt;=2,1,0)</f>
        <v>0</v>
      </c>
      <c r="N1358" s="2">
        <f>IF(LeadsData[[#This Row],[Stage Number]]&gt;=3,1,0)</f>
        <v>0</v>
      </c>
      <c r="O1358" s="2">
        <f>IF(LeadsData[[#This Row],[Stage Number]]&gt;=4,1,0)</f>
        <v>0</v>
      </c>
    </row>
    <row r="1359" spans="1:15" x14ac:dyDescent="0.25">
      <c r="A1359" t="s">
        <v>1399</v>
      </c>
      <c r="B1359" s="1">
        <v>45559</v>
      </c>
      <c r="C1359" t="s">
        <v>25</v>
      </c>
      <c r="D1359" t="s">
        <v>26</v>
      </c>
      <c r="E1359" t="s">
        <v>21</v>
      </c>
      <c r="F1359" t="s">
        <v>19</v>
      </c>
      <c r="G1359" t="s">
        <v>23</v>
      </c>
      <c r="K1359" cm="1">
        <f t="array" ref="K1359">_xlfn.SWITCH(LeadsData[[#This Row],[Funnel Stage Reached]],"Lead",1,"MQL",2,"SQL",3,"Customer",4)</f>
        <v>2</v>
      </c>
      <c r="L1359" t="str">
        <f>TEXT(LeadsData[[#This Row],[Signup Date]],"mmm-yyyy")</f>
        <v>Sep-2024</v>
      </c>
      <c r="M1359">
        <f>IF(LeadsData[[#This Row],[Stage Number]]&gt;=2,1,0)</f>
        <v>1</v>
      </c>
      <c r="N1359" s="2">
        <f>IF(LeadsData[[#This Row],[Stage Number]]&gt;=3,1,0)</f>
        <v>0</v>
      </c>
      <c r="O1359" s="2">
        <f>IF(LeadsData[[#This Row],[Stage Number]]&gt;=4,1,0)</f>
        <v>0</v>
      </c>
    </row>
    <row r="1360" spans="1:15" x14ac:dyDescent="0.25">
      <c r="A1360" t="s">
        <v>1400</v>
      </c>
      <c r="B1360" s="1">
        <v>45637</v>
      </c>
      <c r="C1360" t="s">
        <v>46</v>
      </c>
      <c r="D1360" t="s">
        <v>56</v>
      </c>
      <c r="E1360" t="s">
        <v>13</v>
      </c>
      <c r="F1360" t="s">
        <v>14</v>
      </c>
      <c r="G1360" t="s">
        <v>15</v>
      </c>
      <c r="K1360" cm="1">
        <f t="array" ref="K1360">_xlfn.SWITCH(LeadsData[[#This Row],[Funnel Stage Reached]],"Lead",1,"MQL",2,"SQL",3,"Customer",4)</f>
        <v>1</v>
      </c>
      <c r="L1360" t="str">
        <f>TEXT(LeadsData[[#This Row],[Signup Date]],"mmm-yyyy")</f>
        <v>Dec-2024</v>
      </c>
      <c r="M1360">
        <f>IF(LeadsData[[#This Row],[Stage Number]]&gt;=2,1,0)</f>
        <v>0</v>
      </c>
      <c r="N1360" s="2">
        <f>IF(LeadsData[[#This Row],[Stage Number]]&gt;=3,1,0)</f>
        <v>0</v>
      </c>
      <c r="O1360" s="2">
        <f>IF(LeadsData[[#This Row],[Stage Number]]&gt;=4,1,0)</f>
        <v>0</v>
      </c>
    </row>
    <row r="1361" spans="1:15" x14ac:dyDescent="0.25">
      <c r="A1361" t="s">
        <v>1401</v>
      </c>
      <c r="B1361" s="1">
        <v>45305</v>
      </c>
      <c r="C1361" t="s">
        <v>17</v>
      </c>
      <c r="D1361" t="s">
        <v>53</v>
      </c>
      <c r="E1361" t="s">
        <v>48</v>
      </c>
      <c r="F1361" t="s">
        <v>22</v>
      </c>
      <c r="G1361" t="s">
        <v>15</v>
      </c>
      <c r="K1361" cm="1">
        <f t="array" ref="K1361">_xlfn.SWITCH(LeadsData[[#This Row],[Funnel Stage Reached]],"Lead",1,"MQL",2,"SQL",3,"Customer",4)</f>
        <v>1</v>
      </c>
      <c r="L1361" t="str">
        <f>TEXT(LeadsData[[#This Row],[Signup Date]],"mmm-yyyy")</f>
        <v>Jan-2024</v>
      </c>
      <c r="M1361">
        <f>IF(LeadsData[[#This Row],[Stage Number]]&gt;=2,1,0)</f>
        <v>0</v>
      </c>
      <c r="N1361" s="2">
        <f>IF(LeadsData[[#This Row],[Stage Number]]&gt;=3,1,0)</f>
        <v>0</v>
      </c>
      <c r="O1361" s="2">
        <f>IF(LeadsData[[#This Row],[Stage Number]]&gt;=4,1,0)</f>
        <v>0</v>
      </c>
    </row>
    <row r="1362" spans="1:15" x14ac:dyDescent="0.25">
      <c r="A1362" t="s">
        <v>1402</v>
      </c>
      <c r="B1362" s="1">
        <v>45509</v>
      </c>
      <c r="C1362" t="s">
        <v>36</v>
      </c>
      <c r="D1362" t="s">
        <v>50</v>
      </c>
      <c r="E1362" t="s">
        <v>13</v>
      </c>
      <c r="F1362" t="s">
        <v>22</v>
      </c>
      <c r="G1362" t="s">
        <v>15</v>
      </c>
      <c r="K1362" cm="1">
        <f t="array" ref="K1362">_xlfn.SWITCH(LeadsData[[#This Row],[Funnel Stage Reached]],"Lead",1,"MQL",2,"SQL",3,"Customer",4)</f>
        <v>1</v>
      </c>
      <c r="L1362" t="str">
        <f>TEXT(LeadsData[[#This Row],[Signup Date]],"mmm-yyyy")</f>
        <v>Aug-2024</v>
      </c>
      <c r="M1362">
        <f>IF(LeadsData[[#This Row],[Stage Number]]&gt;=2,1,0)</f>
        <v>0</v>
      </c>
      <c r="N1362" s="2">
        <f>IF(LeadsData[[#This Row],[Stage Number]]&gt;=3,1,0)</f>
        <v>0</v>
      </c>
      <c r="O1362" s="2">
        <f>IF(LeadsData[[#This Row],[Stage Number]]&gt;=4,1,0)</f>
        <v>0</v>
      </c>
    </row>
    <row r="1363" spans="1:15" x14ac:dyDescent="0.25">
      <c r="A1363" t="s">
        <v>1403</v>
      </c>
      <c r="B1363" s="1">
        <v>45620</v>
      </c>
      <c r="C1363" t="s">
        <v>46</v>
      </c>
      <c r="D1363" t="s">
        <v>56</v>
      </c>
      <c r="E1363" t="s">
        <v>13</v>
      </c>
      <c r="F1363" t="s">
        <v>14</v>
      </c>
      <c r="G1363" t="s">
        <v>15</v>
      </c>
      <c r="K1363" cm="1">
        <f t="array" ref="K1363">_xlfn.SWITCH(LeadsData[[#This Row],[Funnel Stage Reached]],"Lead",1,"MQL",2,"SQL",3,"Customer",4)</f>
        <v>1</v>
      </c>
      <c r="L1363" t="str">
        <f>TEXT(LeadsData[[#This Row],[Signup Date]],"mmm-yyyy")</f>
        <v>Nov-2024</v>
      </c>
      <c r="M1363">
        <f>IF(LeadsData[[#This Row],[Stage Number]]&gt;=2,1,0)</f>
        <v>0</v>
      </c>
      <c r="N1363" s="2">
        <f>IF(LeadsData[[#This Row],[Stage Number]]&gt;=3,1,0)</f>
        <v>0</v>
      </c>
      <c r="O1363" s="2">
        <f>IF(LeadsData[[#This Row],[Stage Number]]&gt;=4,1,0)</f>
        <v>0</v>
      </c>
    </row>
    <row r="1364" spans="1:15" x14ac:dyDescent="0.25">
      <c r="A1364" t="s">
        <v>1404</v>
      </c>
      <c r="B1364" s="1">
        <v>45312</v>
      </c>
      <c r="C1364" t="s">
        <v>25</v>
      </c>
      <c r="D1364" t="s">
        <v>26</v>
      </c>
      <c r="E1364" t="s">
        <v>21</v>
      </c>
      <c r="F1364" t="s">
        <v>19</v>
      </c>
      <c r="G1364" t="s">
        <v>42</v>
      </c>
      <c r="H1364">
        <v>57</v>
      </c>
      <c r="I1364" t="s">
        <v>43</v>
      </c>
      <c r="J1364">
        <v>1077.43</v>
      </c>
      <c r="K1364" cm="1">
        <f t="array" ref="K1364">_xlfn.SWITCH(LeadsData[[#This Row],[Funnel Stage Reached]],"Lead",1,"MQL",2,"SQL",3,"Customer",4)</f>
        <v>4</v>
      </c>
      <c r="L1364" t="str">
        <f>TEXT(LeadsData[[#This Row],[Signup Date]],"mmm-yyyy")</f>
        <v>Jan-2024</v>
      </c>
      <c r="M1364">
        <f>IF(LeadsData[[#This Row],[Stage Number]]&gt;=2,1,0)</f>
        <v>1</v>
      </c>
      <c r="N1364" s="2">
        <f>IF(LeadsData[[#This Row],[Stage Number]]&gt;=3,1,0)</f>
        <v>1</v>
      </c>
      <c r="O1364" s="2">
        <f>IF(LeadsData[[#This Row],[Stage Number]]&gt;=4,1,0)</f>
        <v>1</v>
      </c>
    </row>
    <row r="1365" spans="1:15" x14ac:dyDescent="0.25">
      <c r="A1365" t="s">
        <v>1405</v>
      </c>
      <c r="B1365" s="1">
        <v>45545</v>
      </c>
      <c r="C1365" t="s">
        <v>46</v>
      </c>
      <c r="D1365" t="s">
        <v>47</v>
      </c>
      <c r="E1365" t="s">
        <v>13</v>
      </c>
      <c r="F1365" t="s">
        <v>14</v>
      </c>
      <c r="G1365" t="s">
        <v>15</v>
      </c>
      <c r="K1365" cm="1">
        <f t="array" ref="K1365">_xlfn.SWITCH(LeadsData[[#This Row],[Funnel Stage Reached]],"Lead",1,"MQL",2,"SQL",3,"Customer",4)</f>
        <v>1</v>
      </c>
      <c r="L1365" t="str">
        <f>TEXT(LeadsData[[#This Row],[Signup Date]],"mmm-yyyy")</f>
        <v>Sep-2024</v>
      </c>
      <c r="M1365">
        <f>IF(LeadsData[[#This Row],[Stage Number]]&gt;=2,1,0)</f>
        <v>0</v>
      </c>
      <c r="N1365" s="2">
        <f>IF(LeadsData[[#This Row],[Stage Number]]&gt;=3,1,0)</f>
        <v>0</v>
      </c>
      <c r="O1365" s="2">
        <f>IF(LeadsData[[#This Row],[Stage Number]]&gt;=4,1,0)</f>
        <v>0</v>
      </c>
    </row>
    <row r="1366" spans="1:15" x14ac:dyDescent="0.25">
      <c r="A1366" t="s">
        <v>1406</v>
      </c>
      <c r="B1366" s="1">
        <v>45540</v>
      </c>
      <c r="C1366" t="s">
        <v>31</v>
      </c>
      <c r="D1366" t="s">
        <v>32</v>
      </c>
      <c r="E1366" t="s">
        <v>13</v>
      </c>
      <c r="F1366" t="s">
        <v>22</v>
      </c>
      <c r="G1366" t="s">
        <v>23</v>
      </c>
      <c r="K1366" cm="1">
        <f t="array" ref="K1366">_xlfn.SWITCH(LeadsData[[#This Row],[Funnel Stage Reached]],"Lead",1,"MQL",2,"SQL",3,"Customer",4)</f>
        <v>2</v>
      </c>
      <c r="L1366" t="str">
        <f>TEXT(LeadsData[[#This Row],[Signup Date]],"mmm-yyyy")</f>
        <v>Sep-2024</v>
      </c>
      <c r="M1366">
        <f>IF(LeadsData[[#This Row],[Stage Number]]&gt;=2,1,0)</f>
        <v>1</v>
      </c>
      <c r="N1366" s="2">
        <f>IF(LeadsData[[#This Row],[Stage Number]]&gt;=3,1,0)</f>
        <v>0</v>
      </c>
      <c r="O1366" s="2">
        <f>IF(LeadsData[[#This Row],[Stage Number]]&gt;=4,1,0)</f>
        <v>0</v>
      </c>
    </row>
    <row r="1367" spans="1:15" x14ac:dyDescent="0.25">
      <c r="A1367" t="s">
        <v>1407</v>
      </c>
      <c r="B1367" s="1">
        <v>45538</v>
      </c>
      <c r="C1367" t="s">
        <v>46</v>
      </c>
      <c r="D1367" t="s">
        <v>56</v>
      </c>
      <c r="E1367" t="s">
        <v>48</v>
      </c>
      <c r="F1367" t="s">
        <v>19</v>
      </c>
      <c r="G1367" t="s">
        <v>15</v>
      </c>
      <c r="K1367" cm="1">
        <f t="array" ref="K1367">_xlfn.SWITCH(LeadsData[[#This Row],[Funnel Stage Reached]],"Lead",1,"MQL",2,"SQL",3,"Customer",4)</f>
        <v>1</v>
      </c>
      <c r="L1367" t="str">
        <f>TEXT(LeadsData[[#This Row],[Signup Date]],"mmm-yyyy")</f>
        <v>Sep-2024</v>
      </c>
      <c r="M1367">
        <f>IF(LeadsData[[#This Row],[Stage Number]]&gt;=2,1,0)</f>
        <v>0</v>
      </c>
      <c r="N1367" s="2">
        <f>IF(LeadsData[[#This Row],[Stage Number]]&gt;=3,1,0)</f>
        <v>0</v>
      </c>
      <c r="O1367" s="2">
        <f>IF(LeadsData[[#This Row],[Stage Number]]&gt;=4,1,0)</f>
        <v>0</v>
      </c>
    </row>
    <row r="1368" spans="1:15" x14ac:dyDescent="0.25">
      <c r="A1368" t="s">
        <v>1408</v>
      </c>
      <c r="B1368" s="1">
        <v>45330</v>
      </c>
      <c r="C1368" t="s">
        <v>31</v>
      </c>
      <c r="D1368" t="s">
        <v>32</v>
      </c>
      <c r="E1368" t="s">
        <v>13</v>
      </c>
      <c r="F1368" t="s">
        <v>22</v>
      </c>
      <c r="G1368" t="s">
        <v>23</v>
      </c>
      <c r="K1368" cm="1">
        <f t="array" ref="K1368">_xlfn.SWITCH(LeadsData[[#This Row],[Funnel Stage Reached]],"Lead",1,"MQL",2,"SQL",3,"Customer",4)</f>
        <v>2</v>
      </c>
      <c r="L1368" t="str">
        <f>TEXT(LeadsData[[#This Row],[Signup Date]],"mmm-yyyy")</f>
        <v>Feb-2024</v>
      </c>
      <c r="M1368">
        <f>IF(LeadsData[[#This Row],[Stage Number]]&gt;=2,1,0)</f>
        <v>1</v>
      </c>
      <c r="N1368" s="2">
        <f>IF(LeadsData[[#This Row],[Stage Number]]&gt;=3,1,0)</f>
        <v>0</v>
      </c>
      <c r="O1368" s="2">
        <f>IF(LeadsData[[#This Row],[Stage Number]]&gt;=4,1,0)</f>
        <v>0</v>
      </c>
    </row>
    <row r="1369" spans="1:15" x14ac:dyDescent="0.25">
      <c r="A1369" t="s">
        <v>1409</v>
      </c>
      <c r="B1369" s="1">
        <v>45614</v>
      </c>
      <c r="C1369" t="s">
        <v>31</v>
      </c>
      <c r="D1369" t="s">
        <v>32</v>
      </c>
      <c r="E1369" t="s">
        <v>21</v>
      </c>
      <c r="F1369" t="s">
        <v>19</v>
      </c>
      <c r="G1369" t="s">
        <v>42</v>
      </c>
      <c r="H1369">
        <v>58</v>
      </c>
      <c r="I1369" t="s">
        <v>43</v>
      </c>
      <c r="J1369">
        <v>532.98</v>
      </c>
      <c r="K1369" cm="1">
        <f t="array" ref="K1369">_xlfn.SWITCH(LeadsData[[#This Row],[Funnel Stage Reached]],"Lead",1,"MQL",2,"SQL",3,"Customer",4)</f>
        <v>4</v>
      </c>
      <c r="L1369" t="str">
        <f>TEXT(LeadsData[[#This Row],[Signup Date]],"mmm-yyyy")</f>
        <v>Nov-2024</v>
      </c>
      <c r="M1369">
        <f>IF(LeadsData[[#This Row],[Stage Number]]&gt;=2,1,0)</f>
        <v>1</v>
      </c>
      <c r="N1369" s="2">
        <f>IF(LeadsData[[#This Row],[Stage Number]]&gt;=3,1,0)</f>
        <v>1</v>
      </c>
      <c r="O1369" s="2">
        <f>IF(LeadsData[[#This Row],[Stage Number]]&gt;=4,1,0)</f>
        <v>1</v>
      </c>
    </row>
    <row r="1370" spans="1:15" x14ac:dyDescent="0.25">
      <c r="A1370" t="s">
        <v>1410</v>
      </c>
      <c r="B1370" s="1">
        <v>45510</v>
      </c>
      <c r="C1370" t="s">
        <v>46</v>
      </c>
      <c r="D1370" t="s">
        <v>47</v>
      </c>
      <c r="E1370" t="s">
        <v>48</v>
      </c>
      <c r="F1370" t="s">
        <v>19</v>
      </c>
      <c r="G1370" t="s">
        <v>15</v>
      </c>
      <c r="K1370" cm="1">
        <f t="array" ref="K1370">_xlfn.SWITCH(LeadsData[[#This Row],[Funnel Stage Reached]],"Lead",1,"MQL",2,"SQL",3,"Customer",4)</f>
        <v>1</v>
      </c>
      <c r="L1370" t="str">
        <f>TEXT(LeadsData[[#This Row],[Signup Date]],"mmm-yyyy")</f>
        <v>Aug-2024</v>
      </c>
      <c r="M1370">
        <f>IF(LeadsData[[#This Row],[Stage Number]]&gt;=2,1,0)</f>
        <v>0</v>
      </c>
      <c r="N1370" s="2">
        <f>IF(LeadsData[[#This Row],[Stage Number]]&gt;=3,1,0)</f>
        <v>0</v>
      </c>
      <c r="O1370" s="2">
        <f>IF(LeadsData[[#This Row],[Stage Number]]&gt;=4,1,0)</f>
        <v>0</v>
      </c>
    </row>
    <row r="1371" spans="1:15" x14ac:dyDescent="0.25">
      <c r="A1371" t="s">
        <v>1411</v>
      </c>
      <c r="B1371" s="1">
        <v>45368</v>
      </c>
      <c r="C1371" t="s">
        <v>17</v>
      </c>
      <c r="D1371" t="s">
        <v>18</v>
      </c>
      <c r="E1371" t="s">
        <v>13</v>
      </c>
      <c r="F1371" t="s">
        <v>19</v>
      </c>
      <c r="G1371" t="s">
        <v>23</v>
      </c>
      <c r="K1371" cm="1">
        <f t="array" ref="K1371">_xlfn.SWITCH(LeadsData[[#This Row],[Funnel Stage Reached]],"Lead",1,"MQL",2,"SQL",3,"Customer",4)</f>
        <v>2</v>
      </c>
      <c r="L1371" t="str">
        <f>TEXT(LeadsData[[#This Row],[Signup Date]],"mmm-yyyy")</f>
        <v>Mar-2024</v>
      </c>
      <c r="M1371">
        <f>IF(LeadsData[[#This Row],[Stage Number]]&gt;=2,1,0)</f>
        <v>1</v>
      </c>
      <c r="N1371" s="2">
        <f>IF(LeadsData[[#This Row],[Stage Number]]&gt;=3,1,0)</f>
        <v>0</v>
      </c>
      <c r="O1371" s="2">
        <f>IF(LeadsData[[#This Row],[Stage Number]]&gt;=4,1,0)</f>
        <v>0</v>
      </c>
    </row>
    <row r="1372" spans="1:15" x14ac:dyDescent="0.25">
      <c r="A1372" t="s">
        <v>1412</v>
      </c>
      <c r="B1372" s="1">
        <v>45328</v>
      </c>
      <c r="C1372" t="s">
        <v>31</v>
      </c>
      <c r="D1372" t="s">
        <v>32</v>
      </c>
      <c r="E1372" t="s">
        <v>21</v>
      </c>
      <c r="F1372" t="s">
        <v>22</v>
      </c>
      <c r="G1372" t="s">
        <v>42</v>
      </c>
      <c r="H1372">
        <v>53</v>
      </c>
      <c r="I1372" t="s">
        <v>87</v>
      </c>
      <c r="J1372">
        <v>4522.8</v>
      </c>
      <c r="K1372" cm="1">
        <f t="array" ref="K1372">_xlfn.SWITCH(LeadsData[[#This Row],[Funnel Stage Reached]],"Lead",1,"MQL",2,"SQL",3,"Customer",4)</f>
        <v>4</v>
      </c>
      <c r="L1372" t="str">
        <f>TEXT(LeadsData[[#This Row],[Signup Date]],"mmm-yyyy")</f>
        <v>Feb-2024</v>
      </c>
      <c r="M1372">
        <f>IF(LeadsData[[#This Row],[Stage Number]]&gt;=2,1,0)</f>
        <v>1</v>
      </c>
      <c r="N1372" s="2">
        <f>IF(LeadsData[[#This Row],[Stage Number]]&gt;=3,1,0)</f>
        <v>1</v>
      </c>
      <c r="O1372" s="2">
        <f>IF(LeadsData[[#This Row],[Stage Number]]&gt;=4,1,0)</f>
        <v>1</v>
      </c>
    </row>
    <row r="1373" spans="1:15" x14ac:dyDescent="0.25">
      <c r="A1373" t="s">
        <v>1413</v>
      </c>
      <c r="B1373" s="1">
        <v>45363</v>
      </c>
      <c r="C1373" t="s">
        <v>17</v>
      </c>
      <c r="D1373" t="s">
        <v>53</v>
      </c>
      <c r="E1373" t="s">
        <v>21</v>
      </c>
      <c r="F1373" t="s">
        <v>28</v>
      </c>
      <c r="G1373" t="s">
        <v>15</v>
      </c>
      <c r="K1373" cm="1">
        <f t="array" ref="K1373">_xlfn.SWITCH(LeadsData[[#This Row],[Funnel Stage Reached]],"Lead",1,"MQL",2,"SQL",3,"Customer",4)</f>
        <v>1</v>
      </c>
      <c r="L1373" t="str">
        <f>TEXT(LeadsData[[#This Row],[Signup Date]],"mmm-yyyy")</f>
        <v>Mar-2024</v>
      </c>
      <c r="M1373">
        <f>IF(LeadsData[[#This Row],[Stage Number]]&gt;=2,1,0)</f>
        <v>0</v>
      </c>
      <c r="N1373" s="2">
        <f>IF(LeadsData[[#This Row],[Stage Number]]&gt;=3,1,0)</f>
        <v>0</v>
      </c>
      <c r="O1373" s="2">
        <f>IF(LeadsData[[#This Row],[Stage Number]]&gt;=4,1,0)</f>
        <v>0</v>
      </c>
    </row>
    <row r="1374" spans="1:15" x14ac:dyDescent="0.25">
      <c r="A1374" t="s">
        <v>1414</v>
      </c>
      <c r="B1374" s="1">
        <v>45340</v>
      </c>
      <c r="C1374" t="s">
        <v>36</v>
      </c>
      <c r="D1374" t="s">
        <v>37</v>
      </c>
      <c r="E1374" t="s">
        <v>13</v>
      </c>
      <c r="F1374" t="s">
        <v>22</v>
      </c>
      <c r="G1374" t="s">
        <v>23</v>
      </c>
      <c r="K1374" cm="1">
        <f t="array" ref="K1374">_xlfn.SWITCH(LeadsData[[#This Row],[Funnel Stage Reached]],"Lead",1,"MQL",2,"SQL",3,"Customer",4)</f>
        <v>2</v>
      </c>
      <c r="L1374" t="str">
        <f>TEXT(LeadsData[[#This Row],[Signup Date]],"mmm-yyyy")</f>
        <v>Feb-2024</v>
      </c>
      <c r="M1374">
        <f>IF(LeadsData[[#This Row],[Stage Number]]&gt;=2,1,0)</f>
        <v>1</v>
      </c>
      <c r="N1374" s="2">
        <f>IF(LeadsData[[#This Row],[Stage Number]]&gt;=3,1,0)</f>
        <v>0</v>
      </c>
      <c r="O1374" s="2">
        <f>IF(LeadsData[[#This Row],[Stage Number]]&gt;=4,1,0)</f>
        <v>0</v>
      </c>
    </row>
    <row r="1375" spans="1:15" x14ac:dyDescent="0.25">
      <c r="A1375" t="s">
        <v>1415</v>
      </c>
      <c r="B1375" s="1">
        <v>45651</v>
      </c>
      <c r="C1375" t="s">
        <v>36</v>
      </c>
      <c r="D1375" t="s">
        <v>37</v>
      </c>
      <c r="E1375" t="s">
        <v>13</v>
      </c>
      <c r="F1375" t="s">
        <v>22</v>
      </c>
      <c r="G1375" t="s">
        <v>23</v>
      </c>
      <c r="K1375" cm="1">
        <f t="array" ref="K1375">_xlfn.SWITCH(LeadsData[[#This Row],[Funnel Stage Reached]],"Lead",1,"MQL",2,"SQL",3,"Customer",4)</f>
        <v>2</v>
      </c>
      <c r="L1375" t="str">
        <f>TEXT(LeadsData[[#This Row],[Signup Date]],"mmm-yyyy")</f>
        <v>Dec-2024</v>
      </c>
      <c r="M1375">
        <f>IF(LeadsData[[#This Row],[Stage Number]]&gt;=2,1,0)</f>
        <v>1</v>
      </c>
      <c r="N1375" s="2">
        <f>IF(LeadsData[[#This Row],[Stage Number]]&gt;=3,1,0)</f>
        <v>0</v>
      </c>
      <c r="O1375" s="2">
        <f>IF(LeadsData[[#This Row],[Stage Number]]&gt;=4,1,0)</f>
        <v>0</v>
      </c>
    </row>
    <row r="1376" spans="1:15" x14ac:dyDescent="0.25">
      <c r="A1376" t="s">
        <v>1416</v>
      </c>
      <c r="B1376" s="1">
        <v>45571</v>
      </c>
      <c r="C1376" t="s">
        <v>36</v>
      </c>
      <c r="D1376" t="s">
        <v>37</v>
      </c>
      <c r="E1376" t="s">
        <v>13</v>
      </c>
      <c r="F1376" t="s">
        <v>28</v>
      </c>
      <c r="G1376" t="s">
        <v>15</v>
      </c>
      <c r="K1376" cm="1">
        <f t="array" ref="K1376">_xlfn.SWITCH(LeadsData[[#This Row],[Funnel Stage Reached]],"Lead",1,"MQL",2,"SQL",3,"Customer",4)</f>
        <v>1</v>
      </c>
      <c r="L1376" t="str">
        <f>TEXT(LeadsData[[#This Row],[Signup Date]],"mmm-yyyy")</f>
        <v>Oct-2024</v>
      </c>
      <c r="M1376">
        <f>IF(LeadsData[[#This Row],[Stage Number]]&gt;=2,1,0)</f>
        <v>0</v>
      </c>
      <c r="N1376" s="2">
        <f>IF(LeadsData[[#This Row],[Stage Number]]&gt;=3,1,0)</f>
        <v>0</v>
      </c>
      <c r="O1376" s="2">
        <f>IF(LeadsData[[#This Row],[Stage Number]]&gt;=4,1,0)</f>
        <v>0</v>
      </c>
    </row>
    <row r="1377" spans="1:15" x14ac:dyDescent="0.25">
      <c r="A1377" t="s">
        <v>1417</v>
      </c>
      <c r="B1377" s="1">
        <v>45641</v>
      </c>
      <c r="C1377" t="s">
        <v>31</v>
      </c>
      <c r="D1377" t="s">
        <v>34</v>
      </c>
      <c r="E1377" t="s">
        <v>21</v>
      </c>
      <c r="F1377" t="s">
        <v>19</v>
      </c>
      <c r="G1377" t="s">
        <v>23</v>
      </c>
      <c r="K1377" cm="1">
        <f t="array" ref="K1377">_xlfn.SWITCH(LeadsData[[#This Row],[Funnel Stage Reached]],"Lead",1,"MQL",2,"SQL",3,"Customer",4)</f>
        <v>2</v>
      </c>
      <c r="L1377" t="str">
        <f>TEXT(LeadsData[[#This Row],[Signup Date]],"mmm-yyyy")</f>
        <v>Dec-2024</v>
      </c>
      <c r="M1377">
        <f>IF(LeadsData[[#This Row],[Stage Number]]&gt;=2,1,0)</f>
        <v>1</v>
      </c>
      <c r="N1377" s="2">
        <f>IF(LeadsData[[#This Row],[Stage Number]]&gt;=3,1,0)</f>
        <v>0</v>
      </c>
      <c r="O1377" s="2">
        <f>IF(LeadsData[[#This Row],[Stage Number]]&gt;=4,1,0)</f>
        <v>0</v>
      </c>
    </row>
    <row r="1378" spans="1:15" x14ac:dyDescent="0.25">
      <c r="A1378" t="s">
        <v>1418</v>
      </c>
      <c r="B1378" s="1">
        <v>45487</v>
      </c>
      <c r="C1378" t="s">
        <v>36</v>
      </c>
      <c r="D1378" t="s">
        <v>50</v>
      </c>
      <c r="E1378" t="s">
        <v>13</v>
      </c>
      <c r="F1378" t="s">
        <v>22</v>
      </c>
      <c r="G1378" t="s">
        <v>15</v>
      </c>
      <c r="K1378" cm="1">
        <f t="array" ref="K1378">_xlfn.SWITCH(LeadsData[[#This Row],[Funnel Stage Reached]],"Lead",1,"MQL",2,"SQL",3,"Customer",4)</f>
        <v>1</v>
      </c>
      <c r="L1378" t="str">
        <f>TEXT(LeadsData[[#This Row],[Signup Date]],"mmm-yyyy")</f>
        <v>Jul-2024</v>
      </c>
      <c r="M1378">
        <f>IF(LeadsData[[#This Row],[Stage Number]]&gt;=2,1,0)</f>
        <v>0</v>
      </c>
      <c r="N1378" s="2">
        <f>IF(LeadsData[[#This Row],[Stage Number]]&gt;=3,1,0)</f>
        <v>0</v>
      </c>
      <c r="O1378" s="2">
        <f>IF(LeadsData[[#This Row],[Stage Number]]&gt;=4,1,0)</f>
        <v>0</v>
      </c>
    </row>
    <row r="1379" spans="1:15" x14ac:dyDescent="0.25">
      <c r="A1379" t="s">
        <v>1419</v>
      </c>
      <c r="B1379" s="1">
        <v>45366</v>
      </c>
      <c r="C1379" t="s">
        <v>31</v>
      </c>
      <c r="D1379" t="s">
        <v>34</v>
      </c>
      <c r="E1379" t="s">
        <v>13</v>
      </c>
      <c r="F1379" t="s">
        <v>22</v>
      </c>
      <c r="G1379" t="s">
        <v>15</v>
      </c>
      <c r="K1379" cm="1">
        <f t="array" ref="K1379">_xlfn.SWITCH(LeadsData[[#This Row],[Funnel Stage Reached]],"Lead",1,"MQL",2,"SQL",3,"Customer",4)</f>
        <v>1</v>
      </c>
      <c r="L1379" t="str">
        <f>TEXT(LeadsData[[#This Row],[Signup Date]],"mmm-yyyy")</f>
        <v>Mar-2024</v>
      </c>
      <c r="M1379">
        <f>IF(LeadsData[[#This Row],[Stage Number]]&gt;=2,1,0)</f>
        <v>0</v>
      </c>
      <c r="N1379" s="2">
        <f>IF(LeadsData[[#This Row],[Stage Number]]&gt;=3,1,0)</f>
        <v>0</v>
      </c>
      <c r="O1379" s="2">
        <f>IF(LeadsData[[#This Row],[Stage Number]]&gt;=4,1,0)</f>
        <v>0</v>
      </c>
    </row>
    <row r="1380" spans="1:15" x14ac:dyDescent="0.25">
      <c r="A1380" t="s">
        <v>1420</v>
      </c>
      <c r="B1380" s="1">
        <v>45354</v>
      </c>
      <c r="C1380" t="s">
        <v>31</v>
      </c>
      <c r="D1380" t="s">
        <v>34</v>
      </c>
      <c r="E1380" t="s">
        <v>13</v>
      </c>
      <c r="F1380" t="s">
        <v>19</v>
      </c>
      <c r="G1380" t="s">
        <v>15</v>
      </c>
      <c r="K1380" cm="1">
        <f t="array" ref="K1380">_xlfn.SWITCH(LeadsData[[#This Row],[Funnel Stage Reached]],"Lead",1,"MQL",2,"SQL",3,"Customer",4)</f>
        <v>1</v>
      </c>
      <c r="L1380" t="str">
        <f>TEXT(LeadsData[[#This Row],[Signup Date]],"mmm-yyyy")</f>
        <v>Mar-2024</v>
      </c>
      <c r="M1380">
        <f>IF(LeadsData[[#This Row],[Stage Number]]&gt;=2,1,0)</f>
        <v>0</v>
      </c>
      <c r="N1380" s="2">
        <f>IF(LeadsData[[#This Row],[Stage Number]]&gt;=3,1,0)</f>
        <v>0</v>
      </c>
      <c r="O1380" s="2">
        <f>IF(LeadsData[[#This Row],[Stage Number]]&gt;=4,1,0)</f>
        <v>0</v>
      </c>
    </row>
    <row r="1381" spans="1:15" x14ac:dyDescent="0.25">
      <c r="A1381" t="s">
        <v>1421</v>
      </c>
      <c r="B1381" s="1">
        <v>45482</v>
      </c>
      <c r="C1381" t="s">
        <v>17</v>
      </c>
      <c r="D1381" t="s">
        <v>18</v>
      </c>
      <c r="E1381" t="s">
        <v>21</v>
      </c>
      <c r="F1381" t="s">
        <v>14</v>
      </c>
      <c r="G1381" t="s">
        <v>15</v>
      </c>
      <c r="K1381" cm="1">
        <f t="array" ref="K1381">_xlfn.SWITCH(LeadsData[[#This Row],[Funnel Stage Reached]],"Lead",1,"MQL",2,"SQL",3,"Customer",4)</f>
        <v>1</v>
      </c>
      <c r="L1381" t="str">
        <f>TEXT(LeadsData[[#This Row],[Signup Date]],"mmm-yyyy")</f>
        <v>Jul-2024</v>
      </c>
      <c r="M1381">
        <f>IF(LeadsData[[#This Row],[Stage Number]]&gt;=2,1,0)</f>
        <v>0</v>
      </c>
      <c r="N1381" s="2">
        <f>IF(LeadsData[[#This Row],[Stage Number]]&gt;=3,1,0)</f>
        <v>0</v>
      </c>
      <c r="O1381" s="2">
        <f>IF(LeadsData[[#This Row],[Stage Number]]&gt;=4,1,0)</f>
        <v>0</v>
      </c>
    </row>
    <row r="1382" spans="1:15" x14ac:dyDescent="0.25">
      <c r="A1382" t="s">
        <v>1422</v>
      </c>
      <c r="B1382" s="1">
        <v>45562</v>
      </c>
      <c r="C1382" t="s">
        <v>17</v>
      </c>
      <c r="D1382" t="s">
        <v>53</v>
      </c>
      <c r="E1382" t="s">
        <v>13</v>
      </c>
      <c r="F1382" t="s">
        <v>19</v>
      </c>
      <c r="G1382" t="s">
        <v>15</v>
      </c>
      <c r="K1382" cm="1">
        <f t="array" ref="K1382">_xlfn.SWITCH(LeadsData[[#This Row],[Funnel Stage Reached]],"Lead",1,"MQL",2,"SQL",3,"Customer",4)</f>
        <v>1</v>
      </c>
      <c r="L1382" t="str">
        <f>TEXT(LeadsData[[#This Row],[Signup Date]],"mmm-yyyy")</f>
        <v>Sep-2024</v>
      </c>
      <c r="M1382">
        <f>IF(LeadsData[[#This Row],[Stage Number]]&gt;=2,1,0)</f>
        <v>0</v>
      </c>
      <c r="N1382" s="2">
        <f>IF(LeadsData[[#This Row],[Stage Number]]&gt;=3,1,0)</f>
        <v>0</v>
      </c>
      <c r="O1382" s="2">
        <f>IF(LeadsData[[#This Row],[Stage Number]]&gt;=4,1,0)</f>
        <v>0</v>
      </c>
    </row>
    <row r="1383" spans="1:15" x14ac:dyDescent="0.25">
      <c r="A1383" t="s">
        <v>1423</v>
      </c>
      <c r="B1383" s="1">
        <v>45632</v>
      </c>
      <c r="C1383" t="s">
        <v>36</v>
      </c>
      <c r="D1383" t="s">
        <v>37</v>
      </c>
      <c r="E1383" t="s">
        <v>21</v>
      </c>
      <c r="F1383" t="s">
        <v>22</v>
      </c>
      <c r="G1383" t="s">
        <v>15</v>
      </c>
      <c r="K1383" cm="1">
        <f t="array" ref="K1383">_xlfn.SWITCH(LeadsData[[#This Row],[Funnel Stage Reached]],"Lead",1,"MQL",2,"SQL",3,"Customer",4)</f>
        <v>1</v>
      </c>
      <c r="L1383" t="str">
        <f>TEXT(LeadsData[[#This Row],[Signup Date]],"mmm-yyyy")</f>
        <v>Dec-2024</v>
      </c>
      <c r="M1383">
        <f>IF(LeadsData[[#This Row],[Stage Number]]&gt;=2,1,0)</f>
        <v>0</v>
      </c>
      <c r="N1383" s="2">
        <f>IF(LeadsData[[#This Row],[Stage Number]]&gt;=3,1,0)</f>
        <v>0</v>
      </c>
      <c r="O1383" s="2">
        <f>IF(LeadsData[[#This Row],[Stage Number]]&gt;=4,1,0)</f>
        <v>0</v>
      </c>
    </row>
    <row r="1384" spans="1:15" x14ac:dyDescent="0.25">
      <c r="A1384" t="s">
        <v>1424</v>
      </c>
      <c r="B1384" s="1">
        <v>45458</v>
      </c>
      <c r="C1384" t="s">
        <v>25</v>
      </c>
      <c r="D1384" t="s">
        <v>26</v>
      </c>
      <c r="E1384" t="s">
        <v>48</v>
      </c>
      <c r="F1384" t="s">
        <v>19</v>
      </c>
      <c r="G1384" t="s">
        <v>29</v>
      </c>
      <c r="K1384" cm="1">
        <f t="array" ref="K1384">_xlfn.SWITCH(LeadsData[[#This Row],[Funnel Stage Reached]],"Lead",1,"MQL",2,"SQL",3,"Customer",4)</f>
        <v>3</v>
      </c>
      <c r="L1384" t="str">
        <f>TEXT(LeadsData[[#This Row],[Signup Date]],"mmm-yyyy")</f>
        <v>Jun-2024</v>
      </c>
      <c r="M1384">
        <f>IF(LeadsData[[#This Row],[Stage Number]]&gt;=2,1,0)</f>
        <v>1</v>
      </c>
      <c r="N1384" s="2">
        <f>IF(LeadsData[[#This Row],[Stage Number]]&gt;=3,1,0)</f>
        <v>1</v>
      </c>
      <c r="O1384" s="2">
        <f>IF(LeadsData[[#This Row],[Stage Number]]&gt;=4,1,0)</f>
        <v>0</v>
      </c>
    </row>
    <row r="1385" spans="1:15" x14ac:dyDescent="0.25">
      <c r="A1385" t="s">
        <v>1425</v>
      </c>
      <c r="B1385" s="1">
        <v>45367</v>
      </c>
      <c r="C1385" t="s">
        <v>25</v>
      </c>
      <c r="D1385" t="s">
        <v>26</v>
      </c>
      <c r="E1385" t="s">
        <v>21</v>
      </c>
      <c r="F1385" t="s">
        <v>19</v>
      </c>
      <c r="G1385" t="s">
        <v>29</v>
      </c>
      <c r="K1385" cm="1">
        <f t="array" ref="K1385">_xlfn.SWITCH(LeadsData[[#This Row],[Funnel Stage Reached]],"Lead",1,"MQL",2,"SQL",3,"Customer",4)</f>
        <v>3</v>
      </c>
      <c r="L1385" t="str">
        <f>TEXT(LeadsData[[#This Row],[Signup Date]],"mmm-yyyy")</f>
        <v>Mar-2024</v>
      </c>
      <c r="M1385">
        <f>IF(LeadsData[[#This Row],[Stage Number]]&gt;=2,1,0)</f>
        <v>1</v>
      </c>
      <c r="N1385" s="2">
        <f>IF(LeadsData[[#This Row],[Stage Number]]&gt;=3,1,0)</f>
        <v>1</v>
      </c>
      <c r="O1385" s="2">
        <f>IF(LeadsData[[#This Row],[Stage Number]]&gt;=4,1,0)</f>
        <v>0</v>
      </c>
    </row>
    <row r="1386" spans="1:15" x14ac:dyDescent="0.25">
      <c r="A1386" t="s">
        <v>1426</v>
      </c>
      <c r="B1386" s="1">
        <v>45587</v>
      </c>
      <c r="C1386" t="s">
        <v>17</v>
      </c>
      <c r="D1386" t="s">
        <v>18</v>
      </c>
      <c r="E1386" t="s">
        <v>21</v>
      </c>
      <c r="F1386" t="s">
        <v>19</v>
      </c>
      <c r="G1386" t="s">
        <v>15</v>
      </c>
      <c r="K1386" cm="1">
        <f t="array" ref="K1386">_xlfn.SWITCH(LeadsData[[#This Row],[Funnel Stage Reached]],"Lead",1,"MQL",2,"SQL",3,"Customer",4)</f>
        <v>1</v>
      </c>
      <c r="L1386" t="str">
        <f>TEXT(LeadsData[[#This Row],[Signup Date]],"mmm-yyyy")</f>
        <v>Oct-2024</v>
      </c>
      <c r="M1386">
        <f>IF(LeadsData[[#This Row],[Stage Number]]&gt;=2,1,0)</f>
        <v>0</v>
      </c>
      <c r="N1386" s="2">
        <f>IF(LeadsData[[#This Row],[Stage Number]]&gt;=3,1,0)</f>
        <v>0</v>
      </c>
      <c r="O1386" s="2">
        <f>IF(LeadsData[[#This Row],[Stage Number]]&gt;=4,1,0)</f>
        <v>0</v>
      </c>
    </row>
    <row r="1387" spans="1:15" x14ac:dyDescent="0.25">
      <c r="A1387" t="s">
        <v>1427</v>
      </c>
      <c r="B1387" s="1">
        <v>45556</v>
      </c>
      <c r="C1387" t="s">
        <v>36</v>
      </c>
      <c r="D1387" t="s">
        <v>50</v>
      </c>
      <c r="E1387" t="s">
        <v>13</v>
      </c>
      <c r="F1387" t="s">
        <v>19</v>
      </c>
      <c r="G1387" t="s">
        <v>29</v>
      </c>
      <c r="K1387" cm="1">
        <f t="array" ref="K1387">_xlfn.SWITCH(LeadsData[[#This Row],[Funnel Stage Reached]],"Lead",1,"MQL",2,"SQL",3,"Customer",4)</f>
        <v>3</v>
      </c>
      <c r="L1387" t="str">
        <f>TEXT(LeadsData[[#This Row],[Signup Date]],"mmm-yyyy")</f>
        <v>Sep-2024</v>
      </c>
      <c r="M1387">
        <f>IF(LeadsData[[#This Row],[Stage Number]]&gt;=2,1,0)</f>
        <v>1</v>
      </c>
      <c r="N1387" s="2">
        <f>IF(LeadsData[[#This Row],[Stage Number]]&gt;=3,1,0)</f>
        <v>1</v>
      </c>
      <c r="O1387" s="2">
        <f>IF(LeadsData[[#This Row],[Stage Number]]&gt;=4,1,0)</f>
        <v>0</v>
      </c>
    </row>
    <row r="1388" spans="1:15" x14ac:dyDescent="0.25">
      <c r="A1388" t="s">
        <v>1428</v>
      </c>
      <c r="B1388" s="1">
        <v>45372</v>
      </c>
      <c r="C1388" t="s">
        <v>46</v>
      </c>
      <c r="D1388" t="s">
        <v>47</v>
      </c>
      <c r="E1388" t="s">
        <v>13</v>
      </c>
      <c r="F1388" t="s">
        <v>19</v>
      </c>
      <c r="G1388" t="s">
        <v>15</v>
      </c>
      <c r="K1388" cm="1">
        <f t="array" ref="K1388">_xlfn.SWITCH(LeadsData[[#This Row],[Funnel Stage Reached]],"Lead",1,"MQL",2,"SQL",3,"Customer",4)</f>
        <v>1</v>
      </c>
      <c r="L1388" t="str">
        <f>TEXT(LeadsData[[#This Row],[Signup Date]],"mmm-yyyy")</f>
        <v>Mar-2024</v>
      </c>
      <c r="M1388">
        <f>IF(LeadsData[[#This Row],[Stage Number]]&gt;=2,1,0)</f>
        <v>0</v>
      </c>
      <c r="N1388" s="2">
        <f>IF(LeadsData[[#This Row],[Stage Number]]&gt;=3,1,0)</f>
        <v>0</v>
      </c>
      <c r="O1388" s="2">
        <f>IF(LeadsData[[#This Row],[Stage Number]]&gt;=4,1,0)</f>
        <v>0</v>
      </c>
    </row>
    <row r="1389" spans="1:15" x14ac:dyDescent="0.25">
      <c r="A1389" t="s">
        <v>1429</v>
      </c>
      <c r="B1389" s="1">
        <v>45584</v>
      </c>
      <c r="C1389" t="s">
        <v>11</v>
      </c>
      <c r="D1389" t="s">
        <v>68</v>
      </c>
      <c r="E1389" t="s">
        <v>48</v>
      </c>
      <c r="F1389" t="s">
        <v>19</v>
      </c>
      <c r="G1389" t="s">
        <v>15</v>
      </c>
      <c r="K1389" cm="1">
        <f t="array" ref="K1389">_xlfn.SWITCH(LeadsData[[#This Row],[Funnel Stage Reached]],"Lead",1,"MQL",2,"SQL",3,"Customer",4)</f>
        <v>1</v>
      </c>
      <c r="L1389" t="str">
        <f>TEXT(LeadsData[[#This Row],[Signup Date]],"mmm-yyyy")</f>
        <v>Oct-2024</v>
      </c>
      <c r="M1389">
        <f>IF(LeadsData[[#This Row],[Stage Number]]&gt;=2,1,0)</f>
        <v>0</v>
      </c>
      <c r="N1389" s="2">
        <f>IF(LeadsData[[#This Row],[Stage Number]]&gt;=3,1,0)</f>
        <v>0</v>
      </c>
      <c r="O1389" s="2">
        <f>IF(LeadsData[[#This Row],[Stage Number]]&gt;=4,1,0)</f>
        <v>0</v>
      </c>
    </row>
    <row r="1390" spans="1:15" x14ac:dyDescent="0.25">
      <c r="A1390" t="s">
        <v>1430</v>
      </c>
      <c r="B1390" s="1">
        <v>45431</v>
      </c>
      <c r="C1390" t="s">
        <v>46</v>
      </c>
      <c r="D1390" t="s">
        <v>47</v>
      </c>
      <c r="E1390" t="s">
        <v>13</v>
      </c>
      <c r="F1390" t="s">
        <v>22</v>
      </c>
      <c r="G1390" t="s">
        <v>15</v>
      </c>
      <c r="K1390" cm="1">
        <f t="array" ref="K1390">_xlfn.SWITCH(LeadsData[[#This Row],[Funnel Stage Reached]],"Lead",1,"MQL",2,"SQL",3,"Customer",4)</f>
        <v>1</v>
      </c>
      <c r="L1390" t="str">
        <f>TEXT(LeadsData[[#This Row],[Signup Date]],"mmm-yyyy")</f>
        <v>May-2024</v>
      </c>
      <c r="M1390">
        <f>IF(LeadsData[[#This Row],[Stage Number]]&gt;=2,1,0)</f>
        <v>0</v>
      </c>
      <c r="N1390" s="2">
        <f>IF(LeadsData[[#This Row],[Stage Number]]&gt;=3,1,0)</f>
        <v>0</v>
      </c>
      <c r="O1390" s="2">
        <f>IF(LeadsData[[#This Row],[Stage Number]]&gt;=4,1,0)</f>
        <v>0</v>
      </c>
    </row>
    <row r="1391" spans="1:15" x14ac:dyDescent="0.25">
      <c r="A1391" t="s">
        <v>1431</v>
      </c>
      <c r="B1391" s="1">
        <v>45302</v>
      </c>
      <c r="C1391" t="s">
        <v>36</v>
      </c>
      <c r="D1391" t="s">
        <v>37</v>
      </c>
      <c r="E1391" t="s">
        <v>21</v>
      </c>
      <c r="F1391" t="s">
        <v>22</v>
      </c>
      <c r="G1391" t="s">
        <v>42</v>
      </c>
      <c r="H1391">
        <v>22</v>
      </c>
      <c r="I1391" t="s">
        <v>43</v>
      </c>
      <c r="J1391">
        <v>659.72</v>
      </c>
      <c r="K1391" cm="1">
        <f t="array" ref="K1391">_xlfn.SWITCH(LeadsData[[#This Row],[Funnel Stage Reached]],"Lead",1,"MQL",2,"SQL",3,"Customer",4)</f>
        <v>4</v>
      </c>
      <c r="L1391" t="str">
        <f>TEXT(LeadsData[[#This Row],[Signup Date]],"mmm-yyyy")</f>
        <v>Jan-2024</v>
      </c>
      <c r="M1391">
        <f>IF(LeadsData[[#This Row],[Stage Number]]&gt;=2,1,0)</f>
        <v>1</v>
      </c>
      <c r="N1391" s="2">
        <f>IF(LeadsData[[#This Row],[Stage Number]]&gt;=3,1,0)</f>
        <v>1</v>
      </c>
      <c r="O1391" s="2">
        <f>IF(LeadsData[[#This Row],[Stage Number]]&gt;=4,1,0)</f>
        <v>1</v>
      </c>
    </row>
    <row r="1392" spans="1:15" x14ac:dyDescent="0.25">
      <c r="A1392" t="s">
        <v>1432</v>
      </c>
      <c r="B1392" s="1">
        <v>45638</v>
      </c>
      <c r="C1392" t="s">
        <v>46</v>
      </c>
      <c r="D1392" t="s">
        <v>47</v>
      </c>
      <c r="E1392" t="s">
        <v>13</v>
      </c>
      <c r="F1392" t="s">
        <v>14</v>
      </c>
      <c r="G1392" t="s">
        <v>23</v>
      </c>
      <c r="K1392" cm="1">
        <f t="array" ref="K1392">_xlfn.SWITCH(LeadsData[[#This Row],[Funnel Stage Reached]],"Lead",1,"MQL",2,"SQL",3,"Customer",4)</f>
        <v>2</v>
      </c>
      <c r="L1392" t="str">
        <f>TEXT(LeadsData[[#This Row],[Signup Date]],"mmm-yyyy")</f>
        <v>Dec-2024</v>
      </c>
      <c r="M1392">
        <f>IF(LeadsData[[#This Row],[Stage Number]]&gt;=2,1,0)</f>
        <v>1</v>
      </c>
      <c r="N1392" s="2">
        <f>IF(LeadsData[[#This Row],[Stage Number]]&gt;=3,1,0)</f>
        <v>0</v>
      </c>
      <c r="O1392" s="2">
        <f>IF(LeadsData[[#This Row],[Stage Number]]&gt;=4,1,0)</f>
        <v>0</v>
      </c>
    </row>
    <row r="1393" spans="1:15" x14ac:dyDescent="0.25">
      <c r="A1393" t="s">
        <v>1433</v>
      </c>
      <c r="B1393" s="1">
        <v>45328</v>
      </c>
      <c r="C1393" t="s">
        <v>11</v>
      </c>
      <c r="D1393" t="s">
        <v>68</v>
      </c>
      <c r="E1393" t="s">
        <v>13</v>
      </c>
      <c r="F1393" t="s">
        <v>22</v>
      </c>
      <c r="G1393" t="s">
        <v>15</v>
      </c>
      <c r="K1393" cm="1">
        <f t="array" ref="K1393">_xlfn.SWITCH(LeadsData[[#This Row],[Funnel Stage Reached]],"Lead",1,"MQL",2,"SQL",3,"Customer",4)</f>
        <v>1</v>
      </c>
      <c r="L1393" t="str">
        <f>TEXT(LeadsData[[#This Row],[Signup Date]],"mmm-yyyy")</f>
        <v>Feb-2024</v>
      </c>
      <c r="M1393">
        <f>IF(LeadsData[[#This Row],[Stage Number]]&gt;=2,1,0)</f>
        <v>0</v>
      </c>
      <c r="N1393" s="2">
        <f>IF(LeadsData[[#This Row],[Stage Number]]&gt;=3,1,0)</f>
        <v>0</v>
      </c>
      <c r="O1393" s="2">
        <f>IF(LeadsData[[#This Row],[Stage Number]]&gt;=4,1,0)</f>
        <v>0</v>
      </c>
    </row>
    <row r="1394" spans="1:15" x14ac:dyDescent="0.25">
      <c r="A1394" t="s">
        <v>1434</v>
      </c>
      <c r="B1394" s="1">
        <v>45315</v>
      </c>
      <c r="C1394" t="s">
        <v>17</v>
      </c>
      <c r="D1394" t="s">
        <v>18</v>
      </c>
      <c r="E1394" t="s">
        <v>21</v>
      </c>
      <c r="F1394" t="s">
        <v>22</v>
      </c>
      <c r="G1394" t="s">
        <v>15</v>
      </c>
      <c r="K1394" cm="1">
        <f t="array" ref="K1394">_xlfn.SWITCH(LeadsData[[#This Row],[Funnel Stage Reached]],"Lead",1,"MQL",2,"SQL",3,"Customer",4)</f>
        <v>1</v>
      </c>
      <c r="L1394" t="str">
        <f>TEXT(LeadsData[[#This Row],[Signup Date]],"mmm-yyyy")</f>
        <v>Jan-2024</v>
      </c>
      <c r="M1394">
        <f>IF(LeadsData[[#This Row],[Stage Number]]&gt;=2,1,0)</f>
        <v>0</v>
      </c>
      <c r="N1394" s="2">
        <f>IF(LeadsData[[#This Row],[Stage Number]]&gt;=3,1,0)</f>
        <v>0</v>
      </c>
      <c r="O1394" s="2">
        <f>IF(LeadsData[[#This Row],[Stage Number]]&gt;=4,1,0)</f>
        <v>0</v>
      </c>
    </row>
    <row r="1395" spans="1:15" x14ac:dyDescent="0.25">
      <c r="A1395" t="s">
        <v>1435</v>
      </c>
      <c r="B1395" s="1">
        <v>45539</v>
      </c>
      <c r="C1395" t="s">
        <v>36</v>
      </c>
      <c r="D1395" t="s">
        <v>37</v>
      </c>
      <c r="E1395" t="s">
        <v>13</v>
      </c>
      <c r="F1395" t="s">
        <v>22</v>
      </c>
      <c r="G1395" t="s">
        <v>29</v>
      </c>
      <c r="K1395" cm="1">
        <f t="array" ref="K1395">_xlfn.SWITCH(LeadsData[[#This Row],[Funnel Stage Reached]],"Lead",1,"MQL",2,"SQL",3,"Customer",4)</f>
        <v>3</v>
      </c>
      <c r="L1395" t="str">
        <f>TEXT(LeadsData[[#This Row],[Signup Date]],"mmm-yyyy")</f>
        <v>Sep-2024</v>
      </c>
      <c r="M1395">
        <f>IF(LeadsData[[#This Row],[Stage Number]]&gt;=2,1,0)</f>
        <v>1</v>
      </c>
      <c r="N1395" s="2">
        <f>IF(LeadsData[[#This Row],[Stage Number]]&gt;=3,1,0)</f>
        <v>1</v>
      </c>
      <c r="O1395" s="2">
        <f>IF(LeadsData[[#This Row],[Stage Number]]&gt;=4,1,0)</f>
        <v>0</v>
      </c>
    </row>
    <row r="1396" spans="1:15" x14ac:dyDescent="0.25">
      <c r="A1396" t="s">
        <v>1436</v>
      </c>
      <c r="B1396" s="1">
        <v>45537</v>
      </c>
      <c r="C1396" t="s">
        <v>31</v>
      </c>
      <c r="D1396" t="s">
        <v>34</v>
      </c>
      <c r="E1396" t="s">
        <v>13</v>
      </c>
      <c r="F1396" t="s">
        <v>22</v>
      </c>
      <c r="G1396" t="s">
        <v>23</v>
      </c>
      <c r="K1396" cm="1">
        <f t="array" ref="K1396">_xlfn.SWITCH(LeadsData[[#This Row],[Funnel Stage Reached]],"Lead",1,"MQL",2,"SQL",3,"Customer",4)</f>
        <v>2</v>
      </c>
      <c r="L1396" t="str">
        <f>TEXT(LeadsData[[#This Row],[Signup Date]],"mmm-yyyy")</f>
        <v>Sep-2024</v>
      </c>
      <c r="M1396">
        <f>IF(LeadsData[[#This Row],[Stage Number]]&gt;=2,1,0)</f>
        <v>1</v>
      </c>
      <c r="N1396" s="2">
        <f>IF(LeadsData[[#This Row],[Stage Number]]&gt;=3,1,0)</f>
        <v>0</v>
      </c>
      <c r="O1396" s="2">
        <f>IF(LeadsData[[#This Row],[Stage Number]]&gt;=4,1,0)</f>
        <v>0</v>
      </c>
    </row>
    <row r="1397" spans="1:15" x14ac:dyDescent="0.25">
      <c r="A1397" t="s">
        <v>1437</v>
      </c>
      <c r="B1397" s="1">
        <v>45302</v>
      </c>
      <c r="C1397" t="s">
        <v>25</v>
      </c>
      <c r="D1397" t="s">
        <v>26</v>
      </c>
      <c r="E1397" t="s">
        <v>13</v>
      </c>
      <c r="F1397" t="s">
        <v>19</v>
      </c>
      <c r="G1397" t="s">
        <v>23</v>
      </c>
      <c r="K1397" cm="1">
        <f t="array" ref="K1397">_xlfn.SWITCH(LeadsData[[#This Row],[Funnel Stage Reached]],"Lead",1,"MQL",2,"SQL",3,"Customer",4)</f>
        <v>2</v>
      </c>
      <c r="L1397" t="str">
        <f>TEXT(LeadsData[[#This Row],[Signup Date]],"mmm-yyyy")</f>
        <v>Jan-2024</v>
      </c>
      <c r="M1397">
        <f>IF(LeadsData[[#This Row],[Stage Number]]&gt;=2,1,0)</f>
        <v>1</v>
      </c>
      <c r="N1397" s="2">
        <f>IF(LeadsData[[#This Row],[Stage Number]]&gt;=3,1,0)</f>
        <v>0</v>
      </c>
      <c r="O1397" s="2">
        <f>IF(LeadsData[[#This Row],[Stage Number]]&gt;=4,1,0)</f>
        <v>0</v>
      </c>
    </row>
    <row r="1398" spans="1:15" x14ac:dyDescent="0.25">
      <c r="A1398" t="s">
        <v>1438</v>
      </c>
      <c r="B1398" s="1">
        <v>45572</v>
      </c>
      <c r="C1398" t="s">
        <v>11</v>
      </c>
      <c r="D1398" t="s">
        <v>12</v>
      </c>
      <c r="E1398" t="s">
        <v>13</v>
      </c>
      <c r="F1398" t="s">
        <v>19</v>
      </c>
      <c r="G1398" t="s">
        <v>15</v>
      </c>
      <c r="K1398" cm="1">
        <f t="array" ref="K1398">_xlfn.SWITCH(LeadsData[[#This Row],[Funnel Stage Reached]],"Lead",1,"MQL",2,"SQL",3,"Customer",4)</f>
        <v>1</v>
      </c>
      <c r="L1398" t="str">
        <f>TEXT(LeadsData[[#This Row],[Signup Date]],"mmm-yyyy")</f>
        <v>Oct-2024</v>
      </c>
      <c r="M1398">
        <f>IF(LeadsData[[#This Row],[Stage Number]]&gt;=2,1,0)</f>
        <v>0</v>
      </c>
      <c r="N1398" s="2">
        <f>IF(LeadsData[[#This Row],[Stage Number]]&gt;=3,1,0)</f>
        <v>0</v>
      </c>
      <c r="O1398" s="2">
        <f>IF(LeadsData[[#This Row],[Stage Number]]&gt;=4,1,0)</f>
        <v>0</v>
      </c>
    </row>
    <row r="1399" spans="1:15" x14ac:dyDescent="0.25">
      <c r="A1399" t="s">
        <v>1439</v>
      </c>
      <c r="B1399" s="1">
        <v>45405</v>
      </c>
      <c r="C1399" t="s">
        <v>46</v>
      </c>
      <c r="D1399" t="s">
        <v>47</v>
      </c>
      <c r="E1399" t="s">
        <v>13</v>
      </c>
      <c r="F1399" t="s">
        <v>22</v>
      </c>
      <c r="G1399" t="s">
        <v>15</v>
      </c>
      <c r="K1399" cm="1">
        <f t="array" ref="K1399">_xlfn.SWITCH(LeadsData[[#This Row],[Funnel Stage Reached]],"Lead",1,"MQL",2,"SQL",3,"Customer",4)</f>
        <v>1</v>
      </c>
      <c r="L1399" t="str">
        <f>TEXT(LeadsData[[#This Row],[Signup Date]],"mmm-yyyy")</f>
        <v>Apr-2024</v>
      </c>
      <c r="M1399">
        <f>IF(LeadsData[[#This Row],[Stage Number]]&gt;=2,1,0)</f>
        <v>0</v>
      </c>
      <c r="N1399" s="2">
        <f>IF(LeadsData[[#This Row],[Stage Number]]&gt;=3,1,0)</f>
        <v>0</v>
      </c>
      <c r="O1399" s="2">
        <f>IF(LeadsData[[#This Row],[Stage Number]]&gt;=4,1,0)</f>
        <v>0</v>
      </c>
    </row>
    <row r="1400" spans="1:15" x14ac:dyDescent="0.25">
      <c r="A1400" t="s">
        <v>1440</v>
      </c>
      <c r="B1400" s="1">
        <v>45346</v>
      </c>
      <c r="C1400" t="s">
        <v>36</v>
      </c>
      <c r="D1400" t="s">
        <v>37</v>
      </c>
      <c r="E1400" t="s">
        <v>13</v>
      </c>
      <c r="F1400" t="s">
        <v>28</v>
      </c>
      <c r="G1400" t="s">
        <v>29</v>
      </c>
      <c r="K1400" cm="1">
        <f t="array" ref="K1400">_xlfn.SWITCH(LeadsData[[#This Row],[Funnel Stage Reached]],"Lead",1,"MQL",2,"SQL",3,"Customer",4)</f>
        <v>3</v>
      </c>
      <c r="L1400" t="str">
        <f>TEXT(LeadsData[[#This Row],[Signup Date]],"mmm-yyyy")</f>
        <v>Feb-2024</v>
      </c>
      <c r="M1400">
        <f>IF(LeadsData[[#This Row],[Stage Number]]&gt;=2,1,0)</f>
        <v>1</v>
      </c>
      <c r="N1400" s="2">
        <f>IF(LeadsData[[#This Row],[Stage Number]]&gt;=3,1,0)</f>
        <v>1</v>
      </c>
      <c r="O1400" s="2">
        <f>IF(LeadsData[[#This Row],[Stage Number]]&gt;=4,1,0)</f>
        <v>0</v>
      </c>
    </row>
    <row r="1401" spans="1:15" x14ac:dyDescent="0.25">
      <c r="A1401" t="s">
        <v>1441</v>
      </c>
      <c r="B1401" s="1">
        <v>45415</v>
      </c>
      <c r="C1401" t="s">
        <v>17</v>
      </c>
      <c r="D1401" t="s">
        <v>18</v>
      </c>
      <c r="E1401" t="s">
        <v>21</v>
      </c>
      <c r="F1401" t="s">
        <v>19</v>
      </c>
      <c r="G1401" t="s">
        <v>15</v>
      </c>
      <c r="K1401" cm="1">
        <f t="array" ref="K1401">_xlfn.SWITCH(LeadsData[[#This Row],[Funnel Stage Reached]],"Lead",1,"MQL",2,"SQL",3,"Customer",4)</f>
        <v>1</v>
      </c>
      <c r="L1401" t="str">
        <f>TEXT(LeadsData[[#This Row],[Signup Date]],"mmm-yyyy")</f>
        <v>May-2024</v>
      </c>
      <c r="M1401">
        <f>IF(LeadsData[[#This Row],[Stage Number]]&gt;=2,1,0)</f>
        <v>0</v>
      </c>
      <c r="N1401" s="2">
        <f>IF(LeadsData[[#This Row],[Stage Number]]&gt;=3,1,0)</f>
        <v>0</v>
      </c>
      <c r="O1401" s="2">
        <f>IF(LeadsData[[#This Row],[Stage Number]]&gt;=4,1,0)</f>
        <v>0</v>
      </c>
    </row>
    <row r="1402" spans="1:15" x14ac:dyDescent="0.25">
      <c r="A1402" t="s">
        <v>1442</v>
      </c>
      <c r="B1402" s="1">
        <v>45355</v>
      </c>
      <c r="C1402" t="s">
        <v>31</v>
      </c>
      <c r="D1402" t="s">
        <v>34</v>
      </c>
      <c r="E1402" t="s">
        <v>21</v>
      </c>
      <c r="F1402" t="s">
        <v>22</v>
      </c>
      <c r="G1402" t="s">
        <v>42</v>
      </c>
      <c r="H1402">
        <v>31</v>
      </c>
      <c r="I1402" t="s">
        <v>43</v>
      </c>
      <c r="J1402">
        <v>938.11</v>
      </c>
      <c r="K1402" cm="1">
        <f t="array" ref="K1402">_xlfn.SWITCH(LeadsData[[#This Row],[Funnel Stage Reached]],"Lead",1,"MQL",2,"SQL",3,"Customer",4)</f>
        <v>4</v>
      </c>
      <c r="L1402" t="str">
        <f>TEXT(LeadsData[[#This Row],[Signup Date]],"mmm-yyyy")</f>
        <v>Mar-2024</v>
      </c>
      <c r="M1402">
        <f>IF(LeadsData[[#This Row],[Stage Number]]&gt;=2,1,0)</f>
        <v>1</v>
      </c>
      <c r="N1402" s="2">
        <f>IF(LeadsData[[#This Row],[Stage Number]]&gt;=3,1,0)</f>
        <v>1</v>
      </c>
      <c r="O1402" s="2">
        <f>IF(LeadsData[[#This Row],[Stage Number]]&gt;=4,1,0)</f>
        <v>1</v>
      </c>
    </row>
    <row r="1403" spans="1:15" x14ac:dyDescent="0.25">
      <c r="A1403" t="s">
        <v>1443</v>
      </c>
      <c r="B1403" s="1">
        <v>45603</v>
      </c>
      <c r="C1403" t="s">
        <v>36</v>
      </c>
      <c r="D1403" t="s">
        <v>50</v>
      </c>
      <c r="E1403" t="s">
        <v>21</v>
      </c>
      <c r="F1403" t="s">
        <v>22</v>
      </c>
      <c r="G1403" t="s">
        <v>29</v>
      </c>
      <c r="K1403" cm="1">
        <f t="array" ref="K1403">_xlfn.SWITCH(LeadsData[[#This Row],[Funnel Stage Reached]],"Lead",1,"MQL",2,"SQL",3,"Customer",4)</f>
        <v>3</v>
      </c>
      <c r="L1403" t="str">
        <f>TEXT(LeadsData[[#This Row],[Signup Date]],"mmm-yyyy")</f>
        <v>Nov-2024</v>
      </c>
      <c r="M1403">
        <f>IF(LeadsData[[#This Row],[Stage Number]]&gt;=2,1,0)</f>
        <v>1</v>
      </c>
      <c r="N1403" s="2">
        <f>IF(LeadsData[[#This Row],[Stage Number]]&gt;=3,1,0)</f>
        <v>1</v>
      </c>
      <c r="O1403" s="2">
        <f>IF(LeadsData[[#This Row],[Stage Number]]&gt;=4,1,0)</f>
        <v>0</v>
      </c>
    </row>
    <row r="1404" spans="1:15" x14ac:dyDescent="0.25">
      <c r="A1404" t="s">
        <v>1444</v>
      </c>
      <c r="B1404" s="1">
        <v>45603</v>
      </c>
      <c r="C1404" t="s">
        <v>31</v>
      </c>
      <c r="D1404" t="s">
        <v>34</v>
      </c>
      <c r="E1404" t="s">
        <v>21</v>
      </c>
      <c r="F1404" t="s">
        <v>19</v>
      </c>
      <c r="G1404" t="s">
        <v>42</v>
      </c>
      <c r="H1404">
        <v>28</v>
      </c>
      <c r="I1404" t="s">
        <v>43</v>
      </c>
      <c r="J1404">
        <v>653.84</v>
      </c>
      <c r="K1404" cm="1">
        <f t="array" ref="K1404">_xlfn.SWITCH(LeadsData[[#This Row],[Funnel Stage Reached]],"Lead",1,"MQL",2,"SQL",3,"Customer",4)</f>
        <v>4</v>
      </c>
      <c r="L1404" t="str">
        <f>TEXT(LeadsData[[#This Row],[Signup Date]],"mmm-yyyy")</f>
        <v>Nov-2024</v>
      </c>
      <c r="M1404">
        <f>IF(LeadsData[[#This Row],[Stage Number]]&gt;=2,1,0)</f>
        <v>1</v>
      </c>
      <c r="N1404" s="2">
        <f>IF(LeadsData[[#This Row],[Stage Number]]&gt;=3,1,0)</f>
        <v>1</v>
      </c>
      <c r="O1404" s="2">
        <f>IF(LeadsData[[#This Row],[Stage Number]]&gt;=4,1,0)</f>
        <v>1</v>
      </c>
    </row>
    <row r="1405" spans="1:15" x14ac:dyDescent="0.25">
      <c r="A1405" t="s">
        <v>1445</v>
      </c>
      <c r="B1405" s="1">
        <v>45611</v>
      </c>
      <c r="C1405" t="s">
        <v>31</v>
      </c>
      <c r="D1405" t="s">
        <v>32</v>
      </c>
      <c r="E1405" t="s">
        <v>21</v>
      </c>
      <c r="F1405" t="s">
        <v>14</v>
      </c>
      <c r="G1405" t="s">
        <v>15</v>
      </c>
      <c r="K1405" cm="1">
        <f t="array" ref="K1405">_xlfn.SWITCH(LeadsData[[#This Row],[Funnel Stage Reached]],"Lead",1,"MQL",2,"SQL",3,"Customer",4)</f>
        <v>1</v>
      </c>
      <c r="L1405" t="str">
        <f>TEXT(LeadsData[[#This Row],[Signup Date]],"mmm-yyyy")</f>
        <v>Nov-2024</v>
      </c>
      <c r="M1405">
        <f>IF(LeadsData[[#This Row],[Stage Number]]&gt;=2,1,0)</f>
        <v>0</v>
      </c>
      <c r="N1405" s="2">
        <f>IF(LeadsData[[#This Row],[Stage Number]]&gt;=3,1,0)</f>
        <v>0</v>
      </c>
      <c r="O1405" s="2">
        <f>IF(LeadsData[[#This Row],[Stage Number]]&gt;=4,1,0)</f>
        <v>0</v>
      </c>
    </row>
    <row r="1406" spans="1:15" x14ac:dyDescent="0.25">
      <c r="A1406" t="s">
        <v>1446</v>
      </c>
      <c r="B1406" s="1">
        <v>45637</v>
      </c>
      <c r="C1406" t="s">
        <v>17</v>
      </c>
      <c r="D1406" t="s">
        <v>18</v>
      </c>
      <c r="E1406" t="s">
        <v>21</v>
      </c>
      <c r="F1406" t="s">
        <v>14</v>
      </c>
      <c r="G1406" t="s">
        <v>15</v>
      </c>
      <c r="K1406" cm="1">
        <f t="array" ref="K1406">_xlfn.SWITCH(LeadsData[[#This Row],[Funnel Stage Reached]],"Lead",1,"MQL",2,"SQL",3,"Customer",4)</f>
        <v>1</v>
      </c>
      <c r="L1406" t="str">
        <f>TEXT(LeadsData[[#This Row],[Signup Date]],"mmm-yyyy")</f>
        <v>Dec-2024</v>
      </c>
      <c r="M1406">
        <f>IF(LeadsData[[#This Row],[Stage Number]]&gt;=2,1,0)</f>
        <v>0</v>
      </c>
      <c r="N1406" s="2">
        <f>IF(LeadsData[[#This Row],[Stage Number]]&gt;=3,1,0)</f>
        <v>0</v>
      </c>
      <c r="O1406" s="2">
        <f>IF(LeadsData[[#This Row],[Stage Number]]&gt;=4,1,0)</f>
        <v>0</v>
      </c>
    </row>
    <row r="1407" spans="1:15" x14ac:dyDescent="0.25">
      <c r="A1407" t="s">
        <v>1447</v>
      </c>
      <c r="B1407" s="1">
        <v>45517</v>
      </c>
      <c r="C1407" t="s">
        <v>11</v>
      </c>
      <c r="D1407" t="s">
        <v>79</v>
      </c>
      <c r="E1407" t="s">
        <v>13</v>
      </c>
      <c r="F1407" t="s">
        <v>22</v>
      </c>
      <c r="G1407" t="s">
        <v>15</v>
      </c>
      <c r="K1407" cm="1">
        <f t="array" ref="K1407">_xlfn.SWITCH(LeadsData[[#This Row],[Funnel Stage Reached]],"Lead",1,"MQL",2,"SQL",3,"Customer",4)</f>
        <v>1</v>
      </c>
      <c r="L1407" t="str">
        <f>TEXT(LeadsData[[#This Row],[Signup Date]],"mmm-yyyy")</f>
        <v>Aug-2024</v>
      </c>
      <c r="M1407">
        <f>IF(LeadsData[[#This Row],[Stage Number]]&gt;=2,1,0)</f>
        <v>0</v>
      </c>
      <c r="N1407" s="2">
        <f>IF(LeadsData[[#This Row],[Stage Number]]&gt;=3,1,0)</f>
        <v>0</v>
      </c>
      <c r="O1407" s="2">
        <f>IF(LeadsData[[#This Row],[Stage Number]]&gt;=4,1,0)</f>
        <v>0</v>
      </c>
    </row>
    <row r="1408" spans="1:15" x14ac:dyDescent="0.25">
      <c r="A1408" t="s">
        <v>1448</v>
      </c>
      <c r="B1408" s="1">
        <v>45313</v>
      </c>
      <c r="C1408" t="s">
        <v>17</v>
      </c>
      <c r="D1408" t="s">
        <v>53</v>
      </c>
      <c r="E1408" t="s">
        <v>13</v>
      </c>
      <c r="F1408" t="s">
        <v>22</v>
      </c>
      <c r="G1408" t="s">
        <v>23</v>
      </c>
      <c r="K1408" cm="1">
        <f t="array" ref="K1408">_xlfn.SWITCH(LeadsData[[#This Row],[Funnel Stage Reached]],"Lead",1,"MQL",2,"SQL",3,"Customer",4)</f>
        <v>2</v>
      </c>
      <c r="L1408" t="str">
        <f>TEXT(LeadsData[[#This Row],[Signup Date]],"mmm-yyyy")</f>
        <v>Jan-2024</v>
      </c>
      <c r="M1408">
        <f>IF(LeadsData[[#This Row],[Stage Number]]&gt;=2,1,0)</f>
        <v>1</v>
      </c>
      <c r="N1408" s="2">
        <f>IF(LeadsData[[#This Row],[Stage Number]]&gt;=3,1,0)</f>
        <v>0</v>
      </c>
      <c r="O1408" s="2">
        <f>IF(LeadsData[[#This Row],[Stage Number]]&gt;=4,1,0)</f>
        <v>0</v>
      </c>
    </row>
    <row r="1409" spans="1:15" x14ac:dyDescent="0.25">
      <c r="A1409" t="s">
        <v>1449</v>
      </c>
      <c r="B1409" s="1">
        <v>45611</v>
      </c>
      <c r="C1409" t="s">
        <v>11</v>
      </c>
      <c r="D1409" t="s">
        <v>12</v>
      </c>
      <c r="E1409" t="s">
        <v>21</v>
      </c>
      <c r="F1409" t="s">
        <v>14</v>
      </c>
      <c r="G1409" t="s">
        <v>15</v>
      </c>
      <c r="K1409" cm="1">
        <f t="array" ref="K1409">_xlfn.SWITCH(LeadsData[[#This Row],[Funnel Stage Reached]],"Lead",1,"MQL",2,"SQL",3,"Customer",4)</f>
        <v>1</v>
      </c>
      <c r="L1409" t="str">
        <f>TEXT(LeadsData[[#This Row],[Signup Date]],"mmm-yyyy")</f>
        <v>Nov-2024</v>
      </c>
      <c r="M1409">
        <f>IF(LeadsData[[#This Row],[Stage Number]]&gt;=2,1,0)</f>
        <v>0</v>
      </c>
      <c r="N1409" s="2">
        <f>IF(LeadsData[[#This Row],[Stage Number]]&gt;=3,1,0)</f>
        <v>0</v>
      </c>
      <c r="O1409" s="2">
        <f>IF(LeadsData[[#This Row],[Stage Number]]&gt;=4,1,0)</f>
        <v>0</v>
      </c>
    </row>
    <row r="1410" spans="1:15" x14ac:dyDescent="0.25">
      <c r="A1410" t="s">
        <v>1450</v>
      </c>
      <c r="B1410" s="1">
        <v>45611</v>
      </c>
      <c r="C1410" t="s">
        <v>31</v>
      </c>
      <c r="D1410" t="s">
        <v>34</v>
      </c>
      <c r="E1410" t="s">
        <v>48</v>
      </c>
      <c r="F1410" t="s">
        <v>28</v>
      </c>
      <c r="G1410" t="s">
        <v>15</v>
      </c>
      <c r="K1410" cm="1">
        <f t="array" ref="K1410">_xlfn.SWITCH(LeadsData[[#This Row],[Funnel Stage Reached]],"Lead",1,"MQL",2,"SQL",3,"Customer",4)</f>
        <v>1</v>
      </c>
      <c r="L1410" t="str">
        <f>TEXT(LeadsData[[#This Row],[Signup Date]],"mmm-yyyy")</f>
        <v>Nov-2024</v>
      </c>
      <c r="M1410">
        <f>IF(LeadsData[[#This Row],[Stage Number]]&gt;=2,1,0)</f>
        <v>0</v>
      </c>
      <c r="N1410" s="2">
        <f>IF(LeadsData[[#This Row],[Stage Number]]&gt;=3,1,0)</f>
        <v>0</v>
      </c>
      <c r="O1410" s="2">
        <f>IF(LeadsData[[#This Row],[Stage Number]]&gt;=4,1,0)</f>
        <v>0</v>
      </c>
    </row>
    <row r="1411" spans="1:15" x14ac:dyDescent="0.25">
      <c r="A1411" t="s">
        <v>1451</v>
      </c>
      <c r="B1411" s="1">
        <v>45478</v>
      </c>
      <c r="C1411" t="s">
        <v>31</v>
      </c>
      <c r="D1411" t="s">
        <v>34</v>
      </c>
      <c r="E1411" t="s">
        <v>13</v>
      </c>
      <c r="F1411" t="s">
        <v>19</v>
      </c>
      <c r="G1411" t="s">
        <v>15</v>
      </c>
      <c r="K1411" cm="1">
        <f t="array" ref="K1411">_xlfn.SWITCH(LeadsData[[#This Row],[Funnel Stage Reached]],"Lead",1,"MQL",2,"SQL",3,"Customer",4)</f>
        <v>1</v>
      </c>
      <c r="L1411" t="str">
        <f>TEXT(LeadsData[[#This Row],[Signup Date]],"mmm-yyyy")</f>
        <v>Jul-2024</v>
      </c>
      <c r="M1411">
        <f>IF(LeadsData[[#This Row],[Stage Number]]&gt;=2,1,0)</f>
        <v>0</v>
      </c>
      <c r="N1411" s="2">
        <f>IF(LeadsData[[#This Row],[Stage Number]]&gt;=3,1,0)</f>
        <v>0</v>
      </c>
      <c r="O1411" s="2">
        <f>IF(LeadsData[[#This Row],[Stage Number]]&gt;=4,1,0)</f>
        <v>0</v>
      </c>
    </row>
    <row r="1412" spans="1:15" x14ac:dyDescent="0.25">
      <c r="A1412" t="s">
        <v>1452</v>
      </c>
      <c r="B1412" s="1">
        <v>45462</v>
      </c>
      <c r="C1412" t="s">
        <v>36</v>
      </c>
      <c r="D1412" t="s">
        <v>37</v>
      </c>
      <c r="E1412" t="s">
        <v>21</v>
      </c>
      <c r="F1412" t="s">
        <v>14</v>
      </c>
      <c r="G1412" t="s">
        <v>42</v>
      </c>
      <c r="H1412">
        <v>75</v>
      </c>
      <c r="I1412" t="s">
        <v>43</v>
      </c>
      <c r="J1412">
        <v>1087.6500000000001</v>
      </c>
      <c r="K1412" cm="1">
        <f t="array" ref="K1412">_xlfn.SWITCH(LeadsData[[#This Row],[Funnel Stage Reached]],"Lead",1,"MQL",2,"SQL",3,"Customer",4)</f>
        <v>4</v>
      </c>
      <c r="L1412" t="str">
        <f>TEXT(LeadsData[[#This Row],[Signup Date]],"mmm-yyyy")</f>
        <v>Jun-2024</v>
      </c>
      <c r="M1412">
        <f>IF(LeadsData[[#This Row],[Stage Number]]&gt;=2,1,0)</f>
        <v>1</v>
      </c>
      <c r="N1412" s="2">
        <f>IF(LeadsData[[#This Row],[Stage Number]]&gt;=3,1,0)</f>
        <v>1</v>
      </c>
      <c r="O1412" s="2">
        <f>IF(LeadsData[[#This Row],[Stage Number]]&gt;=4,1,0)</f>
        <v>1</v>
      </c>
    </row>
    <row r="1413" spans="1:15" x14ac:dyDescent="0.25">
      <c r="A1413" t="s">
        <v>1453</v>
      </c>
      <c r="B1413" s="1">
        <v>45391</v>
      </c>
      <c r="C1413" t="s">
        <v>36</v>
      </c>
      <c r="D1413" t="s">
        <v>50</v>
      </c>
      <c r="E1413" t="s">
        <v>13</v>
      </c>
      <c r="F1413" t="s">
        <v>22</v>
      </c>
      <c r="G1413" t="s">
        <v>29</v>
      </c>
      <c r="K1413" cm="1">
        <f t="array" ref="K1413">_xlfn.SWITCH(LeadsData[[#This Row],[Funnel Stage Reached]],"Lead",1,"MQL",2,"SQL",3,"Customer",4)</f>
        <v>3</v>
      </c>
      <c r="L1413" t="str">
        <f>TEXT(LeadsData[[#This Row],[Signup Date]],"mmm-yyyy")</f>
        <v>Apr-2024</v>
      </c>
      <c r="M1413">
        <f>IF(LeadsData[[#This Row],[Stage Number]]&gt;=2,1,0)</f>
        <v>1</v>
      </c>
      <c r="N1413" s="2">
        <f>IF(LeadsData[[#This Row],[Stage Number]]&gt;=3,1,0)</f>
        <v>1</v>
      </c>
      <c r="O1413" s="2">
        <f>IF(LeadsData[[#This Row],[Stage Number]]&gt;=4,1,0)</f>
        <v>0</v>
      </c>
    </row>
    <row r="1414" spans="1:15" x14ac:dyDescent="0.25">
      <c r="A1414" t="s">
        <v>1454</v>
      </c>
      <c r="B1414" s="1">
        <v>45613</v>
      </c>
      <c r="C1414" t="s">
        <v>11</v>
      </c>
      <c r="D1414" t="s">
        <v>79</v>
      </c>
      <c r="E1414" t="s">
        <v>13</v>
      </c>
      <c r="F1414" t="s">
        <v>22</v>
      </c>
      <c r="G1414" t="s">
        <v>23</v>
      </c>
      <c r="K1414" cm="1">
        <f t="array" ref="K1414">_xlfn.SWITCH(LeadsData[[#This Row],[Funnel Stage Reached]],"Lead",1,"MQL",2,"SQL",3,"Customer",4)</f>
        <v>2</v>
      </c>
      <c r="L1414" t="str">
        <f>TEXT(LeadsData[[#This Row],[Signup Date]],"mmm-yyyy")</f>
        <v>Nov-2024</v>
      </c>
      <c r="M1414">
        <f>IF(LeadsData[[#This Row],[Stage Number]]&gt;=2,1,0)</f>
        <v>1</v>
      </c>
      <c r="N1414" s="2">
        <f>IF(LeadsData[[#This Row],[Stage Number]]&gt;=3,1,0)</f>
        <v>0</v>
      </c>
      <c r="O1414" s="2">
        <f>IF(LeadsData[[#This Row],[Stage Number]]&gt;=4,1,0)</f>
        <v>0</v>
      </c>
    </row>
    <row r="1415" spans="1:15" x14ac:dyDescent="0.25">
      <c r="A1415" t="s">
        <v>1455</v>
      </c>
      <c r="B1415" s="1">
        <v>45463</v>
      </c>
      <c r="C1415" t="s">
        <v>25</v>
      </c>
      <c r="D1415" t="s">
        <v>26</v>
      </c>
      <c r="E1415" t="s">
        <v>13</v>
      </c>
      <c r="F1415" t="s">
        <v>19</v>
      </c>
      <c r="G1415" t="s">
        <v>15</v>
      </c>
      <c r="K1415" cm="1">
        <f t="array" ref="K1415">_xlfn.SWITCH(LeadsData[[#This Row],[Funnel Stage Reached]],"Lead",1,"MQL",2,"SQL",3,"Customer",4)</f>
        <v>1</v>
      </c>
      <c r="L1415" t="str">
        <f>TEXT(LeadsData[[#This Row],[Signup Date]],"mmm-yyyy")</f>
        <v>Jun-2024</v>
      </c>
      <c r="M1415">
        <f>IF(LeadsData[[#This Row],[Stage Number]]&gt;=2,1,0)</f>
        <v>0</v>
      </c>
      <c r="N1415" s="2">
        <f>IF(LeadsData[[#This Row],[Stage Number]]&gt;=3,1,0)</f>
        <v>0</v>
      </c>
      <c r="O1415" s="2">
        <f>IF(LeadsData[[#This Row],[Stage Number]]&gt;=4,1,0)</f>
        <v>0</v>
      </c>
    </row>
    <row r="1416" spans="1:15" x14ac:dyDescent="0.25">
      <c r="A1416" t="s">
        <v>1456</v>
      </c>
      <c r="B1416" s="1">
        <v>45569</v>
      </c>
      <c r="C1416" t="s">
        <v>31</v>
      </c>
      <c r="D1416" t="s">
        <v>34</v>
      </c>
      <c r="E1416" t="s">
        <v>13</v>
      </c>
      <c r="F1416" t="s">
        <v>22</v>
      </c>
      <c r="G1416" t="s">
        <v>15</v>
      </c>
      <c r="K1416" cm="1">
        <f t="array" ref="K1416">_xlfn.SWITCH(LeadsData[[#This Row],[Funnel Stage Reached]],"Lead",1,"MQL",2,"SQL",3,"Customer",4)</f>
        <v>1</v>
      </c>
      <c r="L1416" t="str">
        <f>TEXT(LeadsData[[#This Row],[Signup Date]],"mmm-yyyy")</f>
        <v>Oct-2024</v>
      </c>
      <c r="M1416">
        <f>IF(LeadsData[[#This Row],[Stage Number]]&gt;=2,1,0)</f>
        <v>0</v>
      </c>
      <c r="N1416" s="2">
        <f>IF(LeadsData[[#This Row],[Stage Number]]&gt;=3,1,0)</f>
        <v>0</v>
      </c>
      <c r="O1416" s="2">
        <f>IF(LeadsData[[#This Row],[Stage Number]]&gt;=4,1,0)</f>
        <v>0</v>
      </c>
    </row>
    <row r="1417" spans="1:15" x14ac:dyDescent="0.25">
      <c r="A1417" t="s">
        <v>1457</v>
      </c>
      <c r="B1417" s="1">
        <v>45307</v>
      </c>
      <c r="C1417" t="s">
        <v>17</v>
      </c>
      <c r="D1417" t="s">
        <v>53</v>
      </c>
      <c r="E1417" t="s">
        <v>21</v>
      </c>
      <c r="F1417" t="s">
        <v>19</v>
      </c>
      <c r="G1417" t="s">
        <v>15</v>
      </c>
      <c r="K1417" cm="1">
        <f t="array" ref="K1417">_xlfn.SWITCH(LeadsData[[#This Row],[Funnel Stage Reached]],"Lead",1,"MQL",2,"SQL",3,"Customer",4)</f>
        <v>1</v>
      </c>
      <c r="L1417" t="str">
        <f>TEXT(LeadsData[[#This Row],[Signup Date]],"mmm-yyyy")</f>
        <v>Jan-2024</v>
      </c>
      <c r="M1417">
        <f>IF(LeadsData[[#This Row],[Stage Number]]&gt;=2,1,0)</f>
        <v>0</v>
      </c>
      <c r="N1417" s="2">
        <f>IF(LeadsData[[#This Row],[Stage Number]]&gt;=3,1,0)</f>
        <v>0</v>
      </c>
      <c r="O1417" s="2">
        <f>IF(LeadsData[[#This Row],[Stage Number]]&gt;=4,1,0)</f>
        <v>0</v>
      </c>
    </row>
    <row r="1418" spans="1:15" x14ac:dyDescent="0.25">
      <c r="A1418" t="s">
        <v>1458</v>
      </c>
      <c r="B1418" s="1">
        <v>45557</v>
      </c>
      <c r="C1418" t="s">
        <v>46</v>
      </c>
      <c r="D1418" t="s">
        <v>47</v>
      </c>
      <c r="E1418" t="s">
        <v>21</v>
      </c>
      <c r="F1418" t="s">
        <v>19</v>
      </c>
      <c r="G1418" t="s">
        <v>23</v>
      </c>
      <c r="K1418" cm="1">
        <f t="array" ref="K1418">_xlfn.SWITCH(LeadsData[[#This Row],[Funnel Stage Reached]],"Lead",1,"MQL",2,"SQL",3,"Customer",4)</f>
        <v>2</v>
      </c>
      <c r="L1418" t="str">
        <f>TEXT(LeadsData[[#This Row],[Signup Date]],"mmm-yyyy")</f>
        <v>Sep-2024</v>
      </c>
      <c r="M1418">
        <f>IF(LeadsData[[#This Row],[Stage Number]]&gt;=2,1,0)</f>
        <v>1</v>
      </c>
      <c r="N1418" s="2">
        <f>IF(LeadsData[[#This Row],[Stage Number]]&gt;=3,1,0)</f>
        <v>0</v>
      </c>
      <c r="O1418" s="2">
        <f>IF(LeadsData[[#This Row],[Stage Number]]&gt;=4,1,0)</f>
        <v>0</v>
      </c>
    </row>
    <row r="1419" spans="1:15" x14ac:dyDescent="0.25">
      <c r="A1419" t="s">
        <v>1459</v>
      </c>
      <c r="B1419" s="1">
        <v>45570</v>
      </c>
      <c r="C1419" t="s">
        <v>25</v>
      </c>
      <c r="D1419" t="s">
        <v>26</v>
      </c>
      <c r="E1419" t="s">
        <v>13</v>
      </c>
      <c r="F1419" t="s">
        <v>22</v>
      </c>
      <c r="G1419" t="s">
        <v>15</v>
      </c>
      <c r="K1419" cm="1">
        <f t="array" ref="K1419">_xlfn.SWITCH(LeadsData[[#This Row],[Funnel Stage Reached]],"Lead",1,"MQL",2,"SQL",3,"Customer",4)</f>
        <v>1</v>
      </c>
      <c r="L1419" t="str">
        <f>TEXT(LeadsData[[#This Row],[Signup Date]],"mmm-yyyy")</f>
        <v>Oct-2024</v>
      </c>
      <c r="M1419">
        <f>IF(LeadsData[[#This Row],[Stage Number]]&gt;=2,1,0)</f>
        <v>0</v>
      </c>
      <c r="N1419" s="2">
        <f>IF(LeadsData[[#This Row],[Stage Number]]&gt;=3,1,0)</f>
        <v>0</v>
      </c>
      <c r="O1419" s="2">
        <f>IF(LeadsData[[#This Row],[Stage Number]]&gt;=4,1,0)</f>
        <v>0</v>
      </c>
    </row>
    <row r="1420" spans="1:15" x14ac:dyDescent="0.25">
      <c r="A1420" t="s">
        <v>1460</v>
      </c>
      <c r="B1420" s="1">
        <v>45643</v>
      </c>
      <c r="C1420" t="s">
        <v>36</v>
      </c>
      <c r="D1420" t="s">
        <v>37</v>
      </c>
      <c r="E1420" t="s">
        <v>13</v>
      </c>
      <c r="F1420" t="s">
        <v>19</v>
      </c>
      <c r="G1420" t="s">
        <v>15</v>
      </c>
      <c r="K1420" cm="1">
        <f t="array" ref="K1420">_xlfn.SWITCH(LeadsData[[#This Row],[Funnel Stage Reached]],"Lead",1,"MQL",2,"SQL",3,"Customer",4)</f>
        <v>1</v>
      </c>
      <c r="L1420" t="str">
        <f>TEXT(LeadsData[[#This Row],[Signup Date]],"mmm-yyyy")</f>
        <v>Dec-2024</v>
      </c>
      <c r="M1420">
        <f>IF(LeadsData[[#This Row],[Stage Number]]&gt;=2,1,0)</f>
        <v>0</v>
      </c>
      <c r="N1420" s="2">
        <f>IF(LeadsData[[#This Row],[Stage Number]]&gt;=3,1,0)</f>
        <v>0</v>
      </c>
      <c r="O1420" s="2">
        <f>IF(LeadsData[[#This Row],[Stage Number]]&gt;=4,1,0)</f>
        <v>0</v>
      </c>
    </row>
    <row r="1421" spans="1:15" x14ac:dyDescent="0.25">
      <c r="A1421" t="s">
        <v>1461</v>
      </c>
      <c r="B1421" s="1">
        <v>45653</v>
      </c>
      <c r="C1421" t="s">
        <v>46</v>
      </c>
      <c r="D1421" t="s">
        <v>47</v>
      </c>
      <c r="E1421" t="s">
        <v>48</v>
      </c>
      <c r="F1421" t="s">
        <v>19</v>
      </c>
      <c r="G1421" t="s">
        <v>15</v>
      </c>
      <c r="K1421" cm="1">
        <f t="array" ref="K1421">_xlfn.SWITCH(LeadsData[[#This Row],[Funnel Stage Reached]],"Lead",1,"MQL",2,"SQL",3,"Customer",4)</f>
        <v>1</v>
      </c>
      <c r="L1421" t="str">
        <f>TEXT(LeadsData[[#This Row],[Signup Date]],"mmm-yyyy")</f>
        <v>Dec-2024</v>
      </c>
      <c r="M1421">
        <f>IF(LeadsData[[#This Row],[Stage Number]]&gt;=2,1,0)</f>
        <v>0</v>
      </c>
      <c r="N1421" s="2">
        <f>IF(LeadsData[[#This Row],[Stage Number]]&gt;=3,1,0)</f>
        <v>0</v>
      </c>
      <c r="O1421" s="2">
        <f>IF(LeadsData[[#This Row],[Stage Number]]&gt;=4,1,0)</f>
        <v>0</v>
      </c>
    </row>
    <row r="1422" spans="1:15" x14ac:dyDescent="0.25">
      <c r="A1422" t="s">
        <v>1462</v>
      </c>
      <c r="B1422" s="1">
        <v>45545</v>
      </c>
      <c r="C1422" t="s">
        <v>36</v>
      </c>
      <c r="D1422" t="s">
        <v>37</v>
      </c>
      <c r="E1422" t="s">
        <v>21</v>
      </c>
      <c r="F1422" t="s">
        <v>22</v>
      </c>
      <c r="G1422" t="s">
        <v>29</v>
      </c>
      <c r="K1422" cm="1">
        <f t="array" ref="K1422">_xlfn.SWITCH(LeadsData[[#This Row],[Funnel Stage Reached]],"Lead",1,"MQL",2,"SQL",3,"Customer",4)</f>
        <v>3</v>
      </c>
      <c r="L1422" t="str">
        <f>TEXT(LeadsData[[#This Row],[Signup Date]],"mmm-yyyy")</f>
        <v>Sep-2024</v>
      </c>
      <c r="M1422">
        <f>IF(LeadsData[[#This Row],[Stage Number]]&gt;=2,1,0)</f>
        <v>1</v>
      </c>
      <c r="N1422" s="2">
        <f>IF(LeadsData[[#This Row],[Stage Number]]&gt;=3,1,0)</f>
        <v>1</v>
      </c>
      <c r="O1422" s="2">
        <f>IF(LeadsData[[#This Row],[Stage Number]]&gt;=4,1,0)</f>
        <v>0</v>
      </c>
    </row>
    <row r="1423" spans="1:15" x14ac:dyDescent="0.25">
      <c r="A1423" t="s">
        <v>1463</v>
      </c>
      <c r="B1423" s="1">
        <v>45558</v>
      </c>
      <c r="C1423" t="s">
        <v>25</v>
      </c>
      <c r="D1423" t="s">
        <v>26</v>
      </c>
      <c r="E1423" t="s">
        <v>13</v>
      </c>
      <c r="F1423" t="s">
        <v>14</v>
      </c>
      <c r="G1423" t="s">
        <v>15</v>
      </c>
      <c r="K1423" cm="1">
        <f t="array" ref="K1423">_xlfn.SWITCH(LeadsData[[#This Row],[Funnel Stage Reached]],"Lead",1,"MQL",2,"SQL",3,"Customer",4)</f>
        <v>1</v>
      </c>
      <c r="L1423" t="str">
        <f>TEXT(LeadsData[[#This Row],[Signup Date]],"mmm-yyyy")</f>
        <v>Sep-2024</v>
      </c>
      <c r="M1423">
        <f>IF(LeadsData[[#This Row],[Stage Number]]&gt;=2,1,0)</f>
        <v>0</v>
      </c>
      <c r="N1423" s="2">
        <f>IF(LeadsData[[#This Row],[Stage Number]]&gt;=3,1,0)</f>
        <v>0</v>
      </c>
      <c r="O1423" s="2">
        <f>IF(LeadsData[[#This Row],[Stage Number]]&gt;=4,1,0)</f>
        <v>0</v>
      </c>
    </row>
    <row r="1424" spans="1:15" x14ac:dyDescent="0.25">
      <c r="A1424" t="s">
        <v>1464</v>
      </c>
      <c r="B1424" s="1">
        <v>45431</v>
      </c>
      <c r="C1424" t="s">
        <v>17</v>
      </c>
      <c r="D1424" t="s">
        <v>18</v>
      </c>
      <c r="E1424" t="s">
        <v>13</v>
      </c>
      <c r="F1424" t="s">
        <v>19</v>
      </c>
      <c r="G1424" t="s">
        <v>23</v>
      </c>
      <c r="K1424" cm="1">
        <f t="array" ref="K1424">_xlfn.SWITCH(LeadsData[[#This Row],[Funnel Stage Reached]],"Lead",1,"MQL",2,"SQL",3,"Customer",4)</f>
        <v>2</v>
      </c>
      <c r="L1424" t="str">
        <f>TEXT(LeadsData[[#This Row],[Signup Date]],"mmm-yyyy")</f>
        <v>May-2024</v>
      </c>
      <c r="M1424">
        <f>IF(LeadsData[[#This Row],[Stage Number]]&gt;=2,1,0)</f>
        <v>1</v>
      </c>
      <c r="N1424" s="2">
        <f>IF(LeadsData[[#This Row],[Stage Number]]&gt;=3,1,0)</f>
        <v>0</v>
      </c>
      <c r="O1424" s="2">
        <f>IF(LeadsData[[#This Row],[Stage Number]]&gt;=4,1,0)</f>
        <v>0</v>
      </c>
    </row>
    <row r="1425" spans="1:15" x14ac:dyDescent="0.25">
      <c r="A1425" t="s">
        <v>1465</v>
      </c>
      <c r="B1425" s="1">
        <v>45573</v>
      </c>
      <c r="C1425" t="s">
        <v>46</v>
      </c>
      <c r="D1425" t="s">
        <v>56</v>
      </c>
      <c r="E1425" t="s">
        <v>13</v>
      </c>
      <c r="F1425" t="s">
        <v>22</v>
      </c>
      <c r="G1425" t="s">
        <v>15</v>
      </c>
      <c r="K1425" cm="1">
        <f t="array" ref="K1425">_xlfn.SWITCH(LeadsData[[#This Row],[Funnel Stage Reached]],"Lead",1,"MQL",2,"SQL",3,"Customer",4)</f>
        <v>1</v>
      </c>
      <c r="L1425" t="str">
        <f>TEXT(LeadsData[[#This Row],[Signup Date]],"mmm-yyyy")</f>
        <v>Oct-2024</v>
      </c>
      <c r="M1425">
        <f>IF(LeadsData[[#This Row],[Stage Number]]&gt;=2,1,0)</f>
        <v>0</v>
      </c>
      <c r="N1425" s="2">
        <f>IF(LeadsData[[#This Row],[Stage Number]]&gt;=3,1,0)</f>
        <v>0</v>
      </c>
      <c r="O1425" s="2">
        <f>IF(LeadsData[[#This Row],[Stage Number]]&gt;=4,1,0)</f>
        <v>0</v>
      </c>
    </row>
    <row r="1426" spans="1:15" x14ac:dyDescent="0.25">
      <c r="A1426" t="s">
        <v>1466</v>
      </c>
      <c r="B1426" s="1">
        <v>45622</v>
      </c>
      <c r="C1426" t="s">
        <v>46</v>
      </c>
      <c r="D1426" t="s">
        <v>56</v>
      </c>
      <c r="E1426" t="s">
        <v>21</v>
      </c>
      <c r="F1426" t="s">
        <v>14</v>
      </c>
      <c r="G1426" t="s">
        <v>15</v>
      </c>
      <c r="K1426" cm="1">
        <f t="array" ref="K1426">_xlfn.SWITCH(LeadsData[[#This Row],[Funnel Stage Reached]],"Lead",1,"MQL",2,"SQL",3,"Customer",4)</f>
        <v>1</v>
      </c>
      <c r="L1426" t="str">
        <f>TEXT(LeadsData[[#This Row],[Signup Date]],"mmm-yyyy")</f>
        <v>Nov-2024</v>
      </c>
      <c r="M1426">
        <f>IF(LeadsData[[#This Row],[Stage Number]]&gt;=2,1,0)</f>
        <v>0</v>
      </c>
      <c r="N1426" s="2">
        <f>IF(LeadsData[[#This Row],[Stage Number]]&gt;=3,1,0)</f>
        <v>0</v>
      </c>
      <c r="O1426" s="2">
        <f>IF(LeadsData[[#This Row],[Stage Number]]&gt;=4,1,0)</f>
        <v>0</v>
      </c>
    </row>
    <row r="1427" spans="1:15" x14ac:dyDescent="0.25">
      <c r="A1427" t="s">
        <v>1467</v>
      </c>
      <c r="B1427" s="1">
        <v>45401</v>
      </c>
      <c r="C1427" t="s">
        <v>11</v>
      </c>
      <c r="D1427" t="s">
        <v>12</v>
      </c>
      <c r="E1427" t="s">
        <v>13</v>
      </c>
      <c r="F1427" t="s">
        <v>19</v>
      </c>
      <c r="G1427" t="s">
        <v>15</v>
      </c>
      <c r="K1427" cm="1">
        <f t="array" ref="K1427">_xlfn.SWITCH(LeadsData[[#This Row],[Funnel Stage Reached]],"Lead",1,"MQL",2,"SQL",3,"Customer",4)</f>
        <v>1</v>
      </c>
      <c r="L1427" t="str">
        <f>TEXT(LeadsData[[#This Row],[Signup Date]],"mmm-yyyy")</f>
        <v>Apr-2024</v>
      </c>
      <c r="M1427">
        <f>IF(LeadsData[[#This Row],[Stage Number]]&gt;=2,1,0)</f>
        <v>0</v>
      </c>
      <c r="N1427" s="2">
        <f>IF(LeadsData[[#This Row],[Stage Number]]&gt;=3,1,0)</f>
        <v>0</v>
      </c>
      <c r="O1427" s="2">
        <f>IF(LeadsData[[#This Row],[Stage Number]]&gt;=4,1,0)</f>
        <v>0</v>
      </c>
    </row>
    <row r="1428" spans="1:15" x14ac:dyDescent="0.25">
      <c r="A1428" t="s">
        <v>1468</v>
      </c>
      <c r="B1428" s="1">
        <v>45641</v>
      </c>
      <c r="C1428" t="s">
        <v>31</v>
      </c>
      <c r="D1428" t="s">
        <v>34</v>
      </c>
      <c r="E1428" t="s">
        <v>21</v>
      </c>
      <c r="F1428" t="s">
        <v>19</v>
      </c>
      <c r="G1428" t="s">
        <v>23</v>
      </c>
      <c r="K1428" cm="1">
        <f t="array" ref="K1428">_xlfn.SWITCH(LeadsData[[#This Row],[Funnel Stage Reached]],"Lead",1,"MQL",2,"SQL",3,"Customer",4)</f>
        <v>2</v>
      </c>
      <c r="L1428" t="str">
        <f>TEXT(LeadsData[[#This Row],[Signup Date]],"mmm-yyyy")</f>
        <v>Dec-2024</v>
      </c>
      <c r="M1428">
        <f>IF(LeadsData[[#This Row],[Stage Number]]&gt;=2,1,0)</f>
        <v>1</v>
      </c>
      <c r="N1428" s="2">
        <f>IF(LeadsData[[#This Row],[Stage Number]]&gt;=3,1,0)</f>
        <v>0</v>
      </c>
      <c r="O1428" s="2">
        <f>IF(LeadsData[[#This Row],[Stage Number]]&gt;=4,1,0)</f>
        <v>0</v>
      </c>
    </row>
    <row r="1429" spans="1:15" x14ac:dyDescent="0.25">
      <c r="A1429" t="s">
        <v>1469</v>
      </c>
      <c r="B1429" s="1">
        <v>45390</v>
      </c>
      <c r="C1429" t="s">
        <v>36</v>
      </c>
      <c r="D1429" t="s">
        <v>37</v>
      </c>
      <c r="E1429" t="s">
        <v>13</v>
      </c>
      <c r="F1429" t="s">
        <v>19</v>
      </c>
      <c r="G1429" t="s">
        <v>15</v>
      </c>
      <c r="K1429" cm="1">
        <f t="array" ref="K1429">_xlfn.SWITCH(LeadsData[[#This Row],[Funnel Stage Reached]],"Lead",1,"MQL",2,"SQL",3,"Customer",4)</f>
        <v>1</v>
      </c>
      <c r="L1429" t="str">
        <f>TEXT(LeadsData[[#This Row],[Signup Date]],"mmm-yyyy")</f>
        <v>Apr-2024</v>
      </c>
      <c r="M1429">
        <f>IF(LeadsData[[#This Row],[Stage Number]]&gt;=2,1,0)</f>
        <v>0</v>
      </c>
      <c r="N1429" s="2">
        <f>IF(LeadsData[[#This Row],[Stage Number]]&gt;=3,1,0)</f>
        <v>0</v>
      </c>
      <c r="O1429" s="2">
        <f>IF(LeadsData[[#This Row],[Stage Number]]&gt;=4,1,0)</f>
        <v>0</v>
      </c>
    </row>
    <row r="1430" spans="1:15" x14ac:dyDescent="0.25">
      <c r="A1430" t="s">
        <v>1470</v>
      </c>
      <c r="B1430" s="1">
        <v>45325</v>
      </c>
      <c r="C1430" t="s">
        <v>31</v>
      </c>
      <c r="D1430" t="s">
        <v>34</v>
      </c>
      <c r="E1430" t="s">
        <v>13</v>
      </c>
      <c r="F1430" t="s">
        <v>14</v>
      </c>
      <c r="G1430" t="s">
        <v>42</v>
      </c>
      <c r="H1430">
        <v>38</v>
      </c>
      <c r="I1430" t="s">
        <v>43</v>
      </c>
      <c r="J1430">
        <v>1474.97</v>
      </c>
      <c r="K1430" cm="1">
        <f t="array" ref="K1430">_xlfn.SWITCH(LeadsData[[#This Row],[Funnel Stage Reached]],"Lead",1,"MQL",2,"SQL",3,"Customer",4)</f>
        <v>4</v>
      </c>
      <c r="L1430" t="str">
        <f>TEXT(LeadsData[[#This Row],[Signup Date]],"mmm-yyyy")</f>
        <v>Feb-2024</v>
      </c>
      <c r="M1430">
        <f>IF(LeadsData[[#This Row],[Stage Number]]&gt;=2,1,0)</f>
        <v>1</v>
      </c>
      <c r="N1430" s="2">
        <f>IF(LeadsData[[#This Row],[Stage Number]]&gt;=3,1,0)</f>
        <v>1</v>
      </c>
      <c r="O1430" s="2">
        <f>IF(LeadsData[[#This Row],[Stage Number]]&gt;=4,1,0)</f>
        <v>1</v>
      </c>
    </row>
    <row r="1431" spans="1:15" x14ac:dyDescent="0.25">
      <c r="A1431" t="s">
        <v>1471</v>
      </c>
      <c r="B1431" s="1">
        <v>45297</v>
      </c>
      <c r="C1431" t="s">
        <v>25</v>
      </c>
      <c r="D1431" t="s">
        <v>26</v>
      </c>
      <c r="E1431" t="s">
        <v>13</v>
      </c>
      <c r="F1431" t="s">
        <v>28</v>
      </c>
      <c r="G1431" t="s">
        <v>23</v>
      </c>
      <c r="K1431" cm="1">
        <f t="array" ref="K1431">_xlfn.SWITCH(LeadsData[[#This Row],[Funnel Stage Reached]],"Lead",1,"MQL",2,"SQL",3,"Customer",4)</f>
        <v>2</v>
      </c>
      <c r="L1431" t="str">
        <f>TEXT(LeadsData[[#This Row],[Signup Date]],"mmm-yyyy")</f>
        <v>Jan-2024</v>
      </c>
      <c r="M1431">
        <f>IF(LeadsData[[#This Row],[Stage Number]]&gt;=2,1,0)</f>
        <v>1</v>
      </c>
      <c r="N1431" s="2">
        <f>IF(LeadsData[[#This Row],[Stage Number]]&gt;=3,1,0)</f>
        <v>0</v>
      </c>
      <c r="O1431" s="2">
        <f>IF(LeadsData[[#This Row],[Stage Number]]&gt;=4,1,0)</f>
        <v>0</v>
      </c>
    </row>
    <row r="1432" spans="1:15" x14ac:dyDescent="0.25">
      <c r="A1432" t="s">
        <v>1472</v>
      </c>
      <c r="B1432" s="1">
        <v>45350</v>
      </c>
      <c r="C1432" t="s">
        <v>36</v>
      </c>
      <c r="D1432" t="s">
        <v>37</v>
      </c>
      <c r="E1432" t="s">
        <v>21</v>
      </c>
      <c r="F1432" t="s">
        <v>14</v>
      </c>
      <c r="G1432" t="s">
        <v>15</v>
      </c>
      <c r="K1432" cm="1">
        <f t="array" ref="K1432">_xlfn.SWITCH(LeadsData[[#This Row],[Funnel Stage Reached]],"Lead",1,"MQL",2,"SQL",3,"Customer",4)</f>
        <v>1</v>
      </c>
      <c r="L1432" t="str">
        <f>TEXT(LeadsData[[#This Row],[Signup Date]],"mmm-yyyy")</f>
        <v>Feb-2024</v>
      </c>
      <c r="M1432">
        <f>IF(LeadsData[[#This Row],[Stage Number]]&gt;=2,1,0)</f>
        <v>0</v>
      </c>
      <c r="N1432" s="2">
        <f>IF(LeadsData[[#This Row],[Stage Number]]&gt;=3,1,0)</f>
        <v>0</v>
      </c>
      <c r="O1432" s="2">
        <f>IF(LeadsData[[#This Row],[Stage Number]]&gt;=4,1,0)</f>
        <v>0</v>
      </c>
    </row>
    <row r="1433" spans="1:15" x14ac:dyDescent="0.25">
      <c r="A1433" t="s">
        <v>1473</v>
      </c>
      <c r="B1433" s="1">
        <v>45601</v>
      </c>
      <c r="C1433" t="s">
        <v>17</v>
      </c>
      <c r="D1433" t="s">
        <v>53</v>
      </c>
      <c r="E1433" t="s">
        <v>13</v>
      </c>
      <c r="F1433" t="s">
        <v>22</v>
      </c>
      <c r="G1433" t="s">
        <v>15</v>
      </c>
      <c r="K1433" cm="1">
        <f t="array" ref="K1433">_xlfn.SWITCH(LeadsData[[#This Row],[Funnel Stage Reached]],"Lead",1,"MQL",2,"SQL",3,"Customer",4)</f>
        <v>1</v>
      </c>
      <c r="L1433" t="str">
        <f>TEXT(LeadsData[[#This Row],[Signup Date]],"mmm-yyyy")</f>
        <v>Nov-2024</v>
      </c>
      <c r="M1433">
        <f>IF(LeadsData[[#This Row],[Stage Number]]&gt;=2,1,0)</f>
        <v>0</v>
      </c>
      <c r="N1433" s="2">
        <f>IF(LeadsData[[#This Row],[Stage Number]]&gt;=3,1,0)</f>
        <v>0</v>
      </c>
      <c r="O1433" s="2">
        <f>IF(LeadsData[[#This Row],[Stage Number]]&gt;=4,1,0)</f>
        <v>0</v>
      </c>
    </row>
    <row r="1434" spans="1:15" x14ac:dyDescent="0.25">
      <c r="A1434" t="s">
        <v>1474</v>
      </c>
      <c r="B1434" s="1">
        <v>45440</v>
      </c>
      <c r="C1434" t="s">
        <v>31</v>
      </c>
      <c r="D1434" t="s">
        <v>32</v>
      </c>
      <c r="E1434" t="s">
        <v>21</v>
      </c>
      <c r="F1434" t="s">
        <v>19</v>
      </c>
      <c r="G1434" t="s">
        <v>29</v>
      </c>
      <c r="K1434" cm="1">
        <f t="array" ref="K1434">_xlfn.SWITCH(LeadsData[[#This Row],[Funnel Stage Reached]],"Lead",1,"MQL",2,"SQL",3,"Customer",4)</f>
        <v>3</v>
      </c>
      <c r="L1434" t="str">
        <f>TEXT(LeadsData[[#This Row],[Signup Date]],"mmm-yyyy")</f>
        <v>May-2024</v>
      </c>
      <c r="M1434">
        <f>IF(LeadsData[[#This Row],[Stage Number]]&gt;=2,1,0)</f>
        <v>1</v>
      </c>
      <c r="N1434" s="2">
        <f>IF(LeadsData[[#This Row],[Stage Number]]&gt;=3,1,0)</f>
        <v>1</v>
      </c>
      <c r="O1434" s="2">
        <f>IF(LeadsData[[#This Row],[Stage Number]]&gt;=4,1,0)</f>
        <v>0</v>
      </c>
    </row>
    <row r="1435" spans="1:15" x14ac:dyDescent="0.25">
      <c r="A1435" t="s">
        <v>1475</v>
      </c>
      <c r="B1435" s="1">
        <v>45579</v>
      </c>
      <c r="C1435" t="s">
        <v>31</v>
      </c>
      <c r="D1435" t="s">
        <v>34</v>
      </c>
      <c r="E1435" t="s">
        <v>13</v>
      </c>
      <c r="F1435" t="s">
        <v>19</v>
      </c>
      <c r="G1435" t="s">
        <v>29</v>
      </c>
      <c r="K1435" cm="1">
        <f t="array" ref="K1435">_xlfn.SWITCH(LeadsData[[#This Row],[Funnel Stage Reached]],"Lead",1,"MQL",2,"SQL",3,"Customer",4)</f>
        <v>3</v>
      </c>
      <c r="L1435" t="str">
        <f>TEXT(LeadsData[[#This Row],[Signup Date]],"mmm-yyyy")</f>
        <v>Oct-2024</v>
      </c>
      <c r="M1435">
        <f>IF(LeadsData[[#This Row],[Stage Number]]&gt;=2,1,0)</f>
        <v>1</v>
      </c>
      <c r="N1435" s="2">
        <f>IF(LeadsData[[#This Row],[Stage Number]]&gt;=3,1,0)</f>
        <v>1</v>
      </c>
      <c r="O1435" s="2">
        <f>IF(LeadsData[[#This Row],[Stage Number]]&gt;=4,1,0)</f>
        <v>0</v>
      </c>
    </row>
    <row r="1436" spans="1:15" x14ac:dyDescent="0.25">
      <c r="A1436" t="s">
        <v>1476</v>
      </c>
      <c r="B1436" s="1">
        <v>45640</v>
      </c>
      <c r="C1436" t="s">
        <v>36</v>
      </c>
      <c r="D1436" t="s">
        <v>50</v>
      </c>
      <c r="E1436" t="s">
        <v>48</v>
      </c>
      <c r="F1436" t="s">
        <v>28</v>
      </c>
      <c r="G1436" t="s">
        <v>42</v>
      </c>
      <c r="H1436">
        <v>57</v>
      </c>
      <c r="I1436" t="s">
        <v>43</v>
      </c>
      <c r="J1436">
        <v>1207.98</v>
      </c>
      <c r="K1436" cm="1">
        <f t="array" ref="K1436">_xlfn.SWITCH(LeadsData[[#This Row],[Funnel Stage Reached]],"Lead",1,"MQL",2,"SQL",3,"Customer",4)</f>
        <v>4</v>
      </c>
      <c r="L1436" t="str">
        <f>TEXT(LeadsData[[#This Row],[Signup Date]],"mmm-yyyy")</f>
        <v>Dec-2024</v>
      </c>
      <c r="M1436">
        <f>IF(LeadsData[[#This Row],[Stage Number]]&gt;=2,1,0)</f>
        <v>1</v>
      </c>
      <c r="N1436" s="2">
        <f>IF(LeadsData[[#This Row],[Stage Number]]&gt;=3,1,0)</f>
        <v>1</v>
      </c>
      <c r="O1436" s="2">
        <f>IF(LeadsData[[#This Row],[Stage Number]]&gt;=4,1,0)</f>
        <v>1</v>
      </c>
    </row>
    <row r="1437" spans="1:15" x14ac:dyDescent="0.25">
      <c r="A1437" t="s">
        <v>1477</v>
      </c>
      <c r="B1437" s="1">
        <v>45576</v>
      </c>
      <c r="C1437" t="s">
        <v>17</v>
      </c>
      <c r="D1437" t="s">
        <v>53</v>
      </c>
      <c r="E1437" t="s">
        <v>13</v>
      </c>
      <c r="F1437" t="s">
        <v>19</v>
      </c>
      <c r="G1437" t="s">
        <v>15</v>
      </c>
      <c r="K1437" cm="1">
        <f t="array" ref="K1437">_xlfn.SWITCH(LeadsData[[#This Row],[Funnel Stage Reached]],"Lead",1,"MQL",2,"SQL",3,"Customer",4)</f>
        <v>1</v>
      </c>
      <c r="L1437" t="str">
        <f>TEXT(LeadsData[[#This Row],[Signup Date]],"mmm-yyyy")</f>
        <v>Oct-2024</v>
      </c>
      <c r="M1437">
        <f>IF(LeadsData[[#This Row],[Stage Number]]&gt;=2,1,0)</f>
        <v>0</v>
      </c>
      <c r="N1437" s="2">
        <f>IF(LeadsData[[#This Row],[Stage Number]]&gt;=3,1,0)</f>
        <v>0</v>
      </c>
      <c r="O1437" s="2">
        <f>IF(LeadsData[[#This Row],[Stage Number]]&gt;=4,1,0)</f>
        <v>0</v>
      </c>
    </row>
    <row r="1438" spans="1:15" x14ac:dyDescent="0.25">
      <c r="A1438" t="s">
        <v>1478</v>
      </c>
      <c r="B1438" s="1">
        <v>45329</v>
      </c>
      <c r="C1438" t="s">
        <v>31</v>
      </c>
      <c r="D1438" t="s">
        <v>34</v>
      </c>
      <c r="E1438" t="s">
        <v>21</v>
      </c>
      <c r="F1438" t="s">
        <v>19</v>
      </c>
      <c r="G1438" t="s">
        <v>23</v>
      </c>
      <c r="K1438" cm="1">
        <f t="array" ref="K1438">_xlfn.SWITCH(LeadsData[[#This Row],[Funnel Stage Reached]],"Lead",1,"MQL",2,"SQL",3,"Customer",4)</f>
        <v>2</v>
      </c>
      <c r="L1438" t="str">
        <f>TEXT(LeadsData[[#This Row],[Signup Date]],"mmm-yyyy")</f>
        <v>Feb-2024</v>
      </c>
      <c r="M1438">
        <f>IF(LeadsData[[#This Row],[Stage Number]]&gt;=2,1,0)</f>
        <v>1</v>
      </c>
      <c r="N1438" s="2">
        <f>IF(LeadsData[[#This Row],[Stage Number]]&gt;=3,1,0)</f>
        <v>0</v>
      </c>
      <c r="O1438" s="2">
        <f>IF(LeadsData[[#This Row],[Stage Number]]&gt;=4,1,0)</f>
        <v>0</v>
      </c>
    </row>
    <row r="1439" spans="1:15" x14ac:dyDescent="0.25">
      <c r="A1439" t="s">
        <v>1479</v>
      </c>
      <c r="B1439" s="1">
        <v>45308</v>
      </c>
      <c r="C1439" t="s">
        <v>36</v>
      </c>
      <c r="D1439" t="s">
        <v>37</v>
      </c>
      <c r="E1439" t="s">
        <v>13</v>
      </c>
      <c r="F1439" t="s">
        <v>19</v>
      </c>
      <c r="G1439" t="s">
        <v>15</v>
      </c>
      <c r="K1439" cm="1">
        <f t="array" ref="K1439">_xlfn.SWITCH(LeadsData[[#This Row],[Funnel Stage Reached]],"Lead",1,"MQL",2,"SQL",3,"Customer",4)</f>
        <v>1</v>
      </c>
      <c r="L1439" t="str">
        <f>TEXT(LeadsData[[#This Row],[Signup Date]],"mmm-yyyy")</f>
        <v>Jan-2024</v>
      </c>
      <c r="M1439">
        <f>IF(LeadsData[[#This Row],[Stage Number]]&gt;=2,1,0)</f>
        <v>0</v>
      </c>
      <c r="N1439" s="2">
        <f>IF(LeadsData[[#This Row],[Stage Number]]&gt;=3,1,0)</f>
        <v>0</v>
      </c>
      <c r="O1439" s="2">
        <f>IF(LeadsData[[#This Row],[Stage Number]]&gt;=4,1,0)</f>
        <v>0</v>
      </c>
    </row>
    <row r="1440" spans="1:15" x14ac:dyDescent="0.25">
      <c r="A1440" t="s">
        <v>1480</v>
      </c>
      <c r="B1440" s="1">
        <v>45524</v>
      </c>
      <c r="C1440" t="s">
        <v>36</v>
      </c>
      <c r="D1440" t="s">
        <v>50</v>
      </c>
      <c r="E1440" t="s">
        <v>21</v>
      </c>
      <c r="F1440" t="s">
        <v>19</v>
      </c>
      <c r="G1440" t="s">
        <v>15</v>
      </c>
      <c r="K1440" cm="1">
        <f t="array" ref="K1440">_xlfn.SWITCH(LeadsData[[#This Row],[Funnel Stage Reached]],"Lead",1,"MQL",2,"SQL",3,"Customer",4)</f>
        <v>1</v>
      </c>
      <c r="L1440" t="str">
        <f>TEXT(LeadsData[[#This Row],[Signup Date]],"mmm-yyyy")</f>
        <v>Aug-2024</v>
      </c>
      <c r="M1440">
        <f>IF(LeadsData[[#This Row],[Stage Number]]&gt;=2,1,0)</f>
        <v>0</v>
      </c>
      <c r="N1440" s="2">
        <f>IF(LeadsData[[#This Row],[Stage Number]]&gt;=3,1,0)</f>
        <v>0</v>
      </c>
      <c r="O1440" s="2">
        <f>IF(LeadsData[[#This Row],[Stage Number]]&gt;=4,1,0)</f>
        <v>0</v>
      </c>
    </row>
    <row r="1441" spans="1:15" x14ac:dyDescent="0.25">
      <c r="A1441" t="s">
        <v>1481</v>
      </c>
      <c r="B1441" s="1">
        <v>45357</v>
      </c>
      <c r="C1441" t="s">
        <v>17</v>
      </c>
      <c r="D1441" t="s">
        <v>53</v>
      </c>
      <c r="E1441" t="s">
        <v>13</v>
      </c>
      <c r="F1441" t="s">
        <v>19</v>
      </c>
      <c r="G1441" t="s">
        <v>15</v>
      </c>
      <c r="K1441" cm="1">
        <f t="array" ref="K1441">_xlfn.SWITCH(LeadsData[[#This Row],[Funnel Stage Reached]],"Lead",1,"MQL",2,"SQL",3,"Customer",4)</f>
        <v>1</v>
      </c>
      <c r="L1441" t="str">
        <f>TEXT(LeadsData[[#This Row],[Signup Date]],"mmm-yyyy")</f>
        <v>Mar-2024</v>
      </c>
      <c r="M1441">
        <f>IF(LeadsData[[#This Row],[Stage Number]]&gt;=2,1,0)</f>
        <v>0</v>
      </c>
      <c r="N1441" s="2">
        <f>IF(LeadsData[[#This Row],[Stage Number]]&gt;=3,1,0)</f>
        <v>0</v>
      </c>
      <c r="O1441" s="2">
        <f>IF(LeadsData[[#This Row],[Stage Number]]&gt;=4,1,0)</f>
        <v>0</v>
      </c>
    </row>
    <row r="1442" spans="1:15" x14ac:dyDescent="0.25">
      <c r="A1442" t="s">
        <v>1482</v>
      </c>
      <c r="B1442" s="1">
        <v>45438</v>
      </c>
      <c r="C1442" t="s">
        <v>31</v>
      </c>
      <c r="D1442" t="s">
        <v>32</v>
      </c>
      <c r="E1442" t="s">
        <v>13</v>
      </c>
      <c r="F1442" t="s">
        <v>22</v>
      </c>
      <c r="G1442" t="s">
        <v>15</v>
      </c>
      <c r="K1442" cm="1">
        <f t="array" ref="K1442">_xlfn.SWITCH(LeadsData[[#This Row],[Funnel Stage Reached]],"Lead",1,"MQL",2,"SQL",3,"Customer",4)</f>
        <v>1</v>
      </c>
      <c r="L1442" t="str">
        <f>TEXT(LeadsData[[#This Row],[Signup Date]],"mmm-yyyy")</f>
        <v>May-2024</v>
      </c>
      <c r="M1442">
        <f>IF(LeadsData[[#This Row],[Stage Number]]&gt;=2,1,0)</f>
        <v>0</v>
      </c>
      <c r="N1442" s="2">
        <f>IF(LeadsData[[#This Row],[Stage Number]]&gt;=3,1,0)</f>
        <v>0</v>
      </c>
      <c r="O1442" s="2">
        <f>IF(LeadsData[[#This Row],[Stage Number]]&gt;=4,1,0)</f>
        <v>0</v>
      </c>
    </row>
    <row r="1443" spans="1:15" x14ac:dyDescent="0.25">
      <c r="A1443" t="s">
        <v>1483</v>
      </c>
      <c r="B1443" s="1">
        <v>45420</v>
      </c>
      <c r="C1443" t="s">
        <v>11</v>
      </c>
      <c r="D1443" t="s">
        <v>68</v>
      </c>
      <c r="E1443" t="s">
        <v>21</v>
      </c>
      <c r="F1443" t="s">
        <v>28</v>
      </c>
      <c r="G1443" t="s">
        <v>15</v>
      </c>
      <c r="K1443" cm="1">
        <f t="array" ref="K1443">_xlfn.SWITCH(LeadsData[[#This Row],[Funnel Stage Reached]],"Lead",1,"MQL",2,"SQL",3,"Customer",4)</f>
        <v>1</v>
      </c>
      <c r="L1443" t="str">
        <f>TEXT(LeadsData[[#This Row],[Signup Date]],"mmm-yyyy")</f>
        <v>May-2024</v>
      </c>
      <c r="M1443">
        <f>IF(LeadsData[[#This Row],[Stage Number]]&gt;=2,1,0)</f>
        <v>0</v>
      </c>
      <c r="N1443" s="2">
        <f>IF(LeadsData[[#This Row],[Stage Number]]&gt;=3,1,0)</f>
        <v>0</v>
      </c>
      <c r="O1443" s="2">
        <f>IF(LeadsData[[#This Row],[Stage Number]]&gt;=4,1,0)</f>
        <v>0</v>
      </c>
    </row>
    <row r="1444" spans="1:15" x14ac:dyDescent="0.25">
      <c r="A1444" t="s">
        <v>1484</v>
      </c>
      <c r="B1444" s="1">
        <v>45314</v>
      </c>
      <c r="C1444" t="s">
        <v>17</v>
      </c>
      <c r="D1444" t="s">
        <v>18</v>
      </c>
      <c r="E1444" t="s">
        <v>13</v>
      </c>
      <c r="F1444" t="s">
        <v>19</v>
      </c>
      <c r="G1444" t="s">
        <v>15</v>
      </c>
      <c r="K1444" cm="1">
        <f t="array" ref="K1444">_xlfn.SWITCH(LeadsData[[#This Row],[Funnel Stage Reached]],"Lead",1,"MQL",2,"SQL",3,"Customer",4)</f>
        <v>1</v>
      </c>
      <c r="L1444" t="str">
        <f>TEXT(LeadsData[[#This Row],[Signup Date]],"mmm-yyyy")</f>
        <v>Jan-2024</v>
      </c>
      <c r="M1444">
        <f>IF(LeadsData[[#This Row],[Stage Number]]&gt;=2,1,0)</f>
        <v>0</v>
      </c>
      <c r="N1444" s="2">
        <f>IF(LeadsData[[#This Row],[Stage Number]]&gt;=3,1,0)</f>
        <v>0</v>
      </c>
      <c r="O1444" s="2">
        <f>IF(LeadsData[[#This Row],[Stage Number]]&gt;=4,1,0)</f>
        <v>0</v>
      </c>
    </row>
    <row r="1445" spans="1:15" x14ac:dyDescent="0.25">
      <c r="A1445" t="s">
        <v>1485</v>
      </c>
      <c r="B1445" s="1">
        <v>45312</v>
      </c>
      <c r="C1445" t="s">
        <v>36</v>
      </c>
      <c r="D1445" t="s">
        <v>37</v>
      </c>
      <c r="E1445" t="s">
        <v>13</v>
      </c>
      <c r="F1445" t="s">
        <v>19</v>
      </c>
      <c r="G1445" t="s">
        <v>15</v>
      </c>
      <c r="K1445" cm="1">
        <f t="array" ref="K1445">_xlfn.SWITCH(LeadsData[[#This Row],[Funnel Stage Reached]],"Lead",1,"MQL",2,"SQL",3,"Customer",4)</f>
        <v>1</v>
      </c>
      <c r="L1445" t="str">
        <f>TEXT(LeadsData[[#This Row],[Signup Date]],"mmm-yyyy")</f>
        <v>Jan-2024</v>
      </c>
      <c r="M1445">
        <f>IF(LeadsData[[#This Row],[Stage Number]]&gt;=2,1,0)</f>
        <v>0</v>
      </c>
      <c r="N1445" s="2">
        <f>IF(LeadsData[[#This Row],[Stage Number]]&gt;=3,1,0)</f>
        <v>0</v>
      </c>
      <c r="O1445" s="2">
        <f>IF(LeadsData[[#This Row],[Stage Number]]&gt;=4,1,0)</f>
        <v>0</v>
      </c>
    </row>
    <row r="1446" spans="1:15" x14ac:dyDescent="0.25">
      <c r="A1446" t="s">
        <v>1486</v>
      </c>
      <c r="B1446" s="1">
        <v>45377</v>
      </c>
      <c r="C1446" t="s">
        <v>36</v>
      </c>
      <c r="D1446" t="s">
        <v>50</v>
      </c>
      <c r="E1446" t="s">
        <v>48</v>
      </c>
      <c r="F1446" t="s">
        <v>19</v>
      </c>
      <c r="G1446" t="s">
        <v>15</v>
      </c>
      <c r="K1446" cm="1">
        <f t="array" ref="K1446">_xlfn.SWITCH(LeadsData[[#This Row],[Funnel Stage Reached]],"Lead",1,"MQL",2,"SQL",3,"Customer",4)</f>
        <v>1</v>
      </c>
      <c r="L1446" t="str">
        <f>TEXT(LeadsData[[#This Row],[Signup Date]],"mmm-yyyy")</f>
        <v>Mar-2024</v>
      </c>
      <c r="M1446">
        <f>IF(LeadsData[[#This Row],[Stage Number]]&gt;=2,1,0)</f>
        <v>0</v>
      </c>
      <c r="N1446" s="2">
        <f>IF(LeadsData[[#This Row],[Stage Number]]&gt;=3,1,0)</f>
        <v>0</v>
      </c>
      <c r="O1446" s="2">
        <f>IF(LeadsData[[#This Row],[Stage Number]]&gt;=4,1,0)</f>
        <v>0</v>
      </c>
    </row>
    <row r="1447" spans="1:15" x14ac:dyDescent="0.25">
      <c r="A1447" t="s">
        <v>1487</v>
      </c>
      <c r="B1447" s="1">
        <v>45598</v>
      </c>
      <c r="C1447" t="s">
        <v>25</v>
      </c>
      <c r="D1447" t="s">
        <v>26</v>
      </c>
      <c r="E1447" t="s">
        <v>21</v>
      </c>
      <c r="F1447" t="s">
        <v>19</v>
      </c>
      <c r="G1447" t="s">
        <v>15</v>
      </c>
      <c r="K1447" cm="1">
        <f t="array" ref="K1447">_xlfn.SWITCH(LeadsData[[#This Row],[Funnel Stage Reached]],"Lead",1,"MQL",2,"SQL",3,"Customer",4)</f>
        <v>1</v>
      </c>
      <c r="L1447" t="str">
        <f>TEXT(LeadsData[[#This Row],[Signup Date]],"mmm-yyyy")</f>
        <v>Nov-2024</v>
      </c>
      <c r="M1447">
        <f>IF(LeadsData[[#This Row],[Stage Number]]&gt;=2,1,0)</f>
        <v>0</v>
      </c>
      <c r="N1447" s="2">
        <f>IF(LeadsData[[#This Row],[Stage Number]]&gt;=3,1,0)</f>
        <v>0</v>
      </c>
      <c r="O1447" s="2">
        <f>IF(LeadsData[[#This Row],[Stage Number]]&gt;=4,1,0)</f>
        <v>0</v>
      </c>
    </row>
    <row r="1448" spans="1:15" x14ac:dyDescent="0.25">
      <c r="A1448" t="s">
        <v>1488</v>
      </c>
      <c r="B1448" s="1">
        <v>45563</v>
      </c>
      <c r="C1448" t="s">
        <v>17</v>
      </c>
      <c r="D1448" t="s">
        <v>18</v>
      </c>
      <c r="E1448" t="s">
        <v>13</v>
      </c>
      <c r="F1448" t="s">
        <v>14</v>
      </c>
      <c r="G1448" t="s">
        <v>15</v>
      </c>
      <c r="K1448" cm="1">
        <f t="array" ref="K1448">_xlfn.SWITCH(LeadsData[[#This Row],[Funnel Stage Reached]],"Lead",1,"MQL",2,"SQL",3,"Customer",4)</f>
        <v>1</v>
      </c>
      <c r="L1448" t="str">
        <f>TEXT(LeadsData[[#This Row],[Signup Date]],"mmm-yyyy")</f>
        <v>Sep-2024</v>
      </c>
      <c r="M1448">
        <f>IF(LeadsData[[#This Row],[Stage Number]]&gt;=2,1,0)</f>
        <v>0</v>
      </c>
      <c r="N1448" s="2">
        <f>IF(LeadsData[[#This Row],[Stage Number]]&gt;=3,1,0)</f>
        <v>0</v>
      </c>
      <c r="O1448" s="2">
        <f>IF(LeadsData[[#This Row],[Stage Number]]&gt;=4,1,0)</f>
        <v>0</v>
      </c>
    </row>
    <row r="1449" spans="1:15" x14ac:dyDescent="0.25">
      <c r="A1449" t="s">
        <v>1489</v>
      </c>
      <c r="B1449" s="1">
        <v>45293</v>
      </c>
      <c r="C1449" t="s">
        <v>17</v>
      </c>
      <c r="D1449" t="s">
        <v>18</v>
      </c>
      <c r="E1449" t="s">
        <v>13</v>
      </c>
      <c r="F1449" t="s">
        <v>22</v>
      </c>
      <c r="G1449" t="s">
        <v>23</v>
      </c>
      <c r="K1449" cm="1">
        <f t="array" ref="K1449">_xlfn.SWITCH(LeadsData[[#This Row],[Funnel Stage Reached]],"Lead",1,"MQL",2,"SQL",3,"Customer",4)</f>
        <v>2</v>
      </c>
      <c r="L1449" t="str">
        <f>TEXT(LeadsData[[#This Row],[Signup Date]],"mmm-yyyy")</f>
        <v>Jan-2024</v>
      </c>
      <c r="M1449">
        <f>IF(LeadsData[[#This Row],[Stage Number]]&gt;=2,1,0)</f>
        <v>1</v>
      </c>
      <c r="N1449" s="2">
        <f>IF(LeadsData[[#This Row],[Stage Number]]&gt;=3,1,0)</f>
        <v>0</v>
      </c>
      <c r="O1449" s="2">
        <f>IF(LeadsData[[#This Row],[Stage Number]]&gt;=4,1,0)</f>
        <v>0</v>
      </c>
    </row>
    <row r="1450" spans="1:15" x14ac:dyDescent="0.25">
      <c r="A1450" t="s">
        <v>1490</v>
      </c>
      <c r="B1450" s="1">
        <v>45483</v>
      </c>
      <c r="C1450" t="s">
        <v>36</v>
      </c>
      <c r="D1450" t="s">
        <v>50</v>
      </c>
      <c r="E1450" t="s">
        <v>21</v>
      </c>
      <c r="F1450" t="s">
        <v>19</v>
      </c>
      <c r="G1450" t="s">
        <v>15</v>
      </c>
      <c r="K1450" cm="1">
        <f t="array" ref="K1450">_xlfn.SWITCH(LeadsData[[#This Row],[Funnel Stage Reached]],"Lead",1,"MQL",2,"SQL",3,"Customer",4)</f>
        <v>1</v>
      </c>
      <c r="L1450" t="str">
        <f>TEXT(LeadsData[[#This Row],[Signup Date]],"mmm-yyyy")</f>
        <v>Jul-2024</v>
      </c>
      <c r="M1450">
        <f>IF(LeadsData[[#This Row],[Stage Number]]&gt;=2,1,0)</f>
        <v>0</v>
      </c>
      <c r="N1450" s="2">
        <f>IF(LeadsData[[#This Row],[Stage Number]]&gt;=3,1,0)</f>
        <v>0</v>
      </c>
      <c r="O1450" s="2">
        <f>IF(LeadsData[[#This Row],[Stage Number]]&gt;=4,1,0)</f>
        <v>0</v>
      </c>
    </row>
    <row r="1451" spans="1:15" x14ac:dyDescent="0.25">
      <c r="A1451" t="s">
        <v>1491</v>
      </c>
      <c r="B1451" s="1">
        <v>45353</v>
      </c>
      <c r="C1451" t="s">
        <v>36</v>
      </c>
      <c r="D1451" t="s">
        <v>37</v>
      </c>
      <c r="E1451" t="s">
        <v>13</v>
      </c>
      <c r="F1451" t="s">
        <v>19</v>
      </c>
      <c r="G1451" t="s">
        <v>29</v>
      </c>
      <c r="K1451" cm="1">
        <f t="array" ref="K1451">_xlfn.SWITCH(LeadsData[[#This Row],[Funnel Stage Reached]],"Lead",1,"MQL",2,"SQL",3,"Customer",4)</f>
        <v>3</v>
      </c>
      <c r="L1451" t="str">
        <f>TEXT(LeadsData[[#This Row],[Signup Date]],"mmm-yyyy")</f>
        <v>Mar-2024</v>
      </c>
      <c r="M1451">
        <f>IF(LeadsData[[#This Row],[Stage Number]]&gt;=2,1,0)</f>
        <v>1</v>
      </c>
      <c r="N1451" s="2">
        <f>IF(LeadsData[[#This Row],[Stage Number]]&gt;=3,1,0)</f>
        <v>1</v>
      </c>
      <c r="O1451" s="2">
        <f>IF(LeadsData[[#This Row],[Stage Number]]&gt;=4,1,0)</f>
        <v>0</v>
      </c>
    </row>
    <row r="1452" spans="1:15" x14ac:dyDescent="0.25">
      <c r="A1452" t="s">
        <v>1492</v>
      </c>
      <c r="B1452" s="1">
        <v>45311</v>
      </c>
      <c r="C1452" t="s">
        <v>36</v>
      </c>
      <c r="D1452" t="s">
        <v>37</v>
      </c>
      <c r="E1452" t="s">
        <v>21</v>
      </c>
      <c r="F1452" t="s">
        <v>22</v>
      </c>
      <c r="G1452" t="s">
        <v>15</v>
      </c>
      <c r="K1452" cm="1">
        <f t="array" ref="K1452">_xlfn.SWITCH(LeadsData[[#This Row],[Funnel Stage Reached]],"Lead",1,"MQL",2,"SQL",3,"Customer",4)</f>
        <v>1</v>
      </c>
      <c r="L1452" t="str">
        <f>TEXT(LeadsData[[#This Row],[Signup Date]],"mmm-yyyy")</f>
        <v>Jan-2024</v>
      </c>
      <c r="M1452">
        <f>IF(LeadsData[[#This Row],[Stage Number]]&gt;=2,1,0)</f>
        <v>0</v>
      </c>
      <c r="N1452" s="2">
        <f>IF(LeadsData[[#This Row],[Stage Number]]&gt;=3,1,0)</f>
        <v>0</v>
      </c>
      <c r="O1452" s="2">
        <f>IF(LeadsData[[#This Row],[Stage Number]]&gt;=4,1,0)</f>
        <v>0</v>
      </c>
    </row>
    <row r="1453" spans="1:15" x14ac:dyDescent="0.25">
      <c r="A1453" t="s">
        <v>1493</v>
      </c>
      <c r="B1453" s="1">
        <v>45611</v>
      </c>
      <c r="C1453" t="s">
        <v>31</v>
      </c>
      <c r="D1453" t="s">
        <v>34</v>
      </c>
      <c r="E1453" t="s">
        <v>48</v>
      </c>
      <c r="F1453" t="s">
        <v>19</v>
      </c>
      <c r="G1453" t="s">
        <v>15</v>
      </c>
      <c r="K1453" cm="1">
        <f t="array" ref="K1453">_xlfn.SWITCH(LeadsData[[#This Row],[Funnel Stage Reached]],"Lead",1,"MQL",2,"SQL",3,"Customer",4)</f>
        <v>1</v>
      </c>
      <c r="L1453" t="str">
        <f>TEXT(LeadsData[[#This Row],[Signup Date]],"mmm-yyyy")</f>
        <v>Nov-2024</v>
      </c>
      <c r="M1453">
        <f>IF(LeadsData[[#This Row],[Stage Number]]&gt;=2,1,0)</f>
        <v>0</v>
      </c>
      <c r="N1453" s="2">
        <f>IF(LeadsData[[#This Row],[Stage Number]]&gt;=3,1,0)</f>
        <v>0</v>
      </c>
      <c r="O1453" s="2">
        <f>IF(LeadsData[[#This Row],[Stage Number]]&gt;=4,1,0)</f>
        <v>0</v>
      </c>
    </row>
    <row r="1454" spans="1:15" x14ac:dyDescent="0.25">
      <c r="A1454" t="s">
        <v>1494</v>
      </c>
      <c r="B1454" s="1">
        <v>45607</v>
      </c>
      <c r="C1454" t="s">
        <v>46</v>
      </c>
      <c r="D1454" t="s">
        <v>56</v>
      </c>
      <c r="E1454" t="s">
        <v>13</v>
      </c>
      <c r="F1454" t="s">
        <v>19</v>
      </c>
      <c r="G1454" t="s">
        <v>15</v>
      </c>
      <c r="K1454" cm="1">
        <f t="array" ref="K1454">_xlfn.SWITCH(LeadsData[[#This Row],[Funnel Stage Reached]],"Lead",1,"MQL",2,"SQL",3,"Customer",4)</f>
        <v>1</v>
      </c>
      <c r="L1454" t="str">
        <f>TEXT(LeadsData[[#This Row],[Signup Date]],"mmm-yyyy")</f>
        <v>Nov-2024</v>
      </c>
      <c r="M1454">
        <f>IF(LeadsData[[#This Row],[Stage Number]]&gt;=2,1,0)</f>
        <v>0</v>
      </c>
      <c r="N1454" s="2">
        <f>IF(LeadsData[[#This Row],[Stage Number]]&gt;=3,1,0)</f>
        <v>0</v>
      </c>
      <c r="O1454" s="2">
        <f>IF(LeadsData[[#This Row],[Stage Number]]&gt;=4,1,0)</f>
        <v>0</v>
      </c>
    </row>
    <row r="1455" spans="1:15" x14ac:dyDescent="0.25">
      <c r="A1455" t="s">
        <v>1495</v>
      </c>
      <c r="B1455" s="1">
        <v>45510</v>
      </c>
      <c r="C1455" t="s">
        <v>36</v>
      </c>
      <c r="D1455" t="s">
        <v>50</v>
      </c>
      <c r="E1455" t="s">
        <v>21</v>
      </c>
      <c r="F1455" t="s">
        <v>14</v>
      </c>
      <c r="G1455" t="s">
        <v>15</v>
      </c>
      <c r="K1455" cm="1">
        <f t="array" ref="K1455">_xlfn.SWITCH(LeadsData[[#This Row],[Funnel Stage Reached]],"Lead",1,"MQL",2,"SQL",3,"Customer",4)</f>
        <v>1</v>
      </c>
      <c r="L1455" t="str">
        <f>TEXT(LeadsData[[#This Row],[Signup Date]],"mmm-yyyy")</f>
        <v>Aug-2024</v>
      </c>
      <c r="M1455">
        <f>IF(LeadsData[[#This Row],[Stage Number]]&gt;=2,1,0)</f>
        <v>0</v>
      </c>
      <c r="N1455" s="2">
        <f>IF(LeadsData[[#This Row],[Stage Number]]&gt;=3,1,0)</f>
        <v>0</v>
      </c>
      <c r="O1455" s="2">
        <f>IF(LeadsData[[#This Row],[Stage Number]]&gt;=4,1,0)</f>
        <v>0</v>
      </c>
    </row>
    <row r="1456" spans="1:15" x14ac:dyDescent="0.25">
      <c r="A1456" t="s">
        <v>1496</v>
      </c>
      <c r="B1456" s="1">
        <v>45425</v>
      </c>
      <c r="C1456" t="s">
        <v>17</v>
      </c>
      <c r="D1456" t="s">
        <v>53</v>
      </c>
      <c r="E1456" t="s">
        <v>13</v>
      </c>
      <c r="F1456" t="s">
        <v>28</v>
      </c>
      <c r="G1456" t="s">
        <v>15</v>
      </c>
      <c r="K1456" cm="1">
        <f t="array" ref="K1456">_xlfn.SWITCH(LeadsData[[#This Row],[Funnel Stage Reached]],"Lead",1,"MQL",2,"SQL",3,"Customer",4)</f>
        <v>1</v>
      </c>
      <c r="L1456" t="str">
        <f>TEXT(LeadsData[[#This Row],[Signup Date]],"mmm-yyyy")</f>
        <v>May-2024</v>
      </c>
      <c r="M1456">
        <f>IF(LeadsData[[#This Row],[Stage Number]]&gt;=2,1,0)</f>
        <v>0</v>
      </c>
      <c r="N1456" s="2">
        <f>IF(LeadsData[[#This Row],[Stage Number]]&gt;=3,1,0)</f>
        <v>0</v>
      </c>
      <c r="O1456" s="2">
        <f>IF(LeadsData[[#This Row],[Stage Number]]&gt;=4,1,0)</f>
        <v>0</v>
      </c>
    </row>
    <row r="1457" spans="1:15" x14ac:dyDescent="0.25">
      <c r="A1457" t="s">
        <v>1497</v>
      </c>
      <c r="B1457" s="1">
        <v>45574</v>
      </c>
      <c r="C1457" t="s">
        <v>25</v>
      </c>
      <c r="D1457" t="s">
        <v>26</v>
      </c>
      <c r="E1457" t="s">
        <v>21</v>
      </c>
      <c r="F1457" t="s">
        <v>19</v>
      </c>
      <c r="G1457" t="s">
        <v>15</v>
      </c>
      <c r="K1457" cm="1">
        <f t="array" ref="K1457">_xlfn.SWITCH(LeadsData[[#This Row],[Funnel Stage Reached]],"Lead",1,"MQL",2,"SQL",3,"Customer",4)</f>
        <v>1</v>
      </c>
      <c r="L1457" t="str">
        <f>TEXT(LeadsData[[#This Row],[Signup Date]],"mmm-yyyy")</f>
        <v>Oct-2024</v>
      </c>
      <c r="M1457">
        <f>IF(LeadsData[[#This Row],[Stage Number]]&gt;=2,1,0)</f>
        <v>0</v>
      </c>
      <c r="N1457" s="2">
        <f>IF(LeadsData[[#This Row],[Stage Number]]&gt;=3,1,0)</f>
        <v>0</v>
      </c>
      <c r="O1457" s="2">
        <f>IF(LeadsData[[#This Row],[Stage Number]]&gt;=4,1,0)</f>
        <v>0</v>
      </c>
    </row>
    <row r="1458" spans="1:15" x14ac:dyDescent="0.25">
      <c r="A1458" t="s">
        <v>1498</v>
      </c>
      <c r="B1458" s="1">
        <v>45598</v>
      </c>
      <c r="C1458" t="s">
        <v>31</v>
      </c>
      <c r="D1458" t="s">
        <v>34</v>
      </c>
      <c r="E1458" t="s">
        <v>13</v>
      </c>
      <c r="F1458" t="s">
        <v>22</v>
      </c>
      <c r="G1458" t="s">
        <v>42</v>
      </c>
      <c r="H1458">
        <v>59</v>
      </c>
      <c r="I1458" t="s">
        <v>43</v>
      </c>
      <c r="J1458">
        <v>851.39</v>
      </c>
      <c r="K1458" cm="1">
        <f t="array" ref="K1458">_xlfn.SWITCH(LeadsData[[#This Row],[Funnel Stage Reached]],"Lead",1,"MQL",2,"SQL",3,"Customer",4)</f>
        <v>4</v>
      </c>
      <c r="L1458" t="str">
        <f>TEXT(LeadsData[[#This Row],[Signup Date]],"mmm-yyyy")</f>
        <v>Nov-2024</v>
      </c>
      <c r="M1458">
        <f>IF(LeadsData[[#This Row],[Stage Number]]&gt;=2,1,0)</f>
        <v>1</v>
      </c>
      <c r="N1458" s="2">
        <f>IF(LeadsData[[#This Row],[Stage Number]]&gt;=3,1,0)</f>
        <v>1</v>
      </c>
      <c r="O1458" s="2">
        <f>IF(LeadsData[[#This Row],[Stage Number]]&gt;=4,1,0)</f>
        <v>1</v>
      </c>
    </row>
    <row r="1459" spans="1:15" x14ac:dyDescent="0.25">
      <c r="A1459" t="s">
        <v>1499</v>
      </c>
      <c r="B1459" s="1">
        <v>45334</v>
      </c>
      <c r="C1459" t="s">
        <v>46</v>
      </c>
      <c r="D1459" t="s">
        <v>47</v>
      </c>
      <c r="E1459" t="s">
        <v>13</v>
      </c>
      <c r="F1459" t="s">
        <v>19</v>
      </c>
      <c r="G1459" t="s">
        <v>42</v>
      </c>
      <c r="H1459">
        <v>14</v>
      </c>
      <c r="I1459" t="s">
        <v>43</v>
      </c>
      <c r="J1459">
        <v>1196.47</v>
      </c>
      <c r="K1459" cm="1">
        <f t="array" ref="K1459">_xlfn.SWITCH(LeadsData[[#This Row],[Funnel Stage Reached]],"Lead",1,"MQL",2,"SQL",3,"Customer",4)</f>
        <v>4</v>
      </c>
      <c r="L1459" t="str">
        <f>TEXT(LeadsData[[#This Row],[Signup Date]],"mmm-yyyy")</f>
        <v>Feb-2024</v>
      </c>
      <c r="M1459">
        <f>IF(LeadsData[[#This Row],[Stage Number]]&gt;=2,1,0)</f>
        <v>1</v>
      </c>
      <c r="N1459" s="2">
        <f>IF(LeadsData[[#This Row],[Stage Number]]&gt;=3,1,0)</f>
        <v>1</v>
      </c>
      <c r="O1459" s="2">
        <f>IF(LeadsData[[#This Row],[Stage Number]]&gt;=4,1,0)</f>
        <v>1</v>
      </c>
    </row>
    <row r="1460" spans="1:15" x14ac:dyDescent="0.25">
      <c r="A1460" t="s">
        <v>1500</v>
      </c>
      <c r="B1460" s="1">
        <v>45523</v>
      </c>
      <c r="C1460" t="s">
        <v>31</v>
      </c>
      <c r="D1460" t="s">
        <v>32</v>
      </c>
      <c r="E1460" t="s">
        <v>13</v>
      </c>
      <c r="F1460" t="s">
        <v>19</v>
      </c>
      <c r="G1460" t="s">
        <v>29</v>
      </c>
      <c r="K1460" cm="1">
        <f t="array" ref="K1460">_xlfn.SWITCH(LeadsData[[#This Row],[Funnel Stage Reached]],"Lead",1,"MQL",2,"SQL",3,"Customer",4)</f>
        <v>3</v>
      </c>
      <c r="L1460" t="str">
        <f>TEXT(LeadsData[[#This Row],[Signup Date]],"mmm-yyyy")</f>
        <v>Aug-2024</v>
      </c>
      <c r="M1460">
        <f>IF(LeadsData[[#This Row],[Stage Number]]&gt;=2,1,0)</f>
        <v>1</v>
      </c>
      <c r="N1460" s="2">
        <f>IF(LeadsData[[#This Row],[Stage Number]]&gt;=3,1,0)</f>
        <v>1</v>
      </c>
      <c r="O1460" s="2">
        <f>IF(LeadsData[[#This Row],[Stage Number]]&gt;=4,1,0)</f>
        <v>0</v>
      </c>
    </row>
    <row r="1461" spans="1:15" x14ac:dyDescent="0.25">
      <c r="A1461" t="s">
        <v>1501</v>
      </c>
      <c r="B1461" s="1">
        <v>45499</v>
      </c>
      <c r="C1461" t="s">
        <v>36</v>
      </c>
      <c r="D1461" t="s">
        <v>50</v>
      </c>
      <c r="E1461" t="s">
        <v>21</v>
      </c>
      <c r="F1461" t="s">
        <v>19</v>
      </c>
      <c r="G1461" t="s">
        <v>23</v>
      </c>
      <c r="K1461" cm="1">
        <f t="array" ref="K1461">_xlfn.SWITCH(LeadsData[[#This Row],[Funnel Stage Reached]],"Lead",1,"MQL",2,"SQL",3,"Customer",4)</f>
        <v>2</v>
      </c>
      <c r="L1461" t="str">
        <f>TEXT(LeadsData[[#This Row],[Signup Date]],"mmm-yyyy")</f>
        <v>Jul-2024</v>
      </c>
      <c r="M1461">
        <f>IF(LeadsData[[#This Row],[Stage Number]]&gt;=2,1,0)</f>
        <v>1</v>
      </c>
      <c r="N1461" s="2">
        <f>IF(LeadsData[[#This Row],[Stage Number]]&gt;=3,1,0)</f>
        <v>0</v>
      </c>
      <c r="O1461" s="2">
        <f>IF(LeadsData[[#This Row],[Stage Number]]&gt;=4,1,0)</f>
        <v>0</v>
      </c>
    </row>
    <row r="1462" spans="1:15" x14ac:dyDescent="0.25">
      <c r="A1462" t="s">
        <v>1502</v>
      </c>
      <c r="B1462" s="1">
        <v>45399</v>
      </c>
      <c r="C1462" t="s">
        <v>31</v>
      </c>
      <c r="D1462" t="s">
        <v>34</v>
      </c>
      <c r="E1462" t="s">
        <v>13</v>
      </c>
      <c r="F1462" t="s">
        <v>22</v>
      </c>
      <c r="G1462" t="s">
        <v>15</v>
      </c>
      <c r="K1462" cm="1">
        <f t="array" ref="K1462">_xlfn.SWITCH(LeadsData[[#This Row],[Funnel Stage Reached]],"Lead",1,"MQL",2,"SQL",3,"Customer",4)</f>
        <v>1</v>
      </c>
      <c r="L1462" t="str">
        <f>TEXT(LeadsData[[#This Row],[Signup Date]],"mmm-yyyy")</f>
        <v>Apr-2024</v>
      </c>
      <c r="M1462">
        <f>IF(LeadsData[[#This Row],[Stage Number]]&gt;=2,1,0)</f>
        <v>0</v>
      </c>
      <c r="N1462" s="2">
        <f>IF(LeadsData[[#This Row],[Stage Number]]&gt;=3,1,0)</f>
        <v>0</v>
      </c>
      <c r="O1462" s="2">
        <f>IF(LeadsData[[#This Row],[Stage Number]]&gt;=4,1,0)</f>
        <v>0</v>
      </c>
    </row>
    <row r="1463" spans="1:15" x14ac:dyDescent="0.25">
      <c r="A1463" t="s">
        <v>1503</v>
      </c>
      <c r="B1463" s="1">
        <v>45632</v>
      </c>
      <c r="C1463" t="s">
        <v>46</v>
      </c>
      <c r="D1463" t="s">
        <v>56</v>
      </c>
      <c r="E1463" t="s">
        <v>21</v>
      </c>
      <c r="F1463" t="s">
        <v>22</v>
      </c>
      <c r="G1463" t="s">
        <v>15</v>
      </c>
      <c r="K1463" cm="1">
        <f t="array" ref="K1463">_xlfn.SWITCH(LeadsData[[#This Row],[Funnel Stage Reached]],"Lead",1,"MQL",2,"SQL",3,"Customer",4)</f>
        <v>1</v>
      </c>
      <c r="L1463" t="str">
        <f>TEXT(LeadsData[[#This Row],[Signup Date]],"mmm-yyyy")</f>
        <v>Dec-2024</v>
      </c>
      <c r="M1463">
        <f>IF(LeadsData[[#This Row],[Stage Number]]&gt;=2,1,0)</f>
        <v>0</v>
      </c>
      <c r="N1463" s="2">
        <f>IF(LeadsData[[#This Row],[Stage Number]]&gt;=3,1,0)</f>
        <v>0</v>
      </c>
      <c r="O1463" s="2">
        <f>IF(LeadsData[[#This Row],[Stage Number]]&gt;=4,1,0)</f>
        <v>0</v>
      </c>
    </row>
    <row r="1464" spans="1:15" x14ac:dyDescent="0.25">
      <c r="A1464" t="s">
        <v>1504</v>
      </c>
      <c r="B1464" s="1">
        <v>45366</v>
      </c>
      <c r="C1464" t="s">
        <v>31</v>
      </c>
      <c r="D1464" t="s">
        <v>34</v>
      </c>
      <c r="E1464" t="s">
        <v>48</v>
      </c>
      <c r="F1464" t="s">
        <v>19</v>
      </c>
      <c r="G1464" t="s">
        <v>15</v>
      </c>
      <c r="K1464" cm="1">
        <f t="array" ref="K1464">_xlfn.SWITCH(LeadsData[[#This Row],[Funnel Stage Reached]],"Lead",1,"MQL",2,"SQL",3,"Customer",4)</f>
        <v>1</v>
      </c>
      <c r="L1464" t="str">
        <f>TEXT(LeadsData[[#This Row],[Signup Date]],"mmm-yyyy")</f>
        <v>Mar-2024</v>
      </c>
      <c r="M1464">
        <f>IF(LeadsData[[#This Row],[Stage Number]]&gt;=2,1,0)</f>
        <v>0</v>
      </c>
      <c r="N1464" s="2">
        <f>IF(LeadsData[[#This Row],[Stage Number]]&gt;=3,1,0)</f>
        <v>0</v>
      </c>
      <c r="O1464" s="2">
        <f>IF(LeadsData[[#This Row],[Stage Number]]&gt;=4,1,0)</f>
        <v>0</v>
      </c>
    </row>
    <row r="1465" spans="1:15" x14ac:dyDescent="0.25">
      <c r="A1465" t="s">
        <v>1505</v>
      </c>
      <c r="B1465" s="1">
        <v>45629</v>
      </c>
      <c r="C1465" t="s">
        <v>11</v>
      </c>
      <c r="D1465" t="s">
        <v>79</v>
      </c>
      <c r="E1465" t="s">
        <v>21</v>
      </c>
      <c r="F1465" t="s">
        <v>22</v>
      </c>
      <c r="G1465" t="s">
        <v>23</v>
      </c>
      <c r="K1465" cm="1">
        <f t="array" ref="K1465">_xlfn.SWITCH(LeadsData[[#This Row],[Funnel Stage Reached]],"Lead",1,"MQL",2,"SQL",3,"Customer",4)</f>
        <v>2</v>
      </c>
      <c r="L1465" t="str">
        <f>TEXT(LeadsData[[#This Row],[Signup Date]],"mmm-yyyy")</f>
        <v>Dec-2024</v>
      </c>
      <c r="M1465">
        <f>IF(LeadsData[[#This Row],[Stage Number]]&gt;=2,1,0)</f>
        <v>1</v>
      </c>
      <c r="N1465" s="2">
        <f>IF(LeadsData[[#This Row],[Stage Number]]&gt;=3,1,0)</f>
        <v>0</v>
      </c>
      <c r="O1465" s="2">
        <f>IF(LeadsData[[#This Row],[Stage Number]]&gt;=4,1,0)</f>
        <v>0</v>
      </c>
    </row>
    <row r="1466" spans="1:15" x14ac:dyDescent="0.25">
      <c r="A1466" t="s">
        <v>1506</v>
      </c>
      <c r="B1466" s="1">
        <v>45357</v>
      </c>
      <c r="C1466" t="s">
        <v>25</v>
      </c>
      <c r="D1466" t="s">
        <v>26</v>
      </c>
      <c r="E1466" t="s">
        <v>21</v>
      </c>
      <c r="F1466" t="s">
        <v>19</v>
      </c>
      <c r="G1466" t="s">
        <v>23</v>
      </c>
      <c r="K1466" cm="1">
        <f t="array" ref="K1466">_xlfn.SWITCH(LeadsData[[#This Row],[Funnel Stage Reached]],"Lead",1,"MQL",2,"SQL",3,"Customer",4)</f>
        <v>2</v>
      </c>
      <c r="L1466" t="str">
        <f>TEXT(LeadsData[[#This Row],[Signup Date]],"mmm-yyyy")</f>
        <v>Mar-2024</v>
      </c>
      <c r="M1466">
        <f>IF(LeadsData[[#This Row],[Stage Number]]&gt;=2,1,0)</f>
        <v>1</v>
      </c>
      <c r="N1466" s="2">
        <f>IF(LeadsData[[#This Row],[Stage Number]]&gt;=3,1,0)</f>
        <v>0</v>
      </c>
      <c r="O1466" s="2">
        <f>IF(LeadsData[[#This Row],[Stage Number]]&gt;=4,1,0)</f>
        <v>0</v>
      </c>
    </row>
    <row r="1467" spans="1:15" x14ac:dyDescent="0.25">
      <c r="A1467" t="s">
        <v>1507</v>
      </c>
      <c r="B1467" s="1">
        <v>45545</v>
      </c>
      <c r="C1467" t="s">
        <v>25</v>
      </c>
      <c r="D1467" t="s">
        <v>26</v>
      </c>
      <c r="E1467" t="s">
        <v>13</v>
      </c>
      <c r="F1467" t="s">
        <v>22</v>
      </c>
      <c r="G1467" t="s">
        <v>15</v>
      </c>
      <c r="K1467" cm="1">
        <f t="array" ref="K1467">_xlfn.SWITCH(LeadsData[[#This Row],[Funnel Stage Reached]],"Lead",1,"MQL",2,"SQL",3,"Customer",4)</f>
        <v>1</v>
      </c>
      <c r="L1467" t="str">
        <f>TEXT(LeadsData[[#This Row],[Signup Date]],"mmm-yyyy")</f>
        <v>Sep-2024</v>
      </c>
      <c r="M1467">
        <f>IF(LeadsData[[#This Row],[Stage Number]]&gt;=2,1,0)</f>
        <v>0</v>
      </c>
      <c r="N1467" s="2">
        <f>IF(LeadsData[[#This Row],[Stage Number]]&gt;=3,1,0)</f>
        <v>0</v>
      </c>
      <c r="O1467" s="2">
        <f>IF(LeadsData[[#This Row],[Stage Number]]&gt;=4,1,0)</f>
        <v>0</v>
      </c>
    </row>
    <row r="1468" spans="1:15" x14ac:dyDescent="0.25">
      <c r="A1468" t="s">
        <v>1508</v>
      </c>
      <c r="B1468" s="1">
        <v>45635</v>
      </c>
      <c r="C1468" t="s">
        <v>46</v>
      </c>
      <c r="D1468" t="s">
        <v>56</v>
      </c>
      <c r="E1468" t="s">
        <v>21</v>
      </c>
      <c r="F1468" t="s">
        <v>22</v>
      </c>
      <c r="G1468" t="s">
        <v>23</v>
      </c>
      <c r="K1468" cm="1">
        <f t="array" ref="K1468">_xlfn.SWITCH(LeadsData[[#This Row],[Funnel Stage Reached]],"Lead",1,"MQL",2,"SQL",3,"Customer",4)</f>
        <v>2</v>
      </c>
      <c r="L1468" t="str">
        <f>TEXT(LeadsData[[#This Row],[Signup Date]],"mmm-yyyy")</f>
        <v>Dec-2024</v>
      </c>
      <c r="M1468">
        <f>IF(LeadsData[[#This Row],[Stage Number]]&gt;=2,1,0)</f>
        <v>1</v>
      </c>
      <c r="N1468" s="2">
        <f>IF(LeadsData[[#This Row],[Stage Number]]&gt;=3,1,0)</f>
        <v>0</v>
      </c>
      <c r="O1468" s="2">
        <f>IF(LeadsData[[#This Row],[Stage Number]]&gt;=4,1,0)</f>
        <v>0</v>
      </c>
    </row>
    <row r="1469" spans="1:15" x14ac:dyDescent="0.25">
      <c r="A1469" t="s">
        <v>1509</v>
      </c>
      <c r="B1469" s="1">
        <v>45415</v>
      </c>
      <c r="C1469" t="s">
        <v>46</v>
      </c>
      <c r="D1469" t="s">
        <v>47</v>
      </c>
      <c r="E1469" t="s">
        <v>13</v>
      </c>
      <c r="F1469" t="s">
        <v>19</v>
      </c>
      <c r="G1469" t="s">
        <v>23</v>
      </c>
      <c r="K1469" cm="1">
        <f t="array" ref="K1469">_xlfn.SWITCH(LeadsData[[#This Row],[Funnel Stage Reached]],"Lead",1,"MQL",2,"SQL",3,"Customer",4)</f>
        <v>2</v>
      </c>
      <c r="L1469" t="str">
        <f>TEXT(LeadsData[[#This Row],[Signup Date]],"mmm-yyyy")</f>
        <v>May-2024</v>
      </c>
      <c r="M1469">
        <f>IF(LeadsData[[#This Row],[Stage Number]]&gt;=2,1,0)</f>
        <v>1</v>
      </c>
      <c r="N1469" s="2">
        <f>IF(LeadsData[[#This Row],[Stage Number]]&gt;=3,1,0)</f>
        <v>0</v>
      </c>
      <c r="O1469" s="2">
        <f>IF(LeadsData[[#This Row],[Stage Number]]&gt;=4,1,0)</f>
        <v>0</v>
      </c>
    </row>
    <row r="1470" spans="1:15" x14ac:dyDescent="0.25">
      <c r="A1470" t="s">
        <v>1510</v>
      </c>
      <c r="B1470" s="1">
        <v>45623</v>
      </c>
      <c r="C1470" t="s">
        <v>25</v>
      </c>
      <c r="D1470" t="s">
        <v>26</v>
      </c>
      <c r="E1470" t="s">
        <v>21</v>
      </c>
      <c r="F1470" t="s">
        <v>22</v>
      </c>
      <c r="G1470" t="s">
        <v>23</v>
      </c>
      <c r="K1470" cm="1">
        <f t="array" ref="K1470">_xlfn.SWITCH(LeadsData[[#This Row],[Funnel Stage Reached]],"Lead",1,"MQL",2,"SQL",3,"Customer",4)</f>
        <v>2</v>
      </c>
      <c r="L1470" t="str">
        <f>TEXT(LeadsData[[#This Row],[Signup Date]],"mmm-yyyy")</f>
        <v>Nov-2024</v>
      </c>
      <c r="M1470">
        <f>IF(LeadsData[[#This Row],[Stage Number]]&gt;=2,1,0)</f>
        <v>1</v>
      </c>
      <c r="N1470" s="2">
        <f>IF(LeadsData[[#This Row],[Stage Number]]&gt;=3,1,0)</f>
        <v>0</v>
      </c>
      <c r="O1470" s="2">
        <f>IF(LeadsData[[#This Row],[Stage Number]]&gt;=4,1,0)</f>
        <v>0</v>
      </c>
    </row>
    <row r="1471" spans="1:15" x14ac:dyDescent="0.25">
      <c r="A1471" t="s">
        <v>1511</v>
      </c>
      <c r="B1471" s="1">
        <v>45615</v>
      </c>
      <c r="C1471" t="s">
        <v>17</v>
      </c>
      <c r="D1471" t="s">
        <v>18</v>
      </c>
      <c r="E1471" t="s">
        <v>13</v>
      </c>
      <c r="F1471" t="s">
        <v>22</v>
      </c>
      <c r="G1471" t="s">
        <v>15</v>
      </c>
      <c r="K1471" cm="1">
        <f t="array" ref="K1471">_xlfn.SWITCH(LeadsData[[#This Row],[Funnel Stage Reached]],"Lead",1,"MQL",2,"SQL",3,"Customer",4)</f>
        <v>1</v>
      </c>
      <c r="L1471" t="str">
        <f>TEXT(LeadsData[[#This Row],[Signup Date]],"mmm-yyyy")</f>
        <v>Nov-2024</v>
      </c>
      <c r="M1471">
        <f>IF(LeadsData[[#This Row],[Stage Number]]&gt;=2,1,0)</f>
        <v>0</v>
      </c>
      <c r="N1471" s="2">
        <f>IF(LeadsData[[#This Row],[Stage Number]]&gt;=3,1,0)</f>
        <v>0</v>
      </c>
      <c r="O1471" s="2">
        <f>IF(LeadsData[[#This Row],[Stage Number]]&gt;=4,1,0)</f>
        <v>0</v>
      </c>
    </row>
    <row r="1472" spans="1:15" x14ac:dyDescent="0.25">
      <c r="A1472" t="s">
        <v>1512</v>
      </c>
      <c r="B1472" s="1">
        <v>45650</v>
      </c>
      <c r="C1472" t="s">
        <v>36</v>
      </c>
      <c r="D1472" t="s">
        <v>50</v>
      </c>
      <c r="E1472" t="s">
        <v>13</v>
      </c>
      <c r="F1472" t="s">
        <v>14</v>
      </c>
      <c r="G1472" t="s">
        <v>23</v>
      </c>
      <c r="K1472" cm="1">
        <f t="array" ref="K1472">_xlfn.SWITCH(LeadsData[[#This Row],[Funnel Stage Reached]],"Lead",1,"MQL",2,"SQL",3,"Customer",4)</f>
        <v>2</v>
      </c>
      <c r="L1472" t="str">
        <f>TEXT(LeadsData[[#This Row],[Signup Date]],"mmm-yyyy")</f>
        <v>Dec-2024</v>
      </c>
      <c r="M1472">
        <f>IF(LeadsData[[#This Row],[Stage Number]]&gt;=2,1,0)</f>
        <v>1</v>
      </c>
      <c r="N1472" s="2">
        <f>IF(LeadsData[[#This Row],[Stage Number]]&gt;=3,1,0)</f>
        <v>0</v>
      </c>
      <c r="O1472" s="2">
        <f>IF(LeadsData[[#This Row],[Stage Number]]&gt;=4,1,0)</f>
        <v>0</v>
      </c>
    </row>
    <row r="1473" spans="1:15" x14ac:dyDescent="0.25">
      <c r="A1473" t="s">
        <v>1513</v>
      </c>
      <c r="B1473" s="1">
        <v>45387</v>
      </c>
      <c r="C1473" t="s">
        <v>17</v>
      </c>
      <c r="D1473" t="s">
        <v>18</v>
      </c>
      <c r="E1473" t="s">
        <v>13</v>
      </c>
      <c r="F1473" t="s">
        <v>19</v>
      </c>
      <c r="G1473" t="s">
        <v>15</v>
      </c>
      <c r="K1473" cm="1">
        <f t="array" ref="K1473">_xlfn.SWITCH(LeadsData[[#This Row],[Funnel Stage Reached]],"Lead",1,"MQL",2,"SQL",3,"Customer",4)</f>
        <v>1</v>
      </c>
      <c r="L1473" t="str">
        <f>TEXT(LeadsData[[#This Row],[Signup Date]],"mmm-yyyy")</f>
        <v>Apr-2024</v>
      </c>
      <c r="M1473">
        <f>IF(LeadsData[[#This Row],[Stage Number]]&gt;=2,1,0)</f>
        <v>0</v>
      </c>
      <c r="N1473" s="2">
        <f>IF(LeadsData[[#This Row],[Stage Number]]&gt;=3,1,0)</f>
        <v>0</v>
      </c>
      <c r="O1473" s="2">
        <f>IF(LeadsData[[#This Row],[Stage Number]]&gt;=4,1,0)</f>
        <v>0</v>
      </c>
    </row>
    <row r="1474" spans="1:15" x14ac:dyDescent="0.25">
      <c r="A1474" t="s">
        <v>1514</v>
      </c>
      <c r="B1474" s="1">
        <v>45460</v>
      </c>
      <c r="C1474" t="s">
        <v>36</v>
      </c>
      <c r="D1474" t="s">
        <v>37</v>
      </c>
      <c r="E1474" t="s">
        <v>13</v>
      </c>
      <c r="F1474" t="s">
        <v>22</v>
      </c>
      <c r="G1474" t="s">
        <v>42</v>
      </c>
      <c r="H1474">
        <v>7</v>
      </c>
      <c r="I1474" t="s">
        <v>43</v>
      </c>
      <c r="J1474">
        <v>1499.76</v>
      </c>
      <c r="K1474" cm="1">
        <f t="array" ref="K1474">_xlfn.SWITCH(LeadsData[[#This Row],[Funnel Stage Reached]],"Lead",1,"MQL",2,"SQL",3,"Customer",4)</f>
        <v>4</v>
      </c>
      <c r="L1474" t="str">
        <f>TEXT(LeadsData[[#This Row],[Signup Date]],"mmm-yyyy")</f>
        <v>Jun-2024</v>
      </c>
      <c r="M1474">
        <f>IF(LeadsData[[#This Row],[Stage Number]]&gt;=2,1,0)</f>
        <v>1</v>
      </c>
      <c r="N1474" s="2">
        <f>IF(LeadsData[[#This Row],[Stage Number]]&gt;=3,1,0)</f>
        <v>1</v>
      </c>
      <c r="O1474" s="2">
        <f>IF(LeadsData[[#This Row],[Stage Number]]&gt;=4,1,0)</f>
        <v>1</v>
      </c>
    </row>
    <row r="1475" spans="1:15" x14ac:dyDescent="0.25">
      <c r="A1475" t="s">
        <v>1515</v>
      </c>
      <c r="B1475" s="1">
        <v>45622</v>
      </c>
      <c r="C1475" t="s">
        <v>25</v>
      </c>
      <c r="D1475" t="s">
        <v>26</v>
      </c>
      <c r="E1475" t="s">
        <v>21</v>
      </c>
      <c r="F1475" t="s">
        <v>22</v>
      </c>
      <c r="G1475" t="s">
        <v>29</v>
      </c>
      <c r="K1475" cm="1">
        <f t="array" ref="K1475">_xlfn.SWITCH(LeadsData[[#This Row],[Funnel Stage Reached]],"Lead",1,"MQL",2,"SQL",3,"Customer",4)</f>
        <v>3</v>
      </c>
      <c r="L1475" t="str">
        <f>TEXT(LeadsData[[#This Row],[Signup Date]],"mmm-yyyy")</f>
        <v>Nov-2024</v>
      </c>
      <c r="M1475">
        <f>IF(LeadsData[[#This Row],[Stage Number]]&gt;=2,1,0)</f>
        <v>1</v>
      </c>
      <c r="N1475" s="2">
        <f>IF(LeadsData[[#This Row],[Stage Number]]&gt;=3,1,0)</f>
        <v>1</v>
      </c>
      <c r="O1475" s="2">
        <f>IF(LeadsData[[#This Row],[Stage Number]]&gt;=4,1,0)</f>
        <v>0</v>
      </c>
    </row>
    <row r="1476" spans="1:15" x14ac:dyDescent="0.25">
      <c r="A1476" t="s">
        <v>1516</v>
      </c>
      <c r="B1476" s="1">
        <v>45469</v>
      </c>
      <c r="C1476" t="s">
        <v>36</v>
      </c>
      <c r="D1476" t="s">
        <v>37</v>
      </c>
      <c r="E1476" t="s">
        <v>21</v>
      </c>
      <c r="F1476" t="s">
        <v>22</v>
      </c>
      <c r="G1476" t="s">
        <v>23</v>
      </c>
      <c r="K1476" cm="1">
        <f t="array" ref="K1476">_xlfn.SWITCH(LeadsData[[#This Row],[Funnel Stage Reached]],"Lead",1,"MQL",2,"SQL",3,"Customer",4)</f>
        <v>2</v>
      </c>
      <c r="L1476" t="str">
        <f>TEXT(LeadsData[[#This Row],[Signup Date]],"mmm-yyyy")</f>
        <v>Jun-2024</v>
      </c>
      <c r="M1476">
        <f>IF(LeadsData[[#This Row],[Stage Number]]&gt;=2,1,0)</f>
        <v>1</v>
      </c>
      <c r="N1476" s="2">
        <f>IF(LeadsData[[#This Row],[Stage Number]]&gt;=3,1,0)</f>
        <v>0</v>
      </c>
      <c r="O1476" s="2">
        <f>IF(LeadsData[[#This Row],[Stage Number]]&gt;=4,1,0)</f>
        <v>0</v>
      </c>
    </row>
    <row r="1477" spans="1:15" x14ac:dyDescent="0.25">
      <c r="A1477" t="s">
        <v>1517</v>
      </c>
      <c r="B1477" s="1">
        <v>45449</v>
      </c>
      <c r="C1477" t="s">
        <v>17</v>
      </c>
      <c r="D1477" t="s">
        <v>18</v>
      </c>
      <c r="E1477" t="s">
        <v>48</v>
      </c>
      <c r="F1477" t="s">
        <v>22</v>
      </c>
      <c r="G1477" t="s">
        <v>15</v>
      </c>
      <c r="K1477" cm="1">
        <f t="array" ref="K1477">_xlfn.SWITCH(LeadsData[[#This Row],[Funnel Stage Reached]],"Lead",1,"MQL",2,"SQL",3,"Customer",4)</f>
        <v>1</v>
      </c>
      <c r="L1477" t="str">
        <f>TEXT(LeadsData[[#This Row],[Signup Date]],"mmm-yyyy")</f>
        <v>Jun-2024</v>
      </c>
      <c r="M1477">
        <f>IF(LeadsData[[#This Row],[Stage Number]]&gt;=2,1,0)</f>
        <v>0</v>
      </c>
      <c r="N1477" s="2">
        <f>IF(LeadsData[[#This Row],[Stage Number]]&gt;=3,1,0)</f>
        <v>0</v>
      </c>
      <c r="O1477" s="2">
        <f>IF(LeadsData[[#This Row],[Stage Number]]&gt;=4,1,0)</f>
        <v>0</v>
      </c>
    </row>
    <row r="1478" spans="1:15" x14ac:dyDescent="0.25">
      <c r="A1478" t="s">
        <v>1518</v>
      </c>
      <c r="B1478" s="1">
        <v>45516</v>
      </c>
      <c r="C1478" t="s">
        <v>36</v>
      </c>
      <c r="D1478" t="s">
        <v>50</v>
      </c>
      <c r="E1478" t="s">
        <v>21</v>
      </c>
      <c r="F1478" t="s">
        <v>22</v>
      </c>
      <c r="G1478" t="s">
        <v>15</v>
      </c>
      <c r="K1478" cm="1">
        <f t="array" ref="K1478">_xlfn.SWITCH(LeadsData[[#This Row],[Funnel Stage Reached]],"Lead",1,"MQL",2,"SQL",3,"Customer",4)</f>
        <v>1</v>
      </c>
      <c r="L1478" t="str">
        <f>TEXT(LeadsData[[#This Row],[Signup Date]],"mmm-yyyy")</f>
        <v>Aug-2024</v>
      </c>
      <c r="M1478">
        <f>IF(LeadsData[[#This Row],[Stage Number]]&gt;=2,1,0)</f>
        <v>0</v>
      </c>
      <c r="N1478" s="2">
        <f>IF(LeadsData[[#This Row],[Stage Number]]&gt;=3,1,0)</f>
        <v>0</v>
      </c>
      <c r="O1478" s="2">
        <f>IF(LeadsData[[#This Row],[Stage Number]]&gt;=4,1,0)</f>
        <v>0</v>
      </c>
    </row>
    <row r="1479" spans="1:15" x14ac:dyDescent="0.25">
      <c r="A1479" t="s">
        <v>1519</v>
      </c>
      <c r="B1479" s="1">
        <v>45482</v>
      </c>
      <c r="C1479" t="s">
        <v>36</v>
      </c>
      <c r="D1479" t="s">
        <v>50</v>
      </c>
      <c r="E1479" t="s">
        <v>21</v>
      </c>
      <c r="F1479" t="s">
        <v>28</v>
      </c>
      <c r="G1479" t="s">
        <v>42</v>
      </c>
      <c r="H1479">
        <v>61</v>
      </c>
      <c r="I1479" t="s">
        <v>87</v>
      </c>
      <c r="J1479">
        <v>4751.9399999999996</v>
      </c>
      <c r="K1479" cm="1">
        <f t="array" ref="K1479">_xlfn.SWITCH(LeadsData[[#This Row],[Funnel Stage Reached]],"Lead",1,"MQL",2,"SQL",3,"Customer",4)</f>
        <v>4</v>
      </c>
      <c r="L1479" t="str">
        <f>TEXT(LeadsData[[#This Row],[Signup Date]],"mmm-yyyy")</f>
        <v>Jul-2024</v>
      </c>
      <c r="M1479">
        <f>IF(LeadsData[[#This Row],[Stage Number]]&gt;=2,1,0)</f>
        <v>1</v>
      </c>
      <c r="N1479" s="2">
        <f>IF(LeadsData[[#This Row],[Stage Number]]&gt;=3,1,0)</f>
        <v>1</v>
      </c>
      <c r="O1479" s="2">
        <f>IF(LeadsData[[#This Row],[Stage Number]]&gt;=4,1,0)</f>
        <v>1</v>
      </c>
    </row>
    <row r="1480" spans="1:15" x14ac:dyDescent="0.25">
      <c r="A1480" t="s">
        <v>1520</v>
      </c>
      <c r="B1480" s="1">
        <v>45633</v>
      </c>
      <c r="C1480" t="s">
        <v>36</v>
      </c>
      <c r="D1480" t="s">
        <v>50</v>
      </c>
      <c r="E1480" t="s">
        <v>21</v>
      </c>
      <c r="F1480" t="s">
        <v>19</v>
      </c>
      <c r="G1480" t="s">
        <v>15</v>
      </c>
      <c r="K1480" cm="1">
        <f t="array" ref="K1480">_xlfn.SWITCH(LeadsData[[#This Row],[Funnel Stage Reached]],"Lead",1,"MQL",2,"SQL",3,"Customer",4)</f>
        <v>1</v>
      </c>
      <c r="L1480" t="str">
        <f>TEXT(LeadsData[[#This Row],[Signup Date]],"mmm-yyyy")</f>
        <v>Dec-2024</v>
      </c>
      <c r="M1480">
        <f>IF(LeadsData[[#This Row],[Stage Number]]&gt;=2,1,0)</f>
        <v>0</v>
      </c>
      <c r="N1480" s="2">
        <f>IF(LeadsData[[#This Row],[Stage Number]]&gt;=3,1,0)</f>
        <v>0</v>
      </c>
      <c r="O1480" s="2">
        <f>IF(LeadsData[[#This Row],[Stage Number]]&gt;=4,1,0)</f>
        <v>0</v>
      </c>
    </row>
    <row r="1481" spans="1:15" x14ac:dyDescent="0.25">
      <c r="A1481" t="s">
        <v>1521</v>
      </c>
      <c r="B1481" s="1">
        <v>45605</v>
      </c>
      <c r="C1481" t="s">
        <v>46</v>
      </c>
      <c r="D1481" t="s">
        <v>47</v>
      </c>
      <c r="E1481" t="s">
        <v>21</v>
      </c>
      <c r="F1481" t="s">
        <v>19</v>
      </c>
      <c r="G1481" t="s">
        <v>15</v>
      </c>
      <c r="K1481" cm="1">
        <f t="array" ref="K1481">_xlfn.SWITCH(LeadsData[[#This Row],[Funnel Stage Reached]],"Lead",1,"MQL",2,"SQL",3,"Customer",4)</f>
        <v>1</v>
      </c>
      <c r="L1481" t="str">
        <f>TEXT(LeadsData[[#This Row],[Signup Date]],"mmm-yyyy")</f>
        <v>Nov-2024</v>
      </c>
      <c r="M1481">
        <f>IF(LeadsData[[#This Row],[Stage Number]]&gt;=2,1,0)</f>
        <v>0</v>
      </c>
      <c r="N1481" s="2">
        <f>IF(LeadsData[[#This Row],[Stage Number]]&gt;=3,1,0)</f>
        <v>0</v>
      </c>
      <c r="O1481" s="2">
        <f>IF(LeadsData[[#This Row],[Stage Number]]&gt;=4,1,0)</f>
        <v>0</v>
      </c>
    </row>
    <row r="1482" spans="1:15" x14ac:dyDescent="0.25">
      <c r="A1482" t="s">
        <v>1522</v>
      </c>
      <c r="B1482" s="1">
        <v>45606</v>
      </c>
      <c r="C1482" t="s">
        <v>36</v>
      </c>
      <c r="D1482" t="s">
        <v>37</v>
      </c>
      <c r="E1482" t="s">
        <v>21</v>
      </c>
      <c r="F1482" t="s">
        <v>19</v>
      </c>
      <c r="G1482" t="s">
        <v>15</v>
      </c>
      <c r="K1482" cm="1">
        <f t="array" ref="K1482">_xlfn.SWITCH(LeadsData[[#This Row],[Funnel Stage Reached]],"Lead",1,"MQL",2,"SQL",3,"Customer",4)</f>
        <v>1</v>
      </c>
      <c r="L1482" t="str">
        <f>TEXT(LeadsData[[#This Row],[Signup Date]],"mmm-yyyy")</f>
        <v>Nov-2024</v>
      </c>
      <c r="M1482">
        <f>IF(LeadsData[[#This Row],[Stage Number]]&gt;=2,1,0)</f>
        <v>0</v>
      </c>
      <c r="N1482" s="2">
        <f>IF(LeadsData[[#This Row],[Stage Number]]&gt;=3,1,0)</f>
        <v>0</v>
      </c>
      <c r="O1482" s="2">
        <f>IF(LeadsData[[#This Row],[Stage Number]]&gt;=4,1,0)</f>
        <v>0</v>
      </c>
    </row>
    <row r="1483" spans="1:15" x14ac:dyDescent="0.25">
      <c r="A1483" t="s">
        <v>1523</v>
      </c>
      <c r="B1483" s="1">
        <v>45366</v>
      </c>
      <c r="C1483" t="s">
        <v>31</v>
      </c>
      <c r="D1483" t="s">
        <v>34</v>
      </c>
      <c r="E1483" t="s">
        <v>21</v>
      </c>
      <c r="F1483" t="s">
        <v>19</v>
      </c>
      <c r="G1483" t="s">
        <v>15</v>
      </c>
      <c r="K1483" cm="1">
        <f t="array" ref="K1483">_xlfn.SWITCH(LeadsData[[#This Row],[Funnel Stage Reached]],"Lead",1,"MQL",2,"SQL",3,"Customer",4)</f>
        <v>1</v>
      </c>
      <c r="L1483" t="str">
        <f>TEXT(LeadsData[[#This Row],[Signup Date]],"mmm-yyyy")</f>
        <v>Mar-2024</v>
      </c>
      <c r="M1483">
        <f>IF(LeadsData[[#This Row],[Stage Number]]&gt;=2,1,0)</f>
        <v>0</v>
      </c>
      <c r="N1483" s="2">
        <f>IF(LeadsData[[#This Row],[Stage Number]]&gt;=3,1,0)</f>
        <v>0</v>
      </c>
      <c r="O1483" s="2">
        <f>IF(LeadsData[[#This Row],[Stage Number]]&gt;=4,1,0)</f>
        <v>0</v>
      </c>
    </row>
    <row r="1484" spans="1:15" x14ac:dyDescent="0.25">
      <c r="A1484" t="s">
        <v>1524</v>
      </c>
      <c r="B1484" s="1">
        <v>45303</v>
      </c>
      <c r="C1484" t="s">
        <v>36</v>
      </c>
      <c r="D1484" t="s">
        <v>50</v>
      </c>
      <c r="E1484" t="s">
        <v>48</v>
      </c>
      <c r="F1484" t="s">
        <v>19</v>
      </c>
      <c r="G1484" t="s">
        <v>15</v>
      </c>
      <c r="K1484" cm="1">
        <f t="array" ref="K1484">_xlfn.SWITCH(LeadsData[[#This Row],[Funnel Stage Reached]],"Lead",1,"MQL",2,"SQL",3,"Customer",4)</f>
        <v>1</v>
      </c>
      <c r="L1484" t="str">
        <f>TEXT(LeadsData[[#This Row],[Signup Date]],"mmm-yyyy")</f>
        <v>Jan-2024</v>
      </c>
      <c r="M1484">
        <f>IF(LeadsData[[#This Row],[Stage Number]]&gt;=2,1,0)</f>
        <v>0</v>
      </c>
      <c r="N1484" s="2">
        <f>IF(LeadsData[[#This Row],[Stage Number]]&gt;=3,1,0)</f>
        <v>0</v>
      </c>
      <c r="O1484" s="2">
        <f>IF(LeadsData[[#This Row],[Stage Number]]&gt;=4,1,0)</f>
        <v>0</v>
      </c>
    </row>
    <row r="1485" spans="1:15" x14ac:dyDescent="0.25">
      <c r="A1485" t="s">
        <v>1525</v>
      </c>
      <c r="B1485" s="1">
        <v>45531</v>
      </c>
      <c r="C1485" t="s">
        <v>36</v>
      </c>
      <c r="D1485" t="s">
        <v>37</v>
      </c>
      <c r="E1485" t="s">
        <v>13</v>
      </c>
      <c r="F1485" t="s">
        <v>19</v>
      </c>
      <c r="G1485" t="s">
        <v>15</v>
      </c>
      <c r="K1485" cm="1">
        <f t="array" ref="K1485">_xlfn.SWITCH(LeadsData[[#This Row],[Funnel Stage Reached]],"Lead",1,"MQL",2,"SQL",3,"Customer",4)</f>
        <v>1</v>
      </c>
      <c r="L1485" t="str">
        <f>TEXT(LeadsData[[#This Row],[Signup Date]],"mmm-yyyy")</f>
        <v>Aug-2024</v>
      </c>
      <c r="M1485">
        <f>IF(LeadsData[[#This Row],[Stage Number]]&gt;=2,1,0)</f>
        <v>0</v>
      </c>
      <c r="N1485" s="2">
        <f>IF(LeadsData[[#This Row],[Stage Number]]&gt;=3,1,0)</f>
        <v>0</v>
      </c>
      <c r="O1485" s="2">
        <f>IF(LeadsData[[#This Row],[Stage Number]]&gt;=4,1,0)</f>
        <v>0</v>
      </c>
    </row>
    <row r="1486" spans="1:15" x14ac:dyDescent="0.25">
      <c r="A1486" t="s">
        <v>1526</v>
      </c>
      <c r="B1486" s="1">
        <v>45338</v>
      </c>
      <c r="C1486" t="s">
        <v>11</v>
      </c>
      <c r="D1486" t="s">
        <v>68</v>
      </c>
      <c r="E1486" t="s">
        <v>21</v>
      </c>
      <c r="F1486" t="s">
        <v>14</v>
      </c>
      <c r="G1486" t="s">
        <v>15</v>
      </c>
      <c r="K1486" cm="1">
        <f t="array" ref="K1486">_xlfn.SWITCH(LeadsData[[#This Row],[Funnel Stage Reached]],"Lead",1,"MQL",2,"SQL",3,"Customer",4)</f>
        <v>1</v>
      </c>
      <c r="L1486" t="str">
        <f>TEXT(LeadsData[[#This Row],[Signup Date]],"mmm-yyyy")</f>
        <v>Feb-2024</v>
      </c>
      <c r="M1486">
        <f>IF(LeadsData[[#This Row],[Stage Number]]&gt;=2,1,0)</f>
        <v>0</v>
      </c>
      <c r="N1486" s="2">
        <f>IF(LeadsData[[#This Row],[Stage Number]]&gt;=3,1,0)</f>
        <v>0</v>
      </c>
      <c r="O1486" s="2">
        <f>IF(LeadsData[[#This Row],[Stage Number]]&gt;=4,1,0)</f>
        <v>0</v>
      </c>
    </row>
    <row r="1487" spans="1:15" x14ac:dyDescent="0.25">
      <c r="A1487" t="s">
        <v>1527</v>
      </c>
      <c r="B1487" s="1">
        <v>45574</v>
      </c>
      <c r="C1487" t="s">
        <v>46</v>
      </c>
      <c r="D1487" t="s">
        <v>56</v>
      </c>
      <c r="E1487" t="s">
        <v>21</v>
      </c>
      <c r="F1487" t="s">
        <v>19</v>
      </c>
      <c r="G1487" t="s">
        <v>15</v>
      </c>
      <c r="K1487" cm="1">
        <f t="array" ref="K1487">_xlfn.SWITCH(LeadsData[[#This Row],[Funnel Stage Reached]],"Lead",1,"MQL",2,"SQL",3,"Customer",4)</f>
        <v>1</v>
      </c>
      <c r="L1487" t="str">
        <f>TEXT(LeadsData[[#This Row],[Signup Date]],"mmm-yyyy")</f>
        <v>Oct-2024</v>
      </c>
      <c r="M1487">
        <f>IF(LeadsData[[#This Row],[Stage Number]]&gt;=2,1,0)</f>
        <v>0</v>
      </c>
      <c r="N1487" s="2">
        <f>IF(LeadsData[[#This Row],[Stage Number]]&gt;=3,1,0)</f>
        <v>0</v>
      </c>
      <c r="O1487" s="2">
        <f>IF(LeadsData[[#This Row],[Stage Number]]&gt;=4,1,0)</f>
        <v>0</v>
      </c>
    </row>
    <row r="1488" spans="1:15" x14ac:dyDescent="0.25">
      <c r="A1488" t="s">
        <v>1528</v>
      </c>
      <c r="B1488" s="1">
        <v>45402</v>
      </c>
      <c r="C1488" t="s">
        <v>11</v>
      </c>
      <c r="D1488" t="s">
        <v>79</v>
      </c>
      <c r="E1488" t="s">
        <v>21</v>
      </c>
      <c r="F1488" t="s">
        <v>19</v>
      </c>
      <c r="G1488" t="s">
        <v>15</v>
      </c>
      <c r="K1488" cm="1">
        <f t="array" ref="K1488">_xlfn.SWITCH(LeadsData[[#This Row],[Funnel Stage Reached]],"Lead",1,"MQL",2,"SQL",3,"Customer",4)</f>
        <v>1</v>
      </c>
      <c r="L1488" t="str">
        <f>TEXT(LeadsData[[#This Row],[Signup Date]],"mmm-yyyy")</f>
        <v>Apr-2024</v>
      </c>
      <c r="M1488">
        <f>IF(LeadsData[[#This Row],[Stage Number]]&gt;=2,1,0)</f>
        <v>0</v>
      </c>
      <c r="N1488" s="2">
        <f>IF(LeadsData[[#This Row],[Stage Number]]&gt;=3,1,0)</f>
        <v>0</v>
      </c>
      <c r="O1488" s="2">
        <f>IF(LeadsData[[#This Row],[Stage Number]]&gt;=4,1,0)</f>
        <v>0</v>
      </c>
    </row>
    <row r="1489" spans="1:15" x14ac:dyDescent="0.25">
      <c r="A1489" t="s">
        <v>1529</v>
      </c>
      <c r="B1489" s="1">
        <v>45413</v>
      </c>
      <c r="C1489" t="s">
        <v>46</v>
      </c>
      <c r="D1489" t="s">
        <v>47</v>
      </c>
      <c r="E1489" t="s">
        <v>21</v>
      </c>
      <c r="F1489" t="s">
        <v>19</v>
      </c>
      <c r="G1489" t="s">
        <v>29</v>
      </c>
      <c r="K1489" cm="1">
        <f t="array" ref="K1489">_xlfn.SWITCH(LeadsData[[#This Row],[Funnel Stage Reached]],"Lead",1,"MQL",2,"SQL",3,"Customer",4)</f>
        <v>3</v>
      </c>
      <c r="L1489" t="str">
        <f>TEXT(LeadsData[[#This Row],[Signup Date]],"mmm-yyyy")</f>
        <v>May-2024</v>
      </c>
      <c r="M1489">
        <f>IF(LeadsData[[#This Row],[Stage Number]]&gt;=2,1,0)</f>
        <v>1</v>
      </c>
      <c r="N1489" s="2">
        <f>IF(LeadsData[[#This Row],[Stage Number]]&gt;=3,1,0)</f>
        <v>1</v>
      </c>
      <c r="O1489" s="2">
        <f>IF(LeadsData[[#This Row],[Stage Number]]&gt;=4,1,0)</f>
        <v>0</v>
      </c>
    </row>
    <row r="1490" spans="1:15" x14ac:dyDescent="0.25">
      <c r="A1490" t="s">
        <v>1530</v>
      </c>
      <c r="B1490" s="1">
        <v>45518</v>
      </c>
      <c r="C1490" t="s">
        <v>25</v>
      </c>
      <c r="D1490" t="s">
        <v>26</v>
      </c>
      <c r="E1490" t="s">
        <v>21</v>
      </c>
      <c r="F1490" t="s">
        <v>19</v>
      </c>
      <c r="G1490" t="s">
        <v>15</v>
      </c>
      <c r="K1490" cm="1">
        <f t="array" ref="K1490">_xlfn.SWITCH(LeadsData[[#This Row],[Funnel Stage Reached]],"Lead",1,"MQL",2,"SQL",3,"Customer",4)</f>
        <v>1</v>
      </c>
      <c r="L1490" t="str">
        <f>TEXT(LeadsData[[#This Row],[Signup Date]],"mmm-yyyy")</f>
        <v>Aug-2024</v>
      </c>
      <c r="M1490">
        <f>IF(LeadsData[[#This Row],[Stage Number]]&gt;=2,1,0)</f>
        <v>0</v>
      </c>
      <c r="N1490" s="2">
        <f>IF(LeadsData[[#This Row],[Stage Number]]&gt;=3,1,0)</f>
        <v>0</v>
      </c>
      <c r="O1490" s="2">
        <f>IF(LeadsData[[#This Row],[Stage Number]]&gt;=4,1,0)</f>
        <v>0</v>
      </c>
    </row>
    <row r="1491" spans="1:15" x14ac:dyDescent="0.25">
      <c r="A1491" t="s">
        <v>1531</v>
      </c>
      <c r="B1491" s="1">
        <v>45637</v>
      </c>
      <c r="C1491" t="s">
        <v>17</v>
      </c>
      <c r="D1491" t="s">
        <v>18</v>
      </c>
      <c r="E1491" t="s">
        <v>48</v>
      </c>
      <c r="F1491" t="s">
        <v>19</v>
      </c>
      <c r="G1491" t="s">
        <v>15</v>
      </c>
      <c r="K1491" cm="1">
        <f t="array" ref="K1491">_xlfn.SWITCH(LeadsData[[#This Row],[Funnel Stage Reached]],"Lead",1,"MQL",2,"SQL",3,"Customer",4)</f>
        <v>1</v>
      </c>
      <c r="L1491" t="str">
        <f>TEXT(LeadsData[[#This Row],[Signup Date]],"mmm-yyyy")</f>
        <v>Dec-2024</v>
      </c>
      <c r="M1491">
        <f>IF(LeadsData[[#This Row],[Stage Number]]&gt;=2,1,0)</f>
        <v>0</v>
      </c>
      <c r="N1491" s="2">
        <f>IF(LeadsData[[#This Row],[Stage Number]]&gt;=3,1,0)</f>
        <v>0</v>
      </c>
      <c r="O1491" s="2">
        <f>IF(LeadsData[[#This Row],[Stage Number]]&gt;=4,1,0)</f>
        <v>0</v>
      </c>
    </row>
    <row r="1492" spans="1:15" x14ac:dyDescent="0.25">
      <c r="A1492" t="s">
        <v>1532</v>
      </c>
      <c r="B1492" s="1">
        <v>45519</v>
      </c>
      <c r="C1492" t="s">
        <v>25</v>
      </c>
      <c r="D1492" t="s">
        <v>26</v>
      </c>
      <c r="E1492" t="s">
        <v>21</v>
      </c>
      <c r="F1492" t="s">
        <v>14</v>
      </c>
      <c r="G1492" t="s">
        <v>15</v>
      </c>
      <c r="K1492" cm="1">
        <f t="array" ref="K1492">_xlfn.SWITCH(LeadsData[[#This Row],[Funnel Stage Reached]],"Lead",1,"MQL",2,"SQL",3,"Customer",4)</f>
        <v>1</v>
      </c>
      <c r="L1492" t="str">
        <f>TEXT(LeadsData[[#This Row],[Signup Date]],"mmm-yyyy")</f>
        <v>Aug-2024</v>
      </c>
      <c r="M1492">
        <f>IF(LeadsData[[#This Row],[Stage Number]]&gt;=2,1,0)</f>
        <v>0</v>
      </c>
      <c r="N1492" s="2">
        <f>IF(LeadsData[[#This Row],[Stage Number]]&gt;=3,1,0)</f>
        <v>0</v>
      </c>
      <c r="O1492" s="2">
        <f>IF(LeadsData[[#This Row],[Stage Number]]&gt;=4,1,0)</f>
        <v>0</v>
      </c>
    </row>
    <row r="1493" spans="1:15" x14ac:dyDescent="0.25">
      <c r="A1493" t="s">
        <v>1533</v>
      </c>
      <c r="B1493" s="1">
        <v>45523</v>
      </c>
      <c r="C1493" t="s">
        <v>36</v>
      </c>
      <c r="D1493" t="s">
        <v>50</v>
      </c>
      <c r="E1493" t="s">
        <v>13</v>
      </c>
      <c r="F1493" t="s">
        <v>19</v>
      </c>
      <c r="G1493" t="s">
        <v>29</v>
      </c>
      <c r="K1493" cm="1">
        <f t="array" ref="K1493">_xlfn.SWITCH(LeadsData[[#This Row],[Funnel Stage Reached]],"Lead",1,"MQL",2,"SQL",3,"Customer",4)</f>
        <v>3</v>
      </c>
      <c r="L1493" t="str">
        <f>TEXT(LeadsData[[#This Row],[Signup Date]],"mmm-yyyy")</f>
        <v>Aug-2024</v>
      </c>
      <c r="M1493">
        <f>IF(LeadsData[[#This Row],[Stage Number]]&gt;=2,1,0)</f>
        <v>1</v>
      </c>
      <c r="N1493" s="2">
        <f>IF(LeadsData[[#This Row],[Stage Number]]&gt;=3,1,0)</f>
        <v>1</v>
      </c>
      <c r="O1493" s="2">
        <f>IF(LeadsData[[#This Row],[Stage Number]]&gt;=4,1,0)</f>
        <v>0</v>
      </c>
    </row>
    <row r="1494" spans="1:15" x14ac:dyDescent="0.25">
      <c r="A1494" t="s">
        <v>1534</v>
      </c>
      <c r="B1494" s="1">
        <v>45335</v>
      </c>
      <c r="C1494" t="s">
        <v>17</v>
      </c>
      <c r="D1494" t="s">
        <v>18</v>
      </c>
      <c r="E1494" t="s">
        <v>21</v>
      </c>
      <c r="F1494" t="s">
        <v>28</v>
      </c>
      <c r="G1494" t="s">
        <v>15</v>
      </c>
      <c r="K1494" cm="1">
        <f t="array" ref="K1494">_xlfn.SWITCH(LeadsData[[#This Row],[Funnel Stage Reached]],"Lead",1,"MQL",2,"SQL",3,"Customer",4)</f>
        <v>1</v>
      </c>
      <c r="L1494" t="str">
        <f>TEXT(LeadsData[[#This Row],[Signup Date]],"mmm-yyyy")</f>
        <v>Feb-2024</v>
      </c>
      <c r="M1494">
        <f>IF(LeadsData[[#This Row],[Stage Number]]&gt;=2,1,0)</f>
        <v>0</v>
      </c>
      <c r="N1494" s="2">
        <f>IF(LeadsData[[#This Row],[Stage Number]]&gt;=3,1,0)</f>
        <v>0</v>
      </c>
      <c r="O1494" s="2">
        <f>IF(LeadsData[[#This Row],[Stage Number]]&gt;=4,1,0)</f>
        <v>0</v>
      </c>
    </row>
    <row r="1495" spans="1:15" x14ac:dyDescent="0.25">
      <c r="A1495" t="s">
        <v>1535</v>
      </c>
      <c r="B1495" s="1">
        <v>45454</v>
      </c>
      <c r="C1495" t="s">
        <v>17</v>
      </c>
      <c r="D1495" t="s">
        <v>53</v>
      </c>
      <c r="E1495" t="s">
        <v>21</v>
      </c>
      <c r="F1495" t="s">
        <v>19</v>
      </c>
      <c r="G1495" t="s">
        <v>15</v>
      </c>
      <c r="K1495" cm="1">
        <f t="array" ref="K1495">_xlfn.SWITCH(LeadsData[[#This Row],[Funnel Stage Reached]],"Lead",1,"MQL",2,"SQL",3,"Customer",4)</f>
        <v>1</v>
      </c>
      <c r="L1495" t="str">
        <f>TEXT(LeadsData[[#This Row],[Signup Date]],"mmm-yyyy")</f>
        <v>Jun-2024</v>
      </c>
      <c r="M1495">
        <f>IF(LeadsData[[#This Row],[Stage Number]]&gt;=2,1,0)</f>
        <v>0</v>
      </c>
      <c r="N1495" s="2">
        <f>IF(LeadsData[[#This Row],[Stage Number]]&gt;=3,1,0)</f>
        <v>0</v>
      </c>
      <c r="O1495" s="2">
        <f>IF(LeadsData[[#This Row],[Stage Number]]&gt;=4,1,0)</f>
        <v>0</v>
      </c>
    </row>
    <row r="1496" spans="1:15" x14ac:dyDescent="0.25">
      <c r="A1496" t="s">
        <v>1536</v>
      </c>
      <c r="B1496" s="1">
        <v>45587</v>
      </c>
      <c r="C1496" t="s">
        <v>31</v>
      </c>
      <c r="D1496" t="s">
        <v>32</v>
      </c>
      <c r="E1496" t="s">
        <v>13</v>
      </c>
      <c r="F1496" t="s">
        <v>19</v>
      </c>
      <c r="G1496" t="s">
        <v>15</v>
      </c>
      <c r="K1496" cm="1">
        <f t="array" ref="K1496">_xlfn.SWITCH(LeadsData[[#This Row],[Funnel Stage Reached]],"Lead",1,"MQL",2,"SQL",3,"Customer",4)</f>
        <v>1</v>
      </c>
      <c r="L1496" t="str">
        <f>TEXT(LeadsData[[#This Row],[Signup Date]],"mmm-yyyy")</f>
        <v>Oct-2024</v>
      </c>
      <c r="M1496">
        <f>IF(LeadsData[[#This Row],[Stage Number]]&gt;=2,1,0)</f>
        <v>0</v>
      </c>
      <c r="N1496" s="2">
        <f>IF(LeadsData[[#This Row],[Stage Number]]&gt;=3,1,0)</f>
        <v>0</v>
      </c>
      <c r="O1496" s="2">
        <f>IF(LeadsData[[#This Row],[Stage Number]]&gt;=4,1,0)</f>
        <v>0</v>
      </c>
    </row>
    <row r="1497" spans="1:15" x14ac:dyDescent="0.25">
      <c r="A1497" t="s">
        <v>1537</v>
      </c>
      <c r="B1497" s="1">
        <v>45628</v>
      </c>
      <c r="C1497" t="s">
        <v>31</v>
      </c>
      <c r="D1497" t="s">
        <v>32</v>
      </c>
      <c r="E1497" t="s">
        <v>21</v>
      </c>
      <c r="F1497" t="s">
        <v>19</v>
      </c>
      <c r="G1497" t="s">
        <v>15</v>
      </c>
      <c r="K1497" cm="1">
        <f t="array" ref="K1497">_xlfn.SWITCH(LeadsData[[#This Row],[Funnel Stage Reached]],"Lead",1,"MQL",2,"SQL",3,"Customer",4)</f>
        <v>1</v>
      </c>
      <c r="L1497" t="str">
        <f>TEXT(LeadsData[[#This Row],[Signup Date]],"mmm-yyyy")</f>
        <v>Dec-2024</v>
      </c>
      <c r="M1497">
        <f>IF(LeadsData[[#This Row],[Stage Number]]&gt;=2,1,0)</f>
        <v>0</v>
      </c>
      <c r="N1497" s="2">
        <f>IF(LeadsData[[#This Row],[Stage Number]]&gt;=3,1,0)</f>
        <v>0</v>
      </c>
      <c r="O1497" s="2">
        <f>IF(LeadsData[[#This Row],[Stage Number]]&gt;=4,1,0)</f>
        <v>0</v>
      </c>
    </row>
    <row r="1498" spans="1:15" x14ac:dyDescent="0.25">
      <c r="A1498" t="s">
        <v>1538</v>
      </c>
      <c r="B1498" s="1">
        <v>45574</v>
      </c>
      <c r="C1498" t="s">
        <v>31</v>
      </c>
      <c r="D1498" t="s">
        <v>32</v>
      </c>
      <c r="E1498" t="s">
        <v>48</v>
      </c>
      <c r="F1498" t="s">
        <v>22</v>
      </c>
      <c r="G1498" t="s">
        <v>15</v>
      </c>
      <c r="K1498" cm="1">
        <f t="array" ref="K1498">_xlfn.SWITCH(LeadsData[[#This Row],[Funnel Stage Reached]],"Lead",1,"MQL",2,"SQL",3,"Customer",4)</f>
        <v>1</v>
      </c>
      <c r="L1498" t="str">
        <f>TEXT(LeadsData[[#This Row],[Signup Date]],"mmm-yyyy")</f>
        <v>Oct-2024</v>
      </c>
      <c r="M1498">
        <f>IF(LeadsData[[#This Row],[Stage Number]]&gt;=2,1,0)</f>
        <v>0</v>
      </c>
      <c r="N1498" s="2">
        <f>IF(LeadsData[[#This Row],[Stage Number]]&gt;=3,1,0)</f>
        <v>0</v>
      </c>
      <c r="O1498" s="2">
        <f>IF(LeadsData[[#This Row],[Stage Number]]&gt;=4,1,0)</f>
        <v>0</v>
      </c>
    </row>
    <row r="1499" spans="1:15" x14ac:dyDescent="0.25">
      <c r="A1499" t="s">
        <v>1539</v>
      </c>
      <c r="B1499" s="1">
        <v>45511</v>
      </c>
      <c r="C1499" t="s">
        <v>17</v>
      </c>
      <c r="D1499" t="s">
        <v>18</v>
      </c>
      <c r="E1499" t="s">
        <v>13</v>
      </c>
      <c r="F1499" t="s">
        <v>19</v>
      </c>
      <c r="G1499" t="s">
        <v>23</v>
      </c>
      <c r="K1499" cm="1">
        <f t="array" ref="K1499">_xlfn.SWITCH(LeadsData[[#This Row],[Funnel Stage Reached]],"Lead",1,"MQL",2,"SQL",3,"Customer",4)</f>
        <v>2</v>
      </c>
      <c r="L1499" t="str">
        <f>TEXT(LeadsData[[#This Row],[Signup Date]],"mmm-yyyy")</f>
        <v>Aug-2024</v>
      </c>
      <c r="M1499">
        <f>IF(LeadsData[[#This Row],[Stage Number]]&gt;=2,1,0)</f>
        <v>1</v>
      </c>
      <c r="N1499" s="2">
        <f>IF(LeadsData[[#This Row],[Stage Number]]&gt;=3,1,0)</f>
        <v>0</v>
      </c>
      <c r="O1499" s="2">
        <f>IF(LeadsData[[#This Row],[Stage Number]]&gt;=4,1,0)</f>
        <v>0</v>
      </c>
    </row>
    <row r="1500" spans="1:15" x14ac:dyDescent="0.25">
      <c r="A1500" t="s">
        <v>1540</v>
      </c>
      <c r="B1500" s="1">
        <v>45414</v>
      </c>
      <c r="C1500" t="s">
        <v>11</v>
      </c>
      <c r="D1500" t="s">
        <v>68</v>
      </c>
      <c r="E1500" t="s">
        <v>21</v>
      </c>
      <c r="F1500" t="s">
        <v>22</v>
      </c>
      <c r="G1500" t="s">
        <v>15</v>
      </c>
      <c r="K1500" cm="1">
        <f t="array" ref="K1500">_xlfn.SWITCH(LeadsData[[#This Row],[Funnel Stage Reached]],"Lead",1,"MQL",2,"SQL",3,"Customer",4)</f>
        <v>1</v>
      </c>
      <c r="L1500" t="str">
        <f>TEXT(LeadsData[[#This Row],[Signup Date]],"mmm-yyyy")</f>
        <v>May-2024</v>
      </c>
      <c r="M1500">
        <f>IF(LeadsData[[#This Row],[Stage Number]]&gt;=2,1,0)</f>
        <v>0</v>
      </c>
      <c r="N1500" s="2">
        <f>IF(LeadsData[[#This Row],[Stage Number]]&gt;=3,1,0)</f>
        <v>0</v>
      </c>
      <c r="O1500" s="2">
        <f>IF(LeadsData[[#This Row],[Stage Number]]&gt;=4,1,0)</f>
        <v>0</v>
      </c>
    </row>
    <row r="1501" spans="1:15" x14ac:dyDescent="0.25">
      <c r="A1501" t="s">
        <v>1541</v>
      </c>
      <c r="B1501" s="1">
        <v>45340</v>
      </c>
      <c r="C1501" t="s">
        <v>11</v>
      </c>
      <c r="D1501" t="s">
        <v>79</v>
      </c>
      <c r="E1501" t="s">
        <v>13</v>
      </c>
      <c r="F1501" t="s">
        <v>22</v>
      </c>
      <c r="G1501" t="s">
        <v>15</v>
      </c>
      <c r="K1501" cm="1">
        <f t="array" ref="K1501">_xlfn.SWITCH(LeadsData[[#This Row],[Funnel Stage Reached]],"Lead",1,"MQL",2,"SQL",3,"Customer",4)</f>
        <v>1</v>
      </c>
      <c r="L1501" t="str">
        <f>TEXT(LeadsData[[#This Row],[Signup Date]],"mmm-yyyy")</f>
        <v>Feb-2024</v>
      </c>
      <c r="M1501">
        <f>IF(LeadsData[[#This Row],[Stage Number]]&gt;=2,1,0)</f>
        <v>0</v>
      </c>
      <c r="N1501" s="2">
        <f>IF(LeadsData[[#This Row],[Stage Number]]&gt;=3,1,0)</f>
        <v>0</v>
      </c>
      <c r="O1501" s="2">
        <f>IF(LeadsData[[#This Row],[Stage Number]]&gt;=4,1,0)</f>
        <v>0</v>
      </c>
    </row>
    <row r="1502" spans="1:15" x14ac:dyDescent="0.25">
      <c r="A1502" t="s">
        <v>1542</v>
      </c>
      <c r="B1502" s="1">
        <v>45459</v>
      </c>
      <c r="C1502" t="s">
        <v>31</v>
      </c>
      <c r="D1502" t="s">
        <v>32</v>
      </c>
      <c r="E1502" t="s">
        <v>21</v>
      </c>
      <c r="F1502" t="s">
        <v>19</v>
      </c>
      <c r="G1502" t="s">
        <v>23</v>
      </c>
      <c r="K1502" cm="1">
        <f t="array" ref="K1502">_xlfn.SWITCH(LeadsData[[#This Row],[Funnel Stage Reached]],"Lead",1,"MQL",2,"SQL",3,"Customer",4)</f>
        <v>2</v>
      </c>
      <c r="L1502" t="str">
        <f>TEXT(LeadsData[[#This Row],[Signup Date]],"mmm-yyyy")</f>
        <v>Jun-2024</v>
      </c>
      <c r="M1502">
        <f>IF(LeadsData[[#This Row],[Stage Number]]&gt;=2,1,0)</f>
        <v>1</v>
      </c>
      <c r="N1502" s="2">
        <f>IF(LeadsData[[#This Row],[Stage Number]]&gt;=3,1,0)</f>
        <v>0</v>
      </c>
      <c r="O1502" s="2">
        <f>IF(LeadsData[[#This Row],[Stage Number]]&gt;=4,1,0)</f>
        <v>0</v>
      </c>
    </row>
    <row r="1503" spans="1:15" x14ac:dyDescent="0.25">
      <c r="A1503" t="s">
        <v>1543</v>
      </c>
      <c r="B1503" s="1">
        <v>45440</v>
      </c>
      <c r="C1503" t="s">
        <v>17</v>
      </c>
      <c r="D1503" t="s">
        <v>53</v>
      </c>
      <c r="E1503" t="s">
        <v>21</v>
      </c>
      <c r="F1503" t="s">
        <v>19</v>
      </c>
      <c r="G1503" t="s">
        <v>15</v>
      </c>
      <c r="K1503" cm="1">
        <f t="array" ref="K1503">_xlfn.SWITCH(LeadsData[[#This Row],[Funnel Stage Reached]],"Lead",1,"MQL",2,"SQL",3,"Customer",4)</f>
        <v>1</v>
      </c>
      <c r="L1503" t="str">
        <f>TEXT(LeadsData[[#This Row],[Signup Date]],"mmm-yyyy")</f>
        <v>May-2024</v>
      </c>
      <c r="M1503">
        <f>IF(LeadsData[[#This Row],[Stage Number]]&gt;=2,1,0)</f>
        <v>0</v>
      </c>
      <c r="N1503" s="2">
        <f>IF(LeadsData[[#This Row],[Stage Number]]&gt;=3,1,0)</f>
        <v>0</v>
      </c>
      <c r="O1503" s="2">
        <f>IF(LeadsData[[#This Row],[Stage Number]]&gt;=4,1,0)</f>
        <v>0</v>
      </c>
    </row>
    <row r="1504" spans="1:15" x14ac:dyDescent="0.25">
      <c r="A1504" t="s">
        <v>1544</v>
      </c>
      <c r="B1504" s="1">
        <v>45653</v>
      </c>
      <c r="C1504" t="s">
        <v>11</v>
      </c>
      <c r="D1504" t="s">
        <v>68</v>
      </c>
      <c r="E1504" t="s">
        <v>13</v>
      </c>
      <c r="F1504" t="s">
        <v>14</v>
      </c>
      <c r="G1504" t="s">
        <v>15</v>
      </c>
      <c r="K1504" cm="1">
        <f t="array" ref="K1504">_xlfn.SWITCH(LeadsData[[#This Row],[Funnel Stage Reached]],"Lead",1,"MQL",2,"SQL",3,"Customer",4)</f>
        <v>1</v>
      </c>
      <c r="L1504" t="str">
        <f>TEXT(LeadsData[[#This Row],[Signup Date]],"mmm-yyyy")</f>
        <v>Dec-2024</v>
      </c>
      <c r="M1504">
        <f>IF(LeadsData[[#This Row],[Stage Number]]&gt;=2,1,0)</f>
        <v>0</v>
      </c>
      <c r="N1504" s="2">
        <f>IF(LeadsData[[#This Row],[Stage Number]]&gt;=3,1,0)</f>
        <v>0</v>
      </c>
      <c r="O1504" s="2">
        <f>IF(LeadsData[[#This Row],[Stage Number]]&gt;=4,1,0)</f>
        <v>0</v>
      </c>
    </row>
    <row r="1505" spans="1:15" x14ac:dyDescent="0.25">
      <c r="A1505" t="s">
        <v>1545</v>
      </c>
      <c r="B1505" s="1">
        <v>45328</v>
      </c>
      <c r="C1505" t="s">
        <v>11</v>
      </c>
      <c r="D1505" t="s">
        <v>68</v>
      </c>
      <c r="E1505" t="s">
        <v>21</v>
      </c>
      <c r="F1505" t="s">
        <v>19</v>
      </c>
      <c r="G1505" t="s">
        <v>15</v>
      </c>
      <c r="K1505" cm="1">
        <f t="array" ref="K1505">_xlfn.SWITCH(LeadsData[[#This Row],[Funnel Stage Reached]],"Lead",1,"MQL",2,"SQL",3,"Customer",4)</f>
        <v>1</v>
      </c>
      <c r="L1505" t="str">
        <f>TEXT(LeadsData[[#This Row],[Signup Date]],"mmm-yyyy")</f>
        <v>Feb-2024</v>
      </c>
      <c r="M1505">
        <f>IF(LeadsData[[#This Row],[Stage Number]]&gt;=2,1,0)</f>
        <v>0</v>
      </c>
      <c r="N1505" s="2">
        <f>IF(LeadsData[[#This Row],[Stage Number]]&gt;=3,1,0)</f>
        <v>0</v>
      </c>
      <c r="O1505" s="2">
        <f>IF(LeadsData[[#This Row],[Stage Number]]&gt;=4,1,0)</f>
        <v>0</v>
      </c>
    </row>
    <row r="1506" spans="1:15" x14ac:dyDescent="0.25">
      <c r="A1506" t="s">
        <v>1546</v>
      </c>
      <c r="B1506" s="1">
        <v>45631</v>
      </c>
      <c r="C1506" t="s">
        <v>17</v>
      </c>
      <c r="D1506" t="s">
        <v>53</v>
      </c>
      <c r="E1506" t="s">
        <v>13</v>
      </c>
      <c r="F1506" t="s">
        <v>19</v>
      </c>
      <c r="G1506" t="s">
        <v>15</v>
      </c>
      <c r="K1506" cm="1">
        <f t="array" ref="K1506">_xlfn.SWITCH(LeadsData[[#This Row],[Funnel Stage Reached]],"Lead",1,"MQL",2,"SQL",3,"Customer",4)</f>
        <v>1</v>
      </c>
      <c r="L1506" t="str">
        <f>TEXT(LeadsData[[#This Row],[Signup Date]],"mmm-yyyy")</f>
        <v>Dec-2024</v>
      </c>
      <c r="M1506">
        <f>IF(LeadsData[[#This Row],[Stage Number]]&gt;=2,1,0)</f>
        <v>0</v>
      </c>
      <c r="N1506" s="2">
        <f>IF(LeadsData[[#This Row],[Stage Number]]&gt;=3,1,0)</f>
        <v>0</v>
      </c>
      <c r="O1506" s="2">
        <f>IF(LeadsData[[#This Row],[Stage Number]]&gt;=4,1,0)</f>
        <v>0</v>
      </c>
    </row>
    <row r="1507" spans="1:15" x14ac:dyDescent="0.25">
      <c r="A1507" t="s">
        <v>1547</v>
      </c>
      <c r="B1507" s="1">
        <v>45622</v>
      </c>
      <c r="C1507" t="s">
        <v>46</v>
      </c>
      <c r="D1507" t="s">
        <v>47</v>
      </c>
      <c r="E1507" t="s">
        <v>21</v>
      </c>
      <c r="F1507" t="s">
        <v>22</v>
      </c>
      <c r="G1507" t="s">
        <v>15</v>
      </c>
      <c r="K1507" cm="1">
        <f t="array" ref="K1507">_xlfn.SWITCH(LeadsData[[#This Row],[Funnel Stage Reached]],"Lead",1,"MQL",2,"SQL",3,"Customer",4)</f>
        <v>1</v>
      </c>
      <c r="L1507" t="str">
        <f>TEXT(LeadsData[[#This Row],[Signup Date]],"mmm-yyyy")</f>
        <v>Nov-2024</v>
      </c>
      <c r="M1507">
        <f>IF(LeadsData[[#This Row],[Stage Number]]&gt;=2,1,0)</f>
        <v>0</v>
      </c>
      <c r="N1507" s="2">
        <f>IF(LeadsData[[#This Row],[Stage Number]]&gt;=3,1,0)</f>
        <v>0</v>
      </c>
      <c r="O1507" s="2">
        <f>IF(LeadsData[[#This Row],[Stage Number]]&gt;=4,1,0)</f>
        <v>0</v>
      </c>
    </row>
    <row r="1508" spans="1:15" x14ac:dyDescent="0.25">
      <c r="A1508" t="s">
        <v>1548</v>
      </c>
      <c r="B1508" s="1">
        <v>45419</v>
      </c>
      <c r="C1508" t="s">
        <v>31</v>
      </c>
      <c r="D1508" t="s">
        <v>32</v>
      </c>
      <c r="E1508" t="s">
        <v>21</v>
      </c>
      <c r="F1508" t="s">
        <v>22</v>
      </c>
      <c r="G1508" t="s">
        <v>23</v>
      </c>
      <c r="K1508" cm="1">
        <f t="array" ref="K1508">_xlfn.SWITCH(LeadsData[[#This Row],[Funnel Stage Reached]],"Lead",1,"MQL",2,"SQL",3,"Customer",4)</f>
        <v>2</v>
      </c>
      <c r="L1508" t="str">
        <f>TEXT(LeadsData[[#This Row],[Signup Date]],"mmm-yyyy")</f>
        <v>May-2024</v>
      </c>
      <c r="M1508">
        <f>IF(LeadsData[[#This Row],[Stage Number]]&gt;=2,1,0)</f>
        <v>1</v>
      </c>
      <c r="N1508" s="2">
        <f>IF(LeadsData[[#This Row],[Stage Number]]&gt;=3,1,0)</f>
        <v>0</v>
      </c>
      <c r="O1508" s="2">
        <f>IF(LeadsData[[#This Row],[Stage Number]]&gt;=4,1,0)</f>
        <v>0</v>
      </c>
    </row>
    <row r="1509" spans="1:15" x14ac:dyDescent="0.25">
      <c r="A1509" t="s">
        <v>1549</v>
      </c>
      <c r="B1509" s="1">
        <v>45420</v>
      </c>
      <c r="C1509" t="s">
        <v>17</v>
      </c>
      <c r="D1509" t="s">
        <v>18</v>
      </c>
      <c r="E1509" t="s">
        <v>21</v>
      </c>
      <c r="F1509" t="s">
        <v>22</v>
      </c>
      <c r="G1509" t="s">
        <v>23</v>
      </c>
      <c r="K1509" cm="1">
        <f t="array" ref="K1509">_xlfn.SWITCH(LeadsData[[#This Row],[Funnel Stage Reached]],"Lead",1,"MQL",2,"SQL",3,"Customer",4)</f>
        <v>2</v>
      </c>
      <c r="L1509" t="str">
        <f>TEXT(LeadsData[[#This Row],[Signup Date]],"mmm-yyyy")</f>
        <v>May-2024</v>
      </c>
      <c r="M1509">
        <f>IF(LeadsData[[#This Row],[Stage Number]]&gt;=2,1,0)</f>
        <v>1</v>
      </c>
      <c r="N1509" s="2">
        <f>IF(LeadsData[[#This Row],[Stage Number]]&gt;=3,1,0)</f>
        <v>0</v>
      </c>
      <c r="O1509" s="2">
        <f>IF(LeadsData[[#This Row],[Stage Number]]&gt;=4,1,0)</f>
        <v>0</v>
      </c>
    </row>
    <row r="1510" spans="1:15" x14ac:dyDescent="0.25">
      <c r="A1510" t="s">
        <v>1550</v>
      </c>
      <c r="B1510" s="1">
        <v>45630</v>
      </c>
      <c r="C1510" t="s">
        <v>25</v>
      </c>
      <c r="D1510" t="s">
        <v>26</v>
      </c>
      <c r="E1510" t="s">
        <v>21</v>
      </c>
      <c r="F1510" t="s">
        <v>14</v>
      </c>
      <c r="G1510" t="s">
        <v>23</v>
      </c>
      <c r="K1510" cm="1">
        <f t="array" ref="K1510">_xlfn.SWITCH(LeadsData[[#This Row],[Funnel Stage Reached]],"Lead",1,"MQL",2,"SQL",3,"Customer",4)</f>
        <v>2</v>
      </c>
      <c r="L1510" t="str">
        <f>TEXT(LeadsData[[#This Row],[Signup Date]],"mmm-yyyy")</f>
        <v>Dec-2024</v>
      </c>
      <c r="M1510">
        <f>IF(LeadsData[[#This Row],[Stage Number]]&gt;=2,1,0)</f>
        <v>1</v>
      </c>
      <c r="N1510" s="2">
        <f>IF(LeadsData[[#This Row],[Stage Number]]&gt;=3,1,0)</f>
        <v>0</v>
      </c>
      <c r="O1510" s="2">
        <f>IF(LeadsData[[#This Row],[Stage Number]]&gt;=4,1,0)</f>
        <v>0</v>
      </c>
    </row>
    <row r="1511" spans="1:15" x14ac:dyDescent="0.25">
      <c r="A1511" t="s">
        <v>1551</v>
      </c>
      <c r="B1511" s="1">
        <v>45333</v>
      </c>
      <c r="C1511" t="s">
        <v>11</v>
      </c>
      <c r="D1511" t="s">
        <v>79</v>
      </c>
      <c r="E1511" t="s">
        <v>13</v>
      </c>
      <c r="F1511" t="s">
        <v>19</v>
      </c>
      <c r="G1511" t="s">
        <v>23</v>
      </c>
      <c r="K1511" cm="1">
        <f t="array" ref="K1511">_xlfn.SWITCH(LeadsData[[#This Row],[Funnel Stage Reached]],"Lead",1,"MQL",2,"SQL",3,"Customer",4)</f>
        <v>2</v>
      </c>
      <c r="L1511" t="str">
        <f>TEXT(LeadsData[[#This Row],[Signup Date]],"mmm-yyyy")</f>
        <v>Feb-2024</v>
      </c>
      <c r="M1511">
        <f>IF(LeadsData[[#This Row],[Stage Number]]&gt;=2,1,0)</f>
        <v>1</v>
      </c>
      <c r="N1511" s="2">
        <f>IF(LeadsData[[#This Row],[Stage Number]]&gt;=3,1,0)</f>
        <v>0</v>
      </c>
      <c r="O1511" s="2">
        <f>IF(LeadsData[[#This Row],[Stage Number]]&gt;=4,1,0)</f>
        <v>0</v>
      </c>
    </row>
    <row r="1512" spans="1:15" x14ac:dyDescent="0.25">
      <c r="A1512" t="s">
        <v>1552</v>
      </c>
      <c r="B1512" s="1">
        <v>45383</v>
      </c>
      <c r="C1512" t="s">
        <v>31</v>
      </c>
      <c r="D1512" t="s">
        <v>34</v>
      </c>
      <c r="E1512" t="s">
        <v>21</v>
      </c>
      <c r="F1512" t="s">
        <v>14</v>
      </c>
      <c r="G1512" t="s">
        <v>15</v>
      </c>
      <c r="K1512" cm="1">
        <f t="array" ref="K1512">_xlfn.SWITCH(LeadsData[[#This Row],[Funnel Stage Reached]],"Lead",1,"MQL",2,"SQL",3,"Customer",4)</f>
        <v>1</v>
      </c>
      <c r="L1512" t="str">
        <f>TEXT(LeadsData[[#This Row],[Signup Date]],"mmm-yyyy")</f>
        <v>Apr-2024</v>
      </c>
      <c r="M1512">
        <f>IF(LeadsData[[#This Row],[Stage Number]]&gt;=2,1,0)</f>
        <v>0</v>
      </c>
      <c r="N1512" s="2">
        <f>IF(LeadsData[[#This Row],[Stage Number]]&gt;=3,1,0)</f>
        <v>0</v>
      </c>
      <c r="O1512" s="2">
        <f>IF(LeadsData[[#This Row],[Stage Number]]&gt;=4,1,0)</f>
        <v>0</v>
      </c>
    </row>
    <row r="1513" spans="1:15" x14ac:dyDescent="0.25">
      <c r="A1513" t="s">
        <v>1553</v>
      </c>
      <c r="B1513" s="1">
        <v>45388</v>
      </c>
      <c r="C1513" t="s">
        <v>36</v>
      </c>
      <c r="D1513" t="s">
        <v>37</v>
      </c>
      <c r="E1513" t="s">
        <v>13</v>
      </c>
      <c r="F1513" t="s">
        <v>19</v>
      </c>
      <c r="G1513" t="s">
        <v>23</v>
      </c>
      <c r="K1513" cm="1">
        <f t="array" ref="K1513">_xlfn.SWITCH(LeadsData[[#This Row],[Funnel Stage Reached]],"Lead",1,"MQL",2,"SQL",3,"Customer",4)</f>
        <v>2</v>
      </c>
      <c r="L1513" t="str">
        <f>TEXT(LeadsData[[#This Row],[Signup Date]],"mmm-yyyy")</f>
        <v>Apr-2024</v>
      </c>
      <c r="M1513">
        <f>IF(LeadsData[[#This Row],[Stage Number]]&gt;=2,1,0)</f>
        <v>1</v>
      </c>
      <c r="N1513" s="2">
        <f>IF(LeadsData[[#This Row],[Stage Number]]&gt;=3,1,0)</f>
        <v>0</v>
      </c>
      <c r="O1513" s="2">
        <f>IF(LeadsData[[#This Row],[Stage Number]]&gt;=4,1,0)</f>
        <v>0</v>
      </c>
    </row>
    <row r="1514" spans="1:15" x14ac:dyDescent="0.25">
      <c r="A1514" t="s">
        <v>1554</v>
      </c>
      <c r="B1514" s="1">
        <v>45605</v>
      </c>
      <c r="C1514" t="s">
        <v>36</v>
      </c>
      <c r="D1514" t="s">
        <v>50</v>
      </c>
      <c r="E1514" t="s">
        <v>13</v>
      </c>
      <c r="F1514" t="s">
        <v>14</v>
      </c>
      <c r="G1514" t="s">
        <v>23</v>
      </c>
      <c r="K1514" cm="1">
        <f t="array" ref="K1514">_xlfn.SWITCH(LeadsData[[#This Row],[Funnel Stage Reached]],"Lead",1,"MQL",2,"SQL",3,"Customer",4)</f>
        <v>2</v>
      </c>
      <c r="L1514" t="str">
        <f>TEXT(LeadsData[[#This Row],[Signup Date]],"mmm-yyyy")</f>
        <v>Nov-2024</v>
      </c>
      <c r="M1514">
        <f>IF(LeadsData[[#This Row],[Stage Number]]&gt;=2,1,0)</f>
        <v>1</v>
      </c>
      <c r="N1514" s="2">
        <f>IF(LeadsData[[#This Row],[Stage Number]]&gt;=3,1,0)</f>
        <v>0</v>
      </c>
      <c r="O1514" s="2">
        <f>IF(LeadsData[[#This Row],[Stage Number]]&gt;=4,1,0)</f>
        <v>0</v>
      </c>
    </row>
    <row r="1515" spans="1:15" x14ac:dyDescent="0.25">
      <c r="A1515" t="s">
        <v>1555</v>
      </c>
      <c r="B1515" s="1">
        <v>45309</v>
      </c>
      <c r="C1515" t="s">
        <v>17</v>
      </c>
      <c r="D1515" t="s">
        <v>18</v>
      </c>
      <c r="E1515" t="s">
        <v>21</v>
      </c>
      <c r="F1515" t="s">
        <v>22</v>
      </c>
      <c r="G1515" t="s">
        <v>15</v>
      </c>
      <c r="K1515" cm="1">
        <f t="array" ref="K1515">_xlfn.SWITCH(LeadsData[[#This Row],[Funnel Stage Reached]],"Lead",1,"MQL",2,"SQL",3,"Customer",4)</f>
        <v>1</v>
      </c>
      <c r="L1515" t="str">
        <f>TEXT(LeadsData[[#This Row],[Signup Date]],"mmm-yyyy")</f>
        <v>Jan-2024</v>
      </c>
      <c r="M1515">
        <f>IF(LeadsData[[#This Row],[Stage Number]]&gt;=2,1,0)</f>
        <v>0</v>
      </c>
      <c r="N1515" s="2">
        <f>IF(LeadsData[[#This Row],[Stage Number]]&gt;=3,1,0)</f>
        <v>0</v>
      </c>
      <c r="O1515" s="2">
        <f>IF(LeadsData[[#This Row],[Stage Number]]&gt;=4,1,0)</f>
        <v>0</v>
      </c>
    </row>
    <row r="1516" spans="1:15" x14ac:dyDescent="0.25">
      <c r="A1516" t="s">
        <v>1556</v>
      </c>
      <c r="B1516" s="1">
        <v>45579</v>
      </c>
      <c r="C1516" t="s">
        <v>31</v>
      </c>
      <c r="D1516" t="s">
        <v>34</v>
      </c>
      <c r="E1516" t="s">
        <v>21</v>
      </c>
      <c r="F1516" t="s">
        <v>22</v>
      </c>
      <c r="G1516" t="s">
        <v>15</v>
      </c>
      <c r="K1516" cm="1">
        <f t="array" ref="K1516">_xlfn.SWITCH(LeadsData[[#This Row],[Funnel Stage Reached]],"Lead",1,"MQL",2,"SQL",3,"Customer",4)</f>
        <v>1</v>
      </c>
      <c r="L1516" t="str">
        <f>TEXT(LeadsData[[#This Row],[Signup Date]],"mmm-yyyy")</f>
        <v>Oct-2024</v>
      </c>
      <c r="M1516">
        <f>IF(LeadsData[[#This Row],[Stage Number]]&gt;=2,1,0)</f>
        <v>0</v>
      </c>
      <c r="N1516" s="2">
        <f>IF(LeadsData[[#This Row],[Stage Number]]&gt;=3,1,0)</f>
        <v>0</v>
      </c>
      <c r="O1516" s="2">
        <f>IF(LeadsData[[#This Row],[Stage Number]]&gt;=4,1,0)</f>
        <v>0</v>
      </c>
    </row>
    <row r="1517" spans="1:15" x14ac:dyDescent="0.25">
      <c r="A1517" t="s">
        <v>1557</v>
      </c>
      <c r="B1517" s="1">
        <v>45612</v>
      </c>
      <c r="C1517" t="s">
        <v>25</v>
      </c>
      <c r="D1517" t="s">
        <v>26</v>
      </c>
      <c r="E1517" t="s">
        <v>13</v>
      </c>
      <c r="F1517" t="s">
        <v>19</v>
      </c>
      <c r="G1517" t="s">
        <v>15</v>
      </c>
      <c r="K1517" cm="1">
        <f t="array" ref="K1517">_xlfn.SWITCH(LeadsData[[#This Row],[Funnel Stage Reached]],"Lead",1,"MQL",2,"SQL",3,"Customer",4)</f>
        <v>1</v>
      </c>
      <c r="L1517" t="str">
        <f>TEXT(LeadsData[[#This Row],[Signup Date]],"mmm-yyyy")</f>
        <v>Nov-2024</v>
      </c>
      <c r="M1517">
        <f>IF(LeadsData[[#This Row],[Stage Number]]&gt;=2,1,0)</f>
        <v>0</v>
      </c>
      <c r="N1517" s="2">
        <f>IF(LeadsData[[#This Row],[Stage Number]]&gt;=3,1,0)</f>
        <v>0</v>
      </c>
      <c r="O1517" s="2">
        <f>IF(LeadsData[[#This Row],[Stage Number]]&gt;=4,1,0)</f>
        <v>0</v>
      </c>
    </row>
    <row r="1518" spans="1:15" x14ac:dyDescent="0.25">
      <c r="A1518" t="s">
        <v>1558</v>
      </c>
      <c r="B1518" s="1">
        <v>45583</v>
      </c>
      <c r="C1518" t="s">
        <v>36</v>
      </c>
      <c r="D1518" t="s">
        <v>37</v>
      </c>
      <c r="E1518" t="s">
        <v>13</v>
      </c>
      <c r="F1518" t="s">
        <v>22</v>
      </c>
      <c r="G1518" t="s">
        <v>15</v>
      </c>
      <c r="K1518" cm="1">
        <f t="array" ref="K1518">_xlfn.SWITCH(LeadsData[[#This Row],[Funnel Stage Reached]],"Lead",1,"MQL",2,"SQL",3,"Customer",4)</f>
        <v>1</v>
      </c>
      <c r="L1518" t="str">
        <f>TEXT(LeadsData[[#This Row],[Signup Date]],"mmm-yyyy")</f>
        <v>Oct-2024</v>
      </c>
      <c r="M1518">
        <f>IF(LeadsData[[#This Row],[Stage Number]]&gt;=2,1,0)</f>
        <v>0</v>
      </c>
      <c r="N1518" s="2">
        <f>IF(LeadsData[[#This Row],[Stage Number]]&gt;=3,1,0)</f>
        <v>0</v>
      </c>
      <c r="O1518" s="2">
        <f>IF(LeadsData[[#This Row],[Stage Number]]&gt;=4,1,0)</f>
        <v>0</v>
      </c>
    </row>
    <row r="1519" spans="1:15" x14ac:dyDescent="0.25">
      <c r="A1519" t="s">
        <v>1559</v>
      </c>
      <c r="B1519" s="1">
        <v>45559</v>
      </c>
      <c r="C1519" t="s">
        <v>31</v>
      </c>
      <c r="D1519" t="s">
        <v>32</v>
      </c>
      <c r="E1519" t="s">
        <v>21</v>
      </c>
      <c r="F1519" t="s">
        <v>22</v>
      </c>
      <c r="G1519" t="s">
        <v>15</v>
      </c>
      <c r="K1519" cm="1">
        <f t="array" ref="K1519">_xlfn.SWITCH(LeadsData[[#This Row],[Funnel Stage Reached]],"Lead",1,"MQL",2,"SQL",3,"Customer",4)</f>
        <v>1</v>
      </c>
      <c r="L1519" t="str">
        <f>TEXT(LeadsData[[#This Row],[Signup Date]],"mmm-yyyy")</f>
        <v>Sep-2024</v>
      </c>
      <c r="M1519">
        <f>IF(LeadsData[[#This Row],[Stage Number]]&gt;=2,1,0)</f>
        <v>0</v>
      </c>
      <c r="N1519" s="2">
        <f>IF(LeadsData[[#This Row],[Stage Number]]&gt;=3,1,0)</f>
        <v>0</v>
      </c>
      <c r="O1519" s="2">
        <f>IF(LeadsData[[#This Row],[Stage Number]]&gt;=4,1,0)</f>
        <v>0</v>
      </c>
    </row>
    <row r="1520" spans="1:15" x14ac:dyDescent="0.25">
      <c r="A1520" t="s">
        <v>1560</v>
      </c>
      <c r="B1520" s="1">
        <v>45325</v>
      </c>
      <c r="C1520" t="s">
        <v>36</v>
      </c>
      <c r="D1520" t="s">
        <v>50</v>
      </c>
      <c r="E1520" t="s">
        <v>21</v>
      </c>
      <c r="F1520" t="s">
        <v>19</v>
      </c>
      <c r="G1520" t="s">
        <v>29</v>
      </c>
      <c r="K1520" cm="1">
        <f t="array" ref="K1520">_xlfn.SWITCH(LeadsData[[#This Row],[Funnel Stage Reached]],"Lead",1,"MQL",2,"SQL",3,"Customer",4)</f>
        <v>3</v>
      </c>
      <c r="L1520" t="str">
        <f>TEXT(LeadsData[[#This Row],[Signup Date]],"mmm-yyyy")</f>
        <v>Feb-2024</v>
      </c>
      <c r="M1520">
        <f>IF(LeadsData[[#This Row],[Stage Number]]&gt;=2,1,0)</f>
        <v>1</v>
      </c>
      <c r="N1520" s="2">
        <f>IF(LeadsData[[#This Row],[Stage Number]]&gt;=3,1,0)</f>
        <v>1</v>
      </c>
      <c r="O1520" s="2">
        <f>IF(LeadsData[[#This Row],[Stage Number]]&gt;=4,1,0)</f>
        <v>0</v>
      </c>
    </row>
    <row r="1521" spans="1:15" x14ac:dyDescent="0.25">
      <c r="A1521" t="s">
        <v>1561</v>
      </c>
      <c r="B1521" s="1">
        <v>45536</v>
      </c>
      <c r="C1521" t="s">
        <v>36</v>
      </c>
      <c r="D1521" t="s">
        <v>50</v>
      </c>
      <c r="E1521" t="s">
        <v>13</v>
      </c>
      <c r="F1521" t="s">
        <v>22</v>
      </c>
      <c r="G1521" t="s">
        <v>15</v>
      </c>
      <c r="K1521" cm="1">
        <f t="array" ref="K1521">_xlfn.SWITCH(LeadsData[[#This Row],[Funnel Stage Reached]],"Lead",1,"MQL",2,"SQL",3,"Customer",4)</f>
        <v>1</v>
      </c>
      <c r="L1521" t="str">
        <f>TEXT(LeadsData[[#This Row],[Signup Date]],"mmm-yyyy")</f>
        <v>Sep-2024</v>
      </c>
      <c r="M1521">
        <f>IF(LeadsData[[#This Row],[Stage Number]]&gt;=2,1,0)</f>
        <v>0</v>
      </c>
      <c r="N1521" s="2">
        <f>IF(LeadsData[[#This Row],[Stage Number]]&gt;=3,1,0)</f>
        <v>0</v>
      </c>
      <c r="O1521" s="2">
        <f>IF(LeadsData[[#This Row],[Stage Number]]&gt;=4,1,0)</f>
        <v>0</v>
      </c>
    </row>
    <row r="1522" spans="1:15" x14ac:dyDescent="0.25">
      <c r="A1522" t="s">
        <v>1562</v>
      </c>
      <c r="B1522" s="1">
        <v>45547</v>
      </c>
      <c r="C1522" t="s">
        <v>46</v>
      </c>
      <c r="D1522" t="s">
        <v>47</v>
      </c>
      <c r="E1522" t="s">
        <v>13</v>
      </c>
      <c r="F1522" t="s">
        <v>14</v>
      </c>
      <c r="G1522" t="s">
        <v>15</v>
      </c>
      <c r="K1522" cm="1">
        <f t="array" ref="K1522">_xlfn.SWITCH(LeadsData[[#This Row],[Funnel Stage Reached]],"Lead",1,"MQL",2,"SQL",3,"Customer",4)</f>
        <v>1</v>
      </c>
      <c r="L1522" t="str">
        <f>TEXT(LeadsData[[#This Row],[Signup Date]],"mmm-yyyy")</f>
        <v>Sep-2024</v>
      </c>
      <c r="M1522">
        <f>IF(LeadsData[[#This Row],[Stage Number]]&gt;=2,1,0)</f>
        <v>0</v>
      </c>
      <c r="N1522" s="2">
        <f>IF(LeadsData[[#This Row],[Stage Number]]&gt;=3,1,0)</f>
        <v>0</v>
      </c>
      <c r="O1522" s="2">
        <f>IF(LeadsData[[#This Row],[Stage Number]]&gt;=4,1,0)</f>
        <v>0</v>
      </c>
    </row>
    <row r="1523" spans="1:15" x14ac:dyDescent="0.25">
      <c r="A1523" t="s">
        <v>1563</v>
      </c>
      <c r="B1523" s="1">
        <v>45644</v>
      </c>
      <c r="C1523" t="s">
        <v>31</v>
      </c>
      <c r="D1523" t="s">
        <v>32</v>
      </c>
      <c r="E1523" t="s">
        <v>48</v>
      </c>
      <c r="F1523" t="s">
        <v>22</v>
      </c>
      <c r="G1523" t="s">
        <v>42</v>
      </c>
      <c r="H1523">
        <v>35</v>
      </c>
      <c r="I1523" t="s">
        <v>43</v>
      </c>
      <c r="J1523">
        <v>823.61</v>
      </c>
      <c r="K1523" cm="1">
        <f t="array" ref="K1523">_xlfn.SWITCH(LeadsData[[#This Row],[Funnel Stage Reached]],"Lead",1,"MQL",2,"SQL",3,"Customer",4)</f>
        <v>4</v>
      </c>
      <c r="L1523" t="str">
        <f>TEXT(LeadsData[[#This Row],[Signup Date]],"mmm-yyyy")</f>
        <v>Dec-2024</v>
      </c>
      <c r="M1523">
        <f>IF(LeadsData[[#This Row],[Stage Number]]&gt;=2,1,0)</f>
        <v>1</v>
      </c>
      <c r="N1523" s="2">
        <f>IF(LeadsData[[#This Row],[Stage Number]]&gt;=3,1,0)</f>
        <v>1</v>
      </c>
      <c r="O1523" s="2">
        <f>IF(LeadsData[[#This Row],[Stage Number]]&gt;=4,1,0)</f>
        <v>1</v>
      </c>
    </row>
    <row r="1524" spans="1:15" x14ac:dyDescent="0.25">
      <c r="A1524" t="s">
        <v>1564</v>
      </c>
      <c r="B1524" s="1">
        <v>45445</v>
      </c>
      <c r="C1524" t="s">
        <v>17</v>
      </c>
      <c r="D1524" t="s">
        <v>53</v>
      </c>
      <c r="E1524" t="s">
        <v>13</v>
      </c>
      <c r="F1524" t="s">
        <v>22</v>
      </c>
      <c r="G1524" t="s">
        <v>29</v>
      </c>
      <c r="K1524" cm="1">
        <f t="array" ref="K1524">_xlfn.SWITCH(LeadsData[[#This Row],[Funnel Stage Reached]],"Lead",1,"MQL",2,"SQL",3,"Customer",4)</f>
        <v>3</v>
      </c>
      <c r="L1524" t="str">
        <f>TEXT(LeadsData[[#This Row],[Signup Date]],"mmm-yyyy")</f>
        <v>Jun-2024</v>
      </c>
      <c r="M1524">
        <f>IF(LeadsData[[#This Row],[Stage Number]]&gt;=2,1,0)</f>
        <v>1</v>
      </c>
      <c r="N1524" s="2">
        <f>IF(LeadsData[[#This Row],[Stage Number]]&gt;=3,1,0)</f>
        <v>1</v>
      </c>
      <c r="O1524" s="2">
        <f>IF(LeadsData[[#This Row],[Stage Number]]&gt;=4,1,0)</f>
        <v>0</v>
      </c>
    </row>
    <row r="1525" spans="1:15" x14ac:dyDescent="0.25">
      <c r="A1525" t="s">
        <v>1565</v>
      </c>
      <c r="B1525" s="1">
        <v>45544</v>
      </c>
      <c r="C1525" t="s">
        <v>11</v>
      </c>
      <c r="D1525" t="s">
        <v>79</v>
      </c>
      <c r="E1525" t="s">
        <v>13</v>
      </c>
      <c r="F1525" t="s">
        <v>22</v>
      </c>
      <c r="G1525" t="s">
        <v>15</v>
      </c>
      <c r="K1525" cm="1">
        <f t="array" ref="K1525">_xlfn.SWITCH(LeadsData[[#This Row],[Funnel Stage Reached]],"Lead",1,"MQL",2,"SQL",3,"Customer",4)</f>
        <v>1</v>
      </c>
      <c r="L1525" t="str">
        <f>TEXT(LeadsData[[#This Row],[Signup Date]],"mmm-yyyy")</f>
        <v>Sep-2024</v>
      </c>
      <c r="M1525">
        <f>IF(LeadsData[[#This Row],[Stage Number]]&gt;=2,1,0)</f>
        <v>0</v>
      </c>
      <c r="N1525" s="2">
        <f>IF(LeadsData[[#This Row],[Stage Number]]&gt;=3,1,0)</f>
        <v>0</v>
      </c>
      <c r="O1525" s="2">
        <f>IF(LeadsData[[#This Row],[Stage Number]]&gt;=4,1,0)</f>
        <v>0</v>
      </c>
    </row>
    <row r="1526" spans="1:15" x14ac:dyDescent="0.25">
      <c r="A1526" t="s">
        <v>1566</v>
      </c>
      <c r="B1526" s="1">
        <v>45402</v>
      </c>
      <c r="C1526" t="s">
        <v>11</v>
      </c>
      <c r="D1526" t="s">
        <v>79</v>
      </c>
      <c r="E1526" t="s">
        <v>13</v>
      </c>
      <c r="F1526" t="s">
        <v>19</v>
      </c>
      <c r="G1526" t="s">
        <v>23</v>
      </c>
      <c r="K1526" cm="1">
        <f t="array" ref="K1526">_xlfn.SWITCH(LeadsData[[#This Row],[Funnel Stage Reached]],"Lead",1,"MQL",2,"SQL",3,"Customer",4)</f>
        <v>2</v>
      </c>
      <c r="L1526" t="str">
        <f>TEXT(LeadsData[[#This Row],[Signup Date]],"mmm-yyyy")</f>
        <v>Apr-2024</v>
      </c>
      <c r="M1526">
        <f>IF(LeadsData[[#This Row],[Stage Number]]&gt;=2,1,0)</f>
        <v>1</v>
      </c>
      <c r="N1526" s="2">
        <f>IF(LeadsData[[#This Row],[Stage Number]]&gt;=3,1,0)</f>
        <v>0</v>
      </c>
      <c r="O1526" s="2">
        <f>IF(LeadsData[[#This Row],[Stage Number]]&gt;=4,1,0)</f>
        <v>0</v>
      </c>
    </row>
    <row r="1527" spans="1:15" x14ac:dyDescent="0.25">
      <c r="A1527" t="s">
        <v>1567</v>
      </c>
      <c r="B1527" s="1">
        <v>45457</v>
      </c>
      <c r="C1527" t="s">
        <v>36</v>
      </c>
      <c r="D1527" t="s">
        <v>37</v>
      </c>
      <c r="E1527" t="s">
        <v>21</v>
      </c>
      <c r="F1527" t="s">
        <v>19</v>
      </c>
      <c r="G1527" t="s">
        <v>23</v>
      </c>
      <c r="K1527" cm="1">
        <f t="array" ref="K1527">_xlfn.SWITCH(LeadsData[[#This Row],[Funnel Stage Reached]],"Lead",1,"MQL",2,"SQL",3,"Customer",4)</f>
        <v>2</v>
      </c>
      <c r="L1527" t="str">
        <f>TEXT(LeadsData[[#This Row],[Signup Date]],"mmm-yyyy")</f>
        <v>Jun-2024</v>
      </c>
      <c r="M1527">
        <f>IF(LeadsData[[#This Row],[Stage Number]]&gt;=2,1,0)</f>
        <v>1</v>
      </c>
      <c r="N1527" s="2">
        <f>IF(LeadsData[[#This Row],[Stage Number]]&gt;=3,1,0)</f>
        <v>0</v>
      </c>
      <c r="O1527" s="2">
        <f>IF(LeadsData[[#This Row],[Stage Number]]&gt;=4,1,0)</f>
        <v>0</v>
      </c>
    </row>
    <row r="1528" spans="1:15" x14ac:dyDescent="0.25">
      <c r="A1528" t="s">
        <v>1568</v>
      </c>
      <c r="B1528" s="1">
        <v>45440</v>
      </c>
      <c r="C1528" t="s">
        <v>46</v>
      </c>
      <c r="D1528" t="s">
        <v>47</v>
      </c>
      <c r="E1528" t="s">
        <v>13</v>
      </c>
      <c r="F1528" t="s">
        <v>19</v>
      </c>
      <c r="G1528" t="s">
        <v>15</v>
      </c>
      <c r="K1528" cm="1">
        <f t="array" ref="K1528">_xlfn.SWITCH(LeadsData[[#This Row],[Funnel Stage Reached]],"Lead",1,"MQL",2,"SQL",3,"Customer",4)</f>
        <v>1</v>
      </c>
      <c r="L1528" t="str">
        <f>TEXT(LeadsData[[#This Row],[Signup Date]],"mmm-yyyy")</f>
        <v>May-2024</v>
      </c>
      <c r="M1528">
        <f>IF(LeadsData[[#This Row],[Stage Number]]&gt;=2,1,0)</f>
        <v>0</v>
      </c>
      <c r="N1528" s="2">
        <f>IF(LeadsData[[#This Row],[Stage Number]]&gt;=3,1,0)</f>
        <v>0</v>
      </c>
      <c r="O1528" s="2">
        <f>IF(LeadsData[[#This Row],[Stage Number]]&gt;=4,1,0)</f>
        <v>0</v>
      </c>
    </row>
    <row r="1529" spans="1:15" x14ac:dyDescent="0.25">
      <c r="A1529" t="s">
        <v>1569</v>
      </c>
      <c r="B1529" s="1">
        <v>45635</v>
      </c>
      <c r="C1529" t="s">
        <v>31</v>
      </c>
      <c r="D1529" t="s">
        <v>34</v>
      </c>
      <c r="E1529" t="s">
        <v>13</v>
      </c>
      <c r="F1529" t="s">
        <v>19</v>
      </c>
      <c r="G1529" t="s">
        <v>15</v>
      </c>
      <c r="K1529" cm="1">
        <f t="array" ref="K1529">_xlfn.SWITCH(LeadsData[[#This Row],[Funnel Stage Reached]],"Lead",1,"MQL",2,"SQL",3,"Customer",4)</f>
        <v>1</v>
      </c>
      <c r="L1529" t="str">
        <f>TEXT(LeadsData[[#This Row],[Signup Date]],"mmm-yyyy")</f>
        <v>Dec-2024</v>
      </c>
      <c r="M1529">
        <f>IF(LeadsData[[#This Row],[Stage Number]]&gt;=2,1,0)</f>
        <v>0</v>
      </c>
      <c r="N1529" s="2">
        <f>IF(LeadsData[[#This Row],[Stage Number]]&gt;=3,1,0)</f>
        <v>0</v>
      </c>
      <c r="O1529" s="2">
        <f>IF(LeadsData[[#This Row],[Stage Number]]&gt;=4,1,0)</f>
        <v>0</v>
      </c>
    </row>
    <row r="1530" spans="1:15" x14ac:dyDescent="0.25">
      <c r="A1530" t="s">
        <v>1570</v>
      </c>
      <c r="B1530" s="1">
        <v>45467</v>
      </c>
      <c r="C1530" t="s">
        <v>31</v>
      </c>
      <c r="D1530" t="s">
        <v>32</v>
      </c>
      <c r="E1530" t="s">
        <v>13</v>
      </c>
      <c r="F1530" t="s">
        <v>22</v>
      </c>
      <c r="G1530" t="s">
        <v>23</v>
      </c>
      <c r="K1530" cm="1">
        <f t="array" ref="K1530">_xlfn.SWITCH(LeadsData[[#This Row],[Funnel Stage Reached]],"Lead",1,"MQL",2,"SQL",3,"Customer",4)</f>
        <v>2</v>
      </c>
      <c r="L1530" t="str">
        <f>TEXT(LeadsData[[#This Row],[Signup Date]],"mmm-yyyy")</f>
        <v>Jun-2024</v>
      </c>
      <c r="M1530">
        <f>IF(LeadsData[[#This Row],[Stage Number]]&gt;=2,1,0)</f>
        <v>1</v>
      </c>
      <c r="N1530" s="2">
        <f>IF(LeadsData[[#This Row],[Stage Number]]&gt;=3,1,0)</f>
        <v>0</v>
      </c>
      <c r="O1530" s="2">
        <f>IF(LeadsData[[#This Row],[Stage Number]]&gt;=4,1,0)</f>
        <v>0</v>
      </c>
    </row>
    <row r="1531" spans="1:15" x14ac:dyDescent="0.25">
      <c r="A1531" t="s">
        <v>1571</v>
      </c>
      <c r="B1531" s="1">
        <v>45587</v>
      </c>
      <c r="C1531" t="s">
        <v>17</v>
      </c>
      <c r="D1531" t="s">
        <v>18</v>
      </c>
      <c r="E1531" t="s">
        <v>48</v>
      </c>
      <c r="F1531" t="s">
        <v>14</v>
      </c>
      <c r="G1531" t="s">
        <v>29</v>
      </c>
      <c r="K1531" cm="1">
        <f t="array" ref="K1531">_xlfn.SWITCH(LeadsData[[#This Row],[Funnel Stage Reached]],"Lead",1,"MQL",2,"SQL",3,"Customer",4)</f>
        <v>3</v>
      </c>
      <c r="L1531" t="str">
        <f>TEXT(LeadsData[[#This Row],[Signup Date]],"mmm-yyyy")</f>
        <v>Oct-2024</v>
      </c>
      <c r="M1531">
        <f>IF(LeadsData[[#This Row],[Stage Number]]&gt;=2,1,0)</f>
        <v>1</v>
      </c>
      <c r="N1531" s="2">
        <f>IF(LeadsData[[#This Row],[Stage Number]]&gt;=3,1,0)</f>
        <v>1</v>
      </c>
      <c r="O1531" s="2">
        <f>IF(LeadsData[[#This Row],[Stage Number]]&gt;=4,1,0)</f>
        <v>0</v>
      </c>
    </row>
    <row r="1532" spans="1:15" x14ac:dyDescent="0.25">
      <c r="A1532" t="s">
        <v>1572</v>
      </c>
      <c r="B1532" s="1">
        <v>45376</v>
      </c>
      <c r="C1532" t="s">
        <v>25</v>
      </c>
      <c r="D1532" t="s">
        <v>26</v>
      </c>
      <c r="E1532" t="s">
        <v>48</v>
      </c>
      <c r="F1532" t="s">
        <v>22</v>
      </c>
      <c r="G1532" t="s">
        <v>23</v>
      </c>
      <c r="K1532" cm="1">
        <f t="array" ref="K1532">_xlfn.SWITCH(LeadsData[[#This Row],[Funnel Stage Reached]],"Lead",1,"MQL",2,"SQL",3,"Customer",4)</f>
        <v>2</v>
      </c>
      <c r="L1532" t="str">
        <f>TEXT(LeadsData[[#This Row],[Signup Date]],"mmm-yyyy")</f>
        <v>Mar-2024</v>
      </c>
      <c r="M1532">
        <f>IF(LeadsData[[#This Row],[Stage Number]]&gt;=2,1,0)</f>
        <v>1</v>
      </c>
      <c r="N1532" s="2">
        <f>IF(LeadsData[[#This Row],[Stage Number]]&gt;=3,1,0)</f>
        <v>0</v>
      </c>
      <c r="O1532" s="2">
        <f>IF(LeadsData[[#This Row],[Stage Number]]&gt;=4,1,0)</f>
        <v>0</v>
      </c>
    </row>
    <row r="1533" spans="1:15" x14ac:dyDescent="0.25">
      <c r="A1533" t="s">
        <v>1573</v>
      </c>
      <c r="B1533" s="1">
        <v>45611</v>
      </c>
      <c r="C1533" t="s">
        <v>46</v>
      </c>
      <c r="D1533" t="s">
        <v>56</v>
      </c>
      <c r="E1533" t="s">
        <v>21</v>
      </c>
      <c r="F1533" t="s">
        <v>19</v>
      </c>
      <c r="G1533" t="s">
        <v>29</v>
      </c>
      <c r="K1533" cm="1">
        <f t="array" ref="K1533">_xlfn.SWITCH(LeadsData[[#This Row],[Funnel Stage Reached]],"Lead",1,"MQL",2,"SQL",3,"Customer",4)</f>
        <v>3</v>
      </c>
      <c r="L1533" t="str">
        <f>TEXT(LeadsData[[#This Row],[Signup Date]],"mmm-yyyy")</f>
        <v>Nov-2024</v>
      </c>
      <c r="M1533">
        <f>IF(LeadsData[[#This Row],[Stage Number]]&gt;=2,1,0)</f>
        <v>1</v>
      </c>
      <c r="N1533" s="2">
        <f>IF(LeadsData[[#This Row],[Stage Number]]&gt;=3,1,0)</f>
        <v>1</v>
      </c>
      <c r="O1533" s="2">
        <f>IF(LeadsData[[#This Row],[Stage Number]]&gt;=4,1,0)</f>
        <v>0</v>
      </c>
    </row>
    <row r="1534" spans="1:15" x14ac:dyDescent="0.25">
      <c r="A1534" t="s">
        <v>1574</v>
      </c>
      <c r="B1534" s="1">
        <v>45527</v>
      </c>
      <c r="C1534" t="s">
        <v>25</v>
      </c>
      <c r="D1534" t="s">
        <v>26</v>
      </c>
      <c r="E1534" t="s">
        <v>13</v>
      </c>
      <c r="F1534" t="s">
        <v>19</v>
      </c>
      <c r="G1534" t="s">
        <v>15</v>
      </c>
      <c r="K1534" cm="1">
        <f t="array" ref="K1534">_xlfn.SWITCH(LeadsData[[#This Row],[Funnel Stage Reached]],"Lead",1,"MQL",2,"SQL",3,"Customer",4)</f>
        <v>1</v>
      </c>
      <c r="L1534" t="str">
        <f>TEXT(LeadsData[[#This Row],[Signup Date]],"mmm-yyyy")</f>
        <v>Aug-2024</v>
      </c>
      <c r="M1534">
        <f>IF(LeadsData[[#This Row],[Stage Number]]&gt;=2,1,0)</f>
        <v>0</v>
      </c>
      <c r="N1534" s="2">
        <f>IF(LeadsData[[#This Row],[Stage Number]]&gt;=3,1,0)</f>
        <v>0</v>
      </c>
      <c r="O1534" s="2">
        <f>IF(LeadsData[[#This Row],[Stage Number]]&gt;=4,1,0)</f>
        <v>0</v>
      </c>
    </row>
    <row r="1535" spans="1:15" x14ac:dyDescent="0.25">
      <c r="A1535" t="s">
        <v>1575</v>
      </c>
      <c r="B1535" s="1">
        <v>45400</v>
      </c>
      <c r="C1535" t="s">
        <v>31</v>
      </c>
      <c r="D1535" t="s">
        <v>32</v>
      </c>
      <c r="E1535" t="s">
        <v>13</v>
      </c>
      <c r="F1535" t="s">
        <v>19</v>
      </c>
      <c r="G1535" t="s">
        <v>15</v>
      </c>
      <c r="K1535" cm="1">
        <f t="array" ref="K1535">_xlfn.SWITCH(LeadsData[[#This Row],[Funnel Stage Reached]],"Lead",1,"MQL",2,"SQL",3,"Customer",4)</f>
        <v>1</v>
      </c>
      <c r="L1535" t="str">
        <f>TEXT(LeadsData[[#This Row],[Signup Date]],"mmm-yyyy")</f>
        <v>Apr-2024</v>
      </c>
      <c r="M1535">
        <f>IF(LeadsData[[#This Row],[Stage Number]]&gt;=2,1,0)</f>
        <v>0</v>
      </c>
      <c r="N1535" s="2">
        <f>IF(LeadsData[[#This Row],[Stage Number]]&gt;=3,1,0)</f>
        <v>0</v>
      </c>
      <c r="O1535" s="2">
        <f>IF(LeadsData[[#This Row],[Stage Number]]&gt;=4,1,0)</f>
        <v>0</v>
      </c>
    </row>
    <row r="1536" spans="1:15" x14ac:dyDescent="0.25">
      <c r="A1536" t="s">
        <v>1576</v>
      </c>
      <c r="B1536" s="1">
        <v>45570</v>
      </c>
      <c r="C1536" t="s">
        <v>25</v>
      </c>
      <c r="D1536" t="s">
        <v>26</v>
      </c>
      <c r="E1536" t="s">
        <v>13</v>
      </c>
      <c r="F1536" t="s">
        <v>19</v>
      </c>
      <c r="G1536" t="s">
        <v>23</v>
      </c>
      <c r="K1536" cm="1">
        <f t="array" ref="K1536">_xlfn.SWITCH(LeadsData[[#This Row],[Funnel Stage Reached]],"Lead",1,"MQL",2,"SQL",3,"Customer",4)</f>
        <v>2</v>
      </c>
      <c r="L1536" t="str">
        <f>TEXT(LeadsData[[#This Row],[Signup Date]],"mmm-yyyy")</f>
        <v>Oct-2024</v>
      </c>
      <c r="M1536">
        <f>IF(LeadsData[[#This Row],[Stage Number]]&gt;=2,1,0)</f>
        <v>1</v>
      </c>
      <c r="N1536" s="2">
        <f>IF(LeadsData[[#This Row],[Stage Number]]&gt;=3,1,0)</f>
        <v>0</v>
      </c>
      <c r="O1536" s="2">
        <f>IF(LeadsData[[#This Row],[Stage Number]]&gt;=4,1,0)</f>
        <v>0</v>
      </c>
    </row>
    <row r="1537" spans="1:15" x14ac:dyDescent="0.25">
      <c r="A1537" t="s">
        <v>1577</v>
      </c>
      <c r="B1537" s="1">
        <v>45299</v>
      </c>
      <c r="C1537" t="s">
        <v>17</v>
      </c>
      <c r="D1537" t="s">
        <v>53</v>
      </c>
      <c r="E1537" t="s">
        <v>21</v>
      </c>
      <c r="F1537" t="s">
        <v>22</v>
      </c>
      <c r="G1537" t="s">
        <v>23</v>
      </c>
      <c r="K1537" cm="1">
        <f t="array" ref="K1537">_xlfn.SWITCH(LeadsData[[#This Row],[Funnel Stage Reached]],"Lead",1,"MQL",2,"SQL",3,"Customer",4)</f>
        <v>2</v>
      </c>
      <c r="L1537" t="str">
        <f>TEXT(LeadsData[[#This Row],[Signup Date]],"mmm-yyyy")</f>
        <v>Jan-2024</v>
      </c>
      <c r="M1537">
        <f>IF(LeadsData[[#This Row],[Stage Number]]&gt;=2,1,0)</f>
        <v>1</v>
      </c>
      <c r="N1537" s="2">
        <f>IF(LeadsData[[#This Row],[Stage Number]]&gt;=3,1,0)</f>
        <v>0</v>
      </c>
      <c r="O1537" s="2">
        <f>IF(LeadsData[[#This Row],[Stage Number]]&gt;=4,1,0)</f>
        <v>0</v>
      </c>
    </row>
    <row r="1538" spans="1:15" x14ac:dyDescent="0.25">
      <c r="A1538" t="s">
        <v>1578</v>
      </c>
      <c r="B1538" s="1">
        <v>45310</v>
      </c>
      <c r="C1538" t="s">
        <v>46</v>
      </c>
      <c r="D1538" t="s">
        <v>47</v>
      </c>
      <c r="E1538" t="s">
        <v>13</v>
      </c>
      <c r="F1538" t="s">
        <v>22</v>
      </c>
      <c r="G1538" t="s">
        <v>42</v>
      </c>
      <c r="H1538">
        <v>49</v>
      </c>
      <c r="I1538" t="s">
        <v>43</v>
      </c>
      <c r="J1538">
        <v>738</v>
      </c>
      <c r="K1538" cm="1">
        <f t="array" ref="K1538">_xlfn.SWITCH(LeadsData[[#This Row],[Funnel Stage Reached]],"Lead",1,"MQL",2,"SQL",3,"Customer",4)</f>
        <v>4</v>
      </c>
      <c r="L1538" t="str">
        <f>TEXT(LeadsData[[#This Row],[Signup Date]],"mmm-yyyy")</f>
        <v>Jan-2024</v>
      </c>
      <c r="M1538">
        <f>IF(LeadsData[[#This Row],[Stage Number]]&gt;=2,1,0)</f>
        <v>1</v>
      </c>
      <c r="N1538" s="2">
        <f>IF(LeadsData[[#This Row],[Stage Number]]&gt;=3,1,0)</f>
        <v>1</v>
      </c>
      <c r="O1538" s="2">
        <f>IF(LeadsData[[#This Row],[Stage Number]]&gt;=4,1,0)</f>
        <v>1</v>
      </c>
    </row>
    <row r="1539" spans="1:15" x14ac:dyDescent="0.25">
      <c r="A1539" t="s">
        <v>1579</v>
      </c>
      <c r="B1539" s="1">
        <v>45499</v>
      </c>
      <c r="C1539" t="s">
        <v>46</v>
      </c>
      <c r="D1539" t="s">
        <v>56</v>
      </c>
      <c r="E1539" t="s">
        <v>13</v>
      </c>
      <c r="F1539" t="s">
        <v>19</v>
      </c>
      <c r="G1539" t="s">
        <v>29</v>
      </c>
      <c r="K1539" cm="1">
        <f t="array" ref="K1539">_xlfn.SWITCH(LeadsData[[#This Row],[Funnel Stage Reached]],"Lead",1,"MQL",2,"SQL",3,"Customer",4)</f>
        <v>3</v>
      </c>
      <c r="L1539" t="str">
        <f>TEXT(LeadsData[[#This Row],[Signup Date]],"mmm-yyyy")</f>
        <v>Jul-2024</v>
      </c>
      <c r="M1539">
        <f>IF(LeadsData[[#This Row],[Stage Number]]&gt;=2,1,0)</f>
        <v>1</v>
      </c>
      <c r="N1539" s="2">
        <f>IF(LeadsData[[#This Row],[Stage Number]]&gt;=3,1,0)</f>
        <v>1</v>
      </c>
      <c r="O1539" s="2">
        <f>IF(LeadsData[[#This Row],[Stage Number]]&gt;=4,1,0)</f>
        <v>0</v>
      </c>
    </row>
    <row r="1540" spans="1:15" x14ac:dyDescent="0.25">
      <c r="A1540" t="s">
        <v>1580</v>
      </c>
      <c r="B1540" s="1">
        <v>45605</v>
      </c>
      <c r="C1540" t="s">
        <v>17</v>
      </c>
      <c r="D1540" t="s">
        <v>18</v>
      </c>
      <c r="E1540" t="s">
        <v>13</v>
      </c>
      <c r="F1540" t="s">
        <v>22</v>
      </c>
      <c r="G1540" t="s">
        <v>15</v>
      </c>
      <c r="K1540" cm="1">
        <f t="array" ref="K1540">_xlfn.SWITCH(LeadsData[[#This Row],[Funnel Stage Reached]],"Lead",1,"MQL",2,"SQL",3,"Customer",4)</f>
        <v>1</v>
      </c>
      <c r="L1540" t="str">
        <f>TEXT(LeadsData[[#This Row],[Signup Date]],"mmm-yyyy")</f>
        <v>Nov-2024</v>
      </c>
      <c r="M1540">
        <f>IF(LeadsData[[#This Row],[Stage Number]]&gt;=2,1,0)</f>
        <v>0</v>
      </c>
      <c r="N1540" s="2">
        <f>IF(LeadsData[[#This Row],[Stage Number]]&gt;=3,1,0)</f>
        <v>0</v>
      </c>
      <c r="O1540" s="2">
        <f>IF(LeadsData[[#This Row],[Stage Number]]&gt;=4,1,0)</f>
        <v>0</v>
      </c>
    </row>
    <row r="1541" spans="1:15" x14ac:dyDescent="0.25">
      <c r="A1541" t="s">
        <v>1581</v>
      </c>
      <c r="B1541" s="1">
        <v>45557</v>
      </c>
      <c r="C1541" t="s">
        <v>31</v>
      </c>
      <c r="D1541" t="s">
        <v>34</v>
      </c>
      <c r="E1541" t="s">
        <v>13</v>
      </c>
      <c r="F1541" t="s">
        <v>22</v>
      </c>
      <c r="G1541" t="s">
        <v>23</v>
      </c>
      <c r="K1541" cm="1">
        <f t="array" ref="K1541">_xlfn.SWITCH(LeadsData[[#This Row],[Funnel Stage Reached]],"Lead",1,"MQL",2,"SQL",3,"Customer",4)</f>
        <v>2</v>
      </c>
      <c r="L1541" t="str">
        <f>TEXT(LeadsData[[#This Row],[Signup Date]],"mmm-yyyy")</f>
        <v>Sep-2024</v>
      </c>
      <c r="M1541">
        <f>IF(LeadsData[[#This Row],[Stage Number]]&gt;=2,1,0)</f>
        <v>1</v>
      </c>
      <c r="N1541" s="2">
        <f>IF(LeadsData[[#This Row],[Stage Number]]&gt;=3,1,0)</f>
        <v>0</v>
      </c>
      <c r="O1541" s="2">
        <f>IF(LeadsData[[#This Row],[Stage Number]]&gt;=4,1,0)</f>
        <v>0</v>
      </c>
    </row>
    <row r="1542" spans="1:15" x14ac:dyDescent="0.25">
      <c r="A1542" t="s">
        <v>1582</v>
      </c>
      <c r="B1542" s="1">
        <v>45528</v>
      </c>
      <c r="C1542" t="s">
        <v>17</v>
      </c>
      <c r="D1542" t="s">
        <v>53</v>
      </c>
      <c r="E1542" t="s">
        <v>13</v>
      </c>
      <c r="F1542" t="s">
        <v>28</v>
      </c>
      <c r="G1542" t="s">
        <v>29</v>
      </c>
      <c r="K1542" cm="1">
        <f t="array" ref="K1542">_xlfn.SWITCH(LeadsData[[#This Row],[Funnel Stage Reached]],"Lead",1,"MQL",2,"SQL",3,"Customer",4)</f>
        <v>3</v>
      </c>
      <c r="L1542" t="str">
        <f>TEXT(LeadsData[[#This Row],[Signup Date]],"mmm-yyyy")</f>
        <v>Aug-2024</v>
      </c>
      <c r="M1542">
        <f>IF(LeadsData[[#This Row],[Stage Number]]&gt;=2,1,0)</f>
        <v>1</v>
      </c>
      <c r="N1542" s="2">
        <f>IF(LeadsData[[#This Row],[Stage Number]]&gt;=3,1,0)</f>
        <v>1</v>
      </c>
      <c r="O1542" s="2">
        <f>IF(LeadsData[[#This Row],[Stage Number]]&gt;=4,1,0)</f>
        <v>0</v>
      </c>
    </row>
    <row r="1543" spans="1:15" x14ac:dyDescent="0.25">
      <c r="A1543" t="s">
        <v>1583</v>
      </c>
      <c r="B1543" s="1">
        <v>45348</v>
      </c>
      <c r="C1543" t="s">
        <v>31</v>
      </c>
      <c r="D1543" t="s">
        <v>34</v>
      </c>
      <c r="E1543" t="s">
        <v>13</v>
      </c>
      <c r="F1543" t="s">
        <v>14</v>
      </c>
      <c r="G1543" t="s">
        <v>23</v>
      </c>
      <c r="K1543" cm="1">
        <f t="array" ref="K1543">_xlfn.SWITCH(LeadsData[[#This Row],[Funnel Stage Reached]],"Lead",1,"MQL",2,"SQL",3,"Customer",4)</f>
        <v>2</v>
      </c>
      <c r="L1543" t="str">
        <f>TEXT(LeadsData[[#This Row],[Signup Date]],"mmm-yyyy")</f>
        <v>Feb-2024</v>
      </c>
      <c r="M1543">
        <f>IF(LeadsData[[#This Row],[Stage Number]]&gt;=2,1,0)</f>
        <v>1</v>
      </c>
      <c r="N1543" s="2">
        <f>IF(LeadsData[[#This Row],[Stage Number]]&gt;=3,1,0)</f>
        <v>0</v>
      </c>
      <c r="O1543" s="2">
        <f>IF(LeadsData[[#This Row],[Stage Number]]&gt;=4,1,0)</f>
        <v>0</v>
      </c>
    </row>
    <row r="1544" spans="1:15" x14ac:dyDescent="0.25">
      <c r="A1544" t="s">
        <v>1584</v>
      </c>
      <c r="B1544" s="1">
        <v>45349</v>
      </c>
      <c r="C1544" t="s">
        <v>17</v>
      </c>
      <c r="D1544" t="s">
        <v>53</v>
      </c>
      <c r="E1544" t="s">
        <v>21</v>
      </c>
      <c r="F1544" t="s">
        <v>22</v>
      </c>
      <c r="G1544" t="s">
        <v>23</v>
      </c>
      <c r="K1544" cm="1">
        <f t="array" ref="K1544">_xlfn.SWITCH(LeadsData[[#This Row],[Funnel Stage Reached]],"Lead",1,"MQL",2,"SQL",3,"Customer",4)</f>
        <v>2</v>
      </c>
      <c r="L1544" t="str">
        <f>TEXT(LeadsData[[#This Row],[Signup Date]],"mmm-yyyy")</f>
        <v>Feb-2024</v>
      </c>
      <c r="M1544">
        <f>IF(LeadsData[[#This Row],[Stage Number]]&gt;=2,1,0)</f>
        <v>1</v>
      </c>
      <c r="N1544" s="2">
        <f>IF(LeadsData[[#This Row],[Stage Number]]&gt;=3,1,0)</f>
        <v>0</v>
      </c>
      <c r="O1544" s="2">
        <f>IF(LeadsData[[#This Row],[Stage Number]]&gt;=4,1,0)</f>
        <v>0</v>
      </c>
    </row>
    <row r="1545" spans="1:15" x14ac:dyDescent="0.25">
      <c r="A1545" t="s">
        <v>1585</v>
      </c>
      <c r="B1545" s="1">
        <v>45355</v>
      </c>
      <c r="C1545" t="s">
        <v>31</v>
      </c>
      <c r="D1545" t="s">
        <v>34</v>
      </c>
      <c r="E1545" t="s">
        <v>13</v>
      </c>
      <c r="F1545" t="s">
        <v>19</v>
      </c>
      <c r="G1545" t="s">
        <v>15</v>
      </c>
      <c r="K1545" cm="1">
        <f t="array" ref="K1545">_xlfn.SWITCH(LeadsData[[#This Row],[Funnel Stage Reached]],"Lead",1,"MQL",2,"SQL",3,"Customer",4)</f>
        <v>1</v>
      </c>
      <c r="L1545" t="str">
        <f>TEXT(LeadsData[[#This Row],[Signup Date]],"mmm-yyyy")</f>
        <v>Mar-2024</v>
      </c>
      <c r="M1545">
        <f>IF(LeadsData[[#This Row],[Stage Number]]&gt;=2,1,0)</f>
        <v>0</v>
      </c>
      <c r="N1545" s="2">
        <f>IF(LeadsData[[#This Row],[Stage Number]]&gt;=3,1,0)</f>
        <v>0</v>
      </c>
      <c r="O1545" s="2">
        <f>IF(LeadsData[[#This Row],[Stage Number]]&gt;=4,1,0)</f>
        <v>0</v>
      </c>
    </row>
    <row r="1546" spans="1:15" x14ac:dyDescent="0.25">
      <c r="A1546" t="s">
        <v>1586</v>
      </c>
      <c r="B1546" s="1">
        <v>45561</v>
      </c>
      <c r="C1546" t="s">
        <v>31</v>
      </c>
      <c r="D1546" t="s">
        <v>34</v>
      </c>
      <c r="E1546" t="s">
        <v>48</v>
      </c>
      <c r="F1546" t="s">
        <v>22</v>
      </c>
      <c r="G1546" t="s">
        <v>29</v>
      </c>
      <c r="K1546" cm="1">
        <f t="array" ref="K1546">_xlfn.SWITCH(LeadsData[[#This Row],[Funnel Stage Reached]],"Lead",1,"MQL",2,"SQL",3,"Customer",4)</f>
        <v>3</v>
      </c>
      <c r="L1546" t="str">
        <f>TEXT(LeadsData[[#This Row],[Signup Date]],"mmm-yyyy")</f>
        <v>Sep-2024</v>
      </c>
      <c r="M1546">
        <f>IF(LeadsData[[#This Row],[Stage Number]]&gt;=2,1,0)</f>
        <v>1</v>
      </c>
      <c r="N1546" s="2">
        <f>IF(LeadsData[[#This Row],[Stage Number]]&gt;=3,1,0)</f>
        <v>1</v>
      </c>
      <c r="O1546" s="2">
        <f>IF(LeadsData[[#This Row],[Stage Number]]&gt;=4,1,0)</f>
        <v>0</v>
      </c>
    </row>
    <row r="1547" spans="1:15" x14ac:dyDescent="0.25">
      <c r="A1547" t="s">
        <v>1587</v>
      </c>
      <c r="B1547" s="1">
        <v>45403</v>
      </c>
      <c r="C1547" t="s">
        <v>46</v>
      </c>
      <c r="D1547" t="s">
        <v>47</v>
      </c>
      <c r="E1547" t="s">
        <v>48</v>
      </c>
      <c r="F1547" t="s">
        <v>14</v>
      </c>
      <c r="G1547" t="s">
        <v>15</v>
      </c>
      <c r="K1547" cm="1">
        <f t="array" ref="K1547">_xlfn.SWITCH(LeadsData[[#This Row],[Funnel Stage Reached]],"Lead",1,"MQL",2,"SQL",3,"Customer",4)</f>
        <v>1</v>
      </c>
      <c r="L1547" t="str">
        <f>TEXT(LeadsData[[#This Row],[Signup Date]],"mmm-yyyy")</f>
        <v>Apr-2024</v>
      </c>
      <c r="M1547">
        <f>IF(LeadsData[[#This Row],[Stage Number]]&gt;=2,1,0)</f>
        <v>0</v>
      </c>
      <c r="N1547" s="2">
        <f>IF(LeadsData[[#This Row],[Stage Number]]&gt;=3,1,0)</f>
        <v>0</v>
      </c>
      <c r="O1547" s="2">
        <f>IF(LeadsData[[#This Row],[Stage Number]]&gt;=4,1,0)</f>
        <v>0</v>
      </c>
    </row>
    <row r="1548" spans="1:15" x14ac:dyDescent="0.25">
      <c r="A1548" t="s">
        <v>1588</v>
      </c>
      <c r="B1548" s="1">
        <v>45464</v>
      </c>
      <c r="C1548" t="s">
        <v>17</v>
      </c>
      <c r="D1548" t="s">
        <v>18</v>
      </c>
      <c r="E1548" t="s">
        <v>13</v>
      </c>
      <c r="F1548" t="s">
        <v>19</v>
      </c>
      <c r="G1548" t="s">
        <v>15</v>
      </c>
      <c r="K1548" cm="1">
        <f t="array" ref="K1548">_xlfn.SWITCH(LeadsData[[#This Row],[Funnel Stage Reached]],"Lead",1,"MQL",2,"SQL",3,"Customer",4)</f>
        <v>1</v>
      </c>
      <c r="L1548" t="str">
        <f>TEXT(LeadsData[[#This Row],[Signup Date]],"mmm-yyyy")</f>
        <v>Jun-2024</v>
      </c>
      <c r="M1548">
        <f>IF(LeadsData[[#This Row],[Stage Number]]&gt;=2,1,0)</f>
        <v>0</v>
      </c>
      <c r="N1548" s="2">
        <f>IF(LeadsData[[#This Row],[Stage Number]]&gt;=3,1,0)</f>
        <v>0</v>
      </c>
      <c r="O1548" s="2">
        <f>IF(LeadsData[[#This Row],[Stage Number]]&gt;=4,1,0)</f>
        <v>0</v>
      </c>
    </row>
    <row r="1549" spans="1:15" x14ac:dyDescent="0.25">
      <c r="A1549" t="s">
        <v>1589</v>
      </c>
      <c r="B1549" s="1">
        <v>45390</v>
      </c>
      <c r="C1549" t="s">
        <v>25</v>
      </c>
      <c r="D1549" t="s">
        <v>26</v>
      </c>
      <c r="E1549" t="s">
        <v>21</v>
      </c>
      <c r="F1549" t="s">
        <v>22</v>
      </c>
      <c r="G1549" t="s">
        <v>15</v>
      </c>
      <c r="K1549" cm="1">
        <f t="array" ref="K1549">_xlfn.SWITCH(LeadsData[[#This Row],[Funnel Stage Reached]],"Lead",1,"MQL",2,"SQL",3,"Customer",4)</f>
        <v>1</v>
      </c>
      <c r="L1549" t="str">
        <f>TEXT(LeadsData[[#This Row],[Signup Date]],"mmm-yyyy")</f>
        <v>Apr-2024</v>
      </c>
      <c r="M1549">
        <f>IF(LeadsData[[#This Row],[Stage Number]]&gt;=2,1,0)</f>
        <v>0</v>
      </c>
      <c r="N1549" s="2">
        <f>IF(LeadsData[[#This Row],[Stage Number]]&gt;=3,1,0)</f>
        <v>0</v>
      </c>
      <c r="O1549" s="2">
        <f>IF(LeadsData[[#This Row],[Stage Number]]&gt;=4,1,0)</f>
        <v>0</v>
      </c>
    </row>
    <row r="1550" spans="1:15" x14ac:dyDescent="0.25">
      <c r="A1550" t="s">
        <v>1590</v>
      </c>
      <c r="B1550" s="1">
        <v>45335</v>
      </c>
      <c r="C1550" t="s">
        <v>46</v>
      </c>
      <c r="D1550" t="s">
        <v>47</v>
      </c>
      <c r="E1550" t="s">
        <v>21</v>
      </c>
      <c r="F1550" t="s">
        <v>22</v>
      </c>
      <c r="G1550" t="s">
        <v>15</v>
      </c>
      <c r="K1550" cm="1">
        <f t="array" ref="K1550">_xlfn.SWITCH(LeadsData[[#This Row],[Funnel Stage Reached]],"Lead",1,"MQL",2,"SQL",3,"Customer",4)</f>
        <v>1</v>
      </c>
      <c r="L1550" t="str">
        <f>TEXT(LeadsData[[#This Row],[Signup Date]],"mmm-yyyy")</f>
        <v>Feb-2024</v>
      </c>
      <c r="M1550">
        <f>IF(LeadsData[[#This Row],[Stage Number]]&gt;=2,1,0)</f>
        <v>0</v>
      </c>
      <c r="N1550" s="2">
        <f>IF(LeadsData[[#This Row],[Stage Number]]&gt;=3,1,0)</f>
        <v>0</v>
      </c>
      <c r="O1550" s="2">
        <f>IF(LeadsData[[#This Row],[Stage Number]]&gt;=4,1,0)</f>
        <v>0</v>
      </c>
    </row>
    <row r="1551" spans="1:15" x14ac:dyDescent="0.25">
      <c r="A1551" t="s">
        <v>1591</v>
      </c>
      <c r="B1551" s="1">
        <v>45572</v>
      </c>
      <c r="C1551" t="s">
        <v>25</v>
      </c>
      <c r="D1551" t="s">
        <v>26</v>
      </c>
      <c r="E1551" t="s">
        <v>13</v>
      </c>
      <c r="F1551" t="s">
        <v>14</v>
      </c>
      <c r="G1551" t="s">
        <v>23</v>
      </c>
      <c r="K1551" cm="1">
        <f t="array" ref="K1551">_xlfn.SWITCH(LeadsData[[#This Row],[Funnel Stage Reached]],"Lead",1,"MQL",2,"SQL",3,"Customer",4)</f>
        <v>2</v>
      </c>
      <c r="L1551" t="str">
        <f>TEXT(LeadsData[[#This Row],[Signup Date]],"mmm-yyyy")</f>
        <v>Oct-2024</v>
      </c>
      <c r="M1551">
        <f>IF(LeadsData[[#This Row],[Stage Number]]&gt;=2,1,0)</f>
        <v>1</v>
      </c>
      <c r="N1551" s="2">
        <f>IF(LeadsData[[#This Row],[Stage Number]]&gt;=3,1,0)</f>
        <v>0</v>
      </c>
      <c r="O1551" s="2">
        <f>IF(LeadsData[[#This Row],[Stage Number]]&gt;=4,1,0)</f>
        <v>0</v>
      </c>
    </row>
    <row r="1552" spans="1:15" x14ac:dyDescent="0.25">
      <c r="A1552" t="s">
        <v>1592</v>
      </c>
      <c r="B1552" s="1">
        <v>45561</v>
      </c>
      <c r="C1552" t="s">
        <v>25</v>
      </c>
      <c r="D1552" t="s">
        <v>26</v>
      </c>
      <c r="E1552" t="s">
        <v>13</v>
      </c>
      <c r="F1552" t="s">
        <v>22</v>
      </c>
      <c r="G1552" t="s">
        <v>15</v>
      </c>
      <c r="K1552" cm="1">
        <f t="array" ref="K1552">_xlfn.SWITCH(LeadsData[[#This Row],[Funnel Stage Reached]],"Lead",1,"MQL",2,"SQL",3,"Customer",4)</f>
        <v>1</v>
      </c>
      <c r="L1552" t="str">
        <f>TEXT(LeadsData[[#This Row],[Signup Date]],"mmm-yyyy")</f>
        <v>Sep-2024</v>
      </c>
      <c r="M1552">
        <f>IF(LeadsData[[#This Row],[Stage Number]]&gt;=2,1,0)</f>
        <v>0</v>
      </c>
      <c r="N1552" s="2">
        <f>IF(LeadsData[[#This Row],[Stage Number]]&gt;=3,1,0)</f>
        <v>0</v>
      </c>
      <c r="O1552" s="2">
        <f>IF(LeadsData[[#This Row],[Stage Number]]&gt;=4,1,0)</f>
        <v>0</v>
      </c>
    </row>
    <row r="1553" spans="1:15" x14ac:dyDescent="0.25">
      <c r="A1553" t="s">
        <v>1593</v>
      </c>
      <c r="B1553" s="1">
        <v>45641</v>
      </c>
      <c r="C1553" t="s">
        <v>17</v>
      </c>
      <c r="D1553" t="s">
        <v>53</v>
      </c>
      <c r="E1553" t="s">
        <v>21</v>
      </c>
      <c r="F1553" t="s">
        <v>19</v>
      </c>
      <c r="G1553" t="s">
        <v>15</v>
      </c>
      <c r="K1553" cm="1">
        <f t="array" ref="K1553">_xlfn.SWITCH(LeadsData[[#This Row],[Funnel Stage Reached]],"Lead",1,"MQL",2,"SQL",3,"Customer",4)</f>
        <v>1</v>
      </c>
      <c r="L1553" t="str">
        <f>TEXT(LeadsData[[#This Row],[Signup Date]],"mmm-yyyy")</f>
        <v>Dec-2024</v>
      </c>
      <c r="M1553">
        <f>IF(LeadsData[[#This Row],[Stage Number]]&gt;=2,1,0)</f>
        <v>0</v>
      </c>
      <c r="N1553" s="2">
        <f>IF(LeadsData[[#This Row],[Stage Number]]&gt;=3,1,0)</f>
        <v>0</v>
      </c>
      <c r="O1553" s="2">
        <f>IF(LeadsData[[#This Row],[Stage Number]]&gt;=4,1,0)</f>
        <v>0</v>
      </c>
    </row>
    <row r="1554" spans="1:15" x14ac:dyDescent="0.25">
      <c r="A1554" t="s">
        <v>1594</v>
      </c>
      <c r="B1554" s="1">
        <v>45387</v>
      </c>
      <c r="C1554" t="s">
        <v>46</v>
      </c>
      <c r="D1554" t="s">
        <v>47</v>
      </c>
      <c r="E1554" t="s">
        <v>13</v>
      </c>
      <c r="F1554" t="s">
        <v>19</v>
      </c>
      <c r="G1554" t="s">
        <v>15</v>
      </c>
      <c r="K1554" cm="1">
        <f t="array" ref="K1554">_xlfn.SWITCH(LeadsData[[#This Row],[Funnel Stage Reached]],"Lead",1,"MQL",2,"SQL",3,"Customer",4)</f>
        <v>1</v>
      </c>
      <c r="L1554" t="str">
        <f>TEXT(LeadsData[[#This Row],[Signup Date]],"mmm-yyyy")</f>
        <v>Apr-2024</v>
      </c>
      <c r="M1554">
        <f>IF(LeadsData[[#This Row],[Stage Number]]&gt;=2,1,0)</f>
        <v>0</v>
      </c>
      <c r="N1554" s="2">
        <f>IF(LeadsData[[#This Row],[Stage Number]]&gt;=3,1,0)</f>
        <v>0</v>
      </c>
      <c r="O1554" s="2">
        <f>IF(LeadsData[[#This Row],[Stage Number]]&gt;=4,1,0)</f>
        <v>0</v>
      </c>
    </row>
    <row r="1555" spans="1:15" x14ac:dyDescent="0.25">
      <c r="A1555" t="s">
        <v>1595</v>
      </c>
      <c r="B1555" s="1">
        <v>45605</v>
      </c>
      <c r="C1555" t="s">
        <v>11</v>
      </c>
      <c r="D1555" t="s">
        <v>79</v>
      </c>
      <c r="E1555" t="s">
        <v>13</v>
      </c>
      <c r="F1555" t="s">
        <v>22</v>
      </c>
      <c r="G1555" t="s">
        <v>23</v>
      </c>
      <c r="K1555" cm="1">
        <f t="array" ref="K1555">_xlfn.SWITCH(LeadsData[[#This Row],[Funnel Stage Reached]],"Lead",1,"MQL",2,"SQL",3,"Customer",4)</f>
        <v>2</v>
      </c>
      <c r="L1555" t="str">
        <f>TEXT(LeadsData[[#This Row],[Signup Date]],"mmm-yyyy")</f>
        <v>Nov-2024</v>
      </c>
      <c r="M1555">
        <f>IF(LeadsData[[#This Row],[Stage Number]]&gt;=2,1,0)</f>
        <v>1</v>
      </c>
      <c r="N1555" s="2">
        <f>IF(LeadsData[[#This Row],[Stage Number]]&gt;=3,1,0)</f>
        <v>0</v>
      </c>
      <c r="O1555" s="2">
        <f>IF(LeadsData[[#This Row],[Stage Number]]&gt;=4,1,0)</f>
        <v>0</v>
      </c>
    </row>
    <row r="1556" spans="1:15" x14ac:dyDescent="0.25">
      <c r="A1556" t="s">
        <v>1596</v>
      </c>
      <c r="B1556" s="1">
        <v>45645</v>
      </c>
      <c r="C1556" t="s">
        <v>31</v>
      </c>
      <c r="D1556" t="s">
        <v>32</v>
      </c>
      <c r="E1556" t="s">
        <v>21</v>
      </c>
      <c r="F1556" t="s">
        <v>22</v>
      </c>
      <c r="G1556" t="s">
        <v>15</v>
      </c>
      <c r="K1556" cm="1">
        <f t="array" ref="K1556">_xlfn.SWITCH(LeadsData[[#This Row],[Funnel Stage Reached]],"Lead",1,"MQL",2,"SQL",3,"Customer",4)</f>
        <v>1</v>
      </c>
      <c r="L1556" t="str">
        <f>TEXT(LeadsData[[#This Row],[Signup Date]],"mmm-yyyy")</f>
        <v>Dec-2024</v>
      </c>
      <c r="M1556">
        <f>IF(LeadsData[[#This Row],[Stage Number]]&gt;=2,1,0)</f>
        <v>0</v>
      </c>
      <c r="N1556" s="2">
        <f>IF(LeadsData[[#This Row],[Stage Number]]&gt;=3,1,0)</f>
        <v>0</v>
      </c>
      <c r="O1556" s="2">
        <f>IF(LeadsData[[#This Row],[Stage Number]]&gt;=4,1,0)</f>
        <v>0</v>
      </c>
    </row>
    <row r="1557" spans="1:15" x14ac:dyDescent="0.25">
      <c r="A1557" t="s">
        <v>1597</v>
      </c>
      <c r="B1557" s="1">
        <v>45651</v>
      </c>
      <c r="C1557" t="s">
        <v>36</v>
      </c>
      <c r="D1557" t="s">
        <v>50</v>
      </c>
      <c r="E1557" t="s">
        <v>21</v>
      </c>
      <c r="F1557" t="s">
        <v>19</v>
      </c>
      <c r="G1557" t="s">
        <v>15</v>
      </c>
      <c r="K1557" cm="1">
        <f t="array" ref="K1557">_xlfn.SWITCH(LeadsData[[#This Row],[Funnel Stage Reached]],"Lead",1,"MQL",2,"SQL",3,"Customer",4)</f>
        <v>1</v>
      </c>
      <c r="L1557" t="str">
        <f>TEXT(LeadsData[[#This Row],[Signup Date]],"mmm-yyyy")</f>
        <v>Dec-2024</v>
      </c>
      <c r="M1557">
        <f>IF(LeadsData[[#This Row],[Stage Number]]&gt;=2,1,0)</f>
        <v>0</v>
      </c>
      <c r="N1557" s="2">
        <f>IF(LeadsData[[#This Row],[Stage Number]]&gt;=3,1,0)</f>
        <v>0</v>
      </c>
      <c r="O1557" s="2">
        <f>IF(LeadsData[[#This Row],[Stage Number]]&gt;=4,1,0)</f>
        <v>0</v>
      </c>
    </row>
    <row r="1558" spans="1:15" x14ac:dyDescent="0.25">
      <c r="A1558" t="s">
        <v>1598</v>
      </c>
      <c r="B1558" s="1">
        <v>45575</v>
      </c>
      <c r="C1558" t="s">
        <v>17</v>
      </c>
      <c r="D1558" t="s">
        <v>18</v>
      </c>
      <c r="E1558" t="s">
        <v>21</v>
      </c>
      <c r="F1558" t="s">
        <v>14</v>
      </c>
      <c r="G1558" t="s">
        <v>23</v>
      </c>
      <c r="K1558" cm="1">
        <f t="array" ref="K1558">_xlfn.SWITCH(LeadsData[[#This Row],[Funnel Stage Reached]],"Lead",1,"MQL",2,"SQL",3,"Customer",4)</f>
        <v>2</v>
      </c>
      <c r="L1558" t="str">
        <f>TEXT(LeadsData[[#This Row],[Signup Date]],"mmm-yyyy")</f>
        <v>Oct-2024</v>
      </c>
      <c r="M1558">
        <f>IF(LeadsData[[#This Row],[Stage Number]]&gt;=2,1,0)</f>
        <v>1</v>
      </c>
      <c r="N1558" s="2">
        <f>IF(LeadsData[[#This Row],[Stage Number]]&gt;=3,1,0)</f>
        <v>0</v>
      </c>
      <c r="O1558" s="2">
        <f>IF(LeadsData[[#This Row],[Stage Number]]&gt;=4,1,0)</f>
        <v>0</v>
      </c>
    </row>
    <row r="1559" spans="1:15" x14ac:dyDescent="0.25">
      <c r="A1559" t="s">
        <v>1599</v>
      </c>
      <c r="B1559" s="1">
        <v>45468</v>
      </c>
      <c r="C1559" t="s">
        <v>17</v>
      </c>
      <c r="D1559" t="s">
        <v>18</v>
      </c>
      <c r="E1559" t="s">
        <v>13</v>
      </c>
      <c r="F1559" t="s">
        <v>22</v>
      </c>
      <c r="G1559" t="s">
        <v>15</v>
      </c>
      <c r="K1559" cm="1">
        <f t="array" ref="K1559">_xlfn.SWITCH(LeadsData[[#This Row],[Funnel Stage Reached]],"Lead",1,"MQL",2,"SQL",3,"Customer",4)</f>
        <v>1</v>
      </c>
      <c r="L1559" t="str">
        <f>TEXT(LeadsData[[#This Row],[Signup Date]],"mmm-yyyy")</f>
        <v>Jun-2024</v>
      </c>
      <c r="M1559">
        <f>IF(LeadsData[[#This Row],[Stage Number]]&gt;=2,1,0)</f>
        <v>0</v>
      </c>
      <c r="N1559" s="2">
        <f>IF(LeadsData[[#This Row],[Stage Number]]&gt;=3,1,0)</f>
        <v>0</v>
      </c>
      <c r="O1559" s="2">
        <f>IF(LeadsData[[#This Row],[Stage Number]]&gt;=4,1,0)</f>
        <v>0</v>
      </c>
    </row>
    <row r="1560" spans="1:15" x14ac:dyDescent="0.25">
      <c r="A1560" t="s">
        <v>1600</v>
      </c>
      <c r="B1560" s="1">
        <v>45544</v>
      </c>
      <c r="C1560" t="s">
        <v>17</v>
      </c>
      <c r="D1560" t="s">
        <v>53</v>
      </c>
      <c r="E1560" t="s">
        <v>21</v>
      </c>
      <c r="F1560" t="s">
        <v>19</v>
      </c>
      <c r="G1560" t="s">
        <v>23</v>
      </c>
      <c r="K1560" cm="1">
        <f t="array" ref="K1560">_xlfn.SWITCH(LeadsData[[#This Row],[Funnel Stage Reached]],"Lead",1,"MQL",2,"SQL",3,"Customer",4)</f>
        <v>2</v>
      </c>
      <c r="L1560" t="str">
        <f>TEXT(LeadsData[[#This Row],[Signup Date]],"mmm-yyyy")</f>
        <v>Sep-2024</v>
      </c>
      <c r="M1560">
        <f>IF(LeadsData[[#This Row],[Stage Number]]&gt;=2,1,0)</f>
        <v>1</v>
      </c>
      <c r="N1560" s="2">
        <f>IF(LeadsData[[#This Row],[Stage Number]]&gt;=3,1,0)</f>
        <v>0</v>
      </c>
      <c r="O1560" s="2">
        <f>IF(LeadsData[[#This Row],[Stage Number]]&gt;=4,1,0)</f>
        <v>0</v>
      </c>
    </row>
    <row r="1561" spans="1:15" x14ac:dyDescent="0.25">
      <c r="A1561" t="s">
        <v>1601</v>
      </c>
      <c r="B1561" s="1">
        <v>45540</v>
      </c>
      <c r="C1561" t="s">
        <v>17</v>
      </c>
      <c r="D1561" t="s">
        <v>18</v>
      </c>
      <c r="E1561" t="s">
        <v>21</v>
      </c>
      <c r="F1561" t="s">
        <v>22</v>
      </c>
      <c r="G1561" t="s">
        <v>23</v>
      </c>
      <c r="K1561" cm="1">
        <f t="array" ref="K1561">_xlfn.SWITCH(LeadsData[[#This Row],[Funnel Stage Reached]],"Lead",1,"MQL",2,"SQL",3,"Customer",4)</f>
        <v>2</v>
      </c>
      <c r="L1561" t="str">
        <f>TEXT(LeadsData[[#This Row],[Signup Date]],"mmm-yyyy")</f>
        <v>Sep-2024</v>
      </c>
      <c r="M1561">
        <f>IF(LeadsData[[#This Row],[Stage Number]]&gt;=2,1,0)</f>
        <v>1</v>
      </c>
      <c r="N1561" s="2">
        <f>IF(LeadsData[[#This Row],[Stage Number]]&gt;=3,1,0)</f>
        <v>0</v>
      </c>
      <c r="O1561" s="2">
        <f>IF(LeadsData[[#This Row],[Stage Number]]&gt;=4,1,0)</f>
        <v>0</v>
      </c>
    </row>
    <row r="1562" spans="1:15" x14ac:dyDescent="0.25">
      <c r="A1562" t="s">
        <v>1602</v>
      </c>
      <c r="B1562" s="1">
        <v>45586</v>
      </c>
      <c r="C1562" t="s">
        <v>31</v>
      </c>
      <c r="D1562" t="s">
        <v>34</v>
      </c>
      <c r="E1562" t="s">
        <v>21</v>
      </c>
      <c r="F1562" t="s">
        <v>28</v>
      </c>
      <c r="G1562" t="s">
        <v>23</v>
      </c>
      <c r="K1562" cm="1">
        <f t="array" ref="K1562">_xlfn.SWITCH(LeadsData[[#This Row],[Funnel Stage Reached]],"Lead",1,"MQL",2,"SQL",3,"Customer",4)</f>
        <v>2</v>
      </c>
      <c r="L1562" t="str">
        <f>TEXT(LeadsData[[#This Row],[Signup Date]],"mmm-yyyy")</f>
        <v>Oct-2024</v>
      </c>
      <c r="M1562">
        <f>IF(LeadsData[[#This Row],[Stage Number]]&gt;=2,1,0)</f>
        <v>1</v>
      </c>
      <c r="N1562" s="2">
        <f>IF(LeadsData[[#This Row],[Stage Number]]&gt;=3,1,0)</f>
        <v>0</v>
      </c>
      <c r="O1562" s="2">
        <f>IF(LeadsData[[#This Row],[Stage Number]]&gt;=4,1,0)</f>
        <v>0</v>
      </c>
    </row>
    <row r="1563" spans="1:15" x14ac:dyDescent="0.25">
      <c r="A1563" t="s">
        <v>1603</v>
      </c>
      <c r="B1563" s="1">
        <v>45549</v>
      </c>
      <c r="C1563" t="s">
        <v>46</v>
      </c>
      <c r="D1563" t="s">
        <v>47</v>
      </c>
      <c r="E1563" t="s">
        <v>13</v>
      </c>
      <c r="F1563" t="s">
        <v>22</v>
      </c>
      <c r="G1563" t="s">
        <v>15</v>
      </c>
      <c r="K1563" cm="1">
        <f t="array" ref="K1563">_xlfn.SWITCH(LeadsData[[#This Row],[Funnel Stage Reached]],"Lead",1,"MQL",2,"SQL",3,"Customer",4)</f>
        <v>1</v>
      </c>
      <c r="L1563" t="str">
        <f>TEXT(LeadsData[[#This Row],[Signup Date]],"mmm-yyyy")</f>
        <v>Sep-2024</v>
      </c>
      <c r="M1563">
        <f>IF(LeadsData[[#This Row],[Stage Number]]&gt;=2,1,0)</f>
        <v>0</v>
      </c>
      <c r="N1563" s="2">
        <f>IF(LeadsData[[#This Row],[Stage Number]]&gt;=3,1,0)</f>
        <v>0</v>
      </c>
      <c r="O1563" s="2">
        <f>IF(LeadsData[[#This Row],[Stage Number]]&gt;=4,1,0)</f>
        <v>0</v>
      </c>
    </row>
    <row r="1564" spans="1:15" x14ac:dyDescent="0.25">
      <c r="A1564" t="s">
        <v>1604</v>
      </c>
      <c r="B1564" s="1">
        <v>45471</v>
      </c>
      <c r="C1564" t="s">
        <v>31</v>
      </c>
      <c r="D1564" t="s">
        <v>34</v>
      </c>
      <c r="E1564" t="s">
        <v>21</v>
      </c>
      <c r="F1564" t="s">
        <v>28</v>
      </c>
      <c r="G1564" t="s">
        <v>15</v>
      </c>
      <c r="K1564" cm="1">
        <f t="array" ref="K1564">_xlfn.SWITCH(LeadsData[[#This Row],[Funnel Stage Reached]],"Lead",1,"MQL",2,"SQL",3,"Customer",4)</f>
        <v>1</v>
      </c>
      <c r="L1564" t="str">
        <f>TEXT(LeadsData[[#This Row],[Signup Date]],"mmm-yyyy")</f>
        <v>Jun-2024</v>
      </c>
      <c r="M1564">
        <f>IF(LeadsData[[#This Row],[Stage Number]]&gt;=2,1,0)</f>
        <v>0</v>
      </c>
      <c r="N1564" s="2">
        <f>IF(LeadsData[[#This Row],[Stage Number]]&gt;=3,1,0)</f>
        <v>0</v>
      </c>
      <c r="O1564" s="2">
        <f>IF(LeadsData[[#This Row],[Stage Number]]&gt;=4,1,0)</f>
        <v>0</v>
      </c>
    </row>
    <row r="1565" spans="1:15" x14ac:dyDescent="0.25">
      <c r="A1565" t="s">
        <v>1605</v>
      </c>
      <c r="B1565" s="1">
        <v>45620</v>
      </c>
      <c r="C1565" t="s">
        <v>46</v>
      </c>
      <c r="D1565" t="s">
        <v>56</v>
      </c>
      <c r="E1565" t="s">
        <v>21</v>
      </c>
      <c r="F1565" t="s">
        <v>14</v>
      </c>
      <c r="G1565" t="s">
        <v>23</v>
      </c>
      <c r="K1565" cm="1">
        <f t="array" ref="K1565">_xlfn.SWITCH(LeadsData[[#This Row],[Funnel Stage Reached]],"Lead",1,"MQL",2,"SQL",3,"Customer",4)</f>
        <v>2</v>
      </c>
      <c r="L1565" t="str">
        <f>TEXT(LeadsData[[#This Row],[Signup Date]],"mmm-yyyy")</f>
        <v>Nov-2024</v>
      </c>
      <c r="M1565">
        <f>IF(LeadsData[[#This Row],[Stage Number]]&gt;=2,1,0)</f>
        <v>1</v>
      </c>
      <c r="N1565" s="2">
        <f>IF(LeadsData[[#This Row],[Stage Number]]&gt;=3,1,0)</f>
        <v>0</v>
      </c>
      <c r="O1565" s="2">
        <f>IF(LeadsData[[#This Row],[Stage Number]]&gt;=4,1,0)</f>
        <v>0</v>
      </c>
    </row>
    <row r="1566" spans="1:15" x14ac:dyDescent="0.25">
      <c r="A1566" t="s">
        <v>1606</v>
      </c>
      <c r="B1566" s="1">
        <v>45395</v>
      </c>
      <c r="C1566" t="s">
        <v>31</v>
      </c>
      <c r="D1566" t="s">
        <v>32</v>
      </c>
      <c r="E1566" t="s">
        <v>21</v>
      </c>
      <c r="F1566" t="s">
        <v>14</v>
      </c>
      <c r="G1566" t="s">
        <v>23</v>
      </c>
      <c r="K1566" cm="1">
        <f t="array" ref="K1566">_xlfn.SWITCH(LeadsData[[#This Row],[Funnel Stage Reached]],"Lead",1,"MQL",2,"SQL",3,"Customer",4)</f>
        <v>2</v>
      </c>
      <c r="L1566" t="str">
        <f>TEXT(LeadsData[[#This Row],[Signup Date]],"mmm-yyyy")</f>
        <v>Apr-2024</v>
      </c>
      <c r="M1566">
        <f>IF(LeadsData[[#This Row],[Stage Number]]&gt;=2,1,0)</f>
        <v>1</v>
      </c>
      <c r="N1566" s="2">
        <f>IF(LeadsData[[#This Row],[Stage Number]]&gt;=3,1,0)</f>
        <v>0</v>
      </c>
      <c r="O1566" s="2">
        <f>IF(LeadsData[[#This Row],[Stage Number]]&gt;=4,1,0)</f>
        <v>0</v>
      </c>
    </row>
    <row r="1567" spans="1:15" x14ac:dyDescent="0.25">
      <c r="A1567" t="s">
        <v>1607</v>
      </c>
      <c r="B1567" s="1">
        <v>45395</v>
      </c>
      <c r="C1567" t="s">
        <v>31</v>
      </c>
      <c r="D1567" t="s">
        <v>34</v>
      </c>
      <c r="E1567" t="s">
        <v>13</v>
      </c>
      <c r="F1567" t="s">
        <v>19</v>
      </c>
      <c r="G1567" t="s">
        <v>15</v>
      </c>
      <c r="K1567" cm="1">
        <f t="array" ref="K1567">_xlfn.SWITCH(LeadsData[[#This Row],[Funnel Stage Reached]],"Lead",1,"MQL",2,"SQL",3,"Customer",4)</f>
        <v>1</v>
      </c>
      <c r="L1567" t="str">
        <f>TEXT(LeadsData[[#This Row],[Signup Date]],"mmm-yyyy")</f>
        <v>Apr-2024</v>
      </c>
      <c r="M1567">
        <f>IF(LeadsData[[#This Row],[Stage Number]]&gt;=2,1,0)</f>
        <v>0</v>
      </c>
      <c r="N1567" s="2">
        <f>IF(LeadsData[[#This Row],[Stage Number]]&gt;=3,1,0)</f>
        <v>0</v>
      </c>
      <c r="O1567" s="2">
        <f>IF(LeadsData[[#This Row],[Stage Number]]&gt;=4,1,0)</f>
        <v>0</v>
      </c>
    </row>
    <row r="1568" spans="1:15" x14ac:dyDescent="0.25">
      <c r="A1568" t="s">
        <v>1608</v>
      </c>
      <c r="B1568" s="1">
        <v>45633</v>
      </c>
      <c r="C1568" t="s">
        <v>31</v>
      </c>
      <c r="D1568" t="s">
        <v>34</v>
      </c>
      <c r="E1568" t="s">
        <v>21</v>
      </c>
      <c r="F1568" t="s">
        <v>19</v>
      </c>
      <c r="G1568" t="s">
        <v>29</v>
      </c>
      <c r="K1568" cm="1">
        <f t="array" ref="K1568">_xlfn.SWITCH(LeadsData[[#This Row],[Funnel Stage Reached]],"Lead",1,"MQL",2,"SQL",3,"Customer",4)</f>
        <v>3</v>
      </c>
      <c r="L1568" t="str">
        <f>TEXT(LeadsData[[#This Row],[Signup Date]],"mmm-yyyy")</f>
        <v>Dec-2024</v>
      </c>
      <c r="M1568">
        <f>IF(LeadsData[[#This Row],[Stage Number]]&gt;=2,1,0)</f>
        <v>1</v>
      </c>
      <c r="N1568" s="2">
        <f>IF(LeadsData[[#This Row],[Stage Number]]&gt;=3,1,0)</f>
        <v>1</v>
      </c>
      <c r="O1568" s="2">
        <f>IF(LeadsData[[#This Row],[Stage Number]]&gt;=4,1,0)</f>
        <v>0</v>
      </c>
    </row>
    <row r="1569" spans="1:15" x14ac:dyDescent="0.25">
      <c r="A1569" t="s">
        <v>1609</v>
      </c>
      <c r="B1569" s="1">
        <v>45318</v>
      </c>
      <c r="C1569" t="s">
        <v>17</v>
      </c>
      <c r="D1569" t="s">
        <v>53</v>
      </c>
      <c r="E1569" t="s">
        <v>21</v>
      </c>
      <c r="F1569" t="s">
        <v>28</v>
      </c>
      <c r="G1569" t="s">
        <v>15</v>
      </c>
      <c r="K1569" cm="1">
        <f t="array" ref="K1569">_xlfn.SWITCH(LeadsData[[#This Row],[Funnel Stage Reached]],"Lead",1,"MQL",2,"SQL",3,"Customer",4)</f>
        <v>1</v>
      </c>
      <c r="L1569" t="str">
        <f>TEXT(LeadsData[[#This Row],[Signup Date]],"mmm-yyyy")</f>
        <v>Jan-2024</v>
      </c>
      <c r="M1569">
        <f>IF(LeadsData[[#This Row],[Stage Number]]&gt;=2,1,0)</f>
        <v>0</v>
      </c>
      <c r="N1569" s="2">
        <f>IF(LeadsData[[#This Row],[Stage Number]]&gt;=3,1,0)</f>
        <v>0</v>
      </c>
      <c r="O1569" s="2">
        <f>IF(LeadsData[[#This Row],[Stage Number]]&gt;=4,1,0)</f>
        <v>0</v>
      </c>
    </row>
    <row r="1570" spans="1:15" x14ac:dyDescent="0.25">
      <c r="A1570" t="s">
        <v>1610</v>
      </c>
      <c r="B1570" s="1">
        <v>45471</v>
      </c>
      <c r="C1570" t="s">
        <v>31</v>
      </c>
      <c r="D1570" t="s">
        <v>32</v>
      </c>
      <c r="E1570" t="s">
        <v>21</v>
      </c>
      <c r="F1570" t="s">
        <v>19</v>
      </c>
      <c r="G1570" t="s">
        <v>23</v>
      </c>
      <c r="K1570" cm="1">
        <f t="array" ref="K1570">_xlfn.SWITCH(LeadsData[[#This Row],[Funnel Stage Reached]],"Lead",1,"MQL",2,"SQL",3,"Customer",4)</f>
        <v>2</v>
      </c>
      <c r="L1570" t="str">
        <f>TEXT(LeadsData[[#This Row],[Signup Date]],"mmm-yyyy")</f>
        <v>Jun-2024</v>
      </c>
      <c r="M1570">
        <f>IF(LeadsData[[#This Row],[Stage Number]]&gt;=2,1,0)</f>
        <v>1</v>
      </c>
      <c r="N1570" s="2">
        <f>IF(LeadsData[[#This Row],[Stage Number]]&gt;=3,1,0)</f>
        <v>0</v>
      </c>
      <c r="O1570" s="2">
        <f>IF(LeadsData[[#This Row],[Stage Number]]&gt;=4,1,0)</f>
        <v>0</v>
      </c>
    </row>
    <row r="1571" spans="1:15" x14ac:dyDescent="0.25">
      <c r="A1571" t="s">
        <v>1611</v>
      </c>
      <c r="B1571" s="1">
        <v>45556</v>
      </c>
      <c r="C1571" t="s">
        <v>17</v>
      </c>
      <c r="D1571" t="s">
        <v>18</v>
      </c>
      <c r="E1571" t="s">
        <v>21</v>
      </c>
      <c r="F1571" t="s">
        <v>19</v>
      </c>
      <c r="G1571" t="s">
        <v>23</v>
      </c>
      <c r="K1571" cm="1">
        <f t="array" ref="K1571">_xlfn.SWITCH(LeadsData[[#This Row],[Funnel Stage Reached]],"Lead",1,"MQL",2,"SQL",3,"Customer",4)</f>
        <v>2</v>
      </c>
      <c r="L1571" t="str">
        <f>TEXT(LeadsData[[#This Row],[Signup Date]],"mmm-yyyy")</f>
        <v>Sep-2024</v>
      </c>
      <c r="M1571">
        <f>IF(LeadsData[[#This Row],[Stage Number]]&gt;=2,1,0)</f>
        <v>1</v>
      </c>
      <c r="N1571" s="2">
        <f>IF(LeadsData[[#This Row],[Stage Number]]&gt;=3,1,0)</f>
        <v>0</v>
      </c>
      <c r="O1571" s="2">
        <f>IF(LeadsData[[#This Row],[Stage Number]]&gt;=4,1,0)</f>
        <v>0</v>
      </c>
    </row>
    <row r="1572" spans="1:15" x14ac:dyDescent="0.25">
      <c r="A1572" t="s">
        <v>1612</v>
      </c>
      <c r="B1572" s="1">
        <v>45573</v>
      </c>
      <c r="C1572" t="s">
        <v>25</v>
      </c>
      <c r="D1572" t="s">
        <v>26</v>
      </c>
      <c r="E1572" t="s">
        <v>21</v>
      </c>
      <c r="F1572" t="s">
        <v>22</v>
      </c>
      <c r="G1572" t="s">
        <v>15</v>
      </c>
      <c r="K1572" cm="1">
        <f t="array" ref="K1572">_xlfn.SWITCH(LeadsData[[#This Row],[Funnel Stage Reached]],"Lead",1,"MQL",2,"SQL",3,"Customer",4)</f>
        <v>1</v>
      </c>
      <c r="L1572" t="str">
        <f>TEXT(LeadsData[[#This Row],[Signup Date]],"mmm-yyyy")</f>
        <v>Oct-2024</v>
      </c>
      <c r="M1572">
        <f>IF(LeadsData[[#This Row],[Stage Number]]&gt;=2,1,0)</f>
        <v>0</v>
      </c>
      <c r="N1572" s="2">
        <f>IF(LeadsData[[#This Row],[Stage Number]]&gt;=3,1,0)</f>
        <v>0</v>
      </c>
      <c r="O1572" s="2">
        <f>IF(LeadsData[[#This Row],[Stage Number]]&gt;=4,1,0)</f>
        <v>0</v>
      </c>
    </row>
    <row r="1573" spans="1:15" x14ac:dyDescent="0.25">
      <c r="A1573" t="s">
        <v>1613</v>
      </c>
      <c r="B1573" s="1">
        <v>45557</v>
      </c>
      <c r="C1573" t="s">
        <v>11</v>
      </c>
      <c r="D1573" t="s">
        <v>12</v>
      </c>
      <c r="E1573" t="s">
        <v>21</v>
      </c>
      <c r="F1573" t="s">
        <v>19</v>
      </c>
      <c r="G1573" t="s">
        <v>15</v>
      </c>
      <c r="K1573" cm="1">
        <f t="array" ref="K1573">_xlfn.SWITCH(LeadsData[[#This Row],[Funnel Stage Reached]],"Lead",1,"MQL",2,"SQL",3,"Customer",4)</f>
        <v>1</v>
      </c>
      <c r="L1573" t="str">
        <f>TEXT(LeadsData[[#This Row],[Signup Date]],"mmm-yyyy")</f>
        <v>Sep-2024</v>
      </c>
      <c r="M1573">
        <f>IF(LeadsData[[#This Row],[Stage Number]]&gt;=2,1,0)</f>
        <v>0</v>
      </c>
      <c r="N1573" s="2">
        <f>IF(LeadsData[[#This Row],[Stage Number]]&gt;=3,1,0)</f>
        <v>0</v>
      </c>
      <c r="O1573" s="2">
        <f>IF(LeadsData[[#This Row],[Stage Number]]&gt;=4,1,0)</f>
        <v>0</v>
      </c>
    </row>
    <row r="1574" spans="1:15" x14ac:dyDescent="0.25">
      <c r="A1574" t="s">
        <v>1614</v>
      </c>
      <c r="B1574" s="1">
        <v>45413</v>
      </c>
      <c r="C1574" t="s">
        <v>31</v>
      </c>
      <c r="D1574" t="s">
        <v>34</v>
      </c>
      <c r="E1574" t="s">
        <v>13</v>
      </c>
      <c r="F1574" t="s">
        <v>22</v>
      </c>
      <c r="G1574" t="s">
        <v>15</v>
      </c>
      <c r="K1574" cm="1">
        <f t="array" ref="K1574">_xlfn.SWITCH(LeadsData[[#This Row],[Funnel Stage Reached]],"Lead",1,"MQL",2,"SQL",3,"Customer",4)</f>
        <v>1</v>
      </c>
      <c r="L1574" t="str">
        <f>TEXT(LeadsData[[#This Row],[Signup Date]],"mmm-yyyy")</f>
        <v>May-2024</v>
      </c>
      <c r="M1574">
        <f>IF(LeadsData[[#This Row],[Stage Number]]&gt;=2,1,0)</f>
        <v>0</v>
      </c>
      <c r="N1574" s="2">
        <f>IF(LeadsData[[#This Row],[Stage Number]]&gt;=3,1,0)</f>
        <v>0</v>
      </c>
      <c r="O1574" s="2">
        <f>IF(LeadsData[[#This Row],[Stage Number]]&gt;=4,1,0)</f>
        <v>0</v>
      </c>
    </row>
    <row r="1575" spans="1:15" x14ac:dyDescent="0.25">
      <c r="A1575" t="s">
        <v>1615</v>
      </c>
      <c r="B1575" s="1">
        <v>45324</v>
      </c>
      <c r="C1575" t="s">
        <v>17</v>
      </c>
      <c r="D1575" t="s">
        <v>18</v>
      </c>
      <c r="E1575" t="s">
        <v>21</v>
      </c>
      <c r="F1575" t="s">
        <v>22</v>
      </c>
      <c r="G1575" t="s">
        <v>23</v>
      </c>
      <c r="K1575" cm="1">
        <f t="array" ref="K1575">_xlfn.SWITCH(LeadsData[[#This Row],[Funnel Stage Reached]],"Lead",1,"MQL",2,"SQL",3,"Customer",4)</f>
        <v>2</v>
      </c>
      <c r="L1575" t="str">
        <f>TEXT(LeadsData[[#This Row],[Signup Date]],"mmm-yyyy")</f>
        <v>Feb-2024</v>
      </c>
      <c r="M1575">
        <f>IF(LeadsData[[#This Row],[Stage Number]]&gt;=2,1,0)</f>
        <v>1</v>
      </c>
      <c r="N1575" s="2">
        <f>IF(LeadsData[[#This Row],[Stage Number]]&gt;=3,1,0)</f>
        <v>0</v>
      </c>
      <c r="O1575" s="2">
        <f>IF(LeadsData[[#This Row],[Stage Number]]&gt;=4,1,0)</f>
        <v>0</v>
      </c>
    </row>
    <row r="1576" spans="1:15" x14ac:dyDescent="0.25">
      <c r="A1576" t="s">
        <v>1616</v>
      </c>
      <c r="B1576" s="1">
        <v>45309</v>
      </c>
      <c r="C1576" t="s">
        <v>46</v>
      </c>
      <c r="D1576" t="s">
        <v>47</v>
      </c>
      <c r="E1576" t="s">
        <v>13</v>
      </c>
      <c r="F1576" t="s">
        <v>22</v>
      </c>
      <c r="G1576" t="s">
        <v>23</v>
      </c>
      <c r="K1576" cm="1">
        <f t="array" ref="K1576">_xlfn.SWITCH(LeadsData[[#This Row],[Funnel Stage Reached]],"Lead",1,"MQL",2,"SQL",3,"Customer",4)</f>
        <v>2</v>
      </c>
      <c r="L1576" t="str">
        <f>TEXT(LeadsData[[#This Row],[Signup Date]],"mmm-yyyy")</f>
        <v>Jan-2024</v>
      </c>
      <c r="M1576">
        <f>IF(LeadsData[[#This Row],[Stage Number]]&gt;=2,1,0)</f>
        <v>1</v>
      </c>
      <c r="N1576" s="2">
        <f>IF(LeadsData[[#This Row],[Stage Number]]&gt;=3,1,0)</f>
        <v>0</v>
      </c>
      <c r="O1576" s="2">
        <f>IF(LeadsData[[#This Row],[Stage Number]]&gt;=4,1,0)</f>
        <v>0</v>
      </c>
    </row>
    <row r="1577" spans="1:15" x14ac:dyDescent="0.25">
      <c r="A1577" t="s">
        <v>1617</v>
      </c>
      <c r="B1577" s="1">
        <v>45345</v>
      </c>
      <c r="C1577" t="s">
        <v>25</v>
      </c>
      <c r="D1577" t="s">
        <v>26</v>
      </c>
      <c r="E1577" t="s">
        <v>21</v>
      </c>
      <c r="F1577" t="s">
        <v>19</v>
      </c>
      <c r="G1577" t="s">
        <v>23</v>
      </c>
      <c r="K1577" cm="1">
        <f t="array" ref="K1577">_xlfn.SWITCH(LeadsData[[#This Row],[Funnel Stage Reached]],"Lead",1,"MQL",2,"SQL",3,"Customer",4)</f>
        <v>2</v>
      </c>
      <c r="L1577" t="str">
        <f>TEXT(LeadsData[[#This Row],[Signup Date]],"mmm-yyyy")</f>
        <v>Feb-2024</v>
      </c>
      <c r="M1577">
        <f>IF(LeadsData[[#This Row],[Stage Number]]&gt;=2,1,0)</f>
        <v>1</v>
      </c>
      <c r="N1577" s="2">
        <f>IF(LeadsData[[#This Row],[Stage Number]]&gt;=3,1,0)</f>
        <v>0</v>
      </c>
      <c r="O1577" s="2">
        <f>IF(LeadsData[[#This Row],[Stage Number]]&gt;=4,1,0)</f>
        <v>0</v>
      </c>
    </row>
    <row r="1578" spans="1:15" x14ac:dyDescent="0.25">
      <c r="A1578" t="s">
        <v>1618</v>
      </c>
      <c r="B1578" s="1">
        <v>45582</v>
      </c>
      <c r="C1578" t="s">
        <v>25</v>
      </c>
      <c r="D1578" t="s">
        <v>26</v>
      </c>
      <c r="E1578" t="s">
        <v>13</v>
      </c>
      <c r="F1578" t="s">
        <v>22</v>
      </c>
      <c r="G1578" t="s">
        <v>15</v>
      </c>
      <c r="K1578" cm="1">
        <f t="array" ref="K1578">_xlfn.SWITCH(LeadsData[[#This Row],[Funnel Stage Reached]],"Lead",1,"MQL",2,"SQL",3,"Customer",4)</f>
        <v>1</v>
      </c>
      <c r="L1578" t="str">
        <f>TEXT(LeadsData[[#This Row],[Signup Date]],"mmm-yyyy")</f>
        <v>Oct-2024</v>
      </c>
      <c r="M1578">
        <f>IF(LeadsData[[#This Row],[Stage Number]]&gt;=2,1,0)</f>
        <v>0</v>
      </c>
      <c r="N1578" s="2">
        <f>IF(LeadsData[[#This Row],[Stage Number]]&gt;=3,1,0)</f>
        <v>0</v>
      </c>
      <c r="O1578" s="2">
        <f>IF(LeadsData[[#This Row],[Stage Number]]&gt;=4,1,0)</f>
        <v>0</v>
      </c>
    </row>
    <row r="1579" spans="1:15" x14ac:dyDescent="0.25">
      <c r="A1579" t="s">
        <v>1619</v>
      </c>
      <c r="B1579" s="1">
        <v>45583</v>
      </c>
      <c r="C1579" t="s">
        <v>36</v>
      </c>
      <c r="D1579" t="s">
        <v>50</v>
      </c>
      <c r="E1579" t="s">
        <v>21</v>
      </c>
      <c r="F1579" t="s">
        <v>19</v>
      </c>
      <c r="G1579" t="s">
        <v>15</v>
      </c>
      <c r="K1579" cm="1">
        <f t="array" ref="K1579">_xlfn.SWITCH(LeadsData[[#This Row],[Funnel Stage Reached]],"Lead",1,"MQL",2,"SQL",3,"Customer",4)</f>
        <v>1</v>
      </c>
      <c r="L1579" t="str">
        <f>TEXT(LeadsData[[#This Row],[Signup Date]],"mmm-yyyy")</f>
        <v>Oct-2024</v>
      </c>
      <c r="M1579">
        <f>IF(LeadsData[[#This Row],[Stage Number]]&gt;=2,1,0)</f>
        <v>0</v>
      </c>
      <c r="N1579" s="2">
        <f>IF(LeadsData[[#This Row],[Stage Number]]&gt;=3,1,0)</f>
        <v>0</v>
      </c>
      <c r="O1579" s="2">
        <f>IF(LeadsData[[#This Row],[Stage Number]]&gt;=4,1,0)</f>
        <v>0</v>
      </c>
    </row>
    <row r="1580" spans="1:15" x14ac:dyDescent="0.25">
      <c r="A1580" t="s">
        <v>1620</v>
      </c>
      <c r="B1580" s="1">
        <v>45557</v>
      </c>
      <c r="C1580" t="s">
        <v>31</v>
      </c>
      <c r="D1580" t="s">
        <v>34</v>
      </c>
      <c r="E1580" t="s">
        <v>21</v>
      </c>
      <c r="F1580" t="s">
        <v>28</v>
      </c>
      <c r="G1580" t="s">
        <v>15</v>
      </c>
      <c r="K1580" cm="1">
        <f t="array" ref="K1580">_xlfn.SWITCH(LeadsData[[#This Row],[Funnel Stage Reached]],"Lead",1,"MQL",2,"SQL",3,"Customer",4)</f>
        <v>1</v>
      </c>
      <c r="L1580" t="str">
        <f>TEXT(LeadsData[[#This Row],[Signup Date]],"mmm-yyyy")</f>
        <v>Sep-2024</v>
      </c>
      <c r="M1580">
        <f>IF(LeadsData[[#This Row],[Stage Number]]&gt;=2,1,0)</f>
        <v>0</v>
      </c>
      <c r="N1580" s="2">
        <f>IF(LeadsData[[#This Row],[Stage Number]]&gt;=3,1,0)</f>
        <v>0</v>
      </c>
      <c r="O1580" s="2">
        <f>IF(LeadsData[[#This Row],[Stage Number]]&gt;=4,1,0)</f>
        <v>0</v>
      </c>
    </row>
    <row r="1581" spans="1:15" x14ac:dyDescent="0.25">
      <c r="A1581" t="s">
        <v>1621</v>
      </c>
      <c r="B1581" s="1">
        <v>45555</v>
      </c>
      <c r="C1581" t="s">
        <v>36</v>
      </c>
      <c r="D1581" t="s">
        <v>50</v>
      </c>
      <c r="E1581" t="s">
        <v>13</v>
      </c>
      <c r="F1581" t="s">
        <v>14</v>
      </c>
      <c r="G1581" t="s">
        <v>42</v>
      </c>
      <c r="H1581">
        <v>59</v>
      </c>
      <c r="I1581" t="s">
        <v>87</v>
      </c>
      <c r="J1581">
        <v>4957.46</v>
      </c>
      <c r="K1581" cm="1">
        <f t="array" ref="K1581">_xlfn.SWITCH(LeadsData[[#This Row],[Funnel Stage Reached]],"Lead",1,"MQL",2,"SQL",3,"Customer",4)</f>
        <v>4</v>
      </c>
      <c r="L1581" t="str">
        <f>TEXT(LeadsData[[#This Row],[Signup Date]],"mmm-yyyy")</f>
        <v>Sep-2024</v>
      </c>
      <c r="M1581">
        <f>IF(LeadsData[[#This Row],[Stage Number]]&gt;=2,1,0)</f>
        <v>1</v>
      </c>
      <c r="N1581" s="2">
        <f>IF(LeadsData[[#This Row],[Stage Number]]&gt;=3,1,0)</f>
        <v>1</v>
      </c>
      <c r="O1581" s="2">
        <f>IF(LeadsData[[#This Row],[Stage Number]]&gt;=4,1,0)</f>
        <v>1</v>
      </c>
    </row>
    <row r="1582" spans="1:15" x14ac:dyDescent="0.25">
      <c r="A1582" t="s">
        <v>1622</v>
      </c>
      <c r="B1582" s="1">
        <v>45405</v>
      </c>
      <c r="C1582" t="s">
        <v>25</v>
      </c>
      <c r="D1582" t="s">
        <v>26</v>
      </c>
      <c r="E1582" t="s">
        <v>13</v>
      </c>
      <c r="F1582" t="s">
        <v>19</v>
      </c>
      <c r="G1582" t="s">
        <v>15</v>
      </c>
      <c r="K1582" cm="1">
        <f t="array" ref="K1582">_xlfn.SWITCH(LeadsData[[#This Row],[Funnel Stage Reached]],"Lead",1,"MQL",2,"SQL",3,"Customer",4)</f>
        <v>1</v>
      </c>
      <c r="L1582" t="str">
        <f>TEXT(LeadsData[[#This Row],[Signup Date]],"mmm-yyyy")</f>
        <v>Apr-2024</v>
      </c>
      <c r="M1582">
        <f>IF(LeadsData[[#This Row],[Stage Number]]&gt;=2,1,0)</f>
        <v>0</v>
      </c>
      <c r="N1582" s="2">
        <f>IF(LeadsData[[#This Row],[Stage Number]]&gt;=3,1,0)</f>
        <v>0</v>
      </c>
      <c r="O1582" s="2">
        <f>IF(LeadsData[[#This Row],[Stage Number]]&gt;=4,1,0)</f>
        <v>0</v>
      </c>
    </row>
    <row r="1583" spans="1:15" x14ac:dyDescent="0.25">
      <c r="A1583" t="s">
        <v>1623</v>
      </c>
      <c r="B1583" s="1">
        <v>45415</v>
      </c>
      <c r="C1583" t="s">
        <v>17</v>
      </c>
      <c r="D1583" t="s">
        <v>53</v>
      </c>
      <c r="E1583" t="s">
        <v>13</v>
      </c>
      <c r="F1583" t="s">
        <v>19</v>
      </c>
      <c r="G1583" t="s">
        <v>15</v>
      </c>
      <c r="K1583" cm="1">
        <f t="array" ref="K1583">_xlfn.SWITCH(LeadsData[[#This Row],[Funnel Stage Reached]],"Lead",1,"MQL",2,"SQL",3,"Customer",4)</f>
        <v>1</v>
      </c>
      <c r="L1583" t="str">
        <f>TEXT(LeadsData[[#This Row],[Signup Date]],"mmm-yyyy")</f>
        <v>May-2024</v>
      </c>
      <c r="M1583">
        <f>IF(LeadsData[[#This Row],[Stage Number]]&gt;=2,1,0)</f>
        <v>0</v>
      </c>
      <c r="N1583" s="2">
        <f>IF(LeadsData[[#This Row],[Stage Number]]&gt;=3,1,0)</f>
        <v>0</v>
      </c>
      <c r="O1583" s="2">
        <f>IF(LeadsData[[#This Row],[Stage Number]]&gt;=4,1,0)</f>
        <v>0</v>
      </c>
    </row>
    <row r="1584" spans="1:15" x14ac:dyDescent="0.25">
      <c r="A1584" t="s">
        <v>1624</v>
      </c>
      <c r="B1584" s="1">
        <v>45369</v>
      </c>
      <c r="C1584" t="s">
        <v>46</v>
      </c>
      <c r="D1584" t="s">
        <v>56</v>
      </c>
      <c r="E1584" t="s">
        <v>13</v>
      </c>
      <c r="F1584" t="s">
        <v>19</v>
      </c>
      <c r="G1584" t="s">
        <v>15</v>
      </c>
      <c r="K1584" cm="1">
        <f t="array" ref="K1584">_xlfn.SWITCH(LeadsData[[#This Row],[Funnel Stage Reached]],"Lead",1,"MQL",2,"SQL",3,"Customer",4)</f>
        <v>1</v>
      </c>
      <c r="L1584" t="str">
        <f>TEXT(LeadsData[[#This Row],[Signup Date]],"mmm-yyyy")</f>
        <v>Mar-2024</v>
      </c>
      <c r="M1584">
        <f>IF(LeadsData[[#This Row],[Stage Number]]&gt;=2,1,0)</f>
        <v>0</v>
      </c>
      <c r="N1584" s="2">
        <f>IF(LeadsData[[#This Row],[Stage Number]]&gt;=3,1,0)</f>
        <v>0</v>
      </c>
      <c r="O1584" s="2">
        <f>IF(LeadsData[[#This Row],[Stage Number]]&gt;=4,1,0)</f>
        <v>0</v>
      </c>
    </row>
    <row r="1585" spans="1:15" x14ac:dyDescent="0.25">
      <c r="A1585" t="s">
        <v>1625</v>
      </c>
      <c r="B1585" s="1">
        <v>45323</v>
      </c>
      <c r="C1585" t="s">
        <v>36</v>
      </c>
      <c r="D1585" t="s">
        <v>37</v>
      </c>
      <c r="E1585" t="s">
        <v>48</v>
      </c>
      <c r="F1585" t="s">
        <v>19</v>
      </c>
      <c r="G1585" t="s">
        <v>15</v>
      </c>
      <c r="K1585" cm="1">
        <f t="array" ref="K1585">_xlfn.SWITCH(LeadsData[[#This Row],[Funnel Stage Reached]],"Lead",1,"MQL",2,"SQL",3,"Customer",4)</f>
        <v>1</v>
      </c>
      <c r="L1585" t="str">
        <f>TEXT(LeadsData[[#This Row],[Signup Date]],"mmm-yyyy")</f>
        <v>Feb-2024</v>
      </c>
      <c r="M1585">
        <f>IF(LeadsData[[#This Row],[Stage Number]]&gt;=2,1,0)</f>
        <v>0</v>
      </c>
      <c r="N1585" s="2">
        <f>IF(LeadsData[[#This Row],[Stage Number]]&gt;=3,1,0)</f>
        <v>0</v>
      </c>
      <c r="O1585" s="2">
        <f>IF(LeadsData[[#This Row],[Stage Number]]&gt;=4,1,0)</f>
        <v>0</v>
      </c>
    </row>
    <row r="1586" spans="1:15" x14ac:dyDescent="0.25">
      <c r="A1586" t="s">
        <v>1626</v>
      </c>
      <c r="B1586" s="1">
        <v>45613</v>
      </c>
      <c r="C1586" t="s">
        <v>31</v>
      </c>
      <c r="D1586" t="s">
        <v>32</v>
      </c>
      <c r="E1586" t="s">
        <v>48</v>
      </c>
      <c r="F1586" t="s">
        <v>19</v>
      </c>
      <c r="G1586" t="s">
        <v>15</v>
      </c>
      <c r="K1586" cm="1">
        <f t="array" ref="K1586">_xlfn.SWITCH(LeadsData[[#This Row],[Funnel Stage Reached]],"Lead",1,"MQL",2,"SQL",3,"Customer",4)</f>
        <v>1</v>
      </c>
      <c r="L1586" t="str">
        <f>TEXT(LeadsData[[#This Row],[Signup Date]],"mmm-yyyy")</f>
        <v>Nov-2024</v>
      </c>
      <c r="M1586">
        <f>IF(LeadsData[[#This Row],[Stage Number]]&gt;=2,1,0)</f>
        <v>0</v>
      </c>
      <c r="N1586" s="2">
        <f>IF(LeadsData[[#This Row],[Stage Number]]&gt;=3,1,0)</f>
        <v>0</v>
      </c>
      <c r="O1586" s="2">
        <f>IF(LeadsData[[#This Row],[Stage Number]]&gt;=4,1,0)</f>
        <v>0</v>
      </c>
    </row>
    <row r="1587" spans="1:15" x14ac:dyDescent="0.25">
      <c r="A1587" t="s">
        <v>1627</v>
      </c>
      <c r="B1587" s="1">
        <v>45628</v>
      </c>
      <c r="C1587" t="s">
        <v>11</v>
      </c>
      <c r="D1587" t="s">
        <v>68</v>
      </c>
      <c r="E1587" t="s">
        <v>13</v>
      </c>
      <c r="F1587" t="s">
        <v>28</v>
      </c>
      <c r="G1587" t="s">
        <v>29</v>
      </c>
      <c r="K1587" cm="1">
        <f t="array" ref="K1587">_xlfn.SWITCH(LeadsData[[#This Row],[Funnel Stage Reached]],"Lead",1,"MQL",2,"SQL",3,"Customer",4)</f>
        <v>3</v>
      </c>
      <c r="L1587" t="str">
        <f>TEXT(LeadsData[[#This Row],[Signup Date]],"mmm-yyyy")</f>
        <v>Dec-2024</v>
      </c>
      <c r="M1587">
        <f>IF(LeadsData[[#This Row],[Stage Number]]&gt;=2,1,0)</f>
        <v>1</v>
      </c>
      <c r="N1587" s="2">
        <f>IF(LeadsData[[#This Row],[Stage Number]]&gt;=3,1,0)</f>
        <v>1</v>
      </c>
      <c r="O1587" s="2">
        <f>IF(LeadsData[[#This Row],[Stage Number]]&gt;=4,1,0)</f>
        <v>0</v>
      </c>
    </row>
    <row r="1588" spans="1:15" x14ac:dyDescent="0.25">
      <c r="A1588" t="s">
        <v>1628</v>
      </c>
      <c r="B1588" s="1">
        <v>45314</v>
      </c>
      <c r="C1588" t="s">
        <v>31</v>
      </c>
      <c r="D1588" t="s">
        <v>34</v>
      </c>
      <c r="E1588" t="s">
        <v>13</v>
      </c>
      <c r="F1588" t="s">
        <v>19</v>
      </c>
      <c r="G1588" t="s">
        <v>29</v>
      </c>
      <c r="K1588" cm="1">
        <f t="array" ref="K1588">_xlfn.SWITCH(LeadsData[[#This Row],[Funnel Stage Reached]],"Lead",1,"MQL",2,"SQL",3,"Customer",4)</f>
        <v>3</v>
      </c>
      <c r="L1588" t="str">
        <f>TEXT(LeadsData[[#This Row],[Signup Date]],"mmm-yyyy")</f>
        <v>Jan-2024</v>
      </c>
      <c r="M1588">
        <f>IF(LeadsData[[#This Row],[Stage Number]]&gt;=2,1,0)</f>
        <v>1</v>
      </c>
      <c r="N1588" s="2">
        <f>IF(LeadsData[[#This Row],[Stage Number]]&gt;=3,1,0)</f>
        <v>1</v>
      </c>
      <c r="O1588" s="2">
        <f>IF(LeadsData[[#This Row],[Stage Number]]&gt;=4,1,0)</f>
        <v>0</v>
      </c>
    </row>
    <row r="1589" spans="1:15" x14ac:dyDescent="0.25">
      <c r="A1589" t="s">
        <v>1629</v>
      </c>
      <c r="B1589" s="1">
        <v>45637</v>
      </c>
      <c r="C1589" t="s">
        <v>31</v>
      </c>
      <c r="D1589" t="s">
        <v>34</v>
      </c>
      <c r="E1589" t="s">
        <v>13</v>
      </c>
      <c r="F1589" t="s">
        <v>28</v>
      </c>
      <c r="G1589" t="s">
        <v>23</v>
      </c>
      <c r="K1589" cm="1">
        <f t="array" ref="K1589">_xlfn.SWITCH(LeadsData[[#This Row],[Funnel Stage Reached]],"Lead",1,"MQL",2,"SQL",3,"Customer",4)</f>
        <v>2</v>
      </c>
      <c r="L1589" t="str">
        <f>TEXT(LeadsData[[#This Row],[Signup Date]],"mmm-yyyy")</f>
        <v>Dec-2024</v>
      </c>
      <c r="M1589">
        <f>IF(LeadsData[[#This Row],[Stage Number]]&gt;=2,1,0)</f>
        <v>1</v>
      </c>
      <c r="N1589" s="2">
        <f>IF(LeadsData[[#This Row],[Stage Number]]&gt;=3,1,0)</f>
        <v>0</v>
      </c>
      <c r="O1589" s="2">
        <f>IF(LeadsData[[#This Row],[Stage Number]]&gt;=4,1,0)</f>
        <v>0</v>
      </c>
    </row>
    <row r="1590" spans="1:15" x14ac:dyDescent="0.25">
      <c r="A1590" t="s">
        <v>1630</v>
      </c>
      <c r="B1590" s="1">
        <v>45537</v>
      </c>
      <c r="C1590" t="s">
        <v>31</v>
      </c>
      <c r="D1590" t="s">
        <v>32</v>
      </c>
      <c r="E1590" t="s">
        <v>13</v>
      </c>
      <c r="F1590" t="s">
        <v>14</v>
      </c>
      <c r="G1590" t="s">
        <v>29</v>
      </c>
      <c r="K1590" cm="1">
        <f t="array" ref="K1590">_xlfn.SWITCH(LeadsData[[#This Row],[Funnel Stage Reached]],"Lead",1,"MQL",2,"SQL",3,"Customer",4)</f>
        <v>3</v>
      </c>
      <c r="L1590" t="str">
        <f>TEXT(LeadsData[[#This Row],[Signup Date]],"mmm-yyyy")</f>
        <v>Sep-2024</v>
      </c>
      <c r="M1590">
        <f>IF(LeadsData[[#This Row],[Stage Number]]&gt;=2,1,0)</f>
        <v>1</v>
      </c>
      <c r="N1590" s="2">
        <f>IF(LeadsData[[#This Row],[Stage Number]]&gt;=3,1,0)</f>
        <v>1</v>
      </c>
      <c r="O1590" s="2">
        <f>IF(LeadsData[[#This Row],[Stage Number]]&gt;=4,1,0)</f>
        <v>0</v>
      </c>
    </row>
    <row r="1591" spans="1:15" x14ac:dyDescent="0.25">
      <c r="A1591" t="s">
        <v>1631</v>
      </c>
      <c r="B1591" s="1">
        <v>45306</v>
      </c>
      <c r="C1591" t="s">
        <v>25</v>
      </c>
      <c r="D1591" t="s">
        <v>26</v>
      </c>
      <c r="E1591" t="s">
        <v>48</v>
      </c>
      <c r="F1591" t="s">
        <v>19</v>
      </c>
      <c r="G1591" t="s">
        <v>15</v>
      </c>
      <c r="K1591" cm="1">
        <f t="array" ref="K1591">_xlfn.SWITCH(LeadsData[[#This Row],[Funnel Stage Reached]],"Lead",1,"MQL",2,"SQL",3,"Customer",4)</f>
        <v>1</v>
      </c>
      <c r="L1591" t="str">
        <f>TEXT(LeadsData[[#This Row],[Signup Date]],"mmm-yyyy")</f>
        <v>Jan-2024</v>
      </c>
      <c r="M1591">
        <f>IF(LeadsData[[#This Row],[Stage Number]]&gt;=2,1,0)</f>
        <v>0</v>
      </c>
      <c r="N1591" s="2">
        <f>IF(LeadsData[[#This Row],[Stage Number]]&gt;=3,1,0)</f>
        <v>0</v>
      </c>
      <c r="O1591" s="2">
        <f>IF(LeadsData[[#This Row],[Stage Number]]&gt;=4,1,0)</f>
        <v>0</v>
      </c>
    </row>
    <row r="1592" spans="1:15" x14ac:dyDescent="0.25">
      <c r="A1592" t="s">
        <v>1632</v>
      </c>
      <c r="B1592" s="1">
        <v>45605</v>
      </c>
      <c r="C1592" t="s">
        <v>25</v>
      </c>
      <c r="D1592" t="s">
        <v>26</v>
      </c>
      <c r="E1592" t="s">
        <v>13</v>
      </c>
      <c r="F1592" t="s">
        <v>28</v>
      </c>
      <c r="G1592" t="s">
        <v>29</v>
      </c>
      <c r="K1592" cm="1">
        <f t="array" ref="K1592">_xlfn.SWITCH(LeadsData[[#This Row],[Funnel Stage Reached]],"Lead",1,"MQL",2,"SQL",3,"Customer",4)</f>
        <v>3</v>
      </c>
      <c r="L1592" t="str">
        <f>TEXT(LeadsData[[#This Row],[Signup Date]],"mmm-yyyy")</f>
        <v>Nov-2024</v>
      </c>
      <c r="M1592">
        <f>IF(LeadsData[[#This Row],[Stage Number]]&gt;=2,1,0)</f>
        <v>1</v>
      </c>
      <c r="N1592" s="2">
        <f>IF(LeadsData[[#This Row],[Stage Number]]&gt;=3,1,0)</f>
        <v>1</v>
      </c>
      <c r="O1592" s="2">
        <f>IF(LeadsData[[#This Row],[Stage Number]]&gt;=4,1,0)</f>
        <v>0</v>
      </c>
    </row>
    <row r="1593" spans="1:15" x14ac:dyDescent="0.25">
      <c r="A1593" t="s">
        <v>1633</v>
      </c>
      <c r="B1593" s="1">
        <v>45622</v>
      </c>
      <c r="C1593" t="s">
        <v>17</v>
      </c>
      <c r="D1593" t="s">
        <v>18</v>
      </c>
      <c r="E1593" t="s">
        <v>21</v>
      </c>
      <c r="F1593" t="s">
        <v>19</v>
      </c>
      <c r="G1593" t="s">
        <v>15</v>
      </c>
      <c r="K1593" cm="1">
        <f t="array" ref="K1593">_xlfn.SWITCH(LeadsData[[#This Row],[Funnel Stage Reached]],"Lead",1,"MQL",2,"SQL",3,"Customer",4)</f>
        <v>1</v>
      </c>
      <c r="L1593" t="str">
        <f>TEXT(LeadsData[[#This Row],[Signup Date]],"mmm-yyyy")</f>
        <v>Nov-2024</v>
      </c>
      <c r="M1593">
        <f>IF(LeadsData[[#This Row],[Stage Number]]&gt;=2,1,0)</f>
        <v>0</v>
      </c>
      <c r="N1593" s="2">
        <f>IF(LeadsData[[#This Row],[Stage Number]]&gt;=3,1,0)</f>
        <v>0</v>
      </c>
      <c r="O1593" s="2">
        <f>IF(LeadsData[[#This Row],[Stage Number]]&gt;=4,1,0)</f>
        <v>0</v>
      </c>
    </row>
    <row r="1594" spans="1:15" x14ac:dyDescent="0.25">
      <c r="A1594" t="s">
        <v>1634</v>
      </c>
      <c r="B1594" s="1">
        <v>45493</v>
      </c>
      <c r="C1594" t="s">
        <v>31</v>
      </c>
      <c r="D1594" t="s">
        <v>34</v>
      </c>
      <c r="E1594" t="s">
        <v>21</v>
      </c>
      <c r="F1594" t="s">
        <v>19</v>
      </c>
      <c r="G1594" t="s">
        <v>15</v>
      </c>
      <c r="K1594" cm="1">
        <f t="array" ref="K1594">_xlfn.SWITCH(LeadsData[[#This Row],[Funnel Stage Reached]],"Lead",1,"MQL",2,"SQL",3,"Customer",4)</f>
        <v>1</v>
      </c>
      <c r="L1594" t="str">
        <f>TEXT(LeadsData[[#This Row],[Signup Date]],"mmm-yyyy")</f>
        <v>Jul-2024</v>
      </c>
      <c r="M1594">
        <f>IF(LeadsData[[#This Row],[Stage Number]]&gt;=2,1,0)</f>
        <v>0</v>
      </c>
      <c r="N1594" s="2">
        <f>IF(LeadsData[[#This Row],[Stage Number]]&gt;=3,1,0)</f>
        <v>0</v>
      </c>
      <c r="O1594" s="2">
        <f>IF(LeadsData[[#This Row],[Stage Number]]&gt;=4,1,0)</f>
        <v>0</v>
      </c>
    </row>
    <row r="1595" spans="1:15" x14ac:dyDescent="0.25">
      <c r="A1595" t="s">
        <v>1635</v>
      </c>
      <c r="B1595" s="1">
        <v>45400</v>
      </c>
      <c r="C1595" t="s">
        <v>17</v>
      </c>
      <c r="D1595" t="s">
        <v>53</v>
      </c>
      <c r="E1595" t="s">
        <v>21</v>
      </c>
      <c r="F1595" t="s">
        <v>19</v>
      </c>
      <c r="G1595" t="s">
        <v>23</v>
      </c>
      <c r="K1595" cm="1">
        <f t="array" ref="K1595">_xlfn.SWITCH(LeadsData[[#This Row],[Funnel Stage Reached]],"Lead",1,"MQL",2,"SQL",3,"Customer",4)</f>
        <v>2</v>
      </c>
      <c r="L1595" t="str">
        <f>TEXT(LeadsData[[#This Row],[Signup Date]],"mmm-yyyy")</f>
        <v>Apr-2024</v>
      </c>
      <c r="M1595">
        <f>IF(LeadsData[[#This Row],[Stage Number]]&gt;=2,1,0)</f>
        <v>1</v>
      </c>
      <c r="N1595" s="2">
        <f>IF(LeadsData[[#This Row],[Stage Number]]&gt;=3,1,0)</f>
        <v>0</v>
      </c>
      <c r="O1595" s="2">
        <f>IF(LeadsData[[#This Row],[Stage Number]]&gt;=4,1,0)</f>
        <v>0</v>
      </c>
    </row>
    <row r="1596" spans="1:15" x14ac:dyDescent="0.25">
      <c r="A1596" t="s">
        <v>1636</v>
      </c>
      <c r="B1596" s="1">
        <v>45592</v>
      </c>
      <c r="C1596" t="s">
        <v>31</v>
      </c>
      <c r="D1596" t="s">
        <v>34</v>
      </c>
      <c r="E1596" t="s">
        <v>13</v>
      </c>
      <c r="F1596" t="s">
        <v>19</v>
      </c>
      <c r="G1596" t="s">
        <v>15</v>
      </c>
      <c r="K1596" cm="1">
        <f t="array" ref="K1596">_xlfn.SWITCH(LeadsData[[#This Row],[Funnel Stage Reached]],"Lead",1,"MQL",2,"SQL",3,"Customer",4)</f>
        <v>1</v>
      </c>
      <c r="L1596" t="str">
        <f>TEXT(LeadsData[[#This Row],[Signup Date]],"mmm-yyyy")</f>
        <v>Oct-2024</v>
      </c>
      <c r="M1596">
        <f>IF(LeadsData[[#This Row],[Stage Number]]&gt;=2,1,0)</f>
        <v>0</v>
      </c>
      <c r="N1596" s="2">
        <f>IF(LeadsData[[#This Row],[Stage Number]]&gt;=3,1,0)</f>
        <v>0</v>
      </c>
      <c r="O1596" s="2">
        <f>IF(LeadsData[[#This Row],[Stage Number]]&gt;=4,1,0)</f>
        <v>0</v>
      </c>
    </row>
    <row r="1597" spans="1:15" x14ac:dyDescent="0.25">
      <c r="A1597" t="s">
        <v>1637</v>
      </c>
      <c r="B1597" s="1">
        <v>45541</v>
      </c>
      <c r="C1597" t="s">
        <v>36</v>
      </c>
      <c r="D1597" t="s">
        <v>37</v>
      </c>
      <c r="E1597" t="s">
        <v>48</v>
      </c>
      <c r="F1597" t="s">
        <v>28</v>
      </c>
      <c r="G1597" t="s">
        <v>29</v>
      </c>
      <c r="K1597" cm="1">
        <f t="array" ref="K1597">_xlfn.SWITCH(LeadsData[[#This Row],[Funnel Stage Reached]],"Lead",1,"MQL",2,"SQL",3,"Customer",4)</f>
        <v>3</v>
      </c>
      <c r="L1597" t="str">
        <f>TEXT(LeadsData[[#This Row],[Signup Date]],"mmm-yyyy")</f>
        <v>Sep-2024</v>
      </c>
      <c r="M1597">
        <f>IF(LeadsData[[#This Row],[Stage Number]]&gt;=2,1,0)</f>
        <v>1</v>
      </c>
      <c r="N1597" s="2">
        <f>IF(LeadsData[[#This Row],[Stage Number]]&gt;=3,1,0)</f>
        <v>1</v>
      </c>
      <c r="O1597" s="2">
        <f>IF(LeadsData[[#This Row],[Stage Number]]&gt;=4,1,0)</f>
        <v>0</v>
      </c>
    </row>
    <row r="1598" spans="1:15" x14ac:dyDescent="0.25">
      <c r="A1598" t="s">
        <v>1638</v>
      </c>
      <c r="B1598" s="1">
        <v>45468</v>
      </c>
      <c r="C1598" t="s">
        <v>17</v>
      </c>
      <c r="D1598" t="s">
        <v>53</v>
      </c>
      <c r="E1598" t="s">
        <v>21</v>
      </c>
      <c r="F1598" t="s">
        <v>19</v>
      </c>
      <c r="G1598" t="s">
        <v>15</v>
      </c>
      <c r="K1598" cm="1">
        <f t="array" ref="K1598">_xlfn.SWITCH(LeadsData[[#This Row],[Funnel Stage Reached]],"Lead",1,"MQL",2,"SQL",3,"Customer",4)</f>
        <v>1</v>
      </c>
      <c r="L1598" t="str">
        <f>TEXT(LeadsData[[#This Row],[Signup Date]],"mmm-yyyy")</f>
        <v>Jun-2024</v>
      </c>
      <c r="M1598">
        <f>IF(LeadsData[[#This Row],[Stage Number]]&gt;=2,1,0)</f>
        <v>0</v>
      </c>
      <c r="N1598" s="2">
        <f>IF(LeadsData[[#This Row],[Stage Number]]&gt;=3,1,0)</f>
        <v>0</v>
      </c>
      <c r="O1598" s="2">
        <f>IF(LeadsData[[#This Row],[Stage Number]]&gt;=4,1,0)</f>
        <v>0</v>
      </c>
    </row>
    <row r="1599" spans="1:15" x14ac:dyDescent="0.25">
      <c r="A1599" t="s">
        <v>1639</v>
      </c>
      <c r="B1599" s="1">
        <v>45526</v>
      </c>
      <c r="C1599" t="s">
        <v>36</v>
      </c>
      <c r="D1599" t="s">
        <v>50</v>
      </c>
      <c r="E1599" t="s">
        <v>13</v>
      </c>
      <c r="F1599" t="s">
        <v>19</v>
      </c>
      <c r="G1599" t="s">
        <v>15</v>
      </c>
      <c r="K1599" cm="1">
        <f t="array" ref="K1599">_xlfn.SWITCH(LeadsData[[#This Row],[Funnel Stage Reached]],"Lead",1,"MQL",2,"SQL",3,"Customer",4)</f>
        <v>1</v>
      </c>
      <c r="L1599" t="str">
        <f>TEXT(LeadsData[[#This Row],[Signup Date]],"mmm-yyyy")</f>
        <v>Aug-2024</v>
      </c>
      <c r="M1599">
        <f>IF(LeadsData[[#This Row],[Stage Number]]&gt;=2,1,0)</f>
        <v>0</v>
      </c>
      <c r="N1599" s="2">
        <f>IF(LeadsData[[#This Row],[Stage Number]]&gt;=3,1,0)</f>
        <v>0</v>
      </c>
      <c r="O1599" s="2">
        <f>IF(LeadsData[[#This Row],[Stage Number]]&gt;=4,1,0)</f>
        <v>0</v>
      </c>
    </row>
    <row r="1600" spans="1:15" x14ac:dyDescent="0.25">
      <c r="A1600" t="s">
        <v>1640</v>
      </c>
      <c r="B1600" s="1">
        <v>45574</v>
      </c>
      <c r="C1600" t="s">
        <v>11</v>
      </c>
      <c r="D1600" t="s">
        <v>12</v>
      </c>
      <c r="E1600" t="s">
        <v>13</v>
      </c>
      <c r="F1600" t="s">
        <v>19</v>
      </c>
      <c r="G1600" t="s">
        <v>15</v>
      </c>
      <c r="K1600" cm="1">
        <f t="array" ref="K1600">_xlfn.SWITCH(LeadsData[[#This Row],[Funnel Stage Reached]],"Lead",1,"MQL",2,"SQL",3,"Customer",4)</f>
        <v>1</v>
      </c>
      <c r="L1600" t="str">
        <f>TEXT(LeadsData[[#This Row],[Signup Date]],"mmm-yyyy")</f>
        <v>Oct-2024</v>
      </c>
      <c r="M1600">
        <f>IF(LeadsData[[#This Row],[Stage Number]]&gt;=2,1,0)</f>
        <v>0</v>
      </c>
      <c r="N1600" s="2">
        <f>IF(LeadsData[[#This Row],[Stage Number]]&gt;=3,1,0)</f>
        <v>0</v>
      </c>
      <c r="O1600" s="2">
        <f>IF(LeadsData[[#This Row],[Stage Number]]&gt;=4,1,0)</f>
        <v>0</v>
      </c>
    </row>
    <row r="1601" spans="1:15" x14ac:dyDescent="0.25">
      <c r="A1601" t="s">
        <v>1641</v>
      </c>
      <c r="B1601" s="1">
        <v>45566</v>
      </c>
      <c r="C1601" t="s">
        <v>17</v>
      </c>
      <c r="D1601" t="s">
        <v>18</v>
      </c>
      <c r="E1601" t="s">
        <v>13</v>
      </c>
      <c r="F1601" t="s">
        <v>22</v>
      </c>
      <c r="G1601" t="s">
        <v>15</v>
      </c>
      <c r="K1601" cm="1">
        <f t="array" ref="K1601">_xlfn.SWITCH(LeadsData[[#This Row],[Funnel Stage Reached]],"Lead",1,"MQL",2,"SQL",3,"Customer",4)</f>
        <v>1</v>
      </c>
      <c r="L1601" t="str">
        <f>TEXT(LeadsData[[#This Row],[Signup Date]],"mmm-yyyy")</f>
        <v>Oct-2024</v>
      </c>
      <c r="M1601">
        <f>IF(LeadsData[[#This Row],[Stage Number]]&gt;=2,1,0)</f>
        <v>0</v>
      </c>
      <c r="N1601" s="2">
        <f>IF(LeadsData[[#This Row],[Stage Number]]&gt;=3,1,0)</f>
        <v>0</v>
      </c>
      <c r="O1601" s="2">
        <f>IF(LeadsData[[#This Row],[Stage Number]]&gt;=4,1,0)</f>
        <v>0</v>
      </c>
    </row>
    <row r="1602" spans="1:15" x14ac:dyDescent="0.25">
      <c r="A1602" t="s">
        <v>1642</v>
      </c>
      <c r="B1602" s="1">
        <v>45292</v>
      </c>
      <c r="C1602" t="s">
        <v>36</v>
      </c>
      <c r="D1602" t="s">
        <v>50</v>
      </c>
      <c r="E1602" t="s">
        <v>13</v>
      </c>
      <c r="F1602" t="s">
        <v>19</v>
      </c>
      <c r="G1602" t="s">
        <v>23</v>
      </c>
      <c r="K1602" cm="1">
        <f t="array" ref="K1602">_xlfn.SWITCH(LeadsData[[#This Row],[Funnel Stage Reached]],"Lead",1,"MQL",2,"SQL",3,"Customer",4)</f>
        <v>2</v>
      </c>
      <c r="L1602" t="str">
        <f>TEXT(LeadsData[[#This Row],[Signup Date]],"mmm-yyyy")</f>
        <v>Jan-2024</v>
      </c>
      <c r="M1602">
        <f>IF(LeadsData[[#This Row],[Stage Number]]&gt;=2,1,0)</f>
        <v>1</v>
      </c>
      <c r="N1602" s="2">
        <f>IF(LeadsData[[#This Row],[Stage Number]]&gt;=3,1,0)</f>
        <v>0</v>
      </c>
      <c r="O1602" s="2">
        <f>IF(LeadsData[[#This Row],[Stage Number]]&gt;=4,1,0)</f>
        <v>0</v>
      </c>
    </row>
    <row r="1603" spans="1:15" x14ac:dyDescent="0.25">
      <c r="A1603" t="s">
        <v>1643</v>
      </c>
      <c r="B1603" s="1">
        <v>45478</v>
      </c>
      <c r="C1603" t="s">
        <v>17</v>
      </c>
      <c r="D1603" t="s">
        <v>18</v>
      </c>
      <c r="E1603" t="s">
        <v>13</v>
      </c>
      <c r="F1603" t="s">
        <v>14</v>
      </c>
      <c r="G1603" t="s">
        <v>15</v>
      </c>
      <c r="K1603" cm="1">
        <f t="array" ref="K1603">_xlfn.SWITCH(LeadsData[[#This Row],[Funnel Stage Reached]],"Lead",1,"MQL",2,"SQL",3,"Customer",4)</f>
        <v>1</v>
      </c>
      <c r="L1603" t="str">
        <f>TEXT(LeadsData[[#This Row],[Signup Date]],"mmm-yyyy")</f>
        <v>Jul-2024</v>
      </c>
      <c r="M1603">
        <f>IF(LeadsData[[#This Row],[Stage Number]]&gt;=2,1,0)</f>
        <v>0</v>
      </c>
      <c r="N1603" s="2">
        <f>IF(LeadsData[[#This Row],[Stage Number]]&gt;=3,1,0)</f>
        <v>0</v>
      </c>
      <c r="O1603" s="2">
        <f>IF(LeadsData[[#This Row],[Stage Number]]&gt;=4,1,0)</f>
        <v>0</v>
      </c>
    </row>
    <row r="1604" spans="1:15" x14ac:dyDescent="0.25">
      <c r="A1604" t="s">
        <v>1644</v>
      </c>
      <c r="B1604" s="1">
        <v>45420</v>
      </c>
      <c r="C1604" t="s">
        <v>31</v>
      </c>
      <c r="D1604" t="s">
        <v>32</v>
      </c>
      <c r="E1604" t="s">
        <v>13</v>
      </c>
      <c r="F1604" t="s">
        <v>19</v>
      </c>
      <c r="G1604" t="s">
        <v>23</v>
      </c>
      <c r="K1604" cm="1">
        <f t="array" ref="K1604">_xlfn.SWITCH(LeadsData[[#This Row],[Funnel Stage Reached]],"Lead",1,"MQL",2,"SQL",3,"Customer",4)</f>
        <v>2</v>
      </c>
      <c r="L1604" t="str">
        <f>TEXT(LeadsData[[#This Row],[Signup Date]],"mmm-yyyy")</f>
        <v>May-2024</v>
      </c>
      <c r="M1604">
        <f>IF(LeadsData[[#This Row],[Stage Number]]&gt;=2,1,0)</f>
        <v>1</v>
      </c>
      <c r="N1604" s="2">
        <f>IF(LeadsData[[#This Row],[Stage Number]]&gt;=3,1,0)</f>
        <v>0</v>
      </c>
      <c r="O1604" s="2">
        <f>IF(LeadsData[[#This Row],[Stage Number]]&gt;=4,1,0)</f>
        <v>0</v>
      </c>
    </row>
    <row r="1605" spans="1:15" x14ac:dyDescent="0.25">
      <c r="A1605" t="s">
        <v>1645</v>
      </c>
      <c r="B1605" s="1">
        <v>45384</v>
      </c>
      <c r="C1605" t="s">
        <v>36</v>
      </c>
      <c r="D1605" t="s">
        <v>37</v>
      </c>
      <c r="E1605" t="s">
        <v>13</v>
      </c>
      <c r="F1605" t="s">
        <v>22</v>
      </c>
      <c r="G1605" t="s">
        <v>15</v>
      </c>
      <c r="K1605" cm="1">
        <f t="array" ref="K1605">_xlfn.SWITCH(LeadsData[[#This Row],[Funnel Stage Reached]],"Lead",1,"MQL",2,"SQL",3,"Customer",4)</f>
        <v>1</v>
      </c>
      <c r="L1605" t="str">
        <f>TEXT(LeadsData[[#This Row],[Signup Date]],"mmm-yyyy")</f>
        <v>Apr-2024</v>
      </c>
      <c r="M1605">
        <f>IF(LeadsData[[#This Row],[Stage Number]]&gt;=2,1,0)</f>
        <v>0</v>
      </c>
      <c r="N1605" s="2">
        <f>IF(LeadsData[[#This Row],[Stage Number]]&gt;=3,1,0)</f>
        <v>0</v>
      </c>
      <c r="O1605" s="2">
        <f>IF(LeadsData[[#This Row],[Stage Number]]&gt;=4,1,0)</f>
        <v>0</v>
      </c>
    </row>
    <row r="1606" spans="1:15" x14ac:dyDescent="0.25">
      <c r="A1606" t="s">
        <v>1646</v>
      </c>
      <c r="B1606" s="1">
        <v>45647</v>
      </c>
      <c r="C1606" t="s">
        <v>46</v>
      </c>
      <c r="D1606" t="s">
        <v>47</v>
      </c>
      <c r="E1606" t="s">
        <v>21</v>
      </c>
      <c r="F1606" t="s">
        <v>19</v>
      </c>
      <c r="G1606" t="s">
        <v>23</v>
      </c>
      <c r="K1606" cm="1">
        <f t="array" ref="K1606">_xlfn.SWITCH(LeadsData[[#This Row],[Funnel Stage Reached]],"Lead",1,"MQL",2,"SQL",3,"Customer",4)</f>
        <v>2</v>
      </c>
      <c r="L1606" t="str">
        <f>TEXT(LeadsData[[#This Row],[Signup Date]],"mmm-yyyy")</f>
        <v>Dec-2024</v>
      </c>
      <c r="M1606">
        <f>IF(LeadsData[[#This Row],[Stage Number]]&gt;=2,1,0)</f>
        <v>1</v>
      </c>
      <c r="N1606" s="2">
        <f>IF(LeadsData[[#This Row],[Stage Number]]&gt;=3,1,0)</f>
        <v>0</v>
      </c>
      <c r="O1606" s="2">
        <f>IF(LeadsData[[#This Row],[Stage Number]]&gt;=4,1,0)</f>
        <v>0</v>
      </c>
    </row>
    <row r="1607" spans="1:15" x14ac:dyDescent="0.25">
      <c r="A1607" t="s">
        <v>1647</v>
      </c>
      <c r="B1607" s="1">
        <v>45404</v>
      </c>
      <c r="C1607" t="s">
        <v>31</v>
      </c>
      <c r="D1607" t="s">
        <v>34</v>
      </c>
      <c r="E1607" t="s">
        <v>13</v>
      </c>
      <c r="F1607" t="s">
        <v>19</v>
      </c>
      <c r="G1607" t="s">
        <v>23</v>
      </c>
      <c r="K1607" cm="1">
        <f t="array" ref="K1607">_xlfn.SWITCH(LeadsData[[#This Row],[Funnel Stage Reached]],"Lead",1,"MQL",2,"SQL",3,"Customer",4)</f>
        <v>2</v>
      </c>
      <c r="L1607" t="str">
        <f>TEXT(LeadsData[[#This Row],[Signup Date]],"mmm-yyyy")</f>
        <v>Apr-2024</v>
      </c>
      <c r="M1607">
        <f>IF(LeadsData[[#This Row],[Stage Number]]&gt;=2,1,0)</f>
        <v>1</v>
      </c>
      <c r="N1607" s="2">
        <f>IF(LeadsData[[#This Row],[Stage Number]]&gt;=3,1,0)</f>
        <v>0</v>
      </c>
      <c r="O1607" s="2">
        <f>IF(LeadsData[[#This Row],[Stage Number]]&gt;=4,1,0)</f>
        <v>0</v>
      </c>
    </row>
    <row r="1608" spans="1:15" x14ac:dyDescent="0.25">
      <c r="A1608" t="s">
        <v>1648</v>
      </c>
      <c r="B1608" s="1">
        <v>45653</v>
      </c>
      <c r="C1608" t="s">
        <v>17</v>
      </c>
      <c r="D1608" t="s">
        <v>18</v>
      </c>
      <c r="E1608" t="s">
        <v>21</v>
      </c>
      <c r="F1608" t="s">
        <v>14</v>
      </c>
      <c r="G1608" t="s">
        <v>15</v>
      </c>
      <c r="K1608" cm="1">
        <f t="array" ref="K1608">_xlfn.SWITCH(LeadsData[[#This Row],[Funnel Stage Reached]],"Lead",1,"MQL",2,"SQL",3,"Customer",4)</f>
        <v>1</v>
      </c>
      <c r="L1608" t="str">
        <f>TEXT(LeadsData[[#This Row],[Signup Date]],"mmm-yyyy")</f>
        <v>Dec-2024</v>
      </c>
      <c r="M1608">
        <f>IF(LeadsData[[#This Row],[Stage Number]]&gt;=2,1,0)</f>
        <v>0</v>
      </c>
      <c r="N1608" s="2">
        <f>IF(LeadsData[[#This Row],[Stage Number]]&gt;=3,1,0)</f>
        <v>0</v>
      </c>
      <c r="O1608" s="2">
        <f>IF(LeadsData[[#This Row],[Stage Number]]&gt;=4,1,0)</f>
        <v>0</v>
      </c>
    </row>
    <row r="1609" spans="1:15" x14ac:dyDescent="0.25">
      <c r="A1609" t="s">
        <v>1649</v>
      </c>
      <c r="B1609" s="1">
        <v>45628</v>
      </c>
      <c r="C1609" t="s">
        <v>46</v>
      </c>
      <c r="D1609" t="s">
        <v>56</v>
      </c>
      <c r="E1609" t="s">
        <v>13</v>
      </c>
      <c r="F1609" t="s">
        <v>19</v>
      </c>
      <c r="G1609" t="s">
        <v>23</v>
      </c>
      <c r="K1609" cm="1">
        <f t="array" ref="K1609">_xlfn.SWITCH(LeadsData[[#This Row],[Funnel Stage Reached]],"Lead",1,"MQL",2,"SQL",3,"Customer",4)</f>
        <v>2</v>
      </c>
      <c r="L1609" t="str">
        <f>TEXT(LeadsData[[#This Row],[Signup Date]],"mmm-yyyy")</f>
        <v>Dec-2024</v>
      </c>
      <c r="M1609">
        <f>IF(LeadsData[[#This Row],[Stage Number]]&gt;=2,1,0)</f>
        <v>1</v>
      </c>
      <c r="N1609" s="2">
        <f>IF(LeadsData[[#This Row],[Stage Number]]&gt;=3,1,0)</f>
        <v>0</v>
      </c>
      <c r="O1609" s="2">
        <f>IF(LeadsData[[#This Row],[Stage Number]]&gt;=4,1,0)</f>
        <v>0</v>
      </c>
    </row>
    <row r="1610" spans="1:15" x14ac:dyDescent="0.25">
      <c r="A1610" t="s">
        <v>1650</v>
      </c>
      <c r="B1610" s="1">
        <v>45445</v>
      </c>
      <c r="C1610" t="s">
        <v>31</v>
      </c>
      <c r="D1610" t="s">
        <v>34</v>
      </c>
      <c r="E1610" t="s">
        <v>21</v>
      </c>
      <c r="F1610" t="s">
        <v>19</v>
      </c>
      <c r="G1610" t="s">
        <v>15</v>
      </c>
      <c r="K1610" cm="1">
        <f t="array" ref="K1610">_xlfn.SWITCH(LeadsData[[#This Row],[Funnel Stage Reached]],"Lead",1,"MQL",2,"SQL",3,"Customer",4)</f>
        <v>1</v>
      </c>
      <c r="L1610" t="str">
        <f>TEXT(LeadsData[[#This Row],[Signup Date]],"mmm-yyyy")</f>
        <v>Jun-2024</v>
      </c>
      <c r="M1610">
        <f>IF(LeadsData[[#This Row],[Stage Number]]&gt;=2,1,0)</f>
        <v>0</v>
      </c>
      <c r="N1610" s="2">
        <f>IF(LeadsData[[#This Row],[Stage Number]]&gt;=3,1,0)</f>
        <v>0</v>
      </c>
      <c r="O1610" s="2">
        <f>IF(LeadsData[[#This Row],[Stage Number]]&gt;=4,1,0)</f>
        <v>0</v>
      </c>
    </row>
    <row r="1611" spans="1:15" x14ac:dyDescent="0.25">
      <c r="A1611" t="s">
        <v>1651</v>
      </c>
      <c r="B1611" s="1">
        <v>45622</v>
      </c>
      <c r="C1611" t="s">
        <v>11</v>
      </c>
      <c r="D1611" t="s">
        <v>12</v>
      </c>
      <c r="E1611" t="s">
        <v>13</v>
      </c>
      <c r="F1611" t="s">
        <v>14</v>
      </c>
      <c r="G1611" t="s">
        <v>29</v>
      </c>
      <c r="K1611" cm="1">
        <f t="array" ref="K1611">_xlfn.SWITCH(LeadsData[[#This Row],[Funnel Stage Reached]],"Lead",1,"MQL",2,"SQL",3,"Customer",4)</f>
        <v>3</v>
      </c>
      <c r="L1611" t="str">
        <f>TEXT(LeadsData[[#This Row],[Signup Date]],"mmm-yyyy")</f>
        <v>Nov-2024</v>
      </c>
      <c r="M1611">
        <f>IF(LeadsData[[#This Row],[Stage Number]]&gt;=2,1,0)</f>
        <v>1</v>
      </c>
      <c r="N1611" s="2">
        <f>IF(LeadsData[[#This Row],[Stage Number]]&gt;=3,1,0)</f>
        <v>1</v>
      </c>
      <c r="O1611" s="2">
        <f>IF(LeadsData[[#This Row],[Stage Number]]&gt;=4,1,0)</f>
        <v>0</v>
      </c>
    </row>
    <row r="1612" spans="1:15" x14ac:dyDescent="0.25">
      <c r="A1612" t="s">
        <v>1652</v>
      </c>
      <c r="B1612" s="1">
        <v>45602</v>
      </c>
      <c r="C1612" t="s">
        <v>25</v>
      </c>
      <c r="D1612" t="s">
        <v>26</v>
      </c>
      <c r="E1612" t="s">
        <v>21</v>
      </c>
      <c r="F1612" t="s">
        <v>14</v>
      </c>
      <c r="G1612" t="s">
        <v>15</v>
      </c>
      <c r="K1612" cm="1">
        <f t="array" ref="K1612">_xlfn.SWITCH(LeadsData[[#This Row],[Funnel Stage Reached]],"Lead",1,"MQL",2,"SQL",3,"Customer",4)</f>
        <v>1</v>
      </c>
      <c r="L1612" t="str">
        <f>TEXT(LeadsData[[#This Row],[Signup Date]],"mmm-yyyy")</f>
        <v>Nov-2024</v>
      </c>
      <c r="M1612">
        <f>IF(LeadsData[[#This Row],[Stage Number]]&gt;=2,1,0)</f>
        <v>0</v>
      </c>
      <c r="N1612" s="2">
        <f>IF(LeadsData[[#This Row],[Stage Number]]&gt;=3,1,0)</f>
        <v>0</v>
      </c>
      <c r="O1612" s="2">
        <f>IF(LeadsData[[#This Row],[Stage Number]]&gt;=4,1,0)</f>
        <v>0</v>
      </c>
    </row>
    <row r="1613" spans="1:15" x14ac:dyDescent="0.25">
      <c r="A1613" t="s">
        <v>1653</v>
      </c>
      <c r="B1613" s="1">
        <v>45619</v>
      </c>
      <c r="C1613" t="s">
        <v>31</v>
      </c>
      <c r="D1613" t="s">
        <v>34</v>
      </c>
      <c r="E1613" t="s">
        <v>13</v>
      </c>
      <c r="F1613" t="s">
        <v>19</v>
      </c>
      <c r="G1613" t="s">
        <v>15</v>
      </c>
      <c r="K1613" cm="1">
        <f t="array" ref="K1613">_xlfn.SWITCH(LeadsData[[#This Row],[Funnel Stage Reached]],"Lead",1,"MQL",2,"SQL",3,"Customer",4)</f>
        <v>1</v>
      </c>
      <c r="L1613" t="str">
        <f>TEXT(LeadsData[[#This Row],[Signup Date]],"mmm-yyyy")</f>
        <v>Nov-2024</v>
      </c>
      <c r="M1613">
        <f>IF(LeadsData[[#This Row],[Stage Number]]&gt;=2,1,0)</f>
        <v>0</v>
      </c>
      <c r="N1613" s="2">
        <f>IF(LeadsData[[#This Row],[Stage Number]]&gt;=3,1,0)</f>
        <v>0</v>
      </c>
      <c r="O1613" s="2">
        <f>IF(LeadsData[[#This Row],[Stage Number]]&gt;=4,1,0)</f>
        <v>0</v>
      </c>
    </row>
    <row r="1614" spans="1:15" x14ac:dyDescent="0.25">
      <c r="A1614" t="s">
        <v>1654</v>
      </c>
      <c r="B1614" s="1">
        <v>45456</v>
      </c>
      <c r="C1614" t="s">
        <v>11</v>
      </c>
      <c r="D1614" t="s">
        <v>68</v>
      </c>
      <c r="E1614" t="s">
        <v>13</v>
      </c>
      <c r="F1614" t="s">
        <v>19</v>
      </c>
      <c r="G1614" t="s">
        <v>23</v>
      </c>
      <c r="K1614" cm="1">
        <f t="array" ref="K1614">_xlfn.SWITCH(LeadsData[[#This Row],[Funnel Stage Reached]],"Lead",1,"MQL",2,"SQL",3,"Customer",4)</f>
        <v>2</v>
      </c>
      <c r="L1614" t="str">
        <f>TEXT(LeadsData[[#This Row],[Signup Date]],"mmm-yyyy")</f>
        <v>Jun-2024</v>
      </c>
      <c r="M1614">
        <f>IF(LeadsData[[#This Row],[Stage Number]]&gt;=2,1,0)</f>
        <v>1</v>
      </c>
      <c r="N1614" s="2">
        <f>IF(LeadsData[[#This Row],[Stage Number]]&gt;=3,1,0)</f>
        <v>0</v>
      </c>
      <c r="O1614" s="2">
        <f>IF(LeadsData[[#This Row],[Stage Number]]&gt;=4,1,0)</f>
        <v>0</v>
      </c>
    </row>
    <row r="1615" spans="1:15" x14ac:dyDescent="0.25">
      <c r="A1615" t="s">
        <v>1655</v>
      </c>
      <c r="B1615" s="1">
        <v>45537</v>
      </c>
      <c r="C1615" t="s">
        <v>11</v>
      </c>
      <c r="D1615" t="s">
        <v>79</v>
      </c>
      <c r="E1615" t="s">
        <v>21</v>
      </c>
      <c r="F1615" t="s">
        <v>19</v>
      </c>
      <c r="G1615" t="s">
        <v>15</v>
      </c>
      <c r="K1615" cm="1">
        <f t="array" ref="K1615">_xlfn.SWITCH(LeadsData[[#This Row],[Funnel Stage Reached]],"Lead",1,"MQL",2,"SQL",3,"Customer",4)</f>
        <v>1</v>
      </c>
      <c r="L1615" t="str">
        <f>TEXT(LeadsData[[#This Row],[Signup Date]],"mmm-yyyy")</f>
        <v>Sep-2024</v>
      </c>
      <c r="M1615">
        <f>IF(LeadsData[[#This Row],[Stage Number]]&gt;=2,1,0)</f>
        <v>0</v>
      </c>
      <c r="N1615" s="2">
        <f>IF(LeadsData[[#This Row],[Stage Number]]&gt;=3,1,0)</f>
        <v>0</v>
      </c>
      <c r="O1615" s="2">
        <f>IF(LeadsData[[#This Row],[Stage Number]]&gt;=4,1,0)</f>
        <v>0</v>
      </c>
    </row>
    <row r="1616" spans="1:15" x14ac:dyDescent="0.25">
      <c r="A1616" t="s">
        <v>1656</v>
      </c>
      <c r="B1616" s="1">
        <v>45377</v>
      </c>
      <c r="C1616" t="s">
        <v>11</v>
      </c>
      <c r="D1616" t="s">
        <v>79</v>
      </c>
      <c r="E1616" t="s">
        <v>13</v>
      </c>
      <c r="F1616" t="s">
        <v>19</v>
      </c>
      <c r="G1616" t="s">
        <v>15</v>
      </c>
      <c r="K1616" cm="1">
        <f t="array" ref="K1616">_xlfn.SWITCH(LeadsData[[#This Row],[Funnel Stage Reached]],"Lead",1,"MQL",2,"SQL",3,"Customer",4)</f>
        <v>1</v>
      </c>
      <c r="L1616" t="str">
        <f>TEXT(LeadsData[[#This Row],[Signup Date]],"mmm-yyyy")</f>
        <v>Mar-2024</v>
      </c>
      <c r="M1616">
        <f>IF(LeadsData[[#This Row],[Stage Number]]&gt;=2,1,0)</f>
        <v>0</v>
      </c>
      <c r="N1616" s="2">
        <f>IF(LeadsData[[#This Row],[Stage Number]]&gt;=3,1,0)</f>
        <v>0</v>
      </c>
      <c r="O1616" s="2">
        <f>IF(LeadsData[[#This Row],[Stage Number]]&gt;=4,1,0)</f>
        <v>0</v>
      </c>
    </row>
    <row r="1617" spans="1:15" x14ac:dyDescent="0.25">
      <c r="A1617" t="s">
        <v>1657</v>
      </c>
      <c r="B1617" s="1">
        <v>45574</v>
      </c>
      <c r="C1617" t="s">
        <v>36</v>
      </c>
      <c r="D1617" t="s">
        <v>37</v>
      </c>
      <c r="E1617" t="s">
        <v>21</v>
      </c>
      <c r="F1617" t="s">
        <v>19</v>
      </c>
      <c r="G1617" t="s">
        <v>23</v>
      </c>
      <c r="K1617" cm="1">
        <f t="array" ref="K1617">_xlfn.SWITCH(LeadsData[[#This Row],[Funnel Stage Reached]],"Lead",1,"MQL",2,"SQL",3,"Customer",4)</f>
        <v>2</v>
      </c>
      <c r="L1617" t="str">
        <f>TEXT(LeadsData[[#This Row],[Signup Date]],"mmm-yyyy")</f>
        <v>Oct-2024</v>
      </c>
      <c r="M1617">
        <f>IF(LeadsData[[#This Row],[Stage Number]]&gt;=2,1,0)</f>
        <v>1</v>
      </c>
      <c r="N1617" s="2">
        <f>IF(LeadsData[[#This Row],[Stage Number]]&gt;=3,1,0)</f>
        <v>0</v>
      </c>
      <c r="O1617" s="2">
        <f>IF(LeadsData[[#This Row],[Stage Number]]&gt;=4,1,0)</f>
        <v>0</v>
      </c>
    </row>
    <row r="1618" spans="1:15" x14ac:dyDescent="0.25">
      <c r="A1618" t="s">
        <v>1658</v>
      </c>
      <c r="B1618" s="1">
        <v>45433</v>
      </c>
      <c r="C1618" t="s">
        <v>11</v>
      </c>
      <c r="D1618" t="s">
        <v>68</v>
      </c>
      <c r="E1618" t="s">
        <v>13</v>
      </c>
      <c r="F1618" t="s">
        <v>22</v>
      </c>
      <c r="G1618" t="s">
        <v>29</v>
      </c>
      <c r="K1618" cm="1">
        <f t="array" ref="K1618">_xlfn.SWITCH(LeadsData[[#This Row],[Funnel Stage Reached]],"Lead",1,"MQL",2,"SQL",3,"Customer",4)</f>
        <v>3</v>
      </c>
      <c r="L1618" t="str">
        <f>TEXT(LeadsData[[#This Row],[Signup Date]],"mmm-yyyy")</f>
        <v>May-2024</v>
      </c>
      <c r="M1618">
        <f>IF(LeadsData[[#This Row],[Stage Number]]&gt;=2,1,0)</f>
        <v>1</v>
      </c>
      <c r="N1618" s="2">
        <f>IF(LeadsData[[#This Row],[Stage Number]]&gt;=3,1,0)</f>
        <v>1</v>
      </c>
      <c r="O1618" s="2">
        <f>IF(LeadsData[[#This Row],[Stage Number]]&gt;=4,1,0)</f>
        <v>0</v>
      </c>
    </row>
    <row r="1619" spans="1:15" x14ac:dyDescent="0.25">
      <c r="A1619" t="s">
        <v>1659</v>
      </c>
      <c r="B1619" s="1">
        <v>45466</v>
      </c>
      <c r="C1619" t="s">
        <v>36</v>
      </c>
      <c r="D1619" t="s">
        <v>37</v>
      </c>
      <c r="E1619" t="s">
        <v>21</v>
      </c>
      <c r="F1619" t="s">
        <v>19</v>
      </c>
      <c r="G1619" t="s">
        <v>15</v>
      </c>
      <c r="K1619" cm="1">
        <f t="array" ref="K1619">_xlfn.SWITCH(LeadsData[[#This Row],[Funnel Stage Reached]],"Lead",1,"MQL",2,"SQL",3,"Customer",4)</f>
        <v>1</v>
      </c>
      <c r="L1619" t="str">
        <f>TEXT(LeadsData[[#This Row],[Signup Date]],"mmm-yyyy")</f>
        <v>Jun-2024</v>
      </c>
      <c r="M1619">
        <f>IF(LeadsData[[#This Row],[Stage Number]]&gt;=2,1,0)</f>
        <v>0</v>
      </c>
      <c r="N1619" s="2">
        <f>IF(LeadsData[[#This Row],[Stage Number]]&gt;=3,1,0)</f>
        <v>0</v>
      </c>
      <c r="O1619" s="2">
        <f>IF(LeadsData[[#This Row],[Stage Number]]&gt;=4,1,0)</f>
        <v>0</v>
      </c>
    </row>
    <row r="1620" spans="1:15" x14ac:dyDescent="0.25">
      <c r="A1620" t="s">
        <v>1660</v>
      </c>
      <c r="B1620" s="1">
        <v>45435</v>
      </c>
      <c r="C1620" t="s">
        <v>25</v>
      </c>
      <c r="D1620" t="s">
        <v>26</v>
      </c>
      <c r="E1620" t="s">
        <v>21</v>
      </c>
      <c r="F1620" t="s">
        <v>22</v>
      </c>
      <c r="G1620" t="s">
        <v>23</v>
      </c>
      <c r="K1620" cm="1">
        <f t="array" ref="K1620">_xlfn.SWITCH(LeadsData[[#This Row],[Funnel Stage Reached]],"Lead",1,"MQL",2,"SQL",3,"Customer",4)</f>
        <v>2</v>
      </c>
      <c r="L1620" t="str">
        <f>TEXT(LeadsData[[#This Row],[Signup Date]],"mmm-yyyy")</f>
        <v>May-2024</v>
      </c>
      <c r="M1620">
        <f>IF(LeadsData[[#This Row],[Stage Number]]&gt;=2,1,0)</f>
        <v>1</v>
      </c>
      <c r="N1620" s="2">
        <f>IF(LeadsData[[#This Row],[Stage Number]]&gt;=3,1,0)</f>
        <v>0</v>
      </c>
      <c r="O1620" s="2">
        <f>IF(LeadsData[[#This Row],[Stage Number]]&gt;=4,1,0)</f>
        <v>0</v>
      </c>
    </row>
    <row r="1621" spans="1:15" x14ac:dyDescent="0.25">
      <c r="A1621" t="s">
        <v>1661</v>
      </c>
      <c r="B1621" s="1">
        <v>45570</v>
      </c>
      <c r="C1621" t="s">
        <v>36</v>
      </c>
      <c r="D1621" t="s">
        <v>50</v>
      </c>
      <c r="E1621" t="s">
        <v>21</v>
      </c>
      <c r="F1621" t="s">
        <v>22</v>
      </c>
      <c r="G1621" t="s">
        <v>23</v>
      </c>
      <c r="K1621" cm="1">
        <f t="array" ref="K1621">_xlfn.SWITCH(LeadsData[[#This Row],[Funnel Stage Reached]],"Lead",1,"MQL",2,"SQL",3,"Customer",4)</f>
        <v>2</v>
      </c>
      <c r="L1621" t="str">
        <f>TEXT(LeadsData[[#This Row],[Signup Date]],"mmm-yyyy")</f>
        <v>Oct-2024</v>
      </c>
      <c r="M1621">
        <f>IF(LeadsData[[#This Row],[Stage Number]]&gt;=2,1,0)</f>
        <v>1</v>
      </c>
      <c r="N1621" s="2">
        <f>IF(LeadsData[[#This Row],[Stage Number]]&gt;=3,1,0)</f>
        <v>0</v>
      </c>
      <c r="O1621" s="2">
        <f>IF(LeadsData[[#This Row],[Stage Number]]&gt;=4,1,0)</f>
        <v>0</v>
      </c>
    </row>
    <row r="1622" spans="1:15" x14ac:dyDescent="0.25">
      <c r="A1622" t="s">
        <v>1662</v>
      </c>
      <c r="B1622" s="1">
        <v>45628</v>
      </c>
      <c r="C1622" t="s">
        <v>36</v>
      </c>
      <c r="D1622" t="s">
        <v>37</v>
      </c>
      <c r="E1622" t="s">
        <v>13</v>
      </c>
      <c r="F1622" t="s">
        <v>19</v>
      </c>
      <c r="G1622" t="s">
        <v>23</v>
      </c>
      <c r="K1622" cm="1">
        <f t="array" ref="K1622">_xlfn.SWITCH(LeadsData[[#This Row],[Funnel Stage Reached]],"Lead",1,"MQL",2,"SQL",3,"Customer",4)</f>
        <v>2</v>
      </c>
      <c r="L1622" t="str">
        <f>TEXT(LeadsData[[#This Row],[Signup Date]],"mmm-yyyy")</f>
        <v>Dec-2024</v>
      </c>
      <c r="M1622">
        <f>IF(LeadsData[[#This Row],[Stage Number]]&gt;=2,1,0)</f>
        <v>1</v>
      </c>
      <c r="N1622" s="2">
        <f>IF(LeadsData[[#This Row],[Stage Number]]&gt;=3,1,0)</f>
        <v>0</v>
      </c>
      <c r="O1622" s="2">
        <f>IF(LeadsData[[#This Row],[Stage Number]]&gt;=4,1,0)</f>
        <v>0</v>
      </c>
    </row>
    <row r="1623" spans="1:15" x14ac:dyDescent="0.25">
      <c r="A1623" t="s">
        <v>1663</v>
      </c>
      <c r="B1623" s="1">
        <v>45319</v>
      </c>
      <c r="C1623" t="s">
        <v>17</v>
      </c>
      <c r="D1623" t="s">
        <v>18</v>
      </c>
      <c r="E1623" t="s">
        <v>13</v>
      </c>
      <c r="F1623" t="s">
        <v>22</v>
      </c>
      <c r="G1623" t="s">
        <v>23</v>
      </c>
      <c r="K1623" cm="1">
        <f t="array" ref="K1623">_xlfn.SWITCH(LeadsData[[#This Row],[Funnel Stage Reached]],"Lead",1,"MQL",2,"SQL",3,"Customer",4)</f>
        <v>2</v>
      </c>
      <c r="L1623" t="str">
        <f>TEXT(LeadsData[[#This Row],[Signup Date]],"mmm-yyyy")</f>
        <v>Jan-2024</v>
      </c>
      <c r="M1623">
        <f>IF(LeadsData[[#This Row],[Stage Number]]&gt;=2,1,0)</f>
        <v>1</v>
      </c>
      <c r="N1623" s="2">
        <f>IF(LeadsData[[#This Row],[Stage Number]]&gt;=3,1,0)</f>
        <v>0</v>
      </c>
      <c r="O1623" s="2">
        <f>IF(LeadsData[[#This Row],[Stage Number]]&gt;=4,1,0)</f>
        <v>0</v>
      </c>
    </row>
    <row r="1624" spans="1:15" x14ac:dyDescent="0.25">
      <c r="A1624" t="s">
        <v>1664</v>
      </c>
      <c r="B1624" s="1">
        <v>45409</v>
      </c>
      <c r="C1624" t="s">
        <v>36</v>
      </c>
      <c r="D1624" t="s">
        <v>37</v>
      </c>
      <c r="E1624" t="s">
        <v>21</v>
      </c>
      <c r="F1624" t="s">
        <v>22</v>
      </c>
      <c r="G1624" t="s">
        <v>15</v>
      </c>
      <c r="K1624" cm="1">
        <f t="array" ref="K1624">_xlfn.SWITCH(LeadsData[[#This Row],[Funnel Stage Reached]],"Lead",1,"MQL",2,"SQL",3,"Customer",4)</f>
        <v>1</v>
      </c>
      <c r="L1624" t="str">
        <f>TEXT(LeadsData[[#This Row],[Signup Date]],"mmm-yyyy")</f>
        <v>Apr-2024</v>
      </c>
      <c r="M1624">
        <f>IF(LeadsData[[#This Row],[Stage Number]]&gt;=2,1,0)</f>
        <v>0</v>
      </c>
      <c r="N1624" s="2">
        <f>IF(LeadsData[[#This Row],[Stage Number]]&gt;=3,1,0)</f>
        <v>0</v>
      </c>
      <c r="O1624" s="2">
        <f>IF(LeadsData[[#This Row],[Stage Number]]&gt;=4,1,0)</f>
        <v>0</v>
      </c>
    </row>
    <row r="1625" spans="1:15" x14ac:dyDescent="0.25">
      <c r="A1625" t="s">
        <v>1665</v>
      </c>
      <c r="B1625" s="1">
        <v>45362</v>
      </c>
      <c r="C1625" t="s">
        <v>46</v>
      </c>
      <c r="D1625" t="s">
        <v>47</v>
      </c>
      <c r="E1625" t="s">
        <v>21</v>
      </c>
      <c r="F1625" t="s">
        <v>19</v>
      </c>
      <c r="G1625" t="s">
        <v>23</v>
      </c>
      <c r="K1625" cm="1">
        <f t="array" ref="K1625">_xlfn.SWITCH(LeadsData[[#This Row],[Funnel Stage Reached]],"Lead",1,"MQL",2,"SQL",3,"Customer",4)</f>
        <v>2</v>
      </c>
      <c r="L1625" t="str">
        <f>TEXT(LeadsData[[#This Row],[Signup Date]],"mmm-yyyy")</f>
        <v>Mar-2024</v>
      </c>
      <c r="M1625">
        <f>IF(LeadsData[[#This Row],[Stage Number]]&gt;=2,1,0)</f>
        <v>1</v>
      </c>
      <c r="N1625" s="2">
        <f>IF(LeadsData[[#This Row],[Stage Number]]&gt;=3,1,0)</f>
        <v>0</v>
      </c>
      <c r="O1625" s="2">
        <f>IF(LeadsData[[#This Row],[Stage Number]]&gt;=4,1,0)</f>
        <v>0</v>
      </c>
    </row>
    <row r="1626" spans="1:15" x14ac:dyDescent="0.25">
      <c r="A1626" t="s">
        <v>1666</v>
      </c>
      <c r="B1626" s="1">
        <v>45377</v>
      </c>
      <c r="C1626" t="s">
        <v>36</v>
      </c>
      <c r="D1626" t="s">
        <v>37</v>
      </c>
      <c r="E1626" t="s">
        <v>48</v>
      </c>
      <c r="F1626" t="s">
        <v>14</v>
      </c>
      <c r="G1626" t="s">
        <v>15</v>
      </c>
      <c r="K1626" cm="1">
        <f t="array" ref="K1626">_xlfn.SWITCH(LeadsData[[#This Row],[Funnel Stage Reached]],"Lead",1,"MQL",2,"SQL",3,"Customer",4)</f>
        <v>1</v>
      </c>
      <c r="L1626" t="str">
        <f>TEXT(LeadsData[[#This Row],[Signup Date]],"mmm-yyyy")</f>
        <v>Mar-2024</v>
      </c>
      <c r="M1626">
        <f>IF(LeadsData[[#This Row],[Stage Number]]&gt;=2,1,0)</f>
        <v>0</v>
      </c>
      <c r="N1626" s="2">
        <f>IF(LeadsData[[#This Row],[Stage Number]]&gt;=3,1,0)</f>
        <v>0</v>
      </c>
      <c r="O1626" s="2">
        <f>IF(LeadsData[[#This Row],[Stage Number]]&gt;=4,1,0)</f>
        <v>0</v>
      </c>
    </row>
    <row r="1627" spans="1:15" x14ac:dyDescent="0.25">
      <c r="A1627" t="s">
        <v>1667</v>
      </c>
      <c r="B1627" s="1">
        <v>45333</v>
      </c>
      <c r="C1627" t="s">
        <v>25</v>
      </c>
      <c r="D1627" t="s">
        <v>26</v>
      </c>
      <c r="E1627" t="s">
        <v>21</v>
      </c>
      <c r="F1627" t="s">
        <v>22</v>
      </c>
      <c r="G1627" t="s">
        <v>29</v>
      </c>
      <c r="K1627" cm="1">
        <f t="array" ref="K1627">_xlfn.SWITCH(LeadsData[[#This Row],[Funnel Stage Reached]],"Lead",1,"MQL",2,"SQL",3,"Customer",4)</f>
        <v>3</v>
      </c>
      <c r="L1627" t="str">
        <f>TEXT(LeadsData[[#This Row],[Signup Date]],"mmm-yyyy")</f>
        <v>Feb-2024</v>
      </c>
      <c r="M1627">
        <f>IF(LeadsData[[#This Row],[Stage Number]]&gt;=2,1,0)</f>
        <v>1</v>
      </c>
      <c r="N1627" s="2">
        <f>IF(LeadsData[[#This Row],[Stage Number]]&gt;=3,1,0)</f>
        <v>1</v>
      </c>
      <c r="O1627" s="2">
        <f>IF(LeadsData[[#This Row],[Stage Number]]&gt;=4,1,0)</f>
        <v>0</v>
      </c>
    </row>
    <row r="1628" spans="1:15" x14ac:dyDescent="0.25">
      <c r="A1628" t="s">
        <v>1668</v>
      </c>
      <c r="B1628" s="1">
        <v>45368</v>
      </c>
      <c r="C1628" t="s">
        <v>31</v>
      </c>
      <c r="D1628" t="s">
        <v>32</v>
      </c>
      <c r="E1628" t="s">
        <v>13</v>
      </c>
      <c r="F1628" t="s">
        <v>28</v>
      </c>
      <c r="G1628" t="s">
        <v>29</v>
      </c>
      <c r="K1628" cm="1">
        <f t="array" ref="K1628">_xlfn.SWITCH(LeadsData[[#This Row],[Funnel Stage Reached]],"Lead",1,"MQL",2,"SQL",3,"Customer",4)</f>
        <v>3</v>
      </c>
      <c r="L1628" t="str">
        <f>TEXT(LeadsData[[#This Row],[Signup Date]],"mmm-yyyy")</f>
        <v>Mar-2024</v>
      </c>
      <c r="M1628">
        <f>IF(LeadsData[[#This Row],[Stage Number]]&gt;=2,1,0)</f>
        <v>1</v>
      </c>
      <c r="N1628" s="2">
        <f>IF(LeadsData[[#This Row],[Stage Number]]&gt;=3,1,0)</f>
        <v>1</v>
      </c>
      <c r="O1628" s="2">
        <f>IF(LeadsData[[#This Row],[Stage Number]]&gt;=4,1,0)</f>
        <v>0</v>
      </c>
    </row>
    <row r="1629" spans="1:15" x14ac:dyDescent="0.25">
      <c r="A1629" t="s">
        <v>1669</v>
      </c>
      <c r="B1629" s="1">
        <v>45500</v>
      </c>
      <c r="C1629" t="s">
        <v>11</v>
      </c>
      <c r="D1629" t="s">
        <v>12</v>
      </c>
      <c r="E1629" t="s">
        <v>13</v>
      </c>
      <c r="F1629" t="s">
        <v>22</v>
      </c>
      <c r="G1629" t="s">
        <v>15</v>
      </c>
      <c r="K1629" cm="1">
        <f t="array" ref="K1629">_xlfn.SWITCH(LeadsData[[#This Row],[Funnel Stage Reached]],"Lead",1,"MQL",2,"SQL",3,"Customer",4)</f>
        <v>1</v>
      </c>
      <c r="L1629" t="str">
        <f>TEXT(LeadsData[[#This Row],[Signup Date]],"mmm-yyyy")</f>
        <v>Jul-2024</v>
      </c>
      <c r="M1629">
        <f>IF(LeadsData[[#This Row],[Stage Number]]&gt;=2,1,0)</f>
        <v>0</v>
      </c>
      <c r="N1629" s="2">
        <f>IF(LeadsData[[#This Row],[Stage Number]]&gt;=3,1,0)</f>
        <v>0</v>
      </c>
      <c r="O1629" s="2">
        <f>IF(LeadsData[[#This Row],[Stage Number]]&gt;=4,1,0)</f>
        <v>0</v>
      </c>
    </row>
    <row r="1630" spans="1:15" x14ac:dyDescent="0.25">
      <c r="A1630" t="s">
        <v>1670</v>
      </c>
      <c r="B1630" s="1">
        <v>45434</v>
      </c>
      <c r="C1630" t="s">
        <v>31</v>
      </c>
      <c r="D1630" t="s">
        <v>34</v>
      </c>
      <c r="E1630" t="s">
        <v>21</v>
      </c>
      <c r="F1630" t="s">
        <v>19</v>
      </c>
      <c r="G1630" t="s">
        <v>15</v>
      </c>
      <c r="K1630" cm="1">
        <f t="array" ref="K1630">_xlfn.SWITCH(LeadsData[[#This Row],[Funnel Stage Reached]],"Lead",1,"MQL",2,"SQL",3,"Customer",4)</f>
        <v>1</v>
      </c>
      <c r="L1630" t="str">
        <f>TEXT(LeadsData[[#This Row],[Signup Date]],"mmm-yyyy")</f>
        <v>May-2024</v>
      </c>
      <c r="M1630">
        <f>IF(LeadsData[[#This Row],[Stage Number]]&gt;=2,1,0)</f>
        <v>0</v>
      </c>
      <c r="N1630" s="2">
        <f>IF(LeadsData[[#This Row],[Stage Number]]&gt;=3,1,0)</f>
        <v>0</v>
      </c>
      <c r="O1630" s="2">
        <f>IF(LeadsData[[#This Row],[Stage Number]]&gt;=4,1,0)</f>
        <v>0</v>
      </c>
    </row>
    <row r="1631" spans="1:15" x14ac:dyDescent="0.25">
      <c r="A1631" t="s">
        <v>1671</v>
      </c>
      <c r="B1631" s="1">
        <v>45607</v>
      </c>
      <c r="C1631" t="s">
        <v>31</v>
      </c>
      <c r="D1631" t="s">
        <v>34</v>
      </c>
      <c r="E1631" t="s">
        <v>13</v>
      </c>
      <c r="F1631" t="s">
        <v>19</v>
      </c>
      <c r="G1631" t="s">
        <v>15</v>
      </c>
      <c r="K1631" cm="1">
        <f t="array" ref="K1631">_xlfn.SWITCH(LeadsData[[#This Row],[Funnel Stage Reached]],"Lead",1,"MQL",2,"SQL",3,"Customer",4)</f>
        <v>1</v>
      </c>
      <c r="L1631" t="str">
        <f>TEXT(LeadsData[[#This Row],[Signup Date]],"mmm-yyyy")</f>
        <v>Nov-2024</v>
      </c>
      <c r="M1631">
        <f>IF(LeadsData[[#This Row],[Stage Number]]&gt;=2,1,0)</f>
        <v>0</v>
      </c>
      <c r="N1631" s="2">
        <f>IF(LeadsData[[#This Row],[Stage Number]]&gt;=3,1,0)</f>
        <v>0</v>
      </c>
      <c r="O1631" s="2">
        <f>IF(LeadsData[[#This Row],[Stage Number]]&gt;=4,1,0)</f>
        <v>0</v>
      </c>
    </row>
    <row r="1632" spans="1:15" x14ac:dyDescent="0.25">
      <c r="A1632" t="s">
        <v>1672</v>
      </c>
      <c r="B1632" s="1">
        <v>45326</v>
      </c>
      <c r="C1632" t="s">
        <v>46</v>
      </c>
      <c r="D1632" t="s">
        <v>47</v>
      </c>
      <c r="E1632" t="s">
        <v>13</v>
      </c>
      <c r="F1632" t="s">
        <v>19</v>
      </c>
      <c r="G1632" t="s">
        <v>29</v>
      </c>
      <c r="K1632" cm="1">
        <f t="array" ref="K1632">_xlfn.SWITCH(LeadsData[[#This Row],[Funnel Stage Reached]],"Lead",1,"MQL",2,"SQL",3,"Customer",4)</f>
        <v>3</v>
      </c>
      <c r="L1632" t="str">
        <f>TEXT(LeadsData[[#This Row],[Signup Date]],"mmm-yyyy")</f>
        <v>Feb-2024</v>
      </c>
      <c r="M1632">
        <f>IF(LeadsData[[#This Row],[Stage Number]]&gt;=2,1,0)</f>
        <v>1</v>
      </c>
      <c r="N1632" s="2">
        <f>IF(LeadsData[[#This Row],[Stage Number]]&gt;=3,1,0)</f>
        <v>1</v>
      </c>
      <c r="O1632" s="2">
        <f>IF(LeadsData[[#This Row],[Stage Number]]&gt;=4,1,0)</f>
        <v>0</v>
      </c>
    </row>
    <row r="1633" spans="1:15" x14ac:dyDescent="0.25">
      <c r="A1633" t="s">
        <v>1673</v>
      </c>
      <c r="B1633" s="1">
        <v>45560</v>
      </c>
      <c r="C1633" t="s">
        <v>25</v>
      </c>
      <c r="D1633" t="s">
        <v>26</v>
      </c>
      <c r="E1633" t="s">
        <v>21</v>
      </c>
      <c r="F1633" t="s">
        <v>28</v>
      </c>
      <c r="G1633" t="s">
        <v>29</v>
      </c>
      <c r="K1633" cm="1">
        <f t="array" ref="K1633">_xlfn.SWITCH(LeadsData[[#This Row],[Funnel Stage Reached]],"Lead",1,"MQL",2,"SQL",3,"Customer",4)</f>
        <v>3</v>
      </c>
      <c r="L1633" t="str">
        <f>TEXT(LeadsData[[#This Row],[Signup Date]],"mmm-yyyy")</f>
        <v>Sep-2024</v>
      </c>
      <c r="M1633">
        <f>IF(LeadsData[[#This Row],[Stage Number]]&gt;=2,1,0)</f>
        <v>1</v>
      </c>
      <c r="N1633" s="2">
        <f>IF(LeadsData[[#This Row],[Stage Number]]&gt;=3,1,0)</f>
        <v>1</v>
      </c>
      <c r="O1633" s="2">
        <f>IF(LeadsData[[#This Row],[Stage Number]]&gt;=4,1,0)</f>
        <v>0</v>
      </c>
    </row>
    <row r="1634" spans="1:15" x14ac:dyDescent="0.25">
      <c r="A1634" t="s">
        <v>1674</v>
      </c>
      <c r="B1634" s="1">
        <v>45619</v>
      </c>
      <c r="C1634" t="s">
        <v>17</v>
      </c>
      <c r="D1634" t="s">
        <v>53</v>
      </c>
      <c r="E1634" t="s">
        <v>21</v>
      </c>
      <c r="F1634" t="s">
        <v>22</v>
      </c>
      <c r="G1634" t="s">
        <v>15</v>
      </c>
      <c r="K1634" cm="1">
        <f t="array" ref="K1634">_xlfn.SWITCH(LeadsData[[#This Row],[Funnel Stage Reached]],"Lead",1,"MQL",2,"SQL",3,"Customer",4)</f>
        <v>1</v>
      </c>
      <c r="L1634" t="str">
        <f>TEXT(LeadsData[[#This Row],[Signup Date]],"mmm-yyyy")</f>
        <v>Nov-2024</v>
      </c>
      <c r="M1634">
        <f>IF(LeadsData[[#This Row],[Stage Number]]&gt;=2,1,0)</f>
        <v>0</v>
      </c>
      <c r="N1634" s="2">
        <f>IF(LeadsData[[#This Row],[Stage Number]]&gt;=3,1,0)</f>
        <v>0</v>
      </c>
      <c r="O1634" s="2">
        <f>IF(LeadsData[[#This Row],[Stage Number]]&gt;=4,1,0)</f>
        <v>0</v>
      </c>
    </row>
    <row r="1635" spans="1:15" x14ac:dyDescent="0.25">
      <c r="A1635" t="s">
        <v>1675</v>
      </c>
      <c r="B1635" s="1">
        <v>45512</v>
      </c>
      <c r="C1635" t="s">
        <v>31</v>
      </c>
      <c r="D1635" t="s">
        <v>32</v>
      </c>
      <c r="E1635" t="s">
        <v>21</v>
      </c>
      <c r="F1635" t="s">
        <v>22</v>
      </c>
      <c r="G1635" t="s">
        <v>42</v>
      </c>
      <c r="H1635">
        <v>33</v>
      </c>
      <c r="I1635" t="s">
        <v>43</v>
      </c>
      <c r="J1635">
        <v>1074.9100000000001</v>
      </c>
      <c r="K1635" cm="1">
        <f t="array" ref="K1635">_xlfn.SWITCH(LeadsData[[#This Row],[Funnel Stage Reached]],"Lead",1,"MQL",2,"SQL",3,"Customer",4)</f>
        <v>4</v>
      </c>
      <c r="L1635" t="str">
        <f>TEXT(LeadsData[[#This Row],[Signup Date]],"mmm-yyyy")</f>
        <v>Aug-2024</v>
      </c>
      <c r="M1635">
        <f>IF(LeadsData[[#This Row],[Stage Number]]&gt;=2,1,0)</f>
        <v>1</v>
      </c>
      <c r="N1635" s="2">
        <f>IF(LeadsData[[#This Row],[Stage Number]]&gt;=3,1,0)</f>
        <v>1</v>
      </c>
      <c r="O1635" s="2">
        <f>IF(LeadsData[[#This Row],[Stage Number]]&gt;=4,1,0)</f>
        <v>1</v>
      </c>
    </row>
    <row r="1636" spans="1:15" x14ac:dyDescent="0.25">
      <c r="A1636" t="s">
        <v>1676</v>
      </c>
      <c r="B1636" s="1">
        <v>45628</v>
      </c>
      <c r="C1636" t="s">
        <v>11</v>
      </c>
      <c r="D1636" t="s">
        <v>79</v>
      </c>
      <c r="E1636" t="s">
        <v>21</v>
      </c>
      <c r="F1636" t="s">
        <v>19</v>
      </c>
      <c r="G1636" t="s">
        <v>42</v>
      </c>
      <c r="H1636">
        <v>74</v>
      </c>
      <c r="I1636" t="s">
        <v>43</v>
      </c>
      <c r="J1636">
        <v>944.49</v>
      </c>
      <c r="K1636" cm="1">
        <f t="array" ref="K1636">_xlfn.SWITCH(LeadsData[[#This Row],[Funnel Stage Reached]],"Lead",1,"MQL",2,"SQL",3,"Customer",4)</f>
        <v>4</v>
      </c>
      <c r="L1636" t="str">
        <f>TEXT(LeadsData[[#This Row],[Signup Date]],"mmm-yyyy")</f>
        <v>Dec-2024</v>
      </c>
      <c r="M1636">
        <f>IF(LeadsData[[#This Row],[Stage Number]]&gt;=2,1,0)</f>
        <v>1</v>
      </c>
      <c r="N1636" s="2">
        <f>IF(LeadsData[[#This Row],[Stage Number]]&gt;=3,1,0)</f>
        <v>1</v>
      </c>
      <c r="O1636" s="2">
        <f>IF(LeadsData[[#This Row],[Stage Number]]&gt;=4,1,0)</f>
        <v>1</v>
      </c>
    </row>
    <row r="1637" spans="1:15" x14ac:dyDescent="0.25">
      <c r="A1637" t="s">
        <v>1677</v>
      </c>
      <c r="B1637" s="1">
        <v>45557</v>
      </c>
      <c r="C1637" t="s">
        <v>25</v>
      </c>
      <c r="D1637" t="s">
        <v>26</v>
      </c>
      <c r="E1637" t="s">
        <v>21</v>
      </c>
      <c r="F1637" t="s">
        <v>19</v>
      </c>
      <c r="G1637" t="s">
        <v>15</v>
      </c>
      <c r="K1637" cm="1">
        <f t="array" ref="K1637">_xlfn.SWITCH(LeadsData[[#This Row],[Funnel Stage Reached]],"Lead",1,"MQL",2,"SQL",3,"Customer",4)</f>
        <v>1</v>
      </c>
      <c r="L1637" t="str">
        <f>TEXT(LeadsData[[#This Row],[Signup Date]],"mmm-yyyy")</f>
        <v>Sep-2024</v>
      </c>
      <c r="M1637">
        <f>IF(LeadsData[[#This Row],[Stage Number]]&gt;=2,1,0)</f>
        <v>0</v>
      </c>
      <c r="N1637" s="2">
        <f>IF(LeadsData[[#This Row],[Stage Number]]&gt;=3,1,0)</f>
        <v>0</v>
      </c>
      <c r="O1637" s="2">
        <f>IF(LeadsData[[#This Row],[Stage Number]]&gt;=4,1,0)</f>
        <v>0</v>
      </c>
    </row>
    <row r="1638" spans="1:15" x14ac:dyDescent="0.25">
      <c r="A1638" t="s">
        <v>1678</v>
      </c>
      <c r="B1638" s="1">
        <v>45548</v>
      </c>
      <c r="C1638" t="s">
        <v>36</v>
      </c>
      <c r="D1638" t="s">
        <v>37</v>
      </c>
      <c r="E1638" t="s">
        <v>21</v>
      </c>
      <c r="F1638" t="s">
        <v>19</v>
      </c>
      <c r="G1638" t="s">
        <v>42</v>
      </c>
      <c r="H1638">
        <v>25</v>
      </c>
      <c r="I1638" t="s">
        <v>87</v>
      </c>
      <c r="J1638">
        <v>1786.85</v>
      </c>
      <c r="K1638" cm="1">
        <f t="array" ref="K1638">_xlfn.SWITCH(LeadsData[[#This Row],[Funnel Stage Reached]],"Lead",1,"MQL",2,"SQL",3,"Customer",4)</f>
        <v>4</v>
      </c>
      <c r="L1638" t="str">
        <f>TEXT(LeadsData[[#This Row],[Signup Date]],"mmm-yyyy")</f>
        <v>Sep-2024</v>
      </c>
      <c r="M1638">
        <f>IF(LeadsData[[#This Row],[Stage Number]]&gt;=2,1,0)</f>
        <v>1</v>
      </c>
      <c r="N1638" s="2">
        <f>IF(LeadsData[[#This Row],[Stage Number]]&gt;=3,1,0)</f>
        <v>1</v>
      </c>
      <c r="O1638" s="2">
        <f>IF(LeadsData[[#This Row],[Stage Number]]&gt;=4,1,0)</f>
        <v>1</v>
      </c>
    </row>
    <row r="1639" spans="1:15" x14ac:dyDescent="0.25">
      <c r="A1639" t="s">
        <v>1679</v>
      </c>
      <c r="B1639" s="1">
        <v>45334</v>
      </c>
      <c r="C1639" t="s">
        <v>31</v>
      </c>
      <c r="D1639" t="s">
        <v>32</v>
      </c>
      <c r="E1639" t="s">
        <v>21</v>
      </c>
      <c r="F1639" t="s">
        <v>22</v>
      </c>
      <c r="G1639" t="s">
        <v>15</v>
      </c>
      <c r="K1639" cm="1">
        <f t="array" ref="K1639">_xlfn.SWITCH(LeadsData[[#This Row],[Funnel Stage Reached]],"Lead",1,"MQL",2,"SQL",3,"Customer",4)</f>
        <v>1</v>
      </c>
      <c r="L1639" t="str">
        <f>TEXT(LeadsData[[#This Row],[Signup Date]],"mmm-yyyy")</f>
        <v>Feb-2024</v>
      </c>
      <c r="M1639">
        <f>IF(LeadsData[[#This Row],[Stage Number]]&gt;=2,1,0)</f>
        <v>0</v>
      </c>
      <c r="N1639" s="2">
        <f>IF(LeadsData[[#This Row],[Stage Number]]&gt;=3,1,0)</f>
        <v>0</v>
      </c>
      <c r="O1639" s="2">
        <f>IF(LeadsData[[#This Row],[Stage Number]]&gt;=4,1,0)</f>
        <v>0</v>
      </c>
    </row>
    <row r="1640" spans="1:15" x14ac:dyDescent="0.25">
      <c r="A1640" t="s">
        <v>1680</v>
      </c>
      <c r="B1640" s="1">
        <v>45440</v>
      </c>
      <c r="C1640" t="s">
        <v>46</v>
      </c>
      <c r="D1640" t="s">
        <v>56</v>
      </c>
      <c r="E1640" t="s">
        <v>13</v>
      </c>
      <c r="F1640" t="s">
        <v>14</v>
      </c>
      <c r="G1640" t="s">
        <v>15</v>
      </c>
      <c r="K1640" cm="1">
        <f t="array" ref="K1640">_xlfn.SWITCH(LeadsData[[#This Row],[Funnel Stage Reached]],"Lead",1,"MQL",2,"SQL",3,"Customer",4)</f>
        <v>1</v>
      </c>
      <c r="L1640" t="str">
        <f>TEXT(LeadsData[[#This Row],[Signup Date]],"mmm-yyyy")</f>
        <v>May-2024</v>
      </c>
      <c r="M1640">
        <f>IF(LeadsData[[#This Row],[Stage Number]]&gt;=2,1,0)</f>
        <v>0</v>
      </c>
      <c r="N1640" s="2">
        <f>IF(LeadsData[[#This Row],[Stage Number]]&gt;=3,1,0)</f>
        <v>0</v>
      </c>
      <c r="O1640" s="2">
        <f>IF(LeadsData[[#This Row],[Stage Number]]&gt;=4,1,0)</f>
        <v>0</v>
      </c>
    </row>
    <row r="1641" spans="1:15" x14ac:dyDescent="0.25">
      <c r="A1641" t="s">
        <v>1681</v>
      </c>
      <c r="B1641" s="1">
        <v>45520</v>
      </c>
      <c r="C1641" t="s">
        <v>31</v>
      </c>
      <c r="D1641" t="s">
        <v>34</v>
      </c>
      <c r="E1641" t="s">
        <v>13</v>
      </c>
      <c r="F1641" t="s">
        <v>19</v>
      </c>
      <c r="G1641" t="s">
        <v>42</v>
      </c>
      <c r="H1641">
        <v>47</v>
      </c>
      <c r="I1641" t="s">
        <v>87</v>
      </c>
      <c r="J1641">
        <v>1839.27</v>
      </c>
      <c r="K1641" cm="1">
        <f t="array" ref="K1641">_xlfn.SWITCH(LeadsData[[#This Row],[Funnel Stage Reached]],"Lead",1,"MQL",2,"SQL",3,"Customer",4)</f>
        <v>4</v>
      </c>
      <c r="L1641" t="str">
        <f>TEXT(LeadsData[[#This Row],[Signup Date]],"mmm-yyyy")</f>
        <v>Aug-2024</v>
      </c>
      <c r="M1641">
        <f>IF(LeadsData[[#This Row],[Stage Number]]&gt;=2,1,0)</f>
        <v>1</v>
      </c>
      <c r="N1641" s="2">
        <f>IF(LeadsData[[#This Row],[Stage Number]]&gt;=3,1,0)</f>
        <v>1</v>
      </c>
      <c r="O1641" s="2">
        <f>IF(LeadsData[[#This Row],[Stage Number]]&gt;=4,1,0)</f>
        <v>1</v>
      </c>
    </row>
    <row r="1642" spans="1:15" x14ac:dyDescent="0.25">
      <c r="A1642" t="s">
        <v>1682</v>
      </c>
      <c r="B1642" s="1">
        <v>45555</v>
      </c>
      <c r="C1642" t="s">
        <v>17</v>
      </c>
      <c r="D1642" t="s">
        <v>18</v>
      </c>
      <c r="E1642" t="s">
        <v>21</v>
      </c>
      <c r="F1642" t="s">
        <v>14</v>
      </c>
      <c r="G1642" t="s">
        <v>29</v>
      </c>
      <c r="K1642" cm="1">
        <f t="array" ref="K1642">_xlfn.SWITCH(LeadsData[[#This Row],[Funnel Stage Reached]],"Lead",1,"MQL",2,"SQL",3,"Customer",4)</f>
        <v>3</v>
      </c>
      <c r="L1642" t="str">
        <f>TEXT(LeadsData[[#This Row],[Signup Date]],"mmm-yyyy")</f>
        <v>Sep-2024</v>
      </c>
      <c r="M1642">
        <f>IF(LeadsData[[#This Row],[Stage Number]]&gt;=2,1,0)</f>
        <v>1</v>
      </c>
      <c r="N1642" s="2">
        <f>IF(LeadsData[[#This Row],[Stage Number]]&gt;=3,1,0)</f>
        <v>1</v>
      </c>
      <c r="O1642" s="2">
        <f>IF(LeadsData[[#This Row],[Stage Number]]&gt;=4,1,0)</f>
        <v>0</v>
      </c>
    </row>
    <row r="1643" spans="1:15" x14ac:dyDescent="0.25">
      <c r="A1643" t="s">
        <v>1683</v>
      </c>
      <c r="B1643" s="1">
        <v>45361</v>
      </c>
      <c r="C1643" t="s">
        <v>31</v>
      </c>
      <c r="D1643" t="s">
        <v>34</v>
      </c>
      <c r="E1643" t="s">
        <v>13</v>
      </c>
      <c r="F1643" t="s">
        <v>19</v>
      </c>
      <c r="G1643" t="s">
        <v>15</v>
      </c>
      <c r="K1643" cm="1">
        <f t="array" ref="K1643">_xlfn.SWITCH(LeadsData[[#This Row],[Funnel Stage Reached]],"Lead",1,"MQL",2,"SQL",3,"Customer",4)</f>
        <v>1</v>
      </c>
      <c r="L1643" t="str">
        <f>TEXT(LeadsData[[#This Row],[Signup Date]],"mmm-yyyy")</f>
        <v>Mar-2024</v>
      </c>
      <c r="M1643">
        <f>IF(LeadsData[[#This Row],[Stage Number]]&gt;=2,1,0)</f>
        <v>0</v>
      </c>
      <c r="N1643" s="2">
        <f>IF(LeadsData[[#This Row],[Stage Number]]&gt;=3,1,0)</f>
        <v>0</v>
      </c>
      <c r="O1643" s="2">
        <f>IF(LeadsData[[#This Row],[Stage Number]]&gt;=4,1,0)</f>
        <v>0</v>
      </c>
    </row>
    <row r="1644" spans="1:15" x14ac:dyDescent="0.25">
      <c r="A1644" t="s">
        <v>1684</v>
      </c>
      <c r="B1644" s="1">
        <v>45395</v>
      </c>
      <c r="C1644" t="s">
        <v>17</v>
      </c>
      <c r="D1644" t="s">
        <v>18</v>
      </c>
      <c r="E1644" t="s">
        <v>13</v>
      </c>
      <c r="F1644" t="s">
        <v>28</v>
      </c>
      <c r="G1644" t="s">
        <v>23</v>
      </c>
      <c r="K1644" cm="1">
        <f t="array" ref="K1644">_xlfn.SWITCH(LeadsData[[#This Row],[Funnel Stage Reached]],"Lead",1,"MQL",2,"SQL",3,"Customer",4)</f>
        <v>2</v>
      </c>
      <c r="L1644" t="str">
        <f>TEXT(LeadsData[[#This Row],[Signup Date]],"mmm-yyyy")</f>
        <v>Apr-2024</v>
      </c>
      <c r="M1644">
        <f>IF(LeadsData[[#This Row],[Stage Number]]&gt;=2,1,0)</f>
        <v>1</v>
      </c>
      <c r="N1644" s="2">
        <f>IF(LeadsData[[#This Row],[Stage Number]]&gt;=3,1,0)</f>
        <v>0</v>
      </c>
      <c r="O1644" s="2">
        <f>IF(LeadsData[[#This Row],[Stage Number]]&gt;=4,1,0)</f>
        <v>0</v>
      </c>
    </row>
    <row r="1645" spans="1:15" x14ac:dyDescent="0.25">
      <c r="A1645" t="s">
        <v>1685</v>
      </c>
      <c r="B1645" s="1">
        <v>45627</v>
      </c>
      <c r="C1645" t="s">
        <v>25</v>
      </c>
      <c r="D1645" t="s">
        <v>26</v>
      </c>
      <c r="E1645" t="s">
        <v>21</v>
      </c>
      <c r="F1645" t="s">
        <v>22</v>
      </c>
      <c r="G1645" t="s">
        <v>15</v>
      </c>
      <c r="K1645" cm="1">
        <f t="array" ref="K1645">_xlfn.SWITCH(LeadsData[[#This Row],[Funnel Stage Reached]],"Lead",1,"MQL",2,"SQL",3,"Customer",4)</f>
        <v>1</v>
      </c>
      <c r="L1645" t="str">
        <f>TEXT(LeadsData[[#This Row],[Signup Date]],"mmm-yyyy")</f>
        <v>Dec-2024</v>
      </c>
      <c r="M1645">
        <f>IF(LeadsData[[#This Row],[Stage Number]]&gt;=2,1,0)</f>
        <v>0</v>
      </c>
      <c r="N1645" s="2">
        <f>IF(LeadsData[[#This Row],[Stage Number]]&gt;=3,1,0)</f>
        <v>0</v>
      </c>
      <c r="O1645" s="2">
        <f>IF(LeadsData[[#This Row],[Stage Number]]&gt;=4,1,0)</f>
        <v>0</v>
      </c>
    </row>
    <row r="1646" spans="1:15" x14ac:dyDescent="0.25">
      <c r="A1646" t="s">
        <v>1686</v>
      </c>
      <c r="B1646" s="1">
        <v>45575</v>
      </c>
      <c r="C1646" t="s">
        <v>31</v>
      </c>
      <c r="D1646" t="s">
        <v>34</v>
      </c>
      <c r="E1646" t="s">
        <v>48</v>
      </c>
      <c r="F1646" t="s">
        <v>14</v>
      </c>
      <c r="G1646" t="s">
        <v>29</v>
      </c>
      <c r="K1646" cm="1">
        <f t="array" ref="K1646">_xlfn.SWITCH(LeadsData[[#This Row],[Funnel Stage Reached]],"Lead",1,"MQL",2,"SQL",3,"Customer",4)</f>
        <v>3</v>
      </c>
      <c r="L1646" t="str">
        <f>TEXT(LeadsData[[#This Row],[Signup Date]],"mmm-yyyy")</f>
        <v>Oct-2024</v>
      </c>
      <c r="M1646">
        <f>IF(LeadsData[[#This Row],[Stage Number]]&gt;=2,1,0)</f>
        <v>1</v>
      </c>
      <c r="N1646" s="2">
        <f>IF(LeadsData[[#This Row],[Stage Number]]&gt;=3,1,0)</f>
        <v>1</v>
      </c>
      <c r="O1646" s="2">
        <f>IF(LeadsData[[#This Row],[Stage Number]]&gt;=4,1,0)</f>
        <v>0</v>
      </c>
    </row>
    <row r="1647" spans="1:15" x14ac:dyDescent="0.25">
      <c r="A1647" t="s">
        <v>1687</v>
      </c>
      <c r="B1647" s="1">
        <v>45616</v>
      </c>
      <c r="C1647" t="s">
        <v>11</v>
      </c>
      <c r="D1647" t="s">
        <v>79</v>
      </c>
      <c r="E1647" t="s">
        <v>13</v>
      </c>
      <c r="F1647" t="s">
        <v>19</v>
      </c>
      <c r="G1647" t="s">
        <v>23</v>
      </c>
      <c r="K1647" cm="1">
        <f t="array" ref="K1647">_xlfn.SWITCH(LeadsData[[#This Row],[Funnel Stage Reached]],"Lead",1,"MQL",2,"SQL",3,"Customer",4)</f>
        <v>2</v>
      </c>
      <c r="L1647" t="str">
        <f>TEXT(LeadsData[[#This Row],[Signup Date]],"mmm-yyyy")</f>
        <v>Nov-2024</v>
      </c>
      <c r="M1647">
        <f>IF(LeadsData[[#This Row],[Stage Number]]&gt;=2,1,0)</f>
        <v>1</v>
      </c>
      <c r="N1647" s="2">
        <f>IF(LeadsData[[#This Row],[Stage Number]]&gt;=3,1,0)</f>
        <v>0</v>
      </c>
      <c r="O1647" s="2">
        <f>IF(LeadsData[[#This Row],[Stage Number]]&gt;=4,1,0)</f>
        <v>0</v>
      </c>
    </row>
    <row r="1648" spans="1:15" x14ac:dyDescent="0.25">
      <c r="A1648" t="s">
        <v>1688</v>
      </c>
      <c r="B1648" s="1">
        <v>45650</v>
      </c>
      <c r="C1648" t="s">
        <v>36</v>
      </c>
      <c r="D1648" t="s">
        <v>50</v>
      </c>
      <c r="E1648" t="s">
        <v>21</v>
      </c>
      <c r="F1648" t="s">
        <v>19</v>
      </c>
      <c r="G1648" t="s">
        <v>15</v>
      </c>
      <c r="K1648" cm="1">
        <f t="array" ref="K1648">_xlfn.SWITCH(LeadsData[[#This Row],[Funnel Stage Reached]],"Lead",1,"MQL",2,"SQL",3,"Customer",4)</f>
        <v>1</v>
      </c>
      <c r="L1648" t="str">
        <f>TEXT(LeadsData[[#This Row],[Signup Date]],"mmm-yyyy")</f>
        <v>Dec-2024</v>
      </c>
      <c r="M1648">
        <f>IF(LeadsData[[#This Row],[Stage Number]]&gt;=2,1,0)</f>
        <v>0</v>
      </c>
      <c r="N1648" s="2">
        <f>IF(LeadsData[[#This Row],[Stage Number]]&gt;=3,1,0)</f>
        <v>0</v>
      </c>
      <c r="O1648" s="2">
        <f>IF(LeadsData[[#This Row],[Stage Number]]&gt;=4,1,0)</f>
        <v>0</v>
      </c>
    </row>
    <row r="1649" spans="1:15" x14ac:dyDescent="0.25">
      <c r="A1649" t="s">
        <v>1689</v>
      </c>
      <c r="B1649" s="1">
        <v>45527</v>
      </c>
      <c r="C1649" t="s">
        <v>31</v>
      </c>
      <c r="D1649" t="s">
        <v>32</v>
      </c>
      <c r="E1649" t="s">
        <v>13</v>
      </c>
      <c r="F1649" t="s">
        <v>22</v>
      </c>
      <c r="G1649" t="s">
        <v>23</v>
      </c>
      <c r="K1649" cm="1">
        <f t="array" ref="K1649">_xlfn.SWITCH(LeadsData[[#This Row],[Funnel Stage Reached]],"Lead",1,"MQL",2,"SQL",3,"Customer",4)</f>
        <v>2</v>
      </c>
      <c r="L1649" t="str">
        <f>TEXT(LeadsData[[#This Row],[Signup Date]],"mmm-yyyy")</f>
        <v>Aug-2024</v>
      </c>
      <c r="M1649">
        <f>IF(LeadsData[[#This Row],[Stage Number]]&gt;=2,1,0)</f>
        <v>1</v>
      </c>
      <c r="N1649" s="2">
        <f>IF(LeadsData[[#This Row],[Stage Number]]&gt;=3,1,0)</f>
        <v>0</v>
      </c>
      <c r="O1649" s="2">
        <f>IF(LeadsData[[#This Row],[Stage Number]]&gt;=4,1,0)</f>
        <v>0</v>
      </c>
    </row>
    <row r="1650" spans="1:15" x14ac:dyDescent="0.25">
      <c r="A1650" t="s">
        <v>1690</v>
      </c>
      <c r="B1650" s="1">
        <v>45586</v>
      </c>
      <c r="C1650" t="s">
        <v>31</v>
      </c>
      <c r="D1650" t="s">
        <v>34</v>
      </c>
      <c r="E1650" t="s">
        <v>21</v>
      </c>
      <c r="F1650" t="s">
        <v>19</v>
      </c>
      <c r="G1650" t="s">
        <v>23</v>
      </c>
      <c r="K1650" cm="1">
        <f t="array" ref="K1650">_xlfn.SWITCH(LeadsData[[#This Row],[Funnel Stage Reached]],"Lead",1,"MQL",2,"SQL",3,"Customer",4)</f>
        <v>2</v>
      </c>
      <c r="L1650" t="str">
        <f>TEXT(LeadsData[[#This Row],[Signup Date]],"mmm-yyyy")</f>
        <v>Oct-2024</v>
      </c>
      <c r="M1650">
        <f>IF(LeadsData[[#This Row],[Stage Number]]&gt;=2,1,0)</f>
        <v>1</v>
      </c>
      <c r="N1650" s="2">
        <f>IF(LeadsData[[#This Row],[Stage Number]]&gt;=3,1,0)</f>
        <v>0</v>
      </c>
      <c r="O1650" s="2">
        <f>IF(LeadsData[[#This Row],[Stage Number]]&gt;=4,1,0)</f>
        <v>0</v>
      </c>
    </row>
    <row r="1651" spans="1:15" x14ac:dyDescent="0.25">
      <c r="A1651" t="s">
        <v>1691</v>
      </c>
      <c r="B1651" s="1">
        <v>45582</v>
      </c>
      <c r="C1651" t="s">
        <v>11</v>
      </c>
      <c r="D1651" t="s">
        <v>68</v>
      </c>
      <c r="E1651" t="s">
        <v>21</v>
      </c>
      <c r="F1651" t="s">
        <v>22</v>
      </c>
      <c r="G1651" t="s">
        <v>29</v>
      </c>
      <c r="K1651" cm="1">
        <f t="array" ref="K1651">_xlfn.SWITCH(LeadsData[[#This Row],[Funnel Stage Reached]],"Lead",1,"MQL",2,"SQL",3,"Customer",4)</f>
        <v>3</v>
      </c>
      <c r="L1651" t="str">
        <f>TEXT(LeadsData[[#This Row],[Signup Date]],"mmm-yyyy")</f>
        <v>Oct-2024</v>
      </c>
      <c r="M1651">
        <f>IF(LeadsData[[#This Row],[Stage Number]]&gt;=2,1,0)</f>
        <v>1</v>
      </c>
      <c r="N1651" s="2">
        <f>IF(LeadsData[[#This Row],[Stage Number]]&gt;=3,1,0)</f>
        <v>1</v>
      </c>
      <c r="O1651" s="2">
        <f>IF(LeadsData[[#This Row],[Stage Number]]&gt;=4,1,0)</f>
        <v>0</v>
      </c>
    </row>
    <row r="1652" spans="1:15" x14ac:dyDescent="0.25">
      <c r="A1652" t="s">
        <v>1692</v>
      </c>
      <c r="B1652" s="1">
        <v>45418</v>
      </c>
      <c r="C1652" t="s">
        <v>36</v>
      </c>
      <c r="D1652" t="s">
        <v>37</v>
      </c>
      <c r="E1652" t="s">
        <v>13</v>
      </c>
      <c r="F1652" t="s">
        <v>19</v>
      </c>
      <c r="G1652" t="s">
        <v>15</v>
      </c>
      <c r="K1652" cm="1">
        <f t="array" ref="K1652">_xlfn.SWITCH(LeadsData[[#This Row],[Funnel Stage Reached]],"Lead",1,"MQL",2,"SQL",3,"Customer",4)</f>
        <v>1</v>
      </c>
      <c r="L1652" t="str">
        <f>TEXT(LeadsData[[#This Row],[Signup Date]],"mmm-yyyy")</f>
        <v>May-2024</v>
      </c>
      <c r="M1652">
        <f>IF(LeadsData[[#This Row],[Stage Number]]&gt;=2,1,0)</f>
        <v>0</v>
      </c>
      <c r="N1652" s="2">
        <f>IF(LeadsData[[#This Row],[Stage Number]]&gt;=3,1,0)</f>
        <v>0</v>
      </c>
      <c r="O1652" s="2">
        <f>IF(LeadsData[[#This Row],[Stage Number]]&gt;=4,1,0)</f>
        <v>0</v>
      </c>
    </row>
    <row r="1653" spans="1:15" x14ac:dyDescent="0.25">
      <c r="A1653" t="s">
        <v>1693</v>
      </c>
      <c r="B1653" s="1">
        <v>45296</v>
      </c>
      <c r="C1653" t="s">
        <v>25</v>
      </c>
      <c r="D1653" t="s">
        <v>26</v>
      </c>
      <c r="E1653" t="s">
        <v>21</v>
      </c>
      <c r="F1653" t="s">
        <v>19</v>
      </c>
      <c r="G1653" t="s">
        <v>15</v>
      </c>
      <c r="K1653" cm="1">
        <f t="array" ref="K1653">_xlfn.SWITCH(LeadsData[[#This Row],[Funnel Stage Reached]],"Lead",1,"MQL",2,"SQL",3,"Customer",4)</f>
        <v>1</v>
      </c>
      <c r="L1653" t="str">
        <f>TEXT(LeadsData[[#This Row],[Signup Date]],"mmm-yyyy")</f>
        <v>Jan-2024</v>
      </c>
      <c r="M1653">
        <f>IF(LeadsData[[#This Row],[Stage Number]]&gt;=2,1,0)</f>
        <v>0</v>
      </c>
      <c r="N1653" s="2">
        <f>IF(LeadsData[[#This Row],[Stage Number]]&gt;=3,1,0)</f>
        <v>0</v>
      </c>
      <c r="O1653" s="2">
        <f>IF(LeadsData[[#This Row],[Stage Number]]&gt;=4,1,0)</f>
        <v>0</v>
      </c>
    </row>
    <row r="1654" spans="1:15" x14ac:dyDescent="0.25">
      <c r="A1654" t="s">
        <v>1694</v>
      </c>
      <c r="B1654" s="1">
        <v>45520</v>
      </c>
      <c r="C1654" t="s">
        <v>31</v>
      </c>
      <c r="D1654" t="s">
        <v>34</v>
      </c>
      <c r="E1654" t="s">
        <v>13</v>
      </c>
      <c r="F1654" t="s">
        <v>28</v>
      </c>
      <c r="G1654" t="s">
        <v>23</v>
      </c>
      <c r="K1654" cm="1">
        <f t="array" ref="K1654">_xlfn.SWITCH(LeadsData[[#This Row],[Funnel Stage Reached]],"Lead",1,"MQL",2,"SQL",3,"Customer",4)</f>
        <v>2</v>
      </c>
      <c r="L1654" t="str">
        <f>TEXT(LeadsData[[#This Row],[Signup Date]],"mmm-yyyy")</f>
        <v>Aug-2024</v>
      </c>
      <c r="M1654">
        <f>IF(LeadsData[[#This Row],[Stage Number]]&gt;=2,1,0)</f>
        <v>1</v>
      </c>
      <c r="N1654" s="2">
        <f>IF(LeadsData[[#This Row],[Stage Number]]&gt;=3,1,0)</f>
        <v>0</v>
      </c>
      <c r="O1654" s="2">
        <f>IF(LeadsData[[#This Row],[Stage Number]]&gt;=4,1,0)</f>
        <v>0</v>
      </c>
    </row>
    <row r="1655" spans="1:15" x14ac:dyDescent="0.25">
      <c r="A1655" t="s">
        <v>1695</v>
      </c>
      <c r="B1655" s="1">
        <v>45513</v>
      </c>
      <c r="C1655" t="s">
        <v>31</v>
      </c>
      <c r="D1655" t="s">
        <v>32</v>
      </c>
      <c r="E1655" t="s">
        <v>13</v>
      </c>
      <c r="F1655" t="s">
        <v>14</v>
      </c>
      <c r="G1655" t="s">
        <v>23</v>
      </c>
      <c r="K1655" cm="1">
        <f t="array" ref="K1655">_xlfn.SWITCH(LeadsData[[#This Row],[Funnel Stage Reached]],"Lead",1,"MQL",2,"SQL",3,"Customer",4)</f>
        <v>2</v>
      </c>
      <c r="L1655" t="str">
        <f>TEXT(LeadsData[[#This Row],[Signup Date]],"mmm-yyyy")</f>
        <v>Aug-2024</v>
      </c>
      <c r="M1655">
        <f>IF(LeadsData[[#This Row],[Stage Number]]&gt;=2,1,0)</f>
        <v>1</v>
      </c>
      <c r="N1655" s="2">
        <f>IF(LeadsData[[#This Row],[Stage Number]]&gt;=3,1,0)</f>
        <v>0</v>
      </c>
      <c r="O1655" s="2">
        <f>IF(LeadsData[[#This Row],[Stage Number]]&gt;=4,1,0)</f>
        <v>0</v>
      </c>
    </row>
    <row r="1656" spans="1:15" x14ac:dyDescent="0.25">
      <c r="A1656" t="s">
        <v>1696</v>
      </c>
      <c r="B1656" s="1">
        <v>45573</v>
      </c>
      <c r="C1656" t="s">
        <v>11</v>
      </c>
      <c r="D1656" t="s">
        <v>79</v>
      </c>
      <c r="E1656" t="s">
        <v>13</v>
      </c>
      <c r="F1656" t="s">
        <v>28</v>
      </c>
      <c r="G1656" t="s">
        <v>23</v>
      </c>
      <c r="K1656" cm="1">
        <f t="array" ref="K1656">_xlfn.SWITCH(LeadsData[[#This Row],[Funnel Stage Reached]],"Lead",1,"MQL",2,"SQL",3,"Customer",4)</f>
        <v>2</v>
      </c>
      <c r="L1656" t="str">
        <f>TEXT(LeadsData[[#This Row],[Signup Date]],"mmm-yyyy")</f>
        <v>Oct-2024</v>
      </c>
      <c r="M1656">
        <f>IF(LeadsData[[#This Row],[Stage Number]]&gt;=2,1,0)</f>
        <v>1</v>
      </c>
      <c r="N1656" s="2">
        <f>IF(LeadsData[[#This Row],[Stage Number]]&gt;=3,1,0)</f>
        <v>0</v>
      </c>
      <c r="O1656" s="2">
        <f>IF(LeadsData[[#This Row],[Stage Number]]&gt;=4,1,0)</f>
        <v>0</v>
      </c>
    </row>
    <row r="1657" spans="1:15" x14ac:dyDescent="0.25">
      <c r="A1657" t="s">
        <v>1697</v>
      </c>
      <c r="B1657" s="1">
        <v>45580</v>
      </c>
      <c r="C1657" t="s">
        <v>31</v>
      </c>
      <c r="D1657" t="s">
        <v>32</v>
      </c>
      <c r="E1657" t="s">
        <v>13</v>
      </c>
      <c r="F1657" t="s">
        <v>14</v>
      </c>
      <c r="G1657" t="s">
        <v>42</v>
      </c>
      <c r="H1657">
        <v>20</v>
      </c>
      <c r="I1657" t="s">
        <v>43</v>
      </c>
      <c r="J1657">
        <v>1307.24</v>
      </c>
      <c r="K1657" cm="1">
        <f t="array" ref="K1657">_xlfn.SWITCH(LeadsData[[#This Row],[Funnel Stage Reached]],"Lead",1,"MQL",2,"SQL",3,"Customer",4)</f>
        <v>4</v>
      </c>
      <c r="L1657" t="str">
        <f>TEXT(LeadsData[[#This Row],[Signup Date]],"mmm-yyyy")</f>
        <v>Oct-2024</v>
      </c>
      <c r="M1657">
        <f>IF(LeadsData[[#This Row],[Stage Number]]&gt;=2,1,0)</f>
        <v>1</v>
      </c>
      <c r="N1657" s="2">
        <f>IF(LeadsData[[#This Row],[Stage Number]]&gt;=3,1,0)</f>
        <v>1</v>
      </c>
      <c r="O1657" s="2">
        <f>IF(LeadsData[[#This Row],[Stage Number]]&gt;=4,1,0)</f>
        <v>1</v>
      </c>
    </row>
    <row r="1658" spans="1:15" x14ac:dyDescent="0.25">
      <c r="A1658" t="s">
        <v>1698</v>
      </c>
      <c r="B1658" s="1">
        <v>45632</v>
      </c>
      <c r="C1658" t="s">
        <v>11</v>
      </c>
      <c r="D1658" t="s">
        <v>12</v>
      </c>
      <c r="E1658" t="s">
        <v>21</v>
      </c>
      <c r="F1658" t="s">
        <v>19</v>
      </c>
      <c r="G1658" t="s">
        <v>23</v>
      </c>
      <c r="K1658" cm="1">
        <f t="array" ref="K1658">_xlfn.SWITCH(LeadsData[[#This Row],[Funnel Stage Reached]],"Lead",1,"MQL",2,"SQL",3,"Customer",4)</f>
        <v>2</v>
      </c>
      <c r="L1658" t="str">
        <f>TEXT(LeadsData[[#This Row],[Signup Date]],"mmm-yyyy")</f>
        <v>Dec-2024</v>
      </c>
      <c r="M1658">
        <f>IF(LeadsData[[#This Row],[Stage Number]]&gt;=2,1,0)</f>
        <v>1</v>
      </c>
      <c r="N1658" s="2">
        <f>IF(LeadsData[[#This Row],[Stage Number]]&gt;=3,1,0)</f>
        <v>0</v>
      </c>
      <c r="O1658" s="2">
        <f>IF(LeadsData[[#This Row],[Stage Number]]&gt;=4,1,0)</f>
        <v>0</v>
      </c>
    </row>
    <row r="1659" spans="1:15" x14ac:dyDescent="0.25">
      <c r="A1659" t="s">
        <v>1699</v>
      </c>
      <c r="B1659" s="1">
        <v>45514</v>
      </c>
      <c r="C1659" t="s">
        <v>46</v>
      </c>
      <c r="D1659" t="s">
        <v>56</v>
      </c>
      <c r="E1659" t="s">
        <v>13</v>
      </c>
      <c r="F1659" t="s">
        <v>22</v>
      </c>
      <c r="G1659" t="s">
        <v>15</v>
      </c>
      <c r="K1659" cm="1">
        <f t="array" ref="K1659">_xlfn.SWITCH(LeadsData[[#This Row],[Funnel Stage Reached]],"Lead",1,"MQL",2,"SQL",3,"Customer",4)</f>
        <v>1</v>
      </c>
      <c r="L1659" t="str">
        <f>TEXT(LeadsData[[#This Row],[Signup Date]],"mmm-yyyy")</f>
        <v>Aug-2024</v>
      </c>
      <c r="M1659">
        <f>IF(LeadsData[[#This Row],[Stage Number]]&gt;=2,1,0)</f>
        <v>0</v>
      </c>
      <c r="N1659" s="2">
        <f>IF(LeadsData[[#This Row],[Stage Number]]&gt;=3,1,0)</f>
        <v>0</v>
      </c>
      <c r="O1659" s="2">
        <f>IF(LeadsData[[#This Row],[Stage Number]]&gt;=4,1,0)</f>
        <v>0</v>
      </c>
    </row>
    <row r="1660" spans="1:15" x14ac:dyDescent="0.25">
      <c r="A1660" t="s">
        <v>1700</v>
      </c>
      <c r="B1660" s="1">
        <v>45331</v>
      </c>
      <c r="C1660" t="s">
        <v>25</v>
      </c>
      <c r="D1660" t="s">
        <v>26</v>
      </c>
      <c r="E1660" t="s">
        <v>13</v>
      </c>
      <c r="F1660" t="s">
        <v>14</v>
      </c>
      <c r="G1660" t="s">
        <v>15</v>
      </c>
      <c r="K1660" cm="1">
        <f t="array" ref="K1660">_xlfn.SWITCH(LeadsData[[#This Row],[Funnel Stage Reached]],"Lead",1,"MQL",2,"SQL",3,"Customer",4)</f>
        <v>1</v>
      </c>
      <c r="L1660" t="str">
        <f>TEXT(LeadsData[[#This Row],[Signup Date]],"mmm-yyyy")</f>
        <v>Feb-2024</v>
      </c>
      <c r="M1660">
        <f>IF(LeadsData[[#This Row],[Stage Number]]&gt;=2,1,0)</f>
        <v>0</v>
      </c>
      <c r="N1660" s="2">
        <f>IF(LeadsData[[#This Row],[Stage Number]]&gt;=3,1,0)</f>
        <v>0</v>
      </c>
      <c r="O1660" s="2">
        <f>IF(LeadsData[[#This Row],[Stage Number]]&gt;=4,1,0)</f>
        <v>0</v>
      </c>
    </row>
    <row r="1661" spans="1:15" x14ac:dyDescent="0.25">
      <c r="A1661" t="s">
        <v>1701</v>
      </c>
      <c r="B1661" s="1">
        <v>45580</v>
      </c>
      <c r="C1661" t="s">
        <v>36</v>
      </c>
      <c r="D1661" t="s">
        <v>50</v>
      </c>
      <c r="E1661" t="s">
        <v>21</v>
      </c>
      <c r="F1661" t="s">
        <v>19</v>
      </c>
      <c r="G1661" t="s">
        <v>42</v>
      </c>
      <c r="H1661">
        <v>33</v>
      </c>
      <c r="I1661" t="s">
        <v>87</v>
      </c>
      <c r="J1661">
        <v>2230.75</v>
      </c>
      <c r="K1661" cm="1">
        <f t="array" ref="K1661">_xlfn.SWITCH(LeadsData[[#This Row],[Funnel Stage Reached]],"Lead",1,"MQL",2,"SQL",3,"Customer",4)</f>
        <v>4</v>
      </c>
      <c r="L1661" t="str">
        <f>TEXT(LeadsData[[#This Row],[Signup Date]],"mmm-yyyy")</f>
        <v>Oct-2024</v>
      </c>
      <c r="M1661">
        <f>IF(LeadsData[[#This Row],[Stage Number]]&gt;=2,1,0)</f>
        <v>1</v>
      </c>
      <c r="N1661" s="2">
        <f>IF(LeadsData[[#This Row],[Stage Number]]&gt;=3,1,0)</f>
        <v>1</v>
      </c>
      <c r="O1661" s="2">
        <f>IF(LeadsData[[#This Row],[Stage Number]]&gt;=4,1,0)</f>
        <v>1</v>
      </c>
    </row>
    <row r="1662" spans="1:15" x14ac:dyDescent="0.25">
      <c r="A1662" t="s">
        <v>1702</v>
      </c>
      <c r="B1662" s="1">
        <v>45385</v>
      </c>
      <c r="C1662" t="s">
        <v>36</v>
      </c>
      <c r="D1662" t="s">
        <v>50</v>
      </c>
      <c r="E1662" t="s">
        <v>21</v>
      </c>
      <c r="F1662" t="s">
        <v>19</v>
      </c>
      <c r="G1662" t="s">
        <v>15</v>
      </c>
      <c r="K1662" cm="1">
        <f t="array" ref="K1662">_xlfn.SWITCH(LeadsData[[#This Row],[Funnel Stage Reached]],"Lead",1,"MQL",2,"SQL",3,"Customer",4)</f>
        <v>1</v>
      </c>
      <c r="L1662" t="str">
        <f>TEXT(LeadsData[[#This Row],[Signup Date]],"mmm-yyyy")</f>
        <v>Apr-2024</v>
      </c>
      <c r="M1662">
        <f>IF(LeadsData[[#This Row],[Stage Number]]&gt;=2,1,0)</f>
        <v>0</v>
      </c>
      <c r="N1662" s="2">
        <f>IF(LeadsData[[#This Row],[Stage Number]]&gt;=3,1,0)</f>
        <v>0</v>
      </c>
      <c r="O1662" s="2">
        <f>IF(LeadsData[[#This Row],[Stage Number]]&gt;=4,1,0)</f>
        <v>0</v>
      </c>
    </row>
    <row r="1663" spans="1:15" x14ac:dyDescent="0.25">
      <c r="A1663" t="s">
        <v>1703</v>
      </c>
      <c r="B1663" s="1">
        <v>45312</v>
      </c>
      <c r="C1663" t="s">
        <v>31</v>
      </c>
      <c r="D1663" t="s">
        <v>34</v>
      </c>
      <c r="E1663" t="s">
        <v>21</v>
      </c>
      <c r="F1663" t="s">
        <v>22</v>
      </c>
      <c r="G1663" t="s">
        <v>15</v>
      </c>
      <c r="K1663" cm="1">
        <f t="array" ref="K1663">_xlfn.SWITCH(LeadsData[[#This Row],[Funnel Stage Reached]],"Lead",1,"MQL",2,"SQL",3,"Customer",4)</f>
        <v>1</v>
      </c>
      <c r="L1663" t="str">
        <f>TEXT(LeadsData[[#This Row],[Signup Date]],"mmm-yyyy")</f>
        <v>Jan-2024</v>
      </c>
      <c r="M1663">
        <f>IF(LeadsData[[#This Row],[Stage Number]]&gt;=2,1,0)</f>
        <v>0</v>
      </c>
      <c r="N1663" s="2">
        <f>IF(LeadsData[[#This Row],[Stage Number]]&gt;=3,1,0)</f>
        <v>0</v>
      </c>
      <c r="O1663" s="2">
        <f>IF(LeadsData[[#This Row],[Stage Number]]&gt;=4,1,0)</f>
        <v>0</v>
      </c>
    </row>
    <row r="1664" spans="1:15" x14ac:dyDescent="0.25">
      <c r="A1664" t="s">
        <v>1704</v>
      </c>
      <c r="B1664" s="1">
        <v>45371</v>
      </c>
      <c r="C1664" t="s">
        <v>31</v>
      </c>
      <c r="D1664" t="s">
        <v>32</v>
      </c>
      <c r="E1664" t="s">
        <v>13</v>
      </c>
      <c r="F1664" t="s">
        <v>22</v>
      </c>
      <c r="G1664" t="s">
        <v>23</v>
      </c>
      <c r="K1664" cm="1">
        <f t="array" ref="K1664">_xlfn.SWITCH(LeadsData[[#This Row],[Funnel Stage Reached]],"Lead",1,"MQL",2,"SQL",3,"Customer",4)</f>
        <v>2</v>
      </c>
      <c r="L1664" t="str">
        <f>TEXT(LeadsData[[#This Row],[Signup Date]],"mmm-yyyy")</f>
        <v>Mar-2024</v>
      </c>
      <c r="M1664">
        <f>IF(LeadsData[[#This Row],[Stage Number]]&gt;=2,1,0)</f>
        <v>1</v>
      </c>
      <c r="N1664" s="2">
        <f>IF(LeadsData[[#This Row],[Stage Number]]&gt;=3,1,0)</f>
        <v>0</v>
      </c>
      <c r="O1664" s="2">
        <f>IF(LeadsData[[#This Row],[Stage Number]]&gt;=4,1,0)</f>
        <v>0</v>
      </c>
    </row>
    <row r="1665" spans="1:15" x14ac:dyDescent="0.25">
      <c r="A1665" t="s">
        <v>1705</v>
      </c>
      <c r="B1665" s="1">
        <v>45436</v>
      </c>
      <c r="C1665" t="s">
        <v>36</v>
      </c>
      <c r="D1665" t="s">
        <v>37</v>
      </c>
      <c r="E1665" t="s">
        <v>13</v>
      </c>
      <c r="F1665" t="s">
        <v>19</v>
      </c>
      <c r="G1665" t="s">
        <v>23</v>
      </c>
      <c r="K1665" cm="1">
        <f t="array" ref="K1665">_xlfn.SWITCH(LeadsData[[#This Row],[Funnel Stage Reached]],"Lead",1,"MQL",2,"SQL",3,"Customer",4)</f>
        <v>2</v>
      </c>
      <c r="L1665" t="str">
        <f>TEXT(LeadsData[[#This Row],[Signup Date]],"mmm-yyyy")</f>
        <v>May-2024</v>
      </c>
      <c r="M1665">
        <f>IF(LeadsData[[#This Row],[Stage Number]]&gt;=2,1,0)</f>
        <v>1</v>
      </c>
      <c r="N1665" s="2">
        <f>IF(LeadsData[[#This Row],[Stage Number]]&gt;=3,1,0)</f>
        <v>0</v>
      </c>
      <c r="O1665" s="2">
        <f>IF(LeadsData[[#This Row],[Stage Number]]&gt;=4,1,0)</f>
        <v>0</v>
      </c>
    </row>
    <row r="1666" spans="1:15" x14ac:dyDescent="0.25">
      <c r="A1666" t="s">
        <v>1706</v>
      </c>
      <c r="B1666" s="1">
        <v>45571</v>
      </c>
      <c r="C1666" t="s">
        <v>25</v>
      </c>
      <c r="D1666" t="s">
        <v>26</v>
      </c>
      <c r="E1666" t="s">
        <v>13</v>
      </c>
      <c r="F1666" t="s">
        <v>14</v>
      </c>
      <c r="G1666" t="s">
        <v>15</v>
      </c>
      <c r="K1666" cm="1">
        <f t="array" ref="K1666">_xlfn.SWITCH(LeadsData[[#This Row],[Funnel Stage Reached]],"Lead",1,"MQL",2,"SQL",3,"Customer",4)</f>
        <v>1</v>
      </c>
      <c r="L1666" t="str">
        <f>TEXT(LeadsData[[#This Row],[Signup Date]],"mmm-yyyy")</f>
        <v>Oct-2024</v>
      </c>
      <c r="M1666">
        <f>IF(LeadsData[[#This Row],[Stage Number]]&gt;=2,1,0)</f>
        <v>0</v>
      </c>
      <c r="N1666" s="2">
        <f>IF(LeadsData[[#This Row],[Stage Number]]&gt;=3,1,0)</f>
        <v>0</v>
      </c>
      <c r="O1666" s="2">
        <f>IF(LeadsData[[#This Row],[Stage Number]]&gt;=4,1,0)</f>
        <v>0</v>
      </c>
    </row>
    <row r="1667" spans="1:15" x14ac:dyDescent="0.25">
      <c r="A1667" t="s">
        <v>1707</v>
      </c>
      <c r="B1667" s="1">
        <v>45464</v>
      </c>
      <c r="C1667" t="s">
        <v>17</v>
      </c>
      <c r="D1667" t="s">
        <v>18</v>
      </c>
      <c r="E1667" t="s">
        <v>13</v>
      </c>
      <c r="F1667" t="s">
        <v>19</v>
      </c>
      <c r="G1667" t="s">
        <v>15</v>
      </c>
      <c r="K1667" cm="1">
        <f t="array" ref="K1667">_xlfn.SWITCH(LeadsData[[#This Row],[Funnel Stage Reached]],"Lead",1,"MQL",2,"SQL",3,"Customer",4)</f>
        <v>1</v>
      </c>
      <c r="L1667" t="str">
        <f>TEXT(LeadsData[[#This Row],[Signup Date]],"mmm-yyyy")</f>
        <v>Jun-2024</v>
      </c>
      <c r="M1667">
        <f>IF(LeadsData[[#This Row],[Stage Number]]&gt;=2,1,0)</f>
        <v>0</v>
      </c>
      <c r="N1667" s="2">
        <f>IF(LeadsData[[#This Row],[Stage Number]]&gt;=3,1,0)</f>
        <v>0</v>
      </c>
      <c r="O1667" s="2">
        <f>IF(LeadsData[[#This Row],[Stage Number]]&gt;=4,1,0)</f>
        <v>0</v>
      </c>
    </row>
    <row r="1668" spans="1:15" x14ac:dyDescent="0.25">
      <c r="A1668" t="s">
        <v>1708</v>
      </c>
      <c r="B1668" s="1">
        <v>45461</v>
      </c>
      <c r="C1668" t="s">
        <v>31</v>
      </c>
      <c r="D1668" t="s">
        <v>32</v>
      </c>
      <c r="E1668" t="s">
        <v>13</v>
      </c>
      <c r="F1668" t="s">
        <v>19</v>
      </c>
      <c r="G1668" t="s">
        <v>23</v>
      </c>
      <c r="K1668" cm="1">
        <f t="array" ref="K1668">_xlfn.SWITCH(LeadsData[[#This Row],[Funnel Stage Reached]],"Lead",1,"MQL",2,"SQL",3,"Customer",4)</f>
        <v>2</v>
      </c>
      <c r="L1668" t="str">
        <f>TEXT(LeadsData[[#This Row],[Signup Date]],"mmm-yyyy")</f>
        <v>Jun-2024</v>
      </c>
      <c r="M1668">
        <f>IF(LeadsData[[#This Row],[Stage Number]]&gt;=2,1,0)</f>
        <v>1</v>
      </c>
      <c r="N1668" s="2">
        <f>IF(LeadsData[[#This Row],[Stage Number]]&gt;=3,1,0)</f>
        <v>0</v>
      </c>
      <c r="O1668" s="2">
        <f>IF(LeadsData[[#This Row],[Stage Number]]&gt;=4,1,0)</f>
        <v>0</v>
      </c>
    </row>
    <row r="1669" spans="1:15" x14ac:dyDescent="0.25">
      <c r="A1669" t="s">
        <v>1709</v>
      </c>
      <c r="B1669" s="1">
        <v>45485</v>
      </c>
      <c r="C1669" t="s">
        <v>31</v>
      </c>
      <c r="D1669" t="s">
        <v>32</v>
      </c>
      <c r="E1669" t="s">
        <v>13</v>
      </c>
      <c r="F1669" t="s">
        <v>19</v>
      </c>
      <c r="G1669" t="s">
        <v>15</v>
      </c>
      <c r="K1669" cm="1">
        <f t="array" ref="K1669">_xlfn.SWITCH(LeadsData[[#This Row],[Funnel Stage Reached]],"Lead",1,"MQL",2,"SQL",3,"Customer",4)</f>
        <v>1</v>
      </c>
      <c r="L1669" t="str">
        <f>TEXT(LeadsData[[#This Row],[Signup Date]],"mmm-yyyy")</f>
        <v>Jul-2024</v>
      </c>
      <c r="M1669">
        <f>IF(LeadsData[[#This Row],[Stage Number]]&gt;=2,1,0)</f>
        <v>0</v>
      </c>
      <c r="N1669" s="2">
        <f>IF(LeadsData[[#This Row],[Stage Number]]&gt;=3,1,0)</f>
        <v>0</v>
      </c>
      <c r="O1669" s="2">
        <f>IF(LeadsData[[#This Row],[Stage Number]]&gt;=4,1,0)</f>
        <v>0</v>
      </c>
    </row>
    <row r="1670" spans="1:15" x14ac:dyDescent="0.25">
      <c r="A1670" t="s">
        <v>1710</v>
      </c>
      <c r="B1670" s="1">
        <v>45370</v>
      </c>
      <c r="C1670" t="s">
        <v>17</v>
      </c>
      <c r="D1670" t="s">
        <v>53</v>
      </c>
      <c r="E1670" t="s">
        <v>21</v>
      </c>
      <c r="F1670" t="s">
        <v>14</v>
      </c>
      <c r="G1670" t="s">
        <v>15</v>
      </c>
      <c r="K1670" cm="1">
        <f t="array" ref="K1670">_xlfn.SWITCH(LeadsData[[#This Row],[Funnel Stage Reached]],"Lead",1,"MQL",2,"SQL",3,"Customer",4)</f>
        <v>1</v>
      </c>
      <c r="L1670" t="str">
        <f>TEXT(LeadsData[[#This Row],[Signup Date]],"mmm-yyyy")</f>
        <v>Mar-2024</v>
      </c>
      <c r="M1670">
        <f>IF(LeadsData[[#This Row],[Stage Number]]&gt;=2,1,0)</f>
        <v>0</v>
      </c>
      <c r="N1670" s="2">
        <f>IF(LeadsData[[#This Row],[Stage Number]]&gt;=3,1,0)</f>
        <v>0</v>
      </c>
      <c r="O1670" s="2">
        <f>IF(LeadsData[[#This Row],[Stage Number]]&gt;=4,1,0)</f>
        <v>0</v>
      </c>
    </row>
    <row r="1671" spans="1:15" x14ac:dyDescent="0.25">
      <c r="A1671" t="s">
        <v>1711</v>
      </c>
      <c r="B1671" s="1">
        <v>45643</v>
      </c>
      <c r="C1671" t="s">
        <v>25</v>
      </c>
      <c r="D1671" t="s">
        <v>26</v>
      </c>
      <c r="E1671" t="s">
        <v>13</v>
      </c>
      <c r="F1671" t="s">
        <v>22</v>
      </c>
      <c r="G1671" t="s">
        <v>15</v>
      </c>
      <c r="K1671" cm="1">
        <f t="array" ref="K1671">_xlfn.SWITCH(LeadsData[[#This Row],[Funnel Stage Reached]],"Lead",1,"MQL",2,"SQL",3,"Customer",4)</f>
        <v>1</v>
      </c>
      <c r="L1671" t="str">
        <f>TEXT(LeadsData[[#This Row],[Signup Date]],"mmm-yyyy")</f>
        <v>Dec-2024</v>
      </c>
      <c r="M1671">
        <f>IF(LeadsData[[#This Row],[Stage Number]]&gt;=2,1,0)</f>
        <v>0</v>
      </c>
      <c r="N1671" s="2">
        <f>IF(LeadsData[[#This Row],[Stage Number]]&gt;=3,1,0)</f>
        <v>0</v>
      </c>
      <c r="O1671" s="2">
        <f>IF(LeadsData[[#This Row],[Stage Number]]&gt;=4,1,0)</f>
        <v>0</v>
      </c>
    </row>
    <row r="1672" spans="1:15" x14ac:dyDescent="0.25">
      <c r="A1672" t="s">
        <v>1712</v>
      </c>
      <c r="B1672" s="1">
        <v>45536</v>
      </c>
      <c r="C1672" t="s">
        <v>31</v>
      </c>
      <c r="D1672" t="s">
        <v>34</v>
      </c>
      <c r="E1672" t="s">
        <v>13</v>
      </c>
      <c r="F1672" t="s">
        <v>22</v>
      </c>
      <c r="G1672" t="s">
        <v>42</v>
      </c>
      <c r="H1672">
        <v>21</v>
      </c>
      <c r="I1672" t="s">
        <v>43</v>
      </c>
      <c r="J1672">
        <v>1288.5899999999999</v>
      </c>
      <c r="K1672" cm="1">
        <f t="array" ref="K1672">_xlfn.SWITCH(LeadsData[[#This Row],[Funnel Stage Reached]],"Lead",1,"MQL",2,"SQL",3,"Customer",4)</f>
        <v>4</v>
      </c>
      <c r="L1672" t="str">
        <f>TEXT(LeadsData[[#This Row],[Signup Date]],"mmm-yyyy")</f>
        <v>Sep-2024</v>
      </c>
      <c r="M1672">
        <f>IF(LeadsData[[#This Row],[Stage Number]]&gt;=2,1,0)</f>
        <v>1</v>
      </c>
      <c r="N1672" s="2">
        <f>IF(LeadsData[[#This Row],[Stage Number]]&gt;=3,1,0)</f>
        <v>1</v>
      </c>
      <c r="O1672" s="2">
        <f>IF(LeadsData[[#This Row],[Stage Number]]&gt;=4,1,0)</f>
        <v>1</v>
      </c>
    </row>
    <row r="1673" spans="1:15" x14ac:dyDescent="0.25">
      <c r="A1673" t="s">
        <v>1713</v>
      </c>
      <c r="B1673" s="1">
        <v>45394</v>
      </c>
      <c r="C1673" t="s">
        <v>17</v>
      </c>
      <c r="D1673" t="s">
        <v>53</v>
      </c>
      <c r="E1673" t="s">
        <v>13</v>
      </c>
      <c r="F1673" t="s">
        <v>22</v>
      </c>
      <c r="G1673" t="s">
        <v>15</v>
      </c>
      <c r="K1673" cm="1">
        <f t="array" ref="K1673">_xlfn.SWITCH(LeadsData[[#This Row],[Funnel Stage Reached]],"Lead",1,"MQL",2,"SQL",3,"Customer",4)</f>
        <v>1</v>
      </c>
      <c r="L1673" t="str">
        <f>TEXT(LeadsData[[#This Row],[Signup Date]],"mmm-yyyy")</f>
        <v>Apr-2024</v>
      </c>
      <c r="M1673">
        <f>IF(LeadsData[[#This Row],[Stage Number]]&gt;=2,1,0)</f>
        <v>0</v>
      </c>
      <c r="N1673" s="2">
        <f>IF(LeadsData[[#This Row],[Stage Number]]&gt;=3,1,0)</f>
        <v>0</v>
      </c>
      <c r="O1673" s="2">
        <f>IF(LeadsData[[#This Row],[Stage Number]]&gt;=4,1,0)</f>
        <v>0</v>
      </c>
    </row>
    <row r="1674" spans="1:15" x14ac:dyDescent="0.25">
      <c r="A1674" t="s">
        <v>1714</v>
      </c>
      <c r="B1674" s="1">
        <v>45522</v>
      </c>
      <c r="C1674" t="s">
        <v>25</v>
      </c>
      <c r="D1674" t="s">
        <v>26</v>
      </c>
      <c r="E1674" t="s">
        <v>13</v>
      </c>
      <c r="F1674" t="s">
        <v>22</v>
      </c>
      <c r="G1674" t="s">
        <v>15</v>
      </c>
      <c r="K1674" cm="1">
        <f t="array" ref="K1674">_xlfn.SWITCH(LeadsData[[#This Row],[Funnel Stage Reached]],"Lead",1,"MQL",2,"SQL",3,"Customer",4)</f>
        <v>1</v>
      </c>
      <c r="L1674" t="str">
        <f>TEXT(LeadsData[[#This Row],[Signup Date]],"mmm-yyyy")</f>
        <v>Aug-2024</v>
      </c>
      <c r="M1674">
        <f>IF(LeadsData[[#This Row],[Stage Number]]&gt;=2,1,0)</f>
        <v>0</v>
      </c>
      <c r="N1674" s="2">
        <f>IF(LeadsData[[#This Row],[Stage Number]]&gt;=3,1,0)</f>
        <v>0</v>
      </c>
      <c r="O1674" s="2">
        <f>IF(LeadsData[[#This Row],[Stage Number]]&gt;=4,1,0)</f>
        <v>0</v>
      </c>
    </row>
    <row r="1675" spans="1:15" x14ac:dyDescent="0.25">
      <c r="A1675" t="s">
        <v>1715</v>
      </c>
      <c r="B1675" s="1">
        <v>45651</v>
      </c>
      <c r="C1675" t="s">
        <v>36</v>
      </c>
      <c r="D1675" t="s">
        <v>50</v>
      </c>
      <c r="E1675" t="s">
        <v>13</v>
      </c>
      <c r="F1675" t="s">
        <v>22</v>
      </c>
      <c r="G1675" t="s">
        <v>29</v>
      </c>
      <c r="K1675" cm="1">
        <f t="array" ref="K1675">_xlfn.SWITCH(LeadsData[[#This Row],[Funnel Stage Reached]],"Lead",1,"MQL",2,"SQL",3,"Customer",4)</f>
        <v>3</v>
      </c>
      <c r="L1675" t="str">
        <f>TEXT(LeadsData[[#This Row],[Signup Date]],"mmm-yyyy")</f>
        <v>Dec-2024</v>
      </c>
      <c r="M1675">
        <f>IF(LeadsData[[#This Row],[Stage Number]]&gt;=2,1,0)</f>
        <v>1</v>
      </c>
      <c r="N1675" s="2">
        <f>IF(LeadsData[[#This Row],[Stage Number]]&gt;=3,1,0)</f>
        <v>1</v>
      </c>
      <c r="O1675" s="2">
        <f>IF(LeadsData[[#This Row],[Stage Number]]&gt;=4,1,0)</f>
        <v>0</v>
      </c>
    </row>
    <row r="1676" spans="1:15" x14ac:dyDescent="0.25">
      <c r="A1676" t="s">
        <v>1716</v>
      </c>
      <c r="B1676" s="1">
        <v>45299</v>
      </c>
      <c r="C1676" t="s">
        <v>46</v>
      </c>
      <c r="D1676" t="s">
        <v>47</v>
      </c>
      <c r="E1676" t="s">
        <v>48</v>
      </c>
      <c r="F1676" t="s">
        <v>14</v>
      </c>
      <c r="G1676" t="s">
        <v>15</v>
      </c>
      <c r="K1676" cm="1">
        <f t="array" ref="K1676">_xlfn.SWITCH(LeadsData[[#This Row],[Funnel Stage Reached]],"Lead",1,"MQL",2,"SQL",3,"Customer",4)</f>
        <v>1</v>
      </c>
      <c r="L1676" t="str">
        <f>TEXT(LeadsData[[#This Row],[Signup Date]],"mmm-yyyy")</f>
        <v>Jan-2024</v>
      </c>
      <c r="M1676">
        <f>IF(LeadsData[[#This Row],[Stage Number]]&gt;=2,1,0)</f>
        <v>0</v>
      </c>
      <c r="N1676" s="2">
        <f>IF(LeadsData[[#This Row],[Stage Number]]&gt;=3,1,0)</f>
        <v>0</v>
      </c>
      <c r="O1676" s="2">
        <f>IF(LeadsData[[#This Row],[Stage Number]]&gt;=4,1,0)</f>
        <v>0</v>
      </c>
    </row>
    <row r="1677" spans="1:15" x14ac:dyDescent="0.25">
      <c r="A1677" t="s">
        <v>1717</v>
      </c>
      <c r="B1677" s="1">
        <v>45358</v>
      </c>
      <c r="C1677" t="s">
        <v>31</v>
      </c>
      <c r="D1677" t="s">
        <v>34</v>
      </c>
      <c r="E1677" t="s">
        <v>21</v>
      </c>
      <c r="F1677" t="s">
        <v>28</v>
      </c>
      <c r="G1677" t="s">
        <v>15</v>
      </c>
      <c r="K1677" cm="1">
        <f t="array" ref="K1677">_xlfn.SWITCH(LeadsData[[#This Row],[Funnel Stage Reached]],"Lead",1,"MQL",2,"SQL",3,"Customer",4)</f>
        <v>1</v>
      </c>
      <c r="L1677" t="str">
        <f>TEXT(LeadsData[[#This Row],[Signup Date]],"mmm-yyyy")</f>
        <v>Mar-2024</v>
      </c>
      <c r="M1677">
        <f>IF(LeadsData[[#This Row],[Stage Number]]&gt;=2,1,0)</f>
        <v>0</v>
      </c>
      <c r="N1677" s="2">
        <f>IF(LeadsData[[#This Row],[Stage Number]]&gt;=3,1,0)</f>
        <v>0</v>
      </c>
      <c r="O1677" s="2">
        <f>IF(LeadsData[[#This Row],[Stage Number]]&gt;=4,1,0)</f>
        <v>0</v>
      </c>
    </row>
    <row r="1678" spans="1:15" x14ac:dyDescent="0.25">
      <c r="A1678" t="s">
        <v>1718</v>
      </c>
      <c r="B1678" s="1">
        <v>45539</v>
      </c>
      <c r="C1678" t="s">
        <v>46</v>
      </c>
      <c r="D1678" t="s">
        <v>47</v>
      </c>
      <c r="E1678" t="s">
        <v>13</v>
      </c>
      <c r="F1678" t="s">
        <v>22</v>
      </c>
      <c r="G1678" t="s">
        <v>23</v>
      </c>
      <c r="K1678" cm="1">
        <f t="array" ref="K1678">_xlfn.SWITCH(LeadsData[[#This Row],[Funnel Stage Reached]],"Lead",1,"MQL",2,"SQL",3,"Customer",4)</f>
        <v>2</v>
      </c>
      <c r="L1678" t="str">
        <f>TEXT(LeadsData[[#This Row],[Signup Date]],"mmm-yyyy")</f>
        <v>Sep-2024</v>
      </c>
      <c r="M1678">
        <f>IF(LeadsData[[#This Row],[Stage Number]]&gt;=2,1,0)</f>
        <v>1</v>
      </c>
      <c r="N1678" s="2">
        <f>IF(LeadsData[[#This Row],[Stage Number]]&gt;=3,1,0)</f>
        <v>0</v>
      </c>
      <c r="O1678" s="2">
        <f>IF(LeadsData[[#This Row],[Stage Number]]&gt;=4,1,0)</f>
        <v>0</v>
      </c>
    </row>
    <row r="1679" spans="1:15" x14ac:dyDescent="0.25">
      <c r="A1679" t="s">
        <v>1719</v>
      </c>
      <c r="B1679" s="1">
        <v>45621</v>
      </c>
      <c r="C1679" t="s">
        <v>31</v>
      </c>
      <c r="D1679" t="s">
        <v>32</v>
      </c>
      <c r="E1679" t="s">
        <v>13</v>
      </c>
      <c r="F1679" t="s">
        <v>19</v>
      </c>
      <c r="G1679" t="s">
        <v>23</v>
      </c>
      <c r="K1679" cm="1">
        <f t="array" ref="K1679">_xlfn.SWITCH(LeadsData[[#This Row],[Funnel Stage Reached]],"Lead",1,"MQL",2,"SQL",3,"Customer",4)</f>
        <v>2</v>
      </c>
      <c r="L1679" t="str">
        <f>TEXT(LeadsData[[#This Row],[Signup Date]],"mmm-yyyy")</f>
        <v>Nov-2024</v>
      </c>
      <c r="M1679">
        <f>IF(LeadsData[[#This Row],[Stage Number]]&gt;=2,1,0)</f>
        <v>1</v>
      </c>
      <c r="N1679" s="2">
        <f>IF(LeadsData[[#This Row],[Stage Number]]&gt;=3,1,0)</f>
        <v>0</v>
      </c>
      <c r="O1679" s="2">
        <f>IF(LeadsData[[#This Row],[Stage Number]]&gt;=4,1,0)</f>
        <v>0</v>
      </c>
    </row>
    <row r="1680" spans="1:15" x14ac:dyDescent="0.25">
      <c r="A1680" t="s">
        <v>1720</v>
      </c>
      <c r="B1680" s="1">
        <v>45630</v>
      </c>
      <c r="C1680" t="s">
        <v>31</v>
      </c>
      <c r="D1680" t="s">
        <v>32</v>
      </c>
      <c r="E1680" t="s">
        <v>21</v>
      </c>
      <c r="F1680" t="s">
        <v>14</v>
      </c>
      <c r="G1680" t="s">
        <v>42</v>
      </c>
      <c r="H1680">
        <v>58</v>
      </c>
      <c r="I1680" t="s">
        <v>43</v>
      </c>
      <c r="J1680">
        <v>1348.92</v>
      </c>
      <c r="K1680" cm="1">
        <f t="array" ref="K1680">_xlfn.SWITCH(LeadsData[[#This Row],[Funnel Stage Reached]],"Lead",1,"MQL",2,"SQL",3,"Customer",4)</f>
        <v>4</v>
      </c>
      <c r="L1680" t="str">
        <f>TEXT(LeadsData[[#This Row],[Signup Date]],"mmm-yyyy")</f>
        <v>Dec-2024</v>
      </c>
      <c r="M1680">
        <f>IF(LeadsData[[#This Row],[Stage Number]]&gt;=2,1,0)</f>
        <v>1</v>
      </c>
      <c r="N1680" s="2">
        <f>IF(LeadsData[[#This Row],[Stage Number]]&gt;=3,1,0)</f>
        <v>1</v>
      </c>
      <c r="O1680" s="2">
        <f>IF(LeadsData[[#This Row],[Stage Number]]&gt;=4,1,0)</f>
        <v>1</v>
      </c>
    </row>
    <row r="1681" spans="1:15" x14ac:dyDescent="0.25">
      <c r="A1681" t="s">
        <v>1721</v>
      </c>
      <c r="B1681" s="1">
        <v>45634</v>
      </c>
      <c r="C1681" t="s">
        <v>25</v>
      </c>
      <c r="D1681" t="s">
        <v>26</v>
      </c>
      <c r="E1681" t="s">
        <v>21</v>
      </c>
      <c r="F1681" t="s">
        <v>14</v>
      </c>
      <c r="G1681" t="s">
        <v>29</v>
      </c>
      <c r="K1681" cm="1">
        <f t="array" ref="K1681">_xlfn.SWITCH(LeadsData[[#This Row],[Funnel Stage Reached]],"Lead",1,"MQL",2,"SQL",3,"Customer",4)</f>
        <v>3</v>
      </c>
      <c r="L1681" t="str">
        <f>TEXT(LeadsData[[#This Row],[Signup Date]],"mmm-yyyy")</f>
        <v>Dec-2024</v>
      </c>
      <c r="M1681">
        <f>IF(LeadsData[[#This Row],[Stage Number]]&gt;=2,1,0)</f>
        <v>1</v>
      </c>
      <c r="N1681" s="2">
        <f>IF(LeadsData[[#This Row],[Stage Number]]&gt;=3,1,0)</f>
        <v>1</v>
      </c>
      <c r="O1681" s="2">
        <f>IF(LeadsData[[#This Row],[Stage Number]]&gt;=4,1,0)</f>
        <v>0</v>
      </c>
    </row>
    <row r="1682" spans="1:15" x14ac:dyDescent="0.25">
      <c r="A1682" t="s">
        <v>1722</v>
      </c>
      <c r="B1682" s="1">
        <v>45406</v>
      </c>
      <c r="C1682" t="s">
        <v>11</v>
      </c>
      <c r="D1682" t="s">
        <v>12</v>
      </c>
      <c r="E1682" t="s">
        <v>13</v>
      </c>
      <c r="F1682" t="s">
        <v>19</v>
      </c>
      <c r="G1682" t="s">
        <v>29</v>
      </c>
      <c r="K1682" cm="1">
        <f t="array" ref="K1682">_xlfn.SWITCH(LeadsData[[#This Row],[Funnel Stage Reached]],"Lead",1,"MQL",2,"SQL",3,"Customer",4)</f>
        <v>3</v>
      </c>
      <c r="L1682" t="str">
        <f>TEXT(LeadsData[[#This Row],[Signup Date]],"mmm-yyyy")</f>
        <v>Apr-2024</v>
      </c>
      <c r="M1682">
        <f>IF(LeadsData[[#This Row],[Stage Number]]&gt;=2,1,0)</f>
        <v>1</v>
      </c>
      <c r="N1682" s="2">
        <f>IF(LeadsData[[#This Row],[Stage Number]]&gt;=3,1,0)</f>
        <v>1</v>
      </c>
      <c r="O1682" s="2">
        <f>IF(LeadsData[[#This Row],[Stage Number]]&gt;=4,1,0)</f>
        <v>0</v>
      </c>
    </row>
    <row r="1683" spans="1:15" x14ac:dyDescent="0.25">
      <c r="A1683" t="s">
        <v>1723</v>
      </c>
      <c r="B1683" s="1">
        <v>45295</v>
      </c>
      <c r="C1683" t="s">
        <v>31</v>
      </c>
      <c r="D1683" t="s">
        <v>34</v>
      </c>
      <c r="E1683" t="s">
        <v>21</v>
      </c>
      <c r="F1683" t="s">
        <v>22</v>
      </c>
      <c r="G1683" t="s">
        <v>23</v>
      </c>
      <c r="K1683" cm="1">
        <f t="array" ref="K1683">_xlfn.SWITCH(LeadsData[[#This Row],[Funnel Stage Reached]],"Lead",1,"MQL",2,"SQL",3,"Customer",4)</f>
        <v>2</v>
      </c>
      <c r="L1683" t="str">
        <f>TEXT(LeadsData[[#This Row],[Signup Date]],"mmm-yyyy")</f>
        <v>Jan-2024</v>
      </c>
      <c r="M1683">
        <f>IF(LeadsData[[#This Row],[Stage Number]]&gt;=2,1,0)</f>
        <v>1</v>
      </c>
      <c r="N1683" s="2">
        <f>IF(LeadsData[[#This Row],[Stage Number]]&gt;=3,1,0)</f>
        <v>0</v>
      </c>
      <c r="O1683" s="2">
        <f>IF(LeadsData[[#This Row],[Stage Number]]&gt;=4,1,0)</f>
        <v>0</v>
      </c>
    </row>
    <row r="1684" spans="1:15" x14ac:dyDescent="0.25">
      <c r="A1684" t="s">
        <v>1724</v>
      </c>
      <c r="B1684" s="1">
        <v>45370</v>
      </c>
      <c r="C1684" t="s">
        <v>11</v>
      </c>
      <c r="D1684" t="s">
        <v>12</v>
      </c>
      <c r="E1684" t="s">
        <v>21</v>
      </c>
      <c r="F1684" t="s">
        <v>19</v>
      </c>
      <c r="G1684" t="s">
        <v>15</v>
      </c>
      <c r="K1684" cm="1">
        <f t="array" ref="K1684">_xlfn.SWITCH(LeadsData[[#This Row],[Funnel Stage Reached]],"Lead",1,"MQL",2,"SQL",3,"Customer",4)</f>
        <v>1</v>
      </c>
      <c r="L1684" t="str">
        <f>TEXT(LeadsData[[#This Row],[Signup Date]],"mmm-yyyy")</f>
        <v>Mar-2024</v>
      </c>
      <c r="M1684">
        <f>IF(LeadsData[[#This Row],[Stage Number]]&gt;=2,1,0)</f>
        <v>0</v>
      </c>
      <c r="N1684" s="2">
        <f>IF(LeadsData[[#This Row],[Stage Number]]&gt;=3,1,0)</f>
        <v>0</v>
      </c>
      <c r="O1684" s="2">
        <f>IF(LeadsData[[#This Row],[Stage Number]]&gt;=4,1,0)</f>
        <v>0</v>
      </c>
    </row>
    <row r="1685" spans="1:15" x14ac:dyDescent="0.25">
      <c r="A1685" t="s">
        <v>1725</v>
      </c>
      <c r="B1685" s="1">
        <v>45413</v>
      </c>
      <c r="C1685" t="s">
        <v>17</v>
      </c>
      <c r="D1685" t="s">
        <v>18</v>
      </c>
      <c r="E1685" t="s">
        <v>13</v>
      </c>
      <c r="F1685" t="s">
        <v>19</v>
      </c>
      <c r="G1685" t="s">
        <v>15</v>
      </c>
      <c r="K1685" cm="1">
        <f t="array" ref="K1685">_xlfn.SWITCH(LeadsData[[#This Row],[Funnel Stage Reached]],"Lead",1,"MQL",2,"SQL",3,"Customer",4)</f>
        <v>1</v>
      </c>
      <c r="L1685" t="str">
        <f>TEXT(LeadsData[[#This Row],[Signup Date]],"mmm-yyyy")</f>
        <v>May-2024</v>
      </c>
      <c r="M1685">
        <f>IF(LeadsData[[#This Row],[Stage Number]]&gt;=2,1,0)</f>
        <v>0</v>
      </c>
      <c r="N1685" s="2">
        <f>IF(LeadsData[[#This Row],[Stage Number]]&gt;=3,1,0)</f>
        <v>0</v>
      </c>
      <c r="O1685" s="2">
        <f>IF(LeadsData[[#This Row],[Stage Number]]&gt;=4,1,0)</f>
        <v>0</v>
      </c>
    </row>
    <row r="1686" spans="1:15" x14ac:dyDescent="0.25">
      <c r="A1686" t="s">
        <v>1726</v>
      </c>
      <c r="B1686" s="1">
        <v>45615</v>
      </c>
      <c r="C1686" t="s">
        <v>46</v>
      </c>
      <c r="D1686" t="s">
        <v>47</v>
      </c>
      <c r="E1686" t="s">
        <v>13</v>
      </c>
      <c r="F1686" t="s">
        <v>22</v>
      </c>
      <c r="G1686" t="s">
        <v>15</v>
      </c>
      <c r="K1686" cm="1">
        <f t="array" ref="K1686">_xlfn.SWITCH(LeadsData[[#This Row],[Funnel Stage Reached]],"Lead",1,"MQL",2,"SQL",3,"Customer",4)</f>
        <v>1</v>
      </c>
      <c r="L1686" t="str">
        <f>TEXT(LeadsData[[#This Row],[Signup Date]],"mmm-yyyy")</f>
        <v>Nov-2024</v>
      </c>
      <c r="M1686">
        <f>IF(LeadsData[[#This Row],[Stage Number]]&gt;=2,1,0)</f>
        <v>0</v>
      </c>
      <c r="N1686" s="2">
        <f>IF(LeadsData[[#This Row],[Stage Number]]&gt;=3,1,0)</f>
        <v>0</v>
      </c>
      <c r="O1686" s="2">
        <f>IF(LeadsData[[#This Row],[Stage Number]]&gt;=4,1,0)</f>
        <v>0</v>
      </c>
    </row>
    <row r="1687" spans="1:15" x14ac:dyDescent="0.25">
      <c r="A1687" t="s">
        <v>1727</v>
      </c>
      <c r="B1687" s="1">
        <v>45574</v>
      </c>
      <c r="C1687" t="s">
        <v>11</v>
      </c>
      <c r="D1687" t="s">
        <v>12</v>
      </c>
      <c r="E1687" t="s">
        <v>13</v>
      </c>
      <c r="F1687" t="s">
        <v>14</v>
      </c>
      <c r="G1687" t="s">
        <v>15</v>
      </c>
      <c r="K1687" cm="1">
        <f t="array" ref="K1687">_xlfn.SWITCH(LeadsData[[#This Row],[Funnel Stage Reached]],"Lead",1,"MQL",2,"SQL",3,"Customer",4)</f>
        <v>1</v>
      </c>
      <c r="L1687" t="str">
        <f>TEXT(LeadsData[[#This Row],[Signup Date]],"mmm-yyyy")</f>
        <v>Oct-2024</v>
      </c>
      <c r="M1687">
        <f>IF(LeadsData[[#This Row],[Stage Number]]&gt;=2,1,0)</f>
        <v>0</v>
      </c>
      <c r="N1687" s="2">
        <f>IF(LeadsData[[#This Row],[Stage Number]]&gt;=3,1,0)</f>
        <v>0</v>
      </c>
      <c r="O1687" s="2">
        <f>IF(LeadsData[[#This Row],[Stage Number]]&gt;=4,1,0)</f>
        <v>0</v>
      </c>
    </row>
    <row r="1688" spans="1:15" x14ac:dyDescent="0.25">
      <c r="A1688" t="s">
        <v>1728</v>
      </c>
      <c r="B1688" s="1">
        <v>45367</v>
      </c>
      <c r="C1688" t="s">
        <v>11</v>
      </c>
      <c r="D1688" t="s">
        <v>79</v>
      </c>
      <c r="E1688" t="s">
        <v>13</v>
      </c>
      <c r="F1688" t="s">
        <v>14</v>
      </c>
      <c r="G1688" t="s">
        <v>42</v>
      </c>
      <c r="H1688">
        <v>59</v>
      </c>
      <c r="I1688" t="s">
        <v>87</v>
      </c>
      <c r="J1688">
        <v>3850.85</v>
      </c>
      <c r="K1688" cm="1">
        <f t="array" ref="K1688">_xlfn.SWITCH(LeadsData[[#This Row],[Funnel Stage Reached]],"Lead",1,"MQL",2,"SQL",3,"Customer",4)</f>
        <v>4</v>
      </c>
      <c r="L1688" t="str">
        <f>TEXT(LeadsData[[#This Row],[Signup Date]],"mmm-yyyy")</f>
        <v>Mar-2024</v>
      </c>
      <c r="M1688">
        <f>IF(LeadsData[[#This Row],[Stage Number]]&gt;=2,1,0)</f>
        <v>1</v>
      </c>
      <c r="N1688" s="2">
        <f>IF(LeadsData[[#This Row],[Stage Number]]&gt;=3,1,0)</f>
        <v>1</v>
      </c>
      <c r="O1688" s="2">
        <f>IF(LeadsData[[#This Row],[Stage Number]]&gt;=4,1,0)</f>
        <v>1</v>
      </c>
    </row>
    <row r="1689" spans="1:15" x14ac:dyDescent="0.25">
      <c r="A1689" t="s">
        <v>1729</v>
      </c>
      <c r="B1689" s="1">
        <v>45421</v>
      </c>
      <c r="C1689" t="s">
        <v>31</v>
      </c>
      <c r="D1689" t="s">
        <v>32</v>
      </c>
      <c r="E1689" t="s">
        <v>21</v>
      </c>
      <c r="F1689" t="s">
        <v>22</v>
      </c>
      <c r="G1689" t="s">
        <v>29</v>
      </c>
      <c r="K1689" cm="1">
        <f t="array" ref="K1689">_xlfn.SWITCH(LeadsData[[#This Row],[Funnel Stage Reached]],"Lead",1,"MQL",2,"SQL",3,"Customer",4)</f>
        <v>3</v>
      </c>
      <c r="L1689" t="str">
        <f>TEXT(LeadsData[[#This Row],[Signup Date]],"mmm-yyyy")</f>
        <v>May-2024</v>
      </c>
      <c r="M1689">
        <f>IF(LeadsData[[#This Row],[Stage Number]]&gt;=2,1,0)</f>
        <v>1</v>
      </c>
      <c r="N1689" s="2">
        <f>IF(LeadsData[[#This Row],[Stage Number]]&gt;=3,1,0)</f>
        <v>1</v>
      </c>
      <c r="O1689" s="2">
        <f>IF(LeadsData[[#This Row],[Stage Number]]&gt;=4,1,0)</f>
        <v>0</v>
      </c>
    </row>
    <row r="1690" spans="1:15" x14ac:dyDescent="0.25">
      <c r="A1690" t="s">
        <v>1730</v>
      </c>
      <c r="B1690" s="1">
        <v>45386</v>
      </c>
      <c r="C1690" t="s">
        <v>31</v>
      </c>
      <c r="D1690" t="s">
        <v>34</v>
      </c>
      <c r="E1690" t="s">
        <v>48</v>
      </c>
      <c r="F1690" t="s">
        <v>19</v>
      </c>
      <c r="G1690" t="s">
        <v>23</v>
      </c>
      <c r="K1690" cm="1">
        <f t="array" ref="K1690">_xlfn.SWITCH(LeadsData[[#This Row],[Funnel Stage Reached]],"Lead",1,"MQL",2,"SQL",3,"Customer",4)</f>
        <v>2</v>
      </c>
      <c r="L1690" t="str">
        <f>TEXT(LeadsData[[#This Row],[Signup Date]],"mmm-yyyy")</f>
        <v>Apr-2024</v>
      </c>
      <c r="M1690">
        <f>IF(LeadsData[[#This Row],[Stage Number]]&gt;=2,1,0)</f>
        <v>1</v>
      </c>
      <c r="N1690" s="2">
        <f>IF(LeadsData[[#This Row],[Stage Number]]&gt;=3,1,0)</f>
        <v>0</v>
      </c>
      <c r="O1690" s="2">
        <f>IF(LeadsData[[#This Row],[Stage Number]]&gt;=4,1,0)</f>
        <v>0</v>
      </c>
    </row>
    <row r="1691" spans="1:15" x14ac:dyDescent="0.25">
      <c r="A1691" t="s">
        <v>1731</v>
      </c>
      <c r="B1691" s="1">
        <v>45518</v>
      </c>
      <c r="C1691" t="s">
        <v>17</v>
      </c>
      <c r="D1691" t="s">
        <v>18</v>
      </c>
      <c r="E1691" t="s">
        <v>21</v>
      </c>
      <c r="F1691" t="s">
        <v>19</v>
      </c>
      <c r="G1691" t="s">
        <v>23</v>
      </c>
      <c r="K1691" cm="1">
        <f t="array" ref="K1691">_xlfn.SWITCH(LeadsData[[#This Row],[Funnel Stage Reached]],"Lead",1,"MQL",2,"SQL",3,"Customer",4)</f>
        <v>2</v>
      </c>
      <c r="L1691" t="str">
        <f>TEXT(LeadsData[[#This Row],[Signup Date]],"mmm-yyyy")</f>
        <v>Aug-2024</v>
      </c>
      <c r="M1691">
        <f>IF(LeadsData[[#This Row],[Stage Number]]&gt;=2,1,0)</f>
        <v>1</v>
      </c>
      <c r="N1691" s="2">
        <f>IF(LeadsData[[#This Row],[Stage Number]]&gt;=3,1,0)</f>
        <v>0</v>
      </c>
      <c r="O1691" s="2">
        <f>IF(LeadsData[[#This Row],[Stage Number]]&gt;=4,1,0)</f>
        <v>0</v>
      </c>
    </row>
    <row r="1692" spans="1:15" x14ac:dyDescent="0.25">
      <c r="A1692" t="s">
        <v>1732</v>
      </c>
      <c r="B1692" s="1">
        <v>45415</v>
      </c>
      <c r="C1692" t="s">
        <v>25</v>
      </c>
      <c r="D1692" t="s">
        <v>26</v>
      </c>
      <c r="E1692" t="s">
        <v>13</v>
      </c>
      <c r="F1692" t="s">
        <v>19</v>
      </c>
      <c r="G1692" t="s">
        <v>15</v>
      </c>
      <c r="K1692" cm="1">
        <f t="array" ref="K1692">_xlfn.SWITCH(LeadsData[[#This Row],[Funnel Stage Reached]],"Lead",1,"MQL",2,"SQL",3,"Customer",4)</f>
        <v>1</v>
      </c>
      <c r="L1692" t="str">
        <f>TEXT(LeadsData[[#This Row],[Signup Date]],"mmm-yyyy")</f>
        <v>May-2024</v>
      </c>
      <c r="M1692">
        <f>IF(LeadsData[[#This Row],[Stage Number]]&gt;=2,1,0)</f>
        <v>0</v>
      </c>
      <c r="N1692" s="2">
        <f>IF(LeadsData[[#This Row],[Stage Number]]&gt;=3,1,0)</f>
        <v>0</v>
      </c>
      <c r="O1692" s="2">
        <f>IF(LeadsData[[#This Row],[Stage Number]]&gt;=4,1,0)</f>
        <v>0</v>
      </c>
    </row>
    <row r="1693" spans="1:15" x14ac:dyDescent="0.25">
      <c r="A1693" t="s">
        <v>1733</v>
      </c>
      <c r="B1693" s="1">
        <v>45440</v>
      </c>
      <c r="C1693" t="s">
        <v>17</v>
      </c>
      <c r="D1693" t="s">
        <v>53</v>
      </c>
      <c r="E1693" t="s">
        <v>13</v>
      </c>
      <c r="F1693" t="s">
        <v>19</v>
      </c>
      <c r="G1693" t="s">
        <v>29</v>
      </c>
      <c r="K1693" cm="1">
        <f t="array" ref="K1693">_xlfn.SWITCH(LeadsData[[#This Row],[Funnel Stage Reached]],"Lead",1,"MQL",2,"SQL",3,"Customer",4)</f>
        <v>3</v>
      </c>
      <c r="L1693" t="str">
        <f>TEXT(LeadsData[[#This Row],[Signup Date]],"mmm-yyyy")</f>
        <v>May-2024</v>
      </c>
      <c r="M1693">
        <f>IF(LeadsData[[#This Row],[Stage Number]]&gt;=2,1,0)</f>
        <v>1</v>
      </c>
      <c r="N1693" s="2">
        <f>IF(LeadsData[[#This Row],[Stage Number]]&gt;=3,1,0)</f>
        <v>1</v>
      </c>
      <c r="O1693" s="2">
        <f>IF(LeadsData[[#This Row],[Stage Number]]&gt;=4,1,0)</f>
        <v>0</v>
      </c>
    </row>
    <row r="1694" spans="1:15" x14ac:dyDescent="0.25">
      <c r="A1694" t="s">
        <v>1734</v>
      </c>
      <c r="B1694" s="1">
        <v>45365</v>
      </c>
      <c r="C1694" t="s">
        <v>17</v>
      </c>
      <c r="D1694" t="s">
        <v>53</v>
      </c>
      <c r="E1694" t="s">
        <v>13</v>
      </c>
      <c r="F1694" t="s">
        <v>22</v>
      </c>
      <c r="G1694" t="s">
        <v>29</v>
      </c>
      <c r="K1694" cm="1">
        <f t="array" ref="K1694">_xlfn.SWITCH(LeadsData[[#This Row],[Funnel Stage Reached]],"Lead",1,"MQL",2,"SQL",3,"Customer",4)</f>
        <v>3</v>
      </c>
      <c r="L1694" t="str">
        <f>TEXT(LeadsData[[#This Row],[Signup Date]],"mmm-yyyy")</f>
        <v>Mar-2024</v>
      </c>
      <c r="M1694">
        <f>IF(LeadsData[[#This Row],[Stage Number]]&gt;=2,1,0)</f>
        <v>1</v>
      </c>
      <c r="N1694" s="2">
        <f>IF(LeadsData[[#This Row],[Stage Number]]&gt;=3,1,0)</f>
        <v>1</v>
      </c>
      <c r="O1694" s="2">
        <f>IF(LeadsData[[#This Row],[Stage Number]]&gt;=4,1,0)</f>
        <v>0</v>
      </c>
    </row>
    <row r="1695" spans="1:15" x14ac:dyDescent="0.25">
      <c r="A1695" t="s">
        <v>1735</v>
      </c>
      <c r="B1695" s="1">
        <v>45460</v>
      </c>
      <c r="C1695" t="s">
        <v>46</v>
      </c>
      <c r="D1695" t="s">
        <v>47</v>
      </c>
      <c r="E1695" t="s">
        <v>13</v>
      </c>
      <c r="F1695" t="s">
        <v>19</v>
      </c>
      <c r="G1695" t="s">
        <v>15</v>
      </c>
      <c r="K1695" cm="1">
        <f t="array" ref="K1695">_xlfn.SWITCH(LeadsData[[#This Row],[Funnel Stage Reached]],"Lead",1,"MQL",2,"SQL",3,"Customer",4)</f>
        <v>1</v>
      </c>
      <c r="L1695" t="str">
        <f>TEXT(LeadsData[[#This Row],[Signup Date]],"mmm-yyyy")</f>
        <v>Jun-2024</v>
      </c>
      <c r="M1695">
        <f>IF(LeadsData[[#This Row],[Stage Number]]&gt;=2,1,0)</f>
        <v>0</v>
      </c>
      <c r="N1695" s="2">
        <f>IF(LeadsData[[#This Row],[Stage Number]]&gt;=3,1,0)</f>
        <v>0</v>
      </c>
      <c r="O1695" s="2">
        <f>IF(LeadsData[[#This Row],[Stage Number]]&gt;=4,1,0)</f>
        <v>0</v>
      </c>
    </row>
    <row r="1696" spans="1:15" x14ac:dyDescent="0.25">
      <c r="A1696" t="s">
        <v>1736</v>
      </c>
      <c r="B1696" s="1">
        <v>45520</v>
      </c>
      <c r="C1696" t="s">
        <v>31</v>
      </c>
      <c r="D1696" t="s">
        <v>32</v>
      </c>
      <c r="E1696" t="s">
        <v>13</v>
      </c>
      <c r="F1696" t="s">
        <v>19</v>
      </c>
      <c r="G1696" t="s">
        <v>15</v>
      </c>
      <c r="K1696" cm="1">
        <f t="array" ref="K1696">_xlfn.SWITCH(LeadsData[[#This Row],[Funnel Stage Reached]],"Lead",1,"MQL",2,"SQL",3,"Customer",4)</f>
        <v>1</v>
      </c>
      <c r="L1696" t="str">
        <f>TEXT(LeadsData[[#This Row],[Signup Date]],"mmm-yyyy")</f>
        <v>Aug-2024</v>
      </c>
      <c r="M1696">
        <f>IF(LeadsData[[#This Row],[Stage Number]]&gt;=2,1,0)</f>
        <v>0</v>
      </c>
      <c r="N1696" s="2">
        <f>IF(LeadsData[[#This Row],[Stage Number]]&gt;=3,1,0)</f>
        <v>0</v>
      </c>
      <c r="O1696" s="2">
        <f>IF(LeadsData[[#This Row],[Stage Number]]&gt;=4,1,0)</f>
        <v>0</v>
      </c>
    </row>
    <row r="1697" spans="1:15" x14ac:dyDescent="0.25">
      <c r="A1697" t="s">
        <v>1737</v>
      </c>
      <c r="B1697" s="1">
        <v>45355</v>
      </c>
      <c r="C1697" t="s">
        <v>11</v>
      </c>
      <c r="D1697" t="s">
        <v>68</v>
      </c>
      <c r="E1697" t="s">
        <v>21</v>
      </c>
      <c r="F1697" t="s">
        <v>22</v>
      </c>
      <c r="G1697" t="s">
        <v>15</v>
      </c>
      <c r="K1697" cm="1">
        <f t="array" ref="K1697">_xlfn.SWITCH(LeadsData[[#This Row],[Funnel Stage Reached]],"Lead",1,"MQL",2,"SQL",3,"Customer",4)</f>
        <v>1</v>
      </c>
      <c r="L1697" t="str">
        <f>TEXT(LeadsData[[#This Row],[Signup Date]],"mmm-yyyy")</f>
        <v>Mar-2024</v>
      </c>
      <c r="M1697">
        <f>IF(LeadsData[[#This Row],[Stage Number]]&gt;=2,1,0)</f>
        <v>0</v>
      </c>
      <c r="N1697" s="2">
        <f>IF(LeadsData[[#This Row],[Stage Number]]&gt;=3,1,0)</f>
        <v>0</v>
      </c>
      <c r="O1697" s="2">
        <f>IF(LeadsData[[#This Row],[Stage Number]]&gt;=4,1,0)</f>
        <v>0</v>
      </c>
    </row>
    <row r="1698" spans="1:15" x14ac:dyDescent="0.25">
      <c r="A1698" t="s">
        <v>1738</v>
      </c>
      <c r="B1698" s="1">
        <v>45653</v>
      </c>
      <c r="C1698" t="s">
        <v>11</v>
      </c>
      <c r="D1698" t="s">
        <v>79</v>
      </c>
      <c r="E1698" t="s">
        <v>21</v>
      </c>
      <c r="F1698" t="s">
        <v>19</v>
      </c>
      <c r="G1698" t="s">
        <v>15</v>
      </c>
      <c r="K1698" cm="1">
        <f t="array" ref="K1698">_xlfn.SWITCH(LeadsData[[#This Row],[Funnel Stage Reached]],"Lead",1,"MQL",2,"SQL",3,"Customer",4)</f>
        <v>1</v>
      </c>
      <c r="L1698" t="str">
        <f>TEXT(LeadsData[[#This Row],[Signup Date]],"mmm-yyyy")</f>
        <v>Dec-2024</v>
      </c>
      <c r="M1698">
        <f>IF(LeadsData[[#This Row],[Stage Number]]&gt;=2,1,0)</f>
        <v>0</v>
      </c>
      <c r="N1698" s="2">
        <f>IF(LeadsData[[#This Row],[Stage Number]]&gt;=3,1,0)</f>
        <v>0</v>
      </c>
      <c r="O1698" s="2">
        <f>IF(LeadsData[[#This Row],[Stage Number]]&gt;=4,1,0)</f>
        <v>0</v>
      </c>
    </row>
    <row r="1699" spans="1:15" x14ac:dyDescent="0.25">
      <c r="A1699" t="s">
        <v>1739</v>
      </c>
      <c r="B1699" s="1">
        <v>45641</v>
      </c>
      <c r="C1699" t="s">
        <v>31</v>
      </c>
      <c r="D1699" t="s">
        <v>34</v>
      </c>
      <c r="E1699" t="s">
        <v>21</v>
      </c>
      <c r="F1699" t="s">
        <v>22</v>
      </c>
      <c r="G1699" t="s">
        <v>23</v>
      </c>
      <c r="K1699" cm="1">
        <f t="array" ref="K1699">_xlfn.SWITCH(LeadsData[[#This Row],[Funnel Stage Reached]],"Lead",1,"MQL",2,"SQL",3,"Customer",4)</f>
        <v>2</v>
      </c>
      <c r="L1699" t="str">
        <f>TEXT(LeadsData[[#This Row],[Signup Date]],"mmm-yyyy")</f>
        <v>Dec-2024</v>
      </c>
      <c r="M1699">
        <f>IF(LeadsData[[#This Row],[Stage Number]]&gt;=2,1,0)</f>
        <v>1</v>
      </c>
      <c r="N1699" s="2">
        <f>IF(LeadsData[[#This Row],[Stage Number]]&gt;=3,1,0)</f>
        <v>0</v>
      </c>
      <c r="O1699" s="2">
        <f>IF(LeadsData[[#This Row],[Stage Number]]&gt;=4,1,0)</f>
        <v>0</v>
      </c>
    </row>
    <row r="1700" spans="1:15" x14ac:dyDescent="0.25">
      <c r="A1700" t="s">
        <v>1740</v>
      </c>
      <c r="B1700" s="1">
        <v>45402</v>
      </c>
      <c r="C1700" t="s">
        <v>11</v>
      </c>
      <c r="D1700" t="s">
        <v>68</v>
      </c>
      <c r="E1700" t="s">
        <v>13</v>
      </c>
      <c r="F1700" t="s">
        <v>22</v>
      </c>
      <c r="G1700" t="s">
        <v>29</v>
      </c>
      <c r="K1700" cm="1">
        <f t="array" ref="K1700">_xlfn.SWITCH(LeadsData[[#This Row],[Funnel Stage Reached]],"Lead",1,"MQL",2,"SQL",3,"Customer",4)</f>
        <v>3</v>
      </c>
      <c r="L1700" t="str">
        <f>TEXT(LeadsData[[#This Row],[Signup Date]],"mmm-yyyy")</f>
        <v>Apr-2024</v>
      </c>
      <c r="M1700">
        <f>IF(LeadsData[[#This Row],[Stage Number]]&gt;=2,1,0)</f>
        <v>1</v>
      </c>
      <c r="N1700" s="2">
        <f>IF(LeadsData[[#This Row],[Stage Number]]&gt;=3,1,0)</f>
        <v>1</v>
      </c>
      <c r="O1700" s="2">
        <f>IF(LeadsData[[#This Row],[Stage Number]]&gt;=4,1,0)</f>
        <v>0</v>
      </c>
    </row>
    <row r="1701" spans="1:15" x14ac:dyDescent="0.25">
      <c r="A1701" t="s">
        <v>1741</v>
      </c>
      <c r="B1701" s="1">
        <v>45438</v>
      </c>
      <c r="C1701" t="s">
        <v>11</v>
      </c>
      <c r="D1701" t="s">
        <v>12</v>
      </c>
      <c r="E1701" t="s">
        <v>13</v>
      </c>
      <c r="F1701" t="s">
        <v>19</v>
      </c>
      <c r="G1701" t="s">
        <v>15</v>
      </c>
      <c r="K1701" cm="1">
        <f t="array" ref="K1701">_xlfn.SWITCH(LeadsData[[#This Row],[Funnel Stage Reached]],"Lead",1,"MQL",2,"SQL",3,"Customer",4)</f>
        <v>1</v>
      </c>
      <c r="L1701" t="str">
        <f>TEXT(LeadsData[[#This Row],[Signup Date]],"mmm-yyyy")</f>
        <v>May-2024</v>
      </c>
      <c r="M1701">
        <f>IF(LeadsData[[#This Row],[Stage Number]]&gt;=2,1,0)</f>
        <v>0</v>
      </c>
      <c r="N1701" s="2">
        <f>IF(LeadsData[[#This Row],[Stage Number]]&gt;=3,1,0)</f>
        <v>0</v>
      </c>
      <c r="O1701" s="2">
        <f>IF(LeadsData[[#This Row],[Stage Number]]&gt;=4,1,0)</f>
        <v>0</v>
      </c>
    </row>
    <row r="1702" spans="1:15" x14ac:dyDescent="0.25">
      <c r="A1702" t="s">
        <v>1742</v>
      </c>
      <c r="B1702" s="1">
        <v>45399</v>
      </c>
      <c r="C1702" t="s">
        <v>36</v>
      </c>
      <c r="D1702" t="s">
        <v>50</v>
      </c>
      <c r="E1702" t="s">
        <v>21</v>
      </c>
      <c r="F1702" t="s">
        <v>22</v>
      </c>
      <c r="G1702" t="s">
        <v>15</v>
      </c>
      <c r="K1702" cm="1">
        <f t="array" ref="K1702">_xlfn.SWITCH(LeadsData[[#This Row],[Funnel Stage Reached]],"Lead",1,"MQL",2,"SQL",3,"Customer",4)</f>
        <v>1</v>
      </c>
      <c r="L1702" t="str">
        <f>TEXT(LeadsData[[#This Row],[Signup Date]],"mmm-yyyy")</f>
        <v>Apr-2024</v>
      </c>
      <c r="M1702">
        <f>IF(LeadsData[[#This Row],[Stage Number]]&gt;=2,1,0)</f>
        <v>0</v>
      </c>
      <c r="N1702" s="2">
        <f>IF(LeadsData[[#This Row],[Stage Number]]&gt;=3,1,0)</f>
        <v>0</v>
      </c>
      <c r="O1702" s="2">
        <f>IF(LeadsData[[#This Row],[Stage Number]]&gt;=4,1,0)</f>
        <v>0</v>
      </c>
    </row>
    <row r="1703" spans="1:15" x14ac:dyDescent="0.25">
      <c r="A1703" t="s">
        <v>1743</v>
      </c>
      <c r="B1703" s="1">
        <v>45541</v>
      </c>
      <c r="C1703" t="s">
        <v>11</v>
      </c>
      <c r="D1703" t="s">
        <v>12</v>
      </c>
      <c r="E1703" t="s">
        <v>21</v>
      </c>
      <c r="F1703" t="s">
        <v>19</v>
      </c>
      <c r="G1703" t="s">
        <v>15</v>
      </c>
      <c r="K1703" cm="1">
        <f t="array" ref="K1703">_xlfn.SWITCH(LeadsData[[#This Row],[Funnel Stage Reached]],"Lead",1,"MQL",2,"SQL",3,"Customer",4)</f>
        <v>1</v>
      </c>
      <c r="L1703" t="str">
        <f>TEXT(LeadsData[[#This Row],[Signup Date]],"mmm-yyyy")</f>
        <v>Sep-2024</v>
      </c>
      <c r="M1703">
        <f>IF(LeadsData[[#This Row],[Stage Number]]&gt;=2,1,0)</f>
        <v>0</v>
      </c>
      <c r="N1703" s="2">
        <f>IF(LeadsData[[#This Row],[Stage Number]]&gt;=3,1,0)</f>
        <v>0</v>
      </c>
      <c r="O1703" s="2">
        <f>IF(LeadsData[[#This Row],[Stage Number]]&gt;=4,1,0)</f>
        <v>0</v>
      </c>
    </row>
    <row r="1704" spans="1:15" x14ac:dyDescent="0.25">
      <c r="A1704" t="s">
        <v>1744</v>
      </c>
      <c r="B1704" s="1">
        <v>45651</v>
      </c>
      <c r="C1704" t="s">
        <v>25</v>
      </c>
      <c r="D1704" t="s">
        <v>26</v>
      </c>
      <c r="E1704" t="s">
        <v>13</v>
      </c>
      <c r="F1704" t="s">
        <v>28</v>
      </c>
      <c r="G1704" t="s">
        <v>15</v>
      </c>
      <c r="K1704" cm="1">
        <f t="array" ref="K1704">_xlfn.SWITCH(LeadsData[[#This Row],[Funnel Stage Reached]],"Lead",1,"MQL",2,"SQL",3,"Customer",4)</f>
        <v>1</v>
      </c>
      <c r="L1704" t="str">
        <f>TEXT(LeadsData[[#This Row],[Signup Date]],"mmm-yyyy")</f>
        <v>Dec-2024</v>
      </c>
      <c r="M1704">
        <f>IF(LeadsData[[#This Row],[Stage Number]]&gt;=2,1,0)</f>
        <v>0</v>
      </c>
      <c r="N1704" s="2">
        <f>IF(LeadsData[[#This Row],[Stage Number]]&gt;=3,1,0)</f>
        <v>0</v>
      </c>
      <c r="O1704" s="2">
        <f>IF(LeadsData[[#This Row],[Stage Number]]&gt;=4,1,0)</f>
        <v>0</v>
      </c>
    </row>
    <row r="1705" spans="1:15" x14ac:dyDescent="0.25">
      <c r="A1705" t="s">
        <v>1745</v>
      </c>
      <c r="B1705" s="1">
        <v>45579</v>
      </c>
      <c r="C1705" t="s">
        <v>46</v>
      </c>
      <c r="D1705" t="s">
        <v>47</v>
      </c>
      <c r="E1705" t="s">
        <v>21</v>
      </c>
      <c r="F1705" t="s">
        <v>19</v>
      </c>
      <c r="G1705" t="s">
        <v>15</v>
      </c>
      <c r="K1705" cm="1">
        <f t="array" ref="K1705">_xlfn.SWITCH(LeadsData[[#This Row],[Funnel Stage Reached]],"Lead",1,"MQL",2,"SQL",3,"Customer",4)</f>
        <v>1</v>
      </c>
      <c r="L1705" t="str">
        <f>TEXT(LeadsData[[#This Row],[Signup Date]],"mmm-yyyy")</f>
        <v>Oct-2024</v>
      </c>
      <c r="M1705">
        <f>IF(LeadsData[[#This Row],[Stage Number]]&gt;=2,1,0)</f>
        <v>0</v>
      </c>
      <c r="N1705" s="2">
        <f>IF(LeadsData[[#This Row],[Stage Number]]&gt;=3,1,0)</f>
        <v>0</v>
      </c>
      <c r="O1705" s="2">
        <f>IF(LeadsData[[#This Row],[Stage Number]]&gt;=4,1,0)</f>
        <v>0</v>
      </c>
    </row>
    <row r="1706" spans="1:15" x14ac:dyDescent="0.25">
      <c r="A1706" t="s">
        <v>1746</v>
      </c>
      <c r="B1706" s="1">
        <v>45522</v>
      </c>
      <c r="C1706" t="s">
        <v>46</v>
      </c>
      <c r="D1706" t="s">
        <v>47</v>
      </c>
      <c r="E1706" t="s">
        <v>13</v>
      </c>
      <c r="F1706" t="s">
        <v>19</v>
      </c>
      <c r="G1706" t="s">
        <v>23</v>
      </c>
      <c r="K1706" cm="1">
        <f t="array" ref="K1706">_xlfn.SWITCH(LeadsData[[#This Row],[Funnel Stage Reached]],"Lead",1,"MQL",2,"SQL",3,"Customer",4)</f>
        <v>2</v>
      </c>
      <c r="L1706" t="str">
        <f>TEXT(LeadsData[[#This Row],[Signup Date]],"mmm-yyyy")</f>
        <v>Aug-2024</v>
      </c>
      <c r="M1706">
        <f>IF(LeadsData[[#This Row],[Stage Number]]&gt;=2,1,0)</f>
        <v>1</v>
      </c>
      <c r="N1706" s="2">
        <f>IF(LeadsData[[#This Row],[Stage Number]]&gt;=3,1,0)</f>
        <v>0</v>
      </c>
      <c r="O1706" s="2">
        <f>IF(LeadsData[[#This Row],[Stage Number]]&gt;=4,1,0)</f>
        <v>0</v>
      </c>
    </row>
    <row r="1707" spans="1:15" x14ac:dyDescent="0.25">
      <c r="A1707" t="s">
        <v>1747</v>
      </c>
      <c r="B1707" s="1">
        <v>45606</v>
      </c>
      <c r="C1707" t="s">
        <v>31</v>
      </c>
      <c r="D1707" t="s">
        <v>34</v>
      </c>
      <c r="E1707" t="s">
        <v>21</v>
      </c>
      <c r="F1707" t="s">
        <v>22</v>
      </c>
      <c r="G1707" t="s">
        <v>15</v>
      </c>
      <c r="K1707" cm="1">
        <f t="array" ref="K1707">_xlfn.SWITCH(LeadsData[[#This Row],[Funnel Stage Reached]],"Lead",1,"MQL",2,"SQL",3,"Customer",4)</f>
        <v>1</v>
      </c>
      <c r="L1707" t="str">
        <f>TEXT(LeadsData[[#This Row],[Signup Date]],"mmm-yyyy")</f>
        <v>Nov-2024</v>
      </c>
      <c r="M1707">
        <f>IF(LeadsData[[#This Row],[Stage Number]]&gt;=2,1,0)</f>
        <v>0</v>
      </c>
      <c r="N1707" s="2">
        <f>IF(LeadsData[[#This Row],[Stage Number]]&gt;=3,1,0)</f>
        <v>0</v>
      </c>
      <c r="O1707" s="2">
        <f>IF(LeadsData[[#This Row],[Stage Number]]&gt;=4,1,0)</f>
        <v>0</v>
      </c>
    </row>
    <row r="1708" spans="1:15" x14ac:dyDescent="0.25">
      <c r="A1708" t="s">
        <v>1748</v>
      </c>
      <c r="B1708" s="1">
        <v>45336</v>
      </c>
      <c r="C1708" t="s">
        <v>17</v>
      </c>
      <c r="D1708" t="s">
        <v>53</v>
      </c>
      <c r="E1708" t="s">
        <v>13</v>
      </c>
      <c r="F1708" t="s">
        <v>22</v>
      </c>
      <c r="G1708" t="s">
        <v>15</v>
      </c>
      <c r="K1708" cm="1">
        <f t="array" ref="K1708">_xlfn.SWITCH(LeadsData[[#This Row],[Funnel Stage Reached]],"Lead",1,"MQL",2,"SQL",3,"Customer",4)</f>
        <v>1</v>
      </c>
      <c r="L1708" t="str">
        <f>TEXT(LeadsData[[#This Row],[Signup Date]],"mmm-yyyy")</f>
        <v>Feb-2024</v>
      </c>
      <c r="M1708">
        <f>IF(LeadsData[[#This Row],[Stage Number]]&gt;=2,1,0)</f>
        <v>0</v>
      </c>
      <c r="N1708" s="2">
        <f>IF(LeadsData[[#This Row],[Stage Number]]&gt;=3,1,0)</f>
        <v>0</v>
      </c>
      <c r="O1708" s="2">
        <f>IF(LeadsData[[#This Row],[Stage Number]]&gt;=4,1,0)</f>
        <v>0</v>
      </c>
    </row>
    <row r="1709" spans="1:15" x14ac:dyDescent="0.25">
      <c r="A1709" t="s">
        <v>1749</v>
      </c>
      <c r="B1709" s="1">
        <v>45434</v>
      </c>
      <c r="C1709" t="s">
        <v>31</v>
      </c>
      <c r="D1709" t="s">
        <v>32</v>
      </c>
      <c r="E1709" t="s">
        <v>13</v>
      </c>
      <c r="F1709" t="s">
        <v>19</v>
      </c>
      <c r="G1709" t="s">
        <v>29</v>
      </c>
      <c r="K1709" cm="1">
        <f t="array" ref="K1709">_xlfn.SWITCH(LeadsData[[#This Row],[Funnel Stage Reached]],"Lead",1,"MQL",2,"SQL",3,"Customer",4)</f>
        <v>3</v>
      </c>
      <c r="L1709" t="str">
        <f>TEXT(LeadsData[[#This Row],[Signup Date]],"mmm-yyyy")</f>
        <v>May-2024</v>
      </c>
      <c r="M1709">
        <f>IF(LeadsData[[#This Row],[Stage Number]]&gt;=2,1,0)</f>
        <v>1</v>
      </c>
      <c r="N1709" s="2">
        <f>IF(LeadsData[[#This Row],[Stage Number]]&gt;=3,1,0)</f>
        <v>1</v>
      </c>
      <c r="O1709" s="2">
        <f>IF(LeadsData[[#This Row],[Stage Number]]&gt;=4,1,0)</f>
        <v>0</v>
      </c>
    </row>
    <row r="1710" spans="1:15" x14ac:dyDescent="0.25">
      <c r="A1710" t="s">
        <v>1750</v>
      </c>
      <c r="B1710" s="1">
        <v>45604</v>
      </c>
      <c r="C1710" t="s">
        <v>25</v>
      </c>
      <c r="D1710" t="s">
        <v>26</v>
      </c>
      <c r="E1710" t="s">
        <v>13</v>
      </c>
      <c r="F1710" t="s">
        <v>19</v>
      </c>
      <c r="G1710" t="s">
        <v>23</v>
      </c>
      <c r="K1710" cm="1">
        <f t="array" ref="K1710">_xlfn.SWITCH(LeadsData[[#This Row],[Funnel Stage Reached]],"Lead",1,"MQL",2,"SQL",3,"Customer",4)</f>
        <v>2</v>
      </c>
      <c r="L1710" t="str">
        <f>TEXT(LeadsData[[#This Row],[Signup Date]],"mmm-yyyy")</f>
        <v>Nov-2024</v>
      </c>
      <c r="M1710">
        <f>IF(LeadsData[[#This Row],[Stage Number]]&gt;=2,1,0)</f>
        <v>1</v>
      </c>
      <c r="N1710" s="2">
        <f>IF(LeadsData[[#This Row],[Stage Number]]&gt;=3,1,0)</f>
        <v>0</v>
      </c>
      <c r="O1710" s="2">
        <f>IF(LeadsData[[#This Row],[Stage Number]]&gt;=4,1,0)</f>
        <v>0</v>
      </c>
    </row>
    <row r="1711" spans="1:15" x14ac:dyDescent="0.25">
      <c r="A1711" t="s">
        <v>1751</v>
      </c>
      <c r="B1711" s="1">
        <v>45435</v>
      </c>
      <c r="C1711" t="s">
        <v>31</v>
      </c>
      <c r="D1711" t="s">
        <v>32</v>
      </c>
      <c r="E1711" t="s">
        <v>13</v>
      </c>
      <c r="F1711" t="s">
        <v>19</v>
      </c>
      <c r="G1711" t="s">
        <v>23</v>
      </c>
      <c r="K1711" cm="1">
        <f t="array" ref="K1711">_xlfn.SWITCH(LeadsData[[#This Row],[Funnel Stage Reached]],"Lead",1,"MQL",2,"SQL",3,"Customer",4)</f>
        <v>2</v>
      </c>
      <c r="L1711" t="str">
        <f>TEXT(LeadsData[[#This Row],[Signup Date]],"mmm-yyyy")</f>
        <v>May-2024</v>
      </c>
      <c r="M1711">
        <f>IF(LeadsData[[#This Row],[Stage Number]]&gt;=2,1,0)</f>
        <v>1</v>
      </c>
      <c r="N1711" s="2">
        <f>IF(LeadsData[[#This Row],[Stage Number]]&gt;=3,1,0)</f>
        <v>0</v>
      </c>
      <c r="O1711" s="2">
        <f>IF(LeadsData[[#This Row],[Stage Number]]&gt;=4,1,0)</f>
        <v>0</v>
      </c>
    </row>
    <row r="1712" spans="1:15" x14ac:dyDescent="0.25">
      <c r="A1712" t="s">
        <v>1752</v>
      </c>
      <c r="B1712" s="1">
        <v>45514</v>
      </c>
      <c r="C1712" t="s">
        <v>17</v>
      </c>
      <c r="D1712" t="s">
        <v>18</v>
      </c>
      <c r="E1712" t="s">
        <v>13</v>
      </c>
      <c r="F1712" t="s">
        <v>14</v>
      </c>
      <c r="G1712" t="s">
        <v>15</v>
      </c>
      <c r="K1712" cm="1">
        <f t="array" ref="K1712">_xlfn.SWITCH(LeadsData[[#This Row],[Funnel Stage Reached]],"Lead",1,"MQL",2,"SQL",3,"Customer",4)</f>
        <v>1</v>
      </c>
      <c r="L1712" t="str">
        <f>TEXT(LeadsData[[#This Row],[Signup Date]],"mmm-yyyy")</f>
        <v>Aug-2024</v>
      </c>
      <c r="M1712">
        <f>IF(LeadsData[[#This Row],[Stage Number]]&gt;=2,1,0)</f>
        <v>0</v>
      </c>
      <c r="N1712" s="2">
        <f>IF(LeadsData[[#This Row],[Stage Number]]&gt;=3,1,0)</f>
        <v>0</v>
      </c>
      <c r="O1712" s="2">
        <f>IF(LeadsData[[#This Row],[Stage Number]]&gt;=4,1,0)</f>
        <v>0</v>
      </c>
    </row>
    <row r="1713" spans="1:15" x14ac:dyDescent="0.25">
      <c r="A1713" t="s">
        <v>1753</v>
      </c>
      <c r="B1713" s="1">
        <v>45353</v>
      </c>
      <c r="C1713" t="s">
        <v>25</v>
      </c>
      <c r="D1713" t="s">
        <v>26</v>
      </c>
      <c r="E1713" t="s">
        <v>13</v>
      </c>
      <c r="F1713" t="s">
        <v>19</v>
      </c>
      <c r="G1713" t="s">
        <v>42</v>
      </c>
      <c r="H1713">
        <v>63</v>
      </c>
      <c r="I1713" t="s">
        <v>87</v>
      </c>
      <c r="J1713">
        <v>2650.41</v>
      </c>
      <c r="K1713" cm="1">
        <f t="array" ref="K1713">_xlfn.SWITCH(LeadsData[[#This Row],[Funnel Stage Reached]],"Lead",1,"MQL",2,"SQL",3,"Customer",4)</f>
        <v>4</v>
      </c>
      <c r="L1713" t="str">
        <f>TEXT(LeadsData[[#This Row],[Signup Date]],"mmm-yyyy")</f>
        <v>Mar-2024</v>
      </c>
      <c r="M1713">
        <f>IF(LeadsData[[#This Row],[Stage Number]]&gt;=2,1,0)</f>
        <v>1</v>
      </c>
      <c r="N1713" s="2">
        <f>IF(LeadsData[[#This Row],[Stage Number]]&gt;=3,1,0)</f>
        <v>1</v>
      </c>
      <c r="O1713" s="2">
        <f>IF(LeadsData[[#This Row],[Stage Number]]&gt;=4,1,0)</f>
        <v>1</v>
      </c>
    </row>
    <row r="1714" spans="1:15" x14ac:dyDescent="0.25">
      <c r="A1714" t="s">
        <v>1754</v>
      </c>
      <c r="B1714" s="1">
        <v>45529</v>
      </c>
      <c r="C1714" t="s">
        <v>31</v>
      </c>
      <c r="D1714" t="s">
        <v>32</v>
      </c>
      <c r="E1714" t="s">
        <v>21</v>
      </c>
      <c r="F1714" t="s">
        <v>19</v>
      </c>
      <c r="G1714" t="s">
        <v>23</v>
      </c>
      <c r="K1714" cm="1">
        <f t="array" ref="K1714">_xlfn.SWITCH(LeadsData[[#This Row],[Funnel Stage Reached]],"Lead",1,"MQL",2,"SQL",3,"Customer",4)</f>
        <v>2</v>
      </c>
      <c r="L1714" t="str">
        <f>TEXT(LeadsData[[#This Row],[Signup Date]],"mmm-yyyy")</f>
        <v>Aug-2024</v>
      </c>
      <c r="M1714">
        <f>IF(LeadsData[[#This Row],[Stage Number]]&gt;=2,1,0)</f>
        <v>1</v>
      </c>
      <c r="N1714" s="2">
        <f>IF(LeadsData[[#This Row],[Stage Number]]&gt;=3,1,0)</f>
        <v>0</v>
      </c>
      <c r="O1714" s="2">
        <f>IF(LeadsData[[#This Row],[Stage Number]]&gt;=4,1,0)</f>
        <v>0</v>
      </c>
    </row>
    <row r="1715" spans="1:15" x14ac:dyDescent="0.25">
      <c r="A1715" t="s">
        <v>1755</v>
      </c>
      <c r="B1715" s="1">
        <v>45633</v>
      </c>
      <c r="C1715" t="s">
        <v>46</v>
      </c>
      <c r="D1715" t="s">
        <v>56</v>
      </c>
      <c r="E1715" t="s">
        <v>13</v>
      </c>
      <c r="F1715" t="s">
        <v>19</v>
      </c>
      <c r="G1715" t="s">
        <v>15</v>
      </c>
      <c r="K1715" cm="1">
        <f t="array" ref="K1715">_xlfn.SWITCH(LeadsData[[#This Row],[Funnel Stage Reached]],"Lead",1,"MQL",2,"SQL",3,"Customer",4)</f>
        <v>1</v>
      </c>
      <c r="L1715" t="str">
        <f>TEXT(LeadsData[[#This Row],[Signup Date]],"mmm-yyyy")</f>
        <v>Dec-2024</v>
      </c>
      <c r="M1715">
        <f>IF(LeadsData[[#This Row],[Stage Number]]&gt;=2,1,0)</f>
        <v>0</v>
      </c>
      <c r="N1715" s="2">
        <f>IF(LeadsData[[#This Row],[Stage Number]]&gt;=3,1,0)</f>
        <v>0</v>
      </c>
      <c r="O1715" s="2">
        <f>IF(LeadsData[[#This Row],[Stage Number]]&gt;=4,1,0)</f>
        <v>0</v>
      </c>
    </row>
    <row r="1716" spans="1:15" x14ac:dyDescent="0.25">
      <c r="A1716" t="s">
        <v>1756</v>
      </c>
      <c r="B1716" s="1">
        <v>45350</v>
      </c>
      <c r="C1716" t="s">
        <v>46</v>
      </c>
      <c r="D1716" t="s">
        <v>56</v>
      </c>
      <c r="E1716" t="s">
        <v>21</v>
      </c>
      <c r="F1716" t="s">
        <v>19</v>
      </c>
      <c r="G1716" t="s">
        <v>15</v>
      </c>
      <c r="K1716" cm="1">
        <f t="array" ref="K1716">_xlfn.SWITCH(LeadsData[[#This Row],[Funnel Stage Reached]],"Lead",1,"MQL",2,"SQL",3,"Customer",4)</f>
        <v>1</v>
      </c>
      <c r="L1716" t="str">
        <f>TEXT(LeadsData[[#This Row],[Signup Date]],"mmm-yyyy")</f>
        <v>Feb-2024</v>
      </c>
      <c r="M1716">
        <f>IF(LeadsData[[#This Row],[Stage Number]]&gt;=2,1,0)</f>
        <v>0</v>
      </c>
      <c r="N1716" s="2">
        <f>IF(LeadsData[[#This Row],[Stage Number]]&gt;=3,1,0)</f>
        <v>0</v>
      </c>
      <c r="O1716" s="2">
        <f>IF(LeadsData[[#This Row],[Stage Number]]&gt;=4,1,0)</f>
        <v>0</v>
      </c>
    </row>
    <row r="1717" spans="1:15" x14ac:dyDescent="0.25">
      <c r="A1717" t="s">
        <v>1757</v>
      </c>
      <c r="B1717" s="1">
        <v>45297</v>
      </c>
      <c r="C1717" t="s">
        <v>36</v>
      </c>
      <c r="D1717" t="s">
        <v>50</v>
      </c>
      <c r="E1717" t="s">
        <v>48</v>
      </c>
      <c r="F1717" t="s">
        <v>22</v>
      </c>
      <c r="G1717" t="s">
        <v>15</v>
      </c>
      <c r="K1717" cm="1">
        <f t="array" ref="K1717">_xlfn.SWITCH(LeadsData[[#This Row],[Funnel Stage Reached]],"Lead",1,"MQL",2,"SQL",3,"Customer",4)</f>
        <v>1</v>
      </c>
      <c r="L1717" t="str">
        <f>TEXT(LeadsData[[#This Row],[Signup Date]],"mmm-yyyy")</f>
        <v>Jan-2024</v>
      </c>
      <c r="M1717">
        <f>IF(LeadsData[[#This Row],[Stage Number]]&gt;=2,1,0)</f>
        <v>0</v>
      </c>
      <c r="N1717" s="2">
        <f>IF(LeadsData[[#This Row],[Stage Number]]&gt;=3,1,0)</f>
        <v>0</v>
      </c>
      <c r="O1717" s="2">
        <f>IF(LeadsData[[#This Row],[Stage Number]]&gt;=4,1,0)</f>
        <v>0</v>
      </c>
    </row>
    <row r="1718" spans="1:15" x14ac:dyDescent="0.25">
      <c r="A1718" t="s">
        <v>1758</v>
      </c>
      <c r="B1718" s="1">
        <v>45436</v>
      </c>
      <c r="C1718" t="s">
        <v>31</v>
      </c>
      <c r="D1718" t="s">
        <v>32</v>
      </c>
      <c r="E1718" t="s">
        <v>21</v>
      </c>
      <c r="F1718" t="s">
        <v>14</v>
      </c>
      <c r="G1718" t="s">
        <v>29</v>
      </c>
      <c r="K1718" cm="1">
        <f t="array" ref="K1718">_xlfn.SWITCH(LeadsData[[#This Row],[Funnel Stage Reached]],"Lead",1,"MQL",2,"SQL",3,"Customer",4)</f>
        <v>3</v>
      </c>
      <c r="L1718" t="str">
        <f>TEXT(LeadsData[[#This Row],[Signup Date]],"mmm-yyyy")</f>
        <v>May-2024</v>
      </c>
      <c r="M1718">
        <f>IF(LeadsData[[#This Row],[Stage Number]]&gt;=2,1,0)</f>
        <v>1</v>
      </c>
      <c r="N1718" s="2">
        <f>IF(LeadsData[[#This Row],[Stage Number]]&gt;=3,1,0)</f>
        <v>1</v>
      </c>
      <c r="O1718" s="2">
        <f>IF(LeadsData[[#This Row],[Stage Number]]&gt;=4,1,0)</f>
        <v>0</v>
      </c>
    </row>
    <row r="1719" spans="1:15" x14ac:dyDescent="0.25">
      <c r="A1719" t="s">
        <v>1759</v>
      </c>
      <c r="B1719" s="1">
        <v>45309</v>
      </c>
      <c r="C1719" t="s">
        <v>31</v>
      </c>
      <c r="D1719" t="s">
        <v>32</v>
      </c>
      <c r="E1719" t="s">
        <v>13</v>
      </c>
      <c r="F1719" t="s">
        <v>22</v>
      </c>
      <c r="G1719" t="s">
        <v>15</v>
      </c>
      <c r="K1719" cm="1">
        <f t="array" ref="K1719">_xlfn.SWITCH(LeadsData[[#This Row],[Funnel Stage Reached]],"Lead",1,"MQL",2,"SQL",3,"Customer",4)</f>
        <v>1</v>
      </c>
      <c r="L1719" t="str">
        <f>TEXT(LeadsData[[#This Row],[Signup Date]],"mmm-yyyy")</f>
        <v>Jan-2024</v>
      </c>
      <c r="M1719">
        <f>IF(LeadsData[[#This Row],[Stage Number]]&gt;=2,1,0)</f>
        <v>0</v>
      </c>
      <c r="N1719" s="2">
        <f>IF(LeadsData[[#This Row],[Stage Number]]&gt;=3,1,0)</f>
        <v>0</v>
      </c>
      <c r="O1719" s="2">
        <f>IF(LeadsData[[#This Row],[Stage Number]]&gt;=4,1,0)</f>
        <v>0</v>
      </c>
    </row>
    <row r="1720" spans="1:15" x14ac:dyDescent="0.25">
      <c r="A1720" t="s">
        <v>1760</v>
      </c>
      <c r="B1720" s="1">
        <v>45509</v>
      </c>
      <c r="C1720" t="s">
        <v>11</v>
      </c>
      <c r="D1720" t="s">
        <v>79</v>
      </c>
      <c r="E1720" t="s">
        <v>21</v>
      </c>
      <c r="F1720" t="s">
        <v>19</v>
      </c>
      <c r="G1720" t="s">
        <v>23</v>
      </c>
      <c r="K1720" cm="1">
        <f t="array" ref="K1720">_xlfn.SWITCH(LeadsData[[#This Row],[Funnel Stage Reached]],"Lead",1,"MQL",2,"SQL",3,"Customer",4)</f>
        <v>2</v>
      </c>
      <c r="L1720" t="str">
        <f>TEXT(LeadsData[[#This Row],[Signup Date]],"mmm-yyyy")</f>
        <v>Aug-2024</v>
      </c>
      <c r="M1720">
        <f>IF(LeadsData[[#This Row],[Stage Number]]&gt;=2,1,0)</f>
        <v>1</v>
      </c>
      <c r="N1720" s="2">
        <f>IF(LeadsData[[#This Row],[Stage Number]]&gt;=3,1,0)</f>
        <v>0</v>
      </c>
      <c r="O1720" s="2">
        <f>IF(LeadsData[[#This Row],[Stage Number]]&gt;=4,1,0)</f>
        <v>0</v>
      </c>
    </row>
    <row r="1721" spans="1:15" x14ac:dyDescent="0.25">
      <c r="A1721" t="s">
        <v>1761</v>
      </c>
      <c r="B1721" s="1">
        <v>45387</v>
      </c>
      <c r="C1721" t="s">
        <v>11</v>
      </c>
      <c r="D1721" t="s">
        <v>68</v>
      </c>
      <c r="E1721" t="s">
        <v>13</v>
      </c>
      <c r="F1721" t="s">
        <v>22</v>
      </c>
      <c r="G1721" t="s">
        <v>15</v>
      </c>
      <c r="K1721" cm="1">
        <f t="array" ref="K1721">_xlfn.SWITCH(LeadsData[[#This Row],[Funnel Stage Reached]],"Lead",1,"MQL",2,"SQL",3,"Customer",4)</f>
        <v>1</v>
      </c>
      <c r="L1721" t="str">
        <f>TEXT(LeadsData[[#This Row],[Signup Date]],"mmm-yyyy")</f>
        <v>Apr-2024</v>
      </c>
      <c r="M1721">
        <f>IF(LeadsData[[#This Row],[Stage Number]]&gt;=2,1,0)</f>
        <v>0</v>
      </c>
      <c r="N1721" s="2">
        <f>IF(LeadsData[[#This Row],[Stage Number]]&gt;=3,1,0)</f>
        <v>0</v>
      </c>
      <c r="O1721" s="2">
        <f>IF(LeadsData[[#This Row],[Stage Number]]&gt;=4,1,0)</f>
        <v>0</v>
      </c>
    </row>
    <row r="1722" spans="1:15" x14ac:dyDescent="0.25">
      <c r="A1722" t="s">
        <v>1762</v>
      </c>
      <c r="B1722" s="1">
        <v>45585</v>
      </c>
      <c r="C1722" t="s">
        <v>17</v>
      </c>
      <c r="D1722" t="s">
        <v>18</v>
      </c>
      <c r="E1722" t="s">
        <v>13</v>
      </c>
      <c r="F1722" t="s">
        <v>28</v>
      </c>
      <c r="G1722" t="s">
        <v>15</v>
      </c>
      <c r="K1722" cm="1">
        <f t="array" ref="K1722">_xlfn.SWITCH(LeadsData[[#This Row],[Funnel Stage Reached]],"Lead",1,"MQL",2,"SQL",3,"Customer",4)</f>
        <v>1</v>
      </c>
      <c r="L1722" t="str">
        <f>TEXT(LeadsData[[#This Row],[Signup Date]],"mmm-yyyy")</f>
        <v>Oct-2024</v>
      </c>
      <c r="M1722">
        <f>IF(LeadsData[[#This Row],[Stage Number]]&gt;=2,1,0)</f>
        <v>0</v>
      </c>
      <c r="N1722" s="2">
        <f>IF(LeadsData[[#This Row],[Stage Number]]&gt;=3,1,0)</f>
        <v>0</v>
      </c>
      <c r="O1722" s="2">
        <f>IF(LeadsData[[#This Row],[Stage Number]]&gt;=4,1,0)</f>
        <v>0</v>
      </c>
    </row>
    <row r="1723" spans="1:15" x14ac:dyDescent="0.25">
      <c r="A1723" t="s">
        <v>1763</v>
      </c>
      <c r="B1723" s="1">
        <v>45479</v>
      </c>
      <c r="C1723" t="s">
        <v>17</v>
      </c>
      <c r="D1723" t="s">
        <v>53</v>
      </c>
      <c r="E1723" t="s">
        <v>13</v>
      </c>
      <c r="F1723" t="s">
        <v>14</v>
      </c>
      <c r="G1723" t="s">
        <v>15</v>
      </c>
      <c r="K1723" cm="1">
        <f t="array" ref="K1723">_xlfn.SWITCH(LeadsData[[#This Row],[Funnel Stage Reached]],"Lead",1,"MQL",2,"SQL",3,"Customer",4)</f>
        <v>1</v>
      </c>
      <c r="L1723" t="str">
        <f>TEXT(LeadsData[[#This Row],[Signup Date]],"mmm-yyyy")</f>
        <v>Jul-2024</v>
      </c>
      <c r="M1723">
        <f>IF(LeadsData[[#This Row],[Stage Number]]&gt;=2,1,0)</f>
        <v>0</v>
      </c>
      <c r="N1723" s="2">
        <f>IF(LeadsData[[#This Row],[Stage Number]]&gt;=3,1,0)</f>
        <v>0</v>
      </c>
      <c r="O1723" s="2">
        <f>IF(LeadsData[[#This Row],[Stage Number]]&gt;=4,1,0)</f>
        <v>0</v>
      </c>
    </row>
    <row r="1724" spans="1:15" x14ac:dyDescent="0.25">
      <c r="A1724" t="s">
        <v>1764</v>
      </c>
      <c r="B1724" s="1">
        <v>45468</v>
      </c>
      <c r="C1724" t="s">
        <v>46</v>
      </c>
      <c r="D1724" t="s">
        <v>56</v>
      </c>
      <c r="E1724" t="s">
        <v>13</v>
      </c>
      <c r="F1724" t="s">
        <v>19</v>
      </c>
      <c r="G1724" t="s">
        <v>15</v>
      </c>
      <c r="K1724" cm="1">
        <f t="array" ref="K1724">_xlfn.SWITCH(LeadsData[[#This Row],[Funnel Stage Reached]],"Lead",1,"MQL",2,"SQL",3,"Customer",4)</f>
        <v>1</v>
      </c>
      <c r="L1724" t="str">
        <f>TEXT(LeadsData[[#This Row],[Signup Date]],"mmm-yyyy")</f>
        <v>Jun-2024</v>
      </c>
      <c r="M1724">
        <f>IF(LeadsData[[#This Row],[Stage Number]]&gt;=2,1,0)</f>
        <v>0</v>
      </c>
      <c r="N1724" s="2">
        <f>IF(LeadsData[[#This Row],[Stage Number]]&gt;=3,1,0)</f>
        <v>0</v>
      </c>
      <c r="O1724" s="2">
        <f>IF(LeadsData[[#This Row],[Stage Number]]&gt;=4,1,0)</f>
        <v>0</v>
      </c>
    </row>
    <row r="1725" spans="1:15" x14ac:dyDescent="0.25">
      <c r="A1725" t="s">
        <v>1765</v>
      </c>
      <c r="B1725" s="1">
        <v>45608</v>
      </c>
      <c r="C1725" t="s">
        <v>11</v>
      </c>
      <c r="D1725" t="s">
        <v>12</v>
      </c>
      <c r="E1725" t="s">
        <v>13</v>
      </c>
      <c r="F1725" t="s">
        <v>19</v>
      </c>
      <c r="G1725" t="s">
        <v>23</v>
      </c>
      <c r="K1725" cm="1">
        <f t="array" ref="K1725">_xlfn.SWITCH(LeadsData[[#This Row],[Funnel Stage Reached]],"Lead",1,"MQL",2,"SQL",3,"Customer",4)</f>
        <v>2</v>
      </c>
      <c r="L1725" t="str">
        <f>TEXT(LeadsData[[#This Row],[Signup Date]],"mmm-yyyy")</f>
        <v>Nov-2024</v>
      </c>
      <c r="M1725">
        <f>IF(LeadsData[[#This Row],[Stage Number]]&gt;=2,1,0)</f>
        <v>1</v>
      </c>
      <c r="N1725" s="2">
        <f>IF(LeadsData[[#This Row],[Stage Number]]&gt;=3,1,0)</f>
        <v>0</v>
      </c>
      <c r="O1725" s="2">
        <f>IF(LeadsData[[#This Row],[Stage Number]]&gt;=4,1,0)</f>
        <v>0</v>
      </c>
    </row>
    <row r="1726" spans="1:15" x14ac:dyDescent="0.25">
      <c r="A1726" t="s">
        <v>1766</v>
      </c>
      <c r="B1726" s="1">
        <v>45438</v>
      </c>
      <c r="C1726" t="s">
        <v>31</v>
      </c>
      <c r="D1726" t="s">
        <v>32</v>
      </c>
      <c r="E1726" t="s">
        <v>13</v>
      </c>
      <c r="F1726" t="s">
        <v>19</v>
      </c>
      <c r="G1726" t="s">
        <v>23</v>
      </c>
      <c r="K1726" cm="1">
        <f t="array" ref="K1726">_xlfn.SWITCH(LeadsData[[#This Row],[Funnel Stage Reached]],"Lead",1,"MQL",2,"SQL",3,"Customer",4)</f>
        <v>2</v>
      </c>
      <c r="L1726" t="str">
        <f>TEXT(LeadsData[[#This Row],[Signup Date]],"mmm-yyyy")</f>
        <v>May-2024</v>
      </c>
      <c r="M1726">
        <f>IF(LeadsData[[#This Row],[Stage Number]]&gt;=2,1,0)</f>
        <v>1</v>
      </c>
      <c r="N1726" s="2">
        <f>IF(LeadsData[[#This Row],[Stage Number]]&gt;=3,1,0)</f>
        <v>0</v>
      </c>
      <c r="O1726" s="2">
        <f>IF(LeadsData[[#This Row],[Stage Number]]&gt;=4,1,0)</f>
        <v>0</v>
      </c>
    </row>
    <row r="1727" spans="1:15" x14ac:dyDescent="0.25">
      <c r="A1727" t="s">
        <v>1767</v>
      </c>
      <c r="B1727" s="1">
        <v>45302</v>
      </c>
      <c r="C1727" t="s">
        <v>17</v>
      </c>
      <c r="D1727" t="s">
        <v>18</v>
      </c>
      <c r="E1727" t="s">
        <v>21</v>
      </c>
      <c r="F1727" t="s">
        <v>19</v>
      </c>
      <c r="G1727" t="s">
        <v>15</v>
      </c>
      <c r="K1727" cm="1">
        <f t="array" ref="K1727">_xlfn.SWITCH(LeadsData[[#This Row],[Funnel Stage Reached]],"Lead",1,"MQL",2,"SQL",3,"Customer",4)</f>
        <v>1</v>
      </c>
      <c r="L1727" t="str">
        <f>TEXT(LeadsData[[#This Row],[Signup Date]],"mmm-yyyy")</f>
        <v>Jan-2024</v>
      </c>
      <c r="M1727">
        <f>IF(LeadsData[[#This Row],[Stage Number]]&gt;=2,1,0)</f>
        <v>0</v>
      </c>
      <c r="N1727" s="2">
        <f>IF(LeadsData[[#This Row],[Stage Number]]&gt;=3,1,0)</f>
        <v>0</v>
      </c>
      <c r="O1727" s="2">
        <f>IF(LeadsData[[#This Row],[Stage Number]]&gt;=4,1,0)</f>
        <v>0</v>
      </c>
    </row>
    <row r="1728" spans="1:15" x14ac:dyDescent="0.25">
      <c r="A1728" t="s">
        <v>1768</v>
      </c>
      <c r="B1728" s="1">
        <v>45378</v>
      </c>
      <c r="C1728" t="s">
        <v>36</v>
      </c>
      <c r="D1728" t="s">
        <v>50</v>
      </c>
      <c r="E1728" t="s">
        <v>21</v>
      </c>
      <c r="F1728" t="s">
        <v>22</v>
      </c>
      <c r="G1728" t="s">
        <v>29</v>
      </c>
      <c r="K1728" cm="1">
        <f t="array" ref="K1728">_xlfn.SWITCH(LeadsData[[#This Row],[Funnel Stage Reached]],"Lead",1,"MQL",2,"SQL",3,"Customer",4)</f>
        <v>3</v>
      </c>
      <c r="L1728" t="str">
        <f>TEXT(LeadsData[[#This Row],[Signup Date]],"mmm-yyyy")</f>
        <v>Mar-2024</v>
      </c>
      <c r="M1728">
        <f>IF(LeadsData[[#This Row],[Stage Number]]&gt;=2,1,0)</f>
        <v>1</v>
      </c>
      <c r="N1728" s="2">
        <f>IF(LeadsData[[#This Row],[Stage Number]]&gt;=3,1,0)</f>
        <v>1</v>
      </c>
      <c r="O1728" s="2">
        <f>IF(LeadsData[[#This Row],[Stage Number]]&gt;=4,1,0)</f>
        <v>0</v>
      </c>
    </row>
    <row r="1729" spans="1:15" x14ac:dyDescent="0.25">
      <c r="A1729" t="s">
        <v>1769</v>
      </c>
      <c r="B1729" s="1">
        <v>45425</v>
      </c>
      <c r="C1729" t="s">
        <v>11</v>
      </c>
      <c r="D1729" t="s">
        <v>12</v>
      </c>
      <c r="E1729" t="s">
        <v>13</v>
      </c>
      <c r="F1729" t="s">
        <v>14</v>
      </c>
      <c r="G1729" t="s">
        <v>23</v>
      </c>
      <c r="K1729" cm="1">
        <f t="array" ref="K1729">_xlfn.SWITCH(LeadsData[[#This Row],[Funnel Stage Reached]],"Lead",1,"MQL",2,"SQL",3,"Customer",4)</f>
        <v>2</v>
      </c>
      <c r="L1729" t="str">
        <f>TEXT(LeadsData[[#This Row],[Signup Date]],"mmm-yyyy")</f>
        <v>May-2024</v>
      </c>
      <c r="M1729">
        <f>IF(LeadsData[[#This Row],[Stage Number]]&gt;=2,1,0)</f>
        <v>1</v>
      </c>
      <c r="N1729" s="2">
        <f>IF(LeadsData[[#This Row],[Stage Number]]&gt;=3,1,0)</f>
        <v>0</v>
      </c>
      <c r="O1729" s="2">
        <f>IF(LeadsData[[#This Row],[Stage Number]]&gt;=4,1,0)</f>
        <v>0</v>
      </c>
    </row>
    <row r="1730" spans="1:15" x14ac:dyDescent="0.25">
      <c r="A1730" t="s">
        <v>1770</v>
      </c>
      <c r="B1730" s="1">
        <v>45392</v>
      </c>
      <c r="C1730" t="s">
        <v>25</v>
      </c>
      <c r="D1730" t="s">
        <v>26</v>
      </c>
      <c r="E1730" t="s">
        <v>13</v>
      </c>
      <c r="F1730" t="s">
        <v>22</v>
      </c>
      <c r="G1730" t="s">
        <v>23</v>
      </c>
      <c r="K1730" cm="1">
        <f t="array" ref="K1730">_xlfn.SWITCH(LeadsData[[#This Row],[Funnel Stage Reached]],"Lead",1,"MQL",2,"SQL",3,"Customer",4)</f>
        <v>2</v>
      </c>
      <c r="L1730" t="str">
        <f>TEXT(LeadsData[[#This Row],[Signup Date]],"mmm-yyyy")</f>
        <v>Apr-2024</v>
      </c>
      <c r="M1730">
        <f>IF(LeadsData[[#This Row],[Stage Number]]&gt;=2,1,0)</f>
        <v>1</v>
      </c>
      <c r="N1730" s="2">
        <f>IF(LeadsData[[#This Row],[Stage Number]]&gt;=3,1,0)</f>
        <v>0</v>
      </c>
      <c r="O1730" s="2">
        <f>IF(LeadsData[[#This Row],[Stage Number]]&gt;=4,1,0)</f>
        <v>0</v>
      </c>
    </row>
    <row r="1731" spans="1:15" x14ac:dyDescent="0.25">
      <c r="A1731" t="s">
        <v>1771</v>
      </c>
      <c r="B1731" s="1">
        <v>45568</v>
      </c>
      <c r="C1731" t="s">
        <v>31</v>
      </c>
      <c r="D1731" t="s">
        <v>32</v>
      </c>
      <c r="E1731" t="s">
        <v>21</v>
      </c>
      <c r="F1731" t="s">
        <v>22</v>
      </c>
      <c r="G1731" t="s">
        <v>15</v>
      </c>
      <c r="K1731" cm="1">
        <f t="array" ref="K1731">_xlfn.SWITCH(LeadsData[[#This Row],[Funnel Stage Reached]],"Lead",1,"MQL",2,"SQL",3,"Customer",4)</f>
        <v>1</v>
      </c>
      <c r="L1731" t="str">
        <f>TEXT(LeadsData[[#This Row],[Signup Date]],"mmm-yyyy")</f>
        <v>Oct-2024</v>
      </c>
      <c r="M1731">
        <f>IF(LeadsData[[#This Row],[Stage Number]]&gt;=2,1,0)</f>
        <v>0</v>
      </c>
      <c r="N1731" s="2">
        <f>IF(LeadsData[[#This Row],[Stage Number]]&gt;=3,1,0)</f>
        <v>0</v>
      </c>
      <c r="O1731" s="2">
        <f>IF(LeadsData[[#This Row],[Stage Number]]&gt;=4,1,0)</f>
        <v>0</v>
      </c>
    </row>
    <row r="1732" spans="1:15" x14ac:dyDescent="0.25">
      <c r="A1732" t="s">
        <v>1772</v>
      </c>
      <c r="B1732" s="1">
        <v>45648</v>
      </c>
      <c r="C1732" t="s">
        <v>25</v>
      </c>
      <c r="D1732" t="s">
        <v>26</v>
      </c>
      <c r="E1732" t="s">
        <v>21</v>
      </c>
      <c r="F1732" t="s">
        <v>19</v>
      </c>
      <c r="G1732" t="s">
        <v>23</v>
      </c>
      <c r="K1732" cm="1">
        <f t="array" ref="K1732">_xlfn.SWITCH(LeadsData[[#This Row],[Funnel Stage Reached]],"Lead",1,"MQL",2,"SQL",3,"Customer",4)</f>
        <v>2</v>
      </c>
      <c r="L1732" t="str">
        <f>TEXT(LeadsData[[#This Row],[Signup Date]],"mmm-yyyy")</f>
        <v>Dec-2024</v>
      </c>
      <c r="M1732">
        <f>IF(LeadsData[[#This Row],[Stage Number]]&gt;=2,1,0)</f>
        <v>1</v>
      </c>
      <c r="N1732" s="2">
        <f>IF(LeadsData[[#This Row],[Stage Number]]&gt;=3,1,0)</f>
        <v>0</v>
      </c>
      <c r="O1732" s="2">
        <f>IF(LeadsData[[#This Row],[Stage Number]]&gt;=4,1,0)</f>
        <v>0</v>
      </c>
    </row>
    <row r="1733" spans="1:15" x14ac:dyDescent="0.25">
      <c r="A1733" t="s">
        <v>1773</v>
      </c>
      <c r="B1733" s="1">
        <v>45527</v>
      </c>
      <c r="C1733" t="s">
        <v>11</v>
      </c>
      <c r="D1733" t="s">
        <v>79</v>
      </c>
      <c r="E1733" t="s">
        <v>13</v>
      </c>
      <c r="F1733" t="s">
        <v>19</v>
      </c>
      <c r="G1733" t="s">
        <v>15</v>
      </c>
      <c r="K1733" cm="1">
        <f t="array" ref="K1733">_xlfn.SWITCH(LeadsData[[#This Row],[Funnel Stage Reached]],"Lead",1,"MQL",2,"SQL",3,"Customer",4)</f>
        <v>1</v>
      </c>
      <c r="L1733" t="str">
        <f>TEXT(LeadsData[[#This Row],[Signup Date]],"mmm-yyyy")</f>
        <v>Aug-2024</v>
      </c>
      <c r="M1733">
        <f>IF(LeadsData[[#This Row],[Stage Number]]&gt;=2,1,0)</f>
        <v>0</v>
      </c>
      <c r="N1733" s="2">
        <f>IF(LeadsData[[#This Row],[Stage Number]]&gt;=3,1,0)</f>
        <v>0</v>
      </c>
      <c r="O1733" s="2">
        <f>IF(LeadsData[[#This Row],[Stage Number]]&gt;=4,1,0)</f>
        <v>0</v>
      </c>
    </row>
    <row r="1734" spans="1:15" x14ac:dyDescent="0.25">
      <c r="A1734" t="s">
        <v>1774</v>
      </c>
      <c r="B1734" s="1">
        <v>45361</v>
      </c>
      <c r="C1734" t="s">
        <v>46</v>
      </c>
      <c r="D1734" t="s">
        <v>56</v>
      </c>
      <c r="E1734" t="s">
        <v>13</v>
      </c>
      <c r="F1734" t="s">
        <v>19</v>
      </c>
      <c r="G1734" t="s">
        <v>15</v>
      </c>
      <c r="K1734" cm="1">
        <f t="array" ref="K1734">_xlfn.SWITCH(LeadsData[[#This Row],[Funnel Stage Reached]],"Lead",1,"MQL",2,"SQL",3,"Customer",4)</f>
        <v>1</v>
      </c>
      <c r="L1734" t="str">
        <f>TEXT(LeadsData[[#This Row],[Signup Date]],"mmm-yyyy")</f>
        <v>Mar-2024</v>
      </c>
      <c r="M1734">
        <f>IF(LeadsData[[#This Row],[Stage Number]]&gt;=2,1,0)</f>
        <v>0</v>
      </c>
      <c r="N1734" s="2">
        <f>IF(LeadsData[[#This Row],[Stage Number]]&gt;=3,1,0)</f>
        <v>0</v>
      </c>
      <c r="O1734" s="2">
        <f>IF(LeadsData[[#This Row],[Stage Number]]&gt;=4,1,0)</f>
        <v>0</v>
      </c>
    </row>
    <row r="1735" spans="1:15" x14ac:dyDescent="0.25">
      <c r="A1735" t="s">
        <v>1775</v>
      </c>
      <c r="B1735" s="1">
        <v>45509</v>
      </c>
      <c r="C1735" t="s">
        <v>46</v>
      </c>
      <c r="D1735" t="s">
        <v>47</v>
      </c>
      <c r="E1735" t="s">
        <v>13</v>
      </c>
      <c r="F1735" t="s">
        <v>22</v>
      </c>
      <c r="G1735" t="s">
        <v>15</v>
      </c>
      <c r="K1735" cm="1">
        <f t="array" ref="K1735">_xlfn.SWITCH(LeadsData[[#This Row],[Funnel Stage Reached]],"Lead",1,"MQL",2,"SQL",3,"Customer",4)</f>
        <v>1</v>
      </c>
      <c r="L1735" t="str">
        <f>TEXT(LeadsData[[#This Row],[Signup Date]],"mmm-yyyy")</f>
        <v>Aug-2024</v>
      </c>
      <c r="M1735">
        <f>IF(LeadsData[[#This Row],[Stage Number]]&gt;=2,1,0)</f>
        <v>0</v>
      </c>
      <c r="N1735" s="2">
        <f>IF(LeadsData[[#This Row],[Stage Number]]&gt;=3,1,0)</f>
        <v>0</v>
      </c>
      <c r="O1735" s="2">
        <f>IF(LeadsData[[#This Row],[Stage Number]]&gt;=4,1,0)</f>
        <v>0</v>
      </c>
    </row>
    <row r="1736" spans="1:15" x14ac:dyDescent="0.25">
      <c r="A1736" t="s">
        <v>1776</v>
      </c>
      <c r="B1736" s="1">
        <v>45439</v>
      </c>
      <c r="C1736" t="s">
        <v>31</v>
      </c>
      <c r="D1736" t="s">
        <v>32</v>
      </c>
      <c r="E1736" t="s">
        <v>13</v>
      </c>
      <c r="F1736" t="s">
        <v>19</v>
      </c>
      <c r="G1736" t="s">
        <v>15</v>
      </c>
      <c r="K1736" cm="1">
        <f t="array" ref="K1736">_xlfn.SWITCH(LeadsData[[#This Row],[Funnel Stage Reached]],"Lead",1,"MQL",2,"SQL",3,"Customer",4)</f>
        <v>1</v>
      </c>
      <c r="L1736" t="str">
        <f>TEXT(LeadsData[[#This Row],[Signup Date]],"mmm-yyyy")</f>
        <v>May-2024</v>
      </c>
      <c r="M1736">
        <f>IF(LeadsData[[#This Row],[Stage Number]]&gt;=2,1,0)</f>
        <v>0</v>
      </c>
      <c r="N1736" s="2">
        <f>IF(LeadsData[[#This Row],[Stage Number]]&gt;=3,1,0)</f>
        <v>0</v>
      </c>
      <c r="O1736" s="2">
        <f>IF(LeadsData[[#This Row],[Stage Number]]&gt;=4,1,0)</f>
        <v>0</v>
      </c>
    </row>
    <row r="1737" spans="1:15" x14ac:dyDescent="0.25">
      <c r="A1737" t="s">
        <v>1777</v>
      </c>
      <c r="B1737" s="1">
        <v>45616</v>
      </c>
      <c r="C1737" t="s">
        <v>36</v>
      </c>
      <c r="D1737" t="s">
        <v>37</v>
      </c>
      <c r="E1737" t="s">
        <v>21</v>
      </c>
      <c r="F1737" t="s">
        <v>14</v>
      </c>
      <c r="G1737" t="s">
        <v>42</v>
      </c>
      <c r="H1737">
        <v>42</v>
      </c>
      <c r="I1737" t="s">
        <v>43</v>
      </c>
      <c r="J1737">
        <v>1086.93</v>
      </c>
      <c r="K1737" cm="1">
        <f t="array" ref="K1737">_xlfn.SWITCH(LeadsData[[#This Row],[Funnel Stage Reached]],"Lead",1,"MQL",2,"SQL",3,"Customer",4)</f>
        <v>4</v>
      </c>
      <c r="L1737" t="str">
        <f>TEXT(LeadsData[[#This Row],[Signup Date]],"mmm-yyyy")</f>
        <v>Nov-2024</v>
      </c>
      <c r="M1737">
        <f>IF(LeadsData[[#This Row],[Stage Number]]&gt;=2,1,0)</f>
        <v>1</v>
      </c>
      <c r="N1737" s="2">
        <f>IF(LeadsData[[#This Row],[Stage Number]]&gt;=3,1,0)</f>
        <v>1</v>
      </c>
      <c r="O1737" s="2">
        <f>IF(LeadsData[[#This Row],[Stage Number]]&gt;=4,1,0)</f>
        <v>1</v>
      </c>
    </row>
    <row r="1738" spans="1:15" x14ac:dyDescent="0.25">
      <c r="A1738" t="s">
        <v>1778</v>
      </c>
      <c r="B1738" s="1">
        <v>45401</v>
      </c>
      <c r="C1738" t="s">
        <v>46</v>
      </c>
      <c r="D1738" t="s">
        <v>47</v>
      </c>
      <c r="E1738" t="s">
        <v>21</v>
      </c>
      <c r="F1738" t="s">
        <v>28</v>
      </c>
      <c r="G1738" t="s">
        <v>23</v>
      </c>
      <c r="K1738" cm="1">
        <f t="array" ref="K1738">_xlfn.SWITCH(LeadsData[[#This Row],[Funnel Stage Reached]],"Lead",1,"MQL",2,"SQL",3,"Customer",4)</f>
        <v>2</v>
      </c>
      <c r="L1738" t="str">
        <f>TEXT(LeadsData[[#This Row],[Signup Date]],"mmm-yyyy")</f>
        <v>Apr-2024</v>
      </c>
      <c r="M1738">
        <f>IF(LeadsData[[#This Row],[Stage Number]]&gt;=2,1,0)</f>
        <v>1</v>
      </c>
      <c r="N1738" s="2">
        <f>IF(LeadsData[[#This Row],[Stage Number]]&gt;=3,1,0)</f>
        <v>0</v>
      </c>
      <c r="O1738" s="2">
        <f>IF(LeadsData[[#This Row],[Stage Number]]&gt;=4,1,0)</f>
        <v>0</v>
      </c>
    </row>
    <row r="1739" spans="1:15" x14ac:dyDescent="0.25">
      <c r="A1739" t="s">
        <v>1779</v>
      </c>
      <c r="B1739" s="1">
        <v>45461</v>
      </c>
      <c r="C1739" t="s">
        <v>46</v>
      </c>
      <c r="D1739" t="s">
        <v>56</v>
      </c>
      <c r="E1739" t="s">
        <v>21</v>
      </c>
      <c r="F1739" t="s">
        <v>14</v>
      </c>
      <c r="G1739" t="s">
        <v>15</v>
      </c>
      <c r="K1739" cm="1">
        <f t="array" ref="K1739">_xlfn.SWITCH(LeadsData[[#This Row],[Funnel Stage Reached]],"Lead",1,"MQL",2,"SQL",3,"Customer",4)</f>
        <v>1</v>
      </c>
      <c r="L1739" t="str">
        <f>TEXT(LeadsData[[#This Row],[Signup Date]],"mmm-yyyy")</f>
        <v>Jun-2024</v>
      </c>
      <c r="M1739">
        <f>IF(LeadsData[[#This Row],[Stage Number]]&gt;=2,1,0)</f>
        <v>0</v>
      </c>
      <c r="N1739" s="2">
        <f>IF(LeadsData[[#This Row],[Stage Number]]&gt;=3,1,0)</f>
        <v>0</v>
      </c>
      <c r="O1739" s="2">
        <f>IF(LeadsData[[#This Row],[Stage Number]]&gt;=4,1,0)</f>
        <v>0</v>
      </c>
    </row>
    <row r="1740" spans="1:15" x14ac:dyDescent="0.25">
      <c r="A1740" t="s">
        <v>1780</v>
      </c>
      <c r="B1740" s="1">
        <v>45592</v>
      </c>
      <c r="C1740" t="s">
        <v>17</v>
      </c>
      <c r="D1740" t="s">
        <v>53</v>
      </c>
      <c r="E1740" t="s">
        <v>13</v>
      </c>
      <c r="F1740" t="s">
        <v>22</v>
      </c>
      <c r="G1740" t="s">
        <v>15</v>
      </c>
      <c r="K1740" cm="1">
        <f t="array" ref="K1740">_xlfn.SWITCH(LeadsData[[#This Row],[Funnel Stage Reached]],"Lead",1,"MQL",2,"SQL",3,"Customer",4)</f>
        <v>1</v>
      </c>
      <c r="L1740" t="str">
        <f>TEXT(LeadsData[[#This Row],[Signup Date]],"mmm-yyyy")</f>
        <v>Oct-2024</v>
      </c>
      <c r="M1740">
        <f>IF(LeadsData[[#This Row],[Stage Number]]&gt;=2,1,0)</f>
        <v>0</v>
      </c>
      <c r="N1740" s="2">
        <f>IF(LeadsData[[#This Row],[Stage Number]]&gt;=3,1,0)</f>
        <v>0</v>
      </c>
      <c r="O1740" s="2">
        <f>IF(LeadsData[[#This Row],[Stage Number]]&gt;=4,1,0)</f>
        <v>0</v>
      </c>
    </row>
    <row r="1741" spans="1:15" x14ac:dyDescent="0.25">
      <c r="A1741" t="s">
        <v>1781</v>
      </c>
      <c r="B1741" s="1">
        <v>45465</v>
      </c>
      <c r="C1741" t="s">
        <v>25</v>
      </c>
      <c r="D1741" t="s">
        <v>26</v>
      </c>
      <c r="E1741" t="s">
        <v>13</v>
      </c>
      <c r="F1741" t="s">
        <v>19</v>
      </c>
      <c r="G1741" t="s">
        <v>15</v>
      </c>
      <c r="K1741" cm="1">
        <f t="array" ref="K1741">_xlfn.SWITCH(LeadsData[[#This Row],[Funnel Stage Reached]],"Lead",1,"MQL",2,"SQL",3,"Customer",4)</f>
        <v>1</v>
      </c>
      <c r="L1741" t="str">
        <f>TEXT(LeadsData[[#This Row],[Signup Date]],"mmm-yyyy")</f>
        <v>Jun-2024</v>
      </c>
      <c r="M1741">
        <f>IF(LeadsData[[#This Row],[Stage Number]]&gt;=2,1,0)</f>
        <v>0</v>
      </c>
      <c r="N1741" s="2">
        <f>IF(LeadsData[[#This Row],[Stage Number]]&gt;=3,1,0)</f>
        <v>0</v>
      </c>
      <c r="O1741" s="2">
        <f>IF(LeadsData[[#This Row],[Stage Number]]&gt;=4,1,0)</f>
        <v>0</v>
      </c>
    </row>
    <row r="1742" spans="1:15" x14ac:dyDescent="0.25">
      <c r="A1742" t="s">
        <v>1782</v>
      </c>
      <c r="B1742" s="1">
        <v>45649</v>
      </c>
      <c r="C1742" t="s">
        <v>36</v>
      </c>
      <c r="D1742" t="s">
        <v>37</v>
      </c>
      <c r="E1742" t="s">
        <v>21</v>
      </c>
      <c r="F1742" t="s">
        <v>22</v>
      </c>
      <c r="G1742" t="s">
        <v>15</v>
      </c>
      <c r="K1742" cm="1">
        <f t="array" ref="K1742">_xlfn.SWITCH(LeadsData[[#This Row],[Funnel Stage Reached]],"Lead",1,"MQL",2,"SQL",3,"Customer",4)</f>
        <v>1</v>
      </c>
      <c r="L1742" t="str">
        <f>TEXT(LeadsData[[#This Row],[Signup Date]],"mmm-yyyy")</f>
        <v>Dec-2024</v>
      </c>
      <c r="M1742">
        <f>IF(LeadsData[[#This Row],[Stage Number]]&gt;=2,1,0)</f>
        <v>0</v>
      </c>
      <c r="N1742" s="2">
        <f>IF(LeadsData[[#This Row],[Stage Number]]&gt;=3,1,0)</f>
        <v>0</v>
      </c>
      <c r="O1742" s="2">
        <f>IF(LeadsData[[#This Row],[Stage Number]]&gt;=4,1,0)</f>
        <v>0</v>
      </c>
    </row>
    <row r="1743" spans="1:15" x14ac:dyDescent="0.25">
      <c r="A1743" t="s">
        <v>1783</v>
      </c>
      <c r="B1743" s="1">
        <v>45446</v>
      </c>
      <c r="C1743" t="s">
        <v>25</v>
      </c>
      <c r="D1743" t="s">
        <v>26</v>
      </c>
      <c r="E1743" t="s">
        <v>21</v>
      </c>
      <c r="F1743" t="s">
        <v>14</v>
      </c>
      <c r="G1743" t="s">
        <v>23</v>
      </c>
      <c r="K1743" cm="1">
        <f t="array" ref="K1743">_xlfn.SWITCH(LeadsData[[#This Row],[Funnel Stage Reached]],"Lead",1,"MQL",2,"SQL",3,"Customer",4)</f>
        <v>2</v>
      </c>
      <c r="L1743" t="str">
        <f>TEXT(LeadsData[[#This Row],[Signup Date]],"mmm-yyyy")</f>
        <v>Jun-2024</v>
      </c>
      <c r="M1743">
        <f>IF(LeadsData[[#This Row],[Stage Number]]&gt;=2,1,0)</f>
        <v>1</v>
      </c>
      <c r="N1743" s="2">
        <f>IF(LeadsData[[#This Row],[Stage Number]]&gt;=3,1,0)</f>
        <v>0</v>
      </c>
      <c r="O1743" s="2">
        <f>IF(LeadsData[[#This Row],[Stage Number]]&gt;=4,1,0)</f>
        <v>0</v>
      </c>
    </row>
    <row r="1744" spans="1:15" x14ac:dyDescent="0.25">
      <c r="A1744" t="s">
        <v>1784</v>
      </c>
      <c r="B1744" s="1">
        <v>45357</v>
      </c>
      <c r="C1744" t="s">
        <v>46</v>
      </c>
      <c r="D1744" t="s">
        <v>47</v>
      </c>
      <c r="E1744" t="s">
        <v>21</v>
      </c>
      <c r="F1744" t="s">
        <v>22</v>
      </c>
      <c r="G1744" t="s">
        <v>15</v>
      </c>
      <c r="K1744" cm="1">
        <f t="array" ref="K1744">_xlfn.SWITCH(LeadsData[[#This Row],[Funnel Stage Reached]],"Lead",1,"MQL",2,"SQL",3,"Customer",4)</f>
        <v>1</v>
      </c>
      <c r="L1744" t="str">
        <f>TEXT(LeadsData[[#This Row],[Signup Date]],"mmm-yyyy")</f>
        <v>Mar-2024</v>
      </c>
      <c r="M1744">
        <f>IF(LeadsData[[#This Row],[Stage Number]]&gt;=2,1,0)</f>
        <v>0</v>
      </c>
      <c r="N1744" s="2">
        <f>IF(LeadsData[[#This Row],[Stage Number]]&gt;=3,1,0)</f>
        <v>0</v>
      </c>
      <c r="O1744" s="2">
        <f>IF(LeadsData[[#This Row],[Stage Number]]&gt;=4,1,0)</f>
        <v>0</v>
      </c>
    </row>
    <row r="1745" spans="1:15" x14ac:dyDescent="0.25">
      <c r="A1745" t="s">
        <v>1785</v>
      </c>
      <c r="B1745" s="1">
        <v>45633</v>
      </c>
      <c r="C1745" t="s">
        <v>11</v>
      </c>
      <c r="D1745" t="s">
        <v>68</v>
      </c>
      <c r="E1745" t="s">
        <v>21</v>
      </c>
      <c r="F1745" t="s">
        <v>22</v>
      </c>
      <c r="G1745" t="s">
        <v>29</v>
      </c>
      <c r="K1745" cm="1">
        <f t="array" ref="K1745">_xlfn.SWITCH(LeadsData[[#This Row],[Funnel Stage Reached]],"Lead",1,"MQL",2,"SQL",3,"Customer",4)</f>
        <v>3</v>
      </c>
      <c r="L1745" t="str">
        <f>TEXT(LeadsData[[#This Row],[Signup Date]],"mmm-yyyy")</f>
        <v>Dec-2024</v>
      </c>
      <c r="M1745">
        <f>IF(LeadsData[[#This Row],[Stage Number]]&gt;=2,1,0)</f>
        <v>1</v>
      </c>
      <c r="N1745" s="2">
        <f>IF(LeadsData[[#This Row],[Stage Number]]&gt;=3,1,0)</f>
        <v>1</v>
      </c>
      <c r="O1745" s="2">
        <f>IF(LeadsData[[#This Row],[Stage Number]]&gt;=4,1,0)</f>
        <v>0</v>
      </c>
    </row>
    <row r="1746" spans="1:15" x14ac:dyDescent="0.25">
      <c r="A1746" t="s">
        <v>1786</v>
      </c>
      <c r="B1746" s="1">
        <v>45637</v>
      </c>
      <c r="C1746" t="s">
        <v>31</v>
      </c>
      <c r="D1746" t="s">
        <v>32</v>
      </c>
      <c r="E1746" t="s">
        <v>48</v>
      </c>
      <c r="F1746" t="s">
        <v>14</v>
      </c>
      <c r="G1746" t="s">
        <v>42</v>
      </c>
      <c r="H1746">
        <v>25</v>
      </c>
      <c r="I1746" t="s">
        <v>43</v>
      </c>
      <c r="J1746">
        <v>1175.1500000000001</v>
      </c>
      <c r="K1746" cm="1">
        <f t="array" ref="K1746">_xlfn.SWITCH(LeadsData[[#This Row],[Funnel Stage Reached]],"Lead",1,"MQL",2,"SQL",3,"Customer",4)</f>
        <v>4</v>
      </c>
      <c r="L1746" t="str">
        <f>TEXT(LeadsData[[#This Row],[Signup Date]],"mmm-yyyy")</f>
        <v>Dec-2024</v>
      </c>
      <c r="M1746">
        <f>IF(LeadsData[[#This Row],[Stage Number]]&gt;=2,1,0)</f>
        <v>1</v>
      </c>
      <c r="N1746" s="2">
        <f>IF(LeadsData[[#This Row],[Stage Number]]&gt;=3,1,0)</f>
        <v>1</v>
      </c>
      <c r="O1746" s="2">
        <f>IF(LeadsData[[#This Row],[Stage Number]]&gt;=4,1,0)</f>
        <v>1</v>
      </c>
    </row>
    <row r="1747" spans="1:15" x14ac:dyDescent="0.25">
      <c r="A1747" t="s">
        <v>1787</v>
      </c>
      <c r="B1747" s="1">
        <v>45590</v>
      </c>
      <c r="C1747" t="s">
        <v>46</v>
      </c>
      <c r="D1747" t="s">
        <v>56</v>
      </c>
      <c r="E1747" t="s">
        <v>21</v>
      </c>
      <c r="F1747" t="s">
        <v>19</v>
      </c>
      <c r="G1747" t="s">
        <v>15</v>
      </c>
      <c r="K1747" cm="1">
        <f t="array" ref="K1747">_xlfn.SWITCH(LeadsData[[#This Row],[Funnel Stage Reached]],"Lead",1,"MQL",2,"SQL",3,"Customer",4)</f>
        <v>1</v>
      </c>
      <c r="L1747" t="str">
        <f>TEXT(LeadsData[[#This Row],[Signup Date]],"mmm-yyyy")</f>
        <v>Oct-2024</v>
      </c>
      <c r="M1747">
        <f>IF(LeadsData[[#This Row],[Stage Number]]&gt;=2,1,0)</f>
        <v>0</v>
      </c>
      <c r="N1747" s="2">
        <f>IF(LeadsData[[#This Row],[Stage Number]]&gt;=3,1,0)</f>
        <v>0</v>
      </c>
      <c r="O1747" s="2">
        <f>IF(LeadsData[[#This Row],[Stage Number]]&gt;=4,1,0)</f>
        <v>0</v>
      </c>
    </row>
    <row r="1748" spans="1:15" x14ac:dyDescent="0.25">
      <c r="A1748" t="s">
        <v>1788</v>
      </c>
      <c r="B1748" s="1">
        <v>45424</v>
      </c>
      <c r="C1748" t="s">
        <v>25</v>
      </c>
      <c r="D1748" t="s">
        <v>26</v>
      </c>
      <c r="E1748" t="s">
        <v>48</v>
      </c>
      <c r="F1748" t="s">
        <v>19</v>
      </c>
      <c r="G1748" t="s">
        <v>15</v>
      </c>
      <c r="K1748" cm="1">
        <f t="array" ref="K1748">_xlfn.SWITCH(LeadsData[[#This Row],[Funnel Stage Reached]],"Lead",1,"MQL",2,"SQL",3,"Customer",4)</f>
        <v>1</v>
      </c>
      <c r="L1748" t="str">
        <f>TEXT(LeadsData[[#This Row],[Signup Date]],"mmm-yyyy")</f>
        <v>May-2024</v>
      </c>
      <c r="M1748">
        <f>IF(LeadsData[[#This Row],[Stage Number]]&gt;=2,1,0)</f>
        <v>0</v>
      </c>
      <c r="N1748" s="2">
        <f>IF(LeadsData[[#This Row],[Stage Number]]&gt;=3,1,0)</f>
        <v>0</v>
      </c>
      <c r="O1748" s="2">
        <f>IF(LeadsData[[#This Row],[Stage Number]]&gt;=4,1,0)</f>
        <v>0</v>
      </c>
    </row>
    <row r="1749" spans="1:15" x14ac:dyDescent="0.25">
      <c r="A1749" t="s">
        <v>1789</v>
      </c>
      <c r="B1749" s="1">
        <v>45306</v>
      </c>
      <c r="C1749" t="s">
        <v>36</v>
      </c>
      <c r="D1749" t="s">
        <v>37</v>
      </c>
      <c r="E1749" t="s">
        <v>21</v>
      </c>
      <c r="F1749" t="s">
        <v>19</v>
      </c>
      <c r="G1749" t="s">
        <v>15</v>
      </c>
      <c r="K1749" cm="1">
        <f t="array" ref="K1749">_xlfn.SWITCH(LeadsData[[#This Row],[Funnel Stage Reached]],"Lead",1,"MQL",2,"SQL",3,"Customer",4)</f>
        <v>1</v>
      </c>
      <c r="L1749" t="str">
        <f>TEXT(LeadsData[[#This Row],[Signup Date]],"mmm-yyyy")</f>
        <v>Jan-2024</v>
      </c>
      <c r="M1749">
        <f>IF(LeadsData[[#This Row],[Stage Number]]&gt;=2,1,0)</f>
        <v>0</v>
      </c>
      <c r="N1749" s="2">
        <f>IF(LeadsData[[#This Row],[Stage Number]]&gt;=3,1,0)</f>
        <v>0</v>
      </c>
      <c r="O1749" s="2">
        <f>IF(LeadsData[[#This Row],[Stage Number]]&gt;=4,1,0)</f>
        <v>0</v>
      </c>
    </row>
    <row r="1750" spans="1:15" x14ac:dyDescent="0.25">
      <c r="A1750" t="s">
        <v>1790</v>
      </c>
      <c r="B1750" s="1">
        <v>45570</v>
      </c>
      <c r="C1750" t="s">
        <v>31</v>
      </c>
      <c r="D1750" t="s">
        <v>32</v>
      </c>
      <c r="E1750" t="s">
        <v>21</v>
      </c>
      <c r="F1750" t="s">
        <v>22</v>
      </c>
      <c r="G1750" t="s">
        <v>15</v>
      </c>
      <c r="K1750" cm="1">
        <f t="array" ref="K1750">_xlfn.SWITCH(LeadsData[[#This Row],[Funnel Stage Reached]],"Lead",1,"MQL",2,"SQL",3,"Customer",4)</f>
        <v>1</v>
      </c>
      <c r="L1750" t="str">
        <f>TEXT(LeadsData[[#This Row],[Signup Date]],"mmm-yyyy")</f>
        <v>Oct-2024</v>
      </c>
      <c r="M1750">
        <f>IF(LeadsData[[#This Row],[Stage Number]]&gt;=2,1,0)</f>
        <v>0</v>
      </c>
      <c r="N1750" s="2">
        <f>IF(LeadsData[[#This Row],[Stage Number]]&gt;=3,1,0)</f>
        <v>0</v>
      </c>
      <c r="O1750" s="2">
        <f>IF(LeadsData[[#This Row],[Stage Number]]&gt;=4,1,0)</f>
        <v>0</v>
      </c>
    </row>
    <row r="1751" spans="1:15" x14ac:dyDescent="0.25">
      <c r="A1751" t="s">
        <v>1791</v>
      </c>
      <c r="B1751" s="1">
        <v>45508</v>
      </c>
      <c r="C1751" t="s">
        <v>36</v>
      </c>
      <c r="D1751" t="s">
        <v>37</v>
      </c>
      <c r="E1751" t="s">
        <v>13</v>
      </c>
      <c r="F1751" t="s">
        <v>28</v>
      </c>
      <c r="G1751" t="s">
        <v>15</v>
      </c>
      <c r="K1751" cm="1">
        <f t="array" ref="K1751">_xlfn.SWITCH(LeadsData[[#This Row],[Funnel Stage Reached]],"Lead",1,"MQL",2,"SQL",3,"Customer",4)</f>
        <v>1</v>
      </c>
      <c r="L1751" t="str">
        <f>TEXT(LeadsData[[#This Row],[Signup Date]],"mmm-yyyy")</f>
        <v>Aug-2024</v>
      </c>
      <c r="M1751">
        <f>IF(LeadsData[[#This Row],[Stage Number]]&gt;=2,1,0)</f>
        <v>0</v>
      </c>
      <c r="N1751" s="2">
        <f>IF(LeadsData[[#This Row],[Stage Number]]&gt;=3,1,0)</f>
        <v>0</v>
      </c>
      <c r="O1751" s="2">
        <f>IF(LeadsData[[#This Row],[Stage Number]]&gt;=4,1,0)</f>
        <v>0</v>
      </c>
    </row>
    <row r="1752" spans="1:15" x14ac:dyDescent="0.25">
      <c r="A1752" t="s">
        <v>1792</v>
      </c>
      <c r="B1752" s="1">
        <v>45420</v>
      </c>
      <c r="C1752" t="s">
        <v>31</v>
      </c>
      <c r="D1752" t="s">
        <v>34</v>
      </c>
      <c r="E1752" t="s">
        <v>21</v>
      </c>
      <c r="F1752" t="s">
        <v>14</v>
      </c>
      <c r="G1752" t="s">
        <v>23</v>
      </c>
      <c r="K1752" cm="1">
        <f t="array" ref="K1752">_xlfn.SWITCH(LeadsData[[#This Row],[Funnel Stage Reached]],"Lead",1,"MQL",2,"SQL",3,"Customer",4)</f>
        <v>2</v>
      </c>
      <c r="L1752" t="str">
        <f>TEXT(LeadsData[[#This Row],[Signup Date]],"mmm-yyyy")</f>
        <v>May-2024</v>
      </c>
      <c r="M1752">
        <f>IF(LeadsData[[#This Row],[Stage Number]]&gt;=2,1,0)</f>
        <v>1</v>
      </c>
      <c r="N1752" s="2">
        <f>IF(LeadsData[[#This Row],[Stage Number]]&gt;=3,1,0)</f>
        <v>0</v>
      </c>
      <c r="O1752" s="2">
        <f>IF(LeadsData[[#This Row],[Stage Number]]&gt;=4,1,0)</f>
        <v>0</v>
      </c>
    </row>
    <row r="1753" spans="1:15" x14ac:dyDescent="0.25">
      <c r="A1753" t="s">
        <v>1793</v>
      </c>
      <c r="B1753" s="1">
        <v>45651</v>
      </c>
      <c r="C1753" t="s">
        <v>25</v>
      </c>
      <c r="D1753" t="s">
        <v>26</v>
      </c>
      <c r="E1753" t="s">
        <v>21</v>
      </c>
      <c r="F1753" t="s">
        <v>19</v>
      </c>
      <c r="G1753" t="s">
        <v>23</v>
      </c>
      <c r="K1753" cm="1">
        <f t="array" ref="K1753">_xlfn.SWITCH(LeadsData[[#This Row],[Funnel Stage Reached]],"Lead",1,"MQL",2,"SQL",3,"Customer",4)</f>
        <v>2</v>
      </c>
      <c r="L1753" t="str">
        <f>TEXT(LeadsData[[#This Row],[Signup Date]],"mmm-yyyy")</f>
        <v>Dec-2024</v>
      </c>
      <c r="M1753">
        <f>IF(LeadsData[[#This Row],[Stage Number]]&gt;=2,1,0)</f>
        <v>1</v>
      </c>
      <c r="N1753" s="2">
        <f>IF(LeadsData[[#This Row],[Stage Number]]&gt;=3,1,0)</f>
        <v>0</v>
      </c>
      <c r="O1753" s="2">
        <f>IF(LeadsData[[#This Row],[Stage Number]]&gt;=4,1,0)</f>
        <v>0</v>
      </c>
    </row>
    <row r="1754" spans="1:15" x14ac:dyDescent="0.25">
      <c r="A1754" t="s">
        <v>1794</v>
      </c>
      <c r="B1754" s="1">
        <v>45341</v>
      </c>
      <c r="C1754" t="s">
        <v>46</v>
      </c>
      <c r="D1754" t="s">
        <v>56</v>
      </c>
      <c r="E1754" t="s">
        <v>13</v>
      </c>
      <c r="F1754" t="s">
        <v>19</v>
      </c>
      <c r="G1754" t="s">
        <v>15</v>
      </c>
      <c r="K1754" cm="1">
        <f t="array" ref="K1754">_xlfn.SWITCH(LeadsData[[#This Row],[Funnel Stage Reached]],"Lead",1,"MQL",2,"SQL",3,"Customer",4)</f>
        <v>1</v>
      </c>
      <c r="L1754" t="str">
        <f>TEXT(LeadsData[[#This Row],[Signup Date]],"mmm-yyyy")</f>
        <v>Feb-2024</v>
      </c>
      <c r="M1754">
        <f>IF(LeadsData[[#This Row],[Stage Number]]&gt;=2,1,0)</f>
        <v>0</v>
      </c>
      <c r="N1754" s="2">
        <f>IF(LeadsData[[#This Row],[Stage Number]]&gt;=3,1,0)</f>
        <v>0</v>
      </c>
      <c r="O1754" s="2">
        <f>IF(LeadsData[[#This Row],[Stage Number]]&gt;=4,1,0)</f>
        <v>0</v>
      </c>
    </row>
    <row r="1755" spans="1:15" x14ac:dyDescent="0.25">
      <c r="A1755" t="s">
        <v>1795</v>
      </c>
      <c r="B1755" s="1">
        <v>45297</v>
      </c>
      <c r="C1755" t="s">
        <v>25</v>
      </c>
      <c r="D1755" t="s">
        <v>26</v>
      </c>
      <c r="E1755" t="s">
        <v>48</v>
      </c>
      <c r="F1755" t="s">
        <v>14</v>
      </c>
      <c r="G1755" t="s">
        <v>29</v>
      </c>
      <c r="K1755" cm="1">
        <f t="array" ref="K1755">_xlfn.SWITCH(LeadsData[[#This Row],[Funnel Stage Reached]],"Lead",1,"MQL",2,"SQL",3,"Customer",4)</f>
        <v>3</v>
      </c>
      <c r="L1755" t="str">
        <f>TEXT(LeadsData[[#This Row],[Signup Date]],"mmm-yyyy")</f>
        <v>Jan-2024</v>
      </c>
      <c r="M1755">
        <f>IF(LeadsData[[#This Row],[Stage Number]]&gt;=2,1,0)</f>
        <v>1</v>
      </c>
      <c r="N1755" s="2">
        <f>IF(LeadsData[[#This Row],[Stage Number]]&gt;=3,1,0)</f>
        <v>1</v>
      </c>
      <c r="O1755" s="2">
        <f>IF(LeadsData[[#This Row],[Stage Number]]&gt;=4,1,0)</f>
        <v>0</v>
      </c>
    </row>
    <row r="1756" spans="1:15" x14ac:dyDescent="0.25">
      <c r="A1756" t="s">
        <v>1796</v>
      </c>
      <c r="B1756" s="1">
        <v>45423</v>
      </c>
      <c r="C1756" t="s">
        <v>11</v>
      </c>
      <c r="D1756" t="s">
        <v>12</v>
      </c>
      <c r="E1756" t="s">
        <v>21</v>
      </c>
      <c r="F1756" t="s">
        <v>22</v>
      </c>
      <c r="G1756" t="s">
        <v>15</v>
      </c>
      <c r="K1756" cm="1">
        <f t="array" ref="K1756">_xlfn.SWITCH(LeadsData[[#This Row],[Funnel Stage Reached]],"Lead",1,"MQL",2,"SQL",3,"Customer",4)</f>
        <v>1</v>
      </c>
      <c r="L1756" t="str">
        <f>TEXT(LeadsData[[#This Row],[Signup Date]],"mmm-yyyy")</f>
        <v>May-2024</v>
      </c>
      <c r="M1756">
        <f>IF(LeadsData[[#This Row],[Stage Number]]&gt;=2,1,0)</f>
        <v>0</v>
      </c>
      <c r="N1756" s="2">
        <f>IF(LeadsData[[#This Row],[Stage Number]]&gt;=3,1,0)</f>
        <v>0</v>
      </c>
      <c r="O1756" s="2">
        <f>IF(LeadsData[[#This Row],[Stage Number]]&gt;=4,1,0)</f>
        <v>0</v>
      </c>
    </row>
    <row r="1757" spans="1:15" x14ac:dyDescent="0.25">
      <c r="A1757" t="s">
        <v>1797</v>
      </c>
      <c r="B1757" s="1">
        <v>45575</v>
      </c>
      <c r="C1757" t="s">
        <v>31</v>
      </c>
      <c r="D1757" t="s">
        <v>32</v>
      </c>
      <c r="E1757" t="s">
        <v>13</v>
      </c>
      <c r="F1757" t="s">
        <v>22</v>
      </c>
      <c r="G1757" t="s">
        <v>23</v>
      </c>
      <c r="K1757" cm="1">
        <f t="array" ref="K1757">_xlfn.SWITCH(LeadsData[[#This Row],[Funnel Stage Reached]],"Lead",1,"MQL",2,"SQL",3,"Customer",4)</f>
        <v>2</v>
      </c>
      <c r="L1757" t="str">
        <f>TEXT(LeadsData[[#This Row],[Signup Date]],"mmm-yyyy")</f>
        <v>Oct-2024</v>
      </c>
      <c r="M1757">
        <f>IF(LeadsData[[#This Row],[Stage Number]]&gt;=2,1,0)</f>
        <v>1</v>
      </c>
      <c r="N1757" s="2">
        <f>IF(LeadsData[[#This Row],[Stage Number]]&gt;=3,1,0)</f>
        <v>0</v>
      </c>
      <c r="O1757" s="2">
        <f>IF(LeadsData[[#This Row],[Stage Number]]&gt;=4,1,0)</f>
        <v>0</v>
      </c>
    </row>
    <row r="1758" spans="1:15" x14ac:dyDescent="0.25">
      <c r="A1758" t="s">
        <v>1798</v>
      </c>
      <c r="B1758" s="1">
        <v>45371</v>
      </c>
      <c r="C1758" t="s">
        <v>31</v>
      </c>
      <c r="D1758" t="s">
        <v>32</v>
      </c>
      <c r="E1758" t="s">
        <v>48</v>
      </c>
      <c r="F1758" t="s">
        <v>19</v>
      </c>
      <c r="G1758" t="s">
        <v>15</v>
      </c>
      <c r="K1758" cm="1">
        <f t="array" ref="K1758">_xlfn.SWITCH(LeadsData[[#This Row],[Funnel Stage Reached]],"Lead",1,"MQL",2,"SQL",3,"Customer",4)</f>
        <v>1</v>
      </c>
      <c r="L1758" t="str">
        <f>TEXT(LeadsData[[#This Row],[Signup Date]],"mmm-yyyy")</f>
        <v>Mar-2024</v>
      </c>
      <c r="M1758">
        <f>IF(LeadsData[[#This Row],[Stage Number]]&gt;=2,1,0)</f>
        <v>0</v>
      </c>
      <c r="N1758" s="2">
        <f>IF(LeadsData[[#This Row],[Stage Number]]&gt;=3,1,0)</f>
        <v>0</v>
      </c>
      <c r="O1758" s="2">
        <f>IF(LeadsData[[#This Row],[Stage Number]]&gt;=4,1,0)</f>
        <v>0</v>
      </c>
    </row>
    <row r="1759" spans="1:15" x14ac:dyDescent="0.25">
      <c r="A1759" t="s">
        <v>1799</v>
      </c>
      <c r="B1759" s="1">
        <v>45362</v>
      </c>
      <c r="C1759" t="s">
        <v>31</v>
      </c>
      <c r="D1759" t="s">
        <v>32</v>
      </c>
      <c r="E1759" t="s">
        <v>21</v>
      </c>
      <c r="F1759" t="s">
        <v>22</v>
      </c>
      <c r="G1759" t="s">
        <v>15</v>
      </c>
      <c r="K1759" cm="1">
        <f t="array" ref="K1759">_xlfn.SWITCH(LeadsData[[#This Row],[Funnel Stage Reached]],"Lead",1,"MQL",2,"SQL",3,"Customer",4)</f>
        <v>1</v>
      </c>
      <c r="L1759" t="str">
        <f>TEXT(LeadsData[[#This Row],[Signup Date]],"mmm-yyyy")</f>
        <v>Mar-2024</v>
      </c>
      <c r="M1759">
        <f>IF(LeadsData[[#This Row],[Stage Number]]&gt;=2,1,0)</f>
        <v>0</v>
      </c>
      <c r="N1759" s="2">
        <f>IF(LeadsData[[#This Row],[Stage Number]]&gt;=3,1,0)</f>
        <v>0</v>
      </c>
      <c r="O1759" s="2">
        <f>IF(LeadsData[[#This Row],[Stage Number]]&gt;=4,1,0)</f>
        <v>0</v>
      </c>
    </row>
    <row r="1760" spans="1:15" x14ac:dyDescent="0.25">
      <c r="A1760" t="s">
        <v>1800</v>
      </c>
      <c r="B1760" s="1">
        <v>45293</v>
      </c>
      <c r="C1760" t="s">
        <v>17</v>
      </c>
      <c r="D1760" t="s">
        <v>18</v>
      </c>
      <c r="E1760" t="s">
        <v>13</v>
      </c>
      <c r="F1760" t="s">
        <v>19</v>
      </c>
      <c r="G1760" t="s">
        <v>23</v>
      </c>
      <c r="K1760" cm="1">
        <f t="array" ref="K1760">_xlfn.SWITCH(LeadsData[[#This Row],[Funnel Stage Reached]],"Lead",1,"MQL",2,"SQL",3,"Customer",4)</f>
        <v>2</v>
      </c>
      <c r="L1760" t="str">
        <f>TEXT(LeadsData[[#This Row],[Signup Date]],"mmm-yyyy")</f>
        <v>Jan-2024</v>
      </c>
      <c r="M1760">
        <f>IF(LeadsData[[#This Row],[Stage Number]]&gt;=2,1,0)</f>
        <v>1</v>
      </c>
      <c r="N1760" s="2">
        <f>IF(LeadsData[[#This Row],[Stage Number]]&gt;=3,1,0)</f>
        <v>0</v>
      </c>
      <c r="O1760" s="2">
        <f>IF(LeadsData[[#This Row],[Stage Number]]&gt;=4,1,0)</f>
        <v>0</v>
      </c>
    </row>
    <row r="1761" spans="1:15" x14ac:dyDescent="0.25">
      <c r="A1761" t="s">
        <v>1801</v>
      </c>
      <c r="B1761" s="1">
        <v>45636</v>
      </c>
      <c r="C1761" t="s">
        <v>46</v>
      </c>
      <c r="D1761" t="s">
        <v>47</v>
      </c>
      <c r="E1761" t="s">
        <v>13</v>
      </c>
      <c r="F1761" t="s">
        <v>19</v>
      </c>
      <c r="G1761" t="s">
        <v>23</v>
      </c>
      <c r="K1761" cm="1">
        <f t="array" ref="K1761">_xlfn.SWITCH(LeadsData[[#This Row],[Funnel Stage Reached]],"Lead",1,"MQL",2,"SQL",3,"Customer",4)</f>
        <v>2</v>
      </c>
      <c r="L1761" t="str">
        <f>TEXT(LeadsData[[#This Row],[Signup Date]],"mmm-yyyy")</f>
        <v>Dec-2024</v>
      </c>
      <c r="M1761">
        <f>IF(LeadsData[[#This Row],[Stage Number]]&gt;=2,1,0)</f>
        <v>1</v>
      </c>
      <c r="N1761" s="2">
        <f>IF(LeadsData[[#This Row],[Stage Number]]&gt;=3,1,0)</f>
        <v>0</v>
      </c>
      <c r="O1761" s="2">
        <f>IF(LeadsData[[#This Row],[Stage Number]]&gt;=4,1,0)</f>
        <v>0</v>
      </c>
    </row>
    <row r="1762" spans="1:15" x14ac:dyDescent="0.25">
      <c r="A1762" t="s">
        <v>1802</v>
      </c>
      <c r="B1762" s="1">
        <v>45568</v>
      </c>
      <c r="C1762" t="s">
        <v>25</v>
      </c>
      <c r="D1762" t="s">
        <v>26</v>
      </c>
      <c r="E1762" t="s">
        <v>13</v>
      </c>
      <c r="F1762" t="s">
        <v>19</v>
      </c>
      <c r="G1762" t="s">
        <v>15</v>
      </c>
      <c r="K1762" cm="1">
        <f t="array" ref="K1762">_xlfn.SWITCH(LeadsData[[#This Row],[Funnel Stage Reached]],"Lead",1,"MQL",2,"SQL",3,"Customer",4)</f>
        <v>1</v>
      </c>
      <c r="L1762" t="str">
        <f>TEXT(LeadsData[[#This Row],[Signup Date]],"mmm-yyyy")</f>
        <v>Oct-2024</v>
      </c>
      <c r="M1762">
        <f>IF(LeadsData[[#This Row],[Stage Number]]&gt;=2,1,0)</f>
        <v>0</v>
      </c>
      <c r="N1762" s="2">
        <f>IF(LeadsData[[#This Row],[Stage Number]]&gt;=3,1,0)</f>
        <v>0</v>
      </c>
      <c r="O1762" s="2">
        <f>IF(LeadsData[[#This Row],[Stage Number]]&gt;=4,1,0)</f>
        <v>0</v>
      </c>
    </row>
    <row r="1763" spans="1:15" x14ac:dyDescent="0.25">
      <c r="A1763" t="s">
        <v>1803</v>
      </c>
      <c r="B1763" s="1">
        <v>45388</v>
      </c>
      <c r="C1763" t="s">
        <v>36</v>
      </c>
      <c r="D1763" t="s">
        <v>37</v>
      </c>
      <c r="E1763" t="s">
        <v>21</v>
      </c>
      <c r="F1763" t="s">
        <v>14</v>
      </c>
      <c r="G1763" t="s">
        <v>15</v>
      </c>
      <c r="K1763" cm="1">
        <f t="array" ref="K1763">_xlfn.SWITCH(LeadsData[[#This Row],[Funnel Stage Reached]],"Lead",1,"MQL",2,"SQL",3,"Customer",4)</f>
        <v>1</v>
      </c>
      <c r="L1763" t="str">
        <f>TEXT(LeadsData[[#This Row],[Signup Date]],"mmm-yyyy")</f>
        <v>Apr-2024</v>
      </c>
      <c r="M1763">
        <f>IF(LeadsData[[#This Row],[Stage Number]]&gt;=2,1,0)</f>
        <v>0</v>
      </c>
      <c r="N1763" s="2">
        <f>IF(LeadsData[[#This Row],[Stage Number]]&gt;=3,1,0)</f>
        <v>0</v>
      </c>
      <c r="O1763" s="2">
        <f>IF(LeadsData[[#This Row],[Stage Number]]&gt;=4,1,0)</f>
        <v>0</v>
      </c>
    </row>
    <row r="1764" spans="1:15" x14ac:dyDescent="0.25">
      <c r="A1764" t="s">
        <v>1804</v>
      </c>
      <c r="B1764" s="1">
        <v>45396</v>
      </c>
      <c r="C1764" t="s">
        <v>36</v>
      </c>
      <c r="D1764" t="s">
        <v>50</v>
      </c>
      <c r="E1764" t="s">
        <v>21</v>
      </c>
      <c r="F1764" t="s">
        <v>14</v>
      </c>
      <c r="G1764" t="s">
        <v>29</v>
      </c>
      <c r="K1764" cm="1">
        <f t="array" ref="K1764">_xlfn.SWITCH(LeadsData[[#This Row],[Funnel Stage Reached]],"Lead",1,"MQL",2,"SQL",3,"Customer",4)</f>
        <v>3</v>
      </c>
      <c r="L1764" t="str">
        <f>TEXT(LeadsData[[#This Row],[Signup Date]],"mmm-yyyy")</f>
        <v>Apr-2024</v>
      </c>
      <c r="M1764">
        <f>IF(LeadsData[[#This Row],[Stage Number]]&gt;=2,1,0)</f>
        <v>1</v>
      </c>
      <c r="N1764" s="2">
        <f>IF(LeadsData[[#This Row],[Stage Number]]&gt;=3,1,0)</f>
        <v>1</v>
      </c>
      <c r="O1764" s="2">
        <f>IF(LeadsData[[#This Row],[Stage Number]]&gt;=4,1,0)</f>
        <v>0</v>
      </c>
    </row>
    <row r="1765" spans="1:15" x14ac:dyDescent="0.25">
      <c r="A1765" t="s">
        <v>1805</v>
      </c>
      <c r="B1765" s="1">
        <v>45622</v>
      </c>
      <c r="C1765" t="s">
        <v>31</v>
      </c>
      <c r="D1765" t="s">
        <v>32</v>
      </c>
      <c r="E1765" t="s">
        <v>13</v>
      </c>
      <c r="F1765" t="s">
        <v>19</v>
      </c>
      <c r="G1765" t="s">
        <v>15</v>
      </c>
      <c r="K1765" cm="1">
        <f t="array" ref="K1765">_xlfn.SWITCH(LeadsData[[#This Row],[Funnel Stage Reached]],"Lead",1,"MQL",2,"SQL",3,"Customer",4)</f>
        <v>1</v>
      </c>
      <c r="L1765" t="str">
        <f>TEXT(LeadsData[[#This Row],[Signup Date]],"mmm-yyyy")</f>
        <v>Nov-2024</v>
      </c>
      <c r="M1765">
        <f>IF(LeadsData[[#This Row],[Stage Number]]&gt;=2,1,0)</f>
        <v>0</v>
      </c>
      <c r="N1765" s="2">
        <f>IF(LeadsData[[#This Row],[Stage Number]]&gt;=3,1,0)</f>
        <v>0</v>
      </c>
      <c r="O1765" s="2">
        <f>IF(LeadsData[[#This Row],[Stage Number]]&gt;=4,1,0)</f>
        <v>0</v>
      </c>
    </row>
    <row r="1766" spans="1:15" x14ac:dyDescent="0.25">
      <c r="A1766" t="s">
        <v>1806</v>
      </c>
      <c r="B1766" s="1">
        <v>45420</v>
      </c>
      <c r="C1766" t="s">
        <v>31</v>
      </c>
      <c r="D1766" t="s">
        <v>32</v>
      </c>
      <c r="E1766" t="s">
        <v>13</v>
      </c>
      <c r="F1766" t="s">
        <v>19</v>
      </c>
      <c r="G1766" t="s">
        <v>42</v>
      </c>
      <c r="H1766">
        <v>16</v>
      </c>
      <c r="I1766" t="s">
        <v>43</v>
      </c>
      <c r="J1766">
        <v>513.45000000000005</v>
      </c>
      <c r="K1766" cm="1">
        <f t="array" ref="K1766">_xlfn.SWITCH(LeadsData[[#This Row],[Funnel Stage Reached]],"Lead",1,"MQL",2,"SQL",3,"Customer",4)</f>
        <v>4</v>
      </c>
      <c r="L1766" t="str">
        <f>TEXT(LeadsData[[#This Row],[Signup Date]],"mmm-yyyy")</f>
        <v>May-2024</v>
      </c>
      <c r="M1766">
        <f>IF(LeadsData[[#This Row],[Stage Number]]&gt;=2,1,0)</f>
        <v>1</v>
      </c>
      <c r="N1766" s="2">
        <f>IF(LeadsData[[#This Row],[Stage Number]]&gt;=3,1,0)</f>
        <v>1</v>
      </c>
      <c r="O1766" s="2">
        <f>IF(LeadsData[[#This Row],[Stage Number]]&gt;=4,1,0)</f>
        <v>1</v>
      </c>
    </row>
    <row r="1767" spans="1:15" x14ac:dyDescent="0.25">
      <c r="A1767" t="s">
        <v>1807</v>
      </c>
      <c r="B1767" s="1">
        <v>45455</v>
      </c>
      <c r="C1767" t="s">
        <v>11</v>
      </c>
      <c r="D1767" t="s">
        <v>12</v>
      </c>
      <c r="E1767" t="s">
        <v>21</v>
      </c>
      <c r="F1767" t="s">
        <v>19</v>
      </c>
      <c r="G1767" t="s">
        <v>23</v>
      </c>
      <c r="K1767" cm="1">
        <f t="array" ref="K1767">_xlfn.SWITCH(LeadsData[[#This Row],[Funnel Stage Reached]],"Lead",1,"MQL",2,"SQL",3,"Customer",4)</f>
        <v>2</v>
      </c>
      <c r="L1767" t="str">
        <f>TEXT(LeadsData[[#This Row],[Signup Date]],"mmm-yyyy")</f>
        <v>Jun-2024</v>
      </c>
      <c r="M1767">
        <f>IF(LeadsData[[#This Row],[Stage Number]]&gt;=2,1,0)</f>
        <v>1</v>
      </c>
      <c r="N1767" s="2">
        <f>IF(LeadsData[[#This Row],[Stage Number]]&gt;=3,1,0)</f>
        <v>0</v>
      </c>
      <c r="O1767" s="2">
        <f>IF(LeadsData[[#This Row],[Stage Number]]&gt;=4,1,0)</f>
        <v>0</v>
      </c>
    </row>
    <row r="1768" spans="1:15" x14ac:dyDescent="0.25">
      <c r="A1768" t="s">
        <v>1808</v>
      </c>
      <c r="B1768" s="1">
        <v>45330</v>
      </c>
      <c r="C1768" t="s">
        <v>17</v>
      </c>
      <c r="D1768" t="s">
        <v>53</v>
      </c>
      <c r="E1768" t="s">
        <v>13</v>
      </c>
      <c r="F1768" t="s">
        <v>19</v>
      </c>
      <c r="G1768" t="s">
        <v>15</v>
      </c>
      <c r="K1768" cm="1">
        <f t="array" ref="K1768">_xlfn.SWITCH(LeadsData[[#This Row],[Funnel Stage Reached]],"Lead",1,"MQL",2,"SQL",3,"Customer",4)</f>
        <v>1</v>
      </c>
      <c r="L1768" t="str">
        <f>TEXT(LeadsData[[#This Row],[Signup Date]],"mmm-yyyy")</f>
        <v>Feb-2024</v>
      </c>
      <c r="M1768">
        <f>IF(LeadsData[[#This Row],[Stage Number]]&gt;=2,1,0)</f>
        <v>0</v>
      </c>
      <c r="N1768" s="2">
        <f>IF(LeadsData[[#This Row],[Stage Number]]&gt;=3,1,0)</f>
        <v>0</v>
      </c>
      <c r="O1768" s="2">
        <f>IF(LeadsData[[#This Row],[Stage Number]]&gt;=4,1,0)</f>
        <v>0</v>
      </c>
    </row>
    <row r="1769" spans="1:15" x14ac:dyDescent="0.25">
      <c r="A1769" t="s">
        <v>1809</v>
      </c>
      <c r="B1769" s="1">
        <v>45377</v>
      </c>
      <c r="C1769" t="s">
        <v>11</v>
      </c>
      <c r="D1769" t="s">
        <v>12</v>
      </c>
      <c r="E1769" t="s">
        <v>13</v>
      </c>
      <c r="F1769" t="s">
        <v>14</v>
      </c>
      <c r="G1769" t="s">
        <v>29</v>
      </c>
      <c r="K1769" cm="1">
        <f t="array" ref="K1769">_xlfn.SWITCH(LeadsData[[#This Row],[Funnel Stage Reached]],"Lead",1,"MQL",2,"SQL",3,"Customer",4)</f>
        <v>3</v>
      </c>
      <c r="L1769" t="str">
        <f>TEXT(LeadsData[[#This Row],[Signup Date]],"mmm-yyyy")</f>
        <v>Mar-2024</v>
      </c>
      <c r="M1769">
        <f>IF(LeadsData[[#This Row],[Stage Number]]&gt;=2,1,0)</f>
        <v>1</v>
      </c>
      <c r="N1769" s="2">
        <f>IF(LeadsData[[#This Row],[Stage Number]]&gt;=3,1,0)</f>
        <v>1</v>
      </c>
      <c r="O1769" s="2">
        <f>IF(LeadsData[[#This Row],[Stage Number]]&gt;=4,1,0)</f>
        <v>0</v>
      </c>
    </row>
    <row r="1770" spans="1:15" x14ac:dyDescent="0.25">
      <c r="A1770" t="s">
        <v>1810</v>
      </c>
      <c r="B1770" s="1">
        <v>45525</v>
      </c>
      <c r="C1770" t="s">
        <v>11</v>
      </c>
      <c r="D1770" t="s">
        <v>12</v>
      </c>
      <c r="E1770" t="s">
        <v>13</v>
      </c>
      <c r="F1770" t="s">
        <v>14</v>
      </c>
      <c r="G1770" t="s">
        <v>29</v>
      </c>
      <c r="K1770" cm="1">
        <f t="array" ref="K1770">_xlfn.SWITCH(LeadsData[[#This Row],[Funnel Stage Reached]],"Lead",1,"MQL",2,"SQL",3,"Customer",4)</f>
        <v>3</v>
      </c>
      <c r="L1770" t="str">
        <f>TEXT(LeadsData[[#This Row],[Signup Date]],"mmm-yyyy")</f>
        <v>Aug-2024</v>
      </c>
      <c r="M1770">
        <f>IF(LeadsData[[#This Row],[Stage Number]]&gt;=2,1,0)</f>
        <v>1</v>
      </c>
      <c r="N1770" s="2">
        <f>IF(LeadsData[[#This Row],[Stage Number]]&gt;=3,1,0)</f>
        <v>1</v>
      </c>
      <c r="O1770" s="2">
        <f>IF(LeadsData[[#This Row],[Stage Number]]&gt;=4,1,0)</f>
        <v>0</v>
      </c>
    </row>
    <row r="1771" spans="1:15" x14ac:dyDescent="0.25">
      <c r="A1771" t="s">
        <v>1811</v>
      </c>
      <c r="B1771" s="1">
        <v>45562</v>
      </c>
      <c r="C1771" t="s">
        <v>46</v>
      </c>
      <c r="D1771" t="s">
        <v>56</v>
      </c>
      <c r="E1771" t="s">
        <v>48</v>
      </c>
      <c r="F1771" t="s">
        <v>14</v>
      </c>
      <c r="G1771" t="s">
        <v>23</v>
      </c>
      <c r="K1771" cm="1">
        <f t="array" ref="K1771">_xlfn.SWITCH(LeadsData[[#This Row],[Funnel Stage Reached]],"Lead",1,"MQL",2,"SQL",3,"Customer",4)</f>
        <v>2</v>
      </c>
      <c r="L1771" t="str">
        <f>TEXT(LeadsData[[#This Row],[Signup Date]],"mmm-yyyy")</f>
        <v>Sep-2024</v>
      </c>
      <c r="M1771">
        <f>IF(LeadsData[[#This Row],[Stage Number]]&gt;=2,1,0)</f>
        <v>1</v>
      </c>
      <c r="N1771" s="2">
        <f>IF(LeadsData[[#This Row],[Stage Number]]&gt;=3,1,0)</f>
        <v>0</v>
      </c>
      <c r="O1771" s="2">
        <f>IF(LeadsData[[#This Row],[Stage Number]]&gt;=4,1,0)</f>
        <v>0</v>
      </c>
    </row>
    <row r="1772" spans="1:15" x14ac:dyDescent="0.25">
      <c r="A1772" t="s">
        <v>1812</v>
      </c>
      <c r="B1772" s="1">
        <v>45620</v>
      </c>
      <c r="C1772" t="s">
        <v>31</v>
      </c>
      <c r="D1772" t="s">
        <v>34</v>
      </c>
      <c r="E1772" t="s">
        <v>13</v>
      </c>
      <c r="F1772" t="s">
        <v>19</v>
      </c>
      <c r="G1772" t="s">
        <v>23</v>
      </c>
      <c r="K1772" cm="1">
        <f t="array" ref="K1772">_xlfn.SWITCH(LeadsData[[#This Row],[Funnel Stage Reached]],"Lead",1,"MQL",2,"SQL",3,"Customer",4)</f>
        <v>2</v>
      </c>
      <c r="L1772" t="str">
        <f>TEXT(LeadsData[[#This Row],[Signup Date]],"mmm-yyyy")</f>
        <v>Nov-2024</v>
      </c>
      <c r="M1772">
        <f>IF(LeadsData[[#This Row],[Stage Number]]&gt;=2,1,0)</f>
        <v>1</v>
      </c>
      <c r="N1772" s="2">
        <f>IF(LeadsData[[#This Row],[Stage Number]]&gt;=3,1,0)</f>
        <v>0</v>
      </c>
      <c r="O1772" s="2">
        <f>IF(LeadsData[[#This Row],[Stage Number]]&gt;=4,1,0)</f>
        <v>0</v>
      </c>
    </row>
    <row r="1773" spans="1:15" x14ac:dyDescent="0.25">
      <c r="A1773" t="s">
        <v>1813</v>
      </c>
      <c r="B1773" s="1">
        <v>45451</v>
      </c>
      <c r="C1773" t="s">
        <v>46</v>
      </c>
      <c r="D1773" t="s">
        <v>56</v>
      </c>
      <c r="E1773" t="s">
        <v>13</v>
      </c>
      <c r="F1773" t="s">
        <v>19</v>
      </c>
      <c r="G1773" t="s">
        <v>23</v>
      </c>
      <c r="K1773" cm="1">
        <f t="array" ref="K1773">_xlfn.SWITCH(LeadsData[[#This Row],[Funnel Stage Reached]],"Lead",1,"MQL",2,"SQL",3,"Customer",4)</f>
        <v>2</v>
      </c>
      <c r="L1773" t="str">
        <f>TEXT(LeadsData[[#This Row],[Signup Date]],"mmm-yyyy")</f>
        <v>Jun-2024</v>
      </c>
      <c r="M1773">
        <f>IF(LeadsData[[#This Row],[Stage Number]]&gt;=2,1,0)</f>
        <v>1</v>
      </c>
      <c r="N1773" s="2">
        <f>IF(LeadsData[[#This Row],[Stage Number]]&gt;=3,1,0)</f>
        <v>0</v>
      </c>
      <c r="O1773" s="2">
        <f>IF(LeadsData[[#This Row],[Stage Number]]&gt;=4,1,0)</f>
        <v>0</v>
      </c>
    </row>
    <row r="1774" spans="1:15" x14ac:dyDescent="0.25">
      <c r="A1774" t="s">
        <v>1814</v>
      </c>
      <c r="B1774" s="1">
        <v>45387</v>
      </c>
      <c r="C1774" t="s">
        <v>31</v>
      </c>
      <c r="D1774" t="s">
        <v>32</v>
      </c>
      <c r="E1774" t="s">
        <v>21</v>
      </c>
      <c r="F1774" t="s">
        <v>19</v>
      </c>
      <c r="G1774" t="s">
        <v>23</v>
      </c>
      <c r="K1774" cm="1">
        <f t="array" ref="K1774">_xlfn.SWITCH(LeadsData[[#This Row],[Funnel Stage Reached]],"Lead",1,"MQL",2,"SQL",3,"Customer",4)</f>
        <v>2</v>
      </c>
      <c r="L1774" t="str">
        <f>TEXT(LeadsData[[#This Row],[Signup Date]],"mmm-yyyy")</f>
        <v>Apr-2024</v>
      </c>
      <c r="M1774">
        <f>IF(LeadsData[[#This Row],[Stage Number]]&gt;=2,1,0)</f>
        <v>1</v>
      </c>
      <c r="N1774" s="2">
        <f>IF(LeadsData[[#This Row],[Stage Number]]&gt;=3,1,0)</f>
        <v>0</v>
      </c>
      <c r="O1774" s="2">
        <f>IF(LeadsData[[#This Row],[Stage Number]]&gt;=4,1,0)</f>
        <v>0</v>
      </c>
    </row>
    <row r="1775" spans="1:15" x14ac:dyDescent="0.25">
      <c r="A1775" t="s">
        <v>1815</v>
      </c>
      <c r="B1775" s="1">
        <v>45350</v>
      </c>
      <c r="C1775" t="s">
        <v>46</v>
      </c>
      <c r="D1775" t="s">
        <v>56</v>
      </c>
      <c r="E1775" t="s">
        <v>21</v>
      </c>
      <c r="F1775" t="s">
        <v>19</v>
      </c>
      <c r="G1775" t="s">
        <v>23</v>
      </c>
      <c r="K1775" cm="1">
        <f t="array" ref="K1775">_xlfn.SWITCH(LeadsData[[#This Row],[Funnel Stage Reached]],"Lead",1,"MQL",2,"SQL",3,"Customer",4)</f>
        <v>2</v>
      </c>
      <c r="L1775" t="str">
        <f>TEXT(LeadsData[[#This Row],[Signup Date]],"mmm-yyyy")</f>
        <v>Feb-2024</v>
      </c>
      <c r="M1775">
        <f>IF(LeadsData[[#This Row],[Stage Number]]&gt;=2,1,0)</f>
        <v>1</v>
      </c>
      <c r="N1775" s="2">
        <f>IF(LeadsData[[#This Row],[Stage Number]]&gt;=3,1,0)</f>
        <v>0</v>
      </c>
      <c r="O1775" s="2">
        <f>IF(LeadsData[[#This Row],[Stage Number]]&gt;=4,1,0)</f>
        <v>0</v>
      </c>
    </row>
    <row r="1776" spans="1:15" x14ac:dyDescent="0.25">
      <c r="A1776" t="s">
        <v>1816</v>
      </c>
      <c r="B1776" s="1">
        <v>45615</v>
      </c>
      <c r="C1776" t="s">
        <v>46</v>
      </c>
      <c r="D1776" t="s">
        <v>47</v>
      </c>
      <c r="E1776" t="s">
        <v>21</v>
      </c>
      <c r="F1776" t="s">
        <v>14</v>
      </c>
      <c r="G1776" t="s">
        <v>42</v>
      </c>
      <c r="H1776">
        <v>50</v>
      </c>
      <c r="I1776" t="s">
        <v>43</v>
      </c>
      <c r="J1776">
        <v>1254.56</v>
      </c>
      <c r="K1776" cm="1">
        <f t="array" ref="K1776">_xlfn.SWITCH(LeadsData[[#This Row],[Funnel Stage Reached]],"Lead",1,"MQL",2,"SQL",3,"Customer",4)</f>
        <v>4</v>
      </c>
      <c r="L1776" t="str">
        <f>TEXT(LeadsData[[#This Row],[Signup Date]],"mmm-yyyy")</f>
        <v>Nov-2024</v>
      </c>
      <c r="M1776">
        <f>IF(LeadsData[[#This Row],[Stage Number]]&gt;=2,1,0)</f>
        <v>1</v>
      </c>
      <c r="N1776" s="2">
        <f>IF(LeadsData[[#This Row],[Stage Number]]&gt;=3,1,0)</f>
        <v>1</v>
      </c>
      <c r="O1776" s="2">
        <f>IF(LeadsData[[#This Row],[Stage Number]]&gt;=4,1,0)</f>
        <v>1</v>
      </c>
    </row>
    <row r="1777" spans="1:15" x14ac:dyDescent="0.25">
      <c r="A1777" t="s">
        <v>1817</v>
      </c>
      <c r="B1777" s="1">
        <v>45569</v>
      </c>
      <c r="C1777" t="s">
        <v>36</v>
      </c>
      <c r="D1777" t="s">
        <v>37</v>
      </c>
      <c r="E1777" t="s">
        <v>21</v>
      </c>
      <c r="F1777" t="s">
        <v>14</v>
      </c>
      <c r="G1777" t="s">
        <v>15</v>
      </c>
      <c r="K1777" cm="1">
        <f t="array" ref="K1777">_xlfn.SWITCH(LeadsData[[#This Row],[Funnel Stage Reached]],"Lead",1,"MQL",2,"SQL",3,"Customer",4)</f>
        <v>1</v>
      </c>
      <c r="L1777" t="str">
        <f>TEXT(LeadsData[[#This Row],[Signup Date]],"mmm-yyyy")</f>
        <v>Oct-2024</v>
      </c>
      <c r="M1777">
        <f>IF(LeadsData[[#This Row],[Stage Number]]&gt;=2,1,0)</f>
        <v>0</v>
      </c>
      <c r="N1777" s="2">
        <f>IF(LeadsData[[#This Row],[Stage Number]]&gt;=3,1,0)</f>
        <v>0</v>
      </c>
      <c r="O1777" s="2">
        <f>IF(LeadsData[[#This Row],[Stage Number]]&gt;=4,1,0)</f>
        <v>0</v>
      </c>
    </row>
    <row r="1778" spans="1:15" x14ac:dyDescent="0.25">
      <c r="A1778" t="s">
        <v>1818</v>
      </c>
      <c r="B1778" s="1">
        <v>45640</v>
      </c>
      <c r="C1778" t="s">
        <v>36</v>
      </c>
      <c r="D1778" t="s">
        <v>37</v>
      </c>
      <c r="E1778" t="s">
        <v>21</v>
      </c>
      <c r="F1778" t="s">
        <v>22</v>
      </c>
      <c r="G1778" t="s">
        <v>15</v>
      </c>
      <c r="K1778" cm="1">
        <f t="array" ref="K1778">_xlfn.SWITCH(LeadsData[[#This Row],[Funnel Stage Reached]],"Lead",1,"MQL",2,"SQL",3,"Customer",4)</f>
        <v>1</v>
      </c>
      <c r="L1778" t="str">
        <f>TEXT(LeadsData[[#This Row],[Signup Date]],"mmm-yyyy")</f>
        <v>Dec-2024</v>
      </c>
      <c r="M1778">
        <f>IF(LeadsData[[#This Row],[Stage Number]]&gt;=2,1,0)</f>
        <v>0</v>
      </c>
      <c r="N1778" s="2">
        <f>IF(LeadsData[[#This Row],[Stage Number]]&gt;=3,1,0)</f>
        <v>0</v>
      </c>
      <c r="O1778" s="2">
        <f>IF(LeadsData[[#This Row],[Stage Number]]&gt;=4,1,0)</f>
        <v>0</v>
      </c>
    </row>
    <row r="1779" spans="1:15" x14ac:dyDescent="0.25">
      <c r="A1779" t="s">
        <v>1819</v>
      </c>
      <c r="B1779" s="1">
        <v>45494</v>
      </c>
      <c r="C1779" t="s">
        <v>11</v>
      </c>
      <c r="D1779" t="s">
        <v>79</v>
      </c>
      <c r="E1779" t="s">
        <v>21</v>
      </c>
      <c r="F1779" t="s">
        <v>19</v>
      </c>
      <c r="G1779" t="s">
        <v>15</v>
      </c>
      <c r="K1779" cm="1">
        <f t="array" ref="K1779">_xlfn.SWITCH(LeadsData[[#This Row],[Funnel Stage Reached]],"Lead",1,"MQL",2,"SQL",3,"Customer",4)</f>
        <v>1</v>
      </c>
      <c r="L1779" t="str">
        <f>TEXT(LeadsData[[#This Row],[Signup Date]],"mmm-yyyy")</f>
        <v>Jul-2024</v>
      </c>
      <c r="M1779">
        <f>IF(LeadsData[[#This Row],[Stage Number]]&gt;=2,1,0)</f>
        <v>0</v>
      </c>
      <c r="N1779" s="2">
        <f>IF(LeadsData[[#This Row],[Stage Number]]&gt;=3,1,0)</f>
        <v>0</v>
      </c>
      <c r="O1779" s="2">
        <f>IF(LeadsData[[#This Row],[Stage Number]]&gt;=4,1,0)</f>
        <v>0</v>
      </c>
    </row>
    <row r="1780" spans="1:15" x14ac:dyDescent="0.25">
      <c r="A1780" t="s">
        <v>1820</v>
      </c>
      <c r="B1780" s="1">
        <v>45608</v>
      </c>
      <c r="C1780" t="s">
        <v>46</v>
      </c>
      <c r="D1780" t="s">
        <v>56</v>
      </c>
      <c r="E1780" t="s">
        <v>13</v>
      </c>
      <c r="F1780" t="s">
        <v>19</v>
      </c>
      <c r="G1780" t="s">
        <v>15</v>
      </c>
      <c r="K1780" cm="1">
        <f t="array" ref="K1780">_xlfn.SWITCH(LeadsData[[#This Row],[Funnel Stage Reached]],"Lead",1,"MQL",2,"SQL",3,"Customer",4)</f>
        <v>1</v>
      </c>
      <c r="L1780" t="str">
        <f>TEXT(LeadsData[[#This Row],[Signup Date]],"mmm-yyyy")</f>
        <v>Nov-2024</v>
      </c>
      <c r="M1780">
        <f>IF(LeadsData[[#This Row],[Stage Number]]&gt;=2,1,0)</f>
        <v>0</v>
      </c>
      <c r="N1780" s="2">
        <f>IF(LeadsData[[#This Row],[Stage Number]]&gt;=3,1,0)</f>
        <v>0</v>
      </c>
      <c r="O1780" s="2">
        <f>IF(LeadsData[[#This Row],[Stage Number]]&gt;=4,1,0)</f>
        <v>0</v>
      </c>
    </row>
    <row r="1781" spans="1:15" x14ac:dyDescent="0.25">
      <c r="A1781" t="s">
        <v>1821</v>
      </c>
      <c r="B1781" s="1">
        <v>45644</v>
      </c>
      <c r="C1781" t="s">
        <v>31</v>
      </c>
      <c r="D1781" t="s">
        <v>34</v>
      </c>
      <c r="E1781" t="s">
        <v>13</v>
      </c>
      <c r="F1781" t="s">
        <v>14</v>
      </c>
      <c r="G1781" t="s">
        <v>15</v>
      </c>
      <c r="K1781" cm="1">
        <f t="array" ref="K1781">_xlfn.SWITCH(LeadsData[[#This Row],[Funnel Stage Reached]],"Lead",1,"MQL",2,"SQL",3,"Customer",4)</f>
        <v>1</v>
      </c>
      <c r="L1781" t="str">
        <f>TEXT(LeadsData[[#This Row],[Signup Date]],"mmm-yyyy")</f>
        <v>Dec-2024</v>
      </c>
      <c r="M1781">
        <f>IF(LeadsData[[#This Row],[Stage Number]]&gt;=2,1,0)</f>
        <v>0</v>
      </c>
      <c r="N1781" s="2">
        <f>IF(LeadsData[[#This Row],[Stage Number]]&gt;=3,1,0)</f>
        <v>0</v>
      </c>
      <c r="O1781" s="2">
        <f>IF(LeadsData[[#This Row],[Stage Number]]&gt;=4,1,0)</f>
        <v>0</v>
      </c>
    </row>
    <row r="1782" spans="1:15" x14ac:dyDescent="0.25">
      <c r="A1782" t="s">
        <v>1822</v>
      </c>
      <c r="B1782" s="1">
        <v>45333</v>
      </c>
      <c r="C1782" t="s">
        <v>31</v>
      </c>
      <c r="D1782" t="s">
        <v>32</v>
      </c>
      <c r="E1782" t="s">
        <v>21</v>
      </c>
      <c r="F1782" t="s">
        <v>22</v>
      </c>
      <c r="G1782" t="s">
        <v>15</v>
      </c>
      <c r="K1782" cm="1">
        <f t="array" ref="K1782">_xlfn.SWITCH(LeadsData[[#This Row],[Funnel Stage Reached]],"Lead",1,"MQL",2,"SQL",3,"Customer",4)</f>
        <v>1</v>
      </c>
      <c r="L1782" t="str">
        <f>TEXT(LeadsData[[#This Row],[Signup Date]],"mmm-yyyy")</f>
        <v>Feb-2024</v>
      </c>
      <c r="M1782">
        <f>IF(LeadsData[[#This Row],[Stage Number]]&gt;=2,1,0)</f>
        <v>0</v>
      </c>
      <c r="N1782" s="2">
        <f>IF(LeadsData[[#This Row],[Stage Number]]&gt;=3,1,0)</f>
        <v>0</v>
      </c>
      <c r="O1782" s="2">
        <f>IF(LeadsData[[#This Row],[Stage Number]]&gt;=4,1,0)</f>
        <v>0</v>
      </c>
    </row>
    <row r="1783" spans="1:15" x14ac:dyDescent="0.25">
      <c r="A1783" t="s">
        <v>1823</v>
      </c>
      <c r="B1783" s="1">
        <v>45511</v>
      </c>
      <c r="C1783" t="s">
        <v>31</v>
      </c>
      <c r="D1783" t="s">
        <v>32</v>
      </c>
      <c r="E1783" t="s">
        <v>13</v>
      </c>
      <c r="F1783" t="s">
        <v>19</v>
      </c>
      <c r="G1783" t="s">
        <v>15</v>
      </c>
      <c r="K1783" cm="1">
        <f t="array" ref="K1783">_xlfn.SWITCH(LeadsData[[#This Row],[Funnel Stage Reached]],"Lead",1,"MQL",2,"SQL",3,"Customer",4)</f>
        <v>1</v>
      </c>
      <c r="L1783" t="str">
        <f>TEXT(LeadsData[[#This Row],[Signup Date]],"mmm-yyyy")</f>
        <v>Aug-2024</v>
      </c>
      <c r="M1783">
        <f>IF(LeadsData[[#This Row],[Stage Number]]&gt;=2,1,0)</f>
        <v>0</v>
      </c>
      <c r="N1783" s="2">
        <f>IF(LeadsData[[#This Row],[Stage Number]]&gt;=3,1,0)</f>
        <v>0</v>
      </c>
      <c r="O1783" s="2">
        <f>IF(LeadsData[[#This Row],[Stage Number]]&gt;=4,1,0)</f>
        <v>0</v>
      </c>
    </row>
    <row r="1784" spans="1:15" x14ac:dyDescent="0.25">
      <c r="A1784" t="s">
        <v>1824</v>
      </c>
      <c r="B1784" s="1">
        <v>45354</v>
      </c>
      <c r="C1784" t="s">
        <v>46</v>
      </c>
      <c r="D1784" t="s">
        <v>56</v>
      </c>
      <c r="E1784" t="s">
        <v>13</v>
      </c>
      <c r="F1784" t="s">
        <v>19</v>
      </c>
      <c r="G1784" t="s">
        <v>29</v>
      </c>
      <c r="K1784" cm="1">
        <f t="array" ref="K1784">_xlfn.SWITCH(LeadsData[[#This Row],[Funnel Stage Reached]],"Lead",1,"MQL",2,"SQL",3,"Customer",4)</f>
        <v>3</v>
      </c>
      <c r="L1784" t="str">
        <f>TEXT(LeadsData[[#This Row],[Signup Date]],"mmm-yyyy")</f>
        <v>Mar-2024</v>
      </c>
      <c r="M1784">
        <f>IF(LeadsData[[#This Row],[Stage Number]]&gt;=2,1,0)</f>
        <v>1</v>
      </c>
      <c r="N1784" s="2">
        <f>IF(LeadsData[[#This Row],[Stage Number]]&gt;=3,1,0)</f>
        <v>1</v>
      </c>
      <c r="O1784" s="2">
        <f>IF(LeadsData[[#This Row],[Stage Number]]&gt;=4,1,0)</f>
        <v>0</v>
      </c>
    </row>
    <row r="1785" spans="1:15" x14ac:dyDescent="0.25">
      <c r="A1785" t="s">
        <v>1825</v>
      </c>
      <c r="B1785" s="1">
        <v>45640</v>
      </c>
      <c r="C1785" t="s">
        <v>31</v>
      </c>
      <c r="D1785" t="s">
        <v>34</v>
      </c>
      <c r="E1785" t="s">
        <v>21</v>
      </c>
      <c r="F1785" t="s">
        <v>19</v>
      </c>
      <c r="G1785" t="s">
        <v>15</v>
      </c>
      <c r="K1785" cm="1">
        <f t="array" ref="K1785">_xlfn.SWITCH(LeadsData[[#This Row],[Funnel Stage Reached]],"Lead",1,"MQL",2,"SQL",3,"Customer",4)</f>
        <v>1</v>
      </c>
      <c r="L1785" t="str">
        <f>TEXT(LeadsData[[#This Row],[Signup Date]],"mmm-yyyy")</f>
        <v>Dec-2024</v>
      </c>
      <c r="M1785">
        <f>IF(LeadsData[[#This Row],[Stage Number]]&gt;=2,1,0)</f>
        <v>0</v>
      </c>
      <c r="N1785" s="2">
        <f>IF(LeadsData[[#This Row],[Stage Number]]&gt;=3,1,0)</f>
        <v>0</v>
      </c>
      <c r="O1785" s="2">
        <f>IF(LeadsData[[#This Row],[Stage Number]]&gt;=4,1,0)</f>
        <v>0</v>
      </c>
    </row>
    <row r="1786" spans="1:15" x14ac:dyDescent="0.25">
      <c r="A1786" t="s">
        <v>1826</v>
      </c>
      <c r="B1786" s="1">
        <v>45355</v>
      </c>
      <c r="C1786" t="s">
        <v>31</v>
      </c>
      <c r="D1786" t="s">
        <v>34</v>
      </c>
      <c r="E1786" t="s">
        <v>13</v>
      </c>
      <c r="F1786" t="s">
        <v>19</v>
      </c>
      <c r="G1786" t="s">
        <v>42</v>
      </c>
      <c r="H1786">
        <v>60</v>
      </c>
      <c r="I1786" t="s">
        <v>43</v>
      </c>
      <c r="J1786">
        <v>1394.25</v>
      </c>
      <c r="K1786" cm="1">
        <f t="array" ref="K1786">_xlfn.SWITCH(LeadsData[[#This Row],[Funnel Stage Reached]],"Lead",1,"MQL",2,"SQL",3,"Customer",4)</f>
        <v>4</v>
      </c>
      <c r="L1786" t="str">
        <f>TEXT(LeadsData[[#This Row],[Signup Date]],"mmm-yyyy")</f>
        <v>Mar-2024</v>
      </c>
      <c r="M1786">
        <f>IF(LeadsData[[#This Row],[Stage Number]]&gt;=2,1,0)</f>
        <v>1</v>
      </c>
      <c r="N1786" s="2">
        <f>IF(LeadsData[[#This Row],[Stage Number]]&gt;=3,1,0)</f>
        <v>1</v>
      </c>
      <c r="O1786" s="2">
        <f>IF(LeadsData[[#This Row],[Stage Number]]&gt;=4,1,0)</f>
        <v>1</v>
      </c>
    </row>
    <row r="1787" spans="1:15" x14ac:dyDescent="0.25">
      <c r="A1787" t="s">
        <v>1827</v>
      </c>
      <c r="B1787" s="1">
        <v>45492</v>
      </c>
      <c r="C1787" t="s">
        <v>11</v>
      </c>
      <c r="D1787" t="s">
        <v>12</v>
      </c>
      <c r="E1787" t="s">
        <v>13</v>
      </c>
      <c r="F1787" t="s">
        <v>22</v>
      </c>
      <c r="G1787" t="s">
        <v>15</v>
      </c>
      <c r="K1787" cm="1">
        <f t="array" ref="K1787">_xlfn.SWITCH(LeadsData[[#This Row],[Funnel Stage Reached]],"Lead",1,"MQL",2,"SQL",3,"Customer",4)</f>
        <v>1</v>
      </c>
      <c r="L1787" t="str">
        <f>TEXT(LeadsData[[#This Row],[Signup Date]],"mmm-yyyy")</f>
        <v>Jul-2024</v>
      </c>
      <c r="M1787">
        <f>IF(LeadsData[[#This Row],[Stage Number]]&gt;=2,1,0)</f>
        <v>0</v>
      </c>
      <c r="N1787" s="2">
        <f>IF(LeadsData[[#This Row],[Stage Number]]&gt;=3,1,0)</f>
        <v>0</v>
      </c>
      <c r="O1787" s="2">
        <f>IF(LeadsData[[#This Row],[Stage Number]]&gt;=4,1,0)</f>
        <v>0</v>
      </c>
    </row>
    <row r="1788" spans="1:15" x14ac:dyDescent="0.25">
      <c r="A1788" t="s">
        <v>1828</v>
      </c>
      <c r="B1788" s="1">
        <v>45393</v>
      </c>
      <c r="C1788" t="s">
        <v>46</v>
      </c>
      <c r="D1788" t="s">
        <v>47</v>
      </c>
      <c r="E1788" t="s">
        <v>21</v>
      </c>
      <c r="F1788" t="s">
        <v>19</v>
      </c>
      <c r="G1788" t="s">
        <v>15</v>
      </c>
      <c r="K1788" cm="1">
        <f t="array" ref="K1788">_xlfn.SWITCH(LeadsData[[#This Row],[Funnel Stage Reached]],"Lead",1,"MQL",2,"SQL",3,"Customer",4)</f>
        <v>1</v>
      </c>
      <c r="L1788" t="str">
        <f>TEXT(LeadsData[[#This Row],[Signup Date]],"mmm-yyyy")</f>
        <v>Apr-2024</v>
      </c>
      <c r="M1788">
        <f>IF(LeadsData[[#This Row],[Stage Number]]&gt;=2,1,0)</f>
        <v>0</v>
      </c>
      <c r="N1788" s="2">
        <f>IF(LeadsData[[#This Row],[Stage Number]]&gt;=3,1,0)</f>
        <v>0</v>
      </c>
      <c r="O1788" s="2">
        <f>IF(LeadsData[[#This Row],[Stage Number]]&gt;=4,1,0)</f>
        <v>0</v>
      </c>
    </row>
    <row r="1789" spans="1:15" x14ac:dyDescent="0.25">
      <c r="A1789" t="s">
        <v>1829</v>
      </c>
      <c r="B1789" s="1">
        <v>45597</v>
      </c>
      <c r="C1789" t="s">
        <v>31</v>
      </c>
      <c r="D1789" t="s">
        <v>34</v>
      </c>
      <c r="E1789" t="s">
        <v>21</v>
      </c>
      <c r="F1789" t="s">
        <v>19</v>
      </c>
      <c r="G1789" t="s">
        <v>42</v>
      </c>
      <c r="H1789">
        <v>37</v>
      </c>
      <c r="I1789" t="s">
        <v>43</v>
      </c>
      <c r="J1789">
        <v>833.96</v>
      </c>
      <c r="K1789" cm="1">
        <f t="array" ref="K1789">_xlfn.SWITCH(LeadsData[[#This Row],[Funnel Stage Reached]],"Lead",1,"MQL",2,"SQL",3,"Customer",4)</f>
        <v>4</v>
      </c>
      <c r="L1789" t="str">
        <f>TEXT(LeadsData[[#This Row],[Signup Date]],"mmm-yyyy")</f>
        <v>Nov-2024</v>
      </c>
      <c r="M1789">
        <f>IF(LeadsData[[#This Row],[Stage Number]]&gt;=2,1,0)</f>
        <v>1</v>
      </c>
      <c r="N1789" s="2">
        <f>IF(LeadsData[[#This Row],[Stage Number]]&gt;=3,1,0)</f>
        <v>1</v>
      </c>
      <c r="O1789" s="2">
        <f>IF(LeadsData[[#This Row],[Stage Number]]&gt;=4,1,0)</f>
        <v>1</v>
      </c>
    </row>
    <row r="1790" spans="1:15" x14ac:dyDescent="0.25">
      <c r="A1790" t="s">
        <v>1830</v>
      </c>
      <c r="B1790" s="1">
        <v>45404</v>
      </c>
      <c r="C1790" t="s">
        <v>46</v>
      </c>
      <c r="D1790" t="s">
        <v>56</v>
      </c>
      <c r="E1790" t="s">
        <v>13</v>
      </c>
      <c r="F1790" t="s">
        <v>22</v>
      </c>
      <c r="G1790" t="s">
        <v>23</v>
      </c>
      <c r="K1790" cm="1">
        <f t="array" ref="K1790">_xlfn.SWITCH(LeadsData[[#This Row],[Funnel Stage Reached]],"Lead",1,"MQL",2,"SQL",3,"Customer",4)</f>
        <v>2</v>
      </c>
      <c r="L1790" t="str">
        <f>TEXT(LeadsData[[#This Row],[Signup Date]],"mmm-yyyy")</f>
        <v>Apr-2024</v>
      </c>
      <c r="M1790">
        <f>IF(LeadsData[[#This Row],[Stage Number]]&gt;=2,1,0)</f>
        <v>1</v>
      </c>
      <c r="N1790" s="2">
        <f>IF(LeadsData[[#This Row],[Stage Number]]&gt;=3,1,0)</f>
        <v>0</v>
      </c>
      <c r="O1790" s="2">
        <f>IF(LeadsData[[#This Row],[Stage Number]]&gt;=4,1,0)</f>
        <v>0</v>
      </c>
    </row>
    <row r="1791" spans="1:15" x14ac:dyDescent="0.25">
      <c r="A1791" t="s">
        <v>1831</v>
      </c>
      <c r="B1791" s="1">
        <v>45401</v>
      </c>
      <c r="C1791" t="s">
        <v>25</v>
      </c>
      <c r="D1791" t="s">
        <v>26</v>
      </c>
      <c r="E1791" t="s">
        <v>13</v>
      </c>
      <c r="F1791" t="s">
        <v>14</v>
      </c>
      <c r="G1791" t="s">
        <v>15</v>
      </c>
      <c r="K1791" cm="1">
        <f t="array" ref="K1791">_xlfn.SWITCH(LeadsData[[#This Row],[Funnel Stage Reached]],"Lead",1,"MQL",2,"SQL",3,"Customer",4)</f>
        <v>1</v>
      </c>
      <c r="L1791" t="str">
        <f>TEXT(LeadsData[[#This Row],[Signup Date]],"mmm-yyyy")</f>
        <v>Apr-2024</v>
      </c>
      <c r="M1791">
        <f>IF(LeadsData[[#This Row],[Stage Number]]&gt;=2,1,0)</f>
        <v>0</v>
      </c>
      <c r="N1791" s="2">
        <f>IF(LeadsData[[#This Row],[Stage Number]]&gt;=3,1,0)</f>
        <v>0</v>
      </c>
      <c r="O1791" s="2">
        <f>IF(LeadsData[[#This Row],[Stage Number]]&gt;=4,1,0)</f>
        <v>0</v>
      </c>
    </row>
    <row r="1792" spans="1:15" x14ac:dyDescent="0.25">
      <c r="A1792" t="s">
        <v>1832</v>
      </c>
      <c r="B1792" s="1">
        <v>45540</v>
      </c>
      <c r="C1792" t="s">
        <v>31</v>
      </c>
      <c r="D1792" t="s">
        <v>34</v>
      </c>
      <c r="E1792" t="s">
        <v>13</v>
      </c>
      <c r="F1792" t="s">
        <v>22</v>
      </c>
      <c r="G1792" t="s">
        <v>29</v>
      </c>
      <c r="K1792" cm="1">
        <f t="array" ref="K1792">_xlfn.SWITCH(LeadsData[[#This Row],[Funnel Stage Reached]],"Lead",1,"MQL",2,"SQL",3,"Customer",4)</f>
        <v>3</v>
      </c>
      <c r="L1792" t="str">
        <f>TEXT(LeadsData[[#This Row],[Signup Date]],"mmm-yyyy")</f>
        <v>Sep-2024</v>
      </c>
      <c r="M1792">
        <f>IF(LeadsData[[#This Row],[Stage Number]]&gt;=2,1,0)</f>
        <v>1</v>
      </c>
      <c r="N1792" s="2">
        <f>IF(LeadsData[[#This Row],[Stage Number]]&gt;=3,1,0)</f>
        <v>1</v>
      </c>
      <c r="O1792" s="2">
        <f>IF(LeadsData[[#This Row],[Stage Number]]&gt;=4,1,0)</f>
        <v>0</v>
      </c>
    </row>
    <row r="1793" spans="1:15" x14ac:dyDescent="0.25">
      <c r="A1793" t="s">
        <v>1833</v>
      </c>
      <c r="B1793" s="1">
        <v>45451</v>
      </c>
      <c r="C1793" t="s">
        <v>31</v>
      </c>
      <c r="D1793" t="s">
        <v>34</v>
      </c>
      <c r="E1793" t="s">
        <v>21</v>
      </c>
      <c r="F1793" t="s">
        <v>19</v>
      </c>
      <c r="G1793" t="s">
        <v>42</v>
      </c>
      <c r="H1793">
        <v>44</v>
      </c>
      <c r="I1793" t="s">
        <v>43</v>
      </c>
      <c r="J1793">
        <v>826.77</v>
      </c>
      <c r="K1793" cm="1">
        <f t="array" ref="K1793">_xlfn.SWITCH(LeadsData[[#This Row],[Funnel Stage Reached]],"Lead",1,"MQL",2,"SQL",3,"Customer",4)</f>
        <v>4</v>
      </c>
      <c r="L1793" t="str">
        <f>TEXT(LeadsData[[#This Row],[Signup Date]],"mmm-yyyy")</f>
        <v>Jun-2024</v>
      </c>
      <c r="M1793">
        <f>IF(LeadsData[[#This Row],[Stage Number]]&gt;=2,1,0)</f>
        <v>1</v>
      </c>
      <c r="N1793" s="2">
        <f>IF(LeadsData[[#This Row],[Stage Number]]&gt;=3,1,0)</f>
        <v>1</v>
      </c>
      <c r="O1793" s="2">
        <f>IF(LeadsData[[#This Row],[Stage Number]]&gt;=4,1,0)</f>
        <v>1</v>
      </c>
    </row>
    <row r="1794" spans="1:15" x14ac:dyDescent="0.25">
      <c r="A1794" t="s">
        <v>1834</v>
      </c>
      <c r="B1794" s="1">
        <v>45555</v>
      </c>
      <c r="C1794" t="s">
        <v>36</v>
      </c>
      <c r="D1794" t="s">
        <v>50</v>
      </c>
      <c r="E1794" t="s">
        <v>13</v>
      </c>
      <c r="F1794" t="s">
        <v>14</v>
      </c>
      <c r="G1794" t="s">
        <v>29</v>
      </c>
      <c r="K1794" cm="1">
        <f t="array" ref="K1794">_xlfn.SWITCH(LeadsData[[#This Row],[Funnel Stage Reached]],"Lead",1,"MQL",2,"SQL",3,"Customer",4)</f>
        <v>3</v>
      </c>
      <c r="L1794" t="str">
        <f>TEXT(LeadsData[[#This Row],[Signup Date]],"mmm-yyyy")</f>
        <v>Sep-2024</v>
      </c>
      <c r="M1794">
        <f>IF(LeadsData[[#This Row],[Stage Number]]&gt;=2,1,0)</f>
        <v>1</v>
      </c>
      <c r="N1794" s="2">
        <f>IF(LeadsData[[#This Row],[Stage Number]]&gt;=3,1,0)</f>
        <v>1</v>
      </c>
      <c r="O1794" s="2">
        <f>IF(LeadsData[[#This Row],[Stage Number]]&gt;=4,1,0)</f>
        <v>0</v>
      </c>
    </row>
    <row r="1795" spans="1:15" x14ac:dyDescent="0.25">
      <c r="A1795" t="s">
        <v>1835</v>
      </c>
      <c r="B1795" s="1">
        <v>45556</v>
      </c>
      <c r="C1795" t="s">
        <v>17</v>
      </c>
      <c r="D1795" t="s">
        <v>53</v>
      </c>
      <c r="E1795" t="s">
        <v>13</v>
      </c>
      <c r="F1795" t="s">
        <v>19</v>
      </c>
      <c r="G1795" t="s">
        <v>15</v>
      </c>
      <c r="K1795" cm="1">
        <f t="array" ref="K1795">_xlfn.SWITCH(LeadsData[[#This Row],[Funnel Stage Reached]],"Lead",1,"MQL",2,"SQL",3,"Customer",4)</f>
        <v>1</v>
      </c>
      <c r="L1795" t="str">
        <f>TEXT(LeadsData[[#This Row],[Signup Date]],"mmm-yyyy")</f>
        <v>Sep-2024</v>
      </c>
      <c r="M1795">
        <f>IF(LeadsData[[#This Row],[Stage Number]]&gt;=2,1,0)</f>
        <v>0</v>
      </c>
      <c r="N1795" s="2">
        <f>IF(LeadsData[[#This Row],[Stage Number]]&gt;=3,1,0)</f>
        <v>0</v>
      </c>
      <c r="O1795" s="2">
        <f>IF(LeadsData[[#This Row],[Stage Number]]&gt;=4,1,0)</f>
        <v>0</v>
      </c>
    </row>
    <row r="1796" spans="1:15" x14ac:dyDescent="0.25">
      <c r="A1796" t="s">
        <v>1836</v>
      </c>
      <c r="B1796" s="1">
        <v>45641</v>
      </c>
      <c r="C1796" t="s">
        <v>31</v>
      </c>
      <c r="D1796" t="s">
        <v>32</v>
      </c>
      <c r="E1796" t="s">
        <v>48</v>
      </c>
      <c r="F1796" t="s">
        <v>19</v>
      </c>
      <c r="G1796" t="s">
        <v>15</v>
      </c>
      <c r="K1796" cm="1">
        <f t="array" ref="K1796">_xlfn.SWITCH(LeadsData[[#This Row],[Funnel Stage Reached]],"Lead",1,"MQL",2,"SQL",3,"Customer",4)</f>
        <v>1</v>
      </c>
      <c r="L1796" t="str">
        <f>TEXT(LeadsData[[#This Row],[Signup Date]],"mmm-yyyy")</f>
        <v>Dec-2024</v>
      </c>
      <c r="M1796">
        <f>IF(LeadsData[[#This Row],[Stage Number]]&gt;=2,1,0)</f>
        <v>0</v>
      </c>
      <c r="N1796" s="2">
        <f>IF(LeadsData[[#This Row],[Stage Number]]&gt;=3,1,0)</f>
        <v>0</v>
      </c>
      <c r="O1796" s="2">
        <f>IF(LeadsData[[#This Row],[Stage Number]]&gt;=4,1,0)</f>
        <v>0</v>
      </c>
    </row>
    <row r="1797" spans="1:15" x14ac:dyDescent="0.25">
      <c r="A1797" t="s">
        <v>1837</v>
      </c>
      <c r="B1797" s="1">
        <v>45609</v>
      </c>
      <c r="C1797" t="s">
        <v>46</v>
      </c>
      <c r="D1797" t="s">
        <v>56</v>
      </c>
      <c r="E1797" t="s">
        <v>13</v>
      </c>
      <c r="F1797" t="s">
        <v>22</v>
      </c>
      <c r="G1797" t="s">
        <v>15</v>
      </c>
      <c r="K1797" cm="1">
        <f t="array" ref="K1797">_xlfn.SWITCH(LeadsData[[#This Row],[Funnel Stage Reached]],"Lead",1,"MQL",2,"SQL",3,"Customer",4)</f>
        <v>1</v>
      </c>
      <c r="L1797" t="str">
        <f>TEXT(LeadsData[[#This Row],[Signup Date]],"mmm-yyyy")</f>
        <v>Nov-2024</v>
      </c>
      <c r="M1797">
        <f>IF(LeadsData[[#This Row],[Stage Number]]&gt;=2,1,0)</f>
        <v>0</v>
      </c>
      <c r="N1797" s="2">
        <f>IF(LeadsData[[#This Row],[Stage Number]]&gt;=3,1,0)</f>
        <v>0</v>
      </c>
      <c r="O1797" s="2">
        <f>IF(LeadsData[[#This Row],[Stage Number]]&gt;=4,1,0)</f>
        <v>0</v>
      </c>
    </row>
    <row r="1798" spans="1:15" x14ac:dyDescent="0.25">
      <c r="A1798" t="s">
        <v>1838</v>
      </c>
      <c r="B1798" s="1">
        <v>45582</v>
      </c>
      <c r="C1798" t="s">
        <v>11</v>
      </c>
      <c r="D1798" t="s">
        <v>68</v>
      </c>
      <c r="E1798" t="s">
        <v>21</v>
      </c>
      <c r="F1798" t="s">
        <v>22</v>
      </c>
      <c r="G1798" t="s">
        <v>15</v>
      </c>
      <c r="K1798" cm="1">
        <f t="array" ref="K1798">_xlfn.SWITCH(LeadsData[[#This Row],[Funnel Stage Reached]],"Lead",1,"MQL",2,"SQL",3,"Customer",4)</f>
        <v>1</v>
      </c>
      <c r="L1798" t="str">
        <f>TEXT(LeadsData[[#This Row],[Signup Date]],"mmm-yyyy")</f>
        <v>Oct-2024</v>
      </c>
      <c r="M1798">
        <f>IF(LeadsData[[#This Row],[Stage Number]]&gt;=2,1,0)</f>
        <v>0</v>
      </c>
      <c r="N1798" s="2">
        <f>IF(LeadsData[[#This Row],[Stage Number]]&gt;=3,1,0)</f>
        <v>0</v>
      </c>
      <c r="O1798" s="2">
        <f>IF(LeadsData[[#This Row],[Stage Number]]&gt;=4,1,0)</f>
        <v>0</v>
      </c>
    </row>
    <row r="1799" spans="1:15" x14ac:dyDescent="0.25">
      <c r="A1799" t="s">
        <v>1839</v>
      </c>
      <c r="B1799" s="1">
        <v>45372</v>
      </c>
      <c r="C1799" t="s">
        <v>31</v>
      </c>
      <c r="D1799" t="s">
        <v>32</v>
      </c>
      <c r="E1799" t="s">
        <v>21</v>
      </c>
      <c r="F1799" t="s">
        <v>22</v>
      </c>
      <c r="G1799" t="s">
        <v>23</v>
      </c>
      <c r="K1799" cm="1">
        <f t="array" ref="K1799">_xlfn.SWITCH(LeadsData[[#This Row],[Funnel Stage Reached]],"Lead",1,"MQL",2,"SQL",3,"Customer",4)</f>
        <v>2</v>
      </c>
      <c r="L1799" t="str">
        <f>TEXT(LeadsData[[#This Row],[Signup Date]],"mmm-yyyy")</f>
        <v>Mar-2024</v>
      </c>
      <c r="M1799">
        <f>IF(LeadsData[[#This Row],[Stage Number]]&gt;=2,1,0)</f>
        <v>1</v>
      </c>
      <c r="N1799" s="2">
        <f>IF(LeadsData[[#This Row],[Stage Number]]&gt;=3,1,0)</f>
        <v>0</v>
      </c>
      <c r="O1799" s="2">
        <f>IF(LeadsData[[#This Row],[Stage Number]]&gt;=4,1,0)</f>
        <v>0</v>
      </c>
    </row>
    <row r="1800" spans="1:15" x14ac:dyDescent="0.25">
      <c r="A1800" t="s">
        <v>1840</v>
      </c>
      <c r="B1800" s="1">
        <v>45302</v>
      </c>
      <c r="C1800" t="s">
        <v>17</v>
      </c>
      <c r="D1800" t="s">
        <v>18</v>
      </c>
      <c r="E1800" t="s">
        <v>13</v>
      </c>
      <c r="F1800" t="s">
        <v>19</v>
      </c>
      <c r="G1800" t="s">
        <v>29</v>
      </c>
      <c r="K1800" cm="1">
        <f t="array" ref="K1800">_xlfn.SWITCH(LeadsData[[#This Row],[Funnel Stage Reached]],"Lead",1,"MQL",2,"SQL",3,"Customer",4)</f>
        <v>3</v>
      </c>
      <c r="L1800" t="str">
        <f>TEXT(LeadsData[[#This Row],[Signup Date]],"mmm-yyyy")</f>
        <v>Jan-2024</v>
      </c>
      <c r="M1800">
        <f>IF(LeadsData[[#This Row],[Stage Number]]&gt;=2,1,0)</f>
        <v>1</v>
      </c>
      <c r="N1800" s="2">
        <f>IF(LeadsData[[#This Row],[Stage Number]]&gt;=3,1,0)</f>
        <v>1</v>
      </c>
      <c r="O1800" s="2">
        <f>IF(LeadsData[[#This Row],[Stage Number]]&gt;=4,1,0)</f>
        <v>0</v>
      </c>
    </row>
    <row r="1801" spans="1:15" x14ac:dyDescent="0.25">
      <c r="A1801" t="s">
        <v>1841</v>
      </c>
      <c r="B1801" s="1">
        <v>45452</v>
      </c>
      <c r="C1801" t="s">
        <v>46</v>
      </c>
      <c r="D1801" t="s">
        <v>56</v>
      </c>
      <c r="E1801" t="s">
        <v>48</v>
      </c>
      <c r="F1801" t="s">
        <v>19</v>
      </c>
      <c r="G1801" t="s">
        <v>42</v>
      </c>
      <c r="H1801">
        <v>37</v>
      </c>
      <c r="I1801" t="s">
        <v>87</v>
      </c>
      <c r="J1801">
        <v>2846.04</v>
      </c>
      <c r="K1801" cm="1">
        <f t="array" ref="K1801">_xlfn.SWITCH(LeadsData[[#This Row],[Funnel Stage Reached]],"Lead",1,"MQL",2,"SQL",3,"Customer",4)</f>
        <v>4</v>
      </c>
      <c r="L1801" t="str">
        <f>TEXT(LeadsData[[#This Row],[Signup Date]],"mmm-yyyy")</f>
        <v>Jun-2024</v>
      </c>
      <c r="M1801">
        <f>IF(LeadsData[[#This Row],[Stage Number]]&gt;=2,1,0)</f>
        <v>1</v>
      </c>
      <c r="N1801" s="2">
        <f>IF(LeadsData[[#This Row],[Stage Number]]&gt;=3,1,0)</f>
        <v>1</v>
      </c>
      <c r="O1801" s="2">
        <f>IF(LeadsData[[#This Row],[Stage Number]]&gt;=4,1,0)</f>
        <v>1</v>
      </c>
    </row>
    <row r="1802" spans="1:15" x14ac:dyDescent="0.25">
      <c r="A1802" t="s">
        <v>1842</v>
      </c>
      <c r="B1802" s="1">
        <v>45355</v>
      </c>
      <c r="C1802" t="s">
        <v>36</v>
      </c>
      <c r="D1802" t="s">
        <v>50</v>
      </c>
      <c r="E1802" t="s">
        <v>13</v>
      </c>
      <c r="F1802" t="s">
        <v>22</v>
      </c>
      <c r="G1802" t="s">
        <v>23</v>
      </c>
      <c r="K1802" cm="1">
        <f t="array" ref="K1802">_xlfn.SWITCH(LeadsData[[#This Row],[Funnel Stage Reached]],"Lead",1,"MQL",2,"SQL",3,"Customer",4)</f>
        <v>2</v>
      </c>
      <c r="L1802" t="str">
        <f>TEXT(LeadsData[[#This Row],[Signup Date]],"mmm-yyyy")</f>
        <v>Mar-2024</v>
      </c>
      <c r="M1802">
        <f>IF(LeadsData[[#This Row],[Stage Number]]&gt;=2,1,0)</f>
        <v>1</v>
      </c>
      <c r="N1802" s="2">
        <f>IF(LeadsData[[#This Row],[Stage Number]]&gt;=3,1,0)</f>
        <v>0</v>
      </c>
      <c r="O1802" s="2">
        <f>IF(LeadsData[[#This Row],[Stage Number]]&gt;=4,1,0)</f>
        <v>0</v>
      </c>
    </row>
    <row r="1803" spans="1:15" x14ac:dyDescent="0.25">
      <c r="A1803" t="s">
        <v>1843</v>
      </c>
      <c r="B1803" s="1">
        <v>45641</v>
      </c>
      <c r="C1803" t="s">
        <v>31</v>
      </c>
      <c r="D1803" t="s">
        <v>34</v>
      </c>
      <c r="E1803" t="s">
        <v>13</v>
      </c>
      <c r="F1803" t="s">
        <v>22</v>
      </c>
      <c r="G1803" t="s">
        <v>23</v>
      </c>
      <c r="K1803" cm="1">
        <f t="array" ref="K1803">_xlfn.SWITCH(LeadsData[[#This Row],[Funnel Stage Reached]],"Lead",1,"MQL",2,"SQL",3,"Customer",4)</f>
        <v>2</v>
      </c>
      <c r="L1803" t="str">
        <f>TEXT(LeadsData[[#This Row],[Signup Date]],"mmm-yyyy")</f>
        <v>Dec-2024</v>
      </c>
      <c r="M1803">
        <f>IF(LeadsData[[#This Row],[Stage Number]]&gt;=2,1,0)</f>
        <v>1</v>
      </c>
      <c r="N1803" s="2">
        <f>IF(LeadsData[[#This Row],[Stage Number]]&gt;=3,1,0)</f>
        <v>0</v>
      </c>
      <c r="O1803" s="2">
        <f>IF(LeadsData[[#This Row],[Stage Number]]&gt;=4,1,0)</f>
        <v>0</v>
      </c>
    </row>
    <row r="1804" spans="1:15" x14ac:dyDescent="0.25">
      <c r="A1804" t="s">
        <v>1844</v>
      </c>
      <c r="B1804" s="1">
        <v>45568</v>
      </c>
      <c r="C1804" t="s">
        <v>31</v>
      </c>
      <c r="D1804" t="s">
        <v>32</v>
      </c>
      <c r="E1804" t="s">
        <v>21</v>
      </c>
      <c r="F1804" t="s">
        <v>14</v>
      </c>
      <c r="G1804" t="s">
        <v>15</v>
      </c>
      <c r="K1804" cm="1">
        <f t="array" ref="K1804">_xlfn.SWITCH(LeadsData[[#This Row],[Funnel Stage Reached]],"Lead",1,"MQL",2,"SQL",3,"Customer",4)</f>
        <v>1</v>
      </c>
      <c r="L1804" t="str">
        <f>TEXT(LeadsData[[#This Row],[Signup Date]],"mmm-yyyy")</f>
        <v>Oct-2024</v>
      </c>
      <c r="M1804">
        <f>IF(LeadsData[[#This Row],[Stage Number]]&gt;=2,1,0)</f>
        <v>0</v>
      </c>
      <c r="N1804" s="2">
        <f>IF(LeadsData[[#This Row],[Stage Number]]&gt;=3,1,0)</f>
        <v>0</v>
      </c>
      <c r="O1804" s="2">
        <f>IF(LeadsData[[#This Row],[Stage Number]]&gt;=4,1,0)</f>
        <v>0</v>
      </c>
    </row>
    <row r="1805" spans="1:15" x14ac:dyDescent="0.25">
      <c r="A1805" t="s">
        <v>1845</v>
      </c>
      <c r="B1805" s="1">
        <v>45483</v>
      </c>
      <c r="C1805" t="s">
        <v>36</v>
      </c>
      <c r="D1805" t="s">
        <v>37</v>
      </c>
      <c r="E1805" t="s">
        <v>13</v>
      </c>
      <c r="F1805" t="s">
        <v>19</v>
      </c>
      <c r="G1805" t="s">
        <v>15</v>
      </c>
      <c r="K1805" cm="1">
        <f t="array" ref="K1805">_xlfn.SWITCH(LeadsData[[#This Row],[Funnel Stage Reached]],"Lead",1,"MQL",2,"SQL",3,"Customer",4)</f>
        <v>1</v>
      </c>
      <c r="L1805" t="str">
        <f>TEXT(LeadsData[[#This Row],[Signup Date]],"mmm-yyyy")</f>
        <v>Jul-2024</v>
      </c>
      <c r="M1805">
        <f>IF(LeadsData[[#This Row],[Stage Number]]&gt;=2,1,0)</f>
        <v>0</v>
      </c>
      <c r="N1805" s="2">
        <f>IF(LeadsData[[#This Row],[Stage Number]]&gt;=3,1,0)</f>
        <v>0</v>
      </c>
      <c r="O1805" s="2">
        <f>IF(LeadsData[[#This Row],[Stage Number]]&gt;=4,1,0)</f>
        <v>0</v>
      </c>
    </row>
    <row r="1806" spans="1:15" x14ac:dyDescent="0.25">
      <c r="A1806" t="s">
        <v>1846</v>
      </c>
      <c r="B1806" s="1">
        <v>45641</v>
      </c>
      <c r="C1806" t="s">
        <v>31</v>
      </c>
      <c r="D1806" t="s">
        <v>32</v>
      </c>
      <c r="E1806" t="s">
        <v>13</v>
      </c>
      <c r="F1806" t="s">
        <v>19</v>
      </c>
      <c r="G1806" t="s">
        <v>29</v>
      </c>
      <c r="K1806" cm="1">
        <f t="array" ref="K1806">_xlfn.SWITCH(LeadsData[[#This Row],[Funnel Stage Reached]],"Lead",1,"MQL",2,"SQL",3,"Customer",4)</f>
        <v>3</v>
      </c>
      <c r="L1806" t="str">
        <f>TEXT(LeadsData[[#This Row],[Signup Date]],"mmm-yyyy")</f>
        <v>Dec-2024</v>
      </c>
      <c r="M1806">
        <f>IF(LeadsData[[#This Row],[Stage Number]]&gt;=2,1,0)</f>
        <v>1</v>
      </c>
      <c r="N1806" s="2">
        <f>IF(LeadsData[[#This Row],[Stage Number]]&gt;=3,1,0)</f>
        <v>1</v>
      </c>
      <c r="O1806" s="2">
        <f>IF(LeadsData[[#This Row],[Stage Number]]&gt;=4,1,0)</f>
        <v>0</v>
      </c>
    </row>
    <row r="1807" spans="1:15" x14ac:dyDescent="0.25">
      <c r="A1807" t="s">
        <v>1847</v>
      </c>
      <c r="B1807" s="1">
        <v>45350</v>
      </c>
      <c r="C1807" t="s">
        <v>25</v>
      </c>
      <c r="D1807" t="s">
        <v>26</v>
      </c>
      <c r="E1807" t="s">
        <v>13</v>
      </c>
      <c r="F1807" t="s">
        <v>14</v>
      </c>
      <c r="G1807" t="s">
        <v>23</v>
      </c>
      <c r="K1807" cm="1">
        <f t="array" ref="K1807">_xlfn.SWITCH(LeadsData[[#This Row],[Funnel Stage Reached]],"Lead",1,"MQL",2,"SQL",3,"Customer",4)</f>
        <v>2</v>
      </c>
      <c r="L1807" t="str">
        <f>TEXT(LeadsData[[#This Row],[Signup Date]],"mmm-yyyy")</f>
        <v>Feb-2024</v>
      </c>
      <c r="M1807">
        <f>IF(LeadsData[[#This Row],[Stage Number]]&gt;=2,1,0)</f>
        <v>1</v>
      </c>
      <c r="N1807" s="2">
        <f>IF(LeadsData[[#This Row],[Stage Number]]&gt;=3,1,0)</f>
        <v>0</v>
      </c>
      <c r="O1807" s="2">
        <f>IF(LeadsData[[#This Row],[Stage Number]]&gt;=4,1,0)</f>
        <v>0</v>
      </c>
    </row>
    <row r="1808" spans="1:15" x14ac:dyDescent="0.25">
      <c r="A1808" t="s">
        <v>1848</v>
      </c>
      <c r="B1808" s="1">
        <v>45300</v>
      </c>
      <c r="C1808" t="s">
        <v>31</v>
      </c>
      <c r="D1808" t="s">
        <v>34</v>
      </c>
      <c r="E1808" t="s">
        <v>13</v>
      </c>
      <c r="F1808" t="s">
        <v>22</v>
      </c>
      <c r="G1808" t="s">
        <v>29</v>
      </c>
      <c r="K1808" cm="1">
        <f t="array" ref="K1808">_xlfn.SWITCH(LeadsData[[#This Row],[Funnel Stage Reached]],"Lead",1,"MQL",2,"SQL",3,"Customer",4)</f>
        <v>3</v>
      </c>
      <c r="L1808" t="str">
        <f>TEXT(LeadsData[[#This Row],[Signup Date]],"mmm-yyyy")</f>
        <v>Jan-2024</v>
      </c>
      <c r="M1808">
        <f>IF(LeadsData[[#This Row],[Stage Number]]&gt;=2,1,0)</f>
        <v>1</v>
      </c>
      <c r="N1808" s="2">
        <f>IF(LeadsData[[#This Row],[Stage Number]]&gt;=3,1,0)</f>
        <v>1</v>
      </c>
      <c r="O1808" s="2">
        <f>IF(LeadsData[[#This Row],[Stage Number]]&gt;=4,1,0)</f>
        <v>0</v>
      </c>
    </row>
    <row r="1809" spans="1:15" x14ac:dyDescent="0.25">
      <c r="A1809" t="s">
        <v>1849</v>
      </c>
      <c r="B1809" s="1">
        <v>45608</v>
      </c>
      <c r="C1809" t="s">
        <v>36</v>
      </c>
      <c r="D1809" t="s">
        <v>50</v>
      </c>
      <c r="E1809" t="s">
        <v>21</v>
      </c>
      <c r="F1809" t="s">
        <v>22</v>
      </c>
      <c r="G1809" t="s">
        <v>42</v>
      </c>
      <c r="H1809">
        <v>59</v>
      </c>
      <c r="I1809" t="s">
        <v>43</v>
      </c>
      <c r="J1809">
        <v>1185.42</v>
      </c>
      <c r="K1809" cm="1">
        <f t="array" ref="K1809">_xlfn.SWITCH(LeadsData[[#This Row],[Funnel Stage Reached]],"Lead",1,"MQL",2,"SQL",3,"Customer",4)</f>
        <v>4</v>
      </c>
      <c r="L1809" t="str">
        <f>TEXT(LeadsData[[#This Row],[Signup Date]],"mmm-yyyy")</f>
        <v>Nov-2024</v>
      </c>
      <c r="M1809">
        <f>IF(LeadsData[[#This Row],[Stage Number]]&gt;=2,1,0)</f>
        <v>1</v>
      </c>
      <c r="N1809" s="2">
        <f>IF(LeadsData[[#This Row],[Stage Number]]&gt;=3,1,0)</f>
        <v>1</v>
      </c>
      <c r="O1809" s="2">
        <f>IF(LeadsData[[#This Row],[Stage Number]]&gt;=4,1,0)</f>
        <v>1</v>
      </c>
    </row>
    <row r="1810" spans="1:15" x14ac:dyDescent="0.25">
      <c r="A1810" t="s">
        <v>1850</v>
      </c>
      <c r="B1810" s="1">
        <v>45451</v>
      </c>
      <c r="C1810" t="s">
        <v>46</v>
      </c>
      <c r="D1810" t="s">
        <v>47</v>
      </c>
      <c r="E1810" t="s">
        <v>21</v>
      </c>
      <c r="F1810" t="s">
        <v>14</v>
      </c>
      <c r="G1810" t="s">
        <v>15</v>
      </c>
      <c r="K1810" cm="1">
        <f t="array" ref="K1810">_xlfn.SWITCH(LeadsData[[#This Row],[Funnel Stage Reached]],"Lead",1,"MQL",2,"SQL",3,"Customer",4)</f>
        <v>1</v>
      </c>
      <c r="L1810" t="str">
        <f>TEXT(LeadsData[[#This Row],[Signup Date]],"mmm-yyyy")</f>
        <v>Jun-2024</v>
      </c>
      <c r="M1810">
        <f>IF(LeadsData[[#This Row],[Stage Number]]&gt;=2,1,0)</f>
        <v>0</v>
      </c>
      <c r="N1810" s="2">
        <f>IF(LeadsData[[#This Row],[Stage Number]]&gt;=3,1,0)</f>
        <v>0</v>
      </c>
      <c r="O1810" s="2">
        <f>IF(LeadsData[[#This Row],[Stage Number]]&gt;=4,1,0)</f>
        <v>0</v>
      </c>
    </row>
    <row r="1811" spans="1:15" x14ac:dyDescent="0.25">
      <c r="A1811" t="s">
        <v>1851</v>
      </c>
      <c r="B1811" s="1">
        <v>45549</v>
      </c>
      <c r="C1811" t="s">
        <v>31</v>
      </c>
      <c r="D1811" t="s">
        <v>32</v>
      </c>
      <c r="E1811" t="s">
        <v>13</v>
      </c>
      <c r="F1811" t="s">
        <v>14</v>
      </c>
      <c r="G1811" t="s">
        <v>23</v>
      </c>
      <c r="K1811" cm="1">
        <f t="array" ref="K1811">_xlfn.SWITCH(LeadsData[[#This Row],[Funnel Stage Reached]],"Lead",1,"MQL",2,"SQL",3,"Customer",4)</f>
        <v>2</v>
      </c>
      <c r="L1811" t="str">
        <f>TEXT(LeadsData[[#This Row],[Signup Date]],"mmm-yyyy")</f>
        <v>Sep-2024</v>
      </c>
      <c r="M1811">
        <f>IF(LeadsData[[#This Row],[Stage Number]]&gt;=2,1,0)</f>
        <v>1</v>
      </c>
      <c r="N1811" s="2">
        <f>IF(LeadsData[[#This Row],[Stage Number]]&gt;=3,1,0)</f>
        <v>0</v>
      </c>
      <c r="O1811" s="2">
        <f>IF(LeadsData[[#This Row],[Stage Number]]&gt;=4,1,0)</f>
        <v>0</v>
      </c>
    </row>
    <row r="1812" spans="1:15" x14ac:dyDescent="0.25">
      <c r="A1812" t="s">
        <v>1852</v>
      </c>
      <c r="B1812" s="1">
        <v>45522</v>
      </c>
      <c r="C1812" t="s">
        <v>25</v>
      </c>
      <c r="D1812" t="s">
        <v>26</v>
      </c>
      <c r="E1812" t="s">
        <v>13</v>
      </c>
      <c r="F1812" t="s">
        <v>28</v>
      </c>
      <c r="G1812" t="s">
        <v>23</v>
      </c>
      <c r="K1812" cm="1">
        <f t="array" ref="K1812">_xlfn.SWITCH(LeadsData[[#This Row],[Funnel Stage Reached]],"Lead",1,"MQL",2,"SQL",3,"Customer",4)</f>
        <v>2</v>
      </c>
      <c r="L1812" t="str">
        <f>TEXT(LeadsData[[#This Row],[Signup Date]],"mmm-yyyy")</f>
        <v>Aug-2024</v>
      </c>
      <c r="M1812">
        <f>IF(LeadsData[[#This Row],[Stage Number]]&gt;=2,1,0)</f>
        <v>1</v>
      </c>
      <c r="N1812" s="2">
        <f>IF(LeadsData[[#This Row],[Stage Number]]&gt;=3,1,0)</f>
        <v>0</v>
      </c>
      <c r="O1812" s="2">
        <f>IF(LeadsData[[#This Row],[Stage Number]]&gt;=4,1,0)</f>
        <v>0</v>
      </c>
    </row>
    <row r="1813" spans="1:15" x14ac:dyDescent="0.25">
      <c r="A1813" t="s">
        <v>1853</v>
      </c>
      <c r="B1813" s="1">
        <v>45340</v>
      </c>
      <c r="C1813" t="s">
        <v>25</v>
      </c>
      <c r="D1813" t="s">
        <v>26</v>
      </c>
      <c r="E1813" t="s">
        <v>13</v>
      </c>
      <c r="F1813" t="s">
        <v>19</v>
      </c>
      <c r="G1813" t="s">
        <v>15</v>
      </c>
      <c r="K1813" cm="1">
        <f t="array" ref="K1813">_xlfn.SWITCH(LeadsData[[#This Row],[Funnel Stage Reached]],"Lead",1,"MQL",2,"SQL",3,"Customer",4)</f>
        <v>1</v>
      </c>
      <c r="L1813" t="str">
        <f>TEXT(LeadsData[[#This Row],[Signup Date]],"mmm-yyyy")</f>
        <v>Feb-2024</v>
      </c>
      <c r="M1813">
        <f>IF(LeadsData[[#This Row],[Stage Number]]&gt;=2,1,0)</f>
        <v>0</v>
      </c>
      <c r="N1813" s="2">
        <f>IF(LeadsData[[#This Row],[Stage Number]]&gt;=3,1,0)</f>
        <v>0</v>
      </c>
      <c r="O1813" s="2">
        <f>IF(LeadsData[[#This Row],[Stage Number]]&gt;=4,1,0)</f>
        <v>0</v>
      </c>
    </row>
    <row r="1814" spans="1:15" x14ac:dyDescent="0.25">
      <c r="A1814" t="s">
        <v>1854</v>
      </c>
      <c r="B1814" s="1">
        <v>45597</v>
      </c>
      <c r="C1814" t="s">
        <v>31</v>
      </c>
      <c r="D1814" t="s">
        <v>32</v>
      </c>
      <c r="E1814" t="s">
        <v>13</v>
      </c>
      <c r="F1814" t="s">
        <v>28</v>
      </c>
      <c r="G1814" t="s">
        <v>23</v>
      </c>
      <c r="K1814" cm="1">
        <f t="array" ref="K1814">_xlfn.SWITCH(LeadsData[[#This Row],[Funnel Stage Reached]],"Lead",1,"MQL",2,"SQL",3,"Customer",4)</f>
        <v>2</v>
      </c>
      <c r="L1814" t="str">
        <f>TEXT(LeadsData[[#This Row],[Signup Date]],"mmm-yyyy")</f>
        <v>Nov-2024</v>
      </c>
      <c r="M1814">
        <f>IF(LeadsData[[#This Row],[Stage Number]]&gt;=2,1,0)</f>
        <v>1</v>
      </c>
      <c r="N1814" s="2">
        <f>IF(LeadsData[[#This Row],[Stage Number]]&gt;=3,1,0)</f>
        <v>0</v>
      </c>
      <c r="O1814" s="2">
        <f>IF(LeadsData[[#This Row],[Stage Number]]&gt;=4,1,0)</f>
        <v>0</v>
      </c>
    </row>
    <row r="1815" spans="1:15" x14ac:dyDescent="0.25">
      <c r="A1815" t="s">
        <v>1855</v>
      </c>
      <c r="B1815" s="1">
        <v>45400</v>
      </c>
      <c r="C1815" t="s">
        <v>17</v>
      </c>
      <c r="D1815" t="s">
        <v>18</v>
      </c>
      <c r="E1815" t="s">
        <v>13</v>
      </c>
      <c r="F1815" t="s">
        <v>19</v>
      </c>
      <c r="G1815" t="s">
        <v>15</v>
      </c>
      <c r="K1815" cm="1">
        <f t="array" ref="K1815">_xlfn.SWITCH(LeadsData[[#This Row],[Funnel Stage Reached]],"Lead",1,"MQL",2,"SQL",3,"Customer",4)</f>
        <v>1</v>
      </c>
      <c r="L1815" t="str">
        <f>TEXT(LeadsData[[#This Row],[Signup Date]],"mmm-yyyy")</f>
        <v>Apr-2024</v>
      </c>
      <c r="M1815">
        <f>IF(LeadsData[[#This Row],[Stage Number]]&gt;=2,1,0)</f>
        <v>0</v>
      </c>
      <c r="N1815" s="2">
        <f>IF(LeadsData[[#This Row],[Stage Number]]&gt;=3,1,0)</f>
        <v>0</v>
      </c>
      <c r="O1815" s="2">
        <f>IF(LeadsData[[#This Row],[Stage Number]]&gt;=4,1,0)</f>
        <v>0</v>
      </c>
    </row>
    <row r="1816" spans="1:15" x14ac:dyDescent="0.25">
      <c r="A1816" t="s">
        <v>1856</v>
      </c>
      <c r="B1816" s="1">
        <v>45516</v>
      </c>
      <c r="C1816" t="s">
        <v>36</v>
      </c>
      <c r="D1816" t="s">
        <v>37</v>
      </c>
      <c r="E1816" t="s">
        <v>48</v>
      </c>
      <c r="F1816" t="s">
        <v>22</v>
      </c>
      <c r="G1816" t="s">
        <v>29</v>
      </c>
      <c r="K1816" cm="1">
        <f t="array" ref="K1816">_xlfn.SWITCH(LeadsData[[#This Row],[Funnel Stage Reached]],"Lead",1,"MQL",2,"SQL",3,"Customer",4)</f>
        <v>3</v>
      </c>
      <c r="L1816" t="str">
        <f>TEXT(LeadsData[[#This Row],[Signup Date]],"mmm-yyyy")</f>
        <v>Aug-2024</v>
      </c>
      <c r="M1816">
        <f>IF(LeadsData[[#This Row],[Stage Number]]&gt;=2,1,0)</f>
        <v>1</v>
      </c>
      <c r="N1816" s="2">
        <f>IF(LeadsData[[#This Row],[Stage Number]]&gt;=3,1,0)</f>
        <v>1</v>
      </c>
      <c r="O1816" s="2">
        <f>IF(LeadsData[[#This Row],[Stage Number]]&gt;=4,1,0)</f>
        <v>0</v>
      </c>
    </row>
    <row r="1817" spans="1:15" x14ac:dyDescent="0.25">
      <c r="A1817" t="s">
        <v>1857</v>
      </c>
      <c r="B1817" s="1">
        <v>45293</v>
      </c>
      <c r="C1817" t="s">
        <v>36</v>
      </c>
      <c r="D1817" t="s">
        <v>50</v>
      </c>
      <c r="E1817" t="s">
        <v>13</v>
      </c>
      <c r="F1817" t="s">
        <v>14</v>
      </c>
      <c r="G1817" t="s">
        <v>23</v>
      </c>
      <c r="K1817" cm="1">
        <f t="array" ref="K1817">_xlfn.SWITCH(LeadsData[[#This Row],[Funnel Stage Reached]],"Lead",1,"MQL",2,"SQL",3,"Customer",4)</f>
        <v>2</v>
      </c>
      <c r="L1817" t="str">
        <f>TEXT(LeadsData[[#This Row],[Signup Date]],"mmm-yyyy")</f>
        <v>Jan-2024</v>
      </c>
      <c r="M1817">
        <f>IF(LeadsData[[#This Row],[Stage Number]]&gt;=2,1,0)</f>
        <v>1</v>
      </c>
      <c r="N1817" s="2">
        <f>IF(LeadsData[[#This Row],[Stage Number]]&gt;=3,1,0)</f>
        <v>0</v>
      </c>
      <c r="O1817" s="2">
        <f>IF(LeadsData[[#This Row],[Stage Number]]&gt;=4,1,0)</f>
        <v>0</v>
      </c>
    </row>
    <row r="1818" spans="1:15" x14ac:dyDescent="0.25">
      <c r="A1818" t="s">
        <v>1858</v>
      </c>
      <c r="B1818" s="1">
        <v>45522</v>
      </c>
      <c r="C1818" t="s">
        <v>17</v>
      </c>
      <c r="D1818" t="s">
        <v>53</v>
      </c>
      <c r="E1818" t="s">
        <v>13</v>
      </c>
      <c r="F1818" t="s">
        <v>19</v>
      </c>
      <c r="G1818" t="s">
        <v>15</v>
      </c>
      <c r="K1818" cm="1">
        <f t="array" ref="K1818">_xlfn.SWITCH(LeadsData[[#This Row],[Funnel Stage Reached]],"Lead",1,"MQL",2,"SQL",3,"Customer",4)</f>
        <v>1</v>
      </c>
      <c r="L1818" t="str">
        <f>TEXT(LeadsData[[#This Row],[Signup Date]],"mmm-yyyy")</f>
        <v>Aug-2024</v>
      </c>
      <c r="M1818">
        <f>IF(LeadsData[[#This Row],[Stage Number]]&gt;=2,1,0)</f>
        <v>0</v>
      </c>
      <c r="N1818" s="2">
        <f>IF(LeadsData[[#This Row],[Stage Number]]&gt;=3,1,0)</f>
        <v>0</v>
      </c>
      <c r="O1818" s="2">
        <f>IF(LeadsData[[#This Row],[Stage Number]]&gt;=4,1,0)</f>
        <v>0</v>
      </c>
    </row>
    <row r="1819" spans="1:15" x14ac:dyDescent="0.25">
      <c r="A1819" t="s">
        <v>1859</v>
      </c>
      <c r="B1819" s="1">
        <v>45391</v>
      </c>
      <c r="C1819" t="s">
        <v>25</v>
      </c>
      <c r="D1819" t="s">
        <v>26</v>
      </c>
      <c r="E1819" t="s">
        <v>13</v>
      </c>
      <c r="F1819" t="s">
        <v>19</v>
      </c>
      <c r="G1819" t="s">
        <v>29</v>
      </c>
      <c r="K1819" cm="1">
        <f t="array" ref="K1819">_xlfn.SWITCH(LeadsData[[#This Row],[Funnel Stage Reached]],"Lead",1,"MQL",2,"SQL",3,"Customer",4)</f>
        <v>3</v>
      </c>
      <c r="L1819" t="str">
        <f>TEXT(LeadsData[[#This Row],[Signup Date]],"mmm-yyyy")</f>
        <v>Apr-2024</v>
      </c>
      <c r="M1819">
        <f>IF(LeadsData[[#This Row],[Stage Number]]&gt;=2,1,0)</f>
        <v>1</v>
      </c>
      <c r="N1819" s="2">
        <f>IF(LeadsData[[#This Row],[Stage Number]]&gt;=3,1,0)</f>
        <v>1</v>
      </c>
      <c r="O1819" s="2">
        <f>IF(LeadsData[[#This Row],[Stage Number]]&gt;=4,1,0)</f>
        <v>0</v>
      </c>
    </row>
    <row r="1820" spans="1:15" x14ac:dyDescent="0.25">
      <c r="A1820" t="s">
        <v>1860</v>
      </c>
      <c r="B1820" s="1">
        <v>45654</v>
      </c>
      <c r="C1820" t="s">
        <v>36</v>
      </c>
      <c r="D1820" t="s">
        <v>50</v>
      </c>
      <c r="E1820" t="s">
        <v>21</v>
      </c>
      <c r="F1820" t="s">
        <v>19</v>
      </c>
      <c r="G1820" t="s">
        <v>23</v>
      </c>
      <c r="K1820" cm="1">
        <f t="array" ref="K1820">_xlfn.SWITCH(LeadsData[[#This Row],[Funnel Stage Reached]],"Lead",1,"MQL",2,"SQL",3,"Customer",4)</f>
        <v>2</v>
      </c>
      <c r="L1820" t="str">
        <f>TEXT(LeadsData[[#This Row],[Signup Date]],"mmm-yyyy")</f>
        <v>Dec-2024</v>
      </c>
      <c r="M1820">
        <f>IF(LeadsData[[#This Row],[Stage Number]]&gt;=2,1,0)</f>
        <v>1</v>
      </c>
      <c r="N1820" s="2">
        <f>IF(LeadsData[[#This Row],[Stage Number]]&gt;=3,1,0)</f>
        <v>0</v>
      </c>
      <c r="O1820" s="2">
        <f>IF(LeadsData[[#This Row],[Stage Number]]&gt;=4,1,0)</f>
        <v>0</v>
      </c>
    </row>
    <row r="1821" spans="1:15" x14ac:dyDescent="0.25">
      <c r="A1821" t="s">
        <v>1861</v>
      </c>
      <c r="B1821" s="1">
        <v>45558</v>
      </c>
      <c r="C1821" t="s">
        <v>31</v>
      </c>
      <c r="D1821" t="s">
        <v>32</v>
      </c>
      <c r="E1821" t="s">
        <v>21</v>
      </c>
      <c r="F1821" t="s">
        <v>19</v>
      </c>
      <c r="G1821" t="s">
        <v>23</v>
      </c>
      <c r="K1821" cm="1">
        <f t="array" ref="K1821">_xlfn.SWITCH(LeadsData[[#This Row],[Funnel Stage Reached]],"Lead",1,"MQL",2,"SQL",3,"Customer",4)</f>
        <v>2</v>
      </c>
      <c r="L1821" t="str">
        <f>TEXT(LeadsData[[#This Row],[Signup Date]],"mmm-yyyy")</f>
        <v>Sep-2024</v>
      </c>
      <c r="M1821">
        <f>IF(LeadsData[[#This Row],[Stage Number]]&gt;=2,1,0)</f>
        <v>1</v>
      </c>
      <c r="N1821" s="2">
        <f>IF(LeadsData[[#This Row],[Stage Number]]&gt;=3,1,0)</f>
        <v>0</v>
      </c>
      <c r="O1821" s="2">
        <f>IF(LeadsData[[#This Row],[Stage Number]]&gt;=4,1,0)</f>
        <v>0</v>
      </c>
    </row>
    <row r="1822" spans="1:15" x14ac:dyDescent="0.25">
      <c r="A1822" t="s">
        <v>1862</v>
      </c>
      <c r="B1822" s="1">
        <v>45617</v>
      </c>
      <c r="C1822" t="s">
        <v>46</v>
      </c>
      <c r="D1822" t="s">
        <v>47</v>
      </c>
      <c r="E1822" t="s">
        <v>13</v>
      </c>
      <c r="F1822" t="s">
        <v>19</v>
      </c>
      <c r="G1822" t="s">
        <v>15</v>
      </c>
      <c r="K1822" cm="1">
        <f t="array" ref="K1822">_xlfn.SWITCH(LeadsData[[#This Row],[Funnel Stage Reached]],"Lead",1,"MQL",2,"SQL",3,"Customer",4)</f>
        <v>1</v>
      </c>
      <c r="L1822" t="str">
        <f>TEXT(LeadsData[[#This Row],[Signup Date]],"mmm-yyyy")</f>
        <v>Nov-2024</v>
      </c>
      <c r="M1822">
        <f>IF(LeadsData[[#This Row],[Stage Number]]&gt;=2,1,0)</f>
        <v>0</v>
      </c>
      <c r="N1822" s="2">
        <f>IF(LeadsData[[#This Row],[Stage Number]]&gt;=3,1,0)</f>
        <v>0</v>
      </c>
      <c r="O1822" s="2">
        <f>IF(LeadsData[[#This Row],[Stage Number]]&gt;=4,1,0)</f>
        <v>0</v>
      </c>
    </row>
    <row r="1823" spans="1:15" x14ac:dyDescent="0.25">
      <c r="A1823" t="s">
        <v>1863</v>
      </c>
      <c r="B1823" s="1">
        <v>45339</v>
      </c>
      <c r="C1823" t="s">
        <v>31</v>
      </c>
      <c r="D1823" t="s">
        <v>34</v>
      </c>
      <c r="E1823" t="s">
        <v>13</v>
      </c>
      <c r="F1823" t="s">
        <v>14</v>
      </c>
      <c r="G1823" t="s">
        <v>29</v>
      </c>
      <c r="K1823" cm="1">
        <f t="array" ref="K1823">_xlfn.SWITCH(LeadsData[[#This Row],[Funnel Stage Reached]],"Lead",1,"MQL",2,"SQL",3,"Customer",4)</f>
        <v>3</v>
      </c>
      <c r="L1823" t="str">
        <f>TEXT(LeadsData[[#This Row],[Signup Date]],"mmm-yyyy")</f>
        <v>Feb-2024</v>
      </c>
      <c r="M1823">
        <f>IF(LeadsData[[#This Row],[Stage Number]]&gt;=2,1,0)</f>
        <v>1</v>
      </c>
      <c r="N1823" s="2">
        <f>IF(LeadsData[[#This Row],[Stage Number]]&gt;=3,1,0)</f>
        <v>1</v>
      </c>
      <c r="O1823" s="2">
        <f>IF(LeadsData[[#This Row],[Stage Number]]&gt;=4,1,0)</f>
        <v>0</v>
      </c>
    </row>
    <row r="1824" spans="1:15" x14ac:dyDescent="0.25">
      <c r="A1824" t="s">
        <v>1864</v>
      </c>
      <c r="B1824" s="1">
        <v>45327</v>
      </c>
      <c r="C1824" t="s">
        <v>31</v>
      </c>
      <c r="D1824" t="s">
        <v>32</v>
      </c>
      <c r="E1824" t="s">
        <v>13</v>
      </c>
      <c r="F1824" t="s">
        <v>19</v>
      </c>
      <c r="G1824" t="s">
        <v>15</v>
      </c>
      <c r="K1824" cm="1">
        <f t="array" ref="K1824">_xlfn.SWITCH(LeadsData[[#This Row],[Funnel Stage Reached]],"Lead",1,"MQL",2,"SQL",3,"Customer",4)</f>
        <v>1</v>
      </c>
      <c r="L1824" t="str">
        <f>TEXT(LeadsData[[#This Row],[Signup Date]],"mmm-yyyy")</f>
        <v>Feb-2024</v>
      </c>
      <c r="M1824">
        <f>IF(LeadsData[[#This Row],[Stage Number]]&gt;=2,1,0)</f>
        <v>0</v>
      </c>
      <c r="N1824" s="2">
        <f>IF(LeadsData[[#This Row],[Stage Number]]&gt;=3,1,0)</f>
        <v>0</v>
      </c>
      <c r="O1824" s="2">
        <f>IF(LeadsData[[#This Row],[Stage Number]]&gt;=4,1,0)</f>
        <v>0</v>
      </c>
    </row>
    <row r="1825" spans="1:15" x14ac:dyDescent="0.25">
      <c r="A1825" t="s">
        <v>1865</v>
      </c>
      <c r="B1825" s="1">
        <v>45313</v>
      </c>
      <c r="C1825" t="s">
        <v>31</v>
      </c>
      <c r="D1825" t="s">
        <v>32</v>
      </c>
      <c r="E1825" t="s">
        <v>48</v>
      </c>
      <c r="F1825" t="s">
        <v>19</v>
      </c>
      <c r="G1825" t="s">
        <v>15</v>
      </c>
      <c r="K1825" cm="1">
        <f t="array" ref="K1825">_xlfn.SWITCH(LeadsData[[#This Row],[Funnel Stage Reached]],"Lead",1,"MQL",2,"SQL",3,"Customer",4)</f>
        <v>1</v>
      </c>
      <c r="L1825" t="str">
        <f>TEXT(LeadsData[[#This Row],[Signup Date]],"mmm-yyyy")</f>
        <v>Jan-2024</v>
      </c>
      <c r="M1825">
        <f>IF(LeadsData[[#This Row],[Stage Number]]&gt;=2,1,0)</f>
        <v>0</v>
      </c>
      <c r="N1825" s="2">
        <f>IF(LeadsData[[#This Row],[Stage Number]]&gt;=3,1,0)</f>
        <v>0</v>
      </c>
      <c r="O1825" s="2">
        <f>IF(LeadsData[[#This Row],[Stage Number]]&gt;=4,1,0)</f>
        <v>0</v>
      </c>
    </row>
    <row r="1826" spans="1:15" x14ac:dyDescent="0.25">
      <c r="A1826" t="s">
        <v>1866</v>
      </c>
      <c r="B1826" s="1">
        <v>45507</v>
      </c>
      <c r="C1826" t="s">
        <v>46</v>
      </c>
      <c r="D1826" t="s">
        <v>47</v>
      </c>
      <c r="E1826" t="s">
        <v>13</v>
      </c>
      <c r="F1826" t="s">
        <v>22</v>
      </c>
      <c r="G1826" t="s">
        <v>15</v>
      </c>
      <c r="K1826" cm="1">
        <f t="array" ref="K1826">_xlfn.SWITCH(LeadsData[[#This Row],[Funnel Stage Reached]],"Lead",1,"MQL",2,"SQL",3,"Customer",4)</f>
        <v>1</v>
      </c>
      <c r="L1826" t="str">
        <f>TEXT(LeadsData[[#This Row],[Signup Date]],"mmm-yyyy")</f>
        <v>Aug-2024</v>
      </c>
      <c r="M1826">
        <f>IF(LeadsData[[#This Row],[Stage Number]]&gt;=2,1,0)</f>
        <v>0</v>
      </c>
      <c r="N1826" s="2">
        <f>IF(LeadsData[[#This Row],[Stage Number]]&gt;=3,1,0)</f>
        <v>0</v>
      </c>
      <c r="O1826" s="2">
        <f>IF(LeadsData[[#This Row],[Stage Number]]&gt;=4,1,0)</f>
        <v>0</v>
      </c>
    </row>
    <row r="1827" spans="1:15" x14ac:dyDescent="0.25">
      <c r="A1827" t="s">
        <v>1867</v>
      </c>
      <c r="B1827" s="1">
        <v>45646</v>
      </c>
      <c r="C1827" t="s">
        <v>31</v>
      </c>
      <c r="D1827" t="s">
        <v>32</v>
      </c>
      <c r="E1827" t="s">
        <v>13</v>
      </c>
      <c r="F1827" t="s">
        <v>19</v>
      </c>
      <c r="G1827" t="s">
        <v>15</v>
      </c>
      <c r="K1827" cm="1">
        <f t="array" ref="K1827">_xlfn.SWITCH(LeadsData[[#This Row],[Funnel Stage Reached]],"Lead",1,"MQL",2,"SQL",3,"Customer",4)</f>
        <v>1</v>
      </c>
      <c r="L1827" t="str">
        <f>TEXT(LeadsData[[#This Row],[Signup Date]],"mmm-yyyy")</f>
        <v>Dec-2024</v>
      </c>
      <c r="M1827">
        <f>IF(LeadsData[[#This Row],[Stage Number]]&gt;=2,1,0)</f>
        <v>0</v>
      </c>
      <c r="N1827" s="2">
        <f>IF(LeadsData[[#This Row],[Stage Number]]&gt;=3,1,0)</f>
        <v>0</v>
      </c>
      <c r="O1827" s="2">
        <f>IF(LeadsData[[#This Row],[Stage Number]]&gt;=4,1,0)</f>
        <v>0</v>
      </c>
    </row>
    <row r="1828" spans="1:15" x14ac:dyDescent="0.25">
      <c r="A1828" t="s">
        <v>1868</v>
      </c>
      <c r="B1828" s="1">
        <v>45307</v>
      </c>
      <c r="C1828" t="s">
        <v>31</v>
      </c>
      <c r="D1828" t="s">
        <v>34</v>
      </c>
      <c r="E1828" t="s">
        <v>21</v>
      </c>
      <c r="F1828" t="s">
        <v>19</v>
      </c>
      <c r="G1828" t="s">
        <v>23</v>
      </c>
      <c r="K1828" cm="1">
        <f t="array" ref="K1828">_xlfn.SWITCH(LeadsData[[#This Row],[Funnel Stage Reached]],"Lead",1,"MQL",2,"SQL",3,"Customer",4)</f>
        <v>2</v>
      </c>
      <c r="L1828" t="str">
        <f>TEXT(LeadsData[[#This Row],[Signup Date]],"mmm-yyyy")</f>
        <v>Jan-2024</v>
      </c>
      <c r="M1828">
        <f>IF(LeadsData[[#This Row],[Stage Number]]&gt;=2,1,0)</f>
        <v>1</v>
      </c>
      <c r="N1828" s="2">
        <f>IF(LeadsData[[#This Row],[Stage Number]]&gt;=3,1,0)</f>
        <v>0</v>
      </c>
      <c r="O1828" s="2">
        <f>IF(LeadsData[[#This Row],[Stage Number]]&gt;=4,1,0)</f>
        <v>0</v>
      </c>
    </row>
    <row r="1829" spans="1:15" x14ac:dyDescent="0.25">
      <c r="A1829" t="s">
        <v>1869</v>
      </c>
      <c r="B1829" s="1">
        <v>45606</v>
      </c>
      <c r="C1829" t="s">
        <v>46</v>
      </c>
      <c r="D1829" t="s">
        <v>56</v>
      </c>
      <c r="E1829" t="s">
        <v>13</v>
      </c>
      <c r="F1829" t="s">
        <v>14</v>
      </c>
      <c r="G1829" t="s">
        <v>23</v>
      </c>
      <c r="K1829" cm="1">
        <f t="array" ref="K1829">_xlfn.SWITCH(LeadsData[[#This Row],[Funnel Stage Reached]],"Lead",1,"MQL",2,"SQL",3,"Customer",4)</f>
        <v>2</v>
      </c>
      <c r="L1829" t="str">
        <f>TEXT(LeadsData[[#This Row],[Signup Date]],"mmm-yyyy")</f>
        <v>Nov-2024</v>
      </c>
      <c r="M1829">
        <f>IF(LeadsData[[#This Row],[Stage Number]]&gt;=2,1,0)</f>
        <v>1</v>
      </c>
      <c r="N1829" s="2">
        <f>IF(LeadsData[[#This Row],[Stage Number]]&gt;=3,1,0)</f>
        <v>0</v>
      </c>
      <c r="O1829" s="2">
        <f>IF(LeadsData[[#This Row],[Stage Number]]&gt;=4,1,0)</f>
        <v>0</v>
      </c>
    </row>
    <row r="1830" spans="1:15" x14ac:dyDescent="0.25">
      <c r="A1830" t="s">
        <v>1870</v>
      </c>
      <c r="B1830" s="1">
        <v>45648</v>
      </c>
      <c r="C1830" t="s">
        <v>31</v>
      </c>
      <c r="D1830" t="s">
        <v>32</v>
      </c>
      <c r="E1830" t="s">
        <v>13</v>
      </c>
      <c r="F1830" t="s">
        <v>19</v>
      </c>
      <c r="G1830" t="s">
        <v>15</v>
      </c>
      <c r="K1830" cm="1">
        <f t="array" ref="K1830">_xlfn.SWITCH(LeadsData[[#This Row],[Funnel Stage Reached]],"Lead",1,"MQL",2,"SQL",3,"Customer",4)</f>
        <v>1</v>
      </c>
      <c r="L1830" t="str">
        <f>TEXT(LeadsData[[#This Row],[Signup Date]],"mmm-yyyy")</f>
        <v>Dec-2024</v>
      </c>
      <c r="M1830">
        <f>IF(LeadsData[[#This Row],[Stage Number]]&gt;=2,1,0)</f>
        <v>0</v>
      </c>
      <c r="N1830" s="2">
        <f>IF(LeadsData[[#This Row],[Stage Number]]&gt;=3,1,0)</f>
        <v>0</v>
      </c>
      <c r="O1830" s="2">
        <f>IF(LeadsData[[#This Row],[Stage Number]]&gt;=4,1,0)</f>
        <v>0</v>
      </c>
    </row>
    <row r="1831" spans="1:15" x14ac:dyDescent="0.25">
      <c r="A1831" t="s">
        <v>1871</v>
      </c>
      <c r="B1831" s="1">
        <v>45498</v>
      </c>
      <c r="C1831" t="s">
        <v>31</v>
      </c>
      <c r="D1831" t="s">
        <v>32</v>
      </c>
      <c r="E1831" t="s">
        <v>13</v>
      </c>
      <c r="F1831" t="s">
        <v>19</v>
      </c>
      <c r="G1831" t="s">
        <v>29</v>
      </c>
      <c r="K1831" cm="1">
        <f t="array" ref="K1831">_xlfn.SWITCH(LeadsData[[#This Row],[Funnel Stage Reached]],"Lead",1,"MQL",2,"SQL",3,"Customer",4)</f>
        <v>3</v>
      </c>
      <c r="L1831" t="str">
        <f>TEXT(LeadsData[[#This Row],[Signup Date]],"mmm-yyyy")</f>
        <v>Jul-2024</v>
      </c>
      <c r="M1831">
        <f>IF(LeadsData[[#This Row],[Stage Number]]&gt;=2,1,0)</f>
        <v>1</v>
      </c>
      <c r="N1831" s="2">
        <f>IF(LeadsData[[#This Row],[Stage Number]]&gt;=3,1,0)</f>
        <v>1</v>
      </c>
      <c r="O1831" s="2">
        <f>IF(LeadsData[[#This Row],[Stage Number]]&gt;=4,1,0)</f>
        <v>0</v>
      </c>
    </row>
    <row r="1832" spans="1:15" x14ac:dyDescent="0.25">
      <c r="A1832" t="s">
        <v>1872</v>
      </c>
      <c r="B1832" s="1">
        <v>45467</v>
      </c>
      <c r="C1832" t="s">
        <v>17</v>
      </c>
      <c r="D1832" t="s">
        <v>18</v>
      </c>
      <c r="E1832" t="s">
        <v>21</v>
      </c>
      <c r="F1832" t="s">
        <v>28</v>
      </c>
      <c r="G1832" t="s">
        <v>23</v>
      </c>
      <c r="K1832" cm="1">
        <f t="array" ref="K1832">_xlfn.SWITCH(LeadsData[[#This Row],[Funnel Stage Reached]],"Lead",1,"MQL",2,"SQL",3,"Customer",4)</f>
        <v>2</v>
      </c>
      <c r="L1832" t="str">
        <f>TEXT(LeadsData[[#This Row],[Signup Date]],"mmm-yyyy")</f>
        <v>Jun-2024</v>
      </c>
      <c r="M1832">
        <f>IF(LeadsData[[#This Row],[Stage Number]]&gt;=2,1,0)</f>
        <v>1</v>
      </c>
      <c r="N1832" s="2">
        <f>IF(LeadsData[[#This Row],[Stage Number]]&gt;=3,1,0)</f>
        <v>0</v>
      </c>
      <c r="O1832" s="2">
        <f>IF(LeadsData[[#This Row],[Stage Number]]&gt;=4,1,0)</f>
        <v>0</v>
      </c>
    </row>
    <row r="1833" spans="1:15" x14ac:dyDescent="0.25">
      <c r="A1833" t="s">
        <v>1873</v>
      </c>
      <c r="B1833" s="1">
        <v>45636</v>
      </c>
      <c r="C1833" t="s">
        <v>31</v>
      </c>
      <c r="D1833" t="s">
        <v>32</v>
      </c>
      <c r="E1833" t="s">
        <v>13</v>
      </c>
      <c r="F1833" t="s">
        <v>14</v>
      </c>
      <c r="G1833" t="s">
        <v>15</v>
      </c>
      <c r="K1833" cm="1">
        <f t="array" ref="K1833">_xlfn.SWITCH(LeadsData[[#This Row],[Funnel Stage Reached]],"Lead",1,"MQL",2,"SQL",3,"Customer",4)</f>
        <v>1</v>
      </c>
      <c r="L1833" t="str">
        <f>TEXT(LeadsData[[#This Row],[Signup Date]],"mmm-yyyy")</f>
        <v>Dec-2024</v>
      </c>
      <c r="M1833">
        <f>IF(LeadsData[[#This Row],[Stage Number]]&gt;=2,1,0)</f>
        <v>0</v>
      </c>
      <c r="N1833" s="2">
        <f>IF(LeadsData[[#This Row],[Stage Number]]&gt;=3,1,0)</f>
        <v>0</v>
      </c>
      <c r="O1833" s="2">
        <f>IF(LeadsData[[#This Row],[Stage Number]]&gt;=4,1,0)</f>
        <v>0</v>
      </c>
    </row>
    <row r="1834" spans="1:15" x14ac:dyDescent="0.25">
      <c r="A1834" t="s">
        <v>1874</v>
      </c>
      <c r="B1834" s="1">
        <v>45631</v>
      </c>
      <c r="C1834" t="s">
        <v>36</v>
      </c>
      <c r="D1834" t="s">
        <v>37</v>
      </c>
      <c r="E1834" t="s">
        <v>13</v>
      </c>
      <c r="F1834" t="s">
        <v>14</v>
      </c>
      <c r="G1834" t="s">
        <v>42</v>
      </c>
      <c r="H1834">
        <v>65</v>
      </c>
      <c r="I1834" t="s">
        <v>43</v>
      </c>
      <c r="J1834">
        <v>945.9</v>
      </c>
      <c r="K1834" cm="1">
        <f t="array" ref="K1834">_xlfn.SWITCH(LeadsData[[#This Row],[Funnel Stage Reached]],"Lead",1,"MQL",2,"SQL",3,"Customer",4)</f>
        <v>4</v>
      </c>
      <c r="L1834" t="str">
        <f>TEXT(LeadsData[[#This Row],[Signup Date]],"mmm-yyyy")</f>
        <v>Dec-2024</v>
      </c>
      <c r="M1834">
        <f>IF(LeadsData[[#This Row],[Stage Number]]&gt;=2,1,0)</f>
        <v>1</v>
      </c>
      <c r="N1834" s="2">
        <f>IF(LeadsData[[#This Row],[Stage Number]]&gt;=3,1,0)</f>
        <v>1</v>
      </c>
      <c r="O1834" s="2">
        <f>IF(LeadsData[[#This Row],[Stage Number]]&gt;=4,1,0)</f>
        <v>1</v>
      </c>
    </row>
    <row r="1835" spans="1:15" x14ac:dyDescent="0.25">
      <c r="A1835" t="s">
        <v>1875</v>
      </c>
      <c r="B1835" s="1">
        <v>45551</v>
      </c>
      <c r="C1835" t="s">
        <v>25</v>
      </c>
      <c r="D1835" t="s">
        <v>26</v>
      </c>
      <c r="E1835" t="s">
        <v>13</v>
      </c>
      <c r="F1835" t="s">
        <v>19</v>
      </c>
      <c r="G1835" t="s">
        <v>29</v>
      </c>
      <c r="K1835" cm="1">
        <f t="array" ref="K1835">_xlfn.SWITCH(LeadsData[[#This Row],[Funnel Stage Reached]],"Lead",1,"MQL",2,"SQL",3,"Customer",4)</f>
        <v>3</v>
      </c>
      <c r="L1835" t="str">
        <f>TEXT(LeadsData[[#This Row],[Signup Date]],"mmm-yyyy")</f>
        <v>Sep-2024</v>
      </c>
      <c r="M1835">
        <f>IF(LeadsData[[#This Row],[Stage Number]]&gt;=2,1,0)</f>
        <v>1</v>
      </c>
      <c r="N1835" s="2">
        <f>IF(LeadsData[[#This Row],[Stage Number]]&gt;=3,1,0)</f>
        <v>1</v>
      </c>
      <c r="O1835" s="2">
        <f>IF(LeadsData[[#This Row],[Stage Number]]&gt;=4,1,0)</f>
        <v>0</v>
      </c>
    </row>
    <row r="1836" spans="1:15" x14ac:dyDescent="0.25">
      <c r="A1836" t="s">
        <v>1876</v>
      </c>
      <c r="B1836" s="1">
        <v>45640</v>
      </c>
      <c r="C1836" t="s">
        <v>46</v>
      </c>
      <c r="D1836" t="s">
        <v>47</v>
      </c>
      <c r="E1836" t="s">
        <v>13</v>
      </c>
      <c r="F1836" t="s">
        <v>19</v>
      </c>
      <c r="G1836" t="s">
        <v>15</v>
      </c>
      <c r="K1836" cm="1">
        <f t="array" ref="K1836">_xlfn.SWITCH(LeadsData[[#This Row],[Funnel Stage Reached]],"Lead",1,"MQL",2,"SQL",3,"Customer",4)</f>
        <v>1</v>
      </c>
      <c r="L1836" t="str">
        <f>TEXT(LeadsData[[#This Row],[Signup Date]],"mmm-yyyy")</f>
        <v>Dec-2024</v>
      </c>
      <c r="M1836">
        <f>IF(LeadsData[[#This Row],[Stage Number]]&gt;=2,1,0)</f>
        <v>0</v>
      </c>
      <c r="N1836" s="2">
        <f>IF(LeadsData[[#This Row],[Stage Number]]&gt;=3,1,0)</f>
        <v>0</v>
      </c>
      <c r="O1836" s="2">
        <f>IF(LeadsData[[#This Row],[Stage Number]]&gt;=4,1,0)</f>
        <v>0</v>
      </c>
    </row>
    <row r="1837" spans="1:15" x14ac:dyDescent="0.25">
      <c r="A1837" t="s">
        <v>1877</v>
      </c>
      <c r="B1837" s="1">
        <v>45393</v>
      </c>
      <c r="C1837" t="s">
        <v>31</v>
      </c>
      <c r="D1837" t="s">
        <v>32</v>
      </c>
      <c r="E1837" t="s">
        <v>21</v>
      </c>
      <c r="F1837" t="s">
        <v>19</v>
      </c>
      <c r="G1837" t="s">
        <v>23</v>
      </c>
      <c r="K1837" cm="1">
        <f t="array" ref="K1837">_xlfn.SWITCH(LeadsData[[#This Row],[Funnel Stage Reached]],"Lead",1,"MQL",2,"SQL",3,"Customer",4)</f>
        <v>2</v>
      </c>
      <c r="L1837" t="str">
        <f>TEXT(LeadsData[[#This Row],[Signup Date]],"mmm-yyyy")</f>
        <v>Apr-2024</v>
      </c>
      <c r="M1837">
        <f>IF(LeadsData[[#This Row],[Stage Number]]&gt;=2,1,0)</f>
        <v>1</v>
      </c>
      <c r="N1837" s="2">
        <f>IF(LeadsData[[#This Row],[Stage Number]]&gt;=3,1,0)</f>
        <v>0</v>
      </c>
      <c r="O1837" s="2">
        <f>IF(LeadsData[[#This Row],[Stage Number]]&gt;=4,1,0)</f>
        <v>0</v>
      </c>
    </row>
    <row r="1838" spans="1:15" x14ac:dyDescent="0.25">
      <c r="A1838" t="s">
        <v>1878</v>
      </c>
      <c r="B1838" s="1">
        <v>45459</v>
      </c>
      <c r="C1838" t="s">
        <v>25</v>
      </c>
      <c r="D1838" t="s">
        <v>26</v>
      </c>
      <c r="E1838" t="s">
        <v>13</v>
      </c>
      <c r="F1838" t="s">
        <v>14</v>
      </c>
      <c r="G1838" t="s">
        <v>15</v>
      </c>
      <c r="K1838" cm="1">
        <f t="array" ref="K1838">_xlfn.SWITCH(LeadsData[[#This Row],[Funnel Stage Reached]],"Lead",1,"MQL",2,"SQL",3,"Customer",4)</f>
        <v>1</v>
      </c>
      <c r="L1838" t="str">
        <f>TEXT(LeadsData[[#This Row],[Signup Date]],"mmm-yyyy")</f>
        <v>Jun-2024</v>
      </c>
      <c r="M1838">
        <f>IF(LeadsData[[#This Row],[Stage Number]]&gt;=2,1,0)</f>
        <v>0</v>
      </c>
      <c r="N1838" s="2">
        <f>IF(LeadsData[[#This Row],[Stage Number]]&gt;=3,1,0)</f>
        <v>0</v>
      </c>
      <c r="O1838" s="2">
        <f>IF(LeadsData[[#This Row],[Stage Number]]&gt;=4,1,0)</f>
        <v>0</v>
      </c>
    </row>
    <row r="1839" spans="1:15" x14ac:dyDescent="0.25">
      <c r="A1839" t="s">
        <v>1879</v>
      </c>
      <c r="B1839" s="1">
        <v>45461</v>
      </c>
      <c r="C1839" t="s">
        <v>25</v>
      </c>
      <c r="D1839" t="s">
        <v>26</v>
      </c>
      <c r="E1839" t="s">
        <v>13</v>
      </c>
      <c r="F1839" t="s">
        <v>22</v>
      </c>
      <c r="G1839" t="s">
        <v>15</v>
      </c>
      <c r="K1839" cm="1">
        <f t="array" ref="K1839">_xlfn.SWITCH(LeadsData[[#This Row],[Funnel Stage Reached]],"Lead",1,"MQL",2,"SQL",3,"Customer",4)</f>
        <v>1</v>
      </c>
      <c r="L1839" t="str">
        <f>TEXT(LeadsData[[#This Row],[Signup Date]],"mmm-yyyy")</f>
        <v>Jun-2024</v>
      </c>
      <c r="M1839">
        <f>IF(LeadsData[[#This Row],[Stage Number]]&gt;=2,1,0)</f>
        <v>0</v>
      </c>
      <c r="N1839" s="2">
        <f>IF(LeadsData[[#This Row],[Stage Number]]&gt;=3,1,0)</f>
        <v>0</v>
      </c>
      <c r="O1839" s="2">
        <f>IF(LeadsData[[#This Row],[Stage Number]]&gt;=4,1,0)</f>
        <v>0</v>
      </c>
    </row>
    <row r="1840" spans="1:15" x14ac:dyDescent="0.25">
      <c r="A1840" t="s">
        <v>1880</v>
      </c>
      <c r="B1840" s="1">
        <v>45406</v>
      </c>
      <c r="C1840" t="s">
        <v>17</v>
      </c>
      <c r="D1840" t="s">
        <v>53</v>
      </c>
      <c r="E1840" t="s">
        <v>13</v>
      </c>
      <c r="F1840" t="s">
        <v>22</v>
      </c>
      <c r="G1840" t="s">
        <v>15</v>
      </c>
      <c r="K1840" cm="1">
        <f t="array" ref="K1840">_xlfn.SWITCH(LeadsData[[#This Row],[Funnel Stage Reached]],"Lead",1,"MQL",2,"SQL",3,"Customer",4)</f>
        <v>1</v>
      </c>
      <c r="L1840" t="str">
        <f>TEXT(LeadsData[[#This Row],[Signup Date]],"mmm-yyyy")</f>
        <v>Apr-2024</v>
      </c>
      <c r="M1840">
        <f>IF(LeadsData[[#This Row],[Stage Number]]&gt;=2,1,0)</f>
        <v>0</v>
      </c>
      <c r="N1840" s="2">
        <f>IF(LeadsData[[#This Row],[Stage Number]]&gt;=3,1,0)</f>
        <v>0</v>
      </c>
      <c r="O1840" s="2">
        <f>IF(LeadsData[[#This Row],[Stage Number]]&gt;=4,1,0)</f>
        <v>0</v>
      </c>
    </row>
    <row r="1841" spans="1:15" x14ac:dyDescent="0.25">
      <c r="A1841" t="s">
        <v>1881</v>
      </c>
      <c r="B1841" s="1">
        <v>45465</v>
      </c>
      <c r="C1841" t="s">
        <v>46</v>
      </c>
      <c r="D1841" t="s">
        <v>47</v>
      </c>
      <c r="E1841" t="s">
        <v>13</v>
      </c>
      <c r="F1841" t="s">
        <v>28</v>
      </c>
      <c r="G1841" t="s">
        <v>29</v>
      </c>
      <c r="K1841" cm="1">
        <f t="array" ref="K1841">_xlfn.SWITCH(LeadsData[[#This Row],[Funnel Stage Reached]],"Lead",1,"MQL",2,"SQL",3,"Customer",4)</f>
        <v>3</v>
      </c>
      <c r="L1841" t="str">
        <f>TEXT(LeadsData[[#This Row],[Signup Date]],"mmm-yyyy")</f>
        <v>Jun-2024</v>
      </c>
      <c r="M1841">
        <f>IF(LeadsData[[#This Row],[Stage Number]]&gt;=2,1,0)</f>
        <v>1</v>
      </c>
      <c r="N1841" s="2">
        <f>IF(LeadsData[[#This Row],[Stage Number]]&gt;=3,1,0)</f>
        <v>1</v>
      </c>
      <c r="O1841" s="2">
        <f>IF(LeadsData[[#This Row],[Stage Number]]&gt;=4,1,0)</f>
        <v>0</v>
      </c>
    </row>
    <row r="1842" spans="1:15" x14ac:dyDescent="0.25">
      <c r="A1842" t="s">
        <v>1882</v>
      </c>
      <c r="B1842" s="1">
        <v>45590</v>
      </c>
      <c r="C1842" t="s">
        <v>17</v>
      </c>
      <c r="D1842" t="s">
        <v>53</v>
      </c>
      <c r="E1842" t="s">
        <v>13</v>
      </c>
      <c r="F1842" t="s">
        <v>14</v>
      </c>
      <c r="G1842" t="s">
        <v>15</v>
      </c>
      <c r="K1842" cm="1">
        <f t="array" ref="K1842">_xlfn.SWITCH(LeadsData[[#This Row],[Funnel Stage Reached]],"Lead",1,"MQL",2,"SQL",3,"Customer",4)</f>
        <v>1</v>
      </c>
      <c r="L1842" t="str">
        <f>TEXT(LeadsData[[#This Row],[Signup Date]],"mmm-yyyy")</f>
        <v>Oct-2024</v>
      </c>
      <c r="M1842">
        <f>IF(LeadsData[[#This Row],[Stage Number]]&gt;=2,1,0)</f>
        <v>0</v>
      </c>
      <c r="N1842" s="2">
        <f>IF(LeadsData[[#This Row],[Stage Number]]&gt;=3,1,0)</f>
        <v>0</v>
      </c>
      <c r="O1842" s="2">
        <f>IF(LeadsData[[#This Row],[Stage Number]]&gt;=4,1,0)</f>
        <v>0</v>
      </c>
    </row>
    <row r="1843" spans="1:15" x14ac:dyDescent="0.25">
      <c r="A1843" t="s">
        <v>1883</v>
      </c>
      <c r="B1843" s="1">
        <v>45624</v>
      </c>
      <c r="C1843" t="s">
        <v>31</v>
      </c>
      <c r="D1843" t="s">
        <v>34</v>
      </c>
      <c r="E1843" t="s">
        <v>13</v>
      </c>
      <c r="F1843" t="s">
        <v>14</v>
      </c>
      <c r="G1843" t="s">
        <v>15</v>
      </c>
      <c r="K1843" cm="1">
        <f t="array" ref="K1843">_xlfn.SWITCH(LeadsData[[#This Row],[Funnel Stage Reached]],"Lead",1,"MQL",2,"SQL",3,"Customer",4)</f>
        <v>1</v>
      </c>
      <c r="L1843" t="str">
        <f>TEXT(LeadsData[[#This Row],[Signup Date]],"mmm-yyyy")</f>
        <v>Nov-2024</v>
      </c>
      <c r="M1843">
        <f>IF(LeadsData[[#This Row],[Stage Number]]&gt;=2,1,0)</f>
        <v>0</v>
      </c>
      <c r="N1843" s="2">
        <f>IF(LeadsData[[#This Row],[Stage Number]]&gt;=3,1,0)</f>
        <v>0</v>
      </c>
      <c r="O1843" s="2">
        <f>IF(LeadsData[[#This Row],[Stage Number]]&gt;=4,1,0)</f>
        <v>0</v>
      </c>
    </row>
    <row r="1844" spans="1:15" x14ac:dyDescent="0.25">
      <c r="A1844" t="s">
        <v>1884</v>
      </c>
      <c r="B1844" s="1">
        <v>45309</v>
      </c>
      <c r="C1844" t="s">
        <v>11</v>
      </c>
      <c r="D1844" t="s">
        <v>12</v>
      </c>
      <c r="E1844" t="s">
        <v>21</v>
      </c>
      <c r="F1844" t="s">
        <v>19</v>
      </c>
      <c r="G1844" t="s">
        <v>23</v>
      </c>
      <c r="K1844" cm="1">
        <f t="array" ref="K1844">_xlfn.SWITCH(LeadsData[[#This Row],[Funnel Stage Reached]],"Lead",1,"MQL",2,"SQL",3,"Customer",4)</f>
        <v>2</v>
      </c>
      <c r="L1844" t="str">
        <f>TEXT(LeadsData[[#This Row],[Signup Date]],"mmm-yyyy")</f>
        <v>Jan-2024</v>
      </c>
      <c r="M1844">
        <f>IF(LeadsData[[#This Row],[Stage Number]]&gt;=2,1,0)</f>
        <v>1</v>
      </c>
      <c r="N1844" s="2">
        <f>IF(LeadsData[[#This Row],[Stage Number]]&gt;=3,1,0)</f>
        <v>0</v>
      </c>
      <c r="O1844" s="2">
        <f>IF(LeadsData[[#This Row],[Stage Number]]&gt;=4,1,0)</f>
        <v>0</v>
      </c>
    </row>
    <row r="1845" spans="1:15" x14ac:dyDescent="0.25">
      <c r="A1845" t="s">
        <v>1885</v>
      </c>
      <c r="B1845" s="1">
        <v>45311</v>
      </c>
      <c r="C1845" t="s">
        <v>46</v>
      </c>
      <c r="D1845" t="s">
        <v>56</v>
      </c>
      <c r="E1845" t="s">
        <v>13</v>
      </c>
      <c r="F1845" t="s">
        <v>19</v>
      </c>
      <c r="G1845" t="s">
        <v>23</v>
      </c>
      <c r="K1845" cm="1">
        <f t="array" ref="K1845">_xlfn.SWITCH(LeadsData[[#This Row],[Funnel Stage Reached]],"Lead",1,"MQL",2,"SQL",3,"Customer",4)</f>
        <v>2</v>
      </c>
      <c r="L1845" t="str">
        <f>TEXT(LeadsData[[#This Row],[Signup Date]],"mmm-yyyy")</f>
        <v>Jan-2024</v>
      </c>
      <c r="M1845">
        <f>IF(LeadsData[[#This Row],[Stage Number]]&gt;=2,1,0)</f>
        <v>1</v>
      </c>
      <c r="N1845" s="2">
        <f>IF(LeadsData[[#This Row],[Stage Number]]&gt;=3,1,0)</f>
        <v>0</v>
      </c>
      <c r="O1845" s="2">
        <f>IF(LeadsData[[#This Row],[Stage Number]]&gt;=4,1,0)</f>
        <v>0</v>
      </c>
    </row>
    <row r="1846" spans="1:15" x14ac:dyDescent="0.25">
      <c r="A1846" t="s">
        <v>1886</v>
      </c>
      <c r="B1846" s="1">
        <v>45604</v>
      </c>
      <c r="C1846" t="s">
        <v>36</v>
      </c>
      <c r="D1846" t="s">
        <v>37</v>
      </c>
      <c r="E1846" t="s">
        <v>13</v>
      </c>
      <c r="F1846" t="s">
        <v>14</v>
      </c>
      <c r="G1846" t="s">
        <v>29</v>
      </c>
      <c r="K1846" cm="1">
        <f t="array" ref="K1846">_xlfn.SWITCH(LeadsData[[#This Row],[Funnel Stage Reached]],"Lead",1,"MQL",2,"SQL",3,"Customer",4)</f>
        <v>3</v>
      </c>
      <c r="L1846" t="str">
        <f>TEXT(LeadsData[[#This Row],[Signup Date]],"mmm-yyyy")</f>
        <v>Nov-2024</v>
      </c>
      <c r="M1846">
        <f>IF(LeadsData[[#This Row],[Stage Number]]&gt;=2,1,0)</f>
        <v>1</v>
      </c>
      <c r="N1846" s="2">
        <f>IF(LeadsData[[#This Row],[Stage Number]]&gt;=3,1,0)</f>
        <v>1</v>
      </c>
      <c r="O1846" s="2">
        <f>IF(LeadsData[[#This Row],[Stage Number]]&gt;=4,1,0)</f>
        <v>0</v>
      </c>
    </row>
    <row r="1847" spans="1:15" x14ac:dyDescent="0.25">
      <c r="A1847" t="s">
        <v>1887</v>
      </c>
      <c r="B1847" s="1">
        <v>45328</v>
      </c>
      <c r="C1847" t="s">
        <v>31</v>
      </c>
      <c r="D1847" t="s">
        <v>32</v>
      </c>
      <c r="E1847" t="s">
        <v>21</v>
      </c>
      <c r="F1847" t="s">
        <v>14</v>
      </c>
      <c r="G1847" t="s">
        <v>23</v>
      </c>
      <c r="K1847" cm="1">
        <f t="array" ref="K1847">_xlfn.SWITCH(LeadsData[[#This Row],[Funnel Stage Reached]],"Lead",1,"MQL",2,"SQL",3,"Customer",4)</f>
        <v>2</v>
      </c>
      <c r="L1847" t="str">
        <f>TEXT(LeadsData[[#This Row],[Signup Date]],"mmm-yyyy")</f>
        <v>Feb-2024</v>
      </c>
      <c r="M1847">
        <f>IF(LeadsData[[#This Row],[Stage Number]]&gt;=2,1,0)</f>
        <v>1</v>
      </c>
      <c r="N1847" s="2">
        <f>IF(LeadsData[[#This Row],[Stage Number]]&gt;=3,1,0)</f>
        <v>0</v>
      </c>
      <c r="O1847" s="2">
        <f>IF(LeadsData[[#This Row],[Stage Number]]&gt;=4,1,0)</f>
        <v>0</v>
      </c>
    </row>
    <row r="1848" spans="1:15" x14ac:dyDescent="0.25">
      <c r="A1848" t="s">
        <v>1888</v>
      </c>
      <c r="B1848" s="1">
        <v>45297</v>
      </c>
      <c r="C1848" t="s">
        <v>36</v>
      </c>
      <c r="D1848" t="s">
        <v>50</v>
      </c>
      <c r="E1848" t="s">
        <v>21</v>
      </c>
      <c r="F1848" t="s">
        <v>22</v>
      </c>
      <c r="G1848" t="s">
        <v>23</v>
      </c>
      <c r="K1848" cm="1">
        <f t="array" ref="K1848">_xlfn.SWITCH(LeadsData[[#This Row],[Funnel Stage Reached]],"Lead",1,"MQL",2,"SQL",3,"Customer",4)</f>
        <v>2</v>
      </c>
      <c r="L1848" t="str">
        <f>TEXT(LeadsData[[#This Row],[Signup Date]],"mmm-yyyy")</f>
        <v>Jan-2024</v>
      </c>
      <c r="M1848">
        <f>IF(LeadsData[[#This Row],[Stage Number]]&gt;=2,1,0)</f>
        <v>1</v>
      </c>
      <c r="N1848" s="2">
        <f>IF(LeadsData[[#This Row],[Stage Number]]&gt;=3,1,0)</f>
        <v>0</v>
      </c>
      <c r="O1848" s="2">
        <f>IF(LeadsData[[#This Row],[Stage Number]]&gt;=4,1,0)</f>
        <v>0</v>
      </c>
    </row>
    <row r="1849" spans="1:15" x14ac:dyDescent="0.25">
      <c r="A1849" t="s">
        <v>1889</v>
      </c>
      <c r="B1849" s="1">
        <v>45370</v>
      </c>
      <c r="C1849" t="s">
        <v>46</v>
      </c>
      <c r="D1849" t="s">
        <v>47</v>
      </c>
      <c r="E1849" t="s">
        <v>13</v>
      </c>
      <c r="F1849" t="s">
        <v>19</v>
      </c>
      <c r="G1849" t="s">
        <v>29</v>
      </c>
      <c r="K1849" cm="1">
        <f t="array" ref="K1849">_xlfn.SWITCH(LeadsData[[#This Row],[Funnel Stage Reached]],"Lead",1,"MQL",2,"SQL",3,"Customer",4)</f>
        <v>3</v>
      </c>
      <c r="L1849" t="str">
        <f>TEXT(LeadsData[[#This Row],[Signup Date]],"mmm-yyyy")</f>
        <v>Mar-2024</v>
      </c>
      <c r="M1849">
        <f>IF(LeadsData[[#This Row],[Stage Number]]&gt;=2,1,0)</f>
        <v>1</v>
      </c>
      <c r="N1849" s="2">
        <f>IF(LeadsData[[#This Row],[Stage Number]]&gt;=3,1,0)</f>
        <v>1</v>
      </c>
      <c r="O1849" s="2">
        <f>IF(LeadsData[[#This Row],[Stage Number]]&gt;=4,1,0)</f>
        <v>0</v>
      </c>
    </row>
    <row r="1850" spans="1:15" x14ac:dyDescent="0.25">
      <c r="A1850" t="s">
        <v>1890</v>
      </c>
      <c r="B1850" s="1">
        <v>45640</v>
      </c>
      <c r="C1850" t="s">
        <v>36</v>
      </c>
      <c r="D1850" t="s">
        <v>50</v>
      </c>
      <c r="E1850" t="s">
        <v>13</v>
      </c>
      <c r="F1850" t="s">
        <v>22</v>
      </c>
      <c r="G1850" t="s">
        <v>15</v>
      </c>
      <c r="K1850" cm="1">
        <f t="array" ref="K1850">_xlfn.SWITCH(LeadsData[[#This Row],[Funnel Stage Reached]],"Lead",1,"MQL",2,"SQL",3,"Customer",4)</f>
        <v>1</v>
      </c>
      <c r="L1850" t="str">
        <f>TEXT(LeadsData[[#This Row],[Signup Date]],"mmm-yyyy")</f>
        <v>Dec-2024</v>
      </c>
      <c r="M1850">
        <f>IF(LeadsData[[#This Row],[Stage Number]]&gt;=2,1,0)</f>
        <v>0</v>
      </c>
      <c r="N1850" s="2">
        <f>IF(LeadsData[[#This Row],[Stage Number]]&gt;=3,1,0)</f>
        <v>0</v>
      </c>
      <c r="O1850" s="2">
        <f>IF(LeadsData[[#This Row],[Stage Number]]&gt;=4,1,0)</f>
        <v>0</v>
      </c>
    </row>
    <row r="1851" spans="1:15" x14ac:dyDescent="0.25">
      <c r="A1851" t="s">
        <v>1891</v>
      </c>
      <c r="B1851" s="1">
        <v>45417</v>
      </c>
      <c r="C1851" t="s">
        <v>36</v>
      </c>
      <c r="D1851" t="s">
        <v>37</v>
      </c>
      <c r="E1851" t="s">
        <v>21</v>
      </c>
      <c r="F1851" t="s">
        <v>14</v>
      </c>
      <c r="G1851" t="s">
        <v>15</v>
      </c>
      <c r="K1851" cm="1">
        <f t="array" ref="K1851">_xlfn.SWITCH(LeadsData[[#This Row],[Funnel Stage Reached]],"Lead",1,"MQL",2,"SQL",3,"Customer",4)</f>
        <v>1</v>
      </c>
      <c r="L1851" t="str">
        <f>TEXT(LeadsData[[#This Row],[Signup Date]],"mmm-yyyy")</f>
        <v>May-2024</v>
      </c>
      <c r="M1851">
        <f>IF(LeadsData[[#This Row],[Stage Number]]&gt;=2,1,0)</f>
        <v>0</v>
      </c>
      <c r="N1851" s="2">
        <f>IF(LeadsData[[#This Row],[Stage Number]]&gt;=3,1,0)</f>
        <v>0</v>
      </c>
      <c r="O1851" s="2">
        <f>IF(LeadsData[[#This Row],[Stage Number]]&gt;=4,1,0)</f>
        <v>0</v>
      </c>
    </row>
    <row r="1852" spans="1:15" x14ac:dyDescent="0.25">
      <c r="A1852" t="s">
        <v>1892</v>
      </c>
      <c r="B1852" s="1">
        <v>45467</v>
      </c>
      <c r="C1852" t="s">
        <v>36</v>
      </c>
      <c r="D1852" t="s">
        <v>50</v>
      </c>
      <c r="E1852" t="s">
        <v>13</v>
      </c>
      <c r="F1852" t="s">
        <v>14</v>
      </c>
      <c r="G1852" t="s">
        <v>23</v>
      </c>
      <c r="K1852" cm="1">
        <f t="array" ref="K1852">_xlfn.SWITCH(LeadsData[[#This Row],[Funnel Stage Reached]],"Lead",1,"MQL",2,"SQL",3,"Customer",4)</f>
        <v>2</v>
      </c>
      <c r="L1852" t="str">
        <f>TEXT(LeadsData[[#This Row],[Signup Date]],"mmm-yyyy")</f>
        <v>Jun-2024</v>
      </c>
      <c r="M1852">
        <f>IF(LeadsData[[#This Row],[Stage Number]]&gt;=2,1,0)</f>
        <v>1</v>
      </c>
      <c r="N1852" s="2">
        <f>IF(LeadsData[[#This Row],[Stage Number]]&gt;=3,1,0)</f>
        <v>0</v>
      </c>
      <c r="O1852" s="2">
        <f>IF(LeadsData[[#This Row],[Stage Number]]&gt;=4,1,0)</f>
        <v>0</v>
      </c>
    </row>
    <row r="1853" spans="1:15" x14ac:dyDescent="0.25">
      <c r="A1853" t="s">
        <v>1893</v>
      </c>
      <c r="B1853" s="1">
        <v>45344</v>
      </c>
      <c r="C1853" t="s">
        <v>31</v>
      </c>
      <c r="D1853" t="s">
        <v>34</v>
      </c>
      <c r="E1853" t="s">
        <v>13</v>
      </c>
      <c r="F1853" t="s">
        <v>19</v>
      </c>
      <c r="G1853" t="s">
        <v>23</v>
      </c>
      <c r="K1853" cm="1">
        <f t="array" ref="K1853">_xlfn.SWITCH(LeadsData[[#This Row],[Funnel Stage Reached]],"Lead",1,"MQL",2,"SQL",3,"Customer",4)</f>
        <v>2</v>
      </c>
      <c r="L1853" t="str">
        <f>TEXT(LeadsData[[#This Row],[Signup Date]],"mmm-yyyy")</f>
        <v>Feb-2024</v>
      </c>
      <c r="M1853">
        <f>IF(LeadsData[[#This Row],[Stage Number]]&gt;=2,1,0)</f>
        <v>1</v>
      </c>
      <c r="N1853" s="2">
        <f>IF(LeadsData[[#This Row],[Stage Number]]&gt;=3,1,0)</f>
        <v>0</v>
      </c>
      <c r="O1853" s="2">
        <f>IF(LeadsData[[#This Row],[Stage Number]]&gt;=4,1,0)</f>
        <v>0</v>
      </c>
    </row>
    <row r="1854" spans="1:15" x14ac:dyDescent="0.25">
      <c r="A1854" t="s">
        <v>1894</v>
      </c>
      <c r="B1854" s="1">
        <v>45541</v>
      </c>
      <c r="C1854" t="s">
        <v>31</v>
      </c>
      <c r="D1854" t="s">
        <v>32</v>
      </c>
      <c r="E1854" t="s">
        <v>13</v>
      </c>
      <c r="F1854" t="s">
        <v>19</v>
      </c>
      <c r="G1854" t="s">
        <v>15</v>
      </c>
      <c r="K1854" cm="1">
        <f t="array" ref="K1854">_xlfn.SWITCH(LeadsData[[#This Row],[Funnel Stage Reached]],"Lead",1,"MQL",2,"SQL",3,"Customer",4)</f>
        <v>1</v>
      </c>
      <c r="L1854" t="str">
        <f>TEXT(LeadsData[[#This Row],[Signup Date]],"mmm-yyyy")</f>
        <v>Sep-2024</v>
      </c>
      <c r="M1854">
        <f>IF(LeadsData[[#This Row],[Stage Number]]&gt;=2,1,0)</f>
        <v>0</v>
      </c>
      <c r="N1854" s="2">
        <f>IF(LeadsData[[#This Row],[Stage Number]]&gt;=3,1,0)</f>
        <v>0</v>
      </c>
      <c r="O1854" s="2">
        <f>IF(LeadsData[[#This Row],[Stage Number]]&gt;=4,1,0)</f>
        <v>0</v>
      </c>
    </row>
    <row r="1855" spans="1:15" x14ac:dyDescent="0.25">
      <c r="A1855" t="s">
        <v>1895</v>
      </c>
      <c r="B1855" s="1">
        <v>45363</v>
      </c>
      <c r="C1855" t="s">
        <v>31</v>
      </c>
      <c r="D1855" t="s">
        <v>32</v>
      </c>
      <c r="E1855" t="s">
        <v>13</v>
      </c>
      <c r="F1855" t="s">
        <v>14</v>
      </c>
      <c r="G1855" t="s">
        <v>23</v>
      </c>
      <c r="K1855" cm="1">
        <f t="array" ref="K1855">_xlfn.SWITCH(LeadsData[[#This Row],[Funnel Stage Reached]],"Lead",1,"MQL",2,"SQL",3,"Customer",4)</f>
        <v>2</v>
      </c>
      <c r="L1855" t="str">
        <f>TEXT(LeadsData[[#This Row],[Signup Date]],"mmm-yyyy")</f>
        <v>Mar-2024</v>
      </c>
      <c r="M1855">
        <f>IF(LeadsData[[#This Row],[Stage Number]]&gt;=2,1,0)</f>
        <v>1</v>
      </c>
      <c r="N1855" s="2">
        <f>IF(LeadsData[[#This Row],[Stage Number]]&gt;=3,1,0)</f>
        <v>0</v>
      </c>
      <c r="O1855" s="2">
        <f>IF(LeadsData[[#This Row],[Stage Number]]&gt;=4,1,0)</f>
        <v>0</v>
      </c>
    </row>
    <row r="1856" spans="1:15" x14ac:dyDescent="0.25">
      <c r="A1856" t="s">
        <v>1896</v>
      </c>
      <c r="B1856" s="1">
        <v>45392</v>
      </c>
      <c r="C1856" t="s">
        <v>11</v>
      </c>
      <c r="D1856" t="s">
        <v>12</v>
      </c>
      <c r="E1856" t="s">
        <v>13</v>
      </c>
      <c r="F1856" t="s">
        <v>19</v>
      </c>
      <c r="G1856" t="s">
        <v>23</v>
      </c>
      <c r="K1856" cm="1">
        <f t="array" ref="K1856">_xlfn.SWITCH(LeadsData[[#This Row],[Funnel Stage Reached]],"Lead",1,"MQL",2,"SQL",3,"Customer",4)</f>
        <v>2</v>
      </c>
      <c r="L1856" t="str">
        <f>TEXT(LeadsData[[#This Row],[Signup Date]],"mmm-yyyy")</f>
        <v>Apr-2024</v>
      </c>
      <c r="M1856">
        <f>IF(LeadsData[[#This Row],[Stage Number]]&gt;=2,1,0)</f>
        <v>1</v>
      </c>
      <c r="N1856" s="2">
        <f>IF(LeadsData[[#This Row],[Stage Number]]&gt;=3,1,0)</f>
        <v>0</v>
      </c>
      <c r="O1856" s="2">
        <f>IF(LeadsData[[#This Row],[Stage Number]]&gt;=4,1,0)</f>
        <v>0</v>
      </c>
    </row>
    <row r="1857" spans="1:15" x14ac:dyDescent="0.25">
      <c r="A1857" t="s">
        <v>1897</v>
      </c>
      <c r="B1857" s="1">
        <v>45585</v>
      </c>
      <c r="C1857" t="s">
        <v>46</v>
      </c>
      <c r="D1857" t="s">
        <v>56</v>
      </c>
      <c r="E1857" t="s">
        <v>13</v>
      </c>
      <c r="F1857" t="s">
        <v>22</v>
      </c>
      <c r="G1857" t="s">
        <v>23</v>
      </c>
      <c r="K1857" cm="1">
        <f t="array" ref="K1857">_xlfn.SWITCH(LeadsData[[#This Row],[Funnel Stage Reached]],"Lead",1,"MQL",2,"SQL",3,"Customer",4)</f>
        <v>2</v>
      </c>
      <c r="L1857" t="str">
        <f>TEXT(LeadsData[[#This Row],[Signup Date]],"mmm-yyyy")</f>
        <v>Oct-2024</v>
      </c>
      <c r="M1857">
        <f>IF(LeadsData[[#This Row],[Stage Number]]&gt;=2,1,0)</f>
        <v>1</v>
      </c>
      <c r="N1857" s="2">
        <f>IF(LeadsData[[#This Row],[Stage Number]]&gt;=3,1,0)</f>
        <v>0</v>
      </c>
      <c r="O1857" s="2">
        <f>IF(LeadsData[[#This Row],[Stage Number]]&gt;=4,1,0)</f>
        <v>0</v>
      </c>
    </row>
    <row r="1858" spans="1:15" x14ac:dyDescent="0.25">
      <c r="A1858" t="s">
        <v>1898</v>
      </c>
      <c r="B1858" s="1">
        <v>45417</v>
      </c>
      <c r="C1858" t="s">
        <v>11</v>
      </c>
      <c r="D1858" t="s">
        <v>79</v>
      </c>
      <c r="E1858" t="s">
        <v>13</v>
      </c>
      <c r="F1858" t="s">
        <v>28</v>
      </c>
      <c r="G1858" t="s">
        <v>15</v>
      </c>
      <c r="K1858" cm="1">
        <f t="array" ref="K1858">_xlfn.SWITCH(LeadsData[[#This Row],[Funnel Stage Reached]],"Lead",1,"MQL",2,"SQL",3,"Customer",4)</f>
        <v>1</v>
      </c>
      <c r="L1858" t="str">
        <f>TEXT(LeadsData[[#This Row],[Signup Date]],"mmm-yyyy")</f>
        <v>May-2024</v>
      </c>
      <c r="M1858">
        <f>IF(LeadsData[[#This Row],[Stage Number]]&gt;=2,1,0)</f>
        <v>0</v>
      </c>
      <c r="N1858" s="2">
        <f>IF(LeadsData[[#This Row],[Stage Number]]&gt;=3,1,0)</f>
        <v>0</v>
      </c>
      <c r="O1858" s="2">
        <f>IF(LeadsData[[#This Row],[Stage Number]]&gt;=4,1,0)</f>
        <v>0</v>
      </c>
    </row>
    <row r="1859" spans="1:15" x14ac:dyDescent="0.25">
      <c r="A1859" t="s">
        <v>1899</v>
      </c>
      <c r="B1859" s="1">
        <v>45638</v>
      </c>
      <c r="C1859" t="s">
        <v>31</v>
      </c>
      <c r="D1859" t="s">
        <v>32</v>
      </c>
      <c r="E1859" t="s">
        <v>13</v>
      </c>
      <c r="F1859" t="s">
        <v>28</v>
      </c>
      <c r="G1859" t="s">
        <v>42</v>
      </c>
      <c r="H1859">
        <v>21</v>
      </c>
      <c r="I1859" t="s">
        <v>43</v>
      </c>
      <c r="J1859">
        <v>1275.77</v>
      </c>
      <c r="K1859" cm="1">
        <f t="array" ref="K1859">_xlfn.SWITCH(LeadsData[[#This Row],[Funnel Stage Reached]],"Lead",1,"MQL",2,"SQL",3,"Customer",4)</f>
        <v>4</v>
      </c>
      <c r="L1859" t="str">
        <f>TEXT(LeadsData[[#This Row],[Signup Date]],"mmm-yyyy")</f>
        <v>Dec-2024</v>
      </c>
      <c r="M1859">
        <f>IF(LeadsData[[#This Row],[Stage Number]]&gt;=2,1,0)</f>
        <v>1</v>
      </c>
      <c r="N1859" s="2">
        <f>IF(LeadsData[[#This Row],[Stage Number]]&gt;=3,1,0)</f>
        <v>1</v>
      </c>
      <c r="O1859" s="2">
        <f>IF(LeadsData[[#This Row],[Stage Number]]&gt;=4,1,0)</f>
        <v>1</v>
      </c>
    </row>
    <row r="1860" spans="1:15" x14ac:dyDescent="0.25">
      <c r="A1860" t="s">
        <v>1900</v>
      </c>
      <c r="B1860" s="1">
        <v>45479</v>
      </c>
      <c r="C1860" t="s">
        <v>17</v>
      </c>
      <c r="D1860" t="s">
        <v>18</v>
      </c>
      <c r="E1860" t="s">
        <v>13</v>
      </c>
      <c r="F1860" t="s">
        <v>22</v>
      </c>
      <c r="G1860" t="s">
        <v>15</v>
      </c>
      <c r="K1860" cm="1">
        <f t="array" ref="K1860">_xlfn.SWITCH(LeadsData[[#This Row],[Funnel Stage Reached]],"Lead",1,"MQL",2,"SQL",3,"Customer",4)</f>
        <v>1</v>
      </c>
      <c r="L1860" t="str">
        <f>TEXT(LeadsData[[#This Row],[Signup Date]],"mmm-yyyy")</f>
        <v>Jul-2024</v>
      </c>
      <c r="M1860">
        <f>IF(LeadsData[[#This Row],[Stage Number]]&gt;=2,1,0)</f>
        <v>0</v>
      </c>
      <c r="N1860" s="2">
        <f>IF(LeadsData[[#This Row],[Stage Number]]&gt;=3,1,0)</f>
        <v>0</v>
      </c>
      <c r="O1860" s="2">
        <f>IF(LeadsData[[#This Row],[Stage Number]]&gt;=4,1,0)</f>
        <v>0</v>
      </c>
    </row>
    <row r="1861" spans="1:15" x14ac:dyDescent="0.25">
      <c r="A1861" t="s">
        <v>1901</v>
      </c>
      <c r="B1861" s="1">
        <v>45642</v>
      </c>
      <c r="C1861" t="s">
        <v>11</v>
      </c>
      <c r="D1861" t="s">
        <v>12</v>
      </c>
      <c r="E1861" t="s">
        <v>13</v>
      </c>
      <c r="F1861" t="s">
        <v>19</v>
      </c>
      <c r="G1861" t="s">
        <v>15</v>
      </c>
      <c r="K1861" cm="1">
        <f t="array" ref="K1861">_xlfn.SWITCH(LeadsData[[#This Row],[Funnel Stage Reached]],"Lead",1,"MQL",2,"SQL",3,"Customer",4)</f>
        <v>1</v>
      </c>
      <c r="L1861" t="str">
        <f>TEXT(LeadsData[[#This Row],[Signup Date]],"mmm-yyyy")</f>
        <v>Dec-2024</v>
      </c>
      <c r="M1861">
        <f>IF(LeadsData[[#This Row],[Stage Number]]&gt;=2,1,0)</f>
        <v>0</v>
      </c>
      <c r="N1861" s="2">
        <f>IF(LeadsData[[#This Row],[Stage Number]]&gt;=3,1,0)</f>
        <v>0</v>
      </c>
      <c r="O1861" s="2">
        <f>IF(LeadsData[[#This Row],[Stage Number]]&gt;=4,1,0)</f>
        <v>0</v>
      </c>
    </row>
    <row r="1862" spans="1:15" x14ac:dyDescent="0.25">
      <c r="A1862" t="s">
        <v>1902</v>
      </c>
      <c r="B1862" s="1">
        <v>45640</v>
      </c>
      <c r="C1862" t="s">
        <v>31</v>
      </c>
      <c r="D1862" t="s">
        <v>34</v>
      </c>
      <c r="E1862" t="s">
        <v>13</v>
      </c>
      <c r="F1862" t="s">
        <v>22</v>
      </c>
      <c r="G1862" t="s">
        <v>42</v>
      </c>
      <c r="H1862">
        <v>22</v>
      </c>
      <c r="I1862" t="s">
        <v>43</v>
      </c>
      <c r="J1862">
        <v>580.58000000000004</v>
      </c>
      <c r="K1862" cm="1">
        <f t="array" ref="K1862">_xlfn.SWITCH(LeadsData[[#This Row],[Funnel Stage Reached]],"Lead",1,"MQL",2,"SQL",3,"Customer",4)</f>
        <v>4</v>
      </c>
      <c r="L1862" t="str">
        <f>TEXT(LeadsData[[#This Row],[Signup Date]],"mmm-yyyy")</f>
        <v>Dec-2024</v>
      </c>
      <c r="M1862">
        <f>IF(LeadsData[[#This Row],[Stage Number]]&gt;=2,1,0)</f>
        <v>1</v>
      </c>
      <c r="N1862" s="2">
        <f>IF(LeadsData[[#This Row],[Stage Number]]&gt;=3,1,0)</f>
        <v>1</v>
      </c>
      <c r="O1862" s="2">
        <f>IF(LeadsData[[#This Row],[Stage Number]]&gt;=4,1,0)</f>
        <v>1</v>
      </c>
    </row>
    <row r="1863" spans="1:15" x14ac:dyDescent="0.25">
      <c r="A1863" t="s">
        <v>1903</v>
      </c>
      <c r="B1863" s="1">
        <v>45634</v>
      </c>
      <c r="C1863" t="s">
        <v>31</v>
      </c>
      <c r="D1863" t="s">
        <v>32</v>
      </c>
      <c r="E1863" t="s">
        <v>13</v>
      </c>
      <c r="F1863" t="s">
        <v>22</v>
      </c>
      <c r="G1863" t="s">
        <v>15</v>
      </c>
      <c r="K1863" cm="1">
        <f t="array" ref="K1863">_xlfn.SWITCH(LeadsData[[#This Row],[Funnel Stage Reached]],"Lead",1,"MQL",2,"SQL",3,"Customer",4)</f>
        <v>1</v>
      </c>
      <c r="L1863" t="str">
        <f>TEXT(LeadsData[[#This Row],[Signup Date]],"mmm-yyyy")</f>
        <v>Dec-2024</v>
      </c>
      <c r="M1863">
        <f>IF(LeadsData[[#This Row],[Stage Number]]&gt;=2,1,0)</f>
        <v>0</v>
      </c>
      <c r="N1863" s="2">
        <f>IF(LeadsData[[#This Row],[Stage Number]]&gt;=3,1,0)</f>
        <v>0</v>
      </c>
      <c r="O1863" s="2">
        <f>IF(LeadsData[[#This Row],[Stage Number]]&gt;=4,1,0)</f>
        <v>0</v>
      </c>
    </row>
    <row r="1864" spans="1:15" x14ac:dyDescent="0.25">
      <c r="A1864" t="s">
        <v>1904</v>
      </c>
      <c r="B1864" s="1">
        <v>45531</v>
      </c>
      <c r="C1864" t="s">
        <v>17</v>
      </c>
      <c r="D1864" t="s">
        <v>18</v>
      </c>
      <c r="E1864" t="s">
        <v>13</v>
      </c>
      <c r="F1864" t="s">
        <v>19</v>
      </c>
      <c r="G1864" t="s">
        <v>15</v>
      </c>
      <c r="K1864" cm="1">
        <f t="array" ref="K1864">_xlfn.SWITCH(LeadsData[[#This Row],[Funnel Stage Reached]],"Lead",1,"MQL",2,"SQL",3,"Customer",4)</f>
        <v>1</v>
      </c>
      <c r="L1864" t="str">
        <f>TEXT(LeadsData[[#This Row],[Signup Date]],"mmm-yyyy")</f>
        <v>Aug-2024</v>
      </c>
      <c r="M1864">
        <f>IF(LeadsData[[#This Row],[Stage Number]]&gt;=2,1,0)</f>
        <v>0</v>
      </c>
      <c r="N1864" s="2">
        <f>IF(LeadsData[[#This Row],[Stage Number]]&gt;=3,1,0)</f>
        <v>0</v>
      </c>
      <c r="O1864" s="2">
        <f>IF(LeadsData[[#This Row],[Stage Number]]&gt;=4,1,0)</f>
        <v>0</v>
      </c>
    </row>
    <row r="1865" spans="1:15" x14ac:dyDescent="0.25">
      <c r="A1865" t="s">
        <v>1905</v>
      </c>
      <c r="B1865" s="1">
        <v>45425</v>
      </c>
      <c r="C1865" t="s">
        <v>17</v>
      </c>
      <c r="D1865" t="s">
        <v>53</v>
      </c>
      <c r="E1865" t="s">
        <v>21</v>
      </c>
      <c r="F1865" t="s">
        <v>14</v>
      </c>
      <c r="G1865" t="s">
        <v>23</v>
      </c>
      <c r="K1865" cm="1">
        <f t="array" ref="K1865">_xlfn.SWITCH(LeadsData[[#This Row],[Funnel Stage Reached]],"Lead",1,"MQL",2,"SQL",3,"Customer",4)</f>
        <v>2</v>
      </c>
      <c r="L1865" t="str">
        <f>TEXT(LeadsData[[#This Row],[Signup Date]],"mmm-yyyy")</f>
        <v>May-2024</v>
      </c>
      <c r="M1865">
        <f>IF(LeadsData[[#This Row],[Stage Number]]&gt;=2,1,0)</f>
        <v>1</v>
      </c>
      <c r="N1865" s="2">
        <f>IF(LeadsData[[#This Row],[Stage Number]]&gt;=3,1,0)</f>
        <v>0</v>
      </c>
      <c r="O1865" s="2">
        <f>IF(LeadsData[[#This Row],[Stage Number]]&gt;=4,1,0)</f>
        <v>0</v>
      </c>
    </row>
    <row r="1866" spans="1:15" x14ac:dyDescent="0.25">
      <c r="A1866" t="s">
        <v>1906</v>
      </c>
      <c r="B1866" s="1">
        <v>45373</v>
      </c>
      <c r="C1866" t="s">
        <v>31</v>
      </c>
      <c r="D1866" t="s">
        <v>34</v>
      </c>
      <c r="E1866" t="s">
        <v>13</v>
      </c>
      <c r="F1866" t="s">
        <v>14</v>
      </c>
      <c r="G1866" t="s">
        <v>42</v>
      </c>
      <c r="H1866">
        <v>70</v>
      </c>
      <c r="I1866" t="s">
        <v>183</v>
      </c>
      <c r="J1866">
        <v>18168.45</v>
      </c>
      <c r="K1866" cm="1">
        <f t="array" ref="K1866">_xlfn.SWITCH(LeadsData[[#This Row],[Funnel Stage Reached]],"Lead",1,"MQL",2,"SQL",3,"Customer",4)</f>
        <v>4</v>
      </c>
      <c r="L1866" t="str">
        <f>TEXT(LeadsData[[#This Row],[Signup Date]],"mmm-yyyy")</f>
        <v>Mar-2024</v>
      </c>
      <c r="M1866">
        <f>IF(LeadsData[[#This Row],[Stage Number]]&gt;=2,1,0)</f>
        <v>1</v>
      </c>
      <c r="N1866" s="2">
        <f>IF(LeadsData[[#This Row],[Stage Number]]&gt;=3,1,0)</f>
        <v>1</v>
      </c>
      <c r="O1866" s="2">
        <f>IF(LeadsData[[#This Row],[Stage Number]]&gt;=4,1,0)</f>
        <v>1</v>
      </c>
    </row>
    <row r="1867" spans="1:15" x14ac:dyDescent="0.25">
      <c r="A1867" t="s">
        <v>1907</v>
      </c>
      <c r="B1867" s="1">
        <v>45400</v>
      </c>
      <c r="C1867" t="s">
        <v>11</v>
      </c>
      <c r="D1867" t="s">
        <v>79</v>
      </c>
      <c r="E1867" t="s">
        <v>21</v>
      </c>
      <c r="F1867" t="s">
        <v>22</v>
      </c>
      <c r="G1867" t="s">
        <v>15</v>
      </c>
      <c r="K1867" cm="1">
        <f t="array" ref="K1867">_xlfn.SWITCH(LeadsData[[#This Row],[Funnel Stage Reached]],"Lead",1,"MQL",2,"SQL",3,"Customer",4)</f>
        <v>1</v>
      </c>
      <c r="L1867" t="str">
        <f>TEXT(LeadsData[[#This Row],[Signup Date]],"mmm-yyyy")</f>
        <v>Apr-2024</v>
      </c>
      <c r="M1867">
        <f>IF(LeadsData[[#This Row],[Stage Number]]&gt;=2,1,0)</f>
        <v>0</v>
      </c>
      <c r="N1867" s="2">
        <f>IF(LeadsData[[#This Row],[Stage Number]]&gt;=3,1,0)</f>
        <v>0</v>
      </c>
      <c r="O1867" s="2">
        <f>IF(LeadsData[[#This Row],[Stage Number]]&gt;=4,1,0)</f>
        <v>0</v>
      </c>
    </row>
    <row r="1868" spans="1:15" x14ac:dyDescent="0.25">
      <c r="A1868" t="s">
        <v>1908</v>
      </c>
      <c r="B1868" s="1">
        <v>45434</v>
      </c>
      <c r="C1868" t="s">
        <v>31</v>
      </c>
      <c r="D1868" t="s">
        <v>34</v>
      </c>
      <c r="E1868" t="s">
        <v>13</v>
      </c>
      <c r="F1868" t="s">
        <v>19</v>
      </c>
      <c r="G1868" t="s">
        <v>29</v>
      </c>
      <c r="K1868" cm="1">
        <f t="array" ref="K1868">_xlfn.SWITCH(LeadsData[[#This Row],[Funnel Stage Reached]],"Lead",1,"MQL",2,"SQL",3,"Customer",4)</f>
        <v>3</v>
      </c>
      <c r="L1868" t="str">
        <f>TEXT(LeadsData[[#This Row],[Signup Date]],"mmm-yyyy")</f>
        <v>May-2024</v>
      </c>
      <c r="M1868">
        <f>IF(LeadsData[[#This Row],[Stage Number]]&gt;=2,1,0)</f>
        <v>1</v>
      </c>
      <c r="N1868" s="2">
        <f>IF(LeadsData[[#This Row],[Stage Number]]&gt;=3,1,0)</f>
        <v>1</v>
      </c>
      <c r="O1868" s="2">
        <f>IF(LeadsData[[#This Row],[Stage Number]]&gt;=4,1,0)</f>
        <v>0</v>
      </c>
    </row>
    <row r="1869" spans="1:15" x14ac:dyDescent="0.25">
      <c r="A1869" t="s">
        <v>1909</v>
      </c>
      <c r="B1869" s="1">
        <v>45651</v>
      </c>
      <c r="C1869" t="s">
        <v>11</v>
      </c>
      <c r="D1869" t="s">
        <v>12</v>
      </c>
      <c r="E1869" t="s">
        <v>13</v>
      </c>
      <c r="F1869" t="s">
        <v>19</v>
      </c>
      <c r="G1869" t="s">
        <v>15</v>
      </c>
      <c r="K1869" cm="1">
        <f t="array" ref="K1869">_xlfn.SWITCH(LeadsData[[#This Row],[Funnel Stage Reached]],"Lead",1,"MQL",2,"SQL",3,"Customer",4)</f>
        <v>1</v>
      </c>
      <c r="L1869" t="str">
        <f>TEXT(LeadsData[[#This Row],[Signup Date]],"mmm-yyyy")</f>
        <v>Dec-2024</v>
      </c>
      <c r="M1869">
        <f>IF(LeadsData[[#This Row],[Stage Number]]&gt;=2,1,0)</f>
        <v>0</v>
      </c>
      <c r="N1869" s="2">
        <f>IF(LeadsData[[#This Row],[Stage Number]]&gt;=3,1,0)</f>
        <v>0</v>
      </c>
      <c r="O1869" s="2">
        <f>IF(LeadsData[[#This Row],[Stage Number]]&gt;=4,1,0)</f>
        <v>0</v>
      </c>
    </row>
    <row r="1870" spans="1:15" x14ac:dyDescent="0.25">
      <c r="A1870" t="s">
        <v>1910</v>
      </c>
      <c r="B1870" s="1">
        <v>45372</v>
      </c>
      <c r="C1870" t="s">
        <v>17</v>
      </c>
      <c r="D1870" t="s">
        <v>53</v>
      </c>
      <c r="E1870" t="s">
        <v>48</v>
      </c>
      <c r="F1870" t="s">
        <v>14</v>
      </c>
      <c r="G1870" t="s">
        <v>23</v>
      </c>
      <c r="K1870" cm="1">
        <f t="array" ref="K1870">_xlfn.SWITCH(LeadsData[[#This Row],[Funnel Stage Reached]],"Lead",1,"MQL",2,"SQL",3,"Customer",4)</f>
        <v>2</v>
      </c>
      <c r="L1870" t="str">
        <f>TEXT(LeadsData[[#This Row],[Signup Date]],"mmm-yyyy")</f>
        <v>Mar-2024</v>
      </c>
      <c r="M1870">
        <f>IF(LeadsData[[#This Row],[Stage Number]]&gt;=2,1,0)</f>
        <v>1</v>
      </c>
      <c r="N1870" s="2">
        <f>IF(LeadsData[[#This Row],[Stage Number]]&gt;=3,1,0)</f>
        <v>0</v>
      </c>
      <c r="O1870" s="2">
        <f>IF(LeadsData[[#This Row],[Stage Number]]&gt;=4,1,0)</f>
        <v>0</v>
      </c>
    </row>
    <row r="1871" spans="1:15" x14ac:dyDescent="0.25">
      <c r="A1871" t="s">
        <v>1911</v>
      </c>
      <c r="B1871" s="1">
        <v>45629</v>
      </c>
      <c r="C1871" t="s">
        <v>31</v>
      </c>
      <c r="D1871" t="s">
        <v>34</v>
      </c>
      <c r="E1871" t="s">
        <v>13</v>
      </c>
      <c r="F1871" t="s">
        <v>19</v>
      </c>
      <c r="G1871" t="s">
        <v>29</v>
      </c>
      <c r="K1871" cm="1">
        <f t="array" ref="K1871">_xlfn.SWITCH(LeadsData[[#This Row],[Funnel Stage Reached]],"Lead",1,"MQL",2,"SQL",3,"Customer",4)</f>
        <v>3</v>
      </c>
      <c r="L1871" t="str">
        <f>TEXT(LeadsData[[#This Row],[Signup Date]],"mmm-yyyy")</f>
        <v>Dec-2024</v>
      </c>
      <c r="M1871">
        <f>IF(LeadsData[[#This Row],[Stage Number]]&gt;=2,1,0)</f>
        <v>1</v>
      </c>
      <c r="N1871" s="2">
        <f>IF(LeadsData[[#This Row],[Stage Number]]&gt;=3,1,0)</f>
        <v>1</v>
      </c>
      <c r="O1871" s="2">
        <f>IF(LeadsData[[#This Row],[Stage Number]]&gt;=4,1,0)</f>
        <v>0</v>
      </c>
    </row>
    <row r="1872" spans="1:15" x14ac:dyDescent="0.25">
      <c r="A1872" t="s">
        <v>1912</v>
      </c>
      <c r="B1872" s="1">
        <v>45617</v>
      </c>
      <c r="C1872" t="s">
        <v>25</v>
      </c>
      <c r="D1872" t="s">
        <v>26</v>
      </c>
      <c r="E1872" t="s">
        <v>21</v>
      </c>
      <c r="F1872" t="s">
        <v>28</v>
      </c>
      <c r="G1872" t="s">
        <v>23</v>
      </c>
      <c r="K1872" cm="1">
        <f t="array" ref="K1872">_xlfn.SWITCH(LeadsData[[#This Row],[Funnel Stage Reached]],"Lead",1,"MQL",2,"SQL",3,"Customer",4)</f>
        <v>2</v>
      </c>
      <c r="L1872" t="str">
        <f>TEXT(LeadsData[[#This Row],[Signup Date]],"mmm-yyyy")</f>
        <v>Nov-2024</v>
      </c>
      <c r="M1872">
        <f>IF(LeadsData[[#This Row],[Stage Number]]&gt;=2,1,0)</f>
        <v>1</v>
      </c>
      <c r="N1872" s="2">
        <f>IF(LeadsData[[#This Row],[Stage Number]]&gt;=3,1,0)</f>
        <v>0</v>
      </c>
      <c r="O1872" s="2">
        <f>IF(LeadsData[[#This Row],[Stage Number]]&gt;=4,1,0)</f>
        <v>0</v>
      </c>
    </row>
    <row r="1873" spans="1:15" x14ac:dyDescent="0.25">
      <c r="A1873" t="s">
        <v>1913</v>
      </c>
      <c r="B1873" s="1">
        <v>45448</v>
      </c>
      <c r="C1873" t="s">
        <v>17</v>
      </c>
      <c r="D1873" t="s">
        <v>18</v>
      </c>
      <c r="E1873" t="s">
        <v>21</v>
      </c>
      <c r="F1873" t="s">
        <v>19</v>
      </c>
      <c r="G1873" t="s">
        <v>15</v>
      </c>
      <c r="K1873" cm="1">
        <f t="array" ref="K1873">_xlfn.SWITCH(LeadsData[[#This Row],[Funnel Stage Reached]],"Lead",1,"MQL",2,"SQL",3,"Customer",4)</f>
        <v>1</v>
      </c>
      <c r="L1873" t="str">
        <f>TEXT(LeadsData[[#This Row],[Signup Date]],"mmm-yyyy")</f>
        <v>Jun-2024</v>
      </c>
      <c r="M1873">
        <f>IF(LeadsData[[#This Row],[Stage Number]]&gt;=2,1,0)</f>
        <v>0</v>
      </c>
      <c r="N1873" s="2">
        <f>IF(LeadsData[[#This Row],[Stage Number]]&gt;=3,1,0)</f>
        <v>0</v>
      </c>
      <c r="O1873" s="2">
        <f>IF(LeadsData[[#This Row],[Stage Number]]&gt;=4,1,0)</f>
        <v>0</v>
      </c>
    </row>
    <row r="1874" spans="1:15" x14ac:dyDescent="0.25">
      <c r="A1874" t="s">
        <v>1914</v>
      </c>
      <c r="B1874" s="1">
        <v>45386</v>
      </c>
      <c r="C1874" t="s">
        <v>17</v>
      </c>
      <c r="D1874" t="s">
        <v>18</v>
      </c>
      <c r="E1874" t="s">
        <v>13</v>
      </c>
      <c r="F1874" t="s">
        <v>19</v>
      </c>
      <c r="G1874" t="s">
        <v>15</v>
      </c>
      <c r="K1874" cm="1">
        <f t="array" ref="K1874">_xlfn.SWITCH(LeadsData[[#This Row],[Funnel Stage Reached]],"Lead",1,"MQL",2,"SQL",3,"Customer",4)</f>
        <v>1</v>
      </c>
      <c r="L1874" t="str">
        <f>TEXT(LeadsData[[#This Row],[Signup Date]],"mmm-yyyy")</f>
        <v>Apr-2024</v>
      </c>
      <c r="M1874">
        <f>IF(LeadsData[[#This Row],[Stage Number]]&gt;=2,1,0)</f>
        <v>0</v>
      </c>
      <c r="N1874" s="2">
        <f>IF(LeadsData[[#This Row],[Stage Number]]&gt;=3,1,0)</f>
        <v>0</v>
      </c>
      <c r="O1874" s="2">
        <f>IF(LeadsData[[#This Row],[Stage Number]]&gt;=4,1,0)</f>
        <v>0</v>
      </c>
    </row>
    <row r="1875" spans="1:15" x14ac:dyDescent="0.25">
      <c r="A1875" t="s">
        <v>1915</v>
      </c>
      <c r="B1875" s="1">
        <v>45523</v>
      </c>
      <c r="C1875" t="s">
        <v>31</v>
      </c>
      <c r="D1875" t="s">
        <v>32</v>
      </c>
      <c r="E1875" t="s">
        <v>13</v>
      </c>
      <c r="F1875" t="s">
        <v>28</v>
      </c>
      <c r="G1875" t="s">
        <v>29</v>
      </c>
      <c r="K1875" cm="1">
        <f t="array" ref="K1875">_xlfn.SWITCH(LeadsData[[#This Row],[Funnel Stage Reached]],"Lead",1,"MQL",2,"SQL",3,"Customer",4)</f>
        <v>3</v>
      </c>
      <c r="L1875" t="str">
        <f>TEXT(LeadsData[[#This Row],[Signup Date]],"mmm-yyyy")</f>
        <v>Aug-2024</v>
      </c>
      <c r="M1875">
        <f>IF(LeadsData[[#This Row],[Stage Number]]&gt;=2,1,0)</f>
        <v>1</v>
      </c>
      <c r="N1875" s="2">
        <f>IF(LeadsData[[#This Row],[Stage Number]]&gt;=3,1,0)</f>
        <v>1</v>
      </c>
      <c r="O1875" s="2">
        <f>IF(LeadsData[[#This Row],[Stage Number]]&gt;=4,1,0)</f>
        <v>0</v>
      </c>
    </row>
    <row r="1876" spans="1:15" x14ac:dyDescent="0.25">
      <c r="A1876" t="s">
        <v>1916</v>
      </c>
      <c r="B1876" s="1">
        <v>45604</v>
      </c>
      <c r="C1876" t="s">
        <v>11</v>
      </c>
      <c r="D1876" t="s">
        <v>68</v>
      </c>
      <c r="E1876" t="s">
        <v>21</v>
      </c>
      <c r="F1876" t="s">
        <v>19</v>
      </c>
      <c r="G1876" t="s">
        <v>23</v>
      </c>
      <c r="K1876" cm="1">
        <f t="array" ref="K1876">_xlfn.SWITCH(LeadsData[[#This Row],[Funnel Stage Reached]],"Lead",1,"MQL",2,"SQL",3,"Customer",4)</f>
        <v>2</v>
      </c>
      <c r="L1876" t="str">
        <f>TEXT(LeadsData[[#This Row],[Signup Date]],"mmm-yyyy")</f>
        <v>Nov-2024</v>
      </c>
      <c r="M1876">
        <f>IF(LeadsData[[#This Row],[Stage Number]]&gt;=2,1,0)</f>
        <v>1</v>
      </c>
      <c r="N1876" s="2">
        <f>IF(LeadsData[[#This Row],[Stage Number]]&gt;=3,1,0)</f>
        <v>0</v>
      </c>
      <c r="O1876" s="2">
        <f>IF(LeadsData[[#This Row],[Stage Number]]&gt;=4,1,0)</f>
        <v>0</v>
      </c>
    </row>
    <row r="1877" spans="1:15" x14ac:dyDescent="0.25">
      <c r="A1877" t="s">
        <v>1917</v>
      </c>
      <c r="B1877" s="1">
        <v>45563</v>
      </c>
      <c r="C1877" t="s">
        <v>36</v>
      </c>
      <c r="D1877" t="s">
        <v>50</v>
      </c>
      <c r="E1877" t="s">
        <v>13</v>
      </c>
      <c r="F1877" t="s">
        <v>28</v>
      </c>
      <c r="G1877" t="s">
        <v>15</v>
      </c>
      <c r="K1877" cm="1">
        <f t="array" ref="K1877">_xlfn.SWITCH(LeadsData[[#This Row],[Funnel Stage Reached]],"Lead",1,"MQL",2,"SQL",3,"Customer",4)</f>
        <v>1</v>
      </c>
      <c r="L1877" t="str">
        <f>TEXT(LeadsData[[#This Row],[Signup Date]],"mmm-yyyy")</f>
        <v>Sep-2024</v>
      </c>
      <c r="M1877">
        <f>IF(LeadsData[[#This Row],[Stage Number]]&gt;=2,1,0)</f>
        <v>0</v>
      </c>
      <c r="N1877" s="2">
        <f>IF(LeadsData[[#This Row],[Stage Number]]&gt;=3,1,0)</f>
        <v>0</v>
      </c>
      <c r="O1877" s="2">
        <f>IF(LeadsData[[#This Row],[Stage Number]]&gt;=4,1,0)</f>
        <v>0</v>
      </c>
    </row>
    <row r="1878" spans="1:15" x14ac:dyDescent="0.25">
      <c r="A1878" t="s">
        <v>1918</v>
      </c>
      <c r="B1878" s="1">
        <v>45392</v>
      </c>
      <c r="C1878" t="s">
        <v>17</v>
      </c>
      <c r="D1878" t="s">
        <v>53</v>
      </c>
      <c r="E1878" t="s">
        <v>13</v>
      </c>
      <c r="F1878" t="s">
        <v>19</v>
      </c>
      <c r="G1878" t="s">
        <v>23</v>
      </c>
      <c r="K1878" cm="1">
        <f t="array" ref="K1878">_xlfn.SWITCH(LeadsData[[#This Row],[Funnel Stage Reached]],"Lead",1,"MQL",2,"SQL",3,"Customer",4)</f>
        <v>2</v>
      </c>
      <c r="L1878" t="str">
        <f>TEXT(LeadsData[[#This Row],[Signup Date]],"mmm-yyyy")</f>
        <v>Apr-2024</v>
      </c>
      <c r="M1878">
        <f>IF(LeadsData[[#This Row],[Stage Number]]&gt;=2,1,0)</f>
        <v>1</v>
      </c>
      <c r="N1878" s="2">
        <f>IF(LeadsData[[#This Row],[Stage Number]]&gt;=3,1,0)</f>
        <v>0</v>
      </c>
      <c r="O1878" s="2">
        <f>IF(LeadsData[[#This Row],[Stage Number]]&gt;=4,1,0)</f>
        <v>0</v>
      </c>
    </row>
    <row r="1879" spans="1:15" x14ac:dyDescent="0.25">
      <c r="A1879" t="s">
        <v>1919</v>
      </c>
      <c r="B1879" s="1">
        <v>45352</v>
      </c>
      <c r="C1879" t="s">
        <v>46</v>
      </c>
      <c r="D1879" t="s">
        <v>47</v>
      </c>
      <c r="E1879" t="s">
        <v>21</v>
      </c>
      <c r="F1879" t="s">
        <v>14</v>
      </c>
      <c r="G1879" t="s">
        <v>15</v>
      </c>
      <c r="K1879" cm="1">
        <f t="array" ref="K1879">_xlfn.SWITCH(LeadsData[[#This Row],[Funnel Stage Reached]],"Lead",1,"MQL",2,"SQL",3,"Customer",4)</f>
        <v>1</v>
      </c>
      <c r="L1879" t="str">
        <f>TEXT(LeadsData[[#This Row],[Signup Date]],"mmm-yyyy")</f>
        <v>Mar-2024</v>
      </c>
      <c r="M1879">
        <f>IF(LeadsData[[#This Row],[Stage Number]]&gt;=2,1,0)</f>
        <v>0</v>
      </c>
      <c r="N1879" s="2">
        <f>IF(LeadsData[[#This Row],[Stage Number]]&gt;=3,1,0)</f>
        <v>0</v>
      </c>
      <c r="O1879" s="2">
        <f>IF(LeadsData[[#This Row],[Stage Number]]&gt;=4,1,0)</f>
        <v>0</v>
      </c>
    </row>
    <row r="1880" spans="1:15" x14ac:dyDescent="0.25">
      <c r="A1880" t="s">
        <v>1920</v>
      </c>
      <c r="B1880" s="1">
        <v>45461</v>
      </c>
      <c r="C1880" t="s">
        <v>31</v>
      </c>
      <c r="D1880" t="s">
        <v>34</v>
      </c>
      <c r="E1880" t="s">
        <v>13</v>
      </c>
      <c r="F1880" t="s">
        <v>14</v>
      </c>
      <c r="G1880" t="s">
        <v>15</v>
      </c>
      <c r="K1880" cm="1">
        <f t="array" ref="K1880">_xlfn.SWITCH(LeadsData[[#This Row],[Funnel Stage Reached]],"Lead",1,"MQL",2,"SQL",3,"Customer",4)</f>
        <v>1</v>
      </c>
      <c r="L1880" t="str">
        <f>TEXT(LeadsData[[#This Row],[Signup Date]],"mmm-yyyy")</f>
        <v>Jun-2024</v>
      </c>
      <c r="M1880">
        <f>IF(LeadsData[[#This Row],[Stage Number]]&gt;=2,1,0)</f>
        <v>0</v>
      </c>
      <c r="N1880" s="2">
        <f>IF(LeadsData[[#This Row],[Stage Number]]&gt;=3,1,0)</f>
        <v>0</v>
      </c>
      <c r="O1880" s="2">
        <f>IF(LeadsData[[#This Row],[Stage Number]]&gt;=4,1,0)</f>
        <v>0</v>
      </c>
    </row>
    <row r="1881" spans="1:15" x14ac:dyDescent="0.25">
      <c r="A1881" t="s">
        <v>1921</v>
      </c>
      <c r="B1881" s="1">
        <v>45570</v>
      </c>
      <c r="C1881" t="s">
        <v>17</v>
      </c>
      <c r="D1881" t="s">
        <v>18</v>
      </c>
      <c r="E1881" t="s">
        <v>13</v>
      </c>
      <c r="F1881" t="s">
        <v>14</v>
      </c>
      <c r="G1881" t="s">
        <v>15</v>
      </c>
      <c r="K1881" cm="1">
        <f t="array" ref="K1881">_xlfn.SWITCH(LeadsData[[#This Row],[Funnel Stage Reached]],"Lead",1,"MQL",2,"SQL",3,"Customer",4)</f>
        <v>1</v>
      </c>
      <c r="L1881" t="str">
        <f>TEXT(LeadsData[[#This Row],[Signup Date]],"mmm-yyyy")</f>
        <v>Oct-2024</v>
      </c>
      <c r="M1881">
        <f>IF(LeadsData[[#This Row],[Stage Number]]&gt;=2,1,0)</f>
        <v>0</v>
      </c>
      <c r="N1881" s="2">
        <f>IF(LeadsData[[#This Row],[Stage Number]]&gt;=3,1,0)</f>
        <v>0</v>
      </c>
      <c r="O1881" s="2">
        <f>IF(LeadsData[[#This Row],[Stage Number]]&gt;=4,1,0)</f>
        <v>0</v>
      </c>
    </row>
    <row r="1882" spans="1:15" x14ac:dyDescent="0.25">
      <c r="A1882" t="s">
        <v>1922</v>
      </c>
      <c r="B1882" s="1">
        <v>45634</v>
      </c>
      <c r="C1882" t="s">
        <v>25</v>
      </c>
      <c r="D1882" t="s">
        <v>26</v>
      </c>
      <c r="E1882" t="s">
        <v>21</v>
      </c>
      <c r="F1882" t="s">
        <v>22</v>
      </c>
      <c r="G1882" t="s">
        <v>29</v>
      </c>
      <c r="K1882" cm="1">
        <f t="array" ref="K1882">_xlfn.SWITCH(LeadsData[[#This Row],[Funnel Stage Reached]],"Lead",1,"MQL",2,"SQL",3,"Customer",4)</f>
        <v>3</v>
      </c>
      <c r="L1882" t="str">
        <f>TEXT(LeadsData[[#This Row],[Signup Date]],"mmm-yyyy")</f>
        <v>Dec-2024</v>
      </c>
      <c r="M1882">
        <f>IF(LeadsData[[#This Row],[Stage Number]]&gt;=2,1,0)</f>
        <v>1</v>
      </c>
      <c r="N1882" s="2">
        <f>IF(LeadsData[[#This Row],[Stage Number]]&gt;=3,1,0)</f>
        <v>1</v>
      </c>
      <c r="O1882" s="2">
        <f>IF(LeadsData[[#This Row],[Stage Number]]&gt;=4,1,0)</f>
        <v>0</v>
      </c>
    </row>
    <row r="1883" spans="1:15" x14ac:dyDescent="0.25">
      <c r="A1883" t="s">
        <v>1923</v>
      </c>
      <c r="B1883" s="1">
        <v>45607</v>
      </c>
      <c r="C1883" t="s">
        <v>25</v>
      </c>
      <c r="D1883" t="s">
        <v>26</v>
      </c>
      <c r="E1883" t="s">
        <v>13</v>
      </c>
      <c r="F1883" t="s">
        <v>19</v>
      </c>
      <c r="G1883" t="s">
        <v>29</v>
      </c>
      <c r="K1883" cm="1">
        <f t="array" ref="K1883">_xlfn.SWITCH(LeadsData[[#This Row],[Funnel Stage Reached]],"Lead",1,"MQL",2,"SQL",3,"Customer",4)</f>
        <v>3</v>
      </c>
      <c r="L1883" t="str">
        <f>TEXT(LeadsData[[#This Row],[Signup Date]],"mmm-yyyy")</f>
        <v>Nov-2024</v>
      </c>
      <c r="M1883">
        <f>IF(LeadsData[[#This Row],[Stage Number]]&gt;=2,1,0)</f>
        <v>1</v>
      </c>
      <c r="N1883" s="2">
        <f>IF(LeadsData[[#This Row],[Stage Number]]&gt;=3,1,0)</f>
        <v>1</v>
      </c>
      <c r="O1883" s="2">
        <f>IF(LeadsData[[#This Row],[Stage Number]]&gt;=4,1,0)</f>
        <v>0</v>
      </c>
    </row>
    <row r="1884" spans="1:15" x14ac:dyDescent="0.25">
      <c r="A1884" t="s">
        <v>1924</v>
      </c>
      <c r="B1884" s="1">
        <v>45331</v>
      </c>
      <c r="C1884" t="s">
        <v>46</v>
      </c>
      <c r="D1884" t="s">
        <v>47</v>
      </c>
      <c r="E1884" t="s">
        <v>21</v>
      </c>
      <c r="F1884" t="s">
        <v>19</v>
      </c>
      <c r="G1884" t="s">
        <v>15</v>
      </c>
      <c r="K1884" cm="1">
        <f t="array" ref="K1884">_xlfn.SWITCH(LeadsData[[#This Row],[Funnel Stage Reached]],"Lead",1,"MQL",2,"SQL",3,"Customer",4)</f>
        <v>1</v>
      </c>
      <c r="L1884" t="str">
        <f>TEXT(LeadsData[[#This Row],[Signup Date]],"mmm-yyyy")</f>
        <v>Feb-2024</v>
      </c>
      <c r="M1884">
        <f>IF(LeadsData[[#This Row],[Stage Number]]&gt;=2,1,0)</f>
        <v>0</v>
      </c>
      <c r="N1884" s="2">
        <f>IF(LeadsData[[#This Row],[Stage Number]]&gt;=3,1,0)</f>
        <v>0</v>
      </c>
      <c r="O1884" s="2">
        <f>IF(LeadsData[[#This Row],[Stage Number]]&gt;=4,1,0)</f>
        <v>0</v>
      </c>
    </row>
    <row r="1885" spans="1:15" x14ac:dyDescent="0.25">
      <c r="A1885" t="s">
        <v>1925</v>
      </c>
      <c r="B1885" s="1">
        <v>45436</v>
      </c>
      <c r="C1885" t="s">
        <v>46</v>
      </c>
      <c r="D1885" t="s">
        <v>56</v>
      </c>
      <c r="E1885" t="s">
        <v>21</v>
      </c>
      <c r="F1885" t="s">
        <v>19</v>
      </c>
      <c r="G1885" t="s">
        <v>23</v>
      </c>
      <c r="K1885" cm="1">
        <f t="array" ref="K1885">_xlfn.SWITCH(LeadsData[[#This Row],[Funnel Stage Reached]],"Lead",1,"MQL",2,"SQL",3,"Customer",4)</f>
        <v>2</v>
      </c>
      <c r="L1885" t="str">
        <f>TEXT(LeadsData[[#This Row],[Signup Date]],"mmm-yyyy")</f>
        <v>May-2024</v>
      </c>
      <c r="M1885">
        <f>IF(LeadsData[[#This Row],[Stage Number]]&gt;=2,1,0)</f>
        <v>1</v>
      </c>
      <c r="N1885" s="2">
        <f>IF(LeadsData[[#This Row],[Stage Number]]&gt;=3,1,0)</f>
        <v>0</v>
      </c>
      <c r="O1885" s="2">
        <f>IF(LeadsData[[#This Row],[Stage Number]]&gt;=4,1,0)</f>
        <v>0</v>
      </c>
    </row>
    <row r="1886" spans="1:15" x14ac:dyDescent="0.25">
      <c r="A1886" t="s">
        <v>1926</v>
      </c>
      <c r="B1886" s="1">
        <v>45601</v>
      </c>
      <c r="C1886" t="s">
        <v>36</v>
      </c>
      <c r="D1886" t="s">
        <v>37</v>
      </c>
      <c r="E1886" t="s">
        <v>13</v>
      </c>
      <c r="F1886" t="s">
        <v>22</v>
      </c>
      <c r="G1886" t="s">
        <v>15</v>
      </c>
      <c r="K1886" cm="1">
        <f t="array" ref="K1886">_xlfn.SWITCH(LeadsData[[#This Row],[Funnel Stage Reached]],"Lead",1,"MQL",2,"SQL",3,"Customer",4)</f>
        <v>1</v>
      </c>
      <c r="L1886" t="str">
        <f>TEXT(LeadsData[[#This Row],[Signup Date]],"mmm-yyyy")</f>
        <v>Nov-2024</v>
      </c>
      <c r="M1886">
        <f>IF(LeadsData[[#This Row],[Stage Number]]&gt;=2,1,0)</f>
        <v>0</v>
      </c>
      <c r="N1886" s="2">
        <f>IF(LeadsData[[#This Row],[Stage Number]]&gt;=3,1,0)</f>
        <v>0</v>
      </c>
      <c r="O1886" s="2">
        <f>IF(LeadsData[[#This Row],[Stage Number]]&gt;=4,1,0)</f>
        <v>0</v>
      </c>
    </row>
    <row r="1887" spans="1:15" x14ac:dyDescent="0.25">
      <c r="A1887" t="s">
        <v>1927</v>
      </c>
      <c r="B1887" s="1">
        <v>45301</v>
      </c>
      <c r="C1887" t="s">
        <v>31</v>
      </c>
      <c r="D1887" t="s">
        <v>34</v>
      </c>
      <c r="E1887" t="s">
        <v>48</v>
      </c>
      <c r="F1887" t="s">
        <v>22</v>
      </c>
      <c r="G1887" t="s">
        <v>23</v>
      </c>
      <c r="K1887" cm="1">
        <f t="array" ref="K1887">_xlfn.SWITCH(LeadsData[[#This Row],[Funnel Stage Reached]],"Lead",1,"MQL",2,"SQL",3,"Customer",4)</f>
        <v>2</v>
      </c>
      <c r="L1887" t="str">
        <f>TEXT(LeadsData[[#This Row],[Signup Date]],"mmm-yyyy")</f>
        <v>Jan-2024</v>
      </c>
      <c r="M1887">
        <f>IF(LeadsData[[#This Row],[Stage Number]]&gt;=2,1,0)</f>
        <v>1</v>
      </c>
      <c r="N1887" s="2">
        <f>IF(LeadsData[[#This Row],[Stage Number]]&gt;=3,1,0)</f>
        <v>0</v>
      </c>
      <c r="O1887" s="2">
        <f>IF(LeadsData[[#This Row],[Stage Number]]&gt;=4,1,0)</f>
        <v>0</v>
      </c>
    </row>
    <row r="1888" spans="1:15" x14ac:dyDescent="0.25">
      <c r="A1888" t="s">
        <v>1928</v>
      </c>
      <c r="B1888" s="1">
        <v>45480</v>
      </c>
      <c r="C1888" t="s">
        <v>31</v>
      </c>
      <c r="D1888" t="s">
        <v>32</v>
      </c>
      <c r="E1888" t="s">
        <v>48</v>
      </c>
      <c r="F1888" t="s">
        <v>19</v>
      </c>
      <c r="G1888" t="s">
        <v>23</v>
      </c>
      <c r="K1888" cm="1">
        <f t="array" ref="K1888">_xlfn.SWITCH(LeadsData[[#This Row],[Funnel Stage Reached]],"Lead",1,"MQL",2,"SQL",3,"Customer",4)</f>
        <v>2</v>
      </c>
      <c r="L1888" t="str">
        <f>TEXT(LeadsData[[#This Row],[Signup Date]],"mmm-yyyy")</f>
        <v>Jul-2024</v>
      </c>
      <c r="M1888">
        <f>IF(LeadsData[[#This Row],[Stage Number]]&gt;=2,1,0)</f>
        <v>1</v>
      </c>
      <c r="N1888" s="2">
        <f>IF(LeadsData[[#This Row],[Stage Number]]&gt;=3,1,0)</f>
        <v>0</v>
      </c>
      <c r="O1888" s="2">
        <f>IF(LeadsData[[#This Row],[Stage Number]]&gt;=4,1,0)</f>
        <v>0</v>
      </c>
    </row>
    <row r="1889" spans="1:15" x14ac:dyDescent="0.25">
      <c r="A1889" t="s">
        <v>1929</v>
      </c>
      <c r="B1889" s="1">
        <v>45628</v>
      </c>
      <c r="C1889" t="s">
        <v>36</v>
      </c>
      <c r="D1889" t="s">
        <v>50</v>
      </c>
      <c r="E1889" t="s">
        <v>13</v>
      </c>
      <c r="F1889" t="s">
        <v>22</v>
      </c>
      <c r="G1889" t="s">
        <v>15</v>
      </c>
      <c r="K1889" cm="1">
        <f t="array" ref="K1889">_xlfn.SWITCH(LeadsData[[#This Row],[Funnel Stage Reached]],"Lead",1,"MQL",2,"SQL",3,"Customer",4)</f>
        <v>1</v>
      </c>
      <c r="L1889" t="str">
        <f>TEXT(LeadsData[[#This Row],[Signup Date]],"mmm-yyyy")</f>
        <v>Dec-2024</v>
      </c>
      <c r="M1889">
        <f>IF(LeadsData[[#This Row],[Stage Number]]&gt;=2,1,0)</f>
        <v>0</v>
      </c>
      <c r="N1889" s="2">
        <f>IF(LeadsData[[#This Row],[Stage Number]]&gt;=3,1,0)</f>
        <v>0</v>
      </c>
      <c r="O1889" s="2">
        <f>IF(LeadsData[[#This Row],[Stage Number]]&gt;=4,1,0)</f>
        <v>0</v>
      </c>
    </row>
    <row r="1890" spans="1:15" x14ac:dyDescent="0.25">
      <c r="A1890" t="s">
        <v>1930</v>
      </c>
      <c r="B1890" s="1">
        <v>45547</v>
      </c>
      <c r="C1890" t="s">
        <v>25</v>
      </c>
      <c r="D1890" t="s">
        <v>26</v>
      </c>
      <c r="E1890" t="s">
        <v>13</v>
      </c>
      <c r="F1890" t="s">
        <v>19</v>
      </c>
      <c r="G1890" t="s">
        <v>15</v>
      </c>
      <c r="K1890" cm="1">
        <f t="array" ref="K1890">_xlfn.SWITCH(LeadsData[[#This Row],[Funnel Stage Reached]],"Lead",1,"MQL",2,"SQL",3,"Customer",4)</f>
        <v>1</v>
      </c>
      <c r="L1890" t="str">
        <f>TEXT(LeadsData[[#This Row],[Signup Date]],"mmm-yyyy")</f>
        <v>Sep-2024</v>
      </c>
      <c r="M1890">
        <f>IF(LeadsData[[#This Row],[Stage Number]]&gt;=2,1,0)</f>
        <v>0</v>
      </c>
      <c r="N1890" s="2">
        <f>IF(LeadsData[[#This Row],[Stage Number]]&gt;=3,1,0)</f>
        <v>0</v>
      </c>
      <c r="O1890" s="2">
        <f>IF(LeadsData[[#This Row],[Stage Number]]&gt;=4,1,0)</f>
        <v>0</v>
      </c>
    </row>
    <row r="1891" spans="1:15" x14ac:dyDescent="0.25">
      <c r="A1891" t="s">
        <v>1931</v>
      </c>
      <c r="B1891" s="1">
        <v>45583</v>
      </c>
      <c r="C1891" t="s">
        <v>36</v>
      </c>
      <c r="D1891" t="s">
        <v>37</v>
      </c>
      <c r="E1891" t="s">
        <v>21</v>
      </c>
      <c r="F1891" t="s">
        <v>22</v>
      </c>
      <c r="G1891" t="s">
        <v>23</v>
      </c>
      <c r="K1891" cm="1">
        <f t="array" ref="K1891">_xlfn.SWITCH(LeadsData[[#This Row],[Funnel Stage Reached]],"Lead",1,"MQL",2,"SQL",3,"Customer",4)</f>
        <v>2</v>
      </c>
      <c r="L1891" t="str">
        <f>TEXT(LeadsData[[#This Row],[Signup Date]],"mmm-yyyy")</f>
        <v>Oct-2024</v>
      </c>
      <c r="M1891">
        <f>IF(LeadsData[[#This Row],[Stage Number]]&gt;=2,1,0)</f>
        <v>1</v>
      </c>
      <c r="N1891" s="2">
        <f>IF(LeadsData[[#This Row],[Stage Number]]&gt;=3,1,0)</f>
        <v>0</v>
      </c>
      <c r="O1891" s="2">
        <f>IF(LeadsData[[#This Row],[Stage Number]]&gt;=4,1,0)</f>
        <v>0</v>
      </c>
    </row>
    <row r="1892" spans="1:15" x14ac:dyDescent="0.25">
      <c r="A1892" t="s">
        <v>1932</v>
      </c>
      <c r="B1892" s="1">
        <v>45345</v>
      </c>
      <c r="C1892" t="s">
        <v>25</v>
      </c>
      <c r="D1892" t="s">
        <v>26</v>
      </c>
      <c r="E1892" t="s">
        <v>48</v>
      </c>
      <c r="F1892" t="s">
        <v>19</v>
      </c>
      <c r="G1892" t="s">
        <v>23</v>
      </c>
      <c r="K1892" cm="1">
        <f t="array" ref="K1892">_xlfn.SWITCH(LeadsData[[#This Row],[Funnel Stage Reached]],"Lead",1,"MQL",2,"SQL",3,"Customer",4)</f>
        <v>2</v>
      </c>
      <c r="L1892" t="str">
        <f>TEXT(LeadsData[[#This Row],[Signup Date]],"mmm-yyyy")</f>
        <v>Feb-2024</v>
      </c>
      <c r="M1892">
        <f>IF(LeadsData[[#This Row],[Stage Number]]&gt;=2,1,0)</f>
        <v>1</v>
      </c>
      <c r="N1892" s="2">
        <f>IF(LeadsData[[#This Row],[Stage Number]]&gt;=3,1,0)</f>
        <v>0</v>
      </c>
      <c r="O1892" s="2">
        <f>IF(LeadsData[[#This Row],[Stage Number]]&gt;=4,1,0)</f>
        <v>0</v>
      </c>
    </row>
    <row r="1893" spans="1:15" x14ac:dyDescent="0.25">
      <c r="A1893" t="s">
        <v>1933</v>
      </c>
      <c r="B1893" s="1">
        <v>45375</v>
      </c>
      <c r="C1893" t="s">
        <v>46</v>
      </c>
      <c r="D1893" t="s">
        <v>47</v>
      </c>
      <c r="E1893" t="s">
        <v>13</v>
      </c>
      <c r="F1893" t="s">
        <v>19</v>
      </c>
      <c r="G1893" t="s">
        <v>23</v>
      </c>
      <c r="K1893" cm="1">
        <f t="array" ref="K1893">_xlfn.SWITCH(LeadsData[[#This Row],[Funnel Stage Reached]],"Lead",1,"MQL",2,"SQL",3,"Customer",4)</f>
        <v>2</v>
      </c>
      <c r="L1893" t="str">
        <f>TEXT(LeadsData[[#This Row],[Signup Date]],"mmm-yyyy")</f>
        <v>Mar-2024</v>
      </c>
      <c r="M1893">
        <f>IF(LeadsData[[#This Row],[Stage Number]]&gt;=2,1,0)</f>
        <v>1</v>
      </c>
      <c r="N1893" s="2">
        <f>IF(LeadsData[[#This Row],[Stage Number]]&gt;=3,1,0)</f>
        <v>0</v>
      </c>
      <c r="O1893" s="2">
        <f>IF(LeadsData[[#This Row],[Stage Number]]&gt;=4,1,0)</f>
        <v>0</v>
      </c>
    </row>
    <row r="1894" spans="1:15" x14ac:dyDescent="0.25">
      <c r="A1894" t="s">
        <v>1934</v>
      </c>
      <c r="B1894" s="1">
        <v>45294</v>
      </c>
      <c r="C1894" t="s">
        <v>46</v>
      </c>
      <c r="D1894" t="s">
        <v>47</v>
      </c>
      <c r="E1894" t="s">
        <v>13</v>
      </c>
      <c r="F1894" t="s">
        <v>19</v>
      </c>
      <c r="G1894" t="s">
        <v>42</v>
      </c>
      <c r="H1894">
        <v>43</v>
      </c>
      <c r="I1894" t="s">
        <v>43</v>
      </c>
      <c r="J1894">
        <v>1333.74</v>
      </c>
      <c r="K1894" cm="1">
        <f t="array" ref="K1894">_xlfn.SWITCH(LeadsData[[#This Row],[Funnel Stage Reached]],"Lead",1,"MQL",2,"SQL",3,"Customer",4)</f>
        <v>4</v>
      </c>
      <c r="L1894" t="str">
        <f>TEXT(LeadsData[[#This Row],[Signup Date]],"mmm-yyyy")</f>
        <v>Jan-2024</v>
      </c>
      <c r="M1894">
        <f>IF(LeadsData[[#This Row],[Stage Number]]&gt;=2,1,0)</f>
        <v>1</v>
      </c>
      <c r="N1894" s="2">
        <f>IF(LeadsData[[#This Row],[Stage Number]]&gt;=3,1,0)</f>
        <v>1</v>
      </c>
      <c r="O1894" s="2">
        <f>IF(LeadsData[[#This Row],[Stage Number]]&gt;=4,1,0)</f>
        <v>1</v>
      </c>
    </row>
    <row r="1895" spans="1:15" x14ac:dyDescent="0.25">
      <c r="A1895" t="s">
        <v>1935</v>
      </c>
      <c r="B1895" s="1">
        <v>45497</v>
      </c>
      <c r="C1895" t="s">
        <v>36</v>
      </c>
      <c r="D1895" t="s">
        <v>50</v>
      </c>
      <c r="E1895" t="s">
        <v>13</v>
      </c>
      <c r="F1895" t="s">
        <v>19</v>
      </c>
      <c r="G1895" t="s">
        <v>15</v>
      </c>
      <c r="K1895" cm="1">
        <f t="array" ref="K1895">_xlfn.SWITCH(LeadsData[[#This Row],[Funnel Stage Reached]],"Lead",1,"MQL",2,"SQL",3,"Customer",4)</f>
        <v>1</v>
      </c>
      <c r="L1895" t="str">
        <f>TEXT(LeadsData[[#This Row],[Signup Date]],"mmm-yyyy")</f>
        <v>Jul-2024</v>
      </c>
      <c r="M1895">
        <f>IF(LeadsData[[#This Row],[Stage Number]]&gt;=2,1,0)</f>
        <v>0</v>
      </c>
      <c r="N1895" s="2">
        <f>IF(LeadsData[[#This Row],[Stage Number]]&gt;=3,1,0)</f>
        <v>0</v>
      </c>
      <c r="O1895" s="2">
        <f>IF(LeadsData[[#This Row],[Stage Number]]&gt;=4,1,0)</f>
        <v>0</v>
      </c>
    </row>
    <row r="1896" spans="1:15" x14ac:dyDescent="0.25">
      <c r="A1896" t="s">
        <v>1936</v>
      </c>
      <c r="B1896" s="1">
        <v>45601</v>
      </c>
      <c r="C1896" t="s">
        <v>31</v>
      </c>
      <c r="D1896" t="s">
        <v>32</v>
      </c>
      <c r="E1896" t="s">
        <v>13</v>
      </c>
      <c r="F1896" t="s">
        <v>19</v>
      </c>
      <c r="G1896" t="s">
        <v>15</v>
      </c>
      <c r="K1896" cm="1">
        <f t="array" ref="K1896">_xlfn.SWITCH(LeadsData[[#This Row],[Funnel Stage Reached]],"Lead",1,"MQL",2,"SQL",3,"Customer",4)</f>
        <v>1</v>
      </c>
      <c r="L1896" t="str">
        <f>TEXT(LeadsData[[#This Row],[Signup Date]],"mmm-yyyy")</f>
        <v>Nov-2024</v>
      </c>
      <c r="M1896">
        <f>IF(LeadsData[[#This Row],[Stage Number]]&gt;=2,1,0)</f>
        <v>0</v>
      </c>
      <c r="N1896" s="2">
        <f>IF(LeadsData[[#This Row],[Stage Number]]&gt;=3,1,0)</f>
        <v>0</v>
      </c>
      <c r="O1896" s="2">
        <f>IF(LeadsData[[#This Row],[Stage Number]]&gt;=4,1,0)</f>
        <v>0</v>
      </c>
    </row>
    <row r="1897" spans="1:15" x14ac:dyDescent="0.25">
      <c r="A1897" t="s">
        <v>1937</v>
      </c>
      <c r="B1897" s="1">
        <v>45355</v>
      </c>
      <c r="C1897" t="s">
        <v>36</v>
      </c>
      <c r="D1897" t="s">
        <v>37</v>
      </c>
      <c r="E1897" t="s">
        <v>21</v>
      </c>
      <c r="F1897" t="s">
        <v>22</v>
      </c>
      <c r="G1897" t="s">
        <v>29</v>
      </c>
      <c r="K1897" cm="1">
        <f t="array" ref="K1897">_xlfn.SWITCH(LeadsData[[#This Row],[Funnel Stage Reached]],"Lead",1,"MQL",2,"SQL",3,"Customer",4)</f>
        <v>3</v>
      </c>
      <c r="L1897" t="str">
        <f>TEXT(LeadsData[[#This Row],[Signup Date]],"mmm-yyyy")</f>
        <v>Mar-2024</v>
      </c>
      <c r="M1897">
        <f>IF(LeadsData[[#This Row],[Stage Number]]&gt;=2,1,0)</f>
        <v>1</v>
      </c>
      <c r="N1897" s="2">
        <f>IF(LeadsData[[#This Row],[Stage Number]]&gt;=3,1,0)</f>
        <v>1</v>
      </c>
      <c r="O1897" s="2">
        <f>IF(LeadsData[[#This Row],[Stage Number]]&gt;=4,1,0)</f>
        <v>0</v>
      </c>
    </row>
    <row r="1898" spans="1:15" x14ac:dyDescent="0.25">
      <c r="A1898" t="s">
        <v>1938</v>
      </c>
      <c r="B1898" s="1">
        <v>45310</v>
      </c>
      <c r="C1898" t="s">
        <v>25</v>
      </c>
      <c r="D1898" t="s">
        <v>26</v>
      </c>
      <c r="E1898" t="s">
        <v>13</v>
      </c>
      <c r="F1898" t="s">
        <v>19</v>
      </c>
      <c r="G1898" t="s">
        <v>23</v>
      </c>
      <c r="K1898" cm="1">
        <f t="array" ref="K1898">_xlfn.SWITCH(LeadsData[[#This Row],[Funnel Stage Reached]],"Lead",1,"MQL",2,"SQL",3,"Customer",4)</f>
        <v>2</v>
      </c>
      <c r="L1898" t="str">
        <f>TEXT(LeadsData[[#This Row],[Signup Date]],"mmm-yyyy")</f>
        <v>Jan-2024</v>
      </c>
      <c r="M1898">
        <f>IF(LeadsData[[#This Row],[Stage Number]]&gt;=2,1,0)</f>
        <v>1</v>
      </c>
      <c r="N1898" s="2">
        <f>IF(LeadsData[[#This Row],[Stage Number]]&gt;=3,1,0)</f>
        <v>0</v>
      </c>
      <c r="O1898" s="2">
        <f>IF(LeadsData[[#This Row],[Stage Number]]&gt;=4,1,0)</f>
        <v>0</v>
      </c>
    </row>
    <row r="1899" spans="1:15" x14ac:dyDescent="0.25">
      <c r="A1899" t="s">
        <v>1939</v>
      </c>
      <c r="B1899" s="1">
        <v>45418</v>
      </c>
      <c r="C1899" t="s">
        <v>11</v>
      </c>
      <c r="D1899" t="s">
        <v>79</v>
      </c>
      <c r="E1899" t="s">
        <v>21</v>
      </c>
      <c r="F1899" t="s">
        <v>14</v>
      </c>
      <c r="G1899" t="s">
        <v>15</v>
      </c>
      <c r="K1899" cm="1">
        <f t="array" ref="K1899">_xlfn.SWITCH(LeadsData[[#This Row],[Funnel Stage Reached]],"Lead",1,"MQL",2,"SQL",3,"Customer",4)</f>
        <v>1</v>
      </c>
      <c r="L1899" t="str">
        <f>TEXT(LeadsData[[#This Row],[Signup Date]],"mmm-yyyy")</f>
        <v>May-2024</v>
      </c>
      <c r="M1899">
        <f>IF(LeadsData[[#This Row],[Stage Number]]&gt;=2,1,0)</f>
        <v>0</v>
      </c>
      <c r="N1899" s="2">
        <f>IF(LeadsData[[#This Row],[Stage Number]]&gt;=3,1,0)</f>
        <v>0</v>
      </c>
      <c r="O1899" s="2">
        <f>IF(LeadsData[[#This Row],[Stage Number]]&gt;=4,1,0)</f>
        <v>0</v>
      </c>
    </row>
    <row r="1900" spans="1:15" x14ac:dyDescent="0.25">
      <c r="A1900" t="s">
        <v>1940</v>
      </c>
      <c r="B1900" s="1">
        <v>45372</v>
      </c>
      <c r="C1900" t="s">
        <v>17</v>
      </c>
      <c r="D1900" t="s">
        <v>18</v>
      </c>
      <c r="E1900" t="s">
        <v>13</v>
      </c>
      <c r="F1900" t="s">
        <v>28</v>
      </c>
      <c r="G1900" t="s">
        <v>15</v>
      </c>
      <c r="K1900" cm="1">
        <f t="array" ref="K1900">_xlfn.SWITCH(LeadsData[[#This Row],[Funnel Stage Reached]],"Lead",1,"MQL",2,"SQL",3,"Customer",4)</f>
        <v>1</v>
      </c>
      <c r="L1900" t="str">
        <f>TEXT(LeadsData[[#This Row],[Signup Date]],"mmm-yyyy")</f>
        <v>Mar-2024</v>
      </c>
      <c r="M1900">
        <f>IF(LeadsData[[#This Row],[Stage Number]]&gt;=2,1,0)</f>
        <v>0</v>
      </c>
      <c r="N1900" s="2">
        <f>IF(LeadsData[[#This Row],[Stage Number]]&gt;=3,1,0)</f>
        <v>0</v>
      </c>
      <c r="O1900" s="2">
        <f>IF(LeadsData[[#This Row],[Stage Number]]&gt;=4,1,0)</f>
        <v>0</v>
      </c>
    </row>
    <row r="1901" spans="1:15" x14ac:dyDescent="0.25">
      <c r="A1901" t="s">
        <v>1941</v>
      </c>
      <c r="B1901" s="1">
        <v>45359</v>
      </c>
      <c r="C1901" t="s">
        <v>25</v>
      </c>
      <c r="D1901" t="s">
        <v>26</v>
      </c>
      <c r="E1901" t="s">
        <v>13</v>
      </c>
      <c r="F1901" t="s">
        <v>14</v>
      </c>
      <c r="G1901" t="s">
        <v>15</v>
      </c>
      <c r="K1901" cm="1">
        <f t="array" ref="K1901">_xlfn.SWITCH(LeadsData[[#This Row],[Funnel Stage Reached]],"Lead",1,"MQL",2,"SQL",3,"Customer",4)</f>
        <v>1</v>
      </c>
      <c r="L1901" t="str">
        <f>TEXT(LeadsData[[#This Row],[Signup Date]],"mmm-yyyy")</f>
        <v>Mar-2024</v>
      </c>
      <c r="M1901">
        <f>IF(LeadsData[[#This Row],[Stage Number]]&gt;=2,1,0)</f>
        <v>0</v>
      </c>
      <c r="N1901" s="2">
        <f>IF(LeadsData[[#This Row],[Stage Number]]&gt;=3,1,0)</f>
        <v>0</v>
      </c>
      <c r="O1901" s="2">
        <f>IF(LeadsData[[#This Row],[Stage Number]]&gt;=4,1,0)</f>
        <v>0</v>
      </c>
    </row>
    <row r="1902" spans="1:15" x14ac:dyDescent="0.25">
      <c r="A1902" t="s">
        <v>1942</v>
      </c>
      <c r="B1902" s="1">
        <v>45391</v>
      </c>
      <c r="C1902" t="s">
        <v>31</v>
      </c>
      <c r="D1902" t="s">
        <v>32</v>
      </c>
      <c r="E1902" t="s">
        <v>48</v>
      </c>
      <c r="F1902" t="s">
        <v>22</v>
      </c>
      <c r="G1902" t="s">
        <v>15</v>
      </c>
      <c r="K1902" cm="1">
        <f t="array" ref="K1902">_xlfn.SWITCH(LeadsData[[#This Row],[Funnel Stage Reached]],"Lead",1,"MQL",2,"SQL",3,"Customer",4)</f>
        <v>1</v>
      </c>
      <c r="L1902" t="str">
        <f>TEXT(LeadsData[[#This Row],[Signup Date]],"mmm-yyyy")</f>
        <v>Apr-2024</v>
      </c>
      <c r="M1902">
        <f>IF(LeadsData[[#This Row],[Stage Number]]&gt;=2,1,0)</f>
        <v>0</v>
      </c>
      <c r="N1902" s="2">
        <f>IF(LeadsData[[#This Row],[Stage Number]]&gt;=3,1,0)</f>
        <v>0</v>
      </c>
      <c r="O1902" s="2">
        <f>IF(LeadsData[[#This Row],[Stage Number]]&gt;=4,1,0)</f>
        <v>0</v>
      </c>
    </row>
    <row r="1903" spans="1:15" x14ac:dyDescent="0.25">
      <c r="A1903" t="s">
        <v>1943</v>
      </c>
      <c r="B1903" s="1">
        <v>45554</v>
      </c>
      <c r="C1903" t="s">
        <v>46</v>
      </c>
      <c r="D1903" t="s">
        <v>56</v>
      </c>
      <c r="E1903" t="s">
        <v>13</v>
      </c>
      <c r="F1903" t="s">
        <v>14</v>
      </c>
      <c r="G1903" t="s">
        <v>23</v>
      </c>
      <c r="K1903" cm="1">
        <f t="array" ref="K1903">_xlfn.SWITCH(LeadsData[[#This Row],[Funnel Stage Reached]],"Lead",1,"MQL",2,"SQL",3,"Customer",4)</f>
        <v>2</v>
      </c>
      <c r="L1903" t="str">
        <f>TEXT(LeadsData[[#This Row],[Signup Date]],"mmm-yyyy")</f>
        <v>Sep-2024</v>
      </c>
      <c r="M1903">
        <f>IF(LeadsData[[#This Row],[Stage Number]]&gt;=2,1,0)</f>
        <v>1</v>
      </c>
      <c r="N1903" s="2">
        <f>IF(LeadsData[[#This Row],[Stage Number]]&gt;=3,1,0)</f>
        <v>0</v>
      </c>
      <c r="O1903" s="2">
        <f>IF(LeadsData[[#This Row],[Stage Number]]&gt;=4,1,0)</f>
        <v>0</v>
      </c>
    </row>
    <row r="1904" spans="1:15" x14ac:dyDescent="0.25">
      <c r="A1904" t="s">
        <v>1944</v>
      </c>
      <c r="B1904" s="1">
        <v>45607</v>
      </c>
      <c r="C1904" t="s">
        <v>31</v>
      </c>
      <c r="D1904" t="s">
        <v>34</v>
      </c>
      <c r="E1904" t="s">
        <v>21</v>
      </c>
      <c r="F1904" t="s">
        <v>22</v>
      </c>
      <c r="G1904" t="s">
        <v>15</v>
      </c>
      <c r="K1904" cm="1">
        <f t="array" ref="K1904">_xlfn.SWITCH(LeadsData[[#This Row],[Funnel Stage Reached]],"Lead",1,"MQL",2,"SQL",3,"Customer",4)</f>
        <v>1</v>
      </c>
      <c r="L1904" t="str">
        <f>TEXT(LeadsData[[#This Row],[Signup Date]],"mmm-yyyy")</f>
        <v>Nov-2024</v>
      </c>
      <c r="M1904">
        <f>IF(LeadsData[[#This Row],[Stage Number]]&gt;=2,1,0)</f>
        <v>0</v>
      </c>
      <c r="N1904" s="2">
        <f>IF(LeadsData[[#This Row],[Stage Number]]&gt;=3,1,0)</f>
        <v>0</v>
      </c>
      <c r="O1904" s="2">
        <f>IF(LeadsData[[#This Row],[Stage Number]]&gt;=4,1,0)</f>
        <v>0</v>
      </c>
    </row>
    <row r="1905" spans="1:15" x14ac:dyDescent="0.25">
      <c r="A1905" t="s">
        <v>1945</v>
      </c>
      <c r="B1905" s="1">
        <v>45395</v>
      </c>
      <c r="C1905" t="s">
        <v>31</v>
      </c>
      <c r="D1905" t="s">
        <v>34</v>
      </c>
      <c r="E1905" t="s">
        <v>21</v>
      </c>
      <c r="F1905" t="s">
        <v>22</v>
      </c>
      <c r="G1905" t="s">
        <v>15</v>
      </c>
      <c r="K1905" cm="1">
        <f t="array" ref="K1905">_xlfn.SWITCH(LeadsData[[#This Row],[Funnel Stage Reached]],"Lead",1,"MQL",2,"SQL",3,"Customer",4)</f>
        <v>1</v>
      </c>
      <c r="L1905" t="str">
        <f>TEXT(LeadsData[[#This Row],[Signup Date]],"mmm-yyyy")</f>
        <v>Apr-2024</v>
      </c>
      <c r="M1905">
        <f>IF(LeadsData[[#This Row],[Stage Number]]&gt;=2,1,0)</f>
        <v>0</v>
      </c>
      <c r="N1905" s="2">
        <f>IF(LeadsData[[#This Row],[Stage Number]]&gt;=3,1,0)</f>
        <v>0</v>
      </c>
      <c r="O1905" s="2">
        <f>IF(LeadsData[[#This Row],[Stage Number]]&gt;=4,1,0)</f>
        <v>0</v>
      </c>
    </row>
    <row r="1906" spans="1:15" x14ac:dyDescent="0.25">
      <c r="A1906" t="s">
        <v>1946</v>
      </c>
      <c r="B1906" s="1">
        <v>45623</v>
      </c>
      <c r="C1906" t="s">
        <v>25</v>
      </c>
      <c r="D1906" t="s">
        <v>26</v>
      </c>
      <c r="E1906" t="s">
        <v>21</v>
      </c>
      <c r="F1906" t="s">
        <v>19</v>
      </c>
      <c r="G1906" t="s">
        <v>23</v>
      </c>
      <c r="K1906" cm="1">
        <f t="array" ref="K1906">_xlfn.SWITCH(LeadsData[[#This Row],[Funnel Stage Reached]],"Lead",1,"MQL",2,"SQL",3,"Customer",4)</f>
        <v>2</v>
      </c>
      <c r="L1906" t="str">
        <f>TEXT(LeadsData[[#This Row],[Signup Date]],"mmm-yyyy")</f>
        <v>Nov-2024</v>
      </c>
      <c r="M1906">
        <f>IF(LeadsData[[#This Row],[Stage Number]]&gt;=2,1,0)</f>
        <v>1</v>
      </c>
      <c r="N1906" s="2">
        <f>IF(LeadsData[[#This Row],[Stage Number]]&gt;=3,1,0)</f>
        <v>0</v>
      </c>
      <c r="O1906" s="2">
        <f>IF(LeadsData[[#This Row],[Stage Number]]&gt;=4,1,0)</f>
        <v>0</v>
      </c>
    </row>
    <row r="1907" spans="1:15" x14ac:dyDescent="0.25">
      <c r="A1907" t="s">
        <v>1947</v>
      </c>
      <c r="B1907" s="1">
        <v>45554</v>
      </c>
      <c r="C1907" t="s">
        <v>36</v>
      </c>
      <c r="D1907" t="s">
        <v>37</v>
      </c>
      <c r="E1907" t="s">
        <v>13</v>
      </c>
      <c r="F1907" t="s">
        <v>22</v>
      </c>
      <c r="G1907" t="s">
        <v>29</v>
      </c>
      <c r="K1907" cm="1">
        <f t="array" ref="K1907">_xlfn.SWITCH(LeadsData[[#This Row],[Funnel Stage Reached]],"Lead",1,"MQL",2,"SQL",3,"Customer",4)</f>
        <v>3</v>
      </c>
      <c r="L1907" t="str">
        <f>TEXT(LeadsData[[#This Row],[Signup Date]],"mmm-yyyy")</f>
        <v>Sep-2024</v>
      </c>
      <c r="M1907">
        <f>IF(LeadsData[[#This Row],[Stage Number]]&gt;=2,1,0)</f>
        <v>1</v>
      </c>
      <c r="N1907" s="2">
        <f>IF(LeadsData[[#This Row],[Stage Number]]&gt;=3,1,0)</f>
        <v>1</v>
      </c>
      <c r="O1907" s="2">
        <f>IF(LeadsData[[#This Row],[Stage Number]]&gt;=4,1,0)</f>
        <v>0</v>
      </c>
    </row>
    <row r="1908" spans="1:15" x14ac:dyDescent="0.25">
      <c r="A1908" t="s">
        <v>1948</v>
      </c>
      <c r="B1908" s="1">
        <v>45513</v>
      </c>
      <c r="C1908" t="s">
        <v>36</v>
      </c>
      <c r="D1908" t="s">
        <v>37</v>
      </c>
      <c r="E1908" t="s">
        <v>13</v>
      </c>
      <c r="F1908" t="s">
        <v>22</v>
      </c>
      <c r="G1908" t="s">
        <v>15</v>
      </c>
      <c r="K1908" cm="1">
        <f t="array" ref="K1908">_xlfn.SWITCH(LeadsData[[#This Row],[Funnel Stage Reached]],"Lead",1,"MQL",2,"SQL",3,"Customer",4)</f>
        <v>1</v>
      </c>
      <c r="L1908" t="str">
        <f>TEXT(LeadsData[[#This Row],[Signup Date]],"mmm-yyyy")</f>
        <v>Aug-2024</v>
      </c>
      <c r="M1908">
        <f>IF(LeadsData[[#This Row],[Stage Number]]&gt;=2,1,0)</f>
        <v>0</v>
      </c>
      <c r="N1908" s="2">
        <f>IF(LeadsData[[#This Row],[Stage Number]]&gt;=3,1,0)</f>
        <v>0</v>
      </c>
      <c r="O1908" s="2">
        <f>IF(LeadsData[[#This Row],[Stage Number]]&gt;=4,1,0)</f>
        <v>0</v>
      </c>
    </row>
    <row r="1909" spans="1:15" x14ac:dyDescent="0.25">
      <c r="A1909" t="s">
        <v>1949</v>
      </c>
      <c r="B1909" s="1">
        <v>45397</v>
      </c>
      <c r="C1909" t="s">
        <v>31</v>
      </c>
      <c r="D1909" t="s">
        <v>34</v>
      </c>
      <c r="E1909" t="s">
        <v>13</v>
      </c>
      <c r="F1909" t="s">
        <v>19</v>
      </c>
      <c r="G1909" t="s">
        <v>23</v>
      </c>
      <c r="K1909" cm="1">
        <f t="array" ref="K1909">_xlfn.SWITCH(LeadsData[[#This Row],[Funnel Stage Reached]],"Lead",1,"MQL",2,"SQL",3,"Customer",4)</f>
        <v>2</v>
      </c>
      <c r="L1909" t="str">
        <f>TEXT(LeadsData[[#This Row],[Signup Date]],"mmm-yyyy")</f>
        <v>Apr-2024</v>
      </c>
      <c r="M1909">
        <f>IF(LeadsData[[#This Row],[Stage Number]]&gt;=2,1,0)</f>
        <v>1</v>
      </c>
      <c r="N1909" s="2">
        <f>IF(LeadsData[[#This Row],[Stage Number]]&gt;=3,1,0)</f>
        <v>0</v>
      </c>
      <c r="O1909" s="2">
        <f>IF(LeadsData[[#This Row],[Stage Number]]&gt;=4,1,0)</f>
        <v>0</v>
      </c>
    </row>
    <row r="1910" spans="1:15" x14ac:dyDescent="0.25">
      <c r="A1910" t="s">
        <v>1950</v>
      </c>
      <c r="B1910" s="1">
        <v>45471</v>
      </c>
      <c r="C1910" t="s">
        <v>36</v>
      </c>
      <c r="D1910" t="s">
        <v>50</v>
      </c>
      <c r="E1910" t="s">
        <v>13</v>
      </c>
      <c r="F1910" t="s">
        <v>22</v>
      </c>
      <c r="G1910" t="s">
        <v>23</v>
      </c>
      <c r="K1910" cm="1">
        <f t="array" ref="K1910">_xlfn.SWITCH(LeadsData[[#This Row],[Funnel Stage Reached]],"Lead",1,"MQL",2,"SQL",3,"Customer",4)</f>
        <v>2</v>
      </c>
      <c r="L1910" t="str">
        <f>TEXT(LeadsData[[#This Row],[Signup Date]],"mmm-yyyy")</f>
        <v>Jun-2024</v>
      </c>
      <c r="M1910">
        <f>IF(LeadsData[[#This Row],[Stage Number]]&gt;=2,1,0)</f>
        <v>1</v>
      </c>
      <c r="N1910" s="2">
        <f>IF(LeadsData[[#This Row],[Stage Number]]&gt;=3,1,0)</f>
        <v>0</v>
      </c>
      <c r="O1910" s="2">
        <f>IF(LeadsData[[#This Row],[Stage Number]]&gt;=4,1,0)</f>
        <v>0</v>
      </c>
    </row>
    <row r="1911" spans="1:15" x14ac:dyDescent="0.25">
      <c r="A1911" t="s">
        <v>1951</v>
      </c>
      <c r="B1911" s="1">
        <v>45489</v>
      </c>
      <c r="C1911" t="s">
        <v>17</v>
      </c>
      <c r="D1911" t="s">
        <v>18</v>
      </c>
      <c r="E1911" t="s">
        <v>13</v>
      </c>
      <c r="F1911" t="s">
        <v>19</v>
      </c>
      <c r="G1911" t="s">
        <v>42</v>
      </c>
      <c r="H1911">
        <v>36</v>
      </c>
      <c r="I1911" t="s">
        <v>43</v>
      </c>
      <c r="J1911">
        <v>1445.51</v>
      </c>
      <c r="K1911" cm="1">
        <f t="array" ref="K1911">_xlfn.SWITCH(LeadsData[[#This Row],[Funnel Stage Reached]],"Lead",1,"MQL",2,"SQL",3,"Customer",4)</f>
        <v>4</v>
      </c>
      <c r="L1911" t="str">
        <f>TEXT(LeadsData[[#This Row],[Signup Date]],"mmm-yyyy")</f>
        <v>Jul-2024</v>
      </c>
      <c r="M1911">
        <f>IF(LeadsData[[#This Row],[Stage Number]]&gt;=2,1,0)</f>
        <v>1</v>
      </c>
      <c r="N1911" s="2">
        <f>IF(LeadsData[[#This Row],[Stage Number]]&gt;=3,1,0)</f>
        <v>1</v>
      </c>
      <c r="O1911" s="2">
        <f>IF(LeadsData[[#This Row],[Stage Number]]&gt;=4,1,0)</f>
        <v>1</v>
      </c>
    </row>
    <row r="1912" spans="1:15" x14ac:dyDescent="0.25">
      <c r="A1912" t="s">
        <v>1952</v>
      </c>
      <c r="B1912" s="1">
        <v>45616</v>
      </c>
      <c r="C1912" t="s">
        <v>46</v>
      </c>
      <c r="D1912" t="s">
        <v>47</v>
      </c>
      <c r="E1912" t="s">
        <v>21</v>
      </c>
      <c r="F1912" t="s">
        <v>14</v>
      </c>
      <c r="G1912" t="s">
        <v>15</v>
      </c>
      <c r="K1912" cm="1">
        <f t="array" ref="K1912">_xlfn.SWITCH(LeadsData[[#This Row],[Funnel Stage Reached]],"Lead",1,"MQL",2,"SQL",3,"Customer",4)</f>
        <v>1</v>
      </c>
      <c r="L1912" t="str">
        <f>TEXT(LeadsData[[#This Row],[Signup Date]],"mmm-yyyy")</f>
        <v>Nov-2024</v>
      </c>
      <c r="M1912">
        <f>IF(LeadsData[[#This Row],[Stage Number]]&gt;=2,1,0)</f>
        <v>0</v>
      </c>
      <c r="N1912" s="2">
        <f>IF(LeadsData[[#This Row],[Stage Number]]&gt;=3,1,0)</f>
        <v>0</v>
      </c>
      <c r="O1912" s="2">
        <f>IF(LeadsData[[#This Row],[Stage Number]]&gt;=4,1,0)</f>
        <v>0</v>
      </c>
    </row>
    <row r="1913" spans="1:15" x14ac:dyDescent="0.25">
      <c r="A1913" t="s">
        <v>1953</v>
      </c>
      <c r="B1913" s="1">
        <v>45572</v>
      </c>
      <c r="C1913" t="s">
        <v>25</v>
      </c>
      <c r="D1913" t="s">
        <v>26</v>
      </c>
      <c r="E1913" t="s">
        <v>21</v>
      </c>
      <c r="F1913" t="s">
        <v>14</v>
      </c>
      <c r="G1913" t="s">
        <v>15</v>
      </c>
      <c r="K1913" cm="1">
        <f t="array" ref="K1913">_xlfn.SWITCH(LeadsData[[#This Row],[Funnel Stage Reached]],"Lead",1,"MQL",2,"SQL",3,"Customer",4)</f>
        <v>1</v>
      </c>
      <c r="L1913" t="str">
        <f>TEXT(LeadsData[[#This Row],[Signup Date]],"mmm-yyyy")</f>
        <v>Oct-2024</v>
      </c>
      <c r="M1913">
        <f>IF(LeadsData[[#This Row],[Stage Number]]&gt;=2,1,0)</f>
        <v>0</v>
      </c>
      <c r="N1913" s="2">
        <f>IF(LeadsData[[#This Row],[Stage Number]]&gt;=3,1,0)</f>
        <v>0</v>
      </c>
      <c r="O1913" s="2">
        <f>IF(LeadsData[[#This Row],[Stage Number]]&gt;=4,1,0)</f>
        <v>0</v>
      </c>
    </row>
    <row r="1914" spans="1:15" x14ac:dyDescent="0.25">
      <c r="A1914" t="s">
        <v>1954</v>
      </c>
      <c r="B1914" s="1">
        <v>45374</v>
      </c>
      <c r="C1914" t="s">
        <v>17</v>
      </c>
      <c r="D1914" t="s">
        <v>18</v>
      </c>
      <c r="E1914" t="s">
        <v>21</v>
      </c>
      <c r="F1914" t="s">
        <v>14</v>
      </c>
      <c r="G1914" t="s">
        <v>23</v>
      </c>
      <c r="K1914" cm="1">
        <f t="array" ref="K1914">_xlfn.SWITCH(LeadsData[[#This Row],[Funnel Stage Reached]],"Lead",1,"MQL",2,"SQL",3,"Customer",4)</f>
        <v>2</v>
      </c>
      <c r="L1914" t="str">
        <f>TEXT(LeadsData[[#This Row],[Signup Date]],"mmm-yyyy")</f>
        <v>Mar-2024</v>
      </c>
      <c r="M1914">
        <f>IF(LeadsData[[#This Row],[Stage Number]]&gt;=2,1,0)</f>
        <v>1</v>
      </c>
      <c r="N1914" s="2">
        <f>IF(LeadsData[[#This Row],[Stage Number]]&gt;=3,1,0)</f>
        <v>0</v>
      </c>
      <c r="O1914" s="2">
        <f>IF(LeadsData[[#This Row],[Stage Number]]&gt;=4,1,0)</f>
        <v>0</v>
      </c>
    </row>
    <row r="1915" spans="1:15" x14ac:dyDescent="0.25">
      <c r="A1915" t="s">
        <v>1955</v>
      </c>
      <c r="B1915" s="1">
        <v>45347</v>
      </c>
      <c r="C1915" t="s">
        <v>36</v>
      </c>
      <c r="D1915" t="s">
        <v>50</v>
      </c>
      <c r="E1915" t="s">
        <v>13</v>
      </c>
      <c r="F1915" t="s">
        <v>19</v>
      </c>
      <c r="G1915" t="s">
        <v>42</v>
      </c>
      <c r="H1915">
        <v>13</v>
      </c>
      <c r="I1915" t="s">
        <v>43</v>
      </c>
      <c r="J1915">
        <v>762.56</v>
      </c>
      <c r="K1915" cm="1">
        <f t="array" ref="K1915">_xlfn.SWITCH(LeadsData[[#This Row],[Funnel Stage Reached]],"Lead",1,"MQL",2,"SQL",3,"Customer",4)</f>
        <v>4</v>
      </c>
      <c r="L1915" t="str">
        <f>TEXT(LeadsData[[#This Row],[Signup Date]],"mmm-yyyy")</f>
        <v>Feb-2024</v>
      </c>
      <c r="M1915">
        <f>IF(LeadsData[[#This Row],[Stage Number]]&gt;=2,1,0)</f>
        <v>1</v>
      </c>
      <c r="N1915" s="2">
        <f>IF(LeadsData[[#This Row],[Stage Number]]&gt;=3,1,0)</f>
        <v>1</v>
      </c>
      <c r="O1915" s="2">
        <f>IF(LeadsData[[#This Row],[Stage Number]]&gt;=4,1,0)</f>
        <v>1</v>
      </c>
    </row>
    <row r="1916" spans="1:15" x14ac:dyDescent="0.25">
      <c r="A1916" t="s">
        <v>1956</v>
      </c>
      <c r="B1916" s="1">
        <v>45452</v>
      </c>
      <c r="C1916" t="s">
        <v>25</v>
      </c>
      <c r="D1916" t="s">
        <v>26</v>
      </c>
      <c r="E1916" t="s">
        <v>13</v>
      </c>
      <c r="F1916" t="s">
        <v>28</v>
      </c>
      <c r="G1916" t="s">
        <v>23</v>
      </c>
      <c r="K1916" cm="1">
        <f t="array" ref="K1916">_xlfn.SWITCH(LeadsData[[#This Row],[Funnel Stage Reached]],"Lead",1,"MQL",2,"SQL",3,"Customer",4)</f>
        <v>2</v>
      </c>
      <c r="L1916" t="str">
        <f>TEXT(LeadsData[[#This Row],[Signup Date]],"mmm-yyyy")</f>
        <v>Jun-2024</v>
      </c>
      <c r="M1916">
        <f>IF(LeadsData[[#This Row],[Stage Number]]&gt;=2,1,0)</f>
        <v>1</v>
      </c>
      <c r="N1916" s="2">
        <f>IF(LeadsData[[#This Row],[Stage Number]]&gt;=3,1,0)</f>
        <v>0</v>
      </c>
      <c r="O1916" s="2">
        <f>IF(LeadsData[[#This Row],[Stage Number]]&gt;=4,1,0)</f>
        <v>0</v>
      </c>
    </row>
    <row r="1917" spans="1:15" x14ac:dyDescent="0.25">
      <c r="A1917" t="s">
        <v>1957</v>
      </c>
      <c r="B1917" s="1">
        <v>45498</v>
      </c>
      <c r="C1917" t="s">
        <v>25</v>
      </c>
      <c r="D1917" t="s">
        <v>26</v>
      </c>
      <c r="E1917" t="s">
        <v>13</v>
      </c>
      <c r="F1917" t="s">
        <v>22</v>
      </c>
      <c r="G1917" t="s">
        <v>23</v>
      </c>
      <c r="K1917" cm="1">
        <f t="array" ref="K1917">_xlfn.SWITCH(LeadsData[[#This Row],[Funnel Stage Reached]],"Lead",1,"MQL",2,"SQL",3,"Customer",4)</f>
        <v>2</v>
      </c>
      <c r="L1917" t="str">
        <f>TEXT(LeadsData[[#This Row],[Signup Date]],"mmm-yyyy")</f>
        <v>Jul-2024</v>
      </c>
      <c r="M1917">
        <f>IF(LeadsData[[#This Row],[Stage Number]]&gt;=2,1,0)</f>
        <v>1</v>
      </c>
      <c r="N1917" s="2">
        <f>IF(LeadsData[[#This Row],[Stage Number]]&gt;=3,1,0)</f>
        <v>0</v>
      </c>
      <c r="O1917" s="2">
        <f>IF(LeadsData[[#This Row],[Stage Number]]&gt;=4,1,0)</f>
        <v>0</v>
      </c>
    </row>
    <row r="1918" spans="1:15" x14ac:dyDescent="0.25">
      <c r="A1918" t="s">
        <v>1958</v>
      </c>
      <c r="B1918" s="1">
        <v>45422</v>
      </c>
      <c r="C1918" t="s">
        <v>31</v>
      </c>
      <c r="D1918" t="s">
        <v>32</v>
      </c>
      <c r="E1918" t="s">
        <v>21</v>
      </c>
      <c r="F1918" t="s">
        <v>19</v>
      </c>
      <c r="G1918" t="s">
        <v>23</v>
      </c>
      <c r="K1918" cm="1">
        <f t="array" ref="K1918">_xlfn.SWITCH(LeadsData[[#This Row],[Funnel Stage Reached]],"Lead",1,"MQL",2,"SQL",3,"Customer",4)</f>
        <v>2</v>
      </c>
      <c r="L1918" t="str">
        <f>TEXT(LeadsData[[#This Row],[Signup Date]],"mmm-yyyy")</f>
        <v>May-2024</v>
      </c>
      <c r="M1918">
        <f>IF(LeadsData[[#This Row],[Stage Number]]&gt;=2,1,0)</f>
        <v>1</v>
      </c>
      <c r="N1918" s="2">
        <f>IF(LeadsData[[#This Row],[Stage Number]]&gt;=3,1,0)</f>
        <v>0</v>
      </c>
      <c r="O1918" s="2">
        <f>IF(LeadsData[[#This Row],[Stage Number]]&gt;=4,1,0)</f>
        <v>0</v>
      </c>
    </row>
    <row r="1919" spans="1:15" x14ac:dyDescent="0.25">
      <c r="A1919" t="s">
        <v>1959</v>
      </c>
      <c r="B1919" s="1">
        <v>45551</v>
      </c>
      <c r="C1919" t="s">
        <v>17</v>
      </c>
      <c r="D1919" t="s">
        <v>18</v>
      </c>
      <c r="E1919" t="s">
        <v>13</v>
      </c>
      <c r="F1919" t="s">
        <v>14</v>
      </c>
      <c r="G1919" t="s">
        <v>42</v>
      </c>
      <c r="H1919">
        <v>25</v>
      </c>
      <c r="I1919" t="s">
        <v>183</v>
      </c>
      <c r="J1919">
        <v>7611.63</v>
      </c>
      <c r="K1919" cm="1">
        <f t="array" ref="K1919">_xlfn.SWITCH(LeadsData[[#This Row],[Funnel Stage Reached]],"Lead",1,"MQL",2,"SQL",3,"Customer",4)</f>
        <v>4</v>
      </c>
      <c r="L1919" t="str">
        <f>TEXT(LeadsData[[#This Row],[Signup Date]],"mmm-yyyy")</f>
        <v>Sep-2024</v>
      </c>
      <c r="M1919">
        <f>IF(LeadsData[[#This Row],[Stage Number]]&gt;=2,1,0)</f>
        <v>1</v>
      </c>
      <c r="N1919" s="2">
        <f>IF(LeadsData[[#This Row],[Stage Number]]&gt;=3,1,0)</f>
        <v>1</v>
      </c>
      <c r="O1919" s="2">
        <f>IF(LeadsData[[#This Row],[Stage Number]]&gt;=4,1,0)</f>
        <v>1</v>
      </c>
    </row>
    <row r="1920" spans="1:15" x14ac:dyDescent="0.25">
      <c r="A1920" t="s">
        <v>1960</v>
      </c>
      <c r="B1920" s="1">
        <v>45355</v>
      </c>
      <c r="C1920" t="s">
        <v>31</v>
      </c>
      <c r="D1920" t="s">
        <v>34</v>
      </c>
      <c r="E1920" t="s">
        <v>13</v>
      </c>
      <c r="F1920" t="s">
        <v>19</v>
      </c>
      <c r="G1920" t="s">
        <v>23</v>
      </c>
      <c r="K1920" cm="1">
        <f t="array" ref="K1920">_xlfn.SWITCH(LeadsData[[#This Row],[Funnel Stage Reached]],"Lead",1,"MQL",2,"SQL",3,"Customer",4)</f>
        <v>2</v>
      </c>
      <c r="L1920" t="str">
        <f>TEXT(LeadsData[[#This Row],[Signup Date]],"mmm-yyyy")</f>
        <v>Mar-2024</v>
      </c>
      <c r="M1920">
        <f>IF(LeadsData[[#This Row],[Stage Number]]&gt;=2,1,0)</f>
        <v>1</v>
      </c>
      <c r="N1920" s="2">
        <f>IF(LeadsData[[#This Row],[Stage Number]]&gt;=3,1,0)</f>
        <v>0</v>
      </c>
      <c r="O1920" s="2">
        <f>IF(LeadsData[[#This Row],[Stage Number]]&gt;=4,1,0)</f>
        <v>0</v>
      </c>
    </row>
    <row r="1921" spans="1:15" x14ac:dyDescent="0.25">
      <c r="A1921" t="s">
        <v>1961</v>
      </c>
      <c r="B1921" s="1">
        <v>45527</v>
      </c>
      <c r="C1921" t="s">
        <v>36</v>
      </c>
      <c r="D1921" t="s">
        <v>37</v>
      </c>
      <c r="E1921" t="s">
        <v>21</v>
      </c>
      <c r="F1921" t="s">
        <v>19</v>
      </c>
      <c r="G1921" t="s">
        <v>23</v>
      </c>
      <c r="K1921" cm="1">
        <f t="array" ref="K1921">_xlfn.SWITCH(LeadsData[[#This Row],[Funnel Stage Reached]],"Lead",1,"MQL",2,"SQL",3,"Customer",4)</f>
        <v>2</v>
      </c>
      <c r="L1921" t="str">
        <f>TEXT(LeadsData[[#This Row],[Signup Date]],"mmm-yyyy")</f>
        <v>Aug-2024</v>
      </c>
      <c r="M1921">
        <f>IF(LeadsData[[#This Row],[Stage Number]]&gt;=2,1,0)</f>
        <v>1</v>
      </c>
      <c r="N1921" s="2">
        <f>IF(LeadsData[[#This Row],[Stage Number]]&gt;=3,1,0)</f>
        <v>0</v>
      </c>
      <c r="O1921" s="2">
        <f>IF(LeadsData[[#This Row],[Stage Number]]&gt;=4,1,0)</f>
        <v>0</v>
      </c>
    </row>
    <row r="1922" spans="1:15" x14ac:dyDescent="0.25">
      <c r="A1922" t="s">
        <v>1962</v>
      </c>
      <c r="B1922" s="1">
        <v>45462</v>
      </c>
      <c r="C1922" t="s">
        <v>11</v>
      </c>
      <c r="D1922" t="s">
        <v>68</v>
      </c>
      <c r="E1922" t="s">
        <v>21</v>
      </c>
      <c r="F1922" t="s">
        <v>14</v>
      </c>
      <c r="G1922" t="s">
        <v>42</v>
      </c>
      <c r="H1922">
        <v>64</v>
      </c>
      <c r="I1922" t="s">
        <v>183</v>
      </c>
      <c r="J1922">
        <v>13743.49</v>
      </c>
      <c r="K1922" cm="1">
        <f t="array" ref="K1922">_xlfn.SWITCH(LeadsData[[#This Row],[Funnel Stage Reached]],"Lead",1,"MQL",2,"SQL",3,"Customer",4)</f>
        <v>4</v>
      </c>
      <c r="L1922" t="str">
        <f>TEXT(LeadsData[[#This Row],[Signup Date]],"mmm-yyyy")</f>
        <v>Jun-2024</v>
      </c>
      <c r="M1922">
        <f>IF(LeadsData[[#This Row],[Stage Number]]&gt;=2,1,0)</f>
        <v>1</v>
      </c>
      <c r="N1922" s="2">
        <f>IF(LeadsData[[#This Row],[Stage Number]]&gt;=3,1,0)</f>
        <v>1</v>
      </c>
      <c r="O1922" s="2">
        <f>IF(LeadsData[[#This Row],[Stage Number]]&gt;=4,1,0)</f>
        <v>1</v>
      </c>
    </row>
    <row r="1923" spans="1:15" x14ac:dyDescent="0.25">
      <c r="A1923" t="s">
        <v>1963</v>
      </c>
      <c r="B1923" s="1">
        <v>45528</v>
      </c>
      <c r="C1923" t="s">
        <v>46</v>
      </c>
      <c r="D1923" t="s">
        <v>56</v>
      </c>
      <c r="E1923" t="s">
        <v>13</v>
      </c>
      <c r="F1923" t="s">
        <v>28</v>
      </c>
      <c r="G1923" t="s">
        <v>15</v>
      </c>
      <c r="K1923" cm="1">
        <f t="array" ref="K1923">_xlfn.SWITCH(LeadsData[[#This Row],[Funnel Stage Reached]],"Lead",1,"MQL",2,"SQL",3,"Customer",4)</f>
        <v>1</v>
      </c>
      <c r="L1923" t="str">
        <f>TEXT(LeadsData[[#This Row],[Signup Date]],"mmm-yyyy")</f>
        <v>Aug-2024</v>
      </c>
      <c r="M1923">
        <f>IF(LeadsData[[#This Row],[Stage Number]]&gt;=2,1,0)</f>
        <v>0</v>
      </c>
      <c r="N1923" s="2">
        <f>IF(LeadsData[[#This Row],[Stage Number]]&gt;=3,1,0)</f>
        <v>0</v>
      </c>
      <c r="O1923" s="2">
        <f>IF(LeadsData[[#This Row],[Stage Number]]&gt;=4,1,0)</f>
        <v>0</v>
      </c>
    </row>
    <row r="1924" spans="1:15" x14ac:dyDescent="0.25">
      <c r="A1924" t="s">
        <v>1964</v>
      </c>
      <c r="B1924" s="1">
        <v>45630</v>
      </c>
      <c r="C1924" t="s">
        <v>11</v>
      </c>
      <c r="D1924" t="s">
        <v>79</v>
      </c>
      <c r="E1924" t="s">
        <v>13</v>
      </c>
      <c r="F1924" t="s">
        <v>22</v>
      </c>
      <c r="G1924" t="s">
        <v>15</v>
      </c>
      <c r="K1924" cm="1">
        <f t="array" ref="K1924">_xlfn.SWITCH(LeadsData[[#This Row],[Funnel Stage Reached]],"Lead",1,"MQL",2,"SQL",3,"Customer",4)</f>
        <v>1</v>
      </c>
      <c r="L1924" t="str">
        <f>TEXT(LeadsData[[#This Row],[Signup Date]],"mmm-yyyy")</f>
        <v>Dec-2024</v>
      </c>
      <c r="M1924">
        <f>IF(LeadsData[[#This Row],[Stage Number]]&gt;=2,1,0)</f>
        <v>0</v>
      </c>
      <c r="N1924" s="2">
        <f>IF(LeadsData[[#This Row],[Stage Number]]&gt;=3,1,0)</f>
        <v>0</v>
      </c>
      <c r="O1924" s="2">
        <f>IF(LeadsData[[#This Row],[Stage Number]]&gt;=4,1,0)</f>
        <v>0</v>
      </c>
    </row>
    <row r="1925" spans="1:15" x14ac:dyDescent="0.25">
      <c r="A1925" t="s">
        <v>1965</v>
      </c>
      <c r="B1925" s="1">
        <v>45618</v>
      </c>
      <c r="C1925" t="s">
        <v>25</v>
      </c>
      <c r="D1925" t="s">
        <v>26</v>
      </c>
      <c r="E1925" t="s">
        <v>13</v>
      </c>
      <c r="F1925" t="s">
        <v>28</v>
      </c>
      <c r="G1925" t="s">
        <v>15</v>
      </c>
      <c r="K1925" cm="1">
        <f t="array" ref="K1925">_xlfn.SWITCH(LeadsData[[#This Row],[Funnel Stage Reached]],"Lead",1,"MQL",2,"SQL",3,"Customer",4)</f>
        <v>1</v>
      </c>
      <c r="L1925" t="str">
        <f>TEXT(LeadsData[[#This Row],[Signup Date]],"mmm-yyyy")</f>
        <v>Nov-2024</v>
      </c>
      <c r="M1925">
        <f>IF(LeadsData[[#This Row],[Stage Number]]&gt;=2,1,0)</f>
        <v>0</v>
      </c>
      <c r="N1925" s="2">
        <f>IF(LeadsData[[#This Row],[Stage Number]]&gt;=3,1,0)</f>
        <v>0</v>
      </c>
      <c r="O1925" s="2">
        <f>IF(LeadsData[[#This Row],[Stage Number]]&gt;=4,1,0)</f>
        <v>0</v>
      </c>
    </row>
    <row r="1926" spans="1:15" x14ac:dyDescent="0.25">
      <c r="A1926" t="s">
        <v>1966</v>
      </c>
      <c r="B1926" s="1">
        <v>45582</v>
      </c>
      <c r="C1926" t="s">
        <v>11</v>
      </c>
      <c r="D1926" t="s">
        <v>68</v>
      </c>
      <c r="E1926" t="s">
        <v>13</v>
      </c>
      <c r="F1926" t="s">
        <v>19</v>
      </c>
      <c r="G1926" t="s">
        <v>23</v>
      </c>
      <c r="K1926" cm="1">
        <f t="array" ref="K1926">_xlfn.SWITCH(LeadsData[[#This Row],[Funnel Stage Reached]],"Lead",1,"MQL",2,"SQL",3,"Customer",4)</f>
        <v>2</v>
      </c>
      <c r="L1926" t="str">
        <f>TEXT(LeadsData[[#This Row],[Signup Date]],"mmm-yyyy")</f>
        <v>Oct-2024</v>
      </c>
      <c r="M1926">
        <f>IF(LeadsData[[#This Row],[Stage Number]]&gt;=2,1,0)</f>
        <v>1</v>
      </c>
      <c r="N1926" s="2">
        <f>IF(LeadsData[[#This Row],[Stage Number]]&gt;=3,1,0)</f>
        <v>0</v>
      </c>
      <c r="O1926" s="2">
        <f>IF(LeadsData[[#This Row],[Stage Number]]&gt;=4,1,0)</f>
        <v>0</v>
      </c>
    </row>
    <row r="1927" spans="1:15" x14ac:dyDescent="0.25">
      <c r="A1927" t="s">
        <v>1967</v>
      </c>
      <c r="B1927" s="1">
        <v>45531</v>
      </c>
      <c r="C1927" t="s">
        <v>25</v>
      </c>
      <c r="D1927" t="s">
        <v>26</v>
      </c>
      <c r="E1927" t="s">
        <v>13</v>
      </c>
      <c r="F1927" t="s">
        <v>19</v>
      </c>
      <c r="G1927" t="s">
        <v>15</v>
      </c>
      <c r="K1927" cm="1">
        <f t="array" ref="K1927">_xlfn.SWITCH(LeadsData[[#This Row],[Funnel Stage Reached]],"Lead",1,"MQL",2,"SQL",3,"Customer",4)</f>
        <v>1</v>
      </c>
      <c r="L1927" t="str">
        <f>TEXT(LeadsData[[#This Row],[Signup Date]],"mmm-yyyy")</f>
        <v>Aug-2024</v>
      </c>
      <c r="M1927">
        <f>IF(LeadsData[[#This Row],[Stage Number]]&gt;=2,1,0)</f>
        <v>0</v>
      </c>
      <c r="N1927" s="2">
        <f>IF(LeadsData[[#This Row],[Stage Number]]&gt;=3,1,0)</f>
        <v>0</v>
      </c>
      <c r="O1927" s="2">
        <f>IF(LeadsData[[#This Row],[Stage Number]]&gt;=4,1,0)</f>
        <v>0</v>
      </c>
    </row>
    <row r="1928" spans="1:15" x14ac:dyDescent="0.25">
      <c r="A1928" t="s">
        <v>1968</v>
      </c>
      <c r="B1928" s="1">
        <v>45360</v>
      </c>
      <c r="C1928" t="s">
        <v>17</v>
      </c>
      <c r="D1928" t="s">
        <v>53</v>
      </c>
      <c r="E1928" t="s">
        <v>13</v>
      </c>
      <c r="F1928" t="s">
        <v>14</v>
      </c>
      <c r="G1928" t="s">
        <v>15</v>
      </c>
      <c r="K1928" cm="1">
        <f t="array" ref="K1928">_xlfn.SWITCH(LeadsData[[#This Row],[Funnel Stage Reached]],"Lead",1,"MQL",2,"SQL",3,"Customer",4)</f>
        <v>1</v>
      </c>
      <c r="L1928" t="str">
        <f>TEXT(LeadsData[[#This Row],[Signup Date]],"mmm-yyyy")</f>
        <v>Mar-2024</v>
      </c>
      <c r="M1928">
        <f>IF(LeadsData[[#This Row],[Stage Number]]&gt;=2,1,0)</f>
        <v>0</v>
      </c>
      <c r="N1928" s="2">
        <f>IF(LeadsData[[#This Row],[Stage Number]]&gt;=3,1,0)</f>
        <v>0</v>
      </c>
      <c r="O1928" s="2">
        <f>IF(LeadsData[[#This Row],[Stage Number]]&gt;=4,1,0)</f>
        <v>0</v>
      </c>
    </row>
    <row r="1929" spans="1:15" x14ac:dyDescent="0.25">
      <c r="A1929" t="s">
        <v>1969</v>
      </c>
      <c r="B1929" s="1">
        <v>45390</v>
      </c>
      <c r="C1929" t="s">
        <v>25</v>
      </c>
      <c r="D1929" t="s">
        <v>26</v>
      </c>
      <c r="E1929" t="s">
        <v>21</v>
      </c>
      <c r="F1929" t="s">
        <v>14</v>
      </c>
      <c r="G1929" t="s">
        <v>23</v>
      </c>
      <c r="K1929" cm="1">
        <f t="array" ref="K1929">_xlfn.SWITCH(LeadsData[[#This Row],[Funnel Stage Reached]],"Lead",1,"MQL",2,"SQL",3,"Customer",4)</f>
        <v>2</v>
      </c>
      <c r="L1929" t="str">
        <f>TEXT(LeadsData[[#This Row],[Signup Date]],"mmm-yyyy")</f>
        <v>Apr-2024</v>
      </c>
      <c r="M1929">
        <f>IF(LeadsData[[#This Row],[Stage Number]]&gt;=2,1,0)</f>
        <v>1</v>
      </c>
      <c r="N1929" s="2">
        <f>IF(LeadsData[[#This Row],[Stage Number]]&gt;=3,1,0)</f>
        <v>0</v>
      </c>
      <c r="O1929" s="2">
        <f>IF(LeadsData[[#This Row],[Stage Number]]&gt;=4,1,0)</f>
        <v>0</v>
      </c>
    </row>
    <row r="1930" spans="1:15" x14ac:dyDescent="0.25">
      <c r="A1930" t="s">
        <v>1970</v>
      </c>
      <c r="B1930" s="1">
        <v>45329</v>
      </c>
      <c r="C1930" t="s">
        <v>31</v>
      </c>
      <c r="D1930" t="s">
        <v>32</v>
      </c>
      <c r="E1930" t="s">
        <v>21</v>
      </c>
      <c r="F1930" t="s">
        <v>22</v>
      </c>
      <c r="G1930" t="s">
        <v>29</v>
      </c>
      <c r="K1930" cm="1">
        <f t="array" ref="K1930">_xlfn.SWITCH(LeadsData[[#This Row],[Funnel Stage Reached]],"Lead",1,"MQL",2,"SQL",3,"Customer",4)</f>
        <v>3</v>
      </c>
      <c r="L1930" t="str">
        <f>TEXT(LeadsData[[#This Row],[Signup Date]],"mmm-yyyy")</f>
        <v>Feb-2024</v>
      </c>
      <c r="M1930">
        <f>IF(LeadsData[[#This Row],[Stage Number]]&gt;=2,1,0)</f>
        <v>1</v>
      </c>
      <c r="N1930" s="2">
        <f>IF(LeadsData[[#This Row],[Stage Number]]&gt;=3,1,0)</f>
        <v>1</v>
      </c>
      <c r="O1930" s="2">
        <f>IF(LeadsData[[#This Row],[Stage Number]]&gt;=4,1,0)</f>
        <v>0</v>
      </c>
    </row>
    <row r="1931" spans="1:15" x14ac:dyDescent="0.25">
      <c r="A1931" t="s">
        <v>1971</v>
      </c>
      <c r="B1931" s="1">
        <v>45635</v>
      </c>
      <c r="C1931" t="s">
        <v>11</v>
      </c>
      <c r="D1931" t="s">
        <v>12</v>
      </c>
      <c r="E1931" t="s">
        <v>13</v>
      </c>
      <c r="F1931" t="s">
        <v>14</v>
      </c>
      <c r="G1931" t="s">
        <v>23</v>
      </c>
      <c r="K1931" cm="1">
        <f t="array" ref="K1931">_xlfn.SWITCH(LeadsData[[#This Row],[Funnel Stage Reached]],"Lead",1,"MQL",2,"SQL",3,"Customer",4)</f>
        <v>2</v>
      </c>
      <c r="L1931" t="str">
        <f>TEXT(LeadsData[[#This Row],[Signup Date]],"mmm-yyyy")</f>
        <v>Dec-2024</v>
      </c>
      <c r="M1931">
        <f>IF(LeadsData[[#This Row],[Stage Number]]&gt;=2,1,0)</f>
        <v>1</v>
      </c>
      <c r="N1931" s="2">
        <f>IF(LeadsData[[#This Row],[Stage Number]]&gt;=3,1,0)</f>
        <v>0</v>
      </c>
      <c r="O1931" s="2">
        <f>IF(LeadsData[[#This Row],[Stage Number]]&gt;=4,1,0)</f>
        <v>0</v>
      </c>
    </row>
    <row r="1932" spans="1:15" x14ac:dyDescent="0.25">
      <c r="A1932" t="s">
        <v>1972</v>
      </c>
      <c r="B1932" s="1">
        <v>45318</v>
      </c>
      <c r="C1932" t="s">
        <v>11</v>
      </c>
      <c r="D1932" t="s">
        <v>68</v>
      </c>
      <c r="E1932" t="s">
        <v>48</v>
      </c>
      <c r="F1932" t="s">
        <v>19</v>
      </c>
      <c r="G1932" t="s">
        <v>29</v>
      </c>
      <c r="K1932" cm="1">
        <f t="array" ref="K1932">_xlfn.SWITCH(LeadsData[[#This Row],[Funnel Stage Reached]],"Lead",1,"MQL",2,"SQL",3,"Customer",4)</f>
        <v>3</v>
      </c>
      <c r="L1932" t="str">
        <f>TEXT(LeadsData[[#This Row],[Signup Date]],"mmm-yyyy")</f>
        <v>Jan-2024</v>
      </c>
      <c r="M1932">
        <f>IF(LeadsData[[#This Row],[Stage Number]]&gt;=2,1,0)</f>
        <v>1</v>
      </c>
      <c r="N1932" s="2">
        <f>IF(LeadsData[[#This Row],[Stage Number]]&gt;=3,1,0)</f>
        <v>1</v>
      </c>
      <c r="O1932" s="2">
        <f>IF(LeadsData[[#This Row],[Stage Number]]&gt;=4,1,0)</f>
        <v>0</v>
      </c>
    </row>
    <row r="1933" spans="1:15" x14ac:dyDescent="0.25">
      <c r="A1933" t="s">
        <v>1973</v>
      </c>
      <c r="B1933" s="1">
        <v>45460</v>
      </c>
      <c r="C1933" t="s">
        <v>17</v>
      </c>
      <c r="D1933" t="s">
        <v>53</v>
      </c>
      <c r="E1933" t="s">
        <v>21</v>
      </c>
      <c r="F1933" t="s">
        <v>22</v>
      </c>
      <c r="G1933" t="s">
        <v>15</v>
      </c>
      <c r="K1933" cm="1">
        <f t="array" ref="K1933">_xlfn.SWITCH(LeadsData[[#This Row],[Funnel Stage Reached]],"Lead",1,"MQL",2,"SQL",3,"Customer",4)</f>
        <v>1</v>
      </c>
      <c r="L1933" t="str">
        <f>TEXT(LeadsData[[#This Row],[Signup Date]],"mmm-yyyy")</f>
        <v>Jun-2024</v>
      </c>
      <c r="M1933">
        <f>IF(LeadsData[[#This Row],[Stage Number]]&gt;=2,1,0)</f>
        <v>0</v>
      </c>
      <c r="N1933" s="2">
        <f>IF(LeadsData[[#This Row],[Stage Number]]&gt;=3,1,0)</f>
        <v>0</v>
      </c>
      <c r="O1933" s="2">
        <f>IF(LeadsData[[#This Row],[Stage Number]]&gt;=4,1,0)</f>
        <v>0</v>
      </c>
    </row>
    <row r="1934" spans="1:15" x14ac:dyDescent="0.25">
      <c r="A1934" t="s">
        <v>1974</v>
      </c>
      <c r="B1934" s="1">
        <v>45590</v>
      </c>
      <c r="C1934" t="s">
        <v>46</v>
      </c>
      <c r="D1934" t="s">
        <v>56</v>
      </c>
      <c r="E1934" t="s">
        <v>21</v>
      </c>
      <c r="F1934" t="s">
        <v>22</v>
      </c>
      <c r="G1934" t="s">
        <v>15</v>
      </c>
      <c r="K1934" cm="1">
        <f t="array" ref="K1934">_xlfn.SWITCH(LeadsData[[#This Row],[Funnel Stage Reached]],"Lead",1,"MQL",2,"SQL",3,"Customer",4)</f>
        <v>1</v>
      </c>
      <c r="L1934" t="str">
        <f>TEXT(LeadsData[[#This Row],[Signup Date]],"mmm-yyyy")</f>
        <v>Oct-2024</v>
      </c>
      <c r="M1934">
        <f>IF(LeadsData[[#This Row],[Stage Number]]&gt;=2,1,0)</f>
        <v>0</v>
      </c>
      <c r="N1934" s="2">
        <f>IF(LeadsData[[#This Row],[Stage Number]]&gt;=3,1,0)</f>
        <v>0</v>
      </c>
      <c r="O1934" s="2">
        <f>IF(LeadsData[[#This Row],[Stage Number]]&gt;=4,1,0)</f>
        <v>0</v>
      </c>
    </row>
    <row r="1935" spans="1:15" x14ac:dyDescent="0.25">
      <c r="A1935" t="s">
        <v>1975</v>
      </c>
      <c r="B1935" s="1">
        <v>45545</v>
      </c>
      <c r="C1935" t="s">
        <v>25</v>
      </c>
      <c r="D1935" t="s">
        <v>26</v>
      </c>
      <c r="E1935" t="s">
        <v>48</v>
      </c>
      <c r="F1935" t="s">
        <v>19</v>
      </c>
      <c r="G1935" t="s">
        <v>42</v>
      </c>
      <c r="H1935">
        <v>52</v>
      </c>
      <c r="I1935" t="s">
        <v>43</v>
      </c>
      <c r="J1935">
        <v>1348.97</v>
      </c>
      <c r="K1935" cm="1">
        <f t="array" ref="K1935">_xlfn.SWITCH(LeadsData[[#This Row],[Funnel Stage Reached]],"Lead",1,"MQL",2,"SQL",3,"Customer",4)</f>
        <v>4</v>
      </c>
      <c r="L1935" t="str">
        <f>TEXT(LeadsData[[#This Row],[Signup Date]],"mmm-yyyy")</f>
        <v>Sep-2024</v>
      </c>
      <c r="M1935">
        <f>IF(LeadsData[[#This Row],[Stage Number]]&gt;=2,1,0)</f>
        <v>1</v>
      </c>
      <c r="N1935" s="2">
        <f>IF(LeadsData[[#This Row],[Stage Number]]&gt;=3,1,0)</f>
        <v>1</v>
      </c>
      <c r="O1935" s="2">
        <f>IF(LeadsData[[#This Row],[Stage Number]]&gt;=4,1,0)</f>
        <v>1</v>
      </c>
    </row>
    <row r="1936" spans="1:15" x14ac:dyDescent="0.25">
      <c r="A1936" t="s">
        <v>1976</v>
      </c>
      <c r="B1936" s="1">
        <v>45469</v>
      </c>
      <c r="C1936" t="s">
        <v>11</v>
      </c>
      <c r="D1936" t="s">
        <v>79</v>
      </c>
      <c r="E1936" t="s">
        <v>13</v>
      </c>
      <c r="F1936" t="s">
        <v>19</v>
      </c>
      <c r="G1936" t="s">
        <v>15</v>
      </c>
      <c r="K1936" cm="1">
        <f t="array" ref="K1936">_xlfn.SWITCH(LeadsData[[#This Row],[Funnel Stage Reached]],"Lead",1,"MQL",2,"SQL",3,"Customer",4)</f>
        <v>1</v>
      </c>
      <c r="L1936" t="str">
        <f>TEXT(LeadsData[[#This Row],[Signup Date]],"mmm-yyyy")</f>
        <v>Jun-2024</v>
      </c>
      <c r="M1936">
        <f>IF(LeadsData[[#This Row],[Stage Number]]&gt;=2,1,0)</f>
        <v>0</v>
      </c>
      <c r="N1936" s="2">
        <f>IF(LeadsData[[#This Row],[Stage Number]]&gt;=3,1,0)</f>
        <v>0</v>
      </c>
      <c r="O1936" s="2">
        <f>IF(LeadsData[[#This Row],[Stage Number]]&gt;=4,1,0)</f>
        <v>0</v>
      </c>
    </row>
    <row r="1937" spans="1:15" x14ac:dyDescent="0.25">
      <c r="A1937" t="s">
        <v>1977</v>
      </c>
      <c r="B1937" s="1">
        <v>45408</v>
      </c>
      <c r="C1937" t="s">
        <v>46</v>
      </c>
      <c r="D1937" t="s">
        <v>47</v>
      </c>
      <c r="E1937" t="s">
        <v>13</v>
      </c>
      <c r="F1937" t="s">
        <v>22</v>
      </c>
      <c r="G1937" t="s">
        <v>23</v>
      </c>
      <c r="K1937" cm="1">
        <f t="array" ref="K1937">_xlfn.SWITCH(LeadsData[[#This Row],[Funnel Stage Reached]],"Lead",1,"MQL",2,"SQL",3,"Customer",4)</f>
        <v>2</v>
      </c>
      <c r="L1937" t="str">
        <f>TEXT(LeadsData[[#This Row],[Signup Date]],"mmm-yyyy")</f>
        <v>Apr-2024</v>
      </c>
      <c r="M1937">
        <f>IF(LeadsData[[#This Row],[Stage Number]]&gt;=2,1,0)</f>
        <v>1</v>
      </c>
      <c r="N1937" s="2">
        <f>IF(LeadsData[[#This Row],[Stage Number]]&gt;=3,1,0)</f>
        <v>0</v>
      </c>
      <c r="O1937" s="2">
        <f>IF(LeadsData[[#This Row],[Stage Number]]&gt;=4,1,0)</f>
        <v>0</v>
      </c>
    </row>
    <row r="1938" spans="1:15" x14ac:dyDescent="0.25">
      <c r="A1938" t="s">
        <v>1978</v>
      </c>
      <c r="B1938" s="1">
        <v>45466</v>
      </c>
      <c r="C1938" t="s">
        <v>17</v>
      </c>
      <c r="D1938" t="s">
        <v>18</v>
      </c>
      <c r="E1938" t="s">
        <v>21</v>
      </c>
      <c r="F1938" t="s">
        <v>22</v>
      </c>
      <c r="G1938" t="s">
        <v>29</v>
      </c>
      <c r="K1938" cm="1">
        <f t="array" ref="K1938">_xlfn.SWITCH(LeadsData[[#This Row],[Funnel Stage Reached]],"Lead",1,"MQL",2,"SQL",3,"Customer",4)</f>
        <v>3</v>
      </c>
      <c r="L1938" t="str">
        <f>TEXT(LeadsData[[#This Row],[Signup Date]],"mmm-yyyy")</f>
        <v>Jun-2024</v>
      </c>
      <c r="M1938">
        <f>IF(LeadsData[[#This Row],[Stage Number]]&gt;=2,1,0)</f>
        <v>1</v>
      </c>
      <c r="N1938" s="2">
        <f>IF(LeadsData[[#This Row],[Stage Number]]&gt;=3,1,0)</f>
        <v>1</v>
      </c>
      <c r="O1938" s="2">
        <f>IF(LeadsData[[#This Row],[Stage Number]]&gt;=4,1,0)</f>
        <v>0</v>
      </c>
    </row>
    <row r="1939" spans="1:15" x14ac:dyDescent="0.25">
      <c r="A1939" t="s">
        <v>1979</v>
      </c>
      <c r="B1939" s="1">
        <v>45339</v>
      </c>
      <c r="C1939" t="s">
        <v>31</v>
      </c>
      <c r="D1939" t="s">
        <v>34</v>
      </c>
      <c r="E1939" t="s">
        <v>21</v>
      </c>
      <c r="F1939" t="s">
        <v>22</v>
      </c>
      <c r="G1939" t="s">
        <v>23</v>
      </c>
      <c r="K1939" cm="1">
        <f t="array" ref="K1939">_xlfn.SWITCH(LeadsData[[#This Row],[Funnel Stage Reached]],"Lead",1,"MQL",2,"SQL",3,"Customer",4)</f>
        <v>2</v>
      </c>
      <c r="L1939" t="str">
        <f>TEXT(LeadsData[[#This Row],[Signup Date]],"mmm-yyyy")</f>
        <v>Feb-2024</v>
      </c>
      <c r="M1939">
        <f>IF(LeadsData[[#This Row],[Stage Number]]&gt;=2,1,0)</f>
        <v>1</v>
      </c>
      <c r="N1939" s="2">
        <f>IF(LeadsData[[#This Row],[Stage Number]]&gt;=3,1,0)</f>
        <v>0</v>
      </c>
      <c r="O1939" s="2">
        <f>IF(LeadsData[[#This Row],[Stage Number]]&gt;=4,1,0)</f>
        <v>0</v>
      </c>
    </row>
    <row r="1940" spans="1:15" x14ac:dyDescent="0.25">
      <c r="A1940" t="s">
        <v>1980</v>
      </c>
      <c r="B1940" s="1">
        <v>45627</v>
      </c>
      <c r="C1940" t="s">
        <v>17</v>
      </c>
      <c r="D1940" t="s">
        <v>53</v>
      </c>
      <c r="E1940" t="s">
        <v>13</v>
      </c>
      <c r="F1940" t="s">
        <v>19</v>
      </c>
      <c r="G1940" t="s">
        <v>23</v>
      </c>
      <c r="K1940" cm="1">
        <f t="array" ref="K1940">_xlfn.SWITCH(LeadsData[[#This Row],[Funnel Stage Reached]],"Lead",1,"MQL",2,"SQL",3,"Customer",4)</f>
        <v>2</v>
      </c>
      <c r="L1940" t="str">
        <f>TEXT(LeadsData[[#This Row],[Signup Date]],"mmm-yyyy")</f>
        <v>Dec-2024</v>
      </c>
      <c r="M1940">
        <f>IF(LeadsData[[#This Row],[Stage Number]]&gt;=2,1,0)</f>
        <v>1</v>
      </c>
      <c r="N1940" s="2">
        <f>IF(LeadsData[[#This Row],[Stage Number]]&gt;=3,1,0)</f>
        <v>0</v>
      </c>
      <c r="O1940" s="2">
        <f>IF(LeadsData[[#This Row],[Stage Number]]&gt;=4,1,0)</f>
        <v>0</v>
      </c>
    </row>
    <row r="1941" spans="1:15" x14ac:dyDescent="0.25">
      <c r="A1941" t="s">
        <v>1981</v>
      </c>
      <c r="B1941" s="1">
        <v>45555</v>
      </c>
      <c r="C1941" t="s">
        <v>17</v>
      </c>
      <c r="D1941" t="s">
        <v>18</v>
      </c>
      <c r="E1941" t="s">
        <v>13</v>
      </c>
      <c r="F1941" t="s">
        <v>19</v>
      </c>
      <c r="G1941" t="s">
        <v>15</v>
      </c>
      <c r="K1941" cm="1">
        <f t="array" ref="K1941">_xlfn.SWITCH(LeadsData[[#This Row],[Funnel Stage Reached]],"Lead",1,"MQL",2,"SQL",3,"Customer",4)</f>
        <v>1</v>
      </c>
      <c r="L1941" t="str">
        <f>TEXT(LeadsData[[#This Row],[Signup Date]],"mmm-yyyy")</f>
        <v>Sep-2024</v>
      </c>
      <c r="M1941">
        <f>IF(LeadsData[[#This Row],[Stage Number]]&gt;=2,1,0)</f>
        <v>0</v>
      </c>
      <c r="N1941" s="2">
        <f>IF(LeadsData[[#This Row],[Stage Number]]&gt;=3,1,0)</f>
        <v>0</v>
      </c>
      <c r="O1941" s="2">
        <f>IF(LeadsData[[#This Row],[Stage Number]]&gt;=4,1,0)</f>
        <v>0</v>
      </c>
    </row>
    <row r="1942" spans="1:15" x14ac:dyDescent="0.25">
      <c r="A1942" t="s">
        <v>1982</v>
      </c>
      <c r="B1942" s="1">
        <v>45353</v>
      </c>
      <c r="C1942" t="s">
        <v>11</v>
      </c>
      <c r="D1942" t="s">
        <v>79</v>
      </c>
      <c r="E1942" t="s">
        <v>13</v>
      </c>
      <c r="F1942" t="s">
        <v>19</v>
      </c>
      <c r="G1942" t="s">
        <v>23</v>
      </c>
      <c r="K1942" cm="1">
        <f t="array" ref="K1942">_xlfn.SWITCH(LeadsData[[#This Row],[Funnel Stage Reached]],"Lead",1,"MQL",2,"SQL",3,"Customer",4)</f>
        <v>2</v>
      </c>
      <c r="L1942" t="str">
        <f>TEXT(LeadsData[[#This Row],[Signup Date]],"mmm-yyyy")</f>
        <v>Mar-2024</v>
      </c>
      <c r="M1942">
        <f>IF(LeadsData[[#This Row],[Stage Number]]&gt;=2,1,0)</f>
        <v>1</v>
      </c>
      <c r="N1942" s="2">
        <f>IF(LeadsData[[#This Row],[Stage Number]]&gt;=3,1,0)</f>
        <v>0</v>
      </c>
      <c r="O1942" s="2">
        <f>IF(LeadsData[[#This Row],[Stage Number]]&gt;=4,1,0)</f>
        <v>0</v>
      </c>
    </row>
    <row r="1943" spans="1:15" x14ac:dyDescent="0.25">
      <c r="A1943" t="s">
        <v>1983</v>
      </c>
      <c r="B1943" s="1">
        <v>45509</v>
      </c>
      <c r="C1943" t="s">
        <v>46</v>
      </c>
      <c r="D1943" t="s">
        <v>56</v>
      </c>
      <c r="E1943" t="s">
        <v>13</v>
      </c>
      <c r="F1943" t="s">
        <v>19</v>
      </c>
      <c r="G1943" t="s">
        <v>42</v>
      </c>
      <c r="H1943">
        <v>48</v>
      </c>
      <c r="I1943" t="s">
        <v>43</v>
      </c>
      <c r="J1943">
        <v>517.9</v>
      </c>
      <c r="K1943" cm="1">
        <f t="array" ref="K1943">_xlfn.SWITCH(LeadsData[[#This Row],[Funnel Stage Reached]],"Lead",1,"MQL",2,"SQL",3,"Customer",4)</f>
        <v>4</v>
      </c>
      <c r="L1943" t="str">
        <f>TEXT(LeadsData[[#This Row],[Signup Date]],"mmm-yyyy")</f>
        <v>Aug-2024</v>
      </c>
      <c r="M1943">
        <f>IF(LeadsData[[#This Row],[Stage Number]]&gt;=2,1,0)</f>
        <v>1</v>
      </c>
      <c r="N1943" s="2">
        <f>IF(LeadsData[[#This Row],[Stage Number]]&gt;=3,1,0)</f>
        <v>1</v>
      </c>
      <c r="O1943" s="2">
        <f>IF(LeadsData[[#This Row],[Stage Number]]&gt;=4,1,0)</f>
        <v>1</v>
      </c>
    </row>
    <row r="1944" spans="1:15" x14ac:dyDescent="0.25">
      <c r="A1944" t="s">
        <v>1984</v>
      </c>
      <c r="B1944" s="1">
        <v>45581</v>
      </c>
      <c r="C1944" t="s">
        <v>36</v>
      </c>
      <c r="D1944" t="s">
        <v>37</v>
      </c>
      <c r="E1944" t="s">
        <v>13</v>
      </c>
      <c r="F1944" t="s">
        <v>19</v>
      </c>
      <c r="G1944" t="s">
        <v>42</v>
      </c>
      <c r="H1944">
        <v>63</v>
      </c>
      <c r="I1944" t="s">
        <v>87</v>
      </c>
      <c r="J1944">
        <v>3085.54</v>
      </c>
      <c r="K1944" cm="1">
        <f t="array" ref="K1944">_xlfn.SWITCH(LeadsData[[#This Row],[Funnel Stage Reached]],"Lead",1,"MQL",2,"SQL",3,"Customer",4)</f>
        <v>4</v>
      </c>
      <c r="L1944" t="str">
        <f>TEXT(LeadsData[[#This Row],[Signup Date]],"mmm-yyyy")</f>
        <v>Oct-2024</v>
      </c>
      <c r="M1944">
        <f>IF(LeadsData[[#This Row],[Stage Number]]&gt;=2,1,0)</f>
        <v>1</v>
      </c>
      <c r="N1944" s="2">
        <f>IF(LeadsData[[#This Row],[Stage Number]]&gt;=3,1,0)</f>
        <v>1</v>
      </c>
      <c r="O1944" s="2">
        <f>IF(LeadsData[[#This Row],[Stage Number]]&gt;=4,1,0)</f>
        <v>1</v>
      </c>
    </row>
    <row r="1945" spans="1:15" x14ac:dyDescent="0.25">
      <c r="A1945" t="s">
        <v>1985</v>
      </c>
      <c r="B1945" s="1">
        <v>45389</v>
      </c>
      <c r="C1945" t="s">
        <v>31</v>
      </c>
      <c r="D1945" t="s">
        <v>34</v>
      </c>
      <c r="E1945" t="s">
        <v>21</v>
      </c>
      <c r="F1945" t="s">
        <v>14</v>
      </c>
      <c r="G1945" t="s">
        <v>15</v>
      </c>
      <c r="K1945" cm="1">
        <f t="array" ref="K1945">_xlfn.SWITCH(LeadsData[[#This Row],[Funnel Stage Reached]],"Lead",1,"MQL",2,"SQL",3,"Customer",4)</f>
        <v>1</v>
      </c>
      <c r="L1945" t="str">
        <f>TEXT(LeadsData[[#This Row],[Signup Date]],"mmm-yyyy")</f>
        <v>Apr-2024</v>
      </c>
      <c r="M1945">
        <f>IF(LeadsData[[#This Row],[Stage Number]]&gt;=2,1,0)</f>
        <v>0</v>
      </c>
      <c r="N1945" s="2">
        <f>IF(LeadsData[[#This Row],[Stage Number]]&gt;=3,1,0)</f>
        <v>0</v>
      </c>
      <c r="O1945" s="2">
        <f>IF(LeadsData[[#This Row],[Stage Number]]&gt;=4,1,0)</f>
        <v>0</v>
      </c>
    </row>
    <row r="1946" spans="1:15" x14ac:dyDescent="0.25">
      <c r="A1946" t="s">
        <v>1986</v>
      </c>
      <c r="B1946" s="1">
        <v>45603</v>
      </c>
      <c r="C1946" t="s">
        <v>46</v>
      </c>
      <c r="D1946" t="s">
        <v>56</v>
      </c>
      <c r="E1946" t="s">
        <v>21</v>
      </c>
      <c r="F1946" t="s">
        <v>14</v>
      </c>
      <c r="G1946" t="s">
        <v>15</v>
      </c>
      <c r="K1946" cm="1">
        <f t="array" ref="K1946">_xlfn.SWITCH(LeadsData[[#This Row],[Funnel Stage Reached]],"Lead",1,"MQL",2,"SQL",3,"Customer",4)</f>
        <v>1</v>
      </c>
      <c r="L1946" t="str">
        <f>TEXT(LeadsData[[#This Row],[Signup Date]],"mmm-yyyy")</f>
        <v>Nov-2024</v>
      </c>
      <c r="M1946">
        <f>IF(LeadsData[[#This Row],[Stage Number]]&gt;=2,1,0)</f>
        <v>0</v>
      </c>
      <c r="N1946" s="2">
        <f>IF(LeadsData[[#This Row],[Stage Number]]&gt;=3,1,0)</f>
        <v>0</v>
      </c>
      <c r="O1946" s="2">
        <f>IF(LeadsData[[#This Row],[Stage Number]]&gt;=4,1,0)</f>
        <v>0</v>
      </c>
    </row>
    <row r="1947" spans="1:15" x14ac:dyDescent="0.25">
      <c r="A1947" t="s">
        <v>1987</v>
      </c>
      <c r="B1947" s="1">
        <v>45525</v>
      </c>
      <c r="C1947" t="s">
        <v>31</v>
      </c>
      <c r="D1947" t="s">
        <v>32</v>
      </c>
      <c r="E1947" t="s">
        <v>48</v>
      </c>
      <c r="F1947" t="s">
        <v>19</v>
      </c>
      <c r="G1947" t="s">
        <v>23</v>
      </c>
      <c r="K1947" cm="1">
        <f t="array" ref="K1947">_xlfn.SWITCH(LeadsData[[#This Row],[Funnel Stage Reached]],"Lead",1,"MQL",2,"SQL",3,"Customer",4)</f>
        <v>2</v>
      </c>
      <c r="L1947" t="str">
        <f>TEXT(LeadsData[[#This Row],[Signup Date]],"mmm-yyyy")</f>
        <v>Aug-2024</v>
      </c>
      <c r="M1947">
        <f>IF(LeadsData[[#This Row],[Stage Number]]&gt;=2,1,0)</f>
        <v>1</v>
      </c>
      <c r="N1947" s="2">
        <f>IF(LeadsData[[#This Row],[Stage Number]]&gt;=3,1,0)</f>
        <v>0</v>
      </c>
      <c r="O1947" s="2">
        <f>IF(LeadsData[[#This Row],[Stage Number]]&gt;=4,1,0)</f>
        <v>0</v>
      </c>
    </row>
    <row r="1948" spans="1:15" x14ac:dyDescent="0.25">
      <c r="A1948" t="s">
        <v>1988</v>
      </c>
      <c r="B1948" s="1">
        <v>45423</v>
      </c>
      <c r="C1948" t="s">
        <v>17</v>
      </c>
      <c r="D1948" t="s">
        <v>18</v>
      </c>
      <c r="E1948" t="s">
        <v>21</v>
      </c>
      <c r="F1948" t="s">
        <v>22</v>
      </c>
      <c r="G1948" t="s">
        <v>15</v>
      </c>
      <c r="K1948" cm="1">
        <f t="array" ref="K1948">_xlfn.SWITCH(LeadsData[[#This Row],[Funnel Stage Reached]],"Lead",1,"MQL",2,"SQL",3,"Customer",4)</f>
        <v>1</v>
      </c>
      <c r="L1948" t="str">
        <f>TEXT(LeadsData[[#This Row],[Signup Date]],"mmm-yyyy")</f>
        <v>May-2024</v>
      </c>
      <c r="M1948">
        <f>IF(LeadsData[[#This Row],[Stage Number]]&gt;=2,1,0)</f>
        <v>0</v>
      </c>
      <c r="N1948" s="2">
        <f>IF(LeadsData[[#This Row],[Stage Number]]&gt;=3,1,0)</f>
        <v>0</v>
      </c>
      <c r="O1948" s="2">
        <f>IF(LeadsData[[#This Row],[Stage Number]]&gt;=4,1,0)</f>
        <v>0</v>
      </c>
    </row>
    <row r="1949" spans="1:15" x14ac:dyDescent="0.25">
      <c r="A1949" t="s">
        <v>1989</v>
      </c>
      <c r="B1949" s="1">
        <v>45570</v>
      </c>
      <c r="C1949" t="s">
        <v>17</v>
      </c>
      <c r="D1949" t="s">
        <v>53</v>
      </c>
      <c r="E1949" t="s">
        <v>13</v>
      </c>
      <c r="F1949" t="s">
        <v>19</v>
      </c>
      <c r="G1949" t="s">
        <v>15</v>
      </c>
      <c r="K1949" cm="1">
        <f t="array" ref="K1949">_xlfn.SWITCH(LeadsData[[#This Row],[Funnel Stage Reached]],"Lead",1,"MQL",2,"SQL",3,"Customer",4)</f>
        <v>1</v>
      </c>
      <c r="L1949" t="str">
        <f>TEXT(LeadsData[[#This Row],[Signup Date]],"mmm-yyyy")</f>
        <v>Oct-2024</v>
      </c>
      <c r="M1949">
        <f>IF(LeadsData[[#This Row],[Stage Number]]&gt;=2,1,0)</f>
        <v>0</v>
      </c>
      <c r="N1949" s="2">
        <f>IF(LeadsData[[#This Row],[Stage Number]]&gt;=3,1,0)</f>
        <v>0</v>
      </c>
      <c r="O1949" s="2">
        <f>IF(LeadsData[[#This Row],[Stage Number]]&gt;=4,1,0)</f>
        <v>0</v>
      </c>
    </row>
    <row r="1950" spans="1:15" x14ac:dyDescent="0.25">
      <c r="A1950" t="s">
        <v>1990</v>
      </c>
      <c r="B1950" s="1">
        <v>45450</v>
      </c>
      <c r="C1950" t="s">
        <v>46</v>
      </c>
      <c r="D1950" t="s">
        <v>56</v>
      </c>
      <c r="E1950" t="s">
        <v>13</v>
      </c>
      <c r="F1950" t="s">
        <v>14</v>
      </c>
      <c r="G1950" t="s">
        <v>15</v>
      </c>
      <c r="K1950" cm="1">
        <f t="array" ref="K1950">_xlfn.SWITCH(LeadsData[[#This Row],[Funnel Stage Reached]],"Lead",1,"MQL",2,"SQL",3,"Customer",4)</f>
        <v>1</v>
      </c>
      <c r="L1950" t="str">
        <f>TEXT(LeadsData[[#This Row],[Signup Date]],"mmm-yyyy")</f>
        <v>Jun-2024</v>
      </c>
      <c r="M1950">
        <f>IF(LeadsData[[#This Row],[Stage Number]]&gt;=2,1,0)</f>
        <v>0</v>
      </c>
      <c r="N1950" s="2">
        <f>IF(LeadsData[[#This Row],[Stage Number]]&gt;=3,1,0)</f>
        <v>0</v>
      </c>
      <c r="O1950" s="2">
        <f>IF(LeadsData[[#This Row],[Stage Number]]&gt;=4,1,0)</f>
        <v>0</v>
      </c>
    </row>
    <row r="1951" spans="1:15" x14ac:dyDescent="0.25">
      <c r="A1951" t="s">
        <v>1991</v>
      </c>
      <c r="B1951" s="1">
        <v>45559</v>
      </c>
      <c r="C1951" t="s">
        <v>31</v>
      </c>
      <c r="D1951" t="s">
        <v>34</v>
      </c>
      <c r="E1951" t="s">
        <v>48</v>
      </c>
      <c r="F1951" t="s">
        <v>22</v>
      </c>
      <c r="G1951" t="s">
        <v>15</v>
      </c>
      <c r="K1951" cm="1">
        <f t="array" ref="K1951">_xlfn.SWITCH(LeadsData[[#This Row],[Funnel Stage Reached]],"Lead",1,"MQL",2,"SQL",3,"Customer",4)</f>
        <v>1</v>
      </c>
      <c r="L1951" t="str">
        <f>TEXT(LeadsData[[#This Row],[Signup Date]],"mmm-yyyy")</f>
        <v>Sep-2024</v>
      </c>
      <c r="M1951">
        <f>IF(LeadsData[[#This Row],[Stage Number]]&gt;=2,1,0)</f>
        <v>0</v>
      </c>
      <c r="N1951" s="2">
        <f>IF(LeadsData[[#This Row],[Stage Number]]&gt;=3,1,0)</f>
        <v>0</v>
      </c>
      <c r="O1951" s="2">
        <f>IF(LeadsData[[#This Row],[Stage Number]]&gt;=4,1,0)</f>
        <v>0</v>
      </c>
    </row>
    <row r="1952" spans="1:15" x14ac:dyDescent="0.25">
      <c r="A1952" t="s">
        <v>1992</v>
      </c>
      <c r="B1952" s="1">
        <v>45471</v>
      </c>
      <c r="C1952" t="s">
        <v>11</v>
      </c>
      <c r="D1952" t="s">
        <v>68</v>
      </c>
      <c r="E1952" t="s">
        <v>13</v>
      </c>
      <c r="F1952" t="s">
        <v>22</v>
      </c>
      <c r="G1952" t="s">
        <v>15</v>
      </c>
      <c r="K1952" cm="1">
        <f t="array" ref="K1952">_xlfn.SWITCH(LeadsData[[#This Row],[Funnel Stage Reached]],"Lead",1,"MQL",2,"SQL",3,"Customer",4)</f>
        <v>1</v>
      </c>
      <c r="L1952" t="str">
        <f>TEXT(LeadsData[[#This Row],[Signup Date]],"mmm-yyyy")</f>
        <v>Jun-2024</v>
      </c>
      <c r="M1952">
        <f>IF(LeadsData[[#This Row],[Stage Number]]&gt;=2,1,0)</f>
        <v>0</v>
      </c>
      <c r="N1952" s="2">
        <f>IF(LeadsData[[#This Row],[Stage Number]]&gt;=3,1,0)</f>
        <v>0</v>
      </c>
      <c r="O1952" s="2">
        <f>IF(LeadsData[[#This Row],[Stage Number]]&gt;=4,1,0)</f>
        <v>0</v>
      </c>
    </row>
    <row r="1953" spans="1:15" x14ac:dyDescent="0.25">
      <c r="A1953" t="s">
        <v>1993</v>
      </c>
      <c r="B1953" s="1">
        <v>45324</v>
      </c>
      <c r="C1953" t="s">
        <v>46</v>
      </c>
      <c r="D1953" t="s">
        <v>56</v>
      </c>
      <c r="E1953" t="s">
        <v>21</v>
      </c>
      <c r="F1953" t="s">
        <v>22</v>
      </c>
      <c r="G1953" t="s">
        <v>42</v>
      </c>
      <c r="H1953">
        <v>8</v>
      </c>
      <c r="I1953" t="s">
        <v>43</v>
      </c>
      <c r="J1953">
        <v>1453.02</v>
      </c>
      <c r="K1953" cm="1">
        <f t="array" ref="K1953">_xlfn.SWITCH(LeadsData[[#This Row],[Funnel Stage Reached]],"Lead",1,"MQL",2,"SQL",3,"Customer",4)</f>
        <v>4</v>
      </c>
      <c r="L1953" t="str">
        <f>TEXT(LeadsData[[#This Row],[Signup Date]],"mmm-yyyy")</f>
        <v>Feb-2024</v>
      </c>
      <c r="M1953">
        <f>IF(LeadsData[[#This Row],[Stage Number]]&gt;=2,1,0)</f>
        <v>1</v>
      </c>
      <c r="N1953" s="2">
        <f>IF(LeadsData[[#This Row],[Stage Number]]&gt;=3,1,0)</f>
        <v>1</v>
      </c>
      <c r="O1953" s="2">
        <f>IF(LeadsData[[#This Row],[Stage Number]]&gt;=4,1,0)</f>
        <v>1</v>
      </c>
    </row>
    <row r="1954" spans="1:15" x14ac:dyDescent="0.25">
      <c r="A1954" t="s">
        <v>1994</v>
      </c>
      <c r="B1954" s="1">
        <v>45633</v>
      </c>
      <c r="C1954" t="s">
        <v>11</v>
      </c>
      <c r="D1954" t="s">
        <v>79</v>
      </c>
      <c r="E1954" t="s">
        <v>13</v>
      </c>
      <c r="F1954" t="s">
        <v>14</v>
      </c>
      <c r="G1954" t="s">
        <v>15</v>
      </c>
      <c r="K1954" cm="1">
        <f t="array" ref="K1954">_xlfn.SWITCH(LeadsData[[#This Row],[Funnel Stage Reached]],"Lead",1,"MQL",2,"SQL",3,"Customer",4)</f>
        <v>1</v>
      </c>
      <c r="L1954" t="str">
        <f>TEXT(LeadsData[[#This Row],[Signup Date]],"mmm-yyyy")</f>
        <v>Dec-2024</v>
      </c>
      <c r="M1954">
        <f>IF(LeadsData[[#This Row],[Stage Number]]&gt;=2,1,0)</f>
        <v>0</v>
      </c>
      <c r="N1954" s="2">
        <f>IF(LeadsData[[#This Row],[Stage Number]]&gt;=3,1,0)</f>
        <v>0</v>
      </c>
      <c r="O1954" s="2">
        <f>IF(LeadsData[[#This Row],[Stage Number]]&gt;=4,1,0)</f>
        <v>0</v>
      </c>
    </row>
    <row r="1955" spans="1:15" x14ac:dyDescent="0.25">
      <c r="A1955" t="s">
        <v>1995</v>
      </c>
      <c r="B1955" s="1">
        <v>45313</v>
      </c>
      <c r="C1955" t="s">
        <v>25</v>
      </c>
      <c r="D1955" t="s">
        <v>26</v>
      </c>
      <c r="E1955" t="s">
        <v>13</v>
      </c>
      <c r="F1955" t="s">
        <v>14</v>
      </c>
      <c r="G1955" t="s">
        <v>29</v>
      </c>
      <c r="K1955" cm="1">
        <f t="array" ref="K1955">_xlfn.SWITCH(LeadsData[[#This Row],[Funnel Stage Reached]],"Lead",1,"MQL",2,"SQL",3,"Customer",4)</f>
        <v>3</v>
      </c>
      <c r="L1955" t="str">
        <f>TEXT(LeadsData[[#This Row],[Signup Date]],"mmm-yyyy")</f>
        <v>Jan-2024</v>
      </c>
      <c r="M1955">
        <f>IF(LeadsData[[#This Row],[Stage Number]]&gt;=2,1,0)</f>
        <v>1</v>
      </c>
      <c r="N1955" s="2">
        <f>IF(LeadsData[[#This Row],[Stage Number]]&gt;=3,1,0)</f>
        <v>1</v>
      </c>
      <c r="O1955" s="2">
        <f>IF(LeadsData[[#This Row],[Stage Number]]&gt;=4,1,0)</f>
        <v>0</v>
      </c>
    </row>
    <row r="1956" spans="1:15" x14ac:dyDescent="0.25">
      <c r="A1956" t="s">
        <v>1996</v>
      </c>
      <c r="B1956" s="1">
        <v>45514</v>
      </c>
      <c r="C1956" t="s">
        <v>17</v>
      </c>
      <c r="D1956" t="s">
        <v>18</v>
      </c>
      <c r="E1956" t="s">
        <v>13</v>
      </c>
      <c r="F1956" t="s">
        <v>19</v>
      </c>
      <c r="G1956" t="s">
        <v>15</v>
      </c>
      <c r="K1956" cm="1">
        <f t="array" ref="K1956">_xlfn.SWITCH(LeadsData[[#This Row],[Funnel Stage Reached]],"Lead",1,"MQL",2,"SQL",3,"Customer",4)</f>
        <v>1</v>
      </c>
      <c r="L1956" t="str">
        <f>TEXT(LeadsData[[#This Row],[Signup Date]],"mmm-yyyy")</f>
        <v>Aug-2024</v>
      </c>
      <c r="M1956">
        <f>IF(LeadsData[[#This Row],[Stage Number]]&gt;=2,1,0)</f>
        <v>0</v>
      </c>
      <c r="N1956" s="2">
        <f>IF(LeadsData[[#This Row],[Stage Number]]&gt;=3,1,0)</f>
        <v>0</v>
      </c>
      <c r="O1956" s="2">
        <f>IF(LeadsData[[#This Row],[Stage Number]]&gt;=4,1,0)</f>
        <v>0</v>
      </c>
    </row>
    <row r="1957" spans="1:15" x14ac:dyDescent="0.25">
      <c r="A1957" t="s">
        <v>1997</v>
      </c>
      <c r="B1957" s="1">
        <v>45299</v>
      </c>
      <c r="C1957" t="s">
        <v>17</v>
      </c>
      <c r="D1957" t="s">
        <v>18</v>
      </c>
      <c r="E1957" t="s">
        <v>21</v>
      </c>
      <c r="F1957" t="s">
        <v>22</v>
      </c>
      <c r="G1957" t="s">
        <v>15</v>
      </c>
      <c r="K1957" cm="1">
        <f t="array" ref="K1957">_xlfn.SWITCH(LeadsData[[#This Row],[Funnel Stage Reached]],"Lead",1,"MQL",2,"SQL",3,"Customer",4)</f>
        <v>1</v>
      </c>
      <c r="L1957" t="str">
        <f>TEXT(LeadsData[[#This Row],[Signup Date]],"mmm-yyyy")</f>
        <v>Jan-2024</v>
      </c>
      <c r="M1957">
        <f>IF(LeadsData[[#This Row],[Stage Number]]&gt;=2,1,0)</f>
        <v>0</v>
      </c>
      <c r="N1957" s="2">
        <f>IF(LeadsData[[#This Row],[Stage Number]]&gt;=3,1,0)</f>
        <v>0</v>
      </c>
      <c r="O1957" s="2">
        <f>IF(LeadsData[[#This Row],[Stage Number]]&gt;=4,1,0)</f>
        <v>0</v>
      </c>
    </row>
    <row r="1958" spans="1:15" x14ac:dyDescent="0.25">
      <c r="A1958" t="s">
        <v>1998</v>
      </c>
      <c r="B1958" s="1">
        <v>45576</v>
      </c>
      <c r="C1958" t="s">
        <v>11</v>
      </c>
      <c r="D1958" t="s">
        <v>12</v>
      </c>
      <c r="E1958" t="s">
        <v>13</v>
      </c>
      <c r="F1958" t="s">
        <v>28</v>
      </c>
      <c r="G1958" t="s">
        <v>15</v>
      </c>
      <c r="K1958" cm="1">
        <f t="array" ref="K1958">_xlfn.SWITCH(LeadsData[[#This Row],[Funnel Stage Reached]],"Lead",1,"MQL",2,"SQL",3,"Customer",4)</f>
        <v>1</v>
      </c>
      <c r="L1958" t="str">
        <f>TEXT(LeadsData[[#This Row],[Signup Date]],"mmm-yyyy")</f>
        <v>Oct-2024</v>
      </c>
      <c r="M1958">
        <f>IF(LeadsData[[#This Row],[Stage Number]]&gt;=2,1,0)</f>
        <v>0</v>
      </c>
      <c r="N1958" s="2">
        <f>IF(LeadsData[[#This Row],[Stage Number]]&gt;=3,1,0)</f>
        <v>0</v>
      </c>
      <c r="O1958" s="2">
        <f>IF(LeadsData[[#This Row],[Stage Number]]&gt;=4,1,0)</f>
        <v>0</v>
      </c>
    </row>
    <row r="1959" spans="1:15" x14ac:dyDescent="0.25">
      <c r="A1959" t="s">
        <v>1999</v>
      </c>
      <c r="B1959" s="1">
        <v>45602</v>
      </c>
      <c r="C1959" t="s">
        <v>31</v>
      </c>
      <c r="D1959" t="s">
        <v>32</v>
      </c>
      <c r="E1959" t="s">
        <v>13</v>
      </c>
      <c r="F1959" t="s">
        <v>19</v>
      </c>
      <c r="G1959" t="s">
        <v>29</v>
      </c>
      <c r="K1959" cm="1">
        <f t="array" ref="K1959">_xlfn.SWITCH(LeadsData[[#This Row],[Funnel Stage Reached]],"Lead",1,"MQL",2,"SQL",3,"Customer",4)</f>
        <v>3</v>
      </c>
      <c r="L1959" t="str">
        <f>TEXT(LeadsData[[#This Row],[Signup Date]],"mmm-yyyy")</f>
        <v>Nov-2024</v>
      </c>
      <c r="M1959">
        <f>IF(LeadsData[[#This Row],[Stage Number]]&gt;=2,1,0)</f>
        <v>1</v>
      </c>
      <c r="N1959" s="2">
        <f>IF(LeadsData[[#This Row],[Stage Number]]&gt;=3,1,0)</f>
        <v>1</v>
      </c>
      <c r="O1959" s="2">
        <f>IF(LeadsData[[#This Row],[Stage Number]]&gt;=4,1,0)</f>
        <v>0</v>
      </c>
    </row>
    <row r="1960" spans="1:15" x14ac:dyDescent="0.25">
      <c r="A1960" t="s">
        <v>2000</v>
      </c>
      <c r="B1960" s="1">
        <v>45575</v>
      </c>
      <c r="C1960" t="s">
        <v>31</v>
      </c>
      <c r="D1960" t="s">
        <v>34</v>
      </c>
      <c r="E1960" t="s">
        <v>13</v>
      </c>
      <c r="F1960" t="s">
        <v>19</v>
      </c>
      <c r="G1960" t="s">
        <v>23</v>
      </c>
      <c r="K1960" cm="1">
        <f t="array" ref="K1960">_xlfn.SWITCH(LeadsData[[#This Row],[Funnel Stage Reached]],"Lead",1,"MQL",2,"SQL",3,"Customer",4)</f>
        <v>2</v>
      </c>
      <c r="L1960" t="str">
        <f>TEXT(LeadsData[[#This Row],[Signup Date]],"mmm-yyyy")</f>
        <v>Oct-2024</v>
      </c>
      <c r="M1960">
        <f>IF(LeadsData[[#This Row],[Stage Number]]&gt;=2,1,0)</f>
        <v>1</v>
      </c>
      <c r="N1960" s="2">
        <f>IF(LeadsData[[#This Row],[Stage Number]]&gt;=3,1,0)</f>
        <v>0</v>
      </c>
      <c r="O1960" s="2">
        <f>IF(LeadsData[[#This Row],[Stage Number]]&gt;=4,1,0)</f>
        <v>0</v>
      </c>
    </row>
    <row r="1961" spans="1:15" x14ac:dyDescent="0.25">
      <c r="A1961" t="s">
        <v>2001</v>
      </c>
      <c r="B1961" s="1">
        <v>45313</v>
      </c>
      <c r="C1961" t="s">
        <v>46</v>
      </c>
      <c r="D1961" t="s">
        <v>56</v>
      </c>
      <c r="E1961" t="s">
        <v>13</v>
      </c>
      <c r="F1961" t="s">
        <v>19</v>
      </c>
      <c r="G1961" t="s">
        <v>15</v>
      </c>
      <c r="K1961" cm="1">
        <f t="array" ref="K1961">_xlfn.SWITCH(LeadsData[[#This Row],[Funnel Stage Reached]],"Lead",1,"MQL",2,"SQL",3,"Customer",4)</f>
        <v>1</v>
      </c>
      <c r="L1961" t="str">
        <f>TEXT(LeadsData[[#This Row],[Signup Date]],"mmm-yyyy")</f>
        <v>Jan-2024</v>
      </c>
      <c r="M1961">
        <f>IF(LeadsData[[#This Row],[Stage Number]]&gt;=2,1,0)</f>
        <v>0</v>
      </c>
      <c r="N1961" s="2">
        <f>IF(LeadsData[[#This Row],[Stage Number]]&gt;=3,1,0)</f>
        <v>0</v>
      </c>
      <c r="O1961" s="2">
        <f>IF(LeadsData[[#This Row],[Stage Number]]&gt;=4,1,0)</f>
        <v>0</v>
      </c>
    </row>
    <row r="1962" spans="1:15" x14ac:dyDescent="0.25">
      <c r="A1962" t="s">
        <v>2002</v>
      </c>
      <c r="B1962" s="1">
        <v>45390</v>
      </c>
      <c r="C1962" t="s">
        <v>11</v>
      </c>
      <c r="D1962" t="s">
        <v>68</v>
      </c>
      <c r="E1962" t="s">
        <v>21</v>
      </c>
      <c r="F1962" t="s">
        <v>19</v>
      </c>
      <c r="G1962" t="s">
        <v>15</v>
      </c>
      <c r="K1962" cm="1">
        <f t="array" ref="K1962">_xlfn.SWITCH(LeadsData[[#This Row],[Funnel Stage Reached]],"Lead",1,"MQL",2,"SQL",3,"Customer",4)</f>
        <v>1</v>
      </c>
      <c r="L1962" t="str">
        <f>TEXT(LeadsData[[#This Row],[Signup Date]],"mmm-yyyy")</f>
        <v>Apr-2024</v>
      </c>
      <c r="M1962">
        <f>IF(LeadsData[[#This Row],[Stage Number]]&gt;=2,1,0)</f>
        <v>0</v>
      </c>
      <c r="N1962" s="2">
        <f>IF(LeadsData[[#This Row],[Stage Number]]&gt;=3,1,0)</f>
        <v>0</v>
      </c>
      <c r="O1962" s="2">
        <f>IF(LeadsData[[#This Row],[Stage Number]]&gt;=4,1,0)</f>
        <v>0</v>
      </c>
    </row>
    <row r="1963" spans="1:15" x14ac:dyDescent="0.25">
      <c r="A1963" t="s">
        <v>2003</v>
      </c>
      <c r="B1963" s="1">
        <v>45325</v>
      </c>
      <c r="C1963" t="s">
        <v>31</v>
      </c>
      <c r="D1963" t="s">
        <v>32</v>
      </c>
      <c r="E1963" t="s">
        <v>13</v>
      </c>
      <c r="F1963" t="s">
        <v>19</v>
      </c>
      <c r="G1963" t="s">
        <v>23</v>
      </c>
      <c r="K1963" cm="1">
        <f t="array" ref="K1963">_xlfn.SWITCH(LeadsData[[#This Row],[Funnel Stage Reached]],"Lead",1,"MQL",2,"SQL",3,"Customer",4)</f>
        <v>2</v>
      </c>
      <c r="L1963" t="str">
        <f>TEXT(LeadsData[[#This Row],[Signup Date]],"mmm-yyyy")</f>
        <v>Feb-2024</v>
      </c>
      <c r="M1963">
        <f>IF(LeadsData[[#This Row],[Stage Number]]&gt;=2,1,0)</f>
        <v>1</v>
      </c>
      <c r="N1963" s="2">
        <f>IF(LeadsData[[#This Row],[Stage Number]]&gt;=3,1,0)</f>
        <v>0</v>
      </c>
      <c r="O1963" s="2">
        <f>IF(LeadsData[[#This Row],[Stage Number]]&gt;=4,1,0)</f>
        <v>0</v>
      </c>
    </row>
    <row r="1964" spans="1:15" x14ac:dyDescent="0.25">
      <c r="A1964" t="s">
        <v>2004</v>
      </c>
      <c r="B1964" s="1">
        <v>45491</v>
      </c>
      <c r="C1964" t="s">
        <v>36</v>
      </c>
      <c r="D1964" t="s">
        <v>37</v>
      </c>
      <c r="E1964" t="s">
        <v>13</v>
      </c>
      <c r="F1964" t="s">
        <v>22</v>
      </c>
      <c r="G1964" t="s">
        <v>23</v>
      </c>
      <c r="K1964" cm="1">
        <f t="array" ref="K1964">_xlfn.SWITCH(LeadsData[[#This Row],[Funnel Stage Reached]],"Lead",1,"MQL",2,"SQL",3,"Customer",4)</f>
        <v>2</v>
      </c>
      <c r="L1964" t="str">
        <f>TEXT(LeadsData[[#This Row],[Signup Date]],"mmm-yyyy")</f>
        <v>Jul-2024</v>
      </c>
      <c r="M1964">
        <f>IF(LeadsData[[#This Row],[Stage Number]]&gt;=2,1,0)</f>
        <v>1</v>
      </c>
      <c r="N1964" s="2">
        <f>IF(LeadsData[[#This Row],[Stage Number]]&gt;=3,1,0)</f>
        <v>0</v>
      </c>
      <c r="O1964" s="2">
        <f>IF(LeadsData[[#This Row],[Stage Number]]&gt;=4,1,0)</f>
        <v>0</v>
      </c>
    </row>
    <row r="1965" spans="1:15" x14ac:dyDescent="0.25">
      <c r="A1965" t="s">
        <v>2005</v>
      </c>
      <c r="B1965" s="1">
        <v>45640</v>
      </c>
      <c r="C1965" t="s">
        <v>11</v>
      </c>
      <c r="D1965" t="s">
        <v>12</v>
      </c>
      <c r="E1965" t="s">
        <v>13</v>
      </c>
      <c r="F1965" t="s">
        <v>14</v>
      </c>
      <c r="G1965" t="s">
        <v>15</v>
      </c>
      <c r="K1965" cm="1">
        <f t="array" ref="K1965">_xlfn.SWITCH(LeadsData[[#This Row],[Funnel Stage Reached]],"Lead",1,"MQL",2,"SQL",3,"Customer",4)</f>
        <v>1</v>
      </c>
      <c r="L1965" t="str">
        <f>TEXT(LeadsData[[#This Row],[Signup Date]],"mmm-yyyy")</f>
        <v>Dec-2024</v>
      </c>
      <c r="M1965">
        <f>IF(LeadsData[[#This Row],[Stage Number]]&gt;=2,1,0)</f>
        <v>0</v>
      </c>
      <c r="N1965" s="2">
        <f>IF(LeadsData[[#This Row],[Stage Number]]&gt;=3,1,0)</f>
        <v>0</v>
      </c>
      <c r="O1965" s="2">
        <f>IF(LeadsData[[#This Row],[Stage Number]]&gt;=4,1,0)</f>
        <v>0</v>
      </c>
    </row>
    <row r="1966" spans="1:15" x14ac:dyDescent="0.25">
      <c r="A1966" t="s">
        <v>2006</v>
      </c>
      <c r="B1966" s="1">
        <v>45406</v>
      </c>
      <c r="C1966" t="s">
        <v>36</v>
      </c>
      <c r="D1966" t="s">
        <v>37</v>
      </c>
      <c r="E1966" t="s">
        <v>13</v>
      </c>
      <c r="F1966" t="s">
        <v>19</v>
      </c>
      <c r="G1966" t="s">
        <v>15</v>
      </c>
      <c r="K1966" cm="1">
        <f t="array" ref="K1966">_xlfn.SWITCH(LeadsData[[#This Row],[Funnel Stage Reached]],"Lead",1,"MQL",2,"SQL",3,"Customer",4)</f>
        <v>1</v>
      </c>
      <c r="L1966" t="str">
        <f>TEXT(LeadsData[[#This Row],[Signup Date]],"mmm-yyyy")</f>
        <v>Apr-2024</v>
      </c>
      <c r="M1966">
        <f>IF(LeadsData[[#This Row],[Stage Number]]&gt;=2,1,0)</f>
        <v>0</v>
      </c>
      <c r="N1966" s="2">
        <f>IF(LeadsData[[#This Row],[Stage Number]]&gt;=3,1,0)</f>
        <v>0</v>
      </c>
      <c r="O1966" s="2">
        <f>IF(LeadsData[[#This Row],[Stage Number]]&gt;=4,1,0)</f>
        <v>0</v>
      </c>
    </row>
    <row r="1967" spans="1:15" x14ac:dyDescent="0.25">
      <c r="A1967" t="s">
        <v>2007</v>
      </c>
      <c r="B1967" s="1">
        <v>45386</v>
      </c>
      <c r="C1967" t="s">
        <v>36</v>
      </c>
      <c r="D1967" t="s">
        <v>50</v>
      </c>
      <c r="E1967" t="s">
        <v>13</v>
      </c>
      <c r="F1967" t="s">
        <v>19</v>
      </c>
      <c r="G1967" t="s">
        <v>23</v>
      </c>
      <c r="K1967" cm="1">
        <f t="array" ref="K1967">_xlfn.SWITCH(LeadsData[[#This Row],[Funnel Stage Reached]],"Lead",1,"MQL",2,"SQL",3,"Customer",4)</f>
        <v>2</v>
      </c>
      <c r="L1967" t="str">
        <f>TEXT(LeadsData[[#This Row],[Signup Date]],"mmm-yyyy")</f>
        <v>Apr-2024</v>
      </c>
      <c r="M1967">
        <f>IF(LeadsData[[#This Row],[Stage Number]]&gt;=2,1,0)</f>
        <v>1</v>
      </c>
      <c r="N1967" s="2">
        <f>IF(LeadsData[[#This Row],[Stage Number]]&gt;=3,1,0)</f>
        <v>0</v>
      </c>
      <c r="O1967" s="2">
        <f>IF(LeadsData[[#This Row],[Stage Number]]&gt;=4,1,0)</f>
        <v>0</v>
      </c>
    </row>
    <row r="1968" spans="1:15" x14ac:dyDescent="0.25">
      <c r="A1968" t="s">
        <v>2008</v>
      </c>
      <c r="B1968" s="1">
        <v>45414</v>
      </c>
      <c r="C1968" t="s">
        <v>17</v>
      </c>
      <c r="D1968" t="s">
        <v>18</v>
      </c>
      <c r="E1968" t="s">
        <v>13</v>
      </c>
      <c r="F1968" t="s">
        <v>19</v>
      </c>
      <c r="G1968" t="s">
        <v>15</v>
      </c>
      <c r="K1968" cm="1">
        <f t="array" ref="K1968">_xlfn.SWITCH(LeadsData[[#This Row],[Funnel Stage Reached]],"Lead",1,"MQL",2,"SQL",3,"Customer",4)</f>
        <v>1</v>
      </c>
      <c r="L1968" t="str">
        <f>TEXT(LeadsData[[#This Row],[Signup Date]],"mmm-yyyy")</f>
        <v>May-2024</v>
      </c>
      <c r="M1968">
        <f>IF(LeadsData[[#This Row],[Stage Number]]&gt;=2,1,0)</f>
        <v>0</v>
      </c>
      <c r="N1968" s="2">
        <f>IF(LeadsData[[#This Row],[Stage Number]]&gt;=3,1,0)</f>
        <v>0</v>
      </c>
      <c r="O1968" s="2">
        <f>IF(LeadsData[[#This Row],[Stage Number]]&gt;=4,1,0)</f>
        <v>0</v>
      </c>
    </row>
    <row r="1969" spans="1:15" x14ac:dyDescent="0.25">
      <c r="A1969" t="s">
        <v>2009</v>
      </c>
      <c r="B1969" s="1">
        <v>45437</v>
      </c>
      <c r="C1969" t="s">
        <v>17</v>
      </c>
      <c r="D1969" t="s">
        <v>18</v>
      </c>
      <c r="E1969" t="s">
        <v>13</v>
      </c>
      <c r="F1969" t="s">
        <v>14</v>
      </c>
      <c r="G1969" t="s">
        <v>15</v>
      </c>
      <c r="K1969" cm="1">
        <f t="array" ref="K1969">_xlfn.SWITCH(LeadsData[[#This Row],[Funnel Stage Reached]],"Lead",1,"MQL",2,"SQL",3,"Customer",4)</f>
        <v>1</v>
      </c>
      <c r="L1969" t="str">
        <f>TEXT(LeadsData[[#This Row],[Signup Date]],"mmm-yyyy")</f>
        <v>May-2024</v>
      </c>
      <c r="M1969">
        <f>IF(LeadsData[[#This Row],[Stage Number]]&gt;=2,1,0)</f>
        <v>0</v>
      </c>
      <c r="N1969" s="2">
        <f>IF(LeadsData[[#This Row],[Stage Number]]&gt;=3,1,0)</f>
        <v>0</v>
      </c>
      <c r="O1969" s="2">
        <f>IF(LeadsData[[#This Row],[Stage Number]]&gt;=4,1,0)</f>
        <v>0</v>
      </c>
    </row>
    <row r="1970" spans="1:15" x14ac:dyDescent="0.25">
      <c r="A1970" t="s">
        <v>2010</v>
      </c>
      <c r="B1970" s="1">
        <v>45610</v>
      </c>
      <c r="C1970" t="s">
        <v>17</v>
      </c>
      <c r="D1970" t="s">
        <v>18</v>
      </c>
      <c r="E1970" t="s">
        <v>13</v>
      </c>
      <c r="F1970" t="s">
        <v>19</v>
      </c>
      <c r="G1970" t="s">
        <v>15</v>
      </c>
      <c r="K1970" cm="1">
        <f t="array" ref="K1970">_xlfn.SWITCH(LeadsData[[#This Row],[Funnel Stage Reached]],"Lead",1,"MQL",2,"SQL",3,"Customer",4)</f>
        <v>1</v>
      </c>
      <c r="L1970" t="str">
        <f>TEXT(LeadsData[[#This Row],[Signup Date]],"mmm-yyyy")</f>
        <v>Nov-2024</v>
      </c>
      <c r="M1970">
        <f>IF(LeadsData[[#This Row],[Stage Number]]&gt;=2,1,0)</f>
        <v>0</v>
      </c>
      <c r="N1970" s="2">
        <f>IF(LeadsData[[#This Row],[Stage Number]]&gt;=3,1,0)</f>
        <v>0</v>
      </c>
      <c r="O1970" s="2">
        <f>IF(LeadsData[[#This Row],[Stage Number]]&gt;=4,1,0)</f>
        <v>0</v>
      </c>
    </row>
    <row r="1971" spans="1:15" x14ac:dyDescent="0.25">
      <c r="A1971" t="s">
        <v>2011</v>
      </c>
      <c r="B1971" s="1">
        <v>45597</v>
      </c>
      <c r="C1971" t="s">
        <v>36</v>
      </c>
      <c r="D1971" t="s">
        <v>50</v>
      </c>
      <c r="E1971" t="s">
        <v>13</v>
      </c>
      <c r="F1971" t="s">
        <v>19</v>
      </c>
      <c r="G1971" t="s">
        <v>15</v>
      </c>
      <c r="K1971" cm="1">
        <f t="array" ref="K1971">_xlfn.SWITCH(LeadsData[[#This Row],[Funnel Stage Reached]],"Lead",1,"MQL",2,"SQL",3,"Customer",4)</f>
        <v>1</v>
      </c>
      <c r="L1971" t="str">
        <f>TEXT(LeadsData[[#This Row],[Signup Date]],"mmm-yyyy")</f>
        <v>Nov-2024</v>
      </c>
      <c r="M1971">
        <f>IF(LeadsData[[#This Row],[Stage Number]]&gt;=2,1,0)</f>
        <v>0</v>
      </c>
      <c r="N1971" s="2">
        <f>IF(LeadsData[[#This Row],[Stage Number]]&gt;=3,1,0)</f>
        <v>0</v>
      </c>
      <c r="O1971" s="2">
        <f>IF(LeadsData[[#This Row],[Stage Number]]&gt;=4,1,0)</f>
        <v>0</v>
      </c>
    </row>
    <row r="1972" spans="1:15" x14ac:dyDescent="0.25">
      <c r="A1972" t="s">
        <v>2012</v>
      </c>
      <c r="B1972" s="1">
        <v>45409</v>
      </c>
      <c r="C1972" t="s">
        <v>46</v>
      </c>
      <c r="D1972" t="s">
        <v>47</v>
      </c>
      <c r="E1972" t="s">
        <v>13</v>
      </c>
      <c r="F1972" t="s">
        <v>14</v>
      </c>
      <c r="G1972" t="s">
        <v>15</v>
      </c>
      <c r="K1972" cm="1">
        <f t="array" ref="K1972">_xlfn.SWITCH(LeadsData[[#This Row],[Funnel Stage Reached]],"Lead",1,"MQL",2,"SQL",3,"Customer",4)</f>
        <v>1</v>
      </c>
      <c r="L1972" t="str">
        <f>TEXT(LeadsData[[#This Row],[Signup Date]],"mmm-yyyy")</f>
        <v>Apr-2024</v>
      </c>
      <c r="M1972">
        <f>IF(LeadsData[[#This Row],[Stage Number]]&gt;=2,1,0)</f>
        <v>0</v>
      </c>
      <c r="N1972" s="2">
        <f>IF(LeadsData[[#This Row],[Stage Number]]&gt;=3,1,0)</f>
        <v>0</v>
      </c>
      <c r="O1972" s="2">
        <f>IF(LeadsData[[#This Row],[Stage Number]]&gt;=4,1,0)</f>
        <v>0</v>
      </c>
    </row>
    <row r="1973" spans="1:15" x14ac:dyDescent="0.25">
      <c r="A1973" t="s">
        <v>2013</v>
      </c>
      <c r="B1973" s="1">
        <v>45358</v>
      </c>
      <c r="C1973" t="s">
        <v>17</v>
      </c>
      <c r="D1973" t="s">
        <v>18</v>
      </c>
      <c r="E1973" t="s">
        <v>13</v>
      </c>
      <c r="F1973" t="s">
        <v>22</v>
      </c>
      <c r="G1973" t="s">
        <v>15</v>
      </c>
      <c r="K1973" cm="1">
        <f t="array" ref="K1973">_xlfn.SWITCH(LeadsData[[#This Row],[Funnel Stage Reached]],"Lead",1,"MQL",2,"SQL",3,"Customer",4)</f>
        <v>1</v>
      </c>
      <c r="L1973" t="str">
        <f>TEXT(LeadsData[[#This Row],[Signup Date]],"mmm-yyyy")</f>
        <v>Mar-2024</v>
      </c>
      <c r="M1973">
        <f>IF(LeadsData[[#This Row],[Stage Number]]&gt;=2,1,0)</f>
        <v>0</v>
      </c>
      <c r="N1973" s="2">
        <f>IF(LeadsData[[#This Row],[Stage Number]]&gt;=3,1,0)</f>
        <v>0</v>
      </c>
      <c r="O1973" s="2">
        <f>IF(LeadsData[[#This Row],[Stage Number]]&gt;=4,1,0)</f>
        <v>0</v>
      </c>
    </row>
    <row r="1974" spans="1:15" x14ac:dyDescent="0.25">
      <c r="A1974" t="s">
        <v>2014</v>
      </c>
      <c r="B1974" s="1">
        <v>45394</v>
      </c>
      <c r="C1974" t="s">
        <v>31</v>
      </c>
      <c r="D1974" t="s">
        <v>34</v>
      </c>
      <c r="E1974" t="s">
        <v>13</v>
      </c>
      <c r="F1974" t="s">
        <v>19</v>
      </c>
      <c r="G1974" t="s">
        <v>15</v>
      </c>
      <c r="K1974" cm="1">
        <f t="array" ref="K1974">_xlfn.SWITCH(LeadsData[[#This Row],[Funnel Stage Reached]],"Lead",1,"MQL",2,"SQL",3,"Customer",4)</f>
        <v>1</v>
      </c>
      <c r="L1974" t="str">
        <f>TEXT(LeadsData[[#This Row],[Signup Date]],"mmm-yyyy")</f>
        <v>Apr-2024</v>
      </c>
      <c r="M1974">
        <f>IF(LeadsData[[#This Row],[Stage Number]]&gt;=2,1,0)</f>
        <v>0</v>
      </c>
      <c r="N1974" s="2">
        <f>IF(LeadsData[[#This Row],[Stage Number]]&gt;=3,1,0)</f>
        <v>0</v>
      </c>
      <c r="O1974" s="2">
        <f>IF(LeadsData[[#This Row],[Stage Number]]&gt;=4,1,0)</f>
        <v>0</v>
      </c>
    </row>
    <row r="1975" spans="1:15" x14ac:dyDescent="0.25">
      <c r="A1975" t="s">
        <v>2015</v>
      </c>
      <c r="B1975" s="1">
        <v>45312</v>
      </c>
      <c r="C1975" t="s">
        <v>17</v>
      </c>
      <c r="D1975" t="s">
        <v>18</v>
      </c>
      <c r="E1975" t="s">
        <v>13</v>
      </c>
      <c r="F1975" t="s">
        <v>14</v>
      </c>
      <c r="G1975" t="s">
        <v>15</v>
      </c>
      <c r="K1975" cm="1">
        <f t="array" ref="K1975">_xlfn.SWITCH(LeadsData[[#This Row],[Funnel Stage Reached]],"Lead",1,"MQL",2,"SQL",3,"Customer",4)</f>
        <v>1</v>
      </c>
      <c r="L1975" t="str">
        <f>TEXT(LeadsData[[#This Row],[Signup Date]],"mmm-yyyy")</f>
        <v>Jan-2024</v>
      </c>
      <c r="M1975">
        <f>IF(LeadsData[[#This Row],[Stage Number]]&gt;=2,1,0)</f>
        <v>0</v>
      </c>
      <c r="N1975" s="2">
        <f>IF(LeadsData[[#This Row],[Stage Number]]&gt;=3,1,0)</f>
        <v>0</v>
      </c>
      <c r="O1975" s="2">
        <f>IF(LeadsData[[#This Row],[Stage Number]]&gt;=4,1,0)</f>
        <v>0</v>
      </c>
    </row>
    <row r="1976" spans="1:15" x14ac:dyDescent="0.25">
      <c r="A1976" t="s">
        <v>2016</v>
      </c>
      <c r="B1976" s="1">
        <v>45591</v>
      </c>
      <c r="C1976" t="s">
        <v>46</v>
      </c>
      <c r="D1976" t="s">
        <v>47</v>
      </c>
      <c r="E1976" t="s">
        <v>21</v>
      </c>
      <c r="F1976" t="s">
        <v>19</v>
      </c>
      <c r="G1976" t="s">
        <v>15</v>
      </c>
      <c r="K1976" cm="1">
        <f t="array" ref="K1976">_xlfn.SWITCH(LeadsData[[#This Row],[Funnel Stage Reached]],"Lead",1,"MQL",2,"SQL",3,"Customer",4)</f>
        <v>1</v>
      </c>
      <c r="L1976" t="str">
        <f>TEXT(LeadsData[[#This Row],[Signup Date]],"mmm-yyyy")</f>
        <v>Oct-2024</v>
      </c>
      <c r="M1976">
        <f>IF(LeadsData[[#This Row],[Stage Number]]&gt;=2,1,0)</f>
        <v>0</v>
      </c>
      <c r="N1976" s="2">
        <f>IF(LeadsData[[#This Row],[Stage Number]]&gt;=3,1,0)</f>
        <v>0</v>
      </c>
      <c r="O1976" s="2">
        <f>IF(LeadsData[[#This Row],[Stage Number]]&gt;=4,1,0)</f>
        <v>0</v>
      </c>
    </row>
    <row r="1977" spans="1:15" x14ac:dyDescent="0.25">
      <c r="A1977" t="s">
        <v>2017</v>
      </c>
      <c r="B1977" s="1">
        <v>45498</v>
      </c>
      <c r="C1977" t="s">
        <v>46</v>
      </c>
      <c r="D1977" t="s">
        <v>47</v>
      </c>
      <c r="E1977" t="s">
        <v>13</v>
      </c>
      <c r="F1977" t="s">
        <v>19</v>
      </c>
      <c r="G1977" t="s">
        <v>15</v>
      </c>
      <c r="K1977" cm="1">
        <f t="array" ref="K1977">_xlfn.SWITCH(LeadsData[[#This Row],[Funnel Stage Reached]],"Lead",1,"MQL",2,"SQL",3,"Customer",4)</f>
        <v>1</v>
      </c>
      <c r="L1977" t="str">
        <f>TEXT(LeadsData[[#This Row],[Signup Date]],"mmm-yyyy")</f>
        <v>Jul-2024</v>
      </c>
      <c r="M1977">
        <f>IF(LeadsData[[#This Row],[Stage Number]]&gt;=2,1,0)</f>
        <v>0</v>
      </c>
      <c r="N1977" s="2">
        <f>IF(LeadsData[[#This Row],[Stage Number]]&gt;=3,1,0)</f>
        <v>0</v>
      </c>
      <c r="O1977" s="2">
        <f>IF(LeadsData[[#This Row],[Stage Number]]&gt;=4,1,0)</f>
        <v>0</v>
      </c>
    </row>
    <row r="1978" spans="1:15" x14ac:dyDescent="0.25">
      <c r="A1978" t="s">
        <v>2018</v>
      </c>
      <c r="B1978" s="1">
        <v>45652</v>
      </c>
      <c r="C1978" t="s">
        <v>31</v>
      </c>
      <c r="D1978" t="s">
        <v>34</v>
      </c>
      <c r="E1978" t="s">
        <v>21</v>
      </c>
      <c r="F1978" t="s">
        <v>28</v>
      </c>
      <c r="G1978" t="s">
        <v>29</v>
      </c>
      <c r="K1978" cm="1">
        <f t="array" ref="K1978">_xlfn.SWITCH(LeadsData[[#This Row],[Funnel Stage Reached]],"Lead",1,"MQL",2,"SQL",3,"Customer",4)</f>
        <v>3</v>
      </c>
      <c r="L1978" t="str">
        <f>TEXT(LeadsData[[#This Row],[Signup Date]],"mmm-yyyy")</f>
        <v>Dec-2024</v>
      </c>
      <c r="M1978">
        <f>IF(LeadsData[[#This Row],[Stage Number]]&gt;=2,1,0)</f>
        <v>1</v>
      </c>
      <c r="N1978" s="2">
        <f>IF(LeadsData[[#This Row],[Stage Number]]&gt;=3,1,0)</f>
        <v>1</v>
      </c>
      <c r="O1978" s="2">
        <f>IF(LeadsData[[#This Row],[Stage Number]]&gt;=4,1,0)</f>
        <v>0</v>
      </c>
    </row>
    <row r="1979" spans="1:15" x14ac:dyDescent="0.25">
      <c r="A1979" t="s">
        <v>2019</v>
      </c>
      <c r="B1979" s="1">
        <v>45361</v>
      </c>
      <c r="C1979" t="s">
        <v>25</v>
      </c>
      <c r="D1979" t="s">
        <v>26</v>
      </c>
      <c r="E1979" t="s">
        <v>21</v>
      </c>
      <c r="F1979" t="s">
        <v>19</v>
      </c>
      <c r="G1979" t="s">
        <v>29</v>
      </c>
      <c r="K1979" cm="1">
        <f t="array" ref="K1979">_xlfn.SWITCH(LeadsData[[#This Row],[Funnel Stage Reached]],"Lead",1,"MQL",2,"SQL",3,"Customer",4)</f>
        <v>3</v>
      </c>
      <c r="L1979" t="str">
        <f>TEXT(LeadsData[[#This Row],[Signup Date]],"mmm-yyyy")</f>
        <v>Mar-2024</v>
      </c>
      <c r="M1979">
        <f>IF(LeadsData[[#This Row],[Stage Number]]&gt;=2,1,0)</f>
        <v>1</v>
      </c>
      <c r="N1979" s="2">
        <f>IF(LeadsData[[#This Row],[Stage Number]]&gt;=3,1,0)</f>
        <v>1</v>
      </c>
      <c r="O1979" s="2">
        <f>IF(LeadsData[[#This Row],[Stage Number]]&gt;=4,1,0)</f>
        <v>0</v>
      </c>
    </row>
    <row r="1980" spans="1:15" x14ac:dyDescent="0.25">
      <c r="A1980" t="s">
        <v>2020</v>
      </c>
      <c r="B1980" s="1">
        <v>45464</v>
      </c>
      <c r="C1980" t="s">
        <v>36</v>
      </c>
      <c r="D1980" t="s">
        <v>50</v>
      </c>
      <c r="E1980" t="s">
        <v>13</v>
      </c>
      <c r="F1980" t="s">
        <v>22</v>
      </c>
      <c r="G1980" t="s">
        <v>42</v>
      </c>
      <c r="H1980">
        <v>53</v>
      </c>
      <c r="I1980" t="s">
        <v>183</v>
      </c>
      <c r="J1980">
        <v>11083.1</v>
      </c>
      <c r="K1980" cm="1">
        <f t="array" ref="K1980">_xlfn.SWITCH(LeadsData[[#This Row],[Funnel Stage Reached]],"Lead",1,"MQL",2,"SQL",3,"Customer",4)</f>
        <v>4</v>
      </c>
      <c r="L1980" t="str">
        <f>TEXT(LeadsData[[#This Row],[Signup Date]],"mmm-yyyy")</f>
        <v>Jun-2024</v>
      </c>
      <c r="M1980">
        <f>IF(LeadsData[[#This Row],[Stage Number]]&gt;=2,1,0)</f>
        <v>1</v>
      </c>
      <c r="N1980" s="2">
        <f>IF(LeadsData[[#This Row],[Stage Number]]&gt;=3,1,0)</f>
        <v>1</v>
      </c>
      <c r="O1980" s="2">
        <f>IF(LeadsData[[#This Row],[Stage Number]]&gt;=4,1,0)</f>
        <v>1</v>
      </c>
    </row>
    <row r="1981" spans="1:15" x14ac:dyDescent="0.25">
      <c r="A1981" t="s">
        <v>2021</v>
      </c>
      <c r="B1981" s="1">
        <v>45614</v>
      </c>
      <c r="C1981" t="s">
        <v>25</v>
      </c>
      <c r="D1981" t="s">
        <v>26</v>
      </c>
      <c r="E1981" t="s">
        <v>13</v>
      </c>
      <c r="F1981" t="s">
        <v>22</v>
      </c>
      <c r="G1981" t="s">
        <v>15</v>
      </c>
      <c r="K1981" cm="1">
        <f t="array" ref="K1981">_xlfn.SWITCH(LeadsData[[#This Row],[Funnel Stage Reached]],"Lead",1,"MQL",2,"SQL",3,"Customer",4)</f>
        <v>1</v>
      </c>
      <c r="L1981" t="str">
        <f>TEXT(LeadsData[[#This Row],[Signup Date]],"mmm-yyyy")</f>
        <v>Nov-2024</v>
      </c>
      <c r="M1981">
        <f>IF(LeadsData[[#This Row],[Stage Number]]&gt;=2,1,0)</f>
        <v>0</v>
      </c>
      <c r="N1981" s="2">
        <f>IF(LeadsData[[#This Row],[Stage Number]]&gt;=3,1,0)</f>
        <v>0</v>
      </c>
      <c r="O1981" s="2">
        <f>IF(LeadsData[[#This Row],[Stage Number]]&gt;=4,1,0)</f>
        <v>0</v>
      </c>
    </row>
    <row r="1982" spans="1:15" x14ac:dyDescent="0.25">
      <c r="A1982" t="s">
        <v>2022</v>
      </c>
      <c r="B1982" s="1">
        <v>45559</v>
      </c>
      <c r="C1982" t="s">
        <v>11</v>
      </c>
      <c r="D1982" t="s">
        <v>68</v>
      </c>
      <c r="E1982" t="s">
        <v>13</v>
      </c>
      <c r="F1982" t="s">
        <v>19</v>
      </c>
      <c r="G1982" t="s">
        <v>15</v>
      </c>
      <c r="K1982" cm="1">
        <f t="array" ref="K1982">_xlfn.SWITCH(LeadsData[[#This Row],[Funnel Stage Reached]],"Lead",1,"MQL",2,"SQL",3,"Customer",4)</f>
        <v>1</v>
      </c>
      <c r="L1982" t="str">
        <f>TEXT(LeadsData[[#This Row],[Signup Date]],"mmm-yyyy")</f>
        <v>Sep-2024</v>
      </c>
      <c r="M1982">
        <f>IF(LeadsData[[#This Row],[Stage Number]]&gt;=2,1,0)</f>
        <v>0</v>
      </c>
      <c r="N1982" s="2">
        <f>IF(LeadsData[[#This Row],[Stage Number]]&gt;=3,1,0)</f>
        <v>0</v>
      </c>
      <c r="O1982" s="2">
        <f>IF(LeadsData[[#This Row],[Stage Number]]&gt;=4,1,0)</f>
        <v>0</v>
      </c>
    </row>
    <row r="1983" spans="1:15" x14ac:dyDescent="0.25">
      <c r="A1983" t="s">
        <v>2023</v>
      </c>
      <c r="B1983" s="1">
        <v>45540</v>
      </c>
      <c r="C1983" t="s">
        <v>11</v>
      </c>
      <c r="D1983" t="s">
        <v>79</v>
      </c>
      <c r="E1983" t="s">
        <v>13</v>
      </c>
      <c r="F1983" t="s">
        <v>22</v>
      </c>
      <c r="G1983" t="s">
        <v>15</v>
      </c>
      <c r="K1983" cm="1">
        <f t="array" ref="K1983">_xlfn.SWITCH(LeadsData[[#This Row],[Funnel Stage Reached]],"Lead",1,"MQL",2,"SQL",3,"Customer",4)</f>
        <v>1</v>
      </c>
      <c r="L1983" t="str">
        <f>TEXT(LeadsData[[#This Row],[Signup Date]],"mmm-yyyy")</f>
        <v>Sep-2024</v>
      </c>
      <c r="M1983">
        <f>IF(LeadsData[[#This Row],[Stage Number]]&gt;=2,1,0)</f>
        <v>0</v>
      </c>
      <c r="N1983" s="2">
        <f>IF(LeadsData[[#This Row],[Stage Number]]&gt;=3,1,0)</f>
        <v>0</v>
      </c>
      <c r="O1983" s="2">
        <f>IF(LeadsData[[#This Row],[Stage Number]]&gt;=4,1,0)</f>
        <v>0</v>
      </c>
    </row>
    <row r="1984" spans="1:15" x14ac:dyDescent="0.25">
      <c r="A1984" t="s">
        <v>2024</v>
      </c>
      <c r="B1984" s="1">
        <v>45363</v>
      </c>
      <c r="C1984" t="s">
        <v>17</v>
      </c>
      <c r="D1984" t="s">
        <v>53</v>
      </c>
      <c r="E1984" t="s">
        <v>13</v>
      </c>
      <c r="F1984" t="s">
        <v>19</v>
      </c>
      <c r="G1984" t="s">
        <v>23</v>
      </c>
      <c r="K1984" cm="1">
        <f t="array" ref="K1984">_xlfn.SWITCH(LeadsData[[#This Row],[Funnel Stage Reached]],"Lead",1,"MQL",2,"SQL",3,"Customer",4)</f>
        <v>2</v>
      </c>
      <c r="L1984" t="str">
        <f>TEXT(LeadsData[[#This Row],[Signup Date]],"mmm-yyyy")</f>
        <v>Mar-2024</v>
      </c>
      <c r="M1984">
        <f>IF(LeadsData[[#This Row],[Stage Number]]&gt;=2,1,0)</f>
        <v>1</v>
      </c>
      <c r="N1984" s="2">
        <f>IF(LeadsData[[#This Row],[Stage Number]]&gt;=3,1,0)</f>
        <v>0</v>
      </c>
      <c r="O1984" s="2">
        <f>IF(LeadsData[[#This Row],[Stage Number]]&gt;=4,1,0)</f>
        <v>0</v>
      </c>
    </row>
    <row r="1985" spans="1:15" x14ac:dyDescent="0.25">
      <c r="A1985" t="s">
        <v>2025</v>
      </c>
      <c r="B1985" s="1">
        <v>45456</v>
      </c>
      <c r="C1985" t="s">
        <v>31</v>
      </c>
      <c r="D1985" t="s">
        <v>32</v>
      </c>
      <c r="E1985" t="s">
        <v>21</v>
      </c>
      <c r="F1985" t="s">
        <v>19</v>
      </c>
      <c r="G1985" t="s">
        <v>23</v>
      </c>
      <c r="K1985" cm="1">
        <f t="array" ref="K1985">_xlfn.SWITCH(LeadsData[[#This Row],[Funnel Stage Reached]],"Lead",1,"MQL",2,"SQL",3,"Customer",4)</f>
        <v>2</v>
      </c>
      <c r="L1985" t="str">
        <f>TEXT(LeadsData[[#This Row],[Signup Date]],"mmm-yyyy")</f>
        <v>Jun-2024</v>
      </c>
      <c r="M1985">
        <f>IF(LeadsData[[#This Row],[Stage Number]]&gt;=2,1,0)</f>
        <v>1</v>
      </c>
      <c r="N1985" s="2">
        <f>IF(LeadsData[[#This Row],[Stage Number]]&gt;=3,1,0)</f>
        <v>0</v>
      </c>
      <c r="O1985" s="2">
        <f>IF(LeadsData[[#This Row],[Stage Number]]&gt;=4,1,0)</f>
        <v>0</v>
      </c>
    </row>
    <row r="1986" spans="1:15" x14ac:dyDescent="0.25">
      <c r="A1986" t="s">
        <v>2026</v>
      </c>
      <c r="B1986" s="1">
        <v>45344</v>
      </c>
      <c r="C1986" t="s">
        <v>36</v>
      </c>
      <c r="D1986" t="s">
        <v>37</v>
      </c>
      <c r="E1986" t="s">
        <v>21</v>
      </c>
      <c r="F1986" t="s">
        <v>19</v>
      </c>
      <c r="G1986" t="s">
        <v>15</v>
      </c>
      <c r="K1986" cm="1">
        <f t="array" ref="K1986">_xlfn.SWITCH(LeadsData[[#This Row],[Funnel Stage Reached]],"Lead",1,"MQL",2,"SQL",3,"Customer",4)</f>
        <v>1</v>
      </c>
      <c r="L1986" t="str">
        <f>TEXT(LeadsData[[#This Row],[Signup Date]],"mmm-yyyy")</f>
        <v>Feb-2024</v>
      </c>
      <c r="M1986">
        <f>IF(LeadsData[[#This Row],[Stage Number]]&gt;=2,1,0)</f>
        <v>0</v>
      </c>
      <c r="N1986" s="2">
        <f>IF(LeadsData[[#This Row],[Stage Number]]&gt;=3,1,0)</f>
        <v>0</v>
      </c>
      <c r="O1986" s="2">
        <f>IF(LeadsData[[#This Row],[Stage Number]]&gt;=4,1,0)</f>
        <v>0</v>
      </c>
    </row>
    <row r="1987" spans="1:15" x14ac:dyDescent="0.25">
      <c r="A1987" t="s">
        <v>2027</v>
      </c>
      <c r="B1987" s="1">
        <v>45459</v>
      </c>
      <c r="C1987" t="s">
        <v>31</v>
      </c>
      <c r="D1987" t="s">
        <v>32</v>
      </c>
      <c r="E1987" t="s">
        <v>13</v>
      </c>
      <c r="F1987" t="s">
        <v>19</v>
      </c>
      <c r="G1987" t="s">
        <v>42</v>
      </c>
      <c r="H1987">
        <v>39</v>
      </c>
      <c r="I1987" t="s">
        <v>87</v>
      </c>
      <c r="J1987">
        <v>4835.7700000000004</v>
      </c>
      <c r="K1987" cm="1">
        <f t="array" ref="K1987">_xlfn.SWITCH(LeadsData[[#This Row],[Funnel Stage Reached]],"Lead",1,"MQL",2,"SQL",3,"Customer",4)</f>
        <v>4</v>
      </c>
      <c r="L1987" t="str">
        <f>TEXT(LeadsData[[#This Row],[Signup Date]],"mmm-yyyy")</f>
        <v>Jun-2024</v>
      </c>
      <c r="M1987">
        <f>IF(LeadsData[[#This Row],[Stage Number]]&gt;=2,1,0)</f>
        <v>1</v>
      </c>
      <c r="N1987" s="2">
        <f>IF(LeadsData[[#This Row],[Stage Number]]&gt;=3,1,0)</f>
        <v>1</v>
      </c>
      <c r="O1987" s="2">
        <f>IF(LeadsData[[#This Row],[Stage Number]]&gt;=4,1,0)</f>
        <v>1</v>
      </c>
    </row>
    <row r="1988" spans="1:15" x14ac:dyDescent="0.25">
      <c r="A1988" t="s">
        <v>2028</v>
      </c>
      <c r="B1988" s="1">
        <v>45333</v>
      </c>
      <c r="C1988" t="s">
        <v>25</v>
      </c>
      <c r="D1988" t="s">
        <v>26</v>
      </c>
      <c r="E1988" t="s">
        <v>21</v>
      </c>
      <c r="F1988" t="s">
        <v>14</v>
      </c>
      <c r="G1988" t="s">
        <v>15</v>
      </c>
      <c r="K1988" cm="1">
        <f t="array" ref="K1988">_xlfn.SWITCH(LeadsData[[#This Row],[Funnel Stage Reached]],"Lead",1,"MQL",2,"SQL",3,"Customer",4)</f>
        <v>1</v>
      </c>
      <c r="L1988" t="str">
        <f>TEXT(LeadsData[[#This Row],[Signup Date]],"mmm-yyyy")</f>
        <v>Feb-2024</v>
      </c>
      <c r="M1988">
        <f>IF(LeadsData[[#This Row],[Stage Number]]&gt;=2,1,0)</f>
        <v>0</v>
      </c>
      <c r="N1988" s="2">
        <f>IF(LeadsData[[#This Row],[Stage Number]]&gt;=3,1,0)</f>
        <v>0</v>
      </c>
      <c r="O1988" s="2">
        <f>IF(LeadsData[[#This Row],[Stage Number]]&gt;=4,1,0)</f>
        <v>0</v>
      </c>
    </row>
    <row r="1989" spans="1:15" x14ac:dyDescent="0.25">
      <c r="A1989" t="s">
        <v>2029</v>
      </c>
      <c r="B1989" s="1">
        <v>45573</v>
      </c>
      <c r="C1989" t="s">
        <v>46</v>
      </c>
      <c r="D1989" t="s">
        <v>56</v>
      </c>
      <c r="E1989" t="s">
        <v>13</v>
      </c>
      <c r="F1989" t="s">
        <v>22</v>
      </c>
      <c r="G1989" t="s">
        <v>29</v>
      </c>
      <c r="K1989" cm="1">
        <f t="array" ref="K1989">_xlfn.SWITCH(LeadsData[[#This Row],[Funnel Stage Reached]],"Lead",1,"MQL",2,"SQL",3,"Customer",4)</f>
        <v>3</v>
      </c>
      <c r="L1989" t="str">
        <f>TEXT(LeadsData[[#This Row],[Signup Date]],"mmm-yyyy")</f>
        <v>Oct-2024</v>
      </c>
      <c r="M1989">
        <f>IF(LeadsData[[#This Row],[Stage Number]]&gt;=2,1,0)</f>
        <v>1</v>
      </c>
      <c r="N1989" s="2">
        <f>IF(LeadsData[[#This Row],[Stage Number]]&gt;=3,1,0)</f>
        <v>1</v>
      </c>
      <c r="O1989" s="2">
        <f>IF(LeadsData[[#This Row],[Stage Number]]&gt;=4,1,0)</f>
        <v>0</v>
      </c>
    </row>
    <row r="1990" spans="1:15" x14ac:dyDescent="0.25">
      <c r="A1990" t="s">
        <v>2030</v>
      </c>
      <c r="B1990" s="1">
        <v>45300</v>
      </c>
      <c r="C1990" t="s">
        <v>17</v>
      </c>
      <c r="D1990" t="s">
        <v>18</v>
      </c>
      <c r="E1990" t="s">
        <v>13</v>
      </c>
      <c r="F1990" t="s">
        <v>19</v>
      </c>
      <c r="G1990" t="s">
        <v>23</v>
      </c>
      <c r="K1990" cm="1">
        <f t="array" ref="K1990">_xlfn.SWITCH(LeadsData[[#This Row],[Funnel Stage Reached]],"Lead",1,"MQL",2,"SQL",3,"Customer",4)</f>
        <v>2</v>
      </c>
      <c r="L1990" t="str">
        <f>TEXT(LeadsData[[#This Row],[Signup Date]],"mmm-yyyy")</f>
        <v>Jan-2024</v>
      </c>
      <c r="M1990">
        <f>IF(LeadsData[[#This Row],[Stage Number]]&gt;=2,1,0)</f>
        <v>1</v>
      </c>
      <c r="N1990" s="2">
        <f>IF(LeadsData[[#This Row],[Stage Number]]&gt;=3,1,0)</f>
        <v>0</v>
      </c>
      <c r="O1990" s="2">
        <f>IF(LeadsData[[#This Row],[Stage Number]]&gt;=4,1,0)</f>
        <v>0</v>
      </c>
    </row>
    <row r="1991" spans="1:15" x14ac:dyDescent="0.25">
      <c r="A1991" t="s">
        <v>2031</v>
      </c>
      <c r="B1991" s="1">
        <v>45563</v>
      </c>
      <c r="C1991" t="s">
        <v>36</v>
      </c>
      <c r="D1991" t="s">
        <v>37</v>
      </c>
      <c r="E1991" t="s">
        <v>13</v>
      </c>
      <c r="F1991" t="s">
        <v>19</v>
      </c>
      <c r="G1991" t="s">
        <v>23</v>
      </c>
      <c r="K1991" cm="1">
        <f t="array" ref="K1991">_xlfn.SWITCH(LeadsData[[#This Row],[Funnel Stage Reached]],"Lead",1,"MQL",2,"SQL",3,"Customer",4)</f>
        <v>2</v>
      </c>
      <c r="L1991" t="str">
        <f>TEXT(LeadsData[[#This Row],[Signup Date]],"mmm-yyyy")</f>
        <v>Sep-2024</v>
      </c>
      <c r="M1991">
        <f>IF(LeadsData[[#This Row],[Stage Number]]&gt;=2,1,0)</f>
        <v>1</v>
      </c>
      <c r="N1991" s="2">
        <f>IF(LeadsData[[#This Row],[Stage Number]]&gt;=3,1,0)</f>
        <v>0</v>
      </c>
      <c r="O1991" s="2">
        <f>IF(LeadsData[[#This Row],[Stage Number]]&gt;=4,1,0)</f>
        <v>0</v>
      </c>
    </row>
    <row r="1992" spans="1:15" x14ac:dyDescent="0.25">
      <c r="A1992" t="s">
        <v>2032</v>
      </c>
      <c r="B1992" s="1">
        <v>45494</v>
      </c>
      <c r="C1992" t="s">
        <v>25</v>
      </c>
      <c r="D1992" t="s">
        <v>26</v>
      </c>
      <c r="E1992" t="s">
        <v>13</v>
      </c>
      <c r="F1992" t="s">
        <v>28</v>
      </c>
      <c r="G1992" t="s">
        <v>15</v>
      </c>
      <c r="K1992" cm="1">
        <f t="array" ref="K1992">_xlfn.SWITCH(LeadsData[[#This Row],[Funnel Stage Reached]],"Lead",1,"MQL",2,"SQL",3,"Customer",4)</f>
        <v>1</v>
      </c>
      <c r="L1992" t="str">
        <f>TEXT(LeadsData[[#This Row],[Signup Date]],"mmm-yyyy")</f>
        <v>Jul-2024</v>
      </c>
      <c r="M1992">
        <f>IF(LeadsData[[#This Row],[Stage Number]]&gt;=2,1,0)</f>
        <v>0</v>
      </c>
      <c r="N1992" s="2">
        <f>IF(LeadsData[[#This Row],[Stage Number]]&gt;=3,1,0)</f>
        <v>0</v>
      </c>
      <c r="O1992" s="2">
        <f>IF(LeadsData[[#This Row],[Stage Number]]&gt;=4,1,0)</f>
        <v>0</v>
      </c>
    </row>
    <row r="1993" spans="1:15" x14ac:dyDescent="0.25">
      <c r="A1993" t="s">
        <v>2033</v>
      </c>
      <c r="B1993" s="1">
        <v>45415</v>
      </c>
      <c r="C1993" t="s">
        <v>31</v>
      </c>
      <c r="D1993" t="s">
        <v>34</v>
      </c>
      <c r="E1993" t="s">
        <v>21</v>
      </c>
      <c r="F1993" t="s">
        <v>14</v>
      </c>
      <c r="G1993" t="s">
        <v>29</v>
      </c>
      <c r="K1993" cm="1">
        <f t="array" ref="K1993">_xlfn.SWITCH(LeadsData[[#This Row],[Funnel Stage Reached]],"Lead",1,"MQL",2,"SQL",3,"Customer",4)</f>
        <v>3</v>
      </c>
      <c r="L1993" t="str">
        <f>TEXT(LeadsData[[#This Row],[Signup Date]],"mmm-yyyy")</f>
        <v>May-2024</v>
      </c>
      <c r="M1993">
        <f>IF(LeadsData[[#This Row],[Stage Number]]&gt;=2,1,0)</f>
        <v>1</v>
      </c>
      <c r="N1993" s="2">
        <f>IF(LeadsData[[#This Row],[Stage Number]]&gt;=3,1,0)</f>
        <v>1</v>
      </c>
      <c r="O1993" s="2">
        <f>IF(LeadsData[[#This Row],[Stage Number]]&gt;=4,1,0)</f>
        <v>0</v>
      </c>
    </row>
    <row r="1994" spans="1:15" x14ac:dyDescent="0.25">
      <c r="A1994" t="s">
        <v>2034</v>
      </c>
      <c r="B1994" s="1">
        <v>45607</v>
      </c>
      <c r="C1994" t="s">
        <v>31</v>
      </c>
      <c r="D1994" t="s">
        <v>34</v>
      </c>
      <c r="E1994" t="s">
        <v>13</v>
      </c>
      <c r="F1994" t="s">
        <v>19</v>
      </c>
      <c r="G1994" t="s">
        <v>29</v>
      </c>
      <c r="K1994" cm="1">
        <f t="array" ref="K1994">_xlfn.SWITCH(LeadsData[[#This Row],[Funnel Stage Reached]],"Lead",1,"MQL",2,"SQL",3,"Customer",4)</f>
        <v>3</v>
      </c>
      <c r="L1994" t="str">
        <f>TEXT(LeadsData[[#This Row],[Signup Date]],"mmm-yyyy")</f>
        <v>Nov-2024</v>
      </c>
      <c r="M1994">
        <f>IF(LeadsData[[#This Row],[Stage Number]]&gt;=2,1,0)</f>
        <v>1</v>
      </c>
      <c r="N1994" s="2">
        <f>IF(LeadsData[[#This Row],[Stage Number]]&gt;=3,1,0)</f>
        <v>1</v>
      </c>
      <c r="O1994" s="2">
        <f>IF(LeadsData[[#This Row],[Stage Number]]&gt;=4,1,0)</f>
        <v>0</v>
      </c>
    </row>
    <row r="1995" spans="1:15" x14ac:dyDescent="0.25">
      <c r="A1995" t="s">
        <v>2035</v>
      </c>
      <c r="B1995" s="1">
        <v>45621</v>
      </c>
      <c r="C1995" t="s">
        <v>31</v>
      </c>
      <c r="D1995" t="s">
        <v>32</v>
      </c>
      <c r="E1995" t="s">
        <v>21</v>
      </c>
      <c r="F1995" t="s">
        <v>22</v>
      </c>
      <c r="G1995" t="s">
        <v>23</v>
      </c>
      <c r="K1995" cm="1">
        <f t="array" ref="K1995">_xlfn.SWITCH(LeadsData[[#This Row],[Funnel Stage Reached]],"Lead",1,"MQL",2,"SQL",3,"Customer",4)</f>
        <v>2</v>
      </c>
      <c r="L1995" t="str">
        <f>TEXT(LeadsData[[#This Row],[Signup Date]],"mmm-yyyy")</f>
        <v>Nov-2024</v>
      </c>
      <c r="M1995">
        <f>IF(LeadsData[[#This Row],[Stage Number]]&gt;=2,1,0)</f>
        <v>1</v>
      </c>
      <c r="N1995" s="2">
        <f>IF(LeadsData[[#This Row],[Stage Number]]&gt;=3,1,0)</f>
        <v>0</v>
      </c>
      <c r="O1995" s="2">
        <f>IF(LeadsData[[#This Row],[Stage Number]]&gt;=4,1,0)</f>
        <v>0</v>
      </c>
    </row>
    <row r="1996" spans="1:15" x14ac:dyDescent="0.25">
      <c r="A1996" t="s">
        <v>2036</v>
      </c>
      <c r="B1996" s="1">
        <v>45597</v>
      </c>
      <c r="C1996" t="s">
        <v>46</v>
      </c>
      <c r="D1996" t="s">
        <v>56</v>
      </c>
      <c r="E1996" t="s">
        <v>13</v>
      </c>
      <c r="F1996" t="s">
        <v>19</v>
      </c>
      <c r="G1996" t="s">
        <v>15</v>
      </c>
      <c r="K1996" cm="1">
        <f t="array" ref="K1996">_xlfn.SWITCH(LeadsData[[#This Row],[Funnel Stage Reached]],"Lead",1,"MQL",2,"SQL",3,"Customer",4)</f>
        <v>1</v>
      </c>
      <c r="L1996" t="str">
        <f>TEXT(LeadsData[[#This Row],[Signup Date]],"mmm-yyyy")</f>
        <v>Nov-2024</v>
      </c>
      <c r="M1996">
        <f>IF(LeadsData[[#This Row],[Stage Number]]&gt;=2,1,0)</f>
        <v>0</v>
      </c>
      <c r="N1996" s="2">
        <f>IF(LeadsData[[#This Row],[Stage Number]]&gt;=3,1,0)</f>
        <v>0</v>
      </c>
      <c r="O1996" s="2">
        <f>IF(LeadsData[[#This Row],[Stage Number]]&gt;=4,1,0)</f>
        <v>0</v>
      </c>
    </row>
    <row r="1997" spans="1:15" x14ac:dyDescent="0.25">
      <c r="A1997" t="s">
        <v>2037</v>
      </c>
      <c r="B1997" s="1">
        <v>45600</v>
      </c>
      <c r="C1997" t="s">
        <v>31</v>
      </c>
      <c r="D1997" t="s">
        <v>32</v>
      </c>
      <c r="E1997" t="s">
        <v>13</v>
      </c>
      <c r="F1997" t="s">
        <v>19</v>
      </c>
      <c r="G1997" t="s">
        <v>42</v>
      </c>
      <c r="H1997">
        <v>11</v>
      </c>
      <c r="I1997" t="s">
        <v>183</v>
      </c>
      <c r="J1997">
        <v>6934.84</v>
      </c>
      <c r="K1997" cm="1">
        <f t="array" ref="K1997">_xlfn.SWITCH(LeadsData[[#This Row],[Funnel Stage Reached]],"Lead",1,"MQL",2,"SQL",3,"Customer",4)</f>
        <v>4</v>
      </c>
      <c r="L1997" t="str">
        <f>TEXT(LeadsData[[#This Row],[Signup Date]],"mmm-yyyy")</f>
        <v>Nov-2024</v>
      </c>
      <c r="M1997">
        <f>IF(LeadsData[[#This Row],[Stage Number]]&gt;=2,1,0)</f>
        <v>1</v>
      </c>
      <c r="N1997" s="2">
        <f>IF(LeadsData[[#This Row],[Stage Number]]&gt;=3,1,0)</f>
        <v>1</v>
      </c>
      <c r="O1997" s="2">
        <f>IF(LeadsData[[#This Row],[Stage Number]]&gt;=4,1,0)</f>
        <v>1</v>
      </c>
    </row>
    <row r="1998" spans="1:15" x14ac:dyDescent="0.25">
      <c r="A1998" t="s">
        <v>2038</v>
      </c>
      <c r="B1998" s="1">
        <v>45408</v>
      </c>
      <c r="C1998" t="s">
        <v>31</v>
      </c>
      <c r="D1998" t="s">
        <v>32</v>
      </c>
      <c r="E1998" t="s">
        <v>13</v>
      </c>
      <c r="F1998" t="s">
        <v>22</v>
      </c>
      <c r="G1998" t="s">
        <v>15</v>
      </c>
      <c r="K1998" cm="1">
        <f t="array" ref="K1998">_xlfn.SWITCH(LeadsData[[#This Row],[Funnel Stage Reached]],"Lead",1,"MQL",2,"SQL",3,"Customer",4)</f>
        <v>1</v>
      </c>
      <c r="L1998" t="str">
        <f>TEXT(LeadsData[[#This Row],[Signup Date]],"mmm-yyyy")</f>
        <v>Apr-2024</v>
      </c>
      <c r="M1998">
        <f>IF(LeadsData[[#This Row],[Stage Number]]&gt;=2,1,0)</f>
        <v>0</v>
      </c>
      <c r="N1998" s="2">
        <f>IF(LeadsData[[#This Row],[Stage Number]]&gt;=3,1,0)</f>
        <v>0</v>
      </c>
      <c r="O1998" s="2">
        <f>IF(LeadsData[[#This Row],[Stage Number]]&gt;=4,1,0)</f>
        <v>0</v>
      </c>
    </row>
    <row r="1999" spans="1:15" x14ac:dyDescent="0.25">
      <c r="A1999" t="s">
        <v>2039</v>
      </c>
      <c r="B1999" s="1">
        <v>45563</v>
      </c>
      <c r="C1999" t="s">
        <v>46</v>
      </c>
      <c r="D1999" t="s">
        <v>56</v>
      </c>
      <c r="E1999" t="s">
        <v>21</v>
      </c>
      <c r="F1999" t="s">
        <v>19</v>
      </c>
      <c r="G1999" t="s">
        <v>15</v>
      </c>
      <c r="K1999" cm="1">
        <f t="array" ref="K1999">_xlfn.SWITCH(LeadsData[[#This Row],[Funnel Stage Reached]],"Lead",1,"MQL",2,"SQL",3,"Customer",4)</f>
        <v>1</v>
      </c>
      <c r="L1999" t="str">
        <f>TEXT(LeadsData[[#This Row],[Signup Date]],"mmm-yyyy")</f>
        <v>Sep-2024</v>
      </c>
      <c r="M1999">
        <f>IF(LeadsData[[#This Row],[Stage Number]]&gt;=2,1,0)</f>
        <v>0</v>
      </c>
      <c r="N1999" s="2">
        <f>IF(LeadsData[[#This Row],[Stage Number]]&gt;=3,1,0)</f>
        <v>0</v>
      </c>
      <c r="O1999" s="2">
        <f>IF(LeadsData[[#This Row],[Stage Number]]&gt;=4,1,0)</f>
        <v>0</v>
      </c>
    </row>
    <row r="2000" spans="1:15" x14ac:dyDescent="0.25">
      <c r="A2000" t="s">
        <v>2040</v>
      </c>
      <c r="B2000" s="1">
        <v>45608</v>
      </c>
      <c r="C2000" t="s">
        <v>17</v>
      </c>
      <c r="D2000" t="s">
        <v>53</v>
      </c>
      <c r="E2000" t="s">
        <v>13</v>
      </c>
      <c r="F2000" t="s">
        <v>22</v>
      </c>
      <c r="G2000" t="s">
        <v>15</v>
      </c>
      <c r="K2000" cm="1">
        <f t="array" ref="K2000">_xlfn.SWITCH(LeadsData[[#This Row],[Funnel Stage Reached]],"Lead",1,"MQL",2,"SQL",3,"Customer",4)</f>
        <v>1</v>
      </c>
      <c r="L2000" t="str">
        <f>TEXT(LeadsData[[#This Row],[Signup Date]],"mmm-yyyy")</f>
        <v>Nov-2024</v>
      </c>
      <c r="M2000">
        <f>IF(LeadsData[[#This Row],[Stage Number]]&gt;=2,1,0)</f>
        <v>0</v>
      </c>
      <c r="N2000" s="2">
        <f>IF(LeadsData[[#This Row],[Stage Number]]&gt;=3,1,0)</f>
        <v>0</v>
      </c>
      <c r="O2000" s="2">
        <f>IF(LeadsData[[#This Row],[Stage Number]]&gt;=4,1,0)</f>
        <v>0</v>
      </c>
    </row>
    <row r="2001" spans="1:15" x14ac:dyDescent="0.25">
      <c r="A2001" t="s">
        <v>2041</v>
      </c>
      <c r="B2001" s="1">
        <v>45398</v>
      </c>
      <c r="C2001" t="s">
        <v>36</v>
      </c>
      <c r="D2001" t="s">
        <v>37</v>
      </c>
      <c r="E2001" t="s">
        <v>21</v>
      </c>
      <c r="F2001" t="s">
        <v>22</v>
      </c>
      <c r="G2001" t="s">
        <v>29</v>
      </c>
      <c r="K2001" cm="1">
        <f t="array" ref="K2001">_xlfn.SWITCH(LeadsData[[#This Row],[Funnel Stage Reached]],"Lead",1,"MQL",2,"SQL",3,"Customer",4)</f>
        <v>3</v>
      </c>
      <c r="L2001" t="str">
        <f>TEXT(LeadsData[[#This Row],[Signup Date]],"mmm-yyyy")</f>
        <v>Apr-2024</v>
      </c>
      <c r="M2001">
        <f>IF(LeadsData[[#This Row],[Stage Number]]&gt;=2,1,0)</f>
        <v>1</v>
      </c>
      <c r="N2001" s="2">
        <f>IF(LeadsData[[#This Row],[Stage Number]]&gt;=3,1,0)</f>
        <v>1</v>
      </c>
      <c r="O2001" s="2">
        <f>IF(LeadsData[[#This Row],[Stage Number]]&gt;=4,1,0)</f>
        <v>0</v>
      </c>
    </row>
    <row r="2002" spans="1:15" x14ac:dyDescent="0.25">
      <c r="A2002" t="s">
        <v>2042</v>
      </c>
      <c r="B2002" s="1">
        <v>45452</v>
      </c>
      <c r="C2002" t="s">
        <v>31</v>
      </c>
      <c r="D2002" t="s">
        <v>34</v>
      </c>
      <c r="E2002" t="s">
        <v>13</v>
      </c>
      <c r="F2002" t="s">
        <v>22</v>
      </c>
      <c r="G2002" t="s">
        <v>23</v>
      </c>
      <c r="K2002" cm="1">
        <f t="array" ref="K2002">_xlfn.SWITCH(LeadsData[[#This Row],[Funnel Stage Reached]],"Lead",1,"MQL",2,"SQL",3,"Customer",4)</f>
        <v>2</v>
      </c>
      <c r="L2002" t="str">
        <f>TEXT(LeadsData[[#This Row],[Signup Date]],"mmm-yyyy")</f>
        <v>Jun-2024</v>
      </c>
      <c r="M2002">
        <f>IF(LeadsData[[#This Row],[Stage Number]]&gt;=2,1,0)</f>
        <v>1</v>
      </c>
      <c r="N2002" s="2">
        <f>IF(LeadsData[[#This Row],[Stage Number]]&gt;=3,1,0)</f>
        <v>0</v>
      </c>
      <c r="O2002" s="2">
        <f>IF(LeadsData[[#This Row],[Stage Number]]&gt;=4,1,0)</f>
        <v>0</v>
      </c>
    </row>
    <row r="2003" spans="1:15" x14ac:dyDescent="0.25">
      <c r="A2003" t="s">
        <v>2043</v>
      </c>
      <c r="B2003" s="1">
        <v>45421</v>
      </c>
      <c r="C2003" t="s">
        <v>31</v>
      </c>
      <c r="D2003" t="s">
        <v>34</v>
      </c>
      <c r="E2003" t="s">
        <v>21</v>
      </c>
      <c r="F2003" t="s">
        <v>19</v>
      </c>
      <c r="G2003" t="s">
        <v>23</v>
      </c>
      <c r="K2003" cm="1">
        <f t="array" ref="K2003">_xlfn.SWITCH(LeadsData[[#This Row],[Funnel Stage Reached]],"Lead",1,"MQL",2,"SQL",3,"Customer",4)</f>
        <v>2</v>
      </c>
      <c r="L2003" t="str">
        <f>TEXT(LeadsData[[#This Row],[Signup Date]],"mmm-yyyy")</f>
        <v>May-2024</v>
      </c>
      <c r="M2003">
        <f>IF(LeadsData[[#This Row],[Stage Number]]&gt;=2,1,0)</f>
        <v>1</v>
      </c>
      <c r="N2003" s="2">
        <f>IF(LeadsData[[#This Row],[Stage Number]]&gt;=3,1,0)</f>
        <v>0</v>
      </c>
      <c r="O2003" s="2">
        <f>IF(LeadsData[[#This Row],[Stage Number]]&gt;=4,1,0)</f>
        <v>0</v>
      </c>
    </row>
    <row r="2004" spans="1:15" x14ac:dyDescent="0.25">
      <c r="A2004" t="s">
        <v>2044</v>
      </c>
      <c r="B2004" s="1">
        <v>45332</v>
      </c>
      <c r="C2004" t="s">
        <v>31</v>
      </c>
      <c r="D2004" t="s">
        <v>34</v>
      </c>
      <c r="E2004" t="s">
        <v>13</v>
      </c>
      <c r="F2004" t="s">
        <v>22</v>
      </c>
      <c r="G2004" t="s">
        <v>15</v>
      </c>
      <c r="K2004" cm="1">
        <f t="array" ref="K2004">_xlfn.SWITCH(LeadsData[[#This Row],[Funnel Stage Reached]],"Lead",1,"MQL",2,"SQL",3,"Customer",4)</f>
        <v>1</v>
      </c>
      <c r="L2004" t="str">
        <f>TEXT(LeadsData[[#This Row],[Signup Date]],"mmm-yyyy")</f>
        <v>Feb-2024</v>
      </c>
      <c r="M2004">
        <f>IF(LeadsData[[#This Row],[Stage Number]]&gt;=2,1,0)</f>
        <v>0</v>
      </c>
      <c r="N2004" s="2">
        <f>IF(LeadsData[[#This Row],[Stage Number]]&gt;=3,1,0)</f>
        <v>0</v>
      </c>
      <c r="O2004" s="2">
        <f>IF(LeadsData[[#This Row],[Stage Number]]&gt;=4,1,0)</f>
        <v>0</v>
      </c>
    </row>
    <row r="2005" spans="1:15" x14ac:dyDescent="0.25">
      <c r="A2005" t="s">
        <v>2045</v>
      </c>
      <c r="B2005" s="1">
        <v>45642</v>
      </c>
      <c r="C2005" t="s">
        <v>36</v>
      </c>
      <c r="D2005" t="s">
        <v>37</v>
      </c>
      <c r="E2005" t="s">
        <v>13</v>
      </c>
      <c r="F2005" t="s">
        <v>19</v>
      </c>
      <c r="G2005" t="s">
        <v>23</v>
      </c>
      <c r="K2005" cm="1">
        <f t="array" ref="K2005">_xlfn.SWITCH(LeadsData[[#This Row],[Funnel Stage Reached]],"Lead",1,"MQL",2,"SQL",3,"Customer",4)</f>
        <v>2</v>
      </c>
      <c r="L2005" t="str">
        <f>TEXT(LeadsData[[#This Row],[Signup Date]],"mmm-yyyy")</f>
        <v>Dec-2024</v>
      </c>
      <c r="M2005">
        <f>IF(LeadsData[[#This Row],[Stage Number]]&gt;=2,1,0)</f>
        <v>1</v>
      </c>
      <c r="N2005" s="2">
        <f>IF(LeadsData[[#This Row],[Stage Number]]&gt;=3,1,0)</f>
        <v>0</v>
      </c>
      <c r="O2005" s="2">
        <f>IF(LeadsData[[#This Row],[Stage Number]]&gt;=4,1,0)</f>
        <v>0</v>
      </c>
    </row>
    <row r="2006" spans="1:15" x14ac:dyDescent="0.25">
      <c r="A2006" t="s">
        <v>2046</v>
      </c>
      <c r="B2006" s="1">
        <v>45348</v>
      </c>
      <c r="C2006" t="s">
        <v>25</v>
      </c>
      <c r="D2006" t="s">
        <v>26</v>
      </c>
      <c r="E2006" t="s">
        <v>21</v>
      </c>
      <c r="F2006" t="s">
        <v>19</v>
      </c>
      <c r="G2006" t="s">
        <v>23</v>
      </c>
      <c r="K2006" cm="1">
        <f t="array" ref="K2006">_xlfn.SWITCH(LeadsData[[#This Row],[Funnel Stage Reached]],"Lead",1,"MQL",2,"SQL",3,"Customer",4)</f>
        <v>2</v>
      </c>
      <c r="L2006" t="str">
        <f>TEXT(LeadsData[[#This Row],[Signup Date]],"mmm-yyyy")</f>
        <v>Feb-2024</v>
      </c>
      <c r="M2006">
        <f>IF(LeadsData[[#This Row],[Stage Number]]&gt;=2,1,0)</f>
        <v>1</v>
      </c>
      <c r="N2006" s="2">
        <f>IF(LeadsData[[#This Row],[Stage Number]]&gt;=3,1,0)</f>
        <v>0</v>
      </c>
      <c r="O2006" s="2">
        <f>IF(LeadsData[[#This Row],[Stage Number]]&gt;=4,1,0)</f>
        <v>0</v>
      </c>
    </row>
    <row r="2007" spans="1:15" x14ac:dyDescent="0.25">
      <c r="A2007" t="s">
        <v>2047</v>
      </c>
      <c r="B2007" s="1">
        <v>45592</v>
      </c>
      <c r="C2007" t="s">
        <v>25</v>
      </c>
      <c r="D2007" t="s">
        <v>26</v>
      </c>
      <c r="E2007" t="s">
        <v>13</v>
      </c>
      <c r="F2007" t="s">
        <v>22</v>
      </c>
      <c r="G2007" t="s">
        <v>15</v>
      </c>
      <c r="K2007" cm="1">
        <f t="array" ref="K2007">_xlfn.SWITCH(LeadsData[[#This Row],[Funnel Stage Reached]],"Lead",1,"MQL",2,"SQL",3,"Customer",4)</f>
        <v>1</v>
      </c>
      <c r="L2007" t="str">
        <f>TEXT(LeadsData[[#This Row],[Signup Date]],"mmm-yyyy")</f>
        <v>Oct-2024</v>
      </c>
      <c r="M2007">
        <f>IF(LeadsData[[#This Row],[Stage Number]]&gt;=2,1,0)</f>
        <v>0</v>
      </c>
      <c r="N2007" s="2">
        <f>IF(LeadsData[[#This Row],[Stage Number]]&gt;=3,1,0)</f>
        <v>0</v>
      </c>
      <c r="O2007" s="2">
        <f>IF(LeadsData[[#This Row],[Stage Number]]&gt;=4,1,0)</f>
        <v>0</v>
      </c>
    </row>
    <row r="2008" spans="1:15" x14ac:dyDescent="0.25">
      <c r="A2008" t="s">
        <v>2048</v>
      </c>
      <c r="B2008" s="1">
        <v>45559</v>
      </c>
      <c r="C2008" t="s">
        <v>11</v>
      </c>
      <c r="D2008" t="s">
        <v>68</v>
      </c>
      <c r="E2008" t="s">
        <v>13</v>
      </c>
      <c r="F2008" t="s">
        <v>22</v>
      </c>
      <c r="G2008" t="s">
        <v>23</v>
      </c>
      <c r="K2008" cm="1">
        <f t="array" ref="K2008">_xlfn.SWITCH(LeadsData[[#This Row],[Funnel Stage Reached]],"Lead",1,"MQL",2,"SQL",3,"Customer",4)</f>
        <v>2</v>
      </c>
      <c r="L2008" t="str">
        <f>TEXT(LeadsData[[#This Row],[Signup Date]],"mmm-yyyy")</f>
        <v>Sep-2024</v>
      </c>
      <c r="M2008">
        <f>IF(LeadsData[[#This Row],[Stage Number]]&gt;=2,1,0)</f>
        <v>1</v>
      </c>
      <c r="N2008" s="2">
        <f>IF(LeadsData[[#This Row],[Stage Number]]&gt;=3,1,0)</f>
        <v>0</v>
      </c>
      <c r="O2008" s="2">
        <f>IF(LeadsData[[#This Row],[Stage Number]]&gt;=4,1,0)</f>
        <v>0</v>
      </c>
    </row>
    <row r="2009" spans="1:15" x14ac:dyDescent="0.25">
      <c r="A2009" t="s">
        <v>2049</v>
      </c>
      <c r="B2009" s="1">
        <v>45491</v>
      </c>
      <c r="C2009" t="s">
        <v>17</v>
      </c>
      <c r="D2009" t="s">
        <v>53</v>
      </c>
      <c r="E2009" t="s">
        <v>13</v>
      </c>
      <c r="F2009" t="s">
        <v>19</v>
      </c>
      <c r="G2009" t="s">
        <v>15</v>
      </c>
      <c r="K2009" cm="1">
        <f t="array" ref="K2009">_xlfn.SWITCH(LeadsData[[#This Row],[Funnel Stage Reached]],"Lead",1,"MQL",2,"SQL",3,"Customer",4)</f>
        <v>1</v>
      </c>
      <c r="L2009" t="str">
        <f>TEXT(LeadsData[[#This Row],[Signup Date]],"mmm-yyyy")</f>
        <v>Jul-2024</v>
      </c>
      <c r="M2009">
        <f>IF(LeadsData[[#This Row],[Stage Number]]&gt;=2,1,0)</f>
        <v>0</v>
      </c>
      <c r="N2009" s="2">
        <f>IF(LeadsData[[#This Row],[Stage Number]]&gt;=3,1,0)</f>
        <v>0</v>
      </c>
      <c r="O2009" s="2">
        <f>IF(LeadsData[[#This Row],[Stage Number]]&gt;=4,1,0)</f>
        <v>0</v>
      </c>
    </row>
    <row r="2010" spans="1:15" x14ac:dyDescent="0.25">
      <c r="A2010" t="s">
        <v>2050</v>
      </c>
      <c r="B2010" s="1">
        <v>45464</v>
      </c>
      <c r="C2010" t="s">
        <v>46</v>
      </c>
      <c r="D2010" t="s">
        <v>47</v>
      </c>
      <c r="E2010" t="s">
        <v>13</v>
      </c>
      <c r="F2010" t="s">
        <v>14</v>
      </c>
      <c r="G2010" t="s">
        <v>15</v>
      </c>
      <c r="K2010" cm="1">
        <f t="array" ref="K2010">_xlfn.SWITCH(LeadsData[[#This Row],[Funnel Stage Reached]],"Lead",1,"MQL",2,"SQL",3,"Customer",4)</f>
        <v>1</v>
      </c>
      <c r="L2010" t="str">
        <f>TEXT(LeadsData[[#This Row],[Signup Date]],"mmm-yyyy")</f>
        <v>Jun-2024</v>
      </c>
      <c r="M2010">
        <f>IF(LeadsData[[#This Row],[Stage Number]]&gt;=2,1,0)</f>
        <v>0</v>
      </c>
      <c r="N2010" s="2">
        <f>IF(LeadsData[[#This Row],[Stage Number]]&gt;=3,1,0)</f>
        <v>0</v>
      </c>
      <c r="O2010" s="2">
        <f>IF(LeadsData[[#This Row],[Stage Number]]&gt;=4,1,0)</f>
        <v>0</v>
      </c>
    </row>
    <row r="2011" spans="1:15" x14ac:dyDescent="0.25">
      <c r="A2011" t="s">
        <v>2051</v>
      </c>
      <c r="B2011" s="1">
        <v>45427</v>
      </c>
      <c r="C2011" t="s">
        <v>46</v>
      </c>
      <c r="D2011" t="s">
        <v>56</v>
      </c>
      <c r="E2011" t="s">
        <v>13</v>
      </c>
      <c r="F2011" t="s">
        <v>19</v>
      </c>
      <c r="G2011" t="s">
        <v>23</v>
      </c>
      <c r="K2011" cm="1">
        <f t="array" ref="K2011">_xlfn.SWITCH(LeadsData[[#This Row],[Funnel Stage Reached]],"Lead",1,"MQL",2,"SQL",3,"Customer",4)</f>
        <v>2</v>
      </c>
      <c r="L2011" t="str">
        <f>TEXT(LeadsData[[#This Row],[Signup Date]],"mmm-yyyy")</f>
        <v>May-2024</v>
      </c>
      <c r="M2011">
        <f>IF(LeadsData[[#This Row],[Stage Number]]&gt;=2,1,0)</f>
        <v>1</v>
      </c>
      <c r="N2011" s="2">
        <f>IF(LeadsData[[#This Row],[Stage Number]]&gt;=3,1,0)</f>
        <v>0</v>
      </c>
      <c r="O2011" s="2">
        <f>IF(LeadsData[[#This Row],[Stage Number]]&gt;=4,1,0)</f>
        <v>0</v>
      </c>
    </row>
    <row r="2012" spans="1:15" x14ac:dyDescent="0.25">
      <c r="A2012" t="s">
        <v>2052</v>
      </c>
      <c r="B2012" s="1">
        <v>45615</v>
      </c>
      <c r="C2012" t="s">
        <v>46</v>
      </c>
      <c r="D2012" t="s">
        <v>56</v>
      </c>
      <c r="E2012" t="s">
        <v>21</v>
      </c>
      <c r="F2012" t="s">
        <v>22</v>
      </c>
      <c r="G2012" t="s">
        <v>23</v>
      </c>
      <c r="K2012" cm="1">
        <f t="array" ref="K2012">_xlfn.SWITCH(LeadsData[[#This Row],[Funnel Stage Reached]],"Lead",1,"MQL",2,"SQL",3,"Customer",4)</f>
        <v>2</v>
      </c>
      <c r="L2012" t="str">
        <f>TEXT(LeadsData[[#This Row],[Signup Date]],"mmm-yyyy")</f>
        <v>Nov-2024</v>
      </c>
      <c r="M2012">
        <f>IF(LeadsData[[#This Row],[Stage Number]]&gt;=2,1,0)</f>
        <v>1</v>
      </c>
      <c r="N2012" s="2">
        <f>IF(LeadsData[[#This Row],[Stage Number]]&gt;=3,1,0)</f>
        <v>0</v>
      </c>
      <c r="O2012" s="2">
        <f>IF(LeadsData[[#This Row],[Stage Number]]&gt;=4,1,0)</f>
        <v>0</v>
      </c>
    </row>
    <row r="2013" spans="1:15" x14ac:dyDescent="0.25">
      <c r="A2013" t="s">
        <v>2053</v>
      </c>
      <c r="B2013" s="1">
        <v>45390</v>
      </c>
      <c r="C2013" t="s">
        <v>31</v>
      </c>
      <c r="D2013" t="s">
        <v>32</v>
      </c>
      <c r="E2013" t="s">
        <v>21</v>
      </c>
      <c r="F2013" t="s">
        <v>19</v>
      </c>
      <c r="G2013" t="s">
        <v>23</v>
      </c>
      <c r="K2013" cm="1">
        <f t="array" ref="K2013">_xlfn.SWITCH(LeadsData[[#This Row],[Funnel Stage Reached]],"Lead",1,"MQL",2,"SQL",3,"Customer",4)</f>
        <v>2</v>
      </c>
      <c r="L2013" t="str">
        <f>TEXT(LeadsData[[#This Row],[Signup Date]],"mmm-yyyy")</f>
        <v>Apr-2024</v>
      </c>
      <c r="M2013">
        <f>IF(LeadsData[[#This Row],[Stage Number]]&gt;=2,1,0)</f>
        <v>1</v>
      </c>
      <c r="N2013" s="2">
        <f>IF(LeadsData[[#This Row],[Stage Number]]&gt;=3,1,0)</f>
        <v>0</v>
      </c>
      <c r="O2013" s="2">
        <f>IF(LeadsData[[#This Row],[Stage Number]]&gt;=4,1,0)</f>
        <v>0</v>
      </c>
    </row>
    <row r="2014" spans="1:15" x14ac:dyDescent="0.25">
      <c r="A2014" t="s">
        <v>2054</v>
      </c>
      <c r="B2014" s="1">
        <v>45653</v>
      </c>
      <c r="C2014" t="s">
        <v>11</v>
      </c>
      <c r="D2014" t="s">
        <v>68</v>
      </c>
      <c r="E2014" t="s">
        <v>13</v>
      </c>
      <c r="F2014" t="s">
        <v>19</v>
      </c>
      <c r="G2014" t="s">
        <v>15</v>
      </c>
      <c r="K2014" cm="1">
        <f t="array" ref="K2014">_xlfn.SWITCH(LeadsData[[#This Row],[Funnel Stage Reached]],"Lead",1,"MQL",2,"SQL",3,"Customer",4)</f>
        <v>1</v>
      </c>
      <c r="L2014" t="str">
        <f>TEXT(LeadsData[[#This Row],[Signup Date]],"mmm-yyyy")</f>
        <v>Dec-2024</v>
      </c>
      <c r="M2014">
        <f>IF(LeadsData[[#This Row],[Stage Number]]&gt;=2,1,0)</f>
        <v>0</v>
      </c>
      <c r="N2014" s="2">
        <f>IF(LeadsData[[#This Row],[Stage Number]]&gt;=3,1,0)</f>
        <v>0</v>
      </c>
      <c r="O2014" s="2">
        <f>IF(LeadsData[[#This Row],[Stage Number]]&gt;=4,1,0)</f>
        <v>0</v>
      </c>
    </row>
    <row r="2015" spans="1:15" x14ac:dyDescent="0.25">
      <c r="A2015" t="s">
        <v>2055</v>
      </c>
      <c r="B2015" s="1">
        <v>45562</v>
      </c>
      <c r="C2015" t="s">
        <v>36</v>
      </c>
      <c r="D2015" t="s">
        <v>50</v>
      </c>
      <c r="E2015" t="s">
        <v>13</v>
      </c>
      <c r="F2015" t="s">
        <v>19</v>
      </c>
      <c r="G2015" t="s">
        <v>15</v>
      </c>
      <c r="K2015" cm="1">
        <f t="array" ref="K2015">_xlfn.SWITCH(LeadsData[[#This Row],[Funnel Stage Reached]],"Lead",1,"MQL",2,"SQL",3,"Customer",4)</f>
        <v>1</v>
      </c>
      <c r="L2015" t="str">
        <f>TEXT(LeadsData[[#This Row],[Signup Date]],"mmm-yyyy")</f>
        <v>Sep-2024</v>
      </c>
      <c r="M2015">
        <f>IF(LeadsData[[#This Row],[Stage Number]]&gt;=2,1,0)</f>
        <v>0</v>
      </c>
      <c r="N2015" s="2">
        <f>IF(LeadsData[[#This Row],[Stage Number]]&gt;=3,1,0)</f>
        <v>0</v>
      </c>
      <c r="O2015" s="2">
        <f>IF(LeadsData[[#This Row],[Stage Number]]&gt;=4,1,0)</f>
        <v>0</v>
      </c>
    </row>
    <row r="2016" spans="1:15" x14ac:dyDescent="0.25">
      <c r="A2016" t="s">
        <v>2056</v>
      </c>
      <c r="B2016" s="1">
        <v>45354</v>
      </c>
      <c r="C2016" t="s">
        <v>17</v>
      </c>
      <c r="D2016" t="s">
        <v>53</v>
      </c>
      <c r="E2016" t="s">
        <v>21</v>
      </c>
      <c r="F2016" t="s">
        <v>22</v>
      </c>
      <c r="G2016" t="s">
        <v>15</v>
      </c>
      <c r="K2016" cm="1">
        <f t="array" ref="K2016">_xlfn.SWITCH(LeadsData[[#This Row],[Funnel Stage Reached]],"Lead",1,"MQL",2,"SQL",3,"Customer",4)</f>
        <v>1</v>
      </c>
      <c r="L2016" t="str">
        <f>TEXT(LeadsData[[#This Row],[Signup Date]],"mmm-yyyy")</f>
        <v>Mar-2024</v>
      </c>
      <c r="M2016">
        <f>IF(LeadsData[[#This Row],[Stage Number]]&gt;=2,1,0)</f>
        <v>0</v>
      </c>
      <c r="N2016" s="2">
        <f>IF(LeadsData[[#This Row],[Stage Number]]&gt;=3,1,0)</f>
        <v>0</v>
      </c>
      <c r="O2016" s="2">
        <f>IF(LeadsData[[#This Row],[Stage Number]]&gt;=4,1,0)</f>
        <v>0</v>
      </c>
    </row>
    <row r="2017" spans="1:15" x14ac:dyDescent="0.25">
      <c r="A2017" t="s">
        <v>2057</v>
      </c>
      <c r="B2017" s="1">
        <v>45616</v>
      </c>
      <c r="C2017" t="s">
        <v>25</v>
      </c>
      <c r="D2017" t="s">
        <v>26</v>
      </c>
      <c r="E2017" t="s">
        <v>48</v>
      </c>
      <c r="F2017" t="s">
        <v>19</v>
      </c>
      <c r="G2017" t="s">
        <v>15</v>
      </c>
      <c r="K2017" cm="1">
        <f t="array" ref="K2017">_xlfn.SWITCH(LeadsData[[#This Row],[Funnel Stage Reached]],"Lead",1,"MQL",2,"SQL",3,"Customer",4)</f>
        <v>1</v>
      </c>
      <c r="L2017" t="str">
        <f>TEXT(LeadsData[[#This Row],[Signup Date]],"mmm-yyyy")</f>
        <v>Nov-2024</v>
      </c>
      <c r="M2017">
        <f>IF(LeadsData[[#This Row],[Stage Number]]&gt;=2,1,0)</f>
        <v>0</v>
      </c>
      <c r="N2017" s="2">
        <f>IF(LeadsData[[#This Row],[Stage Number]]&gt;=3,1,0)</f>
        <v>0</v>
      </c>
      <c r="O2017" s="2">
        <f>IF(LeadsData[[#This Row],[Stage Number]]&gt;=4,1,0)</f>
        <v>0</v>
      </c>
    </row>
    <row r="2018" spans="1:15" x14ac:dyDescent="0.25">
      <c r="A2018" t="s">
        <v>2058</v>
      </c>
      <c r="B2018" s="1">
        <v>45375</v>
      </c>
      <c r="C2018" t="s">
        <v>17</v>
      </c>
      <c r="D2018" t="s">
        <v>53</v>
      </c>
      <c r="E2018" t="s">
        <v>21</v>
      </c>
      <c r="F2018" t="s">
        <v>14</v>
      </c>
      <c r="G2018" t="s">
        <v>23</v>
      </c>
      <c r="K2018" cm="1">
        <f t="array" ref="K2018">_xlfn.SWITCH(LeadsData[[#This Row],[Funnel Stage Reached]],"Lead",1,"MQL",2,"SQL",3,"Customer",4)</f>
        <v>2</v>
      </c>
      <c r="L2018" t="str">
        <f>TEXT(LeadsData[[#This Row],[Signup Date]],"mmm-yyyy")</f>
        <v>Mar-2024</v>
      </c>
      <c r="M2018">
        <f>IF(LeadsData[[#This Row],[Stage Number]]&gt;=2,1,0)</f>
        <v>1</v>
      </c>
      <c r="N2018" s="2">
        <f>IF(LeadsData[[#This Row],[Stage Number]]&gt;=3,1,0)</f>
        <v>0</v>
      </c>
      <c r="O2018" s="2">
        <f>IF(LeadsData[[#This Row],[Stage Number]]&gt;=4,1,0)</f>
        <v>0</v>
      </c>
    </row>
    <row r="2019" spans="1:15" x14ac:dyDescent="0.25">
      <c r="A2019" t="s">
        <v>2059</v>
      </c>
      <c r="B2019" s="1">
        <v>45450</v>
      </c>
      <c r="C2019" t="s">
        <v>31</v>
      </c>
      <c r="D2019" t="s">
        <v>32</v>
      </c>
      <c r="E2019" t="s">
        <v>13</v>
      </c>
      <c r="F2019" t="s">
        <v>22</v>
      </c>
      <c r="G2019" t="s">
        <v>23</v>
      </c>
      <c r="K2019" cm="1">
        <f t="array" ref="K2019">_xlfn.SWITCH(LeadsData[[#This Row],[Funnel Stage Reached]],"Lead",1,"MQL",2,"SQL",3,"Customer",4)</f>
        <v>2</v>
      </c>
      <c r="L2019" t="str">
        <f>TEXT(LeadsData[[#This Row],[Signup Date]],"mmm-yyyy")</f>
        <v>Jun-2024</v>
      </c>
      <c r="M2019">
        <f>IF(LeadsData[[#This Row],[Stage Number]]&gt;=2,1,0)</f>
        <v>1</v>
      </c>
      <c r="N2019" s="2">
        <f>IF(LeadsData[[#This Row],[Stage Number]]&gt;=3,1,0)</f>
        <v>0</v>
      </c>
      <c r="O2019" s="2">
        <f>IF(LeadsData[[#This Row],[Stage Number]]&gt;=4,1,0)</f>
        <v>0</v>
      </c>
    </row>
    <row r="2020" spans="1:15" x14ac:dyDescent="0.25">
      <c r="A2020" t="s">
        <v>2060</v>
      </c>
      <c r="B2020" s="1">
        <v>45430</v>
      </c>
      <c r="C2020" t="s">
        <v>31</v>
      </c>
      <c r="D2020" t="s">
        <v>32</v>
      </c>
      <c r="E2020" t="s">
        <v>13</v>
      </c>
      <c r="F2020" t="s">
        <v>22</v>
      </c>
      <c r="G2020" t="s">
        <v>23</v>
      </c>
      <c r="K2020" cm="1">
        <f t="array" ref="K2020">_xlfn.SWITCH(LeadsData[[#This Row],[Funnel Stage Reached]],"Lead",1,"MQL",2,"SQL",3,"Customer",4)</f>
        <v>2</v>
      </c>
      <c r="L2020" t="str">
        <f>TEXT(LeadsData[[#This Row],[Signup Date]],"mmm-yyyy")</f>
        <v>May-2024</v>
      </c>
      <c r="M2020">
        <f>IF(LeadsData[[#This Row],[Stage Number]]&gt;=2,1,0)</f>
        <v>1</v>
      </c>
      <c r="N2020" s="2">
        <f>IF(LeadsData[[#This Row],[Stage Number]]&gt;=3,1,0)</f>
        <v>0</v>
      </c>
      <c r="O2020" s="2">
        <f>IF(LeadsData[[#This Row],[Stage Number]]&gt;=4,1,0)</f>
        <v>0</v>
      </c>
    </row>
    <row r="2021" spans="1:15" x14ac:dyDescent="0.25">
      <c r="A2021" t="s">
        <v>2061</v>
      </c>
      <c r="B2021" s="1">
        <v>45545</v>
      </c>
      <c r="C2021" t="s">
        <v>46</v>
      </c>
      <c r="D2021" t="s">
        <v>56</v>
      </c>
      <c r="E2021" t="s">
        <v>13</v>
      </c>
      <c r="F2021" t="s">
        <v>22</v>
      </c>
      <c r="G2021" t="s">
        <v>23</v>
      </c>
      <c r="K2021" cm="1">
        <f t="array" ref="K2021">_xlfn.SWITCH(LeadsData[[#This Row],[Funnel Stage Reached]],"Lead",1,"MQL",2,"SQL",3,"Customer",4)</f>
        <v>2</v>
      </c>
      <c r="L2021" t="str">
        <f>TEXT(LeadsData[[#This Row],[Signup Date]],"mmm-yyyy")</f>
        <v>Sep-2024</v>
      </c>
      <c r="M2021">
        <f>IF(LeadsData[[#This Row],[Stage Number]]&gt;=2,1,0)</f>
        <v>1</v>
      </c>
      <c r="N2021" s="2">
        <f>IF(LeadsData[[#This Row],[Stage Number]]&gt;=3,1,0)</f>
        <v>0</v>
      </c>
      <c r="O2021" s="2">
        <f>IF(LeadsData[[#This Row],[Stage Number]]&gt;=4,1,0)</f>
        <v>0</v>
      </c>
    </row>
    <row r="2022" spans="1:15" x14ac:dyDescent="0.25">
      <c r="A2022" t="s">
        <v>2062</v>
      </c>
      <c r="B2022" s="1">
        <v>45581</v>
      </c>
      <c r="C2022" t="s">
        <v>11</v>
      </c>
      <c r="D2022" t="s">
        <v>79</v>
      </c>
      <c r="E2022" t="s">
        <v>13</v>
      </c>
      <c r="F2022" t="s">
        <v>19</v>
      </c>
      <c r="G2022" t="s">
        <v>15</v>
      </c>
      <c r="K2022" cm="1">
        <f t="array" ref="K2022">_xlfn.SWITCH(LeadsData[[#This Row],[Funnel Stage Reached]],"Lead",1,"MQL",2,"SQL",3,"Customer",4)</f>
        <v>1</v>
      </c>
      <c r="L2022" t="str">
        <f>TEXT(LeadsData[[#This Row],[Signup Date]],"mmm-yyyy")</f>
        <v>Oct-2024</v>
      </c>
      <c r="M2022">
        <f>IF(LeadsData[[#This Row],[Stage Number]]&gt;=2,1,0)</f>
        <v>0</v>
      </c>
      <c r="N2022" s="2">
        <f>IF(LeadsData[[#This Row],[Stage Number]]&gt;=3,1,0)</f>
        <v>0</v>
      </c>
      <c r="O2022" s="2">
        <f>IF(LeadsData[[#This Row],[Stage Number]]&gt;=4,1,0)</f>
        <v>0</v>
      </c>
    </row>
    <row r="2023" spans="1:15" x14ac:dyDescent="0.25">
      <c r="A2023" t="s">
        <v>2063</v>
      </c>
      <c r="B2023" s="1">
        <v>45357</v>
      </c>
      <c r="C2023" t="s">
        <v>36</v>
      </c>
      <c r="D2023" t="s">
        <v>37</v>
      </c>
      <c r="E2023" t="s">
        <v>21</v>
      </c>
      <c r="F2023" t="s">
        <v>22</v>
      </c>
      <c r="G2023" t="s">
        <v>23</v>
      </c>
      <c r="K2023" cm="1">
        <f t="array" ref="K2023">_xlfn.SWITCH(LeadsData[[#This Row],[Funnel Stage Reached]],"Lead",1,"MQL",2,"SQL",3,"Customer",4)</f>
        <v>2</v>
      </c>
      <c r="L2023" t="str">
        <f>TEXT(LeadsData[[#This Row],[Signup Date]],"mmm-yyyy")</f>
        <v>Mar-2024</v>
      </c>
      <c r="M2023">
        <f>IF(LeadsData[[#This Row],[Stage Number]]&gt;=2,1,0)</f>
        <v>1</v>
      </c>
      <c r="N2023" s="2">
        <f>IF(LeadsData[[#This Row],[Stage Number]]&gt;=3,1,0)</f>
        <v>0</v>
      </c>
      <c r="O2023" s="2">
        <f>IF(LeadsData[[#This Row],[Stage Number]]&gt;=4,1,0)</f>
        <v>0</v>
      </c>
    </row>
    <row r="2024" spans="1:15" x14ac:dyDescent="0.25">
      <c r="A2024" t="s">
        <v>2064</v>
      </c>
      <c r="B2024" s="1">
        <v>45329</v>
      </c>
      <c r="C2024" t="s">
        <v>31</v>
      </c>
      <c r="D2024" t="s">
        <v>34</v>
      </c>
      <c r="E2024" t="s">
        <v>13</v>
      </c>
      <c r="F2024" t="s">
        <v>28</v>
      </c>
      <c r="G2024" t="s">
        <v>15</v>
      </c>
      <c r="K2024" cm="1">
        <f t="array" ref="K2024">_xlfn.SWITCH(LeadsData[[#This Row],[Funnel Stage Reached]],"Lead",1,"MQL",2,"SQL",3,"Customer",4)</f>
        <v>1</v>
      </c>
      <c r="L2024" t="str">
        <f>TEXT(LeadsData[[#This Row],[Signup Date]],"mmm-yyyy")</f>
        <v>Feb-2024</v>
      </c>
      <c r="M2024">
        <f>IF(LeadsData[[#This Row],[Stage Number]]&gt;=2,1,0)</f>
        <v>0</v>
      </c>
      <c r="N2024" s="2">
        <f>IF(LeadsData[[#This Row],[Stage Number]]&gt;=3,1,0)</f>
        <v>0</v>
      </c>
      <c r="O2024" s="2">
        <f>IF(LeadsData[[#This Row],[Stage Number]]&gt;=4,1,0)</f>
        <v>0</v>
      </c>
    </row>
    <row r="2025" spans="1:15" x14ac:dyDescent="0.25">
      <c r="A2025" t="s">
        <v>2065</v>
      </c>
      <c r="B2025" s="1">
        <v>45379</v>
      </c>
      <c r="C2025" t="s">
        <v>17</v>
      </c>
      <c r="D2025" t="s">
        <v>53</v>
      </c>
      <c r="E2025" t="s">
        <v>13</v>
      </c>
      <c r="F2025" t="s">
        <v>28</v>
      </c>
      <c r="G2025" t="s">
        <v>15</v>
      </c>
      <c r="K2025" cm="1">
        <f t="array" ref="K2025">_xlfn.SWITCH(LeadsData[[#This Row],[Funnel Stage Reached]],"Lead",1,"MQL",2,"SQL",3,"Customer",4)</f>
        <v>1</v>
      </c>
      <c r="L2025" t="str">
        <f>TEXT(LeadsData[[#This Row],[Signup Date]],"mmm-yyyy")</f>
        <v>Mar-2024</v>
      </c>
      <c r="M2025">
        <f>IF(LeadsData[[#This Row],[Stage Number]]&gt;=2,1,0)</f>
        <v>0</v>
      </c>
      <c r="N2025" s="2">
        <f>IF(LeadsData[[#This Row],[Stage Number]]&gt;=3,1,0)</f>
        <v>0</v>
      </c>
      <c r="O2025" s="2">
        <f>IF(LeadsData[[#This Row],[Stage Number]]&gt;=4,1,0)</f>
        <v>0</v>
      </c>
    </row>
    <row r="2026" spans="1:15" x14ac:dyDescent="0.25">
      <c r="A2026" t="s">
        <v>2066</v>
      </c>
      <c r="B2026" s="1">
        <v>45484</v>
      </c>
      <c r="C2026" t="s">
        <v>46</v>
      </c>
      <c r="D2026" t="s">
        <v>56</v>
      </c>
      <c r="E2026" t="s">
        <v>13</v>
      </c>
      <c r="F2026" t="s">
        <v>19</v>
      </c>
      <c r="G2026" t="s">
        <v>23</v>
      </c>
      <c r="K2026" cm="1">
        <f t="array" ref="K2026">_xlfn.SWITCH(LeadsData[[#This Row],[Funnel Stage Reached]],"Lead",1,"MQL",2,"SQL",3,"Customer",4)</f>
        <v>2</v>
      </c>
      <c r="L2026" t="str">
        <f>TEXT(LeadsData[[#This Row],[Signup Date]],"mmm-yyyy")</f>
        <v>Jul-2024</v>
      </c>
      <c r="M2026">
        <f>IF(LeadsData[[#This Row],[Stage Number]]&gt;=2,1,0)</f>
        <v>1</v>
      </c>
      <c r="N2026" s="2">
        <f>IF(LeadsData[[#This Row],[Stage Number]]&gt;=3,1,0)</f>
        <v>0</v>
      </c>
      <c r="O2026" s="2">
        <f>IF(LeadsData[[#This Row],[Stage Number]]&gt;=4,1,0)</f>
        <v>0</v>
      </c>
    </row>
    <row r="2027" spans="1:15" x14ac:dyDescent="0.25">
      <c r="A2027" t="s">
        <v>2067</v>
      </c>
      <c r="B2027" s="1">
        <v>45510</v>
      </c>
      <c r="C2027" t="s">
        <v>11</v>
      </c>
      <c r="D2027" t="s">
        <v>79</v>
      </c>
      <c r="E2027" t="s">
        <v>21</v>
      </c>
      <c r="F2027" t="s">
        <v>14</v>
      </c>
      <c r="G2027" t="s">
        <v>15</v>
      </c>
      <c r="K2027" cm="1">
        <f t="array" ref="K2027">_xlfn.SWITCH(LeadsData[[#This Row],[Funnel Stage Reached]],"Lead",1,"MQL",2,"SQL",3,"Customer",4)</f>
        <v>1</v>
      </c>
      <c r="L2027" t="str">
        <f>TEXT(LeadsData[[#This Row],[Signup Date]],"mmm-yyyy")</f>
        <v>Aug-2024</v>
      </c>
      <c r="M2027">
        <f>IF(LeadsData[[#This Row],[Stage Number]]&gt;=2,1,0)</f>
        <v>0</v>
      </c>
      <c r="N2027" s="2">
        <f>IF(LeadsData[[#This Row],[Stage Number]]&gt;=3,1,0)</f>
        <v>0</v>
      </c>
      <c r="O2027" s="2">
        <f>IF(LeadsData[[#This Row],[Stage Number]]&gt;=4,1,0)</f>
        <v>0</v>
      </c>
    </row>
    <row r="2028" spans="1:15" x14ac:dyDescent="0.25">
      <c r="A2028" t="s">
        <v>2068</v>
      </c>
      <c r="B2028" s="1">
        <v>45638</v>
      </c>
      <c r="C2028" t="s">
        <v>31</v>
      </c>
      <c r="D2028" t="s">
        <v>34</v>
      </c>
      <c r="E2028" t="s">
        <v>48</v>
      </c>
      <c r="F2028" t="s">
        <v>19</v>
      </c>
      <c r="G2028" t="s">
        <v>42</v>
      </c>
      <c r="H2028">
        <v>57</v>
      </c>
      <c r="I2028" t="s">
        <v>87</v>
      </c>
      <c r="J2028">
        <v>3126.97</v>
      </c>
      <c r="K2028" cm="1">
        <f t="array" ref="K2028">_xlfn.SWITCH(LeadsData[[#This Row],[Funnel Stage Reached]],"Lead",1,"MQL",2,"SQL",3,"Customer",4)</f>
        <v>4</v>
      </c>
      <c r="L2028" t="str">
        <f>TEXT(LeadsData[[#This Row],[Signup Date]],"mmm-yyyy")</f>
        <v>Dec-2024</v>
      </c>
      <c r="M2028">
        <f>IF(LeadsData[[#This Row],[Stage Number]]&gt;=2,1,0)</f>
        <v>1</v>
      </c>
      <c r="N2028" s="2">
        <f>IF(LeadsData[[#This Row],[Stage Number]]&gt;=3,1,0)</f>
        <v>1</v>
      </c>
      <c r="O2028" s="2">
        <f>IF(LeadsData[[#This Row],[Stage Number]]&gt;=4,1,0)</f>
        <v>1</v>
      </c>
    </row>
    <row r="2029" spans="1:15" x14ac:dyDescent="0.25">
      <c r="A2029" t="s">
        <v>2069</v>
      </c>
      <c r="B2029" s="1">
        <v>45387</v>
      </c>
      <c r="C2029" t="s">
        <v>17</v>
      </c>
      <c r="D2029" t="s">
        <v>18</v>
      </c>
      <c r="E2029" t="s">
        <v>48</v>
      </c>
      <c r="F2029" t="s">
        <v>22</v>
      </c>
      <c r="G2029" t="s">
        <v>15</v>
      </c>
      <c r="K2029" cm="1">
        <f t="array" ref="K2029">_xlfn.SWITCH(LeadsData[[#This Row],[Funnel Stage Reached]],"Lead",1,"MQL",2,"SQL",3,"Customer",4)</f>
        <v>1</v>
      </c>
      <c r="L2029" t="str">
        <f>TEXT(LeadsData[[#This Row],[Signup Date]],"mmm-yyyy")</f>
        <v>Apr-2024</v>
      </c>
      <c r="M2029">
        <f>IF(LeadsData[[#This Row],[Stage Number]]&gt;=2,1,0)</f>
        <v>0</v>
      </c>
      <c r="N2029" s="2">
        <f>IF(LeadsData[[#This Row],[Stage Number]]&gt;=3,1,0)</f>
        <v>0</v>
      </c>
      <c r="O2029" s="2">
        <f>IF(LeadsData[[#This Row],[Stage Number]]&gt;=4,1,0)</f>
        <v>0</v>
      </c>
    </row>
    <row r="2030" spans="1:15" x14ac:dyDescent="0.25">
      <c r="A2030" t="s">
        <v>2070</v>
      </c>
      <c r="B2030" s="1">
        <v>45618</v>
      </c>
      <c r="C2030" t="s">
        <v>17</v>
      </c>
      <c r="D2030" t="s">
        <v>53</v>
      </c>
      <c r="E2030" t="s">
        <v>13</v>
      </c>
      <c r="F2030" t="s">
        <v>19</v>
      </c>
      <c r="G2030" t="s">
        <v>42</v>
      </c>
      <c r="H2030">
        <v>39</v>
      </c>
      <c r="I2030" t="s">
        <v>87</v>
      </c>
      <c r="J2030">
        <v>2426.1799999999998</v>
      </c>
      <c r="K2030" cm="1">
        <f t="array" ref="K2030">_xlfn.SWITCH(LeadsData[[#This Row],[Funnel Stage Reached]],"Lead",1,"MQL",2,"SQL",3,"Customer",4)</f>
        <v>4</v>
      </c>
      <c r="L2030" t="str">
        <f>TEXT(LeadsData[[#This Row],[Signup Date]],"mmm-yyyy")</f>
        <v>Nov-2024</v>
      </c>
      <c r="M2030">
        <f>IF(LeadsData[[#This Row],[Stage Number]]&gt;=2,1,0)</f>
        <v>1</v>
      </c>
      <c r="N2030" s="2">
        <f>IF(LeadsData[[#This Row],[Stage Number]]&gt;=3,1,0)</f>
        <v>1</v>
      </c>
      <c r="O2030" s="2">
        <f>IF(LeadsData[[#This Row],[Stage Number]]&gt;=4,1,0)</f>
        <v>1</v>
      </c>
    </row>
    <row r="2031" spans="1:15" x14ac:dyDescent="0.25">
      <c r="A2031" t="s">
        <v>2071</v>
      </c>
      <c r="B2031" s="1">
        <v>45648</v>
      </c>
      <c r="C2031" t="s">
        <v>36</v>
      </c>
      <c r="D2031" t="s">
        <v>50</v>
      </c>
      <c r="E2031" t="s">
        <v>21</v>
      </c>
      <c r="F2031" t="s">
        <v>19</v>
      </c>
      <c r="G2031" t="s">
        <v>15</v>
      </c>
      <c r="K2031" cm="1">
        <f t="array" ref="K2031">_xlfn.SWITCH(LeadsData[[#This Row],[Funnel Stage Reached]],"Lead",1,"MQL",2,"SQL",3,"Customer",4)</f>
        <v>1</v>
      </c>
      <c r="L2031" t="str">
        <f>TEXT(LeadsData[[#This Row],[Signup Date]],"mmm-yyyy")</f>
        <v>Dec-2024</v>
      </c>
      <c r="M2031">
        <f>IF(LeadsData[[#This Row],[Stage Number]]&gt;=2,1,0)</f>
        <v>0</v>
      </c>
      <c r="N2031" s="2">
        <f>IF(LeadsData[[#This Row],[Stage Number]]&gt;=3,1,0)</f>
        <v>0</v>
      </c>
      <c r="O2031" s="2">
        <f>IF(LeadsData[[#This Row],[Stage Number]]&gt;=4,1,0)</f>
        <v>0</v>
      </c>
    </row>
    <row r="2032" spans="1:15" x14ac:dyDescent="0.25">
      <c r="A2032" t="s">
        <v>2072</v>
      </c>
      <c r="B2032" s="1">
        <v>45639</v>
      </c>
      <c r="C2032" t="s">
        <v>36</v>
      </c>
      <c r="D2032" t="s">
        <v>37</v>
      </c>
      <c r="E2032" t="s">
        <v>13</v>
      </c>
      <c r="F2032" t="s">
        <v>22</v>
      </c>
      <c r="G2032" t="s">
        <v>23</v>
      </c>
      <c r="K2032" cm="1">
        <f t="array" ref="K2032">_xlfn.SWITCH(LeadsData[[#This Row],[Funnel Stage Reached]],"Lead",1,"MQL",2,"SQL",3,"Customer",4)</f>
        <v>2</v>
      </c>
      <c r="L2032" t="str">
        <f>TEXT(LeadsData[[#This Row],[Signup Date]],"mmm-yyyy")</f>
        <v>Dec-2024</v>
      </c>
      <c r="M2032">
        <f>IF(LeadsData[[#This Row],[Stage Number]]&gt;=2,1,0)</f>
        <v>1</v>
      </c>
      <c r="N2032" s="2">
        <f>IF(LeadsData[[#This Row],[Stage Number]]&gt;=3,1,0)</f>
        <v>0</v>
      </c>
      <c r="O2032" s="2">
        <f>IF(LeadsData[[#This Row],[Stage Number]]&gt;=4,1,0)</f>
        <v>0</v>
      </c>
    </row>
    <row r="2033" spans="1:15" x14ac:dyDescent="0.25">
      <c r="A2033" t="s">
        <v>2073</v>
      </c>
      <c r="B2033" s="1">
        <v>45590</v>
      </c>
      <c r="C2033" t="s">
        <v>17</v>
      </c>
      <c r="D2033" t="s">
        <v>53</v>
      </c>
      <c r="E2033" t="s">
        <v>13</v>
      </c>
      <c r="F2033" t="s">
        <v>14</v>
      </c>
      <c r="G2033" t="s">
        <v>15</v>
      </c>
      <c r="K2033" cm="1">
        <f t="array" ref="K2033">_xlfn.SWITCH(LeadsData[[#This Row],[Funnel Stage Reached]],"Lead",1,"MQL",2,"SQL",3,"Customer",4)</f>
        <v>1</v>
      </c>
      <c r="L2033" t="str">
        <f>TEXT(LeadsData[[#This Row],[Signup Date]],"mmm-yyyy")</f>
        <v>Oct-2024</v>
      </c>
      <c r="M2033">
        <f>IF(LeadsData[[#This Row],[Stage Number]]&gt;=2,1,0)</f>
        <v>0</v>
      </c>
      <c r="N2033" s="2">
        <f>IF(LeadsData[[#This Row],[Stage Number]]&gt;=3,1,0)</f>
        <v>0</v>
      </c>
      <c r="O2033" s="2">
        <f>IF(LeadsData[[#This Row],[Stage Number]]&gt;=4,1,0)</f>
        <v>0</v>
      </c>
    </row>
    <row r="2034" spans="1:15" x14ac:dyDescent="0.25">
      <c r="A2034" t="s">
        <v>2074</v>
      </c>
      <c r="B2034" s="1">
        <v>45469</v>
      </c>
      <c r="C2034" t="s">
        <v>25</v>
      </c>
      <c r="D2034" t="s">
        <v>26</v>
      </c>
      <c r="E2034" t="s">
        <v>13</v>
      </c>
      <c r="F2034" t="s">
        <v>14</v>
      </c>
      <c r="G2034" t="s">
        <v>15</v>
      </c>
      <c r="K2034" cm="1">
        <f t="array" ref="K2034">_xlfn.SWITCH(LeadsData[[#This Row],[Funnel Stage Reached]],"Lead",1,"MQL",2,"SQL",3,"Customer",4)</f>
        <v>1</v>
      </c>
      <c r="L2034" t="str">
        <f>TEXT(LeadsData[[#This Row],[Signup Date]],"mmm-yyyy")</f>
        <v>Jun-2024</v>
      </c>
      <c r="M2034">
        <f>IF(LeadsData[[#This Row],[Stage Number]]&gt;=2,1,0)</f>
        <v>0</v>
      </c>
      <c r="N2034" s="2">
        <f>IF(LeadsData[[#This Row],[Stage Number]]&gt;=3,1,0)</f>
        <v>0</v>
      </c>
      <c r="O2034" s="2">
        <f>IF(LeadsData[[#This Row],[Stage Number]]&gt;=4,1,0)</f>
        <v>0</v>
      </c>
    </row>
    <row r="2035" spans="1:15" x14ac:dyDescent="0.25">
      <c r="A2035" t="s">
        <v>2075</v>
      </c>
      <c r="B2035" s="1">
        <v>45478</v>
      </c>
      <c r="C2035" t="s">
        <v>11</v>
      </c>
      <c r="D2035" t="s">
        <v>68</v>
      </c>
      <c r="E2035" t="s">
        <v>21</v>
      </c>
      <c r="F2035" t="s">
        <v>19</v>
      </c>
      <c r="G2035" t="s">
        <v>29</v>
      </c>
      <c r="K2035" cm="1">
        <f t="array" ref="K2035">_xlfn.SWITCH(LeadsData[[#This Row],[Funnel Stage Reached]],"Lead",1,"MQL",2,"SQL",3,"Customer",4)</f>
        <v>3</v>
      </c>
      <c r="L2035" t="str">
        <f>TEXT(LeadsData[[#This Row],[Signup Date]],"mmm-yyyy")</f>
        <v>Jul-2024</v>
      </c>
      <c r="M2035">
        <f>IF(LeadsData[[#This Row],[Stage Number]]&gt;=2,1,0)</f>
        <v>1</v>
      </c>
      <c r="N2035" s="2">
        <f>IF(LeadsData[[#This Row],[Stage Number]]&gt;=3,1,0)</f>
        <v>1</v>
      </c>
      <c r="O2035" s="2">
        <f>IF(LeadsData[[#This Row],[Stage Number]]&gt;=4,1,0)</f>
        <v>0</v>
      </c>
    </row>
    <row r="2036" spans="1:15" x14ac:dyDescent="0.25">
      <c r="A2036" t="s">
        <v>2076</v>
      </c>
      <c r="B2036" s="1">
        <v>45578</v>
      </c>
      <c r="C2036" t="s">
        <v>36</v>
      </c>
      <c r="D2036" t="s">
        <v>50</v>
      </c>
      <c r="E2036" t="s">
        <v>13</v>
      </c>
      <c r="F2036" t="s">
        <v>22</v>
      </c>
      <c r="G2036" t="s">
        <v>15</v>
      </c>
      <c r="K2036" cm="1">
        <f t="array" ref="K2036">_xlfn.SWITCH(LeadsData[[#This Row],[Funnel Stage Reached]],"Lead",1,"MQL",2,"SQL",3,"Customer",4)</f>
        <v>1</v>
      </c>
      <c r="L2036" t="str">
        <f>TEXT(LeadsData[[#This Row],[Signup Date]],"mmm-yyyy")</f>
        <v>Oct-2024</v>
      </c>
      <c r="M2036">
        <f>IF(LeadsData[[#This Row],[Stage Number]]&gt;=2,1,0)</f>
        <v>0</v>
      </c>
      <c r="N2036" s="2">
        <f>IF(LeadsData[[#This Row],[Stage Number]]&gt;=3,1,0)</f>
        <v>0</v>
      </c>
      <c r="O2036" s="2">
        <f>IF(LeadsData[[#This Row],[Stage Number]]&gt;=4,1,0)</f>
        <v>0</v>
      </c>
    </row>
    <row r="2037" spans="1:15" x14ac:dyDescent="0.25">
      <c r="A2037" t="s">
        <v>2077</v>
      </c>
      <c r="B2037" s="1">
        <v>45631</v>
      </c>
      <c r="C2037" t="s">
        <v>11</v>
      </c>
      <c r="D2037" t="s">
        <v>79</v>
      </c>
      <c r="E2037" t="s">
        <v>21</v>
      </c>
      <c r="F2037" t="s">
        <v>22</v>
      </c>
      <c r="G2037" t="s">
        <v>15</v>
      </c>
      <c r="K2037" cm="1">
        <f t="array" ref="K2037">_xlfn.SWITCH(LeadsData[[#This Row],[Funnel Stage Reached]],"Lead",1,"MQL",2,"SQL",3,"Customer",4)</f>
        <v>1</v>
      </c>
      <c r="L2037" t="str">
        <f>TEXT(LeadsData[[#This Row],[Signup Date]],"mmm-yyyy")</f>
        <v>Dec-2024</v>
      </c>
      <c r="M2037">
        <f>IF(LeadsData[[#This Row],[Stage Number]]&gt;=2,1,0)</f>
        <v>0</v>
      </c>
      <c r="N2037" s="2">
        <f>IF(LeadsData[[#This Row],[Stage Number]]&gt;=3,1,0)</f>
        <v>0</v>
      </c>
      <c r="O2037" s="2">
        <f>IF(LeadsData[[#This Row],[Stage Number]]&gt;=4,1,0)</f>
        <v>0</v>
      </c>
    </row>
    <row r="2038" spans="1:15" x14ac:dyDescent="0.25">
      <c r="A2038" t="s">
        <v>2078</v>
      </c>
      <c r="B2038" s="1">
        <v>45650</v>
      </c>
      <c r="C2038" t="s">
        <v>17</v>
      </c>
      <c r="D2038" t="s">
        <v>53</v>
      </c>
      <c r="E2038" t="s">
        <v>21</v>
      </c>
      <c r="F2038" t="s">
        <v>14</v>
      </c>
      <c r="G2038" t="s">
        <v>15</v>
      </c>
      <c r="K2038" cm="1">
        <f t="array" ref="K2038">_xlfn.SWITCH(LeadsData[[#This Row],[Funnel Stage Reached]],"Lead",1,"MQL",2,"SQL",3,"Customer",4)</f>
        <v>1</v>
      </c>
      <c r="L2038" t="str">
        <f>TEXT(LeadsData[[#This Row],[Signup Date]],"mmm-yyyy")</f>
        <v>Dec-2024</v>
      </c>
      <c r="M2038">
        <f>IF(LeadsData[[#This Row],[Stage Number]]&gt;=2,1,0)</f>
        <v>0</v>
      </c>
      <c r="N2038" s="2">
        <f>IF(LeadsData[[#This Row],[Stage Number]]&gt;=3,1,0)</f>
        <v>0</v>
      </c>
      <c r="O2038" s="2">
        <f>IF(LeadsData[[#This Row],[Stage Number]]&gt;=4,1,0)</f>
        <v>0</v>
      </c>
    </row>
    <row r="2039" spans="1:15" x14ac:dyDescent="0.25">
      <c r="A2039" t="s">
        <v>2079</v>
      </c>
      <c r="B2039" s="1">
        <v>45374</v>
      </c>
      <c r="C2039" t="s">
        <v>31</v>
      </c>
      <c r="D2039" t="s">
        <v>32</v>
      </c>
      <c r="E2039" t="s">
        <v>21</v>
      </c>
      <c r="F2039" t="s">
        <v>22</v>
      </c>
      <c r="G2039" t="s">
        <v>29</v>
      </c>
      <c r="K2039" cm="1">
        <f t="array" ref="K2039">_xlfn.SWITCH(LeadsData[[#This Row],[Funnel Stage Reached]],"Lead",1,"MQL",2,"SQL",3,"Customer",4)</f>
        <v>3</v>
      </c>
      <c r="L2039" t="str">
        <f>TEXT(LeadsData[[#This Row],[Signup Date]],"mmm-yyyy")</f>
        <v>Mar-2024</v>
      </c>
      <c r="M2039">
        <f>IF(LeadsData[[#This Row],[Stage Number]]&gt;=2,1,0)</f>
        <v>1</v>
      </c>
      <c r="N2039" s="2">
        <f>IF(LeadsData[[#This Row],[Stage Number]]&gt;=3,1,0)</f>
        <v>1</v>
      </c>
      <c r="O2039" s="2">
        <f>IF(LeadsData[[#This Row],[Stage Number]]&gt;=4,1,0)</f>
        <v>0</v>
      </c>
    </row>
    <row r="2040" spans="1:15" x14ac:dyDescent="0.25">
      <c r="A2040" t="s">
        <v>2080</v>
      </c>
      <c r="B2040" s="1">
        <v>45451</v>
      </c>
      <c r="C2040" t="s">
        <v>17</v>
      </c>
      <c r="D2040" t="s">
        <v>18</v>
      </c>
      <c r="E2040" t="s">
        <v>21</v>
      </c>
      <c r="F2040" t="s">
        <v>14</v>
      </c>
      <c r="G2040" t="s">
        <v>15</v>
      </c>
      <c r="K2040" cm="1">
        <f t="array" ref="K2040">_xlfn.SWITCH(LeadsData[[#This Row],[Funnel Stage Reached]],"Lead",1,"MQL",2,"SQL",3,"Customer",4)</f>
        <v>1</v>
      </c>
      <c r="L2040" t="str">
        <f>TEXT(LeadsData[[#This Row],[Signup Date]],"mmm-yyyy")</f>
        <v>Jun-2024</v>
      </c>
      <c r="M2040">
        <f>IF(LeadsData[[#This Row],[Stage Number]]&gt;=2,1,0)</f>
        <v>0</v>
      </c>
      <c r="N2040" s="2">
        <f>IF(LeadsData[[#This Row],[Stage Number]]&gt;=3,1,0)</f>
        <v>0</v>
      </c>
      <c r="O2040" s="2">
        <f>IF(LeadsData[[#This Row],[Stage Number]]&gt;=4,1,0)</f>
        <v>0</v>
      </c>
    </row>
    <row r="2041" spans="1:15" x14ac:dyDescent="0.25">
      <c r="A2041" t="s">
        <v>2081</v>
      </c>
      <c r="B2041" s="1">
        <v>45456</v>
      </c>
      <c r="C2041" t="s">
        <v>36</v>
      </c>
      <c r="D2041" t="s">
        <v>50</v>
      </c>
      <c r="E2041" t="s">
        <v>13</v>
      </c>
      <c r="F2041" t="s">
        <v>22</v>
      </c>
      <c r="G2041" t="s">
        <v>15</v>
      </c>
      <c r="K2041" cm="1">
        <f t="array" ref="K2041">_xlfn.SWITCH(LeadsData[[#This Row],[Funnel Stage Reached]],"Lead",1,"MQL",2,"SQL",3,"Customer",4)</f>
        <v>1</v>
      </c>
      <c r="L2041" t="str">
        <f>TEXT(LeadsData[[#This Row],[Signup Date]],"mmm-yyyy")</f>
        <v>Jun-2024</v>
      </c>
      <c r="M2041">
        <f>IF(LeadsData[[#This Row],[Stage Number]]&gt;=2,1,0)</f>
        <v>0</v>
      </c>
      <c r="N2041" s="2">
        <f>IF(LeadsData[[#This Row],[Stage Number]]&gt;=3,1,0)</f>
        <v>0</v>
      </c>
      <c r="O2041" s="2">
        <f>IF(LeadsData[[#This Row],[Stage Number]]&gt;=4,1,0)</f>
        <v>0</v>
      </c>
    </row>
    <row r="2042" spans="1:15" x14ac:dyDescent="0.25">
      <c r="A2042" t="s">
        <v>2082</v>
      </c>
      <c r="B2042" s="1">
        <v>45560</v>
      </c>
      <c r="C2042" t="s">
        <v>31</v>
      </c>
      <c r="D2042" t="s">
        <v>34</v>
      </c>
      <c r="E2042" t="s">
        <v>21</v>
      </c>
      <c r="F2042" t="s">
        <v>14</v>
      </c>
      <c r="G2042" t="s">
        <v>15</v>
      </c>
      <c r="K2042" cm="1">
        <f t="array" ref="K2042">_xlfn.SWITCH(LeadsData[[#This Row],[Funnel Stage Reached]],"Lead",1,"MQL",2,"SQL",3,"Customer",4)</f>
        <v>1</v>
      </c>
      <c r="L2042" t="str">
        <f>TEXT(LeadsData[[#This Row],[Signup Date]],"mmm-yyyy")</f>
        <v>Sep-2024</v>
      </c>
      <c r="M2042">
        <f>IF(LeadsData[[#This Row],[Stage Number]]&gt;=2,1,0)</f>
        <v>0</v>
      </c>
      <c r="N2042" s="2">
        <f>IF(LeadsData[[#This Row],[Stage Number]]&gt;=3,1,0)</f>
        <v>0</v>
      </c>
      <c r="O2042" s="2">
        <f>IF(LeadsData[[#This Row],[Stage Number]]&gt;=4,1,0)</f>
        <v>0</v>
      </c>
    </row>
    <row r="2043" spans="1:15" x14ac:dyDescent="0.25">
      <c r="A2043" t="s">
        <v>2083</v>
      </c>
      <c r="B2043" s="1">
        <v>45647</v>
      </c>
      <c r="C2043" t="s">
        <v>17</v>
      </c>
      <c r="D2043" t="s">
        <v>18</v>
      </c>
      <c r="E2043" t="s">
        <v>13</v>
      </c>
      <c r="F2043" t="s">
        <v>19</v>
      </c>
      <c r="G2043" t="s">
        <v>15</v>
      </c>
      <c r="K2043" cm="1">
        <f t="array" ref="K2043">_xlfn.SWITCH(LeadsData[[#This Row],[Funnel Stage Reached]],"Lead",1,"MQL",2,"SQL",3,"Customer",4)</f>
        <v>1</v>
      </c>
      <c r="L2043" t="str">
        <f>TEXT(LeadsData[[#This Row],[Signup Date]],"mmm-yyyy")</f>
        <v>Dec-2024</v>
      </c>
      <c r="M2043">
        <f>IF(LeadsData[[#This Row],[Stage Number]]&gt;=2,1,0)</f>
        <v>0</v>
      </c>
      <c r="N2043" s="2">
        <f>IF(LeadsData[[#This Row],[Stage Number]]&gt;=3,1,0)</f>
        <v>0</v>
      </c>
      <c r="O2043" s="2">
        <f>IF(LeadsData[[#This Row],[Stage Number]]&gt;=4,1,0)</f>
        <v>0</v>
      </c>
    </row>
    <row r="2044" spans="1:15" x14ac:dyDescent="0.25">
      <c r="A2044" t="s">
        <v>2084</v>
      </c>
      <c r="B2044" s="1">
        <v>45615</v>
      </c>
      <c r="C2044" t="s">
        <v>31</v>
      </c>
      <c r="D2044" t="s">
        <v>34</v>
      </c>
      <c r="E2044" t="s">
        <v>21</v>
      </c>
      <c r="F2044" t="s">
        <v>22</v>
      </c>
      <c r="G2044" t="s">
        <v>15</v>
      </c>
      <c r="K2044" cm="1">
        <f t="array" ref="K2044">_xlfn.SWITCH(LeadsData[[#This Row],[Funnel Stage Reached]],"Lead",1,"MQL",2,"SQL",3,"Customer",4)</f>
        <v>1</v>
      </c>
      <c r="L2044" t="str">
        <f>TEXT(LeadsData[[#This Row],[Signup Date]],"mmm-yyyy")</f>
        <v>Nov-2024</v>
      </c>
      <c r="M2044">
        <f>IF(LeadsData[[#This Row],[Stage Number]]&gt;=2,1,0)</f>
        <v>0</v>
      </c>
      <c r="N2044" s="2">
        <f>IF(LeadsData[[#This Row],[Stage Number]]&gt;=3,1,0)</f>
        <v>0</v>
      </c>
      <c r="O2044" s="2">
        <f>IF(LeadsData[[#This Row],[Stage Number]]&gt;=4,1,0)</f>
        <v>0</v>
      </c>
    </row>
    <row r="2045" spans="1:15" x14ac:dyDescent="0.25">
      <c r="A2045" t="s">
        <v>2085</v>
      </c>
      <c r="B2045" s="1">
        <v>45437</v>
      </c>
      <c r="C2045" t="s">
        <v>31</v>
      </c>
      <c r="D2045" t="s">
        <v>34</v>
      </c>
      <c r="E2045" t="s">
        <v>13</v>
      </c>
      <c r="F2045" t="s">
        <v>28</v>
      </c>
      <c r="G2045" t="s">
        <v>15</v>
      </c>
      <c r="K2045" cm="1">
        <f t="array" ref="K2045">_xlfn.SWITCH(LeadsData[[#This Row],[Funnel Stage Reached]],"Lead",1,"MQL",2,"SQL",3,"Customer",4)</f>
        <v>1</v>
      </c>
      <c r="L2045" t="str">
        <f>TEXT(LeadsData[[#This Row],[Signup Date]],"mmm-yyyy")</f>
        <v>May-2024</v>
      </c>
      <c r="M2045">
        <f>IF(LeadsData[[#This Row],[Stage Number]]&gt;=2,1,0)</f>
        <v>0</v>
      </c>
      <c r="N2045" s="2">
        <f>IF(LeadsData[[#This Row],[Stage Number]]&gt;=3,1,0)</f>
        <v>0</v>
      </c>
      <c r="O2045" s="2">
        <f>IF(LeadsData[[#This Row],[Stage Number]]&gt;=4,1,0)</f>
        <v>0</v>
      </c>
    </row>
    <row r="2046" spans="1:15" x14ac:dyDescent="0.25">
      <c r="A2046" t="s">
        <v>2086</v>
      </c>
      <c r="B2046" s="1">
        <v>45552</v>
      </c>
      <c r="C2046" t="s">
        <v>11</v>
      </c>
      <c r="D2046" t="s">
        <v>68</v>
      </c>
      <c r="E2046" t="s">
        <v>13</v>
      </c>
      <c r="F2046" t="s">
        <v>22</v>
      </c>
      <c r="G2046" t="s">
        <v>15</v>
      </c>
      <c r="K2046" cm="1">
        <f t="array" ref="K2046">_xlfn.SWITCH(LeadsData[[#This Row],[Funnel Stage Reached]],"Lead",1,"MQL",2,"SQL",3,"Customer",4)</f>
        <v>1</v>
      </c>
      <c r="L2046" t="str">
        <f>TEXT(LeadsData[[#This Row],[Signup Date]],"mmm-yyyy")</f>
        <v>Sep-2024</v>
      </c>
      <c r="M2046">
        <f>IF(LeadsData[[#This Row],[Stage Number]]&gt;=2,1,0)</f>
        <v>0</v>
      </c>
      <c r="N2046" s="2">
        <f>IF(LeadsData[[#This Row],[Stage Number]]&gt;=3,1,0)</f>
        <v>0</v>
      </c>
      <c r="O2046" s="2">
        <f>IF(LeadsData[[#This Row],[Stage Number]]&gt;=4,1,0)</f>
        <v>0</v>
      </c>
    </row>
    <row r="2047" spans="1:15" x14ac:dyDescent="0.25">
      <c r="A2047" t="s">
        <v>2087</v>
      </c>
      <c r="B2047" s="1">
        <v>45444</v>
      </c>
      <c r="C2047" t="s">
        <v>17</v>
      </c>
      <c r="D2047" t="s">
        <v>18</v>
      </c>
      <c r="E2047" t="s">
        <v>21</v>
      </c>
      <c r="F2047" t="s">
        <v>19</v>
      </c>
      <c r="G2047" t="s">
        <v>15</v>
      </c>
      <c r="K2047" cm="1">
        <f t="array" ref="K2047">_xlfn.SWITCH(LeadsData[[#This Row],[Funnel Stage Reached]],"Lead",1,"MQL",2,"SQL",3,"Customer",4)</f>
        <v>1</v>
      </c>
      <c r="L2047" t="str">
        <f>TEXT(LeadsData[[#This Row],[Signup Date]],"mmm-yyyy")</f>
        <v>Jun-2024</v>
      </c>
      <c r="M2047">
        <f>IF(LeadsData[[#This Row],[Stage Number]]&gt;=2,1,0)</f>
        <v>0</v>
      </c>
      <c r="N2047" s="2">
        <f>IF(LeadsData[[#This Row],[Stage Number]]&gt;=3,1,0)</f>
        <v>0</v>
      </c>
      <c r="O2047" s="2">
        <f>IF(LeadsData[[#This Row],[Stage Number]]&gt;=4,1,0)</f>
        <v>0</v>
      </c>
    </row>
    <row r="2048" spans="1:15" x14ac:dyDescent="0.25">
      <c r="A2048" t="s">
        <v>2088</v>
      </c>
      <c r="B2048" s="1">
        <v>45581</v>
      </c>
      <c r="C2048" t="s">
        <v>25</v>
      </c>
      <c r="D2048" t="s">
        <v>26</v>
      </c>
      <c r="E2048" t="s">
        <v>13</v>
      </c>
      <c r="F2048" t="s">
        <v>22</v>
      </c>
      <c r="G2048" t="s">
        <v>23</v>
      </c>
      <c r="K2048" cm="1">
        <f t="array" ref="K2048">_xlfn.SWITCH(LeadsData[[#This Row],[Funnel Stage Reached]],"Lead",1,"MQL",2,"SQL",3,"Customer",4)</f>
        <v>2</v>
      </c>
      <c r="L2048" t="str">
        <f>TEXT(LeadsData[[#This Row],[Signup Date]],"mmm-yyyy")</f>
        <v>Oct-2024</v>
      </c>
      <c r="M2048">
        <f>IF(LeadsData[[#This Row],[Stage Number]]&gt;=2,1,0)</f>
        <v>1</v>
      </c>
      <c r="N2048" s="2">
        <f>IF(LeadsData[[#This Row],[Stage Number]]&gt;=3,1,0)</f>
        <v>0</v>
      </c>
      <c r="O2048" s="2">
        <f>IF(LeadsData[[#This Row],[Stage Number]]&gt;=4,1,0)</f>
        <v>0</v>
      </c>
    </row>
    <row r="2049" spans="1:15" x14ac:dyDescent="0.25">
      <c r="A2049" t="s">
        <v>2089</v>
      </c>
      <c r="B2049" s="1">
        <v>45507</v>
      </c>
      <c r="C2049" t="s">
        <v>31</v>
      </c>
      <c r="D2049" t="s">
        <v>34</v>
      </c>
      <c r="E2049" t="s">
        <v>13</v>
      </c>
      <c r="F2049" t="s">
        <v>19</v>
      </c>
      <c r="G2049" t="s">
        <v>29</v>
      </c>
      <c r="K2049" cm="1">
        <f t="array" ref="K2049">_xlfn.SWITCH(LeadsData[[#This Row],[Funnel Stage Reached]],"Lead",1,"MQL",2,"SQL",3,"Customer",4)</f>
        <v>3</v>
      </c>
      <c r="L2049" t="str">
        <f>TEXT(LeadsData[[#This Row],[Signup Date]],"mmm-yyyy")</f>
        <v>Aug-2024</v>
      </c>
      <c r="M2049">
        <f>IF(LeadsData[[#This Row],[Stage Number]]&gt;=2,1,0)</f>
        <v>1</v>
      </c>
      <c r="N2049" s="2">
        <f>IF(LeadsData[[#This Row],[Stage Number]]&gt;=3,1,0)</f>
        <v>1</v>
      </c>
      <c r="O2049" s="2">
        <f>IF(LeadsData[[#This Row],[Stage Number]]&gt;=4,1,0)</f>
        <v>0</v>
      </c>
    </row>
    <row r="2050" spans="1:15" x14ac:dyDescent="0.25">
      <c r="A2050" t="s">
        <v>2090</v>
      </c>
      <c r="B2050" s="1">
        <v>45434</v>
      </c>
      <c r="C2050" t="s">
        <v>11</v>
      </c>
      <c r="D2050" t="s">
        <v>68</v>
      </c>
      <c r="E2050" t="s">
        <v>13</v>
      </c>
      <c r="F2050" t="s">
        <v>22</v>
      </c>
      <c r="G2050" t="s">
        <v>15</v>
      </c>
      <c r="K2050" cm="1">
        <f t="array" ref="K2050">_xlfn.SWITCH(LeadsData[[#This Row],[Funnel Stage Reached]],"Lead",1,"MQL",2,"SQL",3,"Customer",4)</f>
        <v>1</v>
      </c>
      <c r="L2050" t="str">
        <f>TEXT(LeadsData[[#This Row],[Signup Date]],"mmm-yyyy")</f>
        <v>May-2024</v>
      </c>
      <c r="M2050">
        <f>IF(LeadsData[[#This Row],[Stage Number]]&gt;=2,1,0)</f>
        <v>0</v>
      </c>
      <c r="N2050" s="2">
        <f>IF(LeadsData[[#This Row],[Stage Number]]&gt;=3,1,0)</f>
        <v>0</v>
      </c>
      <c r="O2050" s="2">
        <f>IF(LeadsData[[#This Row],[Stage Number]]&gt;=4,1,0)</f>
        <v>0</v>
      </c>
    </row>
    <row r="2051" spans="1:15" x14ac:dyDescent="0.25">
      <c r="A2051" t="s">
        <v>2091</v>
      </c>
      <c r="B2051" s="1">
        <v>45465</v>
      </c>
      <c r="C2051" t="s">
        <v>17</v>
      </c>
      <c r="D2051" t="s">
        <v>53</v>
      </c>
      <c r="E2051" t="s">
        <v>13</v>
      </c>
      <c r="F2051" t="s">
        <v>19</v>
      </c>
      <c r="G2051" t="s">
        <v>23</v>
      </c>
      <c r="K2051" cm="1">
        <f t="array" ref="K2051">_xlfn.SWITCH(LeadsData[[#This Row],[Funnel Stage Reached]],"Lead",1,"MQL",2,"SQL",3,"Customer",4)</f>
        <v>2</v>
      </c>
      <c r="L2051" t="str">
        <f>TEXT(LeadsData[[#This Row],[Signup Date]],"mmm-yyyy")</f>
        <v>Jun-2024</v>
      </c>
      <c r="M2051">
        <f>IF(LeadsData[[#This Row],[Stage Number]]&gt;=2,1,0)</f>
        <v>1</v>
      </c>
      <c r="N2051" s="2">
        <f>IF(LeadsData[[#This Row],[Stage Number]]&gt;=3,1,0)</f>
        <v>0</v>
      </c>
      <c r="O2051" s="2">
        <f>IF(LeadsData[[#This Row],[Stage Number]]&gt;=4,1,0)</f>
        <v>0</v>
      </c>
    </row>
    <row r="2052" spans="1:15" x14ac:dyDescent="0.25">
      <c r="A2052" t="s">
        <v>2092</v>
      </c>
      <c r="B2052" s="1">
        <v>45365</v>
      </c>
      <c r="C2052" t="s">
        <v>31</v>
      </c>
      <c r="D2052" t="s">
        <v>32</v>
      </c>
      <c r="E2052" t="s">
        <v>13</v>
      </c>
      <c r="F2052" t="s">
        <v>19</v>
      </c>
      <c r="G2052" t="s">
        <v>29</v>
      </c>
      <c r="K2052" cm="1">
        <f t="array" ref="K2052">_xlfn.SWITCH(LeadsData[[#This Row],[Funnel Stage Reached]],"Lead",1,"MQL",2,"SQL",3,"Customer",4)</f>
        <v>3</v>
      </c>
      <c r="L2052" t="str">
        <f>TEXT(LeadsData[[#This Row],[Signup Date]],"mmm-yyyy")</f>
        <v>Mar-2024</v>
      </c>
      <c r="M2052">
        <f>IF(LeadsData[[#This Row],[Stage Number]]&gt;=2,1,0)</f>
        <v>1</v>
      </c>
      <c r="N2052" s="2">
        <f>IF(LeadsData[[#This Row],[Stage Number]]&gt;=3,1,0)</f>
        <v>1</v>
      </c>
      <c r="O2052" s="2">
        <f>IF(LeadsData[[#This Row],[Stage Number]]&gt;=4,1,0)</f>
        <v>0</v>
      </c>
    </row>
    <row r="2053" spans="1:15" x14ac:dyDescent="0.25">
      <c r="A2053" t="s">
        <v>2093</v>
      </c>
      <c r="B2053" s="1">
        <v>45587</v>
      </c>
      <c r="C2053" t="s">
        <v>11</v>
      </c>
      <c r="D2053" t="s">
        <v>68</v>
      </c>
      <c r="E2053" t="s">
        <v>13</v>
      </c>
      <c r="F2053" t="s">
        <v>19</v>
      </c>
      <c r="G2053" t="s">
        <v>15</v>
      </c>
      <c r="K2053" cm="1">
        <f t="array" ref="K2053">_xlfn.SWITCH(LeadsData[[#This Row],[Funnel Stage Reached]],"Lead",1,"MQL",2,"SQL",3,"Customer",4)</f>
        <v>1</v>
      </c>
      <c r="L2053" t="str">
        <f>TEXT(LeadsData[[#This Row],[Signup Date]],"mmm-yyyy")</f>
        <v>Oct-2024</v>
      </c>
      <c r="M2053">
        <f>IF(LeadsData[[#This Row],[Stage Number]]&gt;=2,1,0)</f>
        <v>0</v>
      </c>
      <c r="N2053" s="2">
        <f>IF(LeadsData[[#This Row],[Stage Number]]&gt;=3,1,0)</f>
        <v>0</v>
      </c>
      <c r="O2053" s="2">
        <f>IF(LeadsData[[#This Row],[Stage Number]]&gt;=4,1,0)</f>
        <v>0</v>
      </c>
    </row>
    <row r="2054" spans="1:15" x14ac:dyDescent="0.25">
      <c r="A2054" t="s">
        <v>2094</v>
      </c>
      <c r="B2054" s="1">
        <v>45538</v>
      </c>
      <c r="C2054" t="s">
        <v>25</v>
      </c>
      <c r="D2054" t="s">
        <v>26</v>
      </c>
      <c r="E2054" t="s">
        <v>13</v>
      </c>
      <c r="F2054" t="s">
        <v>19</v>
      </c>
      <c r="G2054" t="s">
        <v>15</v>
      </c>
      <c r="K2054" cm="1">
        <f t="array" ref="K2054">_xlfn.SWITCH(LeadsData[[#This Row],[Funnel Stage Reached]],"Lead",1,"MQL",2,"SQL",3,"Customer",4)</f>
        <v>1</v>
      </c>
      <c r="L2054" t="str">
        <f>TEXT(LeadsData[[#This Row],[Signup Date]],"mmm-yyyy")</f>
        <v>Sep-2024</v>
      </c>
      <c r="M2054">
        <f>IF(LeadsData[[#This Row],[Stage Number]]&gt;=2,1,0)</f>
        <v>0</v>
      </c>
      <c r="N2054" s="2">
        <f>IF(LeadsData[[#This Row],[Stage Number]]&gt;=3,1,0)</f>
        <v>0</v>
      </c>
      <c r="O2054" s="2">
        <f>IF(LeadsData[[#This Row],[Stage Number]]&gt;=4,1,0)</f>
        <v>0</v>
      </c>
    </row>
    <row r="2055" spans="1:15" x14ac:dyDescent="0.25">
      <c r="A2055" t="s">
        <v>2095</v>
      </c>
      <c r="B2055" s="1">
        <v>45577</v>
      </c>
      <c r="C2055" t="s">
        <v>36</v>
      </c>
      <c r="D2055" t="s">
        <v>37</v>
      </c>
      <c r="E2055" t="s">
        <v>13</v>
      </c>
      <c r="F2055" t="s">
        <v>19</v>
      </c>
      <c r="G2055" t="s">
        <v>29</v>
      </c>
      <c r="K2055" cm="1">
        <f t="array" ref="K2055">_xlfn.SWITCH(LeadsData[[#This Row],[Funnel Stage Reached]],"Lead",1,"MQL",2,"SQL",3,"Customer",4)</f>
        <v>3</v>
      </c>
      <c r="L2055" t="str">
        <f>TEXT(LeadsData[[#This Row],[Signup Date]],"mmm-yyyy")</f>
        <v>Oct-2024</v>
      </c>
      <c r="M2055">
        <f>IF(LeadsData[[#This Row],[Stage Number]]&gt;=2,1,0)</f>
        <v>1</v>
      </c>
      <c r="N2055" s="2">
        <f>IF(LeadsData[[#This Row],[Stage Number]]&gt;=3,1,0)</f>
        <v>1</v>
      </c>
      <c r="O2055" s="2">
        <f>IF(LeadsData[[#This Row],[Stage Number]]&gt;=4,1,0)</f>
        <v>0</v>
      </c>
    </row>
    <row r="2056" spans="1:15" x14ac:dyDescent="0.25">
      <c r="A2056" t="s">
        <v>2096</v>
      </c>
      <c r="B2056" s="1">
        <v>45436</v>
      </c>
      <c r="C2056" t="s">
        <v>17</v>
      </c>
      <c r="D2056" t="s">
        <v>53</v>
      </c>
      <c r="E2056" t="s">
        <v>21</v>
      </c>
      <c r="F2056" t="s">
        <v>28</v>
      </c>
      <c r="G2056" t="s">
        <v>23</v>
      </c>
      <c r="K2056" cm="1">
        <f t="array" ref="K2056">_xlfn.SWITCH(LeadsData[[#This Row],[Funnel Stage Reached]],"Lead",1,"MQL",2,"SQL",3,"Customer",4)</f>
        <v>2</v>
      </c>
      <c r="L2056" t="str">
        <f>TEXT(LeadsData[[#This Row],[Signup Date]],"mmm-yyyy")</f>
        <v>May-2024</v>
      </c>
      <c r="M2056">
        <f>IF(LeadsData[[#This Row],[Stage Number]]&gt;=2,1,0)</f>
        <v>1</v>
      </c>
      <c r="N2056" s="2">
        <f>IF(LeadsData[[#This Row],[Stage Number]]&gt;=3,1,0)</f>
        <v>0</v>
      </c>
      <c r="O2056" s="2">
        <f>IF(LeadsData[[#This Row],[Stage Number]]&gt;=4,1,0)</f>
        <v>0</v>
      </c>
    </row>
    <row r="2057" spans="1:15" x14ac:dyDescent="0.25">
      <c r="A2057" t="s">
        <v>2097</v>
      </c>
      <c r="B2057" s="1">
        <v>45643</v>
      </c>
      <c r="C2057" t="s">
        <v>25</v>
      </c>
      <c r="D2057" t="s">
        <v>26</v>
      </c>
      <c r="E2057" t="s">
        <v>21</v>
      </c>
      <c r="F2057" t="s">
        <v>14</v>
      </c>
      <c r="G2057" t="s">
        <v>23</v>
      </c>
      <c r="K2057" cm="1">
        <f t="array" ref="K2057">_xlfn.SWITCH(LeadsData[[#This Row],[Funnel Stage Reached]],"Lead",1,"MQL",2,"SQL",3,"Customer",4)</f>
        <v>2</v>
      </c>
      <c r="L2057" t="str">
        <f>TEXT(LeadsData[[#This Row],[Signup Date]],"mmm-yyyy")</f>
        <v>Dec-2024</v>
      </c>
      <c r="M2057">
        <f>IF(LeadsData[[#This Row],[Stage Number]]&gt;=2,1,0)</f>
        <v>1</v>
      </c>
      <c r="N2057" s="2">
        <f>IF(LeadsData[[#This Row],[Stage Number]]&gt;=3,1,0)</f>
        <v>0</v>
      </c>
      <c r="O2057" s="2">
        <f>IF(LeadsData[[#This Row],[Stage Number]]&gt;=4,1,0)</f>
        <v>0</v>
      </c>
    </row>
    <row r="2058" spans="1:15" x14ac:dyDescent="0.25">
      <c r="A2058" t="s">
        <v>2098</v>
      </c>
      <c r="B2058" s="1">
        <v>45404</v>
      </c>
      <c r="C2058" t="s">
        <v>31</v>
      </c>
      <c r="D2058" t="s">
        <v>34</v>
      </c>
      <c r="E2058" t="s">
        <v>13</v>
      </c>
      <c r="F2058" t="s">
        <v>19</v>
      </c>
      <c r="G2058" t="s">
        <v>15</v>
      </c>
      <c r="K2058" cm="1">
        <f t="array" ref="K2058">_xlfn.SWITCH(LeadsData[[#This Row],[Funnel Stage Reached]],"Lead",1,"MQL",2,"SQL",3,"Customer",4)</f>
        <v>1</v>
      </c>
      <c r="L2058" t="str">
        <f>TEXT(LeadsData[[#This Row],[Signup Date]],"mmm-yyyy")</f>
        <v>Apr-2024</v>
      </c>
      <c r="M2058">
        <f>IF(LeadsData[[#This Row],[Stage Number]]&gt;=2,1,0)</f>
        <v>0</v>
      </c>
      <c r="N2058" s="2">
        <f>IF(LeadsData[[#This Row],[Stage Number]]&gt;=3,1,0)</f>
        <v>0</v>
      </c>
      <c r="O2058" s="2">
        <f>IF(LeadsData[[#This Row],[Stage Number]]&gt;=4,1,0)</f>
        <v>0</v>
      </c>
    </row>
    <row r="2059" spans="1:15" x14ac:dyDescent="0.25">
      <c r="A2059" t="s">
        <v>2099</v>
      </c>
      <c r="B2059" s="1">
        <v>45325</v>
      </c>
      <c r="C2059" t="s">
        <v>36</v>
      </c>
      <c r="D2059" t="s">
        <v>37</v>
      </c>
      <c r="E2059" t="s">
        <v>21</v>
      </c>
      <c r="F2059" t="s">
        <v>19</v>
      </c>
      <c r="G2059" t="s">
        <v>23</v>
      </c>
      <c r="K2059" cm="1">
        <f t="array" ref="K2059">_xlfn.SWITCH(LeadsData[[#This Row],[Funnel Stage Reached]],"Lead",1,"MQL",2,"SQL",3,"Customer",4)</f>
        <v>2</v>
      </c>
      <c r="L2059" t="str">
        <f>TEXT(LeadsData[[#This Row],[Signup Date]],"mmm-yyyy")</f>
        <v>Feb-2024</v>
      </c>
      <c r="M2059">
        <f>IF(LeadsData[[#This Row],[Stage Number]]&gt;=2,1,0)</f>
        <v>1</v>
      </c>
      <c r="N2059" s="2">
        <f>IF(LeadsData[[#This Row],[Stage Number]]&gt;=3,1,0)</f>
        <v>0</v>
      </c>
      <c r="O2059" s="2">
        <f>IF(LeadsData[[#This Row],[Stage Number]]&gt;=4,1,0)</f>
        <v>0</v>
      </c>
    </row>
    <row r="2060" spans="1:15" x14ac:dyDescent="0.25">
      <c r="A2060" t="s">
        <v>2100</v>
      </c>
      <c r="B2060" s="1">
        <v>45475</v>
      </c>
      <c r="C2060" t="s">
        <v>31</v>
      </c>
      <c r="D2060" t="s">
        <v>32</v>
      </c>
      <c r="E2060" t="s">
        <v>13</v>
      </c>
      <c r="F2060" t="s">
        <v>19</v>
      </c>
      <c r="G2060" t="s">
        <v>23</v>
      </c>
      <c r="K2060" cm="1">
        <f t="array" ref="K2060">_xlfn.SWITCH(LeadsData[[#This Row],[Funnel Stage Reached]],"Lead",1,"MQL",2,"SQL",3,"Customer",4)</f>
        <v>2</v>
      </c>
      <c r="L2060" t="str">
        <f>TEXT(LeadsData[[#This Row],[Signup Date]],"mmm-yyyy")</f>
        <v>Jul-2024</v>
      </c>
      <c r="M2060">
        <f>IF(LeadsData[[#This Row],[Stage Number]]&gt;=2,1,0)</f>
        <v>1</v>
      </c>
      <c r="N2060" s="2">
        <f>IF(LeadsData[[#This Row],[Stage Number]]&gt;=3,1,0)</f>
        <v>0</v>
      </c>
      <c r="O2060" s="2">
        <f>IF(LeadsData[[#This Row],[Stage Number]]&gt;=4,1,0)</f>
        <v>0</v>
      </c>
    </row>
    <row r="2061" spans="1:15" x14ac:dyDescent="0.25">
      <c r="A2061" t="s">
        <v>2101</v>
      </c>
      <c r="B2061" s="1">
        <v>45574</v>
      </c>
      <c r="C2061" t="s">
        <v>11</v>
      </c>
      <c r="D2061" t="s">
        <v>68</v>
      </c>
      <c r="E2061" t="s">
        <v>13</v>
      </c>
      <c r="F2061" t="s">
        <v>19</v>
      </c>
      <c r="G2061" t="s">
        <v>15</v>
      </c>
      <c r="K2061" cm="1">
        <f t="array" ref="K2061">_xlfn.SWITCH(LeadsData[[#This Row],[Funnel Stage Reached]],"Lead",1,"MQL",2,"SQL",3,"Customer",4)</f>
        <v>1</v>
      </c>
      <c r="L2061" t="str">
        <f>TEXT(LeadsData[[#This Row],[Signup Date]],"mmm-yyyy")</f>
        <v>Oct-2024</v>
      </c>
      <c r="M2061">
        <f>IF(LeadsData[[#This Row],[Stage Number]]&gt;=2,1,0)</f>
        <v>0</v>
      </c>
      <c r="N2061" s="2">
        <f>IF(LeadsData[[#This Row],[Stage Number]]&gt;=3,1,0)</f>
        <v>0</v>
      </c>
      <c r="O2061" s="2">
        <f>IF(LeadsData[[#This Row],[Stage Number]]&gt;=4,1,0)</f>
        <v>0</v>
      </c>
    </row>
    <row r="2062" spans="1:15" x14ac:dyDescent="0.25">
      <c r="A2062" t="s">
        <v>2102</v>
      </c>
      <c r="B2062" s="1">
        <v>45350</v>
      </c>
      <c r="C2062" t="s">
        <v>17</v>
      </c>
      <c r="D2062" t="s">
        <v>53</v>
      </c>
      <c r="E2062" t="s">
        <v>21</v>
      </c>
      <c r="F2062" t="s">
        <v>22</v>
      </c>
      <c r="G2062" t="s">
        <v>15</v>
      </c>
      <c r="K2062" cm="1">
        <f t="array" ref="K2062">_xlfn.SWITCH(LeadsData[[#This Row],[Funnel Stage Reached]],"Lead",1,"MQL",2,"SQL",3,"Customer",4)</f>
        <v>1</v>
      </c>
      <c r="L2062" t="str">
        <f>TEXT(LeadsData[[#This Row],[Signup Date]],"mmm-yyyy")</f>
        <v>Feb-2024</v>
      </c>
      <c r="M2062">
        <f>IF(LeadsData[[#This Row],[Stage Number]]&gt;=2,1,0)</f>
        <v>0</v>
      </c>
      <c r="N2062" s="2">
        <f>IF(LeadsData[[#This Row],[Stage Number]]&gt;=3,1,0)</f>
        <v>0</v>
      </c>
      <c r="O2062" s="2">
        <f>IF(LeadsData[[#This Row],[Stage Number]]&gt;=4,1,0)</f>
        <v>0</v>
      </c>
    </row>
    <row r="2063" spans="1:15" x14ac:dyDescent="0.25">
      <c r="A2063" t="s">
        <v>2103</v>
      </c>
      <c r="B2063" s="1">
        <v>45605</v>
      </c>
      <c r="C2063" t="s">
        <v>11</v>
      </c>
      <c r="D2063" t="s">
        <v>68</v>
      </c>
      <c r="E2063" t="s">
        <v>21</v>
      </c>
      <c r="F2063" t="s">
        <v>22</v>
      </c>
      <c r="G2063" t="s">
        <v>15</v>
      </c>
      <c r="K2063" cm="1">
        <f t="array" ref="K2063">_xlfn.SWITCH(LeadsData[[#This Row],[Funnel Stage Reached]],"Lead",1,"MQL",2,"SQL",3,"Customer",4)</f>
        <v>1</v>
      </c>
      <c r="L2063" t="str">
        <f>TEXT(LeadsData[[#This Row],[Signup Date]],"mmm-yyyy")</f>
        <v>Nov-2024</v>
      </c>
      <c r="M2063">
        <f>IF(LeadsData[[#This Row],[Stage Number]]&gt;=2,1,0)</f>
        <v>0</v>
      </c>
      <c r="N2063" s="2">
        <f>IF(LeadsData[[#This Row],[Stage Number]]&gt;=3,1,0)</f>
        <v>0</v>
      </c>
      <c r="O2063" s="2">
        <f>IF(LeadsData[[#This Row],[Stage Number]]&gt;=4,1,0)</f>
        <v>0</v>
      </c>
    </row>
    <row r="2064" spans="1:15" x14ac:dyDescent="0.25">
      <c r="A2064" t="s">
        <v>2104</v>
      </c>
      <c r="B2064" s="1">
        <v>45334</v>
      </c>
      <c r="C2064" t="s">
        <v>25</v>
      </c>
      <c r="D2064" t="s">
        <v>26</v>
      </c>
      <c r="E2064" t="s">
        <v>21</v>
      </c>
      <c r="F2064" t="s">
        <v>19</v>
      </c>
      <c r="G2064" t="s">
        <v>15</v>
      </c>
      <c r="K2064" cm="1">
        <f t="array" ref="K2064">_xlfn.SWITCH(LeadsData[[#This Row],[Funnel Stage Reached]],"Lead",1,"MQL",2,"SQL",3,"Customer",4)</f>
        <v>1</v>
      </c>
      <c r="L2064" t="str">
        <f>TEXT(LeadsData[[#This Row],[Signup Date]],"mmm-yyyy")</f>
        <v>Feb-2024</v>
      </c>
      <c r="M2064">
        <f>IF(LeadsData[[#This Row],[Stage Number]]&gt;=2,1,0)</f>
        <v>0</v>
      </c>
      <c r="N2064" s="2">
        <f>IF(LeadsData[[#This Row],[Stage Number]]&gt;=3,1,0)</f>
        <v>0</v>
      </c>
      <c r="O2064" s="2">
        <f>IF(LeadsData[[#This Row],[Stage Number]]&gt;=4,1,0)</f>
        <v>0</v>
      </c>
    </row>
    <row r="2065" spans="1:15" x14ac:dyDescent="0.25">
      <c r="A2065" t="s">
        <v>2105</v>
      </c>
      <c r="B2065" s="1">
        <v>45312</v>
      </c>
      <c r="C2065" t="s">
        <v>31</v>
      </c>
      <c r="D2065" t="s">
        <v>32</v>
      </c>
      <c r="E2065" t="s">
        <v>21</v>
      </c>
      <c r="F2065" t="s">
        <v>22</v>
      </c>
      <c r="G2065" t="s">
        <v>42</v>
      </c>
      <c r="H2065">
        <v>70</v>
      </c>
      <c r="I2065" t="s">
        <v>43</v>
      </c>
      <c r="J2065">
        <v>1054.02</v>
      </c>
      <c r="K2065" cm="1">
        <f t="array" ref="K2065">_xlfn.SWITCH(LeadsData[[#This Row],[Funnel Stage Reached]],"Lead",1,"MQL",2,"SQL",3,"Customer",4)</f>
        <v>4</v>
      </c>
      <c r="L2065" t="str">
        <f>TEXT(LeadsData[[#This Row],[Signup Date]],"mmm-yyyy")</f>
        <v>Jan-2024</v>
      </c>
      <c r="M2065">
        <f>IF(LeadsData[[#This Row],[Stage Number]]&gt;=2,1,0)</f>
        <v>1</v>
      </c>
      <c r="N2065" s="2">
        <f>IF(LeadsData[[#This Row],[Stage Number]]&gt;=3,1,0)</f>
        <v>1</v>
      </c>
      <c r="O2065" s="2">
        <f>IF(LeadsData[[#This Row],[Stage Number]]&gt;=4,1,0)</f>
        <v>1</v>
      </c>
    </row>
    <row r="2066" spans="1:15" x14ac:dyDescent="0.25">
      <c r="A2066" t="s">
        <v>2106</v>
      </c>
      <c r="B2066" s="1">
        <v>45366</v>
      </c>
      <c r="C2066" t="s">
        <v>17</v>
      </c>
      <c r="D2066" t="s">
        <v>18</v>
      </c>
      <c r="E2066" t="s">
        <v>13</v>
      </c>
      <c r="F2066" t="s">
        <v>19</v>
      </c>
      <c r="G2066" t="s">
        <v>15</v>
      </c>
      <c r="K2066" cm="1">
        <f t="array" ref="K2066">_xlfn.SWITCH(LeadsData[[#This Row],[Funnel Stage Reached]],"Lead",1,"MQL",2,"SQL",3,"Customer",4)</f>
        <v>1</v>
      </c>
      <c r="L2066" t="str">
        <f>TEXT(LeadsData[[#This Row],[Signup Date]],"mmm-yyyy")</f>
        <v>Mar-2024</v>
      </c>
      <c r="M2066">
        <f>IF(LeadsData[[#This Row],[Stage Number]]&gt;=2,1,0)</f>
        <v>0</v>
      </c>
      <c r="N2066" s="2">
        <f>IF(LeadsData[[#This Row],[Stage Number]]&gt;=3,1,0)</f>
        <v>0</v>
      </c>
      <c r="O2066" s="2">
        <f>IF(LeadsData[[#This Row],[Stage Number]]&gt;=4,1,0)</f>
        <v>0</v>
      </c>
    </row>
    <row r="2067" spans="1:15" x14ac:dyDescent="0.25">
      <c r="A2067" t="s">
        <v>2107</v>
      </c>
      <c r="B2067" s="1">
        <v>45421</v>
      </c>
      <c r="C2067" t="s">
        <v>31</v>
      </c>
      <c r="D2067" t="s">
        <v>32</v>
      </c>
      <c r="E2067" t="s">
        <v>13</v>
      </c>
      <c r="F2067" t="s">
        <v>19</v>
      </c>
      <c r="G2067" t="s">
        <v>15</v>
      </c>
      <c r="K2067" cm="1">
        <f t="array" ref="K2067">_xlfn.SWITCH(LeadsData[[#This Row],[Funnel Stage Reached]],"Lead",1,"MQL",2,"SQL",3,"Customer",4)</f>
        <v>1</v>
      </c>
      <c r="L2067" t="str">
        <f>TEXT(LeadsData[[#This Row],[Signup Date]],"mmm-yyyy")</f>
        <v>May-2024</v>
      </c>
      <c r="M2067">
        <f>IF(LeadsData[[#This Row],[Stage Number]]&gt;=2,1,0)</f>
        <v>0</v>
      </c>
      <c r="N2067" s="2">
        <f>IF(LeadsData[[#This Row],[Stage Number]]&gt;=3,1,0)</f>
        <v>0</v>
      </c>
      <c r="O2067" s="2">
        <f>IF(LeadsData[[#This Row],[Stage Number]]&gt;=4,1,0)</f>
        <v>0</v>
      </c>
    </row>
    <row r="2068" spans="1:15" x14ac:dyDescent="0.25">
      <c r="A2068" t="s">
        <v>2108</v>
      </c>
      <c r="B2068" s="1">
        <v>45604</v>
      </c>
      <c r="C2068" t="s">
        <v>17</v>
      </c>
      <c r="D2068" t="s">
        <v>53</v>
      </c>
      <c r="E2068" t="s">
        <v>21</v>
      </c>
      <c r="F2068" t="s">
        <v>19</v>
      </c>
      <c r="G2068" t="s">
        <v>23</v>
      </c>
      <c r="K2068" cm="1">
        <f t="array" ref="K2068">_xlfn.SWITCH(LeadsData[[#This Row],[Funnel Stage Reached]],"Lead",1,"MQL",2,"SQL",3,"Customer",4)</f>
        <v>2</v>
      </c>
      <c r="L2068" t="str">
        <f>TEXT(LeadsData[[#This Row],[Signup Date]],"mmm-yyyy")</f>
        <v>Nov-2024</v>
      </c>
      <c r="M2068">
        <f>IF(LeadsData[[#This Row],[Stage Number]]&gt;=2,1,0)</f>
        <v>1</v>
      </c>
      <c r="N2068" s="2">
        <f>IF(LeadsData[[#This Row],[Stage Number]]&gt;=3,1,0)</f>
        <v>0</v>
      </c>
      <c r="O2068" s="2">
        <f>IF(LeadsData[[#This Row],[Stage Number]]&gt;=4,1,0)</f>
        <v>0</v>
      </c>
    </row>
    <row r="2069" spans="1:15" x14ac:dyDescent="0.25">
      <c r="A2069" t="s">
        <v>2109</v>
      </c>
      <c r="B2069" s="1">
        <v>45614</v>
      </c>
      <c r="C2069" t="s">
        <v>17</v>
      </c>
      <c r="D2069" t="s">
        <v>53</v>
      </c>
      <c r="E2069" t="s">
        <v>13</v>
      </c>
      <c r="F2069" t="s">
        <v>14</v>
      </c>
      <c r="G2069" t="s">
        <v>15</v>
      </c>
      <c r="K2069" cm="1">
        <f t="array" ref="K2069">_xlfn.SWITCH(LeadsData[[#This Row],[Funnel Stage Reached]],"Lead",1,"MQL",2,"SQL",3,"Customer",4)</f>
        <v>1</v>
      </c>
      <c r="L2069" t="str">
        <f>TEXT(LeadsData[[#This Row],[Signup Date]],"mmm-yyyy")</f>
        <v>Nov-2024</v>
      </c>
      <c r="M2069">
        <f>IF(LeadsData[[#This Row],[Stage Number]]&gt;=2,1,0)</f>
        <v>0</v>
      </c>
      <c r="N2069" s="2">
        <f>IF(LeadsData[[#This Row],[Stage Number]]&gt;=3,1,0)</f>
        <v>0</v>
      </c>
      <c r="O2069" s="2">
        <f>IF(LeadsData[[#This Row],[Stage Number]]&gt;=4,1,0)</f>
        <v>0</v>
      </c>
    </row>
    <row r="2070" spans="1:15" x14ac:dyDescent="0.25">
      <c r="A2070" t="s">
        <v>2110</v>
      </c>
      <c r="B2070" s="1">
        <v>45337</v>
      </c>
      <c r="C2070" t="s">
        <v>25</v>
      </c>
      <c r="D2070" t="s">
        <v>26</v>
      </c>
      <c r="E2070" t="s">
        <v>13</v>
      </c>
      <c r="F2070" t="s">
        <v>22</v>
      </c>
      <c r="G2070" t="s">
        <v>23</v>
      </c>
      <c r="K2070" cm="1">
        <f t="array" ref="K2070">_xlfn.SWITCH(LeadsData[[#This Row],[Funnel Stage Reached]],"Lead",1,"MQL",2,"SQL",3,"Customer",4)</f>
        <v>2</v>
      </c>
      <c r="L2070" t="str">
        <f>TEXT(LeadsData[[#This Row],[Signup Date]],"mmm-yyyy")</f>
        <v>Feb-2024</v>
      </c>
      <c r="M2070">
        <f>IF(LeadsData[[#This Row],[Stage Number]]&gt;=2,1,0)</f>
        <v>1</v>
      </c>
      <c r="N2070" s="2">
        <f>IF(LeadsData[[#This Row],[Stage Number]]&gt;=3,1,0)</f>
        <v>0</v>
      </c>
      <c r="O2070" s="2">
        <f>IF(LeadsData[[#This Row],[Stage Number]]&gt;=4,1,0)</f>
        <v>0</v>
      </c>
    </row>
    <row r="2071" spans="1:15" x14ac:dyDescent="0.25">
      <c r="A2071" t="s">
        <v>2111</v>
      </c>
      <c r="B2071" s="1">
        <v>45647</v>
      </c>
      <c r="C2071" t="s">
        <v>46</v>
      </c>
      <c r="D2071" t="s">
        <v>56</v>
      </c>
      <c r="E2071" t="s">
        <v>13</v>
      </c>
      <c r="F2071" t="s">
        <v>28</v>
      </c>
      <c r="G2071" t="s">
        <v>15</v>
      </c>
      <c r="K2071" cm="1">
        <f t="array" ref="K2071">_xlfn.SWITCH(LeadsData[[#This Row],[Funnel Stage Reached]],"Lead",1,"MQL",2,"SQL",3,"Customer",4)</f>
        <v>1</v>
      </c>
      <c r="L2071" t="str">
        <f>TEXT(LeadsData[[#This Row],[Signup Date]],"mmm-yyyy")</f>
        <v>Dec-2024</v>
      </c>
      <c r="M2071">
        <f>IF(LeadsData[[#This Row],[Stage Number]]&gt;=2,1,0)</f>
        <v>0</v>
      </c>
      <c r="N2071" s="2">
        <f>IF(LeadsData[[#This Row],[Stage Number]]&gt;=3,1,0)</f>
        <v>0</v>
      </c>
      <c r="O2071" s="2">
        <f>IF(LeadsData[[#This Row],[Stage Number]]&gt;=4,1,0)</f>
        <v>0</v>
      </c>
    </row>
    <row r="2072" spans="1:15" x14ac:dyDescent="0.25">
      <c r="A2072" t="s">
        <v>2112</v>
      </c>
      <c r="B2072" s="1">
        <v>45618</v>
      </c>
      <c r="C2072" t="s">
        <v>11</v>
      </c>
      <c r="D2072" t="s">
        <v>79</v>
      </c>
      <c r="E2072" t="s">
        <v>48</v>
      </c>
      <c r="F2072" t="s">
        <v>22</v>
      </c>
      <c r="G2072" t="s">
        <v>23</v>
      </c>
      <c r="K2072" cm="1">
        <f t="array" ref="K2072">_xlfn.SWITCH(LeadsData[[#This Row],[Funnel Stage Reached]],"Lead",1,"MQL",2,"SQL",3,"Customer",4)</f>
        <v>2</v>
      </c>
      <c r="L2072" t="str">
        <f>TEXT(LeadsData[[#This Row],[Signup Date]],"mmm-yyyy")</f>
        <v>Nov-2024</v>
      </c>
      <c r="M2072">
        <f>IF(LeadsData[[#This Row],[Stage Number]]&gt;=2,1,0)</f>
        <v>1</v>
      </c>
      <c r="N2072" s="2">
        <f>IF(LeadsData[[#This Row],[Stage Number]]&gt;=3,1,0)</f>
        <v>0</v>
      </c>
      <c r="O2072" s="2">
        <f>IF(LeadsData[[#This Row],[Stage Number]]&gt;=4,1,0)</f>
        <v>0</v>
      </c>
    </row>
    <row r="2073" spans="1:15" x14ac:dyDescent="0.25">
      <c r="A2073" t="s">
        <v>2113</v>
      </c>
      <c r="B2073" s="1">
        <v>45310</v>
      </c>
      <c r="C2073" t="s">
        <v>46</v>
      </c>
      <c r="D2073" t="s">
        <v>56</v>
      </c>
      <c r="E2073" t="s">
        <v>13</v>
      </c>
      <c r="F2073" t="s">
        <v>22</v>
      </c>
      <c r="G2073" t="s">
        <v>15</v>
      </c>
      <c r="K2073" cm="1">
        <f t="array" ref="K2073">_xlfn.SWITCH(LeadsData[[#This Row],[Funnel Stage Reached]],"Lead",1,"MQL",2,"SQL",3,"Customer",4)</f>
        <v>1</v>
      </c>
      <c r="L2073" t="str">
        <f>TEXT(LeadsData[[#This Row],[Signup Date]],"mmm-yyyy")</f>
        <v>Jan-2024</v>
      </c>
      <c r="M2073">
        <f>IF(LeadsData[[#This Row],[Stage Number]]&gt;=2,1,0)</f>
        <v>0</v>
      </c>
      <c r="N2073" s="2">
        <f>IF(LeadsData[[#This Row],[Stage Number]]&gt;=3,1,0)</f>
        <v>0</v>
      </c>
      <c r="O2073" s="2">
        <f>IF(LeadsData[[#This Row],[Stage Number]]&gt;=4,1,0)</f>
        <v>0</v>
      </c>
    </row>
    <row r="2074" spans="1:15" x14ac:dyDescent="0.25">
      <c r="A2074" t="s">
        <v>2114</v>
      </c>
      <c r="B2074" s="1">
        <v>45355</v>
      </c>
      <c r="C2074" t="s">
        <v>17</v>
      </c>
      <c r="D2074" t="s">
        <v>18</v>
      </c>
      <c r="E2074" t="s">
        <v>21</v>
      </c>
      <c r="F2074" t="s">
        <v>28</v>
      </c>
      <c r="G2074" t="s">
        <v>15</v>
      </c>
      <c r="K2074" cm="1">
        <f t="array" ref="K2074">_xlfn.SWITCH(LeadsData[[#This Row],[Funnel Stage Reached]],"Lead",1,"MQL",2,"SQL",3,"Customer",4)</f>
        <v>1</v>
      </c>
      <c r="L2074" t="str">
        <f>TEXT(LeadsData[[#This Row],[Signup Date]],"mmm-yyyy")</f>
        <v>Mar-2024</v>
      </c>
      <c r="M2074">
        <f>IF(LeadsData[[#This Row],[Stage Number]]&gt;=2,1,0)</f>
        <v>0</v>
      </c>
      <c r="N2074" s="2">
        <f>IF(LeadsData[[#This Row],[Stage Number]]&gt;=3,1,0)</f>
        <v>0</v>
      </c>
      <c r="O2074" s="2">
        <f>IF(LeadsData[[#This Row],[Stage Number]]&gt;=4,1,0)</f>
        <v>0</v>
      </c>
    </row>
    <row r="2075" spans="1:15" x14ac:dyDescent="0.25">
      <c r="A2075" t="s">
        <v>2115</v>
      </c>
      <c r="B2075" s="1">
        <v>45583</v>
      </c>
      <c r="C2075" t="s">
        <v>11</v>
      </c>
      <c r="D2075" t="s">
        <v>79</v>
      </c>
      <c r="E2075" t="s">
        <v>21</v>
      </c>
      <c r="F2075" t="s">
        <v>22</v>
      </c>
      <c r="G2075" t="s">
        <v>15</v>
      </c>
      <c r="K2075" cm="1">
        <f t="array" ref="K2075">_xlfn.SWITCH(LeadsData[[#This Row],[Funnel Stage Reached]],"Lead",1,"MQL",2,"SQL",3,"Customer",4)</f>
        <v>1</v>
      </c>
      <c r="L2075" t="str">
        <f>TEXT(LeadsData[[#This Row],[Signup Date]],"mmm-yyyy")</f>
        <v>Oct-2024</v>
      </c>
      <c r="M2075">
        <f>IF(LeadsData[[#This Row],[Stage Number]]&gt;=2,1,0)</f>
        <v>0</v>
      </c>
      <c r="N2075" s="2">
        <f>IF(LeadsData[[#This Row],[Stage Number]]&gt;=3,1,0)</f>
        <v>0</v>
      </c>
      <c r="O2075" s="2">
        <f>IF(LeadsData[[#This Row],[Stage Number]]&gt;=4,1,0)</f>
        <v>0</v>
      </c>
    </row>
    <row r="2076" spans="1:15" x14ac:dyDescent="0.25">
      <c r="A2076" t="s">
        <v>2116</v>
      </c>
      <c r="B2076" s="1">
        <v>45467</v>
      </c>
      <c r="C2076" t="s">
        <v>46</v>
      </c>
      <c r="D2076" t="s">
        <v>56</v>
      </c>
      <c r="E2076" t="s">
        <v>13</v>
      </c>
      <c r="F2076" t="s">
        <v>14</v>
      </c>
      <c r="G2076" t="s">
        <v>15</v>
      </c>
      <c r="K2076" cm="1">
        <f t="array" ref="K2076">_xlfn.SWITCH(LeadsData[[#This Row],[Funnel Stage Reached]],"Lead",1,"MQL",2,"SQL",3,"Customer",4)</f>
        <v>1</v>
      </c>
      <c r="L2076" t="str">
        <f>TEXT(LeadsData[[#This Row],[Signup Date]],"mmm-yyyy")</f>
        <v>Jun-2024</v>
      </c>
      <c r="M2076">
        <f>IF(LeadsData[[#This Row],[Stage Number]]&gt;=2,1,0)</f>
        <v>0</v>
      </c>
      <c r="N2076" s="2">
        <f>IF(LeadsData[[#This Row],[Stage Number]]&gt;=3,1,0)</f>
        <v>0</v>
      </c>
      <c r="O2076" s="2">
        <f>IF(LeadsData[[#This Row],[Stage Number]]&gt;=4,1,0)</f>
        <v>0</v>
      </c>
    </row>
    <row r="2077" spans="1:15" x14ac:dyDescent="0.25">
      <c r="A2077" t="s">
        <v>2117</v>
      </c>
      <c r="B2077" s="1">
        <v>45604</v>
      </c>
      <c r="C2077" t="s">
        <v>46</v>
      </c>
      <c r="D2077" t="s">
        <v>47</v>
      </c>
      <c r="E2077" t="s">
        <v>13</v>
      </c>
      <c r="F2077" t="s">
        <v>19</v>
      </c>
      <c r="G2077" t="s">
        <v>15</v>
      </c>
      <c r="K2077" cm="1">
        <f t="array" ref="K2077">_xlfn.SWITCH(LeadsData[[#This Row],[Funnel Stage Reached]],"Lead",1,"MQL",2,"SQL",3,"Customer",4)</f>
        <v>1</v>
      </c>
      <c r="L2077" t="str">
        <f>TEXT(LeadsData[[#This Row],[Signup Date]],"mmm-yyyy")</f>
        <v>Nov-2024</v>
      </c>
      <c r="M2077">
        <f>IF(LeadsData[[#This Row],[Stage Number]]&gt;=2,1,0)</f>
        <v>0</v>
      </c>
      <c r="N2077" s="2">
        <f>IF(LeadsData[[#This Row],[Stage Number]]&gt;=3,1,0)</f>
        <v>0</v>
      </c>
      <c r="O2077" s="2">
        <f>IF(LeadsData[[#This Row],[Stage Number]]&gt;=4,1,0)</f>
        <v>0</v>
      </c>
    </row>
    <row r="2078" spans="1:15" x14ac:dyDescent="0.25">
      <c r="A2078" t="s">
        <v>2118</v>
      </c>
      <c r="B2078" s="1">
        <v>45360</v>
      </c>
      <c r="C2078" t="s">
        <v>31</v>
      </c>
      <c r="D2078" t="s">
        <v>34</v>
      </c>
      <c r="E2078" t="s">
        <v>21</v>
      </c>
      <c r="F2078" t="s">
        <v>19</v>
      </c>
      <c r="G2078" t="s">
        <v>23</v>
      </c>
      <c r="K2078" cm="1">
        <f t="array" ref="K2078">_xlfn.SWITCH(LeadsData[[#This Row],[Funnel Stage Reached]],"Lead",1,"MQL",2,"SQL",3,"Customer",4)</f>
        <v>2</v>
      </c>
      <c r="L2078" t="str">
        <f>TEXT(LeadsData[[#This Row],[Signup Date]],"mmm-yyyy")</f>
        <v>Mar-2024</v>
      </c>
      <c r="M2078">
        <f>IF(LeadsData[[#This Row],[Stage Number]]&gt;=2,1,0)</f>
        <v>1</v>
      </c>
      <c r="N2078" s="2">
        <f>IF(LeadsData[[#This Row],[Stage Number]]&gt;=3,1,0)</f>
        <v>0</v>
      </c>
      <c r="O2078" s="2">
        <f>IF(LeadsData[[#This Row],[Stage Number]]&gt;=4,1,0)</f>
        <v>0</v>
      </c>
    </row>
    <row r="2079" spans="1:15" x14ac:dyDescent="0.25">
      <c r="A2079" t="s">
        <v>2119</v>
      </c>
      <c r="B2079" s="1">
        <v>45601</v>
      </c>
      <c r="C2079" t="s">
        <v>31</v>
      </c>
      <c r="D2079" t="s">
        <v>34</v>
      </c>
      <c r="E2079" t="s">
        <v>13</v>
      </c>
      <c r="F2079" t="s">
        <v>14</v>
      </c>
      <c r="G2079" t="s">
        <v>23</v>
      </c>
      <c r="K2079" cm="1">
        <f t="array" ref="K2079">_xlfn.SWITCH(LeadsData[[#This Row],[Funnel Stage Reached]],"Lead",1,"MQL",2,"SQL",3,"Customer",4)</f>
        <v>2</v>
      </c>
      <c r="L2079" t="str">
        <f>TEXT(LeadsData[[#This Row],[Signup Date]],"mmm-yyyy")</f>
        <v>Nov-2024</v>
      </c>
      <c r="M2079">
        <f>IF(LeadsData[[#This Row],[Stage Number]]&gt;=2,1,0)</f>
        <v>1</v>
      </c>
      <c r="N2079" s="2">
        <f>IF(LeadsData[[#This Row],[Stage Number]]&gt;=3,1,0)</f>
        <v>0</v>
      </c>
      <c r="O2079" s="2">
        <f>IF(LeadsData[[#This Row],[Stage Number]]&gt;=4,1,0)</f>
        <v>0</v>
      </c>
    </row>
    <row r="2080" spans="1:15" x14ac:dyDescent="0.25">
      <c r="A2080" t="s">
        <v>2120</v>
      </c>
      <c r="B2080" s="1">
        <v>45653</v>
      </c>
      <c r="C2080" t="s">
        <v>36</v>
      </c>
      <c r="D2080" t="s">
        <v>37</v>
      </c>
      <c r="E2080" t="s">
        <v>21</v>
      </c>
      <c r="F2080" t="s">
        <v>22</v>
      </c>
      <c r="G2080" t="s">
        <v>29</v>
      </c>
      <c r="K2080" cm="1">
        <f t="array" ref="K2080">_xlfn.SWITCH(LeadsData[[#This Row],[Funnel Stage Reached]],"Lead",1,"MQL",2,"SQL",3,"Customer",4)</f>
        <v>3</v>
      </c>
      <c r="L2080" t="str">
        <f>TEXT(LeadsData[[#This Row],[Signup Date]],"mmm-yyyy")</f>
        <v>Dec-2024</v>
      </c>
      <c r="M2080">
        <f>IF(LeadsData[[#This Row],[Stage Number]]&gt;=2,1,0)</f>
        <v>1</v>
      </c>
      <c r="N2080" s="2">
        <f>IF(LeadsData[[#This Row],[Stage Number]]&gt;=3,1,0)</f>
        <v>1</v>
      </c>
      <c r="O2080" s="2">
        <f>IF(LeadsData[[#This Row],[Stage Number]]&gt;=4,1,0)</f>
        <v>0</v>
      </c>
    </row>
    <row r="2081" spans="1:15" x14ac:dyDescent="0.25">
      <c r="A2081" t="s">
        <v>2121</v>
      </c>
      <c r="B2081" s="1">
        <v>45631</v>
      </c>
      <c r="C2081" t="s">
        <v>17</v>
      </c>
      <c r="D2081" t="s">
        <v>53</v>
      </c>
      <c r="E2081" t="s">
        <v>21</v>
      </c>
      <c r="F2081" t="s">
        <v>22</v>
      </c>
      <c r="G2081" t="s">
        <v>42</v>
      </c>
      <c r="H2081">
        <v>19</v>
      </c>
      <c r="I2081" t="s">
        <v>43</v>
      </c>
      <c r="J2081">
        <v>806.42</v>
      </c>
      <c r="K2081" cm="1">
        <f t="array" ref="K2081">_xlfn.SWITCH(LeadsData[[#This Row],[Funnel Stage Reached]],"Lead",1,"MQL",2,"SQL",3,"Customer",4)</f>
        <v>4</v>
      </c>
      <c r="L2081" t="str">
        <f>TEXT(LeadsData[[#This Row],[Signup Date]],"mmm-yyyy")</f>
        <v>Dec-2024</v>
      </c>
      <c r="M2081">
        <f>IF(LeadsData[[#This Row],[Stage Number]]&gt;=2,1,0)</f>
        <v>1</v>
      </c>
      <c r="N2081" s="2">
        <f>IF(LeadsData[[#This Row],[Stage Number]]&gt;=3,1,0)</f>
        <v>1</v>
      </c>
      <c r="O2081" s="2">
        <f>IF(LeadsData[[#This Row],[Stage Number]]&gt;=4,1,0)</f>
        <v>1</v>
      </c>
    </row>
    <row r="2082" spans="1:15" x14ac:dyDescent="0.25">
      <c r="A2082" t="s">
        <v>2122</v>
      </c>
      <c r="B2082" s="1">
        <v>45461</v>
      </c>
      <c r="C2082" t="s">
        <v>46</v>
      </c>
      <c r="D2082" t="s">
        <v>56</v>
      </c>
      <c r="E2082" t="s">
        <v>21</v>
      </c>
      <c r="F2082" t="s">
        <v>14</v>
      </c>
      <c r="G2082" t="s">
        <v>15</v>
      </c>
      <c r="K2082" cm="1">
        <f t="array" ref="K2082">_xlfn.SWITCH(LeadsData[[#This Row],[Funnel Stage Reached]],"Lead",1,"MQL",2,"SQL",3,"Customer",4)</f>
        <v>1</v>
      </c>
      <c r="L2082" t="str">
        <f>TEXT(LeadsData[[#This Row],[Signup Date]],"mmm-yyyy")</f>
        <v>Jun-2024</v>
      </c>
      <c r="M2082">
        <f>IF(LeadsData[[#This Row],[Stage Number]]&gt;=2,1,0)</f>
        <v>0</v>
      </c>
      <c r="N2082" s="2">
        <f>IF(LeadsData[[#This Row],[Stage Number]]&gt;=3,1,0)</f>
        <v>0</v>
      </c>
      <c r="O2082" s="2">
        <f>IF(LeadsData[[#This Row],[Stage Number]]&gt;=4,1,0)</f>
        <v>0</v>
      </c>
    </row>
    <row r="2083" spans="1:15" x14ac:dyDescent="0.25">
      <c r="A2083" t="s">
        <v>2123</v>
      </c>
      <c r="B2083" s="1">
        <v>45458</v>
      </c>
      <c r="C2083" t="s">
        <v>17</v>
      </c>
      <c r="D2083" t="s">
        <v>53</v>
      </c>
      <c r="E2083" t="s">
        <v>21</v>
      </c>
      <c r="F2083" t="s">
        <v>19</v>
      </c>
      <c r="G2083" t="s">
        <v>15</v>
      </c>
      <c r="K2083" cm="1">
        <f t="array" ref="K2083">_xlfn.SWITCH(LeadsData[[#This Row],[Funnel Stage Reached]],"Lead",1,"MQL",2,"SQL",3,"Customer",4)</f>
        <v>1</v>
      </c>
      <c r="L2083" t="str">
        <f>TEXT(LeadsData[[#This Row],[Signup Date]],"mmm-yyyy")</f>
        <v>Jun-2024</v>
      </c>
      <c r="M2083">
        <f>IF(LeadsData[[#This Row],[Stage Number]]&gt;=2,1,0)</f>
        <v>0</v>
      </c>
      <c r="N2083" s="2">
        <f>IF(LeadsData[[#This Row],[Stage Number]]&gt;=3,1,0)</f>
        <v>0</v>
      </c>
      <c r="O2083" s="2">
        <f>IF(LeadsData[[#This Row],[Stage Number]]&gt;=4,1,0)</f>
        <v>0</v>
      </c>
    </row>
    <row r="2084" spans="1:15" x14ac:dyDescent="0.25">
      <c r="A2084" t="s">
        <v>2124</v>
      </c>
      <c r="B2084" s="1">
        <v>45518</v>
      </c>
      <c r="C2084" t="s">
        <v>31</v>
      </c>
      <c r="D2084" t="s">
        <v>32</v>
      </c>
      <c r="E2084" t="s">
        <v>21</v>
      </c>
      <c r="F2084" t="s">
        <v>14</v>
      </c>
      <c r="G2084" t="s">
        <v>15</v>
      </c>
      <c r="K2084" cm="1">
        <f t="array" ref="K2084">_xlfn.SWITCH(LeadsData[[#This Row],[Funnel Stage Reached]],"Lead",1,"MQL",2,"SQL",3,"Customer",4)</f>
        <v>1</v>
      </c>
      <c r="L2084" t="str">
        <f>TEXT(LeadsData[[#This Row],[Signup Date]],"mmm-yyyy")</f>
        <v>Aug-2024</v>
      </c>
      <c r="M2084">
        <f>IF(LeadsData[[#This Row],[Stage Number]]&gt;=2,1,0)</f>
        <v>0</v>
      </c>
      <c r="N2084" s="2">
        <f>IF(LeadsData[[#This Row],[Stage Number]]&gt;=3,1,0)</f>
        <v>0</v>
      </c>
      <c r="O2084" s="2">
        <f>IF(LeadsData[[#This Row],[Stage Number]]&gt;=4,1,0)</f>
        <v>0</v>
      </c>
    </row>
    <row r="2085" spans="1:15" x14ac:dyDescent="0.25">
      <c r="A2085" t="s">
        <v>2125</v>
      </c>
      <c r="B2085" s="1">
        <v>45339</v>
      </c>
      <c r="C2085" t="s">
        <v>11</v>
      </c>
      <c r="D2085" t="s">
        <v>68</v>
      </c>
      <c r="E2085" t="s">
        <v>13</v>
      </c>
      <c r="F2085" t="s">
        <v>28</v>
      </c>
      <c r="G2085" t="s">
        <v>15</v>
      </c>
      <c r="K2085" cm="1">
        <f t="array" ref="K2085">_xlfn.SWITCH(LeadsData[[#This Row],[Funnel Stage Reached]],"Lead",1,"MQL",2,"SQL",3,"Customer",4)</f>
        <v>1</v>
      </c>
      <c r="L2085" t="str">
        <f>TEXT(LeadsData[[#This Row],[Signup Date]],"mmm-yyyy")</f>
        <v>Feb-2024</v>
      </c>
      <c r="M2085">
        <f>IF(LeadsData[[#This Row],[Stage Number]]&gt;=2,1,0)</f>
        <v>0</v>
      </c>
      <c r="N2085" s="2">
        <f>IF(LeadsData[[#This Row],[Stage Number]]&gt;=3,1,0)</f>
        <v>0</v>
      </c>
      <c r="O2085" s="2">
        <f>IF(LeadsData[[#This Row],[Stage Number]]&gt;=4,1,0)</f>
        <v>0</v>
      </c>
    </row>
    <row r="2086" spans="1:15" x14ac:dyDescent="0.25">
      <c r="A2086" t="s">
        <v>2126</v>
      </c>
      <c r="B2086" s="1">
        <v>45617</v>
      </c>
      <c r="C2086" t="s">
        <v>31</v>
      </c>
      <c r="D2086" t="s">
        <v>32</v>
      </c>
      <c r="E2086" t="s">
        <v>48</v>
      </c>
      <c r="F2086" t="s">
        <v>19</v>
      </c>
      <c r="G2086" t="s">
        <v>15</v>
      </c>
      <c r="K2086" cm="1">
        <f t="array" ref="K2086">_xlfn.SWITCH(LeadsData[[#This Row],[Funnel Stage Reached]],"Lead",1,"MQL",2,"SQL",3,"Customer",4)</f>
        <v>1</v>
      </c>
      <c r="L2086" t="str">
        <f>TEXT(LeadsData[[#This Row],[Signup Date]],"mmm-yyyy")</f>
        <v>Nov-2024</v>
      </c>
      <c r="M2086">
        <f>IF(LeadsData[[#This Row],[Stage Number]]&gt;=2,1,0)</f>
        <v>0</v>
      </c>
      <c r="N2086" s="2">
        <f>IF(LeadsData[[#This Row],[Stage Number]]&gt;=3,1,0)</f>
        <v>0</v>
      </c>
      <c r="O2086" s="2">
        <f>IF(LeadsData[[#This Row],[Stage Number]]&gt;=4,1,0)</f>
        <v>0</v>
      </c>
    </row>
    <row r="2087" spans="1:15" x14ac:dyDescent="0.25">
      <c r="A2087" t="s">
        <v>2127</v>
      </c>
      <c r="B2087" s="1">
        <v>45646</v>
      </c>
      <c r="C2087" t="s">
        <v>17</v>
      </c>
      <c r="D2087" t="s">
        <v>53</v>
      </c>
      <c r="E2087" t="s">
        <v>13</v>
      </c>
      <c r="F2087" t="s">
        <v>22</v>
      </c>
      <c r="G2087" t="s">
        <v>15</v>
      </c>
      <c r="K2087" cm="1">
        <f t="array" ref="K2087">_xlfn.SWITCH(LeadsData[[#This Row],[Funnel Stage Reached]],"Lead",1,"MQL",2,"SQL",3,"Customer",4)</f>
        <v>1</v>
      </c>
      <c r="L2087" t="str">
        <f>TEXT(LeadsData[[#This Row],[Signup Date]],"mmm-yyyy")</f>
        <v>Dec-2024</v>
      </c>
      <c r="M2087">
        <f>IF(LeadsData[[#This Row],[Stage Number]]&gt;=2,1,0)</f>
        <v>0</v>
      </c>
      <c r="N2087" s="2">
        <f>IF(LeadsData[[#This Row],[Stage Number]]&gt;=3,1,0)</f>
        <v>0</v>
      </c>
      <c r="O2087" s="2">
        <f>IF(LeadsData[[#This Row],[Stage Number]]&gt;=4,1,0)</f>
        <v>0</v>
      </c>
    </row>
    <row r="2088" spans="1:15" x14ac:dyDescent="0.25">
      <c r="A2088" t="s">
        <v>2128</v>
      </c>
      <c r="B2088" s="1">
        <v>45519</v>
      </c>
      <c r="C2088" t="s">
        <v>31</v>
      </c>
      <c r="D2088" t="s">
        <v>32</v>
      </c>
      <c r="E2088" t="s">
        <v>13</v>
      </c>
      <c r="F2088" t="s">
        <v>22</v>
      </c>
      <c r="G2088" t="s">
        <v>15</v>
      </c>
      <c r="K2088" cm="1">
        <f t="array" ref="K2088">_xlfn.SWITCH(LeadsData[[#This Row],[Funnel Stage Reached]],"Lead",1,"MQL",2,"SQL",3,"Customer",4)</f>
        <v>1</v>
      </c>
      <c r="L2088" t="str">
        <f>TEXT(LeadsData[[#This Row],[Signup Date]],"mmm-yyyy")</f>
        <v>Aug-2024</v>
      </c>
      <c r="M2088">
        <f>IF(LeadsData[[#This Row],[Stage Number]]&gt;=2,1,0)</f>
        <v>0</v>
      </c>
      <c r="N2088" s="2">
        <f>IF(LeadsData[[#This Row],[Stage Number]]&gt;=3,1,0)</f>
        <v>0</v>
      </c>
      <c r="O2088" s="2">
        <f>IF(LeadsData[[#This Row],[Stage Number]]&gt;=4,1,0)</f>
        <v>0</v>
      </c>
    </row>
    <row r="2089" spans="1:15" x14ac:dyDescent="0.25">
      <c r="A2089" t="s">
        <v>2129</v>
      </c>
      <c r="B2089" s="1">
        <v>45558</v>
      </c>
      <c r="C2089" t="s">
        <v>46</v>
      </c>
      <c r="D2089" t="s">
        <v>56</v>
      </c>
      <c r="E2089" t="s">
        <v>13</v>
      </c>
      <c r="F2089" t="s">
        <v>19</v>
      </c>
      <c r="G2089" t="s">
        <v>42</v>
      </c>
      <c r="H2089">
        <v>14</v>
      </c>
      <c r="I2089" t="s">
        <v>43</v>
      </c>
      <c r="J2089">
        <v>666.05</v>
      </c>
      <c r="K2089" cm="1">
        <f t="array" ref="K2089">_xlfn.SWITCH(LeadsData[[#This Row],[Funnel Stage Reached]],"Lead",1,"MQL",2,"SQL",3,"Customer",4)</f>
        <v>4</v>
      </c>
      <c r="L2089" t="str">
        <f>TEXT(LeadsData[[#This Row],[Signup Date]],"mmm-yyyy")</f>
        <v>Sep-2024</v>
      </c>
      <c r="M2089">
        <f>IF(LeadsData[[#This Row],[Stage Number]]&gt;=2,1,0)</f>
        <v>1</v>
      </c>
      <c r="N2089" s="2">
        <f>IF(LeadsData[[#This Row],[Stage Number]]&gt;=3,1,0)</f>
        <v>1</v>
      </c>
      <c r="O2089" s="2">
        <f>IF(LeadsData[[#This Row],[Stage Number]]&gt;=4,1,0)</f>
        <v>1</v>
      </c>
    </row>
    <row r="2090" spans="1:15" x14ac:dyDescent="0.25">
      <c r="A2090" t="s">
        <v>2130</v>
      </c>
      <c r="B2090" s="1">
        <v>45558</v>
      </c>
      <c r="C2090" t="s">
        <v>46</v>
      </c>
      <c r="D2090" t="s">
        <v>56</v>
      </c>
      <c r="E2090" t="s">
        <v>21</v>
      </c>
      <c r="F2090" t="s">
        <v>19</v>
      </c>
      <c r="G2090" t="s">
        <v>42</v>
      </c>
      <c r="H2090">
        <v>23</v>
      </c>
      <c r="I2090" t="s">
        <v>87</v>
      </c>
      <c r="J2090">
        <v>4016.38</v>
      </c>
      <c r="K2090" cm="1">
        <f t="array" ref="K2090">_xlfn.SWITCH(LeadsData[[#This Row],[Funnel Stage Reached]],"Lead",1,"MQL",2,"SQL",3,"Customer",4)</f>
        <v>4</v>
      </c>
      <c r="L2090" t="str">
        <f>TEXT(LeadsData[[#This Row],[Signup Date]],"mmm-yyyy")</f>
        <v>Sep-2024</v>
      </c>
      <c r="M2090">
        <f>IF(LeadsData[[#This Row],[Stage Number]]&gt;=2,1,0)</f>
        <v>1</v>
      </c>
      <c r="N2090" s="2">
        <f>IF(LeadsData[[#This Row],[Stage Number]]&gt;=3,1,0)</f>
        <v>1</v>
      </c>
      <c r="O2090" s="2">
        <f>IF(LeadsData[[#This Row],[Stage Number]]&gt;=4,1,0)</f>
        <v>1</v>
      </c>
    </row>
    <row r="2091" spans="1:15" x14ac:dyDescent="0.25">
      <c r="A2091" t="s">
        <v>2131</v>
      </c>
      <c r="B2091" s="1">
        <v>45628</v>
      </c>
      <c r="C2091" t="s">
        <v>11</v>
      </c>
      <c r="D2091" t="s">
        <v>79</v>
      </c>
      <c r="E2091" t="s">
        <v>13</v>
      </c>
      <c r="F2091" t="s">
        <v>22</v>
      </c>
      <c r="G2091" t="s">
        <v>15</v>
      </c>
      <c r="K2091" cm="1">
        <f t="array" ref="K2091">_xlfn.SWITCH(LeadsData[[#This Row],[Funnel Stage Reached]],"Lead",1,"MQL",2,"SQL",3,"Customer",4)</f>
        <v>1</v>
      </c>
      <c r="L2091" t="str">
        <f>TEXT(LeadsData[[#This Row],[Signup Date]],"mmm-yyyy")</f>
        <v>Dec-2024</v>
      </c>
      <c r="M2091">
        <f>IF(LeadsData[[#This Row],[Stage Number]]&gt;=2,1,0)</f>
        <v>0</v>
      </c>
      <c r="N2091" s="2">
        <f>IF(LeadsData[[#This Row],[Stage Number]]&gt;=3,1,0)</f>
        <v>0</v>
      </c>
      <c r="O2091" s="2">
        <f>IF(LeadsData[[#This Row],[Stage Number]]&gt;=4,1,0)</f>
        <v>0</v>
      </c>
    </row>
    <row r="2092" spans="1:15" x14ac:dyDescent="0.25">
      <c r="A2092" t="s">
        <v>2132</v>
      </c>
      <c r="B2092" s="1">
        <v>45428</v>
      </c>
      <c r="C2092" t="s">
        <v>11</v>
      </c>
      <c r="D2092" t="s">
        <v>68</v>
      </c>
      <c r="E2092" t="s">
        <v>13</v>
      </c>
      <c r="F2092" t="s">
        <v>28</v>
      </c>
      <c r="G2092" t="s">
        <v>23</v>
      </c>
      <c r="K2092" cm="1">
        <f t="array" ref="K2092">_xlfn.SWITCH(LeadsData[[#This Row],[Funnel Stage Reached]],"Lead",1,"MQL",2,"SQL",3,"Customer",4)</f>
        <v>2</v>
      </c>
      <c r="L2092" t="str">
        <f>TEXT(LeadsData[[#This Row],[Signup Date]],"mmm-yyyy")</f>
        <v>May-2024</v>
      </c>
      <c r="M2092">
        <f>IF(LeadsData[[#This Row],[Stage Number]]&gt;=2,1,0)</f>
        <v>1</v>
      </c>
      <c r="N2092" s="2">
        <f>IF(LeadsData[[#This Row],[Stage Number]]&gt;=3,1,0)</f>
        <v>0</v>
      </c>
      <c r="O2092" s="2">
        <f>IF(LeadsData[[#This Row],[Stage Number]]&gt;=4,1,0)</f>
        <v>0</v>
      </c>
    </row>
    <row r="2093" spans="1:15" x14ac:dyDescent="0.25">
      <c r="A2093" t="s">
        <v>2133</v>
      </c>
      <c r="B2093" s="1">
        <v>45573</v>
      </c>
      <c r="C2093" t="s">
        <v>11</v>
      </c>
      <c r="D2093" t="s">
        <v>68</v>
      </c>
      <c r="E2093" t="s">
        <v>13</v>
      </c>
      <c r="F2093" t="s">
        <v>22</v>
      </c>
      <c r="G2093" t="s">
        <v>23</v>
      </c>
      <c r="K2093" cm="1">
        <f t="array" ref="K2093">_xlfn.SWITCH(LeadsData[[#This Row],[Funnel Stage Reached]],"Lead",1,"MQL",2,"SQL",3,"Customer",4)</f>
        <v>2</v>
      </c>
      <c r="L2093" t="str">
        <f>TEXT(LeadsData[[#This Row],[Signup Date]],"mmm-yyyy")</f>
        <v>Oct-2024</v>
      </c>
      <c r="M2093">
        <f>IF(LeadsData[[#This Row],[Stage Number]]&gt;=2,1,0)</f>
        <v>1</v>
      </c>
      <c r="N2093" s="2">
        <f>IF(LeadsData[[#This Row],[Stage Number]]&gt;=3,1,0)</f>
        <v>0</v>
      </c>
      <c r="O2093" s="2">
        <f>IF(LeadsData[[#This Row],[Stage Number]]&gt;=4,1,0)</f>
        <v>0</v>
      </c>
    </row>
    <row r="2094" spans="1:15" x14ac:dyDescent="0.25">
      <c r="A2094" t="s">
        <v>2134</v>
      </c>
      <c r="B2094" s="1">
        <v>45496</v>
      </c>
      <c r="C2094" t="s">
        <v>11</v>
      </c>
      <c r="D2094" t="s">
        <v>68</v>
      </c>
      <c r="E2094" t="s">
        <v>13</v>
      </c>
      <c r="F2094" t="s">
        <v>19</v>
      </c>
      <c r="G2094" t="s">
        <v>23</v>
      </c>
      <c r="K2094" cm="1">
        <f t="array" ref="K2094">_xlfn.SWITCH(LeadsData[[#This Row],[Funnel Stage Reached]],"Lead",1,"MQL",2,"SQL",3,"Customer",4)</f>
        <v>2</v>
      </c>
      <c r="L2094" t="str">
        <f>TEXT(LeadsData[[#This Row],[Signup Date]],"mmm-yyyy")</f>
        <v>Jul-2024</v>
      </c>
      <c r="M2094">
        <f>IF(LeadsData[[#This Row],[Stage Number]]&gt;=2,1,0)</f>
        <v>1</v>
      </c>
      <c r="N2094" s="2">
        <f>IF(LeadsData[[#This Row],[Stage Number]]&gt;=3,1,0)</f>
        <v>0</v>
      </c>
      <c r="O2094" s="2">
        <f>IF(LeadsData[[#This Row],[Stage Number]]&gt;=4,1,0)</f>
        <v>0</v>
      </c>
    </row>
    <row r="2095" spans="1:15" x14ac:dyDescent="0.25">
      <c r="A2095" t="s">
        <v>2135</v>
      </c>
      <c r="B2095" s="1">
        <v>45593</v>
      </c>
      <c r="C2095" t="s">
        <v>31</v>
      </c>
      <c r="D2095" t="s">
        <v>32</v>
      </c>
      <c r="E2095" t="s">
        <v>13</v>
      </c>
      <c r="F2095" t="s">
        <v>28</v>
      </c>
      <c r="G2095" t="s">
        <v>29</v>
      </c>
      <c r="K2095" cm="1">
        <f t="array" ref="K2095">_xlfn.SWITCH(LeadsData[[#This Row],[Funnel Stage Reached]],"Lead",1,"MQL",2,"SQL",3,"Customer",4)</f>
        <v>3</v>
      </c>
      <c r="L2095" t="str">
        <f>TEXT(LeadsData[[#This Row],[Signup Date]],"mmm-yyyy")</f>
        <v>Oct-2024</v>
      </c>
      <c r="M2095">
        <f>IF(LeadsData[[#This Row],[Stage Number]]&gt;=2,1,0)</f>
        <v>1</v>
      </c>
      <c r="N2095" s="2">
        <f>IF(LeadsData[[#This Row],[Stage Number]]&gt;=3,1,0)</f>
        <v>1</v>
      </c>
      <c r="O2095" s="2">
        <f>IF(LeadsData[[#This Row],[Stage Number]]&gt;=4,1,0)</f>
        <v>0</v>
      </c>
    </row>
    <row r="2096" spans="1:15" x14ac:dyDescent="0.25">
      <c r="A2096" t="s">
        <v>2136</v>
      </c>
      <c r="B2096" s="1">
        <v>45551</v>
      </c>
      <c r="C2096" t="s">
        <v>46</v>
      </c>
      <c r="D2096" t="s">
        <v>56</v>
      </c>
      <c r="E2096" t="s">
        <v>13</v>
      </c>
      <c r="F2096" t="s">
        <v>14</v>
      </c>
      <c r="G2096" t="s">
        <v>15</v>
      </c>
      <c r="K2096" cm="1">
        <f t="array" ref="K2096">_xlfn.SWITCH(LeadsData[[#This Row],[Funnel Stage Reached]],"Lead",1,"MQL",2,"SQL",3,"Customer",4)</f>
        <v>1</v>
      </c>
      <c r="L2096" t="str">
        <f>TEXT(LeadsData[[#This Row],[Signup Date]],"mmm-yyyy")</f>
        <v>Sep-2024</v>
      </c>
      <c r="M2096">
        <f>IF(LeadsData[[#This Row],[Stage Number]]&gt;=2,1,0)</f>
        <v>0</v>
      </c>
      <c r="N2096" s="2">
        <f>IF(LeadsData[[#This Row],[Stage Number]]&gt;=3,1,0)</f>
        <v>0</v>
      </c>
      <c r="O2096" s="2">
        <f>IF(LeadsData[[#This Row],[Stage Number]]&gt;=4,1,0)</f>
        <v>0</v>
      </c>
    </row>
    <row r="2097" spans="1:15" x14ac:dyDescent="0.25">
      <c r="A2097" t="s">
        <v>2137</v>
      </c>
      <c r="B2097" s="1">
        <v>45355</v>
      </c>
      <c r="C2097" t="s">
        <v>25</v>
      </c>
      <c r="D2097" t="s">
        <v>26</v>
      </c>
      <c r="E2097" t="s">
        <v>48</v>
      </c>
      <c r="F2097" t="s">
        <v>19</v>
      </c>
      <c r="G2097" t="s">
        <v>15</v>
      </c>
      <c r="K2097" cm="1">
        <f t="array" ref="K2097">_xlfn.SWITCH(LeadsData[[#This Row],[Funnel Stage Reached]],"Lead",1,"MQL",2,"SQL",3,"Customer",4)</f>
        <v>1</v>
      </c>
      <c r="L2097" t="str">
        <f>TEXT(LeadsData[[#This Row],[Signup Date]],"mmm-yyyy")</f>
        <v>Mar-2024</v>
      </c>
      <c r="M2097">
        <f>IF(LeadsData[[#This Row],[Stage Number]]&gt;=2,1,0)</f>
        <v>0</v>
      </c>
      <c r="N2097" s="2">
        <f>IF(LeadsData[[#This Row],[Stage Number]]&gt;=3,1,0)</f>
        <v>0</v>
      </c>
      <c r="O2097" s="2">
        <f>IF(LeadsData[[#This Row],[Stage Number]]&gt;=4,1,0)</f>
        <v>0</v>
      </c>
    </row>
    <row r="2098" spans="1:15" x14ac:dyDescent="0.25">
      <c r="A2098" t="s">
        <v>2138</v>
      </c>
      <c r="B2098" s="1">
        <v>45578</v>
      </c>
      <c r="C2098" t="s">
        <v>46</v>
      </c>
      <c r="D2098" t="s">
        <v>47</v>
      </c>
      <c r="E2098" t="s">
        <v>13</v>
      </c>
      <c r="F2098" t="s">
        <v>28</v>
      </c>
      <c r="G2098" t="s">
        <v>23</v>
      </c>
      <c r="K2098" cm="1">
        <f t="array" ref="K2098">_xlfn.SWITCH(LeadsData[[#This Row],[Funnel Stage Reached]],"Lead",1,"MQL",2,"SQL",3,"Customer",4)</f>
        <v>2</v>
      </c>
      <c r="L2098" t="str">
        <f>TEXT(LeadsData[[#This Row],[Signup Date]],"mmm-yyyy")</f>
        <v>Oct-2024</v>
      </c>
      <c r="M2098">
        <f>IF(LeadsData[[#This Row],[Stage Number]]&gt;=2,1,0)</f>
        <v>1</v>
      </c>
      <c r="N2098" s="2">
        <f>IF(LeadsData[[#This Row],[Stage Number]]&gt;=3,1,0)</f>
        <v>0</v>
      </c>
      <c r="O2098" s="2">
        <f>IF(LeadsData[[#This Row],[Stage Number]]&gt;=4,1,0)</f>
        <v>0</v>
      </c>
    </row>
    <row r="2099" spans="1:15" x14ac:dyDescent="0.25">
      <c r="A2099" t="s">
        <v>2139</v>
      </c>
      <c r="B2099" s="1">
        <v>45479</v>
      </c>
      <c r="C2099" t="s">
        <v>17</v>
      </c>
      <c r="D2099" t="s">
        <v>18</v>
      </c>
      <c r="E2099" t="s">
        <v>21</v>
      </c>
      <c r="F2099" t="s">
        <v>22</v>
      </c>
      <c r="G2099" t="s">
        <v>15</v>
      </c>
      <c r="K2099" cm="1">
        <f t="array" ref="K2099">_xlfn.SWITCH(LeadsData[[#This Row],[Funnel Stage Reached]],"Lead",1,"MQL",2,"SQL",3,"Customer",4)</f>
        <v>1</v>
      </c>
      <c r="L2099" t="str">
        <f>TEXT(LeadsData[[#This Row],[Signup Date]],"mmm-yyyy")</f>
        <v>Jul-2024</v>
      </c>
      <c r="M2099">
        <f>IF(LeadsData[[#This Row],[Stage Number]]&gt;=2,1,0)</f>
        <v>0</v>
      </c>
      <c r="N2099" s="2">
        <f>IF(LeadsData[[#This Row],[Stage Number]]&gt;=3,1,0)</f>
        <v>0</v>
      </c>
      <c r="O2099" s="2">
        <f>IF(LeadsData[[#This Row],[Stage Number]]&gt;=4,1,0)</f>
        <v>0</v>
      </c>
    </row>
    <row r="2100" spans="1:15" x14ac:dyDescent="0.25">
      <c r="A2100" t="s">
        <v>2140</v>
      </c>
      <c r="B2100" s="1">
        <v>45387</v>
      </c>
      <c r="C2100" t="s">
        <v>31</v>
      </c>
      <c r="D2100" t="s">
        <v>32</v>
      </c>
      <c r="E2100" t="s">
        <v>48</v>
      </c>
      <c r="F2100" t="s">
        <v>14</v>
      </c>
      <c r="G2100" t="s">
        <v>15</v>
      </c>
      <c r="K2100" cm="1">
        <f t="array" ref="K2100">_xlfn.SWITCH(LeadsData[[#This Row],[Funnel Stage Reached]],"Lead",1,"MQL",2,"SQL",3,"Customer",4)</f>
        <v>1</v>
      </c>
      <c r="L2100" t="str">
        <f>TEXT(LeadsData[[#This Row],[Signup Date]],"mmm-yyyy")</f>
        <v>Apr-2024</v>
      </c>
      <c r="M2100">
        <f>IF(LeadsData[[#This Row],[Stage Number]]&gt;=2,1,0)</f>
        <v>0</v>
      </c>
      <c r="N2100" s="2">
        <f>IF(LeadsData[[#This Row],[Stage Number]]&gt;=3,1,0)</f>
        <v>0</v>
      </c>
      <c r="O2100" s="2">
        <f>IF(LeadsData[[#This Row],[Stage Number]]&gt;=4,1,0)</f>
        <v>0</v>
      </c>
    </row>
    <row r="2101" spans="1:15" x14ac:dyDescent="0.25">
      <c r="A2101" t="s">
        <v>2141</v>
      </c>
      <c r="B2101" s="1">
        <v>45591</v>
      </c>
      <c r="C2101" t="s">
        <v>17</v>
      </c>
      <c r="D2101" t="s">
        <v>53</v>
      </c>
      <c r="E2101" t="s">
        <v>13</v>
      </c>
      <c r="F2101" t="s">
        <v>14</v>
      </c>
      <c r="G2101" t="s">
        <v>15</v>
      </c>
      <c r="K2101" cm="1">
        <f t="array" ref="K2101">_xlfn.SWITCH(LeadsData[[#This Row],[Funnel Stage Reached]],"Lead",1,"MQL",2,"SQL",3,"Customer",4)</f>
        <v>1</v>
      </c>
      <c r="L2101" t="str">
        <f>TEXT(LeadsData[[#This Row],[Signup Date]],"mmm-yyyy")</f>
        <v>Oct-2024</v>
      </c>
      <c r="M2101">
        <f>IF(LeadsData[[#This Row],[Stage Number]]&gt;=2,1,0)</f>
        <v>0</v>
      </c>
      <c r="N2101" s="2">
        <f>IF(LeadsData[[#This Row],[Stage Number]]&gt;=3,1,0)</f>
        <v>0</v>
      </c>
      <c r="O2101" s="2">
        <f>IF(LeadsData[[#This Row],[Stage Number]]&gt;=4,1,0)</f>
        <v>0</v>
      </c>
    </row>
    <row r="2102" spans="1:15" x14ac:dyDescent="0.25">
      <c r="A2102" t="s">
        <v>2142</v>
      </c>
      <c r="B2102" s="1">
        <v>45317</v>
      </c>
      <c r="C2102" t="s">
        <v>31</v>
      </c>
      <c r="D2102" t="s">
        <v>34</v>
      </c>
      <c r="E2102" t="s">
        <v>13</v>
      </c>
      <c r="F2102" t="s">
        <v>19</v>
      </c>
      <c r="G2102" t="s">
        <v>15</v>
      </c>
      <c r="K2102" cm="1">
        <f t="array" ref="K2102">_xlfn.SWITCH(LeadsData[[#This Row],[Funnel Stage Reached]],"Lead",1,"MQL",2,"SQL",3,"Customer",4)</f>
        <v>1</v>
      </c>
      <c r="L2102" t="str">
        <f>TEXT(LeadsData[[#This Row],[Signup Date]],"mmm-yyyy")</f>
        <v>Jan-2024</v>
      </c>
      <c r="M2102">
        <f>IF(LeadsData[[#This Row],[Stage Number]]&gt;=2,1,0)</f>
        <v>0</v>
      </c>
      <c r="N2102" s="2">
        <f>IF(LeadsData[[#This Row],[Stage Number]]&gt;=3,1,0)</f>
        <v>0</v>
      </c>
      <c r="O2102" s="2">
        <f>IF(LeadsData[[#This Row],[Stage Number]]&gt;=4,1,0)</f>
        <v>0</v>
      </c>
    </row>
    <row r="2103" spans="1:15" x14ac:dyDescent="0.25">
      <c r="A2103" t="s">
        <v>2143</v>
      </c>
      <c r="B2103" s="1">
        <v>45398</v>
      </c>
      <c r="C2103" t="s">
        <v>31</v>
      </c>
      <c r="D2103" t="s">
        <v>32</v>
      </c>
      <c r="E2103" t="s">
        <v>48</v>
      </c>
      <c r="F2103" t="s">
        <v>19</v>
      </c>
      <c r="G2103" t="s">
        <v>42</v>
      </c>
      <c r="H2103">
        <v>56</v>
      </c>
      <c r="I2103" t="s">
        <v>43</v>
      </c>
      <c r="J2103">
        <v>521.27</v>
      </c>
      <c r="K2103" cm="1">
        <f t="array" ref="K2103">_xlfn.SWITCH(LeadsData[[#This Row],[Funnel Stage Reached]],"Lead",1,"MQL",2,"SQL",3,"Customer",4)</f>
        <v>4</v>
      </c>
      <c r="L2103" t="str">
        <f>TEXT(LeadsData[[#This Row],[Signup Date]],"mmm-yyyy")</f>
        <v>Apr-2024</v>
      </c>
      <c r="M2103">
        <f>IF(LeadsData[[#This Row],[Stage Number]]&gt;=2,1,0)</f>
        <v>1</v>
      </c>
      <c r="N2103" s="2">
        <f>IF(LeadsData[[#This Row],[Stage Number]]&gt;=3,1,0)</f>
        <v>1</v>
      </c>
      <c r="O2103" s="2">
        <f>IF(LeadsData[[#This Row],[Stage Number]]&gt;=4,1,0)</f>
        <v>1</v>
      </c>
    </row>
    <row r="2104" spans="1:15" x14ac:dyDescent="0.25">
      <c r="A2104" t="s">
        <v>2144</v>
      </c>
      <c r="B2104" s="1">
        <v>45546</v>
      </c>
      <c r="C2104" t="s">
        <v>11</v>
      </c>
      <c r="D2104" t="s">
        <v>12</v>
      </c>
      <c r="E2104" t="s">
        <v>21</v>
      </c>
      <c r="F2104" t="s">
        <v>28</v>
      </c>
      <c r="G2104" t="s">
        <v>23</v>
      </c>
      <c r="K2104" cm="1">
        <f t="array" ref="K2104">_xlfn.SWITCH(LeadsData[[#This Row],[Funnel Stage Reached]],"Lead",1,"MQL",2,"SQL",3,"Customer",4)</f>
        <v>2</v>
      </c>
      <c r="L2104" t="str">
        <f>TEXT(LeadsData[[#This Row],[Signup Date]],"mmm-yyyy")</f>
        <v>Sep-2024</v>
      </c>
      <c r="M2104">
        <f>IF(LeadsData[[#This Row],[Stage Number]]&gt;=2,1,0)</f>
        <v>1</v>
      </c>
      <c r="N2104" s="2">
        <f>IF(LeadsData[[#This Row],[Stage Number]]&gt;=3,1,0)</f>
        <v>0</v>
      </c>
      <c r="O2104" s="2">
        <f>IF(LeadsData[[#This Row],[Stage Number]]&gt;=4,1,0)</f>
        <v>0</v>
      </c>
    </row>
    <row r="2105" spans="1:15" x14ac:dyDescent="0.25">
      <c r="A2105" t="s">
        <v>2145</v>
      </c>
      <c r="B2105" s="1">
        <v>45527</v>
      </c>
      <c r="C2105" t="s">
        <v>31</v>
      </c>
      <c r="D2105" t="s">
        <v>32</v>
      </c>
      <c r="E2105" t="s">
        <v>13</v>
      </c>
      <c r="F2105" t="s">
        <v>19</v>
      </c>
      <c r="G2105" t="s">
        <v>29</v>
      </c>
      <c r="K2105" cm="1">
        <f t="array" ref="K2105">_xlfn.SWITCH(LeadsData[[#This Row],[Funnel Stage Reached]],"Lead",1,"MQL",2,"SQL",3,"Customer",4)</f>
        <v>3</v>
      </c>
      <c r="L2105" t="str">
        <f>TEXT(LeadsData[[#This Row],[Signup Date]],"mmm-yyyy")</f>
        <v>Aug-2024</v>
      </c>
      <c r="M2105">
        <f>IF(LeadsData[[#This Row],[Stage Number]]&gt;=2,1,0)</f>
        <v>1</v>
      </c>
      <c r="N2105" s="2">
        <f>IF(LeadsData[[#This Row],[Stage Number]]&gt;=3,1,0)</f>
        <v>1</v>
      </c>
      <c r="O2105" s="2">
        <f>IF(LeadsData[[#This Row],[Stage Number]]&gt;=4,1,0)</f>
        <v>0</v>
      </c>
    </row>
    <row r="2106" spans="1:15" x14ac:dyDescent="0.25">
      <c r="A2106" t="s">
        <v>2146</v>
      </c>
      <c r="B2106" s="1">
        <v>45531</v>
      </c>
      <c r="C2106" t="s">
        <v>46</v>
      </c>
      <c r="D2106" t="s">
        <v>47</v>
      </c>
      <c r="E2106" t="s">
        <v>13</v>
      </c>
      <c r="F2106" t="s">
        <v>22</v>
      </c>
      <c r="G2106" t="s">
        <v>15</v>
      </c>
      <c r="K2106" cm="1">
        <f t="array" ref="K2106">_xlfn.SWITCH(LeadsData[[#This Row],[Funnel Stage Reached]],"Lead",1,"MQL",2,"SQL",3,"Customer",4)</f>
        <v>1</v>
      </c>
      <c r="L2106" t="str">
        <f>TEXT(LeadsData[[#This Row],[Signup Date]],"mmm-yyyy")</f>
        <v>Aug-2024</v>
      </c>
      <c r="M2106">
        <f>IF(LeadsData[[#This Row],[Stage Number]]&gt;=2,1,0)</f>
        <v>0</v>
      </c>
      <c r="N2106" s="2">
        <f>IF(LeadsData[[#This Row],[Stage Number]]&gt;=3,1,0)</f>
        <v>0</v>
      </c>
      <c r="O2106" s="2">
        <f>IF(LeadsData[[#This Row],[Stage Number]]&gt;=4,1,0)</f>
        <v>0</v>
      </c>
    </row>
    <row r="2107" spans="1:15" x14ac:dyDescent="0.25">
      <c r="A2107" t="s">
        <v>2147</v>
      </c>
      <c r="B2107" s="1">
        <v>45519</v>
      </c>
      <c r="C2107" t="s">
        <v>36</v>
      </c>
      <c r="D2107" t="s">
        <v>50</v>
      </c>
      <c r="E2107" t="s">
        <v>13</v>
      </c>
      <c r="F2107" t="s">
        <v>14</v>
      </c>
      <c r="G2107" t="s">
        <v>29</v>
      </c>
      <c r="K2107" cm="1">
        <f t="array" ref="K2107">_xlfn.SWITCH(LeadsData[[#This Row],[Funnel Stage Reached]],"Lead",1,"MQL",2,"SQL",3,"Customer",4)</f>
        <v>3</v>
      </c>
      <c r="L2107" t="str">
        <f>TEXT(LeadsData[[#This Row],[Signup Date]],"mmm-yyyy")</f>
        <v>Aug-2024</v>
      </c>
      <c r="M2107">
        <f>IF(LeadsData[[#This Row],[Stage Number]]&gt;=2,1,0)</f>
        <v>1</v>
      </c>
      <c r="N2107" s="2">
        <f>IF(LeadsData[[#This Row],[Stage Number]]&gt;=3,1,0)</f>
        <v>1</v>
      </c>
      <c r="O2107" s="2">
        <f>IF(LeadsData[[#This Row],[Stage Number]]&gt;=4,1,0)</f>
        <v>0</v>
      </c>
    </row>
    <row r="2108" spans="1:15" x14ac:dyDescent="0.25">
      <c r="A2108" t="s">
        <v>2148</v>
      </c>
      <c r="B2108" s="1">
        <v>45469</v>
      </c>
      <c r="C2108" t="s">
        <v>46</v>
      </c>
      <c r="D2108" t="s">
        <v>47</v>
      </c>
      <c r="E2108" t="s">
        <v>13</v>
      </c>
      <c r="F2108" t="s">
        <v>19</v>
      </c>
      <c r="G2108" t="s">
        <v>15</v>
      </c>
      <c r="K2108" cm="1">
        <f t="array" ref="K2108">_xlfn.SWITCH(LeadsData[[#This Row],[Funnel Stage Reached]],"Lead",1,"MQL",2,"SQL",3,"Customer",4)</f>
        <v>1</v>
      </c>
      <c r="L2108" t="str">
        <f>TEXT(LeadsData[[#This Row],[Signup Date]],"mmm-yyyy")</f>
        <v>Jun-2024</v>
      </c>
      <c r="M2108">
        <f>IF(LeadsData[[#This Row],[Stage Number]]&gt;=2,1,0)</f>
        <v>0</v>
      </c>
      <c r="N2108" s="2">
        <f>IF(LeadsData[[#This Row],[Stage Number]]&gt;=3,1,0)</f>
        <v>0</v>
      </c>
      <c r="O2108" s="2">
        <f>IF(LeadsData[[#This Row],[Stage Number]]&gt;=4,1,0)</f>
        <v>0</v>
      </c>
    </row>
    <row r="2109" spans="1:15" x14ac:dyDescent="0.25">
      <c r="A2109" t="s">
        <v>2149</v>
      </c>
      <c r="B2109" s="1">
        <v>45509</v>
      </c>
      <c r="C2109" t="s">
        <v>11</v>
      </c>
      <c r="D2109" t="s">
        <v>79</v>
      </c>
      <c r="E2109" t="s">
        <v>21</v>
      </c>
      <c r="F2109" t="s">
        <v>19</v>
      </c>
      <c r="G2109" t="s">
        <v>23</v>
      </c>
      <c r="K2109" cm="1">
        <f t="array" ref="K2109">_xlfn.SWITCH(LeadsData[[#This Row],[Funnel Stage Reached]],"Lead",1,"MQL",2,"SQL",3,"Customer",4)</f>
        <v>2</v>
      </c>
      <c r="L2109" t="str">
        <f>TEXT(LeadsData[[#This Row],[Signup Date]],"mmm-yyyy")</f>
        <v>Aug-2024</v>
      </c>
      <c r="M2109">
        <f>IF(LeadsData[[#This Row],[Stage Number]]&gt;=2,1,0)</f>
        <v>1</v>
      </c>
      <c r="N2109" s="2">
        <f>IF(LeadsData[[#This Row],[Stage Number]]&gt;=3,1,0)</f>
        <v>0</v>
      </c>
      <c r="O2109" s="2">
        <f>IF(LeadsData[[#This Row],[Stage Number]]&gt;=4,1,0)</f>
        <v>0</v>
      </c>
    </row>
    <row r="2110" spans="1:15" x14ac:dyDescent="0.25">
      <c r="A2110" t="s">
        <v>2150</v>
      </c>
      <c r="B2110" s="1">
        <v>45409</v>
      </c>
      <c r="C2110" t="s">
        <v>11</v>
      </c>
      <c r="D2110" t="s">
        <v>79</v>
      </c>
      <c r="E2110" t="s">
        <v>21</v>
      </c>
      <c r="F2110" t="s">
        <v>22</v>
      </c>
      <c r="G2110" t="s">
        <v>15</v>
      </c>
      <c r="K2110" cm="1">
        <f t="array" ref="K2110">_xlfn.SWITCH(LeadsData[[#This Row],[Funnel Stage Reached]],"Lead",1,"MQL",2,"SQL",3,"Customer",4)</f>
        <v>1</v>
      </c>
      <c r="L2110" t="str">
        <f>TEXT(LeadsData[[#This Row],[Signup Date]],"mmm-yyyy")</f>
        <v>Apr-2024</v>
      </c>
      <c r="M2110">
        <f>IF(LeadsData[[#This Row],[Stage Number]]&gt;=2,1,0)</f>
        <v>0</v>
      </c>
      <c r="N2110" s="2">
        <f>IF(LeadsData[[#This Row],[Stage Number]]&gt;=3,1,0)</f>
        <v>0</v>
      </c>
      <c r="O2110" s="2">
        <f>IF(LeadsData[[#This Row],[Stage Number]]&gt;=4,1,0)</f>
        <v>0</v>
      </c>
    </row>
    <row r="2111" spans="1:15" x14ac:dyDescent="0.25">
      <c r="A2111" t="s">
        <v>2151</v>
      </c>
      <c r="B2111" s="1">
        <v>45553</v>
      </c>
      <c r="C2111" t="s">
        <v>31</v>
      </c>
      <c r="D2111" t="s">
        <v>32</v>
      </c>
      <c r="E2111" t="s">
        <v>21</v>
      </c>
      <c r="F2111" t="s">
        <v>19</v>
      </c>
      <c r="G2111" t="s">
        <v>15</v>
      </c>
      <c r="K2111" cm="1">
        <f t="array" ref="K2111">_xlfn.SWITCH(LeadsData[[#This Row],[Funnel Stage Reached]],"Lead",1,"MQL",2,"SQL",3,"Customer",4)</f>
        <v>1</v>
      </c>
      <c r="L2111" t="str">
        <f>TEXT(LeadsData[[#This Row],[Signup Date]],"mmm-yyyy")</f>
        <v>Sep-2024</v>
      </c>
      <c r="M2111">
        <f>IF(LeadsData[[#This Row],[Stage Number]]&gt;=2,1,0)</f>
        <v>0</v>
      </c>
      <c r="N2111" s="2">
        <f>IF(LeadsData[[#This Row],[Stage Number]]&gt;=3,1,0)</f>
        <v>0</v>
      </c>
      <c r="O2111" s="2">
        <f>IF(LeadsData[[#This Row],[Stage Number]]&gt;=4,1,0)</f>
        <v>0</v>
      </c>
    </row>
    <row r="2112" spans="1:15" x14ac:dyDescent="0.25">
      <c r="A2112" t="s">
        <v>2152</v>
      </c>
      <c r="B2112" s="1">
        <v>45365</v>
      </c>
      <c r="C2112" t="s">
        <v>36</v>
      </c>
      <c r="D2112" t="s">
        <v>37</v>
      </c>
      <c r="E2112" t="s">
        <v>13</v>
      </c>
      <c r="F2112" t="s">
        <v>22</v>
      </c>
      <c r="G2112" t="s">
        <v>42</v>
      </c>
      <c r="H2112">
        <v>35</v>
      </c>
      <c r="I2112" t="s">
        <v>43</v>
      </c>
      <c r="J2112">
        <v>1418.39</v>
      </c>
      <c r="K2112" cm="1">
        <f t="array" ref="K2112">_xlfn.SWITCH(LeadsData[[#This Row],[Funnel Stage Reached]],"Lead",1,"MQL",2,"SQL",3,"Customer",4)</f>
        <v>4</v>
      </c>
      <c r="L2112" t="str">
        <f>TEXT(LeadsData[[#This Row],[Signup Date]],"mmm-yyyy")</f>
        <v>Mar-2024</v>
      </c>
      <c r="M2112">
        <f>IF(LeadsData[[#This Row],[Stage Number]]&gt;=2,1,0)</f>
        <v>1</v>
      </c>
      <c r="N2112" s="2">
        <f>IF(LeadsData[[#This Row],[Stage Number]]&gt;=3,1,0)</f>
        <v>1</v>
      </c>
      <c r="O2112" s="2">
        <f>IF(LeadsData[[#This Row],[Stage Number]]&gt;=4,1,0)</f>
        <v>1</v>
      </c>
    </row>
    <row r="2113" spans="1:15" x14ac:dyDescent="0.25">
      <c r="A2113" t="s">
        <v>2153</v>
      </c>
      <c r="B2113" s="1">
        <v>45652</v>
      </c>
      <c r="C2113" t="s">
        <v>36</v>
      </c>
      <c r="D2113" t="s">
        <v>37</v>
      </c>
      <c r="E2113" t="s">
        <v>21</v>
      </c>
      <c r="F2113" t="s">
        <v>14</v>
      </c>
      <c r="G2113" t="s">
        <v>15</v>
      </c>
      <c r="K2113" cm="1">
        <f t="array" ref="K2113">_xlfn.SWITCH(LeadsData[[#This Row],[Funnel Stage Reached]],"Lead",1,"MQL",2,"SQL",3,"Customer",4)</f>
        <v>1</v>
      </c>
      <c r="L2113" t="str">
        <f>TEXT(LeadsData[[#This Row],[Signup Date]],"mmm-yyyy")</f>
        <v>Dec-2024</v>
      </c>
      <c r="M2113">
        <f>IF(LeadsData[[#This Row],[Stage Number]]&gt;=2,1,0)</f>
        <v>0</v>
      </c>
      <c r="N2113" s="2">
        <f>IF(LeadsData[[#This Row],[Stage Number]]&gt;=3,1,0)</f>
        <v>0</v>
      </c>
      <c r="O2113" s="2">
        <f>IF(LeadsData[[#This Row],[Stage Number]]&gt;=4,1,0)</f>
        <v>0</v>
      </c>
    </row>
    <row r="2114" spans="1:15" x14ac:dyDescent="0.25">
      <c r="A2114" t="s">
        <v>2154</v>
      </c>
      <c r="B2114" s="1">
        <v>45599</v>
      </c>
      <c r="C2114" t="s">
        <v>17</v>
      </c>
      <c r="D2114" t="s">
        <v>18</v>
      </c>
      <c r="E2114" t="s">
        <v>21</v>
      </c>
      <c r="F2114" t="s">
        <v>19</v>
      </c>
      <c r="G2114" t="s">
        <v>15</v>
      </c>
      <c r="K2114" cm="1">
        <f t="array" ref="K2114">_xlfn.SWITCH(LeadsData[[#This Row],[Funnel Stage Reached]],"Lead",1,"MQL",2,"SQL",3,"Customer",4)</f>
        <v>1</v>
      </c>
      <c r="L2114" t="str">
        <f>TEXT(LeadsData[[#This Row],[Signup Date]],"mmm-yyyy")</f>
        <v>Nov-2024</v>
      </c>
      <c r="M2114">
        <f>IF(LeadsData[[#This Row],[Stage Number]]&gt;=2,1,0)</f>
        <v>0</v>
      </c>
      <c r="N2114" s="2">
        <f>IF(LeadsData[[#This Row],[Stage Number]]&gt;=3,1,0)</f>
        <v>0</v>
      </c>
      <c r="O2114" s="2">
        <f>IF(LeadsData[[#This Row],[Stage Number]]&gt;=4,1,0)</f>
        <v>0</v>
      </c>
    </row>
    <row r="2115" spans="1:15" x14ac:dyDescent="0.25">
      <c r="A2115" t="s">
        <v>2155</v>
      </c>
      <c r="B2115" s="1">
        <v>45651</v>
      </c>
      <c r="C2115" t="s">
        <v>46</v>
      </c>
      <c r="D2115" t="s">
        <v>56</v>
      </c>
      <c r="E2115" t="s">
        <v>21</v>
      </c>
      <c r="F2115" t="s">
        <v>22</v>
      </c>
      <c r="G2115" t="s">
        <v>15</v>
      </c>
      <c r="K2115" cm="1">
        <f t="array" ref="K2115">_xlfn.SWITCH(LeadsData[[#This Row],[Funnel Stage Reached]],"Lead",1,"MQL",2,"SQL",3,"Customer",4)</f>
        <v>1</v>
      </c>
      <c r="L2115" t="str">
        <f>TEXT(LeadsData[[#This Row],[Signup Date]],"mmm-yyyy")</f>
        <v>Dec-2024</v>
      </c>
      <c r="M2115">
        <f>IF(LeadsData[[#This Row],[Stage Number]]&gt;=2,1,0)</f>
        <v>0</v>
      </c>
      <c r="N2115" s="2">
        <f>IF(LeadsData[[#This Row],[Stage Number]]&gt;=3,1,0)</f>
        <v>0</v>
      </c>
      <c r="O2115" s="2">
        <f>IF(LeadsData[[#This Row],[Stage Number]]&gt;=4,1,0)</f>
        <v>0</v>
      </c>
    </row>
    <row r="2116" spans="1:15" x14ac:dyDescent="0.25">
      <c r="A2116" t="s">
        <v>2156</v>
      </c>
      <c r="B2116" s="1">
        <v>45477</v>
      </c>
      <c r="C2116" t="s">
        <v>25</v>
      </c>
      <c r="D2116" t="s">
        <v>26</v>
      </c>
      <c r="E2116" t="s">
        <v>21</v>
      </c>
      <c r="F2116" t="s">
        <v>19</v>
      </c>
      <c r="G2116" t="s">
        <v>23</v>
      </c>
      <c r="K2116" cm="1">
        <f t="array" ref="K2116">_xlfn.SWITCH(LeadsData[[#This Row],[Funnel Stage Reached]],"Lead",1,"MQL",2,"SQL",3,"Customer",4)</f>
        <v>2</v>
      </c>
      <c r="L2116" t="str">
        <f>TEXT(LeadsData[[#This Row],[Signup Date]],"mmm-yyyy")</f>
        <v>Jul-2024</v>
      </c>
      <c r="M2116">
        <f>IF(LeadsData[[#This Row],[Stage Number]]&gt;=2,1,0)</f>
        <v>1</v>
      </c>
      <c r="N2116" s="2">
        <f>IF(LeadsData[[#This Row],[Stage Number]]&gt;=3,1,0)</f>
        <v>0</v>
      </c>
      <c r="O2116" s="2">
        <f>IF(LeadsData[[#This Row],[Stage Number]]&gt;=4,1,0)</f>
        <v>0</v>
      </c>
    </row>
    <row r="2117" spans="1:15" x14ac:dyDescent="0.25">
      <c r="A2117" t="s">
        <v>2157</v>
      </c>
      <c r="B2117" s="1">
        <v>45509</v>
      </c>
      <c r="C2117" t="s">
        <v>11</v>
      </c>
      <c r="D2117" t="s">
        <v>12</v>
      </c>
      <c r="E2117" t="s">
        <v>21</v>
      </c>
      <c r="F2117" t="s">
        <v>19</v>
      </c>
      <c r="G2117" t="s">
        <v>23</v>
      </c>
      <c r="K2117" cm="1">
        <f t="array" ref="K2117">_xlfn.SWITCH(LeadsData[[#This Row],[Funnel Stage Reached]],"Lead",1,"MQL",2,"SQL",3,"Customer",4)</f>
        <v>2</v>
      </c>
      <c r="L2117" t="str">
        <f>TEXT(LeadsData[[#This Row],[Signup Date]],"mmm-yyyy")</f>
        <v>Aug-2024</v>
      </c>
      <c r="M2117">
        <f>IF(LeadsData[[#This Row],[Stage Number]]&gt;=2,1,0)</f>
        <v>1</v>
      </c>
      <c r="N2117" s="2">
        <f>IF(LeadsData[[#This Row],[Stage Number]]&gt;=3,1,0)</f>
        <v>0</v>
      </c>
      <c r="O2117" s="2">
        <f>IF(LeadsData[[#This Row],[Stage Number]]&gt;=4,1,0)</f>
        <v>0</v>
      </c>
    </row>
    <row r="2118" spans="1:15" x14ac:dyDescent="0.25">
      <c r="A2118" t="s">
        <v>2158</v>
      </c>
      <c r="B2118" s="1">
        <v>45548</v>
      </c>
      <c r="C2118" t="s">
        <v>46</v>
      </c>
      <c r="D2118" t="s">
        <v>56</v>
      </c>
      <c r="E2118" t="s">
        <v>21</v>
      </c>
      <c r="F2118" t="s">
        <v>22</v>
      </c>
      <c r="G2118" t="s">
        <v>23</v>
      </c>
      <c r="K2118" cm="1">
        <f t="array" ref="K2118">_xlfn.SWITCH(LeadsData[[#This Row],[Funnel Stage Reached]],"Lead",1,"MQL",2,"SQL",3,"Customer",4)</f>
        <v>2</v>
      </c>
      <c r="L2118" t="str">
        <f>TEXT(LeadsData[[#This Row],[Signup Date]],"mmm-yyyy")</f>
        <v>Sep-2024</v>
      </c>
      <c r="M2118">
        <f>IF(LeadsData[[#This Row],[Stage Number]]&gt;=2,1,0)</f>
        <v>1</v>
      </c>
      <c r="N2118" s="2">
        <f>IF(LeadsData[[#This Row],[Stage Number]]&gt;=3,1,0)</f>
        <v>0</v>
      </c>
      <c r="O2118" s="2">
        <f>IF(LeadsData[[#This Row],[Stage Number]]&gt;=4,1,0)</f>
        <v>0</v>
      </c>
    </row>
    <row r="2119" spans="1:15" x14ac:dyDescent="0.25">
      <c r="A2119" t="s">
        <v>2159</v>
      </c>
      <c r="B2119" s="1">
        <v>45428</v>
      </c>
      <c r="C2119" t="s">
        <v>31</v>
      </c>
      <c r="D2119" t="s">
        <v>32</v>
      </c>
      <c r="E2119" t="s">
        <v>21</v>
      </c>
      <c r="F2119" t="s">
        <v>22</v>
      </c>
      <c r="G2119" t="s">
        <v>15</v>
      </c>
      <c r="K2119" cm="1">
        <f t="array" ref="K2119">_xlfn.SWITCH(LeadsData[[#This Row],[Funnel Stage Reached]],"Lead",1,"MQL",2,"SQL",3,"Customer",4)</f>
        <v>1</v>
      </c>
      <c r="L2119" t="str">
        <f>TEXT(LeadsData[[#This Row],[Signup Date]],"mmm-yyyy")</f>
        <v>May-2024</v>
      </c>
      <c r="M2119">
        <f>IF(LeadsData[[#This Row],[Stage Number]]&gt;=2,1,0)</f>
        <v>0</v>
      </c>
      <c r="N2119" s="2">
        <f>IF(LeadsData[[#This Row],[Stage Number]]&gt;=3,1,0)</f>
        <v>0</v>
      </c>
      <c r="O2119" s="2">
        <f>IF(LeadsData[[#This Row],[Stage Number]]&gt;=4,1,0)</f>
        <v>0</v>
      </c>
    </row>
    <row r="2120" spans="1:15" x14ac:dyDescent="0.25">
      <c r="A2120" t="s">
        <v>2160</v>
      </c>
      <c r="B2120" s="1">
        <v>45482</v>
      </c>
      <c r="C2120" t="s">
        <v>31</v>
      </c>
      <c r="D2120" t="s">
        <v>32</v>
      </c>
      <c r="E2120" t="s">
        <v>13</v>
      </c>
      <c r="F2120" t="s">
        <v>28</v>
      </c>
      <c r="G2120" t="s">
        <v>15</v>
      </c>
      <c r="K2120" cm="1">
        <f t="array" ref="K2120">_xlfn.SWITCH(LeadsData[[#This Row],[Funnel Stage Reached]],"Lead",1,"MQL",2,"SQL",3,"Customer",4)</f>
        <v>1</v>
      </c>
      <c r="L2120" t="str">
        <f>TEXT(LeadsData[[#This Row],[Signup Date]],"mmm-yyyy")</f>
        <v>Jul-2024</v>
      </c>
      <c r="M2120">
        <f>IF(LeadsData[[#This Row],[Stage Number]]&gt;=2,1,0)</f>
        <v>0</v>
      </c>
      <c r="N2120" s="2">
        <f>IF(LeadsData[[#This Row],[Stage Number]]&gt;=3,1,0)</f>
        <v>0</v>
      </c>
      <c r="O2120" s="2">
        <f>IF(LeadsData[[#This Row],[Stage Number]]&gt;=4,1,0)</f>
        <v>0</v>
      </c>
    </row>
    <row r="2121" spans="1:15" x14ac:dyDescent="0.25">
      <c r="A2121" t="s">
        <v>2161</v>
      </c>
      <c r="B2121" s="1">
        <v>45406</v>
      </c>
      <c r="C2121" t="s">
        <v>17</v>
      </c>
      <c r="D2121" t="s">
        <v>18</v>
      </c>
      <c r="E2121" t="s">
        <v>13</v>
      </c>
      <c r="F2121" t="s">
        <v>14</v>
      </c>
      <c r="G2121" t="s">
        <v>15</v>
      </c>
      <c r="K2121" cm="1">
        <f t="array" ref="K2121">_xlfn.SWITCH(LeadsData[[#This Row],[Funnel Stage Reached]],"Lead",1,"MQL",2,"SQL",3,"Customer",4)</f>
        <v>1</v>
      </c>
      <c r="L2121" t="str">
        <f>TEXT(LeadsData[[#This Row],[Signup Date]],"mmm-yyyy")</f>
        <v>Apr-2024</v>
      </c>
      <c r="M2121">
        <f>IF(LeadsData[[#This Row],[Stage Number]]&gt;=2,1,0)</f>
        <v>0</v>
      </c>
      <c r="N2121" s="2">
        <f>IF(LeadsData[[#This Row],[Stage Number]]&gt;=3,1,0)</f>
        <v>0</v>
      </c>
      <c r="O2121" s="2">
        <f>IF(LeadsData[[#This Row],[Stage Number]]&gt;=4,1,0)</f>
        <v>0</v>
      </c>
    </row>
    <row r="2122" spans="1:15" x14ac:dyDescent="0.25">
      <c r="A2122" t="s">
        <v>2162</v>
      </c>
      <c r="B2122" s="1">
        <v>45601</v>
      </c>
      <c r="C2122" t="s">
        <v>31</v>
      </c>
      <c r="D2122" t="s">
        <v>32</v>
      </c>
      <c r="E2122" t="s">
        <v>13</v>
      </c>
      <c r="F2122" t="s">
        <v>19</v>
      </c>
      <c r="G2122" t="s">
        <v>15</v>
      </c>
      <c r="K2122" cm="1">
        <f t="array" ref="K2122">_xlfn.SWITCH(LeadsData[[#This Row],[Funnel Stage Reached]],"Lead",1,"MQL",2,"SQL",3,"Customer",4)</f>
        <v>1</v>
      </c>
      <c r="L2122" t="str">
        <f>TEXT(LeadsData[[#This Row],[Signup Date]],"mmm-yyyy")</f>
        <v>Nov-2024</v>
      </c>
      <c r="M2122">
        <f>IF(LeadsData[[#This Row],[Stage Number]]&gt;=2,1,0)</f>
        <v>0</v>
      </c>
      <c r="N2122" s="2">
        <f>IF(LeadsData[[#This Row],[Stage Number]]&gt;=3,1,0)</f>
        <v>0</v>
      </c>
      <c r="O2122" s="2">
        <f>IF(LeadsData[[#This Row],[Stage Number]]&gt;=4,1,0)</f>
        <v>0</v>
      </c>
    </row>
    <row r="2123" spans="1:15" x14ac:dyDescent="0.25">
      <c r="A2123" t="s">
        <v>2163</v>
      </c>
      <c r="B2123" s="1">
        <v>45498</v>
      </c>
      <c r="C2123" t="s">
        <v>36</v>
      </c>
      <c r="D2123" t="s">
        <v>50</v>
      </c>
      <c r="E2123" t="s">
        <v>13</v>
      </c>
      <c r="F2123" t="s">
        <v>19</v>
      </c>
      <c r="G2123" t="s">
        <v>42</v>
      </c>
      <c r="H2123">
        <v>35</v>
      </c>
      <c r="I2123" t="s">
        <v>87</v>
      </c>
      <c r="J2123">
        <v>2033.24</v>
      </c>
      <c r="K2123" cm="1">
        <f t="array" ref="K2123">_xlfn.SWITCH(LeadsData[[#This Row],[Funnel Stage Reached]],"Lead",1,"MQL",2,"SQL",3,"Customer",4)</f>
        <v>4</v>
      </c>
      <c r="L2123" t="str">
        <f>TEXT(LeadsData[[#This Row],[Signup Date]],"mmm-yyyy")</f>
        <v>Jul-2024</v>
      </c>
      <c r="M2123">
        <f>IF(LeadsData[[#This Row],[Stage Number]]&gt;=2,1,0)</f>
        <v>1</v>
      </c>
      <c r="N2123" s="2">
        <f>IF(LeadsData[[#This Row],[Stage Number]]&gt;=3,1,0)</f>
        <v>1</v>
      </c>
      <c r="O2123" s="2">
        <f>IF(LeadsData[[#This Row],[Stage Number]]&gt;=4,1,0)</f>
        <v>1</v>
      </c>
    </row>
    <row r="2124" spans="1:15" x14ac:dyDescent="0.25">
      <c r="A2124" t="s">
        <v>2164</v>
      </c>
      <c r="B2124" s="1">
        <v>45600</v>
      </c>
      <c r="C2124" t="s">
        <v>31</v>
      </c>
      <c r="D2124" t="s">
        <v>32</v>
      </c>
      <c r="E2124" t="s">
        <v>21</v>
      </c>
      <c r="F2124" t="s">
        <v>22</v>
      </c>
      <c r="G2124" t="s">
        <v>42</v>
      </c>
      <c r="H2124">
        <v>28</v>
      </c>
      <c r="I2124" t="s">
        <v>87</v>
      </c>
      <c r="J2124">
        <v>3107.97</v>
      </c>
      <c r="K2124" cm="1">
        <f t="array" ref="K2124">_xlfn.SWITCH(LeadsData[[#This Row],[Funnel Stage Reached]],"Lead",1,"MQL",2,"SQL",3,"Customer",4)</f>
        <v>4</v>
      </c>
      <c r="L2124" t="str">
        <f>TEXT(LeadsData[[#This Row],[Signup Date]],"mmm-yyyy")</f>
        <v>Nov-2024</v>
      </c>
      <c r="M2124">
        <f>IF(LeadsData[[#This Row],[Stage Number]]&gt;=2,1,0)</f>
        <v>1</v>
      </c>
      <c r="N2124" s="2">
        <f>IF(LeadsData[[#This Row],[Stage Number]]&gt;=3,1,0)</f>
        <v>1</v>
      </c>
      <c r="O2124" s="2">
        <f>IF(LeadsData[[#This Row],[Stage Number]]&gt;=4,1,0)</f>
        <v>1</v>
      </c>
    </row>
    <row r="2125" spans="1:15" x14ac:dyDescent="0.25">
      <c r="A2125" t="s">
        <v>2165</v>
      </c>
      <c r="B2125" s="1">
        <v>45618</v>
      </c>
      <c r="C2125" t="s">
        <v>31</v>
      </c>
      <c r="D2125" t="s">
        <v>34</v>
      </c>
      <c r="E2125" t="s">
        <v>21</v>
      </c>
      <c r="F2125" t="s">
        <v>22</v>
      </c>
      <c r="G2125" t="s">
        <v>23</v>
      </c>
      <c r="K2125" cm="1">
        <f t="array" ref="K2125">_xlfn.SWITCH(LeadsData[[#This Row],[Funnel Stage Reached]],"Lead",1,"MQL",2,"SQL",3,"Customer",4)</f>
        <v>2</v>
      </c>
      <c r="L2125" t="str">
        <f>TEXT(LeadsData[[#This Row],[Signup Date]],"mmm-yyyy")</f>
        <v>Nov-2024</v>
      </c>
      <c r="M2125">
        <f>IF(LeadsData[[#This Row],[Stage Number]]&gt;=2,1,0)</f>
        <v>1</v>
      </c>
      <c r="N2125" s="2">
        <f>IF(LeadsData[[#This Row],[Stage Number]]&gt;=3,1,0)</f>
        <v>0</v>
      </c>
      <c r="O2125" s="2">
        <f>IF(LeadsData[[#This Row],[Stage Number]]&gt;=4,1,0)</f>
        <v>0</v>
      </c>
    </row>
    <row r="2126" spans="1:15" x14ac:dyDescent="0.25">
      <c r="A2126" t="s">
        <v>2166</v>
      </c>
      <c r="B2126" s="1">
        <v>45373</v>
      </c>
      <c r="C2126" t="s">
        <v>31</v>
      </c>
      <c r="D2126" t="s">
        <v>32</v>
      </c>
      <c r="E2126" t="s">
        <v>21</v>
      </c>
      <c r="F2126" t="s">
        <v>22</v>
      </c>
      <c r="G2126" t="s">
        <v>15</v>
      </c>
      <c r="K2126" cm="1">
        <f t="array" ref="K2126">_xlfn.SWITCH(LeadsData[[#This Row],[Funnel Stage Reached]],"Lead",1,"MQL",2,"SQL",3,"Customer",4)</f>
        <v>1</v>
      </c>
      <c r="L2126" t="str">
        <f>TEXT(LeadsData[[#This Row],[Signup Date]],"mmm-yyyy")</f>
        <v>Mar-2024</v>
      </c>
      <c r="M2126">
        <f>IF(LeadsData[[#This Row],[Stage Number]]&gt;=2,1,0)</f>
        <v>0</v>
      </c>
      <c r="N2126" s="2">
        <f>IF(LeadsData[[#This Row],[Stage Number]]&gt;=3,1,0)</f>
        <v>0</v>
      </c>
      <c r="O2126" s="2">
        <f>IF(LeadsData[[#This Row],[Stage Number]]&gt;=4,1,0)</f>
        <v>0</v>
      </c>
    </row>
    <row r="2127" spans="1:15" x14ac:dyDescent="0.25">
      <c r="A2127" t="s">
        <v>2167</v>
      </c>
      <c r="B2127" s="1">
        <v>45551</v>
      </c>
      <c r="C2127" t="s">
        <v>25</v>
      </c>
      <c r="D2127" t="s">
        <v>26</v>
      </c>
      <c r="E2127" t="s">
        <v>13</v>
      </c>
      <c r="F2127" t="s">
        <v>19</v>
      </c>
      <c r="G2127" t="s">
        <v>15</v>
      </c>
      <c r="K2127" cm="1">
        <f t="array" ref="K2127">_xlfn.SWITCH(LeadsData[[#This Row],[Funnel Stage Reached]],"Lead",1,"MQL",2,"SQL",3,"Customer",4)</f>
        <v>1</v>
      </c>
      <c r="L2127" t="str">
        <f>TEXT(LeadsData[[#This Row],[Signup Date]],"mmm-yyyy")</f>
        <v>Sep-2024</v>
      </c>
      <c r="M2127">
        <f>IF(LeadsData[[#This Row],[Stage Number]]&gt;=2,1,0)</f>
        <v>0</v>
      </c>
      <c r="N2127" s="2">
        <f>IF(LeadsData[[#This Row],[Stage Number]]&gt;=3,1,0)</f>
        <v>0</v>
      </c>
      <c r="O2127" s="2">
        <f>IF(LeadsData[[#This Row],[Stage Number]]&gt;=4,1,0)</f>
        <v>0</v>
      </c>
    </row>
    <row r="2128" spans="1:15" x14ac:dyDescent="0.25">
      <c r="A2128" t="s">
        <v>2168</v>
      </c>
      <c r="B2128" s="1">
        <v>45356</v>
      </c>
      <c r="C2128" t="s">
        <v>31</v>
      </c>
      <c r="D2128" t="s">
        <v>32</v>
      </c>
      <c r="E2128" t="s">
        <v>13</v>
      </c>
      <c r="F2128" t="s">
        <v>22</v>
      </c>
      <c r="G2128" t="s">
        <v>29</v>
      </c>
      <c r="K2128" cm="1">
        <f t="array" ref="K2128">_xlfn.SWITCH(LeadsData[[#This Row],[Funnel Stage Reached]],"Lead",1,"MQL",2,"SQL",3,"Customer",4)</f>
        <v>3</v>
      </c>
      <c r="L2128" t="str">
        <f>TEXT(LeadsData[[#This Row],[Signup Date]],"mmm-yyyy")</f>
        <v>Mar-2024</v>
      </c>
      <c r="M2128">
        <f>IF(LeadsData[[#This Row],[Stage Number]]&gt;=2,1,0)</f>
        <v>1</v>
      </c>
      <c r="N2128" s="2">
        <f>IF(LeadsData[[#This Row],[Stage Number]]&gt;=3,1,0)</f>
        <v>1</v>
      </c>
      <c r="O2128" s="2">
        <f>IF(LeadsData[[#This Row],[Stage Number]]&gt;=4,1,0)</f>
        <v>0</v>
      </c>
    </row>
    <row r="2129" spans="1:15" x14ac:dyDescent="0.25">
      <c r="A2129" t="s">
        <v>2169</v>
      </c>
      <c r="B2129" s="1">
        <v>45410</v>
      </c>
      <c r="C2129" t="s">
        <v>25</v>
      </c>
      <c r="D2129" t="s">
        <v>26</v>
      </c>
      <c r="E2129" t="s">
        <v>21</v>
      </c>
      <c r="F2129" t="s">
        <v>19</v>
      </c>
      <c r="G2129" t="s">
        <v>42</v>
      </c>
      <c r="H2129">
        <v>73</v>
      </c>
      <c r="I2129" t="s">
        <v>87</v>
      </c>
      <c r="J2129">
        <v>2081.69</v>
      </c>
      <c r="K2129" cm="1">
        <f t="array" ref="K2129">_xlfn.SWITCH(LeadsData[[#This Row],[Funnel Stage Reached]],"Lead",1,"MQL",2,"SQL",3,"Customer",4)</f>
        <v>4</v>
      </c>
      <c r="L2129" t="str">
        <f>TEXT(LeadsData[[#This Row],[Signup Date]],"mmm-yyyy")</f>
        <v>Apr-2024</v>
      </c>
      <c r="M2129">
        <f>IF(LeadsData[[#This Row],[Stage Number]]&gt;=2,1,0)</f>
        <v>1</v>
      </c>
      <c r="N2129" s="2">
        <f>IF(LeadsData[[#This Row],[Stage Number]]&gt;=3,1,0)</f>
        <v>1</v>
      </c>
      <c r="O2129" s="2">
        <f>IF(LeadsData[[#This Row],[Stage Number]]&gt;=4,1,0)</f>
        <v>1</v>
      </c>
    </row>
    <row r="2130" spans="1:15" x14ac:dyDescent="0.25">
      <c r="A2130" t="s">
        <v>2170</v>
      </c>
      <c r="B2130" s="1">
        <v>45630</v>
      </c>
      <c r="C2130" t="s">
        <v>17</v>
      </c>
      <c r="D2130" t="s">
        <v>53</v>
      </c>
      <c r="E2130" t="s">
        <v>48</v>
      </c>
      <c r="F2130" t="s">
        <v>22</v>
      </c>
      <c r="G2130" t="s">
        <v>23</v>
      </c>
      <c r="K2130" cm="1">
        <f t="array" ref="K2130">_xlfn.SWITCH(LeadsData[[#This Row],[Funnel Stage Reached]],"Lead",1,"MQL",2,"SQL",3,"Customer",4)</f>
        <v>2</v>
      </c>
      <c r="L2130" t="str">
        <f>TEXT(LeadsData[[#This Row],[Signup Date]],"mmm-yyyy")</f>
        <v>Dec-2024</v>
      </c>
      <c r="M2130">
        <f>IF(LeadsData[[#This Row],[Stage Number]]&gt;=2,1,0)</f>
        <v>1</v>
      </c>
      <c r="N2130" s="2">
        <f>IF(LeadsData[[#This Row],[Stage Number]]&gt;=3,1,0)</f>
        <v>0</v>
      </c>
      <c r="O2130" s="2">
        <f>IF(LeadsData[[#This Row],[Stage Number]]&gt;=4,1,0)</f>
        <v>0</v>
      </c>
    </row>
    <row r="2131" spans="1:15" x14ac:dyDescent="0.25">
      <c r="A2131" t="s">
        <v>2171</v>
      </c>
      <c r="B2131" s="1">
        <v>45315</v>
      </c>
      <c r="C2131" t="s">
        <v>17</v>
      </c>
      <c r="D2131" t="s">
        <v>53</v>
      </c>
      <c r="E2131" t="s">
        <v>13</v>
      </c>
      <c r="F2131" t="s">
        <v>22</v>
      </c>
      <c r="G2131" t="s">
        <v>29</v>
      </c>
      <c r="K2131" cm="1">
        <f t="array" ref="K2131">_xlfn.SWITCH(LeadsData[[#This Row],[Funnel Stage Reached]],"Lead",1,"MQL",2,"SQL",3,"Customer",4)</f>
        <v>3</v>
      </c>
      <c r="L2131" t="str">
        <f>TEXT(LeadsData[[#This Row],[Signup Date]],"mmm-yyyy")</f>
        <v>Jan-2024</v>
      </c>
      <c r="M2131">
        <f>IF(LeadsData[[#This Row],[Stage Number]]&gt;=2,1,0)</f>
        <v>1</v>
      </c>
      <c r="N2131" s="2">
        <f>IF(LeadsData[[#This Row],[Stage Number]]&gt;=3,1,0)</f>
        <v>1</v>
      </c>
      <c r="O2131" s="2">
        <f>IF(LeadsData[[#This Row],[Stage Number]]&gt;=4,1,0)</f>
        <v>0</v>
      </c>
    </row>
    <row r="2132" spans="1:15" x14ac:dyDescent="0.25">
      <c r="A2132" t="s">
        <v>2172</v>
      </c>
      <c r="B2132" s="1">
        <v>45604</v>
      </c>
      <c r="C2132" t="s">
        <v>31</v>
      </c>
      <c r="D2132" t="s">
        <v>32</v>
      </c>
      <c r="E2132" t="s">
        <v>13</v>
      </c>
      <c r="F2132" t="s">
        <v>19</v>
      </c>
      <c r="G2132" t="s">
        <v>15</v>
      </c>
      <c r="K2132" cm="1">
        <f t="array" ref="K2132">_xlfn.SWITCH(LeadsData[[#This Row],[Funnel Stage Reached]],"Lead",1,"MQL",2,"SQL",3,"Customer",4)</f>
        <v>1</v>
      </c>
      <c r="L2132" t="str">
        <f>TEXT(LeadsData[[#This Row],[Signup Date]],"mmm-yyyy")</f>
        <v>Nov-2024</v>
      </c>
      <c r="M2132">
        <f>IF(LeadsData[[#This Row],[Stage Number]]&gt;=2,1,0)</f>
        <v>0</v>
      </c>
      <c r="N2132" s="2">
        <f>IF(LeadsData[[#This Row],[Stage Number]]&gt;=3,1,0)</f>
        <v>0</v>
      </c>
      <c r="O2132" s="2">
        <f>IF(LeadsData[[#This Row],[Stage Number]]&gt;=4,1,0)</f>
        <v>0</v>
      </c>
    </row>
    <row r="2133" spans="1:15" x14ac:dyDescent="0.25">
      <c r="A2133" t="s">
        <v>2173</v>
      </c>
      <c r="B2133" s="1">
        <v>45590</v>
      </c>
      <c r="C2133" t="s">
        <v>31</v>
      </c>
      <c r="D2133" t="s">
        <v>32</v>
      </c>
      <c r="E2133" t="s">
        <v>13</v>
      </c>
      <c r="F2133" t="s">
        <v>28</v>
      </c>
      <c r="G2133" t="s">
        <v>42</v>
      </c>
      <c r="H2133">
        <v>15</v>
      </c>
      <c r="I2133" t="s">
        <v>43</v>
      </c>
      <c r="J2133">
        <v>610.86</v>
      </c>
      <c r="K2133" cm="1">
        <f t="array" ref="K2133">_xlfn.SWITCH(LeadsData[[#This Row],[Funnel Stage Reached]],"Lead",1,"MQL",2,"SQL",3,"Customer",4)</f>
        <v>4</v>
      </c>
      <c r="L2133" t="str">
        <f>TEXT(LeadsData[[#This Row],[Signup Date]],"mmm-yyyy")</f>
        <v>Oct-2024</v>
      </c>
      <c r="M2133">
        <f>IF(LeadsData[[#This Row],[Stage Number]]&gt;=2,1,0)</f>
        <v>1</v>
      </c>
      <c r="N2133" s="2">
        <f>IF(LeadsData[[#This Row],[Stage Number]]&gt;=3,1,0)</f>
        <v>1</v>
      </c>
      <c r="O2133" s="2">
        <f>IF(LeadsData[[#This Row],[Stage Number]]&gt;=4,1,0)</f>
        <v>1</v>
      </c>
    </row>
    <row r="2134" spans="1:15" x14ac:dyDescent="0.25">
      <c r="A2134" t="s">
        <v>2174</v>
      </c>
      <c r="B2134" s="1">
        <v>45439</v>
      </c>
      <c r="C2134" t="s">
        <v>31</v>
      </c>
      <c r="D2134" t="s">
        <v>32</v>
      </c>
      <c r="E2134" t="s">
        <v>13</v>
      </c>
      <c r="F2134" t="s">
        <v>19</v>
      </c>
      <c r="G2134" t="s">
        <v>29</v>
      </c>
      <c r="K2134" cm="1">
        <f t="array" ref="K2134">_xlfn.SWITCH(LeadsData[[#This Row],[Funnel Stage Reached]],"Lead",1,"MQL",2,"SQL",3,"Customer",4)</f>
        <v>3</v>
      </c>
      <c r="L2134" t="str">
        <f>TEXT(LeadsData[[#This Row],[Signup Date]],"mmm-yyyy")</f>
        <v>May-2024</v>
      </c>
      <c r="M2134">
        <f>IF(LeadsData[[#This Row],[Stage Number]]&gt;=2,1,0)</f>
        <v>1</v>
      </c>
      <c r="N2134" s="2">
        <f>IF(LeadsData[[#This Row],[Stage Number]]&gt;=3,1,0)</f>
        <v>1</v>
      </c>
      <c r="O2134" s="2">
        <f>IF(LeadsData[[#This Row],[Stage Number]]&gt;=4,1,0)</f>
        <v>0</v>
      </c>
    </row>
    <row r="2135" spans="1:15" x14ac:dyDescent="0.25">
      <c r="A2135" t="s">
        <v>2175</v>
      </c>
      <c r="B2135" s="1">
        <v>45324</v>
      </c>
      <c r="C2135" t="s">
        <v>46</v>
      </c>
      <c r="D2135" t="s">
        <v>56</v>
      </c>
      <c r="E2135" t="s">
        <v>21</v>
      </c>
      <c r="F2135" t="s">
        <v>19</v>
      </c>
      <c r="G2135" t="s">
        <v>23</v>
      </c>
      <c r="K2135" cm="1">
        <f t="array" ref="K2135">_xlfn.SWITCH(LeadsData[[#This Row],[Funnel Stage Reached]],"Lead",1,"MQL",2,"SQL",3,"Customer",4)</f>
        <v>2</v>
      </c>
      <c r="L2135" t="str">
        <f>TEXT(LeadsData[[#This Row],[Signup Date]],"mmm-yyyy")</f>
        <v>Feb-2024</v>
      </c>
      <c r="M2135">
        <f>IF(LeadsData[[#This Row],[Stage Number]]&gt;=2,1,0)</f>
        <v>1</v>
      </c>
      <c r="N2135" s="2">
        <f>IF(LeadsData[[#This Row],[Stage Number]]&gt;=3,1,0)</f>
        <v>0</v>
      </c>
      <c r="O2135" s="2">
        <f>IF(LeadsData[[#This Row],[Stage Number]]&gt;=4,1,0)</f>
        <v>0</v>
      </c>
    </row>
    <row r="2136" spans="1:15" x14ac:dyDescent="0.25">
      <c r="A2136" t="s">
        <v>2176</v>
      </c>
      <c r="B2136" s="1">
        <v>45492</v>
      </c>
      <c r="C2136" t="s">
        <v>31</v>
      </c>
      <c r="D2136" t="s">
        <v>34</v>
      </c>
      <c r="E2136" t="s">
        <v>21</v>
      </c>
      <c r="F2136" t="s">
        <v>28</v>
      </c>
      <c r="G2136" t="s">
        <v>29</v>
      </c>
      <c r="K2136" cm="1">
        <f t="array" ref="K2136">_xlfn.SWITCH(LeadsData[[#This Row],[Funnel Stage Reached]],"Lead",1,"MQL",2,"SQL",3,"Customer",4)</f>
        <v>3</v>
      </c>
      <c r="L2136" t="str">
        <f>TEXT(LeadsData[[#This Row],[Signup Date]],"mmm-yyyy")</f>
        <v>Jul-2024</v>
      </c>
      <c r="M2136">
        <f>IF(LeadsData[[#This Row],[Stage Number]]&gt;=2,1,0)</f>
        <v>1</v>
      </c>
      <c r="N2136" s="2">
        <f>IF(LeadsData[[#This Row],[Stage Number]]&gt;=3,1,0)</f>
        <v>1</v>
      </c>
      <c r="O2136" s="2">
        <f>IF(LeadsData[[#This Row],[Stage Number]]&gt;=4,1,0)</f>
        <v>0</v>
      </c>
    </row>
    <row r="2137" spans="1:15" x14ac:dyDescent="0.25">
      <c r="A2137" t="s">
        <v>2177</v>
      </c>
      <c r="B2137" s="1">
        <v>45479</v>
      </c>
      <c r="C2137" t="s">
        <v>46</v>
      </c>
      <c r="D2137" t="s">
        <v>56</v>
      </c>
      <c r="E2137" t="s">
        <v>13</v>
      </c>
      <c r="F2137" t="s">
        <v>19</v>
      </c>
      <c r="G2137" t="s">
        <v>29</v>
      </c>
      <c r="K2137" cm="1">
        <f t="array" ref="K2137">_xlfn.SWITCH(LeadsData[[#This Row],[Funnel Stage Reached]],"Lead",1,"MQL",2,"SQL",3,"Customer",4)</f>
        <v>3</v>
      </c>
      <c r="L2137" t="str">
        <f>TEXT(LeadsData[[#This Row],[Signup Date]],"mmm-yyyy")</f>
        <v>Jul-2024</v>
      </c>
      <c r="M2137">
        <f>IF(LeadsData[[#This Row],[Stage Number]]&gt;=2,1,0)</f>
        <v>1</v>
      </c>
      <c r="N2137" s="2">
        <f>IF(LeadsData[[#This Row],[Stage Number]]&gt;=3,1,0)</f>
        <v>1</v>
      </c>
      <c r="O2137" s="2">
        <f>IF(LeadsData[[#This Row],[Stage Number]]&gt;=4,1,0)</f>
        <v>0</v>
      </c>
    </row>
    <row r="2138" spans="1:15" x14ac:dyDescent="0.25">
      <c r="A2138" t="s">
        <v>2178</v>
      </c>
      <c r="B2138" s="1">
        <v>45433</v>
      </c>
      <c r="C2138" t="s">
        <v>25</v>
      </c>
      <c r="D2138" t="s">
        <v>26</v>
      </c>
      <c r="E2138" t="s">
        <v>13</v>
      </c>
      <c r="F2138" t="s">
        <v>19</v>
      </c>
      <c r="G2138" t="s">
        <v>15</v>
      </c>
      <c r="K2138" cm="1">
        <f t="array" ref="K2138">_xlfn.SWITCH(LeadsData[[#This Row],[Funnel Stage Reached]],"Lead",1,"MQL",2,"SQL",3,"Customer",4)</f>
        <v>1</v>
      </c>
      <c r="L2138" t="str">
        <f>TEXT(LeadsData[[#This Row],[Signup Date]],"mmm-yyyy")</f>
        <v>May-2024</v>
      </c>
      <c r="M2138">
        <f>IF(LeadsData[[#This Row],[Stage Number]]&gt;=2,1,0)</f>
        <v>0</v>
      </c>
      <c r="N2138" s="2">
        <f>IF(LeadsData[[#This Row],[Stage Number]]&gt;=3,1,0)</f>
        <v>0</v>
      </c>
      <c r="O2138" s="2">
        <f>IF(LeadsData[[#This Row],[Stage Number]]&gt;=4,1,0)</f>
        <v>0</v>
      </c>
    </row>
    <row r="2139" spans="1:15" x14ac:dyDescent="0.25">
      <c r="A2139" t="s">
        <v>2179</v>
      </c>
      <c r="B2139" s="1">
        <v>45467</v>
      </c>
      <c r="C2139" t="s">
        <v>31</v>
      </c>
      <c r="D2139" t="s">
        <v>34</v>
      </c>
      <c r="E2139" t="s">
        <v>21</v>
      </c>
      <c r="F2139" t="s">
        <v>19</v>
      </c>
      <c r="G2139" t="s">
        <v>29</v>
      </c>
      <c r="K2139" cm="1">
        <f t="array" ref="K2139">_xlfn.SWITCH(LeadsData[[#This Row],[Funnel Stage Reached]],"Lead",1,"MQL",2,"SQL",3,"Customer",4)</f>
        <v>3</v>
      </c>
      <c r="L2139" t="str">
        <f>TEXT(LeadsData[[#This Row],[Signup Date]],"mmm-yyyy")</f>
        <v>Jun-2024</v>
      </c>
      <c r="M2139">
        <f>IF(LeadsData[[#This Row],[Stage Number]]&gt;=2,1,0)</f>
        <v>1</v>
      </c>
      <c r="N2139" s="2">
        <f>IF(LeadsData[[#This Row],[Stage Number]]&gt;=3,1,0)</f>
        <v>1</v>
      </c>
      <c r="O2139" s="2">
        <f>IF(LeadsData[[#This Row],[Stage Number]]&gt;=4,1,0)</f>
        <v>0</v>
      </c>
    </row>
    <row r="2140" spans="1:15" x14ac:dyDescent="0.25">
      <c r="A2140" t="s">
        <v>2180</v>
      </c>
      <c r="B2140" s="1">
        <v>45498</v>
      </c>
      <c r="C2140" t="s">
        <v>17</v>
      </c>
      <c r="D2140" t="s">
        <v>53</v>
      </c>
      <c r="E2140" t="s">
        <v>21</v>
      </c>
      <c r="F2140" t="s">
        <v>22</v>
      </c>
      <c r="G2140" t="s">
        <v>15</v>
      </c>
      <c r="K2140" cm="1">
        <f t="array" ref="K2140">_xlfn.SWITCH(LeadsData[[#This Row],[Funnel Stage Reached]],"Lead",1,"MQL",2,"SQL",3,"Customer",4)</f>
        <v>1</v>
      </c>
      <c r="L2140" t="str">
        <f>TEXT(LeadsData[[#This Row],[Signup Date]],"mmm-yyyy")</f>
        <v>Jul-2024</v>
      </c>
      <c r="M2140">
        <f>IF(LeadsData[[#This Row],[Stage Number]]&gt;=2,1,0)</f>
        <v>0</v>
      </c>
      <c r="N2140" s="2">
        <f>IF(LeadsData[[#This Row],[Stage Number]]&gt;=3,1,0)</f>
        <v>0</v>
      </c>
      <c r="O2140" s="2">
        <f>IF(LeadsData[[#This Row],[Stage Number]]&gt;=4,1,0)</f>
        <v>0</v>
      </c>
    </row>
    <row r="2141" spans="1:15" x14ac:dyDescent="0.25">
      <c r="A2141" t="s">
        <v>2181</v>
      </c>
      <c r="B2141" s="1">
        <v>45522</v>
      </c>
      <c r="C2141" t="s">
        <v>31</v>
      </c>
      <c r="D2141" t="s">
        <v>32</v>
      </c>
      <c r="E2141" t="s">
        <v>48</v>
      </c>
      <c r="F2141" t="s">
        <v>19</v>
      </c>
      <c r="G2141" t="s">
        <v>15</v>
      </c>
      <c r="K2141" cm="1">
        <f t="array" ref="K2141">_xlfn.SWITCH(LeadsData[[#This Row],[Funnel Stage Reached]],"Lead",1,"MQL",2,"SQL",3,"Customer",4)</f>
        <v>1</v>
      </c>
      <c r="L2141" t="str">
        <f>TEXT(LeadsData[[#This Row],[Signup Date]],"mmm-yyyy")</f>
        <v>Aug-2024</v>
      </c>
      <c r="M2141">
        <f>IF(LeadsData[[#This Row],[Stage Number]]&gt;=2,1,0)</f>
        <v>0</v>
      </c>
      <c r="N2141" s="2">
        <f>IF(LeadsData[[#This Row],[Stage Number]]&gt;=3,1,0)</f>
        <v>0</v>
      </c>
      <c r="O2141" s="2">
        <f>IF(LeadsData[[#This Row],[Stage Number]]&gt;=4,1,0)</f>
        <v>0</v>
      </c>
    </row>
    <row r="2142" spans="1:15" x14ac:dyDescent="0.25">
      <c r="A2142" t="s">
        <v>2182</v>
      </c>
      <c r="B2142" s="1">
        <v>45313</v>
      </c>
      <c r="C2142" t="s">
        <v>36</v>
      </c>
      <c r="D2142" t="s">
        <v>37</v>
      </c>
      <c r="E2142" t="s">
        <v>21</v>
      </c>
      <c r="F2142" t="s">
        <v>22</v>
      </c>
      <c r="G2142" t="s">
        <v>15</v>
      </c>
      <c r="K2142" cm="1">
        <f t="array" ref="K2142">_xlfn.SWITCH(LeadsData[[#This Row],[Funnel Stage Reached]],"Lead",1,"MQL",2,"SQL",3,"Customer",4)</f>
        <v>1</v>
      </c>
      <c r="L2142" t="str">
        <f>TEXT(LeadsData[[#This Row],[Signup Date]],"mmm-yyyy")</f>
        <v>Jan-2024</v>
      </c>
      <c r="M2142">
        <f>IF(LeadsData[[#This Row],[Stage Number]]&gt;=2,1,0)</f>
        <v>0</v>
      </c>
      <c r="N2142" s="2">
        <f>IF(LeadsData[[#This Row],[Stage Number]]&gt;=3,1,0)</f>
        <v>0</v>
      </c>
      <c r="O2142" s="2">
        <f>IF(LeadsData[[#This Row],[Stage Number]]&gt;=4,1,0)</f>
        <v>0</v>
      </c>
    </row>
    <row r="2143" spans="1:15" x14ac:dyDescent="0.25">
      <c r="A2143" t="s">
        <v>2183</v>
      </c>
      <c r="B2143" s="1">
        <v>45616</v>
      </c>
      <c r="C2143" t="s">
        <v>17</v>
      </c>
      <c r="D2143" t="s">
        <v>53</v>
      </c>
      <c r="E2143" t="s">
        <v>13</v>
      </c>
      <c r="F2143" t="s">
        <v>14</v>
      </c>
      <c r="G2143" t="s">
        <v>15</v>
      </c>
      <c r="K2143" cm="1">
        <f t="array" ref="K2143">_xlfn.SWITCH(LeadsData[[#This Row],[Funnel Stage Reached]],"Lead",1,"MQL",2,"SQL",3,"Customer",4)</f>
        <v>1</v>
      </c>
      <c r="L2143" t="str">
        <f>TEXT(LeadsData[[#This Row],[Signup Date]],"mmm-yyyy")</f>
        <v>Nov-2024</v>
      </c>
      <c r="M2143">
        <f>IF(LeadsData[[#This Row],[Stage Number]]&gt;=2,1,0)</f>
        <v>0</v>
      </c>
      <c r="N2143" s="2">
        <f>IF(LeadsData[[#This Row],[Stage Number]]&gt;=3,1,0)</f>
        <v>0</v>
      </c>
      <c r="O2143" s="2">
        <f>IF(LeadsData[[#This Row],[Stage Number]]&gt;=4,1,0)</f>
        <v>0</v>
      </c>
    </row>
    <row r="2144" spans="1:15" x14ac:dyDescent="0.25">
      <c r="A2144" t="s">
        <v>2184</v>
      </c>
      <c r="B2144" s="1">
        <v>45492</v>
      </c>
      <c r="C2144" t="s">
        <v>31</v>
      </c>
      <c r="D2144" t="s">
        <v>34</v>
      </c>
      <c r="E2144" t="s">
        <v>21</v>
      </c>
      <c r="F2144" t="s">
        <v>14</v>
      </c>
      <c r="G2144" t="s">
        <v>23</v>
      </c>
      <c r="K2144" cm="1">
        <f t="array" ref="K2144">_xlfn.SWITCH(LeadsData[[#This Row],[Funnel Stage Reached]],"Lead",1,"MQL",2,"SQL",3,"Customer",4)</f>
        <v>2</v>
      </c>
      <c r="L2144" t="str">
        <f>TEXT(LeadsData[[#This Row],[Signup Date]],"mmm-yyyy")</f>
        <v>Jul-2024</v>
      </c>
      <c r="M2144">
        <f>IF(LeadsData[[#This Row],[Stage Number]]&gt;=2,1,0)</f>
        <v>1</v>
      </c>
      <c r="N2144" s="2">
        <f>IF(LeadsData[[#This Row],[Stage Number]]&gt;=3,1,0)</f>
        <v>0</v>
      </c>
      <c r="O2144" s="2">
        <f>IF(LeadsData[[#This Row],[Stage Number]]&gt;=4,1,0)</f>
        <v>0</v>
      </c>
    </row>
    <row r="2145" spans="1:15" x14ac:dyDescent="0.25">
      <c r="A2145" t="s">
        <v>2185</v>
      </c>
      <c r="B2145" s="1">
        <v>45496</v>
      </c>
      <c r="C2145" t="s">
        <v>25</v>
      </c>
      <c r="D2145" t="s">
        <v>26</v>
      </c>
      <c r="E2145" t="s">
        <v>48</v>
      </c>
      <c r="F2145" t="s">
        <v>19</v>
      </c>
      <c r="G2145" t="s">
        <v>15</v>
      </c>
      <c r="K2145" cm="1">
        <f t="array" ref="K2145">_xlfn.SWITCH(LeadsData[[#This Row],[Funnel Stage Reached]],"Lead",1,"MQL",2,"SQL",3,"Customer",4)</f>
        <v>1</v>
      </c>
      <c r="L2145" t="str">
        <f>TEXT(LeadsData[[#This Row],[Signup Date]],"mmm-yyyy")</f>
        <v>Jul-2024</v>
      </c>
      <c r="M2145">
        <f>IF(LeadsData[[#This Row],[Stage Number]]&gt;=2,1,0)</f>
        <v>0</v>
      </c>
      <c r="N2145" s="2">
        <f>IF(LeadsData[[#This Row],[Stage Number]]&gt;=3,1,0)</f>
        <v>0</v>
      </c>
      <c r="O2145" s="2">
        <f>IF(LeadsData[[#This Row],[Stage Number]]&gt;=4,1,0)</f>
        <v>0</v>
      </c>
    </row>
    <row r="2146" spans="1:15" x14ac:dyDescent="0.25">
      <c r="A2146" t="s">
        <v>2186</v>
      </c>
      <c r="B2146" s="1">
        <v>45376</v>
      </c>
      <c r="C2146" t="s">
        <v>17</v>
      </c>
      <c r="D2146" t="s">
        <v>18</v>
      </c>
      <c r="E2146" t="s">
        <v>13</v>
      </c>
      <c r="F2146" t="s">
        <v>22</v>
      </c>
      <c r="G2146" t="s">
        <v>15</v>
      </c>
      <c r="K2146" cm="1">
        <f t="array" ref="K2146">_xlfn.SWITCH(LeadsData[[#This Row],[Funnel Stage Reached]],"Lead",1,"MQL",2,"SQL",3,"Customer",4)</f>
        <v>1</v>
      </c>
      <c r="L2146" t="str">
        <f>TEXT(LeadsData[[#This Row],[Signup Date]],"mmm-yyyy")</f>
        <v>Mar-2024</v>
      </c>
      <c r="M2146">
        <f>IF(LeadsData[[#This Row],[Stage Number]]&gt;=2,1,0)</f>
        <v>0</v>
      </c>
      <c r="N2146" s="2">
        <f>IF(LeadsData[[#This Row],[Stage Number]]&gt;=3,1,0)</f>
        <v>0</v>
      </c>
      <c r="O2146" s="2">
        <f>IF(LeadsData[[#This Row],[Stage Number]]&gt;=4,1,0)</f>
        <v>0</v>
      </c>
    </row>
    <row r="2147" spans="1:15" x14ac:dyDescent="0.25">
      <c r="A2147" t="s">
        <v>2187</v>
      </c>
      <c r="B2147" s="1">
        <v>45574</v>
      </c>
      <c r="C2147" t="s">
        <v>17</v>
      </c>
      <c r="D2147" t="s">
        <v>53</v>
      </c>
      <c r="E2147" t="s">
        <v>13</v>
      </c>
      <c r="F2147" t="s">
        <v>19</v>
      </c>
      <c r="G2147" t="s">
        <v>15</v>
      </c>
      <c r="K2147" cm="1">
        <f t="array" ref="K2147">_xlfn.SWITCH(LeadsData[[#This Row],[Funnel Stage Reached]],"Lead",1,"MQL",2,"SQL",3,"Customer",4)</f>
        <v>1</v>
      </c>
      <c r="L2147" t="str">
        <f>TEXT(LeadsData[[#This Row],[Signup Date]],"mmm-yyyy")</f>
        <v>Oct-2024</v>
      </c>
      <c r="M2147">
        <f>IF(LeadsData[[#This Row],[Stage Number]]&gt;=2,1,0)</f>
        <v>0</v>
      </c>
      <c r="N2147" s="2">
        <f>IF(LeadsData[[#This Row],[Stage Number]]&gt;=3,1,0)</f>
        <v>0</v>
      </c>
      <c r="O2147" s="2">
        <f>IF(LeadsData[[#This Row],[Stage Number]]&gt;=4,1,0)</f>
        <v>0</v>
      </c>
    </row>
    <row r="2148" spans="1:15" x14ac:dyDescent="0.25">
      <c r="A2148" t="s">
        <v>2188</v>
      </c>
      <c r="B2148" s="1">
        <v>45308</v>
      </c>
      <c r="C2148" t="s">
        <v>31</v>
      </c>
      <c r="D2148" t="s">
        <v>34</v>
      </c>
      <c r="E2148" t="s">
        <v>21</v>
      </c>
      <c r="F2148" t="s">
        <v>14</v>
      </c>
      <c r="G2148" t="s">
        <v>23</v>
      </c>
      <c r="K2148" cm="1">
        <f t="array" ref="K2148">_xlfn.SWITCH(LeadsData[[#This Row],[Funnel Stage Reached]],"Lead",1,"MQL",2,"SQL",3,"Customer",4)</f>
        <v>2</v>
      </c>
      <c r="L2148" t="str">
        <f>TEXT(LeadsData[[#This Row],[Signup Date]],"mmm-yyyy")</f>
        <v>Jan-2024</v>
      </c>
      <c r="M2148">
        <f>IF(LeadsData[[#This Row],[Stage Number]]&gt;=2,1,0)</f>
        <v>1</v>
      </c>
      <c r="N2148" s="2">
        <f>IF(LeadsData[[#This Row],[Stage Number]]&gt;=3,1,0)</f>
        <v>0</v>
      </c>
      <c r="O2148" s="2">
        <f>IF(LeadsData[[#This Row],[Stage Number]]&gt;=4,1,0)</f>
        <v>0</v>
      </c>
    </row>
    <row r="2149" spans="1:15" x14ac:dyDescent="0.25">
      <c r="A2149" t="s">
        <v>2189</v>
      </c>
      <c r="B2149" s="1">
        <v>45480</v>
      </c>
      <c r="C2149" t="s">
        <v>31</v>
      </c>
      <c r="D2149" t="s">
        <v>34</v>
      </c>
      <c r="E2149" t="s">
        <v>21</v>
      </c>
      <c r="F2149" t="s">
        <v>22</v>
      </c>
      <c r="G2149" t="s">
        <v>15</v>
      </c>
      <c r="K2149" cm="1">
        <f t="array" ref="K2149">_xlfn.SWITCH(LeadsData[[#This Row],[Funnel Stage Reached]],"Lead",1,"MQL",2,"SQL",3,"Customer",4)</f>
        <v>1</v>
      </c>
      <c r="L2149" t="str">
        <f>TEXT(LeadsData[[#This Row],[Signup Date]],"mmm-yyyy")</f>
        <v>Jul-2024</v>
      </c>
      <c r="M2149">
        <f>IF(LeadsData[[#This Row],[Stage Number]]&gt;=2,1,0)</f>
        <v>0</v>
      </c>
      <c r="N2149" s="2">
        <f>IF(LeadsData[[#This Row],[Stage Number]]&gt;=3,1,0)</f>
        <v>0</v>
      </c>
      <c r="O2149" s="2">
        <f>IF(LeadsData[[#This Row],[Stage Number]]&gt;=4,1,0)</f>
        <v>0</v>
      </c>
    </row>
    <row r="2150" spans="1:15" x14ac:dyDescent="0.25">
      <c r="A2150" t="s">
        <v>2190</v>
      </c>
      <c r="B2150" s="1">
        <v>45604</v>
      </c>
      <c r="C2150" t="s">
        <v>46</v>
      </c>
      <c r="D2150" t="s">
        <v>47</v>
      </c>
      <c r="E2150" t="s">
        <v>13</v>
      </c>
      <c r="F2150" t="s">
        <v>14</v>
      </c>
      <c r="G2150" t="s">
        <v>15</v>
      </c>
      <c r="K2150" cm="1">
        <f t="array" ref="K2150">_xlfn.SWITCH(LeadsData[[#This Row],[Funnel Stage Reached]],"Lead",1,"MQL",2,"SQL",3,"Customer",4)</f>
        <v>1</v>
      </c>
      <c r="L2150" t="str">
        <f>TEXT(LeadsData[[#This Row],[Signup Date]],"mmm-yyyy")</f>
        <v>Nov-2024</v>
      </c>
      <c r="M2150">
        <f>IF(LeadsData[[#This Row],[Stage Number]]&gt;=2,1,0)</f>
        <v>0</v>
      </c>
      <c r="N2150" s="2">
        <f>IF(LeadsData[[#This Row],[Stage Number]]&gt;=3,1,0)</f>
        <v>0</v>
      </c>
      <c r="O2150" s="2">
        <f>IF(LeadsData[[#This Row],[Stage Number]]&gt;=4,1,0)</f>
        <v>0</v>
      </c>
    </row>
    <row r="2151" spans="1:15" x14ac:dyDescent="0.25">
      <c r="A2151" t="s">
        <v>2191</v>
      </c>
      <c r="B2151" s="1">
        <v>45555</v>
      </c>
      <c r="C2151" t="s">
        <v>25</v>
      </c>
      <c r="D2151" t="s">
        <v>26</v>
      </c>
      <c r="E2151" t="s">
        <v>21</v>
      </c>
      <c r="F2151" t="s">
        <v>19</v>
      </c>
      <c r="G2151" t="s">
        <v>15</v>
      </c>
      <c r="K2151" cm="1">
        <f t="array" ref="K2151">_xlfn.SWITCH(LeadsData[[#This Row],[Funnel Stage Reached]],"Lead",1,"MQL",2,"SQL",3,"Customer",4)</f>
        <v>1</v>
      </c>
      <c r="L2151" t="str">
        <f>TEXT(LeadsData[[#This Row],[Signup Date]],"mmm-yyyy")</f>
        <v>Sep-2024</v>
      </c>
      <c r="M2151">
        <f>IF(LeadsData[[#This Row],[Stage Number]]&gt;=2,1,0)</f>
        <v>0</v>
      </c>
      <c r="N2151" s="2">
        <f>IF(LeadsData[[#This Row],[Stage Number]]&gt;=3,1,0)</f>
        <v>0</v>
      </c>
      <c r="O2151" s="2">
        <f>IF(LeadsData[[#This Row],[Stage Number]]&gt;=4,1,0)</f>
        <v>0</v>
      </c>
    </row>
    <row r="2152" spans="1:15" x14ac:dyDescent="0.25">
      <c r="A2152" t="s">
        <v>2192</v>
      </c>
      <c r="B2152" s="1">
        <v>45592</v>
      </c>
      <c r="C2152" t="s">
        <v>36</v>
      </c>
      <c r="D2152" t="s">
        <v>50</v>
      </c>
      <c r="E2152" t="s">
        <v>13</v>
      </c>
      <c r="F2152" t="s">
        <v>22</v>
      </c>
      <c r="G2152" t="s">
        <v>42</v>
      </c>
      <c r="H2152">
        <v>26</v>
      </c>
      <c r="I2152" t="s">
        <v>43</v>
      </c>
      <c r="J2152">
        <v>789.06</v>
      </c>
      <c r="K2152" cm="1">
        <f t="array" ref="K2152">_xlfn.SWITCH(LeadsData[[#This Row],[Funnel Stage Reached]],"Lead",1,"MQL",2,"SQL",3,"Customer",4)</f>
        <v>4</v>
      </c>
      <c r="L2152" t="str">
        <f>TEXT(LeadsData[[#This Row],[Signup Date]],"mmm-yyyy")</f>
        <v>Oct-2024</v>
      </c>
      <c r="M2152">
        <f>IF(LeadsData[[#This Row],[Stage Number]]&gt;=2,1,0)</f>
        <v>1</v>
      </c>
      <c r="N2152" s="2">
        <f>IF(LeadsData[[#This Row],[Stage Number]]&gt;=3,1,0)</f>
        <v>1</v>
      </c>
      <c r="O2152" s="2">
        <f>IF(LeadsData[[#This Row],[Stage Number]]&gt;=4,1,0)</f>
        <v>1</v>
      </c>
    </row>
    <row r="2153" spans="1:15" x14ac:dyDescent="0.25">
      <c r="A2153" t="s">
        <v>2193</v>
      </c>
      <c r="B2153" s="1">
        <v>45634</v>
      </c>
      <c r="C2153" t="s">
        <v>17</v>
      </c>
      <c r="D2153" t="s">
        <v>53</v>
      </c>
      <c r="E2153" t="s">
        <v>13</v>
      </c>
      <c r="F2153" t="s">
        <v>14</v>
      </c>
      <c r="G2153" t="s">
        <v>15</v>
      </c>
      <c r="K2153" cm="1">
        <f t="array" ref="K2153">_xlfn.SWITCH(LeadsData[[#This Row],[Funnel Stage Reached]],"Lead",1,"MQL",2,"SQL",3,"Customer",4)</f>
        <v>1</v>
      </c>
      <c r="L2153" t="str">
        <f>TEXT(LeadsData[[#This Row],[Signup Date]],"mmm-yyyy")</f>
        <v>Dec-2024</v>
      </c>
      <c r="M2153">
        <f>IF(LeadsData[[#This Row],[Stage Number]]&gt;=2,1,0)</f>
        <v>0</v>
      </c>
      <c r="N2153" s="2">
        <f>IF(LeadsData[[#This Row],[Stage Number]]&gt;=3,1,0)</f>
        <v>0</v>
      </c>
      <c r="O2153" s="2">
        <f>IF(LeadsData[[#This Row],[Stage Number]]&gt;=4,1,0)</f>
        <v>0</v>
      </c>
    </row>
    <row r="2154" spans="1:15" x14ac:dyDescent="0.25">
      <c r="A2154" t="s">
        <v>2194</v>
      </c>
      <c r="B2154" s="1">
        <v>45456</v>
      </c>
      <c r="C2154" t="s">
        <v>46</v>
      </c>
      <c r="D2154" t="s">
        <v>56</v>
      </c>
      <c r="E2154" t="s">
        <v>13</v>
      </c>
      <c r="F2154" t="s">
        <v>19</v>
      </c>
      <c r="G2154" t="s">
        <v>15</v>
      </c>
      <c r="K2154" cm="1">
        <f t="array" ref="K2154">_xlfn.SWITCH(LeadsData[[#This Row],[Funnel Stage Reached]],"Lead",1,"MQL",2,"SQL",3,"Customer",4)</f>
        <v>1</v>
      </c>
      <c r="L2154" t="str">
        <f>TEXT(LeadsData[[#This Row],[Signup Date]],"mmm-yyyy")</f>
        <v>Jun-2024</v>
      </c>
      <c r="M2154">
        <f>IF(LeadsData[[#This Row],[Stage Number]]&gt;=2,1,0)</f>
        <v>0</v>
      </c>
      <c r="N2154" s="2">
        <f>IF(LeadsData[[#This Row],[Stage Number]]&gt;=3,1,0)</f>
        <v>0</v>
      </c>
      <c r="O2154" s="2">
        <f>IF(LeadsData[[#This Row],[Stage Number]]&gt;=4,1,0)</f>
        <v>0</v>
      </c>
    </row>
    <row r="2155" spans="1:15" x14ac:dyDescent="0.25">
      <c r="A2155" t="s">
        <v>2195</v>
      </c>
      <c r="B2155" s="1">
        <v>45314</v>
      </c>
      <c r="C2155" t="s">
        <v>11</v>
      </c>
      <c r="D2155" t="s">
        <v>79</v>
      </c>
      <c r="E2155" t="s">
        <v>13</v>
      </c>
      <c r="F2155" t="s">
        <v>14</v>
      </c>
      <c r="G2155" t="s">
        <v>15</v>
      </c>
      <c r="K2155" cm="1">
        <f t="array" ref="K2155">_xlfn.SWITCH(LeadsData[[#This Row],[Funnel Stage Reached]],"Lead",1,"MQL",2,"SQL",3,"Customer",4)</f>
        <v>1</v>
      </c>
      <c r="L2155" t="str">
        <f>TEXT(LeadsData[[#This Row],[Signup Date]],"mmm-yyyy")</f>
        <v>Jan-2024</v>
      </c>
      <c r="M2155">
        <f>IF(LeadsData[[#This Row],[Stage Number]]&gt;=2,1,0)</f>
        <v>0</v>
      </c>
      <c r="N2155" s="2">
        <f>IF(LeadsData[[#This Row],[Stage Number]]&gt;=3,1,0)</f>
        <v>0</v>
      </c>
      <c r="O2155" s="2">
        <f>IF(LeadsData[[#This Row],[Stage Number]]&gt;=4,1,0)</f>
        <v>0</v>
      </c>
    </row>
    <row r="2156" spans="1:15" x14ac:dyDescent="0.25">
      <c r="A2156" t="s">
        <v>2196</v>
      </c>
      <c r="B2156" s="1">
        <v>45498</v>
      </c>
      <c r="C2156" t="s">
        <v>36</v>
      </c>
      <c r="D2156" t="s">
        <v>37</v>
      </c>
      <c r="E2156" t="s">
        <v>21</v>
      </c>
      <c r="F2156" t="s">
        <v>14</v>
      </c>
      <c r="G2156" t="s">
        <v>23</v>
      </c>
      <c r="K2156" cm="1">
        <f t="array" ref="K2156">_xlfn.SWITCH(LeadsData[[#This Row],[Funnel Stage Reached]],"Lead",1,"MQL",2,"SQL",3,"Customer",4)</f>
        <v>2</v>
      </c>
      <c r="L2156" t="str">
        <f>TEXT(LeadsData[[#This Row],[Signup Date]],"mmm-yyyy")</f>
        <v>Jul-2024</v>
      </c>
      <c r="M2156">
        <f>IF(LeadsData[[#This Row],[Stage Number]]&gt;=2,1,0)</f>
        <v>1</v>
      </c>
      <c r="N2156" s="2">
        <f>IF(LeadsData[[#This Row],[Stage Number]]&gt;=3,1,0)</f>
        <v>0</v>
      </c>
      <c r="O2156" s="2">
        <f>IF(LeadsData[[#This Row],[Stage Number]]&gt;=4,1,0)</f>
        <v>0</v>
      </c>
    </row>
    <row r="2157" spans="1:15" x14ac:dyDescent="0.25">
      <c r="A2157" t="s">
        <v>2197</v>
      </c>
      <c r="B2157" s="1">
        <v>45501</v>
      </c>
      <c r="C2157" t="s">
        <v>25</v>
      </c>
      <c r="D2157" t="s">
        <v>26</v>
      </c>
      <c r="E2157" t="s">
        <v>21</v>
      </c>
      <c r="F2157" t="s">
        <v>19</v>
      </c>
      <c r="G2157" t="s">
        <v>15</v>
      </c>
      <c r="K2157" cm="1">
        <f t="array" ref="K2157">_xlfn.SWITCH(LeadsData[[#This Row],[Funnel Stage Reached]],"Lead",1,"MQL",2,"SQL",3,"Customer",4)</f>
        <v>1</v>
      </c>
      <c r="L2157" t="str">
        <f>TEXT(LeadsData[[#This Row],[Signup Date]],"mmm-yyyy")</f>
        <v>Jul-2024</v>
      </c>
      <c r="M2157">
        <f>IF(LeadsData[[#This Row],[Stage Number]]&gt;=2,1,0)</f>
        <v>0</v>
      </c>
      <c r="N2157" s="2">
        <f>IF(LeadsData[[#This Row],[Stage Number]]&gt;=3,1,0)</f>
        <v>0</v>
      </c>
      <c r="O2157" s="2">
        <f>IF(LeadsData[[#This Row],[Stage Number]]&gt;=4,1,0)</f>
        <v>0</v>
      </c>
    </row>
    <row r="2158" spans="1:15" x14ac:dyDescent="0.25">
      <c r="A2158" t="s">
        <v>2198</v>
      </c>
      <c r="B2158" s="1">
        <v>45574</v>
      </c>
      <c r="C2158" t="s">
        <v>46</v>
      </c>
      <c r="D2158" t="s">
        <v>56</v>
      </c>
      <c r="E2158" t="s">
        <v>13</v>
      </c>
      <c r="F2158" t="s">
        <v>19</v>
      </c>
      <c r="G2158" t="s">
        <v>23</v>
      </c>
      <c r="K2158" cm="1">
        <f t="array" ref="K2158">_xlfn.SWITCH(LeadsData[[#This Row],[Funnel Stage Reached]],"Lead",1,"MQL",2,"SQL",3,"Customer",4)</f>
        <v>2</v>
      </c>
      <c r="L2158" t="str">
        <f>TEXT(LeadsData[[#This Row],[Signup Date]],"mmm-yyyy")</f>
        <v>Oct-2024</v>
      </c>
      <c r="M2158">
        <f>IF(LeadsData[[#This Row],[Stage Number]]&gt;=2,1,0)</f>
        <v>1</v>
      </c>
      <c r="N2158" s="2">
        <f>IF(LeadsData[[#This Row],[Stage Number]]&gt;=3,1,0)</f>
        <v>0</v>
      </c>
      <c r="O2158" s="2">
        <f>IF(LeadsData[[#This Row],[Stage Number]]&gt;=4,1,0)</f>
        <v>0</v>
      </c>
    </row>
    <row r="2159" spans="1:15" x14ac:dyDescent="0.25">
      <c r="A2159" t="s">
        <v>2199</v>
      </c>
      <c r="B2159" s="1">
        <v>45469</v>
      </c>
      <c r="C2159" t="s">
        <v>25</v>
      </c>
      <c r="D2159" t="s">
        <v>26</v>
      </c>
      <c r="E2159" t="s">
        <v>13</v>
      </c>
      <c r="F2159" t="s">
        <v>22</v>
      </c>
      <c r="G2159" t="s">
        <v>15</v>
      </c>
      <c r="K2159" cm="1">
        <f t="array" ref="K2159">_xlfn.SWITCH(LeadsData[[#This Row],[Funnel Stage Reached]],"Lead",1,"MQL",2,"SQL",3,"Customer",4)</f>
        <v>1</v>
      </c>
      <c r="L2159" t="str">
        <f>TEXT(LeadsData[[#This Row],[Signup Date]],"mmm-yyyy")</f>
        <v>Jun-2024</v>
      </c>
      <c r="M2159">
        <f>IF(LeadsData[[#This Row],[Stage Number]]&gt;=2,1,0)</f>
        <v>0</v>
      </c>
      <c r="N2159" s="2">
        <f>IF(LeadsData[[#This Row],[Stage Number]]&gt;=3,1,0)</f>
        <v>0</v>
      </c>
      <c r="O2159" s="2">
        <f>IF(LeadsData[[#This Row],[Stage Number]]&gt;=4,1,0)</f>
        <v>0</v>
      </c>
    </row>
    <row r="2160" spans="1:15" x14ac:dyDescent="0.25">
      <c r="A2160" t="s">
        <v>2200</v>
      </c>
      <c r="B2160" s="1">
        <v>45540</v>
      </c>
      <c r="C2160" t="s">
        <v>31</v>
      </c>
      <c r="D2160" t="s">
        <v>34</v>
      </c>
      <c r="E2160" t="s">
        <v>13</v>
      </c>
      <c r="F2160" t="s">
        <v>22</v>
      </c>
      <c r="G2160" t="s">
        <v>29</v>
      </c>
      <c r="K2160" cm="1">
        <f t="array" ref="K2160">_xlfn.SWITCH(LeadsData[[#This Row],[Funnel Stage Reached]],"Lead",1,"MQL",2,"SQL",3,"Customer",4)</f>
        <v>3</v>
      </c>
      <c r="L2160" t="str">
        <f>TEXT(LeadsData[[#This Row],[Signup Date]],"mmm-yyyy")</f>
        <v>Sep-2024</v>
      </c>
      <c r="M2160">
        <f>IF(LeadsData[[#This Row],[Stage Number]]&gt;=2,1,0)</f>
        <v>1</v>
      </c>
      <c r="N2160" s="2">
        <f>IF(LeadsData[[#This Row],[Stage Number]]&gt;=3,1,0)</f>
        <v>1</v>
      </c>
      <c r="O2160" s="2">
        <f>IF(LeadsData[[#This Row],[Stage Number]]&gt;=4,1,0)</f>
        <v>0</v>
      </c>
    </row>
    <row r="2161" spans="1:15" x14ac:dyDescent="0.25">
      <c r="A2161" t="s">
        <v>2201</v>
      </c>
      <c r="B2161" s="1">
        <v>45428</v>
      </c>
      <c r="C2161" t="s">
        <v>17</v>
      </c>
      <c r="D2161" t="s">
        <v>53</v>
      </c>
      <c r="E2161" t="s">
        <v>13</v>
      </c>
      <c r="F2161" t="s">
        <v>19</v>
      </c>
      <c r="G2161" t="s">
        <v>15</v>
      </c>
      <c r="K2161" cm="1">
        <f t="array" ref="K2161">_xlfn.SWITCH(LeadsData[[#This Row],[Funnel Stage Reached]],"Lead",1,"MQL",2,"SQL",3,"Customer",4)</f>
        <v>1</v>
      </c>
      <c r="L2161" t="str">
        <f>TEXT(LeadsData[[#This Row],[Signup Date]],"mmm-yyyy")</f>
        <v>May-2024</v>
      </c>
      <c r="M2161">
        <f>IF(LeadsData[[#This Row],[Stage Number]]&gt;=2,1,0)</f>
        <v>0</v>
      </c>
      <c r="N2161" s="2">
        <f>IF(LeadsData[[#This Row],[Stage Number]]&gt;=3,1,0)</f>
        <v>0</v>
      </c>
      <c r="O2161" s="2">
        <f>IF(LeadsData[[#This Row],[Stage Number]]&gt;=4,1,0)</f>
        <v>0</v>
      </c>
    </row>
    <row r="2162" spans="1:15" x14ac:dyDescent="0.25">
      <c r="A2162" t="s">
        <v>2202</v>
      </c>
      <c r="B2162" s="1">
        <v>45628</v>
      </c>
      <c r="C2162" t="s">
        <v>46</v>
      </c>
      <c r="D2162" t="s">
        <v>56</v>
      </c>
      <c r="E2162" t="s">
        <v>13</v>
      </c>
      <c r="F2162" t="s">
        <v>28</v>
      </c>
      <c r="G2162" t="s">
        <v>23</v>
      </c>
      <c r="K2162" cm="1">
        <f t="array" ref="K2162">_xlfn.SWITCH(LeadsData[[#This Row],[Funnel Stage Reached]],"Lead",1,"MQL",2,"SQL",3,"Customer",4)</f>
        <v>2</v>
      </c>
      <c r="L2162" t="str">
        <f>TEXT(LeadsData[[#This Row],[Signup Date]],"mmm-yyyy")</f>
        <v>Dec-2024</v>
      </c>
      <c r="M2162">
        <f>IF(LeadsData[[#This Row],[Stage Number]]&gt;=2,1,0)</f>
        <v>1</v>
      </c>
      <c r="N2162" s="2">
        <f>IF(LeadsData[[#This Row],[Stage Number]]&gt;=3,1,0)</f>
        <v>0</v>
      </c>
      <c r="O2162" s="2">
        <f>IF(LeadsData[[#This Row],[Stage Number]]&gt;=4,1,0)</f>
        <v>0</v>
      </c>
    </row>
    <row r="2163" spans="1:15" x14ac:dyDescent="0.25">
      <c r="A2163" t="s">
        <v>2203</v>
      </c>
      <c r="B2163" s="1">
        <v>45419</v>
      </c>
      <c r="C2163" t="s">
        <v>36</v>
      </c>
      <c r="D2163" t="s">
        <v>50</v>
      </c>
      <c r="E2163" t="s">
        <v>21</v>
      </c>
      <c r="F2163" t="s">
        <v>22</v>
      </c>
      <c r="G2163" t="s">
        <v>23</v>
      </c>
      <c r="K2163" cm="1">
        <f t="array" ref="K2163">_xlfn.SWITCH(LeadsData[[#This Row],[Funnel Stage Reached]],"Lead",1,"MQL",2,"SQL",3,"Customer",4)</f>
        <v>2</v>
      </c>
      <c r="L2163" t="str">
        <f>TEXT(LeadsData[[#This Row],[Signup Date]],"mmm-yyyy")</f>
        <v>May-2024</v>
      </c>
      <c r="M2163">
        <f>IF(LeadsData[[#This Row],[Stage Number]]&gt;=2,1,0)</f>
        <v>1</v>
      </c>
      <c r="N2163" s="2">
        <f>IF(LeadsData[[#This Row],[Stage Number]]&gt;=3,1,0)</f>
        <v>0</v>
      </c>
      <c r="O2163" s="2">
        <f>IF(LeadsData[[#This Row],[Stage Number]]&gt;=4,1,0)</f>
        <v>0</v>
      </c>
    </row>
    <row r="2164" spans="1:15" x14ac:dyDescent="0.25">
      <c r="A2164" t="s">
        <v>2204</v>
      </c>
      <c r="B2164" s="1">
        <v>45453</v>
      </c>
      <c r="C2164" t="s">
        <v>31</v>
      </c>
      <c r="D2164" t="s">
        <v>32</v>
      </c>
      <c r="E2164" t="s">
        <v>48</v>
      </c>
      <c r="F2164" t="s">
        <v>14</v>
      </c>
      <c r="G2164" t="s">
        <v>42</v>
      </c>
      <c r="H2164">
        <v>7</v>
      </c>
      <c r="I2164" t="s">
        <v>87</v>
      </c>
      <c r="J2164">
        <v>1650.06</v>
      </c>
      <c r="K2164" cm="1">
        <f t="array" ref="K2164">_xlfn.SWITCH(LeadsData[[#This Row],[Funnel Stage Reached]],"Lead",1,"MQL",2,"SQL",3,"Customer",4)</f>
        <v>4</v>
      </c>
      <c r="L2164" t="str">
        <f>TEXT(LeadsData[[#This Row],[Signup Date]],"mmm-yyyy")</f>
        <v>Jun-2024</v>
      </c>
      <c r="M2164">
        <f>IF(LeadsData[[#This Row],[Stage Number]]&gt;=2,1,0)</f>
        <v>1</v>
      </c>
      <c r="N2164" s="2">
        <f>IF(LeadsData[[#This Row],[Stage Number]]&gt;=3,1,0)</f>
        <v>1</v>
      </c>
      <c r="O2164" s="2">
        <f>IF(LeadsData[[#This Row],[Stage Number]]&gt;=4,1,0)</f>
        <v>1</v>
      </c>
    </row>
    <row r="2165" spans="1:15" x14ac:dyDescent="0.25">
      <c r="A2165" t="s">
        <v>2205</v>
      </c>
      <c r="B2165" s="1">
        <v>45572</v>
      </c>
      <c r="C2165" t="s">
        <v>31</v>
      </c>
      <c r="D2165" t="s">
        <v>34</v>
      </c>
      <c r="E2165" t="s">
        <v>48</v>
      </c>
      <c r="F2165" t="s">
        <v>22</v>
      </c>
      <c r="G2165" t="s">
        <v>15</v>
      </c>
      <c r="K2165" cm="1">
        <f t="array" ref="K2165">_xlfn.SWITCH(LeadsData[[#This Row],[Funnel Stage Reached]],"Lead",1,"MQL",2,"SQL",3,"Customer",4)</f>
        <v>1</v>
      </c>
      <c r="L2165" t="str">
        <f>TEXT(LeadsData[[#This Row],[Signup Date]],"mmm-yyyy")</f>
        <v>Oct-2024</v>
      </c>
      <c r="M2165">
        <f>IF(LeadsData[[#This Row],[Stage Number]]&gt;=2,1,0)</f>
        <v>0</v>
      </c>
      <c r="N2165" s="2">
        <f>IF(LeadsData[[#This Row],[Stage Number]]&gt;=3,1,0)</f>
        <v>0</v>
      </c>
      <c r="O2165" s="2">
        <f>IF(LeadsData[[#This Row],[Stage Number]]&gt;=4,1,0)</f>
        <v>0</v>
      </c>
    </row>
    <row r="2166" spans="1:15" x14ac:dyDescent="0.25">
      <c r="A2166" t="s">
        <v>2206</v>
      </c>
      <c r="B2166" s="1">
        <v>45402</v>
      </c>
      <c r="C2166" t="s">
        <v>17</v>
      </c>
      <c r="D2166" t="s">
        <v>18</v>
      </c>
      <c r="E2166" t="s">
        <v>21</v>
      </c>
      <c r="F2166" t="s">
        <v>19</v>
      </c>
      <c r="G2166" t="s">
        <v>15</v>
      </c>
      <c r="K2166" cm="1">
        <f t="array" ref="K2166">_xlfn.SWITCH(LeadsData[[#This Row],[Funnel Stage Reached]],"Lead",1,"MQL",2,"SQL",3,"Customer",4)</f>
        <v>1</v>
      </c>
      <c r="L2166" t="str">
        <f>TEXT(LeadsData[[#This Row],[Signup Date]],"mmm-yyyy")</f>
        <v>Apr-2024</v>
      </c>
      <c r="M2166">
        <f>IF(LeadsData[[#This Row],[Stage Number]]&gt;=2,1,0)</f>
        <v>0</v>
      </c>
      <c r="N2166" s="2">
        <f>IF(LeadsData[[#This Row],[Stage Number]]&gt;=3,1,0)</f>
        <v>0</v>
      </c>
      <c r="O2166" s="2">
        <f>IF(LeadsData[[#This Row],[Stage Number]]&gt;=4,1,0)</f>
        <v>0</v>
      </c>
    </row>
    <row r="2167" spans="1:15" x14ac:dyDescent="0.25">
      <c r="A2167" t="s">
        <v>2207</v>
      </c>
      <c r="B2167" s="1">
        <v>45337</v>
      </c>
      <c r="C2167" t="s">
        <v>17</v>
      </c>
      <c r="D2167" t="s">
        <v>53</v>
      </c>
      <c r="E2167" t="s">
        <v>13</v>
      </c>
      <c r="F2167" t="s">
        <v>22</v>
      </c>
      <c r="G2167" t="s">
        <v>23</v>
      </c>
      <c r="K2167" cm="1">
        <f t="array" ref="K2167">_xlfn.SWITCH(LeadsData[[#This Row],[Funnel Stage Reached]],"Lead",1,"MQL",2,"SQL",3,"Customer",4)</f>
        <v>2</v>
      </c>
      <c r="L2167" t="str">
        <f>TEXT(LeadsData[[#This Row],[Signup Date]],"mmm-yyyy")</f>
        <v>Feb-2024</v>
      </c>
      <c r="M2167">
        <f>IF(LeadsData[[#This Row],[Stage Number]]&gt;=2,1,0)</f>
        <v>1</v>
      </c>
      <c r="N2167" s="2">
        <f>IF(LeadsData[[#This Row],[Stage Number]]&gt;=3,1,0)</f>
        <v>0</v>
      </c>
      <c r="O2167" s="2">
        <f>IF(LeadsData[[#This Row],[Stage Number]]&gt;=4,1,0)</f>
        <v>0</v>
      </c>
    </row>
    <row r="2168" spans="1:15" x14ac:dyDescent="0.25">
      <c r="A2168" t="s">
        <v>2208</v>
      </c>
      <c r="B2168" s="1">
        <v>45458</v>
      </c>
      <c r="C2168" t="s">
        <v>11</v>
      </c>
      <c r="D2168" t="s">
        <v>79</v>
      </c>
      <c r="E2168" t="s">
        <v>21</v>
      </c>
      <c r="F2168" t="s">
        <v>19</v>
      </c>
      <c r="G2168" t="s">
        <v>15</v>
      </c>
      <c r="K2168" cm="1">
        <f t="array" ref="K2168">_xlfn.SWITCH(LeadsData[[#This Row],[Funnel Stage Reached]],"Lead",1,"MQL",2,"SQL",3,"Customer",4)</f>
        <v>1</v>
      </c>
      <c r="L2168" t="str">
        <f>TEXT(LeadsData[[#This Row],[Signup Date]],"mmm-yyyy")</f>
        <v>Jun-2024</v>
      </c>
      <c r="M2168">
        <f>IF(LeadsData[[#This Row],[Stage Number]]&gt;=2,1,0)</f>
        <v>0</v>
      </c>
      <c r="N2168" s="2">
        <f>IF(LeadsData[[#This Row],[Stage Number]]&gt;=3,1,0)</f>
        <v>0</v>
      </c>
      <c r="O2168" s="2">
        <f>IF(LeadsData[[#This Row],[Stage Number]]&gt;=4,1,0)</f>
        <v>0</v>
      </c>
    </row>
    <row r="2169" spans="1:15" x14ac:dyDescent="0.25">
      <c r="A2169" t="s">
        <v>2209</v>
      </c>
      <c r="B2169" s="1">
        <v>45372</v>
      </c>
      <c r="C2169" t="s">
        <v>17</v>
      </c>
      <c r="D2169" t="s">
        <v>18</v>
      </c>
      <c r="E2169" t="s">
        <v>13</v>
      </c>
      <c r="F2169" t="s">
        <v>14</v>
      </c>
      <c r="G2169" t="s">
        <v>15</v>
      </c>
      <c r="K2169" cm="1">
        <f t="array" ref="K2169">_xlfn.SWITCH(LeadsData[[#This Row],[Funnel Stage Reached]],"Lead",1,"MQL",2,"SQL",3,"Customer",4)</f>
        <v>1</v>
      </c>
      <c r="L2169" t="str">
        <f>TEXT(LeadsData[[#This Row],[Signup Date]],"mmm-yyyy")</f>
        <v>Mar-2024</v>
      </c>
      <c r="M2169">
        <f>IF(LeadsData[[#This Row],[Stage Number]]&gt;=2,1,0)</f>
        <v>0</v>
      </c>
      <c r="N2169" s="2">
        <f>IF(LeadsData[[#This Row],[Stage Number]]&gt;=3,1,0)</f>
        <v>0</v>
      </c>
      <c r="O2169" s="2">
        <f>IF(LeadsData[[#This Row],[Stage Number]]&gt;=4,1,0)</f>
        <v>0</v>
      </c>
    </row>
    <row r="2170" spans="1:15" x14ac:dyDescent="0.25">
      <c r="A2170" t="s">
        <v>2210</v>
      </c>
      <c r="B2170" s="1">
        <v>45612</v>
      </c>
      <c r="C2170" t="s">
        <v>17</v>
      </c>
      <c r="D2170" t="s">
        <v>53</v>
      </c>
      <c r="E2170" t="s">
        <v>21</v>
      </c>
      <c r="F2170" t="s">
        <v>19</v>
      </c>
      <c r="G2170" t="s">
        <v>15</v>
      </c>
      <c r="K2170" cm="1">
        <f t="array" ref="K2170">_xlfn.SWITCH(LeadsData[[#This Row],[Funnel Stage Reached]],"Lead",1,"MQL",2,"SQL",3,"Customer",4)</f>
        <v>1</v>
      </c>
      <c r="L2170" t="str">
        <f>TEXT(LeadsData[[#This Row],[Signup Date]],"mmm-yyyy")</f>
        <v>Nov-2024</v>
      </c>
      <c r="M2170">
        <f>IF(LeadsData[[#This Row],[Stage Number]]&gt;=2,1,0)</f>
        <v>0</v>
      </c>
      <c r="N2170" s="2">
        <f>IF(LeadsData[[#This Row],[Stage Number]]&gt;=3,1,0)</f>
        <v>0</v>
      </c>
      <c r="O2170" s="2">
        <f>IF(LeadsData[[#This Row],[Stage Number]]&gt;=4,1,0)</f>
        <v>0</v>
      </c>
    </row>
    <row r="2171" spans="1:15" x14ac:dyDescent="0.25">
      <c r="A2171" t="s">
        <v>2211</v>
      </c>
      <c r="B2171" s="1">
        <v>45645</v>
      </c>
      <c r="C2171" t="s">
        <v>36</v>
      </c>
      <c r="D2171" t="s">
        <v>37</v>
      </c>
      <c r="E2171" t="s">
        <v>13</v>
      </c>
      <c r="F2171" t="s">
        <v>22</v>
      </c>
      <c r="G2171" t="s">
        <v>29</v>
      </c>
      <c r="K2171" cm="1">
        <f t="array" ref="K2171">_xlfn.SWITCH(LeadsData[[#This Row],[Funnel Stage Reached]],"Lead",1,"MQL",2,"SQL",3,"Customer",4)</f>
        <v>3</v>
      </c>
      <c r="L2171" t="str">
        <f>TEXT(LeadsData[[#This Row],[Signup Date]],"mmm-yyyy")</f>
        <v>Dec-2024</v>
      </c>
      <c r="M2171">
        <f>IF(LeadsData[[#This Row],[Stage Number]]&gt;=2,1,0)</f>
        <v>1</v>
      </c>
      <c r="N2171" s="2">
        <f>IF(LeadsData[[#This Row],[Stage Number]]&gt;=3,1,0)</f>
        <v>1</v>
      </c>
      <c r="O2171" s="2">
        <f>IF(LeadsData[[#This Row],[Stage Number]]&gt;=4,1,0)</f>
        <v>0</v>
      </c>
    </row>
    <row r="2172" spans="1:15" x14ac:dyDescent="0.25">
      <c r="A2172" t="s">
        <v>2212</v>
      </c>
      <c r="B2172" s="1">
        <v>45637</v>
      </c>
      <c r="C2172" t="s">
        <v>31</v>
      </c>
      <c r="D2172" t="s">
        <v>32</v>
      </c>
      <c r="E2172" t="s">
        <v>13</v>
      </c>
      <c r="F2172" t="s">
        <v>14</v>
      </c>
      <c r="G2172" t="s">
        <v>23</v>
      </c>
      <c r="K2172" cm="1">
        <f t="array" ref="K2172">_xlfn.SWITCH(LeadsData[[#This Row],[Funnel Stage Reached]],"Lead",1,"MQL",2,"SQL",3,"Customer",4)</f>
        <v>2</v>
      </c>
      <c r="L2172" t="str">
        <f>TEXT(LeadsData[[#This Row],[Signup Date]],"mmm-yyyy")</f>
        <v>Dec-2024</v>
      </c>
      <c r="M2172">
        <f>IF(LeadsData[[#This Row],[Stage Number]]&gt;=2,1,0)</f>
        <v>1</v>
      </c>
      <c r="N2172" s="2">
        <f>IF(LeadsData[[#This Row],[Stage Number]]&gt;=3,1,0)</f>
        <v>0</v>
      </c>
      <c r="O2172" s="2">
        <f>IF(LeadsData[[#This Row],[Stage Number]]&gt;=4,1,0)</f>
        <v>0</v>
      </c>
    </row>
    <row r="2173" spans="1:15" x14ac:dyDescent="0.25">
      <c r="A2173" t="s">
        <v>2213</v>
      </c>
      <c r="B2173" s="1">
        <v>45293</v>
      </c>
      <c r="C2173" t="s">
        <v>11</v>
      </c>
      <c r="D2173" t="s">
        <v>12</v>
      </c>
      <c r="E2173" t="s">
        <v>21</v>
      </c>
      <c r="F2173" t="s">
        <v>19</v>
      </c>
      <c r="G2173" t="s">
        <v>23</v>
      </c>
      <c r="K2173" cm="1">
        <f t="array" ref="K2173">_xlfn.SWITCH(LeadsData[[#This Row],[Funnel Stage Reached]],"Lead",1,"MQL",2,"SQL",3,"Customer",4)</f>
        <v>2</v>
      </c>
      <c r="L2173" t="str">
        <f>TEXT(LeadsData[[#This Row],[Signup Date]],"mmm-yyyy")</f>
        <v>Jan-2024</v>
      </c>
      <c r="M2173">
        <f>IF(LeadsData[[#This Row],[Stage Number]]&gt;=2,1,0)</f>
        <v>1</v>
      </c>
      <c r="N2173" s="2">
        <f>IF(LeadsData[[#This Row],[Stage Number]]&gt;=3,1,0)</f>
        <v>0</v>
      </c>
      <c r="O2173" s="2">
        <f>IF(LeadsData[[#This Row],[Stage Number]]&gt;=4,1,0)</f>
        <v>0</v>
      </c>
    </row>
    <row r="2174" spans="1:15" x14ac:dyDescent="0.25">
      <c r="A2174" t="s">
        <v>2214</v>
      </c>
      <c r="B2174" s="1">
        <v>45454</v>
      </c>
      <c r="C2174" t="s">
        <v>17</v>
      </c>
      <c r="D2174" t="s">
        <v>18</v>
      </c>
      <c r="E2174" t="s">
        <v>21</v>
      </c>
      <c r="F2174" t="s">
        <v>19</v>
      </c>
      <c r="G2174" t="s">
        <v>15</v>
      </c>
      <c r="K2174" cm="1">
        <f t="array" ref="K2174">_xlfn.SWITCH(LeadsData[[#This Row],[Funnel Stage Reached]],"Lead",1,"MQL",2,"SQL",3,"Customer",4)</f>
        <v>1</v>
      </c>
      <c r="L2174" t="str">
        <f>TEXT(LeadsData[[#This Row],[Signup Date]],"mmm-yyyy")</f>
        <v>Jun-2024</v>
      </c>
      <c r="M2174">
        <f>IF(LeadsData[[#This Row],[Stage Number]]&gt;=2,1,0)</f>
        <v>0</v>
      </c>
      <c r="N2174" s="2">
        <f>IF(LeadsData[[#This Row],[Stage Number]]&gt;=3,1,0)</f>
        <v>0</v>
      </c>
      <c r="O2174" s="2">
        <f>IF(LeadsData[[#This Row],[Stage Number]]&gt;=4,1,0)</f>
        <v>0</v>
      </c>
    </row>
    <row r="2175" spans="1:15" x14ac:dyDescent="0.25">
      <c r="A2175" t="s">
        <v>2215</v>
      </c>
      <c r="B2175" s="1">
        <v>45523</v>
      </c>
      <c r="C2175" t="s">
        <v>17</v>
      </c>
      <c r="D2175" t="s">
        <v>18</v>
      </c>
      <c r="E2175" t="s">
        <v>13</v>
      </c>
      <c r="F2175" t="s">
        <v>14</v>
      </c>
      <c r="G2175" t="s">
        <v>23</v>
      </c>
      <c r="K2175" cm="1">
        <f t="array" ref="K2175">_xlfn.SWITCH(LeadsData[[#This Row],[Funnel Stage Reached]],"Lead",1,"MQL",2,"SQL",3,"Customer",4)</f>
        <v>2</v>
      </c>
      <c r="L2175" t="str">
        <f>TEXT(LeadsData[[#This Row],[Signup Date]],"mmm-yyyy")</f>
        <v>Aug-2024</v>
      </c>
      <c r="M2175">
        <f>IF(LeadsData[[#This Row],[Stage Number]]&gt;=2,1,0)</f>
        <v>1</v>
      </c>
      <c r="N2175" s="2">
        <f>IF(LeadsData[[#This Row],[Stage Number]]&gt;=3,1,0)</f>
        <v>0</v>
      </c>
      <c r="O2175" s="2">
        <f>IF(LeadsData[[#This Row],[Stage Number]]&gt;=4,1,0)</f>
        <v>0</v>
      </c>
    </row>
    <row r="2176" spans="1:15" x14ac:dyDescent="0.25">
      <c r="A2176" t="s">
        <v>2216</v>
      </c>
      <c r="B2176" s="1">
        <v>45335</v>
      </c>
      <c r="C2176" t="s">
        <v>36</v>
      </c>
      <c r="D2176" t="s">
        <v>50</v>
      </c>
      <c r="E2176" t="s">
        <v>21</v>
      </c>
      <c r="F2176" t="s">
        <v>28</v>
      </c>
      <c r="G2176" t="s">
        <v>29</v>
      </c>
      <c r="K2176" cm="1">
        <f t="array" ref="K2176">_xlfn.SWITCH(LeadsData[[#This Row],[Funnel Stage Reached]],"Lead",1,"MQL",2,"SQL",3,"Customer",4)</f>
        <v>3</v>
      </c>
      <c r="L2176" t="str">
        <f>TEXT(LeadsData[[#This Row],[Signup Date]],"mmm-yyyy")</f>
        <v>Feb-2024</v>
      </c>
      <c r="M2176">
        <f>IF(LeadsData[[#This Row],[Stage Number]]&gt;=2,1,0)</f>
        <v>1</v>
      </c>
      <c r="N2176" s="2">
        <f>IF(LeadsData[[#This Row],[Stage Number]]&gt;=3,1,0)</f>
        <v>1</v>
      </c>
      <c r="O2176" s="2">
        <f>IF(LeadsData[[#This Row],[Stage Number]]&gt;=4,1,0)</f>
        <v>0</v>
      </c>
    </row>
    <row r="2177" spans="1:15" x14ac:dyDescent="0.25">
      <c r="A2177" t="s">
        <v>2217</v>
      </c>
      <c r="B2177" s="1">
        <v>45590</v>
      </c>
      <c r="C2177" t="s">
        <v>11</v>
      </c>
      <c r="D2177" t="s">
        <v>68</v>
      </c>
      <c r="E2177" t="s">
        <v>21</v>
      </c>
      <c r="F2177" t="s">
        <v>19</v>
      </c>
      <c r="G2177" t="s">
        <v>15</v>
      </c>
      <c r="K2177" cm="1">
        <f t="array" ref="K2177">_xlfn.SWITCH(LeadsData[[#This Row],[Funnel Stage Reached]],"Lead",1,"MQL",2,"SQL",3,"Customer",4)</f>
        <v>1</v>
      </c>
      <c r="L2177" t="str">
        <f>TEXT(LeadsData[[#This Row],[Signup Date]],"mmm-yyyy")</f>
        <v>Oct-2024</v>
      </c>
      <c r="M2177">
        <f>IF(LeadsData[[#This Row],[Stage Number]]&gt;=2,1,0)</f>
        <v>0</v>
      </c>
      <c r="N2177" s="2">
        <f>IF(LeadsData[[#This Row],[Stage Number]]&gt;=3,1,0)</f>
        <v>0</v>
      </c>
      <c r="O2177" s="2">
        <f>IF(LeadsData[[#This Row],[Stage Number]]&gt;=4,1,0)</f>
        <v>0</v>
      </c>
    </row>
    <row r="2178" spans="1:15" x14ac:dyDescent="0.25">
      <c r="A2178" t="s">
        <v>2218</v>
      </c>
      <c r="B2178" s="1">
        <v>45357</v>
      </c>
      <c r="C2178" t="s">
        <v>31</v>
      </c>
      <c r="D2178" t="s">
        <v>34</v>
      </c>
      <c r="E2178" t="s">
        <v>21</v>
      </c>
      <c r="F2178" t="s">
        <v>19</v>
      </c>
      <c r="G2178" t="s">
        <v>23</v>
      </c>
      <c r="K2178" cm="1">
        <f t="array" ref="K2178">_xlfn.SWITCH(LeadsData[[#This Row],[Funnel Stage Reached]],"Lead",1,"MQL",2,"SQL",3,"Customer",4)</f>
        <v>2</v>
      </c>
      <c r="L2178" t="str">
        <f>TEXT(LeadsData[[#This Row],[Signup Date]],"mmm-yyyy")</f>
        <v>Mar-2024</v>
      </c>
      <c r="M2178">
        <f>IF(LeadsData[[#This Row],[Stage Number]]&gt;=2,1,0)</f>
        <v>1</v>
      </c>
      <c r="N2178" s="2">
        <f>IF(LeadsData[[#This Row],[Stage Number]]&gt;=3,1,0)</f>
        <v>0</v>
      </c>
      <c r="O2178" s="2">
        <f>IF(LeadsData[[#This Row],[Stage Number]]&gt;=4,1,0)</f>
        <v>0</v>
      </c>
    </row>
    <row r="2179" spans="1:15" x14ac:dyDescent="0.25">
      <c r="A2179" t="s">
        <v>2219</v>
      </c>
      <c r="B2179" s="1">
        <v>45611</v>
      </c>
      <c r="C2179" t="s">
        <v>11</v>
      </c>
      <c r="D2179" t="s">
        <v>68</v>
      </c>
      <c r="E2179" t="s">
        <v>13</v>
      </c>
      <c r="F2179" t="s">
        <v>22</v>
      </c>
      <c r="G2179" t="s">
        <v>15</v>
      </c>
      <c r="K2179" cm="1">
        <f t="array" ref="K2179">_xlfn.SWITCH(LeadsData[[#This Row],[Funnel Stage Reached]],"Lead",1,"MQL",2,"SQL",3,"Customer",4)</f>
        <v>1</v>
      </c>
      <c r="L2179" t="str">
        <f>TEXT(LeadsData[[#This Row],[Signup Date]],"mmm-yyyy")</f>
        <v>Nov-2024</v>
      </c>
      <c r="M2179">
        <f>IF(LeadsData[[#This Row],[Stage Number]]&gt;=2,1,0)</f>
        <v>0</v>
      </c>
      <c r="N2179" s="2">
        <f>IF(LeadsData[[#This Row],[Stage Number]]&gt;=3,1,0)</f>
        <v>0</v>
      </c>
      <c r="O2179" s="2">
        <f>IF(LeadsData[[#This Row],[Stage Number]]&gt;=4,1,0)</f>
        <v>0</v>
      </c>
    </row>
    <row r="2180" spans="1:15" x14ac:dyDescent="0.25">
      <c r="A2180" t="s">
        <v>2220</v>
      </c>
      <c r="B2180" s="1">
        <v>45386</v>
      </c>
      <c r="C2180" t="s">
        <v>17</v>
      </c>
      <c r="D2180" t="s">
        <v>53</v>
      </c>
      <c r="E2180" t="s">
        <v>13</v>
      </c>
      <c r="F2180" t="s">
        <v>14</v>
      </c>
      <c r="G2180" t="s">
        <v>23</v>
      </c>
      <c r="K2180" cm="1">
        <f t="array" ref="K2180">_xlfn.SWITCH(LeadsData[[#This Row],[Funnel Stage Reached]],"Lead",1,"MQL",2,"SQL",3,"Customer",4)</f>
        <v>2</v>
      </c>
      <c r="L2180" t="str">
        <f>TEXT(LeadsData[[#This Row],[Signup Date]],"mmm-yyyy")</f>
        <v>Apr-2024</v>
      </c>
      <c r="M2180">
        <f>IF(LeadsData[[#This Row],[Stage Number]]&gt;=2,1,0)</f>
        <v>1</v>
      </c>
      <c r="N2180" s="2">
        <f>IF(LeadsData[[#This Row],[Stage Number]]&gt;=3,1,0)</f>
        <v>0</v>
      </c>
      <c r="O2180" s="2">
        <f>IF(LeadsData[[#This Row],[Stage Number]]&gt;=4,1,0)</f>
        <v>0</v>
      </c>
    </row>
    <row r="2181" spans="1:15" x14ac:dyDescent="0.25">
      <c r="A2181" t="s">
        <v>2221</v>
      </c>
      <c r="B2181" s="1">
        <v>45563</v>
      </c>
      <c r="C2181" t="s">
        <v>11</v>
      </c>
      <c r="D2181" t="s">
        <v>68</v>
      </c>
      <c r="E2181" t="s">
        <v>21</v>
      </c>
      <c r="F2181" t="s">
        <v>22</v>
      </c>
      <c r="G2181" t="s">
        <v>23</v>
      </c>
      <c r="K2181" cm="1">
        <f t="array" ref="K2181">_xlfn.SWITCH(LeadsData[[#This Row],[Funnel Stage Reached]],"Lead",1,"MQL",2,"SQL",3,"Customer",4)</f>
        <v>2</v>
      </c>
      <c r="L2181" t="str">
        <f>TEXT(LeadsData[[#This Row],[Signup Date]],"mmm-yyyy")</f>
        <v>Sep-2024</v>
      </c>
      <c r="M2181">
        <f>IF(LeadsData[[#This Row],[Stage Number]]&gt;=2,1,0)</f>
        <v>1</v>
      </c>
      <c r="N2181" s="2">
        <f>IF(LeadsData[[#This Row],[Stage Number]]&gt;=3,1,0)</f>
        <v>0</v>
      </c>
      <c r="O2181" s="2">
        <f>IF(LeadsData[[#This Row],[Stage Number]]&gt;=4,1,0)</f>
        <v>0</v>
      </c>
    </row>
    <row r="2182" spans="1:15" x14ac:dyDescent="0.25">
      <c r="A2182" t="s">
        <v>2222</v>
      </c>
      <c r="B2182" s="1">
        <v>45506</v>
      </c>
      <c r="C2182" t="s">
        <v>31</v>
      </c>
      <c r="D2182" t="s">
        <v>32</v>
      </c>
      <c r="E2182" t="s">
        <v>13</v>
      </c>
      <c r="F2182" t="s">
        <v>14</v>
      </c>
      <c r="G2182" t="s">
        <v>15</v>
      </c>
      <c r="K2182" cm="1">
        <f t="array" ref="K2182">_xlfn.SWITCH(LeadsData[[#This Row],[Funnel Stage Reached]],"Lead",1,"MQL",2,"SQL",3,"Customer",4)</f>
        <v>1</v>
      </c>
      <c r="L2182" t="str">
        <f>TEXT(LeadsData[[#This Row],[Signup Date]],"mmm-yyyy")</f>
        <v>Aug-2024</v>
      </c>
      <c r="M2182">
        <f>IF(LeadsData[[#This Row],[Stage Number]]&gt;=2,1,0)</f>
        <v>0</v>
      </c>
      <c r="N2182" s="2">
        <f>IF(LeadsData[[#This Row],[Stage Number]]&gt;=3,1,0)</f>
        <v>0</v>
      </c>
      <c r="O2182" s="2">
        <f>IF(LeadsData[[#This Row],[Stage Number]]&gt;=4,1,0)</f>
        <v>0</v>
      </c>
    </row>
    <row r="2183" spans="1:15" x14ac:dyDescent="0.25">
      <c r="A2183" t="s">
        <v>2223</v>
      </c>
      <c r="B2183" s="1">
        <v>45475</v>
      </c>
      <c r="C2183" t="s">
        <v>17</v>
      </c>
      <c r="D2183" t="s">
        <v>53</v>
      </c>
      <c r="E2183" t="s">
        <v>21</v>
      </c>
      <c r="F2183" t="s">
        <v>19</v>
      </c>
      <c r="G2183" t="s">
        <v>15</v>
      </c>
      <c r="K2183" cm="1">
        <f t="array" ref="K2183">_xlfn.SWITCH(LeadsData[[#This Row],[Funnel Stage Reached]],"Lead",1,"MQL",2,"SQL",3,"Customer",4)</f>
        <v>1</v>
      </c>
      <c r="L2183" t="str">
        <f>TEXT(LeadsData[[#This Row],[Signup Date]],"mmm-yyyy")</f>
        <v>Jul-2024</v>
      </c>
      <c r="M2183">
        <f>IF(LeadsData[[#This Row],[Stage Number]]&gt;=2,1,0)</f>
        <v>0</v>
      </c>
      <c r="N2183" s="2">
        <f>IF(LeadsData[[#This Row],[Stage Number]]&gt;=3,1,0)</f>
        <v>0</v>
      </c>
      <c r="O2183" s="2">
        <f>IF(LeadsData[[#This Row],[Stage Number]]&gt;=4,1,0)</f>
        <v>0</v>
      </c>
    </row>
    <row r="2184" spans="1:15" x14ac:dyDescent="0.25">
      <c r="A2184" t="s">
        <v>2224</v>
      </c>
      <c r="B2184" s="1">
        <v>45590</v>
      </c>
      <c r="C2184" t="s">
        <v>31</v>
      </c>
      <c r="D2184" t="s">
        <v>32</v>
      </c>
      <c r="E2184" t="s">
        <v>13</v>
      </c>
      <c r="F2184" t="s">
        <v>19</v>
      </c>
      <c r="G2184" t="s">
        <v>23</v>
      </c>
      <c r="K2184" cm="1">
        <f t="array" ref="K2184">_xlfn.SWITCH(LeadsData[[#This Row],[Funnel Stage Reached]],"Lead",1,"MQL",2,"SQL",3,"Customer",4)</f>
        <v>2</v>
      </c>
      <c r="L2184" t="str">
        <f>TEXT(LeadsData[[#This Row],[Signup Date]],"mmm-yyyy")</f>
        <v>Oct-2024</v>
      </c>
      <c r="M2184">
        <f>IF(LeadsData[[#This Row],[Stage Number]]&gt;=2,1,0)</f>
        <v>1</v>
      </c>
      <c r="N2184" s="2">
        <f>IF(LeadsData[[#This Row],[Stage Number]]&gt;=3,1,0)</f>
        <v>0</v>
      </c>
      <c r="O2184" s="2">
        <f>IF(LeadsData[[#This Row],[Stage Number]]&gt;=4,1,0)</f>
        <v>0</v>
      </c>
    </row>
    <row r="2185" spans="1:15" x14ac:dyDescent="0.25">
      <c r="A2185" t="s">
        <v>2225</v>
      </c>
      <c r="B2185" s="1">
        <v>45587</v>
      </c>
      <c r="C2185" t="s">
        <v>36</v>
      </c>
      <c r="D2185" t="s">
        <v>37</v>
      </c>
      <c r="E2185" t="s">
        <v>13</v>
      </c>
      <c r="F2185" t="s">
        <v>14</v>
      </c>
      <c r="G2185" t="s">
        <v>29</v>
      </c>
      <c r="K2185" cm="1">
        <f t="array" ref="K2185">_xlfn.SWITCH(LeadsData[[#This Row],[Funnel Stage Reached]],"Lead",1,"MQL",2,"SQL",3,"Customer",4)</f>
        <v>3</v>
      </c>
      <c r="L2185" t="str">
        <f>TEXT(LeadsData[[#This Row],[Signup Date]],"mmm-yyyy")</f>
        <v>Oct-2024</v>
      </c>
      <c r="M2185">
        <f>IF(LeadsData[[#This Row],[Stage Number]]&gt;=2,1,0)</f>
        <v>1</v>
      </c>
      <c r="N2185" s="2">
        <f>IF(LeadsData[[#This Row],[Stage Number]]&gt;=3,1,0)</f>
        <v>1</v>
      </c>
      <c r="O2185" s="2">
        <f>IF(LeadsData[[#This Row],[Stage Number]]&gt;=4,1,0)</f>
        <v>0</v>
      </c>
    </row>
    <row r="2186" spans="1:15" x14ac:dyDescent="0.25">
      <c r="A2186" t="s">
        <v>2226</v>
      </c>
      <c r="B2186" s="1">
        <v>45643</v>
      </c>
      <c r="C2186" t="s">
        <v>31</v>
      </c>
      <c r="D2186" t="s">
        <v>34</v>
      </c>
      <c r="E2186" t="s">
        <v>21</v>
      </c>
      <c r="F2186" t="s">
        <v>19</v>
      </c>
      <c r="G2186" t="s">
        <v>23</v>
      </c>
      <c r="K2186" cm="1">
        <f t="array" ref="K2186">_xlfn.SWITCH(LeadsData[[#This Row],[Funnel Stage Reached]],"Lead",1,"MQL",2,"SQL",3,"Customer",4)</f>
        <v>2</v>
      </c>
      <c r="L2186" t="str">
        <f>TEXT(LeadsData[[#This Row],[Signup Date]],"mmm-yyyy")</f>
        <v>Dec-2024</v>
      </c>
      <c r="M2186">
        <f>IF(LeadsData[[#This Row],[Stage Number]]&gt;=2,1,0)</f>
        <v>1</v>
      </c>
      <c r="N2186" s="2">
        <f>IF(LeadsData[[#This Row],[Stage Number]]&gt;=3,1,0)</f>
        <v>0</v>
      </c>
      <c r="O2186" s="2">
        <f>IF(LeadsData[[#This Row],[Stage Number]]&gt;=4,1,0)</f>
        <v>0</v>
      </c>
    </row>
    <row r="2187" spans="1:15" x14ac:dyDescent="0.25">
      <c r="A2187" t="s">
        <v>2227</v>
      </c>
      <c r="B2187" s="1">
        <v>45520</v>
      </c>
      <c r="C2187" t="s">
        <v>17</v>
      </c>
      <c r="D2187" t="s">
        <v>18</v>
      </c>
      <c r="E2187" t="s">
        <v>13</v>
      </c>
      <c r="F2187" t="s">
        <v>19</v>
      </c>
      <c r="G2187" t="s">
        <v>15</v>
      </c>
      <c r="K2187" cm="1">
        <f t="array" ref="K2187">_xlfn.SWITCH(LeadsData[[#This Row],[Funnel Stage Reached]],"Lead",1,"MQL",2,"SQL",3,"Customer",4)</f>
        <v>1</v>
      </c>
      <c r="L2187" t="str">
        <f>TEXT(LeadsData[[#This Row],[Signup Date]],"mmm-yyyy")</f>
        <v>Aug-2024</v>
      </c>
      <c r="M2187">
        <f>IF(LeadsData[[#This Row],[Stage Number]]&gt;=2,1,0)</f>
        <v>0</v>
      </c>
      <c r="N2187" s="2">
        <f>IF(LeadsData[[#This Row],[Stage Number]]&gt;=3,1,0)</f>
        <v>0</v>
      </c>
      <c r="O2187" s="2">
        <f>IF(LeadsData[[#This Row],[Stage Number]]&gt;=4,1,0)</f>
        <v>0</v>
      </c>
    </row>
    <row r="2188" spans="1:15" x14ac:dyDescent="0.25">
      <c r="A2188" t="s">
        <v>2228</v>
      </c>
      <c r="B2188" s="1">
        <v>45589</v>
      </c>
      <c r="C2188" t="s">
        <v>36</v>
      </c>
      <c r="D2188" t="s">
        <v>37</v>
      </c>
      <c r="E2188" t="s">
        <v>21</v>
      </c>
      <c r="F2188" t="s">
        <v>19</v>
      </c>
      <c r="G2188" t="s">
        <v>15</v>
      </c>
      <c r="K2188" cm="1">
        <f t="array" ref="K2188">_xlfn.SWITCH(LeadsData[[#This Row],[Funnel Stage Reached]],"Lead",1,"MQL",2,"SQL",3,"Customer",4)</f>
        <v>1</v>
      </c>
      <c r="L2188" t="str">
        <f>TEXT(LeadsData[[#This Row],[Signup Date]],"mmm-yyyy")</f>
        <v>Oct-2024</v>
      </c>
      <c r="M2188">
        <f>IF(LeadsData[[#This Row],[Stage Number]]&gt;=2,1,0)</f>
        <v>0</v>
      </c>
      <c r="N2188" s="2">
        <f>IF(LeadsData[[#This Row],[Stage Number]]&gt;=3,1,0)</f>
        <v>0</v>
      </c>
      <c r="O2188" s="2">
        <f>IF(LeadsData[[#This Row],[Stage Number]]&gt;=4,1,0)</f>
        <v>0</v>
      </c>
    </row>
    <row r="2189" spans="1:15" x14ac:dyDescent="0.25">
      <c r="A2189" t="s">
        <v>2229</v>
      </c>
      <c r="B2189" s="1">
        <v>45417</v>
      </c>
      <c r="C2189" t="s">
        <v>11</v>
      </c>
      <c r="D2189" t="s">
        <v>12</v>
      </c>
      <c r="E2189" t="s">
        <v>13</v>
      </c>
      <c r="F2189" t="s">
        <v>19</v>
      </c>
      <c r="G2189" t="s">
        <v>23</v>
      </c>
      <c r="K2189" cm="1">
        <f t="array" ref="K2189">_xlfn.SWITCH(LeadsData[[#This Row],[Funnel Stage Reached]],"Lead",1,"MQL",2,"SQL",3,"Customer",4)</f>
        <v>2</v>
      </c>
      <c r="L2189" t="str">
        <f>TEXT(LeadsData[[#This Row],[Signup Date]],"mmm-yyyy")</f>
        <v>May-2024</v>
      </c>
      <c r="M2189">
        <f>IF(LeadsData[[#This Row],[Stage Number]]&gt;=2,1,0)</f>
        <v>1</v>
      </c>
      <c r="N2189" s="2">
        <f>IF(LeadsData[[#This Row],[Stage Number]]&gt;=3,1,0)</f>
        <v>0</v>
      </c>
      <c r="O2189" s="2">
        <f>IF(LeadsData[[#This Row],[Stage Number]]&gt;=4,1,0)</f>
        <v>0</v>
      </c>
    </row>
    <row r="2190" spans="1:15" x14ac:dyDescent="0.25">
      <c r="A2190" t="s">
        <v>2230</v>
      </c>
      <c r="B2190" s="1">
        <v>45509</v>
      </c>
      <c r="C2190" t="s">
        <v>36</v>
      </c>
      <c r="D2190" t="s">
        <v>37</v>
      </c>
      <c r="E2190" t="s">
        <v>13</v>
      </c>
      <c r="F2190" t="s">
        <v>19</v>
      </c>
      <c r="G2190" t="s">
        <v>42</v>
      </c>
      <c r="H2190">
        <v>47</v>
      </c>
      <c r="I2190" t="s">
        <v>87</v>
      </c>
      <c r="J2190">
        <v>3895.34</v>
      </c>
      <c r="K2190" cm="1">
        <f t="array" ref="K2190">_xlfn.SWITCH(LeadsData[[#This Row],[Funnel Stage Reached]],"Lead",1,"MQL",2,"SQL",3,"Customer",4)</f>
        <v>4</v>
      </c>
      <c r="L2190" t="str">
        <f>TEXT(LeadsData[[#This Row],[Signup Date]],"mmm-yyyy")</f>
        <v>Aug-2024</v>
      </c>
      <c r="M2190">
        <f>IF(LeadsData[[#This Row],[Stage Number]]&gt;=2,1,0)</f>
        <v>1</v>
      </c>
      <c r="N2190" s="2">
        <f>IF(LeadsData[[#This Row],[Stage Number]]&gt;=3,1,0)</f>
        <v>1</v>
      </c>
      <c r="O2190" s="2">
        <f>IF(LeadsData[[#This Row],[Stage Number]]&gt;=4,1,0)</f>
        <v>1</v>
      </c>
    </row>
    <row r="2191" spans="1:15" x14ac:dyDescent="0.25">
      <c r="A2191" t="s">
        <v>2231</v>
      </c>
      <c r="B2191" s="1">
        <v>45345</v>
      </c>
      <c r="C2191" t="s">
        <v>11</v>
      </c>
      <c r="D2191" t="s">
        <v>79</v>
      </c>
      <c r="E2191" t="s">
        <v>13</v>
      </c>
      <c r="F2191" t="s">
        <v>28</v>
      </c>
      <c r="G2191" t="s">
        <v>15</v>
      </c>
      <c r="K2191" cm="1">
        <f t="array" ref="K2191">_xlfn.SWITCH(LeadsData[[#This Row],[Funnel Stage Reached]],"Lead",1,"MQL",2,"SQL",3,"Customer",4)</f>
        <v>1</v>
      </c>
      <c r="L2191" t="str">
        <f>TEXT(LeadsData[[#This Row],[Signup Date]],"mmm-yyyy")</f>
        <v>Feb-2024</v>
      </c>
      <c r="M2191">
        <f>IF(LeadsData[[#This Row],[Stage Number]]&gt;=2,1,0)</f>
        <v>0</v>
      </c>
      <c r="N2191" s="2">
        <f>IF(LeadsData[[#This Row],[Stage Number]]&gt;=3,1,0)</f>
        <v>0</v>
      </c>
      <c r="O2191" s="2">
        <f>IF(LeadsData[[#This Row],[Stage Number]]&gt;=4,1,0)</f>
        <v>0</v>
      </c>
    </row>
    <row r="2192" spans="1:15" x14ac:dyDescent="0.25">
      <c r="A2192" t="s">
        <v>2232</v>
      </c>
      <c r="B2192" s="1">
        <v>45340</v>
      </c>
      <c r="C2192" t="s">
        <v>31</v>
      </c>
      <c r="D2192" t="s">
        <v>32</v>
      </c>
      <c r="E2192" t="s">
        <v>13</v>
      </c>
      <c r="F2192" t="s">
        <v>19</v>
      </c>
      <c r="G2192" t="s">
        <v>15</v>
      </c>
      <c r="K2192" cm="1">
        <f t="array" ref="K2192">_xlfn.SWITCH(LeadsData[[#This Row],[Funnel Stage Reached]],"Lead",1,"MQL",2,"SQL",3,"Customer",4)</f>
        <v>1</v>
      </c>
      <c r="L2192" t="str">
        <f>TEXT(LeadsData[[#This Row],[Signup Date]],"mmm-yyyy")</f>
        <v>Feb-2024</v>
      </c>
      <c r="M2192">
        <f>IF(LeadsData[[#This Row],[Stage Number]]&gt;=2,1,0)</f>
        <v>0</v>
      </c>
      <c r="N2192" s="2">
        <f>IF(LeadsData[[#This Row],[Stage Number]]&gt;=3,1,0)</f>
        <v>0</v>
      </c>
      <c r="O2192" s="2">
        <f>IF(LeadsData[[#This Row],[Stage Number]]&gt;=4,1,0)</f>
        <v>0</v>
      </c>
    </row>
    <row r="2193" spans="1:15" x14ac:dyDescent="0.25">
      <c r="A2193" t="s">
        <v>2233</v>
      </c>
      <c r="B2193" s="1">
        <v>45613</v>
      </c>
      <c r="C2193" t="s">
        <v>46</v>
      </c>
      <c r="D2193" t="s">
        <v>56</v>
      </c>
      <c r="E2193" t="s">
        <v>21</v>
      </c>
      <c r="F2193" t="s">
        <v>22</v>
      </c>
      <c r="G2193" t="s">
        <v>42</v>
      </c>
      <c r="H2193">
        <v>63</v>
      </c>
      <c r="I2193" t="s">
        <v>87</v>
      </c>
      <c r="J2193">
        <v>4310.2299999999996</v>
      </c>
      <c r="K2193" cm="1">
        <f t="array" ref="K2193">_xlfn.SWITCH(LeadsData[[#This Row],[Funnel Stage Reached]],"Lead",1,"MQL",2,"SQL",3,"Customer",4)</f>
        <v>4</v>
      </c>
      <c r="L2193" t="str">
        <f>TEXT(LeadsData[[#This Row],[Signup Date]],"mmm-yyyy")</f>
        <v>Nov-2024</v>
      </c>
      <c r="M2193">
        <f>IF(LeadsData[[#This Row],[Stage Number]]&gt;=2,1,0)</f>
        <v>1</v>
      </c>
      <c r="N2193" s="2">
        <f>IF(LeadsData[[#This Row],[Stage Number]]&gt;=3,1,0)</f>
        <v>1</v>
      </c>
      <c r="O2193" s="2">
        <f>IF(LeadsData[[#This Row],[Stage Number]]&gt;=4,1,0)</f>
        <v>1</v>
      </c>
    </row>
    <row r="2194" spans="1:15" x14ac:dyDescent="0.25">
      <c r="A2194" t="s">
        <v>2234</v>
      </c>
      <c r="B2194" s="1">
        <v>45549</v>
      </c>
      <c r="C2194" t="s">
        <v>46</v>
      </c>
      <c r="D2194" t="s">
        <v>47</v>
      </c>
      <c r="E2194" t="s">
        <v>21</v>
      </c>
      <c r="F2194" t="s">
        <v>22</v>
      </c>
      <c r="G2194" t="s">
        <v>29</v>
      </c>
      <c r="K2194" cm="1">
        <f t="array" ref="K2194">_xlfn.SWITCH(LeadsData[[#This Row],[Funnel Stage Reached]],"Lead",1,"MQL",2,"SQL",3,"Customer",4)</f>
        <v>3</v>
      </c>
      <c r="L2194" t="str">
        <f>TEXT(LeadsData[[#This Row],[Signup Date]],"mmm-yyyy")</f>
        <v>Sep-2024</v>
      </c>
      <c r="M2194">
        <f>IF(LeadsData[[#This Row],[Stage Number]]&gt;=2,1,0)</f>
        <v>1</v>
      </c>
      <c r="N2194" s="2">
        <f>IF(LeadsData[[#This Row],[Stage Number]]&gt;=3,1,0)</f>
        <v>1</v>
      </c>
      <c r="O2194" s="2">
        <f>IF(LeadsData[[#This Row],[Stage Number]]&gt;=4,1,0)</f>
        <v>0</v>
      </c>
    </row>
    <row r="2195" spans="1:15" x14ac:dyDescent="0.25">
      <c r="A2195" t="s">
        <v>2235</v>
      </c>
      <c r="B2195" s="1">
        <v>45366</v>
      </c>
      <c r="C2195" t="s">
        <v>36</v>
      </c>
      <c r="D2195" t="s">
        <v>37</v>
      </c>
      <c r="E2195" t="s">
        <v>21</v>
      </c>
      <c r="F2195" t="s">
        <v>22</v>
      </c>
      <c r="G2195" t="s">
        <v>42</v>
      </c>
      <c r="H2195">
        <v>20</v>
      </c>
      <c r="I2195" t="s">
        <v>43</v>
      </c>
      <c r="J2195">
        <v>1289.19</v>
      </c>
      <c r="K2195" cm="1">
        <f t="array" ref="K2195">_xlfn.SWITCH(LeadsData[[#This Row],[Funnel Stage Reached]],"Lead",1,"MQL",2,"SQL",3,"Customer",4)</f>
        <v>4</v>
      </c>
      <c r="L2195" t="str">
        <f>TEXT(LeadsData[[#This Row],[Signup Date]],"mmm-yyyy")</f>
        <v>Mar-2024</v>
      </c>
      <c r="M2195">
        <f>IF(LeadsData[[#This Row],[Stage Number]]&gt;=2,1,0)</f>
        <v>1</v>
      </c>
      <c r="N2195" s="2">
        <f>IF(LeadsData[[#This Row],[Stage Number]]&gt;=3,1,0)</f>
        <v>1</v>
      </c>
      <c r="O2195" s="2">
        <f>IF(LeadsData[[#This Row],[Stage Number]]&gt;=4,1,0)</f>
        <v>1</v>
      </c>
    </row>
    <row r="2196" spans="1:15" x14ac:dyDescent="0.25">
      <c r="A2196" t="s">
        <v>2236</v>
      </c>
      <c r="B2196" s="1">
        <v>45638</v>
      </c>
      <c r="C2196" t="s">
        <v>31</v>
      </c>
      <c r="D2196" t="s">
        <v>34</v>
      </c>
      <c r="E2196" t="s">
        <v>13</v>
      </c>
      <c r="F2196" t="s">
        <v>19</v>
      </c>
      <c r="G2196" t="s">
        <v>23</v>
      </c>
      <c r="K2196" cm="1">
        <f t="array" ref="K2196">_xlfn.SWITCH(LeadsData[[#This Row],[Funnel Stage Reached]],"Lead",1,"MQL",2,"SQL",3,"Customer",4)</f>
        <v>2</v>
      </c>
      <c r="L2196" t="str">
        <f>TEXT(LeadsData[[#This Row],[Signup Date]],"mmm-yyyy")</f>
        <v>Dec-2024</v>
      </c>
      <c r="M2196">
        <f>IF(LeadsData[[#This Row],[Stage Number]]&gt;=2,1,0)</f>
        <v>1</v>
      </c>
      <c r="N2196" s="2">
        <f>IF(LeadsData[[#This Row],[Stage Number]]&gt;=3,1,0)</f>
        <v>0</v>
      </c>
      <c r="O2196" s="2">
        <f>IF(LeadsData[[#This Row],[Stage Number]]&gt;=4,1,0)</f>
        <v>0</v>
      </c>
    </row>
    <row r="2197" spans="1:15" x14ac:dyDescent="0.25">
      <c r="A2197" t="s">
        <v>2237</v>
      </c>
      <c r="B2197" s="1">
        <v>45549</v>
      </c>
      <c r="C2197" t="s">
        <v>25</v>
      </c>
      <c r="D2197" t="s">
        <v>26</v>
      </c>
      <c r="E2197" t="s">
        <v>13</v>
      </c>
      <c r="F2197" t="s">
        <v>19</v>
      </c>
      <c r="G2197" t="s">
        <v>23</v>
      </c>
      <c r="K2197" cm="1">
        <f t="array" ref="K2197">_xlfn.SWITCH(LeadsData[[#This Row],[Funnel Stage Reached]],"Lead",1,"MQL",2,"SQL",3,"Customer",4)</f>
        <v>2</v>
      </c>
      <c r="L2197" t="str">
        <f>TEXT(LeadsData[[#This Row],[Signup Date]],"mmm-yyyy")</f>
        <v>Sep-2024</v>
      </c>
      <c r="M2197">
        <f>IF(LeadsData[[#This Row],[Stage Number]]&gt;=2,1,0)</f>
        <v>1</v>
      </c>
      <c r="N2197" s="2">
        <f>IF(LeadsData[[#This Row],[Stage Number]]&gt;=3,1,0)</f>
        <v>0</v>
      </c>
      <c r="O2197" s="2">
        <f>IF(LeadsData[[#This Row],[Stage Number]]&gt;=4,1,0)</f>
        <v>0</v>
      </c>
    </row>
    <row r="2198" spans="1:15" x14ac:dyDescent="0.25">
      <c r="A2198" t="s">
        <v>2238</v>
      </c>
      <c r="B2198" s="1">
        <v>45518</v>
      </c>
      <c r="C2198" t="s">
        <v>31</v>
      </c>
      <c r="D2198" t="s">
        <v>32</v>
      </c>
      <c r="E2198" t="s">
        <v>13</v>
      </c>
      <c r="F2198" t="s">
        <v>19</v>
      </c>
      <c r="G2198" t="s">
        <v>15</v>
      </c>
      <c r="K2198" cm="1">
        <f t="array" ref="K2198">_xlfn.SWITCH(LeadsData[[#This Row],[Funnel Stage Reached]],"Lead",1,"MQL",2,"SQL",3,"Customer",4)</f>
        <v>1</v>
      </c>
      <c r="L2198" t="str">
        <f>TEXT(LeadsData[[#This Row],[Signup Date]],"mmm-yyyy")</f>
        <v>Aug-2024</v>
      </c>
      <c r="M2198">
        <f>IF(LeadsData[[#This Row],[Stage Number]]&gt;=2,1,0)</f>
        <v>0</v>
      </c>
      <c r="N2198" s="2">
        <f>IF(LeadsData[[#This Row],[Stage Number]]&gt;=3,1,0)</f>
        <v>0</v>
      </c>
      <c r="O2198" s="2">
        <f>IF(LeadsData[[#This Row],[Stage Number]]&gt;=4,1,0)</f>
        <v>0</v>
      </c>
    </row>
    <row r="2199" spans="1:15" x14ac:dyDescent="0.25">
      <c r="A2199" t="s">
        <v>2239</v>
      </c>
      <c r="B2199" s="1">
        <v>45577</v>
      </c>
      <c r="C2199" t="s">
        <v>36</v>
      </c>
      <c r="D2199" t="s">
        <v>37</v>
      </c>
      <c r="E2199" t="s">
        <v>13</v>
      </c>
      <c r="F2199" t="s">
        <v>14</v>
      </c>
      <c r="G2199" t="s">
        <v>29</v>
      </c>
      <c r="K2199" cm="1">
        <f t="array" ref="K2199">_xlfn.SWITCH(LeadsData[[#This Row],[Funnel Stage Reached]],"Lead",1,"MQL",2,"SQL",3,"Customer",4)</f>
        <v>3</v>
      </c>
      <c r="L2199" t="str">
        <f>TEXT(LeadsData[[#This Row],[Signup Date]],"mmm-yyyy")</f>
        <v>Oct-2024</v>
      </c>
      <c r="M2199">
        <f>IF(LeadsData[[#This Row],[Stage Number]]&gt;=2,1,0)</f>
        <v>1</v>
      </c>
      <c r="N2199" s="2">
        <f>IF(LeadsData[[#This Row],[Stage Number]]&gt;=3,1,0)</f>
        <v>1</v>
      </c>
      <c r="O2199" s="2">
        <f>IF(LeadsData[[#This Row],[Stage Number]]&gt;=4,1,0)</f>
        <v>0</v>
      </c>
    </row>
    <row r="2200" spans="1:15" x14ac:dyDescent="0.25">
      <c r="A2200" t="s">
        <v>2240</v>
      </c>
      <c r="B2200" s="1">
        <v>45597</v>
      </c>
      <c r="C2200" t="s">
        <v>36</v>
      </c>
      <c r="D2200" t="s">
        <v>37</v>
      </c>
      <c r="E2200" t="s">
        <v>21</v>
      </c>
      <c r="F2200" t="s">
        <v>19</v>
      </c>
      <c r="G2200" t="s">
        <v>29</v>
      </c>
      <c r="K2200" cm="1">
        <f t="array" ref="K2200">_xlfn.SWITCH(LeadsData[[#This Row],[Funnel Stage Reached]],"Lead",1,"MQL",2,"SQL",3,"Customer",4)</f>
        <v>3</v>
      </c>
      <c r="L2200" t="str">
        <f>TEXT(LeadsData[[#This Row],[Signup Date]],"mmm-yyyy")</f>
        <v>Nov-2024</v>
      </c>
      <c r="M2200">
        <f>IF(LeadsData[[#This Row],[Stage Number]]&gt;=2,1,0)</f>
        <v>1</v>
      </c>
      <c r="N2200" s="2">
        <f>IF(LeadsData[[#This Row],[Stage Number]]&gt;=3,1,0)</f>
        <v>1</v>
      </c>
      <c r="O2200" s="2">
        <f>IF(LeadsData[[#This Row],[Stage Number]]&gt;=4,1,0)</f>
        <v>0</v>
      </c>
    </row>
    <row r="2201" spans="1:15" x14ac:dyDescent="0.25">
      <c r="A2201" t="s">
        <v>2241</v>
      </c>
      <c r="B2201" s="1">
        <v>45467</v>
      </c>
      <c r="C2201" t="s">
        <v>31</v>
      </c>
      <c r="D2201" t="s">
        <v>32</v>
      </c>
      <c r="E2201" t="s">
        <v>13</v>
      </c>
      <c r="F2201" t="s">
        <v>22</v>
      </c>
      <c r="G2201" t="s">
        <v>29</v>
      </c>
      <c r="K2201" cm="1">
        <f t="array" ref="K2201">_xlfn.SWITCH(LeadsData[[#This Row],[Funnel Stage Reached]],"Lead",1,"MQL",2,"SQL",3,"Customer",4)</f>
        <v>3</v>
      </c>
      <c r="L2201" t="str">
        <f>TEXT(LeadsData[[#This Row],[Signup Date]],"mmm-yyyy")</f>
        <v>Jun-2024</v>
      </c>
      <c r="M2201">
        <f>IF(LeadsData[[#This Row],[Stage Number]]&gt;=2,1,0)</f>
        <v>1</v>
      </c>
      <c r="N2201" s="2">
        <f>IF(LeadsData[[#This Row],[Stage Number]]&gt;=3,1,0)</f>
        <v>1</v>
      </c>
      <c r="O2201" s="2">
        <f>IF(LeadsData[[#This Row],[Stage Number]]&gt;=4,1,0)</f>
        <v>0</v>
      </c>
    </row>
    <row r="2202" spans="1:15" x14ac:dyDescent="0.25">
      <c r="A2202" t="s">
        <v>2242</v>
      </c>
      <c r="B2202" s="1">
        <v>45470</v>
      </c>
      <c r="C2202" t="s">
        <v>36</v>
      </c>
      <c r="D2202" t="s">
        <v>50</v>
      </c>
      <c r="E2202" t="s">
        <v>21</v>
      </c>
      <c r="F2202" t="s">
        <v>19</v>
      </c>
      <c r="G2202" t="s">
        <v>23</v>
      </c>
      <c r="K2202" cm="1">
        <f t="array" ref="K2202">_xlfn.SWITCH(LeadsData[[#This Row],[Funnel Stage Reached]],"Lead",1,"MQL",2,"SQL",3,"Customer",4)</f>
        <v>2</v>
      </c>
      <c r="L2202" t="str">
        <f>TEXT(LeadsData[[#This Row],[Signup Date]],"mmm-yyyy")</f>
        <v>Jun-2024</v>
      </c>
      <c r="M2202">
        <f>IF(LeadsData[[#This Row],[Stage Number]]&gt;=2,1,0)</f>
        <v>1</v>
      </c>
      <c r="N2202" s="2">
        <f>IF(LeadsData[[#This Row],[Stage Number]]&gt;=3,1,0)</f>
        <v>0</v>
      </c>
      <c r="O2202" s="2">
        <f>IF(LeadsData[[#This Row],[Stage Number]]&gt;=4,1,0)</f>
        <v>0</v>
      </c>
    </row>
    <row r="2203" spans="1:15" x14ac:dyDescent="0.25">
      <c r="A2203" t="s">
        <v>2243</v>
      </c>
      <c r="B2203" s="1">
        <v>45591</v>
      </c>
      <c r="C2203" t="s">
        <v>36</v>
      </c>
      <c r="D2203" t="s">
        <v>37</v>
      </c>
      <c r="E2203" t="s">
        <v>13</v>
      </c>
      <c r="F2203" t="s">
        <v>19</v>
      </c>
      <c r="G2203" t="s">
        <v>15</v>
      </c>
      <c r="K2203" cm="1">
        <f t="array" ref="K2203">_xlfn.SWITCH(LeadsData[[#This Row],[Funnel Stage Reached]],"Lead",1,"MQL",2,"SQL",3,"Customer",4)</f>
        <v>1</v>
      </c>
      <c r="L2203" t="str">
        <f>TEXT(LeadsData[[#This Row],[Signup Date]],"mmm-yyyy")</f>
        <v>Oct-2024</v>
      </c>
      <c r="M2203">
        <f>IF(LeadsData[[#This Row],[Stage Number]]&gt;=2,1,0)</f>
        <v>0</v>
      </c>
      <c r="N2203" s="2">
        <f>IF(LeadsData[[#This Row],[Stage Number]]&gt;=3,1,0)</f>
        <v>0</v>
      </c>
      <c r="O2203" s="2">
        <f>IF(LeadsData[[#This Row],[Stage Number]]&gt;=4,1,0)</f>
        <v>0</v>
      </c>
    </row>
    <row r="2204" spans="1:15" x14ac:dyDescent="0.25">
      <c r="A2204" t="s">
        <v>2244</v>
      </c>
      <c r="B2204" s="1">
        <v>45465</v>
      </c>
      <c r="C2204" t="s">
        <v>25</v>
      </c>
      <c r="D2204" t="s">
        <v>26</v>
      </c>
      <c r="E2204" t="s">
        <v>13</v>
      </c>
      <c r="F2204" t="s">
        <v>22</v>
      </c>
      <c r="G2204" t="s">
        <v>15</v>
      </c>
      <c r="K2204" cm="1">
        <f t="array" ref="K2204">_xlfn.SWITCH(LeadsData[[#This Row],[Funnel Stage Reached]],"Lead",1,"MQL",2,"SQL",3,"Customer",4)</f>
        <v>1</v>
      </c>
      <c r="L2204" t="str">
        <f>TEXT(LeadsData[[#This Row],[Signup Date]],"mmm-yyyy")</f>
        <v>Jun-2024</v>
      </c>
      <c r="M2204">
        <f>IF(LeadsData[[#This Row],[Stage Number]]&gt;=2,1,0)</f>
        <v>0</v>
      </c>
      <c r="N2204" s="2">
        <f>IF(LeadsData[[#This Row],[Stage Number]]&gt;=3,1,0)</f>
        <v>0</v>
      </c>
      <c r="O2204" s="2">
        <f>IF(LeadsData[[#This Row],[Stage Number]]&gt;=4,1,0)</f>
        <v>0</v>
      </c>
    </row>
    <row r="2205" spans="1:15" x14ac:dyDescent="0.25">
      <c r="A2205" t="s">
        <v>2245</v>
      </c>
      <c r="B2205" s="1">
        <v>45654</v>
      </c>
      <c r="C2205" t="s">
        <v>31</v>
      </c>
      <c r="D2205" t="s">
        <v>34</v>
      </c>
      <c r="E2205" t="s">
        <v>13</v>
      </c>
      <c r="F2205" t="s">
        <v>22</v>
      </c>
      <c r="G2205" t="s">
        <v>15</v>
      </c>
      <c r="K2205" cm="1">
        <f t="array" ref="K2205">_xlfn.SWITCH(LeadsData[[#This Row],[Funnel Stage Reached]],"Lead",1,"MQL",2,"SQL",3,"Customer",4)</f>
        <v>1</v>
      </c>
      <c r="L2205" t="str">
        <f>TEXT(LeadsData[[#This Row],[Signup Date]],"mmm-yyyy")</f>
        <v>Dec-2024</v>
      </c>
      <c r="M2205">
        <f>IF(LeadsData[[#This Row],[Stage Number]]&gt;=2,1,0)</f>
        <v>0</v>
      </c>
      <c r="N2205" s="2">
        <f>IF(LeadsData[[#This Row],[Stage Number]]&gt;=3,1,0)</f>
        <v>0</v>
      </c>
      <c r="O2205" s="2">
        <f>IF(LeadsData[[#This Row],[Stage Number]]&gt;=4,1,0)</f>
        <v>0</v>
      </c>
    </row>
    <row r="2206" spans="1:15" x14ac:dyDescent="0.25">
      <c r="A2206" t="s">
        <v>2246</v>
      </c>
      <c r="B2206" s="1">
        <v>45397</v>
      </c>
      <c r="C2206" t="s">
        <v>31</v>
      </c>
      <c r="D2206" t="s">
        <v>32</v>
      </c>
      <c r="E2206" t="s">
        <v>13</v>
      </c>
      <c r="F2206" t="s">
        <v>22</v>
      </c>
      <c r="G2206" t="s">
        <v>15</v>
      </c>
      <c r="K2206" cm="1">
        <f t="array" ref="K2206">_xlfn.SWITCH(LeadsData[[#This Row],[Funnel Stage Reached]],"Lead",1,"MQL",2,"SQL",3,"Customer",4)</f>
        <v>1</v>
      </c>
      <c r="L2206" t="str">
        <f>TEXT(LeadsData[[#This Row],[Signup Date]],"mmm-yyyy")</f>
        <v>Apr-2024</v>
      </c>
      <c r="M2206">
        <f>IF(LeadsData[[#This Row],[Stage Number]]&gt;=2,1,0)</f>
        <v>0</v>
      </c>
      <c r="N2206" s="2">
        <f>IF(LeadsData[[#This Row],[Stage Number]]&gt;=3,1,0)</f>
        <v>0</v>
      </c>
      <c r="O2206" s="2">
        <f>IF(LeadsData[[#This Row],[Stage Number]]&gt;=4,1,0)</f>
        <v>0</v>
      </c>
    </row>
    <row r="2207" spans="1:15" x14ac:dyDescent="0.25">
      <c r="A2207" t="s">
        <v>2247</v>
      </c>
      <c r="B2207" s="1">
        <v>45550</v>
      </c>
      <c r="C2207" t="s">
        <v>17</v>
      </c>
      <c r="D2207" t="s">
        <v>18</v>
      </c>
      <c r="E2207" t="s">
        <v>21</v>
      </c>
      <c r="F2207" t="s">
        <v>19</v>
      </c>
      <c r="G2207" t="s">
        <v>29</v>
      </c>
      <c r="K2207" cm="1">
        <f t="array" ref="K2207">_xlfn.SWITCH(LeadsData[[#This Row],[Funnel Stage Reached]],"Lead",1,"MQL",2,"SQL",3,"Customer",4)</f>
        <v>3</v>
      </c>
      <c r="L2207" t="str">
        <f>TEXT(LeadsData[[#This Row],[Signup Date]],"mmm-yyyy")</f>
        <v>Sep-2024</v>
      </c>
      <c r="M2207">
        <f>IF(LeadsData[[#This Row],[Stage Number]]&gt;=2,1,0)</f>
        <v>1</v>
      </c>
      <c r="N2207" s="2">
        <f>IF(LeadsData[[#This Row],[Stage Number]]&gt;=3,1,0)</f>
        <v>1</v>
      </c>
      <c r="O2207" s="2">
        <f>IF(LeadsData[[#This Row],[Stage Number]]&gt;=4,1,0)</f>
        <v>0</v>
      </c>
    </row>
    <row r="2208" spans="1:15" x14ac:dyDescent="0.25">
      <c r="A2208" t="s">
        <v>2248</v>
      </c>
      <c r="B2208" s="1">
        <v>45342</v>
      </c>
      <c r="C2208" t="s">
        <v>31</v>
      </c>
      <c r="D2208" t="s">
        <v>34</v>
      </c>
      <c r="E2208" t="s">
        <v>13</v>
      </c>
      <c r="F2208" t="s">
        <v>22</v>
      </c>
      <c r="G2208" t="s">
        <v>42</v>
      </c>
      <c r="H2208">
        <v>75</v>
      </c>
      <c r="I2208" t="s">
        <v>43</v>
      </c>
      <c r="J2208">
        <v>1472.33</v>
      </c>
      <c r="K2208" cm="1">
        <f t="array" ref="K2208">_xlfn.SWITCH(LeadsData[[#This Row],[Funnel Stage Reached]],"Lead",1,"MQL",2,"SQL",3,"Customer",4)</f>
        <v>4</v>
      </c>
      <c r="L2208" t="str">
        <f>TEXT(LeadsData[[#This Row],[Signup Date]],"mmm-yyyy")</f>
        <v>Feb-2024</v>
      </c>
      <c r="M2208">
        <f>IF(LeadsData[[#This Row],[Stage Number]]&gt;=2,1,0)</f>
        <v>1</v>
      </c>
      <c r="N2208" s="2">
        <f>IF(LeadsData[[#This Row],[Stage Number]]&gt;=3,1,0)</f>
        <v>1</v>
      </c>
      <c r="O2208" s="2">
        <f>IF(LeadsData[[#This Row],[Stage Number]]&gt;=4,1,0)</f>
        <v>1</v>
      </c>
    </row>
    <row r="2209" spans="1:15" x14ac:dyDescent="0.25">
      <c r="A2209" t="s">
        <v>2249</v>
      </c>
      <c r="B2209" s="1">
        <v>45332</v>
      </c>
      <c r="C2209" t="s">
        <v>36</v>
      </c>
      <c r="D2209" t="s">
        <v>50</v>
      </c>
      <c r="E2209" t="s">
        <v>13</v>
      </c>
      <c r="F2209" t="s">
        <v>14</v>
      </c>
      <c r="G2209" t="s">
        <v>42</v>
      </c>
      <c r="H2209">
        <v>75</v>
      </c>
      <c r="I2209" t="s">
        <v>43</v>
      </c>
      <c r="J2209">
        <v>1046.42</v>
      </c>
      <c r="K2209" cm="1">
        <f t="array" ref="K2209">_xlfn.SWITCH(LeadsData[[#This Row],[Funnel Stage Reached]],"Lead",1,"MQL",2,"SQL",3,"Customer",4)</f>
        <v>4</v>
      </c>
      <c r="L2209" t="str">
        <f>TEXT(LeadsData[[#This Row],[Signup Date]],"mmm-yyyy")</f>
        <v>Feb-2024</v>
      </c>
      <c r="M2209">
        <f>IF(LeadsData[[#This Row],[Stage Number]]&gt;=2,1,0)</f>
        <v>1</v>
      </c>
      <c r="N2209" s="2">
        <f>IF(LeadsData[[#This Row],[Stage Number]]&gt;=3,1,0)</f>
        <v>1</v>
      </c>
      <c r="O2209" s="2">
        <f>IF(LeadsData[[#This Row],[Stage Number]]&gt;=4,1,0)</f>
        <v>1</v>
      </c>
    </row>
    <row r="2210" spans="1:15" x14ac:dyDescent="0.25">
      <c r="A2210" t="s">
        <v>2250</v>
      </c>
      <c r="B2210" s="1">
        <v>45569</v>
      </c>
      <c r="C2210" t="s">
        <v>11</v>
      </c>
      <c r="D2210" t="s">
        <v>68</v>
      </c>
      <c r="E2210" t="s">
        <v>13</v>
      </c>
      <c r="F2210" t="s">
        <v>14</v>
      </c>
      <c r="G2210" t="s">
        <v>23</v>
      </c>
      <c r="K2210" cm="1">
        <f t="array" ref="K2210">_xlfn.SWITCH(LeadsData[[#This Row],[Funnel Stage Reached]],"Lead",1,"MQL",2,"SQL",3,"Customer",4)</f>
        <v>2</v>
      </c>
      <c r="L2210" t="str">
        <f>TEXT(LeadsData[[#This Row],[Signup Date]],"mmm-yyyy")</f>
        <v>Oct-2024</v>
      </c>
      <c r="M2210">
        <f>IF(LeadsData[[#This Row],[Stage Number]]&gt;=2,1,0)</f>
        <v>1</v>
      </c>
      <c r="N2210" s="2">
        <f>IF(LeadsData[[#This Row],[Stage Number]]&gt;=3,1,0)</f>
        <v>0</v>
      </c>
      <c r="O2210" s="2">
        <f>IF(LeadsData[[#This Row],[Stage Number]]&gt;=4,1,0)</f>
        <v>0</v>
      </c>
    </row>
    <row r="2211" spans="1:15" x14ac:dyDescent="0.25">
      <c r="A2211" t="s">
        <v>2251</v>
      </c>
      <c r="B2211" s="1">
        <v>45480</v>
      </c>
      <c r="C2211" t="s">
        <v>17</v>
      </c>
      <c r="D2211" t="s">
        <v>18</v>
      </c>
      <c r="E2211" t="s">
        <v>21</v>
      </c>
      <c r="F2211" t="s">
        <v>19</v>
      </c>
      <c r="G2211" t="s">
        <v>15</v>
      </c>
      <c r="K2211" cm="1">
        <f t="array" ref="K2211">_xlfn.SWITCH(LeadsData[[#This Row],[Funnel Stage Reached]],"Lead",1,"MQL",2,"SQL",3,"Customer",4)</f>
        <v>1</v>
      </c>
      <c r="L2211" t="str">
        <f>TEXT(LeadsData[[#This Row],[Signup Date]],"mmm-yyyy")</f>
        <v>Jul-2024</v>
      </c>
      <c r="M2211">
        <f>IF(LeadsData[[#This Row],[Stage Number]]&gt;=2,1,0)</f>
        <v>0</v>
      </c>
      <c r="N2211" s="2">
        <f>IF(LeadsData[[#This Row],[Stage Number]]&gt;=3,1,0)</f>
        <v>0</v>
      </c>
      <c r="O2211" s="2">
        <f>IF(LeadsData[[#This Row],[Stage Number]]&gt;=4,1,0)</f>
        <v>0</v>
      </c>
    </row>
    <row r="2212" spans="1:15" x14ac:dyDescent="0.25">
      <c r="A2212" t="s">
        <v>2252</v>
      </c>
      <c r="B2212" s="1">
        <v>45578</v>
      </c>
      <c r="C2212" t="s">
        <v>17</v>
      </c>
      <c r="D2212" t="s">
        <v>18</v>
      </c>
      <c r="E2212" t="s">
        <v>21</v>
      </c>
      <c r="F2212" t="s">
        <v>14</v>
      </c>
      <c r="G2212" t="s">
        <v>29</v>
      </c>
      <c r="K2212" cm="1">
        <f t="array" ref="K2212">_xlfn.SWITCH(LeadsData[[#This Row],[Funnel Stage Reached]],"Lead",1,"MQL",2,"SQL",3,"Customer",4)</f>
        <v>3</v>
      </c>
      <c r="L2212" t="str">
        <f>TEXT(LeadsData[[#This Row],[Signup Date]],"mmm-yyyy")</f>
        <v>Oct-2024</v>
      </c>
      <c r="M2212">
        <f>IF(LeadsData[[#This Row],[Stage Number]]&gt;=2,1,0)</f>
        <v>1</v>
      </c>
      <c r="N2212" s="2">
        <f>IF(LeadsData[[#This Row],[Stage Number]]&gt;=3,1,0)</f>
        <v>1</v>
      </c>
      <c r="O2212" s="2">
        <f>IF(LeadsData[[#This Row],[Stage Number]]&gt;=4,1,0)</f>
        <v>0</v>
      </c>
    </row>
    <row r="2213" spans="1:15" x14ac:dyDescent="0.25">
      <c r="A2213" t="s">
        <v>2253</v>
      </c>
      <c r="B2213" s="1">
        <v>45292</v>
      </c>
      <c r="C2213" t="s">
        <v>11</v>
      </c>
      <c r="D2213" t="s">
        <v>79</v>
      </c>
      <c r="E2213" t="s">
        <v>21</v>
      </c>
      <c r="F2213" t="s">
        <v>22</v>
      </c>
      <c r="G2213" t="s">
        <v>15</v>
      </c>
      <c r="K2213" cm="1">
        <f t="array" ref="K2213">_xlfn.SWITCH(LeadsData[[#This Row],[Funnel Stage Reached]],"Lead",1,"MQL",2,"SQL",3,"Customer",4)</f>
        <v>1</v>
      </c>
      <c r="L2213" t="str">
        <f>TEXT(LeadsData[[#This Row],[Signup Date]],"mmm-yyyy")</f>
        <v>Jan-2024</v>
      </c>
      <c r="M2213">
        <f>IF(LeadsData[[#This Row],[Stage Number]]&gt;=2,1,0)</f>
        <v>0</v>
      </c>
      <c r="N2213" s="2">
        <f>IF(LeadsData[[#This Row],[Stage Number]]&gt;=3,1,0)</f>
        <v>0</v>
      </c>
      <c r="O2213" s="2">
        <f>IF(LeadsData[[#This Row],[Stage Number]]&gt;=4,1,0)</f>
        <v>0</v>
      </c>
    </row>
    <row r="2214" spans="1:15" x14ac:dyDescent="0.25">
      <c r="A2214" t="s">
        <v>2254</v>
      </c>
      <c r="B2214" s="1">
        <v>45378</v>
      </c>
      <c r="C2214" t="s">
        <v>31</v>
      </c>
      <c r="D2214" t="s">
        <v>34</v>
      </c>
      <c r="E2214" t="s">
        <v>13</v>
      </c>
      <c r="F2214" t="s">
        <v>19</v>
      </c>
      <c r="G2214" t="s">
        <v>42</v>
      </c>
      <c r="H2214">
        <v>61</v>
      </c>
      <c r="I2214" t="s">
        <v>87</v>
      </c>
      <c r="J2214">
        <v>3166.89</v>
      </c>
      <c r="K2214" cm="1">
        <f t="array" ref="K2214">_xlfn.SWITCH(LeadsData[[#This Row],[Funnel Stage Reached]],"Lead",1,"MQL",2,"SQL",3,"Customer",4)</f>
        <v>4</v>
      </c>
      <c r="L2214" t="str">
        <f>TEXT(LeadsData[[#This Row],[Signup Date]],"mmm-yyyy")</f>
        <v>Mar-2024</v>
      </c>
      <c r="M2214">
        <f>IF(LeadsData[[#This Row],[Stage Number]]&gt;=2,1,0)</f>
        <v>1</v>
      </c>
      <c r="N2214" s="2">
        <f>IF(LeadsData[[#This Row],[Stage Number]]&gt;=3,1,0)</f>
        <v>1</v>
      </c>
      <c r="O2214" s="2">
        <f>IF(LeadsData[[#This Row],[Stage Number]]&gt;=4,1,0)</f>
        <v>1</v>
      </c>
    </row>
    <row r="2215" spans="1:15" x14ac:dyDescent="0.25">
      <c r="A2215" t="s">
        <v>2255</v>
      </c>
      <c r="B2215" s="1">
        <v>45345</v>
      </c>
      <c r="C2215" t="s">
        <v>17</v>
      </c>
      <c r="D2215" t="s">
        <v>53</v>
      </c>
      <c r="E2215" t="s">
        <v>13</v>
      </c>
      <c r="F2215" t="s">
        <v>19</v>
      </c>
      <c r="G2215" t="s">
        <v>29</v>
      </c>
      <c r="K2215" cm="1">
        <f t="array" ref="K2215">_xlfn.SWITCH(LeadsData[[#This Row],[Funnel Stage Reached]],"Lead",1,"MQL",2,"SQL",3,"Customer",4)</f>
        <v>3</v>
      </c>
      <c r="L2215" t="str">
        <f>TEXT(LeadsData[[#This Row],[Signup Date]],"mmm-yyyy")</f>
        <v>Feb-2024</v>
      </c>
      <c r="M2215">
        <f>IF(LeadsData[[#This Row],[Stage Number]]&gt;=2,1,0)</f>
        <v>1</v>
      </c>
      <c r="N2215" s="2">
        <f>IF(LeadsData[[#This Row],[Stage Number]]&gt;=3,1,0)</f>
        <v>1</v>
      </c>
      <c r="O2215" s="2">
        <f>IF(LeadsData[[#This Row],[Stage Number]]&gt;=4,1,0)</f>
        <v>0</v>
      </c>
    </row>
    <row r="2216" spans="1:15" x14ac:dyDescent="0.25">
      <c r="A2216" t="s">
        <v>2256</v>
      </c>
      <c r="B2216" s="1">
        <v>45299</v>
      </c>
      <c r="C2216" t="s">
        <v>46</v>
      </c>
      <c r="D2216" t="s">
        <v>47</v>
      </c>
      <c r="E2216" t="s">
        <v>21</v>
      </c>
      <c r="F2216" t="s">
        <v>19</v>
      </c>
      <c r="G2216" t="s">
        <v>15</v>
      </c>
      <c r="K2216" cm="1">
        <f t="array" ref="K2216">_xlfn.SWITCH(LeadsData[[#This Row],[Funnel Stage Reached]],"Lead",1,"MQL",2,"SQL",3,"Customer",4)</f>
        <v>1</v>
      </c>
      <c r="L2216" t="str">
        <f>TEXT(LeadsData[[#This Row],[Signup Date]],"mmm-yyyy")</f>
        <v>Jan-2024</v>
      </c>
      <c r="M2216">
        <f>IF(LeadsData[[#This Row],[Stage Number]]&gt;=2,1,0)</f>
        <v>0</v>
      </c>
      <c r="N2216" s="2">
        <f>IF(LeadsData[[#This Row],[Stage Number]]&gt;=3,1,0)</f>
        <v>0</v>
      </c>
      <c r="O2216" s="2">
        <f>IF(LeadsData[[#This Row],[Stage Number]]&gt;=4,1,0)</f>
        <v>0</v>
      </c>
    </row>
    <row r="2217" spans="1:15" x14ac:dyDescent="0.25">
      <c r="A2217" t="s">
        <v>2257</v>
      </c>
      <c r="B2217" s="1">
        <v>45378</v>
      </c>
      <c r="C2217" t="s">
        <v>31</v>
      </c>
      <c r="D2217" t="s">
        <v>32</v>
      </c>
      <c r="E2217" t="s">
        <v>13</v>
      </c>
      <c r="F2217" t="s">
        <v>19</v>
      </c>
      <c r="G2217" t="s">
        <v>42</v>
      </c>
      <c r="H2217">
        <v>20</v>
      </c>
      <c r="I2217" t="s">
        <v>43</v>
      </c>
      <c r="J2217">
        <v>913.02</v>
      </c>
      <c r="K2217" cm="1">
        <f t="array" ref="K2217">_xlfn.SWITCH(LeadsData[[#This Row],[Funnel Stage Reached]],"Lead",1,"MQL",2,"SQL",3,"Customer",4)</f>
        <v>4</v>
      </c>
      <c r="L2217" t="str">
        <f>TEXT(LeadsData[[#This Row],[Signup Date]],"mmm-yyyy")</f>
        <v>Mar-2024</v>
      </c>
      <c r="M2217">
        <f>IF(LeadsData[[#This Row],[Stage Number]]&gt;=2,1,0)</f>
        <v>1</v>
      </c>
      <c r="N2217" s="2">
        <f>IF(LeadsData[[#This Row],[Stage Number]]&gt;=3,1,0)</f>
        <v>1</v>
      </c>
      <c r="O2217" s="2">
        <f>IF(LeadsData[[#This Row],[Stage Number]]&gt;=4,1,0)</f>
        <v>1</v>
      </c>
    </row>
    <row r="2218" spans="1:15" x14ac:dyDescent="0.25">
      <c r="A2218" t="s">
        <v>2258</v>
      </c>
      <c r="B2218" s="1">
        <v>45417</v>
      </c>
      <c r="C2218" t="s">
        <v>36</v>
      </c>
      <c r="D2218" t="s">
        <v>50</v>
      </c>
      <c r="E2218" t="s">
        <v>13</v>
      </c>
      <c r="F2218" t="s">
        <v>19</v>
      </c>
      <c r="G2218" t="s">
        <v>29</v>
      </c>
      <c r="K2218" cm="1">
        <f t="array" ref="K2218">_xlfn.SWITCH(LeadsData[[#This Row],[Funnel Stage Reached]],"Lead",1,"MQL",2,"SQL",3,"Customer",4)</f>
        <v>3</v>
      </c>
      <c r="L2218" t="str">
        <f>TEXT(LeadsData[[#This Row],[Signup Date]],"mmm-yyyy")</f>
        <v>May-2024</v>
      </c>
      <c r="M2218">
        <f>IF(LeadsData[[#This Row],[Stage Number]]&gt;=2,1,0)</f>
        <v>1</v>
      </c>
      <c r="N2218" s="2">
        <f>IF(LeadsData[[#This Row],[Stage Number]]&gt;=3,1,0)</f>
        <v>1</v>
      </c>
      <c r="O2218" s="2">
        <f>IF(LeadsData[[#This Row],[Stage Number]]&gt;=4,1,0)</f>
        <v>0</v>
      </c>
    </row>
    <row r="2219" spans="1:15" x14ac:dyDescent="0.25">
      <c r="A2219" t="s">
        <v>2259</v>
      </c>
      <c r="B2219" s="1">
        <v>45637</v>
      </c>
      <c r="C2219" t="s">
        <v>31</v>
      </c>
      <c r="D2219" t="s">
        <v>32</v>
      </c>
      <c r="E2219" t="s">
        <v>13</v>
      </c>
      <c r="F2219" t="s">
        <v>14</v>
      </c>
      <c r="G2219" t="s">
        <v>23</v>
      </c>
      <c r="K2219" cm="1">
        <f t="array" ref="K2219">_xlfn.SWITCH(LeadsData[[#This Row],[Funnel Stage Reached]],"Lead",1,"MQL",2,"SQL",3,"Customer",4)</f>
        <v>2</v>
      </c>
      <c r="L2219" t="str">
        <f>TEXT(LeadsData[[#This Row],[Signup Date]],"mmm-yyyy")</f>
        <v>Dec-2024</v>
      </c>
      <c r="M2219">
        <f>IF(LeadsData[[#This Row],[Stage Number]]&gt;=2,1,0)</f>
        <v>1</v>
      </c>
      <c r="N2219" s="2">
        <f>IF(LeadsData[[#This Row],[Stage Number]]&gt;=3,1,0)</f>
        <v>0</v>
      </c>
      <c r="O2219" s="2">
        <f>IF(LeadsData[[#This Row],[Stage Number]]&gt;=4,1,0)</f>
        <v>0</v>
      </c>
    </row>
    <row r="2220" spans="1:15" x14ac:dyDescent="0.25">
      <c r="A2220" t="s">
        <v>2260</v>
      </c>
      <c r="B2220" s="1">
        <v>45404</v>
      </c>
      <c r="C2220" t="s">
        <v>36</v>
      </c>
      <c r="D2220" t="s">
        <v>50</v>
      </c>
      <c r="E2220" t="s">
        <v>21</v>
      </c>
      <c r="F2220" t="s">
        <v>14</v>
      </c>
      <c r="G2220" t="s">
        <v>29</v>
      </c>
      <c r="K2220" cm="1">
        <f t="array" ref="K2220">_xlfn.SWITCH(LeadsData[[#This Row],[Funnel Stage Reached]],"Lead",1,"MQL",2,"SQL",3,"Customer",4)</f>
        <v>3</v>
      </c>
      <c r="L2220" t="str">
        <f>TEXT(LeadsData[[#This Row],[Signup Date]],"mmm-yyyy")</f>
        <v>Apr-2024</v>
      </c>
      <c r="M2220">
        <f>IF(LeadsData[[#This Row],[Stage Number]]&gt;=2,1,0)</f>
        <v>1</v>
      </c>
      <c r="N2220" s="2">
        <f>IF(LeadsData[[#This Row],[Stage Number]]&gt;=3,1,0)</f>
        <v>1</v>
      </c>
      <c r="O2220" s="2">
        <f>IF(LeadsData[[#This Row],[Stage Number]]&gt;=4,1,0)</f>
        <v>0</v>
      </c>
    </row>
    <row r="2221" spans="1:15" x14ac:dyDescent="0.25">
      <c r="A2221" t="s">
        <v>2261</v>
      </c>
      <c r="B2221" s="1">
        <v>45598</v>
      </c>
      <c r="C2221" t="s">
        <v>36</v>
      </c>
      <c r="D2221" t="s">
        <v>50</v>
      </c>
      <c r="E2221" t="s">
        <v>13</v>
      </c>
      <c r="F2221" t="s">
        <v>19</v>
      </c>
      <c r="G2221" t="s">
        <v>15</v>
      </c>
      <c r="K2221" cm="1">
        <f t="array" ref="K2221">_xlfn.SWITCH(LeadsData[[#This Row],[Funnel Stage Reached]],"Lead",1,"MQL",2,"SQL",3,"Customer",4)</f>
        <v>1</v>
      </c>
      <c r="L2221" t="str">
        <f>TEXT(LeadsData[[#This Row],[Signup Date]],"mmm-yyyy")</f>
        <v>Nov-2024</v>
      </c>
      <c r="M2221">
        <f>IF(LeadsData[[#This Row],[Stage Number]]&gt;=2,1,0)</f>
        <v>0</v>
      </c>
      <c r="N2221" s="2">
        <f>IF(LeadsData[[#This Row],[Stage Number]]&gt;=3,1,0)</f>
        <v>0</v>
      </c>
      <c r="O2221" s="2">
        <f>IF(LeadsData[[#This Row],[Stage Number]]&gt;=4,1,0)</f>
        <v>0</v>
      </c>
    </row>
    <row r="2222" spans="1:15" x14ac:dyDescent="0.25">
      <c r="A2222" t="s">
        <v>2262</v>
      </c>
      <c r="B2222" s="1">
        <v>45516</v>
      </c>
      <c r="C2222" t="s">
        <v>17</v>
      </c>
      <c r="D2222" t="s">
        <v>18</v>
      </c>
      <c r="E2222" t="s">
        <v>13</v>
      </c>
      <c r="F2222" t="s">
        <v>19</v>
      </c>
      <c r="G2222" t="s">
        <v>23</v>
      </c>
      <c r="K2222" cm="1">
        <f t="array" ref="K2222">_xlfn.SWITCH(LeadsData[[#This Row],[Funnel Stage Reached]],"Lead",1,"MQL",2,"SQL",3,"Customer",4)</f>
        <v>2</v>
      </c>
      <c r="L2222" t="str">
        <f>TEXT(LeadsData[[#This Row],[Signup Date]],"mmm-yyyy")</f>
        <v>Aug-2024</v>
      </c>
      <c r="M2222">
        <f>IF(LeadsData[[#This Row],[Stage Number]]&gt;=2,1,0)</f>
        <v>1</v>
      </c>
      <c r="N2222" s="2">
        <f>IF(LeadsData[[#This Row],[Stage Number]]&gt;=3,1,0)</f>
        <v>0</v>
      </c>
      <c r="O2222" s="2">
        <f>IF(LeadsData[[#This Row],[Stage Number]]&gt;=4,1,0)</f>
        <v>0</v>
      </c>
    </row>
    <row r="2223" spans="1:15" x14ac:dyDescent="0.25">
      <c r="A2223" t="s">
        <v>2263</v>
      </c>
      <c r="B2223" s="1">
        <v>45601</v>
      </c>
      <c r="C2223" t="s">
        <v>11</v>
      </c>
      <c r="D2223" t="s">
        <v>12</v>
      </c>
      <c r="E2223" t="s">
        <v>13</v>
      </c>
      <c r="F2223" t="s">
        <v>19</v>
      </c>
      <c r="G2223" t="s">
        <v>15</v>
      </c>
      <c r="K2223" cm="1">
        <f t="array" ref="K2223">_xlfn.SWITCH(LeadsData[[#This Row],[Funnel Stage Reached]],"Lead",1,"MQL",2,"SQL",3,"Customer",4)</f>
        <v>1</v>
      </c>
      <c r="L2223" t="str">
        <f>TEXT(LeadsData[[#This Row],[Signup Date]],"mmm-yyyy")</f>
        <v>Nov-2024</v>
      </c>
      <c r="M2223">
        <f>IF(LeadsData[[#This Row],[Stage Number]]&gt;=2,1,0)</f>
        <v>0</v>
      </c>
      <c r="N2223" s="2">
        <f>IF(LeadsData[[#This Row],[Stage Number]]&gt;=3,1,0)</f>
        <v>0</v>
      </c>
      <c r="O2223" s="2">
        <f>IF(LeadsData[[#This Row],[Stage Number]]&gt;=4,1,0)</f>
        <v>0</v>
      </c>
    </row>
    <row r="2224" spans="1:15" x14ac:dyDescent="0.25">
      <c r="A2224" t="s">
        <v>2264</v>
      </c>
      <c r="B2224" s="1">
        <v>45370</v>
      </c>
      <c r="C2224" t="s">
        <v>17</v>
      </c>
      <c r="D2224" t="s">
        <v>18</v>
      </c>
      <c r="E2224" t="s">
        <v>13</v>
      </c>
      <c r="F2224" t="s">
        <v>19</v>
      </c>
      <c r="G2224" t="s">
        <v>23</v>
      </c>
      <c r="K2224" cm="1">
        <f t="array" ref="K2224">_xlfn.SWITCH(LeadsData[[#This Row],[Funnel Stage Reached]],"Lead",1,"MQL",2,"SQL",3,"Customer",4)</f>
        <v>2</v>
      </c>
      <c r="L2224" t="str">
        <f>TEXT(LeadsData[[#This Row],[Signup Date]],"mmm-yyyy")</f>
        <v>Mar-2024</v>
      </c>
      <c r="M2224">
        <f>IF(LeadsData[[#This Row],[Stage Number]]&gt;=2,1,0)</f>
        <v>1</v>
      </c>
      <c r="N2224" s="2">
        <f>IF(LeadsData[[#This Row],[Stage Number]]&gt;=3,1,0)</f>
        <v>0</v>
      </c>
      <c r="O2224" s="2">
        <f>IF(LeadsData[[#This Row],[Stage Number]]&gt;=4,1,0)</f>
        <v>0</v>
      </c>
    </row>
    <row r="2225" spans="1:15" x14ac:dyDescent="0.25">
      <c r="A2225" t="s">
        <v>2265</v>
      </c>
      <c r="B2225" s="1">
        <v>45341</v>
      </c>
      <c r="C2225" t="s">
        <v>31</v>
      </c>
      <c r="D2225" t="s">
        <v>32</v>
      </c>
      <c r="E2225" t="s">
        <v>21</v>
      </c>
      <c r="F2225" t="s">
        <v>22</v>
      </c>
      <c r="G2225" t="s">
        <v>29</v>
      </c>
      <c r="K2225" cm="1">
        <f t="array" ref="K2225">_xlfn.SWITCH(LeadsData[[#This Row],[Funnel Stage Reached]],"Lead",1,"MQL",2,"SQL",3,"Customer",4)</f>
        <v>3</v>
      </c>
      <c r="L2225" t="str">
        <f>TEXT(LeadsData[[#This Row],[Signup Date]],"mmm-yyyy")</f>
        <v>Feb-2024</v>
      </c>
      <c r="M2225">
        <f>IF(LeadsData[[#This Row],[Stage Number]]&gt;=2,1,0)</f>
        <v>1</v>
      </c>
      <c r="N2225" s="2">
        <f>IF(LeadsData[[#This Row],[Stage Number]]&gt;=3,1,0)</f>
        <v>1</v>
      </c>
      <c r="O2225" s="2">
        <f>IF(LeadsData[[#This Row],[Stage Number]]&gt;=4,1,0)</f>
        <v>0</v>
      </c>
    </row>
    <row r="2226" spans="1:15" x14ac:dyDescent="0.25">
      <c r="A2226" t="s">
        <v>2266</v>
      </c>
      <c r="B2226" s="1">
        <v>45396</v>
      </c>
      <c r="C2226" t="s">
        <v>46</v>
      </c>
      <c r="D2226" t="s">
        <v>47</v>
      </c>
      <c r="E2226" t="s">
        <v>21</v>
      </c>
      <c r="F2226" t="s">
        <v>19</v>
      </c>
      <c r="G2226" t="s">
        <v>15</v>
      </c>
      <c r="K2226" cm="1">
        <f t="array" ref="K2226">_xlfn.SWITCH(LeadsData[[#This Row],[Funnel Stage Reached]],"Lead",1,"MQL",2,"SQL",3,"Customer",4)</f>
        <v>1</v>
      </c>
      <c r="L2226" t="str">
        <f>TEXT(LeadsData[[#This Row],[Signup Date]],"mmm-yyyy")</f>
        <v>Apr-2024</v>
      </c>
      <c r="M2226">
        <f>IF(LeadsData[[#This Row],[Stage Number]]&gt;=2,1,0)</f>
        <v>0</v>
      </c>
      <c r="N2226" s="2">
        <f>IF(LeadsData[[#This Row],[Stage Number]]&gt;=3,1,0)</f>
        <v>0</v>
      </c>
      <c r="O2226" s="2">
        <f>IF(LeadsData[[#This Row],[Stage Number]]&gt;=4,1,0)</f>
        <v>0</v>
      </c>
    </row>
    <row r="2227" spans="1:15" x14ac:dyDescent="0.25">
      <c r="A2227" t="s">
        <v>2267</v>
      </c>
      <c r="B2227" s="1">
        <v>45348</v>
      </c>
      <c r="C2227" t="s">
        <v>11</v>
      </c>
      <c r="D2227" t="s">
        <v>68</v>
      </c>
      <c r="E2227" t="s">
        <v>13</v>
      </c>
      <c r="F2227" t="s">
        <v>22</v>
      </c>
      <c r="G2227" t="s">
        <v>15</v>
      </c>
      <c r="K2227" cm="1">
        <f t="array" ref="K2227">_xlfn.SWITCH(LeadsData[[#This Row],[Funnel Stage Reached]],"Lead",1,"MQL",2,"SQL",3,"Customer",4)</f>
        <v>1</v>
      </c>
      <c r="L2227" t="str">
        <f>TEXT(LeadsData[[#This Row],[Signup Date]],"mmm-yyyy")</f>
        <v>Feb-2024</v>
      </c>
      <c r="M2227">
        <f>IF(LeadsData[[#This Row],[Stage Number]]&gt;=2,1,0)</f>
        <v>0</v>
      </c>
      <c r="N2227" s="2">
        <f>IF(LeadsData[[#This Row],[Stage Number]]&gt;=3,1,0)</f>
        <v>0</v>
      </c>
      <c r="O2227" s="2">
        <f>IF(LeadsData[[#This Row],[Stage Number]]&gt;=4,1,0)</f>
        <v>0</v>
      </c>
    </row>
    <row r="2228" spans="1:15" x14ac:dyDescent="0.25">
      <c r="A2228" t="s">
        <v>2268</v>
      </c>
      <c r="B2228" s="1">
        <v>45603</v>
      </c>
      <c r="C2228" t="s">
        <v>46</v>
      </c>
      <c r="D2228" t="s">
        <v>47</v>
      </c>
      <c r="E2228" t="s">
        <v>13</v>
      </c>
      <c r="F2228" t="s">
        <v>19</v>
      </c>
      <c r="G2228" t="s">
        <v>15</v>
      </c>
      <c r="K2228" cm="1">
        <f t="array" ref="K2228">_xlfn.SWITCH(LeadsData[[#This Row],[Funnel Stage Reached]],"Lead",1,"MQL",2,"SQL",3,"Customer",4)</f>
        <v>1</v>
      </c>
      <c r="L2228" t="str">
        <f>TEXT(LeadsData[[#This Row],[Signup Date]],"mmm-yyyy")</f>
        <v>Nov-2024</v>
      </c>
      <c r="M2228">
        <f>IF(LeadsData[[#This Row],[Stage Number]]&gt;=2,1,0)</f>
        <v>0</v>
      </c>
      <c r="N2228" s="2">
        <f>IF(LeadsData[[#This Row],[Stage Number]]&gt;=3,1,0)</f>
        <v>0</v>
      </c>
      <c r="O2228" s="2">
        <f>IF(LeadsData[[#This Row],[Stage Number]]&gt;=4,1,0)</f>
        <v>0</v>
      </c>
    </row>
    <row r="2229" spans="1:15" x14ac:dyDescent="0.25">
      <c r="A2229" t="s">
        <v>2269</v>
      </c>
      <c r="B2229" s="1">
        <v>45563</v>
      </c>
      <c r="C2229" t="s">
        <v>31</v>
      </c>
      <c r="D2229" t="s">
        <v>34</v>
      </c>
      <c r="E2229" t="s">
        <v>21</v>
      </c>
      <c r="F2229" t="s">
        <v>14</v>
      </c>
      <c r="G2229" t="s">
        <v>15</v>
      </c>
      <c r="K2229" cm="1">
        <f t="array" ref="K2229">_xlfn.SWITCH(LeadsData[[#This Row],[Funnel Stage Reached]],"Lead",1,"MQL",2,"SQL",3,"Customer",4)</f>
        <v>1</v>
      </c>
      <c r="L2229" t="str">
        <f>TEXT(LeadsData[[#This Row],[Signup Date]],"mmm-yyyy")</f>
        <v>Sep-2024</v>
      </c>
      <c r="M2229">
        <f>IF(LeadsData[[#This Row],[Stage Number]]&gt;=2,1,0)</f>
        <v>0</v>
      </c>
      <c r="N2229" s="2">
        <f>IF(LeadsData[[#This Row],[Stage Number]]&gt;=3,1,0)</f>
        <v>0</v>
      </c>
      <c r="O2229" s="2">
        <f>IF(LeadsData[[#This Row],[Stage Number]]&gt;=4,1,0)</f>
        <v>0</v>
      </c>
    </row>
    <row r="2230" spans="1:15" x14ac:dyDescent="0.25">
      <c r="A2230" t="s">
        <v>2270</v>
      </c>
      <c r="B2230" s="1">
        <v>45323</v>
      </c>
      <c r="C2230" t="s">
        <v>25</v>
      </c>
      <c r="D2230" t="s">
        <v>26</v>
      </c>
      <c r="E2230" t="s">
        <v>13</v>
      </c>
      <c r="F2230" t="s">
        <v>22</v>
      </c>
      <c r="G2230" t="s">
        <v>15</v>
      </c>
      <c r="K2230" cm="1">
        <f t="array" ref="K2230">_xlfn.SWITCH(LeadsData[[#This Row],[Funnel Stage Reached]],"Lead",1,"MQL",2,"SQL",3,"Customer",4)</f>
        <v>1</v>
      </c>
      <c r="L2230" t="str">
        <f>TEXT(LeadsData[[#This Row],[Signup Date]],"mmm-yyyy")</f>
        <v>Feb-2024</v>
      </c>
      <c r="M2230">
        <f>IF(LeadsData[[#This Row],[Stage Number]]&gt;=2,1,0)</f>
        <v>0</v>
      </c>
      <c r="N2230" s="2">
        <f>IF(LeadsData[[#This Row],[Stage Number]]&gt;=3,1,0)</f>
        <v>0</v>
      </c>
      <c r="O2230" s="2">
        <f>IF(LeadsData[[#This Row],[Stage Number]]&gt;=4,1,0)</f>
        <v>0</v>
      </c>
    </row>
    <row r="2231" spans="1:15" x14ac:dyDescent="0.25">
      <c r="A2231" t="s">
        <v>2271</v>
      </c>
      <c r="B2231" s="1">
        <v>45624</v>
      </c>
      <c r="C2231" t="s">
        <v>46</v>
      </c>
      <c r="D2231" t="s">
        <v>56</v>
      </c>
      <c r="E2231" t="s">
        <v>13</v>
      </c>
      <c r="F2231" t="s">
        <v>14</v>
      </c>
      <c r="G2231" t="s">
        <v>15</v>
      </c>
      <c r="K2231" cm="1">
        <f t="array" ref="K2231">_xlfn.SWITCH(LeadsData[[#This Row],[Funnel Stage Reached]],"Lead",1,"MQL",2,"SQL",3,"Customer",4)</f>
        <v>1</v>
      </c>
      <c r="L2231" t="str">
        <f>TEXT(LeadsData[[#This Row],[Signup Date]],"mmm-yyyy")</f>
        <v>Nov-2024</v>
      </c>
      <c r="M2231">
        <f>IF(LeadsData[[#This Row],[Stage Number]]&gt;=2,1,0)</f>
        <v>0</v>
      </c>
      <c r="N2231" s="2">
        <f>IF(LeadsData[[#This Row],[Stage Number]]&gt;=3,1,0)</f>
        <v>0</v>
      </c>
      <c r="O2231" s="2">
        <f>IF(LeadsData[[#This Row],[Stage Number]]&gt;=4,1,0)</f>
        <v>0</v>
      </c>
    </row>
    <row r="2232" spans="1:15" x14ac:dyDescent="0.25">
      <c r="A2232" t="s">
        <v>2272</v>
      </c>
      <c r="B2232" s="1">
        <v>45462</v>
      </c>
      <c r="C2232" t="s">
        <v>46</v>
      </c>
      <c r="D2232" t="s">
        <v>47</v>
      </c>
      <c r="E2232" t="s">
        <v>48</v>
      </c>
      <c r="F2232" t="s">
        <v>19</v>
      </c>
      <c r="G2232" t="s">
        <v>15</v>
      </c>
      <c r="K2232" cm="1">
        <f t="array" ref="K2232">_xlfn.SWITCH(LeadsData[[#This Row],[Funnel Stage Reached]],"Lead",1,"MQL",2,"SQL",3,"Customer",4)</f>
        <v>1</v>
      </c>
      <c r="L2232" t="str">
        <f>TEXT(LeadsData[[#This Row],[Signup Date]],"mmm-yyyy")</f>
        <v>Jun-2024</v>
      </c>
      <c r="M2232">
        <f>IF(LeadsData[[#This Row],[Stage Number]]&gt;=2,1,0)</f>
        <v>0</v>
      </c>
      <c r="N2232" s="2">
        <f>IF(LeadsData[[#This Row],[Stage Number]]&gt;=3,1,0)</f>
        <v>0</v>
      </c>
      <c r="O2232" s="2">
        <f>IF(LeadsData[[#This Row],[Stage Number]]&gt;=4,1,0)</f>
        <v>0</v>
      </c>
    </row>
    <row r="2233" spans="1:15" x14ac:dyDescent="0.25">
      <c r="A2233" t="s">
        <v>2273</v>
      </c>
      <c r="B2233" s="1">
        <v>45647</v>
      </c>
      <c r="C2233" t="s">
        <v>31</v>
      </c>
      <c r="D2233" t="s">
        <v>32</v>
      </c>
      <c r="E2233" t="s">
        <v>13</v>
      </c>
      <c r="F2233" t="s">
        <v>22</v>
      </c>
      <c r="G2233" t="s">
        <v>23</v>
      </c>
      <c r="K2233" cm="1">
        <f t="array" ref="K2233">_xlfn.SWITCH(LeadsData[[#This Row],[Funnel Stage Reached]],"Lead",1,"MQL",2,"SQL",3,"Customer",4)</f>
        <v>2</v>
      </c>
      <c r="L2233" t="str">
        <f>TEXT(LeadsData[[#This Row],[Signup Date]],"mmm-yyyy")</f>
        <v>Dec-2024</v>
      </c>
      <c r="M2233">
        <f>IF(LeadsData[[#This Row],[Stage Number]]&gt;=2,1,0)</f>
        <v>1</v>
      </c>
      <c r="N2233" s="2">
        <f>IF(LeadsData[[#This Row],[Stage Number]]&gt;=3,1,0)</f>
        <v>0</v>
      </c>
      <c r="O2233" s="2">
        <f>IF(LeadsData[[#This Row],[Stage Number]]&gt;=4,1,0)</f>
        <v>0</v>
      </c>
    </row>
    <row r="2234" spans="1:15" x14ac:dyDescent="0.25">
      <c r="A2234" t="s">
        <v>2274</v>
      </c>
      <c r="B2234" s="1">
        <v>45627</v>
      </c>
      <c r="C2234" t="s">
        <v>31</v>
      </c>
      <c r="D2234" t="s">
        <v>32</v>
      </c>
      <c r="E2234" t="s">
        <v>21</v>
      </c>
      <c r="F2234" t="s">
        <v>14</v>
      </c>
      <c r="G2234" t="s">
        <v>29</v>
      </c>
      <c r="K2234" cm="1">
        <f t="array" ref="K2234">_xlfn.SWITCH(LeadsData[[#This Row],[Funnel Stage Reached]],"Lead",1,"MQL",2,"SQL",3,"Customer",4)</f>
        <v>3</v>
      </c>
      <c r="L2234" t="str">
        <f>TEXT(LeadsData[[#This Row],[Signup Date]],"mmm-yyyy")</f>
        <v>Dec-2024</v>
      </c>
      <c r="M2234">
        <f>IF(LeadsData[[#This Row],[Stage Number]]&gt;=2,1,0)</f>
        <v>1</v>
      </c>
      <c r="N2234" s="2">
        <f>IF(LeadsData[[#This Row],[Stage Number]]&gt;=3,1,0)</f>
        <v>1</v>
      </c>
      <c r="O2234" s="2">
        <f>IF(LeadsData[[#This Row],[Stage Number]]&gt;=4,1,0)</f>
        <v>0</v>
      </c>
    </row>
    <row r="2235" spans="1:15" x14ac:dyDescent="0.25">
      <c r="A2235" t="s">
        <v>2275</v>
      </c>
      <c r="B2235" s="1">
        <v>45597</v>
      </c>
      <c r="C2235" t="s">
        <v>46</v>
      </c>
      <c r="D2235" t="s">
        <v>47</v>
      </c>
      <c r="E2235" t="s">
        <v>21</v>
      </c>
      <c r="F2235" t="s">
        <v>19</v>
      </c>
      <c r="G2235" t="s">
        <v>15</v>
      </c>
      <c r="K2235" cm="1">
        <f t="array" ref="K2235">_xlfn.SWITCH(LeadsData[[#This Row],[Funnel Stage Reached]],"Lead",1,"MQL",2,"SQL",3,"Customer",4)</f>
        <v>1</v>
      </c>
      <c r="L2235" t="str">
        <f>TEXT(LeadsData[[#This Row],[Signup Date]],"mmm-yyyy")</f>
        <v>Nov-2024</v>
      </c>
      <c r="M2235">
        <f>IF(LeadsData[[#This Row],[Stage Number]]&gt;=2,1,0)</f>
        <v>0</v>
      </c>
      <c r="N2235" s="2">
        <f>IF(LeadsData[[#This Row],[Stage Number]]&gt;=3,1,0)</f>
        <v>0</v>
      </c>
      <c r="O2235" s="2">
        <f>IF(LeadsData[[#This Row],[Stage Number]]&gt;=4,1,0)</f>
        <v>0</v>
      </c>
    </row>
    <row r="2236" spans="1:15" x14ac:dyDescent="0.25">
      <c r="A2236" t="s">
        <v>2276</v>
      </c>
      <c r="B2236" s="1">
        <v>45470</v>
      </c>
      <c r="C2236" t="s">
        <v>11</v>
      </c>
      <c r="D2236" t="s">
        <v>12</v>
      </c>
      <c r="E2236" t="s">
        <v>21</v>
      </c>
      <c r="F2236" t="s">
        <v>14</v>
      </c>
      <c r="G2236" t="s">
        <v>23</v>
      </c>
      <c r="K2236" cm="1">
        <f t="array" ref="K2236">_xlfn.SWITCH(LeadsData[[#This Row],[Funnel Stage Reached]],"Lead",1,"MQL",2,"SQL",3,"Customer",4)</f>
        <v>2</v>
      </c>
      <c r="L2236" t="str">
        <f>TEXT(LeadsData[[#This Row],[Signup Date]],"mmm-yyyy")</f>
        <v>Jun-2024</v>
      </c>
      <c r="M2236">
        <f>IF(LeadsData[[#This Row],[Stage Number]]&gt;=2,1,0)</f>
        <v>1</v>
      </c>
      <c r="N2236" s="2">
        <f>IF(LeadsData[[#This Row],[Stage Number]]&gt;=3,1,0)</f>
        <v>0</v>
      </c>
      <c r="O2236" s="2">
        <f>IF(LeadsData[[#This Row],[Stage Number]]&gt;=4,1,0)</f>
        <v>0</v>
      </c>
    </row>
    <row r="2237" spans="1:15" x14ac:dyDescent="0.25">
      <c r="A2237" t="s">
        <v>2277</v>
      </c>
      <c r="B2237" s="1">
        <v>45567</v>
      </c>
      <c r="C2237" t="s">
        <v>31</v>
      </c>
      <c r="D2237" t="s">
        <v>32</v>
      </c>
      <c r="E2237" t="s">
        <v>13</v>
      </c>
      <c r="F2237" t="s">
        <v>14</v>
      </c>
      <c r="G2237" t="s">
        <v>15</v>
      </c>
      <c r="K2237" cm="1">
        <f t="array" ref="K2237">_xlfn.SWITCH(LeadsData[[#This Row],[Funnel Stage Reached]],"Lead",1,"MQL",2,"SQL",3,"Customer",4)</f>
        <v>1</v>
      </c>
      <c r="L2237" t="str">
        <f>TEXT(LeadsData[[#This Row],[Signup Date]],"mmm-yyyy")</f>
        <v>Oct-2024</v>
      </c>
      <c r="M2237">
        <f>IF(LeadsData[[#This Row],[Stage Number]]&gt;=2,1,0)</f>
        <v>0</v>
      </c>
      <c r="N2237" s="2">
        <f>IF(LeadsData[[#This Row],[Stage Number]]&gt;=3,1,0)</f>
        <v>0</v>
      </c>
      <c r="O2237" s="2">
        <f>IF(LeadsData[[#This Row],[Stage Number]]&gt;=4,1,0)</f>
        <v>0</v>
      </c>
    </row>
    <row r="2238" spans="1:15" x14ac:dyDescent="0.25">
      <c r="A2238" t="s">
        <v>2278</v>
      </c>
      <c r="B2238" s="1">
        <v>45469</v>
      </c>
      <c r="C2238" t="s">
        <v>17</v>
      </c>
      <c r="D2238" t="s">
        <v>53</v>
      </c>
      <c r="E2238" t="s">
        <v>21</v>
      </c>
      <c r="F2238" t="s">
        <v>22</v>
      </c>
      <c r="G2238" t="s">
        <v>23</v>
      </c>
      <c r="K2238" cm="1">
        <f t="array" ref="K2238">_xlfn.SWITCH(LeadsData[[#This Row],[Funnel Stage Reached]],"Lead",1,"MQL",2,"SQL",3,"Customer",4)</f>
        <v>2</v>
      </c>
      <c r="L2238" t="str">
        <f>TEXT(LeadsData[[#This Row],[Signup Date]],"mmm-yyyy")</f>
        <v>Jun-2024</v>
      </c>
      <c r="M2238">
        <f>IF(LeadsData[[#This Row],[Stage Number]]&gt;=2,1,0)</f>
        <v>1</v>
      </c>
      <c r="N2238" s="2">
        <f>IF(LeadsData[[#This Row],[Stage Number]]&gt;=3,1,0)</f>
        <v>0</v>
      </c>
      <c r="O2238" s="2">
        <f>IF(LeadsData[[#This Row],[Stage Number]]&gt;=4,1,0)</f>
        <v>0</v>
      </c>
    </row>
    <row r="2239" spans="1:15" x14ac:dyDescent="0.25">
      <c r="A2239" t="s">
        <v>2279</v>
      </c>
      <c r="B2239" s="1">
        <v>45421</v>
      </c>
      <c r="C2239" t="s">
        <v>31</v>
      </c>
      <c r="D2239" t="s">
        <v>34</v>
      </c>
      <c r="E2239" t="s">
        <v>21</v>
      </c>
      <c r="F2239" t="s">
        <v>19</v>
      </c>
      <c r="G2239" t="s">
        <v>23</v>
      </c>
      <c r="K2239" cm="1">
        <f t="array" ref="K2239">_xlfn.SWITCH(LeadsData[[#This Row],[Funnel Stage Reached]],"Lead",1,"MQL",2,"SQL",3,"Customer",4)</f>
        <v>2</v>
      </c>
      <c r="L2239" t="str">
        <f>TEXT(LeadsData[[#This Row],[Signup Date]],"mmm-yyyy")</f>
        <v>May-2024</v>
      </c>
      <c r="M2239">
        <f>IF(LeadsData[[#This Row],[Stage Number]]&gt;=2,1,0)</f>
        <v>1</v>
      </c>
      <c r="N2239" s="2">
        <f>IF(LeadsData[[#This Row],[Stage Number]]&gt;=3,1,0)</f>
        <v>0</v>
      </c>
      <c r="O2239" s="2">
        <f>IF(LeadsData[[#This Row],[Stage Number]]&gt;=4,1,0)</f>
        <v>0</v>
      </c>
    </row>
    <row r="2240" spans="1:15" x14ac:dyDescent="0.25">
      <c r="A2240" t="s">
        <v>2280</v>
      </c>
      <c r="B2240" s="1">
        <v>45587</v>
      </c>
      <c r="C2240" t="s">
        <v>36</v>
      </c>
      <c r="D2240" t="s">
        <v>37</v>
      </c>
      <c r="E2240" t="s">
        <v>21</v>
      </c>
      <c r="F2240" t="s">
        <v>14</v>
      </c>
      <c r="G2240" t="s">
        <v>23</v>
      </c>
      <c r="K2240" cm="1">
        <f t="array" ref="K2240">_xlfn.SWITCH(LeadsData[[#This Row],[Funnel Stage Reached]],"Lead",1,"MQL",2,"SQL",3,"Customer",4)</f>
        <v>2</v>
      </c>
      <c r="L2240" t="str">
        <f>TEXT(LeadsData[[#This Row],[Signup Date]],"mmm-yyyy")</f>
        <v>Oct-2024</v>
      </c>
      <c r="M2240">
        <f>IF(LeadsData[[#This Row],[Stage Number]]&gt;=2,1,0)</f>
        <v>1</v>
      </c>
      <c r="N2240" s="2">
        <f>IF(LeadsData[[#This Row],[Stage Number]]&gt;=3,1,0)</f>
        <v>0</v>
      </c>
      <c r="O2240" s="2">
        <f>IF(LeadsData[[#This Row],[Stage Number]]&gt;=4,1,0)</f>
        <v>0</v>
      </c>
    </row>
    <row r="2241" spans="1:15" x14ac:dyDescent="0.25">
      <c r="A2241" t="s">
        <v>2281</v>
      </c>
      <c r="B2241" s="1">
        <v>45391</v>
      </c>
      <c r="C2241" t="s">
        <v>36</v>
      </c>
      <c r="D2241" t="s">
        <v>37</v>
      </c>
      <c r="E2241" t="s">
        <v>13</v>
      </c>
      <c r="F2241" t="s">
        <v>22</v>
      </c>
      <c r="G2241" t="s">
        <v>23</v>
      </c>
      <c r="K2241" cm="1">
        <f t="array" ref="K2241">_xlfn.SWITCH(LeadsData[[#This Row],[Funnel Stage Reached]],"Lead",1,"MQL",2,"SQL",3,"Customer",4)</f>
        <v>2</v>
      </c>
      <c r="L2241" t="str">
        <f>TEXT(LeadsData[[#This Row],[Signup Date]],"mmm-yyyy")</f>
        <v>Apr-2024</v>
      </c>
      <c r="M2241">
        <f>IF(LeadsData[[#This Row],[Stage Number]]&gt;=2,1,0)</f>
        <v>1</v>
      </c>
      <c r="N2241" s="2">
        <f>IF(LeadsData[[#This Row],[Stage Number]]&gt;=3,1,0)</f>
        <v>0</v>
      </c>
      <c r="O2241" s="2">
        <f>IF(LeadsData[[#This Row],[Stage Number]]&gt;=4,1,0)</f>
        <v>0</v>
      </c>
    </row>
    <row r="2242" spans="1:15" x14ac:dyDescent="0.25">
      <c r="A2242" t="s">
        <v>2282</v>
      </c>
      <c r="B2242" s="1">
        <v>45388</v>
      </c>
      <c r="C2242" t="s">
        <v>31</v>
      </c>
      <c r="D2242" t="s">
        <v>32</v>
      </c>
      <c r="E2242" t="s">
        <v>13</v>
      </c>
      <c r="F2242" t="s">
        <v>22</v>
      </c>
      <c r="G2242" t="s">
        <v>15</v>
      </c>
      <c r="K2242" cm="1">
        <f t="array" ref="K2242">_xlfn.SWITCH(LeadsData[[#This Row],[Funnel Stage Reached]],"Lead",1,"MQL",2,"SQL",3,"Customer",4)</f>
        <v>1</v>
      </c>
      <c r="L2242" t="str">
        <f>TEXT(LeadsData[[#This Row],[Signup Date]],"mmm-yyyy")</f>
        <v>Apr-2024</v>
      </c>
      <c r="M2242">
        <f>IF(LeadsData[[#This Row],[Stage Number]]&gt;=2,1,0)</f>
        <v>0</v>
      </c>
      <c r="N2242" s="2">
        <f>IF(LeadsData[[#This Row],[Stage Number]]&gt;=3,1,0)</f>
        <v>0</v>
      </c>
      <c r="O2242" s="2">
        <f>IF(LeadsData[[#This Row],[Stage Number]]&gt;=4,1,0)</f>
        <v>0</v>
      </c>
    </row>
    <row r="2243" spans="1:15" x14ac:dyDescent="0.25">
      <c r="A2243" t="s">
        <v>2283</v>
      </c>
      <c r="B2243" s="1">
        <v>45575</v>
      </c>
      <c r="C2243" t="s">
        <v>11</v>
      </c>
      <c r="D2243" t="s">
        <v>79</v>
      </c>
      <c r="E2243" t="s">
        <v>21</v>
      </c>
      <c r="F2243" t="s">
        <v>19</v>
      </c>
      <c r="G2243" t="s">
        <v>23</v>
      </c>
      <c r="K2243" cm="1">
        <f t="array" ref="K2243">_xlfn.SWITCH(LeadsData[[#This Row],[Funnel Stage Reached]],"Lead",1,"MQL",2,"SQL",3,"Customer",4)</f>
        <v>2</v>
      </c>
      <c r="L2243" t="str">
        <f>TEXT(LeadsData[[#This Row],[Signup Date]],"mmm-yyyy")</f>
        <v>Oct-2024</v>
      </c>
      <c r="M2243">
        <f>IF(LeadsData[[#This Row],[Stage Number]]&gt;=2,1,0)</f>
        <v>1</v>
      </c>
      <c r="N2243" s="2">
        <f>IF(LeadsData[[#This Row],[Stage Number]]&gt;=3,1,0)</f>
        <v>0</v>
      </c>
      <c r="O2243" s="2">
        <f>IF(LeadsData[[#This Row],[Stage Number]]&gt;=4,1,0)</f>
        <v>0</v>
      </c>
    </row>
    <row r="2244" spans="1:15" x14ac:dyDescent="0.25">
      <c r="A2244" t="s">
        <v>2284</v>
      </c>
      <c r="B2244" s="1">
        <v>45642</v>
      </c>
      <c r="C2244" t="s">
        <v>17</v>
      </c>
      <c r="D2244" t="s">
        <v>18</v>
      </c>
      <c r="E2244" t="s">
        <v>21</v>
      </c>
      <c r="F2244" t="s">
        <v>19</v>
      </c>
      <c r="G2244" t="s">
        <v>23</v>
      </c>
      <c r="K2244" cm="1">
        <f t="array" ref="K2244">_xlfn.SWITCH(LeadsData[[#This Row],[Funnel Stage Reached]],"Lead",1,"MQL",2,"SQL",3,"Customer",4)</f>
        <v>2</v>
      </c>
      <c r="L2244" t="str">
        <f>TEXT(LeadsData[[#This Row],[Signup Date]],"mmm-yyyy")</f>
        <v>Dec-2024</v>
      </c>
      <c r="M2244">
        <f>IF(LeadsData[[#This Row],[Stage Number]]&gt;=2,1,0)</f>
        <v>1</v>
      </c>
      <c r="N2244" s="2">
        <f>IF(LeadsData[[#This Row],[Stage Number]]&gt;=3,1,0)</f>
        <v>0</v>
      </c>
      <c r="O2244" s="2">
        <f>IF(LeadsData[[#This Row],[Stage Number]]&gt;=4,1,0)</f>
        <v>0</v>
      </c>
    </row>
    <row r="2245" spans="1:15" x14ac:dyDescent="0.25">
      <c r="A2245" t="s">
        <v>2285</v>
      </c>
      <c r="B2245" s="1">
        <v>45410</v>
      </c>
      <c r="C2245" t="s">
        <v>25</v>
      </c>
      <c r="D2245" t="s">
        <v>26</v>
      </c>
      <c r="E2245" t="s">
        <v>21</v>
      </c>
      <c r="F2245" t="s">
        <v>22</v>
      </c>
      <c r="G2245" t="s">
        <v>23</v>
      </c>
      <c r="K2245" cm="1">
        <f t="array" ref="K2245">_xlfn.SWITCH(LeadsData[[#This Row],[Funnel Stage Reached]],"Lead",1,"MQL",2,"SQL",3,"Customer",4)</f>
        <v>2</v>
      </c>
      <c r="L2245" t="str">
        <f>TEXT(LeadsData[[#This Row],[Signup Date]],"mmm-yyyy")</f>
        <v>Apr-2024</v>
      </c>
      <c r="M2245">
        <f>IF(LeadsData[[#This Row],[Stage Number]]&gt;=2,1,0)</f>
        <v>1</v>
      </c>
      <c r="N2245" s="2">
        <f>IF(LeadsData[[#This Row],[Stage Number]]&gt;=3,1,0)</f>
        <v>0</v>
      </c>
      <c r="O2245" s="2">
        <f>IF(LeadsData[[#This Row],[Stage Number]]&gt;=4,1,0)</f>
        <v>0</v>
      </c>
    </row>
    <row r="2246" spans="1:15" x14ac:dyDescent="0.25">
      <c r="A2246" t="s">
        <v>2286</v>
      </c>
      <c r="B2246" s="1">
        <v>45537</v>
      </c>
      <c r="C2246" t="s">
        <v>46</v>
      </c>
      <c r="D2246" t="s">
        <v>47</v>
      </c>
      <c r="E2246" t="s">
        <v>21</v>
      </c>
      <c r="F2246" t="s">
        <v>14</v>
      </c>
      <c r="G2246" t="s">
        <v>23</v>
      </c>
      <c r="K2246" cm="1">
        <f t="array" ref="K2246">_xlfn.SWITCH(LeadsData[[#This Row],[Funnel Stage Reached]],"Lead",1,"MQL",2,"SQL",3,"Customer",4)</f>
        <v>2</v>
      </c>
      <c r="L2246" t="str">
        <f>TEXT(LeadsData[[#This Row],[Signup Date]],"mmm-yyyy")</f>
        <v>Sep-2024</v>
      </c>
      <c r="M2246">
        <f>IF(LeadsData[[#This Row],[Stage Number]]&gt;=2,1,0)</f>
        <v>1</v>
      </c>
      <c r="N2246" s="2">
        <f>IF(LeadsData[[#This Row],[Stage Number]]&gt;=3,1,0)</f>
        <v>0</v>
      </c>
      <c r="O2246" s="2">
        <f>IF(LeadsData[[#This Row],[Stage Number]]&gt;=4,1,0)</f>
        <v>0</v>
      </c>
    </row>
    <row r="2247" spans="1:15" x14ac:dyDescent="0.25">
      <c r="A2247" t="s">
        <v>2287</v>
      </c>
      <c r="B2247" s="1">
        <v>45606</v>
      </c>
      <c r="C2247" t="s">
        <v>17</v>
      </c>
      <c r="D2247" t="s">
        <v>53</v>
      </c>
      <c r="E2247" t="s">
        <v>13</v>
      </c>
      <c r="F2247" t="s">
        <v>19</v>
      </c>
      <c r="G2247" t="s">
        <v>23</v>
      </c>
      <c r="K2247" cm="1">
        <f t="array" ref="K2247">_xlfn.SWITCH(LeadsData[[#This Row],[Funnel Stage Reached]],"Lead",1,"MQL",2,"SQL",3,"Customer",4)</f>
        <v>2</v>
      </c>
      <c r="L2247" t="str">
        <f>TEXT(LeadsData[[#This Row],[Signup Date]],"mmm-yyyy")</f>
        <v>Nov-2024</v>
      </c>
      <c r="M2247">
        <f>IF(LeadsData[[#This Row],[Stage Number]]&gt;=2,1,0)</f>
        <v>1</v>
      </c>
      <c r="N2247" s="2">
        <f>IF(LeadsData[[#This Row],[Stage Number]]&gt;=3,1,0)</f>
        <v>0</v>
      </c>
      <c r="O2247" s="2">
        <f>IF(LeadsData[[#This Row],[Stage Number]]&gt;=4,1,0)</f>
        <v>0</v>
      </c>
    </row>
    <row r="2248" spans="1:15" x14ac:dyDescent="0.25">
      <c r="A2248" t="s">
        <v>2288</v>
      </c>
      <c r="B2248" s="1">
        <v>45646</v>
      </c>
      <c r="C2248" t="s">
        <v>36</v>
      </c>
      <c r="D2248" t="s">
        <v>37</v>
      </c>
      <c r="E2248" t="s">
        <v>48</v>
      </c>
      <c r="F2248" t="s">
        <v>22</v>
      </c>
      <c r="G2248" t="s">
        <v>23</v>
      </c>
      <c r="K2248" cm="1">
        <f t="array" ref="K2248">_xlfn.SWITCH(LeadsData[[#This Row],[Funnel Stage Reached]],"Lead",1,"MQL",2,"SQL",3,"Customer",4)</f>
        <v>2</v>
      </c>
      <c r="L2248" t="str">
        <f>TEXT(LeadsData[[#This Row],[Signup Date]],"mmm-yyyy")</f>
        <v>Dec-2024</v>
      </c>
      <c r="M2248">
        <f>IF(LeadsData[[#This Row],[Stage Number]]&gt;=2,1,0)</f>
        <v>1</v>
      </c>
      <c r="N2248" s="2">
        <f>IF(LeadsData[[#This Row],[Stage Number]]&gt;=3,1,0)</f>
        <v>0</v>
      </c>
      <c r="O2248" s="2">
        <f>IF(LeadsData[[#This Row],[Stage Number]]&gt;=4,1,0)</f>
        <v>0</v>
      </c>
    </row>
    <row r="2249" spans="1:15" x14ac:dyDescent="0.25">
      <c r="A2249" t="s">
        <v>2289</v>
      </c>
      <c r="B2249" s="1">
        <v>45422</v>
      </c>
      <c r="C2249" t="s">
        <v>17</v>
      </c>
      <c r="D2249" t="s">
        <v>53</v>
      </c>
      <c r="E2249" t="s">
        <v>13</v>
      </c>
      <c r="F2249" t="s">
        <v>14</v>
      </c>
      <c r="G2249" t="s">
        <v>23</v>
      </c>
      <c r="K2249" cm="1">
        <f t="array" ref="K2249">_xlfn.SWITCH(LeadsData[[#This Row],[Funnel Stage Reached]],"Lead",1,"MQL",2,"SQL",3,"Customer",4)</f>
        <v>2</v>
      </c>
      <c r="L2249" t="str">
        <f>TEXT(LeadsData[[#This Row],[Signup Date]],"mmm-yyyy")</f>
        <v>May-2024</v>
      </c>
      <c r="M2249">
        <f>IF(LeadsData[[#This Row],[Stage Number]]&gt;=2,1,0)</f>
        <v>1</v>
      </c>
      <c r="N2249" s="2">
        <f>IF(LeadsData[[#This Row],[Stage Number]]&gt;=3,1,0)</f>
        <v>0</v>
      </c>
      <c r="O2249" s="2">
        <f>IF(LeadsData[[#This Row],[Stage Number]]&gt;=4,1,0)</f>
        <v>0</v>
      </c>
    </row>
    <row r="2250" spans="1:15" x14ac:dyDescent="0.25">
      <c r="A2250" t="s">
        <v>2290</v>
      </c>
      <c r="B2250" s="1">
        <v>45328</v>
      </c>
      <c r="C2250" t="s">
        <v>31</v>
      </c>
      <c r="D2250" t="s">
        <v>32</v>
      </c>
      <c r="E2250" t="s">
        <v>21</v>
      </c>
      <c r="F2250" t="s">
        <v>22</v>
      </c>
      <c r="G2250" t="s">
        <v>15</v>
      </c>
      <c r="K2250" cm="1">
        <f t="array" ref="K2250">_xlfn.SWITCH(LeadsData[[#This Row],[Funnel Stage Reached]],"Lead",1,"MQL",2,"SQL",3,"Customer",4)</f>
        <v>1</v>
      </c>
      <c r="L2250" t="str">
        <f>TEXT(LeadsData[[#This Row],[Signup Date]],"mmm-yyyy")</f>
        <v>Feb-2024</v>
      </c>
      <c r="M2250">
        <f>IF(LeadsData[[#This Row],[Stage Number]]&gt;=2,1,0)</f>
        <v>0</v>
      </c>
      <c r="N2250" s="2">
        <f>IF(LeadsData[[#This Row],[Stage Number]]&gt;=3,1,0)</f>
        <v>0</v>
      </c>
      <c r="O2250" s="2">
        <f>IF(LeadsData[[#This Row],[Stage Number]]&gt;=4,1,0)</f>
        <v>0</v>
      </c>
    </row>
    <row r="2251" spans="1:15" x14ac:dyDescent="0.25">
      <c r="A2251" t="s">
        <v>2291</v>
      </c>
      <c r="B2251" s="1">
        <v>45630</v>
      </c>
      <c r="C2251" t="s">
        <v>11</v>
      </c>
      <c r="D2251" t="s">
        <v>68</v>
      </c>
      <c r="E2251" t="s">
        <v>13</v>
      </c>
      <c r="F2251" t="s">
        <v>14</v>
      </c>
      <c r="G2251" t="s">
        <v>15</v>
      </c>
      <c r="K2251" cm="1">
        <f t="array" ref="K2251">_xlfn.SWITCH(LeadsData[[#This Row],[Funnel Stage Reached]],"Lead",1,"MQL",2,"SQL",3,"Customer",4)</f>
        <v>1</v>
      </c>
      <c r="L2251" t="str">
        <f>TEXT(LeadsData[[#This Row],[Signup Date]],"mmm-yyyy")</f>
        <v>Dec-2024</v>
      </c>
      <c r="M2251">
        <f>IF(LeadsData[[#This Row],[Stage Number]]&gt;=2,1,0)</f>
        <v>0</v>
      </c>
      <c r="N2251" s="2">
        <f>IF(LeadsData[[#This Row],[Stage Number]]&gt;=3,1,0)</f>
        <v>0</v>
      </c>
      <c r="O2251" s="2">
        <f>IF(LeadsData[[#This Row],[Stage Number]]&gt;=4,1,0)</f>
        <v>0</v>
      </c>
    </row>
    <row r="2252" spans="1:15" x14ac:dyDescent="0.25">
      <c r="A2252" t="s">
        <v>2292</v>
      </c>
      <c r="B2252" s="1">
        <v>45425</v>
      </c>
      <c r="C2252" t="s">
        <v>11</v>
      </c>
      <c r="D2252" t="s">
        <v>68</v>
      </c>
      <c r="E2252" t="s">
        <v>13</v>
      </c>
      <c r="F2252" t="s">
        <v>14</v>
      </c>
      <c r="G2252" t="s">
        <v>15</v>
      </c>
      <c r="K2252" cm="1">
        <f t="array" ref="K2252">_xlfn.SWITCH(LeadsData[[#This Row],[Funnel Stage Reached]],"Lead",1,"MQL",2,"SQL",3,"Customer",4)</f>
        <v>1</v>
      </c>
      <c r="L2252" t="str">
        <f>TEXT(LeadsData[[#This Row],[Signup Date]],"mmm-yyyy")</f>
        <v>May-2024</v>
      </c>
      <c r="M2252">
        <f>IF(LeadsData[[#This Row],[Stage Number]]&gt;=2,1,0)</f>
        <v>0</v>
      </c>
      <c r="N2252" s="2">
        <f>IF(LeadsData[[#This Row],[Stage Number]]&gt;=3,1,0)</f>
        <v>0</v>
      </c>
      <c r="O2252" s="2">
        <f>IF(LeadsData[[#This Row],[Stage Number]]&gt;=4,1,0)</f>
        <v>0</v>
      </c>
    </row>
    <row r="2253" spans="1:15" x14ac:dyDescent="0.25">
      <c r="A2253" t="s">
        <v>2293</v>
      </c>
      <c r="B2253" s="1">
        <v>45520</v>
      </c>
      <c r="C2253" t="s">
        <v>17</v>
      </c>
      <c r="D2253" t="s">
        <v>18</v>
      </c>
      <c r="E2253" t="s">
        <v>21</v>
      </c>
      <c r="F2253" t="s">
        <v>22</v>
      </c>
      <c r="G2253" t="s">
        <v>23</v>
      </c>
      <c r="K2253" cm="1">
        <f t="array" ref="K2253">_xlfn.SWITCH(LeadsData[[#This Row],[Funnel Stage Reached]],"Lead",1,"MQL",2,"SQL",3,"Customer",4)</f>
        <v>2</v>
      </c>
      <c r="L2253" t="str">
        <f>TEXT(LeadsData[[#This Row],[Signup Date]],"mmm-yyyy")</f>
        <v>Aug-2024</v>
      </c>
      <c r="M2253">
        <f>IF(LeadsData[[#This Row],[Stage Number]]&gt;=2,1,0)</f>
        <v>1</v>
      </c>
      <c r="N2253" s="2">
        <f>IF(LeadsData[[#This Row],[Stage Number]]&gt;=3,1,0)</f>
        <v>0</v>
      </c>
      <c r="O2253" s="2">
        <f>IF(LeadsData[[#This Row],[Stage Number]]&gt;=4,1,0)</f>
        <v>0</v>
      </c>
    </row>
    <row r="2254" spans="1:15" x14ac:dyDescent="0.25">
      <c r="A2254" t="s">
        <v>2294</v>
      </c>
      <c r="B2254" s="1">
        <v>45467</v>
      </c>
      <c r="C2254" t="s">
        <v>17</v>
      </c>
      <c r="D2254" t="s">
        <v>18</v>
      </c>
      <c r="E2254" t="s">
        <v>21</v>
      </c>
      <c r="F2254" t="s">
        <v>22</v>
      </c>
      <c r="G2254" t="s">
        <v>23</v>
      </c>
      <c r="K2254" cm="1">
        <f t="array" ref="K2254">_xlfn.SWITCH(LeadsData[[#This Row],[Funnel Stage Reached]],"Lead",1,"MQL",2,"SQL",3,"Customer",4)</f>
        <v>2</v>
      </c>
      <c r="L2254" t="str">
        <f>TEXT(LeadsData[[#This Row],[Signup Date]],"mmm-yyyy")</f>
        <v>Jun-2024</v>
      </c>
      <c r="M2254">
        <f>IF(LeadsData[[#This Row],[Stage Number]]&gt;=2,1,0)</f>
        <v>1</v>
      </c>
      <c r="N2254" s="2">
        <f>IF(LeadsData[[#This Row],[Stage Number]]&gt;=3,1,0)</f>
        <v>0</v>
      </c>
      <c r="O2254" s="2">
        <f>IF(LeadsData[[#This Row],[Stage Number]]&gt;=4,1,0)</f>
        <v>0</v>
      </c>
    </row>
    <row r="2255" spans="1:15" x14ac:dyDescent="0.25">
      <c r="A2255" t="s">
        <v>2295</v>
      </c>
      <c r="B2255" s="1">
        <v>45379</v>
      </c>
      <c r="C2255" t="s">
        <v>31</v>
      </c>
      <c r="D2255" t="s">
        <v>34</v>
      </c>
      <c r="E2255" t="s">
        <v>13</v>
      </c>
      <c r="F2255" t="s">
        <v>19</v>
      </c>
      <c r="G2255" t="s">
        <v>15</v>
      </c>
      <c r="K2255" cm="1">
        <f t="array" ref="K2255">_xlfn.SWITCH(LeadsData[[#This Row],[Funnel Stage Reached]],"Lead",1,"MQL",2,"SQL",3,"Customer",4)</f>
        <v>1</v>
      </c>
      <c r="L2255" t="str">
        <f>TEXT(LeadsData[[#This Row],[Signup Date]],"mmm-yyyy")</f>
        <v>Mar-2024</v>
      </c>
      <c r="M2255">
        <f>IF(LeadsData[[#This Row],[Stage Number]]&gt;=2,1,0)</f>
        <v>0</v>
      </c>
      <c r="N2255" s="2">
        <f>IF(LeadsData[[#This Row],[Stage Number]]&gt;=3,1,0)</f>
        <v>0</v>
      </c>
      <c r="O2255" s="2">
        <f>IF(LeadsData[[#This Row],[Stage Number]]&gt;=4,1,0)</f>
        <v>0</v>
      </c>
    </row>
    <row r="2256" spans="1:15" x14ac:dyDescent="0.25">
      <c r="A2256" t="s">
        <v>2296</v>
      </c>
      <c r="B2256" s="1">
        <v>45422</v>
      </c>
      <c r="C2256" t="s">
        <v>17</v>
      </c>
      <c r="D2256" t="s">
        <v>18</v>
      </c>
      <c r="E2256" t="s">
        <v>21</v>
      </c>
      <c r="F2256" t="s">
        <v>19</v>
      </c>
      <c r="G2256" t="s">
        <v>15</v>
      </c>
      <c r="K2256" cm="1">
        <f t="array" ref="K2256">_xlfn.SWITCH(LeadsData[[#This Row],[Funnel Stage Reached]],"Lead",1,"MQL",2,"SQL",3,"Customer",4)</f>
        <v>1</v>
      </c>
      <c r="L2256" t="str">
        <f>TEXT(LeadsData[[#This Row],[Signup Date]],"mmm-yyyy")</f>
        <v>May-2024</v>
      </c>
      <c r="M2256">
        <f>IF(LeadsData[[#This Row],[Stage Number]]&gt;=2,1,0)</f>
        <v>0</v>
      </c>
      <c r="N2256" s="2">
        <f>IF(LeadsData[[#This Row],[Stage Number]]&gt;=3,1,0)</f>
        <v>0</v>
      </c>
      <c r="O2256" s="2">
        <f>IF(LeadsData[[#This Row],[Stage Number]]&gt;=4,1,0)</f>
        <v>0</v>
      </c>
    </row>
    <row r="2257" spans="1:15" x14ac:dyDescent="0.25">
      <c r="A2257" t="s">
        <v>2297</v>
      </c>
      <c r="B2257" s="1">
        <v>45527</v>
      </c>
      <c r="C2257" t="s">
        <v>36</v>
      </c>
      <c r="D2257" t="s">
        <v>37</v>
      </c>
      <c r="E2257" t="s">
        <v>13</v>
      </c>
      <c r="F2257" t="s">
        <v>22</v>
      </c>
      <c r="G2257" t="s">
        <v>15</v>
      </c>
      <c r="K2257" cm="1">
        <f t="array" ref="K2257">_xlfn.SWITCH(LeadsData[[#This Row],[Funnel Stage Reached]],"Lead",1,"MQL",2,"SQL",3,"Customer",4)</f>
        <v>1</v>
      </c>
      <c r="L2257" t="str">
        <f>TEXT(LeadsData[[#This Row],[Signup Date]],"mmm-yyyy")</f>
        <v>Aug-2024</v>
      </c>
      <c r="M2257">
        <f>IF(LeadsData[[#This Row],[Stage Number]]&gt;=2,1,0)</f>
        <v>0</v>
      </c>
      <c r="N2257" s="2">
        <f>IF(LeadsData[[#This Row],[Stage Number]]&gt;=3,1,0)</f>
        <v>0</v>
      </c>
      <c r="O2257" s="2">
        <f>IF(LeadsData[[#This Row],[Stage Number]]&gt;=4,1,0)</f>
        <v>0</v>
      </c>
    </row>
    <row r="2258" spans="1:15" x14ac:dyDescent="0.25">
      <c r="A2258" t="s">
        <v>2298</v>
      </c>
      <c r="B2258" s="1">
        <v>45568</v>
      </c>
      <c r="C2258" t="s">
        <v>31</v>
      </c>
      <c r="D2258" t="s">
        <v>32</v>
      </c>
      <c r="E2258" t="s">
        <v>13</v>
      </c>
      <c r="F2258" t="s">
        <v>19</v>
      </c>
      <c r="G2258" t="s">
        <v>15</v>
      </c>
      <c r="K2258" cm="1">
        <f t="array" ref="K2258">_xlfn.SWITCH(LeadsData[[#This Row],[Funnel Stage Reached]],"Lead",1,"MQL",2,"SQL",3,"Customer",4)</f>
        <v>1</v>
      </c>
      <c r="L2258" t="str">
        <f>TEXT(LeadsData[[#This Row],[Signup Date]],"mmm-yyyy")</f>
        <v>Oct-2024</v>
      </c>
      <c r="M2258">
        <f>IF(LeadsData[[#This Row],[Stage Number]]&gt;=2,1,0)</f>
        <v>0</v>
      </c>
      <c r="N2258" s="2">
        <f>IF(LeadsData[[#This Row],[Stage Number]]&gt;=3,1,0)</f>
        <v>0</v>
      </c>
      <c r="O2258" s="2">
        <f>IF(LeadsData[[#This Row],[Stage Number]]&gt;=4,1,0)</f>
        <v>0</v>
      </c>
    </row>
    <row r="2259" spans="1:15" x14ac:dyDescent="0.25">
      <c r="A2259" t="s">
        <v>2299</v>
      </c>
      <c r="B2259" s="1">
        <v>45336</v>
      </c>
      <c r="C2259" t="s">
        <v>25</v>
      </c>
      <c r="D2259" t="s">
        <v>26</v>
      </c>
      <c r="E2259" t="s">
        <v>13</v>
      </c>
      <c r="F2259" t="s">
        <v>22</v>
      </c>
      <c r="G2259" t="s">
        <v>23</v>
      </c>
      <c r="K2259" cm="1">
        <f t="array" ref="K2259">_xlfn.SWITCH(LeadsData[[#This Row],[Funnel Stage Reached]],"Lead",1,"MQL",2,"SQL",3,"Customer",4)</f>
        <v>2</v>
      </c>
      <c r="L2259" t="str">
        <f>TEXT(LeadsData[[#This Row],[Signup Date]],"mmm-yyyy")</f>
        <v>Feb-2024</v>
      </c>
      <c r="M2259">
        <f>IF(LeadsData[[#This Row],[Stage Number]]&gt;=2,1,0)</f>
        <v>1</v>
      </c>
      <c r="N2259" s="2">
        <f>IF(LeadsData[[#This Row],[Stage Number]]&gt;=3,1,0)</f>
        <v>0</v>
      </c>
      <c r="O2259" s="2">
        <f>IF(LeadsData[[#This Row],[Stage Number]]&gt;=4,1,0)</f>
        <v>0</v>
      </c>
    </row>
    <row r="2260" spans="1:15" x14ac:dyDescent="0.25">
      <c r="A2260" t="s">
        <v>2300</v>
      </c>
      <c r="B2260" s="1">
        <v>45292</v>
      </c>
      <c r="C2260" t="s">
        <v>25</v>
      </c>
      <c r="D2260" t="s">
        <v>26</v>
      </c>
      <c r="E2260" t="s">
        <v>21</v>
      </c>
      <c r="F2260" t="s">
        <v>22</v>
      </c>
      <c r="G2260" t="s">
        <v>23</v>
      </c>
      <c r="K2260" cm="1">
        <f t="array" ref="K2260">_xlfn.SWITCH(LeadsData[[#This Row],[Funnel Stage Reached]],"Lead",1,"MQL",2,"SQL",3,"Customer",4)</f>
        <v>2</v>
      </c>
      <c r="L2260" t="str">
        <f>TEXT(LeadsData[[#This Row],[Signup Date]],"mmm-yyyy")</f>
        <v>Jan-2024</v>
      </c>
      <c r="M2260">
        <f>IF(LeadsData[[#This Row],[Stage Number]]&gt;=2,1,0)</f>
        <v>1</v>
      </c>
      <c r="N2260" s="2">
        <f>IF(LeadsData[[#This Row],[Stage Number]]&gt;=3,1,0)</f>
        <v>0</v>
      </c>
      <c r="O2260" s="2">
        <f>IF(LeadsData[[#This Row],[Stage Number]]&gt;=4,1,0)</f>
        <v>0</v>
      </c>
    </row>
    <row r="2261" spans="1:15" x14ac:dyDescent="0.25">
      <c r="A2261" t="s">
        <v>2301</v>
      </c>
      <c r="B2261" s="1">
        <v>45580</v>
      </c>
      <c r="C2261" t="s">
        <v>46</v>
      </c>
      <c r="D2261" t="s">
        <v>56</v>
      </c>
      <c r="E2261" t="s">
        <v>21</v>
      </c>
      <c r="F2261" t="s">
        <v>22</v>
      </c>
      <c r="G2261" t="s">
        <v>42</v>
      </c>
      <c r="H2261">
        <v>40</v>
      </c>
      <c r="I2261" t="s">
        <v>43</v>
      </c>
      <c r="J2261">
        <v>1107.3399999999999</v>
      </c>
      <c r="K2261" cm="1">
        <f t="array" ref="K2261">_xlfn.SWITCH(LeadsData[[#This Row],[Funnel Stage Reached]],"Lead",1,"MQL",2,"SQL",3,"Customer",4)</f>
        <v>4</v>
      </c>
      <c r="L2261" t="str">
        <f>TEXT(LeadsData[[#This Row],[Signup Date]],"mmm-yyyy")</f>
        <v>Oct-2024</v>
      </c>
      <c r="M2261">
        <f>IF(LeadsData[[#This Row],[Stage Number]]&gt;=2,1,0)</f>
        <v>1</v>
      </c>
      <c r="N2261" s="2">
        <f>IF(LeadsData[[#This Row],[Stage Number]]&gt;=3,1,0)</f>
        <v>1</v>
      </c>
      <c r="O2261" s="2">
        <f>IF(LeadsData[[#This Row],[Stage Number]]&gt;=4,1,0)</f>
        <v>1</v>
      </c>
    </row>
    <row r="2262" spans="1:15" x14ac:dyDescent="0.25">
      <c r="A2262" t="s">
        <v>2302</v>
      </c>
      <c r="B2262" s="1">
        <v>45621</v>
      </c>
      <c r="C2262" t="s">
        <v>46</v>
      </c>
      <c r="D2262" t="s">
        <v>47</v>
      </c>
      <c r="E2262" t="s">
        <v>21</v>
      </c>
      <c r="F2262" t="s">
        <v>14</v>
      </c>
      <c r="G2262" t="s">
        <v>42</v>
      </c>
      <c r="H2262">
        <v>26</v>
      </c>
      <c r="I2262" t="s">
        <v>87</v>
      </c>
      <c r="J2262">
        <v>3920.48</v>
      </c>
      <c r="K2262" cm="1">
        <f t="array" ref="K2262">_xlfn.SWITCH(LeadsData[[#This Row],[Funnel Stage Reached]],"Lead",1,"MQL",2,"SQL",3,"Customer",4)</f>
        <v>4</v>
      </c>
      <c r="L2262" t="str">
        <f>TEXT(LeadsData[[#This Row],[Signup Date]],"mmm-yyyy")</f>
        <v>Nov-2024</v>
      </c>
      <c r="M2262">
        <f>IF(LeadsData[[#This Row],[Stage Number]]&gt;=2,1,0)</f>
        <v>1</v>
      </c>
      <c r="N2262" s="2">
        <f>IF(LeadsData[[#This Row],[Stage Number]]&gt;=3,1,0)</f>
        <v>1</v>
      </c>
      <c r="O2262" s="2">
        <f>IF(LeadsData[[#This Row],[Stage Number]]&gt;=4,1,0)</f>
        <v>1</v>
      </c>
    </row>
    <row r="2263" spans="1:15" x14ac:dyDescent="0.25">
      <c r="A2263" t="s">
        <v>2303</v>
      </c>
      <c r="B2263" s="1">
        <v>45579</v>
      </c>
      <c r="C2263" t="s">
        <v>25</v>
      </c>
      <c r="D2263" t="s">
        <v>26</v>
      </c>
      <c r="E2263" t="s">
        <v>48</v>
      </c>
      <c r="F2263" t="s">
        <v>14</v>
      </c>
      <c r="G2263" t="s">
        <v>15</v>
      </c>
      <c r="K2263" cm="1">
        <f t="array" ref="K2263">_xlfn.SWITCH(LeadsData[[#This Row],[Funnel Stage Reached]],"Lead",1,"MQL",2,"SQL",3,"Customer",4)</f>
        <v>1</v>
      </c>
      <c r="L2263" t="str">
        <f>TEXT(LeadsData[[#This Row],[Signup Date]],"mmm-yyyy")</f>
        <v>Oct-2024</v>
      </c>
      <c r="M2263">
        <f>IF(LeadsData[[#This Row],[Stage Number]]&gt;=2,1,0)</f>
        <v>0</v>
      </c>
      <c r="N2263" s="2">
        <f>IF(LeadsData[[#This Row],[Stage Number]]&gt;=3,1,0)</f>
        <v>0</v>
      </c>
      <c r="O2263" s="2">
        <f>IF(LeadsData[[#This Row],[Stage Number]]&gt;=4,1,0)</f>
        <v>0</v>
      </c>
    </row>
    <row r="2264" spans="1:15" x14ac:dyDescent="0.25">
      <c r="A2264" t="s">
        <v>2304</v>
      </c>
      <c r="B2264" s="1">
        <v>45639</v>
      </c>
      <c r="C2264" t="s">
        <v>46</v>
      </c>
      <c r="D2264" t="s">
        <v>56</v>
      </c>
      <c r="E2264" t="s">
        <v>21</v>
      </c>
      <c r="F2264" t="s">
        <v>22</v>
      </c>
      <c r="G2264" t="s">
        <v>23</v>
      </c>
      <c r="K2264" cm="1">
        <f t="array" ref="K2264">_xlfn.SWITCH(LeadsData[[#This Row],[Funnel Stage Reached]],"Lead",1,"MQL",2,"SQL",3,"Customer",4)</f>
        <v>2</v>
      </c>
      <c r="L2264" t="str">
        <f>TEXT(LeadsData[[#This Row],[Signup Date]],"mmm-yyyy")</f>
        <v>Dec-2024</v>
      </c>
      <c r="M2264">
        <f>IF(LeadsData[[#This Row],[Stage Number]]&gt;=2,1,0)</f>
        <v>1</v>
      </c>
      <c r="N2264" s="2">
        <f>IF(LeadsData[[#This Row],[Stage Number]]&gt;=3,1,0)</f>
        <v>0</v>
      </c>
      <c r="O2264" s="2">
        <f>IF(LeadsData[[#This Row],[Stage Number]]&gt;=4,1,0)</f>
        <v>0</v>
      </c>
    </row>
    <row r="2265" spans="1:15" x14ac:dyDescent="0.25">
      <c r="A2265" t="s">
        <v>2305</v>
      </c>
      <c r="B2265" s="1">
        <v>45372</v>
      </c>
      <c r="C2265" t="s">
        <v>31</v>
      </c>
      <c r="D2265" t="s">
        <v>34</v>
      </c>
      <c r="E2265" t="s">
        <v>13</v>
      </c>
      <c r="F2265" t="s">
        <v>22</v>
      </c>
      <c r="G2265" t="s">
        <v>15</v>
      </c>
      <c r="K2265" cm="1">
        <f t="array" ref="K2265">_xlfn.SWITCH(LeadsData[[#This Row],[Funnel Stage Reached]],"Lead",1,"MQL",2,"SQL",3,"Customer",4)</f>
        <v>1</v>
      </c>
      <c r="L2265" t="str">
        <f>TEXT(LeadsData[[#This Row],[Signup Date]],"mmm-yyyy")</f>
        <v>Mar-2024</v>
      </c>
      <c r="M2265">
        <f>IF(LeadsData[[#This Row],[Stage Number]]&gt;=2,1,0)</f>
        <v>0</v>
      </c>
      <c r="N2265" s="2">
        <f>IF(LeadsData[[#This Row],[Stage Number]]&gt;=3,1,0)</f>
        <v>0</v>
      </c>
      <c r="O2265" s="2">
        <f>IF(LeadsData[[#This Row],[Stage Number]]&gt;=4,1,0)</f>
        <v>0</v>
      </c>
    </row>
    <row r="2266" spans="1:15" x14ac:dyDescent="0.25">
      <c r="A2266" t="s">
        <v>2306</v>
      </c>
      <c r="B2266" s="1">
        <v>45542</v>
      </c>
      <c r="C2266" t="s">
        <v>11</v>
      </c>
      <c r="D2266" t="s">
        <v>68</v>
      </c>
      <c r="E2266" t="s">
        <v>13</v>
      </c>
      <c r="F2266" t="s">
        <v>19</v>
      </c>
      <c r="G2266" t="s">
        <v>15</v>
      </c>
      <c r="K2266" cm="1">
        <f t="array" ref="K2266">_xlfn.SWITCH(LeadsData[[#This Row],[Funnel Stage Reached]],"Lead",1,"MQL",2,"SQL",3,"Customer",4)</f>
        <v>1</v>
      </c>
      <c r="L2266" t="str">
        <f>TEXT(LeadsData[[#This Row],[Signup Date]],"mmm-yyyy")</f>
        <v>Sep-2024</v>
      </c>
      <c r="M2266">
        <f>IF(LeadsData[[#This Row],[Stage Number]]&gt;=2,1,0)</f>
        <v>0</v>
      </c>
      <c r="N2266" s="2">
        <f>IF(LeadsData[[#This Row],[Stage Number]]&gt;=3,1,0)</f>
        <v>0</v>
      </c>
      <c r="O2266" s="2">
        <f>IF(LeadsData[[#This Row],[Stage Number]]&gt;=4,1,0)</f>
        <v>0</v>
      </c>
    </row>
    <row r="2267" spans="1:15" x14ac:dyDescent="0.25">
      <c r="A2267" t="s">
        <v>2307</v>
      </c>
      <c r="B2267" s="1">
        <v>45578</v>
      </c>
      <c r="C2267" t="s">
        <v>31</v>
      </c>
      <c r="D2267" t="s">
        <v>34</v>
      </c>
      <c r="E2267" t="s">
        <v>13</v>
      </c>
      <c r="F2267" t="s">
        <v>19</v>
      </c>
      <c r="G2267" t="s">
        <v>15</v>
      </c>
      <c r="K2267" cm="1">
        <f t="array" ref="K2267">_xlfn.SWITCH(LeadsData[[#This Row],[Funnel Stage Reached]],"Lead",1,"MQL",2,"SQL",3,"Customer",4)</f>
        <v>1</v>
      </c>
      <c r="L2267" t="str">
        <f>TEXT(LeadsData[[#This Row],[Signup Date]],"mmm-yyyy")</f>
        <v>Oct-2024</v>
      </c>
      <c r="M2267">
        <f>IF(LeadsData[[#This Row],[Stage Number]]&gt;=2,1,0)</f>
        <v>0</v>
      </c>
      <c r="N2267" s="2">
        <f>IF(LeadsData[[#This Row],[Stage Number]]&gt;=3,1,0)</f>
        <v>0</v>
      </c>
      <c r="O2267" s="2">
        <f>IF(LeadsData[[#This Row],[Stage Number]]&gt;=4,1,0)</f>
        <v>0</v>
      </c>
    </row>
    <row r="2268" spans="1:15" x14ac:dyDescent="0.25">
      <c r="A2268" t="s">
        <v>2308</v>
      </c>
      <c r="B2268" s="1">
        <v>45591</v>
      </c>
      <c r="C2268" t="s">
        <v>46</v>
      </c>
      <c r="D2268" t="s">
        <v>47</v>
      </c>
      <c r="E2268" t="s">
        <v>48</v>
      </c>
      <c r="F2268" t="s">
        <v>22</v>
      </c>
      <c r="G2268" t="s">
        <v>15</v>
      </c>
      <c r="K2268" cm="1">
        <f t="array" ref="K2268">_xlfn.SWITCH(LeadsData[[#This Row],[Funnel Stage Reached]],"Lead",1,"MQL",2,"SQL",3,"Customer",4)</f>
        <v>1</v>
      </c>
      <c r="L2268" t="str">
        <f>TEXT(LeadsData[[#This Row],[Signup Date]],"mmm-yyyy")</f>
        <v>Oct-2024</v>
      </c>
      <c r="M2268">
        <f>IF(LeadsData[[#This Row],[Stage Number]]&gt;=2,1,0)</f>
        <v>0</v>
      </c>
      <c r="N2268" s="2">
        <f>IF(LeadsData[[#This Row],[Stage Number]]&gt;=3,1,0)</f>
        <v>0</v>
      </c>
      <c r="O2268" s="2">
        <f>IF(LeadsData[[#This Row],[Stage Number]]&gt;=4,1,0)</f>
        <v>0</v>
      </c>
    </row>
    <row r="2269" spans="1:15" x14ac:dyDescent="0.25">
      <c r="A2269" t="s">
        <v>2309</v>
      </c>
      <c r="B2269" s="1">
        <v>45558</v>
      </c>
      <c r="C2269" t="s">
        <v>25</v>
      </c>
      <c r="D2269" t="s">
        <v>26</v>
      </c>
      <c r="E2269" t="s">
        <v>21</v>
      </c>
      <c r="F2269" t="s">
        <v>19</v>
      </c>
      <c r="G2269" t="s">
        <v>15</v>
      </c>
      <c r="K2269" cm="1">
        <f t="array" ref="K2269">_xlfn.SWITCH(LeadsData[[#This Row],[Funnel Stage Reached]],"Lead",1,"MQL",2,"SQL",3,"Customer",4)</f>
        <v>1</v>
      </c>
      <c r="L2269" t="str">
        <f>TEXT(LeadsData[[#This Row],[Signup Date]],"mmm-yyyy")</f>
        <v>Sep-2024</v>
      </c>
      <c r="M2269">
        <f>IF(LeadsData[[#This Row],[Stage Number]]&gt;=2,1,0)</f>
        <v>0</v>
      </c>
      <c r="N2269" s="2">
        <f>IF(LeadsData[[#This Row],[Stage Number]]&gt;=3,1,0)</f>
        <v>0</v>
      </c>
      <c r="O2269" s="2">
        <f>IF(LeadsData[[#This Row],[Stage Number]]&gt;=4,1,0)</f>
        <v>0</v>
      </c>
    </row>
    <row r="2270" spans="1:15" x14ac:dyDescent="0.25">
      <c r="A2270" t="s">
        <v>2310</v>
      </c>
      <c r="B2270" s="1">
        <v>45352</v>
      </c>
      <c r="C2270" t="s">
        <v>17</v>
      </c>
      <c r="D2270" t="s">
        <v>53</v>
      </c>
      <c r="E2270" t="s">
        <v>13</v>
      </c>
      <c r="F2270" t="s">
        <v>19</v>
      </c>
      <c r="G2270" t="s">
        <v>23</v>
      </c>
      <c r="K2270" cm="1">
        <f t="array" ref="K2270">_xlfn.SWITCH(LeadsData[[#This Row],[Funnel Stage Reached]],"Lead",1,"MQL",2,"SQL",3,"Customer",4)</f>
        <v>2</v>
      </c>
      <c r="L2270" t="str">
        <f>TEXT(LeadsData[[#This Row],[Signup Date]],"mmm-yyyy")</f>
        <v>Mar-2024</v>
      </c>
      <c r="M2270">
        <f>IF(LeadsData[[#This Row],[Stage Number]]&gt;=2,1,0)</f>
        <v>1</v>
      </c>
      <c r="N2270" s="2">
        <f>IF(LeadsData[[#This Row],[Stage Number]]&gt;=3,1,0)</f>
        <v>0</v>
      </c>
      <c r="O2270" s="2">
        <f>IF(LeadsData[[#This Row],[Stage Number]]&gt;=4,1,0)</f>
        <v>0</v>
      </c>
    </row>
    <row r="2271" spans="1:15" x14ac:dyDescent="0.25">
      <c r="A2271" t="s">
        <v>2311</v>
      </c>
      <c r="B2271" s="1">
        <v>45416</v>
      </c>
      <c r="C2271" t="s">
        <v>46</v>
      </c>
      <c r="D2271" t="s">
        <v>47</v>
      </c>
      <c r="E2271" t="s">
        <v>13</v>
      </c>
      <c r="F2271" t="s">
        <v>14</v>
      </c>
      <c r="G2271" t="s">
        <v>23</v>
      </c>
      <c r="K2271" cm="1">
        <f t="array" ref="K2271">_xlfn.SWITCH(LeadsData[[#This Row],[Funnel Stage Reached]],"Lead",1,"MQL",2,"SQL",3,"Customer",4)</f>
        <v>2</v>
      </c>
      <c r="L2271" t="str">
        <f>TEXT(LeadsData[[#This Row],[Signup Date]],"mmm-yyyy")</f>
        <v>May-2024</v>
      </c>
      <c r="M2271">
        <f>IF(LeadsData[[#This Row],[Stage Number]]&gt;=2,1,0)</f>
        <v>1</v>
      </c>
      <c r="N2271" s="2">
        <f>IF(LeadsData[[#This Row],[Stage Number]]&gt;=3,1,0)</f>
        <v>0</v>
      </c>
      <c r="O2271" s="2">
        <f>IF(LeadsData[[#This Row],[Stage Number]]&gt;=4,1,0)</f>
        <v>0</v>
      </c>
    </row>
    <row r="2272" spans="1:15" x14ac:dyDescent="0.25">
      <c r="A2272" t="s">
        <v>2312</v>
      </c>
      <c r="B2272" s="1">
        <v>45651</v>
      </c>
      <c r="C2272" t="s">
        <v>46</v>
      </c>
      <c r="D2272" t="s">
        <v>47</v>
      </c>
      <c r="E2272" t="s">
        <v>21</v>
      </c>
      <c r="F2272" t="s">
        <v>19</v>
      </c>
      <c r="G2272" t="s">
        <v>29</v>
      </c>
      <c r="K2272" cm="1">
        <f t="array" ref="K2272">_xlfn.SWITCH(LeadsData[[#This Row],[Funnel Stage Reached]],"Lead",1,"MQL",2,"SQL",3,"Customer",4)</f>
        <v>3</v>
      </c>
      <c r="L2272" t="str">
        <f>TEXT(LeadsData[[#This Row],[Signup Date]],"mmm-yyyy")</f>
        <v>Dec-2024</v>
      </c>
      <c r="M2272">
        <f>IF(LeadsData[[#This Row],[Stage Number]]&gt;=2,1,0)</f>
        <v>1</v>
      </c>
      <c r="N2272" s="2">
        <f>IF(LeadsData[[#This Row],[Stage Number]]&gt;=3,1,0)</f>
        <v>1</v>
      </c>
      <c r="O2272" s="2">
        <f>IF(LeadsData[[#This Row],[Stage Number]]&gt;=4,1,0)</f>
        <v>0</v>
      </c>
    </row>
    <row r="2273" spans="1:15" x14ac:dyDescent="0.25">
      <c r="A2273" t="s">
        <v>2313</v>
      </c>
      <c r="B2273" s="1">
        <v>45478</v>
      </c>
      <c r="C2273" t="s">
        <v>25</v>
      </c>
      <c r="D2273" t="s">
        <v>26</v>
      </c>
      <c r="E2273" t="s">
        <v>13</v>
      </c>
      <c r="F2273" t="s">
        <v>22</v>
      </c>
      <c r="G2273" t="s">
        <v>29</v>
      </c>
      <c r="K2273" cm="1">
        <f t="array" ref="K2273">_xlfn.SWITCH(LeadsData[[#This Row],[Funnel Stage Reached]],"Lead",1,"MQL",2,"SQL",3,"Customer",4)</f>
        <v>3</v>
      </c>
      <c r="L2273" t="str">
        <f>TEXT(LeadsData[[#This Row],[Signup Date]],"mmm-yyyy")</f>
        <v>Jul-2024</v>
      </c>
      <c r="M2273">
        <f>IF(LeadsData[[#This Row],[Stage Number]]&gt;=2,1,0)</f>
        <v>1</v>
      </c>
      <c r="N2273" s="2">
        <f>IF(LeadsData[[#This Row],[Stage Number]]&gt;=3,1,0)</f>
        <v>1</v>
      </c>
      <c r="O2273" s="2">
        <f>IF(LeadsData[[#This Row],[Stage Number]]&gt;=4,1,0)</f>
        <v>0</v>
      </c>
    </row>
    <row r="2274" spans="1:15" x14ac:dyDescent="0.25">
      <c r="A2274" t="s">
        <v>2314</v>
      </c>
      <c r="B2274" s="1">
        <v>45622</v>
      </c>
      <c r="C2274" t="s">
        <v>31</v>
      </c>
      <c r="D2274" t="s">
        <v>34</v>
      </c>
      <c r="E2274" t="s">
        <v>21</v>
      </c>
      <c r="F2274" t="s">
        <v>22</v>
      </c>
      <c r="G2274" t="s">
        <v>23</v>
      </c>
      <c r="K2274" cm="1">
        <f t="array" ref="K2274">_xlfn.SWITCH(LeadsData[[#This Row],[Funnel Stage Reached]],"Lead",1,"MQL",2,"SQL",3,"Customer",4)</f>
        <v>2</v>
      </c>
      <c r="L2274" t="str">
        <f>TEXT(LeadsData[[#This Row],[Signup Date]],"mmm-yyyy")</f>
        <v>Nov-2024</v>
      </c>
      <c r="M2274">
        <f>IF(LeadsData[[#This Row],[Stage Number]]&gt;=2,1,0)</f>
        <v>1</v>
      </c>
      <c r="N2274" s="2">
        <f>IF(LeadsData[[#This Row],[Stage Number]]&gt;=3,1,0)</f>
        <v>0</v>
      </c>
      <c r="O2274" s="2">
        <f>IF(LeadsData[[#This Row],[Stage Number]]&gt;=4,1,0)</f>
        <v>0</v>
      </c>
    </row>
    <row r="2275" spans="1:15" x14ac:dyDescent="0.25">
      <c r="A2275" t="s">
        <v>2315</v>
      </c>
      <c r="B2275" s="1">
        <v>45404</v>
      </c>
      <c r="C2275" t="s">
        <v>31</v>
      </c>
      <c r="D2275" t="s">
        <v>32</v>
      </c>
      <c r="E2275" t="s">
        <v>48</v>
      </c>
      <c r="F2275" t="s">
        <v>22</v>
      </c>
      <c r="G2275" t="s">
        <v>23</v>
      </c>
      <c r="K2275" cm="1">
        <f t="array" ref="K2275">_xlfn.SWITCH(LeadsData[[#This Row],[Funnel Stage Reached]],"Lead",1,"MQL",2,"SQL",3,"Customer",4)</f>
        <v>2</v>
      </c>
      <c r="L2275" t="str">
        <f>TEXT(LeadsData[[#This Row],[Signup Date]],"mmm-yyyy")</f>
        <v>Apr-2024</v>
      </c>
      <c r="M2275">
        <f>IF(LeadsData[[#This Row],[Stage Number]]&gt;=2,1,0)</f>
        <v>1</v>
      </c>
      <c r="N2275" s="2">
        <f>IF(LeadsData[[#This Row],[Stage Number]]&gt;=3,1,0)</f>
        <v>0</v>
      </c>
      <c r="O2275" s="2">
        <f>IF(LeadsData[[#This Row],[Stage Number]]&gt;=4,1,0)</f>
        <v>0</v>
      </c>
    </row>
    <row r="2276" spans="1:15" x14ac:dyDescent="0.25">
      <c r="A2276" t="s">
        <v>2316</v>
      </c>
      <c r="B2276" s="1">
        <v>45578</v>
      </c>
      <c r="C2276" t="s">
        <v>11</v>
      </c>
      <c r="D2276" t="s">
        <v>12</v>
      </c>
      <c r="E2276" t="s">
        <v>48</v>
      </c>
      <c r="F2276" t="s">
        <v>14</v>
      </c>
      <c r="G2276" t="s">
        <v>15</v>
      </c>
      <c r="K2276" cm="1">
        <f t="array" ref="K2276">_xlfn.SWITCH(LeadsData[[#This Row],[Funnel Stage Reached]],"Lead",1,"MQL",2,"SQL",3,"Customer",4)</f>
        <v>1</v>
      </c>
      <c r="L2276" t="str">
        <f>TEXT(LeadsData[[#This Row],[Signup Date]],"mmm-yyyy")</f>
        <v>Oct-2024</v>
      </c>
      <c r="M2276">
        <f>IF(LeadsData[[#This Row],[Stage Number]]&gt;=2,1,0)</f>
        <v>0</v>
      </c>
      <c r="N2276" s="2">
        <f>IF(LeadsData[[#This Row],[Stage Number]]&gt;=3,1,0)</f>
        <v>0</v>
      </c>
      <c r="O2276" s="2">
        <f>IF(LeadsData[[#This Row],[Stage Number]]&gt;=4,1,0)</f>
        <v>0</v>
      </c>
    </row>
    <row r="2277" spans="1:15" x14ac:dyDescent="0.25">
      <c r="A2277" t="s">
        <v>2317</v>
      </c>
      <c r="B2277" s="1">
        <v>45489</v>
      </c>
      <c r="C2277" t="s">
        <v>31</v>
      </c>
      <c r="D2277" t="s">
        <v>32</v>
      </c>
      <c r="E2277" t="s">
        <v>13</v>
      </c>
      <c r="F2277" t="s">
        <v>22</v>
      </c>
      <c r="G2277" t="s">
        <v>15</v>
      </c>
      <c r="K2277" cm="1">
        <f t="array" ref="K2277">_xlfn.SWITCH(LeadsData[[#This Row],[Funnel Stage Reached]],"Lead",1,"MQL",2,"SQL",3,"Customer",4)</f>
        <v>1</v>
      </c>
      <c r="L2277" t="str">
        <f>TEXT(LeadsData[[#This Row],[Signup Date]],"mmm-yyyy")</f>
        <v>Jul-2024</v>
      </c>
      <c r="M2277">
        <f>IF(LeadsData[[#This Row],[Stage Number]]&gt;=2,1,0)</f>
        <v>0</v>
      </c>
      <c r="N2277" s="2">
        <f>IF(LeadsData[[#This Row],[Stage Number]]&gt;=3,1,0)</f>
        <v>0</v>
      </c>
      <c r="O2277" s="2">
        <f>IF(LeadsData[[#This Row],[Stage Number]]&gt;=4,1,0)</f>
        <v>0</v>
      </c>
    </row>
    <row r="2278" spans="1:15" x14ac:dyDescent="0.25">
      <c r="A2278" t="s">
        <v>2318</v>
      </c>
      <c r="B2278" s="1">
        <v>45542</v>
      </c>
      <c r="C2278" t="s">
        <v>46</v>
      </c>
      <c r="D2278" t="s">
        <v>47</v>
      </c>
      <c r="E2278" t="s">
        <v>21</v>
      </c>
      <c r="F2278" t="s">
        <v>19</v>
      </c>
      <c r="G2278" t="s">
        <v>23</v>
      </c>
      <c r="K2278" cm="1">
        <f t="array" ref="K2278">_xlfn.SWITCH(LeadsData[[#This Row],[Funnel Stage Reached]],"Lead",1,"MQL",2,"SQL",3,"Customer",4)</f>
        <v>2</v>
      </c>
      <c r="L2278" t="str">
        <f>TEXT(LeadsData[[#This Row],[Signup Date]],"mmm-yyyy")</f>
        <v>Sep-2024</v>
      </c>
      <c r="M2278">
        <f>IF(LeadsData[[#This Row],[Stage Number]]&gt;=2,1,0)</f>
        <v>1</v>
      </c>
      <c r="N2278" s="2">
        <f>IF(LeadsData[[#This Row],[Stage Number]]&gt;=3,1,0)</f>
        <v>0</v>
      </c>
      <c r="O2278" s="2">
        <f>IF(LeadsData[[#This Row],[Stage Number]]&gt;=4,1,0)</f>
        <v>0</v>
      </c>
    </row>
    <row r="2279" spans="1:15" x14ac:dyDescent="0.25">
      <c r="A2279" t="s">
        <v>2319</v>
      </c>
      <c r="B2279" s="1">
        <v>45456</v>
      </c>
      <c r="C2279" t="s">
        <v>31</v>
      </c>
      <c r="D2279" t="s">
        <v>32</v>
      </c>
      <c r="E2279" t="s">
        <v>13</v>
      </c>
      <c r="F2279" t="s">
        <v>14</v>
      </c>
      <c r="G2279" t="s">
        <v>23</v>
      </c>
      <c r="K2279" cm="1">
        <f t="array" ref="K2279">_xlfn.SWITCH(LeadsData[[#This Row],[Funnel Stage Reached]],"Lead",1,"MQL",2,"SQL",3,"Customer",4)</f>
        <v>2</v>
      </c>
      <c r="L2279" t="str">
        <f>TEXT(LeadsData[[#This Row],[Signup Date]],"mmm-yyyy")</f>
        <v>Jun-2024</v>
      </c>
      <c r="M2279">
        <f>IF(LeadsData[[#This Row],[Stage Number]]&gt;=2,1,0)</f>
        <v>1</v>
      </c>
      <c r="N2279" s="2">
        <f>IF(LeadsData[[#This Row],[Stage Number]]&gt;=3,1,0)</f>
        <v>0</v>
      </c>
      <c r="O2279" s="2">
        <f>IF(LeadsData[[#This Row],[Stage Number]]&gt;=4,1,0)</f>
        <v>0</v>
      </c>
    </row>
    <row r="2280" spans="1:15" x14ac:dyDescent="0.25">
      <c r="A2280" t="s">
        <v>2320</v>
      </c>
      <c r="B2280" s="1">
        <v>45304</v>
      </c>
      <c r="C2280" t="s">
        <v>11</v>
      </c>
      <c r="D2280" t="s">
        <v>12</v>
      </c>
      <c r="E2280" t="s">
        <v>13</v>
      </c>
      <c r="F2280" t="s">
        <v>19</v>
      </c>
      <c r="G2280" t="s">
        <v>15</v>
      </c>
      <c r="K2280" cm="1">
        <f t="array" ref="K2280">_xlfn.SWITCH(LeadsData[[#This Row],[Funnel Stage Reached]],"Lead",1,"MQL",2,"SQL",3,"Customer",4)</f>
        <v>1</v>
      </c>
      <c r="L2280" t="str">
        <f>TEXT(LeadsData[[#This Row],[Signup Date]],"mmm-yyyy")</f>
        <v>Jan-2024</v>
      </c>
      <c r="M2280">
        <f>IF(LeadsData[[#This Row],[Stage Number]]&gt;=2,1,0)</f>
        <v>0</v>
      </c>
      <c r="N2280" s="2">
        <f>IF(LeadsData[[#This Row],[Stage Number]]&gt;=3,1,0)</f>
        <v>0</v>
      </c>
      <c r="O2280" s="2">
        <f>IF(LeadsData[[#This Row],[Stage Number]]&gt;=4,1,0)</f>
        <v>0</v>
      </c>
    </row>
    <row r="2281" spans="1:15" x14ac:dyDescent="0.25">
      <c r="A2281" t="s">
        <v>2321</v>
      </c>
      <c r="B2281" s="1">
        <v>45419</v>
      </c>
      <c r="C2281" t="s">
        <v>36</v>
      </c>
      <c r="D2281" t="s">
        <v>50</v>
      </c>
      <c r="E2281" t="s">
        <v>48</v>
      </c>
      <c r="F2281" t="s">
        <v>19</v>
      </c>
      <c r="G2281" t="s">
        <v>15</v>
      </c>
      <c r="K2281" cm="1">
        <f t="array" ref="K2281">_xlfn.SWITCH(LeadsData[[#This Row],[Funnel Stage Reached]],"Lead",1,"MQL",2,"SQL",3,"Customer",4)</f>
        <v>1</v>
      </c>
      <c r="L2281" t="str">
        <f>TEXT(LeadsData[[#This Row],[Signup Date]],"mmm-yyyy")</f>
        <v>May-2024</v>
      </c>
      <c r="M2281">
        <f>IF(LeadsData[[#This Row],[Stage Number]]&gt;=2,1,0)</f>
        <v>0</v>
      </c>
      <c r="N2281" s="2">
        <f>IF(LeadsData[[#This Row],[Stage Number]]&gt;=3,1,0)</f>
        <v>0</v>
      </c>
      <c r="O2281" s="2">
        <f>IF(LeadsData[[#This Row],[Stage Number]]&gt;=4,1,0)</f>
        <v>0</v>
      </c>
    </row>
    <row r="2282" spans="1:15" x14ac:dyDescent="0.25">
      <c r="A2282" t="s">
        <v>2322</v>
      </c>
      <c r="B2282" s="1">
        <v>45358</v>
      </c>
      <c r="C2282" t="s">
        <v>17</v>
      </c>
      <c r="D2282" t="s">
        <v>53</v>
      </c>
      <c r="E2282" t="s">
        <v>13</v>
      </c>
      <c r="F2282" t="s">
        <v>14</v>
      </c>
      <c r="G2282" t="s">
        <v>15</v>
      </c>
      <c r="K2282" cm="1">
        <f t="array" ref="K2282">_xlfn.SWITCH(LeadsData[[#This Row],[Funnel Stage Reached]],"Lead",1,"MQL",2,"SQL",3,"Customer",4)</f>
        <v>1</v>
      </c>
      <c r="L2282" t="str">
        <f>TEXT(LeadsData[[#This Row],[Signup Date]],"mmm-yyyy")</f>
        <v>Mar-2024</v>
      </c>
      <c r="M2282">
        <f>IF(LeadsData[[#This Row],[Stage Number]]&gt;=2,1,0)</f>
        <v>0</v>
      </c>
      <c r="N2282" s="2">
        <f>IF(LeadsData[[#This Row],[Stage Number]]&gt;=3,1,0)</f>
        <v>0</v>
      </c>
      <c r="O2282" s="2">
        <f>IF(LeadsData[[#This Row],[Stage Number]]&gt;=4,1,0)</f>
        <v>0</v>
      </c>
    </row>
    <row r="2283" spans="1:15" x14ac:dyDescent="0.25">
      <c r="A2283" t="s">
        <v>2323</v>
      </c>
      <c r="B2283" s="1">
        <v>45508</v>
      </c>
      <c r="C2283" t="s">
        <v>11</v>
      </c>
      <c r="D2283" t="s">
        <v>68</v>
      </c>
      <c r="E2283" t="s">
        <v>48</v>
      </c>
      <c r="F2283" t="s">
        <v>14</v>
      </c>
      <c r="G2283" t="s">
        <v>15</v>
      </c>
      <c r="K2283" cm="1">
        <f t="array" ref="K2283">_xlfn.SWITCH(LeadsData[[#This Row],[Funnel Stage Reached]],"Lead",1,"MQL",2,"SQL",3,"Customer",4)</f>
        <v>1</v>
      </c>
      <c r="L2283" t="str">
        <f>TEXT(LeadsData[[#This Row],[Signup Date]],"mmm-yyyy")</f>
        <v>Aug-2024</v>
      </c>
      <c r="M2283">
        <f>IF(LeadsData[[#This Row],[Stage Number]]&gt;=2,1,0)</f>
        <v>0</v>
      </c>
      <c r="N2283" s="2">
        <f>IF(LeadsData[[#This Row],[Stage Number]]&gt;=3,1,0)</f>
        <v>0</v>
      </c>
      <c r="O2283" s="2">
        <f>IF(LeadsData[[#This Row],[Stage Number]]&gt;=4,1,0)</f>
        <v>0</v>
      </c>
    </row>
    <row r="2284" spans="1:15" x14ac:dyDescent="0.25">
      <c r="A2284" t="s">
        <v>2324</v>
      </c>
      <c r="B2284" s="1">
        <v>45471</v>
      </c>
      <c r="C2284" t="s">
        <v>31</v>
      </c>
      <c r="D2284" t="s">
        <v>32</v>
      </c>
      <c r="E2284" t="s">
        <v>21</v>
      </c>
      <c r="F2284" t="s">
        <v>14</v>
      </c>
      <c r="G2284" t="s">
        <v>23</v>
      </c>
      <c r="K2284" cm="1">
        <f t="array" ref="K2284">_xlfn.SWITCH(LeadsData[[#This Row],[Funnel Stage Reached]],"Lead",1,"MQL",2,"SQL",3,"Customer",4)</f>
        <v>2</v>
      </c>
      <c r="L2284" t="str">
        <f>TEXT(LeadsData[[#This Row],[Signup Date]],"mmm-yyyy")</f>
        <v>Jun-2024</v>
      </c>
      <c r="M2284">
        <f>IF(LeadsData[[#This Row],[Stage Number]]&gt;=2,1,0)</f>
        <v>1</v>
      </c>
      <c r="N2284" s="2">
        <f>IF(LeadsData[[#This Row],[Stage Number]]&gt;=3,1,0)</f>
        <v>0</v>
      </c>
      <c r="O2284" s="2">
        <f>IF(LeadsData[[#This Row],[Stage Number]]&gt;=4,1,0)</f>
        <v>0</v>
      </c>
    </row>
    <row r="2285" spans="1:15" x14ac:dyDescent="0.25">
      <c r="A2285" t="s">
        <v>2325</v>
      </c>
      <c r="B2285" s="1">
        <v>45437</v>
      </c>
      <c r="C2285" t="s">
        <v>36</v>
      </c>
      <c r="D2285" t="s">
        <v>50</v>
      </c>
      <c r="E2285" t="s">
        <v>13</v>
      </c>
      <c r="F2285" t="s">
        <v>28</v>
      </c>
      <c r="G2285" t="s">
        <v>42</v>
      </c>
      <c r="H2285">
        <v>27</v>
      </c>
      <c r="I2285" t="s">
        <v>43</v>
      </c>
      <c r="J2285">
        <v>1240.46</v>
      </c>
      <c r="K2285" cm="1">
        <f t="array" ref="K2285">_xlfn.SWITCH(LeadsData[[#This Row],[Funnel Stage Reached]],"Lead",1,"MQL",2,"SQL",3,"Customer",4)</f>
        <v>4</v>
      </c>
      <c r="L2285" t="str">
        <f>TEXT(LeadsData[[#This Row],[Signup Date]],"mmm-yyyy")</f>
        <v>May-2024</v>
      </c>
      <c r="M2285">
        <f>IF(LeadsData[[#This Row],[Stage Number]]&gt;=2,1,0)</f>
        <v>1</v>
      </c>
      <c r="N2285" s="2">
        <f>IF(LeadsData[[#This Row],[Stage Number]]&gt;=3,1,0)</f>
        <v>1</v>
      </c>
      <c r="O2285" s="2">
        <f>IF(LeadsData[[#This Row],[Stage Number]]&gt;=4,1,0)</f>
        <v>1</v>
      </c>
    </row>
    <row r="2286" spans="1:15" x14ac:dyDescent="0.25">
      <c r="A2286" t="s">
        <v>2326</v>
      </c>
      <c r="B2286" s="1">
        <v>45296</v>
      </c>
      <c r="C2286" t="s">
        <v>31</v>
      </c>
      <c r="D2286" t="s">
        <v>32</v>
      </c>
      <c r="E2286" t="s">
        <v>21</v>
      </c>
      <c r="F2286" t="s">
        <v>22</v>
      </c>
      <c r="G2286" t="s">
        <v>15</v>
      </c>
      <c r="K2286" cm="1">
        <f t="array" ref="K2286">_xlfn.SWITCH(LeadsData[[#This Row],[Funnel Stage Reached]],"Lead",1,"MQL",2,"SQL",3,"Customer",4)</f>
        <v>1</v>
      </c>
      <c r="L2286" t="str">
        <f>TEXT(LeadsData[[#This Row],[Signup Date]],"mmm-yyyy")</f>
        <v>Jan-2024</v>
      </c>
      <c r="M2286">
        <f>IF(LeadsData[[#This Row],[Stage Number]]&gt;=2,1,0)</f>
        <v>0</v>
      </c>
      <c r="N2286" s="2">
        <f>IF(LeadsData[[#This Row],[Stage Number]]&gt;=3,1,0)</f>
        <v>0</v>
      </c>
      <c r="O2286" s="2">
        <f>IF(LeadsData[[#This Row],[Stage Number]]&gt;=4,1,0)</f>
        <v>0</v>
      </c>
    </row>
    <row r="2287" spans="1:15" x14ac:dyDescent="0.25">
      <c r="A2287" t="s">
        <v>2327</v>
      </c>
      <c r="B2287" s="1">
        <v>45481</v>
      </c>
      <c r="C2287" t="s">
        <v>31</v>
      </c>
      <c r="D2287" t="s">
        <v>34</v>
      </c>
      <c r="E2287" t="s">
        <v>13</v>
      </c>
      <c r="F2287" t="s">
        <v>22</v>
      </c>
      <c r="G2287" t="s">
        <v>23</v>
      </c>
      <c r="K2287" cm="1">
        <f t="array" ref="K2287">_xlfn.SWITCH(LeadsData[[#This Row],[Funnel Stage Reached]],"Lead",1,"MQL",2,"SQL",3,"Customer",4)</f>
        <v>2</v>
      </c>
      <c r="L2287" t="str">
        <f>TEXT(LeadsData[[#This Row],[Signup Date]],"mmm-yyyy")</f>
        <v>Jul-2024</v>
      </c>
      <c r="M2287">
        <f>IF(LeadsData[[#This Row],[Stage Number]]&gt;=2,1,0)</f>
        <v>1</v>
      </c>
      <c r="N2287" s="2">
        <f>IF(LeadsData[[#This Row],[Stage Number]]&gt;=3,1,0)</f>
        <v>0</v>
      </c>
      <c r="O2287" s="2">
        <f>IF(LeadsData[[#This Row],[Stage Number]]&gt;=4,1,0)</f>
        <v>0</v>
      </c>
    </row>
    <row r="2288" spans="1:15" x14ac:dyDescent="0.25">
      <c r="A2288" t="s">
        <v>2328</v>
      </c>
      <c r="B2288" s="1">
        <v>45367</v>
      </c>
      <c r="C2288" t="s">
        <v>31</v>
      </c>
      <c r="D2288" t="s">
        <v>34</v>
      </c>
      <c r="E2288" t="s">
        <v>13</v>
      </c>
      <c r="F2288" t="s">
        <v>22</v>
      </c>
      <c r="G2288" t="s">
        <v>15</v>
      </c>
      <c r="K2288" cm="1">
        <f t="array" ref="K2288">_xlfn.SWITCH(LeadsData[[#This Row],[Funnel Stage Reached]],"Lead",1,"MQL",2,"SQL",3,"Customer",4)</f>
        <v>1</v>
      </c>
      <c r="L2288" t="str">
        <f>TEXT(LeadsData[[#This Row],[Signup Date]],"mmm-yyyy")</f>
        <v>Mar-2024</v>
      </c>
      <c r="M2288">
        <f>IF(LeadsData[[#This Row],[Stage Number]]&gt;=2,1,0)</f>
        <v>0</v>
      </c>
      <c r="N2288" s="2">
        <f>IF(LeadsData[[#This Row],[Stage Number]]&gt;=3,1,0)</f>
        <v>0</v>
      </c>
      <c r="O2288" s="2">
        <f>IF(LeadsData[[#This Row],[Stage Number]]&gt;=4,1,0)</f>
        <v>0</v>
      </c>
    </row>
    <row r="2289" spans="1:15" x14ac:dyDescent="0.25">
      <c r="A2289" t="s">
        <v>2329</v>
      </c>
      <c r="B2289" s="1">
        <v>45297</v>
      </c>
      <c r="C2289" t="s">
        <v>46</v>
      </c>
      <c r="D2289" t="s">
        <v>56</v>
      </c>
      <c r="E2289" t="s">
        <v>13</v>
      </c>
      <c r="F2289" t="s">
        <v>14</v>
      </c>
      <c r="G2289" t="s">
        <v>29</v>
      </c>
      <c r="K2289" cm="1">
        <f t="array" ref="K2289">_xlfn.SWITCH(LeadsData[[#This Row],[Funnel Stage Reached]],"Lead",1,"MQL",2,"SQL",3,"Customer",4)</f>
        <v>3</v>
      </c>
      <c r="L2289" t="str">
        <f>TEXT(LeadsData[[#This Row],[Signup Date]],"mmm-yyyy")</f>
        <v>Jan-2024</v>
      </c>
      <c r="M2289">
        <f>IF(LeadsData[[#This Row],[Stage Number]]&gt;=2,1,0)</f>
        <v>1</v>
      </c>
      <c r="N2289" s="2">
        <f>IF(LeadsData[[#This Row],[Stage Number]]&gt;=3,1,0)</f>
        <v>1</v>
      </c>
      <c r="O2289" s="2">
        <f>IF(LeadsData[[#This Row],[Stage Number]]&gt;=4,1,0)</f>
        <v>0</v>
      </c>
    </row>
    <row r="2290" spans="1:15" x14ac:dyDescent="0.25">
      <c r="A2290" t="s">
        <v>2330</v>
      </c>
      <c r="B2290" s="1">
        <v>45424</v>
      </c>
      <c r="C2290" t="s">
        <v>25</v>
      </c>
      <c r="D2290" t="s">
        <v>26</v>
      </c>
      <c r="E2290" t="s">
        <v>21</v>
      </c>
      <c r="F2290" t="s">
        <v>19</v>
      </c>
      <c r="G2290" t="s">
        <v>42</v>
      </c>
      <c r="H2290">
        <v>17</v>
      </c>
      <c r="I2290" t="s">
        <v>183</v>
      </c>
      <c r="J2290">
        <v>14215.45</v>
      </c>
      <c r="K2290" cm="1">
        <f t="array" ref="K2290">_xlfn.SWITCH(LeadsData[[#This Row],[Funnel Stage Reached]],"Lead",1,"MQL",2,"SQL",3,"Customer",4)</f>
        <v>4</v>
      </c>
      <c r="L2290" t="str">
        <f>TEXT(LeadsData[[#This Row],[Signup Date]],"mmm-yyyy")</f>
        <v>May-2024</v>
      </c>
      <c r="M2290">
        <f>IF(LeadsData[[#This Row],[Stage Number]]&gt;=2,1,0)</f>
        <v>1</v>
      </c>
      <c r="N2290" s="2">
        <f>IF(LeadsData[[#This Row],[Stage Number]]&gt;=3,1,0)</f>
        <v>1</v>
      </c>
      <c r="O2290" s="2">
        <f>IF(LeadsData[[#This Row],[Stage Number]]&gt;=4,1,0)</f>
        <v>1</v>
      </c>
    </row>
    <row r="2291" spans="1:15" x14ac:dyDescent="0.25">
      <c r="A2291" t="s">
        <v>2331</v>
      </c>
      <c r="B2291" s="1">
        <v>45631</v>
      </c>
      <c r="C2291" t="s">
        <v>31</v>
      </c>
      <c r="D2291" t="s">
        <v>34</v>
      </c>
      <c r="E2291" t="s">
        <v>21</v>
      </c>
      <c r="F2291" t="s">
        <v>28</v>
      </c>
      <c r="G2291" t="s">
        <v>42</v>
      </c>
      <c r="H2291">
        <v>73</v>
      </c>
      <c r="I2291" t="s">
        <v>43</v>
      </c>
      <c r="J2291">
        <v>604.23</v>
      </c>
      <c r="K2291" cm="1">
        <f t="array" ref="K2291">_xlfn.SWITCH(LeadsData[[#This Row],[Funnel Stage Reached]],"Lead",1,"MQL",2,"SQL",3,"Customer",4)</f>
        <v>4</v>
      </c>
      <c r="L2291" t="str">
        <f>TEXT(LeadsData[[#This Row],[Signup Date]],"mmm-yyyy")</f>
        <v>Dec-2024</v>
      </c>
      <c r="M2291">
        <f>IF(LeadsData[[#This Row],[Stage Number]]&gt;=2,1,0)</f>
        <v>1</v>
      </c>
      <c r="N2291" s="2">
        <f>IF(LeadsData[[#This Row],[Stage Number]]&gt;=3,1,0)</f>
        <v>1</v>
      </c>
      <c r="O2291" s="2">
        <f>IF(LeadsData[[#This Row],[Stage Number]]&gt;=4,1,0)</f>
        <v>1</v>
      </c>
    </row>
    <row r="2292" spans="1:15" x14ac:dyDescent="0.25">
      <c r="A2292" t="s">
        <v>2332</v>
      </c>
      <c r="B2292" s="1">
        <v>45417</v>
      </c>
      <c r="C2292" t="s">
        <v>25</v>
      </c>
      <c r="D2292" t="s">
        <v>26</v>
      </c>
      <c r="E2292" t="s">
        <v>13</v>
      </c>
      <c r="F2292" t="s">
        <v>19</v>
      </c>
      <c r="G2292" t="s">
        <v>15</v>
      </c>
      <c r="K2292" cm="1">
        <f t="array" ref="K2292">_xlfn.SWITCH(LeadsData[[#This Row],[Funnel Stage Reached]],"Lead",1,"MQL",2,"SQL",3,"Customer",4)</f>
        <v>1</v>
      </c>
      <c r="L2292" t="str">
        <f>TEXT(LeadsData[[#This Row],[Signup Date]],"mmm-yyyy")</f>
        <v>May-2024</v>
      </c>
      <c r="M2292">
        <f>IF(LeadsData[[#This Row],[Stage Number]]&gt;=2,1,0)</f>
        <v>0</v>
      </c>
      <c r="N2292" s="2">
        <f>IF(LeadsData[[#This Row],[Stage Number]]&gt;=3,1,0)</f>
        <v>0</v>
      </c>
      <c r="O2292" s="2">
        <f>IF(LeadsData[[#This Row],[Stage Number]]&gt;=4,1,0)</f>
        <v>0</v>
      </c>
    </row>
    <row r="2293" spans="1:15" x14ac:dyDescent="0.25">
      <c r="A2293" t="s">
        <v>2333</v>
      </c>
      <c r="B2293" s="1">
        <v>45349</v>
      </c>
      <c r="C2293" t="s">
        <v>36</v>
      </c>
      <c r="D2293" t="s">
        <v>37</v>
      </c>
      <c r="E2293" t="s">
        <v>13</v>
      </c>
      <c r="F2293" t="s">
        <v>19</v>
      </c>
      <c r="G2293" t="s">
        <v>42</v>
      </c>
      <c r="H2293">
        <v>56</v>
      </c>
      <c r="I2293" t="s">
        <v>43</v>
      </c>
      <c r="J2293">
        <v>1026.19</v>
      </c>
      <c r="K2293" cm="1">
        <f t="array" ref="K2293">_xlfn.SWITCH(LeadsData[[#This Row],[Funnel Stage Reached]],"Lead",1,"MQL",2,"SQL",3,"Customer",4)</f>
        <v>4</v>
      </c>
      <c r="L2293" t="str">
        <f>TEXT(LeadsData[[#This Row],[Signup Date]],"mmm-yyyy")</f>
        <v>Feb-2024</v>
      </c>
      <c r="M2293">
        <f>IF(LeadsData[[#This Row],[Stage Number]]&gt;=2,1,0)</f>
        <v>1</v>
      </c>
      <c r="N2293" s="2">
        <f>IF(LeadsData[[#This Row],[Stage Number]]&gt;=3,1,0)</f>
        <v>1</v>
      </c>
      <c r="O2293" s="2">
        <f>IF(LeadsData[[#This Row],[Stage Number]]&gt;=4,1,0)</f>
        <v>1</v>
      </c>
    </row>
    <row r="2294" spans="1:15" x14ac:dyDescent="0.25">
      <c r="A2294" t="s">
        <v>2334</v>
      </c>
      <c r="B2294" s="1">
        <v>45455</v>
      </c>
      <c r="C2294" t="s">
        <v>31</v>
      </c>
      <c r="D2294" t="s">
        <v>34</v>
      </c>
      <c r="E2294" t="s">
        <v>21</v>
      </c>
      <c r="F2294" t="s">
        <v>19</v>
      </c>
      <c r="G2294" t="s">
        <v>15</v>
      </c>
      <c r="K2294" cm="1">
        <f t="array" ref="K2294">_xlfn.SWITCH(LeadsData[[#This Row],[Funnel Stage Reached]],"Lead",1,"MQL",2,"SQL",3,"Customer",4)</f>
        <v>1</v>
      </c>
      <c r="L2294" t="str">
        <f>TEXT(LeadsData[[#This Row],[Signup Date]],"mmm-yyyy")</f>
        <v>Jun-2024</v>
      </c>
      <c r="M2294">
        <f>IF(LeadsData[[#This Row],[Stage Number]]&gt;=2,1,0)</f>
        <v>0</v>
      </c>
      <c r="N2294" s="2">
        <f>IF(LeadsData[[#This Row],[Stage Number]]&gt;=3,1,0)</f>
        <v>0</v>
      </c>
      <c r="O2294" s="2">
        <f>IF(LeadsData[[#This Row],[Stage Number]]&gt;=4,1,0)</f>
        <v>0</v>
      </c>
    </row>
    <row r="2295" spans="1:15" x14ac:dyDescent="0.25">
      <c r="A2295" t="s">
        <v>2335</v>
      </c>
      <c r="B2295" s="1">
        <v>45365</v>
      </c>
      <c r="C2295" t="s">
        <v>25</v>
      </c>
      <c r="D2295" t="s">
        <v>26</v>
      </c>
      <c r="E2295" t="s">
        <v>21</v>
      </c>
      <c r="F2295" t="s">
        <v>19</v>
      </c>
      <c r="G2295" t="s">
        <v>23</v>
      </c>
      <c r="K2295" cm="1">
        <f t="array" ref="K2295">_xlfn.SWITCH(LeadsData[[#This Row],[Funnel Stage Reached]],"Lead",1,"MQL",2,"SQL",3,"Customer",4)</f>
        <v>2</v>
      </c>
      <c r="L2295" t="str">
        <f>TEXT(LeadsData[[#This Row],[Signup Date]],"mmm-yyyy")</f>
        <v>Mar-2024</v>
      </c>
      <c r="M2295">
        <f>IF(LeadsData[[#This Row],[Stage Number]]&gt;=2,1,0)</f>
        <v>1</v>
      </c>
      <c r="N2295" s="2">
        <f>IF(LeadsData[[#This Row],[Stage Number]]&gt;=3,1,0)</f>
        <v>0</v>
      </c>
      <c r="O2295" s="2">
        <f>IF(LeadsData[[#This Row],[Stage Number]]&gt;=4,1,0)</f>
        <v>0</v>
      </c>
    </row>
    <row r="2296" spans="1:15" x14ac:dyDescent="0.25">
      <c r="A2296" t="s">
        <v>2336</v>
      </c>
      <c r="B2296" s="1">
        <v>45554</v>
      </c>
      <c r="C2296" t="s">
        <v>17</v>
      </c>
      <c r="D2296" t="s">
        <v>18</v>
      </c>
      <c r="E2296" t="s">
        <v>21</v>
      </c>
      <c r="F2296" t="s">
        <v>19</v>
      </c>
      <c r="G2296" t="s">
        <v>23</v>
      </c>
      <c r="K2296" cm="1">
        <f t="array" ref="K2296">_xlfn.SWITCH(LeadsData[[#This Row],[Funnel Stage Reached]],"Lead",1,"MQL",2,"SQL",3,"Customer",4)</f>
        <v>2</v>
      </c>
      <c r="L2296" t="str">
        <f>TEXT(LeadsData[[#This Row],[Signup Date]],"mmm-yyyy")</f>
        <v>Sep-2024</v>
      </c>
      <c r="M2296">
        <f>IF(LeadsData[[#This Row],[Stage Number]]&gt;=2,1,0)</f>
        <v>1</v>
      </c>
      <c r="N2296" s="2">
        <f>IF(LeadsData[[#This Row],[Stage Number]]&gt;=3,1,0)</f>
        <v>0</v>
      </c>
      <c r="O2296" s="2">
        <f>IF(LeadsData[[#This Row],[Stage Number]]&gt;=4,1,0)</f>
        <v>0</v>
      </c>
    </row>
    <row r="2297" spans="1:15" x14ac:dyDescent="0.25">
      <c r="A2297" t="s">
        <v>2337</v>
      </c>
      <c r="B2297" s="1">
        <v>45316</v>
      </c>
      <c r="C2297" t="s">
        <v>31</v>
      </c>
      <c r="D2297" t="s">
        <v>34</v>
      </c>
      <c r="E2297" t="s">
        <v>21</v>
      </c>
      <c r="F2297" t="s">
        <v>14</v>
      </c>
      <c r="G2297" t="s">
        <v>15</v>
      </c>
      <c r="K2297" cm="1">
        <f t="array" ref="K2297">_xlfn.SWITCH(LeadsData[[#This Row],[Funnel Stage Reached]],"Lead",1,"MQL",2,"SQL",3,"Customer",4)</f>
        <v>1</v>
      </c>
      <c r="L2297" t="str">
        <f>TEXT(LeadsData[[#This Row],[Signup Date]],"mmm-yyyy")</f>
        <v>Jan-2024</v>
      </c>
      <c r="M2297">
        <f>IF(LeadsData[[#This Row],[Stage Number]]&gt;=2,1,0)</f>
        <v>0</v>
      </c>
      <c r="N2297" s="2">
        <f>IF(LeadsData[[#This Row],[Stage Number]]&gt;=3,1,0)</f>
        <v>0</v>
      </c>
      <c r="O2297" s="2">
        <f>IF(LeadsData[[#This Row],[Stage Number]]&gt;=4,1,0)</f>
        <v>0</v>
      </c>
    </row>
    <row r="2298" spans="1:15" x14ac:dyDescent="0.25">
      <c r="A2298" t="s">
        <v>2338</v>
      </c>
      <c r="B2298" s="1">
        <v>45297</v>
      </c>
      <c r="C2298" t="s">
        <v>17</v>
      </c>
      <c r="D2298" t="s">
        <v>18</v>
      </c>
      <c r="E2298" t="s">
        <v>13</v>
      </c>
      <c r="F2298" t="s">
        <v>19</v>
      </c>
      <c r="G2298" t="s">
        <v>15</v>
      </c>
      <c r="K2298" cm="1">
        <f t="array" ref="K2298">_xlfn.SWITCH(LeadsData[[#This Row],[Funnel Stage Reached]],"Lead",1,"MQL",2,"SQL",3,"Customer",4)</f>
        <v>1</v>
      </c>
      <c r="L2298" t="str">
        <f>TEXT(LeadsData[[#This Row],[Signup Date]],"mmm-yyyy")</f>
        <v>Jan-2024</v>
      </c>
      <c r="M2298">
        <f>IF(LeadsData[[#This Row],[Stage Number]]&gt;=2,1,0)</f>
        <v>0</v>
      </c>
      <c r="N2298" s="2">
        <f>IF(LeadsData[[#This Row],[Stage Number]]&gt;=3,1,0)</f>
        <v>0</v>
      </c>
      <c r="O2298" s="2">
        <f>IF(LeadsData[[#This Row],[Stage Number]]&gt;=4,1,0)</f>
        <v>0</v>
      </c>
    </row>
    <row r="2299" spans="1:15" x14ac:dyDescent="0.25">
      <c r="A2299" t="s">
        <v>2339</v>
      </c>
      <c r="B2299" s="1">
        <v>45618</v>
      </c>
      <c r="C2299" t="s">
        <v>11</v>
      </c>
      <c r="D2299" t="s">
        <v>12</v>
      </c>
      <c r="E2299" t="s">
        <v>13</v>
      </c>
      <c r="F2299" t="s">
        <v>19</v>
      </c>
      <c r="G2299" t="s">
        <v>29</v>
      </c>
      <c r="K2299" cm="1">
        <f t="array" ref="K2299">_xlfn.SWITCH(LeadsData[[#This Row],[Funnel Stage Reached]],"Lead",1,"MQL",2,"SQL",3,"Customer",4)</f>
        <v>3</v>
      </c>
      <c r="L2299" t="str">
        <f>TEXT(LeadsData[[#This Row],[Signup Date]],"mmm-yyyy")</f>
        <v>Nov-2024</v>
      </c>
      <c r="M2299">
        <f>IF(LeadsData[[#This Row],[Stage Number]]&gt;=2,1,0)</f>
        <v>1</v>
      </c>
      <c r="N2299" s="2">
        <f>IF(LeadsData[[#This Row],[Stage Number]]&gt;=3,1,0)</f>
        <v>1</v>
      </c>
      <c r="O2299" s="2">
        <f>IF(LeadsData[[#This Row],[Stage Number]]&gt;=4,1,0)</f>
        <v>0</v>
      </c>
    </row>
    <row r="2300" spans="1:15" x14ac:dyDescent="0.25">
      <c r="A2300" t="s">
        <v>2340</v>
      </c>
      <c r="B2300" s="1">
        <v>45528</v>
      </c>
      <c r="C2300" t="s">
        <v>46</v>
      </c>
      <c r="D2300" t="s">
        <v>47</v>
      </c>
      <c r="E2300" t="s">
        <v>13</v>
      </c>
      <c r="F2300" t="s">
        <v>14</v>
      </c>
      <c r="G2300" t="s">
        <v>15</v>
      </c>
      <c r="K2300" cm="1">
        <f t="array" ref="K2300">_xlfn.SWITCH(LeadsData[[#This Row],[Funnel Stage Reached]],"Lead",1,"MQL",2,"SQL",3,"Customer",4)</f>
        <v>1</v>
      </c>
      <c r="L2300" t="str">
        <f>TEXT(LeadsData[[#This Row],[Signup Date]],"mmm-yyyy")</f>
        <v>Aug-2024</v>
      </c>
      <c r="M2300">
        <f>IF(LeadsData[[#This Row],[Stage Number]]&gt;=2,1,0)</f>
        <v>0</v>
      </c>
      <c r="N2300" s="2">
        <f>IF(LeadsData[[#This Row],[Stage Number]]&gt;=3,1,0)</f>
        <v>0</v>
      </c>
      <c r="O2300" s="2">
        <f>IF(LeadsData[[#This Row],[Stage Number]]&gt;=4,1,0)</f>
        <v>0</v>
      </c>
    </row>
    <row r="2301" spans="1:15" x14ac:dyDescent="0.25">
      <c r="A2301" t="s">
        <v>2341</v>
      </c>
      <c r="B2301" s="1">
        <v>45465</v>
      </c>
      <c r="C2301" t="s">
        <v>31</v>
      </c>
      <c r="D2301" t="s">
        <v>34</v>
      </c>
      <c r="E2301" t="s">
        <v>21</v>
      </c>
      <c r="F2301" t="s">
        <v>19</v>
      </c>
      <c r="G2301" t="s">
        <v>15</v>
      </c>
      <c r="K2301" cm="1">
        <f t="array" ref="K2301">_xlfn.SWITCH(LeadsData[[#This Row],[Funnel Stage Reached]],"Lead",1,"MQL",2,"SQL",3,"Customer",4)</f>
        <v>1</v>
      </c>
      <c r="L2301" t="str">
        <f>TEXT(LeadsData[[#This Row],[Signup Date]],"mmm-yyyy")</f>
        <v>Jun-2024</v>
      </c>
      <c r="M2301">
        <f>IF(LeadsData[[#This Row],[Stage Number]]&gt;=2,1,0)</f>
        <v>0</v>
      </c>
      <c r="N2301" s="2">
        <f>IF(LeadsData[[#This Row],[Stage Number]]&gt;=3,1,0)</f>
        <v>0</v>
      </c>
      <c r="O2301" s="2">
        <f>IF(LeadsData[[#This Row],[Stage Number]]&gt;=4,1,0)</f>
        <v>0</v>
      </c>
    </row>
    <row r="2302" spans="1:15" x14ac:dyDescent="0.25">
      <c r="A2302" t="s">
        <v>2342</v>
      </c>
      <c r="B2302" s="1">
        <v>45475</v>
      </c>
      <c r="C2302" t="s">
        <v>31</v>
      </c>
      <c r="D2302" t="s">
        <v>34</v>
      </c>
      <c r="E2302" t="s">
        <v>13</v>
      </c>
      <c r="F2302" t="s">
        <v>19</v>
      </c>
      <c r="G2302" t="s">
        <v>23</v>
      </c>
      <c r="K2302" cm="1">
        <f t="array" ref="K2302">_xlfn.SWITCH(LeadsData[[#This Row],[Funnel Stage Reached]],"Lead",1,"MQL",2,"SQL",3,"Customer",4)</f>
        <v>2</v>
      </c>
      <c r="L2302" t="str">
        <f>TEXT(LeadsData[[#This Row],[Signup Date]],"mmm-yyyy")</f>
        <v>Jul-2024</v>
      </c>
      <c r="M2302">
        <f>IF(LeadsData[[#This Row],[Stage Number]]&gt;=2,1,0)</f>
        <v>1</v>
      </c>
      <c r="N2302" s="2">
        <f>IF(LeadsData[[#This Row],[Stage Number]]&gt;=3,1,0)</f>
        <v>0</v>
      </c>
      <c r="O2302" s="2">
        <f>IF(LeadsData[[#This Row],[Stage Number]]&gt;=4,1,0)</f>
        <v>0</v>
      </c>
    </row>
    <row r="2303" spans="1:15" x14ac:dyDescent="0.25">
      <c r="A2303" t="s">
        <v>2343</v>
      </c>
      <c r="B2303" s="1">
        <v>45435</v>
      </c>
      <c r="C2303" t="s">
        <v>36</v>
      </c>
      <c r="D2303" t="s">
        <v>50</v>
      </c>
      <c r="E2303" t="s">
        <v>13</v>
      </c>
      <c r="F2303" t="s">
        <v>22</v>
      </c>
      <c r="G2303" t="s">
        <v>23</v>
      </c>
      <c r="K2303" cm="1">
        <f t="array" ref="K2303">_xlfn.SWITCH(LeadsData[[#This Row],[Funnel Stage Reached]],"Lead",1,"MQL",2,"SQL",3,"Customer",4)</f>
        <v>2</v>
      </c>
      <c r="L2303" t="str">
        <f>TEXT(LeadsData[[#This Row],[Signup Date]],"mmm-yyyy")</f>
        <v>May-2024</v>
      </c>
      <c r="M2303">
        <f>IF(LeadsData[[#This Row],[Stage Number]]&gt;=2,1,0)</f>
        <v>1</v>
      </c>
      <c r="N2303" s="2">
        <f>IF(LeadsData[[#This Row],[Stage Number]]&gt;=3,1,0)</f>
        <v>0</v>
      </c>
      <c r="O2303" s="2">
        <f>IF(LeadsData[[#This Row],[Stage Number]]&gt;=4,1,0)</f>
        <v>0</v>
      </c>
    </row>
    <row r="2304" spans="1:15" x14ac:dyDescent="0.25">
      <c r="A2304" t="s">
        <v>2344</v>
      </c>
      <c r="B2304" s="1">
        <v>45494</v>
      </c>
      <c r="C2304" t="s">
        <v>46</v>
      </c>
      <c r="D2304" t="s">
        <v>47</v>
      </c>
      <c r="E2304" t="s">
        <v>21</v>
      </c>
      <c r="F2304" t="s">
        <v>22</v>
      </c>
      <c r="G2304" t="s">
        <v>23</v>
      </c>
      <c r="K2304" cm="1">
        <f t="array" ref="K2304">_xlfn.SWITCH(LeadsData[[#This Row],[Funnel Stage Reached]],"Lead",1,"MQL",2,"SQL",3,"Customer",4)</f>
        <v>2</v>
      </c>
      <c r="L2304" t="str">
        <f>TEXT(LeadsData[[#This Row],[Signup Date]],"mmm-yyyy")</f>
        <v>Jul-2024</v>
      </c>
      <c r="M2304">
        <f>IF(LeadsData[[#This Row],[Stage Number]]&gt;=2,1,0)</f>
        <v>1</v>
      </c>
      <c r="N2304" s="2">
        <f>IF(LeadsData[[#This Row],[Stage Number]]&gt;=3,1,0)</f>
        <v>0</v>
      </c>
      <c r="O2304" s="2">
        <f>IF(LeadsData[[#This Row],[Stage Number]]&gt;=4,1,0)</f>
        <v>0</v>
      </c>
    </row>
    <row r="2305" spans="1:15" x14ac:dyDescent="0.25">
      <c r="A2305" t="s">
        <v>2345</v>
      </c>
      <c r="B2305" s="1">
        <v>45549</v>
      </c>
      <c r="C2305" t="s">
        <v>11</v>
      </c>
      <c r="D2305" t="s">
        <v>68</v>
      </c>
      <c r="E2305" t="s">
        <v>13</v>
      </c>
      <c r="F2305" t="s">
        <v>19</v>
      </c>
      <c r="G2305" t="s">
        <v>15</v>
      </c>
      <c r="K2305" cm="1">
        <f t="array" ref="K2305">_xlfn.SWITCH(LeadsData[[#This Row],[Funnel Stage Reached]],"Lead",1,"MQL",2,"SQL",3,"Customer",4)</f>
        <v>1</v>
      </c>
      <c r="L2305" t="str">
        <f>TEXT(LeadsData[[#This Row],[Signup Date]],"mmm-yyyy")</f>
        <v>Sep-2024</v>
      </c>
      <c r="M2305">
        <f>IF(LeadsData[[#This Row],[Stage Number]]&gt;=2,1,0)</f>
        <v>0</v>
      </c>
      <c r="N2305" s="2">
        <f>IF(LeadsData[[#This Row],[Stage Number]]&gt;=3,1,0)</f>
        <v>0</v>
      </c>
      <c r="O2305" s="2">
        <f>IF(LeadsData[[#This Row],[Stage Number]]&gt;=4,1,0)</f>
        <v>0</v>
      </c>
    </row>
    <row r="2306" spans="1:15" x14ac:dyDescent="0.25">
      <c r="A2306" t="s">
        <v>2346</v>
      </c>
      <c r="B2306" s="1">
        <v>45352</v>
      </c>
      <c r="C2306" t="s">
        <v>46</v>
      </c>
      <c r="D2306" t="s">
        <v>47</v>
      </c>
      <c r="E2306" t="s">
        <v>21</v>
      </c>
      <c r="F2306" t="s">
        <v>19</v>
      </c>
      <c r="G2306" t="s">
        <v>15</v>
      </c>
      <c r="K2306" cm="1">
        <f t="array" ref="K2306">_xlfn.SWITCH(LeadsData[[#This Row],[Funnel Stage Reached]],"Lead",1,"MQL",2,"SQL",3,"Customer",4)</f>
        <v>1</v>
      </c>
      <c r="L2306" t="str">
        <f>TEXT(LeadsData[[#This Row],[Signup Date]],"mmm-yyyy")</f>
        <v>Mar-2024</v>
      </c>
      <c r="M2306">
        <f>IF(LeadsData[[#This Row],[Stage Number]]&gt;=2,1,0)</f>
        <v>0</v>
      </c>
      <c r="N2306" s="2">
        <f>IF(LeadsData[[#This Row],[Stage Number]]&gt;=3,1,0)</f>
        <v>0</v>
      </c>
      <c r="O2306" s="2">
        <f>IF(LeadsData[[#This Row],[Stage Number]]&gt;=4,1,0)</f>
        <v>0</v>
      </c>
    </row>
    <row r="2307" spans="1:15" x14ac:dyDescent="0.25">
      <c r="A2307" t="s">
        <v>2347</v>
      </c>
      <c r="B2307" s="1">
        <v>45496</v>
      </c>
      <c r="C2307" t="s">
        <v>17</v>
      </c>
      <c r="D2307" t="s">
        <v>18</v>
      </c>
      <c r="E2307" t="s">
        <v>21</v>
      </c>
      <c r="F2307" t="s">
        <v>14</v>
      </c>
      <c r="G2307" t="s">
        <v>15</v>
      </c>
      <c r="K2307" cm="1">
        <f t="array" ref="K2307">_xlfn.SWITCH(LeadsData[[#This Row],[Funnel Stage Reached]],"Lead",1,"MQL",2,"SQL",3,"Customer",4)</f>
        <v>1</v>
      </c>
      <c r="L2307" t="str">
        <f>TEXT(LeadsData[[#This Row],[Signup Date]],"mmm-yyyy")</f>
        <v>Jul-2024</v>
      </c>
      <c r="M2307">
        <f>IF(LeadsData[[#This Row],[Stage Number]]&gt;=2,1,0)</f>
        <v>0</v>
      </c>
      <c r="N2307" s="2">
        <f>IF(LeadsData[[#This Row],[Stage Number]]&gt;=3,1,0)</f>
        <v>0</v>
      </c>
      <c r="O2307" s="2">
        <f>IF(LeadsData[[#This Row],[Stage Number]]&gt;=4,1,0)</f>
        <v>0</v>
      </c>
    </row>
    <row r="2308" spans="1:15" x14ac:dyDescent="0.25">
      <c r="A2308" t="s">
        <v>2348</v>
      </c>
      <c r="B2308" s="1">
        <v>45646</v>
      </c>
      <c r="C2308" t="s">
        <v>31</v>
      </c>
      <c r="D2308" t="s">
        <v>32</v>
      </c>
      <c r="E2308" t="s">
        <v>13</v>
      </c>
      <c r="F2308" t="s">
        <v>22</v>
      </c>
      <c r="G2308" t="s">
        <v>29</v>
      </c>
      <c r="K2308" cm="1">
        <f t="array" ref="K2308">_xlfn.SWITCH(LeadsData[[#This Row],[Funnel Stage Reached]],"Lead",1,"MQL",2,"SQL",3,"Customer",4)</f>
        <v>3</v>
      </c>
      <c r="L2308" t="str">
        <f>TEXT(LeadsData[[#This Row],[Signup Date]],"mmm-yyyy")</f>
        <v>Dec-2024</v>
      </c>
      <c r="M2308">
        <f>IF(LeadsData[[#This Row],[Stage Number]]&gt;=2,1,0)</f>
        <v>1</v>
      </c>
      <c r="N2308" s="2">
        <f>IF(LeadsData[[#This Row],[Stage Number]]&gt;=3,1,0)</f>
        <v>1</v>
      </c>
      <c r="O2308" s="2">
        <f>IF(LeadsData[[#This Row],[Stage Number]]&gt;=4,1,0)</f>
        <v>0</v>
      </c>
    </row>
    <row r="2309" spans="1:15" x14ac:dyDescent="0.25">
      <c r="A2309" t="s">
        <v>2349</v>
      </c>
      <c r="B2309" s="1">
        <v>45648</v>
      </c>
      <c r="C2309" t="s">
        <v>31</v>
      </c>
      <c r="D2309" t="s">
        <v>34</v>
      </c>
      <c r="E2309" t="s">
        <v>21</v>
      </c>
      <c r="F2309" t="s">
        <v>19</v>
      </c>
      <c r="G2309" t="s">
        <v>15</v>
      </c>
      <c r="K2309" cm="1">
        <f t="array" ref="K2309">_xlfn.SWITCH(LeadsData[[#This Row],[Funnel Stage Reached]],"Lead",1,"MQL",2,"SQL",3,"Customer",4)</f>
        <v>1</v>
      </c>
      <c r="L2309" t="str">
        <f>TEXT(LeadsData[[#This Row],[Signup Date]],"mmm-yyyy")</f>
        <v>Dec-2024</v>
      </c>
      <c r="M2309">
        <f>IF(LeadsData[[#This Row],[Stage Number]]&gt;=2,1,0)</f>
        <v>0</v>
      </c>
      <c r="N2309" s="2">
        <f>IF(LeadsData[[#This Row],[Stage Number]]&gt;=3,1,0)</f>
        <v>0</v>
      </c>
      <c r="O2309" s="2">
        <f>IF(LeadsData[[#This Row],[Stage Number]]&gt;=4,1,0)</f>
        <v>0</v>
      </c>
    </row>
    <row r="2310" spans="1:15" x14ac:dyDescent="0.25">
      <c r="A2310" t="s">
        <v>2350</v>
      </c>
      <c r="B2310" s="1">
        <v>45458</v>
      </c>
      <c r="C2310" t="s">
        <v>46</v>
      </c>
      <c r="D2310" t="s">
        <v>56</v>
      </c>
      <c r="E2310" t="s">
        <v>13</v>
      </c>
      <c r="F2310" t="s">
        <v>14</v>
      </c>
      <c r="G2310" t="s">
        <v>29</v>
      </c>
      <c r="K2310" cm="1">
        <f t="array" ref="K2310">_xlfn.SWITCH(LeadsData[[#This Row],[Funnel Stage Reached]],"Lead",1,"MQL",2,"SQL",3,"Customer",4)</f>
        <v>3</v>
      </c>
      <c r="L2310" t="str">
        <f>TEXT(LeadsData[[#This Row],[Signup Date]],"mmm-yyyy")</f>
        <v>Jun-2024</v>
      </c>
      <c r="M2310">
        <f>IF(LeadsData[[#This Row],[Stage Number]]&gt;=2,1,0)</f>
        <v>1</v>
      </c>
      <c r="N2310" s="2">
        <f>IF(LeadsData[[#This Row],[Stage Number]]&gt;=3,1,0)</f>
        <v>1</v>
      </c>
      <c r="O2310" s="2">
        <f>IF(LeadsData[[#This Row],[Stage Number]]&gt;=4,1,0)</f>
        <v>0</v>
      </c>
    </row>
    <row r="2311" spans="1:15" x14ac:dyDescent="0.25">
      <c r="A2311" t="s">
        <v>2351</v>
      </c>
      <c r="B2311" s="1">
        <v>45471</v>
      </c>
      <c r="C2311" t="s">
        <v>31</v>
      </c>
      <c r="D2311" t="s">
        <v>32</v>
      </c>
      <c r="E2311" t="s">
        <v>13</v>
      </c>
      <c r="F2311" t="s">
        <v>19</v>
      </c>
      <c r="G2311" t="s">
        <v>15</v>
      </c>
      <c r="K2311" cm="1">
        <f t="array" ref="K2311">_xlfn.SWITCH(LeadsData[[#This Row],[Funnel Stage Reached]],"Lead",1,"MQL",2,"SQL",3,"Customer",4)</f>
        <v>1</v>
      </c>
      <c r="L2311" t="str">
        <f>TEXT(LeadsData[[#This Row],[Signup Date]],"mmm-yyyy")</f>
        <v>Jun-2024</v>
      </c>
      <c r="M2311">
        <f>IF(LeadsData[[#This Row],[Stage Number]]&gt;=2,1,0)</f>
        <v>0</v>
      </c>
      <c r="N2311" s="2">
        <f>IF(LeadsData[[#This Row],[Stage Number]]&gt;=3,1,0)</f>
        <v>0</v>
      </c>
      <c r="O2311" s="2">
        <f>IF(LeadsData[[#This Row],[Stage Number]]&gt;=4,1,0)</f>
        <v>0</v>
      </c>
    </row>
    <row r="2312" spans="1:15" x14ac:dyDescent="0.25">
      <c r="A2312" t="s">
        <v>2352</v>
      </c>
      <c r="B2312" s="1">
        <v>45400</v>
      </c>
      <c r="C2312" t="s">
        <v>46</v>
      </c>
      <c r="D2312" t="s">
        <v>56</v>
      </c>
      <c r="E2312" t="s">
        <v>21</v>
      </c>
      <c r="F2312" t="s">
        <v>14</v>
      </c>
      <c r="G2312" t="s">
        <v>23</v>
      </c>
      <c r="K2312" cm="1">
        <f t="array" ref="K2312">_xlfn.SWITCH(LeadsData[[#This Row],[Funnel Stage Reached]],"Lead",1,"MQL",2,"SQL",3,"Customer",4)</f>
        <v>2</v>
      </c>
      <c r="L2312" t="str">
        <f>TEXT(LeadsData[[#This Row],[Signup Date]],"mmm-yyyy")</f>
        <v>Apr-2024</v>
      </c>
      <c r="M2312">
        <f>IF(LeadsData[[#This Row],[Stage Number]]&gt;=2,1,0)</f>
        <v>1</v>
      </c>
      <c r="N2312" s="2">
        <f>IF(LeadsData[[#This Row],[Stage Number]]&gt;=3,1,0)</f>
        <v>0</v>
      </c>
      <c r="O2312" s="2">
        <f>IF(LeadsData[[#This Row],[Stage Number]]&gt;=4,1,0)</f>
        <v>0</v>
      </c>
    </row>
    <row r="2313" spans="1:15" x14ac:dyDescent="0.25">
      <c r="A2313" t="s">
        <v>2353</v>
      </c>
      <c r="B2313" s="1">
        <v>45580</v>
      </c>
      <c r="C2313" t="s">
        <v>46</v>
      </c>
      <c r="D2313" t="s">
        <v>47</v>
      </c>
      <c r="E2313" t="s">
        <v>21</v>
      </c>
      <c r="F2313" t="s">
        <v>22</v>
      </c>
      <c r="G2313" t="s">
        <v>29</v>
      </c>
      <c r="K2313" cm="1">
        <f t="array" ref="K2313">_xlfn.SWITCH(LeadsData[[#This Row],[Funnel Stage Reached]],"Lead",1,"MQL",2,"SQL",3,"Customer",4)</f>
        <v>3</v>
      </c>
      <c r="L2313" t="str">
        <f>TEXT(LeadsData[[#This Row],[Signup Date]],"mmm-yyyy")</f>
        <v>Oct-2024</v>
      </c>
      <c r="M2313">
        <f>IF(LeadsData[[#This Row],[Stage Number]]&gt;=2,1,0)</f>
        <v>1</v>
      </c>
      <c r="N2313" s="2">
        <f>IF(LeadsData[[#This Row],[Stage Number]]&gt;=3,1,0)</f>
        <v>1</v>
      </c>
      <c r="O2313" s="2">
        <f>IF(LeadsData[[#This Row],[Stage Number]]&gt;=4,1,0)</f>
        <v>0</v>
      </c>
    </row>
    <row r="2314" spans="1:15" x14ac:dyDescent="0.25">
      <c r="A2314" t="s">
        <v>2354</v>
      </c>
      <c r="B2314" s="1">
        <v>45319</v>
      </c>
      <c r="C2314" t="s">
        <v>36</v>
      </c>
      <c r="D2314" t="s">
        <v>50</v>
      </c>
      <c r="E2314" t="s">
        <v>13</v>
      </c>
      <c r="F2314" t="s">
        <v>22</v>
      </c>
      <c r="G2314" t="s">
        <v>15</v>
      </c>
      <c r="K2314" cm="1">
        <f t="array" ref="K2314">_xlfn.SWITCH(LeadsData[[#This Row],[Funnel Stage Reached]],"Lead",1,"MQL",2,"SQL",3,"Customer",4)</f>
        <v>1</v>
      </c>
      <c r="L2314" t="str">
        <f>TEXT(LeadsData[[#This Row],[Signup Date]],"mmm-yyyy")</f>
        <v>Jan-2024</v>
      </c>
      <c r="M2314">
        <f>IF(LeadsData[[#This Row],[Stage Number]]&gt;=2,1,0)</f>
        <v>0</v>
      </c>
      <c r="N2314" s="2">
        <f>IF(LeadsData[[#This Row],[Stage Number]]&gt;=3,1,0)</f>
        <v>0</v>
      </c>
      <c r="O2314" s="2">
        <f>IF(LeadsData[[#This Row],[Stage Number]]&gt;=4,1,0)</f>
        <v>0</v>
      </c>
    </row>
    <row r="2315" spans="1:15" x14ac:dyDescent="0.25">
      <c r="A2315" t="s">
        <v>2355</v>
      </c>
      <c r="B2315" s="1">
        <v>45456</v>
      </c>
      <c r="C2315" t="s">
        <v>46</v>
      </c>
      <c r="D2315" t="s">
        <v>56</v>
      </c>
      <c r="E2315" t="s">
        <v>13</v>
      </c>
      <c r="F2315" t="s">
        <v>19</v>
      </c>
      <c r="G2315" t="s">
        <v>23</v>
      </c>
      <c r="K2315" cm="1">
        <f t="array" ref="K2315">_xlfn.SWITCH(LeadsData[[#This Row],[Funnel Stage Reached]],"Lead",1,"MQL",2,"SQL",3,"Customer",4)</f>
        <v>2</v>
      </c>
      <c r="L2315" t="str">
        <f>TEXT(LeadsData[[#This Row],[Signup Date]],"mmm-yyyy")</f>
        <v>Jun-2024</v>
      </c>
      <c r="M2315">
        <f>IF(LeadsData[[#This Row],[Stage Number]]&gt;=2,1,0)</f>
        <v>1</v>
      </c>
      <c r="N2315" s="2">
        <f>IF(LeadsData[[#This Row],[Stage Number]]&gt;=3,1,0)</f>
        <v>0</v>
      </c>
      <c r="O2315" s="2">
        <f>IF(LeadsData[[#This Row],[Stage Number]]&gt;=4,1,0)</f>
        <v>0</v>
      </c>
    </row>
    <row r="2316" spans="1:15" x14ac:dyDescent="0.25">
      <c r="A2316" t="s">
        <v>2356</v>
      </c>
      <c r="B2316" s="1">
        <v>45643</v>
      </c>
      <c r="C2316" t="s">
        <v>31</v>
      </c>
      <c r="D2316" t="s">
        <v>34</v>
      </c>
      <c r="E2316" t="s">
        <v>21</v>
      </c>
      <c r="F2316" t="s">
        <v>19</v>
      </c>
      <c r="G2316" t="s">
        <v>23</v>
      </c>
      <c r="K2316" cm="1">
        <f t="array" ref="K2316">_xlfn.SWITCH(LeadsData[[#This Row],[Funnel Stage Reached]],"Lead",1,"MQL",2,"SQL",3,"Customer",4)</f>
        <v>2</v>
      </c>
      <c r="L2316" t="str">
        <f>TEXT(LeadsData[[#This Row],[Signup Date]],"mmm-yyyy")</f>
        <v>Dec-2024</v>
      </c>
      <c r="M2316">
        <f>IF(LeadsData[[#This Row],[Stage Number]]&gt;=2,1,0)</f>
        <v>1</v>
      </c>
      <c r="N2316" s="2">
        <f>IF(LeadsData[[#This Row],[Stage Number]]&gt;=3,1,0)</f>
        <v>0</v>
      </c>
      <c r="O2316" s="2">
        <f>IF(LeadsData[[#This Row],[Stage Number]]&gt;=4,1,0)</f>
        <v>0</v>
      </c>
    </row>
    <row r="2317" spans="1:15" x14ac:dyDescent="0.25">
      <c r="A2317" t="s">
        <v>2357</v>
      </c>
      <c r="B2317" s="1">
        <v>45647</v>
      </c>
      <c r="C2317" t="s">
        <v>17</v>
      </c>
      <c r="D2317" t="s">
        <v>53</v>
      </c>
      <c r="E2317" t="s">
        <v>21</v>
      </c>
      <c r="F2317" t="s">
        <v>28</v>
      </c>
      <c r="G2317" t="s">
        <v>15</v>
      </c>
      <c r="K2317" cm="1">
        <f t="array" ref="K2317">_xlfn.SWITCH(LeadsData[[#This Row],[Funnel Stage Reached]],"Lead",1,"MQL",2,"SQL",3,"Customer",4)</f>
        <v>1</v>
      </c>
      <c r="L2317" t="str">
        <f>TEXT(LeadsData[[#This Row],[Signup Date]],"mmm-yyyy")</f>
        <v>Dec-2024</v>
      </c>
      <c r="M2317">
        <f>IF(LeadsData[[#This Row],[Stage Number]]&gt;=2,1,0)</f>
        <v>0</v>
      </c>
      <c r="N2317" s="2">
        <f>IF(LeadsData[[#This Row],[Stage Number]]&gt;=3,1,0)</f>
        <v>0</v>
      </c>
      <c r="O2317" s="2">
        <f>IF(LeadsData[[#This Row],[Stage Number]]&gt;=4,1,0)</f>
        <v>0</v>
      </c>
    </row>
    <row r="2318" spans="1:15" x14ac:dyDescent="0.25">
      <c r="A2318" t="s">
        <v>2358</v>
      </c>
      <c r="B2318" s="1">
        <v>45580</v>
      </c>
      <c r="C2318" t="s">
        <v>31</v>
      </c>
      <c r="D2318" t="s">
        <v>32</v>
      </c>
      <c r="E2318" t="s">
        <v>13</v>
      </c>
      <c r="F2318" t="s">
        <v>14</v>
      </c>
      <c r="G2318" t="s">
        <v>23</v>
      </c>
      <c r="K2318" cm="1">
        <f t="array" ref="K2318">_xlfn.SWITCH(LeadsData[[#This Row],[Funnel Stage Reached]],"Lead",1,"MQL",2,"SQL",3,"Customer",4)</f>
        <v>2</v>
      </c>
      <c r="L2318" t="str">
        <f>TEXT(LeadsData[[#This Row],[Signup Date]],"mmm-yyyy")</f>
        <v>Oct-2024</v>
      </c>
      <c r="M2318">
        <f>IF(LeadsData[[#This Row],[Stage Number]]&gt;=2,1,0)</f>
        <v>1</v>
      </c>
      <c r="N2318" s="2">
        <f>IF(LeadsData[[#This Row],[Stage Number]]&gt;=3,1,0)</f>
        <v>0</v>
      </c>
      <c r="O2318" s="2">
        <f>IF(LeadsData[[#This Row],[Stage Number]]&gt;=4,1,0)</f>
        <v>0</v>
      </c>
    </row>
    <row r="2319" spans="1:15" x14ac:dyDescent="0.25">
      <c r="A2319" t="s">
        <v>2359</v>
      </c>
      <c r="B2319" s="1">
        <v>45500</v>
      </c>
      <c r="C2319" t="s">
        <v>36</v>
      </c>
      <c r="D2319" t="s">
        <v>37</v>
      </c>
      <c r="E2319" t="s">
        <v>13</v>
      </c>
      <c r="F2319" t="s">
        <v>28</v>
      </c>
      <c r="G2319" t="s">
        <v>23</v>
      </c>
      <c r="K2319" cm="1">
        <f t="array" ref="K2319">_xlfn.SWITCH(LeadsData[[#This Row],[Funnel Stage Reached]],"Lead",1,"MQL",2,"SQL",3,"Customer",4)</f>
        <v>2</v>
      </c>
      <c r="L2319" t="str">
        <f>TEXT(LeadsData[[#This Row],[Signup Date]],"mmm-yyyy")</f>
        <v>Jul-2024</v>
      </c>
      <c r="M2319">
        <f>IF(LeadsData[[#This Row],[Stage Number]]&gt;=2,1,0)</f>
        <v>1</v>
      </c>
      <c r="N2319" s="2">
        <f>IF(LeadsData[[#This Row],[Stage Number]]&gt;=3,1,0)</f>
        <v>0</v>
      </c>
      <c r="O2319" s="2">
        <f>IF(LeadsData[[#This Row],[Stage Number]]&gt;=4,1,0)</f>
        <v>0</v>
      </c>
    </row>
    <row r="2320" spans="1:15" x14ac:dyDescent="0.25">
      <c r="A2320" t="s">
        <v>2360</v>
      </c>
      <c r="B2320" s="1">
        <v>45482</v>
      </c>
      <c r="C2320" t="s">
        <v>46</v>
      </c>
      <c r="D2320" t="s">
        <v>56</v>
      </c>
      <c r="E2320" t="s">
        <v>13</v>
      </c>
      <c r="F2320" t="s">
        <v>19</v>
      </c>
      <c r="G2320" t="s">
        <v>15</v>
      </c>
      <c r="K2320" cm="1">
        <f t="array" ref="K2320">_xlfn.SWITCH(LeadsData[[#This Row],[Funnel Stage Reached]],"Lead",1,"MQL",2,"SQL",3,"Customer",4)</f>
        <v>1</v>
      </c>
      <c r="L2320" t="str">
        <f>TEXT(LeadsData[[#This Row],[Signup Date]],"mmm-yyyy")</f>
        <v>Jul-2024</v>
      </c>
      <c r="M2320">
        <f>IF(LeadsData[[#This Row],[Stage Number]]&gt;=2,1,0)</f>
        <v>0</v>
      </c>
      <c r="N2320" s="2">
        <f>IF(LeadsData[[#This Row],[Stage Number]]&gt;=3,1,0)</f>
        <v>0</v>
      </c>
      <c r="O2320" s="2">
        <f>IF(LeadsData[[#This Row],[Stage Number]]&gt;=4,1,0)</f>
        <v>0</v>
      </c>
    </row>
    <row r="2321" spans="1:15" x14ac:dyDescent="0.25">
      <c r="A2321" t="s">
        <v>2361</v>
      </c>
      <c r="B2321" s="1">
        <v>45468</v>
      </c>
      <c r="C2321" t="s">
        <v>46</v>
      </c>
      <c r="D2321" t="s">
        <v>47</v>
      </c>
      <c r="E2321" t="s">
        <v>13</v>
      </c>
      <c r="F2321" t="s">
        <v>19</v>
      </c>
      <c r="G2321" t="s">
        <v>23</v>
      </c>
      <c r="K2321" cm="1">
        <f t="array" ref="K2321">_xlfn.SWITCH(LeadsData[[#This Row],[Funnel Stage Reached]],"Lead",1,"MQL",2,"SQL",3,"Customer",4)</f>
        <v>2</v>
      </c>
      <c r="L2321" t="str">
        <f>TEXT(LeadsData[[#This Row],[Signup Date]],"mmm-yyyy")</f>
        <v>Jun-2024</v>
      </c>
      <c r="M2321">
        <f>IF(LeadsData[[#This Row],[Stage Number]]&gt;=2,1,0)</f>
        <v>1</v>
      </c>
      <c r="N2321" s="2">
        <f>IF(LeadsData[[#This Row],[Stage Number]]&gt;=3,1,0)</f>
        <v>0</v>
      </c>
      <c r="O2321" s="2">
        <f>IF(LeadsData[[#This Row],[Stage Number]]&gt;=4,1,0)</f>
        <v>0</v>
      </c>
    </row>
    <row r="2322" spans="1:15" x14ac:dyDescent="0.25">
      <c r="A2322" t="s">
        <v>2362</v>
      </c>
      <c r="B2322" s="1">
        <v>45641</v>
      </c>
      <c r="C2322" t="s">
        <v>46</v>
      </c>
      <c r="D2322" t="s">
        <v>47</v>
      </c>
      <c r="E2322" t="s">
        <v>13</v>
      </c>
      <c r="F2322" t="s">
        <v>22</v>
      </c>
      <c r="G2322" t="s">
        <v>23</v>
      </c>
      <c r="K2322" cm="1">
        <f t="array" ref="K2322">_xlfn.SWITCH(LeadsData[[#This Row],[Funnel Stage Reached]],"Lead",1,"MQL",2,"SQL",3,"Customer",4)</f>
        <v>2</v>
      </c>
      <c r="L2322" t="str">
        <f>TEXT(LeadsData[[#This Row],[Signup Date]],"mmm-yyyy")</f>
        <v>Dec-2024</v>
      </c>
      <c r="M2322">
        <f>IF(LeadsData[[#This Row],[Stage Number]]&gt;=2,1,0)</f>
        <v>1</v>
      </c>
      <c r="N2322" s="2">
        <f>IF(LeadsData[[#This Row],[Stage Number]]&gt;=3,1,0)</f>
        <v>0</v>
      </c>
      <c r="O2322" s="2">
        <f>IF(LeadsData[[#This Row],[Stage Number]]&gt;=4,1,0)</f>
        <v>0</v>
      </c>
    </row>
    <row r="2323" spans="1:15" x14ac:dyDescent="0.25">
      <c r="A2323" t="s">
        <v>2363</v>
      </c>
      <c r="B2323" s="1">
        <v>45570</v>
      </c>
      <c r="C2323" t="s">
        <v>36</v>
      </c>
      <c r="D2323" t="s">
        <v>37</v>
      </c>
      <c r="E2323" t="s">
        <v>13</v>
      </c>
      <c r="F2323" t="s">
        <v>22</v>
      </c>
      <c r="G2323" t="s">
        <v>42</v>
      </c>
      <c r="H2323">
        <v>7</v>
      </c>
      <c r="I2323" t="s">
        <v>43</v>
      </c>
      <c r="J2323">
        <v>968.98</v>
      </c>
      <c r="K2323" cm="1">
        <f t="array" ref="K2323">_xlfn.SWITCH(LeadsData[[#This Row],[Funnel Stage Reached]],"Lead",1,"MQL",2,"SQL",3,"Customer",4)</f>
        <v>4</v>
      </c>
      <c r="L2323" t="str">
        <f>TEXT(LeadsData[[#This Row],[Signup Date]],"mmm-yyyy")</f>
        <v>Oct-2024</v>
      </c>
      <c r="M2323">
        <f>IF(LeadsData[[#This Row],[Stage Number]]&gt;=2,1,0)</f>
        <v>1</v>
      </c>
      <c r="N2323" s="2">
        <f>IF(LeadsData[[#This Row],[Stage Number]]&gt;=3,1,0)</f>
        <v>1</v>
      </c>
      <c r="O2323" s="2">
        <f>IF(LeadsData[[#This Row],[Stage Number]]&gt;=4,1,0)</f>
        <v>1</v>
      </c>
    </row>
    <row r="2324" spans="1:15" x14ac:dyDescent="0.25">
      <c r="A2324" t="s">
        <v>2364</v>
      </c>
      <c r="B2324" s="1">
        <v>45548</v>
      </c>
      <c r="C2324" t="s">
        <v>46</v>
      </c>
      <c r="D2324" t="s">
        <v>56</v>
      </c>
      <c r="E2324" t="s">
        <v>13</v>
      </c>
      <c r="F2324" t="s">
        <v>28</v>
      </c>
      <c r="G2324" t="s">
        <v>23</v>
      </c>
      <c r="K2324" cm="1">
        <f t="array" ref="K2324">_xlfn.SWITCH(LeadsData[[#This Row],[Funnel Stage Reached]],"Lead",1,"MQL",2,"SQL",3,"Customer",4)</f>
        <v>2</v>
      </c>
      <c r="L2324" t="str">
        <f>TEXT(LeadsData[[#This Row],[Signup Date]],"mmm-yyyy")</f>
        <v>Sep-2024</v>
      </c>
      <c r="M2324">
        <f>IF(LeadsData[[#This Row],[Stage Number]]&gt;=2,1,0)</f>
        <v>1</v>
      </c>
      <c r="N2324" s="2">
        <f>IF(LeadsData[[#This Row],[Stage Number]]&gt;=3,1,0)</f>
        <v>0</v>
      </c>
      <c r="O2324" s="2">
        <f>IF(LeadsData[[#This Row],[Stage Number]]&gt;=4,1,0)</f>
        <v>0</v>
      </c>
    </row>
    <row r="2325" spans="1:15" x14ac:dyDescent="0.25">
      <c r="A2325" t="s">
        <v>2365</v>
      </c>
      <c r="B2325" s="1">
        <v>45339</v>
      </c>
      <c r="C2325" t="s">
        <v>17</v>
      </c>
      <c r="D2325" t="s">
        <v>18</v>
      </c>
      <c r="E2325" t="s">
        <v>48</v>
      </c>
      <c r="F2325" t="s">
        <v>22</v>
      </c>
      <c r="G2325" t="s">
        <v>23</v>
      </c>
      <c r="K2325" cm="1">
        <f t="array" ref="K2325">_xlfn.SWITCH(LeadsData[[#This Row],[Funnel Stage Reached]],"Lead",1,"MQL",2,"SQL",3,"Customer",4)</f>
        <v>2</v>
      </c>
      <c r="L2325" t="str">
        <f>TEXT(LeadsData[[#This Row],[Signup Date]],"mmm-yyyy")</f>
        <v>Feb-2024</v>
      </c>
      <c r="M2325">
        <f>IF(LeadsData[[#This Row],[Stage Number]]&gt;=2,1,0)</f>
        <v>1</v>
      </c>
      <c r="N2325" s="2">
        <f>IF(LeadsData[[#This Row],[Stage Number]]&gt;=3,1,0)</f>
        <v>0</v>
      </c>
      <c r="O2325" s="2">
        <f>IF(LeadsData[[#This Row],[Stage Number]]&gt;=4,1,0)</f>
        <v>0</v>
      </c>
    </row>
    <row r="2326" spans="1:15" x14ac:dyDescent="0.25">
      <c r="A2326" t="s">
        <v>2366</v>
      </c>
      <c r="B2326" s="1">
        <v>45334</v>
      </c>
      <c r="C2326" t="s">
        <v>46</v>
      </c>
      <c r="D2326" t="s">
        <v>47</v>
      </c>
      <c r="E2326" t="s">
        <v>13</v>
      </c>
      <c r="F2326" t="s">
        <v>14</v>
      </c>
      <c r="G2326" t="s">
        <v>15</v>
      </c>
      <c r="K2326" cm="1">
        <f t="array" ref="K2326">_xlfn.SWITCH(LeadsData[[#This Row],[Funnel Stage Reached]],"Lead",1,"MQL",2,"SQL",3,"Customer",4)</f>
        <v>1</v>
      </c>
      <c r="L2326" t="str">
        <f>TEXT(LeadsData[[#This Row],[Signup Date]],"mmm-yyyy")</f>
        <v>Feb-2024</v>
      </c>
      <c r="M2326">
        <f>IF(LeadsData[[#This Row],[Stage Number]]&gt;=2,1,0)</f>
        <v>0</v>
      </c>
      <c r="N2326" s="2">
        <f>IF(LeadsData[[#This Row],[Stage Number]]&gt;=3,1,0)</f>
        <v>0</v>
      </c>
      <c r="O2326" s="2">
        <f>IF(LeadsData[[#This Row],[Stage Number]]&gt;=4,1,0)</f>
        <v>0</v>
      </c>
    </row>
    <row r="2327" spans="1:15" x14ac:dyDescent="0.25">
      <c r="A2327" t="s">
        <v>2367</v>
      </c>
      <c r="B2327" s="1">
        <v>45566</v>
      </c>
      <c r="C2327" t="s">
        <v>31</v>
      </c>
      <c r="D2327" t="s">
        <v>32</v>
      </c>
      <c r="E2327" t="s">
        <v>13</v>
      </c>
      <c r="F2327" t="s">
        <v>19</v>
      </c>
      <c r="G2327" t="s">
        <v>23</v>
      </c>
      <c r="K2327" cm="1">
        <f t="array" ref="K2327">_xlfn.SWITCH(LeadsData[[#This Row],[Funnel Stage Reached]],"Lead",1,"MQL",2,"SQL",3,"Customer",4)</f>
        <v>2</v>
      </c>
      <c r="L2327" t="str">
        <f>TEXT(LeadsData[[#This Row],[Signup Date]],"mmm-yyyy")</f>
        <v>Oct-2024</v>
      </c>
      <c r="M2327">
        <f>IF(LeadsData[[#This Row],[Stage Number]]&gt;=2,1,0)</f>
        <v>1</v>
      </c>
      <c r="N2327" s="2">
        <f>IF(LeadsData[[#This Row],[Stage Number]]&gt;=3,1,0)</f>
        <v>0</v>
      </c>
      <c r="O2327" s="2">
        <f>IF(LeadsData[[#This Row],[Stage Number]]&gt;=4,1,0)</f>
        <v>0</v>
      </c>
    </row>
    <row r="2328" spans="1:15" x14ac:dyDescent="0.25">
      <c r="A2328" t="s">
        <v>2368</v>
      </c>
      <c r="B2328" s="1">
        <v>45338</v>
      </c>
      <c r="C2328" t="s">
        <v>17</v>
      </c>
      <c r="D2328" t="s">
        <v>53</v>
      </c>
      <c r="E2328" t="s">
        <v>21</v>
      </c>
      <c r="F2328" t="s">
        <v>19</v>
      </c>
      <c r="G2328" t="s">
        <v>15</v>
      </c>
      <c r="K2328" cm="1">
        <f t="array" ref="K2328">_xlfn.SWITCH(LeadsData[[#This Row],[Funnel Stage Reached]],"Lead",1,"MQL",2,"SQL",3,"Customer",4)</f>
        <v>1</v>
      </c>
      <c r="L2328" t="str">
        <f>TEXT(LeadsData[[#This Row],[Signup Date]],"mmm-yyyy")</f>
        <v>Feb-2024</v>
      </c>
      <c r="M2328">
        <f>IF(LeadsData[[#This Row],[Stage Number]]&gt;=2,1,0)</f>
        <v>0</v>
      </c>
      <c r="N2328" s="2">
        <f>IF(LeadsData[[#This Row],[Stage Number]]&gt;=3,1,0)</f>
        <v>0</v>
      </c>
      <c r="O2328" s="2">
        <f>IF(LeadsData[[#This Row],[Stage Number]]&gt;=4,1,0)</f>
        <v>0</v>
      </c>
    </row>
    <row r="2329" spans="1:15" x14ac:dyDescent="0.25">
      <c r="A2329" t="s">
        <v>2369</v>
      </c>
      <c r="B2329" s="1">
        <v>45334</v>
      </c>
      <c r="C2329" t="s">
        <v>31</v>
      </c>
      <c r="D2329" t="s">
        <v>34</v>
      </c>
      <c r="E2329" t="s">
        <v>13</v>
      </c>
      <c r="F2329" t="s">
        <v>22</v>
      </c>
      <c r="G2329" t="s">
        <v>23</v>
      </c>
      <c r="K2329" cm="1">
        <f t="array" ref="K2329">_xlfn.SWITCH(LeadsData[[#This Row],[Funnel Stage Reached]],"Lead",1,"MQL",2,"SQL",3,"Customer",4)</f>
        <v>2</v>
      </c>
      <c r="L2329" t="str">
        <f>TEXT(LeadsData[[#This Row],[Signup Date]],"mmm-yyyy")</f>
        <v>Feb-2024</v>
      </c>
      <c r="M2329">
        <f>IF(LeadsData[[#This Row],[Stage Number]]&gt;=2,1,0)</f>
        <v>1</v>
      </c>
      <c r="N2329" s="2">
        <f>IF(LeadsData[[#This Row],[Stage Number]]&gt;=3,1,0)</f>
        <v>0</v>
      </c>
      <c r="O2329" s="2">
        <f>IF(LeadsData[[#This Row],[Stage Number]]&gt;=4,1,0)</f>
        <v>0</v>
      </c>
    </row>
    <row r="2330" spans="1:15" x14ac:dyDescent="0.25">
      <c r="A2330" t="s">
        <v>2370</v>
      </c>
      <c r="B2330" s="1">
        <v>45510</v>
      </c>
      <c r="C2330" t="s">
        <v>31</v>
      </c>
      <c r="D2330" t="s">
        <v>34</v>
      </c>
      <c r="E2330" t="s">
        <v>13</v>
      </c>
      <c r="F2330" t="s">
        <v>19</v>
      </c>
      <c r="G2330" t="s">
        <v>29</v>
      </c>
      <c r="K2330" cm="1">
        <f t="array" ref="K2330">_xlfn.SWITCH(LeadsData[[#This Row],[Funnel Stage Reached]],"Lead",1,"MQL",2,"SQL",3,"Customer",4)</f>
        <v>3</v>
      </c>
      <c r="L2330" t="str">
        <f>TEXT(LeadsData[[#This Row],[Signup Date]],"mmm-yyyy")</f>
        <v>Aug-2024</v>
      </c>
      <c r="M2330">
        <f>IF(LeadsData[[#This Row],[Stage Number]]&gt;=2,1,0)</f>
        <v>1</v>
      </c>
      <c r="N2330" s="2">
        <f>IF(LeadsData[[#This Row],[Stage Number]]&gt;=3,1,0)</f>
        <v>1</v>
      </c>
      <c r="O2330" s="2">
        <f>IF(LeadsData[[#This Row],[Stage Number]]&gt;=4,1,0)</f>
        <v>0</v>
      </c>
    </row>
    <row r="2331" spans="1:15" x14ac:dyDescent="0.25">
      <c r="A2331" t="s">
        <v>2371</v>
      </c>
      <c r="B2331" s="1">
        <v>45339</v>
      </c>
      <c r="C2331" t="s">
        <v>31</v>
      </c>
      <c r="D2331" t="s">
        <v>34</v>
      </c>
      <c r="E2331" t="s">
        <v>21</v>
      </c>
      <c r="F2331" t="s">
        <v>14</v>
      </c>
      <c r="G2331" t="s">
        <v>23</v>
      </c>
      <c r="K2331" cm="1">
        <f t="array" ref="K2331">_xlfn.SWITCH(LeadsData[[#This Row],[Funnel Stage Reached]],"Lead",1,"MQL",2,"SQL",3,"Customer",4)</f>
        <v>2</v>
      </c>
      <c r="L2331" t="str">
        <f>TEXT(LeadsData[[#This Row],[Signup Date]],"mmm-yyyy")</f>
        <v>Feb-2024</v>
      </c>
      <c r="M2331">
        <f>IF(LeadsData[[#This Row],[Stage Number]]&gt;=2,1,0)</f>
        <v>1</v>
      </c>
      <c r="N2331" s="2">
        <f>IF(LeadsData[[#This Row],[Stage Number]]&gt;=3,1,0)</f>
        <v>0</v>
      </c>
      <c r="O2331" s="2">
        <f>IF(LeadsData[[#This Row],[Stage Number]]&gt;=4,1,0)</f>
        <v>0</v>
      </c>
    </row>
    <row r="2332" spans="1:15" x14ac:dyDescent="0.25">
      <c r="A2332" t="s">
        <v>2372</v>
      </c>
      <c r="B2332" s="1">
        <v>45439</v>
      </c>
      <c r="C2332" t="s">
        <v>36</v>
      </c>
      <c r="D2332" t="s">
        <v>50</v>
      </c>
      <c r="E2332" t="s">
        <v>13</v>
      </c>
      <c r="F2332" t="s">
        <v>22</v>
      </c>
      <c r="G2332" t="s">
        <v>23</v>
      </c>
      <c r="K2332" cm="1">
        <f t="array" ref="K2332">_xlfn.SWITCH(LeadsData[[#This Row],[Funnel Stage Reached]],"Lead",1,"MQL",2,"SQL",3,"Customer",4)</f>
        <v>2</v>
      </c>
      <c r="L2332" t="str">
        <f>TEXT(LeadsData[[#This Row],[Signup Date]],"mmm-yyyy")</f>
        <v>May-2024</v>
      </c>
      <c r="M2332">
        <f>IF(LeadsData[[#This Row],[Stage Number]]&gt;=2,1,0)</f>
        <v>1</v>
      </c>
      <c r="N2332" s="2">
        <f>IF(LeadsData[[#This Row],[Stage Number]]&gt;=3,1,0)</f>
        <v>0</v>
      </c>
      <c r="O2332" s="2">
        <f>IF(LeadsData[[#This Row],[Stage Number]]&gt;=4,1,0)</f>
        <v>0</v>
      </c>
    </row>
    <row r="2333" spans="1:15" x14ac:dyDescent="0.25">
      <c r="A2333" t="s">
        <v>2373</v>
      </c>
      <c r="B2333" s="1">
        <v>45518</v>
      </c>
      <c r="C2333" t="s">
        <v>25</v>
      </c>
      <c r="D2333" t="s">
        <v>26</v>
      </c>
      <c r="E2333" t="s">
        <v>48</v>
      </c>
      <c r="F2333" t="s">
        <v>22</v>
      </c>
      <c r="G2333" t="s">
        <v>15</v>
      </c>
      <c r="K2333" cm="1">
        <f t="array" ref="K2333">_xlfn.SWITCH(LeadsData[[#This Row],[Funnel Stage Reached]],"Lead",1,"MQL",2,"SQL",3,"Customer",4)</f>
        <v>1</v>
      </c>
      <c r="L2333" t="str">
        <f>TEXT(LeadsData[[#This Row],[Signup Date]],"mmm-yyyy")</f>
        <v>Aug-2024</v>
      </c>
      <c r="M2333">
        <f>IF(LeadsData[[#This Row],[Stage Number]]&gt;=2,1,0)</f>
        <v>0</v>
      </c>
      <c r="N2333" s="2">
        <f>IF(LeadsData[[#This Row],[Stage Number]]&gt;=3,1,0)</f>
        <v>0</v>
      </c>
      <c r="O2333" s="2">
        <f>IF(LeadsData[[#This Row],[Stage Number]]&gt;=4,1,0)</f>
        <v>0</v>
      </c>
    </row>
    <row r="2334" spans="1:15" x14ac:dyDescent="0.25">
      <c r="A2334" t="s">
        <v>2374</v>
      </c>
      <c r="B2334" s="1">
        <v>45518</v>
      </c>
      <c r="C2334" t="s">
        <v>31</v>
      </c>
      <c r="D2334" t="s">
        <v>32</v>
      </c>
      <c r="E2334" t="s">
        <v>21</v>
      </c>
      <c r="F2334" t="s">
        <v>14</v>
      </c>
      <c r="G2334" t="s">
        <v>29</v>
      </c>
      <c r="K2334" cm="1">
        <f t="array" ref="K2334">_xlfn.SWITCH(LeadsData[[#This Row],[Funnel Stage Reached]],"Lead",1,"MQL",2,"SQL",3,"Customer",4)</f>
        <v>3</v>
      </c>
      <c r="L2334" t="str">
        <f>TEXT(LeadsData[[#This Row],[Signup Date]],"mmm-yyyy")</f>
        <v>Aug-2024</v>
      </c>
      <c r="M2334">
        <f>IF(LeadsData[[#This Row],[Stage Number]]&gt;=2,1,0)</f>
        <v>1</v>
      </c>
      <c r="N2334" s="2">
        <f>IF(LeadsData[[#This Row],[Stage Number]]&gt;=3,1,0)</f>
        <v>1</v>
      </c>
      <c r="O2334" s="2">
        <f>IF(LeadsData[[#This Row],[Stage Number]]&gt;=4,1,0)</f>
        <v>0</v>
      </c>
    </row>
    <row r="2335" spans="1:15" x14ac:dyDescent="0.25">
      <c r="A2335" t="s">
        <v>2375</v>
      </c>
      <c r="B2335" s="1">
        <v>45522</v>
      </c>
      <c r="C2335" t="s">
        <v>25</v>
      </c>
      <c r="D2335" t="s">
        <v>26</v>
      </c>
      <c r="E2335" t="s">
        <v>13</v>
      </c>
      <c r="F2335" t="s">
        <v>28</v>
      </c>
      <c r="G2335" t="s">
        <v>15</v>
      </c>
      <c r="K2335" cm="1">
        <f t="array" ref="K2335">_xlfn.SWITCH(LeadsData[[#This Row],[Funnel Stage Reached]],"Lead",1,"MQL",2,"SQL",3,"Customer",4)</f>
        <v>1</v>
      </c>
      <c r="L2335" t="str">
        <f>TEXT(LeadsData[[#This Row],[Signup Date]],"mmm-yyyy")</f>
        <v>Aug-2024</v>
      </c>
      <c r="M2335">
        <f>IF(LeadsData[[#This Row],[Stage Number]]&gt;=2,1,0)</f>
        <v>0</v>
      </c>
      <c r="N2335" s="2">
        <f>IF(LeadsData[[#This Row],[Stage Number]]&gt;=3,1,0)</f>
        <v>0</v>
      </c>
      <c r="O2335" s="2">
        <f>IF(LeadsData[[#This Row],[Stage Number]]&gt;=4,1,0)</f>
        <v>0</v>
      </c>
    </row>
    <row r="2336" spans="1:15" x14ac:dyDescent="0.25">
      <c r="A2336" t="s">
        <v>2376</v>
      </c>
      <c r="B2336" s="1">
        <v>45555</v>
      </c>
      <c r="C2336" t="s">
        <v>31</v>
      </c>
      <c r="D2336" t="s">
        <v>32</v>
      </c>
      <c r="E2336" t="s">
        <v>21</v>
      </c>
      <c r="F2336" t="s">
        <v>22</v>
      </c>
      <c r="G2336" t="s">
        <v>23</v>
      </c>
      <c r="K2336" cm="1">
        <f t="array" ref="K2336">_xlfn.SWITCH(LeadsData[[#This Row],[Funnel Stage Reached]],"Lead",1,"MQL",2,"SQL",3,"Customer",4)</f>
        <v>2</v>
      </c>
      <c r="L2336" t="str">
        <f>TEXT(LeadsData[[#This Row],[Signup Date]],"mmm-yyyy")</f>
        <v>Sep-2024</v>
      </c>
      <c r="M2336">
        <f>IF(LeadsData[[#This Row],[Stage Number]]&gt;=2,1,0)</f>
        <v>1</v>
      </c>
      <c r="N2336" s="2">
        <f>IF(LeadsData[[#This Row],[Stage Number]]&gt;=3,1,0)</f>
        <v>0</v>
      </c>
      <c r="O2336" s="2">
        <f>IF(LeadsData[[#This Row],[Stage Number]]&gt;=4,1,0)</f>
        <v>0</v>
      </c>
    </row>
    <row r="2337" spans="1:15" x14ac:dyDescent="0.25">
      <c r="A2337" t="s">
        <v>2377</v>
      </c>
      <c r="B2337" s="1">
        <v>45338</v>
      </c>
      <c r="C2337" t="s">
        <v>17</v>
      </c>
      <c r="D2337" t="s">
        <v>18</v>
      </c>
      <c r="E2337" t="s">
        <v>21</v>
      </c>
      <c r="F2337" t="s">
        <v>22</v>
      </c>
      <c r="G2337" t="s">
        <v>15</v>
      </c>
      <c r="K2337" cm="1">
        <f t="array" ref="K2337">_xlfn.SWITCH(LeadsData[[#This Row],[Funnel Stage Reached]],"Lead",1,"MQL",2,"SQL",3,"Customer",4)</f>
        <v>1</v>
      </c>
      <c r="L2337" t="str">
        <f>TEXT(LeadsData[[#This Row],[Signup Date]],"mmm-yyyy")</f>
        <v>Feb-2024</v>
      </c>
      <c r="M2337">
        <f>IF(LeadsData[[#This Row],[Stage Number]]&gt;=2,1,0)</f>
        <v>0</v>
      </c>
      <c r="N2337" s="2">
        <f>IF(LeadsData[[#This Row],[Stage Number]]&gt;=3,1,0)</f>
        <v>0</v>
      </c>
      <c r="O2337" s="2">
        <f>IF(LeadsData[[#This Row],[Stage Number]]&gt;=4,1,0)</f>
        <v>0</v>
      </c>
    </row>
    <row r="2338" spans="1:15" x14ac:dyDescent="0.25">
      <c r="A2338" t="s">
        <v>2378</v>
      </c>
      <c r="B2338" s="1">
        <v>45576</v>
      </c>
      <c r="C2338" t="s">
        <v>11</v>
      </c>
      <c r="D2338" t="s">
        <v>12</v>
      </c>
      <c r="E2338" t="s">
        <v>21</v>
      </c>
      <c r="F2338" t="s">
        <v>22</v>
      </c>
      <c r="G2338" t="s">
        <v>15</v>
      </c>
      <c r="K2338" cm="1">
        <f t="array" ref="K2338">_xlfn.SWITCH(LeadsData[[#This Row],[Funnel Stage Reached]],"Lead",1,"MQL",2,"SQL",3,"Customer",4)</f>
        <v>1</v>
      </c>
      <c r="L2338" t="str">
        <f>TEXT(LeadsData[[#This Row],[Signup Date]],"mmm-yyyy")</f>
        <v>Oct-2024</v>
      </c>
      <c r="M2338">
        <f>IF(LeadsData[[#This Row],[Stage Number]]&gt;=2,1,0)</f>
        <v>0</v>
      </c>
      <c r="N2338" s="2">
        <f>IF(LeadsData[[#This Row],[Stage Number]]&gt;=3,1,0)</f>
        <v>0</v>
      </c>
      <c r="O2338" s="2">
        <f>IF(LeadsData[[#This Row],[Stage Number]]&gt;=4,1,0)</f>
        <v>0</v>
      </c>
    </row>
    <row r="2339" spans="1:15" x14ac:dyDescent="0.25">
      <c r="A2339" t="s">
        <v>2379</v>
      </c>
      <c r="B2339" s="1">
        <v>45356</v>
      </c>
      <c r="C2339" t="s">
        <v>17</v>
      </c>
      <c r="D2339" t="s">
        <v>53</v>
      </c>
      <c r="E2339" t="s">
        <v>13</v>
      </c>
      <c r="F2339" t="s">
        <v>28</v>
      </c>
      <c r="G2339" t="s">
        <v>15</v>
      </c>
      <c r="K2339" cm="1">
        <f t="array" ref="K2339">_xlfn.SWITCH(LeadsData[[#This Row],[Funnel Stage Reached]],"Lead",1,"MQL",2,"SQL",3,"Customer",4)</f>
        <v>1</v>
      </c>
      <c r="L2339" t="str">
        <f>TEXT(LeadsData[[#This Row],[Signup Date]],"mmm-yyyy")</f>
        <v>Mar-2024</v>
      </c>
      <c r="M2339">
        <f>IF(LeadsData[[#This Row],[Stage Number]]&gt;=2,1,0)</f>
        <v>0</v>
      </c>
      <c r="N2339" s="2">
        <f>IF(LeadsData[[#This Row],[Stage Number]]&gt;=3,1,0)</f>
        <v>0</v>
      </c>
      <c r="O2339" s="2">
        <f>IF(LeadsData[[#This Row],[Stage Number]]&gt;=4,1,0)</f>
        <v>0</v>
      </c>
    </row>
    <row r="2340" spans="1:15" x14ac:dyDescent="0.25">
      <c r="A2340" t="s">
        <v>2380</v>
      </c>
      <c r="B2340" s="1">
        <v>45400</v>
      </c>
      <c r="C2340" t="s">
        <v>36</v>
      </c>
      <c r="D2340" t="s">
        <v>37</v>
      </c>
      <c r="E2340" t="s">
        <v>13</v>
      </c>
      <c r="F2340" t="s">
        <v>14</v>
      </c>
      <c r="G2340" t="s">
        <v>42</v>
      </c>
      <c r="H2340">
        <v>70</v>
      </c>
      <c r="I2340" t="s">
        <v>87</v>
      </c>
      <c r="J2340">
        <v>4830.1000000000004</v>
      </c>
      <c r="K2340" cm="1">
        <f t="array" ref="K2340">_xlfn.SWITCH(LeadsData[[#This Row],[Funnel Stage Reached]],"Lead",1,"MQL",2,"SQL",3,"Customer",4)</f>
        <v>4</v>
      </c>
      <c r="L2340" t="str">
        <f>TEXT(LeadsData[[#This Row],[Signup Date]],"mmm-yyyy")</f>
        <v>Apr-2024</v>
      </c>
      <c r="M2340">
        <f>IF(LeadsData[[#This Row],[Stage Number]]&gt;=2,1,0)</f>
        <v>1</v>
      </c>
      <c r="N2340" s="2">
        <f>IF(LeadsData[[#This Row],[Stage Number]]&gt;=3,1,0)</f>
        <v>1</v>
      </c>
      <c r="O2340" s="2">
        <f>IF(LeadsData[[#This Row],[Stage Number]]&gt;=4,1,0)</f>
        <v>1</v>
      </c>
    </row>
    <row r="2341" spans="1:15" x14ac:dyDescent="0.25">
      <c r="A2341" t="s">
        <v>2381</v>
      </c>
      <c r="B2341" s="1">
        <v>45384</v>
      </c>
      <c r="C2341" t="s">
        <v>17</v>
      </c>
      <c r="D2341" t="s">
        <v>53</v>
      </c>
      <c r="E2341" t="s">
        <v>13</v>
      </c>
      <c r="F2341" t="s">
        <v>19</v>
      </c>
      <c r="G2341" t="s">
        <v>15</v>
      </c>
      <c r="K2341" cm="1">
        <f t="array" ref="K2341">_xlfn.SWITCH(LeadsData[[#This Row],[Funnel Stage Reached]],"Lead",1,"MQL",2,"SQL",3,"Customer",4)</f>
        <v>1</v>
      </c>
      <c r="L2341" t="str">
        <f>TEXT(LeadsData[[#This Row],[Signup Date]],"mmm-yyyy")</f>
        <v>Apr-2024</v>
      </c>
      <c r="M2341">
        <f>IF(LeadsData[[#This Row],[Stage Number]]&gt;=2,1,0)</f>
        <v>0</v>
      </c>
      <c r="N2341" s="2">
        <f>IF(LeadsData[[#This Row],[Stage Number]]&gt;=3,1,0)</f>
        <v>0</v>
      </c>
      <c r="O2341" s="2">
        <f>IF(LeadsData[[#This Row],[Stage Number]]&gt;=4,1,0)</f>
        <v>0</v>
      </c>
    </row>
    <row r="2342" spans="1:15" x14ac:dyDescent="0.25">
      <c r="A2342" t="s">
        <v>2382</v>
      </c>
      <c r="B2342" s="1">
        <v>45605</v>
      </c>
      <c r="C2342" t="s">
        <v>31</v>
      </c>
      <c r="D2342" t="s">
        <v>34</v>
      </c>
      <c r="E2342" t="s">
        <v>21</v>
      </c>
      <c r="F2342" t="s">
        <v>19</v>
      </c>
      <c r="G2342" t="s">
        <v>15</v>
      </c>
      <c r="K2342" cm="1">
        <f t="array" ref="K2342">_xlfn.SWITCH(LeadsData[[#This Row],[Funnel Stage Reached]],"Lead",1,"MQL",2,"SQL",3,"Customer",4)</f>
        <v>1</v>
      </c>
      <c r="L2342" t="str">
        <f>TEXT(LeadsData[[#This Row],[Signup Date]],"mmm-yyyy")</f>
        <v>Nov-2024</v>
      </c>
      <c r="M2342">
        <f>IF(LeadsData[[#This Row],[Stage Number]]&gt;=2,1,0)</f>
        <v>0</v>
      </c>
      <c r="N2342" s="2">
        <f>IF(LeadsData[[#This Row],[Stage Number]]&gt;=3,1,0)</f>
        <v>0</v>
      </c>
      <c r="O2342" s="2">
        <f>IF(LeadsData[[#This Row],[Stage Number]]&gt;=4,1,0)</f>
        <v>0</v>
      </c>
    </row>
    <row r="2343" spans="1:15" x14ac:dyDescent="0.25">
      <c r="A2343" t="s">
        <v>2383</v>
      </c>
      <c r="B2343" s="1">
        <v>45391</v>
      </c>
      <c r="C2343" t="s">
        <v>11</v>
      </c>
      <c r="D2343" t="s">
        <v>12</v>
      </c>
      <c r="E2343" t="s">
        <v>21</v>
      </c>
      <c r="F2343" t="s">
        <v>14</v>
      </c>
      <c r="G2343" t="s">
        <v>15</v>
      </c>
      <c r="K2343" cm="1">
        <f t="array" ref="K2343">_xlfn.SWITCH(LeadsData[[#This Row],[Funnel Stage Reached]],"Lead",1,"MQL",2,"SQL",3,"Customer",4)</f>
        <v>1</v>
      </c>
      <c r="L2343" t="str">
        <f>TEXT(LeadsData[[#This Row],[Signup Date]],"mmm-yyyy")</f>
        <v>Apr-2024</v>
      </c>
      <c r="M2343">
        <f>IF(LeadsData[[#This Row],[Stage Number]]&gt;=2,1,0)</f>
        <v>0</v>
      </c>
      <c r="N2343" s="2">
        <f>IF(LeadsData[[#This Row],[Stage Number]]&gt;=3,1,0)</f>
        <v>0</v>
      </c>
      <c r="O2343" s="2">
        <f>IF(LeadsData[[#This Row],[Stage Number]]&gt;=4,1,0)</f>
        <v>0</v>
      </c>
    </row>
    <row r="2344" spans="1:15" x14ac:dyDescent="0.25">
      <c r="A2344" t="s">
        <v>2384</v>
      </c>
      <c r="B2344" s="1">
        <v>45602</v>
      </c>
      <c r="C2344" t="s">
        <v>46</v>
      </c>
      <c r="D2344" t="s">
        <v>56</v>
      </c>
      <c r="E2344" t="s">
        <v>48</v>
      </c>
      <c r="F2344" t="s">
        <v>19</v>
      </c>
      <c r="G2344" t="s">
        <v>15</v>
      </c>
      <c r="K2344" cm="1">
        <f t="array" ref="K2344">_xlfn.SWITCH(LeadsData[[#This Row],[Funnel Stage Reached]],"Lead",1,"MQL",2,"SQL",3,"Customer",4)</f>
        <v>1</v>
      </c>
      <c r="L2344" t="str">
        <f>TEXT(LeadsData[[#This Row],[Signup Date]],"mmm-yyyy")</f>
        <v>Nov-2024</v>
      </c>
      <c r="M2344">
        <f>IF(LeadsData[[#This Row],[Stage Number]]&gt;=2,1,0)</f>
        <v>0</v>
      </c>
      <c r="N2344" s="2">
        <f>IF(LeadsData[[#This Row],[Stage Number]]&gt;=3,1,0)</f>
        <v>0</v>
      </c>
      <c r="O2344" s="2">
        <f>IF(LeadsData[[#This Row],[Stage Number]]&gt;=4,1,0)</f>
        <v>0</v>
      </c>
    </row>
    <row r="2345" spans="1:15" x14ac:dyDescent="0.25">
      <c r="A2345" t="s">
        <v>2385</v>
      </c>
      <c r="B2345" s="1">
        <v>45518</v>
      </c>
      <c r="C2345" t="s">
        <v>17</v>
      </c>
      <c r="D2345" t="s">
        <v>18</v>
      </c>
      <c r="E2345" t="s">
        <v>13</v>
      </c>
      <c r="F2345" t="s">
        <v>19</v>
      </c>
      <c r="G2345" t="s">
        <v>15</v>
      </c>
      <c r="K2345" cm="1">
        <f t="array" ref="K2345">_xlfn.SWITCH(LeadsData[[#This Row],[Funnel Stage Reached]],"Lead",1,"MQL",2,"SQL",3,"Customer",4)</f>
        <v>1</v>
      </c>
      <c r="L2345" t="str">
        <f>TEXT(LeadsData[[#This Row],[Signup Date]],"mmm-yyyy")</f>
        <v>Aug-2024</v>
      </c>
      <c r="M2345">
        <f>IF(LeadsData[[#This Row],[Stage Number]]&gt;=2,1,0)</f>
        <v>0</v>
      </c>
      <c r="N2345" s="2">
        <f>IF(LeadsData[[#This Row],[Stage Number]]&gt;=3,1,0)</f>
        <v>0</v>
      </c>
      <c r="O2345" s="2">
        <f>IF(LeadsData[[#This Row],[Stage Number]]&gt;=4,1,0)</f>
        <v>0</v>
      </c>
    </row>
    <row r="2346" spans="1:15" x14ac:dyDescent="0.25">
      <c r="A2346" t="s">
        <v>2386</v>
      </c>
      <c r="B2346" s="1">
        <v>45314</v>
      </c>
      <c r="C2346" t="s">
        <v>46</v>
      </c>
      <c r="D2346" t="s">
        <v>47</v>
      </c>
      <c r="E2346" t="s">
        <v>21</v>
      </c>
      <c r="F2346" t="s">
        <v>14</v>
      </c>
      <c r="G2346" t="s">
        <v>29</v>
      </c>
      <c r="K2346" cm="1">
        <f t="array" ref="K2346">_xlfn.SWITCH(LeadsData[[#This Row],[Funnel Stage Reached]],"Lead",1,"MQL",2,"SQL",3,"Customer",4)</f>
        <v>3</v>
      </c>
      <c r="L2346" t="str">
        <f>TEXT(LeadsData[[#This Row],[Signup Date]],"mmm-yyyy")</f>
        <v>Jan-2024</v>
      </c>
      <c r="M2346">
        <f>IF(LeadsData[[#This Row],[Stage Number]]&gt;=2,1,0)</f>
        <v>1</v>
      </c>
      <c r="N2346" s="2">
        <f>IF(LeadsData[[#This Row],[Stage Number]]&gt;=3,1,0)</f>
        <v>1</v>
      </c>
      <c r="O2346" s="2">
        <f>IF(LeadsData[[#This Row],[Stage Number]]&gt;=4,1,0)</f>
        <v>0</v>
      </c>
    </row>
    <row r="2347" spans="1:15" x14ac:dyDescent="0.25">
      <c r="A2347" t="s">
        <v>2387</v>
      </c>
      <c r="B2347" s="1">
        <v>45439</v>
      </c>
      <c r="C2347" t="s">
        <v>31</v>
      </c>
      <c r="D2347" t="s">
        <v>34</v>
      </c>
      <c r="E2347" t="s">
        <v>13</v>
      </c>
      <c r="F2347" t="s">
        <v>19</v>
      </c>
      <c r="G2347" t="s">
        <v>15</v>
      </c>
      <c r="K2347" cm="1">
        <f t="array" ref="K2347">_xlfn.SWITCH(LeadsData[[#This Row],[Funnel Stage Reached]],"Lead",1,"MQL",2,"SQL",3,"Customer",4)</f>
        <v>1</v>
      </c>
      <c r="L2347" t="str">
        <f>TEXT(LeadsData[[#This Row],[Signup Date]],"mmm-yyyy")</f>
        <v>May-2024</v>
      </c>
      <c r="M2347">
        <f>IF(LeadsData[[#This Row],[Stage Number]]&gt;=2,1,0)</f>
        <v>0</v>
      </c>
      <c r="N2347" s="2">
        <f>IF(LeadsData[[#This Row],[Stage Number]]&gt;=3,1,0)</f>
        <v>0</v>
      </c>
      <c r="O2347" s="2">
        <f>IF(LeadsData[[#This Row],[Stage Number]]&gt;=4,1,0)</f>
        <v>0</v>
      </c>
    </row>
    <row r="2348" spans="1:15" x14ac:dyDescent="0.25">
      <c r="A2348" t="s">
        <v>2388</v>
      </c>
      <c r="B2348" s="1">
        <v>45421</v>
      </c>
      <c r="C2348" t="s">
        <v>36</v>
      </c>
      <c r="D2348" t="s">
        <v>37</v>
      </c>
      <c r="E2348" t="s">
        <v>13</v>
      </c>
      <c r="F2348" t="s">
        <v>19</v>
      </c>
      <c r="G2348" t="s">
        <v>29</v>
      </c>
      <c r="K2348" cm="1">
        <f t="array" ref="K2348">_xlfn.SWITCH(LeadsData[[#This Row],[Funnel Stage Reached]],"Lead",1,"MQL",2,"SQL",3,"Customer",4)</f>
        <v>3</v>
      </c>
      <c r="L2348" t="str">
        <f>TEXT(LeadsData[[#This Row],[Signup Date]],"mmm-yyyy")</f>
        <v>May-2024</v>
      </c>
      <c r="M2348">
        <f>IF(LeadsData[[#This Row],[Stage Number]]&gt;=2,1,0)</f>
        <v>1</v>
      </c>
      <c r="N2348" s="2">
        <f>IF(LeadsData[[#This Row],[Stage Number]]&gt;=3,1,0)</f>
        <v>1</v>
      </c>
      <c r="O2348" s="2">
        <f>IF(LeadsData[[#This Row],[Stage Number]]&gt;=4,1,0)</f>
        <v>0</v>
      </c>
    </row>
    <row r="2349" spans="1:15" x14ac:dyDescent="0.25">
      <c r="A2349" t="s">
        <v>2389</v>
      </c>
      <c r="B2349" s="1">
        <v>45598</v>
      </c>
      <c r="C2349" t="s">
        <v>31</v>
      </c>
      <c r="D2349" t="s">
        <v>34</v>
      </c>
      <c r="E2349" t="s">
        <v>13</v>
      </c>
      <c r="F2349" t="s">
        <v>14</v>
      </c>
      <c r="G2349" t="s">
        <v>29</v>
      </c>
      <c r="K2349" cm="1">
        <f t="array" ref="K2349">_xlfn.SWITCH(LeadsData[[#This Row],[Funnel Stage Reached]],"Lead",1,"MQL",2,"SQL",3,"Customer",4)</f>
        <v>3</v>
      </c>
      <c r="L2349" t="str">
        <f>TEXT(LeadsData[[#This Row],[Signup Date]],"mmm-yyyy")</f>
        <v>Nov-2024</v>
      </c>
      <c r="M2349">
        <f>IF(LeadsData[[#This Row],[Stage Number]]&gt;=2,1,0)</f>
        <v>1</v>
      </c>
      <c r="N2349" s="2">
        <f>IF(LeadsData[[#This Row],[Stage Number]]&gt;=3,1,0)</f>
        <v>1</v>
      </c>
      <c r="O2349" s="2">
        <f>IF(LeadsData[[#This Row],[Stage Number]]&gt;=4,1,0)</f>
        <v>0</v>
      </c>
    </row>
    <row r="2350" spans="1:15" x14ac:dyDescent="0.25">
      <c r="A2350" t="s">
        <v>2390</v>
      </c>
      <c r="B2350" s="1">
        <v>45353</v>
      </c>
      <c r="C2350" t="s">
        <v>46</v>
      </c>
      <c r="D2350" t="s">
        <v>56</v>
      </c>
      <c r="E2350" t="s">
        <v>13</v>
      </c>
      <c r="F2350" t="s">
        <v>19</v>
      </c>
      <c r="G2350" t="s">
        <v>23</v>
      </c>
      <c r="K2350" cm="1">
        <f t="array" ref="K2350">_xlfn.SWITCH(LeadsData[[#This Row],[Funnel Stage Reached]],"Lead",1,"MQL",2,"SQL",3,"Customer",4)</f>
        <v>2</v>
      </c>
      <c r="L2350" t="str">
        <f>TEXT(LeadsData[[#This Row],[Signup Date]],"mmm-yyyy")</f>
        <v>Mar-2024</v>
      </c>
      <c r="M2350">
        <f>IF(LeadsData[[#This Row],[Stage Number]]&gt;=2,1,0)</f>
        <v>1</v>
      </c>
      <c r="N2350" s="2">
        <f>IF(LeadsData[[#This Row],[Stage Number]]&gt;=3,1,0)</f>
        <v>0</v>
      </c>
      <c r="O2350" s="2">
        <f>IF(LeadsData[[#This Row],[Stage Number]]&gt;=4,1,0)</f>
        <v>0</v>
      </c>
    </row>
    <row r="2351" spans="1:15" x14ac:dyDescent="0.25">
      <c r="A2351" t="s">
        <v>2391</v>
      </c>
      <c r="B2351" s="1">
        <v>45628</v>
      </c>
      <c r="C2351" t="s">
        <v>36</v>
      </c>
      <c r="D2351" t="s">
        <v>50</v>
      </c>
      <c r="E2351" t="s">
        <v>13</v>
      </c>
      <c r="F2351" t="s">
        <v>14</v>
      </c>
      <c r="G2351" t="s">
        <v>23</v>
      </c>
      <c r="K2351" cm="1">
        <f t="array" ref="K2351">_xlfn.SWITCH(LeadsData[[#This Row],[Funnel Stage Reached]],"Lead",1,"MQL",2,"SQL",3,"Customer",4)</f>
        <v>2</v>
      </c>
      <c r="L2351" t="str">
        <f>TEXT(LeadsData[[#This Row],[Signup Date]],"mmm-yyyy")</f>
        <v>Dec-2024</v>
      </c>
      <c r="M2351">
        <f>IF(LeadsData[[#This Row],[Stage Number]]&gt;=2,1,0)</f>
        <v>1</v>
      </c>
      <c r="N2351" s="2">
        <f>IF(LeadsData[[#This Row],[Stage Number]]&gt;=3,1,0)</f>
        <v>0</v>
      </c>
      <c r="O2351" s="2">
        <f>IF(LeadsData[[#This Row],[Stage Number]]&gt;=4,1,0)</f>
        <v>0</v>
      </c>
    </row>
    <row r="2352" spans="1:15" x14ac:dyDescent="0.25">
      <c r="A2352" t="s">
        <v>2392</v>
      </c>
      <c r="B2352" s="1">
        <v>45592</v>
      </c>
      <c r="C2352" t="s">
        <v>36</v>
      </c>
      <c r="D2352" t="s">
        <v>37</v>
      </c>
      <c r="E2352" t="s">
        <v>13</v>
      </c>
      <c r="F2352" t="s">
        <v>14</v>
      </c>
      <c r="G2352" t="s">
        <v>23</v>
      </c>
      <c r="K2352" cm="1">
        <f t="array" ref="K2352">_xlfn.SWITCH(LeadsData[[#This Row],[Funnel Stage Reached]],"Lead",1,"MQL",2,"SQL",3,"Customer",4)</f>
        <v>2</v>
      </c>
      <c r="L2352" t="str">
        <f>TEXT(LeadsData[[#This Row],[Signup Date]],"mmm-yyyy")</f>
        <v>Oct-2024</v>
      </c>
      <c r="M2352">
        <f>IF(LeadsData[[#This Row],[Stage Number]]&gt;=2,1,0)</f>
        <v>1</v>
      </c>
      <c r="N2352" s="2">
        <f>IF(LeadsData[[#This Row],[Stage Number]]&gt;=3,1,0)</f>
        <v>0</v>
      </c>
      <c r="O2352" s="2">
        <f>IF(LeadsData[[#This Row],[Stage Number]]&gt;=4,1,0)</f>
        <v>0</v>
      </c>
    </row>
    <row r="2353" spans="1:15" x14ac:dyDescent="0.25">
      <c r="A2353" t="s">
        <v>2393</v>
      </c>
      <c r="B2353" s="1">
        <v>45436</v>
      </c>
      <c r="C2353" t="s">
        <v>17</v>
      </c>
      <c r="D2353" t="s">
        <v>18</v>
      </c>
      <c r="E2353" t="s">
        <v>13</v>
      </c>
      <c r="F2353" t="s">
        <v>19</v>
      </c>
      <c r="G2353" t="s">
        <v>29</v>
      </c>
      <c r="K2353" cm="1">
        <f t="array" ref="K2353">_xlfn.SWITCH(LeadsData[[#This Row],[Funnel Stage Reached]],"Lead",1,"MQL",2,"SQL",3,"Customer",4)</f>
        <v>3</v>
      </c>
      <c r="L2353" t="str">
        <f>TEXT(LeadsData[[#This Row],[Signup Date]],"mmm-yyyy")</f>
        <v>May-2024</v>
      </c>
      <c r="M2353">
        <f>IF(LeadsData[[#This Row],[Stage Number]]&gt;=2,1,0)</f>
        <v>1</v>
      </c>
      <c r="N2353" s="2">
        <f>IF(LeadsData[[#This Row],[Stage Number]]&gt;=3,1,0)</f>
        <v>1</v>
      </c>
      <c r="O2353" s="2">
        <f>IF(LeadsData[[#This Row],[Stage Number]]&gt;=4,1,0)</f>
        <v>0</v>
      </c>
    </row>
    <row r="2354" spans="1:15" x14ac:dyDescent="0.25">
      <c r="A2354" t="s">
        <v>2394</v>
      </c>
      <c r="B2354" s="1">
        <v>45546</v>
      </c>
      <c r="C2354" t="s">
        <v>11</v>
      </c>
      <c r="D2354" t="s">
        <v>12</v>
      </c>
      <c r="E2354" t="s">
        <v>13</v>
      </c>
      <c r="F2354" t="s">
        <v>19</v>
      </c>
      <c r="G2354" t="s">
        <v>23</v>
      </c>
      <c r="K2354" cm="1">
        <f t="array" ref="K2354">_xlfn.SWITCH(LeadsData[[#This Row],[Funnel Stage Reached]],"Lead",1,"MQL",2,"SQL",3,"Customer",4)</f>
        <v>2</v>
      </c>
      <c r="L2354" t="str">
        <f>TEXT(LeadsData[[#This Row],[Signup Date]],"mmm-yyyy")</f>
        <v>Sep-2024</v>
      </c>
      <c r="M2354">
        <f>IF(LeadsData[[#This Row],[Stage Number]]&gt;=2,1,0)</f>
        <v>1</v>
      </c>
      <c r="N2354" s="2">
        <f>IF(LeadsData[[#This Row],[Stage Number]]&gt;=3,1,0)</f>
        <v>0</v>
      </c>
      <c r="O2354" s="2">
        <f>IF(LeadsData[[#This Row],[Stage Number]]&gt;=4,1,0)</f>
        <v>0</v>
      </c>
    </row>
    <row r="2355" spans="1:15" x14ac:dyDescent="0.25">
      <c r="A2355" t="s">
        <v>2395</v>
      </c>
      <c r="B2355" s="1">
        <v>45370</v>
      </c>
      <c r="C2355" t="s">
        <v>31</v>
      </c>
      <c r="D2355" t="s">
        <v>32</v>
      </c>
      <c r="E2355" t="s">
        <v>13</v>
      </c>
      <c r="F2355" t="s">
        <v>22</v>
      </c>
      <c r="G2355" t="s">
        <v>15</v>
      </c>
      <c r="K2355" cm="1">
        <f t="array" ref="K2355">_xlfn.SWITCH(LeadsData[[#This Row],[Funnel Stage Reached]],"Lead",1,"MQL",2,"SQL",3,"Customer",4)</f>
        <v>1</v>
      </c>
      <c r="L2355" t="str">
        <f>TEXT(LeadsData[[#This Row],[Signup Date]],"mmm-yyyy")</f>
        <v>Mar-2024</v>
      </c>
      <c r="M2355">
        <f>IF(LeadsData[[#This Row],[Stage Number]]&gt;=2,1,0)</f>
        <v>0</v>
      </c>
      <c r="N2355" s="2">
        <f>IF(LeadsData[[#This Row],[Stage Number]]&gt;=3,1,0)</f>
        <v>0</v>
      </c>
      <c r="O2355" s="2">
        <f>IF(LeadsData[[#This Row],[Stage Number]]&gt;=4,1,0)</f>
        <v>0</v>
      </c>
    </row>
    <row r="2356" spans="1:15" x14ac:dyDescent="0.25">
      <c r="A2356" t="s">
        <v>2396</v>
      </c>
      <c r="B2356" s="1">
        <v>45425</v>
      </c>
      <c r="C2356" t="s">
        <v>46</v>
      </c>
      <c r="D2356" t="s">
        <v>56</v>
      </c>
      <c r="E2356" t="s">
        <v>13</v>
      </c>
      <c r="F2356" t="s">
        <v>22</v>
      </c>
      <c r="G2356" t="s">
        <v>15</v>
      </c>
      <c r="K2356" cm="1">
        <f t="array" ref="K2356">_xlfn.SWITCH(LeadsData[[#This Row],[Funnel Stage Reached]],"Lead",1,"MQL",2,"SQL",3,"Customer",4)</f>
        <v>1</v>
      </c>
      <c r="L2356" t="str">
        <f>TEXT(LeadsData[[#This Row],[Signup Date]],"mmm-yyyy")</f>
        <v>May-2024</v>
      </c>
      <c r="M2356">
        <f>IF(LeadsData[[#This Row],[Stage Number]]&gt;=2,1,0)</f>
        <v>0</v>
      </c>
      <c r="N2356" s="2">
        <f>IF(LeadsData[[#This Row],[Stage Number]]&gt;=3,1,0)</f>
        <v>0</v>
      </c>
      <c r="O2356" s="2">
        <f>IF(LeadsData[[#This Row],[Stage Number]]&gt;=4,1,0)</f>
        <v>0</v>
      </c>
    </row>
    <row r="2357" spans="1:15" x14ac:dyDescent="0.25">
      <c r="A2357" t="s">
        <v>2397</v>
      </c>
      <c r="B2357" s="1">
        <v>45346</v>
      </c>
      <c r="C2357" t="s">
        <v>17</v>
      </c>
      <c r="D2357" t="s">
        <v>18</v>
      </c>
      <c r="E2357" t="s">
        <v>21</v>
      </c>
      <c r="F2357" t="s">
        <v>22</v>
      </c>
      <c r="G2357" t="s">
        <v>15</v>
      </c>
      <c r="K2357" cm="1">
        <f t="array" ref="K2357">_xlfn.SWITCH(LeadsData[[#This Row],[Funnel Stage Reached]],"Lead",1,"MQL",2,"SQL",3,"Customer",4)</f>
        <v>1</v>
      </c>
      <c r="L2357" t="str">
        <f>TEXT(LeadsData[[#This Row],[Signup Date]],"mmm-yyyy")</f>
        <v>Feb-2024</v>
      </c>
      <c r="M2357">
        <f>IF(LeadsData[[#This Row],[Stage Number]]&gt;=2,1,0)</f>
        <v>0</v>
      </c>
      <c r="N2357" s="2">
        <f>IF(LeadsData[[#This Row],[Stage Number]]&gt;=3,1,0)</f>
        <v>0</v>
      </c>
      <c r="O2357" s="2">
        <f>IF(LeadsData[[#This Row],[Stage Number]]&gt;=4,1,0)</f>
        <v>0</v>
      </c>
    </row>
    <row r="2358" spans="1:15" x14ac:dyDescent="0.25">
      <c r="A2358" t="s">
        <v>2398</v>
      </c>
      <c r="B2358" s="1">
        <v>45651</v>
      </c>
      <c r="C2358" t="s">
        <v>46</v>
      </c>
      <c r="D2358" t="s">
        <v>47</v>
      </c>
      <c r="E2358" t="s">
        <v>48</v>
      </c>
      <c r="F2358" t="s">
        <v>19</v>
      </c>
      <c r="G2358" t="s">
        <v>23</v>
      </c>
      <c r="K2358" cm="1">
        <f t="array" ref="K2358">_xlfn.SWITCH(LeadsData[[#This Row],[Funnel Stage Reached]],"Lead",1,"MQL",2,"SQL",3,"Customer",4)</f>
        <v>2</v>
      </c>
      <c r="L2358" t="str">
        <f>TEXT(LeadsData[[#This Row],[Signup Date]],"mmm-yyyy")</f>
        <v>Dec-2024</v>
      </c>
      <c r="M2358">
        <f>IF(LeadsData[[#This Row],[Stage Number]]&gt;=2,1,0)</f>
        <v>1</v>
      </c>
      <c r="N2358" s="2">
        <f>IF(LeadsData[[#This Row],[Stage Number]]&gt;=3,1,0)</f>
        <v>0</v>
      </c>
      <c r="O2358" s="2">
        <f>IF(LeadsData[[#This Row],[Stage Number]]&gt;=4,1,0)</f>
        <v>0</v>
      </c>
    </row>
    <row r="2359" spans="1:15" x14ac:dyDescent="0.25">
      <c r="A2359" t="s">
        <v>2399</v>
      </c>
      <c r="B2359" s="1">
        <v>45334</v>
      </c>
      <c r="C2359" t="s">
        <v>17</v>
      </c>
      <c r="D2359" t="s">
        <v>53</v>
      </c>
      <c r="E2359" t="s">
        <v>13</v>
      </c>
      <c r="F2359" t="s">
        <v>22</v>
      </c>
      <c r="G2359" t="s">
        <v>15</v>
      </c>
      <c r="K2359" cm="1">
        <f t="array" ref="K2359">_xlfn.SWITCH(LeadsData[[#This Row],[Funnel Stage Reached]],"Lead",1,"MQL",2,"SQL",3,"Customer",4)</f>
        <v>1</v>
      </c>
      <c r="L2359" t="str">
        <f>TEXT(LeadsData[[#This Row],[Signup Date]],"mmm-yyyy")</f>
        <v>Feb-2024</v>
      </c>
      <c r="M2359">
        <f>IF(LeadsData[[#This Row],[Stage Number]]&gt;=2,1,0)</f>
        <v>0</v>
      </c>
      <c r="N2359" s="2">
        <f>IF(LeadsData[[#This Row],[Stage Number]]&gt;=3,1,0)</f>
        <v>0</v>
      </c>
      <c r="O2359" s="2">
        <f>IF(LeadsData[[#This Row],[Stage Number]]&gt;=4,1,0)</f>
        <v>0</v>
      </c>
    </row>
    <row r="2360" spans="1:15" x14ac:dyDescent="0.25">
      <c r="A2360" t="s">
        <v>2400</v>
      </c>
      <c r="B2360" s="1">
        <v>45384</v>
      </c>
      <c r="C2360" t="s">
        <v>31</v>
      </c>
      <c r="D2360" t="s">
        <v>34</v>
      </c>
      <c r="E2360" t="s">
        <v>13</v>
      </c>
      <c r="F2360" t="s">
        <v>19</v>
      </c>
      <c r="G2360" t="s">
        <v>15</v>
      </c>
      <c r="K2360" cm="1">
        <f t="array" ref="K2360">_xlfn.SWITCH(LeadsData[[#This Row],[Funnel Stage Reached]],"Lead",1,"MQL",2,"SQL",3,"Customer",4)</f>
        <v>1</v>
      </c>
      <c r="L2360" t="str">
        <f>TEXT(LeadsData[[#This Row],[Signup Date]],"mmm-yyyy")</f>
        <v>Apr-2024</v>
      </c>
      <c r="M2360">
        <f>IF(LeadsData[[#This Row],[Stage Number]]&gt;=2,1,0)</f>
        <v>0</v>
      </c>
      <c r="N2360" s="2">
        <f>IF(LeadsData[[#This Row],[Stage Number]]&gt;=3,1,0)</f>
        <v>0</v>
      </c>
      <c r="O2360" s="2">
        <f>IF(LeadsData[[#This Row],[Stage Number]]&gt;=4,1,0)</f>
        <v>0</v>
      </c>
    </row>
    <row r="2361" spans="1:15" x14ac:dyDescent="0.25">
      <c r="A2361" t="s">
        <v>2401</v>
      </c>
      <c r="B2361" s="1">
        <v>45373</v>
      </c>
      <c r="C2361" t="s">
        <v>36</v>
      </c>
      <c r="D2361" t="s">
        <v>50</v>
      </c>
      <c r="E2361" t="s">
        <v>13</v>
      </c>
      <c r="F2361" t="s">
        <v>19</v>
      </c>
      <c r="G2361" t="s">
        <v>29</v>
      </c>
      <c r="K2361" cm="1">
        <f t="array" ref="K2361">_xlfn.SWITCH(LeadsData[[#This Row],[Funnel Stage Reached]],"Lead",1,"MQL",2,"SQL",3,"Customer",4)</f>
        <v>3</v>
      </c>
      <c r="L2361" t="str">
        <f>TEXT(LeadsData[[#This Row],[Signup Date]],"mmm-yyyy")</f>
        <v>Mar-2024</v>
      </c>
      <c r="M2361">
        <f>IF(LeadsData[[#This Row],[Stage Number]]&gt;=2,1,0)</f>
        <v>1</v>
      </c>
      <c r="N2361" s="2">
        <f>IF(LeadsData[[#This Row],[Stage Number]]&gt;=3,1,0)</f>
        <v>1</v>
      </c>
      <c r="O2361" s="2">
        <f>IF(LeadsData[[#This Row],[Stage Number]]&gt;=4,1,0)</f>
        <v>0</v>
      </c>
    </row>
    <row r="2362" spans="1:15" x14ac:dyDescent="0.25">
      <c r="A2362" t="s">
        <v>2402</v>
      </c>
      <c r="B2362" s="1">
        <v>45573</v>
      </c>
      <c r="C2362" t="s">
        <v>25</v>
      </c>
      <c r="D2362" t="s">
        <v>26</v>
      </c>
      <c r="E2362" t="s">
        <v>13</v>
      </c>
      <c r="F2362" t="s">
        <v>22</v>
      </c>
      <c r="G2362" t="s">
        <v>29</v>
      </c>
      <c r="K2362" cm="1">
        <f t="array" ref="K2362">_xlfn.SWITCH(LeadsData[[#This Row],[Funnel Stage Reached]],"Lead",1,"MQL",2,"SQL",3,"Customer",4)</f>
        <v>3</v>
      </c>
      <c r="L2362" t="str">
        <f>TEXT(LeadsData[[#This Row],[Signup Date]],"mmm-yyyy")</f>
        <v>Oct-2024</v>
      </c>
      <c r="M2362">
        <f>IF(LeadsData[[#This Row],[Stage Number]]&gt;=2,1,0)</f>
        <v>1</v>
      </c>
      <c r="N2362" s="2">
        <f>IF(LeadsData[[#This Row],[Stage Number]]&gt;=3,1,0)</f>
        <v>1</v>
      </c>
      <c r="O2362" s="2">
        <f>IF(LeadsData[[#This Row],[Stage Number]]&gt;=4,1,0)</f>
        <v>0</v>
      </c>
    </row>
    <row r="2363" spans="1:15" x14ac:dyDescent="0.25">
      <c r="A2363" t="s">
        <v>2403</v>
      </c>
      <c r="B2363" s="1">
        <v>45652</v>
      </c>
      <c r="C2363" t="s">
        <v>31</v>
      </c>
      <c r="D2363" t="s">
        <v>32</v>
      </c>
      <c r="E2363" t="s">
        <v>48</v>
      </c>
      <c r="F2363" t="s">
        <v>28</v>
      </c>
      <c r="G2363" t="s">
        <v>15</v>
      </c>
      <c r="K2363" cm="1">
        <f t="array" ref="K2363">_xlfn.SWITCH(LeadsData[[#This Row],[Funnel Stage Reached]],"Lead",1,"MQL",2,"SQL",3,"Customer",4)</f>
        <v>1</v>
      </c>
      <c r="L2363" t="str">
        <f>TEXT(LeadsData[[#This Row],[Signup Date]],"mmm-yyyy")</f>
        <v>Dec-2024</v>
      </c>
      <c r="M2363">
        <f>IF(LeadsData[[#This Row],[Stage Number]]&gt;=2,1,0)</f>
        <v>0</v>
      </c>
      <c r="N2363" s="2">
        <f>IF(LeadsData[[#This Row],[Stage Number]]&gt;=3,1,0)</f>
        <v>0</v>
      </c>
      <c r="O2363" s="2">
        <f>IF(LeadsData[[#This Row],[Stage Number]]&gt;=4,1,0)</f>
        <v>0</v>
      </c>
    </row>
    <row r="2364" spans="1:15" x14ac:dyDescent="0.25">
      <c r="A2364" t="s">
        <v>2404</v>
      </c>
      <c r="B2364" s="1">
        <v>45432</v>
      </c>
      <c r="C2364" t="s">
        <v>46</v>
      </c>
      <c r="D2364" t="s">
        <v>56</v>
      </c>
      <c r="E2364" t="s">
        <v>48</v>
      </c>
      <c r="F2364" t="s">
        <v>19</v>
      </c>
      <c r="G2364" t="s">
        <v>29</v>
      </c>
      <c r="K2364" cm="1">
        <f t="array" ref="K2364">_xlfn.SWITCH(LeadsData[[#This Row],[Funnel Stage Reached]],"Lead",1,"MQL",2,"SQL",3,"Customer",4)</f>
        <v>3</v>
      </c>
      <c r="L2364" t="str">
        <f>TEXT(LeadsData[[#This Row],[Signup Date]],"mmm-yyyy")</f>
        <v>May-2024</v>
      </c>
      <c r="M2364">
        <f>IF(LeadsData[[#This Row],[Stage Number]]&gt;=2,1,0)</f>
        <v>1</v>
      </c>
      <c r="N2364" s="2">
        <f>IF(LeadsData[[#This Row],[Stage Number]]&gt;=3,1,0)</f>
        <v>1</v>
      </c>
      <c r="O2364" s="2">
        <f>IF(LeadsData[[#This Row],[Stage Number]]&gt;=4,1,0)</f>
        <v>0</v>
      </c>
    </row>
    <row r="2365" spans="1:15" x14ac:dyDescent="0.25">
      <c r="A2365" t="s">
        <v>2405</v>
      </c>
      <c r="B2365" s="1">
        <v>45597</v>
      </c>
      <c r="C2365" t="s">
        <v>46</v>
      </c>
      <c r="D2365" t="s">
        <v>47</v>
      </c>
      <c r="E2365" t="s">
        <v>21</v>
      </c>
      <c r="F2365" t="s">
        <v>19</v>
      </c>
      <c r="G2365" t="s">
        <v>23</v>
      </c>
      <c r="K2365" cm="1">
        <f t="array" ref="K2365">_xlfn.SWITCH(LeadsData[[#This Row],[Funnel Stage Reached]],"Lead",1,"MQL",2,"SQL",3,"Customer",4)</f>
        <v>2</v>
      </c>
      <c r="L2365" t="str">
        <f>TEXT(LeadsData[[#This Row],[Signup Date]],"mmm-yyyy")</f>
        <v>Nov-2024</v>
      </c>
      <c r="M2365">
        <f>IF(LeadsData[[#This Row],[Stage Number]]&gt;=2,1,0)</f>
        <v>1</v>
      </c>
      <c r="N2365" s="2">
        <f>IF(LeadsData[[#This Row],[Stage Number]]&gt;=3,1,0)</f>
        <v>0</v>
      </c>
      <c r="O2365" s="2">
        <f>IF(LeadsData[[#This Row],[Stage Number]]&gt;=4,1,0)</f>
        <v>0</v>
      </c>
    </row>
    <row r="2366" spans="1:15" x14ac:dyDescent="0.25">
      <c r="A2366" t="s">
        <v>2406</v>
      </c>
      <c r="B2366" s="1">
        <v>45414</v>
      </c>
      <c r="C2366" t="s">
        <v>36</v>
      </c>
      <c r="D2366" t="s">
        <v>37</v>
      </c>
      <c r="E2366" t="s">
        <v>13</v>
      </c>
      <c r="F2366" t="s">
        <v>14</v>
      </c>
      <c r="G2366" t="s">
        <v>15</v>
      </c>
      <c r="K2366" cm="1">
        <f t="array" ref="K2366">_xlfn.SWITCH(LeadsData[[#This Row],[Funnel Stage Reached]],"Lead",1,"MQL",2,"SQL",3,"Customer",4)</f>
        <v>1</v>
      </c>
      <c r="L2366" t="str">
        <f>TEXT(LeadsData[[#This Row],[Signup Date]],"mmm-yyyy")</f>
        <v>May-2024</v>
      </c>
      <c r="M2366">
        <f>IF(LeadsData[[#This Row],[Stage Number]]&gt;=2,1,0)</f>
        <v>0</v>
      </c>
      <c r="N2366" s="2">
        <f>IF(LeadsData[[#This Row],[Stage Number]]&gt;=3,1,0)</f>
        <v>0</v>
      </c>
      <c r="O2366" s="2">
        <f>IF(LeadsData[[#This Row],[Stage Number]]&gt;=4,1,0)</f>
        <v>0</v>
      </c>
    </row>
    <row r="2367" spans="1:15" x14ac:dyDescent="0.25">
      <c r="A2367" t="s">
        <v>2407</v>
      </c>
      <c r="B2367" s="1">
        <v>45500</v>
      </c>
      <c r="C2367" t="s">
        <v>11</v>
      </c>
      <c r="D2367" t="s">
        <v>68</v>
      </c>
      <c r="E2367" t="s">
        <v>21</v>
      </c>
      <c r="F2367" t="s">
        <v>22</v>
      </c>
      <c r="G2367" t="s">
        <v>15</v>
      </c>
      <c r="K2367" cm="1">
        <f t="array" ref="K2367">_xlfn.SWITCH(LeadsData[[#This Row],[Funnel Stage Reached]],"Lead",1,"MQL",2,"SQL",3,"Customer",4)</f>
        <v>1</v>
      </c>
      <c r="L2367" t="str">
        <f>TEXT(LeadsData[[#This Row],[Signup Date]],"mmm-yyyy")</f>
        <v>Jul-2024</v>
      </c>
      <c r="M2367">
        <f>IF(LeadsData[[#This Row],[Stage Number]]&gt;=2,1,0)</f>
        <v>0</v>
      </c>
      <c r="N2367" s="2">
        <f>IF(LeadsData[[#This Row],[Stage Number]]&gt;=3,1,0)</f>
        <v>0</v>
      </c>
      <c r="O2367" s="2">
        <f>IF(LeadsData[[#This Row],[Stage Number]]&gt;=4,1,0)</f>
        <v>0</v>
      </c>
    </row>
    <row r="2368" spans="1:15" x14ac:dyDescent="0.25">
      <c r="A2368" t="s">
        <v>2408</v>
      </c>
      <c r="B2368" s="1">
        <v>45399</v>
      </c>
      <c r="C2368" t="s">
        <v>11</v>
      </c>
      <c r="D2368" t="s">
        <v>79</v>
      </c>
      <c r="E2368" t="s">
        <v>21</v>
      </c>
      <c r="F2368" t="s">
        <v>22</v>
      </c>
      <c r="G2368" t="s">
        <v>15</v>
      </c>
      <c r="K2368" cm="1">
        <f t="array" ref="K2368">_xlfn.SWITCH(LeadsData[[#This Row],[Funnel Stage Reached]],"Lead",1,"MQL",2,"SQL",3,"Customer",4)</f>
        <v>1</v>
      </c>
      <c r="L2368" t="str">
        <f>TEXT(LeadsData[[#This Row],[Signup Date]],"mmm-yyyy")</f>
        <v>Apr-2024</v>
      </c>
      <c r="M2368">
        <f>IF(LeadsData[[#This Row],[Stage Number]]&gt;=2,1,0)</f>
        <v>0</v>
      </c>
      <c r="N2368" s="2">
        <f>IF(LeadsData[[#This Row],[Stage Number]]&gt;=3,1,0)</f>
        <v>0</v>
      </c>
      <c r="O2368" s="2">
        <f>IF(LeadsData[[#This Row],[Stage Number]]&gt;=4,1,0)</f>
        <v>0</v>
      </c>
    </row>
    <row r="2369" spans="1:15" x14ac:dyDescent="0.25">
      <c r="A2369" t="s">
        <v>2409</v>
      </c>
      <c r="B2369" s="1">
        <v>45331</v>
      </c>
      <c r="C2369" t="s">
        <v>31</v>
      </c>
      <c r="D2369" t="s">
        <v>34</v>
      </c>
      <c r="E2369" t="s">
        <v>21</v>
      </c>
      <c r="F2369" t="s">
        <v>14</v>
      </c>
      <c r="G2369" t="s">
        <v>29</v>
      </c>
      <c r="K2369" cm="1">
        <f t="array" ref="K2369">_xlfn.SWITCH(LeadsData[[#This Row],[Funnel Stage Reached]],"Lead",1,"MQL",2,"SQL",3,"Customer",4)</f>
        <v>3</v>
      </c>
      <c r="L2369" t="str">
        <f>TEXT(LeadsData[[#This Row],[Signup Date]],"mmm-yyyy")</f>
        <v>Feb-2024</v>
      </c>
      <c r="M2369">
        <f>IF(LeadsData[[#This Row],[Stage Number]]&gt;=2,1,0)</f>
        <v>1</v>
      </c>
      <c r="N2369" s="2">
        <f>IF(LeadsData[[#This Row],[Stage Number]]&gt;=3,1,0)</f>
        <v>1</v>
      </c>
      <c r="O2369" s="2">
        <f>IF(LeadsData[[#This Row],[Stage Number]]&gt;=4,1,0)</f>
        <v>0</v>
      </c>
    </row>
    <row r="2370" spans="1:15" x14ac:dyDescent="0.25">
      <c r="A2370" t="s">
        <v>2410</v>
      </c>
      <c r="B2370" s="1">
        <v>45592</v>
      </c>
      <c r="C2370" t="s">
        <v>46</v>
      </c>
      <c r="D2370" t="s">
        <v>47</v>
      </c>
      <c r="E2370" t="s">
        <v>13</v>
      </c>
      <c r="F2370" t="s">
        <v>19</v>
      </c>
      <c r="G2370" t="s">
        <v>29</v>
      </c>
      <c r="K2370" cm="1">
        <f t="array" ref="K2370">_xlfn.SWITCH(LeadsData[[#This Row],[Funnel Stage Reached]],"Lead",1,"MQL",2,"SQL",3,"Customer",4)</f>
        <v>3</v>
      </c>
      <c r="L2370" t="str">
        <f>TEXT(LeadsData[[#This Row],[Signup Date]],"mmm-yyyy")</f>
        <v>Oct-2024</v>
      </c>
      <c r="M2370">
        <f>IF(LeadsData[[#This Row],[Stage Number]]&gt;=2,1,0)</f>
        <v>1</v>
      </c>
      <c r="N2370" s="2">
        <f>IF(LeadsData[[#This Row],[Stage Number]]&gt;=3,1,0)</f>
        <v>1</v>
      </c>
      <c r="O2370" s="2">
        <f>IF(LeadsData[[#This Row],[Stage Number]]&gt;=4,1,0)</f>
        <v>0</v>
      </c>
    </row>
    <row r="2371" spans="1:15" x14ac:dyDescent="0.25">
      <c r="A2371" t="s">
        <v>2411</v>
      </c>
      <c r="B2371" s="1">
        <v>45539</v>
      </c>
      <c r="C2371" t="s">
        <v>46</v>
      </c>
      <c r="D2371" t="s">
        <v>56</v>
      </c>
      <c r="E2371" t="s">
        <v>13</v>
      </c>
      <c r="F2371" t="s">
        <v>22</v>
      </c>
      <c r="G2371" t="s">
        <v>23</v>
      </c>
      <c r="K2371" cm="1">
        <f t="array" ref="K2371">_xlfn.SWITCH(LeadsData[[#This Row],[Funnel Stage Reached]],"Lead",1,"MQL",2,"SQL",3,"Customer",4)</f>
        <v>2</v>
      </c>
      <c r="L2371" t="str">
        <f>TEXT(LeadsData[[#This Row],[Signup Date]],"mmm-yyyy")</f>
        <v>Sep-2024</v>
      </c>
      <c r="M2371">
        <f>IF(LeadsData[[#This Row],[Stage Number]]&gt;=2,1,0)</f>
        <v>1</v>
      </c>
      <c r="N2371" s="2">
        <f>IF(LeadsData[[#This Row],[Stage Number]]&gt;=3,1,0)</f>
        <v>0</v>
      </c>
      <c r="O2371" s="2">
        <f>IF(LeadsData[[#This Row],[Stage Number]]&gt;=4,1,0)</f>
        <v>0</v>
      </c>
    </row>
    <row r="2372" spans="1:15" x14ac:dyDescent="0.25">
      <c r="A2372" t="s">
        <v>2412</v>
      </c>
      <c r="B2372" s="1">
        <v>45428</v>
      </c>
      <c r="C2372" t="s">
        <v>17</v>
      </c>
      <c r="D2372" t="s">
        <v>53</v>
      </c>
      <c r="E2372" t="s">
        <v>13</v>
      </c>
      <c r="F2372" t="s">
        <v>22</v>
      </c>
      <c r="G2372" t="s">
        <v>29</v>
      </c>
      <c r="K2372" cm="1">
        <f t="array" ref="K2372">_xlfn.SWITCH(LeadsData[[#This Row],[Funnel Stage Reached]],"Lead",1,"MQL",2,"SQL",3,"Customer",4)</f>
        <v>3</v>
      </c>
      <c r="L2372" t="str">
        <f>TEXT(LeadsData[[#This Row],[Signup Date]],"mmm-yyyy")</f>
        <v>May-2024</v>
      </c>
      <c r="M2372">
        <f>IF(LeadsData[[#This Row],[Stage Number]]&gt;=2,1,0)</f>
        <v>1</v>
      </c>
      <c r="N2372" s="2">
        <f>IF(LeadsData[[#This Row],[Stage Number]]&gt;=3,1,0)</f>
        <v>1</v>
      </c>
      <c r="O2372" s="2">
        <f>IF(LeadsData[[#This Row],[Stage Number]]&gt;=4,1,0)</f>
        <v>0</v>
      </c>
    </row>
    <row r="2373" spans="1:15" x14ac:dyDescent="0.25">
      <c r="A2373" t="s">
        <v>2413</v>
      </c>
      <c r="B2373" s="1">
        <v>45294</v>
      </c>
      <c r="C2373" t="s">
        <v>11</v>
      </c>
      <c r="D2373" t="s">
        <v>68</v>
      </c>
      <c r="E2373" t="s">
        <v>13</v>
      </c>
      <c r="F2373" t="s">
        <v>19</v>
      </c>
      <c r="G2373" t="s">
        <v>15</v>
      </c>
      <c r="K2373" cm="1">
        <f t="array" ref="K2373">_xlfn.SWITCH(LeadsData[[#This Row],[Funnel Stage Reached]],"Lead",1,"MQL",2,"SQL",3,"Customer",4)</f>
        <v>1</v>
      </c>
      <c r="L2373" t="str">
        <f>TEXT(LeadsData[[#This Row],[Signup Date]],"mmm-yyyy")</f>
        <v>Jan-2024</v>
      </c>
      <c r="M2373">
        <f>IF(LeadsData[[#This Row],[Stage Number]]&gt;=2,1,0)</f>
        <v>0</v>
      </c>
      <c r="N2373" s="2">
        <f>IF(LeadsData[[#This Row],[Stage Number]]&gt;=3,1,0)</f>
        <v>0</v>
      </c>
      <c r="O2373" s="2">
        <f>IF(LeadsData[[#This Row],[Stage Number]]&gt;=4,1,0)</f>
        <v>0</v>
      </c>
    </row>
    <row r="2374" spans="1:15" x14ac:dyDescent="0.25">
      <c r="A2374" t="s">
        <v>2414</v>
      </c>
      <c r="B2374" s="1">
        <v>45527</v>
      </c>
      <c r="C2374" t="s">
        <v>36</v>
      </c>
      <c r="D2374" t="s">
        <v>37</v>
      </c>
      <c r="E2374" t="s">
        <v>48</v>
      </c>
      <c r="F2374" t="s">
        <v>19</v>
      </c>
      <c r="G2374" t="s">
        <v>15</v>
      </c>
      <c r="K2374" cm="1">
        <f t="array" ref="K2374">_xlfn.SWITCH(LeadsData[[#This Row],[Funnel Stage Reached]],"Lead",1,"MQL",2,"SQL",3,"Customer",4)</f>
        <v>1</v>
      </c>
      <c r="L2374" t="str">
        <f>TEXT(LeadsData[[#This Row],[Signup Date]],"mmm-yyyy")</f>
        <v>Aug-2024</v>
      </c>
      <c r="M2374">
        <f>IF(LeadsData[[#This Row],[Stage Number]]&gt;=2,1,0)</f>
        <v>0</v>
      </c>
      <c r="N2374" s="2">
        <f>IF(LeadsData[[#This Row],[Stage Number]]&gt;=3,1,0)</f>
        <v>0</v>
      </c>
      <c r="O2374" s="2">
        <f>IF(LeadsData[[#This Row],[Stage Number]]&gt;=4,1,0)</f>
        <v>0</v>
      </c>
    </row>
    <row r="2375" spans="1:15" x14ac:dyDescent="0.25">
      <c r="A2375" t="s">
        <v>2415</v>
      </c>
      <c r="B2375" s="1">
        <v>45438</v>
      </c>
      <c r="C2375" t="s">
        <v>36</v>
      </c>
      <c r="D2375" t="s">
        <v>50</v>
      </c>
      <c r="E2375" t="s">
        <v>21</v>
      </c>
      <c r="F2375" t="s">
        <v>19</v>
      </c>
      <c r="G2375" t="s">
        <v>29</v>
      </c>
      <c r="K2375" cm="1">
        <f t="array" ref="K2375">_xlfn.SWITCH(LeadsData[[#This Row],[Funnel Stage Reached]],"Lead",1,"MQL",2,"SQL",3,"Customer",4)</f>
        <v>3</v>
      </c>
      <c r="L2375" t="str">
        <f>TEXT(LeadsData[[#This Row],[Signup Date]],"mmm-yyyy")</f>
        <v>May-2024</v>
      </c>
      <c r="M2375">
        <f>IF(LeadsData[[#This Row],[Stage Number]]&gt;=2,1,0)</f>
        <v>1</v>
      </c>
      <c r="N2375" s="2">
        <f>IF(LeadsData[[#This Row],[Stage Number]]&gt;=3,1,0)</f>
        <v>1</v>
      </c>
      <c r="O2375" s="2">
        <f>IF(LeadsData[[#This Row],[Stage Number]]&gt;=4,1,0)</f>
        <v>0</v>
      </c>
    </row>
    <row r="2376" spans="1:15" x14ac:dyDescent="0.25">
      <c r="A2376" t="s">
        <v>2416</v>
      </c>
      <c r="B2376" s="1">
        <v>45550</v>
      </c>
      <c r="C2376" t="s">
        <v>36</v>
      </c>
      <c r="D2376" t="s">
        <v>50</v>
      </c>
      <c r="E2376" t="s">
        <v>13</v>
      </c>
      <c r="F2376" t="s">
        <v>19</v>
      </c>
      <c r="G2376" t="s">
        <v>42</v>
      </c>
      <c r="H2376">
        <v>75</v>
      </c>
      <c r="I2376" t="s">
        <v>43</v>
      </c>
      <c r="J2376">
        <v>1196.52</v>
      </c>
      <c r="K2376" cm="1">
        <f t="array" ref="K2376">_xlfn.SWITCH(LeadsData[[#This Row],[Funnel Stage Reached]],"Lead",1,"MQL",2,"SQL",3,"Customer",4)</f>
        <v>4</v>
      </c>
      <c r="L2376" t="str">
        <f>TEXT(LeadsData[[#This Row],[Signup Date]],"mmm-yyyy")</f>
        <v>Sep-2024</v>
      </c>
      <c r="M2376">
        <f>IF(LeadsData[[#This Row],[Stage Number]]&gt;=2,1,0)</f>
        <v>1</v>
      </c>
      <c r="N2376" s="2">
        <f>IF(LeadsData[[#This Row],[Stage Number]]&gt;=3,1,0)</f>
        <v>1</v>
      </c>
      <c r="O2376" s="2">
        <f>IF(LeadsData[[#This Row],[Stage Number]]&gt;=4,1,0)</f>
        <v>1</v>
      </c>
    </row>
    <row r="2377" spans="1:15" x14ac:dyDescent="0.25">
      <c r="A2377" t="s">
        <v>2417</v>
      </c>
      <c r="B2377" s="1">
        <v>45336</v>
      </c>
      <c r="C2377" t="s">
        <v>31</v>
      </c>
      <c r="D2377" t="s">
        <v>32</v>
      </c>
      <c r="E2377" t="s">
        <v>21</v>
      </c>
      <c r="F2377" t="s">
        <v>19</v>
      </c>
      <c r="G2377" t="s">
        <v>23</v>
      </c>
      <c r="K2377" cm="1">
        <f t="array" ref="K2377">_xlfn.SWITCH(LeadsData[[#This Row],[Funnel Stage Reached]],"Lead",1,"MQL",2,"SQL",3,"Customer",4)</f>
        <v>2</v>
      </c>
      <c r="L2377" t="str">
        <f>TEXT(LeadsData[[#This Row],[Signup Date]],"mmm-yyyy")</f>
        <v>Feb-2024</v>
      </c>
      <c r="M2377">
        <f>IF(LeadsData[[#This Row],[Stage Number]]&gt;=2,1,0)</f>
        <v>1</v>
      </c>
      <c r="N2377" s="2">
        <f>IF(LeadsData[[#This Row],[Stage Number]]&gt;=3,1,0)</f>
        <v>0</v>
      </c>
      <c r="O2377" s="2">
        <f>IF(LeadsData[[#This Row],[Stage Number]]&gt;=4,1,0)</f>
        <v>0</v>
      </c>
    </row>
    <row r="2378" spans="1:15" x14ac:dyDescent="0.25">
      <c r="A2378" t="s">
        <v>2418</v>
      </c>
      <c r="B2378" s="1">
        <v>45549</v>
      </c>
      <c r="C2378" t="s">
        <v>25</v>
      </c>
      <c r="D2378" t="s">
        <v>26</v>
      </c>
      <c r="E2378" t="s">
        <v>21</v>
      </c>
      <c r="F2378" t="s">
        <v>19</v>
      </c>
      <c r="G2378" t="s">
        <v>15</v>
      </c>
      <c r="K2378" cm="1">
        <f t="array" ref="K2378">_xlfn.SWITCH(LeadsData[[#This Row],[Funnel Stage Reached]],"Lead",1,"MQL",2,"SQL",3,"Customer",4)</f>
        <v>1</v>
      </c>
      <c r="L2378" t="str">
        <f>TEXT(LeadsData[[#This Row],[Signup Date]],"mmm-yyyy")</f>
        <v>Sep-2024</v>
      </c>
      <c r="M2378">
        <f>IF(LeadsData[[#This Row],[Stage Number]]&gt;=2,1,0)</f>
        <v>0</v>
      </c>
      <c r="N2378" s="2">
        <f>IF(LeadsData[[#This Row],[Stage Number]]&gt;=3,1,0)</f>
        <v>0</v>
      </c>
      <c r="O2378" s="2">
        <f>IF(LeadsData[[#This Row],[Stage Number]]&gt;=4,1,0)</f>
        <v>0</v>
      </c>
    </row>
    <row r="2379" spans="1:15" x14ac:dyDescent="0.25">
      <c r="A2379" t="s">
        <v>2419</v>
      </c>
      <c r="B2379" s="1">
        <v>45422</v>
      </c>
      <c r="C2379" t="s">
        <v>31</v>
      </c>
      <c r="D2379" t="s">
        <v>34</v>
      </c>
      <c r="E2379" t="s">
        <v>13</v>
      </c>
      <c r="F2379" t="s">
        <v>19</v>
      </c>
      <c r="G2379" t="s">
        <v>23</v>
      </c>
      <c r="K2379" cm="1">
        <f t="array" ref="K2379">_xlfn.SWITCH(LeadsData[[#This Row],[Funnel Stage Reached]],"Lead",1,"MQL",2,"SQL",3,"Customer",4)</f>
        <v>2</v>
      </c>
      <c r="L2379" t="str">
        <f>TEXT(LeadsData[[#This Row],[Signup Date]],"mmm-yyyy")</f>
        <v>May-2024</v>
      </c>
      <c r="M2379">
        <f>IF(LeadsData[[#This Row],[Stage Number]]&gt;=2,1,0)</f>
        <v>1</v>
      </c>
      <c r="N2379" s="2">
        <f>IF(LeadsData[[#This Row],[Stage Number]]&gt;=3,1,0)</f>
        <v>0</v>
      </c>
      <c r="O2379" s="2">
        <f>IF(LeadsData[[#This Row],[Stage Number]]&gt;=4,1,0)</f>
        <v>0</v>
      </c>
    </row>
    <row r="2380" spans="1:15" x14ac:dyDescent="0.25">
      <c r="A2380" t="s">
        <v>2420</v>
      </c>
      <c r="B2380" s="1">
        <v>45621</v>
      </c>
      <c r="C2380" t="s">
        <v>17</v>
      </c>
      <c r="D2380" t="s">
        <v>18</v>
      </c>
      <c r="E2380" t="s">
        <v>13</v>
      </c>
      <c r="F2380" t="s">
        <v>19</v>
      </c>
      <c r="G2380" t="s">
        <v>15</v>
      </c>
      <c r="K2380" cm="1">
        <f t="array" ref="K2380">_xlfn.SWITCH(LeadsData[[#This Row],[Funnel Stage Reached]],"Lead",1,"MQL",2,"SQL",3,"Customer",4)</f>
        <v>1</v>
      </c>
      <c r="L2380" t="str">
        <f>TEXT(LeadsData[[#This Row],[Signup Date]],"mmm-yyyy")</f>
        <v>Nov-2024</v>
      </c>
      <c r="M2380">
        <f>IF(LeadsData[[#This Row],[Stage Number]]&gt;=2,1,0)</f>
        <v>0</v>
      </c>
      <c r="N2380" s="2">
        <f>IF(LeadsData[[#This Row],[Stage Number]]&gt;=3,1,0)</f>
        <v>0</v>
      </c>
      <c r="O2380" s="2">
        <f>IF(LeadsData[[#This Row],[Stage Number]]&gt;=4,1,0)</f>
        <v>0</v>
      </c>
    </row>
    <row r="2381" spans="1:15" x14ac:dyDescent="0.25">
      <c r="A2381" t="s">
        <v>2421</v>
      </c>
      <c r="B2381" s="1">
        <v>45419</v>
      </c>
      <c r="C2381" t="s">
        <v>46</v>
      </c>
      <c r="D2381" t="s">
        <v>56</v>
      </c>
      <c r="E2381" t="s">
        <v>13</v>
      </c>
      <c r="F2381" t="s">
        <v>22</v>
      </c>
      <c r="G2381" t="s">
        <v>42</v>
      </c>
      <c r="H2381">
        <v>66</v>
      </c>
      <c r="I2381" t="s">
        <v>43</v>
      </c>
      <c r="J2381">
        <v>611.16</v>
      </c>
      <c r="K2381" cm="1">
        <f t="array" ref="K2381">_xlfn.SWITCH(LeadsData[[#This Row],[Funnel Stage Reached]],"Lead",1,"MQL",2,"SQL",3,"Customer",4)</f>
        <v>4</v>
      </c>
      <c r="L2381" t="str">
        <f>TEXT(LeadsData[[#This Row],[Signup Date]],"mmm-yyyy")</f>
        <v>May-2024</v>
      </c>
      <c r="M2381">
        <f>IF(LeadsData[[#This Row],[Stage Number]]&gt;=2,1,0)</f>
        <v>1</v>
      </c>
      <c r="N2381" s="2">
        <f>IF(LeadsData[[#This Row],[Stage Number]]&gt;=3,1,0)</f>
        <v>1</v>
      </c>
      <c r="O2381" s="2">
        <f>IF(LeadsData[[#This Row],[Stage Number]]&gt;=4,1,0)</f>
        <v>1</v>
      </c>
    </row>
    <row r="2382" spans="1:15" x14ac:dyDescent="0.25">
      <c r="A2382" t="s">
        <v>2422</v>
      </c>
      <c r="B2382" s="1">
        <v>45616</v>
      </c>
      <c r="C2382" t="s">
        <v>31</v>
      </c>
      <c r="D2382" t="s">
        <v>32</v>
      </c>
      <c r="E2382" t="s">
        <v>13</v>
      </c>
      <c r="F2382" t="s">
        <v>22</v>
      </c>
      <c r="G2382" t="s">
        <v>29</v>
      </c>
      <c r="K2382" cm="1">
        <f t="array" ref="K2382">_xlfn.SWITCH(LeadsData[[#This Row],[Funnel Stage Reached]],"Lead",1,"MQL",2,"SQL",3,"Customer",4)</f>
        <v>3</v>
      </c>
      <c r="L2382" t="str">
        <f>TEXT(LeadsData[[#This Row],[Signup Date]],"mmm-yyyy")</f>
        <v>Nov-2024</v>
      </c>
      <c r="M2382">
        <f>IF(LeadsData[[#This Row],[Stage Number]]&gt;=2,1,0)</f>
        <v>1</v>
      </c>
      <c r="N2382" s="2">
        <f>IF(LeadsData[[#This Row],[Stage Number]]&gt;=3,1,0)</f>
        <v>1</v>
      </c>
      <c r="O2382" s="2">
        <f>IF(LeadsData[[#This Row],[Stage Number]]&gt;=4,1,0)</f>
        <v>0</v>
      </c>
    </row>
    <row r="2383" spans="1:15" x14ac:dyDescent="0.25">
      <c r="A2383" t="s">
        <v>2423</v>
      </c>
      <c r="B2383" s="1">
        <v>45334</v>
      </c>
      <c r="C2383" t="s">
        <v>11</v>
      </c>
      <c r="D2383" t="s">
        <v>79</v>
      </c>
      <c r="E2383" t="s">
        <v>21</v>
      </c>
      <c r="F2383" t="s">
        <v>14</v>
      </c>
      <c r="G2383" t="s">
        <v>23</v>
      </c>
      <c r="K2383" cm="1">
        <f t="array" ref="K2383">_xlfn.SWITCH(LeadsData[[#This Row],[Funnel Stage Reached]],"Lead",1,"MQL",2,"SQL",3,"Customer",4)</f>
        <v>2</v>
      </c>
      <c r="L2383" t="str">
        <f>TEXT(LeadsData[[#This Row],[Signup Date]],"mmm-yyyy")</f>
        <v>Feb-2024</v>
      </c>
      <c r="M2383">
        <f>IF(LeadsData[[#This Row],[Stage Number]]&gt;=2,1,0)</f>
        <v>1</v>
      </c>
      <c r="N2383" s="2">
        <f>IF(LeadsData[[#This Row],[Stage Number]]&gt;=3,1,0)</f>
        <v>0</v>
      </c>
      <c r="O2383" s="2">
        <f>IF(LeadsData[[#This Row],[Stage Number]]&gt;=4,1,0)</f>
        <v>0</v>
      </c>
    </row>
    <row r="2384" spans="1:15" x14ac:dyDescent="0.25">
      <c r="A2384" t="s">
        <v>2424</v>
      </c>
      <c r="B2384" s="1">
        <v>45605</v>
      </c>
      <c r="C2384" t="s">
        <v>36</v>
      </c>
      <c r="D2384" t="s">
        <v>37</v>
      </c>
      <c r="E2384" t="s">
        <v>13</v>
      </c>
      <c r="F2384" t="s">
        <v>22</v>
      </c>
      <c r="G2384" t="s">
        <v>29</v>
      </c>
      <c r="K2384" cm="1">
        <f t="array" ref="K2384">_xlfn.SWITCH(LeadsData[[#This Row],[Funnel Stage Reached]],"Lead",1,"MQL",2,"SQL",3,"Customer",4)</f>
        <v>3</v>
      </c>
      <c r="L2384" t="str">
        <f>TEXT(LeadsData[[#This Row],[Signup Date]],"mmm-yyyy")</f>
        <v>Nov-2024</v>
      </c>
      <c r="M2384">
        <f>IF(LeadsData[[#This Row],[Stage Number]]&gt;=2,1,0)</f>
        <v>1</v>
      </c>
      <c r="N2384" s="2">
        <f>IF(LeadsData[[#This Row],[Stage Number]]&gt;=3,1,0)</f>
        <v>1</v>
      </c>
      <c r="O2384" s="2">
        <f>IF(LeadsData[[#This Row],[Stage Number]]&gt;=4,1,0)</f>
        <v>0</v>
      </c>
    </row>
    <row r="2385" spans="1:15" x14ac:dyDescent="0.25">
      <c r="A2385" t="s">
        <v>2425</v>
      </c>
      <c r="B2385" s="1">
        <v>45584</v>
      </c>
      <c r="C2385" t="s">
        <v>31</v>
      </c>
      <c r="D2385" t="s">
        <v>34</v>
      </c>
      <c r="E2385" t="s">
        <v>13</v>
      </c>
      <c r="F2385" t="s">
        <v>19</v>
      </c>
      <c r="G2385" t="s">
        <v>23</v>
      </c>
      <c r="K2385" cm="1">
        <f t="array" ref="K2385">_xlfn.SWITCH(LeadsData[[#This Row],[Funnel Stage Reached]],"Lead",1,"MQL",2,"SQL",3,"Customer",4)</f>
        <v>2</v>
      </c>
      <c r="L2385" t="str">
        <f>TEXT(LeadsData[[#This Row],[Signup Date]],"mmm-yyyy")</f>
        <v>Oct-2024</v>
      </c>
      <c r="M2385">
        <f>IF(LeadsData[[#This Row],[Stage Number]]&gt;=2,1,0)</f>
        <v>1</v>
      </c>
      <c r="N2385" s="2">
        <f>IF(LeadsData[[#This Row],[Stage Number]]&gt;=3,1,0)</f>
        <v>0</v>
      </c>
      <c r="O2385" s="2">
        <f>IF(LeadsData[[#This Row],[Stage Number]]&gt;=4,1,0)</f>
        <v>0</v>
      </c>
    </row>
    <row r="2386" spans="1:15" x14ac:dyDescent="0.25">
      <c r="A2386" t="s">
        <v>2426</v>
      </c>
      <c r="B2386" s="1">
        <v>45423</v>
      </c>
      <c r="C2386" t="s">
        <v>36</v>
      </c>
      <c r="D2386" t="s">
        <v>37</v>
      </c>
      <c r="E2386" t="s">
        <v>21</v>
      </c>
      <c r="F2386" t="s">
        <v>22</v>
      </c>
      <c r="G2386" t="s">
        <v>29</v>
      </c>
      <c r="K2386" cm="1">
        <f t="array" ref="K2386">_xlfn.SWITCH(LeadsData[[#This Row],[Funnel Stage Reached]],"Lead",1,"MQL",2,"SQL",3,"Customer",4)</f>
        <v>3</v>
      </c>
      <c r="L2386" t="str">
        <f>TEXT(LeadsData[[#This Row],[Signup Date]],"mmm-yyyy")</f>
        <v>May-2024</v>
      </c>
      <c r="M2386">
        <f>IF(LeadsData[[#This Row],[Stage Number]]&gt;=2,1,0)</f>
        <v>1</v>
      </c>
      <c r="N2386" s="2">
        <f>IF(LeadsData[[#This Row],[Stage Number]]&gt;=3,1,0)</f>
        <v>1</v>
      </c>
      <c r="O2386" s="2">
        <f>IF(LeadsData[[#This Row],[Stage Number]]&gt;=4,1,0)</f>
        <v>0</v>
      </c>
    </row>
    <row r="2387" spans="1:15" x14ac:dyDescent="0.25">
      <c r="A2387" t="s">
        <v>2427</v>
      </c>
      <c r="B2387" s="1">
        <v>45580</v>
      </c>
      <c r="C2387" t="s">
        <v>46</v>
      </c>
      <c r="D2387" t="s">
        <v>47</v>
      </c>
      <c r="E2387" t="s">
        <v>13</v>
      </c>
      <c r="F2387" t="s">
        <v>28</v>
      </c>
      <c r="G2387" t="s">
        <v>15</v>
      </c>
      <c r="K2387" cm="1">
        <f t="array" ref="K2387">_xlfn.SWITCH(LeadsData[[#This Row],[Funnel Stage Reached]],"Lead",1,"MQL",2,"SQL",3,"Customer",4)</f>
        <v>1</v>
      </c>
      <c r="L2387" t="str">
        <f>TEXT(LeadsData[[#This Row],[Signup Date]],"mmm-yyyy")</f>
        <v>Oct-2024</v>
      </c>
      <c r="M2387">
        <f>IF(LeadsData[[#This Row],[Stage Number]]&gt;=2,1,0)</f>
        <v>0</v>
      </c>
      <c r="N2387" s="2">
        <f>IF(LeadsData[[#This Row],[Stage Number]]&gt;=3,1,0)</f>
        <v>0</v>
      </c>
      <c r="O2387" s="2">
        <f>IF(LeadsData[[#This Row],[Stage Number]]&gt;=4,1,0)</f>
        <v>0</v>
      </c>
    </row>
    <row r="2388" spans="1:15" x14ac:dyDescent="0.25">
      <c r="A2388" t="s">
        <v>2428</v>
      </c>
      <c r="B2388" s="1">
        <v>45295</v>
      </c>
      <c r="C2388" t="s">
        <v>17</v>
      </c>
      <c r="D2388" t="s">
        <v>18</v>
      </c>
      <c r="E2388" t="s">
        <v>13</v>
      </c>
      <c r="F2388" t="s">
        <v>19</v>
      </c>
      <c r="G2388" t="s">
        <v>15</v>
      </c>
      <c r="K2388" cm="1">
        <f t="array" ref="K2388">_xlfn.SWITCH(LeadsData[[#This Row],[Funnel Stage Reached]],"Lead",1,"MQL",2,"SQL",3,"Customer",4)</f>
        <v>1</v>
      </c>
      <c r="L2388" t="str">
        <f>TEXT(LeadsData[[#This Row],[Signup Date]],"mmm-yyyy")</f>
        <v>Jan-2024</v>
      </c>
      <c r="M2388">
        <f>IF(LeadsData[[#This Row],[Stage Number]]&gt;=2,1,0)</f>
        <v>0</v>
      </c>
      <c r="N2388" s="2">
        <f>IF(LeadsData[[#This Row],[Stage Number]]&gt;=3,1,0)</f>
        <v>0</v>
      </c>
      <c r="O2388" s="2">
        <f>IF(LeadsData[[#This Row],[Stage Number]]&gt;=4,1,0)</f>
        <v>0</v>
      </c>
    </row>
    <row r="2389" spans="1:15" x14ac:dyDescent="0.25">
      <c r="A2389" t="s">
        <v>2429</v>
      </c>
      <c r="B2389" s="1">
        <v>45387</v>
      </c>
      <c r="C2389" t="s">
        <v>31</v>
      </c>
      <c r="D2389" t="s">
        <v>34</v>
      </c>
      <c r="E2389" t="s">
        <v>13</v>
      </c>
      <c r="F2389" t="s">
        <v>19</v>
      </c>
      <c r="G2389" t="s">
        <v>15</v>
      </c>
      <c r="K2389" cm="1">
        <f t="array" ref="K2389">_xlfn.SWITCH(LeadsData[[#This Row],[Funnel Stage Reached]],"Lead",1,"MQL",2,"SQL",3,"Customer",4)</f>
        <v>1</v>
      </c>
      <c r="L2389" t="str">
        <f>TEXT(LeadsData[[#This Row],[Signup Date]],"mmm-yyyy")</f>
        <v>Apr-2024</v>
      </c>
      <c r="M2389">
        <f>IF(LeadsData[[#This Row],[Stage Number]]&gt;=2,1,0)</f>
        <v>0</v>
      </c>
      <c r="N2389" s="2">
        <f>IF(LeadsData[[#This Row],[Stage Number]]&gt;=3,1,0)</f>
        <v>0</v>
      </c>
      <c r="O2389" s="2">
        <f>IF(LeadsData[[#This Row],[Stage Number]]&gt;=4,1,0)</f>
        <v>0</v>
      </c>
    </row>
    <row r="2390" spans="1:15" x14ac:dyDescent="0.25">
      <c r="A2390" t="s">
        <v>2430</v>
      </c>
      <c r="B2390" s="1">
        <v>45591</v>
      </c>
      <c r="C2390" t="s">
        <v>46</v>
      </c>
      <c r="D2390" t="s">
        <v>47</v>
      </c>
      <c r="E2390" t="s">
        <v>13</v>
      </c>
      <c r="F2390" t="s">
        <v>14</v>
      </c>
      <c r="G2390" t="s">
        <v>42</v>
      </c>
      <c r="H2390">
        <v>49</v>
      </c>
      <c r="I2390" t="s">
        <v>87</v>
      </c>
      <c r="J2390">
        <v>3035.22</v>
      </c>
      <c r="K2390" cm="1">
        <f t="array" ref="K2390">_xlfn.SWITCH(LeadsData[[#This Row],[Funnel Stage Reached]],"Lead",1,"MQL",2,"SQL",3,"Customer",4)</f>
        <v>4</v>
      </c>
      <c r="L2390" t="str">
        <f>TEXT(LeadsData[[#This Row],[Signup Date]],"mmm-yyyy")</f>
        <v>Oct-2024</v>
      </c>
      <c r="M2390">
        <f>IF(LeadsData[[#This Row],[Stage Number]]&gt;=2,1,0)</f>
        <v>1</v>
      </c>
      <c r="N2390" s="2">
        <f>IF(LeadsData[[#This Row],[Stage Number]]&gt;=3,1,0)</f>
        <v>1</v>
      </c>
      <c r="O2390" s="2">
        <f>IF(LeadsData[[#This Row],[Stage Number]]&gt;=4,1,0)</f>
        <v>1</v>
      </c>
    </row>
    <row r="2391" spans="1:15" x14ac:dyDescent="0.25">
      <c r="A2391" t="s">
        <v>2431</v>
      </c>
      <c r="B2391" s="1">
        <v>45610</v>
      </c>
      <c r="C2391" t="s">
        <v>46</v>
      </c>
      <c r="D2391" t="s">
        <v>56</v>
      </c>
      <c r="E2391" t="s">
        <v>13</v>
      </c>
      <c r="F2391" t="s">
        <v>14</v>
      </c>
      <c r="G2391" t="s">
        <v>42</v>
      </c>
      <c r="H2391">
        <v>10</v>
      </c>
      <c r="I2391" t="s">
        <v>43</v>
      </c>
      <c r="J2391">
        <v>838.74</v>
      </c>
      <c r="K2391" cm="1">
        <f t="array" ref="K2391">_xlfn.SWITCH(LeadsData[[#This Row],[Funnel Stage Reached]],"Lead",1,"MQL",2,"SQL",3,"Customer",4)</f>
        <v>4</v>
      </c>
      <c r="L2391" t="str">
        <f>TEXT(LeadsData[[#This Row],[Signup Date]],"mmm-yyyy")</f>
        <v>Nov-2024</v>
      </c>
      <c r="M2391">
        <f>IF(LeadsData[[#This Row],[Stage Number]]&gt;=2,1,0)</f>
        <v>1</v>
      </c>
      <c r="N2391" s="2">
        <f>IF(LeadsData[[#This Row],[Stage Number]]&gt;=3,1,0)</f>
        <v>1</v>
      </c>
      <c r="O2391" s="2">
        <f>IF(LeadsData[[#This Row],[Stage Number]]&gt;=4,1,0)</f>
        <v>1</v>
      </c>
    </row>
    <row r="2392" spans="1:15" x14ac:dyDescent="0.25">
      <c r="A2392" t="s">
        <v>2432</v>
      </c>
      <c r="B2392" s="1">
        <v>45423</v>
      </c>
      <c r="C2392" t="s">
        <v>17</v>
      </c>
      <c r="D2392" t="s">
        <v>53</v>
      </c>
      <c r="E2392" t="s">
        <v>13</v>
      </c>
      <c r="F2392" t="s">
        <v>22</v>
      </c>
      <c r="G2392" t="s">
        <v>15</v>
      </c>
      <c r="K2392" cm="1">
        <f t="array" ref="K2392">_xlfn.SWITCH(LeadsData[[#This Row],[Funnel Stage Reached]],"Lead",1,"MQL",2,"SQL",3,"Customer",4)</f>
        <v>1</v>
      </c>
      <c r="L2392" t="str">
        <f>TEXT(LeadsData[[#This Row],[Signup Date]],"mmm-yyyy")</f>
        <v>May-2024</v>
      </c>
      <c r="M2392">
        <f>IF(LeadsData[[#This Row],[Stage Number]]&gt;=2,1,0)</f>
        <v>0</v>
      </c>
      <c r="N2392" s="2">
        <f>IF(LeadsData[[#This Row],[Stage Number]]&gt;=3,1,0)</f>
        <v>0</v>
      </c>
      <c r="O2392" s="2">
        <f>IF(LeadsData[[#This Row],[Stage Number]]&gt;=4,1,0)</f>
        <v>0</v>
      </c>
    </row>
    <row r="2393" spans="1:15" x14ac:dyDescent="0.25">
      <c r="A2393" t="s">
        <v>2433</v>
      </c>
      <c r="B2393" s="1">
        <v>45461</v>
      </c>
      <c r="C2393" t="s">
        <v>25</v>
      </c>
      <c r="D2393" t="s">
        <v>26</v>
      </c>
      <c r="E2393" t="s">
        <v>21</v>
      </c>
      <c r="F2393" t="s">
        <v>14</v>
      </c>
      <c r="G2393" t="s">
        <v>15</v>
      </c>
      <c r="K2393" cm="1">
        <f t="array" ref="K2393">_xlfn.SWITCH(LeadsData[[#This Row],[Funnel Stage Reached]],"Lead",1,"MQL",2,"SQL",3,"Customer",4)</f>
        <v>1</v>
      </c>
      <c r="L2393" t="str">
        <f>TEXT(LeadsData[[#This Row],[Signup Date]],"mmm-yyyy")</f>
        <v>Jun-2024</v>
      </c>
      <c r="M2393">
        <f>IF(LeadsData[[#This Row],[Stage Number]]&gt;=2,1,0)</f>
        <v>0</v>
      </c>
      <c r="N2393" s="2">
        <f>IF(LeadsData[[#This Row],[Stage Number]]&gt;=3,1,0)</f>
        <v>0</v>
      </c>
      <c r="O2393" s="2">
        <f>IF(LeadsData[[#This Row],[Stage Number]]&gt;=4,1,0)</f>
        <v>0</v>
      </c>
    </row>
    <row r="2394" spans="1:15" x14ac:dyDescent="0.25">
      <c r="A2394" t="s">
        <v>2434</v>
      </c>
      <c r="B2394" s="1">
        <v>45615</v>
      </c>
      <c r="C2394" t="s">
        <v>31</v>
      </c>
      <c r="D2394" t="s">
        <v>32</v>
      </c>
      <c r="E2394" t="s">
        <v>13</v>
      </c>
      <c r="F2394" t="s">
        <v>22</v>
      </c>
      <c r="G2394" t="s">
        <v>15</v>
      </c>
      <c r="K2394" cm="1">
        <f t="array" ref="K2394">_xlfn.SWITCH(LeadsData[[#This Row],[Funnel Stage Reached]],"Lead",1,"MQL",2,"SQL",3,"Customer",4)</f>
        <v>1</v>
      </c>
      <c r="L2394" t="str">
        <f>TEXT(LeadsData[[#This Row],[Signup Date]],"mmm-yyyy")</f>
        <v>Nov-2024</v>
      </c>
      <c r="M2394">
        <f>IF(LeadsData[[#This Row],[Stage Number]]&gt;=2,1,0)</f>
        <v>0</v>
      </c>
      <c r="N2394" s="2">
        <f>IF(LeadsData[[#This Row],[Stage Number]]&gt;=3,1,0)</f>
        <v>0</v>
      </c>
      <c r="O2394" s="2">
        <f>IF(LeadsData[[#This Row],[Stage Number]]&gt;=4,1,0)</f>
        <v>0</v>
      </c>
    </row>
    <row r="2395" spans="1:15" x14ac:dyDescent="0.25">
      <c r="A2395" t="s">
        <v>2435</v>
      </c>
      <c r="B2395" s="1">
        <v>45319</v>
      </c>
      <c r="C2395" t="s">
        <v>17</v>
      </c>
      <c r="D2395" t="s">
        <v>18</v>
      </c>
      <c r="E2395" t="s">
        <v>48</v>
      </c>
      <c r="F2395" t="s">
        <v>22</v>
      </c>
      <c r="G2395" t="s">
        <v>29</v>
      </c>
      <c r="K2395" cm="1">
        <f t="array" ref="K2395">_xlfn.SWITCH(LeadsData[[#This Row],[Funnel Stage Reached]],"Lead",1,"MQL",2,"SQL",3,"Customer",4)</f>
        <v>3</v>
      </c>
      <c r="L2395" t="str">
        <f>TEXT(LeadsData[[#This Row],[Signup Date]],"mmm-yyyy")</f>
        <v>Jan-2024</v>
      </c>
      <c r="M2395">
        <f>IF(LeadsData[[#This Row],[Stage Number]]&gt;=2,1,0)</f>
        <v>1</v>
      </c>
      <c r="N2395" s="2">
        <f>IF(LeadsData[[#This Row],[Stage Number]]&gt;=3,1,0)</f>
        <v>1</v>
      </c>
      <c r="O2395" s="2">
        <f>IF(LeadsData[[#This Row],[Stage Number]]&gt;=4,1,0)</f>
        <v>0</v>
      </c>
    </row>
    <row r="2396" spans="1:15" x14ac:dyDescent="0.25">
      <c r="A2396" t="s">
        <v>2436</v>
      </c>
      <c r="B2396" s="1">
        <v>45611</v>
      </c>
      <c r="C2396" t="s">
        <v>36</v>
      </c>
      <c r="D2396" t="s">
        <v>37</v>
      </c>
      <c r="E2396" t="s">
        <v>21</v>
      </c>
      <c r="F2396" t="s">
        <v>14</v>
      </c>
      <c r="G2396" t="s">
        <v>29</v>
      </c>
      <c r="K2396" cm="1">
        <f t="array" ref="K2396">_xlfn.SWITCH(LeadsData[[#This Row],[Funnel Stage Reached]],"Lead",1,"MQL",2,"SQL",3,"Customer",4)</f>
        <v>3</v>
      </c>
      <c r="L2396" t="str">
        <f>TEXT(LeadsData[[#This Row],[Signup Date]],"mmm-yyyy")</f>
        <v>Nov-2024</v>
      </c>
      <c r="M2396">
        <f>IF(LeadsData[[#This Row],[Stage Number]]&gt;=2,1,0)</f>
        <v>1</v>
      </c>
      <c r="N2396" s="2">
        <f>IF(LeadsData[[#This Row],[Stage Number]]&gt;=3,1,0)</f>
        <v>1</v>
      </c>
      <c r="O2396" s="2">
        <f>IF(LeadsData[[#This Row],[Stage Number]]&gt;=4,1,0)</f>
        <v>0</v>
      </c>
    </row>
    <row r="2397" spans="1:15" x14ac:dyDescent="0.25">
      <c r="A2397" t="s">
        <v>2437</v>
      </c>
      <c r="B2397" s="1">
        <v>45490</v>
      </c>
      <c r="C2397" t="s">
        <v>17</v>
      </c>
      <c r="D2397" t="s">
        <v>18</v>
      </c>
      <c r="E2397" t="s">
        <v>13</v>
      </c>
      <c r="F2397" t="s">
        <v>22</v>
      </c>
      <c r="G2397" t="s">
        <v>15</v>
      </c>
      <c r="K2397" cm="1">
        <f t="array" ref="K2397">_xlfn.SWITCH(LeadsData[[#This Row],[Funnel Stage Reached]],"Lead",1,"MQL",2,"SQL",3,"Customer",4)</f>
        <v>1</v>
      </c>
      <c r="L2397" t="str">
        <f>TEXT(LeadsData[[#This Row],[Signup Date]],"mmm-yyyy")</f>
        <v>Jul-2024</v>
      </c>
      <c r="M2397">
        <f>IF(LeadsData[[#This Row],[Stage Number]]&gt;=2,1,0)</f>
        <v>0</v>
      </c>
      <c r="N2397" s="2">
        <f>IF(LeadsData[[#This Row],[Stage Number]]&gt;=3,1,0)</f>
        <v>0</v>
      </c>
      <c r="O2397" s="2">
        <f>IF(LeadsData[[#This Row],[Stage Number]]&gt;=4,1,0)</f>
        <v>0</v>
      </c>
    </row>
    <row r="2398" spans="1:15" x14ac:dyDescent="0.25">
      <c r="A2398" t="s">
        <v>2438</v>
      </c>
      <c r="B2398" s="1">
        <v>45463</v>
      </c>
      <c r="C2398" t="s">
        <v>31</v>
      </c>
      <c r="D2398" t="s">
        <v>34</v>
      </c>
      <c r="E2398" t="s">
        <v>13</v>
      </c>
      <c r="F2398" t="s">
        <v>22</v>
      </c>
      <c r="G2398" t="s">
        <v>15</v>
      </c>
      <c r="K2398" cm="1">
        <f t="array" ref="K2398">_xlfn.SWITCH(LeadsData[[#This Row],[Funnel Stage Reached]],"Lead",1,"MQL",2,"SQL",3,"Customer",4)</f>
        <v>1</v>
      </c>
      <c r="L2398" t="str">
        <f>TEXT(LeadsData[[#This Row],[Signup Date]],"mmm-yyyy")</f>
        <v>Jun-2024</v>
      </c>
      <c r="M2398">
        <f>IF(LeadsData[[#This Row],[Stage Number]]&gt;=2,1,0)</f>
        <v>0</v>
      </c>
      <c r="N2398" s="2">
        <f>IF(LeadsData[[#This Row],[Stage Number]]&gt;=3,1,0)</f>
        <v>0</v>
      </c>
      <c r="O2398" s="2">
        <f>IF(LeadsData[[#This Row],[Stage Number]]&gt;=4,1,0)</f>
        <v>0</v>
      </c>
    </row>
    <row r="2399" spans="1:15" x14ac:dyDescent="0.25">
      <c r="A2399" t="s">
        <v>2439</v>
      </c>
      <c r="B2399" s="1">
        <v>45316</v>
      </c>
      <c r="C2399" t="s">
        <v>46</v>
      </c>
      <c r="D2399" t="s">
        <v>56</v>
      </c>
      <c r="E2399" t="s">
        <v>13</v>
      </c>
      <c r="F2399" t="s">
        <v>22</v>
      </c>
      <c r="G2399" t="s">
        <v>15</v>
      </c>
      <c r="K2399" cm="1">
        <f t="array" ref="K2399">_xlfn.SWITCH(LeadsData[[#This Row],[Funnel Stage Reached]],"Lead",1,"MQL",2,"SQL",3,"Customer",4)</f>
        <v>1</v>
      </c>
      <c r="L2399" t="str">
        <f>TEXT(LeadsData[[#This Row],[Signup Date]],"mmm-yyyy")</f>
        <v>Jan-2024</v>
      </c>
      <c r="M2399">
        <f>IF(LeadsData[[#This Row],[Stage Number]]&gt;=2,1,0)</f>
        <v>0</v>
      </c>
      <c r="N2399" s="2">
        <f>IF(LeadsData[[#This Row],[Stage Number]]&gt;=3,1,0)</f>
        <v>0</v>
      </c>
      <c r="O2399" s="2">
        <f>IF(LeadsData[[#This Row],[Stage Number]]&gt;=4,1,0)</f>
        <v>0</v>
      </c>
    </row>
    <row r="2400" spans="1:15" x14ac:dyDescent="0.25">
      <c r="A2400" t="s">
        <v>2440</v>
      </c>
      <c r="B2400" s="1">
        <v>45582</v>
      </c>
      <c r="C2400" t="s">
        <v>46</v>
      </c>
      <c r="D2400" t="s">
        <v>47</v>
      </c>
      <c r="E2400" t="s">
        <v>21</v>
      </c>
      <c r="F2400" t="s">
        <v>14</v>
      </c>
      <c r="G2400" t="s">
        <v>15</v>
      </c>
      <c r="K2400" cm="1">
        <f t="array" ref="K2400">_xlfn.SWITCH(LeadsData[[#This Row],[Funnel Stage Reached]],"Lead",1,"MQL",2,"SQL",3,"Customer",4)</f>
        <v>1</v>
      </c>
      <c r="L2400" t="str">
        <f>TEXT(LeadsData[[#This Row],[Signup Date]],"mmm-yyyy")</f>
        <v>Oct-2024</v>
      </c>
      <c r="M2400">
        <f>IF(LeadsData[[#This Row],[Stage Number]]&gt;=2,1,0)</f>
        <v>0</v>
      </c>
      <c r="N2400" s="2">
        <f>IF(LeadsData[[#This Row],[Stage Number]]&gt;=3,1,0)</f>
        <v>0</v>
      </c>
      <c r="O2400" s="2">
        <f>IF(LeadsData[[#This Row],[Stage Number]]&gt;=4,1,0)</f>
        <v>0</v>
      </c>
    </row>
    <row r="2401" spans="1:15" x14ac:dyDescent="0.25">
      <c r="A2401" t="s">
        <v>2441</v>
      </c>
      <c r="B2401" s="1">
        <v>45611</v>
      </c>
      <c r="C2401" t="s">
        <v>36</v>
      </c>
      <c r="D2401" t="s">
        <v>50</v>
      </c>
      <c r="E2401" t="s">
        <v>13</v>
      </c>
      <c r="F2401" t="s">
        <v>19</v>
      </c>
      <c r="G2401" t="s">
        <v>29</v>
      </c>
      <c r="K2401" cm="1">
        <f t="array" ref="K2401">_xlfn.SWITCH(LeadsData[[#This Row],[Funnel Stage Reached]],"Lead",1,"MQL",2,"SQL",3,"Customer",4)</f>
        <v>3</v>
      </c>
      <c r="L2401" t="str">
        <f>TEXT(LeadsData[[#This Row],[Signup Date]],"mmm-yyyy")</f>
        <v>Nov-2024</v>
      </c>
      <c r="M2401">
        <f>IF(LeadsData[[#This Row],[Stage Number]]&gt;=2,1,0)</f>
        <v>1</v>
      </c>
      <c r="N2401" s="2">
        <f>IF(LeadsData[[#This Row],[Stage Number]]&gt;=3,1,0)</f>
        <v>1</v>
      </c>
      <c r="O2401" s="2">
        <f>IF(LeadsData[[#This Row],[Stage Number]]&gt;=4,1,0)</f>
        <v>0</v>
      </c>
    </row>
    <row r="2402" spans="1:15" x14ac:dyDescent="0.25">
      <c r="A2402" t="s">
        <v>2442</v>
      </c>
      <c r="B2402" s="1">
        <v>45540</v>
      </c>
      <c r="C2402" t="s">
        <v>25</v>
      </c>
      <c r="D2402" t="s">
        <v>26</v>
      </c>
      <c r="E2402" t="s">
        <v>48</v>
      </c>
      <c r="F2402" t="s">
        <v>14</v>
      </c>
      <c r="G2402" t="s">
        <v>15</v>
      </c>
      <c r="K2402" cm="1">
        <f t="array" ref="K2402">_xlfn.SWITCH(LeadsData[[#This Row],[Funnel Stage Reached]],"Lead",1,"MQL",2,"SQL",3,"Customer",4)</f>
        <v>1</v>
      </c>
      <c r="L2402" t="str">
        <f>TEXT(LeadsData[[#This Row],[Signup Date]],"mmm-yyyy")</f>
        <v>Sep-2024</v>
      </c>
      <c r="M2402">
        <f>IF(LeadsData[[#This Row],[Stage Number]]&gt;=2,1,0)</f>
        <v>0</v>
      </c>
      <c r="N2402" s="2">
        <f>IF(LeadsData[[#This Row],[Stage Number]]&gt;=3,1,0)</f>
        <v>0</v>
      </c>
      <c r="O2402" s="2">
        <f>IF(LeadsData[[#This Row],[Stage Number]]&gt;=4,1,0)</f>
        <v>0</v>
      </c>
    </row>
    <row r="2403" spans="1:15" x14ac:dyDescent="0.25">
      <c r="A2403" t="s">
        <v>2443</v>
      </c>
      <c r="B2403" s="1">
        <v>45484</v>
      </c>
      <c r="C2403" t="s">
        <v>46</v>
      </c>
      <c r="D2403" t="s">
        <v>56</v>
      </c>
      <c r="E2403" t="s">
        <v>21</v>
      </c>
      <c r="F2403" t="s">
        <v>19</v>
      </c>
      <c r="G2403" t="s">
        <v>42</v>
      </c>
      <c r="H2403">
        <v>24</v>
      </c>
      <c r="I2403" t="s">
        <v>43</v>
      </c>
      <c r="J2403">
        <v>1401.12</v>
      </c>
      <c r="K2403" cm="1">
        <f t="array" ref="K2403">_xlfn.SWITCH(LeadsData[[#This Row],[Funnel Stage Reached]],"Lead",1,"MQL",2,"SQL",3,"Customer",4)</f>
        <v>4</v>
      </c>
      <c r="L2403" t="str">
        <f>TEXT(LeadsData[[#This Row],[Signup Date]],"mmm-yyyy")</f>
        <v>Jul-2024</v>
      </c>
      <c r="M2403">
        <f>IF(LeadsData[[#This Row],[Stage Number]]&gt;=2,1,0)</f>
        <v>1</v>
      </c>
      <c r="N2403" s="2">
        <f>IF(LeadsData[[#This Row],[Stage Number]]&gt;=3,1,0)</f>
        <v>1</v>
      </c>
      <c r="O2403" s="2">
        <f>IF(LeadsData[[#This Row],[Stage Number]]&gt;=4,1,0)</f>
        <v>1</v>
      </c>
    </row>
    <row r="2404" spans="1:15" x14ac:dyDescent="0.25">
      <c r="A2404" t="s">
        <v>2444</v>
      </c>
      <c r="B2404" s="1">
        <v>45342</v>
      </c>
      <c r="C2404" t="s">
        <v>11</v>
      </c>
      <c r="D2404" t="s">
        <v>68</v>
      </c>
      <c r="E2404" t="s">
        <v>13</v>
      </c>
      <c r="F2404" t="s">
        <v>14</v>
      </c>
      <c r="G2404" t="s">
        <v>15</v>
      </c>
      <c r="K2404" cm="1">
        <f t="array" ref="K2404">_xlfn.SWITCH(LeadsData[[#This Row],[Funnel Stage Reached]],"Lead",1,"MQL",2,"SQL",3,"Customer",4)</f>
        <v>1</v>
      </c>
      <c r="L2404" t="str">
        <f>TEXT(LeadsData[[#This Row],[Signup Date]],"mmm-yyyy")</f>
        <v>Feb-2024</v>
      </c>
      <c r="M2404">
        <f>IF(LeadsData[[#This Row],[Stage Number]]&gt;=2,1,0)</f>
        <v>0</v>
      </c>
      <c r="N2404" s="2">
        <f>IF(LeadsData[[#This Row],[Stage Number]]&gt;=3,1,0)</f>
        <v>0</v>
      </c>
      <c r="O2404" s="2">
        <f>IF(LeadsData[[#This Row],[Stage Number]]&gt;=4,1,0)</f>
        <v>0</v>
      </c>
    </row>
    <row r="2405" spans="1:15" x14ac:dyDescent="0.25">
      <c r="A2405" t="s">
        <v>2445</v>
      </c>
      <c r="B2405" s="1">
        <v>45483</v>
      </c>
      <c r="C2405" t="s">
        <v>25</v>
      </c>
      <c r="D2405" t="s">
        <v>26</v>
      </c>
      <c r="E2405" t="s">
        <v>21</v>
      </c>
      <c r="F2405" t="s">
        <v>19</v>
      </c>
      <c r="G2405" t="s">
        <v>29</v>
      </c>
      <c r="K2405" cm="1">
        <f t="array" ref="K2405">_xlfn.SWITCH(LeadsData[[#This Row],[Funnel Stage Reached]],"Lead",1,"MQL",2,"SQL",3,"Customer",4)</f>
        <v>3</v>
      </c>
      <c r="L2405" t="str">
        <f>TEXT(LeadsData[[#This Row],[Signup Date]],"mmm-yyyy")</f>
        <v>Jul-2024</v>
      </c>
      <c r="M2405">
        <f>IF(LeadsData[[#This Row],[Stage Number]]&gt;=2,1,0)</f>
        <v>1</v>
      </c>
      <c r="N2405" s="2">
        <f>IF(LeadsData[[#This Row],[Stage Number]]&gt;=3,1,0)</f>
        <v>1</v>
      </c>
      <c r="O2405" s="2">
        <f>IF(LeadsData[[#This Row],[Stage Number]]&gt;=4,1,0)</f>
        <v>0</v>
      </c>
    </row>
    <row r="2406" spans="1:15" x14ac:dyDescent="0.25">
      <c r="A2406" t="s">
        <v>2446</v>
      </c>
      <c r="B2406" s="1">
        <v>45348</v>
      </c>
      <c r="C2406" t="s">
        <v>31</v>
      </c>
      <c r="D2406" t="s">
        <v>32</v>
      </c>
      <c r="E2406" t="s">
        <v>21</v>
      </c>
      <c r="F2406" t="s">
        <v>19</v>
      </c>
      <c r="G2406" t="s">
        <v>23</v>
      </c>
      <c r="K2406" cm="1">
        <f t="array" ref="K2406">_xlfn.SWITCH(LeadsData[[#This Row],[Funnel Stage Reached]],"Lead",1,"MQL",2,"SQL",3,"Customer",4)</f>
        <v>2</v>
      </c>
      <c r="L2406" t="str">
        <f>TEXT(LeadsData[[#This Row],[Signup Date]],"mmm-yyyy")</f>
        <v>Feb-2024</v>
      </c>
      <c r="M2406">
        <f>IF(LeadsData[[#This Row],[Stage Number]]&gt;=2,1,0)</f>
        <v>1</v>
      </c>
      <c r="N2406" s="2">
        <f>IF(LeadsData[[#This Row],[Stage Number]]&gt;=3,1,0)</f>
        <v>0</v>
      </c>
      <c r="O2406" s="2">
        <f>IF(LeadsData[[#This Row],[Stage Number]]&gt;=4,1,0)</f>
        <v>0</v>
      </c>
    </row>
    <row r="2407" spans="1:15" x14ac:dyDescent="0.25">
      <c r="A2407" t="s">
        <v>2447</v>
      </c>
      <c r="B2407" s="1">
        <v>45356</v>
      </c>
      <c r="C2407" t="s">
        <v>31</v>
      </c>
      <c r="D2407" t="s">
        <v>32</v>
      </c>
      <c r="E2407" t="s">
        <v>13</v>
      </c>
      <c r="F2407" t="s">
        <v>22</v>
      </c>
      <c r="G2407" t="s">
        <v>42</v>
      </c>
      <c r="H2407">
        <v>23</v>
      </c>
      <c r="I2407" t="s">
        <v>43</v>
      </c>
      <c r="J2407">
        <v>1473.37</v>
      </c>
      <c r="K2407" cm="1">
        <f t="array" ref="K2407">_xlfn.SWITCH(LeadsData[[#This Row],[Funnel Stage Reached]],"Lead",1,"MQL",2,"SQL",3,"Customer",4)</f>
        <v>4</v>
      </c>
      <c r="L2407" t="str">
        <f>TEXT(LeadsData[[#This Row],[Signup Date]],"mmm-yyyy")</f>
        <v>Mar-2024</v>
      </c>
      <c r="M2407">
        <f>IF(LeadsData[[#This Row],[Stage Number]]&gt;=2,1,0)</f>
        <v>1</v>
      </c>
      <c r="N2407" s="2">
        <f>IF(LeadsData[[#This Row],[Stage Number]]&gt;=3,1,0)</f>
        <v>1</v>
      </c>
      <c r="O2407" s="2">
        <f>IF(LeadsData[[#This Row],[Stage Number]]&gt;=4,1,0)</f>
        <v>1</v>
      </c>
    </row>
    <row r="2408" spans="1:15" x14ac:dyDescent="0.25">
      <c r="A2408" t="s">
        <v>2448</v>
      </c>
      <c r="B2408" s="1">
        <v>45425</v>
      </c>
      <c r="C2408" t="s">
        <v>17</v>
      </c>
      <c r="D2408" t="s">
        <v>18</v>
      </c>
      <c r="E2408" t="s">
        <v>21</v>
      </c>
      <c r="F2408" t="s">
        <v>28</v>
      </c>
      <c r="G2408" t="s">
        <v>23</v>
      </c>
      <c r="K2408" cm="1">
        <f t="array" ref="K2408">_xlfn.SWITCH(LeadsData[[#This Row],[Funnel Stage Reached]],"Lead",1,"MQL",2,"SQL",3,"Customer",4)</f>
        <v>2</v>
      </c>
      <c r="L2408" t="str">
        <f>TEXT(LeadsData[[#This Row],[Signup Date]],"mmm-yyyy")</f>
        <v>May-2024</v>
      </c>
      <c r="M2408">
        <f>IF(LeadsData[[#This Row],[Stage Number]]&gt;=2,1,0)</f>
        <v>1</v>
      </c>
      <c r="N2408" s="2">
        <f>IF(LeadsData[[#This Row],[Stage Number]]&gt;=3,1,0)</f>
        <v>0</v>
      </c>
      <c r="O2408" s="2">
        <f>IF(LeadsData[[#This Row],[Stage Number]]&gt;=4,1,0)</f>
        <v>0</v>
      </c>
    </row>
    <row r="2409" spans="1:15" x14ac:dyDescent="0.25">
      <c r="A2409" t="s">
        <v>2449</v>
      </c>
      <c r="B2409" s="1">
        <v>45478</v>
      </c>
      <c r="C2409" t="s">
        <v>36</v>
      </c>
      <c r="D2409" t="s">
        <v>37</v>
      </c>
      <c r="E2409" t="s">
        <v>48</v>
      </c>
      <c r="F2409" t="s">
        <v>14</v>
      </c>
      <c r="G2409" t="s">
        <v>23</v>
      </c>
      <c r="K2409" cm="1">
        <f t="array" ref="K2409">_xlfn.SWITCH(LeadsData[[#This Row],[Funnel Stage Reached]],"Lead",1,"MQL",2,"SQL",3,"Customer",4)</f>
        <v>2</v>
      </c>
      <c r="L2409" t="str">
        <f>TEXT(LeadsData[[#This Row],[Signup Date]],"mmm-yyyy")</f>
        <v>Jul-2024</v>
      </c>
      <c r="M2409">
        <f>IF(LeadsData[[#This Row],[Stage Number]]&gt;=2,1,0)</f>
        <v>1</v>
      </c>
      <c r="N2409" s="2">
        <f>IF(LeadsData[[#This Row],[Stage Number]]&gt;=3,1,0)</f>
        <v>0</v>
      </c>
      <c r="O2409" s="2">
        <f>IF(LeadsData[[#This Row],[Stage Number]]&gt;=4,1,0)</f>
        <v>0</v>
      </c>
    </row>
    <row r="2410" spans="1:15" x14ac:dyDescent="0.25">
      <c r="A2410" t="s">
        <v>2450</v>
      </c>
      <c r="B2410" s="1">
        <v>45638</v>
      </c>
      <c r="C2410" t="s">
        <v>17</v>
      </c>
      <c r="D2410" t="s">
        <v>18</v>
      </c>
      <c r="E2410" t="s">
        <v>13</v>
      </c>
      <c r="F2410" t="s">
        <v>22</v>
      </c>
      <c r="G2410" t="s">
        <v>15</v>
      </c>
      <c r="K2410" cm="1">
        <f t="array" ref="K2410">_xlfn.SWITCH(LeadsData[[#This Row],[Funnel Stage Reached]],"Lead",1,"MQL",2,"SQL",3,"Customer",4)</f>
        <v>1</v>
      </c>
      <c r="L2410" t="str">
        <f>TEXT(LeadsData[[#This Row],[Signup Date]],"mmm-yyyy")</f>
        <v>Dec-2024</v>
      </c>
      <c r="M2410">
        <f>IF(LeadsData[[#This Row],[Stage Number]]&gt;=2,1,0)</f>
        <v>0</v>
      </c>
      <c r="N2410" s="2">
        <f>IF(LeadsData[[#This Row],[Stage Number]]&gt;=3,1,0)</f>
        <v>0</v>
      </c>
      <c r="O2410" s="2">
        <f>IF(LeadsData[[#This Row],[Stage Number]]&gt;=4,1,0)</f>
        <v>0</v>
      </c>
    </row>
    <row r="2411" spans="1:15" x14ac:dyDescent="0.25">
      <c r="A2411" t="s">
        <v>2451</v>
      </c>
      <c r="B2411" s="1">
        <v>45338</v>
      </c>
      <c r="C2411" t="s">
        <v>17</v>
      </c>
      <c r="D2411" t="s">
        <v>18</v>
      </c>
      <c r="E2411" t="s">
        <v>13</v>
      </c>
      <c r="F2411" t="s">
        <v>19</v>
      </c>
      <c r="G2411" t="s">
        <v>15</v>
      </c>
      <c r="K2411" cm="1">
        <f t="array" ref="K2411">_xlfn.SWITCH(LeadsData[[#This Row],[Funnel Stage Reached]],"Lead",1,"MQL",2,"SQL",3,"Customer",4)</f>
        <v>1</v>
      </c>
      <c r="L2411" t="str">
        <f>TEXT(LeadsData[[#This Row],[Signup Date]],"mmm-yyyy")</f>
        <v>Feb-2024</v>
      </c>
      <c r="M2411">
        <f>IF(LeadsData[[#This Row],[Stage Number]]&gt;=2,1,0)</f>
        <v>0</v>
      </c>
      <c r="N2411" s="2">
        <f>IF(LeadsData[[#This Row],[Stage Number]]&gt;=3,1,0)</f>
        <v>0</v>
      </c>
      <c r="O2411" s="2">
        <f>IF(LeadsData[[#This Row],[Stage Number]]&gt;=4,1,0)</f>
        <v>0</v>
      </c>
    </row>
    <row r="2412" spans="1:15" x14ac:dyDescent="0.25">
      <c r="A2412" t="s">
        <v>2452</v>
      </c>
      <c r="B2412" s="1">
        <v>45391</v>
      </c>
      <c r="C2412" t="s">
        <v>36</v>
      </c>
      <c r="D2412" t="s">
        <v>37</v>
      </c>
      <c r="E2412" t="s">
        <v>48</v>
      </c>
      <c r="F2412" t="s">
        <v>19</v>
      </c>
      <c r="G2412" t="s">
        <v>23</v>
      </c>
      <c r="K2412" cm="1">
        <f t="array" ref="K2412">_xlfn.SWITCH(LeadsData[[#This Row],[Funnel Stage Reached]],"Lead",1,"MQL",2,"SQL",3,"Customer",4)</f>
        <v>2</v>
      </c>
      <c r="L2412" t="str">
        <f>TEXT(LeadsData[[#This Row],[Signup Date]],"mmm-yyyy")</f>
        <v>Apr-2024</v>
      </c>
      <c r="M2412">
        <f>IF(LeadsData[[#This Row],[Stage Number]]&gt;=2,1,0)</f>
        <v>1</v>
      </c>
      <c r="N2412" s="2">
        <f>IF(LeadsData[[#This Row],[Stage Number]]&gt;=3,1,0)</f>
        <v>0</v>
      </c>
      <c r="O2412" s="2">
        <f>IF(LeadsData[[#This Row],[Stage Number]]&gt;=4,1,0)</f>
        <v>0</v>
      </c>
    </row>
    <row r="2413" spans="1:15" x14ac:dyDescent="0.25">
      <c r="A2413" t="s">
        <v>2453</v>
      </c>
      <c r="B2413" s="1">
        <v>45492</v>
      </c>
      <c r="C2413" t="s">
        <v>46</v>
      </c>
      <c r="D2413" t="s">
        <v>47</v>
      </c>
      <c r="E2413" t="s">
        <v>48</v>
      </c>
      <c r="F2413" t="s">
        <v>22</v>
      </c>
      <c r="G2413" t="s">
        <v>29</v>
      </c>
      <c r="K2413" cm="1">
        <f t="array" ref="K2413">_xlfn.SWITCH(LeadsData[[#This Row],[Funnel Stage Reached]],"Lead",1,"MQL",2,"SQL",3,"Customer",4)</f>
        <v>3</v>
      </c>
      <c r="L2413" t="str">
        <f>TEXT(LeadsData[[#This Row],[Signup Date]],"mmm-yyyy")</f>
        <v>Jul-2024</v>
      </c>
      <c r="M2413">
        <f>IF(LeadsData[[#This Row],[Stage Number]]&gt;=2,1,0)</f>
        <v>1</v>
      </c>
      <c r="N2413" s="2">
        <f>IF(LeadsData[[#This Row],[Stage Number]]&gt;=3,1,0)</f>
        <v>1</v>
      </c>
      <c r="O2413" s="2">
        <f>IF(LeadsData[[#This Row],[Stage Number]]&gt;=4,1,0)</f>
        <v>0</v>
      </c>
    </row>
    <row r="2414" spans="1:15" x14ac:dyDescent="0.25">
      <c r="A2414" t="s">
        <v>2454</v>
      </c>
      <c r="B2414" s="1">
        <v>45395</v>
      </c>
      <c r="C2414" t="s">
        <v>11</v>
      </c>
      <c r="D2414" t="s">
        <v>79</v>
      </c>
      <c r="E2414" t="s">
        <v>13</v>
      </c>
      <c r="F2414" t="s">
        <v>19</v>
      </c>
      <c r="G2414" t="s">
        <v>23</v>
      </c>
      <c r="K2414" cm="1">
        <f t="array" ref="K2414">_xlfn.SWITCH(LeadsData[[#This Row],[Funnel Stage Reached]],"Lead",1,"MQL",2,"SQL",3,"Customer",4)</f>
        <v>2</v>
      </c>
      <c r="L2414" t="str">
        <f>TEXT(LeadsData[[#This Row],[Signup Date]],"mmm-yyyy")</f>
        <v>Apr-2024</v>
      </c>
      <c r="M2414">
        <f>IF(LeadsData[[#This Row],[Stage Number]]&gt;=2,1,0)</f>
        <v>1</v>
      </c>
      <c r="N2414" s="2">
        <f>IF(LeadsData[[#This Row],[Stage Number]]&gt;=3,1,0)</f>
        <v>0</v>
      </c>
      <c r="O2414" s="2">
        <f>IF(LeadsData[[#This Row],[Stage Number]]&gt;=4,1,0)</f>
        <v>0</v>
      </c>
    </row>
    <row r="2415" spans="1:15" x14ac:dyDescent="0.25">
      <c r="A2415" t="s">
        <v>2455</v>
      </c>
      <c r="B2415" s="1">
        <v>45371</v>
      </c>
      <c r="C2415" t="s">
        <v>36</v>
      </c>
      <c r="D2415" t="s">
        <v>37</v>
      </c>
      <c r="E2415" t="s">
        <v>48</v>
      </c>
      <c r="F2415" t="s">
        <v>19</v>
      </c>
      <c r="G2415" t="s">
        <v>42</v>
      </c>
      <c r="H2415">
        <v>20</v>
      </c>
      <c r="I2415" t="s">
        <v>43</v>
      </c>
      <c r="J2415">
        <v>1461.94</v>
      </c>
      <c r="K2415" cm="1">
        <f t="array" ref="K2415">_xlfn.SWITCH(LeadsData[[#This Row],[Funnel Stage Reached]],"Lead",1,"MQL",2,"SQL",3,"Customer",4)</f>
        <v>4</v>
      </c>
      <c r="L2415" t="str">
        <f>TEXT(LeadsData[[#This Row],[Signup Date]],"mmm-yyyy")</f>
        <v>Mar-2024</v>
      </c>
      <c r="M2415">
        <f>IF(LeadsData[[#This Row],[Stage Number]]&gt;=2,1,0)</f>
        <v>1</v>
      </c>
      <c r="N2415" s="2">
        <f>IF(LeadsData[[#This Row],[Stage Number]]&gt;=3,1,0)</f>
        <v>1</v>
      </c>
      <c r="O2415" s="2">
        <f>IF(LeadsData[[#This Row],[Stage Number]]&gt;=4,1,0)</f>
        <v>1</v>
      </c>
    </row>
    <row r="2416" spans="1:15" x14ac:dyDescent="0.25">
      <c r="A2416" t="s">
        <v>2456</v>
      </c>
      <c r="B2416" s="1">
        <v>45576</v>
      </c>
      <c r="C2416" t="s">
        <v>31</v>
      </c>
      <c r="D2416" t="s">
        <v>34</v>
      </c>
      <c r="E2416" t="s">
        <v>48</v>
      </c>
      <c r="F2416" t="s">
        <v>14</v>
      </c>
      <c r="G2416" t="s">
        <v>15</v>
      </c>
      <c r="K2416" cm="1">
        <f t="array" ref="K2416">_xlfn.SWITCH(LeadsData[[#This Row],[Funnel Stage Reached]],"Lead",1,"MQL",2,"SQL",3,"Customer",4)</f>
        <v>1</v>
      </c>
      <c r="L2416" t="str">
        <f>TEXT(LeadsData[[#This Row],[Signup Date]],"mmm-yyyy")</f>
        <v>Oct-2024</v>
      </c>
      <c r="M2416">
        <f>IF(LeadsData[[#This Row],[Stage Number]]&gt;=2,1,0)</f>
        <v>0</v>
      </c>
      <c r="N2416" s="2">
        <f>IF(LeadsData[[#This Row],[Stage Number]]&gt;=3,1,0)</f>
        <v>0</v>
      </c>
      <c r="O2416" s="2">
        <f>IF(LeadsData[[#This Row],[Stage Number]]&gt;=4,1,0)</f>
        <v>0</v>
      </c>
    </row>
    <row r="2417" spans="1:15" x14ac:dyDescent="0.25">
      <c r="A2417" t="s">
        <v>2457</v>
      </c>
      <c r="B2417" s="1">
        <v>45446</v>
      </c>
      <c r="C2417" t="s">
        <v>31</v>
      </c>
      <c r="D2417" t="s">
        <v>32</v>
      </c>
      <c r="E2417" t="s">
        <v>21</v>
      </c>
      <c r="F2417" t="s">
        <v>19</v>
      </c>
      <c r="G2417" t="s">
        <v>23</v>
      </c>
      <c r="K2417" cm="1">
        <f t="array" ref="K2417">_xlfn.SWITCH(LeadsData[[#This Row],[Funnel Stage Reached]],"Lead",1,"MQL",2,"SQL",3,"Customer",4)</f>
        <v>2</v>
      </c>
      <c r="L2417" t="str">
        <f>TEXT(LeadsData[[#This Row],[Signup Date]],"mmm-yyyy")</f>
        <v>Jun-2024</v>
      </c>
      <c r="M2417">
        <f>IF(LeadsData[[#This Row],[Stage Number]]&gt;=2,1,0)</f>
        <v>1</v>
      </c>
      <c r="N2417" s="2">
        <f>IF(LeadsData[[#This Row],[Stage Number]]&gt;=3,1,0)</f>
        <v>0</v>
      </c>
      <c r="O2417" s="2">
        <f>IF(LeadsData[[#This Row],[Stage Number]]&gt;=4,1,0)</f>
        <v>0</v>
      </c>
    </row>
    <row r="2418" spans="1:15" x14ac:dyDescent="0.25">
      <c r="A2418" t="s">
        <v>2458</v>
      </c>
      <c r="B2418" s="1">
        <v>45338</v>
      </c>
      <c r="C2418" t="s">
        <v>46</v>
      </c>
      <c r="D2418" t="s">
        <v>56</v>
      </c>
      <c r="E2418" t="s">
        <v>13</v>
      </c>
      <c r="F2418" t="s">
        <v>19</v>
      </c>
      <c r="G2418" t="s">
        <v>15</v>
      </c>
      <c r="K2418" cm="1">
        <f t="array" ref="K2418">_xlfn.SWITCH(LeadsData[[#This Row],[Funnel Stage Reached]],"Lead",1,"MQL",2,"SQL",3,"Customer",4)</f>
        <v>1</v>
      </c>
      <c r="L2418" t="str">
        <f>TEXT(LeadsData[[#This Row],[Signup Date]],"mmm-yyyy")</f>
        <v>Feb-2024</v>
      </c>
      <c r="M2418">
        <f>IF(LeadsData[[#This Row],[Stage Number]]&gt;=2,1,0)</f>
        <v>0</v>
      </c>
      <c r="N2418" s="2">
        <f>IF(LeadsData[[#This Row],[Stage Number]]&gt;=3,1,0)</f>
        <v>0</v>
      </c>
      <c r="O2418" s="2">
        <f>IF(LeadsData[[#This Row],[Stage Number]]&gt;=4,1,0)</f>
        <v>0</v>
      </c>
    </row>
    <row r="2419" spans="1:15" x14ac:dyDescent="0.25">
      <c r="A2419" t="s">
        <v>2459</v>
      </c>
      <c r="B2419" s="1">
        <v>45623</v>
      </c>
      <c r="C2419" t="s">
        <v>46</v>
      </c>
      <c r="D2419" t="s">
        <v>47</v>
      </c>
      <c r="E2419" t="s">
        <v>13</v>
      </c>
      <c r="F2419" t="s">
        <v>19</v>
      </c>
      <c r="G2419" t="s">
        <v>23</v>
      </c>
      <c r="K2419" cm="1">
        <f t="array" ref="K2419">_xlfn.SWITCH(LeadsData[[#This Row],[Funnel Stage Reached]],"Lead",1,"MQL",2,"SQL",3,"Customer",4)</f>
        <v>2</v>
      </c>
      <c r="L2419" t="str">
        <f>TEXT(LeadsData[[#This Row],[Signup Date]],"mmm-yyyy")</f>
        <v>Nov-2024</v>
      </c>
      <c r="M2419">
        <f>IF(LeadsData[[#This Row],[Stage Number]]&gt;=2,1,0)</f>
        <v>1</v>
      </c>
      <c r="N2419" s="2">
        <f>IF(LeadsData[[#This Row],[Stage Number]]&gt;=3,1,0)</f>
        <v>0</v>
      </c>
      <c r="O2419" s="2">
        <f>IF(LeadsData[[#This Row],[Stage Number]]&gt;=4,1,0)</f>
        <v>0</v>
      </c>
    </row>
    <row r="2420" spans="1:15" x14ac:dyDescent="0.25">
      <c r="A2420" t="s">
        <v>2460</v>
      </c>
      <c r="B2420" s="1">
        <v>45345</v>
      </c>
      <c r="C2420" t="s">
        <v>11</v>
      </c>
      <c r="D2420" t="s">
        <v>68</v>
      </c>
      <c r="E2420" t="s">
        <v>21</v>
      </c>
      <c r="F2420" t="s">
        <v>22</v>
      </c>
      <c r="G2420" t="s">
        <v>15</v>
      </c>
      <c r="K2420" cm="1">
        <f t="array" ref="K2420">_xlfn.SWITCH(LeadsData[[#This Row],[Funnel Stage Reached]],"Lead",1,"MQL",2,"SQL",3,"Customer",4)</f>
        <v>1</v>
      </c>
      <c r="L2420" t="str">
        <f>TEXT(LeadsData[[#This Row],[Signup Date]],"mmm-yyyy")</f>
        <v>Feb-2024</v>
      </c>
      <c r="M2420">
        <f>IF(LeadsData[[#This Row],[Stage Number]]&gt;=2,1,0)</f>
        <v>0</v>
      </c>
      <c r="N2420" s="2">
        <f>IF(LeadsData[[#This Row],[Stage Number]]&gt;=3,1,0)</f>
        <v>0</v>
      </c>
      <c r="O2420" s="2">
        <f>IF(LeadsData[[#This Row],[Stage Number]]&gt;=4,1,0)</f>
        <v>0</v>
      </c>
    </row>
    <row r="2421" spans="1:15" x14ac:dyDescent="0.25">
      <c r="A2421" t="s">
        <v>2461</v>
      </c>
      <c r="B2421" s="1">
        <v>45605</v>
      </c>
      <c r="C2421" t="s">
        <v>17</v>
      </c>
      <c r="D2421" t="s">
        <v>53</v>
      </c>
      <c r="E2421" t="s">
        <v>13</v>
      </c>
      <c r="F2421" t="s">
        <v>22</v>
      </c>
      <c r="G2421" t="s">
        <v>15</v>
      </c>
      <c r="K2421" cm="1">
        <f t="array" ref="K2421">_xlfn.SWITCH(LeadsData[[#This Row],[Funnel Stage Reached]],"Lead",1,"MQL",2,"SQL",3,"Customer",4)</f>
        <v>1</v>
      </c>
      <c r="L2421" t="str">
        <f>TEXT(LeadsData[[#This Row],[Signup Date]],"mmm-yyyy")</f>
        <v>Nov-2024</v>
      </c>
      <c r="M2421">
        <f>IF(LeadsData[[#This Row],[Stage Number]]&gt;=2,1,0)</f>
        <v>0</v>
      </c>
      <c r="N2421" s="2">
        <f>IF(LeadsData[[#This Row],[Stage Number]]&gt;=3,1,0)</f>
        <v>0</v>
      </c>
      <c r="O2421" s="2">
        <f>IF(LeadsData[[#This Row],[Stage Number]]&gt;=4,1,0)</f>
        <v>0</v>
      </c>
    </row>
    <row r="2422" spans="1:15" x14ac:dyDescent="0.25">
      <c r="A2422" t="s">
        <v>2462</v>
      </c>
      <c r="B2422" s="1">
        <v>45328</v>
      </c>
      <c r="C2422" t="s">
        <v>17</v>
      </c>
      <c r="D2422" t="s">
        <v>18</v>
      </c>
      <c r="E2422" t="s">
        <v>13</v>
      </c>
      <c r="F2422" t="s">
        <v>14</v>
      </c>
      <c r="G2422" t="s">
        <v>23</v>
      </c>
      <c r="K2422" cm="1">
        <f t="array" ref="K2422">_xlfn.SWITCH(LeadsData[[#This Row],[Funnel Stage Reached]],"Lead",1,"MQL",2,"SQL",3,"Customer",4)</f>
        <v>2</v>
      </c>
      <c r="L2422" t="str">
        <f>TEXT(LeadsData[[#This Row],[Signup Date]],"mmm-yyyy")</f>
        <v>Feb-2024</v>
      </c>
      <c r="M2422">
        <f>IF(LeadsData[[#This Row],[Stage Number]]&gt;=2,1,0)</f>
        <v>1</v>
      </c>
      <c r="N2422" s="2">
        <f>IF(LeadsData[[#This Row],[Stage Number]]&gt;=3,1,0)</f>
        <v>0</v>
      </c>
      <c r="O2422" s="2">
        <f>IF(LeadsData[[#This Row],[Stage Number]]&gt;=4,1,0)</f>
        <v>0</v>
      </c>
    </row>
    <row r="2423" spans="1:15" x14ac:dyDescent="0.25">
      <c r="A2423" t="s">
        <v>2463</v>
      </c>
      <c r="B2423" s="1">
        <v>45392</v>
      </c>
      <c r="C2423" t="s">
        <v>36</v>
      </c>
      <c r="D2423" t="s">
        <v>50</v>
      </c>
      <c r="E2423" t="s">
        <v>21</v>
      </c>
      <c r="F2423" t="s">
        <v>14</v>
      </c>
      <c r="G2423" t="s">
        <v>23</v>
      </c>
      <c r="K2423" cm="1">
        <f t="array" ref="K2423">_xlfn.SWITCH(LeadsData[[#This Row],[Funnel Stage Reached]],"Lead",1,"MQL",2,"SQL",3,"Customer",4)</f>
        <v>2</v>
      </c>
      <c r="L2423" t="str">
        <f>TEXT(LeadsData[[#This Row],[Signup Date]],"mmm-yyyy")</f>
        <v>Apr-2024</v>
      </c>
      <c r="M2423">
        <f>IF(LeadsData[[#This Row],[Stage Number]]&gt;=2,1,0)</f>
        <v>1</v>
      </c>
      <c r="N2423" s="2">
        <f>IF(LeadsData[[#This Row],[Stage Number]]&gt;=3,1,0)</f>
        <v>0</v>
      </c>
      <c r="O2423" s="2">
        <f>IF(LeadsData[[#This Row],[Stage Number]]&gt;=4,1,0)</f>
        <v>0</v>
      </c>
    </row>
    <row r="2424" spans="1:15" x14ac:dyDescent="0.25">
      <c r="A2424" t="s">
        <v>2464</v>
      </c>
      <c r="B2424" s="1">
        <v>45528</v>
      </c>
      <c r="C2424" t="s">
        <v>25</v>
      </c>
      <c r="D2424" t="s">
        <v>26</v>
      </c>
      <c r="E2424" t="s">
        <v>13</v>
      </c>
      <c r="F2424" t="s">
        <v>22</v>
      </c>
      <c r="G2424" t="s">
        <v>23</v>
      </c>
      <c r="K2424" cm="1">
        <f t="array" ref="K2424">_xlfn.SWITCH(LeadsData[[#This Row],[Funnel Stage Reached]],"Lead",1,"MQL",2,"SQL",3,"Customer",4)</f>
        <v>2</v>
      </c>
      <c r="L2424" t="str">
        <f>TEXT(LeadsData[[#This Row],[Signup Date]],"mmm-yyyy")</f>
        <v>Aug-2024</v>
      </c>
      <c r="M2424">
        <f>IF(LeadsData[[#This Row],[Stage Number]]&gt;=2,1,0)</f>
        <v>1</v>
      </c>
      <c r="N2424" s="2">
        <f>IF(LeadsData[[#This Row],[Stage Number]]&gt;=3,1,0)</f>
        <v>0</v>
      </c>
      <c r="O2424" s="2">
        <f>IF(LeadsData[[#This Row],[Stage Number]]&gt;=4,1,0)</f>
        <v>0</v>
      </c>
    </row>
    <row r="2425" spans="1:15" x14ac:dyDescent="0.25">
      <c r="A2425" t="s">
        <v>2465</v>
      </c>
      <c r="B2425" s="1">
        <v>45636</v>
      </c>
      <c r="C2425" t="s">
        <v>31</v>
      </c>
      <c r="D2425" t="s">
        <v>32</v>
      </c>
      <c r="E2425" t="s">
        <v>13</v>
      </c>
      <c r="F2425" t="s">
        <v>22</v>
      </c>
      <c r="G2425" t="s">
        <v>29</v>
      </c>
      <c r="K2425" cm="1">
        <f t="array" ref="K2425">_xlfn.SWITCH(LeadsData[[#This Row],[Funnel Stage Reached]],"Lead",1,"MQL",2,"SQL",3,"Customer",4)</f>
        <v>3</v>
      </c>
      <c r="L2425" t="str">
        <f>TEXT(LeadsData[[#This Row],[Signup Date]],"mmm-yyyy")</f>
        <v>Dec-2024</v>
      </c>
      <c r="M2425">
        <f>IF(LeadsData[[#This Row],[Stage Number]]&gt;=2,1,0)</f>
        <v>1</v>
      </c>
      <c r="N2425" s="2">
        <f>IF(LeadsData[[#This Row],[Stage Number]]&gt;=3,1,0)</f>
        <v>1</v>
      </c>
      <c r="O2425" s="2">
        <f>IF(LeadsData[[#This Row],[Stage Number]]&gt;=4,1,0)</f>
        <v>0</v>
      </c>
    </row>
    <row r="2426" spans="1:15" x14ac:dyDescent="0.25">
      <c r="A2426" t="s">
        <v>2466</v>
      </c>
      <c r="B2426" s="1">
        <v>45570</v>
      </c>
      <c r="C2426" t="s">
        <v>31</v>
      </c>
      <c r="D2426" t="s">
        <v>32</v>
      </c>
      <c r="E2426" t="s">
        <v>13</v>
      </c>
      <c r="F2426" t="s">
        <v>19</v>
      </c>
      <c r="G2426" t="s">
        <v>15</v>
      </c>
      <c r="K2426" cm="1">
        <f t="array" ref="K2426">_xlfn.SWITCH(LeadsData[[#This Row],[Funnel Stage Reached]],"Lead",1,"MQL",2,"SQL",3,"Customer",4)</f>
        <v>1</v>
      </c>
      <c r="L2426" t="str">
        <f>TEXT(LeadsData[[#This Row],[Signup Date]],"mmm-yyyy")</f>
        <v>Oct-2024</v>
      </c>
      <c r="M2426">
        <f>IF(LeadsData[[#This Row],[Stage Number]]&gt;=2,1,0)</f>
        <v>0</v>
      </c>
      <c r="N2426" s="2">
        <f>IF(LeadsData[[#This Row],[Stage Number]]&gt;=3,1,0)</f>
        <v>0</v>
      </c>
      <c r="O2426" s="2">
        <f>IF(LeadsData[[#This Row],[Stage Number]]&gt;=4,1,0)</f>
        <v>0</v>
      </c>
    </row>
    <row r="2427" spans="1:15" x14ac:dyDescent="0.25">
      <c r="A2427" t="s">
        <v>2467</v>
      </c>
      <c r="B2427" s="1">
        <v>45432</v>
      </c>
      <c r="C2427" t="s">
        <v>31</v>
      </c>
      <c r="D2427" t="s">
        <v>32</v>
      </c>
      <c r="E2427" t="s">
        <v>21</v>
      </c>
      <c r="F2427" t="s">
        <v>22</v>
      </c>
      <c r="G2427" t="s">
        <v>29</v>
      </c>
      <c r="K2427" cm="1">
        <f t="array" ref="K2427">_xlfn.SWITCH(LeadsData[[#This Row],[Funnel Stage Reached]],"Lead",1,"MQL",2,"SQL",3,"Customer",4)</f>
        <v>3</v>
      </c>
      <c r="L2427" t="str">
        <f>TEXT(LeadsData[[#This Row],[Signup Date]],"mmm-yyyy")</f>
        <v>May-2024</v>
      </c>
      <c r="M2427">
        <f>IF(LeadsData[[#This Row],[Stage Number]]&gt;=2,1,0)</f>
        <v>1</v>
      </c>
      <c r="N2427" s="2">
        <f>IF(LeadsData[[#This Row],[Stage Number]]&gt;=3,1,0)</f>
        <v>1</v>
      </c>
      <c r="O2427" s="2">
        <f>IF(LeadsData[[#This Row],[Stage Number]]&gt;=4,1,0)</f>
        <v>0</v>
      </c>
    </row>
    <row r="2428" spans="1:15" x14ac:dyDescent="0.25">
      <c r="A2428" t="s">
        <v>2468</v>
      </c>
      <c r="B2428" s="1">
        <v>45367</v>
      </c>
      <c r="C2428" t="s">
        <v>11</v>
      </c>
      <c r="D2428" t="s">
        <v>12</v>
      </c>
      <c r="E2428" t="s">
        <v>21</v>
      </c>
      <c r="F2428" t="s">
        <v>14</v>
      </c>
      <c r="G2428" t="s">
        <v>23</v>
      </c>
      <c r="K2428" cm="1">
        <f t="array" ref="K2428">_xlfn.SWITCH(LeadsData[[#This Row],[Funnel Stage Reached]],"Lead",1,"MQL",2,"SQL",3,"Customer",4)</f>
        <v>2</v>
      </c>
      <c r="L2428" t="str">
        <f>TEXT(LeadsData[[#This Row],[Signup Date]],"mmm-yyyy")</f>
        <v>Mar-2024</v>
      </c>
      <c r="M2428">
        <f>IF(LeadsData[[#This Row],[Stage Number]]&gt;=2,1,0)</f>
        <v>1</v>
      </c>
      <c r="N2428" s="2">
        <f>IF(LeadsData[[#This Row],[Stage Number]]&gt;=3,1,0)</f>
        <v>0</v>
      </c>
      <c r="O2428" s="2">
        <f>IF(LeadsData[[#This Row],[Stage Number]]&gt;=4,1,0)</f>
        <v>0</v>
      </c>
    </row>
    <row r="2429" spans="1:15" x14ac:dyDescent="0.25">
      <c r="A2429" t="s">
        <v>2469</v>
      </c>
      <c r="B2429" s="1">
        <v>45295</v>
      </c>
      <c r="C2429" t="s">
        <v>31</v>
      </c>
      <c r="D2429" t="s">
        <v>34</v>
      </c>
      <c r="E2429" t="s">
        <v>13</v>
      </c>
      <c r="F2429" t="s">
        <v>19</v>
      </c>
      <c r="G2429" t="s">
        <v>23</v>
      </c>
      <c r="K2429" cm="1">
        <f t="array" ref="K2429">_xlfn.SWITCH(LeadsData[[#This Row],[Funnel Stage Reached]],"Lead",1,"MQL",2,"SQL",3,"Customer",4)</f>
        <v>2</v>
      </c>
      <c r="L2429" t="str">
        <f>TEXT(LeadsData[[#This Row],[Signup Date]],"mmm-yyyy")</f>
        <v>Jan-2024</v>
      </c>
      <c r="M2429">
        <f>IF(LeadsData[[#This Row],[Stage Number]]&gt;=2,1,0)</f>
        <v>1</v>
      </c>
      <c r="N2429" s="2">
        <f>IF(LeadsData[[#This Row],[Stage Number]]&gt;=3,1,0)</f>
        <v>0</v>
      </c>
      <c r="O2429" s="2">
        <f>IF(LeadsData[[#This Row],[Stage Number]]&gt;=4,1,0)</f>
        <v>0</v>
      </c>
    </row>
    <row r="2430" spans="1:15" x14ac:dyDescent="0.25">
      <c r="A2430" t="s">
        <v>2470</v>
      </c>
      <c r="B2430" s="1">
        <v>45522</v>
      </c>
      <c r="C2430" t="s">
        <v>17</v>
      </c>
      <c r="D2430" t="s">
        <v>18</v>
      </c>
      <c r="E2430" t="s">
        <v>48</v>
      </c>
      <c r="F2430" t="s">
        <v>19</v>
      </c>
      <c r="G2430" t="s">
        <v>23</v>
      </c>
      <c r="K2430" cm="1">
        <f t="array" ref="K2430">_xlfn.SWITCH(LeadsData[[#This Row],[Funnel Stage Reached]],"Lead",1,"MQL",2,"SQL",3,"Customer",4)</f>
        <v>2</v>
      </c>
      <c r="L2430" t="str">
        <f>TEXT(LeadsData[[#This Row],[Signup Date]],"mmm-yyyy")</f>
        <v>Aug-2024</v>
      </c>
      <c r="M2430">
        <f>IF(LeadsData[[#This Row],[Stage Number]]&gt;=2,1,0)</f>
        <v>1</v>
      </c>
      <c r="N2430" s="2">
        <f>IF(LeadsData[[#This Row],[Stage Number]]&gt;=3,1,0)</f>
        <v>0</v>
      </c>
      <c r="O2430" s="2">
        <f>IF(LeadsData[[#This Row],[Stage Number]]&gt;=4,1,0)</f>
        <v>0</v>
      </c>
    </row>
    <row r="2431" spans="1:15" x14ac:dyDescent="0.25">
      <c r="A2431" t="s">
        <v>2471</v>
      </c>
      <c r="B2431" s="1">
        <v>45359</v>
      </c>
      <c r="C2431" t="s">
        <v>36</v>
      </c>
      <c r="D2431" t="s">
        <v>37</v>
      </c>
      <c r="E2431" t="s">
        <v>21</v>
      </c>
      <c r="F2431" t="s">
        <v>28</v>
      </c>
      <c r="G2431" t="s">
        <v>23</v>
      </c>
      <c r="K2431" cm="1">
        <f t="array" ref="K2431">_xlfn.SWITCH(LeadsData[[#This Row],[Funnel Stage Reached]],"Lead",1,"MQL",2,"SQL",3,"Customer",4)</f>
        <v>2</v>
      </c>
      <c r="L2431" t="str">
        <f>TEXT(LeadsData[[#This Row],[Signup Date]],"mmm-yyyy")</f>
        <v>Mar-2024</v>
      </c>
      <c r="M2431">
        <f>IF(LeadsData[[#This Row],[Stage Number]]&gt;=2,1,0)</f>
        <v>1</v>
      </c>
      <c r="N2431" s="2">
        <f>IF(LeadsData[[#This Row],[Stage Number]]&gt;=3,1,0)</f>
        <v>0</v>
      </c>
      <c r="O2431" s="2">
        <f>IF(LeadsData[[#This Row],[Stage Number]]&gt;=4,1,0)</f>
        <v>0</v>
      </c>
    </row>
    <row r="2432" spans="1:15" x14ac:dyDescent="0.25">
      <c r="A2432" t="s">
        <v>2472</v>
      </c>
      <c r="B2432" s="1">
        <v>45560</v>
      </c>
      <c r="C2432" t="s">
        <v>31</v>
      </c>
      <c r="D2432" t="s">
        <v>32</v>
      </c>
      <c r="E2432" t="s">
        <v>13</v>
      </c>
      <c r="F2432" t="s">
        <v>22</v>
      </c>
      <c r="G2432" t="s">
        <v>23</v>
      </c>
      <c r="K2432" cm="1">
        <f t="array" ref="K2432">_xlfn.SWITCH(LeadsData[[#This Row],[Funnel Stage Reached]],"Lead",1,"MQL",2,"SQL",3,"Customer",4)</f>
        <v>2</v>
      </c>
      <c r="L2432" t="str">
        <f>TEXT(LeadsData[[#This Row],[Signup Date]],"mmm-yyyy")</f>
        <v>Sep-2024</v>
      </c>
      <c r="M2432">
        <f>IF(LeadsData[[#This Row],[Stage Number]]&gt;=2,1,0)</f>
        <v>1</v>
      </c>
      <c r="N2432" s="2">
        <f>IF(LeadsData[[#This Row],[Stage Number]]&gt;=3,1,0)</f>
        <v>0</v>
      </c>
      <c r="O2432" s="2">
        <f>IF(LeadsData[[#This Row],[Stage Number]]&gt;=4,1,0)</f>
        <v>0</v>
      </c>
    </row>
    <row r="2433" spans="1:15" x14ac:dyDescent="0.25">
      <c r="A2433" t="s">
        <v>2473</v>
      </c>
      <c r="B2433" s="1">
        <v>45399</v>
      </c>
      <c r="C2433" t="s">
        <v>46</v>
      </c>
      <c r="D2433" t="s">
        <v>47</v>
      </c>
      <c r="E2433" t="s">
        <v>13</v>
      </c>
      <c r="F2433" t="s">
        <v>19</v>
      </c>
      <c r="G2433" t="s">
        <v>15</v>
      </c>
      <c r="K2433" cm="1">
        <f t="array" ref="K2433">_xlfn.SWITCH(LeadsData[[#This Row],[Funnel Stage Reached]],"Lead",1,"MQL",2,"SQL",3,"Customer",4)</f>
        <v>1</v>
      </c>
      <c r="L2433" t="str">
        <f>TEXT(LeadsData[[#This Row],[Signup Date]],"mmm-yyyy")</f>
        <v>Apr-2024</v>
      </c>
      <c r="M2433">
        <f>IF(LeadsData[[#This Row],[Stage Number]]&gt;=2,1,0)</f>
        <v>0</v>
      </c>
      <c r="N2433" s="2">
        <f>IF(LeadsData[[#This Row],[Stage Number]]&gt;=3,1,0)</f>
        <v>0</v>
      </c>
      <c r="O2433" s="2">
        <f>IF(LeadsData[[#This Row],[Stage Number]]&gt;=4,1,0)</f>
        <v>0</v>
      </c>
    </row>
    <row r="2434" spans="1:15" x14ac:dyDescent="0.25">
      <c r="A2434" t="s">
        <v>2474</v>
      </c>
      <c r="B2434" s="1">
        <v>45481</v>
      </c>
      <c r="C2434" t="s">
        <v>46</v>
      </c>
      <c r="D2434" t="s">
        <v>47</v>
      </c>
      <c r="E2434" t="s">
        <v>13</v>
      </c>
      <c r="F2434" t="s">
        <v>19</v>
      </c>
      <c r="G2434" t="s">
        <v>23</v>
      </c>
      <c r="K2434" cm="1">
        <f t="array" ref="K2434">_xlfn.SWITCH(LeadsData[[#This Row],[Funnel Stage Reached]],"Lead",1,"MQL",2,"SQL",3,"Customer",4)</f>
        <v>2</v>
      </c>
      <c r="L2434" t="str">
        <f>TEXT(LeadsData[[#This Row],[Signup Date]],"mmm-yyyy")</f>
        <v>Jul-2024</v>
      </c>
      <c r="M2434">
        <f>IF(LeadsData[[#This Row],[Stage Number]]&gt;=2,1,0)</f>
        <v>1</v>
      </c>
      <c r="N2434" s="2">
        <f>IF(LeadsData[[#This Row],[Stage Number]]&gt;=3,1,0)</f>
        <v>0</v>
      </c>
      <c r="O2434" s="2">
        <f>IF(LeadsData[[#This Row],[Stage Number]]&gt;=4,1,0)</f>
        <v>0</v>
      </c>
    </row>
    <row r="2435" spans="1:15" x14ac:dyDescent="0.25">
      <c r="A2435" t="s">
        <v>2475</v>
      </c>
      <c r="B2435" s="1">
        <v>45582</v>
      </c>
      <c r="C2435" t="s">
        <v>17</v>
      </c>
      <c r="D2435" t="s">
        <v>53</v>
      </c>
      <c r="E2435" t="s">
        <v>21</v>
      </c>
      <c r="F2435" t="s">
        <v>22</v>
      </c>
      <c r="G2435" t="s">
        <v>23</v>
      </c>
      <c r="K2435" cm="1">
        <f t="array" ref="K2435">_xlfn.SWITCH(LeadsData[[#This Row],[Funnel Stage Reached]],"Lead",1,"MQL",2,"SQL",3,"Customer",4)</f>
        <v>2</v>
      </c>
      <c r="L2435" t="str">
        <f>TEXT(LeadsData[[#This Row],[Signup Date]],"mmm-yyyy")</f>
        <v>Oct-2024</v>
      </c>
      <c r="M2435">
        <f>IF(LeadsData[[#This Row],[Stage Number]]&gt;=2,1,0)</f>
        <v>1</v>
      </c>
      <c r="N2435" s="2">
        <f>IF(LeadsData[[#This Row],[Stage Number]]&gt;=3,1,0)</f>
        <v>0</v>
      </c>
      <c r="O2435" s="2">
        <f>IF(LeadsData[[#This Row],[Stage Number]]&gt;=4,1,0)</f>
        <v>0</v>
      </c>
    </row>
    <row r="2436" spans="1:15" x14ac:dyDescent="0.25">
      <c r="A2436" t="s">
        <v>2476</v>
      </c>
      <c r="B2436" s="1">
        <v>45520</v>
      </c>
      <c r="C2436" t="s">
        <v>31</v>
      </c>
      <c r="D2436" t="s">
        <v>32</v>
      </c>
      <c r="E2436" t="s">
        <v>21</v>
      </c>
      <c r="F2436" t="s">
        <v>19</v>
      </c>
      <c r="G2436" t="s">
        <v>15</v>
      </c>
      <c r="K2436" cm="1">
        <f t="array" ref="K2436">_xlfn.SWITCH(LeadsData[[#This Row],[Funnel Stage Reached]],"Lead",1,"MQL",2,"SQL",3,"Customer",4)</f>
        <v>1</v>
      </c>
      <c r="L2436" t="str">
        <f>TEXT(LeadsData[[#This Row],[Signup Date]],"mmm-yyyy")</f>
        <v>Aug-2024</v>
      </c>
      <c r="M2436">
        <f>IF(LeadsData[[#This Row],[Stage Number]]&gt;=2,1,0)</f>
        <v>0</v>
      </c>
      <c r="N2436" s="2">
        <f>IF(LeadsData[[#This Row],[Stage Number]]&gt;=3,1,0)</f>
        <v>0</v>
      </c>
      <c r="O2436" s="2">
        <f>IF(LeadsData[[#This Row],[Stage Number]]&gt;=4,1,0)</f>
        <v>0</v>
      </c>
    </row>
    <row r="2437" spans="1:15" x14ac:dyDescent="0.25">
      <c r="A2437" t="s">
        <v>2477</v>
      </c>
      <c r="B2437" s="1">
        <v>45580</v>
      </c>
      <c r="C2437" t="s">
        <v>11</v>
      </c>
      <c r="D2437" t="s">
        <v>12</v>
      </c>
      <c r="E2437" t="s">
        <v>21</v>
      </c>
      <c r="F2437" t="s">
        <v>19</v>
      </c>
      <c r="G2437" t="s">
        <v>15</v>
      </c>
      <c r="K2437" cm="1">
        <f t="array" ref="K2437">_xlfn.SWITCH(LeadsData[[#This Row],[Funnel Stage Reached]],"Lead",1,"MQL",2,"SQL",3,"Customer",4)</f>
        <v>1</v>
      </c>
      <c r="L2437" t="str">
        <f>TEXT(LeadsData[[#This Row],[Signup Date]],"mmm-yyyy")</f>
        <v>Oct-2024</v>
      </c>
      <c r="M2437">
        <f>IF(LeadsData[[#This Row],[Stage Number]]&gt;=2,1,0)</f>
        <v>0</v>
      </c>
      <c r="N2437" s="2">
        <f>IF(LeadsData[[#This Row],[Stage Number]]&gt;=3,1,0)</f>
        <v>0</v>
      </c>
      <c r="O2437" s="2">
        <f>IF(LeadsData[[#This Row],[Stage Number]]&gt;=4,1,0)</f>
        <v>0</v>
      </c>
    </row>
    <row r="2438" spans="1:15" x14ac:dyDescent="0.25">
      <c r="A2438" t="s">
        <v>2478</v>
      </c>
      <c r="B2438" s="1">
        <v>45654</v>
      </c>
      <c r="C2438" t="s">
        <v>31</v>
      </c>
      <c r="D2438" t="s">
        <v>34</v>
      </c>
      <c r="E2438" t="s">
        <v>21</v>
      </c>
      <c r="F2438" t="s">
        <v>14</v>
      </c>
      <c r="G2438" t="s">
        <v>15</v>
      </c>
      <c r="K2438" cm="1">
        <f t="array" ref="K2438">_xlfn.SWITCH(LeadsData[[#This Row],[Funnel Stage Reached]],"Lead",1,"MQL",2,"SQL",3,"Customer",4)</f>
        <v>1</v>
      </c>
      <c r="L2438" t="str">
        <f>TEXT(LeadsData[[#This Row],[Signup Date]],"mmm-yyyy")</f>
        <v>Dec-2024</v>
      </c>
      <c r="M2438">
        <f>IF(LeadsData[[#This Row],[Stage Number]]&gt;=2,1,0)</f>
        <v>0</v>
      </c>
      <c r="N2438" s="2">
        <f>IF(LeadsData[[#This Row],[Stage Number]]&gt;=3,1,0)</f>
        <v>0</v>
      </c>
      <c r="O2438" s="2">
        <f>IF(LeadsData[[#This Row],[Stage Number]]&gt;=4,1,0)</f>
        <v>0</v>
      </c>
    </row>
    <row r="2439" spans="1:15" x14ac:dyDescent="0.25">
      <c r="A2439" t="s">
        <v>2479</v>
      </c>
      <c r="B2439" s="1">
        <v>45629</v>
      </c>
      <c r="C2439" t="s">
        <v>11</v>
      </c>
      <c r="D2439" t="s">
        <v>12</v>
      </c>
      <c r="E2439" t="s">
        <v>21</v>
      </c>
      <c r="F2439" t="s">
        <v>19</v>
      </c>
      <c r="G2439" t="s">
        <v>15</v>
      </c>
      <c r="K2439" cm="1">
        <f t="array" ref="K2439">_xlfn.SWITCH(LeadsData[[#This Row],[Funnel Stage Reached]],"Lead",1,"MQL",2,"SQL",3,"Customer",4)</f>
        <v>1</v>
      </c>
      <c r="L2439" t="str">
        <f>TEXT(LeadsData[[#This Row],[Signup Date]],"mmm-yyyy")</f>
        <v>Dec-2024</v>
      </c>
      <c r="M2439">
        <f>IF(LeadsData[[#This Row],[Stage Number]]&gt;=2,1,0)</f>
        <v>0</v>
      </c>
      <c r="N2439" s="2">
        <f>IF(LeadsData[[#This Row],[Stage Number]]&gt;=3,1,0)</f>
        <v>0</v>
      </c>
      <c r="O2439" s="2">
        <f>IF(LeadsData[[#This Row],[Stage Number]]&gt;=4,1,0)</f>
        <v>0</v>
      </c>
    </row>
    <row r="2440" spans="1:15" x14ac:dyDescent="0.25">
      <c r="A2440" t="s">
        <v>2480</v>
      </c>
      <c r="B2440" s="1">
        <v>45518</v>
      </c>
      <c r="C2440" t="s">
        <v>31</v>
      </c>
      <c r="D2440" t="s">
        <v>34</v>
      </c>
      <c r="E2440" t="s">
        <v>13</v>
      </c>
      <c r="F2440" t="s">
        <v>22</v>
      </c>
      <c r="G2440" t="s">
        <v>15</v>
      </c>
      <c r="K2440" cm="1">
        <f t="array" ref="K2440">_xlfn.SWITCH(LeadsData[[#This Row],[Funnel Stage Reached]],"Lead",1,"MQL",2,"SQL",3,"Customer",4)</f>
        <v>1</v>
      </c>
      <c r="L2440" t="str">
        <f>TEXT(LeadsData[[#This Row],[Signup Date]],"mmm-yyyy")</f>
        <v>Aug-2024</v>
      </c>
      <c r="M2440">
        <f>IF(LeadsData[[#This Row],[Stage Number]]&gt;=2,1,0)</f>
        <v>0</v>
      </c>
      <c r="N2440" s="2">
        <f>IF(LeadsData[[#This Row],[Stage Number]]&gt;=3,1,0)</f>
        <v>0</v>
      </c>
      <c r="O2440" s="2">
        <f>IF(LeadsData[[#This Row],[Stage Number]]&gt;=4,1,0)</f>
        <v>0</v>
      </c>
    </row>
    <row r="2441" spans="1:15" x14ac:dyDescent="0.25">
      <c r="A2441" t="s">
        <v>2481</v>
      </c>
      <c r="B2441" s="1">
        <v>45328</v>
      </c>
      <c r="C2441" t="s">
        <v>25</v>
      </c>
      <c r="D2441" t="s">
        <v>26</v>
      </c>
      <c r="E2441" t="s">
        <v>21</v>
      </c>
      <c r="F2441" t="s">
        <v>22</v>
      </c>
      <c r="G2441" t="s">
        <v>29</v>
      </c>
      <c r="K2441" cm="1">
        <f t="array" ref="K2441">_xlfn.SWITCH(LeadsData[[#This Row],[Funnel Stage Reached]],"Lead",1,"MQL",2,"SQL",3,"Customer",4)</f>
        <v>3</v>
      </c>
      <c r="L2441" t="str">
        <f>TEXT(LeadsData[[#This Row],[Signup Date]],"mmm-yyyy")</f>
        <v>Feb-2024</v>
      </c>
      <c r="M2441">
        <f>IF(LeadsData[[#This Row],[Stage Number]]&gt;=2,1,0)</f>
        <v>1</v>
      </c>
      <c r="N2441" s="2">
        <f>IF(LeadsData[[#This Row],[Stage Number]]&gt;=3,1,0)</f>
        <v>1</v>
      </c>
      <c r="O2441" s="2">
        <f>IF(LeadsData[[#This Row],[Stage Number]]&gt;=4,1,0)</f>
        <v>0</v>
      </c>
    </row>
    <row r="2442" spans="1:15" x14ac:dyDescent="0.25">
      <c r="A2442" t="s">
        <v>2482</v>
      </c>
      <c r="B2442" s="1">
        <v>45602</v>
      </c>
      <c r="C2442" t="s">
        <v>46</v>
      </c>
      <c r="D2442" t="s">
        <v>56</v>
      </c>
      <c r="E2442" t="s">
        <v>21</v>
      </c>
      <c r="F2442" t="s">
        <v>19</v>
      </c>
      <c r="G2442" t="s">
        <v>15</v>
      </c>
      <c r="K2442" cm="1">
        <f t="array" ref="K2442">_xlfn.SWITCH(LeadsData[[#This Row],[Funnel Stage Reached]],"Lead",1,"MQL",2,"SQL",3,"Customer",4)</f>
        <v>1</v>
      </c>
      <c r="L2442" t="str">
        <f>TEXT(LeadsData[[#This Row],[Signup Date]],"mmm-yyyy")</f>
        <v>Nov-2024</v>
      </c>
      <c r="M2442">
        <f>IF(LeadsData[[#This Row],[Stage Number]]&gt;=2,1,0)</f>
        <v>0</v>
      </c>
      <c r="N2442" s="2">
        <f>IF(LeadsData[[#This Row],[Stage Number]]&gt;=3,1,0)</f>
        <v>0</v>
      </c>
      <c r="O2442" s="2">
        <f>IF(LeadsData[[#This Row],[Stage Number]]&gt;=4,1,0)</f>
        <v>0</v>
      </c>
    </row>
    <row r="2443" spans="1:15" x14ac:dyDescent="0.25">
      <c r="A2443" t="s">
        <v>2483</v>
      </c>
      <c r="B2443" s="1">
        <v>45413</v>
      </c>
      <c r="C2443" t="s">
        <v>11</v>
      </c>
      <c r="D2443" t="s">
        <v>68</v>
      </c>
      <c r="E2443" t="s">
        <v>21</v>
      </c>
      <c r="F2443" t="s">
        <v>22</v>
      </c>
      <c r="G2443" t="s">
        <v>29</v>
      </c>
      <c r="K2443" cm="1">
        <f t="array" ref="K2443">_xlfn.SWITCH(LeadsData[[#This Row],[Funnel Stage Reached]],"Lead",1,"MQL",2,"SQL",3,"Customer",4)</f>
        <v>3</v>
      </c>
      <c r="L2443" t="str">
        <f>TEXT(LeadsData[[#This Row],[Signup Date]],"mmm-yyyy")</f>
        <v>May-2024</v>
      </c>
      <c r="M2443">
        <f>IF(LeadsData[[#This Row],[Stage Number]]&gt;=2,1,0)</f>
        <v>1</v>
      </c>
      <c r="N2443" s="2">
        <f>IF(LeadsData[[#This Row],[Stage Number]]&gt;=3,1,0)</f>
        <v>1</v>
      </c>
      <c r="O2443" s="2">
        <f>IF(LeadsData[[#This Row],[Stage Number]]&gt;=4,1,0)</f>
        <v>0</v>
      </c>
    </row>
    <row r="2444" spans="1:15" x14ac:dyDescent="0.25">
      <c r="A2444" t="s">
        <v>2484</v>
      </c>
      <c r="B2444" s="1">
        <v>45588</v>
      </c>
      <c r="C2444" t="s">
        <v>31</v>
      </c>
      <c r="D2444" t="s">
        <v>34</v>
      </c>
      <c r="E2444" t="s">
        <v>21</v>
      </c>
      <c r="F2444" t="s">
        <v>19</v>
      </c>
      <c r="G2444" t="s">
        <v>23</v>
      </c>
      <c r="K2444" cm="1">
        <f t="array" ref="K2444">_xlfn.SWITCH(LeadsData[[#This Row],[Funnel Stage Reached]],"Lead",1,"MQL",2,"SQL",3,"Customer",4)</f>
        <v>2</v>
      </c>
      <c r="L2444" t="str">
        <f>TEXT(LeadsData[[#This Row],[Signup Date]],"mmm-yyyy")</f>
        <v>Oct-2024</v>
      </c>
      <c r="M2444">
        <f>IF(LeadsData[[#This Row],[Stage Number]]&gt;=2,1,0)</f>
        <v>1</v>
      </c>
      <c r="N2444" s="2">
        <f>IF(LeadsData[[#This Row],[Stage Number]]&gt;=3,1,0)</f>
        <v>0</v>
      </c>
      <c r="O2444" s="2">
        <f>IF(LeadsData[[#This Row],[Stage Number]]&gt;=4,1,0)</f>
        <v>0</v>
      </c>
    </row>
    <row r="2445" spans="1:15" x14ac:dyDescent="0.25">
      <c r="A2445" t="s">
        <v>2485</v>
      </c>
      <c r="B2445" s="1">
        <v>45566</v>
      </c>
      <c r="C2445" t="s">
        <v>25</v>
      </c>
      <c r="D2445" t="s">
        <v>26</v>
      </c>
      <c r="E2445" t="s">
        <v>21</v>
      </c>
      <c r="F2445" t="s">
        <v>19</v>
      </c>
      <c r="G2445" t="s">
        <v>23</v>
      </c>
      <c r="K2445" cm="1">
        <f t="array" ref="K2445">_xlfn.SWITCH(LeadsData[[#This Row],[Funnel Stage Reached]],"Lead",1,"MQL",2,"SQL",3,"Customer",4)</f>
        <v>2</v>
      </c>
      <c r="L2445" t="str">
        <f>TEXT(LeadsData[[#This Row],[Signup Date]],"mmm-yyyy")</f>
        <v>Oct-2024</v>
      </c>
      <c r="M2445">
        <f>IF(LeadsData[[#This Row],[Stage Number]]&gt;=2,1,0)</f>
        <v>1</v>
      </c>
      <c r="N2445" s="2">
        <f>IF(LeadsData[[#This Row],[Stage Number]]&gt;=3,1,0)</f>
        <v>0</v>
      </c>
      <c r="O2445" s="2">
        <f>IF(LeadsData[[#This Row],[Stage Number]]&gt;=4,1,0)</f>
        <v>0</v>
      </c>
    </row>
    <row r="2446" spans="1:15" x14ac:dyDescent="0.25">
      <c r="A2446" t="s">
        <v>2486</v>
      </c>
      <c r="B2446" s="1">
        <v>45468</v>
      </c>
      <c r="C2446" t="s">
        <v>31</v>
      </c>
      <c r="D2446" t="s">
        <v>32</v>
      </c>
      <c r="E2446" t="s">
        <v>21</v>
      </c>
      <c r="F2446" t="s">
        <v>22</v>
      </c>
      <c r="G2446" t="s">
        <v>15</v>
      </c>
      <c r="K2446" cm="1">
        <f t="array" ref="K2446">_xlfn.SWITCH(LeadsData[[#This Row],[Funnel Stage Reached]],"Lead",1,"MQL",2,"SQL",3,"Customer",4)</f>
        <v>1</v>
      </c>
      <c r="L2446" t="str">
        <f>TEXT(LeadsData[[#This Row],[Signup Date]],"mmm-yyyy")</f>
        <v>Jun-2024</v>
      </c>
      <c r="M2446">
        <f>IF(LeadsData[[#This Row],[Stage Number]]&gt;=2,1,0)</f>
        <v>0</v>
      </c>
      <c r="N2446" s="2">
        <f>IF(LeadsData[[#This Row],[Stage Number]]&gt;=3,1,0)</f>
        <v>0</v>
      </c>
      <c r="O2446" s="2">
        <f>IF(LeadsData[[#This Row],[Stage Number]]&gt;=4,1,0)</f>
        <v>0</v>
      </c>
    </row>
    <row r="2447" spans="1:15" x14ac:dyDescent="0.25">
      <c r="A2447" t="s">
        <v>2487</v>
      </c>
      <c r="B2447" s="1">
        <v>45428</v>
      </c>
      <c r="C2447" t="s">
        <v>31</v>
      </c>
      <c r="D2447" t="s">
        <v>34</v>
      </c>
      <c r="E2447" t="s">
        <v>21</v>
      </c>
      <c r="F2447" t="s">
        <v>22</v>
      </c>
      <c r="G2447" t="s">
        <v>15</v>
      </c>
      <c r="K2447" cm="1">
        <f t="array" ref="K2447">_xlfn.SWITCH(LeadsData[[#This Row],[Funnel Stage Reached]],"Lead",1,"MQL",2,"SQL",3,"Customer",4)</f>
        <v>1</v>
      </c>
      <c r="L2447" t="str">
        <f>TEXT(LeadsData[[#This Row],[Signup Date]],"mmm-yyyy")</f>
        <v>May-2024</v>
      </c>
      <c r="M2447">
        <f>IF(LeadsData[[#This Row],[Stage Number]]&gt;=2,1,0)</f>
        <v>0</v>
      </c>
      <c r="N2447" s="2">
        <f>IF(LeadsData[[#This Row],[Stage Number]]&gt;=3,1,0)</f>
        <v>0</v>
      </c>
      <c r="O2447" s="2">
        <f>IF(LeadsData[[#This Row],[Stage Number]]&gt;=4,1,0)</f>
        <v>0</v>
      </c>
    </row>
    <row r="2448" spans="1:15" x14ac:dyDescent="0.25">
      <c r="A2448" t="s">
        <v>2488</v>
      </c>
      <c r="B2448" s="1">
        <v>45308</v>
      </c>
      <c r="C2448" t="s">
        <v>46</v>
      </c>
      <c r="D2448" t="s">
        <v>56</v>
      </c>
      <c r="E2448" t="s">
        <v>21</v>
      </c>
      <c r="F2448" t="s">
        <v>19</v>
      </c>
      <c r="G2448" t="s">
        <v>15</v>
      </c>
      <c r="K2448" cm="1">
        <f t="array" ref="K2448">_xlfn.SWITCH(LeadsData[[#This Row],[Funnel Stage Reached]],"Lead",1,"MQL",2,"SQL",3,"Customer",4)</f>
        <v>1</v>
      </c>
      <c r="L2448" t="str">
        <f>TEXT(LeadsData[[#This Row],[Signup Date]],"mmm-yyyy")</f>
        <v>Jan-2024</v>
      </c>
      <c r="M2448">
        <f>IF(LeadsData[[#This Row],[Stage Number]]&gt;=2,1,0)</f>
        <v>0</v>
      </c>
      <c r="N2448" s="2">
        <f>IF(LeadsData[[#This Row],[Stage Number]]&gt;=3,1,0)</f>
        <v>0</v>
      </c>
      <c r="O2448" s="2">
        <f>IF(LeadsData[[#This Row],[Stage Number]]&gt;=4,1,0)</f>
        <v>0</v>
      </c>
    </row>
    <row r="2449" spans="1:15" x14ac:dyDescent="0.25">
      <c r="A2449" t="s">
        <v>2489</v>
      </c>
      <c r="B2449" s="1">
        <v>45584</v>
      </c>
      <c r="C2449" t="s">
        <v>31</v>
      </c>
      <c r="D2449" t="s">
        <v>34</v>
      </c>
      <c r="E2449" t="s">
        <v>21</v>
      </c>
      <c r="F2449" t="s">
        <v>14</v>
      </c>
      <c r="G2449" t="s">
        <v>15</v>
      </c>
      <c r="K2449" cm="1">
        <f t="array" ref="K2449">_xlfn.SWITCH(LeadsData[[#This Row],[Funnel Stage Reached]],"Lead",1,"MQL",2,"SQL",3,"Customer",4)</f>
        <v>1</v>
      </c>
      <c r="L2449" t="str">
        <f>TEXT(LeadsData[[#This Row],[Signup Date]],"mmm-yyyy")</f>
        <v>Oct-2024</v>
      </c>
      <c r="M2449">
        <f>IF(LeadsData[[#This Row],[Stage Number]]&gt;=2,1,0)</f>
        <v>0</v>
      </c>
      <c r="N2449" s="2">
        <f>IF(LeadsData[[#This Row],[Stage Number]]&gt;=3,1,0)</f>
        <v>0</v>
      </c>
      <c r="O2449" s="2">
        <f>IF(LeadsData[[#This Row],[Stage Number]]&gt;=4,1,0)</f>
        <v>0</v>
      </c>
    </row>
    <row r="2450" spans="1:15" x14ac:dyDescent="0.25">
      <c r="A2450" t="s">
        <v>2490</v>
      </c>
      <c r="B2450" s="1">
        <v>45583</v>
      </c>
      <c r="C2450" t="s">
        <v>17</v>
      </c>
      <c r="D2450" t="s">
        <v>53</v>
      </c>
      <c r="E2450" t="s">
        <v>21</v>
      </c>
      <c r="F2450" t="s">
        <v>14</v>
      </c>
      <c r="G2450" t="s">
        <v>23</v>
      </c>
      <c r="K2450" cm="1">
        <f t="array" ref="K2450">_xlfn.SWITCH(LeadsData[[#This Row],[Funnel Stage Reached]],"Lead",1,"MQL",2,"SQL",3,"Customer",4)</f>
        <v>2</v>
      </c>
      <c r="L2450" t="str">
        <f>TEXT(LeadsData[[#This Row],[Signup Date]],"mmm-yyyy")</f>
        <v>Oct-2024</v>
      </c>
      <c r="M2450">
        <f>IF(LeadsData[[#This Row],[Stage Number]]&gt;=2,1,0)</f>
        <v>1</v>
      </c>
      <c r="N2450" s="2">
        <f>IF(LeadsData[[#This Row],[Stage Number]]&gt;=3,1,0)</f>
        <v>0</v>
      </c>
      <c r="O2450" s="2">
        <f>IF(LeadsData[[#This Row],[Stage Number]]&gt;=4,1,0)</f>
        <v>0</v>
      </c>
    </row>
    <row r="2451" spans="1:15" x14ac:dyDescent="0.25">
      <c r="A2451" t="s">
        <v>2491</v>
      </c>
      <c r="B2451" s="1">
        <v>45408</v>
      </c>
      <c r="C2451" t="s">
        <v>17</v>
      </c>
      <c r="D2451" t="s">
        <v>53</v>
      </c>
      <c r="E2451" t="s">
        <v>13</v>
      </c>
      <c r="F2451" t="s">
        <v>19</v>
      </c>
      <c r="G2451" t="s">
        <v>15</v>
      </c>
      <c r="K2451" cm="1">
        <f t="array" ref="K2451">_xlfn.SWITCH(LeadsData[[#This Row],[Funnel Stage Reached]],"Lead",1,"MQL",2,"SQL",3,"Customer",4)</f>
        <v>1</v>
      </c>
      <c r="L2451" t="str">
        <f>TEXT(LeadsData[[#This Row],[Signup Date]],"mmm-yyyy")</f>
        <v>Apr-2024</v>
      </c>
      <c r="M2451">
        <f>IF(LeadsData[[#This Row],[Stage Number]]&gt;=2,1,0)</f>
        <v>0</v>
      </c>
      <c r="N2451" s="2">
        <f>IF(LeadsData[[#This Row],[Stage Number]]&gt;=3,1,0)</f>
        <v>0</v>
      </c>
      <c r="O2451" s="2">
        <f>IF(LeadsData[[#This Row],[Stage Number]]&gt;=4,1,0)</f>
        <v>0</v>
      </c>
    </row>
    <row r="2452" spans="1:15" x14ac:dyDescent="0.25">
      <c r="A2452" t="s">
        <v>2492</v>
      </c>
      <c r="B2452" s="1">
        <v>45560</v>
      </c>
      <c r="C2452" t="s">
        <v>25</v>
      </c>
      <c r="D2452" t="s">
        <v>26</v>
      </c>
      <c r="E2452" t="s">
        <v>21</v>
      </c>
      <c r="F2452" t="s">
        <v>22</v>
      </c>
      <c r="G2452" t="s">
        <v>15</v>
      </c>
      <c r="K2452" cm="1">
        <f t="array" ref="K2452">_xlfn.SWITCH(LeadsData[[#This Row],[Funnel Stage Reached]],"Lead",1,"MQL",2,"SQL",3,"Customer",4)</f>
        <v>1</v>
      </c>
      <c r="L2452" t="str">
        <f>TEXT(LeadsData[[#This Row],[Signup Date]],"mmm-yyyy")</f>
        <v>Sep-2024</v>
      </c>
      <c r="M2452">
        <f>IF(LeadsData[[#This Row],[Stage Number]]&gt;=2,1,0)</f>
        <v>0</v>
      </c>
      <c r="N2452" s="2">
        <f>IF(LeadsData[[#This Row],[Stage Number]]&gt;=3,1,0)</f>
        <v>0</v>
      </c>
      <c r="O2452" s="2">
        <f>IF(LeadsData[[#This Row],[Stage Number]]&gt;=4,1,0)</f>
        <v>0</v>
      </c>
    </row>
    <row r="2453" spans="1:15" x14ac:dyDescent="0.25">
      <c r="A2453" t="s">
        <v>2493</v>
      </c>
      <c r="B2453" s="1">
        <v>45576</v>
      </c>
      <c r="C2453" t="s">
        <v>36</v>
      </c>
      <c r="D2453" t="s">
        <v>50</v>
      </c>
      <c r="E2453" t="s">
        <v>48</v>
      </c>
      <c r="F2453" t="s">
        <v>22</v>
      </c>
      <c r="G2453" t="s">
        <v>23</v>
      </c>
      <c r="K2453" cm="1">
        <f t="array" ref="K2453">_xlfn.SWITCH(LeadsData[[#This Row],[Funnel Stage Reached]],"Lead",1,"MQL",2,"SQL",3,"Customer",4)</f>
        <v>2</v>
      </c>
      <c r="L2453" t="str">
        <f>TEXT(LeadsData[[#This Row],[Signup Date]],"mmm-yyyy")</f>
        <v>Oct-2024</v>
      </c>
      <c r="M2453">
        <f>IF(LeadsData[[#This Row],[Stage Number]]&gt;=2,1,0)</f>
        <v>1</v>
      </c>
      <c r="N2453" s="2">
        <f>IF(LeadsData[[#This Row],[Stage Number]]&gt;=3,1,0)</f>
        <v>0</v>
      </c>
      <c r="O2453" s="2">
        <f>IF(LeadsData[[#This Row],[Stage Number]]&gt;=4,1,0)</f>
        <v>0</v>
      </c>
    </row>
    <row r="2454" spans="1:15" x14ac:dyDescent="0.25">
      <c r="A2454" t="s">
        <v>2494</v>
      </c>
      <c r="B2454" s="1">
        <v>45557</v>
      </c>
      <c r="C2454" t="s">
        <v>31</v>
      </c>
      <c r="D2454" t="s">
        <v>32</v>
      </c>
      <c r="E2454" t="s">
        <v>21</v>
      </c>
      <c r="F2454" t="s">
        <v>14</v>
      </c>
      <c r="G2454" t="s">
        <v>15</v>
      </c>
      <c r="K2454" cm="1">
        <f t="array" ref="K2454">_xlfn.SWITCH(LeadsData[[#This Row],[Funnel Stage Reached]],"Lead",1,"MQL",2,"SQL",3,"Customer",4)</f>
        <v>1</v>
      </c>
      <c r="L2454" t="str">
        <f>TEXT(LeadsData[[#This Row],[Signup Date]],"mmm-yyyy")</f>
        <v>Sep-2024</v>
      </c>
      <c r="M2454">
        <f>IF(LeadsData[[#This Row],[Stage Number]]&gt;=2,1,0)</f>
        <v>0</v>
      </c>
      <c r="N2454" s="2">
        <f>IF(LeadsData[[#This Row],[Stage Number]]&gt;=3,1,0)</f>
        <v>0</v>
      </c>
      <c r="O2454" s="2">
        <f>IF(LeadsData[[#This Row],[Stage Number]]&gt;=4,1,0)</f>
        <v>0</v>
      </c>
    </row>
    <row r="2455" spans="1:15" x14ac:dyDescent="0.25">
      <c r="A2455" t="s">
        <v>2495</v>
      </c>
      <c r="B2455" s="1">
        <v>45389</v>
      </c>
      <c r="C2455" t="s">
        <v>46</v>
      </c>
      <c r="D2455" t="s">
        <v>47</v>
      </c>
      <c r="E2455" t="s">
        <v>21</v>
      </c>
      <c r="F2455" t="s">
        <v>19</v>
      </c>
      <c r="G2455" t="s">
        <v>15</v>
      </c>
      <c r="K2455" cm="1">
        <f t="array" ref="K2455">_xlfn.SWITCH(LeadsData[[#This Row],[Funnel Stage Reached]],"Lead",1,"MQL",2,"SQL",3,"Customer",4)</f>
        <v>1</v>
      </c>
      <c r="L2455" t="str">
        <f>TEXT(LeadsData[[#This Row],[Signup Date]],"mmm-yyyy")</f>
        <v>Apr-2024</v>
      </c>
      <c r="M2455">
        <f>IF(LeadsData[[#This Row],[Stage Number]]&gt;=2,1,0)</f>
        <v>0</v>
      </c>
      <c r="N2455" s="2">
        <f>IF(LeadsData[[#This Row],[Stage Number]]&gt;=3,1,0)</f>
        <v>0</v>
      </c>
      <c r="O2455" s="2">
        <f>IF(LeadsData[[#This Row],[Stage Number]]&gt;=4,1,0)</f>
        <v>0</v>
      </c>
    </row>
    <row r="2456" spans="1:15" x14ac:dyDescent="0.25">
      <c r="A2456" t="s">
        <v>2496</v>
      </c>
      <c r="B2456" s="1">
        <v>45470</v>
      </c>
      <c r="C2456" t="s">
        <v>17</v>
      </c>
      <c r="D2456" t="s">
        <v>18</v>
      </c>
      <c r="E2456" t="s">
        <v>13</v>
      </c>
      <c r="F2456" t="s">
        <v>19</v>
      </c>
      <c r="G2456" t="s">
        <v>15</v>
      </c>
      <c r="K2456" cm="1">
        <f t="array" ref="K2456">_xlfn.SWITCH(LeadsData[[#This Row],[Funnel Stage Reached]],"Lead",1,"MQL",2,"SQL",3,"Customer",4)</f>
        <v>1</v>
      </c>
      <c r="L2456" t="str">
        <f>TEXT(LeadsData[[#This Row],[Signup Date]],"mmm-yyyy")</f>
        <v>Jun-2024</v>
      </c>
      <c r="M2456">
        <f>IF(LeadsData[[#This Row],[Stage Number]]&gt;=2,1,0)</f>
        <v>0</v>
      </c>
      <c r="N2456" s="2">
        <f>IF(LeadsData[[#This Row],[Stage Number]]&gt;=3,1,0)</f>
        <v>0</v>
      </c>
      <c r="O2456" s="2">
        <f>IF(LeadsData[[#This Row],[Stage Number]]&gt;=4,1,0)</f>
        <v>0</v>
      </c>
    </row>
    <row r="2457" spans="1:15" x14ac:dyDescent="0.25">
      <c r="A2457" t="s">
        <v>2497</v>
      </c>
      <c r="B2457" s="1">
        <v>45301</v>
      </c>
      <c r="C2457" t="s">
        <v>17</v>
      </c>
      <c r="D2457" t="s">
        <v>53</v>
      </c>
      <c r="E2457" t="s">
        <v>21</v>
      </c>
      <c r="F2457" t="s">
        <v>22</v>
      </c>
      <c r="G2457" t="s">
        <v>15</v>
      </c>
      <c r="K2457" cm="1">
        <f t="array" ref="K2457">_xlfn.SWITCH(LeadsData[[#This Row],[Funnel Stage Reached]],"Lead",1,"MQL",2,"SQL",3,"Customer",4)</f>
        <v>1</v>
      </c>
      <c r="L2457" t="str">
        <f>TEXT(LeadsData[[#This Row],[Signup Date]],"mmm-yyyy")</f>
        <v>Jan-2024</v>
      </c>
      <c r="M2457">
        <f>IF(LeadsData[[#This Row],[Stage Number]]&gt;=2,1,0)</f>
        <v>0</v>
      </c>
      <c r="N2457" s="2">
        <f>IF(LeadsData[[#This Row],[Stage Number]]&gt;=3,1,0)</f>
        <v>0</v>
      </c>
      <c r="O2457" s="2">
        <f>IF(LeadsData[[#This Row],[Stage Number]]&gt;=4,1,0)</f>
        <v>0</v>
      </c>
    </row>
    <row r="2458" spans="1:15" x14ac:dyDescent="0.25">
      <c r="A2458" t="s">
        <v>2498</v>
      </c>
      <c r="B2458" s="1">
        <v>45634</v>
      </c>
      <c r="C2458" t="s">
        <v>46</v>
      </c>
      <c r="D2458" t="s">
        <v>47</v>
      </c>
      <c r="E2458" t="s">
        <v>13</v>
      </c>
      <c r="F2458" t="s">
        <v>22</v>
      </c>
      <c r="G2458" t="s">
        <v>23</v>
      </c>
      <c r="K2458" cm="1">
        <f t="array" ref="K2458">_xlfn.SWITCH(LeadsData[[#This Row],[Funnel Stage Reached]],"Lead",1,"MQL",2,"SQL",3,"Customer",4)</f>
        <v>2</v>
      </c>
      <c r="L2458" t="str">
        <f>TEXT(LeadsData[[#This Row],[Signup Date]],"mmm-yyyy")</f>
        <v>Dec-2024</v>
      </c>
      <c r="M2458">
        <f>IF(LeadsData[[#This Row],[Stage Number]]&gt;=2,1,0)</f>
        <v>1</v>
      </c>
      <c r="N2458" s="2">
        <f>IF(LeadsData[[#This Row],[Stage Number]]&gt;=3,1,0)</f>
        <v>0</v>
      </c>
      <c r="O2458" s="2">
        <f>IF(LeadsData[[#This Row],[Stage Number]]&gt;=4,1,0)</f>
        <v>0</v>
      </c>
    </row>
    <row r="2459" spans="1:15" x14ac:dyDescent="0.25">
      <c r="A2459" t="s">
        <v>2499</v>
      </c>
      <c r="B2459" s="1">
        <v>45415</v>
      </c>
      <c r="C2459" t="s">
        <v>46</v>
      </c>
      <c r="D2459" t="s">
        <v>56</v>
      </c>
      <c r="E2459" t="s">
        <v>13</v>
      </c>
      <c r="F2459" t="s">
        <v>19</v>
      </c>
      <c r="G2459" t="s">
        <v>23</v>
      </c>
      <c r="K2459" cm="1">
        <f t="array" ref="K2459">_xlfn.SWITCH(LeadsData[[#This Row],[Funnel Stage Reached]],"Lead",1,"MQL",2,"SQL",3,"Customer",4)</f>
        <v>2</v>
      </c>
      <c r="L2459" t="str">
        <f>TEXT(LeadsData[[#This Row],[Signup Date]],"mmm-yyyy")</f>
        <v>May-2024</v>
      </c>
      <c r="M2459">
        <f>IF(LeadsData[[#This Row],[Stage Number]]&gt;=2,1,0)</f>
        <v>1</v>
      </c>
      <c r="N2459" s="2">
        <f>IF(LeadsData[[#This Row],[Stage Number]]&gt;=3,1,0)</f>
        <v>0</v>
      </c>
      <c r="O2459" s="2">
        <f>IF(LeadsData[[#This Row],[Stage Number]]&gt;=4,1,0)</f>
        <v>0</v>
      </c>
    </row>
    <row r="2460" spans="1:15" x14ac:dyDescent="0.25">
      <c r="A2460" t="s">
        <v>2500</v>
      </c>
      <c r="B2460" s="1">
        <v>45641</v>
      </c>
      <c r="C2460" t="s">
        <v>46</v>
      </c>
      <c r="D2460" t="s">
        <v>56</v>
      </c>
      <c r="E2460" t="s">
        <v>21</v>
      </c>
      <c r="F2460" t="s">
        <v>28</v>
      </c>
      <c r="G2460" t="s">
        <v>29</v>
      </c>
      <c r="K2460" cm="1">
        <f t="array" ref="K2460">_xlfn.SWITCH(LeadsData[[#This Row],[Funnel Stage Reached]],"Lead",1,"MQL",2,"SQL",3,"Customer",4)</f>
        <v>3</v>
      </c>
      <c r="L2460" t="str">
        <f>TEXT(LeadsData[[#This Row],[Signup Date]],"mmm-yyyy")</f>
        <v>Dec-2024</v>
      </c>
      <c r="M2460">
        <f>IF(LeadsData[[#This Row],[Stage Number]]&gt;=2,1,0)</f>
        <v>1</v>
      </c>
      <c r="N2460" s="2">
        <f>IF(LeadsData[[#This Row],[Stage Number]]&gt;=3,1,0)</f>
        <v>1</v>
      </c>
      <c r="O2460" s="2">
        <f>IF(LeadsData[[#This Row],[Stage Number]]&gt;=4,1,0)</f>
        <v>0</v>
      </c>
    </row>
    <row r="2461" spans="1:15" x14ac:dyDescent="0.25">
      <c r="A2461" t="s">
        <v>2501</v>
      </c>
      <c r="B2461" s="1">
        <v>45417</v>
      </c>
      <c r="C2461" t="s">
        <v>11</v>
      </c>
      <c r="D2461" t="s">
        <v>68</v>
      </c>
      <c r="E2461" t="s">
        <v>13</v>
      </c>
      <c r="F2461" t="s">
        <v>19</v>
      </c>
      <c r="G2461" t="s">
        <v>15</v>
      </c>
      <c r="K2461" cm="1">
        <f t="array" ref="K2461">_xlfn.SWITCH(LeadsData[[#This Row],[Funnel Stage Reached]],"Lead",1,"MQL",2,"SQL",3,"Customer",4)</f>
        <v>1</v>
      </c>
      <c r="L2461" t="str">
        <f>TEXT(LeadsData[[#This Row],[Signup Date]],"mmm-yyyy")</f>
        <v>May-2024</v>
      </c>
      <c r="M2461">
        <f>IF(LeadsData[[#This Row],[Stage Number]]&gt;=2,1,0)</f>
        <v>0</v>
      </c>
      <c r="N2461" s="2">
        <f>IF(LeadsData[[#This Row],[Stage Number]]&gt;=3,1,0)</f>
        <v>0</v>
      </c>
      <c r="O2461" s="2">
        <f>IF(LeadsData[[#This Row],[Stage Number]]&gt;=4,1,0)</f>
        <v>0</v>
      </c>
    </row>
    <row r="2462" spans="1:15" x14ac:dyDescent="0.25">
      <c r="A2462" t="s">
        <v>2502</v>
      </c>
      <c r="B2462" s="1">
        <v>45545</v>
      </c>
      <c r="C2462" t="s">
        <v>36</v>
      </c>
      <c r="D2462" t="s">
        <v>50</v>
      </c>
      <c r="E2462" t="s">
        <v>13</v>
      </c>
      <c r="F2462" t="s">
        <v>19</v>
      </c>
      <c r="G2462" t="s">
        <v>23</v>
      </c>
      <c r="K2462" cm="1">
        <f t="array" ref="K2462">_xlfn.SWITCH(LeadsData[[#This Row],[Funnel Stage Reached]],"Lead",1,"MQL",2,"SQL",3,"Customer",4)</f>
        <v>2</v>
      </c>
      <c r="L2462" t="str">
        <f>TEXT(LeadsData[[#This Row],[Signup Date]],"mmm-yyyy")</f>
        <v>Sep-2024</v>
      </c>
      <c r="M2462">
        <f>IF(LeadsData[[#This Row],[Stage Number]]&gt;=2,1,0)</f>
        <v>1</v>
      </c>
      <c r="N2462" s="2">
        <f>IF(LeadsData[[#This Row],[Stage Number]]&gt;=3,1,0)</f>
        <v>0</v>
      </c>
      <c r="O2462" s="2">
        <f>IF(LeadsData[[#This Row],[Stage Number]]&gt;=4,1,0)</f>
        <v>0</v>
      </c>
    </row>
    <row r="2463" spans="1:15" x14ac:dyDescent="0.25">
      <c r="A2463" t="s">
        <v>2503</v>
      </c>
      <c r="B2463" s="1">
        <v>45488</v>
      </c>
      <c r="C2463" t="s">
        <v>46</v>
      </c>
      <c r="D2463" t="s">
        <v>56</v>
      </c>
      <c r="E2463" t="s">
        <v>21</v>
      </c>
      <c r="F2463" t="s">
        <v>19</v>
      </c>
      <c r="G2463" t="s">
        <v>42</v>
      </c>
      <c r="H2463">
        <v>57</v>
      </c>
      <c r="I2463" t="s">
        <v>43</v>
      </c>
      <c r="J2463">
        <v>1064.57</v>
      </c>
      <c r="K2463" cm="1">
        <f t="array" ref="K2463">_xlfn.SWITCH(LeadsData[[#This Row],[Funnel Stage Reached]],"Lead",1,"MQL",2,"SQL",3,"Customer",4)</f>
        <v>4</v>
      </c>
      <c r="L2463" t="str">
        <f>TEXT(LeadsData[[#This Row],[Signup Date]],"mmm-yyyy")</f>
        <v>Jul-2024</v>
      </c>
      <c r="M2463">
        <f>IF(LeadsData[[#This Row],[Stage Number]]&gt;=2,1,0)</f>
        <v>1</v>
      </c>
      <c r="N2463" s="2">
        <f>IF(LeadsData[[#This Row],[Stage Number]]&gt;=3,1,0)</f>
        <v>1</v>
      </c>
      <c r="O2463" s="2">
        <f>IF(LeadsData[[#This Row],[Stage Number]]&gt;=4,1,0)</f>
        <v>1</v>
      </c>
    </row>
    <row r="2464" spans="1:15" x14ac:dyDescent="0.25">
      <c r="A2464" t="s">
        <v>2504</v>
      </c>
      <c r="B2464" s="1">
        <v>45579</v>
      </c>
      <c r="C2464" t="s">
        <v>36</v>
      </c>
      <c r="D2464" t="s">
        <v>50</v>
      </c>
      <c r="E2464" t="s">
        <v>21</v>
      </c>
      <c r="F2464" t="s">
        <v>19</v>
      </c>
      <c r="G2464" t="s">
        <v>23</v>
      </c>
      <c r="K2464" cm="1">
        <f t="array" ref="K2464">_xlfn.SWITCH(LeadsData[[#This Row],[Funnel Stage Reached]],"Lead",1,"MQL",2,"SQL",3,"Customer",4)</f>
        <v>2</v>
      </c>
      <c r="L2464" t="str">
        <f>TEXT(LeadsData[[#This Row],[Signup Date]],"mmm-yyyy")</f>
        <v>Oct-2024</v>
      </c>
      <c r="M2464">
        <f>IF(LeadsData[[#This Row],[Stage Number]]&gt;=2,1,0)</f>
        <v>1</v>
      </c>
      <c r="N2464" s="2">
        <f>IF(LeadsData[[#This Row],[Stage Number]]&gt;=3,1,0)</f>
        <v>0</v>
      </c>
      <c r="O2464" s="2">
        <f>IF(LeadsData[[#This Row],[Stage Number]]&gt;=4,1,0)</f>
        <v>0</v>
      </c>
    </row>
    <row r="2465" spans="1:15" x14ac:dyDescent="0.25">
      <c r="A2465" t="s">
        <v>2505</v>
      </c>
      <c r="B2465" s="1">
        <v>45616</v>
      </c>
      <c r="C2465" t="s">
        <v>11</v>
      </c>
      <c r="D2465" t="s">
        <v>68</v>
      </c>
      <c r="E2465" t="s">
        <v>21</v>
      </c>
      <c r="F2465" t="s">
        <v>19</v>
      </c>
      <c r="G2465" t="s">
        <v>29</v>
      </c>
      <c r="K2465" cm="1">
        <f t="array" ref="K2465">_xlfn.SWITCH(LeadsData[[#This Row],[Funnel Stage Reached]],"Lead",1,"MQL",2,"SQL",3,"Customer",4)</f>
        <v>3</v>
      </c>
      <c r="L2465" t="str">
        <f>TEXT(LeadsData[[#This Row],[Signup Date]],"mmm-yyyy")</f>
        <v>Nov-2024</v>
      </c>
      <c r="M2465">
        <f>IF(LeadsData[[#This Row],[Stage Number]]&gt;=2,1,0)</f>
        <v>1</v>
      </c>
      <c r="N2465" s="2">
        <f>IF(LeadsData[[#This Row],[Stage Number]]&gt;=3,1,0)</f>
        <v>1</v>
      </c>
      <c r="O2465" s="2">
        <f>IF(LeadsData[[#This Row],[Stage Number]]&gt;=4,1,0)</f>
        <v>0</v>
      </c>
    </row>
    <row r="2466" spans="1:15" x14ac:dyDescent="0.25">
      <c r="A2466" t="s">
        <v>2506</v>
      </c>
      <c r="B2466" s="1">
        <v>45345</v>
      </c>
      <c r="C2466" t="s">
        <v>36</v>
      </c>
      <c r="D2466" t="s">
        <v>50</v>
      </c>
      <c r="E2466" t="s">
        <v>13</v>
      </c>
      <c r="F2466" t="s">
        <v>14</v>
      </c>
      <c r="G2466" t="s">
        <v>42</v>
      </c>
      <c r="H2466">
        <v>32</v>
      </c>
      <c r="I2466" t="s">
        <v>87</v>
      </c>
      <c r="J2466">
        <v>3662.88</v>
      </c>
      <c r="K2466" cm="1">
        <f t="array" ref="K2466">_xlfn.SWITCH(LeadsData[[#This Row],[Funnel Stage Reached]],"Lead",1,"MQL",2,"SQL",3,"Customer",4)</f>
        <v>4</v>
      </c>
      <c r="L2466" t="str">
        <f>TEXT(LeadsData[[#This Row],[Signup Date]],"mmm-yyyy")</f>
        <v>Feb-2024</v>
      </c>
      <c r="M2466">
        <f>IF(LeadsData[[#This Row],[Stage Number]]&gt;=2,1,0)</f>
        <v>1</v>
      </c>
      <c r="N2466" s="2">
        <f>IF(LeadsData[[#This Row],[Stage Number]]&gt;=3,1,0)</f>
        <v>1</v>
      </c>
      <c r="O2466" s="2">
        <f>IF(LeadsData[[#This Row],[Stage Number]]&gt;=4,1,0)</f>
        <v>1</v>
      </c>
    </row>
    <row r="2467" spans="1:15" x14ac:dyDescent="0.25">
      <c r="A2467" t="s">
        <v>2507</v>
      </c>
      <c r="B2467" s="1">
        <v>45546</v>
      </c>
      <c r="C2467" t="s">
        <v>36</v>
      </c>
      <c r="D2467" t="s">
        <v>37</v>
      </c>
      <c r="E2467" t="s">
        <v>48</v>
      </c>
      <c r="F2467" t="s">
        <v>19</v>
      </c>
      <c r="G2467" t="s">
        <v>15</v>
      </c>
      <c r="K2467" cm="1">
        <f t="array" ref="K2467">_xlfn.SWITCH(LeadsData[[#This Row],[Funnel Stage Reached]],"Lead",1,"MQL",2,"SQL",3,"Customer",4)</f>
        <v>1</v>
      </c>
      <c r="L2467" t="str">
        <f>TEXT(LeadsData[[#This Row],[Signup Date]],"mmm-yyyy")</f>
        <v>Sep-2024</v>
      </c>
      <c r="M2467">
        <f>IF(LeadsData[[#This Row],[Stage Number]]&gt;=2,1,0)</f>
        <v>0</v>
      </c>
      <c r="N2467" s="2">
        <f>IF(LeadsData[[#This Row],[Stage Number]]&gt;=3,1,0)</f>
        <v>0</v>
      </c>
      <c r="O2467" s="2">
        <f>IF(LeadsData[[#This Row],[Stage Number]]&gt;=4,1,0)</f>
        <v>0</v>
      </c>
    </row>
    <row r="2468" spans="1:15" x14ac:dyDescent="0.25">
      <c r="A2468" t="s">
        <v>2508</v>
      </c>
      <c r="B2468" s="1">
        <v>45641</v>
      </c>
      <c r="C2468" t="s">
        <v>31</v>
      </c>
      <c r="D2468" t="s">
        <v>32</v>
      </c>
      <c r="E2468" t="s">
        <v>21</v>
      </c>
      <c r="F2468" t="s">
        <v>19</v>
      </c>
      <c r="G2468" t="s">
        <v>23</v>
      </c>
      <c r="K2468" cm="1">
        <f t="array" ref="K2468">_xlfn.SWITCH(LeadsData[[#This Row],[Funnel Stage Reached]],"Lead",1,"MQL",2,"SQL",3,"Customer",4)</f>
        <v>2</v>
      </c>
      <c r="L2468" t="str">
        <f>TEXT(LeadsData[[#This Row],[Signup Date]],"mmm-yyyy")</f>
        <v>Dec-2024</v>
      </c>
      <c r="M2468">
        <f>IF(LeadsData[[#This Row],[Stage Number]]&gt;=2,1,0)</f>
        <v>1</v>
      </c>
      <c r="N2468" s="2">
        <f>IF(LeadsData[[#This Row],[Stage Number]]&gt;=3,1,0)</f>
        <v>0</v>
      </c>
      <c r="O2468" s="2">
        <f>IF(LeadsData[[#This Row],[Stage Number]]&gt;=4,1,0)</f>
        <v>0</v>
      </c>
    </row>
    <row r="2469" spans="1:15" x14ac:dyDescent="0.25">
      <c r="A2469" t="s">
        <v>2509</v>
      </c>
      <c r="B2469" s="1">
        <v>45593</v>
      </c>
      <c r="C2469" t="s">
        <v>25</v>
      </c>
      <c r="D2469" t="s">
        <v>26</v>
      </c>
      <c r="E2469" t="s">
        <v>13</v>
      </c>
      <c r="F2469" t="s">
        <v>14</v>
      </c>
      <c r="G2469" t="s">
        <v>15</v>
      </c>
      <c r="K2469" cm="1">
        <f t="array" ref="K2469">_xlfn.SWITCH(LeadsData[[#This Row],[Funnel Stage Reached]],"Lead",1,"MQL",2,"SQL",3,"Customer",4)</f>
        <v>1</v>
      </c>
      <c r="L2469" t="str">
        <f>TEXT(LeadsData[[#This Row],[Signup Date]],"mmm-yyyy")</f>
        <v>Oct-2024</v>
      </c>
      <c r="M2469">
        <f>IF(LeadsData[[#This Row],[Stage Number]]&gt;=2,1,0)</f>
        <v>0</v>
      </c>
      <c r="N2469" s="2">
        <f>IF(LeadsData[[#This Row],[Stage Number]]&gt;=3,1,0)</f>
        <v>0</v>
      </c>
      <c r="O2469" s="2">
        <f>IF(LeadsData[[#This Row],[Stage Number]]&gt;=4,1,0)</f>
        <v>0</v>
      </c>
    </row>
    <row r="2470" spans="1:15" x14ac:dyDescent="0.25">
      <c r="A2470" t="s">
        <v>2510</v>
      </c>
      <c r="B2470" s="1">
        <v>45446</v>
      </c>
      <c r="C2470" t="s">
        <v>36</v>
      </c>
      <c r="D2470" t="s">
        <v>50</v>
      </c>
      <c r="E2470" t="s">
        <v>48</v>
      </c>
      <c r="F2470" t="s">
        <v>22</v>
      </c>
      <c r="G2470" t="s">
        <v>23</v>
      </c>
      <c r="K2470" cm="1">
        <f t="array" ref="K2470">_xlfn.SWITCH(LeadsData[[#This Row],[Funnel Stage Reached]],"Lead",1,"MQL",2,"SQL",3,"Customer",4)</f>
        <v>2</v>
      </c>
      <c r="L2470" t="str">
        <f>TEXT(LeadsData[[#This Row],[Signup Date]],"mmm-yyyy")</f>
        <v>Jun-2024</v>
      </c>
      <c r="M2470">
        <f>IF(LeadsData[[#This Row],[Stage Number]]&gt;=2,1,0)</f>
        <v>1</v>
      </c>
      <c r="N2470" s="2">
        <f>IF(LeadsData[[#This Row],[Stage Number]]&gt;=3,1,0)</f>
        <v>0</v>
      </c>
      <c r="O2470" s="2">
        <f>IF(LeadsData[[#This Row],[Stage Number]]&gt;=4,1,0)</f>
        <v>0</v>
      </c>
    </row>
    <row r="2471" spans="1:15" x14ac:dyDescent="0.25">
      <c r="A2471" t="s">
        <v>2511</v>
      </c>
      <c r="B2471" s="1">
        <v>45315</v>
      </c>
      <c r="C2471" t="s">
        <v>36</v>
      </c>
      <c r="D2471" t="s">
        <v>50</v>
      </c>
      <c r="E2471" t="s">
        <v>13</v>
      </c>
      <c r="F2471" t="s">
        <v>22</v>
      </c>
      <c r="G2471" t="s">
        <v>23</v>
      </c>
      <c r="K2471" cm="1">
        <f t="array" ref="K2471">_xlfn.SWITCH(LeadsData[[#This Row],[Funnel Stage Reached]],"Lead",1,"MQL",2,"SQL",3,"Customer",4)</f>
        <v>2</v>
      </c>
      <c r="L2471" t="str">
        <f>TEXT(LeadsData[[#This Row],[Signup Date]],"mmm-yyyy")</f>
        <v>Jan-2024</v>
      </c>
      <c r="M2471">
        <f>IF(LeadsData[[#This Row],[Stage Number]]&gt;=2,1,0)</f>
        <v>1</v>
      </c>
      <c r="N2471" s="2">
        <f>IF(LeadsData[[#This Row],[Stage Number]]&gt;=3,1,0)</f>
        <v>0</v>
      </c>
      <c r="O2471" s="2">
        <f>IF(LeadsData[[#This Row],[Stage Number]]&gt;=4,1,0)</f>
        <v>0</v>
      </c>
    </row>
    <row r="2472" spans="1:15" x14ac:dyDescent="0.25">
      <c r="A2472" t="s">
        <v>2512</v>
      </c>
      <c r="B2472" s="1">
        <v>45365</v>
      </c>
      <c r="C2472" t="s">
        <v>25</v>
      </c>
      <c r="D2472" t="s">
        <v>26</v>
      </c>
      <c r="E2472" t="s">
        <v>21</v>
      </c>
      <c r="F2472" t="s">
        <v>19</v>
      </c>
      <c r="G2472" t="s">
        <v>15</v>
      </c>
      <c r="K2472" cm="1">
        <f t="array" ref="K2472">_xlfn.SWITCH(LeadsData[[#This Row],[Funnel Stage Reached]],"Lead",1,"MQL",2,"SQL",3,"Customer",4)</f>
        <v>1</v>
      </c>
      <c r="L2472" t="str">
        <f>TEXT(LeadsData[[#This Row],[Signup Date]],"mmm-yyyy")</f>
        <v>Mar-2024</v>
      </c>
      <c r="M2472">
        <f>IF(LeadsData[[#This Row],[Stage Number]]&gt;=2,1,0)</f>
        <v>0</v>
      </c>
      <c r="N2472" s="2">
        <f>IF(LeadsData[[#This Row],[Stage Number]]&gt;=3,1,0)</f>
        <v>0</v>
      </c>
      <c r="O2472" s="2">
        <f>IF(LeadsData[[#This Row],[Stage Number]]&gt;=4,1,0)</f>
        <v>0</v>
      </c>
    </row>
    <row r="2473" spans="1:15" x14ac:dyDescent="0.25">
      <c r="A2473" t="s">
        <v>2513</v>
      </c>
      <c r="B2473" s="1">
        <v>45575</v>
      </c>
      <c r="C2473" t="s">
        <v>17</v>
      </c>
      <c r="D2473" t="s">
        <v>53</v>
      </c>
      <c r="E2473" t="s">
        <v>21</v>
      </c>
      <c r="F2473" t="s">
        <v>19</v>
      </c>
      <c r="G2473" t="s">
        <v>15</v>
      </c>
      <c r="K2473" cm="1">
        <f t="array" ref="K2473">_xlfn.SWITCH(LeadsData[[#This Row],[Funnel Stage Reached]],"Lead",1,"MQL",2,"SQL",3,"Customer",4)</f>
        <v>1</v>
      </c>
      <c r="L2473" t="str">
        <f>TEXT(LeadsData[[#This Row],[Signup Date]],"mmm-yyyy")</f>
        <v>Oct-2024</v>
      </c>
      <c r="M2473">
        <f>IF(LeadsData[[#This Row],[Stage Number]]&gt;=2,1,0)</f>
        <v>0</v>
      </c>
      <c r="N2473" s="2">
        <f>IF(LeadsData[[#This Row],[Stage Number]]&gt;=3,1,0)</f>
        <v>0</v>
      </c>
      <c r="O2473" s="2">
        <f>IF(LeadsData[[#This Row],[Stage Number]]&gt;=4,1,0)</f>
        <v>0</v>
      </c>
    </row>
    <row r="2474" spans="1:15" x14ac:dyDescent="0.25">
      <c r="A2474" t="s">
        <v>2514</v>
      </c>
      <c r="B2474" s="1">
        <v>45395</v>
      </c>
      <c r="C2474" t="s">
        <v>31</v>
      </c>
      <c r="D2474" t="s">
        <v>32</v>
      </c>
      <c r="E2474" t="s">
        <v>48</v>
      </c>
      <c r="F2474" t="s">
        <v>14</v>
      </c>
      <c r="G2474" t="s">
        <v>15</v>
      </c>
      <c r="K2474" cm="1">
        <f t="array" ref="K2474">_xlfn.SWITCH(LeadsData[[#This Row],[Funnel Stage Reached]],"Lead",1,"MQL",2,"SQL",3,"Customer",4)</f>
        <v>1</v>
      </c>
      <c r="L2474" t="str">
        <f>TEXT(LeadsData[[#This Row],[Signup Date]],"mmm-yyyy")</f>
        <v>Apr-2024</v>
      </c>
      <c r="M2474">
        <f>IF(LeadsData[[#This Row],[Stage Number]]&gt;=2,1,0)</f>
        <v>0</v>
      </c>
      <c r="N2474" s="2">
        <f>IF(LeadsData[[#This Row],[Stage Number]]&gt;=3,1,0)</f>
        <v>0</v>
      </c>
      <c r="O2474" s="2">
        <f>IF(LeadsData[[#This Row],[Stage Number]]&gt;=4,1,0)</f>
        <v>0</v>
      </c>
    </row>
    <row r="2475" spans="1:15" x14ac:dyDescent="0.25">
      <c r="A2475" t="s">
        <v>2515</v>
      </c>
      <c r="B2475" s="1">
        <v>45547</v>
      </c>
      <c r="C2475" t="s">
        <v>46</v>
      </c>
      <c r="D2475" t="s">
        <v>47</v>
      </c>
      <c r="E2475" t="s">
        <v>13</v>
      </c>
      <c r="F2475" t="s">
        <v>14</v>
      </c>
      <c r="G2475" t="s">
        <v>23</v>
      </c>
      <c r="K2475" cm="1">
        <f t="array" ref="K2475">_xlfn.SWITCH(LeadsData[[#This Row],[Funnel Stage Reached]],"Lead",1,"MQL",2,"SQL",3,"Customer",4)</f>
        <v>2</v>
      </c>
      <c r="L2475" t="str">
        <f>TEXT(LeadsData[[#This Row],[Signup Date]],"mmm-yyyy")</f>
        <v>Sep-2024</v>
      </c>
      <c r="M2475">
        <f>IF(LeadsData[[#This Row],[Stage Number]]&gt;=2,1,0)</f>
        <v>1</v>
      </c>
      <c r="N2475" s="2">
        <f>IF(LeadsData[[#This Row],[Stage Number]]&gt;=3,1,0)</f>
        <v>0</v>
      </c>
      <c r="O2475" s="2">
        <f>IF(LeadsData[[#This Row],[Stage Number]]&gt;=4,1,0)</f>
        <v>0</v>
      </c>
    </row>
    <row r="2476" spans="1:15" x14ac:dyDescent="0.25">
      <c r="A2476" t="s">
        <v>2516</v>
      </c>
      <c r="B2476" s="1">
        <v>45455</v>
      </c>
      <c r="C2476" t="s">
        <v>25</v>
      </c>
      <c r="D2476" t="s">
        <v>26</v>
      </c>
      <c r="E2476" t="s">
        <v>13</v>
      </c>
      <c r="F2476" t="s">
        <v>19</v>
      </c>
      <c r="G2476" t="s">
        <v>15</v>
      </c>
      <c r="K2476" cm="1">
        <f t="array" ref="K2476">_xlfn.SWITCH(LeadsData[[#This Row],[Funnel Stage Reached]],"Lead",1,"MQL",2,"SQL",3,"Customer",4)</f>
        <v>1</v>
      </c>
      <c r="L2476" t="str">
        <f>TEXT(LeadsData[[#This Row],[Signup Date]],"mmm-yyyy")</f>
        <v>Jun-2024</v>
      </c>
      <c r="M2476">
        <f>IF(LeadsData[[#This Row],[Stage Number]]&gt;=2,1,0)</f>
        <v>0</v>
      </c>
      <c r="N2476" s="2">
        <f>IF(LeadsData[[#This Row],[Stage Number]]&gt;=3,1,0)</f>
        <v>0</v>
      </c>
      <c r="O2476" s="2">
        <f>IF(LeadsData[[#This Row],[Stage Number]]&gt;=4,1,0)</f>
        <v>0</v>
      </c>
    </row>
    <row r="2477" spans="1:15" x14ac:dyDescent="0.25">
      <c r="A2477" t="s">
        <v>2517</v>
      </c>
      <c r="B2477" s="1">
        <v>45390</v>
      </c>
      <c r="C2477" t="s">
        <v>31</v>
      </c>
      <c r="D2477" t="s">
        <v>32</v>
      </c>
      <c r="E2477" t="s">
        <v>21</v>
      </c>
      <c r="F2477" t="s">
        <v>22</v>
      </c>
      <c r="G2477" t="s">
        <v>15</v>
      </c>
      <c r="K2477" cm="1">
        <f t="array" ref="K2477">_xlfn.SWITCH(LeadsData[[#This Row],[Funnel Stage Reached]],"Lead",1,"MQL",2,"SQL",3,"Customer",4)</f>
        <v>1</v>
      </c>
      <c r="L2477" t="str">
        <f>TEXT(LeadsData[[#This Row],[Signup Date]],"mmm-yyyy")</f>
        <v>Apr-2024</v>
      </c>
      <c r="M2477">
        <f>IF(LeadsData[[#This Row],[Stage Number]]&gt;=2,1,0)</f>
        <v>0</v>
      </c>
      <c r="N2477" s="2">
        <f>IF(LeadsData[[#This Row],[Stage Number]]&gt;=3,1,0)</f>
        <v>0</v>
      </c>
      <c r="O2477" s="2">
        <f>IF(LeadsData[[#This Row],[Stage Number]]&gt;=4,1,0)</f>
        <v>0</v>
      </c>
    </row>
    <row r="2478" spans="1:15" x14ac:dyDescent="0.25">
      <c r="A2478" t="s">
        <v>2518</v>
      </c>
      <c r="B2478" s="1">
        <v>45540</v>
      </c>
      <c r="C2478" t="s">
        <v>31</v>
      </c>
      <c r="D2478" t="s">
        <v>34</v>
      </c>
      <c r="E2478" t="s">
        <v>13</v>
      </c>
      <c r="F2478" t="s">
        <v>19</v>
      </c>
      <c r="G2478" t="s">
        <v>15</v>
      </c>
      <c r="K2478" cm="1">
        <f t="array" ref="K2478">_xlfn.SWITCH(LeadsData[[#This Row],[Funnel Stage Reached]],"Lead",1,"MQL",2,"SQL",3,"Customer",4)</f>
        <v>1</v>
      </c>
      <c r="L2478" t="str">
        <f>TEXT(LeadsData[[#This Row],[Signup Date]],"mmm-yyyy")</f>
        <v>Sep-2024</v>
      </c>
      <c r="M2478">
        <f>IF(LeadsData[[#This Row],[Stage Number]]&gt;=2,1,0)</f>
        <v>0</v>
      </c>
      <c r="N2478" s="2">
        <f>IF(LeadsData[[#This Row],[Stage Number]]&gt;=3,1,0)</f>
        <v>0</v>
      </c>
      <c r="O2478" s="2">
        <f>IF(LeadsData[[#This Row],[Stage Number]]&gt;=4,1,0)</f>
        <v>0</v>
      </c>
    </row>
    <row r="2479" spans="1:15" x14ac:dyDescent="0.25">
      <c r="A2479" t="s">
        <v>2519</v>
      </c>
      <c r="B2479" s="1">
        <v>45330</v>
      </c>
      <c r="C2479" t="s">
        <v>36</v>
      </c>
      <c r="D2479" t="s">
        <v>50</v>
      </c>
      <c r="E2479" t="s">
        <v>13</v>
      </c>
      <c r="F2479" t="s">
        <v>19</v>
      </c>
      <c r="G2479" t="s">
        <v>23</v>
      </c>
      <c r="K2479" cm="1">
        <f t="array" ref="K2479">_xlfn.SWITCH(LeadsData[[#This Row],[Funnel Stage Reached]],"Lead",1,"MQL",2,"SQL",3,"Customer",4)</f>
        <v>2</v>
      </c>
      <c r="L2479" t="str">
        <f>TEXT(LeadsData[[#This Row],[Signup Date]],"mmm-yyyy")</f>
        <v>Feb-2024</v>
      </c>
      <c r="M2479">
        <f>IF(LeadsData[[#This Row],[Stage Number]]&gt;=2,1,0)</f>
        <v>1</v>
      </c>
      <c r="N2479" s="2">
        <f>IF(LeadsData[[#This Row],[Stage Number]]&gt;=3,1,0)</f>
        <v>0</v>
      </c>
      <c r="O2479" s="2">
        <f>IF(LeadsData[[#This Row],[Stage Number]]&gt;=4,1,0)</f>
        <v>0</v>
      </c>
    </row>
    <row r="2480" spans="1:15" x14ac:dyDescent="0.25">
      <c r="A2480" t="s">
        <v>2520</v>
      </c>
      <c r="B2480" s="1">
        <v>45363</v>
      </c>
      <c r="C2480" t="s">
        <v>11</v>
      </c>
      <c r="D2480" t="s">
        <v>12</v>
      </c>
      <c r="E2480" t="s">
        <v>21</v>
      </c>
      <c r="F2480" t="s">
        <v>14</v>
      </c>
      <c r="G2480" t="s">
        <v>15</v>
      </c>
      <c r="K2480" cm="1">
        <f t="array" ref="K2480">_xlfn.SWITCH(LeadsData[[#This Row],[Funnel Stage Reached]],"Lead",1,"MQL",2,"SQL",3,"Customer",4)</f>
        <v>1</v>
      </c>
      <c r="L2480" t="str">
        <f>TEXT(LeadsData[[#This Row],[Signup Date]],"mmm-yyyy")</f>
        <v>Mar-2024</v>
      </c>
      <c r="M2480">
        <f>IF(LeadsData[[#This Row],[Stage Number]]&gt;=2,1,0)</f>
        <v>0</v>
      </c>
      <c r="N2480" s="2">
        <f>IF(LeadsData[[#This Row],[Stage Number]]&gt;=3,1,0)</f>
        <v>0</v>
      </c>
      <c r="O2480" s="2">
        <f>IF(LeadsData[[#This Row],[Stage Number]]&gt;=4,1,0)</f>
        <v>0</v>
      </c>
    </row>
    <row r="2481" spans="1:15" x14ac:dyDescent="0.25">
      <c r="A2481" t="s">
        <v>2521</v>
      </c>
      <c r="B2481" s="1">
        <v>45318</v>
      </c>
      <c r="C2481" t="s">
        <v>17</v>
      </c>
      <c r="D2481" t="s">
        <v>18</v>
      </c>
      <c r="E2481" t="s">
        <v>21</v>
      </c>
      <c r="F2481" t="s">
        <v>14</v>
      </c>
      <c r="G2481" t="s">
        <v>15</v>
      </c>
      <c r="K2481" cm="1">
        <f t="array" ref="K2481">_xlfn.SWITCH(LeadsData[[#This Row],[Funnel Stage Reached]],"Lead",1,"MQL",2,"SQL",3,"Customer",4)</f>
        <v>1</v>
      </c>
      <c r="L2481" t="str">
        <f>TEXT(LeadsData[[#This Row],[Signup Date]],"mmm-yyyy")</f>
        <v>Jan-2024</v>
      </c>
      <c r="M2481">
        <f>IF(LeadsData[[#This Row],[Stage Number]]&gt;=2,1,0)</f>
        <v>0</v>
      </c>
      <c r="N2481" s="2">
        <f>IF(LeadsData[[#This Row],[Stage Number]]&gt;=3,1,0)</f>
        <v>0</v>
      </c>
      <c r="O2481" s="2">
        <f>IF(LeadsData[[#This Row],[Stage Number]]&gt;=4,1,0)</f>
        <v>0</v>
      </c>
    </row>
    <row r="2482" spans="1:15" x14ac:dyDescent="0.25">
      <c r="A2482" t="s">
        <v>2522</v>
      </c>
      <c r="B2482" s="1">
        <v>45475</v>
      </c>
      <c r="C2482" t="s">
        <v>36</v>
      </c>
      <c r="D2482" t="s">
        <v>50</v>
      </c>
      <c r="E2482" t="s">
        <v>13</v>
      </c>
      <c r="F2482" t="s">
        <v>19</v>
      </c>
      <c r="G2482" t="s">
        <v>15</v>
      </c>
      <c r="K2482" cm="1">
        <f t="array" ref="K2482">_xlfn.SWITCH(LeadsData[[#This Row],[Funnel Stage Reached]],"Lead",1,"MQL",2,"SQL",3,"Customer",4)</f>
        <v>1</v>
      </c>
      <c r="L2482" t="str">
        <f>TEXT(LeadsData[[#This Row],[Signup Date]],"mmm-yyyy")</f>
        <v>Jul-2024</v>
      </c>
      <c r="M2482">
        <f>IF(LeadsData[[#This Row],[Stage Number]]&gt;=2,1,0)</f>
        <v>0</v>
      </c>
      <c r="N2482" s="2">
        <f>IF(LeadsData[[#This Row],[Stage Number]]&gt;=3,1,0)</f>
        <v>0</v>
      </c>
      <c r="O2482" s="2">
        <f>IF(LeadsData[[#This Row],[Stage Number]]&gt;=4,1,0)</f>
        <v>0</v>
      </c>
    </row>
    <row r="2483" spans="1:15" x14ac:dyDescent="0.25">
      <c r="A2483" t="s">
        <v>2523</v>
      </c>
      <c r="B2483" s="1">
        <v>45342</v>
      </c>
      <c r="C2483" t="s">
        <v>17</v>
      </c>
      <c r="D2483" t="s">
        <v>18</v>
      </c>
      <c r="E2483" t="s">
        <v>21</v>
      </c>
      <c r="F2483" t="s">
        <v>14</v>
      </c>
      <c r="G2483" t="s">
        <v>15</v>
      </c>
      <c r="K2483" cm="1">
        <f t="array" ref="K2483">_xlfn.SWITCH(LeadsData[[#This Row],[Funnel Stage Reached]],"Lead",1,"MQL",2,"SQL",3,"Customer",4)</f>
        <v>1</v>
      </c>
      <c r="L2483" t="str">
        <f>TEXT(LeadsData[[#This Row],[Signup Date]],"mmm-yyyy")</f>
        <v>Feb-2024</v>
      </c>
      <c r="M2483">
        <f>IF(LeadsData[[#This Row],[Stage Number]]&gt;=2,1,0)</f>
        <v>0</v>
      </c>
      <c r="N2483" s="2">
        <f>IF(LeadsData[[#This Row],[Stage Number]]&gt;=3,1,0)</f>
        <v>0</v>
      </c>
      <c r="O2483" s="2">
        <f>IF(LeadsData[[#This Row],[Stage Number]]&gt;=4,1,0)</f>
        <v>0</v>
      </c>
    </row>
    <row r="2484" spans="1:15" x14ac:dyDescent="0.25">
      <c r="A2484" t="s">
        <v>2524</v>
      </c>
      <c r="B2484" s="1">
        <v>45421</v>
      </c>
      <c r="C2484" t="s">
        <v>46</v>
      </c>
      <c r="D2484" t="s">
        <v>56</v>
      </c>
      <c r="E2484" t="s">
        <v>13</v>
      </c>
      <c r="F2484" t="s">
        <v>19</v>
      </c>
      <c r="G2484" t="s">
        <v>15</v>
      </c>
      <c r="K2484" cm="1">
        <f t="array" ref="K2484">_xlfn.SWITCH(LeadsData[[#This Row],[Funnel Stage Reached]],"Lead",1,"MQL",2,"SQL",3,"Customer",4)</f>
        <v>1</v>
      </c>
      <c r="L2484" t="str">
        <f>TEXT(LeadsData[[#This Row],[Signup Date]],"mmm-yyyy")</f>
        <v>May-2024</v>
      </c>
      <c r="M2484">
        <f>IF(LeadsData[[#This Row],[Stage Number]]&gt;=2,1,0)</f>
        <v>0</v>
      </c>
      <c r="N2484" s="2">
        <f>IF(LeadsData[[#This Row],[Stage Number]]&gt;=3,1,0)</f>
        <v>0</v>
      </c>
      <c r="O2484" s="2">
        <f>IF(LeadsData[[#This Row],[Stage Number]]&gt;=4,1,0)</f>
        <v>0</v>
      </c>
    </row>
    <row r="2485" spans="1:15" x14ac:dyDescent="0.25">
      <c r="A2485" t="s">
        <v>2525</v>
      </c>
      <c r="B2485" s="1">
        <v>45639</v>
      </c>
      <c r="C2485" t="s">
        <v>36</v>
      </c>
      <c r="D2485" t="s">
        <v>50</v>
      </c>
      <c r="E2485" t="s">
        <v>21</v>
      </c>
      <c r="F2485" t="s">
        <v>14</v>
      </c>
      <c r="G2485" t="s">
        <v>23</v>
      </c>
      <c r="K2485" cm="1">
        <f t="array" ref="K2485">_xlfn.SWITCH(LeadsData[[#This Row],[Funnel Stage Reached]],"Lead",1,"MQL",2,"SQL",3,"Customer",4)</f>
        <v>2</v>
      </c>
      <c r="L2485" t="str">
        <f>TEXT(LeadsData[[#This Row],[Signup Date]],"mmm-yyyy")</f>
        <v>Dec-2024</v>
      </c>
      <c r="M2485">
        <f>IF(LeadsData[[#This Row],[Stage Number]]&gt;=2,1,0)</f>
        <v>1</v>
      </c>
      <c r="N2485" s="2">
        <f>IF(LeadsData[[#This Row],[Stage Number]]&gt;=3,1,0)</f>
        <v>0</v>
      </c>
      <c r="O2485" s="2">
        <f>IF(LeadsData[[#This Row],[Stage Number]]&gt;=4,1,0)</f>
        <v>0</v>
      </c>
    </row>
    <row r="2486" spans="1:15" x14ac:dyDescent="0.25">
      <c r="A2486" t="s">
        <v>2526</v>
      </c>
      <c r="B2486" s="1">
        <v>45615</v>
      </c>
      <c r="C2486" t="s">
        <v>46</v>
      </c>
      <c r="D2486" t="s">
        <v>47</v>
      </c>
      <c r="E2486" t="s">
        <v>21</v>
      </c>
      <c r="F2486" t="s">
        <v>22</v>
      </c>
      <c r="G2486" t="s">
        <v>29</v>
      </c>
      <c r="K2486" cm="1">
        <f t="array" ref="K2486">_xlfn.SWITCH(LeadsData[[#This Row],[Funnel Stage Reached]],"Lead",1,"MQL",2,"SQL",3,"Customer",4)</f>
        <v>3</v>
      </c>
      <c r="L2486" t="str">
        <f>TEXT(LeadsData[[#This Row],[Signup Date]],"mmm-yyyy")</f>
        <v>Nov-2024</v>
      </c>
      <c r="M2486">
        <f>IF(LeadsData[[#This Row],[Stage Number]]&gt;=2,1,0)</f>
        <v>1</v>
      </c>
      <c r="N2486" s="2">
        <f>IF(LeadsData[[#This Row],[Stage Number]]&gt;=3,1,0)</f>
        <v>1</v>
      </c>
      <c r="O2486" s="2">
        <f>IF(LeadsData[[#This Row],[Stage Number]]&gt;=4,1,0)</f>
        <v>0</v>
      </c>
    </row>
    <row r="2487" spans="1:15" x14ac:dyDescent="0.25">
      <c r="A2487" t="s">
        <v>2527</v>
      </c>
      <c r="B2487" s="1">
        <v>45647</v>
      </c>
      <c r="C2487" t="s">
        <v>11</v>
      </c>
      <c r="D2487" t="s">
        <v>68</v>
      </c>
      <c r="E2487" t="s">
        <v>13</v>
      </c>
      <c r="F2487" t="s">
        <v>22</v>
      </c>
      <c r="G2487" t="s">
        <v>23</v>
      </c>
      <c r="K2487" cm="1">
        <f t="array" ref="K2487">_xlfn.SWITCH(LeadsData[[#This Row],[Funnel Stage Reached]],"Lead",1,"MQL",2,"SQL",3,"Customer",4)</f>
        <v>2</v>
      </c>
      <c r="L2487" t="str">
        <f>TEXT(LeadsData[[#This Row],[Signup Date]],"mmm-yyyy")</f>
        <v>Dec-2024</v>
      </c>
      <c r="M2487">
        <f>IF(LeadsData[[#This Row],[Stage Number]]&gt;=2,1,0)</f>
        <v>1</v>
      </c>
      <c r="N2487" s="2">
        <f>IF(LeadsData[[#This Row],[Stage Number]]&gt;=3,1,0)</f>
        <v>0</v>
      </c>
      <c r="O2487" s="2">
        <f>IF(LeadsData[[#This Row],[Stage Number]]&gt;=4,1,0)</f>
        <v>0</v>
      </c>
    </row>
    <row r="2488" spans="1:15" x14ac:dyDescent="0.25">
      <c r="A2488" t="s">
        <v>2528</v>
      </c>
      <c r="B2488" s="1">
        <v>45376</v>
      </c>
      <c r="C2488" t="s">
        <v>46</v>
      </c>
      <c r="D2488" t="s">
        <v>56</v>
      </c>
      <c r="E2488" t="s">
        <v>13</v>
      </c>
      <c r="F2488" t="s">
        <v>22</v>
      </c>
      <c r="G2488" t="s">
        <v>15</v>
      </c>
      <c r="K2488" cm="1">
        <f t="array" ref="K2488">_xlfn.SWITCH(LeadsData[[#This Row],[Funnel Stage Reached]],"Lead",1,"MQL",2,"SQL",3,"Customer",4)</f>
        <v>1</v>
      </c>
      <c r="L2488" t="str">
        <f>TEXT(LeadsData[[#This Row],[Signup Date]],"mmm-yyyy")</f>
        <v>Mar-2024</v>
      </c>
      <c r="M2488">
        <f>IF(LeadsData[[#This Row],[Stage Number]]&gt;=2,1,0)</f>
        <v>0</v>
      </c>
      <c r="N2488" s="2">
        <f>IF(LeadsData[[#This Row],[Stage Number]]&gt;=3,1,0)</f>
        <v>0</v>
      </c>
      <c r="O2488" s="2">
        <f>IF(LeadsData[[#This Row],[Stage Number]]&gt;=4,1,0)</f>
        <v>0</v>
      </c>
    </row>
    <row r="2489" spans="1:15" x14ac:dyDescent="0.25">
      <c r="A2489" t="s">
        <v>2529</v>
      </c>
      <c r="B2489" s="1">
        <v>45469</v>
      </c>
      <c r="C2489" t="s">
        <v>36</v>
      </c>
      <c r="D2489" t="s">
        <v>37</v>
      </c>
      <c r="E2489" t="s">
        <v>21</v>
      </c>
      <c r="F2489" t="s">
        <v>19</v>
      </c>
      <c r="G2489" t="s">
        <v>23</v>
      </c>
      <c r="K2489" cm="1">
        <f t="array" ref="K2489">_xlfn.SWITCH(LeadsData[[#This Row],[Funnel Stage Reached]],"Lead",1,"MQL",2,"SQL",3,"Customer",4)</f>
        <v>2</v>
      </c>
      <c r="L2489" t="str">
        <f>TEXT(LeadsData[[#This Row],[Signup Date]],"mmm-yyyy")</f>
        <v>Jun-2024</v>
      </c>
      <c r="M2489">
        <f>IF(LeadsData[[#This Row],[Stage Number]]&gt;=2,1,0)</f>
        <v>1</v>
      </c>
      <c r="N2489" s="2">
        <f>IF(LeadsData[[#This Row],[Stage Number]]&gt;=3,1,0)</f>
        <v>0</v>
      </c>
      <c r="O2489" s="2">
        <f>IF(LeadsData[[#This Row],[Stage Number]]&gt;=4,1,0)</f>
        <v>0</v>
      </c>
    </row>
    <row r="2490" spans="1:15" x14ac:dyDescent="0.25">
      <c r="A2490" t="s">
        <v>2530</v>
      </c>
      <c r="B2490" s="1">
        <v>45316</v>
      </c>
      <c r="C2490" t="s">
        <v>31</v>
      </c>
      <c r="D2490" t="s">
        <v>32</v>
      </c>
      <c r="E2490" t="s">
        <v>21</v>
      </c>
      <c r="F2490" t="s">
        <v>19</v>
      </c>
      <c r="G2490" t="s">
        <v>23</v>
      </c>
      <c r="K2490" cm="1">
        <f t="array" ref="K2490">_xlfn.SWITCH(LeadsData[[#This Row],[Funnel Stage Reached]],"Lead",1,"MQL",2,"SQL",3,"Customer",4)</f>
        <v>2</v>
      </c>
      <c r="L2490" t="str">
        <f>TEXT(LeadsData[[#This Row],[Signup Date]],"mmm-yyyy")</f>
        <v>Jan-2024</v>
      </c>
      <c r="M2490">
        <f>IF(LeadsData[[#This Row],[Stage Number]]&gt;=2,1,0)</f>
        <v>1</v>
      </c>
      <c r="N2490" s="2">
        <f>IF(LeadsData[[#This Row],[Stage Number]]&gt;=3,1,0)</f>
        <v>0</v>
      </c>
      <c r="O2490" s="2">
        <f>IF(LeadsData[[#This Row],[Stage Number]]&gt;=4,1,0)</f>
        <v>0</v>
      </c>
    </row>
    <row r="2491" spans="1:15" x14ac:dyDescent="0.25">
      <c r="A2491" t="s">
        <v>2531</v>
      </c>
      <c r="B2491" s="1">
        <v>45374</v>
      </c>
      <c r="C2491" t="s">
        <v>25</v>
      </c>
      <c r="D2491" t="s">
        <v>26</v>
      </c>
      <c r="E2491" t="s">
        <v>13</v>
      </c>
      <c r="F2491" t="s">
        <v>22</v>
      </c>
      <c r="G2491" t="s">
        <v>15</v>
      </c>
      <c r="K2491" cm="1">
        <f t="array" ref="K2491">_xlfn.SWITCH(LeadsData[[#This Row],[Funnel Stage Reached]],"Lead",1,"MQL",2,"SQL",3,"Customer",4)</f>
        <v>1</v>
      </c>
      <c r="L2491" t="str">
        <f>TEXT(LeadsData[[#This Row],[Signup Date]],"mmm-yyyy")</f>
        <v>Mar-2024</v>
      </c>
      <c r="M2491">
        <f>IF(LeadsData[[#This Row],[Stage Number]]&gt;=2,1,0)</f>
        <v>0</v>
      </c>
      <c r="N2491" s="2">
        <f>IF(LeadsData[[#This Row],[Stage Number]]&gt;=3,1,0)</f>
        <v>0</v>
      </c>
      <c r="O2491" s="2">
        <f>IF(LeadsData[[#This Row],[Stage Number]]&gt;=4,1,0)</f>
        <v>0</v>
      </c>
    </row>
    <row r="2492" spans="1:15" x14ac:dyDescent="0.25">
      <c r="A2492" t="s">
        <v>2532</v>
      </c>
      <c r="B2492" s="1">
        <v>45301</v>
      </c>
      <c r="C2492" t="s">
        <v>31</v>
      </c>
      <c r="D2492" t="s">
        <v>34</v>
      </c>
      <c r="E2492" t="s">
        <v>21</v>
      </c>
      <c r="F2492" t="s">
        <v>19</v>
      </c>
      <c r="G2492" t="s">
        <v>15</v>
      </c>
      <c r="K2492" cm="1">
        <f t="array" ref="K2492">_xlfn.SWITCH(LeadsData[[#This Row],[Funnel Stage Reached]],"Lead",1,"MQL",2,"SQL",3,"Customer",4)</f>
        <v>1</v>
      </c>
      <c r="L2492" t="str">
        <f>TEXT(LeadsData[[#This Row],[Signup Date]],"mmm-yyyy")</f>
        <v>Jan-2024</v>
      </c>
      <c r="M2492">
        <f>IF(LeadsData[[#This Row],[Stage Number]]&gt;=2,1,0)</f>
        <v>0</v>
      </c>
      <c r="N2492" s="2">
        <f>IF(LeadsData[[#This Row],[Stage Number]]&gt;=3,1,0)</f>
        <v>0</v>
      </c>
      <c r="O2492" s="2">
        <f>IF(LeadsData[[#This Row],[Stage Number]]&gt;=4,1,0)</f>
        <v>0</v>
      </c>
    </row>
    <row r="2493" spans="1:15" x14ac:dyDescent="0.25">
      <c r="A2493" t="s">
        <v>2533</v>
      </c>
      <c r="B2493" s="1">
        <v>45440</v>
      </c>
      <c r="C2493" t="s">
        <v>46</v>
      </c>
      <c r="D2493" t="s">
        <v>56</v>
      </c>
      <c r="E2493" t="s">
        <v>13</v>
      </c>
      <c r="F2493" t="s">
        <v>19</v>
      </c>
      <c r="G2493" t="s">
        <v>23</v>
      </c>
      <c r="K2493" cm="1">
        <f t="array" ref="K2493">_xlfn.SWITCH(LeadsData[[#This Row],[Funnel Stage Reached]],"Lead",1,"MQL",2,"SQL",3,"Customer",4)</f>
        <v>2</v>
      </c>
      <c r="L2493" t="str">
        <f>TEXT(LeadsData[[#This Row],[Signup Date]],"mmm-yyyy")</f>
        <v>May-2024</v>
      </c>
      <c r="M2493">
        <f>IF(LeadsData[[#This Row],[Stage Number]]&gt;=2,1,0)</f>
        <v>1</v>
      </c>
      <c r="N2493" s="2">
        <f>IF(LeadsData[[#This Row],[Stage Number]]&gt;=3,1,0)</f>
        <v>0</v>
      </c>
      <c r="O2493" s="2">
        <f>IF(LeadsData[[#This Row],[Stage Number]]&gt;=4,1,0)</f>
        <v>0</v>
      </c>
    </row>
    <row r="2494" spans="1:15" x14ac:dyDescent="0.25">
      <c r="A2494" t="s">
        <v>2534</v>
      </c>
      <c r="B2494" s="1">
        <v>45602</v>
      </c>
      <c r="C2494" t="s">
        <v>36</v>
      </c>
      <c r="D2494" t="s">
        <v>37</v>
      </c>
      <c r="E2494" t="s">
        <v>21</v>
      </c>
      <c r="F2494" t="s">
        <v>28</v>
      </c>
      <c r="G2494" t="s">
        <v>23</v>
      </c>
      <c r="K2494" cm="1">
        <f t="array" ref="K2494">_xlfn.SWITCH(LeadsData[[#This Row],[Funnel Stage Reached]],"Lead",1,"MQL",2,"SQL",3,"Customer",4)</f>
        <v>2</v>
      </c>
      <c r="L2494" t="str">
        <f>TEXT(LeadsData[[#This Row],[Signup Date]],"mmm-yyyy")</f>
        <v>Nov-2024</v>
      </c>
      <c r="M2494">
        <f>IF(LeadsData[[#This Row],[Stage Number]]&gt;=2,1,0)</f>
        <v>1</v>
      </c>
      <c r="N2494" s="2">
        <f>IF(LeadsData[[#This Row],[Stage Number]]&gt;=3,1,0)</f>
        <v>0</v>
      </c>
      <c r="O2494" s="2">
        <f>IF(LeadsData[[#This Row],[Stage Number]]&gt;=4,1,0)</f>
        <v>0</v>
      </c>
    </row>
    <row r="2495" spans="1:15" x14ac:dyDescent="0.25">
      <c r="A2495" t="s">
        <v>2535</v>
      </c>
      <c r="B2495" s="1">
        <v>45630</v>
      </c>
      <c r="C2495" t="s">
        <v>17</v>
      </c>
      <c r="D2495" t="s">
        <v>53</v>
      </c>
      <c r="E2495" t="s">
        <v>13</v>
      </c>
      <c r="F2495" t="s">
        <v>22</v>
      </c>
      <c r="G2495" t="s">
        <v>15</v>
      </c>
      <c r="K2495" cm="1">
        <f t="array" ref="K2495">_xlfn.SWITCH(LeadsData[[#This Row],[Funnel Stage Reached]],"Lead",1,"MQL",2,"SQL",3,"Customer",4)</f>
        <v>1</v>
      </c>
      <c r="L2495" t="str">
        <f>TEXT(LeadsData[[#This Row],[Signup Date]],"mmm-yyyy")</f>
        <v>Dec-2024</v>
      </c>
      <c r="M2495">
        <f>IF(LeadsData[[#This Row],[Stage Number]]&gt;=2,1,0)</f>
        <v>0</v>
      </c>
      <c r="N2495" s="2">
        <f>IF(LeadsData[[#This Row],[Stage Number]]&gt;=3,1,0)</f>
        <v>0</v>
      </c>
      <c r="O2495" s="2">
        <f>IF(LeadsData[[#This Row],[Stage Number]]&gt;=4,1,0)</f>
        <v>0</v>
      </c>
    </row>
    <row r="2496" spans="1:15" x14ac:dyDescent="0.25">
      <c r="A2496" t="s">
        <v>2536</v>
      </c>
      <c r="B2496" s="1">
        <v>45605</v>
      </c>
      <c r="C2496" t="s">
        <v>46</v>
      </c>
      <c r="D2496" t="s">
        <v>56</v>
      </c>
      <c r="E2496" t="s">
        <v>13</v>
      </c>
      <c r="F2496" t="s">
        <v>19</v>
      </c>
      <c r="G2496" t="s">
        <v>15</v>
      </c>
      <c r="K2496" cm="1">
        <f t="array" ref="K2496">_xlfn.SWITCH(LeadsData[[#This Row],[Funnel Stage Reached]],"Lead",1,"MQL",2,"SQL",3,"Customer",4)</f>
        <v>1</v>
      </c>
      <c r="L2496" t="str">
        <f>TEXT(LeadsData[[#This Row],[Signup Date]],"mmm-yyyy")</f>
        <v>Nov-2024</v>
      </c>
      <c r="M2496">
        <f>IF(LeadsData[[#This Row],[Stage Number]]&gt;=2,1,0)</f>
        <v>0</v>
      </c>
      <c r="N2496" s="2">
        <f>IF(LeadsData[[#This Row],[Stage Number]]&gt;=3,1,0)</f>
        <v>0</v>
      </c>
      <c r="O2496" s="2">
        <f>IF(LeadsData[[#This Row],[Stage Number]]&gt;=4,1,0)</f>
        <v>0</v>
      </c>
    </row>
    <row r="2497" spans="1:15" x14ac:dyDescent="0.25">
      <c r="A2497" t="s">
        <v>2537</v>
      </c>
      <c r="B2497" s="1">
        <v>45389</v>
      </c>
      <c r="C2497" t="s">
        <v>31</v>
      </c>
      <c r="D2497" t="s">
        <v>34</v>
      </c>
      <c r="E2497" t="s">
        <v>21</v>
      </c>
      <c r="F2497" t="s">
        <v>22</v>
      </c>
      <c r="G2497" t="s">
        <v>42</v>
      </c>
      <c r="H2497">
        <v>50</v>
      </c>
      <c r="I2497" t="s">
        <v>43</v>
      </c>
      <c r="J2497">
        <v>1358.66</v>
      </c>
      <c r="K2497" cm="1">
        <f t="array" ref="K2497">_xlfn.SWITCH(LeadsData[[#This Row],[Funnel Stage Reached]],"Lead",1,"MQL",2,"SQL",3,"Customer",4)</f>
        <v>4</v>
      </c>
      <c r="L2497" t="str">
        <f>TEXT(LeadsData[[#This Row],[Signup Date]],"mmm-yyyy")</f>
        <v>Apr-2024</v>
      </c>
      <c r="M2497">
        <f>IF(LeadsData[[#This Row],[Stage Number]]&gt;=2,1,0)</f>
        <v>1</v>
      </c>
      <c r="N2497" s="2">
        <f>IF(LeadsData[[#This Row],[Stage Number]]&gt;=3,1,0)</f>
        <v>1</v>
      </c>
      <c r="O2497" s="2">
        <f>IF(LeadsData[[#This Row],[Stage Number]]&gt;=4,1,0)</f>
        <v>1</v>
      </c>
    </row>
    <row r="2498" spans="1:15" x14ac:dyDescent="0.25">
      <c r="A2498" t="s">
        <v>2538</v>
      </c>
      <c r="B2498" s="1">
        <v>45368</v>
      </c>
      <c r="C2498" t="s">
        <v>31</v>
      </c>
      <c r="D2498" t="s">
        <v>34</v>
      </c>
      <c r="E2498" t="s">
        <v>21</v>
      </c>
      <c r="F2498" t="s">
        <v>19</v>
      </c>
      <c r="G2498" t="s">
        <v>23</v>
      </c>
      <c r="K2498" cm="1">
        <f t="array" ref="K2498">_xlfn.SWITCH(LeadsData[[#This Row],[Funnel Stage Reached]],"Lead",1,"MQL",2,"SQL",3,"Customer",4)</f>
        <v>2</v>
      </c>
      <c r="L2498" t="str">
        <f>TEXT(LeadsData[[#This Row],[Signup Date]],"mmm-yyyy")</f>
        <v>Mar-2024</v>
      </c>
      <c r="M2498">
        <f>IF(LeadsData[[#This Row],[Stage Number]]&gt;=2,1,0)</f>
        <v>1</v>
      </c>
      <c r="N2498" s="2">
        <f>IF(LeadsData[[#This Row],[Stage Number]]&gt;=3,1,0)</f>
        <v>0</v>
      </c>
      <c r="O2498" s="2">
        <f>IF(LeadsData[[#This Row],[Stage Number]]&gt;=4,1,0)</f>
        <v>0</v>
      </c>
    </row>
    <row r="2499" spans="1:15" x14ac:dyDescent="0.25">
      <c r="A2499" t="s">
        <v>2539</v>
      </c>
      <c r="B2499" s="1">
        <v>45418</v>
      </c>
      <c r="C2499" t="s">
        <v>25</v>
      </c>
      <c r="D2499" t="s">
        <v>26</v>
      </c>
      <c r="E2499" t="s">
        <v>13</v>
      </c>
      <c r="F2499" t="s">
        <v>19</v>
      </c>
      <c r="G2499" t="s">
        <v>23</v>
      </c>
      <c r="K2499" cm="1">
        <f t="array" ref="K2499">_xlfn.SWITCH(LeadsData[[#This Row],[Funnel Stage Reached]],"Lead",1,"MQL",2,"SQL",3,"Customer",4)</f>
        <v>2</v>
      </c>
      <c r="L2499" t="str">
        <f>TEXT(LeadsData[[#This Row],[Signup Date]],"mmm-yyyy")</f>
        <v>May-2024</v>
      </c>
      <c r="M2499">
        <f>IF(LeadsData[[#This Row],[Stage Number]]&gt;=2,1,0)</f>
        <v>1</v>
      </c>
      <c r="N2499" s="2">
        <f>IF(LeadsData[[#This Row],[Stage Number]]&gt;=3,1,0)</f>
        <v>0</v>
      </c>
      <c r="O2499" s="2">
        <f>IF(LeadsData[[#This Row],[Stage Number]]&gt;=4,1,0)</f>
        <v>0</v>
      </c>
    </row>
    <row r="2500" spans="1:15" x14ac:dyDescent="0.25">
      <c r="A2500" t="s">
        <v>2540</v>
      </c>
      <c r="B2500" s="1">
        <v>45576</v>
      </c>
      <c r="C2500" t="s">
        <v>17</v>
      </c>
      <c r="D2500" t="s">
        <v>18</v>
      </c>
      <c r="E2500" t="s">
        <v>21</v>
      </c>
      <c r="F2500" t="s">
        <v>19</v>
      </c>
      <c r="G2500" t="s">
        <v>15</v>
      </c>
      <c r="K2500" cm="1">
        <f t="array" ref="K2500">_xlfn.SWITCH(LeadsData[[#This Row],[Funnel Stage Reached]],"Lead",1,"MQL",2,"SQL",3,"Customer",4)</f>
        <v>1</v>
      </c>
      <c r="L2500" t="str">
        <f>TEXT(LeadsData[[#This Row],[Signup Date]],"mmm-yyyy")</f>
        <v>Oct-2024</v>
      </c>
      <c r="M2500">
        <f>IF(LeadsData[[#This Row],[Stage Number]]&gt;=2,1,0)</f>
        <v>0</v>
      </c>
      <c r="N2500" s="2">
        <f>IF(LeadsData[[#This Row],[Stage Number]]&gt;=3,1,0)</f>
        <v>0</v>
      </c>
      <c r="O2500" s="2">
        <f>IF(LeadsData[[#This Row],[Stage Number]]&gt;=4,1,0)</f>
        <v>0</v>
      </c>
    </row>
    <row r="2501" spans="1:15" x14ac:dyDescent="0.25">
      <c r="A2501" t="s">
        <v>2541</v>
      </c>
      <c r="B2501" s="1">
        <v>45513</v>
      </c>
      <c r="C2501" t="s">
        <v>46</v>
      </c>
      <c r="D2501" t="s">
        <v>47</v>
      </c>
      <c r="E2501" t="s">
        <v>13</v>
      </c>
      <c r="F2501" t="s">
        <v>28</v>
      </c>
      <c r="G2501" t="s">
        <v>23</v>
      </c>
      <c r="K2501" cm="1">
        <f t="array" ref="K2501">_xlfn.SWITCH(LeadsData[[#This Row],[Funnel Stage Reached]],"Lead",1,"MQL",2,"SQL",3,"Customer",4)</f>
        <v>2</v>
      </c>
      <c r="L2501" t="str">
        <f>TEXT(LeadsData[[#This Row],[Signup Date]],"mmm-yyyy")</f>
        <v>Aug-2024</v>
      </c>
      <c r="M2501">
        <f>IF(LeadsData[[#This Row],[Stage Number]]&gt;=2,1,0)</f>
        <v>1</v>
      </c>
      <c r="N2501" s="2">
        <f>IF(LeadsData[[#This Row],[Stage Number]]&gt;=3,1,0)</f>
        <v>0</v>
      </c>
      <c r="O2501" s="2">
        <f>IF(LeadsData[[#This Row],[Stage Number]]&gt;=4,1,0)</f>
        <v>0</v>
      </c>
    </row>
    <row r="2502" spans="1:15" x14ac:dyDescent="0.25">
      <c r="A2502" t="s">
        <v>2542</v>
      </c>
      <c r="B2502" s="1">
        <v>45422</v>
      </c>
      <c r="C2502" t="s">
        <v>31</v>
      </c>
      <c r="D2502" t="s">
        <v>34</v>
      </c>
      <c r="E2502" t="s">
        <v>13</v>
      </c>
      <c r="F2502" t="s">
        <v>19</v>
      </c>
      <c r="G2502" t="s">
        <v>29</v>
      </c>
      <c r="K2502" cm="1">
        <f t="array" ref="K2502">_xlfn.SWITCH(LeadsData[[#This Row],[Funnel Stage Reached]],"Lead",1,"MQL",2,"SQL",3,"Customer",4)</f>
        <v>3</v>
      </c>
      <c r="L2502" t="str">
        <f>TEXT(LeadsData[[#This Row],[Signup Date]],"mmm-yyyy")</f>
        <v>May-2024</v>
      </c>
      <c r="M2502">
        <f>IF(LeadsData[[#This Row],[Stage Number]]&gt;=2,1,0)</f>
        <v>1</v>
      </c>
      <c r="N2502" s="2">
        <f>IF(LeadsData[[#This Row],[Stage Number]]&gt;=3,1,0)</f>
        <v>1</v>
      </c>
      <c r="O2502" s="2">
        <f>IF(LeadsData[[#This Row],[Stage Number]]&gt;=4,1,0)</f>
        <v>0</v>
      </c>
    </row>
    <row r="2503" spans="1:15" x14ac:dyDescent="0.25">
      <c r="A2503" t="s">
        <v>2543</v>
      </c>
      <c r="B2503" s="1">
        <v>45390</v>
      </c>
      <c r="C2503" t="s">
        <v>25</v>
      </c>
      <c r="D2503" t="s">
        <v>26</v>
      </c>
      <c r="E2503" t="s">
        <v>13</v>
      </c>
      <c r="F2503" t="s">
        <v>14</v>
      </c>
      <c r="G2503" t="s">
        <v>15</v>
      </c>
      <c r="K2503" cm="1">
        <f t="array" ref="K2503">_xlfn.SWITCH(LeadsData[[#This Row],[Funnel Stage Reached]],"Lead",1,"MQL",2,"SQL",3,"Customer",4)</f>
        <v>1</v>
      </c>
      <c r="L2503" t="str">
        <f>TEXT(LeadsData[[#This Row],[Signup Date]],"mmm-yyyy")</f>
        <v>Apr-2024</v>
      </c>
      <c r="M2503">
        <f>IF(LeadsData[[#This Row],[Stage Number]]&gt;=2,1,0)</f>
        <v>0</v>
      </c>
      <c r="N2503" s="2">
        <f>IF(LeadsData[[#This Row],[Stage Number]]&gt;=3,1,0)</f>
        <v>0</v>
      </c>
      <c r="O2503" s="2">
        <f>IF(LeadsData[[#This Row],[Stage Number]]&gt;=4,1,0)</f>
        <v>0</v>
      </c>
    </row>
    <row r="2504" spans="1:15" x14ac:dyDescent="0.25">
      <c r="A2504" t="s">
        <v>2544</v>
      </c>
      <c r="B2504" s="1">
        <v>45559</v>
      </c>
      <c r="C2504" t="s">
        <v>46</v>
      </c>
      <c r="D2504" t="s">
        <v>56</v>
      </c>
      <c r="E2504" t="s">
        <v>21</v>
      </c>
      <c r="F2504" t="s">
        <v>19</v>
      </c>
      <c r="G2504" t="s">
        <v>15</v>
      </c>
      <c r="K2504" cm="1">
        <f t="array" ref="K2504">_xlfn.SWITCH(LeadsData[[#This Row],[Funnel Stage Reached]],"Lead",1,"MQL",2,"SQL",3,"Customer",4)</f>
        <v>1</v>
      </c>
      <c r="L2504" t="str">
        <f>TEXT(LeadsData[[#This Row],[Signup Date]],"mmm-yyyy")</f>
        <v>Sep-2024</v>
      </c>
      <c r="M2504">
        <f>IF(LeadsData[[#This Row],[Stage Number]]&gt;=2,1,0)</f>
        <v>0</v>
      </c>
      <c r="N2504" s="2">
        <f>IF(LeadsData[[#This Row],[Stage Number]]&gt;=3,1,0)</f>
        <v>0</v>
      </c>
      <c r="O2504" s="2">
        <f>IF(LeadsData[[#This Row],[Stage Number]]&gt;=4,1,0)</f>
        <v>0</v>
      </c>
    </row>
    <row r="2505" spans="1:15" x14ac:dyDescent="0.25">
      <c r="A2505" t="s">
        <v>2545</v>
      </c>
      <c r="B2505" s="1">
        <v>45481</v>
      </c>
      <c r="C2505" t="s">
        <v>31</v>
      </c>
      <c r="D2505" t="s">
        <v>34</v>
      </c>
      <c r="E2505" t="s">
        <v>48</v>
      </c>
      <c r="F2505" t="s">
        <v>14</v>
      </c>
      <c r="G2505" t="s">
        <v>15</v>
      </c>
      <c r="K2505" cm="1">
        <f t="array" ref="K2505">_xlfn.SWITCH(LeadsData[[#This Row],[Funnel Stage Reached]],"Lead",1,"MQL",2,"SQL",3,"Customer",4)</f>
        <v>1</v>
      </c>
      <c r="L2505" t="str">
        <f>TEXT(LeadsData[[#This Row],[Signup Date]],"mmm-yyyy")</f>
        <v>Jul-2024</v>
      </c>
      <c r="M2505">
        <f>IF(LeadsData[[#This Row],[Stage Number]]&gt;=2,1,0)</f>
        <v>0</v>
      </c>
      <c r="N2505" s="2">
        <f>IF(LeadsData[[#This Row],[Stage Number]]&gt;=3,1,0)</f>
        <v>0</v>
      </c>
      <c r="O2505" s="2">
        <f>IF(LeadsData[[#This Row],[Stage Number]]&gt;=4,1,0)</f>
        <v>0</v>
      </c>
    </row>
    <row r="2506" spans="1:15" x14ac:dyDescent="0.25">
      <c r="A2506" t="s">
        <v>2546</v>
      </c>
      <c r="B2506" s="1">
        <v>45632</v>
      </c>
      <c r="C2506" t="s">
        <v>46</v>
      </c>
      <c r="D2506" t="s">
        <v>56</v>
      </c>
      <c r="E2506" t="s">
        <v>13</v>
      </c>
      <c r="F2506" t="s">
        <v>19</v>
      </c>
      <c r="G2506" t="s">
        <v>15</v>
      </c>
      <c r="K2506" cm="1">
        <f t="array" ref="K2506">_xlfn.SWITCH(LeadsData[[#This Row],[Funnel Stage Reached]],"Lead",1,"MQL",2,"SQL",3,"Customer",4)</f>
        <v>1</v>
      </c>
      <c r="L2506" t="str">
        <f>TEXT(LeadsData[[#This Row],[Signup Date]],"mmm-yyyy")</f>
        <v>Dec-2024</v>
      </c>
      <c r="M2506">
        <f>IF(LeadsData[[#This Row],[Stage Number]]&gt;=2,1,0)</f>
        <v>0</v>
      </c>
      <c r="N2506" s="2">
        <f>IF(LeadsData[[#This Row],[Stage Number]]&gt;=3,1,0)</f>
        <v>0</v>
      </c>
      <c r="O2506" s="2">
        <f>IF(LeadsData[[#This Row],[Stage Number]]&gt;=4,1,0)</f>
        <v>0</v>
      </c>
    </row>
    <row r="2507" spans="1:15" x14ac:dyDescent="0.25">
      <c r="A2507" t="s">
        <v>2547</v>
      </c>
      <c r="B2507" s="1">
        <v>45636</v>
      </c>
      <c r="C2507" t="s">
        <v>31</v>
      </c>
      <c r="D2507" t="s">
        <v>32</v>
      </c>
      <c r="E2507" t="s">
        <v>21</v>
      </c>
      <c r="F2507" t="s">
        <v>22</v>
      </c>
      <c r="G2507" t="s">
        <v>15</v>
      </c>
      <c r="K2507" cm="1">
        <f t="array" ref="K2507">_xlfn.SWITCH(LeadsData[[#This Row],[Funnel Stage Reached]],"Lead",1,"MQL",2,"SQL",3,"Customer",4)</f>
        <v>1</v>
      </c>
      <c r="L2507" t="str">
        <f>TEXT(LeadsData[[#This Row],[Signup Date]],"mmm-yyyy")</f>
        <v>Dec-2024</v>
      </c>
      <c r="M2507">
        <f>IF(LeadsData[[#This Row],[Stage Number]]&gt;=2,1,0)</f>
        <v>0</v>
      </c>
      <c r="N2507" s="2">
        <f>IF(LeadsData[[#This Row],[Stage Number]]&gt;=3,1,0)</f>
        <v>0</v>
      </c>
      <c r="O2507" s="2">
        <f>IF(LeadsData[[#This Row],[Stage Number]]&gt;=4,1,0)</f>
        <v>0</v>
      </c>
    </row>
    <row r="2508" spans="1:15" x14ac:dyDescent="0.25">
      <c r="A2508" t="s">
        <v>2548</v>
      </c>
      <c r="B2508" s="1">
        <v>45586</v>
      </c>
      <c r="C2508" t="s">
        <v>11</v>
      </c>
      <c r="D2508" t="s">
        <v>79</v>
      </c>
      <c r="E2508" t="s">
        <v>48</v>
      </c>
      <c r="F2508" t="s">
        <v>19</v>
      </c>
      <c r="G2508" t="s">
        <v>23</v>
      </c>
      <c r="K2508" cm="1">
        <f t="array" ref="K2508">_xlfn.SWITCH(LeadsData[[#This Row],[Funnel Stage Reached]],"Lead",1,"MQL",2,"SQL",3,"Customer",4)</f>
        <v>2</v>
      </c>
      <c r="L2508" t="str">
        <f>TEXT(LeadsData[[#This Row],[Signup Date]],"mmm-yyyy")</f>
        <v>Oct-2024</v>
      </c>
      <c r="M2508">
        <f>IF(LeadsData[[#This Row],[Stage Number]]&gt;=2,1,0)</f>
        <v>1</v>
      </c>
      <c r="N2508" s="2">
        <f>IF(LeadsData[[#This Row],[Stage Number]]&gt;=3,1,0)</f>
        <v>0</v>
      </c>
      <c r="O2508" s="2">
        <f>IF(LeadsData[[#This Row],[Stage Number]]&gt;=4,1,0)</f>
        <v>0</v>
      </c>
    </row>
    <row r="2509" spans="1:15" x14ac:dyDescent="0.25">
      <c r="A2509" t="s">
        <v>2549</v>
      </c>
      <c r="B2509" s="1">
        <v>45301</v>
      </c>
      <c r="C2509" t="s">
        <v>17</v>
      </c>
      <c r="D2509" t="s">
        <v>53</v>
      </c>
      <c r="E2509" t="s">
        <v>13</v>
      </c>
      <c r="F2509" t="s">
        <v>22</v>
      </c>
      <c r="G2509" t="s">
        <v>23</v>
      </c>
      <c r="K2509" cm="1">
        <f t="array" ref="K2509">_xlfn.SWITCH(LeadsData[[#This Row],[Funnel Stage Reached]],"Lead",1,"MQL",2,"SQL",3,"Customer",4)</f>
        <v>2</v>
      </c>
      <c r="L2509" t="str">
        <f>TEXT(LeadsData[[#This Row],[Signup Date]],"mmm-yyyy")</f>
        <v>Jan-2024</v>
      </c>
      <c r="M2509">
        <f>IF(LeadsData[[#This Row],[Stage Number]]&gt;=2,1,0)</f>
        <v>1</v>
      </c>
      <c r="N2509" s="2">
        <f>IF(LeadsData[[#This Row],[Stage Number]]&gt;=3,1,0)</f>
        <v>0</v>
      </c>
      <c r="O2509" s="2">
        <f>IF(LeadsData[[#This Row],[Stage Number]]&gt;=4,1,0)</f>
        <v>0</v>
      </c>
    </row>
    <row r="2510" spans="1:15" x14ac:dyDescent="0.25">
      <c r="A2510" t="s">
        <v>2550</v>
      </c>
      <c r="B2510" s="1">
        <v>45523</v>
      </c>
      <c r="C2510" t="s">
        <v>31</v>
      </c>
      <c r="D2510" t="s">
        <v>32</v>
      </c>
      <c r="E2510" t="s">
        <v>21</v>
      </c>
      <c r="F2510" t="s">
        <v>22</v>
      </c>
      <c r="G2510" t="s">
        <v>29</v>
      </c>
      <c r="K2510" cm="1">
        <f t="array" ref="K2510">_xlfn.SWITCH(LeadsData[[#This Row],[Funnel Stage Reached]],"Lead",1,"MQL",2,"SQL",3,"Customer",4)</f>
        <v>3</v>
      </c>
      <c r="L2510" t="str">
        <f>TEXT(LeadsData[[#This Row],[Signup Date]],"mmm-yyyy")</f>
        <v>Aug-2024</v>
      </c>
      <c r="M2510">
        <f>IF(LeadsData[[#This Row],[Stage Number]]&gt;=2,1,0)</f>
        <v>1</v>
      </c>
      <c r="N2510" s="2">
        <f>IF(LeadsData[[#This Row],[Stage Number]]&gt;=3,1,0)</f>
        <v>1</v>
      </c>
      <c r="O2510" s="2">
        <f>IF(LeadsData[[#This Row],[Stage Number]]&gt;=4,1,0)</f>
        <v>0</v>
      </c>
    </row>
    <row r="2511" spans="1:15" x14ac:dyDescent="0.25">
      <c r="A2511" t="s">
        <v>2551</v>
      </c>
      <c r="B2511" s="1">
        <v>45335</v>
      </c>
      <c r="C2511" t="s">
        <v>31</v>
      </c>
      <c r="D2511" t="s">
        <v>32</v>
      </c>
      <c r="E2511" t="s">
        <v>13</v>
      </c>
      <c r="F2511" t="s">
        <v>14</v>
      </c>
      <c r="G2511" t="s">
        <v>29</v>
      </c>
      <c r="K2511" cm="1">
        <f t="array" ref="K2511">_xlfn.SWITCH(LeadsData[[#This Row],[Funnel Stage Reached]],"Lead",1,"MQL",2,"SQL",3,"Customer",4)</f>
        <v>3</v>
      </c>
      <c r="L2511" t="str">
        <f>TEXT(LeadsData[[#This Row],[Signup Date]],"mmm-yyyy")</f>
        <v>Feb-2024</v>
      </c>
      <c r="M2511">
        <f>IF(LeadsData[[#This Row],[Stage Number]]&gt;=2,1,0)</f>
        <v>1</v>
      </c>
      <c r="N2511" s="2">
        <f>IF(LeadsData[[#This Row],[Stage Number]]&gt;=3,1,0)</f>
        <v>1</v>
      </c>
      <c r="O2511" s="2">
        <f>IF(LeadsData[[#This Row],[Stage Number]]&gt;=4,1,0)</f>
        <v>0</v>
      </c>
    </row>
    <row r="2512" spans="1:15" x14ac:dyDescent="0.25">
      <c r="A2512" t="s">
        <v>2552</v>
      </c>
      <c r="B2512" s="1">
        <v>45653</v>
      </c>
      <c r="C2512" t="s">
        <v>17</v>
      </c>
      <c r="D2512" t="s">
        <v>53</v>
      </c>
      <c r="E2512" t="s">
        <v>13</v>
      </c>
      <c r="F2512" t="s">
        <v>14</v>
      </c>
      <c r="G2512" t="s">
        <v>15</v>
      </c>
      <c r="K2512" cm="1">
        <f t="array" ref="K2512">_xlfn.SWITCH(LeadsData[[#This Row],[Funnel Stage Reached]],"Lead",1,"MQL",2,"SQL",3,"Customer",4)</f>
        <v>1</v>
      </c>
      <c r="L2512" t="str">
        <f>TEXT(LeadsData[[#This Row],[Signup Date]],"mmm-yyyy")</f>
        <v>Dec-2024</v>
      </c>
      <c r="M2512">
        <f>IF(LeadsData[[#This Row],[Stage Number]]&gt;=2,1,0)</f>
        <v>0</v>
      </c>
      <c r="N2512" s="2">
        <f>IF(LeadsData[[#This Row],[Stage Number]]&gt;=3,1,0)</f>
        <v>0</v>
      </c>
      <c r="O2512" s="2">
        <f>IF(LeadsData[[#This Row],[Stage Number]]&gt;=4,1,0)</f>
        <v>0</v>
      </c>
    </row>
    <row r="2513" spans="1:15" x14ac:dyDescent="0.25">
      <c r="A2513" t="s">
        <v>2553</v>
      </c>
      <c r="B2513" s="1">
        <v>45316</v>
      </c>
      <c r="C2513" t="s">
        <v>25</v>
      </c>
      <c r="D2513" t="s">
        <v>26</v>
      </c>
      <c r="E2513" t="s">
        <v>13</v>
      </c>
      <c r="F2513" t="s">
        <v>19</v>
      </c>
      <c r="G2513" t="s">
        <v>15</v>
      </c>
      <c r="K2513" cm="1">
        <f t="array" ref="K2513">_xlfn.SWITCH(LeadsData[[#This Row],[Funnel Stage Reached]],"Lead",1,"MQL",2,"SQL",3,"Customer",4)</f>
        <v>1</v>
      </c>
      <c r="L2513" t="str">
        <f>TEXT(LeadsData[[#This Row],[Signup Date]],"mmm-yyyy")</f>
        <v>Jan-2024</v>
      </c>
      <c r="M2513">
        <f>IF(LeadsData[[#This Row],[Stage Number]]&gt;=2,1,0)</f>
        <v>0</v>
      </c>
      <c r="N2513" s="2">
        <f>IF(LeadsData[[#This Row],[Stage Number]]&gt;=3,1,0)</f>
        <v>0</v>
      </c>
      <c r="O2513" s="2">
        <f>IF(LeadsData[[#This Row],[Stage Number]]&gt;=4,1,0)</f>
        <v>0</v>
      </c>
    </row>
    <row r="2514" spans="1:15" x14ac:dyDescent="0.25">
      <c r="A2514" t="s">
        <v>2554</v>
      </c>
      <c r="B2514" s="1">
        <v>45562</v>
      </c>
      <c r="C2514" t="s">
        <v>36</v>
      </c>
      <c r="D2514" t="s">
        <v>50</v>
      </c>
      <c r="E2514" t="s">
        <v>13</v>
      </c>
      <c r="F2514" t="s">
        <v>22</v>
      </c>
      <c r="G2514" t="s">
        <v>23</v>
      </c>
      <c r="K2514" cm="1">
        <f t="array" ref="K2514">_xlfn.SWITCH(LeadsData[[#This Row],[Funnel Stage Reached]],"Lead",1,"MQL",2,"SQL",3,"Customer",4)</f>
        <v>2</v>
      </c>
      <c r="L2514" t="str">
        <f>TEXT(LeadsData[[#This Row],[Signup Date]],"mmm-yyyy")</f>
        <v>Sep-2024</v>
      </c>
      <c r="M2514">
        <f>IF(LeadsData[[#This Row],[Stage Number]]&gt;=2,1,0)</f>
        <v>1</v>
      </c>
      <c r="N2514" s="2">
        <f>IF(LeadsData[[#This Row],[Stage Number]]&gt;=3,1,0)</f>
        <v>0</v>
      </c>
      <c r="O2514" s="2">
        <f>IF(LeadsData[[#This Row],[Stage Number]]&gt;=4,1,0)</f>
        <v>0</v>
      </c>
    </row>
    <row r="2515" spans="1:15" x14ac:dyDescent="0.25">
      <c r="A2515" t="s">
        <v>2555</v>
      </c>
      <c r="B2515" s="1">
        <v>45641</v>
      </c>
      <c r="C2515" t="s">
        <v>31</v>
      </c>
      <c r="D2515" t="s">
        <v>32</v>
      </c>
      <c r="E2515" t="s">
        <v>13</v>
      </c>
      <c r="F2515" t="s">
        <v>14</v>
      </c>
      <c r="G2515" t="s">
        <v>15</v>
      </c>
      <c r="K2515" cm="1">
        <f t="array" ref="K2515">_xlfn.SWITCH(LeadsData[[#This Row],[Funnel Stage Reached]],"Lead",1,"MQL",2,"SQL",3,"Customer",4)</f>
        <v>1</v>
      </c>
      <c r="L2515" t="str">
        <f>TEXT(LeadsData[[#This Row],[Signup Date]],"mmm-yyyy")</f>
        <v>Dec-2024</v>
      </c>
      <c r="M2515">
        <f>IF(LeadsData[[#This Row],[Stage Number]]&gt;=2,1,0)</f>
        <v>0</v>
      </c>
      <c r="N2515" s="2">
        <f>IF(LeadsData[[#This Row],[Stage Number]]&gt;=3,1,0)</f>
        <v>0</v>
      </c>
      <c r="O2515" s="2">
        <f>IF(LeadsData[[#This Row],[Stage Number]]&gt;=4,1,0)</f>
        <v>0</v>
      </c>
    </row>
    <row r="2516" spans="1:15" x14ac:dyDescent="0.25">
      <c r="A2516" t="s">
        <v>2556</v>
      </c>
      <c r="B2516" s="1">
        <v>45593</v>
      </c>
      <c r="C2516" t="s">
        <v>17</v>
      </c>
      <c r="D2516" t="s">
        <v>53</v>
      </c>
      <c r="E2516" t="s">
        <v>21</v>
      </c>
      <c r="F2516" t="s">
        <v>22</v>
      </c>
      <c r="G2516" t="s">
        <v>23</v>
      </c>
      <c r="K2516" cm="1">
        <f t="array" ref="K2516">_xlfn.SWITCH(LeadsData[[#This Row],[Funnel Stage Reached]],"Lead",1,"MQL",2,"SQL",3,"Customer",4)</f>
        <v>2</v>
      </c>
      <c r="L2516" t="str">
        <f>TEXT(LeadsData[[#This Row],[Signup Date]],"mmm-yyyy")</f>
        <v>Oct-2024</v>
      </c>
      <c r="M2516">
        <f>IF(LeadsData[[#This Row],[Stage Number]]&gt;=2,1,0)</f>
        <v>1</v>
      </c>
      <c r="N2516" s="2">
        <f>IF(LeadsData[[#This Row],[Stage Number]]&gt;=3,1,0)</f>
        <v>0</v>
      </c>
      <c r="O2516" s="2">
        <f>IF(LeadsData[[#This Row],[Stage Number]]&gt;=4,1,0)</f>
        <v>0</v>
      </c>
    </row>
    <row r="2517" spans="1:15" x14ac:dyDescent="0.25">
      <c r="A2517" t="s">
        <v>2557</v>
      </c>
      <c r="B2517" s="1">
        <v>45368</v>
      </c>
      <c r="C2517" t="s">
        <v>11</v>
      </c>
      <c r="D2517" t="s">
        <v>12</v>
      </c>
      <c r="E2517" t="s">
        <v>13</v>
      </c>
      <c r="F2517" t="s">
        <v>19</v>
      </c>
      <c r="G2517" t="s">
        <v>23</v>
      </c>
      <c r="K2517" cm="1">
        <f t="array" ref="K2517">_xlfn.SWITCH(LeadsData[[#This Row],[Funnel Stage Reached]],"Lead",1,"MQL",2,"SQL",3,"Customer",4)</f>
        <v>2</v>
      </c>
      <c r="L2517" t="str">
        <f>TEXT(LeadsData[[#This Row],[Signup Date]],"mmm-yyyy")</f>
        <v>Mar-2024</v>
      </c>
      <c r="M2517">
        <f>IF(LeadsData[[#This Row],[Stage Number]]&gt;=2,1,0)</f>
        <v>1</v>
      </c>
      <c r="N2517" s="2">
        <f>IF(LeadsData[[#This Row],[Stage Number]]&gt;=3,1,0)</f>
        <v>0</v>
      </c>
      <c r="O2517" s="2">
        <f>IF(LeadsData[[#This Row],[Stage Number]]&gt;=4,1,0)</f>
        <v>0</v>
      </c>
    </row>
    <row r="2518" spans="1:15" x14ac:dyDescent="0.25">
      <c r="A2518" t="s">
        <v>2558</v>
      </c>
      <c r="B2518" s="1">
        <v>45377</v>
      </c>
      <c r="C2518" t="s">
        <v>25</v>
      </c>
      <c r="D2518" t="s">
        <v>26</v>
      </c>
      <c r="E2518" t="s">
        <v>13</v>
      </c>
      <c r="F2518" t="s">
        <v>19</v>
      </c>
      <c r="G2518" t="s">
        <v>15</v>
      </c>
      <c r="K2518" cm="1">
        <f t="array" ref="K2518">_xlfn.SWITCH(LeadsData[[#This Row],[Funnel Stage Reached]],"Lead",1,"MQL",2,"SQL",3,"Customer",4)</f>
        <v>1</v>
      </c>
      <c r="L2518" t="str">
        <f>TEXT(LeadsData[[#This Row],[Signup Date]],"mmm-yyyy")</f>
        <v>Mar-2024</v>
      </c>
      <c r="M2518">
        <f>IF(LeadsData[[#This Row],[Stage Number]]&gt;=2,1,0)</f>
        <v>0</v>
      </c>
      <c r="N2518" s="2">
        <f>IF(LeadsData[[#This Row],[Stage Number]]&gt;=3,1,0)</f>
        <v>0</v>
      </c>
      <c r="O2518" s="2">
        <f>IF(LeadsData[[#This Row],[Stage Number]]&gt;=4,1,0)</f>
        <v>0</v>
      </c>
    </row>
    <row r="2519" spans="1:15" x14ac:dyDescent="0.25">
      <c r="A2519" t="s">
        <v>2559</v>
      </c>
      <c r="B2519" s="1">
        <v>45440</v>
      </c>
      <c r="C2519" t="s">
        <v>31</v>
      </c>
      <c r="D2519" t="s">
        <v>34</v>
      </c>
      <c r="E2519" t="s">
        <v>21</v>
      </c>
      <c r="F2519" t="s">
        <v>22</v>
      </c>
      <c r="G2519" t="s">
        <v>15</v>
      </c>
      <c r="K2519" cm="1">
        <f t="array" ref="K2519">_xlfn.SWITCH(LeadsData[[#This Row],[Funnel Stage Reached]],"Lead",1,"MQL",2,"SQL",3,"Customer",4)</f>
        <v>1</v>
      </c>
      <c r="L2519" t="str">
        <f>TEXT(LeadsData[[#This Row],[Signup Date]],"mmm-yyyy")</f>
        <v>May-2024</v>
      </c>
      <c r="M2519">
        <f>IF(LeadsData[[#This Row],[Stage Number]]&gt;=2,1,0)</f>
        <v>0</v>
      </c>
      <c r="N2519" s="2">
        <f>IF(LeadsData[[#This Row],[Stage Number]]&gt;=3,1,0)</f>
        <v>0</v>
      </c>
      <c r="O2519" s="2">
        <f>IF(LeadsData[[#This Row],[Stage Number]]&gt;=4,1,0)</f>
        <v>0</v>
      </c>
    </row>
    <row r="2520" spans="1:15" x14ac:dyDescent="0.25">
      <c r="A2520" t="s">
        <v>2560</v>
      </c>
      <c r="B2520" s="1">
        <v>45515</v>
      </c>
      <c r="C2520" t="s">
        <v>31</v>
      </c>
      <c r="D2520" t="s">
        <v>34</v>
      </c>
      <c r="E2520" t="s">
        <v>21</v>
      </c>
      <c r="F2520" t="s">
        <v>22</v>
      </c>
      <c r="G2520" t="s">
        <v>15</v>
      </c>
      <c r="K2520" cm="1">
        <f t="array" ref="K2520">_xlfn.SWITCH(LeadsData[[#This Row],[Funnel Stage Reached]],"Lead",1,"MQL",2,"SQL",3,"Customer",4)</f>
        <v>1</v>
      </c>
      <c r="L2520" t="str">
        <f>TEXT(LeadsData[[#This Row],[Signup Date]],"mmm-yyyy")</f>
        <v>Aug-2024</v>
      </c>
      <c r="M2520">
        <f>IF(LeadsData[[#This Row],[Stage Number]]&gt;=2,1,0)</f>
        <v>0</v>
      </c>
      <c r="N2520" s="2">
        <f>IF(LeadsData[[#This Row],[Stage Number]]&gt;=3,1,0)</f>
        <v>0</v>
      </c>
      <c r="O2520" s="2">
        <f>IF(LeadsData[[#This Row],[Stage Number]]&gt;=4,1,0)</f>
        <v>0</v>
      </c>
    </row>
    <row r="2521" spans="1:15" x14ac:dyDescent="0.25">
      <c r="A2521" t="s">
        <v>2561</v>
      </c>
      <c r="B2521" s="1">
        <v>45306</v>
      </c>
      <c r="C2521" t="s">
        <v>36</v>
      </c>
      <c r="D2521" t="s">
        <v>37</v>
      </c>
      <c r="E2521" t="s">
        <v>13</v>
      </c>
      <c r="F2521" t="s">
        <v>22</v>
      </c>
      <c r="G2521" t="s">
        <v>29</v>
      </c>
      <c r="K2521" cm="1">
        <f t="array" ref="K2521">_xlfn.SWITCH(LeadsData[[#This Row],[Funnel Stage Reached]],"Lead",1,"MQL",2,"SQL",3,"Customer",4)</f>
        <v>3</v>
      </c>
      <c r="L2521" t="str">
        <f>TEXT(LeadsData[[#This Row],[Signup Date]],"mmm-yyyy")</f>
        <v>Jan-2024</v>
      </c>
      <c r="M2521">
        <f>IF(LeadsData[[#This Row],[Stage Number]]&gt;=2,1,0)</f>
        <v>1</v>
      </c>
      <c r="N2521" s="2">
        <f>IF(LeadsData[[#This Row],[Stage Number]]&gt;=3,1,0)</f>
        <v>1</v>
      </c>
      <c r="O2521" s="2">
        <f>IF(LeadsData[[#This Row],[Stage Number]]&gt;=4,1,0)</f>
        <v>0</v>
      </c>
    </row>
    <row r="2522" spans="1:15" x14ac:dyDescent="0.25">
      <c r="A2522" t="s">
        <v>2562</v>
      </c>
      <c r="B2522" s="1">
        <v>45432</v>
      </c>
      <c r="C2522" t="s">
        <v>17</v>
      </c>
      <c r="D2522" t="s">
        <v>53</v>
      </c>
      <c r="E2522" t="s">
        <v>13</v>
      </c>
      <c r="F2522" t="s">
        <v>19</v>
      </c>
      <c r="G2522" t="s">
        <v>15</v>
      </c>
      <c r="K2522" cm="1">
        <f t="array" ref="K2522">_xlfn.SWITCH(LeadsData[[#This Row],[Funnel Stage Reached]],"Lead",1,"MQL",2,"SQL",3,"Customer",4)</f>
        <v>1</v>
      </c>
      <c r="L2522" t="str">
        <f>TEXT(LeadsData[[#This Row],[Signup Date]],"mmm-yyyy")</f>
        <v>May-2024</v>
      </c>
      <c r="M2522">
        <f>IF(LeadsData[[#This Row],[Stage Number]]&gt;=2,1,0)</f>
        <v>0</v>
      </c>
      <c r="N2522" s="2">
        <f>IF(LeadsData[[#This Row],[Stage Number]]&gt;=3,1,0)</f>
        <v>0</v>
      </c>
      <c r="O2522" s="2">
        <f>IF(LeadsData[[#This Row],[Stage Number]]&gt;=4,1,0)</f>
        <v>0</v>
      </c>
    </row>
    <row r="2523" spans="1:15" x14ac:dyDescent="0.25">
      <c r="A2523" t="s">
        <v>2563</v>
      </c>
      <c r="B2523" s="1">
        <v>45370</v>
      </c>
      <c r="C2523" t="s">
        <v>46</v>
      </c>
      <c r="D2523" t="s">
        <v>56</v>
      </c>
      <c r="E2523" t="s">
        <v>21</v>
      </c>
      <c r="F2523" t="s">
        <v>19</v>
      </c>
      <c r="G2523" t="s">
        <v>15</v>
      </c>
      <c r="K2523" cm="1">
        <f t="array" ref="K2523">_xlfn.SWITCH(LeadsData[[#This Row],[Funnel Stage Reached]],"Lead",1,"MQL",2,"SQL",3,"Customer",4)</f>
        <v>1</v>
      </c>
      <c r="L2523" t="str">
        <f>TEXT(LeadsData[[#This Row],[Signup Date]],"mmm-yyyy")</f>
        <v>Mar-2024</v>
      </c>
      <c r="M2523">
        <f>IF(LeadsData[[#This Row],[Stage Number]]&gt;=2,1,0)</f>
        <v>0</v>
      </c>
      <c r="N2523" s="2">
        <f>IF(LeadsData[[#This Row],[Stage Number]]&gt;=3,1,0)</f>
        <v>0</v>
      </c>
      <c r="O2523" s="2">
        <f>IF(LeadsData[[#This Row],[Stage Number]]&gt;=4,1,0)</f>
        <v>0</v>
      </c>
    </row>
    <row r="2524" spans="1:15" x14ac:dyDescent="0.25">
      <c r="A2524" t="s">
        <v>2564</v>
      </c>
      <c r="B2524" s="1">
        <v>45418</v>
      </c>
      <c r="C2524" t="s">
        <v>46</v>
      </c>
      <c r="D2524" t="s">
        <v>56</v>
      </c>
      <c r="E2524" t="s">
        <v>48</v>
      </c>
      <c r="F2524" t="s">
        <v>14</v>
      </c>
      <c r="G2524" t="s">
        <v>29</v>
      </c>
      <c r="K2524" cm="1">
        <f t="array" ref="K2524">_xlfn.SWITCH(LeadsData[[#This Row],[Funnel Stage Reached]],"Lead",1,"MQL",2,"SQL",3,"Customer",4)</f>
        <v>3</v>
      </c>
      <c r="L2524" t="str">
        <f>TEXT(LeadsData[[#This Row],[Signup Date]],"mmm-yyyy")</f>
        <v>May-2024</v>
      </c>
      <c r="M2524">
        <f>IF(LeadsData[[#This Row],[Stage Number]]&gt;=2,1,0)</f>
        <v>1</v>
      </c>
      <c r="N2524" s="2">
        <f>IF(LeadsData[[#This Row],[Stage Number]]&gt;=3,1,0)</f>
        <v>1</v>
      </c>
      <c r="O2524" s="2">
        <f>IF(LeadsData[[#This Row],[Stage Number]]&gt;=4,1,0)</f>
        <v>0</v>
      </c>
    </row>
    <row r="2525" spans="1:15" x14ac:dyDescent="0.25">
      <c r="A2525" t="s">
        <v>2565</v>
      </c>
      <c r="B2525" s="1">
        <v>45462</v>
      </c>
      <c r="C2525" t="s">
        <v>25</v>
      </c>
      <c r="D2525" t="s">
        <v>26</v>
      </c>
      <c r="E2525" t="s">
        <v>13</v>
      </c>
      <c r="F2525" t="s">
        <v>19</v>
      </c>
      <c r="G2525" t="s">
        <v>29</v>
      </c>
      <c r="K2525" cm="1">
        <f t="array" ref="K2525">_xlfn.SWITCH(LeadsData[[#This Row],[Funnel Stage Reached]],"Lead",1,"MQL",2,"SQL",3,"Customer",4)</f>
        <v>3</v>
      </c>
      <c r="L2525" t="str">
        <f>TEXT(LeadsData[[#This Row],[Signup Date]],"mmm-yyyy")</f>
        <v>Jun-2024</v>
      </c>
      <c r="M2525">
        <f>IF(LeadsData[[#This Row],[Stage Number]]&gt;=2,1,0)</f>
        <v>1</v>
      </c>
      <c r="N2525" s="2">
        <f>IF(LeadsData[[#This Row],[Stage Number]]&gt;=3,1,0)</f>
        <v>1</v>
      </c>
      <c r="O2525" s="2">
        <f>IF(LeadsData[[#This Row],[Stage Number]]&gt;=4,1,0)</f>
        <v>0</v>
      </c>
    </row>
    <row r="2526" spans="1:15" x14ac:dyDescent="0.25">
      <c r="A2526" t="s">
        <v>2566</v>
      </c>
      <c r="B2526" s="1">
        <v>45574</v>
      </c>
      <c r="C2526" t="s">
        <v>17</v>
      </c>
      <c r="D2526" t="s">
        <v>53</v>
      </c>
      <c r="E2526" t="s">
        <v>48</v>
      </c>
      <c r="F2526" t="s">
        <v>19</v>
      </c>
      <c r="G2526" t="s">
        <v>15</v>
      </c>
      <c r="K2526" cm="1">
        <f t="array" ref="K2526">_xlfn.SWITCH(LeadsData[[#This Row],[Funnel Stage Reached]],"Lead",1,"MQL",2,"SQL",3,"Customer",4)</f>
        <v>1</v>
      </c>
      <c r="L2526" t="str">
        <f>TEXT(LeadsData[[#This Row],[Signup Date]],"mmm-yyyy")</f>
        <v>Oct-2024</v>
      </c>
      <c r="M2526">
        <f>IF(LeadsData[[#This Row],[Stage Number]]&gt;=2,1,0)</f>
        <v>0</v>
      </c>
      <c r="N2526" s="2">
        <f>IF(LeadsData[[#This Row],[Stage Number]]&gt;=3,1,0)</f>
        <v>0</v>
      </c>
      <c r="O2526" s="2">
        <f>IF(LeadsData[[#This Row],[Stage Number]]&gt;=4,1,0)</f>
        <v>0</v>
      </c>
    </row>
    <row r="2527" spans="1:15" x14ac:dyDescent="0.25">
      <c r="A2527" t="s">
        <v>2567</v>
      </c>
      <c r="B2527" s="1">
        <v>45337</v>
      </c>
      <c r="C2527" t="s">
        <v>11</v>
      </c>
      <c r="D2527" t="s">
        <v>79</v>
      </c>
      <c r="E2527" t="s">
        <v>21</v>
      </c>
      <c r="F2527" t="s">
        <v>22</v>
      </c>
      <c r="G2527" t="s">
        <v>15</v>
      </c>
      <c r="K2527" cm="1">
        <f t="array" ref="K2527">_xlfn.SWITCH(LeadsData[[#This Row],[Funnel Stage Reached]],"Lead",1,"MQL",2,"SQL",3,"Customer",4)</f>
        <v>1</v>
      </c>
      <c r="L2527" t="str">
        <f>TEXT(LeadsData[[#This Row],[Signup Date]],"mmm-yyyy")</f>
        <v>Feb-2024</v>
      </c>
      <c r="M2527">
        <f>IF(LeadsData[[#This Row],[Stage Number]]&gt;=2,1,0)</f>
        <v>0</v>
      </c>
      <c r="N2527" s="2">
        <f>IF(LeadsData[[#This Row],[Stage Number]]&gt;=3,1,0)</f>
        <v>0</v>
      </c>
      <c r="O2527" s="2">
        <f>IF(LeadsData[[#This Row],[Stage Number]]&gt;=4,1,0)</f>
        <v>0</v>
      </c>
    </row>
    <row r="2528" spans="1:15" x14ac:dyDescent="0.25">
      <c r="A2528" t="s">
        <v>2568</v>
      </c>
      <c r="B2528" s="1">
        <v>45300</v>
      </c>
      <c r="C2528" t="s">
        <v>11</v>
      </c>
      <c r="D2528" t="s">
        <v>79</v>
      </c>
      <c r="E2528" t="s">
        <v>13</v>
      </c>
      <c r="F2528" t="s">
        <v>22</v>
      </c>
      <c r="G2528" t="s">
        <v>23</v>
      </c>
      <c r="K2528" cm="1">
        <f t="array" ref="K2528">_xlfn.SWITCH(LeadsData[[#This Row],[Funnel Stage Reached]],"Lead",1,"MQL",2,"SQL",3,"Customer",4)</f>
        <v>2</v>
      </c>
      <c r="L2528" t="str">
        <f>TEXT(LeadsData[[#This Row],[Signup Date]],"mmm-yyyy")</f>
        <v>Jan-2024</v>
      </c>
      <c r="M2528">
        <f>IF(LeadsData[[#This Row],[Stage Number]]&gt;=2,1,0)</f>
        <v>1</v>
      </c>
      <c r="N2528" s="2">
        <f>IF(LeadsData[[#This Row],[Stage Number]]&gt;=3,1,0)</f>
        <v>0</v>
      </c>
      <c r="O2528" s="2">
        <f>IF(LeadsData[[#This Row],[Stage Number]]&gt;=4,1,0)</f>
        <v>0</v>
      </c>
    </row>
    <row r="2529" spans="1:15" x14ac:dyDescent="0.25">
      <c r="A2529" t="s">
        <v>2569</v>
      </c>
      <c r="B2529" s="1">
        <v>45410</v>
      </c>
      <c r="C2529" t="s">
        <v>25</v>
      </c>
      <c r="D2529" t="s">
        <v>26</v>
      </c>
      <c r="E2529" t="s">
        <v>21</v>
      </c>
      <c r="F2529" t="s">
        <v>19</v>
      </c>
      <c r="G2529" t="s">
        <v>15</v>
      </c>
      <c r="K2529" cm="1">
        <f t="array" ref="K2529">_xlfn.SWITCH(LeadsData[[#This Row],[Funnel Stage Reached]],"Lead",1,"MQL",2,"SQL",3,"Customer",4)</f>
        <v>1</v>
      </c>
      <c r="L2529" t="str">
        <f>TEXT(LeadsData[[#This Row],[Signup Date]],"mmm-yyyy")</f>
        <v>Apr-2024</v>
      </c>
      <c r="M2529">
        <f>IF(LeadsData[[#This Row],[Stage Number]]&gt;=2,1,0)</f>
        <v>0</v>
      </c>
      <c r="N2529" s="2">
        <f>IF(LeadsData[[#This Row],[Stage Number]]&gt;=3,1,0)</f>
        <v>0</v>
      </c>
      <c r="O2529" s="2">
        <f>IF(LeadsData[[#This Row],[Stage Number]]&gt;=4,1,0)</f>
        <v>0</v>
      </c>
    </row>
    <row r="2530" spans="1:15" x14ac:dyDescent="0.25">
      <c r="A2530" t="s">
        <v>2570</v>
      </c>
      <c r="B2530" s="1">
        <v>45464</v>
      </c>
      <c r="C2530" t="s">
        <v>11</v>
      </c>
      <c r="D2530" t="s">
        <v>12</v>
      </c>
      <c r="E2530" t="s">
        <v>13</v>
      </c>
      <c r="F2530" t="s">
        <v>14</v>
      </c>
      <c r="G2530" t="s">
        <v>15</v>
      </c>
      <c r="K2530" cm="1">
        <f t="array" ref="K2530">_xlfn.SWITCH(LeadsData[[#This Row],[Funnel Stage Reached]],"Lead",1,"MQL",2,"SQL",3,"Customer",4)</f>
        <v>1</v>
      </c>
      <c r="L2530" t="str">
        <f>TEXT(LeadsData[[#This Row],[Signup Date]],"mmm-yyyy")</f>
        <v>Jun-2024</v>
      </c>
      <c r="M2530">
        <f>IF(LeadsData[[#This Row],[Stage Number]]&gt;=2,1,0)</f>
        <v>0</v>
      </c>
      <c r="N2530" s="2">
        <f>IF(LeadsData[[#This Row],[Stage Number]]&gt;=3,1,0)</f>
        <v>0</v>
      </c>
      <c r="O2530" s="2">
        <f>IF(LeadsData[[#This Row],[Stage Number]]&gt;=4,1,0)</f>
        <v>0</v>
      </c>
    </row>
    <row r="2531" spans="1:15" x14ac:dyDescent="0.25">
      <c r="A2531" t="s">
        <v>2571</v>
      </c>
      <c r="B2531" s="1">
        <v>45476</v>
      </c>
      <c r="C2531" t="s">
        <v>11</v>
      </c>
      <c r="D2531" t="s">
        <v>12</v>
      </c>
      <c r="E2531" t="s">
        <v>21</v>
      </c>
      <c r="F2531" t="s">
        <v>14</v>
      </c>
      <c r="G2531" t="s">
        <v>23</v>
      </c>
      <c r="K2531" cm="1">
        <f t="array" ref="K2531">_xlfn.SWITCH(LeadsData[[#This Row],[Funnel Stage Reached]],"Lead",1,"MQL",2,"SQL",3,"Customer",4)</f>
        <v>2</v>
      </c>
      <c r="L2531" t="str">
        <f>TEXT(LeadsData[[#This Row],[Signup Date]],"mmm-yyyy")</f>
        <v>Jul-2024</v>
      </c>
      <c r="M2531">
        <f>IF(LeadsData[[#This Row],[Stage Number]]&gt;=2,1,0)</f>
        <v>1</v>
      </c>
      <c r="N2531" s="2">
        <f>IF(LeadsData[[#This Row],[Stage Number]]&gt;=3,1,0)</f>
        <v>0</v>
      </c>
      <c r="O2531" s="2">
        <f>IF(LeadsData[[#This Row],[Stage Number]]&gt;=4,1,0)</f>
        <v>0</v>
      </c>
    </row>
    <row r="2532" spans="1:15" x14ac:dyDescent="0.25">
      <c r="A2532" t="s">
        <v>2572</v>
      </c>
      <c r="B2532" s="1">
        <v>45434</v>
      </c>
      <c r="C2532" t="s">
        <v>11</v>
      </c>
      <c r="D2532" t="s">
        <v>12</v>
      </c>
      <c r="E2532" t="s">
        <v>13</v>
      </c>
      <c r="F2532" t="s">
        <v>28</v>
      </c>
      <c r="G2532" t="s">
        <v>23</v>
      </c>
      <c r="K2532" cm="1">
        <f t="array" ref="K2532">_xlfn.SWITCH(LeadsData[[#This Row],[Funnel Stage Reached]],"Lead",1,"MQL",2,"SQL",3,"Customer",4)</f>
        <v>2</v>
      </c>
      <c r="L2532" t="str">
        <f>TEXT(LeadsData[[#This Row],[Signup Date]],"mmm-yyyy")</f>
        <v>May-2024</v>
      </c>
      <c r="M2532">
        <f>IF(LeadsData[[#This Row],[Stage Number]]&gt;=2,1,0)</f>
        <v>1</v>
      </c>
      <c r="N2532" s="2">
        <f>IF(LeadsData[[#This Row],[Stage Number]]&gt;=3,1,0)</f>
        <v>0</v>
      </c>
      <c r="O2532" s="2">
        <f>IF(LeadsData[[#This Row],[Stage Number]]&gt;=4,1,0)</f>
        <v>0</v>
      </c>
    </row>
    <row r="2533" spans="1:15" x14ac:dyDescent="0.25">
      <c r="A2533" t="s">
        <v>2573</v>
      </c>
      <c r="B2533" s="1">
        <v>45647</v>
      </c>
      <c r="C2533" t="s">
        <v>31</v>
      </c>
      <c r="D2533" t="s">
        <v>32</v>
      </c>
      <c r="E2533" t="s">
        <v>13</v>
      </c>
      <c r="F2533" t="s">
        <v>22</v>
      </c>
      <c r="G2533" t="s">
        <v>29</v>
      </c>
      <c r="K2533" cm="1">
        <f t="array" ref="K2533">_xlfn.SWITCH(LeadsData[[#This Row],[Funnel Stage Reached]],"Lead",1,"MQL",2,"SQL",3,"Customer",4)</f>
        <v>3</v>
      </c>
      <c r="L2533" t="str">
        <f>TEXT(LeadsData[[#This Row],[Signup Date]],"mmm-yyyy")</f>
        <v>Dec-2024</v>
      </c>
      <c r="M2533">
        <f>IF(LeadsData[[#This Row],[Stage Number]]&gt;=2,1,0)</f>
        <v>1</v>
      </c>
      <c r="N2533" s="2">
        <f>IF(LeadsData[[#This Row],[Stage Number]]&gt;=3,1,0)</f>
        <v>1</v>
      </c>
      <c r="O2533" s="2">
        <f>IF(LeadsData[[#This Row],[Stage Number]]&gt;=4,1,0)</f>
        <v>0</v>
      </c>
    </row>
    <row r="2534" spans="1:15" x14ac:dyDescent="0.25">
      <c r="A2534" t="s">
        <v>2574</v>
      </c>
      <c r="B2534" s="1">
        <v>45635</v>
      </c>
      <c r="C2534" t="s">
        <v>25</v>
      </c>
      <c r="D2534" t="s">
        <v>26</v>
      </c>
      <c r="E2534" t="s">
        <v>13</v>
      </c>
      <c r="F2534" t="s">
        <v>19</v>
      </c>
      <c r="G2534" t="s">
        <v>23</v>
      </c>
      <c r="K2534" cm="1">
        <f t="array" ref="K2534">_xlfn.SWITCH(LeadsData[[#This Row],[Funnel Stage Reached]],"Lead",1,"MQL",2,"SQL",3,"Customer",4)</f>
        <v>2</v>
      </c>
      <c r="L2534" t="str">
        <f>TEXT(LeadsData[[#This Row],[Signup Date]],"mmm-yyyy")</f>
        <v>Dec-2024</v>
      </c>
      <c r="M2534">
        <f>IF(LeadsData[[#This Row],[Stage Number]]&gt;=2,1,0)</f>
        <v>1</v>
      </c>
      <c r="N2534" s="2">
        <f>IF(LeadsData[[#This Row],[Stage Number]]&gt;=3,1,0)</f>
        <v>0</v>
      </c>
      <c r="O2534" s="2">
        <f>IF(LeadsData[[#This Row],[Stage Number]]&gt;=4,1,0)</f>
        <v>0</v>
      </c>
    </row>
    <row r="2535" spans="1:15" x14ac:dyDescent="0.25">
      <c r="A2535" t="s">
        <v>2575</v>
      </c>
      <c r="B2535" s="1">
        <v>45544</v>
      </c>
      <c r="C2535" t="s">
        <v>36</v>
      </c>
      <c r="D2535" t="s">
        <v>50</v>
      </c>
      <c r="E2535" t="s">
        <v>21</v>
      </c>
      <c r="F2535" t="s">
        <v>19</v>
      </c>
      <c r="G2535" t="s">
        <v>23</v>
      </c>
      <c r="K2535" cm="1">
        <f t="array" ref="K2535">_xlfn.SWITCH(LeadsData[[#This Row],[Funnel Stage Reached]],"Lead",1,"MQL",2,"SQL",3,"Customer",4)</f>
        <v>2</v>
      </c>
      <c r="L2535" t="str">
        <f>TEXT(LeadsData[[#This Row],[Signup Date]],"mmm-yyyy")</f>
        <v>Sep-2024</v>
      </c>
      <c r="M2535">
        <f>IF(LeadsData[[#This Row],[Stage Number]]&gt;=2,1,0)</f>
        <v>1</v>
      </c>
      <c r="N2535" s="2">
        <f>IF(LeadsData[[#This Row],[Stage Number]]&gt;=3,1,0)</f>
        <v>0</v>
      </c>
      <c r="O2535" s="2">
        <f>IF(LeadsData[[#This Row],[Stage Number]]&gt;=4,1,0)</f>
        <v>0</v>
      </c>
    </row>
    <row r="2536" spans="1:15" x14ac:dyDescent="0.25">
      <c r="A2536" t="s">
        <v>2576</v>
      </c>
      <c r="B2536" s="1">
        <v>45539</v>
      </c>
      <c r="C2536" t="s">
        <v>36</v>
      </c>
      <c r="D2536" t="s">
        <v>50</v>
      </c>
      <c r="E2536" t="s">
        <v>21</v>
      </c>
      <c r="F2536" t="s">
        <v>19</v>
      </c>
      <c r="G2536" t="s">
        <v>23</v>
      </c>
      <c r="K2536" cm="1">
        <f t="array" ref="K2536">_xlfn.SWITCH(LeadsData[[#This Row],[Funnel Stage Reached]],"Lead",1,"MQL",2,"SQL",3,"Customer",4)</f>
        <v>2</v>
      </c>
      <c r="L2536" t="str">
        <f>TEXT(LeadsData[[#This Row],[Signup Date]],"mmm-yyyy")</f>
        <v>Sep-2024</v>
      </c>
      <c r="M2536">
        <f>IF(LeadsData[[#This Row],[Stage Number]]&gt;=2,1,0)</f>
        <v>1</v>
      </c>
      <c r="N2536" s="2">
        <f>IF(LeadsData[[#This Row],[Stage Number]]&gt;=3,1,0)</f>
        <v>0</v>
      </c>
      <c r="O2536" s="2">
        <f>IF(LeadsData[[#This Row],[Stage Number]]&gt;=4,1,0)</f>
        <v>0</v>
      </c>
    </row>
    <row r="2537" spans="1:15" x14ac:dyDescent="0.25">
      <c r="A2537" t="s">
        <v>2577</v>
      </c>
      <c r="B2537" s="1">
        <v>45439</v>
      </c>
      <c r="C2537" t="s">
        <v>17</v>
      </c>
      <c r="D2537" t="s">
        <v>18</v>
      </c>
      <c r="E2537" t="s">
        <v>13</v>
      </c>
      <c r="F2537" t="s">
        <v>19</v>
      </c>
      <c r="G2537" t="s">
        <v>15</v>
      </c>
      <c r="K2537" cm="1">
        <f t="array" ref="K2537">_xlfn.SWITCH(LeadsData[[#This Row],[Funnel Stage Reached]],"Lead",1,"MQL",2,"SQL",3,"Customer",4)</f>
        <v>1</v>
      </c>
      <c r="L2537" t="str">
        <f>TEXT(LeadsData[[#This Row],[Signup Date]],"mmm-yyyy")</f>
        <v>May-2024</v>
      </c>
      <c r="M2537">
        <f>IF(LeadsData[[#This Row],[Stage Number]]&gt;=2,1,0)</f>
        <v>0</v>
      </c>
      <c r="N2537" s="2">
        <f>IF(LeadsData[[#This Row],[Stage Number]]&gt;=3,1,0)</f>
        <v>0</v>
      </c>
      <c r="O2537" s="2">
        <f>IF(LeadsData[[#This Row],[Stage Number]]&gt;=4,1,0)</f>
        <v>0</v>
      </c>
    </row>
    <row r="2538" spans="1:15" x14ac:dyDescent="0.25">
      <c r="A2538" t="s">
        <v>2578</v>
      </c>
      <c r="B2538" s="1">
        <v>45327</v>
      </c>
      <c r="C2538" t="s">
        <v>31</v>
      </c>
      <c r="D2538" t="s">
        <v>34</v>
      </c>
      <c r="E2538" t="s">
        <v>21</v>
      </c>
      <c r="F2538" t="s">
        <v>19</v>
      </c>
      <c r="G2538" t="s">
        <v>23</v>
      </c>
      <c r="K2538" cm="1">
        <f t="array" ref="K2538">_xlfn.SWITCH(LeadsData[[#This Row],[Funnel Stage Reached]],"Lead",1,"MQL",2,"SQL",3,"Customer",4)</f>
        <v>2</v>
      </c>
      <c r="L2538" t="str">
        <f>TEXT(LeadsData[[#This Row],[Signup Date]],"mmm-yyyy")</f>
        <v>Feb-2024</v>
      </c>
      <c r="M2538">
        <f>IF(LeadsData[[#This Row],[Stage Number]]&gt;=2,1,0)</f>
        <v>1</v>
      </c>
      <c r="N2538" s="2">
        <f>IF(LeadsData[[#This Row],[Stage Number]]&gt;=3,1,0)</f>
        <v>0</v>
      </c>
      <c r="O2538" s="2">
        <f>IF(LeadsData[[#This Row],[Stage Number]]&gt;=4,1,0)</f>
        <v>0</v>
      </c>
    </row>
    <row r="2539" spans="1:15" x14ac:dyDescent="0.25">
      <c r="A2539" t="s">
        <v>2579</v>
      </c>
      <c r="B2539" s="1">
        <v>45589</v>
      </c>
      <c r="C2539" t="s">
        <v>36</v>
      </c>
      <c r="D2539" t="s">
        <v>37</v>
      </c>
      <c r="E2539" t="s">
        <v>21</v>
      </c>
      <c r="F2539" t="s">
        <v>14</v>
      </c>
      <c r="G2539" t="s">
        <v>15</v>
      </c>
      <c r="K2539" cm="1">
        <f t="array" ref="K2539">_xlfn.SWITCH(LeadsData[[#This Row],[Funnel Stage Reached]],"Lead",1,"MQL",2,"SQL",3,"Customer",4)</f>
        <v>1</v>
      </c>
      <c r="L2539" t="str">
        <f>TEXT(LeadsData[[#This Row],[Signup Date]],"mmm-yyyy")</f>
        <v>Oct-2024</v>
      </c>
      <c r="M2539">
        <f>IF(LeadsData[[#This Row],[Stage Number]]&gt;=2,1,0)</f>
        <v>0</v>
      </c>
      <c r="N2539" s="2">
        <f>IF(LeadsData[[#This Row],[Stage Number]]&gt;=3,1,0)</f>
        <v>0</v>
      </c>
      <c r="O2539" s="2">
        <f>IF(LeadsData[[#This Row],[Stage Number]]&gt;=4,1,0)</f>
        <v>0</v>
      </c>
    </row>
    <row r="2540" spans="1:15" x14ac:dyDescent="0.25">
      <c r="A2540" t="s">
        <v>2580</v>
      </c>
      <c r="B2540" s="1">
        <v>45517</v>
      </c>
      <c r="C2540" t="s">
        <v>17</v>
      </c>
      <c r="D2540" t="s">
        <v>53</v>
      </c>
      <c r="E2540" t="s">
        <v>21</v>
      </c>
      <c r="F2540" t="s">
        <v>14</v>
      </c>
      <c r="G2540" t="s">
        <v>15</v>
      </c>
      <c r="K2540" cm="1">
        <f t="array" ref="K2540">_xlfn.SWITCH(LeadsData[[#This Row],[Funnel Stage Reached]],"Lead",1,"MQL",2,"SQL",3,"Customer",4)</f>
        <v>1</v>
      </c>
      <c r="L2540" t="str">
        <f>TEXT(LeadsData[[#This Row],[Signup Date]],"mmm-yyyy")</f>
        <v>Aug-2024</v>
      </c>
      <c r="M2540">
        <f>IF(LeadsData[[#This Row],[Stage Number]]&gt;=2,1,0)</f>
        <v>0</v>
      </c>
      <c r="N2540" s="2">
        <f>IF(LeadsData[[#This Row],[Stage Number]]&gt;=3,1,0)</f>
        <v>0</v>
      </c>
      <c r="O2540" s="2">
        <f>IF(LeadsData[[#This Row],[Stage Number]]&gt;=4,1,0)</f>
        <v>0</v>
      </c>
    </row>
    <row r="2541" spans="1:15" x14ac:dyDescent="0.25">
      <c r="A2541" t="s">
        <v>2581</v>
      </c>
      <c r="B2541" s="1">
        <v>45505</v>
      </c>
      <c r="C2541" t="s">
        <v>17</v>
      </c>
      <c r="D2541" t="s">
        <v>18</v>
      </c>
      <c r="E2541" t="s">
        <v>21</v>
      </c>
      <c r="F2541" t="s">
        <v>22</v>
      </c>
      <c r="G2541" t="s">
        <v>15</v>
      </c>
      <c r="K2541" cm="1">
        <f t="array" ref="K2541">_xlfn.SWITCH(LeadsData[[#This Row],[Funnel Stage Reached]],"Lead",1,"MQL",2,"SQL",3,"Customer",4)</f>
        <v>1</v>
      </c>
      <c r="L2541" t="str">
        <f>TEXT(LeadsData[[#This Row],[Signup Date]],"mmm-yyyy")</f>
        <v>Aug-2024</v>
      </c>
      <c r="M2541">
        <f>IF(LeadsData[[#This Row],[Stage Number]]&gt;=2,1,0)</f>
        <v>0</v>
      </c>
      <c r="N2541" s="2">
        <f>IF(LeadsData[[#This Row],[Stage Number]]&gt;=3,1,0)</f>
        <v>0</v>
      </c>
      <c r="O2541" s="2">
        <f>IF(LeadsData[[#This Row],[Stage Number]]&gt;=4,1,0)</f>
        <v>0</v>
      </c>
    </row>
    <row r="2542" spans="1:15" x14ac:dyDescent="0.25">
      <c r="A2542" t="s">
        <v>2582</v>
      </c>
      <c r="B2542" s="1">
        <v>45553</v>
      </c>
      <c r="C2542" t="s">
        <v>46</v>
      </c>
      <c r="D2542" t="s">
        <v>56</v>
      </c>
      <c r="E2542" t="s">
        <v>21</v>
      </c>
      <c r="F2542" t="s">
        <v>19</v>
      </c>
      <c r="G2542" t="s">
        <v>23</v>
      </c>
      <c r="K2542" cm="1">
        <f t="array" ref="K2542">_xlfn.SWITCH(LeadsData[[#This Row],[Funnel Stage Reached]],"Lead",1,"MQL",2,"SQL",3,"Customer",4)</f>
        <v>2</v>
      </c>
      <c r="L2542" t="str">
        <f>TEXT(LeadsData[[#This Row],[Signup Date]],"mmm-yyyy")</f>
        <v>Sep-2024</v>
      </c>
      <c r="M2542">
        <f>IF(LeadsData[[#This Row],[Stage Number]]&gt;=2,1,0)</f>
        <v>1</v>
      </c>
      <c r="N2542" s="2">
        <f>IF(LeadsData[[#This Row],[Stage Number]]&gt;=3,1,0)</f>
        <v>0</v>
      </c>
      <c r="O2542" s="2">
        <f>IF(LeadsData[[#This Row],[Stage Number]]&gt;=4,1,0)</f>
        <v>0</v>
      </c>
    </row>
    <row r="2543" spans="1:15" x14ac:dyDescent="0.25">
      <c r="A2543" t="s">
        <v>2583</v>
      </c>
      <c r="B2543" s="1">
        <v>45393</v>
      </c>
      <c r="C2543" t="s">
        <v>46</v>
      </c>
      <c r="D2543" t="s">
        <v>47</v>
      </c>
      <c r="E2543" t="s">
        <v>21</v>
      </c>
      <c r="F2543" t="s">
        <v>19</v>
      </c>
      <c r="G2543" t="s">
        <v>23</v>
      </c>
      <c r="K2543" cm="1">
        <f t="array" ref="K2543">_xlfn.SWITCH(LeadsData[[#This Row],[Funnel Stage Reached]],"Lead",1,"MQL",2,"SQL",3,"Customer",4)</f>
        <v>2</v>
      </c>
      <c r="L2543" t="str">
        <f>TEXT(LeadsData[[#This Row],[Signup Date]],"mmm-yyyy")</f>
        <v>Apr-2024</v>
      </c>
      <c r="M2543">
        <f>IF(LeadsData[[#This Row],[Stage Number]]&gt;=2,1,0)</f>
        <v>1</v>
      </c>
      <c r="N2543" s="2">
        <f>IF(LeadsData[[#This Row],[Stage Number]]&gt;=3,1,0)</f>
        <v>0</v>
      </c>
      <c r="O2543" s="2">
        <f>IF(LeadsData[[#This Row],[Stage Number]]&gt;=4,1,0)</f>
        <v>0</v>
      </c>
    </row>
    <row r="2544" spans="1:15" x14ac:dyDescent="0.25">
      <c r="A2544" t="s">
        <v>2584</v>
      </c>
      <c r="B2544" s="1">
        <v>45446</v>
      </c>
      <c r="C2544" t="s">
        <v>17</v>
      </c>
      <c r="D2544" t="s">
        <v>53</v>
      </c>
      <c r="E2544" t="s">
        <v>13</v>
      </c>
      <c r="F2544" t="s">
        <v>19</v>
      </c>
      <c r="G2544" t="s">
        <v>23</v>
      </c>
      <c r="K2544" cm="1">
        <f t="array" ref="K2544">_xlfn.SWITCH(LeadsData[[#This Row],[Funnel Stage Reached]],"Lead",1,"MQL",2,"SQL",3,"Customer",4)</f>
        <v>2</v>
      </c>
      <c r="L2544" t="str">
        <f>TEXT(LeadsData[[#This Row],[Signup Date]],"mmm-yyyy")</f>
        <v>Jun-2024</v>
      </c>
      <c r="M2544">
        <f>IF(LeadsData[[#This Row],[Stage Number]]&gt;=2,1,0)</f>
        <v>1</v>
      </c>
      <c r="N2544" s="2">
        <f>IF(LeadsData[[#This Row],[Stage Number]]&gt;=3,1,0)</f>
        <v>0</v>
      </c>
      <c r="O2544" s="2">
        <f>IF(LeadsData[[#This Row],[Stage Number]]&gt;=4,1,0)</f>
        <v>0</v>
      </c>
    </row>
    <row r="2545" spans="1:15" x14ac:dyDescent="0.25">
      <c r="A2545" t="s">
        <v>2585</v>
      </c>
      <c r="B2545" s="1">
        <v>45590</v>
      </c>
      <c r="C2545" t="s">
        <v>31</v>
      </c>
      <c r="D2545" t="s">
        <v>32</v>
      </c>
      <c r="E2545" t="s">
        <v>13</v>
      </c>
      <c r="F2545" t="s">
        <v>14</v>
      </c>
      <c r="G2545" t="s">
        <v>15</v>
      </c>
      <c r="K2545" cm="1">
        <f t="array" ref="K2545">_xlfn.SWITCH(LeadsData[[#This Row],[Funnel Stage Reached]],"Lead",1,"MQL",2,"SQL",3,"Customer",4)</f>
        <v>1</v>
      </c>
      <c r="L2545" t="str">
        <f>TEXT(LeadsData[[#This Row],[Signup Date]],"mmm-yyyy")</f>
        <v>Oct-2024</v>
      </c>
      <c r="M2545">
        <f>IF(LeadsData[[#This Row],[Stage Number]]&gt;=2,1,0)</f>
        <v>0</v>
      </c>
      <c r="N2545" s="2">
        <f>IF(LeadsData[[#This Row],[Stage Number]]&gt;=3,1,0)</f>
        <v>0</v>
      </c>
      <c r="O2545" s="2">
        <f>IF(LeadsData[[#This Row],[Stage Number]]&gt;=4,1,0)</f>
        <v>0</v>
      </c>
    </row>
    <row r="2546" spans="1:15" x14ac:dyDescent="0.25">
      <c r="A2546" t="s">
        <v>2586</v>
      </c>
      <c r="B2546" s="1">
        <v>45463</v>
      </c>
      <c r="C2546" t="s">
        <v>46</v>
      </c>
      <c r="D2546" t="s">
        <v>47</v>
      </c>
      <c r="E2546" t="s">
        <v>21</v>
      </c>
      <c r="F2546" t="s">
        <v>14</v>
      </c>
      <c r="G2546" t="s">
        <v>29</v>
      </c>
      <c r="K2546" cm="1">
        <f t="array" ref="K2546">_xlfn.SWITCH(LeadsData[[#This Row],[Funnel Stage Reached]],"Lead",1,"MQL",2,"SQL",3,"Customer",4)</f>
        <v>3</v>
      </c>
      <c r="L2546" t="str">
        <f>TEXT(LeadsData[[#This Row],[Signup Date]],"mmm-yyyy")</f>
        <v>Jun-2024</v>
      </c>
      <c r="M2546">
        <f>IF(LeadsData[[#This Row],[Stage Number]]&gt;=2,1,0)</f>
        <v>1</v>
      </c>
      <c r="N2546" s="2">
        <f>IF(LeadsData[[#This Row],[Stage Number]]&gt;=3,1,0)</f>
        <v>1</v>
      </c>
      <c r="O2546" s="2">
        <f>IF(LeadsData[[#This Row],[Stage Number]]&gt;=4,1,0)</f>
        <v>0</v>
      </c>
    </row>
    <row r="2547" spans="1:15" x14ac:dyDescent="0.25">
      <c r="A2547" t="s">
        <v>2587</v>
      </c>
      <c r="B2547" s="1">
        <v>45642</v>
      </c>
      <c r="C2547" t="s">
        <v>25</v>
      </c>
      <c r="D2547" t="s">
        <v>26</v>
      </c>
      <c r="E2547" t="s">
        <v>13</v>
      </c>
      <c r="F2547" t="s">
        <v>22</v>
      </c>
      <c r="G2547" t="s">
        <v>15</v>
      </c>
      <c r="K2547" cm="1">
        <f t="array" ref="K2547">_xlfn.SWITCH(LeadsData[[#This Row],[Funnel Stage Reached]],"Lead",1,"MQL",2,"SQL",3,"Customer",4)</f>
        <v>1</v>
      </c>
      <c r="L2547" t="str">
        <f>TEXT(LeadsData[[#This Row],[Signup Date]],"mmm-yyyy")</f>
        <v>Dec-2024</v>
      </c>
      <c r="M2547">
        <f>IF(LeadsData[[#This Row],[Stage Number]]&gt;=2,1,0)</f>
        <v>0</v>
      </c>
      <c r="N2547" s="2">
        <f>IF(LeadsData[[#This Row],[Stage Number]]&gt;=3,1,0)</f>
        <v>0</v>
      </c>
      <c r="O2547" s="2">
        <f>IF(LeadsData[[#This Row],[Stage Number]]&gt;=4,1,0)</f>
        <v>0</v>
      </c>
    </row>
    <row r="2548" spans="1:15" x14ac:dyDescent="0.25">
      <c r="A2548" t="s">
        <v>2588</v>
      </c>
      <c r="B2548" s="1">
        <v>45527</v>
      </c>
      <c r="C2548" t="s">
        <v>11</v>
      </c>
      <c r="D2548" t="s">
        <v>79</v>
      </c>
      <c r="E2548" t="s">
        <v>21</v>
      </c>
      <c r="F2548" t="s">
        <v>19</v>
      </c>
      <c r="G2548" t="s">
        <v>15</v>
      </c>
      <c r="K2548" cm="1">
        <f t="array" ref="K2548">_xlfn.SWITCH(LeadsData[[#This Row],[Funnel Stage Reached]],"Lead",1,"MQL",2,"SQL",3,"Customer",4)</f>
        <v>1</v>
      </c>
      <c r="L2548" t="str">
        <f>TEXT(LeadsData[[#This Row],[Signup Date]],"mmm-yyyy")</f>
        <v>Aug-2024</v>
      </c>
      <c r="M2548">
        <f>IF(LeadsData[[#This Row],[Stage Number]]&gt;=2,1,0)</f>
        <v>0</v>
      </c>
      <c r="N2548" s="2">
        <f>IF(LeadsData[[#This Row],[Stage Number]]&gt;=3,1,0)</f>
        <v>0</v>
      </c>
      <c r="O2548" s="2">
        <f>IF(LeadsData[[#This Row],[Stage Number]]&gt;=4,1,0)</f>
        <v>0</v>
      </c>
    </row>
    <row r="2549" spans="1:15" x14ac:dyDescent="0.25">
      <c r="A2549" t="s">
        <v>2589</v>
      </c>
      <c r="B2549" s="1">
        <v>45343</v>
      </c>
      <c r="C2549" t="s">
        <v>46</v>
      </c>
      <c r="D2549" t="s">
        <v>47</v>
      </c>
      <c r="E2549" t="s">
        <v>21</v>
      </c>
      <c r="F2549" t="s">
        <v>19</v>
      </c>
      <c r="G2549" t="s">
        <v>15</v>
      </c>
      <c r="K2549" cm="1">
        <f t="array" ref="K2549">_xlfn.SWITCH(LeadsData[[#This Row],[Funnel Stage Reached]],"Lead",1,"MQL",2,"SQL",3,"Customer",4)</f>
        <v>1</v>
      </c>
      <c r="L2549" t="str">
        <f>TEXT(LeadsData[[#This Row],[Signup Date]],"mmm-yyyy")</f>
        <v>Feb-2024</v>
      </c>
      <c r="M2549">
        <f>IF(LeadsData[[#This Row],[Stage Number]]&gt;=2,1,0)</f>
        <v>0</v>
      </c>
      <c r="N2549" s="2">
        <f>IF(LeadsData[[#This Row],[Stage Number]]&gt;=3,1,0)</f>
        <v>0</v>
      </c>
      <c r="O2549" s="2">
        <f>IF(LeadsData[[#This Row],[Stage Number]]&gt;=4,1,0)</f>
        <v>0</v>
      </c>
    </row>
    <row r="2550" spans="1:15" x14ac:dyDescent="0.25">
      <c r="A2550" t="s">
        <v>2590</v>
      </c>
      <c r="B2550" s="1">
        <v>45600</v>
      </c>
      <c r="C2550" t="s">
        <v>36</v>
      </c>
      <c r="D2550" t="s">
        <v>50</v>
      </c>
      <c r="E2550" t="s">
        <v>13</v>
      </c>
      <c r="F2550" t="s">
        <v>19</v>
      </c>
      <c r="G2550" t="s">
        <v>23</v>
      </c>
      <c r="K2550" cm="1">
        <f t="array" ref="K2550">_xlfn.SWITCH(LeadsData[[#This Row],[Funnel Stage Reached]],"Lead",1,"MQL",2,"SQL",3,"Customer",4)</f>
        <v>2</v>
      </c>
      <c r="L2550" t="str">
        <f>TEXT(LeadsData[[#This Row],[Signup Date]],"mmm-yyyy")</f>
        <v>Nov-2024</v>
      </c>
      <c r="M2550">
        <f>IF(LeadsData[[#This Row],[Stage Number]]&gt;=2,1,0)</f>
        <v>1</v>
      </c>
      <c r="N2550" s="2">
        <f>IF(LeadsData[[#This Row],[Stage Number]]&gt;=3,1,0)</f>
        <v>0</v>
      </c>
      <c r="O2550" s="2">
        <f>IF(LeadsData[[#This Row],[Stage Number]]&gt;=4,1,0)</f>
        <v>0</v>
      </c>
    </row>
    <row r="2551" spans="1:15" x14ac:dyDescent="0.25">
      <c r="A2551" t="s">
        <v>2591</v>
      </c>
      <c r="B2551" s="1">
        <v>45613</v>
      </c>
      <c r="C2551" t="s">
        <v>31</v>
      </c>
      <c r="D2551" t="s">
        <v>34</v>
      </c>
      <c r="E2551" t="s">
        <v>21</v>
      </c>
      <c r="F2551" t="s">
        <v>19</v>
      </c>
      <c r="G2551" t="s">
        <v>29</v>
      </c>
      <c r="K2551" cm="1">
        <f t="array" ref="K2551">_xlfn.SWITCH(LeadsData[[#This Row],[Funnel Stage Reached]],"Lead",1,"MQL",2,"SQL",3,"Customer",4)</f>
        <v>3</v>
      </c>
      <c r="L2551" t="str">
        <f>TEXT(LeadsData[[#This Row],[Signup Date]],"mmm-yyyy")</f>
        <v>Nov-2024</v>
      </c>
      <c r="M2551">
        <f>IF(LeadsData[[#This Row],[Stage Number]]&gt;=2,1,0)</f>
        <v>1</v>
      </c>
      <c r="N2551" s="2">
        <f>IF(LeadsData[[#This Row],[Stage Number]]&gt;=3,1,0)</f>
        <v>1</v>
      </c>
      <c r="O2551" s="2">
        <f>IF(LeadsData[[#This Row],[Stage Number]]&gt;=4,1,0)</f>
        <v>0</v>
      </c>
    </row>
    <row r="2552" spans="1:15" x14ac:dyDescent="0.25">
      <c r="A2552" t="s">
        <v>2592</v>
      </c>
      <c r="B2552" s="1">
        <v>45519</v>
      </c>
      <c r="C2552" t="s">
        <v>46</v>
      </c>
      <c r="D2552" t="s">
        <v>47</v>
      </c>
      <c r="E2552" t="s">
        <v>13</v>
      </c>
      <c r="F2552" t="s">
        <v>19</v>
      </c>
      <c r="G2552" t="s">
        <v>15</v>
      </c>
      <c r="K2552" cm="1">
        <f t="array" ref="K2552">_xlfn.SWITCH(LeadsData[[#This Row],[Funnel Stage Reached]],"Lead",1,"MQL",2,"SQL",3,"Customer",4)</f>
        <v>1</v>
      </c>
      <c r="L2552" t="str">
        <f>TEXT(LeadsData[[#This Row],[Signup Date]],"mmm-yyyy")</f>
        <v>Aug-2024</v>
      </c>
      <c r="M2552">
        <f>IF(LeadsData[[#This Row],[Stage Number]]&gt;=2,1,0)</f>
        <v>0</v>
      </c>
      <c r="N2552" s="2">
        <f>IF(LeadsData[[#This Row],[Stage Number]]&gt;=3,1,0)</f>
        <v>0</v>
      </c>
      <c r="O2552" s="2">
        <f>IF(LeadsData[[#This Row],[Stage Number]]&gt;=4,1,0)</f>
        <v>0</v>
      </c>
    </row>
    <row r="2553" spans="1:15" x14ac:dyDescent="0.25">
      <c r="A2553" t="s">
        <v>2593</v>
      </c>
      <c r="B2553" s="1">
        <v>45584</v>
      </c>
      <c r="C2553" t="s">
        <v>46</v>
      </c>
      <c r="D2553" t="s">
        <v>56</v>
      </c>
      <c r="E2553" t="s">
        <v>13</v>
      </c>
      <c r="F2553" t="s">
        <v>22</v>
      </c>
      <c r="G2553" t="s">
        <v>15</v>
      </c>
      <c r="K2553" cm="1">
        <f t="array" ref="K2553">_xlfn.SWITCH(LeadsData[[#This Row],[Funnel Stage Reached]],"Lead",1,"MQL",2,"SQL",3,"Customer",4)</f>
        <v>1</v>
      </c>
      <c r="L2553" t="str">
        <f>TEXT(LeadsData[[#This Row],[Signup Date]],"mmm-yyyy")</f>
        <v>Oct-2024</v>
      </c>
      <c r="M2553">
        <f>IF(LeadsData[[#This Row],[Stage Number]]&gt;=2,1,0)</f>
        <v>0</v>
      </c>
      <c r="N2553" s="2">
        <f>IF(LeadsData[[#This Row],[Stage Number]]&gt;=3,1,0)</f>
        <v>0</v>
      </c>
      <c r="O2553" s="2">
        <f>IF(LeadsData[[#This Row],[Stage Number]]&gt;=4,1,0)</f>
        <v>0</v>
      </c>
    </row>
    <row r="2554" spans="1:15" x14ac:dyDescent="0.25">
      <c r="A2554" t="s">
        <v>2594</v>
      </c>
      <c r="B2554" s="1">
        <v>45650</v>
      </c>
      <c r="C2554" t="s">
        <v>36</v>
      </c>
      <c r="D2554" t="s">
        <v>37</v>
      </c>
      <c r="E2554" t="s">
        <v>21</v>
      </c>
      <c r="F2554" t="s">
        <v>14</v>
      </c>
      <c r="G2554" t="s">
        <v>29</v>
      </c>
      <c r="K2554" cm="1">
        <f t="array" ref="K2554">_xlfn.SWITCH(LeadsData[[#This Row],[Funnel Stage Reached]],"Lead",1,"MQL",2,"SQL",3,"Customer",4)</f>
        <v>3</v>
      </c>
      <c r="L2554" t="str">
        <f>TEXT(LeadsData[[#This Row],[Signup Date]],"mmm-yyyy")</f>
        <v>Dec-2024</v>
      </c>
      <c r="M2554">
        <f>IF(LeadsData[[#This Row],[Stage Number]]&gt;=2,1,0)</f>
        <v>1</v>
      </c>
      <c r="N2554" s="2">
        <f>IF(LeadsData[[#This Row],[Stage Number]]&gt;=3,1,0)</f>
        <v>1</v>
      </c>
      <c r="O2554" s="2">
        <f>IF(LeadsData[[#This Row],[Stage Number]]&gt;=4,1,0)</f>
        <v>0</v>
      </c>
    </row>
    <row r="2555" spans="1:15" x14ac:dyDescent="0.25">
      <c r="A2555" t="s">
        <v>2595</v>
      </c>
      <c r="B2555" s="1">
        <v>45496</v>
      </c>
      <c r="C2555" t="s">
        <v>46</v>
      </c>
      <c r="D2555" t="s">
        <v>56</v>
      </c>
      <c r="E2555" t="s">
        <v>13</v>
      </c>
      <c r="F2555" t="s">
        <v>22</v>
      </c>
      <c r="G2555" t="s">
        <v>15</v>
      </c>
      <c r="K2555" cm="1">
        <f t="array" ref="K2555">_xlfn.SWITCH(LeadsData[[#This Row],[Funnel Stage Reached]],"Lead",1,"MQL",2,"SQL",3,"Customer",4)</f>
        <v>1</v>
      </c>
      <c r="L2555" t="str">
        <f>TEXT(LeadsData[[#This Row],[Signup Date]],"mmm-yyyy")</f>
        <v>Jul-2024</v>
      </c>
      <c r="M2555">
        <f>IF(LeadsData[[#This Row],[Stage Number]]&gt;=2,1,0)</f>
        <v>0</v>
      </c>
      <c r="N2555" s="2">
        <f>IF(LeadsData[[#This Row],[Stage Number]]&gt;=3,1,0)</f>
        <v>0</v>
      </c>
      <c r="O2555" s="2">
        <f>IF(LeadsData[[#This Row],[Stage Number]]&gt;=4,1,0)</f>
        <v>0</v>
      </c>
    </row>
    <row r="2556" spans="1:15" x14ac:dyDescent="0.25">
      <c r="A2556" t="s">
        <v>2596</v>
      </c>
      <c r="B2556" s="1">
        <v>45484</v>
      </c>
      <c r="C2556" t="s">
        <v>36</v>
      </c>
      <c r="D2556" t="s">
        <v>50</v>
      </c>
      <c r="E2556" t="s">
        <v>13</v>
      </c>
      <c r="F2556" t="s">
        <v>22</v>
      </c>
      <c r="G2556" t="s">
        <v>23</v>
      </c>
      <c r="K2556" cm="1">
        <f t="array" ref="K2556">_xlfn.SWITCH(LeadsData[[#This Row],[Funnel Stage Reached]],"Lead",1,"MQL",2,"SQL",3,"Customer",4)</f>
        <v>2</v>
      </c>
      <c r="L2556" t="str">
        <f>TEXT(LeadsData[[#This Row],[Signup Date]],"mmm-yyyy")</f>
        <v>Jul-2024</v>
      </c>
      <c r="M2556">
        <f>IF(LeadsData[[#This Row],[Stage Number]]&gt;=2,1,0)</f>
        <v>1</v>
      </c>
      <c r="N2556" s="2">
        <f>IF(LeadsData[[#This Row],[Stage Number]]&gt;=3,1,0)</f>
        <v>0</v>
      </c>
      <c r="O2556" s="2">
        <f>IF(LeadsData[[#This Row],[Stage Number]]&gt;=4,1,0)</f>
        <v>0</v>
      </c>
    </row>
    <row r="2557" spans="1:15" x14ac:dyDescent="0.25">
      <c r="A2557" t="s">
        <v>2597</v>
      </c>
      <c r="B2557" s="1">
        <v>45344</v>
      </c>
      <c r="C2557" t="s">
        <v>17</v>
      </c>
      <c r="D2557" t="s">
        <v>53</v>
      </c>
      <c r="E2557" t="s">
        <v>13</v>
      </c>
      <c r="F2557" t="s">
        <v>14</v>
      </c>
      <c r="G2557" t="s">
        <v>29</v>
      </c>
      <c r="K2557" cm="1">
        <f t="array" ref="K2557">_xlfn.SWITCH(LeadsData[[#This Row],[Funnel Stage Reached]],"Lead",1,"MQL",2,"SQL",3,"Customer",4)</f>
        <v>3</v>
      </c>
      <c r="L2557" t="str">
        <f>TEXT(LeadsData[[#This Row],[Signup Date]],"mmm-yyyy")</f>
        <v>Feb-2024</v>
      </c>
      <c r="M2557">
        <f>IF(LeadsData[[#This Row],[Stage Number]]&gt;=2,1,0)</f>
        <v>1</v>
      </c>
      <c r="N2557" s="2">
        <f>IF(LeadsData[[#This Row],[Stage Number]]&gt;=3,1,0)</f>
        <v>1</v>
      </c>
      <c r="O2557" s="2">
        <f>IF(LeadsData[[#This Row],[Stage Number]]&gt;=4,1,0)</f>
        <v>0</v>
      </c>
    </row>
    <row r="2558" spans="1:15" x14ac:dyDescent="0.25">
      <c r="A2558" t="s">
        <v>2598</v>
      </c>
      <c r="B2558" s="1">
        <v>45294</v>
      </c>
      <c r="C2558" t="s">
        <v>36</v>
      </c>
      <c r="D2558" t="s">
        <v>37</v>
      </c>
      <c r="E2558" t="s">
        <v>13</v>
      </c>
      <c r="F2558" t="s">
        <v>19</v>
      </c>
      <c r="G2558" t="s">
        <v>15</v>
      </c>
      <c r="K2558" cm="1">
        <f t="array" ref="K2558">_xlfn.SWITCH(LeadsData[[#This Row],[Funnel Stage Reached]],"Lead",1,"MQL",2,"SQL",3,"Customer",4)</f>
        <v>1</v>
      </c>
      <c r="L2558" t="str">
        <f>TEXT(LeadsData[[#This Row],[Signup Date]],"mmm-yyyy")</f>
        <v>Jan-2024</v>
      </c>
      <c r="M2558">
        <f>IF(LeadsData[[#This Row],[Stage Number]]&gt;=2,1,0)</f>
        <v>0</v>
      </c>
      <c r="N2558" s="2">
        <f>IF(LeadsData[[#This Row],[Stage Number]]&gt;=3,1,0)</f>
        <v>0</v>
      </c>
      <c r="O2558" s="2">
        <f>IF(LeadsData[[#This Row],[Stage Number]]&gt;=4,1,0)</f>
        <v>0</v>
      </c>
    </row>
    <row r="2559" spans="1:15" x14ac:dyDescent="0.25">
      <c r="A2559" t="s">
        <v>2599</v>
      </c>
      <c r="B2559" s="1">
        <v>45536</v>
      </c>
      <c r="C2559" t="s">
        <v>31</v>
      </c>
      <c r="D2559" t="s">
        <v>34</v>
      </c>
      <c r="E2559" t="s">
        <v>13</v>
      </c>
      <c r="F2559" t="s">
        <v>22</v>
      </c>
      <c r="G2559" t="s">
        <v>15</v>
      </c>
      <c r="K2559" cm="1">
        <f t="array" ref="K2559">_xlfn.SWITCH(LeadsData[[#This Row],[Funnel Stage Reached]],"Lead",1,"MQL",2,"SQL",3,"Customer",4)</f>
        <v>1</v>
      </c>
      <c r="L2559" t="str">
        <f>TEXT(LeadsData[[#This Row],[Signup Date]],"mmm-yyyy")</f>
        <v>Sep-2024</v>
      </c>
      <c r="M2559">
        <f>IF(LeadsData[[#This Row],[Stage Number]]&gt;=2,1,0)</f>
        <v>0</v>
      </c>
      <c r="N2559" s="2">
        <f>IF(LeadsData[[#This Row],[Stage Number]]&gt;=3,1,0)</f>
        <v>0</v>
      </c>
      <c r="O2559" s="2">
        <f>IF(LeadsData[[#This Row],[Stage Number]]&gt;=4,1,0)</f>
        <v>0</v>
      </c>
    </row>
    <row r="2560" spans="1:15" x14ac:dyDescent="0.25">
      <c r="A2560" t="s">
        <v>2600</v>
      </c>
      <c r="B2560" s="1">
        <v>45459</v>
      </c>
      <c r="C2560" t="s">
        <v>25</v>
      </c>
      <c r="D2560" t="s">
        <v>26</v>
      </c>
      <c r="E2560" t="s">
        <v>48</v>
      </c>
      <c r="F2560" t="s">
        <v>19</v>
      </c>
      <c r="G2560" t="s">
        <v>15</v>
      </c>
      <c r="K2560" cm="1">
        <f t="array" ref="K2560">_xlfn.SWITCH(LeadsData[[#This Row],[Funnel Stage Reached]],"Lead",1,"MQL",2,"SQL",3,"Customer",4)</f>
        <v>1</v>
      </c>
      <c r="L2560" t="str">
        <f>TEXT(LeadsData[[#This Row],[Signup Date]],"mmm-yyyy")</f>
        <v>Jun-2024</v>
      </c>
      <c r="M2560">
        <f>IF(LeadsData[[#This Row],[Stage Number]]&gt;=2,1,0)</f>
        <v>0</v>
      </c>
      <c r="N2560" s="2">
        <f>IF(LeadsData[[#This Row],[Stage Number]]&gt;=3,1,0)</f>
        <v>0</v>
      </c>
      <c r="O2560" s="2">
        <f>IF(LeadsData[[#This Row],[Stage Number]]&gt;=4,1,0)</f>
        <v>0</v>
      </c>
    </row>
    <row r="2561" spans="1:15" x14ac:dyDescent="0.25">
      <c r="A2561" t="s">
        <v>2601</v>
      </c>
      <c r="B2561" s="1">
        <v>45449</v>
      </c>
      <c r="C2561" t="s">
        <v>31</v>
      </c>
      <c r="D2561" t="s">
        <v>34</v>
      </c>
      <c r="E2561" t="s">
        <v>13</v>
      </c>
      <c r="F2561" t="s">
        <v>14</v>
      </c>
      <c r="G2561" t="s">
        <v>29</v>
      </c>
      <c r="K2561" cm="1">
        <f t="array" ref="K2561">_xlfn.SWITCH(LeadsData[[#This Row],[Funnel Stage Reached]],"Lead",1,"MQL",2,"SQL",3,"Customer",4)</f>
        <v>3</v>
      </c>
      <c r="L2561" t="str">
        <f>TEXT(LeadsData[[#This Row],[Signup Date]],"mmm-yyyy")</f>
        <v>Jun-2024</v>
      </c>
      <c r="M2561">
        <f>IF(LeadsData[[#This Row],[Stage Number]]&gt;=2,1,0)</f>
        <v>1</v>
      </c>
      <c r="N2561" s="2">
        <f>IF(LeadsData[[#This Row],[Stage Number]]&gt;=3,1,0)</f>
        <v>1</v>
      </c>
      <c r="O2561" s="2">
        <f>IF(LeadsData[[#This Row],[Stage Number]]&gt;=4,1,0)</f>
        <v>0</v>
      </c>
    </row>
    <row r="2562" spans="1:15" x14ac:dyDescent="0.25">
      <c r="A2562" t="s">
        <v>2602</v>
      </c>
      <c r="B2562" s="1">
        <v>45337</v>
      </c>
      <c r="C2562" t="s">
        <v>31</v>
      </c>
      <c r="D2562" t="s">
        <v>34</v>
      </c>
      <c r="E2562" t="s">
        <v>21</v>
      </c>
      <c r="F2562" t="s">
        <v>14</v>
      </c>
      <c r="G2562" t="s">
        <v>29</v>
      </c>
      <c r="K2562" cm="1">
        <f t="array" ref="K2562">_xlfn.SWITCH(LeadsData[[#This Row],[Funnel Stage Reached]],"Lead",1,"MQL",2,"SQL",3,"Customer",4)</f>
        <v>3</v>
      </c>
      <c r="L2562" t="str">
        <f>TEXT(LeadsData[[#This Row],[Signup Date]],"mmm-yyyy")</f>
        <v>Feb-2024</v>
      </c>
      <c r="M2562">
        <f>IF(LeadsData[[#This Row],[Stage Number]]&gt;=2,1,0)</f>
        <v>1</v>
      </c>
      <c r="N2562" s="2">
        <f>IF(LeadsData[[#This Row],[Stage Number]]&gt;=3,1,0)</f>
        <v>1</v>
      </c>
      <c r="O2562" s="2">
        <f>IF(LeadsData[[#This Row],[Stage Number]]&gt;=4,1,0)</f>
        <v>0</v>
      </c>
    </row>
    <row r="2563" spans="1:15" x14ac:dyDescent="0.25">
      <c r="A2563" t="s">
        <v>2603</v>
      </c>
      <c r="B2563" s="1">
        <v>45499</v>
      </c>
      <c r="C2563" t="s">
        <v>31</v>
      </c>
      <c r="D2563" t="s">
        <v>32</v>
      </c>
      <c r="E2563" t="s">
        <v>13</v>
      </c>
      <c r="F2563" t="s">
        <v>22</v>
      </c>
      <c r="G2563" t="s">
        <v>23</v>
      </c>
      <c r="K2563" cm="1">
        <f t="array" ref="K2563">_xlfn.SWITCH(LeadsData[[#This Row],[Funnel Stage Reached]],"Lead",1,"MQL",2,"SQL",3,"Customer",4)</f>
        <v>2</v>
      </c>
      <c r="L2563" t="str">
        <f>TEXT(LeadsData[[#This Row],[Signup Date]],"mmm-yyyy")</f>
        <v>Jul-2024</v>
      </c>
      <c r="M2563">
        <f>IF(LeadsData[[#This Row],[Stage Number]]&gt;=2,1,0)</f>
        <v>1</v>
      </c>
      <c r="N2563" s="2">
        <f>IF(LeadsData[[#This Row],[Stage Number]]&gt;=3,1,0)</f>
        <v>0</v>
      </c>
      <c r="O2563" s="2">
        <f>IF(LeadsData[[#This Row],[Stage Number]]&gt;=4,1,0)</f>
        <v>0</v>
      </c>
    </row>
    <row r="2564" spans="1:15" x14ac:dyDescent="0.25">
      <c r="A2564" t="s">
        <v>2604</v>
      </c>
      <c r="B2564" s="1">
        <v>45645</v>
      </c>
      <c r="C2564" t="s">
        <v>11</v>
      </c>
      <c r="D2564" t="s">
        <v>68</v>
      </c>
      <c r="E2564" t="s">
        <v>13</v>
      </c>
      <c r="F2564" t="s">
        <v>14</v>
      </c>
      <c r="G2564" t="s">
        <v>15</v>
      </c>
      <c r="K2564" cm="1">
        <f t="array" ref="K2564">_xlfn.SWITCH(LeadsData[[#This Row],[Funnel Stage Reached]],"Lead",1,"MQL",2,"SQL",3,"Customer",4)</f>
        <v>1</v>
      </c>
      <c r="L2564" t="str">
        <f>TEXT(LeadsData[[#This Row],[Signup Date]],"mmm-yyyy")</f>
        <v>Dec-2024</v>
      </c>
      <c r="M2564">
        <f>IF(LeadsData[[#This Row],[Stage Number]]&gt;=2,1,0)</f>
        <v>0</v>
      </c>
      <c r="N2564" s="2">
        <f>IF(LeadsData[[#This Row],[Stage Number]]&gt;=3,1,0)</f>
        <v>0</v>
      </c>
      <c r="O2564" s="2">
        <f>IF(LeadsData[[#This Row],[Stage Number]]&gt;=4,1,0)</f>
        <v>0</v>
      </c>
    </row>
    <row r="2565" spans="1:15" x14ac:dyDescent="0.25">
      <c r="A2565" t="s">
        <v>2605</v>
      </c>
      <c r="B2565" s="1">
        <v>45607</v>
      </c>
      <c r="C2565" t="s">
        <v>17</v>
      </c>
      <c r="D2565" t="s">
        <v>18</v>
      </c>
      <c r="E2565" t="s">
        <v>13</v>
      </c>
      <c r="F2565" t="s">
        <v>19</v>
      </c>
      <c r="G2565" t="s">
        <v>23</v>
      </c>
      <c r="K2565" cm="1">
        <f t="array" ref="K2565">_xlfn.SWITCH(LeadsData[[#This Row],[Funnel Stage Reached]],"Lead",1,"MQL",2,"SQL",3,"Customer",4)</f>
        <v>2</v>
      </c>
      <c r="L2565" t="str">
        <f>TEXT(LeadsData[[#This Row],[Signup Date]],"mmm-yyyy")</f>
        <v>Nov-2024</v>
      </c>
      <c r="M2565">
        <f>IF(LeadsData[[#This Row],[Stage Number]]&gt;=2,1,0)</f>
        <v>1</v>
      </c>
      <c r="N2565" s="2">
        <f>IF(LeadsData[[#This Row],[Stage Number]]&gt;=3,1,0)</f>
        <v>0</v>
      </c>
      <c r="O2565" s="2">
        <f>IF(LeadsData[[#This Row],[Stage Number]]&gt;=4,1,0)</f>
        <v>0</v>
      </c>
    </row>
    <row r="2566" spans="1:15" x14ac:dyDescent="0.25">
      <c r="A2566" t="s">
        <v>2606</v>
      </c>
      <c r="B2566" s="1">
        <v>45545</v>
      </c>
      <c r="C2566" t="s">
        <v>31</v>
      </c>
      <c r="D2566" t="s">
        <v>32</v>
      </c>
      <c r="E2566" t="s">
        <v>21</v>
      </c>
      <c r="F2566" t="s">
        <v>22</v>
      </c>
      <c r="G2566" t="s">
        <v>29</v>
      </c>
      <c r="K2566" cm="1">
        <f t="array" ref="K2566">_xlfn.SWITCH(LeadsData[[#This Row],[Funnel Stage Reached]],"Lead",1,"MQL",2,"SQL",3,"Customer",4)</f>
        <v>3</v>
      </c>
      <c r="L2566" t="str">
        <f>TEXT(LeadsData[[#This Row],[Signup Date]],"mmm-yyyy")</f>
        <v>Sep-2024</v>
      </c>
      <c r="M2566">
        <f>IF(LeadsData[[#This Row],[Stage Number]]&gt;=2,1,0)</f>
        <v>1</v>
      </c>
      <c r="N2566" s="2">
        <f>IF(LeadsData[[#This Row],[Stage Number]]&gt;=3,1,0)</f>
        <v>1</v>
      </c>
      <c r="O2566" s="2">
        <f>IF(LeadsData[[#This Row],[Stage Number]]&gt;=4,1,0)</f>
        <v>0</v>
      </c>
    </row>
    <row r="2567" spans="1:15" x14ac:dyDescent="0.25">
      <c r="A2567" t="s">
        <v>2607</v>
      </c>
      <c r="B2567" s="1">
        <v>45311</v>
      </c>
      <c r="C2567" t="s">
        <v>11</v>
      </c>
      <c r="D2567" t="s">
        <v>12</v>
      </c>
      <c r="E2567" t="s">
        <v>13</v>
      </c>
      <c r="F2567" t="s">
        <v>22</v>
      </c>
      <c r="G2567" t="s">
        <v>23</v>
      </c>
      <c r="K2567" cm="1">
        <f t="array" ref="K2567">_xlfn.SWITCH(LeadsData[[#This Row],[Funnel Stage Reached]],"Lead",1,"MQL",2,"SQL",3,"Customer",4)</f>
        <v>2</v>
      </c>
      <c r="L2567" t="str">
        <f>TEXT(LeadsData[[#This Row],[Signup Date]],"mmm-yyyy")</f>
        <v>Jan-2024</v>
      </c>
      <c r="M2567">
        <f>IF(LeadsData[[#This Row],[Stage Number]]&gt;=2,1,0)</f>
        <v>1</v>
      </c>
      <c r="N2567" s="2">
        <f>IF(LeadsData[[#This Row],[Stage Number]]&gt;=3,1,0)</f>
        <v>0</v>
      </c>
      <c r="O2567" s="2">
        <f>IF(LeadsData[[#This Row],[Stage Number]]&gt;=4,1,0)</f>
        <v>0</v>
      </c>
    </row>
    <row r="2568" spans="1:15" x14ac:dyDescent="0.25">
      <c r="A2568" t="s">
        <v>2608</v>
      </c>
      <c r="B2568" s="1">
        <v>45555</v>
      </c>
      <c r="C2568" t="s">
        <v>31</v>
      </c>
      <c r="D2568" t="s">
        <v>32</v>
      </c>
      <c r="E2568" t="s">
        <v>13</v>
      </c>
      <c r="F2568" t="s">
        <v>22</v>
      </c>
      <c r="G2568" t="s">
        <v>29</v>
      </c>
      <c r="K2568" cm="1">
        <f t="array" ref="K2568">_xlfn.SWITCH(LeadsData[[#This Row],[Funnel Stage Reached]],"Lead",1,"MQL",2,"SQL",3,"Customer",4)</f>
        <v>3</v>
      </c>
      <c r="L2568" t="str">
        <f>TEXT(LeadsData[[#This Row],[Signup Date]],"mmm-yyyy")</f>
        <v>Sep-2024</v>
      </c>
      <c r="M2568">
        <f>IF(LeadsData[[#This Row],[Stage Number]]&gt;=2,1,0)</f>
        <v>1</v>
      </c>
      <c r="N2568" s="2">
        <f>IF(LeadsData[[#This Row],[Stage Number]]&gt;=3,1,0)</f>
        <v>1</v>
      </c>
      <c r="O2568" s="2">
        <f>IF(LeadsData[[#This Row],[Stage Number]]&gt;=4,1,0)</f>
        <v>0</v>
      </c>
    </row>
    <row r="2569" spans="1:15" x14ac:dyDescent="0.25">
      <c r="A2569" t="s">
        <v>2609</v>
      </c>
      <c r="B2569" s="1">
        <v>45528</v>
      </c>
      <c r="C2569" t="s">
        <v>46</v>
      </c>
      <c r="D2569" t="s">
        <v>56</v>
      </c>
      <c r="E2569" t="s">
        <v>21</v>
      </c>
      <c r="F2569" t="s">
        <v>22</v>
      </c>
      <c r="G2569" t="s">
        <v>23</v>
      </c>
      <c r="K2569" cm="1">
        <f t="array" ref="K2569">_xlfn.SWITCH(LeadsData[[#This Row],[Funnel Stage Reached]],"Lead",1,"MQL",2,"SQL",3,"Customer",4)</f>
        <v>2</v>
      </c>
      <c r="L2569" t="str">
        <f>TEXT(LeadsData[[#This Row],[Signup Date]],"mmm-yyyy")</f>
        <v>Aug-2024</v>
      </c>
      <c r="M2569">
        <f>IF(LeadsData[[#This Row],[Stage Number]]&gt;=2,1,0)</f>
        <v>1</v>
      </c>
      <c r="N2569" s="2">
        <f>IF(LeadsData[[#This Row],[Stage Number]]&gt;=3,1,0)</f>
        <v>0</v>
      </c>
      <c r="O2569" s="2">
        <f>IF(LeadsData[[#This Row],[Stage Number]]&gt;=4,1,0)</f>
        <v>0</v>
      </c>
    </row>
    <row r="2570" spans="1:15" x14ac:dyDescent="0.25">
      <c r="A2570" t="s">
        <v>2610</v>
      </c>
      <c r="B2570" s="1">
        <v>45445</v>
      </c>
      <c r="C2570" t="s">
        <v>31</v>
      </c>
      <c r="D2570" t="s">
        <v>32</v>
      </c>
      <c r="E2570" t="s">
        <v>13</v>
      </c>
      <c r="F2570" t="s">
        <v>19</v>
      </c>
      <c r="G2570" t="s">
        <v>23</v>
      </c>
      <c r="K2570" cm="1">
        <f t="array" ref="K2570">_xlfn.SWITCH(LeadsData[[#This Row],[Funnel Stage Reached]],"Lead",1,"MQL",2,"SQL",3,"Customer",4)</f>
        <v>2</v>
      </c>
      <c r="L2570" t="str">
        <f>TEXT(LeadsData[[#This Row],[Signup Date]],"mmm-yyyy")</f>
        <v>Jun-2024</v>
      </c>
      <c r="M2570">
        <f>IF(LeadsData[[#This Row],[Stage Number]]&gt;=2,1,0)</f>
        <v>1</v>
      </c>
      <c r="N2570" s="2">
        <f>IF(LeadsData[[#This Row],[Stage Number]]&gt;=3,1,0)</f>
        <v>0</v>
      </c>
      <c r="O2570" s="2">
        <f>IF(LeadsData[[#This Row],[Stage Number]]&gt;=4,1,0)</f>
        <v>0</v>
      </c>
    </row>
    <row r="2571" spans="1:15" x14ac:dyDescent="0.25">
      <c r="A2571" t="s">
        <v>2611</v>
      </c>
      <c r="B2571" s="1">
        <v>45537</v>
      </c>
      <c r="C2571" t="s">
        <v>46</v>
      </c>
      <c r="D2571" t="s">
        <v>56</v>
      </c>
      <c r="E2571" t="s">
        <v>13</v>
      </c>
      <c r="F2571" t="s">
        <v>19</v>
      </c>
      <c r="G2571" t="s">
        <v>23</v>
      </c>
      <c r="K2571" cm="1">
        <f t="array" ref="K2571">_xlfn.SWITCH(LeadsData[[#This Row],[Funnel Stage Reached]],"Lead",1,"MQL",2,"SQL",3,"Customer",4)</f>
        <v>2</v>
      </c>
      <c r="L2571" t="str">
        <f>TEXT(LeadsData[[#This Row],[Signup Date]],"mmm-yyyy")</f>
        <v>Sep-2024</v>
      </c>
      <c r="M2571">
        <f>IF(LeadsData[[#This Row],[Stage Number]]&gt;=2,1,0)</f>
        <v>1</v>
      </c>
      <c r="N2571" s="2">
        <f>IF(LeadsData[[#This Row],[Stage Number]]&gt;=3,1,0)</f>
        <v>0</v>
      </c>
      <c r="O2571" s="2">
        <f>IF(LeadsData[[#This Row],[Stage Number]]&gt;=4,1,0)</f>
        <v>0</v>
      </c>
    </row>
    <row r="2572" spans="1:15" x14ac:dyDescent="0.25">
      <c r="A2572" t="s">
        <v>2612</v>
      </c>
      <c r="B2572" s="1">
        <v>45616</v>
      </c>
      <c r="C2572" t="s">
        <v>46</v>
      </c>
      <c r="D2572" t="s">
        <v>56</v>
      </c>
      <c r="E2572" t="s">
        <v>21</v>
      </c>
      <c r="F2572" t="s">
        <v>14</v>
      </c>
      <c r="G2572" t="s">
        <v>29</v>
      </c>
      <c r="K2572" cm="1">
        <f t="array" ref="K2572">_xlfn.SWITCH(LeadsData[[#This Row],[Funnel Stage Reached]],"Lead",1,"MQL",2,"SQL",3,"Customer",4)</f>
        <v>3</v>
      </c>
      <c r="L2572" t="str">
        <f>TEXT(LeadsData[[#This Row],[Signup Date]],"mmm-yyyy")</f>
        <v>Nov-2024</v>
      </c>
      <c r="M2572">
        <f>IF(LeadsData[[#This Row],[Stage Number]]&gt;=2,1,0)</f>
        <v>1</v>
      </c>
      <c r="N2572" s="2">
        <f>IF(LeadsData[[#This Row],[Stage Number]]&gt;=3,1,0)</f>
        <v>1</v>
      </c>
      <c r="O2572" s="2">
        <f>IF(LeadsData[[#This Row],[Stage Number]]&gt;=4,1,0)</f>
        <v>0</v>
      </c>
    </row>
    <row r="2573" spans="1:15" x14ac:dyDescent="0.25">
      <c r="A2573" t="s">
        <v>2613</v>
      </c>
      <c r="B2573" s="1">
        <v>45553</v>
      </c>
      <c r="C2573" t="s">
        <v>31</v>
      </c>
      <c r="D2573" t="s">
        <v>34</v>
      </c>
      <c r="E2573" t="s">
        <v>48</v>
      </c>
      <c r="F2573" t="s">
        <v>22</v>
      </c>
      <c r="G2573" t="s">
        <v>23</v>
      </c>
      <c r="K2573" cm="1">
        <f t="array" ref="K2573">_xlfn.SWITCH(LeadsData[[#This Row],[Funnel Stage Reached]],"Lead",1,"MQL",2,"SQL",3,"Customer",4)</f>
        <v>2</v>
      </c>
      <c r="L2573" t="str">
        <f>TEXT(LeadsData[[#This Row],[Signup Date]],"mmm-yyyy")</f>
        <v>Sep-2024</v>
      </c>
      <c r="M2573">
        <f>IF(LeadsData[[#This Row],[Stage Number]]&gt;=2,1,0)</f>
        <v>1</v>
      </c>
      <c r="N2573" s="2">
        <f>IF(LeadsData[[#This Row],[Stage Number]]&gt;=3,1,0)</f>
        <v>0</v>
      </c>
      <c r="O2573" s="2">
        <f>IF(LeadsData[[#This Row],[Stage Number]]&gt;=4,1,0)</f>
        <v>0</v>
      </c>
    </row>
    <row r="2574" spans="1:15" x14ac:dyDescent="0.25">
      <c r="A2574" t="s">
        <v>2614</v>
      </c>
      <c r="B2574" s="1">
        <v>45419</v>
      </c>
      <c r="C2574" t="s">
        <v>11</v>
      </c>
      <c r="D2574" t="s">
        <v>68</v>
      </c>
      <c r="E2574" t="s">
        <v>13</v>
      </c>
      <c r="F2574" t="s">
        <v>22</v>
      </c>
      <c r="G2574" t="s">
        <v>15</v>
      </c>
      <c r="K2574" cm="1">
        <f t="array" ref="K2574">_xlfn.SWITCH(LeadsData[[#This Row],[Funnel Stage Reached]],"Lead",1,"MQL",2,"SQL",3,"Customer",4)</f>
        <v>1</v>
      </c>
      <c r="L2574" t="str">
        <f>TEXT(LeadsData[[#This Row],[Signup Date]],"mmm-yyyy")</f>
        <v>May-2024</v>
      </c>
      <c r="M2574">
        <f>IF(LeadsData[[#This Row],[Stage Number]]&gt;=2,1,0)</f>
        <v>0</v>
      </c>
      <c r="N2574" s="2">
        <f>IF(LeadsData[[#This Row],[Stage Number]]&gt;=3,1,0)</f>
        <v>0</v>
      </c>
      <c r="O2574" s="2">
        <f>IF(LeadsData[[#This Row],[Stage Number]]&gt;=4,1,0)</f>
        <v>0</v>
      </c>
    </row>
    <row r="2575" spans="1:15" x14ac:dyDescent="0.25">
      <c r="A2575" t="s">
        <v>2615</v>
      </c>
      <c r="B2575" s="1">
        <v>45339</v>
      </c>
      <c r="C2575" t="s">
        <v>31</v>
      </c>
      <c r="D2575" t="s">
        <v>32</v>
      </c>
      <c r="E2575" t="s">
        <v>13</v>
      </c>
      <c r="F2575" t="s">
        <v>19</v>
      </c>
      <c r="G2575" t="s">
        <v>42</v>
      </c>
      <c r="H2575">
        <v>27</v>
      </c>
      <c r="I2575" t="s">
        <v>43</v>
      </c>
      <c r="J2575">
        <v>1217.3</v>
      </c>
      <c r="K2575" cm="1">
        <f t="array" ref="K2575">_xlfn.SWITCH(LeadsData[[#This Row],[Funnel Stage Reached]],"Lead",1,"MQL",2,"SQL",3,"Customer",4)</f>
        <v>4</v>
      </c>
      <c r="L2575" t="str">
        <f>TEXT(LeadsData[[#This Row],[Signup Date]],"mmm-yyyy")</f>
        <v>Feb-2024</v>
      </c>
      <c r="M2575">
        <f>IF(LeadsData[[#This Row],[Stage Number]]&gt;=2,1,0)</f>
        <v>1</v>
      </c>
      <c r="N2575" s="2">
        <f>IF(LeadsData[[#This Row],[Stage Number]]&gt;=3,1,0)</f>
        <v>1</v>
      </c>
      <c r="O2575" s="2">
        <f>IF(LeadsData[[#This Row],[Stage Number]]&gt;=4,1,0)</f>
        <v>1</v>
      </c>
    </row>
    <row r="2576" spans="1:15" x14ac:dyDescent="0.25">
      <c r="A2576" t="s">
        <v>2616</v>
      </c>
      <c r="B2576" s="1">
        <v>45498</v>
      </c>
      <c r="C2576" t="s">
        <v>11</v>
      </c>
      <c r="D2576" t="s">
        <v>12</v>
      </c>
      <c r="E2576" t="s">
        <v>13</v>
      </c>
      <c r="F2576" t="s">
        <v>19</v>
      </c>
      <c r="G2576" t="s">
        <v>15</v>
      </c>
      <c r="K2576" cm="1">
        <f t="array" ref="K2576">_xlfn.SWITCH(LeadsData[[#This Row],[Funnel Stage Reached]],"Lead",1,"MQL",2,"SQL",3,"Customer",4)</f>
        <v>1</v>
      </c>
      <c r="L2576" t="str">
        <f>TEXT(LeadsData[[#This Row],[Signup Date]],"mmm-yyyy")</f>
        <v>Jul-2024</v>
      </c>
      <c r="M2576">
        <f>IF(LeadsData[[#This Row],[Stage Number]]&gt;=2,1,0)</f>
        <v>0</v>
      </c>
      <c r="N2576" s="2">
        <f>IF(LeadsData[[#This Row],[Stage Number]]&gt;=3,1,0)</f>
        <v>0</v>
      </c>
      <c r="O2576" s="2">
        <f>IF(LeadsData[[#This Row],[Stage Number]]&gt;=4,1,0)</f>
        <v>0</v>
      </c>
    </row>
    <row r="2577" spans="1:15" x14ac:dyDescent="0.25">
      <c r="A2577" t="s">
        <v>2617</v>
      </c>
      <c r="B2577" s="1">
        <v>45292</v>
      </c>
      <c r="C2577" t="s">
        <v>46</v>
      </c>
      <c r="D2577" t="s">
        <v>56</v>
      </c>
      <c r="E2577" t="s">
        <v>48</v>
      </c>
      <c r="F2577" t="s">
        <v>19</v>
      </c>
      <c r="G2577" t="s">
        <v>15</v>
      </c>
      <c r="K2577" cm="1">
        <f t="array" ref="K2577">_xlfn.SWITCH(LeadsData[[#This Row],[Funnel Stage Reached]],"Lead",1,"MQL",2,"SQL",3,"Customer",4)</f>
        <v>1</v>
      </c>
      <c r="L2577" t="str">
        <f>TEXT(LeadsData[[#This Row],[Signup Date]],"mmm-yyyy")</f>
        <v>Jan-2024</v>
      </c>
      <c r="M2577">
        <f>IF(LeadsData[[#This Row],[Stage Number]]&gt;=2,1,0)</f>
        <v>0</v>
      </c>
      <c r="N2577" s="2">
        <f>IF(LeadsData[[#This Row],[Stage Number]]&gt;=3,1,0)</f>
        <v>0</v>
      </c>
      <c r="O2577" s="2">
        <f>IF(LeadsData[[#This Row],[Stage Number]]&gt;=4,1,0)</f>
        <v>0</v>
      </c>
    </row>
    <row r="2578" spans="1:15" x14ac:dyDescent="0.25">
      <c r="A2578" t="s">
        <v>2618</v>
      </c>
      <c r="B2578" s="1">
        <v>45572</v>
      </c>
      <c r="C2578" t="s">
        <v>25</v>
      </c>
      <c r="D2578" t="s">
        <v>26</v>
      </c>
      <c r="E2578" t="s">
        <v>48</v>
      </c>
      <c r="F2578" t="s">
        <v>22</v>
      </c>
      <c r="G2578" t="s">
        <v>23</v>
      </c>
      <c r="K2578" cm="1">
        <f t="array" ref="K2578">_xlfn.SWITCH(LeadsData[[#This Row],[Funnel Stage Reached]],"Lead",1,"MQL",2,"SQL",3,"Customer",4)</f>
        <v>2</v>
      </c>
      <c r="L2578" t="str">
        <f>TEXT(LeadsData[[#This Row],[Signup Date]],"mmm-yyyy")</f>
        <v>Oct-2024</v>
      </c>
      <c r="M2578">
        <f>IF(LeadsData[[#This Row],[Stage Number]]&gt;=2,1,0)</f>
        <v>1</v>
      </c>
      <c r="N2578" s="2">
        <f>IF(LeadsData[[#This Row],[Stage Number]]&gt;=3,1,0)</f>
        <v>0</v>
      </c>
      <c r="O2578" s="2">
        <f>IF(LeadsData[[#This Row],[Stage Number]]&gt;=4,1,0)</f>
        <v>0</v>
      </c>
    </row>
    <row r="2579" spans="1:15" x14ac:dyDescent="0.25">
      <c r="A2579" t="s">
        <v>2619</v>
      </c>
      <c r="B2579" s="1">
        <v>45326</v>
      </c>
      <c r="C2579" t="s">
        <v>36</v>
      </c>
      <c r="D2579" t="s">
        <v>50</v>
      </c>
      <c r="E2579" t="s">
        <v>21</v>
      </c>
      <c r="F2579" t="s">
        <v>28</v>
      </c>
      <c r="G2579" t="s">
        <v>15</v>
      </c>
      <c r="K2579" cm="1">
        <f t="array" ref="K2579">_xlfn.SWITCH(LeadsData[[#This Row],[Funnel Stage Reached]],"Lead",1,"MQL",2,"SQL",3,"Customer",4)</f>
        <v>1</v>
      </c>
      <c r="L2579" t="str">
        <f>TEXT(LeadsData[[#This Row],[Signup Date]],"mmm-yyyy")</f>
        <v>Feb-2024</v>
      </c>
      <c r="M2579">
        <f>IF(LeadsData[[#This Row],[Stage Number]]&gt;=2,1,0)</f>
        <v>0</v>
      </c>
      <c r="N2579" s="2">
        <f>IF(LeadsData[[#This Row],[Stage Number]]&gt;=3,1,0)</f>
        <v>0</v>
      </c>
      <c r="O2579" s="2">
        <f>IF(LeadsData[[#This Row],[Stage Number]]&gt;=4,1,0)</f>
        <v>0</v>
      </c>
    </row>
    <row r="2580" spans="1:15" x14ac:dyDescent="0.25">
      <c r="A2580" t="s">
        <v>2620</v>
      </c>
      <c r="B2580" s="1">
        <v>45618</v>
      </c>
      <c r="C2580" t="s">
        <v>36</v>
      </c>
      <c r="D2580" t="s">
        <v>50</v>
      </c>
      <c r="E2580" t="s">
        <v>13</v>
      </c>
      <c r="F2580" t="s">
        <v>22</v>
      </c>
      <c r="G2580" t="s">
        <v>15</v>
      </c>
      <c r="K2580" cm="1">
        <f t="array" ref="K2580">_xlfn.SWITCH(LeadsData[[#This Row],[Funnel Stage Reached]],"Lead",1,"MQL",2,"SQL",3,"Customer",4)</f>
        <v>1</v>
      </c>
      <c r="L2580" t="str">
        <f>TEXT(LeadsData[[#This Row],[Signup Date]],"mmm-yyyy")</f>
        <v>Nov-2024</v>
      </c>
      <c r="M2580">
        <f>IF(LeadsData[[#This Row],[Stage Number]]&gt;=2,1,0)</f>
        <v>0</v>
      </c>
      <c r="N2580" s="2">
        <f>IF(LeadsData[[#This Row],[Stage Number]]&gt;=3,1,0)</f>
        <v>0</v>
      </c>
      <c r="O2580" s="2">
        <f>IF(LeadsData[[#This Row],[Stage Number]]&gt;=4,1,0)</f>
        <v>0</v>
      </c>
    </row>
    <row r="2581" spans="1:15" x14ac:dyDescent="0.25">
      <c r="A2581" t="s">
        <v>2621</v>
      </c>
      <c r="B2581" s="1">
        <v>45581</v>
      </c>
      <c r="C2581" t="s">
        <v>46</v>
      </c>
      <c r="D2581" t="s">
        <v>56</v>
      </c>
      <c r="E2581" t="s">
        <v>48</v>
      </c>
      <c r="F2581" t="s">
        <v>14</v>
      </c>
      <c r="G2581" t="s">
        <v>23</v>
      </c>
      <c r="K2581" cm="1">
        <f t="array" ref="K2581">_xlfn.SWITCH(LeadsData[[#This Row],[Funnel Stage Reached]],"Lead",1,"MQL",2,"SQL",3,"Customer",4)</f>
        <v>2</v>
      </c>
      <c r="L2581" t="str">
        <f>TEXT(LeadsData[[#This Row],[Signup Date]],"mmm-yyyy")</f>
        <v>Oct-2024</v>
      </c>
      <c r="M2581">
        <f>IF(LeadsData[[#This Row],[Stage Number]]&gt;=2,1,0)</f>
        <v>1</v>
      </c>
      <c r="N2581" s="2">
        <f>IF(LeadsData[[#This Row],[Stage Number]]&gt;=3,1,0)</f>
        <v>0</v>
      </c>
      <c r="O2581" s="2">
        <f>IF(LeadsData[[#This Row],[Stage Number]]&gt;=4,1,0)</f>
        <v>0</v>
      </c>
    </row>
    <row r="2582" spans="1:15" x14ac:dyDescent="0.25">
      <c r="A2582" t="s">
        <v>2622</v>
      </c>
      <c r="B2582" s="1">
        <v>45330</v>
      </c>
      <c r="C2582" t="s">
        <v>46</v>
      </c>
      <c r="D2582" t="s">
        <v>47</v>
      </c>
      <c r="E2582" t="s">
        <v>13</v>
      </c>
      <c r="F2582" t="s">
        <v>19</v>
      </c>
      <c r="G2582" t="s">
        <v>15</v>
      </c>
      <c r="K2582" cm="1">
        <f t="array" ref="K2582">_xlfn.SWITCH(LeadsData[[#This Row],[Funnel Stage Reached]],"Lead",1,"MQL",2,"SQL",3,"Customer",4)</f>
        <v>1</v>
      </c>
      <c r="L2582" t="str">
        <f>TEXT(LeadsData[[#This Row],[Signup Date]],"mmm-yyyy")</f>
        <v>Feb-2024</v>
      </c>
      <c r="M2582">
        <f>IF(LeadsData[[#This Row],[Stage Number]]&gt;=2,1,0)</f>
        <v>0</v>
      </c>
      <c r="N2582" s="2">
        <f>IF(LeadsData[[#This Row],[Stage Number]]&gt;=3,1,0)</f>
        <v>0</v>
      </c>
      <c r="O2582" s="2">
        <f>IF(LeadsData[[#This Row],[Stage Number]]&gt;=4,1,0)</f>
        <v>0</v>
      </c>
    </row>
    <row r="2583" spans="1:15" x14ac:dyDescent="0.25">
      <c r="A2583" t="s">
        <v>2623</v>
      </c>
      <c r="B2583" s="1">
        <v>45451</v>
      </c>
      <c r="C2583" t="s">
        <v>11</v>
      </c>
      <c r="D2583" t="s">
        <v>68</v>
      </c>
      <c r="E2583" t="s">
        <v>21</v>
      </c>
      <c r="F2583" t="s">
        <v>19</v>
      </c>
      <c r="G2583" t="s">
        <v>15</v>
      </c>
      <c r="K2583" cm="1">
        <f t="array" ref="K2583">_xlfn.SWITCH(LeadsData[[#This Row],[Funnel Stage Reached]],"Lead",1,"MQL",2,"SQL",3,"Customer",4)</f>
        <v>1</v>
      </c>
      <c r="L2583" t="str">
        <f>TEXT(LeadsData[[#This Row],[Signup Date]],"mmm-yyyy")</f>
        <v>Jun-2024</v>
      </c>
      <c r="M2583">
        <f>IF(LeadsData[[#This Row],[Stage Number]]&gt;=2,1,0)</f>
        <v>0</v>
      </c>
      <c r="N2583" s="2">
        <f>IF(LeadsData[[#This Row],[Stage Number]]&gt;=3,1,0)</f>
        <v>0</v>
      </c>
      <c r="O2583" s="2">
        <f>IF(LeadsData[[#This Row],[Stage Number]]&gt;=4,1,0)</f>
        <v>0</v>
      </c>
    </row>
    <row r="2584" spans="1:15" x14ac:dyDescent="0.25">
      <c r="A2584" t="s">
        <v>2624</v>
      </c>
      <c r="B2584" s="1">
        <v>45302</v>
      </c>
      <c r="C2584" t="s">
        <v>17</v>
      </c>
      <c r="D2584" t="s">
        <v>53</v>
      </c>
      <c r="E2584" t="s">
        <v>13</v>
      </c>
      <c r="F2584" t="s">
        <v>28</v>
      </c>
      <c r="G2584" t="s">
        <v>15</v>
      </c>
      <c r="K2584" cm="1">
        <f t="array" ref="K2584">_xlfn.SWITCH(LeadsData[[#This Row],[Funnel Stage Reached]],"Lead",1,"MQL",2,"SQL",3,"Customer",4)</f>
        <v>1</v>
      </c>
      <c r="L2584" t="str">
        <f>TEXT(LeadsData[[#This Row],[Signup Date]],"mmm-yyyy")</f>
        <v>Jan-2024</v>
      </c>
      <c r="M2584">
        <f>IF(LeadsData[[#This Row],[Stage Number]]&gt;=2,1,0)</f>
        <v>0</v>
      </c>
      <c r="N2584" s="2">
        <f>IF(LeadsData[[#This Row],[Stage Number]]&gt;=3,1,0)</f>
        <v>0</v>
      </c>
      <c r="O2584" s="2">
        <f>IF(LeadsData[[#This Row],[Stage Number]]&gt;=4,1,0)</f>
        <v>0</v>
      </c>
    </row>
    <row r="2585" spans="1:15" x14ac:dyDescent="0.25">
      <c r="A2585" t="s">
        <v>2625</v>
      </c>
      <c r="B2585" s="1">
        <v>45544</v>
      </c>
      <c r="C2585" t="s">
        <v>25</v>
      </c>
      <c r="D2585" t="s">
        <v>26</v>
      </c>
      <c r="E2585" t="s">
        <v>13</v>
      </c>
      <c r="F2585" t="s">
        <v>14</v>
      </c>
      <c r="G2585" t="s">
        <v>23</v>
      </c>
      <c r="K2585" cm="1">
        <f t="array" ref="K2585">_xlfn.SWITCH(LeadsData[[#This Row],[Funnel Stage Reached]],"Lead",1,"MQL",2,"SQL",3,"Customer",4)</f>
        <v>2</v>
      </c>
      <c r="L2585" t="str">
        <f>TEXT(LeadsData[[#This Row],[Signup Date]],"mmm-yyyy")</f>
        <v>Sep-2024</v>
      </c>
      <c r="M2585">
        <f>IF(LeadsData[[#This Row],[Stage Number]]&gt;=2,1,0)</f>
        <v>1</v>
      </c>
      <c r="N2585" s="2">
        <f>IF(LeadsData[[#This Row],[Stage Number]]&gt;=3,1,0)</f>
        <v>0</v>
      </c>
      <c r="O2585" s="2">
        <f>IF(LeadsData[[#This Row],[Stage Number]]&gt;=4,1,0)</f>
        <v>0</v>
      </c>
    </row>
    <row r="2586" spans="1:15" x14ac:dyDescent="0.25">
      <c r="A2586" t="s">
        <v>2626</v>
      </c>
      <c r="B2586" s="1">
        <v>45467</v>
      </c>
      <c r="C2586" t="s">
        <v>31</v>
      </c>
      <c r="D2586" t="s">
        <v>34</v>
      </c>
      <c r="E2586" t="s">
        <v>21</v>
      </c>
      <c r="F2586" t="s">
        <v>22</v>
      </c>
      <c r="G2586" t="s">
        <v>23</v>
      </c>
      <c r="K2586" cm="1">
        <f t="array" ref="K2586">_xlfn.SWITCH(LeadsData[[#This Row],[Funnel Stage Reached]],"Lead",1,"MQL",2,"SQL",3,"Customer",4)</f>
        <v>2</v>
      </c>
      <c r="L2586" t="str">
        <f>TEXT(LeadsData[[#This Row],[Signup Date]],"mmm-yyyy")</f>
        <v>Jun-2024</v>
      </c>
      <c r="M2586">
        <f>IF(LeadsData[[#This Row],[Stage Number]]&gt;=2,1,0)</f>
        <v>1</v>
      </c>
      <c r="N2586" s="2">
        <f>IF(LeadsData[[#This Row],[Stage Number]]&gt;=3,1,0)</f>
        <v>0</v>
      </c>
      <c r="O2586" s="2">
        <f>IF(LeadsData[[#This Row],[Stage Number]]&gt;=4,1,0)</f>
        <v>0</v>
      </c>
    </row>
    <row r="2587" spans="1:15" x14ac:dyDescent="0.25">
      <c r="A2587" t="s">
        <v>2627</v>
      </c>
      <c r="B2587" s="1">
        <v>45540</v>
      </c>
      <c r="C2587" t="s">
        <v>36</v>
      </c>
      <c r="D2587" t="s">
        <v>37</v>
      </c>
      <c r="E2587" t="s">
        <v>21</v>
      </c>
      <c r="F2587" t="s">
        <v>14</v>
      </c>
      <c r="G2587" t="s">
        <v>23</v>
      </c>
      <c r="K2587" cm="1">
        <f t="array" ref="K2587">_xlfn.SWITCH(LeadsData[[#This Row],[Funnel Stage Reached]],"Lead",1,"MQL",2,"SQL",3,"Customer",4)</f>
        <v>2</v>
      </c>
      <c r="L2587" t="str">
        <f>TEXT(LeadsData[[#This Row],[Signup Date]],"mmm-yyyy")</f>
        <v>Sep-2024</v>
      </c>
      <c r="M2587">
        <f>IF(LeadsData[[#This Row],[Stage Number]]&gt;=2,1,0)</f>
        <v>1</v>
      </c>
      <c r="N2587" s="2">
        <f>IF(LeadsData[[#This Row],[Stage Number]]&gt;=3,1,0)</f>
        <v>0</v>
      </c>
      <c r="O2587" s="2">
        <f>IF(LeadsData[[#This Row],[Stage Number]]&gt;=4,1,0)</f>
        <v>0</v>
      </c>
    </row>
    <row r="2588" spans="1:15" x14ac:dyDescent="0.25">
      <c r="A2588" t="s">
        <v>2628</v>
      </c>
      <c r="B2588" s="1">
        <v>45478</v>
      </c>
      <c r="C2588" t="s">
        <v>11</v>
      </c>
      <c r="D2588" t="s">
        <v>79</v>
      </c>
      <c r="E2588" t="s">
        <v>13</v>
      </c>
      <c r="F2588" t="s">
        <v>28</v>
      </c>
      <c r="G2588" t="s">
        <v>23</v>
      </c>
      <c r="K2588" cm="1">
        <f t="array" ref="K2588">_xlfn.SWITCH(LeadsData[[#This Row],[Funnel Stage Reached]],"Lead",1,"MQL",2,"SQL",3,"Customer",4)</f>
        <v>2</v>
      </c>
      <c r="L2588" t="str">
        <f>TEXT(LeadsData[[#This Row],[Signup Date]],"mmm-yyyy")</f>
        <v>Jul-2024</v>
      </c>
      <c r="M2588">
        <f>IF(LeadsData[[#This Row],[Stage Number]]&gt;=2,1,0)</f>
        <v>1</v>
      </c>
      <c r="N2588" s="2">
        <f>IF(LeadsData[[#This Row],[Stage Number]]&gt;=3,1,0)</f>
        <v>0</v>
      </c>
      <c r="O2588" s="2">
        <f>IF(LeadsData[[#This Row],[Stage Number]]&gt;=4,1,0)</f>
        <v>0</v>
      </c>
    </row>
    <row r="2589" spans="1:15" x14ac:dyDescent="0.25">
      <c r="A2589" t="s">
        <v>2629</v>
      </c>
      <c r="B2589" s="1">
        <v>45296</v>
      </c>
      <c r="C2589" t="s">
        <v>25</v>
      </c>
      <c r="D2589" t="s">
        <v>26</v>
      </c>
      <c r="E2589" t="s">
        <v>13</v>
      </c>
      <c r="F2589" t="s">
        <v>28</v>
      </c>
      <c r="G2589" t="s">
        <v>23</v>
      </c>
      <c r="K2589" cm="1">
        <f t="array" ref="K2589">_xlfn.SWITCH(LeadsData[[#This Row],[Funnel Stage Reached]],"Lead",1,"MQL",2,"SQL",3,"Customer",4)</f>
        <v>2</v>
      </c>
      <c r="L2589" t="str">
        <f>TEXT(LeadsData[[#This Row],[Signup Date]],"mmm-yyyy")</f>
        <v>Jan-2024</v>
      </c>
      <c r="M2589">
        <f>IF(LeadsData[[#This Row],[Stage Number]]&gt;=2,1,0)</f>
        <v>1</v>
      </c>
      <c r="N2589" s="2">
        <f>IF(LeadsData[[#This Row],[Stage Number]]&gt;=3,1,0)</f>
        <v>0</v>
      </c>
      <c r="O2589" s="2">
        <f>IF(LeadsData[[#This Row],[Stage Number]]&gt;=4,1,0)</f>
        <v>0</v>
      </c>
    </row>
    <row r="2590" spans="1:15" x14ac:dyDescent="0.25">
      <c r="A2590" t="s">
        <v>2630</v>
      </c>
      <c r="B2590" s="1">
        <v>45615</v>
      </c>
      <c r="C2590" t="s">
        <v>31</v>
      </c>
      <c r="D2590" t="s">
        <v>32</v>
      </c>
      <c r="E2590" t="s">
        <v>21</v>
      </c>
      <c r="F2590" t="s">
        <v>14</v>
      </c>
      <c r="G2590" t="s">
        <v>23</v>
      </c>
      <c r="K2590" cm="1">
        <f t="array" ref="K2590">_xlfn.SWITCH(LeadsData[[#This Row],[Funnel Stage Reached]],"Lead",1,"MQL",2,"SQL",3,"Customer",4)</f>
        <v>2</v>
      </c>
      <c r="L2590" t="str">
        <f>TEXT(LeadsData[[#This Row],[Signup Date]],"mmm-yyyy")</f>
        <v>Nov-2024</v>
      </c>
      <c r="M2590">
        <f>IF(LeadsData[[#This Row],[Stage Number]]&gt;=2,1,0)</f>
        <v>1</v>
      </c>
      <c r="N2590" s="2">
        <f>IF(LeadsData[[#This Row],[Stage Number]]&gt;=3,1,0)</f>
        <v>0</v>
      </c>
      <c r="O2590" s="2">
        <f>IF(LeadsData[[#This Row],[Stage Number]]&gt;=4,1,0)</f>
        <v>0</v>
      </c>
    </row>
    <row r="2591" spans="1:15" x14ac:dyDescent="0.25">
      <c r="A2591" t="s">
        <v>2631</v>
      </c>
      <c r="B2591" s="1">
        <v>45610</v>
      </c>
      <c r="C2591" t="s">
        <v>36</v>
      </c>
      <c r="D2591" t="s">
        <v>37</v>
      </c>
      <c r="E2591" t="s">
        <v>13</v>
      </c>
      <c r="F2591" t="s">
        <v>28</v>
      </c>
      <c r="G2591" t="s">
        <v>15</v>
      </c>
      <c r="K2591" cm="1">
        <f t="array" ref="K2591">_xlfn.SWITCH(LeadsData[[#This Row],[Funnel Stage Reached]],"Lead",1,"MQL",2,"SQL",3,"Customer",4)</f>
        <v>1</v>
      </c>
      <c r="L2591" t="str">
        <f>TEXT(LeadsData[[#This Row],[Signup Date]],"mmm-yyyy")</f>
        <v>Nov-2024</v>
      </c>
      <c r="M2591">
        <f>IF(LeadsData[[#This Row],[Stage Number]]&gt;=2,1,0)</f>
        <v>0</v>
      </c>
      <c r="N2591" s="2">
        <f>IF(LeadsData[[#This Row],[Stage Number]]&gt;=3,1,0)</f>
        <v>0</v>
      </c>
      <c r="O2591" s="2">
        <f>IF(LeadsData[[#This Row],[Stage Number]]&gt;=4,1,0)</f>
        <v>0</v>
      </c>
    </row>
    <row r="2592" spans="1:15" x14ac:dyDescent="0.25">
      <c r="A2592" t="s">
        <v>2632</v>
      </c>
      <c r="B2592" s="1">
        <v>45330</v>
      </c>
      <c r="C2592" t="s">
        <v>17</v>
      </c>
      <c r="D2592" t="s">
        <v>53</v>
      </c>
      <c r="E2592" t="s">
        <v>13</v>
      </c>
      <c r="F2592" t="s">
        <v>14</v>
      </c>
      <c r="G2592" t="s">
        <v>15</v>
      </c>
      <c r="K2592" cm="1">
        <f t="array" ref="K2592">_xlfn.SWITCH(LeadsData[[#This Row],[Funnel Stage Reached]],"Lead",1,"MQL",2,"SQL",3,"Customer",4)</f>
        <v>1</v>
      </c>
      <c r="L2592" t="str">
        <f>TEXT(LeadsData[[#This Row],[Signup Date]],"mmm-yyyy")</f>
        <v>Feb-2024</v>
      </c>
      <c r="M2592">
        <f>IF(LeadsData[[#This Row],[Stage Number]]&gt;=2,1,0)</f>
        <v>0</v>
      </c>
      <c r="N2592" s="2">
        <f>IF(LeadsData[[#This Row],[Stage Number]]&gt;=3,1,0)</f>
        <v>0</v>
      </c>
      <c r="O2592" s="2">
        <f>IF(LeadsData[[#This Row],[Stage Number]]&gt;=4,1,0)</f>
        <v>0</v>
      </c>
    </row>
    <row r="2593" spans="1:15" x14ac:dyDescent="0.25">
      <c r="A2593" t="s">
        <v>2633</v>
      </c>
      <c r="B2593" s="1">
        <v>45309</v>
      </c>
      <c r="C2593" t="s">
        <v>25</v>
      </c>
      <c r="D2593" t="s">
        <v>26</v>
      </c>
      <c r="E2593" t="s">
        <v>21</v>
      </c>
      <c r="F2593" t="s">
        <v>19</v>
      </c>
      <c r="G2593" t="s">
        <v>15</v>
      </c>
      <c r="K2593" cm="1">
        <f t="array" ref="K2593">_xlfn.SWITCH(LeadsData[[#This Row],[Funnel Stage Reached]],"Lead",1,"MQL",2,"SQL",3,"Customer",4)</f>
        <v>1</v>
      </c>
      <c r="L2593" t="str">
        <f>TEXT(LeadsData[[#This Row],[Signup Date]],"mmm-yyyy")</f>
        <v>Jan-2024</v>
      </c>
      <c r="M2593">
        <f>IF(LeadsData[[#This Row],[Stage Number]]&gt;=2,1,0)</f>
        <v>0</v>
      </c>
      <c r="N2593" s="2">
        <f>IF(LeadsData[[#This Row],[Stage Number]]&gt;=3,1,0)</f>
        <v>0</v>
      </c>
      <c r="O2593" s="2">
        <f>IF(LeadsData[[#This Row],[Stage Number]]&gt;=4,1,0)</f>
        <v>0</v>
      </c>
    </row>
    <row r="2594" spans="1:15" x14ac:dyDescent="0.25">
      <c r="A2594" t="s">
        <v>2634</v>
      </c>
      <c r="B2594" s="1">
        <v>45501</v>
      </c>
      <c r="C2594" t="s">
        <v>25</v>
      </c>
      <c r="D2594" t="s">
        <v>26</v>
      </c>
      <c r="E2594" t="s">
        <v>48</v>
      </c>
      <c r="F2594" t="s">
        <v>22</v>
      </c>
      <c r="G2594" t="s">
        <v>15</v>
      </c>
      <c r="K2594" cm="1">
        <f t="array" ref="K2594">_xlfn.SWITCH(LeadsData[[#This Row],[Funnel Stage Reached]],"Lead",1,"MQL",2,"SQL",3,"Customer",4)</f>
        <v>1</v>
      </c>
      <c r="L2594" t="str">
        <f>TEXT(LeadsData[[#This Row],[Signup Date]],"mmm-yyyy")</f>
        <v>Jul-2024</v>
      </c>
      <c r="M2594">
        <f>IF(LeadsData[[#This Row],[Stage Number]]&gt;=2,1,0)</f>
        <v>0</v>
      </c>
      <c r="N2594" s="2">
        <f>IF(LeadsData[[#This Row],[Stage Number]]&gt;=3,1,0)</f>
        <v>0</v>
      </c>
      <c r="O2594" s="2">
        <f>IF(LeadsData[[#This Row],[Stage Number]]&gt;=4,1,0)</f>
        <v>0</v>
      </c>
    </row>
    <row r="2595" spans="1:15" x14ac:dyDescent="0.25">
      <c r="A2595" t="s">
        <v>2635</v>
      </c>
      <c r="B2595" s="1">
        <v>45574</v>
      </c>
      <c r="C2595" t="s">
        <v>31</v>
      </c>
      <c r="D2595" t="s">
        <v>32</v>
      </c>
      <c r="E2595" t="s">
        <v>21</v>
      </c>
      <c r="F2595" t="s">
        <v>19</v>
      </c>
      <c r="G2595" t="s">
        <v>42</v>
      </c>
      <c r="H2595">
        <v>40</v>
      </c>
      <c r="I2595" t="s">
        <v>43</v>
      </c>
      <c r="J2595">
        <v>1282.51</v>
      </c>
      <c r="K2595" cm="1">
        <f t="array" ref="K2595">_xlfn.SWITCH(LeadsData[[#This Row],[Funnel Stage Reached]],"Lead",1,"MQL",2,"SQL",3,"Customer",4)</f>
        <v>4</v>
      </c>
      <c r="L2595" t="str">
        <f>TEXT(LeadsData[[#This Row],[Signup Date]],"mmm-yyyy")</f>
        <v>Oct-2024</v>
      </c>
      <c r="M2595">
        <f>IF(LeadsData[[#This Row],[Stage Number]]&gt;=2,1,0)</f>
        <v>1</v>
      </c>
      <c r="N2595" s="2">
        <f>IF(LeadsData[[#This Row],[Stage Number]]&gt;=3,1,0)</f>
        <v>1</v>
      </c>
      <c r="O2595" s="2">
        <f>IF(LeadsData[[#This Row],[Stage Number]]&gt;=4,1,0)</f>
        <v>1</v>
      </c>
    </row>
    <row r="2596" spans="1:15" x14ac:dyDescent="0.25">
      <c r="A2596" t="s">
        <v>2636</v>
      </c>
      <c r="B2596" s="1">
        <v>45505</v>
      </c>
      <c r="C2596" t="s">
        <v>46</v>
      </c>
      <c r="D2596" t="s">
        <v>47</v>
      </c>
      <c r="E2596" t="s">
        <v>13</v>
      </c>
      <c r="F2596" t="s">
        <v>19</v>
      </c>
      <c r="G2596" t="s">
        <v>15</v>
      </c>
      <c r="K2596" cm="1">
        <f t="array" ref="K2596">_xlfn.SWITCH(LeadsData[[#This Row],[Funnel Stage Reached]],"Lead",1,"MQL",2,"SQL",3,"Customer",4)</f>
        <v>1</v>
      </c>
      <c r="L2596" t="str">
        <f>TEXT(LeadsData[[#This Row],[Signup Date]],"mmm-yyyy")</f>
        <v>Aug-2024</v>
      </c>
      <c r="M2596">
        <f>IF(LeadsData[[#This Row],[Stage Number]]&gt;=2,1,0)</f>
        <v>0</v>
      </c>
      <c r="N2596" s="2">
        <f>IF(LeadsData[[#This Row],[Stage Number]]&gt;=3,1,0)</f>
        <v>0</v>
      </c>
      <c r="O2596" s="2">
        <f>IF(LeadsData[[#This Row],[Stage Number]]&gt;=4,1,0)</f>
        <v>0</v>
      </c>
    </row>
    <row r="2597" spans="1:15" x14ac:dyDescent="0.25">
      <c r="A2597" t="s">
        <v>2637</v>
      </c>
      <c r="B2597" s="1">
        <v>45319</v>
      </c>
      <c r="C2597" t="s">
        <v>31</v>
      </c>
      <c r="D2597" t="s">
        <v>32</v>
      </c>
      <c r="E2597" t="s">
        <v>21</v>
      </c>
      <c r="F2597" t="s">
        <v>28</v>
      </c>
      <c r="G2597" t="s">
        <v>15</v>
      </c>
      <c r="K2597" cm="1">
        <f t="array" ref="K2597">_xlfn.SWITCH(LeadsData[[#This Row],[Funnel Stage Reached]],"Lead",1,"MQL",2,"SQL",3,"Customer",4)</f>
        <v>1</v>
      </c>
      <c r="L2597" t="str">
        <f>TEXT(LeadsData[[#This Row],[Signup Date]],"mmm-yyyy")</f>
        <v>Jan-2024</v>
      </c>
      <c r="M2597">
        <f>IF(LeadsData[[#This Row],[Stage Number]]&gt;=2,1,0)</f>
        <v>0</v>
      </c>
      <c r="N2597" s="2">
        <f>IF(LeadsData[[#This Row],[Stage Number]]&gt;=3,1,0)</f>
        <v>0</v>
      </c>
      <c r="O2597" s="2">
        <f>IF(LeadsData[[#This Row],[Stage Number]]&gt;=4,1,0)</f>
        <v>0</v>
      </c>
    </row>
    <row r="2598" spans="1:15" x14ac:dyDescent="0.25">
      <c r="A2598" t="s">
        <v>2638</v>
      </c>
      <c r="B2598" s="1">
        <v>45449</v>
      </c>
      <c r="C2598" t="s">
        <v>31</v>
      </c>
      <c r="D2598" t="s">
        <v>34</v>
      </c>
      <c r="E2598" t="s">
        <v>13</v>
      </c>
      <c r="F2598" t="s">
        <v>22</v>
      </c>
      <c r="G2598" t="s">
        <v>15</v>
      </c>
      <c r="K2598" cm="1">
        <f t="array" ref="K2598">_xlfn.SWITCH(LeadsData[[#This Row],[Funnel Stage Reached]],"Lead",1,"MQL",2,"SQL",3,"Customer",4)</f>
        <v>1</v>
      </c>
      <c r="L2598" t="str">
        <f>TEXT(LeadsData[[#This Row],[Signup Date]],"mmm-yyyy")</f>
        <v>Jun-2024</v>
      </c>
      <c r="M2598">
        <f>IF(LeadsData[[#This Row],[Stage Number]]&gt;=2,1,0)</f>
        <v>0</v>
      </c>
      <c r="N2598" s="2">
        <f>IF(LeadsData[[#This Row],[Stage Number]]&gt;=3,1,0)</f>
        <v>0</v>
      </c>
      <c r="O2598" s="2">
        <f>IF(LeadsData[[#This Row],[Stage Number]]&gt;=4,1,0)</f>
        <v>0</v>
      </c>
    </row>
    <row r="2599" spans="1:15" x14ac:dyDescent="0.25">
      <c r="A2599" t="s">
        <v>2639</v>
      </c>
      <c r="B2599" s="1">
        <v>45540</v>
      </c>
      <c r="C2599" t="s">
        <v>46</v>
      </c>
      <c r="D2599" t="s">
        <v>56</v>
      </c>
      <c r="E2599" t="s">
        <v>21</v>
      </c>
      <c r="F2599" t="s">
        <v>22</v>
      </c>
      <c r="G2599" t="s">
        <v>23</v>
      </c>
      <c r="K2599" cm="1">
        <f t="array" ref="K2599">_xlfn.SWITCH(LeadsData[[#This Row],[Funnel Stage Reached]],"Lead",1,"MQL",2,"SQL",3,"Customer",4)</f>
        <v>2</v>
      </c>
      <c r="L2599" t="str">
        <f>TEXT(LeadsData[[#This Row],[Signup Date]],"mmm-yyyy")</f>
        <v>Sep-2024</v>
      </c>
      <c r="M2599">
        <f>IF(LeadsData[[#This Row],[Stage Number]]&gt;=2,1,0)</f>
        <v>1</v>
      </c>
      <c r="N2599" s="2">
        <f>IF(LeadsData[[#This Row],[Stage Number]]&gt;=3,1,0)</f>
        <v>0</v>
      </c>
      <c r="O2599" s="2">
        <f>IF(LeadsData[[#This Row],[Stage Number]]&gt;=4,1,0)</f>
        <v>0</v>
      </c>
    </row>
    <row r="2600" spans="1:15" x14ac:dyDescent="0.25">
      <c r="A2600" t="s">
        <v>2640</v>
      </c>
      <c r="B2600" s="1">
        <v>45560</v>
      </c>
      <c r="C2600" t="s">
        <v>25</v>
      </c>
      <c r="D2600" t="s">
        <v>26</v>
      </c>
      <c r="E2600" t="s">
        <v>21</v>
      </c>
      <c r="F2600" t="s">
        <v>19</v>
      </c>
      <c r="G2600" t="s">
        <v>15</v>
      </c>
      <c r="K2600" cm="1">
        <f t="array" ref="K2600">_xlfn.SWITCH(LeadsData[[#This Row],[Funnel Stage Reached]],"Lead",1,"MQL",2,"SQL",3,"Customer",4)</f>
        <v>1</v>
      </c>
      <c r="L2600" t="str">
        <f>TEXT(LeadsData[[#This Row],[Signup Date]],"mmm-yyyy")</f>
        <v>Sep-2024</v>
      </c>
      <c r="M2600">
        <f>IF(LeadsData[[#This Row],[Stage Number]]&gt;=2,1,0)</f>
        <v>0</v>
      </c>
      <c r="N2600" s="2">
        <f>IF(LeadsData[[#This Row],[Stage Number]]&gt;=3,1,0)</f>
        <v>0</v>
      </c>
      <c r="O2600" s="2">
        <f>IF(LeadsData[[#This Row],[Stage Number]]&gt;=4,1,0)</f>
        <v>0</v>
      </c>
    </row>
    <row r="2601" spans="1:15" x14ac:dyDescent="0.25">
      <c r="A2601" t="s">
        <v>2641</v>
      </c>
      <c r="B2601" s="1">
        <v>45301</v>
      </c>
      <c r="C2601" t="s">
        <v>25</v>
      </c>
      <c r="D2601" t="s">
        <v>26</v>
      </c>
      <c r="E2601" t="s">
        <v>21</v>
      </c>
      <c r="F2601" t="s">
        <v>28</v>
      </c>
      <c r="G2601" t="s">
        <v>15</v>
      </c>
      <c r="K2601" cm="1">
        <f t="array" ref="K2601">_xlfn.SWITCH(LeadsData[[#This Row],[Funnel Stage Reached]],"Lead",1,"MQL",2,"SQL",3,"Customer",4)</f>
        <v>1</v>
      </c>
      <c r="L2601" t="str">
        <f>TEXT(LeadsData[[#This Row],[Signup Date]],"mmm-yyyy")</f>
        <v>Jan-2024</v>
      </c>
      <c r="M2601">
        <f>IF(LeadsData[[#This Row],[Stage Number]]&gt;=2,1,0)</f>
        <v>0</v>
      </c>
      <c r="N2601" s="2">
        <f>IF(LeadsData[[#This Row],[Stage Number]]&gt;=3,1,0)</f>
        <v>0</v>
      </c>
      <c r="O2601" s="2">
        <f>IF(LeadsData[[#This Row],[Stage Number]]&gt;=4,1,0)</f>
        <v>0</v>
      </c>
    </row>
    <row r="2602" spans="1:15" x14ac:dyDescent="0.25">
      <c r="A2602" t="s">
        <v>2642</v>
      </c>
      <c r="B2602" s="1">
        <v>45621</v>
      </c>
      <c r="C2602" t="s">
        <v>17</v>
      </c>
      <c r="D2602" t="s">
        <v>18</v>
      </c>
      <c r="E2602" t="s">
        <v>48</v>
      </c>
      <c r="F2602" t="s">
        <v>14</v>
      </c>
      <c r="G2602" t="s">
        <v>15</v>
      </c>
      <c r="K2602" cm="1">
        <f t="array" ref="K2602">_xlfn.SWITCH(LeadsData[[#This Row],[Funnel Stage Reached]],"Lead",1,"MQL",2,"SQL",3,"Customer",4)</f>
        <v>1</v>
      </c>
      <c r="L2602" t="str">
        <f>TEXT(LeadsData[[#This Row],[Signup Date]],"mmm-yyyy")</f>
        <v>Nov-2024</v>
      </c>
      <c r="M2602">
        <f>IF(LeadsData[[#This Row],[Stage Number]]&gt;=2,1,0)</f>
        <v>0</v>
      </c>
      <c r="N2602" s="2">
        <f>IF(LeadsData[[#This Row],[Stage Number]]&gt;=3,1,0)</f>
        <v>0</v>
      </c>
      <c r="O2602" s="2">
        <f>IF(LeadsData[[#This Row],[Stage Number]]&gt;=4,1,0)</f>
        <v>0</v>
      </c>
    </row>
    <row r="2603" spans="1:15" x14ac:dyDescent="0.25">
      <c r="A2603" t="s">
        <v>2643</v>
      </c>
      <c r="B2603" s="1">
        <v>45345</v>
      </c>
      <c r="C2603" t="s">
        <v>25</v>
      </c>
      <c r="D2603" t="s">
        <v>26</v>
      </c>
      <c r="E2603" t="s">
        <v>21</v>
      </c>
      <c r="F2603" t="s">
        <v>19</v>
      </c>
      <c r="G2603" t="s">
        <v>23</v>
      </c>
      <c r="K2603" cm="1">
        <f t="array" ref="K2603">_xlfn.SWITCH(LeadsData[[#This Row],[Funnel Stage Reached]],"Lead",1,"MQL",2,"SQL",3,"Customer",4)</f>
        <v>2</v>
      </c>
      <c r="L2603" t="str">
        <f>TEXT(LeadsData[[#This Row],[Signup Date]],"mmm-yyyy")</f>
        <v>Feb-2024</v>
      </c>
      <c r="M2603">
        <f>IF(LeadsData[[#This Row],[Stage Number]]&gt;=2,1,0)</f>
        <v>1</v>
      </c>
      <c r="N2603" s="2">
        <f>IF(LeadsData[[#This Row],[Stage Number]]&gt;=3,1,0)</f>
        <v>0</v>
      </c>
      <c r="O2603" s="2">
        <f>IF(LeadsData[[#This Row],[Stage Number]]&gt;=4,1,0)</f>
        <v>0</v>
      </c>
    </row>
    <row r="2604" spans="1:15" x14ac:dyDescent="0.25">
      <c r="A2604" t="s">
        <v>2644</v>
      </c>
      <c r="B2604" s="1">
        <v>45634</v>
      </c>
      <c r="C2604" t="s">
        <v>31</v>
      </c>
      <c r="D2604" t="s">
        <v>32</v>
      </c>
      <c r="E2604" t="s">
        <v>21</v>
      </c>
      <c r="F2604" t="s">
        <v>22</v>
      </c>
      <c r="G2604" t="s">
        <v>23</v>
      </c>
      <c r="K2604" cm="1">
        <f t="array" ref="K2604">_xlfn.SWITCH(LeadsData[[#This Row],[Funnel Stage Reached]],"Lead",1,"MQL",2,"SQL",3,"Customer",4)</f>
        <v>2</v>
      </c>
      <c r="L2604" t="str">
        <f>TEXT(LeadsData[[#This Row],[Signup Date]],"mmm-yyyy")</f>
        <v>Dec-2024</v>
      </c>
      <c r="M2604">
        <f>IF(LeadsData[[#This Row],[Stage Number]]&gt;=2,1,0)</f>
        <v>1</v>
      </c>
      <c r="N2604" s="2">
        <f>IF(LeadsData[[#This Row],[Stage Number]]&gt;=3,1,0)</f>
        <v>0</v>
      </c>
      <c r="O2604" s="2">
        <f>IF(LeadsData[[#This Row],[Stage Number]]&gt;=4,1,0)</f>
        <v>0</v>
      </c>
    </row>
    <row r="2605" spans="1:15" x14ac:dyDescent="0.25">
      <c r="A2605" t="s">
        <v>2645</v>
      </c>
      <c r="B2605" s="1">
        <v>45388</v>
      </c>
      <c r="C2605" t="s">
        <v>46</v>
      </c>
      <c r="D2605" t="s">
        <v>47</v>
      </c>
      <c r="E2605" t="s">
        <v>13</v>
      </c>
      <c r="F2605" t="s">
        <v>22</v>
      </c>
      <c r="G2605" t="s">
        <v>42</v>
      </c>
      <c r="H2605">
        <v>58</v>
      </c>
      <c r="I2605" t="s">
        <v>43</v>
      </c>
      <c r="J2605">
        <v>618.79999999999995</v>
      </c>
      <c r="K2605" cm="1">
        <f t="array" ref="K2605">_xlfn.SWITCH(LeadsData[[#This Row],[Funnel Stage Reached]],"Lead",1,"MQL",2,"SQL",3,"Customer",4)</f>
        <v>4</v>
      </c>
      <c r="L2605" t="str">
        <f>TEXT(LeadsData[[#This Row],[Signup Date]],"mmm-yyyy")</f>
        <v>Apr-2024</v>
      </c>
      <c r="M2605">
        <f>IF(LeadsData[[#This Row],[Stage Number]]&gt;=2,1,0)</f>
        <v>1</v>
      </c>
      <c r="N2605" s="2">
        <f>IF(LeadsData[[#This Row],[Stage Number]]&gt;=3,1,0)</f>
        <v>1</v>
      </c>
      <c r="O2605" s="2">
        <f>IF(LeadsData[[#This Row],[Stage Number]]&gt;=4,1,0)</f>
        <v>1</v>
      </c>
    </row>
    <row r="2606" spans="1:15" x14ac:dyDescent="0.25">
      <c r="A2606" t="s">
        <v>2646</v>
      </c>
      <c r="B2606" s="1">
        <v>45593</v>
      </c>
      <c r="C2606" t="s">
        <v>46</v>
      </c>
      <c r="D2606" t="s">
        <v>56</v>
      </c>
      <c r="E2606" t="s">
        <v>21</v>
      </c>
      <c r="F2606" t="s">
        <v>19</v>
      </c>
      <c r="G2606" t="s">
        <v>15</v>
      </c>
      <c r="K2606" cm="1">
        <f t="array" ref="K2606">_xlfn.SWITCH(LeadsData[[#This Row],[Funnel Stage Reached]],"Lead",1,"MQL",2,"SQL",3,"Customer",4)</f>
        <v>1</v>
      </c>
      <c r="L2606" t="str">
        <f>TEXT(LeadsData[[#This Row],[Signup Date]],"mmm-yyyy")</f>
        <v>Oct-2024</v>
      </c>
      <c r="M2606">
        <f>IF(LeadsData[[#This Row],[Stage Number]]&gt;=2,1,0)</f>
        <v>0</v>
      </c>
      <c r="N2606" s="2">
        <f>IF(LeadsData[[#This Row],[Stage Number]]&gt;=3,1,0)</f>
        <v>0</v>
      </c>
      <c r="O2606" s="2">
        <f>IF(LeadsData[[#This Row],[Stage Number]]&gt;=4,1,0)</f>
        <v>0</v>
      </c>
    </row>
    <row r="2607" spans="1:15" x14ac:dyDescent="0.25">
      <c r="A2607" t="s">
        <v>2647</v>
      </c>
      <c r="B2607" s="1">
        <v>45631</v>
      </c>
      <c r="C2607" t="s">
        <v>11</v>
      </c>
      <c r="D2607" t="s">
        <v>12</v>
      </c>
      <c r="E2607" t="s">
        <v>13</v>
      </c>
      <c r="F2607" t="s">
        <v>22</v>
      </c>
      <c r="G2607" t="s">
        <v>15</v>
      </c>
      <c r="K2607" cm="1">
        <f t="array" ref="K2607">_xlfn.SWITCH(LeadsData[[#This Row],[Funnel Stage Reached]],"Lead",1,"MQL",2,"SQL",3,"Customer",4)</f>
        <v>1</v>
      </c>
      <c r="L2607" t="str">
        <f>TEXT(LeadsData[[#This Row],[Signup Date]],"mmm-yyyy")</f>
        <v>Dec-2024</v>
      </c>
      <c r="M2607">
        <f>IF(LeadsData[[#This Row],[Stage Number]]&gt;=2,1,0)</f>
        <v>0</v>
      </c>
      <c r="N2607" s="2">
        <f>IF(LeadsData[[#This Row],[Stage Number]]&gt;=3,1,0)</f>
        <v>0</v>
      </c>
      <c r="O2607" s="2">
        <f>IF(LeadsData[[#This Row],[Stage Number]]&gt;=4,1,0)</f>
        <v>0</v>
      </c>
    </row>
    <row r="2608" spans="1:15" x14ac:dyDescent="0.25">
      <c r="A2608" t="s">
        <v>2648</v>
      </c>
      <c r="B2608" s="1">
        <v>45358</v>
      </c>
      <c r="C2608" t="s">
        <v>46</v>
      </c>
      <c r="D2608" t="s">
        <v>47</v>
      </c>
      <c r="E2608" t="s">
        <v>21</v>
      </c>
      <c r="F2608" t="s">
        <v>22</v>
      </c>
      <c r="G2608" t="s">
        <v>29</v>
      </c>
      <c r="K2608" cm="1">
        <f t="array" ref="K2608">_xlfn.SWITCH(LeadsData[[#This Row],[Funnel Stage Reached]],"Lead",1,"MQL",2,"SQL",3,"Customer",4)</f>
        <v>3</v>
      </c>
      <c r="L2608" t="str">
        <f>TEXT(LeadsData[[#This Row],[Signup Date]],"mmm-yyyy")</f>
        <v>Mar-2024</v>
      </c>
      <c r="M2608">
        <f>IF(LeadsData[[#This Row],[Stage Number]]&gt;=2,1,0)</f>
        <v>1</v>
      </c>
      <c r="N2608" s="2">
        <f>IF(LeadsData[[#This Row],[Stage Number]]&gt;=3,1,0)</f>
        <v>1</v>
      </c>
      <c r="O2608" s="2">
        <f>IF(LeadsData[[#This Row],[Stage Number]]&gt;=4,1,0)</f>
        <v>0</v>
      </c>
    </row>
    <row r="2609" spans="1:15" x14ac:dyDescent="0.25">
      <c r="A2609" t="s">
        <v>2649</v>
      </c>
      <c r="B2609" s="1">
        <v>45311</v>
      </c>
      <c r="C2609" t="s">
        <v>36</v>
      </c>
      <c r="D2609" t="s">
        <v>37</v>
      </c>
      <c r="E2609" t="s">
        <v>21</v>
      </c>
      <c r="F2609" t="s">
        <v>19</v>
      </c>
      <c r="G2609" t="s">
        <v>42</v>
      </c>
      <c r="H2609">
        <v>42</v>
      </c>
      <c r="I2609" t="s">
        <v>43</v>
      </c>
      <c r="J2609">
        <v>786.69</v>
      </c>
      <c r="K2609" cm="1">
        <f t="array" ref="K2609">_xlfn.SWITCH(LeadsData[[#This Row],[Funnel Stage Reached]],"Lead",1,"MQL",2,"SQL",3,"Customer",4)</f>
        <v>4</v>
      </c>
      <c r="L2609" t="str">
        <f>TEXT(LeadsData[[#This Row],[Signup Date]],"mmm-yyyy")</f>
        <v>Jan-2024</v>
      </c>
      <c r="M2609">
        <f>IF(LeadsData[[#This Row],[Stage Number]]&gt;=2,1,0)</f>
        <v>1</v>
      </c>
      <c r="N2609" s="2">
        <f>IF(LeadsData[[#This Row],[Stage Number]]&gt;=3,1,0)</f>
        <v>1</v>
      </c>
      <c r="O2609" s="2">
        <f>IF(LeadsData[[#This Row],[Stage Number]]&gt;=4,1,0)</f>
        <v>1</v>
      </c>
    </row>
    <row r="2610" spans="1:15" x14ac:dyDescent="0.25">
      <c r="A2610" t="s">
        <v>2650</v>
      </c>
      <c r="B2610" s="1">
        <v>45438</v>
      </c>
      <c r="C2610" t="s">
        <v>31</v>
      </c>
      <c r="D2610" t="s">
        <v>32</v>
      </c>
      <c r="E2610" t="s">
        <v>13</v>
      </c>
      <c r="F2610" t="s">
        <v>28</v>
      </c>
      <c r="G2610" t="s">
        <v>23</v>
      </c>
      <c r="K2610" cm="1">
        <f t="array" ref="K2610">_xlfn.SWITCH(LeadsData[[#This Row],[Funnel Stage Reached]],"Lead",1,"MQL",2,"SQL",3,"Customer",4)</f>
        <v>2</v>
      </c>
      <c r="L2610" t="str">
        <f>TEXT(LeadsData[[#This Row],[Signup Date]],"mmm-yyyy")</f>
        <v>May-2024</v>
      </c>
      <c r="M2610">
        <f>IF(LeadsData[[#This Row],[Stage Number]]&gt;=2,1,0)</f>
        <v>1</v>
      </c>
      <c r="N2610" s="2">
        <f>IF(LeadsData[[#This Row],[Stage Number]]&gt;=3,1,0)</f>
        <v>0</v>
      </c>
      <c r="O2610" s="2">
        <f>IF(LeadsData[[#This Row],[Stage Number]]&gt;=4,1,0)</f>
        <v>0</v>
      </c>
    </row>
    <row r="2611" spans="1:15" x14ac:dyDescent="0.25">
      <c r="A2611" t="s">
        <v>2651</v>
      </c>
      <c r="B2611" s="1">
        <v>45377</v>
      </c>
      <c r="C2611" t="s">
        <v>25</v>
      </c>
      <c r="D2611" t="s">
        <v>26</v>
      </c>
      <c r="E2611" t="s">
        <v>13</v>
      </c>
      <c r="F2611" t="s">
        <v>28</v>
      </c>
      <c r="G2611" t="s">
        <v>15</v>
      </c>
      <c r="K2611" cm="1">
        <f t="array" ref="K2611">_xlfn.SWITCH(LeadsData[[#This Row],[Funnel Stage Reached]],"Lead",1,"MQL",2,"SQL",3,"Customer",4)</f>
        <v>1</v>
      </c>
      <c r="L2611" t="str">
        <f>TEXT(LeadsData[[#This Row],[Signup Date]],"mmm-yyyy")</f>
        <v>Mar-2024</v>
      </c>
      <c r="M2611">
        <f>IF(LeadsData[[#This Row],[Stage Number]]&gt;=2,1,0)</f>
        <v>0</v>
      </c>
      <c r="N2611" s="2">
        <f>IF(LeadsData[[#This Row],[Stage Number]]&gt;=3,1,0)</f>
        <v>0</v>
      </c>
      <c r="O2611" s="2">
        <f>IF(LeadsData[[#This Row],[Stage Number]]&gt;=4,1,0)</f>
        <v>0</v>
      </c>
    </row>
    <row r="2612" spans="1:15" x14ac:dyDescent="0.25">
      <c r="A2612" t="s">
        <v>2652</v>
      </c>
      <c r="B2612" s="1">
        <v>45430</v>
      </c>
      <c r="C2612" t="s">
        <v>11</v>
      </c>
      <c r="D2612" t="s">
        <v>68</v>
      </c>
      <c r="E2612" t="s">
        <v>13</v>
      </c>
      <c r="F2612" t="s">
        <v>19</v>
      </c>
      <c r="G2612" t="s">
        <v>15</v>
      </c>
      <c r="K2612" cm="1">
        <f t="array" ref="K2612">_xlfn.SWITCH(LeadsData[[#This Row],[Funnel Stage Reached]],"Lead",1,"MQL",2,"SQL",3,"Customer",4)</f>
        <v>1</v>
      </c>
      <c r="L2612" t="str">
        <f>TEXT(LeadsData[[#This Row],[Signup Date]],"mmm-yyyy")</f>
        <v>May-2024</v>
      </c>
      <c r="M2612">
        <f>IF(LeadsData[[#This Row],[Stage Number]]&gt;=2,1,0)</f>
        <v>0</v>
      </c>
      <c r="N2612" s="2">
        <f>IF(LeadsData[[#This Row],[Stage Number]]&gt;=3,1,0)</f>
        <v>0</v>
      </c>
      <c r="O2612" s="2">
        <f>IF(LeadsData[[#This Row],[Stage Number]]&gt;=4,1,0)</f>
        <v>0</v>
      </c>
    </row>
    <row r="2613" spans="1:15" x14ac:dyDescent="0.25">
      <c r="A2613" t="s">
        <v>2653</v>
      </c>
      <c r="B2613" s="1">
        <v>45638</v>
      </c>
      <c r="C2613" t="s">
        <v>46</v>
      </c>
      <c r="D2613" t="s">
        <v>56</v>
      </c>
      <c r="E2613" t="s">
        <v>48</v>
      </c>
      <c r="F2613" t="s">
        <v>19</v>
      </c>
      <c r="G2613" t="s">
        <v>23</v>
      </c>
      <c r="K2613" cm="1">
        <f t="array" ref="K2613">_xlfn.SWITCH(LeadsData[[#This Row],[Funnel Stage Reached]],"Lead",1,"MQL",2,"SQL",3,"Customer",4)</f>
        <v>2</v>
      </c>
      <c r="L2613" t="str">
        <f>TEXT(LeadsData[[#This Row],[Signup Date]],"mmm-yyyy")</f>
        <v>Dec-2024</v>
      </c>
      <c r="M2613">
        <f>IF(LeadsData[[#This Row],[Stage Number]]&gt;=2,1,0)</f>
        <v>1</v>
      </c>
      <c r="N2613" s="2">
        <f>IF(LeadsData[[#This Row],[Stage Number]]&gt;=3,1,0)</f>
        <v>0</v>
      </c>
      <c r="O2613" s="2">
        <f>IF(LeadsData[[#This Row],[Stage Number]]&gt;=4,1,0)</f>
        <v>0</v>
      </c>
    </row>
    <row r="2614" spans="1:15" x14ac:dyDescent="0.25">
      <c r="A2614" t="s">
        <v>2654</v>
      </c>
      <c r="B2614" s="1">
        <v>45653</v>
      </c>
      <c r="C2614" t="s">
        <v>46</v>
      </c>
      <c r="D2614" t="s">
        <v>47</v>
      </c>
      <c r="E2614" t="s">
        <v>21</v>
      </c>
      <c r="F2614" t="s">
        <v>22</v>
      </c>
      <c r="G2614" t="s">
        <v>42</v>
      </c>
      <c r="H2614">
        <v>21</v>
      </c>
      <c r="I2614" t="s">
        <v>43</v>
      </c>
      <c r="J2614">
        <v>941.6</v>
      </c>
      <c r="K2614" cm="1">
        <f t="array" ref="K2614">_xlfn.SWITCH(LeadsData[[#This Row],[Funnel Stage Reached]],"Lead",1,"MQL",2,"SQL",3,"Customer",4)</f>
        <v>4</v>
      </c>
      <c r="L2614" t="str">
        <f>TEXT(LeadsData[[#This Row],[Signup Date]],"mmm-yyyy")</f>
        <v>Dec-2024</v>
      </c>
      <c r="M2614">
        <f>IF(LeadsData[[#This Row],[Stage Number]]&gt;=2,1,0)</f>
        <v>1</v>
      </c>
      <c r="N2614" s="2">
        <f>IF(LeadsData[[#This Row],[Stage Number]]&gt;=3,1,0)</f>
        <v>1</v>
      </c>
      <c r="O2614" s="2">
        <f>IF(LeadsData[[#This Row],[Stage Number]]&gt;=4,1,0)</f>
        <v>1</v>
      </c>
    </row>
    <row r="2615" spans="1:15" x14ac:dyDescent="0.25">
      <c r="A2615" t="s">
        <v>2655</v>
      </c>
      <c r="B2615" s="1">
        <v>45604</v>
      </c>
      <c r="C2615" t="s">
        <v>11</v>
      </c>
      <c r="D2615" t="s">
        <v>68</v>
      </c>
      <c r="E2615" t="s">
        <v>21</v>
      </c>
      <c r="F2615" t="s">
        <v>19</v>
      </c>
      <c r="G2615" t="s">
        <v>42</v>
      </c>
      <c r="H2615">
        <v>31</v>
      </c>
      <c r="I2615" t="s">
        <v>87</v>
      </c>
      <c r="J2615">
        <v>4546.1899999999996</v>
      </c>
      <c r="K2615" cm="1">
        <f t="array" ref="K2615">_xlfn.SWITCH(LeadsData[[#This Row],[Funnel Stage Reached]],"Lead",1,"MQL",2,"SQL",3,"Customer",4)</f>
        <v>4</v>
      </c>
      <c r="L2615" t="str">
        <f>TEXT(LeadsData[[#This Row],[Signup Date]],"mmm-yyyy")</f>
        <v>Nov-2024</v>
      </c>
      <c r="M2615">
        <f>IF(LeadsData[[#This Row],[Stage Number]]&gt;=2,1,0)</f>
        <v>1</v>
      </c>
      <c r="N2615" s="2">
        <f>IF(LeadsData[[#This Row],[Stage Number]]&gt;=3,1,0)</f>
        <v>1</v>
      </c>
      <c r="O2615" s="2">
        <f>IF(LeadsData[[#This Row],[Stage Number]]&gt;=4,1,0)</f>
        <v>1</v>
      </c>
    </row>
    <row r="2616" spans="1:15" x14ac:dyDescent="0.25">
      <c r="A2616" t="s">
        <v>2656</v>
      </c>
      <c r="B2616" s="1">
        <v>45622</v>
      </c>
      <c r="C2616" t="s">
        <v>31</v>
      </c>
      <c r="D2616" t="s">
        <v>34</v>
      </c>
      <c r="E2616" t="s">
        <v>13</v>
      </c>
      <c r="F2616" t="s">
        <v>19</v>
      </c>
      <c r="G2616" t="s">
        <v>15</v>
      </c>
      <c r="K2616" cm="1">
        <f t="array" ref="K2616">_xlfn.SWITCH(LeadsData[[#This Row],[Funnel Stage Reached]],"Lead",1,"MQL",2,"SQL",3,"Customer",4)</f>
        <v>1</v>
      </c>
      <c r="L2616" t="str">
        <f>TEXT(LeadsData[[#This Row],[Signup Date]],"mmm-yyyy")</f>
        <v>Nov-2024</v>
      </c>
      <c r="M2616">
        <f>IF(LeadsData[[#This Row],[Stage Number]]&gt;=2,1,0)</f>
        <v>0</v>
      </c>
      <c r="N2616" s="2">
        <f>IF(LeadsData[[#This Row],[Stage Number]]&gt;=3,1,0)</f>
        <v>0</v>
      </c>
      <c r="O2616" s="2">
        <f>IF(LeadsData[[#This Row],[Stage Number]]&gt;=4,1,0)</f>
        <v>0</v>
      </c>
    </row>
    <row r="2617" spans="1:15" x14ac:dyDescent="0.25">
      <c r="A2617" t="s">
        <v>2657</v>
      </c>
      <c r="B2617" s="1">
        <v>45407</v>
      </c>
      <c r="C2617" t="s">
        <v>36</v>
      </c>
      <c r="D2617" t="s">
        <v>37</v>
      </c>
      <c r="E2617" t="s">
        <v>13</v>
      </c>
      <c r="F2617" t="s">
        <v>19</v>
      </c>
      <c r="G2617" t="s">
        <v>42</v>
      </c>
      <c r="H2617">
        <v>47</v>
      </c>
      <c r="I2617" t="s">
        <v>87</v>
      </c>
      <c r="J2617">
        <v>2716.53</v>
      </c>
      <c r="K2617" cm="1">
        <f t="array" ref="K2617">_xlfn.SWITCH(LeadsData[[#This Row],[Funnel Stage Reached]],"Lead",1,"MQL",2,"SQL",3,"Customer",4)</f>
        <v>4</v>
      </c>
      <c r="L2617" t="str">
        <f>TEXT(LeadsData[[#This Row],[Signup Date]],"mmm-yyyy")</f>
        <v>Apr-2024</v>
      </c>
      <c r="M2617">
        <f>IF(LeadsData[[#This Row],[Stage Number]]&gt;=2,1,0)</f>
        <v>1</v>
      </c>
      <c r="N2617" s="2">
        <f>IF(LeadsData[[#This Row],[Stage Number]]&gt;=3,1,0)</f>
        <v>1</v>
      </c>
      <c r="O2617" s="2">
        <f>IF(LeadsData[[#This Row],[Stage Number]]&gt;=4,1,0)</f>
        <v>1</v>
      </c>
    </row>
    <row r="2618" spans="1:15" x14ac:dyDescent="0.25">
      <c r="A2618" t="s">
        <v>2658</v>
      </c>
      <c r="B2618" s="1">
        <v>45335</v>
      </c>
      <c r="C2618" t="s">
        <v>31</v>
      </c>
      <c r="D2618" t="s">
        <v>34</v>
      </c>
      <c r="E2618" t="s">
        <v>21</v>
      </c>
      <c r="F2618" t="s">
        <v>14</v>
      </c>
      <c r="G2618" t="s">
        <v>15</v>
      </c>
      <c r="K2618" cm="1">
        <f t="array" ref="K2618">_xlfn.SWITCH(LeadsData[[#This Row],[Funnel Stage Reached]],"Lead",1,"MQL",2,"SQL",3,"Customer",4)</f>
        <v>1</v>
      </c>
      <c r="L2618" t="str">
        <f>TEXT(LeadsData[[#This Row],[Signup Date]],"mmm-yyyy")</f>
        <v>Feb-2024</v>
      </c>
      <c r="M2618">
        <f>IF(LeadsData[[#This Row],[Stage Number]]&gt;=2,1,0)</f>
        <v>0</v>
      </c>
      <c r="N2618" s="2">
        <f>IF(LeadsData[[#This Row],[Stage Number]]&gt;=3,1,0)</f>
        <v>0</v>
      </c>
      <c r="O2618" s="2">
        <f>IF(LeadsData[[#This Row],[Stage Number]]&gt;=4,1,0)</f>
        <v>0</v>
      </c>
    </row>
    <row r="2619" spans="1:15" x14ac:dyDescent="0.25">
      <c r="A2619" t="s">
        <v>2659</v>
      </c>
      <c r="B2619" s="1">
        <v>45528</v>
      </c>
      <c r="C2619" t="s">
        <v>17</v>
      </c>
      <c r="D2619" t="s">
        <v>53</v>
      </c>
      <c r="E2619" t="s">
        <v>21</v>
      </c>
      <c r="F2619" t="s">
        <v>14</v>
      </c>
      <c r="G2619" t="s">
        <v>15</v>
      </c>
      <c r="K2619" cm="1">
        <f t="array" ref="K2619">_xlfn.SWITCH(LeadsData[[#This Row],[Funnel Stage Reached]],"Lead",1,"MQL",2,"SQL",3,"Customer",4)</f>
        <v>1</v>
      </c>
      <c r="L2619" t="str">
        <f>TEXT(LeadsData[[#This Row],[Signup Date]],"mmm-yyyy")</f>
        <v>Aug-2024</v>
      </c>
      <c r="M2619">
        <f>IF(LeadsData[[#This Row],[Stage Number]]&gt;=2,1,0)</f>
        <v>0</v>
      </c>
      <c r="N2619" s="2">
        <f>IF(LeadsData[[#This Row],[Stage Number]]&gt;=3,1,0)</f>
        <v>0</v>
      </c>
      <c r="O2619" s="2">
        <f>IF(LeadsData[[#This Row],[Stage Number]]&gt;=4,1,0)</f>
        <v>0</v>
      </c>
    </row>
    <row r="2620" spans="1:15" x14ac:dyDescent="0.25">
      <c r="A2620" t="s">
        <v>2660</v>
      </c>
      <c r="B2620" s="1">
        <v>45602</v>
      </c>
      <c r="C2620" t="s">
        <v>36</v>
      </c>
      <c r="D2620" t="s">
        <v>37</v>
      </c>
      <c r="E2620" t="s">
        <v>13</v>
      </c>
      <c r="F2620" t="s">
        <v>19</v>
      </c>
      <c r="G2620" t="s">
        <v>15</v>
      </c>
      <c r="K2620" cm="1">
        <f t="array" ref="K2620">_xlfn.SWITCH(LeadsData[[#This Row],[Funnel Stage Reached]],"Lead",1,"MQL",2,"SQL",3,"Customer",4)</f>
        <v>1</v>
      </c>
      <c r="L2620" t="str">
        <f>TEXT(LeadsData[[#This Row],[Signup Date]],"mmm-yyyy")</f>
        <v>Nov-2024</v>
      </c>
      <c r="M2620">
        <f>IF(LeadsData[[#This Row],[Stage Number]]&gt;=2,1,0)</f>
        <v>0</v>
      </c>
      <c r="N2620" s="2">
        <f>IF(LeadsData[[#This Row],[Stage Number]]&gt;=3,1,0)</f>
        <v>0</v>
      </c>
      <c r="O2620" s="2">
        <f>IF(LeadsData[[#This Row],[Stage Number]]&gt;=4,1,0)</f>
        <v>0</v>
      </c>
    </row>
    <row r="2621" spans="1:15" x14ac:dyDescent="0.25">
      <c r="A2621" t="s">
        <v>2661</v>
      </c>
      <c r="B2621" s="1">
        <v>45355</v>
      </c>
      <c r="C2621" t="s">
        <v>31</v>
      </c>
      <c r="D2621" t="s">
        <v>32</v>
      </c>
      <c r="E2621" t="s">
        <v>13</v>
      </c>
      <c r="F2621" t="s">
        <v>19</v>
      </c>
      <c r="G2621" t="s">
        <v>23</v>
      </c>
      <c r="K2621" cm="1">
        <f t="array" ref="K2621">_xlfn.SWITCH(LeadsData[[#This Row],[Funnel Stage Reached]],"Lead",1,"MQL",2,"SQL",3,"Customer",4)</f>
        <v>2</v>
      </c>
      <c r="L2621" t="str">
        <f>TEXT(LeadsData[[#This Row],[Signup Date]],"mmm-yyyy")</f>
        <v>Mar-2024</v>
      </c>
      <c r="M2621">
        <f>IF(LeadsData[[#This Row],[Stage Number]]&gt;=2,1,0)</f>
        <v>1</v>
      </c>
      <c r="N2621" s="2">
        <f>IF(LeadsData[[#This Row],[Stage Number]]&gt;=3,1,0)</f>
        <v>0</v>
      </c>
      <c r="O2621" s="2">
        <f>IF(LeadsData[[#This Row],[Stage Number]]&gt;=4,1,0)</f>
        <v>0</v>
      </c>
    </row>
    <row r="2622" spans="1:15" x14ac:dyDescent="0.25">
      <c r="A2622" t="s">
        <v>2662</v>
      </c>
      <c r="B2622" s="1">
        <v>45606</v>
      </c>
      <c r="C2622" t="s">
        <v>25</v>
      </c>
      <c r="D2622" t="s">
        <v>26</v>
      </c>
      <c r="E2622" t="s">
        <v>13</v>
      </c>
      <c r="F2622" t="s">
        <v>28</v>
      </c>
      <c r="G2622" t="s">
        <v>15</v>
      </c>
      <c r="K2622" cm="1">
        <f t="array" ref="K2622">_xlfn.SWITCH(LeadsData[[#This Row],[Funnel Stage Reached]],"Lead",1,"MQL",2,"SQL",3,"Customer",4)</f>
        <v>1</v>
      </c>
      <c r="L2622" t="str">
        <f>TEXT(LeadsData[[#This Row],[Signup Date]],"mmm-yyyy")</f>
        <v>Nov-2024</v>
      </c>
      <c r="M2622">
        <f>IF(LeadsData[[#This Row],[Stage Number]]&gt;=2,1,0)</f>
        <v>0</v>
      </c>
      <c r="N2622" s="2">
        <f>IF(LeadsData[[#This Row],[Stage Number]]&gt;=3,1,0)</f>
        <v>0</v>
      </c>
      <c r="O2622" s="2">
        <f>IF(LeadsData[[#This Row],[Stage Number]]&gt;=4,1,0)</f>
        <v>0</v>
      </c>
    </row>
    <row r="2623" spans="1:15" x14ac:dyDescent="0.25">
      <c r="A2623" t="s">
        <v>2663</v>
      </c>
      <c r="B2623" s="1">
        <v>45638</v>
      </c>
      <c r="C2623" t="s">
        <v>36</v>
      </c>
      <c r="D2623" t="s">
        <v>37</v>
      </c>
      <c r="E2623" t="s">
        <v>21</v>
      </c>
      <c r="F2623" t="s">
        <v>19</v>
      </c>
      <c r="G2623" t="s">
        <v>29</v>
      </c>
      <c r="K2623" cm="1">
        <f t="array" ref="K2623">_xlfn.SWITCH(LeadsData[[#This Row],[Funnel Stage Reached]],"Lead",1,"MQL",2,"SQL",3,"Customer",4)</f>
        <v>3</v>
      </c>
      <c r="L2623" t="str">
        <f>TEXT(LeadsData[[#This Row],[Signup Date]],"mmm-yyyy")</f>
        <v>Dec-2024</v>
      </c>
      <c r="M2623">
        <f>IF(LeadsData[[#This Row],[Stage Number]]&gt;=2,1,0)</f>
        <v>1</v>
      </c>
      <c r="N2623" s="2">
        <f>IF(LeadsData[[#This Row],[Stage Number]]&gt;=3,1,0)</f>
        <v>1</v>
      </c>
      <c r="O2623" s="2">
        <f>IF(LeadsData[[#This Row],[Stage Number]]&gt;=4,1,0)</f>
        <v>0</v>
      </c>
    </row>
    <row r="2624" spans="1:15" x14ac:dyDescent="0.25">
      <c r="A2624" t="s">
        <v>2664</v>
      </c>
      <c r="B2624" s="1">
        <v>45455</v>
      </c>
      <c r="C2624" t="s">
        <v>25</v>
      </c>
      <c r="D2624" t="s">
        <v>26</v>
      </c>
      <c r="E2624" t="s">
        <v>21</v>
      </c>
      <c r="F2624" t="s">
        <v>19</v>
      </c>
      <c r="G2624" t="s">
        <v>15</v>
      </c>
      <c r="K2624" cm="1">
        <f t="array" ref="K2624">_xlfn.SWITCH(LeadsData[[#This Row],[Funnel Stage Reached]],"Lead",1,"MQL",2,"SQL",3,"Customer",4)</f>
        <v>1</v>
      </c>
      <c r="L2624" t="str">
        <f>TEXT(LeadsData[[#This Row],[Signup Date]],"mmm-yyyy")</f>
        <v>Jun-2024</v>
      </c>
      <c r="M2624">
        <f>IF(LeadsData[[#This Row],[Stage Number]]&gt;=2,1,0)</f>
        <v>0</v>
      </c>
      <c r="N2624" s="2">
        <f>IF(LeadsData[[#This Row],[Stage Number]]&gt;=3,1,0)</f>
        <v>0</v>
      </c>
      <c r="O2624" s="2">
        <f>IF(LeadsData[[#This Row],[Stage Number]]&gt;=4,1,0)</f>
        <v>0</v>
      </c>
    </row>
    <row r="2625" spans="1:15" x14ac:dyDescent="0.25">
      <c r="A2625" t="s">
        <v>2665</v>
      </c>
      <c r="B2625" s="1">
        <v>45407</v>
      </c>
      <c r="C2625" t="s">
        <v>36</v>
      </c>
      <c r="D2625" t="s">
        <v>50</v>
      </c>
      <c r="E2625" t="s">
        <v>21</v>
      </c>
      <c r="F2625" t="s">
        <v>22</v>
      </c>
      <c r="G2625" t="s">
        <v>29</v>
      </c>
      <c r="K2625" cm="1">
        <f t="array" ref="K2625">_xlfn.SWITCH(LeadsData[[#This Row],[Funnel Stage Reached]],"Lead",1,"MQL",2,"SQL",3,"Customer",4)</f>
        <v>3</v>
      </c>
      <c r="L2625" t="str">
        <f>TEXT(LeadsData[[#This Row],[Signup Date]],"mmm-yyyy")</f>
        <v>Apr-2024</v>
      </c>
      <c r="M2625">
        <f>IF(LeadsData[[#This Row],[Stage Number]]&gt;=2,1,0)</f>
        <v>1</v>
      </c>
      <c r="N2625" s="2">
        <f>IF(LeadsData[[#This Row],[Stage Number]]&gt;=3,1,0)</f>
        <v>1</v>
      </c>
      <c r="O2625" s="2">
        <f>IF(LeadsData[[#This Row],[Stage Number]]&gt;=4,1,0)</f>
        <v>0</v>
      </c>
    </row>
    <row r="2626" spans="1:15" x14ac:dyDescent="0.25">
      <c r="A2626" t="s">
        <v>2666</v>
      </c>
      <c r="B2626" s="1">
        <v>45592</v>
      </c>
      <c r="C2626" t="s">
        <v>46</v>
      </c>
      <c r="D2626" t="s">
        <v>47</v>
      </c>
      <c r="E2626" t="s">
        <v>13</v>
      </c>
      <c r="F2626" t="s">
        <v>22</v>
      </c>
      <c r="G2626" t="s">
        <v>15</v>
      </c>
      <c r="K2626" cm="1">
        <f t="array" ref="K2626">_xlfn.SWITCH(LeadsData[[#This Row],[Funnel Stage Reached]],"Lead",1,"MQL",2,"SQL",3,"Customer",4)</f>
        <v>1</v>
      </c>
      <c r="L2626" t="str">
        <f>TEXT(LeadsData[[#This Row],[Signup Date]],"mmm-yyyy")</f>
        <v>Oct-2024</v>
      </c>
      <c r="M2626">
        <f>IF(LeadsData[[#This Row],[Stage Number]]&gt;=2,1,0)</f>
        <v>0</v>
      </c>
      <c r="N2626" s="2">
        <f>IF(LeadsData[[#This Row],[Stage Number]]&gt;=3,1,0)</f>
        <v>0</v>
      </c>
      <c r="O2626" s="2">
        <f>IF(LeadsData[[#This Row],[Stage Number]]&gt;=4,1,0)</f>
        <v>0</v>
      </c>
    </row>
    <row r="2627" spans="1:15" x14ac:dyDescent="0.25">
      <c r="A2627" t="s">
        <v>2667</v>
      </c>
      <c r="B2627" s="1">
        <v>45584</v>
      </c>
      <c r="C2627" t="s">
        <v>46</v>
      </c>
      <c r="D2627" t="s">
        <v>56</v>
      </c>
      <c r="E2627" t="s">
        <v>13</v>
      </c>
      <c r="F2627" t="s">
        <v>22</v>
      </c>
      <c r="G2627" t="s">
        <v>15</v>
      </c>
      <c r="K2627" cm="1">
        <f t="array" ref="K2627">_xlfn.SWITCH(LeadsData[[#This Row],[Funnel Stage Reached]],"Lead",1,"MQL",2,"SQL",3,"Customer",4)</f>
        <v>1</v>
      </c>
      <c r="L2627" t="str">
        <f>TEXT(LeadsData[[#This Row],[Signup Date]],"mmm-yyyy")</f>
        <v>Oct-2024</v>
      </c>
      <c r="M2627">
        <f>IF(LeadsData[[#This Row],[Stage Number]]&gt;=2,1,0)</f>
        <v>0</v>
      </c>
      <c r="N2627" s="2">
        <f>IF(LeadsData[[#This Row],[Stage Number]]&gt;=3,1,0)</f>
        <v>0</v>
      </c>
      <c r="O2627" s="2">
        <f>IF(LeadsData[[#This Row],[Stage Number]]&gt;=4,1,0)</f>
        <v>0</v>
      </c>
    </row>
    <row r="2628" spans="1:15" x14ac:dyDescent="0.25">
      <c r="A2628" t="s">
        <v>2668</v>
      </c>
      <c r="B2628" s="1">
        <v>45314</v>
      </c>
      <c r="C2628" t="s">
        <v>36</v>
      </c>
      <c r="D2628" t="s">
        <v>50</v>
      </c>
      <c r="E2628" t="s">
        <v>13</v>
      </c>
      <c r="F2628" t="s">
        <v>19</v>
      </c>
      <c r="G2628" t="s">
        <v>29</v>
      </c>
      <c r="K2628" cm="1">
        <f t="array" ref="K2628">_xlfn.SWITCH(LeadsData[[#This Row],[Funnel Stage Reached]],"Lead",1,"MQL",2,"SQL",3,"Customer",4)</f>
        <v>3</v>
      </c>
      <c r="L2628" t="str">
        <f>TEXT(LeadsData[[#This Row],[Signup Date]],"mmm-yyyy")</f>
        <v>Jan-2024</v>
      </c>
      <c r="M2628">
        <f>IF(LeadsData[[#This Row],[Stage Number]]&gt;=2,1,0)</f>
        <v>1</v>
      </c>
      <c r="N2628" s="2">
        <f>IF(LeadsData[[#This Row],[Stage Number]]&gt;=3,1,0)</f>
        <v>1</v>
      </c>
      <c r="O2628" s="2">
        <f>IF(LeadsData[[#This Row],[Stage Number]]&gt;=4,1,0)</f>
        <v>0</v>
      </c>
    </row>
    <row r="2629" spans="1:15" x14ac:dyDescent="0.25">
      <c r="A2629" t="s">
        <v>2669</v>
      </c>
      <c r="B2629" s="1">
        <v>45391</v>
      </c>
      <c r="C2629" t="s">
        <v>36</v>
      </c>
      <c r="D2629" t="s">
        <v>50</v>
      </c>
      <c r="E2629" t="s">
        <v>13</v>
      </c>
      <c r="F2629" t="s">
        <v>22</v>
      </c>
      <c r="G2629" t="s">
        <v>15</v>
      </c>
      <c r="K2629" cm="1">
        <f t="array" ref="K2629">_xlfn.SWITCH(LeadsData[[#This Row],[Funnel Stage Reached]],"Lead",1,"MQL",2,"SQL",3,"Customer",4)</f>
        <v>1</v>
      </c>
      <c r="L2629" t="str">
        <f>TEXT(LeadsData[[#This Row],[Signup Date]],"mmm-yyyy")</f>
        <v>Apr-2024</v>
      </c>
      <c r="M2629">
        <f>IF(LeadsData[[#This Row],[Stage Number]]&gt;=2,1,0)</f>
        <v>0</v>
      </c>
      <c r="N2629" s="2">
        <f>IF(LeadsData[[#This Row],[Stage Number]]&gt;=3,1,0)</f>
        <v>0</v>
      </c>
      <c r="O2629" s="2">
        <f>IF(LeadsData[[#This Row],[Stage Number]]&gt;=4,1,0)</f>
        <v>0</v>
      </c>
    </row>
    <row r="2630" spans="1:15" x14ac:dyDescent="0.25">
      <c r="A2630" t="s">
        <v>2670</v>
      </c>
      <c r="B2630" s="1">
        <v>45374</v>
      </c>
      <c r="C2630" t="s">
        <v>11</v>
      </c>
      <c r="D2630" t="s">
        <v>68</v>
      </c>
      <c r="E2630" t="s">
        <v>13</v>
      </c>
      <c r="F2630" t="s">
        <v>22</v>
      </c>
      <c r="G2630" t="s">
        <v>15</v>
      </c>
      <c r="K2630" cm="1">
        <f t="array" ref="K2630">_xlfn.SWITCH(LeadsData[[#This Row],[Funnel Stage Reached]],"Lead",1,"MQL",2,"SQL",3,"Customer",4)</f>
        <v>1</v>
      </c>
      <c r="L2630" t="str">
        <f>TEXT(LeadsData[[#This Row],[Signup Date]],"mmm-yyyy")</f>
        <v>Mar-2024</v>
      </c>
      <c r="M2630">
        <f>IF(LeadsData[[#This Row],[Stage Number]]&gt;=2,1,0)</f>
        <v>0</v>
      </c>
      <c r="N2630" s="2">
        <f>IF(LeadsData[[#This Row],[Stage Number]]&gt;=3,1,0)</f>
        <v>0</v>
      </c>
      <c r="O2630" s="2">
        <f>IF(LeadsData[[#This Row],[Stage Number]]&gt;=4,1,0)</f>
        <v>0</v>
      </c>
    </row>
    <row r="2631" spans="1:15" x14ac:dyDescent="0.25">
      <c r="A2631" t="s">
        <v>2671</v>
      </c>
      <c r="B2631" s="1">
        <v>45547</v>
      </c>
      <c r="C2631" t="s">
        <v>11</v>
      </c>
      <c r="D2631" t="s">
        <v>12</v>
      </c>
      <c r="E2631" t="s">
        <v>13</v>
      </c>
      <c r="F2631" t="s">
        <v>28</v>
      </c>
      <c r="G2631" t="s">
        <v>23</v>
      </c>
      <c r="K2631" cm="1">
        <f t="array" ref="K2631">_xlfn.SWITCH(LeadsData[[#This Row],[Funnel Stage Reached]],"Lead",1,"MQL",2,"SQL",3,"Customer",4)</f>
        <v>2</v>
      </c>
      <c r="L2631" t="str">
        <f>TEXT(LeadsData[[#This Row],[Signup Date]],"mmm-yyyy")</f>
        <v>Sep-2024</v>
      </c>
      <c r="M2631">
        <f>IF(LeadsData[[#This Row],[Stage Number]]&gt;=2,1,0)</f>
        <v>1</v>
      </c>
      <c r="N2631" s="2">
        <f>IF(LeadsData[[#This Row],[Stage Number]]&gt;=3,1,0)</f>
        <v>0</v>
      </c>
      <c r="O2631" s="2">
        <f>IF(LeadsData[[#This Row],[Stage Number]]&gt;=4,1,0)</f>
        <v>0</v>
      </c>
    </row>
    <row r="2632" spans="1:15" x14ac:dyDescent="0.25">
      <c r="A2632" t="s">
        <v>2672</v>
      </c>
      <c r="B2632" s="1">
        <v>45553</v>
      </c>
      <c r="C2632" t="s">
        <v>17</v>
      </c>
      <c r="D2632" t="s">
        <v>18</v>
      </c>
      <c r="E2632" t="s">
        <v>21</v>
      </c>
      <c r="F2632" t="s">
        <v>22</v>
      </c>
      <c r="G2632" t="s">
        <v>15</v>
      </c>
      <c r="K2632" cm="1">
        <f t="array" ref="K2632">_xlfn.SWITCH(LeadsData[[#This Row],[Funnel Stage Reached]],"Lead",1,"MQL",2,"SQL",3,"Customer",4)</f>
        <v>1</v>
      </c>
      <c r="L2632" t="str">
        <f>TEXT(LeadsData[[#This Row],[Signup Date]],"mmm-yyyy")</f>
        <v>Sep-2024</v>
      </c>
      <c r="M2632">
        <f>IF(LeadsData[[#This Row],[Stage Number]]&gt;=2,1,0)</f>
        <v>0</v>
      </c>
      <c r="N2632" s="2">
        <f>IF(LeadsData[[#This Row],[Stage Number]]&gt;=3,1,0)</f>
        <v>0</v>
      </c>
      <c r="O2632" s="2">
        <f>IF(LeadsData[[#This Row],[Stage Number]]&gt;=4,1,0)</f>
        <v>0</v>
      </c>
    </row>
    <row r="2633" spans="1:15" x14ac:dyDescent="0.25">
      <c r="A2633" t="s">
        <v>2673</v>
      </c>
      <c r="B2633" s="1">
        <v>45640</v>
      </c>
      <c r="C2633" t="s">
        <v>36</v>
      </c>
      <c r="D2633" t="s">
        <v>37</v>
      </c>
      <c r="E2633" t="s">
        <v>21</v>
      </c>
      <c r="F2633" t="s">
        <v>19</v>
      </c>
      <c r="G2633" t="s">
        <v>23</v>
      </c>
      <c r="K2633" cm="1">
        <f t="array" ref="K2633">_xlfn.SWITCH(LeadsData[[#This Row],[Funnel Stage Reached]],"Lead",1,"MQL",2,"SQL",3,"Customer",4)</f>
        <v>2</v>
      </c>
      <c r="L2633" t="str">
        <f>TEXT(LeadsData[[#This Row],[Signup Date]],"mmm-yyyy")</f>
        <v>Dec-2024</v>
      </c>
      <c r="M2633">
        <f>IF(LeadsData[[#This Row],[Stage Number]]&gt;=2,1,0)</f>
        <v>1</v>
      </c>
      <c r="N2633" s="2">
        <f>IF(LeadsData[[#This Row],[Stage Number]]&gt;=3,1,0)</f>
        <v>0</v>
      </c>
      <c r="O2633" s="2">
        <f>IF(LeadsData[[#This Row],[Stage Number]]&gt;=4,1,0)</f>
        <v>0</v>
      </c>
    </row>
    <row r="2634" spans="1:15" x14ac:dyDescent="0.25">
      <c r="A2634" t="s">
        <v>2674</v>
      </c>
      <c r="B2634" s="1">
        <v>45313</v>
      </c>
      <c r="C2634" t="s">
        <v>11</v>
      </c>
      <c r="D2634" t="s">
        <v>12</v>
      </c>
      <c r="E2634" t="s">
        <v>13</v>
      </c>
      <c r="F2634" t="s">
        <v>28</v>
      </c>
      <c r="G2634" t="s">
        <v>15</v>
      </c>
      <c r="K2634" cm="1">
        <f t="array" ref="K2634">_xlfn.SWITCH(LeadsData[[#This Row],[Funnel Stage Reached]],"Lead",1,"MQL",2,"SQL",3,"Customer",4)</f>
        <v>1</v>
      </c>
      <c r="L2634" t="str">
        <f>TEXT(LeadsData[[#This Row],[Signup Date]],"mmm-yyyy")</f>
        <v>Jan-2024</v>
      </c>
      <c r="M2634">
        <f>IF(LeadsData[[#This Row],[Stage Number]]&gt;=2,1,0)</f>
        <v>0</v>
      </c>
      <c r="N2634" s="2">
        <f>IF(LeadsData[[#This Row],[Stage Number]]&gt;=3,1,0)</f>
        <v>0</v>
      </c>
      <c r="O2634" s="2">
        <f>IF(LeadsData[[#This Row],[Stage Number]]&gt;=4,1,0)</f>
        <v>0</v>
      </c>
    </row>
    <row r="2635" spans="1:15" x14ac:dyDescent="0.25">
      <c r="A2635" t="s">
        <v>2675</v>
      </c>
      <c r="B2635" s="1">
        <v>45558</v>
      </c>
      <c r="C2635" t="s">
        <v>31</v>
      </c>
      <c r="D2635" t="s">
        <v>34</v>
      </c>
      <c r="E2635" t="s">
        <v>13</v>
      </c>
      <c r="F2635" t="s">
        <v>19</v>
      </c>
      <c r="G2635" t="s">
        <v>15</v>
      </c>
      <c r="K2635" cm="1">
        <f t="array" ref="K2635">_xlfn.SWITCH(LeadsData[[#This Row],[Funnel Stage Reached]],"Lead",1,"MQL",2,"SQL",3,"Customer",4)</f>
        <v>1</v>
      </c>
      <c r="L2635" t="str">
        <f>TEXT(LeadsData[[#This Row],[Signup Date]],"mmm-yyyy")</f>
        <v>Sep-2024</v>
      </c>
      <c r="M2635">
        <f>IF(LeadsData[[#This Row],[Stage Number]]&gt;=2,1,0)</f>
        <v>0</v>
      </c>
      <c r="N2635" s="2">
        <f>IF(LeadsData[[#This Row],[Stage Number]]&gt;=3,1,0)</f>
        <v>0</v>
      </c>
      <c r="O2635" s="2">
        <f>IF(LeadsData[[#This Row],[Stage Number]]&gt;=4,1,0)</f>
        <v>0</v>
      </c>
    </row>
    <row r="2636" spans="1:15" x14ac:dyDescent="0.25">
      <c r="A2636" t="s">
        <v>2676</v>
      </c>
      <c r="B2636" s="1">
        <v>45527</v>
      </c>
      <c r="C2636" t="s">
        <v>46</v>
      </c>
      <c r="D2636" t="s">
        <v>47</v>
      </c>
      <c r="E2636" t="s">
        <v>13</v>
      </c>
      <c r="F2636" t="s">
        <v>19</v>
      </c>
      <c r="G2636" t="s">
        <v>23</v>
      </c>
      <c r="K2636" cm="1">
        <f t="array" ref="K2636">_xlfn.SWITCH(LeadsData[[#This Row],[Funnel Stage Reached]],"Lead",1,"MQL",2,"SQL",3,"Customer",4)</f>
        <v>2</v>
      </c>
      <c r="L2636" t="str">
        <f>TEXT(LeadsData[[#This Row],[Signup Date]],"mmm-yyyy")</f>
        <v>Aug-2024</v>
      </c>
      <c r="M2636">
        <f>IF(LeadsData[[#This Row],[Stage Number]]&gt;=2,1,0)</f>
        <v>1</v>
      </c>
      <c r="N2636" s="2">
        <f>IF(LeadsData[[#This Row],[Stage Number]]&gt;=3,1,0)</f>
        <v>0</v>
      </c>
      <c r="O2636" s="2">
        <f>IF(LeadsData[[#This Row],[Stage Number]]&gt;=4,1,0)</f>
        <v>0</v>
      </c>
    </row>
    <row r="2637" spans="1:15" x14ac:dyDescent="0.25">
      <c r="A2637" t="s">
        <v>2677</v>
      </c>
      <c r="B2637" s="1">
        <v>45311</v>
      </c>
      <c r="C2637" t="s">
        <v>17</v>
      </c>
      <c r="D2637" t="s">
        <v>53</v>
      </c>
      <c r="E2637" t="s">
        <v>21</v>
      </c>
      <c r="F2637" t="s">
        <v>22</v>
      </c>
      <c r="G2637" t="s">
        <v>15</v>
      </c>
      <c r="K2637" cm="1">
        <f t="array" ref="K2637">_xlfn.SWITCH(LeadsData[[#This Row],[Funnel Stage Reached]],"Lead",1,"MQL",2,"SQL",3,"Customer",4)</f>
        <v>1</v>
      </c>
      <c r="L2637" t="str">
        <f>TEXT(LeadsData[[#This Row],[Signup Date]],"mmm-yyyy")</f>
        <v>Jan-2024</v>
      </c>
      <c r="M2637">
        <f>IF(LeadsData[[#This Row],[Stage Number]]&gt;=2,1,0)</f>
        <v>0</v>
      </c>
      <c r="N2637" s="2">
        <f>IF(LeadsData[[#This Row],[Stage Number]]&gt;=3,1,0)</f>
        <v>0</v>
      </c>
      <c r="O2637" s="2">
        <f>IF(LeadsData[[#This Row],[Stage Number]]&gt;=4,1,0)</f>
        <v>0</v>
      </c>
    </row>
    <row r="2638" spans="1:15" x14ac:dyDescent="0.25">
      <c r="A2638" t="s">
        <v>2678</v>
      </c>
      <c r="B2638" s="1">
        <v>45571</v>
      </c>
      <c r="C2638" t="s">
        <v>36</v>
      </c>
      <c r="D2638" t="s">
        <v>50</v>
      </c>
      <c r="E2638" t="s">
        <v>13</v>
      </c>
      <c r="F2638" t="s">
        <v>28</v>
      </c>
      <c r="G2638" t="s">
        <v>23</v>
      </c>
      <c r="K2638" cm="1">
        <f t="array" ref="K2638">_xlfn.SWITCH(LeadsData[[#This Row],[Funnel Stage Reached]],"Lead",1,"MQL",2,"SQL",3,"Customer",4)</f>
        <v>2</v>
      </c>
      <c r="L2638" t="str">
        <f>TEXT(LeadsData[[#This Row],[Signup Date]],"mmm-yyyy")</f>
        <v>Oct-2024</v>
      </c>
      <c r="M2638">
        <f>IF(LeadsData[[#This Row],[Stage Number]]&gt;=2,1,0)</f>
        <v>1</v>
      </c>
      <c r="N2638" s="2">
        <f>IF(LeadsData[[#This Row],[Stage Number]]&gt;=3,1,0)</f>
        <v>0</v>
      </c>
      <c r="O2638" s="2">
        <f>IF(LeadsData[[#This Row],[Stage Number]]&gt;=4,1,0)</f>
        <v>0</v>
      </c>
    </row>
    <row r="2639" spans="1:15" x14ac:dyDescent="0.25">
      <c r="A2639" t="s">
        <v>2679</v>
      </c>
      <c r="B2639" s="1">
        <v>45368</v>
      </c>
      <c r="C2639" t="s">
        <v>17</v>
      </c>
      <c r="D2639" t="s">
        <v>18</v>
      </c>
      <c r="E2639" t="s">
        <v>21</v>
      </c>
      <c r="F2639" t="s">
        <v>19</v>
      </c>
      <c r="G2639" t="s">
        <v>23</v>
      </c>
      <c r="K2639" cm="1">
        <f t="array" ref="K2639">_xlfn.SWITCH(LeadsData[[#This Row],[Funnel Stage Reached]],"Lead",1,"MQL",2,"SQL",3,"Customer",4)</f>
        <v>2</v>
      </c>
      <c r="L2639" t="str">
        <f>TEXT(LeadsData[[#This Row],[Signup Date]],"mmm-yyyy")</f>
        <v>Mar-2024</v>
      </c>
      <c r="M2639">
        <f>IF(LeadsData[[#This Row],[Stage Number]]&gt;=2,1,0)</f>
        <v>1</v>
      </c>
      <c r="N2639" s="2">
        <f>IF(LeadsData[[#This Row],[Stage Number]]&gt;=3,1,0)</f>
        <v>0</v>
      </c>
      <c r="O2639" s="2">
        <f>IF(LeadsData[[#This Row],[Stage Number]]&gt;=4,1,0)</f>
        <v>0</v>
      </c>
    </row>
    <row r="2640" spans="1:15" x14ac:dyDescent="0.25">
      <c r="A2640" t="s">
        <v>2680</v>
      </c>
      <c r="B2640" s="1">
        <v>45546</v>
      </c>
      <c r="C2640" t="s">
        <v>36</v>
      </c>
      <c r="D2640" t="s">
        <v>50</v>
      </c>
      <c r="E2640" t="s">
        <v>21</v>
      </c>
      <c r="F2640" t="s">
        <v>19</v>
      </c>
      <c r="G2640" t="s">
        <v>15</v>
      </c>
      <c r="K2640" cm="1">
        <f t="array" ref="K2640">_xlfn.SWITCH(LeadsData[[#This Row],[Funnel Stage Reached]],"Lead",1,"MQL",2,"SQL",3,"Customer",4)</f>
        <v>1</v>
      </c>
      <c r="L2640" t="str">
        <f>TEXT(LeadsData[[#This Row],[Signup Date]],"mmm-yyyy")</f>
        <v>Sep-2024</v>
      </c>
      <c r="M2640">
        <f>IF(LeadsData[[#This Row],[Stage Number]]&gt;=2,1,0)</f>
        <v>0</v>
      </c>
      <c r="N2640" s="2">
        <f>IF(LeadsData[[#This Row],[Stage Number]]&gt;=3,1,0)</f>
        <v>0</v>
      </c>
      <c r="O2640" s="2">
        <f>IF(LeadsData[[#This Row],[Stage Number]]&gt;=4,1,0)</f>
        <v>0</v>
      </c>
    </row>
    <row r="2641" spans="1:15" x14ac:dyDescent="0.25">
      <c r="A2641" t="s">
        <v>2681</v>
      </c>
      <c r="B2641" s="1">
        <v>45471</v>
      </c>
      <c r="C2641" t="s">
        <v>17</v>
      </c>
      <c r="D2641" t="s">
        <v>53</v>
      </c>
      <c r="E2641" t="s">
        <v>13</v>
      </c>
      <c r="F2641" t="s">
        <v>28</v>
      </c>
      <c r="G2641" t="s">
        <v>15</v>
      </c>
      <c r="K2641" cm="1">
        <f t="array" ref="K2641">_xlfn.SWITCH(LeadsData[[#This Row],[Funnel Stage Reached]],"Lead",1,"MQL",2,"SQL",3,"Customer",4)</f>
        <v>1</v>
      </c>
      <c r="L2641" t="str">
        <f>TEXT(LeadsData[[#This Row],[Signup Date]],"mmm-yyyy")</f>
        <v>Jun-2024</v>
      </c>
      <c r="M2641">
        <f>IF(LeadsData[[#This Row],[Stage Number]]&gt;=2,1,0)</f>
        <v>0</v>
      </c>
      <c r="N2641" s="2">
        <f>IF(LeadsData[[#This Row],[Stage Number]]&gt;=3,1,0)</f>
        <v>0</v>
      </c>
      <c r="O2641" s="2">
        <f>IF(LeadsData[[#This Row],[Stage Number]]&gt;=4,1,0)</f>
        <v>0</v>
      </c>
    </row>
    <row r="2642" spans="1:15" x14ac:dyDescent="0.25">
      <c r="A2642" t="s">
        <v>2682</v>
      </c>
      <c r="B2642" s="1">
        <v>45419</v>
      </c>
      <c r="C2642" t="s">
        <v>11</v>
      </c>
      <c r="D2642" t="s">
        <v>79</v>
      </c>
      <c r="E2642" t="s">
        <v>21</v>
      </c>
      <c r="F2642" t="s">
        <v>22</v>
      </c>
      <c r="G2642" t="s">
        <v>23</v>
      </c>
      <c r="K2642" cm="1">
        <f t="array" ref="K2642">_xlfn.SWITCH(LeadsData[[#This Row],[Funnel Stage Reached]],"Lead",1,"MQL",2,"SQL",3,"Customer",4)</f>
        <v>2</v>
      </c>
      <c r="L2642" t="str">
        <f>TEXT(LeadsData[[#This Row],[Signup Date]],"mmm-yyyy")</f>
        <v>May-2024</v>
      </c>
      <c r="M2642">
        <f>IF(LeadsData[[#This Row],[Stage Number]]&gt;=2,1,0)</f>
        <v>1</v>
      </c>
      <c r="N2642" s="2">
        <f>IF(LeadsData[[#This Row],[Stage Number]]&gt;=3,1,0)</f>
        <v>0</v>
      </c>
      <c r="O2642" s="2">
        <f>IF(LeadsData[[#This Row],[Stage Number]]&gt;=4,1,0)</f>
        <v>0</v>
      </c>
    </row>
    <row r="2643" spans="1:15" x14ac:dyDescent="0.25">
      <c r="A2643" t="s">
        <v>2683</v>
      </c>
      <c r="B2643" s="1">
        <v>45617</v>
      </c>
      <c r="C2643" t="s">
        <v>36</v>
      </c>
      <c r="D2643" t="s">
        <v>37</v>
      </c>
      <c r="E2643" t="s">
        <v>21</v>
      </c>
      <c r="F2643" t="s">
        <v>19</v>
      </c>
      <c r="G2643" t="s">
        <v>23</v>
      </c>
      <c r="K2643" cm="1">
        <f t="array" ref="K2643">_xlfn.SWITCH(LeadsData[[#This Row],[Funnel Stage Reached]],"Lead",1,"MQL",2,"SQL",3,"Customer",4)</f>
        <v>2</v>
      </c>
      <c r="L2643" t="str">
        <f>TEXT(LeadsData[[#This Row],[Signup Date]],"mmm-yyyy")</f>
        <v>Nov-2024</v>
      </c>
      <c r="M2643">
        <f>IF(LeadsData[[#This Row],[Stage Number]]&gt;=2,1,0)</f>
        <v>1</v>
      </c>
      <c r="N2643" s="2">
        <f>IF(LeadsData[[#This Row],[Stage Number]]&gt;=3,1,0)</f>
        <v>0</v>
      </c>
      <c r="O2643" s="2">
        <f>IF(LeadsData[[#This Row],[Stage Number]]&gt;=4,1,0)</f>
        <v>0</v>
      </c>
    </row>
    <row r="2644" spans="1:15" x14ac:dyDescent="0.25">
      <c r="A2644" t="s">
        <v>2684</v>
      </c>
      <c r="B2644" s="1">
        <v>45628</v>
      </c>
      <c r="C2644" t="s">
        <v>31</v>
      </c>
      <c r="D2644" t="s">
        <v>32</v>
      </c>
      <c r="E2644" t="s">
        <v>13</v>
      </c>
      <c r="F2644" t="s">
        <v>19</v>
      </c>
      <c r="G2644" t="s">
        <v>23</v>
      </c>
      <c r="K2644" cm="1">
        <f t="array" ref="K2644">_xlfn.SWITCH(LeadsData[[#This Row],[Funnel Stage Reached]],"Lead",1,"MQL",2,"SQL",3,"Customer",4)</f>
        <v>2</v>
      </c>
      <c r="L2644" t="str">
        <f>TEXT(LeadsData[[#This Row],[Signup Date]],"mmm-yyyy")</f>
        <v>Dec-2024</v>
      </c>
      <c r="M2644">
        <f>IF(LeadsData[[#This Row],[Stage Number]]&gt;=2,1,0)</f>
        <v>1</v>
      </c>
      <c r="N2644" s="2">
        <f>IF(LeadsData[[#This Row],[Stage Number]]&gt;=3,1,0)</f>
        <v>0</v>
      </c>
      <c r="O2644" s="2">
        <f>IF(LeadsData[[#This Row],[Stage Number]]&gt;=4,1,0)</f>
        <v>0</v>
      </c>
    </row>
    <row r="2645" spans="1:15" x14ac:dyDescent="0.25">
      <c r="A2645" t="s">
        <v>2685</v>
      </c>
      <c r="B2645" s="1">
        <v>45610</v>
      </c>
      <c r="C2645" t="s">
        <v>31</v>
      </c>
      <c r="D2645" t="s">
        <v>32</v>
      </c>
      <c r="E2645" t="s">
        <v>21</v>
      </c>
      <c r="F2645" t="s">
        <v>22</v>
      </c>
      <c r="G2645" t="s">
        <v>15</v>
      </c>
      <c r="K2645" cm="1">
        <f t="array" ref="K2645">_xlfn.SWITCH(LeadsData[[#This Row],[Funnel Stage Reached]],"Lead",1,"MQL",2,"SQL",3,"Customer",4)</f>
        <v>1</v>
      </c>
      <c r="L2645" t="str">
        <f>TEXT(LeadsData[[#This Row],[Signup Date]],"mmm-yyyy")</f>
        <v>Nov-2024</v>
      </c>
      <c r="M2645">
        <f>IF(LeadsData[[#This Row],[Stage Number]]&gt;=2,1,0)</f>
        <v>0</v>
      </c>
      <c r="N2645" s="2">
        <f>IF(LeadsData[[#This Row],[Stage Number]]&gt;=3,1,0)</f>
        <v>0</v>
      </c>
      <c r="O2645" s="2">
        <f>IF(LeadsData[[#This Row],[Stage Number]]&gt;=4,1,0)</f>
        <v>0</v>
      </c>
    </row>
    <row r="2646" spans="1:15" x14ac:dyDescent="0.25">
      <c r="A2646" t="s">
        <v>2686</v>
      </c>
      <c r="B2646" s="1">
        <v>45474</v>
      </c>
      <c r="C2646" t="s">
        <v>31</v>
      </c>
      <c r="D2646" t="s">
        <v>34</v>
      </c>
      <c r="E2646" t="s">
        <v>48</v>
      </c>
      <c r="F2646" t="s">
        <v>19</v>
      </c>
      <c r="G2646" t="s">
        <v>42</v>
      </c>
      <c r="H2646">
        <v>53</v>
      </c>
      <c r="I2646" t="s">
        <v>87</v>
      </c>
      <c r="J2646">
        <v>2162.0300000000002</v>
      </c>
      <c r="K2646" cm="1">
        <f t="array" ref="K2646">_xlfn.SWITCH(LeadsData[[#This Row],[Funnel Stage Reached]],"Lead",1,"MQL",2,"SQL",3,"Customer",4)</f>
        <v>4</v>
      </c>
      <c r="L2646" t="str">
        <f>TEXT(LeadsData[[#This Row],[Signup Date]],"mmm-yyyy")</f>
        <v>Jul-2024</v>
      </c>
      <c r="M2646">
        <f>IF(LeadsData[[#This Row],[Stage Number]]&gt;=2,1,0)</f>
        <v>1</v>
      </c>
      <c r="N2646" s="2">
        <f>IF(LeadsData[[#This Row],[Stage Number]]&gt;=3,1,0)</f>
        <v>1</v>
      </c>
      <c r="O2646" s="2">
        <f>IF(LeadsData[[#This Row],[Stage Number]]&gt;=4,1,0)</f>
        <v>1</v>
      </c>
    </row>
    <row r="2647" spans="1:15" x14ac:dyDescent="0.25">
      <c r="A2647" t="s">
        <v>2687</v>
      </c>
      <c r="B2647" s="1">
        <v>45365</v>
      </c>
      <c r="C2647" t="s">
        <v>11</v>
      </c>
      <c r="D2647" t="s">
        <v>12</v>
      </c>
      <c r="E2647" t="s">
        <v>21</v>
      </c>
      <c r="F2647" t="s">
        <v>14</v>
      </c>
      <c r="G2647" t="s">
        <v>15</v>
      </c>
      <c r="K2647" cm="1">
        <f t="array" ref="K2647">_xlfn.SWITCH(LeadsData[[#This Row],[Funnel Stage Reached]],"Lead",1,"MQL",2,"SQL",3,"Customer",4)</f>
        <v>1</v>
      </c>
      <c r="L2647" t="str">
        <f>TEXT(LeadsData[[#This Row],[Signup Date]],"mmm-yyyy")</f>
        <v>Mar-2024</v>
      </c>
      <c r="M2647">
        <f>IF(LeadsData[[#This Row],[Stage Number]]&gt;=2,1,0)</f>
        <v>0</v>
      </c>
      <c r="N2647" s="2">
        <f>IF(LeadsData[[#This Row],[Stage Number]]&gt;=3,1,0)</f>
        <v>0</v>
      </c>
      <c r="O2647" s="2">
        <f>IF(LeadsData[[#This Row],[Stage Number]]&gt;=4,1,0)</f>
        <v>0</v>
      </c>
    </row>
    <row r="2648" spans="1:15" x14ac:dyDescent="0.25">
      <c r="A2648" t="s">
        <v>2688</v>
      </c>
      <c r="B2648" s="1">
        <v>45501</v>
      </c>
      <c r="C2648" t="s">
        <v>25</v>
      </c>
      <c r="D2648" t="s">
        <v>26</v>
      </c>
      <c r="E2648" t="s">
        <v>21</v>
      </c>
      <c r="F2648" t="s">
        <v>19</v>
      </c>
      <c r="G2648" t="s">
        <v>15</v>
      </c>
      <c r="K2648" cm="1">
        <f t="array" ref="K2648">_xlfn.SWITCH(LeadsData[[#This Row],[Funnel Stage Reached]],"Lead",1,"MQL",2,"SQL",3,"Customer",4)</f>
        <v>1</v>
      </c>
      <c r="L2648" t="str">
        <f>TEXT(LeadsData[[#This Row],[Signup Date]],"mmm-yyyy")</f>
        <v>Jul-2024</v>
      </c>
      <c r="M2648">
        <f>IF(LeadsData[[#This Row],[Stage Number]]&gt;=2,1,0)</f>
        <v>0</v>
      </c>
      <c r="N2648" s="2">
        <f>IF(LeadsData[[#This Row],[Stage Number]]&gt;=3,1,0)</f>
        <v>0</v>
      </c>
      <c r="O2648" s="2">
        <f>IF(LeadsData[[#This Row],[Stage Number]]&gt;=4,1,0)</f>
        <v>0</v>
      </c>
    </row>
    <row r="2649" spans="1:15" x14ac:dyDescent="0.25">
      <c r="A2649" t="s">
        <v>2689</v>
      </c>
      <c r="B2649" s="1">
        <v>45518</v>
      </c>
      <c r="C2649" t="s">
        <v>11</v>
      </c>
      <c r="D2649" t="s">
        <v>12</v>
      </c>
      <c r="E2649" t="s">
        <v>13</v>
      </c>
      <c r="F2649" t="s">
        <v>22</v>
      </c>
      <c r="G2649" t="s">
        <v>15</v>
      </c>
      <c r="K2649" cm="1">
        <f t="array" ref="K2649">_xlfn.SWITCH(LeadsData[[#This Row],[Funnel Stage Reached]],"Lead",1,"MQL",2,"SQL",3,"Customer",4)</f>
        <v>1</v>
      </c>
      <c r="L2649" t="str">
        <f>TEXT(LeadsData[[#This Row],[Signup Date]],"mmm-yyyy")</f>
        <v>Aug-2024</v>
      </c>
      <c r="M2649">
        <f>IF(LeadsData[[#This Row],[Stage Number]]&gt;=2,1,0)</f>
        <v>0</v>
      </c>
      <c r="N2649" s="2">
        <f>IF(LeadsData[[#This Row],[Stage Number]]&gt;=3,1,0)</f>
        <v>0</v>
      </c>
      <c r="O2649" s="2">
        <f>IF(LeadsData[[#This Row],[Stage Number]]&gt;=4,1,0)</f>
        <v>0</v>
      </c>
    </row>
    <row r="2650" spans="1:15" x14ac:dyDescent="0.25">
      <c r="A2650" t="s">
        <v>2690</v>
      </c>
      <c r="B2650" s="1">
        <v>45601</v>
      </c>
      <c r="C2650" t="s">
        <v>17</v>
      </c>
      <c r="D2650" t="s">
        <v>53</v>
      </c>
      <c r="E2650" t="s">
        <v>13</v>
      </c>
      <c r="F2650" t="s">
        <v>19</v>
      </c>
      <c r="G2650" t="s">
        <v>29</v>
      </c>
      <c r="K2650" cm="1">
        <f t="array" ref="K2650">_xlfn.SWITCH(LeadsData[[#This Row],[Funnel Stage Reached]],"Lead",1,"MQL",2,"SQL",3,"Customer",4)</f>
        <v>3</v>
      </c>
      <c r="L2650" t="str">
        <f>TEXT(LeadsData[[#This Row],[Signup Date]],"mmm-yyyy")</f>
        <v>Nov-2024</v>
      </c>
      <c r="M2650">
        <f>IF(LeadsData[[#This Row],[Stage Number]]&gt;=2,1,0)</f>
        <v>1</v>
      </c>
      <c r="N2650" s="2">
        <f>IF(LeadsData[[#This Row],[Stage Number]]&gt;=3,1,0)</f>
        <v>1</v>
      </c>
      <c r="O2650" s="2">
        <f>IF(LeadsData[[#This Row],[Stage Number]]&gt;=4,1,0)</f>
        <v>0</v>
      </c>
    </row>
    <row r="2651" spans="1:15" x14ac:dyDescent="0.25">
      <c r="A2651" t="s">
        <v>2691</v>
      </c>
      <c r="B2651" s="1">
        <v>45579</v>
      </c>
      <c r="C2651" t="s">
        <v>31</v>
      </c>
      <c r="D2651" t="s">
        <v>32</v>
      </c>
      <c r="E2651" t="s">
        <v>21</v>
      </c>
      <c r="F2651" t="s">
        <v>19</v>
      </c>
      <c r="G2651" t="s">
        <v>23</v>
      </c>
      <c r="K2651" cm="1">
        <f t="array" ref="K2651">_xlfn.SWITCH(LeadsData[[#This Row],[Funnel Stage Reached]],"Lead",1,"MQL",2,"SQL",3,"Customer",4)</f>
        <v>2</v>
      </c>
      <c r="L2651" t="str">
        <f>TEXT(LeadsData[[#This Row],[Signup Date]],"mmm-yyyy")</f>
        <v>Oct-2024</v>
      </c>
      <c r="M2651">
        <f>IF(LeadsData[[#This Row],[Stage Number]]&gt;=2,1,0)</f>
        <v>1</v>
      </c>
      <c r="N2651" s="2">
        <f>IF(LeadsData[[#This Row],[Stage Number]]&gt;=3,1,0)</f>
        <v>0</v>
      </c>
      <c r="O2651" s="2">
        <f>IF(LeadsData[[#This Row],[Stage Number]]&gt;=4,1,0)</f>
        <v>0</v>
      </c>
    </row>
    <row r="2652" spans="1:15" x14ac:dyDescent="0.25">
      <c r="A2652" t="s">
        <v>2692</v>
      </c>
      <c r="B2652" s="1">
        <v>45569</v>
      </c>
      <c r="C2652" t="s">
        <v>31</v>
      </c>
      <c r="D2652" t="s">
        <v>32</v>
      </c>
      <c r="E2652" t="s">
        <v>48</v>
      </c>
      <c r="F2652" t="s">
        <v>19</v>
      </c>
      <c r="G2652" t="s">
        <v>23</v>
      </c>
      <c r="K2652" cm="1">
        <f t="array" ref="K2652">_xlfn.SWITCH(LeadsData[[#This Row],[Funnel Stage Reached]],"Lead",1,"MQL",2,"SQL",3,"Customer",4)</f>
        <v>2</v>
      </c>
      <c r="L2652" t="str">
        <f>TEXT(LeadsData[[#This Row],[Signup Date]],"mmm-yyyy")</f>
        <v>Oct-2024</v>
      </c>
      <c r="M2652">
        <f>IF(LeadsData[[#This Row],[Stage Number]]&gt;=2,1,0)</f>
        <v>1</v>
      </c>
      <c r="N2652" s="2">
        <f>IF(LeadsData[[#This Row],[Stage Number]]&gt;=3,1,0)</f>
        <v>0</v>
      </c>
      <c r="O2652" s="2">
        <f>IF(LeadsData[[#This Row],[Stage Number]]&gt;=4,1,0)</f>
        <v>0</v>
      </c>
    </row>
    <row r="2653" spans="1:15" x14ac:dyDescent="0.25">
      <c r="A2653" t="s">
        <v>2693</v>
      </c>
      <c r="B2653" s="1">
        <v>45394</v>
      </c>
      <c r="C2653" t="s">
        <v>17</v>
      </c>
      <c r="D2653" t="s">
        <v>53</v>
      </c>
      <c r="E2653" t="s">
        <v>13</v>
      </c>
      <c r="F2653" t="s">
        <v>14</v>
      </c>
      <c r="G2653" t="s">
        <v>15</v>
      </c>
      <c r="K2653" cm="1">
        <f t="array" ref="K2653">_xlfn.SWITCH(LeadsData[[#This Row],[Funnel Stage Reached]],"Lead",1,"MQL",2,"SQL",3,"Customer",4)</f>
        <v>1</v>
      </c>
      <c r="L2653" t="str">
        <f>TEXT(LeadsData[[#This Row],[Signup Date]],"mmm-yyyy")</f>
        <v>Apr-2024</v>
      </c>
      <c r="M2653">
        <f>IF(LeadsData[[#This Row],[Stage Number]]&gt;=2,1,0)</f>
        <v>0</v>
      </c>
      <c r="N2653" s="2">
        <f>IF(LeadsData[[#This Row],[Stage Number]]&gt;=3,1,0)</f>
        <v>0</v>
      </c>
      <c r="O2653" s="2">
        <f>IF(LeadsData[[#This Row],[Stage Number]]&gt;=4,1,0)</f>
        <v>0</v>
      </c>
    </row>
    <row r="2654" spans="1:15" x14ac:dyDescent="0.25">
      <c r="A2654" t="s">
        <v>2694</v>
      </c>
      <c r="B2654" s="1">
        <v>45348</v>
      </c>
      <c r="C2654" t="s">
        <v>46</v>
      </c>
      <c r="D2654" t="s">
        <v>56</v>
      </c>
      <c r="E2654" t="s">
        <v>21</v>
      </c>
      <c r="F2654" t="s">
        <v>22</v>
      </c>
      <c r="G2654" t="s">
        <v>42</v>
      </c>
      <c r="H2654">
        <v>32</v>
      </c>
      <c r="I2654" t="s">
        <v>43</v>
      </c>
      <c r="J2654">
        <v>1270.1500000000001</v>
      </c>
      <c r="K2654" cm="1">
        <f t="array" ref="K2654">_xlfn.SWITCH(LeadsData[[#This Row],[Funnel Stage Reached]],"Lead",1,"MQL",2,"SQL",3,"Customer",4)</f>
        <v>4</v>
      </c>
      <c r="L2654" t="str">
        <f>TEXT(LeadsData[[#This Row],[Signup Date]],"mmm-yyyy")</f>
        <v>Feb-2024</v>
      </c>
      <c r="M2654">
        <f>IF(LeadsData[[#This Row],[Stage Number]]&gt;=2,1,0)</f>
        <v>1</v>
      </c>
      <c r="N2654" s="2">
        <f>IF(LeadsData[[#This Row],[Stage Number]]&gt;=3,1,0)</f>
        <v>1</v>
      </c>
      <c r="O2654" s="2">
        <f>IF(LeadsData[[#This Row],[Stage Number]]&gt;=4,1,0)</f>
        <v>1</v>
      </c>
    </row>
    <row r="2655" spans="1:15" x14ac:dyDescent="0.25">
      <c r="A2655" t="s">
        <v>2695</v>
      </c>
      <c r="B2655" s="1">
        <v>45311</v>
      </c>
      <c r="C2655" t="s">
        <v>17</v>
      </c>
      <c r="D2655" t="s">
        <v>18</v>
      </c>
      <c r="E2655" t="s">
        <v>13</v>
      </c>
      <c r="F2655" t="s">
        <v>22</v>
      </c>
      <c r="G2655" t="s">
        <v>23</v>
      </c>
      <c r="K2655" cm="1">
        <f t="array" ref="K2655">_xlfn.SWITCH(LeadsData[[#This Row],[Funnel Stage Reached]],"Lead",1,"MQL",2,"SQL",3,"Customer",4)</f>
        <v>2</v>
      </c>
      <c r="L2655" t="str">
        <f>TEXT(LeadsData[[#This Row],[Signup Date]],"mmm-yyyy")</f>
        <v>Jan-2024</v>
      </c>
      <c r="M2655">
        <f>IF(LeadsData[[#This Row],[Stage Number]]&gt;=2,1,0)</f>
        <v>1</v>
      </c>
      <c r="N2655" s="2">
        <f>IF(LeadsData[[#This Row],[Stage Number]]&gt;=3,1,0)</f>
        <v>0</v>
      </c>
      <c r="O2655" s="2">
        <f>IF(LeadsData[[#This Row],[Stage Number]]&gt;=4,1,0)</f>
        <v>0</v>
      </c>
    </row>
    <row r="2656" spans="1:15" x14ac:dyDescent="0.25">
      <c r="A2656" t="s">
        <v>2696</v>
      </c>
      <c r="B2656" s="1">
        <v>45523</v>
      </c>
      <c r="C2656" t="s">
        <v>31</v>
      </c>
      <c r="D2656" t="s">
        <v>34</v>
      </c>
      <c r="E2656" t="s">
        <v>21</v>
      </c>
      <c r="F2656" t="s">
        <v>22</v>
      </c>
      <c r="G2656" t="s">
        <v>15</v>
      </c>
      <c r="K2656" cm="1">
        <f t="array" ref="K2656">_xlfn.SWITCH(LeadsData[[#This Row],[Funnel Stage Reached]],"Lead",1,"MQL",2,"SQL",3,"Customer",4)</f>
        <v>1</v>
      </c>
      <c r="L2656" t="str">
        <f>TEXT(LeadsData[[#This Row],[Signup Date]],"mmm-yyyy")</f>
        <v>Aug-2024</v>
      </c>
      <c r="M2656">
        <f>IF(LeadsData[[#This Row],[Stage Number]]&gt;=2,1,0)</f>
        <v>0</v>
      </c>
      <c r="N2656" s="2">
        <f>IF(LeadsData[[#This Row],[Stage Number]]&gt;=3,1,0)</f>
        <v>0</v>
      </c>
      <c r="O2656" s="2">
        <f>IF(LeadsData[[#This Row],[Stage Number]]&gt;=4,1,0)</f>
        <v>0</v>
      </c>
    </row>
    <row r="2657" spans="1:15" x14ac:dyDescent="0.25">
      <c r="A2657" t="s">
        <v>2697</v>
      </c>
      <c r="B2657" s="1">
        <v>45588</v>
      </c>
      <c r="C2657" t="s">
        <v>46</v>
      </c>
      <c r="D2657" t="s">
        <v>56</v>
      </c>
      <c r="E2657" t="s">
        <v>48</v>
      </c>
      <c r="F2657" t="s">
        <v>19</v>
      </c>
      <c r="G2657" t="s">
        <v>15</v>
      </c>
      <c r="K2657" cm="1">
        <f t="array" ref="K2657">_xlfn.SWITCH(LeadsData[[#This Row],[Funnel Stage Reached]],"Lead",1,"MQL",2,"SQL",3,"Customer",4)</f>
        <v>1</v>
      </c>
      <c r="L2657" t="str">
        <f>TEXT(LeadsData[[#This Row],[Signup Date]],"mmm-yyyy")</f>
        <v>Oct-2024</v>
      </c>
      <c r="M2657">
        <f>IF(LeadsData[[#This Row],[Stage Number]]&gt;=2,1,0)</f>
        <v>0</v>
      </c>
      <c r="N2657" s="2">
        <f>IF(LeadsData[[#This Row],[Stage Number]]&gt;=3,1,0)</f>
        <v>0</v>
      </c>
      <c r="O2657" s="2">
        <f>IF(LeadsData[[#This Row],[Stage Number]]&gt;=4,1,0)</f>
        <v>0</v>
      </c>
    </row>
    <row r="2658" spans="1:15" x14ac:dyDescent="0.25">
      <c r="A2658" t="s">
        <v>2698</v>
      </c>
      <c r="B2658" s="1">
        <v>45482</v>
      </c>
      <c r="C2658" t="s">
        <v>17</v>
      </c>
      <c r="D2658" t="s">
        <v>18</v>
      </c>
      <c r="E2658" t="s">
        <v>21</v>
      </c>
      <c r="F2658" t="s">
        <v>19</v>
      </c>
      <c r="G2658" t="s">
        <v>23</v>
      </c>
      <c r="K2658" cm="1">
        <f t="array" ref="K2658">_xlfn.SWITCH(LeadsData[[#This Row],[Funnel Stage Reached]],"Lead",1,"MQL",2,"SQL",3,"Customer",4)</f>
        <v>2</v>
      </c>
      <c r="L2658" t="str">
        <f>TEXT(LeadsData[[#This Row],[Signup Date]],"mmm-yyyy")</f>
        <v>Jul-2024</v>
      </c>
      <c r="M2658">
        <f>IF(LeadsData[[#This Row],[Stage Number]]&gt;=2,1,0)</f>
        <v>1</v>
      </c>
      <c r="N2658" s="2">
        <f>IF(LeadsData[[#This Row],[Stage Number]]&gt;=3,1,0)</f>
        <v>0</v>
      </c>
      <c r="O2658" s="2">
        <f>IF(LeadsData[[#This Row],[Stage Number]]&gt;=4,1,0)</f>
        <v>0</v>
      </c>
    </row>
    <row r="2659" spans="1:15" x14ac:dyDescent="0.25">
      <c r="A2659" t="s">
        <v>2699</v>
      </c>
      <c r="B2659" s="1">
        <v>45563</v>
      </c>
      <c r="C2659" t="s">
        <v>25</v>
      </c>
      <c r="D2659" t="s">
        <v>26</v>
      </c>
      <c r="E2659" t="s">
        <v>13</v>
      </c>
      <c r="F2659" t="s">
        <v>22</v>
      </c>
      <c r="G2659" t="s">
        <v>15</v>
      </c>
      <c r="K2659" cm="1">
        <f t="array" ref="K2659">_xlfn.SWITCH(LeadsData[[#This Row],[Funnel Stage Reached]],"Lead",1,"MQL",2,"SQL",3,"Customer",4)</f>
        <v>1</v>
      </c>
      <c r="L2659" t="str">
        <f>TEXT(LeadsData[[#This Row],[Signup Date]],"mmm-yyyy")</f>
        <v>Sep-2024</v>
      </c>
      <c r="M2659">
        <f>IF(LeadsData[[#This Row],[Stage Number]]&gt;=2,1,0)</f>
        <v>0</v>
      </c>
      <c r="N2659" s="2">
        <f>IF(LeadsData[[#This Row],[Stage Number]]&gt;=3,1,0)</f>
        <v>0</v>
      </c>
      <c r="O2659" s="2">
        <f>IF(LeadsData[[#This Row],[Stage Number]]&gt;=4,1,0)</f>
        <v>0</v>
      </c>
    </row>
    <row r="2660" spans="1:15" x14ac:dyDescent="0.25">
      <c r="A2660" t="s">
        <v>2700</v>
      </c>
      <c r="B2660" s="1">
        <v>45307</v>
      </c>
      <c r="C2660" t="s">
        <v>17</v>
      </c>
      <c r="D2660" t="s">
        <v>18</v>
      </c>
      <c r="E2660" t="s">
        <v>13</v>
      </c>
      <c r="F2660" t="s">
        <v>19</v>
      </c>
      <c r="G2660" t="s">
        <v>15</v>
      </c>
      <c r="K2660" cm="1">
        <f t="array" ref="K2660">_xlfn.SWITCH(LeadsData[[#This Row],[Funnel Stage Reached]],"Lead",1,"MQL",2,"SQL",3,"Customer",4)</f>
        <v>1</v>
      </c>
      <c r="L2660" t="str">
        <f>TEXT(LeadsData[[#This Row],[Signup Date]],"mmm-yyyy")</f>
        <v>Jan-2024</v>
      </c>
      <c r="M2660">
        <f>IF(LeadsData[[#This Row],[Stage Number]]&gt;=2,1,0)</f>
        <v>0</v>
      </c>
      <c r="N2660" s="2">
        <f>IF(LeadsData[[#This Row],[Stage Number]]&gt;=3,1,0)</f>
        <v>0</v>
      </c>
      <c r="O2660" s="2">
        <f>IF(LeadsData[[#This Row],[Stage Number]]&gt;=4,1,0)</f>
        <v>0</v>
      </c>
    </row>
    <row r="2661" spans="1:15" x14ac:dyDescent="0.25">
      <c r="A2661" t="s">
        <v>2701</v>
      </c>
      <c r="B2661" s="1">
        <v>45634</v>
      </c>
      <c r="C2661" t="s">
        <v>11</v>
      </c>
      <c r="D2661" t="s">
        <v>68</v>
      </c>
      <c r="E2661" t="s">
        <v>21</v>
      </c>
      <c r="F2661" t="s">
        <v>22</v>
      </c>
      <c r="G2661" t="s">
        <v>15</v>
      </c>
      <c r="K2661" cm="1">
        <f t="array" ref="K2661">_xlfn.SWITCH(LeadsData[[#This Row],[Funnel Stage Reached]],"Lead",1,"MQL",2,"SQL",3,"Customer",4)</f>
        <v>1</v>
      </c>
      <c r="L2661" t="str">
        <f>TEXT(LeadsData[[#This Row],[Signup Date]],"mmm-yyyy")</f>
        <v>Dec-2024</v>
      </c>
      <c r="M2661">
        <f>IF(LeadsData[[#This Row],[Stage Number]]&gt;=2,1,0)</f>
        <v>0</v>
      </c>
      <c r="N2661" s="2">
        <f>IF(LeadsData[[#This Row],[Stage Number]]&gt;=3,1,0)</f>
        <v>0</v>
      </c>
      <c r="O2661" s="2">
        <f>IF(LeadsData[[#This Row],[Stage Number]]&gt;=4,1,0)</f>
        <v>0</v>
      </c>
    </row>
    <row r="2662" spans="1:15" x14ac:dyDescent="0.25">
      <c r="A2662" t="s">
        <v>2702</v>
      </c>
      <c r="B2662" s="1">
        <v>45558</v>
      </c>
      <c r="C2662" t="s">
        <v>46</v>
      </c>
      <c r="D2662" t="s">
        <v>56</v>
      </c>
      <c r="E2662" t="s">
        <v>13</v>
      </c>
      <c r="F2662" t="s">
        <v>22</v>
      </c>
      <c r="G2662" t="s">
        <v>15</v>
      </c>
      <c r="K2662" cm="1">
        <f t="array" ref="K2662">_xlfn.SWITCH(LeadsData[[#This Row],[Funnel Stage Reached]],"Lead",1,"MQL",2,"SQL",3,"Customer",4)</f>
        <v>1</v>
      </c>
      <c r="L2662" t="str">
        <f>TEXT(LeadsData[[#This Row],[Signup Date]],"mmm-yyyy")</f>
        <v>Sep-2024</v>
      </c>
      <c r="M2662">
        <f>IF(LeadsData[[#This Row],[Stage Number]]&gt;=2,1,0)</f>
        <v>0</v>
      </c>
      <c r="N2662" s="2">
        <f>IF(LeadsData[[#This Row],[Stage Number]]&gt;=3,1,0)</f>
        <v>0</v>
      </c>
      <c r="O2662" s="2">
        <f>IF(LeadsData[[#This Row],[Stage Number]]&gt;=4,1,0)</f>
        <v>0</v>
      </c>
    </row>
    <row r="2663" spans="1:15" x14ac:dyDescent="0.25">
      <c r="A2663" t="s">
        <v>2703</v>
      </c>
      <c r="B2663" s="1">
        <v>45517</v>
      </c>
      <c r="C2663" t="s">
        <v>31</v>
      </c>
      <c r="D2663" t="s">
        <v>34</v>
      </c>
      <c r="E2663" t="s">
        <v>13</v>
      </c>
      <c r="F2663" t="s">
        <v>22</v>
      </c>
      <c r="G2663" t="s">
        <v>15</v>
      </c>
      <c r="K2663" cm="1">
        <f t="array" ref="K2663">_xlfn.SWITCH(LeadsData[[#This Row],[Funnel Stage Reached]],"Lead",1,"MQL",2,"SQL",3,"Customer",4)</f>
        <v>1</v>
      </c>
      <c r="L2663" t="str">
        <f>TEXT(LeadsData[[#This Row],[Signup Date]],"mmm-yyyy")</f>
        <v>Aug-2024</v>
      </c>
      <c r="M2663">
        <f>IF(LeadsData[[#This Row],[Stage Number]]&gt;=2,1,0)</f>
        <v>0</v>
      </c>
      <c r="N2663" s="2">
        <f>IF(LeadsData[[#This Row],[Stage Number]]&gt;=3,1,0)</f>
        <v>0</v>
      </c>
      <c r="O2663" s="2">
        <f>IF(LeadsData[[#This Row],[Stage Number]]&gt;=4,1,0)</f>
        <v>0</v>
      </c>
    </row>
    <row r="2664" spans="1:15" x14ac:dyDescent="0.25">
      <c r="A2664" t="s">
        <v>2704</v>
      </c>
      <c r="B2664" s="1">
        <v>45505</v>
      </c>
      <c r="C2664" t="s">
        <v>46</v>
      </c>
      <c r="D2664" t="s">
        <v>47</v>
      </c>
      <c r="E2664" t="s">
        <v>13</v>
      </c>
      <c r="F2664" t="s">
        <v>22</v>
      </c>
      <c r="G2664" t="s">
        <v>29</v>
      </c>
      <c r="K2664" cm="1">
        <f t="array" ref="K2664">_xlfn.SWITCH(LeadsData[[#This Row],[Funnel Stage Reached]],"Lead",1,"MQL",2,"SQL",3,"Customer",4)</f>
        <v>3</v>
      </c>
      <c r="L2664" t="str">
        <f>TEXT(LeadsData[[#This Row],[Signup Date]],"mmm-yyyy")</f>
        <v>Aug-2024</v>
      </c>
      <c r="M2664">
        <f>IF(LeadsData[[#This Row],[Stage Number]]&gt;=2,1,0)</f>
        <v>1</v>
      </c>
      <c r="N2664" s="2">
        <f>IF(LeadsData[[#This Row],[Stage Number]]&gt;=3,1,0)</f>
        <v>1</v>
      </c>
      <c r="O2664" s="2">
        <f>IF(LeadsData[[#This Row],[Stage Number]]&gt;=4,1,0)</f>
        <v>0</v>
      </c>
    </row>
    <row r="2665" spans="1:15" x14ac:dyDescent="0.25">
      <c r="A2665" t="s">
        <v>2705</v>
      </c>
      <c r="B2665" s="1">
        <v>45542</v>
      </c>
      <c r="C2665" t="s">
        <v>17</v>
      </c>
      <c r="D2665" t="s">
        <v>18</v>
      </c>
      <c r="E2665" t="s">
        <v>13</v>
      </c>
      <c r="F2665" t="s">
        <v>14</v>
      </c>
      <c r="G2665" t="s">
        <v>15</v>
      </c>
      <c r="K2665" cm="1">
        <f t="array" ref="K2665">_xlfn.SWITCH(LeadsData[[#This Row],[Funnel Stage Reached]],"Lead",1,"MQL",2,"SQL",3,"Customer",4)</f>
        <v>1</v>
      </c>
      <c r="L2665" t="str">
        <f>TEXT(LeadsData[[#This Row],[Signup Date]],"mmm-yyyy")</f>
        <v>Sep-2024</v>
      </c>
      <c r="M2665">
        <f>IF(LeadsData[[#This Row],[Stage Number]]&gt;=2,1,0)</f>
        <v>0</v>
      </c>
      <c r="N2665" s="2">
        <f>IF(LeadsData[[#This Row],[Stage Number]]&gt;=3,1,0)</f>
        <v>0</v>
      </c>
      <c r="O2665" s="2">
        <f>IF(LeadsData[[#This Row],[Stage Number]]&gt;=4,1,0)</f>
        <v>0</v>
      </c>
    </row>
    <row r="2666" spans="1:15" x14ac:dyDescent="0.25">
      <c r="A2666" t="s">
        <v>2706</v>
      </c>
      <c r="B2666" s="1">
        <v>45405</v>
      </c>
      <c r="C2666" t="s">
        <v>31</v>
      </c>
      <c r="D2666" t="s">
        <v>32</v>
      </c>
      <c r="E2666" t="s">
        <v>13</v>
      </c>
      <c r="F2666" t="s">
        <v>14</v>
      </c>
      <c r="G2666" t="s">
        <v>23</v>
      </c>
      <c r="K2666" cm="1">
        <f t="array" ref="K2666">_xlfn.SWITCH(LeadsData[[#This Row],[Funnel Stage Reached]],"Lead",1,"MQL",2,"SQL",3,"Customer",4)</f>
        <v>2</v>
      </c>
      <c r="L2666" t="str">
        <f>TEXT(LeadsData[[#This Row],[Signup Date]],"mmm-yyyy")</f>
        <v>Apr-2024</v>
      </c>
      <c r="M2666">
        <f>IF(LeadsData[[#This Row],[Stage Number]]&gt;=2,1,0)</f>
        <v>1</v>
      </c>
      <c r="N2666" s="2">
        <f>IF(LeadsData[[#This Row],[Stage Number]]&gt;=3,1,0)</f>
        <v>0</v>
      </c>
      <c r="O2666" s="2">
        <f>IF(LeadsData[[#This Row],[Stage Number]]&gt;=4,1,0)</f>
        <v>0</v>
      </c>
    </row>
    <row r="2667" spans="1:15" x14ac:dyDescent="0.25">
      <c r="A2667" t="s">
        <v>2707</v>
      </c>
      <c r="B2667" s="1">
        <v>45607</v>
      </c>
      <c r="C2667" t="s">
        <v>25</v>
      </c>
      <c r="D2667" t="s">
        <v>26</v>
      </c>
      <c r="E2667" t="s">
        <v>21</v>
      </c>
      <c r="F2667" t="s">
        <v>19</v>
      </c>
      <c r="G2667" t="s">
        <v>15</v>
      </c>
      <c r="K2667" cm="1">
        <f t="array" ref="K2667">_xlfn.SWITCH(LeadsData[[#This Row],[Funnel Stage Reached]],"Lead",1,"MQL",2,"SQL",3,"Customer",4)</f>
        <v>1</v>
      </c>
      <c r="L2667" t="str">
        <f>TEXT(LeadsData[[#This Row],[Signup Date]],"mmm-yyyy")</f>
        <v>Nov-2024</v>
      </c>
      <c r="M2667">
        <f>IF(LeadsData[[#This Row],[Stage Number]]&gt;=2,1,0)</f>
        <v>0</v>
      </c>
      <c r="N2667" s="2">
        <f>IF(LeadsData[[#This Row],[Stage Number]]&gt;=3,1,0)</f>
        <v>0</v>
      </c>
      <c r="O2667" s="2">
        <f>IF(LeadsData[[#This Row],[Stage Number]]&gt;=4,1,0)</f>
        <v>0</v>
      </c>
    </row>
    <row r="2668" spans="1:15" x14ac:dyDescent="0.25">
      <c r="A2668" t="s">
        <v>2708</v>
      </c>
      <c r="B2668" s="1">
        <v>45506</v>
      </c>
      <c r="C2668" t="s">
        <v>46</v>
      </c>
      <c r="D2668" t="s">
        <v>47</v>
      </c>
      <c r="E2668" t="s">
        <v>13</v>
      </c>
      <c r="F2668" t="s">
        <v>22</v>
      </c>
      <c r="G2668" t="s">
        <v>42</v>
      </c>
      <c r="H2668">
        <v>8</v>
      </c>
      <c r="I2668" t="s">
        <v>43</v>
      </c>
      <c r="J2668">
        <v>899.36</v>
      </c>
      <c r="K2668" cm="1">
        <f t="array" ref="K2668">_xlfn.SWITCH(LeadsData[[#This Row],[Funnel Stage Reached]],"Lead",1,"MQL",2,"SQL",3,"Customer",4)</f>
        <v>4</v>
      </c>
      <c r="L2668" t="str">
        <f>TEXT(LeadsData[[#This Row],[Signup Date]],"mmm-yyyy")</f>
        <v>Aug-2024</v>
      </c>
      <c r="M2668">
        <f>IF(LeadsData[[#This Row],[Stage Number]]&gt;=2,1,0)</f>
        <v>1</v>
      </c>
      <c r="N2668" s="2">
        <f>IF(LeadsData[[#This Row],[Stage Number]]&gt;=3,1,0)</f>
        <v>1</v>
      </c>
      <c r="O2668" s="2">
        <f>IF(LeadsData[[#This Row],[Stage Number]]&gt;=4,1,0)</f>
        <v>1</v>
      </c>
    </row>
    <row r="2669" spans="1:15" x14ac:dyDescent="0.25">
      <c r="A2669" t="s">
        <v>2709</v>
      </c>
      <c r="B2669" s="1">
        <v>45392</v>
      </c>
      <c r="C2669" t="s">
        <v>17</v>
      </c>
      <c r="D2669" t="s">
        <v>18</v>
      </c>
      <c r="E2669" t="s">
        <v>13</v>
      </c>
      <c r="F2669" t="s">
        <v>22</v>
      </c>
      <c r="G2669" t="s">
        <v>42</v>
      </c>
      <c r="H2669">
        <v>53</v>
      </c>
      <c r="I2669" t="s">
        <v>43</v>
      </c>
      <c r="J2669">
        <v>571.13</v>
      </c>
      <c r="K2669" cm="1">
        <f t="array" ref="K2669">_xlfn.SWITCH(LeadsData[[#This Row],[Funnel Stage Reached]],"Lead",1,"MQL",2,"SQL",3,"Customer",4)</f>
        <v>4</v>
      </c>
      <c r="L2669" t="str">
        <f>TEXT(LeadsData[[#This Row],[Signup Date]],"mmm-yyyy")</f>
        <v>Apr-2024</v>
      </c>
      <c r="M2669">
        <f>IF(LeadsData[[#This Row],[Stage Number]]&gt;=2,1,0)</f>
        <v>1</v>
      </c>
      <c r="N2669" s="2">
        <f>IF(LeadsData[[#This Row],[Stage Number]]&gt;=3,1,0)</f>
        <v>1</v>
      </c>
      <c r="O2669" s="2">
        <f>IF(LeadsData[[#This Row],[Stage Number]]&gt;=4,1,0)</f>
        <v>1</v>
      </c>
    </row>
    <row r="2670" spans="1:15" x14ac:dyDescent="0.25">
      <c r="A2670" t="s">
        <v>2710</v>
      </c>
      <c r="B2670" s="1">
        <v>45304</v>
      </c>
      <c r="C2670" t="s">
        <v>17</v>
      </c>
      <c r="D2670" t="s">
        <v>53</v>
      </c>
      <c r="E2670" t="s">
        <v>48</v>
      </c>
      <c r="F2670" t="s">
        <v>14</v>
      </c>
      <c r="G2670" t="s">
        <v>15</v>
      </c>
      <c r="K2670" cm="1">
        <f t="array" ref="K2670">_xlfn.SWITCH(LeadsData[[#This Row],[Funnel Stage Reached]],"Lead",1,"MQL",2,"SQL",3,"Customer",4)</f>
        <v>1</v>
      </c>
      <c r="L2670" t="str">
        <f>TEXT(LeadsData[[#This Row],[Signup Date]],"mmm-yyyy")</f>
        <v>Jan-2024</v>
      </c>
      <c r="M2670">
        <f>IF(LeadsData[[#This Row],[Stage Number]]&gt;=2,1,0)</f>
        <v>0</v>
      </c>
      <c r="N2670" s="2">
        <f>IF(LeadsData[[#This Row],[Stage Number]]&gt;=3,1,0)</f>
        <v>0</v>
      </c>
      <c r="O2670" s="2">
        <f>IF(LeadsData[[#This Row],[Stage Number]]&gt;=4,1,0)</f>
        <v>0</v>
      </c>
    </row>
    <row r="2671" spans="1:15" x14ac:dyDescent="0.25">
      <c r="A2671" t="s">
        <v>2711</v>
      </c>
      <c r="B2671" s="1">
        <v>45478</v>
      </c>
      <c r="C2671" t="s">
        <v>31</v>
      </c>
      <c r="D2671" t="s">
        <v>32</v>
      </c>
      <c r="E2671" t="s">
        <v>13</v>
      </c>
      <c r="F2671" t="s">
        <v>14</v>
      </c>
      <c r="G2671" t="s">
        <v>29</v>
      </c>
      <c r="K2671" cm="1">
        <f t="array" ref="K2671">_xlfn.SWITCH(LeadsData[[#This Row],[Funnel Stage Reached]],"Lead",1,"MQL",2,"SQL",3,"Customer",4)</f>
        <v>3</v>
      </c>
      <c r="L2671" t="str">
        <f>TEXT(LeadsData[[#This Row],[Signup Date]],"mmm-yyyy")</f>
        <v>Jul-2024</v>
      </c>
      <c r="M2671">
        <f>IF(LeadsData[[#This Row],[Stage Number]]&gt;=2,1,0)</f>
        <v>1</v>
      </c>
      <c r="N2671" s="2">
        <f>IF(LeadsData[[#This Row],[Stage Number]]&gt;=3,1,0)</f>
        <v>1</v>
      </c>
      <c r="O2671" s="2">
        <f>IF(LeadsData[[#This Row],[Stage Number]]&gt;=4,1,0)</f>
        <v>0</v>
      </c>
    </row>
    <row r="2672" spans="1:15" x14ac:dyDescent="0.25">
      <c r="A2672" t="s">
        <v>2712</v>
      </c>
      <c r="B2672" s="1">
        <v>45426</v>
      </c>
      <c r="C2672" t="s">
        <v>36</v>
      </c>
      <c r="D2672" t="s">
        <v>50</v>
      </c>
      <c r="E2672" t="s">
        <v>13</v>
      </c>
      <c r="F2672" t="s">
        <v>22</v>
      </c>
      <c r="G2672" t="s">
        <v>29</v>
      </c>
      <c r="K2672" cm="1">
        <f t="array" ref="K2672">_xlfn.SWITCH(LeadsData[[#This Row],[Funnel Stage Reached]],"Lead",1,"MQL",2,"SQL",3,"Customer",4)</f>
        <v>3</v>
      </c>
      <c r="L2672" t="str">
        <f>TEXT(LeadsData[[#This Row],[Signup Date]],"mmm-yyyy")</f>
        <v>May-2024</v>
      </c>
      <c r="M2672">
        <f>IF(LeadsData[[#This Row],[Stage Number]]&gt;=2,1,0)</f>
        <v>1</v>
      </c>
      <c r="N2672" s="2">
        <f>IF(LeadsData[[#This Row],[Stage Number]]&gt;=3,1,0)</f>
        <v>1</v>
      </c>
      <c r="O2672" s="2">
        <f>IF(LeadsData[[#This Row],[Stage Number]]&gt;=4,1,0)</f>
        <v>0</v>
      </c>
    </row>
    <row r="2673" spans="1:15" x14ac:dyDescent="0.25">
      <c r="A2673" t="s">
        <v>2713</v>
      </c>
      <c r="B2673" s="1">
        <v>45408</v>
      </c>
      <c r="C2673" t="s">
        <v>17</v>
      </c>
      <c r="D2673" t="s">
        <v>18</v>
      </c>
      <c r="E2673" t="s">
        <v>13</v>
      </c>
      <c r="F2673" t="s">
        <v>19</v>
      </c>
      <c r="G2673" t="s">
        <v>15</v>
      </c>
      <c r="K2673" cm="1">
        <f t="array" ref="K2673">_xlfn.SWITCH(LeadsData[[#This Row],[Funnel Stage Reached]],"Lead",1,"MQL",2,"SQL",3,"Customer",4)</f>
        <v>1</v>
      </c>
      <c r="L2673" t="str">
        <f>TEXT(LeadsData[[#This Row],[Signup Date]],"mmm-yyyy")</f>
        <v>Apr-2024</v>
      </c>
      <c r="M2673">
        <f>IF(LeadsData[[#This Row],[Stage Number]]&gt;=2,1,0)</f>
        <v>0</v>
      </c>
      <c r="N2673" s="2">
        <f>IF(LeadsData[[#This Row],[Stage Number]]&gt;=3,1,0)</f>
        <v>0</v>
      </c>
      <c r="O2673" s="2">
        <f>IF(LeadsData[[#This Row],[Stage Number]]&gt;=4,1,0)</f>
        <v>0</v>
      </c>
    </row>
    <row r="2674" spans="1:15" x14ac:dyDescent="0.25">
      <c r="A2674" t="s">
        <v>2714</v>
      </c>
      <c r="B2674" s="1">
        <v>45415</v>
      </c>
      <c r="C2674" t="s">
        <v>25</v>
      </c>
      <c r="D2674" t="s">
        <v>26</v>
      </c>
      <c r="E2674" t="s">
        <v>13</v>
      </c>
      <c r="F2674" t="s">
        <v>22</v>
      </c>
      <c r="G2674" t="s">
        <v>15</v>
      </c>
      <c r="K2674" cm="1">
        <f t="array" ref="K2674">_xlfn.SWITCH(LeadsData[[#This Row],[Funnel Stage Reached]],"Lead",1,"MQL",2,"SQL",3,"Customer",4)</f>
        <v>1</v>
      </c>
      <c r="L2674" t="str">
        <f>TEXT(LeadsData[[#This Row],[Signup Date]],"mmm-yyyy")</f>
        <v>May-2024</v>
      </c>
      <c r="M2674">
        <f>IF(LeadsData[[#This Row],[Stage Number]]&gt;=2,1,0)</f>
        <v>0</v>
      </c>
      <c r="N2674" s="2">
        <f>IF(LeadsData[[#This Row],[Stage Number]]&gt;=3,1,0)</f>
        <v>0</v>
      </c>
      <c r="O2674" s="2">
        <f>IF(LeadsData[[#This Row],[Stage Number]]&gt;=4,1,0)</f>
        <v>0</v>
      </c>
    </row>
    <row r="2675" spans="1:15" x14ac:dyDescent="0.25">
      <c r="A2675" t="s">
        <v>2715</v>
      </c>
      <c r="B2675" s="1">
        <v>45617</v>
      </c>
      <c r="C2675" t="s">
        <v>46</v>
      </c>
      <c r="D2675" t="s">
        <v>47</v>
      </c>
      <c r="E2675" t="s">
        <v>21</v>
      </c>
      <c r="F2675" t="s">
        <v>28</v>
      </c>
      <c r="G2675" t="s">
        <v>15</v>
      </c>
      <c r="K2675" cm="1">
        <f t="array" ref="K2675">_xlfn.SWITCH(LeadsData[[#This Row],[Funnel Stage Reached]],"Lead",1,"MQL",2,"SQL",3,"Customer",4)</f>
        <v>1</v>
      </c>
      <c r="L2675" t="str">
        <f>TEXT(LeadsData[[#This Row],[Signup Date]],"mmm-yyyy")</f>
        <v>Nov-2024</v>
      </c>
      <c r="M2675">
        <f>IF(LeadsData[[#This Row],[Stage Number]]&gt;=2,1,0)</f>
        <v>0</v>
      </c>
      <c r="N2675" s="2">
        <f>IF(LeadsData[[#This Row],[Stage Number]]&gt;=3,1,0)</f>
        <v>0</v>
      </c>
      <c r="O2675" s="2">
        <f>IF(LeadsData[[#This Row],[Stage Number]]&gt;=4,1,0)</f>
        <v>0</v>
      </c>
    </row>
    <row r="2676" spans="1:15" x14ac:dyDescent="0.25">
      <c r="A2676" t="s">
        <v>2716</v>
      </c>
      <c r="B2676" s="1">
        <v>45493</v>
      </c>
      <c r="C2676" t="s">
        <v>31</v>
      </c>
      <c r="D2676" t="s">
        <v>32</v>
      </c>
      <c r="E2676" t="s">
        <v>13</v>
      </c>
      <c r="F2676" t="s">
        <v>19</v>
      </c>
      <c r="G2676" t="s">
        <v>23</v>
      </c>
      <c r="K2676" cm="1">
        <f t="array" ref="K2676">_xlfn.SWITCH(LeadsData[[#This Row],[Funnel Stage Reached]],"Lead",1,"MQL",2,"SQL",3,"Customer",4)</f>
        <v>2</v>
      </c>
      <c r="L2676" t="str">
        <f>TEXT(LeadsData[[#This Row],[Signup Date]],"mmm-yyyy")</f>
        <v>Jul-2024</v>
      </c>
      <c r="M2676">
        <f>IF(LeadsData[[#This Row],[Stage Number]]&gt;=2,1,0)</f>
        <v>1</v>
      </c>
      <c r="N2676" s="2">
        <f>IF(LeadsData[[#This Row],[Stage Number]]&gt;=3,1,0)</f>
        <v>0</v>
      </c>
      <c r="O2676" s="2">
        <f>IF(LeadsData[[#This Row],[Stage Number]]&gt;=4,1,0)</f>
        <v>0</v>
      </c>
    </row>
    <row r="2677" spans="1:15" x14ac:dyDescent="0.25">
      <c r="A2677" t="s">
        <v>2717</v>
      </c>
      <c r="B2677" s="1">
        <v>45606</v>
      </c>
      <c r="C2677" t="s">
        <v>31</v>
      </c>
      <c r="D2677" t="s">
        <v>32</v>
      </c>
      <c r="E2677" t="s">
        <v>13</v>
      </c>
      <c r="F2677" t="s">
        <v>19</v>
      </c>
      <c r="G2677" t="s">
        <v>15</v>
      </c>
      <c r="K2677" cm="1">
        <f t="array" ref="K2677">_xlfn.SWITCH(LeadsData[[#This Row],[Funnel Stage Reached]],"Lead",1,"MQL",2,"SQL",3,"Customer",4)</f>
        <v>1</v>
      </c>
      <c r="L2677" t="str">
        <f>TEXT(LeadsData[[#This Row],[Signup Date]],"mmm-yyyy")</f>
        <v>Nov-2024</v>
      </c>
      <c r="M2677">
        <f>IF(LeadsData[[#This Row],[Stage Number]]&gt;=2,1,0)</f>
        <v>0</v>
      </c>
      <c r="N2677" s="2">
        <f>IF(LeadsData[[#This Row],[Stage Number]]&gt;=3,1,0)</f>
        <v>0</v>
      </c>
      <c r="O2677" s="2">
        <f>IF(LeadsData[[#This Row],[Stage Number]]&gt;=4,1,0)</f>
        <v>0</v>
      </c>
    </row>
    <row r="2678" spans="1:15" x14ac:dyDescent="0.25">
      <c r="A2678" t="s">
        <v>2718</v>
      </c>
      <c r="B2678" s="1">
        <v>45499</v>
      </c>
      <c r="C2678" t="s">
        <v>25</v>
      </c>
      <c r="D2678" t="s">
        <v>26</v>
      </c>
      <c r="E2678" t="s">
        <v>13</v>
      </c>
      <c r="F2678" t="s">
        <v>14</v>
      </c>
      <c r="G2678" t="s">
        <v>23</v>
      </c>
      <c r="K2678" cm="1">
        <f t="array" ref="K2678">_xlfn.SWITCH(LeadsData[[#This Row],[Funnel Stage Reached]],"Lead",1,"MQL",2,"SQL",3,"Customer",4)</f>
        <v>2</v>
      </c>
      <c r="L2678" t="str">
        <f>TEXT(LeadsData[[#This Row],[Signup Date]],"mmm-yyyy")</f>
        <v>Jul-2024</v>
      </c>
      <c r="M2678">
        <f>IF(LeadsData[[#This Row],[Stage Number]]&gt;=2,1,0)</f>
        <v>1</v>
      </c>
      <c r="N2678" s="2">
        <f>IF(LeadsData[[#This Row],[Stage Number]]&gt;=3,1,0)</f>
        <v>0</v>
      </c>
      <c r="O2678" s="2">
        <f>IF(LeadsData[[#This Row],[Stage Number]]&gt;=4,1,0)</f>
        <v>0</v>
      </c>
    </row>
    <row r="2679" spans="1:15" x14ac:dyDescent="0.25">
      <c r="A2679" t="s">
        <v>2719</v>
      </c>
      <c r="B2679" s="1">
        <v>45427</v>
      </c>
      <c r="C2679" t="s">
        <v>17</v>
      </c>
      <c r="D2679" t="s">
        <v>53</v>
      </c>
      <c r="E2679" t="s">
        <v>21</v>
      </c>
      <c r="F2679" t="s">
        <v>22</v>
      </c>
      <c r="G2679" t="s">
        <v>15</v>
      </c>
      <c r="K2679" cm="1">
        <f t="array" ref="K2679">_xlfn.SWITCH(LeadsData[[#This Row],[Funnel Stage Reached]],"Lead",1,"MQL",2,"SQL",3,"Customer",4)</f>
        <v>1</v>
      </c>
      <c r="L2679" t="str">
        <f>TEXT(LeadsData[[#This Row],[Signup Date]],"mmm-yyyy")</f>
        <v>May-2024</v>
      </c>
      <c r="M2679">
        <f>IF(LeadsData[[#This Row],[Stage Number]]&gt;=2,1,0)</f>
        <v>0</v>
      </c>
      <c r="N2679" s="2">
        <f>IF(LeadsData[[#This Row],[Stage Number]]&gt;=3,1,0)</f>
        <v>0</v>
      </c>
      <c r="O2679" s="2">
        <f>IF(LeadsData[[#This Row],[Stage Number]]&gt;=4,1,0)</f>
        <v>0</v>
      </c>
    </row>
    <row r="2680" spans="1:15" x14ac:dyDescent="0.25">
      <c r="A2680" t="s">
        <v>2720</v>
      </c>
      <c r="B2680" s="1">
        <v>45497</v>
      </c>
      <c r="C2680" t="s">
        <v>36</v>
      </c>
      <c r="D2680" t="s">
        <v>37</v>
      </c>
      <c r="E2680" t="s">
        <v>13</v>
      </c>
      <c r="F2680" t="s">
        <v>19</v>
      </c>
      <c r="G2680" t="s">
        <v>15</v>
      </c>
      <c r="K2680" cm="1">
        <f t="array" ref="K2680">_xlfn.SWITCH(LeadsData[[#This Row],[Funnel Stage Reached]],"Lead",1,"MQL",2,"SQL",3,"Customer",4)</f>
        <v>1</v>
      </c>
      <c r="L2680" t="str">
        <f>TEXT(LeadsData[[#This Row],[Signup Date]],"mmm-yyyy")</f>
        <v>Jul-2024</v>
      </c>
      <c r="M2680">
        <f>IF(LeadsData[[#This Row],[Stage Number]]&gt;=2,1,0)</f>
        <v>0</v>
      </c>
      <c r="N2680" s="2">
        <f>IF(LeadsData[[#This Row],[Stage Number]]&gt;=3,1,0)</f>
        <v>0</v>
      </c>
      <c r="O2680" s="2">
        <f>IF(LeadsData[[#This Row],[Stage Number]]&gt;=4,1,0)</f>
        <v>0</v>
      </c>
    </row>
    <row r="2681" spans="1:15" x14ac:dyDescent="0.25">
      <c r="A2681" t="s">
        <v>2721</v>
      </c>
      <c r="B2681" s="1">
        <v>45551</v>
      </c>
      <c r="C2681" t="s">
        <v>46</v>
      </c>
      <c r="D2681" t="s">
        <v>56</v>
      </c>
      <c r="E2681" t="s">
        <v>21</v>
      </c>
      <c r="F2681" t="s">
        <v>19</v>
      </c>
      <c r="G2681" t="s">
        <v>23</v>
      </c>
      <c r="K2681" cm="1">
        <f t="array" ref="K2681">_xlfn.SWITCH(LeadsData[[#This Row],[Funnel Stage Reached]],"Lead",1,"MQL",2,"SQL",3,"Customer",4)</f>
        <v>2</v>
      </c>
      <c r="L2681" t="str">
        <f>TEXT(LeadsData[[#This Row],[Signup Date]],"mmm-yyyy")</f>
        <v>Sep-2024</v>
      </c>
      <c r="M2681">
        <f>IF(LeadsData[[#This Row],[Stage Number]]&gt;=2,1,0)</f>
        <v>1</v>
      </c>
      <c r="N2681" s="2">
        <f>IF(LeadsData[[#This Row],[Stage Number]]&gt;=3,1,0)</f>
        <v>0</v>
      </c>
      <c r="O2681" s="2">
        <f>IF(LeadsData[[#This Row],[Stage Number]]&gt;=4,1,0)</f>
        <v>0</v>
      </c>
    </row>
    <row r="2682" spans="1:15" x14ac:dyDescent="0.25">
      <c r="A2682" t="s">
        <v>2722</v>
      </c>
      <c r="B2682" s="1">
        <v>45397</v>
      </c>
      <c r="C2682" t="s">
        <v>31</v>
      </c>
      <c r="D2682" t="s">
        <v>34</v>
      </c>
      <c r="E2682" t="s">
        <v>21</v>
      </c>
      <c r="F2682" t="s">
        <v>14</v>
      </c>
      <c r="G2682" t="s">
        <v>15</v>
      </c>
      <c r="K2682" cm="1">
        <f t="array" ref="K2682">_xlfn.SWITCH(LeadsData[[#This Row],[Funnel Stage Reached]],"Lead",1,"MQL",2,"SQL",3,"Customer",4)</f>
        <v>1</v>
      </c>
      <c r="L2682" t="str">
        <f>TEXT(LeadsData[[#This Row],[Signup Date]],"mmm-yyyy")</f>
        <v>Apr-2024</v>
      </c>
      <c r="M2682">
        <f>IF(LeadsData[[#This Row],[Stage Number]]&gt;=2,1,0)</f>
        <v>0</v>
      </c>
      <c r="N2682" s="2">
        <f>IF(LeadsData[[#This Row],[Stage Number]]&gt;=3,1,0)</f>
        <v>0</v>
      </c>
      <c r="O2682" s="2">
        <f>IF(LeadsData[[#This Row],[Stage Number]]&gt;=4,1,0)</f>
        <v>0</v>
      </c>
    </row>
    <row r="2683" spans="1:15" x14ac:dyDescent="0.25">
      <c r="A2683" t="s">
        <v>2723</v>
      </c>
      <c r="B2683" s="1">
        <v>45592</v>
      </c>
      <c r="C2683" t="s">
        <v>25</v>
      </c>
      <c r="D2683" t="s">
        <v>26</v>
      </c>
      <c r="E2683" t="s">
        <v>13</v>
      </c>
      <c r="F2683" t="s">
        <v>19</v>
      </c>
      <c r="G2683" t="s">
        <v>15</v>
      </c>
      <c r="K2683" cm="1">
        <f t="array" ref="K2683">_xlfn.SWITCH(LeadsData[[#This Row],[Funnel Stage Reached]],"Lead",1,"MQL",2,"SQL",3,"Customer",4)</f>
        <v>1</v>
      </c>
      <c r="L2683" t="str">
        <f>TEXT(LeadsData[[#This Row],[Signup Date]],"mmm-yyyy")</f>
        <v>Oct-2024</v>
      </c>
      <c r="M2683">
        <f>IF(LeadsData[[#This Row],[Stage Number]]&gt;=2,1,0)</f>
        <v>0</v>
      </c>
      <c r="N2683" s="2">
        <f>IF(LeadsData[[#This Row],[Stage Number]]&gt;=3,1,0)</f>
        <v>0</v>
      </c>
      <c r="O2683" s="2">
        <f>IF(LeadsData[[#This Row],[Stage Number]]&gt;=4,1,0)</f>
        <v>0</v>
      </c>
    </row>
    <row r="2684" spans="1:15" x14ac:dyDescent="0.25">
      <c r="A2684" t="s">
        <v>2724</v>
      </c>
      <c r="B2684" s="1">
        <v>45602</v>
      </c>
      <c r="C2684" t="s">
        <v>11</v>
      </c>
      <c r="D2684" t="s">
        <v>79</v>
      </c>
      <c r="E2684" t="s">
        <v>13</v>
      </c>
      <c r="F2684" t="s">
        <v>28</v>
      </c>
      <c r="G2684" t="s">
        <v>15</v>
      </c>
      <c r="K2684" cm="1">
        <f t="array" ref="K2684">_xlfn.SWITCH(LeadsData[[#This Row],[Funnel Stage Reached]],"Lead",1,"MQL",2,"SQL",3,"Customer",4)</f>
        <v>1</v>
      </c>
      <c r="L2684" t="str">
        <f>TEXT(LeadsData[[#This Row],[Signup Date]],"mmm-yyyy")</f>
        <v>Nov-2024</v>
      </c>
      <c r="M2684">
        <f>IF(LeadsData[[#This Row],[Stage Number]]&gt;=2,1,0)</f>
        <v>0</v>
      </c>
      <c r="N2684" s="2">
        <f>IF(LeadsData[[#This Row],[Stage Number]]&gt;=3,1,0)</f>
        <v>0</v>
      </c>
      <c r="O2684" s="2">
        <f>IF(LeadsData[[#This Row],[Stage Number]]&gt;=4,1,0)</f>
        <v>0</v>
      </c>
    </row>
    <row r="2685" spans="1:15" x14ac:dyDescent="0.25">
      <c r="A2685" t="s">
        <v>2725</v>
      </c>
      <c r="B2685" s="1">
        <v>45302</v>
      </c>
      <c r="C2685" t="s">
        <v>31</v>
      </c>
      <c r="D2685" t="s">
        <v>32</v>
      </c>
      <c r="E2685" t="s">
        <v>13</v>
      </c>
      <c r="F2685" t="s">
        <v>22</v>
      </c>
      <c r="G2685" t="s">
        <v>15</v>
      </c>
      <c r="K2685" cm="1">
        <f t="array" ref="K2685">_xlfn.SWITCH(LeadsData[[#This Row],[Funnel Stage Reached]],"Lead",1,"MQL",2,"SQL",3,"Customer",4)</f>
        <v>1</v>
      </c>
      <c r="L2685" t="str">
        <f>TEXT(LeadsData[[#This Row],[Signup Date]],"mmm-yyyy")</f>
        <v>Jan-2024</v>
      </c>
      <c r="M2685">
        <f>IF(LeadsData[[#This Row],[Stage Number]]&gt;=2,1,0)</f>
        <v>0</v>
      </c>
      <c r="N2685" s="2">
        <f>IF(LeadsData[[#This Row],[Stage Number]]&gt;=3,1,0)</f>
        <v>0</v>
      </c>
      <c r="O2685" s="2">
        <f>IF(LeadsData[[#This Row],[Stage Number]]&gt;=4,1,0)</f>
        <v>0</v>
      </c>
    </row>
    <row r="2686" spans="1:15" x14ac:dyDescent="0.25">
      <c r="A2686" t="s">
        <v>2726</v>
      </c>
      <c r="B2686" s="1">
        <v>45309</v>
      </c>
      <c r="C2686" t="s">
        <v>11</v>
      </c>
      <c r="D2686" t="s">
        <v>12</v>
      </c>
      <c r="E2686" t="s">
        <v>21</v>
      </c>
      <c r="F2686" t="s">
        <v>19</v>
      </c>
      <c r="G2686" t="s">
        <v>15</v>
      </c>
      <c r="K2686" cm="1">
        <f t="array" ref="K2686">_xlfn.SWITCH(LeadsData[[#This Row],[Funnel Stage Reached]],"Lead",1,"MQL",2,"SQL",3,"Customer",4)</f>
        <v>1</v>
      </c>
      <c r="L2686" t="str">
        <f>TEXT(LeadsData[[#This Row],[Signup Date]],"mmm-yyyy")</f>
        <v>Jan-2024</v>
      </c>
      <c r="M2686">
        <f>IF(LeadsData[[#This Row],[Stage Number]]&gt;=2,1,0)</f>
        <v>0</v>
      </c>
      <c r="N2686" s="2">
        <f>IF(LeadsData[[#This Row],[Stage Number]]&gt;=3,1,0)</f>
        <v>0</v>
      </c>
      <c r="O2686" s="2">
        <f>IF(LeadsData[[#This Row],[Stage Number]]&gt;=4,1,0)</f>
        <v>0</v>
      </c>
    </row>
    <row r="2687" spans="1:15" x14ac:dyDescent="0.25">
      <c r="A2687" t="s">
        <v>2727</v>
      </c>
      <c r="B2687" s="1">
        <v>45571</v>
      </c>
      <c r="C2687" t="s">
        <v>36</v>
      </c>
      <c r="D2687" t="s">
        <v>37</v>
      </c>
      <c r="E2687" t="s">
        <v>13</v>
      </c>
      <c r="F2687" t="s">
        <v>28</v>
      </c>
      <c r="G2687" t="s">
        <v>15</v>
      </c>
      <c r="K2687" cm="1">
        <f t="array" ref="K2687">_xlfn.SWITCH(LeadsData[[#This Row],[Funnel Stage Reached]],"Lead",1,"MQL",2,"SQL",3,"Customer",4)</f>
        <v>1</v>
      </c>
      <c r="L2687" t="str">
        <f>TEXT(LeadsData[[#This Row],[Signup Date]],"mmm-yyyy")</f>
        <v>Oct-2024</v>
      </c>
      <c r="M2687">
        <f>IF(LeadsData[[#This Row],[Stage Number]]&gt;=2,1,0)</f>
        <v>0</v>
      </c>
      <c r="N2687" s="2">
        <f>IF(LeadsData[[#This Row],[Stage Number]]&gt;=3,1,0)</f>
        <v>0</v>
      </c>
      <c r="O2687" s="2">
        <f>IF(LeadsData[[#This Row],[Stage Number]]&gt;=4,1,0)</f>
        <v>0</v>
      </c>
    </row>
    <row r="2688" spans="1:15" x14ac:dyDescent="0.25">
      <c r="A2688" t="s">
        <v>2728</v>
      </c>
      <c r="B2688" s="1">
        <v>45536</v>
      </c>
      <c r="C2688" t="s">
        <v>46</v>
      </c>
      <c r="D2688" t="s">
        <v>56</v>
      </c>
      <c r="E2688" t="s">
        <v>21</v>
      </c>
      <c r="F2688" t="s">
        <v>22</v>
      </c>
      <c r="G2688" t="s">
        <v>42</v>
      </c>
      <c r="H2688">
        <v>20</v>
      </c>
      <c r="I2688" t="s">
        <v>183</v>
      </c>
      <c r="J2688">
        <v>6611.54</v>
      </c>
      <c r="K2688" cm="1">
        <f t="array" ref="K2688">_xlfn.SWITCH(LeadsData[[#This Row],[Funnel Stage Reached]],"Lead",1,"MQL",2,"SQL",3,"Customer",4)</f>
        <v>4</v>
      </c>
      <c r="L2688" t="str">
        <f>TEXT(LeadsData[[#This Row],[Signup Date]],"mmm-yyyy")</f>
        <v>Sep-2024</v>
      </c>
      <c r="M2688">
        <f>IF(LeadsData[[#This Row],[Stage Number]]&gt;=2,1,0)</f>
        <v>1</v>
      </c>
      <c r="N2688" s="2">
        <f>IF(LeadsData[[#This Row],[Stage Number]]&gt;=3,1,0)</f>
        <v>1</v>
      </c>
      <c r="O2688" s="2">
        <f>IF(LeadsData[[#This Row],[Stage Number]]&gt;=4,1,0)</f>
        <v>1</v>
      </c>
    </row>
    <row r="2689" spans="1:15" x14ac:dyDescent="0.25">
      <c r="A2689" t="s">
        <v>2729</v>
      </c>
      <c r="B2689" s="1">
        <v>45491</v>
      </c>
      <c r="C2689" t="s">
        <v>31</v>
      </c>
      <c r="D2689" t="s">
        <v>34</v>
      </c>
      <c r="E2689" t="s">
        <v>13</v>
      </c>
      <c r="F2689" t="s">
        <v>22</v>
      </c>
      <c r="G2689" t="s">
        <v>15</v>
      </c>
      <c r="K2689" cm="1">
        <f t="array" ref="K2689">_xlfn.SWITCH(LeadsData[[#This Row],[Funnel Stage Reached]],"Lead",1,"MQL",2,"SQL",3,"Customer",4)</f>
        <v>1</v>
      </c>
      <c r="L2689" t="str">
        <f>TEXT(LeadsData[[#This Row],[Signup Date]],"mmm-yyyy")</f>
        <v>Jul-2024</v>
      </c>
      <c r="M2689">
        <f>IF(LeadsData[[#This Row],[Stage Number]]&gt;=2,1,0)</f>
        <v>0</v>
      </c>
      <c r="N2689" s="2">
        <f>IF(LeadsData[[#This Row],[Stage Number]]&gt;=3,1,0)</f>
        <v>0</v>
      </c>
      <c r="O2689" s="2">
        <f>IF(LeadsData[[#This Row],[Stage Number]]&gt;=4,1,0)</f>
        <v>0</v>
      </c>
    </row>
    <row r="2690" spans="1:15" x14ac:dyDescent="0.25">
      <c r="A2690" t="s">
        <v>2730</v>
      </c>
      <c r="B2690" s="1">
        <v>45331</v>
      </c>
      <c r="C2690" t="s">
        <v>46</v>
      </c>
      <c r="D2690" t="s">
        <v>47</v>
      </c>
      <c r="E2690" t="s">
        <v>21</v>
      </c>
      <c r="F2690" t="s">
        <v>19</v>
      </c>
      <c r="G2690" t="s">
        <v>15</v>
      </c>
      <c r="K2690" cm="1">
        <f t="array" ref="K2690">_xlfn.SWITCH(LeadsData[[#This Row],[Funnel Stage Reached]],"Lead",1,"MQL",2,"SQL",3,"Customer",4)</f>
        <v>1</v>
      </c>
      <c r="L2690" t="str">
        <f>TEXT(LeadsData[[#This Row],[Signup Date]],"mmm-yyyy")</f>
        <v>Feb-2024</v>
      </c>
      <c r="M2690">
        <f>IF(LeadsData[[#This Row],[Stage Number]]&gt;=2,1,0)</f>
        <v>0</v>
      </c>
      <c r="N2690" s="2">
        <f>IF(LeadsData[[#This Row],[Stage Number]]&gt;=3,1,0)</f>
        <v>0</v>
      </c>
      <c r="O2690" s="2">
        <f>IF(LeadsData[[#This Row],[Stage Number]]&gt;=4,1,0)</f>
        <v>0</v>
      </c>
    </row>
    <row r="2691" spans="1:15" x14ac:dyDescent="0.25">
      <c r="A2691" t="s">
        <v>2731</v>
      </c>
      <c r="B2691" s="1">
        <v>45310</v>
      </c>
      <c r="C2691" t="s">
        <v>11</v>
      </c>
      <c r="D2691" t="s">
        <v>68</v>
      </c>
      <c r="E2691" t="s">
        <v>21</v>
      </c>
      <c r="F2691" t="s">
        <v>19</v>
      </c>
      <c r="G2691" t="s">
        <v>15</v>
      </c>
      <c r="K2691" cm="1">
        <f t="array" ref="K2691">_xlfn.SWITCH(LeadsData[[#This Row],[Funnel Stage Reached]],"Lead",1,"MQL",2,"SQL",3,"Customer",4)</f>
        <v>1</v>
      </c>
      <c r="L2691" t="str">
        <f>TEXT(LeadsData[[#This Row],[Signup Date]],"mmm-yyyy")</f>
        <v>Jan-2024</v>
      </c>
      <c r="M2691">
        <f>IF(LeadsData[[#This Row],[Stage Number]]&gt;=2,1,0)</f>
        <v>0</v>
      </c>
      <c r="N2691" s="2">
        <f>IF(LeadsData[[#This Row],[Stage Number]]&gt;=3,1,0)</f>
        <v>0</v>
      </c>
      <c r="O2691" s="2">
        <f>IF(LeadsData[[#This Row],[Stage Number]]&gt;=4,1,0)</f>
        <v>0</v>
      </c>
    </row>
    <row r="2692" spans="1:15" x14ac:dyDescent="0.25">
      <c r="A2692" t="s">
        <v>2732</v>
      </c>
      <c r="B2692" s="1">
        <v>45359</v>
      </c>
      <c r="C2692" t="s">
        <v>25</v>
      </c>
      <c r="D2692" t="s">
        <v>26</v>
      </c>
      <c r="E2692" t="s">
        <v>21</v>
      </c>
      <c r="F2692" t="s">
        <v>19</v>
      </c>
      <c r="G2692" t="s">
        <v>23</v>
      </c>
      <c r="K2692" cm="1">
        <f t="array" ref="K2692">_xlfn.SWITCH(LeadsData[[#This Row],[Funnel Stage Reached]],"Lead",1,"MQL",2,"SQL",3,"Customer",4)</f>
        <v>2</v>
      </c>
      <c r="L2692" t="str">
        <f>TEXT(LeadsData[[#This Row],[Signup Date]],"mmm-yyyy")</f>
        <v>Mar-2024</v>
      </c>
      <c r="M2692">
        <f>IF(LeadsData[[#This Row],[Stage Number]]&gt;=2,1,0)</f>
        <v>1</v>
      </c>
      <c r="N2692" s="2">
        <f>IF(LeadsData[[#This Row],[Stage Number]]&gt;=3,1,0)</f>
        <v>0</v>
      </c>
      <c r="O2692" s="2">
        <f>IF(LeadsData[[#This Row],[Stage Number]]&gt;=4,1,0)</f>
        <v>0</v>
      </c>
    </row>
    <row r="2693" spans="1:15" x14ac:dyDescent="0.25">
      <c r="A2693" t="s">
        <v>2733</v>
      </c>
      <c r="B2693" s="1">
        <v>45367</v>
      </c>
      <c r="C2693" t="s">
        <v>11</v>
      </c>
      <c r="D2693" t="s">
        <v>68</v>
      </c>
      <c r="E2693" t="s">
        <v>13</v>
      </c>
      <c r="F2693" t="s">
        <v>19</v>
      </c>
      <c r="G2693" t="s">
        <v>15</v>
      </c>
      <c r="K2693" cm="1">
        <f t="array" ref="K2693">_xlfn.SWITCH(LeadsData[[#This Row],[Funnel Stage Reached]],"Lead",1,"MQL",2,"SQL",3,"Customer",4)</f>
        <v>1</v>
      </c>
      <c r="L2693" t="str">
        <f>TEXT(LeadsData[[#This Row],[Signup Date]],"mmm-yyyy")</f>
        <v>Mar-2024</v>
      </c>
      <c r="M2693">
        <f>IF(LeadsData[[#This Row],[Stage Number]]&gt;=2,1,0)</f>
        <v>0</v>
      </c>
      <c r="N2693" s="2">
        <f>IF(LeadsData[[#This Row],[Stage Number]]&gt;=3,1,0)</f>
        <v>0</v>
      </c>
      <c r="O2693" s="2">
        <f>IF(LeadsData[[#This Row],[Stage Number]]&gt;=4,1,0)</f>
        <v>0</v>
      </c>
    </row>
    <row r="2694" spans="1:15" x14ac:dyDescent="0.25">
      <c r="A2694" t="s">
        <v>2734</v>
      </c>
      <c r="B2694" s="1">
        <v>45451</v>
      </c>
      <c r="C2694" t="s">
        <v>46</v>
      </c>
      <c r="D2694" t="s">
        <v>56</v>
      </c>
      <c r="E2694" t="s">
        <v>13</v>
      </c>
      <c r="F2694" t="s">
        <v>19</v>
      </c>
      <c r="G2694" t="s">
        <v>15</v>
      </c>
      <c r="K2694" cm="1">
        <f t="array" ref="K2694">_xlfn.SWITCH(LeadsData[[#This Row],[Funnel Stage Reached]],"Lead",1,"MQL",2,"SQL",3,"Customer",4)</f>
        <v>1</v>
      </c>
      <c r="L2694" t="str">
        <f>TEXT(LeadsData[[#This Row],[Signup Date]],"mmm-yyyy")</f>
        <v>Jun-2024</v>
      </c>
      <c r="M2694">
        <f>IF(LeadsData[[#This Row],[Stage Number]]&gt;=2,1,0)</f>
        <v>0</v>
      </c>
      <c r="N2694" s="2">
        <f>IF(LeadsData[[#This Row],[Stage Number]]&gt;=3,1,0)</f>
        <v>0</v>
      </c>
      <c r="O2694" s="2">
        <f>IF(LeadsData[[#This Row],[Stage Number]]&gt;=4,1,0)</f>
        <v>0</v>
      </c>
    </row>
    <row r="2695" spans="1:15" x14ac:dyDescent="0.25">
      <c r="A2695" t="s">
        <v>2735</v>
      </c>
      <c r="B2695" s="1">
        <v>45344</v>
      </c>
      <c r="C2695" t="s">
        <v>36</v>
      </c>
      <c r="D2695" t="s">
        <v>50</v>
      </c>
      <c r="E2695" t="s">
        <v>13</v>
      </c>
      <c r="F2695" t="s">
        <v>22</v>
      </c>
      <c r="G2695" t="s">
        <v>29</v>
      </c>
      <c r="K2695" cm="1">
        <f t="array" ref="K2695">_xlfn.SWITCH(LeadsData[[#This Row],[Funnel Stage Reached]],"Lead",1,"MQL",2,"SQL",3,"Customer",4)</f>
        <v>3</v>
      </c>
      <c r="L2695" t="str">
        <f>TEXT(LeadsData[[#This Row],[Signup Date]],"mmm-yyyy")</f>
        <v>Feb-2024</v>
      </c>
      <c r="M2695">
        <f>IF(LeadsData[[#This Row],[Stage Number]]&gt;=2,1,0)</f>
        <v>1</v>
      </c>
      <c r="N2695" s="2">
        <f>IF(LeadsData[[#This Row],[Stage Number]]&gt;=3,1,0)</f>
        <v>1</v>
      </c>
      <c r="O2695" s="2">
        <f>IF(LeadsData[[#This Row],[Stage Number]]&gt;=4,1,0)</f>
        <v>0</v>
      </c>
    </row>
    <row r="2696" spans="1:15" x14ac:dyDescent="0.25">
      <c r="A2696" t="s">
        <v>2736</v>
      </c>
      <c r="B2696" s="1">
        <v>45318</v>
      </c>
      <c r="C2696" t="s">
        <v>31</v>
      </c>
      <c r="D2696" t="s">
        <v>32</v>
      </c>
      <c r="E2696" t="s">
        <v>21</v>
      </c>
      <c r="F2696" t="s">
        <v>19</v>
      </c>
      <c r="G2696" t="s">
        <v>23</v>
      </c>
      <c r="K2696" cm="1">
        <f t="array" ref="K2696">_xlfn.SWITCH(LeadsData[[#This Row],[Funnel Stage Reached]],"Lead",1,"MQL",2,"SQL",3,"Customer",4)</f>
        <v>2</v>
      </c>
      <c r="L2696" t="str">
        <f>TEXT(LeadsData[[#This Row],[Signup Date]],"mmm-yyyy")</f>
        <v>Jan-2024</v>
      </c>
      <c r="M2696">
        <f>IF(LeadsData[[#This Row],[Stage Number]]&gt;=2,1,0)</f>
        <v>1</v>
      </c>
      <c r="N2696" s="2">
        <f>IF(LeadsData[[#This Row],[Stage Number]]&gt;=3,1,0)</f>
        <v>0</v>
      </c>
      <c r="O2696" s="2">
        <f>IF(LeadsData[[#This Row],[Stage Number]]&gt;=4,1,0)</f>
        <v>0</v>
      </c>
    </row>
    <row r="2697" spans="1:15" x14ac:dyDescent="0.25">
      <c r="A2697" t="s">
        <v>2737</v>
      </c>
      <c r="B2697" s="1">
        <v>45409</v>
      </c>
      <c r="C2697" t="s">
        <v>31</v>
      </c>
      <c r="D2697" t="s">
        <v>32</v>
      </c>
      <c r="E2697" t="s">
        <v>13</v>
      </c>
      <c r="F2697" t="s">
        <v>19</v>
      </c>
      <c r="G2697" t="s">
        <v>42</v>
      </c>
      <c r="H2697">
        <v>38</v>
      </c>
      <c r="I2697" t="s">
        <v>183</v>
      </c>
      <c r="J2697">
        <v>6945.74</v>
      </c>
      <c r="K2697" cm="1">
        <f t="array" ref="K2697">_xlfn.SWITCH(LeadsData[[#This Row],[Funnel Stage Reached]],"Lead",1,"MQL",2,"SQL",3,"Customer",4)</f>
        <v>4</v>
      </c>
      <c r="L2697" t="str">
        <f>TEXT(LeadsData[[#This Row],[Signup Date]],"mmm-yyyy")</f>
        <v>Apr-2024</v>
      </c>
      <c r="M2697">
        <f>IF(LeadsData[[#This Row],[Stage Number]]&gt;=2,1,0)</f>
        <v>1</v>
      </c>
      <c r="N2697" s="2">
        <f>IF(LeadsData[[#This Row],[Stage Number]]&gt;=3,1,0)</f>
        <v>1</v>
      </c>
      <c r="O2697" s="2">
        <f>IF(LeadsData[[#This Row],[Stage Number]]&gt;=4,1,0)</f>
        <v>1</v>
      </c>
    </row>
    <row r="2698" spans="1:15" x14ac:dyDescent="0.25">
      <c r="A2698" t="s">
        <v>2738</v>
      </c>
      <c r="B2698" s="1">
        <v>45447</v>
      </c>
      <c r="C2698" t="s">
        <v>31</v>
      </c>
      <c r="D2698" t="s">
        <v>32</v>
      </c>
      <c r="E2698" t="s">
        <v>21</v>
      </c>
      <c r="F2698" t="s">
        <v>19</v>
      </c>
      <c r="G2698" t="s">
        <v>15</v>
      </c>
      <c r="K2698" cm="1">
        <f t="array" ref="K2698">_xlfn.SWITCH(LeadsData[[#This Row],[Funnel Stage Reached]],"Lead",1,"MQL",2,"SQL",3,"Customer",4)</f>
        <v>1</v>
      </c>
      <c r="L2698" t="str">
        <f>TEXT(LeadsData[[#This Row],[Signup Date]],"mmm-yyyy")</f>
        <v>Jun-2024</v>
      </c>
      <c r="M2698">
        <f>IF(LeadsData[[#This Row],[Stage Number]]&gt;=2,1,0)</f>
        <v>0</v>
      </c>
      <c r="N2698" s="2">
        <f>IF(LeadsData[[#This Row],[Stage Number]]&gt;=3,1,0)</f>
        <v>0</v>
      </c>
      <c r="O2698" s="2">
        <f>IF(LeadsData[[#This Row],[Stage Number]]&gt;=4,1,0)</f>
        <v>0</v>
      </c>
    </row>
    <row r="2699" spans="1:15" x14ac:dyDescent="0.25">
      <c r="A2699" t="s">
        <v>2739</v>
      </c>
      <c r="B2699" s="1">
        <v>45388</v>
      </c>
      <c r="C2699" t="s">
        <v>25</v>
      </c>
      <c r="D2699" t="s">
        <v>26</v>
      </c>
      <c r="E2699" t="s">
        <v>13</v>
      </c>
      <c r="F2699" t="s">
        <v>22</v>
      </c>
      <c r="G2699" t="s">
        <v>23</v>
      </c>
      <c r="K2699" cm="1">
        <f t="array" ref="K2699">_xlfn.SWITCH(LeadsData[[#This Row],[Funnel Stage Reached]],"Lead",1,"MQL",2,"SQL",3,"Customer",4)</f>
        <v>2</v>
      </c>
      <c r="L2699" t="str">
        <f>TEXT(LeadsData[[#This Row],[Signup Date]],"mmm-yyyy")</f>
        <v>Apr-2024</v>
      </c>
      <c r="M2699">
        <f>IF(LeadsData[[#This Row],[Stage Number]]&gt;=2,1,0)</f>
        <v>1</v>
      </c>
      <c r="N2699" s="2">
        <f>IF(LeadsData[[#This Row],[Stage Number]]&gt;=3,1,0)</f>
        <v>0</v>
      </c>
      <c r="O2699" s="2">
        <f>IF(LeadsData[[#This Row],[Stage Number]]&gt;=4,1,0)</f>
        <v>0</v>
      </c>
    </row>
    <row r="2700" spans="1:15" x14ac:dyDescent="0.25">
      <c r="A2700" t="s">
        <v>2740</v>
      </c>
      <c r="B2700" s="1">
        <v>45622</v>
      </c>
      <c r="C2700" t="s">
        <v>46</v>
      </c>
      <c r="D2700" t="s">
        <v>56</v>
      </c>
      <c r="E2700" t="s">
        <v>21</v>
      </c>
      <c r="F2700" t="s">
        <v>19</v>
      </c>
      <c r="G2700" t="s">
        <v>15</v>
      </c>
      <c r="K2700" cm="1">
        <f t="array" ref="K2700">_xlfn.SWITCH(LeadsData[[#This Row],[Funnel Stage Reached]],"Lead",1,"MQL",2,"SQL",3,"Customer",4)</f>
        <v>1</v>
      </c>
      <c r="L2700" t="str">
        <f>TEXT(LeadsData[[#This Row],[Signup Date]],"mmm-yyyy")</f>
        <v>Nov-2024</v>
      </c>
      <c r="M2700">
        <f>IF(LeadsData[[#This Row],[Stage Number]]&gt;=2,1,0)</f>
        <v>0</v>
      </c>
      <c r="N2700" s="2">
        <f>IF(LeadsData[[#This Row],[Stage Number]]&gt;=3,1,0)</f>
        <v>0</v>
      </c>
      <c r="O2700" s="2">
        <f>IF(LeadsData[[#This Row],[Stage Number]]&gt;=4,1,0)</f>
        <v>0</v>
      </c>
    </row>
    <row r="2701" spans="1:15" x14ac:dyDescent="0.25">
      <c r="A2701" t="s">
        <v>2741</v>
      </c>
      <c r="B2701" s="1">
        <v>45400</v>
      </c>
      <c r="C2701" t="s">
        <v>46</v>
      </c>
      <c r="D2701" t="s">
        <v>56</v>
      </c>
      <c r="E2701" t="s">
        <v>13</v>
      </c>
      <c r="F2701" t="s">
        <v>19</v>
      </c>
      <c r="G2701" t="s">
        <v>23</v>
      </c>
      <c r="K2701" cm="1">
        <f t="array" ref="K2701">_xlfn.SWITCH(LeadsData[[#This Row],[Funnel Stage Reached]],"Lead",1,"MQL",2,"SQL",3,"Customer",4)</f>
        <v>2</v>
      </c>
      <c r="L2701" t="str">
        <f>TEXT(LeadsData[[#This Row],[Signup Date]],"mmm-yyyy")</f>
        <v>Apr-2024</v>
      </c>
      <c r="M2701">
        <f>IF(LeadsData[[#This Row],[Stage Number]]&gt;=2,1,0)</f>
        <v>1</v>
      </c>
      <c r="N2701" s="2">
        <f>IF(LeadsData[[#This Row],[Stage Number]]&gt;=3,1,0)</f>
        <v>0</v>
      </c>
      <c r="O2701" s="2">
        <f>IF(LeadsData[[#This Row],[Stage Number]]&gt;=4,1,0)</f>
        <v>0</v>
      </c>
    </row>
    <row r="2702" spans="1:15" x14ac:dyDescent="0.25">
      <c r="A2702" t="s">
        <v>2742</v>
      </c>
      <c r="B2702" s="1">
        <v>45345</v>
      </c>
      <c r="C2702" t="s">
        <v>36</v>
      </c>
      <c r="D2702" t="s">
        <v>50</v>
      </c>
      <c r="E2702" t="s">
        <v>21</v>
      </c>
      <c r="F2702" t="s">
        <v>19</v>
      </c>
      <c r="G2702" t="s">
        <v>15</v>
      </c>
      <c r="K2702" cm="1">
        <f t="array" ref="K2702">_xlfn.SWITCH(LeadsData[[#This Row],[Funnel Stage Reached]],"Lead",1,"MQL",2,"SQL",3,"Customer",4)</f>
        <v>1</v>
      </c>
      <c r="L2702" t="str">
        <f>TEXT(LeadsData[[#This Row],[Signup Date]],"mmm-yyyy")</f>
        <v>Feb-2024</v>
      </c>
      <c r="M2702">
        <f>IF(LeadsData[[#This Row],[Stage Number]]&gt;=2,1,0)</f>
        <v>0</v>
      </c>
      <c r="N2702" s="2">
        <f>IF(LeadsData[[#This Row],[Stage Number]]&gt;=3,1,0)</f>
        <v>0</v>
      </c>
      <c r="O2702" s="2">
        <f>IF(LeadsData[[#This Row],[Stage Number]]&gt;=4,1,0)</f>
        <v>0</v>
      </c>
    </row>
    <row r="2703" spans="1:15" x14ac:dyDescent="0.25">
      <c r="A2703" t="s">
        <v>2743</v>
      </c>
      <c r="B2703" s="1">
        <v>45406</v>
      </c>
      <c r="C2703" t="s">
        <v>25</v>
      </c>
      <c r="D2703" t="s">
        <v>26</v>
      </c>
      <c r="E2703" t="s">
        <v>13</v>
      </c>
      <c r="F2703" t="s">
        <v>19</v>
      </c>
      <c r="G2703" t="s">
        <v>29</v>
      </c>
      <c r="K2703" cm="1">
        <f t="array" ref="K2703">_xlfn.SWITCH(LeadsData[[#This Row],[Funnel Stage Reached]],"Lead",1,"MQL",2,"SQL",3,"Customer",4)</f>
        <v>3</v>
      </c>
      <c r="L2703" t="str">
        <f>TEXT(LeadsData[[#This Row],[Signup Date]],"mmm-yyyy")</f>
        <v>Apr-2024</v>
      </c>
      <c r="M2703">
        <f>IF(LeadsData[[#This Row],[Stage Number]]&gt;=2,1,0)</f>
        <v>1</v>
      </c>
      <c r="N2703" s="2">
        <f>IF(LeadsData[[#This Row],[Stage Number]]&gt;=3,1,0)</f>
        <v>1</v>
      </c>
      <c r="O2703" s="2">
        <f>IF(LeadsData[[#This Row],[Stage Number]]&gt;=4,1,0)</f>
        <v>0</v>
      </c>
    </row>
    <row r="2704" spans="1:15" x14ac:dyDescent="0.25">
      <c r="A2704" t="s">
        <v>2744</v>
      </c>
      <c r="B2704" s="1">
        <v>45532</v>
      </c>
      <c r="C2704" t="s">
        <v>31</v>
      </c>
      <c r="D2704" t="s">
        <v>34</v>
      </c>
      <c r="E2704" t="s">
        <v>21</v>
      </c>
      <c r="F2704" t="s">
        <v>14</v>
      </c>
      <c r="G2704" t="s">
        <v>29</v>
      </c>
      <c r="K2704" cm="1">
        <f t="array" ref="K2704">_xlfn.SWITCH(LeadsData[[#This Row],[Funnel Stage Reached]],"Lead",1,"MQL",2,"SQL",3,"Customer",4)</f>
        <v>3</v>
      </c>
      <c r="L2704" t="str">
        <f>TEXT(LeadsData[[#This Row],[Signup Date]],"mmm-yyyy")</f>
        <v>Aug-2024</v>
      </c>
      <c r="M2704">
        <f>IF(LeadsData[[#This Row],[Stage Number]]&gt;=2,1,0)</f>
        <v>1</v>
      </c>
      <c r="N2704" s="2">
        <f>IF(LeadsData[[#This Row],[Stage Number]]&gt;=3,1,0)</f>
        <v>1</v>
      </c>
      <c r="O2704" s="2">
        <f>IF(LeadsData[[#This Row],[Stage Number]]&gt;=4,1,0)</f>
        <v>0</v>
      </c>
    </row>
    <row r="2705" spans="1:15" x14ac:dyDescent="0.25">
      <c r="A2705" t="s">
        <v>2745</v>
      </c>
      <c r="B2705" s="1">
        <v>45632</v>
      </c>
      <c r="C2705" t="s">
        <v>36</v>
      </c>
      <c r="D2705" t="s">
        <v>37</v>
      </c>
      <c r="E2705" t="s">
        <v>21</v>
      </c>
      <c r="F2705" t="s">
        <v>22</v>
      </c>
      <c r="G2705" t="s">
        <v>42</v>
      </c>
      <c r="H2705">
        <v>53</v>
      </c>
      <c r="I2705" t="s">
        <v>43</v>
      </c>
      <c r="J2705">
        <v>1092.72</v>
      </c>
      <c r="K2705" cm="1">
        <f t="array" ref="K2705">_xlfn.SWITCH(LeadsData[[#This Row],[Funnel Stage Reached]],"Lead",1,"MQL",2,"SQL",3,"Customer",4)</f>
        <v>4</v>
      </c>
      <c r="L2705" t="str">
        <f>TEXT(LeadsData[[#This Row],[Signup Date]],"mmm-yyyy")</f>
        <v>Dec-2024</v>
      </c>
      <c r="M2705">
        <f>IF(LeadsData[[#This Row],[Stage Number]]&gt;=2,1,0)</f>
        <v>1</v>
      </c>
      <c r="N2705" s="2">
        <f>IF(LeadsData[[#This Row],[Stage Number]]&gt;=3,1,0)</f>
        <v>1</v>
      </c>
      <c r="O2705" s="2">
        <f>IF(LeadsData[[#This Row],[Stage Number]]&gt;=4,1,0)</f>
        <v>1</v>
      </c>
    </row>
    <row r="2706" spans="1:15" x14ac:dyDescent="0.25">
      <c r="A2706" t="s">
        <v>2746</v>
      </c>
      <c r="B2706" s="1">
        <v>45610</v>
      </c>
      <c r="C2706" t="s">
        <v>25</v>
      </c>
      <c r="D2706" t="s">
        <v>26</v>
      </c>
      <c r="E2706" t="s">
        <v>13</v>
      </c>
      <c r="F2706" t="s">
        <v>19</v>
      </c>
      <c r="G2706" t="s">
        <v>15</v>
      </c>
      <c r="K2706" cm="1">
        <f t="array" ref="K2706">_xlfn.SWITCH(LeadsData[[#This Row],[Funnel Stage Reached]],"Lead",1,"MQL",2,"SQL",3,"Customer",4)</f>
        <v>1</v>
      </c>
      <c r="L2706" t="str">
        <f>TEXT(LeadsData[[#This Row],[Signup Date]],"mmm-yyyy")</f>
        <v>Nov-2024</v>
      </c>
      <c r="M2706">
        <f>IF(LeadsData[[#This Row],[Stage Number]]&gt;=2,1,0)</f>
        <v>0</v>
      </c>
      <c r="N2706" s="2">
        <f>IF(LeadsData[[#This Row],[Stage Number]]&gt;=3,1,0)</f>
        <v>0</v>
      </c>
      <c r="O2706" s="2">
        <f>IF(LeadsData[[#This Row],[Stage Number]]&gt;=4,1,0)</f>
        <v>0</v>
      </c>
    </row>
    <row r="2707" spans="1:15" x14ac:dyDescent="0.25">
      <c r="A2707" t="s">
        <v>2747</v>
      </c>
      <c r="B2707" s="1">
        <v>45315</v>
      </c>
      <c r="C2707" t="s">
        <v>36</v>
      </c>
      <c r="D2707" t="s">
        <v>37</v>
      </c>
      <c r="E2707" t="s">
        <v>13</v>
      </c>
      <c r="F2707" t="s">
        <v>19</v>
      </c>
      <c r="G2707" t="s">
        <v>23</v>
      </c>
      <c r="K2707" cm="1">
        <f t="array" ref="K2707">_xlfn.SWITCH(LeadsData[[#This Row],[Funnel Stage Reached]],"Lead",1,"MQL",2,"SQL",3,"Customer",4)</f>
        <v>2</v>
      </c>
      <c r="L2707" t="str">
        <f>TEXT(LeadsData[[#This Row],[Signup Date]],"mmm-yyyy")</f>
        <v>Jan-2024</v>
      </c>
      <c r="M2707">
        <f>IF(LeadsData[[#This Row],[Stage Number]]&gt;=2,1,0)</f>
        <v>1</v>
      </c>
      <c r="N2707" s="2">
        <f>IF(LeadsData[[#This Row],[Stage Number]]&gt;=3,1,0)</f>
        <v>0</v>
      </c>
      <c r="O2707" s="2">
        <f>IF(LeadsData[[#This Row],[Stage Number]]&gt;=4,1,0)</f>
        <v>0</v>
      </c>
    </row>
    <row r="2708" spans="1:15" x14ac:dyDescent="0.25">
      <c r="A2708" t="s">
        <v>2748</v>
      </c>
      <c r="B2708" s="1">
        <v>45399</v>
      </c>
      <c r="C2708" t="s">
        <v>46</v>
      </c>
      <c r="D2708" t="s">
        <v>56</v>
      </c>
      <c r="E2708" t="s">
        <v>13</v>
      </c>
      <c r="F2708" t="s">
        <v>19</v>
      </c>
      <c r="G2708" t="s">
        <v>15</v>
      </c>
      <c r="K2708" cm="1">
        <f t="array" ref="K2708">_xlfn.SWITCH(LeadsData[[#This Row],[Funnel Stage Reached]],"Lead",1,"MQL",2,"SQL",3,"Customer",4)</f>
        <v>1</v>
      </c>
      <c r="L2708" t="str">
        <f>TEXT(LeadsData[[#This Row],[Signup Date]],"mmm-yyyy")</f>
        <v>Apr-2024</v>
      </c>
      <c r="M2708">
        <f>IF(LeadsData[[#This Row],[Stage Number]]&gt;=2,1,0)</f>
        <v>0</v>
      </c>
      <c r="N2708" s="2">
        <f>IF(LeadsData[[#This Row],[Stage Number]]&gt;=3,1,0)</f>
        <v>0</v>
      </c>
      <c r="O2708" s="2">
        <f>IF(LeadsData[[#This Row],[Stage Number]]&gt;=4,1,0)</f>
        <v>0</v>
      </c>
    </row>
    <row r="2709" spans="1:15" x14ac:dyDescent="0.25">
      <c r="A2709" t="s">
        <v>2749</v>
      </c>
      <c r="B2709" s="1">
        <v>45315</v>
      </c>
      <c r="C2709" t="s">
        <v>11</v>
      </c>
      <c r="D2709" t="s">
        <v>68</v>
      </c>
      <c r="E2709" t="s">
        <v>13</v>
      </c>
      <c r="F2709" t="s">
        <v>19</v>
      </c>
      <c r="G2709" t="s">
        <v>23</v>
      </c>
      <c r="K2709" cm="1">
        <f t="array" ref="K2709">_xlfn.SWITCH(LeadsData[[#This Row],[Funnel Stage Reached]],"Lead",1,"MQL",2,"SQL",3,"Customer",4)</f>
        <v>2</v>
      </c>
      <c r="L2709" t="str">
        <f>TEXT(LeadsData[[#This Row],[Signup Date]],"mmm-yyyy")</f>
        <v>Jan-2024</v>
      </c>
      <c r="M2709">
        <f>IF(LeadsData[[#This Row],[Stage Number]]&gt;=2,1,0)</f>
        <v>1</v>
      </c>
      <c r="N2709" s="2">
        <f>IF(LeadsData[[#This Row],[Stage Number]]&gt;=3,1,0)</f>
        <v>0</v>
      </c>
      <c r="O2709" s="2">
        <f>IF(LeadsData[[#This Row],[Stage Number]]&gt;=4,1,0)</f>
        <v>0</v>
      </c>
    </row>
    <row r="2710" spans="1:15" x14ac:dyDescent="0.25">
      <c r="A2710" t="s">
        <v>2750</v>
      </c>
      <c r="B2710" s="1">
        <v>45393</v>
      </c>
      <c r="C2710" t="s">
        <v>25</v>
      </c>
      <c r="D2710" t="s">
        <v>26</v>
      </c>
      <c r="E2710" t="s">
        <v>13</v>
      </c>
      <c r="F2710" t="s">
        <v>22</v>
      </c>
      <c r="G2710" t="s">
        <v>15</v>
      </c>
      <c r="K2710" cm="1">
        <f t="array" ref="K2710">_xlfn.SWITCH(LeadsData[[#This Row],[Funnel Stage Reached]],"Lead",1,"MQL",2,"SQL",3,"Customer",4)</f>
        <v>1</v>
      </c>
      <c r="L2710" t="str">
        <f>TEXT(LeadsData[[#This Row],[Signup Date]],"mmm-yyyy")</f>
        <v>Apr-2024</v>
      </c>
      <c r="M2710">
        <f>IF(LeadsData[[#This Row],[Stage Number]]&gt;=2,1,0)</f>
        <v>0</v>
      </c>
      <c r="N2710" s="2">
        <f>IF(LeadsData[[#This Row],[Stage Number]]&gt;=3,1,0)</f>
        <v>0</v>
      </c>
      <c r="O2710" s="2">
        <f>IF(LeadsData[[#This Row],[Stage Number]]&gt;=4,1,0)</f>
        <v>0</v>
      </c>
    </row>
    <row r="2711" spans="1:15" x14ac:dyDescent="0.25">
      <c r="A2711" t="s">
        <v>2751</v>
      </c>
      <c r="B2711" s="1">
        <v>45613</v>
      </c>
      <c r="C2711" t="s">
        <v>31</v>
      </c>
      <c r="D2711" t="s">
        <v>34</v>
      </c>
      <c r="E2711" t="s">
        <v>13</v>
      </c>
      <c r="F2711" t="s">
        <v>22</v>
      </c>
      <c r="G2711" t="s">
        <v>23</v>
      </c>
      <c r="K2711" cm="1">
        <f t="array" ref="K2711">_xlfn.SWITCH(LeadsData[[#This Row],[Funnel Stage Reached]],"Lead",1,"MQL",2,"SQL",3,"Customer",4)</f>
        <v>2</v>
      </c>
      <c r="L2711" t="str">
        <f>TEXT(LeadsData[[#This Row],[Signup Date]],"mmm-yyyy")</f>
        <v>Nov-2024</v>
      </c>
      <c r="M2711">
        <f>IF(LeadsData[[#This Row],[Stage Number]]&gt;=2,1,0)</f>
        <v>1</v>
      </c>
      <c r="N2711" s="2">
        <f>IF(LeadsData[[#This Row],[Stage Number]]&gt;=3,1,0)</f>
        <v>0</v>
      </c>
      <c r="O2711" s="2">
        <f>IF(LeadsData[[#This Row],[Stage Number]]&gt;=4,1,0)</f>
        <v>0</v>
      </c>
    </row>
    <row r="2712" spans="1:15" x14ac:dyDescent="0.25">
      <c r="A2712" t="s">
        <v>2752</v>
      </c>
      <c r="B2712" s="1">
        <v>45559</v>
      </c>
      <c r="C2712" t="s">
        <v>46</v>
      </c>
      <c r="D2712" t="s">
        <v>56</v>
      </c>
      <c r="E2712" t="s">
        <v>48</v>
      </c>
      <c r="F2712" t="s">
        <v>22</v>
      </c>
      <c r="G2712" t="s">
        <v>15</v>
      </c>
      <c r="K2712" cm="1">
        <f t="array" ref="K2712">_xlfn.SWITCH(LeadsData[[#This Row],[Funnel Stage Reached]],"Lead",1,"MQL",2,"SQL",3,"Customer",4)</f>
        <v>1</v>
      </c>
      <c r="L2712" t="str">
        <f>TEXT(LeadsData[[#This Row],[Signup Date]],"mmm-yyyy")</f>
        <v>Sep-2024</v>
      </c>
      <c r="M2712">
        <f>IF(LeadsData[[#This Row],[Stage Number]]&gt;=2,1,0)</f>
        <v>0</v>
      </c>
      <c r="N2712" s="2">
        <f>IF(LeadsData[[#This Row],[Stage Number]]&gt;=3,1,0)</f>
        <v>0</v>
      </c>
      <c r="O2712" s="2">
        <f>IF(LeadsData[[#This Row],[Stage Number]]&gt;=4,1,0)</f>
        <v>0</v>
      </c>
    </row>
    <row r="2713" spans="1:15" x14ac:dyDescent="0.25">
      <c r="A2713" t="s">
        <v>2753</v>
      </c>
      <c r="B2713" s="1">
        <v>45518</v>
      </c>
      <c r="C2713" t="s">
        <v>36</v>
      </c>
      <c r="D2713" t="s">
        <v>37</v>
      </c>
      <c r="E2713" t="s">
        <v>13</v>
      </c>
      <c r="F2713" t="s">
        <v>22</v>
      </c>
      <c r="G2713" t="s">
        <v>42</v>
      </c>
      <c r="H2713">
        <v>52</v>
      </c>
      <c r="I2713" t="s">
        <v>87</v>
      </c>
      <c r="J2713">
        <v>2732.23</v>
      </c>
      <c r="K2713" cm="1">
        <f t="array" ref="K2713">_xlfn.SWITCH(LeadsData[[#This Row],[Funnel Stage Reached]],"Lead",1,"MQL",2,"SQL",3,"Customer",4)</f>
        <v>4</v>
      </c>
      <c r="L2713" t="str">
        <f>TEXT(LeadsData[[#This Row],[Signup Date]],"mmm-yyyy")</f>
        <v>Aug-2024</v>
      </c>
      <c r="M2713">
        <f>IF(LeadsData[[#This Row],[Stage Number]]&gt;=2,1,0)</f>
        <v>1</v>
      </c>
      <c r="N2713" s="2">
        <f>IF(LeadsData[[#This Row],[Stage Number]]&gt;=3,1,0)</f>
        <v>1</v>
      </c>
      <c r="O2713" s="2">
        <f>IF(LeadsData[[#This Row],[Stage Number]]&gt;=4,1,0)</f>
        <v>1</v>
      </c>
    </row>
    <row r="2714" spans="1:15" x14ac:dyDescent="0.25">
      <c r="A2714" t="s">
        <v>2754</v>
      </c>
      <c r="B2714" s="1">
        <v>45505</v>
      </c>
      <c r="C2714" t="s">
        <v>46</v>
      </c>
      <c r="D2714" t="s">
        <v>56</v>
      </c>
      <c r="E2714" t="s">
        <v>13</v>
      </c>
      <c r="F2714" t="s">
        <v>19</v>
      </c>
      <c r="G2714" t="s">
        <v>23</v>
      </c>
      <c r="K2714" cm="1">
        <f t="array" ref="K2714">_xlfn.SWITCH(LeadsData[[#This Row],[Funnel Stage Reached]],"Lead",1,"MQL",2,"SQL",3,"Customer",4)</f>
        <v>2</v>
      </c>
      <c r="L2714" t="str">
        <f>TEXT(LeadsData[[#This Row],[Signup Date]],"mmm-yyyy")</f>
        <v>Aug-2024</v>
      </c>
      <c r="M2714">
        <f>IF(LeadsData[[#This Row],[Stage Number]]&gt;=2,1,0)</f>
        <v>1</v>
      </c>
      <c r="N2714" s="2">
        <f>IF(LeadsData[[#This Row],[Stage Number]]&gt;=3,1,0)</f>
        <v>0</v>
      </c>
      <c r="O2714" s="2">
        <f>IF(LeadsData[[#This Row],[Stage Number]]&gt;=4,1,0)</f>
        <v>0</v>
      </c>
    </row>
    <row r="2715" spans="1:15" x14ac:dyDescent="0.25">
      <c r="A2715" t="s">
        <v>2755</v>
      </c>
      <c r="B2715" s="1">
        <v>45377</v>
      </c>
      <c r="C2715" t="s">
        <v>36</v>
      </c>
      <c r="D2715" t="s">
        <v>50</v>
      </c>
      <c r="E2715" t="s">
        <v>13</v>
      </c>
      <c r="F2715" t="s">
        <v>22</v>
      </c>
      <c r="G2715" t="s">
        <v>23</v>
      </c>
      <c r="K2715" cm="1">
        <f t="array" ref="K2715">_xlfn.SWITCH(LeadsData[[#This Row],[Funnel Stage Reached]],"Lead",1,"MQL",2,"SQL",3,"Customer",4)</f>
        <v>2</v>
      </c>
      <c r="L2715" t="str">
        <f>TEXT(LeadsData[[#This Row],[Signup Date]],"mmm-yyyy")</f>
        <v>Mar-2024</v>
      </c>
      <c r="M2715">
        <f>IF(LeadsData[[#This Row],[Stage Number]]&gt;=2,1,0)</f>
        <v>1</v>
      </c>
      <c r="N2715" s="2">
        <f>IF(LeadsData[[#This Row],[Stage Number]]&gt;=3,1,0)</f>
        <v>0</v>
      </c>
      <c r="O2715" s="2">
        <f>IF(LeadsData[[#This Row],[Stage Number]]&gt;=4,1,0)</f>
        <v>0</v>
      </c>
    </row>
    <row r="2716" spans="1:15" x14ac:dyDescent="0.25">
      <c r="A2716" t="s">
        <v>2756</v>
      </c>
      <c r="B2716" s="1">
        <v>45540</v>
      </c>
      <c r="C2716" t="s">
        <v>11</v>
      </c>
      <c r="D2716" t="s">
        <v>12</v>
      </c>
      <c r="E2716" t="s">
        <v>13</v>
      </c>
      <c r="F2716" t="s">
        <v>19</v>
      </c>
      <c r="G2716" t="s">
        <v>23</v>
      </c>
      <c r="K2716" cm="1">
        <f t="array" ref="K2716">_xlfn.SWITCH(LeadsData[[#This Row],[Funnel Stage Reached]],"Lead",1,"MQL",2,"SQL",3,"Customer",4)</f>
        <v>2</v>
      </c>
      <c r="L2716" t="str">
        <f>TEXT(LeadsData[[#This Row],[Signup Date]],"mmm-yyyy")</f>
        <v>Sep-2024</v>
      </c>
      <c r="M2716">
        <f>IF(LeadsData[[#This Row],[Stage Number]]&gt;=2,1,0)</f>
        <v>1</v>
      </c>
      <c r="N2716" s="2">
        <f>IF(LeadsData[[#This Row],[Stage Number]]&gt;=3,1,0)</f>
        <v>0</v>
      </c>
      <c r="O2716" s="2">
        <f>IF(LeadsData[[#This Row],[Stage Number]]&gt;=4,1,0)</f>
        <v>0</v>
      </c>
    </row>
    <row r="2717" spans="1:15" x14ac:dyDescent="0.25">
      <c r="A2717" t="s">
        <v>2757</v>
      </c>
      <c r="B2717" s="1">
        <v>45537</v>
      </c>
      <c r="C2717" t="s">
        <v>17</v>
      </c>
      <c r="D2717" t="s">
        <v>18</v>
      </c>
      <c r="E2717" t="s">
        <v>13</v>
      </c>
      <c r="F2717" t="s">
        <v>19</v>
      </c>
      <c r="G2717" t="s">
        <v>15</v>
      </c>
      <c r="K2717" cm="1">
        <f t="array" ref="K2717">_xlfn.SWITCH(LeadsData[[#This Row],[Funnel Stage Reached]],"Lead",1,"MQL",2,"SQL",3,"Customer",4)</f>
        <v>1</v>
      </c>
      <c r="L2717" t="str">
        <f>TEXT(LeadsData[[#This Row],[Signup Date]],"mmm-yyyy")</f>
        <v>Sep-2024</v>
      </c>
      <c r="M2717">
        <f>IF(LeadsData[[#This Row],[Stage Number]]&gt;=2,1,0)</f>
        <v>0</v>
      </c>
      <c r="N2717" s="2">
        <f>IF(LeadsData[[#This Row],[Stage Number]]&gt;=3,1,0)</f>
        <v>0</v>
      </c>
      <c r="O2717" s="2">
        <f>IF(LeadsData[[#This Row],[Stage Number]]&gt;=4,1,0)</f>
        <v>0</v>
      </c>
    </row>
    <row r="2718" spans="1:15" x14ac:dyDescent="0.25">
      <c r="A2718" t="s">
        <v>2758</v>
      </c>
      <c r="B2718" s="1">
        <v>45632</v>
      </c>
      <c r="C2718" t="s">
        <v>17</v>
      </c>
      <c r="D2718" t="s">
        <v>18</v>
      </c>
      <c r="E2718" t="s">
        <v>21</v>
      </c>
      <c r="F2718" t="s">
        <v>22</v>
      </c>
      <c r="G2718" t="s">
        <v>15</v>
      </c>
      <c r="K2718" cm="1">
        <f t="array" ref="K2718">_xlfn.SWITCH(LeadsData[[#This Row],[Funnel Stage Reached]],"Lead",1,"MQL",2,"SQL",3,"Customer",4)</f>
        <v>1</v>
      </c>
      <c r="L2718" t="str">
        <f>TEXT(LeadsData[[#This Row],[Signup Date]],"mmm-yyyy")</f>
        <v>Dec-2024</v>
      </c>
      <c r="M2718">
        <f>IF(LeadsData[[#This Row],[Stage Number]]&gt;=2,1,0)</f>
        <v>0</v>
      </c>
      <c r="N2718" s="2">
        <f>IF(LeadsData[[#This Row],[Stage Number]]&gt;=3,1,0)</f>
        <v>0</v>
      </c>
      <c r="O2718" s="2">
        <f>IF(LeadsData[[#This Row],[Stage Number]]&gt;=4,1,0)</f>
        <v>0</v>
      </c>
    </row>
    <row r="2719" spans="1:15" x14ac:dyDescent="0.25">
      <c r="A2719" t="s">
        <v>2759</v>
      </c>
      <c r="B2719" s="1">
        <v>45325</v>
      </c>
      <c r="C2719" t="s">
        <v>11</v>
      </c>
      <c r="D2719" t="s">
        <v>68</v>
      </c>
      <c r="E2719" t="s">
        <v>13</v>
      </c>
      <c r="F2719" t="s">
        <v>19</v>
      </c>
      <c r="G2719" t="s">
        <v>29</v>
      </c>
      <c r="K2719" cm="1">
        <f t="array" ref="K2719">_xlfn.SWITCH(LeadsData[[#This Row],[Funnel Stage Reached]],"Lead",1,"MQL",2,"SQL",3,"Customer",4)</f>
        <v>3</v>
      </c>
      <c r="L2719" t="str">
        <f>TEXT(LeadsData[[#This Row],[Signup Date]],"mmm-yyyy")</f>
        <v>Feb-2024</v>
      </c>
      <c r="M2719">
        <f>IF(LeadsData[[#This Row],[Stage Number]]&gt;=2,1,0)</f>
        <v>1</v>
      </c>
      <c r="N2719" s="2">
        <f>IF(LeadsData[[#This Row],[Stage Number]]&gt;=3,1,0)</f>
        <v>1</v>
      </c>
      <c r="O2719" s="2">
        <f>IF(LeadsData[[#This Row],[Stage Number]]&gt;=4,1,0)</f>
        <v>0</v>
      </c>
    </row>
    <row r="2720" spans="1:15" x14ac:dyDescent="0.25">
      <c r="A2720" t="s">
        <v>2760</v>
      </c>
      <c r="B2720" s="1">
        <v>45296</v>
      </c>
      <c r="C2720" t="s">
        <v>11</v>
      </c>
      <c r="D2720" t="s">
        <v>79</v>
      </c>
      <c r="E2720" t="s">
        <v>21</v>
      </c>
      <c r="F2720" t="s">
        <v>22</v>
      </c>
      <c r="G2720" t="s">
        <v>15</v>
      </c>
      <c r="K2720" cm="1">
        <f t="array" ref="K2720">_xlfn.SWITCH(LeadsData[[#This Row],[Funnel Stage Reached]],"Lead",1,"MQL",2,"SQL",3,"Customer",4)</f>
        <v>1</v>
      </c>
      <c r="L2720" t="str">
        <f>TEXT(LeadsData[[#This Row],[Signup Date]],"mmm-yyyy")</f>
        <v>Jan-2024</v>
      </c>
      <c r="M2720">
        <f>IF(LeadsData[[#This Row],[Stage Number]]&gt;=2,1,0)</f>
        <v>0</v>
      </c>
      <c r="N2720" s="2">
        <f>IF(LeadsData[[#This Row],[Stage Number]]&gt;=3,1,0)</f>
        <v>0</v>
      </c>
      <c r="O2720" s="2">
        <f>IF(LeadsData[[#This Row],[Stage Number]]&gt;=4,1,0)</f>
        <v>0</v>
      </c>
    </row>
    <row r="2721" spans="1:15" x14ac:dyDescent="0.25">
      <c r="A2721" t="s">
        <v>2761</v>
      </c>
      <c r="B2721" s="1">
        <v>45642</v>
      </c>
      <c r="C2721" t="s">
        <v>31</v>
      </c>
      <c r="D2721" t="s">
        <v>34</v>
      </c>
      <c r="E2721" t="s">
        <v>21</v>
      </c>
      <c r="F2721" t="s">
        <v>22</v>
      </c>
      <c r="G2721" t="s">
        <v>29</v>
      </c>
      <c r="K2721" cm="1">
        <f t="array" ref="K2721">_xlfn.SWITCH(LeadsData[[#This Row],[Funnel Stage Reached]],"Lead",1,"MQL",2,"SQL",3,"Customer",4)</f>
        <v>3</v>
      </c>
      <c r="L2721" t="str">
        <f>TEXT(LeadsData[[#This Row],[Signup Date]],"mmm-yyyy")</f>
        <v>Dec-2024</v>
      </c>
      <c r="M2721">
        <f>IF(LeadsData[[#This Row],[Stage Number]]&gt;=2,1,0)</f>
        <v>1</v>
      </c>
      <c r="N2721" s="2">
        <f>IF(LeadsData[[#This Row],[Stage Number]]&gt;=3,1,0)</f>
        <v>1</v>
      </c>
      <c r="O2721" s="2">
        <f>IF(LeadsData[[#This Row],[Stage Number]]&gt;=4,1,0)</f>
        <v>0</v>
      </c>
    </row>
    <row r="2722" spans="1:15" x14ac:dyDescent="0.25">
      <c r="A2722" t="s">
        <v>2762</v>
      </c>
      <c r="B2722" s="1">
        <v>45603</v>
      </c>
      <c r="C2722" t="s">
        <v>17</v>
      </c>
      <c r="D2722" t="s">
        <v>18</v>
      </c>
      <c r="E2722" t="s">
        <v>13</v>
      </c>
      <c r="F2722" t="s">
        <v>14</v>
      </c>
      <c r="G2722" t="s">
        <v>23</v>
      </c>
      <c r="K2722" cm="1">
        <f t="array" ref="K2722">_xlfn.SWITCH(LeadsData[[#This Row],[Funnel Stage Reached]],"Lead",1,"MQL",2,"SQL",3,"Customer",4)</f>
        <v>2</v>
      </c>
      <c r="L2722" t="str">
        <f>TEXT(LeadsData[[#This Row],[Signup Date]],"mmm-yyyy")</f>
        <v>Nov-2024</v>
      </c>
      <c r="M2722">
        <f>IF(LeadsData[[#This Row],[Stage Number]]&gt;=2,1,0)</f>
        <v>1</v>
      </c>
      <c r="N2722" s="2">
        <f>IF(LeadsData[[#This Row],[Stage Number]]&gt;=3,1,0)</f>
        <v>0</v>
      </c>
      <c r="O2722" s="2">
        <f>IF(LeadsData[[#This Row],[Stage Number]]&gt;=4,1,0)</f>
        <v>0</v>
      </c>
    </row>
    <row r="2723" spans="1:15" x14ac:dyDescent="0.25">
      <c r="A2723" t="s">
        <v>2763</v>
      </c>
      <c r="B2723" s="1">
        <v>45627</v>
      </c>
      <c r="C2723" t="s">
        <v>17</v>
      </c>
      <c r="D2723" t="s">
        <v>53</v>
      </c>
      <c r="E2723" t="s">
        <v>13</v>
      </c>
      <c r="F2723" t="s">
        <v>19</v>
      </c>
      <c r="G2723" t="s">
        <v>15</v>
      </c>
      <c r="K2723" cm="1">
        <f t="array" ref="K2723">_xlfn.SWITCH(LeadsData[[#This Row],[Funnel Stage Reached]],"Lead",1,"MQL",2,"SQL",3,"Customer",4)</f>
        <v>1</v>
      </c>
      <c r="L2723" t="str">
        <f>TEXT(LeadsData[[#This Row],[Signup Date]],"mmm-yyyy")</f>
        <v>Dec-2024</v>
      </c>
      <c r="M2723">
        <f>IF(LeadsData[[#This Row],[Stage Number]]&gt;=2,1,0)</f>
        <v>0</v>
      </c>
      <c r="N2723" s="2">
        <f>IF(LeadsData[[#This Row],[Stage Number]]&gt;=3,1,0)</f>
        <v>0</v>
      </c>
      <c r="O2723" s="2">
        <f>IF(LeadsData[[#This Row],[Stage Number]]&gt;=4,1,0)</f>
        <v>0</v>
      </c>
    </row>
    <row r="2724" spans="1:15" x14ac:dyDescent="0.25">
      <c r="A2724" t="s">
        <v>2764</v>
      </c>
      <c r="B2724" s="1">
        <v>45298</v>
      </c>
      <c r="C2724" t="s">
        <v>31</v>
      </c>
      <c r="D2724" t="s">
        <v>34</v>
      </c>
      <c r="E2724" t="s">
        <v>13</v>
      </c>
      <c r="F2724" t="s">
        <v>14</v>
      </c>
      <c r="G2724" t="s">
        <v>15</v>
      </c>
      <c r="K2724" cm="1">
        <f t="array" ref="K2724">_xlfn.SWITCH(LeadsData[[#This Row],[Funnel Stage Reached]],"Lead",1,"MQL",2,"SQL",3,"Customer",4)</f>
        <v>1</v>
      </c>
      <c r="L2724" t="str">
        <f>TEXT(LeadsData[[#This Row],[Signup Date]],"mmm-yyyy")</f>
        <v>Jan-2024</v>
      </c>
      <c r="M2724">
        <f>IF(LeadsData[[#This Row],[Stage Number]]&gt;=2,1,0)</f>
        <v>0</v>
      </c>
      <c r="N2724" s="2">
        <f>IF(LeadsData[[#This Row],[Stage Number]]&gt;=3,1,0)</f>
        <v>0</v>
      </c>
      <c r="O2724" s="2">
        <f>IF(LeadsData[[#This Row],[Stage Number]]&gt;=4,1,0)</f>
        <v>0</v>
      </c>
    </row>
    <row r="2725" spans="1:15" x14ac:dyDescent="0.25">
      <c r="A2725" t="s">
        <v>2765</v>
      </c>
      <c r="B2725" s="1">
        <v>45485</v>
      </c>
      <c r="C2725" t="s">
        <v>46</v>
      </c>
      <c r="D2725" t="s">
        <v>47</v>
      </c>
      <c r="E2725" t="s">
        <v>21</v>
      </c>
      <c r="F2725" t="s">
        <v>22</v>
      </c>
      <c r="G2725" t="s">
        <v>15</v>
      </c>
      <c r="K2725" cm="1">
        <f t="array" ref="K2725">_xlfn.SWITCH(LeadsData[[#This Row],[Funnel Stage Reached]],"Lead",1,"MQL",2,"SQL",3,"Customer",4)</f>
        <v>1</v>
      </c>
      <c r="L2725" t="str">
        <f>TEXT(LeadsData[[#This Row],[Signup Date]],"mmm-yyyy")</f>
        <v>Jul-2024</v>
      </c>
      <c r="M2725">
        <f>IF(LeadsData[[#This Row],[Stage Number]]&gt;=2,1,0)</f>
        <v>0</v>
      </c>
      <c r="N2725" s="2">
        <f>IF(LeadsData[[#This Row],[Stage Number]]&gt;=3,1,0)</f>
        <v>0</v>
      </c>
      <c r="O2725" s="2">
        <f>IF(LeadsData[[#This Row],[Stage Number]]&gt;=4,1,0)</f>
        <v>0</v>
      </c>
    </row>
    <row r="2726" spans="1:15" x14ac:dyDescent="0.25">
      <c r="A2726" t="s">
        <v>2766</v>
      </c>
      <c r="B2726" s="1">
        <v>45480</v>
      </c>
      <c r="C2726" t="s">
        <v>46</v>
      </c>
      <c r="D2726" t="s">
        <v>47</v>
      </c>
      <c r="E2726" t="s">
        <v>13</v>
      </c>
      <c r="F2726" t="s">
        <v>19</v>
      </c>
      <c r="G2726" t="s">
        <v>42</v>
      </c>
      <c r="H2726">
        <v>7</v>
      </c>
      <c r="I2726" t="s">
        <v>43</v>
      </c>
      <c r="J2726">
        <v>1191.6600000000001</v>
      </c>
      <c r="K2726" cm="1">
        <f t="array" ref="K2726">_xlfn.SWITCH(LeadsData[[#This Row],[Funnel Stage Reached]],"Lead",1,"MQL",2,"SQL",3,"Customer",4)</f>
        <v>4</v>
      </c>
      <c r="L2726" t="str">
        <f>TEXT(LeadsData[[#This Row],[Signup Date]],"mmm-yyyy")</f>
        <v>Jul-2024</v>
      </c>
      <c r="M2726">
        <f>IF(LeadsData[[#This Row],[Stage Number]]&gt;=2,1,0)</f>
        <v>1</v>
      </c>
      <c r="N2726" s="2">
        <f>IF(LeadsData[[#This Row],[Stage Number]]&gt;=3,1,0)</f>
        <v>1</v>
      </c>
      <c r="O2726" s="2">
        <f>IF(LeadsData[[#This Row],[Stage Number]]&gt;=4,1,0)</f>
        <v>1</v>
      </c>
    </row>
    <row r="2727" spans="1:15" x14ac:dyDescent="0.25">
      <c r="A2727" t="s">
        <v>2767</v>
      </c>
      <c r="B2727" s="1">
        <v>45429</v>
      </c>
      <c r="C2727" t="s">
        <v>36</v>
      </c>
      <c r="D2727" t="s">
        <v>37</v>
      </c>
      <c r="E2727" t="s">
        <v>13</v>
      </c>
      <c r="F2727" t="s">
        <v>19</v>
      </c>
      <c r="G2727" t="s">
        <v>23</v>
      </c>
      <c r="K2727" cm="1">
        <f t="array" ref="K2727">_xlfn.SWITCH(LeadsData[[#This Row],[Funnel Stage Reached]],"Lead",1,"MQL",2,"SQL",3,"Customer",4)</f>
        <v>2</v>
      </c>
      <c r="L2727" t="str">
        <f>TEXT(LeadsData[[#This Row],[Signup Date]],"mmm-yyyy")</f>
        <v>May-2024</v>
      </c>
      <c r="M2727">
        <f>IF(LeadsData[[#This Row],[Stage Number]]&gt;=2,1,0)</f>
        <v>1</v>
      </c>
      <c r="N2727" s="2">
        <f>IF(LeadsData[[#This Row],[Stage Number]]&gt;=3,1,0)</f>
        <v>0</v>
      </c>
      <c r="O2727" s="2">
        <f>IF(LeadsData[[#This Row],[Stage Number]]&gt;=4,1,0)</f>
        <v>0</v>
      </c>
    </row>
    <row r="2728" spans="1:15" x14ac:dyDescent="0.25">
      <c r="A2728" t="s">
        <v>2768</v>
      </c>
      <c r="B2728" s="1">
        <v>45313</v>
      </c>
      <c r="C2728" t="s">
        <v>31</v>
      </c>
      <c r="D2728" t="s">
        <v>34</v>
      </c>
      <c r="E2728" t="s">
        <v>48</v>
      </c>
      <c r="F2728" t="s">
        <v>19</v>
      </c>
      <c r="G2728" t="s">
        <v>15</v>
      </c>
      <c r="K2728" cm="1">
        <f t="array" ref="K2728">_xlfn.SWITCH(LeadsData[[#This Row],[Funnel Stage Reached]],"Lead",1,"MQL",2,"SQL",3,"Customer",4)</f>
        <v>1</v>
      </c>
      <c r="L2728" t="str">
        <f>TEXT(LeadsData[[#This Row],[Signup Date]],"mmm-yyyy")</f>
        <v>Jan-2024</v>
      </c>
      <c r="M2728">
        <f>IF(LeadsData[[#This Row],[Stage Number]]&gt;=2,1,0)</f>
        <v>0</v>
      </c>
      <c r="N2728" s="2">
        <f>IF(LeadsData[[#This Row],[Stage Number]]&gt;=3,1,0)</f>
        <v>0</v>
      </c>
      <c r="O2728" s="2">
        <f>IF(LeadsData[[#This Row],[Stage Number]]&gt;=4,1,0)</f>
        <v>0</v>
      </c>
    </row>
    <row r="2729" spans="1:15" x14ac:dyDescent="0.25">
      <c r="A2729" t="s">
        <v>2769</v>
      </c>
      <c r="B2729" s="1">
        <v>45642</v>
      </c>
      <c r="C2729" t="s">
        <v>46</v>
      </c>
      <c r="D2729" t="s">
        <v>47</v>
      </c>
      <c r="E2729" t="s">
        <v>21</v>
      </c>
      <c r="F2729" t="s">
        <v>19</v>
      </c>
      <c r="G2729" t="s">
        <v>15</v>
      </c>
      <c r="K2729" cm="1">
        <f t="array" ref="K2729">_xlfn.SWITCH(LeadsData[[#This Row],[Funnel Stage Reached]],"Lead",1,"MQL",2,"SQL",3,"Customer",4)</f>
        <v>1</v>
      </c>
      <c r="L2729" t="str">
        <f>TEXT(LeadsData[[#This Row],[Signup Date]],"mmm-yyyy")</f>
        <v>Dec-2024</v>
      </c>
      <c r="M2729">
        <f>IF(LeadsData[[#This Row],[Stage Number]]&gt;=2,1,0)</f>
        <v>0</v>
      </c>
      <c r="N2729" s="2">
        <f>IF(LeadsData[[#This Row],[Stage Number]]&gt;=3,1,0)</f>
        <v>0</v>
      </c>
      <c r="O2729" s="2">
        <f>IF(LeadsData[[#This Row],[Stage Number]]&gt;=4,1,0)</f>
        <v>0</v>
      </c>
    </row>
    <row r="2730" spans="1:15" x14ac:dyDescent="0.25">
      <c r="A2730" t="s">
        <v>2770</v>
      </c>
      <c r="B2730" s="1">
        <v>45577</v>
      </c>
      <c r="C2730" t="s">
        <v>31</v>
      </c>
      <c r="D2730" t="s">
        <v>32</v>
      </c>
      <c r="E2730" t="s">
        <v>13</v>
      </c>
      <c r="F2730" t="s">
        <v>22</v>
      </c>
      <c r="G2730" t="s">
        <v>15</v>
      </c>
      <c r="K2730" cm="1">
        <f t="array" ref="K2730">_xlfn.SWITCH(LeadsData[[#This Row],[Funnel Stage Reached]],"Lead",1,"MQL",2,"SQL",3,"Customer",4)</f>
        <v>1</v>
      </c>
      <c r="L2730" t="str">
        <f>TEXT(LeadsData[[#This Row],[Signup Date]],"mmm-yyyy")</f>
        <v>Oct-2024</v>
      </c>
      <c r="M2730">
        <f>IF(LeadsData[[#This Row],[Stage Number]]&gt;=2,1,0)</f>
        <v>0</v>
      </c>
      <c r="N2730" s="2">
        <f>IF(LeadsData[[#This Row],[Stage Number]]&gt;=3,1,0)</f>
        <v>0</v>
      </c>
      <c r="O2730" s="2">
        <f>IF(LeadsData[[#This Row],[Stage Number]]&gt;=4,1,0)</f>
        <v>0</v>
      </c>
    </row>
    <row r="2731" spans="1:15" x14ac:dyDescent="0.25">
      <c r="A2731" t="s">
        <v>2771</v>
      </c>
      <c r="B2731" s="1">
        <v>45355</v>
      </c>
      <c r="C2731" t="s">
        <v>46</v>
      </c>
      <c r="D2731" t="s">
        <v>47</v>
      </c>
      <c r="E2731" t="s">
        <v>21</v>
      </c>
      <c r="F2731" t="s">
        <v>19</v>
      </c>
      <c r="G2731" t="s">
        <v>15</v>
      </c>
      <c r="K2731" cm="1">
        <f t="array" ref="K2731">_xlfn.SWITCH(LeadsData[[#This Row],[Funnel Stage Reached]],"Lead",1,"MQL",2,"SQL",3,"Customer",4)</f>
        <v>1</v>
      </c>
      <c r="L2731" t="str">
        <f>TEXT(LeadsData[[#This Row],[Signup Date]],"mmm-yyyy")</f>
        <v>Mar-2024</v>
      </c>
      <c r="M2731">
        <f>IF(LeadsData[[#This Row],[Stage Number]]&gt;=2,1,0)</f>
        <v>0</v>
      </c>
      <c r="N2731" s="2">
        <f>IF(LeadsData[[#This Row],[Stage Number]]&gt;=3,1,0)</f>
        <v>0</v>
      </c>
      <c r="O2731" s="2">
        <f>IF(LeadsData[[#This Row],[Stage Number]]&gt;=4,1,0)</f>
        <v>0</v>
      </c>
    </row>
    <row r="2732" spans="1:15" x14ac:dyDescent="0.25">
      <c r="A2732" t="s">
        <v>2772</v>
      </c>
      <c r="B2732" s="1">
        <v>45438</v>
      </c>
      <c r="C2732" t="s">
        <v>11</v>
      </c>
      <c r="D2732" t="s">
        <v>68</v>
      </c>
      <c r="E2732" t="s">
        <v>21</v>
      </c>
      <c r="F2732" t="s">
        <v>22</v>
      </c>
      <c r="G2732" t="s">
        <v>23</v>
      </c>
      <c r="K2732" cm="1">
        <f t="array" ref="K2732">_xlfn.SWITCH(LeadsData[[#This Row],[Funnel Stage Reached]],"Lead",1,"MQL",2,"SQL",3,"Customer",4)</f>
        <v>2</v>
      </c>
      <c r="L2732" t="str">
        <f>TEXT(LeadsData[[#This Row],[Signup Date]],"mmm-yyyy")</f>
        <v>May-2024</v>
      </c>
      <c r="M2732">
        <f>IF(LeadsData[[#This Row],[Stage Number]]&gt;=2,1,0)</f>
        <v>1</v>
      </c>
      <c r="N2732" s="2">
        <f>IF(LeadsData[[#This Row],[Stage Number]]&gt;=3,1,0)</f>
        <v>0</v>
      </c>
      <c r="O2732" s="2">
        <f>IF(LeadsData[[#This Row],[Stage Number]]&gt;=4,1,0)</f>
        <v>0</v>
      </c>
    </row>
    <row r="2733" spans="1:15" x14ac:dyDescent="0.25">
      <c r="A2733" t="s">
        <v>2773</v>
      </c>
      <c r="B2733" s="1">
        <v>45558</v>
      </c>
      <c r="C2733" t="s">
        <v>25</v>
      </c>
      <c r="D2733" t="s">
        <v>26</v>
      </c>
      <c r="E2733" t="s">
        <v>13</v>
      </c>
      <c r="F2733" t="s">
        <v>14</v>
      </c>
      <c r="G2733" t="s">
        <v>15</v>
      </c>
      <c r="K2733" cm="1">
        <f t="array" ref="K2733">_xlfn.SWITCH(LeadsData[[#This Row],[Funnel Stage Reached]],"Lead",1,"MQL",2,"SQL",3,"Customer",4)</f>
        <v>1</v>
      </c>
      <c r="L2733" t="str">
        <f>TEXT(LeadsData[[#This Row],[Signup Date]],"mmm-yyyy")</f>
        <v>Sep-2024</v>
      </c>
      <c r="M2733">
        <f>IF(LeadsData[[#This Row],[Stage Number]]&gt;=2,1,0)</f>
        <v>0</v>
      </c>
      <c r="N2733" s="2">
        <f>IF(LeadsData[[#This Row],[Stage Number]]&gt;=3,1,0)</f>
        <v>0</v>
      </c>
      <c r="O2733" s="2">
        <f>IF(LeadsData[[#This Row],[Stage Number]]&gt;=4,1,0)</f>
        <v>0</v>
      </c>
    </row>
    <row r="2734" spans="1:15" x14ac:dyDescent="0.25">
      <c r="A2734" t="s">
        <v>2774</v>
      </c>
      <c r="B2734" s="1">
        <v>45516</v>
      </c>
      <c r="C2734" t="s">
        <v>25</v>
      </c>
      <c r="D2734" t="s">
        <v>26</v>
      </c>
      <c r="E2734" t="s">
        <v>21</v>
      </c>
      <c r="F2734" t="s">
        <v>22</v>
      </c>
      <c r="G2734" t="s">
        <v>15</v>
      </c>
      <c r="K2734" cm="1">
        <f t="array" ref="K2734">_xlfn.SWITCH(LeadsData[[#This Row],[Funnel Stage Reached]],"Lead",1,"MQL",2,"SQL",3,"Customer",4)</f>
        <v>1</v>
      </c>
      <c r="L2734" t="str">
        <f>TEXT(LeadsData[[#This Row],[Signup Date]],"mmm-yyyy")</f>
        <v>Aug-2024</v>
      </c>
      <c r="M2734">
        <f>IF(LeadsData[[#This Row],[Stage Number]]&gt;=2,1,0)</f>
        <v>0</v>
      </c>
      <c r="N2734" s="2">
        <f>IF(LeadsData[[#This Row],[Stage Number]]&gt;=3,1,0)</f>
        <v>0</v>
      </c>
      <c r="O2734" s="2">
        <f>IF(LeadsData[[#This Row],[Stage Number]]&gt;=4,1,0)</f>
        <v>0</v>
      </c>
    </row>
    <row r="2735" spans="1:15" x14ac:dyDescent="0.25">
      <c r="A2735" t="s">
        <v>2775</v>
      </c>
      <c r="B2735" s="1">
        <v>45592</v>
      </c>
      <c r="C2735" t="s">
        <v>17</v>
      </c>
      <c r="D2735" t="s">
        <v>18</v>
      </c>
      <c r="E2735" t="s">
        <v>13</v>
      </c>
      <c r="F2735" t="s">
        <v>19</v>
      </c>
      <c r="G2735" t="s">
        <v>15</v>
      </c>
      <c r="K2735" cm="1">
        <f t="array" ref="K2735">_xlfn.SWITCH(LeadsData[[#This Row],[Funnel Stage Reached]],"Lead",1,"MQL",2,"SQL",3,"Customer",4)</f>
        <v>1</v>
      </c>
      <c r="L2735" t="str">
        <f>TEXT(LeadsData[[#This Row],[Signup Date]],"mmm-yyyy")</f>
        <v>Oct-2024</v>
      </c>
      <c r="M2735">
        <f>IF(LeadsData[[#This Row],[Stage Number]]&gt;=2,1,0)</f>
        <v>0</v>
      </c>
      <c r="N2735" s="2">
        <f>IF(LeadsData[[#This Row],[Stage Number]]&gt;=3,1,0)</f>
        <v>0</v>
      </c>
      <c r="O2735" s="2">
        <f>IF(LeadsData[[#This Row],[Stage Number]]&gt;=4,1,0)</f>
        <v>0</v>
      </c>
    </row>
    <row r="2736" spans="1:15" x14ac:dyDescent="0.25">
      <c r="A2736" t="s">
        <v>2776</v>
      </c>
      <c r="B2736" s="1">
        <v>45609</v>
      </c>
      <c r="C2736" t="s">
        <v>46</v>
      </c>
      <c r="D2736" t="s">
        <v>56</v>
      </c>
      <c r="E2736" t="s">
        <v>21</v>
      </c>
      <c r="F2736" t="s">
        <v>22</v>
      </c>
      <c r="G2736" t="s">
        <v>23</v>
      </c>
      <c r="K2736" cm="1">
        <f t="array" ref="K2736">_xlfn.SWITCH(LeadsData[[#This Row],[Funnel Stage Reached]],"Lead",1,"MQL",2,"SQL",3,"Customer",4)</f>
        <v>2</v>
      </c>
      <c r="L2736" t="str">
        <f>TEXT(LeadsData[[#This Row],[Signup Date]],"mmm-yyyy")</f>
        <v>Nov-2024</v>
      </c>
      <c r="M2736">
        <f>IF(LeadsData[[#This Row],[Stage Number]]&gt;=2,1,0)</f>
        <v>1</v>
      </c>
      <c r="N2736" s="2">
        <f>IF(LeadsData[[#This Row],[Stage Number]]&gt;=3,1,0)</f>
        <v>0</v>
      </c>
      <c r="O2736" s="2">
        <f>IF(LeadsData[[#This Row],[Stage Number]]&gt;=4,1,0)</f>
        <v>0</v>
      </c>
    </row>
    <row r="2737" spans="1:15" x14ac:dyDescent="0.25">
      <c r="A2737" t="s">
        <v>2777</v>
      </c>
      <c r="B2737" s="1">
        <v>45629</v>
      </c>
      <c r="C2737" t="s">
        <v>46</v>
      </c>
      <c r="D2737" t="s">
        <v>56</v>
      </c>
      <c r="E2737" t="s">
        <v>21</v>
      </c>
      <c r="F2737" t="s">
        <v>19</v>
      </c>
      <c r="G2737" t="s">
        <v>29</v>
      </c>
      <c r="K2737" cm="1">
        <f t="array" ref="K2737">_xlfn.SWITCH(LeadsData[[#This Row],[Funnel Stage Reached]],"Lead",1,"MQL",2,"SQL",3,"Customer",4)</f>
        <v>3</v>
      </c>
      <c r="L2737" t="str">
        <f>TEXT(LeadsData[[#This Row],[Signup Date]],"mmm-yyyy")</f>
        <v>Dec-2024</v>
      </c>
      <c r="M2737">
        <f>IF(LeadsData[[#This Row],[Stage Number]]&gt;=2,1,0)</f>
        <v>1</v>
      </c>
      <c r="N2737" s="2">
        <f>IF(LeadsData[[#This Row],[Stage Number]]&gt;=3,1,0)</f>
        <v>1</v>
      </c>
      <c r="O2737" s="2">
        <f>IF(LeadsData[[#This Row],[Stage Number]]&gt;=4,1,0)</f>
        <v>0</v>
      </c>
    </row>
    <row r="2738" spans="1:15" x14ac:dyDescent="0.25">
      <c r="A2738" t="s">
        <v>2778</v>
      </c>
      <c r="B2738" s="1">
        <v>45312</v>
      </c>
      <c r="C2738" t="s">
        <v>31</v>
      </c>
      <c r="D2738" t="s">
        <v>32</v>
      </c>
      <c r="E2738" t="s">
        <v>21</v>
      </c>
      <c r="F2738" t="s">
        <v>19</v>
      </c>
      <c r="G2738" t="s">
        <v>29</v>
      </c>
      <c r="K2738" cm="1">
        <f t="array" ref="K2738">_xlfn.SWITCH(LeadsData[[#This Row],[Funnel Stage Reached]],"Lead",1,"MQL",2,"SQL",3,"Customer",4)</f>
        <v>3</v>
      </c>
      <c r="L2738" t="str">
        <f>TEXT(LeadsData[[#This Row],[Signup Date]],"mmm-yyyy")</f>
        <v>Jan-2024</v>
      </c>
      <c r="M2738">
        <f>IF(LeadsData[[#This Row],[Stage Number]]&gt;=2,1,0)</f>
        <v>1</v>
      </c>
      <c r="N2738" s="2">
        <f>IF(LeadsData[[#This Row],[Stage Number]]&gt;=3,1,0)</f>
        <v>1</v>
      </c>
      <c r="O2738" s="2">
        <f>IF(LeadsData[[#This Row],[Stage Number]]&gt;=4,1,0)</f>
        <v>0</v>
      </c>
    </row>
    <row r="2739" spans="1:15" x14ac:dyDescent="0.25">
      <c r="A2739" t="s">
        <v>2779</v>
      </c>
      <c r="B2739" s="1">
        <v>45486</v>
      </c>
      <c r="C2739" t="s">
        <v>17</v>
      </c>
      <c r="D2739" t="s">
        <v>18</v>
      </c>
      <c r="E2739" t="s">
        <v>21</v>
      </c>
      <c r="F2739" t="s">
        <v>19</v>
      </c>
      <c r="G2739" t="s">
        <v>15</v>
      </c>
      <c r="K2739" cm="1">
        <f t="array" ref="K2739">_xlfn.SWITCH(LeadsData[[#This Row],[Funnel Stage Reached]],"Lead",1,"MQL",2,"SQL",3,"Customer",4)</f>
        <v>1</v>
      </c>
      <c r="L2739" t="str">
        <f>TEXT(LeadsData[[#This Row],[Signup Date]],"mmm-yyyy")</f>
        <v>Jul-2024</v>
      </c>
      <c r="M2739">
        <f>IF(LeadsData[[#This Row],[Stage Number]]&gt;=2,1,0)</f>
        <v>0</v>
      </c>
      <c r="N2739" s="2">
        <f>IF(LeadsData[[#This Row],[Stage Number]]&gt;=3,1,0)</f>
        <v>0</v>
      </c>
      <c r="O2739" s="2">
        <f>IF(LeadsData[[#This Row],[Stage Number]]&gt;=4,1,0)</f>
        <v>0</v>
      </c>
    </row>
    <row r="2740" spans="1:15" x14ac:dyDescent="0.25">
      <c r="A2740" t="s">
        <v>2780</v>
      </c>
      <c r="B2740" s="1">
        <v>45607</v>
      </c>
      <c r="C2740" t="s">
        <v>17</v>
      </c>
      <c r="D2740" t="s">
        <v>53</v>
      </c>
      <c r="E2740" t="s">
        <v>21</v>
      </c>
      <c r="F2740" t="s">
        <v>14</v>
      </c>
      <c r="G2740" t="s">
        <v>15</v>
      </c>
      <c r="K2740" cm="1">
        <f t="array" ref="K2740">_xlfn.SWITCH(LeadsData[[#This Row],[Funnel Stage Reached]],"Lead",1,"MQL",2,"SQL",3,"Customer",4)</f>
        <v>1</v>
      </c>
      <c r="L2740" t="str">
        <f>TEXT(LeadsData[[#This Row],[Signup Date]],"mmm-yyyy")</f>
        <v>Nov-2024</v>
      </c>
      <c r="M2740">
        <f>IF(LeadsData[[#This Row],[Stage Number]]&gt;=2,1,0)</f>
        <v>0</v>
      </c>
      <c r="N2740" s="2">
        <f>IF(LeadsData[[#This Row],[Stage Number]]&gt;=3,1,0)</f>
        <v>0</v>
      </c>
      <c r="O2740" s="2">
        <f>IF(LeadsData[[#This Row],[Stage Number]]&gt;=4,1,0)</f>
        <v>0</v>
      </c>
    </row>
    <row r="2741" spans="1:15" x14ac:dyDescent="0.25">
      <c r="A2741" t="s">
        <v>2781</v>
      </c>
      <c r="B2741" s="1">
        <v>45462</v>
      </c>
      <c r="C2741" t="s">
        <v>31</v>
      </c>
      <c r="D2741" t="s">
        <v>32</v>
      </c>
      <c r="E2741" t="s">
        <v>13</v>
      </c>
      <c r="F2741" t="s">
        <v>19</v>
      </c>
      <c r="G2741" t="s">
        <v>23</v>
      </c>
      <c r="K2741" cm="1">
        <f t="array" ref="K2741">_xlfn.SWITCH(LeadsData[[#This Row],[Funnel Stage Reached]],"Lead",1,"MQL",2,"SQL",3,"Customer",4)</f>
        <v>2</v>
      </c>
      <c r="L2741" t="str">
        <f>TEXT(LeadsData[[#This Row],[Signup Date]],"mmm-yyyy")</f>
        <v>Jun-2024</v>
      </c>
      <c r="M2741">
        <f>IF(LeadsData[[#This Row],[Stage Number]]&gt;=2,1,0)</f>
        <v>1</v>
      </c>
      <c r="N2741" s="2">
        <f>IF(LeadsData[[#This Row],[Stage Number]]&gt;=3,1,0)</f>
        <v>0</v>
      </c>
      <c r="O2741" s="2">
        <f>IF(LeadsData[[#This Row],[Stage Number]]&gt;=4,1,0)</f>
        <v>0</v>
      </c>
    </row>
    <row r="2742" spans="1:15" x14ac:dyDescent="0.25">
      <c r="A2742" t="s">
        <v>2782</v>
      </c>
      <c r="B2742" s="1">
        <v>45613</v>
      </c>
      <c r="C2742" t="s">
        <v>25</v>
      </c>
      <c r="D2742" t="s">
        <v>26</v>
      </c>
      <c r="E2742" t="s">
        <v>13</v>
      </c>
      <c r="F2742" t="s">
        <v>19</v>
      </c>
      <c r="G2742" t="s">
        <v>23</v>
      </c>
      <c r="K2742" cm="1">
        <f t="array" ref="K2742">_xlfn.SWITCH(LeadsData[[#This Row],[Funnel Stage Reached]],"Lead",1,"MQL",2,"SQL",3,"Customer",4)</f>
        <v>2</v>
      </c>
      <c r="L2742" t="str">
        <f>TEXT(LeadsData[[#This Row],[Signup Date]],"mmm-yyyy")</f>
        <v>Nov-2024</v>
      </c>
      <c r="M2742">
        <f>IF(LeadsData[[#This Row],[Stage Number]]&gt;=2,1,0)</f>
        <v>1</v>
      </c>
      <c r="N2742" s="2">
        <f>IF(LeadsData[[#This Row],[Stage Number]]&gt;=3,1,0)</f>
        <v>0</v>
      </c>
      <c r="O2742" s="2">
        <f>IF(LeadsData[[#This Row],[Stage Number]]&gt;=4,1,0)</f>
        <v>0</v>
      </c>
    </row>
    <row r="2743" spans="1:15" x14ac:dyDescent="0.25">
      <c r="A2743" t="s">
        <v>2783</v>
      </c>
      <c r="B2743" s="1">
        <v>45317</v>
      </c>
      <c r="C2743" t="s">
        <v>17</v>
      </c>
      <c r="D2743" t="s">
        <v>18</v>
      </c>
      <c r="E2743" t="s">
        <v>13</v>
      </c>
      <c r="F2743" t="s">
        <v>19</v>
      </c>
      <c r="G2743" t="s">
        <v>15</v>
      </c>
      <c r="K2743" cm="1">
        <f t="array" ref="K2743">_xlfn.SWITCH(LeadsData[[#This Row],[Funnel Stage Reached]],"Lead",1,"MQL",2,"SQL",3,"Customer",4)</f>
        <v>1</v>
      </c>
      <c r="L2743" t="str">
        <f>TEXT(LeadsData[[#This Row],[Signup Date]],"mmm-yyyy")</f>
        <v>Jan-2024</v>
      </c>
      <c r="M2743">
        <f>IF(LeadsData[[#This Row],[Stage Number]]&gt;=2,1,0)</f>
        <v>0</v>
      </c>
      <c r="N2743" s="2">
        <f>IF(LeadsData[[#This Row],[Stage Number]]&gt;=3,1,0)</f>
        <v>0</v>
      </c>
      <c r="O2743" s="2">
        <f>IF(LeadsData[[#This Row],[Stage Number]]&gt;=4,1,0)</f>
        <v>0</v>
      </c>
    </row>
    <row r="2744" spans="1:15" x14ac:dyDescent="0.25">
      <c r="A2744" t="s">
        <v>2784</v>
      </c>
      <c r="B2744" s="1">
        <v>45356</v>
      </c>
      <c r="C2744" t="s">
        <v>36</v>
      </c>
      <c r="D2744" t="s">
        <v>50</v>
      </c>
      <c r="E2744" t="s">
        <v>48</v>
      </c>
      <c r="F2744" t="s">
        <v>28</v>
      </c>
      <c r="G2744" t="s">
        <v>23</v>
      </c>
      <c r="K2744" cm="1">
        <f t="array" ref="K2744">_xlfn.SWITCH(LeadsData[[#This Row],[Funnel Stage Reached]],"Lead",1,"MQL",2,"SQL",3,"Customer",4)</f>
        <v>2</v>
      </c>
      <c r="L2744" t="str">
        <f>TEXT(LeadsData[[#This Row],[Signup Date]],"mmm-yyyy")</f>
        <v>Mar-2024</v>
      </c>
      <c r="M2744">
        <f>IF(LeadsData[[#This Row],[Stage Number]]&gt;=2,1,0)</f>
        <v>1</v>
      </c>
      <c r="N2744" s="2">
        <f>IF(LeadsData[[#This Row],[Stage Number]]&gt;=3,1,0)</f>
        <v>0</v>
      </c>
      <c r="O2744" s="2">
        <f>IF(LeadsData[[#This Row],[Stage Number]]&gt;=4,1,0)</f>
        <v>0</v>
      </c>
    </row>
    <row r="2745" spans="1:15" x14ac:dyDescent="0.25">
      <c r="A2745" t="s">
        <v>2785</v>
      </c>
      <c r="B2745" s="1">
        <v>45455</v>
      </c>
      <c r="C2745" t="s">
        <v>46</v>
      </c>
      <c r="D2745" t="s">
        <v>56</v>
      </c>
      <c r="E2745" t="s">
        <v>13</v>
      </c>
      <c r="F2745" t="s">
        <v>14</v>
      </c>
      <c r="G2745" t="s">
        <v>15</v>
      </c>
      <c r="K2745" cm="1">
        <f t="array" ref="K2745">_xlfn.SWITCH(LeadsData[[#This Row],[Funnel Stage Reached]],"Lead",1,"MQL",2,"SQL",3,"Customer",4)</f>
        <v>1</v>
      </c>
      <c r="L2745" t="str">
        <f>TEXT(LeadsData[[#This Row],[Signup Date]],"mmm-yyyy")</f>
        <v>Jun-2024</v>
      </c>
      <c r="M2745">
        <f>IF(LeadsData[[#This Row],[Stage Number]]&gt;=2,1,0)</f>
        <v>0</v>
      </c>
      <c r="N2745" s="2">
        <f>IF(LeadsData[[#This Row],[Stage Number]]&gt;=3,1,0)</f>
        <v>0</v>
      </c>
      <c r="O2745" s="2">
        <f>IF(LeadsData[[#This Row],[Stage Number]]&gt;=4,1,0)</f>
        <v>0</v>
      </c>
    </row>
    <row r="2746" spans="1:15" x14ac:dyDescent="0.25">
      <c r="A2746" t="s">
        <v>2786</v>
      </c>
      <c r="B2746" s="1">
        <v>45296</v>
      </c>
      <c r="C2746" t="s">
        <v>11</v>
      </c>
      <c r="D2746" t="s">
        <v>68</v>
      </c>
      <c r="E2746" t="s">
        <v>21</v>
      </c>
      <c r="F2746" t="s">
        <v>19</v>
      </c>
      <c r="G2746" t="s">
        <v>15</v>
      </c>
      <c r="K2746" cm="1">
        <f t="array" ref="K2746">_xlfn.SWITCH(LeadsData[[#This Row],[Funnel Stage Reached]],"Lead",1,"MQL",2,"SQL",3,"Customer",4)</f>
        <v>1</v>
      </c>
      <c r="L2746" t="str">
        <f>TEXT(LeadsData[[#This Row],[Signup Date]],"mmm-yyyy")</f>
        <v>Jan-2024</v>
      </c>
      <c r="M2746">
        <f>IF(LeadsData[[#This Row],[Stage Number]]&gt;=2,1,0)</f>
        <v>0</v>
      </c>
      <c r="N2746" s="2">
        <f>IF(LeadsData[[#This Row],[Stage Number]]&gt;=3,1,0)</f>
        <v>0</v>
      </c>
      <c r="O2746" s="2">
        <f>IF(LeadsData[[#This Row],[Stage Number]]&gt;=4,1,0)</f>
        <v>0</v>
      </c>
    </row>
    <row r="2747" spans="1:15" x14ac:dyDescent="0.25">
      <c r="A2747" t="s">
        <v>2787</v>
      </c>
      <c r="B2747" s="1">
        <v>45547</v>
      </c>
      <c r="C2747" t="s">
        <v>46</v>
      </c>
      <c r="D2747" t="s">
        <v>56</v>
      </c>
      <c r="E2747" t="s">
        <v>13</v>
      </c>
      <c r="F2747" t="s">
        <v>22</v>
      </c>
      <c r="G2747" t="s">
        <v>15</v>
      </c>
      <c r="K2747" cm="1">
        <f t="array" ref="K2747">_xlfn.SWITCH(LeadsData[[#This Row],[Funnel Stage Reached]],"Lead",1,"MQL",2,"SQL",3,"Customer",4)</f>
        <v>1</v>
      </c>
      <c r="L2747" t="str">
        <f>TEXT(LeadsData[[#This Row],[Signup Date]],"mmm-yyyy")</f>
        <v>Sep-2024</v>
      </c>
      <c r="M2747">
        <f>IF(LeadsData[[#This Row],[Stage Number]]&gt;=2,1,0)</f>
        <v>0</v>
      </c>
      <c r="N2747" s="2">
        <f>IF(LeadsData[[#This Row],[Stage Number]]&gt;=3,1,0)</f>
        <v>0</v>
      </c>
      <c r="O2747" s="2">
        <f>IF(LeadsData[[#This Row],[Stage Number]]&gt;=4,1,0)</f>
        <v>0</v>
      </c>
    </row>
    <row r="2748" spans="1:15" x14ac:dyDescent="0.25">
      <c r="A2748" t="s">
        <v>2788</v>
      </c>
      <c r="B2748" s="1">
        <v>45552</v>
      </c>
      <c r="C2748" t="s">
        <v>46</v>
      </c>
      <c r="D2748" t="s">
        <v>47</v>
      </c>
      <c r="E2748" t="s">
        <v>48</v>
      </c>
      <c r="F2748" t="s">
        <v>19</v>
      </c>
      <c r="G2748" t="s">
        <v>15</v>
      </c>
      <c r="K2748" cm="1">
        <f t="array" ref="K2748">_xlfn.SWITCH(LeadsData[[#This Row],[Funnel Stage Reached]],"Lead",1,"MQL",2,"SQL",3,"Customer",4)</f>
        <v>1</v>
      </c>
      <c r="L2748" t="str">
        <f>TEXT(LeadsData[[#This Row],[Signup Date]],"mmm-yyyy")</f>
        <v>Sep-2024</v>
      </c>
      <c r="M2748">
        <f>IF(LeadsData[[#This Row],[Stage Number]]&gt;=2,1,0)</f>
        <v>0</v>
      </c>
      <c r="N2748" s="2">
        <f>IF(LeadsData[[#This Row],[Stage Number]]&gt;=3,1,0)</f>
        <v>0</v>
      </c>
      <c r="O2748" s="2">
        <f>IF(LeadsData[[#This Row],[Stage Number]]&gt;=4,1,0)</f>
        <v>0</v>
      </c>
    </row>
    <row r="2749" spans="1:15" x14ac:dyDescent="0.25">
      <c r="A2749" t="s">
        <v>2789</v>
      </c>
      <c r="B2749" s="1">
        <v>45300</v>
      </c>
      <c r="C2749" t="s">
        <v>46</v>
      </c>
      <c r="D2749" t="s">
        <v>56</v>
      </c>
      <c r="E2749" t="s">
        <v>21</v>
      </c>
      <c r="F2749" t="s">
        <v>19</v>
      </c>
      <c r="G2749" t="s">
        <v>42</v>
      </c>
      <c r="H2749">
        <v>47</v>
      </c>
      <c r="I2749" t="s">
        <v>87</v>
      </c>
      <c r="J2749">
        <v>1782.02</v>
      </c>
      <c r="K2749" cm="1">
        <f t="array" ref="K2749">_xlfn.SWITCH(LeadsData[[#This Row],[Funnel Stage Reached]],"Lead",1,"MQL",2,"SQL",3,"Customer",4)</f>
        <v>4</v>
      </c>
      <c r="L2749" t="str">
        <f>TEXT(LeadsData[[#This Row],[Signup Date]],"mmm-yyyy")</f>
        <v>Jan-2024</v>
      </c>
      <c r="M2749">
        <f>IF(LeadsData[[#This Row],[Stage Number]]&gt;=2,1,0)</f>
        <v>1</v>
      </c>
      <c r="N2749" s="2">
        <f>IF(LeadsData[[#This Row],[Stage Number]]&gt;=3,1,0)</f>
        <v>1</v>
      </c>
      <c r="O2749" s="2">
        <f>IF(LeadsData[[#This Row],[Stage Number]]&gt;=4,1,0)</f>
        <v>1</v>
      </c>
    </row>
    <row r="2750" spans="1:15" x14ac:dyDescent="0.25">
      <c r="A2750" t="s">
        <v>2790</v>
      </c>
      <c r="B2750" s="1">
        <v>45346</v>
      </c>
      <c r="C2750" t="s">
        <v>36</v>
      </c>
      <c r="D2750" t="s">
        <v>37</v>
      </c>
      <c r="E2750" t="s">
        <v>13</v>
      </c>
      <c r="F2750" t="s">
        <v>19</v>
      </c>
      <c r="G2750" t="s">
        <v>29</v>
      </c>
      <c r="K2750" cm="1">
        <f t="array" ref="K2750">_xlfn.SWITCH(LeadsData[[#This Row],[Funnel Stage Reached]],"Lead",1,"MQL",2,"SQL",3,"Customer",4)</f>
        <v>3</v>
      </c>
      <c r="L2750" t="str">
        <f>TEXT(LeadsData[[#This Row],[Signup Date]],"mmm-yyyy")</f>
        <v>Feb-2024</v>
      </c>
      <c r="M2750">
        <f>IF(LeadsData[[#This Row],[Stage Number]]&gt;=2,1,0)</f>
        <v>1</v>
      </c>
      <c r="N2750" s="2">
        <f>IF(LeadsData[[#This Row],[Stage Number]]&gt;=3,1,0)</f>
        <v>1</v>
      </c>
      <c r="O2750" s="2">
        <f>IF(LeadsData[[#This Row],[Stage Number]]&gt;=4,1,0)</f>
        <v>0</v>
      </c>
    </row>
    <row r="2751" spans="1:15" x14ac:dyDescent="0.25">
      <c r="A2751" t="s">
        <v>2791</v>
      </c>
      <c r="B2751" s="1">
        <v>45542</v>
      </c>
      <c r="C2751" t="s">
        <v>11</v>
      </c>
      <c r="D2751" t="s">
        <v>79</v>
      </c>
      <c r="E2751" t="s">
        <v>48</v>
      </c>
      <c r="F2751" t="s">
        <v>14</v>
      </c>
      <c r="G2751" t="s">
        <v>15</v>
      </c>
      <c r="K2751" cm="1">
        <f t="array" ref="K2751">_xlfn.SWITCH(LeadsData[[#This Row],[Funnel Stage Reached]],"Lead",1,"MQL",2,"SQL",3,"Customer",4)</f>
        <v>1</v>
      </c>
      <c r="L2751" t="str">
        <f>TEXT(LeadsData[[#This Row],[Signup Date]],"mmm-yyyy")</f>
        <v>Sep-2024</v>
      </c>
      <c r="M2751">
        <f>IF(LeadsData[[#This Row],[Stage Number]]&gt;=2,1,0)</f>
        <v>0</v>
      </c>
      <c r="N2751" s="2">
        <f>IF(LeadsData[[#This Row],[Stage Number]]&gt;=3,1,0)</f>
        <v>0</v>
      </c>
      <c r="O2751" s="2">
        <f>IF(LeadsData[[#This Row],[Stage Number]]&gt;=4,1,0)</f>
        <v>0</v>
      </c>
    </row>
    <row r="2752" spans="1:15" x14ac:dyDescent="0.25">
      <c r="A2752" t="s">
        <v>2792</v>
      </c>
      <c r="B2752" s="1">
        <v>45293</v>
      </c>
      <c r="C2752" t="s">
        <v>25</v>
      </c>
      <c r="D2752" t="s">
        <v>26</v>
      </c>
      <c r="E2752" t="s">
        <v>21</v>
      </c>
      <c r="F2752" t="s">
        <v>14</v>
      </c>
      <c r="G2752" t="s">
        <v>23</v>
      </c>
      <c r="K2752" cm="1">
        <f t="array" ref="K2752">_xlfn.SWITCH(LeadsData[[#This Row],[Funnel Stage Reached]],"Lead",1,"MQL",2,"SQL",3,"Customer",4)</f>
        <v>2</v>
      </c>
      <c r="L2752" t="str">
        <f>TEXT(LeadsData[[#This Row],[Signup Date]],"mmm-yyyy")</f>
        <v>Jan-2024</v>
      </c>
      <c r="M2752">
        <f>IF(LeadsData[[#This Row],[Stage Number]]&gt;=2,1,0)</f>
        <v>1</v>
      </c>
      <c r="N2752" s="2">
        <f>IF(LeadsData[[#This Row],[Stage Number]]&gt;=3,1,0)</f>
        <v>0</v>
      </c>
      <c r="O2752" s="2">
        <f>IF(LeadsData[[#This Row],[Stage Number]]&gt;=4,1,0)</f>
        <v>0</v>
      </c>
    </row>
    <row r="2753" spans="1:15" x14ac:dyDescent="0.25">
      <c r="A2753" t="s">
        <v>2793</v>
      </c>
      <c r="B2753" s="1">
        <v>45654</v>
      </c>
      <c r="C2753" t="s">
        <v>36</v>
      </c>
      <c r="D2753" t="s">
        <v>50</v>
      </c>
      <c r="E2753" t="s">
        <v>21</v>
      </c>
      <c r="F2753" t="s">
        <v>19</v>
      </c>
      <c r="G2753" t="s">
        <v>15</v>
      </c>
      <c r="K2753" cm="1">
        <f t="array" ref="K2753">_xlfn.SWITCH(LeadsData[[#This Row],[Funnel Stage Reached]],"Lead",1,"MQL",2,"SQL",3,"Customer",4)</f>
        <v>1</v>
      </c>
      <c r="L2753" t="str">
        <f>TEXT(LeadsData[[#This Row],[Signup Date]],"mmm-yyyy")</f>
        <v>Dec-2024</v>
      </c>
      <c r="M2753">
        <f>IF(LeadsData[[#This Row],[Stage Number]]&gt;=2,1,0)</f>
        <v>0</v>
      </c>
      <c r="N2753" s="2">
        <f>IF(LeadsData[[#This Row],[Stage Number]]&gt;=3,1,0)</f>
        <v>0</v>
      </c>
      <c r="O2753" s="2">
        <f>IF(LeadsData[[#This Row],[Stage Number]]&gt;=4,1,0)</f>
        <v>0</v>
      </c>
    </row>
    <row r="2754" spans="1:15" x14ac:dyDescent="0.25">
      <c r="A2754" t="s">
        <v>2794</v>
      </c>
      <c r="B2754" s="1">
        <v>45346</v>
      </c>
      <c r="C2754" t="s">
        <v>46</v>
      </c>
      <c r="D2754" t="s">
        <v>56</v>
      </c>
      <c r="E2754" t="s">
        <v>21</v>
      </c>
      <c r="F2754" t="s">
        <v>19</v>
      </c>
      <c r="G2754" t="s">
        <v>29</v>
      </c>
      <c r="K2754" cm="1">
        <f t="array" ref="K2754">_xlfn.SWITCH(LeadsData[[#This Row],[Funnel Stage Reached]],"Lead",1,"MQL",2,"SQL",3,"Customer",4)</f>
        <v>3</v>
      </c>
      <c r="L2754" t="str">
        <f>TEXT(LeadsData[[#This Row],[Signup Date]],"mmm-yyyy")</f>
        <v>Feb-2024</v>
      </c>
      <c r="M2754">
        <f>IF(LeadsData[[#This Row],[Stage Number]]&gt;=2,1,0)</f>
        <v>1</v>
      </c>
      <c r="N2754" s="2">
        <f>IF(LeadsData[[#This Row],[Stage Number]]&gt;=3,1,0)</f>
        <v>1</v>
      </c>
      <c r="O2754" s="2">
        <f>IF(LeadsData[[#This Row],[Stage Number]]&gt;=4,1,0)</f>
        <v>0</v>
      </c>
    </row>
    <row r="2755" spans="1:15" x14ac:dyDescent="0.25">
      <c r="A2755" t="s">
        <v>2795</v>
      </c>
      <c r="B2755" s="1">
        <v>45461</v>
      </c>
      <c r="C2755" t="s">
        <v>31</v>
      </c>
      <c r="D2755" t="s">
        <v>34</v>
      </c>
      <c r="E2755" t="s">
        <v>13</v>
      </c>
      <c r="F2755" t="s">
        <v>28</v>
      </c>
      <c r="G2755" t="s">
        <v>15</v>
      </c>
      <c r="K2755" cm="1">
        <f t="array" ref="K2755">_xlfn.SWITCH(LeadsData[[#This Row],[Funnel Stage Reached]],"Lead",1,"MQL",2,"SQL",3,"Customer",4)</f>
        <v>1</v>
      </c>
      <c r="L2755" t="str">
        <f>TEXT(LeadsData[[#This Row],[Signup Date]],"mmm-yyyy")</f>
        <v>Jun-2024</v>
      </c>
      <c r="M2755">
        <f>IF(LeadsData[[#This Row],[Stage Number]]&gt;=2,1,0)</f>
        <v>0</v>
      </c>
      <c r="N2755" s="2">
        <f>IF(LeadsData[[#This Row],[Stage Number]]&gt;=3,1,0)</f>
        <v>0</v>
      </c>
      <c r="O2755" s="2">
        <f>IF(LeadsData[[#This Row],[Stage Number]]&gt;=4,1,0)</f>
        <v>0</v>
      </c>
    </row>
    <row r="2756" spans="1:15" x14ac:dyDescent="0.25">
      <c r="A2756" t="s">
        <v>2796</v>
      </c>
      <c r="B2756" s="1">
        <v>45417</v>
      </c>
      <c r="C2756" t="s">
        <v>31</v>
      </c>
      <c r="D2756" t="s">
        <v>34</v>
      </c>
      <c r="E2756" t="s">
        <v>48</v>
      </c>
      <c r="F2756" t="s">
        <v>22</v>
      </c>
      <c r="G2756" t="s">
        <v>23</v>
      </c>
      <c r="K2756" cm="1">
        <f t="array" ref="K2756">_xlfn.SWITCH(LeadsData[[#This Row],[Funnel Stage Reached]],"Lead",1,"MQL",2,"SQL",3,"Customer",4)</f>
        <v>2</v>
      </c>
      <c r="L2756" t="str">
        <f>TEXT(LeadsData[[#This Row],[Signup Date]],"mmm-yyyy")</f>
        <v>May-2024</v>
      </c>
      <c r="M2756">
        <f>IF(LeadsData[[#This Row],[Stage Number]]&gt;=2,1,0)</f>
        <v>1</v>
      </c>
      <c r="N2756" s="2">
        <f>IF(LeadsData[[#This Row],[Stage Number]]&gt;=3,1,0)</f>
        <v>0</v>
      </c>
      <c r="O2756" s="2">
        <f>IF(LeadsData[[#This Row],[Stage Number]]&gt;=4,1,0)</f>
        <v>0</v>
      </c>
    </row>
    <row r="2757" spans="1:15" x14ac:dyDescent="0.25">
      <c r="A2757" t="s">
        <v>2797</v>
      </c>
      <c r="B2757" s="1">
        <v>45599</v>
      </c>
      <c r="C2757" t="s">
        <v>31</v>
      </c>
      <c r="D2757" t="s">
        <v>32</v>
      </c>
      <c r="E2757" t="s">
        <v>13</v>
      </c>
      <c r="F2757" t="s">
        <v>19</v>
      </c>
      <c r="G2757" t="s">
        <v>15</v>
      </c>
      <c r="K2757" cm="1">
        <f t="array" ref="K2757">_xlfn.SWITCH(LeadsData[[#This Row],[Funnel Stage Reached]],"Lead",1,"MQL",2,"SQL",3,"Customer",4)</f>
        <v>1</v>
      </c>
      <c r="L2757" t="str">
        <f>TEXT(LeadsData[[#This Row],[Signup Date]],"mmm-yyyy")</f>
        <v>Nov-2024</v>
      </c>
      <c r="M2757">
        <f>IF(LeadsData[[#This Row],[Stage Number]]&gt;=2,1,0)</f>
        <v>0</v>
      </c>
      <c r="N2757" s="2">
        <f>IF(LeadsData[[#This Row],[Stage Number]]&gt;=3,1,0)</f>
        <v>0</v>
      </c>
      <c r="O2757" s="2">
        <f>IF(LeadsData[[#This Row],[Stage Number]]&gt;=4,1,0)</f>
        <v>0</v>
      </c>
    </row>
    <row r="2758" spans="1:15" x14ac:dyDescent="0.25">
      <c r="A2758" t="s">
        <v>2798</v>
      </c>
      <c r="B2758" s="1">
        <v>45417</v>
      </c>
      <c r="C2758" t="s">
        <v>11</v>
      </c>
      <c r="D2758" t="s">
        <v>68</v>
      </c>
      <c r="E2758" t="s">
        <v>48</v>
      </c>
      <c r="F2758" t="s">
        <v>22</v>
      </c>
      <c r="G2758" t="s">
        <v>15</v>
      </c>
      <c r="K2758" cm="1">
        <f t="array" ref="K2758">_xlfn.SWITCH(LeadsData[[#This Row],[Funnel Stage Reached]],"Lead",1,"MQL",2,"SQL",3,"Customer",4)</f>
        <v>1</v>
      </c>
      <c r="L2758" t="str">
        <f>TEXT(LeadsData[[#This Row],[Signup Date]],"mmm-yyyy")</f>
        <v>May-2024</v>
      </c>
      <c r="M2758">
        <f>IF(LeadsData[[#This Row],[Stage Number]]&gt;=2,1,0)</f>
        <v>0</v>
      </c>
      <c r="N2758" s="2">
        <f>IF(LeadsData[[#This Row],[Stage Number]]&gt;=3,1,0)</f>
        <v>0</v>
      </c>
      <c r="O2758" s="2">
        <f>IF(LeadsData[[#This Row],[Stage Number]]&gt;=4,1,0)</f>
        <v>0</v>
      </c>
    </row>
    <row r="2759" spans="1:15" x14ac:dyDescent="0.25">
      <c r="A2759" t="s">
        <v>2799</v>
      </c>
      <c r="B2759" s="1">
        <v>45628</v>
      </c>
      <c r="C2759" t="s">
        <v>11</v>
      </c>
      <c r="D2759" t="s">
        <v>68</v>
      </c>
      <c r="E2759" t="s">
        <v>21</v>
      </c>
      <c r="F2759" t="s">
        <v>14</v>
      </c>
      <c r="G2759" t="s">
        <v>15</v>
      </c>
      <c r="K2759" cm="1">
        <f t="array" ref="K2759">_xlfn.SWITCH(LeadsData[[#This Row],[Funnel Stage Reached]],"Lead",1,"MQL",2,"SQL",3,"Customer",4)</f>
        <v>1</v>
      </c>
      <c r="L2759" t="str">
        <f>TEXT(LeadsData[[#This Row],[Signup Date]],"mmm-yyyy")</f>
        <v>Dec-2024</v>
      </c>
      <c r="M2759">
        <f>IF(LeadsData[[#This Row],[Stage Number]]&gt;=2,1,0)</f>
        <v>0</v>
      </c>
      <c r="N2759" s="2">
        <f>IF(LeadsData[[#This Row],[Stage Number]]&gt;=3,1,0)</f>
        <v>0</v>
      </c>
      <c r="O2759" s="2">
        <f>IF(LeadsData[[#This Row],[Stage Number]]&gt;=4,1,0)</f>
        <v>0</v>
      </c>
    </row>
    <row r="2760" spans="1:15" x14ac:dyDescent="0.25">
      <c r="A2760" t="s">
        <v>2800</v>
      </c>
      <c r="B2760" s="1">
        <v>45519</v>
      </c>
      <c r="C2760" t="s">
        <v>46</v>
      </c>
      <c r="D2760" t="s">
        <v>56</v>
      </c>
      <c r="E2760" t="s">
        <v>21</v>
      </c>
      <c r="F2760" t="s">
        <v>19</v>
      </c>
      <c r="G2760" t="s">
        <v>15</v>
      </c>
      <c r="K2760" cm="1">
        <f t="array" ref="K2760">_xlfn.SWITCH(LeadsData[[#This Row],[Funnel Stage Reached]],"Lead",1,"MQL",2,"SQL",3,"Customer",4)</f>
        <v>1</v>
      </c>
      <c r="L2760" t="str">
        <f>TEXT(LeadsData[[#This Row],[Signup Date]],"mmm-yyyy")</f>
        <v>Aug-2024</v>
      </c>
      <c r="M2760">
        <f>IF(LeadsData[[#This Row],[Stage Number]]&gt;=2,1,0)</f>
        <v>0</v>
      </c>
      <c r="N2760" s="2">
        <f>IF(LeadsData[[#This Row],[Stage Number]]&gt;=3,1,0)</f>
        <v>0</v>
      </c>
      <c r="O2760" s="2">
        <f>IF(LeadsData[[#This Row],[Stage Number]]&gt;=4,1,0)</f>
        <v>0</v>
      </c>
    </row>
    <row r="2761" spans="1:15" x14ac:dyDescent="0.25">
      <c r="A2761" t="s">
        <v>2801</v>
      </c>
      <c r="B2761" s="1">
        <v>45413</v>
      </c>
      <c r="C2761" t="s">
        <v>36</v>
      </c>
      <c r="D2761" t="s">
        <v>37</v>
      </c>
      <c r="E2761" t="s">
        <v>21</v>
      </c>
      <c r="F2761" t="s">
        <v>19</v>
      </c>
      <c r="G2761" t="s">
        <v>29</v>
      </c>
      <c r="K2761" cm="1">
        <f t="array" ref="K2761">_xlfn.SWITCH(LeadsData[[#This Row],[Funnel Stage Reached]],"Lead",1,"MQL",2,"SQL",3,"Customer",4)</f>
        <v>3</v>
      </c>
      <c r="L2761" t="str">
        <f>TEXT(LeadsData[[#This Row],[Signup Date]],"mmm-yyyy")</f>
        <v>May-2024</v>
      </c>
      <c r="M2761">
        <f>IF(LeadsData[[#This Row],[Stage Number]]&gt;=2,1,0)</f>
        <v>1</v>
      </c>
      <c r="N2761" s="2">
        <f>IF(LeadsData[[#This Row],[Stage Number]]&gt;=3,1,0)</f>
        <v>1</v>
      </c>
      <c r="O2761" s="2">
        <f>IF(LeadsData[[#This Row],[Stage Number]]&gt;=4,1,0)</f>
        <v>0</v>
      </c>
    </row>
    <row r="2762" spans="1:15" x14ac:dyDescent="0.25">
      <c r="A2762" t="s">
        <v>2802</v>
      </c>
      <c r="B2762" s="1">
        <v>45438</v>
      </c>
      <c r="C2762" t="s">
        <v>31</v>
      </c>
      <c r="D2762" t="s">
        <v>32</v>
      </c>
      <c r="E2762" t="s">
        <v>48</v>
      </c>
      <c r="F2762" t="s">
        <v>19</v>
      </c>
      <c r="G2762" t="s">
        <v>15</v>
      </c>
      <c r="K2762" cm="1">
        <f t="array" ref="K2762">_xlfn.SWITCH(LeadsData[[#This Row],[Funnel Stage Reached]],"Lead",1,"MQL",2,"SQL",3,"Customer",4)</f>
        <v>1</v>
      </c>
      <c r="L2762" t="str">
        <f>TEXT(LeadsData[[#This Row],[Signup Date]],"mmm-yyyy")</f>
        <v>May-2024</v>
      </c>
      <c r="M2762">
        <f>IF(LeadsData[[#This Row],[Stage Number]]&gt;=2,1,0)</f>
        <v>0</v>
      </c>
      <c r="N2762" s="2">
        <f>IF(LeadsData[[#This Row],[Stage Number]]&gt;=3,1,0)</f>
        <v>0</v>
      </c>
      <c r="O2762" s="2">
        <f>IF(LeadsData[[#This Row],[Stage Number]]&gt;=4,1,0)</f>
        <v>0</v>
      </c>
    </row>
    <row r="2763" spans="1:15" x14ac:dyDescent="0.25">
      <c r="A2763" t="s">
        <v>2803</v>
      </c>
      <c r="B2763" s="1">
        <v>45610</v>
      </c>
      <c r="C2763" t="s">
        <v>11</v>
      </c>
      <c r="D2763" t="s">
        <v>68</v>
      </c>
      <c r="E2763" t="s">
        <v>48</v>
      </c>
      <c r="F2763" t="s">
        <v>22</v>
      </c>
      <c r="G2763" t="s">
        <v>23</v>
      </c>
      <c r="K2763" cm="1">
        <f t="array" ref="K2763">_xlfn.SWITCH(LeadsData[[#This Row],[Funnel Stage Reached]],"Lead",1,"MQL",2,"SQL",3,"Customer",4)</f>
        <v>2</v>
      </c>
      <c r="L2763" t="str">
        <f>TEXT(LeadsData[[#This Row],[Signup Date]],"mmm-yyyy")</f>
        <v>Nov-2024</v>
      </c>
      <c r="M2763">
        <f>IF(LeadsData[[#This Row],[Stage Number]]&gt;=2,1,0)</f>
        <v>1</v>
      </c>
      <c r="N2763" s="2">
        <f>IF(LeadsData[[#This Row],[Stage Number]]&gt;=3,1,0)</f>
        <v>0</v>
      </c>
      <c r="O2763" s="2">
        <f>IF(LeadsData[[#This Row],[Stage Number]]&gt;=4,1,0)</f>
        <v>0</v>
      </c>
    </row>
    <row r="2764" spans="1:15" x14ac:dyDescent="0.25">
      <c r="A2764" t="s">
        <v>2804</v>
      </c>
      <c r="B2764" s="1">
        <v>45436</v>
      </c>
      <c r="C2764" t="s">
        <v>17</v>
      </c>
      <c r="D2764" t="s">
        <v>18</v>
      </c>
      <c r="E2764" t="s">
        <v>13</v>
      </c>
      <c r="F2764" t="s">
        <v>19</v>
      </c>
      <c r="G2764" t="s">
        <v>15</v>
      </c>
      <c r="K2764" cm="1">
        <f t="array" ref="K2764">_xlfn.SWITCH(LeadsData[[#This Row],[Funnel Stage Reached]],"Lead",1,"MQL",2,"SQL",3,"Customer",4)</f>
        <v>1</v>
      </c>
      <c r="L2764" t="str">
        <f>TEXT(LeadsData[[#This Row],[Signup Date]],"mmm-yyyy")</f>
        <v>May-2024</v>
      </c>
      <c r="M2764">
        <f>IF(LeadsData[[#This Row],[Stage Number]]&gt;=2,1,0)</f>
        <v>0</v>
      </c>
      <c r="N2764" s="2">
        <f>IF(LeadsData[[#This Row],[Stage Number]]&gt;=3,1,0)</f>
        <v>0</v>
      </c>
      <c r="O2764" s="2">
        <f>IF(LeadsData[[#This Row],[Stage Number]]&gt;=4,1,0)</f>
        <v>0</v>
      </c>
    </row>
    <row r="2765" spans="1:15" x14ac:dyDescent="0.25">
      <c r="A2765" t="s">
        <v>2805</v>
      </c>
      <c r="B2765" s="1">
        <v>45529</v>
      </c>
      <c r="C2765" t="s">
        <v>11</v>
      </c>
      <c r="D2765" t="s">
        <v>79</v>
      </c>
      <c r="E2765" t="s">
        <v>13</v>
      </c>
      <c r="F2765" t="s">
        <v>22</v>
      </c>
      <c r="G2765" t="s">
        <v>23</v>
      </c>
      <c r="K2765" cm="1">
        <f t="array" ref="K2765">_xlfn.SWITCH(LeadsData[[#This Row],[Funnel Stage Reached]],"Lead",1,"MQL",2,"SQL",3,"Customer",4)</f>
        <v>2</v>
      </c>
      <c r="L2765" t="str">
        <f>TEXT(LeadsData[[#This Row],[Signup Date]],"mmm-yyyy")</f>
        <v>Aug-2024</v>
      </c>
      <c r="M2765">
        <f>IF(LeadsData[[#This Row],[Stage Number]]&gt;=2,1,0)</f>
        <v>1</v>
      </c>
      <c r="N2765" s="2">
        <f>IF(LeadsData[[#This Row],[Stage Number]]&gt;=3,1,0)</f>
        <v>0</v>
      </c>
      <c r="O2765" s="2">
        <f>IF(LeadsData[[#This Row],[Stage Number]]&gt;=4,1,0)</f>
        <v>0</v>
      </c>
    </row>
    <row r="2766" spans="1:15" x14ac:dyDescent="0.25">
      <c r="A2766" t="s">
        <v>2806</v>
      </c>
      <c r="B2766" s="1">
        <v>45590</v>
      </c>
      <c r="C2766" t="s">
        <v>17</v>
      </c>
      <c r="D2766" t="s">
        <v>53</v>
      </c>
      <c r="E2766" t="s">
        <v>21</v>
      </c>
      <c r="F2766" t="s">
        <v>22</v>
      </c>
      <c r="G2766" t="s">
        <v>15</v>
      </c>
      <c r="K2766" cm="1">
        <f t="array" ref="K2766">_xlfn.SWITCH(LeadsData[[#This Row],[Funnel Stage Reached]],"Lead",1,"MQL",2,"SQL",3,"Customer",4)</f>
        <v>1</v>
      </c>
      <c r="L2766" t="str">
        <f>TEXT(LeadsData[[#This Row],[Signup Date]],"mmm-yyyy")</f>
        <v>Oct-2024</v>
      </c>
      <c r="M2766">
        <f>IF(LeadsData[[#This Row],[Stage Number]]&gt;=2,1,0)</f>
        <v>0</v>
      </c>
      <c r="N2766" s="2">
        <f>IF(LeadsData[[#This Row],[Stage Number]]&gt;=3,1,0)</f>
        <v>0</v>
      </c>
      <c r="O2766" s="2">
        <f>IF(LeadsData[[#This Row],[Stage Number]]&gt;=4,1,0)</f>
        <v>0</v>
      </c>
    </row>
    <row r="2767" spans="1:15" x14ac:dyDescent="0.25">
      <c r="A2767" t="s">
        <v>2807</v>
      </c>
      <c r="B2767" s="1">
        <v>45329</v>
      </c>
      <c r="C2767" t="s">
        <v>11</v>
      </c>
      <c r="D2767" t="s">
        <v>12</v>
      </c>
      <c r="E2767" t="s">
        <v>21</v>
      </c>
      <c r="F2767" t="s">
        <v>19</v>
      </c>
      <c r="G2767" t="s">
        <v>23</v>
      </c>
      <c r="K2767" cm="1">
        <f t="array" ref="K2767">_xlfn.SWITCH(LeadsData[[#This Row],[Funnel Stage Reached]],"Lead",1,"MQL",2,"SQL",3,"Customer",4)</f>
        <v>2</v>
      </c>
      <c r="L2767" t="str">
        <f>TEXT(LeadsData[[#This Row],[Signup Date]],"mmm-yyyy")</f>
        <v>Feb-2024</v>
      </c>
      <c r="M2767">
        <f>IF(LeadsData[[#This Row],[Stage Number]]&gt;=2,1,0)</f>
        <v>1</v>
      </c>
      <c r="N2767" s="2">
        <f>IF(LeadsData[[#This Row],[Stage Number]]&gt;=3,1,0)</f>
        <v>0</v>
      </c>
      <c r="O2767" s="2">
        <f>IF(LeadsData[[#This Row],[Stage Number]]&gt;=4,1,0)</f>
        <v>0</v>
      </c>
    </row>
    <row r="2768" spans="1:15" x14ac:dyDescent="0.25">
      <c r="A2768" t="s">
        <v>2808</v>
      </c>
      <c r="B2768" s="1">
        <v>45334</v>
      </c>
      <c r="C2768" t="s">
        <v>31</v>
      </c>
      <c r="D2768" t="s">
        <v>34</v>
      </c>
      <c r="E2768" t="s">
        <v>48</v>
      </c>
      <c r="F2768" t="s">
        <v>19</v>
      </c>
      <c r="G2768" t="s">
        <v>23</v>
      </c>
      <c r="K2768" cm="1">
        <f t="array" ref="K2768">_xlfn.SWITCH(LeadsData[[#This Row],[Funnel Stage Reached]],"Lead",1,"MQL",2,"SQL",3,"Customer",4)</f>
        <v>2</v>
      </c>
      <c r="L2768" t="str">
        <f>TEXT(LeadsData[[#This Row],[Signup Date]],"mmm-yyyy")</f>
        <v>Feb-2024</v>
      </c>
      <c r="M2768">
        <f>IF(LeadsData[[#This Row],[Stage Number]]&gt;=2,1,0)</f>
        <v>1</v>
      </c>
      <c r="N2768" s="2">
        <f>IF(LeadsData[[#This Row],[Stage Number]]&gt;=3,1,0)</f>
        <v>0</v>
      </c>
      <c r="O2768" s="2">
        <f>IF(LeadsData[[#This Row],[Stage Number]]&gt;=4,1,0)</f>
        <v>0</v>
      </c>
    </row>
    <row r="2769" spans="1:15" x14ac:dyDescent="0.25">
      <c r="A2769" t="s">
        <v>2809</v>
      </c>
      <c r="B2769" s="1">
        <v>45620</v>
      </c>
      <c r="C2769" t="s">
        <v>31</v>
      </c>
      <c r="D2769" t="s">
        <v>34</v>
      </c>
      <c r="E2769" t="s">
        <v>13</v>
      </c>
      <c r="F2769" t="s">
        <v>19</v>
      </c>
      <c r="G2769" t="s">
        <v>15</v>
      </c>
      <c r="K2769" cm="1">
        <f t="array" ref="K2769">_xlfn.SWITCH(LeadsData[[#This Row],[Funnel Stage Reached]],"Lead",1,"MQL",2,"SQL",3,"Customer",4)</f>
        <v>1</v>
      </c>
      <c r="L2769" t="str">
        <f>TEXT(LeadsData[[#This Row],[Signup Date]],"mmm-yyyy")</f>
        <v>Nov-2024</v>
      </c>
      <c r="M2769">
        <f>IF(LeadsData[[#This Row],[Stage Number]]&gt;=2,1,0)</f>
        <v>0</v>
      </c>
      <c r="N2769" s="2">
        <f>IF(LeadsData[[#This Row],[Stage Number]]&gt;=3,1,0)</f>
        <v>0</v>
      </c>
      <c r="O2769" s="2">
        <f>IF(LeadsData[[#This Row],[Stage Number]]&gt;=4,1,0)</f>
        <v>0</v>
      </c>
    </row>
    <row r="2770" spans="1:15" x14ac:dyDescent="0.25">
      <c r="A2770" t="s">
        <v>2810</v>
      </c>
      <c r="B2770" s="1">
        <v>45517</v>
      </c>
      <c r="C2770" t="s">
        <v>31</v>
      </c>
      <c r="D2770" t="s">
        <v>32</v>
      </c>
      <c r="E2770" t="s">
        <v>13</v>
      </c>
      <c r="F2770" t="s">
        <v>19</v>
      </c>
      <c r="G2770" t="s">
        <v>15</v>
      </c>
      <c r="K2770" cm="1">
        <f t="array" ref="K2770">_xlfn.SWITCH(LeadsData[[#This Row],[Funnel Stage Reached]],"Lead",1,"MQL",2,"SQL",3,"Customer",4)</f>
        <v>1</v>
      </c>
      <c r="L2770" t="str">
        <f>TEXT(LeadsData[[#This Row],[Signup Date]],"mmm-yyyy")</f>
        <v>Aug-2024</v>
      </c>
      <c r="M2770">
        <f>IF(LeadsData[[#This Row],[Stage Number]]&gt;=2,1,0)</f>
        <v>0</v>
      </c>
      <c r="N2770" s="2">
        <f>IF(LeadsData[[#This Row],[Stage Number]]&gt;=3,1,0)</f>
        <v>0</v>
      </c>
      <c r="O2770" s="2">
        <f>IF(LeadsData[[#This Row],[Stage Number]]&gt;=4,1,0)</f>
        <v>0</v>
      </c>
    </row>
    <row r="2771" spans="1:15" x14ac:dyDescent="0.25">
      <c r="A2771" t="s">
        <v>2811</v>
      </c>
      <c r="B2771" s="1">
        <v>45460</v>
      </c>
      <c r="C2771" t="s">
        <v>25</v>
      </c>
      <c r="D2771" t="s">
        <v>26</v>
      </c>
      <c r="E2771" t="s">
        <v>21</v>
      </c>
      <c r="F2771" t="s">
        <v>22</v>
      </c>
      <c r="G2771" t="s">
        <v>15</v>
      </c>
      <c r="K2771" cm="1">
        <f t="array" ref="K2771">_xlfn.SWITCH(LeadsData[[#This Row],[Funnel Stage Reached]],"Lead",1,"MQL",2,"SQL",3,"Customer",4)</f>
        <v>1</v>
      </c>
      <c r="L2771" t="str">
        <f>TEXT(LeadsData[[#This Row],[Signup Date]],"mmm-yyyy")</f>
        <v>Jun-2024</v>
      </c>
      <c r="M2771">
        <f>IF(LeadsData[[#This Row],[Stage Number]]&gt;=2,1,0)</f>
        <v>0</v>
      </c>
      <c r="N2771" s="2">
        <f>IF(LeadsData[[#This Row],[Stage Number]]&gt;=3,1,0)</f>
        <v>0</v>
      </c>
      <c r="O2771" s="2">
        <f>IF(LeadsData[[#This Row],[Stage Number]]&gt;=4,1,0)</f>
        <v>0</v>
      </c>
    </row>
    <row r="2772" spans="1:15" x14ac:dyDescent="0.25">
      <c r="A2772" t="s">
        <v>2812</v>
      </c>
      <c r="B2772" s="1">
        <v>45540</v>
      </c>
      <c r="C2772" t="s">
        <v>25</v>
      </c>
      <c r="D2772" t="s">
        <v>26</v>
      </c>
      <c r="E2772" t="s">
        <v>48</v>
      </c>
      <c r="F2772" t="s">
        <v>22</v>
      </c>
      <c r="G2772" t="s">
        <v>29</v>
      </c>
      <c r="K2772" cm="1">
        <f t="array" ref="K2772">_xlfn.SWITCH(LeadsData[[#This Row],[Funnel Stage Reached]],"Lead",1,"MQL",2,"SQL",3,"Customer",4)</f>
        <v>3</v>
      </c>
      <c r="L2772" t="str">
        <f>TEXT(LeadsData[[#This Row],[Signup Date]],"mmm-yyyy")</f>
        <v>Sep-2024</v>
      </c>
      <c r="M2772">
        <f>IF(LeadsData[[#This Row],[Stage Number]]&gt;=2,1,0)</f>
        <v>1</v>
      </c>
      <c r="N2772" s="2">
        <f>IF(LeadsData[[#This Row],[Stage Number]]&gt;=3,1,0)</f>
        <v>1</v>
      </c>
      <c r="O2772" s="2">
        <f>IF(LeadsData[[#This Row],[Stage Number]]&gt;=4,1,0)</f>
        <v>0</v>
      </c>
    </row>
    <row r="2773" spans="1:15" x14ac:dyDescent="0.25">
      <c r="A2773" t="s">
        <v>2813</v>
      </c>
      <c r="B2773" s="1">
        <v>45370</v>
      </c>
      <c r="C2773" t="s">
        <v>25</v>
      </c>
      <c r="D2773" t="s">
        <v>26</v>
      </c>
      <c r="E2773" t="s">
        <v>13</v>
      </c>
      <c r="F2773" t="s">
        <v>19</v>
      </c>
      <c r="G2773" t="s">
        <v>23</v>
      </c>
      <c r="K2773" cm="1">
        <f t="array" ref="K2773">_xlfn.SWITCH(LeadsData[[#This Row],[Funnel Stage Reached]],"Lead",1,"MQL",2,"SQL",3,"Customer",4)</f>
        <v>2</v>
      </c>
      <c r="L2773" t="str">
        <f>TEXT(LeadsData[[#This Row],[Signup Date]],"mmm-yyyy")</f>
        <v>Mar-2024</v>
      </c>
      <c r="M2773">
        <f>IF(LeadsData[[#This Row],[Stage Number]]&gt;=2,1,0)</f>
        <v>1</v>
      </c>
      <c r="N2773" s="2">
        <f>IF(LeadsData[[#This Row],[Stage Number]]&gt;=3,1,0)</f>
        <v>0</v>
      </c>
      <c r="O2773" s="2">
        <f>IF(LeadsData[[#This Row],[Stage Number]]&gt;=4,1,0)</f>
        <v>0</v>
      </c>
    </row>
    <row r="2774" spans="1:15" x14ac:dyDescent="0.25">
      <c r="A2774" t="s">
        <v>2814</v>
      </c>
      <c r="B2774" s="1">
        <v>45367</v>
      </c>
      <c r="C2774" t="s">
        <v>31</v>
      </c>
      <c r="D2774" t="s">
        <v>32</v>
      </c>
      <c r="E2774" t="s">
        <v>13</v>
      </c>
      <c r="F2774" t="s">
        <v>28</v>
      </c>
      <c r="G2774" t="s">
        <v>42</v>
      </c>
      <c r="H2774">
        <v>25</v>
      </c>
      <c r="I2774" t="s">
        <v>43</v>
      </c>
      <c r="J2774">
        <v>593.58000000000004</v>
      </c>
      <c r="K2774" cm="1">
        <f t="array" ref="K2774">_xlfn.SWITCH(LeadsData[[#This Row],[Funnel Stage Reached]],"Lead",1,"MQL",2,"SQL",3,"Customer",4)</f>
        <v>4</v>
      </c>
      <c r="L2774" t="str">
        <f>TEXT(LeadsData[[#This Row],[Signup Date]],"mmm-yyyy")</f>
        <v>Mar-2024</v>
      </c>
      <c r="M2774">
        <f>IF(LeadsData[[#This Row],[Stage Number]]&gt;=2,1,0)</f>
        <v>1</v>
      </c>
      <c r="N2774" s="2">
        <f>IF(LeadsData[[#This Row],[Stage Number]]&gt;=3,1,0)</f>
        <v>1</v>
      </c>
      <c r="O2774" s="2">
        <f>IF(LeadsData[[#This Row],[Stage Number]]&gt;=4,1,0)</f>
        <v>1</v>
      </c>
    </row>
    <row r="2775" spans="1:15" x14ac:dyDescent="0.25">
      <c r="A2775" t="s">
        <v>2815</v>
      </c>
      <c r="B2775" s="1">
        <v>45578</v>
      </c>
      <c r="C2775" t="s">
        <v>36</v>
      </c>
      <c r="D2775" t="s">
        <v>37</v>
      </c>
      <c r="E2775" t="s">
        <v>13</v>
      </c>
      <c r="F2775" t="s">
        <v>19</v>
      </c>
      <c r="G2775" t="s">
        <v>15</v>
      </c>
      <c r="K2775" cm="1">
        <f t="array" ref="K2775">_xlfn.SWITCH(LeadsData[[#This Row],[Funnel Stage Reached]],"Lead",1,"MQL",2,"SQL",3,"Customer",4)</f>
        <v>1</v>
      </c>
      <c r="L2775" t="str">
        <f>TEXT(LeadsData[[#This Row],[Signup Date]],"mmm-yyyy")</f>
        <v>Oct-2024</v>
      </c>
      <c r="M2775">
        <f>IF(LeadsData[[#This Row],[Stage Number]]&gt;=2,1,0)</f>
        <v>0</v>
      </c>
      <c r="N2775" s="2">
        <f>IF(LeadsData[[#This Row],[Stage Number]]&gt;=3,1,0)</f>
        <v>0</v>
      </c>
      <c r="O2775" s="2">
        <f>IF(LeadsData[[#This Row],[Stage Number]]&gt;=4,1,0)</f>
        <v>0</v>
      </c>
    </row>
    <row r="2776" spans="1:15" x14ac:dyDescent="0.25">
      <c r="A2776" t="s">
        <v>2816</v>
      </c>
      <c r="B2776" s="1">
        <v>45395</v>
      </c>
      <c r="C2776" t="s">
        <v>36</v>
      </c>
      <c r="D2776" t="s">
        <v>50</v>
      </c>
      <c r="E2776" t="s">
        <v>21</v>
      </c>
      <c r="F2776" t="s">
        <v>22</v>
      </c>
      <c r="G2776" t="s">
        <v>15</v>
      </c>
      <c r="K2776" cm="1">
        <f t="array" ref="K2776">_xlfn.SWITCH(LeadsData[[#This Row],[Funnel Stage Reached]],"Lead",1,"MQL",2,"SQL",3,"Customer",4)</f>
        <v>1</v>
      </c>
      <c r="L2776" t="str">
        <f>TEXT(LeadsData[[#This Row],[Signup Date]],"mmm-yyyy")</f>
        <v>Apr-2024</v>
      </c>
      <c r="M2776">
        <f>IF(LeadsData[[#This Row],[Stage Number]]&gt;=2,1,0)</f>
        <v>0</v>
      </c>
      <c r="N2776" s="2">
        <f>IF(LeadsData[[#This Row],[Stage Number]]&gt;=3,1,0)</f>
        <v>0</v>
      </c>
      <c r="O2776" s="2">
        <f>IF(LeadsData[[#This Row],[Stage Number]]&gt;=4,1,0)</f>
        <v>0</v>
      </c>
    </row>
    <row r="2777" spans="1:15" x14ac:dyDescent="0.25">
      <c r="A2777" t="s">
        <v>2817</v>
      </c>
      <c r="B2777" s="1">
        <v>45521</v>
      </c>
      <c r="C2777" t="s">
        <v>46</v>
      </c>
      <c r="D2777" t="s">
        <v>56</v>
      </c>
      <c r="E2777" t="s">
        <v>13</v>
      </c>
      <c r="F2777" t="s">
        <v>19</v>
      </c>
      <c r="G2777" t="s">
        <v>23</v>
      </c>
      <c r="K2777" cm="1">
        <f t="array" ref="K2777">_xlfn.SWITCH(LeadsData[[#This Row],[Funnel Stage Reached]],"Lead",1,"MQL",2,"SQL",3,"Customer",4)</f>
        <v>2</v>
      </c>
      <c r="L2777" t="str">
        <f>TEXT(LeadsData[[#This Row],[Signup Date]],"mmm-yyyy")</f>
        <v>Aug-2024</v>
      </c>
      <c r="M2777">
        <f>IF(LeadsData[[#This Row],[Stage Number]]&gt;=2,1,0)</f>
        <v>1</v>
      </c>
      <c r="N2777" s="2">
        <f>IF(LeadsData[[#This Row],[Stage Number]]&gt;=3,1,0)</f>
        <v>0</v>
      </c>
      <c r="O2777" s="2">
        <f>IF(LeadsData[[#This Row],[Stage Number]]&gt;=4,1,0)</f>
        <v>0</v>
      </c>
    </row>
    <row r="2778" spans="1:15" x14ac:dyDescent="0.25">
      <c r="A2778" t="s">
        <v>2818</v>
      </c>
      <c r="B2778" s="1">
        <v>45479</v>
      </c>
      <c r="C2778" t="s">
        <v>25</v>
      </c>
      <c r="D2778" t="s">
        <v>26</v>
      </c>
      <c r="E2778" t="s">
        <v>13</v>
      </c>
      <c r="F2778" t="s">
        <v>14</v>
      </c>
      <c r="G2778" t="s">
        <v>29</v>
      </c>
      <c r="K2778" cm="1">
        <f t="array" ref="K2778">_xlfn.SWITCH(LeadsData[[#This Row],[Funnel Stage Reached]],"Lead",1,"MQL",2,"SQL",3,"Customer",4)</f>
        <v>3</v>
      </c>
      <c r="L2778" t="str">
        <f>TEXT(LeadsData[[#This Row],[Signup Date]],"mmm-yyyy")</f>
        <v>Jul-2024</v>
      </c>
      <c r="M2778">
        <f>IF(LeadsData[[#This Row],[Stage Number]]&gt;=2,1,0)</f>
        <v>1</v>
      </c>
      <c r="N2778" s="2">
        <f>IF(LeadsData[[#This Row],[Stage Number]]&gt;=3,1,0)</f>
        <v>1</v>
      </c>
      <c r="O2778" s="2">
        <f>IF(LeadsData[[#This Row],[Stage Number]]&gt;=4,1,0)</f>
        <v>0</v>
      </c>
    </row>
    <row r="2779" spans="1:15" x14ac:dyDescent="0.25">
      <c r="A2779" t="s">
        <v>2819</v>
      </c>
      <c r="B2779" s="1">
        <v>45298</v>
      </c>
      <c r="C2779" t="s">
        <v>31</v>
      </c>
      <c r="D2779" t="s">
        <v>34</v>
      </c>
      <c r="E2779" t="s">
        <v>13</v>
      </c>
      <c r="F2779" t="s">
        <v>19</v>
      </c>
      <c r="G2779" t="s">
        <v>23</v>
      </c>
      <c r="K2779" cm="1">
        <f t="array" ref="K2779">_xlfn.SWITCH(LeadsData[[#This Row],[Funnel Stage Reached]],"Lead",1,"MQL",2,"SQL",3,"Customer",4)</f>
        <v>2</v>
      </c>
      <c r="L2779" t="str">
        <f>TEXT(LeadsData[[#This Row],[Signup Date]],"mmm-yyyy")</f>
        <v>Jan-2024</v>
      </c>
      <c r="M2779">
        <f>IF(LeadsData[[#This Row],[Stage Number]]&gt;=2,1,0)</f>
        <v>1</v>
      </c>
      <c r="N2779" s="2">
        <f>IF(LeadsData[[#This Row],[Stage Number]]&gt;=3,1,0)</f>
        <v>0</v>
      </c>
      <c r="O2779" s="2">
        <f>IF(LeadsData[[#This Row],[Stage Number]]&gt;=4,1,0)</f>
        <v>0</v>
      </c>
    </row>
    <row r="2780" spans="1:15" x14ac:dyDescent="0.25">
      <c r="A2780" t="s">
        <v>2820</v>
      </c>
      <c r="B2780" s="1">
        <v>45505</v>
      </c>
      <c r="C2780" t="s">
        <v>46</v>
      </c>
      <c r="D2780" t="s">
        <v>56</v>
      </c>
      <c r="E2780" t="s">
        <v>13</v>
      </c>
      <c r="F2780" t="s">
        <v>19</v>
      </c>
      <c r="G2780" t="s">
        <v>29</v>
      </c>
      <c r="K2780" cm="1">
        <f t="array" ref="K2780">_xlfn.SWITCH(LeadsData[[#This Row],[Funnel Stage Reached]],"Lead",1,"MQL",2,"SQL",3,"Customer",4)</f>
        <v>3</v>
      </c>
      <c r="L2780" t="str">
        <f>TEXT(LeadsData[[#This Row],[Signup Date]],"mmm-yyyy")</f>
        <v>Aug-2024</v>
      </c>
      <c r="M2780">
        <f>IF(LeadsData[[#This Row],[Stage Number]]&gt;=2,1,0)</f>
        <v>1</v>
      </c>
      <c r="N2780" s="2">
        <f>IF(LeadsData[[#This Row],[Stage Number]]&gt;=3,1,0)</f>
        <v>1</v>
      </c>
      <c r="O2780" s="2">
        <f>IF(LeadsData[[#This Row],[Stage Number]]&gt;=4,1,0)</f>
        <v>0</v>
      </c>
    </row>
    <row r="2781" spans="1:15" x14ac:dyDescent="0.25">
      <c r="A2781" t="s">
        <v>2821</v>
      </c>
      <c r="B2781" s="1">
        <v>45366</v>
      </c>
      <c r="C2781" t="s">
        <v>25</v>
      </c>
      <c r="D2781" t="s">
        <v>26</v>
      </c>
      <c r="E2781" t="s">
        <v>13</v>
      </c>
      <c r="F2781" t="s">
        <v>22</v>
      </c>
      <c r="G2781" t="s">
        <v>15</v>
      </c>
      <c r="K2781" cm="1">
        <f t="array" ref="K2781">_xlfn.SWITCH(LeadsData[[#This Row],[Funnel Stage Reached]],"Lead",1,"MQL",2,"SQL",3,"Customer",4)</f>
        <v>1</v>
      </c>
      <c r="L2781" t="str">
        <f>TEXT(LeadsData[[#This Row],[Signup Date]],"mmm-yyyy")</f>
        <v>Mar-2024</v>
      </c>
      <c r="M2781">
        <f>IF(LeadsData[[#This Row],[Stage Number]]&gt;=2,1,0)</f>
        <v>0</v>
      </c>
      <c r="N2781" s="2">
        <f>IF(LeadsData[[#This Row],[Stage Number]]&gt;=3,1,0)</f>
        <v>0</v>
      </c>
      <c r="O2781" s="2">
        <f>IF(LeadsData[[#This Row],[Stage Number]]&gt;=4,1,0)</f>
        <v>0</v>
      </c>
    </row>
    <row r="2782" spans="1:15" x14ac:dyDescent="0.25">
      <c r="A2782" t="s">
        <v>2822</v>
      </c>
      <c r="B2782" s="1">
        <v>45484</v>
      </c>
      <c r="C2782" t="s">
        <v>36</v>
      </c>
      <c r="D2782" t="s">
        <v>37</v>
      </c>
      <c r="E2782" t="s">
        <v>13</v>
      </c>
      <c r="F2782" t="s">
        <v>19</v>
      </c>
      <c r="G2782" t="s">
        <v>42</v>
      </c>
      <c r="H2782">
        <v>13</v>
      </c>
      <c r="I2782" t="s">
        <v>43</v>
      </c>
      <c r="J2782">
        <v>1099.29</v>
      </c>
      <c r="K2782" cm="1">
        <f t="array" ref="K2782">_xlfn.SWITCH(LeadsData[[#This Row],[Funnel Stage Reached]],"Lead",1,"MQL",2,"SQL",3,"Customer",4)</f>
        <v>4</v>
      </c>
      <c r="L2782" t="str">
        <f>TEXT(LeadsData[[#This Row],[Signup Date]],"mmm-yyyy")</f>
        <v>Jul-2024</v>
      </c>
      <c r="M2782">
        <f>IF(LeadsData[[#This Row],[Stage Number]]&gt;=2,1,0)</f>
        <v>1</v>
      </c>
      <c r="N2782" s="2">
        <f>IF(LeadsData[[#This Row],[Stage Number]]&gt;=3,1,0)</f>
        <v>1</v>
      </c>
      <c r="O2782" s="2">
        <f>IF(LeadsData[[#This Row],[Stage Number]]&gt;=4,1,0)</f>
        <v>1</v>
      </c>
    </row>
    <row r="2783" spans="1:15" x14ac:dyDescent="0.25">
      <c r="A2783" t="s">
        <v>2823</v>
      </c>
      <c r="B2783" s="1">
        <v>45505</v>
      </c>
      <c r="C2783" t="s">
        <v>31</v>
      </c>
      <c r="D2783" t="s">
        <v>34</v>
      </c>
      <c r="E2783" t="s">
        <v>13</v>
      </c>
      <c r="F2783" t="s">
        <v>19</v>
      </c>
      <c r="G2783" t="s">
        <v>29</v>
      </c>
      <c r="K2783" cm="1">
        <f t="array" ref="K2783">_xlfn.SWITCH(LeadsData[[#This Row],[Funnel Stage Reached]],"Lead",1,"MQL",2,"SQL",3,"Customer",4)</f>
        <v>3</v>
      </c>
      <c r="L2783" t="str">
        <f>TEXT(LeadsData[[#This Row],[Signup Date]],"mmm-yyyy")</f>
        <v>Aug-2024</v>
      </c>
      <c r="M2783">
        <f>IF(LeadsData[[#This Row],[Stage Number]]&gt;=2,1,0)</f>
        <v>1</v>
      </c>
      <c r="N2783" s="2">
        <f>IF(LeadsData[[#This Row],[Stage Number]]&gt;=3,1,0)</f>
        <v>1</v>
      </c>
      <c r="O2783" s="2">
        <f>IF(LeadsData[[#This Row],[Stage Number]]&gt;=4,1,0)</f>
        <v>0</v>
      </c>
    </row>
    <row r="2784" spans="1:15" x14ac:dyDescent="0.25">
      <c r="A2784" t="s">
        <v>2824</v>
      </c>
      <c r="B2784" s="1">
        <v>45529</v>
      </c>
      <c r="C2784" t="s">
        <v>17</v>
      </c>
      <c r="D2784" t="s">
        <v>18</v>
      </c>
      <c r="E2784" t="s">
        <v>13</v>
      </c>
      <c r="F2784" t="s">
        <v>19</v>
      </c>
      <c r="G2784" t="s">
        <v>23</v>
      </c>
      <c r="K2784" cm="1">
        <f t="array" ref="K2784">_xlfn.SWITCH(LeadsData[[#This Row],[Funnel Stage Reached]],"Lead",1,"MQL",2,"SQL",3,"Customer",4)</f>
        <v>2</v>
      </c>
      <c r="L2784" t="str">
        <f>TEXT(LeadsData[[#This Row],[Signup Date]],"mmm-yyyy")</f>
        <v>Aug-2024</v>
      </c>
      <c r="M2784">
        <f>IF(LeadsData[[#This Row],[Stage Number]]&gt;=2,1,0)</f>
        <v>1</v>
      </c>
      <c r="N2784" s="2">
        <f>IF(LeadsData[[#This Row],[Stage Number]]&gt;=3,1,0)</f>
        <v>0</v>
      </c>
      <c r="O2784" s="2">
        <f>IF(LeadsData[[#This Row],[Stage Number]]&gt;=4,1,0)</f>
        <v>0</v>
      </c>
    </row>
    <row r="2785" spans="1:15" x14ac:dyDescent="0.25">
      <c r="A2785" t="s">
        <v>2825</v>
      </c>
      <c r="B2785" s="1">
        <v>45605</v>
      </c>
      <c r="C2785" t="s">
        <v>17</v>
      </c>
      <c r="D2785" t="s">
        <v>18</v>
      </c>
      <c r="E2785" t="s">
        <v>13</v>
      </c>
      <c r="F2785" t="s">
        <v>22</v>
      </c>
      <c r="G2785" t="s">
        <v>15</v>
      </c>
      <c r="K2785" cm="1">
        <f t="array" ref="K2785">_xlfn.SWITCH(LeadsData[[#This Row],[Funnel Stage Reached]],"Lead",1,"MQL",2,"SQL",3,"Customer",4)</f>
        <v>1</v>
      </c>
      <c r="L2785" t="str">
        <f>TEXT(LeadsData[[#This Row],[Signup Date]],"mmm-yyyy")</f>
        <v>Nov-2024</v>
      </c>
      <c r="M2785">
        <f>IF(LeadsData[[#This Row],[Stage Number]]&gt;=2,1,0)</f>
        <v>0</v>
      </c>
      <c r="N2785" s="2">
        <f>IF(LeadsData[[#This Row],[Stage Number]]&gt;=3,1,0)</f>
        <v>0</v>
      </c>
      <c r="O2785" s="2">
        <f>IF(LeadsData[[#This Row],[Stage Number]]&gt;=4,1,0)</f>
        <v>0</v>
      </c>
    </row>
    <row r="2786" spans="1:15" x14ac:dyDescent="0.25">
      <c r="A2786" t="s">
        <v>2826</v>
      </c>
      <c r="B2786" s="1">
        <v>45649</v>
      </c>
      <c r="C2786" t="s">
        <v>31</v>
      </c>
      <c r="D2786" t="s">
        <v>34</v>
      </c>
      <c r="E2786" t="s">
        <v>13</v>
      </c>
      <c r="F2786" t="s">
        <v>19</v>
      </c>
      <c r="G2786" t="s">
        <v>15</v>
      </c>
      <c r="K2786" cm="1">
        <f t="array" ref="K2786">_xlfn.SWITCH(LeadsData[[#This Row],[Funnel Stage Reached]],"Lead",1,"MQL",2,"SQL",3,"Customer",4)</f>
        <v>1</v>
      </c>
      <c r="L2786" t="str">
        <f>TEXT(LeadsData[[#This Row],[Signup Date]],"mmm-yyyy")</f>
        <v>Dec-2024</v>
      </c>
      <c r="M2786">
        <f>IF(LeadsData[[#This Row],[Stage Number]]&gt;=2,1,0)</f>
        <v>0</v>
      </c>
      <c r="N2786" s="2">
        <f>IF(LeadsData[[#This Row],[Stage Number]]&gt;=3,1,0)</f>
        <v>0</v>
      </c>
      <c r="O2786" s="2">
        <f>IF(LeadsData[[#This Row],[Stage Number]]&gt;=4,1,0)</f>
        <v>0</v>
      </c>
    </row>
    <row r="2787" spans="1:15" x14ac:dyDescent="0.25">
      <c r="A2787" t="s">
        <v>2827</v>
      </c>
      <c r="B2787" s="1">
        <v>45378</v>
      </c>
      <c r="C2787" t="s">
        <v>17</v>
      </c>
      <c r="D2787" t="s">
        <v>53</v>
      </c>
      <c r="E2787" t="s">
        <v>21</v>
      </c>
      <c r="F2787" t="s">
        <v>22</v>
      </c>
      <c r="G2787" t="s">
        <v>15</v>
      </c>
      <c r="K2787" cm="1">
        <f t="array" ref="K2787">_xlfn.SWITCH(LeadsData[[#This Row],[Funnel Stage Reached]],"Lead",1,"MQL",2,"SQL",3,"Customer",4)</f>
        <v>1</v>
      </c>
      <c r="L2787" t="str">
        <f>TEXT(LeadsData[[#This Row],[Signup Date]],"mmm-yyyy")</f>
        <v>Mar-2024</v>
      </c>
      <c r="M2787">
        <f>IF(LeadsData[[#This Row],[Stage Number]]&gt;=2,1,0)</f>
        <v>0</v>
      </c>
      <c r="N2787" s="2">
        <f>IF(LeadsData[[#This Row],[Stage Number]]&gt;=3,1,0)</f>
        <v>0</v>
      </c>
      <c r="O2787" s="2">
        <f>IF(LeadsData[[#This Row],[Stage Number]]&gt;=4,1,0)</f>
        <v>0</v>
      </c>
    </row>
    <row r="2788" spans="1:15" x14ac:dyDescent="0.25">
      <c r="A2788" t="s">
        <v>2828</v>
      </c>
      <c r="B2788" s="1">
        <v>45575</v>
      </c>
      <c r="C2788" t="s">
        <v>31</v>
      </c>
      <c r="D2788" t="s">
        <v>32</v>
      </c>
      <c r="E2788" t="s">
        <v>13</v>
      </c>
      <c r="F2788" t="s">
        <v>19</v>
      </c>
      <c r="G2788" t="s">
        <v>23</v>
      </c>
      <c r="K2788" cm="1">
        <f t="array" ref="K2788">_xlfn.SWITCH(LeadsData[[#This Row],[Funnel Stage Reached]],"Lead",1,"MQL",2,"SQL",3,"Customer",4)</f>
        <v>2</v>
      </c>
      <c r="L2788" t="str">
        <f>TEXT(LeadsData[[#This Row],[Signup Date]],"mmm-yyyy")</f>
        <v>Oct-2024</v>
      </c>
      <c r="M2788">
        <f>IF(LeadsData[[#This Row],[Stage Number]]&gt;=2,1,0)</f>
        <v>1</v>
      </c>
      <c r="N2788" s="2">
        <f>IF(LeadsData[[#This Row],[Stage Number]]&gt;=3,1,0)</f>
        <v>0</v>
      </c>
      <c r="O2788" s="2">
        <f>IF(LeadsData[[#This Row],[Stage Number]]&gt;=4,1,0)</f>
        <v>0</v>
      </c>
    </row>
    <row r="2789" spans="1:15" x14ac:dyDescent="0.25">
      <c r="A2789" t="s">
        <v>2829</v>
      </c>
      <c r="B2789" s="1">
        <v>45623</v>
      </c>
      <c r="C2789" t="s">
        <v>17</v>
      </c>
      <c r="D2789" t="s">
        <v>18</v>
      </c>
      <c r="E2789" t="s">
        <v>21</v>
      </c>
      <c r="F2789" t="s">
        <v>19</v>
      </c>
      <c r="G2789" t="s">
        <v>29</v>
      </c>
      <c r="K2789" cm="1">
        <f t="array" ref="K2789">_xlfn.SWITCH(LeadsData[[#This Row],[Funnel Stage Reached]],"Lead",1,"MQL",2,"SQL",3,"Customer",4)</f>
        <v>3</v>
      </c>
      <c r="L2789" t="str">
        <f>TEXT(LeadsData[[#This Row],[Signup Date]],"mmm-yyyy")</f>
        <v>Nov-2024</v>
      </c>
      <c r="M2789">
        <f>IF(LeadsData[[#This Row],[Stage Number]]&gt;=2,1,0)</f>
        <v>1</v>
      </c>
      <c r="N2789" s="2">
        <f>IF(LeadsData[[#This Row],[Stage Number]]&gt;=3,1,0)</f>
        <v>1</v>
      </c>
      <c r="O2789" s="2">
        <f>IF(LeadsData[[#This Row],[Stage Number]]&gt;=4,1,0)</f>
        <v>0</v>
      </c>
    </row>
    <row r="2790" spans="1:15" x14ac:dyDescent="0.25">
      <c r="A2790" t="s">
        <v>2830</v>
      </c>
      <c r="B2790" s="1">
        <v>45631</v>
      </c>
      <c r="C2790" t="s">
        <v>25</v>
      </c>
      <c r="D2790" t="s">
        <v>26</v>
      </c>
      <c r="E2790" t="s">
        <v>13</v>
      </c>
      <c r="F2790" t="s">
        <v>14</v>
      </c>
      <c r="G2790" t="s">
        <v>15</v>
      </c>
      <c r="K2790" cm="1">
        <f t="array" ref="K2790">_xlfn.SWITCH(LeadsData[[#This Row],[Funnel Stage Reached]],"Lead",1,"MQL",2,"SQL",3,"Customer",4)</f>
        <v>1</v>
      </c>
      <c r="L2790" t="str">
        <f>TEXT(LeadsData[[#This Row],[Signup Date]],"mmm-yyyy")</f>
        <v>Dec-2024</v>
      </c>
      <c r="M2790">
        <f>IF(LeadsData[[#This Row],[Stage Number]]&gt;=2,1,0)</f>
        <v>0</v>
      </c>
      <c r="N2790" s="2">
        <f>IF(LeadsData[[#This Row],[Stage Number]]&gt;=3,1,0)</f>
        <v>0</v>
      </c>
      <c r="O2790" s="2">
        <f>IF(LeadsData[[#This Row],[Stage Number]]&gt;=4,1,0)</f>
        <v>0</v>
      </c>
    </row>
    <row r="2791" spans="1:15" x14ac:dyDescent="0.25">
      <c r="A2791" t="s">
        <v>2831</v>
      </c>
      <c r="B2791" s="1">
        <v>45484</v>
      </c>
      <c r="C2791" t="s">
        <v>11</v>
      </c>
      <c r="D2791" t="s">
        <v>12</v>
      </c>
      <c r="E2791" t="s">
        <v>13</v>
      </c>
      <c r="F2791" t="s">
        <v>28</v>
      </c>
      <c r="G2791" t="s">
        <v>15</v>
      </c>
      <c r="K2791" cm="1">
        <f t="array" ref="K2791">_xlfn.SWITCH(LeadsData[[#This Row],[Funnel Stage Reached]],"Lead",1,"MQL",2,"SQL",3,"Customer",4)</f>
        <v>1</v>
      </c>
      <c r="L2791" t="str">
        <f>TEXT(LeadsData[[#This Row],[Signup Date]],"mmm-yyyy")</f>
        <v>Jul-2024</v>
      </c>
      <c r="M2791">
        <f>IF(LeadsData[[#This Row],[Stage Number]]&gt;=2,1,0)</f>
        <v>0</v>
      </c>
      <c r="N2791" s="2">
        <f>IF(LeadsData[[#This Row],[Stage Number]]&gt;=3,1,0)</f>
        <v>0</v>
      </c>
      <c r="O2791" s="2">
        <f>IF(LeadsData[[#This Row],[Stage Number]]&gt;=4,1,0)</f>
        <v>0</v>
      </c>
    </row>
    <row r="2792" spans="1:15" x14ac:dyDescent="0.25">
      <c r="A2792" t="s">
        <v>2832</v>
      </c>
      <c r="B2792" s="1">
        <v>45343</v>
      </c>
      <c r="C2792" t="s">
        <v>11</v>
      </c>
      <c r="D2792" t="s">
        <v>68</v>
      </c>
      <c r="E2792" t="s">
        <v>21</v>
      </c>
      <c r="F2792" t="s">
        <v>19</v>
      </c>
      <c r="G2792" t="s">
        <v>23</v>
      </c>
      <c r="K2792" cm="1">
        <f t="array" ref="K2792">_xlfn.SWITCH(LeadsData[[#This Row],[Funnel Stage Reached]],"Lead",1,"MQL",2,"SQL",3,"Customer",4)</f>
        <v>2</v>
      </c>
      <c r="L2792" t="str">
        <f>TEXT(LeadsData[[#This Row],[Signup Date]],"mmm-yyyy")</f>
        <v>Feb-2024</v>
      </c>
      <c r="M2792">
        <f>IF(LeadsData[[#This Row],[Stage Number]]&gt;=2,1,0)</f>
        <v>1</v>
      </c>
      <c r="N2792" s="2">
        <f>IF(LeadsData[[#This Row],[Stage Number]]&gt;=3,1,0)</f>
        <v>0</v>
      </c>
      <c r="O2792" s="2">
        <f>IF(LeadsData[[#This Row],[Stage Number]]&gt;=4,1,0)</f>
        <v>0</v>
      </c>
    </row>
    <row r="2793" spans="1:15" x14ac:dyDescent="0.25">
      <c r="A2793" t="s">
        <v>2833</v>
      </c>
      <c r="B2793" s="1">
        <v>45644</v>
      </c>
      <c r="C2793" t="s">
        <v>46</v>
      </c>
      <c r="D2793" t="s">
        <v>47</v>
      </c>
      <c r="E2793" t="s">
        <v>21</v>
      </c>
      <c r="F2793" t="s">
        <v>19</v>
      </c>
      <c r="G2793" t="s">
        <v>42</v>
      </c>
      <c r="H2793">
        <v>57</v>
      </c>
      <c r="I2793" t="s">
        <v>87</v>
      </c>
      <c r="J2793">
        <v>2167.15</v>
      </c>
      <c r="K2793" cm="1">
        <f t="array" ref="K2793">_xlfn.SWITCH(LeadsData[[#This Row],[Funnel Stage Reached]],"Lead",1,"MQL",2,"SQL",3,"Customer",4)</f>
        <v>4</v>
      </c>
      <c r="L2793" t="str">
        <f>TEXT(LeadsData[[#This Row],[Signup Date]],"mmm-yyyy")</f>
        <v>Dec-2024</v>
      </c>
      <c r="M2793">
        <f>IF(LeadsData[[#This Row],[Stage Number]]&gt;=2,1,0)</f>
        <v>1</v>
      </c>
      <c r="N2793" s="2">
        <f>IF(LeadsData[[#This Row],[Stage Number]]&gt;=3,1,0)</f>
        <v>1</v>
      </c>
      <c r="O2793" s="2">
        <f>IF(LeadsData[[#This Row],[Stage Number]]&gt;=4,1,0)</f>
        <v>1</v>
      </c>
    </row>
    <row r="2794" spans="1:15" x14ac:dyDescent="0.25">
      <c r="A2794" t="s">
        <v>2834</v>
      </c>
      <c r="B2794" s="1">
        <v>45448</v>
      </c>
      <c r="C2794" t="s">
        <v>11</v>
      </c>
      <c r="D2794" t="s">
        <v>12</v>
      </c>
      <c r="E2794" t="s">
        <v>21</v>
      </c>
      <c r="F2794" t="s">
        <v>19</v>
      </c>
      <c r="G2794" t="s">
        <v>15</v>
      </c>
      <c r="K2794" cm="1">
        <f t="array" ref="K2794">_xlfn.SWITCH(LeadsData[[#This Row],[Funnel Stage Reached]],"Lead",1,"MQL",2,"SQL",3,"Customer",4)</f>
        <v>1</v>
      </c>
      <c r="L2794" t="str">
        <f>TEXT(LeadsData[[#This Row],[Signup Date]],"mmm-yyyy")</f>
        <v>Jun-2024</v>
      </c>
      <c r="M2794">
        <f>IF(LeadsData[[#This Row],[Stage Number]]&gt;=2,1,0)</f>
        <v>0</v>
      </c>
      <c r="N2794" s="2">
        <f>IF(LeadsData[[#This Row],[Stage Number]]&gt;=3,1,0)</f>
        <v>0</v>
      </c>
      <c r="O2794" s="2">
        <f>IF(LeadsData[[#This Row],[Stage Number]]&gt;=4,1,0)</f>
        <v>0</v>
      </c>
    </row>
    <row r="2795" spans="1:15" x14ac:dyDescent="0.25">
      <c r="A2795" t="s">
        <v>2835</v>
      </c>
      <c r="B2795" s="1">
        <v>45515</v>
      </c>
      <c r="C2795" t="s">
        <v>31</v>
      </c>
      <c r="D2795" t="s">
        <v>34</v>
      </c>
      <c r="E2795" t="s">
        <v>13</v>
      </c>
      <c r="F2795" t="s">
        <v>28</v>
      </c>
      <c r="G2795" t="s">
        <v>42</v>
      </c>
      <c r="H2795">
        <v>48</v>
      </c>
      <c r="I2795" t="s">
        <v>87</v>
      </c>
      <c r="J2795">
        <v>3611.92</v>
      </c>
      <c r="K2795" cm="1">
        <f t="array" ref="K2795">_xlfn.SWITCH(LeadsData[[#This Row],[Funnel Stage Reached]],"Lead",1,"MQL",2,"SQL",3,"Customer",4)</f>
        <v>4</v>
      </c>
      <c r="L2795" t="str">
        <f>TEXT(LeadsData[[#This Row],[Signup Date]],"mmm-yyyy")</f>
        <v>Aug-2024</v>
      </c>
      <c r="M2795">
        <f>IF(LeadsData[[#This Row],[Stage Number]]&gt;=2,1,0)</f>
        <v>1</v>
      </c>
      <c r="N2795" s="2">
        <f>IF(LeadsData[[#This Row],[Stage Number]]&gt;=3,1,0)</f>
        <v>1</v>
      </c>
      <c r="O2795" s="2">
        <f>IF(LeadsData[[#This Row],[Stage Number]]&gt;=4,1,0)</f>
        <v>1</v>
      </c>
    </row>
    <row r="2796" spans="1:15" x14ac:dyDescent="0.25">
      <c r="A2796" t="s">
        <v>2836</v>
      </c>
      <c r="B2796" s="1">
        <v>45623</v>
      </c>
      <c r="C2796" t="s">
        <v>31</v>
      </c>
      <c r="D2796" t="s">
        <v>34</v>
      </c>
      <c r="E2796" t="s">
        <v>13</v>
      </c>
      <c r="F2796" t="s">
        <v>19</v>
      </c>
      <c r="G2796" t="s">
        <v>42</v>
      </c>
      <c r="H2796">
        <v>19</v>
      </c>
      <c r="I2796" t="s">
        <v>43</v>
      </c>
      <c r="J2796">
        <v>1239.5</v>
      </c>
      <c r="K2796" cm="1">
        <f t="array" ref="K2796">_xlfn.SWITCH(LeadsData[[#This Row],[Funnel Stage Reached]],"Lead",1,"MQL",2,"SQL",3,"Customer",4)</f>
        <v>4</v>
      </c>
      <c r="L2796" t="str">
        <f>TEXT(LeadsData[[#This Row],[Signup Date]],"mmm-yyyy")</f>
        <v>Nov-2024</v>
      </c>
      <c r="M2796">
        <f>IF(LeadsData[[#This Row],[Stage Number]]&gt;=2,1,0)</f>
        <v>1</v>
      </c>
      <c r="N2796" s="2">
        <f>IF(LeadsData[[#This Row],[Stage Number]]&gt;=3,1,0)</f>
        <v>1</v>
      </c>
      <c r="O2796" s="2">
        <f>IF(LeadsData[[#This Row],[Stage Number]]&gt;=4,1,0)</f>
        <v>1</v>
      </c>
    </row>
    <row r="2797" spans="1:15" x14ac:dyDescent="0.25">
      <c r="A2797" t="s">
        <v>2837</v>
      </c>
      <c r="B2797" s="1">
        <v>45426</v>
      </c>
      <c r="C2797" t="s">
        <v>36</v>
      </c>
      <c r="D2797" t="s">
        <v>50</v>
      </c>
      <c r="E2797" t="s">
        <v>13</v>
      </c>
      <c r="F2797" t="s">
        <v>19</v>
      </c>
      <c r="G2797" t="s">
        <v>15</v>
      </c>
      <c r="K2797" cm="1">
        <f t="array" ref="K2797">_xlfn.SWITCH(LeadsData[[#This Row],[Funnel Stage Reached]],"Lead",1,"MQL",2,"SQL",3,"Customer",4)</f>
        <v>1</v>
      </c>
      <c r="L2797" t="str">
        <f>TEXT(LeadsData[[#This Row],[Signup Date]],"mmm-yyyy")</f>
        <v>May-2024</v>
      </c>
      <c r="M2797">
        <f>IF(LeadsData[[#This Row],[Stage Number]]&gt;=2,1,0)</f>
        <v>0</v>
      </c>
      <c r="N2797" s="2">
        <f>IF(LeadsData[[#This Row],[Stage Number]]&gt;=3,1,0)</f>
        <v>0</v>
      </c>
      <c r="O2797" s="2">
        <f>IF(LeadsData[[#This Row],[Stage Number]]&gt;=4,1,0)</f>
        <v>0</v>
      </c>
    </row>
    <row r="2798" spans="1:15" x14ac:dyDescent="0.25">
      <c r="A2798" t="s">
        <v>2838</v>
      </c>
      <c r="B2798" s="1">
        <v>45591</v>
      </c>
      <c r="C2798" t="s">
        <v>31</v>
      </c>
      <c r="D2798" t="s">
        <v>32</v>
      </c>
      <c r="E2798" t="s">
        <v>21</v>
      </c>
      <c r="F2798" t="s">
        <v>19</v>
      </c>
      <c r="G2798" t="s">
        <v>23</v>
      </c>
      <c r="K2798" cm="1">
        <f t="array" ref="K2798">_xlfn.SWITCH(LeadsData[[#This Row],[Funnel Stage Reached]],"Lead",1,"MQL",2,"SQL",3,"Customer",4)</f>
        <v>2</v>
      </c>
      <c r="L2798" t="str">
        <f>TEXT(LeadsData[[#This Row],[Signup Date]],"mmm-yyyy")</f>
        <v>Oct-2024</v>
      </c>
      <c r="M2798">
        <f>IF(LeadsData[[#This Row],[Stage Number]]&gt;=2,1,0)</f>
        <v>1</v>
      </c>
      <c r="N2798" s="2">
        <f>IF(LeadsData[[#This Row],[Stage Number]]&gt;=3,1,0)</f>
        <v>0</v>
      </c>
      <c r="O2798" s="2">
        <f>IF(LeadsData[[#This Row],[Stage Number]]&gt;=4,1,0)</f>
        <v>0</v>
      </c>
    </row>
    <row r="2799" spans="1:15" x14ac:dyDescent="0.25">
      <c r="A2799" t="s">
        <v>2839</v>
      </c>
      <c r="B2799" s="1">
        <v>45311</v>
      </c>
      <c r="C2799" t="s">
        <v>31</v>
      </c>
      <c r="D2799" t="s">
        <v>34</v>
      </c>
      <c r="E2799" t="s">
        <v>13</v>
      </c>
      <c r="F2799" t="s">
        <v>22</v>
      </c>
      <c r="G2799" t="s">
        <v>23</v>
      </c>
      <c r="K2799" cm="1">
        <f t="array" ref="K2799">_xlfn.SWITCH(LeadsData[[#This Row],[Funnel Stage Reached]],"Lead",1,"MQL",2,"SQL",3,"Customer",4)</f>
        <v>2</v>
      </c>
      <c r="L2799" t="str">
        <f>TEXT(LeadsData[[#This Row],[Signup Date]],"mmm-yyyy")</f>
        <v>Jan-2024</v>
      </c>
      <c r="M2799">
        <f>IF(LeadsData[[#This Row],[Stage Number]]&gt;=2,1,0)</f>
        <v>1</v>
      </c>
      <c r="N2799" s="2">
        <f>IF(LeadsData[[#This Row],[Stage Number]]&gt;=3,1,0)</f>
        <v>0</v>
      </c>
      <c r="O2799" s="2">
        <f>IF(LeadsData[[#This Row],[Stage Number]]&gt;=4,1,0)</f>
        <v>0</v>
      </c>
    </row>
    <row r="2800" spans="1:15" x14ac:dyDescent="0.25">
      <c r="A2800" t="s">
        <v>2840</v>
      </c>
      <c r="B2800" s="1">
        <v>45598</v>
      </c>
      <c r="C2800" t="s">
        <v>46</v>
      </c>
      <c r="D2800" t="s">
        <v>56</v>
      </c>
      <c r="E2800" t="s">
        <v>13</v>
      </c>
      <c r="F2800" t="s">
        <v>19</v>
      </c>
      <c r="G2800" t="s">
        <v>15</v>
      </c>
      <c r="K2800" cm="1">
        <f t="array" ref="K2800">_xlfn.SWITCH(LeadsData[[#This Row],[Funnel Stage Reached]],"Lead",1,"MQL",2,"SQL",3,"Customer",4)</f>
        <v>1</v>
      </c>
      <c r="L2800" t="str">
        <f>TEXT(LeadsData[[#This Row],[Signup Date]],"mmm-yyyy")</f>
        <v>Nov-2024</v>
      </c>
      <c r="M2800">
        <f>IF(LeadsData[[#This Row],[Stage Number]]&gt;=2,1,0)</f>
        <v>0</v>
      </c>
      <c r="N2800" s="2">
        <f>IF(LeadsData[[#This Row],[Stage Number]]&gt;=3,1,0)</f>
        <v>0</v>
      </c>
      <c r="O2800" s="2">
        <f>IF(LeadsData[[#This Row],[Stage Number]]&gt;=4,1,0)</f>
        <v>0</v>
      </c>
    </row>
    <row r="2801" spans="1:15" x14ac:dyDescent="0.25">
      <c r="A2801" t="s">
        <v>2841</v>
      </c>
      <c r="B2801" s="1">
        <v>45601</v>
      </c>
      <c r="C2801" t="s">
        <v>11</v>
      </c>
      <c r="D2801" t="s">
        <v>68</v>
      </c>
      <c r="E2801" t="s">
        <v>13</v>
      </c>
      <c r="F2801" t="s">
        <v>19</v>
      </c>
      <c r="G2801" t="s">
        <v>23</v>
      </c>
      <c r="K2801" cm="1">
        <f t="array" ref="K2801">_xlfn.SWITCH(LeadsData[[#This Row],[Funnel Stage Reached]],"Lead",1,"MQL",2,"SQL",3,"Customer",4)</f>
        <v>2</v>
      </c>
      <c r="L2801" t="str">
        <f>TEXT(LeadsData[[#This Row],[Signup Date]],"mmm-yyyy")</f>
        <v>Nov-2024</v>
      </c>
      <c r="M2801">
        <f>IF(LeadsData[[#This Row],[Stage Number]]&gt;=2,1,0)</f>
        <v>1</v>
      </c>
      <c r="N2801" s="2">
        <f>IF(LeadsData[[#This Row],[Stage Number]]&gt;=3,1,0)</f>
        <v>0</v>
      </c>
      <c r="O2801" s="2">
        <f>IF(LeadsData[[#This Row],[Stage Number]]&gt;=4,1,0)</f>
        <v>0</v>
      </c>
    </row>
    <row r="2802" spans="1:15" x14ac:dyDescent="0.25">
      <c r="A2802" t="s">
        <v>2842</v>
      </c>
      <c r="B2802" s="1">
        <v>45427</v>
      </c>
      <c r="C2802" t="s">
        <v>17</v>
      </c>
      <c r="D2802" t="s">
        <v>18</v>
      </c>
      <c r="E2802" t="s">
        <v>21</v>
      </c>
      <c r="F2802" t="s">
        <v>19</v>
      </c>
      <c r="G2802" t="s">
        <v>15</v>
      </c>
      <c r="K2802" cm="1">
        <f t="array" ref="K2802">_xlfn.SWITCH(LeadsData[[#This Row],[Funnel Stage Reached]],"Lead",1,"MQL",2,"SQL",3,"Customer",4)</f>
        <v>1</v>
      </c>
      <c r="L2802" t="str">
        <f>TEXT(LeadsData[[#This Row],[Signup Date]],"mmm-yyyy")</f>
        <v>May-2024</v>
      </c>
      <c r="M2802">
        <f>IF(LeadsData[[#This Row],[Stage Number]]&gt;=2,1,0)</f>
        <v>0</v>
      </c>
      <c r="N2802" s="2">
        <f>IF(LeadsData[[#This Row],[Stage Number]]&gt;=3,1,0)</f>
        <v>0</v>
      </c>
      <c r="O2802" s="2">
        <f>IF(LeadsData[[#This Row],[Stage Number]]&gt;=4,1,0)</f>
        <v>0</v>
      </c>
    </row>
    <row r="2803" spans="1:15" x14ac:dyDescent="0.25">
      <c r="A2803" t="s">
        <v>2843</v>
      </c>
      <c r="B2803" s="1">
        <v>45483</v>
      </c>
      <c r="C2803" t="s">
        <v>31</v>
      </c>
      <c r="D2803" t="s">
        <v>32</v>
      </c>
      <c r="E2803" t="s">
        <v>13</v>
      </c>
      <c r="F2803" t="s">
        <v>19</v>
      </c>
      <c r="G2803" t="s">
        <v>29</v>
      </c>
      <c r="K2803" cm="1">
        <f t="array" ref="K2803">_xlfn.SWITCH(LeadsData[[#This Row],[Funnel Stage Reached]],"Lead",1,"MQL",2,"SQL",3,"Customer",4)</f>
        <v>3</v>
      </c>
      <c r="L2803" t="str">
        <f>TEXT(LeadsData[[#This Row],[Signup Date]],"mmm-yyyy")</f>
        <v>Jul-2024</v>
      </c>
      <c r="M2803">
        <f>IF(LeadsData[[#This Row],[Stage Number]]&gt;=2,1,0)</f>
        <v>1</v>
      </c>
      <c r="N2803" s="2">
        <f>IF(LeadsData[[#This Row],[Stage Number]]&gt;=3,1,0)</f>
        <v>1</v>
      </c>
      <c r="O2803" s="2">
        <f>IF(LeadsData[[#This Row],[Stage Number]]&gt;=4,1,0)</f>
        <v>0</v>
      </c>
    </row>
    <row r="2804" spans="1:15" x14ac:dyDescent="0.25">
      <c r="A2804" t="s">
        <v>2844</v>
      </c>
      <c r="B2804" s="1">
        <v>45556</v>
      </c>
      <c r="C2804" t="s">
        <v>25</v>
      </c>
      <c r="D2804" t="s">
        <v>26</v>
      </c>
      <c r="E2804" t="s">
        <v>13</v>
      </c>
      <c r="F2804" t="s">
        <v>14</v>
      </c>
      <c r="G2804" t="s">
        <v>23</v>
      </c>
      <c r="K2804" cm="1">
        <f t="array" ref="K2804">_xlfn.SWITCH(LeadsData[[#This Row],[Funnel Stage Reached]],"Lead",1,"MQL",2,"SQL",3,"Customer",4)</f>
        <v>2</v>
      </c>
      <c r="L2804" t="str">
        <f>TEXT(LeadsData[[#This Row],[Signup Date]],"mmm-yyyy")</f>
        <v>Sep-2024</v>
      </c>
      <c r="M2804">
        <f>IF(LeadsData[[#This Row],[Stage Number]]&gt;=2,1,0)</f>
        <v>1</v>
      </c>
      <c r="N2804" s="2">
        <f>IF(LeadsData[[#This Row],[Stage Number]]&gt;=3,1,0)</f>
        <v>0</v>
      </c>
      <c r="O2804" s="2">
        <f>IF(LeadsData[[#This Row],[Stage Number]]&gt;=4,1,0)</f>
        <v>0</v>
      </c>
    </row>
    <row r="2805" spans="1:15" x14ac:dyDescent="0.25">
      <c r="A2805" t="s">
        <v>2845</v>
      </c>
      <c r="B2805" s="1">
        <v>45629</v>
      </c>
      <c r="C2805" t="s">
        <v>17</v>
      </c>
      <c r="D2805" t="s">
        <v>53</v>
      </c>
      <c r="E2805" t="s">
        <v>21</v>
      </c>
      <c r="F2805" t="s">
        <v>22</v>
      </c>
      <c r="G2805" t="s">
        <v>23</v>
      </c>
      <c r="K2805" cm="1">
        <f t="array" ref="K2805">_xlfn.SWITCH(LeadsData[[#This Row],[Funnel Stage Reached]],"Lead",1,"MQL",2,"SQL",3,"Customer",4)</f>
        <v>2</v>
      </c>
      <c r="L2805" t="str">
        <f>TEXT(LeadsData[[#This Row],[Signup Date]],"mmm-yyyy")</f>
        <v>Dec-2024</v>
      </c>
      <c r="M2805">
        <f>IF(LeadsData[[#This Row],[Stage Number]]&gt;=2,1,0)</f>
        <v>1</v>
      </c>
      <c r="N2805" s="2">
        <f>IF(LeadsData[[#This Row],[Stage Number]]&gt;=3,1,0)</f>
        <v>0</v>
      </c>
      <c r="O2805" s="2">
        <f>IF(LeadsData[[#This Row],[Stage Number]]&gt;=4,1,0)</f>
        <v>0</v>
      </c>
    </row>
    <row r="2806" spans="1:15" x14ac:dyDescent="0.25">
      <c r="A2806" t="s">
        <v>2846</v>
      </c>
      <c r="B2806" s="1">
        <v>45584</v>
      </c>
      <c r="C2806" t="s">
        <v>46</v>
      </c>
      <c r="D2806" t="s">
        <v>56</v>
      </c>
      <c r="E2806" t="s">
        <v>13</v>
      </c>
      <c r="F2806" t="s">
        <v>22</v>
      </c>
      <c r="G2806" t="s">
        <v>15</v>
      </c>
      <c r="K2806" cm="1">
        <f t="array" ref="K2806">_xlfn.SWITCH(LeadsData[[#This Row],[Funnel Stage Reached]],"Lead",1,"MQL",2,"SQL",3,"Customer",4)</f>
        <v>1</v>
      </c>
      <c r="L2806" t="str">
        <f>TEXT(LeadsData[[#This Row],[Signup Date]],"mmm-yyyy")</f>
        <v>Oct-2024</v>
      </c>
      <c r="M2806">
        <f>IF(LeadsData[[#This Row],[Stage Number]]&gt;=2,1,0)</f>
        <v>0</v>
      </c>
      <c r="N2806" s="2">
        <f>IF(LeadsData[[#This Row],[Stage Number]]&gt;=3,1,0)</f>
        <v>0</v>
      </c>
      <c r="O2806" s="2">
        <f>IF(LeadsData[[#This Row],[Stage Number]]&gt;=4,1,0)</f>
        <v>0</v>
      </c>
    </row>
    <row r="2807" spans="1:15" x14ac:dyDescent="0.25">
      <c r="A2807" t="s">
        <v>2847</v>
      </c>
      <c r="B2807" s="1">
        <v>45452</v>
      </c>
      <c r="C2807" t="s">
        <v>11</v>
      </c>
      <c r="D2807" t="s">
        <v>79</v>
      </c>
      <c r="E2807" t="s">
        <v>13</v>
      </c>
      <c r="F2807" t="s">
        <v>22</v>
      </c>
      <c r="G2807" t="s">
        <v>15</v>
      </c>
      <c r="K2807" cm="1">
        <f t="array" ref="K2807">_xlfn.SWITCH(LeadsData[[#This Row],[Funnel Stage Reached]],"Lead",1,"MQL",2,"SQL",3,"Customer",4)</f>
        <v>1</v>
      </c>
      <c r="L2807" t="str">
        <f>TEXT(LeadsData[[#This Row],[Signup Date]],"mmm-yyyy")</f>
        <v>Jun-2024</v>
      </c>
      <c r="M2807">
        <f>IF(LeadsData[[#This Row],[Stage Number]]&gt;=2,1,0)</f>
        <v>0</v>
      </c>
      <c r="N2807" s="2">
        <f>IF(LeadsData[[#This Row],[Stage Number]]&gt;=3,1,0)</f>
        <v>0</v>
      </c>
      <c r="O2807" s="2">
        <f>IF(LeadsData[[#This Row],[Stage Number]]&gt;=4,1,0)</f>
        <v>0</v>
      </c>
    </row>
    <row r="2808" spans="1:15" x14ac:dyDescent="0.25">
      <c r="A2808" t="s">
        <v>2848</v>
      </c>
      <c r="B2808" s="1">
        <v>45559</v>
      </c>
      <c r="C2808" t="s">
        <v>25</v>
      </c>
      <c r="D2808" t="s">
        <v>26</v>
      </c>
      <c r="E2808" t="s">
        <v>13</v>
      </c>
      <c r="F2808" t="s">
        <v>19</v>
      </c>
      <c r="G2808" t="s">
        <v>15</v>
      </c>
      <c r="K2808" cm="1">
        <f t="array" ref="K2808">_xlfn.SWITCH(LeadsData[[#This Row],[Funnel Stage Reached]],"Lead",1,"MQL",2,"SQL",3,"Customer",4)</f>
        <v>1</v>
      </c>
      <c r="L2808" t="str">
        <f>TEXT(LeadsData[[#This Row],[Signup Date]],"mmm-yyyy")</f>
        <v>Sep-2024</v>
      </c>
      <c r="M2808">
        <f>IF(LeadsData[[#This Row],[Stage Number]]&gt;=2,1,0)</f>
        <v>0</v>
      </c>
      <c r="N2808" s="2">
        <f>IF(LeadsData[[#This Row],[Stage Number]]&gt;=3,1,0)</f>
        <v>0</v>
      </c>
      <c r="O2808" s="2">
        <f>IF(LeadsData[[#This Row],[Stage Number]]&gt;=4,1,0)</f>
        <v>0</v>
      </c>
    </row>
    <row r="2809" spans="1:15" x14ac:dyDescent="0.25">
      <c r="A2809" t="s">
        <v>2849</v>
      </c>
      <c r="B2809" s="1">
        <v>45462</v>
      </c>
      <c r="C2809" t="s">
        <v>25</v>
      </c>
      <c r="D2809" t="s">
        <v>26</v>
      </c>
      <c r="E2809" t="s">
        <v>48</v>
      </c>
      <c r="F2809" t="s">
        <v>22</v>
      </c>
      <c r="G2809" t="s">
        <v>15</v>
      </c>
      <c r="K2809" cm="1">
        <f t="array" ref="K2809">_xlfn.SWITCH(LeadsData[[#This Row],[Funnel Stage Reached]],"Lead",1,"MQL",2,"SQL",3,"Customer",4)</f>
        <v>1</v>
      </c>
      <c r="L2809" t="str">
        <f>TEXT(LeadsData[[#This Row],[Signup Date]],"mmm-yyyy")</f>
        <v>Jun-2024</v>
      </c>
      <c r="M2809">
        <f>IF(LeadsData[[#This Row],[Stage Number]]&gt;=2,1,0)</f>
        <v>0</v>
      </c>
      <c r="N2809" s="2">
        <f>IF(LeadsData[[#This Row],[Stage Number]]&gt;=3,1,0)</f>
        <v>0</v>
      </c>
      <c r="O2809" s="2">
        <f>IF(LeadsData[[#This Row],[Stage Number]]&gt;=4,1,0)</f>
        <v>0</v>
      </c>
    </row>
    <row r="2810" spans="1:15" x14ac:dyDescent="0.25">
      <c r="A2810" t="s">
        <v>2850</v>
      </c>
      <c r="B2810" s="1">
        <v>45388</v>
      </c>
      <c r="C2810" t="s">
        <v>11</v>
      </c>
      <c r="D2810" t="s">
        <v>79</v>
      </c>
      <c r="E2810" t="s">
        <v>13</v>
      </c>
      <c r="F2810" t="s">
        <v>14</v>
      </c>
      <c r="G2810" t="s">
        <v>23</v>
      </c>
      <c r="K2810" cm="1">
        <f t="array" ref="K2810">_xlfn.SWITCH(LeadsData[[#This Row],[Funnel Stage Reached]],"Lead",1,"MQL",2,"SQL",3,"Customer",4)</f>
        <v>2</v>
      </c>
      <c r="L2810" t="str">
        <f>TEXT(LeadsData[[#This Row],[Signup Date]],"mmm-yyyy")</f>
        <v>Apr-2024</v>
      </c>
      <c r="M2810">
        <f>IF(LeadsData[[#This Row],[Stage Number]]&gt;=2,1,0)</f>
        <v>1</v>
      </c>
      <c r="N2810" s="2">
        <f>IF(LeadsData[[#This Row],[Stage Number]]&gt;=3,1,0)</f>
        <v>0</v>
      </c>
      <c r="O2810" s="2">
        <f>IF(LeadsData[[#This Row],[Stage Number]]&gt;=4,1,0)</f>
        <v>0</v>
      </c>
    </row>
    <row r="2811" spans="1:15" x14ac:dyDescent="0.25">
      <c r="A2811" t="s">
        <v>2851</v>
      </c>
      <c r="B2811" s="1">
        <v>45296</v>
      </c>
      <c r="C2811" t="s">
        <v>36</v>
      </c>
      <c r="D2811" t="s">
        <v>37</v>
      </c>
      <c r="E2811" t="s">
        <v>13</v>
      </c>
      <c r="F2811" t="s">
        <v>19</v>
      </c>
      <c r="G2811" t="s">
        <v>29</v>
      </c>
      <c r="K2811" cm="1">
        <f t="array" ref="K2811">_xlfn.SWITCH(LeadsData[[#This Row],[Funnel Stage Reached]],"Lead",1,"MQL",2,"SQL",3,"Customer",4)</f>
        <v>3</v>
      </c>
      <c r="L2811" t="str">
        <f>TEXT(LeadsData[[#This Row],[Signup Date]],"mmm-yyyy")</f>
        <v>Jan-2024</v>
      </c>
      <c r="M2811">
        <f>IF(LeadsData[[#This Row],[Stage Number]]&gt;=2,1,0)</f>
        <v>1</v>
      </c>
      <c r="N2811" s="2">
        <f>IF(LeadsData[[#This Row],[Stage Number]]&gt;=3,1,0)</f>
        <v>1</v>
      </c>
      <c r="O2811" s="2">
        <f>IF(LeadsData[[#This Row],[Stage Number]]&gt;=4,1,0)</f>
        <v>0</v>
      </c>
    </row>
    <row r="2812" spans="1:15" x14ac:dyDescent="0.25">
      <c r="A2812" t="s">
        <v>2852</v>
      </c>
      <c r="B2812" s="1">
        <v>45499</v>
      </c>
      <c r="C2812" t="s">
        <v>31</v>
      </c>
      <c r="D2812" t="s">
        <v>34</v>
      </c>
      <c r="E2812" t="s">
        <v>13</v>
      </c>
      <c r="F2812" t="s">
        <v>14</v>
      </c>
      <c r="G2812" t="s">
        <v>29</v>
      </c>
      <c r="K2812" cm="1">
        <f t="array" ref="K2812">_xlfn.SWITCH(LeadsData[[#This Row],[Funnel Stage Reached]],"Lead",1,"MQL",2,"SQL",3,"Customer",4)</f>
        <v>3</v>
      </c>
      <c r="L2812" t="str">
        <f>TEXT(LeadsData[[#This Row],[Signup Date]],"mmm-yyyy")</f>
        <v>Jul-2024</v>
      </c>
      <c r="M2812">
        <f>IF(LeadsData[[#This Row],[Stage Number]]&gt;=2,1,0)</f>
        <v>1</v>
      </c>
      <c r="N2812" s="2">
        <f>IF(LeadsData[[#This Row],[Stage Number]]&gt;=3,1,0)</f>
        <v>1</v>
      </c>
      <c r="O2812" s="2">
        <f>IF(LeadsData[[#This Row],[Stage Number]]&gt;=4,1,0)</f>
        <v>0</v>
      </c>
    </row>
    <row r="2813" spans="1:15" x14ac:dyDescent="0.25">
      <c r="A2813" t="s">
        <v>2853</v>
      </c>
      <c r="B2813" s="1">
        <v>45383</v>
      </c>
      <c r="C2813" t="s">
        <v>17</v>
      </c>
      <c r="D2813" t="s">
        <v>53</v>
      </c>
      <c r="E2813" t="s">
        <v>21</v>
      </c>
      <c r="F2813" t="s">
        <v>28</v>
      </c>
      <c r="G2813" t="s">
        <v>15</v>
      </c>
      <c r="K2813" cm="1">
        <f t="array" ref="K2813">_xlfn.SWITCH(LeadsData[[#This Row],[Funnel Stage Reached]],"Lead",1,"MQL",2,"SQL",3,"Customer",4)</f>
        <v>1</v>
      </c>
      <c r="L2813" t="str">
        <f>TEXT(LeadsData[[#This Row],[Signup Date]],"mmm-yyyy")</f>
        <v>Apr-2024</v>
      </c>
      <c r="M2813">
        <f>IF(LeadsData[[#This Row],[Stage Number]]&gt;=2,1,0)</f>
        <v>0</v>
      </c>
      <c r="N2813" s="2">
        <f>IF(LeadsData[[#This Row],[Stage Number]]&gt;=3,1,0)</f>
        <v>0</v>
      </c>
      <c r="O2813" s="2">
        <f>IF(LeadsData[[#This Row],[Stage Number]]&gt;=4,1,0)</f>
        <v>0</v>
      </c>
    </row>
    <row r="2814" spans="1:15" x14ac:dyDescent="0.25">
      <c r="A2814" t="s">
        <v>2854</v>
      </c>
      <c r="B2814" s="1">
        <v>45642</v>
      </c>
      <c r="C2814" t="s">
        <v>11</v>
      </c>
      <c r="D2814" t="s">
        <v>68</v>
      </c>
      <c r="E2814" t="s">
        <v>13</v>
      </c>
      <c r="F2814" t="s">
        <v>22</v>
      </c>
      <c r="G2814" t="s">
        <v>15</v>
      </c>
      <c r="K2814" cm="1">
        <f t="array" ref="K2814">_xlfn.SWITCH(LeadsData[[#This Row],[Funnel Stage Reached]],"Lead",1,"MQL",2,"SQL",3,"Customer",4)</f>
        <v>1</v>
      </c>
      <c r="L2814" t="str">
        <f>TEXT(LeadsData[[#This Row],[Signup Date]],"mmm-yyyy")</f>
        <v>Dec-2024</v>
      </c>
      <c r="M2814">
        <f>IF(LeadsData[[#This Row],[Stage Number]]&gt;=2,1,0)</f>
        <v>0</v>
      </c>
      <c r="N2814" s="2">
        <f>IF(LeadsData[[#This Row],[Stage Number]]&gt;=3,1,0)</f>
        <v>0</v>
      </c>
      <c r="O2814" s="2">
        <f>IF(LeadsData[[#This Row],[Stage Number]]&gt;=4,1,0)</f>
        <v>0</v>
      </c>
    </row>
    <row r="2815" spans="1:15" x14ac:dyDescent="0.25">
      <c r="A2815" t="s">
        <v>2855</v>
      </c>
      <c r="B2815" s="1">
        <v>45446</v>
      </c>
      <c r="C2815" t="s">
        <v>36</v>
      </c>
      <c r="D2815" t="s">
        <v>37</v>
      </c>
      <c r="E2815" t="s">
        <v>13</v>
      </c>
      <c r="F2815" t="s">
        <v>22</v>
      </c>
      <c r="G2815" t="s">
        <v>29</v>
      </c>
      <c r="K2815" cm="1">
        <f t="array" ref="K2815">_xlfn.SWITCH(LeadsData[[#This Row],[Funnel Stage Reached]],"Lead",1,"MQL",2,"SQL",3,"Customer",4)</f>
        <v>3</v>
      </c>
      <c r="L2815" t="str">
        <f>TEXT(LeadsData[[#This Row],[Signup Date]],"mmm-yyyy")</f>
        <v>Jun-2024</v>
      </c>
      <c r="M2815">
        <f>IF(LeadsData[[#This Row],[Stage Number]]&gt;=2,1,0)</f>
        <v>1</v>
      </c>
      <c r="N2815" s="2">
        <f>IF(LeadsData[[#This Row],[Stage Number]]&gt;=3,1,0)</f>
        <v>1</v>
      </c>
      <c r="O2815" s="2">
        <f>IF(LeadsData[[#This Row],[Stage Number]]&gt;=4,1,0)</f>
        <v>0</v>
      </c>
    </row>
    <row r="2816" spans="1:15" x14ac:dyDescent="0.25">
      <c r="A2816" t="s">
        <v>2856</v>
      </c>
      <c r="B2816" s="1">
        <v>45636</v>
      </c>
      <c r="C2816" t="s">
        <v>46</v>
      </c>
      <c r="D2816" t="s">
        <v>56</v>
      </c>
      <c r="E2816" t="s">
        <v>21</v>
      </c>
      <c r="F2816" t="s">
        <v>22</v>
      </c>
      <c r="G2816" t="s">
        <v>23</v>
      </c>
      <c r="K2816" cm="1">
        <f t="array" ref="K2816">_xlfn.SWITCH(LeadsData[[#This Row],[Funnel Stage Reached]],"Lead",1,"MQL",2,"SQL",3,"Customer",4)</f>
        <v>2</v>
      </c>
      <c r="L2816" t="str">
        <f>TEXT(LeadsData[[#This Row],[Signup Date]],"mmm-yyyy")</f>
        <v>Dec-2024</v>
      </c>
      <c r="M2816">
        <f>IF(LeadsData[[#This Row],[Stage Number]]&gt;=2,1,0)</f>
        <v>1</v>
      </c>
      <c r="N2816" s="2">
        <f>IF(LeadsData[[#This Row],[Stage Number]]&gt;=3,1,0)</f>
        <v>0</v>
      </c>
      <c r="O2816" s="2">
        <f>IF(LeadsData[[#This Row],[Stage Number]]&gt;=4,1,0)</f>
        <v>0</v>
      </c>
    </row>
    <row r="2817" spans="1:15" x14ac:dyDescent="0.25">
      <c r="A2817" t="s">
        <v>2857</v>
      </c>
      <c r="B2817" s="1">
        <v>45347</v>
      </c>
      <c r="C2817" t="s">
        <v>36</v>
      </c>
      <c r="D2817" t="s">
        <v>50</v>
      </c>
      <c r="E2817" t="s">
        <v>21</v>
      </c>
      <c r="F2817" t="s">
        <v>22</v>
      </c>
      <c r="G2817" t="s">
        <v>29</v>
      </c>
      <c r="K2817" cm="1">
        <f t="array" ref="K2817">_xlfn.SWITCH(LeadsData[[#This Row],[Funnel Stage Reached]],"Lead",1,"MQL",2,"SQL",3,"Customer",4)</f>
        <v>3</v>
      </c>
      <c r="L2817" t="str">
        <f>TEXT(LeadsData[[#This Row],[Signup Date]],"mmm-yyyy")</f>
        <v>Feb-2024</v>
      </c>
      <c r="M2817">
        <f>IF(LeadsData[[#This Row],[Stage Number]]&gt;=2,1,0)</f>
        <v>1</v>
      </c>
      <c r="N2817" s="2">
        <f>IF(LeadsData[[#This Row],[Stage Number]]&gt;=3,1,0)</f>
        <v>1</v>
      </c>
      <c r="O2817" s="2">
        <f>IF(LeadsData[[#This Row],[Stage Number]]&gt;=4,1,0)</f>
        <v>0</v>
      </c>
    </row>
    <row r="2818" spans="1:15" x14ac:dyDescent="0.25">
      <c r="A2818" t="s">
        <v>2858</v>
      </c>
      <c r="B2818" s="1">
        <v>45505</v>
      </c>
      <c r="C2818" t="s">
        <v>31</v>
      </c>
      <c r="D2818" t="s">
        <v>32</v>
      </c>
      <c r="E2818" t="s">
        <v>21</v>
      </c>
      <c r="F2818" t="s">
        <v>19</v>
      </c>
      <c r="G2818" t="s">
        <v>29</v>
      </c>
      <c r="K2818" cm="1">
        <f t="array" ref="K2818">_xlfn.SWITCH(LeadsData[[#This Row],[Funnel Stage Reached]],"Lead",1,"MQL",2,"SQL",3,"Customer",4)</f>
        <v>3</v>
      </c>
      <c r="L2818" t="str">
        <f>TEXT(LeadsData[[#This Row],[Signup Date]],"mmm-yyyy")</f>
        <v>Aug-2024</v>
      </c>
      <c r="M2818">
        <f>IF(LeadsData[[#This Row],[Stage Number]]&gt;=2,1,0)</f>
        <v>1</v>
      </c>
      <c r="N2818" s="2">
        <f>IF(LeadsData[[#This Row],[Stage Number]]&gt;=3,1,0)</f>
        <v>1</v>
      </c>
      <c r="O2818" s="2">
        <f>IF(LeadsData[[#This Row],[Stage Number]]&gt;=4,1,0)</f>
        <v>0</v>
      </c>
    </row>
    <row r="2819" spans="1:15" x14ac:dyDescent="0.25">
      <c r="A2819" t="s">
        <v>2859</v>
      </c>
      <c r="B2819" s="1">
        <v>45475</v>
      </c>
      <c r="C2819" t="s">
        <v>36</v>
      </c>
      <c r="D2819" t="s">
        <v>37</v>
      </c>
      <c r="E2819" t="s">
        <v>13</v>
      </c>
      <c r="F2819" t="s">
        <v>22</v>
      </c>
      <c r="G2819" t="s">
        <v>29</v>
      </c>
      <c r="K2819" cm="1">
        <f t="array" ref="K2819">_xlfn.SWITCH(LeadsData[[#This Row],[Funnel Stage Reached]],"Lead",1,"MQL",2,"SQL",3,"Customer",4)</f>
        <v>3</v>
      </c>
      <c r="L2819" t="str">
        <f>TEXT(LeadsData[[#This Row],[Signup Date]],"mmm-yyyy")</f>
        <v>Jul-2024</v>
      </c>
      <c r="M2819">
        <f>IF(LeadsData[[#This Row],[Stage Number]]&gt;=2,1,0)</f>
        <v>1</v>
      </c>
      <c r="N2819" s="2">
        <f>IF(LeadsData[[#This Row],[Stage Number]]&gt;=3,1,0)</f>
        <v>1</v>
      </c>
      <c r="O2819" s="2">
        <f>IF(LeadsData[[#This Row],[Stage Number]]&gt;=4,1,0)</f>
        <v>0</v>
      </c>
    </row>
    <row r="2820" spans="1:15" x14ac:dyDescent="0.25">
      <c r="A2820" t="s">
        <v>2860</v>
      </c>
      <c r="B2820" s="1">
        <v>45458</v>
      </c>
      <c r="C2820" t="s">
        <v>25</v>
      </c>
      <c r="D2820" t="s">
        <v>26</v>
      </c>
      <c r="E2820" t="s">
        <v>13</v>
      </c>
      <c r="F2820" t="s">
        <v>22</v>
      </c>
      <c r="G2820" t="s">
        <v>15</v>
      </c>
      <c r="K2820" cm="1">
        <f t="array" ref="K2820">_xlfn.SWITCH(LeadsData[[#This Row],[Funnel Stage Reached]],"Lead",1,"MQL",2,"SQL",3,"Customer",4)</f>
        <v>1</v>
      </c>
      <c r="L2820" t="str">
        <f>TEXT(LeadsData[[#This Row],[Signup Date]],"mmm-yyyy")</f>
        <v>Jun-2024</v>
      </c>
      <c r="M2820">
        <f>IF(LeadsData[[#This Row],[Stage Number]]&gt;=2,1,0)</f>
        <v>0</v>
      </c>
      <c r="N2820" s="2">
        <f>IF(LeadsData[[#This Row],[Stage Number]]&gt;=3,1,0)</f>
        <v>0</v>
      </c>
      <c r="O2820" s="2">
        <f>IF(LeadsData[[#This Row],[Stage Number]]&gt;=4,1,0)</f>
        <v>0</v>
      </c>
    </row>
    <row r="2821" spans="1:15" x14ac:dyDescent="0.25">
      <c r="A2821" t="s">
        <v>2861</v>
      </c>
      <c r="B2821" s="1">
        <v>45420</v>
      </c>
      <c r="C2821" t="s">
        <v>11</v>
      </c>
      <c r="D2821" t="s">
        <v>12</v>
      </c>
      <c r="E2821" t="s">
        <v>21</v>
      </c>
      <c r="F2821" t="s">
        <v>19</v>
      </c>
      <c r="G2821" t="s">
        <v>15</v>
      </c>
      <c r="K2821" cm="1">
        <f t="array" ref="K2821">_xlfn.SWITCH(LeadsData[[#This Row],[Funnel Stage Reached]],"Lead",1,"MQL",2,"SQL",3,"Customer",4)</f>
        <v>1</v>
      </c>
      <c r="L2821" t="str">
        <f>TEXT(LeadsData[[#This Row],[Signup Date]],"mmm-yyyy")</f>
        <v>May-2024</v>
      </c>
      <c r="M2821">
        <f>IF(LeadsData[[#This Row],[Stage Number]]&gt;=2,1,0)</f>
        <v>0</v>
      </c>
      <c r="N2821" s="2">
        <f>IF(LeadsData[[#This Row],[Stage Number]]&gt;=3,1,0)</f>
        <v>0</v>
      </c>
      <c r="O2821" s="2">
        <f>IF(LeadsData[[#This Row],[Stage Number]]&gt;=4,1,0)</f>
        <v>0</v>
      </c>
    </row>
    <row r="2822" spans="1:15" x14ac:dyDescent="0.25">
      <c r="A2822" t="s">
        <v>2862</v>
      </c>
      <c r="B2822" s="1">
        <v>45576</v>
      </c>
      <c r="C2822" t="s">
        <v>25</v>
      </c>
      <c r="D2822" t="s">
        <v>26</v>
      </c>
      <c r="E2822" t="s">
        <v>21</v>
      </c>
      <c r="F2822" t="s">
        <v>19</v>
      </c>
      <c r="G2822" t="s">
        <v>15</v>
      </c>
      <c r="K2822" cm="1">
        <f t="array" ref="K2822">_xlfn.SWITCH(LeadsData[[#This Row],[Funnel Stage Reached]],"Lead",1,"MQL",2,"SQL",3,"Customer",4)</f>
        <v>1</v>
      </c>
      <c r="L2822" t="str">
        <f>TEXT(LeadsData[[#This Row],[Signup Date]],"mmm-yyyy")</f>
        <v>Oct-2024</v>
      </c>
      <c r="M2822">
        <f>IF(LeadsData[[#This Row],[Stage Number]]&gt;=2,1,0)</f>
        <v>0</v>
      </c>
      <c r="N2822" s="2">
        <f>IF(LeadsData[[#This Row],[Stage Number]]&gt;=3,1,0)</f>
        <v>0</v>
      </c>
      <c r="O2822" s="2">
        <f>IF(LeadsData[[#This Row],[Stage Number]]&gt;=4,1,0)</f>
        <v>0</v>
      </c>
    </row>
    <row r="2823" spans="1:15" x14ac:dyDescent="0.25">
      <c r="A2823" t="s">
        <v>2863</v>
      </c>
      <c r="B2823" s="1">
        <v>45431</v>
      </c>
      <c r="C2823" t="s">
        <v>17</v>
      </c>
      <c r="D2823" t="s">
        <v>18</v>
      </c>
      <c r="E2823" t="s">
        <v>21</v>
      </c>
      <c r="F2823" t="s">
        <v>19</v>
      </c>
      <c r="G2823" t="s">
        <v>23</v>
      </c>
      <c r="K2823" cm="1">
        <f t="array" ref="K2823">_xlfn.SWITCH(LeadsData[[#This Row],[Funnel Stage Reached]],"Lead",1,"MQL",2,"SQL",3,"Customer",4)</f>
        <v>2</v>
      </c>
      <c r="L2823" t="str">
        <f>TEXT(LeadsData[[#This Row],[Signup Date]],"mmm-yyyy")</f>
        <v>May-2024</v>
      </c>
      <c r="M2823">
        <f>IF(LeadsData[[#This Row],[Stage Number]]&gt;=2,1,0)</f>
        <v>1</v>
      </c>
      <c r="N2823" s="2">
        <f>IF(LeadsData[[#This Row],[Stage Number]]&gt;=3,1,0)</f>
        <v>0</v>
      </c>
      <c r="O2823" s="2">
        <f>IF(LeadsData[[#This Row],[Stage Number]]&gt;=4,1,0)</f>
        <v>0</v>
      </c>
    </row>
    <row r="2824" spans="1:15" x14ac:dyDescent="0.25">
      <c r="A2824" t="s">
        <v>2864</v>
      </c>
      <c r="B2824" s="1">
        <v>45562</v>
      </c>
      <c r="C2824" t="s">
        <v>46</v>
      </c>
      <c r="D2824" t="s">
        <v>47</v>
      </c>
      <c r="E2824" t="s">
        <v>13</v>
      </c>
      <c r="F2824" t="s">
        <v>19</v>
      </c>
      <c r="G2824" t="s">
        <v>23</v>
      </c>
      <c r="K2824" cm="1">
        <f t="array" ref="K2824">_xlfn.SWITCH(LeadsData[[#This Row],[Funnel Stage Reached]],"Lead",1,"MQL",2,"SQL",3,"Customer",4)</f>
        <v>2</v>
      </c>
      <c r="L2824" t="str">
        <f>TEXT(LeadsData[[#This Row],[Signup Date]],"mmm-yyyy")</f>
        <v>Sep-2024</v>
      </c>
      <c r="M2824">
        <f>IF(LeadsData[[#This Row],[Stage Number]]&gt;=2,1,0)</f>
        <v>1</v>
      </c>
      <c r="N2824" s="2">
        <f>IF(LeadsData[[#This Row],[Stage Number]]&gt;=3,1,0)</f>
        <v>0</v>
      </c>
      <c r="O2824" s="2">
        <f>IF(LeadsData[[#This Row],[Stage Number]]&gt;=4,1,0)</f>
        <v>0</v>
      </c>
    </row>
    <row r="2825" spans="1:15" x14ac:dyDescent="0.25">
      <c r="A2825" t="s">
        <v>2865</v>
      </c>
      <c r="B2825" s="1">
        <v>45648</v>
      </c>
      <c r="C2825" t="s">
        <v>31</v>
      </c>
      <c r="D2825" t="s">
        <v>34</v>
      </c>
      <c r="E2825" t="s">
        <v>13</v>
      </c>
      <c r="F2825" t="s">
        <v>19</v>
      </c>
      <c r="G2825" t="s">
        <v>23</v>
      </c>
      <c r="K2825" cm="1">
        <f t="array" ref="K2825">_xlfn.SWITCH(LeadsData[[#This Row],[Funnel Stage Reached]],"Lead",1,"MQL",2,"SQL",3,"Customer",4)</f>
        <v>2</v>
      </c>
      <c r="L2825" t="str">
        <f>TEXT(LeadsData[[#This Row],[Signup Date]],"mmm-yyyy")</f>
        <v>Dec-2024</v>
      </c>
      <c r="M2825">
        <f>IF(LeadsData[[#This Row],[Stage Number]]&gt;=2,1,0)</f>
        <v>1</v>
      </c>
      <c r="N2825" s="2">
        <f>IF(LeadsData[[#This Row],[Stage Number]]&gt;=3,1,0)</f>
        <v>0</v>
      </c>
      <c r="O2825" s="2">
        <f>IF(LeadsData[[#This Row],[Stage Number]]&gt;=4,1,0)</f>
        <v>0</v>
      </c>
    </row>
    <row r="2826" spans="1:15" x14ac:dyDescent="0.25">
      <c r="A2826" t="s">
        <v>2866</v>
      </c>
      <c r="B2826" s="1">
        <v>45306</v>
      </c>
      <c r="C2826" t="s">
        <v>46</v>
      </c>
      <c r="D2826" t="s">
        <v>56</v>
      </c>
      <c r="E2826" t="s">
        <v>13</v>
      </c>
      <c r="F2826" t="s">
        <v>14</v>
      </c>
      <c r="G2826" t="s">
        <v>23</v>
      </c>
      <c r="K2826" cm="1">
        <f t="array" ref="K2826">_xlfn.SWITCH(LeadsData[[#This Row],[Funnel Stage Reached]],"Lead",1,"MQL",2,"SQL",3,"Customer",4)</f>
        <v>2</v>
      </c>
      <c r="L2826" t="str">
        <f>TEXT(LeadsData[[#This Row],[Signup Date]],"mmm-yyyy")</f>
        <v>Jan-2024</v>
      </c>
      <c r="M2826">
        <f>IF(LeadsData[[#This Row],[Stage Number]]&gt;=2,1,0)</f>
        <v>1</v>
      </c>
      <c r="N2826" s="2">
        <f>IF(LeadsData[[#This Row],[Stage Number]]&gt;=3,1,0)</f>
        <v>0</v>
      </c>
      <c r="O2826" s="2">
        <f>IF(LeadsData[[#This Row],[Stage Number]]&gt;=4,1,0)</f>
        <v>0</v>
      </c>
    </row>
    <row r="2827" spans="1:15" x14ac:dyDescent="0.25">
      <c r="A2827" t="s">
        <v>2867</v>
      </c>
      <c r="B2827" s="1">
        <v>45571</v>
      </c>
      <c r="C2827" t="s">
        <v>11</v>
      </c>
      <c r="D2827" t="s">
        <v>68</v>
      </c>
      <c r="E2827" t="s">
        <v>13</v>
      </c>
      <c r="F2827" t="s">
        <v>22</v>
      </c>
      <c r="G2827" t="s">
        <v>29</v>
      </c>
      <c r="K2827" cm="1">
        <f t="array" ref="K2827">_xlfn.SWITCH(LeadsData[[#This Row],[Funnel Stage Reached]],"Lead",1,"MQL",2,"SQL",3,"Customer",4)</f>
        <v>3</v>
      </c>
      <c r="L2827" t="str">
        <f>TEXT(LeadsData[[#This Row],[Signup Date]],"mmm-yyyy")</f>
        <v>Oct-2024</v>
      </c>
      <c r="M2827">
        <f>IF(LeadsData[[#This Row],[Stage Number]]&gt;=2,1,0)</f>
        <v>1</v>
      </c>
      <c r="N2827" s="2">
        <f>IF(LeadsData[[#This Row],[Stage Number]]&gt;=3,1,0)</f>
        <v>1</v>
      </c>
      <c r="O2827" s="2">
        <f>IF(LeadsData[[#This Row],[Stage Number]]&gt;=4,1,0)</f>
        <v>0</v>
      </c>
    </row>
    <row r="2828" spans="1:15" x14ac:dyDescent="0.25">
      <c r="A2828" t="s">
        <v>2868</v>
      </c>
      <c r="B2828" s="1">
        <v>45384</v>
      </c>
      <c r="C2828" t="s">
        <v>36</v>
      </c>
      <c r="D2828" t="s">
        <v>37</v>
      </c>
      <c r="E2828" t="s">
        <v>48</v>
      </c>
      <c r="F2828" t="s">
        <v>19</v>
      </c>
      <c r="G2828" t="s">
        <v>15</v>
      </c>
      <c r="K2828" cm="1">
        <f t="array" ref="K2828">_xlfn.SWITCH(LeadsData[[#This Row],[Funnel Stage Reached]],"Lead",1,"MQL",2,"SQL",3,"Customer",4)</f>
        <v>1</v>
      </c>
      <c r="L2828" t="str">
        <f>TEXT(LeadsData[[#This Row],[Signup Date]],"mmm-yyyy")</f>
        <v>Apr-2024</v>
      </c>
      <c r="M2828">
        <f>IF(LeadsData[[#This Row],[Stage Number]]&gt;=2,1,0)</f>
        <v>0</v>
      </c>
      <c r="N2828" s="2">
        <f>IF(LeadsData[[#This Row],[Stage Number]]&gt;=3,1,0)</f>
        <v>0</v>
      </c>
      <c r="O2828" s="2">
        <f>IF(LeadsData[[#This Row],[Stage Number]]&gt;=4,1,0)</f>
        <v>0</v>
      </c>
    </row>
    <row r="2829" spans="1:15" x14ac:dyDescent="0.25">
      <c r="A2829" t="s">
        <v>2869</v>
      </c>
      <c r="B2829" s="1">
        <v>45463</v>
      </c>
      <c r="C2829" t="s">
        <v>31</v>
      </c>
      <c r="D2829" t="s">
        <v>34</v>
      </c>
      <c r="E2829" t="s">
        <v>13</v>
      </c>
      <c r="F2829" t="s">
        <v>19</v>
      </c>
      <c r="G2829" t="s">
        <v>15</v>
      </c>
      <c r="K2829" cm="1">
        <f t="array" ref="K2829">_xlfn.SWITCH(LeadsData[[#This Row],[Funnel Stage Reached]],"Lead",1,"MQL",2,"SQL",3,"Customer",4)</f>
        <v>1</v>
      </c>
      <c r="L2829" t="str">
        <f>TEXT(LeadsData[[#This Row],[Signup Date]],"mmm-yyyy")</f>
        <v>Jun-2024</v>
      </c>
      <c r="M2829">
        <f>IF(LeadsData[[#This Row],[Stage Number]]&gt;=2,1,0)</f>
        <v>0</v>
      </c>
      <c r="N2829" s="2">
        <f>IF(LeadsData[[#This Row],[Stage Number]]&gt;=3,1,0)</f>
        <v>0</v>
      </c>
      <c r="O2829" s="2">
        <f>IF(LeadsData[[#This Row],[Stage Number]]&gt;=4,1,0)</f>
        <v>0</v>
      </c>
    </row>
    <row r="2830" spans="1:15" x14ac:dyDescent="0.25">
      <c r="A2830" t="s">
        <v>2870</v>
      </c>
      <c r="B2830" s="1">
        <v>45599</v>
      </c>
      <c r="C2830" t="s">
        <v>46</v>
      </c>
      <c r="D2830" t="s">
        <v>47</v>
      </c>
      <c r="E2830" t="s">
        <v>13</v>
      </c>
      <c r="F2830" t="s">
        <v>22</v>
      </c>
      <c r="G2830" t="s">
        <v>42</v>
      </c>
      <c r="H2830">
        <v>58</v>
      </c>
      <c r="I2830" t="s">
        <v>43</v>
      </c>
      <c r="J2830">
        <v>881.82</v>
      </c>
      <c r="K2830" cm="1">
        <f t="array" ref="K2830">_xlfn.SWITCH(LeadsData[[#This Row],[Funnel Stage Reached]],"Lead",1,"MQL",2,"SQL",3,"Customer",4)</f>
        <v>4</v>
      </c>
      <c r="L2830" t="str">
        <f>TEXT(LeadsData[[#This Row],[Signup Date]],"mmm-yyyy")</f>
        <v>Nov-2024</v>
      </c>
      <c r="M2830">
        <f>IF(LeadsData[[#This Row],[Stage Number]]&gt;=2,1,0)</f>
        <v>1</v>
      </c>
      <c r="N2830" s="2">
        <f>IF(LeadsData[[#This Row],[Stage Number]]&gt;=3,1,0)</f>
        <v>1</v>
      </c>
      <c r="O2830" s="2">
        <f>IF(LeadsData[[#This Row],[Stage Number]]&gt;=4,1,0)</f>
        <v>1</v>
      </c>
    </row>
    <row r="2831" spans="1:15" x14ac:dyDescent="0.25">
      <c r="A2831" t="s">
        <v>2871</v>
      </c>
      <c r="B2831" s="1">
        <v>45464</v>
      </c>
      <c r="C2831" t="s">
        <v>46</v>
      </c>
      <c r="D2831" t="s">
        <v>56</v>
      </c>
      <c r="E2831" t="s">
        <v>21</v>
      </c>
      <c r="F2831" t="s">
        <v>28</v>
      </c>
      <c r="G2831" t="s">
        <v>15</v>
      </c>
      <c r="K2831" cm="1">
        <f t="array" ref="K2831">_xlfn.SWITCH(LeadsData[[#This Row],[Funnel Stage Reached]],"Lead",1,"MQL",2,"SQL",3,"Customer",4)</f>
        <v>1</v>
      </c>
      <c r="L2831" t="str">
        <f>TEXT(LeadsData[[#This Row],[Signup Date]],"mmm-yyyy")</f>
        <v>Jun-2024</v>
      </c>
      <c r="M2831">
        <f>IF(LeadsData[[#This Row],[Stage Number]]&gt;=2,1,0)</f>
        <v>0</v>
      </c>
      <c r="N2831" s="2">
        <f>IF(LeadsData[[#This Row],[Stage Number]]&gt;=3,1,0)</f>
        <v>0</v>
      </c>
      <c r="O2831" s="2">
        <f>IF(LeadsData[[#This Row],[Stage Number]]&gt;=4,1,0)</f>
        <v>0</v>
      </c>
    </row>
    <row r="2832" spans="1:15" x14ac:dyDescent="0.25">
      <c r="A2832" t="s">
        <v>2872</v>
      </c>
      <c r="B2832" s="1">
        <v>45599</v>
      </c>
      <c r="C2832" t="s">
        <v>31</v>
      </c>
      <c r="D2832" t="s">
        <v>34</v>
      </c>
      <c r="E2832" t="s">
        <v>13</v>
      </c>
      <c r="F2832" t="s">
        <v>19</v>
      </c>
      <c r="G2832" t="s">
        <v>42</v>
      </c>
      <c r="H2832">
        <v>47</v>
      </c>
      <c r="I2832" t="s">
        <v>43</v>
      </c>
      <c r="J2832">
        <v>747.64</v>
      </c>
      <c r="K2832" cm="1">
        <f t="array" ref="K2832">_xlfn.SWITCH(LeadsData[[#This Row],[Funnel Stage Reached]],"Lead",1,"MQL",2,"SQL",3,"Customer",4)</f>
        <v>4</v>
      </c>
      <c r="L2832" t="str">
        <f>TEXT(LeadsData[[#This Row],[Signup Date]],"mmm-yyyy")</f>
        <v>Nov-2024</v>
      </c>
      <c r="M2832">
        <f>IF(LeadsData[[#This Row],[Stage Number]]&gt;=2,1,0)</f>
        <v>1</v>
      </c>
      <c r="N2832" s="2">
        <f>IF(LeadsData[[#This Row],[Stage Number]]&gt;=3,1,0)</f>
        <v>1</v>
      </c>
      <c r="O2832" s="2">
        <f>IF(LeadsData[[#This Row],[Stage Number]]&gt;=4,1,0)</f>
        <v>1</v>
      </c>
    </row>
    <row r="2833" spans="1:15" x14ac:dyDescent="0.25">
      <c r="A2833" t="s">
        <v>2873</v>
      </c>
      <c r="B2833" s="1">
        <v>45485</v>
      </c>
      <c r="C2833" t="s">
        <v>46</v>
      </c>
      <c r="D2833" t="s">
        <v>56</v>
      </c>
      <c r="E2833" t="s">
        <v>13</v>
      </c>
      <c r="F2833" t="s">
        <v>14</v>
      </c>
      <c r="G2833" t="s">
        <v>29</v>
      </c>
      <c r="K2833" cm="1">
        <f t="array" ref="K2833">_xlfn.SWITCH(LeadsData[[#This Row],[Funnel Stage Reached]],"Lead",1,"MQL",2,"SQL",3,"Customer",4)</f>
        <v>3</v>
      </c>
      <c r="L2833" t="str">
        <f>TEXT(LeadsData[[#This Row],[Signup Date]],"mmm-yyyy")</f>
        <v>Jul-2024</v>
      </c>
      <c r="M2833">
        <f>IF(LeadsData[[#This Row],[Stage Number]]&gt;=2,1,0)</f>
        <v>1</v>
      </c>
      <c r="N2833" s="2">
        <f>IF(LeadsData[[#This Row],[Stage Number]]&gt;=3,1,0)</f>
        <v>1</v>
      </c>
      <c r="O2833" s="2">
        <f>IF(LeadsData[[#This Row],[Stage Number]]&gt;=4,1,0)</f>
        <v>0</v>
      </c>
    </row>
    <row r="2834" spans="1:15" x14ac:dyDescent="0.25">
      <c r="A2834" t="s">
        <v>2874</v>
      </c>
      <c r="B2834" s="1">
        <v>45336</v>
      </c>
      <c r="C2834" t="s">
        <v>46</v>
      </c>
      <c r="D2834" t="s">
        <v>47</v>
      </c>
      <c r="E2834" t="s">
        <v>13</v>
      </c>
      <c r="F2834" t="s">
        <v>19</v>
      </c>
      <c r="G2834" t="s">
        <v>15</v>
      </c>
      <c r="K2834" cm="1">
        <f t="array" ref="K2834">_xlfn.SWITCH(LeadsData[[#This Row],[Funnel Stage Reached]],"Lead",1,"MQL",2,"SQL",3,"Customer",4)</f>
        <v>1</v>
      </c>
      <c r="L2834" t="str">
        <f>TEXT(LeadsData[[#This Row],[Signup Date]],"mmm-yyyy")</f>
        <v>Feb-2024</v>
      </c>
      <c r="M2834">
        <f>IF(LeadsData[[#This Row],[Stage Number]]&gt;=2,1,0)</f>
        <v>0</v>
      </c>
      <c r="N2834" s="2">
        <f>IF(LeadsData[[#This Row],[Stage Number]]&gt;=3,1,0)</f>
        <v>0</v>
      </c>
      <c r="O2834" s="2">
        <f>IF(LeadsData[[#This Row],[Stage Number]]&gt;=4,1,0)</f>
        <v>0</v>
      </c>
    </row>
    <row r="2835" spans="1:15" x14ac:dyDescent="0.25">
      <c r="A2835" t="s">
        <v>2875</v>
      </c>
      <c r="B2835" s="1">
        <v>45620</v>
      </c>
      <c r="C2835" t="s">
        <v>31</v>
      </c>
      <c r="D2835" t="s">
        <v>34</v>
      </c>
      <c r="E2835" t="s">
        <v>21</v>
      </c>
      <c r="F2835" t="s">
        <v>28</v>
      </c>
      <c r="G2835" t="s">
        <v>23</v>
      </c>
      <c r="K2835" cm="1">
        <f t="array" ref="K2835">_xlfn.SWITCH(LeadsData[[#This Row],[Funnel Stage Reached]],"Lead",1,"MQL",2,"SQL",3,"Customer",4)</f>
        <v>2</v>
      </c>
      <c r="L2835" t="str">
        <f>TEXT(LeadsData[[#This Row],[Signup Date]],"mmm-yyyy")</f>
        <v>Nov-2024</v>
      </c>
      <c r="M2835">
        <f>IF(LeadsData[[#This Row],[Stage Number]]&gt;=2,1,0)</f>
        <v>1</v>
      </c>
      <c r="N2835" s="2">
        <f>IF(LeadsData[[#This Row],[Stage Number]]&gt;=3,1,0)</f>
        <v>0</v>
      </c>
      <c r="O2835" s="2">
        <f>IF(LeadsData[[#This Row],[Stage Number]]&gt;=4,1,0)</f>
        <v>0</v>
      </c>
    </row>
    <row r="2836" spans="1:15" x14ac:dyDescent="0.25">
      <c r="A2836" t="s">
        <v>2876</v>
      </c>
      <c r="B2836" s="1">
        <v>45423</v>
      </c>
      <c r="C2836" t="s">
        <v>25</v>
      </c>
      <c r="D2836" t="s">
        <v>26</v>
      </c>
      <c r="E2836" t="s">
        <v>13</v>
      </c>
      <c r="F2836" t="s">
        <v>19</v>
      </c>
      <c r="G2836" t="s">
        <v>23</v>
      </c>
      <c r="K2836" cm="1">
        <f t="array" ref="K2836">_xlfn.SWITCH(LeadsData[[#This Row],[Funnel Stage Reached]],"Lead",1,"MQL",2,"SQL",3,"Customer",4)</f>
        <v>2</v>
      </c>
      <c r="L2836" t="str">
        <f>TEXT(LeadsData[[#This Row],[Signup Date]],"mmm-yyyy")</f>
        <v>May-2024</v>
      </c>
      <c r="M2836">
        <f>IF(LeadsData[[#This Row],[Stage Number]]&gt;=2,1,0)</f>
        <v>1</v>
      </c>
      <c r="N2836" s="2">
        <f>IF(LeadsData[[#This Row],[Stage Number]]&gt;=3,1,0)</f>
        <v>0</v>
      </c>
      <c r="O2836" s="2">
        <f>IF(LeadsData[[#This Row],[Stage Number]]&gt;=4,1,0)</f>
        <v>0</v>
      </c>
    </row>
    <row r="2837" spans="1:15" x14ac:dyDescent="0.25">
      <c r="A2837" t="s">
        <v>2877</v>
      </c>
      <c r="B2837" s="1">
        <v>45525</v>
      </c>
      <c r="C2837" t="s">
        <v>25</v>
      </c>
      <c r="D2837" t="s">
        <v>26</v>
      </c>
      <c r="E2837" t="s">
        <v>13</v>
      </c>
      <c r="F2837" t="s">
        <v>14</v>
      </c>
      <c r="G2837" t="s">
        <v>29</v>
      </c>
      <c r="K2837" cm="1">
        <f t="array" ref="K2837">_xlfn.SWITCH(LeadsData[[#This Row],[Funnel Stage Reached]],"Lead",1,"MQL",2,"SQL",3,"Customer",4)</f>
        <v>3</v>
      </c>
      <c r="L2837" t="str">
        <f>TEXT(LeadsData[[#This Row],[Signup Date]],"mmm-yyyy")</f>
        <v>Aug-2024</v>
      </c>
      <c r="M2837">
        <f>IF(LeadsData[[#This Row],[Stage Number]]&gt;=2,1,0)</f>
        <v>1</v>
      </c>
      <c r="N2837" s="2">
        <f>IF(LeadsData[[#This Row],[Stage Number]]&gt;=3,1,0)</f>
        <v>1</v>
      </c>
      <c r="O2837" s="2">
        <f>IF(LeadsData[[#This Row],[Stage Number]]&gt;=4,1,0)</f>
        <v>0</v>
      </c>
    </row>
    <row r="2838" spans="1:15" x14ac:dyDescent="0.25">
      <c r="A2838" t="s">
        <v>2878</v>
      </c>
      <c r="B2838" s="1">
        <v>45480</v>
      </c>
      <c r="C2838" t="s">
        <v>25</v>
      </c>
      <c r="D2838" t="s">
        <v>26</v>
      </c>
      <c r="E2838" t="s">
        <v>13</v>
      </c>
      <c r="F2838" t="s">
        <v>22</v>
      </c>
      <c r="G2838" t="s">
        <v>29</v>
      </c>
      <c r="K2838" cm="1">
        <f t="array" ref="K2838">_xlfn.SWITCH(LeadsData[[#This Row],[Funnel Stage Reached]],"Lead",1,"MQL",2,"SQL",3,"Customer",4)</f>
        <v>3</v>
      </c>
      <c r="L2838" t="str">
        <f>TEXT(LeadsData[[#This Row],[Signup Date]],"mmm-yyyy")</f>
        <v>Jul-2024</v>
      </c>
      <c r="M2838">
        <f>IF(LeadsData[[#This Row],[Stage Number]]&gt;=2,1,0)</f>
        <v>1</v>
      </c>
      <c r="N2838" s="2">
        <f>IF(LeadsData[[#This Row],[Stage Number]]&gt;=3,1,0)</f>
        <v>1</v>
      </c>
      <c r="O2838" s="2">
        <f>IF(LeadsData[[#This Row],[Stage Number]]&gt;=4,1,0)</f>
        <v>0</v>
      </c>
    </row>
    <row r="2839" spans="1:15" x14ac:dyDescent="0.25">
      <c r="A2839" t="s">
        <v>2879</v>
      </c>
      <c r="B2839" s="1">
        <v>45568</v>
      </c>
      <c r="C2839" t="s">
        <v>36</v>
      </c>
      <c r="D2839" t="s">
        <v>37</v>
      </c>
      <c r="E2839" t="s">
        <v>13</v>
      </c>
      <c r="F2839" t="s">
        <v>22</v>
      </c>
      <c r="G2839" t="s">
        <v>29</v>
      </c>
      <c r="K2839" cm="1">
        <f t="array" ref="K2839">_xlfn.SWITCH(LeadsData[[#This Row],[Funnel Stage Reached]],"Lead",1,"MQL",2,"SQL",3,"Customer",4)</f>
        <v>3</v>
      </c>
      <c r="L2839" t="str">
        <f>TEXT(LeadsData[[#This Row],[Signup Date]],"mmm-yyyy")</f>
        <v>Oct-2024</v>
      </c>
      <c r="M2839">
        <f>IF(LeadsData[[#This Row],[Stage Number]]&gt;=2,1,0)</f>
        <v>1</v>
      </c>
      <c r="N2839" s="2">
        <f>IF(LeadsData[[#This Row],[Stage Number]]&gt;=3,1,0)</f>
        <v>1</v>
      </c>
      <c r="O2839" s="2">
        <f>IF(LeadsData[[#This Row],[Stage Number]]&gt;=4,1,0)</f>
        <v>0</v>
      </c>
    </row>
    <row r="2840" spans="1:15" x14ac:dyDescent="0.25">
      <c r="A2840" t="s">
        <v>2880</v>
      </c>
      <c r="B2840" s="1">
        <v>45365</v>
      </c>
      <c r="C2840" t="s">
        <v>31</v>
      </c>
      <c r="D2840" t="s">
        <v>34</v>
      </c>
      <c r="E2840" t="s">
        <v>21</v>
      </c>
      <c r="F2840" t="s">
        <v>19</v>
      </c>
      <c r="G2840" t="s">
        <v>15</v>
      </c>
      <c r="K2840" cm="1">
        <f t="array" ref="K2840">_xlfn.SWITCH(LeadsData[[#This Row],[Funnel Stage Reached]],"Lead",1,"MQL",2,"SQL",3,"Customer",4)</f>
        <v>1</v>
      </c>
      <c r="L2840" t="str">
        <f>TEXT(LeadsData[[#This Row],[Signup Date]],"mmm-yyyy")</f>
        <v>Mar-2024</v>
      </c>
      <c r="M2840">
        <f>IF(LeadsData[[#This Row],[Stage Number]]&gt;=2,1,0)</f>
        <v>0</v>
      </c>
      <c r="N2840" s="2">
        <f>IF(LeadsData[[#This Row],[Stage Number]]&gt;=3,1,0)</f>
        <v>0</v>
      </c>
      <c r="O2840" s="2">
        <f>IF(LeadsData[[#This Row],[Stage Number]]&gt;=4,1,0)</f>
        <v>0</v>
      </c>
    </row>
    <row r="2841" spans="1:15" x14ac:dyDescent="0.25">
      <c r="A2841" t="s">
        <v>2881</v>
      </c>
      <c r="B2841" s="1">
        <v>45583</v>
      </c>
      <c r="C2841" t="s">
        <v>36</v>
      </c>
      <c r="D2841" t="s">
        <v>37</v>
      </c>
      <c r="E2841" t="s">
        <v>13</v>
      </c>
      <c r="F2841" t="s">
        <v>28</v>
      </c>
      <c r="G2841" t="s">
        <v>15</v>
      </c>
      <c r="K2841" cm="1">
        <f t="array" ref="K2841">_xlfn.SWITCH(LeadsData[[#This Row],[Funnel Stage Reached]],"Lead",1,"MQL",2,"SQL",3,"Customer",4)</f>
        <v>1</v>
      </c>
      <c r="L2841" t="str">
        <f>TEXT(LeadsData[[#This Row],[Signup Date]],"mmm-yyyy")</f>
        <v>Oct-2024</v>
      </c>
      <c r="M2841">
        <f>IF(LeadsData[[#This Row],[Stage Number]]&gt;=2,1,0)</f>
        <v>0</v>
      </c>
      <c r="N2841" s="2">
        <f>IF(LeadsData[[#This Row],[Stage Number]]&gt;=3,1,0)</f>
        <v>0</v>
      </c>
      <c r="O2841" s="2">
        <f>IF(LeadsData[[#This Row],[Stage Number]]&gt;=4,1,0)</f>
        <v>0</v>
      </c>
    </row>
    <row r="2842" spans="1:15" x14ac:dyDescent="0.25">
      <c r="A2842" t="s">
        <v>2882</v>
      </c>
      <c r="B2842" s="1">
        <v>45638</v>
      </c>
      <c r="C2842" t="s">
        <v>31</v>
      </c>
      <c r="D2842" t="s">
        <v>34</v>
      </c>
      <c r="E2842" t="s">
        <v>48</v>
      </c>
      <c r="F2842" t="s">
        <v>19</v>
      </c>
      <c r="G2842" t="s">
        <v>15</v>
      </c>
      <c r="K2842" cm="1">
        <f t="array" ref="K2842">_xlfn.SWITCH(LeadsData[[#This Row],[Funnel Stage Reached]],"Lead",1,"MQL",2,"SQL",3,"Customer",4)</f>
        <v>1</v>
      </c>
      <c r="L2842" t="str">
        <f>TEXT(LeadsData[[#This Row],[Signup Date]],"mmm-yyyy")</f>
        <v>Dec-2024</v>
      </c>
      <c r="M2842">
        <f>IF(LeadsData[[#This Row],[Stage Number]]&gt;=2,1,0)</f>
        <v>0</v>
      </c>
      <c r="N2842" s="2">
        <f>IF(LeadsData[[#This Row],[Stage Number]]&gt;=3,1,0)</f>
        <v>0</v>
      </c>
      <c r="O2842" s="2">
        <f>IF(LeadsData[[#This Row],[Stage Number]]&gt;=4,1,0)</f>
        <v>0</v>
      </c>
    </row>
    <row r="2843" spans="1:15" x14ac:dyDescent="0.25">
      <c r="A2843" t="s">
        <v>2883</v>
      </c>
      <c r="B2843" s="1">
        <v>45480</v>
      </c>
      <c r="C2843" t="s">
        <v>36</v>
      </c>
      <c r="D2843" t="s">
        <v>37</v>
      </c>
      <c r="E2843" t="s">
        <v>48</v>
      </c>
      <c r="F2843" t="s">
        <v>22</v>
      </c>
      <c r="G2843" t="s">
        <v>15</v>
      </c>
      <c r="K2843" cm="1">
        <f t="array" ref="K2843">_xlfn.SWITCH(LeadsData[[#This Row],[Funnel Stage Reached]],"Lead",1,"MQL",2,"SQL",3,"Customer",4)</f>
        <v>1</v>
      </c>
      <c r="L2843" t="str">
        <f>TEXT(LeadsData[[#This Row],[Signup Date]],"mmm-yyyy")</f>
        <v>Jul-2024</v>
      </c>
      <c r="M2843">
        <f>IF(LeadsData[[#This Row],[Stage Number]]&gt;=2,1,0)</f>
        <v>0</v>
      </c>
      <c r="N2843" s="2">
        <f>IF(LeadsData[[#This Row],[Stage Number]]&gt;=3,1,0)</f>
        <v>0</v>
      </c>
      <c r="O2843" s="2">
        <f>IF(LeadsData[[#This Row],[Stage Number]]&gt;=4,1,0)</f>
        <v>0</v>
      </c>
    </row>
    <row r="2844" spans="1:15" x14ac:dyDescent="0.25">
      <c r="A2844" t="s">
        <v>2884</v>
      </c>
      <c r="B2844" s="1">
        <v>45605</v>
      </c>
      <c r="C2844" t="s">
        <v>11</v>
      </c>
      <c r="D2844" t="s">
        <v>79</v>
      </c>
      <c r="E2844" t="s">
        <v>13</v>
      </c>
      <c r="F2844" t="s">
        <v>22</v>
      </c>
      <c r="G2844" t="s">
        <v>15</v>
      </c>
      <c r="K2844" cm="1">
        <f t="array" ref="K2844">_xlfn.SWITCH(LeadsData[[#This Row],[Funnel Stage Reached]],"Lead",1,"MQL",2,"SQL",3,"Customer",4)</f>
        <v>1</v>
      </c>
      <c r="L2844" t="str">
        <f>TEXT(LeadsData[[#This Row],[Signup Date]],"mmm-yyyy")</f>
        <v>Nov-2024</v>
      </c>
      <c r="M2844">
        <f>IF(LeadsData[[#This Row],[Stage Number]]&gt;=2,1,0)</f>
        <v>0</v>
      </c>
      <c r="N2844" s="2">
        <f>IF(LeadsData[[#This Row],[Stage Number]]&gt;=3,1,0)</f>
        <v>0</v>
      </c>
      <c r="O2844" s="2">
        <f>IF(LeadsData[[#This Row],[Stage Number]]&gt;=4,1,0)</f>
        <v>0</v>
      </c>
    </row>
    <row r="2845" spans="1:15" x14ac:dyDescent="0.25">
      <c r="A2845" t="s">
        <v>2885</v>
      </c>
      <c r="B2845" s="1">
        <v>45334</v>
      </c>
      <c r="C2845" t="s">
        <v>17</v>
      </c>
      <c r="D2845" t="s">
        <v>53</v>
      </c>
      <c r="E2845" t="s">
        <v>13</v>
      </c>
      <c r="F2845" t="s">
        <v>19</v>
      </c>
      <c r="G2845" t="s">
        <v>15</v>
      </c>
      <c r="K2845" cm="1">
        <f t="array" ref="K2845">_xlfn.SWITCH(LeadsData[[#This Row],[Funnel Stage Reached]],"Lead",1,"MQL",2,"SQL",3,"Customer",4)</f>
        <v>1</v>
      </c>
      <c r="L2845" t="str">
        <f>TEXT(LeadsData[[#This Row],[Signup Date]],"mmm-yyyy")</f>
        <v>Feb-2024</v>
      </c>
      <c r="M2845">
        <f>IF(LeadsData[[#This Row],[Stage Number]]&gt;=2,1,0)</f>
        <v>0</v>
      </c>
      <c r="N2845" s="2">
        <f>IF(LeadsData[[#This Row],[Stage Number]]&gt;=3,1,0)</f>
        <v>0</v>
      </c>
      <c r="O2845" s="2">
        <f>IF(LeadsData[[#This Row],[Stage Number]]&gt;=4,1,0)</f>
        <v>0</v>
      </c>
    </row>
    <row r="2846" spans="1:15" x14ac:dyDescent="0.25">
      <c r="A2846" t="s">
        <v>2886</v>
      </c>
      <c r="B2846" s="1">
        <v>45624</v>
      </c>
      <c r="C2846" t="s">
        <v>31</v>
      </c>
      <c r="D2846" t="s">
        <v>34</v>
      </c>
      <c r="E2846" t="s">
        <v>13</v>
      </c>
      <c r="F2846" t="s">
        <v>14</v>
      </c>
      <c r="G2846" t="s">
        <v>15</v>
      </c>
      <c r="K2846" cm="1">
        <f t="array" ref="K2846">_xlfn.SWITCH(LeadsData[[#This Row],[Funnel Stage Reached]],"Lead",1,"MQL",2,"SQL",3,"Customer",4)</f>
        <v>1</v>
      </c>
      <c r="L2846" t="str">
        <f>TEXT(LeadsData[[#This Row],[Signup Date]],"mmm-yyyy")</f>
        <v>Nov-2024</v>
      </c>
      <c r="M2846">
        <f>IF(LeadsData[[#This Row],[Stage Number]]&gt;=2,1,0)</f>
        <v>0</v>
      </c>
      <c r="N2846" s="2">
        <f>IF(LeadsData[[#This Row],[Stage Number]]&gt;=3,1,0)</f>
        <v>0</v>
      </c>
      <c r="O2846" s="2">
        <f>IF(LeadsData[[#This Row],[Stage Number]]&gt;=4,1,0)</f>
        <v>0</v>
      </c>
    </row>
    <row r="2847" spans="1:15" x14ac:dyDescent="0.25">
      <c r="A2847" t="s">
        <v>2887</v>
      </c>
      <c r="B2847" s="1">
        <v>45581</v>
      </c>
      <c r="C2847" t="s">
        <v>36</v>
      </c>
      <c r="D2847" t="s">
        <v>50</v>
      </c>
      <c r="E2847" t="s">
        <v>13</v>
      </c>
      <c r="F2847" t="s">
        <v>14</v>
      </c>
      <c r="G2847" t="s">
        <v>23</v>
      </c>
      <c r="K2847" cm="1">
        <f t="array" ref="K2847">_xlfn.SWITCH(LeadsData[[#This Row],[Funnel Stage Reached]],"Lead",1,"MQL",2,"SQL",3,"Customer",4)</f>
        <v>2</v>
      </c>
      <c r="L2847" t="str">
        <f>TEXT(LeadsData[[#This Row],[Signup Date]],"mmm-yyyy")</f>
        <v>Oct-2024</v>
      </c>
      <c r="M2847">
        <f>IF(LeadsData[[#This Row],[Stage Number]]&gt;=2,1,0)</f>
        <v>1</v>
      </c>
      <c r="N2847" s="2">
        <f>IF(LeadsData[[#This Row],[Stage Number]]&gt;=3,1,0)</f>
        <v>0</v>
      </c>
      <c r="O2847" s="2">
        <f>IF(LeadsData[[#This Row],[Stage Number]]&gt;=4,1,0)</f>
        <v>0</v>
      </c>
    </row>
    <row r="2848" spans="1:15" x14ac:dyDescent="0.25">
      <c r="A2848" t="s">
        <v>2888</v>
      </c>
      <c r="B2848" s="1">
        <v>45583</v>
      </c>
      <c r="C2848" t="s">
        <v>11</v>
      </c>
      <c r="D2848" t="s">
        <v>79</v>
      </c>
      <c r="E2848" t="s">
        <v>21</v>
      </c>
      <c r="F2848" t="s">
        <v>28</v>
      </c>
      <c r="G2848" t="s">
        <v>29</v>
      </c>
      <c r="K2848" cm="1">
        <f t="array" ref="K2848">_xlfn.SWITCH(LeadsData[[#This Row],[Funnel Stage Reached]],"Lead",1,"MQL",2,"SQL",3,"Customer",4)</f>
        <v>3</v>
      </c>
      <c r="L2848" t="str">
        <f>TEXT(LeadsData[[#This Row],[Signup Date]],"mmm-yyyy")</f>
        <v>Oct-2024</v>
      </c>
      <c r="M2848">
        <f>IF(LeadsData[[#This Row],[Stage Number]]&gt;=2,1,0)</f>
        <v>1</v>
      </c>
      <c r="N2848" s="2">
        <f>IF(LeadsData[[#This Row],[Stage Number]]&gt;=3,1,0)</f>
        <v>1</v>
      </c>
      <c r="O2848" s="2">
        <f>IF(LeadsData[[#This Row],[Stage Number]]&gt;=4,1,0)</f>
        <v>0</v>
      </c>
    </row>
    <row r="2849" spans="1:15" x14ac:dyDescent="0.25">
      <c r="A2849" t="s">
        <v>2889</v>
      </c>
      <c r="B2849" s="1">
        <v>45494</v>
      </c>
      <c r="C2849" t="s">
        <v>31</v>
      </c>
      <c r="D2849" t="s">
        <v>34</v>
      </c>
      <c r="E2849" t="s">
        <v>21</v>
      </c>
      <c r="F2849" t="s">
        <v>14</v>
      </c>
      <c r="G2849" t="s">
        <v>29</v>
      </c>
      <c r="K2849" cm="1">
        <f t="array" ref="K2849">_xlfn.SWITCH(LeadsData[[#This Row],[Funnel Stage Reached]],"Lead",1,"MQL",2,"SQL",3,"Customer",4)</f>
        <v>3</v>
      </c>
      <c r="L2849" t="str">
        <f>TEXT(LeadsData[[#This Row],[Signup Date]],"mmm-yyyy")</f>
        <v>Jul-2024</v>
      </c>
      <c r="M2849">
        <f>IF(LeadsData[[#This Row],[Stage Number]]&gt;=2,1,0)</f>
        <v>1</v>
      </c>
      <c r="N2849" s="2">
        <f>IF(LeadsData[[#This Row],[Stage Number]]&gt;=3,1,0)</f>
        <v>1</v>
      </c>
      <c r="O2849" s="2">
        <f>IF(LeadsData[[#This Row],[Stage Number]]&gt;=4,1,0)</f>
        <v>0</v>
      </c>
    </row>
    <row r="2850" spans="1:15" x14ac:dyDescent="0.25">
      <c r="A2850" t="s">
        <v>2890</v>
      </c>
      <c r="B2850" s="1">
        <v>45451</v>
      </c>
      <c r="C2850" t="s">
        <v>31</v>
      </c>
      <c r="D2850" t="s">
        <v>32</v>
      </c>
      <c r="E2850" t="s">
        <v>13</v>
      </c>
      <c r="F2850" t="s">
        <v>19</v>
      </c>
      <c r="G2850" t="s">
        <v>15</v>
      </c>
      <c r="K2850" cm="1">
        <f t="array" ref="K2850">_xlfn.SWITCH(LeadsData[[#This Row],[Funnel Stage Reached]],"Lead",1,"MQL",2,"SQL",3,"Customer",4)</f>
        <v>1</v>
      </c>
      <c r="L2850" t="str">
        <f>TEXT(LeadsData[[#This Row],[Signup Date]],"mmm-yyyy")</f>
        <v>Jun-2024</v>
      </c>
      <c r="M2850">
        <f>IF(LeadsData[[#This Row],[Stage Number]]&gt;=2,1,0)</f>
        <v>0</v>
      </c>
      <c r="N2850" s="2">
        <f>IF(LeadsData[[#This Row],[Stage Number]]&gt;=3,1,0)</f>
        <v>0</v>
      </c>
      <c r="O2850" s="2">
        <f>IF(LeadsData[[#This Row],[Stage Number]]&gt;=4,1,0)</f>
        <v>0</v>
      </c>
    </row>
    <row r="2851" spans="1:15" x14ac:dyDescent="0.25">
      <c r="A2851" t="s">
        <v>2891</v>
      </c>
      <c r="B2851" s="1">
        <v>45522</v>
      </c>
      <c r="C2851" t="s">
        <v>36</v>
      </c>
      <c r="D2851" t="s">
        <v>37</v>
      </c>
      <c r="E2851" t="s">
        <v>21</v>
      </c>
      <c r="F2851" t="s">
        <v>22</v>
      </c>
      <c r="G2851" t="s">
        <v>23</v>
      </c>
      <c r="K2851" cm="1">
        <f t="array" ref="K2851">_xlfn.SWITCH(LeadsData[[#This Row],[Funnel Stage Reached]],"Lead",1,"MQL",2,"SQL",3,"Customer",4)</f>
        <v>2</v>
      </c>
      <c r="L2851" t="str">
        <f>TEXT(LeadsData[[#This Row],[Signup Date]],"mmm-yyyy")</f>
        <v>Aug-2024</v>
      </c>
      <c r="M2851">
        <f>IF(LeadsData[[#This Row],[Stage Number]]&gt;=2,1,0)</f>
        <v>1</v>
      </c>
      <c r="N2851" s="2">
        <f>IF(LeadsData[[#This Row],[Stage Number]]&gt;=3,1,0)</f>
        <v>0</v>
      </c>
      <c r="O2851" s="2">
        <f>IF(LeadsData[[#This Row],[Stage Number]]&gt;=4,1,0)</f>
        <v>0</v>
      </c>
    </row>
    <row r="2852" spans="1:15" x14ac:dyDescent="0.25">
      <c r="A2852" t="s">
        <v>2892</v>
      </c>
      <c r="B2852" s="1">
        <v>45357</v>
      </c>
      <c r="C2852" t="s">
        <v>25</v>
      </c>
      <c r="D2852" t="s">
        <v>26</v>
      </c>
      <c r="E2852" t="s">
        <v>21</v>
      </c>
      <c r="F2852" t="s">
        <v>14</v>
      </c>
      <c r="G2852" t="s">
        <v>15</v>
      </c>
      <c r="K2852" cm="1">
        <f t="array" ref="K2852">_xlfn.SWITCH(LeadsData[[#This Row],[Funnel Stage Reached]],"Lead",1,"MQL",2,"SQL",3,"Customer",4)</f>
        <v>1</v>
      </c>
      <c r="L2852" t="str">
        <f>TEXT(LeadsData[[#This Row],[Signup Date]],"mmm-yyyy")</f>
        <v>Mar-2024</v>
      </c>
      <c r="M2852">
        <f>IF(LeadsData[[#This Row],[Stage Number]]&gt;=2,1,0)</f>
        <v>0</v>
      </c>
      <c r="N2852" s="2">
        <f>IF(LeadsData[[#This Row],[Stage Number]]&gt;=3,1,0)</f>
        <v>0</v>
      </c>
      <c r="O2852" s="2">
        <f>IF(LeadsData[[#This Row],[Stage Number]]&gt;=4,1,0)</f>
        <v>0</v>
      </c>
    </row>
    <row r="2853" spans="1:15" x14ac:dyDescent="0.25">
      <c r="A2853" t="s">
        <v>2893</v>
      </c>
      <c r="B2853" s="1">
        <v>45435</v>
      </c>
      <c r="C2853" t="s">
        <v>17</v>
      </c>
      <c r="D2853" t="s">
        <v>53</v>
      </c>
      <c r="E2853" t="s">
        <v>13</v>
      </c>
      <c r="F2853" t="s">
        <v>22</v>
      </c>
      <c r="G2853" t="s">
        <v>15</v>
      </c>
      <c r="K2853" cm="1">
        <f t="array" ref="K2853">_xlfn.SWITCH(LeadsData[[#This Row],[Funnel Stage Reached]],"Lead",1,"MQL",2,"SQL",3,"Customer",4)</f>
        <v>1</v>
      </c>
      <c r="L2853" t="str">
        <f>TEXT(LeadsData[[#This Row],[Signup Date]],"mmm-yyyy")</f>
        <v>May-2024</v>
      </c>
      <c r="M2853">
        <f>IF(LeadsData[[#This Row],[Stage Number]]&gt;=2,1,0)</f>
        <v>0</v>
      </c>
      <c r="N2853" s="2">
        <f>IF(LeadsData[[#This Row],[Stage Number]]&gt;=3,1,0)</f>
        <v>0</v>
      </c>
      <c r="O2853" s="2">
        <f>IF(LeadsData[[#This Row],[Stage Number]]&gt;=4,1,0)</f>
        <v>0</v>
      </c>
    </row>
    <row r="2854" spans="1:15" x14ac:dyDescent="0.25">
      <c r="A2854" t="s">
        <v>2894</v>
      </c>
      <c r="B2854" s="1">
        <v>45397</v>
      </c>
      <c r="C2854" t="s">
        <v>25</v>
      </c>
      <c r="D2854" t="s">
        <v>26</v>
      </c>
      <c r="E2854" t="s">
        <v>13</v>
      </c>
      <c r="F2854" t="s">
        <v>19</v>
      </c>
      <c r="G2854" t="s">
        <v>15</v>
      </c>
      <c r="K2854" cm="1">
        <f t="array" ref="K2854">_xlfn.SWITCH(LeadsData[[#This Row],[Funnel Stage Reached]],"Lead",1,"MQL",2,"SQL",3,"Customer",4)</f>
        <v>1</v>
      </c>
      <c r="L2854" t="str">
        <f>TEXT(LeadsData[[#This Row],[Signup Date]],"mmm-yyyy")</f>
        <v>Apr-2024</v>
      </c>
      <c r="M2854">
        <f>IF(LeadsData[[#This Row],[Stage Number]]&gt;=2,1,0)</f>
        <v>0</v>
      </c>
      <c r="N2854" s="2">
        <f>IF(LeadsData[[#This Row],[Stage Number]]&gt;=3,1,0)</f>
        <v>0</v>
      </c>
      <c r="O2854" s="2">
        <f>IF(LeadsData[[#This Row],[Stage Number]]&gt;=4,1,0)</f>
        <v>0</v>
      </c>
    </row>
    <row r="2855" spans="1:15" x14ac:dyDescent="0.25">
      <c r="A2855" t="s">
        <v>2895</v>
      </c>
      <c r="B2855" s="1">
        <v>45566</v>
      </c>
      <c r="C2855" t="s">
        <v>31</v>
      </c>
      <c r="D2855" t="s">
        <v>32</v>
      </c>
      <c r="E2855" t="s">
        <v>13</v>
      </c>
      <c r="F2855" t="s">
        <v>19</v>
      </c>
      <c r="G2855" t="s">
        <v>23</v>
      </c>
      <c r="K2855" cm="1">
        <f t="array" ref="K2855">_xlfn.SWITCH(LeadsData[[#This Row],[Funnel Stage Reached]],"Lead",1,"MQL",2,"SQL",3,"Customer",4)</f>
        <v>2</v>
      </c>
      <c r="L2855" t="str">
        <f>TEXT(LeadsData[[#This Row],[Signup Date]],"mmm-yyyy")</f>
        <v>Oct-2024</v>
      </c>
      <c r="M2855">
        <f>IF(LeadsData[[#This Row],[Stage Number]]&gt;=2,1,0)</f>
        <v>1</v>
      </c>
      <c r="N2855" s="2">
        <f>IF(LeadsData[[#This Row],[Stage Number]]&gt;=3,1,0)</f>
        <v>0</v>
      </c>
      <c r="O2855" s="2">
        <f>IF(LeadsData[[#This Row],[Stage Number]]&gt;=4,1,0)</f>
        <v>0</v>
      </c>
    </row>
    <row r="2856" spans="1:15" x14ac:dyDescent="0.25">
      <c r="A2856" t="s">
        <v>2896</v>
      </c>
      <c r="B2856" s="1">
        <v>45337</v>
      </c>
      <c r="C2856" t="s">
        <v>36</v>
      </c>
      <c r="D2856" t="s">
        <v>50</v>
      </c>
      <c r="E2856" t="s">
        <v>13</v>
      </c>
      <c r="F2856" t="s">
        <v>19</v>
      </c>
      <c r="G2856" t="s">
        <v>23</v>
      </c>
      <c r="K2856" cm="1">
        <f t="array" ref="K2856">_xlfn.SWITCH(LeadsData[[#This Row],[Funnel Stage Reached]],"Lead",1,"MQL",2,"SQL",3,"Customer",4)</f>
        <v>2</v>
      </c>
      <c r="L2856" t="str">
        <f>TEXT(LeadsData[[#This Row],[Signup Date]],"mmm-yyyy")</f>
        <v>Feb-2024</v>
      </c>
      <c r="M2856">
        <f>IF(LeadsData[[#This Row],[Stage Number]]&gt;=2,1,0)</f>
        <v>1</v>
      </c>
      <c r="N2856" s="2">
        <f>IF(LeadsData[[#This Row],[Stage Number]]&gt;=3,1,0)</f>
        <v>0</v>
      </c>
      <c r="O2856" s="2">
        <f>IF(LeadsData[[#This Row],[Stage Number]]&gt;=4,1,0)</f>
        <v>0</v>
      </c>
    </row>
    <row r="2857" spans="1:15" x14ac:dyDescent="0.25">
      <c r="A2857" t="s">
        <v>2897</v>
      </c>
      <c r="B2857" s="1">
        <v>45440</v>
      </c>
      <c r="C2857" t="s">
        <v>31</v>
      </c>
      <c r="D2857" t="s">
        <v>34</v>
      </c>
      <c r="E2857" t="s">
        <v>13</v>
      </c>
      <c r="F2857" t="s">
        <v>14</v>
      </c>
      <c r="G2857" t="s">
        <v>29</v>
      </c>
      <c r="K2857" cm="1">
        <f t="array" ref="K2857">_xlfn.SWITCH(LeadsData[[#This Row],[Funnel Stage Reached]],"Lead",1,"MQL",2,"SQL",3,"Customer",4)</f>
        <v>3</v>
      </c>
      <c r="L2857" t="str">
        <f>TEXT(LeadsData[[#This Row],[Signup Date]],"mmm-yyyy")</f>
        <v>May-2024</v>
      </c>
      <c r="M2857">
        <f>IF(LeadsData[[#This Row],[Stage Number]]&gt;=2,1,0)</f>
        <v>1</v>
      </c>
      <c r="N2857" s="2">
        <f>IF(LeadsData[[#This Row],[Stage Number]]&gt;=3,1,0)</f>
        <v>1</v>
      </c>
      <c r="O2857" s="2">
        <f>IF(LeadsData[[#This Row],[Stage Number]]&gt;=4,1,0)</f>
        <v>0</v>
      </c>
    </row>
    <row r="2858" spans="1:15" x14ac:dyDescent="0.25">
      <c r="A2858" t="s">
        <v>2898</v>
      </c>
      <c r="B2858" s="1">
        <v>45405</v>
      </c>
      <c r="C2858" t="s">
        <v>25</v>
      </c>
      <c r="D2858" t="s">
        <v>26</v>
      </c>
      <c r="E2858" t="s">
        <v>21</v>
      </c>
      <c r="F2858" t="s">
        <v>22</v>
      </c>
      <c r="G2858" t="s">
        <v>23</v>
      </c>
      <c r="K2858" cm="1">
        <f t="array" ref="K2858">_xlfn.SWITCH(LeadsData[[#This Row],[Funnel Stage Reached]],"Lead",1,"MQL",2,"SQL",3,"Customer",4)</f>
        <v>2</v>
      </c>
      <c r="L2858" t="str">
        <f>TEXT(LeadsData[[#This Row],[Signup Date]],"mmm-yyyy")</f>
        <v>Apr-2024</v>
      </c>
      <c r="M2858">
        <f>IF(LeadsData[[#This Row],[Stage Number]]&gt;=2,1,0)</f>
        <v>1</v>
      </c>
      <c r="N2858" s="2">
        <f>IF(LeadsData[[#This Row],[Stage Number]]&gt;=3,1,0)</f>
        <v>0</v>
      </c>
      <c r="O2858" s="2">
        <f>IF(LeadsData[[#This Row],[Stage Number]]&gt;=4,1,0)</f>
        <v>0</v>
      </c>
    </row>
    <row r="2859" spans="1:15" x14ac:dyDescent="0.25">
      <c r="A2859" t="s">
        <v>2899</v>
      </c>
      <c r="B2859" s="1">
        <v>45542</v>
      </c>
      <c r="C2859" t="s">
        <v>31</v>
      </c>
      <c r="D2859" t="s">
        <v>34</v>
      </c>
      <c r="E2859" t="s">
        <v>13</v>
      </c>
      <c r="F2859" t="s">
        <v>14</v>
      </c>
      <c r="G2859" t="s">
        <v>23</v>
      </c>
      <c r="K2859" cm="1">
        <f t="array" ref="K2859">_xlfn.SWITCH(LeadsData[[#This Row],[Funnel Stage Reached]],"Lead",1,"MQL",2,"SQL",3,"Customer",4)</f>
        <v>2</v>
      </c>
      <c r="L2859" t="str">
        <f>TEXT(LeadsData[[#This Row],[Signup Date]],"mmm-yyyy")</f>
        <v>Sep-2024</v>
      </c>
      <c r="M2859">
        <f>IF(LeadsData[[#This Row],[Stage Number]]&gt;=2,1,0)</f>
        <v>1</v>
      </c>
      <c r="N2859" s="2">
        <f>IF(LeadsData[[#This Row],[Stage Number]]&gt;=3,1,0)</f>
        <v>0</v>
      </c>
      <c r="O2859" s="2">
        <f>IF(LeadsData[[#This Row],[Stage Number]]&gt;=4,1,0)</f>
        <v>0</v>
      </c>
    </row>
    <row r="2860" spans="1:15" x14ac:dyDescent="0.25">
      <c r="A2860" t="s">
        <v>2900</v>
      </c>
      <c r="B2860" s="1">
        <v>45585</v>
      </c>
      <c r="C2860" t="s">
        <v>46</v>
      </c>
      <c r="D2860" t="s">
        <v>56</v>
      </c>
      <c r="E2860" t="s">
        <v>13</v>
      </c>
      <c r="F2860" t="s">
        <v>19</v>
      </c>
      <c r="G2860" t="s">
        <v>15</v>
      </c>
      <c r="K2860" cm="1">
        <f t="array" ref="K2860">_xlfn.SWITCH(LeadsData[[#This Row],[Funnel Stage Reached]],"Lead",1,"MQL",2,"SQL",3,"Customer",4)</f>
        <v>1</v>
      </c>
      <c r="L2860" t="str">
        <f>TEXT(LeadsData[[#This Row],[Signup Date]],"mmm-yyyy")</f>
        <v>Oct-2024</v>
      </c>
      <c r="M2860">
        <f>IF(LeadsData[[#This Row],[Stage Number]]&gt;=2,1,0)</f>
        <v>0</v>
      </c>
      <c r="N2860" s="2">
        <f>IF(LeadsData[[#This Row],[Stage Number]]&gt;=3,1,0)</f>
        <v>0</v>
      </c>
      <c r="O2860" s="2">
        <f>IF(LeadsData[[#This Row],[Stage Number]]&gt;=4,1,0)</f>
        <v>0</v>
      </c>
    </row>
    <row r="2861" spans="1:15" x14ac:dyDescent="0.25">
      <c r="A2861" t="s">
        <v>2901</v>
      </c>
      <c r="B2861" s="1">
        <v>45314</v>
      </c>
      <c r="C2861" t="s">
        <v>36</v>
      </c>
      <c r="D2861" t="s">
        <v>37</v>
      </c>
      <c r="E2861" t="s">
        <v>13</v>
      </c>
      <c r="F2861" t="s">
        <v>22</v>
      </c>
      <c r="G2861" t="s">
        <v>15</v>
      </c>
      <c r="K2861" cm="1">
        <f t="array" ref="K2861">_xlfn.SWITCH(LeadsData[[#This Row],[Funnel Stage Reached]],"Lead",1,"MQL",2,"SQL",3,"Customer",4)</f>
        <v>1</v>
      </c>
      <c r="L2861" t="str">
        <f>TEXT(LeadsData[[#This Row],[Signup Date]],"mmm-yyyy")</f>
        <v>Jan-2024</v>
      </c>
      <c r="M2861">
        <f>IF(LeadsData[[#This Row],[Stage Number]]&gt;=2,1,0)</f>
        <v>0</v>
      </c>
      <c r="N2861" s="2">
        <f>IF(LeadsData[[#This Row],[Stage Number]]&gt;=3,1,0)</f>
        <v>0</v>
      </c>
      <c r="O2861" s="2">
        <f>IF(LeadsData[[#This Row],[Stage Number]]&gt;=4,1,0)</f>
        <v>0</v>
      </c>
    </row>
    <row r="2862" spans="1:15" x14ac:dyDescent="0.25">
      <c r="A2862" t="s">
        <v>2902</v>
      </c>
      <c r="B2862" s="1">
        <v>45379</v>
      </c>
      <c r="C2862" t="s">
        <v>11</v>
      </c>
      <c r="D2862" t="s">
        <v>12</v>
      </c>
      <c r="E2862" t="s">
        <v>48</v>
      </c>
      <c r="F2862" t="s">
        <v>22</v>
      </c>
      <c r="G2862" t="s">
        <v>29</v>
      </c>
      <c r="K2862" cm="1">
        <f t="array" ref="K2862">_xlfn.SWITCH(LeadsData[[#This Row],[Funnel Stage Reached]],"Lead",1,"MQL",2,"SQL",3,"Customer",4)</f>
        <v>3</v>
      </c>
      <c r="L2862" t="str">
        <f>TEXT(LeadsData[[#This Row],[Signup Date]],"mmm-yyyy")</f>
        <v>Mar-2024</v>
      </c>
      <c r="M2862">
        <f>IF(LeadsData[[#This Row],[Stage Number]]&gt;=2,1,0)</f>
        <v>1</v>
      </c>
      <c r="N2862" s="2">
        <f>IF(LeadsData[[#This Row],[Stage Number]]&gt;=3,1,0)</f>
        <v>1</v>
      </c>
      <c r="O2862" s="2">
        <f>IF(LeadsData[[#This Row],[Stage Number]]&gt;=4,1,0)</f>
        <v>0</v>
      </c>
    </row>
    <row r="2863" spans="1:15" x14ac:dyDescent="0.25">
      <c r="A2863" t="s">
        <v>2903</v>
      </c>
      <c r="B2863" s="1">
        <v>45579</v>
      </c>
      <c r="C2863" t="s">
        <v>36</v>
      </c>
      <c r="D2863" t="s">
        <v>50</v>
      </c>
      <c r="E2863" t="s">
        <v>13</v>
      </c>
      <c r="F2863" t="s">
        <v>22</v>
      </c>
      <c r="G2863" t="s">
        <v>29</v>
      </c>
      <c r="K2863" cm="1">
        <f t="array" ref="K2863">_xlfn.SWITCH(LeadsData[[#This Row],[Funnel Stage Reached]],"Lead",1,"MQL",2,"SQL",3,"Customer",4)</f>
        <v>3</v>
      </c>
      <c r="L2863" t="str">
        <f>TEXT(LeadsData[[#This Row],[Signup Date]],"mmm-yyyy")</f>
        <v>Oct-2024</v>
      </c>
      <c r="M2863">
        <f>IF(LeadsData[[#This Row],[Stage Number]]&gt;=2,1,0)</f>
        <v>1</v>
      </c>
      <c r="N2863" s="2">
        <f>IF(LeadsData[[#This Row],[Stage Number]]&gt;=3,1,0)</f>
        <v>1</v>
      </c>
      <c r="O2863" s="2">
        <f>IF(LeadsData[[#This Row],[Stage Number]]&gt;=4,1,0)</f>
        <v>0</v>
      </c>
    </row>
    <row r="2864" spans="1:15" x14ac:dyDescent="0.25">
      <c r="A2864" t="s">
        <v>2904</v>
      </c>
      <c r="B2864" s="1">
        <v>45553</v>
      </c>
      <c r="C2864" t="s">
        <v>46</v>
      </c>
      <c r="D2864" t="s">
        <v>56</v>
      </c>
      <c r="E2864" t="s">
        <v>48</v>
      </c>
      <c r="F2864" t="s">
        <v>19</v>
      </c>
      <c r="G2864" t="s">
        <v>42</v>
      </c>
      <c r="H2864">
        <v>15</v>
      </c>
      <c r="I2864" t="s">
        <v>43</v>
      </c>
      <c r="J2864">
        <v>933.13</v>
      </c>
      <c r="K2864" cm="1">
        <f t="array" ref="K2864">_xlfn.SWITCH(LeadsData[[#This Row],[Funnel Stage Reached]],"Lead",1,"MQL",2,"SQL",3,"Customer",4)</f>
        <v>4</v>
      </c>
      <c r="L2864" t="str">
        <f>TEXT(LeadsData[[#This Row],[Signup Date]],"mmm-yyyy")</f>
        <v>Sep-2024</v>
      </c>
      <c r="M2864">
        <f>IF(LeadsData[[#This Row],[Stage Number]]&gt;=2,1,0)</f>
        <v>1</v>
      </c>
      <c r="N2864" s="2">
        <f>IF(LeadsData[[#This Row],[Stage Number]]&gt;=3,1,0)</f>
        <v>1</v>
      </c>
      <c r="O2864" s="2">
        <f>IF(LeadsData[[#This Row],[Stage Number]]&gt;=4,1,0)</f>
        <v>1</v>
      </c>
    </row>
    <row r="2865" spans="1:15" x14ac:dyDescent="0.25">
      <c r="A2865" t="s">
        <v>2905</v>
      </c>
      <c r="B2865" s="1">
        <v>45489</v>
      </c>
      <c r="C2865" t="s">
        <v>46</v>
      </c>
      <c r="D2865" t="s">
        <v>47</v>
      </c>
      <c r="E2865" t="s">
        <v>21</v>
      </c>
      <c r="F2865" t="s">
        <v>22</v>
      </c>
      <c r="G2865" t="s">
        <v>15</v>
      </c>
      <c r="K2865" cm="1">
        <f t="array" ref="K2865">_xlfn.SWITCH(LeadsData[[#This Row],[Funnel Stage Reached]],"Lead",1,"MQL",2,"SQL",3,"Customer",4)</f>
        <v>1</v>
      </c>
      <c r="L2865" t="str">
        <f>TEXT(LeadsData[[#This Row],[Signup Date]],"mmm-yyyy")</f>
        <v>Jul-2024</v>
      </c>
      <c r="M2865">
        <f>IF(LeadsData[[#This Row],[Stage Number]]&gt;=2,1,0)</f>
        <v>0</v>
      </c>
      <c r="N2865" s="2">
        <f>IF(LeadsData[[#This Row],[Stage Number]]&gt;=3,1,0)</f>
        <v>0</v>
      </c>
      <c r="O2865" s="2">
        <f>IF(LeadsData[[#This Row],[Stage Number]]&gt;=4,1,0)</f>
        <v>0</v>
      </c>
    </row>
    <row r="2866" spans="1:15" x14ac:dyDescent="0.25">
      <c r="A2866" t="s">
        <v>2906</v>
      </c>
      <c r="B2866" s="1">
        <v>45545</v>
      </c>
      <c r="C2866" t="s">
        <v>11</v>
      </c>
      <c r="D2866" t="s">
        <v>12</v>
      </c>
      <c r="E2866" t="s">
        <v>13</v>
      </c>
      <c r="F2866" t="s">
        <v>19</v>
      </c>
      <c r="G2866" t="s">
        <v>15</v>
      </c>
      <c r="K2866" cm="1">
        <f t="array" ref="K2866">_xlfn.SWITCH(LeadsData[[#This Row],[Funnel Stage Reached]],"Lead",1,"MQL",2,"SQL",3,"Customer",4)</f>
        <v>1</v>
      </c>
      <c r="L2866" t="str">
        <f>TEXT(LeadsData[[#This Row],[Signup Date]],"mmm-yyyy")</f>
        <v>Sep-2024</v>
      </c>
      <c r="M2866">
        <f>IF(LeadsData[[#This Row],[Stage Number]]&gt;=2,1,0)</f>
        <v>0</v>
      </c>
      <c r="N2866" s="2">
        <f>IF(LeadsData[[#This Row],[Stage Number]]&gt;=3,1,0)</f>
        <v>0</v>
      </c>
      <c r="O2866" s="2">
        <f>IF(LeadsData[[#This Row],[Stage Number]]&gt;=4,1,0)</f>
        <v>0</v>
      </c>
    </row>
    <row r="2867" spans="1:15" x14ac:dyDescent="0.25">
      <c r="A2867" t="s">
        <v>2907</v>
      </c>
      <c r="B2867" s="1">
        <v>45627</v>
      </c>
      <c r="C2867" t="s">
        <v>46</v>
      </c>
      <c r="D2867" t="s">
        <v>47</v>
      </c>
      <c r="E2867" t="s">
        <v>13</v>
      </c>
      <c r="F2867" t="s">
        <v>22</v>
      </c>
      <c r="G2867" t="s">
        <v>15</v>
      </c>
      <c r="K2867" cm="1">
        <f t="array" ref="K2867">_xlfn.SWITCH(LeadsData[[#This Row],[Funnel Stage Reached]],"Lead",1,"MQL",2,"SQL",3,"Customer",4)</f>
        <v>1</v>
      </c>
      <c r="L2867" t="str">
        <f>TEXT(LeadsData[[#This Row],[Signup Date]],"mmm-yyyy")</f>
        <v>Dec-2024</v>
      </c>
      <c r="M2867">
        <f>IF(LeadsData[[#This Row],[Stage Number]]&gt;=2,1,0)</f>
        <v>0</v>
      </c>
      <c r="N2867" s="2">
        <f>IF(LeadsData[[#This Row],[Stage Number]]&gt;=3,1,0)</f>
        <v>0</v>
      </c>
      <c r="O2867" s="2">
        <f>IF(LeadsData[[#This Row],[Stage Number]]&gt;=4,1,0)</f>
        <v>0</v>
      </c>
    </row>
    <row r="2868" spans="1:15" x14ac:dyDescent="0.25">
      <c r="A2868" t="s">
        <v>2908</v>
      </c>
      <c r="B2868" s="1">
        <v>45638</v>
      </c>
      <c r="C2868" t="s">
        <v>36</v>
      </c>
      <c r="D2868" t="s">
        <v>50</v>
      </c>
      <c r="E2868" t="s">
        <v>21</v>
      </c>
      <c r="F2868" t="s">
        <v>22</v>
      </c>
      <c r="G2868" t="s">
        <v>23</v>
      </c>
      <c r="K2868" cm="1">
        <f t="array" ref="K2868">_xlfn.SWITCH(LeadsData[[#This Row],[Funnel Stage Reached]],"Lead",1,"MQL",2,"SQL",3,"Customer",4)</f>
        <v>2</v>
      </c>
      <c r="L2868" t="str">
        <f>TEXT(LeadsData[[#This Row],[Signup Date]],"mmm-yyyy")</f>
        <v>Dec-2024</v>
      </c>
      <c r="M2868">
        <f>IF(LeadsData[[#This Row],[Stage Number]]&gt;=2,1,0)</f>
        <v>1</v>
      </c>
      <c r="N2868" s="2">
        <f>IF(LeadsData[[#This Row],[Stage Number]]&gt;=3,1,0)</f>
        <v>0</v>
      </c>
      <c r="O2868" s="2">
        <f>IF(LeadsData[[#This Row],[Stage Number]]&gt;=4,1,0)</f>
        <v>0</v>
      </c>
    </row>
    <row r="2869" spans="1:15" x14ac:dyDescent="0.25">
      <c r="A2869" t="s">
        <v>2909</v>
      </c>
      <c r="B2869" s="1">
        <v>45385</v>
      </c>
      <c r="C2869" t="s">
        <v>36</v>
      </c>
      <c r="D2869" t="s">
        <v>37</v>
      </c>
      <c r="E2869" t="s">
        <v>21</v>
      </c>
      <c r="F2869" t="s">
        <v>22</v>
      </c>
      <c r="G2869" t="s">
        <v>29</v>
      </c>
      <c r="K2869" cm="1">
        <f t="array" ref="K2869">_xlfn.SWITCH(LeadsData[[#This Row],[Funnel Stage Reached]],"Lead",1,"MQL",2,"SQL",3,"Customer",4)</f>
        <v>3</v>
      </c>
      <c r="L2869" t="str">
        <f>TEXT(LeadsData[[#This Row],[Signup Date]],"mmm-yyyy")</f>
        <v>Apr-2024</v>
      </c>
      <c r="M2869">
        <f>IF(LeadsData[[#This Row],[Stage Number]]&gt;=2,1,0)</f>
        <v>1</v>
      </c>
      <c r="N2869" s="2">
        <f>IF(LeadsData[[#This Row],[Stage Number]]&gt;=3,1,0)</f>
        <v>1</v>
      </c>
      <c r="O2869" s="2">
        <f>IF(LeadsData[[#This Row],[Stage Number]]&gt;=4,1,0)</f>
        <v>0</v>
      </c>
    </row>
    <row r="2870" spans="1:15" x14ac:dyDescent="0.25">
      <c r="A2870" t="s">
        <v>2910</v>
      </c>
      <c r="B2870" s="1">
        <v>45329</v>
      </c>
      <c r="C2870" t="s">
        <v>17</v>
      </c>
      <c r="D2870" t="s">
        <v>18</v>
      </c>
      <c r="E2870" t="s">
        <v>21</v>
      </c>
      <c r="F2870" t="s">
        <v>22</v>
      </c>
      <c r="G2870" t="s">
        <v>23</v>
      </c>
      <c r="K2870" cm="1">
        <f t="array" ref="K2870">_xlfn.SWITCH(LeadsData[[#This Row],[Funnel Stage Reached]],"Lead",1,"MQL",2,"SQL",3,"Customer",4)</f>
        <v>2</v>
      </c>
      <c r="L2870" t="str">
        <f>TEXT(LeadsData[[#This Row],[Signup Date]],"mmm-yyyy")</f>
        <v>Feb-2024</v>
      </c>
      <c r="M2870">
        <f>IF(LeadsData[[#This Row],[Stage Number]]&gt;=2,1,0)</f>
        <v>1</v>
      </c>
      <c r="N2870" s="2">
        <f>IF(LeadsData[[#This Row],[Stage Number]]&gt;=3,1,0)</f>
        <v>0</v>
      </c>
      <c r="O2870" s="2">
        <f>IF(LeadsData[[#This Row],[Stage Number]]&gt;=4,1,0)</f>
        <v>0</v>
      </c>
    </row>
    <row r="2871" spans="1:15" x14ac:dyDescent="0.25">
      <c r="A2871" t="s">
        <v>2911</v>
      </c>
      <c r="B2871" s="1">
        <v>45505</v>
      </c>
      <c r="C2871" t="s">
        <v>31</v>
      </c>
      <c r="D2871" t="s">
        <v>34</v>
      </c>
      <c r="E2871" t="s">
        <v>13</v>
      </c>
      <c r="F2871" t="s">
        <v>19</v>
      </c>
      <c r="G2871" t="s">
        <v>15</v>
      </c>
      <c r="K2871" cm="1">
        <f t="array" ref="K2871">_xlfn.SWITCH(LeadsData[[#This Row],[Funnel Stage Reached]],"Lead",1,"MQL",2,"SQL",3,"Customer",4)</f>
        <v>1</v>
      </c>
      <c r="L2871" t="str">
        <f>TEXT(LeadsData[[#This Row],[Signup Date]],"mmm-yyyy")</f>
        <v>Aug-2024</v>
      </c>
      <c r="M2871">
        <f>IF(LeadsData[[#This Row],[Stage Number]]&gt;=2,1,0)</f>
        <v>0</v>
      </c>
      <c r="N2871" s="2">
        <f>IF(LeadsData[[#This Row],[Stage Number]]&gt;=3,1,0)</f>
        <v>0</v>
      </c>
      <c r="O2871" s="2">
        <f>IF(LeadsData[[#This Row],[Stage Number]]&gt;=4,1,0)</f>
        <v>0</v>
      </c>
    </row>
    <row r="2872" spans="1:15" x14ac:dyDescent="0.25">
      <c r="A2872" t="s">
        <v>2912</v>
      </c>
      <c r="B2872" s="1">
        <v>45475</v>
      </c>
      <c r="C2872" t="s">
        <v>31</v>
      </c>
      <c r="D2872" t="s">
        <v>32</v>
      </c>
      <c r="E2872" t="s">
        <v>21</v>
      </c>
      <c r="F2872" t="s">
        <v>22</v>
      </c>
      <c r="G2872" t="s">
        <v>15</v>
      </c>
      <c r="K2872" cm="1">
        <f t="array" ref="K2872">_xlfn.SWITCH(LeadsData[[#This Row],[Funnel Stage Reached]],"Lead",1,"MQL",2,"SQL",3,"Customer",4)</f>
        <v>1</v>
      </c>
      <c r="L2872" t="str">
        <f>TEXT(LeadsData[[#This Row],[Signup Date]],"mmm-yyyy")</f>
        <v>Jul-2024</v>
      </c>
      <c r="M2872">
        <f>IF(LeadsData[[#This Row],[Stage Number]]&gt;=2,1,0)</f>
        <v>0</v>
      </c>
      <c r="N2872" s="2">
        <f>IF(LeadsData[[#This Row],[Stage Number]]&gt;=3,1,0)</f>
        <v>0</v>
      </c>
      <c r="O2872" s="2">
        <f>IF(LeadsData[[#This Row],[Stage Number]]&gt;=4,1,0)</f>
        <v>0</v>
      </c>
    </row>
    <row r="2873" spans="1:15" x14ac:dyDescent="0.25">
      <c r="A2873" t="s">
        <v>2913</v>
      </c>
      <c r="B2873" s="1">
        <v>45388</v>
      </c>
      <c r="C2873" t="s">
        <v>11</v>
      </c>
      <c r="D2873" t="s">
        <v>68</v>
      </c>
      <c r="E2873" t="s">
        <v>21</v>
      </c>
      <c r="F2873" t="s">
        <v>22</v>
      </c>
      <c r="G2873" t="s">
        <v>15</v>
      </c>
      <c r="K2873" cm="1">
        <f t="array" ref="K2873">_xlfn.SWITCH(LeadsData[[#This Row],[Funnel Stage Reached]],"Lead",1,"MQL",2,"SQL",3,"Customer",4)</f>
        <v>1</v>
      </c>
      <c r="L2873" t="str">
        <f>TEXT(LeadsData[[#This Row],[Signup Date]],"mmm-yyyy")</f>
        <v>Apr-2024</v>
      </c>
      <c r="M2873">
        <f>IF(LeadsData[[#This Row],[Stage Number]]&gt;=2,1,0)</f>
        <v>0</v>
      </c>
      <c r="N2873" s="2">
        <f>IF(LeadsData[[#This Row],[Stage Number]]&gt;=3,1,0)</f>
        <v>0</v>
      </c>
      <c r="O2873" s="2">
        <f>IF(LeadsData[[#This Row],[Stage Number]]&gt;=4,1,0)</f>
        <v>0</v>
      </c>
    </row>
    <row r="2874" spans="1:15" x14ac:dyDescent="0.25">
      <c r="A2874" t="s">
        <v>2914</v>
      </c>
      <c r="B2874" s="1">
        <v>45343</v>
      </c>
      <c r="C2874" t="s">
        <v>36</v>
      </c>
      <c r="D2874" t="s">
        <v>37</v>
      </c>
      <c r="E2874" t="s">
        <v>13</v>
      </c>
      <c r="F2874" t="s">
        <v>19</v>
      </c>
      <c r="G2874" t="s">
        <v>15</v>
      </c>
      <c r="K2874" cm="1">
        <f t="array" ref="K2874">_xlfn.SWITCH(LeadsData[[#This Row],[Funnel Stage Reached]],"Lead",1,"MQL",2,"SQL",3,"Customer",4)</f>
        <v>1</v>
      </c>
      <c r="L2874" t="str">
        <f>TEXT(LeadsData[[#This Row],[Signup Date]],"mmm-yyyy")</f>
        <v>Feb-2024</v>
      </c>
      <c r="M2874">
        <f>IF(LeadsData[[#This Row],[Stage Number]]&gt;=2,1,0)</f>
        <v>0</v>
      </c>
      <c r="N2874" s="2">
        <f>IF(LeadsData[[#This Row],[Stage Number]]&gt;=3,1,0)</f>
        <v>0</v>
      </c>
      <c r="O2874" s="2">
        <f>IF(LeadsData[[#This Row],[Stage Number]]&gt;=4,1,0)</f>
        <v>0</v>
      </c>
    </row>
    <row r="2875" spans="1:15" x14ac:dyDescent="0.25">
      <c r="A2875" t="s">
        <v>2915</v>
      </c>
      <c r="B2875" s="1">
        <v>45552</v>
      </c>
      <c r="C2875" t="s">
        <v>25</v>
      </c>
      <c r="D2875" t="s">
        <v>26</v>
      </c>
      <c r="E2875" t="s">
        <v>21</v>
      </c>
      <c r="F2875" t="s">
        <v>22</v>
      </c>
      <c r="G2875" t="s">
        <v>15</v>
      </c>
      <c r="K2875" cm="1">
        <f t="array" ref="K2875">_xlfn.SWITCH(LeadsData[[#This Row],[Funnel Stage Reached]],"Lead",1,"MQL",2,"SQL",3,"Customer",4)</f>
        <v>1</v>
      </c>
      <c r="L2875" t="str">
        <f>TEXT(LeadsData[[#This Row],[Signup Date]],"mmm-yyyy")</f>
        <v>Sep-2024</v>
      </c>
      <c r="M2875">
        <f>IF(LeadsData[[#This Row],[Stage Number]]&gt;=2,1,0)</f>
        <v>0</v>
      </c>
      <c r="N2875" s="2">
        <f>IF(LeadsData[[#This Row],[Stage Number]]&gt;=3,1,0)</f>
        <v>0</v>
      </c>
      <c r="O2875" s="2">
        <f>IF(LeadsData[[#This Row],[Stage Number]]&gt;=4,1,0)</f>
        <v>0</v>
      </c>
    </row>
    <row r="2876" spans="1:15" x14ac:dyDescent="0.25">
      <c r="A2876" t="s">
        <v>2916</v>
      </c>
      <c r="B2876" s="1">
        <v>45560</v>
      </c>
      <c r="C2876" t="s">
        <v>17</v>
      </c>
      <c r="D2876" t="s">
        <v>53</v>
      </c>
      <c r="E2876" t="s">
        <v>13</v>
      </c>
      <c r="F2876" t="s">
        <v>28</v>
      </c>
      <c r="G2876" t="s">
        <v>15</v>
      </c>
      <c r="K2876" cm="1">
        <f t="array" ref="K2876">_xlfn.SWITCH(LeadsData[[#This Row],[Funnel Stage Reached]],"Lead",1,"MQL",2,"SQL",3,"Customer",4)</f>
        <v>1</v>
      </c>
      <c r="L2876" t="str">
        <f>TEXT(LeadsData[[#This Row],[Signup Date]],"mmm-yyyy")</f>
        <v>Sep-2024</v>
      </c>
      <c r="M2876">
        <f>IF(LeadsData[[#This Row],[Stage Number]]&gt;=2,1,0)</f>
        <v>0</v>
      </c>
      <c r="N2876" s="2">
        <f>IF(LeadsData[[#This Row],[Stage Number]]&gt;=3,1,0)</f>
        <v>0</v>
      </c>
      <c r="O2876" s="2">
        <f>IF(LeadsData[[#This Row],[Stage Number]]&gt;=4,1,0)</f>
        <v>0</v>
      </c>
    </row>
    <row r="2877" spans="1:15" x14ac:dyDescent="0.25">
      <c r="A2877" t="s">
        <v>2917</v>
      </c>
      <c r="B2877" s="1">
        <v>45416</v>
      </c>
      <c r="C2877" t="s">
        <v>31</v>
      </c>
      <c r="D2877" t="s">
        <v>34</v>
      </c>
      <c r="E2877" t="s">
        <v>13</v>
      </c>
      <c r="F2877" t="s">
        <v>19</v>
      </c>
      <c r="G2877" t="s">
        <v>15</v>
      </c>
      <c r="K2877" cm="1">
        <f t="array" ref="K2877">_xlfn.SWITCH(LeadsData[[#This Row],[Funnel Stage Reached]],"Lead",1,"MQL",2,"SQL",3,"Customer",4)</f>
        <v>1</v>
      </c>
      <c r="L2877" t="str">
        <f>TEXT(LeadsData[[#This Row],[Signup Date]],"mmm-yyyy")</f>
        <v>May-2024</v>
      </c>
      <c r="M2877">
        <f>IF(LeadsData[[#This Row],[Stage Number]]&gt;=2,1,0)</f>
        <v>0</v>
      </c>
      <c r="N2877" s="2">
        <f>IF(LeadsData[[#This Row],[Stage Number]]&gt;=3,1,0)</f>
        <v>0</v>
      </c>
      <c r="O2877" s="2">
        <f>IF(LeadsData[[#This Row],[Stage Number]]&gt;=4,1,0)</f>
        <v>0</v>
      </c>
    </row>
    <row r="2878" spans="1:15" x14ac:dyDescent="0.25">
      <c r="A2878" t="s">
        <v>2918</v>
      </c>
      <c r="B2878" s="1">
        <v>45426</v>
      </c>
      <c r="C2878" t="s">
        <v>31</v>
      </c>
      <c r="D2878" t="s">
        <v>32</v>
      </c>
      <c r="E2878" t="s">
        <v>13</v>
      </c>
      <c r="F2878" t="s">
        <v>14</v>
      </c>
      <c r="G2878" t="s">
        <v>15</v>
      </c>
      <c r="K2878" cm="1">
        <f t="array" ref="K2878">_xlfn.SWITCH(LeadsData[[#This Row],[Funnel Stage Reached]],"Lead",1,"MQL",2,"SQL",3,"Customer",4)</f>
        <v>1</v>
      </c>
      <c r="L2878" t="str">
        <f>TEXT(LeadsData[[#This Row],[Signup Date]],"mmm-yyyy")</f>
        <v>May-2024</v>
      </c>
      <c r="M2878">
        <f>IF(LeadsData[[#This Row],[Stage Number]]&gt;=2,1,0)</f>
        <v>0</v>
      </c>
      <c r="N2878" s="2">
        <f>IF(LeadsData[[#This Row],[Stage Number]]&gt;=3,1,0)</f>
        <v>0</v>
      </c>
      <c r="O2878" s="2">
        <f>IF(LeadsData[[#This Row],[Stage Number]]&gt;=4,1,0)</f>
        <v>0</v>
      </c>
    </row>
    <row r="2879" spans="1:15" x14ac:dyDescent="0.25">
      <c r="A2879" t="s">
        <v>2919</v>
      </c>
      <c r="B2879" s="1">
        <v>45630</v>
      </c>
      <c r="C2879" t="s">
        <v>11</v>
      </c>
      <c r="D2879" t="s">
        <v>79</v>
      </c>
      <c r="E2879" t="s">
        <v>13</v>
      </c>
      <c r="F2879" t="s">
        <v>22</v>
      </c>
      <c r="G2879" t="s">
        <v>15</v>
      </c>
      <c r="K2879" cm="1">
        <f t="array" ref="K2879">_xlfn.SWITCH(LeadsData[[#This Row],[Funnel Stage Reached]],"Lead",1,"MQL",2,"SQL",3,"Customer",4)</f>
        <v>1</v>
      </c>
      <c r="L2879" t="str">
        <f>TEXT(LeadsData[[#This Row],[Signup Date]],"mmm-yyyy")</f>
        <v>Dec-2024</v>
      </c>
      <c r="M2879">
        <f>IF(LeadsData[[#This Row],[Stage Number]]&gt;=2,1,0)</f>
        <v>0</v>
      </c>
      <c r="N2879" s="2">
        <f>IF(LeadsData[[#This Row],[Stage Number]]&gt;=3,1,0)</f>
        <v>0</v>
      </c>
      <c r="O2879" s="2">
        <f>IF(LeadsData[[#This Row],[Stage Number]]&gt;=4,1,0)</f>
        <v>0</v>
      </c>
    </row>
    <row r="2880" spans="1:15" x14ac:dyDescent="0.25">
      <c r="A2880" t="s">
        <v>2920</v>
      </c>
      <c r="B2880" s="1">
        <v>45580</v>
      </c>
      <c r="C2880" t="s">
        <v>25</v>
      </c>
      <c r="D2880" t="s">
        <v>26</v>
      </c>
      <c r="E2880" t="s">
        <v>13</v>
      </c>
      <c r="F2880" t="s">
        <v>22</v>
      </c>
      <c r="G2880" t="s">
        <v>15</v>
      </c>
      <c r="K2880" cm="1">
        <f t="array" ref="K2880">_xlfn.SWITCH(LeadsData[[#This Row],[Funnel Stage Reached]],"Lead",1,"MQL",2,"SQL",3,"Customer",4)</f>
        <v>1</v>
      </c>
      <c r="L2880" t="str">
        <f>TEXT(LeadsData[[#This Row],[Signup Date]],"mmm-yyyy")</f>
        <v>Oct-2024</v>
      </c>
      <c r="M2880">
        <f>IF(LeadsData[[#This Row],[Stage Number]]&gt;=2,1,0)</f>
        <v>0</v>
      </c>
      <c r="N2880" s="2">
        <f>IF(LeadsData[[#This Row],[Stage Number]]&gt;=3,1,0)</f>
        <v>0</v>
      </c>
      <c r="O2880" s="2">
        <f>IF(LeadsData[[#This Row],[Stage Number]]&gt;=4,1,0)</f>
        <v>0</v>
      </c>
    </row>
    <row r="2881" spans="1:15" x14ac:dyDescent="0.25">
      <c r="A2881" t="s">
        <v>2921</v>
      </c>
      <c r="B2881" s="1">
        <v>45496</v>
      </c>
      <c r="C2881" t="s">
        <v>31</v>
      </c>
      <c r="D2881" t="s">
        <v>34</v>
      </c>
      <c r="E2881" t="s">
        <v>21</v>
      </c>
      <c r="F2881" t="s">
        <v>22</v>
      </c>
      <c r="G2881" t="s">
        <v>23</v>
      </c>
      <c r="K2881" cm="1">
        <f t="array" ref="K2881">_xlfn.SWITCH(LeadsData[[#This Row],[Funnel Stage Reached]],"Lead",1,"MQL",2,"SQL",3,"Customer",4)</f>
        <v>2</v>
      </c>
      <c r="L2881" t="str">
        <f>TEXT(LeadsData[[#This Row],[Signup Date]],"mmm-yyyy")</f>
        <v>Jul-2024</v>
      </c>
      <c r="M2881">
        <f>IF(LeadsData[[#This Row],[Stage Number]]&gt;=2,1,0)</f>
        <v>1</v>
      </c>
      <c r="N2881" s="2">
        <f>IF(LeadsData[[#This Row],[Stage Number]]&gt;=3,1,0)</f>
        <v>0</v>
      </c>
      <c r="O2881" s="2">
        <f>IF(LeadsData[[#This Row],[Stage Number]]&gt;=4,1,0)</f>
        <v>0</v>
      </c>
    </row>
    <row r="2882" spans="1:15" x14ac:dyDescent="0.25">
      <c r="A2882" t="s">
        <v>2922</v>
      </c>
      <c r="B2882" s="1">
        <v>45374</v>
      </c>
      <c r="C2882" t="s">
        <v>17</v>
      </c>
      <c r="D2882" t="s">
        <v>53</v>
      </c>
      <c r="E2882" t="s">
        <v>13</v>
      </c>
      <c r="F2882" t="s">
        <v>22</v>
      </c>
      <c r="G2882" t="s">
        <v>15</v>
      </c>
      <c r="K2882" cm="1">
        <f t="array" ref="K2882">_xlfn.SWITCH(LeadsData[[#This Row],[Funnel Stage Reached]],"Lead",1,"MQL",2,"SQL",3,"Customer",4)</f>
        <v>1</v>
      </c>
      <c r="L2882" t="str">
        <f>TEXT(LeadsData[[#This Row],[Signup Date]],"mmm-yyyy")</f>
        <v>Mar-2024</v>
      </c>
      <c r="M2882">
        <f>IF(LeadsData[[#This Row],[Stage Number]]&gt;=2,1,0)</f>
        <v>0</v>
      </c>
      <c r="N2882" s="2">
        <f>IF(LeadsData[[#This Row],[Stage Number]]&gt;=3,1,0)</f>
        <v>0</v>
      </c>
      <c r="O2882" s="2">
        <f>IF(LeadsData[[#This Row],[Stage Number]]&gt;=4,1,0)</f>
        <v>0</v>
      </c>
    </row>
    <row r="2883" spans="1:15" x14ac:dyDescent="0.25">
      <c r="A2883" t="s">
        <v>2923</v>
      </c>
      <c r="B2883" s="1">
        <v>45398</v>
      </c>
      <c r="C2883" t="s">
        <v>46</v>
      </c>
      <c r="D2883" t="s">
        <v>47</v>
      </c>
      <c r="E2883" t="s">
        <v>48</v>
      </c>
      <c r="F2883" t="s">
        <v>19</v>
      </c>
      <c r="G2883" t="s">
        <v>23</v>
      </c>
      <c r="K2883" cm="1">
        <f t="array" ref="K2883">_xlfn.SWITCH(LeadsData[[#This Row],[Funnel Stage Reached]],"Lead",1,"MQL",2,"SQL",3,"Customer",4)</f>
        <v>2</v>
      </c>
      <c r="L2883" t="str">
        <f>TEXT(LeadsData[[#This Row],[Signup Date]],"mmm-yyyy")</f>
        <v>Apr-2024</v>
      </c>
      <c r="M2883">
        <f>IF(LeadsData[[#This Row],[Stage Number]]&gt;=2,1,0)</f>
        <v>1</v>
      </c>
      <c r="N2883" s="2">
        <f>IF(LeadsData[[#This Row],[Stage Number]]&gt;=3,1,0)</f>
        <v>0</v>
      </c>
      <c r="O2883" s="2">
        <f>IF(LeadsData[[#This Row],[Stage Number]]&gt;=4,1,0)</f>
        <v>0</v>
      </c>
    </row>
    <row r="2884" spans="1:15" x14ac:dyDescent="0.25">
      <c r="A2884" t="s">
        <v>2924</v>
      </c>
      <c r="B2884" s="1">
        <v>45513</v>
      </c>
      <c r="C2884" t="s">
        <v>46</v>
      </c>
      <c r="D2884" t="s">
        <v>56</v>
      </c>
      <c r="E2884" t="s">
        <v>13</v>
      </c>
      <c r="F2884" t="s">
        <v>19</v>
      </c>
      <c r="G2884" t="s">
        <v>23</v>
      </c>
      <c r="K2884" cm="1">
        <f t="array" ref="K2884">_xlfn.SWITCH(LeadsData[[#This Row],[Funnel Stage Reached]],"Lead",1,"MQL",2,"SQL",3,"Customer",4)</f>
        <v>2</v>
      </c>
      <c r="L2884" t="str">
        <f>TEXT(LeadsData[[#This Row],[Signup Date]],"mmm-yyyy")</f>
        <v>Aug-2024</v>
      </c>
      <c r="M2884">
        <f>IF(LeadsData[[#This Row],[Stage Number]]&gt;=2,1,0)</f>
        <v>1</v>
      </c>
      <c r="N2884" s="2">
        <f>IF(LeadsData[[#This Row],[Stage Number]]&gt;=3,1,0)</f>
        <v>0</v>
      </c>
      <c r="O2884" s="2">
        <f>IF(LeadsData[[#This Row],[Stage Number]]&gt;=4,1,0)</f>
        <v>0</v>
      </c>
    </row>
    <row r="2885" spans="1:15" x14ac:dyDescent="0.25">
      <c r="A2885" t="s">
        <v>2925</v>
      </c>
      <c r="B2885" s="1">
        <v>45571</v>
      </c>
      <c r="C2885" t="s">
        <v>36</v>
      </c>
      <c r="D2885" t="s">
        <v>50</v>
      </c>
      <c r="E2885" t="s">
        <v>48</v>
      </c>
      <c r="F2885" t="s">
        <v>14</v>
      </c>
      <c r="G2885" t="s">
        <v>15</v>
      </c>
      <c r="K2885" cm="1">
        <f t="array" ref="K2885">_xlfn.SWITCH(LeadsData[[#This Row],[Funnel Stage Reached]],"Lead",1,"MQL",2,"SQL",3,"Customer",4)</f>
        <v>1</v>
      </c>
      <c r="L2885" t="str">
        <f>TEXT(LeadsData[[#This Row],[Signup Date]],"mmm-yyyy")</f>
        <v>Oct-2024</v>
      </c>
      <c r="M2885">
        <f>IF(LeadsData[[#This Row],[Stage Number]]&gt;=2,1,0)</f>
        <v>0</v>
      </c>
      <c r="N2885" s="2">
        <f>IF(LeadsData[[#This Row],[Stage Number]]&gt;=3,1,0)</f>
        <v>0</v>
      </c>
      <c r="O2885" s="2">
        <f>IF(LeadsData[[#This Row],[Stage Number]]&gt;=4,1,0)</f>
        <v>0</v>
      </c>
    </row>
    <row r="2886" spans="1:15" x14ac:dyDescent="0.25">
      <c r="A2886" t="s">
        <v>2926</v>
      </c>
      <c r="B2886" s="1">
        <v>45650</v>
      </c>
      <c r="C2886" t="s">
        <v>17</v>
      </c>
      <c r="D2886" t="s">
        <v>53</v>
      </c>
      <c r="E2886" t="s">
        <v>13</v>
      </c>
      <c r="F2886" t="s">
        <v>22</v>
      </c>
      <c r="G2886" t="s">
        <v>15</v>
      </c>
      <c r="K2886" cm="1">
        <f t="array" ref="K2886">_xlfn.SWITCH(LeadsData[[#This Row],[Funnel Stage Reached]],"Lead",1,"MQL",2,"SQL",3,"Customer",4)</f>
        <v>1</v>
      </c>
      <c r="L2886" t="str">
        <f>TEXT(LeadsData[[#This Row],[Signup Date]],"mmm-yyyy")</f>
        <v>Dec-2024</v>
      </c>
      <c r="M2886">
        <f>IF(LeadsData[[#This Row],[Stage Number]]&gt;=2,1,0)</f>
        <v>0</v>
      </c>
      <c r="N2886" s="2">
        <f>IF(LeadsData[[#This Row],[Stage Number]]&gt;=3,1,0)</f>
        <v>0</v>
      </c>
      <c r="O2886" s="2">
        <f>IF(LeadsData[[#This Row],[Stage Number]]&gt;=4,1,0)</f>
        <v>0</v>
      </c>
    </row>
    <row r="2887" spans="1:15" x14ac:dyDescent="0.25">
      <c r="A2887" t="s">
        <v>2927</v>
      </c>
      <c r="B2887" s="1">
        <v>45487</v>
      </c>
      <c r="C2887" t="s">
        <v>36</v>
      </c>
      <c r="D2887" t="s">
        <v>50</v>
      </c>
      <c r="E2887" t="s">
        <v>21</v>
      </c>
      <c r="F2887" t="s">
        <v>19</v>
      </c>
      <c r="G2887" t="s">
        <v>23</v>
      </c>
      <c r="K2887" cm="1">
        <f t="array" ref="K2887">_xlfn.SWITCH(LeadsData[[#This Row],[Funnel Stage Reached]],"Lead",1,"MQL",2,"SQL",3,"Customer",4)</f>
        <v>2</v>
      </c>
      <c r="L2887" t="str">
        <f>TEXT(LeadsData[[#This Row],[Signup Date]],"mmm-yyyy")</f>
        <v>Jul-2024</v>
      </c>
      <c r="M2887">
        <f>IF(LeadsData[[#This Row],[Stage Number]]&gt;=2,1,0)</f>
        <v>1</v>
      </c>
      <c r="N2887" s="2">
        <f>IF(LeadsData[[#This Row],[Stage Number]]&gt;=3,1,0)</f>
        <v>0</v>
      </c>
      <c r="O2887" s="2">
        <f>IF(LeadsData[[#This Row],[Stage Number]]&gt;=4,1,0)</f>
        <v>0</v>
      </c>
    </row>
    <row r="2888" spans="1:15" x14ac:dyDescent="0.25">
      <c r="A2888" t="s">
        <v>2928</v>
      </c>
      <c r="B2888" s="1">
        <v>45547</v>
      </c>
      <c r="C2888" t="s">
        <v>25</v>
      </c>
      <c r="D2888" t="s">
        <v>26</v>
      </c>
      <c r="E2888" t="s">
        <v>13</v>
      </c>
      <c r="F2888" t="s">
        <v>22</v>
      </c>
      <c r="G2888" t="s">
        <v>42</v>
      </c>
      <c r="H2888">
        <v>36</v>
      </c>
      <c r="I2888" t="s">
        <v>43</v>
      </c>
      <c r="J2888">
        <v>680.48</v>
      </c>
      <c r="K2888" cm="1">
        <f t="array" ref="K2888">_xlfn.SWITCH(LeadsData[[#This Row],[Funnel Stage Reached]],"Lead",1,"MQL",2,"SQL",3,"Customer",4)</f>
        <v>4</v>
      </c>
      <c r="L2888" t="str">
        <f>TEXT(LeadsData[[#This Row],[Signup Date]],"mmm-yyyy")</f>
        <v>Sep-2024</v>
      </c>
      <c r="M2888">
        <f>IF(LeadsData[[#This Row],[Stage Number]]&gt;=2,1,0)</f>
        <v>1</v>
      </c>
      <c r="N2888" s="2">
        <f>IF(LeadsData[[#This Row],[Stage Number]]&gt;=3,1,0)</f>
        <v>1</v>
      </c>
      <c r="O2888" s="2">
        <f>IF(LeadsData[[#This Row],[Stage Number]]&gt;=4,1,0)</f>
        <v>1</v>
      </c>
    </row>
    <row r="2889" spans="1:15" x14ac:dyDescent="0.25">
      <c r="A2889" t="s">
        <v>2929</v>
      </c>
      <c r="B2889" s="1">
        <v>45603</v>
      </c>
      <c r="C2889" t="s">
        <v>46</v>
      </c>
      <c r="D2889" t="s">
        <v>47</v>
      </c>
      <c r="E2889" t="s">
        <v>13</v>
      </c>
      <c r="F2889" t="s">
        <v>22</v>
      </c>
      <c r="G2889" t="s">
        <v>29</v>
      </c>
      <c r="K2889" cm="1">
        <f t="array" ref="K2889">_xlfn.SWITCH(LeadsData[[#This Row],[Funnel Stage Reached]],"Lead",1,"MQL",2,"SQL",3,"Customer",4)</f>
        <v>3</v>
      </c>
      <c r="L2889" t="str">
        <f>TEXT(LeadsData[[#This Row],[Signup Date]],"mmm-yyyy")</f>
        <v>Nov-2024</v>
      </c>
      <c r="M2889">
        <f>IF(LeadsData[[#This Row],[Stage Number]]&gt;=2,1,0)</f>
        <v>1</v>
      </c>
      <c r="N2889" s="2">
        <f>IF(LeadsData[[#This Row],[Stage Number]]&gt;=3,1,0)</f>
        <v>1</v>
      </c>
      <c r="O2889" s="2">
        <f>IF(LeadsData[[#This Row],[Stage Number]]&gt;=4,1,0)</f>
        <v>0</v>
      </c>
    </row>
    <row r="2890" spans="1:15" x14ac:dyDescent="0.25">
      <c r="A2890" t="s">
        <v>2930</v>
      </c>
      <c r="B2890" s="1">
        <v>45476</v>
      </c>
      <c r="C2890" t="s">
        <v>46</v>
      </c>
      <c r="D2890" t="s">
        <v>47</v>
      </c>
      <c r="E2890" t="s">
        <v>21</v>
      </c>
      <c r="F2890" t="s">
        <v>19</v>
      </c>
      <c r="G2890" t="s">
        <v>15</v>
      </c>
      <c r="K2890" cm="1">
        <f t="array" ref="K2890">_xlfn.SWITCH(LeadsData[[#This Row],[Funnel Stage Reached]],"Lead",1,"MQL",2,"SQL",3,"Customer",4)</f>
        <v>1</v>
      </c>
      <c r="L2890" t="str">
        <f>TEXT(LeadsData[[#This Row],[Signup Date]],"mmm-yyyy")</f>
        <v>Jul-2024</v>
      </c>
      <c r="M2890">
        <f>IF(LeadsData[[#This Row],[Stage Number]]&gt;=2,1,0)</f>
        <v>0</v>
      </c>
      <c r="N2890" s="2">
        <f>IF(LeadsData[[#This Row],[Stage Number]]&gt;=3,1,0)</f>
        <v>0</v>
      </c>
      <c r="O2890" s="2">
        <f>IF(LeadsData[[#This Row],[Stage Number]]&gt;=4,1,0)</f>
        <v>0</v>
      </c>
    </row>
    <row r="2891" spans="1:15" x14ac:dyDescent="0.25">
      <c r="A2891" t="s">
        <v>2931</v>
      </c>
      <c r="B2891" s="1">
        <v>45544</v>
      </c>
      <c r="C2891" t="s">
        <v>36</v>
      </c>
      <c r="D2891" t="s">
        <v>37</v>
      </c>
      <c r="E2891" t="s">
        <v>21</v>
      </c>
      <c r="F2891" t="s">
        <v>19</v>
      </c>
      <c r="G2891" t="s">
        <v>29</v>
      </c>
      <c r="K2891" cm="1">
        <f t="array" ref="K2891">_xlfn.SWITCH(LeadsData[[#This Row],[Funnel Stage Reached]],"Lead",1,"MQL",2,"SQL",3,"Customer",4)</f>
        <v>3</v>
      </c>
      <c r="L2891" t="str">
        <f>TEXT(LeadsData[[#This Row],[Signup Date]],"mmm-yyyy")</f>
        <v>Sep-2024</v>
      </c>
      <c r="M2891">
        <f>IF(LeadsData[[#This Row],[Stage Number]]&gt;=2,1,0)</f>
        <v>1</v>
      </c>
      <c r="N2891" s="2">
        <f>IF(LeadsData[[#This Row],[Stage Number]]&gt;=3,1,0)</f>
        <v>1</v>
      </c>
      <c r="O2891" s="2">
        <f>IF(LeadsData[[#This Row],[Stage Number]]&gt;=4,1,0)</f>
        <v>0</v>
      </c>
    </row>
    <row r="2892" spans="1:15" x14ac:dyDescent="0.25">
      <c r="A2892" t="s">
        <v>2932</v>
      </c>
      <c r="B2892" s="1">
        <v>45631</v>
      </c>
      <c r="C2892" t="s">
        <v>31</v>
      </c>
      <c r="D2892" t="s">
        <v>34</v>
      </c>
      <c r="E2892" t="s">
        <v>13</v>
      </c>
      <c r="F2892" t="s">
        <v>14</v>
      </c>
      <c r="G2892" t="s">
        <v>29</v>
      </c>
      <c r="K2892" cm="1">
        <f t="array" ref="K2892">_xlfn.SWITCH(LeadsData[[#This Row],[Funnel Stage Reached]],"Lead",1,"MQL",2,"SQL",3,"Customer",4)</f>
        <v>3</v>
      </c>
      <c r="L2892" t="str">
        <f>TEXT(LeadsData[[#This Row],[Signup Date]],"mmm-yyyy")</f>
        <v>Dec-2024</v>
      </c>
      <c r="M2892">
        <f>IF(LeadsData[[#This Row],[Stage Number]]&gt;=2,1,0)</f>
        <v>1</v>
      </c>
      <c r="N2892" s="2">
        <f>IF(LeadsData[[#This Row],[Stage Number]]&gt;=3,1,0)</f>
        <v>1</v>
      </c>
      <c r="O2892" s="2">
        <f>IF(LeadsData[[#This Row],[Stage Number]]&gt;=4,1,0)</f>
        <v>0</v>
      </c>
    </row>
    <row r="2893" spans="1:15" x14ac:dyDescent="0.25">
      <c r="A2893" t="s">
        <v>2933</v>
      </c>
      <c r="B2893" s="1">
        <v>45415</v>
      </c>
      <c r="C2893" t="s">
        <v>36</v>
      </c>
      <c r="D2893" t="s">
        <v>50</v>
      </c>
      <c r="E2893" t="s">
        <v>13</v>
      </c>
      <c r="F2893" t="s">
        <v>22</v>
      </c>
      <c r="G2893" t="s">
        <v>29</v>
      </c>
      <c r="K2893" cm="1">
        <f t="array" ref="K2893">_xlfn.SWITCH(LeadsData[[#This Row],[Funnel Stage Reached]],"Lead",1,"MQL",2,"SQL",3,"Customer",4)</f>
        <v>3</v>
      </c>
      <c r="L2893" t="str">
        <f>TEXT(LeadsData[[#This Row],[Signup Date]],"mmm-yyyy")</f>
        <v>May-2024</v>
      </c>
      <c r="M2893">
        <f>IF(LeadsData[[#This Row],[Stage Number]]&gt;=2,1,0)</f>
        <v>1</v>
      </c>
      <c r="N2893" s="2">
        <f>IF(LeadsData[[#This Row],[Stage Number]]&gt;=3,1,0)</f>
        <v>1</v>
      </c>
      <c r="O2893" s="2">
        <f>IF(LeadsData[[#This Row],[Stage Number]]&gt;=4,1,0)</f>
        <v>0</v>
      </c>
    </row>
    <row r="2894" spans="1:15" x14ac:dyDescent="0.25">
      <c r="A2894" t="s">
        <v>2934</v>
      </c>
      <c r="B2894" s="1">
        <v>45643</v>
      </c>
      <c r="C2894" t="s">
        <v>36</v>
      </c>
      <c r="D2894" t="s">
        <v>37</v>
      </c>
      <c r="E2894" t="s">
        <v>13</v>
      </c>
      <c r="F2894" t="s">
        <v>19</v>
      </c>
      <c r="G2894" t="s">
        <v>15</v>
      </c>
      <c r="K2894" cm="1">
        <f t="array" ref="K2894">_xlfn.SWITCH(LeadsData[[#This Row],[Funnel Stage Reached]],"Lead",1,"MQL",2,"SQL",3,"Customer",4)</f>
        <v>1</v>
      </c>
      <c r="L2894" t="str">
        <f>TEXT(LeadsData[[#This Row],[Signup Date]],"mmm-yyyy")</f>
        <v>Dec-2024</v>
      </c>
      <c r="M2894">
        <f>IF(LeadsData[[#This Row],[Stage Number]]&gt;=2,1,0)</f>
        <v>0</v>
      </c>
      <c r="N2894" s="2">
        <f>IF(LeadsData[[#This Row],[Stage Number]]&gt;=3,1,0)</f>
        <v>0</v>
      </c>
      <c r="O2894" s="2">
        <f>IF(LeadsData[[#This Row],[Stage Number]]&gt;=4,1,0)</f>
        <v>0</v>
      </c>
    </row>
    <row r="2895" spans="1:15" x14ac:dyDescent="0.25">
      <c r="A2895" t="s">
        <v>2935</v>
      </c>
      <c r="B2895" s="1">
        <v>45543</v>
      </c>
      <c r="C2895" t="s">
        <v>11</v>
      </c>
      <c r="D2895" t="s">
        <v>79</v>
      </c>
      <c r="E2895" t="s">
        <v>13</v>
      </c>
      <c r="F2895" t="s">
        <v>14</v>
      </c>
      <c r="G2895" t="s">
        <v>15</v>
      </c>
      <c r="K2895" cm="1">
        <f t="array" ref="K2895">_xlfn.SWITCH(LeadsData[[#This Row],[Funnel Stage Reached]],"Lead",1,"MQL",2,"SQL",3,"Customer",4)</f>
        <v>1</v>
      </c>
      <c r="L2895" t="str">
        <f>TEXT(LeadsData[[#This Row],[Signup Date]],"mmm-yyyy")</f>
        <v>Sep-2024</v>
      </c>
      <c r="M2895">
        <f>IF(LeadsData[[#This Row],[Stage Number]]&gt;=2,1,0)</f>
        <v>0</v>
      </c>
      <c r="N2895" s="2">
        <f>IF(LeadsData[[#This Row],[Stage Number]]&gt;=3,1,0)</f>
        <v>0</v>
      </c>
      <c r="O2895" s="2">
        <f>IF(LeadsData[[#This Row],[Stage Number]]&gt;=4,1,0)</f>
        <v>0</v>
      </c>
    </row>
    <row r="2896" spans="1:15" x14ac:dyDescent="0.25">
      <c r="A2896" t="s">
        <v>2936</v>
      </c>
      <c r="B2896" s="1">
        <v>45619</v>
      </c>
      <c r="C2896" t="s">
        <v>25</v>
      </c>
      <c r="D2896" t="s">
        <v>26</v>
      </c>
      <c r="E2896" t="s">
        <v>13</v>
      </c>
      <c r="F2896" t="s">
        <v>28</v>
      </c>
      <c r="G2896" t="s">
        <v>23</v>
      </c>
      <c r="K2896" cm="1">
        <f t="array" ref="K2896">_xlfn.SWITCH(LeadsData[[#This Row],[Funnel Stage Reached]],"Lead",1,"MQL",2,"SQL",3,"Customer",4)</f>
        <v>2</v>
      </c>
      <c r="L2896" t="str">
        <f>TEXT(LeadsData[[#This Row],[Signup Date]],"mmm-yyyy")</f>
        <v>Nov-2024</v>
      </c>
      <c r="M2896">
        <f>IF(LeadsData[[#This Row],[Stage Number]]&gt;=2,1,0)</f>
        <v>1</v>
      </c>
      <c r="N2896" s="2">
        <f>IF(LeadsData[[#This Row],[Stage Number]]&gt;=3,1,0)</f>
        <v>0</v>
      </c>
      <c r="O2896" s="2">
        <f>IF(LeadsData[[#This Row],[Stage Number]]&gt;=4,1,0)</f>
        <v>0</v>
      </c>
    </row>
    <row r="2897" spans="1:15" x14ac:dyDescent="0.25">
      <c r="A2897" t="s">
        <v>2937</v>
      </c>
      <c r="B2897" s="1">
        <v>45601</v>
      </c>
      <c r="C2897" t="s">
        <v>25</v>
      </c>
      <c r="D2897" t="s">
        <v>26</v>
      </c>
      <c r="E2897" t="s">
        <v>48</v>
      </c>
      <c r="F2897" t="s">
        <v>28</v>
      </c>
      <c r="G2897" t="s">
        <v>29</v>
      </c>
      <c r="K2897" cm="1">
        <f t="array" ref="K2897">_xlfn.SWITCH(LeadsData[[#This Row],[Funnel Stage Reached]],"Lead",1,"MQL",2,"SQL",3,"Customer",4)</f>
        <v>3</v>
      </c>
      <c r="L2897" t="str">
        <f>TEXT(LeadsData[[#This Row],[Signup Date]],"mmm-yyyy")</f>
        <v>Nov-2024</v>
      </c>
      <c r="M2897">
        <f>IF(LeadsData[[#This Row],[Stage Number]]&gt;=2,1,0)</f>
        <v>1</v>
      </c>
      <c r="N2897" s="2">
        <f>IF(LeadsData[[#This Row],[Stage Number]]&gt;=3,1,0)</f>
        <v>1</v>
      </c>
      <c r="O2897" s="2">
        <f>IF(LeadsData[[#This Row],[Stage Number]]&gt;=4,1,0)</f>
        <v>0</v>
      </c>
    </row>
    <row r="2898" spans="1:15" x14ac:dyDescent="0.25">
      <c r="A2898" t="s">
        <v>2938</v>
      </c>
      <c r="B2898" s="1">
        <v>45638</v>
      </c>
      <c r="C2898" t="s">
        <v>36</v>
      </c>
      <c r="D2898" t="s">
        <v>37</v>
      </c>
      <c r="E2898" t="s">
        <v>13</v>
      </c>
      <c r="F2898" t="s">
        <v>22</v>
      </c>
      <c r="G2898" t="s">
        <v>23</v>
      </c>
      <c r="K2898" cm="1">
        <f t="array" ref="K2898">_xlfn.SWITCH(LeadsData[[#This Row],[Funnel Stage Reached]],"Lead",1,"MQL",2,"SQL",3,"Customer",4)</f>
        <v>2</v>
      </c>
      <c r="L2898" t="str">
        <f>TEXT(LeadsData[[#This Row],[Signup Date]],"mmm-yyyy")</f>
        <v>Dec-2024</v>
      </c>
      <c r="M2898">
        <f>IF(LeadsData[[#This Row],[Stage Number]]&gt;=2,1,0)</f>
        <v>1</v>
      </c>
      <c r="N2898" s="2">
        <f>IF(LeadsData[[#This Row],[Stage Number]]&gt;=3,1,0)</f>
        <v>0</v>
      </c>
      <c r="O2898" s="2">
        <f>IF(LeadsData[[#This Row],[Stage Number]]&gt;=4,1,0)</f>
        <v>0</v>
      </c>
    </row>
    <row r="2899" spans="1:15" x14ac:dyDescent="0.25">
      <c r="A2899" t="s">
        <v>2939</v>
      </c>
      <c r="B2899" s="1">
        <v>45496</v>
      </c>
      <c r="C2899" t="s">
        <v>46</v>
      </c>
      <c r="D2899" t="s">
        <v>56</v>
      </c>
      <c r="E2899" t="s">
        <v>21</v>
      </c>
      <c r="F2899" t="s">
        <v>19</v>
      </c>
      <c r="G2899" t="s">
        <v>15</v>
      </c>
      <c r="K2899" cm="1">
        <f t="array" ref="K2899">_xlfn.SWITCH(LeadsData[[#This Row],[Funnel Stage Reached]],"Lead",1,"MQL",2,"SQL",3,"Customer",4)</f>
        <v>1</v>
      </c>
      <c r="L2899" t="str">
        <f>TEXT(LeadsData[[#This Row],[Signup Date]],"mmm-yyyy")</f>
        <v>Jul-2024</v>
      </c>
      <c r="M2899">
        <f>IF(LeadsData[[#This Row],[Stage Number]]&gt;=2,1,0)</f>
        <v>0</v>
      </c>
      <c r="N2899" s="2">
        <f>IF(LeadsData[[#This Row],[Stage Number]]&gt;=3,1,0)</f>
        <v>0</v>
      </c>
      <c r="O2899" s="2">
        <f>IF(LeadsData[[#This Row],[Stage Number]]&gt;=4,1,0)</f>
        <v>0</v>
      </c>
    </row>
    <row r="2900" spans="1:15" x14ac:dyDescent="0.25">
      <c r="A2900" t="s">
        <v>2940</v>
      </c>
      <c r="B2900" s="1">
        <v>45591</v>
      </c>
      <c r="C2900" t="s">
        <v>31</v>
      </c>
      <c r="D2900" t="s">
        <v>34</v>
      </c>
      <c r="E2900" t="s">
        <v>13</v>
      </c>
      <c r="F2900" t="s">
        <v>19</v>
      </c>
      <c r="G2900" t="s">
        <v>15</v>
      </c>
      <c r="K2900" cm="1">
        <f t="array" ref="K2900">_xlfn.SWITCH(LeadsData[[#This Row],[Funnel Stage Reached]],"Lead",1,"MQL",2,"SQL",3,"Customer",4)</f>
        <v>1</v>
      </c>
      <c r="L2900" t="str">
        <f>TEXT(LeadsData[[#This Row],[Signup Date]],"mmm-yyyy")</f>
        <v>Oct-2024</v>
      </c>
      <c r="M2900">
        <f>IF(LeadsData[[#This Row],[Stage Number]]&gt;=2,1,0)</f>
        <v>0</v>
      </c>
      <c r="N2900" s="2">
        <f>IF(LeadsData[[#This Row],[Stage Number]]&gt;=3,1,0)</f>
        <v>0</v>
      </c>
      <c r="O2900" s="2">
        <f>IF(LeadsData[[#This Row],[Stage Number]]&gt;=4,1,0)</f>
        <v>0</v>
      </c>
    </row>
    <row r="2901" spans="1:15" x14ac:dyDescent="0.25">
      <c r="A2901" t="s">
        <v>2941</v>
      </c>
      <c r="B2901" s="1">
        <v>45643</v>
      </c>
      <c r="C2901" t="s">
        <v>31</v>
      </c>
      <c r="D2901" t="s">
        <v>32</v>
      </c>
      <c r="E2901" t="s">
        <v>13</v>
      </c>
      <c r="F2901" t="s">
        <v>19</v>
      </c>
      <c r="G2901" t="s">
        <v>15</v>
      </c>
      <c r="K2901" cm="1">
        <f t="array" ref="K2901">_xlfn.SWITCH(LeadsData[[#This Row],[Funnel Stage Reached]],"Lead",1,"MQL",2,"SQL",3,"Customer",4)</f>
        <v>1</v>
      </c>
      <c r="L2901" t="str">
        <f>TEXT(LeadsData[[#This Row],[Signup Date]],"mmm-yyyy")</f>
        <v>Dec-2024</v>
      </c>
      <c r="M2901">
        <f>IF(LeadsData[[#This Row],[Stage Number]]&gt;=2,1,0)</f>
        <v>0</v>
      </c>
      <c r="N2901" s="2">
        <f>IF(LeadsData[[#This Row],[Stage Number]]&gt;=3,1,0)</f>
        <v>0</v>
      </c>
      <c r="O2901" s="2">
        <f>IF(LeadsData[[#This Row],[Stage Number]]&gt;=4,1,0)</f>
        <v>0</v>
      </c>
    </row>
    <row r="2902" spans="1:15" x14ac:dyDescent="0.25">
      <c r="A2902" t="s">
        <v>2942</v>
      </c>
      <c r="B2902" s="1">
        <v>45617</v>
      </c>
      <c r="C2902" t="s">
        <v>31</v>
      </c>
      <c r="D2902" t="s">
        <v>34</v>
      </c>
      <c r="E2902" t="s">
        <v>13</v>
      </c>
      <c r="F2902" t="s">
        <v>22</v>
      </c>
      <c r="G2902" t="s">
        <v>15</v>
      </c>
      <c r="K2902" cm="1">
        <f t="array" ref="K2902">_xlfn.SWITCH(LeadsData[[#This Row],[Funnel Stage Reached]],"Lead",1,"MQL",2,"SQL",3,"Customer",4)</f>
        <v>1</v>
      </c>
      <c r="L2902" t="str">
        <f>TEXT(LeadsData[[#This Row],[Signup Date]],"mmm-yyyy")</f>
        <v>Nov-2024</v>
      </c>
      <c r="M2902">
        <f>IF(LeadsData[[#This Row],[Stage Number]]&gt;=2,1,0)</f>
        <v>0</v>
      </c>
      <c r="N2902" s="2">
        <f>IF(LeadsData[[#This Row],[Stage Number]]&gt;=3,1,0)</f>
        <v>0</v>
      </c>
      <c r="O2902" s="2">
        <f>IF(LeadsData[[#This Row],[Stage Number]]&gt;=4,1,0)</f>
        <v>0</v>
      </c>
    </row>
    <row r="2903" spans="1:15" x14ac:dyDescent="0.25">
      <c r="A2903" t="s">
        <v>2943</v>
      </c>
      <c r="B2903" s="1">
        <v>45647</v>
      </c>
      <c r="C2903" t="s">
        <v>11</v>
      </c>
      <c r="D2903" t="s">
        <v>68</v>
      </c>
      <c r="E2903" t="s">
        <v>13</v>
      </c>
      <c r="F2903" t="s">
        <v>22</v>
      </c>
      <c r="G2903" t="s">
        <v>15</v>
      </c>
      <c r="K2903" cm="1">
        <f t="array" ref="K2903">_xlfn.SWITCH(LeadsData[[#This Row],[Funnel Stage Reached]],"Lead",1,"MQL",2,"SQL",3,"Customer",4)</f>
        <v>1</v>
      </c>
      <c r="L2903" t="str">
        <f>TEXT(LeadsData[[#This Row],[Signup Date]],"mmm-yyyy")</f>
        <v>Dec-2024</v>
      </c>
      <c r="M2903">
        <f>IF(LeadsData[[#This Row],[Stage Number]]&gt;=2,1,0)</f>
        <v>0</v>
      </c>
      <c r="N2903" s="2">
        <f>IF(LeadsData[[#This Row],[Stage Number]]&gt;=3,1,0)</f>
        <v>0</v>
      </c>
      <c r="O2903" s="2">
        <f>IF(LeadsData[[#This Row],[Stage Number]]&gt;=4,1,0)</f>
        <v>0</v>
      </c>
    </row>
    <row r="2904" spans="1:15" x14ac:dyDescent="0.25">
      <c r="A2904" t="s">
        <v>2944</v>
      </c>
      <c r="B2904" s="1">
        <v>45578</v>
      </c>
      <c r="C2904" t="s">
        <v>31</v>
      </c>
      <c r="D2904" t="s">
        <v>34</v>
      </c>
      <c r="E2904" t="s">
        <v>21</v>
      </c>
      <c r="F2904" t="s">
        <v>19</v>
      </c>
      <c r="G2904" t="s">
        <v>23</v>
      </c>
      <c r="K2904" cm="1">
        <f t="array" ref="K2904">_xlfn.SWITCH(LeadsData[[#This Row],[Funnel Stage Reached]],"Lead",1,"MQL",2,"SQL",3,"Customer",4)</f>
        <v>2</v>
      </c>
      <c r="L2904" t="str">
        <f>TEXT(LeadsData[[#This Row],[Signup Date]],"mmm-yyyy")</f>
        <v>Oct-2024</v>
      </c>
      <c r="M2904">
        <f>IF(LeadsData[[#This Row],[Stage Number]]&gt;=2,1,0)</f>
        <v>1</v>
      </c>
      <c r="N2904" s="2">
        <f>IF(LeadsData[[#This Row],[Stage Number]]&gt;=3,1,0)</f>
        <v>0</v>
      </c>
      <c r="O2904" s="2">
        <f>IF(LeadsData[[#This Row],[Stage Number]]&gt;=4,1,0)</f>
        <v>0</v>
      </c>
    </row>
    <row r="2905" spans="1:15" x14ac:dyDescent="0.25">
      <c r="A2905" t="s">
        <v>2945</v>
      </c>
      <c r="B2905" s="1">
        <v>45540</v>
      </c>
      <c r="C2905" t="s">
        <v>36</v>
      </c>
      <c r="D2905" t="s">
        <v>37</v>
      </c>
      <c r="E2905" t="s">
        <v>21</v>
      </c>
      <c r="F2905" t="s">
        <v>28</v>
      </c>
      <c r="G2905" t="s">
        <v>15</v>
      </c>
      <c r="K2905" cm="1">
        <f t="array" ref="K2905">_xlfn.SWITCH(LeadsData[[#This Row],[Funnel Stage Reached]],"Lead",1,"MQL",2,"SQL",3,"Customer",4)</f>
        <v>1</v>
      </c>
      <c r="L2905" t="str">
        <f>TEXT(LeadsData[[#This Row],[Signup Date]],"mmm-yyyy")</f>
        <v>Sep-2024</v>
      </c>
      <c r="M2905">
        <f>IF(LeadsData[[#This Row],[Stage Number]]&gt;=2,1,0)</f>
        <v>0</v>
      </c>
      <c r="N2905" s="2">
        <f>IF(LeadsData[[#This Row],[Stage Number]]&gt;=3,1,0)</f>
        <v>0</v>
      </c>
      <c r="O2905" s="2">
        <f>IF(LeadsData[[#This Row],[Stage Number]]&gt;=4,1,0)</f>
        <v>0</v>
      </c>
    </row>
    <row r="2906" spans="1:15" x14ac:dyDescent="0.25">
      <c r="A2906" t="s">
        <v>2946</v>
      </c>
      <c r="B2906" s="1">
        <v>45648</v>
      </c>
      <c r="C2906" t="s">
        <v>31</v>
      </c>
      <c r="D2906" t="s">
        <v>32</v>
      </c>
      <c r="E2906" t="s">
        <v>13</v>
      </c>
      <c r="F2906" t="s">
        <v>19</v>
      </c>
      <c r="G2906" t="s">
        <v>23</v>
      </c>
      <c r="K2906" cm="1">
        <f t="array" ref="K2906">_xlfn.SWITCH(LeadsData[[#This Row],[Funnel Stage Reached]],"Lead",1,"MQL",2,"SQL",3,"Customer",4)</f>
        <v>2</v>
      </c>
      <c r="L2906" t="str">
        <f>TEXT(LeadsData[[#This Row],[Signup Date]],"mmm-yyyy")</f>
        <v>Dec-2024</v>
      </c>
      <c r="M2906">
        <f>IF(LeadsData[[#This Row],[Stage Number]]&gt;=2,1,0)</f>
        <v>1</v>
      </c>
      <c r="N2906" s="2">
        <f>IF(LeadsData[[#This Row],[Stage Number]]&gt;=3,1,0)</f>
        <v>0</v>
      </c>
      <c r="O2906" s="2">
        <f>IF(LeadsData[[#This Row],[Stage Number]]&gt;=4,1,0)</f>
        <v>0</v>
      </c>
    </row>
    <row r="2907" spans="1:15" x14ac:dyDescent="0.25">
      <c r="A2907" t="s">
        <v>2947</v>
      </c>
      <c r="B2907" s="1">
        <v>45424</v>
      </c>
      <c r="C2907" t="s">
        <v>46</v>
      </c>
      <c r="D2907" t="s">
        <v>56</v>
      </c>
      <c r="E2907" t="s">
        <v>13</v>
      </c>
      <c r="F2907" t="s">
        <v>19</v>
      </c>
      <c r="G2907" t="s">
        <v>15</v>
      </c>
      <c r="K2907" cm="1">
        <f t="array" ref="K2907">_xlfn.SWITCH(LeadsData[[#This Row],[Funnel Stage Reached]],"Lead",1,"MQL",2,"SQL",3,"Customer",4)</f>
        <v>1</v>
      </c>
      <c r="L2907" t="str">
        <f>TEXT(LeadsData[[#This Row],[Signup Date]],"mmm-yyyy")</f>
        <v>May-2024</v>
      </c>
      <c r="M2907">
        <f>IF(LeadsData[[#This Row],[Stage Number]]&gt;=2,1,0)</f>
        <v>0</v>
      </c>
      <c r="N2907" s="2">
        <f>IF(LeadsData[[#This Row],[Stage Number]]&gt;=3,1,0)</f>
        <v>0</v>
      </c>
      <c r="O2907" s="2">
        <f>IF(LeadsData[[#This Row],[Stage Number]]&gt;=4,1,0)</f>
        <v>0</v>
      </c>
    </row>
    <row r="2908" spans="1:15" x14ac:dyDescent="0.25">
      <c r="A2908" t="s">
        <v>2948</v>
      </c>
      <c r="B2908" s="1">
        <v>45383</v>
      </c>
      <c r="C2908" t="s">
        <v>31</v>
      </c>
      <c r="D2908" t="s">
        <v>32</v>
      </c>
      <c r="E2908" t="s">
        <v>48</v>
      </c>
      <c r="F2908" t="s">
        <v>14</v>
      </c>
      <c r="G2908" t="s">
        <v>15</v>
      </c>
      <c r="K2908" cm="1">
        <f t="array" ref="K2908">_xlfn.SWITCH(LeadsData[[#This Row],[Funnel Stage Reached]],"Lead",1,"MQL",2,"SQL",3,"Customer",4)</f>
        <v>1</v>
      </c>
      <c r="L2908" t="str">
        <f>TEXT(LeadsData[[#This Row],[Signup Date]],"mmm-yyyy")</f>
        <v>Apr-2024</v>
      </c>
      <c r="M2908">
        <f>IF(LeadsData[[#This Row],[Stage Number]]&gt;=2,1,0)</f>
        <v>0</v>
      </c>
      <c r="N2908" s="2">
        <f>IF(LeadsData[[#This Row],[Stage Number]]&gt;=3,1,0)</f>
        <v>0</v>
      </c>
      <c r="O2908" s="2">
        <f>IF(LeadsData[[#This Row],[Stage Number]]&gt;=4,1,0)</f>
        <v>0</v>
      </c>
    </row>
    <row r="2909" spans="1:15" x14ac:dyDescent="0.25">
      <c r="A2909" t="s">
        <v>2949</v>
      </c>
      <c r="B2909" s="1">
        <v>45494</v>
      </c>
      <c r="C2909" t="s">
        <v>11</v>
      </c>
      <c r="D2909" t="s">
        <v>79</v>
      </c>
      <c r="E2909" t="s">
        <v>21</v>
      </c>
      <c r="F2909" t="s">
        <v>28</v>
      </c>
      <c r="G2909" t="s">
        <v>15</v>
      </c>
      <c r="K2909" cm="1">
        <f t="array" ref="K2909">_xlfn.SWITCH(LeadsData[[#This Row],[Funnel Stage Reached]],"Lead",1,"MQL",2,"SQL",3,"Customer",4)</f>
        <v>1</v>
      </c>
      <c r="L2909" t="str">
        <f>TEXT(LeadsData[[#This Row],[Signup Date]],"mmm-yyyy")</f>
        <v>Jul-2024</v>
      </c>
      <c r="M2909">
        <f>IF(LeadsData[[#This Row],[Stage Number]]&gt;=2,1,0)</f>
        <v>0</v>
      </c>
      <c r="N2909" s="2">
        <f>IF(LeadsData[[#This Row],[Stage Number]]&gt;=3,1,0)</f>
        <v>0</v>
      </c>
      <c r="O2909" s="2">
        <f>IF(LeadsData[[#This Row],[Stage Number]]&gt;=4,1,0)</f>
        <v>0</v>
      </c>
    </row>
    <row r="2910" spans="1:15" x14ac:dyDescent="0.25">
      <c r="A2910" t="s">
        <v>2950</v>
      </c>
      <c r="B2910" s="1">
        <v>45582</v>
      </c>
      <c r="C2910" t="s">
        <v>46</v>
      </c>
      <c r="D2910" t="s">
        <v>56</v>
      </c>
      <c r="E2910" t="s">
        <v>13</v>
      </c>
      <c r="F2910" t="s">
        <v>22</v>
      </c>
      <c r="G2910" t="s">
        <v>15</v>
      </c>
      <c r="K2910" cm="1">
        <f t="array" ref="K2910">_xlfn.SWITCH(LeadsData[[#This Row],[Funnel Stage Reached]],"Lead",1,"MQL",2,"SQL",3,"Customer",4)</f>
        <v>1</v>
      </c>
      <c r="L2910" t="str">
        <f>TEXT(LeadsData[[#This Row],[Signup Date]],"mmm-yyyy")</f>
        <v>Oct-2024</v>
      </c>
      <c r="M2910">
        <f>IF(LeadsData[[#This Row],[Stage Number]]&gt;=2,1,0)</f>
        <v>0</v>
      </c>
      <c r="N2910" s="2">
        <f>IF(LeadsData[[#This Row],[Stage Number]]&gt;=3,1,0)</f>
        <v>0</v>
      </c>
      <c r="O2910" s="2">
        <f>IF(LeadsData[[#This Row],[Stage Number]]&gt;=4,1,0)</f>
        <v>0</v>
      </c>
    </row>
    <row r="2911" spans="1:15" x14ac:dyDescent="0.25">
      <c r="A2911" t="s">
        <v>2951</v>
      </c>
      <c r="B2911" s="1">
        <v>45435</v>
      </c>
      <c r="C2911" t="s">
        <v>25</v>
      </c>
      <c r="D2911" t="s">
        <v>26</v>
      </c>
      <c r="E2911" t="s">
        <v>21</v>
      </c>
      <c r="F2911" t="s">
        <v>14</v>
      </c>
      <c r="G2911" t="s">
        <v>23</v>
      </c>
      <c r="K2911" cm="1">
        <f t="array" ref="K2911">_xlfn.SWITCH(LeadsData[[#This Row],[Funnel Stage Reached]],"Lead",1,"MQL",2,"SQL",3,"Customer",4)</f>
        <v>2</v>
      </c>
      <c r="L2911" t="str">
        <f>TEXT(LeadsData[[#This Row],[Signup Date]],"mmm-yyyy")</f>
        <v>May-2024</v>
      </c>
      <c r="M2911">
        <f>IF(LeadsData[[#This Row],[Stage Number]]&gt;=2,1,0)</f>
        <v>1</v>
      </c>
      <c r="N2911" s="2">
        <f>IF(LeadsData[[#This Row],[Stage Number]]&gt;=3,1,0)</f>
        <v>0</v>
      </c>
      <c r="O2911" s="2">
        <f>IF(LeadsData[[#This Row],[Stage Number]]&gt;=4,1,0)</f>
        <v>0</v>
      </c>
    </row>
    <row r="2912" spans="1:15" x14ac:dyDescent="0.25">
      <c r="A2912" t="s">
        <v>2952</v>
      </c>
      <c r="B2912" s="1">
        <v>45571</v>
      </c>
      <c r="C2912" t="s">
        <v>11</v>
      </c>
      <c r="D2912" t="s">
        <v>68</v>
      </c>
      <c r="E2912" t="s">
        <v>13</v>
      </c>
      <c r="F2912" t="s">
        <v>22</v>
      </c>
      <c r="G2912" t="s">
        <v>23</v>
      </c>
      <c r="K2912" cm="1">
        <f t="array" ref="K2912">_xlfn.SWITCH(LeadsData[[#This Row],[Funnel Stage Reached]],"Lead",1,"MQL",2,"SQL",3,"Customer",4)</f>
        <v>2</v>
      </c>
      <c r="L2912" t="str">
        <f>TEXT(LeadsData[[#This Row],[Signup Date]],"mmm-yyyy")</f>
        <v>Oct-2024</v>
      </c>
      <c r="M2912">
        <f>IF(LeadsData[[#This Row],[Stage Number]]&gt;=2,1,0)</f>
        <v>1</v>
      </c>
      <c r="N2912" s="2">
        <f>IF(LeadsData[[#This Row],[Stage Number]]&gt;=3,1,0)</f>
        <v>0</v>
      </c>
      <c r="O2912" s="2">
        <f>IF(LeadsData[[#This Row],[Stage Number]]&gt;=4,1,0)</f>
        <v>0</v>
      </c>
    </row>
    <row r="2913" spans="1:15" x14ac:dyDescent="0.25">
      <c r="A2913" t="s">
        <v>2953</v>
      </c>
      <c r="B2913" s="1">
        <v>45509</v>
      </c>
      <c r="C2913" t="s">
        <v>46</v>
      </c>
      <c r="D2913" t="s">
        <v>56</v>
      </c>
      <c r="E2913" t="s">
        <v>48</v>
      </c>
      <c r="F2913" t="s">
        <v>14</v>
      </c>
      <c r="G2913" t="s">
        <v>23</v>
      </c>
      <c r="K2913" cm="1">
        <f t="array" ref="K2913">_xlfn.SWITCH(LeadsData[[#This Row],[Funnel Stage Reached]],"Lead",1,"MQL",2,"SQL",3,"Customer",4)</f>
        <v>2</v>
      </c>
      <c r="L2913" t="str">
        <f>TEXT(LeadsData[[#This Row],[Signup Date]],"mmm-yyyy")</f>
        <v>Aug-2024</v>
      </c>
      <c r="M2913">
        <f>IF(LeadsData[[#This Row],[Stage Number]]&gt;=2,1,0)</f>
        <v>1</v>
      </c>
      <c r="N2913" s="2">
        <f>IF(LeadsData[[#This Row],[Stage Number]]&gt;=3,1,0)</f>
        <v>0</v>
      </c>
      <c r="O2913" s="2">
        <f>IF(LeadsData[[#This Row],[Stage Number]]&gt;=4,1,0)</f>
        <v>0</v>
      </c>
    </row>
    <row r="2914" spans="1:15" x14ac:dyDescent="0.25">
      <c r="A2914" t="s">
        <v>2954</v>
      </c>
      <c r="B2914" s="1">
        <v>45400</v>
      </c>
      <c r="C2914" t="s">
        <v>17</v>
      </c>
      <c r="D2914" t="s">
        <v>18</v>
      </c>
      <c r="E2914" t="s">
        <v>13</v>
      </c>
      <c r="F2914" t="s">
        <v>19</v>
      </c>
      <c r="G2914" t="s">
        <v>15</v>
      </c>
      <c r="K2914" cm="1">
        <f t="array" ref="K2914">_xlfn.SWITCH(LeadsData[[#This Row],[Funnel Stage Reached]],"Lead",1,"MQL",2,"SQL",3,"Customer",4)</f>
        <v>1</v>
      </c>
      <c r="L2914" t="str">
        <f>TEXT(LeadsData[[#This Row],[Signup Date]],"mmm-yyyy")</f>
        <v>Apr-2024</v>
      </c>
      <c r="M2914">
        <f>IF(LeadsData[[#This Row],[Stage Number]]&gt;=2,1,0)</f>
        <v>0</v>
      </c>
      <c r="N2914" s="2">
        <f>IF(LeadsData[[#This Row],[Stage Number]]&gt;=3,1,0)</f>
        <v>0</v>
      </c>
      <c r="O2914" s="2">
        <f>IF(LeadsData[[#This Row],[Stage Number]]&gt;=4,1,0)</f>
        <v>0</v>
      </c>
    </row>
    <row r="2915" spans="1:15" x14ac:dyDescent="0.25">
      <c r="A2915" t="s">
        <v>2955</v>
      </c>
      <c r="B2915" s="1">
        <v>45389</v>
      </c>
      <c r="C2915" t="s">
        <v>11</v>
      </c>
      <c r="D2915" t="s">
        <v>79</v>
      </c>
      <c r="E2915" t="s">
        <v>13</v>
      </c>
      <c r="F2915" t="s">
        <v>19</v>
      </c>
      <c r="G2915" t="s">
        <v>15</v>
      </c>
      <c r="K2915" cm="1">
        <f t="array" ref="K2915">_xlfn.SWITCH(LeadsData[[#This Row],[Funnel Stage Reached]],"Lead",1,"MQL",2,"SQL",3,"Customer",4)</f>
        <v>1</v>
      </c>
      <c r="L2915" t="str">
        <f>TEXT(LeadsData[[#This Row],[Signup Date]],"mmm-yyyy")</f>
        <v>Apr-2024</v>
      </c>
      <c r="M2915">
        <f>IF(LeadsData[[#This Row],[Stage Number]]&gt;=2,1,0)</f>
        <v>0</v>
      </c>
      <c r="N2915" s="2">
        <f>IF(LeadsData[[#This Row],[Stage Number]]&gt;=3,1,0)</f>
        <v>0</v>
      </c>
      <c r="O2915" s="2">
        <f>IF(LeadsData[[#This Row],[Stage Number]]&gt;=4,1,0)</f>
        <v>0</v>
      </c>
    </row>
    <row r="2916" spans="1:15" x14ac:dyDescent="0.25">
      <c r="A2916" t="s">
        <v>2956</v>
      </c>
      <c r="B2916" s="1">
        <v>45634</v>
      </c>
      <c r="C2916" t="s">
        <v>17</v>
      </c>
      <c r="D2916" t="s">
        <v>53</v>
      </c>
      <c r="E2916" t="s">
        <v>13</v>
      </c>
      <c r="F2916" t="s">
        <v>19</v>
      </c>
      <c r="G2916" t="s">
        <v>29</v>
      </c>
      <c r="K2916" cm="1">
        <f t="array" ref="K2916">_xlfn.SWITCH(LeadsData[[#This Row],[Funnel Stage Reached]],"Lead",1,"MQL",2,"SQL",3,"Customer",4)</f>
        <v>3</v>
      </c>
      <c r="L2916" t="str">
        <f>TEXT(LeadsData[[#This Row],[Signup Date]],"mmm-yyyy")</f>
        <v>Dec-2024</v>
      </c>
      <c r="M2916">
        <f>IF(LeadsData[[#This Row],[Stage Number]]&gt;=2,1,0)</f>
        <v>1</v>
      </c>
      <c r="N2916" s="2">
        <f>IF(LeadsData[[#This Row],[Stage Number]]&gt;=3,1,0)</f>
        <v>1</v>
      </c>
      <c r="O2916" s="2">
        <f>IF(LeadsData[[#This Row],[Stage Number]]&gt;=4,1,0)</f>
        <v>0</v>
      </c>
    </row>
    <row r="2917" spans="1:15" x14ac:dyDescent="0.25">
      <c r="A2917" t="s">
        <v>2957</v>
      </c>
      <c r="B2917" s="1">
        <v>45466</v>
      </c>
      <c r="C2917" t="s">
        <v>46</v>
      </c>
      <c r="D2917" t="s">
        <v>56</v>
      </c>
      <c r="E2917" t="s">
        <v>21</v>
      </c>
      <c r="F2917" t="s">
        <v>22</v>
      </c>
      <c r="G2917" t="s">
        <v>29</v>
      </c>
      <c r="K2917" cm="1">
        <f t="array" ref="K2917">_xlfn.SWITCH(LeadsData[[#This Row],[Funnel Stage Reached]],"Lead",1,"MQL",2,"SQL",3,"Customer",4)</f>
        <v>3</v>
      </c>
      <c r="L2917" t="str">
        <f>TEXT(LeadsData[[#This Row],[Signup Date]],"mmm-yyyy")</f>
        <v>Jun-2024</v>
      </c>
      <c r="M2917">
        <f>IF(LeadsData[[#This Row],[Stage Number]]&gt;=2,1,0)</f>
        <v>1</v>
      </c>
      <c r="N2917" s="2">
        <f>IF(LeadsData[[#This Row],[Stage Number]]&gt;=3,1,0)</f>
        <v>1</v>
      </c>
      <c r="O2917" s="2">
        <f>IF(LeadsData[[#This Row],[Stage Number]]&gt;=4,1,0)</f>
        <v>0</v>
      </c>
    </row>
    <row r="2918" spans="1:15" x14ac:dyDescent="0.25">
      <c r="A2918" t="s">
        <v>2958</v>
      </c>
      <c r="B2918" s="1">
        <v>45546</v>
      </c>
      <c r="C2918" t="s">
        <v>25</v>
      </c>
      <c r="D2918" t="s">
        <v>26</v>
      </c>
      <c r="E2918" t="s">
        <v>13</v>
      </c>
      <c r="F2918" t="s">
        <v>19</v>
      </c>
      <c r="G2918" t="s">
        <v>23</v>
      </c>
      <c r="K2918" cm="1">
        <f t="array" ref="K2918">_xlfn.SWITCH(LeadsData[[#This Row],[Funnel Stage Reached]],"Lead",1,"MQL",2,"SQL",3,"Customer",4)</f>
        <v>2</v>
      </c>
      <c r="L2918" t="str">
        <f>TEXT(LeadsData[[#This Row],[Signup Date]],"mmm-yyyy")</f>
        <v>Sep-2024</v>
      </c>
      <c r="M2918">
        <f>IF(LeadsData[[#This Row],[Stage Number]]&gt;=2,1,0)</f>
        <v>1</v>
      </c>
      <c r="N2918" s="2">
        <f>IF(LeadsData[[#This Row],[Stage Number]]&gt;=3,1,0)</f>
        <v>0</v>
      </c>
      <c r="O2918" s="2">
        <f>IF(LeadsData[[#This Row],[Stage Number]]&gt;=4,1,0)</f>
        <v>0</v>
      </c>
    </row>
    <row r="2919" spans="1:15" x14ac:dyDescent="0.25">
      <c r="A2919" t="s">
        <v>2959</v>
      </c>
      <c r="B2919" s="1">
        <v>45328</v>
      </c>
      <c r="C2919" t="s">
        <v>46</v>
      </c>
      <c r="D2919" t="s">
        <v>56</v>
      </c>
      <c r="E2919" t="s">
        <v>13</v>
      </c>
      <c r="F2919" t="s">
        <v>14</v>
      </c>
      <c r="G2919" t="s">
        <v>15</v>
      </c>
      <c r="K2919" cm="1">
        <f t="array" ref="K2919">_xlfn.SWITCH(LeadsData[[#This Row],[Funnel Stage Reached]],"Lead",1,"MQL",2,"SQL",3,"Customer",4)</f>
        <v>1</v>
      </c>
      <c r="L2919" t="str">
        <f>TEXT(LeadsData[[#This Row],[Signup Date]],"mmm-yyyy")</f>
        <v>Feb-2024</v>
      </c>
      <c r="M2919">
        <f>IF(LeadsData[[#This Row],[Stage Number]]&gt;=2,1,0)</f>
        <v>0</v>
      </c>
      <c r="N2919" s="2">
        <f>IF(LeadsData[[#This Row],[Stage Number]]&gt;=3,1,0)</f>
        <v>0</v>
      </c>
      <c r="O2919" s="2">
        <f>IF(LeadsData[[#This Row],[Stage Number]]&gt;=4,1,0)</f>
        <v>0</v>
      </c>
    </row>
    <row r="2920" spans="1:15" x14ac:dyDescent="0.25">
      <c r="A2920" t="s">
        <v>2960</v>
      </c>
      <c r="B2920" s="1">
        <v>45605</v>
      </c>
      <c r="C2920" t="s">
        <v>31</v>
      </c>
      <c r="D2920" t="s">
        <v>32</v>
      </c>
      <c r="E2920" t="s">
        <v>21</v>
      </c>
      <c r="F2920" t="s">
        <v>22</v>
      </c>
      <c r="G2920" t="s">
        <v>23</v>
      </c>
      <c r="K2920" cm="1">
        <f t="array" ref="K2920">_xlfn.SWITCH(LeadsData[[#This Row],[Funnel Stage Reached]],"Lead",1,"MQL",2,"SQL",3,"Customer",4)</f>
        <v>2</v>
      </c>
      <c r="L2920" t="str">
        <f>TEXT(LeadsData[[#This Row],[Signup Date]],"mmm-yyyy")</f>
        <v>Nov-2024</v>
      </c>
      <c r="M2920">
        <f>IF(LeadsData[[#This Row],[Stage Number]]&gt;=2,1,0)</f>
        <v>1</v>
      </c>
      <c r="N2920" s="2">
        <f>IF(LeadsData[[#This Row],[Stage Number]]&gt;=3,1,0)</f>
        <v>0</v>
      </c>
      <c r="O2920" s="2">
        <f>IF(LeadsData[[#This Row],[Stage Number]]&gt;=4,1,0)</f>
        <v>0</v>
      </c>
    </row>
    <row r="2921" spans="1:15" x14ac:dyDescent="0.25">
      <c r="A2921" t="s">
        <v>2961</v>
      </c>
      <c r="B2921" s="1">
        <v>45457</v>
      </c>
      <c r="C2921" t="s">
        <v>31</v>
      </c>
      <c r="D2921" t="s">
        <v>34</v>
      </c>
      <c r="E2921" t="s">
        <v>13</v>
      </c>
      <c r="F2921" t="s">
        <v>22</v>
      </c>
      <c r="G2921" t="s">
        <v>23</v>
      </c>
      <c r="K2921" cm="1">
        <f t="array" ref="K2921">_xlfn.SWITCH(LeadsData[[#This Row],[Funnel Stage Reached]],"Lead",1,"MQL",2,"SQL",3,"Customer",4)</f>
        <v>2</v>
      </c>
      <c r="L2921" t="str">
        <f>TEXT(LeadsData[[#This Row],[Signup Date]],"mmm-yyyy")</f>
        <v>Jun-2024</v>
      </c>
      <c r="M2921">
        <f>IF(LeadsData[[#This Row],[Stage Number]]&gt;=2,1,0)</f>
        <v>1</v>
      </c>
      <c r="N2921" s="2">
        <f>IF(LeadsData[[#This Row],[Stage Number]]&gt;=3,1,0)</f>
        <v>0</v>
      </c>
      <c r="O2921" s="2">
        <f>IF(LeadsData[[#This Row],[Stage Number]]&gt;=4,1,0)</f>
        <v>0</v>
      </c>
    </row>
    <row r="2922" spans="1:15" x14ac:dyDescent="0.25">
      <c r="A2922" t="s">
        <v>2962</v>
      </c>
      <c r="B2922" s="1">
        <v>45354</v>
      </c>
      <c r="C2922" t="s">
        <v>46</v>
      </c>
      <c r="D2922" t="s">
        <v>56</v>
      </c>
      <c r="E2922" t="s">
        <v>13</v>
      </c>
      <c r="F2922" t="s">
        <v>28</v>
      </c>
      <c r="G2922" t="s">
        <v>23</v>
      </c>
      <c r="K2922" cm="1">
        <f t="array" ref="K2922">_xlfn.SWITCH(LeadsData[[#This Row],[Funnel Stage Reached]],"Lead",1,"MQL",2,"SQL",3,"Customer",4)</f>
        <v>2</v>
      </c>
      <c r="L2922" t="str">
        <f>TEXT(LeadsData[[#This Row],[Signup Date]],"mmm-yyyy")</f>
        <v>Mar-2024</v>
      </c>
      <c r="M2922">
        <f>IF(LeadsData[[#This Row],[Stage Number]]&gt;=2,1,0)</f>
        <v>1</v>
      </c>
      <c r="N2922" s="2">
        <f>IF(LeadsData[[#This Row],[Stage Number]]&gt;=3,1,0)</f>
        <v>0</v>
      </c>
      <c r="O2922" s="2">
        <f>IF(LeadsData[[#This Row],[Stage Number]]&gt;=4,1,0)</f>
        <v>0</v>
      </c>
    </row>
    <row r="2923" spans="1:15" x14ac:dyDescent="0.25">
      <c r="A2923" t="s">
        <v>2963</v>
      </c>
      <c r="B2923" s="1">
        <v>45653</v>
      </c>
      <c r="C2923" t="s">
        <v>17</v>
      </c>
      <c r="D2923" t="s">
        <v>53</v>
      </c>
      <c r="E2923" t="s">
        <v>21</v>
      </c>
      <c r="F2923" t="s">
        <v>22</v>
      </c>
      <c r="G2923" t="s">
        <v>15</v>
      </c>
      <c r="K2923" cm="1">
        <f t="array" ref="K2923">_xlfn.SWITCH(LeadsData[[#This Row],[Funnel Stage Reached]],"Lead",1,"MQL",2,"SQL",3,"Customer",4)</f>
        <v>1</v>
      </c>
      <c r="L2923" t="str">
        <f>TEXT(LeadsData[[#This Row],[Signup Date]],"mmm-yyyy")</f>
        <v>Dec-2024</v>
      </c>
      <c r="M2923">
        <f>IF(LeadsData[[#This Row],[Stage Number]]&gt;=2,1,0)</f>
        <v>0</v>
      </c>
      <c r="N2923" s="2">
        <f>IF(LeadsData[[#This Row],[Stage Number]]&gt;=3,1,0)</f>
        <v>0</v>
      </c>
      <c r="O2923" s="2">
        <f>IF(LeadsData[[#This Row],[Stage Number]]&gt;=4,1,0)</f>
        <v>0</v>
      </c>
    </row>
    <row r="2924" spans="1:15" x14ac:dyDescent="0.25">
      <c r="A2924" t="s">
        <v>2964</v>
      </c>
      <c r="B2924" s="1">
        <v>45426</v>
      </c>
      <c r="C2924" t="s">
        <v>36</v>
      </c>
      <c r="D2924" t="s">
        <v>50</v>
      </c>
      <c r="E2924" t="s">
        <v>13</v>
      </c>
      <c r="F2924" t="s">
        <v>14</v>
      </c>
      <c r="G2924" t="s">
        <v>23</v>
      </c>
      <c r="K2924" cm="1">
        <f t="array" ref="K2924">_xlfn.SWITCH(LeadsData[[#This Row],[Funnel Stage Reached]],"Lead",1,"MQL",2,"SQL",3,"Customer",4)</f>
        <v>2</v>
      </c>
      <c r="L2924" t="str">
        <f>TEXT(LeadsData[[#This Row],[Signup Date]],"mmm-yyyy")</f>
        <v>May-2024</v>
      </c>
      <c r="M2924">
        <f>IF(LeadsData[[#This Row],[Stage Number]]&gt;=2,1,0)</f>
        <v>1</v>
      </c>
      <c r="N2924" s="2">
        <f>IF(LeadsData[[#This Row],[Stage Number]]&gt;=3,1,0)</f>
        <v>0</v>
      </c>
      <c r="O2924" s="2">
        <f>IF(LeadsData[[#This Row],[Stage Number]]&gt;=4,1,0)</f>
        <v>0</v>
      </c>
    </row>
    <row r="2925" spans="1:15" x14ac:dyDescent="0.25">
      <c r="A2925" t="s">
        <v>2965</v>
      </c>
      <c r="B2925" s="1">
        <v>45556</v>
      </c>
      <c r="C2925" t="s">
        <v>11</v>
      </c>
      <c r="D2925" t="s">
        <v>79</v>
      </c>
      <c r="E2925" t="s">
        <v>13</v>
      </c>
      <c r="F2925" t="s">
        <v>22</v>
      </c>
      <c r="G2925" t="s">
        <v>15</v>
      </c>
      <c r="K2925" cm="1">
        <f t="array" ref="K2925">_xlfn.SWITCH(LeadsData[[#This Row],[Funnel Stage Reached]],"Lead",1,"MQL",2,"SQL",3,"Customer",4)</f>
        <v>1</v>
      </c>
      <c r="L2925" t="str">
        <f>TEXT(LeadsData[[#This Row],[Signup Date]],"mmm-yyyy")</f>
        <v>Sep-2024</v>
      </c>
      <c r="M2925">
        <f>IF(LeadsData[[#This Row],[Stage Number]]&gt;=2,1,0)</f>
        <v>0</v>
      </c>
      <c r="N2925" s="2">
        <f>IF(LeadsData[[#This Row],[Stage Number]]&gt;=3,1,0)</f>
        <v>0</v>
      </c>
      <c r="O2925" s="2">
        <f>IF(LeadsData[[#This Row],[Stage Number]]&gt;=4,1,0)</f>
        <v>0</v>
      </c>
    </row>
    <row r="2926" spans="1:15" x14ac:dyDescent="0.25">
      <c r="A2926" t="s">
        <v>2966</v>
      </c>
      <c r="B2926" s="1">
        <v>45429</v>
      </c>
      <c r="C2926" t="s">
        <v>31</v>
      </c>
      <c r="D2926" t="s">
        <v>34</v>
      </c>
      <c r="E2926" t="s">
        <v>13</v>
      </c>
      <c r="F2926" t="s">
        <v>19</v>
      </c>
      <c r="G2926" t="s">
        <v>15</v>
      </c>
      <c r="K2926" cm="1">
        <f t="array" ref="K2926">_xlfn.SWITCH(LeadsData[[#This Row],[Funnel Stage Reached]],"Lead",1,"MQL",2,"SQL",3,"Customer",4)</f>
        <v>1</v>
      </c>
      <c r="L2926" t="str">
        <f>TEXT(LeadsData[[#This Row],[Signup Date]],"mmm-yyyy")</f>
        <v>May-2024</v>
      </c>
      <c r="M2926">
        <f>IF(LeadsData[[#This Row],[Stage Number]]&gt;=2,1,0)</f>
        <v>0</v>
      </c>
      <c r="N2926" s="2">
        <f>IF(LeadsData[[#This Row],[Stage Number]]&gt;=3,1,0)</f>
        <v>0</v>
      </c>
      <c r="O2926" s="2">
        <f>IF(LeadsData[[#This Row],[Stage Number]]&gt;=4,1,0)</f>
        <v>0</v>
      </c>
    </row>
    <row r="2927" spans="1:15" x14ac:dyDescent="0.25">
      <c r="A2927" t="s">
        <v>2967</v>
      </c>
      <c r="B2927" s="1">
        <v>45418</v>
      </c>
      <c r="C2927" t="s">
        <v>25</v>
      </c>
      <c r="D2927" t="s">
        <v>26</v>
      </c>
      <c r="E2927" t="s">
        <v>21</v>
      </c>
      <c r="F2927" t="s">
        <v>19</v>
      </c>
      <c r="G2927" t="s">
        <v>15</v>
      </c>
      <c r="K2927" cm="1">
        <f t="array" ref="K2927">_xlfn.SWITCH(LeadsData[[#This Row],[Funnel Stage Reached]],"Lead",1,"MQL",2,"SQL",3,"Customer",4)</f>
        <v>1</v>
      </c>
      <c r="L2927" t="str">
        <f>TEXT(LeadsData[[#This Row],[Signup Date]],"mmm-yyyy")</f>
        <v>May-2024</v>
      </c>
      <c r="M2927">
        <f>IF(LeadsData[[#This Row],[Stage Number]]&gt;=2,1,0)</f>
        <v>0</v>
      </c>
      <c r="N2927" s="2">
        <f>IF(LeadsData[[#This Row],[Stage Number]]&gt;=3,1,0)</f>
        <v>0</v>
      </c>
      <c r="O2927" s="2">
        <f>IF(LeadsData[[#This Row],[Stage Number]]&gt;=4,1,0)</f>
        <v>0</v>
      </c>
    </row>
    <row r="2928" spans="1:15" x14ac:dyDescent="0.25">
      <c r="A2928" t="s">
        <v>2968</v>
      </c>
      <c r="B2928" s="1">
        <v>45352</v>
      </c>
      <c r="C2928" t="s">
        <v>25</v>
      </c>
      <c r="D2928" t="s">
        <v>26</v>
      </c>
      <c r="E2928" t="s">
        <v>21</v>
      </c>
      <c r="F2928" t="s">
        <v>22</v>
      </c>
      <c r="G2928" t="s">
        <v>23</v>
      </c>
      <c r="K2928" cm="1">
        <f t="array" ref="K2928">_xlfn.SWITCH(LeadsData[[#This Row],[Funnel Stage Reached]],"Lead",1,"MQL",2,"SQL",3,"Customer",4)</f>
        <v>2</v>
      </c>
      <c r="L2928" t="str">
        <f>TEXT(LeadsData[[#This Row],[Signup Date]],"mmm-yyyy")</f>
        <v>Mar-2024</v>
      </c>
      <c r="M2928">
        <f>IF(LeadsData[[#This Row],[Stage Number]]&gt;=2,1,0)</f>
        <v>1</v>
      </c>
      <c r="N2928" s="2">
        <f>IF(LeadsData[[#This Row],[Stage Number]]&gt;=3,1,0)</f>
        <v>0</v>
      </c>
      <c r="O2928" s="2">
        <f>IF(LeadsData[[#This Row],[Stage Number]]&gt;=4,1,0)</f>
        <v>0</v>
      </c>
    </row>
    <row r="2929" spans="1:15" x14ac:dyDescent="0.25">
      <c r="A2929" t="s">
        <v>2969</v>
      </c>
      <c r="B2929" s="1">
        <v>45309</v>
      </c>
      <c r="C2929" t="s">
        <v>46</v>
      </c>
      <c r="D2929" t="s">
        <v>47</v>
      </c>
      <c r="E2929" t="s">
        <v>13</v>
      </c>
      <c r="F2929" t="s">
        <v>22</v>
      </c>
      <c r="G2929" t="s">
        <v>29</v>
      </c>
      <c r="K2929" cm="1">
        <f t="array" ref="K2929">_xlfn.SWITCH(LeadsData[[#This Row],[Funnel Stage Reached]],"Lead",1,"MQL",2,"SQL",3,"Customer",4)</f>
        <v>3</v>
      </c>
      <c r="L2929" t="str">
        <f>TEXT(LeadsData[[#This Row],[Signup Date]],"mmm-yyyy")</f>
        <v>Jan-2024</v>
      </c>
      <c r="M2929">
        <f>IF(LeadsData[[#This Row],[Stage Number]]&gt;=2,1,0)</f>
        <v>1</v>
      </c>
      <c r="N2929" s="2">
        <f>IF(LeadsData[[#This Row],[Stage Number]]&gt;=3,1,0)</f>
        <v>1</v>
      </c>
      <c r="O2929" s="2">
        <f>IF(LeadsData[[#This Row],[Stage Number]]&gt;=4,1,0)</f>
        <v>0</v>
      </c>
    </row>
    <row r="2930" spans="1:15" x14ac:dyDescent="0.25">
      <c r="A2930" t="s">
        <v>2970</v>
      </c>
      <c r="B2930" s="1">
        <v>45427</v>
      </c>
      <c r="C2930" t="s">
        <v>31</v>
      </c>
      <c r="D2930" t="s">
        <v>34</v>
      </c>
      <c r="E2930" t="s">
        <v>13</v>
      </c>
      <c r="F2930" t="s">
        <v>22</v>
      </c>
      <c r="G2930" t="s">
        <v>23</v>
      </c>
      <c r="K2930" cm="1">
        <f t="array" ref="K2930">_xlfn.SWITCH(LeadsData[[#This Row],[Funnel Stage Reached]],"Lead",1,"MQL",2,"SQL",3,"Customer",4)</f>
        <v>2</v>
      </c>
      <c r="L2930" t="str">
        <f>TEXT(LeadsData[[#This Row],[Signup Date]],"mmm-yyyy")</f>
        <v>May-2024</v>
      </c>
      <c r="M2930">
        <f>IF(LeadsData[[#This Row],[Stage Number]]&gt;=2,1,0)</f>
        <v>1</v>
      </c>
      <c r="N2930" s="2">
        <f>IF(LeadsData[[#This Row],[Stage Number]]&gt;=3,1,0)</f>
        <v>0</v>
      </c>
      <c r="O2930" s="2">
        <f>IF(LeadsData[[#This Row],[Stage Number]]&gt;=4,1,0)</f>
        <v>0</v>
      </c>
    </row>
    <row r="2931" spans="1:15" x14ac:dyDescent="0.25">
      <c r="A2931" t="s">
        <v>2971</v>
      </c>
      <c r="B2931" s="1">
        <v>45371</v>
      </c>
      <c r="C2931" t="s">
        <v>17</v>
      </c>
      <c r="D2931" t="s">
        <v>18</v>
      </c>
      <c r="E2931" t="s">
        <v>13</v>
      </c>
      <c r="F2931" t="s">
        <v>19</v>
      </c>
      <c r="G2931" t="s">
        <v>15</v>
      </c>
      <c r="K2931" cm="1">
        <f t="array" ref="K2931">_xlfn.SWITCH(LeadsData[[#This Row],[Funnel Stage Reached]],"Lead",1,"MQL",2,"SQL",3,"Customer",4)</f>
        <v>1</v>
      </c>
      <c r="L2931" t="str">
        <f>TEXT(LeadsData[[#This Row],[Signup Date]],"mmm-yyyy")</f>
        <v>Mar-2024</v>
      </c>
      <c r="M2931">
        <f>IF(LeadsData[[#This Row],[Stage Number]]&gt;=2,1,0)</f>
        <v>0</v>
      </c>
      <c r="N2931" s="2">
        <f>IF(LeadsData[[#This Row],[Stage Number]]&gt;=3,1,0)</f>
        <v>0</v>
      </c>
      <c r="O2931" s="2">
        <f>IF(LeadsData[[#This Row],[Stage Number]]&gt;=4,1,0)</f>
        <v>0</v>
      </c>
    </row>
    <row r="2932" spans="1:15" x14ac:dyDescent="0.25">
      <c r="A2932" t="s">
        <v>2972</v>
      </c>
      <c r="B2932" s="1">
        <v>45561</v>
      </c>
      <c r="C2932" t="s">
        <v>31</v>
      </c>
      <c r="D2932" t="s">
        <v>34</v>
      </c>
      <c r="E2932" t="s">
        <v>48</v>
      </c>
      <c r="F2932" t="s">
        <v>22</v>
      </c>
      <c r="G2932" t="s">
        <v>23</v>
      </c>
      <c r="K2932" cm="1">
        <f t="array" ref="K2932">_xlfn.SWITCH(LeadsData[[#This Row],[Funnel Stage Reached]],"Lead",1,"MQL",2,"SQL",3,"Customer",4)</f>
        <v>2</v>
      </c>
      <c r="L2932" t="str">
        <f>TEXT(LeadsData[[#This Row],[Signup Date]],"mmm-yyyy")</f>
        <v>Sep-2024</v>
      </c>
      <c r="M2932">
        <f>IF(LeadsData[[#This Row],[Stage Number]]&gt;=2,1,0)</f>
        <v>1</v>
      </c>
      <c r="N2932" s="2">
        <f>IF(LeadsData[[#This Row],[Stage Number]]&gt;=3,1,0)</f>
        <v>0</v>
      </c>
      <c r="O2932" s="2">
        <f>IF(LeadsData[[#This Row],[Stage Number]]&gt;=4,1,0)</f>
        <v>0</v>
      </c>
    </row>
    <row r="2933" spans="1:15" x14ac:dyDescent="0.25">
      <c r="A2933" t="s">
        <v>2973</v>
      </c>
      <c r="B2933" s="1">
        <v>45406</v>
      </c>
      <c r="C2933" t="s">
        <v>46</v>
      </c>
      <c r="D2933" t="s">
        <v>47</v>
      </c>
      <c r="E2933" t="s">
        <v>13</v>
      </c>
      <c r="F2933" t="s">
        <v>19</v>
      </c>
      <c r="G2933" t="s">
        <v>29</v>
      </c>
      <c r="K2933" cm="1">
        <f t="array" ref="K2933">_xlfn.SWITCH(LeadsData[[#This Row],[Funnel Stage Reached]],"Lead",1,"MQL",2,"SQL",3,"Customer",4)</f>
        <v>3</v>
      </c>
      <c r="L2933" t="str">
        <f>TEXT(LeadsData[[#This Row],[Signup Date]],"mmm-yyyy")</f>
        <v>Apr-2024</v>
      </c>
      <c r="M2933">
        <f>IF(LeadsData[[#This Row],[Stage Number]]&gt;=2,1,0)</f>
        <v>1</v>
      </c>
      <c r="N2933" s="2">
        <f>IF(LeadsData[[#This Row],[Stage Number]]&gt;=3,1,0)</f>
        <v>1</v>
      </c>
      <c r="O2933" s="2">
        <f>IF(LeadsData[[#This Row],[Stage Number]]&gt;=4,1,0)</f>
        <v>0</v>
      </c>
    </row>
    <row r="2934" spans="1:15" x14ac:dyDescent="0.25">
      <c r="A2934" t="s">
        <v>2974</v>
      </c>
      <c r="B2934" s="1">
        <v>45615</v>
      </c>
      <c r="C2934" t="s">
        <v>31</v>
      </c>
      <c r="D2934" t="s">
        <v>34</v>
      </c>
      <c r="E2934" t="s">
        <v>48</v>
      </c>
      <c r="F2934" t="s">
        <v>22</v>
      </c>
      <c r="G2934" t="s">
        <v>42</v>
      </c>
      <c r="H2934">
        <v>16</v>
      </c>
      <c r="I2934" t="s">
        <v>43</v>
      </c>
      <c r="J2934">
        <v>1055.1099999999999</v>
      </c>
      <c r="K2934" cm="1">
        <f t="array" ref="K2934">_xlfn.SWITCH(LeadsData[[#This Row],[Funnel Stage Reached]],"Lead",1,"MQL",2,"SQL",3,"Customer",4)</f>
        <v>4</v>
      </c>
      <c r="L2934" t="str">
        <f>TEXT(LeadsData[[#This Row],[Signup Date]],"mmm-yyyy")</f>
        <v>Nov-2024</v>
      </c>
      <c r="M2934">
        <f>IF(LeadsData[[#This Row],[Stage Number]]&gt;=2,1,0)</f>
        <v>1</v>
      </c>
      <c r="N2934" s="2">
        <f>IF(LeadsData[[#This Row],[Stage Number]]&gt;=3,1,0)</f>
        <v>1</v>
      </c>
      <c r="O2934" s="2">
        <f>IF(LeadsData[[#This Row],[Stage Number]]&gt;=4,1,0)</f>
        <v>1</v>
      </c>
    </row>
    <row r="2935" spans="1:15" x14ac:dyDescent="0.25">
      <c r="A2935" t="s">
        <v>2975</v>
      </c>
      <c r="B2935" s="1">
        <v>45611</v>
      </c>
      <c r="C2935" t="s">
        <v>25</v>
      </c>
      <c r="D2935" t="s">
        <v>26</v>
      </c>
      <c r="E2935" t="s">
        <v>13</v>
      </c>
      <c r="F2935" t="s">
        <v>22</v>
      </c>
      <c r="G2935" t="s">
        <v>15</v>
      </c>
      <c r="K2935" cm="1">
        <f t="array" ref="K2935">_xlfn.SWITCH(LeadsData[[#This Row],[Funnel Stage Reached]],"Lead",1,"MQL",2,"SQL",3,"Customer",4)</f>
        <v>1</v>
      </c>
      <c r="L2935" t="str">
        <f>TEXT(LeadsData[[#This Row],[Signup Date]],"mmm-yyyy")</f>
        <v>Nov-2024</v>
      </c>
      <c r="M2935">
        <f>IF(LeadsData[[#This Row],[Stage Number]]&gt;=2,1,0)</f>
        <v>0</v>
      </c>
      <c r="N2935" s="2">
        <f>IF(LeadsData[[#This Row],[Stage Number]]&gt;=3,1,0)</f>
        <v>0</v>
      </c>
      <c r="O2935" s="2">
        <f>IF(LeadsData[[#This Row],[Stage Number]]&gt;=4,1,0)</f>
        <v>0</v>
      </c>
    </row>
    <row r="2936" spans="1:15" x14ac:dyDescent="0.25">
      <c r="A2936" t="s">
        <v>2976</v>
      </c>
      <c r="B2936" s="1">
        <v>45543</v>
      </c>
      <c r="C2936" t="s">
        <v>46</v>
      </c>
      <c r="D2936" t="s">
        <v>47</v>
      </c>
      <c r="E2936" t="s">
        <v>13</v>
      </c>
      <c r="F2936" t="s">
        <v>22</v>
      </c>
      <c r="G2936" t="s">
        <v>29</v>
      </c>
      <c r="K2936" cm="1">
        <f t="array" ref="K2936">_xlfn.SWITCH(LeadsData[[#This Row],[Funnel Stage Reached]],"Lead",1,"MQL",2,"SQL",3,"Customer",4)</f>
        <v>3</v>
      </c>
      <c r="L2936" t="str">
        <f>TEXT(LeadsData[[#This Row],[Signup Date]],"mmm-yyyy")</f>
        <v>Sep-2024</v>
      </c>
      <c r="M2936">
        <f>IF(LeadsData[[#This Row],[Stage Number]]&gt;=2,1,0)</f>
        <v>1</v>
      </c>
      <c r="N2936" s="2">
        <f>IF(LeadsData[[#This Row],[Stage Number]]&gt;=3,1,0)</f>
        <v>1</v>
      </c>
      <c r="O2936" s="2">
        <f>IF(LeadsData[[#This Row],[Stage Number]]&gt;=4,1,0)</f>
        <v>0</v>
      </c>
    </row>
    <row r="2937" spans="1:15" x14ac:dyDescent="0.25">
      <c r="A2937" t="s">
        <v>2977</v>
      </c>
      <c r="B2937" s="1">
        <v>45294</v>
      </c>
      <c r="C2937" t="s">
        <v>25</v>
      </c>
      <c r="D2937" t="s">
        <v>26</v>
      </c>
      <c r="E2937" t="s">
        <v>21</v>
      </c>
      <c r="F2937" t="s">
        <v>22</v>
      </c>
      <c r="G2937" t="s">
        <v>42</v>
      </c>
      <c r="H2937">
        <v>69</v>
      </c>
      <c r="I2937" t="s">
        <v>43</v>
      </c>
      <c r="J2937">
        <v>1139.1099999999999</v>
      </c>
      <c r="K2937" cm="1">
        <f t="array" ref="K2937">_xlfn.SWITCH(LeadsData[[#This Row],[Funnel Stage Reached]],"Lead",1,"MQL",2,"SQL",3,"Customer",4)</f>
        <v>4</v>
      </c>
      <c r="L2937" t="str">
        <f>TEXT(LeadsData[[#This Row],[Signup Date]],"mmm-yyyy")</f>
        <v>Jan-2024</v>
      </c>
      <c r="M2937">
        <f>IF(LeadsData[[#This Row],[Stage Number]]&gt;=2,1,0)</f>
        <v>1</v>
      </c>
      <c r="N2937" s="2">
        <f>IF(LeadsData[[#This Row],[Stage Number]]&gt;=3,1,0)</f>
        <v>1</v>
      </c>
      <c r="O2937" s="2">
        <f>IF(LeadsData[[#This Row],[Stage Number]]&gt;=4,1,0)</f>
        <v>1</v>
      </c>
    </row>
    <row r="2938" spans="1:15" x14ac:dyDescent="0.25">
      <c r="A2938" t="s">
        <v>2978</v>
      </c>
      <c r="B2938" s="1">
        <v>45648</v>
      </c>
      <c r="C2938" t="s">
        <v>17</v>
      </c>
      <c r="D2938" t="s">
        <v>18</v>
      </c>
      <c r="E2938" t="s">
        <v>13</v>
      </c>
      <c r="F2938" t="s">
        <v>19</v>
      </c>
      <c r="G2938" t="s">
        <v>15</v>
      </c>
      <c r="K2938" cm="1">
        <f t="array" ref="K2938">_xlfn.SWITCH(LeadsData[[#This Row],[Funnel Stage Reached]],"Lead",1,"MQL",2,"SQL",3,"Customer",4)</f>
        <v>1</v>
      </c>
      <c r="L2938" t="str">
        <f>TEXT(LeadsData[[#This Row],[Signup Date]],"mmm-yyyy")</f>
        <v>Dec-2024</v>
      </c>
      <c r="M2938">
        <f>IF(LeadsData[[#This Row],[Stage Number]]&gt;=2,1,0)</f>
        <v>0</v>
      </c>
      <c r="N2938" s="2">
        <f>IF(LeadsData[[#This Row],[Stage Number]]&gt;=3,1,0)</f>
        <v>0</v>
      </c>
      <c r="O2938" s="2">
        <f>IF(LeadsData[[#This Row],[Stage Number]]&gt;=4,1,0)</f>
        <v>0</v>
      </c>
    </row>
    <row r="2939" spans="1:15" x14ac:dyDescent="0.25">
      <c r="A2939" t="s">
        <v>2979</v>
      </c>
      <c r="B2939" s="1">
        <v>45464</v>
      </c>
      <c r="C2939" t="s">
        <v>17</v>
      </c>
      <c r="D2939" t="s">
        <v>18</v>
      </c>
      <c r="E2939" t="s">
        <v>21</v>
      </c>
      <c r="F2939" t="s">
        <v>19</v>
      </c>
      <c r="G2939" t="s">
        <v>15</v>
      </c>
      <c r="K2939" cm="1">
        <f t="array" ref="K2939">_xlfn.SWITCH(LeadsData[[#This Row],[Funnel Stage Reached]],"Lead",1,"MQL",2,"SQL",3,"Customer",4)</f>
        <v>1</v>
      </c>
      <c r="L2939" t="str">
        <f>TEXT(LeadsData[[#This Row],[Signup Date]],"mmm-yyyy")</f>
        <v>Jun-2024</v>
      </c>
      <c r="M2939">
        <f>IF(LeadsData[[#This Row],[Stage Number]]&gt;=2,1,0)</f>
        <v>0</v>
      </c>
      <c r="N2939" s="2">
        <f>IF(LeadsData[[#This Row],[Stage Number]]&gt;=3,1,0)</f>
        <v>0</v>
      </c>
      <c r="O2939" s="2">
        <f>IF(LeadsData[[#This Row],[Stage Number]]&gt;=4,1,0)</f>
        <v>0</v>
      </c>
    </row>
    <row r="2940" spans="1:15" x14ac:dyDescent="0.25">
      <c r="A2940" t="s">
        <v>2980</v>
      </c>
      <c r="B2940" s="1">
        <v>45517</v>
      </c>
      <c r="C2940" t="s">
        <v>17</v>
      </c>
      <c r="D2940" t="s">
        <v>53</v>
      </c>
      <c r="E2940" t="s">
        <v>13</v>
      </c>
      <c r="F2940" t="s">
        <v>14</v>
      </c>
      <c r="G2940" t="s">
        <v>23</v>
      </c>
      <c r="K2940" cm="1">
        <f t="array" ref="K2940">_xlfn.SWITCH(LeadsData[[#This Row],[Funnel Stage Reached]],"Lead",1,"MQL",2,"SQL",3,"Customer",4)</f>
        <v>2</v>
      </c>
      <c r="L2940" t="str">
        <f>TEXT(LeadsData[[#This Row],[Signup Date]],"mmm-yyyy")</f>
        <v>Aug-2024</v>
      </c>
      <c r="M2940">
        <f>IF(LeadsData[[#This Row],[Stage Number]]&gt;=2,1,0)</f>
        <v>1</v>
      </c>
      <c r="N2940" s="2">
        <f>IF(LeadsData[[#This Row],[Stage Number]]&gt;=3,1,0)</f>
        <v>0</v>
      </c>
      <c r="O2940" s="2">
        <f>IF(LeadsData[[#This Row],[Stage Number]]&gt;=4,1,0)</f>
        <v>0</v>
      </c>
    </row>
    <row r="2941" spans="1:15" x14ac:dyDescent="0.25">
      <c r="A2941" t="s">
        <v>2981</v>
      </c>
      <c r="B2941" s="1">
        <v>45554</v>
      </c>
      <c r="C2941" t="s">
        <v>25</v>
      </c>
      <c r="D2941" t="s">
        <v>26</v>
      </c>
      <c r="E2941" t="s">
        <v>13</v>
      </c>
      <c r="F2941" t="s">
        <v>22</v>
      </c>
      <c r="G2941" t="s">
        <v>42</v>
      </c>
      <c r="H2941">
        <v>75</v>
      </c>
      <c r="I2941" t="s">
        <v>43</v>
      </c>
      <c r="J2941">
        <v>758.2</v>
      </c>
      <c r="K2941" cm="1">
        <f t="array" ref="K2941">_xlfn.SWITCH(LeadsData[[#This Row],[Funnel Stage Reached]],"Lead",1,"MQL",2,"SQL",3,"Customer",4)</f>
        <v>4</v>
      </c>
      <c r="L2941" t="str">
        <f>TEXT(LeadsData[[#This Row],[Signup Date]],"mmm-yyyy")</f>
        <v>Sep-2024</v>
      </c>
      <c r="M2941">
        <f>IF(LeadsData[[#This Row],[Stage Number]]&gt;=2,1,0)</f>
        <v>1</v>
      </c>
      <c r="N2941" s="2">
        <f>IF(LeadsData[[#This Row],[Stage Number]]&gt;=3,1,0)</f>
        <v>1</v>
      </c>
      <c r="O2941" s="2">
        <f>IF(LeadsData[[#This Row],[Stage Number]]&gt;=4,1,0)</f>
        <v>1</v>
      </c>
    </row>
    <row r="2942" spans="1:15" x14ac:dyDescent="0.25">
      <c r="A2942" t="s">
        <v>2982</v>
      </c>
      <c r="B2942" s="1">
        <v>45576</v>
      </c>
      <c r="C2942" t="s">
        <v>17</v>
      </c>
      <c r="D2942" t="s">
        <v>18</v>
      </c>
      <c r="E2942" t="s">
        <v>21</v>
      </c>
      <c r="F2942" t="s">
        <v>19</v>
      </c>
      <c r="G2942" t="s">
        <v>15</v>
      </c>
      <c r="K2942" cm="1">
        <f t="array" ref="K2942">_xlfn.SWITCH(LeadsData[[#This Row],[Funnel Stage Reached]],"Lead",1,"MQL",2,"SQL",3,"Customer",4)</f>
        <v>1</v>
      </c>
      <c r="L2942" t="str">
        <f>TEXT(LeadsData[[#This Row],[Signup Date]],"mmm-yyyy")</f>
        <v>Oct-2024</v>
      </c>
      <c r="M2942">
        <f>IF(LeadsData[[#This Row],[Stage Number]]&gt;=2,1,0)</f>
        <v>0</v>
      </c>
      <c r="N2942" s="2">
        <f>IF(LeadsData[[#This Row],[Stage Number]]&gt;=3,1,0)</f>
        <v>0</v>
      </c>
      <c r="O2942" s="2">
        <f>IF(LeadsData[[#This Row],[Stage Number]]&gt;=4,1,0)</f>
        <v>0</v>
      </c>
    </row>
    <row r="2943" spans="1:15" x14ac:dyDescent="0.25">
      <c r="A2943" t="s">
        <v>2983</v>
      </c>
      <c r="B2943" s="1">
        <v>45516</v>
      </c>
      <c r="C2943" t="s">
        <v>25</v>
      </c>
      <c r="D2943" t="s">
        <v>26</v>
      </c>
      <c r="E2943" t="s">
        <v>21</v>
      </c>
      <c r="F2943" t="s">
        <v>19</v>
      </c>
      <c r="G2943" t="s">
        <v>15</v>
      </c>
      <c r="K2943" cm="1">
        <f t="array" ref="K2943">_xlfn.SWITCH(LeadsData[[#This Row],[Funnel Stage Reached]],"Lead",1,"MQL",2,"SQL",3,"Customer",4)</f>
        <v>1</v>
      </c>
      <c r="L2943" t="str">
        <f>TEXT(LeadsData[[#This Row],[Signup Date]],"mmm-yyyy")</f>
        <v>Aug-2024</v>
      </c>
      <c r="M2943">
        <f>IF(LeadsData[[#This Row],[Stage Number]]&gt;=2,1,0)</f>
        <v>0</v>
      </c>
      <c r="N2943" s="2">
        <f>IF(LeadsData[[#This Row],[Stage Number]]&gt;=3,1,0)</f>
        <v>0</v>
      </c>
      <c r="O2943" s="2">
        <f>IF(LeadsData[[#This Row],[Stage Number]]&gt;=4,1,0)</f>
        <v>0</v>
      </c>
    </row>
    <row r="2944" spans="1:15" x14ac:dyDescent="0.25">
      <c r="A2944" t="s">
        <v>2984</v>
      </c>
      <c r="B2944" s="1">
        <v>45548</v>
      </c>
      <c r="C2944" t="s">
        <v>17</v>
      </c>
      <c r="D2944" t="s">
        <v>18</v>
      </c>
      <c r="E2944" t="s">
        <v>13</v>
      </c>
      <c r="F2944" t="s">
        <v>14</v>
      </c>
      <c r="G2944" t="s">
        <v>29</v>
      </c>
      <c r="K2944" cm="1">
        <f t="array" ref="K2944">_xlfn.SWITCH(LeadsData[[#This Row],[Funnel Stage Reached]],"Lead",1,"MQL",2,"SQL",3,"Customer",4)</f>
        <v>3</v>
      </c>
      <c r="L2944" t="str">
        <f>TEXT(LeadsData[[#This Row],[Signup Date]],"mmm-yyyy")</f>
        <v>Sep-2024</v>
      </c>
      <c r="M2944">
        <f>IF(LeadsData[[#This Row],[Stage Number]]&gt;=2,1,0)</f>
        <v>1</v>
      </c>
      <c r="N2944" s="2">
        <f>IF(LeadsData[[#This Row],[Stage Number]]&gt;=3,1,0)</f>
        <v>1</v>
      </c>
      <c r="O2944" s="2">
        <f>IF(LeadsData[[#This Row],[Stage Number]]&gt;=4,1,0)</f>
        <v>0</v>
      </c>
    </row>
    <row r="2945" spans="1:15" x14ac:dyDescent="0.25">
      <c r="A2945" t="s">
        <v>2985</v>
      </c>
      <c r="B2945" s="1">
        <v>45636</v>
      </c>
      <c r="C2945" t="s">
        <v>46</v>
      </c>
      <c r="D2945" t="s">
        <v>56</v>
      </c>
      <c r="E2945" t="s">
        <v>48</v>
      </c>
      <c r="F2945" t="s">
        <v>19</v>
      </c>
      <c r="G2945" t="s">
        <v>29</v>
      </c>
      <c r="K2945" cm="1">
        <f t="array" ref="K2945">_xlfn.SWITCH(LeadsData[[#This Row],[Funnel Stage Reached]],"Lead",1,"MQL",2,"SQL",3,"Customer",4)</f>
        <v>3</v>
      </c>
      <c r="L2945" t="str">
        <f>TEXT(LeadsData[[#This Row],[Signup Date]],"mmm-yyyy")</f>
        <v>Dec-2024</v>
      </c>
      <c r="M2945">
        <f>IF(LeadsData[[#This Row],[Stage Number]]&gt;=2,1,0)</f>
        <v>1</v>
      </c>
      <c r="N2945" s="2">
        <f>IF(LeadsData[[#This Row],[Stage Number]]&gt;=3,1,0)</f>
        <v>1</v>
      </c>
      <c r="O2945" s="2">
        <f>IF(LeadsData[[#This Row],[Stage Number]]&gt;=4,1,0)</f>
        <v>0</v>
      </c>
    </row>
    <row r="2946" spans="1:15" x14ac:dyDescent="0.25">
      <c r="A2946" t="s">
        <v>2986</v>
      </c>
      <c r="B2946" s="1">
        <v>45523</v>
      </c>
      <c r="C2946" t="s">
        <v>36</v>
      </c>
      <c r="D2946" t="s">
        <v>37</v>
      </c>
      <c r="E2946" t="s">
        <v>13</v>
      </c>
      <c r="F2946" t="s">
        <v>14</v>
      </c>
      <c r="G2946" t="s">
        <v>15</v>
      </c>
      <c r="K2946" cm="1">
        <f t="array" ref="K2946">_xlfn.SWITCH(LeadsData[[#This Row],[Funnel Stage Reached]],"Lead",1,"MQL",2,"SQL",3,"Customer",4)</f>
        <v>1</v>
      </c>
      <c r="L2946" t="str">
        <f>TEXT(LeadsData[[#This Row],[Signup Date]],"mmm-yyyy")</f>
        <v>Aug-2024</v>
      </c>
      <c r="M2946">
        <f>IF(LeadsData[[#This Row],[Stage Number]]&gt;=2,1,0)</f>
        <v>0</v>
      </c>
      <c r="N2946" s="2">
        <f>IF(LeadsData[[#This Row],[Stage Number]]&gt;=3,1,0)</f>
        <v>0</v>
      </c>
      <c r="O2946" s="2">
        <f>IF(LeadsData[[#This Row],[Stage Number]]&gt;=4,1,0)</f>
        <v>0</v>
      </c>
    </row>
    <row r="2947" spans="1:15" x14ac:dyDescent="0.25">
      <c r="A2947" t="s">
        <v>2987</v>
      </c>
      <c r="B2947" s="1">
        <v>45427</v>
      </c>
      <c r="C2947" t="s">
        <v>25</v>
      </c>
      <c r="D2947" t="s">
        <v>26</v>
      </c>
      <c r="E2947" t="s">
        <v>13</v>
      </c>
      <c r="F2947" t="s">
        <v>22</v>
      </c>
      <c r="G2947" t="s">
        <v>15</v>
      </c>
      <c r="K2947" cm="1">
        <f t="array" ref="K2947">_xlfn.SWITCH(LeadsData[[#This Row],[Funnel Stage Reached]],"Lead",1,"MQL",2,"SQL",3,"Customer",4)</f>
        <v>1</v>
      </c>
      <c r="L2947" t="str">
        <f>TEXT(LeadsData[[#This Row],[Signup Date]],"mmm-yyyy")</f>
        <v>May-2024</v>
      </c>
      <c r="M2947">
        <f>IF(LeadsData[[#This Row],[Stage Number]]&gt;=2,1,0)</f>
        <v>0</v>
      </c>
      <c r="N2947" s="2">
        <f>IF(LeadsData[[#This Row],[Stage Number]]&gt;=3,1,0)</f>
        <v>0</v>
      </c>
      <c r="O2947" s="2">
        <f>IF(LeadsData[[#This Row],[Stage Number]]&gt;=4,1,0)</f>
        <v>0</v>
      </c>
    </row>
    <row r="2948" spans="1:15" x14ac:dyDescent="0.25">
      <c r="A2948" t="s">
        <v>2988</v>
      </c>
      <c r="B2948" s="1">
        <v>45631</v>
      </c>
      <c r="C2948" t="s">
        <v>31</v>
      </c>
      <c r="D2948" t="s">
        <v>34</v>
      </c>
      <c r="E2948" t="s">
        <v>13</v>
      </c>
      <c r="F2948" t="s">
        <v>19</v>
      </c>
      <c r="G2948" t="s">
        <v>29</v>
      </c>
      <c r="K2948" cm="1">
        <f t="array" ref="K2948">_xlfn.SWITCH(LeadsData[[#This Row],[Funnel Stage Reached]],"Lead",1,"MQL",2,"SQL",3,"Customer",4)</f>
        <v>3</v>
      </c>
      <c r="L2948" t="str">
        <f>TEXT(LeadsData[[#This Row],[Signup Date]],"mmm-yyyy")</f>
        <v>Dec-2024</v>
      </c>
      <c r="M2948">
        <f>IF(LeadsData[[#This Row],[Stage Number]]&gt;=2,1,0)</f>
        <v>1</v>
      </c>
      <c r="N2948" s="2">
        <f>IF(LeadsData[[#This Row],[Stage Number]]&gt;=3,1,0)</f>
        <v>1</v>
      </c>
      <c r="O2948" s="2">
        <f>IF(LeadsData[[#This Row],[Stage Number]]&gt;=4,1,0)</f>
        <v>0</v>
      </c>
    </row>
    <row r="2949" spans="1:15" x14ac:dyDescent="0.25">
      <c r="A2949" t="s">
        <v>2989</v>
      </c>
      <c r="B2949" s="1">
        <v>45378</v>
      </c>
      <c r="C2949" t="s">
        <v>17</v>
      </c>
      <c r="D2949" t="s">
        <v>18</v>
      </c>
      <c r="E2949" t="s">
        <v>13</v>
      </c>
      <c r="F2949" t="s">
        <v>22</v>
      </c>
      <c r="G2949" t="s">
        <v>23</v>
      </c>
      <c r="K2949" cm="1">
        <f t="array" ref="K2949">_xlfn.SWITCH(LeadsData[[#This Row],[Funnel Stage Reached]],"Lead",1,"MQL",2,"SQL",3,"Customer",4)</f>
        <v>2</v>
      </c>
      <c r="L2949" t="str">
        <f>TEXT(LeadsData[[#This Row],[Signup Date]],"mmm-yyyy")</f>
        <v>Mar-2024</v>
      </c>
      <c r="M2949">
        <f>IF(LeadsData[[#This Row],[Stage Number]]&gt;=2,1,0)</f>
        <v>1</v>
      </c>
      <c r="N2949" s="2">
        <f>IF(LeadsData[[#This Row],[Stage Number]]&gt;=3,1,0)</f>
        <v>0</v>
      </c>
      <c r="O2949" s="2">
        <f>IF(LeadsData[[#This Row],[Stage Number]]&gt;=4,1,0)</f>
        <v>0</v>
      </c>
    </row>
    <row r="2950" spans="1:15" x14ac:dyDescent="0.25">
      <c r="A2950" t="s">
        <v>2990</v>
      </c>
      <c r="B2950" s="1">
        <v>45496</v>
      </c>
      <c r="C2950" t="s">
        <v>17</v>
      </c>
      <c r="D2950" t="s">
        <v>18</v>
      </c>
      <c r="E2950" t="s">
        <v>13</v>
      </c>
      <c r="F2950" t="s">
        <v>28</v>
      </c>
      <c r="G2950" t="s">
        <v>15</v>
      </c>
      <c r="K2950" cm="1">
        <f t="array" ref="K2950">_xlfn.SWITCH(LeadsData[[#This Row],[Funnel Stage Reached]],"Lead",1,"MQL",2,"SQL",3,"Customer",4)</f>
        <v>1</v>
      </c>
      <c r="L2950" t="str">
        <f>TEXT(LeadsData[[#This Row],[Signup Date]],"mmm-yyyy")</f>
        <v>Jul-2024</v>
      </c>
      <c r="M2950">
        <f>IF(LeadsData[[#This Row],[Stage Number]]&gt;=2,1,0)</f>
        <v>0</v>
      </c>
      <c r="N2950" s="2">
        <f>IF(LeadsData[[#This Row],[Stage Number]]&gt;=3,1,0)</f>
        <v>0</v>
      </c>
      <c r="O2950" s="2">
        <f>IF(LeadsData[[#This Row],[Stage Number]]&gt;=4,1,0)</f>
        <v>0</v>
      </c>
    </row>
    <row r="2951" spans="1:15" x14ac:dyDescent="0.25">
      <c r="A2951" t="s">
        <v>2991</v>
      </c>
      <c r="B2951" s="1">
        <v>45647</v>
      </c>
      <c r="C2951" t="s">
        <v>25</v>
      </c>
      <c r="D2951" t="s">
        <v>26</v>
      </c>
      <c r="E2951" t="s">
        <v>21</v>
      </c>
      <c r="F2951" t="s">
        <v>19</v>
      </c>
      <c r="G2951" t="s">
        <v>29</v>
      </c>
      <c r="K2951" cm="1">
        <f t="array" ref="K2951">_xlfn.SWITCH(LeadsData[[#This Row],[Funnel Stage Reached]],"Lead",1,"MQL",2,"SQL",3,"Customer",4)</f>
        <v>3</v>
      </c>
      <c r="L2951" t="str">
        <f>TEXT(LeadsData[[#This Row],[Signup Date]],"mmm-yyyy")</f>
        <v>Dec-2024</v>
      </c>
      <c r="M2951">
        <f>IF(LeadsData[[#This Row],[Stage Number]]&gt;=2,1,0)</f>
        <v>1</v>
      </c>
      <c r="N2951" s="2">
        <f>IF(LeadsData[[#This Row],[Stage Number]]&gt;=3,1,0)</f>
        <v>1</v>
      </c>
      <c r="O2951" s="2">
        <f>IF(LeadsData[[#This Row],[Stage Number]]&gt;=4,1,0)</f>
        <v>0</v>
      </c>
    </row>
    <row r="2952" spans="1:15" x14ac:dyDescent="0.25">
      <c r="A2952" t="s">
        <v>2992</v>
      </c>
      <c r="B2952" s="1">
        <v>45539</v>
      </c>
      <c r="C2952" t="s">
        <v>11</v>
      </c>
      <c r="D2952" t="s">
        <v>12</v>
      </c>
      <c r="E2952" t="s">
        <v>13</v>
      </c>
      <c r="F2952" t="s">
        <v>19</v>
      </c>
      <c r="G2952" t="s">
        <v>29</v>
      </c>
      <c r="K2952" cm="1">
        <f t="array" ref="K2952">_xlfn.SWITCH(LeadsData[[#This Row],[Funnel Stage Reached]],"Lead",1,"MQL",2,"SQL",3,"Customer",4)</f>
        <v>3</v>
      </c>
      <c r="L2952" t="str">
        <f>TEXT(LeadsData[[#This Row],[Signup Date]],"mmm-yyyy")</f>
        <v>Sep-2024</v>
      </c>
      <c r="M2952">
        <f>IF(LeadsData[[#This Row],[Stage Number]]&gt;=2,1,0)</f>
        <v>1</v>
      </c>
      <c r="N2952" s="2">
        <f>IF(LeadsData[[#This Row],[Stage Number]]&gt;=3,1,0)</f>
        <v>1</v>
      </c>
      <c r="O2952" s="2">
        <f>IF(LeadsData[[#This Row],[Stage Number]]&gt;=4,1,0)</f>
        <v>0</v>
      </c>
    </row>
    <row r="2953" spans="1:15" x14ac:dyDescent="0.25">
      <c r="A2953" t="s">
        <v>2993</v>
      </c>
      <c r="B2953" s="1">
        <v>45621</v>
      </c>
      <c r="C2953" t="s">
        <v>46</v>
      </c>
      <c r="D2953" t="s">
        <v>47</v>
      </c>
      <c r="E2953" t="s">
        <v>21</v>
      </c>
      <c r="F2953" t="s">
        <v>22</v>
      </c>
      <c r="G2953" t="s">
        <v>15</v>
      </c>
      <c r="K2953" cm="1">
        <f t="array" ref="K2953">_xlfn.SWITCH(LeadsData[[#This Row],[Funnel Stage Reached]],"Lead",1,"MQL",2,"SQL",3,"Customer",4)</f>
        <v>1</v>
      </c>
      <c r="L2953" t="str">
        <f>TEXT(LeadsData[[#This Row],[Signup Date]],"mmm-yyyy")</f>
        <v>Nov-2024</v>
      </c>
      <c r="M2953">
        <f>IF(LeadsData[[#This Row],[Stage Number]]&gt;=2,1,0)</f>
        <v>0</v>
      </c>
      <c r="N2953" s="2">
        <f>IF(LeadsData[[#This Row],[Stage Number]]&gt;=3,1,0)</f>
        <v>0</v>
      </c>
      <c r="O2953" s="2">
        <f>IF(LeadsData[[#This Row],[Stage Number]]&gt;=4,1,0)</f>
        <v>0</v>
      </c>
    </row>
    <row r="2954" spans="1:15" x14ac:dyDescent="0.25">
      <c r="A2954" t="s">
        <v>2994</v>
      </c>
      <c r="B2954" s="1">
        <v>45624</v>
      </c>
      <c r="C2954" t="s">
        <v>11</v>
      </c>
      <c r="D2954" t="s">
        <v>12</v>
      </c>
      <c r="E2954" t="s">
        <v>13</v>
      </c>
      <c r="F2954" t="s">
        <v>22</v>
      </c>
      <c r="G2954" t="s">
        <v>15</v>
      </c>
      <c r="K2954" cm="1">
        <f t="array" ref="K2954">_xlfn.SWITCH(LeadsData[[#This Row],[Funnel Stage Reached]],"Lead",1,"MQL",2,"SQL",3,"Customer",4)</f>
        <v>1</v>
      </c>
      <c r="L2954" t="str">
        <f>TEXT(LeadsData[[#This Row],[Signup Date]],"mmm-yyyy")</f>
        <v>Nov-2024</v>
      </c>
      <c r="M2954">
        <f>IF(LeadsData[[#This Row],[Stage Number]]&gt;=2,1,0)</f>
        <v>0</v>
      </c>
      <c r="N2954" s="2">
        <f>IF(LeadsData[[#This Row],[Stage Number]]&gt;=3,1,0)</f>
        <v>0</v>
      </c>
      <c r="O2954" s="2">
        <f>IF(LeadsData[[#This Row],[Stage Number]]&gt;=4,1,0)</f>
        <v>0</v>
      </c>
    </row>
    <row r="2955" spans="1:15" x14ac:dyDescent="0.25">
      <c r="A2955" t="s">
        <v>2995</v>
      </c>
      <c r="B2955" s="1">
        <v>45292</v>
      </c>
      <c r="C2955" t="s">
        <v>11</v>
      </c>
      <c r="D2955" t="s">
        <v>79</v>
      </c>
      <c r="E2955" t="s">
        <v>21</v>
      </c>
      <c r="F2955" t="s">
        <v>19</v>
      </c>
      <c r="G2955" t="s">
        <v>23</v>
      </c>
      <c r="K2955" cm="1">
        <f t="array" ref="K2955">_xlfn.SWITCH(LeadsData[[#This Row],[Funnel Stage Reached]],"Lead",1,"MQL",2,"SQL",3,"Customer",4)</f>
        <v>2</v>
      </c>
      <c r="L2955" t="str">
        <f>TEXT(LeadsData[[#This Row],[Signup Date]],"mmm-yyyy")</f>
        <v>Jan-2024</v>
      </c>
      <c r="M2955">
        <f>IF(LeadsData[[#This Row],[Stage Number]]&gt;=2,1,0)</f>
        <v>1</v>
      </c>
      <c r="N2955" s="2">
        <f>IF(LeadsData[[#This Row],[Stage Number]]&gt;=3,1,0)</f>
        <v>0</v>
      </c>
      <c r="O2955" s="2">
        <f>IF(LeadsData[[#This Row],[Stage Number]]&gt;=4,1,0)</f>
        <v>0</v>
      </c>
    </row>
    <row r="2956" spans="1:15" x14ac:dyDescent="0.25">
      <c r="A2956" t="s">
        <v>2996</v>
      </c>
      <c r="B2956" s="1">
        <v>45344</v>
      </c>
      <c r="C2956" t="s">
        <v>17</v>
      </c>
      <c r="D2956" t="s">
        <v>53</v>
      </c>
      <c r="E2956" t="s">
        <v>21</v>
      </c>
      <c r="F2956" t="s">
        <v>22</v>
      </c>
      <c r="G2956" t="s">
        <v>15</v>
      </c>
      <c r="K2956" cm="1">
        <f t="array" ref="K2956">_xlfn.SWITCH(LeadsData[[#This Row],[Funnel Stage Reached]],"Lead",1,"MQL",2,"SQL",3,"Customer",4)</f>
        <v>1</v>
      </c>
      <c r="L2956" t="str">
        <f>TEXT(LeadsData[[#This Row],[Signup Date]],"mmm-yyyy")</f>
        <v>Feb-2024</v>
      </c>
      <c r="M2956">
        <f>IF(LeadsData[[#This Row],[Stage Number]]&gt;=2,1,0)</f>
        <v>0</v>
      </c>
      <c r="N2956" s="2">
        <f>IF(LeadsData[[#This Row],[Stage Number]]&gt;=3,1,0)</f>
        <v>0</v>
      </c>
      <c r="O2956" s="2">
        <f>IF(LeadsData[[#This Row],[Stage Number]]&gt;=4,1,0)</f>
        <v>0</v>
      </c>
    </row>
    <row r="2957" spans="1:15" x14ac:dyDescent="0.25">
      <c r="A2957" t="s">
        <v>2997</v>
      </c>
      <c r="B2957" s="1">
        <v>45339</v>
      </c>
      <c r="C2957" t="s">
        <v>11</v>
      </c>
      <c r="D2957" t="s">
        <v>68</v>
      </c>
      <c r="E2957" t="s">
        <v>13</v>
      </c>
      <c r="F2957" t="s">
        <v>22</v>
      </c>
      <c r="G2957" t="s">
        <v>15</v>
      </c>
      <c r="K2957" cm="1">
        <f t="array" ref="K2957">_xlfn.SWITCH(LeadsData[[#This Row],[Funnel Stage Reached]],"Lead",1,"MQL",2,"SQL",3,"Customer",4)</f>
        <v>1</v>
      </c>
      <c r="L2957" t="str">
        <f>TEXT(LeadsData[[#This Row],[Signup Date]],"mmm-yyyy")</f>
        <v>Feb-2024</v>
      </c>
      <c r="M2957">
        <f>IF(LeadsData[[#This Row],[Stage Number]]&gt;=2,1,0)</f>
        <v>0</v>
      </c>
      <c r="N2957" s="2">
        <f>IF(LeadsData[[#This Row],[Stage Number]]&gt;=3,1,0)</f>
        <v>0</v>
      </c>
      <c r="O2957" s="2">
        <f>IF(LeadsData[[#This Row],[Stage Number]]&gt;=4,1,0)</f>
        <v>0</v>
      </c>
    </row>
    <row r="2958" spans="1:15" x14ac:dyDescent="0.25">
      <c r="A2958" t="s">
        <v>2998</v>
      </c>
      <c r="B2958" s="1">
        <v>45585</v>
      </c>
      <c r="C2958" t="s">
        <v>11</v>
      </c>
      <c r="D2958" t="s">
        <v>79</v>
      </c>
      <c r="E2958" t="s">
        <v>13</v>
      </c>
      <c r="F2958" t="s">
        <v>19</v>
      </c>
      <c r="G2958" t="s">
        <v>15</v>
      </c>
      <c r="K2958" cm="1">
        <f t="array" ref="K2958">_xlfn.SWITCH(LeadsData[[#This Row],[Funnel Stage Reached]],"Lead",1,"MQL",2,"SQL",3,"Customer",4)</f>
        <v>1</v>
      </c>
      <c r="L2958" t="str">
        <f>TEXT(LeadsData[[#This Row],[Signup Date]],"mmm-yyyy")</f>
        <v>Oct-2024</v>
      </c>
      <c r="M2958">
        <f>IF(LeadsData[[#This Row],[Stage Number]]&gt;=2,1,0)</f>
        <v>0</v>
      </c>
      <c r="N2958" s="2">
        <f>IF(LeadsData[[#This Row],[Stage Number]]&gt;=3,1,0)</f>
        <v>0</v>
      </c>
      <c r="O2958" s="2">
        <f>IF(LeadsData[[#This Row],[Stage Number]]&gt;=4,1,0)</f>
        <v>0</v>
      </c>
    </row>
    <row r="2959" spans="1:15" x14ac:dyDescent="0.25">
      <c r="A2959" t="s">
        <v>2999</v>
      </c>
      <c r="B2959" s="1">
        <v>45566</v>
      </c>
      <c r="C2959" t="s">
        <v>17</v>
      </c>
      <c r="D2959" t="s">
        <v>53</v>
      </c>
      <c r="E2959" t="s">
        <v>13</v>
      </c>
      <c r="F2959" t="s">
        <v>19</v>
      </c>
      <c r="G2959" t="s">
        <v>29</v>
      </c>
      <c r="K2959" cm="1">
        <f t="array" ref="K2959">_xlfn.SWITCH(LeadsData[[#This Row],[Funnel Stage Reached]],"Lead",1,"MQL",2,"SQL",3,"Customer",4)</f>
        <v>3</v>
      </c>
      <c r="L2959" t="str">
        <f>TEXT(LeadsData[[#This Row],[Signup Date]],"mmm-yyyy")</f>
        <v>Oct-2024</v>
      </c>
      <c r="M2959">
        <f>IF(LeadsData[[#This Row],[Stage Number]]&gt;=2,1,0)</f>
        <v>1</v>
      </c>
      <c r="N2959" s="2">
        <f>IF(LeadsData[[#This Row],[Stage Number]]&gt;=3,1,0)</f>
        <v>1</v>
      </c>
      <c r="O2959" s="2">
        <f>IF(LeadsData[[#This Row],[Stage Number]]&gt;=4,1,0)</f>
        <v>0</v>
      </c>
    </row>
    <row r="2960" spans="1:15" x14ac:dyDescent="0.25">
      <c r="A2960" t="s">
        <v>3000</v>
      </c>
      <c r="B2960" s="1">
        <v>45470</v>
      </c>
      <c r="C2960" t="s">
        <v>11</v>
      </c>
      <c r="D2960" t="s">
        <v>79</v>
      </c>
      <c r="E2960" t="s">
        <v>13</v>
      </c>
      <c r="F2960" t="s">
        <v>19</v>
      </c>
      <c r="G2960" t="s">
        <v>15</v>
      </c>
      <c r="K2960" cm="1">
        <f t="array" ref="K2960">_xlfn.SWITCH(LeadsData[[#This Row],[Funnel Stage Reached]],"Lead",1,"MQL",2,"SQL",3,"Customer",4)</f>
        <v>1</v>
      </c>
      <c r="L2960" t="str">
        <f>TEXT(LeadsData[[#This Row],[Signup Date]],"mmm-yyyy")</f>
        <v>Jun-2024</v>
      </c>
      <c r="M2960">
        <f>IF(LeadsData[[#This Row],[Stage Number]]&gt;=2,1,0)</f>
        <v>0</v>
      </c>
      <c r="N2960" s="2">
        <f>IF(LeadsData[[#This Row],[Stage Number]]&gt;=3,1,0)</f>
        <v>0</v>
      </c>
      <c r="O2960" s="2">
        <f>IF(LeadsData[[#This Row],[Stage Number]]&gt;=4,1,0)</f>
        <v>0</v>
      </c>
    </row>
    <row r="2961" spans="1:15" x14ac:dyDescent="0.25">
      <c r="A2961" t="s">
        <v>3001</v>
      </c>
      <c r="B2961" s="1">
        <v>45618</v>
      </c>
      <c r="C2961" t="s">
        <v>31</v>
      </c>
      <c r="D2961" t="s">
        <v>32</v>
      </c>
      <c r="E2961" t="s">
        <v>21</v>
      </c>
      <c r="F2961" t="s">
        <v>19</v>
      </c>
      <c r="G2961" t="s">
        <v>29</v>
      </c>
      <c r="K2961" cm="1">
        <f t="array" ref="K2961">_xlfn.SWITCH(LeadsData[[#This Row],[Funnel Stage Reached]],"Lead",1,"MQL",2,"SQL",3,"Customer",4)</f>
        <v>3</v>
      </c>
      <c r="L2961" t="str">
        <f>TEXT(LeadsData[[#This Row],[Signup Date]],"mmm-yyyy")</f>
        <v>Nov-2024</v>
      </c>
      <c r="M2961">
        <f>IF(LeadsData[[#This Row],[Stage Number]]&gt;=2,1,0)</f>
        <v>1</v>
      </c>
      <c r="N2961" s="2">
        <f>IF(LeadsData[[#This Row],[Stage Number]]&gt;=3,1,0)</f>
        <v>1</v>
      </c>
      <c r="O2961" s="2">
        <f>IF(LeadsData[[#This Row],[Stage Number]]&gt;=4,1,0)</f>
        <v>0</v>
      </c>
    </row>
    <row r="2962" spans="1:15" x14ac:dyDescent="0.25">
      <c r="A2962" t="s">
        <v>3002</v>
      </c>
      <c r="B2962" s="1">
        <v>45498</v>
      </c>
      <c r="C2962" t="s">
        <v>17</v>
      </c>
      <c r="D2962" t="s">
        <v>53</v>
      </c>
      <c r="E2962" t="s">
        <v>13</v>
      </c>
      <c r="F2962" t="s">
        <v>22</v>
      </c>
      <c r="G2962" t="s">
        <v>29</v>
      </c>
      <c r="K2962" cm="1">
        <f t="array" ref="K2962">_xlfn.SWITCH(LeadsData[[#This Row],[Funnel Stage Reached]],"Lead",1,"MQL",2,"SQL",3,"Customer",4)</f>
        <v>3</v>
      </c>
      <c r="L2962" t="str">
        <f>TEXT(LeadsData[[#This Row],[Signup Date]],"mmm-yyyy")</f>
        <v>Jul-2024</v>
      </c>
      <c r="M2962">
        <f>IF(LeadsData[[#This Row],[Stage Number]]&gt;=2,1,0)</f>
        <v>1</v>
      </c>
      <c r="N2962" s="2">
        <f>IF(LeadsData[[#This Row],[Stage Number]]&gt;=3,1,0)</f>
        <v>1</v>
      </c>
      <c r="O2962" s="2">
        <f>IF(LeadsData[[#This Row],[Stage Number]]&gt;=4,1,0)</f>
        <v>0</v>
      </c>
    </row>
    <row r="2963" spans="1:15" x14ac:dyDescent="0.25">
      <c r="A2963" t="s">
        <v>3003</v>
      </c>
      <c r="B2963" s="1">
        <v>45313</v>
      </c>
      <c r="C2963" t="s">
        <v>31</v>
      </c>
      <c r="D2963" t="s">
        <v>34</v>
      </c>
      <c r="E2963" t="s">
        <v>21</v>
      </c>
      <c r="F2963" t="s">
        <v>19</v>
      </c>
      <c r="G2963" t="s">
        <v>23</v>
      </c>
      <c r="K2963" cm="1">
        <f t="array" ref="K2963">_xlfn.SWITCH(LeadsData[[#This Row],[Funnel Stage Reached]],"Lead",1,"MQL",2,"SQL",3,"Customer",4)</f>
        <v>2</v>
      </c>
      <c r="L2963" t="str">
        <f>TEXT(LeadsData[[#This Row],[Signup Date]],"mmm-yyyy")</f>
        <v>Jan-2024</v>
      </c>
      <c r="M2963">
        <f>IF(LeadsData[[#This Row],[Stage Number]]&gt;=2,1,0)</f>
        <v>1</v>
      </c>
      <c r="N2963" s="2">
        <f>IF(LeadsData[[#This Row],[Stage Number]]&gt;=3,1,0)</f>
        <v>0</v>
      </c>
      <c r="O2963" s="2">
        <f>IF(LeadsData[[#This Row],[Stage Number]]&gt;=4,1,0)</f>
        <v>0</v>
      </c>
    </row>
    <row r="2964" spans="1:15" x14ac:dyDescent="0.25">
      <c r="A2964" t="s">
        <v>3004</v>
      </c>
      <c r="B2964" s="1">
        <v>45433</v>
      </c>
      <c r="C2964" t="s">
        <v>17</v>
      </c>
      <c r="D2964" t="s">
        <v>18</v>
      </c>
      <c r="E2964" t="s">
        <v>21</v>
      </c>
      <c r="F2964" t="s">
        <v>19</v>
      </c>
      <c r="G2964" t="s">
        <v>15</v>
      </c>
      <c r="K2964" cm="1">
        <f t="array" ref="K2964">_xlfn.SWITCH(LeadsData[[#This Row],[Funnel Stage Reached]],"Lead",1,"MQL",2,"SQL",3,"Customer",4)</f>
        <v>1</v>
      </c>
      <c r="L2964" t="str">
        <f>TEXT(LeadsData[[#This Row],[Signup Date]],"mmm-yyyy")</f>
        <v>May-2024</v>
      </c>
      <c r="M2964">
        <f>IF(LeadsData[[#This Row],[Stage Number]]&gt;=2,1,0)</f>
        <v>0</v>
      </c>
      <c r="N2964" s="2">
        <f>IF(LeadsData[[#This Row],[Stage Number]]&gt;=3,1,0)</f>
        <v>0</v>
      </c>
      <c r="O2964" s="2">
        <f>IF(LeadsData[[#This Row],[Stage Number]]&gt;=4,1,0)</f>
        <v>0</v>
      </c>
    </row>
    <row r="2965" spans="1:15" x14ac:dyDescent="0.25">
      <c r="A2965" t="s">
        <v>3005</v>
      </c>
      <c r="B2965" s="1">
        <v>45556</v>
      </c>
      <c r="C2965" t="s">
        <v>31</v>
      </c>
      <c r="D2965" t="s">
        <v>34</v>
      </c>
      <c r="E2965" t="s">
        <v>13</v>
      </c>
      <c r="F2965" t="s">
        <v>19</v>
      </c>
      <c r="G2965" t="s">
        <v>42</v>
      </c>
      <c r="H2965">
        <v>19</v>
      </c>
      <c r="I2965" t="s">
        <v>87</v>
      </c>
      <c r="J2965">
        <v>4882.83</v>
      </c>
      <c r="K2965" cm="1">
        <f t="array" ref="K2965">_xlfn.SWITCH(LeadsData[[#This Row],[Funnel Stage Reached]],"Lead",1,"MQL",2,"SQL",3,"Customer",4)</f>
        <v>4</v>
      </c>
      <c r="L2965" t="str">
        <f>TEXT(LeadsData[[#This Row],[Signup Date]],"mmm-yyyy")</f>
        <v>Sep-2024</v>
      </c>
      <c r="M2965">
        <f>IF(LeadsData[[#This Row],[Stage Number]]&gt;=2,1,0)</f>
        <v>1</v>
      </c>
      <c r="N2965" s="2">
        <f>IF(LeadsData[[#This Row],[Stage Number]]&gt;=3,1,0)</f>
        <v>1</v>
      </c>
      <c r="O2965" s="2">
        <f>IF(LeadsData[[#This Row],[Stage Number]]&gt;=4,1,0)</f>
        <v>1</v>
      </c>
    </row>
    <row r="2966" spans="1:15" x14ac:dyDescent="0.25">
      <c r="A2966" t="s">
        <v>3006</v>
      </c>
      <c r="B2966" s="1">
        <v>45522</v>
      </c>
      <c r="C2966" t="s">
        <v>25</v>
      </c>
      <c r="D2966" t="s">
        <v>26</v>
      </c>
      <c r="E2966" t="s">
        <v>13</v>
      </c>
      <c r="F2966" t="s">
        <v>22</v>
      </c>
      <c r="G2966" t="s">
        <v>15</v>
      </c>
      <c r="K2966" cm="1">
        <f t="array" ref="K2966">_xlfn.SWITCH(LeadsData[[#This Row],[Funnel Stage Reached]],"Lead",1,"MQL",2,"SQL",3,"Customer",4)</f>
        <v>1</v>
      </c>
      <c r="L2966" t="str">
        <f>TEXT(LeadsData[[#This Row],[Signup Date]],"mmm-yyyy")</f>
        <v>Aug-2024</v>
      </c>
      <c r="M2966">
        <f>IF(LeadsData[[#This Row],[Stage Number]]&gt;=2,1,0)</f>
        <v>0</v>
      </c>
      <c r="N2966" s="2">
        <f>IF(LeadsData[[#This Row],[Stage Number]]&gt;=3,1,0)</f>
        <v>0</v>
      </c>
      <c r="O2966" s="2">
        <f>IF(LeadsData[[#This Row],[Stage Number]]&gt;=4,1,0)</f>
        <v>0</v>
      </c>
    </row>
    <row r="2967" spans="1:15" x14ac:dyDescent="0.25">
      <c r="A2967" t="s">
        <v>3007</v>
      </c>
      <c r="B2967" s="1">
        <v>45469</v>
      </c>
      <c r="C2967" t="s">
        <v>17</v>
      </c>
      <c r="D2967" t="s">
        <v>18</v>
      </c>
      <c r="E2967" t="s">
        <v>13</v>
      </c>
      <c r="F2967" t="s">
        <v>19</v>
      </c>
      <c r="G2967" t="s">
        <v>15</v>
      </c>
      <c r="K2967" cm="1">
        <f t="array" ref="K2967">_xlfn.SWITCH(LeadsData[[#This Row],[Funnel Stage Reached]],"Lead",1,"MQL",2,"SQL",3,"Customer",4)</f>
        <v>1</v>
      </c>
      <c r="L2967" t="str">
        <f>TEXT(LeadsData[[#This Row],[Signup Date]],"mmm-yyyy")</f>
        <v>Jun-2024</v>
      </c>
      <c r="M2967">
        <f>IF(LeadsData[[#This Row],[Stage Number]]&gt;=2,1,0)</f>
        <v>0</v>
      </c>
      <c r="N2967" s="2">
        <f>IF(LeadsData[[#This Row],[Stage Number]]&gt;=3,1,0)</f>
        <v>0</v>
      </c>
      <c r="O2967" s="2">
        <f>IF(LeadsData[[#This Row],[Stage Number]]&gt;=4,1,0)</f>
        <v>0</v>
      </c>
    </row>
    <row r="2968" spans="1:15" x14ac:dyDescent="0.25">
      <c r="A2968" t="s">
        <v>3008</v>
      </c>
      <c r="B2968" s="1">
        <v>45354</v>
      </c>
      <c r="C2968" t="s">
        <v>46</v>
      </c>
      <c r="D2968" t="s">
        <v>56</v>
      </c>
      <c r="E2968" t="s">
        <v>21</v>
      </c>
      <c r="F2968" t="s">
        <v>14</v>
      </c>
      <c r="G2968" t="s">
        <v>29</v>
      </c>
      <c r="K2968" cm="1">
        <f t="array" ref="K2968">_xlfn.SWITCH(LeadsData[[#This Row],[Funnel Stage Reached]],"Lead",1,"MQL",2,"SQL",3,"Customer",4)</f>
        <v>3</v>
      </c>
      <c r="L2968" t="str">
        <f>TEXT(LeadsData[[#This Row],[Signup Date]],"mmm-yyyy")</f>
        <v>Mar-2024</v>
      </c>
      <c r="M2968">
        <f>IF(LeadsData[[#This Row],[Stage Number]]&gt;=2,1,0)</f>
        <v>1</v>
      </c>
      <c r="N2968" s="2">
        <f>IF(LeadsData[[#This Row],[Stage Number]]&gt;=3,1,0)</f>
        <v>1</v>
      </c>
      <c r="O2968" s="2">
        <f>IF(LeadsData[[#This Row],[Stage Number]]&gt;=4,1,0)</f>
        <v>0</v>
      </c>
    </row>
    <row r="2969" spans="1:15" x14ac:dyDescent="0.25">
      <c r="A2969" t="s">
        <v>3009</v>
      </c>
      <c r="B2969" s="1">
        <v>45344</v>
      </c>
      <c r="C2969" t="s">
        <v>46</v>
      </c>
      <c r="D2969" t="s">
        <v>47</v>
      </c>
      <c r="E2969" t="s">
        <v>13</v>
      </c>
      <c r="F2969" t="s">
        <v>19</v>
      </c>
      <c r="G2969" t="s">
        <v>15</v>
      </c>
      <c r="K2969" cm="1">
        <f t="array" ref="K2969">_xlfn.SWITCH(LeadsData[[#This Row],[Funnel Stage Reached]],"Lead",1,"MQL",2,"SQL",3,"Customer",4)</f>
        <v>1</v>
      </c>
      <c r="L2969" t="str">
        <f>TEXT(LeadsData[[#This Row],[Signup Date]],"mmm-yyyy")</f>
        <v>Feb-2024</v>
      </c>
      <c r="M2969">
        <f>IF(LeadsData[[#This Row],[Stage Number]]&gt;=2,1,0)</f>
        <v>0</v>
      </c>
      <c r="N2969" s="2">
        <f>IF(LeadsData[[#This Row],[Stage Number]]&gt;=3,1,0)</f>
        <v>0</v>
      </c>
      <c r="O2969" s="2">
        <f>IF(LeadsData[[#This Row],[Stage Number]]&gt;=4,1,0)</f>
        <v>0</v>
      </c>
    </row>
    <row r="2970" spans="1:15" x14ac:dyDescent="0.25">
      <c r="A2970" t="s">
        <v>3010</v>
      </c>
      <c r="B2970" s="1">
        <v>45417</v>
      </c>
      <c r="C2970" t="s">
        <v>31</v>
      </c>
      <c r="D2970" t="s">
        <v>34</v>
      </c>
      <c r="E2970" t="s">
        <v>21</v>
      </c>
      <c r="F2970" t="s">
        <v>22</v>
      </c>
      <c r="G2970" t="s">
        <v>23</v>
      </c>
      <c r="K2970" cm="1">
        <f t="array" ref="K2970">_xlfn.SWITCH(LeadsData[[#This Row],[Funnel Stage Reached]],"Lead",1,"MQL",2,"SQL",3,"Customer",4)</f>
        <v>2</v>
      </c>
      <c r="L2970" t="str">
        <f>TEXT(LeadsData[[#This Row],[Signup Date]],"mmm-yyyy")</f>
        <v>May-2024</v>
      </c>
      <c r="M2970">
        <f>IF(LeadsData[[#This Row],[Stage Number]]&gt;=2,1,0)</f>
        <v>1</v>
      </c>
      <c r="N2970" s="2">
        <f>IF(LeadsData[[#This Row],[Stage Number]]&gt;=3,1,0)</f>
        <v>0</v>
      </c>
      <c r="O2970" s="2">
        <f>IF(LeadsData[[#This Row],[Stage Number]]&gt;=4,1,0)</f>
        <v>0</v>
      </c>
    </row>
    <row r="2971" spans="1:15" x14ac:dyDescent="0.25">
      <c r="A2971" t="s">
        <v>3011</v>
      </c>
      <c r="B2971" s="1">
        <v>45461</v>
      </c>
      <c r="C2971" t="s">
        <v>46</v>
      </c>
      <c r="D2971" t="s">
        <v>47</v>
      </c>
      <c r="E2971" t="s">
        <v>21</v>
      </c>
      <c r="F2971" t="s">
        <v>22</v>
      </c>
      <c r="G2971" t="s">
        <v>15</v>
      </c>
      <c r="K2971" cm="1">
        <f t="array" ref="K2971">_xlfn.SWITCH(LeadsData[[#This Row],[Funnel Stage Reached]],"Lead",1,"MQL",2,"SQL",3,"Customer",4)</f>
        <v>1</v>
      </c>
      <c r="L2971" t="str">
        <f>TEXT(LeadsData[[#This Row],[Signup Date]],"mmm-yyyy")</f>
        <v>Jun-2024</v>
      </c>
      <c r="M2971">
        <f>IF(LeadsData[[#This Row],[Stage Number]]&gt;=2,1,0)</f>
        <v>0</v>
      </c>
      <c r="N2971" s="2">
        <f>IF(LeadsData[[#This Row],[Stage Number]]&gt;=3,1,0)</f>
        <v>0</v>
      </c>
      <c r="O2971" s="2">
        <f>IF(LeadsData[[#This Row],[Stage Number]]&gt;=4,1,0)</f>
        <v>0</v>
      </c>
    </row>
    <row r="2972" spans="1:15" x14ac:dyDescent="0.25">
      <c r="A2972" t="s">
        <v>3012</v>
      </c>
      <c r="B2972" s="1">
        <v>45325</v>
      </c>
      <c r="C2972" t="s">
        <v>31</v>
      </c>
      <c r="D2972" t="s">
        <v>34</v>
      </c>
      <c r="E2972" t="s">
        <v>13</v>
      </c>
      <c r="F2972" t="s">
        <v>19</v>
      </c>
      <c r="G2972" t="s">
        <v>23</v>
      </c>
      <c r="K2972" cm="1">
        <f t="array" ref="K2972">_xlfn.SWITCH(LeadsData[[#This Row],[Funnel Stage Reached]],"Lead",1,"MQL",2,"SQL",3,"Customer",4)</f>
        <v>2</v>
      </c>
      <c r="L2972" t="str">
        <f>TEXT(LeadsData[[#This Row],[Signup Date]],"mmm-yyyy")</f>
        <v>Feb-2024</v>
      </c>
      <c r="M2972">
        <f>IF(LeadsData[[#This Row],[Stage Number]]&gt;=2,1,0)</f>
        <v>1</v>
      </c>
      <c r="N2972" s="2">
        <f>IF(LeadsData[[#This Row],[Stage Number]]&gt;=3,1,0)</f>
        <v>0</v>
      </c>
      <c r="O2972" s="2">
        <f>IF(LeadsData[[#This Row],[Stage Number]]&gt;=4,1,0)</f>
        <v>0</v>
      </c>
    </row>
    <row r="2973" spans="1:15" x14ac:dyDescent="0.25">
      <c r="A2973" t="s">
        <v>3013</v>
      </c>
      <c r="B2973" s="1">
        <v>45495</v>
      </c>
      <c r="C2973" t="s">
        <v>11</v>
      </c>
      <c r="D2973" t="s">
        <v>79</v>
      </c>
      <c r="E2973" t="s">
        <v>13</v>
      </c>
      <c r="F2973" t="s">
        <v>14</v>
      </c>
      <c r="G2973" t="s">
        <v>15</v>
      </c>
      <c r="K2973" cm="1">
        <f t="array" ref="K2973">_xlfn.SWITCH(LeadsData[[#This Row],[Funnel Stage Reached]],"Lead",1,"MQL",2,"SQL",3,"Customer",4)</f>
        <v>1</v>
      </c>
      <c r="L2973" t="str">
        <f>TEXT(LeadsData[[#This Row],[Signup Date]],"mmm-yyyy")</f>
        <v>Jul-2024</v>
      </c>
      <c r="M2973">
        <f>IF(LeadsData[[#This Row],[Stage Number]]&gt;=2,1,0)</f>
        <v>0</v>
      </c>
      <c r="N2973" s="2">
        <f>IF(LeadsData[[#This Row],[Stage Number]]&gt;=3,1,0)</f>
        <v>0</v>
      </c>
      <c r="O2973" s="2">
        <f>IF(LeadsData[[#This Row],[Stage Number]]&gt;=4,1,0)</f>
        <v>0</v>
      </c>
    </row>
    <row r="2974" spans="1:15" x14ac:dyDescent="0.25">
      <c r="A2974" t="s">
        <v>3014</v>
      </c>
      <c r="B2974" s="1">
        <v>45434</v>
      </c>
      <c r="C2974" t="s">
        <v>46</v>
      </c>
      <c r="D2974" t="s">
        <v>56</v>
      </c>
      <c r="E2974" t="s">
        <v>13</v>
      </c>
      <c r="F2974" t="s">
        <v>22</v>
      </c>
      <c r="G2974" t="s">
        <v>29</v>
      </c>
      <c r="K2974" cm="1">
        <f t="array" ref="K2974">_xlfn.SWITCH(LeadsData[[#This Row],[Funnel Stage Reached]],"Lead",1,"MQL",2,"SQL",3,"Customer",4)</f>
        <v>3</v>
      </c>
      <c r="L2974" t="str">
        <f>TEXT(LeadsData[[#This Row],[Signup Date]],"mmm-yyyy")</f>
        <v>May-2024</v>
      </c>
      <c r="M2974">
        <f>IF(LeadsData[[#This Row],[Stage Number]]&gt;=2,1,0)</f>
        <v>1</v>
      </c>
      <c r="N2974" s="2">
        <f>IF(LeadsData[[#This Row],[Stage Number]]&gt;=3,1,0)</f>
        <v>1</v>
      </c>
      <c r="O2974" s="2">
        <f>IF(LeadsData[[#This Row],[Stage Number]]&gt;=4,1,0)</f>
        <v>0</v>
      </c>
    </row>
    <row r="2975" spans="1:15" x14ac:dyDescent="0.25">
      <c r="A2975" t="s">
        <v>3015</v>
      </c>
      <c r="B2975" s="1">
        <v>45454</v>
      </c>
      <c r="C2975" t="s">
        <v>31</v>
      </c>
      <c r="D2975" t="s">
        <v>34</v>
      </c>
      <c r="E2975" t="s">
        <v>13</v>
      </c>
      <c r="F2975" t="s">
        <v>19</v>
      </c>
      <c r="G2975" t="s">
        <v>15</v>
      </c>
      <c r="K2975" cm="1">
        <f t="array" ref="K2975">_xlfn.SWITCH(LeadsData[[#This Row],[Funnel Stage Reached]],"Lead",1,"MQL",2,"SQL",3,"Customer",4)</f>
        <v>1</v>
      </c>
      <c r="L2975" t="str">
        <f>TEXT(LeadsData[[#This Row],[Signup Date]],"mmm-yyyy")</f>
        <v>Jun-2024</v>
      </c>
      <c r="M2975">
        <f>IF(LeadsData[[#This Row],[Stage Number]]&gt;=2,1,0)</f>
        <v>0</v>
      </c>
      <c r="N2975" s="2">
        <f>IF(LeadsData[[#This Row],[Stage Number]]&gt;=3,1,0)</f>
        <v>0</v>
      </c>
      <c r="O2975" s="2">
        <f>IF(LeadsData[[#This Row],[Stage Number]]&gt;=4,1,0)</f>
        <v>0</v>
      </c>
    </row>
    <row r="2976" spans="1:15" x14ac:dyDescent="0.25">
      <c r="A2976" t="s">
        <v>3016</v>
      </c>
      <c r="B2976" s="1">
        <v>45471</v>
      </c>
      <c r="C2976" t="s">
        <v>46</v>
      </c>
      <c r="D2976" t="s">
        <v>47</v>
      </c>
      <c r="E2976" t="s">
        <v>13</v>
      </c>
      <c r="F2976" t="s">
        <v>14</v>
      </c>
      <c r="G2976" t="s">
        <v>15</v>
      </c>
      <c r="K2976" cm="1">
        <f t="array" ref="K2976">_xlfn.SWITCH(LeadsData[[#This Row],[Funnel Stage Reached]],"Lead",1,"MQL",2,"SQL",3,"Customer",4)</f>
        <v>1</v>
      </c>
      <c r="L2976" t="str">
        <f>TEXT(LeadsData[[#This Row],[Signup Date]],"mmm-yyyy")</f>
        <v>Jun-2024</v>
      </c>
      <c r="M2976">
        <f>IF(LeadsData[[#This Row],[Stage Number]]&gt;=2,1,0)</f>
        <v>0</v>
      </c>
      <c r="N2976" s="2">
        <f>IF(LeadsData[[#This Row],[Stage Number]]&gt;=3,1,0)</f>
        <v>0</v>
      </c>
      <c r="O2976" s="2">
        <f>IF(LeadsData[[#This Row],[Stage Number]]&gt;=4,1,0)</f>
        <v>0</v>
      </c>
    </row>
    <row r="2977" spans="1:15" x14ac:dyDescent="0.25">
      <c r="A2977" t="s">
        <v>3017</v>
      </c>
      <c r="B2977" s="1">
        <v>45602</v>
      </c>
      <c r="C2977" t="s">
        <v>36</v>
      </c>
      <c r="D2977" t="s">
        <v>50</v>
      </c>
      <c r="E2977" t="s">
        <v>21</v>
      </c>
      <c r="F2977" t="s">
        <v>19</v>
      </c>
      <c r="G2977" t="s">
        <v>15</v>
      </c>
      <c r="K2977" cm="1">
        <f t="array" ref="K2977">_xlfn.SWITCH(LeadsData[[#This Row],[Funnel Stage Reached]],"Lead",1,"MQL",2,"SQL",3,"Customer",4)</f>
        <v>1</v>
      </c>
      <c r="L2977" t="str">
        <f>TEXT(LeadsData[[#This Row],[Signup Date]],"mmm-yyyy")</f>
        <v>Nov-2024</v>
      </c>
      <c r="M2977">
        <f>IF(LeadsData[[#This Row],[Stage Number]]&gt;=2,1,0)</f>
        <v>0</v>
      </c>
      <c r="N2977" s="2">
        <f>IF(LeadsData[[#This Row],[Stage Number]]&gt;=3,1,0)</f>
        <v>0</v>
      </c>
      <c r="O2977" s="2">
        <f>IF(LeadsData[[#This Row],[Stage Number]]&gt;=4,1,0)</f>
        <v>0</v>
      </c>
    </row>
    <row r="2978" spans="1:15" x14ac:dyDescent="0.25">
      <c r="A2978" t="s">
        <v>3018</v>
      </c>
      <c r="B2978" s="1">
        <v>45303</v>
      </c>
      <c r="C2978" t="s">
        <v>46</v>
      </c>
      <c r="D2978" t="s">
        <v>56</v>
      </c>
      <c r="E2978" t="s">
        <v>13</v>
      </c>
      <c r="F2978" t="s">
        <v>14</v>
      </c>
      <c r="G2978" t="s">
        <v>23</v>
      </c>
      <c r="K2978" cm="1">
        <f t="array" ref="K2978">_xlfn.SWITCH(LeadsData[[#This Row],[Funnel Stage Reached]],"Lead",1,"MQL",2,"SQL",3,"Customer",4)</f>
        <v>2</v>
      </c>
      <c r="L2978" t="str">
        <f>TEXT(LeadsData[[#This Row],[Signup Date]],"mmm-yyyy")</f>
        <v>Jan-2024</v>
      </c>
      <c r="M2978">
        <f>IF(LeadsData[[#This Row],[Stage Number]]&gt;=2,1,0)</f>
        <v>1</v>
      </c>
      <c r="N2978" s="2">
        <f>IF(LeadsData[[#This Row],[Stage Number]]&gt;=3,1,0)</f>
        <v>0</v>
      </c>
      <c r="O2978" s="2">
        <f>IF(LeadsData[[#This Row],[Stage Number]]&gt;=4,1,0)</f>
        <v>0</v>
      </c>
    </row>
    <row r="2979" spans="1:15" x14ac:dyDescent="0.25">
      <c r="A2979" t="s">
        <v>3019</v>
      </c>
      <c r="B2979" s="1">
        <v>45345</v>
      </c>
      <c r="C2979" t="s">
        <v>11</v>
      </c>
      <c r="D2979" t="s">
        <v>12</v>
      </c>
      <c r="E2979" t="s">
        <v>21</v>
      </c>
      <c r="F2979" t="s">
        <v>14</v>
      </c>
      <c r="G2979" t="s">
        <v>15</v>
      </c>
      <c r="K2979" cm="1">
        <f t="array" ref="K2979">_xlfn.SWITCH(LeadsData[[#This Row],[Funnel Stage Reached]],"Lead",1,"MQL",2,"SQL",3,"Customer",4)</f>
        <v>1</v>
      </c>
      <c r="L2979" t="str">
        <f>TEXT(LeadsData[[#This Row],[Signup Date]],"mmm-yyyy")</f>
        <v>Feb-2024</v>
      </c>
      <c r="M2979">
        <f>IF(LeadsData[[#This Row],[Stage Number]]&gt;=2,1,0)</f>
        <v>0</v>
      </c>
      <c r="N2979" s="2">
        <f>IF(LeadsData[[#This Row],[Stage Number]]&gt;=3,1,0)</f>
        <v>0</v>
      </c>
      <c r="O2979" s="2">
        <f>IF(LeadsData[[#This Row],[Stage Number]]&gt;=4,1,0)</f>
        <v>0</v>
      </c>
    </row>
    <row r="2980" spans="1:15" x14ac:dyDescent="0.25">
      <c r="A2980" t="s">
        <v>3020</v>
      </c>
      <c r="B2980" s="1">
        <v>45597</v>
      </c>
      <c r="C2980" t="s">
        <v>46</v>
      </c>
      <c r="D2980" t="s">
        <v>47</v>
      </c>
      <c r="E2980" t="s">
        <v>13</v>
      </c>
      <c r="F2980" t="s">
        <v>28</v>
      </c>
      <c r="G2980" t="s">
        <v>15</v>
      </c>
      <c r="K2980" cm="1">
        <f t="array" ref="K2980">_xlfn.SWITCH(LeadsData[[#This Row],[Funnel Stage Reached]],"Lead",1,"MQL",2,"SQL",3,"Customer",4)</f>
        <v>1</v>
      </c>
      <c r="L2980" t="str">
        <f>TEXT(LeadsData[[#This Row],[Signup Date]],"mmm-yyyy")</f>
        <v>Nov-2024</v>
      </c>
      <c r="M2980">
        <f>IF(LeadsData[[#This Row],[Stage Number]]&gt;=2,1,0)</f>
        <v>0</v>
      </c>
      <c r="N2980" s="2">
        <f>IF(LeadsData[[#This Row],[Stage Number]]&gt;=3,1,0)</f>
        <v>0</v>
      </c>
      <c r="O2980" s="2">
        <f>IF(LeadsData[[#This Row],[Stage Number]]&gt;=4,1,0)</f>
        <v>0</v>
      </c>
    </row>
    <row r="2981" spans="1:15" x14ac:dyDescent="0.25">
      <c r="A2981" t="s">
        <v>3021</v>
      </c>
      <c r="B2981" s="1">
        <v>45554</v>
      </c>
      <c r="C2981" t="s">
        <v>31</v>
      </c>
      <c r="D2981" t="s">
        <v>32</v>
      </c>
      <c r="E2981" t="s">
        <v>48</v>
      </c>
      <c r="F2981" t="s">
        <v>22</v>
      </c>
      <c r="G2981" t="s">
        <v>29</v>
      </c>
      <c r="K2981" cm="1">
        <f t="array" ref="K2981">_xlfn.SWITCH(LeadsData[[#This Row],[Funnel Stage Reached]],"Lead",1,"MQL",2,"SQL",3,"Customer",4)</f>
        <v>3</v>
      </c>
      <c r="L2981" t="str">
        <f>TEXT(LeadsData[[#This Row],[Signup Date]],"mmm-yyyy")</f>
        <v>Sep-2024</v>
      </c>
      <c r="M2981">
        <f>IF(LeadsData[[#This Row],[Stage Number]]&gt;=2,1,0)</f>
        <v>1</v>
      </c>
      <c r="N2981" s="2">
        <f>IF(LeadsData[[#This Row],[Stage Number]]&gt;=3,1,0)</f>
        <v>1</v>
      </c>
      <c r="O2981" s="2">
        <f>IF(LeadsData[[#This Row],[Stage Number]]&gt;=4,1,0)</f>
        <v>0</v>
      </c>
    </row>
    <row r="2982" spans="1:15" x14ac:dyDescent="0.25">
      <c r="A2982" t="s">
        <v>3022</v>
      </c>
      <c r="B2982" s="1">
        <v>45369</v>
      </c>
      <c r="C2982" t="s">
        <v>25</v>
      </c>
      <c r="D2982" t="s">
        <v>26</v>
      </c>
      <c r="E2982" t="s">
        <v>13</v>
      </c>
      <c r="F2982" t="s">
        <v>19</v>
      </c>
      <c r="G2982" t="s">
        <v>15</v>
      </c>
      <c r="K2982" cm="1">
        <f t="array" ref="K2982">_xlfn.SWITCH(LeadsData[[#This Row],[Funnel Stage Reached]],"Lead",1,"MQL",2,"SQL",3,"Customer",4)</f>
        <v>1</v>
      </c>
      <c r="L2982" t="str">
        <f>TEXT(LeadsData[[#This Row],[Signup Date]],"mmm-yyyy")</f>
        <v>Mar-2024</v>
      </c>
      <c r="M2982">
        <f>IF(LeadsData[[#This Row],[Stage Number]]&gt;=2,1,0)</f>
        <v>0</v>
      </c>
      <c r="N2982" s="2">
        <f>IF(LeadsData[[#This Row],[Stage Number]]&gt;=3,1,0)</f>
        <v>0</v>
      </c>
      <c r="O2982" s="2">
        <f>IF(LeadsData[[#This Row],[Stage Number]]&gt;=4,1,0)</f>
        <v>0</v>
      </c>
    </row>
    <row r="2983" spans="1:15" x14ac:dyDescent="0.25">
      <c r="A2983" t="s">
        <v>3023</v>
      </c>
      <c r="B2983" s="1">
        <v>45642</v>
      </c>
      <c r="C2983" t="s">
        <v>31</v>
      </c>
      <c r="D2983" t="s">
        <v>34</v>
      </c>
      <c r="E2983" t="s">
        <v>13</v>
      </c>
      <c r="F2983" t="s">
        <v>19</v>
      </c>
      <c r="G2983" t="s">
        <v>29</v>
      </c>
      <c r="K2983" cm="1">
        <f t="array" ref="K2983">_xlfn.SWITCH(LeadsData[[#This Row],[Funnel Stage Reached]],"Lead",1,"MQL",2,"SQL",3,"Customer",4)</f>
        <v>3</v>
      </c>
      <c r="L2983" t="str">
        <f>TEXT(LeadsData[[#This Row],[Signup Date]],"mmm-yyyy")</f>
        <v>Dec-2024</v>
      </c>
      <c r="M2983">
        <f>IF(LeadsData[[#This Row],[Stage Number]]&gt;=2,1,0)</f>
        <v>1</v>
      </c>
      <c r="N2983" s="2">
        <f>IF(LeadsData[[#This Row],[Stage Number]]&gt;=3,1,0)</f>
        <v>1</v>
      </c>
      <c r="O2983" s="2">
        <f>IF(LeadsData[[#This Row],[Stage Number]]&gt;=4,1,0)</f>
        <v>0</v>
      </c>
    </row>
    <row r="2984" spans="1:15" x14ac:dyDescent="0.25">
      <c r="A2984" t="s">
        <v>3024</v>
      </c>
      <c r="B2984" s="1">
        <v>45451</v>
      </c>
      <c r="C2984" t="s">
        <v>11</v>
      </c>
      <c r="D2984" t="s">
        <v>12</v>
      </c>
      <c r="E2984" t="s">
        <v>13</v>
      </c>
      <c r="F2984" t="s">
        <v>22</v>
      </c>
      <c r="G2984" t="s">
        <v>15</v>
      </c>
      <c r="K2984" cm="1">
        <f t="array" ref="K2984">_xlfn.SWITCH(LeadsData[[#This Row],[Funnel Stage Reached]],"Lead",1,"MQL",2,"SQL",3,"Customer",4)</f>
        <v>1</v>
      </c>
      <c r="L2984" t="str">
        <f>TEXT(LeadsData[[#This Row],[Signup Date]],"mmm-yyyy")</f>
        <v>Jun-2024</v>
      </c>
      <c r="M2984">
        <f>IF(LeadsData[[#This Row],[Stage Number]]&gt;=2,1,0)</f>
        <v>0</v>
      </c>
      <c r="N2984" s="2">
        <f>IF(LeadsData[[#This Row],[Stage Number]]&gt;=3,1,0)</f>
        <v>0</v>
      </c>
      <c r="O2984" s="2">
        <f>IF(LeadsData[[#This Row],[Stage Number]]&gt;=4,1,0)</f>
        <v>0</v>
      </c>
    </row>
    <row r="2985" spans="1:15" x14ac:dyDescent="0.25">
      <c r="A2985" t="s">
        <v>3025</v>
      </c>
      <c r="B2985" s="1">
        <v>45543</v>
      </c>
      <c r="C2985" t="s">
        <v>31</v>
      </c>
      <c r="D2985" t="s">
        <v>34</v>
      </c>
      <c r="E2985" t="s">
        <v>48</v>
      </c>
      <c r="F2985" t="s">
        <v>19</v>
      </c>
      <c r="G2985" t="s">
        <v>42</v>
      </c>
      <c r="H2985">
        <v>49</v>
      </c>
      <c r="I2985" t="s">
        <v>87</v>
      </c>
      <c r="J2985">
        <v>4375.2700000000004</v>
      </c>
      <c r="K2985" cm="1">
        <f t="array" ref="K2985">_xlfn.SWITCH(LeadsData[[#This Row],[Funnel Stage Reached]],"Lead",1,"MQL",2,"SQL",3,"Customer",4)</f>
        <v>4</v>
      </c>
      <c r="L2985" t="str">
        <f>TEXT(LeadsData[[#This Row],[Signup Date]],"mmm-yyyy")</f>
        <v>Sep-2024</v>
      </c>
      <c r="M2985">
        <f>IF(LeadsData[[#This Row],[Stage Number]]&gt;=2,1,0)</f>
        <v>1</v>
      </c>
      <c r="N2985" s="2">
        <f>IF(LeadsData[[#This Row],[Stage Number]]&gt;=3,1,0)</f>
        <v>1</v>
      </c>
      <c r="O2985" s="2">
        <f>IF(LeadsData[[#This Row],[Stage Number]]&gt;=4,1,0)</f>
        <v>1</v>
      </c>
    </row>
    <row r="2986" spans="1:15" x14ac:dyDescent="0.25">
      <c r="A2986" t="s">
        <v>3026</v>
      </c>
      <c r="B2986" s="1">
        <v>45643</v>
      </c>
      <c r="C2986" t="s">
        <v>36</v>
      </c>
      <c r="D2986" t="s">
        <v>50</v>
      </c>
      <c r="E2986" t="s">
        <v>13</v>
      </c>
      <c r="F2986" t="s">
        <v>19</v>
      </c>
      <c r="G2986" t="s">
        <v>42</v>
      </c>
      <c r="H2986">
        <v>37</v>
      </c>
      <c r="I2986" t="s">
        <v>183</v>
      </c>
      <c r="J2986">
        <v>13547.14</v>
      </c>
      <c r="K2986" cm="1">
        <f t="array" ref="K2986">_xlfn.SWITCH(LeadsData[[#This Row],[Funnel Stage Reached]],"Lead",1,"MQL",2,"SQL",3,"Customer",4)</f>
        <v>4</v>
      </c>
      <c r="L2986" t="str">
        <f>TEXT(LeadsData[[#This Row],[Signup Date]],"mmm-yyyy")</f>
        <v>Dec-2024</v>
      </c>
      <c r="M2986">
        <f>IF(LeadsData[[#This Row],[Stage Number]]&gt;=2,1,0)</f>
        <v>1</v>
      </c>
      <c r="N2986" s="2">
        <f>IF(LeadsData[[#This Row],[Stage Number]]&gt;=3,1,0)</f>
        <v>1</v>
      </c>
      <c r="O2986" s="2">
        <f>IF(LeadsData[[#This Row],[Stage Number]]&gt;=4,1,0)</f>
        <v>1</v>
      </c>
    </row>
    <row r="2987" spans="1:15" x14ac:dyDescent="0.25">
      <c r="A2987" t="s">
        <v>3027</v>
      </c>
      <c r="B2987" s="1">
        <v>45406</v>
      </c>
      <c r="C2987" t="s">
        <v>11</v>
      </c>
      <c r="D2987" t="s">
        <v>79</v>
      </c>
      <c r="E2987" t="s">
        <v>13</v>
      </c>
      <c r="F2987" t="s">
        <v>19</v>
      </c>
      <c r="G2987" t="s">
        <v>29</v>
      </c>
      <c r="K2987" cm="1">
        <f t="array" ref="K2987">_xlfn.SWITCH(LeadsData[[#This Row],[Funnel Stage Reached]],"Lead",1,"MQL",2,"SQL",3,"Customer",4)</f>
        <v>3</v>
      </c>
      <c r="L2987" t="str">
        <f>TEXT(LeadsData[[#This Row],[Signup Date]],"mmm-yyyy")</f>
        <v>Apr-2024</v>
      </c>
      <c r="M2987">
        <f>IF(LeadsData[[#This Row],[Stage Number]]&gt;=2,1,0)</f>
        <v>1</v>
      </c>
      <c r="N2987" s="2">
        <f>IF(LeadsData[[#This Row],[Stage Number]]&gt;=3,1,0)</f>
        <v>1</v>
      </c>
      <c r="O2987" s="2">
        <f>IF(LeadsData[[#This Row],[Stage Number]]&gt;=4,1,0)</f>
        <v>0</v>
      </c>
    </row>
    <row r="2988" spans="1:15" x14ac:dyDescent="0.25">
      <c r="A2988" t="s">
        <v>3028</v>
      </c>
      <c r="B2988" s="1">
        <v>45480</v>
      </c>
      <c r="C2988" t="s">
        <v>46</v>
      </c>
      <c r="D2988" t="s">
        <v>47</v>
      </c>
      <c r="E2988" t="s">
        <v>13</v>
      </c>
      <c r="F2988" t="s">
        <v>19</v>
      </c>
      <c r="G2988" t="s">
        <v>23</v>
      </c>
      <c r="K2988" cm="1">
        <f t="array" ref="K2988">_xlfn.SWITCH(LeadsData[[#This Row],[Funnel Stage Reached]],"Lead",1,"MQL",2,"SQL",3,"Customer",4)</f>
        <v>2</v>
      </c>
      <c r="L2988" t="str">
        <f>TEXT(LeadsData[[#This Row],[Signup Date]],"mmm-yyyy")</f>
        <v>Jul-2024</v>
      </c>
      <c r="M2988">
        <f>IF(LeadsData[[#This Row],[Stage Number]]&gt;=2,1,0)</f>
        <v>1</v>
      </c>
      <c r="N2988" s="2">
        <f>IF(LeadsData[[#This Row],[Stage Number]]&gt;=3,1,0)</f>
        <v>0</v>
      </c>
      <c r="O2988" s="2">
        <f>IF(LeadsData[[#This Row],[Stage Number]]&gt;=4,1,0)</f>
        <v>0</v>
      </c>
    </row>
    <row r="2989" spans="1:15" x14ac:dyDescent="0.25">
      <c r="A2989" t="s">
        <v>3029</v>
      </c>
      <c r="B2989" s="1">
        <v>45598</v>
      </c>
      <c r="C2989" t="s">
        <v>31</v>
      </c>
      <c r="D2989" t="s">
        <v>34</v>
      </c>
      <c r="E2989" t="s">
        <v>13</v>
      </c>
      <c r="F2989" t="s">
        <v>14</v>
      </c>
      <c r="G2989" t="s">
        <v>23</v>
      </c>
      <c r="K2989" cm="1">
        <f t="array" ref="K2989">_xlfn.SWITCH(LeadsData[[#This Row],[Funnel Stage Reached]],"Lead",1,"MQL",2,"SQL",3,"Customer",4)</f>
        <v>2</v>
      </c>
      <c r="L2989" t="str">
        <f>TEXT(LeadsData[[#This Row],[Signup Date]],"mmm-yyyy")</f>
        <v>Nov-2024</v>
      </c>
      <c r="M2989">
        <f>IF(LeadsData[[#This Row],[Stage Number]]&gt;=2,1,0)</f>
        <v>1</v>
      </c>
      <c r="N2989" s="2">
        <f>IF(LeadsData[[#This Row],[Stage Number]]&gt;=3,1,0)</f>
        <v>0</v>
      </c>
      <c r="O2989" s="2">
        <f>IF(LeadsData[[#This Row],[Stage Number]]&gt;=4,1,0)</f>
        <v>0</v>
      </c>
    </row>
    <row r="2990" spans="1:15" x14ac:dyDescent="0.25">
      <c r="A2990" t="s">
        <v>3030</v>
      </c>
      <c r="B2990" s="1">
        <v>45509</v>
      </c>
      <c r="C2990" t="s">
        <v>46</v>
      </c>
      <c r="D2990" t="s">
        <v>47</v>
      </c>
      <c r="E2990" t="s">
        <v>13</v>
      </c>
      <c r="F2990" t="s">
        <v>19</v>
      </c>
      <c r="G2990" t="s">
        <v>15</v>
      </c>
      <c r="K2990" cm="1">
        <f t="array" ref="K2990">_xlfn.SWITCH(LeadsData[[#This Row],[Funnel Stage Reached]],"Lead",1,"MQL",2,"SQL",3,"Customer",4)</f>
        <v>1</v>
      </c>
      <c r="L2990" t="str">
        <f>TEXT(LeadsData[[#This Row],[Signup Date]],"mmm-yyyy")</f>
        <v>Aug-2024</v>
      </c>
      <c r="M2990">
        <f>IF(LeadsData[[#This Row],[Stage Number]]&gt;=2,1,0)</f>
        <v>0</v>
      </c>
      <c r="N2990" s="2">
        <f>IF(LeadsData[[#This Row],[Stage Number]]&gt;=3,1,0)</f>
        <v>0</v>
      </c>
      <c r="O2990" s="2">
        <f>IF(LeadsData[[#This Row],[Stage Number]]&gt;=4,1,0)</f>
        <v>0</v>
      </c>
    </row>
    <row r="2991" spans="1:15" x14ac:dyDescent="0.25">
      <c r="A2991" t="s">
        <v>3031</v>
      </c>
      <c r="B2991" s="1">
        <v>45524</v>
      </c>
      <c r="C2991" t="s">
        <v>11</v>
      </c>
      <c r="D2991" t="s">
        <v>12</v>
      </c>
      <c r="E2991" t="s">
        <v>13</v>
      </c>
      <c r="F2991" t="s">
        <v>28</v>
      </c>
      <c r="G2991" t="s">
        <v>15</v>
      </c>
      <c r="K2991" cm="1">
        <f t="array" ref="K2991">_xlfn.SWITCH(LeadsData[[#This Row],[Funnel Stage Reached]],"Lead",1,"MQL",2,"SQL",3,"Customer",4)</f>
        <v>1</v>
      </c>
      <c r="L2991" t="str">
        <f>TEXT(LeadsData[[#This Row],[Signup Date]],"mmm-yyyy")</f>
        <v>Aug-2024</v>
      </c>
      <c r="M2991">
        <f>IF(LeadsData[[#This Row],[Stage Number]]&gt;=2,1,0)</f>
        <v>0</v>
      </c>
      <c r="N2991" s="2">
        <f>IF(LeadsData[[#This Row],[Stage Number]]&gt;=3,1,0)</f>
        <v>0</v>
      </c>
      <c r="O2991" s="2">
        <f>IF(LeadsData[[#This Row],[Stage Number]]&gt;=4,1,0)</f>
        <v>0</v>
      </c>
    </row>
    <row r="2992" spans="1:15" x14ac:dyDescent="0.25">
      <c r="A2992" t="s">
        <v>3032</v>
      </c>
      <c r="B2992" s="1">
        <v>45552</v>
      </c>
      <c r="C2992" t="s">
        <v>36</v>
      </c>
      <c r="D2992" t="s">
        <v>50</v>
      </c>
      <c r="E2992" t="s">
        <v>13</v>
      </c>
      <c r="F2992" t="s">
        <v>19</v>
      </c>
      <c r="G2992" t="s">
        <v>15</v>
      </c>
      <c r="K2992" cm="1">
        <f t="array" ref="K2992">_xlfn.SWITCH(LeadsData[[#This Row],[Funnel Stage Reached]],"Lead",1,"MQL",2,"SQL",3,"Customer",4)</f>
        <v>1</v>
      </c>
      <c r="L2992" t="str">
        <f>TEXT(LeadsData[[#This Row],[Signup Date]],"mmm-yyyy")</f>
        <v>Sep-2024</v>
      </c>
      <c r="M2992">
        <f>IF(LeadsData[[#This Row],[Stage Number]]&gt;=2,1,0)</f>
        <v>0</v>
      </c>
      <c r="N2992" s="2">
        <f>IF(LeadsData[[#This Row],[Stage Number]]&gt;=3,1,0)</f>
        <v>0</v>
      </c>
      <c r="O2992" s="2">
        <f>IF(LeadsData[[#This Row],[Stage Number]]&gt;=4,1,0)</f>
        <v>0</v>
      </c>
    </row>
    <row r="2993" spans="1:15" x14ac:dyDescent="0.25">
      <c r="A2993" t="s">
        <v>3033</v>
      </c>
      <c r="B2993" s="1">
        <v>45296</v>
      </c>
      <c r="C2993" t="s">
        <v>17</v>
      </c>
      <c r="D2993" t="s">
        <v>53</v>
      </c>
      <c r="E2993" t="s">
        <v>13</v>
      </c>
      <c r="F2993" t="s">
        <v>19</v>
      </c>
      <c r="G2993" t="s">
        <v>23</v>
      </c>
      <c r="K2993" cm="1">
        <f t="array" ref="K2993">_xlfn.SWITCH(LeadsData[[#This Row],[Funnel Stage Reached]],"Lead",1,"MQL",2,"SQL",3,"Customer",4)</f>
        <v>2</v>
      </c>
      <c r="L2993" t="str">
        <f>TEXT(LeadsData[[#This Row],[Signup Date]],"mmm-yyyy")</f>
        <v>Jan-2024</v>
      </c>
      <c r="M2993">
        <f>IF(LeadsData[[#This Row],[Stage Number]]&gt;=2,1,0)</f>
        <v>1</v>
      </c>
      <c r="N2993" s="2">
        <f>IF(LeadsData[[#This Row],[Stage Number]]&gt;=3,1,0)</f>
        <v>0</v>
      </c>
      <c r="O2993" s="2">
        <f>IF(LeadsData[[#This Row],[Stage Number]]&gt;=4,1,0)</f>
        <v>0</v>
      </c>
    </row>
    <row r="2994" spans="1:15" x14ac:dyDescent="0.25">
      <c r="A2994" t="s">
        <v>3034</v>
      </c>
      <c r="B2994" s="1">
        <v>45418</v>
      </c>
      <c r="C2994" t="s">
        <v>11</v>
      </c>
      <c r="D2994" t="s">
        <v>68</v>
      </c>
      <c r="E2994" t="s">
        <v>13</v>
      </c>
      <c r="F2994" t="s">
        <v>22</v>
      </c>
      <c r="G2994" t="s">
        <v>15</v>
      </c>
      <c r="K2994" cm="1">
        <f t="array" ref="K2994">_xlfn.SWITCH(LeadsData[[#This Row],[Funnel Stage Reached]],"Lead",1,"MQL",2,"SQL",3,"Customer",4)</f>
        <v>1</v>
      </c>
      <c r="L2994" t="str">
        <f>TEXT(LeadsData[[#This Row],[Signup Date]],"mmm-yyyy")</f>
        <v>May-2024</v>
      </c>
      <c r="M2994">
        <f>IF(LeadsData[[#This Row],[Stage Number]]&gt;=2,1,0)</f>
        <v>0</v>
      </c>
      <c r="N2994" s="2">
        <f>IF(LeadsData[[#This Row],[Stage Number]]&gt;=3,1,0)</f>
        <v>0</v>
      </c>
      <c r="O2994" s="2">
        <f>IF(LeadsData[[#This Row],[Stage Number]]&gt;=4,1,0)</f>
        <v>0</v>
      </c>
    </row>
    <row r="2995" spans="1:15" x14ac:dyDescent="0.25">
      <c r="A2995" t="s">
        <v>3035</v>
      </c>
      <c r="B2995" s="1">
        <v>45454</v>
      </c>
      <c r="C2995" t="s">
        <v>31</v>
      </c>
      <c r="D2995" t="s">
        <v>32</v>
      </c>
      <c r="E2995" t="s">
        <v>21</v>
      </c>
      <c r="F2995" t="s">
        <v>19</v>
      </c>
      <c r="G2995" t="s">
        <v>23</v>
      </c>
      <c r="K2995" cm="1">
        <f t="array" ref="K2995">_xlfn.SWITCH(LeadsData[[#This Row],[Funnel Stage Reached]],"Lead",1,"MQL",2,"SQL",3,"Customer",4)</f>
        <v>2</v>
      </c>
      <c r="L2995" t="str">
        <f>TEXT(LeadsData[[#This Row],[Signup Date]],"mmm-yyyy")</f>
        <v>Jun-2024</v>
      </c>
      <c r="M2995">
        <f>IF(LeadsData[[#This Row],[Stage Number]]&gt;=2,1,0)</f>
        <v>1</v>
      </c>
      <c r="N2995" s="2">
        <f>IF(LeadsData[[#This Row],[Stage Number]]&gt;=3,1,0)</f>
        <v>0</v>
      </c>
      <c r="O2995" s="2">
        <f>IF(LeadsData[[#This Row],[Stage Number]]&gt;=4,1,0)</f>
        <v>0</v>
      </c>
    </row>
    <row r="2996" spans="1:15" x14ac:dyDescent="0.25">
      <c r="A2996" t="s">
        <v>3036</v>
      </c>
      <c r="B2996" s="1">
        <v>45375</v>
      </c>
      <c r="C2996" t="s">
        <v>36</v>
      </c>
      <c r="D2996" t="s">
        <v>50</v>
      </c>
      <c r="E2996" t="s">
        <v>13</v>
      </c>
      <c r="F2996" t="s">
        <v>14</v>
      </c>
      <c r="G2996" t="s">
        <v>23</v>
      </c>
      <c r="K2996" cm="1">
        <f t="array" ref="K2996">_xlfn.SWITCH(LeadsData[[#This Row],[Funnel Stage Reached]],"Lead",1,"MQL",2,"SQL",3,"Customer",4)</f>
        <v>2</v>
      </c>
      <c r="L2996" t="str">
        <f>TEXT(LeadsData[[#This Row],[Signup Date]],"mmm-yyyy")</f>
        <v>Mar-2024</v>
      </c>
      <c r="M2996">
        <f>IF(LeadsData[[#This Row],[Stage Number]]&gt;=2,1,0)</f>
        <v>1</v>
      </c>
      <c r="N2996" s="2">
        <f>IF(LeadsData[[#This Row],[Stage Number]]&gt;=3,1,0)</f>
        <v>0</v>
      </c>
      <c r="O2996" s="2">
        <f>IF(LeadsData[[#This Row],[Stage Number]]&gt;=4,1,0)</f>
        <v>0</v>
      </c>
    </row>
    <row r="2997" spans="1:15" x14ac:dyDescent="0.25">
      <c r="A2997" t="s">
        <v>3037</v>
      </c>
      <c r="B2997" s="1">
        <v>45347</v>
      </c>
      <c r="C2997" t="s">
        <v>31</v>
      </c>
      <c r="D2997" t="s">
        <v>32</v>
      </c>
      <c r="E2997" t="s">
        <v>13</v>
      </c>
      <c r="F2997" t="s">
        <v>19</v>
      </c>
      <c r="G2997" t="s">
        <v>15</v>
      </c>
      <c r="K2997" cm="1">
        <f t="array" ref="K2997">_xlfn.SWITCH(LeadsData[[#This Row],[Funnel Stage Reached]],"Lead",1,"MQL",2,"SQL",3,"Customer",4)</f>
        <v>1</v>
      </c>
      <c r="L2997" t="str">
        <f>TEXT(LeadsData[[#This Row],[Signup Date]],"mmm-yyyy")</f>
        <v>Feb-2024</v>
      </c>
      <c r="M2997">
        <f>IF(LeadsData[[#This Row],[Stage Number]]&gt;=2,1,0)</f>
        <v>0</v>
      </c>
      <c r="N2997" s="2">
        <f>IF(LeadsData[[#This Row],[Stage Number]]&gt;=3,1,0)</f>
        <v>0</v>
      </c>
      <c r="O2997" s="2">
        <f>IF(LeadsData[[#This Row],[Stage Number]]&gt;=4,1,0)</f>
        <v>0</v>
      </c>
    </row>
    <row r="2998" spans="1:15" x14ac:dyDescent="0.25">
      <c r="A2998" t="s">
        <v>3038</v>
      </c>
      <c r="B2998" s="1">
        <v>45438</v>
      </c>
      <c r="C2998" t="s">
        <v>36</v>
      </c>
      <c r="D2998" t="s">
        <v>50</v>
      </c>
      <c r="E2998" t="s">
        <v>13</v>
      </c>
      <c r="F2998" t="s">
        <v>22</v>
      </c>
      <c r="G2998" t="s">
        <v>29</v>
      </c>
      <c r="K2998" cm="1">
        <f t="array" ref="K2998">_xlfn.SWITCH(LeadsData[[#This Row],[Funnel Stage Reached]],"Lead",1,"MQL",2,"SQL",3,"Customer",4)</f>
        <v>3</v>
      </c>
      <c r="L2998" t="str">
        <f>TEXT(LeadsData[[#This Row],[Signup Date]],"mmm-yyyy")</f>
        <v>May-2024</v>
      </c>
      <c r="M2998">
        <f>IF(LeadsData[[#This Row],[Stage Number]]&gt;=2,1,0)</f>
        <v>1</v>
      </c>
      <c r="N2998" s="2">
        <f>IF(LeadsData[[#This Row],[Stage Number]]&gt;=3,1,0)</f>
        <v>1</v>
      </c>
      <c r="O2998" s="2">
        <f>IF(LeadsData[[#This Row],[Stage Number]]&gt;=4,1,0)</f>
        <v>0</v>
      </c>
    </row>
    <row r="2999" spans="1:15" x14ac:dyDescent="0.25">
      <c r="A2999" t="s">
        <v>3039</v>
      </c>
      <c r="B2999" s="1">
        <v>45319</v>
      </c>
      <c r="C2999" t="s">
        <v>17</v>
      </c>
      <c r="D2999" t="s">
        <v>53</v>
      </c>
      <c r="E2999" t="s">
        <v>13</v>
      </c>
      <c r="F2999" t="s">
        <v>19</v>
      </c>
      <c r="G2999" t="s">
        <v>29</v>
      </c>
      <c r="K2999" cm="1">
        <f t="array" ref="K2999">_xlfn.SWITCH(LeadsData[[#This Row],[Funnel Stage Reached]],"Lead",1,"MQL",2,"SQL",3,"Customer",4)</f>
        <v>3</v>
      </c>
      <c r="L2999" t="str">
        <f>TEXT(LeadsData[[#This Row],[Signup Date]],"mmm-yyyy")</f>
        <v>Jan-2024</v>
      </c>
      <c r="M2999">
        <f>IF(LeadsData[[#This Row],[Stage Number]]&gt;=2,1,0)</f>
        <v>1</v>
      </c>
      <c r="N2999" s="2">
        <f>IF(LeadsData[[#This Row],[Stage Number]]&gt;=3,1,0)</f>
        <v>1</v>
      </c>
      <c r="O2999" s="2">
        <f>IF(LeadsData[[#This Row],[Stage Number]]&gt;=4,1,0)</f>
        <v>0</v>
      </c>
    </row>
    <row r="3000" spans="1:15" x14ac:dyDescent="0.25">
      <c r="A3000" t="s">
        <v>3040</v>
      </c>
      <c r="B3000" s="1">
        <v>45328</v>
      </c>
      <c r="C3000" t="s">
        <v>46</v>
      </c>
      <c r="D3000" t="s">
        <v>56</v>
      </c>
      <c r="E3000" t="s">
        <v>13</v>
      </c>
      <c r="F3000" t="s">
        <v>22</v>
      </c>
      <c r="G3000" t="s">
        <v>29</v>
      </c>
      <c r="K3000" cm="1">
        <f t="array" ref="K3000">_xlfn.SWITCH(LeadsData[[#This Row],[Funnel Stage Reached]],"Lead",1,"MQL",2,"SQL",3,"Customer",4)</f>
        <v>3</v>
      </c>
      <c r="L3000" t="str">
        <f>TEXT(LeadsData[[#This Row],[Signup Date]],"mmm-yyyy")</f>
        <v>Feb-2024</v>
      </c>
      <c r="M3000">
        <f>IF(LeadsData[[#This Row],[Stage Number]]&gt;=2,1,0)</f>
        <v>1</v>
      </c>
      <c r="N3000" s="2">
        <f>IF(LeadsData[[#This Row],[Stage Number]]&gt;=3,1,0)</f>
        <v>1</v>
      </c>
      <c r="O3000" s="2">
        <f>IF(LeadsData[[#This Row],[Stage Number]]&gt;=4,1,0)</f>
        <v>0</v>
      </c>
    </row>
    <row r="3001" spans="1:15" x14ac:dyDescent="0.25">
      <c r="A3001" t="s">
        <v>3041</v>
      </c>
      <c r="B3001" s="1">
        <v>45561</v>
      </c>
      <c r="C3001" t="s">
        <v>46</v>
      </c>
      <c r="D3001" t="s">
        <v>47</v>
      </c>
      <c r="E3001" t="s">
        <v>13</v>
      </c>
      <c r="F3001" t="s">
        <v>14</v>
      </c>
      <c r="G3001" t="s">
        <v>23</v>
      </c>
      <c r="K3001" cm="1">
        <f t="array" ref="K3001">_xlfn.SWITCH(LeadsData[[#This Row],[Funnel Stage Reached]],"Lead",1,"MQL",2,"SQL",3,"Customer",4)</f>
        <v>2</v>
      </c>
      <c r="L3001" t="str">
        <f>TEXT(LeadsData[[#This Row],[Signup Date]],"mmm-yyyy")</f>
        <v>Sep-2024</v>
      </c>
      <c r="M3001">
        <f>IF(LeadsData[[#This Row],[Stage Number]]&gt;=2,1,0)</f>
        <v>1</v>
      </c>
      <c r="N3001" s="2">
        <f>IF(LeadsData[[#This Row],[Stage Number]]&gt;=3,1,0)</f>
        <v>0</v>
      </c>
      <c r="O3001" s="2">
        <f>IF(LeadsData[[#This Row],[Stage Number]]&gt;=4,1,0)</f>
        <v>0</v>
      </c>
    </row>
    <row r="3002" spans="1:15" x14ac:dyDescent="0.25">
      <c r="A3002" t="s">
        <v>3042</v>
      </c>
      <c r="B3002" s="1">
        <v>45577</v>
      </c>
      <c r="C3002" t="s">
        <v>31</v>
      </c>
      <c r="D3002" t="s">
        <v>32</v>
      </c>
      <c r="E3002" t="s">
        <v>13</v>
      </c>
      <c r="F3002" t="s">
        <v>14</v>
      </c>
      <c r="G3002" t="s">
        <v>23</v>
      </c>
      <c r="K3002" cm="1">
        <f t="array" ref="K3002">_xlfn.SWITCH(LeadsData[[#This Row],[Funnel Stage Reached]],"Lead",1,"MQL",2,"SQL",3,"Customer",4)</f>
        <v>2</v>
      </c>
      <c r="L3002" t="str">
        <f>TEXT(LeadsData[[#This Row],[Signup Date]],"mmm-yyyy")</f>
        <v>Oct-2024</v>
      </c>
      <c r="M3002">
        <f>IF(LeadsData[[#This Row],[Stage Number]]&gt;=2,1,0)</f>
        <v>1</v>
      </c>
      <c r="N3002" s="2">
        <f>IF(LeadsData[[#This Row],[Stage Number]]&gt;=3,1,0)</f>
        <v>0</v>
      </c>
      <c r="O3002" s="2">
        <f>IF(LeadsData[[#This Row],[Stage Number]]&gt;=4,1,0)</f>
        <v>0</v>
      </c>
    </row>
    <row r="3003" spans="1:15" x14ac:dyDescent="0.25">
      <c r="A3003" t="s">
        <v>3043</v>
      </c>
      <c r="B3003" s="1">
        <v>45518</v>
      </c>
      <c r="C3003" t="s">
        <v>31</v>
      </c>
      <c r="D3003" t="s">
        <v>32</v>
      </c>
      <c r="E3003" t="s">
        <v>13</v>
      </c>
      <c r="F3003" t="s">
        <v>19</v>
      </c>
      <c r="G3003" t="s">
        <v>15</v>
      </c>
      <c r="K3003" cm="1">
        <f t="array" ref="K3003">_xlfn.SWITCH(LeadsData[[#This Row],[Funnel Stage Reached]],"Lead",1,"MQL",2,"SQL",3,"Customer",4)</f>
        <v>1</v>
      </c>
      <c r="L3003" t="str">
        <f>TEXT(LeadsData[[#This Row],[Signup Date]],"mmm-yyyy")</f>
        <v>Aug-2024</v>
      </c>
      <c r="M3003">
        <f>IF(LeadsData[[#This Row],[Stage Number]]&gt;=2,1,0)</f>
        <v>0</v>
      </c>
      <c r="N3003" s="2">
        <f>IF(LeadsData[[#This Row],[Stage Number]]&gt;=3,1,0)</f>
        <v>0</v>
      </c>
      <c r="O3003" s="2">
        <f>IF(LeadsData[[#This Row],[Stage Number]]&gt;=4,1,0)</f>
        <v>0</v>
      </c>
    </row>
    <row r="3004" spans="1:15" x14ac:dyDescent="0.25">
      <c r="A3004" t="s">
        <v>3044</v>
      </c>
      <c r="B3004" s="1">
        <v>45483</v>
      </c>
      <c r="C3004" t="s">
        <v>17</v>
      </c>
      <c r="D3004" t="s">
        <v>53</v>
      </c>
      <c r="E3004" t="s">
        <v>48</v>
      </c>
      <c r="F3004" t="s">
        <v>19</v>
      </c>
      <c r="G3004" t="s">
        <v>29</v>
      </c>
      <c r="K3004" cm="1">
        <f t="array" ref="K3004">_xlfn.SWITCH(LeadsData[[#This Row],[Funnel Stage Reached]],"Lead",1,"MQL",2,"SQL",3,"Customer",4)</f>
        <v>3</v>
      </c>
      <c r="L3004" t="str">
        <f>TEXT(LeadsData[[#This Row],[Signup Date]],"mmm-yyyy")</f>
        <v>Jul-2024</v>
      </c>
      <c r="M3004">
        <f>IF(LeadsData[[#This Row],[Stage Number]]&gt;=2,1,0)</f>
        <v>1</v>
      </c>
      <c r="N3004" s="2">
        <f>IF(LeadsData[[#This Row],[Stage Number]]&gt;=3,1,0)</f>
        <v>1</v>
      </c>
      <c r="O3004" s="2">
        <f>IF(LeadsData[[#This Row],[Stage Number]]&gt;=4,1,0)</f>
        <v>0</v>
      </c>
    </row>
    <row r="3005" spans="1:15" x14ac:dyDescent="0.25">
      <c r="A3005" t="s">
        <v>3045</v>
      </c>
      <c r="B3005" s="1">
        <v>45598</v>
      </c>
      <c r="C3005" t="s">
        <v>31</v>
      </c>
      <c r="D3005" t="s">
        <v>32</v>
      </c>
      <c r="E3005" t="s">
        <v>21</v>
      </c>
      <c r="F3005" t="s">
        <v>28</v>
      </c>
      <c r="G3005" t="s">
        <v>42</v>
      </c>
      <c r="H3005">
        <v>10</v>
      </c>
      <c r="I3005" t="s">
        <v>43</v>
      </c>
      <c r="J3005">
        <v>1344.01</v>
      </c>
      <c r="K3005" cm="1">
        <f t="array" ref="K3005">_xlfn.SWITCH(LeadsData[[#This Row],[Funnel Stage Reached]],"Lead",1,"MQL",2,"SQL",3,"Customer",4)</f>
        <v>4</v>
      </c>
      <c r="L3005" t="str">
        <f>TEXT(LeadsData[[#This Row],[Signup Date]],"mmm-yyyy")</f>
        <v>Nov-2024</v>
      </c>
      <c r="M3005">
        <f>IF(LeadsData[[#This Row],[Stage Number]]&gt;=2,1,0)</f>
        <v>1</v>
      </c>
      <c r="N3005" s="2">
        <f>IF(LeadsData[[#This Row],[Stage Number]]&gt;=3,1,0)</f>
        <v>1</v>
      </c>
      <c r="O3005" s="2">
        <f>IF(LeadsData[[#This Row],[Stage Number]]&gt;=4,1,0)</f>
        <v>1</v>
      </c>
    </row>
    <row r="3006" spans="1:15" x14ac:dyDescent="0.25">
      <c r="A3006" t="s">
        <v>3046</v>
      </c>
      <c r="B3006" s="1">
        <v>45343</v>
      </c>
      <c r="C3006" t="s">
        <v>11</v>
      </c>
      <c r="D3006" t="s">
        <v>12</v>
      </c>
      <c r="E3006" t="s">
        <v>21</v>
      </c>
      <c r="F3006" t="s">
        <v>22</v>
      </c>
      <c r="G3006" t="s">
        <v>15</v>
      </c>
      <c r="K3006" cm="1">
        <f t="array" ref="K3006">_xlfn.SWITCH(LeadsData[[#This Row],[Funnel Stage Reached]],"Lead",1,"MQL",2,"SQL",3,"Customer",4)</f>
        <v>1</v>
      </c>
      <c r="L3006" t="str">
        <f>TEXT(LeadsData[[#This Row],[Signup Date]],"mmm-yyyy")</f>
        <v>Feb-2024</v>
      </c>
      <c r="M3006">
        <f>IF(LeadsData[[#This Row],[Stage Number]]&gt;=2,1,0)</f>
        <v>0</v>
      </c>
      <c r="N3006" s="2">
        <f>IF(LeadsData[[#This Row],[Stage Number]]&gt;=3,1,0)</f>
        <v>0</v>
      </c>
      <c r="O3006" s="2">
        <f>IF(LeadsData[[#This Row],[Stage Number]]&gt;=4,1,0)</f>
        <v>0</v>
      </c>
    </row>
    <row r="3007" spans="1:15" x14ac:dyDescent="0.25">
      <c r="A3007" t="s">
        <v>3047</v>
      </c>
      <c r="B3007" s="1">
        <v>45601</v>
      </c>
      <c r="C3007" t="s">
        <v>11</v>
      </c>
      <c r="D3007" t="s">
        <v>12</v>
      </c>
      <c r="E3007" t="s">
        <v>13</v>
      </c>
      <c r="F3007" t="s">
        <v>14</v>
      </c>
      <c r="G3007" t="s">
        <v>15</v>
      </c>
      <c r="K3007" cm="1">
        <f t="array" ref="K3007">_xlfn.SWITCH(LeadsData[[#This Row],[Funnel Stage Reached]],"Lead",1,"MQL",2,"SQL",3,"Customer",4)</f>
        <v>1</v>
      </c>
      <c r="L3007" t="str">
        <f>TEXT(LeadsData[[#This Row],[Signup Date]],"mmm-yyyy")</f>
        <v>Nov-2024</v>
      </c>
      <c r="M3007">
        <f>IF(LeadsData[[#This Row],[Stage Number]]&gt;=2,1,0)</f>
        <v>0</v>
      </c>
      <c r="N3007" s="2">
        <f>IF(LeadsData[[#This Row],[Stage Number]]&gt;=3,1,0)</f>
        <v>0</v>
      </c>
      <c r="O3007" s="2">
        <f>IF(LeadsData[[#This Row],[Stage Number]]&gt;=4,1,0)</f>
        <v>0</v>
      </c>
    </row>
    <row r="3008" spans="1:15" x14ac:dyDescent="0.25">
      <c r="A3008" t="s">
        <v>3048</v>
      </c>
      <c r="B3008" s="1">
        <v>45447</v>
      </c>
      <c r="C3008" t="s">
        <v>36</v>
      </c>
      <c r="D3008" t="s">
        <v>37</v>
      </c>
      <c r="E3008" t="s">
        <v>13</v>
      </c>
      <c r="F3008" t="s">
        <v>28</v>
      </c>
      <c r="G3008" t="s">
        <v>23</v>
      </c>
      <c r="K3008" cm="1">
        <f t="array" ref="K3008">_xlfn.SWITCH(LeadsData[[#This Row],[Funnel Stage Reached]],"Lead",1,"MQL",2,"SQL",3,"Customer",4)</f>
        <v>2</v>
      </c>
      <c r="L3008" t="str">
        <f>TEXT(LeadsData[[#This Row],[Signup Date]],"mmm-yyyy")</f>
        <v>Jun-2024</v>
      </c>
      <c r="M3008">
        <f>IF(LeadsData[[#This Row],[Stage Number]]&gt;=2,1,0)</f>
        <v>1</v>
      </c>
      <c r="N3008" s="2">
        <f>IF(LeadsData[[#This Row],[Stage Number]]&gt;=3,1,0)</f>
        <v>0</v>
      </c>
      <c r="O3008" s="2">
        <f>IF(LeadsData[[#This Row],[Stage Number]]&gt;=4,1,0)</f>
        <v>0</v>
      </c>
    </row>
    <row r="3009" spans="1:15" x14ac:dyDescent="0.25">
      <c r="A3009" t="s">
        <v>3049</v>
      </c>
      <c r="B3009" s="1">
        <v>45471</v>
      </c>
      <c r="C3009" t="s">
        <v>25</v>
      </c>
      <c r="D3009" t="s">
        <v>26</v>
      </c>
      <c r="E3009" t="s">
        <v>21</v>
      </c>
      <c r="F3009" t="s">
        <v>19</v>
      </c>
      <c r="G3009" t="s">
        <v>29</v>
      </c>
      <c r="K3009" cm="1">
        <f t="array" ref="K3009">_xlfn.SWITCH(LeadsData[[#This Row],[Funnel Stage Reached]],"Lead",1,"MQL",2,"SQL",3,"Customer",4)</f>
        <v>3</v>
      </c>
      <c r="L3009" t="str">
        <f>TEXT(LeadsData[[#This Row],[Signup Date]],"mmm-yyyy")</f>
        <v>Jun-2024</v>
      </c>
      <c r="M3009">
        <f>IF(LeadsData[[#This Row],[Stage Number]]&gt;=2,1,0)</f>
        <v>1</v>
      </c>
      <c r="N3009" s="2">
        <f>IF(LeadsData[[#This Row],[Stage Number]]&gt;=3,1,0)</f>
        <v>1</v>
      </c>
      <c r="O3009" s="2">
        <f>IF(LeadsData[[#This Row],[Stage Number]]&gt;=4,1,0)</f>
        <v>0</v>
      </c>
    </row>
    <row r="3010" spans="1:15" x14ac:dyDescent="0.25">
      <c r="A3010" t="s">
        <v>3050</v>
      </c>
      <c r="B3010" s="1">
        <v>45385</v>
      </c>
      <c r="C3010" t="s">
        <v>31</v>
      </c>
      <c r="D3010" t="s">
        <v>34</v>
      </c>
      <c r="E3010" t="s">
        <v>13</v>
      </c>
      <c r="F3010" t="s">
        <v>22</v>
      </c>
      <c r="G3010" t="s">
        <v>15</v>
      </c>
      <c r="K3010" cm="1">
        <f t="array" ref="K3010">_xlfn.SWITCH(LeadsData[[#This Row],[Funnel Stage Reached]],"Lead",1,"MQL",2,"SQL",3,"Customer",4)</f>
        <v>1</v>
      </c>
      <c r="L3010" t="str">
        <f>TEXT(LeadsData[[#This Row],[Signup Date]],"mmm-yyyy")</f>
        <v>Apr-2024</v>
      </c>
      <c r="M3010">
        <f>IF(LeadsData[[#This Row],[Stage Number]]&gt;=2,1,0)</f>
        <v>0</v>
      </c>
      <c r="N3010" s="2">
        <f>IF(LeadsData[[#This Row],[Stage Number]]&gt;=3,1,0)</f>
        <v>0</v>
      </c>
      <c r="O3010" s="2">
        <f>IF(LeadsData[[#This Row],[Stage Number]]&gt;=4,1,0)</f>
        <v>0</v>
      </c>
    </row>
    <row r="3011" spans="1:15" x14ac:dyDescent="0.25">
      <c r="A3011" t="s">
        <v>3051</v>
      </c>
      <c r="B3011" s="1">
        <v>45483</v>
      </c>
      <c r="C3011" t="s">
        <v>31</v>
      </c>
      <c r="D3011" t="s">
        <v>32</v>
      </c>
      <c r="E3011" t="s">
        <v>21</v>
      </c>
      <c r="F3011" t="s">
        <v>19</v>
      </c>
      <c r="G3011" t="s">
        <v>23</v>
      </c>
      <c r="K3011" cm="1">
        <f t="array" ref="K3011">_xlfn.SWITCH(LeadsData[[#This Row],[Funnel Stage Reached]],"Lead",1,"MQL",2,"SQL",3,"Customer",4)</f>
        <v>2</v>
      </c>
      <c r="L3011" t="str">
        <f>TEXT(LeadsData[[#This Row],[Signup Date]],"mmm-yyyy")</f>
        <v>Jul-2024</v>
      </c>
      <c r="M3011">
        <f>IF(LeadsData[[#This Row],[Stage Number]]&gt;=2,1,0)</f>
        <v>1</v>
      </c>
      <c r="N3011" s="2">
        <f>IF(LeadsData[[#This Row],[Stage Number]]&gt;=3,1,0)</f>
        <v>0</v>
      </c>
      <c r="O3011" s="2">
        <f>IF(LeadsData[[#This Row],[Stage Number]]&gt;=4,1,0)</f>
        <v>0</v>
      </c>
    </row>
    <row r="3012" spans="1:15" x14ac:dyDescent="0.25">
      <c r="A3012" t="s">
        <v>3052</v>
      </c>
      <c r="B3012" s="1">
        <v>45423</v>
      </c>
      <c r="C3012" t="s">
        <v>46</v>
      </c>
      <c r="D3012" t="s">
        <v>56</v>
      </c>
      <c r="E3012" t="s">
        <v>13</v>
      </c>
      <c r="F3012" t="s">
        <v>28</v>
      </c>
      <c r="G3012" t="s">
        <v>23</v>
      </c>
      <c r="K3012" cm="1">
        <f t="array" ref="K3012">_xlfn.SWITCH(LeadsData[[#This Row],[Funnel Stage Reached]],"Lead",1,"MQL",2,"SQL",3,"Customer",4)</f>
        <v>2</v>
      </c>
      <c r="L3012" t="str">
        <f>TEXT(LeadsData[[#This Row],[Signup Date]],"mmm-yyyy")</f>
        <v>May-2024</v>
      </c>
      <c r="M3012">
        <f>IF(LeadsData[[#This Row],[Stage Number]]&gt;=2,1,0)</f>
        <v>1</v>
      </c>
      <c r="N3012" s="2">
        <f>IF(LeadsData[[#This Row],[Stage Number]]&gt;=3,1,0)</f>
        <v>0</v>
      </c>
      <c r="O3012" s="2">
        <f>IF(LeadsData[[#This Row],[Stage Number]]&gt;=4,1,0)</f>
        <v>0</v>
      </c>
    </row>
    <row r="3013" spans="1:15" x14ac:dyDescent="0.25">
      <c r="A3013" t="s">
        <v>3053</v>
      </c>
      <c r="B3013" s="1">
        <v>45511</v>
      </c>
      <c r="C3013" t="s">
        <v>25</v>
      </c>
      <c r="D3013" t="s">
        <v>26</v>
      </c>
      <c r="E3013" t="s">
        <v>48</v>
      </c>
      <c r="F3013" t="s">
        <v>19</v>
      </c>
      <c r="G3013" t="s">
        <v>23</v>
      </c>
      <c r="K3013" cm="1">
        <f t="array" ref="K3013">_xlfn.SWITCH(LeadsData[[#This Row],[Funnel Stage Reached]],"Lead",1,"MQL",2,"SQL",3,"Customer",4)</f>
        <v>2</v>
      </c>
      <c r="L3013" t="str">
        <f>TEXT(LeadsData[[#This Row],[Signup Date]],"mmm-yyyy")</f>
        <v>Aug-2024</v>
      </c>
      <c r="M3013">
        <f>IF(LeadsData[[#This Row],[Stage Number]]&gt;=2,1,0)</f>
        <v>1</v>
      </c>
      <c r="N3013" s="2">
        <f>IF(LeadsData[[#This Row],[Stage Number]]&gt;=3,1,0)</f>
        <v>0</v>
      </c>
      <c r="O3013" s="2">
        <f>IF(LeadsData[[#This Row],[Stage Number]]&gt;=4,1,0)</f>
        <v>0</v>
      </c>
    </row>
    <row r="3014" spans="1:15" x14ac:dyDescent="0.25">
      <c r="A3014" t="s">
        <v>3054</v>
      </c>
      <c r="B3014" s="1">
        <v>45641</v>
      </c>
      <c r="C3014" t="s">
        <v>25</v>
      </c>
      <c r="D3014" t="s">
        <v>26</v>
      </c>
      <c r="E3014" t="s">
        <v>48</v>
      </c>
      <c r="F3014" t="s">
        <v>19</v>
      </c>
      <c r="G3014" t="s">
        <v>23</v>
      </c>
      <c r="K3014" cm="1">
        <f t="array" ref="K3014">_xlfn.SWITCH(LeadsData[[#This Row],[Funnel Stage Reached]],"Lead",1,"MQL",2,"SQL",3,"Customer",4)</f>
        <v>2</v>
      </c>
      <c r="L3014" t="str">
        <f>TEXT(LeadsData[[#This Row],[Signup Date]],"mmm-yyyy")</f>
        <v>Dec-2024</v>
      </c>
      <c r="M3014">
        <f>IF(LeadsData[[#This Row],[Stage Number]]&gt;=2,1,0)</f>
        <v>1</v>
      </c>
      <c r="N3014" s="2">
        <f>IF(LeadsData[[#This Row],[Stage Number]]&gt;=3,1,0)</f>
        <v>0</v>
      </c>
      <c r="O3014" s="2">
        <f>IF(LeadsData[[#This Row],[Stage Number]]&gt;=4,1,0)</f>
        <v>0</v>
      </c>
    </row>
    <row r="3015" spans="1:15" x14ac:dyDescent="0.25">
      <c r="A3015" t="s">
        <v>3055</v>
      </c>
      <c r="B3015" s="1">
        <v>45602</v>
      </c>
      <c r="C3015" t="s">
        <v>31</v>
      </c>
      <c r="D3015" t="s">
        <v>32</v>
      </c>
      <c r="E3015" t="s">
        <v>21</v>
      </c>
      <c r="F3015" t="s">
        <v>14</v>
      </c>
      <c r="G3015" t="s">
        <v>23</v>
      </c>
      <c r="K3015" cm="1">
        <f t="array" ref="K3015">_xlfn.SWITCH(LeadsData[[#This Row],[Funnel Stage Reached]],"Lead",1,"MQL",2,"SQL",3,"Customer",4)</f>
        <v>2</v>
      </c>
      <c r="L3015" t="str">
        <f>TEXT(LeadsData[[#This Row],[Signup Date]],"mmm-yyyy")</f>
        <v>Nov-2024</v>
      </c>
      <c r="M3015">
        <f>IF(LeadsData[[#This Row],[Stage Number]]&gt;=2,1,0)</f>
        <v>1</v>
      </c>
      <c r="N3015" s="2">
        <f>IF(LeadsData[[#This Row],[Stage Number]]&gt;=3,1,0)</f>
        <v>0</v>
      </c>
      <c r="O3015" s="2">
        <f>IF(LeadsData[[#This Row],[Stage Number]]&gt;=4,1,0)</f>
        <v>0</v>
      </c>
    </row>
    <row r="3016" spans="1:15" x14ac:dyDescent="0.25">
      <c r="A3016" t="s">
        <v>3056</v>
      </c>
      <c r="B3016" s="1">
        <v>45420</v>
      </c>
      <c r="C3016" t="s">
        <v>17</v>
      </c>
      <c r="D3016" t="s">
        <v>53</v>
      </c>
      <c r="E3016" t="s">
        <v>13</v>
      </c>
      <c r="F3016" t="s">
        <v>22</v>
      </c>
      <c r="G3016" t="s">
        <v>23</v>
      </c>
      <c r="K3016" cm="1">
        <f t="array" ref="K3016">_xlfn.SWITCH(LeadsData[[#This Row],[Funnel Stage Reached]],"Lead",1,"MQL",2,"SQL",3,"Customer",4)</f>
        <v>2</v>
      </c>
      <c r="L3016" t="str">
        <f>TEXT(LeadsData[[#This Row],[Signup Date]],"mmm-yyyy")</f>
        <v>May-2024</v>
      </c>
      <c r="M3016">
        <f>IF(LeadsData[[#This Row],[Stage Number]]&gt;=2,1,0)</f>
        <v>1</v>
      </c>
      <c r="N3016" s="2">
        <f>IF(LeadsData[[#This Row],[Stage Number]]&gt;=3,1,0)</f>
        <v>0</v>
      </c>
      <c r="O3016" s="2">
        <f>IF(LeadsData[[#This Row],[Stage Number]]&gt;=4,1,0)</f>
        <v>0</v>
      </c>
    </row>
    <row r="3017" spans="1:15" x14ac:dyDescent="0.25">
      <c r="A3017" t="s">
        <v>3057</v>
      </c>
      <c r="B3017" s="1">
        <v>45620</v>
      </c>
      <c r="C3017" t="s">
        <v>31</v>
      </c>
      <c r="D3017" t="s">
        <v>34</v>
      </c>
      <c r="E3017" t="s">
        <v>13</v>
      </c>
      <c r="F3017" t="s">
        <v>19</v>
      </c>
      <c r="G3017" t="s">
        <v>29</v>
      </c>
      <c r="K3017" cm="1">
        <f t="array" ref="K3017">_xlfn.SWITCH(LeadsData[[#This Row],[Funnel Stage Reached]],"Lead",1,"MQL",2,"SQL",3,"Customer",4)</f>
        <v>3</v>
      </c>
      <c r="L3017" t="str">
        <f>TEXT(LeadsData[[#This Row],[Signup Date]],"mmm-yyyy")</f>
        <v>Nov-2024</v>
      </c>
      <c r="M3017">
        <f>IF(LeadsData[[#This Row],[Stage Number]]&gt;=2,1,0)</f>
        <v>1</v>
      </c>
      <c r="N3017" s="2">
        <f>IF(LeadsData[[#This Row],[Stage Number]]&gt;=3,1,0)</f>
        <v>1</v>
      </c>
      <c r="O3017" s="2">
        <f>IF(LeadsData[[#This Row],[Stage Number]]&gt;=4,1,0)</f>
        <v>0</v>
      </c>
    </row>
    <row r="3018" spans="1:15" x14ac:dyDescent="0.25">
      <c r="A3018" t="s">
        <v>3058</v>
      </c>
      <c r="B3018" s="1">
        <v>45527</v>
      </c>
      <c r="C3018" t="s">
        <v>17</v>
      </c>
      <c r="D3018" t="s">
        <v>18</v>
      </c>
      <c r="E3018" t="s">
        <v>21</v>
      </c>
      <c r="F3018" t="s">
        <v>14</v>
      </c>
      <c r="G3018" t="s">
        <v>15</v>
      </c>
      <c r="K3018" cm="1">
        <f t="array" ref="K3018">_xlfn.SWITCH(LeadsData[[#This Row],[Funnel Stage Reached]],"Lead",1,"MQL",2,"SQL",3,"Customer",4)</f>
        <v>1</v>
      </c>
      <c r="L3018" t="str">
        <f>TEXT(LeadsData[[#This Row],[Signup Date]],"mmm-yyyy")</f>
        <v>Aug-2024</v>
      </c>
      <c r="M3018">
        <f>IF(LeadsData[[#This Row],[Stage Number]]&gt;=2,1,0)</f>
        <v>0</v>
      </c>
      <c r="N3018" s="2">
        <f>IF(LeadsData[[#This Row],[Stage Number]]&gt;=3,1,0)</f>
        <v>0</v>
      </c>
      <c r="O3018" s="2">
        <f>IF(LeadsData[[#This Row],[Stage Number]]&gt;=4,1,0)</f>
        <v>0</v>
      </c>
    </row>
    <row r="3019" spans="1:15" x14ac:dyDescent="0.25">
      <c r="A3019" t="s">
        <v>3059</v>
      </c>
      <c r="B3019" s="1">
        <v>45386</v>
      </c>
      <c r="C3019" t="s">
        <v>46</v>
      </c>
      <c r="D3019" t="s">
        <v>56</v>
      </c>
      <c r="E3019" t="s">
        <v>13</v>
      </c>
      <c r="F3019" t="s">
        <v>19</v>
      </c>
      <c r="G3019" t="s">
        <v>23</v>
      </c>
      <c r="K3019" cm="1">
        <f t="array" ref="K3019">_xlfn.SWITCH(LeadsData[[#This Row],[Funnel Stage Reached]],"Lead",1,"MQL",2,"SQL",3,"Customer",4)</f>
        <v>2</v>
      </c>
      <c r="L3019" t="str">
        <f>TEXT(LeadsData[[#This Row],[Signup Date]],"mmm-yyyy")</f>
        <v>Apr-2024</v>
      </c>
      <c r="M3019">
        <f>IF(LeadsData[[#This Row],[Stage Number]]&gt;=2,1,0)</f>
        <v>1</v>
      </c>
      <c r="N3019" s="2">
        <f>IF(LeadsData[[#This Row],[Stage Number]]&gt;=3,1,0)</f>
        <v>0</v>
      </c>
      <c r="O3019" s="2">
        <f>IF(LeadsData[[#This Row],[Stage Number]]&gt;=4,1,0)</f>
        <v>0</v>
      </c>
    </row>
    <row r="3020" spans="1:15" x14ac:dyDescent="0.25">
      <c r="A3020" t="s">
        <v>3060</v>
      </c>
      <c r="B3020" s="1">
        <v>45523</v>
      </c>
      <c r="C3020" t="s">
        <v>31</v>
      </c>
      <c r="D3020" t="s">
        <v>34</v>
      </c>
      <c r="E3020" t="s">
        <v>13</v>
      </c>
      <c r="F3020" t="s">
        <v>14</v>
      </c>
      <c r="G3020" t="s">
        <v>23</v>
      </c>
      <c r="K3020" cm="1">
        <f t="array" ref="K3020">_xlfn.SWITCH(LeadsData[[#This Row],[Funnel Stage Reached]],"Lead",1,"MQL",2,"SQL",3,"Customer",4)</f>
        <v>2</v>
      </c>
      <c r="L3020" t="str">
        <f>TEXT(LeadsData[[#This Row],[Signup Date]],"mmm-yyyy")</f>
        <v>Aug-2024</v>
      </c>
      <c r="M3020">
        <f>IF(LeadsData[[#This Row],[Stage Number]]&gt;=2,1,0)</f>
        <v>1</v>
      </c>
      <c r="N3020" s="2">
        <f>IF(LeadsData[[#This Row],[Stage Number]]&gt;=3,1,0)</f>
        <v>0</v>
      </c>
      <c r="O3020" s="2">
        <f>IF(LeadsData[[#This Row],[Stage Number]]&gt;=4,1,0)</f>
        <v>0</v>
      </c>
    </row>
    <row r="3021" spans="1:15" x14ac:dyDescent="0.25">
      <c r="A3021" t="s">
        <v>3061</v>
      </c>
      <c r="B3021" s="1">
        <v>45476</v>
      </c>
      <c r="C3021" t="s">
        <v>46</v>
      </c>
      <c r="D3021" t="s">
        <v>56</v>
      </c>
      <c r="E3021" t="s">
        <v>48</v>
      </c>
      <c r="F3021" t="s">
        <v>22</v>
      </c>
      <c r="G3021" t="s">
        <v>15</v>
      </c>
      <c r="K3021" cm="1">
        <f t="array" ref="K3021">_xlfn.SWITCH(LeadsData[[#This Row],[Funnel Stage Reached]],"Lead",1,"MQL",2,"SQL",3,"Customer",4)</f>
        <v>1</v>
      </c>
      <c r="L3021" t="str">
        <f>TEXT(LeadsData[[#This Row],[Signup Date]],"mmm-yyyy")</f>
        <v>Jul-2024</v>
      </c>
      <c r="M3021">
        <f>IF(LeadsData[[#This Row],[Stage Number]]&gt;=2,1,0)</f>
        <v>0</v>
      </c>
      <c r="N3021" s="2">
        <f>IF(LeadsData[[#This Row],[Stage Number]]&gt;=3,1,0)</f>
        <v>0</v>
      </c>
      <c r="O3021" s="2">
        <f>IF(LeadsData[[#This Row],[Stage Number]]&gt;=4,1,0)</f>
        <v>0</v>
      </c>
    </row>
    <row r="3022" spans="1:15" x14ac:dyDescent="0.25">
      <c r="A3022" t="s">
        <v>3062</v>
      </c>
      <c r="B3022" s="1">
        <v>45295</v>
      </c>
      <c r="C3022" t="s">
        <v>36</v>
      </c>
      <c r="D3022" t="s">
        <v>50</v>
      </c>
      <c r="E3022" t="s">
        <v>21</v>
      </c>
      <c r="F3022" t="s">
        <v>14</v>
      </c>
      <c r="G3022" t="s">
        <v>42</v>
      </c>
      <c r="H3022">
        <v>73</v>
      </c>
      <c r="I3022" t="s">
        <v>43</v>
      </c>
      <c r="J3022">
        <v>1180.3</v>
      </c>
      <c r="K3022" cm="1">
        <f t="array" ref="K3022">_xlfn.SWITCH(LeadsData[[#This Row],[Funnel Stage Reached]],"Lead",1,"MQL",2,"SQL",3,"Customer",4)</f>
        <v>4</v>
      </c>
      <c r="L3022" t="str">
        <f>TEXT(LeadsData[[#This Row],[Signup Date]],"mmm-yyyy")</f>
        <v>Jan-2024</v>
      </c>
      <c r="M3022">
        <f>IF(LeadsData[[#This Row],[Stage Number]]&gt;=2,1,0)</f>
        <v>1</v>
      </c>
      <c r="N3022" s="2">
        <f>IF(LeadsData[[#This Row],[Stage Number]]&gt;=3,1,0)</f>
        <v>1</v>
      </c>
      <c r="O3022" s="2">
        <f>IF(LeadsData[[#This Row],[Stage Number]]&gt;=4,1,0)</f>
        <v>1</v>
      </c>
    </row>
    <row r="3023" spans="1:15" x14ac:dyDescent="0.25">
      <c r="A3023" t="s">
        <v>3063</v>
      </c>
      <c r="B3023" s="1">
        <v>45582</v>
      </c>
      <c r="C3023" t="s">
        <v>46</v>
      </c>
      <c r="D3023" t="s">
        <v>56</v>
      </c>
      <c r="E3023" t="s">
        <v>13</v>
      </c>
      <c r="F3023" t="s">
        <v>19</v>
      </c>
      <c r="G3023" t="s">
        <v>15</v>
      </c>
      <c r="K3023" cm="1">
        <f t="array" ref="K3023">_xlfn.SWITCH(LeadsData[[#This Row],[Funnel Stage Reached]],"Lead",1,"MQL",2,"SQL",3,"Customer",4)</f>
        <v>1</v>
      </c>
      <c r="L3023" t="str">
        <f>TEXT(LeadsData[[#This Row],[Signup Date]],"mmm-yyyy")</f>
        <v>Oct-2024</v>
      </c>
      <c r="M3023">
        <f>IF(LeadsData[[#This Row],[Stage Number]]&gt;=2,1,0)</f>
        <v>0</v>
      </c>
      <c r="N3023" s="2">
        <f>IF(LeadsData[[#This Row],[Stage Number]]&gt;=3,1,0)</f>
        <v>0</v>
      </c>
      <c r="O3023" s="2">
        <f>IF(LeadsData[[#This Row],[Stage Number]]&gt;=4,1,0)</f>
        <v>0</v>
      </c>
    </row>
    <row r="3024" spans="1:15" x14ac:dyDescent="0.25">
      <c r="A3024" t="s">
        <v>3064</v>
      </c>
      <c r="B3024" s="1">
        <v>45500</v>
      </c>
      <c r="C3024" t="s">
        <v>25</v>
      </c>
      <c r="D3024" t="s">
        <v>26</v>
      </c>
      <c r="E3024" t="s">
        <v>21</v>
      </c>
      <c r="F3024" t="s">
        <v>14</v>
      </c>
      <c r="G3024" t="s">
        <v>42</v>
      </c>
      <c r="H3024">
        <v>71</v>
      </c>
      <c r="I3024" t="s">
        <v>87</v>
      </c>
      <c r="J3024">
        <v>4654.01</v>
      </c>
      <c r="K3024" cm="1">
        <f t="array" ref="K3024">_xlfn.SWITCH(LeadsData[[#This Row],[Funnel Stage Reached]],"Lead",1,"MQL",2,"SQL",3,"Customer",4)</f>
        <v>4</v>
      </c>
      <c r="L3024" t="str">
        <f>TEXT(LeadsData[[#This Row],[Signup Date]],"mmm-yyyy")</f>
        <v>Jul-2024</v>
      </c>
      <c r="M3024">
        <f>IF(LeadsData[[#This Row],[Stage Number]]&gt;=2,1,0)</f>
        <v>1</v>
      </c>
      <c r="N3024" s="2">
        <f>IF(LeadsData[[#This Row],[Stage Number]]&gt;=3,1,0)</f>
        <v>1</v>
      </c>
      <c r="O3024" s="2">
        <f>IF(LeadsData[[#This Row],[Stage Number]]&gt;=4,1,0)</f>
        <v>1</v>
      </c>
    </row>
    <row r="3025" spans="1:15" x14ac:dyDescent="0.25">
      <c r="A3025" t="s">
        <v>3065</v>
      </c>
      <c r="B3025" s="1">
        <v>45576</v>
      </c>
      <c r="C3025" t="s">
        <v>46</v>
      </c>
      <c r="D3025" t="s">
        <v>56</v>
      </c>
      <c r="E3025" t="s">
        <v>13</v>
      </c>
      <c r="F3025" t="s">
        <v>19</v>
      </c>
      <c r="G3025" t="s">
        <v>23</v>
      </c>
      <c r="K3025" cm="1">
        <f t="array" ref="K3025">_xlfn.SWITCH(LeadsData[[#This Row],[Funnel Stage Reached]],"Lead",1,"MQL",2,"SQL",3,"Customer",4)</f>
        <v>2</v>
      </c>
      <c r="L3025" t="str">
        <f>TEXT(LeadsData[[#This Row],[Signup Date]],"mmm-yyyy")</f>
        <v>Oct-2024</v>
      </c>
      <c r="M3025">
        <f>IF(LeadsData[[#This Row],[Stage Number]]&gt;=2,1,0)</f>
        <v>1</v>
      </c>
      <c r="N3025" s="2">
        <f>IF(LeadsData[[#This Row],[Stage Number]]&gt;=3,1,0)</f>
        <v>0</v>
      </c>
      <c r="O3025" s="2">
        <f>IF(LeadsData[[#This Row],[Stage Number]]&gt;=4,1,0)</f>
        <v>0</v>
      </c>
    </row>
    <row r="3026" spans="1:15" x14ac:dyDescent="0.25">
      <c r="A3026" t="s">
        <v>3066</v>
      </c>
      <c r="B3026" s="1">
        <v>45439</v>
      </c>
      <c r="C3026" t="s">
        <v>25</v>
      </c>
      <c r="D3026" t="s">
        <v>26</v>
      </c>
      <c r="E3026" t="s">
        <v>21</v>
      </c>
      <c r="F3026" t="s">
        <v>19</v>
      </c>
      <c r="G3026" t="s">
        <v>23</v>
      </c>
      <c r="K3026" cm="1">
        <f t="array" ref="K3026">_xlfn.SWITCH(LeadsData[[#This Row],[Funnel Stage Reached]],"Lead",1,"MQL",2,"SQL",3,"Customer",4)</f>
        <v>2</v>
      </c>
      <c r="L3026" t="str">
        <f>TEXT(LeadsData[[#This Row],[Signup Date]],"mmm-yyyy")</f>
        <v>May-2024</v>
      </c>
      <c r="M3026">
        <f>IF(LeadsData[[#This Row],[Stage Number]]&gt;=2,1,0)</f>
        <v>1</v>
      </c>
      <c r="N3026" s="2">
        <f>IF(LeadsData[[#This Row],[Stage Number]]&gt;=3,1,0)</f>
        <v>0</v>
      </c>
      <c r="O3026" s="2">
        <f>IF(LeadsData[[#This Row],[Stage Number]]&gt;=4,1,0)</f>
        <v>0</v>
      </c>
    </row>
    <row r="3027" spans="1:15" x14ac:dyDescent="0.25">
      <c r="A3027" t="s">
        <v>3067</v>
      </c>
      <c r="B3027" s="1">
        <v>45611</v>
      </c>
      <c r="C3027" t="s">
        <v>36</v>
      </c>
      <c r="D3027" t="s">
        <v>50</v>
      </c>
      <c r="E3027" t="s">
        <v>21</v>
      </c>
      <c r="F3027" t="s">
        <v>19</v>
      </c>
      <c r="G3027" t="s">
        <v>23</v>
      </c>
      <c r="K3027" cm="1">
        <f t="array" ref="K3027">_xlfn.SWITCH(LeadsData[[#This Row],[Funnel Stage Reached]],"Lead",1,"MQL",2,"SQL",3,"Customer",4)</f>
        <v>2</v>
      </c>
      <c r="L3027" t="str">
        <f>TEXT(LeadsData[[#This Row],[Signup Date]],"mmm-yyyy")</f>
        <v>Nov-2024</v>
      </c>
      <c r="M3027">
        <f>IF(LeadsData[[#This Row],[Stage Number]]&gt;=2,1,0)</f>
        <v>1</v>
      </c>
      <c r="N3027" s="2">
        <f>IF(LeadsData[[#This Row],[Stage Number]]&gt;=3,1,0)</f>
        <v>0</v>
      </c>
      <c r="O3027" s="2">
        <f>IF(LeadsData[[#This Row],[Stage Number]]&gt;=4,1,0)</f>
        <v>0</v>
      </c>
    </row>
    <row r="3028" spans="1:15" x14ac:dyDescent="0.25">
      <c r="A3028" t="s">
        <v>3068</v>
      </c>
      <c r="B3028" s="1">
        <v>45592</v>
      </c>
      <c r="C3028" t="s">
        <v>17</v>
      </c>
      <c r="D3028" t="s">
        <v>18</v>
      </c>
      <c r="E3028" t="s">
        <v>21</v>
      </c>
      <c r="F3028" t="s">
        <v>22</v>
      </c>
      <c r="G3028" t="s">
        <v>15</v>
      </c>
      <c r="K3028" cm="1">
        <f t="array" ref="K3028">_xlfn.SWITCH(LeadsData[[#This Row],[Funnel Stage Reached]],"Lead",1,"MQL",2,"SQL",3,"Customer",4)</f>
        <v>1</v>
      </c>
      <c r="L3028" t="str">
        <f>TEXT(LeadsData[[#This Row],[Signup Date]],"mmm-yyyy")</f>
        <v>Oct-2024</v>
      </c>
      <c r="M3028">
        <f>IF(LeadsData[[#This Row],[Stage Number]]&gt;=2,1,0)</f>
        <v>0</v>
      </c>
      <c r="N3028" s="2">
        <f>IF(LeadsData[[#This Row],[Stage Number]]&gt;=3,1,0)</f>
        <v>0</v>
      </c>
      <c r="O3028" s="2">
        <f>IF(LeadsData[[#This Row],[Stage Number]]&gt;=4,1,0)</f>
        <v>0</v>
      </c>
    </row>
    <row r="3029" spans="1:15" x14ac:dyDescent="0.25">
      <c r="A3029" t="s">
        <v>3069</v>
      </c>
      <c r="B3029" s="1">
        <v>45435</v>
      </c>
      <c r="C3029" t="s">
        <v>31</v>
      </c>
      <c r="D3029" t="s">
        <v>32</v>
      </c>
      <c r="E3029" t="s">
        <v>13</v>
      </c>
      <c r="F3029" t="s">
        <v>14</v>
      </c>
      <c r="G3029" t="s">
        <v>42</v>
      </c>
      <c r="H3029">
        <v>52</v>
      </c>
      <c r="I3029" t="s">
        <v>87</v>
      </c>
      <c r="J3029">
        <v>3188.94</v>
      </c>
      <c r="K3029" cm="1">
        <f t="array" ref="K3029">_xlfn.SWITCH(LeadsData[[#This Row],[Funnel Stage Reached]],"Lead",1,"MQL",2,"SQL",3,"Customer",4)</f>
        <v>4</v>
      </c>
      <c r="L3029" t="str">
        <f>TEXT(LeadsData[[#This Row],[Signup Date]],"mmm-yyyy")</f>
        <v>May-2024</v>
      </c>
      <c r="M3029">
        <f>IF(LeadsData[[#This Row],[Stage Number]]&gt;=2,1,0)</f>
        <v>1</v>
      </c>
      <c r="N3029" s="2">
        <f>IF(LeadsData[[#This Row],[Stage Number]]&gt;=3,1,0)</f>
        <v>1</v>
      </c>
      <c r="O3029" s="2">
        <f>IF(LeadsData[[#This Row],[Stage Number]]&gt;=4,1,0)</f>
        <v>1</v>
      </c>
    </row>
    <row r="3030" spans="1:15" x14ac:dyDescent="0.25">
      <c r="A3030" t="s">
        <v>3070</v>
      </c>
      <c r="B3030" s="1">
        <v>45375</v>
      </c>
      <c r="C3030" t="s">
        <v>17</v>
      </c>
      <c r="D3030" t="s">
        <v>18</v>
      </c>
      <c r="E3030" t="s">
        <v>13</v>
      </c>
      <c r="F3030" t="s">
        <v>14</v>
      </c>
      <c r="G3030" t="s">
        <v>29</v>
      </c>
      <c r="K3030" cm="1">
        <f t="array" ref="K3030">_xlfn.SWITCH(LeadsData[[#This Row],[Funnel Stage Reached]],"Lead",1,"MQL",2,"SQL",3,"Customer",4)</f>
        <v>3</v>
      </c>
      <c r="L3030" t="str">
        <f>TEXT(LeadsData[[#This Row],[Signup Date]],"mmm-yyyy")</f>
        <v>Mar-2024</v>
      </c>
      <c r="M3030">
        <f>IF(LeadsData[[#This Row],[Stage Number]]&gt;=2,1,0)</f>
        <v>1</v>
      </c>
      <c r="N3030" s="2">
        <f>IF(LeadsData[[#This Row],[Stage Number]]&gt;=3,1,0)</f>
        <v>1</v>
      </c>
      <c r="O3030" s="2">
        <f>IF(LeadsData[[#This Row],[Stage Number]]&gt;=4,1,0)</f>
        <v>0</v>
      </c>
    </row>
    <row r="3031" spans="1:15" x14ac:dyDescent="0.25">
      <c r="A3031" t="s">
        <v>3071</v>
      </c>
      <c r="B3031" s="1">
        <v>45423</v>
      </c>
      <c r="C3031" t="s">
        <v>31</v>
      </c>
      <c r="D3031" t="s">
        <v>34</v>
      </c>
      <c r="E3031" t="s">
        <v>13</v>
      </c>
      <c r="F3031" t="s">
        <v>22</v>
      </c>
      <c r="G3031" t="s">
        <v>29</v>
      </c>
      <c r="K3031" cm="1">
        <f t="array" ref="K3031">_xlfn.SWITCH(LeadsData[[#This Row],[Funnel Stage Reached]],"Lead",1,"MQL",2,"SQL",3,"Customer",4)</f>
        <v>3</v>
      </c>
      <c r="L3031" t="str">
        <f>TEXT(LeadsData[[#This Row],[Signup Date]],"mmm-yyyy")</f>
        <v>May-2024</v>
      </c>
      <c r="M3031">
        <f>IF(LeadsData[[#This Row],[Stage Number]]&gt;=2,1,0)</f>
        <v>1</v>
      </c>
      <c r="N3031" s="2">
        <f>IF(LeadsData[[#This Row],[Stage Number]]&gt;=3,1,0)</f>
        <v>1</v>
      </c>
      <c r="O3031" s="2">
        <f>IF(LeadsData[[#This Row],[Stage Number]]&gt;=4,1,0)</f>
        <v>0</v>
      </c>
    </row>
    <row r="3032" spans="1:15" x14ac:dyDescent="0.25">
      <c r="A3032" t="s">
        <v>3072</v>
      </c>
      <c r="B3032" s="1">
        <v>45654</v>
      </c>
      <c r="C3032" t="s">
        <v>46</v>
      </c>
      <c r="D3032" t="s">
        <v>56</v>
      </c>
      <c r="E3032" t="s">
        <v>21</v>
      </c>
      <c r="F3032" t="s">
        <v>19</v>
      </c>
      <c r="G3032" t="s">
        <v>29</v>
      </c>
      <c r="K3032" cm="1">
        <f t="array" ref="K3032">_xlfn.SWITCH(LeadsData[[#This Row],[Funnel Stage Reached]],"Lead",1,"MQL",2,"SQL",3,"Customer",4)</f>
        <v>3</v>
      </c>
      <c r="L3032" t="str">
        <f>TEXT(LeadsData[[#This Row],[Signup Date]],"mmm-yyyy")</f>
        <v>Dec-2024</v>
      </c>
      <c r="M3032">
        <f>IF(LeadsData[[#This Row],[Stage Number]]&gt;=2,1,0)</f>
        <v>1</v>
      </c>
      <c r="N3032" s="2">
        <f>IF(LeadsData[[#This Row],[Stage Number]]&gt;=3,1,0)</f>
        <v>1</v>
      </c>
      <c r="O3032" s="2">
        <f>IF(LeadsData[[#This Row],[Stage Number]]&gt;=4,1,0)</f>
        <v>0</v>
      </c>
    </row>
    <row r="3033" spans="1:15" x14ac:dyDescent="0.25">
      <c r="A3033" t="s">
        <v>3073</v>
      </c>
      <c r="B3033" s="1">
        <v>45544</v>
      </c>
      <c r="C3033" t="s">
        <v>31</v>
      </c>
      <c r="D3033" t="s">
        <v>34</v>
      </c>
      <c r="E3033" t="s">
        <v>13</v>
      </c>
      <c r="F3033" t="s">
        <v>19</v>
      </c>
      <c r="G3033" t="s">
        <v>29</v>
      </c>
      <c r="K3033" cm="1">
        <f t="array" ref="K3033">_xlfn.SWITCH(LeadsData[[#This Row],[Funnel Stage Reached]],"Lead",1,"MQL",2,"SQL",3,"Customer",4)</f>
        <v>3</v>
      </c>
      <c r="L3033" t="str">
        <f>TEXT(LeadsData[[#This Row],[Signup Date]],"mmm-yyyy")</f>
        <v>Sep-2024</v>
      </c>
      <c r="M3033">
        <f>IF(LeadsData[[#This Row],[Stage Number]]&gt;=2,1,0)</f>
        <v>1</v>
      </c>
      <c r="N3033" s="2">
        <f>IF(LeadsData[[#This Row],[Stage Number]]&gt;=3,1,0)</f>
        <v>1</v>
      </c>
      <c r="O3033" s="2">
        <f>IF(LeadsData[[#This Row],[Stage Number]]&gt;=4,1,0)</f>
        <v>0</v>
      </c>
    </row>
    <row r="3034" spans="1:15" x14ac:dyDescent="0.25">
      <c r="A3034" t="s">
        <v>3074</v>
      </c>
      <c r="B3034" s="1">
        <v>45391</v>
      </c>
      <c r="C3034" t="s">
        <v>31</v>
      </c>
      <c r="D3034" t="s">
        <v>34</v>
      </c>
      <c r="E3034" t="s">
        <v>21</v>
      </c>
      <c r="F3034" t="s">
        <v>22</v>
      </c>
      <c r="G3034" t="s">
        <v>23</v>
      </c>
      <c r="K3034" cm="1">
        <f t="array" ref="K3034">_xlfn.SWITCH(LeadsData[[#This Row],[Funnel Stage Reached]],"Lead",1,"MQL",2,"SQL",3,"Customer",4)</f>
        <v>2</v>
      </c>
      <c r="L3034" t="str">
        <f>TEXT(LeadsData[[#This Row],[Signup Date]],"mmm-yyyy")</f>
        <v>Apr-2024</v>
      </c>
      <c r="M3034">
        <f>IF(LeadsData[[#This Row],[Stage Number]]&gt;=2,1,0)</f>
        <v>1</v>
      </c>
      <c r="N3034" s="2">
        <f>IF(LeadsData[[#This Row],[Stage Number]]&gt;=3,1,0)</f>
        <v>0</v>
      </c>
      <c r="O3034" s="2">
        <f>IF(LeadsData[[#This Row],[Stage Number]]&gt;=4,1,0)</f>
        <v>0</v>
      </c>
    </row>
    <row r="3035" spans="1:15" x14ac:dyDescent="0.25">
      <c r="A3035" t="s">
        <v>3075</v>
      </c>
      <c r="B3035" s="1">
        <v>45484</v>
      </c>
      <c r="C3035" t="s">
        <v>17</v>
      </c>
      <c r="D3035" t="s">
        <v>18</v>
      </c>
      <c r="E3035" t="s">
        <v>13</v>
      </c>
      <c r="F3035" t="s">
        <v>19</v>
      </c>
      <c r="G3035" t="s">
        <v>23</v>
      </c>
      <c r="K3035" cm="1">
        <f t="array" ref="K3035">_xlfn.SWITCH(LeadsData[[#This Row],[Funnel Stage Reached]],"Lead",1,"MQL",2,"SQL",3,"Customer",4)</f>
        <v>2</v>
      </c>
      <c r="L3035" t="str">
        <f>TEXT(LeadsData[[#This Row],[Signup Date]],"mmm-yyyy")</f>
        <v>Jul-2024</v>
      </c>
      <c r="M3035">
        <f>IF(LeadsData[[#This Row],[Stage Number]]&gt;=2,1,0)</f>
        <v>1</v>
      </c>
      <c r="N3035" s="2">
        <f>IF(LeadsData[[#This Row],[Stage Number]]&gt;=3,1,0)</f>
        <v>0</v>
      </c>
      <c r="O3035" s="2">
        <f>IF(LeadsData[[#This Row],[Stage Number]]&gt;=4,1,0)</f>
        <v>0</v>
      </c>
    </row>
    <row r="3036" spans="1:15" x14ac:dyDescent="0.25">
      <c r="A3036" t="s">
        <v>3076</v>
      </c>
      <c r="B3036" s="1">
        <v>45401</v>
      </c>
      <c r="C3036" t="s">
        <v>31</v>
      </c>
      <c r="D3036" t="s">
        <v>32</v>
      </c>
      <c r="E3036" t="s">
        <v>13</v>
      </c>
      <c r="F3036" t="s">
        <v>19</v>
      </c>
      <c r="G3036" t="s">
        <v>23</v>
      </c>
      <c r="K3036" cm="1">
        <f t="array" ref="K3036">_xlfn.SWITCH(LeadsData[[#This Row],[Funnel Stage Reached]],"Lead",1,"MQL",2,"SQL",3,"Customer",4)</f>
        <v>2</v>
      </c>
      <c r="L3036" t="str">
        <f>TEXT(LeadsData[[#This Row],[Signup Date]],"mmm-yyyy")</f>
        <v>Apr-2024</v>
      </c>
      <c r="M3036">
        <f>IF(LeadsData[[#This Row],[Stage Number]]&gt;=2,1,0)</f>
        <v>1</v>
      </c>
      <c r="N3036" s="2">
        <f>IF(LeadsData[[#This Row],[Stage Number]]&gt;=3,1,0)</f>
        <v>0</v>
      </c>
      <c r="O3036" s="2">
        <f>IF(LeadsData[[#This Row],[Stage Number]]&gt;=4,1,0)</f>
        <v>0</v>
      </c>
    </row>
    <row r="3037" spans="1:15" x14ac:dyDescent="0.25">
      <c r="A3037" t="s">
        <v>3077</v>
      </c>
      <c r="B3037" s="1">
        <v>45378</v>
      </c>
      <c r="C3037" t="s">
        <v>11</v>
      </c>
      <c r="D3037" t="s">
        <v>68</v>
      </c>
      <c r="E3037" t="s">
        <v>13</v>
      </c>
      <c r="F3037" t="s">
        <v>28</v>
      </c>
      <c r="G3037" t="s">
        <v>15</v>
      </c>
      <c r="K3037" cm="1">
        <f t="array" ref="K3037">_xlfn.SWITCH(LeadsData[[#This Row],[Funnel Stage Reached]],"Lead",1,"MQL",2,"SQL",3,"Customer",4)</f>
        <v>1</v>
      </c>
      <c r="L3037" t="str">
        <f>TEXT(LeadsData[[#This Row],[Signup Date]],"mmm-yyyy")</f>
        <v>Mar-2024</v>
      </c>
      <c r="M3037">
        <f>IF(LeadsData[[#This Row],[Stage Number]]&gt;=2,1,0)</f>
        <v>0</v>
      </c>
      <c r="N3037" s="2">
        <f>IF(LeadsData[[#This Row],[Stage Number]]&gt;=3,1,0)</f>
        <v>0</v>
      </c>
      <c r="O3037" s="2">
        <f>IF(LeadsData[[#This Row],[Stage Number]]&gt;=4,1,0)</f>
        <v>0</v>
      </c>
    </row>
    <row r="3038" spans="1:15" x14ac:dyDescent="0.25">
      <c r="A3038" t="s">
        <v>3078</v>
      </c>
      <c r="B3038" s="1">
        <v>45410</v>
      </c>
      <c r="C3038" t="s">
        <v>36</v>
      </c>
      <c r="D3038" t="s">
        <v>37</v>
      </c>
      <c r="E3038" t="s">
        <v>13</v>
      </c>
      <c r="F3038" t="s">
        <v>19</v>
      </c>
      <c r="G3038" t="s">
        <v>29</v>
      </c>
      <c r="K3038" cm="1">
        <f t="array" ref="K3038">_xlfn.SWITCH(LeadsData[[#This Row],[Funnel Stage Reached]],"Lead",1,"MQL",2,"SQL",3,"Customer",4)</f>
        <v>3</v>
      </c>
      <c r="L3038" t="str">
        <f>TEXT(LeadsData[[#This Row],[Signup Date]],"mmm-yyyy")</f>
        <v>Apr-2024</v>
      </c>
      <c r="M3038">
        <f>IF(LeadsData[[#This Row],[Stage Number]]&gt;=2,1,0)</f>
        <v>1</v>
      </c>
      <c r="N3038" s="2">
        <f>IF(LeadsData[[#This Row],[Stage Number]]&gt;=3,1,0)</f>
        <v>1</v>
      </c>
      <c r="O3038" s="2">
        <f>IF(LeadsData[[#This Row],[Stage Number]]&gt;=4,1,0)</f>
        <v>0</v>
      </c>
    </row>
    <row r="3039" spans="1:15" x14ac:dyDescent="0.25">
      <c r="A3039" t="s">
        <v>3079</v>
      </c>
      <c r="B3039" s="1">
        <v>45461</v>
      </c>
      <c r="C3039" t="s">
        <v>17</v>
      </c>
      <c r="D3039" t="s">
        <v>53</v>
      </c>
      <c r="E3039" t="s">
        <v>13</v>
      </c>
      <c r="F3039" t="s">
        <v>22</v>
      </c>
      <c r="G3039" t="s">
        <v>15</v>
      </c>
      <c r="K3039" cm="1">
        <f t="array" ref="K3039">_xlfn.SWITCH(LeadsData[[#This Row],[Funnel Stage Reached]],"Lead",1,"MQL",2,"SQL",3,"Customer",4)</f>
        <v>1</v>
      </c>
      <c r="L3039" t="str">
        <f>TEXT(LeadsData[[#This Row],[Signup Date]],"mmm-yyyy")</f>
        <v>Jun-2024</v>
      </c>
      <c r="M3039">
        <f>IF(LeadsData[[#This Row],[Stage Number]]&gt;=2,1,0)</f>
        <v>0</v>
      </c>
      <c r="N3039" s="2">
        <f>IF(LeadsData[[#This Row],[Stage Number]]&gt;=3,1,0)</f>
        <v>0</v>
      </c>
      <c r="O3039" s="2">
        <f>IF(LeadsData[[#This Row],[Stage Number]]&gt;=4,1,0)</f>
        <v>0</v>
      </c>
    </row>
    <row r="3040" spans="1:15" x14ac:dyDescent="0.25">
      <c r="A3040" t="s">
        <v>3080</v>
      </c>
      <c r="B3040" s="1">
        <v>45417</v>
      </c>
      <c r="C3040" t="s">
        <v>46</v>
      </c>
      <c r="D3040" t="s">
        <v>56</v>
      </c>
      <c r="E3040" t="s">
        <v>21</v>
      </c>
      <c r="F3040" t="s">
        <v>14</v>
      </c>
      <c r="G3040" t="s">
        <v>15</v>
      </c>
      <c r="K3040" cm="1">
        <f t="array" ref="K3040">_xlfn.SWITCH(LeadsData[[#This Row],[Funnel Stage Reached]],"Lead",1,"MQL",2,"SQL",3,"Customer",4)</f>
        <v>1</v>
      </c>
      <c r="L3040" t="str">
        <f>TEXT(LeadsData[[#This Row],[Signup Date]],"mmm-yyyy")</f>
        <v>May-2024</v>
      </c>
      <c r="M3040">
        <f>IF(LeadsData[[#This Row],[Stage Number]]&gt;=2,1,0)</f>
        <v>0</v>
      </c>
      <c r="N3040" s="2">
        <f>IF(LeadsData[[#This Row],[Stage Number]]&gt;=3,1,0)</f>
        <v>0</v>
      </c>
      <c r="O3040" s="2">
        <f>IF(LeadsData[[#This Row],[Stage Number]]&gt;=4,1,0)</f>
        <v>0</v>
      </c>
    </row>
    <row r="3041" spans="1:15" x14ac:dyDescent="0.25">
      <c r="A3041" t="s">
        <v>3081</v>
      </c>
      <c r="B3041" s="1">
        <v>45388</v>
      </c>
      <c r="C3041" t="s">
        <v>25</v>
      </c>
      <c r="D3041" t="s">
        <v>26</v>
      </c>
      <c r="E3041" t="s">
        <v>13</v>
      </c>
      <c r="F3041" t="s">
        <v>22</v>
      </c>
      <c r="G3041" t="s">
        <v>15</v>
      </c>
      <c r="K3041" cm="1">
        <f t="array" ref="K3041">_xlfn.SWITCH(LeadsData[[#This Row],[Funnel Stage Reached]],"Lead",1,"MQL",2,"SQL",3,"Customer",4)</f>
        <v>1</v>
      </c>
      <c r="L3041" t="str">
        <f>TEXT(LeadsData[[#This Row],[Signup Date]],"mmm-yyyy")</f>
        <v>Apr-2024</v>
      </c>
      <c r="M3041">
        <f>IF(LeadsData[[#This Row],[Stage Number]]&gt;=2,1,0)</f>
        <v>0</v>
      </c>
      <c r="N3041" s="2">
        <f>IF(LeadsData[[#This Row],[Stage Number]]&gt;=3,1,0)</f>
        <v>0</v>
      </c>
      <c r="O3041" s="2">
        <f>IF(LeadsData[[#This Row],[Stage Number]]&gt;=4,1,0)</f>
        <v>0</v>
      </c>
    </row>
    <row r="3042" spans="1:15" x14ac:dyDescent="0.25">
      <c r="A3042" t="s">
        <v>3082</v>
      </c>
      <c r="B3042" s="1">
        <v>45597</v>
      </c>
      <c r="C3042" t="s">
        <v>17</v>
      </c>
      <c r="D3042" t="s">
        <v>53</v>
      </c>
      <c r="E3042" t="s">
        <v>21</v>
      </c>
      <c r="F3042" t="s">
        <v>14</v>
      </c>
      <c r="G3042" t="s">
        <v>23</v>
      </c>
      <c r="K3042" cm="1">
        <f t="array" ref="K3042">_xlfn.SWITCH(LeadsData[[#This Row],[Funnel Stage Reached]],"Lead",1,"MQL",2,"SQL",3,"Customer",4)</f>
        <v>2</v>
      </c>
      <c r="L3042" t="str">
        <f>TEXT(LeadsData[[#This Row],[Signup Date]],"mmm-yyyy")</f>
        <v>Nov-2024</v>
      </c>
      <c r="M3042">
        <f>IF(LeadsData[[#This Row],[Stage Number]]&gt;=2,1,0)</f>
        <v>1</v>
      </c>
      <c r="N3042" s="2">
        <f>IF(LeadsData[[#This Row],[Stage Number]]&gt;=3,1,0)</f>
        <v>0</v>
      </c>
      <c r="O3042" s="2">
        <f>IF(LeadsData[[#This Row],[Stage Number]]&gt;=4,1,0)</f>
        <v>0</v>
      </c>
    </row>
    <row r="3043" spans="1:15" x14ac:dyDescent="0.25">
      <c r="A3043" t="s">
        <v>3083</v>
      </c>
      <c r="B3043" s="1">
        <v>45395</v>
      </c>
      <c r="C3043" t="s">
        <v>46</v>
      </c>
      <c r="D3043" t="s">
        <v>56</v>
      </c>
      <c r="E3043" t="s">
        <v>13</v>
      </c>
      <c r="F3043" t="s">
        <v>19</v>
      </c>
      <c r="G3043" t="s">
        <v>23</v>
      </c>
      <c r="K3043" cm="1">
        <f t="array" ref="K3043">_xlfn.SWITCH(LeadsData[[#This Row],[Funnel Stage Reached]],"Lead",1,"MQL",2,"SQL",3,"Customer",4)</f>
        <v>2</v>
      </c>
      <c r="L3043" t="str">
        <f>TEXT(LeadsData[[#This Row],[Signup Date]],"mmm-yyyy")</f>
        <v>Apr-2024</v>
      </c>
      <c r="M3043">
        <f>IF(LeadsData[[#This Row],[Stage Number]]&gt;=2,1,0)</f>
        <v>1</v>
      </c>
      <c r="N3043" s="2">
        <f>IF(LeadsData[[#This Row],[Stage Number]]&gt;=3,1,0)</f>
        <v>0</v>
      </c>
      <c r="O3043" s="2">
        <f>IF(LeadsData[[#This Row],[Stage Number]]&gt;=4,1,0)</f>
        <v>0</v>
      </c>
    </row>
    <row r="3044" spans="1:15" x14ac:dyDescent="0.25">
      <c r="A3044" t="s">
        <v>3084</v>
      </c>
      <c r="B3044" s="1">
        <v>45305</v>
      </c>
      <c r="C3044" t="s">
        <v>31</v>
      </c>
      <c r="D3044" t="s">
        <v>34</v>
      </c>
      <c r="E3044" t="s">
        <v>21</v>
      </c>
      <c r="F3044" t="s">
        <v>22</v>
      </c>
      <c r="G3044" t="s">
        <v>42</v>
      </c>
      <c r="H3044">
        <v>48</v>
      </c>
      <c r="I3044" t="s">
        <v>183</v>
      </c>
      <c r="J3044">
        <v>12175.56</v>
      </c>
      <c r="K3044" cm="1">
        <f t="array" ref="K3044">_xlfn.SWITCH(LeadsData[[#This Row],[Funnel Stage Reached]],"Lead",1,"MQL",2,"SQL",3,"Customer",4)</f>
        <v>4</v>
      </c>
      <c r="L3044" t="str">
        <f>TEXT(LeadsData[[#This Row],[Signup Date]],"mmm-yyyy")</f>
        <v>Jan-2024</v>
      </c>
      <c r="M3044">
        <f>IF(LeadsData[[#This Row],[Stage Number]]&gt;=2,1,0)</f>
        <v>1</v>
      </c>
      <c r="N3044" s="2">
        <f>IF(LeadsData[[#This Row],[Stage Number]]&gt;=3,1,0)</f>
        <v>1</v>
      </c>
      <c r="O3044" s="2">
        <f>IF(LeadsData[[#This Row],[Stage Number]]&gt;=4,1,0)</f>
        <v>1</v>
      </c>
    </row>
    <row r="3045" spans="1:15" x14ac:dyDescent="0.25">
      <c r="A3045" t="s">
        <v>3085</v>
      </c>
      <c r="B3045" s="1">
        <v>45338</v>
      </c>
      <c r="C3045" t="s">
        <v>11</v>
      </c>
      <c r="D3045" t="s">
        <v>79</v>
      </c>
      <c r="E3045" t="s">
        <v>21</v>
      </c>
      <c r="F3045" t="s">
        <v>22</v>
      </c>
      <c r="G3045" t="s">
        <v>15</v>
      </c>
      <c r="K3045" cm="1">
        <f t="array" ref="K3045">_xlfn.SWITCH(LeadsData[[#This Row],[Funnel Stage Reached]],"Lead",1,"MQL",2,"SQL",3,"Customer",4)</f>
        <v>1</v>
      </c>
      <c r="L3045" t="str">
        <f>TEXT(LeadsData[[#This Row],[Signup Date]],"mmm-yyyy")</f>
        <v>Feb-2024</v>
      </c>
      <c r="M3045">
        <f>IF(LeadsData[[#This Row],[Stage Number]]&gt;=2,1,0)</f>
        <v>0</v>
      </c>
      <c r="N3045" s="2">
        <f>IF(LeadsData[[#This Row],[Stage Number]]&gt;=3,1,0)</f>
        <v>0</v>
      </c>
      <c r="O3045" s="2">
        <f>IF(LeadsData[[#This Row],[Stage Number]]&gt;=4,1,0)</f>
        <v>0</v>
      </c>
    </row>
    <row r="3046" spans="1:15" x14ac:dyDescent="0.25">
      <c r="A3046" t="s">
        <v>3086</v>
      </c>
      <c r="B3046" s="1">
        <v>45461</v>
      </c>
      <c r="C3046" t="s">
        <v>36</v>
      </c>
      <c r="D3046" t="s">
        <v>50</v>
      </c>
      <c r="E3046" t="s">
        <v>13</v>
      </c>
      <c r="F3046" t="s">
        <v>19</v>
      </c>
      <c r="G3046" t="s">
        <v>15</v>
      </c>
      <c r="K3046" cm="1">
        <f t="array" ref="K3046">_xlfn.SWITCH(LeadsData[[#This Row],[Funnel Stage Reached]],"Lead",1,"MQL",2,"SQL",3,"Customer",4)</f>
        <v>1</v>
      </c>
      <c r="L3046" t="str">
        <f>TEXT(LeadsData[[#This Row],[Signup Date]],"mmm-yyyy")</f>
        <v>Jun-2024</v>
      </c>
      <c r="M3046">
        <f>IF(LeadsData[[#This Row],[Stage Number]]&gt;=2,1,0)</f>
        <v>0</v>
      </c>
      <c r="N3046" s="2">
        <f>IF(LeadsData[[#This Row],[Stage Number]]&gt;=3,1,0)</f>
        <v>0</v>
      </c>
      <c r="O3046" s="2">
        <f>IF(LeadsData[[#This Row],[Stage Number]]&gt;=4,1,0)</f>
        <v>0</v>
      </c>
    </row>
    <row r="3047" spans="1:15" x14ac:dyDescent="0.25">
      <c r="A3047" t="s">
        <v>3087</v>
      </c>
      <c r="B3047" s="1">
        <v>45493</v>
      </c>
      <c r="C3047" t="s">
        <v>17</v>
      </c>
      <c r="D3047" t="s">
        <v>18</v>
      </c>
      <c r="E3047" t="s">
        <v>48</v>
      </c>
      <c r="F3047" t="s">
        <v>19</v>
      </c>
      <c r="G3047" t="s">
        <v>15</v>
      </c>
      <c r="K3047" cm="1">
        <f t="array" ref="K3047">_xlfn.SWITCH(LeadsData[[#This Row],[Funnel Stage Reached]],"Lead",1,"MQL",2,"SQL",3,"Customer",4)</f>
        <v>1</v>
      </c>
      <c r="L3047" t="str">
        <f>TEXT(LeadsData[[#This Row],[Signup Date]],"mmm-yyyy")</f>
        <v>Jul-2024</v>
      </c>
      <c r="M3047">
        <f>IF(LeadsData[[#This Row],[Stage Number]]&gt;=2,1,0)</f>
        <v>0</v>
      </c>
      <c r="N3047" s="2">
        <f>IF(LeadsData[[#This Row],[Stage Number]]&gt;=3,1,0)</f>
        <v>0</v>
      </c>
      <c r="O3047" s="2">
        <f>IF(LeadsData[[#This Row],[Stage Number]]&gt;=4,1,0)</f>
        <v>0</v>
      </c>
    </row>
    <row r="3048" spans="1:15" x14ac:dyDescent="0.25">
      <c r="A3048" t="s">
        <v>3088</v>
      </c>
      <c r="B3048" s="1">
        <v>45367</v>
      </c>
      <c r="C3048" t="s">
        <v>17</v>
      </c>
      <c r="D3048" t="s">
        <v>53</v>
      </c>
      <c r="E3048" t="s">
        <v>13</v>
      </c>
      <c r="F3048" t="s">
        <v>28</v>
      </c>
      <c r="G3048" t="s">
        <v>15</v>
      </c>
      <c r="K3048" cm="1">
        <f t="array" ref="K3048">_xlfn.SWITCH(LeadsData[[#This Row],[Funnel Stage Reached]],"Lead",1,"MQL",2,"SQL",3,"Customer",4)</f>
        <v>1</v>
      </c>
      <c r="L3048" t="str">
        <f>TEXT(LeadsData[[#This Row],[Signup Date]],"mmm-yyyy")</f>
        <v>Mar-2024</v>
      </c>
      <c r="M3048">
        <f>IF(LeadsData[[#This Row],[Stage Number]]&gt;=2,1,0)</f>
        <v>0</v>
      </c>
      <c r="N3048" s="2">
        <f>IF(LeadsData[[#This Row],[Stage Number]]&gt;=3,1,0)</f>
        <v>0</v>
      </c>
      <c r="O3048" s="2">
        <f>IF(LeadsData[[#This Row],[Stage Number]]&gt;=4,1,0)</f>
        <v>0</v>
      </c>
    </row>
    <row r="3049" spans="1:15" x14ac:dyDescent="0.25">
      <c r="A3049" t="s">
        <v>3089</v>
      </c>
      <c r="B3049" s="1">
        <v>45513</v>
      </c>
      <c r="C3049" t="s">
        <v>17</v>
      </c>
      <c r="D3049" t="s">
        <v>18</v>
      </c>
      <c r="E3049" t="s">
        <v>21</v>
      </c>
      <c r="F3049" t="s">
        <v>19</v>
      </c>
      <c r="G3049" t="s">
        <v>15</v>
      </c>
      <c r="K3049" cm="1">
        <f t="array" ref="K3049">_xlfn.SWITCH(LeadsData[[#This Row],[Funnel Stage Reached]],"Lead",1,"MQL",2,"SQL",3,"Customer",4)</f>
        <v>1</v>
      </c>
      <c r="L3049" t="str">
        <f>TEXT(LeadsData[[#This Row],[Signup Date]],"mmm-yyyy")</f>
        <v>Aug-2024</v>
      </c>
      <c r="M3049">
        <f>IF(LeadsData[[#This Row],[Stage Number]]&gt;=2,1,0)</f>
        <v>0</v>
      </c>
      <c r="N3049" s="2">
        <f>IF(LeadsData[[#This Row],[Stage Number]]&gt;=3,1,0)</f>
        <v>0</v>
      </c>
      <c r="O3049" s="2">
        <f>IF(LeadsData[[#This Row],[Stage Number]]&gt;=4,1,0)</f>
        <v>0</v>
      </c>
    </row>
    <row r="3050" spans="1:15" x14ac:dyDescent="0.25">
      <c r="A3050" t="s">
        <v>3090</v>
      </c>
      <c r="B3050" s="1">
        <v>45446</v>
      </c>
      <c r="C3050" t="s">
        <v>11</v>
      </c>
      <c r="D3050" t="s">
        <v>79</v>
      </c>
      <c r="E3050" t="s">
        <v>13</v>
      </c>
      <c r="F3050" t="s">
        <v>22</v>
      </c>
      <c r="G3050" t="s">
        <v>29</v>
      </c>
      <c r="K3050" cm="1">
        <f t="array" ref="K3050">_xlfn.SWITCH(LeadsData[[#This Row],[Funnel Stage Reached]],"Lead",1,"MQL",2,"SQL",3,"Customer",4)</f>
        <v>3</v>
      </c>
      <c r="L3050" t="str">
        <f>TEXT(LeadsData[[#This Row],[Signup Date]],"mmm-yyyy")</f>
        <v>Jun-2024</v>
      </c>
      <c r="M3050">
        <f>IF(LeadsData[[#This Row],[Stage Number]]&gt;=2,1,0)</f>
        <v>1</v>
      </c>
      <c r="N3050" s="2">
        <f>IF(LeadsData[[#This Row],[Stage Number]]&gt;=3,1,0)</f>
        <v>1</v>
      </c>
      <c r="O3050" s="2">
        <f>IF(LeadsData[[#This Row],[Stage Number]]&gt;=4,1,0)</f>
        <v>0</v>
      </c>
    </row>
    <row r="3051" spans="1:15" x14ac:dyDescent="0.25">
      <c r="A3051" t="s">
        <v>3091</v>
      </c>
      <c r="B3051" s="1">
        <v>45575</v>
      </c>
      <c r="C3051" t="s">
        <v>25</v>
      </c>
      <c r="D3051" t="s">
        <v>26</v>
      </c>
      <c r="E3051" t="s">
        <v>13</v>
      </c>
      <c r="F3051" t="s">
        <v>22</v>
      </c>
      <c r="G3051" t="s">
        <v>15</v>
      </c>
      <c r="K3051" cm="1">
        <f t="array" ref="K3051">_xlfn.SWITCH(LeadsData[[#This Row],[Funnel Stage Reached]],"Lead",1,"MQL",2,"SQL",3,"Customer",4)</f>
        <v>1</v>
      </c>
      <c r="L3051" t="str">
        <f>TEXT(LeadsData[[#This Row],[Signup Date]],"mmm-yyyy")</f>
        <v>Oct-2024</v>
      </c>
      <c r="M3051">
        <f>IF(LeadsData[[#This Row],[Stage Number]]&gt;=2,1,0)</f>
        <v>0</v>
      </c>
      <c r="N3051" s="2">
        <f>IF(LeadsData[[#This Row],[Stage Number]]&gt;=3,1,0)</f>
        <v>0</v>
      </c>
      <c r="O3051" s="2">
        <f>IF(LeadsData[[#This Row],[Stage Number]]&gt;=4,1,0)</f>
        <v>0</v>
      </c>
    </row>
    <row r="3052" spans="1:15" x14ac:dyDescent="0.25">
      <c r="A3052" t="s">
        <v>3092</v>
      </c>
      <c r="B3052" s="1">
        <v>45530</v>
      </c>
      <c r="C3052" t="s">
        <v>25</v>
      </c>
      <c r="D3052" t="s">
        <v>26</v>
      </c>
      <c r="E3052" t="s">
        <v>21</v>
      </c>
      <c r="F3052" t="s">
        <v>14</v>
      </c>
      <c r="G3052" t="s">
        <v>23</v>
      </c>
      <c r="K3052" cm="1">
        <f t="array" ref="K3052">_xlfn.SWITCH(LeadsData[[#This Row],[Funnel Stage Reached]],"Lead",1,"MQL",2,"SQL",3,"Customer",4)</f>
        <v>2</v>
      </c>
      <c r="L3052" t="str">
        <f>TEXT(LeadsData[[#This Row],[Signup Date]],"mmm-yyyy")</f>
        <v>Aug-2024</v>
      </c>
      <c r="M3052">
        <f>IF(LeadsData[[#This Row],[Stage Number]]&gt;=2,1,0)</f>
        <v>1</v>
      </c>
      <c r="N3052" s="2">
        <f>IF(LeadsData[[#This Row],[Stage Number]]&gt;=3,1,0)</f>
        <v>0</v>
      </c>
      <c r="O3052" s="2">
        <f>IF(LeadsData[[#This Row],[Stage Number]]&gt;=4,1,0)</f>
        <v>0</v>
      </c>
    </row>
    <row r="3053" spans="1:15" x14ac:dyDescent="0.25">
      <c r="A3053" t="s">
        <v>3093</v>
      </c>
      <c r="B3053" s="1">
        <v>45567</v>
      </c>
      <c r="C3053" t="s">
        <v>11</v>
      </c>
      <c r="D3053" t="s">
        <v>79</v>
      </c>
      <c r="E3053" t="s">
        <v>48</v>
      </c>
      <c r="F3053" t="s">
        <v>19</v>
      </c>
      <c r="G3053" t="s">
        <v>29</v>
      </c>
      <c r="K3053" cm="1">
        <f t="array" ref="K3053">_xlfn.SWITCH(LeadsData[[#This Row],[Funnel Stage Reached]],"Lead",1,"MQL",2,"SQL",3,"Customer",4)</f>
        <v>3</v>
      </c>
      <c r="L3053" t="str">
        <f>TEXT(LeadsData[[#This Row],[Signup Date]],"mmm-yyyy")</f>
        <v>Oct-2024</v>
      </c>
      <c r="M3053">
        <f>IF(LeadsData[[#This Row],[Stage Number]]&gt;=2,1,0)</f>
        <v>1</v>
      </c>
      <c r="N3053" s="2">
        <f>IF(LeadsData[[#This Row],[Stage Number]]&gt;=3,1,0)</f>
        <v>1</v>
      </c>
      <c r="O3053" s="2">
        <f>IF(LeadsData[[#This Row],[Stage Number]]&gt;=4,1,0)</f>
        <v>0</v>
      </c>
    </row>
    <row r="3054" spans="1:15" x14ac:dyDescent="0.25">
      <c r="A3054" t="s">
        <v>3094</v>
      </c>
      <c r="B3054" s="1">
        <v>45517</v>
      </c>
      <c r="C3054" t="s">
        <v>17</v>
      </c>
      <c r="D3054" t="s">
        <v>53</v>
      </c>
      <c r="E3054" t="s">
        <v>21</v>
      </c>
      <c r="F3054" t="s">
        <v>19</v>
      </c>
      <c r="G3054" t="s">
        <v>15</v>
      </c>
      <c r="K3054" cm="1">
        <f t="array" ref="K3054">_xlfn.SWITCH(LeadsData[[#This Row],[Funnel Stage Reached]],"Lead",1,"MQL",2,"SQL",3,"Customer",4)</f>
        <v>1</v>
      </c>
      <c r="L3054" t="str">
        <f>TEXT(LeadsData[[#This Row],[Signup Date]],"mmm-yyyy")</f>
        <v>Aug-2024</v>
      </c>
      <c r="M3054">
        <f>IF(LeadsData[[#This Row],[Stage Number]]&gt;=2,1,0)</f>
        <v>0</v>
      </c>
      <c r="N3054" s="2">
        <f>IF(LeadsData[[#This Row],[Stage Number]]&gt;=3,1,0)</f>
        <v>0</v>
      </c>
      <c r="O3054" s="2">
        <f>IF(LeadsData[[#This Row],[Stage Number]]&gt;=4,1,0)</f>
        <v>0</v>
      </c>
    </row>
    <row r="3055" spans="1:15" x14ac:dyDescent="0.25">
      <c r="A3055" t="s">
        <v>3095</v>
      </c>
      <c r="B3055" s="1">
        <v>45622</v>
      </c>
      <c r="C3055" t="s">
        <v>11</v>
      </c>
      <c r="D3055" t="s">
        <v>12</v>
      </c>
      <c r="E3055" t="s">
        <v>21</v>
      </c>
      <c r="F3055" t="s">
        <v>22</v>
      </c>
      <c r="G3055" t="s">
        <v>23</v>
      </c>
      <c r="K3055" cm="1">
        <f t="array" ref="K3055">_xlfn.SWITCH(LeadsData[[#This Row],[Funnel Stage Reached]],"Lead",1,"MQL",2,"SQL",3,"Customer",4)</f>
        <v>2</v>
      </c>
      <c r="L3055" t="str">
        <f>TEXT(LeadsData[[#This Row],[Signup Date]],"mmm-yyyy")</f>
        <v>Nov-2024</v>
      </c>
      <c r="M3055">
        <f>IF(LeadsData[[#This Row],[Stage Number]]&gt;=2,1,0)</f>
        <v>1</v>
      </c>
      <c r="N3055" s="2">
        <f>IF(LeadsData[[#This Row],[Stage Number]]&gt;=3,1,0)</f>
        <v>0</v>
      </c>
      <c r="O3055" s="2">
        <f>IF(LeadsData[[#This Row],[Stage Number]]&gt;=4,1,0)</f>
        <v>0</v>
      </c>
    </row>
    <row r="3056" spans="1:15" x14ac:dyDescent="0.25">
      <c r="A3056" t="s">
        <v>3096</v>
      </c>
      <c r="B3056" s="1">
        <v>45361</v>
      </c>
      <c r="C3056" t="s">
        <v>31</v>
      </c>
      <c r="D3056" t="s">
        <v>32</v>
      </c>
      <c r="E3056" t="s">
        <v>13</v>
      </c>
      <c r="F3056" t="s">
        <v>19</v>
      </c>
      <c r="G3056" t="s">
        <v>23</v>
      </c>
      <c r="K3056" cm="1">
        <f t="array" ref="K3056">_xlfn.SWITCH(LeadsData[[#This Row],[Funnel Stage Reached]],"Lead",1,"MQL",2,"SQL",3,"Customer",4)</f>
        <v>2</v>
      </c>
      <c r="L3056" t="str">
        <f>TEXT(LeadsData[[#This Row],[Signup Date]],"mmm-yyyy")</f>
        <v>Mar-2024</v>
      </c>
      <c r="M3056">
        <f>IF(LeadsData[[#This Row],[Stage Number]]&gt;=2,1,0)</f>
        <v>1</v>
      </c>
      <c r="N3056" s="2">
        <f>IF(LeadsData[[#This Row],[Stage Number]]&gt;=3,1,0)</f>
        <v>0</v>
      </c>
      <c r="O3056" s="2">
        <f>IF(LeadsData[[#This Row],[Stage Number]]&gt;=4,1,0)</f>
        <v>0</v>
      </c>
    </row>
    <row r="3057" spans="1:15" x14ac:dyDescent="0.25">
      <c r="A3057" t="s">
        <v>3097</v>
      </c>
      <c r="B3057" s="1">
        <v>45527</v>
      </c>
      <c r="C3057" t="s">
        <v>36</v>
      </c>
      <c r="D3057" t="s">
        <v>37</v>
      </c>
      <c r="E3057" t="s">
        <v>13</v>
      </c>
      <c r="F3057" t="s">
        <v>22</v>
      </c>
      <c r="G3057" t="s">
        <v>23</v>
      </c>
      <c r="K3057" cm="1">
        <f t="array" ref="K3057">_xlfn.SWITCH(LeadsData[[#This Row],[Funnel Stage Reached]],"Lead",1,"MQL",2,"SQL",3,"Customer",4)</f>
        <v>2</v>
      </c>
      <c r="L3057" t="str">
        <f>TEXT(LeadsData[[#This Row],[Signup Date]],"mmm-yyyy")</f>
        <v>Aug-2024</v>
      </c>
      <c r="M3057">
        <f>IF(LeadsData[[#This Row],[Stage Number]]&gt;=2,1,0)</f>
        <v>1</v>
      </c>
      <c r="N3057" s="2">
        <f>IF(LeadsData[[#This Row],[Stage Number]]&gt;=3,1,0)</f>
        <v>0</v>
      </c>
      <c r="O3057" s="2">
        <f>IF(LeadsData[[#This Row],[Stage Number]]&gt;=4,1,0)</f>
        <v>0</v>
      </c>
    </row>
    <row r="3058" spans="1:15" x14ac:dyDescent="0.25">
      <c r="A3058" t="s">
        <v>3098</v>
      </c>
      <c r="B3058" s="1">
        <v>45608</v>
      </c>
      <c r="C3058" t="s">
        <v>11</v>
      </c>
      <c r="D3058" t="s">
        <v>79</v>
      </c>
      <c r="E3058" t="s">
        <v>13</v>
      </c>
      <c r="F3058" t="s">
        <v>28</v>
      </c>
      <c r="G3058" t="s">
        <v>42</v>
      </c>
      <c r="H3058">
        <v>17</v>
      </c>
      <c r="I3058" t="s">
        <v>87</v>
      </c>
      <c r="J3058">
        <v>3360.95</v>
      </c>
      <c r="K3058" cm="1">
        <f t="array" ref="K3058">_xlfn.SWITCH(LeadsData[[#This Row],[Funnel Stage Reached]],"Lead",1,"MQL",2,"SQL",3,"Customer",4)</f>
        <v>4</v>
      </c>
      <c r="L3058" t="str">
        <f>TEXT(LeadsData[[#This Row],[Signup Date]],"mmm-yyyy")</f>
        <v>Nov-2024</v>
      </c>
      <c r="M3058">
        <f>IF(LeadsData[[#This Row],[Stage Number]]&gt;=2,1,0)</f>
        <v>1</v>
      </c>
      <c r="N3058" s="2">
        <f>IF(LeadsData[[#This Row],[Stage Number]]&gt;=3,1,0)</f>
        <v>1</v>
      </c>
      <c r="O3058" s="2">
        <f>IF(LeadsData[[#This Row],[Stage Number]]&gt;=4,1,0)</f>
        <v>1</v>
      </c>
    </row>
    <row r="3059" spans="1:15" x14ac:dyDescent="0.25">
      <c r="A3059" t="s">
        <v>3099</v>
      </c>
      <c r="B3059" s="1">
        <v>45620</v>
      </c>
      <c r="C3059" t="s">
        <v>25</v>
      </c>
      <c r="D3059" t="s">
        <v>26</v>
      </c>
      <c r="E3059" t="s">
        <v>21</v>
      </c>
      <c r="F3059" t="s">
        <v>19</v>
      </c>
      <c r="G3059" t="s">
        <v>15</v>
      </c>
      <c r="K3059" cm="1">
        <f t="array" ref="K3059">_xlfn.SWITCH(LeadsData[[#This Row],[Funnel Stage Reached]],"Lead",1,"MQL",2,"SQL",3,"Customer",4)</f>
        <v>1</v>
      </c>
      <c r="L3059" t="str">
        <f>TEXT(LeadsData[[#This Row],[Signup Date]],"mmm-yyyy")</f>
        <v>Nov-2024</v>
      </c>
      <c r="M3059">
        <f>IF(LeadsData[[#This Row],[Stage Number]]&gt;=2,1,0)</f>
        <v>0</v>
      </c>
      <c r="N3059" s="2">
        <f>IF(LeadsData[[#This Row],[Stage Number]]&gt;=3,1,0)</f>
        <v>0</v>
      </c>
      <c r="O3059" s="2">
        <f>IF(LeadsData[[#This Row],[Stage Number]]&gt;=4,1,0)</f>
        <v>0</v>
      </c>
    </row>
    <row r="3060" spans="1:15" x14ac:dyDescent="0.25">
      <c r="A3060" t="s">
        <v>3100</v>
      </c>
      <c r="B3060" s="1">
        <v>45383</v>
      </c>
      <c r="C3060" t="s">
        <v>46</v>
      </c>
      <c r="D3060" t="s">
        <v>47</v>
      </c>
      <c r="E3060" t="s">
        <v>13</v>
      </c>
      <c r="F3060" t="s">
        <v>28</v>
      </c>
      <c r="G3060" t="s">
        <v>23</v>
      </c>
      <c r="K3060" cm="1">
        <f t="array" ref="K3060">_xlfn.SWITCH(LeadsData[[#This Row],[Funnel Stage Reached]],"Lead",1,"MQL",2,"SQL",3,"Customer",4)</f>
        <v>2</v>
      </c>
      <c r="L3060" t="str">
        <f>TEXT(LeadsData[[#This Row],[Signup Date]],"mmm-yyyy")</f>
        <v>Apr-2024</v>
      </c>
      <c r="M3060">
        <f>IF(LeadsData[[#This Row],[Stage Number]]&gt;=2,1,0)</f>
        <v>1</v>
      </c>
      <c r="N3060" s="2">
        <f>IF(LeadsData[[#This Row],[Stage Number]]&gt;=3,1,0)</f>
        <v>0</v>
      </c>
      <c r="O3060" s="2">
        <f>IF(LeadsData[[#This Row],[Stage Number]]&gt;=4,1,0)</f>
        <v>0</v>
      </c>
    </row>
    <row r="3061" spans="1:15" x14ac:dyDescent="0.25">
      <c r="A3061" t="s">
        <v>3101</v>
      </c>
      <c r="B3061" s="1">
        <v>45377</v>
      </c>
      <c r="C3061" t="s">
        <v>36</v>
      </c>
      <c r="D3061" t="s">
        <v>37</v>
      </c>
      <c r="E3061" t="s">
        <v>13</v>
      </c>
      <c r="F3061" t="s">
        <v>19</v>
      </c>
      <c r="G3061" t="s">
        <v>29</v>
      </c>
      <c r="K3061" cm="1">
        <f t="array" ref="K3061">_xlfn.SWITCH(LeadsData[[#This Row],[Funnel Stage Reached]],"Lead",1,"MQL",2,"SQL",3,"Customer",4)</f>
        <v>3</v>
      </c>
      <c r="L3061" t="str">
        <f>TEXT(LeadsData[[#This Row],[Signup Date]],"mmm-yyyy")</f>
        <v>Mar-2024</v>
      </c>
      <c r="M3061">
        <f>IF(LeadsData[[#This Row],[Stage Number]]&gt;=2,1,0)</f>
        <v>1</v>
      </c>
      <c r="N3061" s="2">
        <f>IF(LeadsData[[#This Row],[Stage Number]]&gt;=3,1,0)</f>
        <v>1</v>
      </c>
      <c r="O3061" s="2">
        <f>IF(LeadsData[[#This Row],[Stage Number]]&gt;=4,1,0)</f>
        <v>0</v>
      </c>
    </row>
    <row r="3062" spans="1:15" x14ac:dyDescent="0.25">
      <c r="A3062" t="s">
        <v>3102</v>
      </c>
      <c r="B3062" s="1">
        <v>45585</v>
      </c>
      <c r="C3062" t="s">
        <v>31</v>
      </c>
      <c r="D3062" t="s">
        <v>34</v>
      </c>
      <c r="E3062" t="s">
        <v>21</v>
      </c>
      <c r="F3062" t="s">
        <v>14</v>
      </c>
      <c r="G3062" t="s">
        <v>15</v>
      </c>
      <c r="K3062" cm="1">
        <f t="array" ref="K3062">_xlfn.SWITCH(LeadsData[[#This Row],[Funnel Stage Reached]],"Lead",1,"MQL",2,"SQL",3,"Customer",4)</f>
        <v>1</v>
      </c>
      <c r="L3062" t="str">
        <f>TEXT(LeadsData[[#This Row],[Signup Date]],"mmm-yyyy")</f>
        <v>Oct-2024</v>
      </c>
      <c r="M3062">
        <f>IF(LeadsData[[#This Row],[Stage Number]]&gt;=2,1,0)</f>
        <v>0</v>
      </c>
      <c r="N3062" s="2">
        <f>IF(LeadsData[[#This Row],[Stage Number]]&gt;=3,1,0)</f>
        <v>0</v>
      </c>
      <c r="O3062" s="2">
        <f>IF(LeadsData[[#This Row],[Stage Number]]&gt;=4,1,0)</f>
        <v>0</v>
      </c>
    </row>
    <row r="3063" spans="1:15" x14ac:dyDescent="0.25">
      <c r="A3063" t="s">
        <v>3103</v>
      </c>
      <c r="B3063" s="1">
        <v>45361</v>
      </c>
      <c r="C3063" t="s">
        <v>46</v>
      </c>
      <c r="D3063" t="s">
        <v>56</v>
      </c>
      <c r="E3063" t="s">
        <v>21</v>
      </c>
      <c r="F3063" t="s">
        <v>14</v>
      </c>
      <c r="G3063" t="s">
        <v>42</v>
      </c>
      <c r="H3063">
        <v>41</v>
      </c>
      <c r="I3063" t="s">
        <v>43</v>
      </c>
      <c r="J3063">
        <v>912.03</v>
      </c>
      <c r="K3063" cm="1">
        <f t="array" ref="K3063">_xlfn.SWITCH(LeadsData[[#This Row],[Funnel Stage Reached]],"Lead",1,"MQL",2,"SQL",3,"Customer",4)</f>
        <v>4</v>
      </c>
      <c r="L3063" t="str">
        <f>TEXT(LeadsData[[#This Row],[Signup Date]],"mmm-yyyy")</f>
        <v>Mar-2024</v>
      </c>
      <c r="M3063">
        <f>IF(LeadsData[[#This Row],[Stage Number]]&gt;=2,1,0)</f>
        <v>1</v>
      </c>
      <c r="N3063" s="2">
        <f>IF(LeadsData[[#This Row],[Stage Number]]&gt;=3,1,0)</f>
        <v>1</v>
      </c>
      <c r="O3063" s="2">
        <f>IF(LeadsData[[#This Row],[Stage Number]]&gt;=4,1,0)</f>
        <v>1</v>
      </c>
    </row>
    <row r="3064" spans="1:15" x14ac:dyDescent="0.25">
      <c r="A3064" t="s">
        <v>3104</v>
      </c>
      <c r="B3064" s="1">
        <v>45583</v>
      </c>
      <c r="C3064" t="s">
        <v>25</v>
      </c>
      <c r="D3064" t="s">
        <v>26</v>
      </c>
      <c r="E3064" t="s">
        <v>13</v>
      </c>
      <c r="F3064" t="s">
        <v>14</v>
      </c>
      <c r="G3064" t="s">
        <v>15</v>
      </c>
      <c r="K3064" cm="1">
        <f t="array" ref="K3064">_xlfn.SWITCH(LeadsData[[#This Row],[Funnel Stage Reached]],"Lead",1,"MQL",2,"SQL",3,"Customer",4)</f>
        <v>1</v>
      </c>
      <c r="L3064" t="str">
        <f>TEXT(LeadsData[[#This Row],[Signup Date]],"mmm-yyyy")</f>
        <v>Oct-2024</v>
      </c>
      <c r="M3064">
        <f>IF(LeadsData[[#This Row],[Stage Number]]&gt;=2,1,0)</f>
        <v>0</v>
      </c>
      <c r="N3064" s="2">
        <f>IF(LeadsData[[#This Row],[Stage Number]]&gt;=3,1,0)</f>
        <v>0</v>
      </c>
      <c r="O3064" s="2">
        <f>IF(LeadsData[[#This Row],[Stage Number]]&gt;=4,1,0)</f>
        <v>0</v>
      </c>
    </row>
    <row r="3065" spans="1:15" x14ac:dyDescent="0.25">
      <c r="A3065" t="s">
        <v>3105</v>
      </c>
      <c r="B3065" s="1">
        <v>45465</v>
      </c>
      <c r="C3065" t="s">
        <v>36</v>
      </c>
      <c r="D3065" t="s">
        <v>37</v>
      </c>
      <c r="E3065" t="s">
        <v>13</v>
      </c>
      <c r="F3065" t="s">
        <v>19</v>
      </c>
      <c r="G3065" t="s">
        <v>29</v>
      </c>
      <c r="K3065" cm="1">
        <f t="array" ref="K3065">_xlfn.SWITCH(LeadsData[[#This Row],[Funnel Stage Reached]],"Lead",1,"MQL",2,"SQL",3,"Customer",4)</f>
        <v>3</v>
      </c>
      <c r="L3065" t="str">
        <f>TEXT(LeadsData[[#This Row],[Signup Date]],"mmm-yyyy")</f>
        <v>Jun-2024</v>
      </c>
      <c r="M3065">
        <f>IF(LeadsData[[#This Row],[Stage Number]]&gt;=2,1,0)</f>
        <v>1</v>
      </c>
      <c r="N3065" s="2">
        <f>IF(LeadsData[[#This Row],[Stage Number]]&gt;=3,1,0)</f>
        <v>1</v>
      </c>
      <c r="O3065" s="2">
        <f>IF(LeadsData[[#This Row],[Stage Number]]&gt;=4,1,0)</f>
        <v>0</v>
      </c>
    </row>
    <row r="3066" spans="1:15" x14ac:dyDescent="0.25">
      <c r="A3066" t="s">
        <v>3106</v>
      </c>
      <c r="B3066" s="1">
        <v>45521</v>
      </c>
      <c r="C3066" t="s">
        <v>11</v>
      </c>
      <c r="D3066" t="s">
        <v>68</v>
      </c>
      <c r="E3066" t="s">
        <v>21</v>
      </c>
      <c r="F3066" t="s">
        <v>19</v>
      </c>
      <c r="G3066" t="s">
        <v>23</v>
      </c>
      <c r="K3066" cm="1">
        <f t="array" ref="K3066">_xlfn.SWITCH(LeadsData[[#This Row],[Funnel Stage Reached]],"Lead",1,"MQL",2,"SQL",3,"Customer",4)</f>
        <v>2</v>
      </c>
      <c r="L3066" t="str">
        <f>TEXT(LeadsData[[#This Row],[Signup Date]],"mmm-yyyy")</f>
        <v>Aug-2024</v>
      </c>
      <c r="M3066">
        <f>IF(LeadsData[[#This Row],[Stage Number]]&gt;=2,1,0)</f>
        <v>1</v>
      </c>
      <c r="N3066" s="2">
        <f>IF(LeadsData[[#This Row],[Stage Number]]&gt;=3,1,0)</f>
        <v>0</v>
      </c>
      <c r="O3066" s="2">
        <f>IF(LeadsData[[#This Row],[Stage Number]]&gt;=4,1,0)</f>
        <v>0</v>
      </c>
    </row>
    <row r="3067" spans="1:15" x14ac:dyDescent="0.25">
      <c r="A3067" t="s">
        <v>3107</v>
      </c>
      <c r="B3067" s="1">
        <v>45567</v>
      </c>
      <c r="C3067" t="s">
        <v>17</v>
      </c>
      <c r="D3067" t="s">
        <v>53</v>
      </c>
      <c r="E3067" t="s">
        <v>13</v>
      </c>
      <c r="F3067" t="s">
        <v>14</v>
      </c>
      <c r="G3067" t="s">
        <v>23</v>
      </c>
      <c r="K3067" cm="1">
        <f t="array" ref="K3067">_xlfn.SWITCH(LeadsData[[#This Row],[Funnel Stage Reached]],"Lead",1,"MQL",2,"SQL",3,"Customer",4)</f>
        <v>2</v>
      </c>
      <c r="L3067" t="str">
        <f>TEXT(LeadsData[[#This Row],[Signup Date]],"mmm-yyyy")</f>
        <v>Oct-2024</v>
      </c>
      <c r="M3067">
        <f>IF(LeadsData[[#This Row],[Stage Number]]&gt;=2,1,0)</f>
        <v>1</v>
      </c>
      <c r="N3067" s="2">
        <f>IF(LeadsData[[#This Row],[Stage Number]]&gt;=3,1,0)</f>
        <v>0</v>
      </c>
      <c r="O3067" s="2">
        <f>IF(LeadsData[[#This Row],[Stage Number]]&gt;=4,1,0)</f>
        <v>0</v>
      </c>
    </row>
    <row r="3068" spans="1:15" x14ac:dyDescent="0.25">
      <c r="A3068" t="s">
        <v>3108</v>
      </c>
      <c r="B3068" s="1">
        <v>45475</v>
      </c>
      <c r="C3068" t="s">
        <v>36</v>
      </c>
      <c r="D3068" t="s">
        <v>50</v>
      </c>
      <c r="E3068" t="s">
        <v>13</v>
      </c>
      <c r="F3068" t="s">
        <v>28</v>
      </c>
      <c r="G3068" t="s">
        <v>29</v>
      </c>
      <c r="K3068" cm="1">
        <f t="array" ref="K3068">_xlfn.SWITCH(LeadsData[[#This Row],[Funnel Stage Reached]],"Lead",1,"MQL",2,"SQL",3,"Customer",4)</f>
        <v>3</v>
      </c>
      <c r="L3068" t="str">
        <f>TEXT(LeadsData[[#This Row],[Signup Date]],"mmm-yyyy")</f>
        <v>Jul-2024</v>
      </c>
      <c r="M3068">
        <f>IF(LeadsData[[#This Row],[Stage Number]]&gt;=2,1,0)</f>
        <v>1</v>
      </c>
      <c r="N3068" s="2">
        <f>IF(LeadsData[[#This Row],[Stage Number]]&gt;=3,1,0)</f>
        <v>1</v>
      </c>
      <c r="O3068" s="2">
        <f>IF(LeadsData[[#This Row],[Stage Number]]&gt;=4,1,0)</f>
        <v>0</v>
      </c>
    </row>
    <row r="3069" spans="1:15" x14ac:dyDescent="0.25">
      <c r="A3069" t="s">
        <v>3109</v>
      </c>
      <c r="B3069" s="1">
        <v>45326</v>
      </c>
      <c r="C3069" t="s">
        <v>25</v>
      </c>
      <c r="D3069" t="s">
        <v>26</v>
      </c>
      <c r="E3069" t="s">
        <v>21</v>
      </c>
      <c r="F3069" t="s">
        <v>28</v>
      </c>
      <c r="G3069" t="s">
        <v>29</v>
      </c>
      <c r="K3069" cm="1">
        <f t="array" ref="K3069">_xlfn.SWITCH(LeadsData[[#This Row],[Funnel Stage Reached]],"Lead",1,"MQL",2,"SQL",3,"Customer",4)</f>
        <v>3</v>
      </c>
      <c r="L3069" t="str">
        <f>TEXT(LeadsData[[#This Row],[Signup Date]],"mmm-yyyy")</f>
        <v>Feb-2024</v>
      </c>
      <c r="M3069">
        <f>IF(LeadsData[[#This Row],[Stage Number]]&gt;=2,1,0)</f>
        <v>1</v>
      </c>
      <c r="N3069" s="2">
        <f>IF(LeadsData[[#This Row],[Stage Number]]&gt;=3,1,0)</f>
        <v>1</v>
      </c>
      <c r="O3069" s="2">
        <f>IF(LeadsData[[#This Row],[Stage Number]]&gt;=4,1,0)</f>
        <v>0</v>
      </c>
    </row>
    <row r="3070" spans="1:15" x14ac:dyDescent="0.25">
      <c r="A3070" t="s">
        <v>3110</v>
      </c>
      <c r="B3070" s="1">
        <v>45451</v>
      </c>
      <c r="C3070" t="s">
        <v>31</v>
      </c>
      <c r="D3070" t="s">
        <v>32</v>
      </c>
      <c r="E3070" t="s">
        <v>48</v>
      </c>
      <c r="F3070" t="s">
        <v>19</v>
      </c>
      <c r="G3070" t="s">
        <v>15</v>
      </c>
      <c r="K3070" cm="1">
        <f t="array" ref="K3070">_xlfn.SWITCH(LeadsData[[#This Row],[Funnel Stage Reached]],"Lead",1,"MQL",2,"SQL",3,"Customer",4)</f>
        <v>1</v>
      </c>
      <c r="L3070" t="str">
        <f>TEXT(LeadsData[[#This Row],[Signup Date]],"mmm-yyyy")</f>
        <v>Jun-2024</v>
      </c>
      <c r="M3070">
        <f>IF(LeadsData[[#This Row],[Stage Number]]&gt;=2,1,0)</f>
        <v>0</v>
      </c>
      <c r="N3070" s="2">
        <f>IF(LeadsData[[#This Row],[Stage Number]]&gt;=3,1,0)</f>
        <v>0</v>
      </c>
      <c r="O3070" s="2">
        <f>IF(LeadsData[[#This Row],[Stage Number]]&gt;=4,1,0)</f>
        <v>0</v>
      </c>
    </row>
    <row r="3071" spans="1:15" x14ac:dyDescent="0.25">
      <c r="A3071" t="s">
        <v>3111</v>
      </c>
      <c r="B3071" s="1">
        <v>45545</v>
      </c>
      <c r="C3071" t="s">
        <v>25</v>
      </c>
      <c r="D3071" t="s">
        <v>26</v>
      </c>
      <c r="E3071" t="s">
        <v>21</v>
      </c>
      <c r="F3071" t="s">
        <v>22</v>
      </c>
      <c r="G3071" t="s">
        <v>23</v>
      </c>
      <c r="K3071" cm="1">
        <f t="array" ref="K3071">_xlfn.SWITCH(LeadsData[[#This Row],[Funnel Stage Reached]],"Lead",1,"MQL",2,"SQL",3,"Customer",4)</f>
        <v>2</v>
      </c>
      <c r="L3071" t="str">
        <f>TEXT(LeadsData[[#This Row],[Signup Date]],"mmm-yyyy")</f>
        <v>Sep-2024</v>
      </c>
      <c r="M3071">
        <f>IF(LeadsData[[#This Row],[Stage Number]]&gt;=2,1,0)</f>
        <v>1</v>
      </c>
      <c r="N3071" s="2">
        <f>IF(LeadsData[[#This Row],[Stage Number]]&gt;=3,1,0)</f>
        <v>0</v>
      </c>
      <c r="O3071" s="2">
        <f>IF(LeadsData[[#This Row],[Stage Number]]&gt;=4,1,0)</f>
        <v>0</v>
      </c>
    </row>
    <row r="3072" spans="1:15" x14ac:dyDescent="0.25">
      <c r="A3072" t="s">
        <v>3112</v>
      </c>
      <c r="B3072" s="1">
        <v>45392</v>
      </c>
      <c r="C3072" t="s">
        <v>11</v>
      </c>
      <c r="D3072" t="s">
        <v>68</v>
      </c>
      <c r="E3072" t="s">
        <v>13</v>
      </c>
      <c r="F3072" t="s">
        <v>19</v>
      </c>
      <c r="G3072" t="s">
        <v>23</v>
      </c>
      <c r="K3072" cm="1">
        <f t="array" ref="K3072">_xlfn.SWITCH(LeadsData[[#This Row],[Funnel Stage Reached]],"Lead",1,"MQL",2,"SQL",3,"Customer",4)</f>
        <v>2</v>
      </c>
      <c r="L3072" t="str">
        <f>TEXT(LeadsData[[#This Row],[Signup Date]],"mmm-yyyy")</f>
        <v>Apr-2024</v>
      </c>
      <c r="M3072">
        <f>IF(LeadsData[[#This Row],[Stage Number]]&gt;=2,1,0)</f>
        <v>1</v>
      </c>
      <c r="N3072" s="2">
        <f>IF(LeadsData[[#This Row],[Stage Number]]&gt;=3,1,0)</f>
        <v>0</v>
      </c>
      <c r="O3072" s="2">
        <f>IF(LeadsData[[#This Row],[Stage Number]]&gt;=4,1,0)</f>
        <v>0</v>
      </c>
    </row>
    <row r="3073" spans="1:15" x14ac:dyDescent="0.25">
      <c r="A3073" t="s">
        <v>3113</v>
      </c>
      <c r="B3073" s="1">
        <v>45390</v>
      </c>
      <c r="C3073" t="s">
        <v>31</v>
      </c>
      <c r="D3073" t="s">
        <v>32</v>
      </c>
      <c r="E3073" t="s">
        <v>13</v>
      </c>
      <c r="F3073" t="s">
        <v>22</v>
      </c>
      <c r="G3073" t="s">
        <v>15</v>
      </c>
      <c r="K3073" cm="1">
        <f t="array" ref="K3073">_xlfn.SWITCH(LeadsData[[#This Row],[Funnel Stage Reached]],"Lead",1,"MQL",2,"SQL",3,"Customer",4)</f>
        <v>1</v>
      </c>
      <c r="L3073" t="str">
        <f>TEXT(LeadsData[[#This Row],[Signup Date]],"mmm-yyyy")</f>
        <v>Apr-2024</v>
      </c>
      <c r="M3073">
        <f>IF(LeadsData[[#This Row],[Stage Number]]&gt;=2,1,0)</f>
        <v>0</v>
      </c>
      <c r="N3073" s="2">
        <f>IF(LeadsData[[#This Row],[Stage Number]]&gt;=3,1,0)</f>
        <v>0</v>
      </c>
      <c r="O3073" s="2">
        <f>IF(LeadsData[[#This Row],[Stage Number]]&gt;=4,1,0)</f>
        <v>0</v>
      </c>
    </row>
    <row r="3074" spans="1:15" x14ac:dyDescent="0.25">
      <c r="A3074" t="s">
        <v>3114</v>
      </c>
      <c r="B3074" s="1">
        <v>45450</v>
      </c>
      <c r="C3074" t="s">
        <v>25</v>
      </c>
      <c r="D3074" t="s">
        <v>26</v>
      </c>
      <c r="E3074" t="s">
        <v>13</v>
      </c>
      <c r="F3074" t="s">
        <v>28</v>
      </c>
      <c r="G3074" t="s">
        <v>15</v>
      </c>
      <c r="K3074" cm="1">
        <f t="array" ref="K3074">_xlfn.SWITCH(LeadsData[[#This Row],[Funnel Stage Reached]],"Lead",1,"MQL",2,"SQL",3,"Customer",4)</f>
        <v>1</v>
      </c>
      <c r="L3074" t="str">
        <f>TEXT(LeadsData[[#This Row],[Signup Date]],"mmm-yyyy")</f>
        <v>Jun-2024</v>
      </c>
      <c r="M3074">
        <f>IF(LeadsData[[#This Row],[Stage Number]]&gt;=2,1,0)</f>
        <v>0</v>
      </c>
      <c r="N3074" s="2">
        <f>IF(LeadsData[[#This Row],[Stage Number]]&gt;=3,1,0)</f>
        <v>0</v>
      </c>
      <c r="O3074" s="2">
        <f>IF(LeadsData[[#This Row],[Stage Number]]&gt;=4,1,0)</f>
        <v>0</v>
      </c>
    </row>
    <row r="3075" spans="1:15" x14ac:dyDescent="0.25">
      <c r="A3075" t="s">
        <v>3115</v>
      </c>
      <c r="B3075" s="1">
        <v>45524</v>
      </c>
      <c r="C3075" t="s">
        <v>31</v>
      </c>
      <c r="D3075" t="s">
        <v>32</v>
      </c>
      <c r="E3075" t="s">
        <v>21</v>
      </c>
      <c r="F3075" t="s">
        <v>22</v>
      </c>
      <c r="G3075" t="s">
        <v>15</v>
      </c>
      <c r="K3075" cm="1">
        <f t="array" ref="K3075">_xlfn.SWITCH(LeadsData[[#This Row],[Funnel Stage Reached]],"Lead",1,"MQL",2,"SQL",3,"Customer",4)</f>
        <v>1</v>
      </c>
      <c r="L3075" t="str">
        <f>TEXT(LeadsData[[#This Row],[Signup Date]],"mmm-yyyy")</f>
        <v>Aug-2024</v>
      </c>
      <c r="M3075">
        <f>IF(LeadsData[[#This Row],[Stage Number]]&gt;=2,1,0)</f>
        <v>0</v>
      </c>
      <c r="N3075" s="2">
        <f>IF(LeadsData[[#This Row],[Stage Number]]&gt;=3,1,0)</f>
        <v>0</v>
      </c>
      <c r="O3075" s="2">
        <f>IF(LeadsData[[#This Row],[Stage Number]]&gt;=4,1,0)</f>
        <v>0</v>
      </c>
    </row>
    <row r="3076" spans="1:15" x14ac:dyDescent="0.25">
      <c r="A3076" t="s">
        <v>3116</v>
      </c>
      <c r="B3076" s="1">
        <v>45390</v>
      </c>
      <c r="C3076" t="s">
        <v>31</v>
      </c>
      <c r="D3076" t="s">
        <v>32</v>
      </c>
      <c r="E3076" t="s">
        <v>13</v>
      </c>
      <c r="F3076" t="s">
        <v>22</v>
      </c>
      <c r="G3076" t="s">
        <v>42</v>
      </c>
      <c r="H3076">
        <v>16</v>
      </c>
      <c r="I3076" t="s">
        <v>87</v>
      </c>
      <c r="J3076">
        <v>3761.95</v>
      </c>
      <c r="K3076" cm="1">
        <f t="array" ref="K3076">_xlfn.SWITCH(LeadsData[[#This Row],[Funnel Stage Reached]],"Lead",1,"MQL",2,"SQL",3,"Customer",4)</f>
        <v>4</v>
      </c>
      <c r="L3076" t="str">
        <f>TEXT(LeadsData[[#This Row],[Signup Date]],"mmm-yyyy")</f>
        <v>Apr-2024</v>
      </c>
      <c r="M3076">
        <f>IF(LeadsData[[#This Row],[Stage Number]]&gt;=2,1,0)</f>
        <v>1</v>
      </c>
      <c r="N3076" s="2">
        <f>IF(LeadsData[[#This Row],[Stage Number]]&gt;=3,1,0)</f>
        <v>1</v>
      </c>
      <c r="O3076" s="2">
        <f>IF(LeadsData[[#This Row],[Stage Number]]&gt;=4,1,0)</f>
        <v>1</v>
      </c>
    </row>
    <row r="3077" spans="1:15" x14ac:dyDescent="0.25">
      <c r="A3077" t="s">
        <v>3117</v>
      </c>
      <c r="B3077" s="1">
        <v>45396</v>
      </c>
      <c r="C3077" t="s">
        <v>17</v>
      </c>
      <c r="D3077" t="s">
        <v>18</v>
      </c>
      <c r="E3077" t="s">
        <v>13</v>
      </c>
      <c r="F3077" t="s">
        <v>19</v>
      </c>
      <c r="G3077" t="s">
        <v>15</v>
      </c>
      <c r="K3077" cm="1">
        <f t="array" ref="K3077">_xlfn.SWITCH(LeadsData[[#This Row],[Funnel Stage Reached]],"Lead",1,"MQL",2,"SQL",3,"Customer",4)</f>
        <v>1</v>
      </c>
      <c r="L3077" t="str">
        <f>TEXT(LeadsData[[#This Row],[Signup Date]],"mmm-yyyy")</f>
        <v>Apr-2024</v>
      </c>
      <c r="M3077">
        <f>IF(LeadsData[[#This Row],[Stage Number]]&gt;=2,1,0)</f>
        <v>0</v>
      </c>
      <c r="N3077" s="2">
        <f>IF(LeadsData[[#This Row],[Stage Number]]&gt;=3,1,0)</f>
        <v>0</v>
      </c>
      <c r="O3077" s="2">
        <f>IF(LeadsData[[#This Row],[Stage Number]]&gt;=4,1,0)</f>
        <v>0</v>
      </c>
    </row>
    <row r="3078" spans="1:15" x14ac:dyDescent="0.25">
      <c r="A3078" t="s">
        <v>3118</v>
      </c>
      <c r="B3078" s="1">
        <v>45632</v>
      </c>
      <c r="C3078" t="s">
        <v>36</v>
      </c>
      <c r="D3078" t="s">
        <v>37</v>
      </c>
      <c r="E3078" t="s">
        <v>21</v>
      </c>
      <c r="F3078" t="s">
        <v>22</v>
      </c>
      <c r="G3078" t="s">
        <v>42</v>
      </c>
      <c r="H3078">
        <v>48</v>
      </c>
      <c r="I3078" t="s">
        <v>87</v>
      </c>
      <c r="J3078">
        <v>1876.88</v>
      </c>
      <c r="K3078" cm="1">
        <f t="array" ref="K3078">_xlfn.SWITCH(LeadsData[[#This Row],[Funnel Stage Reached]],"Lead",1,"MQL",2,"SQL",3,"Customer",4)</f>
        <v>4</v>
      </c>
      <c r="L3078" t="str">
        <f>TEXT(LeadsData[[#This Row],[Signup Date]],"mmm-yyyy")</f>
        <v>Dec-2024</v>
      </c>
      <c r="M3078">
        <f>IF(LeadsData[[#This Row],[Stage Number]]&gt;=2,1,0)</f>
        <v>1</v>
      </c>
      <c r="N3078" s="2">
        <f>IF(LeadsData[[#This Row],[Stage Number]]&gt;=3,1,0)</f>
        <v>1</v>
      </c>
      <c r="O3078" s="2">
        <f>IF(LeadsData[[#This Row],[Stage Number]]&gt;=4,1,0)</f>
        <v>1</v>
      </c>
    </row>
    <row r="3079" spans="1:15" x14ac:dyDescent="0.25">
      <c r="A3079" t="s">
        <v>3119</v>
      </c>
      <c r="B3079" s="1">
        <v>45317</v>
      </c>
      <c r="C3079" t="s">
        <v>25</v>
      </c>
      <c r="D3079" t="s">
        <v>26</v>
      </c>
      <c r="E3079" t="s">
        <v>21</v>
      </c>
      <c r="F3079" t="s">
        <v>19</v>
      </c>
      <c r="G3079" t="s">
        <v>15</v>
      </c>
      <c r="K3079" cm="1">
        <f t="array" ref="K3079">_xlfn.SWITCH(LeadsData[[#This Row],[Funnel Stage Reached]],"Lead",1,"MQL",2,"SQL",3,"Customer",4)</f>
        <v>1</v>
      </c>
      <c r="L3079" t="str">
        <f>TEXT(LeadsData[[#This Row],[Signup Date]],"mmm-yyyy")</f>
        <v>Jan-2024</v>
      </c>
      <c r="M3079">
        <f>IF(LeadsData[[#This Row],[Stage Number]]&gt;=2,1,0)</f>
        <v>0</v>
      </c>
      <c r="N3079" s="2">
        <f>IF(LeadsData[[#This Row],[Stage Number]]&gt;=3,1,0)</f>
        <v>0</v>
      </c>
      <c r="O3079" s="2">
        <f>IF(LeadsData[[#This Row],[Stage Number]]&gt;=4,1,0)</f>
        <v>0</v>
      </c>
    </row>
    <row r="3080" spans="1:15" x14ac:dyDescent="0.25">
      <c r="A3080" t="s">
        <v>3120</v>
      </c>
      <c r="B3080" s="1">
        <v>45401</v>
      </c>
      <c r="C3080" t="s">
        <v>31</v>
      </c>
      <c r="D3080" t="s">
        <v>34</v>
      </c>
      <c r="E3080" t="s">
        <v>13</v>
      </c>
      <c r="F3080" t="s">
        <v>19</v>
      </c>
      <c r="G3080" t="s">
        <v>23</v>
      </c>
      <c r="K3080" cm="1">
        <f t="array" ref="K3080">_xlfn.SWITCH(LeadsData[[#This Row],[Funnel Stage Reached]],"Lead",1,"MQL",2,"SQL",3,"Customer",4)</f>
        <v>2</v>
      </c>
      <c r="L3080" t="str">
        <f>TEXT(LeadsData[[#This Row],[Signup Date]],"mmm-yyyy")</f>
        <v>Apr-2024</v>
      </c>
      <c r="M3080">
        <f>IF(LeadsData[[#This Row],[Stage Number]]&gt;=2,1,0)</f>
        <v>1</v>
      </c>
      <c r="N3080" s="2">
        <f>IF(LeadsData[[#This Row],[Stage Number]]&gt;=3,1,0)</f>
        <v>0</v>
      </c>
      <c r="O3080" s="2">
        <f>IF(LeadsData[[#This Row],[Stage Number]]&gt;=4,1,0)</f>
        <v>0</v>
      </c>
    </row>
    <row r="3081" spans="1:15" x14ac:dyDescent="0.25">
      <c r="A3081" t="s">
        <v>3121</v>
      </c>
      <c r="B3081" s="1">
        <v>45570</v>
      </c>
      <c r="C3081" t="s">
        <v>31</v>
      </c>
      <c r="D3081" t="s">
        <v>32</v>
      </c>
      <c r="E3081" t="s">
        <v>13</v>
      </c>
      <c r="F3081" t="s">
        <v>19</v>
      </c>
      <c r="G3081" t="s">
        <v>29</v>
      </c>
      <c r="K3081" cm="1">
        <f t="array" ref="K3081">_xlfn.SWITCH(LeadsData[[#This Row],[Funnel Stage Reached]],"Lead",1,"MQL",2,"SQL",3,"Customer",4)</f>
        <v>3</v>
      </c>
      <c r="L3081" t="str">
        <f>TEXT(LeadsData[[#This Row],[Signup Date]],"mmm-yyyy")</f>
        <v>Oct-2024</v>
      </c>
      <c r="M3081">
        <f>IF(LeadsData[[#This Row],[Stage Number]]&gt;=2,1,0)</f>
        <v>1</v>
      </c>
      <c r="N3081" s="2">
        <f>IF(LeadsData[[#This Row],[Stage Number]]&gt;=3,1,0)</f>
        <v>1</v>
      </c>
      <c r="O3081" s="2">
        <f>IF(LeadsData[[#This Row],[Stage Number]]&gt;=4,1,0)</f>
        <v>0</v>
      </c>
    </row>
    <row r="3082" spans="1:15" x14ac:dyDescent="0.25">
      <c r="A3082" t="s">
        <v>3122</v>
      </c>
      <c r="B3082" s="1">
        <v>45474</v>
      </c>
      <c r="C3082" t="s">
        <v>46</v>
      </c>
      <c r="D3082" t="s">
        <v>47</v>
      </c>
      <c r="E3082" t="s">
        <v>48</v>
      </c>
      <c r="F3082" t="s">
        <v>19</v>
      </c>
      <c r="G3082" t="s">
        <v>15</v>
      </c>
      <c r="K3082" cm="1">
        <f t="array" ref="K3082">_xlfn.SWITCH(LeadsData[[#This Row],[Funnel Stage Reached]],"Lead",1,"MQL",2,"SQL",3,"Customer",4)</f>
        <v>1</v>
      </c>
      <c r="L3082" t="str">
        <f>TEXT(LeadsData[[#This Row],[Signup Date]],"mmm-yyyy")</f>
        <v>Jul-2024</v>
      </c>
      <c r="M3082">
        <f>IF(LeadsData[[#This Row],[Stage Number]]&gt;=2,1,0)</f>
        <v>0</v>
      </c>
      <c r="N3082" s="2">
        <f>IF(LeadsData[[#This Row],[Stage Number]]&gt;=3,1,0)</f>
        <v>0</v>
      </c>
      <c r="O3082" s="2">
        <f>IF(LeadsData[[#This Row],[Stage Number]]&gt;=4,1,0)</f>
        <v>0</v>
      </c>
    </row>
    <row r="3083" spans="1:15" x14ac:dyDescent="0.25">
      <c r="A3083" t="s">
        <v>3123</v>
      </c>
      <c r="B3083" s="1">
        <v>45551</v>
      </c>
      <c r="C3083" t="s">
        <v>11</v>
      </c>
      <c r="D3083" t="s">
        <v>12</v>
      </c>
      <c r="E3083" t="s">
        <v>13</v>
      </c>
      <c r="F3083" t="s">
        <v>19</v>
      </c>
      <c r="G3083" t="s">
        <v>15</v>
      </c>
      <c r="K3083" cm="1">
        <f t="array" ref="K3083">_xlfn.SWITCH(LeadsData[[#This Row],[Funnel Stage Reached]],"Lead",1,"MQL",2,"SQL",3,"Customer",4)</f>
        <v>1</v>
      </c>
      <c r="L3083" t="str">
        <f>TEXT(LeadsData[[#This Row],[Signup Date]],"mmm-yyyy")</f>
        <v>Sep-2024</v>
      </c>
      <c r="M3083">
        <f>IF(LeadsData[[#This Row],[Stage Number]]&gt;=2,1,0)</f>
        <v>0</v>
      </c>
      <c r="N3083" s="2">
        <f>IF(LeadsData[[#This Row],[Stage Number]]&gt;=3,1,0)</f>
        <v>0</v>
      </c>
      <c r="O3083" s="2">
        <f>IF(LeadsData[[#This Row],[Stage Number]]&gt;=4,1,0)</f>
        <v>0</v>
      </c>
    </row>
    <row r="3084" spans="1:15" x14ac:dyDescent="0.25">
      <c r="A3084" t="s">
        <v>3124</v>
      </c>
      <c r="B3084" s="1">
        <v>45299</v>
      </c>
      <c r="C3084" t="s">
        <v>31</v>
      </c>
      <c r="D3084" t="s">
        <v>34</v>
      </c>
      <c r="E3084" t="s">
        <v>21</v>
      </c>
      <c r="F3084" t="s">
        <v>22</v>
      </c>
      <c r="G3084" t="s">
        <v>42</v>
      </c>
      <c r="H3084">
        <v>49</v>
      </c>
      <c r="I3084" t="s">
        <v>87</v>
      </c>
      <c r="J3084">
        <v>1767.33</v>
      </c>
      <c r="K3084" cm="1">
        <f t="array" ref="K3084">_xlfn.SWITCH(LeadsData[[#This Row],[Funnel Stage Reached]],"Lead",1,"MQL",2,"SQL",3,"Customer",4)</f>
        <v>4</v>
      </c>
      <c r="L3084" t="str">
        <f>TEXT(LeadsData[[#This Row],[Signup Date]],"mmm-yyyy")</f>
        <v>Jan-2024</v>
      </c>
      <c r="M3084">
        <f>IF(LeadsData[[#This Row],[Stage Number]]&gt;=2,1,0)</f>
        <v>1</v>
      </c>
      <c r="N3084" s="2">
        <f>IF(LeadsData[[#This Row],[Stage Number]]&gt;=3,1,0)</f>
        <v>1</v>
      </c>
      <c r="O3084" s="2">
        <f>IF(LeadsData[[#This Row],[Stage Number]]&gt;=4,1,0)</f>
        <v>1</v>
      </c>
    </row>
    <row r="3085" spans="1:15" x14ac:dyDescent="0.25">
      <c r="A3085" t="s">
        <v>3125</v>
      </c>
      <c r="B3085" s="1">
        <v>45555</v>
      </c>
      <c r="C3085" t="s">
        <v>11</v>
      </c>
      <c r="D3085" t="s">
        <v>12</v>
      </c>
      <c r="E3085" t="s">
        <v>21</v>
      </c>
      <c r="F3085" t="s">
        <v>14</v>
      </c>
      <c r="G3085" t="s">
        <v>15</v>
      </c>
      <c r="K3085" cm="1">
        <f t="array" ref="K3085">_xlfn.SWITCH(LeadsData[[#This Row],[Funnel Stage Reached]],"Lead",1,"MQL",2,"SQL",3,"Customer",4)</f>
        <v>1</v>
      </c>
      <c r="L3085" t="str">
        <f>TEXT(LeadsData[[#This Row],[Signup Date]],"mmm-yyyy")</f>
        <v>Sep-2024</v>
      </c>
      <c r="M3085">
        <f>IF(LeadsData[[#This Row],[Stage Number]]&gt;=2,1,0)</f>
        <v>0</v>
      </c>
      <c r="N3085" s="2">
        <f>IF(LeadsData[[#This Row],[Stage Number]]&gt;=3,1,0)</f>
        <v>0</v>
      </c>
      <c r="O3085" s="2">
        <f>IF(LeadsData[[#This Row],[Stage Number]]&gt;=4,1,0)</f>
        <v>0</v>
      </c>
    </row>
    <row r="3086" spans="1:15" x14ac:dyDescent="0.25">
      <c r="A3086" t="s">
        <v>3126</v>
      </c>
      <c r="B3086" s="1">
        <v>45429</v>
      </c>
      <c r="C3086" t="s">
        <v>11</v>
      </c>
      <c r="D3086" t="s">
        <v>68</v>
      </c>
      <c r="E3086" t="s">
        <v>21</v>
      </c>
      <c r="F3086" t="s">
        <v>19</v>
      </c>
      <c r="G3086" t="s">
        <v>15</v>
      </c>
      <c r="K3086" cm="1">
        <f t="array" ref="K3086">_xlfn.SWITCH(LeadsData[[#This Row],[Funnel Stage Reached]],"Lead",1,"MQL",2,"SQL",3,"Customer",4)</f>
        <v>1</v>
      </c>
      <c r="L3086" t="str">
        <f>TEXT(LeadsData[[#This Row],[Signup Date]],"mmm-yyyy")</f>
        <v>May-2024</v>
      </c>
      <c r="M3086">
        <f>IF(LeadsData[[#This Row],[Stage Number]]&gt;=2,1,0)</f>
        <v>0</v>
      </c>
      <c r="N3086" s="2">
        <f>IF(LeadsData[[#This Row],[Stage Number]]&gt;=3,1,0)</f>
        <v>0</v>
      </c>
      <c r="O3086" s="2">
        <f>IF(LeadsData[[#This Row],[Stage Number]]&gt;=4,1,0)</f>
        <v>0</v>
      </c>
    </row>
    <row r="3087" spans="1:15" x14ac:dyDescent="0.25">
      <c r="A3087" t="s">
        <v>3127</v>
      </c>
      <c r="B3087" s="1">
        <v>45619</v>
      </c>
      <c r="C3087" t="s">
        <v>25</v>
      </c>
      <c r="D3087" t="s">
        <v>26</v>
      </c>
      <c r="E3087" t="s">
        <v>21</v>
      </c>
      <c r="F3087" t="s">
        <v>22</v>
      </c>
      <c r="G3087" t="s">
        <v>15</v>
      </c>
      <c r="K3087" cm="1">
        <f t="array" ref="K3087">_xlfn.SWITCH(LeadsData[[#This Row],[Funnel Stage Reached]],"Lead",1,"MQL",2,"SQL",3,"Customer",4)</f>
        <v>1</v>
      </c>
      <c r="L3087" t="str">
        <f>TEXT(LeadsData[[#This Row],[Signup Date]],"mmm-yyyy")</f>
        <v>Nov-2024</v>
      </c>
      <c r="M3087">
        <f>IF(LeadsData[[#This Row],[Stage Number]]&gt;=2,1,0)</f>
        <v>0</v>
      </c>
      <c r="N3087" s="2">
        <f>IF(LeadsData[[#This Row],[Stage Number]]&gt;=3,1,0)</f>
        <v>0</v>
      </c>
      <c r="O3087" s="2">
        <f>IF(LeadsData[[#This Row],[Stage Number]]&gt;=4,1,0)</f>
        <v>0</v>
      </c>
    </row>
    <row r="3088" spans="1:15" x14ac:dyDescent="0.25">
      <c r="A3088" t="s">
        <v>3128</v>
      </c>
      <c r="B3088" s="1">
        <v>45576</v>
      </c>
      <c r="C3088" t="s">
        <v>11</v>
      </c>
      <c r="D3088" t="s">
        <v>79</v>
      </c>
      <c r="E3088" t="s">
        <v>13</v>
      </c>
      <c r="F3088" t="s">
        <v>14</v>
      </c>
      <c r="G3088" t="s">
        <v>15</v>
      </c>
      <c r="K3088" cm="1">
        <f t="array" ref="K3088">_xlfn.SWITCH(LeadsData[[#This Row],[Funnel Stage Reached]],"Lead",1,"MQL",2,"SQL",3,"Customer",4)</f>
        <v>1</v>
      </c>
      <c r="L3088" t="str">
        <f>TEXT(LeadsData[[#This Row],[Signup Date]],"mmm-yyyy")</f>
        <v>Oct-2024</v>
      </c>
      <c r="M3088">
        <f>IF(LeadsData[[#This Row],[Stage Number]]&gt;=2,1,0)</f>
        <v>0</v>
      </c>
      <c r="N3088" s="2">
        <f>IF(LeadsData[[#This Row],[Stage Number]]&gt;=3,1,0)</f>
        <v>0</v>
      </c>
      <c r="O3088" s="2">
        <f>IF(LeadsData[[#This Row],[Stage Number]]&gt;=4,1,0)</f>
        <v>0</v>
      </c>
    </row>
    <row r="3089" spans="1:15" x14ac:dyDescent="0.25">
      <c r="A3089" t="s">
        <v>3129</v>
      </c>
      <c r="B3089" s="1">
        <v>45617</v>
      </c>
      <c r="C3089" t="s">
        <v>11</v>
      </c>
      <c r="D3089" t="s">
        <v>79</v>
      </c>
      <c r="E3089" t="s">
        <v>13</v>
      </c>
      <c r="F3089" t="s">
        <v>19</v>
      </c>
      <c r="G3089" t="s">
        <v>15</v>
      </c>
      <c r="K3089" cm="1">
        <f t="array" ref="K3089">_xlfn.SWITCH(LeadsData[[#This Row],[Funnel Stage Reached]],"Lead",1,"MQL",2,"SQL",3,"Customer",4)</f>
        <v>1</v>
      </c>
      <c r="L3089" t="str">
        <f>TEXT(LeadsData[[#This Row],[Signup Date]],"mmm-yyyy")</f>
        <v>Nov-2024</v>
      </c>
      <c r="M3089">
        <f>IF(LeadsData[[#This Row],[Stage Number]]&gt;=2,1,0)</f>
        <v>0</v>
      </c>
      <c r="N3089" s="2">
        <f>IF(LeadsData[[#This Row],[Stage Number]]&gt;=3,1,0)</f>
        <v>0</v>
      </c>
      <c r="O3089" s="2">
        <f>IF(LeadsData[[#This Row],[Stage Number]]&gt;=4,1,0)</f>
        <v>0</v>
      </c>
    </row>
    <row r="3090" spans="1:15" x14ac:dyDescent="0.25">
      <c r="A3090" t="s">
        <v>3130</v>
      </c>
      <c r="B3090" s="1">
        <v>45633</v>
      </c>
      <c r="C3090" t="s">
        <v>17</v>
      </c>
      <c r="D3090" t="s">
        <v>53</v>
      </c>
      <c r="E3090" t="s">
        <v>21</v>
      </c>
      <c r="F3090" t="s">
        <v>19</v>
      </c>
      <c r="G3090" t="s">
        <v>15</v>
      </c>
      <c r="K3090" cm="1">
        <f t="array" ref="K3090">_xlfn.SWITCH(LeadsData[[#This Row],[Funnel Stage Reached]],"Lead",1,"MQL",2,"SQL",3,"Customer",4)</f>
        <v>1</v>
      </c>
      <c r="L3090" t="str">
        <f>TEXT(LeadsData[[#This Row],[Signup Date]],"mmm-yyyy")</f>
        <v>Dec-2024</v>
      </c>
      <c r="M3090">
        <f>IF(LeadsData[[#This Row],[Stage Number]]&gt;=2,1,0)</f>
        <v>0</v>
      </c>
      <c r="N3090" s="2">
        <f>IF(LeadsData[[#This Row],[Stage Number]]&gt;=3,1,0)</f>
        <v>0</v>
      </c>
      <c r="O3090" s="2">
        <f>IF(LeadsData[[#This Row],[Stage Number]]&gt;=4,1,0)</f>
        <v>0</v>
      </c>
    </row>
    <row r="3091" spans="1:15" x14ac:dyDescent="0.25">
      <c r="A3091" t="s">
        <v>3131</v>
      </c>
      <c r="B3091" s="1">
        <v>45606</v>
      </c>
      <c r="C3091" t="s">
        <v>25</v>
      </c>
      <c r="D3091" t="s">
        <v>26</v>
      </c>
      <c r="E3091" t="s">
        <v>13</v>
      </c>
      <c r="F3091" t="s">
        <v>19</v>
      </c>
      <c r="G3091" t="s">
        <v>15</v>
      </c>
      <c r="K3091" cm="1">
        <f t="array" ref="K3091">_xlfn.SWITCH(LeadsData[[#This Row],[Funnel Stage Reached]],"Lead",1,"MQL",2,"SQL",3,"Customer",4)</f>
        <v>1</v>
      </c>
      <c r="L3091" t="str">
        <f>TEXT(LeadsData[[#This Row],[Signup Date]],"mmm-yyyy")</f>
        <v>Nov-2024</v>
      </c>
      <c r="M3091">
        <f>IF(LeadsData[[#This Row],[Stage Number]]&gt;=2,1,0)</f>
        <v>0</v>
      </c>
      <c r="N3091" s="2">
        <f>IF(LeadsData[[#This Row],[Stage Number]]&gt;=3,1,0)</f>
        <v>0</v>
      </c>
      <c r="O3091" s="2">
        <f>IF(LeadsData[[#This Row],[Stage Number]]&gt;=4,1,0)</f>
        <v>0</v>
      </c>
    </row>
    <row r="3092" spans="1:15" x14ac:dyDescent="0.25">
      <c r="A3092" t="s">
        <v>3132</v>
      </c>
      <c r="B3092" s="1">
        <v>45409</v>
      </c>
      <c r="C3092" t="s">
        <v>36</v>
      </c>
      <c r="D3092" t="s">
        <v>50</v>
      </c>
      <c r="E3092" t="s">
        <v>13</v>
      </c>
      <c r="F3092" t="s">
        <v>22</v>
      </c>
      <c r="G3092" t="s">
        <v>23</v>
      </c>
      <c r="K3092" cm="1">
        <f t="array" ref="K3092">_xlfn.SWITCH(LeadsData[[#This Row],[Funnel Stage Reached]],"Lead",1,"MQL",2,"SQL",3,"Customer",4)</f>
        <v>2</v>
      </c>
      <c r="L3092" t="str">
        <f>TEXT(LeadsData[[#This Row],[Signup Date]],"mmm-yyyy")</f>
        <v>Apr-2024</v>
      </c>
      <c r="M3092">
        <f>IF(LeadsData[[#This Row],[Stage Number]]&gt;=2,1,0)</f>
        <v>1</v>
      </c>
      <c r="N3092" s="2">
        <f>IF(LeadsData[[#This Row],[Stage Number]]&gt;=3,1,0)</f>
        <v>0</v>
      </c>
      <c r="O3092" s="2">
        <f>IF(LeadsData[[#This Row],[Stage Number]]&gt;=4,1,0)</f>
        <v>0</v>
      </c>
    </row>
    <row r="3093" spans="1:15" x14ac:dyDescent="0.25">
      <c r="A3093" t="s">
        <v>3133</v>
      </c>
      <c r="B3093" s="1">
        <v>45569</v>
      </c>
      <c r="C3093" t="s">
        <v>36</v>
      </c>
      <c r="D3093" t="s">
        <v>50</v>
      </c>
      <c r="E3093" t="s">
        <v>13</v>
      </c>
      <c r="F3093" t="s">
        <v>22</v>
      </c>
      <c r="G3093" t="s">
        <v>15</v>
      </c>
      <c r="K3093" cm="1">
        <f t="array" ref="K3093">_xlfn.SWITCH(LeadsData[[#This Row],[Funnel Stage Reached]],"Lead",1,"MQL",2,"SQL",3,"Customer",4)</f>
        <v>1</v>
      </c>
      <c r="L3093" t="str">
        <f>TEXT(LeadsData[[#This Row],[Signup Date]],"mmm-yyyy")</f>
        <v>Oct-2024</v>
      </c>
      <c r="M3093">
        <f>IF(LeadsData[[#This Row],[Stage Number]]&gt;=2,1,0)</f>
        <v>0</v>
      </c>
      <c r="N3093" s="2">
        <f>IF(LeadsData[[#This Row],[Stage Number]]&gt;=3,1,0)</f>
        <v>0</v>
      </c>
      <c r="O3093" s="2">
        <f>IF(LeadsData[[#This Row],[Stage Number]]&gt;=4,1,0)</f>
        <v>0</v>
      </c>
    </row>
    <row r="3094" spans="1:15" x14ac:dyDescent="0.25">
      <c r="A3094" t="s">
        <v>3134</v>
      </c>
      <c r="B3094" s="1">
        <v>45643</v>
      </c>
      <c r="C3094" t="s">
        <v>36</v>
      </c>
      <c r="D3094" t="s">
        <v>50</v>
      </c>
      <c r="E3094" t="s">
        <v>21</v>
      </c>
      <c r="F3094" t="s">
        <v>19</v>
      </c>
      <c r="G3094" t="s">
        <v>29</v>
      </c>
      <c r="K3094" cm="1">
        <f t="array" ref="K3094">_xlfn.SWITCH(LeadsData[[#This Row],[Funnel Stage Reached]],"Lead",1,"MQL",2,"SQL",3,"Customer",4)</f>
        <v>3</v>
      </c>
      <c r="L3094" t="str">
        <f>TEXT(LeadsData[[#This Row],[Signup Date]],"mmm-yyyy")</f>
        <v>Dec-2024</v>
      </c>
      <c r="M3094">
        <f>IF(LeadsData[[#This Row],[Stage Number]]&gt;=2,1,0)</f>
        <v>1</v>
      </c>
      <c r="N3094" s="2">
        <f>IF(LeadsData[[#This Row],[Stage Number]]&gt;=3,1,0)</f>
        <v>1</v>
      </c>
      <c r="O3094" s="2">
        <f>IF(LeadsData[[#This Row],[Stage Number]]&gt;=4,1,0)</f>
        <v>0</v>
      </c>
    </row>
    <row r="3095" spans="1:15" x14ac:dyDescent="0.25">
      <c r="A3095" t="s">
        <v>3135</v>
      </c>
      <c r="B3095" s="1">
        <v>45630</v>
      </c>
      <c r="C3095" t="s">
        <v>31</v>
      </c>
      <c r="D3095" t="s">
        <v>32</v>
      </c>
      <c r="E3095" t="s">
        <v>21</v>
      </c>
      <c r="F3095" t="s">
        <v>19</v>
      </c>
      <c r="G3095" t="s">
        <v>15</v>
      </c>
      <c r="K3095" cm="1">
        <f t="array" ref="K3095">_xlfn.SWITCH(LeadsData[[#This Row],[Funnel Stage Reached]],"Lead",1,"MQL",2,"SQL",3,"Customer",4)</f>
        <v>1</v>
      </c>
      <c r="L3095" t="str">
        <f>TEXT(LeadsData[[#This Row],[Signup Date]],"mmm-yyyy")</f>
        <v>Dec-2024</v>
      </c>
      <c r="M3095">
        <f>IF(LeadsData[[#This Row],[Stage Number]]&gt;=2,1,0)</f>
        <v>0</v>
      </c>
      <c r="N3095" s="2">
        <f>IF(LeadsData[[#This Row],[Stage Number]]&gt;=3,1,0)</f>
        <v>0</v>
      </c>
      <c r="O3095" s="2">
        <f>IF(LeadsData[[#This Row],[Stage Number]]&gt;=4,1,0)</f>
        <v>0</v>
      </c>
    </row>
    <row r="3096" spans="1:15" x14ac:dyDescent="0.25">
      <c r="A3096" t="s">
        <v>3136</v>
      </c>
      <c r="B3096" s="1">
        <v>45632</v>
      </c>
      <c r="C3096" t="s">
        <v>17</v>
      </c>
      <c r="D3096" t="s">
        <v>18</v>
      </c>
      <c r="E3096" t="s">
        <v>13</v>
      </c>
      <c r="F3096" t="s">
        <v>22</v>
      </c>
      <c r="G3096" t="s">
        <v>15</v>
      </c>
      <c r="K3096" cm="1">
        <f t="array" ref="K3096">_xlfn.SWITCH(LeadsData[[#This Row],[Funnel Stage Reached]],"Lead",1,"MQL",2,"SQL",3,"Customer",4)</f>
        <v>1</v>
      </c>
      <c r="L3096" t="str">
        <f>TEXT(LeadsData[[#This Row],[Signup Date]],"mmm-yyyy")</f>
        <v>Dec-2024</v>
      </c>
      <c r="M3096">
        <f>IF(LeadsData[[#This Row],[Stage Number]]&gt;=2,1,0)</f>
        <v>0</v>
      </c>
      <c r="N3096" s="2">
        <f>IF(LeadsData[[#This Row],[Stage Number]]&gt;=3,1,0)</f>
        <v>0</v>
      </c>
      <c r="O3096" s="2">
        <f>IF(LeadsData[[#This Row],[Stage Number]]&gt;=4,1,0)</f>
        <v>0</v>
      </c>
    </row>
    <row r="3097" spans="1:15" x14ac:dyDescent="0.25">
      <c r="A3097" t="s">
        <v>3137</v>
      </c>
      <c r="B3097" s="1">
        <v>45391</v>
      </c>
      <c r="C3097" t="s">
        <v>25</v>
      </c>
      <c r="D3097" t="s">
        <v>26</v>
      </c>
      <c r="E3097" t="s">
        <v>13</v>
      </c>
      <c r="F3097" t="s">
        <v>22</v>
      </c>
      <c r="G3097" t="s">
        <v>15</v>
      </c>
      <c r="K3097" cm="1">
        <f t="array" ref="K3097">_xlfn.SWITCH(LeadsData[[#This Row],[Funnel Stage Reached]],"Lead",1,"MQL",2,"SQL",3,"Customer",4)</f>
        <v>1</v>
      </c>
      <c r="L3097" t="str">
        <f>TEXT(LeadsData[[#This Row],[Signup Date]],"mmm-yyyy")</f>
        <v>Apr-2024</v>
      </c>
      <c r="M3097">
        <f>IF(LeadsData[[#This Row],[Stage Number]]&gt;=2,1,0)</f>
        <v>0</v>
      </c>
      <c r="N3097" s="2">
        <f>IF(LeadsData[[#This Row],[Stage Number]]&gt;=3,1,0)</f>
        <v>0</v>
      </c>
      <c r="O3097" s="2">
        <f>IF(LeadsData[[#This Row],[Stage Number]]&gt;=4,1,0)</f>
        <v>0</v>
      </c>
    </row>
    <row r="3098" spans="1:15" x14ac:dyDescent="0.25">
      <c r="A3098" t="s">
        <v>3138</v>
      </c>
      <c r="B3098" s="1">
        <v>45461</v>
      </c>
      <c r="C3098" t="s">
        <v>17</v>
      </c>
      <c r="D3098" t="s">
        <v>18</v>
      </c>
      <c r="E3098" t="s">
        <v>13</v>
      </c>
      <c r="F3098" t="s">
        <v>22</v>
      </c>
      <c r="G3098" t="s">
        <v>23</v>
      </c>
      <c r="K3098" cm="1">
        <f t="array" ref="K3098">_xlfn.SWITCH(LeadsData[[#This Row],[Funnel Stage Reached]],"Lead",1,"MQL",2,"SQL",3,"Customer",4)</f>
        <v>2</v>
      </c>
      <c r="L3098" t="str">
        <f>TEXT(LeadsData[[#This Row],[Signup Date]],"mmm-yyyy")</f>
        <v>Jun-2024</v>
      </c>
      <c r="M3098">
        <f>IF(LeadsData[[#This Row],[Stage Number]]&gt;=2,1,0)</f>
        <v>1</v>
      </c>
      <c r="N3098" s="2">
        <f>IF(LeadsData[[#This Row],[Stage Number]]&gt;=3,1,0)</f>
        <v>0</v>
      </c>
      <c r="O3098" s="2">
        <f>IF(LeadsData[[#This Row],[Stage Number]]&gt;=4,1,0)</f>
        <v>0</v>
      </c>
    </row>
    <row r="3099" spans="1:15" x14ac:dyDescent="0.25">
      <c r="A3099" t="s">
        <v>3139</v>
      </c>
      <c r="B3099" s="1">
        <v>45540</v>
      </c>
      <c r="C3099" t="s">
        <v>31</v>
      </c>
      <c r="D3099" t="s">
        <v>32</v>
      </c>
      <c r="E3099" t="s">
        <v>13</v>
      </c>
      <c r="F3099" t="s">
        <v>19</v>
      </c>
      <c r="G3099" t="s">
        <v>23</v>
      </c>
      <c r="K3099" cm="1">
        <f t="array" ref="K3099">_xlfn.SWITCH(LeadsData[[#This Row],[Funnel Stage Reached]],"Lead",1,"MQL",2,"SQL",3,"Customer",4)</f>
        <v>2</v>
      </c>
      <c r="L3099" t="str">
        <f>TEXT(LeadsData[[#This Row],[Signup Date]],"mmm-yyyy")</f>
        <v>Sep-2024</v>
      </c>
      <c r="M3099">
        <f>IF(LeadsData[[#This Row],[Stage Number]]&gt;=2,1,0)</f>
        <v>1</v>
      </c>
      <c r="N3099" s="2">
        <f>IF(LeadsData[[#This Row],[Stage Number]]&gt;=3,1,0)</f>
        <v>0</v>
      </c>
      <c r="O3099" s="2">
        <f>IF(LeadsData[[#This Row],[Stage Number]]&gt;=4,1,0)</f>
        <v>0</v>
      </c>
    </row>
    <row r="3100" spans="1:15" x14ac:dyDescent="0.25">
      <c r="A3100" t="s">
        <v>3140</v>
      </c>
      <c r="B3100" s="1">
        <v>45434</v>
      </c>
      <c r="C3100" t="s">
        <v>11</v>
      </c>
      <c r="D3100" t="s">
        <v>12</v>
      </c>
      <c r="E3100" t="s">
        <v>21</v>
      </c>
      <c r="F3100" t="s">
        <v>19</v>
      </c>
      <c r="G3100" t="s">
        <v>23</v>
      </c>
      <c r="K3100" cm="1">
        <f t="array" ref="K3100">_xlfn.SWITCH(LeadsData[[#This Row],[Funnel Stage Reached]],"Lead",1,"MQL",2,"SQL",3,"Customer",4)</f>
        <v>2</v>
      </c>
      <c r="L3100" t="str">
        <f>TEXT(LeadsData[[#This Row],[Signup Date]],"mmm-yyyy")</f>
        <v>May-2024</v>
      </c>
      <c r="M3100">
        <f>IF(LeadsData[[#This Row],[Stage Number]]&gt;=2,1,0)</f>
        <v>1</v>
      </c>
      <c r="N3100" s="2">
        <f>IF(LeadsData[[#This Row],[Stage Number]]&gt;=3,1,0)</f>
        <v>0</v>
      </c>
      <c r="O3100" s="2">
        <f>IF(LeadsData[[#This Row],[Stage Number]]&gt;=4,1,0)</f>
        <v>0</v>
      </c>
    </row>
    <row r="3101" spans="1:15" x14ac:dyDescent="0.25">
      <c r="A3101" t="s">
        <v>3141</v>
      </c>
      <c r="B3101" s="1">
        <v>45362</v>
      </c>
      <c r="C3101" t="s">
        <v>17</v>
      </c>
      <c r="D3101" t="s">
        <v>18</v>
      </c>
      <c r="E3101" t="s">
        <v>21</v>
      </c>
      <c r="F3101" t="s">
        <v>19</v>
      </c>
      <c r="G3101" t="s">
        <v>15</v>
      </c>
      <c r="K3101" cm="1">
        <f t="array" ref="K3101">_xlfn.SWITCH(LeadsData[[#This Row],[Funnel Stage Reached]],"Lead",1,"MQL",2,"SQL",3,"Customer",4)</f>
        <v>1</v>
      </c>
      <c r="L3101" t="str">
        <f>TEXT(LeadsData[[#This Row],[Signup Date]],"mmm-yyyy")</f>
        <v>Mar-2024</v>
      </c>
      <c r="M3101">
        <f>IF(LeadsData[[#This Row],[Stage Number]]&gt;=2,1,0)</f>
        <v>0</v>
      </c>
      <c r="N3101" s="2">
        <f>IF(LeadsData[[#This Row],[Stage Number]]&gt;=3,1,0)</f>
        <v>0</v>
      </c>
      <c r="O3101" s="2">
        <f>IF(LeadsData[[#This Row],[Stage Number]]&gt;=4,1,0)</f>
        <v>0</v>
      </c>
    </row>
    <row r="3102" spans="1:15" x14ac:dyDescent="0.25">
      <c r="A3102" t="s">
        <v>3142</v>
      </c>
      <c r="B3102" s="1">
        <v>45622</v>
      </c>
      <c r="C3102" t="s">
        <v>11</v>
      </c>
      <c r="D3102" t="s">
        <v>12</v>
      </c>
      <c r="E3102" t="s">
        <v>21</v>
      </c>
      <c r="F3102" t="s">
        <v>14</v>
      </c>
      <c r="G3102" t="s">
        <v>15</v>
      </c>
      <c r="K3102" cm="1">
        <f t="array" ref="K3102">_xlfn.SWITCH(LeadsData[[#This Row],[Funnel Stage Reached]],"Lead",1,"MQL",2,"SQL",3,"Customer",4)</f>
        <v>1</v>
      </c>
      <c r="L3102" t="str">
        <f>TEXT(LeadsData[[#This Row],[Signup Date]],"mmm-yyyy")</f>
        <v>Nov-2024</v>
      </c>
      <c r="M3102">
        <f>IF(LeadsData[[#This Row],[Stage Number]]&gt;=2,1,0)</f>
        <v>0</v>
      </c>
      <c r="N3102" s="2">
        <f>IF(LeadsData[[#This Row],[Stage Number]]&gt;=3,1,0)</f>
        <v>0</v>
      </c>
      <c r="O3102" s="2">
        <f>IF(LeadsData[[#This Row],[Stage Number]]&gt;=4,1,0)</f>
        <v>0</v>
      </c>
    </row>
    <row r="3103" spans="1:15" x14ac:dyDescent="0.25">
      <c r="A3103" t="s">
        <v>3143</v>
      </c>
      <c r="B3103" s="1">
        <v>45334</v>
      </c>
      <c r="C3103" t="s">
        <v>31</v>
      </c>
      <c r="D3103" t="s">
        <v>32</v>
      </c>
      <c r="E3103" t="s">
        <v>13</v>
      </c>
      <c r="F3103" t="s">
        <v>19</v>
      </c>
      <c r="G3103" t="s">
        <v>15</v>
      </c>
      <c r="K3103" cm="1">
        <f t="array" ref="K3103">_xlfn.SWITCH(LeadsData[[#This Row],[Funnel Stage Reached]],"Lead",1,"MQL",2,"SQL",3,"Customer",4)</f>
        <v>1</v>
      </c>
      <c r="L3103" t="str">
        <f>TEXT(LeadsData[[#This Row],[Signup Date]],"mmm-yyyy")</f>
        <v>Feb-2024</v>
      </c>
      <c r="M3103">
        <f>IF(LeadsData[[#This Row],[Stage Number]]&gt;=2,1,0)</f>
        <v>0</v>
      </c>
      <c r="N3103" s="2">
        <f>IF(LeadsData[[#This Row],[Stage Number]]&gt;=3,1,0)</f>
        <v>0</v>
      </c>
      <c r="O3103" s="2">
        <f>IF(LeadsData[[#This Row],[Stage Number]]&gt;=4,1,0)</f>
        <v>0</v>
      </c>
    </row>
    <row r="3104" spans="1:15" x14ac:dyDescent="0.25">
      <c r="A3104" t="s">
        <v>3144</v>
      </c>
      <c r="B3104" s="1">
        <v>45485</v>
      </c>
      <c r="C3104" t="s">
        <v>11</v>
      </c>
      <c r="D3104" t="s">
        <v>68</v>
      </c>
      <c r="E3104" t="s">
        <v>21</v>
      </c>
      <c r="F3104" t="s">
        <v>14</v>
      </c>
      <c r="G3104" t="s">
        <v>29</v>
      </c>
      <c r="K3104" cm="1">
        <f t="array" ref="K3104">_xlfn.SWITCH(LeadsData[[#This Row],[Funnel Stage Reached]],"Lead",1,"MQL",2,"SQL",3,"Customer",4)</f>
        <v>3</v>
      </c>
      <c r="L3104" t="str">
        <f>TEXT(LeadsData[[#This Row],[Signup Date]],"mmm-yyyy")</f>
        <v>Jul-2024</v>
      </c>
      <c r="M3104">
        <f>IF(LeadsData[[#This Row],[Stage Number]]&gt;=2,1,0)</f>
        <v>1</v>
      </c>
      <c r="N3104" s="2">
        <f>IF(LeadsData[[#This Row],[Stage Number]]&gt;=3,1,0)</f>
        <v>1</v>
      </c>
      <c r="O3104" s="2">
        <f>IF(LeadsData[[#This Row],[Stage Number]]&gt;=4,1,0)</f>
        <v>0</v>
      </c>
    </row>
    <row r="3105" spans="1:15" x14ac:dyDescent="0.25">
      <c r="A3105" t="s">
        <v>3145</v>
      </c>
      <c r="B3105" s="1">
        <v>45523</v>
      </c>
      <c r="C3105" t="s">
        <v>31</v>
      </c>
      <c r="D3105" t="s">
        <v>32</v>
      </c>
      <c r="E3105" t="s">
        <v>21</v>
      </c>
      <c r="F3105" t="s">
        <v>22</v>
      </c>
      <c r="G3105" t="s">
        <v>29</v>
      </c>
      <c r="K3105" cm="1">
        <f t="array" ref="K3105">_xlfn.SWITCH(LeadsData[[#This Row],[Funnel Stage Reached]],"Lead",1,"MQL",2,"SQL",3,"Customer",4)</f>
        <v>3</v>
      </c>
      <c r="L3105" t="str">
        <f>TEXT(LeadsData[[#This Row],[Signup Date]],"mmm-yyyy")</f>
        <v>Aug-2024</v>
      </c>
      <c r="M3105">
        <f>IF(LeadsData[[#This Row],[Stage Number]]&gt;=2,1,0)</f>
        <v>1</v>
      </c>
      <c r="N3105" s="2">
        <f>IF(LeadsData[[#This Row],[Stage Number]]&gt;=3,1,0)</f>
        <v>1</v>
      </c>
      <c r="O3105" s="2">
        <f>IF(LeadsData[[#This Row],[Stage Number]]&gt;=4,1,0)</f>
        <v>0</v>
      </c>
    </row>
    <row r="3106" spans="1:15" x14ac:dyDescent="0.25">
      <c r="A3106" t="s">
        <v>3146</v>
      </c>
      <c r="B3106" s="1">
        <v>45591</v>
      </c>
      <c r="C3106" t="s">
        <v>46</v>
      </c>
      <c r="D3106" t="s">
        <v>47</v>
      </c>
      <c r="E3106" t="s">
        <v>13</v>
      </c>
      <c r="F3106" t="s">
        <v>28</v>
      </c>
      <c r="G3106" t="s">
        <v>15</v>
      </c>
      <c r="K3106" cm="1">
        <f t="array" ref="K3106">_xlfn.SWITCH(LeadsData[[#This Row],[Funnel Stage Reached]],"Lead",1,"MQL",2,"SQL",3,"Customer",4)</f>
        <v>1</v>
      </c>
      <c r="L3106" t="str">
        <f>TEXT(LeadsData[[#This Row],[Signup Date]],"mmm-yyyy")</f>
        <v>Oct-2024</v>
      </c>
      <c r="M3106">
        <f>IF(LeadsData[[#This Row],[Stage Number]]&gt;=2,1,0)</f>
        <v>0</v>
      </c>
      <c r="N3106" s="2">
        <f>IF(LeadsData[[#This Row],[Stage Number]]&gt;=3,1,0)</f>
        <v>0</v>
      </c>
      <c r="O3106" s="2">
        <f>IF(LeadsData[[#This Row],[Stage Number]]&gt;=4,1,0)</f>
        <v>0</v>
      </c>
    </row>
    <row r="3107" spans="1:15" x14ac:dyDescent="0.25">
      <c r="A3107" t="s">
        <v>3147</v>
      </c>
      <c r="B3107" s="1">
        <v>45590</v>
      </c>
      <c r="C3107" t="s">
        <v>11</v>
      </c>
      <c r="D3107" t="s">
        <v>79</v>
      </c>
      <c r="E3107" t="s">
        <v>13</v>
      </c>
      <c r="F3107" t="s">
        <v>22</v>
      </c>
      <c r="G3107" t="s">
        <v>15</v>
      </c>
      <c r="K3107" cm="1">
        <f t="array" ref="K3107">_xlfn.SWITCH(LeadsData[[#This Row],[Funnel Stage Reached]],"Lead",1,"MQL",2,"SQL",3,"Customer",4)</f>
        <v>1</v>
      </c>
      <c r="L3107" t="str">
        <f>TEXT(LeadsData[[#This Row],[Signup Date]],"mmm-yyyy")</f>
        <v>Oct-2024</v>
      </c>
      <c r="M3107">
        <f>IF(LeadsData[[#This Row],[Stage Number]]&gt;=2,1,0)</f>
        <v>0</v>
      </c>
      <c r="N3107" s="2">
        <f>IF(LeadsData[[#This Row],[Stage Number]]&gt;=3,1,0)</f>
        <v>0</v>
      </c>
      <c r="O3107" s="2">
        <f>IF(LeadsData[[#This Row],[Stage Number]]&gt;=4,1,0)</f>
        <v>0</v>
      </c>
    </row>
    <row r="3108" spans="1:15" x14ac:dyDescent="0.25">
      <c r="A3108" t="s">
        <v>3148</v>
      </c>
      <c r="B3108" s="1">
        <v>45400</v>
      </c>
      <c r="C3108" t="s">
        <v>11</v>
      </c>
      <c r="D3108" t="s">
        <v>12</v>
      </c>
      <c r="E3108" t="s">
        <v>13</v>
      </c>
      <c r="F3108" t="s">
        <v>14</v>
      </c>
      <c r="G3108" t="s">
        <v>15</v>
      </c>
      <c r="K3108" cm="1">
        <f t="array" ref="K3108">_xlfn.SWITCH(LeadsData[[#This Row],[Funnel Stage Reached]],"Lead",1,"MQL",2,"SQL",3,"Customer",4)</f>
        <v>1</v>
      </c>
      <c r="L3108" t="str">
        <f>TEXT(LeadsData[[#This Row],[Signup Date]],"mmm-yyyy")</f>
        <v>Apr-2024</v>
      </c>
      <c r="M3108">
        <f>IF(LeadsData[[#This Row],[Stage Number]]&gt;=2,1,0)</f>
        <v>0</v>
      </c>
      <c r="N3108" s="2">
        <f>IF(LeadsData[[#This Row],[Stage Number]]&gt;=3,1,0)</f>
        <v>0</v>
      </c>
      <c r="O3108" s="2">
        <f>IF(LeadsData[[#This Row],[Stage Number]]&gt;=4,1,0)</f>
        <v>0</v>
      </c>
    </row>
    <row r="3109" spans="1:15" x14ac:dyDescent="0.25">
      <c r="A3109" t="s">
        <v>3149</v>
      </c>
      <c r="B3109" s="1">
        <v>45490</v>
      </c>
      <c r="C3109" t="s">
        <v>31</v>
      </c>
      <c r="D3109" t="s">
        <v>34</v>
      </c>
      <c r="E3109" t="s">
        <v>13</v>
      </c>
      <c r="F3109" t="s">
        <v>19</v>
      </c>
      <c r="G3109" t="s">
        <v>15</v>
      </c>
      <c r="K3109" cm="1">
        <f t="array" ref="K3109">_xlfn.SWITCH(LeadsData[[#This Row],[Funnel Stage Reached]],"Lead",1,"MQL",2,"SQL",3,"Customer",4)</f>
        <v>1</v>
      </c>
      <c r="L3109" t="str">
        <f>TEXT(LeadsData[[#This Row],[Signup Date]],"mmm-yyyy")</f>
        <v>Jul-2024</v>
      </c>
      <c r="M3109">
        <f>IF(LeadsData[[#This Row],[Stage Number]]&gt;=2,1,0)</f>
        <v>0</v>
      </c>
      <c r="N3109" s="2">
        <f>IF(LeadsData[[#This Row],[Stage Number]]&gt;=3,1,0)</f>
        <v>0</v>
      </c>
      <c r="O3109" s="2">
        <f>IF(LeadsData[[#This Row],[Stage Number]]&gt;=4,1,0)</f>
        <v>0</v>
      </c>
    </row>
    <row r="3110" spans="1:15" x14ac:dyDescent="0.25">
      <c r="A3110" t="s">
        <v>3150</v>
      </c>
      <c r="B3110" s="1">
        <v>45312</v>
      </c>
      <c r="C3110" t="s">
        <v>17</v>
      </c>
      <c r="D3110" t="s">
        <v>53</v>
      </c>
      <c r="E3110" t="s">
        <v>48</v>
      </c>
      <c r="F3110" t="s">
        <v>22</v>
      </c>
      <c r="G3110" t="s">
        <v>15</v>
      </c>
      <c r="K3110" cm="1">
        <f t="array" ref="K3110">_xlfn.SWITCH(LeadsData[[#This Row],[Funnel Stage Reached]],"Lead",1,"MQL",2,"SQL",3,"Customer",4)</f>
        <v>1</v>
      </c>
      <c r="L3110" t="str">
        <f>TEXT(LeadsData[[#This Row],[Signup Date]],"mmm-yyyy")</f>
        <v>Jan-2024</v>
      </c>
      <c r="M3110">
        <f>IF(LeadsData[[#This Row],[Stage Number]]&gt;=2,1,0)</f>
        <v>0</v>
      </c>
      <c r="N3110" s="2">
        <f>IF(LeadsData[[#This Row],[Stage Number]]&gt;=3,1,0)</f>
        <v>0</v>
      </c>
      <c r="O3110" s="2">
        <f>IF(LeadsData[[#This Row],[Stage Number]]&gt;=4,1,0)</f>
        <v>0</v>
      </c>
    </row>
    <row r="3111" spans="1:15" x14ac:dyDescent="0.25">
      <c r="A3111" t="s">
        <v>3151</v>
      </c>
      <c r="B3111" s="1">
        <v>45409</v>
      </c>
      <c r="C3111" t="s">
        <v>17</v>
      </c>
      <c r="D3111" t="s">
        <v>53</v>
      </c>
      <c r="E3111" t="s">
        <v>13</v>
      </c>
      <c r="F3111" t="s">
        <v>14</v>
      </c>
      <c r="G3111" t="s">
        <v>15</v>
      </c>
      <c r="K3111" cm="1">
        <f t="array" ref="K3111">_xlfn.SWITCH(LeadsData[[#This Row],[Funnel Stage Reached]],"Lead",1,"MQL",2,"SQL",3,"Customer",4)</f>
        <v>1</v>
      </c>
      <c r="L3111" t="str">
        <f>TEXT(LeadsData[[#This Row],[Signup Date]],"mmm-yyyy")</f>
        <v>Apr-2024</v>
      </c>
      <c r="M3111">
        <f>IF(LeadsData[[#This Row],[Stage Number]]&gt;=2,1,0)</f>
        <v>0</v>
      </c>
      <c r="N3111" s="2">
        <f>IF(LeadsData[[#This Row],[Stage Number]]&gt;=3,1,0)</f>
        <v>0</v>
      </c>
      <c r="O3111" s="2">
        <f>IF(LeadsData[[#This Row],[Stage Number]]&gt;=4,1,0)</f>
        <v>0</v>
      </c>
    </row>
    <row r="3112" spans="1:15" x14ac:dyDescent="0.25">
      <c r="A3112" t="s">
        <v>3152</v>
      </c>
      <c r="B3112" s="1">
        <v>45592</v>
      </c>
      <c r="C3112" t="s">
        <v>36</v>
      </c>
      <c r="D3112" t="s">
        <v>37</v>
      </c>
      <c r="E3112" t="s">
        <v>13</v>
      </c>
      <c r="F3112" t="s">
        <v>22</v>
      </c>
      <c r="G3112" t="s">
        <v>15</v>
      </c>
      <c r="K3112" cm="1">
        <f t="array" ref="K3112">_xlfn.SWITCH(LeadsData[[#This Row],[Funnel Stage Reached]],"Lead",1,"MQL",2,"SQL",3,"Customer",4)</f>
        <v>1</v>
      </c>
      <c r="L3112" t="str">
        <f>TEXT(LeadsData[[#This Row],[Signup Date]],"mmm-yyyy")</f>
        <v>Oct-2024</v>
      </c>
      <c r="M3112">
        <f>IF(LeadsData[[#This Row],[Stage Number]]&gt;=2,1,0)</f>
        <v>0</v>
      </c>
      <c r="N3112" s="2">
        <f>IF(LeadsData[[#This Row],[Stage Number]]&gt;=3,1,0)</f>
        <v>0</v>
      </c>
      <c r="O3112" s="2">
        <f>IF(LeadsData[[#This Row],[Stage Number]]&gt;=4,1,0)</f>
        <v>0</v>
      </c>
    </row>
    <row r="3113" spans="1:15" x14ac:dyDescent="0.25">
      <c r="A3113" t="s">
        <v>3153</v>
      </c>
      <c r="B3113" s="1">
        <v>45514</v>
      </c>
      <c r="C3113" t="s">
        <v>31</v>
      </c>
      <c r="D3113" t="s">
        <v>32</v>
      </c>
      <c r="E3113" t="s">
        <v>13</v>
      </c>
      <c r="F3113" t="s">
        <v>28</v>
      </c>
      <c r="G3113" t="s">
        <v>29</v>
      </c>
      <c r="K3113" cm="1">
        <f t="array" ref="K3113">_xlfn.SWITCH(LeadsData[[#This Row],[Funnel Stage Reached]],"Lead",1,"MQL",2,"SQL",3,"Customer",4)</f>
        <v>3</v>
      </c>
      <c r="L3113" t="str">
        <f>TEXT(LeadsData[[#This Row],[Signup Date]],"mmm-yyyy")</f>
        <v>Aug-2024</v>
      </c>
      <c r="M3113">
        <f>IF(LeadsData[[#This Row],[Stage Number]]&gt;=2,1,0)</f>
        <v>1</v>
      </c>
      <c r="N3113" s="2">
        <f>IF(LeadsData[[#This Row],[Stage Number]]&gt;=3,1,0)</f>
        <v>1</v>
      </c>
      <c r="O3113" s="2">
        <f>IF(LeadsData[[#This Row],[Stage Number]]&gt;=4,1,0)</f>
        <v>0</v>
      </c>
    </row>
    <row r="3114" spans="1:15" x14ac:dyDescent="0.25">
      <c r="A3114" t="s">
        <v>3154</v>
      </c>
      <c r="B3114" s="1">
        <v>45621</v>
      </c>
      <c r="C3114" t="s">
        <v>25</v>
      </c>
      <c r="D3114" t="s">
        <v>26</v>
      </c>
      <c r="E3114" t="s">
        <v>13</v>
      </c>
      <c r="F3114" t="s">
        <v>22</v>
      </c>
      <c r="G3114" t="s">
        <v>15</v>
      </c>
      <c r="K3114" cm="1">
        <f t="array" ref="K3114">_xlfn.SWITCH(LeadsData[[#This Row],[Funnel Stage Reached]],"Lead",1,"MQL",2,"SQL",3,"Customer",4)</f>
        <v>1</v>
      </c>
      <c r="L3114" t="str">
        <f>TEXT(LeadsData[[#This Row],[Signup Date]],"mmm-yyyy")</f>
        <v>Nov-2024</v>
      </c>
      <c r="M3114">
        <f>IF(LeadsData[[#This Row],[Stage Number]]&gt;=2,1,0)</f>
        <v>0</v>
      </c>
      <c r="N3114" s="2">
        <f>IF(LeadsData[[#This Row],[Stage Number]]&gt;=3,1,0)</f>
        <v>0</v>
      </c>
      <c r="O3114" s="2">
        <f>IF(LeadsData[[#This Row],[Stage Number]]&gt;=4,1,0)</f>
        <v>0</v>
      </c>
    </row>
    <row r="3115" spans="1:15" x14ac:dyDescent="0.25">
      <c r="A3115" t="s">
        <v>3155</v>
      </c>
      <c r="B3115" s="1">
        <v>45371</v>
      </c>
      <c r="C3115" t="s">
        <v>11</v>
      </c>
      <c r="D3115" t="s">
        <v>79</v>
      </c>
      <c r="E3115" t="s">
        <v>21</v>
      </c>
      <c r="F3115" t="s">
        <v>22</v>
      </c>
      <c r="G3115" t="s">
        <v>15</v>
      </c>
      <c r="K3115" cm="1">
        <f t="array" ref="K3115">_xlfn.SWITCH(LeadsData[[#This Row],[Funnel Stage Reached]],"Lead",1,"MQL",2,"SQL",3,"Customer",4)</f>
        <v>1</v>
      </c>
      <c r="L3115" t="str">
        <f>TEXT(LeadsData[[#This Row],[Signup Date]],"mmm-yyyy")</f>
        <v>Mar-2024</v>
      </c>
      <c r="M3115">
        <f>IF(LeadsData[[#This Row],[Stage Number]]&gt;=2,1,0)</f>
        <v>0</v>
      </c>
      <c r="N3115" s="2">
        <f>IF(LeadsData[[#This Row],[Stage Number]]&gt;=3,1,0)</f>
        <v>0</v>
      </c>
      <c r="O3115" s="2">
        <f>IF(LeadsData[[#This Row],[Stage Number]]&gt;=4,1,0)</f>
        <v>0</v>
      </c>
    </row>
    <row r="3116" spans="1:15" x14ac:dyDescent="0.25">
      <c r="A3116" t="s">
        <v>3156</v>
      </c>
      <c r="B3116" s="1">
        <v>45551</v>
      </c>
      <c r="C3116" t="s">
        <v>11</v>
      </c>
      <c r="D3116" t="s">
        <v>12</v>
      </c>
      <c r="E3116" t="s">
        <v>21</v>
      </c>
      <c r="F3116" t="s">
        <v>19</v>
      </c>
      <c r="G3116" t="s">
        <v>15</v>
      </c>
      <c r="K3116" cm="1">
        <f t="array" ref="K3116">_xlfn.SWITCH(LeadsData[[#This Row],[Funnel Stage Reached]],"Lead",1,"MQL",2,"SQL",3,"Customer",4)</f>
        <v>1</v>
      </c>
      <c r="L3116" t="str">
        <f>TEXT(LeadsData[[#This Row],[Signup Date]],"mmm-yyyy")</f>
        <v>Sep-2024</v>
      </c>
      <c r="M3116">
        <f>IF(LeadsData[[#This Row],[Stage Number]]&gt;=2,1,0)</f>
        <v>0</v>
      </c>
      <c r="N3116" s="2">
        <f>IF(LeadsData[[#This Row],[Stage Number]]&gt;=3,1,0)</f>
        <v>0</v>
      </c>
      <c r="O3116" s="2">
        <f>IF(LeadsData[[#This Row],[Stage Number]]&gt;=4,1,0)</f>
        <v>0</v>
      </c>
    </row>
    <row r="3117" spans="1:15" x14ac:dyDescent="0.25">
      <c r="A3117" t="s">
        <v>3157</v>
      </c>
      <c r="B3117" s="1">
        <v>45327</v>
      </c>
      <c r="C3117" t="s">
        <v>36</v>
      </c>
      <c r="D3117" t="s">
        <v>37</v>
      </c>
      <c r="E3117" t="s">
        <v>13</v>
      </c>
      <c r="F3117" t="s">
        <v>22</v>
      </c>
      <c r="G3117" t="s">
        <v>23</v>
      </c>
      <c r="K3117" cm="1">
        <f t="array" ref="K3117">_xlfn.SWITCH(LeadsData[[#This Row],[Funnel Stage Reached]],"Lead",1,"MQL",2,"SQL",3,"Customer",4)</f>
        <v>2</v>
      </c>
      <c r="L3117" t="str">
        <f>TEXT(LeadsData[[#This Row],[Signup Date]],"mmm-yyyy")</f>
        <v>Feb-2024</v>
      </c>
      <c r="M3117">
        <f>IF(LeadsData[[#This Row],[Stage Number]]&gt;=2,1,0)</f>
        <v>1</v>
      </c>
      <c r="N3117" s="2">
        <f>IF(LeadsData[[#This Row],[Stage Number]]&gt;=3,1,0)</f>
        <v>0</v>
      </c>
      <c r="O3117" s="2">
        <f>IF(LeadsData[[#This Row],[Stage Number]]&gt;=4,1,0)</f>
        <v>0</v>
      </c>
    </row>
    <row r="3118" spans="1:15" x14ac:dyDescent="0.25">
      <c r="A3118" t="s">
        <v>3158</v>
      </c>
      <c r="B3118" s="1">
        <v>45455</v>
      </c>
      <c r="C3118" t="s">
        <v>25</v>
      </c>
      <c r="D3118" t="s">
        <v>26</v>
      </c>
      <c r="E3118" t="s">
        <v>13</v>
      </c>
      <c r="F3118" t="s">
        <v>19</v>
      </c>
      <c r="G3118" t="s">
        <v>15</v>
      </c>
      <c r="K3118" cm="1">
        <f t="array" ref="K3118">_xlfn.SWITCH(LeadsData[[#This Row],[Funnel Stage Reached]],"Lead",1,"MQL",2,"SQL",3,"Customer",4)</f>
        <v>1</v>
      </c>
      <c r="L3118" t="str">
        <f>TEXT(LeadsData[[#This Row],[Signup Date]],"mmm-yyyy")</f>
        <v>Jun-2024</v>
      </c>
      <c r="M3118">
        <f>IF(LeadsData[[#This Row],[Stage Number]]&gt;=2,1,0)</f>
        <v>0</v>
      </c>
      <c r="N3118" s="2">
        <f>IF(LeadsData[[#This Row],[Stage Number]]&gt;=3,1,0)</f>
        <v>0</v>
      </c>
      <c r="O3118" s="2">
        <f>IF(LeadsData[[#This Row],[Stage Number]]&gt;=4,1,0)</f>
        <v>0</v>
      </c>
    </row>
    <row r="3119" spans="1:15" x14ac:dyDescent="0.25">
      <c r="A3119" t="s">
        <v>3159</v>
      </c>
      <c r="B3119" s="1">
        <v>45621</v>
      </c>
      <c r="C3119" t="s">
        <v>46</v>
      </c>
      <c r="D3119" t="s">
        <v>56</v>
      </c>
      <c r="E3119" t="s">
        <v>21</v>
      </c>
      <c r="F3119" t="s">
        <v>22</v>
      </c>
      <c r="G3119" t="s">
        <v>23</v>
      </c>
      <c r="K3119" cm="1">
        <f t="array" ref="K3119">_xlfn.SWITCH(LeadsData[[#This Row],[Funnel Stage Reached]],"Lead",1,"MQL",2,"SQL",3,"Customer",4)</f>
        <v>2</v>
      </c>
      <c r="L3119" t="str">
        <f>TEXT(LeadsData[[#This Row],[Signup Date]],"mmm-yyyy")</f>
        <v>Nov-2024</v>
      </c>
      <c r="M3119">
        <f>IF(LeadsData[[#This Row],[Stage Number]]&gt;=2,1,0)</f>
        <v>1</v>
      </c>
      <c r="N3119" s="2">
        <f>IF(LeadsData[[#This Row],[Stage Number]]&gt;=3,1,0)</f>
        <v>0</v>
      </c>
      <c r="O3119" s="2">
        <f>IF(LeadsData[[#This Row],[Stage Number]]&gt;=4,1,0)</f>
        <v>0</v>
      </c>
    </row>
    <row r="3120" spans="1:15" x14ac:dyDescent="0.25">
      <c r="A3120" t="s">
        <v>3160</v>
      </c>
      <c r="B3120" s="1">
        <v>45434</v>
      </c>
      <c r="C3120" t="s">
        <v>36</v>
      </c>
      <c r="D3120" t="s">
        <v>37</v>
      </c>
      <c r="E3120" t="s">
        <v>48</v>
      </c>
      <c r="F3120" t="s">
        <v>19</v>
      </c>
      <c r="G3120" t="s">
        <v>15</v>
      </c>
      <c r="K3120" cm="1">
        <f t="array" ref="K3120">_xlfn.SWITCH(LeadsData[[#This Row],[Funnel Stage Reached]],"Lead",1,"MQL",2,"SQL",3,"Customer",4)</f>
        <v>1</v>
      </c>
      <c r="L3120" t="str">
        <f>TEXT(LeadsData[[#This Row],[Signup Date]],"mmm-yyyy")</f>
        <v>May-2024</v>
      </c>
      <c r="M3120">
        <f>IF(LeadsData[[#This Row],[Stage Number]]&gt;=2,1,0)</f>
        <v>0</v>
      </c>
      <c r="N3120" s="2">
        <f>IF(LeadsData[[#This Row],[Stage Number]]&gt;=3,1,0)</f>
        <v>0</v>
      </c>
      <c r="O3120" s="2">
        <f>IF(LeadsData[[#This Row],[Stage Number]]&gt;=4,1,0)</f>
        <v>0</v>
      </c>
    </row>
    <row r="3121" spans="1:15" x14ac:dyDescent="0.25">
      <c r="A3121" t="s">
        <v>3161</v>
      </c>
      <c r="B3121" s="1">
        <v>45500</v>
      </c>
      <c r="C3121" t="s">
        <v>31</v>
      </c>
      <c r="D3121" t="s">
        <v>34</v>
      </c>
      <c r="E3121" t="s">
        <v>48</v>
      </c>
      <c r="F3121" t="s">
        <v>19</v>
      </c>
      <c r="G3121" t="s">
        <v>15</v>
      </c>
      <c r="K3121" cm="1">
        <f t="array" ref="K3121">_xlfn.SWITCH(LeadsData[[#This Row],[Funnel Stage Reached]],"Lead",1,"MQL",2,"SQL",3,"Customer",4)</f>
        <v>1</v>
      </c>
      <c r="L3121" t="str">
        <f>TEXT(LeadsData[[#This Row],[Signup Date]],"mmm-yyyy")</f>
        <v>Jul-2024</v>
      </c>
      <c r="M3121">
        <f>IF(LeadsData[[#This Row],[Stage Number]]&gt;=2,1,0)</f>
        <v>0</v>
      </c>
      <c r="N3121" s="2">
        <f>IF(LeadsData[[#This Row],[Stage Number]]&gt;=3,1,0)</f>
        <v>0</v>
      </c>
      <c r="O3121" s="2">
        <f>IF(LeadsData[[#This Row],[Stage Number]]&gt;=4,1,0)</f>
        <v>0</v>
      </c>
    </row>
    <row r="3122" spans="1:15" x14ac:dyDescent="0.25">
      <c r="A3122" t="s">
        <v>3162</v>
      </c>
      <c r="B3122" s="1">
        <v>45638</v>
      </c>
      <c r="C3122" t="s">
        <v>25</v>
      </c>
      <c r="D3122" t="s">
        <v>26</v>
      </c>
      <c r="E3122" t="s">
        <v>13</v>
      </c>
      <c r="F3122" t="s">
        <v>19</v>
      </c>
      <c r="G3122" t="s">
        <v>15</v>
      </c>
      <c r="K3122" cm="1">
        <f t="array" ref="K3122">_xlfn.SWITCH(LeadsData[[#This Row],[Funnel Stage Reached]],"Lead",1,"MQL",2,"SQL",3,"Customer",4)</f>
        <v>1</v>
      </c>
      <c r="L3122" t="str">
        <f>TEXT(LeadsData[[#This Row],[Signup Date]],"mmm-yyyy")</f>
        <v>Dec-2024</v>
      </c>
      <c r="M3122">
        <f>IF(LeadsData[[#This Row],[Stage Number]]&gt;=2,1,0)</f>
        <v>0</v>
      </c>
      <c r="N3122" s="2">
        <f>IF(LeadsData[[#This Row],[Stage Number]]&gt;=3,1,0)</f>
        <v>0</v>
      </c>
      <c r="O3122" s="2">
        <f>IF(LeadsData[[#This Row],[Stage Number]]&gt;=4,1,0)</f>
        <v>0</v>
      </c>
    </row>
    <row r="3123" spans="1:15" x14ac:dyDescent="0.25">
      <c r="A3123" t="s">
        <v>3163</v>
      </c>
      <c r="B3123" s="1">
        <v>45348</v>
      </c>
      <c r="C3123" t="s">
        <v>31</v>
      </c>
      <c r="D3123" t="s">
        <v>34</v>
      </c>
      <c r="E3123" t="s">
        <v>21</v>
      </c>
      <c r="F3123" t="s">
        <v>19</v>
      </c>
      <c r="G3123" t="s">
        <v>23</v>
      </c>
      <c r="K3123" cm="1">
        <f t="array" ref="K3123">_xlfn.SWITCH(LeadsData[[#This Row],[Funnel Stage Reached]],"Lead",1,"MQL",2,"SQL",3,"Customer",4)</f>
        <v>2</v>
      </c>
      <c r="L3123" t="str">
        <f>TEXT(LeadsData[[#This Row],[Signup Date]],"mmm-yyyy")</f>
        <v>Feb-2024</v>
      </c>
      <c r="M3123">
        <f>IF(LeadsData[[#This Row],[Stage Number]]&gt;=2,1,0)</f>
        <v>1</v>
      </c>
      <c r="N3123" s="2">
        <f>IF(LeadsData[[#This Row],[Stage Number]]&gt;=3,1,0)</f>
        <v>0</v>
      </c>
      <c r="O3123" s="2">
        <f>IF(LeadsData[[#This Row],[Stage Number]]&gt;=4,1,0)</f>
        <v>0</v>
      </c>
    </row>
    <row r="3124" spans="1:15" x14ac:dyDescent="0.25">
      <c r="A3124" t="s">
        <v>3164</v>
      </c>
      <c r="B3124" s="1">
        <v>45358</v>
      </c>
      <c r="C3124" t="s">
        <v>17</v>
      </c>
      <c r="D3124" t="s">
        <v>18</v>
      </c>
      <c r="E3124" t="s">
        <v>21</v>
      </c>
      <c r="F3124" t="s">
        <v>19</v>
      </c>
      <c r="G3124" t="s">
        <v>23</v>
      </c>
      <c r="K3124" cm="1">
        <f t="array" ref="K3124">_xlfn.SWITCH(LeadsData[[#This Row],[Funnel Stage Reached]],"Lead",1,"MQL",2,"SQL",3,"Customer",4)</f>
        <v>2</v>
      </c>
      <c r="L3124" t="str">
        <f>TEXT(LeadsData[[#This Row],[Signup Date]],"mmm-yyyy")</f>
        <v>Mar-2024</v>
      </c>
      <c r="M3124">
        <f>IF(LeadsData[[#This Row],[Stage Number]]&gt;=2,1,0)</f>
        <v>1</v>
      </c>
      <c r="N3124" s="2">
        <f>IF(LeadsData[[#This Row],[Stage Number]]&gt;=3,1,0)</f>
        <v>0</v>
      </c>
      <c r="O3124" s="2">
        <f>IF(LeadsData[[#This Row],[Stage Number]]&gt;=4,1,0)</f>
        <v>0</v>
      </c>
    </row>
    <row r="3125" spans="1:15" x14ac:dyDescent="0.25">
      <c r="A3125" t="s">
        <v>3165</v>
      </c>
      <c r="B3125" s="1">
        <v>45545</v>
      </c>
      <c r="C3125" t="s">
        <v>11</v>
      </c>
      <c r="D3125" t="s">
        <v>68</v>
      </c>
      <c r="E3125" t="s">
        <v>13</v>
      </c>
      <c r="F3125" t="s">
        <v>19</v>
      </c>
      <c r="G3125" t="s">
        <v>15</v>
      </c>
      <c r="K3125" cm="1">
        <f t="array" ref="K3125">_xlfn.SWITCH(LeadsData[[#This Row],[Funnel Stage Reached]],"Lead",1,"MQL",2,"SQL",3,"Customer",4)</f>
        <v>1</v>
      </c>
      <c r="L3125" t="str">
        <f>TEXT(LeadsData[[#This Row],[Signup Date]],"mmm-yyyy")</f>
        <v>Sep-2024</v>
      </c>
      <c r="M3125">
        <f>IF(LeadsData[[#This Row],[Stage Number]]&gt;=2,1,0)</f>
        <v>0</v>
      </c>
      <c r="N3125" s="2">
        <f>IF(LeadsData[[#This Row],[Stage Number]]&gt;=3,1,0)</f>
        <v>0</v>
      </c>
      <c r="O3125" s="2">
        <f>IF(LeadsData[[#This Row],[Stage Number]]&gt;=4,1,0)</f>
        <v>0</v>
      </c>
    </row>
    <row r="3126" spans="1:15" x14ac:dyDescent="0.25">
      <c r="A3126" t="s">
        <v>3166</v>
      </c>
      <c r="B3126" s="1">
        <v>45440</v>
      </c>
      <c r="C3126" t="s">
        <v>31</v>
      </c>
      <c r="D3126" t="s">
        <v>34</v>
      </c>
      <c r="E3126" t="s">
        <v>21</v>
      </c>
      <c r="F3126" t="s">
        <v>19</v>
      </c>
      <c r="G3126" t="s">
        <v>15</v>
      </c>
      <c r="K3126" cm="1">
        <f t="array" ref="K3126">_xlfn.SWITCH(LeadsData[[#This Row],[Funnel Stage Reached]],"Lead",1,"MQL",2,"SQL",3,"Customer",4)</f>
        <v>1</v>
      </c>
      <c r="L3126" t="str">
        <f>TEXT(LeadsData[[#This Row],[Signup Date]],"mmm-yyyy")</f>
        <v>May-2024</v>
      </c>
      <c r="M3126">
        <f>IF(LeadsData[[#This Row],[Stage Number]]&gt;=2,1,0)</f>
        <v>0</v>
      </c>
      <c r="N3126" s="2">
        <f>IF(LeadsData[[#This Row],[Stage Number]]&gt;=3,1,0)</f>
        <v>0</v>
      </c>
      <c r="O3126" s="2">
        <f>IF(LeadsData[[#This Row],[Stage Number]]&gt;=4,1,0)</f>
        <v>0</v>
      </c>
    </row>
    <row r="3127" spans="1:15" x14ac:dyDescent="0.25">
      <c r="A3127" t="s">
        <v>3167</v>
      </c>
      <c r="B3127" s="1">
        <v>45573</v>
      </c>
      <c r="C3127" t="s">
        <v>31</v>
      </c>
      <c r="D3127" t="s">
        <v>32</v>
      </c>
      <c r="E3127" t="s">
        <v>13</v>
      </c>
      <c r="F3127" t="s">
        <v>19</v>
      </c>
      <c r="G3127" t="s">
        <v>15</v>
      </c>
      <c r="K3127" cm="1">
        <f t="array" ref="K3127">_xlfn.SWITCH(LeadsData[[#This Row],[Funnel Stage Reached]],"Lead",1,"MQL",2,"SQL",3,"Customer",4)</f>
        <v>1</v>
      </c>
      <c r="L3127" t="str">
        <f>TEXT(LeadsData[[#This Row],[Signup Date]],"mmm-yyyy")</f>
        <v>Oct-2024</v>
      </c>
      <c r="M3127">
        <f>IF(LeadsData[[#This Row],[Stage Number]]&gt;=2,1,0)</f>
        <v>0</v>
      </c>
      <c r="N3127" s="2">
        <f>IF(LeadsData[[#This Row],[Stage Number]]&gt;=3,1,0)</f>
        <v>0</v>
      </c>
      <c r="O3127" s="2">
        <f>IF(LeadsData[[#This Row],[Stage Number]]&gt;=4,1,0)</f>
        <v>0</v>
      </c>
    </row>
    <row r="3128" spans="1:15" x14ac:dyDescent="0.25">
      <c r="A3128" t="s">
        <v>3168</v>
      </c>
      <c r="B3128" s="1">
        <v>45616</v>
      </c>
      <c r="C3128" t="s">
        <v>17</v>
      </c>
      <c r="D3128" t="s">
        <v>18</v>
      </c>
      <c r="E3128" t="s">
        <v>13</v>
      </c>
      <c r="F3128" t="s">
        <v>14</v>
      </c>
      <c r="G3128" t="s">
        <v>23</v>
      </c>
      <c r="K3128" cm="1">
        <f t="array" ref="K3128">_xlfn.SWITCH(LeadsData[[#This Row],[Funnel Stage Reached]],"Lead",1,"MQL",2,"SQL",3,"Customer",4)</f>
        <v>2</v>
      </c>
      <c r="L3128" t="str">
        <f>TEXT(LeadsData[[#This Row],[Signup Date]],"mmm-yyyy")</f>
        <v>Nov-2024</v>
      </c>
      <c r="M3128">
        <f>IF(LeadsData[[#This Row],[Stage Number]]&gt;=2,1,0)</f>
        <v>1</v>
      </c>
      <c r="N3128" s="2">
        <f>IF(LeadsData[[#This Row],[Stage Number]]&gt;=3,1,0)</f>
        <v>0</v>
      </c>
      <c r="O3128" s="2">
        <f>IF(LeadsData[[#This Row],[Stage Number]]&gt;=4,1,0)</f>
        <v>0</v>
      </c>
    </row>
    <row r="3129" spans="1:15" x14ac:dyDescent="0.25">
      <c r="A3129" t="s">
        <v>3169</v>
      </c>
      <c r="B3129" s="1">
        <v>45485</v>
      </c>
      <c r="C3129" t="s">
        <v>46</v>
      </c>
      <c r="D3129" t="s">
        <v>56</v>
      </c>
      <c r="E3129" t="s">
        <v>21</v>
      </c>
      <c r="F3129" t="s">
        <v>22</v>
      </c>
      <c r="G3129" t="s">
        <v>15</v>
      </c>
      <c r="K3129" cm="1">
        <f t="array" ref="K3129">_xlfn.SWITCH(LeadsData[[#This Row],[Funnel Stage Reached]],"Lead",1,"MQL",2,"SQL",3,"Customer",4)</f>
        <v>1</v>
      </c>
      <c r="L3129" t="str">
        <f>TEXT(LeadsData[[#This Row],[Signup Date]],"mmm-yyyy")</f>
        <v>Jul-2024</v>
      </c>
      <c r="M3129">
        <f>IF(LeadsData[[#This Row],[Stage Number]]&gt;=2,1,0)</f>
        <v>0</v>
      </c>
      <c r="N3129" s="2">
        <f>IF(LeadsData[[#This Row],[Stage Number]]&gt;=3,1,0)</f>
        <v>0</v>
      </c>
      <c r="O3129" s="2">
        <f>IF(LeadsData[[#This Row],[Stage Number]]&gt;=4,1,0)</f>
        <v>0</v>
      </c>
    </row>
    <row r="3130" spans="1:15" x14ac:dyDescent="0.25">
      <c r="A3130" t="s">
        <v>3170</v>
      </c>
      <c r="B3130" s="1">
        <v>45355</v>
      </c>
      <c r="C3130" t="s">
        <v>31</v>
      </c>
      <c r="D3130" t="s">
        <v>32</v>
      </c>
      <c r="E3130" t="s">
        <v>21</v>
      </c>
      <c r="F3130" t="s">
        <v>22</v>
      </c>
      <c r="G3130" t="s">
        <v>15</v>
      </c>
      <c r="K3130" cm="1">
        <f t="array" ref="K3130">_xlfn.SWITCH(LeadsData[[#This Row],[Funnel Stage Reached]],"Lead",1,"MQL",2,"SQL",3,"Customer",4)</f>
        <v>1</v>
      </c>
      <c r="L3130" t="str">
        <f>TEXT(LeadsData[[#This Row],[Signup Date]],"mmm-yyyy")</f>
        <v>Mar-2024</v>
      </c>
      <c r="M3130">
        <f>IF(LeadsData[[#This Row],[Stage Number]]&gt;=2,1,0)</f>
        <v>0</v>
      </c>
      <c r="N3130" s="2">
        <f>IF(LeadsData[[#This Row],[Stage Number]]&gt;=3,1,0)</f>
        <v>0</v>
      </c>
      <c r="O3130" s="2">
        <f>IF(LeadsData[[#This Row],[Stage Number]]&gt;=4,1,0)</f>
        <v>0</v>
      </c>
    </row>
    <row r="3131" spans="1:15" x14ac:dyDescent="0.25">
      <c r="A3131" t="s">
        <v>3171</v>
      </c>
      <c r="B3131" s="1">
        <v>45362</v>
      </c>
      <c r="C3131" t="s">
        <v>46</v>
      </c>
      <c r="D3131" t="s">
        <v>47</v>
      </c>
      <c r="E3131" t="s">
        <v>21</v>
      </c>
      <c r="F3131" t="s">
        <v>14</v>
      </c>
      <c r="G3131" t="s">
        <v>42</v>
      </c>
      <c r="H3131">
        <v>64</v>
      </c>
      <c r="I3131" t="s">
        <v>43</v>
      </c>
      <c r="J3131">
        <v>1225.25</v>
      </c>
      <c r="K3131" cm="1">
        <f t="array" ref="K3131">_xlfn.SWITCH(LeadsData[[#This Row],[Funnel Stage Reached]],"Lead",1,"MQL",2,"SQL",3,"Customer",4)</f>
        <v>4</v>
      </c>
      <c r="L3131" t="str">
        <f>TEXT(LeadsData[[#This Row],[Signup Date]],"mmm-yyyy")</f>
        <v>Mar-2024</v>
      </c>
      <c r="M3131">
        <f>IF(LeadsData[[#This Row],[Stage Number]]&gt;=2,1,0)</f>
        <v>1</v>
      </c>
      <c r="N3131" s="2">
        <f>IF(LeadsData[[#This Row],[Stage Number]]&gt;=3,1,0)</f>
        <v>1</v>
      </c>
      <c r="O3131" s="2">
        <f>IF(LeadsData[[#This Row],[Stage Number]]&gt;=4,1,0)</f>
        <v>1</v>
      </c>
    </row>
    <row r="3132" spans="1:15" x14ac:dyDescent="0.25">
      <c r="A3132" t="s">
        <v>3172</v>
      </c>
      <c r="B3132" s="1">
        <v>45365</v>
      </c>
      <c r="C3132" t="s">
        <v>25</v>
      </c>
      <c r="D3132" t="s">
        <v>26</v>
      </c>
      <c r="E3132" t="s">
        <v>21</v>
      </c>
      <c r="F3132" t="s">
        <v>22</v>
      </c>
      <c r="G3132" t="s">
        <v>15</v>
      </c>
      <c r="K3132" cm="1">
        <f t="array" ref="K3132">_xlfn.SWITCH(LeadsData[[#This Row],[Funnel Stage Reached]],"Lead",1,"MQL",2,"SQL",3,"Customer",4)</f>
        <v>1</v>
      </c>
      <c r="L3132" t="str">
        <f>TEXT(LeadsData[[#This Row],[Signup Date]],"mmm-yyyy")</f>
        <v>Mar-2024</v>
      </c>
      <c r="M3132">
        <f>IF(LeadsData[[#This Row],[Stage Number]]&gt;=2,1,0)</f>
        <v>0</v>
      </c>
      <c r="N3132" s="2">
        <f>IF(LeadsData[[#This Row],[Stage Number]]&gt;=3,1,0)</f>
        <v>0</v>
      </c>
      <c r="O3132" s="2">
        <f>IF(LeadsData[[#This Row],[Stage Number]]&gt;=4,1,0)</f>
        <v>0</v>
      </c>
    </row>
    <row r="3133" spans="1:15" x14ac:dyDescent="0.25">
      <c r="A3133" t="s">
        <v>3173</v>
      </c>
      <c r="B3133" s="1">
        <v>45383</v>
      </c>
      <c r="C3133" t="s">
        <v>31</v>
      </c>
      <c r="D3133" t="s">
        <v>32</v>
      </c>
      <c r="E3133" t="s">
        <v>21</v>
      </c>
      <c r="F3133" t="s">
        <v>19</v>
      </c>
      <c r="G3133" t="s">
        <v>15</v>
      </c>
      <c r="K3133" cm="1">
        <f t="array" ref="K3133">_xlfn.SWITCH(LeadsData[[#This Row],[Funnel Stage Reached]],"Lead",1,"MQL",2,"SQL",3,"Customer",4)</f>
        <v>1</v>
      </c>
      <c r="L3133" t="str">
        <f>TEXT(LeadsData[[#This Row],[Signup Date]],"mmm-yyyy")</f>
        <v>Apr-2024</v>
      </c>
      <c r="M3133">
        <f>IF(LeadsData[[#This Row],[Stage Number]]&gt;=2,1,0)</f>
        <v>0</v>
      </c>
      <c r="N3133" s="2">
        <f>IF(LeadsData[[#This Row],[Stage Number]]&gt;=3,1,0)</f>
        <v>0</v>
      </c>
      <c r="O3133" s="2">
        <f>IF(LeadsData[[#This Row],[Stage Number]]&gt;=4,1,0)</f>
        <v>0</v>
      </c>
    </row>
    <row r="3134" spans="1:15" x14ac:dyDescent="0.25">
      <c r="A3134" t="s">
        <v>3174</v>
      </c>
      <c r="B3134" s="1">
        <v>45584</v>
      </c>
      <c r="C3134" t="s">
        <v>11</v>
      </c>
      <c r="D3134" t="s">
        <v>79</v>
      </c>
      <c r="E3134" t="s">
        <v>13</v>
      </c>
      <c r="F3134" t="s">
        <v>14</v>
      </c>
      <c r="G3134" t="s">
        <v>15</v>
      </c>
      <c r="K3134" cm="1">
        <f t="array" ref="K3134">_xlfn.SWITCH(LeadsData[[#This Row],[Funnel Stage Reached]],"Lead",1,"MQL",2,"SQL",3,"Customer",4)</f>
        <v>1</v>
      </c>
      <c r="L3134" t="str">
        <f>TEXT(LeadsData[[#This Row],[Signup Date]],"mmm-yyyy")</f>
        <v>Oct-2024</v>
      </c>
      <c r="M3134">
        <f>IF(LeadsData[[#This Row],[Stage Number]]&gt;=2,1,0)</f>
        <v>0</v>
      </c>
      <c r="N3134" s="2">
        <f>IF(LeadsData[[#This Row],[Stage Number]]&gt;=3,1,0)</f>
        <v>0</v>
      </c>
      <c r="O3134" s="2">
        <f>IF(LeadsData[[#This Row],[Stage Number]]&gt;=4,1,0)</f>
        <v>0</v>
      </c>
    </row>
    <row r="3135" spans="1:15" x14ac:dyDescent="0.25">
      <c r="A3135" t="s">
        <v>3175</v>
      </c>
      <c r="B3135" s="1">
        <v>45476</v>
      </c>
      <c r="C3135" t="s">
        <v>17</v>
      </c>
      <c r="D3135" t="s">
        <v>53</v>
      </c>
      <c r="E3135" t="s">
        <v>21</v>
      </c>
      <c r="F3135" t="s">
        <v>19</v>
      </c>
      <c r="G3135" t="s">
        <v>15</v>
      </c>
      <c r="K3135" cm="1">
        <f t="array" ref="K3135">_xlfn.SWITCH(LeadsData[[#This Row],[Funnel Stage Reached]],"Lead",1,"MQL",2,"SQL",3,"Customer",4)</f>
        <v>1</v>
      </c>
      <c r="L3135" t="str">
        <f>TEXT(LeadsData[[#This Row],[Signup Date]],"mmm-yyyy")</f>
        <v>Jul-2024</v>
      </c>
      <c r="M3135">
        <f>IF(LeadsData[[#This Row],[Stage Number]]&gt;=2,1,0)</f>
        <v>0</v>
      </c>
      <c r="N3135" s="2">
        <f>IF(LeadsData[[#This Row],[Stage Number]]&gt;=3,1,0)</f>
        <v>0</v>
      </c>
      <c r="O3135" s="2">
        <f>IF(LeadsData[[#This Row],[Stage Number]]&gt;=4,1,0)</f>
        <v>0</v>
      </c>
    </row>
    <row r="3136" spans="1:15" x14ac:dyDescent="0.25">
      <c r="A3136" t="s">
        <v>3176</v>
      </c>
      <c r="B3136" s="1">
        <v>45298</v>
      </c>
      <c r="C3136" t="s">
        <v>36</v>
      </c>
      <c r="D3136" t="s">
        <v>50</v>
      </c>
      <c r="E3136" t="s">
        <v>21</v>
      </c>
      <c r="F3136" t="s">
        <v>22</v>
      </c>
      <c r="G3136" t="s">
        <v>15</v>
      </c>
      <c r="K3136" cm="1">
        <f t="array" ref="K3136">_xlfn.SWITCH(LeadsData[[#This Row],[Funnel Stage Reached]],"Lead",1,"MQL",2,"SQL",3,"Customer",4)</f>
        <v>1</v>
      </c>
      <c r="L3136" t="str">
        <f>TEXT(LeadsData[[#This Row],[Signup Date]],"mmm-yyyy")</f>
        <v>Jan-2024</v>
      </c>
      <c r="M3136">
        <f>IF(LeadsData[[#This Row],[Stage Number]]&gt;=2,1,0)</f>
        <v>0</v>
      </c>
      <c r="N3136" s="2">
        <f>IF(LeadsData[[#This Row],[Stage Number]]&gt;=3,1,0)</f>
        <v>0</v>
      </c>
      <c r="O3136" s="2">
        <f>IF(LeadsData[[#This Row],[Stage Number]]&gt;=4,1,0)</f>
        <v>0</v>
      </c>
    </row>
    <row r="3137" spans="1:15" x14ac:dyDescent="0.25">
      <c r="A3137" t="s">
        <v>3177</v>
      </c>
      <c r="B3137" s="1">
        <v>45577</v>
      </c>
      <c r="C3137" t="s">
        <v>36</v>
      </c>
      <c r="D3137" t="s">
        <v>50</v>
      </c>
      <c r="E3137" t="s">
        <v>13</v>
      </c>
      <c r="F3137" t="s">
        <v>22</v>
      </c>
      <c r="G3137" t="s">
        <v>23</v>
      </c>
      <c r="K3137" cm="1">
        <f t="array" ref="K3137">_xlfn.SWITCH(LeadsData[[#This Row],[Funnel Stage Reached]],"Lead",1,"MQL",2,"SQL",3,"Customer",4)</f>
        <v>2</v>
      </c>
      <c r="L3137" t="str">
        <f>TEXT(LeadsData[[#This Row],[Signup Date]],"mmm-yyyy")</f>
        <v>Oct-2024</v>
      </c>
      <c r="M3137">
        <f>IF(LeadsData[[#This Row],[Stage Number]]&gt;=2,1,0)</f>
        <v>1</v>
      </c>
      <c r="N3137" s="2">
        <f>IF(LeadsData[[#This Row],[Stage Number]]&gt;=3,1,0)</f>
        <v>0</v>
      </c>
      <c r="O3137" s="2">
        <f>IF(LeadsData[[#This Row],[Stage Number]]&gt;=4,1,0)</f>
        <v>0</v>
      </c>
    </row>
    <row r="3138" spans="1:15" x14ac:dyDescent="0.25">
      <c r="A3138" t="s">
        <v>3178</v>
      </c>
      <c r="B3138" s="1">
        <v>45618</v>
      </c>
      <c r="C3138" t="s">
        <v>46</v>
      </c>
      <c r="D3138" t="s">
        <v>56</v>
      </c>
      <c r="E3138" t="s">
        <v>13</v>
      </c>
      <c r="F3138" t="s">
        <v>22</v>
      </c>
      <c r="G3138" t="s">
        <v>23</v>
      </c>
      <c r="K3138" cm="1">
        <f t="array" ref="K3138">_xlfn.SWITCH(LeadsData[[#This Row],[Funnel Stage Reached]],"Lead",1,"MQL",2,"SQL",3,"Customer",4)</f>
        <v>2</v>
      </c>
      <c r="L3138" t="str">
        <f>TEXT(LeadsData[[#This Row],[Signup Date]],"mmm-yyyy")</f>
        <v>Nov-2024</v>
      </c>
      <c r="M3138">
        <f>IF(LeadsData[[#This Row],[Stage Number]]&gt;=2,1,0)</f>
        <v>1</v>
      </c>
      <c r="N3138" s="2">
        <f>IF(LeadsData[[#This Row],[Stage Number]]&gt;=3,1,0)</f>
        <v>0</v>
      </c>
      <c r="O3138" s="2">
        <f>IF(LeadsData[[#This Row],[Stage Number]]&gt;=4,1,0)</f>
        <v>0</v>
      </c>
    </row>
    <row r="3139" spans="1:15" x14ac:dyDescent="0.25">
      <c r="A3139" t="s">
        <v>3179</v>
      </c>
      <c r="B3139" s="1">
        <v>45593</v>
      </c>
      <c r="C3139" t="s">
        <v>17</v>
      </c>
      <c r="D3139" t="s">
        <v>18</v>
      </c>
      <c r="E3139" t="s">
        <v>13</v>
      </c>
      <c r="F3139" t="s">
        <v>19</v>
      </c>
      <c r="G3139" t="s">
        <v>23</v>
      </c>
      <c r="K3139" cm="1">
        <f t="array" ref="K3139">_xlfn.SWITCH(LeadsData[[#This Row],[Funnel Stage Reached]],"Lead",1,"MQL",2,"SQL",3,"Customer",4)</f>
        <v>2</v>
      </c>
      <c r="L3139" t="str">
        <f>TEXT(LeadsData[[#This Row],[Signup Date]],"mmm-yyyy")</f>
        <v>Oct-2024</v>
      </c>
      <c r="M3139">
        <f>IF(LeadsData[[#This Row],[Stage Number]]&gt;=2,1,0)</f>
        <v>1</v>
      </c>
      <c r="N3139" s="2">
        <f>IF(LeadsData[[#This Row],[Stage Number]]&gt;=3,1,0)</f>
        <v>0</v>
      </c>
      <c r="O3139" s="2">
        <f>IF(LeadsData[[#This Row],[Stage Number]]&gt;=4,1,0)</f>
        <v>0</v>
      </c>
    </row>
    <row r="3140" spans="1:15" x14ac:dyDescent="0.25">
      <c r="A3140" t="s">
        <v>3180</v>
      </c>
      <c r="B3140" s="1">
        <v>45396</v>
      </c>
      <c r="C3140" t="s">
        <v>46</v>
      </c>
      <c r="D3140" t="s">
        <v>56</v>
      </c>
      <c r="E3140" t="s">
        <v>21</v>
      </c>
      <c r="F3140" t="s">
        <v>14</v>
      </c>
      <c r="G3140" t="s">
        <v>15</v>
      </c>
      <c r="K3140" cm="1">
        <f t="array" ref="K3140">_xlfn.SWITCH(LeadsData[[#This Row],[Funnel Stage Reached]],"Lead",1,"MQL",2,"SQL",3,"Customer",4)</f>
        <v>1</v>
      </c>
      <c r="L3140" t="str">
        <f>TEXT(LeadsData[[#This Row],[Signup Date]],"mmm-yyyy")</f>
        <v>Apr-2024</v>
      </c>
      <c r="M3140">
        <f>IF(LeadsData[[#This Row],[Stage Number]]&gt;=2,1,0)</f>
        <v>0</v>
      </c>
      <c r="N3140" s="2">
        <f>IF(LeadsData[[#This Row],[Stage Number]]&gt;=3,1,0)</f>
        <v>0</v>
      </c>
      <c r="O3140" s="2">
        <f>IF(LeadsData[[#This Row],[Stage Number]]&gt;=4,1,0)</f>
        <v>0</v>
      </c>
    </row>
    <row r="3141" spans="1:15" x14ac:dyDescent="0.25">
      <c r="A3141" t="s">
        <v>3181</v>
      </c>
      <c r="B3141" s="1">
        <v>45545</v>
      </c>
      <c r="C3141" t="s">
        <v>25</v>
      </c>
      <c r="D3141" t="s">
        <v>26</v>
      </c>
      <c r="E3141" t="s">
        <v>13</v>
      </c>
      <c r="F3141" t="s">
        <v>19</v>
      </c>
      <c r="G3141" t="s">
        <v>15</v>
      </c>
      <c r="K3141" cm="1">
        <f t="array" ref="K3141">_xlfn.SWITCH(LeadsData[[#This Row],[Funnel Stage Reached]],"Lead",1,"MQL",2,"SQL",3,"Customer",4)</f>
        <v>1</v>
      </c>
      <c r="L3141" t="str">
        <f>TEXT(LeadsData[[#This Row],[Signup Date]],"mmm-yyyy")</f>
        <v>Sep-2024</v>
      </c>
      <c r="M3141">
        <f>IF(LeadsData[[#This Row],[Stage Number]]&gt;=2,1,0)</f>
        <v>0</v>
      </c>
      <c r="N3141" s="2">
        <f>IF(LeadsData[[#This Row],[Stage Number]]&gt;=3,1,0)</f>
        <v>0</v>
      </c>
      <c r="O3141" s="2">
        <f>IF(LeadsData[[#This Row],[Stage Number]]&gt;=4,1,0)</f>
        <v>0</v>
      </c>
    </row>
    <row r="3142" spans="1:15" x14ac:dyDescent="0.25">
      <c r="A3142" t="s">
        <v>3182</v>
      </c>
      <c r="B3142" s="1">
        <v>45602</v>
      </c>
      <c r="C3142" t="s">
        <v>36</v>
      </c>
      <c r="D3142" t="s">
        <v>50</v>
      </c>
      <c r="E3142" t="s">
        <v>48</v>
      </c>
      <c r="F3142" t="s">
        <v>19</v>
      </c>
      <c r="G3142" t="s">
        <v>23</v>
      </c>
      <c r="K3142" cm="1">
        <f t="array" ref="K3142">_xlfn.SWITCH(LeadsData[[#This Row],[Funnel Stage Reached]],"Lead",1,"MQL",2,"SQL",3,"Customer",4)</f>
        <v>2</v>
      </c>
      <c r="L3142" t="str">
        <f>TEXT(LeadsData[[#This Row],[Signup Date]],"mmm-yyyy")</f>
        <v>Nov-2024</v>
      </c>
      <c r="M3142">
        <f>IF(LeadsData[[#This Row],[Stage Number]]&gt;=2,1,0)</f>
        <v>1</v>
      </c>
      <c r="N3142" s="2">
        <f>IF(LeadsData[[#This Row],[Stage Number]]&gt;=3,1,0)</f>
        <v>0</v>
      </c>
      <c r="O3142" s="2">
        <f>IF(LeadsData[[#This Row],[Stage Number]]&gt;=4,1,0)</f>
        <v>0</v>
      </c>
    </row>
    <row r="3143" spans="1:15" x14ac:dyDescent="0.25">
      <c r="A3143" t="s">
        <v>3183</v>
      </c>
      <c r="B3143" s="1">
        <v>45485</v>
      </c>
      <c r="C3143" t="s">
        <v>17</v>
      </c>
      <c r="D3143" t="s">
        <v>18</v>
      </c>
      <c r="E3143" t="s">
        <v>13</v>
      </c>
      <c r="F3143" t="s">
        <v>19</v>
      </c>
      <c r="G3143" t="s">
        <v>15</v>
      </c>
      <c r="K3143" cm="1">
        <f t="array" ref="K3143">_xlfn.SWITCH(LeadsData[[#This Row],[Funnel Stage Reached]],"Lead",1,"MQL",2,"SQL",3,"Customer",4)</f>
        <v>1</v>
      </c>
      <c r="L3143" t="str">
        <f>TEXT(LeadsData[[#This Row],[Signup Date]],"mmm-yyyy")</f>
        <v>Jul-2024</v>
      </c>
      <c r="M3143">
        <f>IF(LeadsData[[#This Row],[Stage Number]]&gt;=2,1,0)</f>
        <v>0</v>
      </c>
      <c r="N3143" s="2">
        <f>IF(LeadsData[[#This Row],[Stage Number]]&gt;=3,1,0)</f>
        <v>0</v>
      </c>
      <c r="O3143" s="2">
        <f>IF(LeadsData[[#This Row],[Stage Number]]&gt;=4,1,0)</f>
        <v>0</v>
      </c>
    </row>
    <row r="3144" spans="1:15" x14ac:dyDescent="0.25">
      <c r="A3144" t="s">
        <v>3184</v>
      </c>
      <c r="B3144" s="1">
        <v>45361</v>
      </c>
      <c r="C3144" t="s">
        <v>31</v>
      </c>
      <c r="D3144" t="s">
        <v>32</v>
      </c>
      <c r="E3144" t="s">
        <v>13</v>
      </c>
      <c r="F3144" t="s">
        <v>19</v>
      </c>
      <c r="G3144" t="s">
        <v>29</v>
      </c>
      <c r="K3144" cm="1">
        <f t="array" ref="K3144">_xlfn.SWITCH(LeadsData[[#This Row],[Funnel Stage Reached]],"Lead",1,"MQL",2,"SQL",3,"Customer",4)</f>
        <v>3</v>
      </c>
      <c r="L3144" t="str">
        <f>TEXT(LeadsData[[#This Row],[Signup Date]],"mmm-yyyy")</f>
        <v>Mar-2024</v>
      </c>
      <c r="M3144">
        <f>IF(LeadsData[[#This Row],[Stage Number]]&gt;=2,1,0)</f>
        <v>1</v>
      </c>
      <c r="N3144" s="2">
        <f>IF(LeadsData[[#This Row],[Stage Number]]&gt;=3,1,0)</f>
        <v>1</v>
      </c>
      <c r="O3144" s="2">
        <f>IF(LeadsData[[#This Row],[Stage Number]]&gt;=4,1,0)</f>
        <v>0</v>
      </c>
    </row>
    <row r="3145" spans="1:15" x14ac:dyDescent="0.25">
      <c r="A3145" t="s">
        <v>3185</v>
      </c>
      <c r="B3145" s="1">
        <v>45642</v>
      </c>
      <c r="C3145" t="s">
        <v>46</v>
      </c>
      <c r="D3145" t="s">
        <v>47</v>
      </c>
      <c r="E3145" t="s">
        <v>21</v>
      </c>
      <c r="F3145" t="s">
        <v>19</v>
      </c>
      <c r="G3145" t="s">
        <v>42</v>
      </c>
      <c r="H3145">
        <v>60</v>
      </c>
      <c r="I3145" t="s">
        <v>87</v>
      </c>
      <c r="J3145">
        <v>2270.77</v>
      </c>
      <c r="K3145" cm="1">
        <f t="array" ref="K3145">_xlfn.SWITCH(LeadsData[[#This Row],[Funnel Stage Reached]],"Lead",1,"MQL",2,"SQL",3,"Customer",4)</f>
        <v>4</v>
      </c>
      <c r="L3145" t="str">
        <f>TEXT(LeadsData[[#This Row],[Signup Date]],"mmm-yyyy")</f>
        <v>Dec-2024</v>
      </c>
      <c r="M3145">
        <f>IF(LeadsData[[#This Row],[Stage Number]]&gt;=2,1,0)</f>
        <v>1</v>
      </c>
      <c r="N3145" s="2">
        <f>IF(LeadsData[[#This Row],[Stage Number]]&gt;=3,1,0)</f>
        <v>1</v>
      </c>
      <c r="O3145" s="2">
        <f>IF(LeadsData[[#This Row],[Stage Number]]&gt;=4,1,0)</f>
        <v>1</v>
      </c>
    </row>
    <row r="3146" spans="1:15" x14ac:dyDescent="0.25">
      <c r="A3146" t="s">
        <v>3186</v>
      </c>
      <c r="B3146" s="1">
        <v>45488</v>
      </c>
      <c r="C3146" t="s">
        <v>11</v>
      </c>
      <c r="D3146" t="s">
        <v>79</v>
      </c>
      <c r="E3146" t="s">
        <v>21</v>
      </c>
      <c r="F3146" t="s">
        <v>19</v>
      </c>
      <c r="G3146" t="s">
        <v>29</v>
      </c>
      <c r="K3146" cm="1">
        <f t="array" ref="K3146">_xlfn.SWITCH(LeadsData[[#This Row],[Funnel Stage Reached]],"Lead",1,"MQL",2,"SQL",3,"Customer",4)</f>
        <v>3</v>
      </c>
      <c r="L3146" t="str">
        <f>TEXT(LeadsData[[#This Row],[Signup Date]],"mmm-yyyy")</f>
        <v>Jul-2024</v>
      </c>
      <c r="M3146">
        <f>IF(LeadsData[[#This Row],[Stage Number]]&gt;=2,1,0)</f>
        <v>1</v>
      </c>
      <c r="N3146" s="2">
        <f>IF(LeadsData[[#This Row],[Stage Number]]&gt;=3,1,0)</f>
        <v>1</v>
      </c>
      <c r="O3146" s="2">
        <f>IF(LeadsData[[#This Row],[Stage Number]]&gt;=4,1,0)</f>
        <v>0</v>
      </c>
    </row>
    <row r="3147" spans="1:15" x14ac:dyDescent="0.25">
      <c r="A3147" t="s">
        <v>3187</v>
      </c>
      <c r="B3147" s="1">
        <v>45481</v>
      </c>
      <c r="C3147" t="s">
        <v>25</v>
      </c>
      <c r="D3147" t="s">
        <v>26</v>
      </c>
      <c r="E3147" t="s">
        <v>21</v>
      </c>
      <c r="F3147" t="s">
        <v>14</v>
      </c>
      <c r="G3147" t="s">
        <v>15</v>
      </c>
      <c r="K3147" cm="1">
        <f t="array" ref="K3147">_xlfn.SWITCH(LeadsData[[#This Row],[Funnel Stage Reached]],"Lead",1,"MQL",2,"SQL",3,"Customer",4)</f>
        <v>1</v>
      </c>
      <c r="L3147" t="str">
        <f>TEXT(LeadsData[[#This Row],[Signup Date]],"mmm-yyyy")</f>
        <v>Jul-2024</v>
      </c>
      <c r="M3147">
        <f>IF(LeadsData[[#This Row],[Stage Number]]&gt;=2,1,0)</f>
        <v>0</v>
      </c>
      <c r="N3147" s="2">
        <f>IF(LeadsData[[#This Row],[Stage Number]]&gt;=3,1,0)</f>
        <v>0</v>
      </c>
      <c r="O3147" s="2">
        <f>IF(LeadsData[[#This Row],[Stage Number]]&gt;=4,1,0)</f>
        <v>0</v>
      </c>
    </row>
    <row r="3148" spans="1:15" x14ac:dyDescent="0.25">
      <c r="A3148" t="s">
        <v>3188</v>
      </c>
      <c r="B3148" s="1">
        <v>45646</v>
      </c>
      <c r="C3148" t="s">
        <v>11</v>
      </c>
      <c r="D3148" t="s">
        <v>68</v>
      </c>
      <c r="E3148" t="s">
        <v>21</v>
      </c>
      <c r="F3148" t="s">
        <v>19</v>
      </c>
      <c r="G3148" t="s">
        <v>15</v>
      </c>
      <c r="K3148" cm="1">
        <f t="array" ref="K3148">_xlfn.SWITCH(LeadsData[[#This Row],[Funnel Stage Reached]],"Lead",1,"MQL",2,"SQL",3,"Customer",4)</f>
        <v>1</v>
      </c>
      <c r="L3148" t="str">
        <f>TEXT(LeadsData[[#This Row],[Signup Date]],"mmm-yyyy")</f>
        <v>Dec-2024</v>
      </c>
      <c r="M3148">
        <f>IF(LeadsData[[#This Row],[Stage Number]]&gt;=2,1,0)</f>
        <v>0</v>
      </c>
      <c r="N3148" s="2">
        <f>IF(LeadsData[[#This Row],[Stage Number]]&gt;=3,1,0)</f>
        <v>0</v>
      </c>
      <c r="O3148" s="2">
        <f>IF(LeadsData[[#This Row],[Stage Number]]&gt;=4,1,0)</f>
        <v>0</v>
      </c>
    </row>
    <row r="3149" spans="1:15" x14ac:dyDescent="0.25">
      <c r="A3149" t="s">
        <v>3189</v>
      </c>
      <c r="B3149" s="1">
        <v>45567</v>
      </c>
      <c r="C3149" t="s">
        <v>36</v>
      </c>
      <c r="D3149" t="s">
        <v>37</v>
      </c>
      <c r="E3149" t="s">
        <v>13</v>
      </c>
      <c r="F3149" t="s">
        <v>19</v>
      </c>
      <c r="G3149" t="s">
        <v>15</v>
      </c>
      <c r="K3149" cm="1">
        <f t="array" ref="K3149">_xlfn.SWITCH(LeadsData[[#This Row],[Funnel Stage Reached]],"Lead",1,"MQL",2,"SQL",3,"Customer",4)</f>
        <v>1</v>
      </c>
      <c r="L3149" t="str">
        <f>TEXT(LeadsData[[#This Row],[Signup Date]],"mmm-yyyy")</f>
        <v>Oct-2024</v>
      </c>
      <c r="M3149">
        <f>IF(LeadsData[[#This Row],[Stage Number]]&gt;=2,1,0)</f>
        <v>0</v>
      </c>
      <c r="N3149" s="2">
        <f>IF(LeadsData[[#This Row],[Stage Number]]&gt;=3,1,0)</f>
        <v>0</v>
      </c>
      <c r="O3149" s="2">
        <f>IF(LeadsData[[#This Row],[Stage Number]]&gt;=4,1,0)</f>
        <v>0</v>
      </c>
    </row>
    <row r="3150" spans="1:15" x14ac:dyDescent="0.25">
      <c r="A3150" t="s">
        <v>3190</v>
      </c>
      <c r="B3150" s="1">
        <v>45627</v>
      </c>
      <c r="C3150" t="s">
        <v>11</v>
      </c>
      <c r="D3150" t="s">
        <v>79</v>
      </c>
      <c r="E3150" t="s">
        <v>13</v>
      </c>
      <c r="F3150" t="s">
        <v>19</v>
      </c>
      <c r="G3150" t="s">
        <v>23</v>
      </c>
      <c r="K3150" cm="1">
        <f t="array" ref="K3150">_xlfn.SWITCH(LeadsData[[#This Row],[Funnel Stage Reached]],"Lead",1,"MQL",2,"SQL",3,"Customer",4)</f>
        <v>2</v>
      </c>
      <c r="L3150" t="str">
        <f>TEXT(LeadsData[[#This Row],[Signup Date]],"mmm-yyyy")</f>
        <v>Dec-2024</v>
      </c>
      <c r="M3150">
        <f>IF(LeadsData[[#This Row],[Stage Number]]&gt;=2,1,0)</f>
        <v>1</v>
      </c>
      <c r="N3150" s="2">
        <f>IF(LeadsData[[#This Row],[Stage Number]]&gt;=3,1,0)</f>
        <v>0</v>
      </c>
      <c r="O3150" s="2">
        <f>IF(LeadsData[[#This Row],[Stage Number]]&gt;=4,1,0)</f>
        <v>0</v>
      </c>
    </row>
    <row r="3151" spans="1:15" x14ac:dyDescent="0.25">
      <c r="A3151" t="s">
        <v>3191</v>
      </c>
      <c r="B3151" s="1">
        <v>45318</v>
      </c>
      <c r="C3151" t="s">
        <v>46</v>
      </c>
      <c r="D3151" t="s">
        <v>56</v>
      </c>
      <c r="E3151" t="s">
        <v>13</v>
      </c>
      <c r="F3151" t="s">
        <v>19</v>
      </c>
      <c r="G3151" t="s">
        <v>23</v>
      </c>
      <c r="K3151" cm="1">
        <f t="array" ref="K3151">_xlfn.SWITCH(LeadsData[[#This Row],[Funnel Stage Reached]],"Lead",1,"MQL",2,"SQL",3,"Customer",4)</f>
        <v>2</v>
      </c>
      <c r="L3151" t="str">
        <f>TEXT(LeadsData[[#This Row],[Signup Date]],"mmm-yyyy")</f>
        <v>Jan-2024</v>
      </c>
      <c r="M3151">
        <f>IF(LeadsData[[#This Row],[Stage Number]]&gt;=2,1,0)</f>
        <v>1</v>
      </c>
      <c r="N3151" s="2">
        <f>IF(LeadsData[[#This Row],[Stage Number]]&gt;=3,1,0)</f>
        <v>0</v>
      </c>
      <c r="O3151" s="2">
        <f>IF(LeadsData[[#This Row],[Stage Number]]&gt;=4,1,0)</f>
        <v>0</v>
      </c>
    </row>
    <row r="3152" spans="1:15" x14ac:dyDescent="0.25">
      <c r="A3152" t="s">
        <v>3192</v>
      </c>
      <c r="B3152" s="1">
        <v>45628</v>
      </c>
      <c r="C3152" t="s">
        <v>31</v>
      </c>
      <c r="D3152" t="s">
        <v>34</v>
      </c>
      <c r="E3152" t="s">
        <v>13</v>
      </c>
      <c r="F3152" t="s">
        <v>19</v>
      </c>
      <c r="G3152" t="s">
        <v>23</v>
      </c>
      <c r="K3152" cm="1">
        <f t="array" ref="K3152">_xlfn.SWITCH(LeadsData[[#This Row],[Funnel Stage Reached]],"Lead",1,"MQL",2,"SQL",3,"Customer",4)</f>
        <v>2</v>
      </c>
      <c r="L3152" t="str">
        <f>TEXT(LeadsData[[#This Row],[Signup Date]],"mmm-yyyy")</f>
        <v>Dec-2024</v>
      </c>
      <c r="M3152">
        <f>IF(LeadsData[[#This Row],[Stage Number]]&gt;=2,1,0)</f>
        <v>1</v>
      </c>
      <c r="N3152" s="2">
        <f>IF(LeadsData[[#This Row],[Stage Number]]&gt;=3,1,0)</f>
        <v>0</v>
      </c>
      <c r="O3152" s="2">
        <f>IF(LeadsData[[#This Row],[Stage Number]]&gt;=4,1,0)</f>
        <v>0</v>
      </c>
    </row>
    <row r="3153" spans="1:15" x14ac:dyDescent="0.25">
      <c r="A3153" t="s">
        <v>3193</v>
      </c>
      <c r="B3153" s="1">
        <v>45532</v>
      </c>
      <c r="C3153" t="s">
        <v>46</v>
      </c>
      <c r="D3153" t="s">
        <v>56</v>
      </c>
      <c r="E3153" t="s">
        <v>13</v>
      </c>
      <c r="F3153" t="s">
        <v>19</v>
      </c>
      <c r="G3153" t="s">
        <v>29</v>
      </c>
      <c r="K3153" cm="1">
        <f t="array" ref="K3153">_xlfn.SWITCH(LeadsData[[#This Row],[Funnel Stage Reached]],"Lead",1,"MQL",2,"SQL",3,"Customer",4)</f>
        <v>3</v>
      </c>
      <c r="L3153" t="str">
        <f>TEXT(LeadsData[[#This Row],[Signup Date]],"mmm-yyyy")</f>
        <v>Aug-2024</v>
      </c>
      <c r="M3153">
        <f>IF(LeadsData[[#This Row],[Stage Number]]&gt;=2,1,0)</f>
        <v>1</v>
      </c>
      <c r="N3153" s="2">
        <f>IF(LeadsData[[#This Row],[Stage Number]]&gt;=3,1,0)</f>
        <v>1</v>
      </c>
      <c r="O3153" s="2">
        <f>IF(LeadsData[[#This Row],[Stage Number]]&gt;=4,1,0)</f>
        <v>0</v>
      </c>
    </row>
    <row r="3154" spans="1:15" x14ac:dyDescent="0.25">
      <c r="A3154" t="s">
        <v>3194</v>
      </c>
      <c r="B3154" s="1">
        <v>45493</v>
      </c>
      <c r="C3154" t="s">
        <v>46</v>
      </c>
      <c r="D3154" t="s">
        <v>47</v>
      </c>
      <c r="E3154" t="s">
        <v>21</v>
      </c>
      <c r="F3154" t="s">
        <v>14</v>
      </c>
      <c r="G3154" t="s">
        <v>23</v>
      </c>
      <c r="K3154" cm="1">
        <f t="array" ref="K3154">_xlfn.SWITCH(LeadsData[[#This Row],[Funnel Stage Reached]],"Lead",1,"MQL",2,"SQL",3,"Customer",4)</f>
        <v>2</v>
      </c>
      <c r="L3154" t="str">
        <f>TEXT(LeadsData[[#This Row],[Signup Date]],"mmm-yyyy")</f>
        <v>Jul-2024</v>
      </c>
      <c r="M3154">
        <f>IF(LeadsData[[#This Row],[Stage Number]]&gt;=2,1,0)</f>
        <v>1</v>
      </c>
      <c r="N3154" s="2">
        <f>IF(LeadsData[[#This Row],[Stage Number]]&gt;=3,1,0)</f>
        <v>0</v>
      </c>
      <c r="O3154" s="2">
        <f>IF(LeadsData[[#This Row],[Stage Number]]&gt;=4,1,0)</f>
        <v>0</v>
      </c>
    </row>
    <row r="3155" spans="1:15" x14ac:dyDescent="0.25">
      <c r="A3155" t="s">
        <v>3195</v>
      </c>
      <c r="B3155" s="1">
        <v>45312</v>
      </c>
      <c r="C3155" t="s">
        <v>17</v>
      </c>
      <c r="D3155" t="s">
        <v>18</v>
      </c>
      <c r="E3155" t="s">
        <v>21</v>
      </c>
      <c r="F3155" t="s">
        <v>14</v>
      </c>
      <c r="G3155" t="s">
        <v>15</v>
      </c>
      <c r="K3155" cm="1">
        <f t="array" ref="K3155">_xlfn.SWITCH(LeadsData[[#This Row],[Funnel Stage Reached]],"Lead",1,"MQL",2,"SQL",3,"Customer",4)</f>
        <v>1</v>
      </c>
      <c r="L3155" t="str">
        <f>TEXT(LeadsData[[#This Row],[Signup Date]],"mmm-yyyy")</f>
        <v>Jan-2024</v>
      </c>
      <c r="M3155">
        <f>IF(LeadsData[[#This Row],[Stage Number]]&gt;=2,1,0)</f>
        <v>0</v>
      </c>
      <c r="N3155" s="2">
        <f>IF(LeadsData[[#This Row],[Stage Number]]&gt;=3,1,0)</f>
        <v>0</v>
      </c>
      <c r="O3155" s="2">
        <f>IF(LeadsData[[#This Row],[Stage Number]]&gt;=4,1,0)</f>
        <v>0</v>
      </c>
    </row>
    <row r="3156" spans="1:15" x14ac:dyDescent="0.25">
      <c r="A3156" t="s">
        <v>3196</v>
      </c>
      <c r="B3156" s="1">
        <v>45580</v>
      </c>
      <c r="C3156" t="s">
        <v>31</v>
      </c>
      <c r="D3156" t="s">
        <v>32</v>
      </c>
      <c r="E3156" t="s">
        <v>21</v>
      </c>
      <c r="F3156" t="s">
        <v>19</v>
      </c>
      <c r="G3156" t="s">
        <v>15</v>
      </c>
      <c r="K3156" cm="1">
        <f t="array" ref="K3156">_xlfn.SWITCH(LeadsData[[#This Row],[Funnel Stage Reached]],"Lead",1,"MQL",2,"SQL",3,"Customer",4)</f>
        <v>1</v>
      </c>
      <c r="L3156" t="str">
        <f>TEXT(LeadsData[[#This Row],[Signup Date]],"mmm-yyyy")</f>
        <v>Oct-2024</v>
      </c>
      <c r="M3156">
        <f>IF(LeadsData[[#This Row],[Stage Number]]&gt;=2,1,0)</f>
        <v>0</v>
      </c>
      <c r="N3156" s="2">
        <f>IF(LeadsData[[#This Row],[Stage Number]]&gt;=3,1,0)</f>
        <v>0</v>
      </c>
      <c r="O3156" s="2">
        <f>IF(LeadsData[[#This Row],[Stage Number]]&gt;=4,1,0)</f>
        <v>0</v>
      </c>
    </row>
    <row r="3157" spans="1:15" x14ac:dyDescent="0.25">
      <c r="A3157" t="s">
        <v>3197</v>
      </c>
      <c r="B3157" s="1">
        <v>45395</v>
      </c>
      <c r="C3157" t="s">
        <v>17</v>
      </c>
      <c r="D3157" t="s">
        <v>53</v>
      </c>
      <c r="E3157" t="s">
        <v>21</v>
      </c>
      <c r="F3157" t="s">
        <v>19</v>
      </c>
      <c r="G3157" t="s">
        <v>23</v>
      </c>
      <c r="K3157" cm="1">
        <f t="array" ref="K3157">_xlfn.SWITCH(LeadsData[[#This Row],[Funnel Stage Reached]],"Lead",1,"MQL",2,"SQL",3,"Customer",4)</f>
        <v>2</v>
      </c>
      <c r="L3157" t="str">
        <f>TEXT(LeadsData[[#This Row],[Signup Date]],"mmm-yyyy")</f>
        <v>Apr-2024</v>
      </c>
      <c r="M3157">
        <f>IF(LeadsData[[#This Row],[Stage Number]]&gt;=2,1,0)</f>
        <v>1</v>
      </c>
      <c r="N3157" s="2">
        <f>IF(LeadsData[[#This Row],[Stage Number]]&gt;=3,1,0)</f>
        <v>0</v>
      </c>
      <c r="O3157" s="2">
        <f>IF(LeadsData[[#This Row],[Stage Number]]&gt;=4,1,0)</f>
        <v>0</v>
      </c>
    </row>
    <row r="3158" spans="1:15" x14ac:dyDescent="0.25">
      <c r="A3158" t="s">
        <v>3198</v>
      </c>
      <c r="B3158" s="1">
        <v>45405</v>
      </c>
      <c r="C3158" t="s">
        <v>17</v>
      </c>
      <c r="D3158" t="s">
        <v>53</v>
      </c>
      <c r="E3158" t="s">
        <v>13</v>
      </c>
      <c r="F3158" t="s">
        <v>19</v>
      </c>
      <c r="G3158" t="s">
        <v>15</v>
      </c>
      <c r="K3158" cm="1">
        <f t="array" ref="K3158">_xlfn.SWITCH(LeadsData[[#This Row],[Funnel Stage Reached]],"Lead",1,"MQL",2,"SQL",3,"Customer",4)</f>
        <v>1</v>
      </c>
      <c r="L3158" t="str">
        <f>TEXT(LeadsData[[#This Row],[Signup Date]],"mmm-yyyy")</f>
        <v>Apr-2024</v>
      </c>
      <c r="M3158">
        <f>IF(LeadsData[[#This Row],[Stage Number]]&gt;=2,1,0)</f>
        <v>0</v>
      </c>
      <c r="N3158" s="2">
        <f>IF(LeadsData[[#This Row],[Stage Number]]&gt;=3,1,0)</f>
        <v>0</v>
      </c>
      <c r="O3158" s="2">
        <f>IF(LeadsData[[#This Row],[Stage Number]]&gt;=4,1,0)</f>
        <v>0</v>
      </c>
    </row>
    <row r="3159" spans="1:15" x14ac:dyDescent="0.25">
      <c r="A3159" t="s">
        <v>3199</v>
      </c>
      <c r="B3159" s="1">
        <v>45400</v>
      </c>
      <c r="C3159" t="s">
        <v>46</v>
      </c>
      <c r="D3159" t="s">
        <v>56</v>
      </c>
      <c r="E3159" t="s">
        <v>13</v>
      </c>
      <c r="F3159" t="s">
        <v>19</v>
      </c>
      <c r="G3159" t="s">
        <v>23</v>
      </c>
      <c r="K3159" cm="1">
        <f t="array" ref="K3159">_xlfn.SWITCH(LeadsData[[#This Row],[Funnel Stage Reached]],"Lead",1,"MQL",2,"SQL",3,"Customer",4)</f>
        <v>2</v>
      </c>
      <c r="L3159" t="str">
        <f>TEXT(LeadsData[[#This Row],[Signup Date]],"mmm-yyyy")</f>
        <v>Apr-2024</v>
      </c>
      <c r="M3159">
        <f>IF(LeadsData[[#This Row],[Stage Number]]&gt;=2,1,0)</f>
        <v>1</v>
      </c>
      <c r="N3159" s="2">
        <f>IF(LeadsData[[#This Row],[Stage Number]]&gt;=3,1,0)</f>
        <v>0</v>
      </c>
      <c r="O3159" s="2">
        <f>IF(LeadsData[[#This Row],[Stage Number]]&gt;=4,1,0)</f>
        <v>0</v>
      </c>
    </row>
    <row r="3160" spans="1:15" x14ac:dyDescent="0.25">
      <c r="A3160" t="s">
        <v>3200</v>
      </c>
      <c r="B3160" s="1">
        <v>45540</v>
      </c>
      <c r="C3160" t="s">
        <v>11</v>
      </c>
      <c r="D3160" t="s">
        <v>79</v>
      </c>
      <c r="E3160" t="s">
        <v>13</v>
      </c>
      <c r="F3160" t="s">
        <v>22</v>
      </c>
      <c r="G3160" t="s">
        <v>15</v>
      </c>
      <c r="K3160" cm="1">
        <f t="array" ref="K3160">_xlfn.SWITCH(LeadsData[[#This Row],[Funnel Stage Reached]],"Lead",1,"MQL",2,"SQL",3,"Customer",4)</f>
        <v>1</v>
      </c>
      <c r="L3160" t="str">
        <f>TEXT(LeadsData[[#This Row],[Signup Date]],"mmm-yyyy")</f>
        <v>Sep-2024</v>
      </c>
      <c r="M3160">
        <f>IF(LeadsData[[#This Row],[Stage Number]]&gt;=2,1,0)</f>
        <v>0</v>
      </c>
      <c r="N3160" s="2">
        <f>IF(LeadsData[[#This Row],[Stage Number]]&gt;=3,1,0)</f>
        <v>0</v>
      </c>
      <c r="O3160" s="2">
        <f>IF(LeadsData[[#This Row],[Stage Number]]&gt;=4,1,0)</f>
        <v>0</v>
      </c>
    </row>
    <row r="3161" spans="1:15" x14ac:dyDescent="0.25">
      <c r="A3161" t="s">
        <v>3201</v>
      </c>
      <c r="B3161" s="1">
        <v>45476</v>
      </c>
      <c r="C3161" t="s">
        <v>17</v>
      </c>
      <c r="D3161" t="s">
        <v>53</v>
      </c>
      <c r="E3161" t="s">
        <v>21</v>
      </c>
      <c r="F3161" t="s">
        <v>22</v>
      </c>
      <c r="G3161" t="s">
        <v>23</v>
      </c>
      <c r="K3161" cm="1">
        <f t="array" ref="K3161">_xlfn.SWITCH(LeadsData[[#This Row],[Funnel Stage Reached]],"Lead",1,"MQL",2,"SQL",3,"Customer",4)</f>
        <v>2</v>
      </c>
      <c r="L3161" t="str">
        <f>TEXT(LeadsData[[#This Row],[Signup Date]],"mmm-yyyy")</f>
        <v>Jul-2024</v>
      </c>
      <c r="M3161">
        <f>IF(LeadsData[[#This Row],[Stage Number]]&gt;=2,1,0)</f>
        <v>1</v>
      </c>
      <c r="N3161" s="2">
        <f>IF(LeadsData[[#This Row],[Stage Number]]&gt;=3,1,0)</f>
        <v>0</v>
      </c>
      <c r="O3161" s="2">
        <f>IF(LeadsData[[#This Row],[Stage Number]]&gt;=4,1,0)</f>
        <v>0</v>
      </c>
    </row>
    <row r="3162" spans="1:15" x14ac:dyDescent="0.25">
      <c r="A3162" t="s">
        <v>3202</v>
      </c>
      <c r="B3162" s="1">
        <v>45363</v>
      </c>
      <c r="C3162" t="s">
        <v>25</v>
      </c>
      <c r="D3162" t="s">
        <v>26</v>
      </c>
      <c r="E3162" t="s">
        <v>48</v>
      </c>
      <c r="F3162" t="s">
        <v>14</v>
      </c>
      <c r="G3162" t="s">
        <v>15</v>
      </c>
      <c r="K3162" cm="1">
        <f t="array" ref="K3162">_xlfn.SWITCH(LeadsData[[#This Row],[Funnel Stage Reached]],"Lead",1,"MQL",2,"SQL",3,"Customer",4)</f>
        <v>1</v>
      </c>
      <c r="L3162" t="str">
        <f>TEXT(LeadsData[[#This Row],[Signup Date]],"mmm-yyyy")</f>
        <v>Mar-2024</v>
      </c>
      <c r="M3162">
        <f>IF(LeadsData[[#This Row],[Stage Number]]&gt;=2,1,0)</f>
        <v>0</v>
      </c>
      <c r="N3162" s="2">
        <f>IF(LeadsData[[#This Row],[Stage Number]]&gt;=3,1,0)</f>
        <v>0</v>
      </c>
      <c r="O3162" s="2">
        <f>IF(LeadsData[[#This Row],[Stage Number]]&gt;=4,1,0)</f>
        <v>0</v>
      </c>
    </row>
    <row r="3163" spans="1:15" x14ac:dyDescent="0.25">
      <c r="A3163" t="s">
        <v>3203</v>
      </c>
      <c r="B3163" s="1">
        <v>45523</v>
      </c>
      <c r="C3163" t="s">
        <v>36</v>
      </c>
      <c r="D3163" t="s">
        <v>37</v>
      </c>
      <c r="E3163" t="s">
        <v>13</v>
      </c>
      <c r="F3163" t="s">
        <v>14</v>
      </c>
      <c r="G3163" t="s">
        <v>29</v>
      </c>
      <c r="K3163" cm="1">
        <f t="array" ref="K3163">_xlfn.SWITCH(LeadsData[[#This Row],[Funnel Stage Reached]],"Lead",1,"MQL",2,"SQL",3,"Customer",4)</f>
        <v>3</v>
      </c>
      <c r="L3163" t="str">
        <f>TEXT(LeadsData[[#This Row],[Signup Date]],"mmm-yyyy")</f>
        <v>Aug-2024</v>
      </c>
      <c r="M3163">
        <f>IF(LeadsData[[#This Row],[Stage Number]]&gt;=2,1,0)</f>
        <v>1</v>
      </c>
      <c r="N3163" s="2">
        <f>IF(LeadsData[[#This Row],[Stage Number]]&gt;=3,1,0)</f>
        <v>1</v>
      </c>
      <c r="O3163" s="2">
        <f>IF(LeadsData[[#This Row],[Stage Number]]&gt;=4,1,0)</f>
        <v>0</v>
      </c>
    </row>
    <row r="3164" spans="1:15" x14ac:dyDescent="0.25">
      <c r="A3164" t="s">
        <v>3204</v>
      </c>
      <c r="B3164" s="1">
        <v>45476</v>
      </c>
      <c r="C3164" t="s">
        <v>46</v>
      </c>
      <c r="D3164" t="s">
        <v>47</v>
      </c>
      <c r="E3164" t="s">
        <v>48</v>
      </c>
      <c r="F3164" t="s">
        <v>19</v>
      </c>
      <c r="G3164" t="s">
        <v>23</v>
      </c>
      <c r="K3164" cm="1">
        <f t="array" ref="K3164">_xlfn.SWITCH(LeadsData[[#This Row],[Funnel Stage Reached]],"Lead",1,"MQL",2,"SQL",3,"Customer",4)</f>
        <v>2</v>
      </c>
      <c r="L3164" t="str">
        <f>TEXT(LeadsData[[#This Row],[Signup Date]],"mmm-yyyy")</f>
        <v>Jul-2024</v>
      </c>
      <c r="M3164">
        <f>IF(LeadsData[[#This Row],[Stage Number]]&gt;=2,1,0)</f>
        <v>1</v>
      </c>
      <c r="N3164" s="2">
        <f>IF(LeadsData[[#This Row],[Stage Number]]&gt;=3,1,0)</f>
        <v>0</v>
      </c>
      <c r="O3164" s="2">
        <f>IF(LeadsData[[#This Row],[Stage Number]]&gt;=4,1,0)</f>
        <v>0</v>
      </c>
    </row>
    <row r="3165" spans="1:15" x14ac:dyDescent="0.25">
      <c r="A3165" t="s">
        <v>3205</v>
      </c>
      <c r="B3165" s="1">
        <v>45525</v>
      </c>
      <c r="C3165" t="s">
        <v>17</v>
      </c>
      <c r="D3165" t="s">
        <v>53</v>
      </c>
      <c r="E3165" t="s">
        <v>13</v>
      </c>
      <c r="F3165" t="s">
        <v>19</v>
      </c>
      <c r="G3165" t="s">
        <v>23</v>
      </c>
      <c r="K3165" cm="1">
        <f t="array" ref="K3165">_xlfn.SWITCH(LeadsData[[#This Row],[Funnel Stage Reached]],"Lead",1,"MQL",2,"SQL",3,"Customer",4)</f>
        <v>2</v>
      </c>
      <c r="L3165" t="str">
        <f>TEXT(LeadsData[[#This Row],[Signup Date]],"mmm-yyyy")</f>
        <v>Aug-2024</v>
      </c>
      <c r="M3165">
        <f>IF(LeadsData[[#This Row],[Stage Number]]&gt;=2,1,0)</f>
        <v>1</v>
      </c>
      <c r="N3165" s="2">
        <f>IF(LeadsData[[#This Row],[Stage Number]]&gt;=3,1,0)</f>
        <v>0</v>
      </c>
      <c r="O3165" s="2">
        <f>IF(LeadsData[[#This Row],[Stage Number]]&gt;=4,1,0)</f>
        <v>0</v>
      </c>
    </row>
    <row r="3166" spans="1:15" x14ac:dyDescent="0.25">
      <c r="A3166" t="s">
        <v>3206</v>
      </c>
      <c r="B3166" s="1">
        <v>45629</v>
      </c>
      <c r="C3166" t="s">
        <v>17</v>
      </c>
      <c r="D3166" t="s">
        <v>53</v>
      </c>
      <c r="E3166" t="s">
        <v>21</v>
      </c>
      <c r="F3166" t="s">
        <v>22</v>
      </c>
      <c r="G3166" t="s">
        <v>15</v>
      </c>
      <c r="K3166" cm="1">
        <f t="array" ref="K3166">_xlfn.SWITCH(LeadsData[[#This Row],[Funnel Stage Reached]],"Lead",1,"MQL",2,"SQL",3,"Customer",4)</f>
        <v>1</v>
      </c>
      <c r="L3166" t="str">
        <f>TEXT(LeadsData[[#This Row],[Signup Date]],"mmm-yyyy")</f>
        <v>Dec-2024</v>
      </c>
      <c r="M3166">
        <f>IF(LeadsData[[#This Row],[Stage Number]]&gt;=2,1,0)</f>
        <v>0</v>
      </c>
      <c r="N3166" s="2">
        <f>IF(LeadsData[[#This Row],[Stage Number]]&gt;=3,1,0)</f>
        <v>0</v>
      </c>
      <c r="O3166" s="2">
        <f>IF(LeadsData[[#This Row],[Stage Number]]&gt;=4,1,0)</f>
        <v>0</v>
      </c>
    </row>
    <row r="3167" spans="1:15" x14ac:dyDescent="0.25">
      <c r="A3167" t="s">
        <v>3207</v>
      </c>
      <c r="B3167" s="1">
        <v>45421</v>
      </c>
      <c r="C3167" t="s">
        <v>46</v>
      </c>
      <c r="D3167" t="s">
        <v>56</v>
      </c>
      <c r="E3167" t="s">
        <v>21</v>
      </c>
      <c r="F3167" t="s">
        <v>14</v>
      </c>
      <c r="G3167" t="s">
        <v>42</v>
      </c>
      <c r="H3167">
        <v>54</v>
      </c>
      <c r="I3167" t="s">
        <v>87</v>
      </c>
      <c r="J3167">
        <v>3998.31</v>
      </c>
      <c r="K3167" cm="1">
        <f t="array" ref="K3167">_xlfn.SWITCH(LeadsData[[#This Row],[Funnel Stage Reached]],"Lead",1,"MQL",2,"SQL",3,"Customer",4)</f>
        <v>4</v>
      </c>
      <c r="L3167" t="str">
        <f>TEXT(LeadsData[[#This Row],[Signup Date]],"mmm-yyyy")</f>
        <v>May-2024</v>
      </c>
      <c r="M3167">
        <f>IF(LeadsData[[#This Row],[Stage Number]]&gt;=2,1,0)</f>
        <v>1</v>
      </c>
      <c r="N3167" s="2">
        <f>IF(LeadsData[[#This Row],[Stage Number]]&gt;=3,1,0)</f>
        <v>1</v>
      </c>
      <c r="O3167" s="2">
        <f>IF(LeadsData[[#This Row],[Stage Number]]&gt;=4,1,0)</f>
        <v>1</v>
      </c>
    </row>
    <row r="3168" spans="1:15" x14ac:dyDescent="0.25">
      <c r="A3168" t="s">
        <v>3208</v>
      </c>
      <c r="B3168" s="1">
        <v>45643</v>
      </c>
      <c r="C3168" t="s">
        <v>36</v>
      </c>
      <c r="D3168" t="s">
        <v>37</v>
      </c>
      <c r="E3168" t="s">
        <v>13</v>
      </c>
      <c r="F3168" t="s">
        <v>19</v>
      </c>
      <c r="G3168" t="s">
        <v>15</v>
      </c>
      <c r="K3168" cm="1">
        <f t="array" ref="K3168">_xlfn.SWITCH(LeadsData[[#This Row],[Funnel Stage Reached]],"Lead",1,"MQL",2,"SQL",3,"Customer",4)</f>
        <v>1</v>
      </c>
      <c r="L3168" t="str">
        <f>TEXT(LeadsData[[#This Row],[Signup Date]],"mmm-yyyy")</f>
        <v>Dec-2024</v>
      </c>
      <c r="M3168">
        <f>IF(LeadsData[[#This Row],[Stage Number]]&gt;=2,1,0)</f>
        <v>0</v>
      </c>
      <c r="N3168" s="2">
        <f>IF(LeadsData[[#This Row],[Stage Number]]&gt;=3,1,0)</f>
        <v>0</v>
      </c>
      <c r="O3168" s="2">
        <f>IF(LeadsData[[#This Row],[Stage Number]]&gt;=4,1,0)</f>
        <v>0</v>
      </c>
    </row>
    <row r="3169" spans="1:15" x14ac:dyDescent="0.25">
      <c r="A3169" t="s">
        <v>3209</v>
      </c>
      <c r="B3169" s="1">
        <v>45558</v>
      </c>
      <c r="C3169" t="s">
        <v>11</v>
      </c>
      <c r="D3169" t="s">
        <v>68</v>
      </c>
      <c r="E3169" t="s">
        <v>21</v>
      </c>
      <c r="F3169" t="s">
        <v>22</v>
      </c>
      <c r="G3169" t="s">
        <v>15</v>
      </c>
      <c r="K3169" cm="1">
        <f t="array" ref="K3169">_xlfn.SWITCH(LeadsData[[#This Row],[Funnel Stage Reached]],"Lead",1,"MQL",2,"SQL",3,"Customer",4)</f>
        <v>1</v>
      </c>
      <c r="L3169" t="str">
        <f>TEXT(LeadsData[[#This Row],[Signup Date]],"mmm-yyyy")</f>
        <v>Sep-2024</v>
      </c>
      <c r="M3169">
        <f>IF(LeadsData[[#This Row],[Stage Number]]&gt;=2,1,0)</f>
        <v>0</v>
      </c>
      <c r="N3169" s="2">
        <f>IF(LeadsData[[#This Row],[Stage Number]]&gt;=3,1,0)</f>
        <v>0</v>
      </c>
      <c r="O3169" s="2">
        <f>IF(LeadsData[[#This Row],[Stage Number]]&gt;=4,1,0)</f>
        <v>0</v>
      </c>
    </row>
    <row r="3170" spans="1:15" x14ac:dyDescent="0.25">
      <c r="A3170" t="s">
        <v>3210</v>
      </c>
      <c r="B3170" s="1">
        <v>45635</v>
      </c>
      <c r="C3170" t="s">
        <v>36</v>
      </c>
      <c r="D3170" t="s">
        <v>50</v>
      </c>
      <c r="E3170" t="s">
        <v>21</v>
      </c>
      <c r="F3170" t="s">
        <v>14</v>
      </c>
      <c r="G3170" t="s">
        <v>29</v>
      </c>
      <c r="K3170" cm="1">
        <f t="array" ref="K3170">_xlfn.SWITCH(LeadsData[[#This Row],[Funnel Stage Reached]],"Lead",1,"MQL",2,"SQL",3,"Customer",4)</f>
        <v>3</v>
      </c>
      <c r="L3170" t="str">
        <f>TEXT(LeadsData[[#This Row],[Signup Date]],"mmm-yyyy")</f>
        <v>Dec-2024</v>
      </c>
      <c r="M3170">
        <f>IF(LeadsData[[#This Row],[Stage Number]]&gt;=2,1,0)</f>
        <v>1</v>
      </c>
      <c r="N3170" s="2">
        <f>IF(LeadsData[[#This Row],[Stage Number]]&gt;=3,1,0)</f>
        <v>1</v>
      </c>
      <c r="O3170" s="2">
        <f>IF(LeadsData[[#This Row],[Stage Number]]&gt;=4,1,0)</f>
        <v>0</v>
      </c>
    </row>
    <row r="3171" spans="1:15" x14ac:dyDescent="0.25">
      <c r="A3171" t="s">
        <v>3211</v>
      </c>
      <c r="B3171" s="1">
        <v>45477</v>
      </c>
      <c r="C3171" t="s">
        <v>31</v>
      </c>
      <c r="D3171" t="s">
        <v>34</v>
      </c>
      <c r="E3171" t="s">
        <v>13</v>
      </c>
      <c r="F3171" t="s">
        <v>14</v>
      </c>
      <c r="G3171" t="s">
        <v>23</v>
      </c>
      <c r="K3171" cm="1">
        <f t="array" ref="K3171">_xlfn.SWITCH(LeadsData[[#This Row],[Funnel Stage Reached]],"Lead",1,"MQL",2,"SQL",3,"Customer",4)</f>
        <v>2</v>
      </c>
      <c r="L3171" t="str">
        <f>TEXT(LeadsData[[#This Row],[Signup Date]],"mmm-yyyy")</f>
        <v>Jul-2024</v>
      </c>
      <c r="M3171">
        <f>IF(LeadsData[[#This Row],[Stage Number]]&gt;=2,1,0)</f>
        <v>1</v>
      </c>
      <c r="N3171" s="2">
        <f>IF(LeadsData[[#This Row],[Stage Number]]&gt;=3,1,0)</f>
        <v>0</v>
      </c>
      <c r="O3171" s="2">
        <f>IF(LeadsData[[#This Row],[Stage Number]]&gt;=4,1,0)</f>
        <v>0</v>
      </c>
    </row>
    <row r="3172" spans="1:15" x14ac:dyDescent="0.25">
      <c r="A3172" t="s">
        <v>3212</v>
      </c>
      <c r="B3172" s="1">
        <v>45454</v>
      </c>
      <c r="C3172" t="s">
        <v>31</v>
      </c>
      <c r="D3172" t="s">
        <v>34</v>
      </c>
      <c r="E3172" t="s">
        <v>21</v>
      </c>
      <c r="F3172" t="s">
        <v>19</v>
      </c>
      <c r="G3172" t="s">
        <v>29</v>
      </c>
      <c r="K3172" cm="1">
        <f t="array" ref="K3172">_xlfn.SWITCH(LeadsData[[#This Row],[Funnel Stage Reached]],"Lead",1,"MQL",2,"SQL",3,"Customer",4)</f>
        <v>3</v>
      </c>
      <c r="L3172" t="str">
        <f>TEXT(LeadsData[[#This Row],[Signup Date]],"mmm-yyyy")</f>
        <v>Jun-2024</v>
      </c>
      <c r="M3172">
        <f>IF(LeadsData[[#This Row],[Stage Number]]&gt;=2,1,0)</f>
        <v>1</v>
      </c>
      <c r="N3172" s="2">
        <f>IF(LeadsData[[#This Row],[Stage Number]]&gt;=3,1,0)</f>
        <v>1</v>
      </c>
      <c r="O3172" s="2">
        <f>IF(LeadsData[[#This Row],[Stage Number]]&gt;=4,1,0)</f>
        <v>0</v>
      </c>
    </row>
    <row r="3173" spans="1:15" x14ac:dyDescent="0.25">
      <c r="A3173" t="s">
        <v>3213</v>
      </c>
      <c r="B3173" s="1">
        <v>45294</v>
      </c>
      <c r="C3173" t="s">
        <v>25</v>
      </c>
      <c r="D3173" t="s">
        <v>26</v>
      </c>
      <c r="E3173" t="s">
        <v>13</v>
      </c>
      <c r="F3173" t="s">
        <v>19</v>
      </c>
      <c r="G3173" t="s">
        <v>42</v>
      </c>
      <c r="H3173">
        <v>56</v>
      </c>
      <c r="I3173" t="s">
        <v>43</v>
      </c>
      <c r="J3173">
        <v>637.87</v>
      </c>
      <c r="K3173" cm="1">
        <f t="array" ref="K3173">_xlfn.SWITCH(LeadsData[[#This Row],[Funnel Stage Reached]],"Lead",1,"MQL",2,"SQL",3,"Customer",4)</f>
        <v>4</v>
      </c>
      <c r="L3173" t="str">
        <f>TEXT(LeadsData[[#This Row],[Signup Date]],"mmm-yyyy")</f>
        <v>Jan-2024</v>
      </c>
      <c r="M3173">
        <f>IF(LeadsData[[#This Row],[Stage Number]]&gt;=2,1,0)</f>
        <v>1</v>
      </c>
      <c r="N3173" s="2">
        <f>IF(LeadsData[[#This Row],[Stage Number]]&gt;=3,1,0)</f>
        <v>1</v>
      </c>
      <c r="O3173" s="2">
        <f>IF(LeadsData[[#This Row],[Stage Number]]&gt;=4,1,0)</f>
        <v>1</v>
      </c>
    </row>
    <row r="3174" spans="1:15" x14ac:dyDescent="0.25">
      <c r="A3174" t="s">
        <v>3214</v>
      </c>
      <c r="B3174" s="1">
        <v>45545</v>
      </c>
      <c r="C3174" t="s">
        <v>31</v>
      </c>
      <c r="D3174" t="s">
        <v>34</v>
      </c>
      <c r="E3174" t="s">
        <v>21</v>
      </c>
      <c r="F3174" t="s">
        <v>19</v>
      </c>
      <c r="G3174" t="s">
        <v>42</v>
      </c>
      <c r="H3174">
        <v>38</v>
      </c>
      <c r="I3174" t="s">
        <v>43</v>
      </c>
      <c r="J3174">
        <v>866.27</v>
      </c>
      <c r="K3174" cm="1">
        <f t="array" ref="K3174">_xlfn.SWITCH(LeadsData[[#This Row],[Funnel Stage Reached]],"Lead",1,"MQL",2,"SQL",3,"Customer",4)</f>
        <v>4</v>
      </c>
      <c r="L3174" t="str">
        <f>TEXT(LeadsData[[#This Row],[Signup Date]],"mmm-yyyy")</f>
        <v>Sep-2024</v>
      </c>
      <c r="M3174">
        <f>IF(LeadsData[[#This Row],[Stage Number]]&gt;=2,1,0)</f>
        <v>1</v>
      </c>
      <c r="N3174" s="2">
        <f>IF(LeadsData[[#This Row],[Stage Number]]&gt;=3,1,0)</f>
        <v>1</v>
      </c>
      <c r="O3174" s="2">
        <f>IF(LeadsData[[#This Row],[Stage Number]]&gt;=4,1,0)</f>
        <v>1</v>
      </c>
    </row>
    <row r="3175" spans="1:15" x14ac:dyDescent="0.25">
      <c r="A3175" t="s">
        <v>3215</v>
      </c>
      <c r="B3175" s="1">
        <v>45464</v>
      </c>
      <c r="C3175" t="s">
        <v>36</v>
      </c>
      <c r="D3175" t="s">
        <v>50</v>
      </c>
      <c r="E3175" t="s">
        <v>13</v>
      </c>
      <c r="F3175" t="s">
        <v>19</v>
      </c>
      <c r="G3175" t="s">
        <v>15</v>
      </c>
      <c r="K3175" cm="1">
        <f t="array" ref="K3175">_xlfn.SWITCH(LeadsData[[#This Row],[Funnel Stage Reached]],"Lead",1,"MQL",2,"SQL",3,"Customer",4)</f>
        <v>1</v>
      </c>
      <c r="L3175" t="str">
        <f>TEXT(LeadsData[[#This Row],[Signup Date]],"mmm-yyyy")</f>
        <v>Jun-2024</v>
      </c>
      <c r="M3175">
        <f>IF(LeadsData[[#This Row],[Stage Number]]&gt;=2,1,0)</f>
        <v>0</v>
      </c>
      <c r="N3175" s="2">
        <f>IF(LeadsData[[#This Row],[Stage Number]]&gt;=3,1,0)</f>
        <v>0</v>
      </c>
      <c r="O3175" s="2">
        <f>IF(LeadsData[[#This Row],[Stage Number]]&gt;=4,1,0)</f>
        <v>0</v>
      </c>
    </row>
    <row r="3176" spans="1:15" x14ac:dyDescent="0.25">
      <c r="A3176" t="s">
        <v>3216</v>
      </c>
      <c r="B3176" s="1">
        <v>45541</v>
      </c>
      <c r="C3176" t="s">
        <v>36</v>
      </c>
      <c r="D3176" t="s">
        <v>37</v>
      </c>
      <c r="E3176" t="s">
        <v>21</v>
      </c>
      <c r="F3176" t="s">
        <v>14</v>
      </c>
      <c r="G3176" t="s">
        <v>15</v>
      </c>
      <c r="K3176" cm="1">
        <f t="array" ref="K3176">_xlfn.SWITCH(LeadsData[[#This Row],[Funnel Stage Reached]],"Lead",1,"MQL",2,"SQL",3,"Customer",4)</f>
        <v>1</v>
      </c>
      <c r="L3176" t="str">
        <f>TEXT(LeadsData[[#This Row],[Signup Date]],"mmm-yyyy")</f>
        <v>Sep-2024</v>
      </c>
      <c r="M3176">
        <f>IF(LeadsData[[#This Row],[Stage Number]]&gt;=2,1,0)</f>
        <v>0</v>
      </c>
      <c r="N3176" s="2">
        <f>IF(LeadsData[[#This Row],[Stage Number]]&gt;=3,1,0)</f>
        <v>0</v>
      </c>
      <c r="O3176" s="2">
        <f>IF(LeadsData[[#This Row],[Stage Number]]&gt;=4,1,0)</f>
        <v>0</v>
      </c>
    </row>
    <row r="3177" spans="1:15" x14ac:dyDescent="0.25">
      <c r="A3177" t="s">
        <v>3217</v>
      </c>
      <c r="B3177" s="1">
        <v>45401</v>
      </c>
      <c r="C3177" t="s">
        <v>17</v>
      </c>
      <c r="D3177" t="s">
        <v>18</v>
      </c>
      <c r="E3177" t="s">
        <v>21</v>
      </c>
      <c r="F3177" t="s">
        <v>14</v>
      </c>
      <c r="G3177" t="s">
        <v>15</v>
      </c>
      <c r="K3177" cm="1">
        <f t="array" ref="K3177">_xlfn.SWITCH(LeadsData[[#This Row],[Funnel Stage Reached]],"Lead",1,"MQL",2,"SQL",3,"Customer",4)</f>
        <v>1</v>
      </c>
      <c r="L3177" t="str">
        <f>TEXT(LeadsData[[#This Row],[Signup Date]],"mmm-yyyy")</f>
        <v>Apr-2024</v>
      </c>
      <c r="M3177">
        <f>IF(LeadsData[[#This Row],[Stage Number]]&gt;=2,1,0)</f>
        <v>0</v>
      </c>
      <c r="N3177" s="2">
        <f>IF(LeadsData[[#This Row],[Stage Number]]&gt;=3,1,0)</f>
        <v>0</v>
      </c>
      <c r="O3177" s="2">
        <f>IF(LeadsData[[#This Row],[Stage Number]]&gt;=4,1,0)</f>
        <v>0</v>
      </c>
    </row>
    <row r="3178" spans="1:15" x14ac:dyDescent="0.25">
      <c r="A3178" t="s">
        <v>3218</v>
      </c>
      <c r="B3178" s="1">
        <v>45464</v>
      </c>
      <c r="C3178" t="s">
        <v>11</v>
      </c>
      <c r="D3178" t="s">
        <v>12</v>
      </c>
      <c r="E3178" t="s">
        <v>21</v>
      </c>
      <c r="F3178" t="s">
        <v>19</v>
      </c>
      <c r="G3178" t="s">
        <v>15</v>
      </c>
      <c r="K3178" cm="1">
        <f t="array" ref="K3178">_xlfn.SWITCH(LeadsData[[#This Row],[Funnel Stage Reached]],"Lead",1,"MQL",2,"SQL",3,"Customer",4)</f>
        <v>1</v>
      </c>
      <c r="L3178" t="str">
        <f>TEXT(LeadsData[[#This Row],[Signup Date]],"mmm-yyyy")</f>
        <v>Jun-2024</v>
      </c>
      <c r="M3178">
        <f>IF(LeadsData[[#This Row],[Stage Number]]&gt;=2,1,0)</f>
        <v>0</v>
      </c>
      <c r="N3178" s="2">
        <f>IF(LeadsData[[#This Row],[Stage Number]]&gt;=3,1,0)</f>
        <v>0</v>
      </c>
      <c r="O3178" s="2">
        <f>IF(LeadsData[[#This Row],[Stage Number]]&gt;=4,1,0)</f>
        <v>0</v>
      </c>
    </row>
    <row r="3179" spans="1:15" x14ac:dyDescent="0.25">
      <c r="A3179" t="s">
        <v>3219</v>
      </c>
      <c r="B3179" s="1">
        <v>45588</v>
      </c>
      <c r="C3179" t="s">
        <v>31</v>
      </c>
      <c r="D3179" t="s">
        <v>32</v>
      </c>
      <c r="E3179" t="s">
        <v>21</v>
      </c>
      <c r="F3179" t="s">
        <v>19</v>
      </c>
      <c r="G3179" t="s">
        <v>15</v>
      </c>
      <c r="K3179" cm="1">
        <f t="array" ref="K3179">_xlfn.SWITCH(LeadsData[[#This Row],[Funnel Stage Reached]],"Lead",1,"MQL",2,"SQL",3,"Customer",4)</f>
        <v>1</v>
      </c>
      <c r="L3179" t="str">
        <f>TEXT(LeadsData[[#This Row],[Signup Date]],"mmm-yyyy")</f>
        <v>Oct-2024</v>
      </c>
      <c r="M3179">
        <f>IF(LeadsData[[#This Row],[Stage Number]]&gt;=2,1,0)</f>
        <v>0</v>
      </c>
      <c r="N3179" s="2">
        <f>IF(LeadsData[[#This Row],[Stage Number]]&gt;=3,1,0)</f>
        <v>0</v>
      </c>
      <c r="O3179" s="2">
        <f>IF(LeadsData[[#This Row],[Stage Number]]&gt;=4,1,0)</f>
        <v>0</v>
      </c>
    </row>
    <row r="3180" spans="1:15" x14ac:dyDescent="0.25">
      <c r="A3180" t="s">
        <v>3220</v>
      </c>
      <c r="B3180" s="1">
        <v>45400</v>
      </c>
      <c r="C3180" t="s">
        <v>17</v>
      </c>
      <c r="D3180" t="s">
        <v>18</v>
      </c>
      <c r="E3180" t="s">
        <v>13</v>
      </c>
      <c r="F3180" t="s">
        <v>19</v>
      </c>
      <c r="G3180" t="s">
        <v>42</v>
      </c>
      <c r="H3180">
        <v>42</v>
      </c>
      <c r="I3180" t="s">
        <v>183</v>
      </c>
      <c r="J3180">
        <v>9056.52</v>
      </c>
      <c r="K3180" cm="1">
        <f t="array" ref="K3180">_xlfn.SWITCH(LeadsData[[#This Row],[Funnel Stage Reached]],"Lead",1,"MQL",2,"SQL",3,"Customer",4)</f>
        <v>4</v>
      </c>
      <c r="L3180" t="str">
        <f>TEXT(LeadsData[[#This Row],[Signup Date]],"mmm-yyyy")</f>
        <v>Apr-2024</v>
      </c>
      <c r="M3180">
        <f>IF(LeadsData[[#This Row],[Stage Number]]&gt;=2,1,0)</f>
        <v>1</v>
      </c>
      <c r="N3180" s="2">
        <f>IF(LeadsData[[#This Row],[Stage Number]]&gt;=3,1,0)</f>
        <v>1</v>
      </c>
      <c r="O3180" s="2">
        <f>IF(LeadsData[[#This Row],[Stage Number]]&gt;=4,1,0)</f>
        <v>1</v>
      </c>
    </row>
    <row r="3181" spans="1:15" x14ac:dyDescent="0.25">
      <c r="A3181" t="s">
        <v>3221</v>
      </c>
      <c r="B3181" s="1">
        <v>45643</v>
      </c>
      <c r="C3181" t="s">
        <v>36</v>
      </c>
      <c r="D3181" t="s">
        <v>37</v>
      </c>
      <c r="E3181" t="s">
        <v>21</v>
      </c>
      <c r="F3181" t="s">
        <v>22</v>
      </c>
      <c r="G3181" t="s">
        <v>42</v>
      </c>
      <c r="H3181">
        <v>37</v>
      </c>
      <c r="I3181" t="s">
        <v>183</v>
      </c>
      <c r="J3181">
        <v>6458.2</v>
      </c>
      <c r="K3181" cm="1">
        <f t="array" ref="K3181">_xlfn.SWITCH(LeadsData[[#This Row],[Funnel Stage Reached]],"Lead",1,"MQL",2,"SQL",3,"Customer",4)</f>
        <v>4</v>
      </c>
      <c r="L3181" t="str">
        <f>TEXT(LeadsData[[#This Row],[Signup Date]],"mmm-yyyy")</f>
        <v>Dec-2024</v>
      </c>
      <c r="M3181">
        <f>IF(LeadsData[[#This Row],[Stage Number]]&gt;=2,1,0)</f>
        <v>1</v>
      </c>
      <c r="N3181" s="2">
        <f>IF(LeadsData[[#This Row],[Stage Number]]&gt;=3,1,0)</f>
        <v>1</v>
      </c>
      <c r="O3181" s="2">
        <f>IF(LeadsData[[#This Row],[Stage Number]]&gt;=4,1,0)</f>
        <v>1</v>
      </c>
    </row>
    <row r="3182" spans="1:15" x14ac:dyDescent="0.25">
      <c r="A3182" t="s">
        <v>3222</v>
      </c>
      <c r="B3182" s="1">
        <v>45367</v>
      </c>
      <c r="C3182" t="s">
        <v>46</v>
      </c>
      <c r="D3182" t="s">
        <v>56</v>
      </c>
      <c r="E3182" t="s">
        <v>13</v>
      </c>
      <c r="F3182" t="s">
        <v>28</v>
      </c>
      <c r="G3182" t="s">
        <v>15</v>
      </c>
      <c r="K3182" cm="1">
        <f t="array" ref="K3182">_xlfn.SWITCH(LeadsData[[#This Row],[Funnel Stage Reached]],"Lead",1,"MQL",2,"SQL",3,"Customer",4)</f>
        <v>1</v>
      </c>
      <c r="L3182" t="str">
        <f>TEXT(LeadsData[[#This Row],[Signup Date]],"mmm-yyyy")</f>
        <v>Mar-2024</v>
      </c>
      <c r="M3182">
        <f>IF(LeadsData[[#This Row],[Stage Number]]&gt;=2,1,0)</f>
        <v>0</v>
      </c>
      <c r="N3182" s="2">
        <f>IF(LeadsData[[#This Row],[Stage Number]]&gt;=3,1,0)</f>
        <v>0</v>
      </c>
      <c r="O3182" s="2">
        <f>IF(LeadsData[[#This Row],[Stage Number]]&gt;=4,1,0)</f>
        <v>0</v>
      </c>
    </row>
    <row r="3183" spans="1:15" x14ac:dyDescent="0.25">
      <c r="A3183" t="s">
        <v>3223</v>
      </c>
      <c r="B3183" s="1">
        <v>45362</v>
      </c>
      <c r="C3183" t="s">
        <v>31</v>
      </c>
      <c r="D3183" t="s">
        <v>34</v>
      </c>
      <c r="E3183" t="s">
        <v>21</v>
      </c>
      <c r="F3183" t="s">
        <v>19</v>
      </c>
      <c r="G3183" t="s">
        <v>15</v>
      </c>
      <c r="K3183" cm="1">
        <f t="array" ref="K3183">_xlfn.SWITCH(LeadsData[[#This Row],[Funnel Stage Reached]],"Lead",1,"MQL",2,"SQL",3,"Customer",4)</f>
        <v>1</v>
      </c>
      <c r="L3183" t="str">
        <f>TEXT(LeadsData[[#This Row],[Signup Date]],"mmm-yyyy")</f>
        <v>Mar-2024</v>
      </c>
      <c r="M3183">
        <f>IF(LeadsData[[#This Row],[Stage Number]]&gt;=2,1,0)</f>
        <v>0</v>
      </c>
      <c r="N3183" s="2">
        <f>IF(LeadsData[[#This Row],[Stage Number]]&gt;=3,1,0)</f>
        <v>0</v>
      </c>
      <c r="O3183" s="2">
        <f>IF(LeadsData[[#This Row],[Stage Number]]&gt;=4,1,0)</f>
        <v>0</v>
      </c>
    </row>
    <row r="3184" spans="1:15" x14ac:dyDescent="0.25">
      <c r="A3184" t="s">
        <v>3224</v>
      </c>
      <c r="B3184" s="1">
        <v>45458</v>
      </c>
      <c r="C3184" t="s">
        <v>36</v>
      </c>
      <c r="D3184" t="s">
        <v>37</v>
      </c>
      <c r="E3184" t="s">
        <v>13</v>
      </c>
      <c r="F3184" t="s">
        <v>22</v>
      </c>
      <c r="G3184" t="s">
        <v>23</v>
      </c>
      <c r="K3184" cm="1">
        <f t="array" ref="K3184">_xlfn.SWITCH(LeadsData[[#This Row],[Funnel Stage Reached]],"Lead",1,"MQL",2,"SQL",3,"Customer",4)</f>
        <v>2</v>
      </c>
      <c r="L3184" t="str">
        <f>TEXT(LeadsData[[#This Row],[Signup Date]],"mmm-yyyy")</f>
        <v>Jun-2024</v>
      </c>
      <c r="M3184">
        <f>IF(LeadsData[[#This Row],[Stage Number]]&gt;=2,1,0)</f>
        <v>1</v>
      </c>
      <c r="N3184" s="2">
        <f>IF(LeadsData[[#This Row],[Stage Number]]&gt;=3,1,0)</f>
        <v>0</v>
      </c>
      <c r="O3184" s="2">
        <f>IF(LeadsData[[#This Row],[Stage Number]]&gt;=4,1,0)</f>
        <v>0</v>
      </c>
    </row>
    <row r="3185" spans="1:15" x14ac:dyDescent="0.25">
      <c r="A3185" t="s">
        <v>3225</v>
      </c>
      <c r="B3185" s="1">
        <v>45432</v>
      </c>
      <c r="C3185" t="s">
        <v>31</v>
      </c>
      <c r="D3185" t="s">
        <v>32</v>
      </c>
      <c r="E3185" t="s">
        <v>13</v>
      </c>
      <c r="F3185" t="s">
        <v>19</v>
      </c>
      <c r="G3185" t="s">
        <v>15</v>
      </c>
      <c r="K3185" cm="1">
        <f t="array" ref="K3185">_xlfn.SWITCH(LeadsData[[#This Row],[Funnel Stage Reached]],"Lead",1,"MQL",2,"SQL",3,"Customer",4)</f>
        <v>1</v>
      </c>
      <c r="L3185" t="str">
        <f>TEXT(LeadsData[[#This Row],[Signup Date]],"mmm-yyyy")</f>
        <v>May-2024</v>
      </c>
      <c r="M3185">
        <f>IF(LeadsData[[#This Row],[Stage Number]]&gt;=2,1,0)</f>
        <v>0</v>
      </c>
      <c r="N3185" s="2">
        <f>IF(LeadsData[[#This Row],[Stage Number]]&gt;=3,1,0)</f>
        <v>0</v>
      </c>
      <c r="O3185" s="2">
        <f>IF(LeadsData[[#This Row],[Stage Number]]&gt;=4,1,0)</f>
        <v>0</v>
      </c>
    </row>
    <row r="3186" spans="1:15" x14ac:dyDescent="0.25">
      <c r="A3186" t="s">
        <v>3226</v>
      </c>
      <c r="B3186" s="1">
        <v>45500</v>
      </c>
      <c r="C3186" t="s">
        <v>17</v>
      </c>
      <c r="D3186" t="s">
        <v>18</v>
      </c>
      <c r="E3186" t="s">
        <v>13</v>
      </c>
      <c r="F3186" t="s">
        <v>19</v>
      </c>
      <c r="G3186" t="s">
        <v>23</v>
      </c>
      <c r="K3186" cm="1">
        <f t="array" ref="K3186">_xlfn.SWITCH(LeadsData[[#This Row],[Funnel Stage Reached]],"Lead",1,"MQL",2,"SQL",3,"Customer",4)</f>
        <v>2</v>
      </c>
      <c r="L3186" t="str">
        <f>TEXT(LeadsData[[#This Row],[Signup Date]],"mmm-yyyy")</f>
        <v>Jul-2024</v>
      </c>
      <c r="M3186">
        <f>IF(LeadsData[[#This Row],[Stage Number]]&gt;=2,1,0)</f>
        <v>1</v>
      </c>
      <c r="N3186" s="2">
        <f>IF(LeadsData[[#This Row],[Stage Number]]&gt;=3,1,0)</f>
        <v>0</v>
      </c>
      <c r="O3186" s="2">
        <f>IF(LeadsData[[#This Row],[Stage Number]]&gt;=4,1,0)</f>
        <v>0</v>
      </c>
    </row>
    <row r="3187" spans="1:15" x14ac:dyDescent="0.25">
      <c r="A3187" t="s">
        <v>3227</v>
      </c>
      <c r="B3187" s="1">
        <v>45507</v>
      </c>
      <c r="C3187" t="s">
        <v>25</v>
      </c>
      <c r="D3187" t="s">
        <v>26</v>
      </c>
      <c r="E3187" t="s">
        <v>21</v>
      </c>
      <c r="F3187" t="s">
        <v>19</v>
      </c>
      <c r="G3187" t="s">
        <v>15</v>
      </c>
      <c r="K3187" cm="1">
        <f t="array" ref="K3187">_xlfn.SWITCH(LeadsData[[#This Row],[Funnel Stage Reached]],"Lead",1,"MQL",2,"SQL",3,"Customer",4)</f>
        <v>1</v>
      </c>
      <c r="L3187" t="str">
        <f>TEXT(LeadsData[[#This Row],[Signup Date]],"mmm-yyyy")</f>
        <v>Aug-2024</v>
      </c>
      <c r="M3187">
        <f>IF(LeadsData[[#This Row],[Stage Number]]&gt;=2,1,0)</f>
        <v>0</v>
      </c>
      <c r="N3187" s="2">
        <f>IF(LeadsData[[#This Row],[Stage Number]]&gt;=3,1,0)</f>
        <v>0</v>
      </c>
      <c r="O3187" s="2">
        <f>IF(LeadsData[[#This Row],[Stage Number]]&gt;=4,1,0)</f>
        <v>0</v>
      </c>
    </row>
    <row r="3188" spans="1:15" x14ac:dyDescent="0.25">
      <c r="A3188" t="s">
        <v>3228</v>
      </c>
      <c r="B3188" s="1">
        <v>45562</v>
      </c>
      <c r="C3188" t="s">
        <v>31</v>
      </c>
      <c r="D3188" t="s">
        <v>34</v>
      </c>
      <c r="E3188" t="s">
        <v>13</v>
      </c>
      <c r="F3188" t="s">
        <v>19</v>
      </c>
      <c r="G3188" t="s">
        <v>15</v>
      </c>
      <c r="K3188" cm="1">
        <f t="array" ref="K3188">_xlfn.SWITCH(LeadsData[[#This Row],[Funnel Stage Reached]],"Lead",1,"MQL",2,"SQL",3,"Customer",4)</f>
        <v>1</v>
      </c>
      <c r="L3188" t="str">
        <f>TEXT(LeadsData[[#This Row],[Signup Date]],"mmm-yyyy")</f>
        <v>Sep-2024</v>
      </c>
      <c r="M3188">
        <f>IF(LeadsData[[#This Row],[Stage Number]]&gt;=2,1,0)</f>
        <v>0</v>
      </c>
      <c r="N3188" s="2">
        <f>IF(LeadsData[[#This Row],[Stage Number]]&gt;=3,1,0)</f>
        <v>0</v>
      </c>
      <c r="O3188" s="2">
        <f>IF(LeadsData[[#This Row],[Stage Number]]&gt;=4,1,0)</f>
        <v>0</v>
      </c>
    </row>
    <row r="3189" spans="1:15" x14ac:dyDescent="0.25">
      <c r="A3189" t="s">
        <v>3229</v>
      </c>
      <c r="B3189" s="1">
        <v>45616</v>
      </c>
      <c r="C3189" t="s">
        <v>31</v>
      </c>
      <c r="D3189" t="s">
        <v>34</v>
      </c>
      <c r="E3189" t="s">
        <v>21</v>
      </c>
      <c r="F3189" t="s">
        <v>19</v>
      </c>
      <c r="G3189" t="s">
        <v>29</v>
      </c>
      <c r="K3189" cm="1">
        <f t="array" ref="K3189">_xlfn.SWITCH(LeadsData[[#This Row],[Funnel Stage Reached]],"Lead",1,"MQL",2,"SQL",3,"Customer",4)</f>
        <v>3</v>
      </c>
      <c r="L3189" t="str">
        <f>TEXT(LeadsData[[#This Row],[Signup Date]],"mmm-yyyy")</f>
        <v>Nov-2024</v>
      </c>
      <c r="M3189">
        <f>IF(LeadsData[[#This Row],[Stage Number]]&gt;=2,1,0)</f>
        <v>1</v>
      </c>
      <c r="N3189" s="2">
        <f>IF(LeadsData[[#This Row],[Stage Number]]&gt;=3,1,0)</f>
        <v>1</v>
      </c>
      <c r="O3189" s="2">
        <f>IF(LeadsData[[#This Row],[Stage Number]]&gt;=4,1,0)</f>
        <v>0</v>
      </c>
    </row>
    <row r="3190" spans="1:15" x14ac:dyDescent="0.25">
      <c r="A3190" t="s">
        <v>3230</v>
      </c>
      <c r="B3190" s="1">
        <v>45426</v>
      </c>
      <c r="C3190" t="s">
        <v>11</v>
      </c>
      <c r="D3190" t="s">
        <v>79</v>
      </c>
      <c r="E3190" t="s">
        <v>21</v>
      </c>
      <c r="F3190" t="s">
        <v>22</v>
      </c>
      <c r="G3190" t="s">
        <v>15</v>
      </c>
      <c r="K3190" cm="1">
        <f t="array" ref="K3190">_xlfn.SWITCH(LeadsData[[#This Row],[Funnel Stage Reached]],"Lead",1,"MQL",2,"SQL",3,"Customer",4)</f>
        <v>1</v>
      </c>
      <c r="L3190" t="str">
        <f>TEXT(LeadsData[[#This Row],[Signup Date]],"mmm-yyyy")</f>
        <v>May-2024</v>
      </c>
      <c r="M3190">
        <f>IF(LeadsData[[#This Row],[Stage Number]]&gt;=2,1,0)</f>
        <v>0</v>
      </c>
      <c r="N3190" s="2">
        <f>IF(LeadsData[[#This Row],[Stage Number]]&gt;=3,1,0)</f>
        <v>0</v>
      </c>
      <c r="O3190" s="2">
        <f>IF(LeadsData[[#This Row],[Stage Number]]&gt;=4,1,0)</f>
        <v>0</v>
      </c>
    </row>
    <row r="3191" spans="1:15" x14ac:dyDescent="0.25">
      <c r="A3191" t="s">
        <v>3231</v>
      </c>
      <c r="B3191" s="1">
        <v>45501</v>
      </c>
      <c r="C3191" t="s">
        <v>25</v>
      </c>
      <c r="D3191" t="s">
        <v>26</v>
      </c>
      <c r="E3191" t="s">
        <v>13</v>
      </c>
      <c r="F3191" t="s">
        <v>19</v>
      </c>
      <c r="G3191" t="s">
        <v>29</v>
      </c>
      <c r="K3191" cm="1">
        <f t="array" ref="K3191">_xlfn.SWITCH(LeadsData[[#This Row],[Funnel Stage Reached]],"Lead",1,"MQL",2,"SQL",3,"Customer",4)</f>
        <v>3</v>
      </c>
      <c r="L3191" t="str">
        <f>TEXT(LeadsData[[#This Row],[Signup Date]],"mmm-yyyy")</f>
        <v>Jul-2024</v>
      </c>
      <c r="M3191">
        <f>IF(LeadsData[[#This Row],[Stage Number]]&gt;=2,1,0)</f>
        <v>1</v>
      </c>
      <c r="N3191" s="2">
        <f>IF(LeadsData[[#This Row],[Stage Number]]&gt;=3,1,0)</f>
        <v>1</v>
      </c>
      <c r="O3191" s="2">
        <f>IF(LeadsData[[#This Row],[Stage Number]]&gt;=4,1,0)</f>
        <v>0</v>
      </c>
    </row>
    <row r="3192" spans="1:15" x14ac:dyDescent="0.25">
      <c r="A3192" t="s">
        <v>3232</v>
      </c>
      <c r="B3192" s="1">
        <v>45408</v>
      </c>
      <c r="C3192" t="s">
        <v>46</v>
      </c>
      <c r="D3192" t="s">
        <v>47</v>
      </c>
      <c r="E3192" t="s">
        <v>21</v>
      </c>
      <c r="F3192" t="s">
        <v>19</v>
      </c>
      <c r="G3192" t="s">
        <v>15</v>
      </c>
      <c r="K3192" cm="1">
        <f t="array" ref="K3192">_xlfn.SWITCH(LeadsData[[#This Row],[Funnel Stage Reached]],"Lead",1,"MQL",2,"SQL",3,"Customer",4)</f>
        <v>1</v>
      </c>
      <c r="L3192" t="str">
        <f>TEXT(LeadsData[[#This Row],[Signup Date]],"mmm-yyyy")</f>
        <v>Apr-2024</v>
      </c>
      <c r="M3192">
        <f>IF(LeadsData[[#This Row],[Stage Number]]&gt;=2,1,0)</f>
        <v>0</v>
      </c>
      <c r="N3192" s="2">
        <f>IF(LeadsData[[#This Row],[Stage Number]]&gt;=3,1,0)</f>
        <v>0</v>
      </c>
      <c r="O3192" s="2">
        <f>IF(LeadsData[[#This Row],[Stage Number]]&gt;=4,1,0)</f>
        <v>0</v>
      </c>
    </row>
    <row r="3193" spans="1:15" x14ac:dyDescent="0.25">
      <c r="A3193" t="s">
        <v>3233</v>
      </c>
      <c r="B3193" s="1">
        <v>45317</v>
      </c>
      <c r="C3193" t="s">
        <v>25</v>
      </c>
      <c r="D3193" t="s">
        <v>26</v>
      </c>
      <c r="E3193" t="s">
        <v>21</v>
      </c>
      <c r="F3193" t="s">
        <v>14</v>
      </c>
      <c r="G3193" t="s">
        <v>15</v>
      </c>
      <c r="K3193" cm="1">
        <f t="array" ref="K3193">_xlfn.SWITCH(LeadsData[[#This Row],[Funnel Stage Reached]],"Lead",1,"MQL",2,"SQL",3,"Customer",4)</f>
        <v>1</v>
      </c>
      <c r="L3193" t="str">
        <f>TEXT(LeadsData[[#This Row],[Signup Date]],"mmm-yyyy")</f>
        <v>Jan-2024</v>
      </c>
      <c r="M3193">
        <f>IF(LeadsData[[#This Row],[Stage Number]]&gt;=2,1,0)</f>
        <v>0</v>
      </c>
      <c r="N3193" s="2">
        <f>IF(LeadsData[[#This Row],[Stage Number]]&gt;=3,1,0)</f>
        <v>0</v>
      </c>
      <c r="O3193" s="2">
        <f>IF(LeadsData[[#This Row],[Stage Number]]&gt;=4,1,0)</f>
        <v>0</v>
      </c>
    </row>
    <row r="3194" spans="1:15" x14ac:dyDescent="0.25">
      <c r="A3194" t="s">
        <v>3234</v>
      </c>
      <c r="B3194" s="1">
        <v>45431</v>
      </c>
      <c r="C3194" t="s">
        <v>31</v>
      </c>
      <c r="D3194" t="s">
        <v>32</v>
      </c>
      <c r="E3194" t="s">
        <v>21</v>
      </c>
      <c r="F3194" t="s">
        <v>22</v>
      </c>
      <c r="G3194" t="s">
        <v>15</v>
      </c>
      <c r="K3194" cm="1">
        <f t="array" ref="K3194">_xlfn.SWITCH(LeadsData[[#This Row],[Funnel Stage Reached]],"Lead",1,"MQL",2,"SQL",3,"Customer",4)</f>
        <v>1</v>
      </c>
      <c r="L3194" t="str">
        <f>TEXT(LeadsData[[#This Row],[Signup Date]],"mmm-yyyy")</f>
        <v>May-2024</v>
      </c>
      <c r="M3194">
        <f>IF(LeadsData[[#This Row],[Stage Number]]&gt;=2,1,0)</f>
        <v>0</v>
      </c>
      <c r="N3194" s="2">
        <f>IF(LeadsData[[#This Row],[Stage Number]]&gt;=3,1,0)</f>
        <v>0</v>
      </c>
      <c r="O3194" s="2">
        <f>IF(LeadsData[[#This Row],[Stage Number]]&gt;=4,1,0)</f>
        <v>0</v>
      </c>
    </row>
    <row r="3195" spans="1:15" x14ac:dyDescent="0.25">
      <c r="A3195" t="s">
        <v>3235</v>
      </c>
      <c r="B3195" s="1">
        <v>45541</v>
      </c>
      <c r="C3195" t="s">
        <v>17</v>
      </c>
      <c r="D3195" t="s">
        <v>53</v>
      </c>
      <c r="E3195" t="s">
        <v>13</v>
      </c>
      <c r="F3195" t="s">
        <v>22</v>
      </c>
      <c r="G3195" t="s">
        <v>23</v>
      </c>
      <c r="K3195" cm="1">
        <f t="array" ref="K3195">_xlfn.SWITCH(LeadsData[[#This Row],[Funnel Stage Reached]],"Lead",1,"MQL",2,"SQL",3,"Customer",4)</f>
        <v>2</v>
      </c>
      <c r="L3195" t="str">
        <f>TEXT(LeadsData[[#This Row],[Signup Date]],"mmm-yyyy")</f>
        <v>Sep-2024</v>
      </c>
      <c r="M3195">
        <f>IF(LeadsData[[#This Row],[Stage Number]]&gt;=2,1,0)</f>
        <v>1</v>
      </c>
      <c r="N3195" s="2">
        <f>IF(LeadsData[[#This Row],[Stage Number]]&gt;=3,1,0)</f>
        <v>0</v>
      </c>
      <c r="O3195" s="2">
        <f>IF(LeadsData[[#This Row],[Stage Number]]&gt;=4,1,0)</f>
        <v>0</v>
      </c>
    </row>
    <row r="3196" spans="1:15" x14ac:dyDescent="0.25">
      <c r="A3196" t="s">
        <v>3236</v>
      </c>
      <c r="B3196" s="1">
        <v>45433</v>
      </c>
      <c r="C3196" t="s">
        <v>31</v>
      </c>
      <c r="D3196" t="s">
        <v>32</v>
      </c>
      <c r="E3196" t="s">
        <v>21</v>
      </c>
      <c r="F3196" t="s">
        <v>22</v>
      </c>
      <c r="G3196" t="s">
        <v>15</v>
      </c>
      <c r="K3196" cm="1">
        <f t="array" ref="K3196">_xlfn.SWITCH(LeadsData[[#This Row],[Funnel Stage Reached]],"Lead",1,"MQL",2,"SQL",3,"Customer",4)</f>
        <v>1</v>
      </c>
      <c r="L3196" t="str">
        <f>TEXT(LeadsData[[#This Row],[Signup Date]],"mmm-yyyy")</f>
        <v>May-2024</v>
      </c>
      <c r="M3196">
        <f>IF(LeadsData[[#This Row],[Stage Number]]&gt;=2,1,0)</f>
        <v>0</v>
      </c>
      <c r="N3196" s="2">
        <f>IF(LeadsData[[#This Row],[Stage Number]]&gt;=3,1,0)</f>
        <v>0</v>
      </c>
      <c r="O3196" s="2">
        <f>IF(LeadsData[[#This Row],[Stage Number]]&gt;=4,1,0)</f>
        <v>0</v>
      </c>
    </row>
    <row r="3197" spans="1:15" x14ac:dyDescent="0.25">
      <c r="A3197" t="s">
        <v>3237</v>
      </c>
      <c r="B3197" s="1">
        <v>45606</v>
      </c>
      <c r="C3197" t="s">
        <v>25</v>
      </c>
      <c r="D3197" t="s">
        <v>26</v>
      </c>
      <c r="E3197" t="s">
        <v>21</v>
      </c>
      <c r="F3197" t="s">
        <v>19</v>
      </c>
      <c r="G3197" t="s">
        <v>15</v>
      </c>
      <c r="K3197" cm="1">
        <f t="array" ref="K3197">_xlfn.SWITCH(LeadsData[[#This Row],[Funnel Stage Reached]],"Lead",1,"MQL",2,"SQL",3,"Customer",4)</f>
        <v>1</v>
      </c>
      <c r="L3197" t="str">
        <f>TEXT(LeadsData[[#This Row],[Signup Date]],"mmm-yyyy")</f>
        <v>Nov-2024</v>
      </c>
      <c r="M3197">
        <f>IF(LeadsData[[#This Row],[Stage Number]]&gt;=2,1,0)</f>
        <v>0</v>
      </c>
      <c r="N3197" s="2">
        <f>IF(LeadsData[[#This Row],[Stage Number]]&gt;=3,1,0)</f>
        <v>0</v>
      </c>
      <c r="O3197" s="2">
        <f>IF(LeadsData[[#This Row],[Stage Number]]&gt;=4,1,0)</f>
        <v>0</v>
      </c>
    </row>
    <row r="3198" spans="1:15" x14ac:dyDescent="0.25">
      <c r="A3198" t="s">
        <v>3238</v>
      </c>
      <c r="B3198" s="1">
        <v>45562</v>
      </c>
      <c r="C3198" t="s">
        <v>11</v>
      </c>
      <c r="D3198" t="s">
        <v>79</v>
      </c>
      <c r="E3198" t="s">
        <v>48</v>
      </c>
      <c r="F3198" t="s">
        <v>19</v>
      </c>
      <c r="G3198" t="s">
        <v>15</v>
      </c>
      <c r="K3198" cm="1">
        <f t="array" ref="K3198">_xlfn.SWITCH(LeadsData[[#This Row],[Funnel Stage Reached]],"Lead",1,"MQL",2,"SQL",3,"Customer",4)</f>
        <v>1</v>
      </c>
      <c r="L3198" t="str">
        <f>TEXT(LeadsData[[#This Row],[Signup Date]],"mmm-yyyy")</f>
        <v>Sep-2024</v>
      </c>
      <c r="M3198">
        <f>IF(LeadsData[[#This Row],[Stage Number]]&gt;=2,1,0)</f>
        <v>0</v>
      </c>
      <c r="N3198" s="2">
        <f>IF(LeadsData[[#This Row],[Stage Number]]&gt;=3,1,0)</f>
        <v>0</v>
      </c>
      <c r="O3198" s="2">
        <f>IF(LeadsData[[#This Row],[Stage Number]]&gt;=4,1,0)</f>
        <v>0</v>
      </c>
    </row>
    <row r="3199" spans="1:15" x14ac:dyDescent="0.25">
      <c r="A3199" t="s">
        <v>3239</v>
      </c>
      <c r="B3199" s="1">
        <v>45582</v>
      </c>
      <c r="C3199" t="s">
        <v>46</v>
      </c>
      <c r="D3199" t="s">
        <v>56</v>
      </c>
      <c r="E3199" t="s">
        <v>21</v>
      </c>
      <c r="F3199" t="s">
        <v>19</v>
      </c>
      <c r="G3199" t="s">
        <v>23</v>
      </c>
      <c r="K3199" cm="1">
        <f t="array" ref="K3199">_xlfn.SWITCH(LeadsData[[#This Row],[Funnel Stage Reached]],"Lead",1,"MQL",2,"SQL",3,"Customer",4)</f>
        <v>2</v>
      </c>
      <c r="L3199" t="str">
        <f>TEXT(LeadsData[[#This Row],[Signup Date]],"mmm-yyyy")</f>
        <v>Oct-2024</v>
      </c>
      <c r="M3199">
        <f>IF(LeadsData[[#This Row],[Stage Number]]&gt;=2,1,0)</f>
        <v>1</v>
      </c>
      <c r="N3199" s="2">
        <f>IF(LeadsData[[#This Row],[Stage Number]]&gt;=3,1,0)</f>
        <v>0</v>
      </c>
      <c r="O3199" s="2">
        <f>IF(LeadsData[[#This Row],[Stage Number]]&gt;=4,1,0)</f>
        <v>0</v>
      </c>
    </row>
    <row r="3200" spans="1:15" x14ac:dyDescent="0.25">
      <c r="A3200" t="s">
        <v>3240</v>
      </c>
      <c r="B3200" s="1">
        <v>45384</v>
      </c>
      <c r="C3200" t="s">
        <v>46</v>
      </c>
      <c r="D3200" t="s">
        <v>56</v>
      </c>
      <c r="E3200" t="s">
        <v>13</v>
      </c>
      <c r="F3200" t="s">
        <v>22</v>
      </c>
      <c r="G3200" t="s">
        <v>29</v>
      </c>
      <c r="K3200" cm="1">
        <f t="array" ref="K3200">_xlfn.SWITCH(LeadsData[[#This Row],[Funnel Stage Reached]],"Lead",1,"MQL",2,"SQL",3,"Customer",4)</f>
        <v>3</v>
      </c>
      <c r="L3200" t="str">
        <f>TEXT(LeadsData[[#This Row],[Signup Date]],"mmm-yyyy")</f>
        <v>Apr-2024</v>
      </c>
      <c r="M3200">
        <f>IF(LeadsData[[#This Row],[Stage Number]]&gt;=2,1,0)</f>
        <v>1</v>
      </c>
      <c r="N3200" s="2">
        <f>IF(LeadsData[[#This Row],[Stage Number]]&gt;=3,1,0)</f>
        <v>1</v>
      </c>
      <c r="O3200" s="2">
        <f>IF(LeadsData[[#This Row],[Stage Number]]&gt;=4,1,0)</f>
        <v>0</v>
      </c>
    </row>
    <row r="3201" spans="1:15" x14ac:dyDescent="0.25">
      <c r="A3201" t="s">
        <v>3241</v>
      </c>
      <c r="B3201" s="1">
        <v>45604</v>
      </c>
      <c r="C3201" t="s">
        <v>25</v>
      </c>
      <c r="D3201" t="s">
        <v>26</v>
      </c>
      <c r="E3201" t="s">
        <v>13</v>
      </c>
      <c r="F3201" t="s">
        <v>14</v>
      </c>
      <c r="G3201" t="s">
        <v>23</v>
      </c>
      <c r="K3201" cm="1">
        <f t="array" ref="K3201">_xlfn.SWITCH(LeadsData[[#This Row],[Funnel Stage Reached]],"Lead",1,"MQL",2,"SQL",3,"Customer",4)</f>
        <v>2</v>
      </c>
      <c r="L3201" t="str">
        <f>TEXT(LeadsData[[#This Row],[Signup Date]],"mmm-yyyy")</f>
        <v>Nov-2024</v>
      </c>
      <c r="M3201">
        <f>IF(LeadsData[[#This Row],[Stage Number]]&gt;=2,1,0)</f>
        <v>1</v>
      </c>
      <c r="N3201" s="2">
        <f>IF(LeadsData[[#This Row],[Stage Number]]&gt;=3,1,0)</f>
        <v>0</v>
      </c>
      <c r="O3201" s="2">
        <f>IF(LeadsData[[#This Row],[Stage Number]]&gt;=4,1,0)</f>
        <v>0</v>
      </c>
    </row>
    <row r="3202" spans="1:15" x14ac:dyDescent="0.25">
      <c r="A3202" t="s">
        <v>3242</v>
      </c>
      <c r="B3202" s="1">
        <v>45353</v>
      </c>
      <c r="C3202" t="s">
        <v>11</v>
      </c>
      <c r="D3202" t="s">
        <v>68</v>
      </c>
      <c r="E3202" t="s">
        <v>13</v>
      </c>
      <c r="F3202" t="s">
        <v>19</v>
      </c>
      <c r="G3202" t="s">
        <v>29</v>
      </c>
      <c r="K3202" cm="1">
        <f t="array" ref="K3202">_xlfn.SWITCH(LeadsData[[#This Row],[Funnel Stage Reached]],"Lead",1,"MQL",2,"SQL",3,"Customer",4)</f>
        <v>3</v>
      </c>
      <c r="L3202" t="str">
        <f>TEXT(LeadsData[[#This Row],[Signup Date]],"mmm-yyyy")</f>
        <v>Mar-2024</v>
      </c>
      <c r="M3202">
        <f>IF(LeadsData[[#This Row],[Stage Number]]&gt;=2,1,0)</f>
        <v>1</v>
      </c>
      <c r="N3202" s="2">
        <f>IF(LeadsData[[#This Row],[Stage Number]]&gt;=3,1,0)</f>
        <v>1</v>
      </c>
      <c r="O3202" s="2">
        <f>IF(LeadsData[[#This Row],[Stage Number]]&gt;=4,1,0)</f>
        <v>0</v>
      </c>
    </row>
    <row r="3203" spans="1:15" x14ac:dyDescent="0.25">
      <c r="A3203" t="s">
        <v>3243</v>
      </c>
      <c r="B3203" s="1">
        <v>45559</v>
      </c>
      <c r="C3203" t="s">
        <v>31</v>
      </c>
      <c r="D3203" t="s">
        <v>34</v>
      </c>
      <c r="E3203" t="s">
        <v>21</v>
      </c>
      <c r="F3203" t="s">
        <v>22</v>
      </c>
      <c r="G3203" t="s">
        <v>23</v>
      </c>
      <c r="K3203" cm="1">
        <f t="array" ref="K3203">_xlfn.SWITCH(LeadsData[[#This Row],[Funnel Stage Reached]],"Lead",1,"MQL",2,"SQL",3,"Customer",4)</f>
        <v>2</v>
      </c>
      <c r="L3203" t="str">
        <f>TEXT(LeadsData[[#This Row],[Signup Date]],"mmm-yyyy")</f>
        <v>Sep-2024</v>
      </c>
      <c r="M3203">
        <f>IF(LeadsData[[#This Row],[Stage Number]]&gt;=2,1,0)</f>
        <v>1</v>
      </c>
      <c r="N3203" s="2">
        <f>IF(LeadsData[[#This Row],[Stage Number]]&gt;=3,1,0)</f>
        <v>0</v>
      </c>
      <c r="O3203" s="2">
        <f>IF(LeadsData[[#This Row],[Stage Number]]&gt;=4,1,0)</f>
        <v>0</v>
      </c>
    </row>
    <row r="3204" spans="1:15" x14ac:dyDescent="0.25">
      <c r="A3204" t="s">
        <v>3244</v>
      </c>
      <c r="B3204" s="1">
        <v>45433</v>
      </c>
      <c r="C3204" t="s">
        <v>46</v>
      </c>
      <c r="D3204" t="s">
        <v>47</v>
      </c>
      <c r="E3204" t="s">
        <v>13</v>
      </c>
      <c r="F3204" t="s">
        <v>22</v>
      </c>
      <c r="G3204" t="s">
        <v>23</v>
      </c>
      <c r="K3204" cm="1">
        <f t="array" ref="K3204">_xlfn.SWITCH(LeadsData[[#This Row],[Funnel Stage Reached]],"Lead",1,"MQL",2,"SQL",3,"Customer",4)</f>
        <v>2</v>
      </c>
      <c r="L3204" t="str">
        <f>TEXT(LeadsData[[#This Row],[Signup Date]],"mmm-yyyy")</f>
        <v>May-2024</v>
      </c>
      <c r="M3204">
        <f>IF(LeadsData[[#This Row],[Stage Number]]&gt;=2,1,0)</f>
        <v>1</v>
      </c>
      <c r="N3204" s="2">
        <f>IF(LeadsData[[#This Row],[Stage Number]]&gt;=3,1,0)</f>
        <v>0</v>
      </c>
      <c r="O3204" s="2">
        <f>IF(LeadsData[[#This Row],[Stage Number]]&gt;=4,1,0)</f>
        <v>0</v>
      </c>
    </row>
    <row r="3205" spans="1:15" x14ac:dyDescent="0.25">
      <c r="A3205" t="s">
        <v>3245</v>
      </c>
      <c r="B3205" s="1">
        <v>45360</v>
      </c>
      <c r="C3205" t="s">
        <v>31</v>
      </c>
      <c r="D3205" t="s">
        <v>32</v>
      </c>
      <c r="E3205" t="s">
        <v>13</v>
      </c>
      <c r="F3205" t="s">
        <v>22</v>
      </c>
      <c r="G3205" t="s">
        <v>29</v>
      </c>
      <c r="K3205" cm="1">
        <f t="array" ref="K3205">_xlfn.SWITCH(LeadsData[[#This Row],[Funnel Stage Reached]],"Lead",1,"MQL",2,"SQL",3,"Customer",4)</f>
        <v>3</v>
      </c>
      <c r="L3205" t="str">
        <f>TEXT(LeadsData[[#This Row],[Signup Date]],"mmm-yyyy")</f>
        <v>Mar-2024</v>
      </c>
      <c r="M3205">
        <f>IF(LeadsData[[#This Row],[Stage Number]]&gt;=2,1,0)</f>
        <v>1</v>
      </c>
      <c r="N3205" s="2">
        <f>IF(LeadsData[[#This Row],[Stage Number]]&gt;=3,1,0)</f>
        <v>1</v>
      </c>
      <c r="O3205" s="2">
        <f>IF(LeadsData[[#This Row],[Stage Number]]&gt;=4,1,0)</f>
        <v>0</v>
      </c>
    </row>
    <row r="3206" spans="1:15" x14ac:dyDescent="0.25">
      <c r="A3206" t="s">
        <v>3246</v>
      </c>
      <c r="B3206" s="1">
        <v>45425</v>
      </c>
      <c r="C3206" t="s">
        <v>46</v>
      </c>
      <c r="D3206" t="s">
        <v>56</v>
      </c>
      <c r="E3206" t="s">
        <v>21</v>
      </c>
      <c r="F3206" t="s">
        <v>14</v>
      </c>
      <c r="G3206" t="s">
        <v>29</v>
      </c>
      <c r="K3206" cm="1">
        <f t="array" ref="K3206">_xlfn.SWITCH(LeadsData[[#This Row],[Funnel Stage Reached]],"Lead",1,"MQL",2,"SQL",3,"Customer",4)</f>
        <v>3</v>
      </c>
      <c r="L3206" t="str">
        <f>TEXT(LeadsData[[#This Row],[Signup Date]],"mmm-yyyy")</f>
        <v>May-2024</v>
      </c>
      <c r="M3206">
        <f>IF(LeadsData[[#This Row],[Stage Number]]&gt;=2,1,0)</f>
        <v>1</v>
      </c>
      <c r="N3206" s="2">
        <f>IF(LeadsData[[#This Row],[Stage Number]]&gt;=3,1,0)</f>
        <v>1</v>
      </c>
      <c r="O3206" s="2">
        <f>IF(LeadsData[[#This Row],[Stage Number]]&gt;=4,1,0)</f>
        <v>0</v>
      </c>
    </row>
    <row r="3207" spans="1:15" x14ac:dyDescent="0.25">
      <c r="A3207" t="s">
        <v>3247</v>
      </c>
      <c r="B3207" s="1">
        <v>45303</v>
      </c>
      <c r="C3207" t="s">
        <v>11</v>
      </c>
      <c r="D3207" t="s">
        <v>68</v>
      </c>
      <c r="E3207" t="s">
        <v>48</v>
      </c>
      <c r="F3207" t="s">
        <v>22</v>
      </c>
      <c r="G3207" t="s">
        <v>15</v>
      </c>
      <c r="K3207" cm="1">
        <f t="array" ref="K3207">_xlfn.SWITCH(LeadsData[[#This Row],[Funnel Stage Reached]],"Lead",1,"MQL",2,"SQL",3,"Customer",4)</f>
        <v>1</v>
      </c>
      <c r="L3207" t="str">
        <f>TEXT(LeadsData[[#This Row],[Signup Date]],"mmm-yyyy")</f>
        <v>Jan-2024</v>
      </c>
      <c r="M3207">
        <f>IF(LeadsData[[#This Row],[Stage Number]]&gt;=2,1,0)</f>
        <v>0</v>
      </c>
      <c r="N3207" s="2">
        <f>IF(LeadsData[[#This Row],[Stage Number]]&gt;=3,1,0)</f>
        <v>0</v>
      </c>
      <c r="O3207" s="2">
        <f>IF(LeadsData[[#This Row],[Stage Number]]&gt;=4,1,0)</f>
        <v>0</v>
      </c>
    </row>
    <row r="3208" spans="1:15" x14ac:dyDescent="0.25">
      <c r="A3208" t="s">
        <v>3248</v>
      </c>
      <c r="B3208" s="1">
        <v>45521</v>
      </c>
      <c r="C3208" t="s">
        <v>46</v>
      </c>
      <c r="D3208" t="s">
        <v>56</v>
      </c>
      <c r="E3208" t="s">
        <v>13</v>
      </c>
      <c r="F3208" t="s">
        <v>22</v>
      </c>
      <c r="G3208" t="s">
        <v>15</v>
      </c>
      <c r="K3208" cm="1">
        <f t="array" ref="K3208">_xlfn.SWITCH(LeadsData[[#This Row],[Funnel Stage Reached]],"Lead",1,"MQL",2,"SQL",3,"Customer",4)</f>
        <v>1</v>
      </c>
      <c r="L3208" t="str">
        <f>TEXT(LeadsData[[#This Row],[Signup Date]],"mmm-yyyy")</f>
        <v>Aug-2024</v>
      </c>
      <c r="M3208">
        <f>IF(LeadsData[[#This Row],[Stage Number]]&gt;=2,1,0)</f>
        <v>0</v>
      </c>
      <c r="N3208" s="2">
        <f>IF(LeadsData[[#This Row],[Stage Number]]&gt;=3,1,0)</f>
        <v>0</v>
      </c>
      <c r="O3208" s="2">
        <f>IF(LeadsData[[#This Row],[Stage Number]]&gt;=4,1,0)</f>
        <v>0</v>
      </c>
    </row>
    <row r="3209" spans="1:15" x14ac:dyDescent="0.25">
      <c r="A3209" t="s">
        <v>3249</v>
      </c>
      <c r="B3209" s="1">
        <v>45548</v>
      </c>
      <c r="C3209" t="s">
        <v>11</v>
      </c>
      <c r="D3209" t="s">
        <v>12</v>
      </c>
      <c r="E3209" t="s">
        <v>48</v>
      </c>
      <c r="F3209" t="s">
        <v>22</v>
      </c>
      <c r="G3209" t="s">
        <v>15</v>
      </c>
      <c r="K3209" cm="1">
        <f t="array" ref="K3209">_xlfn.SWITCH(LeadsData[[#This Row],[Funnel Stage Reached]],"Lead",1,"MQL",2,"SQL",3,"Customer",4)</f>
        <v>1</v>
      </c>
      <c r="L3209" t="str">
        <f>TEXT(LeadsData[[#This Row],[Signup Date]],"mmm-yyyy")</f>
        <v>Sep-2024</v>
      </c>
      <c r="M3209">
        <f>IF(LeadsData[[#This Row],[Stage Number]]&gt;=2,1,0)</f>
        <v>0</v>
      </c>
      <c r="N3209" s="2">
        <f>IF(LeadsData[[#This Row],[Stage Number]]&gt;=3,1,0)</f>
        <v>0</v>
      </c>
      <c r="O3209" s="2">
        <f>IF(LeadsData[[#This Row],[Stage Number]]&gt;=4,1,0)</f>
        <v>0</v>
      </c>
    </row>
    <row r="3210" spans="1:15" x14ac:dyDescent="0.25">
      <c r="A3210" t="s">
        <v>3250</v>
      </c>
      <c r="B3210" s="1">
        <v>45376</v>
      </c>
      <c r="C3210" t="s">
        <v>36</v>
      </c>
      <c r="D3210" t="s">
        <v>37</v>
      </c>
      <c r="E3210" t="s">
        <v>13</v>
      </c>
      <c r="F3210" t="s">
        <v>22</v>
      </c>
      <c r="G3210" t="s">
        <v>23</v>
      </c>
      <c r="K3210" cm="1">
        <f t="array" ref="K3210">_xlfn.SWITCH(LeadsData[[#This Row],[Funnel Stage Reached]],"Lead",1,"MQL",2,"SQL",3,"Customer",4)</f>
        <v>2</v>
      </c>
      <c r="L3210" t="str">
        <f>TEXT(LeadsData[[#This Row],[Signup Date]],"mmm-yyyy")</f>
        <v>Mar-2024</v>
      </c>
      <c r="M3210">
        <f>IF(LeadsData[[#This Row],[Stage Number]]&gt;=2,1,0)</f>
        <v>1</v>
      </c>
      <c r="N3210" s="2">
        <f>IF(LeadsData[[#This Row],[Stage Number]]&gt;=3,1,0)</f>
        <v>0</v>
      </c>
      <c r="O3210" s="2">
        <f>IF(LeadsData[[#This Row],[Stage Number]]&gt;=4,1,0)</f>
        <v>0</v>
      </c>
    </row>
    <row r="3211" spans="1:15" x14ac:dyDescent="0.25">
      <c r="A3211" t="s">
        <v>3251</v>
      </c>
      <c r="B3211" s="1">
        <v>45601</v>
      </c>
      <c r="C3211" t="s">
        <v>36</v>
      </c>
      <c r="D3211" t="s">
        <v>37</v>
      </c>
      <c r="E3211" t="s">
        <v>13</v>
      </c>
      <c r="F3211" t="s">
        <v>19</v>
      </c>
      <c r="G3211" t="s">
        <v>15</v>
      </c>
      <c r="K3211" cm="1">
        <f t="array" ref="K3211">_xlfn.SWITCH(LeadsData[[#This Row],[Funnel Stage Reached]],"Lead",1,"MQL",2,"SQL",3,"Customer",4)</f>
        <v>1</v>
      </c>
      <c r="L3211" t="str">
        <f>TEXT(LeadsData[[#This Row],[Signup Date]],"mmm-yyyy")</f>
        <v>Nov-2024</v>
      </c>
      <c r="M3211">
        <f>IF(LeadsData[[#This Row],[Stage Number]]&gt;=2,1,0)</f>
        <v>0</v>
      </c>
      <c r="N3211" s="2">
        <f>IF(LeadsData[[#This Row],[Stage Number]]&gt;=3,1,0)</f>
        <v>0</v>
      </c>
      <c r="O3211" s="2">
        <f>IF(LeadsData[[#This Row],[Stage Number]]&gt;=4,1,0)</f>
        <v>0</v>
      </c>
    </row>
    <row r="3212" spans="1:15" x14ac:dyDescent="0.25">
      <c r="A3212" t="s">
        <v>3252</v>
      </c>
      <c r="B3212" s="1">
        <v>45312</v>
      </c>
      <c r="C3212" t="s">
        <v>36</v>
      </c>
      <c r="D3212" t="s">
        <v>37</v>
      </c>
      <c r="E3212" t="s">
        <v>48</v>
      </c>
      <c r="F3212" t="s">
        <v>14</v>
      </c>
      <c r="G3212" t="s">
        <v>29</v>
      </c>
      <c r="K3212" cm="1">
        <f t="array" ref="K3212">_xlfn.SWITCH(LeadsData[[#This Row],[Funnel Stage Reached]],"Lead",1,"MQL",2,"SQL",3,"Customer",4)</f>
        <v>3</v>
      </c>
      <c r="L3212" t="str">
        <f>TEXT(LeadsData[[#This Row],[Signup Date]],"mmm-yyyy")</f>
        <v>Jan-2024</v>
      </c>
      <c r="M3212">
        <f>IF(LeadsData[[#This Row],[Stage Number]]&gt;=2,1,0)</f>
        <v>1</v>
      </c>
      <c r="N3212" s="2">
        <f>IF(LeadsData[[#This Row],[Stage Number]]&gt;=3,1,0)</f>
        <v>1</v>
      </c>
      <c r="O3212" s="2">
        <f>IF(LeadsData[[#This Row],[Stage Number]]&gt;=4,1,0)</f>
        <v>0</v>
      </c>
    </row>
    <row r="3213" spans="1:15" x14ac:dyDescent="0.25">
      <c r="A3213" t="s">
        <v>3253</v>
      </c>
      <c r="B3213" s="1">
        <v>45327</v>
      </c>
      <c r="C3213" t="s">
        <v>25</v>
      </c>
      <c r="D3213" t="s">
        <v>26</v>
      </c>
      <c r="E3213" t="s">
        <v>21</v>
      </c>
      <c r="F3213" t="s">
        <v>14</v>
      </c>
      <c r="G3213" t="s">
        <v>15</v>
      </c>
      <c r="K3213" cm="1">
        <f t="array" ref="K3213">_xlfn.SWITCH(LeadsData[[#This Row],[Funnel Stage Reached]],"Lead",1,"MQL",2,"SQL",3,"Customer",4)</f>
        <v>1</v>
      </c>
      <c r="L3213" t="str">
        <f>TEXT(LeadsData[[#This Row],[Signup Date]],"mmm-yyyy")</f>
        <v>Feb-2024</v>
      </c>
      <c r="M3213">
        <f>IF(LeadsData[[#This Row],[Stage Number]]&gt;=2,1,0)</f>
        <v>0</v>
      </c>
      <c r="N3213" s="2">
        <f>IF(LeadsData[[#This Row],[Stage Number]]&gt;=3,1,0)</f>
        <v>0</v>
      </c>
      <c r="O3213" s="2">
        <f>IF(LeadsData[[#This Row],[Stage Number]]&gt;=4,1,0)</f>
        <v>0</v>
      </c>
    </row>
    <row r="3214" spans="1:15" x14ac:dyDescent="0.25">
      <c r="A3214" t="s">
        <v>3254</v>
      </c>
      <c r="B3214" s="1">
        <v>45339</v>
      </c>
      <c r="C3214" t="s">
        <v>31</v>
      </c>
      <c r="D3214" t="s">
        <v>34</v>
      </c>
      <c r="E3214" t="s">
        <v>13</v>
      </c>
      <c r="F3214" t="s">
        <v>22</v>
      </c>
      <c r="G3214" t="s">
        <v>15</v>
      </c>
      <c r="K3214" cm="1">
        <f t="array" ref="K3214">_xlfn.SWITCH(LeadsData[[#This Row],[Funnel Stage Reached]],"Lead",1,"MQL",2,"SQL",3,"Customer",4)</f>
        <v>1</v>
      </c>
      <c r="L3214" t="str">
        <f>TEXT(LeadsData[[#This Row],[Signup Date]],"mmm-yyyy")</f>
        <v>Feb-2024</v>
      </c>
      <c r="M3214">
        <f>IF(LeadsData[[#This Row],[Stage Number]]&gt;=2,1,0)</f>
        <v>0</v>
      </c>
      <c r="N3214" s="2">
        <f>IF(LeadsData[[#This Row],[Stage Number]]&gt;=3,1,0)</f>
        <v>0</v>
      </c>
      <c r="O3214" s="2">
        <f>IF(LeadsData[[#This Row],[Stage Number]]&gt;=4,1,0)</f>
        <v>0</v>
      </c>
    </row>
    <row r="3215" spans="1:15" x14ac:dyDescent="0.25">
      <c r="A3215" t="s">
        <v>3255</v>
      </c>
      <c r="B3215" s="1">
        <v>45631</v>
      </c>
      <c r="C3215" t="s">
        <v>11</v>
      </c>
      <c r="D3215" t="s">
        <v>68</v>
      </c>
      <c r="E3215" t="s">
        <v>21</v>
      </c>
      <c r="F3215" t="s">
        <v>14</v>
      </c>
      <c r="G3215" t="s">
        <v>15</v>
      </c>
      <c r="K3215" cm="1">
        <f t="array" ref="K3215">_xlfn.SWITCH(LeadsData[[#This Row],[Funnel Stage Reached]],"Lead",1,"MQL",2,"SQL",3,"Customer",4)</f>
        <v>1</v>
      </c>
      <c r="L3215" t="str">
        <f>TEXT(LeadsData[[#This Row],[Signup Date]],"mmm-yyyy")</f>
        <v>Dec-2024</v>
      </c>
      <c r="M3215">
        <f>IF(LeadsData[[#This Row],[Stage Number]]&gt;=2,1,0)</f>
        <v>0</v>
      </c>
      <c r="N3215" s="2">
        <f>IF(LeadsData[[#This Row],[Stage Number]]&gt;=3,1,0)</f>
        <v>0</v>
      </c>
      <c r="O3215" s="2">
        <f>IF(LeadsData[[#This Row],[Stage Number]]&gt;=4,1,0)</f>
        <v>0</v>
      </c>
    </row>
    <row r="3216" spans="1:15" x14ac:dyDescent="0.25">
      <c r="A3216" t="s">
        <v>3256</v>
      </c>
      <c r="B3216" s="1">
        <v>45463</v>
      </c>
      <c r="C3216" t="s">
        <v>11</v>
      </c>
      <c r="D3216" t="s">
        <v>68</v>
      </c>
      <c r="E3216" t="s">
        <v>21</v>
      </c>
      <c r="F3216" t="s">
        <v>22</v>
      </c>
      <c r="G3216" t="s">
        <v>15</v>
      </c>
      <c r="K3216" cm="1">
        <f t="array" ref="K3216">_xlfn.SWITCH(LeadsData[[#This Row],[Funnel Stage Reached]],"Lead",1,"MQL",2,"SQL",3,"Customer",4)</f>
        <v>1</v>
      </c>
      <c r="L3216" t="str">
        <f>TEXT(LeadsData[[#This Row],[Signup Date]],"mmm-yyyy")</f>
        <v>Jun-2024</v>
      </c>
      <c r="M3216">
        <f>IF(LeadsData[[#This Row],[Stage Number]]&gt;=2,1,0)</f>
        <v>0</v>
      </c>
      <c r="N3216" s="2">
        <f>IF(LeadsData[[#This Row],[Stage Number]]&gt;=3,1,0)</f>
        <v>0</v>
      </c>
      <c r="O3216" s="2">
        <f>IF(LeadsData[[#This Row],[Stage Number]]&gt;=4,1,0)</f>
        <v>0</v>
      </c>
    </row>
    <row r="3217" spans="1:15" x14ac:dyDescent="0.25">
      <c r="A3217" t="s">
        <v>3257</v>
      </c>
      <c r="B3217" s="1">
        <v>45638</v>
      </c>
      <c r="C3217" t="s">
        <v>36</v>
      </c>
      <c r="D3217" t="s">
        <v>37</v>
      </c>
      <c r="E3217" t="s">
        <v>13</v>
      </c>
      <c r="F3217" t="s">
        <v>22</v>
      </c>
      <c r="G3217" t="s">
        <v>23</v>
      </c>
      <c r="K3217" cm="1">
        <f t="array" ref="K3217">_xlfn.SWITCH(LeadsData[[#This Row],[Funnel Stage Reached]],"Lead",1,"MQL",2,"SQL",3,"Customer",4)</f>
        <v>2</v>
      </c>
      <c r="L3217" t="str">
        <f>TEXT(LeadsData[[#This Row],[Signup Date]],"mmm-yyyy")</f>
        <v>Dec-2024</v>
      </c>
      <c r="M3217">
        <f>IF(LeadsData[[#This Row],[Stage Number]]&gt;=2,1,0)</f>
        <v>1</v>
      </c>
      <c r="N3217" s="2">
        <f>IF(LeadsData[[#This Row],[Stage Number]]&gt;=3,1,0)</f>
        <v>0</v>
      </c>
      <c r="O3217" s="2">
        <f>IF(LeadsData[[#This Row],[Stage Number]]&gt;=4,1,0)</f>
        <v>0</v>
      </c>
    </row>
    <row r="3218" spans="1:15" x14ac:dyDescent="0.25">
      <c r="A3218" t="s">
        <v>3258</v>
      </c>
      <c r="B3218" s="1">
        <v>45552</v>
      </c>
      <c r="C3218" t="s">
        <v>17</v>
      </c>
      <c r="D3218" t="s">
        <v>53</v>
      </c>
      <c r="E3218" t="s">
        <v>21</v>
      </c>
      <c r="F3218" t="s">
        <v>19</v>
      </c>
      <c r="G3218" t="s">
        <v>23</v>
      </c>
      <c r="K3218" cm="1">
        <f t="array" ref="K3218">_xlfn.SWITCH(LeadsData[[#This Row],[Funnel Stage Reached]],"Lead",1,"MQL",2,"SQL",3,"Customer",4)</f>
        <v>2</v>
      </c>
      <c r="L3218" t="str">
        <f>TEXT(LeadsData[[#This Row],[Signup Date]],"mmm-yyyy")</f>
        <v>Sep-2024</v>
      </c>
      <c r="M3218">
        <f>IF(LeadsData[[#This Row],[Stage Number]]&gt;=2,1,0)</f>
        <v>1</v>
      </c>
      <c r="N3218" s="2">
        <f>IF(LeadsData[[#This Row],[Stage Number]]&gt;=3,1,0)</f>
        <v>0</v>
      </c>
      <c r="O3218" s="2">
        <f>IF(LeadsData[[#This Row],[Stage Number]]&gt;=4,1,0)</f>
        <v>0</v>
      </c>
    </row>
    <row r="3219" spans="1:15" x14ac:dyDescent="0.25">
      <c r="A3219" t="s">
        <v>3259</v>
      </c>
      <c r="B3219" s="1">
        <v>45311</v>
      </c>
      <c r="C3219" t="s">
        <v>31</v>
      </c>
      <c r="D3219" t="s">
        <v>32</v>
      </c>
      <c r="E3219" t="s">
        <v>21</v>
      </c>
      <c r="F3219" t="s">
        <v>19</v>
      </c>
      <c r="G3219" t="s">
        <v>23</v>
      </c>
      <c r="K3219" cm="1">
        <f t="array" ref="K3219">_xlfn.SWITCH(LeadsData[[#This Row],[Funnel Stage Reached]],"Lead",1,"MQL",2,"SQL",3,"Customer",4)</f>
        <v>2</v>
      </c>
      <c r="L3219" t="str">
        <f>TEXT(LeadsData[[#This Row],[Signup Date]],"mmm-yyyy")</f>
        <v>Jan-2024</v>
      </c>
      <c r="M3219">
        <f>IF(LeadsData[[#This Row],[Stage Number]]&gt;=2,1,0)</f>
        <v>1</v>
      </c>
      <c r="N3219" s="2">
        <f>IF(LeadsData[[#This Row],[Stage Number]]&gt;=3,1,0)</f>
        <v>0</v>
      </c>
      <c r="O3219" s="2">
        <f>IF(LeadsData[[#This Row],[Stage Number]]&gt;=4,1,0)</f>
        <v>0</v>
      </c>
    </row>
    <row r="3220" spans="1:15" x14ac:dyDescent="0.25">
      <c r="A3220" t="s">
        <v>3260</v>
      </c>
      <c r="B3220" s="1">
        <v>45536</v>
      </c>
      <c r="C3220" t="s">
        <v>36</v>
      </c>
      <c r="D3220" t="s">
        <v>50</v>
      </c>
      <c r="E3220" t="s">
        <v>13</v>
      </c>
      <c r="F3220" t="s">
        <v>19</v>
      </c>
      <c r="G3220" t="s">
        <v>15</v>
      </c>
      <c r="K3220" cm="1">
        <f t="array" ref="K3220">_xlfn.SWITCH(LeadsData[[#This Row],[Funnel Stage Reached]],"Lead",1,"MQL",2,"SQL",3,"Customer",4)</f>
        <v>1</v>
      </c>
      <c r="L3220" t="str">
        <f>TEXT(LeadsData[[#This Row],[Signup Date]],"mmm-yyyy")</f>
        <v>Sep-2024</v>
      </c>
      <c r="M3220">
        <f>IF(LeadsData[[#This Row],[Stage Number]]&gt;=2,1,0)</f>
        <v>0</v>
      </c>
      <c r="N3220" s="2">
        <f>IF(LeadsData[[#This Row],[Stage Number]]&gt;=3,1,0)</f>
        <v>0</v>
      </c>
      <c r="O3220" s="2">
        <f>IF(LeadsData[[#This Row],[Stage Number]]&gt;=4,1,0)</f>
        <v>0</v>
      </c>
    </row>
    <row r="3221" spans="1:15" x14ac:dyDescent="0.25">
      <c r="A3221" t="s">
        <v>3261</v>
      </c>
      <c r="B3221" s="1">
        <v>45651</v>
      </c>
      <c r="C3221" t="s">
        <v>36</v>
      </c>
      <c r="D3221" t="s">
        <v>37</v>
      </c>
      <c r="E3221" t="s">
        <v>48</v>
      </c>
      <c r="F3221" t="s">
        <v>22</v>
      </c>
      <c r="G3221" t="s">
        <v>15</v>
      </c>
      <c r="K3221" cm="1">
        <f t="array" ref="K3221">_xlfn.SWITCH(LeadsData[[#This Row],[Funnel Stage Reached]],"Lead",1,"MQL",2,"SQL",3,"Customer",4)</f>
        <v>1</v>
      </c>
      <c r="L3221" t="str">
        <f>TEXT(LeadsData[[#This Row],[Signup Date]],"mmm-yyyy")</f>
        <v>Dec-2024</v>
      </c>
      <c r="M3221">
        <f>IF(LeadsData[[#This Row],[Stage Number]]&gt;=2,1,0)</f>
        <v>0</v>
      </c>
      <c r="N3221" s="2">
        <f>IF(LeadsData[[#This Row],[Stage Number]]&gt;=3,1,0)</f>
        <v>0</v>
      </c>
      <c r="O3221" s="2">
        <f>IF(LeadsData[[#This Row],[Stage Number]]&gt;=4,1,0)</f>
        <v>0</v>
      </c>
    </row>
    <row r="3222" spans="1:15" x14ac:dyDescent="0.25">
      <c r="A3222" t="s">
        <v>3262</v>
      </c>
      <c r="B3222" s="1">
        <v>45481</v>
      </c>
      <c r="C3222" t="s">
        <v>17</v>
      </c>
      <c r="D3222" t="s">
        <v>18</v>
      </c>
      <c r="E3222" t="s">
        <v>13</v>
      </c>
      <c r="F3222" t="s">
        <v>28</v>
      </c>
      <c r="G3222" t="s">
        <v>23</v>
      </c>
      <c r="K3222" cm="1">
        <f t="array" ref="K3222">_xlfn.SWITCH(LeadsData[[#This Row],[Funnel Stage Reached]],"Lead",1,"MQL",2,"SQL",3,"Customer",4)</f>
        <v>2</v>
      </c>
      <c r="L3222" t="str">
        <f>TEXT(LeadsData[[#This Row],[Signup Date]],"mmm-yyyy")</f>
        <v>Jul-2024</v>
      </c>
      <c r="M3222">
        <f>IF(LeadsData[[#This Row],[Stage Number]]&gt;=2,1,0)</f>
        <v>1</v>
      </c>
      <c r="N3222" s="2">
        <f>IF(LeadsData[[#This Row],[Stage Number]]&gt;=3,1,0)</f>
        <v>0</v>
      </c>
      <c r="O3222" s="2">
        <f>IF(LeadsData[[#This Row],[Stage Number]]&gt;=4,1,0)</f>
        <v>0</v>
      </c>
    </row>
    <row r="3223" spans="1:15" x14ac:dyDescent="0.25">
      <c r="A3223" t="s">
        <v>3263</v>
      </c>
      <c r="B3223" s="1">
        <v>45423</v>
      </c>
      <c r="C3223" t="s">
        <v>11</v>
      </c>
      <c r="D3223" t="s">
        <v>68</v>
      </c>
      <c r="E3223" t="s">
        <v>13</v>
      </c>
      <c r="F3223" t="s">
        <v>22</v>
      </c>
      <c r="G3223" t="s">
        <v>23</v>
      </c>
      <c r="K3223" cm="1">
        <f t="array" ref="K3223">_xlfn.SWITCH(LeadsData[[#This Row],[Funnel Stage Reached]],"Lead",1,"MQL",2,"SQL",3,"Customer",4)</f>
        <v>2</v>
      </c>
      <c r="L3223" t="str">
        <f>TEXT(LeadsData[[#This Row],[Signup Date]],"mmm-yyyy")</f>
        <v>May-2024</v>
      </c>
      <c r="M3223">
        <f>IF(LeadsData[[#This Row],[Stage Number]]&gt;=2,1,0)</f>
        <v>1</v>
      </c>
      <c r="N3223" s="2">
        <f>IF(LeadsData[[#This Row],[Stage Number]]&gt;=3,1,0)</f>
        <v>0</v>
      </c>
      <c r="O3223" s="2">
        <f>IF(LeadsData[[#This Row],[Stage Number]]&gt;=4,1,0)</f>
        <v>0</v>
      </c>
    </row>
    <row r="3224" spans="1:15" x14ac:dyDescent="0.25">
      <c r="A3224" t="s">
        <v>3264</v>
      </c>
      <c r="B3224" s="1">
        <v>45348</v>
      </c>
      <c r="C3224" t="s">
        <v>11</v>
      </c>
      <c r="D3224" t="s">
        <v>12</v>
      </c>
      <c r="E3224" t="s">
        <v>13</v>
      </c>
      <c r="F3224" t="s">
        <v>19</v>
      </c>
      <c r="G3224" t="s">
        <v>23</v>
      </c>
      <c r="K3224" cm="1">
        <f t="array" ref="K3224">_xlfn.SWITCH(LeadsData[[#This Row],[Funnel Stage Reached]],"Lead",1,"MQL",2,"SQL",3,"Customer",4)</f>
        <v>2</v>
      </c>
      <c r="L3224" t="str">
        <f>TEXT(LeadsData[[#This Row],[Signup Date]],"mmm-yyyy")</f>
        <v>Feb-2024</v>
      </c>
      <c r="M3224">
        <f>IF(LeadsData[[#This Row],[Stage Number]]&gt;=2,1,0)</f>
        <v>1</v>
      </c>
      <c r="N3224" s="2">
        <f>IF(LeadsData[[#This Row],[Stage Number]]&gt;=3,1,0)</f>
        <v>0</v>
      </c>
      <c r="O3224" s="2">
        <f>IF(LeadsData[[#This Row],[Stage Number]]&gt;=4,1,0)</f>
        <v>0</v>
      </c>
    </row>
    <row r="3225" spans="1:15" x14ac:dyDescent="0.25">
      <c r="A3225" t="s">
        <v>3265</v>
      </c>
      <c r="B3225" s="1">
        <v>45405</v>
      </c>
      <c r="C3225" t="s">
        <v>31</v>
      </c>
      <c r="D3225" t="s">
        <v>34</v>
      </c>
      <c r="E3225" t="s">
        <v>21</v>
      </c>
      <c r="F3225" t="s">
        <v>19</v>
      </c>
      <c r="G3225" t="s">
        <v>23</v>
      </c>
      <c r="K3225" cm="1">
        <f t="array" ref="K3225">_xlfn.SWITCH(LeadsData[[#This Row],[Funnel Stage Reached]],"Lead",1,"MQL",2,"SQL",3,"Customer",4)</f>
        <v>2</v>
      </c>
      <c r="L3225" t="str">
        <f>TEXT(LeadsData[[#This Row],[Signup Date]],"mmm-yyyy")</f>
        <v>Apr-2024</v>
      </c>
      <c r="M3225">
        <f>IF(LeadsData[[#This Row],[Stage Number]]&gt;=2,1,0)</f>
        <v>1</v>
      </c>
      <c r="N3225" s="2">
        <f>IF(LeadsData[[#This Row],[Stage Number]]&gt;=3,1,0)</f>
        <v>0</v>
      </c>
      <c r="O3225" s="2">
        <f>IF(LeadsData[[#This Row],[Stage Number]]&gt;=4,1,0)</f>
        <v>0</v>
      </c>
    </row>
    <row r="3226" spans="1:15" x14ac:dyDescent="0.25">
      <c r="A3226" t="s">
        <v>3266</v>
      </c>
      <c r="B3226" s="1">
        <v>45570</v>
      </c>
      <c r="C3226" t="s">
        <v>17</v>
      </c>
      <c r="D3226" t="s">
        <v>18</v>
      </c>
      <c r="E3226" t="s">
        <v>21</v>
      </c>
      <c r="F3226" t="s">
        <v>19</v>
      </c>
      <c r="G3226" t="s">
        <v>15</v>
      </c>
      <c r="K3226" cm="1">
        <f t="array" ref="K3226">_xlfn.SWITCH(LeadsData[[#This Row],[Funnel Stage Reached]],"Lead",1,"MQL",2,"SQL",3,"Customer",4)</f>
        <v>1</v>
      </c>
      <c r="L3226" t="str">
        <f>TEXT(LeadsData[[#This Row],[Signup Date]],"mmm-yyyy")</f>
        <v>Oct-2024</v>
      </c>
      <c r="M3226">
        <f>IF(LeadsData[[#This Row],[Stage Number]]&gt;=2,1,0)</f>
        <v>0</v>
      </c>
      <c r="N3226" s="2">
        <f>IF(LeadsData[[#This Row],[Stage Number]]&gt;=3,1,0)</f>
        <v>0</v>
      </c>
      <c r="O3226" s="2">
        <f>IF(LeadsData[[#This Row],[Stage Number]]&gt;=4,1,0)</f>
        <v>0</v>
      </c>
    </row>
    <row r="3227" spans="1:15" x14ac:dyDescent="0.25">
      <c r="A3227" t="s">
        <v>3267</v>
      </c>
      <c r="B3227" s="1">
        <v>45597</v>
      </c>
      <c r="C3227" t="s">
        <v>11</v>
      </c>
      <c r="D3227" t="s">
        <v>79</v>
      </c>
      <c r="E3227" t="s">
        <v>21</v>
      </c>
      <c r="F3227" t="s">
        <v>19</v>
      </c>
      <c r="G3227" t="s">
        <v>15</v>
      </c>
      <c r="K3227" cm="1">
        <f t="array" ref="K3227">_xlfn.SWITCH(LeadsData[[#This Row],[Funnel Stage Reached]],"Lead",1,"MQL",2,"SQL",3,"Customer",4)</f>
        <v>1</v>
      </c>
      <c r="L3227" t="str">
        <f>TEXT(LeadsData[[#This Row],[Signup Date]],"mmm-yyyy")</f>
        <v>Nov-2024</v>
      </c>
      <c r="M3227">
        <f>IF(LeadsData[[#This Row],[Stage Number]]&gt;=2,1,0)</f>
        <v>0</v>
      </c>
      <c r="N3227" s="2">
        <f>IF(LeadsData[[#This Row],[Stage Number]]&gt;=3,1,0)</f>
        <v>0</v>
      </c>
      <c r="O3227" s="2">
        <f>IF(LeadsData[[#This Row],[Stage Number]]&gt;=4,1,0)</f>
        <v>0</v>
      </c>
    </row>
    <row r="3228" spans="1:15" x14ac:dyDescent="0.25">
      <c r="A3228" t="s">
        <v>3268</v>
      </c>
      <c r="B3228" s="1">
        <v>45591</v>
      </c>
      <c r="C3228" t="s">
        <v>11</v>
      </c>
      <c r="D3228" t="s">
        <v>12</v>
      </c>
      <c r="E3228" t="s">
        <v>21</v>
      </c>
      <c r="F3228" t="s">
        <v>19</v>
      </c>
      <c r="G3228" t="s">
        <v>15</v>
      </c>
      <c r="K3228" cm="1">
        <f t="array" ref="K3228">_xlfn.SWITCH(LeadsData[[#This Row],[Funnel Stage Reached]],"Lead",1,"MQL",2,"SQL",3,"Customer",4)</f>
        <v>1</v>
      </c>
      <c r="L3228" t="str">
        <f>TEXT(LeadsData[[#This Row],[Signup Date]],"mmm-yyyy")</f>
        <v>Oct-2024</v>
      </c>
      <c r="M3228">
        <f>IF(LeadsData[[#This Row],[Stage Number]]&gt;=2,1,0)</f>
        <v>0</v>
      </c>
      <c r="N3228" s="2">
        <f>IF(LeadsData[[#This Row],[Stage Number]]&gt;=3,1,0)</f>
        <v>0</v>
      </c>
      <c r="O3228" s="2">
        <f>IF(LeadsData[[#This Row],[Stage Number]]&gt;=4,1,0)</f>
        <v>0</v>
      </c>
    </row>
    <row r="3229" spans="1:15" x14ac:dyDescent="0.25">
      <c r="A3229" t="s">
        <v>3269</v>
      </c>
      <c r="B3229" s="1">
        <v>45577</v>
      </c>
      <c r="C3229" t="s">
        <v>31</v>
      </c>
      <c r="D3229" t="s">
        <v>32</v>
      </c>
      <c r="E3229" t="s">
        <v>13</v>
      </c>
      <c r="F3229" t="s">
        <v>14</v>
      </c>
      <c r="G3229" t="s">
        <v>29</v>
      </c>
      <c r="K3229" cm="1">
        <f t="array" ref="K3229">_xlfn.SWITCH(LeadsData[[#This Row],[Funnel Stage Reached]],"Lead",1,"MQL",2,"SQL",3,"Customer",4)</f>
        <v>3</v>
      </c>
      <c r="L3229" t="str">
        <f>TEXT(LeadsData[[#This Row],[Signup Date]],"mmm-yyyy")</f>
        <v>Oct-2024</v>
      </c>
      <c r="M3229">
        <f>IF(LeadsData[[#This Row],[Stage Number]]&gt;=2,1,0)</f>
        <v>1</v>
      </c>
      <c r="N3229" s="2">
        <f>IF(LeadsData[[#This Row],[Stage Number]]&gt;=3,1,0)</f>
        <v>1</v>
      </c>
      <c r="O3229" s="2">
        <f>IF(LeadsData[[#This Row],[Stage Number]]&gt;=4,1,0)</f>
        <v>0</v>
      </c>
    </row>
    <row r="3230" spans="1:15" x14ac:dyDescent="0.25">
      <c r="A3230" t="s">
        <v>3270</v>
      </c>
      <c r="B3230" s="1">
        <v>45489</v>
      </c>
      <c r="C3230" t="s">
        <v>36</v>
      </c>
      <c r="D3230" t="s">
        <v>37</v>
      </c>
      <c r="E3230" t="s">
        <v>21</v>
      </c>
      <c r="F3230" t="s">
        <v>22</v>
      </c>
      <c r="G3230" t="s">
        <v>29</v>
      </c>
      <c r="K3230" cm="1">
        <f t="array" ref="K3230">_xlfn.SWITCH(LeadsData[[#This Row],[Funnel Stage Reached]],"Lead",1,"MQL",2,"SQL",3,"Customer",4)</f>
        <v>3</v>
      </c>
      <c r="L3230" t="str">
        <f>TEXT(LeadsData[[#This Row],[Signup Date]],"mmm-yyyy")</f>
        <v>Jul-2024</v>
      </c>
      <c r="M3230">
        <f>IF(LeadsData[[#This Row],[Stage Number]]&gt;=2,1,0)</f>
        <v>1</v>
      </c>
      <c r="N3230" s="2">
        <f>IF(LeadsData[[#This Row],[Stage Number]]&gt;=3,1,0)</f>
        <v>1</v>
      </c>
      <c r="O3230" s="2">
        <f>IF(LeadsData[[#This Row],[Stage Number]]&gt;=4,1,0)</f>
        <v>0</v>
      </c>
    </row>
    <row r="3231" spans="1:15" x14ac:dyDescent="0.25">
      <c r="A3231" t="s">
        <v>3271</v>
      </c>
      <c r="B3231" s="1">
        <v>45294</v>
      </c>
      <c r="C3231" t="s">
        <v>46</v>
      </c>
      <c r="D3231" t="s">
        <v>47</v>
      </c>
      <c r="E3231" t="s">
        <v>21</v>
      </c>
      <c r="F3231" t="s">
        <v>14</v>
      </c>
      <c r="G3231" t="s">
        <v>15</v>
      </c>
      <c r="K3231" cm="1">
        <f t="array" ref="K3231">_xlfn.SWITCH(LeadsData[[#This Row],[Funnel Stage Reached]],"Lead",1,"MQL",2,"SQL",3,"Customer",4)</f>
        <v>1</v>
      </c>
      <c r="L3231" t="str">
        <f>TEXT(LeadsData[[#This Row],[Signup Date]],"mmm-yyyy")</f>
        <v>Jan-2024</v>
      </c>
      <c r="M3231">
        <f>IF(LeadsData[[#This Row],[Stage Number]]&gt;=2,1,0)</f>
        <v>0</v>
      </c>
      <c r="N3231" s="2">
        <f>IF(LeadsData[[#This Row],[Stage Number]]&gt;=3,1,0)</f>
        <v>0</v>
      </c>
      <c r="O3231" s="2">
        <f>IF(LeadsData[[#This Row],[Stage Number]]&gt;=4,1,0)</f>
        <v>0</v>
      </c>
    </row>
    <row r="3232" spans="1:15" x14ac:dyDescent="0.25">
      <c r="A3232" t="s">
        <v>3272</v>
      </c>
      <c r="B3232" s="1">
        <v>45354</v>
      </c>
      <c r="C3232" t="s">
        <v>17</v>
      </c>
      <c r="D3232" t="s">
        <v>18</v>
      </c>
      <c r="E3232" t="s">
        <v>13</v>
      </c>
      <c r="F3232" t="s">
        <v>14</v>
      </c>
      <c r="G3232" t="s">
        <v>15</v>
      </c>
      <c r="K3232" cm="1">
        <f t="array" ref="K3232">_xlfn.SWITCH(LeadsData[[#This Row],[Funnel Stage Reached]],"Lead",1,"MQL",2,"SQL",3,"Customer",4)</f>
        <v>1</v>
      </c>
      <c r="L3232" t="str">
        <f>TEXT(LeadsData[[#This Row],[Signup Date]],"mmm-yyyy")</f>
        <v>Mar-2024</v>
      </c>
      <c r="M3232">
        <f>IF(LeadsData[[#This Row],[Stage Number]]&gt;=2,1,0)</f>
        <v>0</v>
      </c>
      <c r="N3232" s="2">
        <f>IF(LeadsData[[#This Row],[Stage Number]]&gt;=3,1,0)</f>
        <v>0</v>
      </c>
      <c r="O3232" s="2">
        <f>IF(LeadsData[[#This Row],[Stage Number]]&gt;=4,1,0)</f>
        <v>0</v>
      </c>
    </row>
    <row r="3233" spans="1:15" x14ac:dyDescent="0.25">
      <c r="A3233" t="s">
        <v>3273</v>
      </c>
      <c r="B3233" s="1">
        <v>45545</v>
      </c>
      <c r="C3233" t="s">
        <v>25</v>
      </c>
      <c r="D3233" t="s">
        <v>26</v>
      </c>
      <c r="E3233" t="s">
        <v>13</v>
      </c>
      <c r="F3233" t="s">
        <v>19</v>
      </c>
      <c r="G3233" t="s">
        <v>15</v>
      </c>
      <c r="K3233" cm="1">
        <f t="array" ref="K3233">_xlfn.SWITCH(LeadsData[[#This Row],[Funnel Stage Reached]],"Lead",1,"MQL",2,"SQL",3,"Customer",4)</f>
        <v>1</v>
      </c>
      <c r="L3233" t="str">
        <f>TEXT(LeadsData[[#This Row],[Signup Date]],"mmm-yyyy")</f>
        <v>Sep-2024</v>
      </c>
      <c r="M3233">
        <f>IF(LeadsData[[#This Row],[Stage Number]]&gt;=2,1,0)</f>
        <v>0</v>
      </c>
      <c r="N3233" s="2">
        <f>IF(LeadsData[[#This Row],[Stage Number]]&gt;=3,1,0)</f>
        <v>0</v>
      </c>
      <c r="O3233" s="2">
        <f>IF(LeadsData[[#This Row],[Stage Number]]&gt;=4,1,0)</f>
        <v>0</v>
      </c>
    </row>
    <row r="3234" spans="1:15" x14ac:dyDescent="0.25">
      <c r="A3234" t="s">
        <v>3274</v>
      </c>
      <c r="B3234" s="1">
        <v>45460</v>
      </c>
      <c r="C3234" t="s">
        <v>17</v>
      </c>
      <c r="D3234" t="s">
        <v>18</v>
      </c>
      <c r="E3234" t="s">
        <v>13</v>
      </c>
      <c r="F3234" t="s">
        <v>22</v>
      </c>
      <c r="G3234" t="s">
        <v>15</v>
      </c>
      <c r="K3234" cm="1">
        <f t="array" ref="K3234">_xlfn.SWITCH(LeadsData[[#This Row],[Funnel Stage Reached]],"Lead",1,"MQL",2,"SQL",3,"Customer",4)</f>
        <v>1</v>
      </c>
      <c r="L3234" t="str">
        <f>TEXT(LeadsData[[#This Row],[Signup Date]],"mmm-yyyy")</f>
        <v>Jun-2024</v>
      </c>
      <c r="M3234">
        <f>IF(LeadsData[[#This Row],[Stage Number]]&gt;=2,1,0)</f>
        <v>0</v>
      </c>
      <c r="N3234" s="2">
        <f>IF(LeadsData[[#This Row],[Stage Number]]&gt;=3,1,0)</f>
        <v>0</v>
      </c>
      <c r="O3234" s="2">
        <f>IF(LeadsData[[#This Row],[Stage Number]]&gt;=4,1,0)</f>
        <v>0</v>
      </c>
    </row>
    <row r="3235" spans="1:15" x14ac:dyDescent="0.25">
      <c r="A3235" t="s">
        <v>3275</v>
      </c>
      <c r="B3235" s="1">
        <v>45485</v>
      </c>
      <c r="C3235" t="s">
        <v>36</v>
      </c>
      <c r="D3235" t="s">
        <v>37</v>
      </c>
      <c r="E3235" t="s">
        <v>13</v>
      </c>
      <c r="F3235" t="s">
        <v>22</v>
      </c>
      <c r="G3235" t="s">
        <v>15</v>
      </c>
      <c r="K3235" cm="1">
        <f t="array" ref="K3235">_xlfn.SWITCH(LeadsData[[#This Row],[Funnel Stage Reached]],"Lead",1,"MQL",2,"SQL",3,"Customer",4)</f>
        <v>1</v>
      </c>
      <c r="L3235" t="str">
        <f>TEXT(LeadsData[[#This Row],[Signup Date]],"mmm-yyyy")</f>
        <v>Jul-2024</v>
      </c>
      <c r="M3235">
        <f>IF(LeadsData[[#This Row],[Stage Number]]&gt;=2,1,0)</f>
        <v>0</v>
      </c>
      <c r="N3235" s="2">
        <f>IF(LeadsData[[#This Row],[Stage Number]]&gt;=3,1,0)</f>
        <v>0</v>
      </c>
      <c r="O3235" s="2">
        <f>IF(LeadsData[[#This Row],[Stage Number]]&gt;=4,1,0)</f>
        <v>0</v>
      </c>
    </row>
    <row r="3236" spans="1:15" x14ac:dyDescent="0.25">
      <c r="A3236" t="s">
        <v>3276</v>
      </c>
      <c r="B3236" s="1">
        <v>45301</v>
      </c>
      <c r="C3236" t="s">
        <v>17</v>
      </c>
      <c r="D3236" t="s">
        <v>53</v>
      </c>
      <c r="E3236" t="s">
        <v>13</v>
      </c>
      <c r="F3236" t="s">
        <v>22</v>
      </c>
      <c r="G3236" t="s">
        <v>15</v>
      </c>
      <c r="K3236" cm="1">
        <f t="array" ref="K3236">_xlfn.SWITCH(LeadsData[[#This Row],[Funnel Stage Reached]],"Lead",1,"MQL",2,"SQL",3,"Customer",4)</f>
        <v>1</v>
      </c>
      <c r="L3236" t="str">
        <f>TEXT(LeadsData[[#This Row],[Signup Date]],"mmm-yyyy")</f>
        <v>Jan-2024</v>
      </c>
      <c r="M3236">
        <f>IF(LeadsData[[#This Row],[Stage Number]]&gt;=2,1,0)</f>
        <v>0</v>
      </c>
      <c r="N3236" s="2">
        <f>IF(LeadsData[[#This Row],[Stage Number]]&gt;=3,1,0)</f>
        <v>0</v>
      </c>
      <c r="O3236" s="2">
        <f>IF(LeadsData[[#This Row],[Stage Number]]&gt;=4,1,0)</f>
        <v>0</v>
      </c>
    </row>
    <row r="3237" spans="1:15" x14ac:dyDescent="0.25">
      <c r="A3237" t="s">
        <v>3277</v>
      </c>
      <c r="B3237" s="1">
        <v>45447</v>
      </c>
      <c r="C3237" t="s">
        <v>31</v>
      </c>
      <c r="D3237" t="s">
        <v>32</v>
      </c>
      <c r="E3237" t="s">
        <v>21</v>
      </c>
      <c r="F3237" t="s">
        <v>19</v>
      </c>
      <c r="G3237" t="s">
        <v>42</v>
      </c>
      <c r="H3237">
        <v>73</v>
      </c>
      <c r="I3237" t="s">
        <v>87</v>
      </c>
      <c r="J3237">
        <v>2667.65</v>
      </c>
      <c r="K3237" cm="1">
        <f t="array" ref="K3237">_xlfn.SWITCH(LeadsData[[#This Row],[Funnel Stage Reached]],"Lead",1,"MQL",2,"SQL",3,"Customer",4)</f>
        <v>4</v>
      </c>
      <c r="L3237" t="str">
        <f>TEXT(LeadsData[[#This Row],[Signup Date]],"mmm-yyyy")</f>
        <v>Jun-2024</v>
      </c>
      <c r="M3237">
        <f>IF(LeadsData[[#This Row],[Stage Number]]&gt;=2,1,0)</f>
        <v>1</v>
      </c>
      <c r="N3237" s="2">
        <f>IF(LeadsData[[#This Row],[Stage Number]]&gt;=3,1,0)</f>
        <v>1</v>
      </c>
      <c r="O3237" s="2">
        <f>IF(LeadsData[[#This Row],[Stage Number]]&gt;=4,1,0)</f>
        <v>1</v>
      </c>
    </row>
    <row r="3238" spans="1:15" x14ac:dyDescent="0.25">
      <c r="A3238" t="s">
        <v>3278</v>
      </c>
      <c r="B3238" s="1">
        <v>45436</v>
      </c>
      <c r="C3238" t="s">
        <v>31</v>
      </c>
      <c r="D3238" t="s">
        <v>34</v>
      </c>
      <c r="E3238" t="s">
        <v>21</v>
      </c>
      <c r="F3238" t="s">
        <v>22</v>
      </c>
      <c r="G3238" t="s">
        <v>15</v>
      </c>
      <c r="K3238" cm="1">
        <f t="array" ref="K3238">_xlfn.SWITCH(LeadsData[[#This Row],[Funnel Stage Reached]],"Lead",1,"MQL",2,"SQL",3,"Customer",4)</f>
        <v>1</v>
      </c>
      <c r="L3238" t="str">
        <f>TEXT(LeadsData[[#This Row],[Signup Date]],"mmm-yyyy")</f>
        <v>May-2024</v>
      </c>
      <c r="M3238">
        <f>IF(LeadsData[[#This Row],[Stage Number]]&gt;=2,1,0)</f>
        <v>0</v>
      </c>
      <c r="N3238" s="2">
        <f>IF(LeadsData[[#This Row],[Stage Number]]&gt;=3,1,0)</f>
        <v>0</v>
      </c>
      <c r="O3238" s="2">
        <f>IF(LeadsData[[#This Row],[Stage Number]]&gt;=4,1,0)</f>
        <v>0</v>
      </c>
    </row>
    <row r="3239" spans="1:15" x14ac:dyDescent="0.25">
      <c r="A3239" t="s">
        <v>3279</v>
      </c>
      <c r="B3239" s="1">
        <v>45630</v>
      </c>
      <c r="C3239" t="s">
        <v>31</v>
      </c>
      <c r="D3239" t="s">
        <v>34</v>
      </c>
      <c r="E3239" t="s">
        <v>13</v>
      </c>
      <c r="F3239" t="s">
        <v>19</v>
      </c>
      <c r="G3239" t="s">
        <v>29</v>
      </c>
      <c r="K3239" cm="1">
        <f t="array" ref="K3239">_xlfn.SWITCH(LeadsData[[#This Row],[Funnel Stage Reached]],"Lead",1,"MQL",2,"SQL",3,"Customer",4)</f>
        <v>3</v>
      </c>
      <c r="L3239" t="str">
        <f>TEXT(LeadsData[[#This Row],[Signup Date]],"mmm-yyyy")</f>
        <v>Dec-2024</v>
      </c>
      <c r="M3239">
        <f>IF(LeadsData[[#This Row],[Stage Number]]&gt;=2,1,0)</f>
        <v>1</v>
      </c>
      <c r="N3239" s="2">
        <f>IF(LeadsData[[#This Row],[Stage Number]]&gt;=3,1,0)</f>
        <v>1</v>
      </c>
      <c r="O3239" s="2">
        <f>IF(LeadsData[[#This Row],[Stage Number]]&gt;=4,1,0)</f>
        <v>0</v>
      </c>
    </row>
    <row r="3240" spans="1:15" x14ac:dyDescent="0.25">
      <c r="A3240" t="s">
        <v>3280</v>
      </c>
      <c r="B3240" s="1">
        <v>45642</v>
      </c>
      <c r="C3240" t="s">
        <v>31</v>
      </c>
      <c r="D3240" t="s">
        <v>32</v>
      </c>
      <c r="E3240" t="s">
        <v>21</v>
      </c>
      <c r="F3240" t="s">
        <v>19</v>
      </c>
      <c r="G3240" t="s">
        <v>23</v>
      </c>
      <c r="K3240" cm="1">
        <f t="array" ref="K3240">_xlfn.SWITCH(LeadsData[[#This Row],[Funnel Stage Reached]],"Lead",1,"MQL",2,"SQL",3,"Customer",4)</f>
        <v>2</v>
      </c>
      <c r="L3240" t="str">
        <f>TEXT(LeadsData[[#This Row],[Signup Date]],"mmm-yyyy")</f>
        <v>Dec-2024</v>
      </c>
      <c r="M3240">
        <f>IF(LeadsData[[#This Row],[Stage Number]]&gt;=2,1,0)</f>
        <v>1</v>
      </c>
      <c r="N3240" s="2">
        <f>IF(LeadsData[[#This Row],[Stage Number]]&gt;=3,1,0)</f>
        <v>0</v>
      </c>
      <c r="O3240" s="2">
        <f>IF(LeadsData[[#This Row],[Stage Number]]&gt;=4,1,0)</f>
        <v>0</v>
      </c>
    </row>
    <row r="3241" spans="1:15" x14ac:dyDescent="0.25">
      <c r="A3241" t="s">
        <v>3281</v>
      </c>
      <c r="B3241" s="1">
        <v>45319</v>
      </c>
      <c r="C3241" t="s">
        <v>46</v>
      </c>
      <c r="D3241" t="s">
        <v>56</v>
      </c>
      <c r="E3241" t="s">
        <v>48</v>
      </c>
      <c r="F3241" t="s">
        <v>22</v>
      </c>
      <c r="G3241" t="s">
        <v>15</v>
      </c>
      <c r="K3241" cm="1">
        <f t="array" ref="K3241">_xlfn.SWITCH(LeadsData[[#This Row],[Funnel Stage Reached]],"Lead",1,"MQL",2,"SQL",3,"Customer",4)</f>
        <v>1</v>
      </c>
      <c r="L3241" t="str">
        <f>TEXT(LeadsData[[#This Row],[Signup Date]],"mmm-yyyy")</f>
        <v>Jan-2024</v>
      </c>
      <c r="M3241">
        <f>IF(LeadsData[[#This Row],[Stage Number]]&gt;=2,1,0)</f>
        <v>0</v>
      </c>
      <c r="N3241" s="2">
        <f>IF(LeadsData[[#This Row],[Stage Number]]&gt;=3,1,0)</f>
        <v>0</v>
      </c>
      <c r="O3241" s="2">
        <f>IF(LeadsData[[#This Row],[Stage Number]]&gt;=4,1,0)</f>
        <v>0</v>
      </c>
    </row>
    <row r="3242" spans="1:15" x14ac:dyDescent="0.25">
      <c r="A3242" t="s">
        <v>3282</v>
      </c>
      <c r="B3242" s="1">
        <v>45373</v>
      </c>
      <c r="C3242" t="s">
        <v>31</v>
      </c>
      <c r="D3242" t="s">
        <v>32</v>
      </c>
      <c r="E3242" t="s">
        <v>13</v>
      </c>
      <c r="F3242" t="s">
        <v>28</v>
      </c>
      <c r="G3242" t="s">
        <v>23</v>
      </c>
      <c r="K3242" cm="1">
        <f t="array" ref="K3242">_xlfn.SWITCH(LeadsData[[#This Row],[Funnel Stage Reached]],"Lead",1,"MQL",2,"SQL",3,"Customer",4)</f>
        <v>2</v>
      </c>
      <c r="L3242" t="str">
        <f>TEXT(LeadsData[[#This Row],[Signup Date]],"mmm-yyyy")</f>
        <v>Mar-2024</v>
      </c>
      <c r="M3242">
        <f>IF(LeadsData[[#This Row],[Stage Number]]&gt;=2,1,0)</f>
        <v>1</v>
      </c>
      <c r="N3242" s="2">
        <f>IF(LeadsData[[#This Row],[Stage Number]]&gt;=3,1,0)</f>
        <v>0</v>
      </c>
      <c r="O3242" s="2">
        <f>IF(LeadsData[[#This Row],[Stage Number]]&gt;=4,1,0)</f>
        <v>0</v>
      </c>
    </row>
    <row r="3243" spans="1:15" x14ac:dyDescent="0.25">
      <c r="A3243" t="s">
        <v>3283</v>
      </c>
      <c r="B3243" s="1">
        <v>45326</v>
      </c>
      <c r="C3243" t="s">
        <v>11</v>
      </c>
      <c r="D3243" t="s">
        <v>12</v>
      </c>
      <c r="E3243" t="s">
        <v>21</v>
      </c>
      <c r="F3243" t="s">
        <v>19</v>
      </c>
      <c r="G3243" t="s">
        <v>23</v>
      </c>
      <c r="K3243" cm="1">
        <f t="array" ref="K3243">_xlfn.SWITCH(LeadsData[[#This Row],[Funnel Stage Reached]],"Lead",1,"MQL",2,"SQL",3,"Customer",4)</f>
        <v>2</v>
      </c>
      <c r="L3243" t="str">
        <f>TEXT(LeadsData[[#This Row],[Signup Date]],"mmm-yyyy")</f>
        <v>Feb-2024</v>
      </c>
      <c r="M3243">
        <f>IF(LeadsData[[#This Row],[Stage Number]]&gt;=2,1,0)</f>
        <v>1</v>
      </c>
      <c r="N3243" s="2">
        <f>IF(LeadsData[[#This Row],[Stage Number]]&gt;=3,1,0)</f>
        <v>0</v>
      </c>
      <c r="O3243" s="2">
        <f>IF(LeadsData[[#This Row],[Stage Number]]&gt;=4,1,0)</f>
        <v>0</v>
      </c>
    </row>
    <row r="3244" spans="1:15" x14ac:dyDescent="0.25">
      <c r="A3244" t="s">
        <v>3284</v>
      </c>
      <c r="B3244" s="1">
        <v>45573</v>
      </c>
      <c r="C3244" t="s">
        <v>11</v>
      </c>
      <c r="D3244" t="s">
        <v>68</v>
      </c>
      <c r="E3244" t="s">
        <v>13</v>
      </c>
      <c r="F3244" t="s">
        <v>19</v>
      </c>
      <c r="G3244" t="s">
        <v>15</v>
      </c>
      <c r="K3244" cm="1">
        <f t="array" ref="K3244">_xlfn.SWITCH(LeadsData[[#This Row],[Funnel Stage Reached]],"Lead",1,"MQL",2,"SQL",3,"Customer",4)</f>
        <v>1</v>
      </c>
      <c r="L3244" t="str">
        <f>TEXT(LeadsData[[#This Row],[Signup Date]],"mmm-yyyy")</f>
        <v>Oct-2024</v>
      </c>
      <c r="M3244">
        <f>IF(LeadsData[[#This Row],[Stage Number]]&gt;=2,1,0)</f>
        <v>0</v>
      </c>
      <c r="N3244" s="2">
        <f>IF(LeadsData[[#This Row],[Stage Number]]&gt;=3,1,0)</f>
        <v>0</v>
      </c>
      <c r="O3244" s="2">
        <f>IF(LeadsData[[#This Row],[Stage Number]]&gt;=4,1,0)</f>
        <v>0</v>
      </c>
    </row>
    <row r="3245" spans="1:15" x14ac:dyDescent="0.25">
      <c r="A3245" t="s">
        <v>3285</v>
      </c>
      <c r="B3245" s="1">
        <v>45372</v>
      </c>
      <c r="C3245" t="s">
        <v>31</v>
      </c>
      <c r="D3245" t="s">
        <v>32</v>
      </c>
      <c r="E3245" t="s">
        <v>13</v>
      </c>
      <c r="F3245" t="s">
        <v>22</v>
      </c>
      <c r="G3245" t="s">
        <v>23</v>
      </c>
      <c r="K3245" cm="1">
        <f t="array" ref="K3245">_xlfn.SWITCH(LeadsData[[#This Row],[Funnel Stage Reached]],"Lead",1,"MQL",2,"SQL",3,"Customer",4)</f>
        <v>2</v>
      </c>
      <c r="L3245" t="str">
        <f>TEXT(LeadsData[[#This Row],[Signup Date]],"mmm-yyyy")</f>
        <v>Mar-2024</v>
      </c>
      <c r="M3245">
        <f>IF(LeadsData[[#This Row],[Stage Number]]&gt;=2,1,0)</f>
        <v>1</v>
      </c>
      <c r="N3245" s="2">
        <f>IF(LeadsData[[#This Row],[Stage Number]]&gt;=3,1,0)</f>
        <v>0</v>
      </c>
      <c r="O3245" s="2">
        <f>IF(LeadsData[[#This Row],[Stage Number]]&gt;=4,1,0)</f>
        <v>0</v>
      </c>
    </row>
    <row r="3246" spans="1:15" x14ac:dyDescent="0.25">
      <c r="A3246" t="s">
        <v>3286</v>
      </c>
      <c r="B3246" s="1">
        <v>45400</v>
      </c>
      <c r="C3246" t="s">
        <v>25</v>
      </c>
      <c r="D3246" t="s">
        <v>26</v>
      </c>
      <c r="E3246" t="s">
        <v>13</v>
      </c>
      <c r="F3246" t="s">
        <v>14</v>
      </c>
      <c r="G3246" t="s">
        <v>23</v>
      </c>
      <c r="K3246" cm="1">
        <f t="array" ref="K3246">_xlfn.SWITCH(LeadsData[[#This Row],[Funnel Stage Reached]],"Lead",1,"MQL",2,"SQL",3,"Customer",4)</f>
        <v>2</v>
      </c>
      <c r="L3246" t="str">
        <f>TEXT(LeadsData[[#This Row],[Signup Date]],"mmm-yyyy")</f>
        <v>Apr-2024</v>
      </c>
      <c r="M3246">
        <f>IF(LeadsData[[#This Row],[Stage Number]]&gt;=2,1,0)</f>
        <v>1</v>
      </c>
      <c r="N3246" s="2">
        <f>IF(LeadsData[[#This Row],[Stage Number]]&gt;=3,1,0)</f>
        <v>0</v>
      </c>
      <c r="O3246" s="2">
        <f>IF(LeadsData[[#This Row],[Stage Number]]&gt;=4,1,0)</f>
        <v>0</v>
      </c>
    </row>
    <row r="3247" spans="1:15" x14ac:dyDescent="0.25">
      <c r="A3247" t="s">
        <v>3287</v>
      </c>
      <c r="B3247" s="1">
        <v>45306</v>
      </c>
      <c r="C3247" t="s">
        <v>31</v>
      </c>
      <c r="D3247" t="s">
        <v>32</v>
      </c>
      <c r="E3247" t="s">
        <v>13</v>
      </c>
      <c r="F3247" t="s">
        <v>19</v>
      </c>
      <c r="G3247" t="s">
        <v>29</v>
      </c>
      <c r="K3247" cm="1">
        <f t="array" ref="K3247">_xlfn.SWITCH(LeadsData[[#This Row],[Funnel Stage Reached]],"Lead",1,"MQL",2,"SQL",3,"Customer",4)</f>
        <v>3</v>
      </c>
      <c r="L3247" t="str">
        <f>TEXT(LeadsData[[#This Row],[Signup Date]],"mmm-yyyy")</f>
        <v>Jan-2024</v>
      </c>
      <c r="M3247">
        <f>IF(LeadsData[[#This Row],[Stage Number]]&gt;=2,1,0)</f>
        <v>1</v>
      </c>
      <c r="N3247" s="2">
        <f>IF(LeadsData[[#This Row],[Stage Number]]&gt;=3,1,0)</f>
        <v>1</v>
      </c>
      <c r="O3247" s="2">
        <f>IF(LeadsData[[#This Row],[Stage Number]]&gt;=4,1,0)</f>
        <v>0</v>
      </c>
    </row>
    <row r="3248" spans="1:15" x14ac:dyDescent="0.25">
      <c r="A3248" t="s">
        <v>3288</v>
      </c>
      <c r="B3248" s="1">
        <v>45492</v>
      </c>
      <c r="C3248" t="s">
        <v>36</v>
      </c>
      <c r="D3248" t="s">
        <v>50</v>
      </c>
      <c r="E3248" t="s">
        <v>21</v>
      </c>
      <c r="F3248" t="s">
        <v>19</v>
      </c>
      <c r="G3248" t="s">
        <v>23</v>
      </c>
      <c r="K3248" cm="1">
        <f t="array" ref="K3248">_xlfn.SWITCH(LeadsData[[#This Row],[Funnel Stage Reached]],"Lead",1,"MQL",2,"SQL",3,"Customer",4)</f>
        <v>2</v>
      </c>
      <c r="L3248" t="str">
        <f>TEXT(LeadsData[[#This Row],[Signup Date]],"mmm-yyyy")</f>
        <v>Jul-2024</v>
      </c>
      <c r="M3248">
        <f>IF(LeadsData[[#This Row],[Stage Number]]&gt;=2,1,0)</f>
        <v>1</v>
      </c>
      <c r="N3248" s="2">
        <f>IF(LeadsData[[#This Row],[Stage Number]]&gt;=3,1,0)</f>
        <v>0</v>
      </c>
      <c r="O3248" s="2">
        <f>IF(LeadsData[[#This Row],[Stage Number]]&gt;=4,1,0)</f>
        <v>0</v>
      </c>
    </row>
    <row r="3249" spans="1:15" x14ac:dyDescent="0.25">
      <c r="A3249" t="s">
        <v>3289</v>
      </c>
      <c r="B3249" s="1">
        <v>45638</v>
      </c>
      <c r="C3249" t="s">
        <v>17</v>
      </c>
      <c r="D3249" t="s">
        <v>18</v>
      </c>
      <c r="E3249" t="s">
        <v>21</v>
      </c>
      <c r="F3249" t="s">
        <v>22</v>
      </c>
      <c r="G3249" t="s">
        <v>15</v>
      </c>
      <c r="K3249" cm="1">
        <f t="array" ref="K3249">_xlfn.SWITCH(LeadsData[[#This Row],[Funnel Stage Reached]],"Lead",1,"MQL",2,"SQL",3,"Customer",4)</f>
        <v>1</v>
      </c>
      <c r="L3249" t="str">
        <f>TEXT(LeadsData[[#This Row],[Signup Date]],"mmm-yyyy")</f>
        <v>Dec-2024</v>
      </c>
      <c r="M3249">
        <f>IF(LeadsData[[#This Row],[Stage Number]]&gt;=2,1,0)</f>
        <v>0</v>
      </c>
      <c r="N3249" s="2">
        <f>IF(LeadsData[[#This Row],[Stage Number]]&gt;=3,1,0)</f>
        <v>0</v>
      </c>
      <c r="O3249" s="2">
        <f>IF(LeadsData[[#This Row],[Stage Number]]&gt;=4,1,0)</f>
        <v>0</v>
      </c>
    </row>
    <row r="3250" spans="1:15" x14ac:dyDescent="0.25">
      <c r="A3250" t="s">
        <v>3290</v>
      </c>
      <c r="B3250" s="1">
        <v>45392</v>
      </c>
      <c r="C3250" t="s">
        <v>31</v>
      </c>
      <c r="D3250" t="s">
        <v>34</v>
      </c>
      <c r="E3250" t="s">
        <v>13</v>
      </c>
      <c r="F3250" t="s">
        <v>19</v>
      </c>
      <c r="G3250" t="s">
        <v>15</v>
      </c>
      <c r="K3250" cm="1">
        <f t="array" ref="K3250">_xlfn.SWITCH(LeadsData[[#This Row],[Funnel Stage Reached]],"Lead",1,"MQL",2,"SQL",3,"Customer",4)</f>
        <v>1</v>
      </c>
      <c r="L3250" t="str">
        <f>TEXT(LeadsData[[#This Row],[Signup Date]],"mmm-yyyy")</f>
        <v>Apr-2024</v>
      </c>
      <c r="M3250">
        <f>IF(LeadsData[[#This Row],[Stage Number]]&gt;=2,1,0)</f>
        <v>0</v>
      </c>
      <c r="N3250" s="2">
        <f>IF(LeadsData[[#This Row],[Stage Number]]&gt;=3,1,0)</f>
        <v>0</v>
      </c>
      <c r="O3250" s="2">
        <f>IF(LeadsData[[#This Row],[Stage Number]]&gt;=4,1,0)</f>
        <v>0</v>
      </c>
    </row>
    <row r="3251" spans="1:15" x14ac:dyDescent="0.25">
      <c r="A3251" t="s">
        <v>3291</v>
      </c>
      <c r="B3251" s="1">
        <v>45618</v>
      </c>
      <c r="C3251" t="s">
        <v>46</v>
      </c>
      <c r="D3251" t="s">
        <v>56</v>
      </c>
      <c r="E3251" t="s">
        <v>21</v>
      </c>
      <c r="F3251" t="s">
        <v>19</v>
      </c>
      <c r="G3251" t="s">
        <v>29</v>
      </c>
      <c r="K3251" cm="1">
        <f t="array" ref="K3251">_xlfn.SWITCH(LeadsData[[#This Row],[Funnel Stage Reached]],"Lead",1,"MQL",2,"SQL",3,"Customer",4)</f>
        <v>3</v>
      </c>
      <c r="L3251" t="str">
        <f>TEXT(LeadsData[[#This Row],[Signup Date]],"mmm-yyyy")</f>
        <v>Nov-2024</v>
      </c>
      <c r="M3251">
        <f>IF(LeadsData[[#This Row],[Stage Number]]&gt;=2,1,0)</f>
        <v>1</v>
      </c>
      <c r="N3251" s="2">
        <f>IF(LeadsData[[#This Row],[Stage Number]]&gt;=3,1,0)</f>
        <v>1</v>
      </c>
      <c r="O3251" s="2">
        <f>IF(LeadsData[[#This Row],[Stage Number]]&gt;=4,1,0)</f>
        <v>0</v>
      </c>
    </row>
    <row r="3252" spans="1:15" x14ac:dyDescent="0.25">
      <c r="A3252" t="s">
        <v>3292</v>
      </c>
      <c r="B3252" s="1">
        <v>45334</v>
      </c>
      <c r="C3252" t="s">
        <v>11</v>
      </c>
      <c r="D3252" t="s">
        <v>12</v>
      </c>
      <c r="E3252" t="s">
        <v>13</v>
      </c>
      <c r="F3252" t="s">
        <v>14</v>
      </c>
      <c r="G3252" t="s">
        <v>15</v>
      </c>
      <c r="K3252" cm="1">
        <f t="array" ref="K3252">_xlfn.SWITCH(LeadsData[[#This Row],[Funnel Stage Reached]],"Lead",1,"MQL",2,"SQL",3,"Customer",4)</f>
        <v>1</v>
      </c>
      <c r="L3252" t="str">
        <f>TEXT(LeadsData[[#This Row],[Signup Date]],"mmm-yyyy")</f>
        <v>Feb-2024</v>
      </c>
      <c r="M3252">
        <f>IF(LeadsData[[#This Row],[Stage Number]]&gt;=2,1,0)</f>
        <v>0</v>
      </c>
      <c r="N3252" s="2">
        <f>IF(LeadsData[[#This Row],[Stage Number]]&gt;=3,1,0)</f>
        <v>0</v>
      </c>
      <c r="O3252" s="2">
        <f>IF(LeadsData[[#This Row],[Stage Number]]&gt;=4,1,0)</f>
        <v>0</v>
      </c>
    </row>
    <row r="3253" spans="1:15" x14ac:dyDescent="0.25">
      <c r="A3253" t="s">
        <v>3293</v>
      </c>
      <c r="B3253" s="1">
        <v>45587</v>
      </c>
      <c r="C3253" t="s">
        <v>36</v>
      </c>
      <c r="D3253" t="s">
        <v>50</v>
      </c>
      <c r="E3253" t="s">
        <v>13</v>
      </c>
      <c r="F3253" t="s">
        <v>22</v>
      </c>
      <c r="G3253" t="s">
        <v>29</v>
      </c>
      <c r="K3253" cm="1">
        <f t="array" ref="K3253">_xlfn.SWITCH(LeadsData[[#This Row],[Funnel Stage Reached]],"Lead",1,"MQL",2,"SQL",3,"Customer",4)</f>
        <v>3</v>
      </c>
      <c r="L3253" t="str">
        <f>TEXT(LeadsData[[#This Row],[Signup Date]],"mmm-yyyy")</f>
        <v>Oct-2024</v>
      </c>
      <c r="M3253">
        <f>IF(LeadsData[[#This Row],[Stage Number]]&gt;=2,1,0)</f>
        <v>1</v>
      </c>
      <c r="N3253" s="2">
        <f>IF(LeadsData[[#This Row],[Stage Number]]&gt;=3,1,0)</f>
        <v>1</v>
      </c>
      <c r="O3253" s="2">
        <f>IF(LeadsData[[#This Row],[Stage Number]]&gt;=4,1,0)</f>
        <v>0</v>
      </c>
    </row>
    <row r="3254" spans="1:15" x14ac:dyDescent="0.25">
      <c r="A3254" t="s">
        <v>3294</v>
      </c>
      <c r="B3254" s="1">
        <v>45588</v>
      </c>
      <c r="C3254" t="s">
        <v>11</v>
      </c>
      <c r="D3254" t="s">
        <v>12</v>
      </c>
      <c r="E3254" t="s">
        <v>13</v>
      </c>
      <c r="F3254" t="s">
        <v>28</v>
      </c>
      <c r="G3254" t="s">
        <v>23</v>
      </c>
      <c r="K3254" cm="1">
        <f t="array" ref="K3254">_xlfn.SWITCH(LeadsData[[#This Row],[Funnel Stage Reached]],"Lead",1,"MQL",2,"SQL",3,"Customer",4)</f>
        <v>2</v>
      </c>
      <c r="L3254" t="str">
        <f>TEXT(LeadsData[[#This Row],[Signup Date]],"mmm-yyyy")</f>
        <v>Oct-2024</v>
      </c>
      <c r="M3254">
        <f>IF(LeadsData[[#This Row],[Stage Number]]&gt;=2,1,0)</f>
        <v>1</v>
      </c>
      <c r="N3254" s="2">
        <f>IF(LeadsData[[#This Row],[Stage Number]]&gt;=3,1,0)</f>
        <v>0</v>
      </c>
      <c r="O3254" s="2">
        <f>IF(LeadsData[[#This Row],[Stage Number]]&gt;=4,1,0)</f>
        <v>0</v>
      </c>
    </row>
    <row r="3255" spans="1:15" x14ac:dyDescent="0.25">
      <c r="A3255" t="s">
        <v>3295</v>
      </c>
      <c r="B3255" s="1">
        <v>45530</v>
      </c>
      <c r="C3255" t="s">
        <v>11</v>
      </c>
      <c r="D3255" t="s">
        <v>68</v>
      </c>
      <c r="E3255" t="s">
        <v>13</v>
      </c>
      <c r="F3255" t="s">
        <v>14</v>
      </c>
      <c r="G3255" t="s">
        <v>15</v>
      </c>
      <c r="K3255" cm="1">
        <f t="array" ref="K3255">_xlfn.SWITCH(LeadsData[[#This Row],[Funnel Stage Reached]],"Lead",1,"MQL",2,"SQL",3,"Customer",4)</f>
        <v>1</v>
      </c>
      <c r="L3255" t="str">
        <f>TEXT(LeadsData[[#This Row],[Signup Date]],"mmm-yyyy")</f>
        <v>Aug-2024</v>
      </c>
      <c r="M3255">
        <f>IF(LeadsData[[#This Row],[Stage Number]]&gt;=2,1,0)</f>
        <v>0</v>
      </c>
      <c r="N3255" s="2">
        <f>IF(LeadsData[[#This Row],[Stage Number]]&gt;=3,1,0)</f>
        <v>0</v>
      </c>
      <c r="O3255" s="2">
        <f>IF(LeadsData[[#This Row],[Stage Number]]&gt;=4,1,0)</f>
        <v>0</v>
      </c>
    </row>
    <row r="3256" spans="1:15" x14ac:dyDescent="0.25">
      <c r="A3256" t="s">
        <v>3296</v>
      </c>
      <c r="B3256" s="1">
        <v>45355</v>
      </c>
      <c r="C3256" t="s">
        <v>11</v>
      </c>
      <c r="D3256" t="s">
        <v>12</v>
      </c>
      <c r="E3256" t="s">
        <v>13</v>
      </c>
      <c r="F3256" t="s">
        <v>14</v>
      </c>
      <c r="G3256" t="s">
        <v>15</v>
      </c>
      <c r="K3256" cm="1">
        <f t="array" ref="K3256">_xlfn.SWITCH(LeadsData[[#This Row],[Funnel Stage Reached]],"Lead",1,"MQL",2,"SQL",3,"Customer",4)</f>
        <v>1</v>
      </c>
      <c r="L3256" t="str">
        <f>TEXT(LeadsData[[#This Row],[Signup Date]],"mmm-yyyy")</f>
        <v>Mar-2024</v>
      </c>
      <c r="M3256">
        <f>IF(LeadsData[[#This Row],[Stage Number]]&gt;=2,1,0)</f>
        <v>0</v>
      </c>
      <c r="N3256" s="2">
        <f>IF(LeadsData[[#This Row],[Stage Number]]&gt;=3,1,0)</f>
        <v>0</v>
      </c>
      <c r="O3256" s="2">
        <f>IF(LeadsData[[#This Row],[Stage Number]]&gt;=4,1,0)</f>
        <v>0</v>
      </c>
    </row>
    <row r="3257" spans="1:15" x14ac:dyDescent="0.25">
      <c r="A3257" t="s">
        <v>3297</v>
      </c>
      <c r="B3257" s="1">
        <v>45456</v>
      </c>
      <c r="C3257" t="s">
        <v>11</v>
      </c>
      <c r="D3257" t="s">
        <v>12</v>
      </c>
      <c r="E3257" t="s">
        <v>13</v>
      </c>
      <c r="F3257" t="s">
        <v>19</v>
      </c>
      <c r="G3257" t="s">
        <v>15</v>
      </c>
      <c r="K3257" cm="1">
        <f t="array" ref="K3257">_xlfn.SWITCH(LeadsData[[#This Row],[Funnel Stage Reached]],"Lead",1,"MQL",2,"SQL",3,"Customer",4)</f>
        <v>1</v>
      </c>
      <c r="L3257" t="str">
        <f>TEXT(LeadsData[[#This Row],[Signup Date]],"mmm-yyyy")</f>
        <v>Jun-2024</v>
      </c>
      <c r="M3257">
        <f>IF(LeadsData[[#This Row],[Stage Number]]&gt;=2,1,0)</f>
        <v>0</v>
      </c>
      <c r="N3257" s="2">
        <f>IF(LeadsData[[#This Row],[Stage Number]]&gt;=3,1,0)</f>
        <v>0</v>
      </c>
      <c r="O3257" s="2">
        <f>IF(LeadsData[[#This Row],[Stage Number]]&gt;=4,1,0)</f>
        <v>0</v>
      </c>
    </row>
    <row r="3258" spans="1:15" x14ac:dyDescent="0.25">
      <c r="A3258" t="s">
        <v>3298</v>
      </c>
      <c r="B3258" s="1">
        <v>45556</v>
      </c>
      <c r="C3258" t="s">
        <v>36</v>
      </c>
      <c r="D3258" t="s">
        <v>37</v>
      </c>
      <c r="E3258" t="s">
        <v>21</v>
      </c>
      <c r="F3258" t="s">
        <v>19</v>
      </c>
      <c r="G3258" t="s">
        <v>23</v>
      </c>
      <c r="K3258" cm="1">
        <f t="array" ref="K3258">_xlfn.SWITCH(LeadsData[[#This Row],[Funnel Stage Reached]],"Lead",1,"MQL",2,"SQL",3,"Customer",4)</f>
        <v>2</v>
      </c>
      <c r="L3258" t="str">
        <f>TEXT(LeadsData[[#This Row],[Signup Date]],"mmm-yyyy")</f>
        <v>Sep-2024</v>
      </c>
      <c r="M3258">
        <f>IF(LeadsData[[#This Row],[Stage Number]]&gt;=2,1,0)</f>
        <v>1</v>
      </c>
      <c r="N3258" s="2">
        <f>IF(LeadsData[[#This Row],[Stage Number]]&gt;=3,1,0)</f>
        <v>0</v>
      </c>
      <c r="O3258" s="2">
        <f>IF(LeadsData[[#This Row],[Stage Number]]&gt;=4,1,0)</f>
        <v>0</v>
      </c>
    </row>
    <row r="3259" spans="1:15" x14ac:dyDescent="0.25">
      <c r="A3259" t="s">
        <v>3299</v>
      </c>
      <c r="B3259" s="1">
        <v>45537</v>
      </c>
      <c r="C3259" t="s">
        <v>11</v>
      </c>
      <c r="D3259" t="s">
        <v>79</v>
      </c>
      <c r="E3259" t="s">
        <v>48</v>
      </c>
      <c r="F3259" t="s">
        <v>22</v>
      </c>
      <c r="G3259" t="s">
        <v>15</v>
      </c>
      <c r="K3259" cm="1">
        <f t="array" ref="K3259">_xlfn.SWITCH(LeadsData[[#This Row],[Funnel Stage Reached]],"Lead",1,"MQL",2,"SQL",3,"Customer",4)</f>
        <v>1</v>
      </c>
      <c r="L3259" t="str">
        <f>TEXT(LeadsData[[#This Row],[Signup Date]],"mmm-yyyy")</f>
        <v>Sep-2024</v>
      </c>
      <c r="M3259">
        <f>IF(LeadsData[[#This Row],[Stage Number]]&gt;=2,1,0)</f>
        <v>0</v>
      </c>
      <c r="N3259" s="2">
        <f>IF(LeadsData[[#This Row],[Stage Number]]&gt;=3,1,0)</f>
        <v>0</v>
      </c>
      <c r="O3259" s="2">
        <f>IF(LeadsData[[#This Row],[Stage Number]]&gt;=4,1,0)</f>
        <v>0</v>
      </c>
    </row>
    <row r="3260" spans="1:15" x14ac:dyDescent="0.25">
      <c r="A3260" t="s">
        <v>3300</v>
      </c>
      <c r="B3260" s="1">
        <v>45508</v>
      </c>
      <c r="C3260" t="s">
        <v>31</v>
      </c>
      <c r="D3260" t="s">
        <v>32</v>
      </c>
      <c r="E3260" t="s">
        <v>13</v>
      </c>
      <c r="F3260" t="s">
        <v>22</v>
      </c>
      <c r="G3260" t="s">
        <v>15</v>
      </c>
      <c r="K3260" cm="1">
        <f t="array" ref="K3260">_xlfn.SWITCH(LeadsData[[#This Row],[Funnel Stage Reached]],"Lead",1,"MQL",2,"SQL",3,"Customer",4)</f>
        <v>1</v>
      </c>
      <c r="L3260" t="str">
        <f>TEXT(LeadsData[[#This Row],[Signup Date]],"mmm-yyyy")</f>
        <v>Aug-2024</v>
      </c>
      <c r="M3260">
        <f>IF(LeadsData[[#This Row],[Stage Number]]&gt;=2,1,0)</f>
        <v>0</v>
      </c>
      <c r="N3260" s="2">
        <f>IF(LeadsData[[#This Row],[Stage Number]]&gt;=3,1,0)</f>
        <v>0</v>
      </c>
      <c r="O3260" s="2">
        <f>IF(LeadsData[[#This Row],[Stage Number]]&gt;=4,1,0)</f>
        <v>0</v>
      </c>
    </row>
    <row r="3261" spans="1:15" x14ac:dyDescent="0.25">
      <c r="A3261" t="s">
        <v>3301</v>
      </c>
      <c r="B3261" s="1">
        <v>45358</v>
      </c>
      <c r="C3261" t="s">
        <v>46</v>
      </c>
      <c r="D3261" t="s">
        <v>56</v>
      </c>
      <c r="E3261" t="s">
        <v>48</v>
      </c>
      <c r="F3261" t="s">
        <v>19</v>
      </c>
      <c r="G3261" t="s">
        <v>23</v>
      </c>
      <c r="K3261" cm="1">
        <f t="array" ref="K3261">_xlfn.SWITCH(LeadsData[[#This Row],[Funnel Stage Reached]],"Lead",1,"MQL",2,"SQL",3,"Customer",4)</f>
        <v>2</v>
      </c>
      <c r="L3261" t="str">
        <f>TEXT(LeadsData[[#This Row],[Signup Date]],"mmm-yyyy")</f>
        <v>Mar-2024</v>
      </c>
      <c r="M3261">
        <f>IF(LeadsData[[#This Row],[Stage Number]]&gt;=2,1,0)</f>
        <v>1</v>
      </c>
      <c r="N3261" s="2">
        <f>IF(LeadsData[[#This Row],[Stage Number]]&gt;=3,1,0)</f>
        <v>0</v>
      </c>
      <c r="O3261" s="2">
        <f>IF(LeadsData[[#This Row],[Stage Number]]&gt;=4,1,0)</f>
        <v>0</v>
      </c>
    </row>
    <row r="3262" spans="1:15" x14ac:dyDescent="0.25">
      <c r="A3262" t="s">
        <v>3302</v>
      </c>
      <c r="B3262" s="1">
        <v>45484</v>
      </c>
      <c r="C3262" t="s">
        <v>36</v>
      </c>
      <c r="D3262" t="s">
        <v>37</v>
      </c>
      <c r="E3262" t="s">
        <v>13</v>
      </c>
      <c r="F3262" t="s">
        <v>22</v>
      </c>
      <c r="G3262" t="s">
        <v>23</v>
      </c>
      <c r="K3262" cm="1">
        <f t="array" ref="K3262">_xlfn.SWITCH(LeadsData[[#This Row],[Funnel Stage Reached]],"Lead",1,"MQL",2,"SQL",3,"Customer",4)</f>
        <v>2</v>
      </c>
      <c r="L3262" t="str">
        <f>TEXT(LeadsData[[#This Row],[Signup Date]],"mmm-yyyy")</f>
        <v>Jul-2024</v>
      </c>
      <c r="M3262">
        <f>IF(LeadsData[[#This Row],[Stage Number]]&gt;=2,1,0)</f>
        <v>1</v>
      </c>
      <c r="N3262" s="2">
        <f>IF(LeadsData[[#This Row],[Stage Number]]&gt;=3,1,0)</f>
        <v>0</v>
      </c>
      <c r="O3262" s="2">
        <f>IF(LeadsData[[#This Row],[Stage Number]]&gt;=4,1,0)</f>
        <v>0</v>
      </c>
    </row>
    <row r="3263" spans="1:15" x14ac:dyDescent="0.25">
      <c r="A3263" t="s">
        <v>3303</v>
      </c>
      <c r="B3263" s="1">
        <v>45602</v>
      </c>
      <c r="C3263" t="s">
        <v>46</v>
      </c>
      <c r="D3263" t="s">
        <v>56</v>
      </c>
      <c r="E3263" t="s">
        <v>21</v>
      </c>
      <c r="F3263" t="s">
        <v>22</v>
      </c>
      <c r="G3263" t="s">
        <v>15</v>
      </c>
      <c r="K3263" cm="1">
        <f t="array" ref="K3263">_xlfn.SWITCH(LeadsData[[#This Row],[Funnel Stage Reached]],"Lead",1,"MQL",2,"SQL",3,"Customer",4)</f>
        <v>1</v>
      </c>
      <c r="L3263" t="str">
        <f>TEXT(LeadsData[[#This Row],[Signup Date]],"mmm-yyyy")</f>
        <v>Nov-2024</v>
      </c>
      <c r="M3263">
        <f>IF(LeadsData[[#This Row],[Stage Number]]&gt;=2,1,0)</f>
        <v>0</v>
      </c>
      <c r="N3263" s="2">
        <f>IF(LeadsData[[#This Row],[Stage Number]]&gt;=3,1,0)</f>
        <v>0</v>
      </c>
      <c r="O3263" s="2">
        <f>IF(LeadsData[[#This Row],[Stage Number]]&gt;=4,1,0)</f>
        <v>0</v>
      </c>
    </row>
    <row r="3264" spans="1:15" x14ac:dyDescent="0.25">
      <c r="A3264" t="s">
        <v>3304</v>
      </c>
      <c r="B3264" s="1">
        <v>45377</v>
      </c>
      <c r="C3264" t="s">
        <v>36</v>
      </c>
      <c r="D3264" t="s">
        <v>50</v>
      </c>
      <c r="E3264" t="s">
        <v>13</v>
      </c>
      <c r="F3264" t="s">
        <v>14</v>
      </c>
      <c r="G3264" t="s">
        <v>23</v>
      </c>
      <c r="K3264" cm="1">
        <f t="array" ref="K3264">_xlfn.SWITCH(LeadsData[[#This Row],[Funnel Stage Reached]],"Lead",1,"MQL",2,"SQL",3,"Customer",4)</f>
        <v>2</v>
      </c>
      <c r="L3264" t="str">
        <f>TEXT(LeadsData[[#This Row],[Signup Date]],"mmm-yyyy")</f>
        <v>Mar-2024</v>
      </c>
      <c r="M3264">
        <f>IF(LeadsData[[#This Row],[Stage Number]]&gt;=2,1,0)</f>
        <v>1</v>
      </c>
      <c r="N3264" s="2">
        <f>IF(LeadsData[[#This Row],[Stage Number]]&gt;=3,1,0)</f>
        <v>0</v>
      </c>
      <c r="O3264" s="2">
        <f>IF(LeadsData[[#This Row],[Stage Number]]&gt;=4,1,0)</f>
        <v>0</v>
      </c>
    </row>
    <row r="3265" spans="1:15" x14ac:dyDescent="0.25">
      <c r="A3265" t="s">
        <v>3305</v>
      </c>
      <c r="B3265" s="1">
        <v>45654</v>
      </c>
      <c r="C3265" t="s">
        <v>31</v>
      </c>
      <c r="D3265" t="s">
        <v>34</v>
      </c>
      <c r="E3265" t="s">
        <v>13</v>
      </c>
      <c r="F3265" t="s">
        <v>22</v>
      </c>
      <c r="G3265" t="s">
        <v>23</v>
      </c>
      <c r="K3265" cm="1">
        <f t="array" ref="K3265">_xlfn.SWITCH(LeadsData[[#This Row],[Funnel Stage Reached]],"Lead",1,"MQL",2,"SQL",3,"Customer",4)</f>
        <v>2</v>
      </c>
      <c r="L3265" t="str">
        <f>TEXT(LeadsData[[#This Row],[Signup Date]],"mmm-yyyy")</f>
        <v>Dec-2024</v>
      </c>
      <c r="M3265">
        <f>IF(LeadsData[[#This Row],[Stage Number]]&gt;=2,1,0)</f>
        <v>1</v>
      </c>
      <c r="N3265" s="2">
        <f>IF(LeadsData[[#This Row],[Stage Number]]&gt;=3,1,0)</f>
        <v>0</v>
      </c>
      <c r="O3265" s="2">
        <f>IF(LeadsData[[#This Row],[Stage Number]]&gt;=4,1,0)</f>
        <v>0</v>
      </c>
    </row>
    <row r="3266" spans="1:15" x14ac:dyDescent="0.25">
      <c r="A3266" t="s">
        <v>3306</v>
      </c>
      <c r="B3266" s="1">
        <v>45505</v>
      </c>
      <c r="C3266" t="s">
        <v>31</v>
      </c>
      <c r="D3266" t="s">
        <v>34</v>
      </c>
      <c r="E3266" t="s">
        <v>21</v>
      </c>
      <c r="F3266" t="s">
        <v>28</v>
      </c>
      <c r="G3266" t="s">
        <v>42</v>
      </c>
      <c r="H3266">
        <v>74</v>
      </c>
      <c r="I3266" t="s">
        <v>87</v>
      </c>
      <c r="J3266">
        <v>4144.62</v>
      </c>
      <c r="K3266" cm="1">
        <f t="array" ref="K3266">_xlfn.SWITCH(LeadsData[[#This Row],[Funnel Stage Reached]],"Lead",1,"MQL",2,"SQL",3,"Customer",4)</f>
        <v>4</v>
      </c>
      <c r="L3266" t="str">
        <f>TEXT(LeadsData[[#This Row],[Signup Date]],"mmm-yyyy")</f>
        <v>Aug-2024</v>
      </c>
      <c r="M3266">
        <f>IF(LeadsData[[#This Row],[Stage Number]]&gt;=2,1,0)</f>
        <v>1</v>
      </c>
      <c r="N3266" s="2">
        <f>IF(LeadsData[[#This Row],[Stage Number]]&gt;=3,1,0)</f>
        <v>1</v>
      </c>
      <c r="O3266" s="2">
        <f>IF(LeadsData[[#This Row],[Stage Number]]&gt;=4,1,0)</f>
        <v>1</v>
      </c>
    </row>
    <row r="3267" spans="1:15" x14ac:dyDescent="0.25">
      <c r="A3267" t="s">
        <v>3307</v>
      </c>
      <c r="B3267" s="1">
        <v>45463</v>
      </c>
      <c r="C3267" t="s">
        <v>11</v>
      </c>
      <c r="D3267" t="s">
        <v>79</v>
      </c>
      <c r="E3267" t="s">
        <v>13</v>
      </c>
      <c r="F3267" t="s">
        <v>22</v>
      </c>
      <c r="G3267" t="s">
        <v>23</v>
      </c>
      <c r="K3267" cm="1">
        <f t="array" ref="K3267">_xlfn.SWITCH(LeadsData[[#This Row],[Funnel Stage Reached]],"Lead",1,"MQL",2,"SQL",3,"Customer",4)</f>
        <v>2</v>
      </c>
      <c r="L3267" t="str">
        <f>TEXT(LeadsData[[#This Row],[Signup Date]],"mmm-yyyy")</f>
        <v>Jun-2024</v>
      </c>
      <c r="M3267">
        <f>IF(LeadsData[[#This Row],[Stage Number]]&gt;=2,1,0)</f>
        <v>1</v>
      </c>
      <c r="N3267" s="2">
        <f>IF(LeadsData[[#This Row],[Stage Number]]&gt;=3,1,0)</f>
        <v>0</v>
      </c>
      <c r="O3267" s="2">
        <f>IF(LeadsData[[#This Row],[Stage Number]]&gt;=4,1,0)</f>
        <v>0</v>
      </c>
    </row>
    <row r="3268" spans="1:15" x14ac:dyDescent="0.25">
      <c r="A3268" t="s">
        <v>3308</v>
      </c>
      <c r="B3268" s="1">
        <v>45526</v>
      </c>
      <c r="C3268" t="s">
        <v>31</v>
      </c>
      <c r="D3268" t="s">
        <v>32</v>
      </c>
      <c r="E3268" t="s">
        <v>21</v>
      </c>
      <c r="F3268" t="s">
        <v>22</v>
      </c>
      <c r="G3268" t="s">
        <v>15</v>
      </c>
      <c r="K3268" cm="1">
        <f t="array" ref="K3268">_xlfn.SWITCH(LeadsData[[#This Row],[Funnel Stage Reached]],"Lead",1,"MQL",2,"SQL",3,"Customer",4)</f>
        <v>1</v>
      </c>
      <c r="L3268" t="str">
        <f>TEXT(LeadsData[[#This Row],[Signup Date]],"mmm-yyyy")</f>
        <v>Aug-2024</v>
      </c>
      <c r="M3268">
        <f>IF(LeadsData[[#This Row],[Stage Number]]&gt;=2,1,0)</f>
        <v>0</v>
      </c>
      <c r="N3268" s="2">
        <f>IF(LeadsData[[#This Row],[Stage Number]]&gt;=3,1,0)</f>
        <v>0</v>
      </c>
      <c r="O3268" s="2">
        <f>IF(LeadsData[[#This Row],[Stage Number]]&gt;=4,1,0)</f>
        <v>0</v>
      </c>
    </row>
    <row r="3269" spans="1:15" x14ac:dyDescent="0.25">
      <c r="A3269" t="s">
        <v>3309</v>
      </c>
      <c r="B3269" s="1">
        <v>45431</v>
      </c>
      <c r="C3269" t="s">
        <v>31</v>
      </c>
      <c r="D3269" t="s">
        <v>32</v>
      </c>
      <c r="E3269" t="s">
        <v>21</v>
      </c>
      <c r="F3269" t="s">
        <v>19</v>
      </c>
      <c r="G3269" t="s">
        <v>15</v>
      </c>
      <c r="K3269" cm="1">
        <f t="array" ref="K3269">_xlfn.SWITCH(LeadsData[[#This Row],[Funnel Stage Reached]],"Lead",1,"MQL",2,"SQL",3,"Customer",4)</f>
        <v>1</v>
      </c>
      <c r="L3269" t="str">
        <f>TEXT(LeadsData[[#This Row],[Signup Date]],"mmm-yyyy")</f>
        <v>May-2024</v>
      </c>
      <c r="M3269">
        <f>IF(LeadsData[[#This Row],[Stage Number]]&gt;=2,1,0)</f>
        <v>0</v>
      </c>
      <c r="N3269" s="2">
        <f>IF(LeadsData[[#This Row],[Stage Number]]&gt;=3,1,0)</f>
        <v>0</v>
      </c>
      <c r="O3269" s="2">
        <f>IF(LeadsData[[#This Row],[Stage Number]]&gt;=4,1,0)</f>
        <v>0</v>
      </c>
    </row>
    <row r="3270" spans="1:15" x14ac:dyDescent="0.25">
      <c r="A3270" t="s">
        <v>3310</v>
      </c>
      <c r="B3270" s="1">
        <v>45445</v>
      </c>
      <c r="C3270" t="s">
        <v>25</v>
      </c>
      <c r="D3270" t="s">
        <v>26</v>
      </c>
      <c r="E3270" t="s">
        <v>21</v>
      </c>
      <c r="F3270" t="s">
        <v>22</v>
      </c>
      <c r="G3270" t="s">
        <v>15</v>
      </c>
      <c r="K3270" cm="1">
        <f t="array" ref="K3270">_xlfn.SWITCH(LeadsData[[#This Row],[Funnel Stage Reached]],"Lead",1,"MQL",2,"SQL",3,"Customer",4)</f>
        <v>1</v>
      </c>
      <c r="L3270" t="str">
        <f>TEXT(LeadsData[[#This Row],[Signup Date]],"mmm-yyyy")</f>
        <v>Jun-2024</v>
      </c>
      <c r="M3270">
        <f>IF(LeadsData[[#This Row],[Stage Number]]&gt;=2,1,0)</f>
        <v>0</v>
      </c>
      <c r="N3270" s="2">
        <f>IF(LeadsData[[#This Row],[Stage Number]]&gt;=3,1,0)</f>
        <v>0</v>
      </c>
      <c r="O3270" s="2">
        <f>IF(LeadsData[[#This Row],[Stage Number]]&gt;=4,1,0)</f>
        <v>0</v>
      </c>
    </row>
    <row r="3271" spans="1:15" x14ac:dyDescent="0.25">
      <c r="A3271" t="s">
        <v>3311</v>
      </c>
      <c r="B3271" s="1">
        <v>45298</v>
      </c>
      <c r="C3271" t="s">
        <v>17</v>
      </c>
      <c r="D3271" t="s">
        <v>18</v>
      </c>
      <c r="E3271" t="s">
        <v>21</v>
      </c>
      <c r="F3271" t="s">
        <v>19</v>
      </c>
      <c r="G3271" t="s">
        <v>15</v>
      </c>
      <c r="K3271" cm="1">
        <f t="array" ref="K3271">_xlfn.SWITCH(LeadsData[[#This Row],[Funnel Stage Reached]],"Lead",1,"MQL",2,"SQL",3,"Customer",4)</f>
        <v>1</v>
      </c>
      <c r="L3271" t="str">
        <f>TEXT(LeadsData[[#This Row],[Signup Date]],"mmm-yyyy")</f>
        <v>Jan-2024</v>
      </c>
      <c r="M3271">
        <f>IF(LeadsData[[#This Row],[Stage Number]]&gt;=2,1,0)</f>
        <v>0</v>
      </c>
      <c r="N3271" s="2">
        <f>IF(LeadsData[[#This Row],[Stage Number]]&gt;=3,1,0)</f>
        <v>0</v>
      </c>
      <c r="O3271" s="2">
        <f>IF(LeadsData[[#This Row],[Stage Number]]&gt;=4,1,0)</f>
        <v>0</v>
      </c>
    </row>
    <row r="3272" spans="1:15" x14ac:dyDescent="0.25">
      <c r="A3272" t="s">
        <v>3312</v>
      </c>
      <c r="B3272" s="1">
        <v>45574</v>
      </c>
      <c r="C3272" t="s">
        <v>17</v>
      </c>
      <c r="D3272" t="s">
        <v>18</v>
      </c>
      <c r="E3272" t="s">
        <v>13</v>
      </c>
      <c r="F3272" t="s">
        <v>22</v>
      </c>
      <c r="G3272" t="s">
        <v>15</v>
      </c>
      <c r="K3272" cm="1">
        <f t="array" ref="K3272">_xlfn.SWITCH(LeadsData[[#This Row],[Funnel Stage Reached]],"Lead",1,"MQL",2,"SQL",3,"Customer",4)</f>
        <v>1</v>
      </c>
      <c r="L3272" t="str">
        <f>TEXT(LeadsData[[#This Row],[Signup Date]],"mmm-yyyy")</f>
        <v>Oct-2024</v>
      </c>
      <c r="M3272">
        <f>IF(LeadsData[[#This Row],[Stage Number]]&gt;=2,1,0)</f>
        <v>0</v>
      </c>
      <c r="N3272" s="2">
        <f>IF(LeadsData[[#This Row],[Stage Number]]&gt;=3,1,0)</f>
        <v>0</v>
      </c>
      <c r="O3272" s="2">
        <f>IF(LeadsData[[#This Row],[Stage Number]]&gt;=4,1,0)</f>
        <v>0</v>
      </c>
    </row>
    <row r="3273" spans="1:15" x14ac:dyDescent="0.25">
      <c r="A3273" t="s">
        <v>3313</v>
      </c>
      <c r="B3273" s="1">
        <v>45646</v>
      </c>
      <c r="C3273" t="s">
        <v>25</v>
      </c>
      <c r="D3273" t="s">
        <v>26</v>
      </c>
      <c r="E3273" t="s">
        <v>13</v>
      </c>
      <c r="F3273" t="s">
        <v>22</v>
      </c>
      <c r="G3273" t="s">
        <v>15</v>
      </c>
      <c r="K3273" cm="1">
        <f t="array" ref="K3273">_xlfn.SWITCH(LeadsData[[#This Row],[Funnel Stage Reached]],"Lead",1,"MQL",2,"SQL",3,"Customer",4)</f>
        <v>1</v>
      </c>
      <c r="L3273" t="str">
        <f>TEXT(LeadsData[[#This Row],[Signup Date]],"mmm-yyyy")</f>
        <v>Dec-2024</v>
      </c>
      <c r="M3273">
        <f>IF(LeadsData[[#This Row],[Stage Number]]&gt;=2,1,0)</f>
        <v>0</v>
      </c>
      <c r="N3273" s="2">
        <f>IF(LeadsData[[#This Row],[Stage Number]]&gt;=3,1,0)</f>
        <v>0</v>
      </c>
      <c r="O3273" s="2">
        <f>IF(LeadsData[[#This Row],[Stage Number]]&gt;=4,1,0)</f>
        <v>0</v>
      </c>
    </row>
    <row r="3274" spans="1:15" x14ac:dyDescent="0.25">
      <c r="A3274" t="s">
        <v>3314</v>
      </c>
      <c r="B3274" s="1">
        <v>45492</v>
      </c>
      <c r="C3274" t="s">
        <v>46</v>
      </c>
      <c r="D3274" t="s">
        <v>47</v>
      </c>
      <c r="E3274" t="s">
        <v>13</v>
      </c>
      <c r="F3274" t="s">
        <v>19</v>
      </c>
      <c r="G3274" t="s">
        <v>15</v>
      </c>
      <c r="K3274" cm="1">
        <f t="array" ref="K3274">_xlfn.SWITCH(LeadsData[[#This Row],[Funnel Stage Reached]],"Lead",1,"MQL",2,"SQL",3,"Customer",4)</f>
        <v>1</v>
      </c>
      <c r="L3274" t="str">
        <f>TEXT(LeadsData[[#This Row],[Signup Date]],"mmm-yyyy")</f>
        <v>Jul-2024</v>
      </c>
      <c r="M3274">
        <f>IF(LeadsData[[#This Row],[Stage Number]]&gt;=2,1,0)</f>
        <v>0</v>
      </c>
      <c r="N3274" s="2">
        <f>IF(LeadsData[[#This Row],[Stage Number]]&gt;=3,1,0)</f>
        <v>0</v>
      </c>
      <c r="O3274" s="2">
        <f>IF(LeadsData[[#This Row],[Stage Number]]&gt;=4,1,0)</f>
        <v>0</v>
      </c>
    </row>
    <row r="3275" spans="1:15" x14ac:dyDescent="0.25">
      <c r="A3275" t="s">
        <v>3315</v>
      </c>
      <c r="B3275" s="1">
        <v>45536</v>
      </c>
      <c r="C3275" t="s">
        <v>17</v>
      </c>
      <c r="D3275" t="s">
        <v>18</v>
      </c>
      <c r="E3275" t="s">
        <v>13</v>
      </c>
      <c r="F3275" t="s">
        <v>22</v>
      </c>
      <c r="G3275" t="s">
        <v>15</v>
      </c>
      <c r="K3275" cm="1">
        <f t="array" ref="K3275">_xlfn.SWITCH(LeadsData[[#This Row],[Funnel Stage Reached]],"Lead",1,"MQL",2,"SQL",3,"Customer",4)</f>
        <v>1</v>
      </c>
      <c r="L3275" t="str">
        <f>TEXT(LeadsData[[#This Row],[Signup Date]],"mmm-yyyy")</f>
        <v>Sep-2024</v>
      </c>
      <c r="M3275">
        <f>IF(LeadsData[[#This Row],[Stage Number]]&gt;=2,1,0)</f>
        <v>0</v>
      </c>
      <c r="N3275" s="2">
        <f>IF(LeadsData[[#This Row],[Stage Number]]&gt;=3,1,0)</f>
        <v>0</v>
      </c>
      <c r="O3275" s="2">
        <f>IF(LeadsData[[#This Row],[Stage Number]]&gt;=4,1,0)</f>
        <v>0</v>
      </c>
    </row>
    <row r="3276" spans="1:15" x14ac:dyDescent="0.25">
      <c r="A3276" t="s">
        <v>3316</v>
      </c>
      <c r="B3276" s="1">
        <v>45524</v>
      </c>
      <c r="C3276" t="s">
        <v>31</v>
      </c>
      <c r="D3276" t="s">
        <v>34</v>
      </c>
      <c r="E3276" t="s">
        <v>13</v>
      </c>
      <c r="F3276" t="s">
        <v>19</v>
      </c>
      <c r="G3276" t="s">
        <v>29</v>
      </c>
      <c r="K3276" cm="1">
        <f t="array" ref="K3276">_xlfn.SWITCH(LeadsData[[#This Row],[Funnel Stage Reached]],"Lead",1,"MQL",2,"SQL",3,"Customer",4)</f>
        <v>3</v>
      </c>
      <c r="L3276" t="str">
        <f>TEXT(LeadsData[[#This Row],[Signup Date]],"mmm-yyyy")</f>
        <v>Aug-2024</v>
      </c>
      <c r="M3276">
        <f>IF(LeadsData[[#This Row],[Stage Number]]&gt;=2,1,0)</f>
        <v>1</v>
      </c>
      <c r="N3276" s="2">
        <f>IF(LeadsData[[#This Row],[Stage Number]]&gt;=3,1,0)</f>
        <v>1</v>
      </c>
      <c r="O3276" s="2">
        <f>IF(LeadsData[[#This Row],[Stage Number]]&gt;=4,1,0)</f>
        <v>0</v>
      </c>
    </row>
    <row r="3277" spans="1:15" x14ac:dyDescent="0.25">
      <c r="A3277" t="s">
        <v>3317</v>
      </c>
      <c r="B3277" s="1">
        <v>45567</v>
      </c>
      <c r="C3277" t="s">
        <v>11</v>
      </c>
      <c r="D3277" t="s">
        <v>12</v>
      </c>
      <c r="E3277" t="s">
        <v>13</v>
      </c>
      <c r="F3277" t="s">
        <v>22</v>
      </c>
      <c r="G3277" t="s">
        <v>23</v>
      </c>
      <c r="K3277" cm="1">
        <f t="array" ref="K3277">_xlfn.SWITCH(LeadsData[[#This Row],[Funnel Stage Reached]],"Lead",1,"MQL",2,"SQL",3,"Customer",4)</f>
        <v>2</v>
      </c>
      <c r="L3277" t="str">
        <f>TEXT(LeadsData[[#This Row],[Signup Date]],"mmm-yyyy")</f>
        <v>Oct-2024</v>
      </c>
      <c r="M3277">
        <f>IF(LeadsData[[#This Row],[Stage Number]]&gt;=2,1,0)</f>
        <v>1</v>
      </c>
      <c r="N3277" s="2">
        <f>IF(LeadsData[[#This Row],[Stage Number]]&gt;=3,1,0)</f>
        <v>0</v>
      </c>
      <c r="O3277" s="2">
        <f>IF(LeadsData[[#This Row],[Stage Number]]&gt;=4,1,0)</f>
        <v>0</v>
      </c>
    </row>
    <row r="3278" spans="1:15" x14ac:dyDescent="0.25">
      <c r="A3278" t="s">
        <v>3318</v>
      </c>
      <c r="B3278" s="1">
        <v>45458</v>
      </c>
      <c r="C3278" t="s">
        <v>31</v>
      </c>
      <c r="D3278" t="s">
        <v>32</v>
      </c>
      <c r="E3278" t="s">
        <v>21</v>
      </c>
      <c r="F3278" t="s">
        <v>19</v>
      </c>
      <c r="G3278" t="s">
        <v>29</v>
      </c>
      <c r="K3278" cm="1">
        <f t="array" ref="K3278">_xlfn.SWITCH(LeadsData[[#This Row],[Funnel Stage Reached]],"Lead",1,"MQL",2,"SQL",3,"Customer",4)</f>
        <v>3</v>
      </c>
      <c r="L3278" t="str">
        <f>TEXT(LeadsData[[#This Row],[Signup Date]],"mmm-yyyy")</f>
        <v>Jun-2024</v>
      </c>
      <c r="M3278">
        <f>IF(LeadsData[[#This Row],[Stage Number]]&gt;=2,1,0)</f>
        <v>1</v>
      </c>
      <c r="N3278" s="2">
        <f>IF(LeadsData[[#This Row],[Stage Number]]&gt;=3,1,0)</f>
        <v>1</v>
      </c>
      <c r="O3278" s="2">
        <f>IF(LeadsData[[#This Row],[Stage Number]]&gt;=4,1,0)</f>
        <v>0</v>
      </c>
    </row>
    <row r="3279" spans="1:15" x14ac:dyDescent="0.25">
      <c r="A3279" t="s">
        <v>3319</v>
      </c>
      <c r="B3279" s="1">
        <v>45609</v>
      </c>
      <c r="C3279" t="s">
        <v>11</v>
      </c>
      <c r="D3279" t="s">
        <v>68</v>
      </c>
      <c r="E3279" t="s">
        <v>13</v>
      </c>
      <c r="F3279" t="s">
        <v>22</v>
      </c>
      <c r="G3279" t="s">
        <v>23</v>
      </c>
      <c r="K3279" cm="1">
        <f t="array" ref="K3279">_xlfn.SWITCH(LeadsData[[#This Row],[Funnel Stage Reached]],"Lead",1,"MQL",2,"SQL",3,"Customer",4)</f>
        <v>2</v>
      </c>
      <c r="L3279" t="str">
        <f>TEXT(LeadsData[[#This Row],[Signup Date]],"mmm-yyyy")</f>
        <v>Nov-2024</v>
      </c>
      <c r="M3279">
        <f>IF(LeadsData[[#This Row],[Stage Number]]&gt;=2,1,0)</f>
        <v>1</v>
      </c>
      <c r="N3279" s="2">
        <f>IF(LeadsData[[#This Row],[Stage Number]]&gt;=3,1,0)</f>
        <v>0</v>
      </c>
      <c r="O3279" s="2">
        <f>IF(LeadsData[[#This Row],[Stage Number]]&gt;=4,1,0)</f>
        <v>0</v>
      </c>
    </row>
    <row r="3280" spans="1:15" x14ac:dyDescent="0.25">
      <c r="A3280" t="s">
        <v>3320</v>
      </c>
      <c r="B3280" s="1">
        <v>45641</v>
      </c>
      <c r="C3280" t="s">
        <v>25</v>
      </c>
      <c r="D3280" t="s">
        <v>26</v>
      </c>
      <c r="E3280" t="s">
        <v>13</v>
      </c>
      <c r="F3280" t="s">
        <v>22</v>
      </c>
      <c r="G3280" t="s">
        <v>29</v>
      </c>
      <c r="K3280" cm="1">
        <f t="array" ref="K3280">_xlfn.SWITCH(LeadsData[[#This Row],[Funnel Stage Reached]],"Lead",1,"MQL",2,"SQL",3,"Customer",4)</f>
        <v>3</v>
      </c>
      <c r="L3280" t="str">
        <f>TEXT(LeadsData[[#This Row],[Signup Date]],"mmm-yyyy")</f>
        <v>Dec-2024</v>
      </c>
      <c r="M3280">
        <f>IF(LeadsData[[#This Row],[Stage Number]]&gt;=2,1,0)</f>
        <v>1</v>
      </c>
      <c r="N3280" s="2">
        <f>IF(LeadsData[[#This Row],[Stage Number]]&gt;=3,1,0)</f>
        <v>1</v>
      </c>
      <c r="O3280" s="2">
        <f>IF(LeadsData[[#This Row],[Stage Number]]&gt;=4,1,0)</f>
        <v>0</v>
      </c>
    </row>
    <row r="3281" spans="1:15" x14ac:dyDescent="0.25">
      <c r="A3281" t="s">
        <v>3321</v>
      </c>
      <c r="B3281" s="1">
        <v>45602</v>
      </c>
      <c r="C3281" t="s">
        <v>11</v>
      </c>
      <c r="D3281" t="s">
        <v>79</v>
      </c>
      <c r="E3281" t="s">
        <v>21</v>
      </c>
      <c r="F3281" t="s">
        <v>22</v>
      </c>
      <c r="G3281" t="s">
        <v>15</v>
      </c>
      <c r="K3281" cm="1">
        <f t="array" ref="K3281">_xlfn.SWITCH(LeadsData[[#This Row],[Funnel Stage Reached]],"Lead",1,"MQL",2,"SQL",3,"Customer",4)</f>
        <v>1</v>
      </c>
      <c r="L3281" t="str">
        <f>TEXT(LeadsData[[#This Row],[Signup Date]],"mmm-yyyy")</f>
        <v>Nov-2024</v>
      </c>
      <c r="M3281">
        <f>IF(LeadsData[[#This Row],[Stage Number]]&gt;=2,1,0)</f>
        <v>0</v>
      </c>
      <c r="N3281" s="2">
        <f>IF(LeadsData[[#This Row],[Stage Number]]&gt;=3,1,0)</f>
        <v>0</v>
      </c>
      <c r="O3281" s="2">
        <f>IF(LeadsData[[#This Row],[Stage Number]]&gt;=4,1,0)</f>
        <v>0</v>
      </c>
    </row>
    <row r="3282" spans="1:15" x14ac:dyDescent="0.25">
      <c r="A3282" t="s">
        <v>3322</v>
      </c>
      <c r="B3282" s="1">
        <v>45609</v>
      </c>
      <c r="C3282" t="s">
        <v>17</v>
      </c>
      <c r="D3282" t="s">
        <v>53</v>
      </c>
      <c r="E3282" t="s">
        <v>13</v>
      </c>
      <c r="F3282" t="s">
        <v>19</v>
      </c>
      <c r="G3282" t="s">
        <v>15</v>
      </c>
      <c r="K3282" cm="1">
        <f t="array" ref="K3282">_xlfn.SWITCH(LeadsData[[#This Row],[Funnel Stage Reached]],"Lead",1,"MQL",2,"SQL",3,"Customer",4)</f>
        <v>1</v>
      </c>
      <c r="L3282" t="str">
        <f>TEXT(LeadsData[[#This Row],[Signup Date]],"mmm-yyyy")</f>
        <v>Nov-2024</v>
      </c>
      <c r="M3282">
        <f>IF(LeadsData[[#This Row],[Stage Number]]&gt;=2,1,0)</f>
        <v>0</v>
      </c>
      <c r="N3282" s="2">
        <f>IF(LeadsData[[#This Row],[Stage Number]]&gt;=3,1,0)</f>
        <v>0</v>
      </c>
      <c r="O3282" s="2">
        <f>IF(LeadsData[[#This Row],[Stage Number]]&gt;=4,1,0)</f>
        <v>0</v>
      </c>
    </row>
    <row r="3283" spans="1:15" x14ac:dyDescent="0.25">
      <c r="A3283" t="s">
        <v>3323</v>
      </c>
      <c r="B3283" s="1">
        <v>45315</v>
      </c>
      <c r="C3283" t="s">
        <v>46</v>
      </c>
      <c r="D3283" t="s">
        <v>56</v>
      </c>
      <c r="E3283" t="s">
        <v>21</v>
      </c>
      <c r="F3283" t="s">
        <v>22</v>
      </c>
      <c r="G3283" t="s">
        <v>15</v>
      </c>
      <c r="K3283" cm="1">
        <f t="array" ref="K3283">_xlfn.SWITCH(LeadsData[[#This Row],[Funnel Stage Reached]],"Lead",1,"MQL",2,"SQL",3,"Customer",4)</f>
        <v>1</v>
      </c>
      <c r="L3283" t="str">
        <f>TEXT(LeadsData[[#This Row],[Signup Date]],"mmm-yyyy")</f>
        <v>Jan-2024</v>
      </c>
      <c r="M3283">
        <f>IF(LeadsData[[#This Row],[Stage Number]]&gt;=2,1,0)</f>
        <v>0</v>
      </c>
      <c r="N3283" s="2">
        <f>IF(LeadsData[[#This Row],[Stage Number]]&gt;=3,1,0)</f>
        <v>0</v>
      </c>
      <c r="O3283" s="2">
        <f>IF(LeadsData[[#This Row],[Stage Number]]&gt;=4,1,0)</f>
        <v>0</v>
      </c>
    </row>
    <row r="3284" spans="1:15" x14ac:dyDescent="0.25">
      <c r="A3284" t="s">
        <v>3324</v>
      </c>
      <c r="B3284" s="1">
        <v>45459</v>
      </c>
      <c r="C3284" t="s">
        <v>25</v>
      </c>
      <c r="D3284" t="s">
        <v>26</v>
      </c>
      <c r="E3284" t="s">
        <v>13</v>
      </c>
      <c r="F3284" t="s">
        <v>14</v>
      </c>
      <c r="G3284" t="s">
        <v>29</v>
      </c>
      <c r="K3284" cm="1">
        <f t="array" ref="K3284">_xlfn.SWITCH(LeadsData[[#This Row],[Funnel Stage Reached]],"Lead",1,"MQL",2,"SQL",3,"Customer",4)</f>
        <v>3</v>
      </c>
      <c r="L3284" t="str">
        <f>TEXT(LeadsData[[#This Row],[Signup Date]],"mmm-yyyy")</f>
        <v>Jun-2024</v>
      </c>
      <c r="M3284">
        <f>IF(LeadsData[[#This Row],[Stage Number]]&gt;=2,1,0)</f>
        <v>1</v>
      </c>
      <c r="N3284" s="2">
        <f>IF(LeadsData[[#This Row],[Stage Number]]&gt;=3,1,0)</f>
        <v>1</v>
      </c>
      <c r="O3284" s="2">
        <f>IF(LeadsData[[#This Row],[Stage Number]]&gt;=4,1,0)</f>
        <v>0</v>
      </c>
    </row>
    <row r="3285" spans="1:15" x14ac:dyDescent="0.25">
      <c r="A3285" t="s">
        <v>3325</v>
      </c>
      <c r="B3285" s="1">
        <v>45398</v>
      </c>
      <c r="C3285" t="s">
        <v>25</v>
      </c>
      <c r="D3285" t="s">
        <v>26</v>
      </c>
      <c r="E3285" t="s">
        <v>21</v>
      </c>
      <c r="F3285" t="s">
        <v>22</v>
      </c>
      <c r="G3285" t="s">
        <v>42</v>
      </c>
      <c r="H3285">
        <v>53</v>
      </c>
      <c r="I3285" t="s">
        <v>87</v>
      </c>
      <c r="J3285">
        <v>4197.6099999999997</v>
      </c>
      <c r="K3285" cm="1">
        <f t="array" ref="K3285">_xlfn.SWITCH(LeadsData[[#This Row],[Funnel Stage Reached]],"Lead",1,"MQL",2,"SQL",3,"Customer",4)</f>
        <v>4</v>
      </c>
      <c r="L3285" t="str">
        <f>TEXT(LeadsData[[#This Row],[Signup Date]],"mmm-yyyy")</f>
        <v>Apr-2024</v>
      </c>
      <c r="M3285">
        <f>IF(LeadsData[[#This Row],[Stage Number]]&gt;=2,1,0)</f>
        <v>1</v>
      </c>
      <c r="N3285" s="2">
        <f>IF(LeadsData[[#This Row],[Stage Number]]&gt;=3,1,0)</f>
        <v>1</v>
      </c>
      <c r="O3285" s="2">
        <f>IF(LeadsData[[#This Row],[Stage Number]]&gt;=4,1,0)</f>
        <v>1</v>
      </c>
    </row>
    <row r="3286" spans="1:15" x14ac:dyDescent="0.25">
      <c r="A3286" t="s">
        <v>3326</v>
      </c>
      <c r="B3286" s="1">
        <v>45403</v>
      </c>
      <c r="C3286" t="s">
        <v>11</v>
      </c>
      <c r="D3286" t="s">
        <v>79</v>
      </c>
      <c r="E3286" t="s">
        <v>21</v>
      </c>
      <c r="F3286" t="s">
        <v>22</v>
      </c>
      <c r="G3286" t="s">
        <v>23</v>
      </c>
      <c r="K3286" cm="1">
        <f t="array" ref="K3286">_xlfn.SWITCH(LeadsData[[#This Row],[Funnel Stage Reached]],"Lead",1,"MQL",2,"SQL",3,"Customer",4)</f>
        <v>2</v>
      </c>
      <c r="L3286" t="str">
        <f>TEXT(LeadsData[[#This Row],[Signup Date]],"mmm-yyyy")</f>
        <v>Apr-2024</v>
      </c>
      <c r="M3286">
        <f>IF(LeadsData[[#This Row],[Stage Number]]&gt;=2,1,0)</f>
        <v>1</v>
      </c>
      <c r="N3286" s="2">
        <f>IF(LeadsData[[#This Row],[Stage Number]]&gt;=3,1,0)</f>
        <v>0</v>
      </c>
      <c r="O3286" s="2">
        <f>IF(LeadsData[[#This Row],[Stage Number]]&gt;=4,1,0)</f>
        <v>0</v>
      </c>
    </row>
    <row r="3287" spans="1:15" x14ac:dyDescent="0.25">
      <c r="A3287" t="s">
        <v>3327</v>
      </c>
      <c r="B3287" s="1">
        <v>45562</v>
      </c>
      <c r="C3287" t="s">
        <v>31</v>
      </c>
      <c r="D3287" t="s">
        <v>34</v>
      </c>
      <c r="E3287" t="s">
        <v>13</v>
      </c>
      <c r="F3287" t="s">
        <v>22</v>
      </c>
      <c r="G3287" t="s">
        <v>15</v>
      </c>
      <c r="K3287" cm="1">
        <f t="array" ref="K3287">_xlfn.SWITCH(LeadsData[[#This Row],[Funnel Stage Reached]],"Lead",1,"MQL",2,"SQL",3,"Customer",4)</f>
        <v>1</v>
      </c>
      <c r="L3287" t="str">
        <f>TEXT(LeadsData[[#This Row],[Signup Date]],"mmm-yyyy")</f>
        <v>Sep-2024</v>
      </c>
      <c r="M3287">
        <f>IF(LeadsData[[#This Row],[Stage Number]]&gt;=2,1,0)</f>
        <v>0</v>
      </c>
      <c r="N3287" s="2">
        <f>IF(LeadsData[[#This Row],[Stage Number]]&gt;=3,1,0)</f>
        <v>0</v>
      </c>
      <c r="O3287" s="2">
        <f>IF(LeadsData[[#This Row],[Stage Number]]&gt;=4,1,0)</f>
        <v>0</v>
      </c>
    </row>
    <row r="3288" spans="1:15" x14ac:dyDescent="0.25">
      <c r="A3288" t="s">
        <v>3328</v>
      </c>
      <c r="B3288" s="1">
        <v>45589</v>
      </c>
      <c r="C3288" t="s">
        <v>31</v>
      </c>
      <c r="D3288" t="s">
        <v>32</v>
      </c>
      <c r="E3288" t="s">
        <v>13</v>
      </c>
      <c r="F3288" t="s">
        <v>22</v>
      </c>
      <c r="G3288" t="s">
        <v>15</v>
      </c>
      <c r="K3288" cm="1">
        <f t="array" ref="K3288">_xlfn.SWITCH(LeadsData[[#This Row],[Funnel Stage Reached]],"Lead",1,"MQL",2,"SQL",3,"Customer",4)</f>
        <v>1</v>
      </c>
      <c r="L3288" t="str">
        <f>TEXT(LeadsData[[#This Row],[Signup Date]],"mmm-yyyy")</f>
        <v>Oct-2024</v>
      </c>
      <c r="M3288">
        <f>IF(LeadsData[[#This Row],[Stage Number]]&gt;=2,1,0)</f>
        <v>0</v>
      </c>
      <c r="N3288" s="2">
        <f>IF(LeadsData[[#This Row],[Stage Number]]&gt;=3,1,0)</f>
        <v>0</v>
      </c>
      <c r="O3288" s="2">
        <f>IF(LeadsData[[#This Row],[Stage Number]]&gt;=4,1,0)</f>
        <v>0</v>
      </c>
    </row>
    <row r="3289" spans="1:15" x14ac:dyDescent="0.25">
      <c r="A3289" t="s">
        <v>3329</v>
      </c>
      <c r="B3289" s="1">
        <v>45512</v>
      </c>
      <c r="C3289" t="s">
        <v>17</v>
      </c>
      <c r="D3289" t="s">
        <v>18</v>
      </c>
      <c r="E3289" t="s">
        <v>13</v>
      </c>
      <c r="F3289" t="s">
        <v>19</v>
      </c>
      <c r="G3289" t="s">
        <v>15</v>
      </c>
      <c r="K3289" cm="1">
        <f t="array" ref="K3289">_xlfn.SWITCH(LeadsData[[#This Row],[Funnel Stage Reached]],"Lead",1,"MQL",2,"SQL",3,"Customer",4)</f>
        <v>1</v>
      </c>
      <c r="L3289" t="str">
        <f>TEXT(LeadsData[[#This Row],[Signup Date]],"mmm-yyyy")</f>
        <v>Aug-2024</v>
      </c>
      <c r="M3289">
        <f>IF(LeadsData[[#This Row],[Stage Number]]&gt;=2,1,0)</f>
        <v>0</v>
      </c>
      <c r="N3289" s="2">
        <f>IF(LeadsData[[#This Row],[Stage Number]]&gt;=3,1,0)</f>
        <v>0</v>
      </c>
      <c r="O3289" s="2">
        <f>IF(LeadsData[[#This Row],[Stage Number]]&gt;=4,1,0)</f>
        <v>0</v>
      </c>
    </row>
    <row r="3290" spans="1:15" x14ac:dyDescent="0.25">
      <c r="A3290" t="s">
        <v>3330</v>
      </c>
      <c r="B3290" s="1">
        <v>45544</v>
      </c>
      <c r="C3290" t="s">
        <v>31</v>
      </c>
      <c r="D3290" t="s">
        <v>32</v>
      </c>
      <c r="E3290" t="s">
        <v>21</v>
      </c>
      <c r="F3290" t="s">
        <v>22</v>
      </c>
      <c r="G3290" t="s">
        <v>15</v>
      </c>
      <c r="K3290" cm="1">
        <f t="array" ref="K3290">_xlfn.SWITCH(LeadsData[[#This Row],[Funnel Stage Reached]],"Lead",1,"MQL",2,"SQL",3,"Customer",4)</f>
        <v>1</v>
      </c>
      <c r="L3290" t="str">
        <f>TEXT(LeadsData[[#This Row],[Signup Date]],"mmm-yyyy")</f>
        <v>Sep-2024</v>
      </c>
      <c r="M3290">
        <f>IF(LeadsData[[#This Row],[Stage Number]]&gt;=2,1,0)</f>
        <v>0</v>
      </c>
      <c r="N3290" s="2">
        <f>IF(LeadsData[[#This Row],[Stage Number]]&gt;=3,1,0)</f>
        <v>0</v>
      </c>
      <c r="O3290" s="2">
        <f>IF(LeadsData[[#This Row],[Stage Number]]&gt;=4,1,0)</f>
        <v>0</v>
      </c>
    </row>
    <row r="3291" spans="1:15" x14ac:dyDescent="0.25">
      <c r="A3291" t="s">
        <v>3331</v>
      </c>
      <c r="B3291" s="1">
        <v>45401</v>
      </c>
      <c r="C3291" t="s">
        <v>36</v>
      </c>
      <c r="D3291" t="s">
        <v>50</v>
      </c>
      <c r="E3291" t="s">
        <v>13</v>
      </c>
      <c r="F3291" t="s">
        <v>19</v>
      </c>
      <c r="G3291" t="s">
        <v>15</v>
      </c>
      <c r="K3291" cm="1">
        <f t="array" ref="K3291">_xlfn.SWITCH(LeadsData[[#This Row],[Funnel Stage Reached]],"Lead",1,"MQL",2,"SQL",3,"Customer",4)</f>
        <v>1</v>
      </c>
      <c r="L3291" t="str">
        <f>TEXT(LeadsData[[#This Row],[Signup Date]],"mmm-yyyy")</f>
        <v>Apr-2024</v>
      </c>
      <c r="M3291">
        <f>IF(LeadsData[[#This Row],[Stage Number]]&gt;=2,1,0)</f>
        <v>0</v>
      </c>
      <c r="N3291" s="2">
        <f>IF(LeadsData[[#This Row],[Stage Number]]&gt;=3,1,0)</f>
        <v>0</v>
      </c>
      <c r="O3291" s="2">
        <f>IF(LeadsData[[#This Row],[Stage Number]]&gt;=4,1,0)</f>
        <v>0</v>
      </c>
    </row>
    <row r="3292" spans="1:15" x14ac:dyDescent="0.25">
      <c r="A3292" t="s">
        <v>3332</v>
      </c>
      <c r="B3292" s="1">
        <v>45615</v>
      </c>
      <c r="C3292" t="s">
        <v>46</v>
      </c>
      <c r="D3292" t="s">
        <v>56</v>
      </c>
      <c r="E3292" t="s">
        <v>13</v>
      </c>
      <c r="F3292" t="s">
        <v>14</v>
      </c>
      <c r="G3292" t="s">
        <v>15</v>
      </c>
      <c r="K3292" cm="1">
        <f t="array" ref="K3292">_xlfn.SWITCH(LeadsData[[#This Row],[Funnel Stage Reached]],"Lead",1,"MQL",2,"SQL",3,"Customer",4)</f>
        <v>1</v>
      </c>
      <c r="L3292" t="str">
        <f>TEXT(LeadsData[[#This Row],[Signup Date]],"mmm-yyyy")</f>
        <v>Nov-2024</v>
      </c>
      <c r="M3292">
        <f>IF(LeadsData[[#This Row],[Stage Number]]&gt;=2,1,0)</f>
        <v>0</v>
      </c>
      <c r="N3292" s="2">
        <f>IF(LeadsData[[#This Row],[Stage Number]]&gt;=3,1,0)</f>
        <v>0</v>
      </c>
      <c r="O3292" s="2">
        <f>IF(LeadsData[[#This Row],[Stage Number]]&gt;=4,1,0)</f>
        <v>0</v>
      </c>
    </row>
    <row r="3293" spans="1:15" x14ac:dyDescent="0.25">
      <c r="A3293" t="s">
        <v>3333</v>
      </c>
      <c r="B3293" s="1">
        <v>45562</v>
      </c>
      <c r="C3293" t="s">
        <v>31</v>
      </c>
      <c r="D3293" t="s">
        <v>34</v>
      </c>
      <c r="E3293" t="s">
        <v>13</v>
      </c>
      <c r="F3293" t="s">
        <v>14</v>
      </c>
      <c r="G3293" t="s">
        <v>15</v>
      </c>
      <c r="K3293" cm="1">
        <f t="array" ref="K3293">_xlfn.SWITCH(LeadsData[[#This Row],[Funnel Stage Reached]],"Lead",1,"MQL",2,"SQL",3,"Customer",4)</f>
        <v>1</v>
      </c>
      <c r="L3293" t="str">
        <f>TEXT(LeadsData[[#This Row],[Signup Date]],"mmm-yyyy")</f>
        <v>Sep-2024</v>
      </c>
      <c r="M3293">
        <f>IF(LeadsData[[#This Row],[Stage Number]]&gt;=2,1,0)</f>
        <v>0</v>
      </c>
      <c r="N3293" s="2">
        <f>IF(LeadsData[[#This Row],[Stage Number]]&gt;=3,1,0)</f>
        <v>0</v>
      </c>
      <c r="O3293" s="2">
        <f>IF(LeadsData[[#This Row],[Stage Number]]&gt;=4,1,0)</f>
        <v>0</v>
      </c>
    </row>
    <row r="3294" spans="1:15" x14ac:dyDescent="0.25">
      <c r="A3294" t="s">
        <v>3334</v>
      </c>
      <c r="B3294" s="1">
        <v>45570</v>
      </c>
      <c r="C3294" t="s">
        <v>17</v>
      </c>
      <c r="D3294" t="s">
        <v>18</v>
      </c>
      <c r="E3294" t="s">
        <v>13</v>
      </c>
      <c r="F3294" t="s">
        <v>22</v>
      </c>
      <c r="G3294" t="s">
        <v>15</v>
      </c>
      <c r="K3294" cm="1">
        <f t="array" ref="K3294">_xlfn.SWITCH(LeadsData[[#This Row],[Funnel Stage Reached]],"Lead",1,"MQL",2,"SQL",3,"Customer",4)</f>
        <v>1</v>
      </c>
      <c r="L3294" t="str">
        <f>TEXT(LeadsData[[#This Row],[Signup Date]],"mmm-yyyy")</f>
        <v>Oct-2024</v>
      </c>
      <c r="M3294">
        <f>IF(LeadsData[[#This Row],[Stage Number]]&gt;=2,1,0)</f>
        <v>0</v>
      </c>
      <c r="N3294" s="2">
        <f>IF(LeadsData[[#This Row],[Stage Number]]&gt;=3,1,0)</f>
        <v>0</v>
      </c>
      <c r="O3294" s="2">
        <f>IF(LeadsData[[#This Row],[Stage Number]]&gt;=4,1,0)</f>
        <v>0</v>
      </c>
    </row>
    <row r="3295" spans="1:15" x14ac:dyDescent="0.25">
      <c r="A3295" t="s">
        <v>3335</v>
      </c>
      <c r="B3295" s="1">
        <v>45387</v>
      </c>
      <c r="C3295" t="s">
        <v>17</v>
      </c>
      <c r="D3295" t="s">
        <v>53</v>
      </c>
      <c r="E3295" t="s">
        <v>21</v>
      </c>
      <c r="F3295" t="s">
        <v>19</v>
      </c>
      <c r="G3295" t="s">
        <v>15</v>
      </c>
      <c r="K3295" cm="1">
        <f t="array" ref="K3295">_xlfn.SWITCH(LeadsData[[#This Row],[Funnel Stage Reached]],"Lead",1,"MQL",2,"SQL",3,"Customer",4)</f>
        <v>1</v>
      </c>
      <c r="L3295" t="str">
        <f>TEXT(LeadsData[[#This Row],[Signup Date]],"mmm-yyyy")</f>
        <v>Apr-2024</v>
      </c>
      <c r="M3295">
        <f>IF(LeadsData[[#This Row],[Stage Number]]&gt;=2,1,0)</f>
        <v>0</v>
      </c>
      <c r="N3295" s="2">
        <f>IF(LeadsData[[#This Row],[Stage Number]]&gt;=3,1,0)</f>
        <v>0</v>
      </c>
      <c r="O3295" s="2">
        <f>IF(LeadsData[[#This Row],[Stage Number]]&gt;=4,1,0)</f>
        <v>0</v>
      </c>
    </row>
    <row r="3296" spans="1:15" x14ac:dyDescent="0.25">
      <c r="A3296" t="s">
        <v>3336</v>
      </c>
      <c r="B3296" s="1">
        <v>45578</v>
      </c>
      <c r="C3296" t="s">
        <v>46</v>
      </c>
      <c r="D3296" t="s">
        <v>47</v>
      </c>
      <c r="E3296" t="s">
        <v>13</v>
      </c>
      <c r="F3296" t="s">
        <v>19</v>
      </c>
      <c r="G3296" t="s">
        <v>15</v>
      </c>
      <c r="K3296" cm="1">
        <f t="array" ref="K3296">_xlfn.SWITCH(LeadsData[[#This Row],[Funnel Stage Reached]],"Lead",1,"MQL",2,"SQL",3,"Customer",4)</f>
        <v>1</v>
      </c>
      <c r="L3296" t="str">
        <f>TEXT(LeadsData[[#This Row],[Signup Date]],"mmm-yyyy")</f>
        <v>Oct-2024</v>
      </c>
      <c r="M3296">
        <f>IF(LeadsData[[#This Row],[Stage Number]]&gt;=2,1,0)</f>
        <v>0</v>
      </c>
      <c r="N3296" s="2">
        <f>IF(LeadsData[[#This Row],[Stage Number]]&gt;=3,1,0)</f>
        <v>0</v>
      </c>
      <c r="O3296" s="2">
        <f>IF(LeadsData[[#This Row],[Stage Number]]&gt;=4,1,0)</f>
        <v>0</v>
      </c>
    </row>
    <row r="3297" spans="1:15" x14ac:dyDescent="0.25">
      <c r="A3297" t="s">
        <v>3337</v>
      </c>
      <c r="B3297" s="1">
        <v>45373</v>
      </c>
      <c r="C3297" t="s">
        <v>31</v>
      </c>
      <c r="D3297" t="s">
        <v>34</v>
      </c>
      <c r="E3297" t="s">
        <v>13</v>
      </c>
      <c r="F3297" t="s">
        <v>19</v>
      </c>
      <c r="G3297" t="s">
        <v>23</v>
      </c>
      <c r="K3297" cm="1">
        <f t="array" ref="K3297">_xlfn.SWITCH(LeadsData[[#This Row],[Funnel Stage Reached]],"Lead",1,"MQL",2,"SQL",3,"Customer",4)</f>
        <v>2</v>
      </c>
      <c r="L3297" t="str">
        <f>TEXT(LeadsData[[#This Row],[Signup Date]],"mmm-yyyy")</f>
        <v>Mar-2024</v>
      </c>
      <c r="M3297">
        <f>IF(LeadsData[[#This Row],[Stage Number]]&gt;=2,1,0)</f>
        <v>1</v>
      </c>
      <c r="N3297" s="2">
        <f>IF(LeadsData[[#This Row],[Stage Number]]&gt;=3,1,0)</f>
        <v>0</v>
      </c>
      <c r="O3297" s="2">
        <f>IF(LeadsData[[#This Row],[Stage Number]]&gt;=4,1,0)</f>
        <v>0</v>
      </c>
    </row>
    <row r="3298" spans="1:15" x14ac:dyDescent="0.25">
      <c r="A3298" t="s">
        <v>3338</v>
      </c>
      <c r="B3298" s="1">
        <v>45522</v>
      </c>
      <c r="C3298" t="s">
        <v>11</v>
      </c>
      <c r="D3298" t="s">
        <v>79</v>
      </c>
      <c r="E3298" t="s">
        <v>48</v>
      </c>
      <c r="F3298" t="s">
        <v>19</v>
      </c>
      <c r="G3298" t="s">
        <v>15</v>
      </c>
      <c r="K3298" cm="1">
        <f t="array" ref="K3298">_xlfn.SWITCH(LeadsData[[#This Row],[Funnel Stage Reached]],"Lead",1,"MQL",2,"SQL",3,"Customer",4)</f>
        <v>1</v>
      </c>
      <c r="L3298" t="str">
        <f>TEXT(LeadsData[[#This Row],[Signup Date]],"mmm-yyyy")</f>
        <v>Aug-2024</v>
      </c>
      <c r="M3298">
        <f>IF(LeadsData[[#This Row],[Stage Number]]&gt;=2,1,0)</f>
        <v>0</v>
      </c>
      <c r="N3298" s="2">
        <f>IF(LeadsData[[#This Row],[Stage Number]]&gt;=3,1,0)</f>
        <v>0</v>
      </c>
      <c r="O3298" s="2">
        <f>IF(LeadsData[[#This Row],[Stage Number]]&gt;=4,1,0)</f>
        <v>0</v>
      </c>
    </row>
    <row r="3299" spans="1:15" x14ac:dyDescent="0.25">
      <c r="A3299" t="s">
        <v>3339</v>
      </c>
      <c r="B3299" s="1">
        <v>45499</v>
      </c>
      <c r="C3299" t="s">
        <v>46</v>
      </c>
      <c r="D3299" t="s">
        <v>47</v>
      </c>
      <c r="E3299" t="s">
        <v>13</v>
      </c>
      <c r="F3299" t="s">
        <v>22</v>
      </c>
      <c r="G3299" t="s">
        <v>15</v>
      </c>
      <c r="K3299" cm="1">
        <f t="array" ref="K3299">_xlfn.SWITCH(LeadsData[[#This Row],[Funnel Stage Reached]],"Lead",1,"MQL",2,"SQL",3,"Customer",4)</f>
        <v>1</v>
      </c>
      <c r="L3299" t="str">
        <f>TEXT(LeadsData[[#This Row],[Signup Date]],"mmm-yyyy")</f>
        <v>Jul-2024</v>
      </c>
      <c r="M3299">
        <f>IF(LeadsData[[#This Row],[Stage Number]]&gt;=2,1,0)</f>
        <v>0</v>
      </c>
      <c r="N3299" s="2">
        <f>IF(LeadsData[[#This Row],[Stage Number]]&gt;=3,1,0)</f>
        <v>0</v>
      </c>
      <c r="O3299" s="2">
        <f>IF(LeadsData[[#This Row],[Stage Number]]&gt;=4,1,0)</f>
        <v>0</v>
      </c>
    </row>
    <row r="3300" spans="1:15" x14ac:dyDescent="0.25">
      <c r="A3300" t="s">
        <v>3340</v>
      </c>
      <c r="B3300" s="1">
        <v>45539</v>
      </c>
      <c r="C3300" t="s">
        <v>17</v>
      </c>
      <c r="D3300" t="s">
        <v>53</v>
      </c>
      <c r="E3300" t="s">
        <v>13</v>
      </c>
      <c r="F3300" t="s">
        <v>19</v>
      </c>
      <c r="G3300" t="s">
        <v>15</v>
      </c>
      <c r="K3300" cm="1">
        <f t="array" ref="K3300">_xlfn.SWITCH(LeadsData[[#This Row],[Funnel Stage Reached]],"Lead",1,"MQL",2,"SQL",3,"Customer",4)</f>
        <v>1</v>
      </c>
      <c r="L3300" t="str">
        <f>TEXT(LeadsData[[#This Row],[Signup Date]],"mmm-yyyy")</f>
        <v>Sep-2024</v>
      </c>
      <c r="M3300">
        <f>IF(LeadsData[[#This Row],[Stage Number]]&gt;=2,1,0)</f>
        <v>0</v>
      </c>
      <c r="N3300" s="2">
        <f>IF(LeadsData[[#This Row],[Stage Number]]&gt;=3,1,0)</f>
        <v>0</v>
      </c>
      <c r="O3300" s="2">
        <f>IF(LeadsData[[#This Row],[Stage Number]]&gt;=4,1,0)</f>
        <v>0</v>
      </c>
    </row>
    <row r="3301" spans="1:15" x14ac:dyDescent="0.25">
      <c r="A3301" t="s">
        <v>3341</v>
      </c>
      <c r="B3301" s="1">
        <v>45650</v>
      </c>
      <c r="C3301" t="s">
        <v>36</v>
      </c>
      <c r="D3301" t="s">
        <v>50</v>
      </c>
      <c r="E3301" t="s">
        <v>13</v>
      </c>
      <c r="F3301" t="s">
        <v>28</v>
      </c>
      <c r="G3301" t="s">
        <v>15</v>
      </c>
      <c r="K3301" cm="1">
        <f t="array" ref="K3301">_xlfn.SWITCH(LeadsData[[#This Row],[Funnel Stage Reached]],"Lead",1,"MQL",2,"SQL",3,"Customer",4)</f>
        <v>1</v>
      </c>
      <c r="L3301" t="str">
        <f>TEXT(LeadsData[[#This Row],[Signup Date]],"mmm-yyyy")</f>
        <v>Dec-2024</v>
      </c>
      <c r="M3301">
        <f>IF(LeadsData[[#This Row],[Stage Number]]&gt;=2,1,0)</f>
        <v>0</v>
      </c>
      <c r="N3301" s="2">
        <f>IF(LeadsData[[#This Row],[Stage Number]]&gt;=3,1,0)</f>
        <v>0</v>
      </c>
      <c r="O3301" s="2">
        <f>IF(LeadsData[[#This Row],[Stage Number]]&gt;=4,1,0)</f>
        <v>0</v>
      </c>
    </row>
    <row r="3302" spans="1:15" x14ac:dyDescent="0.25">
      <c r="A3302" t="s">
        <v>3342</v>
      </c>
      <c r="B3302" s="1">
        <v>45632</v>
      </c>
      <c r="C3302" t="s">
        <v>31</v>
      </c>
      <c r="D3302" t="s">
        <v>32</v>
      </c>
      <c r="E3302" t="s">
        <v>21</v>
      </c>
      <c r="F3302" t="s">
        <v>19</v>
      </c>
      <c r="G3302" t="s">
        <v>23</v>
      </c>
      <c r="K3302" cm="1">
        <f t="array" ref="K3302">_xlfn.SWITCH(LeadsData[[#This Row],[Funnel Stage Reached]],"Lead",1,"MQL",2,"SQL",3,"Customer",4)</f>
        <v>2</v>
      </c>
      <c r="L3302" t="str">
        <f>TEXT(LeadsData[[#This Row],[Signup Date]],"mmm-yyyy")</f>
        <v>Dec-2024</v>
      </c>
      <c r="M3302">
        <f>IF(LeadsData[[#This Row],[Stage Number]]&gt;=2,1,0)</f>
        <v>1</v>
      </c>
      <c r="N3302" s="2">
        <f>IF(LeadsData[[#This Row],[Stage Number]]&gt;=3,1,0)</f>
        <v>0</v>
      </c>
      <c r="O3302" s="2">
        <f>IF(LeadsData[[#This Row],[Stage Number]]&gt;=4,1,0)</f>
        <v>0</v>
      </c>
    </row>
    <row r="3303" spans="1:15" x14ac:dyDescent="0.25">
      <c r="A3303" t="s">
        <v>3343</v>
      </c>
      <c r="B3303" s="1">
        <v>45593</v>
      </c>
      <c r="C3303" t="s">
        <v>36</v>
      </c>
      <c r="D3303" t="s">
        <v>37</v>
      </c>
      <c r="E3303" t="s">
        <v>13</v>
      </c>
      <c r="F3303" t="s">
        <v>22</v>
      </c>
      <c r="G3303" t="s">
        <v>42</v>
      </c>
      <c r="H3303">
        <v>74</v>
      </c>
      <c r="I3303" t="s">
        <v>43</v>
      </c>
      <c r="J3303">
        <v>1084.01</v>
      </c>
      <c r="K3303" cm="1">
        <f t="array" ref="K3303">_xlfn.SWITCH(LeadsData[[#This Row],[Funnel Stage Reached]],"Lead",1,"MQL",2,"SQL",3,"Customer",4)</f>
        <v>4</v>
      </c>
      <c r="L3303" t="str">
        <f>TEXT(LeadsData[[#This Row],[Signup Date]],"mmm-yyyy")</f>
        <v>Oct-2024</v>
      </c>
      <c r="M3303">
        <f>IF(LeadsData[[#This Row],[Stage Number]]&gt;=2,1,0)</f>
        <v>1</v>
      </c>
      <c r="N3303" s="2">
        <f>IF(LeadsData[[#This Row],[Stage Number]]&gt;=3,1,0)</f>
        <v>1</v>
      </c>
      <c r="O3303" s="2">
        <f>IF(LeadsData[[#This Row],[Stage Number]]&gt;=4,1,0)</f>
        <v>1</v>
      </c>
    </row>
    <row r="3304" spans="1:15" x14ac:dyDescent="0.25">
      <c r="A3304" t="s">
        <v>3344</v>
      </c>
      <c r="B3304" s="1">
        <v>45580</v>
      </c>
      <c r="C3304" t="s">
        <v>31</v>
      </c>
      <c r="D3304" t="s">
        <v>34</v>
      </c>
      <c r="E3304" t="s">
        <v>13</v>
      </c>
      <c r="F3304" t="s">
        <v>19</v>
      </c>
      <c r="G3304" t="s">
        <v>15</v>
      </c>
      <c r="K3304" cm="1">
        <f t="array" ref="K3304">_xlfn.SWITCH(LeadsData[[#This Row],[Funnel Stage Reached]],"Lead",1,"MQL",2,"SQL",3,"Customer",4)</f>
        <v>1</v>
      </c>
      <c r="L3304" t="str">
        <f>TEXT(LeadsData[[#This Row],[Signup Date]],"mmm-yyyy")</f>
        <v>Oct-2024</v>
      </c>
      <c r="M3304">
        <f>IF(LeadsData[[#This Row],[Stage Number]]&gt;=2,1,0)</f>
        <v>0</v>
      </c>
      <c r="N3304" s="2">
        <f>IF(LeadsData[[#This Row],[Stage Number]]&gt;=3,1,0)</f>
        <v>0</v>
      </c>
      <c r="O3304" s="2">
        <f>IF(LeadsData[[#This Row],[Stage Number]]&gt;=4,1,0)</f>
        <v>0</v>
      </c>
    </row>
    <row r="3305" spans="1:15" x14ac:dyDescent="0.25">
      <c r="A3305" t="s">
        <v>3345</v>
      </c>
      <c r="B3305" s="1">
        <v>45350</v>
      </c>
      <c r="C3305" t="s">
        <v>11</v>
      </c>
      <c r="D3305" t="s">
        <v>12</v>
      </c>
      <c r="E3305" t="s">
        <v>21</v>
      </c>
      <c r="F3305" t="s">
        <v>22</v>
      </c>
      <c r="G3305" t="s">
        <v>29</v>
      </c>
      <c r="K3305" cm="1">
        <f t="array" ref="K3305">_xlfn.SWITCH(LeadsData[[#This Row],[Funnel Stage Reached]],"Lead",1,"MQL",2,"SQL",3,"Customer",4)</f>
        <v>3</v>
      </c>
      <c r="L3305" t="str">
        <f>TEXT(LeadsData[[#This Row],[Signup Date]],"mmm-yyyy")</f>
        <v>Feb-2024</v>
      </c>
      <c r="M3305">
        <f>IF(LeadsData[[#This Row],[Stage Number]]&gt;=2,1,0)</f>
        <v>1</v>
      </c>
      <c r="N3305" s="2">
        <f>IF(LeadsData[[#This Row],[Stage Number]]&gt;=3,1,0)</f>
        <v>1</v>
      </c>
      <c r="O3305" s="2">
        <f>IF(LeadsData[[#This Row],[Stage Number]]&gt;=4,1,0)</f>
        <v>0</v>
      </c>
    </row>
    <row r="3306" spans="1:15" x14ac:dyDescent="0.25">
      <c r="A3306" t="s">
        <v>3346</v>
      </c>
      <c r="B3306" s="1">
        <v>45413</v>
      </c>
      <c r="C3306" t="s">
        <v>17</v>
      </c>
      <c r="D3306" t="s">
        <v>18</v>
      </c>
      <c r="E3306" t="s">
        <v>13</v>
      </c>
      <c r="F3306" t="s">
        <v>22</v>
      </c>
      <c r="G3306" t="s">
        <v>15</v>
      </c>
      <c r="K3306" cm="1">
        <f t="array" ref="K3306">_xlfn.SWITCH(LeadsData[[#This Row],[Funnel Stage Reached]],"Lead",1,"MQL",2,"SQL",3,"Customer",4)</f>
        <v>1</v>
      </c>
      <c r="L3306" t="str">
        <f>TEXT(LeadsData[[#This Row],[Signup Date]],"mmm-yyyy")</f>
        <v>May-2024</v>
      </c>
      <c r="M3306">
        <f>IF(LeadsData[[#This Row],[Stage Number]]&gt;=2,1,0)</f>
        <v>0</v>
      </c>
      <c r="N3306" s="2">
        <f>IF(LeadsData[[#This Row],[Stage Number]]&gt;=3,1,0)</f>
        <v>0</v>
      </c>
      <c r="O3306" s="2">
        <f>IF(LeadsData[[#This Row],[Stage Number]]&gt;=4,1,0)</f>
        <v>0</v>
      </c>
    </row>
    <row r="3307" spans="1:15" x14ac:dyDescent="0.25">
      <c r="A3307" t="s">
        <v>3347</v>
      </c>
      <c r="B3307" s="1">
        <v>45575</v>
      </c>
      <c r="C3307" t="s">
        <v>36</v>
      </c>
      <c r="D3307" t="s">
        <v>50</v>
      </c>
      <c r="E3307" t="s">
        <v>21</v>
      </c>
      <c r="F3307" t="s">
        <v>14</v>
      </c>
      <c r="G3307" t="s">
        <v>15</v>
      </c>
      <c r="K3307" cm="1">
        <f t="array" ref="K3307">_xlfn.SWITCH(LeadsData[[#This Row],[Funnel Stage Reached]],"Lead",1,"MQL",2,"SQL",3,"Customer",4)</f>
        <v>1</v>
      </c>
      <c r="L3307" t="str">
        <f>TEXT(LeadsData[[#This Row],[Signup Date]],"mmm-yyyy")</f>
        <v>Oct-2024</v>
      </c>
      <c r="M3307">
        <f>IF(LeadsData[[#This Row],[Stage Number]]&gt;=2,1,0)</f>
        <v>0</v>
      </c>
      <c r="N3307" s="2">
        <f>IF(LeadsData[[#This Row],[Stage Number]]&gt;=3,1,0)</f>
        <v>0</v>
      </c>
      <c r="O3307" s="2">
        <f>IF(LeadsData[[#This Row],[Stage Number]]&gt;=4,1,0)</f>
        <v>0</v>
      </c>
    </row>
    <row r="3308" spans="1:15" x14ac:dyDescent="0.25">
      <c r="A3308" t="s">
        <v>3348</v>
      </c>
      <c r="B3308" s="1">
        <v>45606</v>
      </c>
      <c r="C3308" t="s">
        <v>31</v>
      </c>
      <c r="D3308" t="s">
        <v>34</v>
      </c>
      <c r="E3308" t="s">
        <v>13</v>
      </c>
      <c r="F3308" t="s">
        <v>22</v>
      </c>
      <c r="G3308" t="s">
        <v>15</v>
      </c>
      <c r="K3308" cm="1">
        <f t="array" ref="K3308">_xlfn.SWITCH(LeadsData[[#This Row],[Funnel Stage Reached]],"Lead",1,"MQL",2,"SQL",3,"Customer",4)</f>
        <v>1</v>
      </c>
      <c r="L3308" t="str">
        <f>TEXT(LeadsData[[#This Row],[Signup Date]],"mmm-yyyy")</f>
        <v>Nov-2024</v>
      </c>
      <c r="M3308">
        <f>IF(LeadsData[[#This Row],[Stage Number]]&gt;=2,1,0)</f>
        <v>0</v>
      </c>
      <c r="N3308" s="2">
        <f>IF(LeadsData[[#This Row],[Stage Number]]&gt;=3,1,0)</f>
        <v>0</v>
      </c>
      <c r="O3308" s="2">
        <f>IF(LeadsData[[#This Row],[Stage Number]]&gt;=4,1,0)</f>
        <v>0</v>
      </c>
    </row>
    <row r="3309" spans="1:15" x14ac:dyDescent="0.25">
      <c r="A3309" t="s">
        <v>3349</v>
      </c>
      <c r="B3309" s="1">
        <v>45355</v>
      </c>
      <c r="C3309" t="s">
        <v>46</v>
      </c>
      <c r="D3309" t="s">
        <v>56</v>
      </c>
      <c r="E3309" t="s">
        <v>21</v>
      </c>
      <c r="F3309" t="s">
        <v>22</v>
      </c>
      <c r="G3309" t="s">
        <v>29</v>
      </c>
      <c r="K3309" cm="1">
        <f t="array" ref="K3309">_xlfn.SWITCH(LeadsData[[#This Row],[Funnel Stage Reached]],"Lead",1,"MQL",2,"SQL",3,"Customer",4)</f>
        <v>3</v>
      </c>
      <c r="L3309" t="str">
        <f>TEXT(LeadsData[[#This Row],[Signup Date]],"mmm-yyyy")</f>
        <v>Mar-2024</v>
      </c>
      <c r="M3309">
        <f>IF(LeadsData[[#This Row],[Stage Number]]&gt;=2,1,0)</f>
        <v>1</v>
      </c>
      <c r="N3309" s="2">
        <f>IF(LeadsData[[#This Row],[Stage Number]]&gt;=3,1,0)</f>
        <v>1</v>
      </c>
      <c r="O3309" s="2">
        <f>IF(LeadsData[[#This Row],[Stage Number]]&gt;=4,1,0)</f>
        <v>0</v>
      </c>
    </row>
    <row r="3310" spans="1:15" x14ac:dyDescent="0.25">
      <c r="A3310" t="s">
        <v>3350</v>
      </c>
      <c r="B3310" s="1">
        <v>45330</v>
      </c>
      <c r="C3310" t="s">
        <v>46</v>
      </c>
      <c r="D3310" t="s">
        <v>47</v>
      </c>
      <c r="E3310" t="s">
        <v>21</v>
      </c>
      <c r="F3310" t="s">
        <v>14</v>
      </c>
      <c r="G3310" t="s">
        <v>23</v>
      </c>
      <c r="K3310" cm="1">
        <f t="array" ref="K3310">_xlfn.SWITCH(LeadsData[[#This Row],[Funnel Stage Reached]],"Lead",1,"MQL",2,"SQL",3,"Customer",4)</f>
        <v>2</v>
      </c>
      <c r="L3310" t="str">
        <f>TEXT(LeadsData[[#This Row],[Signup Date]],"mmm-yyyy")</f>
        <v>Feb-2024</v>
      </c>
      <c r="M3310">
        <f>IF(LeadsData[[#This Row],[Stage Number]]&gt;=2,1,0)</f>
        <v>1</v>
      </c>
      <c r="N3310" s="2">
        <f>IF(LeadsData[[#This Row],[Stage Number]]&gt;=3,1,0)</f>
        <v>0</v>
      </c>
      <c r="O3310" s="2">
        <f>IF(LeadsData[[#This Row],[Stage Number]]&gt;=4,1,0)</f>
        <v>0</v>
      </c>
    </row>
    <row r="3311" spans="1:15" x14ac:dyDescent="0.25">
      <c r="A3311" t="s">
        <v>3351</v>
      </c>
      <c r="B3311" s="1">
        <v>45547</v>
      </c>
      <c r="C3311" t="s">
        <v>36</v>
      </c>
      <c r="D3311" t="s">
        <v>50</v>
      </c>
      <c r="E3311" t="s">
        <v>21</v>
      </c>
      <c r="F3311" t="s">
        <v>22</v>
      </c>
      <c r="G3311" t="s">
        <v>23</v>
      </c>
      <c r="K3311" cm="1">
        <f t="array" ref="K3311">_xlfn.SWITCH(LeadsData[[#This Row],[Funnel Stage Reached]],"Lead",1,"MQL",2,"SQL",3,"Customer",4)</f>
        <v>2</v>
      </c>
      <c r="L3311" t="str">
        <f>TEXT(LeadsData[[#This Row],[Signup Date]],"mmm-yyyy")</f>
        <v>Sep-2024</v>
      </c>
      <c r="M3311">
        <f>IF(LeadsData[[#This Row],[Stage Number]]&gt;=2,1,0)</f>
        <v>1</v>
      </c>
      <c r="N3311" s="2">
        <f>IF(LeadsData[[#This Row],[Stage Number]]&gt;=3,1,0)</f>
        <v>0</v>
      </c>
      <c r="O3311" s="2">
        <f>IF(LeadsData[[#This Row],[Stage Number]]&gt;=4,1,0)</f>
        <v>0</v>
      </c>
    </row>
    <row r="3312" spans="1:15" x14ac:dyDescent="0.25">
      <c r="A3312" t="s">
        <v>3352</v>
      </c>
      <c r="B3312" s="1">
        <v>45603</v>
      </c>
      <c r="C3312" t="s">
        <v>46</v>
      </c>
      <c r="D3312" t="s">
        <v>56</v>
      </c>
      <c r="E3312" t="s">
        <v>13</v>
      </c>
      <c r="F3312" t="s">
        <v>22</v>
      </c>
      <c r="G3312" t="s">
        <v>15</v>
      </c>
      <c r="K3312" cm="1">
        <f t="array" ref="K3312">_xlfn.SWITCH(LeadsData[[#This Row],[Funnel Stage Reached]],"Lead",1,"MQL",2,"SQL",3,"Customer",4)</f>
        <v>1</v>
      </c>
      <c r="L3312" t="str">
        <f>TEXT(LeadsData[[#This Row],[Signup Date]],"mmm-yyyy")</f>
        <v>Nov-2024</v>
      </c>
      <c r="M3312">
        <f>IF(LeadsData[[#This Row],[Stage Number]]&gt;=2,1,0)</f>
        <v>0</v>
      </c>
      <c r="N3312" s="2">
        <f>IF(LeadsData[[#This Row],[Stage Number]]&gt;=3,1,0)</f>
        <v>0</v>
      </c>
      <c r="O3312" s="2">
        <f>IF(LeadsData[[#This Row],[Stage Number]]&gt;=4,1,0)</f>
        <v>0</v>
      </c>
    </row>
    <row r="3313" spans="1:15" x14ac:dyDescent="0.25">
      <c r="A3313" t="s">
        <v>3353</v>
      </c>
      <c r="B3313" s="1">
        <v>45375</v>
      </c>
      <c r="C3313" t="s">
        <v>31</v>
      </c>
      <c r="D3313" t="s">
        <v>34</v>
      </c>
      <c r="E3313" t="s">
        <v>13</v>
      </c>
      <c r="F3313" t="s">
        <v>22</v>
      </c>
      <c r="G3313" t="s">
        <v>23</v>
      </c>
      <c r="K3313" cm="1">
        <f t="array" ref="K3313">_xlfn.SWITCH(LeadsData[[#This Row],[Funnel Stage Reached]],"Lead",1,"MQL",2,"SQL",3,"Customer",4)</f>
        <v>2</v>
      </c>
      <c r="L3313" t="str">
        <f>TEXT(LeadsData[[#This Row],[Signup Date]],"mmm-yyyy")</f>
        <v>Mar-2024</v>
      </c>
      <c r="M3313">
        <f>IF(LeadsData[[#This Row],[Stage Number]]&gt;=2,1,0)</f>
        <v>1</v>
      </c>
      <c r="N3313" s="2">
        <f>IF(LeadsData[[#This Row],[Stage Number]]&gt;=3,1,0)</f>
        <v>0</v>
      </c>
      <c r="O3313" s="2">
        <f>IF(LeadsData[[#This Row],[Stage Number]]&gt;=4,1,0)</f>
        <v>0</v>
      </c>
    </row>
    <row r="3314" spans="1:15" x14ac:dyDescent="0.25">
      <c r="A3314" t="s">
        <v>3354</v>
      </c>
      <c r="B3314" s="1">
        <v>45598</v>
      </c>
      <c r="C3314" t="s">
        <v>46</v>
      </c>
      <c r="D3314" t="s">
        <v>47</v>
      </c>
      <c r="E3314" t="s">
        <v>13</v>
      </c>
      <c r="F3314" t="s">
        <v>19</v>
      </c>
      <c r="G3314" t="s">
        <v>15</v>
      </c>
      <c r="K3314" cm="1">
        <f t="array" ref="K3314">_xlfn.SWITCH(LeadsData[[#This Row],[Funnel Stage Reached]],"Lead",1,"MQL",2,"SQL",3,"Customer",4)</f>
        <v>1</v>
      </c>
      <c r="L3314" t="str">
        <f>TEXT(LeadsData[[#This Row],[Signup Date]],"mmm-yyyy")</f>
        <v>Nov-2024</v>
      </c>
      <c r="M3314">
        <f>IF(LeadsData[[#This Row],[Stage Number]]&gt;=2,1,0)</f>
        <v>0</v>
      </c>
      <c r="N3314" s="2">
        <f>IF(LeadsData[[#This Row],[Stage Number]]&gt;=3,1,0)</f>
        <v>0</v>
      </c>
      <c r="O3314" s="2">
        <f>IF(LeadsData[[#This Row],[Stage Number]]&gt;=4,1,0)</f>
        <v>0</v>
      </c>
    </row>
    <row r="3315" spans="1:15" x14ac:dyDescent="0.25">
      <c r="A3315" t="s">
        <v>3355</v>
      </c>
      <c r="B3315" s="1">
        <v>45524</v>
      </c>
      <c r="C3315" t="s">
        <v>36</v>
      </c>
      <c r="D3315" t="s">
        <v>50</v>
      </c>
      <c r="E3315" t="s">
        <v>13</v>
      </c>
      <c r="F3315" t="s">
        <v>19</v>
      </c>
      <c r="G3315" t="s">
        <v>42</v>
      </c>
      <c r="H3315">
        <v>37</v>
      </c>
      <c r="I3315" t="s">
        <v>87</v>
      </c>
      <c r="J3315">
        <v>2001.07</v>
      </c>
      <c r="K3315" cm="1">
        <f t="array" ref="K3315">_xlfn.SWITCH(LeadsData[[#This Row],[Funnel Stage Reached]],"Lead",1,"MQL",2,"SQL",3,"Customer",4)</f>
        <v>4</v>
      </c>
      <c r="L3315" t="str">
        <f>TEXT(LeadsData[[#This Row],[Signup Date]],"mmm-yyyy")</f>
        <v>Aug-2024</v>
      </c>
      <c r="M3315">
        <f>IF(LeadsData[[#This Row],[Stage Number]]&gt;=2,1,0)</f>
        <v>1</v>
      </c>
      <c r="N3315" s="2">
        <f>IF(LeadsData[[#This Row],[Stage Number]]&gt;=3,1,0)</f>
        <v>1</v>
      </c>
      <c r="O3315" s="2">
        <f>IF(LeadsData[[#This Row],[Stage Number]]&gt;=4,1,0)</f>
        <v>1</v>
      </c>
    </row>
    <row r="3316" spans="1:15" x14ac:dyDescent="0.25">
      <c r="A3316" t="s">
        <v>3356</v>
      </c>
      <c r="B3316" s="1">
        <v>45404</v>
      </c>
      <c r="C3316" t="s">
        <v>46</v>
      </c>
      <c r="D3316" t="s">
        <v>47</v>
      </c>
      <c r="E3316" t="s">
        <v>13</v>
      </c>
      <c r="F3316" t="s">
        <v>22</v>
      </c>
      <c r="G3316" t="s">
        <v>15</v>
      </c>
      <c r="K3316" cm="1">
        <f t="array" ref="K3316">_xlfn.SWITCH(LeadsData[[#This Row],[Funnel Stage Reached]],"Lead",1,"MQL",2,"SQL",3,"Customer",4)</f>
        <v>1</v>
      </c>
      <c r="L3316" t="str">
        <f>TEXT(LeadsData[[#This Row],[Signup Date]],"mmm-yyyy")</f>
        <v>Apr-2024</v>
      </c>
      <c r="M3316">
        <f>IF(LeadsData[[#This Row],[Stage Number]]&gt;=2,1,0)</f>
        <v>0</v>
      </c>
      <c r="N3316" s="2">
        <f>IF(LeadsData[[#This Row],[Stage Number]]&gt;=3,1,0)</f>
        <v>0</v>
      </c>
      <c r="O3316" s="2">
        <f>IF(LeadsData[[#This Row],[Stage Number]]&gt;=4,1,0)</f>
        <v>0</v>
      </c>
    </row>
    <row r="3317" spans="1:15" x14ac:dyDescent="0.25">
      <c r="A3317" t="s">
        <v>3357</v>
      </c>
      <c r="B3317" s="1">
        <v>45486</v>
      </c>
      <c r="C3317" t="s">
        <v>36</v>
      </c>
      <c r="D3317" t="s">
        <v>37</v>
      </c>
      <c r="E3317" t="s">
        <v>13</v>
      </c>
      <c r="F3317" t="s">
        <v>14</v>
      </c>
      <c r="G3317" t="s">
        <v>23</v>
      </c>
      <c r="K3317" cm="1">
        <f t="array" ref="K3317">_xlfn.SWITCH(LeadsData[[#This Row],[Funnel Stage Reached]],"Lead",1,"MQL",2,"SQL",3,"Customer",4)</f>
        <v>2</v>
      </c>
      <c r="L3317" t="str">
        <f>TEXT(LeadsData[[#This Row],[Signup Date]],"mmm-yyyy")</f>
        <v>Jul-2024</v>
      </c>
      <c r="M3317">
        <f>IF(LeadsData[[#This Row],[Stage Number]]&gt;=2,1,0)</f>
        <v>1</v>
      </c>
      <c r="N3317" s="2">
        <f>IF(LeadsData[[#This Row],[Stage Number]]&gt;=3,1,0)</f>
        <v>0</v>
      </c>
      <c r="O3317" s="2">
        <f>IF(LeadsData[[#This Row],[Stage Number]]&gt;=4,1,0)</f>
        <v>0</v>
      </c>
    </row>
    <row r="3318" spans="1:15" x14ac:dyDescent="0.25">
      <c r="A3318" t="s">
        <v>3358</v>
      </c>
      <c r="B3318" s="1">
        <v>45580</v>
      </c>
      <c r="C3318" t="s">
        <v>25</v>
      </c>
      <c r="D3318" t="s">
        <v>26</v>
      </c>
      <c r="E3318" t="s">
        <v>13</v>
      </c>
      <c r="F3318" t="s">
        <v>19</v>
      </c>
      <c r="G3318" t="s">
        <v>15</v>
      </c>
      <c r="K3318" cm="1">
        <f t="array" ref="K3318">_xlfn.SWITCH(LeadsData[[#This Row],[Funnel Stage Reached]],"Lead",1,"MQL",2,"SQL",3,"Customer",4)</f>
        <v>1</v>
      </c>
      <c r="L3318" t="str">
        <f>TEXT(LeadsData[[#This Row],[Signup Date]],"mmm-yyyy")</f>
        <v>Oct-2024</v>
      </c>
      <c r="M3318">
        <f>IF(LeadsData[[#This Row],[Stage Number]]&gt;=2,1,0)</f>
        <v>0</v>
      </c>
      <c r="N3318" s="2">
        <f>IF(LeadsData[[#This Row],[Stage Number]]&gt;=3,1,0)</f>
        <v>0</v>
      </c>
      <c r="O3318" s="2">
        <f>IF(LeadsData[[#This Row],[Stage Number]]&gt;=4,1,0)</f>
        <v>0</v>
      </c>
    </row>
    <row r="3319" spans="1:15" x14ac:dyDescent="0.25">
      <c r="A3319" t="s">
        <v>3359</v>
      </c>
      <c r="B3319" s="1">
        <v>45495</v>
      </c>
      <c r="C3319" t="s">
        <v>11</v>
      </c>
      <c r="D3319" t="s">
        <v>12</v>
      </c>
      <c r="E3319" t="s">
        <v>13</v>
      </c>
      <c r="F3319" t="s">
        <v>22</v>
      </c>
      <c r="G3319" t="s">
        <v>15</v>
      </c>
      <c r="K3319" cm="1">
        <f t="array" ref="K3319">_xlfn.SWITCH(LeadsData[[#This Row],[Funnel Stage Reached]],"Lead",1,"MQL",2,"SQL",3,"Customer",4)</f>
        <v>1</v>
      </c>
      <c r="L3319" t="str">
        <f>TEXT(LeadsData[[#This Row],[Signup Date]],"mmm-yyyy")</f>
        <v>Jul-2024</v>
      </c>
      <c r="M3319">
        <f>IF(LeadsData[[#This Row],[Stage Number]]&gt;=2,1,0)</f>
        <v>0</v>
      </c>
      <c r="N3319" s="2">
        <f>IF(LeadsData[[#This Row],[Stage Number]]&gt;=3,1,0)</f>
        <v>0</v>
      </c>
      <c r="O3319" s="2">
        <f>IF(LeadsData[[#This Row],[Stage Number]]&gt;=4,1,0)</f>
        <v>0</v>
      </c>
    </row>
    <row r="3320" spans="1:15" x14ac:dyDescent="0.25">
      <c r="A3320" t="s">
        <v>3360</v>
      </c>
      <c r="B3320" s="1">
        <v>45540</v>
      </c>
      <c r="C3320" t="s">
        <v>25</v>
      </c>
      <c r="D3320" t="s">
        <v>26</v>
      </c>
      <c r="E3320" t="s">
        <v>13</v>
      </c>
      <c r="F3320" t="s">
        <v>14</v>
      </c>
      <c r="G3320" t="s">
        <v>15</v>
      </c>
      <c r="K3320" cm="1">
        <f t="array" ref="K3320">_xlfn.SWITCH(LeadsData[[#This Row],[Funnel Stage Reached]],"Lead",1,"MQL",2,"SQL",3,"Customer",4)</f>
        <v>1</v>
      </c>
      <c r="L3320" t="str">
        <f>TEXT(LeadsData[[#This Row],[Signup Date]],"mmm-yyyy")</f>
        <v>Sep-2024</v>
      </c>
      <c r="M3320">
        <f>IF(LeadsData[[#This Row],[Stage Number]]&gt;=2,1,0)</f>
        <v>0</v>
      </c>
      <c r="N3320" s="2">
        <f>IF(LeadsData[[#This Row],[Stage Number]]&gt;=3,1,0)</f>
        <v>0</v>
      </c>
      <c r="O3320" s="2">
        <f>IF(LeadsData[[#This Row],[Stage Number]]&gt;=4,1,0)</f>
        <v>0</v>
      </c>
    </row>
    <row r="3321" spans="1:15" x14ac:dyDescent="0.25">
      <c r="A3321" t="s">
        <v>3361</v>
      </c>
      <c r="B3321" s="1">
        <v>45587</v>
      </c>
      <c r="C3321" t="s">
        <v>46</v>
      </c>
      <c r="D3321" t="s">
        <v>56</v>
      </c>
      <c r="E3321" t="s">
        <v>21</v>
      </c>
      <c r="F3321" t="s">
        <v>19</v>
      </c>
      <c r="G3321" t="s">
        <v>23</v>
      </c>
      <c r="K3321" cm="1">
        <f t="array" ref="K3321">_xlfn.SWITCH(LeadsData[[#This Row],[Funnel Stage Reached]],"Lead",1,"MQL",2,"SQL",3,"Customer",4)</f>
        <v>2</v>
      </c>
      <c r="L3321" t="str">
        <f>TEXT(LeadsData[[#This Row],[Signup Date]],"mmm-yyyy")</f>
        <v>Oct-2024</v>
      </c>
      <c r="M3321">
        <f>IF(LeadsData[[#This Row],[Stage Number]]&gt;=2,1,0)</f>
        <v>1</v>
      </c>
      <c r="N3321" s="2">
        <f>IF(LeadsData[[#This Row],[Stage Number]]&gt;=3,1,0)</f>
        <v>0</v>
      </c>
      <c r="O3321" s="2">
        <f>IF(LeadsData[[#This Row],[Stage Number]]&gt;=4,1,0)</f>
        <v>0</v>
      </c>
    </row>
    <row r="3322" spans="1:15" x14ac:dyDescent="0.25">
      <c r="A3322" t="s">
        <v>3362</v>
      </c>
      <c r="B3322" s="1">
        <v>45314</v>
      </c>
      <c r="C3322" t="s">
        <v>31</v>
      </c>
      <c r="D3322" t="s">
        <v>32</v>
      </c>
      <c r="E3322" t="s">
        <v>21</v>
      </c>
      <c r="F3322" t="s">
        <v>22</v>
      </c>
      <c r="G3322" t="s">
        <v>15</v>
      </c>
      <c r="K3322" cm="1">
        <f t="array" ref="K3322">_xlfn.SWITCH(LeadsData[[#This Row],[Funnel Stage Reached]],"Lead",1,"MQL",2,"SQL",3,"Customer",4)</f>
        <v>1</v>
      </c>
      <c r="L3322" t="str">
        <f>TEXT(LeadsData[[#This Row],[Signup Date]],"mmm-yyyy")</f>
        <v>Jan-2024</v>
      </c>
      <c r="M3322">
        <f>IF(LeadsData[[#This Row],[Stage Number]]&gt;=2,1,0)</f>
        <v>0</v>
      </c>
      <c r="N3322" s="2">
        <f>IF(LeadsData[[#This Row],[Stage Number]]&gt;=3,1,0)</f>
        <v>0</v>
      </c>
      <c r="O3322" s="2">
        <f>IF(LeadsData[[#This Row],[Stage Number]]&gt;=4,1,0)</f>
        <v>0</v>
      </c>
    </row>
    <row r="3323" spans="1:15" x14ac:dyDescent="0.25">
      <c r="A3323" t="s">
        <v>3363</v>
      </c>
      <c r="B3323" s="1">
        <v>45477</v>
      </c>
      <c r="C3323" t="s">
        <v>25</v>
      </c>
      <c r="D3323" t="s">
        <v>26</v>
      </c>
      <c r="E3323" t="s">
        <v>13</v>
      </c>
      <c r="F3323" t="s">
        <v>22</v>
      </c>
      <c r="G3323" t="s">
        <v>23</v>
      </c>
      <c r="K3323" cm="1">
        <f t="array" ref="K3323">_xlfn.SWITCH(LeadsData[[#This Row],[Funnel Stage Reached]],"Lead",1,"MQL",2,"SQL",3,"Customer",4)</f>
        <v>2</v>
      </c>
      <c r="L3323" t="str">
        <f>TEXT(LeadsData[[#This Row],[Signup Date]],"mmm-yyyy")</f>
        <v>Jul-2024</v>
      </c>
      <c r="M3323">
        <f>IF(LeadsData[[#This Row],[Stage Number]]&gt;=2,1,0)</f>
        <v>1</v>
      </c>
      <c r="N3323" s="2">
        <f>IF(LeadsData[[#This Row],[Stage Number]]&gt;=3,1,0)</f>
        <v>0</v>
      </c>
      <c r="O3323" s="2">
        <f>IF(LeadsData[[#This Row],[Stage Number]]&gt;=4,1,0)</f>
        <v>0</v>
      </c>
    </row>
    <row r="3324" spans="1:15" x14ac:dyDescent="0.25">
      <c r="A3324" t="s">
        <v>3364</v>
      </c>
      <c r="B3324" s="1">
        <v>45367</v>
      </c>
      <c r="C3324" t="s">
        <v>11</v>
      </c>
      <c r="D3324" t="s">
        <v>79</v>
      </c>
      <c r="E3324" t="s">
        <v>21</v>
      </c>
      <c r="F3324" t="s">
        <v>22</v>
      </c>
      <c r="G3324" t="s">
        <v>15</v>
      </c>
      <c r="K3324" cm="1">
        <f t="array" ref="K3324">_xlfn.SWITCH(LeadsData[[#This Row],[Funnel Stage Reached]],"Lead",1,"MQL",2,"SQL",3,"Customer",4)</f>
        <v>1</v>
      </c>
      <c r="L3324" t="str">
        <f>TEXT(LeadsData[[#This Row],[Signup Date]],"mmm-yyyy")</f>
        <v>Mar-2024</v>
      </c>
      <c r="M3324">
        <f>IF(LeadsData[[#This Row],[Stage Number]]&gt;=2,1,0)</f>
        <v>0</v>
      </c>
      <c r="N3324" s="2">
        <f>IF(LeadsData[[#This Row],[Stage Number]]&gt;=3,1,0)</f>
        <v>0</v>
      </c>
      <c r="O3324" s="2">
        <f>IF(LeadsData[[#This Row],[Stage Number]]&gt;=4,1,0)</f>
        <v>0</v>
      </c>
    </row>
    <row r="3325" spans="1:15" x14ac:dyDescent="0.25">
      <c r="A3325" t="s">
        <v>3365</v>
      </c>
      <c r="B3325" s="1">
        <v>45481</v>
      </c>
      <c r="C3325" t="s">
        <v>17</v>
      </c>
      <c r="D3325" t="s">
        <v>53</v>
      </c>
      <c r="E3325" t="s">
        <v>21</v>
      </c>
      <c r="F3325" t="s">
        <v>19</v>
      </c>
      <c r="G3325" t="s">
        <v>15</v>
      </c>
      <c r="K3325" cm="1">
        <f t="array" ref="K3325">_xlfn.SWITCH(LeadsData[[#This Row],[Funnel Stage Reached]],"Lead",1,"MQL",2,"SQL",3,"Customer",4)</f>
        <v>1</v>
      </c>
      <c r="L3325" t="str">
        <f>TEXT(LeadsData[[#This Row],[Signup Date]],"mmm-yyyy")</f>
        <v>Jul-2024</v>
      </c>
      <c r="M3325">
        <f>IF(LeadsData[[#This Row],[Stage Number]]&gt;=2,1,0)</f>
        <v>0</v>
      </c>
      <c r="N3325" s="2">
        <f>IF(LeadsData[[#This Row],[Stage Number]]&gt;=3,1,0)</f>
        <v>0</v>
      </c>
      <c r="O3325" s="2">
        <f>IF(LeadsData[[#This Row],[Stage Number]]&gt;=4,1,0)</f>
        <v>0</v>
      </c>
    </row>
    <row r="3326" spans="1:15" x14ac:dyDescent="0.25">
      <c r="A3326" t="s">
        <v>3366</v>
      </c>
      <c r="B3326" s="1">
        <v>45437</v>
      </c>
      <c r="C3326" t="s">
        <v>17</v>
      </c>
      <c r="D3326" t="s">
        <v>53</v>
      </c>
      <c r="E3326" t="s">
        <v>13</v>
      </c>
      <c r="F3326" t="s">
        <v>19</v>
      </c>
      <c r="G3326" t="s">
        <v>15</v>
      </c>
      <c r="K3326" cm="1">
        <f t="array" ref="K3326">_xlfn.SWITCH(LeadsData[[#This Row],[Funnel Stage Reached]],"Lead",1,"MQL",2,"SQL",3,"Customer",4)</f>
        <v>1</v>
      </c>
      <c r="L3326" t="str">
        <f>TEXT(LeadsData[[#This Row],[Signup Date]],"mmm-yyyy")</f>
        <v>May-2024</v>
      </c>
      <c r="M3326">
        <f>IF(LeadsData[[#This Row],[Stage Number]]&gt;=2,1,0)</f>
        <v>0</v>
      </c>
      <c r="N3326" s="2">
        <f>IF(LeadsData[[#This Row],[Stage Number]]&gt;=3,1,0)</f>
        <v>0</v>
      </c>
      <c r="O3326" s="2">
        <f>IF(LeadsData[[#This Row],[Stage Number]]&gt;=4,1,0)</f>
        <v>0</v>
      </c>
    </row>
    <row r="3327" spans="1:15" x14ac:dyDescent="0.25">
      <c r="A3327" t="s">
        <v>3367</v>
      </c>
      <c r="B3327" s="1">
        <v>45519</v>
      </c>
      <c r="C3327" t="s">
        <v>31</v>
      </c>
      <c r="D3327" t="s">
        <v>32</v>
      </c>
      <c r="E3327" t="s">
        <v>48</v>
      </c>
      <c r="F3327" t="s">
        <v>22</v>
      </c>
      <c r="G3327" t="s">
        <v>29</v>
      </c>
      <c r="K3327" cm="1">
        <f t="array" ref="K3327">_xlfn.SWITCH(LeadsData[[#This Row],[Funnel Stage Reached]],"Lead",1,"MQL",2,"SQL",3,"Customer",4)</f>
        <v>3</v>
      </c>
      <c r="L3327" t="str">
        <f>TEXT(LeadsData[[#This Row],[Signup Date]],"mmm-yyyy")</f>
        <v>Aug-2024</v>
      </c>
      <c r="M3327">
        <f>IF(LeadsData[[#This Row],[Stage Number]]&gt;=2,1,0)</f>
        <v>1</v>
      </c>
      <c r="N3327" s="2">
        <f>IF(LeadsData[[#This Row],[Stage Number]]&gt;=3,1,0)</f>
        <v>1</v>
      </c>
      <c r="O3327" s="2">
        <f>IF(LeadsData[[#This Row],[Stage Number]]&gt;=4,1,0)</f>
        <v>0</v>
      </c>
    </row>
    <row r="3328" spans="1:15" x14ac:dyDescent="0.25">
      <c r="A3328" t="s">
        <v>3368</v>
      </c>
      <c r="B3328" s="1">
        <v>45400</v>
      </c>
      <c r="C3328" t="s">
        <v>36</v>
      </c>
      <c r="D3328" t="s">
        <v>50</v>
      </c>
      <c r="E3328" t="s">
        <v>13</v>
      </c>
      <c r="F3328" t="s">
        <v>14</v>
      </c>
      <c r="G3328" t="s">
        <v>29</v>
      </c>
      <c r="K3328" cm="1">
        <f t="array" ref="K3328">_xlfn.SWITCH(LeadsData[[#This Row],[Funnel Stage Reached]],"Lead",1,"MQL",2,"SQL",3,"Customer",4)</f>
        <v>3</v>
      </c>
      <c r="L3328" t="str">
        <f>TEXT(LeadsData[[#This Row],[Signup Date]],"mmm-yyyy")</f>
        <v>Apr-2024</v>
      </c>
      <c r="M3328">
        <f>IF(LeadsData[[#This Row],[Stage Number]]&gt;=2,1,0)</f>
        <v>1</v>
      </c>
      <c r="N3328" s="2">
        <f>IF(LeadsData[[#This Row],[Stage Number]]&gt;=3,1,0)</f>
        <v>1</v>
      </c>
      <c r="O3328" s="2">
        <f>IF(LeadsData[[#This Row],[Stage Number]]&gt;=4,1,0)</f>
        <v>0</v>
      </c>
    </row>
    <row r="3329" spans="1:15" x14ac:dyDescent="0.25">
      <c r="A3329" t="s">
        <v>3369</v>
      </c>
      <c r="B3329" s="1">
        <v>45555</v>
      </c>
      <c r="C3329" t="s">
        <v>46</v>
      </c>
      <c r="D3329" t="s">
        <v>56</v>
      </c>
      <c r="E3329" t="s">
        <v>13</v>
      </c>
      <c r="F3329" t="s">
        <v>14</v>
      </c>
      <c r="G3329" t="s">
        <v>23</v>
      </c>
      <c r="K3329" cm="1">
        <f t="array" ref="K3329">_xlfn.SWITCH(LeadsData[[#This Row],[Funnel Stage Reached]],"Lead",1,"MQL",2,"SQL",3,"Customer",4)</f>
        <v>2</v>
      </c>
      <c r="L3329" t="str">
        <f>TEXT(LeadsData[[#This Row],[Signup Date]],"mmm-yyyy")</f>
        <v>Sep-2024</v>
      </c>
      <c r="M3329">
        <f>IF(LeadsData[[#This Row],[Stage Number]]&gt;=2,1,0)</f>
        <v>1</v>
      </c>
      <c r="N3329" s="2">
        <f>IF(LeadsData[[#This Row],[Stage Number]]&gt;=3,1,0)</f>
        <v>0</v>
      </c>
      <c r="O3329" s="2">
        <f>IF(LeadsData[[#This Row],[Stage Number]]&gt;=4,1,0)</f>
        <v>0</v>
      </c>
    </row>
    <row r="3330" spans="1:15" x14ac:dyDescent="0.25">
      <c r="A3330" t="s">
        <v>3370</v>
      </c>
      <c r="B3330" s="1">
        <v>45624</v>
      </c>
      <c r="C3330" t="s">
        <v>31</v>
      </c>
      <c r="D3330" t="s">
        <v>32</v>
      </c>
      <c r="E3330" t="s">
        <v>48</v>
      </c>
      <c r="F3330" t="s">
        <v>19</v>
      </c>
      <c r="G3330" t="s">
        <v>23</v>
      </c>
      <c r="K3330" cm="1">
        <f t="array" ref="K3330">_xlfn.SWITCH(LeadsData[[#This Row],[Funnel Stage Reached]],"Lead",1,"MQL",2,"SQL",3,"Customer",4)</f>
        <v>2</v>
      </c>
      <c r="L3330" t="str">
        <f>TEXT(LeadsData[[#This Row],[Signup Date]],"mmm-yyyy")</f>
        <v>Nov-2024</v>
      </c>
      <c r="M3330">
        <f>IF(LeadsData[[#This Row],[Stage Number]]&gt;=2,1,0)</f>
        <v>1</v>
      </c>
      <c r="N3330" s="2">
        <f>IF(LeadsData[[#This Row],[Stage Number]]&gt;=3,1,0)</f>
        <v>0</v>
      </c>
      <c r="O3330" s="2">
        <f>IF(LeadsData[[#This Row],[Stage Number]]&gt;=4,1,0)</f>
        <v>0</v>
      </c>
    </row>
    <row r="3331" spans="1:15" x14ac:dyDescent="0.25">
      <c r="A3331" t="s">
        <v>3371</v>
      </c>
      <c r="B3331" s="1">
        <v>45342</v>
      </c>
      <c r="C3331" t="s">
        <v>11</v>
      </c>
      <c r="D3331" t="s">
        <v>12</v>
      </c>
      <c r="E3331" t="s">
        <v>13</v>
      </c>
      <c r="F3331" t="s">
        <v>19</v>
      </c>
      <c r="G3331" t="s">
        <v>15</v>
      </c>
      <c r="K3331" cm="1">
        <f t="array" ref="K3331">_xlfn.SWITCH(LeadsData[[#This Row],[Funnel Stage Reached]],"Lead",1,"MQL",2,"SQL",3,"Customer",4)</f>
        <v>1</v>
      </c>
      <c r="L3331" t="str">
        <f>TEXT(LeadsData[[#This Row],[Signup Date]],"mmm-yyyy")</f>
        <v>Feb-2024</v>
      </c>
      <c r="M3331">
        <f>IF(LeadsData[[#This Row],[Stage Number]]&gt;=2,1,0)</f>
        <v>0</v>
      </c>
      <c r="N3331" s="2">
        <f>IF(LeadsData[[#This Row],[Stage Number]]&gt;=3,1,0)</f>
        <v>0</v>
      </c>
      <c r="O3331" s="2">
        <f>IF(LeadsData[[#This Row],[Stage Number]]&gt;=4,1,0)</f>
        <v>0</v>
      </c>
    </row>
    <row r="3332" spans="1:15" x14ac:dyDescent="0.25">
      <c r="A3332" t="s">
        <v>3372</v>
      </c>
      <c r="B3332" s="1">
        <v>45537</v>
      </c>
      <c r="C3332" t="s">
        <v>25</v>
      </c>
      <c r="D3332" t="s">
        <v>26</v>
      </c>
      <c r="E3332" t="s">
        <v>21</v>
      </c>
      <c r="F3332" t="s">
        <v>19</v>
      </c>
      <c r="G3332" t="s">
        <v>15</v>
      </c>
      <c r="K3332" cm="1">
        <f t="array" ref="K3332">_xlfn.SWITCH(LeadsData[[#This Row],[Funnel Stage Reached]],"Lead",1,"MQL",2,"SQL",3,"Customer",4)</f>
        <v>1</v>
      </c>
      <c r="L3332" t="str">
        <f>TEXT(LeadsData[[#This Row],[Signup Date]],"mmm-yyyy")</f>
        <v>Sep-2024</v>
      </c>
      <c r="M3332">
        <f>IF(LeadsData[[#This Row],[Stage Number]]&gt;=2,1,0)</f>
        <v>0</v>
      </c>
      <c r="N3332" s="2">
        <f>IF(LeadsData[[#This Row],[Stage Number]]&gt;=3,1,0)</f>
        <v>0</v>
      </c>
      <c r="O3332" s="2">
        <f>IF(LeadsData[[#This Row],[Stage Number]]&gt;=4,1,0)</f>
        <v>0</v>
      </c>
    </row>
    <row r="3333" spans="1:15" x14ac:dyDescent="0.25">
      <c r="A3333" t="s">
        <v>3373</v>
      </c>
      <c r="B3333" s="1">
        <v>45584</v>
      </c>
      <c r="C3333" t="s">
        <v>17</v>
      </c>
      <c r="D3333" t="s">
        <v>53</v>
      </c>
      <c r="E3333" t="s">
        <v>13</v>
      </c>
      <c r="F3333" t="s">
        <v>19</v>
      </c>
      <c r="G3333" t="s">
        <v>15</v>
      </c>
      <c r="K3333" cm="1">
        <f t="array" ref="K3333">_xlfn.SWITCH(LeadsData[[#This Row],[Funnel Stage Reached]],"Lead",1,"MQL",2,"SQL",3,"Customer",4)</f>
        <v>1</v>
      </c>
      <c r="L3333" t="str">
        <f>TEXT(LeadsData[[#This Row],[Signup Date]],"mmm-yyyy")</f>
        <v>Oct-2024</v>
      </c>
      <c r="M3333">
        <f>IF(LeadsData[[#This Row],[Stage Number]]&gt;=2,1,0)</f>
        <v>0</v>
      </c>
      <c r="N3333" s="2">
        <f>IF(LeadsData[[#This Row],[Stage Number]]&gt;=3,1,0)</f>
        <v>0</v>
      </c>
      <c r="O3333" s="2">
        <f>IF(LeadsData[[#This Row],[Stage Number]]&gt;=4,1,0)</f>
        <v>0</v>
      </c>
    </row>
    <row r="3334" spans="1:15" x14ac:dyDescent="0.25">
      <c r="A3334" t="s">
        <v>3374</v>
      </c>
      <c r="B3334" s="1">
        <v>45539</v>
      </c>
      <c r="C3334" t="s">
        <v>31</v>
      </c>
      <c r="D3334" t="s">
        <v>34</v>
      </c>
      <c r="E3334" t="s">
        <v>13</v>
      </c>
      <c r="F3334" t="s">
        <v>19</v>
      </c>
      <c r="G3334" t="s">
        <v>23</v>
      </c>
      <c r="K3334" cm="1">
        <f t="array" ref="K3334">_xlfn.SWITCH(LeadsData[[#This Row],[Funnel Stage Reached]],"Lead",1,"MQL",2,"SQL",3,"Customer",4)</f>
        <v>2</v>
      </c>
      <c r="L3334" t="str">
        <f>TEXT(LeadsData[[#This Row],[Signup Date]],"mmm-yyyy")</f>
        <v>Sep-2024</v>
      </c>
      <c r="M3334">
        <f>IF(LeadsData[[#This Row],[Stage Number]]&gt;=2,1,0)</f>
        <v>1</v>
      </c>
      <c r="N3334" s="2">
        <f>IF(LeadsData[[#This Row],[Stage Number]]&gt;=3,1,0)</f>
        <v>0</v>
      </c>
      <c r="O3334" s="2">
        <f>IF(LeadsData[[#This Row],[Stage Number]]&gt;=4,1,0)</f>
        <v>0</v>
      </c>
    </row>
    <row r="3335" spans="1:15" x14ac:dyDescent="0.25">
      <c r="A3335" t="s">
        <v>3375</v>
      </c>
      <c r="B3335" s="1">
        <v>45358</v>
      </c>
      <c r="C3335" t="s">
        <v>46</v>
      </c>
      <c r="D3335" t="s">
        <v>56</v>
      </c>
      <c r="E3335" t="s">
        <v>13</v>
      </c>
      <c r="F3335" t="s">
        <v>22</v>
      </c>
      <c r="G3335" t="s">
        <v>23</v>
      </c>
      <c r="K3335" cm="1">
        <f t="array" ref="K3335">_xlfn.SWITCH(LeadsData[[#This Row],[Funnel Stage Reached]],"Lead",1,"MQL",2,"SQL",3,"Customer",4)</f>
        <v>2</v>
      </c>
      <c r="L3335" t="str">
        <f>TEXT(LeadsData[[#This Row],[Signup Date]],"mmm-yyyy")</f>
        <v>Mar-2024</v>
      </c>
      <c r="M3335">
        <f>IF(LeadsData[[#This Row],[Stage Number]]&gt;=2,1,0)</f>
        <v>1</v>
      </c>
      <c r="N3335" s="2">
        <f>IF(LeadsData[[#This Row],[Stage Number]]&gt;=3,1,0)</f>
        <v>0</v>
      </c>
      <c r="O3335" s="2">
        <f>IF(LeadsData[[#This Row],[Stage Number]]&gt;=4,1,0)</f>
        <v>0</v>
      </c>
    </row>
    <row r="3336" spans="1:15" x14ac:dyDescent="0.25">
      <c r="A3336" t="s">
        <v>3376</v>
      </c>
      <c r="B3336" s="1">
        <v>45614</v>
      </c>
      <c r="C3336" t="s">
        <v>46</v>
      </c>
      <c r="D3336" t="s">
        <v>47</v>
      </c>
      <c r="E3336" t="s">
        <v>21</v>
      </c>
      <c r="F3336" t="s">
        <v>22</v>
      </c>
      <c r="G3336" t="s">
        <v>23</v>
      </c>
      <c r="K3336" cm="1">
        <f t="array" ref="K3336">_xlfn.SWITCH(LeadsData[[#This Row],[Funnel Stage Reached]],"Lead",1,"MQL",2,"SQL",3,"Customer",4)</f>
        <v>2</v>
      </c>
      <c r="L3336" t="str">
        <f>TEXT(LeadsData[[#This Row],[Signup Date]],"mmm-yyyy")</f>
        <v>Nov-2024</v>
      </c>
      <c r="M3336">
        <f>IF(LeadsData[[#This Row],[Stage Number]]&gt;=2,1,0)</f>
        <v>1</v>
      </c>
      <c r="N3336" s="2">
        <f>IF(LeadsData[[#This Row],[Stage Number]]&gt;=3,1,0)</f>
        <v>0</v>
      </c>
      <c r="O3336" s="2">
        <f>IF(LeadsData[[#This Row],[Stage Number]]&gt;=4,1,0)</f>
        <v>0</v>
      </c>
    </row>
    <row r="3337" spans="1:15" x14ac:dyDescent="0.25">
      <c r="A3337" t="s">
        <v>3377</v>
      </c>
      <c r="B3337" s="1">
        <v>45454</v>
      </c>
      <c r="C3337" t="s">
        <v>31</v>
      </c>
      <c r="D3337" t="s">
        <v>32</v>
      </c>
      <c r="E3337" t="s">
        <v>13</v>
      </c>
      <c r="F3337" t="s">
        <v>19</v>
      </c>
      <c r="G3337" t="s">
        <v>15</v>
      </c>
      <c r="K3337" cm="1">
        <f t="array" ref="K3337">_xlfn.SWITCH(LeadsData[[#This Row],[Funnel Stage Reached]],"Lead",1,"MQL",2,"SQL",3,"Customer",4)</f>
        <v>1</v>
      </c>
      <c r="L3337" t="str">
        <f>TEXT(LeadsData[[#This Row],[Signup Date]],"mmm-yyyy")</f>
        <v>Jun-2024</v>
      </c>
      <c r="M3337">
        <f>IF(LeadsData[[#This Row],[Stage Number]]&gt;=2,1,0)</f>
        <v>0</v>
      </c>
      <c r="N3337" s="2">
        <f>IF(LeadsData[[#This Row],[Stage Number]]&gt;=3,1,0)</f>
        <v>0</v>
      </c>
      <c r="O3337" s="2">
        <f>IF(LeadsData[[#This Row],[Stage Number]]&gt;=4,1,0)</f>
        <v>0</v>
      </c>
    </row>
    <row r="3338" spans="1:15" x14ac:dyDescent="0.25">
      <c r="A3338" t="s">
        <v>3378</v>
      </c>
      <c r="B3338" s="1">
        <v>45446</v>
      </c>
      <c r="C3338" t="s">
        <v>31</v>
      </c>
      <c r="D3338" t="s">
        <v>34</v>
      </c>
      <c r="E3338" t="s">
        <v>21</v>
      </c>
      <c r="F3338" t="s">
        <v>22</v>
      </c>
      <c r="G3338" t="s">
        <v>29</v>
      </c>
      <c r="K3338" cm="1">
        <f t="array" ref="K3338">_xlfn.SWITCH(LeadsData[[#This Row],[Funnel Stage Reached]],"Lead",1,"MQL",2,"SQL",3,"Customer",4)</f>
        <v>3</v>
      </c>
      <c r="L3338" t="str">
        <f>TEXT(LeadsData[[#This Row],[Signup Date]],"mmm-yyyy")</f>
        <v>Jun-2024</v>
      </c>
      <c r="M3338">
        <f>IF(LeadsData[[#This Row],[Stage Number]]&gt;=2,1,0)</f>
        <v>1</v>
      </c>
      <c r="N3338" s="2">
        <f>IF(LeadsData[[#This Row],[Stage Number]]&gt;=3,1,0)</f>
        <v>1</v>
      </c>
      <c r="O3338" s="2">
        <f>IF(LeadsData[[#This Row],[Stage Number]]&gt;=4,1,0)</f>
        <v>0</v>
      </c>
    </row>
    <row r="3339" spans="1:15" x14ac:dyDescent="0.25">
      <c r="A3339" t="s">
        <v>3379</v>
      </c>
      <c r="B3339" s="1">
        <v>45397</v>
      </c>
      <c r="C3339" t="s">
        <v>31</v>
      </c>
      <c r="D3339" t="s">
        <v>32</v>
      </c>
      <c r="E3339" t="s">
        <v>13</v>
      </c>
      <c r="F3339" t="s">
        <v>19</v>
      </c>
      <c r="G3339" t="s">
        <v>29</v>
      </c>
      <c r="K3339" cm="1">
        <f t="array" ref="K3339">_xlfn.SWITCH(LeadsData[[#This Row],[Funnel Stage Reached]],"Lead",1,"MQL",2,"SQL",3,"Customer",4)</f>
        <v>3</v>
      </c>
      <c r="L3339" t="str">
        <f>TEXT(LeadsData[[#This Row],[Signup Date]],"mmm-yyyy")</f>
        <v>Apr-2024</v>
      </c>
      <c r="M3339">
        <f>IF(LeadsData[[#This Row],[Stage Number]]&gt;=2,1,0)</f>
        <v>1</v>
      </c>
      <c r="N3339" s="2">
        <f>IF(LeadsData[[#This Row],[Stage Number]]&gt;=3,1,0)</f>
        <v>1</v>
      </c>
      <c r="O3339" s="2">
        <f>IF(LeadsData[[#This Row],[Stage Number]]&gt;=4,1,0)</f>
        <v>0</v>
      </c>
    </row>
    <row r="3340" spans="1:15" x14ac:dyDescent="0.25">
      <c r="A3340" t="s">
        <v>3380</v>
      </c>
      <c r="B3340" s="1">
        <v>45378</v>
      </c>
      <c r="C3340" t="s">
        <v>31</v>
      </c>
      <c r="D3340" t="s">
        <v>34</v>
      </c>
      <c r="E3340" t="s">
        <v>13</v>
      </c>
      <c r="F3340" t="s">
        <v>19</v>
      </c>
      <c r="G3340" t="s">
        <v>15</v>
      </c>
      <c r="K3340" cm="1">
        <f t="array" ref="K3340">_xlfn.SWITCH(LeadsData[[#This Row],[Funnel Stage Reached]],"Lead",1,"MQL",2,"SQL",3,"Customer",4)</f>
        <v>1</v>
      </c>
      <c r="L3340" t="str">
        <f>TEXT(LeadsData[[#This Row],[Signup Date]],"mmm-yyyy")</f>
        <v>Mar-2024</v>
      </c>
      <c r="M3340">
        <f>IF(LeadsData[[#This Row],[Stage Number]]&gt;=2,1,0)</f>
        <v>0</v>
      </c>
      <c r="N3340" s="2">
        <f>IF(LeadsData[[#This Row],[Stage Number]]&gt;=3,1,0)</f>
        <v>0</v>
      </c>
      <c r="O3340" s="2">
        <f>IF(LeadsData[[#This Row],[Stage Number]]&gt;=4,1,0)</f>
        <v>0</v>
      </c>
    </row>
    <row r="3341" spans="1:15" x14ac:dyDescent="0.25">
      <c r="A3341" t="s">
        <v>3381</v>
      </c>
      <c r="B3341" s="1">
        <v>45597</v>
      </c>
      <c r="C3341" t="s">
        <v>11</v>
      </c>
      <c r="D3341" t="s">
        <v>79</v>
      </c>
      <c r="E3341" t="s">
        <v>13</v>
      </c>
      <c r="F3341" t="s">
        <v>22</v>
      </c>
      <c r="G3341" t="s">
        <v>15</v>
      </c>
      <c r="K3341" cm="1">
        <f t="array" ref="K3341">_xlfn.SWITCH(LeadsData[[#This Row],[Funnel Stage Reached]],"Lead",1,"MQL",2,"SQL",3,"Customer",4)</f>
        <v>1</v>
      </c>
      <c r="L3341" t="str">
        <f>TEXT(LeadsData[[#This Row],[Signup Date]],"mmm-yyyy")</f>
        <v>Nov-2024</v>
      </c>
      <c r="M3341">
        <f>IF(LeadsData[[#This Row],[Stage Number]]&gt;=2,1,0)</f>
        <v>0</v>
      </c>
      <c r="N3341" s="2">
        <f>IF(LeadsData[[#This Row],[Stage Number]]&gt;=3,1,0)</f>
        <v>0</v>
      </c>
      <c r="O3341" s="2">
        <f>IF(LeadsData[[#This Row],[Stage Number]]&gt;=4,1,0)</f>
        <v>0</v>
      </c>
    </row>
    <row r="3342" spans="1:15" x14ac:dyDescent="0.25">
      <c r="A3342" t="s">
        <v>3382</v>
      </c>
      <c r="B3342" s="1">
        <v>45575</v>
      </c>
      <c r="C3342" t="s">
        <v>36</v>
      </c>
      <c r="D3342" t="s">
        <v>50</v>
      </c>
      <c r="E3342" t="s">
        <v>21</v>
      </c>
      <c r="F3342" t="s">
        <v>22</v>
      </c>
      <c r="G3342" t="s">
        <v>29</v>
      </c>
      <c r="K3342" cm="1">
        <f t="array" ref="K3342">_xlfn.SWITCH(LeadsData[[#This Row],[Funnel Stage Reached]],"Lead",1,"MQL",2,"SQL",3,"Customer",4)</f>
        <v>3</v>
      </c>
      <c r="L3342" t="str">
        <f>TEXT(LeadsData[[#This Row],[Signup Date]],"mmm-yyyy")</f>
        <v>Oct-2024</v>
      </c>
      <c r="M3342">
        <f>IF(LeadsData[[#This Row],[Stage Number]]&gt;=2,1,0)</f>
        <v>1</v>
      </c>
      <c r="N3342" s="2">
        <f>IF(LeadsData[[#This Row],[Stage Number]]&gt;=3,1,0)</f>
        <v>1</v>
      </c>
      <c r="O3342" s="2">
        <f>IF(LeadsData[[#This Row],[Stage Number]]&gt;=4,1,0)</f>
        <v>0</v>
      </c>
    </row>
    <row r="3343" spans="1:15" x14ac:dyDescent="0.25">
      <c r="A3343" t="s">
        <v>3383</v>
      </c>
      <c r="B3343" s="1">
        <v>45505</v>
      </c>
      <c r="C3343" t="s">
        <v>31</v>
      </c>
      <c r="D3343" t="s">
        <v>32</v>
      </c>
      <c r="E3343" t="s">
        <v>21</v>
      </c>
      <c r="F3343" t="s">
        <v>19</v>
      </c>
      <c r="G3343" t="s">
        <v>23</v>
      </c>
      <c r="K3343" cm="1">
        <f t="array" ref="K3343">_xlfn.SWITCH(LeadsData[[#This Row],[Funnel Stage Reached]],"Lead",1,"MQL",2,"SQL",3,"Customer",4)</f>
        <v>2</v>
      </c>
      <c r="L3343" t="str">
        <f>TEXT(LeadsData[[#This Row],[Signup Date]],"mmm-yyyy")</f>
        <v>Aug-2024</v>
      </c>
      <c r="M3343">
        <f>IF(LeadsData[[#This Row],[Stage Number]]&gt;=2,1,0)</f>
        <v>1</v>
      </c>
      <c r="N3343" s="2">
        <f>IF(LeadsData[[#This Row],[Stage Number]]&gt;=3,1,0)</f>
        <v>0</v>
      </c>
      <c r="O3343" s="2">
        <f>IF(LeadsData[[#This Row],[Stage Number]]&gt;=4,1,0)</f>
        <v>0</v>
      </c>
    </row>
    <row r="3344" spans="1:15" x14ac:dyDescent="0.25">
      <c r="A3344" t="s">
        <v>3384</v>
      </c>
      <c r="B3344" s="1">
        <v>45541</v>
      </c>
      <c r="C3344" t="s">
        <v>36</v>
      </c>
      <c r="D3344" t="s">
        <v>50</v>
      </c>
      <c r="E3344" t="s">
        <v>13</v>
      </c>
      <c r="F3344" t="s">
        <v>28</v>
      </c>
      <c r="G3344" t="s">
        <v>42</v>
      </c>
      <c r="H3344">
        <v>61</v>
      </c>
      <c r="I3344" t="s">
        <v>87</v>
      </c>
      <c r="J3344">
        <v>4213.79</v>
      </c>
      <c r="K3344" cm="1">
        <f t="array" ref="K3344">_xlfn.SWITCH(LeadsData[[#This Row],[Funnel Stage Reached]],"Lead",1,"MQL",2,"SQL",3,"Customer",4)</f>
        <v>4</v>
      </c>
      <c r="L3344" t="str">
        <f>TEXT(LeadsData[[#This Row],[Signup Date]],"mmm-yyyy")</f>
        <v>Sep-2024</v>
      </c>
      <c r="M3344">
        <f>IF(LeadsData[[#This Row],[Stage Number]]&gt;=2,1,0)</f>
        <v>1</v>
      </c>
      <c r="N3344" s="2">
        <f>IF(LeadsData[[#This Row],[Stage Number]]&gt;=3,1,0)</f>
        <v>1</v>
      </c>
      <c r="O3344" s="2">
        <f>IF(LeadsData[[#This Row],[Stage Number]]&gt;=4,1,0)</f>
        <v>1</v>
      </c>
    </row>
    <row r="3345" spans="1:15" x14ac:dyDescent="0.25">
      <c r="A3345" t="s">
        <v>3385</v>
      </c>
      <c r="B3345" s="1">
        <v>45630</v>
      </c>
      <c r="C3345" t="s">
        <v>31</v>
      </c>
      <c r="D3345" t="s">
        <v>32</v>
      </c>
      <c r="E3345" t="s">
        <v>48</v>
      </c>
      <c r="F3345" t="s">
        <v>19</v>
      </c>
      <c r="G3345" t="s">
        <v>29</v>
      </c>
      <c r="K3345" cm="1">
        <f t="array" ref="K3345">_xlfn.SWITCH(LeadsData[[#This Row],[Funnel Stage Reached]],"Lead",1,"MQL",2,"SQL",3,"Customer",4)</f>
        <v>3</v>
      </c>
      <c r="L3345" t="str">
        <f>TEXT(LeadsData[[#This Row],[Signup Date]],"mmm-yyyy")</f>
        <v>Dec-2024</v>
      </c>
      <c r="M3345">
        <f>IF(LeadsData[[#This Row],[Stage Number]]&gt;=2,1,0)</f>
        <v>1</v>
      </c>
      <c r="N3345" s="2">
        <f>IF(LeadsData[[#This Row],[Stage Number]]&gt;=3,1,0)</f>
        <v>1</v>
      </c>
      <c r="O3345" s="2">
        <f>IF(LeadsData[[#This Row],[Stage Number]]&gt;=4,1,0)</f>
        <v>0</v>
      </c>
    </row>
    <row r="3346" spans="1:15" x14ac:dyDescent="0.25">
      <c r="A3346" t="s">
        <v>3386</v>
      </c>
      <c r="B3346" s="1">
        <v>45630</v>
      </c>
      <c r="C3346" t="s">
        <v>36</v>
      </c>
      <c r="D3346" t="s">
        <v>50</v>
      </c>
      <c r="E3346" t="s">
        <v>48</v>
      </c>
      <c r="F3346" t="s">
        <v>19</v>
      </c>
      <c r="G3346" t="s">
        <v>42</v>
      </c>
      <c r="H3346">
        <v>9</v>
      </c>
      <c r="I3346" t="s">
        <v>43</v>
      </c>
      <c r="J3346">
        <v>749.71</v>
      </c>
      <c r="K3346" cm="1">
        <f t="array" ref="K3346">_xlfn.SWITCH(LeadsData[[#This Row],[Funnel Stage Reached]],"Lead",1,"MQL",2,"SQL",3,"Customer",4)</f>
        <v>4</v>
      </c>
      <c r="L3346" t="str">
        <f>TEXT(LeadsData[[#This Row],[Signup Date]],"mmm-yyyy")</f>
        <v>Dec-2024</v>
      </c>
      <c r="M3346">
        <f>IF(LeadsData[[#This Row],[Stage Number]]&gt;=2,1,0)</f>
        <v>1</v>
      </c>
      <c r="N3346" s="2">
        <f>IF(LeadsData[[#This Row],[Stage Number]]&gt;=3,1,0)</f>
        <v>1</v>
      </c>
      <c r="O3346" s="2">
        <f>IF(LeadsData[[#This Row],[Stage Number]]&gt;=4,1,0)</f>
        <v>1</v>
      </c>
    </row>
    <row r="3347" spans="1:15" x14ac:dyDescent="0.25">
      <c r="A3347" t="s">
        <v>3387</v>
      </c>
      <c r="B3347" s="1">
        <v>45425</v>
      </c>
      <c r="C3347" t="s">
        <v>17</v>
      </c>
      <c r="D3347" t="s">
        <v>53</v>
      </c>
      <c r="E3347" t="s">
        <v>13</v>
      </c>
      <c r="F3347" t="s">
        <v>22</v>
      </c>
      <c r="G3347" t="s">
        <v>15</v>
      </c>
      <c r="K3347" cm="1">
        <f t="array" ref="K3347">_xlfn.SWITCH(LeadsData[[#This Row],[Funnel Stage Reached]],"Lead",1,"MQL",2,"SQL",3,"Customer",4)</f>
        <v>1</v>
      </c>
      <c r="L3347" t="str">
        <f>TEXT(LeadsData[[#This Row],[Signup Date]],"mmm-yyyy")</f>
        <v>May-2024</v>
      </c>
      <c r="M3347">
        <f>IF(LeadsData[[#This Row],[Stage Number]]&gt;=2,1,0)</f>
        <v>0</v>
      </c>
      <c r="N3347" s="2">
        <f>IF(LeadsData[[#This Row],[Stage Number]]&gt;=3,1,0)</f>
        <v>0</v>
      </c>
      <c r="O3347" s="2">
        <f>IF(LeadsData[[#This Row],[Stage Number]]&gt;=4,1,0)</f>
        <v>0</v>
      </c>
    </row>
    <row r="3348" spans="1:15" x14ac:dyDescent="0.25">
      <c r="A3348" t="s">
        <v>3388</v>
      </c>
      <c r="B3348" s="1">
        <v>45459</v>
      </c>
      <c r="C3348" t="s">
        <v>36</v>
      </c>
      <c r="D3348" t="s">
        <v>50</v>
      </c>
      <c r="E3348" t="s">
        <v>21</v>
      </c>
      <c r="F3348" t="s">
        <v>19</v>
      </c>
      <c r="G3348" t="s">
        <v>23</v>
      </c>
      <c r="K3348" cm="1">
        <f t="array" ref="K3348">_xlfn.SWITCH(LeadsData[[#This Row],[Funnel Stage Reached]],"Lead",1,"MQL",2,"SQL",3,"Customer",4)</f>
        <v>2</v>
      </c>
      <c r="L3348" t="str">
        <f>TEXT(LeadsData[[#This Row],[Signup Date]],"mmm-yyyy")</f>
        <v>Jun-2024</v>
      </c>
      <c r="M3348">
        <f>IF(LeadsData[[#This Row],[Stage Number]]&gt;=2,1,0)</f>
        <v>1</v>
      </c>
      <c r="N3348" s="2">
        <f>IF(LeadsData[[#This Row],[Stage Number]]&gt;=3,1,0)</f>
        <v>0</v>
      </c>
      <c r="O3348" s="2">
        <f>IF(LeadsData[[#This Row],[Stage Number]]&gt;=4,1,0)</f>
        <v>0</v>
      </c>
    </row>
    <row r="3349" spans="1:15" x14ac:dyDescent="0.25">
      <c r="A3349" t="s">
        <v>3389</v>
      </c>
      <c r="B3349" s="1">
        <v>45376</v>
      </c>
      <c r="C3349" t="s">
        <v>11</v>
      </c>
      <c r="D3349" t="s">
        <v>12</v>
      </c>
      <c r="E3349" t="s">
        <v>21</v>
      </c>
      <c r="F3349" t="s">
        <v>19</v>
      </c>
      <c r="G3349" t="s">
        <v>15</v>
      </c>
      <c r="K3349" cm="1">
        <f t="array" ref="K3349">_xlfn.SWITCH(LeadsData[[#This Row],[Funnel Stage Reached]],"Lead",1,"MQL",2,"SQL",3,"Customer",4)</f>
        <v>1</v>
      </c>
      <c r="L3349" t="str">
        <f>TEXT(LeadsData[[#This Row],[Signup Date]],"mmm-yyyy")</f>
        <v>Mar-2024</v>
      </c>
      <c r="M3349">
        <f>IF(LeadsData[[#This Row],[Stage Number]]&gt;=2,1,0)</f>
        <v>0</v>
      </c>
      <c r="N3349" s="2">
        <f>IF(LeadsData[[#This Row],[Stage Number]]&gt;=3,1,0)</f>
        <v>0</v>
      </c>
      <c r="O3349" s="2">
        <f>IF(LeadsData[[#This Row],[Stage Number]]&gt;=4,1,0)</f>
        <v>0</v>
      </c>
    </row>
    <row r="3350" spans="1:15" x14ac:dyDescent="0.25">
      <c r="A3350" t="s">
        <v>3390</v>
      </c>
      <c r="B3350" s="1">
        <v>45345</v>
      </c>
      <c r="C3350" t="s">
        <v>25</v>
      </c>
      <c r="D3350" t="s">
        <v>26</v>
      </c>
      <c r="E3350" t="s">
        <v>13</v>
      </c>
      <c r="F3350" t="s">
        <v>14</v>
      </c>
      <c r="G3350" t="s">
        <v>23</v>
      </c>
      <c r="K3350" cm="1">
        <f t="array" ref="K3350">_xlfn.SWITCH(LeadsData[[#This Row],[Funnel Stage Reached]],"Lead",1,"MQL",2,"SQL",3,"Customer",4)</f>
        <v>2</v>
      </c>
      <c r="L3350" t="str">
        <f>TEXT(LeadsData[[#This Row],[Signup Date]],"mmm-yyyy")</f>
        <v>Feb-2024</v>
      </c>
      <c r="M3350">
        <f>IF(LeadsData[[#This Row],[Stage Number]]&gt;=2,1,0)</f>
        <v>1</v>
      </c>
      <c r="N3350" s="2">
        <f>IF(LeadsData[[#This Row],[Stage Number]]&gt;=3,1,0)</f>
        <v>0</v>
      </c>
      <c r="O3350" s="2">
        <f>IF(LeadsData[[#This Row],[Stage Number]]&gt;=4,1,0)</f>
        <v>0</v>
      </c>
    </row>
    <row r="3351" spans="1:15" x14ac:dyDescent="0.25">
      <c r="A3351" t="s">
        <v>3391</v>
      </c>
      <c r="B3351" s="1">
        <v>45619</v>
      </c>
      <c r="C3351" t="s">
        <v>25</v>
      </c>
      <c r="D3351" t="s">
        <v>26</v>
      </c>
      <c r="E3351" t="s">
        <v>13</v>
      </c>
      <c r="F3351" t="s">
        <v>19</v>
      </c>
      <c r="G3351" t="s">
        <v>15</v>
      </c>
      <c r="K3351" cm="1">
        <f t="array" ref="K3351">_xlfn.SWITCH(LeadsData[[#This Row],[Funnel Stage Reached]],"Lead",1,"MQL",2,"SQL",3,"Customer",4)</f>
        <v>1</v>
      </c>
      <c r="L3351" t="str">
        <f>TEXT(LeadsData[[#This Row],[Signup Date]],"mmm-yyyy")</f>
        <v>Nov-2024</v>
      </c>
      <c r="M3351">
        <f>IF(LeadsData[[#This Row],[Stage Number]]&gt;=2,1,0)</f>
        <v>0</v>
      </c>
      <c r="N3351" s="2">
        <f>IF(LeadsData[[#This Row],[Stage Number]]&gt;=3,1,0)</f>
        <v>0</v>
      </c>
      <c r="O3351" s="2">
        <f>IF(LeadsData[[#This Row],[Stage Number]]&gt;=4,1,0)</f>
        <v>0</v>
      </c>
    </row>
    <row r="3352" spans="1:15" x14ac:dyDescent="0.25">
      <c r="A3352" t="s">
        <v>3392</v>
      </c>
      <c r="B3352" s="1">
        <v>45374</v>
      </c>
      <c r="C3352" t="s">
        <v>31</v>
      </c>
      <c r="D3352" t="s">
        <v>34</v>
      </c>
      <c r="E3352" t="s">
        <v>21</v>
      </c>
      <c r="F3352" t="s">
        <v>19</v>
      </c>
      <c r="G3352" t="s">
        <v>29</v>
      </c>
      <c r="K3352" cm="1">
        <f t="array" ref="K3352">_xlfn.SWITCH(LeadsData[[#This Row],[Funnel Stage Reached]],"Lead",1,"MQL",2,"SQL",3,"Customer",4)</f>
        <v>3</v>
      </c>
      <c r="L3352" t="str">
        <f>TEXT(LeadsData[[#This Row],[Signup Date]],"mmm-yyyy")</f>
        <v>Mar-2024</v>
      </c>
      <c r="M3352">
        <f>IF(LeadsData[[#This Row],[Stage Number]]&gt;=2,1,0)</f>
        <v>1</v>
      </c>
      <c r="N3352" s="2">
        <f>IF(LeadsData[[#This Row],[Stage Number]]&gt;=3,1,0)</f>
        <v>1</v>
      </c>
      <c r="O3352" s="2">
        <f>IF(LeadsData[[#This Row],[Stage Number]]&gt;=4,1,0)</f>
        <v>0</v>
      </c>
    </row>
    <row r="3353" spans="1:15" x14ac:dyDescent="0.25">
      <c r="A3353" t="s">
        <v>3393</v>
      </c>
      <c r="B3353" s="1">
        <v>45633</v>
      </c>
      <c r="C3353" t="s">
        <v>11</v>
      </c>
      <c r="D3353" t="s">
        <v>79</v>
      </c>
      <c r="E3353" t="s">
        <v>21</v>
      </c>
      <c r="F3353" t="s">
        <v>14</v>
      </c>
      <c r="G3353" t="s">
        <v>15</v>
      </c>
      <c r="K3353" cm="1">
        <f t="array" ref="K3353">_xlfn.SWITCH(LeadsData[[#This Row],[Funnel Stage Reached]],"Lead",1,"MQL",2,"SQL",3,"Customer",4)</f>
        <v>1</v>
      </c>
      <c r="L3353" t="str">
        <f>TEXT(LeadsData[[#This Row],[Signup Date]],"mmm-yyyy")</f>
        <v>Dec-2024</v>
      </c>
      <c r="M3353">
        <f>IF(LeadsData[[#This Row],[Stage Number]]&gt;=2,1,0)</f>
        <v>0</v>
      </c>
      <c r="N3353" s="2">
        <f>IF(LeadsData[[#This Row],[Stage Number]]&gt;=3,1,0)</f>
        <v>0</v>
      </c>
      <c r="O3353" s="2">
        <f>IF(LeadsData[[#This Row],[Stage Number]]&gt;=4,1,0)</f>
        <v>0</v>
      </c>
    </row>
    <row r="3354" spans="1:15" x14ac:dyDescent="0.25">
      <c r="A3354" t="s">
        <v>3394</v>
      </c>
      <c r="B3354" s="1">
        <v>45384</v>
      </c>
      <c r="C3354" t="s">
        <v>17</v>
      </c>
      <c r="D3354" t="s">
        <v>53</v>
      </c>
      <c r="E3354" t="s">
        <v>13</v>
      </c>
      <c r="F3354" t="s">
        <v>14</v>
      </c>
      <c r="G3354" t="s">
        <v>15</v>
      </c>
      <c r="K3354" cm="1">
        <f t="array" ref="K3354">_xlfn.SWITCH(LeadsData[[#This Row],[Funnel Stage Reached]],"Lead",1,"MQL",2,"SQL",3,"Customer",4)</f>
        <v>1</v>
      </c>
      <c r="L3354" t="str">
        <f>TEXT(LeadsData[[#This Row],[Signup Date]],"mmm-yyyy")</f>
        <v>Apr-2024</v>
      </c>
      <c r="M3354">
        <f>IF(LeadsData[[#This Row],[Stage Number]]&gt;=2,1,0)</f>
        <v>0</v>
      </c>
      <c r="N3354" s="2">
        <f>IF(LeadsData[[#This Row],[Stage Number]]&gt;=3,1,0)</f>
        <v>0</v>
      </c>
      <c r="O3354" s="2">
        <f>IF(LeadsData[[#This Row],[Stage Number]]&gt;=4,1,0)</f>
        <v>0</v>
      </c>
    </row>
    <row r="3355" spans="1:15" x14ac:dyDescent="0.25">
      <c r="A3355" t="s">
        <v>3395</v>
      </c>
      <c r="B3355" s="1">
        <v>45389</v>
      </c>
      <c r="C3355" t="s">
        <v>46</v>
      </c>
      <c r="D3355" t="s">
        <v>56</v>
      </c>
      <c r="E3355" t="s">
        <v>13</v>
      </c>
      <c r="F3355" t="s">
        <v>22</v>
      </c>
      <c r="G3355" t="s">
        <v>23</v>
      </c>
      <c r="K3355" cm="1">
        <f t="array" ref="K3355">_xlfn.SWITCH(LeadsData[[#This Row],[Funnel Stage Reached]],"Lead",1,"MQL",2,"SQL",3,"Customer",4)</f>
        <v>2</v>
      </c>
      <c r="L3355" t="str">
        <f>TEXT(LeadsData[[#This Row],[Signup Date]],"mmm-yyyy")</f>
        <v>Apr-2024</v>
      </c>
      <c r="M3355">
        <f>IF(LeadsData[[#This Row],[Stage Number]]&gt;=2,1,0)</f>
        <v>1</v>
      </c>
      <c r="N3355" s="2">
        <f>IF(LeadsData[[#This Row],[Stage Number]]&gt;=3,1,0)</f>
        <v>0</v>
      </c>
      <c r="O3355" s="2">
        <f>IF(LeadsData[[#This Row],[Stage Number]]&gt;=4,1,0)</f>
        <v>0</v>
      </c>
    </row>
    <row r="3356" spans="1:15" x14ac:dyDescent="0.25">
      <c r="A3356" t="s">
        <v>3396</v>
      </c>
      <c r="B3356" s="1">
        <v>45334</v>
      </c>
      <c r="C3356" t="s">
        <v>36</v>
      </c>
      <c r="D3356" t="s">
        <v>37</v>
      </c>
      <c r="E3356" t="s">
        <v>21</v>
      </c>
      <c r="F3356" t="s">
        <v>28</v>
      </c>
      <c r="G3356" t="s">
        <v>15</v>
      </c>
      <c r="K3356" cm="1">
        <f t="array" ref="K3356">_xlfn.SWITCH(LeadsData[[#This Row],[Funnel Stage Reached]],"Lead",1,"MQL",2,"SQL",3,"Customer",4)</f>
        <v>1</v>
      </c>
      <c r="L3356" t="str">
        <f>TEXT(LeadsData[[#This Row],[Signup Date]],"mmm-yyyy")</f>
        <v>Feb-2024</v>
      </c>
      <c r="M3356">
        <f>IF(LeadsData[[#This Row],[Stage Number]]&gt;=2,1,0)</f>
        <v>0</v>
      </c>
      <c r="N3356" s="2">
        <f>IF(LeadsData[[#This Row],[Stage Number]]&gt;=3,1,0)</f>
        <v>0</v>
      </c>
      <c r="O3356" s="2">
        <f>IF(LeadsData[[#This Row],[Stage Number]]&gt;=4,1,0)</f>
        <v>0</v>
      </c>
    </row>
    <row r="3357" spans="1:15" x14ac:dyDescent="0.25">
      <c r="A3357" t="s">
        <v>3397</v>
      </c>
      <c r="B3357" s="1">
        <v>45315</v>
      </c>
      <c r="C3357" t="s">
        <v>36</v>
      </c>
      <c r="D3357" t="s">
        <v>50</v>
      </c>
      <c r="E3357" t="s">
        <v>13</v>
      </c>
      <c r="F3357" t="s">
        <v>14</v>
      </c>
      <c r="G3357" t="s">
        <v>15</v>
      </c>
      <c r="K3357" cm="1">
        <f t="array" ref="K3357">_xlfn.SWITCH(LeadsData[[#This Row],[Funnel Stage Reached]],"Lead",1,"MQL",2,"SQL",3,"Customer",4)</f>
        <v>1</v>
      </c>
      <c r="L3357" t="str">
        <f>TEXT(LeadsData[[#This Row],[Signup Date]],"mmm-yyyy")</f>
        <v>Jan-2024</v>
      </c>
      <c r="M3357">
        <f>IF(LeadsData[[#This Row],[Stage Number]]&gt;=2,1,0)</f>
        <v>0</v>
      </c>
      <c r="N3357" s="2">
        <f>IF(LeadsData[[#This Row],[Stage Number]]&gt;=3,1,0)</f>
        <v>0</v>
      </c>
      <c r="O3357" s="2">
        <f>IF(LeadsData[[#This Row],[Stage Number]]&gt;=4,1,0)</f>
        <v>0</v>
      </c>
    </row>
    <row r="3358" spans="1:15" x14ac:dyDescent="0.25">
      <c r="A3358" t="s">
        <v>3398</v>
      </c>
      <c r="B3358" s="1">
        <v>45301</v>
      </c>
      <c r="C3358" t="s">
        <v>17</v>
      </c>
      <c r="D3358" t="s">
        <v>53</v>
      </c>
      <c r="E3358" t="s">
        <v>21</v>
      </c>
      <c r="F3358" t="s">
        <v>22</v>
      </c>
      <c r="G3358" t="s">
        <v>15</v>
      </c>
      <c r="K3358" cm="1">
        <f t="array" ref="K3358">_xlfn.SWITCH(LeadsData[[#This Row],[Funnel Stage Reached]],"Lead",1,"MQL",2,"SQL",3,"Customer",4)</f>
        <v>1</v>
      </c>
      <c r="L3358" t="str">
        <f>TEXT(LeadsData[[#This Row],[Signup Date]],"mmm-yyyy")</f>
        <v>Jan-2024</v>
      </c>
      <c r="M3358">
        <f>IF(LeadsData[[#This Row],[Stage Number]]&gt;=2,1,0)</f>
        <v>0</v>
      </c>
      <c r="N3358" s="2">
        <f>IF(LeadsData[[#This Row],[Stage Number]]&gt;=3,1,0)</f>
        <v>0</v>
      </c>
      <c r="O3358" s="2">
        <f>IF(LeadsData[[#This Row],[Stage Number]]&gt;=4,1,0)</f>
        <v>0</v>
      </c>
    </row>
    <row r="3359" spans="1:15" x14ac:dyDescent="0.25">
      <c r="A3359" t="s">
        <v>3399</v>
      </c>
      <c r="B3359" s="1">
        <v>45312</v>
      </c>
      <c r="C3359" t="s">
        <v>31</v>
      </c>
      <c r="D3359" t="s">
        <v>32</v>
      </c>
      <c r="E3359" t="s">
        <v>13</v>
      </c>
      <c r="F3359" t="s">
        <v>22</v>
      </c>
      <c r="G3359" t="s">
        <v>23</v>
      </c>
      <c r="K3359" cm="1">
        <f t="array" ref="K3359">_xlfn.SWITCH(LeadsData[[#This Row],[Funnel Stage Reached]],"Lead",1,"MQL",2,"SQL",3,"Customer",4)</f>
        <v>2</v>
      </c>
      <c r="L3359" t="str">
        <f>TEXT(LeadsData[[#This Row],[Signup Date]],"mmm-yyyy")</f>
        <v>Jan-2024</v>
      </c>
      <c r="M3359">
        <f>IF(LeadsData[[#This Row],[Stage Number]]&gt;=2,1,0)</f>
        <v>1</v>
      </c>
      <c r="N3359" s="2">
        <f>IF(LeadsData[[#This Row],[Stage Number]]&gt;=3,1,0)</f>
        <v>0</v>
      </c>
      <c r="O3359" s="2">
        <f>IF(LeadsData[[#This Row],[Stage Number]]&gt;=4,1,0)</f>
        <v>0</v>
      </c>
    </row>
    <row r="3360" spans="1:15" x14ac:dyDescent="0.25">
      <c r="A3360" t="s">
        <v>3400</v>
      </c>
      <c r="B3360" s="1">
        <v>45383</v>
      </c>
      <c r="C3360" t="s">
        <v>46</v>
      </c>
      <c r="D3360" t="s">
        <v>56</v>
      </c>
      <c r="E3360" t="s">
        <v>21</v>
      </c>
      <c r="F3360" t="s">
        <v>22</v>
      </c>
      <c r="G3360" t="s">
        <v>42</v>
      </c>
      <c r="H3360">
        <v>60</v>
      </c>
      <c r="I3360" t="s">
        <v>87</v>
      </c>
      <c r="J3360">
        <v>4653.49</v>
      </c>
      <c r="K3360" cm="1">
        <f t="array" ref="K3360">_xlfn.SWITCH(LeadsData[[#This Row],[Funnel Stage Reached]],"Lead",1,"MQL",2,"SQL",3,"Customer",4)</f>
        <v>4</v>
      </c>
      <c r="L3360" t="str">
        <f>TEXT(LeadsData[[#This Row],[Signup Date]],"mmm-yyyy")</f>
        <v>Apr-2024</v>
      </c>
      <c r="M3360">
        <f>IF(LeadsData[[#This Row],[Stage Number]]&gt;=2,1,0)</f>
        <v>1</v>
      </c>
      <c r="N3360" s="2">
        <f>IF(LeadsData[[#This Row],[Stage Number]]&gt;=3,1,0)</f>
        <v>1</v>
      </c>
      <c r="O3360" s="2">
        <f>IF(LeadsData[[#This Row],[Stage Number]]&gt;=4,1,0)</f>
        <v>1</v>
      </c>
    </row>
    <row r="3361" spans="1:15" x14ac:dyDescent="0.25">
      <c r="A3361" t="s">
        <v>3401</v>
      </c>
      <c r="B3361" s="1">
        <v>45376</v>
      </c>
      <c r="C3361" t="s">
        <v>46</v>
      </c>
      <c r="D3361" t="s">
        <v>47</v>
      </c>
      <c r="E3361" t="s">
        <v>13</v>
      </c>
      <c r="F3361" t="s">
        <v>19</v>
      </c>
      <c r="G3361" t="s">
        <v>15</v>
      </c>
      <c r="K3361" cm="1">
        <f t="array" ref="K3361">_xlfn.SWITCH(LeadsData[[#This Row],[Funnel Stage Reached]],"Lead",1,"MQL",2,"SQL",3,"Customer",4)</f>
        <v>1</v>
      </c>
      <c r="L3361" t="str">
        <f>TEXT(LeadsData[[#This Row],[Signup Date]],"mmm-yyyy")</f>
        <v>Mar-2024</v>
      </c>
      <c r="M3361">
        <f>IF(LeadsData[[#This Row],[Stage Number]]&gt;=2,1,0)</f>
        <v>0</v>
      </c>
      <c r="N3361" s="2">
        <f>IF(LeadsData[[#This Row],[Stage Number]]&gt;=3,1,0)</f>
        <v>0</v>
      </c>
      <c r="O3361" s="2">
        <f>IF(LeadsData[[#This Row],[Stage Number]]&gt;=4,1,0)</f>
        <v>0</v>
      </c>
    </row>
    <row r="3362" spans="1:15" x14ac:dyDescent="0.25">
      <c r="A3362" t="s">
        <v>3402</v>
      </c>
      <c r="B3362" s="1">
        <v>45302</v>
      </c>
      <c r="C3362" t="s">
        <v>36</v>
      </c>
      <c r="D3362" t="s">
        <v>50</v>
      </c>
      <c r="E3362" t="s">
        <v>13</v>
      </c>
      <c r="F3362" t="s">
        <v>19</v>
      </c>
      <c r="G3362" t="s">
        <v>42</v>
      </c>
      <c r="H3362">
        <v>40</v>
      </c>
      <c r="I3362" t="s">
        <v>87</v>
      </c>
      <c r="J3362">
        <v>3544.11</v>
      </c>
      <c r="K3362" cm="1">
        <f t="array" ref="K3362">_xlfn.SWITCH(LeadsData[[#This Row],[Funnel Stage Reached]],"Lead",1,"MQL",2,"SQL",3,"Customer",4)</f>
        <v>4</v>
      </c>
      <c r="L3362" t="str">
        <f>TEXT(LeadsData[[#This Row],[Signup Date]],"mmm-yyyy")</f>
        <v>Jan-2024</v>
      </c>
      <c r="M3362">
        <f>IF(LeadsData[[#This Row],[Stage Number]]&gt;=2,1,0)</f>
        <v>1</v>
      </c>
      <c r="N3362" s="2">
        <f>IF(LeadsData[[#This Row],[Stage Number]]&gt;=3,1,0)</f>
        <v>1</v>
      </c>
      <c r="O3362" s="2">
        <f>IF(LeadsData[[#This Row],[Stage Number]]&gt;=4,1,0)</f>
        <v>1</v>
      </c>
    </row>
    <row r="3363" spans="1:15" x14ac:dyDescent="0.25">
      <c r="A3363" t="s">
        <v>3403</v>
      </c>
      <c r="B3363" s="1">
        <v>45587</v>
      </c>
      <c r="C3363" t="s">
        <v>46</v>
      </c>
      <c r="D3363" t="s">
        <v>47</v>
      </c>
      <c r="E3363" t="s">
        <v>21</v>
      </c>
      <c r="F3363" t="s">
        <v>14</v>
      </c>
      <c r="G3363" t="s">
        <v>15</v>
      </c>
      <c r="K3363" cm="1">
        <f t="array" ref="K3363">_xlfn.SWITCH(LeadsData[[#This Row],[Funnel Stage Reached]],"Lead",1,"MQL",2,"SQL",3,"Customer",4)</f>
        <v>1</v>
      </c>
      <c r="L3363" t="str">
        <f>TEXT(LeadsData[[#This Row],[Signup Date]],"mmm-yyyy")</f>
        <v>Oct-2024</v>
      </c>
      <c r="M3363">
        <f>IF(LeadsData[[#This Row],[Stage Number]]&gt;=2,1,0)</f>
        <v>0</v>
      </c>
      <c r="N3363" s="2">
        <f>IF(LeadsData[[#This Row],[Stage Number]]&gt;=3,1,0)</f>
        <v>0</v>
      </c>
      <c r="O3363" s="2">
        <f>IF(LeadsData[[#This Row],[Stage Number]]&gt;=4,1,0)</f>
        <v>0</v>
      </c>
    </row>
    <row r="3364" spans="1:15" x14ac:dyDescent="0.25">
      <c r="A3364" t="s">
        <v>3404</v>
      </c>
      <c r="B3364" s="1">
        <v>45574</v>
      </c>
      <c r="C3364" t="s">
        <v>31</v>
      </c>
      <c r="D3364" t="s">
        <v>34</v>
      </c>
      <c r="E3364" t="s">
        <v>13</v>
      </c>
      <c r="F3364" t="s">
        <v>19</v>
      </c>
      <c r="G3364" t="s">
        <v>23</v>
      </c>
      <c r="K3364" cm="1">
        <f t="array" ref="K3364">_xlfn.SWITCH(LeadsData[[#This Row],[Funnel Stage Reached]],"Lead",1,"MQL",2,"SQL",3,"Customer",4)</f>
        <v>2</v>
      </c>
      <c r="L3364" t="str">
        <f>TEXT(LeadsData[[#This Row],[Signup Date]],"mmm-yyyy")</f>
        <v>Oct-2024</v>
      </c>
      <c r="M3364">
        <f>IF(LeadsData[[#This Row],[Stage Number]]&gt;=2,1,0)</f>
        <v>1</v>
      </c>
      <c r="N3364" s="2">
        <f>IF(LeadsData[[#This Row],[Stage Number]]&gt;=3,1,0)</f>
        <v>0</v>
      </c>
      <c r="O3364" s="2">
        <f>IF(LeadsData[[#This Row],[Stage Number]]&gt;=4,1,0)</f>
        <v>0</v>
      </c>
    </row>
    <row r="3365" spans="1:15" x14ac:dyDescent="0.25">
      <c r="A3365" t="s">
        <v>3405</v>
      </c>
      <c r="B3365" s="1">
        <v>45339</v>
      </c>
      <c r="C3365" t="s">
        <v>31</v>
      </c>
      <c r="D3365" t="s">
        <v>32</v>
      </c>
      <c r="E3365" t="s">
        <v>21</v>
      </c>
      <c r="F3365" t="s">
        <v>19</v>
      </c>
      <c r="G3365" t="s">
        <v>29</v>
      </c>
      <c r="K3365" cm="1">
        <f t="array" ref="K3365">_xlfn.SWITCH(LeadsData[[#This Row],[Funnel Stage Reached]],"Lead",1,"MQL",2,"SQL",3,"Customer",4)</f>
        <v>3</v>
      </c>
      <c r="L3365" t="str">
        <f>TEXT(LeadsData[[#This Row],[Signup Date]],"mmm-yyyy")</f>
        <v>Feb-2024</v>
      </c>
      <c r="M3365">
        <f>IF(LeadsData[[#This Row],[Stage Number]]&gt;=2,1,0)</f>
        <v>1</v>
      </c>
      <c r="N3365" s="2">
        <f>IF(LeadsData[[#This Row],[Stage Number]]&gt;=3,1,0)</f>
        <v>1</v>
      </c>
      <c r="O3365" s="2">
        <f>IF(LeadsData[[#This Row],[Stage Number]]&gt;=4,1,0)</f>
        <v>0</v>
      </c>
    </row>
    <row r="3366" spans="1:15" x14ac:dyDescent="0.25">
      <c r="A3366" t="s">
        <v>3406</v>
      </c>
      <c r="B3366" s="1">
        <v>45512</v>
      </c>
      <c r="C3366" t="s">
        <v>36</v>
      </c>
      <c r="D3366" t="s">
        <v>37</v>
      </c>
      <c r="E3366" t="s">
        <v>13</v>
      </c>
      <c r="F3366" t="s">
        <v>22</v>
      </c>
      <c r="G3366" t="s">
        <v>29</v>
      </c>
      <c r="K3366" cm="1">
        <f t="array" ref="K3366">_xlfn.SWITCH(LeadsData[[#This Row],[Funnel Stage Reached]],"Lead",1,"MQL",2,"SQL",3,"Customer",4)</f>
        <v>3</v>
      </c>
      <c r="L3366" t="str">
        <f>TEXT(LeadsData[[#This Row],[Signup Date]],"mmm-yyyy")</f>
        <v>Aug-2024</v>
      </c>
      <c r="M3366">
        <f>IF(LeadsData[[#This Row],[Stage Number]]&gt;=2,1,0)</f>
        <v>1</v>
      </c>
      <c r="N3366" s="2">
        <f>IF(LeadsData[[#This Row],[Stage Number]]&gt;=3,1,0)</f>
        <v>1</v>
      </c>
      <c r="O3366" s="2">
        <f>IF(LeadsData[[#This Row],[Stage Number]]&gt;=4,1,0)</f>
        <v>0</v>
      </c>
    </row>
    <row r="3367" spans="1:15" x14ac:dyDescent="0.25">
      <c r="A3367" t="s">
        <v>3407</v>
      </c>
      <c r="B3367" s="1">
        <v>45585</v>
      </c>
      <c r="C3367" t="s">
        <v>11</v>
      </c>
      <c r="D3367" t="s">
        <v>68</v>
      </c>
      <c r="E3367" t="s">
        <v>13</v>
      </c>
      <c r="F3367" t="s">
        <v>22</v>
      </c>
      <c r="G3367" t="s">
        <v>23</v>
      </c>
      <c r="K3367" cm="1">
        <f t="array" ref="K3367">_xlfn.SWITCH(LeadsData[[#This Row],[Funnel Stage Reached]],"Lead",1,"MQL",2,"SQL",3,"Customer",4)</f>
        <v>2</v>
      </c>
      <c r="L3367" t="str">
        <f>TEXT(LeadsData[[#This Row],[Signup Date]],"mmm-yyyy")</f>
        <v>Oct-2024</v>
      </c>
      <c r="M3367">
        <f>IF(LeadsData[[#This Row],[Stage Number]]&gt;=2,1,0)</f>
        <v>1</v>
      </c>
      <c r="N3367" s="2">
        <f>IF(LeadsData[[#This Row],[Stage Number]]&gt;=3,1,0)</f>
        <v>0</v>
      </c>
      <c r="O3367" s="2">
        <f>IF(LeadsData[[#This Row],[Stage Number]]&gt;=4,1,0)</f>
        <v>0</v>
      </c>
    </row>
    <row r="3368" spans="1:15" x14ac:dyDescent="0.25">
      <c r="A3368" t="s">
        <v>3408</v>
      </c>
      <c r="B3368" s="1">
        <v>45531</v>
      </c>
      <c r="C3368" t="s">
        <v>31</v>
      </c>
      <c r="D3368" t="s">
        <v>34</v>
      </c>
      <c r="E3368" t="s">
        <v>21</v>
      </c>
      <c r="F3368" t="s">
        <v>19</v>
      </c>
      <c r="G3368" t="s">
        <v>15</v>
      </c>
      <c r="K3368" cm="1">
        <f t="array" ref="K3368">_xlfn.SWITCH(LeadsData[[#This Row],[Funnel Stage Reached]],"Lead",1,"MQL",2,"SQL",3,"Customer",4)</f>
        <v>1</v>
      </c>
      <c r="L3368" t="str">
        <f>TEXT(LeadsData[[#This Row],[Signup Date]],"mmm-yyyy")</f>
        <v>Aug-2024</v>
      </c>
      <c r="M3368">
        <f>IF(LeadsData[[#This Row],[Stage Number]]&gt;=2,1,0)</f>
        <v>0</v>
      </c>
      <c r="N3368" s="2">
        <f>IF(LeadsData[[#This Row],[Stage Number]]&gt;=3,1,0)</f>
        <v>0</v>
      </c>
      <c r="O3368" s="2">
        <f>IF(LeadsData[[#This Row],[Stage Number]]&gt;=4,1,0)</f>
        <v>0</v>
      </c>
    </row>
    <row r="3369" spans="1:15" x14ac:dyDescent="0.25">
      <c r="A3369" t="s">
        <v>3409</v>
      </c>
      <c r="B3369" s="1">
        <v>45521</v>
      </c>
      <c r="C3369" t="s">
        <v>25</v>
      </c>
      <c r="D3369" t="s">
        <v>26</v>
      </c>
      <c r="E3369" t="s">
        <v>21</v>
      </c>
      <c r="F3369" t="s">
        <v>22</v>
      </c>
      <c r="G3369" t="s">
        <v>15</v>
      </c>
      <c r="K3369" cm="1">
        <f t="array" ref="K3369">_xlfn.SWITCH(LeadsData[[#This Row],[Funnel Stage Reached]],"Lead",1,"MQL",2,"SQL",3,"Customer",4)</f>
        <v>1</v>
      </c>
      <c r="L3369" t="str">
        <f>TEXT(LeadsData[[#This Row],[Signup Date]],"mmm-yyyy")</f>
        <v>Aug-2024</v>
      </c>
      <c r="M3369">
        <f>IF(LeadsData[[#This Row],[Stage Number]]&gt;=2,1,0)</f>
        <v>0</v>
      </c>
      <c r="N3369" s="2">
        <f>IF(LeadsData[[#This Row],[Stage Number]]&gt;=3,1,0)</f>
        <v>0</v>
      </c>
      <c r="O3369" s="2">
        <f>IF(LeadsData[[#This Row],[Stage Number]]&gt;=4,1,0)</f>
        <v>0</v>
      </c>
    </row>
    <row r="3370" spans="1:15" x14ac:dyDescent="0.25">
      <c r="A3370" t="s">
        <v>3410</v>
      </c>
      <c r="B3370" s="1">
        <v>45508</v>
      </c>
      <c r="C3370" t="s">
        <v>31</v>
      </c>
      <c r="D3370" t="s">
        <v>32</v>
      </c>
      <c r="E3370" t="s">
        <v>13</v>
      </c>
      <c r="F3370" t="s">
        <v>19</v>
      </c>
      <c r="G3370" t="s">
        <v>23</v>
      </c>
      <c r="K3370" cm="1">
        <f t="array" ref="K3370">_xlfn.SWITCH(LeadsData[[#This Row],[Funnel Stage Reached]],"Lead",1,"MQL",2,"SQL",3,"Customer",4)</f>
        <v>2</v>
      </c>
      <c r="L3370" t="str">
        <f>TEXT(LeadsData[[#This Row],[Signup Date]],"mmm-yyyy")</f>
        <v>Aug-2024</v>
      </c>
      <c r="M3370">
        <f>IF(LeadsData[[#This Row],[Stage Number]]&gt;=2,1,0)</f>
        <v>1</v>
      </c>
      <c r="N3370" s="2">
        <f>IF(LeadsData[[#This Row],[Stage Number]]&gt;=3,1,0)</f>
        <v>0</v>
      </c>
      <c r="O3370" s="2">
        <f>IF(LeadsData[[#This Row],[Stage Number]]&gt;=4,1,0)</f>
        <v>0</v>
      </c>
    </row>
    <row r="3371" spans="1:15" x14ac:dyDescent="0.25">
      <c r="A3371" t="s">
        <v>3411</v>
      </c>
      <c r="B3371" s="1">
        <v>45619</v>
      </c>
      <c r="C3371" t="s">
        <v>17</v>
      </c>
      <c r="D3371" t="s">
        <v>53</v>
      </c>
      <c r="E3371" t="s">
        <v>13</v>
      </c>
      <c r="F3371" t="s">
        <v>19</v>
      </c>
      <c r="G3371" t="s">
        <v>15</v>
      </c>
      <c r="K3371" cm="1">
        <f t="array" ref="K3371">_xlfn.SWITCH(LeadsData[[#This Row],[Funnel Stage Reached]],"Lead",1,"MQL",2,"SQL",3,"Customer",4)</f>
        <v>1</v>
      </c>
      <c r="L3371" t="str">
        <f>TEXT(LeadsData[[#This Row],[Signup Date]],"mmm-yyyy")</f>
        <v>Nov-2024</v>
      </c>
      <c r="M3371">
        <f>IF(LeadsData[[#This Row],[Stage Number]]&gt;=2,1,0)</f>
        <v>0</v>
      </c>
      <c r="N3371" s="2">
        <f>IF(LeadsData[[#This Row],[Stage Number]]&gt;=3,1,0)</f>
        <v>0</v>
      </c>
      <c r="O3371" s="2">
        <f>IF(LeadsData[[#This Row],[Stage Number]]&gt;=4,1,0)</f>
        <v>0</v>
      </c>
    </row>
    <row r="3372" spans="1:15" x14ac:dyDescent="0.25">
      <c r="A3372" t="s">
        <v>3412</v>
      </c>
      <c r="B3372" s="1">
        <v>45618</v>
      </c>
      <c r="C3372" t="s">
        <v>17</v>
      </c>
      <c r="D3372" t="s">
        <v>18</v>
      </c>
      <c r="E3372" t="s">
        <v>13</v>
      </c>
      <c r="F3372" t="s">
        <v>22</v>
      </c>
      <c r="G3372" t="s">
        <v>23</v>
      </c>
      <c r="K3372" cm="1">
        <f t="array" ref="K3372">_xlfn.SWITCH(LeadsData[[#This Row],[Funnel Stage Reached]],"Lead",1,"MQL",2,"SQL",3,"Customer",4)</f>
        <v>2</v>
      </c>
      <c r="L3372" t="str">
        <f>TEXT(LeadsData[[#This Row],[Signup Date]],"mmm-yyyy")</f>
        <v>Nov-2024</v>
      </c>
      <c r="M3372">
        <f>IF(LeadsData[[#This Row],[Stage Number]]&gt;=2,1,0)</f>
        <v>1</v>
      </c>
      <c r="N3372" s="2">
        <f>IF(LeadsData[[#This Row],[Stage Number]]&gt;=3,1,0)</f>
        <v>0</v>
      </c>
      <c r="O3372" s="2">
        <f>IF(LeadsData[[#This Row],[Stage Number]]&gt;=4,1,0)</f>
        <v>0</v>
      </c>
    </row>
    <row r="3373" spans="1:15" x14ac:dyDescent="0.25">
      <c r="A3373" t="s">
        <v>3413</v>
      </c>
      <c r="B3373" s="1">
        <v>45374</v>
      </c>
      <c r="C3373" t="s">
        <v>36</v>
      </c>
      <c r="D3373" t="s">
        <v>37</v>
      </c>
      <c r="E3373" t="s">
        <v>13</v>
      </c>
      <c r="F3373" t="s">
        <v>14</v>
      </c>
      <c r="G3373" t="s">
        <v>15</v>
      </c>
      <c r="K3373" cm="1">
        <f t="array" ref="K3373">_xlfn.SWITCH(LeadsData[[#This Row],[Funnel Stage Reached]],"Lead",1,"MQL",2,"SQL",3,"Customer",4)</f>
        <v>1</v>
      </c>
      <c r="L3373" t="str">
        <f>TEXT(LeadsData[[#This Row],[Signup Date]],"mmm-yyyy")</f>
        <v>Mar-2024</v>
      </c>
      <c r="M3373">
        <f>IF(LeadsData[[#This Row],[Stage Number]]&gt;=2,1,0)</f>
        <v>0</v>
      </c>
      <c r="N3373" s="2">
        <f>IF(LeadsData[[#This Row],[Stage Number]]&gt;=3,1,0)</f>
        <v>0</v>
      </c>
      <c r="O3373" s="2">
        <f>IF(LeadsData[[#This Row],[Stage Number]]&gt;=4,1,0)</f>
        <v>0</v>
      </c>
    </row>
    <row r="3374" spans="1:15" x14ac:dyDescent="0.25">
      <c r="A3374" t="s">
        <v>3414</v>
      </c>
      <c r="B3374" s="1">
        <v>45519</v>
      </c>
      <c r="C3374" t="s">
        <v>11</v>
      </c>
      <c r="D3374" t="s">
        <v>12</v>
      </c>
      <c r="E3374" t="s">
        <v>21</v>
      </c>
      <c r="F3374" t="s">
        <v>19</v>
      </c>
      <c r="G3374" t="s">
        <v>29</v>
      </c>
      <c r="K3374" cm="1">
        <f t="array" ref="K3374">_xlfn.SWITCH(LeadsData[[#This Row],[Funnel Stage Reached]],"Lead",1,"MQL",2,"SQL",3,"Customer",4)</f>
        <v>3</v>
      </c>
      <c r="L3374" t="str">
        <f>TEXT(LeadsData[[#This Row],[Signup Date]],"mmm-yyyy")</f>
        <v>Aug-2024</v>
      </c>
      <c r="M3374">
        <f>IF(LeadsData[[#This Row],[Stage Number]]&gt;=2,1,0)</f>
        <v>1</v>
      </c>
      <c r="N3374" s="2">
        <f>IF(LeadsData[[#This Row],[Stage Number]]&gt;=3,1,0)</f>
        <v>1</v>
      </c>
      <c r="O3374" s="2">
        <f>IF(LeadsData[[#This Row],[Stage Number]]&gt;=4,1,0)</f>
        <v>0</v>
      </c>
    </row>
    <row r="3375" spans="1:15" x14ac:dyDescent="0.25">
      <c r="A3375" t="s">
        <v>3415</v>
      </c>
      <c r="B3375" s="1">
        <v>45602</v>
      </c>
      <c r="C3375" t="s">
        <v>31</v>
      </c>
      <c r="D3375" t="s">
        <v>32</v>
      </c>
      <c r="E3375" t="s">
        <v>21</v>
      </c>
      <c r="F3375" t="s">
        <v>22</v>
      </c>
      <c r="G3375" t="s">
        <v>23</v>
      </c>
      <c r="K3375" cm="1">
        <f t="array" ref="K3375">_xlfn.SWITCH(LeadsData[[#This Row],[Funnel Stage Reached]],"Lead",1,"MQL",2,"SQL",3,"Customer",4)</f>
        <v>2</v>
      </c>
      <c r="L3375" t="str">
        <f>TEXT(LeadsData[[#This Row],[Signup Date]],"mmm-yyyy")</f>
        <v>Nov-2024</v>
      </c>
      <c r="M3375">
        <f>IF(LeadsData[[#This Row],[Stage Number]]&gt;=2,1,0)</f>
        <v>1</v>
      </c>
      <c r="N3375" s="2">
        <f>IF(LeadsData[[#This Row],[Stage Number]]&gt;=3,1,0)</f>
        <v>0</v>
      </c>
      <c r="O3375" s="2">
        <f>IF(LeadsData[[#This Row],[Stage Number]]&gt;=4,1,0)</f>
        <v>0</v>
      </c>
    </row>
    <row r="3376" spans="1:15" x14ac:dyDescent="0.25">
      <c r="A3376" t="s">
        <v>3416</v>
      </c>
      <c r="B3376" s="1">
        <v>45470</v>
      </c>
      <c r="C3376" t="s">
        <v>17</v>
      </c>
      <c r="D3376" t="s">
        <v>18</v>
      </c>
      <c r="E3376" t="s">
        <v>13</v>
      </c>
      <c r="F3376" t="s">
        <v>19</v>
      </c>
      <c r="G3376" t="s">
        <v>15</v>
      </c>
      <c r="K3376" cm="1">
        <f t="array" ref="K3376">_xlfn.SWITCH(LeadsData[[#This Row],[Funnel Stage Reached]],"Lead",1,"MQL",2,"SQL",3,"Customer",4)</f>
        <v>1</v>
      </c>
      <c r="L3376" t="str">
        <f>TEXT(LeadsData[[#This Row],[Signup Date]],"mmm-yyyy")</f>
        <v>Jun-2024</v>
      </c>
      <c r="M3376">
        <f>IF(LeadsData[[#This Row],[Stage Number]]&gt;=2,1,0)</f>
        <v>0</v>
      </c>
      <c r="N3376" s="2">
        <f>IF(LeadsData[[#This Row],[Stage Number]]&gt;=3,1,0)</f>
        <v>0</v>
      </c>
      <c r="O3376" s="2">
        <f>IF(LeadsData[[#This Row],[Stage Number]]&gt;=4,1,0)</f>
        <v>0</v>
      </c>
    </row>
    <row r="3377" spans="1:15" x14ac:dyDescent="0.25">
      <c r="A3377" t="s">
        <v>3417</v>
      </c>
      <c r="B3377" s="1">
        <v>45407</v>
      </c>
      <c r="C3377" t="s">
        <v>36</v>
      </c>
      <c r="D3377" t="s">
        <v>50</v>
      </c>
      <c r="E3377" t="s">
        <v>21</v>
      </c>
      <c r="F3377" t="s">
        <v>22</v>
      </c>
      <c r="G3377" t="s">
        <v>42</v>
      </c>
      <c r="H3377">
        <v>75</v>
      </c>
      <c r="I3377" t="s">
        <v>43</v>
      </c>
      <c r="J3377">
        <v>1217.82</v>
      </c>
      <c r="K3377" cm="1">
        <f t="array" ref="K3377">_xlfn.SWITCH(LeadsData[[#This Row],[Funnel Stage Reached]],"Lead",1,"MQL",2,"SQL",3,"Customer",4)</f>
        <v>4</v>
      </c>
      <c r="L3377" t="str">
        <f>TEXT(LeadsData[[#This Row],[Signup Date]],"mmm-yyyy")</f>
        <v>Apr-2024</v>
      </c>
      <c r="M3377">
        <f>IF(LeadsData[[#This Row],[Stage Number]]&gt;=2,1,0)</f>
        <v>1</v>
      </c>
      <c r="N3377" s="2">
        <f>IF(LeadsData[[#This Row],[Stage Number]]&gt;=3,1,0)</f>
        <v>1</v>
      </c>
      <c r="O3377" s="2">
        <f>IF(LeadsData[[#This Row],[Stage Number]]&gt;=4,1,0)</f>
        <v>1</v>
      </c>
    </row>
    <row r="3378" spans="1:15" x14ac:dyDescent="0.25">
      <c r="A3378" t="s">
        <v>3418</v>
      </c>
      <c r="B3378" s="1">
        <v>45609</v>
      </c>
      <c r="C3378" t="s">
        <v>11</v>
      </c>
      <c r="D3378" t="s">
        <v>12</v>
      </c>
      <c r="E3378" t="s">
        <v>48</v>
      </c>
      <c r="F3378" t="s">
        <v>22</v>
      </c>
      <c r="G3378" t="s">
        <v>15</v>
      </c>
      <c r="K3378" cm="1">
        <f t="array" ref="K3378">_xlfn.SWITCH(LeadsData[[#This Row],[Funnel Stage Reached]],"Lead",1,"MQL",2,"SQL",3,"Customer",4)</f>
        <v>1</v>
      </c>
      <c r="L3378" t="str">
        <f>TEXT(LeadsData[[#This Row],[Signup Date]],"mmm-yyyy")</f>
        <v>Nov-2024</v>
      </c>
      <c r="M3378">
        <f>IF(LeadsData[[#This Row],[Stage Number]]&gt;=2,1,0)</f>
        <v>0</v>
      </c>
      <c r="N3378" s="2">
        <f>IF(LeadsData[[#This Row],[Stage Number]]&gt;=3,1,0)</f>
        <v>0</v>
      </c>
      <c r="O3378" s="2">
        <f>IF(LeadsData[[#This Row],[Stage Number]]&gt;=4,1,0)</f>
        <v>0</v>
      </c>
    </row>
    <row r="3379" spans="1:15" x14ac:dyDescent="0.25">
      <c r="A3379" t="s">
        <v>3419</v>
      </c>
      <c r="B3379" s="1">
        <v>45648</v>
      </c>
      <c r="C3379" t="s">
        <v>46</v>
      </c>
      <c r="D3379" t="s">
        <v>47</v>
      </c>
      <c r="E3379" t="s">
        <v>21</v>
      </c>
      <c r="F3379" t="s">
        <v>14</v>
      </c>
      <c r="G3379" t="s">
        <v>15</v>
      </c>
      <c r="K3379" cm="1">
        <f t="array" ref="K3379">_xlfn.SWITCH(LeadsData[[#This Row],[Funnel Stage Reached]],"Lead",1,"MQL",2,"SQL",3,"Customer",4)</f>
        <v>1</v>
      </c>
      <c r="L3379" t="str">
        <f>TEXT(LeadsData[[#This Row],[Signup Date]],"mmm-yyyy")</f>
        <v>Dec-2024</v>
      </c>
      <c r="M3379">
        <f>IF(LeadsData[[#This Row],[Stage Number]]&gt;=2,1,0)</f>
        <v>0</v>
      </c>
      <c r="N3379" s="2">
        <f>IF(LeadsData[[#This Row],[Stage Number]]&gt;=3,1,0)</f>
        <v>0</v>
      </c>
      <c r="O3379" s="2">
        <f>IF(LeadsData[[#This Row],[Stage Number]]&gt;=4,1,0)</f>
        <v>0</v>
      </c>
    </row>
    <row r="3380" spans="1:15" x14ac:dyDescent="0.25">
      <c r="A3380" t="s">
        <v>3420</v>
      </c>
      <c r="B3380" s="1">
        <v>45631</v>
      </c>
      <c r="C3380" t="s">
        <v>46</v>
      </c>
      <c r="D3380" t="s">
        <v>47</v>
      </c>
      <c r="E3380" t="s">
        <v>21</v>
      </c>
      <c r="F3380" t="s">
        <v>19</v>
      </c>
      <c r="G3380" t="s">
        <v>23</v>
      </c>
      <c r="K3380" cm="1">
        <f t="array" ref="K3380">_xlfn.SWITCH(LeadsData[[#This Row],[Funnel Stage Reached]],"Lead",1,"MQL",2,"SQL",3,"Customer",4)</f>
        <v>2</v>
      </c>
      <c r="L3380" t="str">
        <f>TEXT(LeadsData[[#This Row],[Signup Date]],"mmm-yyyy")</f>
        <v>Dec-2024</v>
      </c>
      <c r="M3380">
        <f>IF(LeadsData[[#This Row],[Stage Number]]&gt;=2,1,0)</f>
        <v>1</v>
      </c>
      <c r="N3380" s="2">
        <f>IF(LeadsData[[#This Row],[Stage Number]]&gt;=3,1,0)</f>
        <v>0</v>
      </c>
      <c r="O3380" s="2">
        <f>IF(LeadsData[[#This Row],[Stage Number]]&gt;=4,1,0)</f>
        <v>0</v>
      </c>
    </row>
    <row r="3381" spans="1:15" x14ac:dyDescent="0.25">
      <c r="A3381" t="s">
        <v>3421</v>
      </c>
      <c r="B3381" s="1">
        <v>45517</v>
      </c>
      <c r="C3381" t="s">
        <v>11</v>
      </c>
      <c r="D3381" t="s">
        <v>79</v>
      </c>
      <c r="E3381" t="s">
        <v>21</v>
      </c>
      <c r="F3381" t="s">
        <v>19</v>
      </c>
      <c r="G3381" t="s">
        <v>23</v>
      </c>
      <c r="K3381" cm="1">
        <f t="array" ref="K3381">_xlfn.SWITCH(LeadsData[[#This Row],[Funnel Stage Reached]],"Lead",1,"MQL",2,"SQL",3,"Customer",4)</f>
        <v>2</v>
      </c>
      <c r="L3381" t="str">
        <f>TEXT(LeadsData[[#This Row],[Signup Date]],"mmm-yyyy")</f>
        <v>Aug-2024</v>
      </c>
      <c r="M3381">
        <f>IF(LeadsData[[#This Row],[Stage Number]]&gt;=2,1,0)</f>
        <v>1</v>
      </c>
      <c r="N3381" s="2">
        <f>IF(LeadsData[[#This Row],[Stage Number]]&gt;=3,1,0)</f>
        <v>0</v>
      </c>
      <c r="O3381" s="2">
        <f>IF(LeadsData[[#This Row],[Stage Number]]&gt;=4,1,0)</f>
        <v>0</v>
      </c>
    </row>
    <row r="3382" spans="1:15" x14ac:dyDescent="0.25">
      <c r="A3382" t="s">
        <v>3422</v>
      </c>
      <c r="B3382" s="1">
        <v>45619</v>
      </c>
      <c r="C3382" t="s">
        <v>46</v>
      </c>
      <c r="D3382" t="s">
        <v>47</v>
      </c>
      <c r="E3382" t="s">
        <v>13</v>
      </c>
      <c r="F3382" t="s">
        <v>22</v>
      </c>
      <c r="G3382" t="s">
        <v>15</v>
      </c>
      <c r="K3382" cm="1">
        <f t="array" ref="K3382">_xlfn.SWITCH(LeadsData[[#This Row],[Funnel Stage Reached]],"Lead",1,"MQL",2,"SQL",3,"Customer",4)</f>
        <v>1</v>
      </c>
      <c r="L3382" t="str">
        <f>TEXT(LeadsData[[#This Row],[Signup Date]],"mmm-yyyy")</f>
        <v>Nov-2024</v>
      </c>
      <c r="M3382">
        <f>IF(LeadsData[[#This Row],[Stage Number]]&gt;=2,1,0)</f>
        <v>0</v>
      </c>
      <c r="N3382" s="2">
        <f>IF(LeadsData[[#This Row],[Stage Number]]&gt;=3,1,0)</f>
        <v>0</v>
      </c>
      <c r="O3382" s="2">
        <f>IF(LeadsData[[#This Row],[Stage Number]]&gt;=4,1,0)</f>
        <v>0</v>
      </c>
    </row>
    <row r="3383" spans="1:15" x14ac:dyDescent="0.25">
      <c r="A3383" t="s">
        <v>3423</v>
      </c>
      <c r="B3383" s="1">
        <v>45476</v>
      </c>
      <c r="C3383" t="s">
        <v>46</v>
      </c>
      <c r="D3383" t="s">
        <v>47</v>
      </c>
      <c r="E3383" t="s">
        <v>21</v>
      </c>
      <c r="F3383" t="s">
        <v>14</v>
      </c>
      <c r="G3383" t="s">
        <v>15</v>
      </c>
      <c r="K3383" cm="1">
        <f t="array" ref="K3383">_xlfn.SWITCH(LeadsData[[#This Row],[Funnel Stage Reached]],"Lead",1,"MQL",2,"SQL",3,"Customer",4)</f>
        <v>1</v>
      </c>
      <c r="L3383" t="str">
        <f>TEXT(LeadsData[[#This Row],[Signup Date]],"mmm-yyyy")</f>
        <v>Jul-2024</v>
      </c>
      <c r="M3383">
        <f>IF(LeadsData[[#This Row],[Stage Number]]&gt;=2,1,0)</f>
        <v>0</v>
      </c>
      <c r="N3383" s="2">
        <f>IF(LeadsData[[#This Row],[Stage Number]]&gt;=3,1,0)</f>
        <v>0</v>
      </c>
      <c r="O3383" s="2">
        <f>IF(LeadsData[[#This Row],[Stage Number]]&gt;=4,1,0)</f>
        <v>0</v>
      </c>
    </row>
    <row r="3384" spans="1:15" x14ac:dyDescent="0.25">
      <c r="A3384" t="s">
        <v>3424</v>
      </c>
      <c r="B3384" s="1">
        <v>45612</v>
      </c>
      <c r="C3384" t="s">
        <v>25</v>
      </c>
      <c r="D3384" t="s">
        <v>26</v>
      </c>
      <c r="E3384" t="s">
        <v>21</v>
      </c>
      <c r="F3384" t="s">
        <v>19</v>
      </c>
      <c r="G3384" t="s">
        <v>23</v>
      </c>
      <c r="K3384" cm="1">
        <f t="array" ref="K3384">_xlfn.SWITCH(LeadsData[[#This Row],[Funnel Stage Reached]],"Lead",1,"MQL",2,"SQL",3,"Customer",4)</f>
        <v>2</v>
      </c>
      <c r="L3384" t="str">
        <f>TEXT(LeadsData[[#This Row],[Signup Date]],"mmm-yyyy")</f>
        <v>Nov-2024</v>
      </c>
      <c r="M3384">
        <f>IF(LeadsData[[#This Row],[Stage Number]]&gt;=2,1,0)</f>
        <v>1</v>
      </c>
      <c r="N3384" s="2">
        <f>IF(LeadsData[[#This Row],[Stage Number]]&gt;=3,1,0)</f>
        <v>0</v>
      </c>
      <c r="O3384" s="2">
        <f>IF(LeadsData[[#This Row],[Stage Number]]&gt;=4,1,0)</f>
        <v>0</v>
      </c>
    </row>
    <row r="3385" spans="1:15" x14ac:dyDescent="0.25">
      <c r="A3385" t="s">
        <v>3425</v>
      </c>
      <c r="B3385" s="1">
        <v>45517</v>
      </c>
      <c r="C3385" t="s">
        <v>17</v>
      </c>
      <c r="D3385" t="s">
        <v>53</v>
      </c>
      <c r="E3385" t="s">
        <v>13</v>
      </c>
      <c r="F3385" t="s">
        <v>19</v>
      </c>
      <c r="G3385" t="s">
        <v>15</v>
      </c>
      <c r="K3385" cm="1">
        <f t="array" ref="K3385">_xlfn.SWITCH(LeadsData[[#This Row],[Funnel Stage Reached]],"Lead",1,"MQL",2,"SQL",3,"Customer",4)</f>
        <v>1</v>
      </c>
      <c r="L3385" t="str">
        <f>TEXT(LeadsData[[#This Row],[Signup Date]],"mmm-yyyy")</f>
        <v>Aug-2024</v>
      </c>
      <c r="M3385">
        <f>IF(LeadsData[[#This Row],[Stage Number]]&gt;=2,1,0)</f>
        <v>0</v>
      </c>
      <c r="N3385" s="2">
        <f>IF(LeadsData[[#This Row],[Stage Number]]&gt;=3,1,0)</f>
        <v>0</v>
      </c>
      <c r="O3385" s="2">
        <f>IF(LeadsData[[#This Row],[Stage Number]]&gt;=4,1,0)</f>
        <v>0</v>
      </c>
    </row>
    <row r="3386" spans="1:15" x14ac:dyDescent="0.25">
      <c r="A3386" t="s">
        <v>3426</v>
      </c>
      <c r="B3386" s="1">
        <v>45556</v>
      </c>
      <c r="C3386" t="s">
        <v>36</v>
      </c>
      <c r="D3386" t="s">
        <v>50</v>
      </c>
      <c r="E3386" t="s">
        <v>21</v>
      </c>
      <c r="F3386" t="s">
        <v>19</v>
      </c>
      <c r="G3386" t="s">
        <v>29</v>
      </c>
      <c r="K3386" cm="1">
        <f t="array" ref="K3386">_xlfn.SWITCH(LeadsData[[#This Row],[Funnel Stage Reached]],"Lead",1,"MQL",2,"SQL",3,"Customer",4)</f>
        <v>3</v>
      </c>
      <c r="L3386" t="str">
        <f>TEXT(LeadsData[[#This Row],[Signup Date]],"mmm-yyyy")</f>
        <v>Sep-2024</v>
      </c>
      <c r="M3386">
        <f>IF(LeadsData[[#This Row],[Stage Number]]&gt;=2,1,0)</f>
        <v>1</v>
      </c>
      <c r="N3386" s="2">
        <f>IF(LeadsData[[#This Row],[Stage Number]]&gt;=3,1,0)</f>
        <v>1</v>
      </c>
      <c r="O3386" s="2">
        <f>IF(LeadsData[[#This Row],[Stage Number]]&gt;=4,1,0)</f>
        <v>0</v>
      </c>
    </row>
    <row r="3387" spans="1:15" x14ac:dyDescent="0.25">
      <c r="A3387" t="s">
        <v>3427</v>
      </c>
      <c r="B3387" s="1">
        <v>45444</v>
      </c>
      <c r="C3387" t="s">
        <v>17</v>
      </c>
      <c r="D3387" t="s">
        <v>18</v>
      </c>
      <c r="E3387" t="s">
        <v>21</v>
      </c>
      <c r="F3387" t="s">
        <v>19</v>
      </c>
      <c r="G3387" t="s">
        <v>29</v>
      </c>
      <c r="K3387" cm="1">
        <f t="array" ref="K3387">_xlfn.SWITCH(LeadsData[[#This Row],[Funnel Stage Reached]],"Lead",1,"MQL",2,"SQL",3,"Customer",4)</f>
        <v>3</v>
      </c>
      <c r="L3387" t="str">
        <f>TEXT(LeadsData[[#This Row],[Signup Date]],"mmm-yyyy")</f>
        <v>Jun-2024</v>
      </c>
      <c r="M3387">
        <f>IF(LeadsData[[#This Row],[Stage Number]]&gt;=2,1,0)</f>
        <v>1</v>
      </c>
      <c r="N3387" s="2">
        <f>IF(LeadsData[[#This Row],[Stage Number]]&gt;=3,1,0)</f>
        <v>1</v>
      </c>
      <c r="O3387" s="2">
        <f>IF(LeadsData[[#This Row],[Stage Number]]&gt;=4,1,0)</f>
        <v>0</v>
      </c>
    </row>
    <row r="3388" spans="1:15" x14ac:dyDescent="0.25">
      <c r="A3388" t="s">
        <v>3428</v>
      </c>
      <c r="B3388" s="1">
        <v>45516</v>
      </c>
      <c r="C3388" t="s">
        <v>46</v>
      </c>
      <c r="D3388" t="s">
        <v>47</v>
      </c>
      <c r="E3388" t="s">
        <v>13</v>
      </c>
      <c r="F3388" t="s">
        <v>19</v>
      </c>
      <c r="G3388" t="s">
        <v>15</v>
      </c>
      <c r="K3388" cm="1">
        <f t="array" ref="K3388">_xlfn.SWITCH(LeadsData[[#This Row],[Funnel Stage Reached]],"Lead",1,"MQL",2,"SQL",3,"Customer",4)</f>
        <v>1</v>
      </c>
      <c r="L3388" t="str">
        <f>TEXT(LeadsData[[#This Row],[Signup Date]],"mmm-yyyy")</f>
        <v>Aug-2024</v>
      </c>
      <c r="M3388">
        <f>IF(LeadsData[[#This Row],[Stage Number]]&gt;=2,1,0)</f>
        <v>0</v>
      </c>
      <c r="N3388" s="2">
        <f>IF(LeadsData[[#This Row],[Stage Number]]&gt;=3,1,0)</f>
        <v>0</v>
      </c>
      <c r="O3388" s="2">
        <f>IF(LeadsData[[#This Row],[Stage Number]]&gt;=4,1,0)</f>
        <v>0</v>
      </c>
    </row>
    <row r="3389" spans="1:15" x14ac:dyDescent="0.25">
      <c r="A3389" t="s">
        <v>3429</v>
      </c>
      <c r="B3389" s="1">
        <v>45292</v>
      </c>
      <c r="C3389" t="s">
        <v>46</v>
      </c>
      <c r="D3389" t="s">
        <v>47</v>
      </c>
      <c r="E3389" t="s">
        <v>21</v>
      </c>
      <c r="F3389" t="s">
        <v>19</v>
      </c>
      <c r="G3389" t="s">
        <v>15</v>
      </c>
      <c r="K3389" cm="1">
        <f t="array" ref="K3389">_xlfn.SWITCH(LeadsData[[#This Row],[Funnel Stage Reached]],"Lead",1,"MQL",2,"SQL",3,"Customer",4)</f>
        <v>1</v>
      </c>
      <c r="L3389" t="str">
        <f>TEXT(LeadsData[[#This Row],[Signup Date]],"mmm-yyyy")</f>
        <v>Jan-2024</v>
      </c>
      <c r="M3389">
        <f>IF(LeadsData[[#This Row],[Stage Number]]&gt;=2,1,0)</f>
        <v>0</v>
      </c>
      <c r="N3389" s="2">
        <f>IF(LeadsData[[#This Row],[Stage Number]]&gt;=3,1,0)</f>
        <v>0</v>
      </c>
      <c r="O3389" s="2">
        <f>IF(LeadsData[[#This Row],[Stage Number]]&gt;=4,1,0)</f>
        <v>0</v>
      </c>
    </row>
    <row r="3390" spans="1:15" x14ac:dyDescent="0.25">
      <c r="A3390" t="s">
        <v>3430</v>
      </c>
      <c r="B3390" s="1">
        <v>45314</v>
      </c>
      <c r="C3390" t="s">
        <v>46</v>
      </c>
      <c r="D3390" t="s">
        <v>56</v>
      </c>
      <c r="E3390" t="s">
        <v>13</v>
      </c>
      <c r="F3390" t="s">
        <v>19</v>
      </c>
      <c r="G3390" t="s">
        <v>15</v>
      </c>
      <c r="K3390" cm="1">
        <f t="array" ref="K3390">_xlfn.SWITCH(LeadsData[[#This Row],[Funnel Stage Reached]],"Lead",1,"MQL",2,"SQL",3,"Customer",4)</f>
        <v>1</v>
      </c>
      <c r="L3390" t="str">
        <f>TEXT(LeadsData[[#This Row],[Signup Date]],"mmm-yyyy")</f>
        <v>Jan-2024</v>
      </c>
      <c r="M3390">
        <f>IF(LeadsData[[#This Row],[Stage Number]]&gt;=2,1,0)</f>
        <v>0</v>
      </c>
      <c r="N3390" s="2">
        <f>IF(LeadsData[[#This Row],[Stage Number]]&gt;=3,1,0)</f>
        <v>0</v>
      </c>
      <c r="O3390" s="2">
        <f>IF(LeadsData[[#This Row],[Stage Number]]&gt;=4,1,0)</f>
        <v>0</v>
      </c>
    </row>
    <row r="3391" spans="1:15" x14ac:dyDescent="0.25">
      <c r="A3391" t="s">
        <v>3431</v>
      </c>
      <c r="B3391" s="1">
        <v>45337</v>
      </c>
      <c r="C3391" t="s">
        <v>31</v>
      </c>
      <c r="D3391" t="s">
        <v>34</v>
      </c>
      <c r="E3391" t="s">
        <v>13</v>
      </c>
      <c r="F3391" t="s">
        <v>22</v>
      </c>
      <c r="G3391" t="s">
        <v>29</v>
      </c>
      <c r="K3391" cm="1">
        <f t="array" ref="K3391">_xlfn.SWITCH(LeadsData[[#This Row],[Funnel Stage Reached]],"Lead",1,"MQL",2,"SQL",3,"Customer",4)</f>
        <v>3</v>
      </c>
      <c r="L3391" t="str">
        <f>TEXT(LeadsData[[#This Row],[Signup Date]],"mmm-yyyy")</f>
        <v>Feb-2024</v>
      </c>
      <c r="M3391">
        <f>IF(LeadsData[[#This Row],[Stage Number]]&gt;=2,1,0)</f>
        <v>1</v>
      </c>
      <c r="N3391" s="2">
        <f>IF(LeadsData[[#This Row],[Stage Number]]&gt;=3,1,0)</f>
        <v>1</v>
      </c>
      <c r="O3391" s="2">
        <f>IF(LeadsData[[#This Row],[Stage Number]]&gt;=4,1,0)</f>
        <v>0</v>
      </c>
    </row>
    <row r="3392" spans="1:15" x14ac:dyDescent="0.25">
      <c r="A3392" t="s">
        <v>3432</v>
      </c>
      <c r="B3392" s="1">
        <v>45430</v>
      </c>
      <c r="C3392" t="s">
        <v>31</v>
      </c>
      <c r="D3392" t="s">
        <v>32</v>
      </c>
      <c r="E3392" t="s">
        <v>13</v>
      </c>
      <c r="F3392" t="s">
        <v>14</v>
      </c>
      <c r="G3392" t="s">
        <v>15</v>
      </c>
      <c r="K3392" cm="1">
        <f t="array" ref="K3392">_xlfn.SWITCH(LeadsData[[#This Row],[Funnel Stage Reached]],"Lead",1,"MQL",2,"SQL",3,"Customer",4)</f>
        <v>1</v>
      </c>
      <c r="L3392" t="str">
        <f>TEXT(LeadsData[[#This Row],[Signup Date]],"mmm-yyyy")</f>
        <v>May-2024</v>
      </c>
      <c r="M3392">
        <f>IF(LeadsData[[#This Row],[Stage Number]]&gt;=2,1,0)</f>
        <v>0</v>
      </c>
      <c r="N3392" s="2">
        <f>IF(LeadsData[[#This Row],[Stage Number]]&gt;=3,1,0)</f>
        <v>0</v>
      </c>
      <c r="O3392" s="2">
        <f>IF(LeadsData[[#This Row],[Stage Number]]&gt;=4,1,0)</f>
        <v>0</v>
      </c>
    </row>
    <row r="3393" spans="1:15" x14ac:dyDescent="0.25">
      <c r="A3393" t="s">
        <v>3433</v>
      </c>
      <c r="B3393" s="1">
        <v>45518</v>
      </c>
      <c r="C3393" t="s">
        <v>31</v>
      </c>
      <c r="D3393" t="s">
        <v>34</v>
      </c>
      <c r="E3393" t="s">
        <v>48</v>
      </c>
      <c r="F3393" t="s">
        <v>19</v>
      </c>
      <c r="G3393" t="s">
        <v>15</v>
      </c>
      <c r="K3393" cm="1">
        <f t="array" ref="K3393">_xlfn.SWITCH(LeadsData[[#This Row],[Funnel Stage Reached]],"Lead",1,"MQL",2,"SQL",3,"Customer",4)</f>
        <v>1</v>
      </c>
      <c r="L3393" t="str">
        <f>TEXT(LeadsData[[#This Row],[Signup Date]],"mmm-yyyy")</f>
        <v>Aug-2024</v>
      </c>
      <c r="M3393">
        <f>IF(LeadsData[[#This Row],[Stage Number]]&gt;=2,1,0)</f>
        <v>0</v>
      </c>
      <c r="N3393" s="2">
        <f>IF(LeadsData[[#This Row],[Stage Number]]&gt;=3,1,0)</f>
        <v>0</v>
      </c>
      <c r="O3393" s="2">
        <f>IF(LeadsData[[#This Row],[Stage Number]]&gt;=4,1,0)</f>
        <v>0</v>
      </c>
    </row>
    <row r="3394" spans="1:15" x14ac:dyDescent="0.25">
      <c r="A3394" t="s">
        <v>3434</v>
      </c>
      <c r="B3394" s="1">
        <v>45568</v>
      </c>
      <c r="C3394" t="s">
        <v>31</v>
      </c>
      <c r="D3394" t="s">
        <v>32</v>
      </c>
      <c r="E3394" t="s">
        <v>21</v>
      </c>
      <c r="F3394" t="s">
        <v>14</v>
      </c>
      <c r="G3394" t="s">
        <v>15</v>
      </c>
      <c r="K3394" cm="1">
        <f t="array" ref="K3394">_xlfn.SWITCH(LeadsData[[#This Row],[Funnel Stage Reached]],"Lead",1,"MQL",2,"SQL",3,"Customer",4)</f>
        <v>1</v>
      </c>
      <c r="L3394" t="str">
        <f>TEXT(LeadsData[[#This Row],[Signup Date]],"mmm-yyyy")</f>
        <v>Oct-2024</v>
      </c>
      <c r="M3394">
        <f>IF(LeadsData[[#This Row],[Stage Number]]&gt;=2,1,0)</f>
        <v>0</v>
      </c>
      <c r="N3394" s="2">
        <f>IF(LeadsData[[#This Row],[Stage Number]]&gt;=3,1,0)</f>
        <v>0</v>
      </c>
      <c r="O3394" s="2">
        <f>IF(LeadsData[[#This Row],[Stage Number]]&gt;=4,1,0)</f>
        <v>0</v>
      </c>
    </row>
    <row r="3395" spans="1:15" x14ac:dyDescent="0.25">
      <c r="A3395" t="s">
        <v>3435</v>
      </c>
      <c r="B3395" s="1">
        <v>45335</v>
      </c>
      <c r="C3395" t="s">
        <v>31</v>
      </c>
      <c r="D3395" t="s">
        <v>32</v>
      </c>
      <c r="E3395" t="s">
        <v>13</v>
      </c>
      <c r="F3395" t="s">
        <v>19</v>
      </c>
      <c r="G3395" t="s">
        <v>23</v>
      </c>
      <c r="K3395" cm="1">
        <f t="array" ref="K3395">_xlfn.SWITCH(LeadsData[[#This Row],[Funnel Stage Reached]],"Lead",1,"MQL",2,"SQL",3,"Customer",4)</f>
        <v>2</v>
      </c>
      <c r="L3395" t="str">
        <f>TEXT(LeadsData[[#This Row],[Signup Date]],"mmm-yyyy")</f>
        <v>Feb-2024</v>
      </c>
      <c r="M3395">
        <f>IF(LeadsData[[#This Row],[Stage Number]]&gt;=2,1,0)</f>
        <v>1</v>
      </c>
      <c r="N3395" s="2">
        <f>IF(LeadsData[[#This Row],[Stage Number]]&gt;=3,1,0)</f>
        <v>0</v>
      </c>
      <c r="O3395" s="2">
        <f>IF(LeadsData[[#This Row],[Stage Number]]&gt;=4,1,0)</f>
        <v>0</v>
      </c>
    </row>
    <row r="3396" spans="1:15" x14ac:dyDescent="0.25">
      <c r="A3396" t="s">
        <v>3436</v>
      </c>
      <c r="B3396" s="1">
        <v>45627</v>
      </c>
      <c r="C3396" t="s">
        <v>11</v>
      </c>
      <c r="D3396" t="s">
        <v>79</v>
      </c>
      <c r="E3396" t="s">
        <v>13</v>
      </c>
      <c r="F3396" t="s">
        <v>19</v>
      </c>
      <c r="G3396" t="s">
        <v>15</v>
      </c>
      <c r="K3396" cm="1">
        <f t="array" ref="K3396">_xlfn.SWITCH(LeadsData[[#This Row],[Funnel Stage Reached]],"Lead",1,"MQL",2,"SQL",3,"Customer",4)</f>
        <v>1</v>
      </c>
      <c r="L3396" t="str">
        <f>TEXT(LeadsData[[#This Row],[Signup Date]],"mmm-yyyy")</f>
        <v>Dec-2024</v>
      </c>
      <c r="M3396">
        <f>IF(LeadsData[[#This Row],[Stage Number]]&gt;=2,1,0)</f>
        <v>0</v>
      </c>
      <c r="N3396" s="2">
        <f>IF(LeadsData[[#This Row],[Stage Number]]&gt;=3,1,0)</f>
        <v>0</v>
      </c>
      <c r="O3396" s="2">
        <f>IF(LeadsData[[#This Row],[Stage Number]]&gt;=4,1,0)</f>
        <v>0</v>
      </c>
    </row>
    <row r="3397" spans="1:15" x14ac:dyDescent="0.25">
      <c r="A3397" t="s">
        <v>3437</v>
      </c>
      <c r="B3397" s="1">
        <v>45647</v>
      </c>
      <c r="C3397" t="s">
        <v>36</v>
      </c>
      <c r="D3397" t="s">
        <v>50</v>
      </c>
      <c r="E3397" t="s">
        <v>13</v>
      </c>
      <c r="F3397" t="s">
        <v>28</v>
      </c>
      <c r="G3397" t="s">
        <v>29</v>
      </c>
      <c r="K3397" cm="1">
        <f t="array" ref="K3397">_xlfn.SWITCH(LeadsData[[#This Row],[Funnel Stage Reached]],"Lead",1,"MQL",2,"SQL",3,"Customer",4)</f>
        <v>3</v>
      </c>
      <c r="L3397" t="str">
        <f>TEXT(LeadsData[[#This Row],[Signup Date]],"mmm-yyyy")</f>
        <v>Dec-2024</v>
      </c>
      <c r="M3397">
        <f>IF(LeadsData[[#This Row],[Stage Number]]&gt;=2,1,0)</f>
        <v>1</v>
      </c>
      <c r="N3397" s="2">
        <f>IF(LeadsData[[#This Row],[Stage Number]]&gt;=3,1,0)</f>
        <v>1</v>
      </c>
      <c r="O3397" s="2">
        <f>IF(LeadsData[[#This Row],[Stage Number]]&gt;=4,1,0)</f>
        <v>0</v>
      </c>
    </row>
    <row r="3398" spans="1:15" x14ac:dyDescent="0.25">
      <c r="A3398" t="s">
        <v>3438</v>
      </c>
      <c r="B3398" s="1">
        <v>45492</v>
      </c>
      <c r="C3398" t="s">
        <v>17</v>
      </c>
      <c r="D3398" t="s">
        <v>18</v>
      </c>
      <c r="E3398" t="s">
        <v>21</v>
      </c>
      <c r="F3398" t="s">
        <v>22</v>
      </c>
      <c r="G3398" t="s">
        <v>15</v>
      </c>
      <c r="K3398" cm="1">
        <f t="array" ref="K3398">_xlfn.SWITCH(LeadsData[[#This Row],[Funnel Stage Reached]],"Lead",1,"MQL",2,"SQL",3,"Customer",4)</f>
        <v>1</v>
      </c>
      <c r="L3398" t="str">
        <f>TEXT(LeadsData[[#This Row],[Signup Date]],"mmm-yyyy")</f>
        <v>Jul-2024</v>
      </c>
      <c r="M3398">
        <f>IF(LeadsData[[#This Row],[Stage Number]]&gt;=2,1,0)</f>
        <v>0</v>
      </c>
      <c r="N3398" s="2">
        <f>IF(LeadsData[[#This Row],[Stage Number]]&gt;=3,1,0)</f>
        <v>0</v>
      </c>
      <c r="O3398" s="2">
        <f>IF(LeadsData[[#This Row],[Stage Number]]&gt;=4,1,0)</f>
        <v>0</v>
      </c>
    </row>
    <row r="3399" spans="1:15" x14ac:dyDescent="0.25">
      <c r="A3399" t="s">
        <v>3439</v>
      </c>
      <c r="B3399" s="1">
        <v>45486</v>
      </c>
      <c r="C3399" t="s">
        <v>46</v>
      </c>
      <c r="D3399" t="s">
        <v>47</v>
      </c>
      <c r="E3399" t="s">
        <v>21</v>
      </c>
      <c r="F3399" t="s">
        <v>22</v>
      </c>
      <c r="G3399" t="s">
        <v>23</v>
      </c>
      <c r="K3399" cm="1">
        <f t="array" ref="K3399">_xlfn.SWITCH(LeadsData[[#This Row],[Funnel Stage Reached]],"Lead",1,"MQL",2,"SQL",3,"Customer",4)</f>
        <v>2</v>
      </c>
      <c r="L3399" t="str">
        <f>TEXT(LeadsData[[#This Row],[Signup Date]],"mmm-yyyy")</f>
        <v>Jul-2024</v>
      </c>
      <c r="M3399">
        <f>IF(LeadsData[[#This Row],[Stage Number]]&gt;=2,1,0)</f>
        <v>1</v>
      </c>
      <c r="N3399" s="2">
        <f>IF(LeadsData[[#This Row],[Stage Number]]&gt;=3,1,0)</f>
        <v>0</v>
      </c>
      <c r="O3399" s="2">
        <f>IF(LeadsData[[#This Row],[Stage Number]]&gt;=4,1,0)</f>
        <v>0</v>
      </c>
    </row>
    <row r="3400" spans="1:15" x14ac:dyDescent="0.25">
      <c r="A3400" t="s">
        <v>3440</v>
      </c>
      <c r="B3400" s="1">
        <v>45654</v>
      </c>
      <c r="C3400" t="s">
        <v>36</v>
      </c>
      <c r="D3400" t="s">
        <v>50</v>
      </c>
      <c r="E3400" t="s">
        <v>13</v>
      </c>
      <c r="F3400" t="s">
        <v>14</v>
      </c>
      <c r="G3400" t="s">
        <v>29</v>
      </c>
      <c r="K3400" cm="1">
        <f t="array" ref="K3400">_xlfn.SWITCH(LeadsData[[#This Row],[Funnel Stage Reached]],"Lead",1,"MQL",2,"SQL",3,"Customer",4)</f>
        <v>3</v>
      </c>
      <c r="L3400" t="str">
        <f>TEXT(LeadsData[[#This Row],[Signup Date]],"mmm-yyyy")</f>
        <v>Dec-2024</v>
      </c>
      <c r="M3400">
        <f>IF(LeadsData[[#This Row],[Stage Number]]&gt;=2,1,0)</f>
        <v>1</v>
      </c>
      <c r="N3400" s="2">
        <f>IF(LeadsData[[#This Row],[Stage Number]]&gt;=3,1,0)</f>
        <v>1</v>
      </c>
      <c r="O3400" s="2">
        <f>IF(LeadsData[[#This Row],[Stage Number]]&gt;=4,1,0)</f>
        <v>0</v>
      </c>
    </row>
    <row r="3401" spans="1:15" x14ac:dyDescent="0.25">
      <c r="A3401" t="s">
        <v>3441</v>
      </c>
      <c r="B3401" s="1">
        <v>45415</v>
      </c>
      <c r="C3401" t="s">
        <v>11</v>
      </c>
      <c r="D3401" t="s">
        <v>12</v>
      </c>
      <c r="E3401" t="s">
        <v>13</v>
      </c>
      <c r="F3401" t="s">
        <v>22</v>
      </c>
      <c r="G3401" t="s">
        <v>15</v>
      </c>
      <c r="K3401" cm="1">
        <f t="array" ref="K3401">_xlfn.SWITCH(LeadsData[[#This Row],[Funnel Stage Reached]],"Lead",1,"MQL",2,"SQL",3,"Customer",4)</f>
        <v>1</v>
      </c>
      <c r="L3401" t="str">
        <f>TEXT(LeadsData[[#This Row],[Signup Date]],"mmm-yyyy")</f>
        <v>May-2024</v>
      </c>
      <c r="M3401">
        <f>IF(LeadsData[[#This Row],[Stage Number]]&gt;=2,1,0)</f>
        <v>0</v>
      </c>
      <c r="N3401" s="2">
        <f>IF(LeadsData[[#This Row],[Stage Number]]&gt;=3,1,0)</f>
        <v>0</v>
      </c>
      <c r="O3401" s="2">
        <f>IF(LeadsData[[#This Row],[Stage Number]]&gt;=4,1,0)</f>
        <v>0</v>
      </c>
    </row>
    <row r="3402" spans="1:15" x14ac:dyDescent="0.25">
      <c r="A3402" t="s">
        <v>3442</v>
      </c>
      <c r="B3402" s="1">
        <v>45516</v>
      </c>
      <c r="C3402" t="s">
        <v>17</v>
      </c>
      <c r="D3402" t="s">
        <v>18</v>
      </c>
      <c r="E3402" t="s">
        <v>21</v>
      </c>
      <c r="F3402" t="s">
        <v>19</v>
      </c>
      <c r="G3402" t="s">
        <v>15</v>
      </c>
      <c r="K3402" cm="1">
        <f t="array" ref="K3402">_xlfn.SWITCH(LeadsData[[#This Row],[Funnel Stage Reached]],"Lead",1,"MQL",2,"SQL",3,"Customer",4)</f>
        <v>1</v>
      </c>
      <c r="L3402" t="str">
        <f>TEXT(LeadsData[[#This Row],[Signup Date]],"mmm-yyyy")</f>
        <v>Aug-2024</v>
      </c>
      <c r="M3402">
        <f>IF(LeadsData[[#This Row],[Stage Number]]&gt;=2,1,0)</f>
        <v>0</v>
      </c>
      <c r="N3402" s="2">
        <f>IF(LeadsData[[#This Row],[Stage Number]]&gt;=3,1,0)</f>
        <v>0</v>
      </c>
      <c r="O3402" s="2">
        <f>IF(LeadsData[[#This Row],[Stage Number]]&gt;=4,1,0)</f>
        <v>0</v>
      </c>
    </row>
    <row r="3403" spans="1:15" x14ac:dyDescent="0.25">
      <c r="A3403" t="s">
        <v>3443</v>
      </c>
      <c r="B3403" s="1">
        <v>45497</v>
      </c>
      <c r="C3403" t="s">
        <v>36</v>
      </c>
      <c r="D3403" t="s">
        <v>50</v>
      </c>
      <c r="E3403" t="s">
        <v>21</v>
      </c>
      <c r="F3403" t="s">
        <v>22</v>
      </c>
      <c r="G3403" t="s">
        <v>23</v>
      </c>
      <c r="K3403" cm="1">
        <f t="array" ref="K3403">_xlfn.SWITCH(LeadsData[[#This Row],[Funnel Stage Reached]],"Lead",1,"MQL",2,"SQL",3,"Customer",4)</f>
        <v>2</v>
      </c>
      <c r="L3403" t="str">
        <f>TEXT(LeadsData[[#This Row],[Signup Date]],"mmm-yyyy")</f>
        <v>Jul-2024</v>
      </c>
      <c r="M3403">
        <f>IF(LeadsData[[#This Row],[Stage Number]]&gt;=2,1,0)</f>
        <v>1</v>
      </c>
      <c r="N3403" s="2">
        <f>IF(LeadsData[[#This Row],[Stage Number]]&gt;=3,1,0)</f>
        <v>0</v>
      </c>
      <c r="O3403" s="2">
        <f>IF(LeadsData[[#This Row],[Stage Number]]&gt;=4,1,0)</f>
        <v>0</v>
      </c>
    </row>
    <row r="3404" spans="1:15" x14ac:dyDescent="0.25">
      <c r="A3404" t="s">
        <v>3444</v>
      </c>
      <c r="B3404" s="1">
        <v>45585</v>
      </c>
      <c r="C3404" t="s">
        <v>11</v>
      </c>
      <c r="D3404" t="s">
        <v>68</v>
      </c>
      <c r="E3404" t="s">
        <v>21</v>
      </c>
      <c r="F3404" t="s">
        <v>19</v>
      </c>
      <c r="G3404" t="s">
        <v>15</v>
      </c>
      <c r="K3404" cm="1">
        <f t="array" ref="K3404">_xlfn.SWITCH(LeadsData[[#This Row],[Funnel Stage Reached]],"Lead",1,"MQL",2,"SQL",3,"Customer",4)</f>
        <v>1</v>
      </c>
      <c r="L3404" t="str">
        <f>TEXT(LeadsData[[#This Row],[Signup Date]],"mmm-yyyy")</f>
        <v>Oct-2024</v>
      </c>
      <c r="M3404">
        <f>IF(LeadsData[[#This Row],[Stage Number]]&gt;=2,1,0)</f>
        <v>0</v>
      </c>
      <c r="N3404" s="2">
        <f>IF(LeadsData[[#This Row],[Stage Number]]&gt;=3,1,0)</f>
        <v>0</v>
      </c>
      <c r="O3404" s="2">
        <f>IF(LeadsData[[#This Row],[Stage Number]]&gt;=4,1,0)</f>
        <v>0</v>
      </c>
    </row>
    <row r="3405" spans="1:15" x14ac:dyDescent="0.25">
      <c r="A3405" t="s">
        <v>3445</v>
      </c>
      <c r="B3405" s="1">
        <v>45519</v>
      </c>
      <c r="C3405" t="s">
        <v>36</v>
      </c>
      <c r="D3405" t="s">
        <v>50</v>
      </c>
      <c r="E3405" t="s">
        <v>13</v>
      </c>
      <c r="F3405" t="s">
        <v>19</v>
      </c>
      <c r="G3405" t="s">
        <v>23</v>
      </c>
      <c r="K3405" cm="1">
        <f t="array" ref="K3405">_xlfn.SWITCH(LeadsData[[#This Row],[Funnel Stage Reached]],"Lead",1,"MQL",2,"SQL",3,"Customer",4)</f>
        <v>2</v>
      </c>
      <c r="L3405" t="str">
        <f>TEXT(LeadsData[[#This Row],[Signup Date]],"mmm-yyyy")</f>
        <v>Aug-2024</v>
      </c>
      <c r="M3405">
        <f>IF(LeadsData[[#This Row],[Stage Number]]&gt;=2,1,0)</f>
        <v>1</v>
      </c>
      <c r="N3405" s="2">
        <f>IF(LeadsData[[#This Row],[Stage Number]]&gt;=3,1,0)</f>
        <v>0</v>
      </c>
      <c r="O3405" s="2">
        <f>IF(LeadsData[[#This Row],[Stage Number]]&gt;=4,1,0)</f>
        <v>0</v>
      </c>
    </row>
    <row r="3406" spans="1:15" x14ac:dyDescent="0.25">
      <c r="A3406" t="s">
        <v>3446</v>
      </c>
      <c r="B3406" s="1">
        <v>45546</v>
      </c>
      <c r="C3406" t="s">
        <v>17</v>
      </c>
      <c r="D3406" t="s">
        <v>18</v>
      </c>
      <c r="E3406" t="s">
        <v>13</v>
      </c>
      <c r="F3406" t="s">
        <v>19</v>
      </c>
      <c r="G3406" t="s">
        <v>23</v>
      </c>
      <c r="K3406" cm="1">
        <f t="array" ref="K3406">_xlfn.SWITCH(LeadsData[[#This Row],[Funnel Stage Reached]],"Lead",1,"MQL",2,"SQL",3,"Customer",4)</f>
        <v>2</v>
      </c>
      <c r="L3406" t="str">
        <f>TEXT(LeadsData[[#This Row],[Signup Date]],"mmm-yyyy")</f>
        <v>Sep-2024</v>
      </c>
      <c r="M3406">
        <f>IF(LeadsData[[#This Row],[Stage Number]]&gt;=2,1,0)</f>
        <v>1</v>
      </c>
      <c r="N3406" s="2">
        <f>IF(LeadsData[[#This Row],[Stage Number]]&gt;=3,1,0)</f>
        <v>0</v>
      </c>
      <c r="O3406" s="2">
        <f>IF(LeadsData[[#This Row],[Stage Number]]&gt;=4,1,0)</f>
        <v>0</v>
      </c>
    </row>
    <row r="3407" spans="1:15" x14ac:dyDescent="0.25">
      <c r="A3407" t="s">
        <v>3447</v>
      </c>
      <c r="B3407" s="1">
        <v>45591</v>
      </c>
      <c r="C3407" t="s">
        <v>25</v>
      </c>
      <c r="D3407" t="s">
        <v>26</v>
      </c>
      <c r="E3407" t="s">
        <v>48</v>
      </c>
      <c r="F3407" t="s">
        <v>14</v>
      </c>
      <c r="G3407" t="s">
        <v>15</v>
      </c>
      <c r="K3407" cm="1">
        <f t="array" ref="K3407">_xlfn.SWITCH(LeadsData[[#This Row],[Funnel Stage Reached]],"Lead",1,"MQL",2,"SQL",3,"Customer",4)</f>
        <v>1</v>
      </c>
      <c r="L3407" t="str">
        <f>TEXT(LeadsData[[#This Row],[Signup Date]],"mmm-yyyy")</f>
        <v>Oct-2024</v>
      </c>
      <c r="M3407">
        <f>IF(LeadsData[[#This Row],[Stage Number]]&gt;=2,1,0)</f>
        <v>0</v>
      </c>
      <c r="N3407" s="2">
        <f>IF(LeadsData[[#This Row],[Stage Number]]&gt;=3,1,0)</f>
        <v>0</v>
      </c>
      <c r="O3407" s="2">
        <f>IF(LeadsData[[#This Row],[Stage Number]]&gt;=4,1,0)</f>
        <v>0</v>
      </c>
    </row>
    <row r="3408" spans="1:15" x14ac:dyDescent="0.25">
      <c r="A3408" t="s">
        <v>3448</v>
      </c>
      <c r="B3408" s="1">
        <v>45346</v>
      </c>
      <c r="C3408" t="s">
        <v>25</v>
      </c>
      <c r="D3408" t="s">
        <v>26</v>
      </c>
      <c r="E3408" t="s">
        <v>13</v>
      </c>
      <c r="F3408" t="s">
        <v>19</v>
      </c>
      <c r="G3408" t="s">
        <v>15</v>
      </c>
      <c r="K3408" cm="1">
        <f t="array" ref="K3408">_xlfn.SWITCH(LeadsData[[#This Row],[Funnel Stage Reached]],"Lead",1,"MQL",2,"SQL",3,"Customer",4)</f>
        <v>1</v>
      </c>
      <c r="L3408" t="str">
        <f>TEXT(LeadsData[[#This Row],[Signup Date]],"mmm-yyyy")</f>
        <v>Feb-2024</v>
      </c>
      <c r="M3408">
        <f>IF(LeadsData[[#This Row],[Stage Number]]&gt;=2,1,0)</f>
        <v>0</v>
      </c>
      <c r="N3408" s="2">
        <f>IF(LeadsData[[#This Row],[Stage Number]]&gt;=3,1,0)</f>
        <v>0</v>
      </c>
      <c r="O3408" s="2">
        <f>IF(LeadsData[[#This Row],[Stage Number]]&gt;=4,1,0)</f>
        <v>0</v>
      </c>
    </row>
    <row r="3409" spans="1:15" x14ac:dyDescent="0.25">
      <c r="A3409" t="s">
        <v>3449</v>
      </c>
      <c r="B3409" s="1">
        <v>45428</v>
      </c>
      <c r="C3409" t="s">
        <v>17</v>
      </c>
      <c r="D3409" t="s">
        <v>53</v>
      </c>
      <c r="E3409" t="s">
        <v>13</v>
      </c>
      <c r="F3409" t="s">
        <v>14</v>
      </c>
      <c r="G3409" t="s">
        <v>15</v>
      </c>
      <c r="K3409" cm="1">
        <f t="array" ref="K3409">_xlfn.SWITCH(LeadsData[[#This Row],[Funnel Stage Reached]],"Lead",1,"MQL",2,"SQL",3,"Customer",4)</f>
        <v>1</v>
      </c>
      <c r="L3409" t="str">
        <f>TEXT(LeadsData[[#This Row],[Signup Date]],"mmm-yyyy")</f>
        <v>May-2024</v>
      </c>
      <c r="M3409">
        <f>IF(LeadsData[[#This Row],[Stage Number]]&gt;=2,1,0)</f>
        <v>0</v>
      </c>
      <c r="N3409" s="2">
        <f>IF(LeadsData[[#This Row],[Stage Number]]&gt;=3,1,0)</f>
        <v>0</v>
      </c>
      <c r="O3409" s="2">
        <f>IF(LeadsData[[#This Row],[Stage Number]]&gt;=4,1,0)</f>
        <v>0</v>
      </c>
    </row>
    <row r="3410" spans="1:15" x14ac:dyDescent="0.25">
      <c r="A3410" t="s">
        <v>3450</v>
      </c>
      <c r="B3410" s="1">
        <v>45395</v>
      </c>
      <c r="C3410" t="s">
        <v>31</v>
      </c>
      <c r="D3410" t="s">
        <v>34</v>
      </c>
      <c r="E3410" t="s">
        <v>21</v>
      </c>
      <c r="F3410" t="s">
        <v>22</v>
      </c>
      <c r="G3410" t="s">
        <v>23</v>
      </c>
      <c r="K3410" cm="1">
        <f t="array" ref="K3410">_xlfn.SWITCH(LeadsData[[#This Row],[Funnel Stage Reached]],"Lead",1,"MQL",2,"SQL",3,"Customer",4)</f>
        <v>2</v>
      </c>
      <c r="L3410" t="str">
        <f>TEXT(LeadsData[[#This Row],[Signup Date]],"mmm-yyyy")</f>
        <v>Apr-2024</v>
      </c>
      <c r="M3410">
        <f>IF(LeadsData[[#This Row],[Stage Number]]&gt;=2,1,0)</f>
        <v>1</v>
      </c>
      <c r="N3410" s="2">
        <f>IF(LeadsData[[#This Row],[Stage Number]]&gt;=3,1,0)</f>
        <v>0</v>
      </c>
      <c r="O3410" s="2">
        <f>IF(LeadsData[[#This Row],[Stage Number]]&gt;=4,1,0)</f>
        <v>0</v>
      </c>
    </row>
    <row r="3411" spans="1:15" x14ac:dyDescent="0.25">
      <c r="A3411" t="s">
        <v>3451</v>
      </c>
      <c r="B3411" s="1">
        <v>45427</v>
      </c>
      <c r="C3411" t="s">
        <v>31</v>
      </c>
      <c r="D3411" t="s">
        <v>34</v>
      </c>
      <c r="E3411" t="s">
        <v>13</v>
      </c>
      <c r="F3411" t="s">
        <v>19</v>
      </c>
      <c r="G3411" t="s">
        <v>29</v>
      </c>
      <c r="K3411" cm="1">
        <f t="array" ref="K3411">_xlfn.SWITCH(LeadsData[[#This Row],[Funnel Stage Reached]],"Lead",1,"MQL",2,"SQL",3,"Customer",4)</f>
        <v>3</v>
      </c>
      <c r="L3411" t="str">
        <f>TEXT(LeadsData[[#This Row],[Signup Date]],"mmm-yyyy")</f>
        <v>May-2024</v>
      </c>
      <c r="M3411">
        <f>IF(LeadsData[[#This Row],[Stage Number]]&gt;=2,1,0)</f>
        <v>1</v>
      </c>
      <c r="N3411" s="2">
        <f>IF(LeadsData[[#This Row],[Stage Number]]&gt;=3,1,0)</f>
        <v>1</v>
      </c>
      <c r="O3411" s="2">
        <f>IF(LeadsData[[#This Row],[Stage Number]]&gt;=4,1,0)</f>
        <v>0</v>
      </c>
    </row>
    <row r="3412" spans="1:15" x14ac:dyDescent="0.25">
      <c r="A3412" t="s">
        <v>3452</v>
      </c>
      <c r="B3412" s="1">
        <v>45647</v>
      </c>
      <c r="C3412" t="s">
        <v>11</v>
      </c>
      <c r="D3412" t="s">
        <v>79</v>
      </c>
      <c r="E3412" t="s">
        <v>21</v>
      </c>
      <c r="F3412" t="s">
        <v>19</v>
      </c>
      <c r="G3412" t="s">
        <v>23</v>
      </c>
      <c r="K3412" cm="1">
        <f t="array" ref="K3412">_xlfn.SWITCH(LeadsData[[#This Row],[Funnel Stage Reached]],"Lead",1,"MQL",2,"SQL",3,"Customer",4)</f>
        <v>2</v>
      </c>
      <c r="L3412" t="str">
        <f>TEXT(LeadsData[[#This Row],[Signup Date]],"mmm-yyyy")</f>
        <v>Dec-2024</v>
      </c>
      <c r="M3412">
        <f>IF(LeadsData[[#This Row],[Stage Number]]&gt;=2,1,0)</f>
        <v>1</v>
      </c>
      <c r="N3412" s="2">
        <f>IF(LeadsData[[#This Row],[Stage Number]]&gt;=3,1,0)</f>
        <v>0</v>
      </c>
      <c r="O3412" s="2">
        <f>IF(LeadsData[[#This Row],[Stage Number]]&gt;=4,1,0)</f>
        <v>0</v>
      </c>
    </row>
    <row r="3413" spans="1:15" x14ac:dyDescent="0.25">
      <c r="A3413" t="s">
        <v>3453</v>
      </c>
      <c r="B3413" s="1">
        <v>45371</v>
      </c>
      <c r="C3413" t="s">
        <v>31</v>
      </c>
      <c r="D3413" t="s">
        <v>32</v>
      </c>
      <c r="E3413" t="s">
        <v>13</v>
      </c>
      <c r="F3413" t="s">
        <v>22</v>
      </c>
      <c r="G3413" t="s">
        <v>15</v>
      </c>
      <c r="K3413" cm="1">
        <f t="array" ref="K3413">_xlfn.SWITCH(LeadsData[[#This Row],[Funnel Stage Reached]],"Lead",1,"MQL",2,"SQL",3,"Customer",4)</f>
        <v>1</v>
      </c>
      <c r="L3413" t="str">
        <f>TEXT(LeadsData[[#This Row],[Signup Date]],"mmm-yyyy")</f>
        <v>Mar-2024</v>
      </c>
      <c r="M3413">
        <f>IF(LeadsData[[#This Row],[Stage Number]]&gt;=2,1,0)</f>
        <v>0</v>
      </c>
      <c r="N3413" s="2">
        <f>IF(LeadsData[[#This Row],[Stage Number]]&gt;=3,1,0)</f>
        <v>0</v>
      </c>
      <c r="O3413" s="2">
        <f>IF(LeadsData[[#This Row],[Stage Number]]&gt;=4,1,0)</f>
        <v>0</v>
      </c>
    </row>
    <row r="3414" spans="1:15" x14ac:dyDescent="0.25">
      <c r="A3414" t="s">
        <v>3454</v>
      </c>
      <c r="B3414" s="1">
        <v>45428</v>
      </c>
      <c r="C3414" t="s">
        <v>36</v>
      </c>
      <c r="D3414" t="s">
        <v>50</v>
      </c>
      <c r="E3414" t="s">
        <v>21</v>
      </c>
      <c r="F3414" t="s">
        <v>22</v>
      </c>
      <c r="G3414" t="s">
        <v>29</v>
      </c>
      <c r="K3414" cm="1">
        <f t="array" ref="K3414">_xlfn.SWITCH(LeadsData[[#This Row],[Funnel Stage Reached]],"Lead",1,"MQL",2,"SQL",3,"Customer",4)</f>
        <v>3</v>
      </c>
      <c r="L3414" t="str">
        <f>TEXT(LeadsData[[#This Row],[Signup Date]],"mmm-yyyy")</f>
        <v>May-2024</v>
      </c>
      <c r="M3414">
        <f>IF(LeadsData[[#This Row],[Stage Number]]&gt;=2,1,0)</f>
        <v>1</v>
      </c>
      <c r="N3414" s="2">
        <f>IF(LeadsData[[#This Row],[Stage Number]]&gt;=3,1,0)</f>
        <v>1</v>
      </c>
      <c r="O3414" s="2">
        <f>IF(LeadsData[[#This Row],[Stage Number]]&gt;=4,1,0)</f>
        <v>0</v>
      </c>
    </row>
    <row r="3415" spans="1:15" x14ac:dyDescent="0.25">
      <c r="A3415" t="s">
        <v>3455</v>
      </c>
      <c r="B3415" s="1">
        <v>45592</v>
      </c>
      <c r="C3415" t="s">
        <v>31</v>
      </c>
      <c r="D3415" t="s">
        <v>34</v>
      </c>
      <c r="E3415" t="s">
        <v>13</v>
      </c>
      <c r="F3415" t="s">
        <v>19</v>
      </c>
      <c r="G3415" t="s">
        <v>23</v>
      </c>
      <c r="K3415" cm="1">
        <f t="array" ref="K3415">_xlfn.SWITCH(LeadsData[[#This Row],[Funnel Stage Reached]],"Lead",1,"MQL",2,"SQL",3,"Customer",4)</f>
        <v>2</v>
      </c>
      <c r="L3415" t="str">
        <f>TEXT(LeadsData[[#This Row],[Signup Date]],"mmm-yyyy")</f>
        <v>Oct-2024</v>
      </c>
      <c r="M3415">
        <f>IF(LeadsData[[#This Row],[Stage Number]]&gt;=2,1,0)</f>
        <v>1</v>
      </c>
      <c r="N3415" s="2">
        <f>IF(LeadsData[[#This Row],[Stage Number]]&gt;=3,1,0)</f>
        <v>0</v>
      </c>
      <c r="O3415" s="2">
        <f>IF(LeadsData[[#This Row],[Stage Number]]&gt;=4,1,0)</f>
        <v>0</v>
      </c>
    </row>
    <row r="3416" spans="1:15" x14ac:dyDescent="0.25">
      <c r="A3416" t="s">
        <v>3456</v>
      </c>
      <c r="B3416" s="1">
        <v>45601</v>
      </c>
      <c r="C3416" t="s">
        <v>31</v>
      </c>
      <c r="D3416" t="s">
        <v>34</v>
      </c>
      <c r="E3416" t="s">
        <v>21</v>
      </c>
      <c r="F3416" t="s">
        <v>22</v>
      </c>
      <c r="G3416" t="s">
        <v>23</v>
      </c>
      <c r="K3416" cm="1">
        <f t="array" ref="K3416">_xlfn.SWITCH(LeadsData[[#This Row],[Funnel Stage Reached]],"Lead",1,"MQL",2,"SQL",3,"Customer",4)</f>
        <v>2</v>
      </c>
      <c r="L3416" t="str">
        <f>TEXT(LeadsData[[#This Row],[Signup Date]],"mmm-yyyy")</f>
        <v>Nov-2024</v>
      </c>
      <c r="M3416">
        <f>IF(LeadsData[[#This Row],[Stage Number]]&gt;=2,1,0)</f>
        <v>1</v>
      </c>
      <c r="N3416" s="2">
        <f>IF(LeadsData[[#This Row],[Stage Number]]&gt;=3,1,0)</f>
        <v>0</v>
      </c>
      <c r="O3416" s="2">
        <f>IF(LeadsData[[#This Row],[Stage Number]]&gt;=4,1,0)</f>
        <v>0</v>
      </c>
    </row>
    <row r="3417" spans="1:15" x14ac:dyDescent="0.25">
      <c r="A3417" t="s">
        <v>3457</v>
      </c>
      <c r="B3417" s="1">
        <v>45373</v>
      </c>
      <c r="C3417" t="s">
        <v>11</v>
      </c>
      <c r="D3417" t="s">
        <v>79</v>
      </c>
      <c r="E3417" t="s">
        <v>48</v>
      </c>
      <c r="F3417" t="s">
        <v>14</v>
      </c>
      <c r="G3417" t="s">
        <v>15</v>
      </c>
      <c r="K3417" cm="1">
        <f t="array" ref="K3417">_xlfn.SWITCH(LeadsData[[#This Row],[Funnel Stage Reached]],"Lead",1,"MQL",2,"SQL",3,"Customer",4)</f>
        <v>1</v>
      </c>
      <c r="L3417" t="str">
        <f>TEXT(LeadsData[[#This Row],[Signup Date]],"mmm-yyyy")</f>
        <v>Mar-2024</v>
      </c>
      <c r="M3417">
        <f>IF(LeadsData[[#This Row],[Stage Number]]&gt;=2,1,0)</f>
        <v>0</v>
      </c>
      <c r="N3417" s="2">
        <f>IF(LeadsData[[#This Row],[Stage Number]]&gt;=3,1,0)</f>
        <v>0</v>
      </c>
      <c r="O3417" s="2">
        <f>IF(LeadsData[[#This Row],[Stage Number]]&gt;=4,1,0)</f>
        <v>0</v>
      </c>
    </row>
    <row r="3418" spans="1:15" x14ac:dyDescent="0.25">
      <c r="A3418" t="s">
        <v>3458</v>
      </c>
      <c r="B3418" s="1">
        <v>45642</v>
      </c>
      <c r="C3418" t="s">
        <v>46</v>
      </c>
      <c r="D3418" t="s">
        <v>56</v>
      </c>
      <c r="E3418" t="s">
        <v>13</v>
      </c>
      <c r="F3418" t="s">
        <v>22</v>
      </c>
      <c r="G3418" t="s">
        <v>15</v>
      </c>
      <c r="K3418" cm="1">
        <f t="array" ref="K3418">_xlfn.SWITCH(LeadsData[[#This Row],[Funnel Stage Reached]],"Lead",1,"MQL",2,"SQL",3,"Customer",4)</f>
        <v>1</v>
      </c>
      <c r="L3418" t="str">
        <f>TEXT(LeadsData[[#This Row],[Signup Date]],"mmm-yyyy")</f>
        <v>Dec-2024</v>
      </c>
      <c r="M3418">
        <f>IF(LeadsData[[#This Row],[Stage Number]]&gt;=2,1,0)</f>
        <v>0</v>
      </c>
      <c r="N3418" s="2">
        <f>IF(LeadsData[[#This Row],[Stage Number]]&gt;=3,1,0)</f>
        <v>0</v>
      </c>
      <c r="O3418" s="2">
        <f>IF(LeadsData[[#This Row],[Stage Number]]&gt;=4,1,0)</f>
        <v>0</v>
      </c>
    </row>
    <row r="3419" spans="1:15" x14ac:dyDescent="0.25">
      <c r="A3419" t="s">
        <v>3459</v>
      </c>
      <c r="B3419" s="1">
        <v>45624</v>
      </c>
      <c r="C3419" t="s">
        <v>17</v>
      </c>
      <c r="D3419" t="s">
        <v>53</v>
      </c>
      <c r="E3419" t="s">
        <v>13</v>
      </c>
      <c r="F3419" t="s">
        <v>22</v>
      </c>
      <c r="G3419" t="s">
        <v>23</v>
      </c>
      <c r="K3419" cm="1">
        <f t="array" ref="K3419">_xlfn.SWITCH(LeadsData[[#This Row],[Funnel Stage Reached]],"Lead",1,"MQL",2,"SQL",3,"Customer",4)</f>
        <v>2</v>
      </c>
      <c r="L3419" t="str">
        <f>TEXT(LeadsData[[#This Row],[Signup Date]],"mmm-yyyy")</f>
        <v>Nov-2024</v>
      </c>
      <c r="M3419">
        <f>IF(LeadsData[[#This Row],[Stage Number]]&gt;=2,1,0)</f>
        <v>1</v>
      </c>
      <c r="N3419" s="2">
        <f>IF(LeadsData[[#This Row],[Stage Number]]&gt;=3,1,0)</f>
        <v>0</v>
      </c>
      <c r="O3419" s="2">
        <f>IF(LeadsData[[#This Row],[Stage Number]]&gt;=4,1,0)</f>
        <v>0</v>
      </c>
    </row>
    <row r="3420" spans="1:15" x14ac:dyDescent="0.25">
      <c r="A3420" t="s">
        <v>3460</v>
      </c>
      <c r="B3420" s="1">
        <v>45299</v>
      </c>
      <c r="C3420" t="s">
        <v>25</v>
      </c>
      <c r="D3420" t="s">
        <v>26</v>
      </c>
      <c r="E3420" t="s">
        <v>13</v>
      </c>
      <c r="F3420" t="s">
        <v>19</v>
      </c>
      <c r="G3420" t="s">
        <v>23</v>
      </c>
      <c r="K3420" cm="1">
        <f t="array" ref="K3420">_xlfn.SWITCH(LeadsData[[#This Row],[Funnel Stage Reached]],"Lead",1,"MQL",2,"SQL",3,"Customer",4)</f>
        <v>2</v>
      </c>
      <c r="L3420" t="str">
        <f>TEXT(LeadsData[[#This Row],[Signup Date]],"mmm-yyyy")</f>
        <v>Jan-2024</v>
      </c>
      <c r="M3420">
        <f>IF(LeadsData[[#This Row],[Stage Number]]&gt;=2,1,0)</f>
        <v>1</v>
      </c>
      <c r="N3420" s="2">
        <f>IF(LeadsData[[#This Row],[Stage Number]]&gt;=3,1,0)</f>
        <v>0</v>
      </c>
      <c r="O3420" s="2">
        <f>IF(LeadsData[[#This Row],[Stage Number]]&gt;=4,1,0)</f>
        <v>0</v>
      </c>
    </row>
    <row r="3421" spans="1:15" x14ac:dyDescent="0.25">
      <c r="A3421" t="s">
        <v>3461</v>
      </c>
      <c r="B3421" s="1">
        <v>45582</v>
      </c>
      <c r="C3421" t="s">
        <v>36</v>
      </c>
      <c r="D3421" t="s">
        <v>37</v>
      </c>
      <c r="E3421" t="s">
        <v>21</v>
      </c>
      <c r="F3421" t="s">
        <v>22</v>
      </c>
      <c r="G3421" t="s">
        <v>42</v>
      </c>
      <c r="H3421">
        <v>49</v>
      </c>
      <c r="I3421" t="s">
        <v>43</v>
      </c>
      <c r="J3421">
        <v>1383.48</v>
      </c>
      <c r="K3421" cm="1">
        <f t="array" ref="K3421">_xlfn.SWITCH(LeadsData[[#This Row],[Funnel Stage Reached]],"Lead",1,"MQL",2,"SQL",3,"Customer",4)</f>
        <v>4</v>
      </c>
      <c r="L3421" t="str">
        <f>TEXT(LeadsData[[#This Row],[Signup Date]],"mmm-yyyy")</f>
        <v>Oct-2024</v>
      </c>
      <c r="M3421">
        <f>IF(LeadsData[[#This Row],[Stage Number]]&gt;=2,1,0)</f>
        <v>1</v>
      </c>
      <c r="N3421" s="2">
        <f>IF(LeadsData[[#This Row],[Stage Number]]&gt;=3,1,0)</f>
        <v>1</v>
      </c>
      <c r="O3421" s="2">
        <f>IF(LeadsData[[#This Row],[Stage Number]]&gt;=4,1,0)</f>
        <v>1</v>
      </c>
    </row>
    <row r="3422" spans="1:15" x14ac:dyDescent="0.25">
      <c r="A3422" t="s">
        <v>3462</v>
      </c>
      <c r="B3422" s="1">
        <v>45361</v>
      </c>
      <c r="C3422" t="s">
        <v>36</v>
      </c>
      <c r="D3422" t="s">
        <v>50</v>
      </c>
      <c r="E3422" t="s">
        <v>13</v>
      </c>
      <c r="F3422" t="s">
        <v>22</v>
      </c>
      <c r="G3422" t="s">
        <v>42</v>
      </c>
      <c r="H3422">
        <v>15</v>
      </c>
      <c r="I3422" t="s">
        <v>87</v>
      </c>
      <c r="J3422">
        <v>3616.97</v>
      </c>
      <c r="K3422" cm="1">
        <f t="array" ref="K3422">_xlfn.SWITCH(LeadsData[[#This Row],[Funnel Stage Reached]],"Lead",1,"MQL",2,"SQL",3,"Customer",4)</f>
        <v>4</v>
      </c>
      <c r="L3422" t="str">
        <f>TEXT(LeadsData[[#This Row],[Signup Date]],"mmm-yyyy")</f>
        <v>Mar-2024</v>
      </c>
      <c r="M3422">
        <f>IF(LeadsData[[#This Row],[Stage Number]]&gt;=2,1,0)</f>
        <v>1</v>
      </c>
      <c r="N3422" s="2">
        <f>IF(LeadsData[[#This Row],[Stage Number]]&gt;=3,1,0)</f>
        <v>1</v>
      </c>
      <c r="O3422" s="2">
        <f>IF(LeadsData[[#This Row],[Stage Number]]&gt;=4,1,0)</f>
        <v>1</v>
      </c>
    </row>
    <row r="3423" spans="1:15" x14ac:dyDescent="0.25">
      <c r="A3423" t="s">
        <v>3463</v>
      </c>
      <c r="B3423" s="1">
        <v>45454</v>
      </c>
      <c r="C3423" t="s">
        <v>36</v>
      </c>
      <c r="D3423" t="s">
        <v>50</v>
      </c>
      <c r="E3423" t="s">
        <v>13</v>
      </c>
      <c r="F3423" t="s">
        <v>14</v>
      </c>
      <c r="G3423" t="s">
        <v>15</v>
      </c>
      <c r="K3423" cm="1">
        <f t="array" ref="K3423">_xlfn.SWITCH(LeadsData[[#This Row],[Funnel Stage Reached]],"Lead",1,"MQL",2,"SQL",3,"Customer",4)</f>
        <v>1</v>
      </c>
      <c r="L3423" t="str">
        <f>TEXT(LeadsData[[#This Row],[Signup Date]],"mmm-yyyy")</f>
        <v>Jun-2024</v>
      </c>
      <c r="M3423">
        <f>IF(LeadsData[[#This Row],[Stage Number]]&gt;=2,1,0)</f>
        <v>0</v>
      </c>
      <c r="N3423" s="2">
        <f>IF(LeadsData[[#This Row],[Stage Number]]&gt;=3,1,0)</f>
        <v>0</v>
      </c>
      <c r="O3423" s="2">
        <f>IF(LeadsData[[#This Row],[Stage Number]]&gt;=4,1,0)</f>
        <v>0</v>
      </c>
    </row>
    <row r="3424" spans="1:15" x14ac:dyDescent="0.25">
      <c r="A3424" t="s">
        <v>3464</v>
      </c>
      <c r="B3424" s="1">
        <v>45505</v>
      </c>
      <c r="C3424" t="s">
        <v>31</v>
      </c>
      <c r="D3424" t="s">
        <v>32</v>
      </c>
      <c r="E3424" t="s">
        <v>21</v>
      </c>
      <c r="F3424" t="s">
        <v>14</v>
      </c>
      <c r="G3424" t="s">
        <v>29</v>
      </c>
      <c r="K3424" cm="1">
        <f t="array" ref="K3424">_xlfn.SWITCH(LeadsData[[#This Row],[Funnel Stage Reached]],"Lead",1,"MQL",2,"SQL",3,"Customer",4)</f>
        <v>3</v>
      </c>
      <c r="L3424" t="str">
        <f>TEXT(LeadsData[[#This Row],[Signup Date]],"mmm-yyyy")</f>
        <v>Aug-2024</v>
      </c>
      <c r="M3424">
        <f>IF(LeadsData[[#This Row],[Stage Number]]&gt;=2,1,0)</f>
        <v>1</v>
      </c>
      <c r="N3424" s="2">
        <f>IF(LeadsData[[#This Row],[Stage Number]]&gt;=3,1,0)</f>
        <v>1</v>
      </c>
      <c r="O3424" s="2">
        <f>IF(LeadsData[[#This Row],[Stage Number]]&gt;=4,1,0)</f>
        <v>0</v>
      </c>
    </row>
    <row r="3425" spans="1:15" x14ac:dyDescent="0.25">
      <c r="A3425" t="s">
        <v>3465</v>
      </c>
      <c r="B3425" s="1">
        <v>45511</v>
      </c>
      <c r="C3425" t="s">
        <v>36</v>
      </c>
      <c r="D3425" t="s">
        <v>50</v>
      </c>
      <c r="E3425" t="s">
        <v>21</v>
      </c>
      <c r="F3425" t="s">
        <v>19</v>
      </c>
      <c r="G3425" t="s">
        <v>15</v>
      </c>
      <c r="K3425" cm="1">
        <f t="array" ref="K3425">_xlfn.SWITCH(LeadsData[[#This Row],[Funnel Stage Reached]],"Lead",1,"MQL",2,"SQL",3,"Customer",4)</f>
        <v>1</v>
      </c>
      <c r="L3425" t="str">
        <f>TEXT(LeadsData[[#This Row],[Signup Date]],"mmm-yyyy")</f>
        <v>Aug-2024</v>
      </c>
      <c r="M3425">
        <f>IF(LeadsData[[#This Row],[Stage Number]]&gt;=2,1,0)</f>
        <v>0</v>
      </c>
      <c r="N3425" s="2">
        <f>IF(LeadsData[[#This Row],[Stage Number]]&gt;=3,1,0)</f>
        <v>0</v>
      </c>
      <c r="O3425" s="2">
        <f>IF(LeadsData[[#This Row],[Stage Number]]&gt;=4,1,0)</f>
        <v>0</v>
      </c>
    </row>
    <row r="3426" spans="1:15" x14ac:dyDescent="0.25">
      <c r="A3426" t="s">
        <v>3466</v>
      </c>
      <c r="B3426" s="1">
        <v>45540</v>
      </c>
      <c r="C3426" t="s">
        <v>17</v>
      </c>
      <c r="D3426" t="s">
        <v>18</v>
      </c>
      <c r="E3426" t="s">
        <v>13</v>
      </c>
      <c r="F3426" t="s">
        <v>19</v>
      </c>
      <c r="G3426" t="s">
        <v>42</v>
      </c>
      <c r="H3426">
        <v>42</v>
      </c>
      <c r="I3426" t="s">
        <v>43</v>
      </c>
      <c r="J3426">
        <v>1366.33</v>
      </c>
      <c r="K3426" cm="1">
        <f t="array" ref="K3426">_xlfn.SWITCH(LeadsData[[#This Row],[Funnel Stage Reached]],"Lead",1,"MQL",2,"SQL",3,"Customer",4)</f>
        <v>4</v>
      </c>
      <c r="L3426" t="str">
        <f>TEXT(LeadsData[[#This Row],[Signup Date]],"mmm-yyyy")</f>
        <v>Sep-2024</v>
      </c>
      <c r="M3426">
        <f>IF(LeadsData[[#This Row],[Stage Number]]&gt;=2,1,0)</f>
        <v>1</v>
      </c>
      <c r="N3426" s="2">
        <f>IF(LeadsData[[#This Row],[Stage Number]]&gt;=3,1,0)</f>
        <v>1</v>
      </c>
      <c r="O3426" s="2">
        <f>IF(LeadsData[[#This Row],[Stage Number]]&gt;=4,1,0)</f>
        <v>1</v>
      </c>
    </row>
    <row r="3427" spans="1:15" x14ac:dyDescent="0.25">
      <c r="A3427" t="s">
        <v>3467</v>
      </c>
      <c r="B3427" s="1">
        <v>45630</v>
      </c>
      <c r="C3427" t="s">
        <v>31</v>
      </c>
      <c r="D3427" t="s">
        <v>34</v>
      </c>
      <c r="E3427" t="s">
        <v>13</v>
      </c>
      <c r="F3427" t="s">
        <v>19</v>
      </c>
      <c r="G3427" t="s">
        <v>23</v>
      </c>
      <c r="K3427" cm="1">
        <f t="array" ref="K3427">_xlfn.SWITCH(LeadsData[[#This Row],[Funnel Stage Reached]],"Lead",1,"MQL",2,"SQL",3,"Customer",4)</f>
        <v>2</v>
      </c>
      <c r="L3427" t="str">
        <f>TEXT(LeadsData[[#This Row],[Signup Date]],"mmm-yyyy")</f>
        <v>Dec-2024</v>
      </c>
      <c r="M3427">
        <f>IF(LeadsData[[#This Row],[Stage Number]]&gt;=2,1,0)</f>
        <v>1</v>
      </c>
      <c r="N3427" s="2">
        <f>IF(LeadsData[[#This Row],[Stage Number]]&gt;=3,1,0)</f>
        <v>0</v>
      </c>
      <c r="O3427" s="2">
        <f>IF(LeadsData[[#This Row],[Stage Number]]&gt;=4,1,0)</f>
        <v>0</v>
      </c>
    </row>
    <row r="3428" spans="1:15" x14ac:dyDescent="0.25">
      <c r="A3428" t="s">
        <v>3468</v>
      </c>
      <c r="B3428" s="1">
        <v>45372</v>
      </c>
      <c r="C3428" t="s">
        <v>17</v>
      </c>
      <c r="D3428" t="s">
        <v>53</v>
      </c>
      <c r="E3428" t="s">
        <v>21</v>
      </c>
      <c r="F3428" t="s">
        <v>14</v>
      </c>
      <c r="G3428" t="s">
        <v>15</v>
      </c>
      <c r="K3428" cm="1">
        <f t="array" ref="K3428">_xlfn.SWITCH(LeadsData[[#This Row],[Funnel Stage Reached]],"Lead",1,"MQL",2,"SQL",3,"Customer",4)</f>
        <v>1</v>
      </c>
      <c r="L3428" t="str">
        <f>TEXT(LeadsData[[#This Row],[Signup Date]],"mmm-yyyy")</f>
        <v>Mar-2024</v>
      </c>
      <c r="M3428">
        <f>IF(LeadsData[[#This Row],[Stage Number]]&gt;=2,1,0)</f>
        <v>0</v>
      </c>
      <c r="N3428" s="2">
        <f>IF(LeadsData[[#This Row],[Stage Number]]&gt;=3,1,0)</f>
        <v>0</v>
      </c>
      <c r="O3428" s="2">
        <f>IF(LeadsData[[#This Row],[Stage Number]]&gt;=4,1,0)</f>
        <v>0</v>
      </c>
    </row>
    <row r="3429" spans="1:15" x14ac:dyDescent="0.25">
      <c r="A3429" t="s">
        <v>3469</v>
      </c>
      <c r="B3429" s="1">
        <v>45480</v>
      </c>
      <c r="C3429" t="s">
        <v>25</v>
      </c>
      <c r="D3429" t="s">
        <v>26</v>
      </c>
      <c r="E3429" t="s">
        <v>13</v>
      </c>
      <c r="F3429" t="s">
        <v>14</v>
      </c>
      <c r="G3429" t="s">
        <v>15</v>
      </c>
      <c r="K3429" cm="1">
        <f t="array" ref="K3429">_xlfn.SWITCH(LeadsData[[#This Row],[Funnel Stage Reached]],"Lead",1,"MQL",2,"SQL",3,"Customer",4)</f>
        <v>1</v>
      </c>
      <c r="L3429" t="str">
        <f>TEXT(LeadsData[[#This Row],[Signup Date]],"mmm-yyyy")</f>
        <v>Jul-2024</v>
      </c>
      <c r="M3429">
        <f>IF(LeadsData[[#This Row],[Stage Number]]&gt;=2,1,0)</f>
        <v>0</v>
      </c>
      <c r="N3429" s="2">
        <f>IF(LeadsData[[#This Row],[Stage Number]]&gt;=3,1,0)</f>
        <v>0</v>
      </c>
      <c r="O3429" s="2">
        <f>IF(LeadsData[[#This Row],[Stage Number]]&gt;=4,1,0)</f>
        <v>0</v>
      </c>
    </row>
    <row r="3430" spans="1:15" x14ac:dyDescent="0.25">
      <c r="A3430" t="s">
        <v>3470</v>
      </c>
      <c r="B3430" s="1">
        <v>45486</v>
      </c>
      <c r="C3430" t="s">
        <v>31</v>
      </c>
      <c r="D3430" t="s">
        <v>34</v>
      </c>
      <c r="E3430" t="s">
        <v>13</v>
      </c>
      <c r="F3430" t="s">
        <v>28</v>
      </c>
      <c r="G3430" t="s">
        <v>42</v>
      </c>
      <c r="H3430">
        <v>38</v>
      </c>
      <c r="I3430" t="s">
        <v>43</v>
      </c>
      <c r="J3430">
        <v>1199.03</v>
      </c>
      <c r="K3430" cm="1">
        <f t="array" ref="K3430">_xlfn.SWITCH(LeadsData[[#This Row],[Funnel Stage Reached]],"Lead",1,"MQL",2,"SQL",3,"Customer",4)</f>
        <v>4</v>
      </c>
      <c r="L3430" t="str">
        <f>TEXT(LeadsData[[#This Row],[Signup Date]],"mmm-yyyy")</f>
        <v>Jul-2024</v>
      </c>
      <c r="M3430">
        <f>IF(LeadsData[[#This Row],[Stage Number]]&gt;=2,1,0)</f>
        <v>1</v>
      </c>
      <c r="N3430" s="2">
        <f>IF(LeadsData[[#This Row],[Stage Number]]&gt;=3,1,0)</f>
        <v>1</v>
      </c>
      <c r="O3430" s="2">
        <f>IF(LeadsData[[#This Row],[Stage Number]]&gt;=4,1,0)</f>
        <v>1</v>
      </c>
    </row>
    <row r="3431" spans="1:15" x14ac:dyDescent="0.25">
      <c r="A3431" t="s">
        <v>3471</v>
      </c>
      <c r="B3431" s="1">
        <v>45590</v>
      </c>
      <c r="C3431" t="s">
        <v>36</v>
      </c>
      <c r="D3431" t="s">
        <v>37</v>
      </c>
      <c r="E3431" t="s">
        <v>48</v>
      </c>
      <c r="F3431" t="s">
        <v>19</v>
      </c>
      <c r="G3431" t="s">
        <v>23</v>
      </c>
      <c r="K3431" cm="1">
        <f t="array" ref="K3431">_xlfn.SWITCH(LeadsData[[#This Row],[Funnel Stage Reached]],"Lead",1,"MQL",2,"SQL",3,"Customer",4)</f>
        <v>2</v>
      </c>
      <c r="L3431" t="str">
        <f>TEXT(LeadsData[[#This Row],[Signup Date]],"mmm-yyyy")</f>
        <v>Oct-2024</v>
      </c>
      <c r="M3431">
        <f>IF(LeadsData[[#This Row],[Stage Number]]&gt;=2,1,0)</f>
        <v>1</v>
      </c>
      <c r="N3431" s="2">
        <f>IF(LeadsData[[#This Row],[Stage Number]]&gt;=3,1,0)</f>
        <v>0</v>
      </c>
      <c r="O3431" s="2">
        <f>IF(LeadsData[[#This Row],[Stage Number]]&gt;=4,1,0)</f>
        <v>0</v>
      </c>
    </row>
    <row r="3432" spans="1:15" x14ac:dyDescent="0.25">
      <c r="A3432" t="s">
        <v>3472</v>
      </c>
      <c r="B3432" s="1">
        <v>45521</v>
      </c>
      <c r="C3432" t="s">
        <v>36</v>
      </c>
      <c r="D3432" t="s">
        <v>37</v>
      </c>
      <c r="E3432" t="s">
        <v>13</v>
      </c>
      <c r="F3432" t="s">
        <v>19</v>
      </c>
      <c r="G3432" t="s">
        <v>23</v>
      </c>
      <c r="K3432" cm="1">
        <f t="array" ref="K3432">_xlfn.SWITCH(LeadsData[[#This Row],[Funnel Stage Reached]],"Lead",1,"MQL",2,"SQL",3,"Customer",4)</f>
        <v>2</v>
      </c>
      <c r="L3432" t="str">
        <f>TEXT(LeadsData[[#This Row],[Signup Date]],"mmm-yyyy")</f>
        <v>Aug-2024</v>
      </c>
      <c r="M3432">
        <f>IF(LeadsData[[#This Row],[Stage Number]]&gt;=2,1,0)</f>
        <v>1</v>
      </c>
      <c r="N3432" s="2">
        <f>IF(LeadsData[[#This Row],[Stage Number]]&gt;=3,1,0)</f>
        <v>0</v>
      </c>
      <c r="O3432" s="2">
        <f>IF(LeadsData[[#This Row],[Stage Number]]&gt;=4,1,0)</f>
        <v>0</v>
      </c>
    </row>
    <row r="3433" spans="1:15" x14ac:dyDescent="0.25">
      <c r="A3433" t="s">
        <v>3473</v>
      </c>
      <c r="B3433" s="1">
        <v>45374</v>
      </c>
      <c r="C3433" t="s">
        <v>25</v>
      </c>
      <c r="D3433" t="s">
        <v>26</v>
      </c>
      <c r="E3433" t="s">
        <v>13</v>
      </c>
      <c r="F3433" t="s">
        <v>19</v>
      </c>
      <c r="G3433" t="s">
        <v>29</v>
      </c>
      <c r="K3433" cm="1">
        <f t="array" ref="K3433">_xlfn.SWITCH(LeadsData[[#This Row],[Funnel Stage Reached]],"Lead",1,"MQL",2,"SQL",3,"Customer",4)</f>
        <v>3</v>
      </c>
      <c r="L3433" t="str">
        <f>TEXT(LeadsData[[#This Row],[Signup Date]],"mmm-yyyy")</f>
        <v>Mar-2024</v>
      </c>
      <c r="M3433">
        <f>IF(LeadsData[[#This Row],[Stage Number]]&gt;=2,1,0)</f>
        <v>1</v>
      </c>
      <c r="N3433" s="2">
        <f>IF(LeadsData[[#This Row],[Stage Number]]&gt;=3,1,0)</f>
        <v>1</v>
      </c>
      <c r="O3433" s="2">
        <f>IF(LeadsData[[#This Row],[Stage Number]]&gt;=4,1,0)</f>
        <v>0</v>
      </c>
    </row>
    <row r="3434" spans="1:15" x14ac:dyDescent="0.25">
      <c r="A3434" t="s">
        <v>3474</v>
      </c>
      <c r="B3434" s="1">
        <v>45436</v>
      </c>
      <c r="C3434" t="s">
        <v>31</v>
      </c>
      <c r="D3434" t="s">
        <v>34</v>
      </c>
      <c r="E3434" t="s">
        <v>13</v>
      </c>
      <c r="F3434" t="s">
        <v>19</v>
      </c>
      <c r="G3434" t="s">
        <v>23</v>
      </c>
      <c r="K3434" cm="1">
        <f t="array" ref="K3434">_xlfn.SWITCH(LeadsData[[#This Row],[Funnel Stage Reached]],"Lead",1,"MQL",2,"SQL",3,"Customer",4)</f>
        <v>2</v>
      </c>
      <c r="L3434" t="str">
        <f>TEXT(LeadsData[[#This Row],[Signup Date]],"mmm-yyyy")</f>
        <v>May-2024</v>
      </c>
      <c r="M3434">
        <f>IF(LeadsData[[#This Row],[Stage Number]]&gt;=2,1,0)</f>
        <v>1</v>
      </c>
      <c r="N3434" s="2">
        <f>IF(LeadsData[[#This Row],[Stage Number]]&gt;=3,1,0)</f>
        <v>0</v>
      </c>
      <c r="O3434" s="2">
        <f>IF(LeadsData[[#This Row],[Stage Number]]&gt;=4,1,0)</f>
        <v>0</v>
      </c>
    </row>
    <row r="3435" spans="1:15" x14ac:dyDescent="0.25">
      <c r="A3435" t="s">
        <v>3475</v>
      </c>
      <c r="B3435" s="1">
        <v>45571</v>
      </c>
      <c r="C3435" t="s">
        <v>17</v>
      </c>
      <c r="D3435" t="s">
        <v>53</v>
      </c>
      <c r="E3435" t="s">
        <v>13</v>
      </c>
      <c r="F3435" t="s">
        <v>14</v>
      </c>
      <c r="G3435" t="s">
        <v>23</v>
      </c>
      <c r="K3435" cm="1">
        <f t="array" ref="K3435">_xlfn.SWITCH(LeadsData[[#This Row],[Funnel Stage Reached]],"Lead",1,"MQL",2,"SQL",3,"Customer",4)</f>
        <v>2</v>
      </c>
      <c r="L3435" t="str">
        <f>TEXT(LeadsData[[#This Row],[Signup Date]],"mmm-yyyy")</f>
        <v>Oct-2024</v>
      </c>
      <c r="M3435">
        <f>IF(LeadsData[[#This Row],[Stage Number]]&gt;=2,1,0)</f>
        <v>1</v>
      </c>
      <c r="N3435" s="2">
        <f>IF(LeadsData[[#This Row],[Stage Number]]&gt;=3,1,0)</f>
        <v>0</v>
      </c>
      <c r="O3435" s="2">
        <f>IF(LeadsData[[#This Row],[Stage Number]]&gt;=4,1,0)</f>
        <v>0</v>
      </c>
    </row>
    <row r="3436" spans="1:15" x14ac:dyDescent="0.25">
      <c r="A3436" t="s">
        <v>3476</v>
      </c>
      <c r="B3436" s="1">
        <v>45570</v>
      </c>
      <c r="C3436" t="s">
        <v>46</v>
      </c>
      <c r="D3436" t="s">
        <v>47</v>
      </c>
      <c r="E3436" t="s">
        <v>21</v>
      </c>
      <c r="F3436" t="s">
        <v>19</v>
      </c>
      <c r="G3436" t="s">
        <v>15</v>
      </c>
      <c r="K3436" cm="1">
        <f t="array" ref="K3436">_xlfn.SWITCH(LeadsData[[#This Row],[Funnel Stage Reached]],"Lead",1,"MQL",2,"SQL",3,"Customer",4)</f>
        <v>1</v>
      </c>
      <c r="L3436" t="str">
        <f>TEXT(LeadsData[[#This Row],[Signup Date]],"mmm-yyyy")</f>
        <v>Oct-2024</v>
      </c>
      <c r="M3436">
        <f>IF(LeadsData[[#This Row],[Stage Number]]&gt;=2,1,0)</f>
        <v>0</v>
      </c>
      <c r="N3436" s="2">
        <f>IF(LeadsData[[#This Row],[Stage Number]]&gt;=3,1,0)</f>
        <v>0</v>
      </c>
      <c r="O3436" s="2">
        <f>IF(LeadsData[[#This Row],[Stage Number]]&gt;=4,1,0)</f>
        <v>0</v>
      </c>
    </row>
    <row r="3437" spans="1:15" x14ac:dyDescent="0.25">
      <c r="A3437" t="s">
        <v>3477</v>
      </c>
      <c r="B3437" s="1">
        <v>45522</v>
      </c>
      <c r="C3437" t="s">
        <v>11</v>
      </c>
      <c r="D3437" t="s">
        <v>12</v>
      </c>
      <c r="E3437" t="s">
        <v>13</v>
      </c>
      <c r="F3437" t="s">
        <v>19</v>
      </c>
      <c r="G3437" t="s">
        <v>15</v>
      </c>
      <c r="K3437" cm="1">
        <f t="array" ref="K3437">_xlfn.SWITCH(LeadsData[[#This Row],[Funnel Stage Reached]],"Lead",1,"MQL",2,"SQL",3,"Customer",4)</f>
        <v>1</v>
      </c>
      <c r="L3437" t="str">
        <f>TEXT(LeadsData[[#This Row],[Signup Date]],"mmm-yyyy")</f>
        <v>Aug-2024</v>
      </c>
      <c r="M3437">
        <f>IF(LeadsData[[#This Row],[Stage Number]]&gt;=2,1,0)</f>
        <v>0</v>
      </c>
      <c r="N3437" s="2">
        <f>IF(LeadsData[[#This Row],[Stage Number]]&gt;=3,1,0)</f>
        <v>0</v>
      </c>
      <c r="O3437" s="2">
        <f>IF(LeadsData[[#This Row],[Stage Number]]&gt;=4,1,0)</f>
        <v>0</v>
      </c>
    </row>
    <row r="3438" spans="1:15" x14ac:dyDescent="0.25">
      <c r="A3438" t="s">
        <v>3478</v>
      </c>
      <c r="B3438" s="1">
        <v>45586</v>
      </c>
      <c r="C3438" t="s">
        <v>31</v>
      </c>
      <c r="D3438" t="s">
        <v>32</v>
      </c>
      <c r="E3438" t="s">
        <v>13</v>
      </c>
      <c r="F3438" t="s">
        <v>19</v>
      </c>
      <c r="G3438" t="s">
        <v>29</v>
      </c>
      <c r="K3438" cm="1">
        <f t="array" ref="K3438">_xlfn.SWITCH(LeadsData[[#This Row],[Funnel Stage Reached]],"Lead",1,"MQL",2,"SQL",3,"Customer",4)</f>
        <v>3</v>
      </c>
      <c r="L3438" t="str">
        <f>TEXT(LeadsData[[#This Row],[Signup Date]],"mmm-yyyy")</f>
        <v>Oct-2024</v>
      </c>
      <c r="M3438">
        <f>IF(LeadsData[[#This Row],[Stage Number]]&gt;=2,1,0)</f>
        <v>1</v>
      </c>
      <c r="N3438" s="2">
        <f>IF(LeadsData[[#This Row],[Stage Number]]&gt;=3,1,0)</f>
        <v>1</v>
      </c>
      <c r="O3438" s="2">
        <f>IF(LeadsData[[#This Row],[Stage Number]]&gt;=4,1,0)</f>
        <v>0</v>
      </c>
    </row>
    <row r="3439" spans="1:15" x14ac:dyDescent="0.25">
      <c r="A3439" t="s">
        <v>3479</v>
      </c>
      <c r="B3439" s="1">
        <v>45554</v>
      </c>
      <c r="C3439" t="s">
        <v>31</v>
      </c>
      <c r="D3439" t="s">
        <v>32</v>
      </c>
      <c r="E3439" t="s">
        <v>13</v>
      </c>
      <c r="F3439" t="s">
        <v>19</v>
      </c>
      <c r="G3439" t="s">
        <v>15</v>
      </c>
      <c r="K3439" cm="1">
        <f t="array" ref="K3439">_xlfn.SWITCH(LeadsData[[#This Row],[Funnel Stage Reached]],"Lead",1,"MQL",2,"SQL",3,"Customer",4)</f>
        <v>1</v>
      </c>
      <c r="L3439" t="str">
        <f>TEXT(LeadsData[[#This Row],[Signup Date]],"mmm-yyyy")</f>
        <v>Sep-2024</v>
      </c>
      <c r="M3439">
        <f>IF(LeadsData[[#This Row],[Stage Number]]&gt;=2,1,0)</f>
        <v>0</v>
      </c>
      <c r="N3439" s="2">
        <f>IF(LeadsData[[#This Row],[Stage Number]]&gt;=3,1,0)</f>
        <v>0</v>
      </c>
      <c r="O3439" s="2">
        <f>IF(LeadsData[[#This Row],[Stage Number]]&gt;=4,1,0)</f>
        <v>0</v>
      </c>
    </row>
    <row r="3440" spans="1:15" x14ac:dyDescent="0.25">
      <c r="A3440" t="s">
        <v>3480</v>
      </c>
      <c r="B3440" s="1">
        <v>45612</v>
      </c>
      <c r="C3440" t="s">
        <v>17</v>
      </c>
      <c r="D3440" t="s">
        <v>53</v>
      </c>
      <c r="E3440" t="s">
        <v>13</v>
      </c>
      <c r="F3440" t="s">
        <v>22</v>
      </c>
      <c r="G3440" t="s">
        <v>15</v>
      </c>
      <c r="K3440" cm="1">
        <f t="array" ref="K3440">_xlfn.SWITCH(LeadsData[[#This Row],[Funnel Stage Reached]],"Lead",1,"MQL",2,"SQL",3,"Customer",4)</f>
        <v>1</v>
      </c>
      <c r="L3440" t="str">
        <f>TEXT(LeadsData[[#This Row],[Signup Date]],"mmm-yyyy")</f>
        <v>Nov-2024</v>
      </c>
      <c r="M3440">
        <f>IF(LeadsData[[#This Row],[Stage Number]]&gt;=2,1,0)</f>
        <v>0</v>
      </c>
      <c r="N3440" s="2">
        <f>IF(LeadsData[[#This Row],[Stage Number]]&gt;=3,1,0)</f>
        <v>0</v>
      </c>
      <c r="O3440" s="2">
        <f>IF(LeadsData[[#This Row],[Stage Number]]&gt;=4,1,0)</f>
        <v>0</v>
      </c>
    </row>
    <row r="3441" spans="1:15" x14ac:dyDescent="0.25">
      <c r="A3441" t="s">
        <v>3481</v>
      </c>
      <c r="B3441" s="1">
        <v>45410</v>
      </c>
      <c r="C3441" t="s">
        <v>46</v>
      </c>
      <c r="D3441" t="s">
        <v>47</v>
      </c>
      <c r="E3441" t="s">
        <v>21</v>
      </c>
      <c r="F3441" t="s">
        <v>22</v>
      </c>
      <c r="G3441" t="s">
        <v>42</v>
      </c>
      <c r="H3441">
        <v>68</v>
      </c>
      <c r="I3441" t="s">
        <v>43</v>
      </c>
      <c r="J3441">
        <v>644.82000000000005</v>
      </c>
      <c r="K3441" cm="1">
        <f t="array" ref="K3441">_xlfn.SWITCH(LeadsData[[#This Row],[Funnel Stage Reached]],"Lead",1,"MQL",2,"SQL",3,"Customer",4)</f>
        <v>4</v>
      </c>
      <c r="L3441" t="str">
        <f>TEXT(LeadsData[[#This Row],[Signup Date]],"mmm-yyyy")</f>
        <v>Apr-2024</v>
      </c>
      <c r="M3441">
        <f>IF(LeadsData[[#This Row],[Stage Number]]&gt;=2,1,0)</f>
        <v>1</v>
      </c>
      <c r="N3441" s="2">
        <f>IF(LeadsData[[#This Row],[Stage Number]]&gt;=3,1,0)</f>
        <v>1</v>
      </c>
      <c r="O3441" s="2">
        <f>IF(LeadsData[[#This Row],[Stage Number]]&gt;=4,1,0)</f>
        <v>1</v>
      </c>
    </row>
    <row r="3442" spans="1:15" x14ac:dyDescent="0.25">
      <c r="A3442" t="s">
        <v>3482</v>
      </c>
      <c r="B3442" s="1">
        <v>45599</v>
      </c>
      <c r="C3442" t="s">
        <v>46</v>
      </c>
      <c r="D3442" t="s">
        <v>47</v>
      </c>
      <c r="E3442" t="s">
        <v>13</v>
      </c>
      <c r="F3442" t="s">
        <v>19</v>
      </c>
      <c r="G3442" t="s">
        <v>15</v>
      </c>
      <c r="K3442" cm="1">
        <f t="array" ref="K3442">_xlfn.SWITCH(LeadsData[[#This Row],[Funnel Stage Reached]],"Lead",1,"MQL",2,"SQL",3,"Customer",4)</f>
        <v>1</v>
      </c>
      <c r="L3442" t="str">
        <f>TEXT(LeadsData[[#This Row],[Signup Date]],"mmm-yyyy")</f>
        <v>Nov-2024</v>
      </c>
      <c r="M3442">
        <f>IF(LeadsData[[#This Row],[Stage Number]]&gt;=2,1,0)</f>
        <v>0</v>
      </c>
      <c r="N3442" s="2">
        <f>IF(LeadsData[[#This Row],[Stage Number]]&gt;=3,1,0)</f>
        <v>0</v>
      </c>
      <c r="O3442" s="2">
        <f>IF(LeadsData[[#This Row],[Stage Number]]&gt;=4,1,0)</f>
        <v>0</v>
      </c>
    </row>
    <row r="3443" spans="1:15" x14ac:dyDescent="0.25">
      <c r="A3443" t="s">
        <v>3483</v>
      </c>
      <c r="B3443" s="1">
        <v>45609</v>
      </c>
      <c r="C3443" t="s">
        <v>46</v>
      </c>
      <c r="D3443" t="s">
        <v>47</v>
      </c>
      <c r="E3443" t="s">
        <v>21</v>
      </c>
      <c r="F3443" t="s">
        <v>19</v>
      </c>
      <c r="G3443" t="s">
        <v>23</v>
      </c>
      <c r="K3443" cm="1">
        <f t="array" ref="K3443">_xlfn.SWITCH(LeadsData[[#This Row],[Funnel Stage Reached]],"Lead",1,"MQL",2,"SQL",3,"Customer",4)</f>
        <v>2</v>
      </c>
      <c r="L3443" t="str">
        <f>TEXT(LeadsData[[#This Row],[Signup Date]],"mmm-yyyy")</f>
        <v>Nov-2024</v>
      </c>
      <c r="M3443">
        <f>IF(LeadsData[[#This Row],[Stage Number]]&gt;=2,1,0)</f>
        <v>1</v>
      </c>
      <c r="N3443" s="2">
        <f>IF(LeadsData[[#This Row],[Stage Number]]&gt;=3,1,0)</f>
        <v>0</v>
      </c>
      <c r="O3443" s="2">
        <f>IF(LeadsData[[#This Row],[Stage Number]]&gt;=4,1,0)</f>
        <v>0</v>
      </c>
    </row>
    <row r="3444" spans="1:15" x14ac:dyDescent="0.25">
      <c r="A3444" t="s">
        <v>3484</v>
      </c>
      <c r="B3444" s="1">
        <v>45649</v>
      </c>
      <c r="C3444" t="s">
        <v>31</v>
      </c>
      <c r="D3444" t="s">
        <v>32</v>
      </c>
      <c r="E3444" t="s">
        <v>13</v>
      </c>
      <c r="F3444" t="s">
        <v>14</v>
      </c>
      <c r="G3444" t="s">
        <v>42</v>
      </c>
      <c r="H3444">
        <v>22</v>
      </c>
      <c r="I3444" t="s">
        <v>43</v>
      </c>
      <c r="J3444">
        <v>808.92</v>
      </c>
      <c r="K3444" cm="1">
        <f t="array" ref="K3444">_xlfn.SWITCH(LeadsData[[#This Row],[Funnel Stage Reached]],"Lead",1,"MQL",2,"SQL",3,"Customer",4)</f>
        <v>4</v>
      </c>
      <c r="L3444" t="str">
        <f>TEXT(LeadsData[[#This Row],[Signup Date]],"mmm-yyyy")</f>
        <v>Dec-2024</v>
      </c>
      <c r="M3444">
        <f>IF(LeadsData[[#This Row],[Stage Number]]&gt;=2,1,0)</f>
        <v>1</v>
      </c>
      <c r="N3444" s="2">
        <f>IF(LeadsData[[#This Row],[Stage Number]]&gt;=3,1,0)</f>
        <v>1</v>
      </c>
      <c r="O3444" s="2">
        <f>IF(LeadsData[[#This Row],[Stage Number]]&gt;=4,1,0)</f>
        <v>1</v>
      </c>
    </row>
    <row r="3445" spans="1:15" x14ac:dyDescent="0.25">
      <c r="A3445" t="s">
        <v>3485</v>
      </c>
      <c r="B3445" s="1">
        <v>45408</v>
      </c>
      <c r="C3445" t="s">
        <v>25</v>
      </c>
      <c r="D3445" t="s">
        <v>26</v>
      </c>
      <c r="E3445" t="s">
        <v>48</v>
      </c>
      <c r="F3445" t="s">
        <v>19</v>
      </c>
      <c r="G3445" t="s">
        <v>15</v>
      </c>
      <c r="K3445" cm="1">
        <f t="array" ref="K3445">_xlfn.SWITCH(LeadsData[[#This Row],[Funnel Stage Reached]],"Lead",1,"MQL",2,"SQL",3,"Customer",4)</f>
        <v>1</v>
      </c>
      <c r="L3445" t="str">
        <f>TEXT(LeadsData[[#This Row],[Signup Date]],"mmm-yyyy")</f>
        <v>Apr-2024</v>
      </c>
      <c r="M3445">
        <f>IF(LeadsData[[#This Row],[Stage Number]]&gt;=2,1,0)</f>
        <v>0</v>
      </c>
      <c r="N3445" s="2">
        <f>IF(LeadsData[[#This Row],[Stage Number]]&gt;=3,1,0)</f>
        <v>0</v>
      </c>
      <c r="O3445" s="2">
        <f>IF(LeadsData[[#This Row],[Stage Number]]&gt;=4,1,0)</f>
        <v>0</v>
      </c>
    </row>
    <row r="3446" spans="1:15" x14ac:dyDescent="0.25">
      <c r="A3446" t="s">
        <v>3486</v>
      </c>
      <c r="B3446" s="1">
        <v>45634</v>
      </c>
      <c r="C3446" t="s">
        <v>17</v>
      </c>
      <c r="D3446" t="s">
        <v>53</v>
      </c>
      <c r="E3446" t="s">
        <v>21</v>
      </c>
      <c r="F3446" t="s">
        <v>14</v>
      </c>
      <c r="G3446" t="s">
        <v>42</v>
      </c>
      <c r="H3446">
        <v>32</v>
      </c>
      <c r="I3446" t="s">
        <v>43</v>
      </c>
      <c r="J3446">
        <v>971.23</v>
      </c>
      <c r="K3446" cm="1">
        <f t="array" ref="K3446">_xlfn.SWITCH(LeadsData[[#This Row],[Funnel Stage Reached]],"Lead",1,"MQL",2,"SQL",3,"Customer",4)</f>
        <v>4</v>
      </c>
      <c r="L3446" t="str">
        <f>TEXT(LeadsData[[#This Row],[Signup Date]],"mmm-yyyy")</f>
        <v>Dec-2024</v>
      </c>
      <c r="M3446">
        <f>IF(LeadsData[[#This Row],[Stage Number]]&gt;=2,1,0)</f>
        <v>1</v>
      </c>
      <c r="N3446" s="2">
        <f>IF(LeadsData[[#This Row],[Stage Number]]&gt;=3,1,0)</f>
        <v>1</v>
      </c>
      <c r="O3446" s="2">
        <f>IF(LeadsData[[#This Row],[Stage Number]]&gt;=4,1,0)</f>
        <v>1</v>
      </c>
    </row>
    <row r="3447" spans="1:15" x14ac:dyDescent="0.25">
      <c r="A3447" t="s">
        <v>3487</v>
      </c>
      <c r="B3447" s="1">
        <v>45539</v>
      </c>
      <c r="C3447" t="s">
        <v>25</v>
      </c>
      <c r="D3447" t="s">
        <v>26</v>
      </c>
      <c r="E3447" t="s">
        <v>21</v>
      </c>
      <c r="F3447" t="s">
        <v>14</v>
      </c>
      <c r="G3447" t="s">
        <v>23</v>
      </c>
      <c r="K3447" cm="1">
        <f t="array" ref="K3447">_xlfn.SWITCH(LeadsData[[#This Row],[Funnel Stage Reached]],"Lead",1,"MQL",2,"SQL",3,"Customer",4)</f>
        <v>2</v>
      </c>
      <c r="L3447" t="str">
        <f>TEXT(LeadsData[[#This Row],[Signup Date]],"mmm-yyyy")</f>
        <v>Sep-2024</v>
      </c>
      <c r="M3447">
        <f>IF(LeadsData[[#This Row],[Stage Number]]&gt;=2,1,0)</f>
        <v>1</v>
      </c>
      <c r="N3447" s="2">
        <f>IF(LeadsData[[#This Row],[Stage Number]]&gt;=3,1,0)</f>
        <v>0</v>
      </c>
      <c r="O3447" s="2">
        <f>IF(LeadsData[[#This Row],[Stage Number]]&gt;=4,1,0)</f>
        <v>0</v>
      </c>
    </row>
    <row r="3448" spans="1:15" x14ac:dyDescent="0.25">
      <c r="A3448" t="s">
        <v>3488</v>
      </c>
      <c r="B3448" s="1">
        <v>45513</v>
      </c>
      <c r="C3448" t="s">
        <v>36</v>
      </c>
      <c r="D3448" t="s">
        <v>37</v>
      </c>
      <c r="E3448" t="s">
        <v>13</v>
      </c>
      <c r="F3448" t="s">
        <v>22</v>
      </c>
      <c r="G3448" t="s">
        <v>29</v>
      </c>
      <c r="K3448" cm="1">
        <f t="array" ref="K3448">_xlfn.SWITCH(LeadsData[[#This Row],[Funnel Stage Reached]],"Lead",1,"MQL",2,"SQL",3,"Customer",4)</f>
        <v>3</v>
      </c>
      <c r="L3448" t="str">
        <f>TEXT(LeadsData[[#This Row],[Signup Date]],"mmm-yyyy")</f>
        <v>Aug-2024</v>
      </c>
      <c r="M3448">
        <f>IF(LeadsData[[#This Row],[Stage Number]]&gt;=2,1,0)</f>
        <v>1</v>
      </c>
      <c r="N3448" s="2">
        <f>IF(LeadsData[[#This Row],[Stage Number]]&gt;=3,1,0)</f>
        <v>1</v>
      </c>
      <c r="O3448" s="2">
        <f>IF(LeadsData[[#This Row],[Stage Number]]&gt;=4,1,0)</f>
        <v>0</v>
      </c>
    </row>
    <row r="3449" spans="1:15" x14ac:dyDescent="0.25">
      <c r="A3449" t="s">
        <v>3489</v>
      </c>
      <c r="B3449" s="1">
        <v>45653</v>
      </c>
      <c r="C3449" t="s">
        <v>31</v>
      </c>
      <c r="D3449" t="s">
        <v>32</v>
      </c>
      <c r="E3449" t="s">
        <v>13</v>
      </c>
      <c r="F3449" t="s">
        <v>19</v>
      </c>
      <c r="G3449" t="s">
        <v>29</v>
      </c>
      <c r="K3449" cm="1">
        <f t="array" ref="K3449">_xlfn.SWITCH(LeadsData[[#This Row],[Funnel Stage Reached]],"Lead",1,"MQL",2,"SQL",3,"Customer",4)</f>
        <v>3</v>
      </c>
      <c r="L3449" t="str">
        <f>TEXT(LeadsData[[#This Row],[Signup Date]],"mmm-yyyy")</f>
        <v>Dec-2024</v>
      </c>
      <c r="M3449">
        <f>IF(LeadsData[[#This Row],[Stage Number]]&gt;=2,1,0)</f>
        <v>1</v>
      </c>
      <c r="N3449" s="2">
        <f>IF(LeadsData[[#This Row],[Stage Number]]&gt;=3,1,0)</f>
        <v>1</v>
      </c>
      <c r="O3449" s="2">
        <f>IF(LeadsData[[#This Row],[Stage Number]]&gt;=4,1,0)</f>
        <v>0</v>
      </c>
    </row>
    <row r="3450" spans="1:15" x14ac:dyDescent="0.25">
      <c r="A3450" t="s">
        <v>3490</v>
      </c>
      <c r="B3450" s="1">
        <v>45578</v>
      </c>
      <c r="C3450" t="s">
        <v>46</v>
      </c>
      <c r="D3450" t="s">
        <v>47</v>
      </c>
      <c r="E3450" t="s">
        <v>13</v>
      </c>
      <c r="F3450" t="s">
        <v>22</v>
      </c>
      <c r="G3450" t="s">
        <v>15</v>
      </c>
      <c r="K3450" cm="1">
        <f t="array" ref="K3450">_xlfn.SWITCH(LeadsData[[#This Row],[Funnel Stage Reached]],"Lead",1,"MQL",2,"SQL",3,"Customer",4)</f>
        <v>1</v>
      </c>
      <c r="L3450" t="str">
        <f>TEXT(LeadsData[[#This Row],[Signup Date]],"mmm-yyyy")</f>
        <v>Oct-2024</v>
      </c>
      <c r="M3450">
        <f>IF(LeadsData[[#This Row],[Stage Number]]&gt;=2,1,0)</f>
        <v>0</v>
      </c>
      <c r="N3450" s="2">
        <f>IF(LeadsData[[#This Row],[Stage Number]]&gt;=3,1,0)</f>
        <v>0</v>
      </c>
      <c r="O3450" s="2">
        <f>IF(LeadsData[[#This Row],[Stage Number]]&gt;=4,1,0)</f>
        <v>0</v>
      </c>
    </row>
    <row r="3451" spans="1:15" x14ac:dyDescent="0.25">
      <c r="A3451" t="s">
        <v>3491</v>
      </c>
      <c r="B3451" s="1">
        <v>45481</v>
      </c>
      <c r="C3451" t="s">
        <v>11</v>
      </c>
      <c r="D3451" t="s">
        <v>79</v>
      </c>
      <c r="E3451" t="s">
        <v>21</v>
      </c>
      <c r="F3451" t="s">
        <v>28</v>
      </c>
      <c r="G3451" t="s">
        <v>23</v>
      </c>
      <c r="K3451" cm="1">
        <f t="array" ref="K3451">_xlfn.SWITCH(LeadsData[[#This Row],[Funnel Stage Reached]],"Lead",1,"MQL",2,"SQL",3,"Customer",4)</f>
        <v>2</v>
      </c>
      <c r="L3451" t="str">
        <f>TEXT(LeadsData[[#This Row],[Signup Date]],"mmm-yyyy")</f>
        <v>Jul-2024</v>
      </c>
      <c r="M3451">
        <f>IF(LeadsData[[#This Row],[Stage Number]]&gt;=2,1,0)</f>
        <v>1</v>
      </c>
      <c r="N3451" s="2">
        <f>IF(LeadsData[[#This Row],[Stage Number]]&gt;=3,1,0)</f>
        <v>0</v>
      </c>
      <c r="O3451" s="2">
        <f>IF(LeadsData[[#This Row],[Stage Number]]&gt;=4,1,0)</f>
        <v>0</v>
      </c>
    </row>
    <row r="3452" spans="1:15" x14ac:dyDescent="0.25">
      <c r="A3452" t="s">
        <v>3492</v>
      </c>
      <c r="B3452" s="1">
        <v>45610</v>
      </c>
      <c r="C3452" t="s">
        <v>11</v>
      </c>
      <c r="D3452" t="s">
        <v>12</v>
      </c>
      <c r="E3452" t="s">
        <v>13</v>
      </c>
      <c r="F3452" t="s">
        <v>22</v>
      </c>
      <c r="G3452" t="s">
        <v>23</v>
      </c>
      <c r="K3452" cm="1">
        <f t="array" ref="K3452">_xlfn.SWITCH(LeadsData[[#This Row],[Funnel Stage Reached]],"Lead",1,"MQL",2,"SQL",3,"Customer",4)</f>
        <v>2</v>
      </c>
      <c r="L3452" t="str">
        <f>TEXT(LeadsData[[#This Row],[Signup Date]],"mmm-yyyy")</f>
        <v>Nov-2024</v>
      </c>
      <c r="M3452">
        <f>IF(LeadsData[[#This Row],[Stage Number]]&gt;=2,1,0)</f>
        <v>1</v>
      </c>
      <c r="N3452" s="2">
        <f>IF(LeadsData[[#This Row],[Stage Number]]&gt;=3,1,0)</f>
        <v>0</v>
      </c>
      <c r="O3452" s="2">
        <f>IF(LeadsData[[#This Row],[Stage Number]]&gt;=4,1,0)</f>
        <v>0</v>
      </c>
    </row>
    <row r="3453" spans="1:15" x14ac:dyDescent="0.25">
      <c r="A3453" t="s">
        <v>3493</v>
      </c>
      <c r="B3453" s="1">
        <v>45566</v>
      </c>
      <c r="C3453" t="s">
        <v>31</v>
      </c>
      <c r="D3453" t="s">
        <v>34</v>
      </c>
      <c r="E3453" t="s">
        <v>13</v>
      </c>
      <c r="F3453" t="s">
        <v>19</v>
      </c>
      <c r="G3453" t="s">
        <v>29</v>
      </c>
      <c r="K3453" cm="1">
        <f t="array" ref="K3453">_xlfn.SWITCH(LeadsData[[#This Row],[Funnel Stage Reached]],"Lead",1,"MQL",2,"SQL",3,"Customer",4)</f>
        <v>3</v>
      </c>
      <c r="L3453" t="str">
        <f>TEXT(LeadsData[[#This Row],[Signup Date]],"mmm-yyyy")</f>
        <v>Oct-2024</v>
      </c>
      <c r="M3453">
        <f>IF(LeadsData[[#This Row],[Stage Number]]&gt;=2,1,0)</f>
        <v>1</v>
      </c>
      <c r="N3453" s="2">
        <f>IF(LeadsData[[#This Row],[Stage Number]]&gt;=3,1,0)</f>
        <v>1</v>
      </c>
      <c r="O3453" s="2">
        <f>IF(LeadsData[[#This Row],[Stage Number]]&gt;=4,1,0)</f>
        <v>0</v>
      </c>
    </row>
    <row r="3454" spans="1:15" x14ac:dyDescent="0.25">
      <c r="A3454" t="s">
        <v>3494</v>
      </c>
      <c r="B3454" s="1">
        <v>45560</v>
      </c>
      <c r="C3454" t="s">
        <v>11</v>
      </c>
      <c r="D3454" t="s">
        <v>68</v>
      </c>
      <c r="E3454" t="s">
        <v>21</v>
      </c>
      <c r="F3454" t="s">
        <v>19</v>
      </c>
      <c r="G3454" t="s">
        <v>15</v>
      </c>
      <c r="K3454" cm="1">
        <f t="array" ref="K3454">_xlfn.SWITCH(LeadsData[[#This Row],[Funnel Stage Reached]],"Lead",1,"MQL",2,"SQL",3,"Customer",4)</f>
        <v>1</v>
      </c>
      <c r="L3454" t="str">
        <f>TEXT(LeadsData[[#This Row],[Signup Date]],"mmm-yyyy")</f>
        <v>Sep-2024</v>
      </c>
      <c r="M3454">
        <f>IF(LeadsData[[#This Row],[Stage Number]]&gt;=2,1,0)</f>
        <v>0</v>
      </c>
      <c r="N3454" s="2">
        <f>IF(LeadsData[[#This Row],[Stage Number]]&gt;=3,1,0)</f>
        <v>0</v>
      </c>
      <c r="O3454" s="2">
        <f>IF(LeadsData[[#This Row],[Stage Number]]&gt;=4,1,0)</f>
        <v>0</v>
      </c>
    </row>
    <row r="3455" spans="1:15" x14ac:dyDescent="0.25">
      <c r="A3455" t="s">
        <v>3495</v>
      </c>
      <c r="B3455" s="1">
        <v>45638</v>
      </c>
      <c r="C3455" t="s">
        <v>31</v>
      </c>
      <c r="D3455" t="s">
        <v>32</v>
      </c>
      <c r="E3455" t="s">
        <v>13</v>
      </c>
      <c r="F3455" t="s">
        <v>19</v>
      </c>
      <c r="G3455" t="s">
        <v>23</v>
      </c>
      <c r="K3455" cm="1">
        <f t="array" ref="K3455">_xlfn.SWITCH(LeadsData[[#This Row],[Funnel Stage Reached]],"Lead",1,"MQL",2,"SQL",3,"Customer",4)</f>
        <v>2</v>
      </c>
      <c r="L3455" t="str">
        <f>TEXT(LeadsData[[#This Row],[Signup Date]],"mmm-yyyy")</f>
        <v>Dec-2024</v>
      </c>
      <c r="M3455">
        <f>IF(LeadsData[[#This Row],[Stage Number]]&gt;=2,1,0)</f>
        <v>1</v>
      </c>
      <c r="N3455" s="2">
        <f>IF(LeadsData[[#This Row],[Stage Number]]&gt;=3,1,0)</f>
        <v>0</v>
      </c>
      <c r="O3455" s="2">
        <f>IF(LeadsData[[#This Row],[Stage Number]]&gt;=4,1,0)</f>
        <v>0</v>
      </c>
    </row>
    <row r="3456" spans="1:15" x14ac:dyDescent="0.25">
      <c r="A3456" t="s">
        <v>3496</v>
      </c>
      <c r="B3456" s="1">
        <v>45319</v>
      </c>
      <c r="C3456" t="s">
        <v>46</v>
      </c>
      <c r="D3456" t="s">
        <v>56</v>
      </c>
      <c r="E3456" t="s">
        <v>21</v>
      </c>
      <c r="F3456" t="s">
        <v>22</v>
      </c>
      <c r="G3456" t="s">
        <v>42</v>
      </c>
      <c r="H3456">
        <v>17</v>
      </c>
      <c r="I3456" t="s">
        <v>87</v>
      </c>
      <c r="J3456">
        <v>4532.6899999999996</v>
      </c>
      <c r="K3456" cm="1">
        <f t="array" ref="K3456">_xlfn.SWITCH(LeadsData[[#This Row],[Funnel Stage Reached]],"Lead",1,"MQL",2,"SQL",3,"Customer",4)</f>
        <v>4</v>
      </c>
      <c r="L3456" t="str">
        <f>TEXT(LeadsData[[#This Row],[Signup Date]],"mmm-yyyy")</f>
        <v>Jan-2024</v>
      </c>
      <c r="M3456">
        <f>IF(LeadsData[[#This Row],[Stage Number]]&gt;=2,1,0)</f>
        <v>1</v>
      </c>
      <c r="N3456" s="2">
        <f>IF(LeadsData[[#This Row],[Stage Number]]&gt;=3,1,0)</f>
        <v>1</v>
      </c>
      <c r="O3456" s="2">
        <f>IF(LeadsData[[#This Row],[Stage Number]]&gt;=4,1,0)</f>
        <v>1</v>
      </c>
    </row>
    <row r="3457" spans="1:15" x14ac:dyDescent="0.25">
      <c r="A3457" t="s">
        <v>3497</v>
      </c>
      <c r="B3457" s="1">
        <v>45451</v>
      </c>
      <c r="C3457" t="s">
        <v>36</v>
      </c>
      <c r="D3457" t="s">
        <v>37</v>
      </c>
      <c r="E3457" t="s">
        <v>21</v>
      </c>
      <c r="F3457" t="s">
        <v>14</v>
      </c>
      <c r="G3457" t="s">
        <v>23</v>
      </c>
      <c r="K3457" cm="1">
        <f t="array" ref="K3457">_xlfn.SWITCH(LeadsData[[#This Row],[Funnel Stage Reached]],"Lead",1,"MQL",2,"SQL",3,"Customer",4)</f>
        <v>2</v>
      </c>
      <c r="L3457" t="str">
        <f>TEXT(LeadsData[[#This Row],[Signup Date]],"mmm-yyyy")</f>
        <v>Jun-2024</v>
      </c>
      <c r="M3457">
        <f>IF(LeadsData[[#This Row],[Stage Number]]&gt;=2,1,0)</f>
        <v>1</v>
      </c>
      <c r="N3457" s="2">
        <f>IF(LeadsData[[#This Row],[Stage Number]]&gt;=3,1,0)</f>
        <v>0</v>
      </c>
      <c r="O3457" s="2">
        <f>IF(LeadsData[[#This Row],[Stage Number]]&gt;=4,1,0)</f>
        <v>0</v>
      </c>
    </row>
    <row r="3458" spans="1:15" x14ac:dyDescent="0.25">
      <c r="A3458" t="s">
        <v>3498</v>
      </c>
      <c r="B3458" s="1">
        <v>45421</v>
      </c>
      <c r="C3458" t="s">
        <v>36</v>
      </c>
      <c r="D3458" t="s">
        <v>37</v>
      </c>
      <c r="E3458" t="s">
        <v>13</v>
      </c>
      <c r="F3458" t="s">
        <v>19</v>
      </c>
      <c r="G3458" t="s">
        <v>29</v>
      </c>
      <c r="K3458" cm="1">
        <f t="array" ref="K3458">_xlfn.SWITCH(LeadsData[[#This Row],[Funnel Stage Reached]],"Lead",1,"MQL",2,"SQL",3,"Customer",4)</f>
        <v>3</v>
      </c>
      <c r="L3458" t="str">
        <f>TEXT(LeadsData[[#This Row],[Signup Date]],"mmm-yyyy")</f>
        <v>May-2024</v>
      </c>
      <c r="M3458">
        <f>IF(LeadsData[[#This Row],[Stage Number]]&gt;=2,1,0)</f>
        <v>1</v>
      </c>
      <c r="N3458" s="2">
        <f>IF(LeadsData[[#This Row],[Stage Number]]&gt;=3,1,0)</f>
        <v>1</v>
      </c>
      <c r="O3458" s="2">
        <f>IF(LeadsData[[#This Row],[Stage Number]]&gt;=4,1,0)</f>
        <v>0</v>
      </c>
    </row>
    <row r="3459" spans="1:15" x14ac:dyDescent="0.25">
      <c r="A3459" t="s">
        <v>3499</v>
      </c>
      <c r="B3459" s="1">
        <v>45500</v>
      </c>
      <c r="C3459" t="s">
        <v>31</v>
      </c>
      <c r="D3459" t="s">
        <v>32</v>
      </c>
      <c r="E3459" t="s">
        <v>13</v>
      </c>
      <c r="F3459" t="s">
        <v>19</v>
      </c>
      <c r="G3459" t="s">
        <v>23</v>
      </c>
      <c r="K3459" cm="1">
        <f t="array" ref="K3459">_xlfn.SWITCH(LeadsData[[#This Row],[Funnel Stage Reached]],"Lead",1,"MQL",2,"SQL",3,"Customer",4)</f>
        <v>2</v>
      </c>
      <c r="L3459" t="str">
        <f>TEXT(LeadsData[[#This Row],[Signup Date]],"mmm-yyyy")</f>
        <v>Jul-2024</v>
      </c>
      <c r="M3459">
        <f>IF(LeadsData[[#This Row],[Stage Number]]&gt;=2,1,0)</f>
        <v>1</v>
      </c>
      <c r="N3459" s="2">
        <f>IF(LeadsData[[#This Row],[Stage Number]]&gt;=3,1,0)</f>
        <v>0</v>
      </c>
      <c r="O3459" s="2">
        <f>IF(LeadsData[[#This Row],[Stage Number]]&gt;=4,1,0)</f>
        <v>0</v>
      </c>
    </row>
    <row r="3460" spans="1:15" x14ac:dyDescent="0.25">
      <c r="A3460" t="s">
        <v>3500</v>
      </c>
      <c r="B3460" s="1">
        <v>45327</v>
      </c>
      <c r="C3460" t="s">
        <v>11</v>
      </c>
      <c r="D3460" t="s">
        <v>79</v>
      </c>
      <c r="E3460" t="s">
        <v>13</v>
      </c>
      <c r="F3460" t="s">
        <v>19</v>
      </c>
      <c r="G3460" t="s">
        <v>23</v>
      </c>
      <c r="K3460" cm="1">
        <f t="array" ref="K3460">_xlfn.SWITCH(LeadsData[[#This Row],[Funnel Stage Reached]],"Lead",1,"MQL",2,"SQL",3,"Customer",4)</f>
        <v>2</v>
      </c>
      <c r="L3460" t="str">
        <f>TEXT(LeadsData[[#This Row],[Signup Date]],"mmm-yyyy")</f>
        <v>Feb-2024</v>
      </c>
      <c r="M3460">
        <f>IF(LeadsData[[#This Row],[Stage Number]]&gt;=2,1,0)</f>
        <v>1</v>
      </c>
      <c r="N3460" s="2">
        <f>IF(LeadsData[[#This Row],[Stage Number]]&gt;=3,1,0)</f>
        <v>0</v>
      </c>
      <c r="O3460" s="2">
        <f>IF(LeadsData[[#This Row],[Stage Number]]&gt;=4,1,0)</f>
        <v>0</v>
      </c>
    </row>
    <row r="3461" spans="1:15" x14ac:dyDescent="0.25">
      <c r="A3461" t="s">
        <v>3501</v>
      </c>
      <c r="B3461" s="1">
        <v>45407</v>
      </c>
      <c r="C3461" t="s">
        <v>36</v>
      </c>
      <c r="D3461" t="s">
        <v>50</v>
      </c>
      <c r="E3461" t="s">
        <v>13</v>
      </c>
      <c r="F3461" t="s">
        <v>22</v>
      </c>
      <c r="G3461" t="s">
        <v>23</v>
      </c>
      <c r="K3461" cm="1">
        <f t="array" ref="K3461">_xlfn.SWITCH(LeadsData[[#This Row],[Funnel Stage Reached]],"Lead",1,"MQL",2,"SQL",3,"Customer",4)</f>
        <v>2</v>
      </c>
      <c r="L3461" t="str">
        <f>TEXT(LeadsData[[#This Row],[Signup Date]],"mmm-yyyy")</f>
        <v>Apr-2024</v>
      </c>
      <c r="M3461">
        <f>IF(LeadsData[[#This Row],[Stage Number]]&gt;=2,1,0)</f>
        <v>1</v>
      </c>
      <c r="N3461" s="2">
        <f>IF(LeadsData[[#This Row],[Stage Number]]&gt;=3,1,0)</f>
        <v>0</v>
      </c>
      <c r="O3461" s="2">
        <f>IF(LeadsData[[#This Row],[Stage Number]]&gt;=4,1,0)</f>
        <v>0</v>
      </c>
    </row>
    <row r="3462" spans="1:15" x14ac:dyDescent="0.25">
      <c r="A3462" t="s">
        <v>3502</v>
      </c>
      <c r="B3462" s="1">
        <v>45618</v>
      </c>
      <c r="C3462" t="s">
        <v>31</v>
      </c>
      <c r="D3462" t="s">
        <v>34</v>
      </c>
      <c r="E3462" t="s">
        <v>21</v>
      </c>
      <c r="F3462" t="s">
        <v>14</v>
      </c>
      <c r="G3462" t="s">
        <v>23</v>
      </c>
      <c r="K3462" cm="1">
        <f t="array" ref="K3462">_xlfn.SWITCH(LeadsData[[#This Row],[Funnel Stage Reached]],"Lead",1,"MQL",2,"SQL",3,"Customer",4)</f>
        <v>2</v>
      </c>
      <c r="L3462" t="str">
        <f>TEXT(LeadsData[[#This Row],[Signup Date]],"mmm-yyyy")</f>
        <v>Nov-2024</v>
      </c>
      <c r="M3462">
        <f>IF(LeadsData[[#This Row],[Stage Number]]&gt;=2,1,0)</f>
        <v>1</v>
      </c>
      <c r="N3462" s="2">
        <f>IF(LeadsData[[#This Row],[Stage Number]]&gt;=3,1,0)</f>
        <v>0</v>
      </c>
      <c r="O3462" s="2">
        <f>IF(LeadsData[[#This Row],[Stage Number]]&gt;=4,1,0)</f>
        <v>0</v>
      </c>
    </row>
    <row r="3463" spans="1:15" x14ac:dyDescent="0.25">
      <c r="A3463" t="s">
        <v>3503</v>
      </c>
      <c r="B3463" s="1">
        <v>45629</v>
      </c>
      <c r="C3463" t="s">
        <v>17</v>
      </c>
      <c r="D3463" t="s">
        <v>53</v>
      </c>
      <c r="E3463" t="s">
        <v>21</v>
      </c>
      <c r="F3463" t="s">
        <v>19</v>
      </c>
      <c r="G3463" t="s">
        <v>15</v>
      </c>
      <c r="K3463" cm="1">
        <f t="array" ref="K3463">_xlfn.SWITCH(LeadsData[[#This Row],[Funnel Stage Reached]],"Lead",1,"MQL",2,"SQL",3,"Customer",4)</f>
        <v>1</v>
      </c>
      <c r="L3463" t="str">
        <f>TEXT(LeadsData[[#This Row],[Signup Date]],"mmm-yyyy")</f>
        <v>Dec-2024</v>
      </c>
      <c r="M3463">
        <f>IF(LeadsData[[#This Row],[Stage Number]]&gt;=2,1,0)</f>
        <v>0</v>
      </c>
      <c r="N3463" s="2">
        <f>IF(LeadsData[[#This Row],[Stage Number]]&gt;=3,1,0)</f>
        <v>0</v>
      </c>
      <c r="O3463" s="2">
        <f>IF(LeadsData[[#This Row],[Stage Number]]&gt;=4,1,0)</f>
        <v>0</v>
      </c>
    </row>
    <row r="3464" spans="1:15" x14ac:dyDescent="0.25">
      <c r="A3464" t="s">
        <v>3504</v>
      </c>
      <c r="B3464" s="1">
        <v>45623</v>
      </c>
      <c r="C3464" t="s">
        <v>31</v>
      </c>
      <c r="D3464" t="s">
        <v>34</v>
      </c>
      <c r="E3464" t="s">
        <v>21</v>
      </c>
      <c r="F3464" t="s">
        <v>14</v>
      </c>
      <c r="G3464" t="s">
        <v>23</v>
      </c>
      <c r="K3464" cm="1">
        <f t="array" ref="K3464">_xlfn.SWITCH(LeadsData[[#This Row],[Funnel Stage Reached]],"Lead",1,"MQL",2,"SQL",3,"Customer",4)</f>
        <v>2</v>
      </c>
      <c r="L3464" t="str">
        <f>TEXT(LeadsData[[#This Row],[Signup Date]],"mmm-yyyy")</f>
        <v>Nov-2024</v>
      </c>
      <c r="M3464">
        <f>IF(LeadsData[[#This Row],[Stage Number]]&gt;=2,1,0)</f>
        <v>1</v>
      </c>
      <c r="N3464" s="2">
        <f>IF(LeadsData[[#This Row],[Stage Number]]&gt;=3,1,0)</f>
        <v>0</v>
      </c>
      <c r="O3464" s="2">
        <f>IF(LeadsData[[#This Row],[Stage Number]]&gt;=4,1,0)</f>
        <v>0</v>
      </c>
    </row>
    <row r="3465" spans="1:15" x14ac:dyDescent="0.25">
      <c r="A3465" t="s">
        <v>3505</v>
      </c>
      <c r="B3465" s="1">
        <v>45591</v>
      </c>
      <c r="C3465" t="s">
        <v>36</v>
      </c>
      <c r="D3465" t="s">
        <v>37</v>
      </c>
      <c r="E3465" t="s">
        <v>13</v>
      </c>
      <c r="F3465" t="s">
        <v>19</v>
      </c>
      <c r="G3465" t="s">
        <v>29</v>
      </c>
      <c r="K3465" cm="1">
        <f t="array" ref="K3465">_xlfn.SWITCH(LeadsData[[#This Row],[Funnel Stage Reached]],"Lead",1,"MQL",2,"SQL",3,"Customer",4)</f>
        <v>3</v>
      </c>
      <c r="L3465" t="str">
        <f>TEXT(LeadsData[[#This Row],[Signup Date]],"mmm-yyyy")</f>
        <v>Oct-2024</v>
      </c>
      <c r="M3465">
        <f>IF(LeadsData[[#This Row],[Stage Number]]&gt;=2,1,0)</f>
        <v>1</v>
      </c>
      <c r="N3465" s="2">
        <f>IF(LeadsData[[#This Row],[Stage Number]]&gt;=3,1,0)</f>
        <v>1</v>
      </c>
      <c r="O3465" s="2">
        <f>IF(LeadsData[[#This Row],[Stage Number]]&gt;=4,1,0)</f>
        <v>0</v>
      </c>
    </row>
    <row r="3466" spans="1:15" x14ac:dyDescent="0.25">
      <c r="A3466" t="s">
        <v>3506</v>
      </c>
      <c r="B3466" s="1">
        <v>45627</v>
      </c>
      <c r="C3466" t="s">
        <v>17</v>
      </c>
      <c r="D3466" t="s">
        <v>18</v>
      </c>
      <c r="E3466" t="s">
        <v>13</v>
      </c>
      <c r="F3466" t="s">
        <v>19</v>
      </c>
      <c r="G3466" t="s">
        <v>23</v>
      </c>
      <c r="K3466" cm="1">
        <f t="array" ref="K3466">_xlfn.SWITCH(LeadsData[[#This Row],[Funnel Stage Reached]],"Lead",1,"MQL",2,"SQL",3,"Customer",4)</f>
        <v>2</v>
      </c>
      <c r="L3466" t="str">
        <f>TEXT(LeadsData[[#This Row],[Signup Date]],"mmm-yyyy")</f>
        <v>Dec-2024</v>
      </c>
      <c r="M3466">
        <f>IF(LeadsData[[#This Row],[Stage Number]]&gt;=2,1,0)</f>
        <v>1</v>
      </c>
      <c r="N3466" s="2">
        <f>IF(LeadsData[[#This Row],[Stage Number]]&gt;=3,1,0)</f>
        <v>0</v>
      </c>
      <c r="O3466" s="2">
        <f>IF(LeadsData[[#This Row],[Stage Number]]&gt;=4,1,0)</f>
        <v>0</v>
      </c>
    </row>
    <row r="3467" spans="1:15" x14ac:dyDescent="0.25">
      <c r="A3467" t="s">
        <v>3507</v>
      </c>
      <c r="B3467" s="1">
        <v>45454</v>
      </c>
      <c r="C3467" t="s">
        <v>46</v>
      </c>
      <c r="D3467" t="s">
        <v>47</v>
      </c>
      <c r="E3467" t="s">
        <v>21</v>
      </c>
      <c r="F3467" t="s">
        <v>14</v>
      </c>
      <c r="G3467" t="s">
        <v>15</v>
      </c>
      <c r="K3467" cm="1">
        <f t="array" ref="K3467">_xlfn.SWITCH(LeadsData[[#This Row],[Funnel Stage Reached]],"Lead",1,"MQL",2,"SQL",3,"Customer",4)</f>
        <v>1</v>
      </c>
      <c r="L3467" t="str">
        <f>TEXT(LeadsData[[#This Row],[Signup Date]],"mmm-yyyy")</f>
        <v>Jun-2024</v>
      </c>
      <c r="M3467">
        <f>IF(LeadsData[[#This Row],[Stage Number]]&gt;=2,1,0)</f>
        <v>0</v>
      </c>
      <c r="N3467" s="2">
        <f>IF(LeadsData[[#This Row],[Stage Number]]&gt;=3,1,0)</f>
        <v>0</v>
      </c>
      <c r="O3467" s="2">
        <f>IF(LeadsData[[#This Row],[Stage Number]]&gt;=4,1,0)</f>
        <v>0</v>
      </c>
    </row>
    <row r="3468" spans="1:15" x14ac:dyDescent="0.25">
      <c r="A3468" t="s">
        <v>3508</v>
      </c>
      <c r="B3468" s="1">
        <v>45629</v>
      </c>
      <c r="C3468" t="s">
        <v>46</v>
      </c>
      <c r="D3468" t="s">
        <v>56</v>
      </c>
      <c r="E3468" t="s">
        <v>13</v>
      </c>
      <c r="F3468" t="s">
        <v>19</v>
      </c>
      <c r="G3468" t="s">
        <v>15</v>
      </c>
      <c r="K3468" cm="1">
        <f t="array" ref="K3468">_xlfn.SWITCH(LeadsData[[#This Row],[Funnel Stage Reached]],"Lead",1,"MQL",2,"SQL",3,"Customer",4)</f>
        <v>1</v>
      </c>
      <c r="L3468" t="str">
        <f>TEXT(LeadsData[[#This Row],[Signup Date]],"mmm-yyyy")</f>
        <v>Dec-2024</v>
      </c>
      <c r="M3468">
        <f>IF(LeadsData[[#This Row],[Stage Number]]&gt;=2,1,0)</f>
        <v>0</v>
      </c>
      <c r="N3468" s="2">
        <f>IF(LeadsData[[#This Row],[Stage Number]]&gt;=3,1,0)</f>
        <v>0</v>
      </c>
      <c r="O3468" s="2">
        <f>IF(LeadsData[[#This Row],[Stage Number]]&gt;=4,1,0)</f>
        <v>0</v>
      </c>
    </row>
    <row r="3469" spans="1:15" x14ac:dyDescent="0.25">
      <c r="A3469" t="s">
        <v>3509</v>
      </c>
      <c r="B3469" s="1">
        <v>45548</v>
      </c>
      <c r="C3469" t="s">
        <v>31</v>
      </c>
      <c r="D3469" t="s">
        <v>32</v>
      </c>
      <c r="E3469" t="s">
        <v>13</v>
      </c>
      <c r="F3469" t="s">
        <v>22</v>
      </c>
      <c r="G3469" t="s">
        <v>23</v>
      </c>
      <c r="K3469" cm="1">
        <f t="array" ref="K3469">_xlfn.SWITCH(LeadsData[[#This Row],[Funnel Stage Reached]],"Lead",1,"MQL",2,"SQL",3,"Customer",4)</f>
        <v>2</v>
      </c>
      <c r="L3469" t="str">
        <f>TEXT(LeadsData[[#This Row],[Signup Date]],"mmm-yyyy")</f>
        <v>Sep-2024</v>
      </c>
      <c r="M3469">
        <f>IF(LeadsData[[#This Row],[Stage Number]]&gt;=2,1,0)</f>
        <v>1</v>
      </c>
      <c r="N3469" s="2">
        <f>IF(LeadsData[[#This Row],[Stage Number]]&gt;=3,1,0)</f>
        <v>0</v>
      </c>
      <c r="O3469" s="2">
        <f>IF(LeadsData[[#This Row],[Stage Number]]&gt;=4,1,0)</f>
        <v>0</v>
      </c>
    </row>
    <row r="3470" spans="1:15" x14ac:dyDescent="0.25">
      <c r="A3470" t="s">
        <v>3510</v>
      </c>
      <c r="B3470" s="1">
        <v>45644</v>
      </c>
      <c r="C3470" t="s">
        <v>17</v>
      </c>
      <c r="D3470" t="s">
        <v>18</v>
      </c>
      <c r="E3470" t="s">
        <v>13</v>
      </c>
      <c r="F3470" t="s">
        <v>22</v>
      </c>
      <c r="G3470" t="s">
        <v>15</v>
      </c>
      <c r="K3470" cm="1">
        <f t="array" ref="K3470">_xlfn.SWITCH(LeadsData[[#This Row],[Funnel Stage Reached]],"Lead",1,"MQL",2,"SQL",3,"Customer",4)</f>
        <v>1</v>
      </c>
      <c r="L3470" t="str">
        <f>TEXT(LeadsData[[#This Row],[Signup Date]],"mmm-yyyy")</f>
        <v>Dec-2024</v>
      </c>
      <c r="M3470">
        <f>IF(LeadsData[[#This Row],[Stage Number]]&gt;=2,1,0)</f>
        <v>0</v>
      </c>
      <c r="N3470" s="2">
        <f>IF(LeadsData[[#This Row],[Stage Number]]&gt;=3,1,0)</f>
        <v>0</v>
      </c>
      <c r="O3470" s="2">
        <f>IF(LeadsData[[#This Row],[Stage Number]]&gt;=4,1,0)</f>
        <v>0</v>
      </c>
    </row>
    <row r="3471" spans="1:15" x14ac:dyDescent="0.25">
      <c r="A3471" t="s">
        <v>3511</v>
      </c>
      <c r="B3471" s="1">
        <v>45627</v>
      </c>
      <c r="C3471" t="s">
        <v>46</v>
      </c>
      <c r="D3471" t="s">
        <v>47</v>
      </c>
      <c r="E3471" t="s">
        <v>13</v>
      </c>
      <c r="F3471" t="s">
        <v>19</v>
      </c>
      <c r="G3471" t="s">
        <v>15</v>
      </c>
      <c r="K3471" cm="1">
        <f t="array" ref="K3471">_xlfn.SWITCH(LeadsData[[#This Row],[Funnel Stage Reached]],"Lead",1,"MQL",2,"SQL",3,"Customer",4)</f>
        <v>1</v>
      </c>
      <c r="L3471" t="str">
        <f>TEXT(LeadsData[[#This Row],[Signup Date]],"mmm-yyyy")</f>
        <v>Dec-2024</v>
      </c>
      <c r="M3471">
        <f>IF(LeadsData[[#This Row],[Stage Number]]&gt;=2,1,0)</f>
        <v>0</v>
      </c>
      <c r="N3471" s="2">
        <f>IF(LeadsData[[#This Row],[Stage Number]]&gt;=3,1,0)</f>
        <v>0</v>
      </c>
      <c r="O3471" s="2">
        <f>IF(LeadsData[[#This Row],[Stage Number]]&gt;=4,1,0)</f>
        <v>0</v>
      </c>
    </row>
    <row r="3472" spans="1:15" x14ac:dyDescent="0.25">
      <c r="A3472" t="s">
        <v>3512</v>
      </c>
      <c r="B3472" s="1">
        <v>45372</v>
      </c>
      <c r="C3472" t="s">
        <v>17</v>
      </c>
      <c r="D3472" t="s">
        <v>53</v>
      </c>
      <c r="E3472" t="s">
        <v>13</v>
      </c>
      <c r="F3472" t="s">
        <v>19</v>
      </c>
      <c r="G3472" t="s">
        <v>15</v>
      </c>
      <c r="K3472" cm="1">
        <f t="array" ref="K3472">_xlfn.SWITCH(LeadsData[[#This Row],[Funnel Stage Reached]],"Lead",1,"MQL",2,"SQL",3,"Customer",4)</f>
        <v>1</v>
      </c>
      <c r="L3472" t="str">
        <f>TEXT(LeadsData[[#This Row],[Signup Date]],"mmm-yyyy")</f>
        <v>Mar-2024</v>
      </c>
      <c r="M3472">
        <f>IF(LeadsData[[#This Row],[Stage Number]]&gt;=2,1,0)</f>
        <v>0</v>
      </c>
      <c r="N3472" s="2">
        <f>IF(LeadsData[[#This Row],[Stage Number]]&gt;=3,1,0)</f>
        <v>0</v>
      </c>
      <c r="O3472" s="2">
        <f>IF(LeadsData[[#This Row],[Stage Number]]&gt;=4,1,0)</f>
        <v>0</v>
      </c>
    </row>
    <row r="3473" spans="1:15" x14ac:dyDescent="0.25">
      <c r="A3473" t="s">
        <v>3513</v>
      </c>
      <c r="B3473" s="1">
        <v>45460</v>
      </c>
      <c r="C3473" t="s">
        <v>31</v>
      </c>
      <c r="D3473" t="s">
        <v>32</v>
      </c>
      <c r="E3473" t="s">
        <v>13</v>
      </c>
      <c r="F3473" t="s">
        <v>14</v>
      </c>
      <c r="G3473" t="s">
        <v>15</v>
      </c>
      <c r="K3473" cm="1">
        <f t="array" ref="K3473">_xlfn.SWITCH(LeadsData[[#This Row],[Funnel Stage Reached]],"Lead",1,"MQL",2,"SQL",3,"Customer",4)</f>
        <v>1</v>
      </c>
      <c r="L3473" t="str">
        <f>TEXT(LeadsData[[#This Row],[Signup Date]],"mmm-yyyy")</f>
        <v>Jun-2024</v>
      </c>
      <c r="M3473">
        <f>IF(LeadsData[[#This Row],[Stage Number]]&gt;=2,1,0)</f>
        <v>0</v>
      </c>
      <c r="N3473" s="2">
        <f>IF(LeadsData[[#This Row],[Stage Number]]&gt;=3,1,0)</f>
        <v>0</v>
      </c>
      <c r="O3473" s="2">
        <f>IF(LeadsData[[#This Row],[Stage Number]]&gt;=4,1,0)</f>
        <v>0</v>
      </c>
    </row>
    <row r="3474" spans="1:15" x14ac:dyDescent="0.25">
      <c r="A3474" t="s">
        <v>3514</v>
      </c>
      <c r="B3474" s="1">
        <v>45551</v>
      </c>
      <c r="C3474" t="s">
        <v>11</v>
      </c>
      <c r="D3474" t="s">
        <v>68</v>
      </c>
      <c r="E3474" t="s">
        <v>13</v>
      </c>
      <c r="F3474" t="s">
        <v>19</v>
      </c>
      <c r="G3474" t="s">
        <v>23</v>
      </c>
      <c r="K3474" cm="1">
        <f t="array" ref="K3474">_xlfn.SWITCH(LeadsData[[#This Row],[Funnel Stage Reached]],"Lead",1,"MQL",2,"SQL",3,"Customer",4)</f>
        <v>2</v>
      </c>
      <c r="L3474" t="str">
        <f>TEXT(LeadsData[[#This Row],[Signup Date]],"mmm-yyyy")</f>
        <v>Sep-2024</v>
      </c>
      <c r="M3474">
        <f>IF(LeadsData[[#This Row],[Stage Number]]&gt;=2,1,0)</f>
        <v>1</v>
      </c>
      <c r="N3474" s="2">
        <f>IF(LeadsData[[#This Row],[Stage Number]]&gt;=3,1,0)</f>
        <v>0</v>
      </c>
      <c r="O3474" s="2">
        <f>IF(LeadsData[[#This Row],[Stage Number]]&gt;=4,1,0)</f>
        <v>0</v>
      </c>
    </row>
    <row r="3475" spans="1:15" x14ac:dyDescent="0.25">
      <c r="A3475" t="s">
        <v>3515</v>
      </c>
      <c r="B3475" s="1">
        <v>45559</v>
      </c>
      <c r="C3475" t="s">
        <v>31</v>
      </c>
      <c r="D3475" t="s">
        <v>32</v>
      </c>
      <c r="E3475" t="s">
        <v>21</v>
      </c>
      <c r="F3475" t="s">
        <v>19</v>
      </c>
      <c r="G3475" t="s">
        <v>15</v>
      </c>
      <c r="K3475" cm="1">
        <f t="array" ref="K3475">_xlfn.SWITCH(LeadsData[[#This Row],[Funnel Stage Reached]],"Lead",1,"MQL",2,"SQL",3,"Customer",4)</f>
        <v>1</v>
      </c>
      <c r="L3475" t="str">
        <f>TEXT(LeadsData[[#This Row],[Signup Date]],"mmm-yyyy")</f>
        <v>Sep-2024</v>
      </c>
      <c r="M3475">
        <f>IF(LeadsData[[#This Row],[Stage Number]]&gt;=2,1,0)</f>
        <v>0</v>
      </c>
      <c r="N3475" s="2">
        <f>IF(LeadsData[[#This Row],[Stage Number]]&gt;=3,1,0)</f>
        <v>0</v>
      </c>
      <c r="O3475" s="2">
        <f>IF(LeadsData[[#This Row],[Stage Number]]&gt;=4,1,0)</f>
        <v>0</v>
      </c>
    </row>
    <row r="3476" spans="1:15" x14ac:dyDescent="0.25">
      <c r="A3476" t="s">
        <v>3516</v>
      </c>
      <c r="B3476" s="1">
        <v>45431</v>
      </c>
      <c r="C3476" t="s">
        <v>11</v>
      </c>
      <c r="D3476" t="s">
        <v>12</v>
      </c>
      <c r="E3476" t="s">
        <v>48</v>
      </c>
      <c r="F3476" t="s">
        <v>22</v>
      </c>
      <c r="G3476" t="s">
        <v>15</v>
      </c>
      <c r="K3476" cm="1">
        <f t="array" ref="K3476">_xlfn.SWITCH(LeadsData[[#This Row],[Funnel Stage Reached]],"Lead",1,"MQL",2,"SQL",3,"Customer",4)</f>
        <v>1</v>
      </c>
      <c r="L3476" t="str">
        <f>TEXT(LeadsData[[#This Row],[Signup Date]],"mmm-yyyy")</f>
        <v>May-2024</v>
      </c>
      <c r="M3476">
        <f>IF(LeadsData[[#This Row],[Stage Number]]&gt;=2,1,0)</f>
        <v>0</v>
      </c>
      <c r="N3476" s="2">
        <f>IF(LeadsData[[#This Row],[Stage Number]]&gt;=3,1,0)</f>
        <v>0</v>
      </c>
      <c r="O3476" s="2">
        <f>IF(LeadsData[[#This Row],[Stage Number]]&gt;=4,1,0)</f>
        <v>0</v>
      </c>
    </row>
    <row r="3477" spans="1:15" x14ac:dyDescent="0.25">
      <c r="A3477" t="s">
        <v>3517</v>
      </c>
      <c r="B3477" s="1">
        <v>45378</v>
      </c>
      <c r="C3477" t="s">
        <v>25</v>
      </c>
      <c r="D3477" t="s">
        <v>26</v>
      </c>
      <c r="E3477" t="s">
        <v>13</v>
      </c>
      <c r="F3477" t="s">
        <v>19</v>
      </c>
      <c r="G3477" t="s">
        <v>23</v>
      </c>
      <c r="K3477" cm="1">
        <f t="array" ref="K3477">_xlfn.SWITCH(LeadsData[[#This Row],[Funnel Stage Reached]],"Lead",1,"MQL",2,"SQL",3,"Customer",4)</f>
        <v>2</v>
      </c>
      <c r="L3477" t="str">
        <f>TEXT(LeadsData[[#This Row],[Signup Date]],"mmm-yyyy")</f>
        <v>Mar-2024</v>
      </c>
      <c r="M3477">
        <f>IF(LeadsData[[#This Row],[Stage Number]]&gt;=2,1,0)</f>
        <v>1</v>
      </c>
      <c r="N3477" s="2">
        <f>IF(LeadsData[[#This Row],[Stage Number]]&gt;=3,1,0)</f>
        <v>0</v>
      </c>
      <c r="O3477" s="2">
        <f>IF(LeadsData[[#This Row],[Stage Number]]&gt;=4,1,0)</f>
        <v>0</v>
      </c>
    </row>
    <row r="3478" spans="1:15" x14ac:dyDescent="0.25">
      <c r="A3478" t="s">
        <v>3518</v>
      </c>
      <c r="B3478" s="1">
        <v>45591</v>
      </c>
      <c r="C3478" t="s">
        <v>31</v>
      </c>
      <c r="D3478" t="s">
        <v>34</v>
      </c>
      <c r="E3478" t="s">
        <v>21</v>
      </c>
      <c r="F3478" t="s">
        <v>22</v>
      </c>
      <c r="G3478" t="s">
        <v>29</v>
      </c>
      <c r="K3478" cm="1">
        <f t="array" ref="K3478">_xlfn.SWITCH(LeadsData[[#This Row],[Funnel Stage Reached]],"Lead",1,"MQL",2,"SQL",3,"Customer",4)</f>
        <v>3</v>
      </c>
      <c r="L3478" t="str">
        <f>TEXT(LeadsData[[#This Row],[Signup Date]],"mmm-yyyy")</f>
        <v>Oct-2024</v>
      </c>
      <c r="M3478">
        <f>IF(LeadsData[[#This Row],[Stage Number]]&gt;=2,1,0)</f>
        <v>1</v>
      </c>
      <c r="N3478" s="2">
        <f>IF(LeadsData[[#This Row],[Stage Number]]&gt;=3,1,0)</f>
        <v>1</v>
      </c>
      <c r="O3478" s="2">
        <f>IF(LeadsData[[#This Row],[Stage Number]]&gt;=4,1,0)</f>
        <v>0</v>
      </c>
    </row>
    <row r="3479" spans="1:15" x14ac:dyDescent="0.25">
      <c r="A3479" t="s">
        <v>3519</v>
      </c>
      <c r="B3479" s="1">
        <v>45405</v>
      </c>
      <c r="C3479" t="s">
        <v>36</v>
      </c>
      <c r="D3479" t="s">
        <v>50</v>
      </c>
      <c r="E3479" t="s">
        <v>13</v>
      </c>
      <c r="F3479" t="s">
        <v>28</v>
      </c>
      <c r="G3479" t="s">
        <v>29</v>
      </c>
      <c r="K3479" cm="1">
        <f t="array" ref="K3479">_xlfn.SWITCH(LeadsData[[#This Row],[Funnel Stage Reached]],"Lead",1,"MQL",2,"SQL",3,"Customer",4)</f>
        <v>3</v>
      </c>
      <c r="L3479" t="str">
        <f>TEXT(LeadsData[[#This Row],[Signup Date]],"mmm-yyyy")</f>
        <v>Apr-2024</v>
      </c>
      <c r="M3479">
        <f>IF(LeadsData[[#This Row],[Stage Number]]&gt;=2,1,0)</f>
        <v>1</v>
      </c>
      <c r="N3479" s="2">
        <f>IF(LeadsData[[#This Row],[Stage Number]]&gt;=3,1,0)</f>
        <v>1</v>
      </c>
      <c r="O3479" s="2">
        <f>IF(LeadsData[[#This Row],[Stage Number]]&gt;=4,1,0)</f>
        <v>0</v>
      </c>
    </row>
    <row r="3480" spans="1:15" x14ac:dyDescent="0.25">
      <c r="A3480" t="s">
        <v>3520</v>
      </c>
      <c r="B3480" s="1">
        <v>45488</v>
      </c>
      <c r="C3480" t="s">
        <v>36</v>
      </c>
      <c r="D3480" t="s">
        <v>37</v>
      </c>
      <c r="E3480" t="s">
        <v>48</v>
      </c>
      <c r="F3480" t="s">
        <v>22</v>
      </c>
      <c r="G3480" t="s">
        <v>23</v>
      </c>
      <c r="K3480" cm="1">
        <f t="array" ref="K3480">_xlfn.SWITCH(LeadsData[[#This Row],[Funnel Stage Reached]],"Lead",1,"MQL",2,"SQL",3,"Customer",4)</f>
        <v>2</v>
      </c>
      <c r="L3480" t="str">
        <f>TEXT(LeadsData[[#This Row],[Signup Date]],"mmm-yyyy")</f>
        <v>Jul-2024</v>
      </c>
      <c r="M3480">
        <f>IF(LeadsData[[#This Row],[Stage Number]]&gt;=2,1,0)</f>
        <v>1</v>
      </c>
      <c r="N3480" s="2">
        <f>IF(LeadsData[[#This Row],[Stage Number]]&gt;=3,1,0)</f>
        <v>0</v>
      </c>
      <c r="O3480" s="2">
        <f>IF(LeadsData[[#This Row],[Stage Number]]&gt;=4,1,0)</f>
        <v>0</v>
      </c>
    </row>
    <row r="3481" spans="1:15" x14ac:dyDescent="0.25">
      <c r="A3481" t="s">
        <v>3521</v>
      </c>
      <c r="B3481" s="1">
        <v>45557</v>
      </c>
      <c r="C3481" t="s">
        <v>17</v>
      </c>
      <c r="D3481" t="s">
        <v>18</v>
      </c>
      <c r="E3481" t="s">
        <v>13</v>
      </c>
      <c r="F3481" t="s">
        <v>19</v>
      </c>
      <c r="G3481" t="s">
        <v>23</v>
      </c>
      <c r="K3481" cm="1">
        <f t="array" ref="K3481">_xlfn.SWITCH(LeadsData[[#This Row],[Funnel Stage Reached]],"Lead",1,"MQL",2,"SQL",3,"Customer",4)</f>
        <v>2</v>
      </c>
      <c r="L3481" t="str">
        <f>TEXT(LeadsData[[#This Row],[Signup Date]],"mmm-yyyy")</f>
        <v>Sep-2024</v>
      </c>
      <c r="M3481">
        <f>IF(LeadsData[[#This Row],[Stage Number]]&gt;=2,1,0)</f>
        <v>1</v>
      </c>
      <c r="N3481" s="2">
        <f>IF(LeadsData[[#This Row],[Stage Number]]&gt;=3,1,0)</f>
        <v>0</v>
      </c>
      <c r="O3481" s="2">
        <f>IF(LeadsData[[#This Row],[Stage Number]]&gt;=4,1,0)</f>
        <v>0</v>
      </c>
    </row>
    <row r="3482" spans="1:15" x14ac:dyDescent="0.25">
      <c r="A3482" t="s">
        <v>3522</v>
      </c>
      <c r="B3482" s="1">
        <v>45354</v>
      </c>
      <c r="C3482" t="s">
        <v>17</v>
      </c>
      <c r="D3482" t="s">
        <v>18</v>
      </c>
      <c r="E3482" t="s">
        <v>13</v>
      </c>
      <c r="F3482" t="s">
        <v>19</v>
      </c>
      <c r="G3482" t="s">
        <v>15</v>
      </c>
      <c r="K3482" cm="1">
        <f t="array" ref="K3482">_xlfn.SWITCH(LeadsData[[#This Row],[Funnel Stage Reached]],"Lead",1,"MQL",2,"SQL",3,"Customer",4)</f>
        <v>1</v>
      </c>
      <c r="L3482" t="str">
        <f>TEXT(LeadsData[[#This Row],[Signup Date]],"mmm-yyyy")</f>
        <v>Mar-2024</v>
      </c>
      <c r="M3482">
        <f>IF(LeadsData[[#This Row],[Stage Number]]&gt;=2,1,0)</f>
        <v>0</v>
      </c>
      <c r="N3482" s="2">
        <f>IF(LeadsData[[#This Row],[Stage Number]]&gt;=3,1,0)</f>
        <v>0</v>
      </c>
      <c r="O3482" s="2">
        <f>IF(LeadsData[[#This Row],[Stage Number]]&gt;=4,1,0)</f>
        <v>0</v>
      </c>
    </row>
    <row r="3483" spans="1:15" x14ac:dyDescent="0.25">
      <c r="A3483" t="s">
        <v>3523</v>
      </c>
      <c r="B3483" s="1">
        <v>45418</v>
      </c>
      <c r="C3483" t="s">
        <v>46</v>
      </c>
      <c r="D3483" t="s">
        <v>56</v>
      </c>
      <c r="E3483" t="s">
        <v>13</v>
      </c>
      <c r="F3483" t="s">
        <v>19</v>
      </c>
      <c r="G3483" t="s">
        <v>15</v>
      </c>
      <c r="K3483" cm="1">
        <f t="array" ref="K3483">_xlfn.SWITCH(LeadsData[[#This Row],[Funnel Stage Reached]],"Lead",1,"MQL",2,"SQL",3,"Customer",4)</f>
        <v>1</v>
      </c>
      <c r="L3483" t="str">
        <f>TEXT(LeadsData[[#This Row],[Signup Date]],"mmm-yyyy")</f>
        <v>May-2024</v>
      </c>
      <c r="M3483">
        <f>IF(LeadsData[[#This Row],[Stage Number]]&gt;=2,1,0)</f>
        <v>0</v>
      </c>
      <c r="N3483" s="2">
        <f>IF(LeadsData[[#This Row],[Stage Number]]&gt;=3,1,0)</f>
        <v>0</v>
      </c>
      <c r="O3483" s="2">
        <f>IF(LeadsData[[#This Row],[Stage Number]]&gt;=4,1,0)</f>
        <v>0</v>
      </c>
    </row>
    <row r="3484" spans="1:15" x14ac:dyDescent="0.25">
      <c r="A3484" t="s">
        <v>3524</v>
      </c>
      <c r="B3484" s="1">
        <v>45612</v>
      </c>
      <c r="C3484" t="s">
        <v>46</v>
      </c>
      <c r="D3484" t="s">
        <v>56</v>
      </c>
      <c r="E3484" t="s">
        <v>21</v>
      </c>
      <c r="F3484" t="s">
        <v>19</v>
      </c>
      <c r="G3484" t="s">
        <v>23</v>
      </c>
      <c r="K3484" cm="1">
        <f t="array" ref="K3484">_xlfn.SWITCH(LeadsData[[#This Row],[Funnel Stage Reached]],"Lead",1,"MQL",2,"SQL",3,"Customer",4)</f>
        <v>2</v>
      </c>
      <c r="L3484" t="str">
        <f>TEXT(LeadsData[[#This Row],[Signup Date]],"mmm-yyyy")</f>
        <v>Nov-2024</v>
      </c>
      <c r="M3484">
        <f>IF(LeadsData[[#This Row],[Stage Number]]&gt;=2,1,0)</f>
        <v>1</v>
      </c>
      <c r="N3484" s="2">
        <f>IF(LeadsData[[#This Row],[Stage Number]]&gt;=3,1,0)</f>
        <v>0</v>
      </c>
      <c r="O3484" s="2">
        <f>IF(LeadsData[[#This Row],[Stage Number]]&gt;=4,1,0)</f>
        <v>0</v>
      </c>
    </row>
    <row r="3485" spans="1:15" x14ac:dyDescent="0.25">
      <c r="A3485" t="s">
        <v>3525</v>
      </c>
      <c r="B3485" s="1">
        <v>45584</v>
      </c>
      <c r="C3485" t="s">
        <v>31</v>
      </c>
      <c r="D3485" t="s">
        <v>34</v>
      </c>
      <c r="E3485" t="s">
        <v>13</v>
      </c>
      <c r="F3485" t="s">
        <v>19</v>
      </c>
      <c r="G3485" t="s">
        <v>23</v>
      </c>
      <c r="K3485" cm="1">
        <f t="array" ref="K3485">_xlfn.SWITCH(LeadsData[[#This Row],[Funnel Stage Reached]],"Lead",1,"MQL",2,"SQL",3,"Customer",4)</f>
        <v>2</v>
      </c>
      <c r="L3485" t="str">
        <f>TEXT(LeadsData[[#This Row],[Signup Date]],"mmm-yyyy")</f>
        <v>Oct-2024</v>
      </c>
      <c r="M3485">
        <f>IF(LeadsData[[#This Row],[Stage Number]]&gt;=2,1,0)</f>
        <v>1</v>
      </c>
      <c r="N3485" s="2">
        <f>IF(LeadsData[[#This Row],[Stage Number]]&gt;=3,1,0)</f>
        <v>0</v>
      </c>
      <c r="O3485" s="2">
        <f>IF(LeadsData[[#This Row],[Stage Number]]&gt;=4,1,0)</f>
        <v>0</v>
      </c>
    </row>
    <row r="3486" spans="1:15" x14ac:dyDescent="0.25">
      <c r="A3486" t="s">
        <v>3526</v>
      </c>
      <c r="B3486" s="1">
        <v>45450</v>
      </c>
      <c r="C3486" t="s">
        <v>17</v>
      </c>
      <c r="D3486" t="s">
        <v>53</v>
      </c>
      <c r="E3486" t="s">
        <v>21</v>
      </c>
      <c r="F3486" t="s">
        <v>14</v>
      </c>
      <c r="G3486" t="s">
        <v>23</v>
      </c>
      <c r="K3486" cm="1">
        <f t="array" ref="K3486">_xlfn.SWITCH(LeadsData[[#This Row],[Funnel Stage Reached]],"Lead",1,"MQL",2,"SQL",3,"Customer",4)</f>
        <v>2</v>
      </c>
      <c r="L3486" t="str">
        <f>TEXT(LeadsData[[#This Row],[Signup Date]],"mmm-yyyy")</f>
        <v>Jun-2024</v>
      </c>
      <c r="M3486">
        <f>IF(LeadsData[[#This Row],[Stage Number]]&gt;=2,1,0)</f>
        <v>1</v>
      </c>
      <c r="N3486" s="2">
        <f>IF(LeadsData[[#This Row],[Stage Number]]&gt;=3,1,0)</f>
        <v>0</v>
      </c>
      <c r="O3486" s="2">
        <f>IF(LeadsData[[#This Row],[Stage Number]]&gt;=4,1,0)</f>
        <v>0</v>
      </c>
    </row>
    <row r="3487" spans="1:15" x14ac:dyDescent="0.25">
      <c r="A3487" t="s">
        <v>3527</v>
      </c>
      <c r="B3487" s="1">
        <v>45423</v>
      </c>
      <c r="C3487" t="s">
        <v>36</v>
      </c>
      <c r="D3487" t="s">
        <v>37</v>
      </c>
      <c r="E3487" t="s">
        <v>21</v>
      </c>
      <c r="F3487" t="s">
        <v>22</v>
      </c>
      <c r="G3487" t="s">
        <v>15</v>
      </c>
      <c r="K3487" cm="1">
        <f t="array" ref="K3487">_xlfn.SWITCH(LeadsData[[#This Row],[Funnel Stage Reached]],"Lead",1,"MQL",2,"SQL",3,"Customer",4)</f>
        <v>1</v>
      </c>
      <c r="L3487" t="str">
        <f>TEXT(LeadsData[[#This Row],[Signup Date]],"mmm-yyyy")</f>
        <v>May-2024</v>
      </c>
      <c r="M3487">
        <f>IF(LeadsData[[#This Row],[Stage Number]]&gt;=2,1,0)</f>
        <v>0</v>
      </c>
      <c r="N3487" s="2">
        <f>IF(LeadsData[[#This Row],[Stage Number]]&gt;=3,1,0)</f>
        <v>0</v>
      </c>
      <c r="O3487" s="2">
        <f>IF(LeadsData[[#This Row],[Stage Number]]&gt;=4,1,0)</f>
        <v>0</v>
      </c>
    </row>
    <row r="3488" spans="1:15" x14ac:dyDescent="0.25">
      <c r="A3488" t="s">
        <v>3528</v>
      </c>
      <c r="B3488" s="1">
        <v>45613</v>
      </c>
      <c r="C3488" t="s">
        <v>36</v>
      </c>
      <c r="D3488" t="s">
        <v>37</v>
      </c>
      <c r="E3488" t="s">
        <v>21</v>
      </c>
      <c r="F3488" t="s">
        <v>14</v>
      </c>
      <c r="G3488" t="s">
        <v>23</v>
      </c>
      <c r="K3488" cm="1">
        <f t="array" ref="K3488">_xlfn.SWITCH(LeadsData[[#This Row],[Funnel Stage Reached]],"Lead",1,"MQL",2,"SQL",3,"Customer",4)</f>
        <v>2</v>
      </c>
      <c r="L3488" t="str">
        <f>TEXT(LeadsData[[#This Row],[Signup Date]],"mmm-yyyy")</f>
        <v>Nov-2024</v>
      </c>
      <c r="M3488">
        <f>IF(LeadsData[[#This Row],[Stage Number]]&gt;=2,1,0)</f>
        <v>1</v>
      </c>
      <c r="N3488" s="2">
        <f>IF(LeadsData[[#This Row],[Stage Number]]&gt;=3,1,0)</f>
        <v>0</v>
      </c>
      <c r="O3488" s="2">
        <f>IF(LeadsData[[#This Row],[Stage Number]]&gt;=4,1,0)</f>
        <v>0</v>
      </c>
    </row>
    <row r="3489" spans="1:15" x14ac:dyDescent="0.25">
      <c r="A3489" t="s">
        <v>3529</v>
      </c>
      <c r="B3489" s="1">
        <v>45368</v>
      </c>
      <c r="C3489" t="s">
        <v>17</v>
      </c>
      <c r="D3489" t="s">
        <v>53</v>
      </c>
      <c r="E3489" t="s">
        <v>13</v>
      </c>
      <c r="F3489" t="s">
        <v>22</v>
      </c>
      <c r="G3489" t="s">
        <v>23</v>
      </c>
      <c r="K3489" cm="1">
        <f t="array" ref="K3489">_xlfn.SWITCH(LeadsData[[#This Row],[Funnel Stage Reached]],"Lead",1,"MQL",2,"SQL",3,"Customer",4)</f>
        <v>2</v>
      </c>
      <c r="L3489" t="str">
        <f>TEXT(LeadsData[[#This Row],[Signup Date]],"mmm-yyyy")</f>
        <v>Mar-2024</v>
      </c>
      <c r="M3489">
        <f>IF(LeadsData[[#This Row],[Stage Number]]&gt;=2,1,0)</f>
        <v>1</v>
      </c>
      <c r="N3489" s="2">
        <f>IF(LeadsData[[#This Row],[Stage Number]]&gt;=3,1,0)</f>
        <v>0</v>
      </c>
      <c r="O3489" s="2">
        <f>IF(LeadsData[[#This Row],[Stage Number]]&gt;=4,1,0)</f>
        <v>0</v>
      </c>
    </row>
    <row r="3490" spans="1:15" x14ac:dyDescent="0.25">
      <c r="A3490" t="s">
        <v>3530</v>
      </c>
      <c r="B3490" s="1">
        <v>45355</v>
      </c>
      <c r="C3490" t="s">
        <v>25</v>
      </c>
      <c r="D3490" t="s">
        <v>26</v>
      </c>
      <c r="E3490" t="s">
        <v>21</v>
      </c>
      <c r="F3490" t="s">
        <v>19</v>
      </c>
      <c r="G3490" t="s">
        <v>29</v>
      </c>
      <c r="K3490" cm="1">
        <f t="array" ref="K3490">_xlfn.SWITCH(LeadsData[[#This Row],[Funnel Stage Reached]],"Lead",1,"MQL",2,"SQL",3,"Customer",4)</f>
        <v>3</v>
      </c>
      <c r="L3490" t="str">
        <f>TEXT(LeadsData[[#This Row],[Signup Date]],"mmm-yyyy")</f>
        <v>Mar-2024</v>
      </c>
      <c r="M3490">
        <f>IF(LeadsData[[#This Row],[Stage Number]]&gt;=2,1,0)</f>
        <v>1</v>
      </c>
      <c r="N3490" s="2">
        <f>IF(LeadsData[[#This Row],[Stage Number]]&gt;=3,1,0)</f>
        <v>1</v>
      </c>
      <c r="O3490" s="2">
        <f>IF(LeadsData[[#This Row],[Stage Number]]&gt;=4,1,0)</f>
        <v>0</v>
      </c>
    </row>
    <row r="3491" spans="1:15" x14ac:dyDescent="0.25">
      <c r="A3491" t="s">
        <v>3531</v>
      </c>
      <c r="B3491" s="1">
        <v>45641</v>
      </c>
      <c r="C3491" t="s">
        <v>46</v>
      </c>
      <c r="D3491" t="s">
        <v>56</v>
      </c>
      <c r="E3491" t="s">
        <v>21</v>
      </c>
      <c r="F3491" t="s">
        <v>19</v>
      </c>
      <c r="G3491" t="s">
        <v>23</v>
      </c>
      <c r="K3491" cm="1">
        <f t="array" ref="K3491">_xlfn.SWITCH(LeadsData[[#This Row],[Funnel Stage Reached]],"Lead",1,"MQL",2,"SQL",3,"Customer",4)</f>
        <v>2</v>
      </c>
      <c r="L3491" t="str">
        <f>TEXT(LeadsData[[#This Row],[Signup Date]],"mmm-yyyy")</f>
        <v>Dec-2024</v>
      </c>
      <c r="M3491">
        <f>IF(LeadsData[[#This Row],[Stage Number]]&gt;=2,1,0)</f>
        <v>1</v>
      </c>
      <c r="N3491" s="2">
        <f>IF(LeadsData[[#This Row],[Stage Number]]&gt;=3,1,0)</f>
        <v>0</v>
      </c>
      <c r="O3491" s="2">
        <f>IF(LeadsData[[#This Row],[Stage Number]]&gt;=4,1,0)</f>
        <v>0</v>
      </c>
    </row>
    <row r="3492" spans="1:15" x14ac:dyDescent="0.25">
      <c r="A3492" t="s">
        <v>3532</v>
      </c>
      <c r="B3492" s="1">
        <v>45653</v>
      </c>
      <c r="C3492" t="s">
        <v>46</v>
      </c>
      <c r="D3492" t="s">
        <v>47</v>
      </c>
      <c r="E3492" t="s">
        <v>21</v>
      </c>
      <c r="F3492" t="s">
        <v>22</v>
      </c>
      <c r="G3492" t="s">
        <v>23</v>
      </c>
      <c r="K3492" cm="1">
        <f t="array" ref="K3492">_xlfn.SWITCH(LeadsData[[#This Row],[Funnel Stage Reached]],"Lead",1,"MQL",2,"SQL",3,"Customer",4)</f>
        <v>2</v>
      </c>
      <c r="L3492" t="str">
        <f>TEXT(LeadsData[[#This Row],[Signup Date]],"mmm-yyyy")</f>
        <v>Dec-2024</v>
      </c>
      <c r="M3492">
        <f>IF(LeadsData[[#This Row],[Stage Number]]&gt;=2,1,0)</f>
        <v>1</v>
      </c>
      <c r="N3492" s="2">
        <f>IF(LeadsData[[#This Row],[Stage Number]]&gt;=3,1,0)</f>
        <v>0</v>
      </c>
      <c r="O3492" s="2">
        <f>IF(LeadsData[[#This Row],[Stage Number]]&gt;=4,1,0)</f>
        <v>0</v>
      </c>
    </row>
    <row r="3493" spans="1:15" x14ac:dyDescent="0.25">
      <c r="A3493" t="s">
        <v>3533</v>
      </c>
      <c r="B3493" s="1">
        <v>45478</v>
      </c>
      <c r="C3493" t="s">
        <v>31</v>
      </c>
      <c r="D3493" t="s">
        <v>34</v>
      </c>
      <c r="E3493" t="s">
        <v>21</v>
      </c>
      <c r="F3493" t="s">
        <v>19</v>
      </c>
      <c r="G3493" t="s">
        <v>29</v>
      </c>
      <c r="K3493" cm="1">
        <f t="array" ref="K3493">_xlfn.SWITCH(LeadsData[[#This Row],[Funnel Stage Reached]],"Lead",1,"MQL",2,"SQL",3,"Customer",4)</f>
        <v>3</v>
      </c>
      <c r="L3493" t="str">
        <f>TEXT(LeadsData[[#This Row],[Signup Date]],"mmm-yyyy")</f>
        <v>Jul-2024</v>
      </c>
      <c r="M3493">
        <f>IF(LeadsData[[#This Row],[Stage Number]]&gt;=2,1,0)</f>
        <v>1</v>
      </c>
      <c r="N3493" s="2">
        <f>IF(LeadsData[[#This Row],[Stage Number]]&gt;=3,1,0)</f>
        <v>1</v>
      </c>
      <c r="O3493" s="2">
        <f>IF(LeadsData[[#This Row],[Stage Number]]&gt;=4,1,0)</f>
        <v>0</v>
      </c>
    </row>
    <row r="3494" spans="1:15" x14ac:dyDescent="0.25">
      <c r="A3494" t="s">
        <v>3534</v>
      </c>
      <c r="B3494" s="1">
        <v>45654</v>
      </c>
      <c r="C3494" t="s">
        <v>25</v>
      </c>
      <c r="D3494" t="s">
        <v>26</v>
      </c>
      <c r="E3494" t="s">
        <v>13</v>
      </c>
      <c r="F3494" t="s">
        <v>19</v>
      </c>
      <c r="G3494" t="s">
        <v>15</v>
      </c>
      <c r="K3494" cm="1">
        <f t="array" ref="K3494">_xlfn.SWITCH(LeadsData[[#This Row],[Funnel Stage Reached]],"Lead",1,"MQL",2,"SQL",3,"Customer",4)</f>
        <v>1</v>
      </c>
      <c r="L3494" t="str">
        <f>TEXT(LeadsData[[#This Row],[Signup Date]],"mmm-yyyy")</f>
        <v>Dec-2024</v>
      </c>
      <c r="M3494">
        <f>IF(LeadsData[[#This Row],[Stage Number]]&gt;=2,1,0)</f>
        <v>0</v>
      </c>
      <c r="N3494" s="2">
        <f>IF(LeadsData[[#This Row],[Stage Number]]&gt;=3,1,0)</f>
        <v>0</v>
      </c>
      <c r="O3494" s="2">
        <f>IF(LeadsData[[#This Row],[Stage Number]]&gt;=4,1,0)</f>
        <v>0</v>
      </c>
    </row>
    <row r="3495" spans="1:15" x14ac:dyDescent="0.25">
      <c r="A3495" t="s">
        <v>3535</v>
      </c>
      <c r="B3495" s="1">
        <v>45543</v>
      </c>
      <c r="C3495" t="s">
        <v>17</v>
      </c>
      <c r="D3495" t="s">
        <v>18</v>
      </c>
      <c r="E3495" t="s">
        <v>13</v>
      </c>
      <c r="F3495" t="s">
        <v>22</v>
      </c>
      <c r="G3495" t="s">
        <v>23</v>
      </c>
      <c r="K3495" cm="1">
        <f t="array" ref="K3495">_xlfn.SWITCH(LeadsData[[#This Row],[Funnel Stage Reached]],"Lead",1,"MQL",2,"SQL",3,"Customer",4)</f>
        <v>2</v>
      </c>
      <c r="L3495" t="str">
        <f>TEXT(LeadsData[[#This Row],[Signup Date]],"mmm-yyyy")</f>
        <v>Sep-2024</v>
      </c>
      <c r="M3495">
        <f>IF(LeadsData[[#This Row],[Stage Number]]&gt;=2,1,0)</f>
        <v>1</v>
      </c>
      <c r="N3495" s="2">
        <f>IF(LeadsData[[#This Row],[Stage Number]]&gt;=3,1,0)</f>
        <v>0</v>
      </c>
      <c r="O3495" s="2">
        <f>IF(LeadsData[[#This Row],[Stage Number]]&gt;=4,1,0)</f>
        <v>0</v>
      </c>
    </row>
    <row r="3496" spans="1:15" x14ac:dyDescent="0.25">
      <c r="A3496" t="s">
        <v>3536</v>
      </c>
      <c r="B3496" s="1">
        <v>45498</v>
      </c>
      <c r="C3496" t="s">
        <v>31</v>
      </c>
      <c r="D3496" t="s">
        <v>34</v>
      </c>
      <c r="E3496" t="s">
        <v>13</v>
      </c>
      <c r="F3496" t="s">
        <v>19</v>
      </c>
      <c r="G3496" t="s">
        <v>23</v>
      </c>
      <c r="K3496" cm="1">
        <f t="array" ref="K3496">_xlfn.SWITCH(LeadsData[[#This Row],[Funnel Stage Reached]],"Lead",1,"MQL",2,"SQL",3,"Customer",4)</f>
        <v>2</v>
      </c>
      <c r="L3496" t="str">
        <f>TEXT(LeadsData[[#This Row],[Signup Date]],"mmm-yyyy")</f>
        <v>Jul-2024</v>
      </c>
      <c r="M3496">
        <f>IF(LeadsData[[#This Row],[Stage Number]]&gt;=2,1,0)</f>
        <v>1</v>
      </c>
      <c r="N3496" s="2">
        <f>IF(LeadsData[[#This Row],[Stage Number]]&gt;=3,1,0)</f>
        <v>0</v>
      </c>
      <c r="O3496" s="2">
        <f>IF(LeadsData[[#This Row],[Stage Number]]&gt;=4,1,0)</f>
        <v>0</v>
      </c>
    </row>
    <row r="3497" spans="1:15" x14ac:dyDescent="0.25">
      <c r="A3497" t="s">
        <v>3537</v>
      </c>
      <c r="B3497" s="1">
        <v>45468</v>
      </c>
      <c r="C3497" t="s">
        <v>36</v>
      </c>
      <c r="D3497" t="s">
        <v>37</v>
      </c>
      <c r="E3497" t="s">
        <v>21</v>
      </c>
      <c r="F3497" t="s">
        <v>19</v>
      </c>
      <c r="G3497" t="s">
        <v>23</v>
      </c>
      <c r="K3497" cm="1">
        <f t="array" ref="K3497">_xlfn.SWITCH(LeadsData[[#This Row],[Funnel Stage Reached]],"Lead",1,"MQL",2,"SQL",3,"Customer",4)</f>
        <v>2</v>
      </c>
      <c r="L3497" t="str">
        <f>TEXT(LeadsData[[#This Row],[Signup Date]],"mmm-yyyy")</f>
        <v>Jun-2024</v>
      </c>
      <c r="M3497">
        <f>IF(LeadsData[[#This Row],[Stage Number]]&gt;=2,1,0)</f>
        <v>1</v>
      </c>
      <c r="N3497" s="2">
        <f>IF(LeadsData[[#This Row],[Stage Number]]&gt;=3,1,0)</f>
        <v>0</v>
      </c>
      <c r="O3497" s="2">
        <f>IF(LeadsData[[#This Row],[Stage Number]]&gt;=4,1,0)</f>
        <v>0</v>
      </c>
    </row>
    <row r="3498" spans="1:15" x14ac:dyDescent="0.25">
      <c r="A3498" t="s">
        <v>3538</v>
      </c>
      <c r="B3498" s="1">
        <v>45315</v>
      </c>
      <c r="C3498" t="s">
        <v>11</v>
      </c>
      <c r="D3498" t="s">
        <v>12</v>
      </c>
      <c r="E3498" t="s">
        <v>21</v>
      </c>
      <c r="F3498" t="s">
        <v>22</v>
      </c>
      <c r="G3498" t="s">
        <v>29</v>
      </c>
      <c r="K3498" cm="1">
        <f t="array" ref="K3498">_xlfn.SWITCH(LeadsData[[#This Row],[Funnel Stage Reached]],"Lead",1,"MQL",2,"SQL",3,"Customer",4)</f>
        <v>3</v>
      </c>
      <c r="L3498" t="str">
        <f>TEXT(LeadsData[[#This Row],[Signup Date]],"mmm-yyyy")</f>
        <v>Jan-2024</v>
      </c>
      <c r="M3498">
        <f>IF(LeadsData[[#This Row],[Stage Number]]&gt;=2,1,0)</f>
        <v>1</v>
      </c>
      <c r="N3498" s="2">
        <f>IF(LeadsData[[#This Row],[Stage Number]]&gt;=3,1,0)</f>
        <v>1</v>
      </c>
      <c r="O3498" s="2">
        <f>IF(LeadsData[[#This Row],[Stage Number]]&gt;=4,1,0)</f>
        <v>0</v>
      </c>
    </row>
    <row r="3499" spans="1:15" x14ac:dyDescent="0.25">
      <c r="A3499" t="s">
        <v>3539</v>
      </c>
      <c r="B3499" s="1">
        <v>45648</v>
      </c>
      <c r="C3499" t="s">
        <v>17</v>
      </c>
      <c r="D3499" t="s">
        <v>53</v>
      </c>
      <c r="E3499" t="s">
        <v>13</v>
      </c>
      <c r="F3499" t="s">
        <v>19</v>
      </c>
      <c r="G3499" t="s">
        <v>42</v>
      </c>
      <c r="H3499">
        <v>23</v>
      </c>
      <c r="I3499" t="s">
        <v>87</v>
      </c>
      <c r="J3499">
        <v>4117.43</v>
      </c>
      <c r="K3499" cm="1">
        <f t="array" ref="K3499">_xlfn.SWITCH(LeadsData[[#This Row],[Funnel Stage Reached]],"Lead",1,"MQL",2,"SQL",3,"Customer",4)</f>
        <v>4</v>
      </c>
      <c r="L3499" t="str">
        <f>TEXT(LeadsData[[#This Row],[Signup Date]],"mmm-yyyy")</f>
        <v>Dec-2024</v>
      </c>
      <c r="M3499">
        <f>IF(LeadsData[[#This Row],[Stage Number]]&gt;=2,1,0)</f>
        <v>1</v>
      </c>
      <c r="N3499" s="2">
        <f>IF(LeadsData[[#This Row],[Stage Number]]&gt;=3,1,0)</f>
        <v>1</v>
      </c>
      <c r="O3499" s="2">
        <f>IF(LeadsData[[#This Row],[Stage Number]]&gt;=4,1,0)</f>
        <v>1</v>
      </c>
    </row>
    <row r="3500" spans="1:15" x14ac:dyDescent="0.25">
      <c r="A3500" t="s">
        <v>3540</v>
      </c>
      <c r="B3500" s="1">
        <v>45314</v>
      </c>
      <c r="C3500" t="s">
        <v>46</v>
      </c>
      <c r="D3500" t="s">
        <v>56</v>
      </c>
      <c r="E3500" t="s">
        <v>21</v>
      </c>
      <c r="F3500" t="s">
        <v>28</v>
      </c>
      <c r="G3500" t="s">
        <v>15</v>
      </c>
      <c r="K3500" cm="1">
        <f t="array" ref="K3500">_xlfn.SWITCH(LeadsData[[#This Row],[Funnel Stage Reached]],"Lead",1,"MQL",2,"SQL",3,"Customer",4)</f>
        <v>1</v>
      </c>
      <c r="L3500" t="str">
        <f>TEXT(LeadsData[[#This Row],[Signup Date]],"mmm-yyyy")</f>
        <v>Jan-2024</v>
      </c>
      <c r="M3500">
        <f>IF(LeadsData[[#This Row],[Stage Number]]&gt;=2,1,0)</f>
        <v>0</v>
      </c>
      <c r="N3500" s="2">
        <f>IF(LeadsData[[#This Row],[Stage Number]]&gt;=3,1,0)</f>
        <v>0</v>
      </c>
      <c r="O3500" s="2">
        <f>IF(LeadsData[[#This Row],[Stage Number]]&gt;=4,1,0)</f>
        <v>0</v>
      </c>
    </row>
    <row r="3501" spans="1:15" x14ac:dyDescent="0.25">
      <c r="A3501" t="s">
        <v>3541</v>
      </c>
      <c r="B3501" s="1">
        <v>45347</v>
      </c>
      <c r="C3501" t="s">
        <v>17</v>
      </c>
      <c r="D3501" t="s">
        <v>53</v>
      </c>
      <c r="E3501" t="s">
        <v>21</v>
      </c>
      <c r="F3501" t="s">
        <v>22</v>
      </c>
      <c r="G3501" t="s">
        <v>29</v>
      </c>
      <c r="K3501" cm="1">
        <f t="array" ref="K3501">_xlfn.SWITCH(LeadsData[[#This Row],[Funnel Stage Reached]],"Lead",1,"MQL",2,"SQL",3,"Customer",4)</f>
        <v>3</v>
      </c>
      <c r="L3501" t="str">
        <f>TEXT(LeadsData[[#This Row],[Signup Date]],"mmm-yyyy")</f>
        <v>Feb-2024</v>
      </c>
      <c r="M3501">
        <f>IF(LeadsData[[#This Row],[Stage Number]]&gt;=2,1,0)</f>
        <v>1</v>
      </c>
      <c r="N3501" s="2">
        <f>IF(LeadsData[[#This Row],[Stage Number]]&gt;=3,1,0)</f>
        <v>1</v>
      </c>
      <c r="O3501" s="2">
        <f>IF(LeadsData[[#This Row],[Stage Number]]&gt;=4,1,0)</f>
        <v>0</v>
      </c>
    </row>
    <row r="3502" spans="1:15" x14ac:dyDescent="0.25">
      <c r="A3502" t="s">
        <v>3542</v>
      </c>
      <c r="B3502" s="1">
        <v>45352</v>
      </c>
      <c r="C3502" t="s">
        <v>31</v>
      </c>
      <c r="D3502" t="s">
        <v>32</v>
      </c>
      <c r="E3502" t="s">
        <v>21</v>
      </c>
      <c r="F3502" t="s">
        <v>22</v>
      </c>
      <c r="G3502" t="s">
        <v>15</v>
      </c>
      <c r="K3502" cm="1">
        <f t="array" ref="K3502">_xlfn.SWITCH(LeadsData[[#This Row],[Funnel Stage Reached]],"Lead",1,"MQL",2,"SQL",3,"Customer",4)</f>
        <v>1</v>
      </c>
      <c r="L3502" t="str">
        <f>TEXT(LeadsData[[#This Row],[Signup Date]],"mmm-yyyy")</f>
        <v>Mar-2024</v>
      </c>
      <c r="M3502">
        <f>IF(LeadsData[[#This Row],[Stage Number]]&gt;=2,1,0)</f>
        <v>0</v>
      </c>
      <c r="N3502" s="2">
        <f>IF(LeadsData[[#This Row],[Stage Number]]&gt;=3,1,0)</f>
        <v>0</v>
      </c>
      <c r="O3502" s="2">
        <f>IF(LeadsData[[#This Row],[Stage Number]]&gt;=4,1,0)</f>
        <v>0</v>
      </c>
    </row>
    <row r="3503" spans="1:15" x14ac:dyDescent="0.25">
      <c r="A3503" t="s">
        <v>3543</v>
      </c>
      <c r="B3503" s="1">
        <v>45568</v>
      </c>
      <c r="C3503" t="s">
        <v>36</v>
      </c>
      <c r="D3503" t="s">
        <v>37</v>
      </c>
      <c r="E3503" t="s">
        <v>21</v>
      </c>
      <c r="F3503" t="s">
        <v>19</v>
      </c>
      <c r="G3503" t="s">
        <v>23</v>
      </c>
      <c r="K3503" cm="1">
        <f t="array" ref="K3503">_xlfn.SWITCH(LeadsData[[#This Row],[Funnel Stage Reached]],"Lead",1,"MQL",2,"SQL",3,"Customer",4)</f>
        <v>2</v>
      </c>
      <c r="L3503" t="str">
        <f>TEXT(LeadsData[[#This Row],[Signup Date]],"mmm-yyyy")</f>
        <v>Oct-2024</v>
      </c>
      <c r="M3503">
        <f>IF(LeadsData[[#This Row],[Stage Number]]&gt;=2,1,0)</f>
        <v>1</v>
      </c>
      <c r="N3503" s="2">
        <f>IF(LeadsData[[#This Row],[Stage Number]]&gt;=3,1,0)</f>
        <v>0</v>
      </c>
      <c r="O3503" s="2">
        <f>IF(LeadsData[[#This Row],[Stage Number]]&gt;=4,1,0)</f>
        <v>0</v>
      </c>
    </row>
    <row r="3504" spans="1:15" x14ac:dyDescent="0.25">
      <c r="A3504" t="s">
        <v>3544</v>
      </c>
      <c r="B3504" s="1">
        <v>45469</v>
      </c>
      <c r="C3504" t="s">
        <v>25</v>
      </c>
      <c r="D3504" t="s">
        <v>26</v>
      </c>
      <c r="E3504" t="s">
        <v>13</v>
      </c>
      <c r="F3504" t="s">
        <v>22</v>
      </c>
      <c r="G3504" t="s">
        <v>23</v>
      </c>
      <c r="K3504" cm="1">
        <f t="array" ref="K3504">_xlfn.SWITCH(LeadsData[[#This Row],[Funnel Stage Reached]],"Lead",1,"MQL",2,"SQL",3,"Customer",4)</f>
        <v>2</v>
      </c>
      <c r="L3504" t="str">
        <f>TEXT(LeadsData[[#This Row],[Signup Date]],"mmm-yyyy")</f>
        <v>Jun-2024</v>
      </c>
      <c r="M3504">
        <f>IF(LeadsData[[#This Row],[Stage Number]]&gt;=2,1,0)</f>
        <v>1</v>
      </c>
      <c r="N3504" s="2">
        <f>IF(LeadsData[[#This Row],[Stage Number]]&gt;=3,1,0)</f>
        <v>0</v>
      </c>
      <c r="O3504" s="2">
        <f>IF(LeadsData[[#This Row],[Stage Number]]&gt;=4,1,0)</f>
        <v>0</v>
      </c>
    </row>
    <row r="3505" spans="1:15" x14ac:dyDescent="0.25">
      <c r="A3505" t="s">
        <v>3545</v>
      </c>
      <c r="B3505" s="1">
        <v>45639</v>
      </c>
      <c r="C3505" t="s">
        <v>31</v>
      </c>
      <c r="D3505" t="s">
        <v>32</v>
      </c>
      <c r="E3505" t="s">
        <v>13</v>
      </c>
      <c r="F3505" t="s">
        <v>19</v>
      </c>
      <c r="G3505" t="s">
        <v>15</v>
      </c>
      <c r="K3505" cm="1">
        <f t="array" ref="K3505">_xlfn.SWITCH(LeadsData[[#This Row],[Funnel Stage Reached]],"Lead",1,"MQL",2,"SQL",3,"Customer",4)</f>
        <v>1</v>
      </c>
      <c r="L3505" t="str">
        <f>TEXT(LeadsData[[#This Row],[Signup Date]],"mmm-yyyy")</f>
        <v>Dec-2024</v>
      </c>
      <c r="M3505">
        <f>IF(LeadsData[[#This Row],[Stage Number]]&gt;=2,1,0)</f>
        <v>0</v>
      </c>
      <c r="N3505" s="2">
        <f>IF(LeadsData[[#This Row],[Stage Number]]&gt;=3,1,0)</f>
        <v>0</v>
      </c>
      <c r="O3505" s="2">
        <f>IF(LeadsData[[#This Row],[Stage Number]]&gt;=4,1,0)</f>
        <v>0</v>
      </c>
    </row>
    <row r="3506" spans="1:15" x14ac:dyDescent="0.25">
      <c r="A3506" t="s">
        <v>3546</v>
      </c>
      <c r="B3506" s="1">
        <v>45497</v>
      </c>
      <c r="C3506" t="s">
        <v>36</v>
      </c>
      <c r="D3506" t="s">
        <v>50</v>
      </c>
      <c r="E3506" t="s">
        <v>13</v>
      </c>
      <c r="F3506" t="s">
        <v>14</v>
      </c>
      <c r="G3506" t="s">
        <v>42</v>
      </c>
      <c r="H3506">
        <v>54</v>
      </c>
      <c r="I3506" t="s">
        <v>87</v>
      </c>
      <c r="J3506">
        <v>2084.67</v>
      </c>
      <c r="K3506" cm="1">
        <f t="array" ref="K3506">_xlfn.SWITCH(LeadsData[[#This Row],[Funnel Stage Reached]],"Lead",1,"MQL",2,"SQL",3,"Customer",4)</f>
        <v>4</v>
      </c>
      <c r="L3506" t="str">
        <f>TEXT(LeadsData[[#This Row],[Signup Date]],"mmm-yyyy")</f>
        <v>Jul-2024</v>
      </c>
      <c r="M3506">
        <f>IF(LeadsData[[#This Row],[Stage Number]]&gt;=2,1,0)</f>
        <v>1</v>
      </c>
      <c r="N3506" s="2">
        <f>IF(LeadsData[[#This Row],[Stage Number]]&gt;=3,1,0)</f>
        <v>1</v>
      </c>
      <c r="O3506" s="2">
        <f>IF(LeadsData[[#This Row],[Stage Number]]&gt;=4,1,0)</f>
        <v>1</v>
      </c>
    </row>
    <row r="3507" spans="1:15" x14ac:dyDescent="0.25">
      <c r="A3507" t="s">
        <v>3547</v>
      </c>
      <c r="B3507" s="1">
        <v>45616</v>
      </c>
      <c r="C3507" t="s">
        <v>25</v>
      </c>
      <c r="D3507" t="s">
        <v>26</v>
      </c>
      <c r="E3507" t="s">
        <v>13</v>
      </c>
      <c r="F3507" t="s">
        <v>19</v>
      </c>
      <c r="G3507" t="s">
        <v>23</v>
      </c>
      <c r="K3507" cm="1">
        <f t="array" ref="K3507">_xlfn.SWITCH(LeadsData[[#This Row],[Funnel Stage Reached]],"Lead",1,"MQL",2,"SQL",3,"Customer",4)</f>
        <v>2</v>
      </c>
      <c r="L3507" t="str">
        <f>TEXT(LeadsData[[#This Row],[Signup Date]],"mmm-yyyy")</f>
        <v>Nov-2024</v>
      </c>
      <c r="M3507">
        <f>IF(LeadsData[[#This Row],[Stage Number]]&gt;=2,1,0)</f>
        <v>1</v>
      </c>
      <c r="N3507" s="2">
        <f>IF(LeadsData[[#This Row],[Stage Number]]&gt;=3,1,0)</f>
        <v>0</v>
      </c>
      <c r="O3507" s="2">
        <f>IF(LeadsData[[#This Row],[Stage Number]]&gt;=4,1,0)</f>
        <v>0</v>
      </c>
    </row>
    <row r="3508" spans="1:15" x14ac:dyDescent="0.25">
      <c r="A3508" t="s">
        <v>3548</v>
      </c>
      <c r="B3508" s="1">
        <v>45423</v>
      </c>
      <c r="C3508" t="s">
        <v>11</v>
      </c>
      <c r="D3508" t="s">
        <v>79</v>
      </c>
      <c r="E3508" t="s">
        <v>48</v>
      </c>
      <c r="F3508" t="s">
        <v>14</v>
      </c>
      <c r="G3508" t="s">
        <v>15</v>
      </c>
      <c r="K3508" cm="1">
        <f t="array" ref="K3508">_xlfn.SWITCH(LeadsData[[#This Row],[Funnel Stage Reached]],"Lead",1,"MQL",2,"SQL",3,"Customer",4)</f>
        <v>1</v>
      </c>
      <c r="L3508" t="str">
        <f>TEXT(LeadsData[[#This Row],[Signup Date]],"mmm-yyyy")</f>
        <v>May-2024</v>
      </c>
      <c r="M3508">
        <f>IF(LeadsData[[#This Row],[Stage Number]]&gt;=2,1,0)</f>
        <v>0</v>
      </c>
      <c r="N3508" s="2">
        <f>IF(LeadsData[[#This Row],[Stage Number]]&gt;=3,1,0)</f>
        <v>0</v>
      </c>
      <c r="O3508" s="2">
        <f>IF(LeadsData[[#This Row],[Stage Number]]&gt;=4,1,0)</f>
        <v>0</v>
      </c>
    </row>
    <row r="3509" spans="1:15" x14ac:dyDescent="0.25">
      <c r="A3509" t="s">
        <v>3549</v>
      </c>
      <c r="B3509" s="1">
        <v>45561</v>
      </c>
      <c r="C3509" t="s">
        <v>25</v>
      </c>
      <c r="D3509" t="s">
        <v>26</v>
      </c>
      <c r="E3509" t="s">
        <v>21</v>
      </c>
      <c r="F3509" t="s">
        <v>22</v>
      </c>
      <c r="G3509" t="s">
        <v>15</v>
      </c>
      <c r="K3509" cm="1">
        <f t="array" ref="K3509">_xlfn.SWITCH(LeadsData[[#This Row],[Funnel Stage Reached]],"Lead",1,"MQL",2,"SQL",3,"Customer",4)</f>
        <v>1</v>
      </c>
      <c r="L3509" t="str">
        <f>TEXT(LeadsData[[#This Row],[Signup Date]],"mmm-yyyy")</f>
        <v>Sep-2024</v>
      </c>
      <c r="M3509">
        <f>IF(LeadsData[[#This Row],[Stage Number]]&gt;=2,1,0)</f>
        <v>0</v>
      </c>
      <c r="N3509" s="2">
        <f>IF(LeadsData[[#This Row],[Stage Number]]&gt;=3,1,0)</f>
        <v>0</v>
      </c>
      <c r="O3509" s="2">
        <f>IF(LeadsData[[#This Row],[Stage Number]]&gt;=4,1,0)</f>
        <v>0</v>
      </c>
    </row>
    <row r="3510" spans="1:15" x14ac:dyDescent="0.25">
      <c r="A3510" t="s">
        <v>3550</v>
      </c>
      <c r="B3510" s="1">
        <v>45294</v>
      </c>
      <c r="C3510" t="s">
        <v>31</v>
      </c>
      <c r="D3510" t="s">
        <v>32</v>
      </c>
      <c r="E3510" t="s">
        <v>13</v>
      </c>
      <c r="F3510" t="s">
        <v>14</v>
      </c>
      <c r="G3510" t="s">
        <v>23</v>
      </c>
      <c r="K3510" cm="1">
        <f t="array" ref="K3510">_xlfn.SWITCH(LeadsData[[#This Row],[Funnel Stage Reached]],"Lead",1,"MQL",2,"SQL",3,"Customer",4)</f>
        <v>2</v>
      </c>
      <c r="L3510" t="str">
        <f>TEXT(LeadsData[[#This Row],[Signup Date]],"mmm-yyyy")</f>
        <v>Jan-2024</v>
      </c>
      <c r="M3510">
        <f>IF(LeadsData[[#This Row],[Stage Number]]&gt;=2,1,0)</f>
        <v>1</v>
      </c>
      <c r="N3510" s="2">
        <f>IF(LeadsData[[#This Row],[Stage Number]]&gt;=3,1,0)</f>
        <v>0</v>
      </c>
      <c r="O3510" s="2">
        <f>IF(LeadsData[[#This Row],[Stage Number]]&gt;=4,1,0)</f>
        <v>0</v>
      </c>
    </row>
    <row r="3511" spans="1:15" x14ac:dyDescent="0.25">
      <c r="A3511" t="s">
        <v>3551</v>
      </c>
      <c r="B3511" s="1">
        <v>45371</v>
      </c>
      <c r="C3511" t="s">
        <v>17</v>
      </c>
      <c r="D3511" t="s">
        <v>18</v>
      </c>
      <c r="E3511" t="s">
        <v>13</v>
      </c>
      <c r="F3511" t="s">
        <v>14</v>
      </c>
      <c r="G3511" t="s">
        <v>42</v>
      </c>
      <c r="H3511">
        <v>51</v>
      </c>
      <c r="I3511" t="s">
        <v>43</v>
      </c>
      <c r="J3511">
        <v>862.57</v>
      </c>
      <c r="K3511" cm="1">
        <f t="array" ref="K3511">_xlfn.SWITCH(LeadsData[[#This Row],[Funnel Stage Reached]],"Lead",1,"MQL",2,"SQL",3,"Customer",4)</f>
        <v>4</v>
      </c>
      <c r="L3511" t="str">
        <f>TEXT(LeadsData[[#This Row],[Signup Date]],"mmm-yyyy")</f>
        <v>Mar-2024</v>
      </c>
      <c r="M3511">
        <f>IF(LeadsData[[#This Row],[Stage Number]]&gt;=2,1,0)</f>
        <v>1</v>
      </c>
      <c r="N3511" s="2">
        <f>IF(LeadsData[[#This Row],[Stage Number]]&gt;=3,1,0)</f>
        <v>1</v>
      </c>
      <c r="O3511" s="2">
        <f>IF(LeadsData[[#This Row],[Stage Number]]&gt;=4,1,0)</f>
        <v>1</v>
      </c>
    </row>
    <row r="3512" spans="1:15" x14ac:dyDescent="0.25">
      <c r="A3512" t="s">
        <v>3552</v>
      </c>
      <c r="B3512" s="1">
        <v>45427</v>
      </c>
      <c r="C3512" t="s">
        <v>31</v>
      </c>
      <c r="D3512" t="s">
        <v>34</v>
      </c>
      <c r="E3512" t="s">
        <v>21</v>
      </c>
      <c r="F3512" t="s">
        <v>19</v>
      </c>
      <c r="G3512" t="s">
        <v>42</v>
      </c>
      <c r="H3512">
        <v>29</v>
      </c>
      <c r="I3512" t="s">
        <v>183</v>
      </c>
      <c r="J3512">
        <v>10826.78</v>
      </c>
      <c r="K3512" cm="1">
        <f t="array" ref="K3512">_xlfn.SWITCH(LeadsData[[#This Row],[Funnel Stage Reached]],"Lead",1,"MQL",2,"SQL",3,"Customer",4)</f>
        <v>4</v>
      </c>
      <c r="L3512" t="str">
        <f>TEXT(LeadsData[[#This Row],[Signup Date]],"mmm-yyyy")</f>
        <v>May-2024</v>
      </c>
      <c r="M3512">
        <f>IF(LeadsData[[#This Row],[Stage Number]]&gt;=2,1,0)</f>
        <v>1</v>
      </c>
      <c r="N3512" s="2">
        <f>IF(LeadsData[[#This Row],[Stage Number]]&gt;=3,1,0)</f>
        <v>1</v>
      </c>
      <c r="O3512" s="2">
        <f>IF(LeadsData[[#This Row],[Stage Number]]&gt;=4,1,0)</f>
        <v>1</v>
      </c>
    </row>
    <row r="3513" spans="1:15" x14ac:dyDescent="0.25">
      <c r="A3513" t="s">
        <v>3553</v>
      </c>
      <c r="B3513" s="1">
        <v>45605</v>
      </c>
      <c r="C3513" t="s">
        <v>36</v>
      </c>
      <c r="D3513" t="s">
        <v>37</v>
      </c>
      <c r="E3513" t="s">
        <v>21</v>
      </c>
      <c r="F3513" t="s">
        <v>19</v>
      </c>
      <c r="G3513" t="s">
        <v>15</v>
      </c>
      <c r="K3513" cm="1">
        <f t="array" ref="K3513">_xlfn.SWITCH(LeadsData[[#This Row],[Funnel Stage Reached]],"Lead",1,"MQL",2,"SQL",3,"Customer",4)</f>
        <v>1</v>
      </c>
      <c r="L3513" t="str">
        <f>TEXT(LeadsData[[#This Row],[Signup Date]],"mmm-yyyy")</f>
        <v>Nov-2024</v>
      </c>
      <c r="M3513">
        <f>IF(LeadsData[[#This Row],[Stage Number]]&gt;=2,1,0)</f>
        <v>0</v>
      </c>
      <c r="N3513" s="2">
        <f>IF(LeadsData[[#This Row],[Stage Number]]&gt;=3,1,0)</f>
        <v>0</v>
      </c>
      <c r="O3513" s="2">
        <f>IF(LeadsData[[#This Row],[Stage Number]]&gt;=4,1,0)</f>
        <v>0</v>
      </c>
    </row>
    <row r="3514" spans="1:15" x14ac:dyDescent="0.25">
      <c r="A3514" t="s">
        <v>3554</v>
      </c>
      <c r="B3514" s="1">
        <v>45619</v>
      </c>
      <c r="C3514" t="s">
        <v>31</v>
      </c>
      <c r="D3514" t="s">
        <v>32</v>
      </c>
      <c r="E3514" t="s">
        <v>13</v>
      </c>
      <c r="F3514" t="s">
        <v>22</v>
      </c>
      <c r="G3514" t="s">
        <v>15</v>
      </c>
      <c r="K3514" cm="1">
        <f t="array" ref="K3514">_xlfn.SWITCH(LeadsData[[#This Row],[Funnel Stage Reached]],"Lead",1,"MQL",2,"SQL",3,"Customer",4)</f>
        <v>1</v>
      </c>
      <c r="L3514" t="str">
        <f>TEXT(LeadsData[[#This Row],[Signup Date]],"mmm-yyyy")</f>
        <v>Nov-2024</v>
      </c>
      <c r="M3514">
        <f>IF(LeadsData[[#This Row],[Stage Number]]&gt;=2,1,0)</f>
        <v>0</v>
      </c>
      <c r="N3514" s="2">
        <f>IF(LeadsData[[#This Row],[Stage Number]]&gt;=3,1,0)</f>
        <v>0</v>
      </c>
      <c r="O3514" s="2">
        <f>IF(LeadsData[[#This Row],[Stage Number]]&gt;=4,1,0)</f>
        <v>0</v>
      </c>
    </row>
    <row r="3515" spans="1:15" x14ac:dyDescent="0.25">
      <c r="A3515" t="s">
        <v>3555</v>
      </c>
      <c r="B3515" s="1">
        <v>45384</v>
      </c>
      <c r="C3515" t="s">
        <v>36</v>
      </c>
      <c r="D3515" t="s">
        <v>50</v>
      </c>
      <c r="E3515" t="s">
        <v>13</v>
      </c>
      <c r="F3515" t="s">
        <v>19</v>
      </c>
      <c r="G3515" t="s">
        <v>23</v>
      </c>
      <c r="K3515" cm="1">
        <f t="array" ref="K3515">_xlfn.SWITCH(LeadsData[[#This Row],[Funnel Stage Reached]],"Lead",1,"MQL",2,"SQL",3,"Customer",4)</f>
        <v>2</v>
      </c>
      <c r="L3515" t="str">
        <f>TEXT(LeadsData[[#This Row],[Signup Date]],"mmm-yyyy")</f>
        <v>Apr-2024</v>
      </c>
      <c r="M3515">
        <f>IF(LeadsData[[#This Row],[Stage Number]]&gt;=2,1,0)</f>
        <v>1</v>
      </c>
      <c r="N3515" s="2">
        <f>IF(LeadsData[[#This Row],[Stage Number]]&gt;=3,1,0)</f>
        <v>0</v>
      </c>
      <c r="O3515" s="2">
        <f>IF(LeadsData[[#This Row],[Stage Number]]&gt;=4,1,0)</f>
        <v>0</v>
      </c>
    </row>
    <row r="3516" spans="1:15" x14ac:dyDescent="0.25">
      <c r="A3516" t="s">
        <v>3556</v>
      </c>
      <c r="B3516" s="1">
        <v>45297</v>
      </c>
      <c r="C3516" t="s">
        <v>36</v>
      </c>
      <c r="D3516" t="s">
        <v>50</v>
      </c>
      <c r="E3516" t="s">
        <v>13</v>
      </c>
      <c r="F3516" t="s">
        <v>14</v>
      </c>
      <c r="G3516" t="s">
        <v>23</v>
      </c>
      <c r="K3516" cm="1">
        <f t="array" ref="K3516">_xlfn.SWITCH(LeadsData[[#This Row],[Funnel Stage Reached]],"Lead",1,"MQL",2,"SQL",3,"Customer",4)</f>
        <v>2</v>
      </c>
      <c r="L3516" t="str">
        <f>TEXT(LeadsData[[#This Row],[Signup Date]],"mmm-yyyy")</f>
        <v>Jan-2024</v>
      </c>
      <c r="M3516">
        <f>IF(LeadsData[[#This Row],[Stage Number]]&gt;=2,1,0)</f>
        <v>1</v>
      </c>
      <c r="N3516" s="2">
        <f>IF(LeadsData[[#This Row],[Stage Number]]&gt;=3,1,0)</f>
        <v>0</v>
      </c>
      <c r="O3516" s="2">
        <f>IF(LeadsData[[#This Row],[Stage Number]]&gt;=4,1,0)</f>
        <v>0</v>
      </c>
    </row>
    <row r="3517" spans="1:15" x14ac:dyDescent="0.25">
      <c r="A3517" t="s">
        <v>3557</v>
      </c>
      <c r="B3517" s="1">
        <v>45390</v>
      </c>
      <c r="C3517" t="s">
        <v>11</v>
      </c>
      <c r="D3517" t="s">
        <v>79</v>
      </c>
      <c r="E3517" t="s">
        <v>21</v>
      </c>
      <c r="F3517" t="s">
        <v>19</v>
      </c>
      <c r="G3517" t="s">
        <v>29</v>
      </c>
      <c r="K3517" cm="1">
        <f t="array" ref="K3517">_xlfn.SWITCH(LeadsData[[#This Row],[Funnel Stage Reached]],"Lead",1,"MQL",2,"SQL",3,"Customer",4)</f>
        <v>3</v>
      </c>
      <c r="L3517" t="str">
        <f>TEXT(LeadsData[[#This Row],[Signup Date]],"mmm-yyyy")</f>
        <v>Apr-2024</v>
      </c>
      <c r="M3517">
        <f>IF(LeadsData[[#This Row],[Stage Number]]&gt;=2,1,0)</f>
        <v>1</v>
      </c>
      <c r="N3517" s="2">
        <f>IF(LeadsData[[#This Row],[Stage Number]]&gt;=3,1,0)</f>
        <v>1</v>
      </c>
      <c r="O3517" s="2">
        <f>IF(LeadsData[[#This Row],[Stage Number]]&gt;=4,1,0)</f>
        <v>0</v>
      </c>
    </row>
    <row r="3518" spans="1:15" x14ac:dyDescent="0.25">
      <c r="A3518" t="s">
        <v>3558</v>
      </c>
      <c r="B3518" s="1">
        <v>45387</v>
      </c>
      <c r="C3518" t="s">
        <v>17</v>
      </c>
      <c r="D3518" t="s">
        <v>53</v>
      </c>
      <c r="E3518" t="s">
        <v>13</v>
      </c>
      <c r="F3518" t="s">
        <v>14</v>
      </c>
      <c r="G3518" t="s">
        <v>15</v>
      </c>
      <c r="K3518" cm="1">
        <f t="array" ref="K3518">_xlfn.SWITCH(LeadsData[[#This Row],[Funnel Stage Reached]],"Lead",1,"MQL",2,"SQL",3,"Customer",4)</f>
        <v>1</v>
      </c>
      <c r="L3518" t="str">
        <f>TEXT(LeadsData[[#This Row],[Signup Date]],"mmm-yyyy")</f>
        <v>Apr-2024</v>
      </c>
      <c r="M3518">
        <f>IF(LeadsData[[#This Row],[Stage Number]]&gt;=2,1,0)</f>
        <v>0</v>
      </c>
      <c r="N3518" s="2">
        <f>IF(LeadsData[[#This Row],[Stage Number]]&gt;=3,1,0)</f>
        <v>0</v>
      </c>
      <c r="O3518" s="2">
        <f>IF(LeadsData[[#This Row],[Stage Number]]&gt;=4,1,0)</f>
        <v>0</v>
      </c>
    </row>
    <row r="3519" spans="1:15" x14ac:dyDescent="0.25">
      <c r="A3519" t="s">
        <v>3559</v>
      </c>
      <c r="B3519" s="1">
        <v>45593</v>
      </c>
      <c r="C3519" t="s">
        <v>25</v>
      </c>
      <c r="D3519" t="s">
        <v>26</v>
      </c>
      <c r="E3519" t="s">
        <v>13</v>
      </c>
      <c r="F3519" t="s">
        <v>28</v>
      </c>
      <c r="G3519" t="s">
        <v>15</v>
      </c>
      <c r="K3519" cm="1">
        <f t="array" ref="K3519">_xlfn.SWITCH(LeadsData[[#This Row],[Funnel Stage Reached]],"Lead",1,"MQL",2,"SQL",3,"Customer",4)</f>
        <v>1</v>
      </c>
      <c r="L3519" t="str">
        <f>TEXT(LeadsData[[#This Row],[Signup Date]],"mmm-yyyy")</f>
        <v>Oct-2024</v>
      </c>
      <c r="M3519">
        <f>IF(LeadsData[[#This Row],[Stage Number]]&gt;=2,1,0)</f>
        <v>0</v>
      </c>
      <c r="N3519" s="2">
        <f>IF(LeadsData[[#This Row],[Stage Number]]&gt;=3,1,0)</f>
        <v>0</v>
      </c>
      <c r="O3519" s="2">
        <f>IF(LeadsData[[#This Row],[Stage Number]]&gt;=4,1,0)</f>
        <v>0</v>
      </c>
    </row>
    <row r="3520" spans="1:15" x14ac:dyDescent="0.25">
      <c r="A3520" t="s">
        <v>3560</v>
      </c>
      <c r="B3520" s="1">
        <v>45469</v>
      </c>
      <c r="C3520" t="s">
        <v>17</v>
      </c>
      <c r="D3520" t="s">
        <v>18</v>
      </c>
      <c r="E3520" t="s">
        <v>13</v>
      </c>
      <c r="F3520" t="s">
        <v>22</v>
      </c>
      <c r="G3520" t="s">
        <v>23</v>
      </c>
      <c r="K3520" cm="1">
        <f t="array" ref="K3520">_xlfn.SWITCH(LeadsData[[#This Row],[Funnel Stage Reached]],"Lead",1,"MQL",2,"SQL",3,"Customer",4)</f>
        <v>2</v>
      </c>
      <c r="L3520" t="str">
        <f>TEXT(LeadsData[[#This Row],[Signup Date]],"mmm-yyyy")</f>
        <v>Jun-2024</v>
      </c>
      <c r="M3520">
        <f>IF(LeadsData[[#This Row],[Stage Number]]&gt;=2,1,0)</f>
        <v>1</v>
      </c>
      <c r="N3520" s="2">
        <f>IF(LeadsData[[#This Row],[Stage Number]]&gt;=3,1,0)</f>
        <v>0</v>
      </c>
      <c r="O3520" s="2">
        <f>IF(LeadsData[[#This Row],[Stage Number]]&gt;=4,1,0)</f>
        <v>0</v>
      </c>
    </row>
    <row r="3521" spans="1:15" x14ac:dyDescent="0.25">
      <c r="A3521" t="s">
        <v>3561</v>
      </c>
      <c r="B3521" s="1">
        <v>45644</v>
      </c>
      <c r="C3521" t="s">
        <v>36</v>
      </c>
      <c r="D3521" t="s">
        <v>37</v>
      </c>
      <c r="E3521" t="s">
        <v>13</v>
      </c>
      <c r="F3521" t="s">
        <v>22</v>
      </c>
      <c r="G3521" t="s">
        <v>23</v>
      </c>
      <c r="K3521" cm="1">
        <f t="array" ref="K3521">_xlfn.SWITCH(LeadsData[[#This Row],[Funnel Stage Reached]],"Lead",1,"MQL",2,"SQL",3,"Customer",4)</f>
        <v>2</v>
      </c>
      <c r="L3521" t="str">
        <f>TEXT(LeadsData[[#This Row],[Signup Date]],"mmm-yyyy")</f>
        <v>Dec-2024</v>
      </c>
      <c r="M3521">
        <f>IF(LeadsData[[#This Row],[Stage Number]]&gt;=2,1,0)</f>
        <v>1</v>
      </c>
      <c r="N3521" s="2">
        <f>IF(LeadsData[[#This Row],[Stage Number]]&gt;=3,1,0)</f>
        <v>0</v>
      </c>
      <c r="O3521" s="2">
        <f>IF(LeadsData[[#This Row],[Stage Number]]&gt;=4,1,0)</f>
        <v>0</v>
      </c>
    </row>
    <row r="3522" spans="1:15" x14ac:dyDescent="0.25">
      <c r="A3522" t="s">
        <v>3562</v>
      </c>
      <c r="B3522" s="1">
        <v>45616</v>
      </c>
      <c r="C3522" t="s">
        <v>31</v>
      </c>
      <c r="D3522" t="s">
        <v>34</v>
      </c>
      <c r="E3522" t="s">
        <v>13</v>
      </c>
      <c r="F3522" t="s">
        <v>22</v>
      </c>
      <c r="G3522" t="s">
        <v>23</v>
      </c>
      <c r="K3522" cm="1">
        <f t="array" ref="K3522">_xlfn.SWITCH(LeadsData[[#This Row],[Funnel Stage Reached]],"Lead",1,"MQL",2,"SQL",3,"Customer",4)</f>
        <v>2</v>
      </c>
      <c r="L3522" t="str">
        <f>TEXT(LeadsData[[#This Row],[Signup Date]],"mmm-yyyy")</f>
        <v>Nov-2024</v>
      </c>
      <c r="M3522">
        <f>IF(LeadsData[[#This Row],[Stage Number]]&gt;=2,1,0)</f>
        <v>1</v>
      </c>
      <c r="N3522" s="2">
        <f>IF(LeadsData[[#This Row],[Stage Number]]&gt;=3,1,0)</f>
        <v>0</v>
      </c>
      <c r="O3522" s="2">
        <f>IF(LeadsData[[#This Row],[Stage Number]]&gt;=4,1,0)</f>
        <v>0</v>
      </c>
    </row>
    <row r="3523" spans="1:15" x14ac:dyDescent="0.25">
      <c r="A3523" t="s">
        <v>3563</v>
      </c>
      <c r="B3523" s="1">
        <v>45615</v>
      </c>
      <c r="C3523" t="s">
        <v>36</v>
      </c>
      <c r="D3523" t="s">
        <v>50</v>
      </c>
      <c r="E3523" t="s">
        <v>13</v>
      </c>
      <c r="F3523" t="s">
        <v>14</v>
      </c>
      <c r="G3523" t="s">
        <v>42</v>
      </c>
      <c r="H3523">
        <v>74</v>
      </c>
      <c r="I3523" t="s">
        <v>43</v>
      </c>
      <c r="J3523">
        <v>1429.09</v>
      </c>
      <c r="K3523" cm="1">
        <f t="array" ref="K3523">_xlfn.SWITCH(LeadsData[[#This Row],[Funnel Stage Reached]],"Lead",1,"MQL",2,"SQL",3,"Customer",4)</f>
        <v>4</v>
      </c>
      <c r="L3523" t="str">
        <f>TEXT(LeadsData[[#This Row],[Signup Date]],"mmm-yyyy")</f>
        <v>Nov-2024</v>
      </c>
      <c r="M3523">
        <f>IF(LeadsData[[#This Row],[Stage Number]]&gt;=2,1,0)</f>
        <v>1</v>
      </c>
      <c r="N3523" s="2">
        <f>IF(LeadsData[[#This Row],[Stage Number]]&gt;=3,1,0)</f>
        <v>1</v>
      </c>
      <c r="O3523" s="2">
        <f>IF(LeadsData[[#This Row],[Stage Number]]&gt;=4,1,0)</f>
        <v>1</v>
      </c>
    </row>
    <row r="3524" spans="1:15" x14ac:dyDescent="0.25">
      <c r="A3524" t="s">
        <v>3564</v>
      </c>
      <c r="B3524" s="1">
        <v>45392</v>
      </c>
      <c r="C3524" t="s">
        <v>17</v>
      </c>
      <c r="D3524" t="s">
        <v>53</v>
      </c>
      <c r="E3524" t="s">
        <v>13</v>
      </c>
      <c r="F3524" t="s">
        <v>19</v>
      </c>
      <c r="G3524" t="s">
        <v>15</v>
      </c>
      <c r="K3524" cm="1">
        <f t="array" ref="K3524">_xlfn.SWITCH(LeadsData[[#This Row],[Funnel Stage Reached]],"Lead",1,"MQL",2,"SQL",3,"Customer",4)</f>
        <v>1</v>
      </c>
      <c r="L3524" t="str">
        <f>TEXT(LeadsData[[#This Row],[Signup Date]],"mmm-yyyy")</f>
        <v>Apr-2024</v>
      </c>
      <c r="M3524">
        <f>IF(LeadsData[[#This Row],[Stage Number]]&gt;=2,1,0)</f>
        <v>0</v>
      </c>
      <c r="N3524" s="2">
        <f>IF(LeadsData[[#This Row],[Stage Number]]&gt;=3,1,0)</f>
        <v>0</v>
      </c>
      <c r="O3524" s="2">
        <f>IF(LeadsData[[#This Row],[Stage Number]]&gt;=4,1,0)</f>
        <v>0</v>
      </c>
    </row>
    <row r="3525" spans="1:15" x14ac:dyDescent="0.25">
      <c r="A3525" t="s">
        <v>3565</v>
      </c>
      <c r="B3525" s="1">
        <v>45569</v>
      </c>
      <c r="C3525" t="s">
        <v>31</v>
      </c>
      <c r="D3525" t="s">
        <v>34</v>
      </c>
      <c r="E3525" t="s">
        <v>21</v>
      </c>
      <c r="F3525" t="s">
        <v>19</v>
      </c>
      <c r="G3525" t="s">
        <v>42</v>
      </c>
      <c r="H3525">
        <v>7</v>
      </c>
      <c r="I3525" t="s">
        <v>87</v>
      </c>
      <c r="J3525">
        <v>4149.96</v>
      </c>
      <c r="K3525" cm="1">
        <f t="array" ref="K3525">_xlfn.SWITCH(LeadsData[[#This Row],[Funnel Stage Reached]],"Lead",1,"MQL",2,"SQL",3,"Customer",4)</f>
        <v>4</v>
      </c>
      <c r="L3525" t="str">
        <f>TEXT(LeadsData[[#This Row],[Signup Date]],"mmm-yyyy")</f>
        <v>Oct-2024</v>
      </c>
      <c r="M3525">
        <f>IF(LeadsData[[#This Row],[Stage Number]]&gt;=2,1,0)</f>
        <v>1</v>
      </c>
      <c r="N3525" s="2">
        <f>IF(LeadsData[[#This Row],[Stage Number]]&gt;=3,1,0)</f>
        <v>1</v>
      </c>
      <c r="O3525" s="2">
        <f>IF(LeadsData[[#This Row],[Stage Number]]&gt;=4,1,0)</f>
        <v>1</v>
      </c>
    </row>
    <row r="3526" spans="1:15" x14ac:dyDescent="0.25">
      <c r="A3526" t="s">
        <v>3566</v>
      </c>
      <c r="B3526" s="1">
        <v>45460</v>
      </c>
      <c r="C3526" t="s">
        <v>11</v>
      </c>
      <c r="D3526" t="s">
        <v>68</v>
      </c>
      <c r="E3526" t="s">
        <v>13</v>
      </c>
      <c r="F3526" t="s">
        <v>22</v>
      </c>
      <c r="G3526" t="s">
        <v>15</v>
      </c>
      <c r="K3526" cm="1">
        <f t="array" ref="K3526">_xlfn.SWITCH(LeadsData[[#This Row],[Funnel Stage Reached]],"Lead",1,"MQL",2,"SQL",3,"Customer",4)</f>
        <v>1</v>
      </c>
      <c r="L3526" t="str">
        <f>TEXT(LeadsData[[#This Row],[Signup Date]],"mmm-yyyy")</f>
        <v>Jun-2024</v>
      </c>
      <c r="M3526">
        <f>IF(LeadsData[[#This Row],[Stage Number]]&gt;=2,1,0)</f>
        <v>0</v>
      </c>
      <c r="N3526" s="2">
        <f>IF(LeadsData[[#This Row],[Stage Number]]&gt;=3,1,0)</f>
        <v>0</v>
      </c>
      <c r="O3526" s="2">
        <f>IF(LeadsData[[#This Row],[Stage Number]]&gt;=4,1,0)</f>
        <v>0</v>
      </c>
    </row>
    <row r="3527" spans="1:15" x14ac:dyDescent="0.25">
      <c r="A3527" t="s">
        <v>3567</v>
      </c>
      <c r="B3527" s="1">
        <v>45499</v>
      </c>
      <c r="C3527" t="s">
        <v>17</v>
      </c>
      <c r="D3527" t="s">
        <v>18</v>
      </c>
      <c r="E3527" t="s">
        <v>13</v>
      </c>
      <c r="F3527" t="s">
        <v>22</v>
      </c>
      <c r="G3527" t="s">
        <v>23</v>
      </c>
      <c r="K3527" cm="1">
        <f t="array" ref="K3527">_xlfn.SWITCH(LeadsData[[#This Row],[Funnel Stage Reached]],"Lead",1,"MQL",2,"SQL",3,"Customer",4)</f>
        <v>2</v>
      </c>
      <c r="L3527" t="str">
        <f>TEXT(LeadsData[[#This Row],[Signup Date]],"mmm-yyyy")</f>
        <v>Jul-2024</v>
      </c>
      <c r="M3527">
        <f>IF(LeadsData[[#This Row],[Stage Number]]&gt;=2,1,0)</f>
        <v>1</v>
      </c>
      <c r="N3527" s="2">
        <f>IF(LeadsData[[#This Row],[Stage Number]]&gt;=3,1,0)</f>
        <v>0</v>
      </c>
      <c r="O3527" s="2">
        <f>IF(LeadsData[[#This Row],[Stage Number]]&gt;=4,1,0)</f>
        <v>0</v>
      </c>
    </row>
    <row r="3528" spans="1:15" x14ac:dyDescent="0.25">
      <c r="A3528" t="s">
        <v>3568</v>
      </c>
      <c r="B3528" s="1">
        <v>45560</v>
      </c>
      <c r="C3528" t="s">
        <v>36</v>
      </c>
      <c r="D3528" t="s">
        <v>37</v>
      </c>
      <c r="E3528" t="s">
        <v>13</v>
      </c>
      <c r="F3528" t="s">
        <v>28</v>
      </c>
      <c r="G3528" t="s">
        <v>29</v>
      </c>
      <c r="K3528" cm="1">
        <f t="array" ref="K3528">_xlfn.SWITCH(LeadsData[[#This Row],[Funnel Stage Reached]],"Lead",1,"MQL",2,"SQL",3,"Customer",4)</f>
        <v>3</v>
      </c>
      <c r="L3528" t="str">
        <f>TEXT(LeadsData[[#This Row],[Signup Date]],"mmm-yyyy")</f>
        <v>Sep-2024</v>
      </c>
      <c r="M3528">
        <f>IF(LeadsData[[#This Row],[Stage Number]]&gt;=2,1,0)</f>
        <v>1</v>
      </c>
      <c r="N3528" s="2">
        <f>IF(LeadsData[[#This Row],[Stage Number]]&gt;=3,1,0)</f>
        <v>1</v>
      </c>
      <c r="O3528" s="2">
        <f>IF(LeadsData[[#This Row],[Stage Number]]&gt;=4,1,0)</f>
        <v>0</v>
      </c>
    </row>
    <row r="3529" spans="1:15" x14ac:dyDescent="0.25">
      <c r="A3529" t="s">
        <v>3569</v>
      </c>
      <c r="B3529" s="1">
        <v>45305</v>
      </c>
      <c r="C3529" t="s">
        <v>11</v>
      </c>
      <c r="D3529" t="s">
        <v>68</v>
      </c>
      <c r="E3529" t="s">
        <v>13</v>
      </c>
      <c r="F3529" t="s">
        <v>19</v>
      </c>
      <c r="G3529" t="s">
        <v>15</v>
      </c>
      <c r="K3529" cm="1">
        <f t="array" ref="K3529">_xlfn.SWITCH(LeadsData[[#This Row],[Funnel Stage Reached]],"Lead",1,"MQL",2,"SQL",3,"Customer",4)</f>
        <v>1</v>
      </c>
      <c r="L3529" t="str">
        <f>TEXT(LeadsData[[#This Row],[Signup Date]],"mmm-yyyy")</f>
        <v>Jan-2024</v>
      </c>
      <c r="M3529">
        <f>IF(LeadsData[[#This Row],[Stage Number]]&gt;=2,1,0)</f>
        <v>0</v>
      </c>
      <c r="N3529" s="2">
        <f>IF(LeadsData[[#This Row],[Stage Number]]&gt;=3,1,0)</f>
        <v>0</v>
      </c>
      <c r="O3529" s="2">
        <f>IF(LeadsData[[#This Row],[Stage Number]]&gt;=4,1,0)</f>
        <v>0</v>
      </c>
    </row>
    <row r="3530" spans="1:15" x14ac:dyDescent="0.25">
      <c r="A3530" t="s">
        <v>3570</v>
      </c>
      <c r="B3530" s="1">
        <v>45342</v>
      </c>
      <c r="C3530" t="s">
        <v>25</v>
      </c>
      <c r="D3530" t="s">
        <v>26</v>
      </c>
      <c r="E3530" t="s">
        <v>21</v>
      </c>
      <c r="F3530" t="s">
        <v>22</v>
      </c>
      <c r="G3530" t="s">
        <v>15</v>
      </c>
      <c r="K3530" cm="1">
        <f t="array" ref="K3530">_xlfn.SWITCH(LeadsData[[#This Row],[Funnel Stage Reached]],"Lead",1,"MQL",2,"SQL",3,"Customer",4)</f>
        <v>1</v>
      </c>
      <c r="L3530" t="str">
        <f>TEXT(LeadsData[[#This Row],[Signup Date]],"mmm-yyyy")</f>
        <v>Feb-2024</v>
      </c>
      <c r="M3530">
        <f>IF(LeadsData[[#This Row],[Stage Number]]&gt;=2,1,0)</f>
        <v>0</v>
      </c>
      <c r="N3530" s="2">
        <f>IF(LeadsData[[#This Row],[Stage Number]]&gt;=3,1,0)</f>
        <v>0</v>
      </c>
      <c r="O3530" s="2">
        <f>IF(LeadsData[[#This Row],[Stage Number]]&gt;=4,1,0)</f>
        <v>0</v>
      </c>
    </row>
    <row r="3531" spans="1:15" x14ac:dyDescent="0.25">
      <c r="A3531" t="s">
        <v>3571</v>
      </c>
      <c r="B3531" s="1">
        <v>45366</v>
      </c>
      <c r="C3531" t="s">
        <v>31</v>
      </c>
      <c r="D3531" t="s">
        <v>32</v>
      </c>
      <c r="E3531" t="s">
        <v>13</v>
      </c>
      <c r="F3531" t="s">
        <v>22</v>
      </c>
      <c r="G3531" t="s">
        <v>23</v>
      </c>
      <c r="K3531" cm="1">
        <f t="array" ref="K3531">_xlfn.SWITCH(LeadsData[[#This Row],[Funnel Stage Reached]],"Lead",1,"MQL",2,"SQL",3,"Customer",4)</f>
        <v>2</v>
      </c>
      <c r="L3531" t="str">
        <f>TEXT(LeadsData[[#This Row],[Signup Date]],"mmm-yyyy")</f>
        <v>Mar-2024</v>
      </c>
      <c r="M3531">
        <f>IF(LeadsData[[#This Row],[Stage Number]]&gt;=2,1,0)</f>
        <v>1</v>
      </c>
      <c r="N3531" s="2">
        <f>IF(LeadsData[[#This Row],[Stage Number]]&gt;=3,1,0)</f>
        <v>0</v>
      </c>
      <c r="O3531" s="2">
        <f>IF(LeadsData[[#This Row],[Stage Number]]&gt;=4,1,0)</f>
        <v>0</v>
      </c>
    </row>
    <row r="3532" spans="1:15" x14ac:dyDescent="0.25">
      <c r="A3532" t="s">
        <v>3572</v>
      </c>
      <c r="B3532" s="1">
        <v>45585</v>
      </c>
      <c r="C3532" t="s">
        <v>31</v>
      </c>
      <c r="D3532" t="s">
        <v>32</v>
      </c>
      <c r="E3532" t="s">
        <v>48</v>
      </c>
      <c r="F3532" t="s">
        <v>19</v>
      </c>
      <c r="G3532" t="s">
        <v>15</v>
      </c>
      <c r="K3532" cm="1">
        <f t="array" ref="K3532">_xlfn.SWITCH(LeadsData[[#This Row],[Funnel Stage Reached]],"Lead",1,"MQL",2,"SQL",3,"Customer",4)</f>
        <v>1</v>
      </c>
      <c r="L3532" t="str">
        <f>TEXT(LeadsData[[#This Row],[Signup Date]],"mmm-yyyy")</f>
        <v>Oct-2024</v>
      </c>
      <c r="M3532">
        <f>IF(LeadsData[[#This Row],[Stage Number]]&gt;=2,1,0)</f>
        <v>0</v>
      </c>
      <c r="N3532" s="2">
        <f>IF(LeadsData[[#This Row],[Stage Number]]&gt;=3,1,0)</f>
        <v>0</v>
      </c>
      <c r="O3532" s="2">
        <f>IF(LeadsData[[#This Row],[Stage Number]]&gt;=4,1,0)</f>
        <v>0</v>
      </c>
    </row>
    <row r="3533" spans="1:15" x14ac:dyDescent="0.25">
      <c r="A3533" t="s">
        <v>3573</v>
      </c>
      <c r="B3533" s="1">
        <v>45392</v>
      </c>
      <c r="C3533" t="s">
        <v>31</v>
      </c>
      <c r="D3533" t="s">
        <v>34</v>
      </c>
      <c r="E3533" t="s">
        <v>13</v>
      </c>
      <c r="F3533" t="s">
        <v>22</v>
      </c>
      <c r="G3533" t="s">
        <v>15</v>
      </c>
      <c r="K3533" cm="1">
        <f t="array" ref="K3533">_xlfn.SWITCH(LeadsData[[#This Row],[Funnel Stage Reached]],"Lead",1,"MQL",2,"SQL",3,"Customer",4)</f>
        <v>1</v>
      </c>
      <c r="L3533" t="str">
        <f>TEXT(LeadsData[[#This Row],[Signup Date]],"mmm-yyyy")</f>
        <v>Apr-2024</v>
      </c>
      <c r="M3533">
        <f>IF(LeadsData[[#This Row],[Stage Number]]&gt;=2,1,0)</f>
        <v>0</v>
      </c>
      <c r="N3533" s="2">
        <f>IF(LeadsData[[#This Row],[Stage Number]]&gt;=3,1,0)</f>
        <v>0</v>
      </c>
      <c r="O3533" s="2">
        <f>IF(LeadsData[[#This Row],[Stage Number]]&gt;=4,1,0)</f>
        <v>0</v>
      </c>
    </row>
    <row r="3534" spans="1:15" x14ac:dyDescent="0.25">
      <c r="A3534" t="s">
        <v>3574</v>
      </c>
      <c r="B3534" s="1">
        <v>45403</v>
      </c>
      <c r="C3534" t="s">
        <v>31</v>
      </c>
      <c r="D3534" t="s">
        <v>34</v>
      </c>
      <c r="E3534" t="s">
        <v>13</v>
      </c>
      <c r="F3534" t="s">
        <v>19</v>
      </c>
      <c r="G3534" t="s">
        <v>15</v>
      </c>
      <c r="K3534" cm="1">
        <f t="array" ref="K3534">_xlfn.SWITCH(LeadsData[[#This Row],[Funnel Stage Reached]],"Lead",1,"MQL",2,"SQL",3,"Customer",4)</f>
        <v>1</v>
      </c>
      <c r="L3534" t="str">
        <f>TEXT(LeadsData[[#This Row],[Signup Date]],"mmm-yyyy")</f>
        <v>Apr-2024</v>
      </c>
      <c r="M3534">
        <f>IF(LeadsData[[#This Row],[Stage Number]]&gt;=2,1,0)</f>
        <v>0</v>
      </c>
      <c r="N3534" s="2">
        <f>IF(LeadsData[[#This Row],[Stage Number]]&gt;=3,1,0)</f>
        <v>0</v>
      </c>
      <c r="O3534" s="2">
        <f>IF(LeadsData[[#This Row],[Stage Number]]&gt;=4,1,0)</f>
        <v>0</v>
      </c>
    </row>
    <row r="3535" spans="1:15" x14ac:dyDescent="0.25">
      <c r="A3535" t="s">
        <v>3575</v>
      </c>
      <c r="B3535" s="1">
        <v>45426</v>
      </c>
      <c r="C3535" t="s">
        <v>36</v>
      </c>
      <c r="D3535" t="s">
        <v>50</v>
      </c>
      <c r="E3535" t="s">
        <v>13</v>
      </c>
      <c r="F3535" t="s">
        <v>19</v>
      </c>
      <c r="G3535" t="s">
        <v>23</v>
      </c>
      <c r="K3535" cm="1">
        <f t="array" ref="K3535">_xlfn.SWITCH(LeadsData[[#This Row],[Funnel Stage Reached]],"Lead",1,"MQL",2,"SQL",3,"Customer",4)</f>
        <v>2</v>
      </c>
      <c r="L3535" t="str">
        <f>TEXT(LeadsData[[#This Row],[Signup Date]],"mmm-yyyy")</f>
        <v>May-2024</v>
      </c>
      <c r="M3535">
        <f>IF(LeadsData[[#This Row],[Stage Number]]&gt;=2,1,0)</f>
        <v>1</v>
      </c>
      <c r="N3535" s="2">
        <f>IF(LeadsData[[#This Row],[Stage Number]]&gt;=3,1,0)</f>
        <v>0</v>
      </c>
      <c r="O3535" s="2">
        <f>IF(LeadsData[[#This Row],[Stage Number]]&gt;=4,1,0)</f>
        <v>0</v>
      </c>
    </row>
    <row r="3536" spans="1:15" x14ac:dyDescent="0.25">
      <c r="A3536" t="s">
        <v>3576</v>
      </c>
      <c r="B3536" s="1">
        <v>45600</v>
      </c>
      <c r="C3536" t="s">
        <v>31</v>
      </c>
      <c r="D3536" t="s">
        <v>32</v>
      </c>
      <c r="E3536" t="s">
        <v>21</v>
      </c>
      <c r="F3536" t="s">
        <v>19</v>
      </c>
      <c r="G3536" t="s">
        <v>15</v>
      </c>
      <c r="K3536" cm="1">
        <f t="array" ref="K3536">_xlfn.SWITCH(LeadsData[[#This Row],[Funnel Stage Reached]],"Lead",1,"MQL",2,"SQL",3,"Customer",4)</f>
        <v>1</v>
      </c>
      <c r="L3536" t="str">
        <f>TEXT(LeadsData[[#This Row],[Signup Date]],"mmm-yyyy")</f>
        <v>Nov-2024</v>
      </c>
      <c r="M3536">
        <f>IF(LeadsData[[#This Row],[Stage Number]]&gt;=2,1,0)</f>
        <v>0</v>
      </c>
      <c r="N3536" s="2">
        <f>IF(LeadsData[[#This Row],[Stage Number]]&gt;=3,1,0)</f>
        <v>0</v>
      </c>
      <c r="O3536" s="2">
        <f>IF(LeadsData[[#This Row],[Stage Number]]&gt;=4,1,0)</f>
        <v>0</v>
      </c>
    </row>
    <row r="3537" spans="1:15" x14ac:dyDescent="0.25">
      <c r="A3537" t="s">
        <v>3577</v>
      </c>
      <c r="B3537" s="1">
        <v>45306</v>
      </c>
      <c r="C3537" t="s">
        <v>17</v>
      </c>
      <c r="D3537" t="s">
        <v>18</v>
      </c>
      <c r="E3537" t="s">
        <v>13</v>
      </c>
      <c r="F3537" t="s">
        <v>22</v>
      </c>
      <c r="G3537" t="s">
        <v>15</v>
      </c>
      <c r="K3537" cm="1">
        <f t="array" ref="K3537">_xlfn.SWITCH(LeadsData[[#This Row],[Funnel Stage Reached]],"Lead",1,"MQL",2,"SQL",3,"Customer",4)</f>
        <v>1</v>
      </c>
      <c r="L3537" t="str">
        <f>TEXT(LeadsData[[#This Row],[Signup Date]],"mmm-yyyy")</f>
        <v>Jan-2024</v>
      </c>
      <c r="M3537">
        <f>IF(LeadsData[[#This Row],[Stage Number]]&gt;=2,1,0)</f>
        <v>0</v>
      </c>
      <c r="N3537" s="2">
        <f>IF(LeadsData[[#This Row],[Stage Number]]&gt;=3,1,0)</f>
        <v>0</v>
      </c>
      <c r="O3537" s="2">
        <f>IF(LeadsData[[#This Row],[Stage Number]]&gt;=4,1,0)</f>
        <v>0</v>
      </c>
    </row>
    <row r="3538" spans="1:15" x14ac:dyDescent="0.25">
      <c r="A3538" t="s">
        <v>3578</v>
      </c>
      <c r="B3538" s="1">
        <v>45353</v>
      </c>
      <c r="C3538" t="s">
        <v>46</v>
      </c>
      <c r="D3538" t="s">
        <v>47</v>
      </c>
      <c r="E3538" t="s">
        <v>21</v>
      </c>
      <c r="F3538" t="s">
        <v>14</v>
      </c>
      <c r="G3538" t="s">
        <v>23</v>
      </c>
      <c r="K3538" cm="1">
        <f t="array" ref="K3538">_xlfn.SWITCH(LeadsData[[#This Row],[Funnel Stage Reached]],"Lead",1,"MQL",2,"SQL",3,"Customer",4)</f>
        <v>2</v>
      </c>
      <c r="L3538" t="str">
        <f>TEXT(LeadsData[[#This Row],[Signup Date]],"mmm-yyyy")</f>
        <v>Mar-2024</v>
      </c>
      <c r="M3538">
        <f>IF(LeadsData[[#This Row],[Stage Number]]&gt;=2,1,0)</f>
        <v>1</v>
      </c>
      <c r="N3538" s="2">
        <f>IF(LeadsData[[#This Row],[Stage Number]]&gt;=3,1,0)</f>
        <v>0</v>
      </c>
      <c r="O3538" s="2">
        <f>IF(LeadsData[[#This Row],[Stage Number]]&gt;=4,1,0)</f>
        <v>0</v>
      </c>
    </row>
    <row r="3539" spans="1:15" x14ac:dyDescent="0.25">
      <c r="A3539" t="s">
        <v>3579</v>
      </c>
      <c r="B3539" s="1">
        <v>45400</v>
      </c>
      <c r="C3539" t="s">
        <v>31</v>
      </c>
      <c r="D3539" t="s">
        <v>32</v>
      </c>
      <c r="E3539" t="s">
        <v>13</v>
      </c>
      <c r="F3539" t="s">
        <v>14</v>
      </c>
      <c r="G3539" t="s">
        <v>29</v>
      </c>
      <c r="K3539" cm="1">
        <f t="array" ref="K3539">_xlfn.SWITCH(LeadsData[[#This Row],[Funnel Stage Reached]],"Lead",1,"MQL",2,"SQL",3,"Customer",4)</f>
        <v>3</v>
      </c>
      <c r="L3539" t="str">
        <f>TEXT(LeadsData[[#This Row],[Signup Date]],"mmm-yyyy")</f>
        <v>Apr-2024</v>
      </c>
      <c r="M3539">
        <f>IF(LeadsData[[#This Row],[Stage Number]]&gt;=2,1,0)</f>
        <v>1</v>
      </c>
      <c r="N3539" s="2">
        <f>IF(LeadsData[[#This Row],[Stage Number]]&gt;=3,1,0)</f>
        <v>1</v>
      </c>
      <c r="O3539" s="2">
        <f>IF(LeadsData[[#This Row],[Stage Number]]&gt;=4,1,0)</f>
        <v>0</v>
      </c>
    </row>
    <row r="3540" spans="1:15" x14ac:dyDescent="0.25">
      <c r="A3540" t="s">
        <v>3580</v>
      </c>
      <c r="B3540" s="1">
        <v>45413</v>
      </c>
      <c r="C3540" t="s">
        <v>46</v>
      </c>
      <c r="D3540" t="s">
        <v>47</v>
      </c>
      <c r="E3540" t="s">
        <v>21</v>
      </c>
      <c r="F3540" t="s">
        <v>19</v>
      </c>
      <c r="G3540" t="s">
        <v>23</v>
      </c>
      <c r="K3540" cm="1">
        <f t="array" ref="K3540">_xlfn.SWITCH(LeadsData[[#This Row],[Funnel Stage Reached]],"Lead",1,"MQL",2,"SQL",3,"Customer",4)</f>
        <v>2</v>
      </c>
      <c r="L3540" t="str">
        <f>TEXT(LeadsData[[#This Row],[Signup Date]],"mmm-yyyy")</f>
        <v>May-2024</v>
      </c>
      <c r="M3540">
        <f>IF(LeadsData[[#This Row],[Stage Number]]&gt;=2,1,0)</f>
        <v>1</v>
      </c>
      <c r="N3540" s="2">
        <f>IF(LeadsData[[#This Row],[Stage Number]]&gt;=3,1,0)</f>
        <v>0</v>
      </c>
      <c r="O3540" s="2">
        <f>IF(LeadsData[[#This Row],[Stage Number]]&gt;=4,1,0)</f>
        <v>0</v>
      </c>
    </row>
    <row r="3541" spans="1:15" x14ac:dyDescent="0.25">
      <c r="A3541" t="s">
        <v>3581</v>
      </c>
      <c r="B3541" s="1">
        <v>45470</v>
      </c>
      <c r="C3541" t="s">
        <v>17</v>
      </c>
      <c r="D3541" t="s">
        <v>53</v>
      </c>
      <c r="E3541" t="s">
        <v>13</v>
      </c>
      <c r="F3541" t="s">
        <v>28</v>
      </c>
      <c r="G3541" t="s">
        <v>23</v>
      </c>
      <c r="K3541" cm="1">
        <f t="array" ref="K3541">_xlfn.SWITCH(LeadsData[[#This Row],[Funnel Stage Reached]],"Lead",1,"MQL",2,"SQL",3,"Customer",4)</f>
        <v>2</v>
      </c>
      <c r="L3541" t="str">
        <f>TEXT(LeadsData[[#This Row],[Signup Date]],"mmm-yyyy")</f>
        <v>Jun-2024</v>
      </c>
      <c r="M3541">
        <f>IF(LeadsData[[#This Row],[Stage Number]]&gt;=2,1,0)</f>
        <v>1</v>
      </c>
      <c r="N3541" s="2">
        <f>IF(LeadsData[[#This Row],[Stage Number]]&gt;=3,1,0)</f>
        <v>0</v>
      </c>
      <c r="O3541" s="2">
        <f>IF(LeadsData[[#This Row],[Stage Number]]&gt;=4,1,0)</f>
        <v>0</v>
      </c>
    </row>
    <row r="3542" spans="1:15" x14ac:dyDescent="0.25">
      <c r="A3542" t="s">
        <v>3582</v>
      </c>
      <c r="B3542" s="1">
        <v>45652</v>
      </c>
      <c r="C3542" t="s">
        <v>25</v>
      </c>
      <c r="D3542" t="s">
        <v>26</v>
      </c>
      <c r="E3542" t="s">
        <v>13</v>
      </c>
      <c r="F3542" t="s">
        <v>14</v>
      </c>
      <c r="G3542" t="s">
        <v>23</v>
      </c>
      <c r="K3542" cm="1">
        <f t="array" ref="K3542">_xlfn.SWITCH(LeadsData[[#This Row],[Funnel Stage Reached]],"Lead",1,"MQL",2,"SQL",3,"Customer",4)</f>
        <v>2</v>
      </c>
      <c r="L3542" t="str">
        <f>TEXT(LeadsData[[#This Row],[Signup Date]],"mmm-yyyy")</f>
        <v>Dec-2024</v>
      </c>
      <c r="M3542">
        <f>IF(LeadsData[[#This Row],[Stage Number]]&gt;=2,1,0)</f>
        <v>1</v>
      </c>
      <c r="N3542" s="2">
        <f>IF(LeadsData[[#This Row],[Stage Number]]&gt;=3,1,0)</f>
        <v>0</v>
      </c>
      <c r="O3542" s="2">
        <f>IF(LeadsData[[#This Row],[Stage Number]]&gt;=4,1,0)</f>
        <v>0</v>
      </c>
    </row>
    <row r="3543" spans="1:15" x14ac:dyDescent="0.25">
      <c r="A3543" t="s">
        <v>3583</v>
      </c>
      <c r="B3543" s="1">
        <v>45299</v>
      </c>
      <c r="C3543" t="s">
        <v>31</v>
      </c>
      <c r="D3543" t="s">
        <v>34</v>
      </c>
      <c r="E3543" t="s">
        <v>21</v>
      </c>
      <c r="F3543" t="s">
        <v>22</v>
      </c>
      <c r="G3543" t="s">
        <v>15</v>
      </c>
      <c r="K3543" cm="1">
        <f t="array" ref="K3543">_xlfn.SWITCH(LeadsData[[#This Row],[Funnel Stage Reached]],"Lead",1,"MQL",2,"SQL",3,"Customer",4)</f>
        <v>1</v>
      </c>
      <c r="L3543" t="str">
        <f>TEXT(LeadsData[[#This Row],[Signup Date]],"mmm-yyyy")</f>
        <v>Jan-2024</v>
      </c>
      <c r="M3543">
        <f>IF(LeadsData[[#This Row],[Stage Number]]&gt;=2,1,0)</f>
        <v>0</v>
      </c>
      <c r="N3543" s="2">
        <f>IF(LeadsData[[#This Row],[Stage Number]]&gt;=3,1,0)</f>
        <v>0</v>
      </c>
      <c r="O3543" s="2">
        <f>IF(LeadsData[[#This Row],[Stage Number]]&gt;=4,1,0)</f>
        <v>0</v>
      </c>
    </row>
    <row r="3544" spans="1:15" x14ac:dyDescent="0.25">
      <c r="A3544" t="s">
        <v>3584</v>
      </c>
      <c r="B3544" s="1">
        <v>45606</v>
      </c>
      <c r="C3544" t="s">
        <v>31</v>
      </c>
      <c r="D3544" t="s">
        <v>34</v>
      </c>
      <c r="E3544" t="s">
        <v>21</v>
      </c>
      <c r="F3544" t="s">
        <v>22</v>
      </c>
      <c r="G3544" t="s">
        <v>15</v>
      </c>
      <c r="K3544" cm="1">
        <f t="array" ref="K3544">_xlfn.SWITCH(LeadsData[[#This Row],[Funnel Stage Reached]],"Lead",1,"MQL",2,"SQL",3,"Customer",4)</f>
        <v>1</v>
      </c>
      <c r="L3544" t="str">
        <f>TEXT(LeadsData[[#This Row],[Signup Date]],"mmm-yyyy")</f>
        <v>Nov-2024</v>
      </c>
      <c r="M3544">
        <f>IF(LeadsData[[#This Row],[Stage Number]]&gt;=2,1,0)</f>
        <v>0</v>
      </c>
      <c r="N3544" s="2">
        <f>IF(LeadsData[[#This Row],[Stage Number]]&gt;=3,1,0)</f>
        <v>0</v>
      </c>
      <c r="O3544" s="2">
        <f>IF(LeadsData[[#This Row],[Stage Number]]&gt;=4,1,0)</f>
        <v>0</v>
      </c>
    </row>
    <row r="3545" spans="1:15" x14ac:dyDescent="0.25">
      <c r="A3545" t="s">
        <v>3585</v>
      </c>
      <c r="B3545" s="1">
        <v>45597</v>
      </c>
      <c r="C3545" t="s">
        <v>25</v>
      </c>
      <c r="D3545" t="s">
        <v>26</v>
      </c>
      <c r="E3545" t="s">
        <v>21</v>
      </c>
      <c r="F3545" t="s">
        <v>19</v>
      </c>
      <c r="G3545" t="s">
        <v>29</v>
      </c>
      <c r="K3545" cm="1">
        <f t="array" ref="K3545">_xlfn.SWITCH(LeadsData[[#This Row],[Funnel Stage Reached]],"Lead",1,"MQL",2,"SQL",3,"Customer",4)</f>
        <v>3</v>
      </c>
      <c r="L3545" t="str">
        <f>TEXT(LeadsData[[#This Row],[Signup Date]],"mmm-yyyy")</f>
        <v>Nov-2024</v>
      </c>
      <c r="M3545">
        <f>IF(LeadsData[[#This Row],[Stage Number]]&gt;=2,1,0)</f>
        <v>1</v>
      </c>
      <c r="N3545" s="2">
        <f>IF(LeadsData[[#This Row],[Stage Number]]&gt;=3,1,0)</f>
        <v>1</v>
      </c>
      <c r="O3545" s="2">
        <f>IF(LeadsData[[#This Row],[Stage Number]]&gt;=4,1,0)</f>
        <v>0</v>
      </c>
    </row>
    <row r="3546" spans="1:15" x14ac:dyDescent="0.25">
      <c r="A3546" t="s">
        <v>3586</v>
      </c>
      <c r="B3546" s="1">
        <v>45577</v>
      </c>
      <c r="C3546" t="s">
        <v>46</v>
      </c>
      <c r="D3546" t="s">
        <v>56</v>
      </c>
      <c r="E3546" t="s">
        <v>21</v>
      </c>
      <c r="F3546" t="s">
        <v>14</v>
      </c>
      <c r="G3546" t="s">
        <v>15</v>
      </c>
      <c r="K3546" cm="1">
        <f t="array" ref="K3546">_xlfn.SWITCH(LeadsData[[#This Row],[Funnel Stage Reached]],"Lead",1,"MQL",2,"SQL",3,"Customer",4)</f>
        <v>1</v>
      </c>
      <c r="L3546" t="str">
        <f>TEXT(LeadsData[[#This Row],[Signup Date]],"mmm-yyyy")</f>
        <v>Oct-2024</v>
      </c>
      <c r="M3546">
        <f>IF(LeadsData[[#This Row],[Stage Number]]&gt;=2,1,0)</f>
        <v>0</v>
      </c>
      <c r="N3546" s="2">
        <f>IF(LeadsData[[#This Row],[Stage Number]]&gt;=3,1,0)</f>
        <v>0</v>
      </c>
      <c r="O3546" s="2">
        <f>IF(LeadsData[[#This Row],[Stage Number]]&gt;=4,1,0)</f>
        <v>0</v>
      </c>
    </row>
    <row r="3547" spans="1:15" x14ac:dyDescent="0.25">
      <c r="A3547" t="s">
        <v>3587</v>
      </c>
      <c r="B3547" s="1">
        <v>45433</v>
      </c>
      <c r="C3547" t="s">
        <v>36</v>
      </c>
      <c r="D3547" t="s">
        <v>50</v>
      </c>
      <c r="E3547" t="s">
        <v>13</v>
      </c>
      <c r="F3547" t="s">
        <v>19</v>
      </c>
      <c r="G3547" t="s">
        <v>23</v>
      </c>
      <c r="K3547" cm="1">
        <f t="array" ref="K3547">_xlfn.SWITCH(LeadsData[[#This Row],[Funnel Stage Reached]],"Lead",1,"MQL",2,"SQL",3,"Customer",4)</f>
        <v>2</v>
      </c>
      <c r="L3547" t="str">
        <f>TEXT(LeadsData[[#This Row],[Signup Date]],"mmm-yyyy")</f>
        <v>May-2024</v>
      </c>
      <c r="M3547">
        <f>IF(LeadsData[[#This Row],[Stage Number]]&gt;=2,1,0)</f>
        <v>1</v>
      </c>
      <c r="N3547" s="2">
        <f>IF(LeadsData[[#This Row],[Stage Number]]&gt;=3,1,0)</f>
        <v>0</v>
      </c>
      <c r="O3547" s="2">
        <f>IF(LeadsData[[#This Row],[Stage Number]]&gt;=4,1,0)</f>
        <v>0</v>
      </c>
    </row>
    <row r="3548" spans="1:15" x14ac:dyDescent="0.25">
      <c r="A3548" t="s">
        <v>3588</v>
      </c>
      <c r="B3548" s="1">
        <v>45398</v>
      </c>
      <c r="C3548" t="s">
        <v>31</v>
      </c>
      <c r="D3548" t="s">
        <v>34</v>
      </c>
      <c r="E3548" t="s">
        <v>48</v>
      </c>
      <c r="F3548" t="s">
        <v>19</v>
      </c>
      <c r="G3548" t="s">
        <v>42</v>
      </c>
      <c r="H3548">
        <v>52</v>
      </c>
      <c r="I3548" t="s">
        <v>43</v>
      </c>
      <c r="J3548">
        <v>833.74</v>
      </c>
      <c r="K3548" cm="1">
        <f t="array" ref="K3548">_xlfn.SWITCH(LeadsData[[#This Row],[Funnel Stage Reached]],"Lead",1,"MQL",2,"SQL",3,"Customer",4)</f>
        <v>4</v>
      </c>
      <c r="L3548" t="str">
        <f>TEXT(LeadsData[[#This Row],[Signup Date]],"mmm-yyyy")</f>
        <v>Apr-2024</v>
      </c>
      <c r="M3548">
        <f>IF(LeadsData[[#This Row],[Stage Number]]&gt;=2,1,0)</f>
        <v>1</v>
      </c>
      <c r="N3548" s="2">
        <f>IF(LeadsData[[#This Row],[Stage Number]]&gt;=3,1,0)</f>
        <v>1</v>
      </c>
      <c r="O3548" s="2">
        <f>IF(LeadsData[[#This Row],[Stage Number]]&gt;=4,1,0)</f>
        <v>1</v>
      </c>
    </row>
    <row r="3549" spans="1:15" x14ac:dyDescent="0.25">
      <c r="A3549" t="s">
        <v>3589</v>
      </c>
      <c r="B3549" s="1">
        <v>45584</v>
      </c>
      <c r="C3549" t="s">
        <v>17</v>
      </c>
      <c r="D3549" t="s">
        <v>53</v>
      </c>
      <c r="E3549" t="s">
        <v>21</v>
      </c>
      <c r="F3549" t="s">
        <v>19</v>
      </c>
      <c r="G3549" t="s">
        <v>23</v>
      </c>
      <c r="K3549" cm="1">
        <f t="array" ref="K3549">_xlfn.SWITCH(LeadsData[[#This Row],[Funnel Stage Reached]],"Lead",1,"MQL",2,"SQL",3,"Customer",4)</f>
        <v>2</v>
      </c>
      <c r="L3549" t="str">
        <f>TEXT(LeadsData[[#This Row],[Signup Date]],"mmm-yyyy")</f>
        <v>Oct-2024</v>
      </c>
      <c r="M3549">
        <f>IF(LeadsData[[#This Row],[Stage Number]]&gt;=2,1,0)</f>
        <v>1</v>
      </c>
      <c r="N3549" s="2">
        <f>IF(LeadsData[[#This Row],[Stage Number]]&gt;=3,1,0)</f>
        <v>0</v>
      </c>
      <c r="O3549" s="2">
        <f>IF(LeadsData[[#This Row],[Stage Number]]&gt;=4,1,0)</f>
        <v>0</v>
      </c>
    </row>
    <row r="3550" spans="1:15" x14ac:dyDescent="0.25">
      <c r="A3550" t="s">
        <v>3590</v>
      </c>
      <c r="B3550" s="1">
        <v>45571</v>
      </c>
      <c r="C3550" t="s">
        <v>11</v>
      </c>
      <c r="D3550" t="s">
        <v>12</v>
      </c>
      <c r="E3550" t="s">
        <v>13</v>
      </c>
      <c r="F3550" t="s">
        <v>22</v>
      </c>
      <c r="G3550" t="s">
        <v>23</v>
      </c>
      <c r="K3550" cm="1">
        <f t="array" ref="K3550">_xlfn.SWITCH(LeadsData[[#This Row],[Funnel Stage Reached]],"Lead",1,"MQL",2,"SQL",3,"Customer",4)</f>
        <v>2</v>
      </c>
      <c r="L3550" t="str">
        <f>TEXT(LeadsData[[#This Row],[Signup Date]],"mmm-yyyy")</f>
        <v>Oct-2024</v>
      </c>
      <c r="M3550">
        <f>IF(LeadsData[[#This Row],[Stage Number]]&gt;=2,1,0)</f>
        <v>1</v>
      </c>
      <c r="N3550" s="2">
        <f>IF(LeadsData[[#This Row],[Stage Number]]&gt;=3,1,0)</f>
        <v>0</v>
      </c>
      <c r="O3550" s="2">
        <f>IF(LeadsData[[#This Row],[Stage Number]]&gt;=4,1,0)</f>
        <v>0</v>
      </c>
    </row>
    <row r="3551" spans="1:15" x14ac:dyDescent="0.25">
      <c r="A3551" t="s">
        <v>3591</v>
      </c>
      <c r="B3551" s="1">
        <v>45610</v>
      </c>
      <c r="C3551" t="s">
        <v>46</v>
      </c>
      <c r="D3551" t="s">
        <v>47</v>
      </c>
      <c r="E3551" t="s">
        <v>21</v>
      </c>
      <c r="F3551" t="s">
        <v>14</v>
      </c>
      <c r="G3551" t="s">
        <v>23</v>
      </c>
      <c r="K3551" cm="1">
        <f t="array" ref="K3551">_xlfn.SWITCH(LeadsData[[#This Row],[Funnel Stage Reached]],"Lead",1,"MQL",2,"SQL",3,"Customer",4)</f>
        <v>2</v>
      </c>
      <c r="L3551" t="str">
        <f>TEXT(LeadsData[[#This Row],[Signup Date]],"mmm-yyyy")</f>
        <v>Nov-2024</v>
      </c>
      <c r="M3551">
        <f>IF(LeadsData[[#This Row],[Stage Number]]&gt;=2,1,0)</f>
        <v>1</v>
      </c>
      <c r="N3551" s="2">
        <f>IF(LeadsData[[#This Row],[Stage Number]]&gt;=3,1,0)</f>
        <v>0</v>
      </c>
      <c r="O3551" s="2">
        <f>IF(LeadsData[[#This Row],[Stage Number]]&gt;=4,1,0)</f>
        <v>0</v>
      </c>
    </row>
    <row r="3552" spans="1:15" x14ac:dyDescent="0.25">
      <c r="A3552" t="s">
        <v>3592</v>
      </c>
      <c r="B3552" s="1">
        <v>45454</v>
      </c>
      <c r="C3552" t="s">
        <v>17</v>
      </c>
      <c r="D3552" t="s">
        <v>18</v>
      </c>
      <c r="E3552" t="s">
        <v>13</v>
      </c>
      <c r="F3552" t="s">
        <v>22</v>
      </c>
      <c r="G3552" t="s">
        <v>15</v>
      </c>
      <c r="K3552" cm="1">
        <f t="array" ref="K3552">_xlfn.SWITCH(LeadsData[[#This Row],[Funnel Stage Reached]],"Lead",1,"MQL",2,"SQL",3,"Customer",4)</f>
        <v>1</v>
      </c>
      <c r="L3552" t="str">
        <f>TEXT(LeadsData[[#This Row],[Signup Date]],"mmm-yyyy")</f>
        <v>Jun-2024</v>
      </c>
      <c r="M3552">
        <f>IF(LeadsData[[#This Row],[Stage Number]]&gt;=2,1,0)</f>
        <v>0</v>
      </c>
      <c r="N3552" s="2">
        <f>IF(LeadsData[[#This Row],[Stage Number]]&gt;=3,1,0)</f>
        <v>0</v>
      </c>
      <c r="O3552" s="2">
        <f>IF(LeadsData[[#This Row],[Stage Number]]&gt;=4,1,0)</f>
        <v>0</v>
      </c>
    </row>
    <row r="3553" spans="1:15" x14ac:dyDescent="0.25">
      <c r="A3553" t="s">
        <v>3593</v>
      </c>
      <c r="B3553" s="1">
        <v>45619</v>
      </c>
      <c r="C3553" t="s">
        <v>17</v>
      </c>
      <c r="D3553" t="s">
        <v>18</v>
      </c>
      <c r="E3553" t="s">
        <v>13</v>
      </c>
      <c r="F3553" t="s">
        <v>19</v>
      </c>
      <c r="G3553" t="s">
        <v>23</v>
      </c>
      <c r="K3553" cm="1">
        <f t="array" ref="K3553">_xlfn.SWITCH(LeadsData[[#This Row],[Funnel Stage Reached]],"Lead",1,"MQL",2,"SQL",3,"Customer",4)</f>
        <v>2</v>
      </c>
      <c r="L3553" t="str">
        <f>TEXT(LeadsData[[#This Row],[Signup Date]],"mmm-yyyy")</f>
        <v>Nov-2024</v>
      </c>
      <c r="M3553">
        <f>IF(LeadsData[[#This Row],[Stage Number]]&gt;=2,1,0)</f>
        <v>1</v>
      </c>
      <c r="N3553" s="2">
        <f>IF(LeadsData[[#This Row],[Stage Number]]&gt;=3,1,0)</f>
        <v>0</v>
      </c>
      <c r="O3553" s="2">
        <f>IF(LeadsData[[#This Row],[Stage Number]]&gt;=4,1,0)</f>
        <v>0</v>
      </c>
    </row>
    <row r="3554" spans="1:15" x14ac:dyDescent="0.25">
      <c r="A3554" t="s">
        <v>3594</v>
      </c>
      <c r="B3554" s="1">
        <v>45557</v>
      </c>
      <c r="C3554" t="s">
        <v>31</v>
      </c>
      <c r="D3554" t="s">
        <v>34</v>
      </c>
      <c r="E3554" t="s">
        <v>48</v>
      </c>
      <c r="F3554" t="s">
        <v>19</v>
      </c>
      <c r="G3554" t="s">
        <v>15</v>
      </c>
      <c r="K3554" cm="1">
        <f t="array" ref="K3554">_xlfn.SWITCH(LeadsData[[#This Row],[Funnel Stage Reached]],"Lead",1,"MQL",2,"SQL",3,"Customer",4)</f>
        <v>1</v>
      </c>
      <c r="L3554" t="str">
        <f>TEXT(LeadsData[[#This Row],[Signup Date]],"mmm-yyyy")</f>
        <v>Sep-2024</v>
      </c>
      <c r="M3554">
        <f>IF(LeadsData[[#This Row],[Stage Number]]&gt;=2,1,0)</f>
        <v>0</v>
      </c>
      <c r="N3554" s="2">
        <f>IF(LeadsData[[#This Row],[Stage Number]]&gt;=3,1,0)</f>
        <v>0</v>
      </c>
      <c r="O3554" s="2">
        <f>IF(LeadsData[[#This Row],[Stage Number]]&gt;=4,1,0)</f>
        <v>0</v>
      </c>
    </row>
    <row r="3555" spans="1:15" x14ac:dyDescent="0.25">
      <c r="A3555" t="s">
        <v>3595</v>
      </c>
      <c r="B3555" s="1">
        <v>45590</v>
      </c>
      <c r="C3555" t="s">
        <v>46</v>
      </c>
      <c r="D3555" t="s">
        <v>56</v>
      </c>
      <c r="E3555" t="s">
        <v>21</v>
      </c>
      <c r="F3555" t="s">
        <v>22</v>
      </c>
      <c r="G3555" t="s">
        <v>15</v>
      </c>
      <c r="K3555" cm="1">
        <f t="array" ref="K3555">_xlfn.SWITCH(LeadsData[[#This Row],[Funnel Stage Reached]],"Lead",1,"MQL",2,"SQL",3,"Customer",4)</f>
        <v>1</v>
      </c>
      <c r="L3555" t="str">
        <f>TEXT(LeadsData[[#This Row],[Signup Date]],"mmm-yyyy")</f>
        <v>Oct-2024</v>
      </c>
      <c r="M3555">
        <f>IF(LeadsData[[#This Row],[Stage Number]]&gt;=2,1,0)</f>
        <v>0</v>
      </c>
      <c r="N3555" s="2">
        <f>IF(LeadsData[[#This Row],[Stage Number]]&gt;=3,1,0)</f>
        <v>0</v>
      </c>
      <c r="O3555" s="2">
        <f>IF(LeadsData[[#This Row],[Stage Number]]&gt;=4,1,0)</f>
        <v>0</v>
      </c>
    </row>
    <row r="3556" spans="1:15" x14ac:dyDescent="0.25">
      <c r="A3556" t="s">
        <v>3596</v>
      </c>
      <c r="B3556" s="1">
        <v>45467</v>
      </c>
      <c r="C3556" t="s">
        <v>31</v>
      </c>
      <c r="D3556" t="s">
        <v>32</v>
      </c>
      <c r="E3556" t="s">
        <v>13</v>
      </c>
      <c r="F3556" t="s">
        <v>19</v>
      </c>
      <c r="G3556" t="s">
        <v>15</v>
      </c>
      <c r="K3556" cm="1">
        <f t="array" ref="K3556">_xlfn.SWITCH(LeadsData[[#This Row],[Funnel Stage Reached]],"Lead",1,"MQL",2,"SQL",3,"Customer",4)</f>
        <v>1</v>
      </c>
      <c r="L3556" t="str">
        <f>TEXT(LeadsData[[#This Row],[Signup Date]],"mmm-yyyy")</f>
        <v>Jun-2024</v>
      </c>
      <c r="M3556">
        <f>IF(LeadsData[[#This Row],[Stage Number]]&gt;=2,1,0)</f>
        <v>0</v>
      </c>
      <c r="N3556" s="2">
        <f>IF(LeadsData[[#This Row],[Stage Number]]&gt;=3,1,0)</f>
        <v>0</v>
      </c>
      <c r="O3556" s="2">
        <f>IF(LeadsData[[#This Row],[Stage Number]]&gt;=4,1,0)</f>
        <v>0</v>
      </c>
    </row>
    <row r="3557" spans="1:15" x14ac:dyDescent="0.25">
      <c r="A3557" t="s">
        <v>3597</v>
      </c>
      <c r="B3557" s="1">
        <v>45524</v>
      </c>
      <c r="C3557" t="s">
        <v>17</v>
      </c>
      <c r="D3557" t="s">
        <v>53</v>
      </c>
      <c r="E3557" t="s">
        <v>13</v>
      </c>
      <c r="F3557" t="s">
        <v>22</v>
      </c>
      <c r="G3557" t="s">
        <v>29</v>
      </c>
      <c r="K3557" cm="1">
        <f t="array" ref="K3557">_xlfn.SWITCH(LeadsData[[#This Row],[Funnel Stage Reached]],"Lead",1,"MQL",2,"SQL",3,"Customer",4)</f>
        <v>3</v>
      </c>
      <c r="L3557" t="str">
        <f>TEXT(LeadsData[[#This Row],[Signup Date]],"mmm-yyyy")</f>
        <v>Aug-2024</v>
      </c>
      <c r="M3557">
        <f>IF(LeadsData[[#This Row],[Stage Number]]&gt;=2,1,0)</f>
        <v>1</v>
      </c>
      <c r="N3557" s="2">
        <f>IF(LeadsData[[#This Row],[Stage Number]]&gt;=3,1,0)</f>
        <v>1</v>
      </c>
      <c r="O3557" s="2">
        <f>IF(LeadsData[[#This Row],[Stage Number]]&gt;=4,1,0)</f>
        <v>0</v>
      </c>
    </row>
    <row r="3558" spans="1:15" x14ac:dyDescent="0.25">
      <c r="A3558" t="s">
        <v>3598</v>
      </c>
      <c r="B3558" s="1">
        <v>45401</v>
      </c>
      <c r="C3558" t="s">
        <v>11</v>
      </c>
      <c r="D3558" t="s">
        <v>12</v>
      </c>
      <c r="E3558" t="s">
        <v>13</v>
      </c>
      <c r="F3558" t="s">
        <v>22</v>
      </c>
      <c r="G3558" t="s">
        <v>15</v>
      </c>
      <c r="K3558" cm="1">
        <f t="array" ref="K3558">_xlfn.SWITCH(LeadsData[[#This Row],[Funnel Stage Reached]],"Lead",1,"MQL",2,"SQL",3,"Customer",4)</f>
        <v>1</v>
      </c>
      <c r="L3558" t="str">
        <f>TEXT(LeadsData[[#This Row],[Signup Date]],"mmm-yyyy")</f>
        <v>Apr-2024</v>
      </c>
      <c r="M3558">
        <f>IF(LeadsData[[#This Row],[Stage Number]]&gt;=2,1,0)</f>
        <v>0</v>
      </c>
      <c r="N3558" s="2">
        <f>IF(LeadsData[[#This Row],[Stage Number]]&gt;=3,1,0)</f>
        <v>0</v>
      </c>
      <c r="O3558" s="2">
        <f>IF(LeadsData[[#This Row],[Stage Number]]&gt;=4,1,0)</f>
        <v>0</v>
      </c>
    </row>
    <row r="3559" spans="1:15" x14ac:dyDescent="0.25">
      <c r="A3559" t="s">
        <v>3599</v>
      </c>
      <c r="B3559" s="1">
        <v>45591</v>
      </c>
      <c r="C3559" t="s">
        <v>36</v>
      </c>
      <c r="D3559" t="s">
        <v>37</v>
      </c>
      <c r="E3559" t="s">
        <v>13</v>
      </c>
      <c r="F3559" t="s">
        <v>19</v>
      </c>
      <c r="G3559" t="s">
        <v>15</v>
      </c>
      <c r="K3559" cm="1">
        <f t="array" ref="K3559">_xlfn.SWITCH(LeadsData[[#This Row],[Funnel Stage Reached]],"Lead",1,"MQL",2,"SQL",3,"Customer",4)</f>
        <v>1</v>
      </c>
      <c r="L3559" t="str">
        <f>TEXT(LeadsData[[#This Row],[Signup Date]],"mmm-yyyy")</f>
        <v>Oct-2024</v>
      </c>
      <c r="M3559">
        <f>IF(LeadsData[[#This Row],[Stage Number]]&gt;=2,1,0)</f>
        <v>0</v>
      </c>
      <c r="N3559" s="2">
        <f>IF(LeadsData[[#This Row],[Stage Number]]&gt;=3,1,0)</f>
        <v>0</v>
      </c>
      <c r="O3559" s="2">
        <f>IF(LeadsData[[#This Row],[Stage Number]]&gt;=4,1,0)</f>
        <v>0</v>
      </c>
    </row>
    <row r="3560" spans="1:15" x14ac:dyDescent="0.25">
      <c r="A3560" t="s">
        <v>3600</v>
      </c>
      <c r="B3560" s="1">
        <v>45439</v>
      </c>
      <c r="C3560" t="s">
        <v>36</v>
      </c>
      <c r="D3560" t="s">
        <v>37</v>
      </c>
      <c r="E3560" t="s">
        <v>13</v>
      </c>
      <c r="F3560" t="s">
        <v>19</v>
      </c>
      <c r="G3560" t="s">
        <v>15</v>
      </c>
      <c r="K3560" cm="1">
        <f t="array" ref="K3560">_xlfn.SWITCH(LeadsData[[#This Row],[Funnel Stage Reached]],"Lead",1,"MQL",2,"SQL",3,"Customer",4)</f>
        <v>1</v>
      </c>
      <c r="L3560" t="str">
        <f>TEXT(LeadsData[[#This Row],[Signup Date]],"mmm-yyyy")</f>
        <v>May-2024</v>
      </c>
      <c r="M3560">
        <f>IF(LeadsData[[#This Row],[Stage Number]]&gt;=2,1,0)</f>
        <v>0</v>
      </c>
      <c r="N3560" s="2">
        <f>IF(LeadsData[[#This Row],[Stage Number]]&gt;=3,1,0)</f>
        <v>0</v>
      </c>
      <c r="O3560" s="2">
        <f>IF(LeadsData[[#This Row],[Stage Number]]&gt;=4,1,0)</f>
        <v>0</v>
      </c>
    </row>
    <row r="3561" spans="1:15" x14ac:dyDescent="0.25">
      <c r="A3561" t="s">
        <v>3601</v>
      </c>
      <c r="B3561" s="1">
        <v>45586</v>
      </c>
      <c r="C3561" t="s">
        <v>17</v>
      </c>
      <c r="D3561" t="s">
        <v>18</v>
      </c>
      <c r="E3561" t="s">
        <v>13</v>
      </c>
      <c r="F3561" t="s">
        <v>14</v>
      </c>
      <c r="G3561" t="s">
        <v>15</v>
      </c>
      <c r="K3561" cm="1">
        <f t="array" ref="K3561">_xlfn.SWITCH(LeadsData[[#This Row],[Funnel Stage Reached]],"Lead",1,"MQL",2,"SQL",3,"Customer",4)</f>
        <v>1</v>
      </c>
      <c r="L3561" t="str">
        <f>TEXT(LeadsData[[#This Row],[Signup Date]],"mmm-yyyy")</f>
        <v>Oct-2024</v>
      </c>
      <c r="M3561">
        <f>IF(LeadsData[[#This Row],[Stage Number]]&gt;=2,1,0)</f>
        <v>0</v>
      </c>
      <c r="N3561" s="2">
        <f>IF(LeadsData[[#This Row],[Stage Number]]&gt;=3,1,0)</f>
        <v>0</v>
      </c>
      <c r="O3561" s="2">
        <f>IF(LeadsData[[#This Row],[Stage Number]]&gt;=4,1,0)</f>
        <v>0</v>
      </c>
    </row>
    <row r="3562" spans="1:15" x14ac:dyDescent="0.25">
      <c r="A3562" t="s">
        <v>3602</v>
      </c>
      <c r="B3562" s="1">
        <v>45355</v>
      </c>
      <c r="C3562" t="s">
        <v>36</v>
      </c>
      <c r="D3562" t="s">
        <v>37</v>
      </c>
      <c r="E3562" t="s">
        <v>48</v>
      </c>
      <c r="F3562" t="s">
        <v>19</v>
      </c>
      <c r="G3562" t="s">
        <v>23</v>
      </c>
      <c r="K3562" cm="1">
        <f t="array" ref="K3562">_xlfn.SWITCH(LeadsData[[#This Row],[Funnel Stage Reached]],"Lead",1,"MQL",2,"SQL",3,"Customer",4)</f>
        <v>2</v>
      </c>
      <c r="L3562" t="str">
        <f>TEXT(LeadsData[[#This Row],[Signup Date]],"mmm-yyyy")</f>
        <v>Mar-2024</v>
      </c>
      <c r="M3562">
        <f>IF(LeadsData[[#This Row],[Stage Number]]&gt;=2,1,0)</f>
        <v>1</v>
      </c>
      <c r="N3562" s="2">
        <f>IF(LeadsData[[#This Row],[Stage Number]]&gt;=3,1,0)</f>
        <v>0</v>
      </c>
      <c r="O3562" s="2">
        <f>IF(LeadsData[[#This Row],[Stage Number]]&gt;=4,1,0)</f>
        <v>0</v>
      </c>
    </row>
    <row r="3563" spans="1:15" x14ac:dyDescent="0.25">
      <c r="A3563" t="s">
        <v>3603</v>
      </c>
      <c r="B3563" s="1">
        <v>45301</v>
      </c>
      <c r="C3563" t="s">
        <v>17</v>
      </c>
      <c r="D3563" t="s">
        <v>18</v>
      </c>
      <c r="E3563" t="s">
        <v>21</v>
      </c>
      <c r="F3563" t="s">
        <v>19</v>
      </c>
      <c r="G3563" t="s">
        <v>15</v>
      </c>
      <c r="K3563" cm="1">
        <f t="array" ref="K3563">_xlfn.SWITCH(LeadsData[[#This Row],[Funnel Stage Reached]],"Lead",1,"MQL",2,"SQL",3,"Customer",4)</f>
        <v>1</v>
      </c>
      <c r="L3563" t="str">
        <f>TEXT(LeadsData[[#This Row],[Signup Date]],"mmm-yyyy")</f>
        <v>Jan-2024</v>
      </c>
      <c r="M3563">
        <f>IF(LeadsData[[#This Row],[Stage Number]]&gt;=2,1,0)</f>
        <v>0</v>
      </c>
      <c r="N3563" s="2">
        <f>IF(LeadsData[[#This Row],[Stage Number]]&gt;=3,1,0)</f>
        <v>0</v>
      </c>
      <c r="O3563" s="2">
        <f>IF(LeadsData[[#This Row],[Stage Number]]&gt;=4,1,0)</f>
        <v>0</v>
      </c>
    </row>
    <row r="3564" spans="1:15" x14ac:dyDescent="0.25">
      <c r="A3564" t="s">
        <v>3604</v>
      </c>
      <c r="B3564" s="1">
        <v>45347</v>
      </c>
      <c r="C3564" t="s">
        <v>36</v>
      </c>
      <c r="D3564" t="s">
        <v>37</v>
      </c>
      <c r="E3564" t="s">
        <v>13</v>
      </c>
      <c r="F3564" t="s">
        <v>22</v>
      </c>
      <c r="G3564" t="s">
        <v>15</v>
      </c>
      <c r="K3564" cm="1">
        <f t="array" ref="K3564">_xlfn.SWITCH(LeadsData[[#This Row],[Funnel Stage Reached]],"Lead",1,"MQL",2,"SQL",3,"Customer",4)</f>
        <v>1</v>
      </c>
      <c r="L3564" t="str">
        <f>TEXT(LeadsData[[#This Row],[Signup Date]],"mmm-yyyy")</f>
        <v>Feb-2024</v>
      </c>
      <c r="M3564">
        <f>IF(LeadsData[[#This Row],[Stage Number]]&gt;=2,1,0)</f>
        <v>0</v>
      </c>
      <c r="N3564" s="2">
        <f>IF(LeadsData[[#This Row],[Stage Number]]&gt;=3,1,0)</f>
        <v>0</v>
      </c>
      <c r="O3564" s="2">
        <f>IF(LeadsData[[#This Row],[Stage Number]]&gt;=4,1,0)</f>
        <v>0</v>
      </c>
    </row>
    <row r="3565" spans="1:15" x14ac:dyDescent="0.25">
      <c r="A3565" t="s">
        <v>3605</v>
      </c>
      <c r="B3565" s="1">
        <v>45590</v>
      </c>
      <c r="C3565" t="s">
        <v>31</v>
      </c>
      <c r="D3565" t="s">
        <v>34</v>
      </c>
      <c r="E3565" t="s">
        <v>21</v>
      </c>
      <c r="F3565" t="s">
        <v>28</v>
      </c>
      <c r="G3565" t="s">
        <v>29</v>
      </c>
      <c r="K3565" cm="1">
        <f t="array" ref="K3565">_xlfn.SWITCH(LeadsData[[#This Row],[Funnel Stage Reached]],"Lead",1,"MQL",2,"SQL",3,"Customer",4)</f>
        <v>3</v>
      </c>
      <c r="L3565" t="str">
        <f>TEXT(LeadsData[[#This Row],[Signup Date]],"mmm-yyyy")</f>
        <v>Oct-2024</v>
      </c>
      <c r="M3565">
        <f>IF(LeadsData[[#This Row],[Stage Number]]&gt;=2,1,0)</f>
        <v>1</v>
      </c>
      <c r="N3565" s="2">
        <f>IF(LeadsData[[#This Row],[Stage Number]]&gt;=3,1,0)</f>
        <v>1</v>
      </c>
      <c r="O3565" s="2">
        <f>IF(LeadsData[[#This Row],[Stage Number]]&gt;=4,1,0)</f>
        <v>0</v>
      </c>
    </row>
    <row r="3566" spans="1:15" x14ac:dyDescent="0.25">
      <c r="A3566" t="s">
        <v>3606</v>
      </c>
      <c r="B3566" s="1">
        <v>45592</v>
      </c>
      <c r="C3566" t="s">
        <v>31</v>
      </c>
      <c r="D3566" t="s">
        <v>32</v>
      </c>
      <c r="E3566" t="s">
        <v>21</v>
      </c>
      <c r="F3566" t="s">
        <v>22</v>
      </c>
      <c r="G3566" t="s">
        <v>42</v>
      </c>
      <c r="H3566">
        <v>17</v>
      </c>
      <c r="I3566" t="s">
        <v>183</v>
      </c>
      <c r="J3566">
        <v>19384.38</v>
      </c>
      <c r="K3566" cm="1">
        <f t="array" ref="K3566">_xlfn.SWITCH(LeadsData[[#This Row],[Funnel Stage Reached]],"Lead",1,"MQL",2,"SQL",3,"Customer",4)</f>
        <v>4</v>
      </c>
      <c r="L3566" t="str">
        <f>TEXT(LeadsData[[#This Row],[Signup Date]],"mmm-yyyy")</f>
        <v>Oct-2024</v>
      </c>
      <c r="M3566">
        <f>IF(LeadsData[[#This Row],[Stage Number]]&gt;=2,1,0)</f>
        <v>1</v>
      </c>
      <c r="N3566" s="2">
        <f>IF(LeadsData[[#This Row],[Stage Number]]&gt;=3,1,0)</f>
        <v>1</v>
      </c>
      <c r="O3566" s="2">
        <f>IF(LeadsData[[#This Row],[Stage Number]]&gt;=4,1,0)</f>
        <v>1</v>
      </c>
    </row>
    <row r="3567" spans="1:15" x14ac:dyDescent="0.25">
      <c r="A3567" t="s">
        <v>3607</v>
      </c>
      <c r="B3567" s="1">
        <v>45508</v>
      </c>
      <c r="C3567" t="s">
        <v>46</v>
      </c>
      <c r="D3567" t="s">
        <v>56</v>
      </c>
      <c r="E3567" t="s">
        <v>13</v>
      </c>
      <c r="F3567" t="s">
        <v>19</v>
      </c>
      <c r="G3567" t="s">
        <v>15</v>
      </c>
      <c r="K3567" cm="1">
        <f t="array" ref="K3567">_xlfn.SWITCH(LeadsData[[#This Row],[Funnel Stage Reached]],"Lead",1,"MQL",2,"SQL",3,"Customer",4)</f>
        <v>1</v>
      </c>
      <c r="L3567" t="str">
        <f>TEXT(LeadsData[[#This Row],[Signup Date]],"mmm-yyyy")</f>
        <v>Aug-2024</v>
      </c>
      <c r="M3567">
        <f>IF(LeadsData[[#This Row],[Stage Number]]&gt;=2,1,0)</f>
        <v>0</v>
      </c>
      <c r="N3567" s="2">
        <f>IF(LeadsData[[#This Row],[Stage Number]]&gt;=3,1,0)</f>
        <v>0</v>
      </c>
      <c r="O3567" s="2">
        <f>IF(LeadsData[[#This Row],[Stage Number]]&gt;=4,1,0)</f>
        <v>0</v>
      </c>
    </row>
    <row r="3568" spans="1:15" x14ac:dyDescent="0.25">
      <c r="A3568" t="s">
        <v>3608</v>
      </c>
      <c r="B3568" s="1">
        <v>45495</v>
      </c>
      <c r="C3568" t="s">
        <v>31</v>
      </c>
      <c r="D3568" t="s">
        <v>32</v>
      </c>
      <c r="E3568" t="s">
        <v>13</v>
      </c>
      <c r="F3568" t="s">
        <v>14</v>
      </c>
      <c r="G3568" t="s">
        <v>23</v>
      </c>
      <c r="K3568" cm="1">
        <f t="array" ref="K3568">_xlfn.SWITCH(LeadsData[[#This Row],[Funnel Stage Reached]],"Lead",1,"MQL",2,"SQL",3,"Customer",4)</f>
        <v>2</v>
      </c>
      <c r="L3568" t="str">
        <f>TEXT(LeadsData[[#This Row],[Signup Date]],"mmm-yyyy")</f>
        <v>Jul-2024</v>
      </c>
      <c r="M3568">
        <f>IF(LeadsData[[#This Row],[Stage Number]]&gt;=2,1,0)</f>
        <v>1</v>
      </c>
      <c r="N3568" s="2">
        <f>IF(LeadsData[[#This Row],[Stage Number]]&gt;=3,1,0)</f>
        <v>0</v>
      </c>
      <c r="O3568" s="2">
        <f>IF(LeadsData[[#This Row],[Stage Number]]&gt;=4,1,0)</f>
        <v>0</v>
      </c>
    </row>
    <row r="3569" spans="1:15" x14ac:dyDescent="0.25">
      <c r="A3569" t="s">
        <v>3609</v>
      </c>
      <c r="B3569" s="1">
        <v>45524</v>
      </c>
      <c r="C3569" t="s">
        <v>11</v>
      </c>
      <c r="D3569" t="s">
        <v>79</v>
      </c>
      <c r="E3569" t="s">
        <v>21</v>
      </c>
      <c r="F3569" t="s">
        <v>22</v>
      </c>
      <c r="G3569" t="s">
        <v>15</v>
      </c>
      <c r="K3569" cm="1">
        <f t="array" ref="K3569">_xlfn.SWITCH(LeadsData[[#This Row],[Funnel Stage Reached]],"Lead",1,"MQL",2,"SQL",3,"Customer",4)</f>
        <v>1</v>
      </c>
      <c r="L3569" t="str">
        <f>TEXT(LeadsData[[#This Row],[Signup Date]],"mmm-yyyy")</f>
        <v>Aug-2024</v>
      </c>
      <c r="M3569">
        <f>IF(LeadsData[[#This Row],[Stage Number]]&gt;=2,1,0)</f>
        <v>0</v>
      </c>
      <c r="N3569" s="2">
        <f>IF(LeadsData[[#This Row],[Stage Number]]&gt;=3,1,0)</f>
        <v>0</v>
      </c>
      <c r="O3569" s="2">
        <f>IF(LeadsData[[#This Row],[Stage Number]]&gt;=4,1,0)</f>
        <v>0</v>
      </c>
    </row>
    <row r="3570" spans="1:15" x14ac:dyDescent="0.25">
      <c r="A3570" t="s">
        <v>3610</v>
      </c>
      <c r="B3570" s="1">
        <v>45620</v>
      </c>
      <c r="C3570" t="s">
        <v>36</v>
      </c>
      <c r="D3570" t="s">
        <v>37</v>
      </c>
      <c r="E3570" t="s">
        <v>48</v>
      </c>
      <c r="F3570" t="s">
        <v>19</v>
      </c>
      <c r="G3570" t="s">
        <v>29</v>
      </c>
      <c r="K3570" cm="1">
        <f t="array" ref="K3570">_xlfn.SWITCH(LeadsData[[#This Row],[Funnel Stage Reached]],"Lead",1,"MQL",2,"SQL",3,"Customer",4)</f>
        <v>3</v>
      </c>
      <c r="L3570" t="str">
        <f>TEXT(LeadsData[[#This Row],[Signup Date]],"mmm-yyyy")</f>
        <v>Nov-2024</v>
      </c>
      <c r="M3570">
        <f>IF(LeadsData[[#This Row],[Stage Number]]&gt;=2,1,0)</f>
        <v>1</v>
      </c>
      <c r="N3570" s="2">
        <f>IF(LeadsData[[#This Row],[Stage Number]]&gt;=3,1,0)</f>
        <v>1</v>
      </c>
      <c r="O3570" s="2">
        <f>IF(LeadsData[[#This Row],[Stage Number]]&gt;=4,1,0)</f>
        <v>0</v>
      </c>
    </row>
    <row r="3571" spans="1:15" x14ac:dyDescent="0.25">
      <c r="A3571" t="s">
        <v>3611</v>
      </c>
      <c r="B3571" s="1">
        <v>45537</v>
      </c>
      <c r="C3571" t="s">
        <v>11</v>
      </c>
      <c r="D3571" t="s">
        <v>12</v>
      </c>
      <c r="E3571" t="s">
        <v>21</v>
      </c>
      <c r="F3571" t="s">
        <v>14</v>
      </c>
      <c r="G3571" t="s">
        <v>15</v>
      </c>
      <c r="K3571" cm="1">
        <f t="array" ref="K3571">_xlfn.SWITCH(LeadsData[[#This Row],[Funnel Stage Reached]],"Lead",1,"MQL",2,"SQL",3,"Customer",4)</f>
        <v>1</v>
      </c>
      <c r="L3571" t="str">
        <f>TEXT(LeadsData[[#This Row],[Signup Date]],"mmm-yyyy")</f>
        <v>Sep-2024</v>
      </c>
      <c r="M3571">
        <f>IF(LeadsData[[#This Row],[Stage Number]]&gt;=2,1,0)</f>
        <v>0</v>
      </c>
      <c r="N3571" s="2">
        <f>IF(LeadsData[[#This Row],[Stage Number]]&gt;=3,1,0)</f>
        <v>0</v>
      </c>
      <c r="O3571" s="2">
        <f>IF(LeadsData[[#This Row],[Stage Number]]&gt;=4,1,0)</f>
        <v>0</v>
      </c>
    </row>
    <row r="3572" spans="1:15" x14ac:dyDescent="0.25">
      <c r="A3572" t="s">
        <v>3612</v>
      </c>
      <c r="B3572" s="1">
        <v>45525</v>
      </c>
      <c r="C3572" t="s">
        <v>11</v>
      </c>
      <c r="D3572" t="s">
        <v>12</v>
      </c>
      <c r="E3572" t="s">
        <v>13</v>
      </c>
      <c r="F3572" t="s">
        <v>28</v>
      </c>
      <c r="G3572" t="s">
        <v>23</v>
      </c>
      <c r="K3572" cm="1">
        <f t="array" ref="K3572">_xlfn.SWITCH(LeadsData[[#This Row],[Funnel Stage Reached]],"Lead",1,"MQL",2,"SQL",3,"Customer",4)</f>
        <v>2</v>
      </c>
      <c r="L3572" t="str">
        <f>TEXT(LeadsData[[#This Row],[Signup Date]],"mmm-yyyy")</f>
        <v>Aug-2024</v>
      </c>
      <c r="M3572">
        <f>IF(LeadsData[[#This Row],[Stage Number]]&gt;=2,1,0)</f>
        <v>1</v>
      </c>
      <c r="N3572" s="2">
        <f>IF(LeadsData[[#This Row],[Stage Number]]&gt;=3,1,0)</f>
        <v>0</v>
      </c>
      <c r="O3572" s="2">
        <f>IF(LeadsData[[#This Row],[Stage Number]]&gt;=4,1,0)</f>
        <v>0</v>
      </c>
    </row>
    <row r="3573" spans="1:15" x14ac:dyDescent="0.25">
      <c r="A3573" t="s">
        <v>3613</v>
      </c>
      <c r="B3573" s="1">
        <v>45397</v>
      </c>
      <c r="C3573" t="s">
        <v>25</v>
      </c>
      <c r="D3573" t="s">
        <v>26</v>
      </c>
      <c r="E3573" t="s">
        <v>13</v>
      </c>
      <c r="F3573" t="s">
        <v>19</v>
      </c>
      <c r="G3573" t="s">
        <v>23</v>
      </c>
      <c r="K3573" cm="1">
        <f t="array" ref="K3573">_xlfn.SWITCH(LeadsData[[#This Row],[Funnel Stage Reached]],"Lead",1,"MQL",2,"SQL",3,"Customer",4)</f>
        <v>2</v>
      </c>
      <c r="L3573" t="str">
        <f>TEXT(LeadsData[[#This Row],[Signup Date]],"mmm-yyyy")</f>
        <v>Apr-2024</v>
      </c>
      <c r="M3573">
        <f>IF(LeadsData[[#This Row],[Stage Number]]&gt;=2,1,0)</f>
        <v>1</v>
      </c>
      <c r="N3573" s="2">
        <f>IF(LeadsData[[#This Row],[Stage Number]]&gt;=3,1,0)</f>
        <v>0</v>
      </c>
      <c r="O3573" s="2">
        <f>IF(LeadsData[[#This Row],[Stage Number]]&gt;=4,1,0)</f>
        <v>0</v>
      </c>
    </row>
    <row r="3574" spans="1:15" x14ac:dyDescent="0.25">
      <c r="A3574" t="s">
        <v>3614</v>
      </c>
      <c r="B3574" s="1">
        <v>45498</v>
      </c>
      <c r="C3574" t="s">
        <v>31</v>
      </c>
      <c r="D3574" t="s">
        <v>32</v>
      </c>
      <c r="E3574" t="s">
        <v>13</v>
      </c>
      <c r="F3574" t="s">
        <v>19</v>
      </c>
      <c r="G3574" t="s">
        <v>15</v>
      </c>
      <c r="K3574" cm="1">
        <f t="array" ref="K3574">_xlfn.SWITCH(LeadsData[[#This Row],[Funnel Stage Reached]],"Lead",1,"MQL",2,"SQL",3,"Customer",4)</f>
        <v>1</v>
      </c>
      <c r="L3574" t="str">
        <f>TEXT(LeadsData[[#This Row],[Signup Date]],"mmm-yyyy")</f>
        <v>Jul-2024</v>
      </c>
      <c r="M3574">
        <f>IF(LeadsData[[#This Row],[Stage Number]]&gt;=2,1,0)</f>
        <v>0</v>
      </c>
      <c r="N3574" s="2">
        <f>IF(LeadsData[[#This Row],[Stage Number]]&gt;=3,1,0)</f>
        <v>0</v>
      </c>
      <c r="O3574" s="2">
        <f>IF(LeadsData[[#This Row],[Stage Number]]&gt;=4,1,0)</f>
        <v>0</v>
      </c>
    </row>
    <row r="3575" spans="1:15" x14ac:dyDescent="0.25">
      <c r="A3575" t="s">
        <v>3615</v>
      </c>
      <c r="B3575" s="1">
        <v>45428</v>
      </c>
      <c r="C3575" t="s">
        <v>36</v>
      </c>
      <c r="D3575" t="s">
        <v>37</v>
      </c>
      <c r="E3575" t="s">
        <v>21</v>
      </c>
      <c r="F3575" t="s">
        <v>22</v>
      </c>
      <c r="G3575" t="s">
        <v>29</v>
      </c>
      <c r="K3575" cm="1">
        <f t="array" ref="K3575">_xlfn.SWITCH(LeadsData[[#This Row],[Funnel Stage Reached]],"Lead",1,"MQL",2,"SQL",3,"Customer",4)</f>
        <v>3</v>
      </c>
      <c r="L3575" t="str">
        <f>TEXT(LeadsData[[#This Row],[Signup Date]],"mmm-yyyy")</f>
        <v>May-2024</v>
      </c>
      <c r="M3575">
        <f>IF(LeadsData[[#This Row],[Stage Number]]&gt;=2,1,0)</f>
        <v>1</v>
      </c>
      <c r="N3575" s="2">
        <f>IF(LeadsData[[#This Row],[Stage Number]]&gt;=3,1,0)</f>
        <v>1</v>
      </c>
      <c r="O3575" s="2">
        <f>IF(LeadsData[[#This Row],[Stage Number]]&gt;=4,1,0)</f>
        <v>0</v>
      </c>
    </row>
    <row r="3576" spans="1:15" x14ac:dyDescent="0.25">
      <c r="A3576" t="s">
        <v>3616</v>
      </c>
      <c r="B3576" s="1">
        <v>45587</v>
      </c>
      <c r="C3576" t="s">
        <v>46</v>
      </c>
      <c r="D3576" t="s">
        <v>56</v>
      </c>
      <c r="E3576" t="s">
        <v>13</v>
      </c>
      <c r="F3576" t="s">
        <v>22</v>
      </c>
      <c r="G3576" t="s">
        <v>15</v>
      </c>
      <c r="K3576" cm="1">
        <f t="array" ref="K3576">_xlfn.SWITCH(LeadsData[[#This Row],[Funnel Stage Reached]],"Lead",1,"MQL",2,"SQL",3,"Customer",4)</f>
        <v>1</v>
      </c>
      <c r="L3576" t="str">
        <f>TEXT(LeadsData[[#This Row],[Signup Date]],"mmm-yyyy")</f>
        <v>Oct-2024</v>
      </c>
      <c r="M3576">
        <f>IF(LeadsData[[#This Row],[Stage Number]]&gt;=2,1,0)</f>
        <v>0</v>
      </c>
      <c r="N3576" s="2">
        <f>IF(LeadsData[[#This Row],[Stage Number]]&gt;=3,1,0)</f>
        <v>0</v>
      </c>
      <c r="O3576" s="2">
        <f>IF(LeadsData[[#This Row],[Stage Number]]&gt;=4,1,0)</f>
        <v>0</v>
      </c>
    </row>
    <row r="3577" spans="1:15" x14ac:dyDescent="0.25">
      <c r="A3577" t="s">
        <v>3617</v>
      </c>
      <c r="B3577" s="1">
        <v>45635</v>
      </c>
      <c r="C3577" t="s">
        <v>31</v>
      </c>
      <c r="D3577" t="s">
        <v>32</v>
      </c>
      <c r="E3577" t="s">
        <v>21</v>
      </c>
      <c r="F3577" t="s">
        <v>22</v>
      </c>
      <c r="G3577" t="s">
        <v>23</v>
      </c>
      <c r="K3577" cm="1">
        <f t="array" ref="K3577">_xlfn.SWITCH(LeadsData[[#This Row],[Funnel Stage Reached]],"Lead",1,"MQL",2,"SQL",3,"Customer",4)</f>
        <v>2</v>
      </c>
      <c r="L3577" t="str">
        <f>TEXT(LeadsData[[#This Row],[Signup Date]],"mmm-yyyy")</f>
        <v>Dec-2024</v>
      </c>
      <c r="M3577">
        <f>IF(LeadsData[[#This Row],[Stage Number]]&gt;=2,1,0)</f>
        <v>1</v>
      </c>
      <c r="N3577" s="2">
        <f>IF(LeadsData[[#This Row],[Stage Number]]&gt;=3,1,0)</f>
        <v>0</v>
      </c>
      <c r="O3577" s="2">
        <f>IF(LeadsData[[#This Row],[Stage Number]]&gt;=4,1,0)</f>
        <v>0</v>
      </c>
    </row>
    <row r="3578" spans="1:15" x14ac:dyDescent="0.25">
      <c r="A3578" t="s">
        <v>3618</v>
      </c>
      <c r="B3578" s="1">
        <v>45433</v>
      </c>
      <c r="C3578" t="s">
        <v>46</v>
      </c>
      <c r="D3578" t="s">
        <v>56</v>
      </c>
      <c r="E3578" t="s">
        <v>13</v>
      </c>
      <c r="F3578" t="s">
        <v>19</v>
      </c>
      <c r="G3578" t="s">
        <v>15</v>
      </c>
      <c r="K3578" cm="1">
        <f t="array" ref="K3578">_xlfn.SWITCH(LeadsData[[#This Row],[Funnel Stage Reached]],"Lead",1,"MQL",2,"SQL",3,"Customer",4)</f>
        <v>1</v>
      </c>
      <c r="L3578" t="str">
        <f>TEXT(LeadsData[[#This Row],[Signup Date]],"mmm-yyyy")</f>
        <v>May-2024</v>
      </c>
      <c r="M3578">
        <f>IF(LeadsData[[#This Row],[Stage Number]]&gt;=2,1,0)</f>
        <v>0</v>
      </c>
      <c r="N3578" s="2">
        <f>IF(LeadsData[[#This Row],[Stage Number]]&gt;=3,1,0)</f>
        <v>0</v>
      </c>
      <c r="O3578" s="2">
        <f>IF(LeadsData[[#This Row],[Stage Number]]&gt;=4,1,0)</f>
        <v>0</v>
      </c>
    </row>
    <row r="3579" spans="1:15" x14ac:dyDescent="0.25">
      <c r="A3579" t="s">
        <v>3619</v>
      </c>
      <c r="B3579" s="1">
        <v>45583</v>
      </c>
      <c r="C3579" t="s">
        <v>25</v>
      </c>
      <c r="D3579" t="s">
        <v>26</v>
      </c>
      <c r="E3579" t="s">
        <v>21</v>
      </c>
      <c r="F3579" t="s">
        <v>22</v>
      </c>
      <c r="G3579" t="s">
        <v>15</v>
      </c>
      <c r="K3579" cm="1">
        <f t="array" ref="K3579">_xlfn.SWITCH(LeadsData[[#This Row],[Funnel Stage Reached]],"Lead",1,"MQL",2,"SQL",3,"Customer",4)</f>
        <v>1</v>
      </c>
      <c r="L3579" t="str">
        <f>TEXT(LeadsData[[#This Row],[Signup Date]],"mmm-yyyy")</f>
        <v>Oct-2024</v>
      </c>
      <c r="M3579">
        <f>IF(LeadsData[[#This Row],[Stage Number]]&gt;=2,1,0)</f>
        <v>0</v>
      </c>
      <c r="N3579" s="2">
        <f>IF(LeadsData[[#This Row],[Stage Number]]&gt;=3,1,0)</f>
        <v>0</v>
      </c>
      <c r="O3579" s="2">
        <f>IF(LeadsData[[#This Row],[Stage Number]]&gt;=4,1,0)</f>
        <v>0</v>
      </c>
    </row>
    <row r="3580" spans="1:15" x14ac:dyDescent="0.25">
      <c r="A3580" t="s">
        <v>3620</v>
      </c>
      <c r="B3580" s="1">
        <v>45618</v>
      </c>
      <c r="C3580" t="s">
        <v>25</v>
      </c>
      <c r="D3580" t="s">
        <v>26</v>
      </c>
      <c r="E3580" t="s">
        <v>13</v>
      </c>
      <c r="F3580" t="s">
        <v>19</v>
      </c>
      <c r="G3580" t="s">
        <v>15</v>
      </c>
      <c r="K3580" cm="1">
        <f t="array" ref="K3580">_xlfn.SWITCH(LeadsData[[#This Row],[Funnel Stage Reached]],"Lead",1,"MQL",2,"SQL",3,"Customer",4)</f>
        <v>1</v>
      </c>
      <c r="L3580" t="str">
        <f>TEXT(LeadsData[[#This Row],[Signup Date]],"mmm-yyyy")</f>
        <v>Nov-2024</v>
      </c>
      <c r="M3580">
        <f>IF(LeadsData[[#This Row],[Stage Number]]&gt;=2,1,0)</f>
        <v>0</v>
      </c>
      <c r="N3580" s="2">
        <f>IF(LeadsData[[#This Row],[Stage Number]]&gt;=3,1,0)</f>
        <v>0</v>
      </c>
      <c r="O3580" s="2">
        <f>IF(LeadsData[[#This Row],[Stage Number]]&gt;=4,1,0)</f>
        <v>0</v>
      </c>
    </row>
    <row r="3581" spans="1:15" x14ac:dyDescent="0.25">
      <c r="A3581" t="s">
        <v>3621</v>
      </c>
      <c r="B3581" s="1">
        <v>45567</v>
      </c>
      <c r="C3581" t="s">
        <v>31</v>
      </c>
      <c r="D3581" t="s">
        <v>34</v>
      </c>
      <c r="E3581" t="s">
        <v>13</v>
      </c>
      <c r="F3581" t="s">
        <v>28</v>
      </c>
      <c r="G3581" t="s">
        <v>23</v>
      </c>
      <c r="K3581" cm="1">
        <f t="array" ref="K3581">_xlfn.SWITCH(LeadsData[[#This Row],[Funnel Stage Reached]],"Lead",1,"MQL",2,"SQL",3,"Customer",4)</f>
        <v>2</v>
      </c>
      <c r="L3581" t="str">
        <f>TEXT(LeadsData[[#This Row],[Signup Date]],"mmm-yyyy")</f>
        <v>Oct-2024</v>
      </c>
      <c r="M3581">
        <f>IF(LeadsData[[#This Row],[Stage Number]]&gt;=2,1,0)</f>
        <v>1</v>
      </c>
      <c r="N3581" s="2">
        <f>IF(LeadsData[[#This Row],[Stage Number]]&gt;=3,1,0)</f>
        <v>0</v>
      </c>
      <c r="O3581" s="2">
        <f>IF(LeadsData[[#This Row],[Stage Number]]&gt;=4,1,0)</f>
        <v>0</v>
      </c>
    </row>
    <row r="3582" spans="1:15" x14ac:dyDescent="0.25">
      <c r="A3582" t="s">
        <v>3622</v>
      </c>
      <c r="B3582" s="1">
        <v>45477</v>
      </c>
      <c r="C3582" t="s">
        <v>36</v>
      </c>
      <c r="D3582" t="s">
        <v>37</v>
      </c>
      <c r="E3582" t="s">
        <v>21</v>
      </c>
      <c r="F3582" t="s">
        <v>19</v>
      </c>
      <c r="G3582" t="s">
        <v>15</v>
      </c>
      <c r="K3582" cm="1">
        <f t="array" ref="K3582">_xlfn.SWITCH(LeadsData[[#This Row],[Funnel Stage Reached]],"Lead",1,"MQL",2,"SQL",3,"Customer",4)</f>
        <v>1</v>
      </c>
      <c r="L3582" t="str">
        <f>TEXT(LeadsData[[#This Row],[Signup Date]],"mmm-yyyy")</f>
        <v>Jul-2024</v>
      </c>
      <c r="M3582">
        <f>IF(LeadsData[[#This Row],[Stage Number]]&gt;=2,1,0)</f>
        <v>0</v>
      </c>
      <c r="N3582" s="2">
        <f>IF(LeadsData[[#This Row],[Stage Number]]&gt;=3,1,0)</f>
        <v>0</v>
      </c>
      <c r="O3582" s="2">
        <f>IF(LeadsData[[#This Row],[Stage Number]]&gt;=4,1,0)</f>
        <v>0</v>
      </c>
    </row>
    <row r="3583" spans="1:15" x14ac:dyDescent="0.25">
      <c r="A3583" t="s">
        <v>3623</v>
      </c>
      <c r="B3583" s="1">
        <v>45292</v>
      </c>
      <c r="C3583" t="s">
        <v>46</v>
      </c>
      <c r="D3583" t="s">
        <v>47</v>
      </c>
      <c r="E3583" t="s">
        <v>21</v>
      </c>
      <c r="F3583" t="s">
        <v>22</v>
      </c>
      <c r="G3583" t="s">
        <v>23</v>
      </c>
      <c r="K3583" cm="1">
        <f t="array" ref="K3583">_xlfn.SWITCH(LeadsData[[#This Row],[Funnel Stage Reached]],"Lead",1,"MQL",2,"SQL",3,"Customer",4)</f>
        <v>2</v>
      </c>
      <c r="L3583" t="str">
        <f>TEXT(LeadsData[[#This Row],[Signup Date]],"mmm-yyyy")</f>
        <v>Jan-2024</v>
      </c>
      <c r="M3583">
        <f>IF(LeadsData[[#This Row],[Stage Number]]&gt;=2,1,0)</f>
        <v>1</v>
      </c>
      <c r="N3583" s="2">
        <f>IF(LeadsData[[#This Row],[Stage Number]]&gt;=3,1,0)</f>
        <v>0</v>
      </c>
      <c r="O3583" s="2">
        <f>IF(LeadsData[[#This Row],[Stage Number]]&gt;=4,1,0)</f>
        <v>0</v>
      </c>
    </row>
    <row r="3584" spans="1:15" x14ac:dyDescent="0.25">
      <c r="A3584" t="s">
        <v>3624</v>
      </c>
      <c r="B3584" s="1">
        <v>45612</v>
      </c>
      <c r="C3584" t="s">
        <v>36</v>
      </c>
      <c r="D3584" t="s">
        <v>37</v>
      </c>
      <c r="E3584" t="s">
        <v>13</v>
      </c>
      <c r="F3584" t="s">
        <v>19</v>
      </c>
      <c r="G3584" t="s">
        <v>29</v>
      </c>
      <c r="K3584" cm="1">
        <f t="array" ref="K3584">_xlfn.SWITCH(LeadsData[[#This Row],[Funnel Stage Reached]],"Lead",1,"MQL",2,"SQL",3,"Customer",4)</f>
        <v>3</v>
      </c>
      <c r="L3584" t="str">
        <f>TEXT(LeadsData[[#This Row],[Signup Date]],"mmm-yyyy")</f>
        <v>Nov-2024</v>
      </c>
      <c r="M3584">
        <f>IF(LeadsData[[#This Row],[Stage Number]]&gt;=2,1,0)</f>
        <v>1</v>
      </c>
      <c r="N3584" s="2">
        <f>IF(LeadsData[[#This Row],[Stage Number]]&gt;=3,1,0)</f>
        <v>1</v>
      </c>
      <c r="O3584" s="2">
        <f>IF(LeadsData[[#This Row],[Stage Number]]&gt;=4,1,0)</f>
        <v>0</v>
      </c>
    </row>
    <row r="3585" spans="1:15" x14ac:dyDescent="0.25">
      <c r="A3585" t="s">
        <v>3625</v>
      </c>
      <c r="B3585" s="1">
        <v>45312</v>
      </c>
      <c r="C3585" t="s">
        <v>46</v>
      </c>
      <c r="D3585" t="s">
        <v>47</v>
      </c>
      <c r="E3585" t="s">
        <v>13</v>
      </c>
      <c r="F3585" t="s">
        <v>19</v>
      </c>
      <c r="G3585" t="s">
        <v>23</v>
      </c>
      <c r="K3585" cm="1">
        <f t="array" ref="K3585">_xlfn.SWITCH(LeadsData[[#This Row],[Funnel Stage Reached]],"Lead",1,"MQL",2,"SQL",3,"Customer",4)</f>
        <v>2</v>
      </c>
      <c r="L3585" t="str">
        <f>TEXT(LeadsData[[#This Row],[Signup Date]],"mmm-yyyy")</f>
        <v>Jan-2024</v>
      </c>
      <c r="M3585">
        <f>IF(LeadsData[[#This Row],[Stage Number]]&gt;=2,1,0)</f>
        <v>1</v>
      </c>
      <c r="N3585" s="2">
        <f>IF(LeadsData[[#This Row],[Stage Number]]&gt;=3,1,0)</f>
        <v>0</v>
      </c>
      <c r="O3585" s="2">
        <f>IF(LeadsData[[#This Row],[Stage Number]]&gt;=4,1,0)</f>
        <v>0</v>
      </c>
    </row>
    <row r="3586" spans="1:15" x14ac:dyDescent="0.25">
      <c r="A3586" t="s">
        <v>3626</v>
      </c>
      <c r="B3586" s="1">
        <v>45436</v>
      </c>
      <c r="C3586" t="s">
        <v>17</v>
      </c>
      <c r="D3586" t="s">
        <v>53</v>
      </c>
      <c r="E3586" t="s">
        <v>21</v>
      </c>
      <c r="F3586" t="s">
        <v>22</v>
      </c>
      <c r="G3586" t="s">
        <v>23</v>
      </c>
      <c r="K3586" cm="1">
        <f t="array" ref="K3586">_xlfn.SWITCH(LeadsData[[#This Row],[Funnel Stage Reached]],"Lead",1,"MQL",2,"SQL",3,"Customer",4)</f>
        <v>2</v>
      </c>
      <c r="L3586" t="str">
        <f>TEXT(LeadsData[[#This Row],[Signup Date]],"mmm-yyyy")</f>
        <v>May-2024</v>
      </c>
      <c r="M3586">
        <f>IF(LeadsData[[#This Row],[Stage Number]]&gt;=2,1,0)</f>
        <v>1</v>
      </c>
      <c r="N3586" s="2">
        <f>IF(LeadsData[[#This Row],[Stage Number]]&gt;=3,1,0)</f>
        <v>0</v>
      </c>
      <c r="O3586" s="2">
        <f>IF(LeadsData[[#This Row],[Stage Number]]&gt;=4,1,0)</f>
        <v>0</v>
      </c>
    </row>
    <row r="3587" spans="1:15" x14ac:dyDescent="0.25">
      <c r="A3587" t="s">
        <v>3627</v>
      </c>
      <c r="B3587" s="1">
        <v>45373</v>
      </c>
      <c r="C3587" t="s">
        <v>36</v>
      </c>
      <c r="D3587" t="s">
        <v>50</v>
      </c>
      <c r="E3587" t="s">
        <v>13</v>
      </c>
      <c r="F3587" t="s">
        <v>22</v>
      </c>
      <c r="G3587" t="s">
        <v>15</v>
      </c>
      <c r="K3587" cm="1">
        <f t="array" ref="K3587">_xlfn.SWITCH(LeadsData[[#This Row],[Funnel Stage Reached]],"Lead",1,"MQL",2,"SQL",3,"Customer",4)</f>
        <v>1</v>
      </c>
      <c r="L3587" t="str">
        <f>TEXT(LeadsData[[#This Row],[Signup Date]],"mmm-yyyy")</f>
        <v>Mar-2024</v>
      </c>
      <c r="M3587">
        <f>IF(LeadsData[[#This Row],[Stage Number]]&gt;=2,1,0)</f>
        <v>0</v>
      </c>
      <c r="N3587" s="2">
        <f>IF(LeadsData[[#This Row],[Stage Number]]&gt;=3,1,0)</f>
        <v>0</v>
      </c>
      <c r="O3587" s="2">
        <f>IF(LeadsData[[#This Row],[Stage Number]]&gt;=4,1,0)</f>
        <v>0</v>
      </c>
    </row>
    <row r="3588" spans="1:15" x14ac:dyDescent="0.25">
      <c r="A3588" t="s">
        <v>3628</v>
      </c>
      <c r="B3588" s="1">
        <v>45593</v>
      </c>
      <c r="C3588" t="s">
        <v>31</v>
      </c>
      <c r="D3588" t="s">
        <v>32</v>
      </c>
      <c r="E3588" t="s">
        <v>21</v>
      </c>
      <c r="F3588" t="s">
        <v>19</v>
      </c>
      <c r="G3588" t="s">
        <v>23</v>
      </c>
      <c r="K3588" cm="1">
        <f t="array" ref="K3588">_xlfn.SWITCH(LeadsData[[#This Row],[Funnel Stage Reached]],"Lead",1,"MQL",2,"SQL",3,"Customer",4)</f>
        <v>2</v>
      </c>
      <c r="L3588" t="str">
        <f>TEXT(LeadsData[[#This Row],[Signup Date]],"mmm-yyyy")</f>
        <v>Oct-2024</v>
      </c>
      <c r="M3588">
        <f>IF(LeadsData[[#This Row],[Stage Number]]&gt;=2,1,0)</f>
        <v>1</v>
      </c>
      <c r="N3588" s="2">
        <f>IF(LeadsData[[#This Row],[Stage Number]]&gt;=3,1,0)</f>
        <v>0</v>
      </c>
      <c r="O3588" s="2">
        <f>IF(LeadsData[[#This Row],[Stage Number]]&gt;=4,1,0)</f>
        <v>0</v>
      </c>
    </row>
    <row r="3589" spans="1:15" x14ac:dyDescent="0.25">
      <c r="A3589" t="s">
        <v>3629</v>
      </c>
      <c r="B3589" s="1">
        <v>45542</v>
      </c>
      <c r="C3589" t="s">
        <v>46</v>
      </c>
      <c r="D3589" t="s">
        <v>47</v>
      </c>
      <c r="E3589" t="s">
        <v>13</v>
      </c>
      <c r="F3589" t="s">
        <v>14</v>
      </c>
      <c r="G3589" t="s">
        <v>29</v>
      </c>
      <c r="K3589" cm="1">
        <f t="array" ref="K3589">_xlfn.SWITCH(LeadsData[[#This Row],[Funnel Stage Reached]],"Lead",1,"MQL",2,"SQL",3,"Customer",4)</f>
        <v>3</v>
      </c>
      <c r="L3589" t="str">
        <f>TEXT(LeadsData[[#This Row],[Signup Date]],"mmm-yyyy")</f>
        <v>Sep-2024</v>
      </c>
      <c r="M3589">
        <f>IF(LeadsData[[#This Row],[Stage Number]]&gt;=2,1,0)</f>
        <v>1</v>
      </c>
      <c r="N3589" s="2">
        <f>IF(LeadsData[[#This Row],[Stage Number]]&gt;=3,1,0)</f>
        <v>1</v>
      </c>
      <c r="O3589" s="2">
        <f>IF(LeadsData[[#This Row],[Stage Number]]&gt;=4,1,0)</f>
        <v>0</v>
      </c>
    </row>
    <row r="3590" spans="1:15" x14ac:dyDescent="0.25">
      <c r="A3590" t="s">
        <v>3630</v>
      </c>
      <c r="B3590" s="1">
        <v>45465</v>
      </c>
      <c r="C3590" t="s">
        <v>31</v>
      </c>
      <c r="D3590" t="s">
        <v>32</v>
      </c>
      <c r="E3590" t="s">
        <v>13</v>
      </c>
      <c r="F3590" t="s">
        <v>22</v>
      </c>
      <c r="G3590" t="s">
        <v>15</v>
      </c>
      <c r="K3590" cm="1">
        <f t="array" ref="K3590">_xlfn.SWITCH(LeadsData[[#This Row],[Funnel Stage Reached]],"Lead",1,"MQL",2,"SQL",3,"Customer",4)</f>
        <v>1</v>
      </c>
      <c r="L3590" t="str">
        <f>TEXT(LeadsData[[#This Row],[Signup Date]],"mmm-yyyy")</f>
        <v>Jun-2024</v>
      </c>
      <c r="M3590">
        <f>IF(LeadsData[[#This Row],[Stage Number]]&gt;=2,1,0)</f>
        <v>0</v>
      </c>
      <c r="N3590" s="2">
        <f>IF(LeadsData[[#This Row],[Stage Number]]&gt;=3,1,0)</f>
        <v>0</v>
      </c>
      <c r="O3590" s="2">
        <f>IF(LeadsData[[#This Row],[Stage Number]]&gt;=4,1,0)</f>
        <v>0</v>
      </c>
    </row>
    <row r="3591" spans="1:15" x14ac:dyDescent="0.25">
      <c r="A3591" t="s">
        <v>3631</v>
      </c>
      <c r="B3591" s="1">
        <v>45539</v>
      </c>
      <c r="C3591" t="s">
        <v>46</v>
      </c>
      <c r="D3591" t="s">
        <v>56</v>
      </c>
      <c r="E3591" t="s">
        <v>13</v>
      </c>
      <c r="F3591" t="s">
        <v>14</v>
      </c>
      <c r="G3591" t="s">
        <v>29</v>
      </c>
      <c r="K3591" cm="1">
        <f t="array" ref="K3591">_xlfn.SWITCH(LeadsData[[#This Row],[Funnel Stage Reached]],"Lead",1,"MQL",2,"SQL",3,"Customer",4)</f>
        <v>3</v>
      </c>
      <c r="L3591" t="str">
        <f>TEXT(LeadsData[[#This Row],[Signup Date]],"mmm-yyyy")</f>
        <v>Sep-2024</v>
      </c>
      <c r="M3591">
        <f>IF(LeadsData[[#This Row],[Stage Number]]&gt;=2,1,0)</f>
        <v>1</v>
      </c>
      <c r="N3591" s="2">
        <f>IF(LeadsData[[#This Row],[Stage Number]]&gt;=3,1,0)</f>
        <v>1</v>
      </c>
      <c r="O3591" s="2">
        <f>IF(LeadsData[[#This Row],[Stage Number]]&gt;=4,1,0)</f>
        <v>0</v>
      </c>
    </row>
    <row r="3592" spans="1:15" x14ac:dyDescent="0.25">
      <c r="A3592" t="s">
        <v>3632</v>
      </c>
      <c r="B3592" s="1">
        <v>45314</v>
      </c>
      <c r="C3592" t="s">
        <v>36</v>
      </c>
      <c r="D3592" t="s">
        <v>37</v>
      </c>
      <c r="E3592" t="s">
        <v>13</v>
      </c>
      <c r="F3592" t="s">
        <v>14</v>
      </c>
      <c r="G3592" t="s">
        <v>15</v>
      </c>
      <c r="K3592" cm="1">
        <f t="array" ref="K3592">_xlfn.SWITCH(LeadsData[[#This Row],[Funnel Stage Reached]],"Lead",1,"MQL",2,"SQL",3,"Customer",4)</f>
        <v>1</v>
      </c>
      <c r="L3592" t="str">
        <f>TEXT(LeadsData[[#This Row],[Signup Date]],"mmm-yyyy")</f>
        <v>Jan-2024</v>
      </c>
      <c r="M3592">
        <f>IF(LeadsData[[#This Row],[Stage Number]]&gt;=2,1,0)</f>
        <v>0</v>
      </c>
      <c r="N3592" s="2">
        <f>IF(LeadsData[[#This Row],[Stage Number]]&gt;=3,1,0)</f>
        <v>0</v>
      </c>
      <c r="O3592" s="2">
        <f>IF(LeadsData[[#This Row],[Stage Number]]&gt;=4,1,0)</f>
        <v>0</v>
      </c>
    </row>
    <row r="3593" spans="1:15" x14ac:dyDescent="0.25">
      <c r="A3593" t="s">
        <v>3633</v>
      </c>
      <c r="B3593" s="1">
        <v>45580</v>
      </c>
      <c r="C3593" t="s">
        <v>31</v>
      </c>
      <c r="D3593" t="s">
        <v>34</v>
      </c>
      <c r="E3593" t="s">
        <v>21</v>
      </c>
      <c r="F3593" t="s">
        <v>14</v>
      </c>
      <c r="G3593" t="s">
        <v>15</v>
      </c>
      <c r="K3593" cm="1">
        <f t="array" ref="K3593">_xlfn.SWITCH(LeadsData[[#This Row],[Funnel Stage Reached]],"Lead",1,"MQL",2,"SQL",3,"Customer",4)</f>
        <v>1</v>
      </c>
      <c r="L3593" t="str">
        <f>TEXT(LeadsData[[#This Row],[Signup Date]],"mmm-yyyy")</f>
        <v>Oct-2024</v>
      </c>
      <c r="M3593">
        <f>IF(LeadsData[[#This Row],[Stage Number]]&gt;=2,1,0)</f>
        <v>0</v>
      </c>
      <c r="N3593" s="2">
        <f>IF(LeadsData[[#This Row],[Stage Number]]&gt;=3,1,0)</f>
        <v>0</v>
      </c>
      <c r="O3593" s="2">
        <f>IF(LeadsData[[#This Row],[Stage Number]]&gt;=4,1,0)</f>
        <v>0</v>
      </c>
    </row>
    <row r="3594" spans="1:15" x14ac:dyDescent="0.25">
      <c r="A3594" t="s">
        <v>3634</v>
      </c>
      <c r="B3594" s="1">
        <v>45479</v>
      </c>
      <c r="C3594" t="s">
        <v>46</v>
      </c>
      <c r="D3594" t="s">
        <v>56</v>
      </c>
      <c r="E3594" t="s">
        <v>48</v>
      </c>
      <c r="F3594" t="s">
        <v>22</v>
      </c>
      <c r="G3594" t="s">
        <v>15</v>
      </c>
      <c r="K3594" cm="1">
        <f t="array" ref="K3594">_xlfn.SWITCH(LeadsData[[#This Row],[Funnel Stage Reached]],"Lead",1,"MQL",2,"SQL",3,"Customer",4)</f>
        <v>1</v>
      </c>
      <c r="L3594" t="str">
        <f>TEXT(LeadsData[[#This Row],[Signup Date]],"mmm-yyyy")</f>
        <v>Jul-2024</v>
      </c>
      <c r="M3594">
        <f>IF(LeadsData[[#This Row],[Stage Number]]&gt;=2,1,0)</f>
        <v>0</v>
      </c>
      <c r="N3594" s="2">
        <f>IF(LeadsData[[#This Row],[Stage Number]]&gt;=3,1,0)</f>
        <v>0</v>
      </c>
      <c r="O3594" s="2">
        <f>IF(LeadsData[[#This Row],[Stage Number]]&gt;=4,1,0)</f>
        <v>0</v>
      </c>
    </row>
    <row r="3595" spans="1:15" x14ac:dyDescent="0.25">
      <c r="A3595" t="s">
        <v>3635</v>
      </c>
      <c r="B3595" s="1">
        <v>45306</v>
      </c>
      <c r="C3595" t="s">
        <v>11</v>
      </c>
      <c r="D3595" t="s">
        <v>12</v>
      </c>
      <c r="E3595" t="s">
        <v>21</v>
      </c>
      <c r="F3595" t="s">
        <v>22</v>
      </c>
      <c r="G3595" t="s">
        <v>15</v>
      </c>
      <c r="K3595" cm="1">
        <f t="array" ref="K3595">_xlfn.SWITCH(LeadsData[[#This Row],[Funnel Stage Reached]],"Lead",1,"MQL",2,"SQL",3,"Customer",4)</f>
        <v>1</v>
      </c>
      <c r="L3595" t="str">
        <f>TEXT(LeadsData[[#This Row],[Signup Date]],"mmm-yyyy")</f>
        <v>Jan-2024</v>
      </c>
      <c r="M3595">
        <f>IF(LeadsData[[#This Row],[Stage Number]]&gt;=2,1,0)</f>
        <v>0</v>
      </c>
      <c r="N3595" s="2">
        <f>IF(LeadsData[[#This Row],[Stage Number]]&gt;=3,1,0)</f>
        <v>0</v>
      </c>
      <c r="O3595" s="2">
        <f>IF(LeadsData[[#This Row],[Stage Number]]&gt;=4,1,0)</f>
        <v>0</v>
      </c>
    </row>
    <row r="3596" spans="1:15" x14ac:dyDescent="0.25">
      <c r="A3596" t="s">
        <v>3636</v>
      </c>
      <c r="B3596" s="1">
        <v>45597</v>
      </c>
      <c r="C3596" t="s">
        <v>46</v>
      </c>
      <c r="D3596" t="s">
        <v>47</v>
      </c>
      <c r="E3596" t="s">
        <v>21</v>
      </c>
      <c r="F3596" t="s">
        <v>19</v>
      </c>
      <c r="G3596" t="s">
        <v>15</v>
      </c>
      <c r="K3596" cm="1">
        <f t="array" ref="K3596">_xlfn.SWITCH(LeadsData[[#This Row],[Funnel Stage Reached]],"Lead",1,"MQL",2,"SQL",3,"Customer",4)</f>
        <v>1</v>
      </c>
      <c r="L3596" t="str">
        <f>TEXT(LeadsData[[#This Row],[Signup Date]],"mmm-yyyy")</f>
        <v>Nov-2024</v>
      </c>
      <c r="M3596">
        <f>IF(LeadsData[[#This Row],[Stage Number]]&gt;=2,1,0)</f>
        <v>0</v>
      </c>
      <c r="N3596" s="2">
        <f>IF(LeadsData[[#This Row],[Stage Number]]&gt;=3,1,0)</f>
        <v>0</v>
      </c>
      <c r="O3596" s="2">
        <f>IF(LeadsData[[#This Row],[Stage Number]]&gt;=4,1,0)</f>
        <v>0</v>
      </c>
    </row>
    <row r="3597" spans="1:15" x14ac:dyDescent="0.25">
      <c r="A3597" t="s">
        <v>3637</v>
      </c>
      <c r="B3597" s="1">
        <v>45397</v>
      </c>
      <c r="C3597" t="s">
        <v>31</v>
      </c>
      <c r="D3597" t="s">
        <v>34</v>
      </c>
      <c r="E3597" t="s">
        <v>13</v>
      </c>
      <c r="F3597" t="s">
        <v>19</v>
      </c>
      <c r="G3597" t="s">
        <v>23</v>
      </c>
      <c r="K3597" cm="1">
        <f t="array" ref="K3597">_xlfn.SWITCH(LeadsData[[#This Row],[Funnel Stage Reached]],"Lead",1,"MQL",2,"SQL",3,"Customer",4)</f>
        <v>2</v>
      </c>
      <c r="L3597" t="str">
        <f>TEXT(LeadsData[[#This Row],[Signup Date]],"mmm-yyyy")</f>
        <v>Apr-2024</v>
      </c>
      <c r="M3597">
        <f>IF(LeadsData[[#This Row],[Stage Number]]&gt;=2,1,0)</f>
        <v>1</v>
      </c>
      <c r="N3597" s="2">
        <f>IF(LeadsData[[#This Row],[Stage Number]]&gt;=3,1,0)</f>
        <v>0</v>
      </c>
      <c r="O3597" s="2">
        <f>IF(LeadsData[[#This Row],[Stage Number]]&gt;=4,1,0)</f>
        <v>0</v>
      </c>
    </row>
    <row r="3598" spans="1:15" x14ac:dyDescent="0.25">
      <c r="A3598" t="s">
        <v>3638</v>
      </c>
      <c r="B3598" s="1">
        <v>45558</v>
      </c>
      <c r="C3598" t="s">
        <v>31</v>
      </c>
      <c r="D3598" t="s">
        <v>34</v>
      </c>
      <c r="E3598" t="s">
        <v>13</v>
      </c>
      <c r="F3598" t="s">
        <v>22</v>
      </c>
      <c r="G3598" t="s">
        <v>29</v>
      </c>
      <c r="K3598" cm="1">
        <f t="array" ref="K3598">_xlfn.SWITCH(LeadsData[[#This Row],[Funnel Stage Reached]],"Lead",1,"MQL",2,"SQL",3,"Customer",4)</f>
        <v>3</v>
      </c>
      <c r="L3598" t="str">
        <f>TEXT(LeadsData[[#This Row],[Signup Date]],"mmm-yyyy")</f>
        <v>Sep-2024</v>
      </c>
      <c r="M3598">
        <f>IF(LeadsData[[#This Row],[Stage Number]]&gt;=2,1,0)</f>
        <v>1</v>
      </c>
      <c r="N3598" s="2">
        <f>IF(LeadsData[[#This Row],[Stage Number]]&gt;=3,1,0)</f>
        <v>1</v>
      </c>
      <c r="O3598" s="2">
        <f>IF(LeadsData[[#This Row],[Stage Number]]&gt;=4,1,0)</f>
        <v>0</v>
      </c>
    </row>
    <row r="3599" spans="1:15" x14ac:dyDescent="0.25">
      <c r="A3599" t="s">
        <v>3639</v>
      </c>
      <c r="B3599" s="1">
        <v>45585</v>
      </c>
      <c r="C3599" t="s">
        <v>11</v>
      </c>
      <c r="D3599" t="s">
        <v>68</v>
      </c>
      <c r="E3599" t="s">
        <v>21</v>
      </c>
      <c r="F3599" t="s">
        <v>22</v>
      </c>
      <c r="G3599" t="s">
        <v>29</v>
      </c>
      <c r="K3599" cm="1">
        <f t="array" ref="K3599">_xlfn.SWITCH(LeadsData[[#This Row],[Funnel Stage Reached]],"Lead",1,"MQL",2,"SQL",3,"Customer",4)</f>
        <v>3</v>
      </c>
      <c r="L3599" t="str">
        <f>TEXT(LeadsData[[#This Row],[Signup Date]],"mmm-yyyy")</f>
        <v>Oct-2024</v>
      </c>
      <c r="M3599">
        <f>IF(LeadsData[[#This Row],[Stage Number]]&gt;=2,1,0)</f>
        <v>1</v>
      </c>
      <c r="N3599" s="2">
        <f>IF(LeadsData[[#This Row],[Stage Number]]&gt;=3,1,0)</f>
        <v>1</v>
      </c>
      <c r="O3599" s="2">
        <f>IF(LeadsData[[#This Row],[Stage Number]]&gt;=4,1,0)</f>
        <v>0</v>
      </c>
    </row>
    <row r="3600" spans="1:15" x14ac:dyDescent="0.25">
      <c r="A3600" t="s">
        <v>3640</v>
      </c>
      <c r="B3600" s="1">
        <v>45348</v>
      </c>
      <c r="C3600" t="s">
        <v>31</v>
      </c>
      <c r="D3600" t="s">
        <v>32</v>
      </c>
      <c r="E3600" t="s">
        <v>13</v>
      </c>
      <c r="F3600" t="s">
        <v>19</v>
      </c>
      <c r="G3600" t="s">
        <v>15</v>
      </c>
      <c r="K3600" cm="1">
        <f t="array" ref="K3600">_xlfn.SWITCH(LeadsData[[#This Row],[Funnel Stage Reached]],"Lead",1,"MQL",2,"SQL",3,"Customer",4)</f>
        <v>1</v>
      </c>
      <c r="L3600" t="str">
        <f>TEXT(LeadsData[[#This Row],[Signup Date]],"mmm-yyyy")</f>
        <v>Feb-2024</v>
      </c>
      <c r="M3600">
        <f>IF(LeadsData[[#This Row],[Stage Number]]&gt;=2,1,0)</f>
        <v>0</v>
      </c>
      <c r="N3600" s="2">
        <f>IF(LeadsData[[#This Row],[Stage Number]]&gt;=3,1,0)</f>
        <v>0</v>
      </c>
      <c r="O3600" s="2">
        <f>IF(LeadsData[[#This Row],[Stage Number]]&gt;=4,1,0)</f>
        <v>0</v>
      </c>
    </row>
    <row r="3601" spans="1:15" x14ac:dyDescent="0.25">
      <c r="A3601" t="s">
        <v>3641</v>
      </c>
      <c r="B3601" s="1">
        <v>45405</v>
      </c>
      <c r="C3601" t="s">
        <v>17</v>
      </c>
      <c r="D3601" t="s">
        <v>53</v>
      </c>
      <c r="E3601" t="s">
        <v>13</v>
      </c>
      <c r="F3601" t="s">
        <v>14</v>
      </c>
      <c r="G3601" t="s">
        <v>29</v>
      </c>
      <c r="K3601" cm="1">
        <f t="array" ref="K3601">_xlfn.SWITCH(LeadsData[[#This Row],[Funnel Stage Reached]],"Lead",1,"MQL",2,"SQL",3,"Customer",4)</f>
        <v>3</v>
      </c>
      <c r="L3601" t="str">
        <f>TEXT(LeadsData[[#This Row],[Signup Date]],"mmm-yyyy")</f>
        <v>Apr-2024</v>
      </c>
      <c r="M3601">
        <f>IF(LeadsData[[#This Row],[Stage Number]]&gt;=2,1,0)</f>
        <v>1</v>
      </c>
      <c r="N3601" s="2">
        <f>IF(LeadsData[[#This Row],[Stage Number]]&gt;=3,1,0)</f>
        <v>1</v>
      </c>
      <c r="O3601" s="2">
        <f>IF(LeadsData[[#This Row],[Stage Number]]&gt;=4,1,0)</f>
        <v>0</v>
      </c>
    </row>
    <row r="3602" spans="1:15" x14ac:dyDescent="0.25">
      <c r="A3602" t="s">
        <v>3642</v>
      </c>
      <c r="B3602" s="1">
        <v>45586</v>
      </c>
      <c r="C3602" t="s">
        <v>46</v>
      </c>
      <c r="D3602" t="s">
        <v>56</v>
      </c>
      <c r="E3602" t="s">
        <v>13</v>
      </c>
      <c r="F3602" t="s">
        <v>19</v>
      </c>
      <c r="G3602" t="s">
        <v>23</v>
      </c>
      <c r="K3602" cm="1">
        <f t="array" ref="K3602">_xlfn.SWITCH(LeadsData[[#This Row],[Funnel Stage Reached]],"Lead",1,"MQL",2,"SQL",3,"Customer",4)</f>
        <v>2</v>
      </c>
      <c r="L3602" t="str">
        <f>TEXT(LeadsData[[#This Row],[Signup Date]],"mmm-yyyy")</f>
        <v>Oct-2024</v>
      </c>
      <c r="M3602">
        <f>IF(LeadsData[[#This Row],[Stage Number]]&gt;=2,1,0)</f>
        <v>1</v>
      </c>
      <c r="N3602" s="2">
        <f>IF(LeadsData[[#This Row],[Stage Number]]&gt;=3,1,0)</f>
        <v>0</v>
      </c>
      <c r="O3602" s="2">
        <f>IF(LeadsData[[#This Row],[Stage Number]]&gt;=4,1,0)</f>
        <v>0</v>
      </c>
    </row>
    <row r="3603" spans="1:15" x14ac:dyDescent="0.25">
      <c r="A3603" t="s">
        <v>3643</v>
      </c>
      <c r="B3603" s="1">
        <v>45405</v>
      </c>
      <c r="C3603" t="s">
        <v>31</v>
      </c>
      <c r="D3603" t="s">
        <v>32</v>
      </c>
      <c r="E3603" t="s">
        <v>13</v>
      </c>
      <c r="F3603" t="s">
        <v>22</v>
      </c>
      <c r="G3603" t="s">
        <v>15</v>
      </c>
      <c r="K3603" cm="1">
        <f t="array" ref="K3603">_xlfn.SWITCH(LeadsData[[#This Row],[Funnel Stage Reached]],"Lead",1,"MQL",2,"SQL",3,"Customer",4)</f>
        <v>1</v>
      </c>
      <c r="L3603" t="str">
        <f>TEXT(LeadsData[[#This Row],[Signup Date]],"mmm-yyyy")</f>
        <v>Apr-2024</v>
      </c>
      <c r="M3603">
        <f>IF(LeadsData[[#This Row],[Stage Number]]&gt;=2,1,0)</f>
        <v>0</v>
      </c>
      <c r="N3603" s="2">
        <f>IF(LeadsData[[#This Row],[Stage Number]]&gt;=3,1,0)</f>
        <v>0</v>
      </c>
      <c r="O3603" s="2">
        <f>IF(LeadsData[[#This Row],[Stage Number]]&gt;=4,1,0)</f>
        <v>0</v>
      </c>
    </row>
    <row r="3604" spans="1:15" x14ac:dyDescent="0.25">
      <c r="A3604" t="s">
        <v>3644</v>
      </c>
      <c r="B3604" s="1">
        <v>45413</v>
      </c>
      <c r="C3604" t="s">
        <v>11</v>
      </c>
      <c r="D3604" t="s">
        <v>79</v>
      </c>
      <c r="E3604" t="s">
        <v>21</v>
      </c>
      <c r="F3604" t="s">
        <v>19</v>
      </c>
      <c r="G3604" t="s">
        <v>15</v>
      </c>
      <c r="K3604" cm="1">
        <f t="array" ref="K3604">_xlfn.SWITCH(LeadsData[[#This Row],[Funnel Stage Reached]],"Lead",1,"MQL",2,"SQL",3,"Customer",4)</f>
        <v>1</v>
      </c>
      <c r="L3604" t="str">
        <f>TEXT(LeadsData[[#This Row],[Signup Date]],"mmm-yyyy")</f>
        <v>May-2024</v>
      </c>
      <c r="M3604">
        <f>IF(LeadsData[[#This Row],[Stage Number]]&gt;=2,1,0)</f>
        <v>0</v>
      </c>
      <c r="N3604" s="2">
        <f>IF(LeadsData[[#This Row],[Stage Number]]&gt;=3,1,0)</f>
        <v>0</v>
      </c>
      <c r="O3604" s="2">
        <f>IF(LeadsData[[#This Row],[Stage Number]]&gt;=4,1,0)</f>
        <v>0</v>
      </c>
    </row>
    <row r="3605" spans="1:15" x14ac:dyDescent="0.25">
      <c r="A3605" t="s">
        <v>3645</v>
      </c>
      <c r="B3605" s="1">
        <v>45437</v>
      </c>
      <c r="C3605" t="s">
        <v>31</v>
      </c>
      <c r="D3605" t="s">
        <v>32</v>
      </c>
      <c r="E3605" t="s">
        <v>21</v>
      </c>
      <c r="F3605" t="s">
        <v>14</v>
      </c>
      <c r="G3605" t="s">
        <v>15</v>
      </c>
      <c r="K3605" cm="1">
        <f t="array" ref="K3605">_xlfn.SWITCH(LeadsData[[#This Row],[Funnel Stage Reached]],"Lead",1,"MQL",2,"SQL",3,"Customer",4)</f>
        <v>1</v>
      </c>
      <c r="L3605" t="str">
        <f>TEXT(LeadsData[[#This Row],[Signup Date]],"mmm-yyyy")</f>
        <v>May-2024</v>
      </c>
      <c r="M3605">
        <f>IF(LeadsData[[#This Row],[Stage Number]]&gt;=2,1,0)</f>
        <v>0</v>
      </c>
      <c r="N3605" s="2">
        <f>IF(LeadsData[[#This Row],[Stage Number]]&gt;=3,1,0)</f>
        <v>0</v>
      </c>
      <c r="O3605" s="2">
        <f>IF(LeadsData[[#This Row],[Stage Number]]&gt;=4,1,0)</f>
        <v>0</v>
      </c>
    </row>
    <row r="3606" spans="1:15" x14ac:dyDescent="0.25">
      <c r="A3606" t="s">
        <v>3646</v>
      </c>
      <c r="B3606" s="1">
        <v>45608</v>
      </c>
      <c r="C3606" t="s">
        <v>46</v>
      </c>
      <c r="D3606" t="s">
        <v>47</v>
      </c>
      <c r="E3606" t="s">
        <v>13</v>
      </c>
      <c r="F3606" t="s">
        <v>19</v>
      </c>
      <c r="G3606" t="s">
        <v>15</v>
      </c>
      <c r="K3606" cm="1">
        <f t="array" ref="K3606">_xlfn.SWITCH(LeadsData[[#This Row],[Funnel Stage Reached]],"Lead",1,"MQL",2,"SQL",3,"Customer",4)</f>
        <v>1</v>
      </c>
      <c r="L3606" t="str">
        <f>TEXT(LeadsData[[#This Row],[Signup Date]],"mmm-yyyy")</f>
        <v>Nov-2024</v>
      </c>
      <c r="M3606">
        <f>IF(LeadsData[[#This Row],[Stage Number]]&gt;=2,1,0)</f>
        <v>0</v>
      </c>
      <c r="N3606" s="2">
        <f>IF(LeadsData[[#This Row],[Stage Number]]&gt;=3,1,0)</f>
        <v>0</v>
      </c>
      <c r="O3606" s="2">
        <f>IF(LeadsData[[#This Row],[Stage Number]]&gt;=4,1,0)</f>
        <v>0</v>
      </c>
    </row>
    <row r="3607" spans="1:15" x14ac:dyDescent="0.25">
      <c r="A3607" t="s">
        <v>3647</v>
      </c>
      <c r="B3607" s="1">
        <v>45606</v>
      </c>
      <c r="C3607" t="s">
        <v>36</v>
      </c>
      <c r="D3607" t="s">
        <v>50</v>
      </c>
      <c r="E3607" t="s">
        <v>13</v>
      </c>
      <c r="F3607" t="s">
        <v>19</v>
      </c>
      <c r="G3607" t="s">
        <v>42</v>
      </c>
      <c r="H3607">
        <v>54</v>
      </c>
      <c r="I3607" t="s">
        <v>43</v>
      </c>
      <c r="J3607">
        <v>1287.1400000000001</v>
      </c>
      <c r="K3607" cm="1">
        <f t="array" ref="K3607">_xlfn.SWITCH(LeadsData[[#This Row],[Funnel Stage Reached]],"Lead",1,"MQL",2,"SQL",3,"Customer",4)</f>
        <v>4</v>
      </c>
      <c r="L3607" t="str">
        <f>TEXT(LeadsData[[#This Row],[Signup Date]],"mmm-yyyy")</f>
        <v>Nov-2024</v>
      </c>
      <c r="M3607">
        <f>IF(LeadsData[[#This Row],[Stage Number]]&gt;=2,1,0)</f>
        <v>1</v>
      </c>
      <c r="N3607" s="2">
        <f>IF(LeadsData[[#This Row],[Stage Number]]&gt;=3,1,0)</f>
        <v>1</v>
      </c>
      <c r="O3607" s="2">
        <f>IF(LeadsData[[#This Row],[Stage Number]]&gt;=4,1,0)</f>
        <v>1</v>
      </c>
    </row>
    <row r="3608" spans="1:15" x14ac:dyDescent="0.25">
      <c r="A3608" t="s">
        <v>3648</v>
      </c>
      <c r="B3608" s="1">
        <v>45614</v>
      </c>
      <c r="C3608" t="s">
        <v>25</v>
      </c>
      <c r="D3608" t="s">
        <v>26</v>
      </c>
      <c r="E3608" t="s">
        <v>21</v>
      </c>
      <c r="F3608" t="s">
        <v>22</v>
      </c>
      <c r="G3608" t="s">
        <v>15</v>
      </c>
      <c r="K3608" cm="1">
        <f t="array" ref="K3608">_xlfn.SWITCH(LeadsData[[#This Row],[Funnel Stage Reached]],"Lead",1,"MQL",2,"SQL",3,"Customer",4)</f>
        <v>1</v>
      </c>
      <c r="L3608" t="str">
        <f>TEXT(LeadsData[[#This Row],[Signup Date]],"mmm-yyyy")</f>
        <v>Nov-2024</v>
      </c>
      <c r="M3608">
        <f>IF(LeadsData[[#This Row],[Stage Number]]&gt;=2,1,0)</f>
        <v>0</v>
      </c>
      <c r="N3608" s="2">
        <f>IF(LeadsData[[#This Row],[Stage Number]]&gt;=3,1,0)</f>
        <v>0</v>
      </c>
      <c r="O3608" s="2">
        <f>IF(LeadsData[[#This Row],[Stage Number]]&gt;=4,1,0)</f>
        <v>0</v>
      </c>
    </row>
    <row r="3609" spans="1:15" x14ac:dyDescent="0.25">
      <c r="A3609" t="s">
        <v>3649</v>
      </c>
      <c r="B3609" s="1">
        <v>45620</v>
      </c>
      <c r="C3609" t="s">
        <v>31</v>
      </c>
      <c r="D3609" t="s">
        <v>34</v>
      </c>
      <c r="E3609" t="s">
        <v>21</v>
      </c>
      <c r="F3609" t="s">
        <v>22</v>
      </c>
      <c r="G3609" t="s">
        <v>15</v>
      </c>
      <c r="K3609" cm="1">
        <f t="array" ref="K3609">_xlfn.SWITCH(LeadsData[[#This Row],[Funnel Stage Reached]],"Lead",1,"MQL",2,"SQL",3,"Customer",4)</f>
        <v>1</v>
      </c>
      <c r="L3609" t="str">
        <f>TEXT(LeadsData[[#This Row],[Signup Date]],"mmm-yyyy")</f>
        <v>Nov-2024</v>
      </c>
      <c r="M3609">
        <f>IF(LeadsData[[#This Row],[Stage Number]]&gt;=2,1,0)</f>
        <v>0</v>
      </c>
      <c r="N3609" s="2">
        <f>IF(LeadsData[[#This Row],[Stage Number]]&gt;=3,1,0)</f>
        <v>0</v>
      </c>
      <c r="O3609" s="2">
        <f>IF(LeadsData[[#This Row],[Stage Number]]&gt;=4,1,0)</f>
        <v>0</v>
      </c>
    </row>
    <row r="3610" spans="1:15" x14ac:dyDescent="0.25">
      <c r="A3610" t="s">
        <v>3650</v>
      </c>
      <c r="B3610" s="1">
        <v>45606</v>
      </c>
      <c r="C3610" t="s">
        <v>31</v>
      </c>
      <c r="D3610" t="s">
        <v>32</v>
      </c>
      <c r="E3610" t="s">
        <v>21</v>
      </c>
      <c r="F3610" t="s">
        <v>22</v>
      </c>
      <c r="G3610" t="s">
        <v>15</v>
      </c>
      <c r="K3610" cm="1">
        <f t="array" ref="K3610">_xlfn.SWITCH(LeadsData[[#This Row],[Funnel Stage Reached]],"Lead",1,"MQL",2,"SQL",3,"Customer",4)</f>
        <v>1</v>
      </c>
      <c r="L3610" t="str">
        <f>TEXT(LeadsData[[#This Row],[Signup Date]],"mmm-yyyy")</f>
        <v>Nov-2024</v>
      </c>
      <c r="M3610">
        <f>IF(LeadsData[[#This Row],[Stage Number]]&gt;=2,1,0)</f>
        <v>0</v>
      </c>
      <c r="N3610" s="2">
        <f>IF(LeadsData[[#This Row],[Stage Number]]&gt;=3,1,0)</f>
        <v>0</v>
      </c>
      <c r="O3610" s="2">
        <f>IF(LeadsData[[#This Row],[Stage Number]]&gt;=4,1,0)</f>
        <v>0</v>
      </c>
    </row>
    <row r="3611" spans="1:15" x14ac:dyDescent="0.25">
      <c r="A3611" t="s">
        <v>3651</v>
      </c>
      <c r="B3611" s="1">
        <v>45538</v>
      </c>
      <c r="C3611" t="s">
        <v>36</v>
      </c>
      <c r="D3611" t="s">
        <v>50</v>
      </c>
      <c r="E3611" t="s">
        <v>13</v>
      </c>
      <c r="F3611" t="s">
        <v>19</v>
      </c>
      <c r="G3611" t="s">
        <v>15</v>
      </c>
      <c r="K3611" cm="1">
        <f t="array" ref="K3611">_xlfn.SWITCH(LeadsData[[#This Row],[Funnel Stage Reached]],"Lead",1,"MQL",2,"SQL",3,"Customer",4)</f>
        <v>1</v>
      </c>
      <c r="L3611" t="str">
        <f>TEXT(LeadsData[[#This Row],[Signup Date]],"mmm-yyyy")</f>
        <v>Sep-2024</v>
      </c>
      <c r="M3611">
        <f>IF(LeadsData[[#This Row],[Stage Number]]&gt;=2,1,0)</f>
        <v>0</v>
      </c>
      <c r="N3611" s="2">
        <f>IF(LeadsData[[#This Row],[Stage Number]]&gt;=3,1,0)</f>
        <v>0</v>
      </c>
      <c r="O3611" s="2">
        <f>IF(LeadsData[[#This Row],[Stage Number]]&gt;=4,1,0)</f>
        <v>0</v>
      </c>
    </row>
    <row r="3612" spans="1:15" x14ac:dyDescent="0.25">
      <c r="A3612" t="s">
        <v>3652</v>
      </c>
      <c r="B3612" s="1">
        <v>45399</v>
      </c>
      <c r="C3612" t="s">
        <v>31</v>
      </c>
      <c r="D3612" t="s">
        <v>34</v>
      </c>
      <c r="E3612" t="s">
        <v>13</v>
      </c>
      <c r="F3612" t="s">
        <v>14</v>
      </c>
      <c r="G3612" t="s">
        <v>15</v>
      </c>
      <c r="K3612" cm="1">
        <f t="array" ref="K3612">_xlfn.SWITCH(LeadsData[[#This Row],[Funnel Stage Reached]],"Lead",1,"MQL",2,"SQL",3,"Customer",4)</f>
        <v>1</v>
      </c>
      <c r="L3612" t="str">
        <f>TEXT(LeadsData[[#This Row],[Signup Date]],"mmm-yyyy")</f>
        <v>Apr-2024</v>
      </c>
      <c r="M3612">
        <f>IF(LeadsData[[#This Row],[Stage Number]]&gt;=2,1,0)</f>
        <v>0</v>
      </c>
      <c r="N3612" s="2">
        <f>IF(LeadsData[[#This Row],[Stage Number]]&gt;=3,1,0)</f>
        <v>0</v>
      </c>
      <c r="O3612" s="2">
        <f>IF(LeadsData[[#This Row],[Stage Number]]&gt;=4,1,0)</f>
        <v>0</v>
      </c>
    </row>
    <row r="3613" spans="1:15" x14ac:dyDescent="0.25">
      <c r="A3613" t="s">
        <v>3653</v>
      </c>
      <c r="B3613" s="1">
        <v>45333</v>
      </c>
      <c r="C3613" t="s">
        <v>17</v>
      </c>
      <c r="D3613" t="s">
        <v>18</v>
      </c>
      <c r="E3613" t="s">
        <v>13</v>
      </c>
      <c r="F3613" t="s">
        <v>19</v>
      </c>
      <c r="G3613" t="s">
        <v>15</v>
      </c>
      <c r="K3613" cm="1">
        <f t="array" ref="K3613">_xlfn.SWITCH(LeadsData[[#This Row],[Funnel Stage Reached]],"Lead",1,"MQL",2,"SQL",3,"Customer",4)</f>
        <v>1</v>
      </c>
      <c r="L3613" t="str">
        <f>TEXT(LeadsData[[#This Row],[Signup Date]],"mmm-yyyy")</f>
        <v>Feb-2024</v>
      </c>
      <c r="M3613">
        <f>IF(LeadsData[[#This Row],[Stage Number]]&gt;=2,1,0)</f>
        <v>0</v>
      </c>
      <c r="N3613" s="2">
        <f>IF(LeadsData[[#This Row],[Stage Number]]&gt;=3,1,0)</f>
        <v>0</v>
      </c>
      <c r="O3613" s="2">
        <f>IF(LeadsData[[#This Row],[Stage Number]]&gt;=4,1,0)</f>
        <v>0</v>
      </c>
    </row>
    <row r="3614" spans="1:15" x14ac:dyDescent="0.25">
      <c r="A3614" t="s">
        <v>3654</v>
      </c>
      <c r="B3614" s="1">
        <v>45608</v>
      </c>
      <c r="C3614" t="s">
        <v>11</v>
      </c>
      <c r="D3614" t="s">
        <v>68</v>
      </c>
      <c r="E3614" t="s">
        <v>21</v>
      </c>
      <c r="F3614" t="s">
        <v>22</v>
      </c>
      <c r="G3614" t="s">
        <v>29</v>
      </c>
      <c r="K3614" cm="1">
        <f t="array" ref="K3614">_xlfn.SWITCH(LeadsData[[#This Row],[Funnel Stage Reached]],"Lead",1,"MQL",2,"SQL",3,"Customer",4)</f>
        <v>3</v>
      </c>
      <c r="L3614" t="str">
        <f>TEXT(LeadsData[[#This Row],[Signup Date]],"mmm-yyyy")</f>
        <v>Nov-2024</v>
      </c>
      <c r="M3614">
        <f>IF(LeadsData[[#This Row],[Stage Number]]&gt;=2,1,0)</f>
        <v>1</v>
      </c>
      <c r="N3614" s="2">
        <f>IF(LeadsData[[#This Row],[Stage Number]]&gt;=3,1,0)</f>
        <v>1</v>
      </c>
      <c r="O3614" s="2">
        <f>IF(LeadsData[[#This Row],[Stage Number]]&gt;=4,1,0)</f>
        <v>0</v>
      </c>
    </row>
    <row r="3615" spans="1:15" x14ac:dyDescent="0.25">
      <c r="A3615" t="s">
        <v>3655</v>
      </c>
      <c r="B3615" s="1">
        <v>45592</v>
      </c>
      <c r="C3615" t="s">
        <v>17</v>
      </c>
      <c r="D3615" t="s">
        <v>18</v>
      </c>
      <c r="E3615" t="s">
        <v>21</v>
      </c>
      <c r="F3615" t="s">
        <v>19</v>
      </c>
      <c r="G3615" t="s">
        <v>29</v>
      </c>
      <c r="K3615" cm="1">
        <f t="array" ref="K3615">_xlfn.SWITCH(LeadsData[[#This Row],[Funnel Stage Reached]],"Lead",1,"MQL",2,"SQL",3,"Customer",4)</f>
        <v>3</v>
      </c>
      <c r="L3615" t="str">
        <f>TEXT(LeadsData[[#This Row],[Signup Date]],"mmm-yyyy")</f>
        <v>Oct-2024</v>
      </c>
      <c r="M3615">
        <f>IF(LeadsData[[#This Row],[Stage Number]]&gt;=2,1,0)</f>
        <v>1</v>
      </c>
      <c r="N3615" s="2">
        <f>IF(LeadsData[[#This Row],[Stage Number]]&gt;=3,1,0)</f>
        <v>1</v>
      </c>
      <c r="O3615" s="2">
        <f>IF(LeadsData[[#This Row],[Stage Number]]&gt;=4,1,0)</f>
        <v>0</v>
      </c>
    </row>
    <row r="3616" spans="1:15" x14ac:dyDescent="0.25">
      <c r="A3616" t="s">
        <v>3656</v>
      </c>
      <c r="B3616" s="1">
        <v>45586</v>
      </c>
      <c r="C3616" t="s">
        <v>11</v>
      </c>
      <c r="D3616" t="s">
        <v>79</v>
      </c>
      <c r="E3616" t="s">
        <v>21</v>
      </c>
      <c r="F3616" t="s">
        <v>28</v>
      </c>
      <c r="G3616" t="s">
        <v>15</v>
      </c>
      <c r="K3616" cm="1">
        <f t="array" ref="K3616">_xlfn.SWITCH(LeadsData[[#This Row],[Funnel Stage Reached]],"Lead",1,"MQL",2,"SQL",3,"Customer",4)</f>
        <v>1</v>
      </c>
      <c r="L3616" t="str">
        <f>TEXT(LeadsData[[#This Row],[Signup Date]],"mmm-yyyy")</f>
        <v>Oct-2024</v>
      </c>
      <c r="M3616">
        <f>IF(LeadsData[[#This Row],[Stage Number]]&gt;=2,1,0)</f>
        <v>0</v>
      </c>
      <c r="N3616" s="2">
        <f>IF(LeadsData[[#This Row],[Stage Number]]&gt;=3,1,0)</f>
        <v>0</v>
      </c>
      <c r="O3616" s="2">
        <f>IF(LeadsData[[#This Row],[Stage Number]]&gt;=4,1,0)</f>
        <v>0</v>
      </c>
    </row>
    <row r="3617" spans="1:15" x14ac:dyDescent="0.25">
      <c r="A3617" t="s">
        <v>3657</v>
      </c>
      <c r="B3617" s="1">
        <v>45338</v>
      </c>
      <c r="C3617" t="s">
        <v>46</v>
      </c>
      <c r="D3617" t="s">
        <v>56</v>
      </c>
      <c r="E3617" t="s">
        <v>13</v>
      </c>
      <c r="F3617" t="s">
        <v>22</v>
      </c>
      <c r="G3617" t="s">
        <v>23</v>
      </c>
      <c r="K3617" cm="1">
        <f t="array" ref="K3617">_xlfn.SWITCH(LeadsData[[#This Row],[Funnel Stage Reached]],"Lead",1,"MQL",2,"SQL",3,"Customer",4)</f>
        <v>2</v>
      </c>
      <c r="L3617" t="str">
        <f>TEXT(LeadsData[[#This Row],[Signup Date]],"mmm-yyyy")</f>
        <v>Feb-2024</v>
      </c>
      <c r="M3617">
        <f>IF(LeadsData[[#This Row],[Stage Number]]&gt;=2,1,0)</f>
        <v>1</v>
      </c>
      <c r="N3617" s="2">
        <f>IF(LeadsData[[#This Row],[Stage Number]]&gt;=3,1,0)</f>
        <v>0</v>
      </c>
      <c r="O3617" s="2">
        <f>IF(LeadsData[[#This Row],[Stage Number]]&gt;=4,1,0)</f>
        <v>0</v>
      </c>
    </row>
    <row r="3618" spans="1:15" x14ac:dyDescent="0.25">
      <c r="A3618" t="s">
        <v>3658</v>
      </c>
      <c r="B3618" s="1">
        <v>45371</v>
      </c>
      <c r="C3618" t="s">
        <v>11</v>
      </c>
      <c r="D3618" t="s">
        <v>68</v>
      </c>
      <c r="E3618" t="s">
        <v>13</v>
      </c>
      <c r="F3618" t="s">
        <v>14</v>
      </c>
      <c r="G3618" t="s">
        <v>29</v>
      </c>
      <c r="K3618" cm="1">
        <f t="array" ref="K3618">_xlfn.SWITCH(LeadsData[[#This Row],[Funnel Stage Reached]],"Lead",1,"MQL",2,"SQL",3,"Customer",4)</f>
        <v>3</v>
      </c>
      <c r="L3618" t="str">
        <f>TEXT(LeadsData[[#This Row],[Signup Date]],"mmm-yyyy")</f>
        <v>Mar-2024</v>
      </c>
      <c r="M3618">
        <f>IF(LeadsData[[#This Row],[Stage Number]]&gt;=2,1,0)</f>
        <v>1</v>
      </c>
      <c r="N3618" s="2">
        <f>IF(LeadsData[[#This Row],[Stage Number]]&gt;=3,1,0)</f>
        <v>1</v>
      </c>
      <c r="O3618" s="2">
        <f>IF(LeadsData[[#This Row],[Stage Number]]&gt;=4,1,0)</f>
        <v>0</v>
      </c>
    </row>
    <row r="3619" spans="1:15" x14ac:dyDescent="0.25">
      <c r="A3619" t="s">
        <v>3659</v>
      </c>
      <c r="B3619" s="1">
        <v>45371</v>
      </c>
      <c r="C3619" t="s">
        <v>31</v>
      </c>
      <c r="D3619" t="s">
        <v>34</v>
      </c>
      <c r="E3619" t="s">
        <v>13</v>
      </c>
      <c r="F3619" t="s">
        <v>19</v>
      </c>
      <c r="G3619" t="s">
        <v>23</v>
      </c>
      <c r="K3619" cm="1">
        <f t="array" ref="K3619">_xlfn.SWITCH(LeadsData[[#This Row],[Funnel Stage Reached]],"Lead",1,"MQL",2,"SQL",3,"Customer",4)</f>
        <v>2</v>
      </c>
      <c r="L3619" t="str">
        <f>TEXT(LeadsData[[#This Row],[Signup Date]],"mmm-yyyy")</f>
        <v>Mar-2024</v>
      </c>
      <c r="M3619">
        <f>IF(LeadsData[[#This Row],[Stage Number]]&gt;=2,1,0)</f>
        <v>1</v>
      </c>
      <c r="N3619" s="2">
        <f>IF(LeadsData[[#This Row],[Stage Number]]&gt;=3,1,0)</f>
        <v>0</v>
      </c>
      <c r="O3619" s="2">
        <f>IF(LeadsData[[#This Row],[Stage Number]]&gt;=4,1,0)</f>
        <v>0</v>
      </c>
    </row>
    <row r="3620" spans="1:15" x14ac:dyDescent="0.25">
      <c r="A3620" t="s">
        <v>3660</v>
      </c>
      <c r="B3620" s="1">
        <v>45559</v>
      </c>
      <c r="C3620" t="s">
        <v>46</v>
      </c>
      <c r="D3620" t="s">
        <v>56</v>
      </c>
      <c r="E3620" t="s">
        <v>48</v>
      </c>
      <c r="F3620" t="s">
        <v>14</v>
      </c>
      <c r="G3620" t="s">
        <v>42</v>
      </c>
      <c r="H3620">
        <v>47</v>
      </c>
      <c r="I3620" t="s">
        <v>43</v>
      </c>
      <c r="J3620">
        <v>1258.3800000000001</v>
      </c>
      <c r="K3620" cm="1">
        <f t="array" ref="K3620">_xlfn.SWITCH(LeadsData[[#This Row],[Funnel Stage Reached]],"Lead",1,"MQL",2,"SQL",3,"Customer",4)</f>
        <v>4</v>
      </c>
      <c r="L3620" t="str">
        <f>TEXT(LeadsData[[#This Row],[Signup Date]],"mmm-yyyy")</f>
        <v>Sep-2024</v>
      </c>
      <c r="M3620">
        <f>IF(LeadsData[[#This Row],[Stage Number]]&gt;=2,1,0)</f>
        <v>1</v>
      </c>
      <c r="N3620" s="2">
        <f>IF(LeadsData[[#This Row],[Stage Number]]&gt;=3,1,0)</f>
        <v>1</v>
      </c>
      <c r="O3620" s="2">
        <f>IF(LeadsData[[#This Row],[Stage Number]]&gt;=4,1,0)</f>
        <v>1</v>
      </c>
    </row>
    <row r="3621" spans="1:15" x14ac:dyDescent="0.25">
      <c r="A3621" t="s">
        <v>3661</v>
      </c>
      <c r="B3621" s="1">
        <v>45371</v>
      </c>
      <c r="C3621" t="s">
        <v>36</v>
      </c>
      <c r="D3621" t="s">
        <v>37</v>
      </c>
      <c r="E3621" t="s">
        <v>13</v>
      </c>
      <c r="F3621" t="s">
        <v>19</v>
      </c>
      <c r="G3621" t="s">
        <v>23</v>
      </c>
      <c r="K3621" cm="1">
        <f t="array" ref="K3621">_xlfn.SWITCH(LeadsData[[#This Row],[Funnel Stage Reached]],"Lead",1,"MQL",2,"SQL",3,"Customer",4)</f>
        <v>2</v>
      </c>
      <c r="L3621" t="str">
        <f>TEXT(LeadsData[[#This Row],[Signup Date]],"mmm-yyyy")</f>
        <v>Mar-2024</v>
      </c>
      <c r="M3621">
        <f>IF(LeadsData[[#This Row],[Stage Number]]&gt;=2,1,0)</f>
        <v>1</v>
      </c>
      <c r="N3621" s="2">
        <f>IF(LeadsData[[#This Row],[Stage Number]]&gt;=3,1,0)</f>
        <v>0</v>
      </c>
      <c r="O3621" s="2">
        <f>IF(LeadsData[[#This Row],[Stage Number]]&gt;=4,1,0)</f>
        <v>0</v>
      </c>
    </row>
    <row r="3622" spans="1:15" x14ac:dyDescent="0.25">
      <c r="A3622" t="s">
        <v>3662</v>
      </c>
      <c r="B3622" s="1">
        <v>45544</v>
      </c>
      <c r="C3622" t="s">
        <v>17</v>
      </c>
      <c r="D3622" t="s">
        <v>18</v>
      </c>
      <c r="E3622" t="s">
        <v>21</v>
      </c>
      <c r="F3622" t="s">
        <v>19</v>
      </c>
      <c r="G3622" t="s">
        <v>15</v>
      </c>
      <c r="K3622" cm="1">
        <f t="array" ref="K3622">_xlfn.SWITCH(LeadsData[[#This Row],[Funnel Stage Reached]],"Lead",1,"MQL",2,"SQL",3,"Customer",4)</f>
        <v>1</v>
      </c>
      <c r="L3622" t="str">
        <f>TEXT(LeadsData[[#This Row],[Signup Date]],"mmm-yyyy")</f>
        <v>Sep-2024</v>
      </c>
      <c r="M3622">
        <f>IF(LeadsData[[#This Row],[Stage Number]]&gt;=2,1,0)</f>
        <v>0</v>
      </c>
      <c r="N3622" s="2">
        <f>IF(LeadsData[[#This Row],[Stage Number]]&gt;=3,1,0)</f>
        <v>0</v>
      </c>
      <c r="O3622" s="2">
        <f>IF(LeadsData[[#This Row],[Stage Number]]&gt;=4,1,0)</f>
        <v>0</v>
      </c>
    </row>
    <row r="3623" spans="1:15" x14ac:dyDescent="0.25">
      <c r="A3623" t="s">
        <v>3663</v>
      </c>
      <c r="B3623" s="1">
        <v>45353</v>
      </c>
      <c r="C3623" t="s">
        <v>46</v>
      </c>
      <c r="D3623" t="s">
        <v>56</v>
      </c>
      <c r="E3623" t="s">
        <v>48</v>
      </c>
      <c r="F3623" t="s">
        <v>19</v>
      </c>
      <c r="G3623" t="s">
        <v>23</v>
      </c>
      <c r="K3623" cm="1">
        <f t="array" ref="K3623">_xlfn.SWITCH(LeadsData[[#This Row],[Funnel Stage Reached]],"Lead",1,"MQL",2,"SQL",3,"Customer",4)</f>
        <v>2</v>
      </c>
      <c r="L3623" t="str">
        <f>TEXT(LeadsData[[#This Row],[Signup Date]],"mmm-yyyy")</f>
        <v>Mar-2024</v>
      </c>
      <c r="M3623">
        <f>IF(LeadsData[[#This Row],[Stage Number]]&gt;=2,1,0)</f>
        <v>1</v>
      </c>
      <c r="N3623" s="2">
        <f>IF(LeadsData[[#This Row],[Stage Number]]&gt;=3,1,0)</f>
        <v>0</v>
      </c>
      <c r="O3623" s="2">
        <f>IF(LeadsData[[#This Row],[Stage Number]]&gt;=4,1,0)</f>
        <v>0</v>
      </c>
    </row>
    <row r="3624" spans="1:15" x14ac:dyDescent="0.25">
      <c r="A3624" t="s">
        <v>3664</v>
      </c>
      <c r="B3624" s="1">
        <v>45327</v>
      </c>
      <c r="C3624" t="s">
        <v>11</v>
      </c>
      <c r="D3624" t="s">
        <v>79</v>
      </c>
      <c r="E3624" t="s">
        <v>13</v>
      </c>
      <c r="F3624" t="s">
        <v>22</v>
      </c>
      <c r="G3624" t="s">
        <v>15</v>
      </c>
      <c r="K3624" cm="1">
        <f t="array" ref="K3624">_xlfn.SWITCH(LeadsData[[#This Row],[Funnel Stage Reached]],"Lead",1,"MQL",2,"SQL",3,"Customer",4)</f>
        <v>1</v>
      </c>
      <c r="L3624" t="str">
        <f>TEXT(LeadsData[[#This Row],[Signup Date]],"mmm-yyyy")</f>
        <v>Feb-2024</v>
      </c>
      <c r="M3624">
        <f>IF(LeadsData[[#This Row],[Stage Number]]&gt;=2,1,0)</f>
        <v>0</v>
      </c>
      <c r="N3624" s="2">
        <f>IF(LeadsData[[#This Row],[Stage Number]]&gt;=3,1,0)</f>
        <v>0</v>
      </c>
      <c r="O3624" s="2">
        <f>IF(LeadsData[[#This Row],[Stage Number]]&gt;=4,1,0)</f>
        <v>0</v>
      </c>
    </row>
    <row r="3625" spans="1:15" x14ac:dyDescent="0.25">
      <c r="A3625" t="s">
        <v>3665</v>
      </c>
      <c r="B3625" s="1">
        <v>45466</v>
      </c>
      <c r="C3625" t="s">
        <v>17</v>
      </c>
      <c r="D3625" t="s">
        <v>18</v>
      </c>
      <c r="E3625" t="s">
        <v>13</v>
      </c>
      <c r="F3625" t="s">
        <v>22</v>
      </c>
      <c r="G3625" t="s">
        <v>15</v>
      </c>
      <c r="K3625" cm="1">
        <f t="array" ref="K3625">_xlfn.SWITCH(LeadsData[[#This Row],[Funnel Stage Reached]],"Lead",1,"MQL",2,"SQL",3,"Customer",4)</f>
        <v>1</v>
      </c>
      <c r="L3625" t="str">
        <f>TEXT(LeadsData[[#This Row],[Signup Date]],"mmm-yyyy")</f>
        <v>Jun-2024</v>
      </c>
      <c r="M3625">
        <f>IF(LeadsData[[#This Row],[Stage Number]]&gt;=2,1,0)</f>
        <v>0</v>
      </c>
      <c r="N3625" s="2">
        <f>IF(LeadsData[[#This Row],[Stage Number]]&gt;=3,1,0)</f>
        <v>0</v>
      </c>
      <c r="O3625" s="2">
        <f>IF(LeadsData[[#This Row],[Stage Number]]&gt;=4,1,0)</f>
        <v>0</v>
      </c>
    </row>
    <row r="3626" spans="1:15" x14ac:dyDescent="0.25">
      <c r="A3626" t="s">
        <v>3666</v>
      </c>
      <c r="B3626" s="1">
        <v>45570</v>
      </c>
      <c r="C3626" t="s">
        <v>11</v>
      </c>
      <c r="D3626" t="s">
        <v>12</v>
      </c>
      <c r="E3626" t="s">
        <v>13</v>
      </c>
      <c r="F3626" t="s">
        <v>28</v>
      </c>
      <c r="G3626" t="s">
        <v>23</v>
      </c>
      <c r="K3626" cm="1">
        <f t="array" ref="K3626">_xlfn.SWITCH(LeadsData[[#This Row],[Funnel Stage Reached]],"Lead",1,"MQL",2,"SQL",3,"Customer",4)</f>
        <v>2</v>
      </c>
      <c r="L3626" t="str">
        <f>TEXT(LeadsData[[#This Row],[Signup Date]],"mmm-yyyy")</f>
        <v>Oct-2024</v>
      </c>
      <c r="M3626">
        <f>IF(LeadsData[[#This Row],[Stage Number]]&gt;=2,1,0)</f>
        <v>1</v>
      </c>
      <c r="N3626" s="2">
        <f>IF(LeadsData[[#This Row],[Stage Number]]&gt;=3,1,0)</f>
        <v>0</v>
      </c>
      <c r="O3626" s="2">
        <f>IF(LeadsData[[#This Row],[Stage Number]]&gt;=4,1,0)</f>
        <v>0</v>
      </c>
    </row>
    <row r="3627" spans="1:15" x14ac:dyDescent="0.25">
      <c r="A3627" t="s">
        <v>3667</v>
      </c>
      <c r="B3627" s="1">
        <v>45390</v>
      </c>
      <c r="C3627" t="s">
        <v>31</v>
      </c>
      <c r="D3627" t="s">
        <v>34</v>
      </c>
      <c r="E3627" t="s">
        <v>21</v>
      </c>
      <c r="F3627" t="s">
        <v>14</v>
      </c>
      <c r="G3627" t="s">
        <v>15</v>
      </c>
      <c r="K3627" cm="1">
        <f t="array" ref="K3627">_xlfn.SWITCH(LeadsData[[#This Row],[Funnel Stage Reached]],"Lead",1,"MQL",2,"SQL",3,"Customer",4)</f>
        <v>1</v>
      </c>
      <c r="L3627" t="str">
        <f>TEXT(LeadsData[[#This Row],[Signup Date]],"mmm-yyyy")</f>
        <v>Apr-2024</v>
      </c>
      <c r="M3627">
        <f>IF(LeadsData[[#This Row],[Stage Number]]&gt;=2,1,0)</f>
        <v>0</v>
      </c>
      <c r="N3627" s="2">
        <f>IF(LeadsData[[#This Row],[Stage Number]]&gt;=3,1,0)</f>
        <v>0</v>
      </c>
      <c r="O3627" s="2">
        <f>IF(LeadsData[[#This Row],[Stage Number]]&gt;=4,1,0)</f>
        <v>0</v>
      </c>
    </row>
    <row r="3628" spans="1:15" x14ac:dyDescent="0.25">
      <c r="A3628" t="s">
        <v>3668</v>
      </c>
      <c r="B3628" s="1">
        <v>45638</v>
      </c>
      <c r="C3628" t="s">
        <v>46</v>
      </c>
      <c r="D3628" t="s">
        <v>47</v>
      </c>
      <c r="E3628" t="s">
        <v>13</v>
      </c>
      <c r="F3628" t="s">
        <v>28</v>
      </c>
      <c r="G3628" t="s">
        <v>29</v>
      </c>
      <c r="K3628" cm="1">
        <f t="array" ref="K3628">_xlfn.SWITCH(LeadsData[[#This Row],[Funnel Stage Reached]],"Lead",1,"MQL",2,"SQL",3,"Customer",4)</f>
        <v>3</v>
      </c>
      <c r="L3628" t="str">
        <f>TEXT(LeadsData[[#This Row],[Signup Date]],"mmm-yyyy")</f>
        <v>Dec-2024</v>
      </c>
      <c r="M3628">
        <f>IF(LeadsData[[#This Row],[Stage Number]]&gt;=2,1,0)</f>
        <v>1</v>
      </c>
      <c r="N3628" s="2">
        <f>IF(LeadsData[[#This Row],[Stage Number]]&gt;=3,1,0)</f>
        <v>1</v>
      </c>
      <c r="O3628" s="2">
        <f>IF(LeadsData[[#This Row],[Stage Number]]&gt;=4,1,0)</f>
        <v>0</v>
      </c>
    </row>
    <row r="3629" spans="1:15" x14ac:dyDescent="0.25">
      <c r="A3629" t="s">
        <v>3669</v>
      </c>
      <c r="B3629" s="1">
        <v>45457</v>
      </c>
      <c r="C3629" t="s">
        <v>31</v>
      </c>
      <c r="D3629" t="s">
        <v>34</v>
      </c>
      <c r="E3629" t="s">
        <v>13</v>
      </c>
      <c r="F3629" t="s">
        <v>19</v>
      </c>
      <c r="G3629" t="s">
        <v>23</v>
      </c>
      <c r="K3629" cm="1">
        <f t="array" ref="K3629">_xlfn.SWITCH(LeadsData[[#This Row],[Funnel Stage Reached]],"Lead",1,"MQL",2,"SQL",3,"Customer",4)</f>
        <v>2</v>
      </c>
      <c r="L3629" t="str">
        <f>TEXT(LeadsData[[#This Row],[Signup Date]],"mmm-yyyy")</f>
        <v>Jun-2024</v>
      </c>
      <c r="M3629">
        <f>IF(LeadsData[[#This Row],[Stage Number]]&gt;=2,1,0)</f>
        <v>1</v>
      </c>
      <c r="N3629" s="2">
        <f>IF(LeadsData[[#This Row],[Stage Number]]&gt;=3,1,0)</f>
        <v>0</v>
      </c>
      <c r="O3629" s="2">
        <f>IF(LeadsData[[#This Row],[Stage Number]]&gt;=4,1,0)</f>
        <v>0</v>
      </c>
    </row>
    <row r="3630" spans="1:15" x14ac:dyDescent="0.25">
      <c r="A3630" t="s">
        <v>3670</v>
      </c>
      <c r="B3630" s="1">
        <v>45364</v>
      </c>
      <c r="C3630" t="s">
        <v>25</v>
      </c>
      <c r="D3630" t="s">
        <v>26</v>
      </c>
      <c r="E3630" t="s">
        <v>21</v>
      </c>
      <c r="F3630" t="s">
        <v>28</v>
      </c>
      <c r="G3630" t="s">
        <v>23</v>
      </c>
      <c r="K3630" cm="1">
        <f t="array" ref="K3630">_xlfn.SWITCH(LeadsData[[#This Row],[Funnel Stage Reached]],"Lead",1,"MQL",2,"SQL",3,"Customer",4)</f>
        <v>2</v>
      </c>
      <c r="L3630" t="str">
        <f>TEXT(LeadsData[[#This Row],[Signup Date]],"mmm-yyyy")</f>
        <v>Mar-2024</v>
      </c>
      <c r="M3630">
        <f>IF(LeadsData[[#This Row],[Stage Number]]&gt;=2,1,0)</f>
        <v>1</v>
      </c>
      <c r="N3630" s="2">
        <f>IF(LeadsData[[#This Row],[Stage Number]]&gt;=3,1,0)</f>
        <v>0</v>
      </c>
      <c r="O3630" s="2">
        <f>IF(LeadsData[[#This Row],[Stage Number]]&gt;=4,1,0)</f>
        <v>0</v>
      </c>
    </row>
    <row r="3631" spans="1:15" x14ac:dyDescent="0.25">
      <c r="A3631" t="s">
        <v>3671</v>
      </c>
      <c r="B3631" s="1">
        <v>45610</v>
      </c>
      <c r="C3631" t="s">
        <v>11</v>
      </c>
      <c r="D3631" t="s">
        <v>12</v>
      </c>
      <c r="E3631" t="s">
        <v>21</v>
      </c>
      <c r="F3631" t="s">
        <v>14</v>
      </c>
      <c r="G3631" t="s">
        <v>15</v>
      </c>
      <c r="K3631" cm="1">
        <f t="array" ref="K3631">_xlfn.SWITCH(LeadsData[[#This Row],[Funnel Stage Reached]],"Lead",1,"MQL",2,"SQL",3,"Customer",4)</f>
        <v>1</v>
      </c>
      <c r="L3631" t="str">
        <f>TEXT(LeadsData[[#This Row],[Signup Date]],"mmm-yyyy")</f>
        <v>Nov-2024</v>
      </c>
      <c r="M3631">
        <f>IF(LeadsData[[#This Row],[Stage Number]]&gt;=2,1,0)</f>
        <v>0</v>
      </c>
      <c r="N3631" s="2">
        <f>IF(LeadsData[[#This Row],[Stage Number]]&gt;=3,1,0)</f>
        <v>0</v>
      </c>
      <c r="O3631" s="2">
        <f>IF(LeadsData[[#This Row],[Stage Number]]&gt;=4,1,0)</f>
        <v>0</v>
      </c>
    </row>
    <row r="3632" spans="1:15" x14ac:dyDescent="0.25">
      <c r="A3632" t="s">
        <v>3672</v>
      </c>
      <c r="B3632" s="1">
        <v>45606</v>
      </c>
      <c r="C3632" t="s">
        <v>17</v>
      </c>
      <c r="D3632" t="s">
        <v>53</v>
      </c>
      <c r="E3632" t="s">
        <v>13</v>
      </c>
      <c r="F3632" t="s">
        <v>19</v>
      </c>
      <c r="G3632" t="s">
        <v>15</v>
      </c>
      <c r="K3632" cm="1">
        <f t="array" ref="K3632">_xlfn.SWITCH(LeadsData[[#This Row],[Funnel Stage Reached]],"Lead",1,"MQL",2,"SQL",3,"Customer",4)</f>
        <v>1</v>
      </c>
      <c r="L3632" t="str">
        <f>TEXT(LeadsData[[#This Row],[Signup Date]],"mmm-yyyy")</f>
        <v>Nov-2024</v>
      </c>
      <c r="M3632">
        <f>IF(LeadsData[[#This Row],[Stage Number]]&gt;=2,1,0)</f>
        <v>0</v>
      </c>
      <c r="N3632" s="2">
        <f>IF(LeadsData[[#This Row],[Stage Number]]&gt;=3,1,0)</f>
        <v>0</v>
      </c>
      <c r="O3632" s="2">
        <f>IF(LeadsData[[#This Row],[Stage Number]]&gt;=4,1,0)</f>
        <v>0</v>
      </c>
    </row>
    <row r="3633" spans="1:15" x14ac:dyDescent="0.25">
      <c r="A3633" t="s">
        <v>3673</v>
      </c>
      <c r="B3633" s="1">
        <v>45514</v>
      </c>
      <c r="C3633" t="s">
        <v>11</v>
      </c>
      <c r="D3633" t="s">
        <v>79</v>
      </c>
      <c r="E3633" t="s">
        <v>21</v>
      </c>
      <c r="F3633" t="s">
        <v>19</v>
      </c>
      <c r="G3633" t="s">
        <v>15</v>
      </c>
      <c r="K3633" cm="1">
        <f t="array" ref="K3633">_xlfn.SWITCH(LeadsData[[#This Row],[Funnel Stage Reached]],"Lead",1,"MQL",2,"SQL",3,"Customer",4)</f>
        <v>1</v>
      </c>
      <c r="L3633" t="str">
        <f>TEXT(LeadsData[[#This Row],[Signup Date]],"mmm-yyyy")</f>
        <v>Aug-2024</v>
      </c>
      <c r="M3633">
        <f>IF(LeadsData[[#This Row],[Stage Number]]&gt;=2,1,0)</f>
        <v>0</v>
      </c>
      <c r="N3633" s="2">
        <f>IF(LeadsData[[#This Row],[Stage Number]]&gt;=3,1,0)</f>
        <v>0</v>
      </c>
      <c r="O3633" s="2">
        <f>IF(LeadsData[[#This Row],[Stage Number]]&gt;=4,1,0)</f>
        <v>0</v>
      </c>
    </row>
    <row r="3634" spans="1:15" x14ac:dyDescent="0.25">
      <c r="A3634" t="s">
        <v>3674</v>
      </c>
      <c r="B3634" s="1">
        <v>45339</v>
      </c>
      <c r="C3634" t="s">
        <v>36</v>
      </c>
      <c r="D3634" t="s">
        <v>37</v>
      </c>
      <c r="E3634" t="s">
        <v>21</v>
      </c>
      <c r="F3634" t="s">
        <v>22</v>
      </c>
      <c r="G3634" t="s">
        <v>15</v>
      </c>
      <c r="K3634" cm="1">
        <f t="array" ref="K3634">_xlfn.SWITCH(LeadsData[[#This Row],[Funnel Stage Reached]],"Lead",1,"MQL",2,"SQL",3,"Customer",4)</f>
        <v>1</v>
      </c>
      <c r="L3634" t="str">
        <f>TEXT(LeadsData[[#This Row],[Signup Date]],"mmm-yyyy")</f>
        <v>Feb-2024</v>
      </c>
      <c r="M3634">
        <f>IF(LeadsData[[#This Row],[Stage Number]]&gt;=2,1,0)</f>
        <v>0</v>
      </c>
      <c r="N3634" s="2">
        <f>IF(LeadsData[[#This Row],[Stage Number]]&gt;=3,1,0)</f>
        <v>0</v>
      </c>
      <c r="O3634" s="2">
        <f>IF(LeadsData[[#This Row],[Stage Number]]&gt;=4,1,0)</f>
        <v>0</v>
      </c>
    </row>
    <row r="3635" spans="1:15" x14ac:dyDescent="0.25">
      <c r="A3635" t="s">
        <v>3675</v>
      </c>
      <c r="B3635" s="1">
        <v>45593</v>
      </c>
      <c r="C3635" t="s">
        <v>36</v>
      </c>
      <c r="D3635" t="s">
        <v>50</v>
      </c>
      <c r="E3635" t="s">
        <v>48</v>
      </c>
      <c r="F3635" t="s">
        <v>19</v>
      </c>
      <c r="G3635" t="s">
        <v>15</v>
      </c>
      <c r="K3635" cm="1">
        <f t="array" ref="K3635">_xlfn.SWITCH(LeadsData[[#This Row],[Funnel Stage Reached]],"Lead",1,"MQL",2,"SQL",3,"Customer",4)</f>
        <v>1</v>
      </c>
      <c r="L3635" t="str">
        <f>TEXT(LeadsData[[#This Row],[Signup Date]],"mmm-yyyy")</f>
        <v>Oct-2024</v>
      </c>
      <c r="M3635">
        <f>IF(LeadsData[[#This Row],[Stage Number]]&gt;=2,1,0)</f>
        <v>0</v>
      </c>
      <c r="N3635" s="2">
        <f>IF(LeadsData[[#This Row],[Stage Number]]&gt;=3,1,0)</f>
        <v>0</v>
      </c>
      <c r="O3635" s="2">
        <f>IF(LeadsData[[#This Row],[Stage Number]]&gt;=4,1,0)</f>
        <v>0</v>
      </c>
    </row>
    <row r="3636" spans="1:15" x14ac:dyDescent="0.25">
      <c r="A3636" t="s">
        <v>3676</v>
      </c>
      <c r="B3636" s="1">
        <v>45410</v>
      </c>
      <c r="C3636" t="s">
        <v>17</v>
      </c>
      <c r="D3636" t="s">
        <v>53</v>
      </c>
      <c r="E3636" t="s">
        <v>13</v>
      </c>
      <c r="F3636" t="s">
        <v>19</v>
      </c>
      <c r="G3636" t="s">
        <v>15</v>
      </c>
      <c r="K3636" cm="1">
        <f t="array" ref="K3636">_xlfn.SWITCH(LeadsData[[#This Row],[Funnel Stage Reached]],"Lead",1,"MQL",2,"SQL",3,"Customer",4)</f>
        <v>1</v>
      </c>
      <c r="L3636" t="str">
        <f>TEXT(LeadsData[[#This Row],[Signup Date]],"mmm-yyyy")</f>
        <v>Apr-2024</v>
      </c>
      <c r="M3636">
        <f>IF(LeadsData[[#This Row],[Stage Number]]&gt;=2,1,0)</f>
        <v>0</v>
      </c>
      <c r="N3636" s="2">
        <f>IF(LeadsData[[#This Row],[Stage Number]]&gt;=3,1,0)</f>
        <v>0</v>
      </c>
      <c r="O3636" s="2">
        <f>IF(LeadsData[[#This Row],[Stage Number]]&gt;=4,1,0)</f>
        <v>0</v>
      </c>
    </row>
    <row r="3637" spans="1:15" x14ac:dyDescent="0.25">
      <c r="A3637" t="s">
        <v>3677</v>
      </c>
      <c r="B3637" s="1">
        <v>45440</v>
      </c>
      <c r="C3637" t="s">
        <v>17</v>
      </c>
      <c r="D3637" t="s">
        <v>18</v>
      </c>
      <c r="E3637" t="s">
        <v>21</v>
      </c>
      <c r="F3637" t="s">
        <v>22</v>
      </c>
      <c r="G3637" t="s">
        <v>15</v>
      </c>
      <c r="K3637" cm="1">
        <f t="array" ref="K3637">_xlfn.SWITCH(LeadsData[[#This Row],[Funnel Stage Reached]],"Lead",1,"MQL",2,"SQL",3,"Customer",4)</f>
        <v>1</v>
      </c>
      <c r="L3637" t="str">
        <f>TEXT(LeadsData[[#This Row],[Signup Date]],"mmm-yyyy")</f>
        <v>May-2024</v>
      </c>
      <c r="M3637">
        <f>IF(LeadsData[[#This Row],[Stage Number]]&gt;=2,1,0)</f>
        <v>0</v>
      </c>
      <c r="N3637" s="2">
        <f>IF(LeadsData[[#This Row],[Stage Number]]&gt;=3,1,0)</f>
        <v>0</v>
      </c>
      <c r="O3637" s="2">
        <f>IF(LeadsData[[#This Row],[Stage Number]]&gt;=4,1,0)</f>
        <v>0</v>
      </c>
    </row>
    <row r="3638" spans="1:15" x14ac:dyDescent="0.25">
      <c r="A3638" t="s">
        <v>3678</v>
      </c>
      <c r="B3638" s="1">
        <v>45556</v>
      </c>
      <c r="C3638" t="s">
        <v>25</v>
      </c>
      <c r="D3638" t="s">
        <v>26</v>
      </c>
      <c r="E3638" t="s">
        <v>21</v>
      </c>
      <c r="F3638" t="s">
        <v>28</v>
      </c>
      <c r="G3638" t="s">
        <v>15</v>
      </c>
      <c r="K3638" cm="1">
        <f t="array" ref="K3638">_xlfn.SWITCH(LeadsData[[#This Row],[Funnel Stage Reached]],"Lead",1,"MQL",2,"SQL",3,"Customer",4)</f>
        <v>1</v>
      </c>
      <c r="L3638" t="str">
        <f>TEXT(LeadsData[[#This Row],[Signup Date]],"mmm-yyyy")</f>
        <v>Sep-2024</v>
      </c>
      <c r="M3638">
        <f>IF(LeadsData[[#This Row],[Stage Number]]&gt;=2,1,0)</f>
        <v>0</v>
      </c>
      <c r="N3638" s="2">
        <f>IF(LeadsData[[#This Row],[Stage Number]]&gt;=3,1,0)</f>
        <v>0</v>
      </c>
      <c r="O3638" s="2">
        <f>IF(LeadsData[[#This Row],[Stage Number]]&gt;=4,1,0)</f>
        <v>0</v>
      </c>
    </row>
    <row r="3639" spans="1:15" x14ac:dyDescent="0.25">
      <c r="A3639" t="s">
        <v>3679</v>
      </c>
      <c r="B3639" s="1">
        <v>45530</v>
      </c>
      <c r="C3639" t="s">
        <v>46</v>
      </c>
      <c r="D3639" t="s">
        <v>56</v>
      </c>
      <c r="E3639" t="s">
        <v>21</v>
      </c>
      <c r="F3639" t="s">
        <v>19</v>
      </c>
      <c r="G3639" t="s">
        <v>23</v>
      </c>
      <c r="K3639" cm="1">
        <f t="array" ref="K3639">_xlfn.SWITCH(LeadsData[[#This Row],[Funnel Stage Reached]],"Lead",1,"MQL",2,"SQL",3,"Customer",4)</f>
        <v>2</v>
      </c>
      <c r="L3639" t="str">
        <f>TEXT(LeadsData[[#This Row],[Signup Date]],"mmm-yyyy")</f>
        <v>Aug-2024</v>
      </c>
      <c r="M3639">
        <f>IF(LeadsData[[#This Row],[Stage Number]]&gt;=2,1,0)</f>
        <v>1</v>
      </c>
      <c r="N3639" s="2">
        <f>IF(LeadsData[[#This Row],[Stage Number]]&gt;=3,1,0)</f>
        <v>0</v>
      </c>
      <c r="O3639" s="2">
        <f>IF(LeadsData[[#This Row],[Stage Number]]&gt;=4,1,0)</f>
        <v>0</v>
      </c>
    </row>
    <row r="3640" spans="1:15" x14ac:dyDescent="0.25">
      <c r="A3640" t="s">
        <v>3680</v>
      </c>
      <c r="B3640" s="1">
        <v>45544</v>
      </c>
      <c r="C3640" t="s">
        <v>11</v>
      </c>
      <c r="D3640" t="s">
        <v>68</v>
      </c>
      <c r="E3640" t="s">
        <v>13</v>
      </c>
      <c r="F3640" t="s">
        <v>28</v>
      </c>
      <c r="G3640" t="s">
        <v>23</v>
      </c>
      <c r="K3640" cm="1">
        <f t="array" ref="K3640">_xlfn.SWITCH(LeadsData[[#This Row],[Funnel Stage Reached]],"Lead",1,"MQL",2,"SQL",3,"Customer",4)</f>
        <v>2</v>
      </c>
      <c r="L3640" t="str">
        <f>TEXT(LeadsData[[#This Row],[Signup Date]],"mmm-yyyy")</f>
        <v>Sep-2024</v>
      </c>
      <c r="M3640">
        <f>IF(LeadsData[[#This Row],[Stage Number]]&gt;=2,1,0)</f>
        <v>1</v>
      </c>
      <c r="N3640" s="2">
        <f>IF(LeadsData[[#This Row],[Stage Number]]&gt;=3,1,0)</f>
        <v>0</v>
      </c>
      <c r="O3640" s="2">
        <f>IF(LeadsData[[#This Row],[Stage Number]]&gt;=4,1,0)</f>
        <v>0</v>
      </c>
    </row>
    <row r="3641" spans="1:15" x14ac:dyDescent="0.25">
      <c r="A3641" t="s">
        <v>3681</v>
      </c>
      <c r="B3641" s="1">
        <v>45606</v>
      </c>
      <c r="C3641" t="s">
        <v>17</v>
      </c>
      <c r="D3641" t="s">
        <v>53</v>
      </c>
      <c r="E3641" t="s">
        <v>13</v>
      </c>
      <c r="F3641" t="s">
        <v>19</v>
      </c>
      <c r="G3641" t="s">
        <v>23</v>
      </c>
      <c r="K3641" cm="1">
        <f t="array" ref="K3641">_xlfn.SWITCH(LeadsData[[#This Row],[Funnel Stage Reached]],"Lead",1,"MQL",2,"SQL",3,"Customer",4)</f>
        <v>2</v>
      </c>
      <c r="L3641" t="str">
        <f>TEXT(LeadsData[[#This Row],[Signup Date]],"mmm-yyyy")</f>
        <v>Nov-2024</v>
      </c>
      <c r="M3641">
        <f>IF(LeadsData[[#This Row],[Stage Number]]&gt;=2,1,0)</f>
        <v>1</v>
      </c>
      <c r="N3641" s="2">
        <f>IF(LeadsData[[#This Row],[Stage Number]]&gt;=3,1,0)</f>
        <v>0</v>
      </c>
      <c r="O3641" s="2">
        <f>IF(LeadsData[[#This Row],[Stage Number]]&gt;=4,1,0)</f>
        <v>0</v>
      </c>
    </row>
    <row r="3642" spans="1:15" x14ac:dyDescent="0.25">
      <c r="A3642" t="s">
        <v>3682</v>
      </c>
      <c r="B3642" s="1">
        <v>45387</v>
      </c>
      <c r="C3642" t="s">
        <v>46</v>
      </c>
      <c r="D3642" t="s">
        <v>47</v>
      </c>
      <c r="E3642" t="s">
        <v>13</v>
      </c>
      <c r="F3642" t="s">
        <v>19</v>
      </c>
      <c r="G3642" t="s">
        <v>15</v>
      </c>
      <c r="K3642" cm="1">
        <f t="array" ref="K3642">_xlfn.SWITCH(LeadsData[[#This Row],[Funnel Stage Reached]],"Lead",1,"MQL",2,"SQL",3,"Customer",4)</f>
        <v>1</v>
      </c>
      <c r="L3642" t="str">
        <f>TEXT(LeadsData[[#This Row],[Signup Date]],"mmm-yyyy")</f>
        <v>Apr-2024</v>
      </c>
      <c r="M3642">
        <f>IF(LeadsData[[#This Row],[Stage Number]]&gt;=2,1,0)</f>
        <v>0</v>
      </c>
      <c r="N3642" s="2">
        <f>IF(LeadsData[[#This Row],[Stage Number]]&gt;=3,1,0)</f>
        <v>0</v>
      </c>
      <c r="O3642" s="2">
        <f>IF(LeadsData[[#This Row],[Stage Number]]&gt;=4,1,0)</f>
        <v>0</v>
      </c>
    </row>
    <row r="3643" spans="1:15" x14ac:dyDescent="0.25">
      <c r="A3643" t="s">
        <v>3683</v>
      </c>
      <c r="B3643" s="1">
        <v>45643</v>
      </c>
      <c r="C3643" t="s">
        <v>46</v>
      </c>
      <c r="D3643" t="s">
        <v>56</v>
      </c>
      <c r="E3643" t="s">
        <v>48</v>
      </c>
      <c r="F3643" t="s">
        <v>22</v>
      </c>
      <c r="G3643" t="s">
        <v>23</v>
      </c>
      <c r="K3643" cm="1">
        <f t="array" ref="K3643">_xlfn.SWITCH(LeadsData[[#This Row],[Funnel Stage Reached]],"Lead",1,"MQL",2,"SQL",3,"Customer",4)</f>
        <v>2</v>
      </c>
      <c r="L3643" t="str">
        <f>TEXT(LeadsData[[#This Row],[Signup Date]],"mmm-yyyy")</f>
        <v>Dec-2024</v>
      </c>
      <c r="M3643">
        <f>IF(LeadsData[[#This Row],[Stage Number]]&gt;=2,1,0)</f>
        <v>1</v>
      </c>
      <c r="N3643" s="2">
        <f>IF(LeadsData[[#This Row],[Stage Number]]&gt;=3,1,0)</f>
        <v>0</v>
      </c>
      <c r="O3643" s="2">
        <f>IF(LeadsData[[#This Row],[Stage Number]]&gt;=4,1,0)</f>
        <v>0</v>
      </c>
    </row>
    <row r="3644" spans="1:15" x14ac:dyDescent="0.25">
      <c r="A3644" t="s">
        <v>3684</v>
      </c>
      <c r="B3644" s="1">
        <v>45342</v>
      </c>
      <c r="C3644" t="s">
        <v>31</v>
      </c>
      <c r="D3644" t="s">
        <v>32</v>
      </c>
      <c r="E3644" t="s">
        <v>21</v>
      </c>
      <c r="F3644" t="s">
        <v>22</v>
      </c>
      <c r="G3644" t="s">
        <v>15</v>
      </c>
      <c r="K3644" cm="1">
        <f t="array" ref="K3644">_xlfn.SWITCH(LeadsData[[#This Row],[Funnel Stage Reached]],"Lead",1,"MQL",2,"SQL",3,"Customer",4)</f>
        <v>1</v>
      </c>
      <c r="L3644" t="str">
        <f>TEXT(LeadsData[[#This Row],[Signup Date]],"mmm-yyyy")</f>
        <v>Feb-2024</v>
      </c>
      <c r="M3644">
        <f>IF(LeadsData[[#This Row],[Stage Number]]&gt;=2,1,0)</f>
        <v>0</v>
      </c>
      <c r="N3644" s="2">
        <f>IF(LeadsData[[#This Row],[Stage Number]]&gt;=3,1,0)</f>
        <v>0</v>
      </c>
      <c r="O3644" s="2">
        <f>IF(LeadsData[[#This Row],[Stage Number]]&gt;=4,1,0)</f>
        <v>0</v>
      </c>
    </row>
    <row r="3645" spans="1:15" x14ac:dyDescent="0.25">
      <c r="A3645" t="s">
        <v>3685</v>
      </c>
      <c r="B3645" s="1">
        <v>45585</v>
      </c>
      <c r="C3645" t="s">
        <v>25</v>
      </c>
      <c r="D3645" t="s">
        <v>26</v>
      </c>
      <c r="E3645" t="s">
        <v>13</v>
      </c>
      <c r="F3645" t="s">
        <v>14</v>
      </c>
      <c r="G3645" t="s">
        <v>15</v>
      </c>
      <c r="K3645" cm="1">
        <f t="array" ref="K3645">_xlfn.SWITCH(LeadsData[[#This Row],[Funnel Stage Reached]],"Lead",1,"MQL",2,"SQL",3,"Customer",4)</f>
        <v>1</v>
      </c>
      <c r="L3645" t="str">
        <f>TEXT(LeadsData[[#This Row],[Signup Date]],"mmm-yyyy")</f>
        <v>Oct-2024</v>
      </c>
      <c r="M3645">
        <f>IF(LeadsData[[#This Row],[Stage Number]]&gt;=2,1,0)</f>
        <v>0</v>
      </c>
      <c r="N3645" s="2">
        <f>IF(LeadsData[[#This Row],[Stage Number]]&gt;=3,1,0)</f>
        <v>0</v>
      </c>
      <c r="O3645" s="2">
        <f>IF(LeadsData[[#This Row],[Stage Number]]&gt;=4,1,0)</f>
        <v>0</v>
      </c>
    </row>
    <row r="3646" spans="1:15" x14ac:dyDescent="0.25">
      <c r="A3646" t="s">
        <v>3686</v>
      </c>
      <c r="B3646" s="1">
        <v>45338</v>
      </c>
      <c r="C3646" t="s">
        <v>31</v>
      </c>
      <c r="D3646" t="s">
        <v>32</v>
      </c>
      <c r="E3646" t="s">
        <v>13</v>
      </c>
      <c r="F3646" t="s">
        <v>19</v>
      </c>
      <c r="G3646" t="s">
        <v>23</v>
      </c>
      <c r="K3646" cm="1">
        <f t="array" ref="K3646">_xlfn.SWITCH(LeadsData[[#This Row],[Funnel Stage Reached]],"Lead",1,"MQL",2,"SQL",3,"Customer",4)</f>
        <v>2</v>
      </c>
      <c r="L3646" t="str">
        <f>TEXT(LeadsData[[#This Row],[Signup Date]],"mmm-yyyy")</f>
        <v>Feb-2024</v>
      </c>
      <c r="M3646">
        <f>IF(LeadsData[[#This Row],[Stage Number]]&gt;=2,1,0)</f>
        <v>1</v>
      </c>
      <c r="N3646" s="2">
        <f>IF(LeadsData[[#This Row],[Stage Number]]&gt;=3,1,0)</f>
        <v>0</v>
      </c>
      <c r="O3646" s="2">
        <f>IF(LeadsData[[#This Row],[Stage Number]]&gt;=4,1,0)</f>
        <v>0</v>
      </c>
    </row>
    <row r="3647" spans="1:15" x14ac:dyDescent="0.25">
      <c r="A3647" t="s">
        <v>3687</v>
      </c>
      <c r="B3647" s="1">
        <v>45457</v>
      </c>
      <c r="C3647" t="s">
        <v>46</v>
      </c>
      <c r="D3647" t="s">
        <v>56</v>
      </c>
      <c r="E3647" t="s">
        <v>13</v>
      </c>
      <c r="F3647" t="s">
        <v>22</v>
      </c>
      <c r="G3647" t="s">
        <v>15</v>
      </c>
      <c r="K3647" cm="1">
        <f t="array" ref="K3647">_xlfn.SWITCH(LeadsData[[#This Row],[Funnel Stage Reached]],"Lead",1,"MQL",2,"SQL",3,"Customer",4)</f>
        <v>1</v>
      </c>
      <c r="L3647" t="str">
        <f>TEXT(LeadsData[[#This Row],[Signup Date]],"mmm-yyyy")</f>
        <v>Jun-2024</v>
      </c>
      <c r="M3647">
        <f>IF(LeadsData[[#This Row],[Stage Number]]&gt;=2,1,0)</f>
        <v>0</v>
      </c>
      <c r="N3647" s="2">
        <f>IF(LeadsData[[#This Row],[Stage Number]]&gt;=3,1,0)</f>
        <v>0</v>
      </c>
      <c r="O3647" s="2">
        <f>IF(LeadsData[[#This Row],[Stage Number]]&gt;=4,1,0)</f>
        <v>0</v>
      </c>
    </row>
    <row r="3648" spans="1:15" x14ac:dyDescent="0.25">
      <c r="A3648" t="s">
        <v>3688</v>
      </c>
      <c r="B3648" s="1">
        <v>45384</v>
      </c>
      <c r="C3648" t="s">
        <v>36</v>
      </c>
      <c r="D3648" t="s">
        <v>37</v>
      </c>
      <c r="E3648" t="s">
        <v>21</v>
      </c>
      <c r="F3648" t="s">
        <v>14</v>
      </c>
      <c r="G3648" t="s">
        <v>29</v>
      </c>
      <c r="K3648" cm="1">
        <f t="array" ref="K3648">_xlfn.SWITCH(LeadsData[[#This Row],[Funnel Stage Reached]],"Lead",1,"MQL",2,"SQL",3,"Customer",4)</f>
        <v>3</v>
      </c>
      <c r="L3648" t="str">
        <f>TEXT(LeadsData[[#This Row],[Signup Date]],"mmm-yyyy")</f>
        <v>Apr-2024</v>
      </c>
      <c r="M3648">
        <f>IF(LeadsData[[#This Row],[Stage Number]]&gt;=2,1,0)</f>
        <v>1</v>
      </c>
      <c r="N3648" s="2">
        <f>IF(LeadsData[[#This Row],[Stage Number]]&gt;=3,1,0)</f>
        <v>1</v>
      </c>
      <c r="O3648" s="2">
        <f>IF(LeadsData[[#This Row],[Stage Number]]&gt;=4,1,0)</f>
        <v>0</v>
      </c>
    </row>
    <row r="3649" spans="1:15" x14ac:dyDescent="0.25">
      <c r="A3649" t="s">
        <v>3689</v>
      </c>
      <c r="B3649" s="1">
        <v>45651</v>
      </c>
      <c r="C3649" t="s">
        <v>25</v>
      </c>
      <c r="D3649" t="s">
        <v>26</v>
      </c>
      <c r="E3649" t="s">
        <v>13</v>
      </c>
      <c r="F3649" t="s">
        <v>22</v>
      </c>
      <c r="G3649" t="s">
        <v>15</v>
      </c>
      <c r="K3649" cm="1">
        <f t="array" ref="K3649">_xlfn.SWITCH(LeadsData[[#This Row],[Funnel Stage Reached]],"Lead",1,"MQL",2,"SQL",3,"Customer",4)</f>
        <v>1</v>
      </c>
      <c r="L3649" t="str">
        <f>TEXT(LeadsData[[#This Row],[Signup Date]],"mmm-yyyy")</f>
        <v>Dec-2024</v>
      </c>
      <c r="M3649">
        <f>IF(LeadsData[[#This Row],[Stage Number]]&gt;=2,1,0)</f>
        <v>0</v>
      </c>
      <c r="N3649" s="2">
        <f>IF(LeadsData[[#This Row],[Stage Number]]&gt;=3,1,0)</f>
        <v>0</v>
      </c>
      <c r="O3649" s="2">
        <f>IF(LeadsData[[#This Row],[Stage Number]]&gt;=4,1,0)</f>
        <v>0</v>
      </c>
    </row>
    <row r="3650" spans="1:15" x14ac:dyDescent="0.25">
      <c r="A3650" t="s">
        <v>3690</v>
      </c>
      <c r="B3650" s="1">
        <v>45476</v>
      </c>
      <c r="C3650" t="s">
        <v>31</v>
      </c>
      <c r="D3650" t="s">
        <v>34</v>
      </c>
      <c r="E3650" t="s">
        <v>21</v>
      </c>
      <c r="F3650" t="s">
        <v>14</v>
      </c>
      <c r="G3650" t="s">
        <v>23</v>
      </c>
      <c r="K3650" cm="1">
        <f t="array" ref="K3650">_xlfn.SWITCH(LeadsData[[#This Row],[Funnel Stage Reached]],"Lead",1,"MQL",2,"SQL",3,"Customer",4)</f>
        <v>2</v>
      </c>
      <c r="L3650" t="str">
        <f>TEXT(LeadsData[[#This Row],[Signup Date]],"mmm-yyyy")</f>
        <v>Jul-2024</v>
      </c>
      <c r="M3650">
        <f>IF(LeadsData[[#This Row],[Stage Number]]&gt;=2,1,0)</f>
        <v>1</v>
      </c>
      <c r="N3650" s="2">
        <f>IF(LeadsData[[#This Row],[Stage Number]]&gt;=3,1,0)</f>
        <v>0</v>
      </c>
      <c r="O3650" s="2">
        <f>IF(LeadsData[[#This Row],[Stage Number]]&gt;=4,1,0)</f>
        <v>0</v>
      </c>
    </row>
    <row r="3651" spans="1:15" x14ac:dyDescent="0.25">
      <c r="A3651" t="s">
        <v>3691</v>
      </c>
      <c r="B3651" s="1">
        <v>45367</v>
      </c>
      <c r="C3651" t="s">
        <v>17</v>
      </c>
      <c r="D3651" t="s">
        <v>18</v>
      </c>
      <c r="E3651" t="s">
        <v>21</v>
      </c>
      <c r="F3651" t="s">
        <v>19</v>
      </c>
      <c r="G3651" t="s">
        <v>42</v>
      </c>
      <c r="H3651">
        <v>22</v>
      </c>
      <c r="I3651" t="s">
        <v>183</v>
      </c>
      <c r="J3651">
        <v>8081.02</v>
      </c>
      <c r="K3651" cm="1">
        <f t="array" ref="K3651">_xlfn.SWITCH(LeadsData[[#This Row],[Funnel Stage Reached]],"Lead",1,"MQL",2,"SQL",3,"Customer",4)</f>
        <v>4</v>
      </c>
      <c r="L3651" t="str">
        <f>TEXT(LeadsData[[#This Row],[Signup Date]],"mmm-yyyy")</f>
        <v>Mar-2024</v>
      </c>
      <c r="M3651">
        <f>IF(LeadsData[[#This Row],[Stage Number]]&gt;=2,1,0)</f>
        <v>1</v>
      </c>
      <c r="N3651" s="2">
        <f>IF(LeadsData[[#This Row],[Stage Number]]&gt;=3,1,0)</f>
        <v>1</v>
      </c>
      <c r="O3651" s="2">
        <f>IF(LeadsData[[#This Row],[Stage Number]]&gt;=4,1,0)</f>
        <v>1</v>
      </c>
    </row>
    <row r="3652" spans="1:15" x14ac:dyDescent="0.25">
      <c r="A3652" t="s">
        <v>3692</v>
      </c>
      <c r="B3652" s="1">
        <v>45622</v>
      </c>
      <c r="C3652" t="s">
        <v>17</v>
      </c>
      <c r="D3652" t="s">
        <v>53</v>
      </c>
      <c r="E3652" t="s">
        <v>13</v>
      </c>
      <c r="F3652" t="s">
        <v>19</v>
      </c>
      <c r="G3652" t="s">
        <v>15</v>
      </c>
      <c r="K3652" cm="1">
        <f t="array" ref="K3652">_xlfn.SWITCH(LeadsData[[#This Row],[Funnel Stage Reached]],"Lead",1,"MQL",2,"SQL",3,"Customer",4)</f>
        <v>1</v>
      </c>
      <c r="L3652" t="str">
        <f>TEXT(LeadsData[[#This Row],[Signup Date]],"mmm-yyyy")</f>
        <v>Nov-2024</v>
      </c>
      <c r="M3652">
        <f>IF(LeadsData[[#This Row],[Stage Number]]&gt;=2,1,0)</f>
        <v>0</v>
      </c>
      <c r="N3652" s="2">
        <f>IF(LeadsData[[#This Row],[Stage Number]]&gt;=3,1,0)</f>
        <v>0</v>
      </c>
      <c r="O3652" s="2">
        <f>IF(LeadsData[[#This Row],[Stage Number]]&gt;=4,1,0)</f>
        <v>0</v>
      </c>
    </row>
    <row r="3653" spans="1:15" x14ac:dyDescent="0.25">
      <c r="A3653" t="s">
        <v>3693</v>
      </c>
      <c r="B3653" s="1">
        <v>45601</v>
      </c>
      <c r="C3653" t="s">
        <v>25</v>
      </c>
      <c r="D3653" t="s">
        <v>26</v>
      </c>
      <c r="E3653" t="s">
        <v>13</v>
      </c>
      <c r="F3653" t="s">
        <v>28</v>
      </c>
      <c r="G3653" t="s">
        <v>42</v>
      </c>
      <c r="H3653">
        <v>18</v>
      </c>
      <c r="I3653" t="s">
        <v>43</v>
      </c>
      <c r="J3653">
        <v>555.61</v>
      </c>
      <c r="K3653" cm="1">
        <f t="array" ref="K3653">_xlfn.SWITCH(LeadsData[[#This Row],[Funnel Stage Reached]],"Lead",1,"MQL",2,"SQL",3,"Customer",4)</f>
        <v>4</v>
      </c>
      <c r="L3653" t="str">
        <f>TEXT(LeadsData[[#This Row],[Signup Date]],"mmm-yyyy")</f>
        <v>Nov-2024</v>
      </c>
      <c r="M3653">
        <f>IF(LeadsData[[#This Row],[Stage Number]]&gt;=2,1,0)</f>
        <v>1</v>
      </c>
      <c r="N3653" s="2">
        <f>IF(LeadsData[[#This Row],[Stage Number]]&gt;=3,1,0)</f>
        <v>1</v>
      </c>
      <c r="O3653" s="2">
        <f>IF(LeadsData[[#This Row],[Stage Number]]&gt;=4,1,0)</f>
        <v>1</v>
      </c>
    </row>
    <row r="3654" spans="1:15" x14ac:dyDescent="0.25">
      <c r="A3654" t="s">
        <v>3694</v>
      </c>
      <c r="B3654" s="1">
        <v>45452</v>
      </c>
      <c r="C3654" t="s">
        <v>25</v>
      </c>
      <c r="D3654" t="s">
        <v>26</v>
      </c>
      <c r="E3654" t="s">
        <v>21</v>
      </c>
      <c r="F3654" t="s">
        <v>14</v>
      </c>
      <c r="G3654" t="s">
        <v>15</v>
      </c>
      <c r="K3654" cm="1">
        <f t="array" ref="K3654">_xlfn.SWITCH(LeadsData[[#This Row],[Funnel Stage Reached]],"Lead",1,"MQL",2,"SQL",3,"Customer",4)</f>
        <v>1</v>
      </c>
      <c r="L3654" t="str">
        <f>TEXT(LeadsData[[#This Row],[Signup Date]],"mmm-yyyy")</f>
        <v>Jun-2024</v>
      </c>
      <c r="M3654">
        <f>IF(LeadsData[[#This Row],[Stage Number]]&gt;=2,1,0)</f>
        <v>0</v>
      </c>
      <c r="N3654" s="2">
        <f>IF(LeadsData[[#This Row],[Stage Number]]&gt;=3,1,0)</f>
        <v>0</v>
      </c>
      <c r="O3654" s="2">
        <f>IF(LeadsData[[#This Row],[Stage Number]]&gt;=4,1,0)</f>
        <v>0</v>
      </c>
    </row>
    <row r="3655" spans="1:15" x14ac:dyDescent="0.25">
      <c r="A3655" t="s">
        <v>3695</v>
      </c>
      <c r="B3655" s="1">
        <v>45413</v>
      </c>
      <c r="C3655" t="s">
        <v>31</v>
      </c>
      <c r="D3655" t="s">
        <v>34</v>
      </c>
      <c r="E3655" t="s">
        <v>21</v>
      </c>
      <c r="F3655" t="s">
        <v>22</v>
      </c>
      <c r="G3655" t="s">
        <v>23</v>
      </c>
      <c r="K3655" cm="1">
        <f t="array" ref="K3655">_xlfn.SWITCH(LeadsData[[#This Row],[Funnel Stage Reached]],"Lead",1,"MQL",2,"SQL",3,"Customer",4)</f>
        <v>2</v>
      </c>
      <c r="L3655" t="str">
        <f>TEXT(LeadsData[[#This Row],[Signup Date]],"mmm-yyyy")</f>
        <v>May-2024</v>
      </c>
      <c r="M3655">
        <f>IF(LeadsData[[#This Row],[Stage Number]]&gt;=2,1,0)</f>
        <v>1</v>
      </c>
      <c r="N3655" s="2">
        <f>IF(LeadsData[[#This Row],[Stage Number]]&gt;=3,1,0)</f>
        <v>0</v>
      </c>
      <c r="O3655" s="2">
        <f>IF(LeadsData[[#This Row],[Stage Number]]&gt;=4,1,0)</f>
        <v>0</v>
      </c>
    </row>
    <row r="3656" spans="1:15" x14ac:dyDescent="0.25">
      <c r="A3656" t="s">
        <v>3696</v>
      </c>
      <c r="B3656" s="1">
        <v>45366</v>
      </c>
      <c r="C3656" t="s">
        <v>11</v>
      </c>
      <c r="D3656" t="s">
        <v>68</v>
      </c>
      <c r="E3656" t="s">
        <v>13</v>
      </c>
      <c r="F3656" t="s">
        <v>14</v>
      </c>
      <c r="G3656" t="s">
        <v>15</v>
      </c>
      <c r="K3656" cm="1">
        <f t="array" ref="K3656">_xlfn.SWITCH(LeadsData[[#This Row],[Funnel Stage Reached]],"Lead",1,"MQL",2,"SQL",3,"Customer",4)</f>
        <v>1</v>
      </c>
      <c r="L3656" t="str">
        <f>TEXT(LeadsData[[#This Row],[Signup Date]],"mmm-yyyy")</f>
        <v>Mar-2024</v>
      </c>
      <c r="M3656">
        <f>IF(LeadsData[[#This Row],[Stage Number]]&gt;=2,1,0)</f>
        <v>0</v>
      </c>
      <c r="N3656" s="2">
        <f>IF(LeadsData[[#This Row],[Stage Number]]&gt;=3,1,0)</f>
        <v>0</v>
      </c>
      <c r="O3656" s="2">
        <f>IF(LeadsData[[#This Row],[Stage Number]]&gt;=4,1,0)</f>
        <v>0</v>
      </c>
    </row>
    <row r="3657" spans="1:15" x14ac:dyDescent="0.25">
      <c r="A3657" t="s">
        <v>3697</v>
      </c>
      <c r="B3657" s="1">
        <v>45402</v>
      </c>
      <c r="C3657" t="s">
        <v>25</v>
      </c>
      <c r="D3657" t="s">
        <v>26</v>
      </c>
      <c r="E3657" t="s">
        <v>13</v>
      </c>
      <c r="F3657" t="s">
        <v>19</v>
      </c>
      <c r="G3657" t="s">
        <v>23</v>
      </c>
      <c r="K3657" cm="1">
        <f t="array" ref="K3657">_xlfn.SWITCH(LeadsData[[#This Row],[Funnel Stage Reached]],"Lead",1,"MQL",2,"SQL",3,"Customer",4)</f>
        <v>2</v>
      </c>
      <c r="L3657" t="str">
        <f>TEXT(LeadsData[[#This Row],[Signup Date]],"mmm-yyyy")</f>
        <v>Apr-2024</v>
      </c>
      <c r="M3657">
        <f>IF(LeadsData[[#This Row],[Stage Number]]&gt;=2,1,0)</f>
        <v>1</v>
      </c>
      <c r="N3657" s="2">
        <f>IF(LeadsData[[#This Row],[Stage Number]]&gt;=3,1,0)</f>
        <v>0</v>
      </c>
      <c r="O3657" s="2">
        <f>IF(LeadsData[[#This Row],[Stage Number]]&gt;=4,1,0)</f>
        <v>0</v>
      </c>
    </row>
    <row r="3658" spans="1:15" x14ac:dyDescent="0.25">
      <c r="A3658" t="s">
        <v>3698</v>
      </c>
      <c r="B3658" s="1">
        <v>45306</v>
      </c>
      <c r="C3658" t="s">
        <v>11</v>
      </c>
      <c r="D3658" t="s">
        <v>79</v>
      </c>
      <c r="E3658" t="s">
        <v>21</v>
      </c>
      <c r="F3658" t="s">
        <v>22</v>
      </c>
      <c r="G3658" t="s">
        <v>15</v>
      </c>
      <c r="K3658" cm="1">
        <f t="array" ref="K3658">_xlfn.SWITCH(LeadsData[[#This Row],[Funnel Stage Reached]],"Lead",1,"MQL",2,"SQL",3,"Customer",4)</f>
        <v>1</v>
      </c>
      <c r="L3658" t="str">
        <f>TEXT(LeadsData[[#This Row],[Signup Date]],"mmm-yyyy")</f>
        <v>Jan-2024</v>
      </c>
      <c r="M3658">
        <f>IF(LeadsData[[#This Row],[Stage Number]]&gt;=2,1,0)</f>
        <v>0</v>
      </c>
      <c r="N3658" s="2">
        <f>IF(LeadsData[[#This Row],[Stage Number]]&gt;=3,1,0)</f>
        <v>0</v>
      </c>
      <c r="O3658" s="2">
        <f>IF(LeadsData[[#This Row],[Stage Number]]&gt;=4,1,0)</f>
        <v>0</v>
      </c>
    </row>
    <row r="3659" spans="1:15" x14ac:dyDescent="0.25">
      <c r="A3659" t="s">
        <v>3699</v>
      </c>
      <c r="B3659" s="1">
        <v>45403</v>
      </c>
      <c r="C3659" t="s">
        <v>46</v>
      </c>
      <c r="D3659" t="s">
        <v>47</v>
      </c>
      <c r="E3659" t="s">
        <v>21</v>
      </c>
      <c r="F3659" t="s">
        <v>19</v>
      </c>
      <c r="G3659" t="s">
        <v>15</v>
      </c>
      <c r="K3659" cm="1">
        <f t="array" ref="K3659">_xlfn.SWITCH(LeadsData[[#This Row],[Funnel Stage Reached]],"Lead",1,"MQL",2,"SQL",3,"Customer",4)</f>
        <v>1</v>
      </c>
      <c r="L3659" t="str">
        <f>TEXT(LeadsData[[#This Row],[Signup Date]],"mmm-yyyy")</f>
        <v>Apr-2024</v>
      </c>
      <c r="M3659">
        <f>IF(LeadsData[[#This Row],[Stage Number]]&gt;=2,1,0)</f>
        <v>0</v>
      </c>
      <c r="N3659" s="2">
        <f>IF(LeadsData[[#This Row],[Stage Number]]&gt;=3,1,0)</f>
        <v>0</v>
      </c>
      <c r="O3659" s="2">
        <f>IF(LeadsData[[#This Row],[Stage Number]]&gt;=4,1,0)</f>
        <v>0</v>
      </c>
    </row>
    <row r="3660" spans="1:15" x14ac:dyDescent="0.25">
      <c r="A3660" t="s">
        <v>3700</v>
      </c>
      <c r="B3660" s="1">
        <v>45623</v>
      </c>
      <c r="C3660" t="s">
        <v>46</v>
      </c>
      <c r="D3660" t="s">
        <v>47</v>
      </c>
      <c r="E3660" t="s">
        <v>13</v>
      </c>
      <c r="F3660" t="s">
        <v>22</v>
      </c>
      <c r="G3660" t="s">
        <v>23</v>
      </c>
      <c r="K3660" cm="1">
        <f t="array" ref="K3660">_xlfn.SWITCH(LeadsData[[#This Row],[Funnel Stage Reached]],"Lead",1,"MQL",2,"SQL",3,"Customer",4)</f>
        <v>2</v>
      </c>
      <c r="L3660" t="str">
        <f>TEXT(LeadsData[[#This Row],[Signup Date]],"mmm-yyyy")</f>
        <v>Nov-2024</v>
      </c>
      <c r="M3660">
        <f>IF(LeadsData[[#This Row],[Stage Number]]&gt;=2,1,0)</f>
        <v>1</v>
      </c>
      <c r="N3660" s="2">
        <f>IF(LeadsData[[#This Row],[Stage Number]]&gt;=3,1,0)</f>
        <v>0</v>
      </c>
      <c r="O3660" s="2">
        <f>IF(LeadsData[[#This Row],[Stage Number]]&gt;=4,1,0)</f>
        <v>0</v>
      </c>
    </row>
    <row r="3661" spans="1:15" x14ac:dyDescent="0.25">
      <c r="A3661" t="s">
        <v>3701</v>
      </c>
      <c r="B3661" s="1">
        <v>45346</v>
      </c>
      <c r="C3661" t="s">
        <v>17</v>
      </c>
      <c r="D3661" t="s">
        <v>18</v>
      </c>
      <c r="E3661" t="s">
        <v>13</v>
      </c>
      <c r="F3661" t="s">
        <v>19</v>
      </c>
      <c r="G3661" t="s">
        <v>23</v>
      </c>
      <c r="K3661" cm="1">
        <f t="array" ref="K3661">_xlfn.SWITCH(LeadsData[[#This Row],[Funnel Stage Reached]],"Lead",1,"MQL",2,"SQL",3,"Customer",4)</f>
        <v>2</v>
      </c>
      <c r="L3661" t="str">
        <f>TEXT(LeadsData[[#This Row],[Signup Date]],"mmm-yyyy")</f>
        <v>Feb-2024</v>
      </c>
      <c r="M3661">
        <f>IF(LeadsData[[#This Row],[Stage Number]]&gt;=2,1,0)</f>
        <v>1</v>
      </c>
      <c r="N3661" s="2">
        <f>IF(LeadsData[[#This Row],[Stage Number]]&gt;=3,1,0)</f>
        <v>0</v>
      </c>
      <c r="O3661" s="2">
        <f>IF(LeadsData[[#This Row],[Stage Number]]&gt;=4,1,0)</f>
        <v>0</v>
      </c>
    </row>
    <row r="3662" spans="1:15" x14ac:dyDescent="0.25">
      <c r="A3662" t="s">
        <v>3702</v>
      </c>
      <c r="B3662" s="1">
        <v>45417</v>
      </c>
      <c r="C3662" t="s">
        <v>17</v>
      </c>
      <c r="D3662" t="s">
        <v>18</v>
      </c>
      <c r="E3662" t="s">
        <v>21</v>
      </c>
      <c r="F3662" t="s">
        <v>22</v>
      </c>
      <c r="G3662" t="s">
        <v>15</v>
      </c>
      <c r="K3662" cm="1">
        <f t="array" ref="K3662">_xlfn.SWITCH(LeadsData[[#This Row],[Funnel Stage Reached]],"Lead",1,"MQL",2,"SQL",3,"Customer",4)</f>
        <v>1</v>
      </c>
      <c r="L3662" t="str">
        <f>TEXT(LeadsData[[#This Row],[Signup Date]],"mmm-yyyy")</f>
        <v>May-2024</v>
      </c>
      <c r="M3662">
        <f>IF(LeadsData[[#This Row],[Stage Number]]&gt;=2,1,0)</f>
        <v>0</v>
      </c>
      <c r="N3662" s="2">
        <f>IF(LeadsData[[#This Row],[Stage Number]]&gt;=3,1,0)</f>
        <v>0</v>
      </c>
      <c r="O3662" s="2">
        <f>IF(LeadsData[[#This Row],[Stage Number]]&gt;=4,1,0)</f>
        <v>0</v>
      </c>
    </row>
    <row r="3663" spans="1:15" x14ac:dyDescent="0.25">
      <c r="A3663" t="s">
        <v>3703</v>
      </c>
      <c r="B3663" s="1">
        <v>45361</v>
      </c>
      <c r="C3663" t="s">
        <v>25</v>
      </c>
      <c r="D3663" t="s">
        <v>26</v>
      </c>
      <c r="E3663" t="s">
        <v>21</v>
      </c>
      <c r="F3663" t="s">
        <v>14</v>
      </c>
      <c r="G3663" t="s">
        <v>15</v>
      </c>
      <c r="K3663" cm="1">
        <f t="array" ref="K3663">_xlfn.SWITCH(LeadsData[[#This Row],[Funnel Stage Reached]],"Lead",1,"MQL",2,"SQL",3,"Customer",4)</f>
        <v>1</v>
      </c>
      <c r="L3663" t="str">
        <f>TEXT(LeadsData[[#This Row],[Signup Date]],"mmm-yyyy")</f>
        <v>Mar-2024</v>
      </c>
      <c r="M3663">
        <f>IF(LeadsData[[#This Row],[Stage Number]]&gt;=2,1,0)</f>
        <v>0</v>
      </c>
      <c r="N3663" s="2">
        <f>IF(LeadsData[[#This Row],[Stage Number]]&gt;=3,1,0)</f>
        <v>0</v>
      </c>
      <c r="O3663" s="2">
        <f>IF(LeadsData[[#This Row],[Stage Number]]&gt;=4,1,0)</f>
        <v>0</v>
      </c>
    </row>
    <row r="3664" spans="1:15" x14ac:dyDescent="0.25">
      <c r="A3664" t="s">
        <v>3704</v>
      </c>
      <c r="B3664" s="1">
        <v>45323</v>
      </c>
      <c r="C3664" t="s">
        <v>31</v>
      </c>
      <c r="D3664" t="s">
        <v>32</v>
      </c>
      <c r="E3664" t="s">
        <v>13</v>
      </c>
      <c r="F3664" t="s">
        <v>19</v>
      </c>
      <c r="G3664" t="s">
        <v>23</v>
      </c>
      <c r="K3664" cm="1">
        <f t="array" ref="K3664">_xlfn.SWITCH(LeadsData[[#This Row],[Funnel Stage Reached]],"Lead",1,"MQL",2,"SQL",3,"Customer",4)</f>
        <v>2</v>
      </c>
      <c r="L3664" t="str">
        <f>TEXT(LeadsData[[#This Row],[Signup Date]],"mmm-yyyy")</f>
        <v>Feb-2024</v>
      </c>
      <c r="M3664">
        <f>IF(LeadsData[[#This Row],[Stage Number]]&gt;=2,1,0)</f>
        <v>1</v>
      </c>
      <c r="N3664" s="2">
        <f>IF(LeadsData[[#This Row],[Stage Number]]&gt;=3,1,0)</f>
        <v>0</v>
      </c>
      <c r="O3664" s="2">
        <f>IF(LeadsData[[#This Row],[Stage Number]]&gt;=4,1,0)</f>
        <v>0</v>
      </c>
    </row>
    <row r="3665" spans="1:15" x14ac:dyDescent="0.25">
      <c r="A3665" t="s">
        <v>3705</v>
      </c>
      <c r="B3665" s="1">
        <v>45466</v>
      </c>
      <c r="C3665" t="s">
        <v>46</v>
      </c>
      <c r="D3665" t="s">
        <v>47</v>
      </c>
      <c r="E3665" t="s">
        <v>13</v>
      </c>
      <c r="F3665" t="s">
        <v>19</v>
      </c>
      <c r="G3665" t="s">
        <v>23</v>
      </c>
      <c r="K3665" cm="1">
        <f t="array" ref="K3665">_xlfn.SWITCH(LeadsData[[#This Row],[Funnel Stage Reached]],"Lead",1,"MQL",2,"SQL",3,"Customer",4)</f>
        <v>2</v>
      </c>
      <c r="L3665" t="str">
        <f>TEXT(LeadsData[[#This Row],[Signup Date]],"mmm-yyyy")</f>
        <v>Jun-2024</v>
      </c>
      <c r="M3665">
        <f>IF(LeadsData[[#This Row],[Stage Number]]&gt;=2,1,0)</f>
        <v>1</v>
      </c>
      <c r="N3665" s="2">
        <f>IF(LeadsData[[#This Row],[Stage Number]]&gt;=3,1,0)</f>
        <v>0</v>
      </c>
      <c r="O3665" s="2">
        <f>IF(LeadsData[[#This Row],[Stage Number]]&gt;=4,1,0)</f>
        <v>0</v>
      </c>
    </row>
    <row r="3666" spans="1:15" x14ac:dyDescent="0.25">
      <c r="A3666" t="s">
        <v>3706</v>
      </c>
      <c r="B3666" s="1">
        <v>45418</v>
      </c>
      <c r="C3666" t="s">
        <v>31</v>
      </c>
      <c r="D3666" t="s">
        <v>34</v>
      </c>
      <c r="E3666" t="s">
        <v>13</v>
      </c>
      <c r="F3666" t="s">
        <v>22</v>
      </c>
      <c r="G3666" t="s">
        <v>15</v>
      </c>
      <c r="K3666" cm="1">
        <f t="array" ref="K3666">_xlfn.SWITCH(LeadsData[[#This Row],[Funnel Stage Reached]],"Lead",1,"MQL",2,"SQL",3,"Customer",4)</f>
        <v>1</v>
      </c>
      <c r="L3666" t="str">
        <f>TEXT(LeadsData[[#This Row],[Signup Date]],"mmm-yyyy")</f>
        <v>May-2024</v>
      </c>
      <c r="M3666">
        <f>IF(LeadsData[[#This Row],[Stage Number]]&gt;=2,1,0)</f>
        <v>0</v>
      </c>
      <c r="N3666" s="2">
        <f>IF(LeadsData[[#This Row],[Stage Number]]&gt;=3,1,0)</f>
        <v>0</v>
      </c>
      <c r="O3666" s="2">
        <f>IF(LeadsData[[#This Row],[Stage Number]]&gt;=4,1,0)</f>
        <v>0</v>
      </c>
    </row>
    <row r="3667" spans="1:15" x14ac:dyDescent="0.25">
      <c r="A3667" t="s">
        <v>3707</v>
      </c>
      <c r="B3667" s="1">
        <v>45644</v>
      </c>
      <c r="C3667" t="s">
        <v>25</v>
      </c>
      <c r="D3667" t="s">
        <v>26</v>
      </c>
      <c r="E3667" t="s">
        <v>13</v>
      </c>
      <c r="F3667" t="s">
        <v>28</v>
      </c>
      <c r="G3667" t="s">
        <v>23</v>
      </c>
      <c r="K3667" cm="1">
        <f t="array" ref="K3667">_xlfn.SWITCH(LeadsData[[#This Row],[Funnel Stage Reached]],"Lead",1,"MQL",2,"SQL",3,"Customer",4)</f>
        <v>2</v>
      </c>
      <c r="L3667" t="str">
        <f>TEXT(LeadsData[[#This Row],[Signup Date]],"mmm-yyyy")</f>
        <v>Dec-2024</v>
      </c>
      <c r="M3667">
        <f>IF(LeadsData[[#This Row],[Stage Number]]&gt;=2,1,0)</f>
        <v>1</v>
      </c>
      <c r="N3667" s="2">
        <f>IF(LeadsData[[#This Row],[Stage Number]]&gt;=3,1,0)</f>
        <v>0</v>
      </c>
      <c r="O3667" s="2">
        <f>IF(LeadsData[[#This Row],[Stage Number]]&gt;=4,1,0)</f>
        <v>0</v>
      </c>
    </row>
    <row r="3668" spans="1:15" x14ac:dyDescent="0.25">
      <c r="A3668" t="s">
        <v>3708</v>
      </c>
      <c r="B3668" s="1">
        <v>45394</v>
      </c>
      <c r="C3668" t="s">
        <v>31</v>
      </c>
      <c r="D3668" t="s">
        <v>34</v>
      </c>
      <c r="E3668" t="s">
        <v>13</v>
      </c>
      <c r="F3668" t="s">
        <v>19</v>
      </c>
      <c r="G3668" t="s">
        <v>29</v>
      </c>
      <c r="K3668" cm="1">
        <f t="array" ref="K3668">_xlfn.SWITCH(LeadsData[[#This Row],[Funnel Stage Reached]],"Lead",1,"MQL",2,"SQL",3,"Customer",4)</f>
        <v>3</v>
      </c>
      <c r="L3668" t="str">
        <f>TEXT(LeadsData[[#This Row],[Signup Date]],"mmm-yyyy")</f>
        <v>Apr-2024</v>
      </c>
      <c r="M3668">
        <f>IF(LeadsData[[#This Row],[Stage Number]]&gt;=2,1,0)</f>
        <v>1</v>
      </c>
      <c r="N3668" s="2">
        <f>IF(LeadsData[[#This Row],[Stage Number]]&gt;=3,1,0)</f>
        <v>1</v>
      </c>
      <c r="O3668" s="2">
        <f>IF(LeadsData[[#This Row],[Stage Number]]&gt;=4,1,0)</f>
        <v>0</v>
      </c>
    </row>
    <row r="3669" spans="1:15" x14ac:dyDescent="0.25">
      <c r="A3669" t="s">
        <v>3709</v>
      </c>
      <c r="B3669" s="1">
        <v>45310</v>
      </c>
      <c r="C3669" t="s">
        <v>17</v>
      </c>
      <c r="D3669" t="s">
        <v>53</v>
      </c>
      <c r="E3669" t="s">
        <v>13</v>
      </c>
      <c r="F3669" t="s">
        <v>22</v>
      </c>
      <c r="G3669" t="s">
        <v>23</v>
      </c>
      <c r="K3669" cm="1">
        <f t="array" ref="K3669">_xlfn.SWITCH(LeadsData[[#This Row],[Funnel Stage Reached]],"Lead",1,"MQL",2,"SQL",3,"Customer",4)</f>
        <v>2</v>
      </c>
      <c r="L3669" t="str">
        <f>TEXT(LeadsData[[#This Row],[Signup Date]],"mmm-yyyy")</f>
        <v>Jan-2024</v>
      </c>
      <c r="M3669">
        <f>IF(LeadsData[[#This Row],[Stage Number]]&gt;=2,1,0)</f>
        <v>1</v>
      </c>
      <c r="N3669" s="2">
        <f>IF(LeadsData[[#This Row],[Stage Number]]&gt;=3,1,0)</f>
        <v>0</v>
      </c>
      <c r="O3669" s="2">
        <f>IF(LeadsData[[#This Row],[Stage Number]]&gt;=4,1,0)</f>
        <v>0</v>
      </c>
    </row>
    <row r="3670" spans="1:15" x14ac:dyDescent="0.25">
      <c r="A3670" t="s">
        <v>3710</v>
      </c>
      <c r="B3670" s="1">
        <v>45303</v>
      </c>
      <c r="C3670" t="s">
        <v>11</v>
      </c>
      <c r="D3670" t="s">
        <v>68</v>
      </c>
      <c r="E3670" t="s">
        <v>13</v>
      </c>
      <c r="F3670" t="s">
        <v>19</v>
      </c>
      <c r="G3670" t="s">
        <v>23</v>
      </c>
      <c r="K3670" cm="1">
        <f t="array" ref="K3670">_xlfn.SWITCH(LeadsData[[#This Row],[Funnel Stage Reached]],"Lead",1,"MQL",2,"SQL",3,"Customer",4)</f>
        <v>2</v>
      </c>
      <c r="L3670" t="str">
        <f>TEXT(LeadsData[[#This Row],[Signup Date]],"mmm-yyyy")</f>
        <v>Jan-2024</v>
      </c>
      <c r="M3670">
        <f>IF(LeadsData[[#This Row],[Stage Number]]&gt;=2,1,0)</f>
        <v>1</v>
      </c>
      <c r="N3670" s="2">
        <f>IF(LeadsData[[#This Row],[Stage Number]]&gt;=3,1,0)</f>
        <v>0</v>
      </c>
      <c r="O3670" s="2">
        <f>IF(LeadsData[[#This Row],[Stage Number]]&gt;=4,1,0)</f>
        <v>0</v>
      </c>
    </row>
    <row r="3671" spans="1:15" x14ac:dyDescent="0.25">
      <c r="A3671" t="s">
        <v>3711</v>
      </c>
      <c r="B3671" s="1">
        <v>45602</v>
      </c>
      <c r="C3671" t="s">
        <v>25</v>
      </c>
      <c r="D3671" t="s">
        <v>26</v>
      </c>
      <c r="E3671" t="s">
        <v>13</v>
      </c>
      <c r="F3671" t="s">
        <v>19</v>
      </c>
      <c r="G3671" t="s">
        <v>15</v>
      </c>
      <c r="K3671" cm="1">
        <f t="array" ref="K3671">_xlfn.SWITCH(LeadsData[[#This Row],[Funnel Stage Reached]],"Lead",1,"MQL",2,"SQL",3,"Customer",4)</f>
        <v>1</v>
      </c>
      <c r="L3671" t="str">
        <f>TEXT(LeadsData[[#This Row],[Signup Date]],"mmm-yyyy")</f>
        <v>Nov-2024</v>
      </c>
      <c r="M3671">
        <f>IF(LeadsData[[#This Row],[Stage Number]]&gt;=2,1,0)</f>
        <v>0</v>
      </c>
      <c r="N3671" s="2">
        <f>IF(LeadsData[[#This Row],[Stage Number]]&gt;=3,1,0)</f>
        <v>0</v>
      </c>
      <c r="O3671" s="2">
        <f>IF(LeadsData[[#This Row],[Stage Number]]&gt;=4,1,0)</f>
        <v>0</v>
      </c>
    </row>
    <row r="3672" spans="1:15" x14ac:dyDescent="0.25">
      <c r="A3672" t="s">
        <v>3712</v>
      </c>
      <c r="B3672" s="1">
        <v>45397</v>
      </c>
      <c r="C3672" t="s">
        <v>31</v>
      </c>
      <c r="D3672" t="s">
        <v>32</v>
      </c>
      <c r="E3672" t="s">
        <v>21</v>
      </c>
      <c r="F3672" t="s">
        <v>19</v>
      </c>
      <c r="G3672" t="s">
        <v>23</v>
      </c>
      <c r="K3672" cm="1">
        <f t="array" ref="K3672">_xlfn.SWITCH(LeadsData[[#This Row],[Funnel Stage Reached]],"Lead",1,"MQL",2,"SQL",3,"Customer",4)</f>
        <v>2</v>
      </c>
      <c r="L3672" t="str">
        <f>TEXT(LeadsData[[#This Row],[Signup Date]],"mmm-yyyy")</f>
        <v>Apr-2024</v>
      </c>
      <c r="M3672">
        <f>IF(LeadsData[[#This Row],[Stage Number]]&gt;=2,1,0)</f>
        <v>1</v>
      </c>
      <c r="N3672" s="2">
        <f>IF(LeadsData[[#This Row],[Stage Number]]&gt;=3,1,0)</f>
        <v>0</v>
      </c>
      <c r="O3672" s="2">
        <f>IF(LeadsData[[#This Row],[Stage Number]]&gt;=4,1,0)</f>
        <v>0</v>
      </c>
    </row>
    <row r="3673" spans="1:15" x14ac:dyDescent="0.25">
      <c r="A3673" t="s">
        <v>3713</v>
      </c>
      <c r="B3673" s="1">
        <v>45551</v>
      </c>
      <c r="C3673" t="s">
        <v>31</v>
      </c>
      <c r="D3673" t="s">
        <v>32</v>
      </c>
      <c r="E3673" t="s">
        <v>21</v>
      </c>
      <c r="F3673" t="s">
        <v>22</v>
      </c>
      <c r="G3673" t="s">
        <v>29</v>
      </c>
      <c r="K3673" cm="1">
        <f t="array" ref="K3673">_xlfn.SWITCH(LeadsData[[#This Row],[Funnel Stage Reached]],"Lead",1,"MQL",2,"SQL",3,"Customer",4)</f>
        <v>3</v>
      </c>
      <c r="L3673" t="str">
        <f>TEXT(LeadsData[[#This Row],[Signup Date]],"mmm-yyyy")</f>
        <v>Sep-2024</v>
      </c>
      <c r="M3673">
        <f>IF(LeadsData[[#This Row],[Stage Number]]&gt;=2,1,0)</f>
        <v>1</v>
      </c>
      <c r="N3673" s="2">
        <f>IF(LeadsData[[#This Row],[Stage Number]]&gt;=3,1,0)</f>
        <v>1</v>
      </c>
      <c r="O3673" s="2">
        <f>IF(LeadsData[[#This Row],[Stage Number]]&gt;=4,1,0)</f>
        <v>0</v>
      </c>
    </row>
    <row r="3674" spans="1:15" x14ac:dyDescent="0.25">
      <c r="A3674" t="s">
        <v>3714</v>
      </c>
      <c r="B3674" s="1">
        <v>45461</v>
      </c>
      <c r="C3674" t="s">
        <v>46</v>
      </c>
      <c r="D3674" t="s">
        <v>56</v>
      </c>
      <c r="E3674" t="s">
        <v>13</v>
      </c>
      <c r="F3674" t="s">
        <v>14</v>
      </c>
      <c r="G3674" t="s">
        <v>15</v>
      </c>
      <c r="K3674" cm="1">
        <f t="array" ref="K3674">_xlfn.SWITCH(LeadsData[[#This Row],[Funnel Stage Reached]],"Lead",1,"MQL",2,"SQL",3,"Customer",4)</f>
        <v>1</v>
      </c>
      <c r="L3674" t="str">
        <f>TEXT(LeadsData[[#This Row],[Signup Date]],"mmm-yyyy")</f>
        <v>Jun-2024</v>
      </c>
      <c r="M3674">
        <f>IF(LeadsData[[#This Row],[Stage Number]]&gt;=2,1,0)</f>
        <v>0</v>
      </c>
      <c r="N3674" s="2">
        <f>IF(LeadsData[[#This Row],[Stage Number]]&gt;=3,1,0)</f>
        <v>0</v>
      </c>
      <c r="O3674" s="2">
        <f>IF(LeadsData[[#This Row],[Stage Number]]&gt;=4,1,0)</f>
        <v>0</v>
      </c>
    </row>
    <row r="3675" spans="1:15" x14ac:dyDescent="0.25">
      <c r="A3675" t="s">
        <v>3715</v>
      </c>
      <c r="B3675" s="1">
        <v>45563</v>
      </c>
      <c r="C3675" t="s">
        <v>31</v>
      </c>
      <c r="D3675" t="s">
        <v>34</v>
      </c>
      <c r="E3675" t="s">
        <v>21</v>
      </c>
      <c r="F3675" t="s">
        <v>19</v>
      </c>
      <c r="G3675" t="s">
        <v>15</v>
      </c>
      <c r="K3675" cm="1">
        <f t="array" ref="K3675">_xlfn.SWITCH(LeadsData[[#This Row],[Funnel Stage Reached]],"Lead",1,"MQL",2,"SQL",3,"Customer",4)</f>
        <v>1</v>
      </c>
      <c r="L3675" t="str">
        <f>TEXT(LeadsData[[#This Row],[Signup Date]],"mmm-yyyy")</f>
        <v>Sep-2024</v>
      </c>
      <c r="M3675">
        <f>IF(LeadsData[[#This Row],[Stage Number]]&gt;=2,1,0)</f>
        <v>0</v>
      </c>
      <c r="N3675" s="2">
        <f>IF(LeadsData[[#This Row],[Stage Number]]&gt;=3,1,0)</f>
        <v>0</v>
      </c>
      <c r="O3675" s="2">
        <f>IF(LeadsData[[#This Row],[Stage Number]]&gt;=4,1,0)</f>
        <v>0</v>
      </c>
    </row>
    <row r="3676" spans="1:15" x14ac:dyDescent="0.25">
      <c r="A3676" t="s">
        <v>3716</v>
      </c>
      <c r="B3676" s="1">
        <v>45643</v>
      </c>
      <c r="C3676" t="s">
        <v>11</v>
      </c>
      <c r="D3676" t="s">
        <v>79</v>
      </c>
      <c r="E3676" t="s">
        <v>13</v>
      </c>
      <c r="F3676" t="s">
        <v>22</v>
      </c>
      <c r="G3676" t="s">
        <v>29</v>
      </c>
      <c r="K3676" cm="1">
        <f t="array" ref="K3676">_xlfn.SWITCH(LeadsData[[#This Row],[Funnel Stage Reached]],"Lead",1,"MQL",2,"SQL",3,"Customer",4)</f>
        <v>3</v>
      </c>
      <c r="L3676" t="str">
        <f>TEXT(LeadsData[[#This Row],[Signup Date]],"mmm-yyyy")</f>
        <v>Dec-2024</v>
      </c>
      <c r="M3676">
        <f>IF(LeadsData[[#This Row],[Stage Number]]&gt;=2,1,0)</f>
        <v>1</v>
      </c>
      <c r="N3676" s="2">
        <f>IF(LeadsData[[#This Row],[Stage Number]]&gt;=3,1,0)</f>
        <v>1</v>
      </c>
      <c r="O3676" s="2">
        <f>IF(LeadsData[[#This Row],[Stage Number]]&gt;=4,1,0)</f>
        <v>0</v>
      </c>
    </row>
    <row r="3677" spans="1:15" x14ac:dyDescent="0.25">
      <c r="A3677" t="s">
        <v>3717</v>
      </c>
      <c r="B3677" s="1">
        <v>45469</v>
      </c>
      <c r="C3677" t="s">
        <v>17</v>
      </c>
      <c r="D3677" t="s">
        <v>53</v>
      </c>
      <c r="E3677" t="s">
        <v>21</v>
      </c>
      <c r="F3677" t="s">
        <v>19</v>
      </c>
      <c r="G3677" t="s">
        <v>15</v>
      </c>
      <c r="K3677" cm="1">
        <f t="array" ref="K3677">_xlfn.SWITCH(LeadsData[[#This Row],[Funnel Stage Reached]],"Lead",1,"MQL",2,"SQL",3,"Customer",4)</f>
        <v>1</v>
      </c>
      <c r="L3677" t="str">
        <f>TEXT(LeadsData[[#This Row],[Signup Date]],"mmm-yyyy")</f>
        <v>Jun-2024</v>
      </c>
      <c r="M3677">
        <f>IF(LeadsData[[#This Row],[Stage Number]]&gt;=2,1,0)</f>
        <v>0</v>
      </c>
      <c r="N3677" s="2">
        <f>IF(LeadsData[[#This Row],[Stage Number]]&gt;=3,1,0)</f>
        <v>0</v>
      </c>
      <c r="O3677" s="2">
        <f>IF(LeadsData[[#This Row],[Stage Number]]&gt;=4,1,0)</f>
        <v>0</v>
      </c>
    </row>
    <row r="3678" spans="1:15" x14ac:dyDescent="0.25">
      <c r="A3678" t="s">
        <v>3718</v>
      </c>
      <c r="B3678" s="1">
        <v>45647</v>
      </c>
      <c r="C3678" t="s">
        <v>25</v>
      </c>
      <c r="D3678" t="s">
        <v>26</v>
      </c>
      <c r="E3678" t="s">
        <v>13</v>
      </c>
      <c r="F3678" t="s">
        <v>22</v>
      </c>
      <c r="G3678" t="s">
        <v>42</v>
      </c>
      <c r="H3678">
        <v>49</v>
      </c>
      <c r="I3678" t="s">
        <v>87</v>
      </c>
      <c r="J3678">
        <v>4310.75</v>
      </c>
      <c r="K3678" cm="1">
        <f t="array" ref="K3678">_xlfn.SWITCH(LeadsData[[#This Row],[Funnel Stage Reached]],"Lead",1,"MQL",2,"SQL",3,"Customer",4)</f>
        <v>4</v>
      </c>
      <c r="L3678" t="str">
        <f>TEXT(LeadsData[[#This Row],[Signup Date]],"mmm-yyyy")</f>
        <v>Dec-2024</v>
      </c>
      <c r="M3678">
        <f>IF(LeadsData[[#This Row],[Stage Number]]&gt;=2,1,0)</f>
        <v>1</v>
      </c>
      <c r="N3678" s="2">
        <f>IF(LeadsData[[#This Row],[Stage Number]]&gt;=3,1,0)</f>
        <v>1</v>
      </c>
      <c r="O3678" s="2">
        <f>IF(LeadsData[[#This Row],[Stage Number]]&gt;=4,1,0)</f>
        <v>1</v>
      </c>
    </row>
    <row r="3679" spans="1:15" x14ac:dyDescent="0.25">
      <c r="A3679" t="s">
        <v>3719</v>
      </c>
      <c r="B3679" s="1">
        <v>45439</v>
      </c>
      <c r="C3679" t="s">
        <v>46</v>
      </c>
      <c r="D3679" t="s">
        <v>47</v>
      </c>
      <c r="E3679" t="s">
        <v>13</v>
      </c>
      <c r="F3679" t="s">
        <v>22</v>
      </c>
      <c r="G3679" t="s">
        <v>23</v>
      </c>
      <c r="K3679" cm="1">
        <f t="array" ref="K3679">_xlfn.SWITCH(LeadsData[[#This Row],[Funnel Stage Reached]],"Lead",1,"MQL",2,"SQL",3,"Customer",4)</f>
        <v>2</v>
      </c>
      <c r="L3679" t="str">
        <f>TEXT(LeadsData[[#This Row],[Signup Date]],"mmm-yyyy")</f>
        <v>May-2024</v>
      </c>
      <c r="M3679">
        <f>IF(LeadsData[[#This Row],[Stage Number]]&gt;=2,1,0)</f>
        <v>1</v>
      </c>
      <c r="N3679" s="2">
        <f>IF(LeadsData[[#This Row],[Stage Number]]&gt;=3,1,0)</f>
        <v>0</v>
      </c>
      <c r="O3679" s="2">
        <f>IF(LeadsData[[#This Row],[Stage Number]]&gt;=4,1,0)</f>
        <v>0</v>
      </c>
    </row>
    <row r="3680" spans="1:15" x14ac:dyDescent="0.25">
      <c r="A3680" t="s">
        <v>3720</v>
      </c>
      <c r="B3680" s="1">
        <v>45337</v>
      </c>
      <c r="C3680" t="s">
        <v>11</v>
      </c>
      <c r="D3680" t="s">
        <v>79</v>
      </c>
      <c r="E3680" t="s">
        <v>13</v>
      </c>
      <c r="F3680" t="s">
        <v>22</v>
      </c>
      <c r="G3680" t="s">
        <v>15</v>
      </c>
      <c r="K3680" cm="1">
        <f t="array" ref="K3680">_xlfn.SWITCH(LeadsData[[#This Row],[Funnel Stage Reached]],"Lead",1,"MQL",2,"SQL",3,"Customer",4)</f>
        <v>1</v>
      </c>
      <c r="L3680" t="str">
        <f>TEXT(LeadsData[[#This Row],[Signup Date]],"mmm-yyyy")</f>
        <v>Feb-2024</v>
      </c>
      <c r="M3680">
        <f>IF(LeadsData[[#This Row],[Stage Number]]&gt;=2,1,0)</f>
        <v>0</v>
      </c>
      <c r="N3680" s="2">
        <f>IF(LeadsData[[#This Row],[Stage Number]]&gt;=3,1,0)</f>
        <v>0</v>
      </c>
      <c r="O3680" s="2">
        <f>IF(LeadsData[[#This Row],[Stage Number]]&gt;=4,1,0)</f>
        <v>0</v>
      </c>
    </row>
    <row r="3681" spans="1:15" x14ac:dyDescent="0.25">
      <c r="A3681" t="s">
        <v>3721</v>
      </c>
      <c r="B3681" s="1">
        <v>45385</v>
      </c>
      <c r="C3681" t="s">
        <v>36</v>
      </c>
      <c r="D3681" t="s">
        <v>50</v>
      </c>
      <c r="E3681" t="s">
        <v>13</v>
      </c>
      <c r="F3681" t="s">
        <v>22</v>
      </c>
      <c r="G3681" t="s">
        <v>42</v>
      </c>
      <c r="H3681">
        <v>37</v>
      </c>
      <c r="I3681" t="s">
        <v>87</v>
      </c>
      <c r="J3681">
        <v>1916.6</v>
      </c>
      <c r="K3681" cm="1">
        <f t="array" ref="K3681">_xlfn.SWITCH(LeadsData[[#This Row],[Funnel Stage Reached]],"Lead",1,"MQL",2,"SQL",3,"Customer",4)</f>
        <v>4</v>
      </c>
      <c r="L3681" t="str">
        <f>TEXT(LeadsData[[#This Row],[Signup Date]],"mmm-yyyy")</f>
        <v>Apr-2024</v>
      </c>
      <c r="M3681">
        <f>IF(LeadsData[[#This Row],[Stage Number]]&gt;=2,1,0)</f>
        <v>1</v>
      </c>
      <c r="N3681" s="2">
        <f>IF(LeadsData[[#This Row],[Stage Number]]&gt;=3,1,0)</f>
        <v>1</v>
      </c>
      <c r="O3681" s="2">
        <f>IF(LeadsData[[#This Row],[Stage Number]]&gt;=4,1,0)</f>
        <v>1</v>
      </c>
    </row>
    <row r="3682" spans="1:15" x14ac:dyDescent="0.25">
      <c r="A3682" t="s">
        <v>3722</v>
      </c>
      <c r="B3682" s="1">
        <v>45574</v>
      </c>
      <c r="C3682" t="s">
        <v>31</v>
      </c>
      <c r="D3682" t="s">
        <v>34</v>
      </c>
      <c r="E3682" t="s">
        <v>13</v>
      </c>
      <c r="F3682" t="s">
        <v>28</v>
      </c>
      <c r="G3682" t="s">
        <v>15</v>
      </c>
      <c r="K3682" cm="1">
        <f t="array" ref="K3682">_xlfn.SWITCH(LeadsData[[#This Row],[Funnel Stage Reached]],"Lead",1,"MQL",2,"SQL",3,"Customer",4)</f>
        <v>1</v>
      </c>
      <c r="L3682" t="str">
        <f>TEXT(LeadsData[[#This Row],[Signup Date]],"mmm-yyyy")</f>
        <v>Oct-2024</v>
      </c>
      <c r="M3682">
        <f>IF(LeadsData[[#This Row],[Stage Number]]&gt;=2,1,0)</f>
        <v>0</v>
      </c>
      <c r="N3682" s="2">
        <f>IF(LeadsData[[#This Row],[Stage Number]]&gt;=3,1,0)</f>
        <v>0</v>
      </c>
      <c r="O3682" s="2">
        <f>IF(LeadsData[[#This Row],[Stage Number]]&gt;=4,1,0)</f>
        <v>0</v>
      </c>
    </row>
    <row r="3683" spans="1:15" x14ac:dyDescent="0.25">
      <c r="A3683" t="s">
        <v>3723</v>
      </c>
      <c r="B3683" s="1">
        <v>45446</v>
      </c>
      <c r="C3683" t="s">
        <v>46</v>
      </c>
      <c r="D3683" t="s">
        <v>56</v>
      </c>
      <c r="E3683" t="s">
        <v>13</v>
      </c>
      <c r="F3683" t="s">
        <v>19</v>
      </c>
      <c r="G3683" t="s">
        <v>29</v>
      </c>
      <c r="K3683" cm="1">
        <f t="array" ref="K3683">_xlfn.SWITCH(LeadsData[[#This Row],[Funnel Stage Reached]],"Lead",1,"MQL",2,"SQL",3,"Customer",4)</f>
        <v>3</v>
      </c>
      <c r="L3683" t="str">
        <f>TEXT(LeadsData[[#This Row],[Signup Date]],"mmm-yyyy")</f>
        <v>Jun-2024</v>
      </c>
      <c r="M3683">
        <f>IF(LeadsData[[#This Row],[Stage Number]]&gt;=2,1,0)</f>
        <v>1</v>
      </c>
      <c r="N3683" s="2">
        <f>IF(LeadsData[[#This Row],[Stage Number]]&gt;=3,1,0)</f>
        <v>1</v>
      </c>
      <c r="O3683" s="2">
        <f>IF(LeadsData[[#This Row],[Stage Number]]&gt;=4,1,0)</f>
        <v>0</v>
      </c>
    </row>
    <row r="3684" spans="1:15" x14ac:dyDescent="0.25">
      <c r="A3684" t="s">
        <v>3724</v>
      </c>
      <c r="B3684" s="1">
        <v>45424</v>
      </c>
      <c r="C3684" t="s">
        <v>11</v>
      </c>
      <c r="D3684" t="s">
        <v>79</v>
      </c>
      <c r="E3684" t="s">
        <v>48</v>
      </c>
      <c r="F3684" t="s">
        <v>19</v>
      </c>
      <c r="G3684" t="s">
        <v>23</v>
      </c>
      <c r="K3684" cm="1">
        <f t="array" ref="K3684">_xlfn.SWITCH(LeadsData[[#This Row],[Funnel Stage Reached]],"Lead",1,"MQL",2,"SQL",3,"Customer",4)</f>
        <v>2</v>
      </c>
      <c r="L3684" t="str">
        <f>TEXT(LeadsData[[#This Row],[Signup Date]],"mmm-yyyy")</f>
        <v>May-2024</v>
      </c>
      <c r="M3684">
        <f>IF(LeadsData[[#This Row],[Stage Number]]&gt;=2,1,0)</f>
        <v>1</v>
      </c>
      <c r="N3684" s="2">
        <f>IF(LeadsData[[#This Row],[Stage Number]]&gt;=3,1,0)</f>
        <v>0</v>
      </c>
      <c r="O3684" s="2">
        <f>IF(LeadsData[[#This Row],[Stage Number]]&gt;=4,1,0)</f>
        <v>0</v>
      </c>
    </row>
    <row r="3685" spans="1:15" x14ac:dyDescent="0.25">
      <c r="A3685" t="s">
        <v>3725</v>
      </c>
      <c r="B3685" s="1">
        <v>45516</v>
      </c>
      <c r="C3685" t="s">
        <v>17</v>
      </c>
      <c r="D3685" t="s">
        <v>53</v>
      </c>
      <c r="E3685" t="s">
        <v>13</v>
      </c>
      <c r="F3685" t="s">
        <v>19</v>
      </c>
      <c r="G3685" t="s">
        <v>15</v>
      </c>
      <c r="K3685" cm="1">
        <f t="array" ref="K3685">_xlfn.SWITCH(LeadsData[[#This Row],[Funnel Stage Reached]],"Lead",1,"MQL",2,"SQL",3,"Customer",4)</f>
        <v>1</v>
      </c>
      <c r="L3685" t="str">
        <f>TEXT(LeadsData[[#This Row],[Signup Date]],"mmm-yyyy")</f>
        <v>Aug-2024</v>
      </c>
      <c r="M3685">
        <f>IF(LeadsData[[#This Row],[Stage Number]]&gt;=2,1,0)</f>
        <v>0</v>
      </c>
      <c r="N3685" s="2">
        <f>IF(LeadsData[[#This Row],[Stage Number]]&gt;=3,1,0)</f>
        <v>0</v>
      </c>
      <c r="O3685" s="2">
        <f>IF(LeadsData[[#This Row],[Stage Number]]&gt;=4,1,0)</f>
        <v>0</v>
      </c>
    </row>
    <row r="3686" spans="1:15" x14ac:dyDescent="0.25">
      <c r="A3686" t="s">
        <v>3726</v>
      </c>
      <c r="B3686" s="1">
        <v>45639</v>
      </c>
      <c r="C3686" t="s">
        <v>11</v>
      </c>
      <c r="D3686" t="s">
        <v>12</v>
      </c>
      <c r="E3686" t="s">
        <v>13</v>
      </c>
      <c r="F3686" t="s">
        <v>19</v>
      </c>
      <c r="G3686" t="s">
        <v>23</v>
      </c>
      <c r="K3686" cm="1">
        <f t="array" ref="K3686">_xlfn.SWITCH(LeadsData[[#This Row],[Funnel Stage Reached]],"Lead",1,"MQL",2,"SQL",3,"Customer",4)</f>
        <v>2</v>
      </c>
      <c r="L3686" t="str">
        <f>TEXT(LeadsData[[#This Row],[Signup Date]],"mmm-yyyy")</f>
        <v>Dec-2024</v>
      </c>
      <c r="M3686">
        <f>IF(LeadsData[[#This Row],[Stage Number]]&gt;=2,1,0)</f>
        <v>1</v>
      </c>
      <c r="N3686" s="2">
        <f>IF(LeadsData[[#This Row],[Stage Number]]&gt;=3,1,0)</f>
        <v>0</v>
      </c>
      <c r="O3686" s="2">
        <f>IF(LeadsData[[#This Row],[Stage Number]]&gt;=4,1,0)</f>
        <v>0</v>
      </c>
    </row>
    <row r="3687" spans="1:15" x14ac:dyDescent="0.25">
      <c r="A3687" t="s">
        <v>3727</v>
      </c>
      <c r="B3687" s="1">
        <v>45427</v>
      </c>
      <c r="C3687" t="s">
        <v>31</v>
      </c>
      <c r="D3687" t="s">
        <v>34</v>
      </c>
      <c r="E3687" t="s">
        <v>21</v>
      </c>
      <c r="F3687" t="s">
        <v>22</v>
      </c>
      <c r="G3687" t="s">
        <v>15</v>
      </c>
      <c r="K3687" cm="1">
        <f t="array" ref="K3687">_xlfn.SWITCH(LeadsData[[#This Row],[Funnel Stage Reached]],"Lead",1,"MQL",2,"SQL",3,"Customer",4)</f>
        <v>1</v>
      </c>
      <c r="L3687" t="str">
        <f>TEXT(LeadsData[[#This Row],[Signup Date]],"mmm-yyyy")</f>
        <v>May-2024</v>
      </c>
      <c r="M3687">
        <f>IF(LeadsData[[#This Row],[Stage Number]]&gt;=2,1,0)</f>
        <v>0</v>
      </c>
      <c r="N3687" s="2">
        <f>IF(LeadsData[[#This Row],[Stage Number]]&gt;=3,1,0)</f>
        <v>0</v>
      </c>
      <c r="O3687" s="2">
        <f>IF(LeadsData[[#This Row],[Stage Number]]&gt;=4,1,0)</f>
        <v>0</v>
      </c>
    </row>
    <row r="3688" spans="1:15" x14ac:dyDescent="0.25">
      <c r="A3688" t="s">
        <v>3728</v>
      </c>
      <c r="B3688" s="1">
        <v>45364</v>
      </c>
      <c r="C3688" t="s">
        <v>25</v>
      </c>
      <c r="D3688" t="s">
        <v>26</v>
      </c>
      <c r="E3688" t="s">
        <v>13</v>
      </c>
      <c r="F3688" t="s">
        <v>28</v>
      </c>
      <c r="G3688" t="s">
        <v>23</v>
      </c>
      <c r="K3688" cm="1">
        <f t="array" ref="K3688">_xlfn.SWITCH(LeadsData[[#This Row],[Funnel Stage Reached]],"Lead",1,"MQL",2,"SQL",3,"Customer",4)</f>
        <v>2</v>
      </c>
      <c r="L3688" t="str">
        <f>TEXT(LeadsData[[#This Row],[Signup Date]],"mmm-yyyy")</f>
        <v>Mar-2024</v>
      </c>
      <c r="M3688">
        <f>IF(LeadsData[[#This Row],[Stage Number]]&gt;=2,1,0)</f>
        <v>1</v>
      </c>
      <c r="N3688" s="2">
        <f>IF(LeadsData[[#This Row],[Stage Number]]&gt;=3,1,0)</f>
        <v>0</v>
      </c>
      <c r="O3688" s="2">
        <f>IF(LeadsData[[#This Row],[Stage Number]]&gt;=4,1,0)</f>
        <v>0</v>
      </c>
    </row>
    <row r="3689" spans="1:15" x14ac:dyDescent="0.25">
      <c r="A3689" t="s">
        <v>3729</v>
      </c>
      <c r="B3689" s="1">
        <v>45607</v>
      </c>
      <c r="C3689" t="s">
        <v>17</v>
      </c>
      <c r="D3689" t="s">
        <v>53</v>
      </c>
      <c r="E3689" t="s">
        <v>21</v>
      </c>
      <c r="F3689" t="s">
        <v>28</v>
      </c>
      <c r="G3689" t="s">
        <v>23</v>
      </c>
      <c r="K3689" cm="1">
        <f t="array" ref="K3689">_xlfn.SWITCH(LeadsData[[#This Row],[Funnel Stage Reached]],"Lead",1,"MQL",2,"SQL",3,"Customer",4)</f>
        <v>2</v>
      </c>
      <c r="L3689" t="str">
        <f>TEXT(LeadsData[[#This Row],[Signup Date]],"mmm-yyyy")</f>
        <v>Nov-2024</v>
      </c>
      <c r="M3689">
        <f>IF(LeadsData[[#This Row],[Stage Number]]&gt;=2,1,0)</f>
        <v>1</v>
      </c>
      <c r="N3689" s="2">
        <f>IF(LeadsData[[#This Row],[Stage Number]]&gt;=3,1,0)</f>
        <v>0</v>
      </c>
      <c r="O3689" s="2">
        <f>IF(LeadsData[[#This Row],[Stage Number]]&gt;=4,1,0)</f>
        <v>0</v>
      </c>
    </row>
    <row r="3690" spans="1:15" x14ac:dyDescent="0.25">
      <c r="A3690" t="s">
        <v>3730</v>
      </c>
      <c r="B3690" s="1">
        <v>45297</v>
      </c>
      <c r="C3690" t="s">
        <v>31</v>
      </c>
      <c r="D3690" t="s">
        <v>32</v>
      </c>
      <c r="E3690" t="s">
        <v>48</v>
      </c>
      <c r="F3690" t="s">
        <v>19</v>
      </c>
      <c r="G3690" t="s">
        <v>23</v>
      </c>
      <c r="K3690" cm="1">
        <f t="array" ref="K3690">_xlfn.SWITCH(LeadsData[[#This Row],[Funnel Stage Reached]],"Lead",1,"MQL",2,"SQL",3,"Customer",4)</f>
        <v>2</v>
      </c>
      <c r="L3690" t="str">
        <f>TEXT(LeadsData[[#This Row],[Signup Date]],"mmm-yyyy")</f>
        <v>Jan-2024</v>
      </c>
      <c r="M3690">
        <f>IF(LeadsData[[#This Row],[Stage Number]]&gt;=2,1,0)</f>
        <v>1</v>
      </c>
      <c r="N3690" s="2">
        <f>IF(LeadsData[[#This Row],[Stage Number]]&gt;=3,1,0)</f>
        <v>0</v>
      </c>
      <c r="O3690" s="2">
        <f>IF(LeadsData[[#This Row],[Stage Number]]&gt;=4,1,0)</f>
        <v>0</v>
      </c>
    </row>
    <row r="3691" spans="1:15" x14ac:dyDescent="0.25">
      <c r="A3691" t="s">
        <v>3731</v>
      </c>
      <c r="B3691" s="1">
        <v>45480</v>
      </c>
      <c r="C3691" t="s">
        <v>36</v>
      </c>
      <c r="D3691" t="s">
        <v>37</v>
      </c>
      <c r="E3691" t="s">
        <v>13</v>
      </c>
      <c r="F3691" t="s">
        <v>19</v>
      </c>
      <c r="G3691" t="s">
        <v>29</v>
      </c>
      <c r="K3691" cm="1">
        <f t="array" ref="K3691">_xlfn.SWITCH(LeadsData[[#This Row],[Funnel Stage Reached]],"Lead",1,"MQL",2,"SQL",3,"Customer",4)</f>
        <v>3</v>
      </c>
      <c r="L3691" t="str">
        <f>TEXT(LeadsData[[#This Row],[Signup Date]],"mmm-yyyy")</f>
        <v>Jul-2024</v>
      </c>
      <c r="M3691">
        <f>IF(LeadsData[[#This Row],[Stage Number]]&gt;=2,1,0)</f>
        <v>1</v>
      </c>
      <c r="N3691" s="2">
        <f>IF(LeadsData[[#This Row],[Stage Number]]&gt;=3,1,0)</f>
        <v>1</v>
      </c>
      <c r="O3691" s="2">
        <f>IF(LeadsData[[#This Row],[Stage Number]]&gt;=4,1,0)</f>
        <v>0</v>
      </c>
    </row>
    <row r="3692" spans="1:15" x14ac:dyDescent="0.25">
      <c r="A3692" t="s">
        <v>3732</v>
      </c>
      <c r="B3692" s="1">
        <v>45562</v>
      </c>
      <c r="C3692" t="s">
        <v>31</v>
      </c>
      <c r="D3692" t="s">
        <v>32</v>
      </c>
      <c r="E3692" t="s">
        <v>21</v>
      </c>
      <c r="F3692" t="s">
        <v>19</v>
      </c>
      <c r="G3692" t="s">
        <v>29</v>
      </c>
      <c r="K3692" cm="1">
        <f t="array" ref="K3692">_xlfn.SWITCH(LeadsData[[#This Row],[Funnel Stage Reached]],"Lead",1,"MQL",2,"SQL",3,"Customer",4)</f>
        <v>3</v>
      </c>
      <c r="L3692" t="str">
        <f>TEXT(LeadsData[[#This Row],[Signup Date]],"mmm-yyyy")</f>
        <v>Sep-2024</v>
      </c>
      <c r="M3692">
        <f>IF(LeadsData[[#This Row],[Stage Number]]&gt;=2,1,0)</f>
        <v>1</v>
      </c>
      <c r="N3692" s="2">
        <f>IF(LeadsData[[#This Row],[Stage Number]]&gt;=3,1,0)</f>
        <v>1</v>
      </c>
      <c r="O3692" s="2">
        <f>IF(LeadsData[[#This Row],[Stage Number]]&gt;=4,1,0)</f>
        <v>0</v>
      </c>
    </row>
    <row r="3693" spans="1:15" x14ac:dyDescent="0.25">
      <c r="A3693" t="s">
        <v>3733</v>
      </c>
      <c r="B3693" s="1">
        <v>45609</v>
      </c>
      <c r="C3693" t="s">
        <v>36</v>
      </c>
      <c r="D3693" t="s">
        <v>37</v>
      </c>
      <c r="E3693" t="s">
        <v>21</v>
      </c>
      <c r="F3693" t="s">
        <v>19</v>
      </c>
      <c r="G3693" t="s">
        <v>29</v>
      </c>
      <c r="K3693" cm="1">
        <f t="array" ref="K3693">_xlfn.SWITCH(LeadsData[[#This Row],[Funnel Stage Reached]],"Lead",1,"MQL",2,"SQL",3,"Customer",4)</f>
        <v>3</v>
      </c>
      <c r="L3693" t="str">
        <f>TEXT(LeadsData[[#This Row],[Signup Date]],"mmm-yyyy")</f>
        <v>Nov-2024</v>
      </c>
      <c r="M3693">
        <f>IF(LeadsData[[#This Row],[Stage Number]]&gt;=2,1,0)</f>
        <v>1</v>
      </c>
      <c r="N3693" s="2">
        <f>IF(LeadsData[[#This Row],[Stage Number]]&gt;=3,1,0)</f>
        <v>1</v>
      </c>
      <c r="O3693" s="2">
        <f>IF(LeadsData[[#This Row],[Stage Number]]&gt;=4,1,0)</f>
        <v>0</v>
      </c>
    </row>
    <row r="3694" spans="1:15" x14ac:dyDescent="0.25">
      <c r="A3694" t="s">
        <v>3734</v>
      </c>
      <c r="B3694" s="1">
        <v>45434</v>
      </c>
      <c r="C3694" t="s">
        <v>25</v>
      </c>
      <c r="D3694" t="s">
        <v>26</v>
      </c>
      <c r="E3694" t="s">
        <v>48</v>
      </c>
      <c r="F3694" t="s">
        <v>19</v>
      </c>
      <c r="G3694" t="s">
        <v>15</v>
      </c>
      <c r="K3694" cm="1">
        <f t="array" ref="K3694">_xlfn.SWITCH(LeadsData[[#This Row],[Funnel Stage Reached]],"Lead",1,"MQL",2,"SQL",3,"Customer",4)</f>
        <v>1</v>
      </c>
      <c r="L3694" t="str">
        <f>TEXT(LeadsData[[#This Row],[Signup Date]],"mmm-yyyy")</f>
        <v>May-2024</v>
      </c>
      <c r="M3694">
        <f>IF(LeadsData[[#This Row],[Stage Number]]&gt;=2,1,0)</f>
        <v>0</v>
      </c>
      <c r="N3694" s="2">
        <f>IF(LeadsData[[#This Row],[Stage Number]]&gt;=3,1,0)</f>
        <v>0</v>
      </c>
      <c r="O3694" s="2">
        <f>IF(LeadsData[[#This Row],[Stage Number]]&gt;=4,1,0)</f>
        <v>0</v>
      </c>
    </row>
    <row r="3695" spans="1:15" x14ac:dyDescent="0.25">
      <c r="A3695" t="s">
        <v>3735</v>
      </c>
      <c r="B3695" s="1">
        <v>45338</v>
      </c>
      <c r="C3695" t="s">
        <v>31</v>
      </c>
      <c r="D3695" t="s">
        <v>32</v>
      </c>
      <c r="E3695" t="s">
        <v>21</v>
      </c>
      <c r="F3695" t="s">
        <v>22</v>
      </c>
      <c r="G3695" t="s">
        <v>42</v>
      </c>
      <c r="H3695">
        <v>27</v>
      </c>
      <c r="I3695" t="s">
        <v>43</v>
      </c>
      <c r="J3695">
        <v>1012.64</v>
      </c>
      <c r="K3695" cm="1">
        <f t="array" ref="K3695">_xlfn.SWITCH(LeadsData[[#This Row],[Funnel Stage Reached]],"Lead",1,"MQL",2,"SQL",3,"Customer",4)</f>
        <v>4</v>
      </c>
      <c r="L3695" t="str">
        <f>TEXT(LeadsData[[#This Row],[Signup Date]],"mmm-yyyy")</f>
        <v>Feb-2024</v>
      </c>
      <c r="M3695">
        <f>IF(LeadsData[[#This Row],[Stage Number]]&gt;=2,1,0)</f>
        <v>1</v>
      </c>
      <c r="N3695" s="2">
        <f>IF(LeadsData[[#This Row],[Stage Number]]&gt;=3,1,0)</f>
        <v>1</v>
      </c>
      <c r="O3695" s="2">
        <f>IF(LeadsData[[#This Row],[Stage Number]]&gt;=4,1,0)</f>
        <v>1</v>
      </c>
    </row>
    <row r="3696" spans="1:15" x14ac:dyDescent="0.25">
      <c r="A3696" t="s">
        <v>3736</v>
      </c>
      <c r="B3696" s="1">
        <v>45618</v>
      </c>
      <c r="C3696" t="s">
        <v>46</v>
      </c>
      <c r="D3696" t="s">
        <v>56</v>
      </c>
      <c r="E3696" t="s">
        <v>21</v>
      </c>
      <c r="F3696" t="s">
        <v>19</v>
      </c>
      <c r="G3696" t="s">
        <v>42</v>
      </c>
      <c r="H3696">
        <v>59</v>
      </c>
      <c r="I3696" t="s">
        <v>87</v>
      </c>
      <c r="J3696">
        <v>3427.81</v>
      </c>
      <c r="K3696" cm="1">
        <f t="array" ref="K3696">_xlfn.SWITCH(LeadsData[[#This Row],[Funnel Stage Reached]],"Lead",1,"MQL",2,"SQL",3,"Customer",4)</f>
        <v>4</v>
      </c>
      <c r="L3696" t="str">
        <f>TEXT(LeadsData[[#This Row],[Signup Date]],"mmm-yyyy")</f>
        <v>Nov-2024</v>
      </c>
      <c r="M3696">
        <f>IF(LeadsData[[#This Row],[Stage Number]]&gt;=2,1,0)</f>
        <v>1</v>
      </c>
      <c r="N3696" s="2">
        <f>IF(LeadsData[[#This Row],[Stage Number]]&gt;=3,1,0)</f>
        <v>1</v>
      </c>
      <c r="O3696" s="2">
        <f>IF(LeadsData[[#This Row],[Stage Number]]&gt;=4,1,0)</f>
        <v>1</v>
      </c>
    </row>
    <row r="3697" spans="1:15" x14ac:dyDescent="0.25">
      <c r="A3697" t="s">
        <v>3737</v>
      </c>
      <c r="B3697" s="1">
        <v>45377</v>
      </c>
      <c r="C3697" t="s">
        <v>46</v>
      </c>
      <c r="D3697" t="s">
        <v>47</v>
      </c>
      <c r="E3697" t="s">
        <v>13</v>
      </c>
      <c r="F3697" t="s">
        <v>19</v>
      </c>
      <c r="G3697" t="s">
        <v>23</v>
      </c>
      <c r="K3697" cm="1">
        <f t="array" ref="K3697">_xlfn.SWITCH(LeadsData[[#This Row],[Funnel Stage Reached]],"Lead",1,"MQL",2,"SQL",3,"Customer",4)</f>
        <v>2</v>
      </c>
      <c r="L3697" t="str">
        <f>TEXT(LeadsData[[#This Row],[Signup Date]],"mmm-yyyy")</f>
        <v>Mar-2024</v>
      </c>
      <c r="M3697">
        <f>IF(LeadsData[[#This Row],[Stage Number]]&gt;=2,1,0)</f>
        <v>1</v>
      </c>
      <c r="N3697" s="2">
        <f>IF(LeadsData[[#This Row],[Stage Number]]&gt;=3,1,0)</f>
        <v>0</v>
      </c>
      <c r="O3697" s="2">
        <f>IF(LeadsData[[#This Row],[Stage Number]]&gt;=4,1,0)</f>
        <v>0</v>
      </c>
    </row>
    <row r="3698" spans="1:15" x14ac:dyDescent="0.25">
      <c r="A3698" t="s">
        <v>3738</v>
      </c>
      <c r="B3698" s="1">
        <v>45591</v>
      </c>
      <c r="C3698" t="s">
        <v>11</v>
      </c>
      <c r="D3698" t="s">
        <v>12</v>
      </c>
      <c r="E3698" t="s">
        <v>21</v>
      </c>
      <c r="F3698" t="s">
        <v>19</v>
      </c>
      <c r="G3698" t="s">
        <v>15</v>
      </c>
      <c r="K3698" cm="1">
        <f t="array" ref="K3698">_xlfn.SWITCH(LeadsData[[#This Row],[Funnel Stage Reached]],"Lead",1,"MQL",2,"SQL",3,"Customer",4)</f>
        <v>1</v>
      </c>
      <c r="L3698" t="str">
        <f>TEXT(LeadsData[[#This Row],[Signup Date]],"mmm-yyyy")</f>
        <v>Oct-2024</v>
      </c>
      <c r="M3698">
        <f>IF(LeadsData[[#This Row],[Stage Number]]&gt;=2,1,0)</f>
        <v>0</v>
      </c>
      <c r="N3698" s="2">
        <f>IF(LeadsData[[#This Row],[Stage Number]]&gt;=3,1,0)</f>
        <v>0</v>
      </c>
      <c r="O3698" s="2">
        <f>IF(LeadsData[[#This Row],[Stage Number]]&gt;=4,1,0)</f>
        <v>0</v>
      </c>
    </row>
    <row r="3699" spans="1:15" x14ac:dyDescent="0.25">
      <c r="A3699" t="s">
        <v>3739</v>
      </c>
      <c r="B3699" s="1">
        <v>45566</v>
      </c>
      <c r="C3699" t="s">
        <v>46</v>
      </c>
      <c r="D3699" t="s">
        <v>47</v>
      </c>
      <c r="E3699" t="s">
        <v>21</v>
      </c>
      <c r="F3699" t="s">
        <v>19</v>
      </c>
      <c r="G3699" t="s">
        <v>29</v>
      </c>
      <c r="K3699" cm="1">
        <f t="array" ref="K3699">_xlfn.SWITCH(LeadsData[[#This Row],[Funnel Stage Reached]],"Lead",1,"MQL",2,"SQL",3,"Customer",4)</f>
        <v>3</v>
      </c>
      <c r="L3699" t="str">
        <f>TEXT(LeadsData[[#This Row],[Signup Date]],"mmm-yyyy")</f>
        <v>Oct-2024</v>
      </c>
      <c r="M3699">
        <f>IF(LeadsData[[#This Row],[Stage Number]]&gt;=2,1,0)</f>
        <v>1</v>
      </c>
      <c r="N3699" s="2">
        <f>IF(LeadsData[[#This Row],[Stage Number]]&gt;=3,1,0)</f>
        <v>1</v>
      </c>
      <c r="O3699" s="2">
        <f>IF(LeadsData[[#This Row],[Stage Number]]&gt;=4,1,0)</f>
        <v>0</v>
      </c>
    </row>
    <row r="3700" spans="1:15" x14ac:dyDescent="0.25">
      <c r="A3700" t="s">
        <v>3740</v>
      </c>
      <c r="B3700" s="1">
        <v>45390</v>
      </c>
      <c r="C3700" t="s">
        <v>36</v>
      </c>
      <c r="D3700" t="s">
        <v>37</v>
      </c>
      <c r="E3700" t="s">
        <v>21</v>
      </c>
      <c r="F3700" t="s">
        <v>19</v>
      </c>
      <c r="G3700" t="s">
        <v>29</v>
      </c>
      <c r="K3700" cm="1">
        <f t="array" ref="K3700">_xlfn.SWITCH(LeadsData[[#This Row],[Funnel Stage Reached]],"Lead",1,"MQL",2,"SQL",3,"Customer",4)</f>
        <v>3</v>
      </c>
      <c r="L3700" t="str">
        <f>TEXT(LeadsData[[#This Row],[Signup Date]],"mmm-yyyy")</f>
        <v>Apr-2024</v>
      </c>
      <c r="M3700">
        <f>IF(LeadsData[[#This Row],[Stage Number]]&gt;=2,1,0)</f>
        <v>1</v>
      </c>
      <c r="N3700" s="2">
        <f>IF(LeadsData[[#This Row],[Stage Number]]&gt;=3,1,0)</f>
        <v>1</v>
      </c>
      <c r="O3700" s="2">
        <f>IF(LeadsData[[#This Row],[Stage Number]]&gt;=4,1,0)</f>
        <v>0</v>
      </c>
    </row>
    <row r="3701" spans="1:15" x14ac:dyDescent="0.25">
      <c r="A3701" t="s">
        <v>3741</v>
      </c>
      <c r="B3701" s="1">
        <v>45519</v>
      </c>
      <c r="C3701" t="s">
        <v>46</v>
      </c>
      <c r="D3701" t="s">
        <v>56</v>
      </c>
      <c r="E3701" t="s">
        <v>13</v>
      </c>
      <c r="F3701" t="s">
        <v>19</v>
      </c>
      <c r="G3701" t="s">
        <v>15</v>
      </c>
      <c r="K3701" cm="1">
        <f t="array" ref="K3701">_xlfn.SWITCH(LeadsData[[#This Row],[Funnel Stage Reached]],"Lead",1,"MQL",2,"SQL",3,"Customer",4)</f>
        <v>1</v>
      </c>
      <c r="L3701" t="str">
        <f>TEXT(LeadsData[[#This Row],[Signup Date]],"mmm-yyyy")</f>
        <v>Aug-2024</v>
      </c>
      <c r="M3701">
        <f>IF(LeadsData[[#This Row],[Stage Number]]&gt;=2,1,0)</f>
        <v>0</v>
      </c>
      <c r="N3701" s="2">
        <f>IF(LeadsData[[#This Row],[Stage Number]]&gt;=3,1,0)</f>
        <v>0</v>
      </c>
      <c r="O3701" s="2">
        <f>IF(LeadsData[[#This Row],[Stage Number]]&gt;=4,1,0)</f>
        <v>0</v>
      </c>
    </row>
    <row r="3702" spans="1:15" x14ac:dyDescent="0.25">
      <c r="A3702" t="s">
        <v>3742</v>
      </c>
      <c r="B3702" s="1">
        <v>45631</v>
      </c>
      <c r="C3702" t="s">
        <v>31</v>
      </c>
      <c r="D3702" t="s">
        <v>34</v>
      </c>
      <c r="E3702" t="s">
        <v>21</v>
      </c>
      <c r="F3702" t="s">
        <v>22</v>
      </c>
      <c r="G3702" t="s">
        <v>42</v>
      </c>
      <c r="H3702">
        <v>62</v>
      </c>
      <c r="I3702" t="s">
        <v>43</v>
      </c>
      <c r="J3702">
        <v>789.67</v>
      </c>
      <c r="K3702" cm="1">
        <f t="array" ref="K3702">_xlfn.SWITCH(LeadsData[[#This Row],[Funnel Stage Reached]],"Lead",1,"MQL",2,"SQL",3,"Customer",4)</f>
        <v>4</v>
      </c>
      <c r="L3702" t="str">
        <f>TEXT(LeadsData[[#This Row],[Signup Date]],"mmm-yyyy")</f>
        <v>Dec-2024</v>
      </c>
      <c r="M3702">
        <f>IF(LeadsData[[#This Row],[Stage Number]]&gt;=2,1,0)</f>
        <v>1</v>
      </c>
      <c r="N3702" s="2">
        <f>IF(LeadsData[[#This Row],[Stage Number]]&gt;=3,1,0)</f>
        <v>1</v>
      </c>
      <c r="O3702" s="2">
        <f>IF(LeadsData[[#This Row],[Stage Number]]&gt;=4,1,0)</f>
        <v>1</v>
      </c>
    </row>
    <row r="3703" spans="1:15" x14ac:dyDescent="0.25">
      <c r="A3703" t="s">
        <v>3743</v>
      </c>
      <c r="B3703" s="1">
        <v>45554</v>
      </c>
      <c r="C3703" t="s">
        <v>31</v>
      </c>
      <c r="D3703" t="s">
        <v>34</v>
      </c>
      <c r="E3703" t="s">
        <v>13</v>
      </c>
      <c r="F3703" t="s">
        <v>22</v>
      </c>
      <c r="G3703" t="s">
        <v>42</v>
      </c>
      <c r="H3703">
        <v>21</v>
      </c>
      <c r="I3703" t="s">
        <v>183</v>
      </c>
      <c r="J3703">
        <v>19041.91</v>
      </c>
      <c r="K3703" cm="1">
        <f t="array" ref="K3703">_xlfn.SWITCH(LeadsData[[#This Row],[Funnel Stage Reached]],"Lead",1,"MQL",2,"SQL",3,"Customer",4)</f>
        <v>4</v>
      </c>
      <c r="L3703" t="str">
        <f>TEXT(LeadsData[[#This Row],[Signup Date]],"mmm-yyyy")</f>
        <v>Sep-2024</v>
      </c>
      <c r="M3703">
        <f>IF(LeadsData[[#This Row],[Stage Number]]&gt;=2,1,0)</f>
        <v>1</v>
      </c>
      <c r="N3703" s="2">
        <f>IF(LeadsData[[#This Row],[Stage Number]]&gt;=3,1,0)</f>
        <v>1</v>
      </c>
      <c r="O3703" s="2">
        <f>IF(LeadsData[[#This Row],[Stage Number]]&gt;=4,1,0)</f>
        <v>1</v>
      </c>
    </row>
    <row r="3704" spans="1:15" x14ac:dyDescent="0.25">
      <c r="A3704" t="s">
        <v>3744</v>
      </c>
      <c r="B3704" s="1">
        <v>45640</v>
      </c>
      <c r="C3704" t="s">
        <v>36</v>
      </c>
      <c r="D3704" t="s">
        <v>37</v>
      </c>
      <c r="E3704" t="s">
        <v>13</v>
      </c>
      <c r="F3704" t="s">
        <v>19</v>
      </c>
      <c r="G3704" t="s">
        <v>15</v>
      </c>
      <c r="K3704" cm="1">
        <f t="array" ref="K3704">_xlfn.SWITCH(LeadsData[[#This Row],[Funnel Stage Reached]],"Lead",1,"MQL",2,"SQL",3,"Customer",4)</f>
        <v>1</v>
      </c>
      <c r="L3704" t="str">
        <f>TEXT(LeadsData[[#This Row],[Signup Date]],"mmm-yyyy")</f>
        <v>Dec-2024</v>
      </c>
      <c r="M3704">
        <f>IF(LeadsData[[#This Row],[Stage Number]]&gt;=2,1,0)</f>
        <v>0</v>
      </c>
      <c r="N3704" s="2">
        <f>IF(LeadsData[[#This Row],[Stage Number]]&gt;=3,1,0)</f>
        <v>0</v>
      </c>
      <c r="O3704" s="2">
        <f>IF(LeadsData[[#This Row],[Stage Number]]&gt;=4,1,0)</f>
        <v>0</v>
      </c>
    </row>
    <row r="3705" spans="1:15" x14ac:dyDescent="0.25">
      <c r="A3705" t="s">
        <v>3745</v>
      </c>
      <c r="B3705" s="1">
        <v>45633</v>
      </c>
      <c r="C3705" t="s">
        <v>31</v>
      </c>
      <c r="D3705" t="s">
        <v>34</v>
      </c>
      <c r="E3705" t="s">
        <v>13</v>
      </c>
      <c r="F3705" t="s">
        <v>19</v>
      </c>
      <c r="G3705" t="s">
        <v>15</v>
      </c>
      <c r="K3705" cm="1">
        <f t="array" ref="K3705">_xlfn.SWITCH(LeadsData[[#This Row],[Funnel Stage Reached]],"Lead",1,"MQL",2,"SQL",3,"Customer",4)</f>
        <v>1</v>
      </c>
      <c r="L3705" t="str">
        <f>TEXT(LeadsData[[#This Row],[Signup Date]],"mmm-yyyy")</f>
        <v>Dec-2024</v>
      </c>
      <c r="M3705">
        <f>IF(LeadsData[[#This Row],[Stage Number]]&gt;=2,1,0)</f>
        <v>0</v>
      </c>
      <c r="N3705" s="2">
        <f>IF(LeadsData[[#This Row],[Stage Number]]&gt;=3,1,0)</f>
        <v>0</v>
      </c>
      <c r="O3705" s="2">
        <f>IF(LeadsData[[#This Row],[Stage Number]]&gt;=4,1,0)</f>
        <v>0</v>
      </c>
    </row>
    <row r="3706" spans="1:15" x14ac:dyDescent="0.25">
      <c r="A3706" t="s">
        <v>3746</v>
      </c>
      <c r="B3706" s="1">
        <v>45376</v>
      </c>
      <c r="C3706" t="s">
        <v>31</v>
      </c>
      <c r="D3706" t="s">
        <v>32</v>
      </c>
      <c r="E3706" t="s">
        <v>13</v>
      </c>
      <c r="F3706" t="s">
        <v>22</v>
      </c>
      <c r="G3706" t="s">
        <v>29</v>
      </c>
      <c r="K3706" cm="1">
        <f t="array" ref="K3706">_xlfn.SWITCH(LeadsData[[#This Row],[Funnel Stage Reached]],"Lead",1,"MQL",2,"SQL",3,"Customer",4)</f>
        <v>3</v>
      </c>
      <c r="L3706" t="str">
        <f>TEXT(LeadsData[[#This Row],[Signup Date]],"mmm-yyyy")</f>
        <v>Mar-2024</v>
      </c>
      <c r="M3706">
        <f>IF(LeadsData[[#This Row],[Stage Number]]&gt;=2,1,0)</f>
        <v>1</v>
      </c>
      <c r="N3706" s="2">
        <f>IF(LeadsData[[#This Row],[Stage Number]]&gt;=3,1,0)</f>
        <v>1</v>
      </c>
      <c r="O3706" s="2">
        <f>IF(LeadsData[[#This Row],[Stage Number]]&gt;=4,1,0)</f>
        <v>0</v>
      </c>
    </row>
    <row r="3707" spans="1:15" x14ac:dyDescent="0.25">
      <c r="A3707" t="s">
        <v>3747</v>
      </c>
      <c r="B3707" s="1">
        <v>45593</v>
      </c>
      <c r="C3707" t="s">
        <v>46</v>
      </c>
      <c r="D3707" t="s">
        <v>47</v>
      </c>
      <c r="E3707" t="s">
        <v>21</v>
      </c>
      <c r="F3707" t="s">
        <v>14</v>
      </c>
      <c r="G3707" t="s">
        <v>15</v>
      </c>
      <c r="K3707" cm="1">
        <f t="array" ref="K3707">_xlfn.SWITCH(LeadsData[[#This Row],[Funnel Stage Reached]],"Lead",1,"MQL",2,"SQL",3,"Customer",4)</f>
        <v>1</v>
      </c>
      <c r="L3707" t="str">
        <f>TEXT(LeadsData[[#This Row],[Signup Date]],"mmm-yyyy")</f>
        <v>Oct-2024</v>
      </c>
      <c r="M3707">
        <f>IF(LeadsData[[#This Row],[Stage Number]]&gt;=2,1,0)</f>
        <v>0</v>
      </c>
      <c r="N3707" s="2">
        <f>IF(LeadsData[[#This Row],[Stage Number]]&gt;=3,1,0)</f>
        <v>0</v>
      </c>
      <c r="O3707" s="2">
        <f>IF(LeadsData[[#This Row],[Stage Number]]&gt;=4,1,0)</f>
        <v>0</v>
      </c>
    </row>
    <row r="3708" spans="1:15" x14ac:dyDescent="0.25">
      <c r="A3708" t="s">
        <v>3748</v>
      </c>
      <c r="B3708" s="1">
        <v>45635</v>
      </c>
      <c r="C3708" t="s">
        <v>17</v>
      </c>
      <c r="D3708" t="s">
        <v>53</v>
      </c>
      <c r="E3708" t="s">
        <v>48</v>
      </c>
      <c r="F3708" t="s">
        <v>19</v>
      </c>
      <c r="G3708" t="s">
        <v>15</v>
      </c>
      <c r="K3708" cm="1">
        <f t="array" ref="K3708">_xlfn.SWITCH(LeadsData[[#This Row],[Funnel Stage Reached]],"Lead",1,"MQL",2,"SQL",3,"Customer",4)</f>
        <v>1</v>
      </c>
      <c r="L3708" t="str">
        <f>TEXT(LeadsData[[#This Row],[Signup Date]],"mmm-yyyy")</f>
        <v>Dec-2024</v>
      </c>
      <c r="M3708">
        <f>IF(LeadsData[[#This Row],[Stage Number]]&gt;=2,1,0)</f>
        <v>0</v>
      </c>
      <c r="N3708" s="2">
        <f>IF(LeadsData[[#This Row],[Stage Number]]&gt;=3,1,0)</f>
        <v>0</v>
      </c>
      <c r="O3708" s="2">
        <f>IF(LeadsData[[#This Row],[Stage Number]]&gt;=4,1,0)</f>
        <v>0</v>
      </c>
    </row>
    <row r="3709" spans="1:15" x14ac:dyDescent="0.25">
      <c r="A3709" t="s">
        <v>3749</v>
      </c>
      <c r="B3709" s="1">
        <v>45340</v>
      </c>
      <c r="C3709" t="s">
        <v>11</v>
      </c>
      <c r="D3709" t="s">
        <v>68</v>
      </c>
      <c r="E3709" t="s">
        <v>13</v>
      </c>
      <c r="F3709" t="s">
        <v>19</v>
      </c>
      <c r="G3709" t="s">
        <v>15</v>
      </c>
      <c r="K3709" cm="1">
        <f t="array" ref="K3709">_xlfn.SWITCH(LeadsData[[#This Row],[Funnel Stage Reached]],"Lead",1,"MQL",2,"SQL",3,"Customer",4)</f>
        <v>1</v>
      </c>
      <c r="L3709" t="str">
        <f>TEXT(LeadsData[[#This Row],[Signup Date]],"mmm-yyyy")</f>
        <v>Feb-2024</v>
      </c>
      <c r="M3709">
        <f>IF(LeadsData[[#This Row],[Stage Number]]&gt;=2,1,0)</f>
        <v>0</v>
      </c>
      <c r="N3709" s="2">
        <f>IF(LeadsData[[#This Row],[Stage Number]]&gt;=3,1,0)</f>
        <v>0</v>
      </c>
      <c r="O3709" s="2">
        <f>IF(LeadsData[[#This Row],[Stage Number]]&gt;=4,1,0)</f>
        <v>0</v>
      </c>
    </row>
    <row r="3710" spans="1:15" x14ac:dyDescent="0.25">
      <c r="A3710" t="s">
        <v>3750</v>
      </c>
      <c r="B3710" s="1">
        <v>45390</v>
      </c>
      <c r="C3710" t="s">
        <v>31</v>
      </c>
      <c r="D3710" t="s">
        <v>34</v>
      </c>
      <c r="E3710" t="s">
        <v>13</v>
      </c>
      <c r="F3710" t="s">
        <v>28</v>
      </c>
      <c r="G3710" t="s">
        <v>42</v>
      </c>
      <c r="H3710">
        <v>46</v>
      </c>
      <c r="I3710" t="s">
        <v>43</v>
      </c>
      <c r="J3710">
        <v>935.82</v>
      </c>
      <c r="K3710" cm="1">
        <f t="array" ref="K3710">_xlfn.SWITCH(LeadsData[[#This Row],[Funnel Stage Reached]],"Lead",1,"MQL",2,"SQL",3,"Customer",4)</f>
        <v>4</v>
      </c>
      <c r="L3710" t="str">
        <f>TEXT(LeadsData[[#This Row],[Signup Date]],"mmm-yyyy")</f>
        <v>Apr-2024</v>
      </c>
      <c r="M3710">
        <f>IF(LeadsData[[#This Row],[Stage Number]]&gt;=2,1,0)</f>
        <v>1</v>
      </c>
      <c r="N3710" s="2">
        <f>IF(LeadsData[[#This Row],[Stage Number]]&gt;=3,1,0)</f>
        <v>1</v>
      </c>
      <c r="O3710" s="2">
        <f>IF(LeadsData[[#This Row],[Stage Number]]&gt;=4,1,0)</f>
        <v>1</v>
      </c>
    </row>
    <row r="3711" spans="1:15" x14ac:dyDescent="0.25">
      <c r="A3711" t="s">
        <v>3751</v>
      </c>
      <c r="B3711" s="1">
        <v>45387</v>
      </c>
      <c r="C3711" t="s">
        <v>46</v>
      </c>
      <c r="D3711" t="s">
        <v>56</v>
      </c>
      <c r="E3711" t="s">
        <v>13</v>
      </c>
      <c r="F3711" t="s">
        <v>22</v>
      </c>
      <c r="G3711" t="s">
        <v>15</v>
      </c>
      <c r="K3711" cm="1">
        <f t="array" ref="K3711">_xlfn.SWITCH(LeadsData[[#This Row],[Funnel Stage Reached]],"Lead",1,"MQL",2,"SQL",3,"Customer",4)</f>
        <v>1</v>
      </c>
      <c r="L3711" t="str">
        <f>TEXT(LeadsData[[#This Row],[Signup Date]],"mmm-yyyy")</f>
        <v>Apr-2024</v>
      </c>
      <c r="M3711">
        <f>IF(LeadsData[[#This Row],[Stage Number]]&gt;=2,1,0)</f>
        <v>0</v>
      </c>
      <c r="N3711" s="2">
        <f>IF(LeadsData[[#This Row],[Stage Number]]&gt;=3,1,0)</f>
        <v>0</v>
      </c>
      <c r="O3711" s="2">
        <f>IF(LeadsData[[#This Row],[Stage Number]]&gt;=4,1,0)</f>
        <v>0</v>
      </c>
    </row>
    <row r="3712" spans="1:15" x14ac:dyDescent="0.25">
      <c r="A3712" t="s">
        <v>3752</v>
      </c>
      <c r="B3712" s="1">
        <v>45561</v>
      </c>
      <c r="C3712" t="s">
        <v>25</v>
      </c>
      <c r="D3712" t="s">
        <v>26</v>
      </c>
      <c r="E3712" t="s">
        <v>21</v>
      </c>
      <c r="F3712" t="s">
        <v>14</v>
      </c>
      <c r="G3712" t="s">
        <v>15</v>
      </c>
      <c r="K3712" cm="1">
        <f t="array" ref="K3712">_xlfn.SWITCH(LeadsData[[#This Row],[Funnel Stage Reached]],"Lead",1,"MQL",2,"SQL",3,"Customer",4)</f>
        <v>1</v>
      </c>
      <c r="L3712" t="str">
        <f>TEXT(LeadsData[[#This Row],[Signup Date]],"mmm-yyyy")</f>
        <v>Sep-2024</v>
      </c>
      <c r="M3712">
        <f>IF(LeadsData[[#This Row],[Stage Number]]&gt;=2,1,0)</f>
        <v>0</v>
      </c>
      <c r="N3712" s="2">
        <f>IF(LeadsData[[#This Row],[Stage Number]]&gt;=3,1,0)</f>
        <v>0</v>
      </c>
      <c r="O3712" s="2">
        <f>IF(LeadsData[[#This Row],[Stage Number]]&gt;=4,1,0)</f>
        <v>0</v>
      </c>
    </row>
    <row r="3713" spans="1:15" x14ac:dyDescent="0.25">
      <c r="A3713" t="s">
        <v>3753</v>
      </c>
      <c r="B3713" s="1">
        <v>45350</v>
      </c>
      <c r="C3713" t="s">
        <v>46</v>
      </c>
      <c r="D3713" t="s">
        <v>47</v>
      </c>
      <c r="E3713" t="s">
        <v>21</v>
      </c>
      <c r="F3713" t="s">
        <v>14</v>
      </c>
      <c r="G3713" t="s">
        <v>15</v>
      </c>
      <c r="K3713" cm="1">
        <f t="array" ref="K3713">_xlfn.SWITCH(LeadsData[[#This Row],[Funnel Stage Reached]],"Lead",1,"MQL",2,"SQL",3,"Customer",4)</f>
        <v>1</v>
      </c>
      <c r="L3713" t="str">
        <f>TEXT(LeadsData[[#This Row],[Signup Date]],"mmm-yyyy")</f>
        <v>Feb-2024</v>
      </c>
      <c r="M3713">
        <f>IF(LeadsData[[#This Row],[Stage Number]]&gt;=2,1,0)</f>
        <v>0</v>
      </c>
      <c r="N3713" s="2">
        <f>IF(LeadsData[[#This Row],[Stage Number]]&gt;=3,1,0)</f>
        <v>0</v>
      </c>
      <c r="O3713" s="2">
        <f>IF(LeadsData[[#This Row],[Stage Number]]&gt;=4,1,0)</f>
        <v>0</v>
      </c>
    </row>
    <row r="3714" spans="1:15" x14ac:dyDescent="0.25">
      <c r="A3714" t="s">
        <v>3754</v>
      </c>
      <c r="B3714" s="1">
        <v>45511</v>
      </c>
      <c r="C3714" t="s">
        <v>17</v>
      </c>
      <c r="D3714" t="s">
        <v>53</v>
      </c>
      <c r="E3714" t="s">
        <v>21</v>
      </c>
      <c r="F3714" t="s">
        <v>14</v>
      </c>
      <c r="G3714" t="s">
        <v>15</v>
      </c>
      <c r="K3714" cm="1">
        <f t="array" ref="K3714">_xlfn.SWITCH(LeadsData[[#This Row],[Funnel Stage Reached]],"Lead",1,"MQL",2,"SQL",3,"Customer",4)</f>
        <v>1</v>
      </c>
      <c r="L3714" t="str">
        <f>TEXT(LeadsData[[#This Row],[Signup Date]],"mmm-yyyy")</f>
        <v>Aug-2024</v>
      </c>
      <c r="M3714">
        <f>IF(LeadsData[[#This Row],[Stage Number]]&gt;=2,1,0)</f>
        <v>0</v>
      </c>
      <c r="N3714" s="2">
        <f>IF(LeadsData[[#This Row],[Stage Number]]&gt;=3,1,0)</f>
        <v>0</v>
      </c>
      <c r="O3714" s="2">
        <f>IF(LeadsData[[#This Row],[Stage Number]]&gt;=4,1,0)</f>
        <v>0</v>
      </c>
    </row>
    <row r="3715" spans="1:15" x14ac:dyDescent="0.25">
      <c r="A3715" t="s">
        <v>3755</v>
      </c>
      <c r="B3715" s="1">
        <v>45524</v>
      </c>
      <c r="C3715" t="s">
        <v>25</v>
      </c>
      <c r="D3715" t="s">
        <v>26</v>
      </c>
      <c r="E3715" t="s">
        <v>21</v>
      </c>
      <c r="F3715" t="s">
        <v>19</v>
      </c>
      <c r="G3715" t="s">
        <v>23</v>
      </c>
      <c r="K3715" cm="1">
        <f t="array" ref="K3715">_xlfn.SWITCH(LeadsData[[#This Row],[Funnel Stage Reached]],"Lead",1,"MQL",2,"SQL",3,"Customer",4)</f>
        <v>2</v>
      </c>
      <c r="L3715" t="str">
        <f>TEXT(LeadsData[[#This Row],[Signup Date]],"mmm-yyyy")</f>
        <v>Aug-2024</v>
      </c>
      <c r="M3715">
        <f>IF(LeadsData[[#This Row],[Stage Number]]&gt;=2,1,0)</f>
        <v>1</v>
      </c>
      <c r="N3715" s="2">
        <f>IF(LeadsData[[#This Row],[Stage Number]]&gt;=3,1,0)</f>
        <v>0</v>
      </c>
      <c r="O3715" s="2">
        <f>IF(LeadsData[[#This Row],[Stage Number]]&gt;=4,1,0)</f>
        <v>0</v>
      </c>
    </row>
    <row r="3716" spans="1:15" x14ac:dyDescent="0.25">
      <c r="A3716" t="s">
        <v>3756</v>
      </c>
      <c r="B3716" s="1">
        <v>45566</v>
      </c>
      <c r="C3716" t="s">
        <v>17</v>
      </c>
      <c r="D3716" t="s">
        <v>18</v>
      </c>
      <c r="E3716" t="s">
        <v>13</v>
      </c>
      <c r="F3716" t="s">
        <v>19</v>
      </c>
      <c r="G3716" t="s">
        <v>15</v>
      </c>
      <c r="K3716" cm="1">
        <f t="array" ref="K3716">_xlfn.SWITCH(LeadsData[[#This Row],[Funnel Stage Reached]],"Lead",1,"MQL",2,"SQL",3,"Customer",4)</f>
        <v>1</v>
      </c>
      <c r="L3716" t="str">
        <f>TEXT(LeadsData[[#This Row],[Signup Date]],"mmm-yyyy")</f>
        <v>Oct-2024</v>
      </c>
      <c r="M3716">
        <f>IF(LeadsData[[#This Row],[Stage Number]]&gt;=2,1,0)</f>
        <v>0</v>
      </c>
      <c r="N3716" s="2">
        <f>IF(LeadsData[[#This Row],[Stage Number]]&gt;=3,1,0)</f>
        <v>0</v>
      </c>
      <c r="O3716" s="2">
        <f>IF(LeadsData[[#This Row],[Stage Number]]&gt;=4,1,0)</f>
        <v>0</v>
      </c>
    </row>
    <row r="3717" spans="1:15" x14ac:dyDescent="0.25">
      <c r="A3717" t="s">
        <v>3757</v>
      </c>
      <c r="B3717" s="1">
        <v>45568</v>
      </c>
      <c r="C3717" t="s">
        <v>31</v>
      </c>
      <c r="D3717" t="s">
        <v>34</v>
      </c>
      <c r="E3717" t="s">
        <v>21</v>
      </c>
      <c r="F3717" t="s">
        <v>19</v>
      </c>
      <c r="G3717" t="s">
        <v>15</v>
      </c>
      <c r="K3717" cm="1">
        <f t="array" ref="K3717">_xlfn.SWITCH(LeadsData[[#This Row],[Funnel Stage Reached]],"Lead",1,"MQL",2,"SQL",3,"Customer",4)</f>
        <v>1</v>
      </c>
      <c r="L3717" t="str">
        <f>TEXT(LeadsData[[#This Row],[Signup Date]],"mmm-yyyy")</f>
        <v>Oct-2024</v>
      </c>
      <c r="M3717">
        <f>IF(LeadsData[[#This Row],[Stage Number]]&gt;=2,1,0)</f>
        <v>0</v>
      </c>
      <c r="N3717" s="2">
        <f>IF(LeadsData[[#This Row],[Stage Number]]&gt;=3,1,0)</f>
        <v>0</v>
      </c>
      <c r="O3717" s="2">
        <f>IF(LeadsData[[#This Row],[Stage Number]]&gt;=4,1,0)</f>
        <v>0</v>
      </c>
    </row>
    <row r="3718" spans="1:15" x14ac:dyDescent="0.25">
      <c r="A3718" t="s">
        <v>3758</v>
      </c>
      <c r="B3718" s="1">
        <v>45631</v>
      </c>
      <c r="C3718" t="s">
        <v>17</v>
      </c>
      <c r="D3718" t="s">
        <v>53</v>
      </c>
      <c r="E3718" t="s">
        <v>21</v>
      </c>
      <c r="F3718" t="s">
        <v>22</v>
      </c>
      <c r="G3718" t="s">
        <v>42</v>
      </c>
      <c r="H3718">
        <v>24</v>
      </c>
      <c r="I3718" t="s">
        <v>43</v>
      </c>
      <c r="J3718">
        <v>749.49</v>
      </c>
      <c r="K3718" cm="1">
        <f t="array" ref="K3718">_xlfn.SWITCH(LeadsData[[#This Row],[Funnel Stage Reached]],"Lead",1,"MQL",2,"SQL",3,"Customer",4)</f>
        <v>4</v>
      </c>
      <c r="L3718" t="str">
        <f>TEXT(LeadsData[[#This Row],[Signup Date]],"mmm-yyyy")</f>
        <v>Dec-2024</v>
      </c>
      <c r="M3718">
        <f>IF(LeadsData[[#This Row],[Stage Number]]&gt;=2,1,0)</f>
        <v>1</v>
      </c>
      <c r="N3718" s="2">
        <f>IF(LeadsData[[#This Row],[Stage Number]]&gt;=3,1,0)</f>
        <v>1</v>
      </c>
      <c r="O3718" s="2">
        <f>IF(LeadsData[[#This Row],[Stage Number]]&gt;=4,1,0)</f>
        <v>1</v>
      </c>
    </row>
    <row r="3719" spans="1:15" x14ac:dyDescent="0.25">
      <c r="A3719" t="s">
        <v>3759</v>
      </c>
      <c r="B3719" s="1">
        <v>45629</v>
      </c>
      <c r="C3719" t="s">
        <v>11</v>
      </c>
      <c r="D3719" t="s">
        <v>79</v>
      </c>
      <c r="E3719" t="s">
        <v>13</v>
      </c>
      <c r="F3719" t="s">
        <v>14</v>
      </c>
      <c r="G3719" t="s">
        <v>15</v>
      </c>
      <c r="K3719" cm="1">
        <f t="array" ref="K3719">_xlfn.SWITCH(LeadsData[[#This Row],[Funnel Stage Reached]],"Lead",1,"MQL",2,"SQL",3,"Customer",4)</f>
        <v>1</v>
      </c>
      <c r="L3719" t="str">
        <f>TEXT(LeadsData[[#This Row],[Signup Date]],"mmm-yyyy")</f>
        <v>Dec-2024</v>
      </c>
      <c r="M3719">
        <f>IF(LeadsData[[#This Row],[Stage Number]]&gt;=2,1,0)</f>
        <v>0</v>
      </c>
      <c r="N3719" s="2">
        <f>IF(LeadsData[[#This Row],[Stage Number]]&gt;=3,1,0)</f>
        <v>0</v>
      </c>
      <c r="O3719" s="2">
        <f>IF(LeadsData[[#This Row],[Stage Number]]&gt;=4,1,0)</f>
        <v>0</v>
      </c>
    </row>
    <row r="3720" spans="1:15" x14ac:dyDescent="0.25">
      <c r="A3720" t="s">
        <v>3760</v>
      </c>
      <c r="B3720" s="1">
        <v>45601</v>
      </c>
      <c r="C3720" t="s">
        <v>31</v>
      </c>
      <c r="D3720" t="s">
        <v>34</v>
      </c>
      <c r="E3720" t="s">
        <v>21</v>
      </c>
      <c r="F3720" t="s">
        <v>19</v>
      </c>
      <c r="G3720" t="s">
        <v>23</v>
      </c>
      <c r="K3720" cm="1">
        <f t="array" ref="K3720">_xlfn.SWITCH(LeadsData[[#This Row],[Funnel Stage Reached]],"Lead",1,"MQL",2,"SQL",3,"Customer",4)</f>
        <v>2</v>
      </c>
      <c r="L3720" t="str">
        <f>TEXT(LeadsData[[#This Row],[Signup Date]],"mmm-yyyy")</f>
        <v>Nov-2024</v>
      </c>
      <c r="M3720">
        <f>IF(LeadsData[[#This Row],[Stage Number]]&gt;=2,1,0)</f>
        <v>1</v>
      </c>
      <c r="N3720" s="2">
        <f>IF(LeadsData[[#This Row],[Stage Number]]&gt;=3,1,0)</f>
        <v>0</v>
      </c>
      <c r="O3720" s="2">
        <f>IF(LeadsData[[#This Row],[Stage Number]]&gt;=4,1,0)</f>
        <v>0</v>
      </c>
    </row>
    <row r="3721" spans="1:15" x14ac:dyDescent="0.25">
      <c r="A3721" t="s">
        <v>3761</v>
      </c>
      <c r="B3721" s="1">
        <v>45365</v>
      </c>
      <c r="C3721" t="s">
        <v>17</v>
      </c>
      <c r="D3721" t="s">
        <v>53</v>
      </c>
      <c r="E3721" t="s">
        <v>13</v>
      </c>
      <c r="F3721" t="s">
        <v>14</v>
      </c>
      <c r="G3721" t="s">
        <v>15</v>
      </c>
      <c r="K3721" cm="1">
        <f t="array" ref="K3721">_xlfn.SWITCH(LeadsData[[#This Row],[Funnel Stage Reached]],"Lead",1,"MQL",2,"SQL",3,"Customer",4)</f>
        <v>1</v>
      </c>
      <c r="L3721" t="str">
        <f>TEXT(LeadsData[[#This Row],[Signup Date]],"mmm-yyyy")</f>
        <v>Mar-2024</v>
      </c>
      <c r="M3721">
        <f>IF(LeadsData[[#This Row],[Stage Number]]&gt;=2,1,0)</f>
        <v>0</v>
      </c>
      <c r="N3721" s="2">
        <f>IF(LeadsData[[#This Row],[Stage Number]]&gt;=3,1,0)</f>
        <v>0</v>
      </c>
      <c r="O3721" s="2">
        <f>IF(LeadsData[[#This Row],[Stage Number]]&gt;=4,1,0)</f>
        <v>0</v>
      </c>
    </row>
    <row r="3722" spans="1:15" x14ac:dyDescent="0.25">
      <c r="A3722" t="s">
        <v>3762</v>
      </c>
      <c r="B3722" s="1">
        <v>45649</v>
      </c>
      <c r="C3722" t="s">
        <v>31</v>
      </c>
      <c r="D3722" t="s">
        <v>32</v>
      </c>
      <c r="E3722" t="s">
        <v>13</v>
      </c>
      <c r="F3722" t="s">
        <v>19</v>
      </c>
      <c r="G3722" t="s">
        <v>29</v>
      </c>
      <c r="K3722" cm="1">
        <f t="array" ref="K3722">_xlfn.SWITCH(LeadsData[[#This Row],[Funnel Stage Reached]],"Lead",1,"MQL",2,"SQL",3,"Customer",4)</f>
        <v>3</v>
      </c>
      <c r="L3722" t="str">
        <f>TEXT(LeadsData[[#This Row],[Signup Date]],"mmm-yyyy")</f>
        <v>Dec-2024</v>
      </c>
      <c r="M3722">
        <f>IF(LeadsData[[#This Row],[Stage Number]]&gt;=2,1,0)</f>
        <v>1</v>
      </c>
      <c r="N3722" s="2">
        <f>IF(LeadsData[[#This Row],[Stage Number]]&gt;=3,1,0)</f>
        <v>1</v>
      </c>
      <c r="O3722" s="2">
        <f>IF(LeadsData[[#This Row],[Stage Number]]&gt;=4,1,0)</f>
        <v>0</v>
      </c>
    </row>
    <row r="3723" spans="1:15" x14ac:dyDescent="0.25">
      <c r="A3723" t="s">
        <v>3763</v>
      </c>
      <c r="B3723" s="1">
        <v>45525</v>
      </c>
      <c r="C3723" t="s">
        <v>36</v>
      </c>
      <c r="D3723" t="s">
        <v>50</v>
      </c>
      <c r="E3723" t="s">
        <v>13</v>
      </c>
      <c r="F3723" t="s">
        <v>22</v>
      </c>
      <c r="G3723" t="s">
        <v>15</v>
      </c>
      <c r="K3723" cm="1">
        <f t="array" ref="K3723">_xlfn.SWITCH(LeadsData[[#This Row],[Funnel Stage Reached]],"Lead",1,"MQL",2,"SQL",3,"Customer",4)</f>
        <v>1</v>
      </c>
      <c r="L3723" t="str">
        <f>TEXT(LeadsData[[#This Row],[Signup Date]],"mmm-yyyy")</f>
        <v>Aug-2024</v>
      </c>
      <c r="M3723">
        <f>IF(LeadsData[[#This Row],[Stage Number]]&gt;=2,1,0)</f>
        <v>0</v>
      </c>
      <c r="N3723" s="2">
        <f>IF(LeadsData[[#This Row],[Stage Number]]&gt;=3,1,0)</f>
        <v>0</v>
      </c>
      <c r="O3723" s="2">
        <f>IF(LeadsData[[#This Row],[Stage Number]]&gt;=4,1,0)</f>
        <v>0</v>
      </c>
    </row>
    <row r="3724" spans="1:15" x14ac:dyDescent="0.25">
      <c r="A3724" t="s">
        <v>3764</v>
      </c>
      <c r="B3724" s="1">
        <v>45325</v>
      </c>
      <c r="C3724" t="s">
        <v>11</v>
      </c>
      <c r="D3724" t="s">
        <v>68</v>
      </c>
      <c r="E3724" t="s">
        <v>21</v>
      </c>
      <c r="F3724" t="s">
        <v>22</v>
      </c>
      <c r="G3724" t="s">
        <v>23</v>
      </c>
      <c r="K3724" cm="1">
        <f t="array" ref="K3724">_xlfn.SWITCH(LeadsData[[#This Row],[Funnel Stage Reached]],"Lead",1,"MQL",2,"SQL",3,"Customer",4)</f>
        <v>2</v>
      </c>
      <c r="L3724" t="str">
        <f>TEXT(LeadsData[[#This Row],[Signup Date]],"mmm-yyyy")</f>
        <v>Feb-2024</v>
      </c>
      <c r="M3724">
        <f>IF(LeadsData[[#This Row],[Stage Number]]&gt;=2,1,0)</f>
        <v>1</v>
      </c>
      <c r="N3724" s="2">
        <f>IF(LeadsData[[#This Row],[Stage Number]]&gt;=3,1,0)</f>
        <v>0</v>
      </c>
      <c r="O3724" s="2">
        <f>IF(LeadsData[[#This Row],[Stage Number]]&gt;=4,1,0)</f>
        <v>0</v>
      </c>
    </row>
    <row r="3725" spans="1:15" x14ac:dyDescent="0.25">
      <c r="A3725" t="s">
        <v>3765</v>
      </c>
      <c r="B3725" s="1">
        <v>45368</v>
      </c>
      <c r="C3725" t="s">
        <v>31</v>
      </c>
      <c r="D3725" t="s">
        <v>32</v>
      </c>
      <c r="E3725" t="s">
        <v>21</v>
      </c>
      <c r="F3725" t="s">
        <v>19</v>
      </c>
      <c r="G3725" t="s">
        <v>23</v>
      </c>
      <c r="K3725" cm="1">
        <f t="array" ref="K3725">_xlfn.SWITCH(LeadsData[[#This Row],[Funnel Stage Reached]],"Lead",1,"MQL",2,"SQL",3,"Customer",4)</f>
        <v>2</v>
      </c>
      <c r="L3725" t="str">
        <f>TEXT(LeadsData[[#This Row],[Signup Date]],"mmm-yyyy")</f>
        <v>Mar-2024</v>
      </c>
      <c r="M3725">
        <f>IF(LeadsData[[#This Row],[Stage Number]]&gt;=2,1,0)</f>
        <v>1</v>
      </c>
      <c r="N3725" s="2">
        <f>IF(LeadsData[[#This Row],[Stage Number]]&gt;=3,1,0)</f>
        <v>0</v>
      </c>
      <c r="O3725" s="2">
        <f>IF(LeadsData[[#This Row],[Stage Number]]&gt;=4,1,0)</f>
        <v>0</v>
      </c>
    </row>
    <row r="3726" spans="1:15" x14ac:dyDescent="0.25">
      <c r="A3726" t="s">
        <v>3766</v>
      </c>
      <c r="B3726" s="1">
        <v>45485</v>
      </c>
      <c r="C3726" t="s">
        <v>17</v>
      </c>
      <c r="D3726" t="s">
        <v>53</v>
      </c>
      <c r="E3726" t="s">
        <v>13</v>
      </c>
      <c r="F3726" t="s">
        <v>14</v>
      </c>
      <c r="G3726" t="s">
        <v>23</v>
      </c>
      <c r="K3726" cm="1">
        <f t="array" ref="K3726">_xlfn.SWITCH(LeadsData[[#This Row],[Funnel Stage Reached]],"Lead",1,"MQL",2,"SQL",3,"Customer",4)</f>
        <v>2</v>
      </c>
      <c r="L3726" t="str">
        <f>TEXT(LeadsData[[#This Row],[Signup Date]],"mmm-yyyy")</f>
        <v>Jul-2024</v>
      </c>
      <c r="M3726">
        <f>IF(LeadsData[[#This Row],[Stage Number]]&gt;=2,1,0)</f>
        <v>1</v>
      </c>
      <c r="N3726" s="2">
        <f>IF(LeadsData[[#This Row],[Stage Number]]&gt;=3,1,0)</f>
        <v>0</v>
      </c>
      <c r="O3726" s="2">
        <f>IF(LeadsData[[#This Row],[Stage Number]]&gt;=4,1,0)</f>
        <v>0</v>
      </c>
    </row>
    <row r="3727" spans="1:15" x14ac:dyDescent="0.25">
      <c r="A3727" t="s">
        <v>3767</v>
      </c>
      <c r="B3727" s="1">
        <v>45580</v>
      </c>
      <c r="C3727" t="s">
        <v>17</v>
      </c>
      <c r="D3727" t="s">
        <v>18</v>
      </c>
      <c r="E3727" t="s">
        <v>13</v>
      </c>
      <c r="F3727" t="s">
        <v>22</v>
      </c>
      <c r="G3727" t="s">
        <v>23</v>
      </c>
      <c r="K3727" cm="1">
        <f t="array" ref="K3727">_xlfn.SWITCH(LeadsData[[#This Row],[Funnel Stage Reached]],"Lead",1,"MQL",2,"SQL",3,"Customer",4)</f>
        <v>2</v>
      </c>
      <c r="L3727" t="str">
        <f>TEXT(LeadsData[[#This Row],[Signup Date]],"mmm-yyyy")</f>
        <v>Oct-2024</v>
      </c>
      <c r="M3727">
        <f>IF(LeadsData[[#This Row],[Stage Number]]&gt;=2,1,0)</f>
        <v>1</v>
      </c>
      <c r="N3727" s="2">
        <f>IF(LeadsData[[#This Row],[Stage Number]]&gt;=3,1,0)</f>
        <v>0</v>
      </c>
      <c r="O3727" s="2">
        <f>IF(LeadsData[[#This Row],[Stage Number]]&gt;=4,1,0)</f>
        <v>0</v>
      </c>
    </row>
    <row r="3728" spans="1:15" x14ac:dyDescent="0.25">
      <c r="A3728" t="s">
        <v>3768</v>
      </c>
      <c r="B3728" s="1">
        <v>45394</v>
      </c>
      <c r="C3728" t="s">
        <v>17</v>
      </c>
      <c r="D3728" t="s">
        <v>53</v>
      </c>
      <c r="E3728" t="s">
        <v>13</v>
      </c>
      <c r="F3728" t="s">
        <v>22</v>
      </c>
      <c r="G3728" t="s">
        <v>15</v>
      </c>
      <c r="K3728" cm="1">
        <f t="array" ref="K3728">_xlfn.SWITCH(LeadsData[[#This Row],[Funnel Stage Reached]],"Lead",1,"MQL",2,"SQL",3,"Customer",4)</f>
        <v>1</v>
      </c>
      <c r="L3728" t="str">
        <f>TEXT(LeadsData[[#This Row],[Signup Date]],"mmm-yyyy")</f>
        <v>Apr-2024</v>
      </c>
      <c r="M3728">
        <f>IF(LeadsData[[#This Row],[Stage Number]]&gt;=2,1,0)</f>
        <v>0</v>
      </c>
      <c r="N3728" s="2">
        <f>IF(LeadsData[[#This Row],[Stage Number]]&gt;=3,1,0)</f>
        <v>0</v>
      </c>
      <c r="O3728" s="2">
        <f>IF(LeadsData[[#This Row],[Stage Number]]&gt;=4,1,0)</f>
        <v>0</v>
      </c>
    </row>
    <row r="3729" spans="1:15" x14ac:dyDescent="0.25">
      <c r="A3729" t="s">
        <v>3769</v>
      </c>
      <c r="B3729" s="1">
        <v>45606</v>
      </c>
      <c r="C3729" t="s">
        <v>36</v>
      </c>
      <c r="D3729" t="s">
        <v>50</v>
      </c>
      <c r="E3729" t="s">
        <v>13</v>
      </c>
      <c r="F3729" t="s">
        <v>19</v>
      </c>
      <c r="G3729" t="s">
        <v>15</v>
      </c>
      <c r="K3729" cm="1">
        <f t="array" ref="K3729">_xlfn.SWITCH(LeadsData[[#This Row],[Funnel Stage Reached]],"Lead",1,"MQL",2,"SQL",3,"Customer",4)</f>
        <v>1</v>
      </c>
      <c r="L3729" t="str">
        <f>TEXT(LeadsData[[#This Row],[Signup Date]],"mmm-yyyy")</f>
        <v>Nov-2024</v>
      </c>
      <c r="M3729">
        <f>IF(LeadsData[[#This Row],[Stage Number]]&gt;=2,1,0)</f>
        <v>0</v>
      </c>
      <c r="N3729" s="2">
        <f>IF(LeadsData[[#This Row],[Stage Number]]&gt;=3,1,0)</f>
        <v>0</v>
      </c>
      <c r="O3729" s="2">
        <f>IF(LeadsData[[#This Row],[Stage Number]]&gt;=4,1,0)</f>
        <v>0</v>
      </c>
    </row>
    <row r="3730" spans="1:15" x14ac:dyDescent="0.25">
      <c r="A3730" t="s">
        <v>3770</v>
      </c>
      <c r="B3730" s="1">
        <v>45522</v>
      </c>
      <c r="C3730" t="s">
        <v>11</v>
      </c>
      <c r="D3730" t="s">
        <v>12</v>
      </c>
      <c r="E3730" t="s">
        <v>13</v>
      </c>
      <c r="F3730" t="s">
        <v>19</v>
      </c>
      <c r="G3730" t="s">
        <v>42</v>
      </c>
      <c r="H3730">
        <v>52</v>
      </c>
      <c r="I3730" t="s">
        <v>87</v>
      </c>
      <c r="J3730">
        <v>4510.21</v>
      </c>
      <c r="K3730" cm="1">
        <f t="array" ref="K3730">_xlfn.SWITCH(LeadsData[[#This Row],[Funnel Stage Reached]],"Lead",1,"MQL",2,"SQL",3,"Customer",4)</f>
        <v>4</v>
      </c>
      <c r="L3730" t="str">
        <f>TEXT(LeadsData[[#This Row],[Signup Date]],"mmm-yyyy")</f>
        <v>Aug-2024</v>
      </c>
      <c r="M3730">
        <f>IF(LeadsData[[#This Row],[Stage Number]]&gt;=2,1,0)</f>
        <v>1</v>
      </c>
      <c r="N3730" s="2">
        <f>IF(LeadsData[[#This Row],[Stage Number]]&gt;=3,1,0)</f>
        <v>1</v>
      </c>
      <c r="O3730" s="2">
        <f>IF(LeadsData[[#This Row],[Stage Number]]&gt;=4,1,0)</f>
        <v>1</v>
      </c>
    </row>
    <row r="3731" spans="1:15" x14ac:dyDescent="0.25">
      <c r="A3731" t="s">
        <v>3771</v>
      </c>
      <c r="B3731" s="1">
        <v>45430</v>
      </c>
      <c r="C3731" t="s">
        <v>25</v>
      </c>
      <c r="D3731" t="s">
        <v>26</v>
      </c>
      <c r="E3731" t="s">
        <v>48</v>
      </c>
      <c r="F3731" t="s">
        <v>19</v>
      </c>
      <c r="G3731" t="s">
        <v>15</v>
      </c>
      <c r="K3731" cm="1">
        <f t="array" ref="K3731">_xlfn.SWITCH(LeadsData[[#This Row],[Funnel Stage Reached]],"Lead",1,"MQL",2,"SQL",3,"Customer",4)</f>
        <v>1</v>
      </c>
      <c r="L3731" t="str">
        <f>TEXT(LeadsData[[#This Row],[Signup Date]],"mmm-yyyy")</f>
        <v>May-2024</v>
      </c>
      <c r="M3731">
        <f>IF(LeadsData[[#This Row],[Stage Number]]&gt;=2,1,0)</f>
        <v>0</v>
      </c>
      <c r="N3731" s="2">
        <f>IF(LeadsData[[#This Row],[Stage Number]]&gt;=3,1,0)</f>
        <v>0</v>
      </c>
      <c r="O3731" s="2">
        <f>IF(LeadsData[[#This Row],[Stage Number]]&gt;=4,1,0)</f>
        <v>0</v>
      </c>
    </row>
    <row r="3732" spans="1:15" x14ac:dyDescent="0.25">
      <c r="A3732" t="s">
        <v>3772</v>
      </c>
      <c r="B3732" s="1">
        <v>45572</v>
      </c>
      <c r="C3732" t="s">
        <v>17</v>
      </c>
      <c r="D3732" t="s">
        <v>18</v>
      </c>
      <c r="E3732" t="s">
        <v>13</v>
      </c>
      <c r="F3732" t="s">
        <v>28</v>
      </c>
      <c r="G3732" t="s">
        <v>15</v>
      </c>
      <c r="K3732" cm="1">
        <f t="array" ref="K3732">_xlfn.SWITCH(LeadsData[[#This Row],[Funnel Stage Reached]],"Lead",1,"MQL",2,"SQL",3,"Customer",4)</f>
        <v>1</v>
      </c>
      <c r="L3732" t="str">
        <f>TEXT(LeadsData[[#This Row],[Signup Date]],"mmm-yyyy")</f>
        <v>Oct-2024</v>
      </c>
      <c r="M3732">
        <f>IF(LeadsData[[#This Row],[Stage Number]]&gt;=2,1,0)</f>
        <v>0</v>
      </c>
      <c r="N3732" s="2">
        <f>IF(LeadsData[[#This Row],[Stage Number]]&gt;=3,1,0)</f>
        <v>0</v>
      </c>
      <c r="O3732" s="2">
        <f>IF(LeadsData[[#This Row],[Stage Number]]&gt;=4,1,0)</f>
        <v>0</v>
      </c>
    </row>
    <row r="3733" spans="1:15" x14ac:dyDescent="0.25">
      <c r="A3733" t="s">
        <v>3773</v>
      </c>
      <c r="B3733" s="1">
        <v>45631</v>
      </c>
      <c r="C3733" t="s">
        <v>17</v>
      </c>
      <c r="D3733" t="s">
        <v>18</v>
      </c>
      <c r="E3733" t="s">
        <v>13</v>
      </c>
      <c r="F3733" t="s">
        <v>22</v>
      </c>
      <c r="G3733" t="s">
        <v>23</v>
      </c>
      <c r="K3733" cm="1">
        <f t="array" ref="K3733">_xlfn.SWITCH(LeadsData[[#This Row],[Funnel Stage Reached]],"Lead",1,"MQL",2,"SQL",3,"Customer",4)</f>
        <v>2</v>
      </c>
      <c r="L3733" t="str">
        <f>TEXT(LeadsData[[#This Row],[Signup Date]],"mmm-yyyy")</f>
        <v>Dec-2024</v>
      </c>
      <c r="M3733">
        <f>IF(LeadsData[[#This Row],[Stage Number]]&gt;=2,1,0)</f>
        <v>1</v>
      </c>
      <c r="N3733" s="2">
        <f>IF(LeadsData[[#This Row],[Stage Number]]&gt;=3,1,0)</f>
        <v>0</v>
      </c>
      <c r="O3733" s="2">
        <f>IF(LeadsData[[#This Row],[Stage Number]]&gt;=4,1,0)</f>
        <v>0</v>
      </c>
    </row>
    <row r="3734" spans="1:15" x14ac:dyDescent="0.25">
      <c r="A3734" t="s">
        <v>3774</v>
      </c>
      <c r="B3734" s="1">
        <v>45302</v>
      </c>
      <c r="C3734" t="s">
        <v>46</v>
      </c>
      <c r="D3734" t="s">
        <v>56</v>
      </c>
      <c r="E3734" t="s">
        <v>21</v>
      </c>
      <c r="F3734" t="s">
        <v>19</v>
      </c>
      <c r="G3734" t="s">
        <v>15</v>
      </c>
      <c r="K3734" cm="1">
        <f t="array" ref="K3734">_xlfn.SWITCH(LeadsData[[#This Row],[Funnel Stage Reached]],"Lead",1,"MQL",2,"SQL",3,"Customer",4)</f>
        <v>1</v>
      </c>
      <c r="L3734" t="str">
        <f>TEXT(LeadsData[[#This Row],[Signup Date]],"mmm-yyyy")</f>
        <v>Jan-2024</v>
      </c>
      <c r="M3734">
        <f>IF(LeadsData[[#This Row],[Stage Number]]&gt;=2,1,0)</f>
        <v>0</v>
      </c>
      <c r="N3734" s="2">
        <f>IF(LeadsData[[#This Row],[Stage Number]]&gt;=3,1,0)</f>
        <v>0</v>
      </c>
      <c r="O3734" s="2">
        <f>IF(LeadsData[[#This Row],[Stage Number]]&gt;=4,1,0)</f>
        <v>0</v>
      </c>
    </row>
    <row r="3735" spans="1:15" x14ac:dyDescent="0.25">
      <c r="A3735" t="s">
        <v>3775</v>
      </c>
      <c r="B3735" s="1">
        <v>45394</v>
      </c>
      <c r="C3735" t="s">
        <v>11</v>
      </c>
      <c r="D3735" t="s">
        <v>68</v>
      </c>
      <c r="E3735" t="s">
        <v>21</v>
      </c>
      <c r="F3735" t="s">
        <v>19</v>
      </c>
      <c r="G3735" t="s">
        <v>15</v>
      </c>
      <c r="K3735" cm="1">
        <f t="array" ref="K3735">_xlfn.SWITCH(LeadsData[[#This Row],[Funnel Stage Reached]],"Lead",1,"MQL",2,"SQL",3,"Customer",4)</f>
        <v>1</v>
      </c>
      <c r="L3735" t="str">
        <f>TEXT(LeadsData[[#This Row],[Signup Date]],"mmm-yyyy")</f>
        <v>Apr-2024</v>
      </c>
      <c r="M3735">
        <f>IF(LeadsData[[#This Row],[Stage Number]]&gt;=2,1,0)</f>
        <v>0</v>
      </c>
      <c r="N3735" s="2">
        <f>IF(LeadsData[[#This Row],[Stage Number]]&gt;=3,1,0)</f>
        <v>0</v>
      </c>
      <c r="O3735" s="2">
        <f>IF(LeadsData[[#This Row],[Stage Number]]&gt;=4,1,0)</f>
        <v>0</v>
      </c>
    </row>
    <row r="3736" spans="1:15" x14ac:dyDescent="0.25">
      <c r="A3736" t="s">
        <v>3776</v>
      </c>
      <c r="B3736" s="1">
        <v>45645</v>
      </c>
      <c r="C3736" t="s">
        <v>31</v>
      </c>
      <c r="D3736" t="s">
        <v>32</v>
      </c>
      <c r="E3736" t="s">
        <v>21</v>
      </c>
      <c r="F3736" t="s">
        <v>14</v>
      </c>
      <c r="G3736" t="s">
        <v>15</v>
      </c>
      <c r="K3736" cm="1">
        <f t="array" ref="K3736">_xlfn.SWITCH(LeadsData[[#This Row],[Funnel Stage Reached]],"Lead",1,"MQL",2,"SQL",3,"Customer",4)</f>
        <v>1</v>
      </c>
      <c r="L3736" t="str">
        <f>TEXT(LeadsData[[#This Row],[Signup Date]],"mmm-yyyy")</f>
        <v>Dec-2024</v>
      </c>
      <c r="M3736">
        <f>IF(LeadsData[[#This Row],[Stage Number]]&gt;=2,1,0)</f>
        <v>0</v>
      </c>
      <c r="N3736" s="2">
        <f>IF(LeadsData[[#This Row],[Stage Number]]&gt;=3,1,0)</f>
        <v>0</v>
      </c>
      <c r="O3736" s="2">
        <f>IF(LeadsData[[#This Row],[Stage Number]]&gt;=4,1,0)</f>
        <v>0</v>
      </c>
    </row>
    <row r="3737" spans="1:15" x14ac:dyDescent="0.25">
      <c r="A3737" t="s">
        <v>3777</v>
      </c>
      <c r="B3737" s="1">
        <v>45430</v>
      </c>
      <c r="C3737" t="s">
        <v>11</v>
      </c>
      <c r="D3737" t="s">
        <v>68</v>
      </c>
      <c r="E3737" t="s">
        <v>13</v>
      </c>
      <c r="F3737" t="s">
        <v>22</v>
      </c>
      <c r="G3737" t="s">
        <v>23</v>
      </c>
      <c r="K3737" cm="1">
        <f t="array" ref="K3737">_xlfn.SWITCH(LeadsData[[#This Row],[Funnel Stage Reached]],"Lead",1,"MQL",2,"SQL",3,"Customer",4)</f>
        <v>2</v>
      </c>
      <c r="L3737" t="str">
        <f>TEXT(LeadsData[[#This Row],[Signup Date]],"mmm-yyyy")</f>
        <v>May-2024</v>
      </c>
      <c r="M3737">
        <f>IF(LeadsData[[#This Row],[Stage Number]]&gt;=2,1,0)</f>
        <v>1</v>
      </c>
      <c r="N3737" s="2">
        <f>IF(LeadsData[[#This Row],[Stage Number]]&gt;=3,1,0)</f>
        <v>0</v>
      </c>
      <c r="O3737" s="2">
        <f>IF(LeadsData[[#This Row],[Stage Number]]&gt;=4,1,0)</f>
        <v>0</v>
      </c>
    </row>
    <row r="3738" spans="1:15" x14ac:dyDescent="0.25">
      <c r="A3738" t="s">
        <v>3778</v>
      </c>
      <c r="B3738" s="1">
        <v>45586</v>
      </c>
      <c r="C3738" t="s">
        <v>17</v>
      </c>
      <c r="D3738" t="s">
        <v>53</v>
      </c>
      <c r="E3738" t="s">
        <v>21</v>
      </c>
      <c r="F3738" t="s">
        <v>22</v>
      </c>
      <c r="G3738" t="s">
        <v>29</v>
      </c>
      <c r="K3738" cm="1">
        <f t="array" ref="K3738">_xlfn.SWITCH(LeadsData[[#This Row],[Funnel Stage Reached]],"Lead",1,"MQL",2,"SQL",3,"Customer",4)</f>
        <v>3</v>
      </c>
      <c r="L3738" t="str">
        <f>TEXT(LeadsData[[#This Row],[Signup Date]],"mmm-yyyy")</f>
        <v>Oct-2024</v>
      </c>
      <c r="M3738">
        <f>IF(LeadsData[[#This Row],[Stage Number]]&gt;=2,1,0)</f>
        <v>1</v>
      </c>
      <c r="N3738" s="2">
        <f>IF(LeadsData[[#This Row],[Stage Number]]&gt;=3,1,0)</f>
        <v>1</v>
      </c>
      <c r="O3738" s="2">
        <f>IF(LeadsData[[#This Row],[Stage Number]]&gt;=4,1,0)</f>
        <v>0</v>
      </c>
    </row>
    <row r="3739" spans="1:15" x14ac:dyDescent="0.25">
      <c r="A3739" t="s">
        <v>3779</v>
      </c>
      <c r="B3739" s="1">
        <v>45546</v>
      </c>
      <c r="C3739" t="s">
        <v>46</v>
      </c>
      <c r="D3739" t="s">
        <v>56</v>
      </c>
      <c r="E3739" t="s">
        <v>21</v>
      </c>
      <c r="F3739" t="s">
        <v>22</v>
      </c>
      <c r="G3739" t="s">
        <v>15</v>
      </c>
      <c r="K3739" cm="1">
        <f t="array" ref="K3739">_xlfn.SWITCH(LeadsData[[#This Row],[Funnel Stage Reached]],"Lead",1,"MQL",2,"SQL",3,"Customer",4)</f>
        <v>1</v>
      </c>
      <c r="L3739" t="str">
        <f>TEXT(LeadsData[[#This Row],[Signup Date]],"mmm-yyyy")</f>
        <v>Sep-2024</v>
      </c>
      <c r="M3739">
        <f>IF(LeadsData[[#This Row],[Stage Number]]&gt;=2,1,0)</f>
        <v>0</v>
      </c>
      <c r="N3739" s="2">
        <f>IF(LeadsData[[#This Row],[Stage Number]]&gt;=3,1,0)</f>
        <v>0</v>
      </c>
      <c r="O3739" s="2">
        <f>IF(LeadsData[[#This Row],[Stage Number]]&gt;=4,1,0)</f>
        <v>0</v>
      </c>
    </row>
    <row r="3740" spans="1:15" x14ac:dyDescent="0.25">
      <c r="A3740" t="s">
        <v>3780</v>
      </c>
      <c r="B3740" s="1">
        <v>45600</v>
      </c>
      <c r="C3740" t="s">
        <v>46</v>
      </c>
      <c r="D3740" t="s">
        <v>47</v>
      </c>
      <c r="E3740" t="s">
        <v>21</v>
      </c>
      <c r="F3740" t="s">
        <v>22</v>
      </c>
      <c r="G3740" t="s">
        <v>15</v>
      </c>
      <c r="K3740" cm="1">
        <f t="array" ref="K3740">_xlfn.SWITCH(LeadsData[[#This Row],[Funnel Stage Reached]],"Lead",1,"MQL",2,"SQL",3,"Customer",4)</f>
        <v>1</v>
      </c>
      <c r="L3740" t="str">
        <f>TEXT(LeadsData[[#This Row],[Signup Date]],"mmm-yyyy")</f>
        <v>Nov-2024</v>
      </c>
      <c r="M3740">
        <f>IF(LeadsData[[#This Row],[Stage Number]]&gt;=2,1,0)</f>
        <v>0</v>
      </c>
      <c r="N3740" s="2">
        <f>IF(LeadsData[[#This Row],[Stage Number]]&gt;=3,1,0)</f>
        <v>0</v>
      </c>
      <c r="O3740" s="2">
        <f>IF(LeadsData[[#This Row],[Stage Number]]&gt;=4,1,0)</f>
        <v>0</v>
      </c>
    </row>
    <row r="3741" spans="1:15" x14ac:dyDescent="0.25">
      <c r="A3741" t="s">
        <v>3781</v>
      </c>
      <c r="B3741" s="1">
        <v>45333</v>
      </c>
      <c r="C3741" t="s">
        <v>31</v>
      </c>
      <c r="D3741" t="s">
        <v>34</v>
      </c>
      <c r="E3741" t="s">
        <v>13</v>
      </c>
      <c r="F3741" t="s">
        <v>14</v>
      </c>
      <c r="G3741" t="s">
        <v>15</v>
      </c>
      <c r="K3741" cm="1">
        <f t="array" ref="K3741">_xlfn.SWITCH(LeadsData[[#This Row],[Funnel Stage Reached]],"Lead",1,"MQL",2,"SQL",3,"Customer",4)</f>
        <v>1</v>
      </c>
      <c r="L3741" t="str">
        <f>TEXT(LeadsData[[#This Row],[Signup Date]],"mmm-yyyy")</f>
        <v>Feb-2024</v>
      </c>
      <c r="M3741">
        <f>IF(LeadsData[[#This Row],[Stage Number]]&gt;=2,1,0)</f>
        <v>0</v>
      </c>
      <c r="N3741" s="2">
        <f>IF(LeadsData[[#This Row],[Stage Number]]&gt;=3,1,0)</f>
        <v>0</v>
      </c>
      <c r="O3741" s="2">
        <f>IF(LeadsData[[#This Row],[Stage Number]]&gt;=4,1,0)</f>
        <v>0</v>
      </c>
    </row>
    <row r="3742" spans="1:15" x14ac:dyDescent="0.25">
      <c r="A3742" t="s">
        <v>3782</v>
      </c>
      <c r="B3742" s="1">
        <v>45364</v>
      </c>
      <c r="C3742" t="s">
        <v>31</v>
      </c>
      <c r="D3742" t="s">
        <v>32</v>
      </c>
      <c r="E3742" t="s">
        <v>13</v>
      </c>
      <c r="F3742" t="s">
        <v>19</v>
      </c>
      <c r="G3742" t="s">
        <v>29</v>
      </c>
      <c r="K3742" cm="1">
        <f t="array" ref="K3742">_xlfn.SWITCH(LeadsData[[#This Row],[Funnel Stage Reached]],"Lead",1,"MQL",2,"SQL",3,"Customer",4)</f>
        <v>3</v>
      </c>
      <c r="L3742" t="str">
        <f>TEXT(LeadsData[[#This Row],[Signup Date]],"mmm-yyyy")</f>
        <v>Mar-2024</v>
      </c>
      <c r="M3742">
        <f>IF(LeadsData[[#This Row],[Stage Number]]&gt;=2,1,0)</f>
        <v>1</v>
      </c>
      <c r="N3742" s="2">
        <f>IF(LeadsData[[#This Row],[Stage Number]]&gt;=3,1,0)</f>
        <v>1</v>
      </c>
      <c r="O3742" s="2">
        <f>IF(LeadsData[[#This Row],[Stage Number]]&gt;=4,1,0)</f>
        <v>0</v>
      </c>
    </row>
    <row r="3743" spans="1:15" x14ac:dyDescent="0.25">
      <c r="A3743" t="s">
        <v>3783</v>
      </c>
      <c r="B3743" s="1">
        <v>45388</v>
      </c>
      <c r="C3743" t="s">
        <v>11</v>
      </c>
      <c r="D3743" t="s">
        <v>79</v>
      </c>
      <c r="E3743" t="s">
        <v>13</v>
      </c>
      <c r="F3743" t="s">
        <v>19</v>
      </c>
      <c r="G3743" t="s">
        <v>15</v>
      </c>
      <c r="K3743" cm="1">
        <f t="array" ref="K3743">_xlfn.SWITCH(LeadsData[[#This Row],[Funnel Stage Reached]],"Lead",1,"MQL",2,"SQL",3,"Customer",4)</f>
        <v>1</v>
      </c>
      <c r="L3743" t="str">
        <f>TEXT(LeadsData[[#This Row],[Signup Date]],"mmm-yyyy")</f>
        <v>Apr-2024</v>
      </c>
      <c r="M3743">
        <f>IF(LeadsData[[#This Row],[Stage Number]]&gt;=2,1,0)</f>
        <v>0</v>
      </c>
      <c r="N3743" s="2">
        <f>IF(LeadsData[[#This Row],[Stage Number]]&gt;=3,1,0)</f>
        <v>0</v>
      </c>
      <c r="O3743" s="2">
        <f>IF(LeadsData[[#This Row],[Stage Number]]&gt;=4,1,0)</f>
        <v>0</v>
      </c>
    </row>
    <row r="3744" spans="1:15" x14ac:dyDescent="0.25">
      <c r="A3744" t="s">
        <v>3784</v>
      </c>
      <c r="B3744" s="1">
        <v>45608</v>
      </c>
      <c r="C3744" t="s">
        <v>11</v>
      </c>
      <c r="D3744" t="s">
        <v>12</v>
      </c>
      <c r="E3744" t="s">
        <v>21</v>
      </c>
      <c r="F3744" t="s">
        <v>14</v>
      </c>
      <c r="G3744" t="s">
        <v>15</v>
      </c>
      <c r="K3744" cm="1">
        <f t="array" ref="K3744">_xlfn.SWITCH(LeadsData[[#This Row],[Funnel Stage Reached]],"Lead",1,"MQL",2,"SQL",3,"Customer",4)</f>
        <v>1</v>
      </c>
      <c r="L3744" t="str">
        <f>TEXT(LeadsData[[#This Row],[Signup Date]],"mmm-yyyy")</f>
        <v>Nov-2024</v>
      </c>
      <c r="M3744">
        <f>IF(LeadsData[[#This Row],[Stage Number]]&gt;=2,1,0)</f>
        <v>0</v>
      </c>
      <c r="N3744" s="2">
        <f>IF(LeadsData[[#This Row],[Stage Number]]&gt;=3,1,0)</f>
        <v>0</v>
      </c>
      <c r="O3744" s="2">
        <f>IF(LeadsData[[#This Row],[Stage Number]]&gt;=4,1,0)</f>
        <v>0</v>
      </c>
    </row>
    <row r="3745" spans="1:15" x14ac:dyDescent="0.25">
      <c r="A3745" t="s">
        <v>3785</v>
      </c>
      <c r="B3745" s="1">
        <v>45444</v>
      </c>
      <c r="C3745" t="s">
        <v>31</v>
      </c>
      <c r="D3745" t="s">
        <v>34</v>
      </c>
      <c r="E3745" t="s">
        <v>21</v>
      </c>
      <c r="F3745" t="s">
        <v>19</v>
      </c>
      <c r="G3745" t="s">
        <v>15</v>
      </c>
      <c r="K3745" cm="1">
        <f t="array" ref="K3745">_xlfn.SWITCH(LeadsData[[#This Row],[Funnel Stage Reached]],"Lead",1,"MQL",2,"SQL",3,"Customer",4)</f>
        <v>1</v>
      </c>
      <c r="L3745" t="str">
        <f>TEXT(LeadsData[[#This Row],[Signup Date]],"mmm-yyyy")</f>
        <v>Jun-2024</v>
      </c>
      <c r="M3745">
        <f>IF(LeadsData[[#This Row],[Stage Number]]&gt;=2,1,0)</f>
        <v>0</v>
      </c>
      <c r="N3745" s="2">
        <f>IF(LeadsData[[#This Row],[Stage Number]]&gt;=3,1,0)</f>
        <v>0</v>
      </c>
      <c r="O3745" s="2">
        <f>IF(LeadsData[[#This Row],[Stage Number]]&gt;=4,1,0)</f>
        <v>0</v>
      </c>
    </row>
    <row r="3746" spans="1:15" x14ac:dyDescent="0.25">
      <c r="A3746" t="s">
        <v>3786</v>
      </c>
      <c r="B3746" s="1">
        <v>45501</v>
      </c>
      <c r="C3746" t="s">
        <v>25</v>
      </c>
      <c r="D3746" t="s">
        <v>26</v>
      </c>
      <c r="E3746" t="s">
        <v>21</v>
      </c>
      <c r="F3746" t="s">
        <v>19</v>
      </c>
      <c r="G3746" t="s">
        <v>15</v>
      </c>
      <c r="K3746" cm="1">
        <f t="array" ref="K3746">_xlfn.SWITCH(LeadsData[[#This Row],[Funnel Stage Reached]],"Lead",1,"MQL",2,"SQL",3,"Customer",4)</f>
        <v>1</v>
      </c>
      <c r="L3746" t="str">
        <f>TEXT(LeadsData[[#This Row],[Signup Date]],"mmm-yyyy")</f>
        <v>Jul-2024</v>
      </c>
      <c r="M3746">
        <f>IF(LeadsData[[#This Row],[Stage Number]]&gt;=2,1,0)</f>
        <v>0</v>
      </c>
      <c r="N3746" s="2">
        <f>IF(LeadsData[[#This Row],[Stage Number]]&gt;=3,1,0)</f>
        <v>0</v>
      </c>
      <c r="O3746" s="2">
        <f>IF(LeadsData[[#This Row],[Stage Number]]&gt;=4,1,0)</f>
        <v>0</v>
      </c>
    </row>
    <row r="3747" spans="1:15" x14ac:dyDescent="0.25">
      <c r="A3747" t="s">
        <v>3787</v>
      </c>
      <c r="B3747" s="1">
        <v>45602</v>
      </c>
      <c r="C3747" t="s">
        <v>36</v>
      </c>
      <c r="D3747" t="s">
        <v>37</v>
      </c>
      <c r="E3747" t="s">
        <v>21</v>
      </c>
      <c r="F3747" t="s">
        <v>22</v>
      </c>
      <c r="G3747" t="s">
        <v>23</v>
      </c>
      <c r="K3747" cm="1">
        <f t="array" ref="K3747">_xlfn.SWITCH(LeadsData[[#This Row],[Funnel Stage Reached]],"Lead",1,"MQL",2,"SQL",3,"Customer",4)</f>
        <v>2</v>
      </c>
      <c r="L3747" t="str">
        <f>TEXT(LeadsData[[#This Row],[Signup Date]],"mmm-yyyy")</f>
        <v>Nov-2024</v>
      </c>
      <c r="M3747">
        <f>IF(LeadsData[[#This Row],[Stage Number]]&gt;=2,1,0)</f>
        <v>1</v>
      </c>
      <c r="N3747" s="2">
        <f>IF(LeadsData[[#This Row],[Stage Number]]&gt;=3,1,0)</f>
        <v>0</v>
      </c>
      <c r="O3747" s="2">
        <f>IF(LeadsData[[#This Row],[Stage Number]]&gt;=4,1,0)</f>
        <v>0</v>
      </c>
    </row>
    <row r="3748" spans="1:15" x14ac:dyDescent="0.25">
      <c r="A3748" t="s">
        <v>3788</v>
      </c>
      <c r="B3748" s="1">
        <v>45417</v>
      </c>
      <c r="C3748" t="s">
        <v>31</v>
      </c>
      <c r="D3748" t="s">
        <v>34</v>
      </c>
      <c r="E3748" t="s">
        <v>21</v>
      </c>
      <c r="F3748" t="s">
        <v>22</v>
      </c>
      <c r="G3748" t="s">
        <v>42</v>
      </c>
      <c r="H3748">
        <v>48</v>
      </c>
      <c r="I3748" t="s">
        <v>87</v>
      </c>
      <c r="J3748">
        <v>4685.51</v>
      </c>
      <c r="K3748" cm="1">
        <f t="array" ref="K3748">_xlfn.SWITCH(LeadsData[[#This Row],[Funnel Stage Reached]],"Lead",1,"MQL",2,"SQL",3,"Customer",4)</f>
        <v>4</v>
      </c>
      <c r="L3748" t="str">
        <f>TEXT(LeadsData[[#This Row],[Signup Date]],"mmm-yyyy")</f>
        <v>May-2024</v>
      </c>
      <c r="M3748">
        <f>IF(LeadsData[[#This Row],[Stage Number]]&gt;=2,1,0)</f>
        <v>1</v>
      </c>
      <c r="N3748" s="2">
        <f>IF(LeadsData[[#This Row],[Stage Number]]&gt;=3,1,0)</f>
        <v>1</v>
      </c>
      <c r="O3748" s="2">
        <f>IF(LeadsData[[#This Row],[Stage Number]]&gt;=4,1,0)</f>
        <v>1</v>
      </c>
    </row>
    <row r="3749" spans="1:15" x14ac:dyDescent="0.25">
      <c r="A3749" t="s">
        <v>3789</v>
      </c>
      <c r="B3749" s="1">
        <v>45553</v>
      </c>
      <c r="C3749" t="s">
        <v>25</v>
      </c>
      <c r="D3749" t="s">
        <v>26</v>
      </c>
      <c r="E3749" t="s">
        <v>13</v>
      </c>
      <c r="F3749" t="s">
        <v>19</v>
      </c>
      <c r="G3749" t="s">
        <v>23</v>
      </c>
      <c r="K3749" cm="1">
        <f t="array" ref="K3749">_xlfn.SWITCH(LeadsData[[#This Row],[Funnel Stage Reached]],"Lead",1,"MQL",2,"SQL",3,"Customer",4)</f>
        <v>2</v>
      </c>
      <c r="L3749" t="str">
        <f>TEXT(LeadsData[[#This Row],[Signup Date]],"mmm-yyyy")</f>
        <v>Sep-2024</v>
      </c>
      <c r="M3749">
        <f>IF(LeadsData[[#This Row],[Stage Number]]&gt;=2,1,0)</f>
        <v>1</v>
      </c>
      <c r="N3749" s="2">
        <f>IF(LeadsData[[#This Row],[Stage Number]]&gt;=3,1,0)</f>
        <v>0</v>
      </c>
      <c r="O3749" s="2">
        <f>IF(LeadsData[[#This Row],[Stage Number]]&gt;=4,1,0)</f>
        <v>0</v>
      </c>
    </row>
    <row r="3750" spans="1:15" x14ac:dyDescent="0.25">
      <c r="A3750" t="s">
        <v>3790</v>
      </c>
      <c r="B3750" s="1">
        <v>45542</v>
      </c>
      <c r="C3750" t="s">
        <v>36</v>
      </c>
      <c r="D3750" t="s">
        <v>37</v>
      </c>
      <c r="E3750" t="s">
        <v>21</v>
      </c>
      <c r="F3750" t="s">
        <v>19</v>
      </c>
      <c r="G3750" t="s">
        <v>15</v>
      </c>
      <c r="K3750" cm="1">
        <f t="array" ref="K3750">_xlfn.SWITCH(LeadsData[[#This Row],[Funnel Stage Reached]],"Lead",1,"MQL",2,"SQL",3,"Customer",4)</f>
        <v>1</v>
      </c>
      <c r="L3750" t="str">
        <f>TEXT(LeadsData[[#This Row],[Signup Date]],"mmm-yyyy")</f>
        <v>Sep-2024</v>
      </c>
      <c r="M3750">
        <f>IF(LeadsData[[#This Row],[Stage Number]]&gt;=2,1,0)</f>
        <v>0</v>
      </c>
      <c r="N3750" s="2">
        <f>IF(LeadsData[[#This Row],[Stage Number]]&gt;=3,1,0)</f>
        <v>0</v>
      </c>
      <c r="O3750" s="2">
        <f>IF(LeadsData[[#This Row],[Stage Number]]&gt;=4,1,0)</f>
        <v>0</v>
      </c>
    </row>
    <row r="3751" spans="1:15" x14ac:dyDescent="0.25">
      <c r="A3751" t="s">
        <v>3791</v>
      </c>
      <c r="B3751" s="1">
        <v>45425</v>
      </c>
      <c r="C3751" t="s">
        <v>25</v>
      </c>
      <c r="D3751" t="s">
        <v>26</v>
      </c>
      <c r="E3751" t="s">
        <v>48</v>
      </c>
      <c r="F3751" t="s">
        <v>28</v>
      </c>
      <c r="G3751" t="s">
        <v>23</v>
      </c>
      <c r="K3751" cm="1">
        <f t="array" ref="K3751">_xlfn.SWITCH(LeadsData[[#This Row],[Funnel Stage Reached]],"Lead",1,"MQL",2,"SQL",3,"Customer",4)</f>
        <v>2</v>
      </c>
      <c r="L3751" t="str">
        <f>TEXT(LeadsData[[#This Row],[Signup Date]],"mmm-yyyy")</f>
        <v>May-2024</v>
      </c>
      <c r="M3751">
        <f>IF(LeadsData[[#This Row],[Stage Number]]&gt;=2,1,0)</f>
        <v>1</v>
      </c>
      <c r="N3751" s="2">
        <f>IF(LeadsData[[#This Row],[Stage Number]]&gt;=3,1,0)</f>
        <v>0</v>
      </c>
      <c r="O3751" s="2">
        <f>IF(LeadsData[[#This Row],[Stage Number]]&gt;=4,1,0)</f>
        <v>0</v>
      </c>
    </row>
    <row r="3752" spans="1:15" x14ac:dyDescent="0.25">
      <c r="A3752" t="s">
        <v>3792</v>
      </c>
      <c r="B3752" s="1">
        <v>45614</v>
      </c>
      <c r="C3752" t="s">
        <v>25</v>
      </c>
      <c r="D3752" t="s">
        <v>26</v>
      </c>
      <c r="E3752" t="s">
        <v>13</v>
      </c>
      <c r="F3752" t="s">
        <v>22</v>
      </c>
      <c r="G3752" t="s">
        <v>15</v>
      </c>
      <c r="K3752" cm="1">
        <f t="array" ref="K3752">_xlfn.SWITCH(LeadsData[[#This Row],[Funnel Stage Reached]],"Lead",1,"MQL",2,"SQL",3,"Customer",4)</f>
        <v>1</v>
      </c>
      <c r="L3752" t="str">
        <f>TEXT(LeadsData[[#This Row],[Signup Date]],"mmm-yyyy")</f>
        <v>Nov-2024</v>
      </c>
      <c r="M3752">
        <f>IF(LeadsData[[#This Row],[Stage Number]]&gt;=2,1,0)</f>
        <v>0</v>
      </c>
      <c r="N3752" s="2">
        <f>IF(LeadsData[[#This Row],[Stage Number]]&gt;=3,1,0)</f>
        <v>0</v>
      </c>
      <c r="O3752" s="2">
        <f>IF(LeadsData[[#This Row],[Stage Number]]&gt;=4,1,0)</f>
        <v>0</v>
      </c>
    </row>
    <row r="3753" spans="1:15" x14ac:dyDescent="0.25">
      <c r="A3753" t="s">
        <v>3793</v>
      </c>
      <c r="B3753" s="1">
        <v>45447</v>
      </c>
      <c r="C3753" t="s">
        <v>17</v>
      </c>
      <c r="D3753" t="s">
        <v>53</v>
      </c>
      <c r="E3753" t="s">
        <v>21</v>
      </c>
      <c r="F3753" t="s">
        <v>14</v>
      </c>
      <c r="G3753" t="s">
        <v>15</v>
      </c>
      <c r="K3753" cm="1">
        <f t="array" ref="K3753">_xlfn.SWITCH(LeadsData[[#This Row],[Funnel Stage Reached]],"Lead",1,"MQL",2,"SQL",3,"Customer",4)</f>
        <v>1</v>
      </c>
      <c r="L3753" t="str">
        <f>TEXT(LeadsData[[#This Row],[Signup Date]],"mmm-yyyy")</f>
        <v>Jun-2024</v>
      </c>
      <c r="M3753">
        <f>IF(LeadsData[[#This Row],[Stage Number]]&gt;=2,1,0)</f>
        <v>0</v>
      </c>
      <c r="N3753" s="2">
        <f>IF(LeadsData[[#This Row],[Stage Number]]&gt;=3,1,0)</f>
        <v>0</v>
      </c>
      <c r="O3753" s="2">
        <f>IF(LeadsData[[#This Row],[Stage Number]]&gt;=4,1,0)</f>
        <v>0</v>
      </c>
    </row>
    <row r="3754" spans="1:15" x14ac:dyDescent="0.25">
      <c r="A3754" t="s">
        <v>3794</v>
      </c>
      <c r="B3754" s="1">
        <v>45615</v>
      </c>
      <c r="C3754" t="s">
        <v>25</v>
      </c>
      <c r="D3754" t="s">
        <v>26</v>
      </c>
      <c r="E3754" t="s">
        <v>13</v>
      </c>
      <c r="F3754" t="s">
        <v>22</v>
      </c>
      <c r="G3754" t="s">
        <v>23</v>
      </c>
      <c r="K3754" cm="1">
        <f t="array" ref="K3754">_xlfn.SWITCH(LeadsData[[#This Row],[Funnel Stage Reached]],"Lead",1,"MQL",2,"SQL",3,"Customer",4)</f>
        <v>2</v>
      </c>
      <c r="L3754" t="str">
        <f>TEXT(LeadsData[[#This Row],[Signup Date]],"mmm-yyyy")</f>
        <v>Nov-2024</v>
      </c>
      <c r="M3754">
        <f>IF(LeadsData[[#This Row],[Stage Number]]&gt;=2,1,0)</f>
        <v>1</v>
      </c>
      <c r="N3754" s="2">
        <f>IF(LeadsData[[#This Row],[Stage Number]]&gt;=3,1,0)</f>
        <v>0</v>
      </c>
      <c r="O3754" s="2">
        <f>IF(LeadsData[[#This Row],[Stage Number]]&gt;=4,1,0)</f>
        <v>0</v>
      </c>
    </row>
    <row r="3755" spans="1:15" x14ac:dyDescent="0.25">
      <c r="A3755" t="s">
        <v>3795</v>
      </c>
      <c r="B3755" s="1">
        <v>45609</v>
      </c>
      <c r="C3755" t="s">
        <v>31</v>
      </c>
      <c r="D3755" t="s">
        <v>34</v>
      </c>
      <c r="E3755" t="s">
        <v>13</v>
      </c>
      <c r="F3755" t="s">
        <v>19</v>
      </c>
      <c r="G3755" t="s">
        <v>29</v>
      </c>
      <c r="K3755" cm="1">
        <f t="array" ref="K3755">_xlfn.SWITCH(LeadsData[[#This Row],[Funnel Stage Reached]],"Lead",1,"MQL",2,"SQL",3,"Customer",4)</f>
        <v>3</v>
      </c>
      <c r="L3755" t="str">
        <f>TEXT(LeadsData[[#This Row],[Signup Date]],"mmm-yyyy")</f>
        <v>Nov-2024</v>
      </c>
      <c r="M3755">
        <f>IF(LeadsData[[#This Row],[Stage Number]]&gt;=2,1,0)</f>
        <v>1</v>
      </c>
      <c r="N3755" s="2">
        <f>IF(LeadsData[[#This Row],[Stage Number]]&gt;=3,1,0)</f>
        <v>1</v>
      </c>
      <c r="O3755" s="2">
        <f>IF(LeadsData[[#This Row],[Stage Number]]&gt;=4,1,0)</f>
        <v>0</v>
      </c>
    </row>
    <row r="3756" spans="1:15" x14ac:dyDescent="0.25">
      <c r="A3756" t="s">
        <v>3796</v>
      </c>
      <c r="B3756" s="1">
        <v>45582</v>
      </c>
      <c r="C3756" t="s">
        <v>31</v>
      </c>
      <c r="D3756" t="s">
        <v>32</v>
      </c>
      <c r="E3756" t="s">
        <v>21</v>
      </c>
      <c r="F3756" t="s">
        <v>19</v>
      </c>
      <c r="G3756" t="s">
        <v>15</v>
      </c>
      <c r="K3756" cm="1">
        <f t="array" ref="K3756">_xlfn.SWITCH(LeadsData[[#This Row],[Funnel Stage Reached]],"Lead",1,"MQL",2,"SQL",3,"Customer",4)</f>
        <v>1</v>
      </c>
      <c r="L3756" t="str">
        <f>TEXT(LeadsData[[#This Row],[Signup Date]],"mmm-yyyy")</f>
        <v>Oct-2024</v>
      </c>
      <c r="M3756">
        <f>IF(LeadsData[[#This Row],[Stage Number]]&gt;=2,1,0)</f>
        <v>0</v>
      </c>
      <c r="N3756" s="2">
        <f>IF(LeadsData[[#This Row],[Stage Number]]&gt;=3,1,0)</f>
        <v>0</v>
      </c>
      <c r="O3756" s="2">
        <f>IF(LeadsData[[#This Row],[Stage Number]]&gt;=4,1,0)</f>
        <v>0</v>
      </c>
    </row>
    <row r="3757" spans="1:15" x14ac:dyDescent="0.25">
      <c r="A3757" t="s">
        <v>3797</v>
      </c>
      <c r="B3757" s="1">
        <v>45362</v>
      </c>
      <c r="C3757" t="s">
        <v>11</v>
      </c>
      <c r="D3757" t="s">
        <v>79</v>
      </c>
      <c r="E3757" t="s">
        <v>13</v>
      </c>
      <c r="F3757" t="s">
        <v>19</v>
      </c>
      <c r="G3757" t="s">
        <v>15</v>
      </c>
      <c r="K3757" cm="1">
        <f t="array" ref="K3757">_xlfn.SWITCH(LeadsData[[#This Row],[Funnel Stage Reached]],"Lead",1,"MQL",2,"SQL",3,"Customer",4)</f>
        <v>1</v>
      </c>
      <c r="L3757" t="str">
        <f>TEXT(LeadsData[[#This Row],[Signup Date]],"mmm-yyyy")</f>
        <v>Mar-2024</v>
      </c>
      <c r="M3757">
        <f>IF(LeadsData[[#This Row],[Stage Number]]&gt;=2,1,0)</f>
        <v>0</v>
      </c>
      <c r="N3757" s="2">
        <f>IF(LeadsData[[#This Row],[Stage Number]]&gt;=3,1,0)</f>
        <v>0</v>
      </c>
      <c r="O3757" s="2">
        <f>IF(LeadsData[[#This Row],[Stage Number]]&gt;=4,1,0)</f>
        <v>0</v>
      </c>
    </row>
    <row r="3758" spans="1:15" x14ac:dyDescent="0.25">
      <c r="A3758" t="s">
        <v>3798</v>
      </c>
      <c r="B3758" s="1">
        <v>45300</v>
      </c>
      <c r="C3758" t="s">
        <v>36</v>
      </c>
      <c r="D3758" t="s">
        <v>50</v>
      </c>
      <c r="E3758" t="s">
        <v>13</v>
      </c>
      <c r="F3758" t="s">
        <v>14</v>
      </c>
      <c r="G3758" t="s">
        <v>42</v>
      </c>
      <c r="H3758">
        <v>57</v>
      </c>
      <c r="I3758" t="s">
        <v>183</v>
      </c>
      <c r="J3758">
        <v>9489.15</v>
      </c>
      <c r="K3758" cm="1">
        <f t="array" ref="K3758">_xlfn.SWITCH(LeadsData[[#This Row],[Funnel Stage Reached]],"Lead",1,"MQL",2,"SQL",3,"Customer",4)</f>
        <v>4</v>
      </c>
      <c r="L3758" t="str">
        <f>TEXT(LeadsData[[#This Row],[Signup Date]],"mmm-yyyy")</f>
        <v>Jan-2024</v>
      </c>
      <c r="M3758">
        <f>IF(LeadsData[[#This Row],[Stage Number]]&gt;=2,1,0)</f>
        <v>1</v>
      </c>
      <c r="N3758" s="2">
        <f>IF(LeadsData[[#This Row],[Stage Number]]&gt;=3,1,0)</f>
        <v>1</v>
      </c>
      <c r="O3758" s="2">
        <f>IF(LeadsData[[#This Row],[Stage Number]]&gt;=4,1,0)</f>
        <v>1</v>
      </c>
    </row>
    <row r="3759" spans="1:15" x14ac:dyDescent="0.25">
      <c r="A3759" t="s">
        <v>3799</v>
      </c>
      <c r="B3759" s="1">
        <v>45646</v>
      </c>
      <c r="C3759" t="s">
        <v>17</v>
      </c>
      <c r="D3759" t="s">
        <v>53</v>
      </c>
      <c r="E3759" t="s">
        <v>21</v>
      </c>
      <c r="F3759" t="s">
        <v>28</v>
      </c>
      <c r="G3759" t="s">
        <v>15</v>
      </c>
      <c r="K3759" cm="1">
        <f t="array" ref="K3759">_xlfn.SWITCH(LeadsData[[#This Row],[Funnel Stage Reached]],"Lead",1,"MQL",2,"SQL",3,"Customer",4)</f>
        <v>1</v>
      </c>
      <c r="L3759" t="str">
        <f>TEXT(LeadsData[[#This Row],[Signup Date]],"mmm-yyyy")</f>
        <v>Dec-2024</v>
      </c>
      <c r="M3759">
        <f>IF(LeadsData[[#This Row],[Stage Number]]&gt;=2,1,0)</f>
        <v>0</v>
      </c>
      <c r="N3759" s="2">
        <f>IF(LeadsData[[#This Row],[Stage Number]]&gt;=3,1,0)</f>
        <v>0</v>
      </c>
      <c r="O3759" s="2">
        <f>IF(LeadsData[[#This Row],[Stage Number]]&gt;=4,1,0)</f>
        <v>0</v>
      </c>
    </row>
    <row r="3760" spans="1:15" x14ac:dyDescent="0.25">
      <c r="A3760" t="s">
        <v>3800</v>
      </c>
      <c r="B3760" s="1">
        <v>45509</v>
      </c>
      <c r="C3760" t="s">
        <v>36</v>
      </c>
      <c r="D3760" t="s">
        <v>50</v>
      </c>
      <c r="E3760" t="s">
        <v>13</v>
      </c>
      <c r="F3760" t="s">
        <v>22</v>
      </c>
      <c r="G3760" t="s">
        <v>42</v>
      </c>
      <c r="H3760">
        <v>59</v>
      </c>
      <c r="I3760" t="s">
        <v>43</v>
      </c>
      <c r="J3760">
        <v>920</v>
      </c>
      <c r="K3760" cm="1">
        <f t="array" ref="K3760">_xlfn.SWITCH(LeadsData[[#This Row],[Funnel Stage Reached]],"Lead",1,"MQL",2,"SQL",3,"Customer",4)</f>
        <v>4</v>
      </c>
      <c r="L3760" t="str">
        <f>TEXT(LeadsData[[#This Row],[Signup Date]],"mmm-yyyy")</f>
        <v>Aug-2024</v>
      </c>
      <c r="M3760">
        <f>IF(LeadsData[[#This Row],[Stage Number]]&gt;=2,1,0)</f>
        <v>1</v>
      </c>
      <c r="N3760" s="2">
        <f>IF(LeadsData[[#This Row],[Stage Number]]&gt;=3,1,0)</f>
        <v>1</v>
      </c>
      <c r="O3760" s="2">
        <f>IF(LeadsData[[#This Row],[Stage Number]]&gt;=4,1,0)</f>
        <v>1</v>
      </c>
    </row>
    <row r="3761" spans="1:15" x14ac:dyDescent="0.25">
      <c r="A3761" t="s">
        <v>3801</v>
      </c>
      <c r="B3761" s="1">
        <v>45345</v>
      </c>
      <c r="C3761" t="s">
        <v>31</v>
      </c>
      <c r="D3761" t="s">
        <v>34</v>
      </c>
      <c r="E3761" t="s">
        <v>21</v>
      </c>
      <c r="F3761" t="s">
        <v>19</v>
      </c>
      <c r="G3761" t="s">
        <v>15</v>
      </c>
      <c r="K3761" cm="1">
        <f t="array" ref="K3761">_xlfn.SWITCH(LeadsData[[#This Row],[Funnel Stage Reached]],"Lead",1,"MQL",2,"SQL",3,"Customer",4)</f>
        <v>1</v>
      </c>
      <c r="L3761" t="str">
        <f>TEXT(LeadsData[[#This Row],[Signup Date]],"mmm-yyyy")</f>
        <v>Feb-2024</v>
      </c>
      <c r="M3761">
        <f>IF(LeadsData[[#This Row],[Stage Number]]&gt;=2,1,0)</f>
        <v>0</v>
      </c>
      <c r="N3761" s="2">
        <f>IF(LeadsData[[#This Row],[Stage Number]]&gt;=3,1,0)</f>
        <v>0</v>
      </c>
      <c r="O3761" s="2">
        <f>IF(LeadsData[[#This Row],[Stage Number]]&gt;=4,1,0)</f>
        <v>0</v>
      </c>
    </row>
    <row r="3762" spans="1:15" x14ac:dyDescent="0.25">
      <c r="A3762" t="s">
        <v>3802</v>
      </c>
      <c r="B3762" s="1">
        <v>45600</v>
      </c>
      <c r="C3762" t="s">
        <v>31</v>
      </c>
      <c r="D3762" t="s">
        <v>32</v>
      </c>
      <c r="E3762" t="s">
        <v>13</v>
      </c>
      <c r="F3762" t="s">
        <v>22</v>
      </c>
      <c r="G3762" t="s">
        <v>23</v>
      </c>
      <c r="K3762" cm="1">
        <f t="array" ref="K3762">_xlfn.SWITCH(LeadsData[[#This Row],[Funnel Stage Reached]],"Lead",1,"MQL",2,"SQL",3,"Customer",4)</f>
        <v>2</v>
      </c>
      <c r="L3762" t="str">
        <f>TEXT(LeadsData[[#This Row],[Signup Date]],"mmm-yyyy")</f>
        <v>Nov-2024</v>
      </c>
      <c r="M3762">
        <f>IF(LeadsData[[#This Row],[Stage Number]]&gt;=2,1,0)</f>
        <v>1</v>
      </c>
      <c r="N3762" s="2">
        <f>IF(LeadsData[[#This Row],[Stage Number]]&gt;=3,1,0)</f>
        <v>0</v>
      </c>
      <c r="O3762" s="2">
        <f>IF(LeadsData[[#This Row],[Stage Number]]&gt;=4,1,0)</f>
        <v>0</v>
      </c>
    </row>
    <row r="3763" spans="1:15" x14ac:dyDescent="0.25">
      <c r="A3763" t="s">
        <v>3803</v>
      </c>
      <c r="B3763" s="1">
        <v>45547</v>
      </c>
      <c r="C3763" t="s">
        <v>36</v>
      </c>
      <c r="D3763" t="s">
        <v>37</v>
      </c>
      <c r="E3763" t="s">
        <v>21</v>
      </c>
      <c r="F3763" t="s">
        <v>19</v>
      </c>
      <c r="G3763" t="s">
        <v>15</v>
      </c>
      <c r="K3763" cm="1">
        <f t="array" ref="K3763">_xlfn.SWITCH(LeadsData[[#This Row],[Funnel Stage Reached]],"Lead",1,"MQL",2,"SQL",3,"Customer",4)</f>
        <v>1</v>
      </c>
      <c r="L3763" t="str">
        <f>TEXT(LeadsData[[#This Row],[Signup Date]],"mmm-yyyy")</f>
        <v>Sep-2024</v>
      </c>
      <c r="M3763">
        <f>IF(LeadsData[[#This Row],[Stage Number]]&gt;=2,1,0)</f>
        <v>0</v>
      </c>
      <c r="N3763" s="2">
        <f>IF(LeadsData[[#This Row],[Stage Number]]&gt;=3,1,0)</f>
        <v>0</v>
      </c>
      <c r="O3763" s="2">
        <f>IF(LeadsData[[#This Row],[Stage Number]]&gt;=4,1,0)</f>
        <v>0</v>
      </c>
    </row>
    <row r="3764" spans="1:15" x14ac:dyDescent="0.25">
      <c r="A3764" t="s">
        <v>3804</v>
      </c>
      <c r="B3764" s="1">
        <v>45361</v>
      </c>
      <c r="C3764" t="s">
        <v>36</v>
      </c>
      <c r="D3764" t="s">
        <v>37</v>
      </c>
      <c r="E3764" t="s">
        <v>21</v>
      </c>
      <c r="F3764" t="s">
        <v>22</v>
      </c>
      <c r="G3764" t="s">
        <v>23</v>
      </c>
      <c r="K3764" cm="1">
        <f t="array" ref="K3764">_xlfn.SWITCH(LeadsData[[#This Row],[Funnel Stage Reached]],"Lead",1,"MQL",2,"SQL",3,"Customer",4)</f>
        <v>2</v>
      </c>
      <c r="L3764" t="str">
        <f>TEXT(LeadsData[[#This Row],[Signup Date]],"mmm-yyyy")</f>
        <v>Mar-2024</v>
      </c>
      <c r="M3764">
        <f>IF(LeadsData[[#This Row],[Stage Number]]&gt;=2,1,0)</f>
        <v>1</v>
      </c>
      <c r="N3764" s="2">
        <f>IF(LeadsData[[#This Row],[Stage Number]]&gt;=3,1,0)</f>
        <v>0</v>
      </c>
      <c r="O3764" s="2">
        <f>IF(LeadsData[[#This Row],[Stage Number]]&gt;=4,1,0)</f>
        <v>0</v>
      </c>
    </row>
    <row r="3765" spans="1:15" x14ac:dyDescent="0.25">
      <c r="A3765" t="s">
        <v>3805</v>
      </c>
      <c r="B3765" s="1">
        <v>45405</v>
      </c>
      <c r="C3765" t="s">
        <v>17</v>
      </c>
      <c r="D3765" t="s">
        <v>53</v>
      </c>
      <c r="E3765" t="s">
        <v>13</v>
      </c>
      <c r="F3765" t="s">
        <v>22</v>
      </c>
      <c r="G3765" t="s">
        <v>23</v>
      </c>
      <c r="K3765" cm="1">
        <f t="array" ref="K3765">_xlfn.SWITCH(LeadsData[[#This Row],[Funnel Stage Reached]],"Lead",1,"MQL",2,"SQL",3,"Customer",4)</f>
        <v>2</v>
      </c>
      <c r="L3765" t="str">
        <f>TEXT(LeadsData[[#This Row],[Signup Date]],"mmm-yyyy")</f>
        <v>Apr-2024</v>
      </c>
      <c r="M3765">
        <f>IF(LeadsData[[#This Row],[Stage Number]]&gt;=2,1,0)</f>
        <v>1</v>
      </c>
      <c r="N3765" s="2">
        <f>IF(LeadsData[[#This Row],[Stage Number]]&gt;=3,1,0)</f>
        <v>0</v>
      </c>
      <c r="O3765" s="2">
        <f>IF(LeadsData[[#This Row],[Stage Number]]&gt;=4,1,0)</f>
        <v>0</v>
      </c>
    </row>
    <row r="3766" spans="1:15" x14ac:dyDescent="0.25">
      <c r="A3766" t="s">
        <v>3806</v>
      </c>
      <c r="B3766" s="1">
        <v>45605</v>
      </c>
      <c r="C3766" t="s">
        <v>25</v>
      </c>
      <c r="D3766" t="s">
        <v>26</v>
      </c>
      <c r="E3766" t="s">
        <v>13</v>
      </c>
      <c r="F3766" t="s">
        <v>22</v>
      </c>
      <c r="G3766" t="s">
        <v>23</v>
      </c>
      <c r="K3766" cm="1">
        <f t="array" ref="K3766">_xlfn.SWITCH(LeadsData[[#This Row],[Funnel Stage Reached]],"Lead",1,"MQL",2,"SQL",3,"Customer",4)</f>
        <v>2</v>
      </c>
      <c r="L3766" t="str">
        <f>TEXT(LeadsData[[#This Row],[Signup Date]],"mmm-yyyy")</f>
        <v>Nov-2024</v>
      </c>
      <c r="M3766">
        <f>IF(LeadsData[[#This Row],[Stage Number]]&gt;=2,1,0)</f>
        <v>1</v>
      </c>
      <c r="N3766" s="2">
        <f>IF(LeadsData[[#This Row],[Stage Number]]&gt;=3,1,0)</f>
        <v>0</v>
      </c>
      <c r="O3766" s="2">
        <f>IF(LeadsData[[#This Row],[Stage Number]]&gt;=4,1,0)</f>
        <v>0</v>
      </c>
    </row>
    <row r="3767" spans="1:15" x14ac:dyDescent="0.25">
      <c r="A3767" t="s">
        <v>3807</v>
      </c>
      <c r="B3767" s="1">
        <v>45599</v>
      </c>
      <c r="C3767" t="s">
        <v>25</v>
      </c>
      <c r="D3767" t="s">
        <v>26</v>
      </c>
      <c r="E3767" t="s">
        <v>21</v>
      </c>
      <c r="F3767" t="s">
        <v>14</v>
      </c>
      <c r="G3767" t="s">
        <v>15</v>
      </c>
      <c r="K3767" cm="1">
        <f t="array" ref="K3767">_xlfn.SWITCH(LeadsData[[#This Row],[Funnel Stage Reached]],"Lead",1,"MQL",2,"SQL",3,"Customer",4)</f>
        <v>1</v>
      </c>
      <c r="L3767" t="str">
        <f>TEXT(LeadsData[[#This Row],[Signup Date]],"mmm-yyyy")</f>
        <v>Nov-2024</v>
      </c>
      <c r="M3767">
        <f>IF(LeadsData[[#This Row],[Stage Number]]&gt;=2,1,0)</f>
        <v>0</v>
      </c>
      <c r="N3767" s="2">
        <f>IF(LeadsData[[#This Row],[Stage Number]]&gt;=3,1,0)</f>
        <v>0</v>
      </c>
      <c r="O3767" s="2">
        <f>IF(LeadsData[[#This Row],[Stage Number]]&gt;=4,1,0)</f>
        <v>0</v>
      </c>
    </row>
    <row r="3768" spans="1:15" x14ac:dyDescent="0.25">
      <c r="A3768" t="s">
        <v>3808</v>
      </c>
      <c r="B3768" s="1">
        <v>45498</v>
      </c>
      <c r="C3768" t="s">
        <v>17</v>
      </c>
      <c r="D3768" t="s">
        <v>18</v>
      </c>
      <c r="E3768" t="s">
        <v>13</v>
      </c>
      <c r="F3768" t="s">
        <v>19</v>
      </c>
      <c r="G3768" t="s">
        <v>42</v>
      </c>
      <c r="H3768">
        <v>11</v>
      </c>
      <c r="I3768" t="s">
        <v>87</v>
      </c>
      <c r="J3768">
        <v>3751.03</v>
      </c>
      <c r="K3768" cm="1">
        <f t="array" ref="K3768">_xlfn.SWITCH(LeadsData[[#This Row],[Funnel Stage Reached]],"Lead",1,"MQL",2,"SQL",3,"Customer",4)</f>
        <v>4</v>
      </c>
      <c r="L3768" t="str">
        <f>TEXT(LeadsData[[#This Row],[Signup Date]],"mmm-yyyy")</f>
        <v>Jul-2024</v>
      </c>
      <c r="M3768">
        <f>IF(LeadsData[[#This Row],[Stage Number]]&gt;=2,1,0)</f>
        <v>1</v>
      </c>
      <c r="N3768" s="2">
        <f>IF(LeadsData[[#This Row],[Stage Number]]&gt;=3,1,0)</f>
        <v>1</v>
      </c>
      <c r="O3768" s="2">
        <f>IF(LeadsData[[#This Row],[Stage Number]]&gt;=4,1,0)</f>
        <v>1</v>
      </c>
    </row>
    <row r="3769" spans="1:15" x14ac:dyDescent="0.25">
      <c r="A3769" t="s">
        <v>3809</v>
      </c>
      <c r="B3769" s="1">
        <v>45498</v>
      </c>
      <c r="C3769" t="s">
        <v>36</v>
      </c>
      <c r="D3769" t="s">
        <v>50</v>
      </c>
      <c r="E3769" t="s">
        <v>13</v>
      </c>
      <c r="F3769" t="s">
        <v>14</v>
      </c>
      <c r="G3769" t="s">
        <v>29</v>
      </c>
      <c r="K3769" cm="1">
        <f t="array" ref="K3769">_xlfn.SWITCH(LeadsData[[#This Row],[Funnel Stage Reached]],"Lead",1,"MQL",2,"SQL",3,"Customer",4)</f>
        <v>3</v>
      </c>
      <c r="L3769" t="str">
        <f>TEXT(LeadsData[[#This Row],[Signup Date]],"mmm-yyyy")</f>
        <v>Jul-2024</v>
      </c>
      <c r="M3769">
        <f>IF(LeadsData[[#This Row],[Stage Number]]&gt;=2,1,0)</f>
        <v>1</v>
      </c>
      <c r="N3769" s="2">
        <f>IF(LeadsData[[#This Row],[Stage Number]]&gt;=3,1,0)</f>
        <v>1</v>
      </c>
      <c r="O3769" s="2">
        <f>IF(LeadsData[[#This Row],[Stage Number]]&gt;=4,1,0)</f>
        <v>0</v>
      </c>
    </row>
    <row r="3770" spans="1:15" x14ac:dyDescent="0.25">
      <c r="A3770" t="s">
        <v>3810</v>
      </c>
      <c r="B3770" s="1">
        <v>45421</v>
      </c>
      <c r="C3770" t="s">
        <v>11</v>
      </c>
      <c r="D3770" t="s">
        <v>68</v>
      </c>
      <c r="E3770" t="s">
        <v>13</v>
      </c>
      <c r="F3770" t="s">
        <v>19</v>
      </c>
      <c r="G3770" t="s">
        <v>15</v>
      </c>
      <c r="K3770" cm="1">
        <f t="array" ref="K3770">_xlfn.SWITCH(LeadsData[[#This Row],[Funnel Stage Reached]],"Lead",1,"MQL",2,"SQL",3,"Customer",4)</f>
        <v>1</v>
      </c>
      <c r="L3770" t="str">
        <f>TEXT(LeadsData[[#This Row],[Signup Date]],"mmm-yyyy")</f>
        <v>May-2024</v>
      </c>
      <c r="M3770">
        <f>IF(LeadsData[[#This Row],[Stage Number]]&gt;=2,1,0)</f>
        <v>0</v>
      </c>
      <c r="N3770" s="2">
        <f>IF(LeadsData[[#This Row],[Stage Number]]&gt;=3,1,0)</f>
        <v>0</v>
      </c>
      <c r="O3770" s="2">
        <f>IF(LeadsData[[#This Row],[Stage Number]]&gt;=4,1,0)</f>
        <v>0</v>
      </c>
    </row>
    <row r="3771" spans="1:15" x14ac:dyDescent="0.25">
      <c r="A3771" t="s">
        <v>3811</v>
      </c>
      <c r="B3771" s="1">
        <v>45373</v>
      </c>
      <c r="C3771" t="s">
        <v>46</v>
      </c>
      <c r="D3771" t="s">
        <v>56</v>
      </c>
      <c r="E3771" t="s">
        <v>13</v>
      </c>
      <c r="F3771" t="s">
        <v>19</v>
      </c>
      <c r="G3771" t="s">
        <v>15</v>
      </c>
      <c r="K3771" cm="1">
        <f t="array" ref="K3771">_xlfn.SWITCH(LeadsData[[#This Row],[Funnel Stage Reached]],"Lead",1,"MQL",2,"SQL",3,"Customer",4)</f>
        <v>1</v>
      </c>
      <c r="L3771" t="str">
        <f>TEXT(LeadsData[[#This Row],[Signup Date]],"mmm-yyyy")</f>
        <v>Mar-2024</v>
      </c>
      <c r="M3771">
        <f>IF(LeadsData[[#This Row],[Stage Number]]&gt;=2,1,0)</f>
        <v>0</v>
      </c>
      <c r="N3771" s="2">
        <f>IF(LeadsData[[#This Row],[Stage Number]]&gt;=3,1,0)</f>
        <v>0</v>
      </c>
      <c r="O3771" s="2">
        <f>IF(LeadsData[[#This Row],[Stage Number]]&gt;=4,1,0)</f>
        <v>0</v>
      </c>
    </row>
    <row r="3772" spans="1:15" x14ac:dyDescent="0.25">
      <c r="A3772" t="s">
        <v>3812</v>
      </c>
      <c r="B3772" s="1">
        <v>45431</v>
      </c>
      <c r="C3772" t="s">
        <v>31</v>
      </c>
      <c r="D3772" t="s">
        <v>34</v>
      </c>
      <c r="E3772" t="s">
        <v>48</v>
      </c>
      <c r="F3772" t="s">
        <v>19</v>
      </c>
      <c r="G3772" t="s">
        <v>23</v>
      </c>
      <c r="K3772" cm="1">
        <f t="array" ref="K3772">_xlfn.SWITCH(LeadsData[[#This Row],[Funnel Stage Reached]],"Lead",1,"MQL",2,"SQL",3,"Customer",4)</f>
        <v>2</v>
      </c>
      <c r="L3772" t="str">
        <f>TEXT(LeadsData[[#This Row],[Signup Date]],"mmm-yyyy")</f>
        <v>May-2024</v>
      </c>
      <c r="M3772">
        <f>IF(LeadsData[[#This Row],[Stage Number]]&gt;=2,1,0)</f>
        <v>1</v>
      </c>
      <c r="N3772" s="2">
        <f>IF(LeadsData[[#This Row],[Stage Number]]&gt;=3,1,0)</f>
        <v>0</v>
      </c>
      <c r="O3772" s="2">
        <f>IF(LeadsData[[#This Row],[Stage Number]]&gt;=4,1,0)</f>
        <v>0</v>
      </c>
    </row>
    <row r="3773" spans="1:15" x14ac:dyDescent="0.25">
      <c r="A3773" t="s">
        <v>3813</v>
      </c>
      <c r="B3773" s="1">
        <v>45377</v>
      </c>
      <c r="C3773" t="s">
        <v>31</v>
      </c>
      <c r="D3773" t="s">
        <v>34</v>
      </c>
      <c r="E3773" t="s">
        <v>13</v>
      </c>
      <c r="F3773" t="s">
        <v>22</v>
      </c>
      <c r="G3773" t="s">
        <v>15</v>
      </c>
      <c r="K3773" cm="1">
        <f t="array" ref="K3773">_xlfn.SWITCH(LeadsData[[#This Row],[Funnel Stage Reached]],"Lead",1,"MQL",2,"SQL",3,"Customer",4)</f>
        <v>1</v>
      </c>
      <c r="L3773" t="str">
        <f>TEXT(LeadsData[[#This Row],[Signup Date]],"mmm-yyyy")</f>
        <v>Mar-2024</v>
      </c>
      <c r="M3773">
        <f>IF(LeadsData[[#This Row],[Stage Number]]&gt;=2,1,0)</f>
        <v>0</v>
      </c>
      <c r="N3773" s="2">
        <f>IF(LeadsData[[#This Row],[Stage Number]]&gt;=3,1,0)</f>
        <v>0</v>
      </c>
      <c r="O3773" s="2">
        <f>IF(LeadsData[[#This Row],[Stage Number]]&gt;=4,1,0)</f>
        <v>0</v>
      </c>
    </row>
    <row r="3774" spans="1:15" x14ac:dyDescent="0.25">
      <c r="A3774" t="s">
        <v>3814</v>
      </c>
      <c r="B3774" s="1">
        <v>45580</v>
      </c>
      <c r="C3774" t="s">
        <v>46</v>
      </c>
      <c r="D3774" t="s">
        <v>47</v>
      </c>
      <c r="E3774" t="s">
        <v>13</v>
      </c>
      <c r="F3774" t="s">
        <v>14</v>
      </c>
      <c r="G3774" t="s">
        <v>15</v>
      </c>
      <c r="K3774" cm="1">
        <f t="array" ref="K3774">_xlfn.SWITCH(LeadsData[[#This Row],[Funnel Stage Reached]],"Lead",1,"MQL",2,"SQL",3,"Customer",4)</f>
        <v>1</v>
      </c>
      <c r="L3774" t="str">
        <f>TEXT(LeadsData[[#This Row],[Signup Date]],"mmm-yyyy")</f>
        <v>Oct-2024</v>
      </c>
      <c r="M3774">
        <f>IF(LeadsData[[#This Row],[Stage Number]]&gt;=2,1,0)</f>
        <v>0</v>
      </c>
      <c r="N3774" s="2">
        <f>IF(LeadsData[[#This Row],[Stage Number]]&gt;=3,1,0)</f>
        <v>0</v>
      </c>
      <c r="O3774" s="2">
        <f>IF(LeadsData[[#This Row],[Stage Number]]&gt;=4,1,0)</f>
        <v>0</v>
      </c>
    </row>
    <row r="3775" spans="1:15" x14ac:dyDescent="0.25">
      <c r="A3775" t="s">
        <v>3815</v>
      </c>
      <c r="B3775" s="1">
        <v>45600</v>
      </c>
      <c r="C3775" t="s">
        <v>36</v>
      </c>
      <c r="D3775" t="s">
        <v>50</v>
      </c>
      <c r="E3775" t="s">
        <v>13</v>
      </c>
      <c r="F3775" t="s">
        <v>28</v>
      </c>
      <c r="G3775" t="s">
        <v>15</v>
      </c>
      <c r="K3775" cm="1">
        <f t="array" ref="K3775">_xlfn.SWITCH(LeadsData[[#This Row],[Funnel Stage Reached]],"Lead",1,"MQL",2,"SQL",3,"Customer",4)</f>
        <v>1</v>
      </c>
      <c r="L3775" t="str">
        <f>TEXT(LeadsData[[#This Row],[Signup Date]],"mmm-yyyy")</f>
        <v>Nov-2024</v>
      </c>
      <c r="M3775">
        <f>IF(LeadsData[[#This Row],[Stage Number]]&gt;=2,1,0)</f>
        <v>0</v>
      </c>
      <c r="N3775" s="2">
        <f>IF(LeadsData[[#This Row],[Stage Number]]&gt;=3,1,0)</f>
        <v>0</v>
      </c>
      <c r="O3775" s="2">
        <f>IF(LeadsData[[#This Row],[Stage Number]]&gt;=4,1,0)</f>
        <v>0</v>
      </c>
    </row>
    <row r="3776" spans="1:15" x14ac:dyDescent="0.25">
      <c r="A3776" t="s">
        <v>3816</v>
      </c>
      <c r="B3776" s="1">
        <v>45624</v>
      </c>
      <c r="C3776" t="s">
        <v>31</v>
      </c>
      <c r="D3776" t="s">
        <v>32</v>
      </c>
      <c r="E3776" t="s">
        <v>13</v>
      </c>
      <c r="F3776" t="s">
        <v>19</v>
      </c>
      <c r="G3776" t="s">
        <v>29</v>
      </c>
      <c r="K3776" cm="1">
        <f t="array" ref="K3776">_xlfn.SWITCH(LeadsData[[#This Row],[Funnel Stage Reached]],"Lead",1,"MQL",2,"SQL",3,"Customer",4)</f>
        <v>3</v>
      </c>
      <c r="L3776" t="str">
        <f>TEXT(LeadsData[[#This Row],[Signup Date]],"mmm-yyyy")</f>
        <v>Nov-2024</v>
      </c>
      <c r="M3776">
        <f>IF(LeadsData[[#This Row],[Stage Number]]&gt;=2,1,0)</f>
        <v>1</v>
      </c>
      <c r="N3776" s="2">
        <f>IF(LeadsData[[#This Row],[Stage Number]]&gt;=3,1,0)</f>
        <v>1</v>
      </c>
      <c r="O3776" s="2">
        <f>IF(LeadsData[[#This Row],[Stage Number]]&gt;=4,1,0)</f>
        <v>0</v>
      </c>
    </row>
    <row r="3777" spans="1:15" x14ac:dyDescent="0.25">
      <c r="A3777" t="s">
        <v>3817</v>
      </c>
      <c r="B3777" s="1">
        <v>45529</v>
      </c>
      <c r="C3777" t="s">
        <v>11</v>
      </c>
      <c r="D3777" t="s">
        <v>79</v>
      </c>
      <c r="E3777" t="s">
        <v>13</v>
      </c>
      <c r="F3777" t="s">
        <v>19</v>
      </c>
      <c r="G3777" t="s">
        <v>15</v>
      </c>
      <c r="K3777" cm="1">
        <f t="array" ref="K3777">_xlfn.SWITCH(LeadsData[[#This Row],[Funnel Stage Reached]],"Lead",1,"MQL",2,"SQL",3,"Customer",4)</f>
        <v>1</v>
      </c>
      <c r="L3777" t="str">
        <f>TEXT(LeadsData[[#This Row],[Signup Date]],"mmm-yyyy")</f>
        <v>Aug-2024</v>
      </c>
      <c r="M3777">
        <f>IF(LeadsData[[#This Row],[Stage Number]]&gt;=2,1,0)</f>
        <v>0</v>
      </c>
      <c r="N3777" s="2">
        <f>IF(LeadsData[[#This Row],[Stage Number]]&gt;=3,1,0)</f>
        <v>0</v>
      </c>
      <c r="O3777" s="2">
        <f>IF(LeadsData[[#This Row],[Stage Number]]&gt;=4,1,0)</f>
        <v>0</v>
      </c>
    </row>
    <row r="3778" spans="1:15" x14ac:dyDescent="0.25">
      <c r="A3778" t="s">
        <v>3818</v>
      </c>
      <c r="B3778" s="1">
        <v>45315</v>
      </c>
      <c r="C3778" t="s">
        <v>46</v>
      </c>
      <c r="D3778" t="s">
        <v>56</v>
      </c>
      <c r="E3778" t="s">
        <v>13</v>
      </c>
      <c r="F3778" t="s">
        <v>14</v>
      </c>
      <c r="G3778" t="s">
        <v>15</v>
      </c>
      <c r="K3778" cm="1">
        <f t="array" ref="K3778">_xlfn.SWITCH(LeadsData[[#This Row],[Funnel Stage Reached]],"Lead",1,"MQL",2,"SQL",3,"Customer",4)</f>
        <v>1</v>
      </c>
      <c r="L3778" t="str">
        <f>TEXT(LeadsData[[#This Row],[Signup Date]],"mmm-yyyy")</f>
        <v>Jan-2024</v>
      </c>
      <c r="M3778">
        <f>IF(LeadsData[[#This Row],[Stage Number]]&gt;=2,1,0)</f>
        <v>0</v>
      </c>
      <c r="N3778" s="2">
        <f>IF(LeadsData[[#This Row],[Stage Number]]&gt;=3,1,0)</f>
        <v>0</v>
      </c>
      <c r="O3778" s="2">
        <f>IF(LeadsData[[#This Row],[Stage Number]]&gt;=4,1,0)</f>
        <v>0</v>
      </c>
    </row>
    <row r="3779" spans="1:15" x14ac:dyDescent="0.25">
      <c r="A3779" t="s">
        <v>3819</v>
      </c>
      <c r="B3779" s="1">
        <v>45529</v>
      </c>
      <c r="C3779" t="s">
        <v>25</v>
      </c>
      <c r="D3779" t="s">
        <v>26</v>
      </c>
      <c r="E3779" t="s">
        <v>13</v>
      </c>
      <c r="F3779" t="s">
        <v>22</v>
      </c>
      <c r="G3779" t="s">
        <v>29</v>
      </c>
      <c r="K3779" cm="1">
        <f t="array" ref="K3779">_xlfn.SWITCH(LeadsData[[#This Row],[Funnel Stage Reached]],"Lead",1,"MQL",2,"SQL",3,"Customer",4)</f>
        <v>3</v>
      </c>
      <c r="L3779" t="str">
        <f>TEXT(LeadsData[[#This Row],[Signup Date]],"mmm-yyyy")</f>
        <v>Aug-2024</v>
      </c>
      <c r="M3779">
        <f>IF(LeadsData[[#This Row],[Stage Number]]&gt;=2,1,0)</f>
        <v>1</v>
      </c>
      <c r="N3779" s="2">
        <f>IF(LeadsData[[#This Row],[Stage Number]]&gt;=3,1,0)</f>
        <v>1</v>
      </c>
      <c r="O3779" s="2">
        <f>IF(LeadsData[[#This Row],[Stage Number]]&gt;=4,1,0)</f>
        <v>0</v>
      </c>
    </row>
    <row r="3780" spans="1:15" x14ac:dyDescent="0.25">
      <c r="A3780" t="s">
        <v>3820</v>
      </c>
      <c r="B3780" s="1">
        <v>45541</v>
      </c>
      <c r="C3780" t="s">
        <v>11</v>
      </c>
      <c r="D3780" t="s">
        <v>12</v>
      </c>
      <c r="E3780" t="s">
        <v>13</v>
      </c>
      <c r="F3780" t="s">
        <v>14</v>
      </c>
      <c r="G3780" t="s">
        <v>15</v>
      </c>
      <c r="K3780" cm="1">
        <f t="array" ref="K3780">_xlfn.SWITCH(LeadsData[[#This Row],[Funnel Stage Reached]],"Lead",1,"MQL",2,"SQL",3,"Customer",4)</f>
        <v>1</v>
      </c>
      <c r="L3780" t="str">
        <f>TEXT(LeadsData[[#This Row],[Signup Date]],"mmm-yyyy")</f>
        <v>Sep-2024</v>
      </c>
      <c r="M3780">
        <f>IF(LeadsData[[#This Row],[Stage Number]]&gt;=2,1,0)</f>
        <v>0</v>
      </c>
      <c r="N3780" s="2">
        <f>IF(LeadsData[[#This Row],[Stage Number]]&gt;=3,1,0)</f>
        <v>0</v>
      </c>
      <c r="O3780" s="2">
        <f>IF(LeadsData[[#This Row],[Stage Number]]&gt;=4,1,0)</f>
        <v>0</v>
      </c>
    </row>
    <row r="3781" spans="1:15" x14ac:dyDescent="0.25">
      <c r="A3781" t="s">
        <v>3821</v>
      </c>
      <c r="B3781" s="1">
        <v>45582</v>
      </c>
      <c r="C3781" t="s">
        <v>25</v>
      </c>
      <c r="D3781" t="s">
        <v>26</v>
      </c>
      <c r="E3781" t="s">
        <v>21</v>
      </c>
      <c r="F3781" t="s">
        <v>22</v>
      </c>
      <c r="G3781" t="s">
        <v>29</v>
      </c>
      <c r="K3781" cm="1">
        <f t="array" ref="K3781">_xlfn.SWITCH(LeadsData[[#This Row],[Funnel Stage Reached]],"Lead",1,"MQL",2,"SQL",3,"Customer",4)</f>
        <v>3</v>
      </c>
      <c r="L3781" t="str">
        <f>TEXT(LeadsData[[#This Row],[Signup Date]],"mmm-yyyy")</f>
        <v>Oct-2024</v>
      </c>
      <c r="M3781">
        <f>IF(LeadsData[[#This Row],[Stage Number]]&gt;=2,1,0)</f>
        <v>1</v>
      </c>
      <c r="N3781" s="2">
        <f>IF(LeadsData[[#This Row],[Stage Number]]&gt;=3,1,0)</f>
        <v>1</v>
      </c>
      <c r="O3781" s="2">
        <f>IF(LeadsData[[#This Row],[Stage Number]]&gt;=4,1,0)</f>
        <v>0</v>
      </c>
    </row>
    <row r="3782" spans="1:15" x14ac:dyDescent="0.25">
      <c r="A3782" t="s">
        <v>3822</v>
      </c>
      <c r="B3782" s="1">
        <v>45635</v>
      </c>
      <c r="C3782" t="s">
        <v>17</v>
      </c>
      <c r="D3782" t="s">
        <v>18</v>
      </c>
      <c r="E3782" t="s">
        <v>13</v>
      </c>
      <c r="F3782" t="s">
        <v>28</v>
      </c>
      <c r="G3782" t="s">
        <v>23</v>
      </c>
      <c r="K3782" cm="1">
        <f t="array" ref="K3782">_xlfn.SWITCH(LeadsData[[#This Row],[Funnel Stage Reached]],"Lead",1,"MQL",2,"SQL",3,"Customer",4)</f>
        <v>2</v>
      </c>
      <c r="L3782" t="str">
        <f>TEXT(LeadsData[[#This Row],[Signup Date]],"mmm-yyyy")</f>
        <v>Dec-2024</v>
      </c>
      <c r="M3782">
        <f>IF(LeadsData[[#This Row],[Stage Number]]&gt;=2,1,0)</f>
        <v>1</v>
      </c>
      <c r="N3782" s="2">
        <f>IF(LeadsData[[#This Row],[Stage Number]]&gt;=3,1,0)</f>
        <v>0</v>
      </c>
      <c r="O3782" s="2">
        <f>IF(LeadsData[[#This Row],[Stage Number]]&gt;=4,1,0)</f>
        <v>0</v>
      </c>
    </row>
    <row r="3783" spans="1:15" x14ac:dyDescent="0.25">
      <c r="A3783" t="s">
        <v>3823</v>
      </c>
      <c r="B3783" s="1">
        <v>45619</v>
      </c>
      <c r="C3783" t="s">
        <v>46</v>
      </c>
      <c r="D3783" t="s">
        <v>47</v>
      </c>
      <c r="E3783" t="s">
        <v>21</v>
      </c>
      <c r="F3783" t="s">
        <v>19</v>
      </c>
      <c r="G3783" t="s">
        <v>23</v>
      </c>
      <c r="K3783" cm="1">
        <f t="array" ref="K3783">_xlfn.SWITCH(LeadsData[[#This Row],[Funnel Stage Reached]],"Lead",1,"MQL",2,"SQL",3,"Customer",4)</f>
        <v>2</v>
      </c>
      <c r="L3783" t="str">
        <f>TEXT(LeadsData[[#This Row],[Signup Date]],"mmm-yyyy")</f>
        <v>Nov-2024</v>
      </c>
      <c r="M3783">
        <f>IF(LeadsData[[#This Row],[Stage Number]]&gt;=2,1,0)</f>
        <v>1</v>
      </c>
      <c r="N3783" s="2">
        <f>IF(LeadsData[[#This Row],[Stage Number]]&gt;=3,1,0)</f>
        <v>0</v>
      </c>
      <c r="O3783" s="2">
        <f>IF(LeadsData[[#This Row],[Stage Number]]&gt;=4,1,0)</f>
        <v>0</v>
      </c>
    </row>
    <row r="3784" spans="1:15" x14ac:dyDescent="0.25">
      <c r="A3784" t="s">
        <v>3824</v>
      </c>
      <c r="B3784" s="1">
        <v>45610</v>
      </c>
      <c r="C3784" t="s">
        <v>36</v>
      </c>
      <c r="D3784" t="s">
        <v>37</v>
      </c>
      <c r="E3784" t="s">
        <v>21</v>
      </c>
      <c r="F3784" t="s">
        <v>22</v>
      </c>
      <c r="G3784" t="s">
        <v>15</v>
      </c>
      <c r="K3784" cm="1">
        <f t="array" ref="K3784">_xlfn.SWITCH(LeadsData[[#This Row],[Funnel Stage Reached]],"Lead",1,"MQL",2,"SQL",3,"Customer",4)</f>
        <v>1</v>
      </c>
      <c r="L3784" t="str">
        <f>TEXT(LeadsData[[#This Row],[Signup Date]],"mmm-yyyy")</f>
        <v>Nov-2024</v>
      </c>
      <c r="M3784">
        <f>IF(LeadsData[[#This Row],[Stage Number]]&gt;=2,1,0)</f>
        <v>0</v>
      </c>
      <c r="N3784" s="2">
        <f>IF(LeadsData[[#This Row],[Stage Number]]&gt;=3,1,0)</f>
        <v>0</v>
      </c>
      <c r="O3784" s="2">
        <f>IF(LeadsData[[#This Row],[Stage Number]]&gt;=4,1,0)</f>
        <v>0</v>
      </c>
    </row>
    <row r="3785" spans="1:15" x14ac:dyDescent="0.25">
      <c r="A3785" t="s">
        <v>3825</v>
      </c>
      <c r="B3785" s="1">
        <v>45465</v>
      </c>
      <c r="C3785" t="s">
        <v>31</v>
      </c>
      <c r="D3785" t="s">
        <v>32</v>
      </c>
      <c r="E3785" t="s">
        <v>13</v>
      </c>
      <c r="F3785" t="s">
        <v>14</v>
      </c>
      <c r="G3785" t="s">
        <v>15</v>
      </c>
      <c r="K3785" cm="1">
        <f t="array" ref="K3785">_xlfn.SWITCH(LeadsData[[#This Row],[Funnel Stage Reached]],"Lead",1,"MQL",2,"SQL",3,"Customer",4)</f>
        <v>1</v>
      </c>
      <c r="L3785" t="str">
        <f>TEXT(LeadsData[[#This Row],[Signup Date]],"mmm-yyyy")</f>
        <v>Jun-2024</v>
      </c>
      <c r="M3785">
        <f>IF(LeadsData[[#This Row],[Stage Number]]&gt;=2,1,0)</f>
        <v>0</v>
      </c>
      <c r="N3785" s="2">
        <f>IF(LeadsData[[#This Row],[Stage Number]]&gt;=3,1,0)</f>
        <v>0</v>
      </c>
      <c r="O3785" s="2">
        <f>IF(LeadsData[[#This Row],[Stage Number]]&gt;=4,1,0)</f>
        <v>0</v>
      </c>
    </row>
    <row r="3786" spans="1:15" x14ac:dyDescent="0.25">
      <c r="A3786" t="s">
        <v>3826</v>
      </c>
      <c r="B3786" s="1">
        <v>45309</v>
      </c>
      <c r="C3786" t="s">
        <v>25</v>
      </c>
      <c r="D3786" t="s">
        <v>26</v>
      </c>
      <c r="E3786" t="s">
        <v>13</v>
      </c>
      <c r="F3786" t="s">
        <v>19</v>
      </c>
      <c r="G3786" t="s">
        <v>15</v>
      </c>
      <c r="K3786" cm="1">
        <f t="array" ref="K3786">_xlfn.SWITCH(LeadsData[[#This Row],[Funnel Stage Reached]],"Lead",1,"MQL",2,"SQL",3,"Customer",4)</f>
        <v>1</v>
      </c>
      <c r="L3786" t="str">
        <f>TEXT(LeadsData[[#This Row],[Signup Date]],"mmm-yyyy")</f>
        <v>Jan-2024</v>
      </c>
      <c r="M3786">
        <f>IF(LeadsData[[#This Row],[Stage Number]]&gt;=2,1,0)</f>
        <v>0</v>
      </c>
      <c r="N3786" s="2">
        <f>IF(LeadsData[[#This Row],[Stage Number]]&gt;=3,1,0)</f>
        <v>0</v>
      </c>
      <c r="O3786" s="2">
        <f>IF(LeadsData[[#This Row],[Stage Number]]&gt;=4,1,0)</f>
        <v>0</v>
      </c>
    </row>
    <row r="3787" spans="1:15" x14ac:dyDescent="0.25">
      <c r="A3787" t="s">
        <v>3827</v>
      </c>
      <c r="B3787" s="1">
        <v>45615</v>
      </c>
      <c r="C3787" t="s">
        <v>31</v>
      </c>
      <c r="D3787" t="s">
        <v>34</v>
      </c>
      <c r="E3787" t="s">
        <v>13</v>
      </c>
      <c r="F3787" t="s">
        <v>19</v>
      </c>
      <c r="G3787" t="s">
        <v>15</v>
      </c>
      <c r="K3787" cm="1">
        <f t="array" ref="K3787">_xlfn.SWITCH(LeadsData[[#This Row],[Funnel Stage Reached]],"Lead",1,"MQL",2,"SQL",3,"Customer",4)</f>
        <v>1</v>
      </c>
      <c r="L3787" t="str">
        <f>TEXT(LeadsData[[#This Row],[Signup Date]],"mmm-yyyy")</f>
        <v>Nov-2024</v>
      </c>
      <c r="M3787">
        <f>IF(LeadsData[[#This Row],[Stage Number]]&gt;=2,1,0)</f>
        <v>0</v>
      </c>
      <c r="N3787" s="2">
        <f>IF(LeadsData[[#This Row],[Stage Number]]&gt;=3,1,0)</f>
        <v>0</v>
      </c>
      <c r="O3787" s="2">
        <f>IF(LeadsData[[#This Row],[Stage Number]]&gt;=4,1,0)</f>
        <v>0</v>
      </c>
    </row>
    <row r="3788" spans="1:15" x14ac:dyDescent="0.25">
      <c r="A3788" t="s">
        <v>3828</v>
      </c>
      <c r="B3788" s="1">
        <v>45387</v>
      </c>
      <c r="C3788" t="s">
        <v>36</v>
      </c>
      <c r="D3788" t="s">
        <v>50</v>
      </c>
      <c r="E3788" t="s">
        <v>21</v>
      </c>
      <c r="F3788" t="s">
        <v>22</v>
      </c>
      <c r="G3788" t="s">
        <v>15</v>
      </c>
      <c r="K3788" cm="1">
        <f t="array" ref="K3788">_xlfn.SWITCH(LeadsData[[#This Row],[Funnel Stage Reached]],"Lead",1,"MQL",2,"SQL",3,"Customer",4)</f>
        <v>1</v>
      </c>
      <c r="L3788" t="str">
        <f>TEXT(LeadsData[[#This Row],[Signup Date]],"mmm-yyyy")</f>
        <v>Apr-2024</v>
      </c>
      <c r="M3788">
        <f>IF(LeadsData[[#This Row],[Stage Number]]&gt;=2,1,0)</f>
        <v>0</v>
      </c>
      <c r="N3788" s="2">
        <f>IF(LeadsData[[#This Row],[Stage Number]]&gt;=3,1,0)</f>
        <v>0</v>
      </c>
      <c r="O3788" s="2">
        <f>IF(LeadsData[[#This Row],[Stage Number]]&gt;=4,1,0)</f>
        <v>0</v>
      </c>
    </row>
    <row r="3789" spans="1:15" x14ac:dyDescent="0.25">
      <c r="A3789" t="s">
        <v>3829</v>
      </c>
      <c r="B3789" s="1">
        <v>45642</v>
      </c>
      <c r="C3789" t="s">
        <v>46</v>
      </c>
      <c r="D3789" t="s">
        <v>47</v>
      </c>
      <c r="E3789" t="s">
        <v>13</v>
      </c>
      <c r="F3789" t="s">
        <v>19</v>
      </c>
      <c r="G3789" t="s">
        <v>15</v>
      </c>
      <c r="K3789" cm="1">
        <f t="array" ref="K3789">_xlfn.SWITCH(LeadsData[[#This Row],[Funnel Stage Reached]],"Lead",1,"MQL",2,"SQL",3,"Customer",4)</f>
        <v>1</v>
      </c>
      <c r="L3789" t="str">
        <f>TEXT(LeadsData[[#This Row],[Signup Date]],"mmm-yyyy")</f>
        <v>Dec-2024</v>
      </c>
      <c r="M3789">
        <f>IF(LeadsData[[#This Row],[Stage Number]]&gt;=2,1,0)</f>
        <v>0</v>
      </c>
      <c r="N3789" s="2">
        <f>IF(LeadsData[[#This Row],[Stage Number]]&gt;=3,1,0)</f>
        <v>0</v>
      </c>
      <c r="O3789" s="2">
        <f>IF(LeadsData[[#This Row],[Stage Number]]&gt;=4,1,0)</f>
        <v>0</v>
      </c>
    </row>
    <row r="3790" spans="1:15" x14ac:dyDescent="0.25">
      <c r="A3790" t="s">
        <v>3830</v>
      </c>
      <c r="B3790" s="1">
        <v>45408</v>
      </c>
      <c r="C3790" t="s">
        <v>46</v>
      </c>
      <c r="D3790" t="s">
        <v>47</v>
      </c>
      <c r="E3790" t="s">
        <v>13</v>
      </c>
      <c r="F3790" t="s">
        <v>22</v>
      </c>
      <c r="G3790" t="s">
        <v>23</v>
      </c>
      <c r="K3790" cm="1">
        <f t="array" ref="K3790">_xlfn.SWITCH(LeadsData[[#This Row],[Funnel Stage Reached]],"Lead",1,"MQL",2,"SQL",3,"Customer",4)</f>
        <v>2</v>
      </c>
      <c r="L3790" t="str">
        <f>TEXT(LeadsData[[#This Row],[Signup Date]],"mmm-yyyy")</f>
        <v>Apr-2024</v>
      </c>
      <c r="M3790">
        <f>IF(LeadsData[[#This Row],[Stage Number]]&gt;=2,1,0)</f>
        <v>1</v>
      </c>
      <c r="N3790" s="2">
        <f>IF(LeadsData[[#This Row],[Stage Number]]&gt;=3,1,0)</f>
        <v>0</v>
      </c>
      <c r="O3790" s="2">
        <f>IF(LeadsData[[#This Row],[Stage Number]]&gt;=4,1,0)</f>
        <v>0</v>
      </c>
    </row>
    <row r="3791" spans="1:15" x14ac:dyDescent="0.25">
      <c r="A3791" t="s">
        <v>3831</v>
      </c>
      <c r="B3791" s="1">
        <v>45593</v>
      </c>
      <c r="C3791" t="s">
        <v>17</v>
      </c>
      <c r="D3791" t="s">
        <v>53</v>
      </c>
      <c r="E3791" t="s">
        <v>21</v>
      </c>
      <c r="F3791" t="s">
        <v>22</v>
      </c>
      <c r="G3791" t="s">
        <v>15</v>
      </c>
      <c r="K3791" cm="1">
        <f t="array" ref="K3791">_xlfn.SWITCH(LeadsData[[#This Row],[Funnel Stage Reached]],"Lead",1,"MQL",2,"SQL",3,"Customer",4)</f>
        <v>1</v>
      </c>
      <c r="L3791" t="str">
        <f>TEXT(LeadsData[[#This Row],[Signup Date]],"mmm-yyyy")</f>
        <v>Oct-2024</v>
      </c>
      <c r="M3791">
        <f>IF(LeadsData[[#This Row],[Stage Number]]&gt;=2,1,0)</f>
        <v>0</v>
      </c>
      <c r="N3791" s="2">
        <f>IF(LeadsData[[#This Row],[Stage Number]]&gt;=3,1,0)</f>
        <v>0</v>
      </c>
      <c r="O3791" s="2">
        <f>IF(LeadsData[[#This Row],[Stage Number]]&gt;=4,1,0)</f>
        <v>0</v>
      </c>
    </row>
    <row r="3792" spans="1:15" x14ac:dyDescent="0.25">
      <c r="A3792" t="s">
        <v>3832</v>
      </c>
      <c r="B3792" s="1">
        <v>45405</v>
      </c>
      <c r="C3792" t="s">
        <v>17</v>
      </c>
      <c r="D3792" t="s">
        <v>18</v>
      </c>
      <c r="E3792" t="s">
        <v>21</v>
      </c>
      <c r="F3792" t="s">
        <v>19</v>
      </c>
      <c r="G3792" t="s">
        <v>15</v>
      </c>
      <c r="K3792" cm="1">
        <f t="array" ref="K3792">_xlfn.SWITCH(LeadsData[[#This Row],[Funnel Stage Reached]],"Lead",1,"MQL",2,"SQL",3,"Customer",4)</f>
        <v>1</v>
      </c>
      <c r="L3792" t="str">
        <f>TEXT(LeadsData[[#This Row],[Signup Date]],"mmm-yyyy")</f>
        <v>Apr-2024</v>
      </c>
      <c r="M3792">
        <f>IF(LeadsData[[#This Row],[Stage Number]]&gt;=2,1,0)</f>
        <v>0</v>
      </c>
      <c r="N3792" s="2">
        <f>IF(LeadsData[[#This Row],[Stage Number]]&gt;=3,1,0)</f>
        <v>0</v>
      </c>
      <c r="O3792" s="2">
        <f>IF(LeadsData[[#This Row],[Stage Number]]&gt;=4,1,0)</f>
        <v>0</v>
      </c>
    </row>
    <row r="3793" spans="1:15" x14ac:dyDescent="0.25">
      <c r="A3793" t="s">
        <v>3833</v>
      </c>
      <c r="B3793" s="1">
        <v>45568</v>
      </c>
      <c r="C3793" t="s">
        <v>31</v>
      </c>
      <c r="D3793" t="s">
        <v>32</v>
      </c>
      <c r="E3793" t="s">
        <v>13</v>
      </c>
      <c r="F3793" t="s">
        <v>19</v>
      </c>
      <c r="G3793" t="s">
        <v>23</v>
      </c>
      <c r="K3793" cm="1">
        <f t="array" ref="K3793">_xlfn.SWITCH(LeadsData[[#This Row],[Funnel Stage Reached]],"Lead",1,"MQL",2,"SQL",3,"Customer",4)</f>
        <v>2</v>
      </c>
      <c r="L3793" t="str">
        <f>TEXT(LeadsData[[#This Row],[Signup Date]],"mmm-yyyy")</f>
        <v>Oct-2024</v>
      </c>
      <c r="M3793">
        <f>IF(LeadsData[[#This Row],[Stage Number]]&gt;=2,1,0)</f>
        <v>1</v>
      </c>
      <c r="N3793" s="2">
        <f>IF(LeadsData[[#This Row],[Stage Number]]&gt;=3,1,0)</f>
        <v>0</v>
      </c>
      <c r="O3793" s="2">
        <f>IF(LeadsData[[#This Row],[Stage Number]]&gt;=4,1,0)</f>
        <v>0</v>
      </c>
    </row>
    <row r="3794" spans="1:15" x14ac:dyDescent="0.25">
      <c r="A3794" t="s">
        <v>3834</v>
      </c>
      <c r="B3794" s="1">
        <v>45511</v>
      </c>
      <c r="C3794" t="s">
        <v>17</v>
      </c>
      <c r="D3794" t="s">
        <v>18</v>
      </c>
      <c r="E3794" t="s">
        <v>13</v>
      </c>
      <c r="F3794" t="s">
        <v>28</v>
      </c>
      <c r="G3794" t="s">
        <v>15</v>
      </c>
      <c r="K3794" cm="1">
        <f t="array" ref="K3794">_xlfn.SWITCH(LeadsData[[#This Row],[Funnel Stage Reached]],"Lead",1,"MQL",2,"SQL",3,"Customer",4)</f>
        <v>1</v>
      </c>
      <c r="L3794" t="str">
        <f>TEXT(LeadsData[[#This Row],[Signup Date]],"mmm-yyyy")</f>
        <v>Aug-2024</v>
      </c>
      <c r="M3794">
        <f>IF(LeadsData[[#This Row],[Stage Number]]&gt;=2,1,0)</f>
        <v>0</v>
      </c>
      <c r="N3794" s="2">
        <f>IF(LeadsData[[#This Row],[Stage Number]]&gt;=3,1,0)</f>
        <v>0</v>
      </c>
      <c r="O3794" s="2">
        <f>IF(LeadsData[[#This Row],[Stage Number]]&gt;=4,1,0)</f>
        <v>0</v>
      </c>
    </row>
    <row r="3795" spans="1:15" x14ac:dyDescent="0.25">
      <c r="A3795" t="s">
        <v>3835</v>
      </c>
      <c r="B3795" s="1">
        <v>45468</v>
      </c>
      <c r="C3795" t="s">
        <v>11</v>
      </c>
      <c r="D3795" t="s">
        <v>68</v>
      </c>
      <c r="E3795" t="s">
        <v>13</v>
      </c>
      <c r="F3795" t="s">
        <v>22</v>
      </c>
      <c r="G3795" t="s">
        <v>15</v>
      </c>
      <c r="K3795" cm="1">
        <f t="array" ref="K3795">_xlfn.SWITCH(LeadsData[[#This Row],[Funnel Stage Reached]],"Lead",1,"MQL",2,"SQL",3,"Customer",4)</f>
        <v>1</v>
      </c>
      <c r="L3795" t="str">
        <f>TEXT(LeadsData[[#This Row],[Signup Date]],"mmm-yyyy")</f>
        <v>Jun-2024</v>
      </c>
      <c r="M3795">
        <f>IF(LeadsData[[#This Row],[Stage Number]]&gt;=2,1,0)</f>
        <v>0</v>
      </c>
      <c r="N3795" s="2">
        <f>IF(LeadsData[[#This Row],[Stage Number]]&gt;=3,1,0)</f>
        <v>0</v>
      </c>
      <c r="O3795" s="2">
        <f>IF(LeadsData[[#This Row],[Stage Number]]&gt;=4,1,0)</f>
        <v>0</v>
      </c>
    </row>
    <row r="3796" spans="1:15" x14ac:dyDescent="0.25">
      <c r="A3796" t="s">
        <v>3836</v>
      </c>
      <c r="B3796" s="1">
        <v>45323</v>
      </c>
      <c r="C3796" t="s">
        <v>36</v>
      </c>
      <c r="D3796" t="s">
        <v>37</v>
      </c>
      <c r="E3796" t="s">
        <v>21</v>
      </c>
      <c r="F3796" t="s">
        <v>22</v>
      </c>
      <c r="G3796" t="s">
        <v>23</v>
      </c>
      <c r="K3796" cm="1">
        <f t="array" ref="K3796">_xlfn.SWITCH(LeadsData[[#This Row],[Funnel Stage Reached]],"Lead",1,"MQL",2,"SQL",3,"Customer",4)</f>
        <v>2</v>
      </c>
      <c r="L3796" t="str">
        <f>TEXT(LeadsData[[#This Row],[Signup Date]],"mmm-yyyy")</f>
        <v>Feb-2024</v>
      </c>
      <c r="M3796">
        <f>IF(LeadsData[[#This Row],[Stage Number]]&gt;=2,1,0)</f>
        <v>1</v>
      </c>
      <c r="N3796" s="2">
        <f>IF(LeadsData[[#This Row],[Stage Number]]&gt;=3,1,0)</f>
        <v>0</v>
      </c>
      <c r="O3796" s="2">
        <f>IF(LeadsData[[#This Row],[Stage Number]]&gt;=4,1,0)</f>
        <v>0</v>
      </c>
    </row>
    <row r="3797" spans="1:15" x14ac:dyDescent="0.25">
      <c r="A3797" t="s">
        <v>3837</v>
      </c>
      <c r="B3797" s="1">
        <v>45347</v>
      </c>
      <c r="C3797" t="s">
        <v>46</v>
      </c>
      <c r="D3797" t="s">
        <v>47</v>
      </c>
      <c r="E3797" t="s">
        <v>21</v>
      </c>
      <c r="F3797" t="s">
        <v>22</v>
      </c>
      <c r="G3797" t="s">
        <v>15</v>
      </c>
      <c r="K3797" cm="1">
        <f t="array" ref="K3797">_xlfn.SWITCH(LeadsData[[#This Row],[Funnel Stage Reached]],"Lead",1,"MQL",2,"SQL",3,"Customer",4)</f>
        <v>1</v>
      </c>
      <c r="L3797" t="str">
        <f>TEXT(LeadsData[[#This Row],[Signup Date]],"mmm-yyyy")</f>
        <v>Feb-2024</v>
      </c>
      <c r="M3797">
        <f>IF(LeadsData[[#This Row],[Stage Number]]&gt;=2,1,0)</f>
        <v>0</v>
      </c>
      <c r="N3797" s="2">
        <f>IF(LeadsData[[#This Row],[Stage Number]]&gt;=3,1,0)</f>
        <v>0</v>
      </c>
      <c r="O3797" s="2">
        <f>IF(LeadsData[[#This Row],[Stage Number]]&gt;=4,1,0)</f>
        <v>0</v>
      </c>
    </row>
    <row r="3798" spans="1:15" x14ac:dyDescent="0.25">
      <c r="A3798" t="s">
        <v>3838</v>
      </c>
      <c r="B3798" s="1">
        <v>45559</v>
      </c>
      <c r="C3798" t="s">
        <v>17</v>
      </c>
      <c r="D3798" t="s">
        <v>53</v>
      </c>
      <c r="E3798" t="s">
        <v>21</v>
      </c>
      <c r="F3798" t="s">
        <v>19</v>
      </c>
      <c r="G3798" t="s">
        <v>15</v>
      </c>
      <c r="K3798" cm="1">
        <f t="array" ref="K3798">_xlfn.SWITCH(LeadsData[[#This Row],[Funnel Stage Reached]],"Lead",1,"MQL",2,"SQL",3,"Customer",4)</f>
        <v>1</v>
      </c>
      <c r="L3798" t="str">
        <f>TEXT(LeadsData[[#This Row],[Signup Date]],"mmm-yyyy")</f>
        <v>Sep-2024</v>
      </c>
      <c r="M3798">
        <f>IF(LeadsData[[#This Row],[Stage Number]]&gt;=2,1,0)</f>
        <v>0</v>
      </c>
      <c r="N3798" s="2">
        <f>IF(LeadsData[[#This Row],[Stage Number]]&gt;=3,1,0)</f>
        <v>0</v>
      </c>
      <c r="O3798" s="2">
        <f>IF(LeadsData[[#This Row],[Stage Number]]&gt;=4,1,0)</f>
        <v>0</v>
      </c>
    </row>
    <row r="3799" spans="1:15" x14ac:dyDescent="0.25">
      <c r="A3799" t="s">
        <v>3839</v>
      </c>
      <c r="B3799" s="1">
        <v>45298</v>
      </c>
      <c r="C3799" t="s">
        <v>17</v>
      </c>
      <c r="D3799" t="s">
        <v>53</v>
      </c>
      <c r="E3799" t="s">
        <v>21</v>
      </c>
      <c r="F3799" t="s">
        <v>22</v>
      </c>
      <c r="G3799" t="s">
        <v>15</v>
      </c>
      <c r="K3799" cm="1">
        <f t="array" ref="K3799">_xlfn.SWITCH(LeadsData[[#This Row],[Funnel Stage Reached]],"Lead",1,"MQL",2,"SQL",3,"Customer",4)</f>
        <v>1</v>
      </c>
      <c r="L3799" t="str">
        <f>TEXT(LeadsData[[#This Row],[Signup Date]],"mmm-yyyy")</f>
        <v>Jan-2024</v>
      </c>
      <c r="M3799">
        <f>IF(LeadsData[[#This Row],[Stage Number]]&gt;=2,1,0)</f>
        <v>0</v>
      </c>
      <c r="N3799" s="2">
        <f>IF(LeadsData[[#This Row],[Stage Number]]&gt;=3,1,0)</f>
        <v>0</v>
      </c>
      <c r="O3799" s="2">
        <f>IF(LeadsData[[#This Row],[Stage Number]]&gt;=4,1,0)</f>
        <v>0</v>
      </c>
    </row>
    <row r="3800" spans="1:15" x14ac:dyDescent="0.25">
      <c r="A3800" t="s">
        <v>3840</v>
      </c>
      <c r="B3800" s="1">
        <v>45623</v>
      </c>
      <c r="C3800" t="s">
        <v>11</v>
      </c>
      <c r="D3800" t="s">
        <v>12</v>
      </c>
      <c r="E3800" t="s">
        <v>13</v>
      </c>
      <c r="F3800" t="s">
        <v>14</v>
      </c>
      <c r="G3800" t="s">
        <v>23</v>
      </c>
      <c r="K3800" cm="1">
        <f t="array" ref="K3800">_xlfn.SWITCH(LeadsData[[#This Row],[Funnel Stage Reached]],"Lead",1,"MQL",2,"SQL",3,"Customer",4)</f>
        <v>2</v>
      </c>
      <c r="L3800" t="str">
        <f>TEXT(LeadsData[[#This Row],[Signup Date]],"mmm-yyyy")</f>
        <v>Nov-2024</v>
      </c>
      <c r="M3800">
        <f>IF(LeadsData[[#This Row],[Stage Number]]&gt;=2,1,0)</f>
        <v>1</v>
      </c>
      <c r="N3800" s="2">
        <f>IF(LeadsData[[#This Row],[Stage Number]]&gt;=3,1,0)</f>
        <v>0</v>
      </c>
      <c r="O3800" s="2">
        <f>IF(LeadsData[[#This Row],[Stage Number]]&gt;=4,1,0)</f>
        <v>0</v>
      </c>
    </row>
    <row r="3801" spans="1:15" x14ac:dyDescent="0.25">
      <c r="A3801" t="s">
        <v>3841</v>
      </c>
      <c r="B3801" s="1">
        <v>45466</v>
      </c>
      <c r="C3801" t="s">
        <v>46</v>
      </c>
      <c r="D3801" t="s">
        <v>56</v>
      </c>
      <c r="E3801" t="s">
        <v>21</v>
      </c>
      <c r="F3801" t="s">
        <v>28</v>
      </c>
      <c r="G3801" t="s">
        <v>23</v>
      </c>
      <c r="K3801" cm="1">
        <f t="array" ref="K3801">_xlfn.SWITCH(LeadsData[[#This Row],[Funnel Stage Reached]],"Lead",1,"MQL",2,"SQL",3,"Customer",4)</f>
        <v>2</v>
      </c>
      <c r="L3801" t="str">
        <f>TEXT(LeadsData[[#This Row],[Signup Date]],"mmm-yyyy")</f>
        <v>Jun-2024</v>
      </c>
      <c r="M3801">
        <f>IF(LeadsData[[#This Row],[Stage Number]]&gt;=2,1,0)</f>
        <v>1</v>
      </c>
      <c r="N3801" s="2">
        <f>IF(LeadsData[[#This Row],[Stage Number]]&gt;=3,1,0)</f>
        <v>0</v>
      </c>
      <c r="O3801" s="2">
        <f>IF(LeadsData[[#This Row],[Stage Number]]&gt;=4,1,0)</f>
        <v>0</v>
      </c>
    </row>
    <row r="3802" spans="1:15" x14ac:dyDescent="0.25">
      <c r="A3802" t="s">
        <v>3842</v>
      </c>
      <c r="B3802" s="1">
        <v>45608</v>
      </c>
      <c r="C3802" t="s">
        <v>17</v>
      </c>
      <c r="D3802" t="s">
        <v>53</v>
      </c>
      <c r="E3802" t="s">
        <v>21</v>
      </c>
      <c r="F3802" t="s">
        <v>19</v>
      </c>
      <c r="G3802" t="s">
        <v>15</v>
      </c>
      <c r="K3802" cm="1">
        <f t="array" ref="K3802">_xlfn.SWITCH(LeadsData[[#This Row],[Funnel Stage Reached]],"Lead",1,"MQL",2,"SQL",3,"Customer",4)</f>
        <v>1</v>
      </c>
      <c r="L3802" t="str">
        <f>TEXT(LeadsData[[#This Row],[Signup Date]],"mmm-yyyy")</f>
        <v>Nov-2024</v>
      </c>
      <c r="M3802">
        <f>IF(LeadsData[[#This Row],[Stage Number]]&gt;=2,1,0)</f>
        <v>0</v>
      </c>
      <c r="N3802" s="2">
        <f>IF(LeadsData[[#This Row],[Stage Number]]&gt;=3,1,0)</f>
        <v>0</v>
      </c>
      <c r="O3802" s="2">
        <f>IF(LeadsData[[#This Row],[Stage Number]]&gt;=4,1,0)</f>
        <v>0</v>
      </c>
    </row>
    <row r="3803" spans="1:15" x14ac:dyDescent="0.25">
      <c r="A3803" t="s">
        <v>3843</v>
      </c>
      <c r="B3803" s="1">
        <v>45361</v>
      </c>
      <c r="C3803" t="s">
        <v>36</v>
      </c>
      <c r="D3803" t="s">
        <v>37</v>
      </c>
      <c r="E3803" t="s">
        <v>13</v>
      </c>
      <c r="F3803" t="s">
        <v>19</v>
      </c>
      <c r="G3803" t="s">
        <v>42</v>
      </c>
      <c r="H3803">
        <v>64</v>
      </c>
      <c r="I3803" t="s">
        <v>43</v>
      </c>
      <c r="J3803">
        <v>908.95</v>
      </c>
      <c r="K3803" cm="1">
        <f t="array" ref="K3803">_xlfn.SWITCH(LeadsData[[#This Row],[Funnel Stage Reached]],"Lead",1,"MQL",2,"SQL",3,"Customer",4)</f>
        <v>4</v>
      </c>
      <c r="L3803" t="str">
        <f>TEXT(LeadsData[[#This Row],[Signup Date]],"mmm-yyyy")</f>
        <v>Mar-2024</v>
      </c>
      <c r="M3803">
        <f>IF(LeadsData[[#This Row],[Stage Number]]&gt;=2,1,0)</f>
        <v>1</v>
      </c>
      <c r="N3803" s="2">
        <f>IF(LeadsData[[#This Row],[Stage Number]]&gt;=3,1,0)</f>
        <v>1</v>
      </c>
      <c r="O3803" s="2">
        <f>IF(LeadsData[[#This Row],[Stage Number]]&gt;=4,1,0)</f>
        <v>1</v>
      </c>
    </row>
    <row r="3804" spans="1:15" x14ac:dyDescent="0.25">
      <c r="A3804" t="s">
        <v>3844</v>
      </c>
      <c r="B3804" s="1">
        <v>45512</v>
      </c>
      <c r="C3804" t="s">
        <v>17</v>
      </c>
      <c r="D3804" t="s">
        <v>18</v>
      </c>
      <c r="E3804" t="s">
        <v>13</v>
      </c>
      <c r="F3804" t="s">
        <v>19</v>
      </c>
      <c r="G3804" t="s">
        <v>15</v>
      </c>
      <c r="K3804" cm="1">
        <f t="array" ref="K3804">_xlfn.SWITCH(LeadsData[[#This Row],[Funnel Stage Reached]],"Lead",1,"MQL",2,"SQL",3,"Customer",4)</f>
        <v>1</v>
      </c>
      <c r="L3804" t="str">
        <f>TEXT(LeadsData[[#This Row],[Signup Date]],"mmm-yyyy")</f>
        <v>Aug-2024</v>
      </c>
      <c r="M3804">
        <f>IF(LeadsData[[#This Row],[Stage Number]]&gt;=2,1,0)</f>
        <v>0</v>
      </c>
      <c r="N3804" s="2">
        <f>IF(LeadsData[[#This Row],[Stage Number]]&gt;=3,1,0)</f>
        <v>0</v>
      </c>
      <c r="O3804" s="2">
        <f>IF(LeadsData[[#This Row],[Stage Number]]&gt;=4,1,0)</f>
        <v>0</v>
      </c>
    </row>
    <row r="3805" spans="1:15" x14ac:dyDescent="0.25">
      <c r="A3805" t="s">
        <v>3845</v>
      </c>
      <c r="B3805" s="1">
        <v>45576</v>
      </c>
      <c r="C3805" t="s">
        <v>25</v>
      </c>
      <c r="D3805" t="s">
        <v>26</v>
      </c>
      <c r="E3805" t="s">
        <v>21</v>
      </c>
      <c r="F3805" t="s">
        <v>19</v>
      </c>
      <c r="G3805" t="s">
        <v>15</v>
      </c>
      <c r="K3805" cm="1">
        <f t="array" ref="K3805">_xlfn.SWITCH(LeadsData[[#This Row],[Funnel Stage Reached]],"Lead",1,"MQL",2,"SQL",3,"Customer",4)</f>
        <v>1</v>
      </c>
      <c r="L3805" t="str">
        <f>TEXT(LeadsData[[#This Row],[Signup Date]],"mmm-yyyy")</f>
        <v>Oct-2024</v>
      </c>
      <c r="M3805">
        <f>IF(LeadsData[[#This Row],[Stage Number]]&gt;=2,1,0)</f>
        <v>0</v>
      </c>
      <c r="N3805" s="2">
        <f>IF(LeadsData[[#This Row],[Stage Number]]&gt;=3,1,0)</f>
        <v>0</v>
      </c>
      <c r="O3805" s="2">
        <f>IF(LeadsData[[#This Row],[Stage Number]]&gt;=4,1,0)</f>
        <v>0</v>
      </c>
    </row>
    <row r="3806" spans="1:15" x14ac:dyDescent="0.25">
      <c r="A3806" t="s">
        <v>3846</v>
      </c>
      <c r="B3806" s="1">
        <v>45631</v>
      </c>
      <c r="C3806" t="s">
        <v>36</v>
      </c>
      <c r="D3806" t="s">
        <v>37</v>
      </c>
      <c r="E3806" t="s">
        <v>13</v>
      </c>
      <c r="F3806" t="s">
        <v>19</v>
      </c>
      <c r="G3806" t="s">
        <v>23</v>
      </c>
      <c r="K3806" cm="1">
        <f t="array" ref="K3806">_xlfn.SWITCH(LeadsData[[#This Row],[Funnel Stage Reached]],"Lead",1,"MQL",2,"SQL",3,"Customer",4)</f>
        <v>2</v>
      </c>
      <c r="L3806" t="str">
        <f>TEXT(LeadsData[[#This Row],[Signup Date]],"mmm-yyyy")</f>
        <v>Dec-2024</v>
      </c>
      <c r="M3806">
        <f>IF(LeadsData[[#This Row],[Stage Number]]&gt;=2,1,0)</f>
        <v>1</v>
      </c>
      <c r="N3806" s="2">
        <f>IF(LeadsData[[#This Row],[Stage Number]]&gt;=3,1,0)</f>
        <v>0</v>
      </c>
      <c r="O3806" s="2">
        <f>IF(LeadsData[[#This Row],[Stage Number]]&gt;=4,1,0)</f>
        <v>0</v>
      </c>
    </row>
    <row r="3807" spans="1:15" x14ac:dyDescent="0.25">
      <c r="A3807" t="s">
        <v>3847</v>
      </c>
      <c r="B3807" s="1">
        <v>45428</v>
      </c>
      <c r="C3807" t="s">
        <v>11</v>
      </c>
      <c r="D3807" t="s">
        <v>79</v>
      </c>
      <c r="E3807" t="s">
        <v>21</v>
      </c>
      <c r="F3807" t="s">
        <v>19</v>
      </c>
      <c r="G3807" t="s">
        <v>23</v>
      </c>
      <c r="K3807" cm="1">
        <f t="array" ref="K3807">_xlfn.SWITCH(LeadsData[[#This Row],[Funnel Stage Reached]],"Lead",1,"MQL",2,"SQL",3,"Customer",4)</f>
        <v>2</v>
      </c>
      <c r="L3807" t="str">
        <f>TEXT(LeadsData[[#This Row],[Signup Date]],"mmm-yyyy")</f>
        <v>May-2024</v>
      </c>
      <c r="M3807">
        <f>IF(LeadsData[[#This Row],[Stage Number]]&gt;=2,1,0)</f>
        <v>1</v>
      </c>
      <c r="N3807" s="2">
        <f>IF(LeadsData[[#This Row],[Stage Number]]&gt;=3,1,0)</f>
        <v>0</v>
      </c>
      <c r="O3807" s="2">
        <f>IF(LeadsData[[#This Row],[Stage Number]]&gt;=4,1,0)</f>
        <v>0</v>
      </c>
    </row>
    <row r="3808" spans="1:15" x14ac:dyDescent="0.25">
      <c r="A3808" t="s">
        <v>3848</v>
      </c>
      <c r="B3808" s="1">
        <v>45497</v>
      </c>
      <c r="C3808" t="s">
        <v>31</v>
      </c>
      <c r="D3808" t="s">
        <v>34</v>
      </c>
      <c r="E3808" t="s">
        <v>21</v>
      </c>
      <c r="F3808" t="s">
        <v>19</v>
      </c>
      <c r="G3808" t="s">
        <v>15</v>
      </c>
      <c r="K3808" cm="1">
        <f t="array" ref="K3808">_xlfn.SWITCH(LeadsData[[#This Row],[Funnel Stage Reached]],"Lead",1,"MQL",2,"SQL",3,"Customer",4)</f>
        <v>1</v>
      </c>
      <c r="L3808" t="str">
        <f>TEXT(LeadsData[[#This Row],[Signup Date]],"mmm-yyyy")</f>
        <v>Jul-2024</v>
      </c>
      <c r="M3808">
        <f>IF(LeadsData[[#This Row],[Stage Number]]&gt;=2,1,0)</f>
        <v>0</v>
      </c>
      <c r="N3808" s="2">
        <f>IF(LeadsData[[#This Row],[Stage Number]]&gt;=3,1,0)</f>
        <v>0</v>
      </c>
      <c r="O3808" s="2">
        <f>IF(LeadsData[[#This Row],[Stage Number]]&gt;=4,1,0)</f>
        <v>0</v>
      </c>
    </row>
    <row r="3809" spans="1:15" x14ac:dyDescent="0.25">
      <c r="A3809" t="s">
        <v>3849</v>
      </c>
      <c r="B3809" s="1">
        <v>45574</v>
      </c>
      <c r="C3809" t="s">
        <v>31</v>
      </c>
      <c r="D3809" t="s">
        <v>32</v>
      </c>
      <c r="E3809" t="s">
        <v>48</v>
      </c>
      <c r="F3809" t="s">
        <v>19</v>
      </c>
      <c r="G3809" t="s">
        <v>15</v>
      </c>
      <c r="K3809" cm="1">
        <f t="array" ref="K3809">_xlfn.SWITCH(LeadsData[[#This Row],[Funnel Stage Reached]],"Lead",1,"MQL",2,"SQL",3,"Customer",4)</f>
        <v>1</v>
      </c>
      <c r="L3809" t="str">
        <f>TEXT(LeadsData[[#This Row],[Signup Date]],"mmm-yyyy")</f>
        <v>Oct-2024</v>
      </c>
      <c r="M3809">
        <f>IF(LeadsData[[#This Row],[Stage Number]]&gt;=2,1,0)</f>
        <v>0</v>
      </c>
      <c r="N3809" s="2">
        <f>IF(LeadsData[[#This Row],[Stage Number]]&gt;=3,1,0)</f>
        <v>0</v>
      </c>
      <c r="O3809" s="2">
        <f>IF(LeadsData[[#This Row],[Stage Number]]&gt;=4,1,0)</f>
        <v>0</v>
      </c>
    </row>
    <row r="3810" spans="1:15" x14ac:dyDescent="0.25">
      <c r="A3810" t="s">
        <v>3850</v>
      </c>
      <c r="B3810" s="1">
        <v>45517</v>
      </c>
      <c r="C3810" t="s">
        <v>31</v>
      </c>
      <c r="D3810" t="s">
        <v>32</v>
      </c>
      <c r="E3810" t="s">
        <v>21</v>
      </c>
      <c r="F3810" t="s">
        <v>19</v>
      </c>
      <c r="G3810" t="s">
        <v>23</v>
      </c>
      <c r="K3810" cm="1">
        <f t="array" ref="K3810">_xlfn.SWITCH(LeadsData[[#This Row],[Funnel Stage Reached]],"Lead",1,"MQL",2,"SQL",3,"Customer",4)</f>
        <v>2</v>
      </c>
      <c r="L3810" t="str">
        <f>TEXT(LeadsData[[#This Row],[Signup Date]],"mmm-yyyy")</f>
        <v>Aug-2024</v>
      </c>
      <c r="M3810">
        <f>IF(LeadsData[[#This Row],[Stage Number]]&gt;=2,1,0)</f>
        <v>1</v>
      </c>
      <c r="N3810" s="2">
        <f>IF(LeadsData[[#This Row],[Stage Number]]&gt;=3,1,0)</f>
        <v>0</v>
      </c>
      <c r="O3810" s="2">
        <f>IF(LeadsData[[#This Row],[Stage Number]]&gt;=4,1,0)</f>
        <v>0</v>
      </c>
    </row>
    <row r="3811" spans="1:15" x14ac:dyDescent="0.25">
      <c r="A3811" t="s">
        <v>3851</v>
      </c>
      <c r="B3811" s="1">
        <v>45353</v>
      </c>
      <c r="C3811" t="s">
        <v>11</v>
      </c>
      <c r="D3811" t="s">
        <v>79</v>
      </c>
      <c r="E3811" t="s">
        <v>13</v>
      </c>
      <c r="F3811" t="s">
        <v>22</v>
      </c>
      <c r="G3811" t="s">
        <v>15</v>
      </c>
      <c r="K3811" cm="1">
        <f t="array" ref="K3811">_xlfn.SWITCH(LeadsData[[#This Row],[Funnel Stage Reached]],"Lead",1,"MQL",2,"SQL",3,"Customer",4)</f>
        <v>1</v>
      </c>
      <c r="L3811" t="str">
        <f>TEXT(LeadsData[[#This Row],[Signup Date]],"mmm-yyyy")</f>
        <v>Mar-2024</v>
      </c>
      <c r="M3811">
        <f>IF(LeadsData[[#This Row],[Stage Number]]&gt;=2,1,0)</f>
        <v>0</v>
      </c>
      <c r="N3811" s="2">
        <f>IF(LeadsData[[#This Row],[Stage Number]]&gt;=3,1,0)</f>
        <v>0</v>
      </c>
      <c r="O3811" s="2">
        <f>IF(LeadsData[[#This Row],[Stage Number]]&gt;=4,1,0)</f>
        <v>0</v>
      </c>
    </row>
    <row r="3812" spans="1:15" x14ac:dyDescent="0.25">
      <c r="A3812" t="s">
        <v>3852</v>
      </c>
      <c r="B3812" s="1">
        <v>45431</v>
      </c>
      <c r="C3812" t="s">
        <v>11</v>
      </c>
      <c r="D3812" t="s">
        <v>12</v>
      </c>
      <c r="E3812" t="s">
        <v>21</v>
      </c>
      <c r="F3812" t="s">
        <v>28</v>
      </c>
      <c r="G3812" t="s">
        <v>23</v>
      </c>
      <c r="K3812" cm="1">
        <f t="array" ref="K3812">_xlfn.SWITCH(LeadsData[[#This Row],[Funnel Stage Reached]],"Lead",1,"MQL",2,"SQL",3,"Customer",4)</f>
        <v>2</v>
      </c>
      <c r="L3812" t="str">
        <f>TEXT(LeadsData[[#This Row],[Signup Date]],"mmm-yyyy")</f>
        <v>May-2024</v>
      </c>
      <c r="M3812">
        <f>IF(LeadsData[[#This Row],[Stage Number]]&gt;=2,1,0)</f>
        <v>1</v>
      </c>
      <c r="N3812" s="2">
        <f>IF(LeadsData[[#This Row],[Stage Number]]&gt;=3,1,0)</f>
        <v>0</v>
      </c>
      <c r="O3812" s="2">
        <f>IF(LeadsData[[#This Row],[Stage Number]]&gt;=4,1,0)</f>
        <v>0</v>
      </c>
    </row>
    <row r="3813" spans="1:15" x14ac:dyDescent="0.25">
      <c r="A3813" t="s">
        <v>3853</v>
      </c>
      <c r="B3813" s="1">
        <v>45600</v>
      </c>
      <c r="C3813" t="s">
        <v>36</v>
      </c>
      <c r="D3813" t="s">
        <v>50</v>
      </c>
      <c r="E3813" t="s">
        <v>21</v>
      </c>
      <c r="F3813" t="s">
        <v>22</v>
      </c>
      <c r="G3813" t="s">
        <v>23</v>
      </c>
      <c r="K3813" cm="1">
        <f t="array" ref="K3813">_xlfn.SWITCH(LeadsData[[#This Row],[Funnel Stage Reached]],"Lead",1,"MQL",2,"SQL",3,"Customer",4)</f>
        <v>2</v>
      </c>
      <c r="L3813" t="str">
        <f>TEXT(LeadsData[[#This Row],[Signup Date]],"mmm-yyyy")</f>
        <v>Nov-2024</v>
      </c>
      <c r="M3813">
        <f>IF(LeadsData[[#This Row],[Stage Number]]&gt;=2,1,0)</f>
        <v>1</v>
      </c>
      <c r="N3813" s="2">
        <f>IF(LeadsData[[#This Row],[Stage Number]]&gt;=3,1,0)</f>
        <v>0</v>
      </c>
      <c r="O3813" s="2">
        <f>IF(LeadsData[[#This Row],[Stage Number]]&gt;=4,1,0)</f>
        <v>0</v>
      </c>
    </row>
    <row r="3814" spans="1:15" x14ac:dyDescent="0.25">
      <c r="A3814" t="s">
        <v>3854</v>
      </c>
      <c r="B3814" s="1">
        <v>45341</v>
      </c>
      <c r="C3814" t="s">
        <v>36</v>
      </c>
      <c r="D3814" t="s">
        <v>37</v>
      </c>
      <c r="E3814" t="s">
        <v>13</v>
      </c>
      <c r="F3814" t="s">
        <v>19</v>
      </c>
      <c r="G3814" t="s">
        <v>15</v>
      </c>
      <c r="K3814" cm="1">
        <f t="array" ref="K3814">_xlfn.SWITCH(LeadsData[[#This Row],[Funnel Stage Reached]],"Lead",1,"MQL",2,"SQL",3,"Customer",4)</f>
        <v>1</v>
      </c>
      <c r="L3814" t="str">
        <f>TEXT(LeadsData[[#This Row],[Signup Date]],"mmm-yyyy")</f>
        <v>Feb-2024</v>
      </c>
      <c r="M3814">
        <f>IF(LeadsData[[#This Row],[Stage Number]]&gt;=2,1,0)</f>
        <v>0</v>
      </c>
      <c r="N3814" s="2">
        <f>IF(LeadsData[[#This Row],[Stage Number]]&gt;=3,1,0)</f>
        <v>0</v>
      </c>
      <c r="O3814" s="2">
        <f>IF(LeadsData[[#This Row],[Stage Number]]&gt;=4,1,0)</f>
        <v>0</v>
      </c>
    </row>
    <row r="3815" spans="1:15" x14ac:dyDescent="0.25">
      <c r="A3815" t="s">
        <v>3855</v>
      </c>
      <c r="B3815" s="1">
        <v>45383</v>
      </c>
      <c r="C3815" t="s">
        <v>31</v>
      </c>
      <c r="D3815" t="s">
        <v>32</v>
      </c>
      <c r="E3815" t="s">
        <v>13</v>
      </c>
      <c r="F3815" t="s">
        <v>19</v>
      </c>
      <c r="G3815" t="s">
        <v>23</v>
      </c>
      <c r="K3815" cm="1">
        <f t="array" ref="K3815">_xlfn.SWITCH(LeadsData[[#This Row],[Funnel Stage Reached]],"Lead",1,"MQL",2,"SQL",3,"Customer",4)</f>
        <v>2</v>
      </c>
      <c r="L3815" t="str">
        <f>TEXT(LeadsData[[#This Row],[Signup Date]],"mmm-yyyy")</f>
        <v>Apr-2024</v>
      </c>
      <c r="M3815">
        <f>IF(LeadsData[[#This Row],[Stage Number]]&gt;=2,1,0)</f>
        <v>1</v>
      </c>
      <c r="N3815" s="2">
        <f>IF(LeadsData[[#This Row],[Stage Number]]&gt;=3,1,0)</f>
        <v>0</v>
      </c>
      <c r="O3815" s="2">
        <f>IF(LeadsData[[#This Row],[Stage Number]]&gt;=4,1,0)</f>
        <v>0</v>
      </c>
    </row>
    <row r="3816" spans="1:15" x14ac:dyDescent="0.25">
      <c r="A3816" t="s">
        <v>3856</v>
      </c>
      <c r="B3816" s="1">
        <v>45537</v>
      </c>
      <c r="C3816" t="s">
        <v>31</v>
      </c>
      <c r="D3816" t="s">
        <v>34</v>
      </c>
      <c r="E3816" t="s">
        <v>13</v>
      </c>
      <c r="F3816" t="s">
        <v>19</v>
      </c>
      <c r="G3816" t="s">
        <v>15</v>
      </c>
      <c r="K3816" cm="1">
        <f t="array" ref="K3816">_xlfn.SWITCH(LeadsData[[#This Row],[Funnel Stage Reached]],"Lead",1,"MQL",2,"SQL",3,"Customer",4)</f>
        <v>1</v>
      </c>
      <c r="L3816" t="str">
        <f>TEXT(LeadsData[[#This Row],[Signup Date]],"mmm-yyyy")</f>
        <v>Sep-2024</v>
      </c>
      <c r="M3816">
        <f>IF(LeadsData[[#This Row],[Stage Number]]&gt;=2,1,0)</f>
        <v>0</v>
      </c>
      <c r="N3816" s="2">
        <f>IF(LeadsData[[#This Row],[Stage Number]]&gt;=3,1,0)</f>
        <v>0</v>
      </c>
      <c r="O3816" s="2">
        <f>IF(LeadsData[[#This Row],[Stage Number]]&gt;=4,1,0)</f>
        <v>0</v>
      </c>
    </row>
    <row r="3817" spans="1:15" x14ac:dyDescent="0.25">
      <c r="A3817" t="s">
        <v>3857</v>
      </c>
      <c r="B3817" s="1">
        <v>45328</v>
      </c>
      <c r="C3817" t="s">
        <v>46</v>
      </c>
      <c r="D3817" t="s">
        <v>56</v>
      </c>
      <c r="E3817" t="s">
        <v>13</v>
      </c>
      <c r="F3817" t="s">
        <v>19</v>
      </c>
      <c r="G3817" t="s">
        <v>29</v>
      </c>
      <c r="K3817" cm="1">
        <f t="array" ref="K3817">_xlfn.SWITCH(LeadsData[[#This Row],[Funnel Stage Reached]],"Lead",1,"MQL",2,"SQL",3,"Customer",4)</f>
        <v>3</v>
      </c>
      <c r="L3817" t="str">
        <f>TEXT(LeadsData[[#This Row],[Signup Date]],"mmm-yyyy")</f>
        <v>Feb-2024</v>
      </c>
      <c r="M3817">
        <f>IF(LeadsData[[#This Row],[Stage Number]]&gt;=2,1,0)</f>
        <v>1</v>
      </c>
      <c r="N3817" s="2">
        <f>IF(LeadsData[[#This Row],[Stage Number]]&gt;=3,1,0)</f>
        <v>1</v>
      </c>
      <c r="O3817" s="2">
        <f>IF(LeadsData[[#This Row],[Stage Number]]&gt;=4,1,0)</f>
        <v>0</v>
      </c>
    </row>
    <row r="3818" spans="1:15" x14ac:dyDescent="0.25">
      <c r="A3818" t="s">
        <v>3858</v>
      </c>
      <c r="B3818" s="1">
        <v>45618</v>
      </c>
      <c r="C3818" t="s">
        <v>11</v>
      </c>
      <c r="D3818" t="s">
        <v>79</v>
      </c>
      <c r="E3818" t="s">
        <v>21</v>
      </c>
      <c r="F3818" t="s">
        <v>28</v>
      </c>
      <c r="G3818" t="s">
        <v>15</v>
      </c>
      <c r="K3818" cm="1">
        <f t="array" ref="K3818">_xlfn.SWITCH(LeadsData[[#This Row],[Funnel Stage Reached]],"Lead",1,"MQL",2,"SQL",3,"Customer",4)</f>
        <v>1</v>
      </c>
      <c r="L3818" t="str">
        <f>TEXT(LeadsData[[#This Row],[Signup Date]],"mmm-yyyy")</f>
        <v>Nov-2024</v>
      </c>
      <c r="M3818">
        <f>IF(LeadsData[[#This Row],[Stage Number]]&gt;=2,1,0)</f>
        <v>0</v>
      </c>
      <c r="N3818" s="2">
        <f>IF(LeadsData[[#This Row],[Stage Number]]&gt;=3,1,0)</f>
        <v>0</v>
      </c>
      <c r="O3818" s="2">
        <f>IF(LeadsData[[#This Row],[Stage Number]]&gt;=4,1,0)</f>
        <v>0</v>
      </c>
    </row>
    <row r="3819" spans="1:15" x14ac:dyDescent="0.25">
      <c r="A3819" t="s">
        <v>3859</v>
      </c>
      <c r="B3819" s="1">
        <v>45318</v>
      </c>
      <c r="C3819" t="s">
        <v>25</v>
      </c>
      <c r="D3819" t="s">
        <v>26</v>
      </c>
      <c r="E3819" t="s">
        <v>13</v>
      </c>
      <c r="F3819" t="s">
        <v>19</v>
      </c>
      <c r="G3819" t="s">
        <v>23</v>
      </c>
      <c r="K3819" cm="1">
        <f t="array" ref="K3819">_xlfn.SWITCH(LeadsData[[#This Row],[Funnel Stage Reached]],"Lead",1,"MQL",2,"SQL",3,"Customer",4)</f>
        <v>2</v>
      </c>
      <c r="L3819" t="str">
        <f>TEXT(LeadsData[[#This Row],[Signup Date]],"mmm-yyyy")</f>
        <v>Jan-2024</v>
      </c>
      <c r="M3819">
        <f>IF(LeadsData[[#This Row],[Stage Number]]&gt;=2,1,0)</f>
        <v>1</v>
      </c>
      <c r="N3819" s="2">
        <f>IF(LeadsData[[#This Row],[Stage Number]]&gt;=3,1,0)</f>
        <v>0</v>
      </c>
      <c r="O3819" s="2">
        <f>IF(LeadsData[[#This Row],[Stage Number]]&gt;=4,1,0)</f>
        <v>0</v>
      </c>
    </row>
    <row r="3820" spans="1:15" x14ac:dyDescent="0.25">
      <c r="A3820" t="s">
        <v>3860</v>
      </c>
      <c r="B3820" s="1">
        <v>45424</v>
      </c>
      <c r="C3820" t="s">
        <v>46</v>
      </c>
      <c r="D3820" t="s">
        <v>56</v>
      </c>
      <c r="E3820" t="s">
        <v>13</v>
      </c>
      <c r="F3820" t="s">
        <v>14</v>
      </c>
      <c r="G3820" t="s">
        <v>15</v>
      </c>
      <c r="K3820" cm="1">
        <f t="array" ref="K3820">_xlfn.SWITCH(LeadsData[[#This Row],[Funnel Stage Reached]],"Lead",1,"MQL",2,"SQL",3,"Customer",4)</f>
        <v>1</v>
      </c>
      <c r="L3820" t="str">
        <f>TEXT(LeadsData[[#This Row],[Signup Date]],"mmm-yyyy")</f>
        <v>May-2024</v>
      </c>
      <c r="M3820">
        <f>IF(LeadsData[[#This Row],[Stage Number]]&gt;=2,1,0)</f>
        <v>0</v>
      </c>
      <c r="N3820" s="2">
        <f>IF(LeadsData[[#This Row],[Stage Number]]&gt;=3,1,0)</f>
        <v>0</v>
      </c>
      <c r="O3820" s="2">
        <f>IF(LeadsData[[#This Row],[Stage Number]]&gt;=4,1,0)</f>
        <v>0</v>
      </c>
    </row>
    <row r="3821" spans="1:15" x14ac:dyDescent="0.25">
      <c r="A3821" t="s">
        <v>3861</v>
      </c>
      <c r="B3821" s="1">
        <v>45560</v>
      </c>
      <c r="C3821" t="s">
        <v>36</v>
      </c>
      <c r="D3821" t="s">
        <v>50</v>
      </c>
      <c r="E3821" t="s">
        <v>13</v>
      </c>
      <c r="F3821" t="s">
        <v>19</v>
      </c>
      <c r="G3821" t="s">
        <v>23</v>
      </c>
      <c r="K3821" cm="1">
        <f t="array" ref="K3821">_xlfn.SWITCH(LeadsData[[#This Row],[Funnel Stage Reached]],"Lead",1,"MQL",2,"SQL",3,"Customer",4)</f>
        <v>2</v>
      </c>
      <c r="L3821" t="str">
        <f>TEXT(LeadsData[[#This Row],[Signup Date]],"mmm-yyyy")</f>
        <v>Sep-2024</v>
      </c>
      <c r="M3821">
        <f>IF(LeadsData[[#This Row],[Stage Number]]&gt;=2,1,0)</f>
        <v>1</v>
      </c>
      <c r="N3821" s="2">
        <f>IF(LeadsData[[#This Row],[Stage Number]]&gt;=3,1,0)</f>
        <v>0</v>
      </c>
      <c r="O3821" s="2">
        <f>IF(LeadsData[[#This Row],[Stage Number]]&gt;=4,1,0)</f>
        <v>0</v>
      </c>
    </row>
    <row r="3822" spans="1:15" x14ac:dyDescent="0.25">
      <c r="A3822" t="s">
        <v>3862</v>
      </c>
      <c r="B3822" s="1">
        <v>45644</v>
      </c>
      <c r="C3822" t="s">
        <v>31</v>
      </c>
      <c r="D3822" t="s">
        <v>34</v>
      </c>
      <c r="E3822" t="s">
        <v>13</v>
      </c>
      <c r="F3822" t="s">
        <v>19</v>
      </c>
      <c r="G3822" t="s">
        <v>15</v>
      </c>
      <c r="K3822" cm="1">
        <f t="array" ref="K3822">_xlfn.SWITCH(LeadsData[[#This Row],[Funnel Stage Reached]],"Lead",1,"MQL",2,"SQL",3,"Customer",4)</f>
        <v>1</v>
      </c>
      <c r="L3822" t="str">
        <f>TEXT(LeadsData[[#This Row],[Signup Date]],"mmm-yyyy")</f>
        <v>Dec-2024</v>
      </c>
      <c r="M3822">
        <f>IF(LeadsData[[#This Row],[Stage Number]]&gt;=2,1,0)</f>
        <v>0</v>
      </c>
      <c r="N3822" s="2">
        <f>IF(LeadsData[[#This Row],[Stage Number]]&gt;=3,1,0)</f>
        <v>0</v>
      </c>
      <c r="O3822" s="2">
        <f>IF(LeadsData[[#This Row],[Stage Number]]&gt;=4,1,0)</f>
        <v>0</v>
      </c>
    </row>
    <row r="3823" spans="1:15" x14ac:dyDescent="0.25">
      <c r="A3823" t="s">
        <v>3863</v>
      </c>
      <c r="B3823" s="1">
        <v>45369</v>
      </c>
      <c r="C3823" t="s">
        <v>46</v>
      </c>
      <c r="D3823" t="s">
        <v>47</v>
      </c>
      <c r="E3823" t="s">
        <v>48</v>
      </c>
      <c r="F3823" t="s">
        <v>19</v>
      </c>
      <c r="G3823" t="s">
        <v>23</v>
      </c>
      <c r="K3823" cm="1">
        <f t="array" ref="K3823">_xlfn.SWITCH(LeadsData[[#This Row],[Funnel Stage Reached]],"Lead",1,"MQL",2,"SQL",3,"Customer",4)</f>
        <v>2</v>
      </c>
      <c r="L3823" t="str">
        <f>TEXT(LeadsData[[#This Row],[Signup Date]],"mmm-yyyy")</f>
        <v>Mar-2024</v>
      </c>
      <c r="M3823">
        <f>IF(LeadsData[[#This Row],[Stage Number]]&gt;=2,1,0)</f>
        <v>1</v>
      </c>
      <c r="N3823" s="2">
        <f>IF(LeadsData[[#This Row],[Stage Number]]&gt;=3,1,0)</f>
        <v>0</v>
      </c>
      <c r="O3823" s="2">
        <f>IF(LeadsData[[#This Row],[Stage Number]]&gt;=4,1,0)</f>
        <v>0</v>
      </c>
    </row>
    <row r="3824" spans="1:15" x14ac:dyDescent="0.25">
      <c r="A3824" t="s">
        <v>3864</v>
      </c>
      <c r="B3824" s="1">
        <v>45513</v>
      </c>
      <c r="C3824" t="s">
        <v>11</v>
      </c>
      <c r="D3824" t="s">
        <v>79</v>
      </c>
      <c r="E3824" t="s">
        <v>13</v>
      </c>
      <c r="F3824" t="s">
        <v>19</v>
      </c>
      <c r="G3824" t="s">
        <v>23</v>
      </c>
      <c r="K3824" cm="1">
        <f t="array" ref="K3824">_xlfn.SWITCH(LeadsData[[#This Row],[Funnel Stage Reached]],"Lead",1,"MQL",2,"SQL",3,"Customer",4)</f>
        <v>2</v>
      </c>
      <c r="L3824" t="str">
        <f>TEXT(LeadsData[[#This Row],[Signup Date]],"mmm-yyyy")</f>
        <v>Aug-2024</v>
      </c>
      <c r="M3824">
        <f>IF(LeadsData[[#This Row],[Stage Number]]&gt;=2,1,0)</f>
        <v>1</v>
      </c>
      <c r="N3824" s="2">
        <f>IF(LeadsData[[#This Row],[Stage Number]]&gt;=3,1,0)</f>
        <v>0</v>
      </c>
      <c r="O3824" s="2">
        <f>IF(LeadsData[[#This Row],[Stage Number]]&gt;=4,1,0)</f>
        <v>0</v>
      </c>
    </row>
    <row r="3825" spans="1:15" x14ac:dyDescent="0.25">
      <c r="A3825" t="s">
        <v>3865</v>
      </c>
      <c r="B3825" s="1">
        <v>45374</v>
      </c>
      <c r="C3825" t="s">
        <v>36</v>
      </c>
      <c r="D3825" t="s">
        <v>37</v>
      </c>
      <c r="E3825" t="s">
        <v>21</v>
      </c>
      <c r="F3825" t="s">
        <v>14</v>
      </c>
      <c r="G3825" t="s">
        <v>29</v>
      </c>
      <c r="K3825" cm="1">
        <f t="array" ref="K3825">_xlfn.SWITCH(LeadsData[[#This Row],[Funnel Stage Reached]],"Lead",1,"MQL",2,"SQL",3,"Customer",4)</f>
        <v>3</v>
      </c>
      <c r="L3825" t="str">
        <f>TEXT(LeadsData[[#This Row],[Signup Date]],"mmm-yyyy")</f>
        <v>Mar-2024</v>
      </c>
      <c r="M3825">
        <f>IF(LeadsData[[#This Row],[Stage Number]]&gt;=2,1,0)</f>
        <v>1</v>
      </c>
      <c r="N3825" s="2">
        <f>IF(LeadsData[[#This Row],[Stage Number]]&gt;=3,1,0)</f>
        <v>1</v>
      </c>
      <c r="O3825" s="2">
        <f>IF(LeadsData[[#This Row],[Stage Number]]&gt;=4,1,0)</f>
        <v>0</v>
      </c>
    </row>
    <row r="3826" spans="1:15" x14ac:dyDescent="0.25">
      <c r="A3826" t="s">
        <v>3866</v>
      </c>
      <c r="B3826" s="1">
        <v>45526</v>
      </c>
      <c r="C3826" t="s">
        <v>25</v>
      </c>
      <c r="D3826" t="s">
        <v>26</v>
      </c>
      <c r="E3826" t="s">
        <v>13</v>
      </c>
      <c r="F3826" t="s">
        <v>19</v>
      </c>
      <c r="G3826" t="s">
        <v>15</v>
      </c>
      <c r="K3826" cm="1">
        <f t="array" ref="K3826">_xlfn.SWITCH(LeadsData[[#This Row],[Funnel Stage Reached]],"Lead",1,"MQL",2,"SQL",3,"Customer",4)</f>
        <v>1</v>
      </c>
      <c r="L3826" t="str">
        <f>TEXT(LeadsData[[#This Row],[Signup Date]],"mmm-yyyy")</f>
        <v>Aug-2024</v>
      </c>
      <c r="M3826">
        <f>IF(LeadsData[[#This Row],[Stage Number]]&gt;=2,1,0)</f>
        <v>0</v>
      </c>
      <c r="N3826" s="2">
        <f>IF(LeadsData[[#This Row],[Stage Number]]&gt;=3,1,0)</f>
        <v>0</v>
      </c>
      <c r="O3826" s="2">
        <f>IF(LeadsData[[#This Row],[Stage Number]]&gt;=4,1,0)</f>
        <v>0</v>
      </c>
    </row>
    <row r="3827" spans="1:15" x14ac:dyDescent="0.25">
      <c r="A3827" t="s">
        <v>3867</v>
      </c>
      <c r="B3827" s="1">
        <v>45341</v>
      </c>
      <c r="C3827" t="s">
        <v>46</v>
      </c>
      <c r="D3827" t="s">
        <v>47</v>
      </c>
      <c r="E3827" t="s">
        <v>21</v>
      </c>
      <c r="F3827" t="s">
        <v>19</v>
      </c>
      <c r="G3827" t="s">
        <v>15</v>
      </c>
      <c r="K3827" cm="1">
        <f t="array" ref="K3827">_xlfn.SWITCH(LeadsData[[#This Row],[Funnel Stage Reached]],"Lead",1,"MQL",2,"SQL",3,"Customer",4)</f>
        <v>1</v>
      </c>
      <c r="L3827" t="str">
        <f>TEXT(LeadsData[[#This Row],[Signup Date]],"mmm-yyyy")</f>
        <v>Feb-2024</v>
      </c>
      <c r="M3827">
        <f>IF(LeadsData[[#This Row],[Stage Number]]&gt;=2,1,0)</f>
        <v>0</v>
      </c>
      <c r="N3827" s="2">
        <f>IF(LeadsData[[#This Row],[Stage Number]]&gt;=3,1,0)</f>
        <v>0</v>
      </c>
      <c r="O3827" s="2">
        <f>IF(LeadsData[[#This Row],[Stage Number]]&gt;=4,1,0)</f>
        <v>0</v>
      </c>
    </row>
    <row r="3828" spans="1:15" x14ac:dyDescent="0.25">
      <c r="A3828" t="s">
        <v>3868</v>
      </c>
      <c r="B3828" s="1">
        <v>45492</v>
      </c>
      <c r="C3828" t="s">
        <v>11</v>
      </c>
      <c r="D3828" t="s">
        <v>68</v>
      </c>
      <c r="E3828" t="s">
        <v>13</v>
      </c>
      <c r="F3828" t="s">
        <v>19</v>
      </c>
      <c r="G3828" t="s">
        <v>15</v>
      </c>
      <c r="K3828" cm="1">
        <f t="array" ref="K3828">_xlfn.SWITCH(LeadsData[[#This Row],[Funnel Stage Reached]],"Lead",1,"MQL",2,"SQL",3,"Customer",4)</f>
        <v>1</v>
      </c>
      <c r="L3828" t="str">
        <f>TEXT(LeadsData[[#This Row],[Signup Date]],"mmm-yyyy")</f>
        <v>Jul-2024</v>
      </c>
      <c r="M3828">
        <f>IF(LeadsData[[#This Row],[Stage Number]]&gt;=2,1,0)</f>
        <v>0</v>
      </c>
      <c r="N3828" s="2">
        <f>IF(LeadsData[[#This Row],[Stage Number]]&gt;=3,1,0)</f>
        <v>0</v>
      </c>
      <c r="O3828" s="2">
        <f>IF(LeadsData[[#This Row],[Stage Number]]&gt;=4,1,0)</f>
        <v>0</v>
      </c>
    </row>
    <row r="3829" spans="1:15" x14ac:dyDescent="0.25">
      <c r="A3829" t="s">
        <v>3869</v>
      </c>
      <c r="B3829" s="1">
        <v>45591</v>
      </c>
      <c r="C3829" t="s">
        <v>36</v>
      </c>
      <c r="D3829" t="s">
        <v>37</v>
      </c>
      <c r="E3829" t="s">
        <v>13</v>
      </c>
      <c r="F3829" t="s">
        <v>19</v>
      </c>
      <c r="G3829" t="s">
        <v>29</v>
      </c>
      <c r="K3829" cm="1">
        <f t="array" ref="K3829">_xlfn.SWITCH(LeadsData[[#This Row],[Funnel Stage Reached]],"Lead",1,"MQL",2,"SQL",3,"Customer",4)</f>
        <v>3</v>
      </c>
      <c r="L3829" t="str">
        <f>TEXT(LeadsData[[#This Row],[Signup Date]],"mmm-yyyy")</f>
        <v>Oct-2024</v>
      </c>
      <c r="M3829">
        <f>IF(LeadsData[[#This Row],[Stage Number]]&gt;=2,1,0)</f>
        <v>1</v>
      </c>
      <c r="N3829" s="2">
        <f>IF(LeadsData[[#This Row],[Stage Number]]&gt;=3,1,0)</f>
        <v>1</v>
      </c>
      <c r="O3829" s="2">
        <f>IF(LeadsData[[#This Row],[Stage Number]]&gt;=4,1,0)</f>
        <v>0</v>
      </c>
    </row>
    <row r="3830" spans="1:15" x14ac:dyDescent="0.25">
      <c r="A3830" t="s">
        <v>3870</v>
      </c>
      <c r="B3830" s="1">
        <v>45399</v>
      </c>
      <c r="C3830" t="s">
        <v>31</v>
      </c>
      <c r="D3830" t="s">
        <v>34</v>
      </c>
      <c r="E3830" t="s">
        <v>13</v>
      </c>
      <c r="F3830" t="s">
        <v>19</v>
      </c>
      <c r="G3830" t="s">
        <v>15</v>
      </c>
      <c r="K3830" cm="1">
        <f t="array" ref="K3830">_xlfn.SWITCH(LeadsData[[#This Row],[Funnel Stage Reached]],"Lead",1,"MQL",2,"SQL",3,"Customer",4)</f>
        <v>1</v>
      </c>
      <c r="L3830" t="str">
        <f>TEXT(LeadsData[[#This Row],[Signup Date]],"mmm-yyyy")</f>
        <v>Apr-2024</v>
      </c>
      <c r="M3830">
        <f>IF(LeadsData[[#This Row],[Stage Number]]&gt;=2,1,0)</f>
        <v>0</v>
      </c>
      <c r="N3830" s="2">
        <f>IF(LeadsData[[#This Row],[Stage Number]]&gt;=3,1,0)</f>
        <v>0</v>
      </c>
      <c r="O3830" s="2">
        <f>IF(LeadsData[[#This Row],[Stage Number]]&gt;=4,1,0)</f>
        <v>0</v>
      </c>
    </row>
    <row r="3831" spans="1:15" x14ac:dyDescent="0.25">
      <c r="A3831" t="s">
        <v>3871</v>
      </c>
      <c r="B3831" s="1">
        <v>45635</v>
      </c>
      <c r="C3831" t="s">
        <v>31</v>
      </c>
      <c r="D3831" t="s">
        <v>32</v>
      </c>
      <c r="E3831" t="s">
        <v>21</v>
      </c>
      <c r="F3831" t="s">
        <v>14</v>
      </c>
      <c r="G3831" t="s">
        <v>29</v>
      </c>
      <c r="K3831" cm="1">
        <f t="array" ref="K3831">_xlfn.SWITCH(LeadsData[[#This Row],[Funnel Stage Reached]],"Lead",1,"MQL",2,"SQL",3,"Customer",4)</f>
        <v>3</v>
      </c>
      <c r="L3831" t="str">
        <f>TEXT(LeadsData[[#This Row],[Signup Date]],"mmm-yyyy")</f>
        <v>Dec-2024</v>
      </c>
      <c r="M3831">
        <f>IF(LeadsData[[#This Row],[Stage Number]]&gt;=2,1,0)</f>
        <v>1</v>
      </c>
      <c r="N3831" s="2">
        <f>IF(LeadsData[[#This Row],[Stage Number]]&gt;=3,1,0)</f>
        <v>1</v>
      </c>
      <c r="O3831" s="2">
        <f>IF(LeadsData[[#This Row],[Stage Number]]&gt;=4,1,0)</f>
        <v>0</v>
      </c>
    </row>
    <row r="3832" spans="1:15" x14ac:dyDescent="0.25">
      <c r="A3832" t="s">
        <v>3872</v>
      </c>
      <c r="B3832" s="1">
        <v>45618</v>
      </c>
      <c r="C3832" t="s">
        <v>36</v>
      </c>
      <c r="D3832" t="s">
        <v>37</v>
      </c>
      <c r="E3832" t="s">
        <v>48</v>
      </c>
      <c r="F3832" t="s">
        <v>14</v>
      </c>
      <c r="G3832" t="s">
        <v>23</v>
      </c>
      <c r="K3832" cm="1">
        <f t="array" ref="K3832">_xlfn.SWITCH(LeadsData[[#This Row],[Funnel Stage Reached]],"Lead",1,"MQL",2,"SQL",3,"Customer",4)</f>
        <v>2</v>
      </c>
      <c r="L3832" t="str">
        <f>TEXT(LeadsData[[#This Row],[Signup Date]],"mmm-yyyy")</f>
        <v>Nov-2024</v>
      </c>
      <c r="M3832">
        <f>IF(LeadsData[[#This Row],[Stage Number]]&gt;=2,1,0)</f>
        <v>1</v>
      </c>
      <c r="N3832" s="2">
        <f>IF(LeadsData[[#This Row],[Stage Number]]&gt;=3,1,0)</f>
        <v>0</v>
      </c>
      <c r="O3832" s="2">
        <f>IF(LeadsData[[#This Row],[Stage Number]]&gt;=4,1,0)</f>
        <v>0</v>
      </c>
    </row>
    <row r="3833" spans="1:15" x14ac:dyDescent="0.25">
      <c r="A3833" t="s">
        <v>3873</v>
      </c>
      <c r="B3833" s="1">
        <v>45622</v>
      </c>
      <c r="C3833" t="s">
        <v>46</v>
      </c>
      <c r="D3833" t="s">
        <v>56</v>
      </c>
      <c r="E3833" t="s">
        <v>21</v>
      </c>
      <c r="F3833" t="s">
        <v>22</v>
      </c>
      <c r="G3833" t="s">
        <v>23</v>
      </c>
      <c r="K3833" cm="1">
        <f t="array" ref="K3833">_xlfn.SWITCH(LeadsData[[#This Row],[Funnel Stage Reached]],"Lead",1,"MQL",2,"SQL",3,"Customer",4)</f>
        <v>2</v>
      </c>
      <c r="L3833" t="str">
        <f>TEXT(LeadsData[[#This Row],[Signup Date]],"mmm-yyyy")</f>
        <v>Nov-2024</v>
      </c>
      <c r="M3833">
        <f>IF(LeadsData[[#This Row],[Stage Number]]&gt;=2,1,0)</f>
        <v>1</v>
      </c>
      <c r="N3833" s="2">
        <f>IF(LeadsData[[#This Row],[Stage Number]]&gt;=3,1,0)</f>
        <v>0</v>
      </c>
      <c r="O3833" s="2">
        <f>IF(LeadsData[[#This Row],[Stage Number]]&gt;=4,1,0)</f>
        <v>0</v>
      </c>
    </row>
    <row r="3834" spans="1:15" x14ac:dyDescent="0.25">
      <c r="A3834" t="s">
        <v>3874</v>
      </c>
      <c r="B3834" s="1">
        <v>45629</v>
      </c>
      <c r="C3834" t="s">
        <v>31</v>
      </c>
      <c r="D3834" t="s">
        <v>34</v>
      </c>
      <c r="E3834" t="s">
        <v>13</v>
      </c>
      <c r="F3834" t="s">
        <v>22</v>
      </c>
      <c r="G3834" t="s">
        <v>23</v>
      </c>
      <c r="K3834" cm="1">
        <f t="array" ref="K3834">_xlfn.SWITCH(LeadsData[[#This Row],[Funnel Stage Reached]],"Lead",1,"MQL",2,"SQL",3,"Customer",4)</f>
        <v>2</v>
      </c>
      <c r="L3834" t="str">
        <f>TEXT(LeadsData[[#This Row],[Signup Date]],"mmm-yyyy")</f>
        <v>Dec-2024</v>
      </c>
      <c r="M3834">
        <f>IF(LeadsData[[#This Row],[Stage Number]]&gt;=2,1,0)</f>
        <v>1</v>
      </c>
      <c r="N3834" s="2">
        <f>IF(LeadsData[[#This Row],[Stage Number]]&gt;=3,1,0)</f>
        <v>0</v>
      </c>
      <c r="O3834" s="2">
        <f>IF(LeadsData[[#This Row],[Stage Number]]&gt;=4,1,0)</f>
        <v>0</v>
      </c>
    </row>
    <row r="3835" spans="1:15" x14ac:dyDescent="0.25">
      <c r="A3835" t="s">
        <v>3875</v>
      </c>
      <c r="B3835" s="1">
        <v>45397</v>
      </c>
      <c r="C3835" t="s">
        <v>17</v>
      </c>
      <c r="D3835" t="s">
        <v>53</v>
      </c>
      <c r="E3835" t="s">
        <v>13</v>
      </c>
      <c r="F3835" t="s">
        <v>22</v>
      </c>
      <c r="G3835" t="s">
        <v>15</v>
      </c>
      <c r="K3835" cm="1">
        <f t="array" ref="K3835">_xlfn.SWITCH(LeadsData[[#This Row],[Funnel Stage Reached]],"Lead",1,"MQL",2,"SQL",3,"Customer",4)</f>
        <v>1</v>
      </c>
      <c r="L3835" t="str">
        <f>TEXT(LeadsData[[#This Row],[Signup Date]],"mmm-yyyy")</f>
        <v>Apr-2024</v>
      </c>
      <c r="M3835">
        <f>IF(LeadsData[[#This Row],[Stage Number]]&gt;=2,1,0)</f>
        <v>0</v>
      </c>
      <c r="N3835" s="2">
        <f>IF(LeadsData[[#This Row],[Stage Number]]&gt;=3,1,0)</f>
        <v>0</v>
      </c>
      <c r="O3835" s="2">
        <f>IF(LeadsData[[#This Row],[Stage Number]]&gt;=4,1,0)</f>
        <v>0</v>
      </c>
    </row>
    <row r="3836" spans="1:15" x14ac:dyDescent="0.25">
      <c r="A3836" t="s">
        <v>3876</v>
      </c>
      <c r="B3836" s="1">
        <v>45439</v>
      </c>
      <c r="C3836" t="s">
        <v>11</v>
      </c>
      <c r="D3836" t="s">
        <v>79</v>
      </c>
      <c r="E3836" t="s">
        <v>13</v>
      </c>
      <c r="F3836" t="s">
        <v>22</v>
      </c>
      <c r="G3836" t="s">
        <v>23</v>
      </c>
      <c r="K3836" cm="1">
        <f t="array" ref="K3836">_xlfn.SWITCH(LeadsData[[#This Row],[Funnel Stage Reached]],"Lead",1,"MQL",2,"SQL",3,"Customer",4)</f>
        <v>2</v>
      </c>
      <c r="L3836" t="str">
        <f>TEXT(LeadsData[[#This Row],[Signup Date]],"mmm-yyyy")</f>
        <v>May-2024</v>
      </c>
      <c r="M3836">
        <f>IF(LeadsData[[#This Row],[Stage Number]]&gt;=2,1,0)</f>
        <v>1</v>
      </c>
      <c r="N3836" s="2">
        <f>IF(LeadsData[[#This Row],[Stage Number]]&gt;=3,1,0)</f>
        <v>0</v>
      </c>
      <c r="O3836" s="2">
        <f>IF(LeadsData[[#This Row],[Stage Number]]&gt;=4,1,0)</f>
        <v>0</v>
      </c>
    </row>
    <row r="3837" spans="1:15" x14ac:dyDescent="0.25">
      <c r="A3837" t="s">
        <v>3877</v>
      </c>
      <c r="B3837" s="1">
        <v>45335</v>
      </c>
      <c r="C3837" t="s">
        <v>17</v>
      </c>
      <c r="D3837" t="s">
        <v>18</v>
      </c>
      <c r="E3837" t="s">
        <v>13</v>
      </c>
      <c r="F3837" t="s">
        <v>19</v>
      </c>
      <c r="G3837" t="s">
        <v>15</v>
      </c>
      <c r="K3837" cm="1">
        <f t="array" ref="K3837">_xlfn.SWITCH(LeadsData[[#This Row],[Funnel Stage Reached]],"Lead",1,"MQL",2,"SQL",3,"Customer",4)</f>
        <v>1</v>
      </c>
      <c r="L3837" t="str">
        <f>TEXT(LeadsData[[#This Row],[Signup Date]],"mmm-yyyy")</f>
        <v>Feb-2024</v>
      </c>
      <c r="M3837">
        <f>IF(LeadsData[[#This Row],[Stage Number]]&gt;=2,1,0)</f>
        <v>0</v>
      </c>
      <c r="N3837" s="2">
        <f>IF(LeadsData[[#This Row],[Stage Number]]&gt;=3,1,0)</f>
        <v>0</v>
      </c>
      <c r="O3837" s="2">
        <f>IF(LeadsData[[#This Row],[Stage Number]]&gt;=4,1,0)</f>
        <v>0</v>
      </c>
    </row>
    <row r="3838" spans="1:15" x14ac:dyDescent="0.25">
      <c r="A3838" t="s">
        <v>3878</v>
      </c>
      <c r="B3838" s="1">
        <v>45640</v>
      </c>
      <c r="C3838" t="s">
        <v>31</v>
      </c>
      <c r="D3838" t="s">
        <v>34</v>
      </c>
      <c r="E3838" t="s">
        <v>13</v>
      </c>
      <c r="F3838" t="s">
        <v>22</v>
      </c>
      <c r="G3838" t="s">
        <v>15</v>
      </c>
      <c r="K3838" cm="1">
        <f t="array" ref="K3838">_xlfn.SWITCH(LeadsData[[#This Row],[Funnel Stage Reached]],"Lead",1,"MQL",2,"SQL",3,"Customer",4)</f>
        <v>1</v>
      </c>
      <c r="L3838" t="str">
        <f>TEXT(LeadsData[[#This Row],[Signup Date]],"mmm-yyyy")</f>
        <v>Dec-2024</v>
      </c>
      <c r="M3838">
        <f>IF(LeadsData[[#This Row],[Stage Number]]&gt;=2,1,0)</f>
        <v>0</v>
      </c>
      <c r="N3838" s="2">
        <f>IF(LeadsData[[#This Row],[Stage Number]]&gt;=3,1,0)</f>
        <v>0</v>
      </c>
      <c r="O3838" s="2">
        <f>IF(LeadsData[[#This Row],[Stage Number]]&gt;=4,1,0)</f>
        <v>0</v>
      </c>
    </row>
    <row r="3839" spans="1:15" x14ac:dyDescent="0.25">
      <c r="A3839" t="s">
        <v>3879</v>
      </c>
      <c r="B3839" s="1">
        <v>45511</v>
      </c>
      <c r="C3839" t="s">
        <v>31</v>
      </c>
      <c r="D3839" t="s">
        <v>32</v>
      </c>
      <c r="E3839" t="s">
        <v>13</v>
      </c>
      <c r="F3839" t="s">
        <v>19</v>
      </c>
      <c r="G3839" t="s">
        <v>42</v>
      </c>
      <c r="H3839">
        <v>45</v>
      </c>
      <c r="I3839" t="s">
        <v>43</v>
      </c>
      <c r="J3839">
        <v>1478.89</v>
      </c>
      <c r="K3839" cm="1">
        <f t="array" ref="K3839">_xlfn.SWITCH(LeadsData[[#This Row],[Funnel Stage Reached]],"Lead",1,"MQL",2,"SQL",3,"Customer",4)</f>
        <v>4</v>
      </c>
      <c r="L3839" t="str">
        <f>TEXT(LeadsData[[#This Row],[Signup Date]],"mmm-yyyy")</f>
        <v>Aug-2024</v>
      </c>
      <c r="M3839">
        <f>IF(LeadsData[[#This Row],[Stage Number]]&gt;=2,1,0)</f>
        <v>1</v>
      </c>
      <c r="N3839" s="2">
        <f>IF(LeadsData[[#This Row],[Stage Number]]&gt;=3,1,0)</f>
        <v>1</v>
      </c>
      <c r="O3839" s="2">
        <f>IF(LeadsData[[#This Row],[Stage Number]]&gt;=4,1,0)</f>
        <v>1</v>
      </c>
    </row>
    <row r="3840" spans="1:15" x14ac:dyDescent="0.25">
      <c r="A3840" t="s">
        <v>3880</v>
      </c>
      <c r="B3840" s="1">
        <v>45375</v>
      </c>
      <c r="C3840" t="s">
        <v>46</v>
      </c>
      <c r="D3840" t="s">
        <v>47</v>
      </c>
      <c r="E3840" t="s">
        <v>21</v>
      </c>
      <c r="F3840" t="s">
        <v>19</v>
      </c>
      <c r="G3840" t="s">
        <v>15</v>
      </c>
      <c r="K3840" cm="1">
        <f t="array" ref="K3840">_xlfn.SWITCH(LeadsData[[#This Row],[Funnel Stage Reached]],"Lead",1,"MQL",2,"SQL",3,"Customer",4)</f>
        <v>1</v>
      </c>
      <c r="L3840" t="str">
        <f>TEXT(LeadsData[[#This Row],[Signup Date]],"mmm-yyyy")</f>
        <v>Mar-2024</v>
      </c>
      <c r="M3840">
        <f>IF(LeadsData[[#This Row],[Stage Number]]&gt;=2,1,0)</f>
        <v>0</v>
      </c>
      <c r="N3840" s="2">
        <f>IF(LeadsData[[#This Row],[Stage Number]]&gt;=3,1,0)</f>
        <v>0</v>
      </c>
      <c r="O3840" s="2">
        <f>IF(LeadsData[[#This Row],[Stage Number]]&gt;=4,1,0)</f>
        <v>0</v>
      </c>
    </row>
    <row r="3841" spans="1:15" x14ac:dyDescent="0.25">
      <c r="A3841" t="s">
        <v>3881</v>
      </c>
      <c r="B3841" s="1">
        <v>45610</v>
      </c>
      <c r="C3841" t="s">
        <v>31</v>
      </c>
      <c r="D3841" t="s">
        <v>34</v>
      </c>
      <c r="E3841" t="s">
        <v>21</v>
      </c>
      <c r="F3841" t="s">
        <v>19</v>
      </c>
      <c r="G3841" t="s">
        <v>23</v>
      </c>
      <c r="K3841" cm="1">
        <f t="array" ref="K3841">_xlfn.SWITCH(LeadsData[[#This Row],[Funnel Stage Reached]],"Lead",1,"MQL",2,"SQL",3,"Customer",4)</f>
        <v>2</v>
      </c>
      <c r="L3841" t="str">
        <f>TEXT(LeadsData[[#This Row],[Signup Date]],"mmm-yyyy")</f>
        <v>Nov-2024</v>
      </c>
      <c r="M3841">
        <f>IF(LeadsData[[#This Row],[Stage Number]]&gt;=2,1,0)</f>
        <v>1</v>
      </c>
      <c r="N3841" s="2">
        <f>IF(LeadsData[[#This Row],[Stage Number]]&gt;=3,1,0)</f>
        <v>0</v>
      </c>
      <c r="O3841" s="2">
        <f>IF(LeadsData[[#This Row],[Stage Number]]&gt;=4,1,0)</f>
        <v>0</v>
      </c>
    </row>
    <row r="3842" spans="1:15" x14ac:dyDescent="0.25">
      <c r="A3842" t="s">
        <v>3882</v>
      </c>
      <c r="B3842" s="1">
        <v>45306</v>
      </c>
      <c r="C3842" t="s">
        <v>17</v>
      </c>
      <c r="D3842" t="s">
        <v>53</v>
      </c>
      <c r="E3842" t="s">
        <v>13</v>
      </c>
      <c r="F3842" t="s">
        <v>22</v>
      </c>
      <c r="G3842" t="s">
        <v>15</v>
      </c>
      <c r="K3842" cm="1">
        <f t="array" ref="K3842">_xlfn.SWITCH(LeadsData[[#This Row],[Funnel Stage Reached]],"Lead",1,"MQL",2,"SQL",3,"Customer",4)</f>
        <v>1</v>
      </c>
      <c r="L3842" t="str">
        <f>TEXT(LeadsData[[#This Row],[Signup Date]],"mmm-yyyy")</f>
        <v>Jan-2024</v>
      </c>
      <c r="M3842">
        <f>IF(LeadsData[[#This Row],[Stage Number]]&gt;=2,1,0)</f>
        <v>0</v>
      </c>
      <c r="N3842" s="2">
        <f>IF(LeadsData[[#This Row],[Stage Number]]&gt;=3,1,0)</f>
        <v>0</v>
      </c>
      <c r="O3842" s="2">
        <f>IF(LeadsData[[#This Row],[Stage Number]]&gt;=4,1,0)</f>
        <v>0</v>
      </c>
    </row>
    <row r="3843" spans="1:15" x14ac:dyDescent="0.25">
      <c r="A3843" t="s">
        <v>3883</v>
      </c>
      <c r="B3843" s="1">
        <v>45396</v>
      </c>
      <c r="C3843" t="s">
        <v>11</v>
      </c>
      <c r="D3843" t="s">
        <v>12</v>
      </c>
      <c r="E3843" t="s">
        <v>13</v>
      </c>
      <c r="F3843" t="s">
        <v>19</v>
      </c>
      <c r="G3843" t="s">
        <v>15</v>
      </c>
      <c r="K3843" cm="1">
        <f t="array" ref="K3843">_xlfn.SWITCH(LeadsData[[#This Row],[Funnel Stage Reached]],"Lead",1,"MQL",2,"SQL",3,"Customer",4)</f>
        <v>1</v>
      </c>
      <c r="L3843" t="str">
        <f>TEXT(LeadsData[[#This Row],[Signup Date]],"mmm-yyyy")</f>
        <v>Apr-2024</v>
      </c>
      <c r="M3843">
        <f>IF(LeadsData[[#This Row],[Stage Number]]&gt;=2,1,0)</f>
        <v>0</v>
      </c>
      <c r="N3843" s="2">
        <f>IF(LeadsData[[#This Row],[Stage Number]]&gt;=3,1,0)</f>
        <v>0</v>
      </c>
      <c r="O3843" s="2">
        <f>IF(LeadsData[[#This Row],[Stage Number]]&gt;=4,1,0)</f>
        <v>0</v>
      </c>
    </row>
    <row r="3844" spans="1:15" x14ac:dyDescent="0.25">
      <c r="A3844" t="s">
        <v>3884</v>
      </c>
      <c r="B3844" s="1">
        <v>45432</v>
      </c>
      <c r="C3844" t="s">
        <v>11</v>
      </c>
      <c r="D3844" t="s">
        <v>79</v>
      </c>
      <c r="E3844" t="s">
        <v>13</v>
      </c>
      <c r="F3844" t="s">
        <v>22</v>
      </c>
      <c r="G3844" t="s">
        <v>15</v>
      </c>
      <c r="K3844" cm="1">
        <f t="array" ref="K3844">_xlfn.SWITCH(LeadsData[[#This Row],[Funnel Stage Reached]],"Lead",1,"MQL",2,"SQL",3,"Customer",4)</f>
        <v>1</v>
      </c>
      <c r="L3844" t="str">
        <f>TEXT(LeadsData[[#This Row],[Signup Date]],"mmm-yyyy")</f>
        <v>May-2024</v>
      </c>
      <c r="M3844">
        <f>IF(LeadsData[[#This Row],[Stage Number]]&gt;=2,1,0)</f>
        <v>0</v>
      </c>
      <c r="N3844" s="2">
        <f>IF(LeadsData[[#This Row],[Stage Number]]&gt;=3,1,0)</f>
        <v>0</v>
      </c>
      <c r="O3844" s="2">
        <f>IF(LeadsData[[#This Row],[Stage Number]]&gt;=4,1,0)</f>
        <v>0</v>
      </c>
    </row>
    <row r="3845" spans="1:15" x14ac:dyDescent="0.25">
      <c r="A3845" t="s">
        <v>3885</v>
      </c>
      <c r="B3845" s="1">
        <v>45631</v>
      </c>
      <c r="C3845" t="s">
        <v>36</v>
      </c>
      <c r="D3845" t="s">
        <v>50</v>
      </c>
      <c r="E3845" t="s">
        <v>13</v>
      </c>
      <c r="F3845" t="s">
        <v>19</v>
      </c>
      <c r="G3845" t="s">
        <v>15</v>
      </c>
      <c r="K3845" cm="1">
        <f t="array" ref="K3845">_xlfn.SWITCH(LeadsData[[#This Row],[Funnel Stage Reached]],"Lead",1,"MQL",2,"SQL",3,"Customer",4)</f>
        <v>1</v>
      </c>
      <c r="L3845" t="str">
        <f>TEXT(LeadsData[[#This Row],[Signup Date]],"mmm-yyyy")</f>
        <v>Dec-2024</v>
      </c>
      <c r="M3845">
        <f>IF(LeadsData[[#This Row],[Stage Number]]&gt;=2,1,0)</f>
        <v>0</v>
      </c>
      <c r="N3845" s="2">
        <f>IF(LeadsData[[#This Row],[Stage Number]]&gt;=3,1,0)</f>
        <v>0</v>
      </c>
      <c r="O3845" s="2">
        <f>IF(LeadsData[[#This Row],[Stage Number]]&gt;=4,1,0)</f>
        <v>0</v>
      </c>
    </row>
    <row r="3846" spans="1:15" x14ac:dyDescent="0.25">
      <c r="A3846" t="s">
        <v>3886</v>
      </c>
      <c r="B3846" s="1">
        <v>45604</v>
      </c>
      <c r="C3846" t="s">
        <v>25</v>
      </c>
      <c r="D3846" t="s">
        <v>26</v>
      </c>
      <c r="E3846" t="s">
        <v>21</v>
      </c>
      <c r="F3846" t="s">
        <v>19</v>
      </c>
      <c r="G3846" t="s">
        <v>23</v>
      </c>
      <c r="K3846" cm="1">
        <f t="array" ref="K3846">_xlfn.SWITCH(LeadsData[[#This Row],[Funnel Stage Reached]],"Lead",1,"MQL",2,"SQL",3,"Customer",4)</f>
        <v>2</v>
      </c>
      <c r="L3846" t="str">
        <f>TEXT(LeadsData[[#This Row],[Signup Date]],"mmm-yyyy")</f>
        <v>Nov-2024</v>
      </c>
      <c r="M3846">
        <f>IF(LeadsData[[#This Row],[Stage Number]]&gt;=2,1,0)</f>
        <v>1</v>
      </c>
      <c r="N3846" s="2">
        <f>IF(LeadsData[[#This Row],[Stage Number]]&gt;=3,1,0)</f>
        <v>0</v>
      </c>
      <c r="O3846" s="2">
        <f>IF(LeadsData[[#This Row],[Stage Number]]&gt;=4,1,0)</f>
        <v>0</v>
      </c>
    </row>
    <row r="3847" spans="1:15" x14ac:dyDescent="0.25">
      <c r="A3847" t="s">
        <v>3887</v>
      </c>
      <c r="B3847" s="1">
        <v>45373</v>
      </c>
      <c r="C3847" t="s">
        <v>17</v>
      </c>
      <c r="D3847" t="s">
        <v>18</v>
      </c>
      <c r="E3847" t="s">
        <v>13</v>
      </c>
      <c r="F3847" t="s">
        <v>19</v>
      </c>
      <c r="G3847" t="s">
        <v>15</v>
      </c>
      <c r="K3847" cm="1">
        <f t="array" ref="K3847">_xlfn.SWITCH(LeadsData[[#This Row],[Funnel Stage Reached]],"Lead",1,"MQL",2,"SQL",3,"Customer",4)</f>
        <v>1</v>
      </c>
      <c r="L3847" t="str">
        <f>TEXT(LeadsData[[#This Row],[Signup Date]],"mmm-yyyy")</f>
        <v>Mar-2024</v>
      </c>
      <c r="M3847">
        <f>IF(LeadsData[[#This Row],[Stage Number]]&gt;=2,1,0)</f>
        <v>0</v>
      </c>
      <c r="N3847" s="2">
        <f>IF(LeadsData[[#This Row],[Stage Number]]&gt;=3,1,0)</f>
        <v>0</v>
      </c>
      <c r="O3847" s="2">
        <f>IF(LeadsData[[#This Row],[Stage Number]]&gt;=4,1,0)</f>
        <v>0</v>
      </c>
    </row>
    <row r="3848" spans="1:15" x14ac:dyDescent="0.25">
      <c r="A3848" t="s">
        <v>3888</v>
      </c>
      <c r="B3848" s="1">
        <v>45296</v>
      </c>
      <c r="C3848" t="s">
        <v>17</v>
      </c>
      <c r="D3848" t="s">
        <v>53</v>
      </c>
      <c r="E3848" t="s">
        <v>48</v>
      </c>
      <c r="F3848" t="s">
        <v>19</v>
      </c>
      <c r="G3848" t="s">
        <v>15</v>
      </c>
      <c r="K3848" cm="1">
        <f t="array" ref="K3848">_xlfn.SWITCH(LeadsData[[#This Row],[Funnel Stage Reached]],"Lead",1,"MQL",2,"SQL",3,"Customer",4)</f>
        <v>1</v>
      </c>
      <c r="L3848" t="str">
        <f>TEXT(LeadsData[[#This Row],[Signup Date]],"mmm-yyyy")</f>
        <v>Jan-2024</v>
      </c>
      <c r="M3848">
        <f>IF(LeadsData[[#This Row],[Stage Number]]&gt;=2,1,0)</f>
        <v>0</v>
      </c>
      <c r="N3848" s="2">
        <f>IF(LeadsData[[#This Row],[Stage Number]]&gt;=3,1,0)</f>
        <v>0</v>
      </c>
      <c r="O3848" s="2">
        <f>IF(LeadsData[[#This Row],[Stage Number]]&gt;=4,1,0)</f>
        <v>0</v>
      </c>
    </row>
    <row r="3849" spans="1:15" x14ac:dyDescent="0.25">
      <c r="A3849" t="s">
        <v>3889</v>
      </c>
      <c r="B3849" s="1">
        <v>45427</v>
      </c>
      <c r="C3849" t="s">
        <v>31</v>
      </c>
      <c r="D3849" t="s">
        <v>32</v>
      </c>
      <c r="E3849" t="s">
        <v>13</v>
      </c>
      <c r="F3849" t="s">
        <v>14</v>
      </c>
      <c r="G3849" t="s">
        <v>15</v>
      </c>
      <c r="K3849" cm="1">
        <f t="array" ref="K3849">_xlfn.SWITCH(LeadsData[[#This Row],[Funnel Stage Reached]],"Lead",1,"MQL",2,"SQL",3,"Customer",4)</f>
        <v>1</v>
      </c>
      <c r="L3849" t="str">
        <f>TEXT(LeadsData[[#This Row],[Signup Date]],"mmm-yyyy")</f>
        <v>May-2024</v>
      </c>
      <c r="M3849">
        <f>IF(LeadsData[[#This Row],[Stage Number]]&gt;=2,1,0)</f>
        <v>0</v>
      </c>
      <c r="N3849" s="2">
        <f>IF(LeadsData[[#This Row],[Stage Number]]&gt;=3,1,0)</f>
        <v>0</v>
      </c>
      <c r="O3849" s="2">
        <f>IF(LeadsData[[#This Row],[Stage Number]]&gt;=4,1,0)</f>
        <v>0</v>
      </c>
    </row>
    <row r="3850" spans="1:15" x14ac:dyDescent="0.25">
      <c r="A3850" t="s">
        <v>3890</v>
      </c>
      <c r="B3850" s="1">
        <v>45549</v>
      </c>
      <c r="C3850" t="s">
        <v>31</v>
      </c>
      <c r="D3850" t="s">
        <v>34</v>
      </c>
      <c r="E3850" t="s">
        <v>13</v>
      </c>
      <c r="F3850" t="s">
        <v>22</v>
      </c>
      <c r="G3850" t="s">
        <v>15</v>
      </c>
      <c r="K3850" cm="1">
        <f t="array" ref="K3850">_xlfn.SWITCH(LeadsData[[#This Row],[Funnel Stage Reached]],"Lead",1,"MQL",2,"SQL",3,"Customer",4)</f>
        <v>1</v>
      </c>
      <c r="L3850" t="str">
        <f>TEXT(LeadsData[[#This Row],[Signup Date]],"mmm-yyyy")</f>
        <v>Sep-2024</v>
      </c>
      <c r="M3850">
        <f>IF(LeadsData[[#This Row],[Stage Number]]&gt;=2,1,0)</f>
        <v>0</v>
      </c>
      <c r="N3850" s="2">
        <f>IF(LeadsData[[#This Row],[Stage Number]]&gt;=3,1,0)</f>
        <v>0</v>
      </c>
      <c r="O3850" s="2">
        <f>IF(LeadsData[[#This Row],[Stage Number]]&gt;=4,1,0)</f>
        <v>0</v>
      </c>
    </row>
    <row r="3851" spans="1:15" x14ac:dyDescent="0.25">
      <c r="A3851" t="s">
        <v>3891</v>
      </c>
      <c r="B3851" s="1">
        <v>45547</v>
      </c>
      <c r="C3851" t="s">
        <v>25</v>
      </c>
      <c r="D3851" t="s">
        <v>26</v>
      </c>
      <c r="E3851" t="s">
        <v>21</v>
      </c>
      <c r="F3851" t="s">
        <v>19</v>
      </c>
      <c r="G3851" t="s">
        <v>15</v>
      </c>
      <c r="K3851" cm="1">
        <f t="array" ref="K3851">_xlfn.SWITCH(LeadsData[[#This Row],[Funnel Stage Reached]],"Lead",1,"MQL",2,"SQL",3,"Customer",4)</f>
        <v>1</v>
      </c>
      <c r="L3851" t="str">
        <f>TEXT(LeadsData[[#This Row],[Signup Date]],"mmm-yyyy")</f>
        <v>Sep-2024</v>
      </c>
      <c r="M3851">
        <f>IF(LeadsData[[#This Row],[Stage Number]]&gt;=2,1,0)</f>
        <v>0</v>
      </c>
      <c r="N3851" s="2">
        <f>IF(LeadsData[[#This Row],[Stage Number]]&gt;=3,1,0)</f>
        <v>0</v>
      </c>
      <c r="O3851" s="2">
        <f>IF(LeadsData[[#This Row],[Stage Number]]&gt;=4,1,0)</f>
        <v>0</v>
      </c>
    </row>
    <row r="3852" spans="1:15" x14ac:dyDescent="0.25">
      <c r="A3852" t="s">
        <v>3892</v>
      </c>
      <c r="B3852" s="1">
        <v>45369</v>
      </c>
      <c r="C3852" t="s">
        <v>17</v>
      </c>
      <c r="D3852" t="s">
        <v>53</v>
      </c>
      <c r="E3852" t="s">
        <v>21</v>
      </c>
      <c r="F3852" t="s">
        <v>14</v>
      </c>
      <c r="G3852" t="s">
        <v>29</v>
      </c>
      <c r="K3852" cm="1">
        <f t="array" ref="K3852">_xlfn.SWITCH(LeadsData[[#This Row],[Funnel Stage Reached]],"Lead",1,"MQL",2,"SQL",3,"Customer",4)</f>
        <v>3</v>
      </c>
      <c r="L3852" t="str">
        <f>TEXT(LeadsData[[#This Row],[Signup Date]],"mmm-yyyy")</f>
        <v>Mar-2024</v>
      </c>
      <c r="M3852">
        <f>IF(LeadsData[[#This Row],[Stage Number]]&gt;=2,1,0)</f>
        <v>1</v>
      </c>
      <c r="N3852" s="2">
        <f>IF(LeadsData[[#This Row],[Stage Number]]&gt;=3,1,0)</f>
        <v>1</v>
      </c>
      <c r="O3852" s="2">
        <f>IF(LeadsData[[#This Row],[Stage Number]]&gt;=4,1,0)</f>
        <v>0</v>
      </c>
    </row>
    <row r="3853" spans="1:15" x14ac:dyDescent="0.25">
      <c r="A3853" t="s">
        <v>3893</v>
      </c>
      <c r="B3853" s="1">
        <v>45555</v>
      </c>
      <c r="C3853" t="s">
        <v>31</v>
      </c>
      <c r="D3853" t="s">
        <v>34</v>
      </c>
      <c r="E3853" t="s">
        <v>13</v>
      </c>
      <c r="F3853" t="s">
        <v>19</v>
      </c>
      <c r="G3853" t="s">
        <v>23</v>
      </c>
      <c r="K3853" cm="1">
        <f t="array" ref="K3853">_xlfn.SWITCH(LeadsData[[#This Row],[Funnel Stage Reached]],"Lead",1,"MQL",2,"SQL",3,"Customer",4)</f>
        <v>2</v>
      </c>
      <c r="L3853" t="str">
        <f>TEXT(LeadsData[[#This Row],[Signup Date]],"mmm-yyyy")</f>
        <v>Sep-2024</v>
      </c>
      <c r="M3853">
        <f>IF(LeadsData[[#This Row],[Stage Number]]&gt;=2,1,0)</f>
        <v>1</v>
      </c>
      <c r="N3853" s="2">
        <f>IF(LeadsData[[#This Row],[Stage Number]]&gt;=3,1,0)</f>
        <v>0</v>
      </c>
      <c r="O3853" s="2">
        <f>IF(LeadsData[[#This Row],[Stage Number]]&gt;=4,1,0)</f>
        <v>0</v>
      </c>
    </row>
    <row r="3854" spans="1:15" x14ac:dyDescent="0.25">
      <c r="A3854" t="s">
        <v>3894</v>
      </c>
      <c r="B3854" s="1">
        <v>45414</v>
      </c>
      <c r="C3854" t="s">
        <v>31</v>
      </c>
      <c r="D3854" t="s">
        <v>34</v>
      </c>
      <c r="E3854" t="s">
        <v>21</v>
      </c>
      <c r="F3854" t="s">
        <v>19</v>
      </c>
      <c r="G3854" t="s">
        <v>15</v>
      </c>
      <c r="K3854" cm="1">
        <f t="array" ref="K3854">_xlfn.SWITCH(LeadsData[[#This Row],[Funnel Stage Reached]],"Lead",1,"MQL",2,"SQL",3,"Customer",4)</f>
        <v>1</v>
      </c>
      <c r="L3854" t="str">
        <f>TEXT(LeadsData[[#This Row],[Signup Date]],"mmm-yyyy")</f>
        <v>May-2024</v>
      </c>
      <c r="M3854">
        <f>IF(LeadsData[[#This Row],[Stage Number]]&gt;=2,1,0)</f>
        <v>0</v>
      </c>
      <c r="N3854" s="2">
        <f>IF(LeadsData[[#This Row],[Stage Number]]&gt;=3,1,0)</f>
        <v>0</v>
      </c>
      <c r="O3854" s="2">
        <f>IF(LeadsData[[#This Row],[Stage Number]]&gt;=4,1,0)</f>
        <v>0</v>
      </c>
    </row>
    <row r="3855" spans="1:15" x14ac:dyDescent="0.25">
      <c r="A3855" t="s">
        <v>3895</v>
      </c>
      <c r="B3855" s="1">
        <v>45459</v>
      </c>
      <c r="C3855" t="s">
        <v>36</v>
      </c>
      <c r="D3855" t="s">
        <v>37</v>
      </c>
      <c r="E3855" t="s">
        <v>21</v>
      </c>
      <c r="F3855" t="s">
        <v>19</v>
      </c>
      <c r="G3855" t="s">
        <v>15</v>
      </c>
      <c r="K3855" cm="1">
        <f t="array" ref="K3855">_xlfn.SWITCH(LeadsData[[#This Row],[Funnel Stage Reached]],"Lead",1,"MQL",2,"SQL",3,"Customer",4)</f>
        <v>1</v>
      </c>
      <c r="L3855" t="str">
        <f>TEXT(LeadsData[[#This Row],[Signup Date]],"mmm-yyyy")</f>
        <v>Jun-2024</v>
      </c>
      <c r="M3855">
        <f>IF(LeadsData[[#This Row],[Stage Number]]&gt;=2,1,0)</f>
        <v>0</v>
      </c>
      <c r="N3855" s="2">
        <f>IF(LeadsData[[#This Row],[Stage Number]]&gt;=3,1,0)</f>
        <v>0</v>
      </c>
      <c r="O3855" s="2">
        <f>IF(LeadsData[[#This Row],[Stage Number]]&gt;=4,1,0)</f>
        <v>0</v>
      </c>
    </row>
    <row r="3856" spans="1:15" x14ac:dyDescent="0.25">
      <c r="A3856" t="s">
        <v>3896</v>
      </c>
      <c r="B3856" s="1">
        <v>45627</v>
      </c>
      <c r="C3856" t="s">
        <v>25</v>
      </c>
      <c r="D3856" t="s">
        <v>26</v>
      </c>
      <c r="E3856" t="s">
        <v>13</v>
      </c>
      <c r="F3856" t="s">
        <v>19</v>
      </c>
      <c r="G3856" t="s">
        <v>15</v>
      </c>
      <c r="K3856" cm="1">
        <f t="array" ref="K3856">_xlfn.SWITCH(LeadsData[[#This Row],[Funnel Stage Reached]],"Lead",1,"MQL",2,"SQL",3,"Customer",4)</f>
        <v>1</v>
      </c>
      <c r="L3856" t="str">
        <f>TEXT(LeadsData[[#This Row],[Signup Date]],"mmm-yyyy")</f>
        <v>Dec-2024</v>
      </c>
      <c r="M3856">
        <f>IF(LeadsData[[#This Row],[Stage Number]]&gt;=2,1,0)</f>
        <v>0</v>
      </c>
      <c r="N3856" s="2">
        <f>IF(LeadsData[[#This Row],[Stage Number]]&gt;=3,1,0)</f>
        <v>0</v>
      </c>
      <c r="O3856" s="2">
        <f>IF(LeadsData[[#This Row],[Stage Number]]&gt;=4,1,0)</f>
        <v>0</v>
      </c>
    </row>
    <row r="3857" spans="1:15" x14ac:dyDescent="0.25">
      <c r="A3857" t="s">
        <v>3897</v>
      </c>
      <c r="B3857" s="1">
        <v>45303</v>
      </c>
      <c r="C3857" t="s">
        <v>31</v>
      </c>
      <c r="D3857" t="s">
        <v>34</v>
      </c>
      <c r="E3857" t="s">
        <v>13</v>
      </c>
      <c r="F3857" t="s">
        <v>22</v>
      </c>
      <c r="G3857" t="s">
        <v>15</v>
      </c>
      <c r="K3857" cm="1">
        <f t="array" ref="K3857">_xlfn.SWITCH(LeadsData[[#This Row],[Funnel Stage Reached]],"Lead",1,"MQL",2,"SQL",3,"Customer",4)</f>
        <v>1</v>
      </c>
      <c r="L3857" t="str">
        <f>TEXT(LeadsData[[#This Row],[Signup Date]],"mmm-yyyy")</f>
        <v>Jan-2024</v>
      </c>
      <c r="M3857">
        <f>IF(LeadsData[[#This Row],[Stage Number]]&gt;=2,1,0)</f>
        <v>0</v>
      </c>
      <c r="N3857" s="2">
        <f>IF(LeadsData[[#This Row],[Stage Number]]&gt;=3,1,0)</f>
        <v>0</v>
      </c>
      <c r="O3857" s="2">
        <f>IF(LeadsData[[#This Row],[Stage Number]]&gt;=4,1,0)</f>
        <v>0</v>
      </c>
    </row>
    <row r="3858" spans="1:15" x14ac:dyDescent="0.25">
      <c r="A3858" t="s">
        <v>3898</v>
      </c>
      <c r="B3858" s="1">
        <v>45326</v>
      </c>
      <c r="C3858" t="s">
        <v>25</v>
      </c>
      <c r="D3858" t="s">
        <v>26</v>
      </c>
      <c r="E3858" t="s">
        <v>13</v>
      </c>
      <c r="F3858" t="s">
        <v>19</v>
      </c>
      <c r="G3858" t="s">
        <v>15</v>
      </c>
      <c r="K3858" cm="1">
        <f t="array" ref="K3858">_xlfn.SWITCH(LeadsData[[#This Row],[Funnel Stage Reached]],"Lead",1,"MQL",2,"SQL",3,"Customer",4)</f>
        <v>1</v>
      </c>
      <c r="L3858" t="str">
        <f>TEXT(LeadsData[[#This Row],[Signup Date]],"mmm-yyyy")</f>
        <v>Feb-2024</v>
      </c>
      <c r="M3858">
        <f>IF(LeadsData[[#This Row],[Stage Number]]&gt;=2,1,0)</f>
        <v>0</v>
      </c>
      <c r="N3858" s="2">
        <f>IF(LeadsData[[#This Row],[Stage Number]]&gt;=3,1,0)</f>
        <v>0</v>
      </c>
      <c r="O3858" s="2">
        <f>IF(LeadsData[[#This Row],[Stage Number]]&gt;=4,1,0)</f>
        <v>0</v>
      </c>
    </row>
    <row r="3859" spans="1:15" x14ac:dyDescent="0.25">
      <c r="A3859" t="s">
        <v>3899</v>
      </c>
      <c r="B3859" s="1">
        <v>45569</v>
      </c>
      <c r="C3859" t="s">
        <v>46</v>
      </c>
      <c r="D3859" t="s">
        <v>47</v>
      </c>
      <c r="E3859" t="s">
        <v>13</v>
      </c>
      <c r="F3859" t="s">
        <v>19</v>
      </c>
      <c r="G3859" t="s">
        <v>23</v>
      </c>
      <c r="K3859" cm="1">
        <f t="array" ref="K3859">_xlfn.SWITCH(LeadsData[[#This Row],[Funnel Stage Reached]],"Lead",1,"MQL",2,"SQL",3,"Customer",4)</f>
        <v>2</v>
      </c>
      <c r="L3859" t="str">
        <f>TEXT(LeadsData[[#This Row],[Signup Date]],"mmm-yyyy")</f>
        <v>Oct-2024</v>
      </c>
      <c r="M3859">
        <f>IF(LeadsData[[#This Row],[Stage Number]]&gt;=2,1,0)</f>
        <v>1</v>
      </c>
      <c r="N3859" s="2">
        <f>IF(LeadsData[[#This Row],[Stage Number]]&gt;=3,1,0)</f>
        <v>0</v>
      </c>
      <c r="O3859" s="2">
        <f>IF(LeadsData[[#This Row],[Stage Number]]&gt;=4,1,0)</f>
        <v>0</v>
      </c>
    </row>
    <row r="3860" spans="1:15" x14ac:dyDescent="0.25">
      <c r="A3860" t="s">
        <v>3900</v>
      </c>
      <c r="B3860" s="1">
        <v>45463</v>
      </c>
      <c r="C3860" t="s">
        <v>31</v>
      </c>
      <c r="D3860" t="s">
        <v>34</v>
      </c>
      <c r="E3860" t="s">
        <v>13</v>
      </c>
      <c r="F3860" t="s">
        <v>22</v>
      </c>
      <c r="G3860" t="s">
        <v>42</v>
      </c>
      <c r="H3860">
        <v>65</v>
      </c>
      <c r="I3860" t="s">
        <v>43</v>
      </c>
      <c r="J3860">
        <v>775.46</v>
      </c>
      <c r="K3860" cm="1">
        <f t="array" ref="K3860">_xlfn.SWITCH(LeadsData[[#This Row],[Funnel Stage Reached]],"Lead",1,"MQL",2,"SQL",3,"Customer",4)</f>
        <v>4</v>
      </c>
      <c r="L3860" t="str">
        <f>TEXT(LeadsData[[#This Row],[Signup Date]],"mmm-yyyy")</f>
        <v>Jun-2024</v>
      </c>
      <c r="M3860">
        <f>IF(LeadsData[[#This Row],[Stage Number]]&gt;=2,1,0)</f>
        <v>1</v>
      </c>
      <c r="N3860" s="2">
        <f>IF(LeadsData[[#This Row],[Stage Number]]&gt;=3,1,0)</f>
        <v>1</v>
      </c>
      <c r="O3860" s="2">
        <f>IF(LeadsData[[#This Row],[Stage Number]]&gt;=4,1,0)</f>
        <v>1</v>
      </c>
    </row>
    <row r="3861" spans="1:15" x14ac:dyDescent="0.25">
      <c r="A3861" t="s">
        <v>3901</v>
      </c>
      <c r="B3861" s="1">
        <v>45557</v>
      </c>
      <c r="C3861" t="s">
        <v>31</v>
      </c>
      <c r="D3861" t="s">
        <v>32</v>
      </c>
      <c r="E3861" t="s">
        <v>13</v>
      </c>
      <c r="F3861" t="s">
        <v>22</v>
      </c>
      <c r="G3861" t="s">
        <v>29</v>
      </c>
      <c r="K3861" cm="1">
        <f t="array" ref="K3861">_xlfn.SWITCH(LeadsData[[#This Row],[Funnel Stage Reached]],"Lead",1,"MQL",2,"SQL",3,"Customer",4)</f>
        <v>3</v>
      </c>
      <c r="L3861" t="str">
        <f>TEXT(LeadsData[[#This Row],[Signup Date]],"mmm-yyyy")</f>
        <v>Sep-2024</v>
      </c>
      <c r="M3861">
        <f>IF(LeadsData[[#This Row],[Stage Number]]&gt;=2,1,0)</f>
        <v>1</v>
      </c>
      <c r="N3861" s="2">
        <f>IF(LeadsData[[#This Row],[Stage Number]]&gt;=3,1,0)</f>
        <v>1</v>
      </c>
      <c r="O3861" s="2">
        <f>IF(LeadsData[[#This Row],[Stage Number]]&gt;=4,1,0)</f>
        <v>0</v>
      </c>
    </row>
    <row r="3862" spans="1:15" x14ac:dyDescent="0.25">
      <c r="A3862" t="s">
        <v>3902</v>
      </c>
      <c r="B3862" s="1">
        <v>45587</v>
      </c>
      <c r="C3862" t="s">
        <v>25</v>
      </c>
      <c r="D3862" t="s">
        <v>26</v>
      </c>
      <c r="E3862" t="s">
        <v>13</v>
      </c>
      <c r="F3862" t="s">
        <v>28</v>
      </c>
      <c r="G3862" t="s">
        <v>15</v>
      </c>
      <c r="K3862" cm="1">
        <f t="array" ref="K3862">_xlfn.SWITCH(LeadsData[[#This Row],[Funnel Stage Reached]],"Lead",1,"MQL",2,"SQL",3,"Customer",4)</f>
        <v>1</v>
      </c>
      <c r="L3862" t="str">
        <f>TEXT(LeadsData[[#This Row],[Signup Date]],"mmm-yyyy")</f>
        <v>Oct-2024</v>
      </c>
      <c r="M3862">
        <f>IF(LeadsData[[#This Row],[Stage Number]]&gt;=2,1,0)</f>
        <v>0</v>
      </c>
      <c r="N3862" s="2">
        <f>IF(LeadsData[[#This Row],[Stage Number]]&gt;=3,1,0)</f>
        <v>0</v>
      </c>
      <c r="O3862" s="2">
        <f>IF(LeadsData[[#This Row],[Stage Number]]&gt;=4,1,0)</f>
        <v>0</v>
      </c>
    </row>
    <row r="3863" spans="1:15" x14ac:dyDescent="0.25">
      <c r="A3863" t="s">
        <v>3903</v>
      </c>
      <c r="B3863" s="1">
        <v>45448</v>
      </c>
      <c r="C3863" t="s">
        <v>31</v>
      </c>
      <c r="D3863" t="s">
        <v>32</v>
      </c>
      <c r="E3863" t="s">
        <v>13</v>
      </c>
      <c r="F3863" t="s">
        <v>19</v>
      </c>
      <c r="G3863" t="s">
        <v>15</v>
      </c>
      <c r="K3863" cm="1">
        <f t="array" ref="K3863">_xlfn.SWITCH(LeadsData[[#This Row],[Funnel Stage Reached]],"Lead",1,"MQL",2,"SQL",3,"Customer",4)</f>
        <v>1</v>
      </c>
      <c r="L3863" t="str">
        <f>TEXT(LeadsData[[#This Row],[Signup Date]],"mmm-yyyy")</f>
        <v>Jun-2024</v>
      </c>
      <c r="M3863">
        <f>IF(LeadsData[[#This Row],[Stage Number]]&gt;=2,1,0)</f>
        <v>0</v>
      </c>
      <c r="N3863" s="2">
        <f>IF(LeadsData[[#This Row],[Stage Number]]&gt;=3,1,0)</f>
        <v>0</v>
      </c>
      <c r="O3863" s="2">
        <f>IF(LeadsData[[#This Row],[Stage Number]]&gt;=4,1,0)</f>
        <v>0</v>
      </c>
    </row>
    <row r="3864" spans="1:15" x14ac:dyDescent="0.25">
      <c r="A3864" t="s">
        <v>3904</v>
      </c>
      <c r="B3864" s="1">
        <v>45537</v>
      </c>
      <c r="C3864" t="s">
        <v>17</v>
      </c>
      <c r="D3864" t="s">
        <v>53</v>
      </c>
      <c r="E3864" t="s">
        <v>21</v>
      </c>
      <c r="F3864" t="s">
        <v>14</v>
      </c>
      <c r="G3864" t="s">
        <v>15</v>
      </c>
      <c r="K3864" cm="1">
        <f t="array" ref="K3864">_xlfn.SWITCH(LeadsData[[#This Row],[Funnel Stage Reached]],"Lead",1,"MQL",2,"SQL",3,"Customer",4)</f>
        <v>1</v>
      </c>
      <c r="L3864" t="str">
        <f>TEXT(LeadsData[[#This Row],[Signup Date]],"mmm-yyyy")</f>
        <v>Sep-2024</v>
      </c>
      <c r="M3864">
        <f>IF(LeadsData[[#This Row],[Stage Number]]&gt;=2,1,0)</f>
        <v>0</v>
      </c>
      <c r="N3864" s="2">
        <f>IF(LeadsData[[#This Row],[Stage Number]]&gt;=3,1,0)</f>
        <v>0</v>
      </c>
      <c r="O3864" s="2">
        <f>IF(LeadsData[[#This Row],[Stage Number]]&gt;=4,1,0)</f>
        <v>0</v>
      </c>
    </row>
    <row r="3865" spans="1:15" x14ac:dyDescent="0.25">
      <c r="A3865" t="s">
        <v>3905</v>
      </c>
      <c r="B3865" s="1">
        <v>45513</v>
      </c>
      <c r="C3865" t="s">
        <v>11</v>
      </c>
      <c r="D3865" t="s">
        <v>12</v>
      </c>
      <c r="E3865" t="s">
        <v>21</v>
      </c>
      <c r="F3865" t="s">
        <v>19</v>
      </c>
      <c r="G3865" t="s">
        <v>15</v>
      </c>
      <c r="K3865" cm="1">
        <f t="array" ref="K3865">_xlfn.SWITCH(LeadsData[[#This Row],[Funnel Stage Reached]],"Lead",1,"MQL",2,"SQL",3,"Customer",4)</f>
        <v>1</v>
      </c>
      <c r="L3865" t="str">
        <f>TEXT(LeadsData[[#This Row],[Signup Date]],"mmm-yyyy")</f>
        <v>Aug-2024</v>
      </c>
      <c r="M3865">
        <f>IF(LeadsData[[#This Row],[Stage Number]]&gt;=2,1,0)</f>
        <v>0</v>
      </c>
      <c r="N3865" s="2">
        <f>IF(LeadsData[[#This Row],[Stage Number]]&gt;=3,1,0)</f>
        <v>0</v>
      </c>
      <c r="O3865" s="2">
        <f>IF(LeadsData[[#This Row],[Stage Number]]&gt;=4,1,0)</f>
        <v>0</v>
      </c>
    </row>
    <row r="3866" spans="1:15" x14ac:dyDescent="0.25">
      <c r="A3866" t="s">
        <v>3906</v>
      </c>
      <c r="B3866" s="1">
        <v>45634</v>
      </c>
      <c r="C3866" t="s">
        <v>17</v>
      </c>
      <c r="D3866" t="s">
        <v>53</v>
      </c>
      <c r="E3866" t="s">
        <v>21</v>
      </c>
      <c r="F3866" t="s">
        <v>19</v>
      </c>
      <c r="G3866" t="s">
        <v>15</v>
      </c>
      <c r="K3866" cm="1">
        <f t="array" ref="K3866">_xlfn.SWITCH(LeadsData[[#This Row],[Funnel Stage Reached]],"Lead",1,"MQL",2,"SQL",3,"Customer",4)</f>
        <v>1</v>
      </c>
      <c r="L3866" t="str">
        <f>TEXT(LeadsData[[#This Row],[Signup Date]],"mmm-yyyy")</f>
        <v>Dec-2024</v>
      </c>
      <c r="M3866">
        <f>IF(LeadsData[[#This Row],[Stage Number]]&gt;=2,1,0)</f>
        <v>0</v>
      </c>
      <c r="N3866" s="2">
        <f>IF(LeadsData[[#This Row],[Stage Number]]&gt;=3,1,0)</f>
        <v>0</v>
      </c>
      <c r="O3866" s="2">
        <f>IF(LeadsData[[#This Row],[Stage Number]]&gt;=4,1,0)</f>
        <v>0</v>
      </c>
    </row>
    <row r="3867" spans="1:15" x14ac:dyDescent="0.25">
      <c r="A3867" t="s">
        <v>3907</v>
      </c>
      <c r="B3867" s="1">
        <v>45499</v>
      </c>
      <c r="C3867" t="s">
        <v>11</v>
      </c>
      <c r="D3867" t="s">
        <v>12</v>
      </c>
      <c r="E3867" t="s">
        <v>13</v>
      </c>
      <c r="F3867" t="s">
        <v>14</v>
      </c>
      <c r="G3867" t="s">
        <v>23</v>
      </c>
      <c r="K3867" cm="1">
        <f t="array" ref="K3867">_xlfn.SWITCH(LeadsData[[#This Row],[Funnel Stage Reached]],"Lead",1,"MQL",2,"SQL",3,"Customer",4)</f>
        <v>2</v>
      </c>
      <c r="L3867" t="str">
        <f>TEXT(LeadsData[[#This Row],[Signup Date]],"mmm-yyyy")</f>
        <v>Jul-2024</v>
      </c>
      <c r="M3867">
        <f>IF(LeadsData[[#This Row],[Stage Number]]&gt;=2,1,0)</f>
        <v>1</v>
      </c>
      <c r="N3867" s="2">
        <f>IF(LeadsData[[#This Row],[Stage Number]]&gt;=3,1,0)</f>
        <v>0</v>
      </c>
      <c r="O3867" s="2">
        <f>IF(LeadsData[[#This Row],[Stage Number]]&gt;=4,1,0)</f>
        <v>0</v>
      </c>
    </row>
    <row r="3868" spans="1:15" x14ac:dyDescent="0.25">
      <c r="A3868" t="s">
        <v>3908</v>
      </c>
      <c r="B3868" s="1">
        <v>45652</v>
      </c>
      <c r="C3868" t="s">
        <v>46</v>
      </c>
      <c r="D3868" t="s">
        <v>47</v>
      </c>
      <c r="E3868" t="s">
        <v>13</v>
      </c>
      <c r="F3868" t="s">
        <v>22</v>
      </c>
      <c r="G3868" t="s">
        <v>15</v>
      </c>
      <c r="K3868" cm="1">
        <f t="array" ref="K3868">_xlfn.SWITCH(LeadsData[[#This Row],[Funnel Stage Reached]],"Lead",1,"MQL",2,"SQL",3,"Customer",4)</f>
        <v>1</v>
      </c>
      <c r="L3868" t="str">
        <f>TEXT(LeadsData[[#This Row],[Signup Date]],"mmm-yyyy")</f>
        <v>Dec-2024</v>
      </c>
      <c r="M3868">
        <f>IF(LeadsData[[#This Row],[Stage Number]]&gt;=2,1,0)</f>
        <v>0</v>
      </c>
      <c r="N3868" s="2">
        <f>IF(LeadsData[[#This Row],[Stage Number]]&gt;=3,1,0)</f>
        <v>0</v>
      </c>
      <c r="O3868" s="2">
        <f>IF(LeadsData[[#This Row],[Stage Number]]&gt;=4,1,0)</f>
        <v>0</v>
      </c>
    </row>
    <row r="3869" spans="1:15" x14ac:dyDescent="0.25">
      <c r="A3869" t="s">
        <v>3909</v>
      </c>
      <c r="B3869" s="1">
        <v>45463</v>
      </c>
      <c r="C3869" t="s">
        <v>25</v>
      </c>
      <c r="D3869" t="s">
        <v>26</v>
      </c>
      <c r="E3869" t="s">
        <v>13</v>
      </c>
      <c r="F3869" t="s">
        <v>19</v>
      </c>
      <c r="G3869" t="s">
        <v>15</v>
      </c>
      <c r="K3869" cm="1">
        <f t="array" ref="K3869">_xlfn.SWITCH(LeadsData[[#This Row],[Funnel Stage Reached]],"Lead",1,"MQL",2,"SQL",3,"Customer",4)</f>
        <v>1</v>
      </c>
      <c r="L3869" t="str">
        <f>TEXT(LeadsData[[#This Row],[Signup Date]],"mmm-yyyy")</f>
        <v>Jun-2024</v>
      </c>
      <c r="M3869">
        <f>IF(LeadsData[[#This Row],[Stage Number]]&gt;=2,1,0)</f>
        <v>0</v>
      </c>
      <c r="N3869" s="2">
        <f>IF(LeadsData[[#This Row],[Stage Number]]&gt;=3,1,0)</f>
        <v>0</v>
      </c>
      <c r="O3869" s="2">
        <f>IF(LeadsData[[#This Row],[Stage Number]]&gt;=4,1,0)</f>
        <v>0</v>
      </c>
    </row>
    <row r="3870" spans="1:15" x14ac:dyDescent="0.25">
      <c r="A3870" t="s">
        <v>3910</v>
      </c>
      <c r="B3870" s="1">
        <v>45569</v>
      </c>
      <c r="C3870" t="s">
        <v>31</v>
      </c>
      <c r="D3870" t="s">
        <v>32</v>
      </c>
      <c r="E3870" t="s">
        <v>13</v>
      </c>
      <c r="F3870" t="s">
        <v>28</v>
      </c>
      <c r="G3870" t="s">
        <v>42</v>
      </c>
      <c r="H3870">
        <v>73</v>
      </c>
      <c r="I3870" t="s">
        <v>43</v>
      </c>
      <c r="J3870">
        <v>1061.93</v>
      </c>
      <c r="K3870" cm="1">
        <f t="array" ref="K3870">_xlfn.SWITCH(LeadsData[[#This Row],[Funnel Stage Reached]],"Lead",1,"MQL",2,"SQL",3,"Customer",4)</f>
        <v>4</v>
      </c>
      <c r="L3870" t="str">
        <f>TEXT(LeadsData[[#This Row],[Signup Date]],"mmm-yyyy")</f>
        <v>Oct-2024</v>
      </c>
      <c r="M3870">
        <f>IF(LeadsData[[#This Row],[Stage Number]]&gt;=2,1,0)</f>
        <v>1</v>
      </c>
      <c r="N3870" s="2">
        <f>IF(LeadsData[[#This Row],[Stage Number]]&gt;=3,1,0)</f>
        <v>1</v>
      </c>
      <c r="O3870" s="2">
        <f>IF(LeadsData[[#This Row],[Stage Number]]&gt;=4,1,0)</f>
        <v>1</v>
      </c>
    </row>
    <row r="3871" spans="1:15" x14ac:dyDescent="0.25">
      <c r="A3871" t="s">
        <v>3911</v>
      </c>
      <c r="B3871" s="1">
        <v>45372</v>
      </c>
      <c r="C3871" t="s">
        <v>36</v>
      </c>
      <c r="D3871" t="s">
        <v>50</v>
      </c>
      <c r="E3871" t="s">
        <v>21</v>
      </c>
      <c r="F3871" t="s">
        <v>19</v>
      </c>
      <c r="G3871" t="s">
        <v>15</v>
      </c>
      <c r="K3871" cm="1">
        <f t="array" ref="K3871">_xlfn.SWITCH(LeadsData[[#This Row],[Funnel Stage Reached]],"Lead",1,"MQL",2,"SQL",3,"Customer",4)</f>
        <v>1</v>
      </c>
      <c r="L3871" t="str">
        <f>TEXT(LeadsData[[#This Row],[Signup Date]],"mmm-yyyy")</f>
        <v>Mar-2024</v>
      </c>
      <c r="M3871">
        <f>IF(LeadsData[[#This Row],[Stage Number]]&gt;=2,1,0)</f>
        <v>0</v>
      </c>
      <c r="N3871" s="2">
        <f>IF(LeadsData[[#This Row],[Stage Number]]&gt;=3,1,0)</f>
        <v>0</v>
      </c>
      <c r="O3871" s="2">
        <f>IF(LeadsData[[#This Row],[Stage Number]]&gt;=4,1,0)</f>
        <v>0</v>
      </c>
    </row>
    <row r="3872" spans="1:15" x14ac:dyDescent="0.25">
      <c r="A3872" t="s">
        <v>3912</v>
      </c>
      <c r="B3872" s="1">
        <v>45628</v>
      </c>
      <c r="C3872" t="s">
        <v>36</v>
      </c>
      <c r="D3872" t="s">
        <v>37</v>
      </c>
      <c r="E3872" t="s">
        <v>13</v>
      </c>
      <c r="F3872" t="s">
        <v>19</v>
      </c>
      <c r="G3872" t="s">
        <v>15</v>
      </c>
      <c r="K3872" cm="1">
        <f t="array" ref="K3872">_xlfn.SWITCH(LeadsData[[#This Row],[Funnel Stage Reached]],"Lead",1,"MQL",2,"SQL",3,"Customer",4)</f>
        <v>1</v>
      </c>
      <c r="L3872" t="str">
        <f>TEXT(LeadsData[[#This Row],[Signup Date]],"mmm-yyyy")</f>
        <v>Dec-2024</v>
      </c>
      <c r="M3872">
        <f>IF(LeadsData[[#This Row],[Stage Number]]&gt;=2,1,0)</f>
        <v>0</v>
      </c>
      <c r="N3872" s="2">
        <f>IF(LeadsData[[#This Row],[Stage Number]]&gt;=3,1,0)</f>
        <v>0</v>
      </c>
      <c r="O3872" s="2">
        <f>IF(LeadsData[[#This Row],[Stage Number]]&gt;=4,1,0)</f>
        <v>0</v>
      </c>
    </row>
    <row r="3873" spans="1:15" x14ac:dyDescent="0.25">
      <c r="A3873" t="s">
        <v>3913</v>
      </c>
      <c r="B3873" s="1">
        <v>45337</v>
      </c>
      <c r="C3873" t="s">
        <v>25</v>
      </c>
      <c r="D3873" t="s">
        <v>26</v>
      </c>
      <c r="E3873" t="s">
        <v>21</v>
      </c>
      <c r="F3873" t="s">
        <v>22</v>
      </c>
      <c r="G3873" t="s">
        <v>15</v>
      </c>
      <c r="K3873" cm="1">
        <f t="array" ref="K3873">_xlfn.SWITCH(LeadsData[[#This Row],[Funnel Stage Reached]],"Lead",1,"MQL",2,"SQL",3,"Customer",4)</f>
        <v>1</v>
      </c>
      <c r="L3873" t="str">
        <f>TEXT(LeadsData[[#This Row],[Signup Date]],"mmm-yyyy")</f>
        <v>Feb-2024</v>
      </c>
      <c r="M3873">
        <f>IF(LeadsData[[#This Row],[Stage Number]]&gt;=2,1,0)</f>
        <v>0</v>
      </c>
      <c r="N3873" s="2">
        <f>IF(LeadsData[[#This Row],[Stage Number]]&gt;=3,1,0)</f>
        <v>0</v>
      </c>
      <c r="O3873" s="2">
        <f>IF(LeadsData[[#This Row],[Stage Number]]&gt;=4,1,0)</f>
        <v>0</v>
      </c>
    </row>
    <row r="3874" spans="1:15" x14ac:dyDescent="0.25">
      <c r="A3874" t="s">
        <v>3914</v>
      </c>
      <c r="B3874" s="1">
        <v>45413</v>
      </c>
      <c r="C3874" t="s">
        <v>31</v>
      </c>
      <c r="D3874" t="s">
        <v>32</v>
      </c>
      <c r="E3874" t="s">
        <v>13</v>
      </c>
      <c r="F3874" t="s">
        <v>14</v>
      </c>
      <c r="G3874" t="s">
        <v>15</v>
      </c>
      <c r="K3874" cm="1">
        <f t="array" ref="K3874">_xlfn.SWITCH(LeadsData[[#This Row],[Funnel Stage Reached]],"Lead",1,"MQL",2,"SQL",3,"Customer",4)</f>
        <v>1</v>
      </c>
      <c r="L3874" t="str">
        <f>TEXT(LeadsData[[#This Row],[Signup Date]],"mmm-yyyy")</f>
        <v>May-2024</v>
      </c>
      <c r="M3874">
        <f>IF(LeadsData[[#This Row],[Stage Number]]&gt;=2,1,0)</f>
        <v>0</v>
      </c>
      <c r="N3874" s="2">
        <f>IF(LeadsData[[#This Row],[Stage Number]]&gt;=3,1,0)</f>
        <v>0</v>
      </c>
      <c r="O3874" s="2">
        <f>IF(LeadsData[[#This Row],[Stage Number]]&gt;=4,1,0)</f>
        <v>0</v>
      </c>
    </row>
    <row r="3875" spans="1:15" x14ac:dyDescent="0.25">
      <c r="A3875" t="s">
        <v>3915</v>
      </c>
      <c r="B3875" s="1">
        <v>45648</v>
      </c>
      <c r="C3875" t="s">
        <v>17</v>
      </c>
      <c r="D3875" t="s">
        <v>18</v>
      </c>
      <c r="E3875" t="s">
        <v>13</v>
      </c>
      <c r="F3875" t="s">
        <v>19</v>
      </c>
      <c r="G3875" t="s">
        <v>23</v>
      </c>
      <c r="K3875" cm="1">
        <f t="array" ref="K3875">_xlfn.SWITCH(LeadsData[[#This Row],[Funnel Stage Reached]],"Lead",1,"MQL",2,"SQL",3,"Customer",4)</f>
        <v>2</v>
      </c>
      <c r="L3875" t="str">
        <f>TEXT(LeadsData[[#This Row],[Signup Date]],"mmm-yyyy")</f>
        <v>Dec-2024</v>
      </c>
      <c r="M3875">
        <f>IF(LeadsData[[#This Row],[Stage Number]]&gt;=2,1,0)</f>
        <v>1</v>
      </c>
      <c r="N3875" s="2">
        <f>IF(LeadsData[[#This Row],[Stage Number]]&gt;=3,1,0)</f>
        <v>0</v>
      </c>
      <c r="O3875" s="2">
        <f>IF(LeadsData[[#This Row],[Stage Number]]&gt;=4,1,0)</f>
        <v>0</v>
      </c>
    </row>
    <row r="3876" spans="1:15" x14ac:dyDescent="0.25">
      <c r="A3876" t="s">
        <v>3916</v>
      </c>
      <c r="B3876" s="1">
        <v>45644</v>
      </c>
      <c r="C3876" t="s">
        <v>11</v>
      </c>
      <c r="D3876" t="s">
        <v>79</v>
      </c>
      <c r="E3876" t="s">
        <v>13</v>
      </c>
      <c r="F3876" t="s">
        <v>19</v>
      </c>
      <c r="G3876" t="s">
        <v>15</v>
      </c>
      <c r="K3876" cm="1">
        <f t="array" ref="K3876">_xlfn.SWITCH(LeadsData[[#This Row],[Funnel Stage Reached]],"Lead",1,"MQL",2,"SQL",3,"Customer",4)</f>
        <v>1</v>
      </c>
      <c r="L3876" t="str">
        <f>TEXT(LeadsData[[#This Row],[Signup Date]],"mmm-yyyy")</f>
        <v>Dec-2024</v>
      </c>
      <c r="M3876">
        <f>IF(LeadsData[[#This Row],[Stage Number]]&gt;=2,1,0)</f>
        <v>0</v>
      </c>
      <c r="N3876" s="2">
        <f>IF(LeadsData[[#This Row],[Stage Number]]&gt;=3,1,0)</f>
        <v>0</v>
      </c>
      <c r="O3876" s="2">
        <f>IF(LeadsData[[#This Row],[Stage Number]]&gt;=4,1,0)</f>
        <v>0</v>
      </c>
    </row>
    <row r="3877" spans="1:15" x14ac:dyDescent="0.25">
      <c r="A3877" t="s">
        <v>3917</v>
      </c>
      <c r="B3877" s="1">
        <v>45639</v>
      </c>
      <c r="C3877" t="s">
        <v>17</v>
      </c>
      <c r="D3877" t="s">
        <v>53</v>
      </c>
      <c r="E3877" t="s">
        <v>48</v>
      </c>
      <c r="F3877" t="s">
        <v>22</v>
      </c>
      <c r="G3877" t="s">
        <v>15</v>
      </c>
      <c r="K3877" cm="1">
        <f t="array" ref="K3877">_xlfn.SWITCH(LeadsData[[#This Row],[Funnel Stage Reached]],"Lead",1,"MQL",2,"SQL",3,"Customer",4)</f>
        <v>1</v>
      </c>
      <c r="L3877" t="str">
        <f>TEXT(LeadsData[[#This Row],[Signup Date]],"mmm-yyyy")</f>
        <v>Dec-2024</v>
      </c>
      <c r="M3877">
        <f>IF(LeadsData[[#This Row],[Stage Number]]&gt;=2,1,0)</f>
        <v>0</v>
      </c>
      <c r="N3877" s="2">
        <f>IF(LeadsData[[#This Row],[Stage Number]]&gt;=3,1,0)</f>
        <v>0</v>
      </c>
      <c r="O3877" s="2">
        <f>IF(LeadsData[[#This Row],[Stage Number]]&gt;=4,1,0)</f>
        <v>0</v>
      </c>
    </row>
    <row r="3878" spans="1:15" x14ac:dyDescent="0.25">
      <c r="A3878" t="s">
        <v>3918</v>
      </c>
      <c r="B3878" s="1">
        <v>45394</v>
      </c>
      <c r="C3878" t="s">
        <v>11</v>
      </c>
      <c r="D3878" t="s">
        <v>12</v>
      </c>
      <c r="E3878" t="s">
        <v>13</v>
      </c>
      <c r="F3878" t="s">
        <v>14</v>
      </c>
      <c r="G3878" t="s">
        <v>15</v>
      </c>
      <c r="K3878" cm="1">
        <f t="array" ref="K3878">_xlfn.SWITCH(LeadsData[[#This Row],[Funnel Stage Reached]],"Lead",1,"MQL",2,"SQL",3,"Customer",4)</f>
        <v>1</v>
      </c>
      <c r="L3878" t="str">
        <f>TEXT(LeadsData[[#This Row],[Signup Date]],"mmm-yyyy")</f>
        <v>Apr-2024</v>
      </c>
      <c r="M3878">
        <f>IF(LeadsData[[#This Row],[Stage Number]]&gt;=2,1,0)</f>
        <v>0</v>
      </c>
      <c r="N3878" s="2">
        <f>IF(LeadsData[[#This Row],[Stage Number]]&gt;=3,1,0)</f>
        <v>0</v>
      </c>
      <c r="O3878" s="2">
        <f>IF(LeadsData[[#This Row],[Stage Number]]&gt;=4,1,0)</f>
        <v>0</v>
      </c>
    </row>
    <row r="3879" spans="1:15" x14ac:dyDescent="0.25">
      <c r="A3879" t="s">
        <v>3919</v>
      </c>
      <c r="B3879" s="1">
        <v>45648</v>
      </c>
      <c r="C3879" t="s">
        <v>11</v>
      </c>
      <c r="D3879" t="s">
        <v>79</v>
      </c>
      <c r="E3879" t="s">
        <v>21</v>
      </c>
      <c r="F3879" t="s">
        <v>28</v>
      </c>
      <c r="G3879" t="s">
        <v>15</v>
      </c>
      <c r="K3879" cm="1">
        <f t="array" ref="K3879">_xlfn.SWITCH(LeadsData[[#This Row],[Funnel Stage Reached]],"Lead",1,"MQL",2,"SQL",3,"Customer",4)</f>
        <v>1</v>
      </c>
      <c r="L3879" t="str">
        <f>TEXT(LeadsData[[#This Row],[Signup Date]],"mmm-yyyy")</f>
        <v>Dec-2024</v>
      </c>
      <c r="M3879">
        <f>IF(LeadsData[[#This Row],[Stage Number]]&gt;=2,1,0)</f>
        <v>0</v>
      </c>
      <c r="N3879" s="2">
        <f>IF(LeadsData[[#This Row],[Stage Number]]&gt;=3,1,0)</f>
        <v>0</v>
      </c>
      <c r="O3879" s="2">
        <f>IF(LeadsData[[#This Row],[Stage Number]]&gt;=4,1,0)</f>
        <v>0</v>
      </c>
    </row>
    <row r="3880" spans="1:15" x14ac:dyDescent="0.25">
      <c r="A3880" t="s">
        <v>3920</v>
      </c>
      <c r="B3880" s="1">
        <v>45585</v>
      </c>
      <c r="C3880" t="s">
        <v>46</v>
      </c>
      <c r="D3880" t="s">
        <v>47</v>
      </c>
      <c r="E3880" t="s">
        <v>13</v>
      </c>
      <c r="F3880" t="s">
        <v>22</v>
      </c>
      <c r="G3880" t="s">
        <v>23</v>
      </c>
      <c r="K3880" cm="1">
        <f t="array" ref="K3880">_xlfn.SWITCH(LeadsData[[#This Row],[Funnel Stage Reached]],"Lead",1,"MQL",2,"SQL",3,"Customer",4)</f>
        <v>2</v>
      </c>
      <c r="L3880" t="str">
        <f>TEXT(LeadsData[[#This Row],[Signup Date]],"mmm-yyyy")</f>
        <v>Oct-2024</v>
      </c>
      <c r="M3880">
        <f>IF(LeadsData[[#This Row],[Stage Number]]&gt;=2,1,0)</f>
        <v>1</v>
      </c>
      <c r="N3880" s="2">
        <f>IF(LeadsData[[#This Row],[Stage Number]]&gt;=3,1,0)</f>
        <v>0</v>
      </c>
      <c r="O3880" s="2">
        <f>IF(LeadsData[[#This Row],[Stage Number]]&gt;=4,1,0)</f>
        <v>0</v>
      </c>
    </row>
    <row r="3881" spans="1:15" x14ac:dyDescent="0.25">
      <c r="A3881" t="s">
        <v>3921</v>
      </c>
      <c r="B3881" s="1">
        <v>45631</v>
      </c>
      <c r="C3881" t="s">
        <v>25</v>
      </c>
      <c r="D3881" t="s">
        <v>26</v>
      </c>
      <c r="E3881" t="s">
        <v>48</v>
      </c>
      <c r="F3881" t="s">
        <v>22</v>
      </c>
      <c r="G3881" t="s">
        <v>15</v>
      </c>
      <c r="K3881" cm="1">
        <f t="array" ref="K3881">_xlfn.SWITCH(LeadsData[[#This Row],[Funnel Stage Reached]],"Lead",1,"MQL",2,"SQL",3,"Customer",4)</f>
        <v>1</v>
      </c>
      <c r="L3881" t="str">
        <f>TEXT(LeadsData[[#This Row],[Signup Date]],"mmm-yyyy")</f>
        <v>Dec-2024</v>
      </c>
      <c r="M3881">
        <f>IF(LeadsData[[#This Row],[Stage Number]]&gt;=2,1,0)</f>
        <v>0</v>
      </c>
      <c r="N3881" s="2">
        <f>IF(LeadsData[[#This Row],[Stage Number]]&gt;=3,1,0)</f>
        <v>0</v>
      </c>
      <c r="O3881" s="2">
        <f>IF(LeadsData[[#This Row],[Stage Number]]&gt;=4,1,0)</f>
        <v>0</v>
      </c>
    </row>
    <row r="3882" spans="1:15" x14ac:dyDescent="0.25">
      <c r="A3882" t="s">
        <v>3922</v>
      </c>
      <c r="B3882" s="1">
        <v>45563</v>
      </c>
      <c r="C3882" t="s">
        <v>25</v>
      </c>
      <c r="D3882" t="s">
        <v>26</v>
      </c>
      <c r="E3882" t="s">
        <v>13</v>
      </c>
      <c r="F3882" t="s">
        <v>19</v>
      </c>
      <c r="G3882" t="s">
        <v>15</v>
      </c>
      <c r="K3882" cm="1">
        <f t="array" ref="K3882">_xlfn.SWITCH(LeadsData[[#This Row],[Funnel Stage Reached]],"Lead",1,"MQL",2,"SQL",3,"Customer",4)</f>
        <v>1</v>
      </c>
      <c r="L3882" t="str">
        <f>TEXT(LeadsData[[#This Row],[Signup Date]],"mmm-yyyy")</f>
        <v>Sep-2024</v>
      </c>
      <c r="M3882">
        <f>IF(LeadsData[[#This Row],[Stage Number]]&gt;=2,1,0)</f>
        <v>0</v>
      </c>
      <c r="N3882" s="2">
        <f>IF(LeadsData[[#This Row],[Stage Number]]&gt;=3,1,0)</f>
        <v>0</v>
      </c>
      <c r="O3882" s="2">
        <f>IF(LeadsData[[#This Row],[Stage Number]]&gt;=4,1,0)</f>
        <v>0</v>
      </c>
    </row>
    <row r="3883" spans="1:15" x14ac:dyDescent="0.25">
      <c r="A3883" t="s">
        <v>3923</v>
      </c>
      <c r="B3883" s="1">
        <v>45527</v>
      </c>
      <c r="C3883" t="s">
        <v>31</v>
      </c>
      <c r="D3883" t="s">
        <v>34</v>
      </c>
      <c r="E3883" t="s">
        <v>21</v>
      </c>
      <c r="F3883" t="s">
        <v>19</v>
      </c>
      <c r="G3883" t="s">
        <v>15</v>
      </c>
      <c r="K3883" cm="1">
        <f t="array" ref="K3883">_xlfn.SWITCH(LeadsData[[#This Row],[Funnel Stage Reached]],"Lead",1,"MQL",2,"SQL",3,"Customer",4)</f>
        <v>1</v>
      </c>
      <c r="L3883" t="str">
        <f>TEXT(LeadsData[[#This Row],[Signup Date]],"mmm-yyyy")</f>
        <v>Aug-2024</v>
      </c>
      <c r="M3883">
        <f>IF(LeadsData[[#This Row],[Stage Number]]&gt;=2,1,0)</f>
        <v>0</v>
      </c>
      <c r="N3883" s="2">
        <f>IF(LeadsData[[#This Row],[Stage Number]]&gt;=3,1,0)</f>
        <v>0</v>
      </c>
      <c r="O3883" s="2">
        <f>IF(LeadsData[[#This Row],[Stage Number]]&gt;=4,1,0)</f>
        <v>0</v>
      </c>
    </row>
    <row r="3884" spans="1:15" x14ac:dyDescent="0.25">
      <c r="A3884" t="s">
        <v>3924</v>
      </c>
      <c r="B3884" s="1">
        <v>45601</v>
      </c>
      <c r="C3884" t="s">
        <v>36</v>
      </c>
      <c r="D3884" t="s">
        <v>37</v>
      </c>
      <c r="E3884" t="s">
        <v>21</v>
      </c>
      <c r="F3884" t="s">
        <v>19</v>
      </c>
      <c r="G3884" t="s">
        <v>15</v>
      </c>
      <c r="K3884" cm="1">
        <f t="array" ref="K3884">_xlfn.SWITCH(LeadsData[[#This Row],[Funnel Stage Reached]],"Lead",1,"MQL",2,"SQL",3,"Customer",4)</f>
        <v>1</v>
      </c>
      <c r="L3884" t="str">
        <f>TEXT(LeadsData[[#This Row],[Signup Date]],"mmm-yyyy")</f>
        <v>Nov-2024</v>
      </c>
      <c r="M3884">
        <f>IF(LeadsData[[#This Row],[Stage Number]]&gt;=2,1,0)</f>
        <v>0</v>
      </c>
      <c r="N3884" s="2">
        <f>IF(LeadsData[[#This Row],[Stage Number]]&gt;=3,1,0)</f>
        <v>0</v>
      </c>
      <c r="O3884" s="2">
        <f>IF(LeadsData[[#This Row],[Stage Number]]&gt;=4,1,0)</f>
        <v>0</v>
      </c>
    </row>
    <row r="3885" spans="1:15" x14ac:dyDescent="0.25">
      <c r="A3885" t="s">
        <v>3925</v>
      </c>
      <c r="B3885" s="1">
        <v>45628</v>
      </c>
      <c r="C3885" t="s">
        <v>46</v>
      </c>
      <c r="D3885" t="s">
        <v>47</v>
      </c>
      <c r="E3885" t="s">
        <v>13</v>
      </c>
      <c r="F3885" t="s">
        <v>19</v>
      </c>
      <c r="G3885" t="s">
        <v>23</v>
      </c>
      <c r="K3885" cm="1">
        <f t="array" ref="K3885">_xlfn.SWITCH(LeadsData[[#This Row],[Funnel Stage Reached]],"Lead",1,"MQL",2,"SQL",3,"Customer",4)</f>
        <v>2</v>
      </c>
      <c r="L3885" t="str">
        <f>TEXT(LeadsData[[#This Row],[Signup Date]],"mmm-yyyy")</f>
        <v>Dec-2024</v>
      </c>
      <c r="M3885">
        <f>IF(LeadsData[[#This Row],[Stage Number]]&gt;=2,1,0)</f>
        <v>1</v>
      </c>
      <c r="N3885" s="2">
        <f>IF(LeadsData[[#This Row],[Stage Number]]&gt;=3,1,0)</f>
        <v>0</v>
      </c>
      <c r="O3885" s="2">
        <f>IF(LeadsData[[#This Row],[Stage Number]]&gt;=4,1,0)</f>
        <v>0</v>
      </c>
    </row>
    <row r="3886" spans="1:15" x14ac:dyDescent="0.25">
      <c r="A3886" t="s">
        <v>3926</v>
      </c>
      <c r="B3886" s="1">
        <v>45352</v>
      </c>
      <c r="C3886" t="s">
        <v>46</v>
      </c>
      <c r="D3886" t="s">
        <v>56</v>
      </c>
      <c r="E3886" t="s">
        <v>21</v>
      </c>
      <c r="F3886" t="s">
        <v>19</v>
      </c>
      <c r="G3886" t="s">
        <v>15</v>
      </c>
      <c r="K3886" cm="1">
        <f t="array" ref="K3886">_xlfn.SWITCH(LeadsData[[#This Row],[Funnel Stage Reached]],"Lead",1,"MQL",2,"SQL",3,"Customer",4)</f>
        <v>1</v>
      </c>
      <c r="L3886" t="str">
        <f>TEXT(LeadsData[[#This Row],[Signup Date]],"mmm-yyyy")</f>
        <v>Mar-2024</v>
      </c>
      <c r="M3886">
        <f>IF(LeadsData[[#This Row],[Stage Number]]&gt;=2,1,0)</f>
        <v>0</v>
      </c>
      <c r="N3886" s="2">
        <f>IF(LeadsData[[#This Row],[Stage Number]]&gt;=3,1,0)</f>
        <v>0</v>
      </c>
      <c r="O3886" s="2">
        <f>IF(LeadsData[[#This Row],[Stage Number]]&gt;=4,1,0)</f>
        <v>0</v>
      </c>
    </row>
    <row r="3887" spans="1:15" x14ac:dyDescent="0.25">
      <c r="A3887" t="s">
        <v>3927</v>
      </c>
      <c r="B3887" s="1">
        <v>45407</v>
      </c>
      <c r="C3887" t="s">
        <v>31</v>
      </c>
      <c r="D3887" t="s">
        <v>34</v>
      </c>
      <c r="E3887" t="s">
        <v>21</v>
      </c>
      <c r="F3887" t="s">
        <v>19</v>
      </c>
      <c r="G3887" t="s">
        <v>29</v>
      </c>
      <c r="K3887" cm="1">
        <f t="array" ref="K3887">_xlfn.SWITCH(LeadsData[[#This Row],[Funnel Stage Reached]],"Lead",1,"MQL",2,"SQL",3,"Customer",4)</f>
        <v>3</v>
      </c>
      <c r="L3887" t="str">
        <f>TEXT(LeadsData[[#This Row],[Signup Date]],"mmm-yyyy")</f>
        <v>Apr-2024</v>
      </c>
      <c r="M3887">
        <f>IF(LeadsData[[#This Row],[Stage Number]]&gt;=2,1,0)</f>
        <v>1</v>
      </c>
      <c r="N3887" s="2">
        <f>IF(LeadsData[[#This Row],[Stage Number]]&gt;=3,1,0)</f>
        <v>1</v>
      </c>
      <c r="O3887" s="2">
        <f>IF(LeadsData[[#This Row],[Stage Number]]&gt;=4,1,0)</f>
        <v>0</v>
      </c>
    </row>
    <row r="3888" spans="1:15" x14ac:dyDescent="0.25">
      <c r="A3888" t="s">
        <v>3928</v>
      </c>
      <c r="B3888" s="1">
        <v>45547</v>
      </c>
      <c r="C3888" t="s">
        <v>46</v>
      </c>
      <c r="D3888" t="s">
        <v>47</v>
      </c>
      <c r="E3888" t="s">
        <v>13</v>
      </c>
      <c r="F3888" t="s">
        <v>22</v>
      </c>
      <c r="G3888" t="s">
        <v>29</v>
      </c>
      <c r="K3888" cm="1">
        <f t="array" ref="K3888">_xlfn.SWITCH(LeadsData[[#This Row],[Funnel Stage Reached]],"Lead",1,"MQL",2,"SQL",3,"Customer",4)</f>
        <v>3</v>
      </c>
      <c r="L3888" t="str">
        <f>TEXT(LeadsData[[#This Row],[Signup Date]],"mmm-yyyy")</f>
        <v>Sep-2024</v>
      </c>
      <c r="M3888">
        <f>IF(LeadsData[[#This Row],[Stage Number]]&gt;=2,1,0)</f>
        <v>1</v>
      </c>
      <c r="N3888" s="2">
        <f>IF(LeadsData[[#This Row],[Stage Number]]&gt;=3,1,0)</f>
        <v>1</v>
      </c>
      <c r="O3888" s="2">
        <f>IF(LeadsData[[#This Row],[Stage Number]]&gt;=4,1,0)</f>
        <v>0</v>
      </c>
    </row>
    <row r="3889" spans="1:15" x14ac:dyDescent="0.25">
      <c r="A3889" t="s">
        <v>3929</v>
      </c>
      <c r="B3889" s="1">
        <v>45617</v>
      </c>
      <c r="C3889" t="s">
        <v>17</v>
      </c>
      <c r="D3889" t="s">
        <v>18</v>
      </c>
      <c r="E3889" t="s">
        <v>21</v>
      </c>
      <c r="F3889" t="s">
        <v>19</v>
      </c>
      <c r="G3889" t="s">
        <v>15</v>
      </c>
      <c r="K3889" cm="1">
        <f t="array" ref="K3889">_xlfn.SWITCH(LeadsData[[#This Row],[Funnel Stage Reached]],"Lead",1,"MQL",2,"SQL",3,"Customer",4)</f>
        <v>1</v>
      </c>
      <c r="L3889" t="str">
        <f>TEXT(LeadsData[[#This Row],[Signup Date]],"mmm-yyyy")</f>
        <v>Nov-2024</v>
      </c>
      <c r="M3889">
        <f>IF(LeadsData[[#This Row],[Stage Number]]&gt;=2,1,0)</f>
        <v>0</v>
      </c>
      <c r="N3889" s="2">
        <f>IF(LeadsData[[#This Row],[Stage Number]]&gt;=3,1,0)</f>
        <v>0</v>
      </c>
      <c r="O3889" s="2">
        <f>IF(LeadsData[[#This Row],[Stage Number]]&gt;=4,1,0)</f>
        <v>0</v>
      </c>
    </row>
    <row r="3890" spans="1:15" x14ac:dyDescent="0.25">
      <c r="A3890" t="s">
        <v>3930</v>
      </c>
      <c r="B3890" s="1">
        <v>45637</v>
      </c>
      <c r="C3890" t="s">
        <v>31</v>
      </c>
      <c r="D3890" t="s">
        <v>34</v>
      </c>
      <c r="E3890" t="s">
        <v>13</v>
      </c>
      <c r="F3890" t="s">
        <v>22</v>
      </c>
      <c r="G3890" t="s">
        <v>29</v>
      </c>
      <c r="K3890" cm="1">
        <f t="array" ref="K3890">_xlfn.SWITCH(LeadsData[[#This Row],[Funnel Stage Reached]],"Lead",1,"MQL",2,"SQL",3,"Customer",4)</f>
        <v>3</v>
      </c>
      <c r="L3890" t="str">
        <f>TEXT(LeadsData[[#This Row],[Signup Date]],"mmm-yyyy")</f>
        <v>Dec-2024</v>
      </c>
      <c r="M3890">
        <f>IF(LeadsData[[#This Row],[Stage Number]]&gt;=2,1,0)</f>
        <v>1</v>
      </c>
      <c r="N3890" s="2">
        <f>IF(LeadsData[[#This Row],[Stage Number]]&gt;=3,1,0)</f>
        <v>1</v>
      </c>
      <c r="O3890" s="2">
        <f>IF(LeadsData[[#This Row],[Stage Number]]&gt;=4,1,0)</f>
        <v>0</v>
      </c>
    </row>
    <row r="3891" spans="1:15" x14ac:dyDescent="0.25">
      <c r="A3891" t="s">
        <v>3931</v>
      </c>
      <c r="B3891" s="1">
        <v>45356</v>
      </c>
      <c r="C3891" t="s">
        <v>46</v>
      </c>
      <c r="D3891" t="s">
        <v>47</v>
      </c>
      <c r="E3891" t="s">
        <v>21</v>
      </c>
      <c r="F3891" t="s">
        <v>14</v>
      </c>
      <c r="G3891" t="s">
        <v>29</v>
      </c>
      <c r="K3891" cm="1">
        <f t="array" ref="K3891">_xlfn.SWITCH(LeadsData[[#This Row],[Funnel Stage Reached]],"Lead",1,"MQL",2,"SQL",3,"Customer",4)</f>
        <v>3</v>
      </c>
      <c r="L3891" t="str">
        <f>TEXT(LeadsData[[#This Row],[Signup Date]],"mmm-yyyy")</f>
        <v>Mar-2024</v>
      </c>
      <c r="M3891">
        <f>IF(LeadsData[[#This Row],[Stage Number]]&gt;=2,1,0)</f>
        <v>1</v>
      </c>
      <c r="N3891" s="2">
        <f>IF(LeadsData[[#This Row],[Stage Number]]&gt;=3,1,0)</f>
        <v>1</v>
      </c>
      <c r="O3891" s="2">
        <f>IF(LeadsData[[#This Row],[Stage Number]]&gt;=4,1,0)</f>
        <v>0</v>
      </c>
    </row>
    <row r="3892" spans="1:15" x14ac:dyDescent="0.25">
      <c r="A3892" t="s">
        <v>3932</v>
      </c>
      <c r="B3892" s="1">
        <v>45613</v>
      </c>
      <c r="C3892" t="s">
        <v>11</v>
      </c>
      <c r="D3892" t="s">
        <v>79</v>
      </c>
      <c r="E3892" t="s">
        <v>21</v>
      </c>
      <c r="F3892" t="s">
        <v>19</v>
      </c>
      <c r="G3892" t="s">
        <v>15</v>
      </c>
      <c r="K3892" cm="1">
        <f t="array" ref="K3892">_xlfn.SWITCH(LeadsData[[#This Row],[Funnel Stage Reached]],"Lead",1,"MQL",2,"SQL",3,"Customer",4)</f>
        <v>1</v>
      </c>
      <c r="L3892" t="str">
        <f>TEXT(LeadsData[[#This Row],[Signup Date]],"mmm-yyyy")</f>
        <v>Nov-2024</v>
      </c>
      <c r="M3892">
        <f>IF(LeadsData[[#This Row],[Stage Number]]&gt;=2,1,0)</f>
        <v>0</v>
      </c>
      <c r="N3892" s="2">
        <f>IF(LeadsData[[#This Row],[Stage Number]]&gt;=3,1,0)</f>
        <v>0</v>
      </c>
      <c r="O3892" s="2">
        <f>IF(LeadsData[[#This Row],[Stage Number]]&gt;=4,1,0)</f>
        <v>0</v>
      </c>
    </row>
    <row r="3893" spans="1:15" x14ac:dyDescent="0.25">
      <c r="A3893" t="s">
        <v>3933</v>
      </c>
      <c r="B3893" s="1">
        <v>45521</v>
      </c>
      <c r="C3893" t="s">
        <v>31</v>
      </c>
      <c r="D3893" t="s">
        <v>32</v>
      </c>
      <c r="E3893" t="s">
        <v>13</v>
      </c>
      <c r="F3893" t="s">
        <v>19</v>
      </c>
      <c r="G3893" t="s">
        <v>23</v>
      </c>
      <c r="K3893" cm="1">
        <f t="array" ref="K3893">_xlfn.SWITCH(LeadsData[[#This Row],[Funnel Stage Reached]],"Lead",1,"MQL",2,"SQL",3,"Customer",4)</f>
        <v>2</v>
      </c>
      <c r="L3893" t="str">
        <f>TEXT(LeadsData[[#This Row],[Signup Date]],"mmm-yyyy")</f>
        <v>Aug-2024</v>
      </c>
      <c r="M3893">
        <f>IF(LeadsData[[#This Row],[Stage Number]]&gt;=2,1,0)</f>
        <v>1</v>
      </c>
      <c r="N3893" s="2">
        <f>IF(LeadsData[[#This Row],[Stage Number]]&gt;=3,1,0)</f>
        <v>0</v>
      </c>
      <c r="O3893" s="2">
        <f>IF(LeadsData[[#This Row],[Stage Number]]&gt;=4,1,0)</f>
        <v>0</v>
      </c>
    </row>
    <row r="3894" spans="1:15" x14ac:dyDescent="0.25">
      <c r="A3894" t="s">
        <v>3934</v>
      </c>
      <c r="B3894" s="1">
        <v>45586</v>
      </c>
      <c r="C3894" t="s">
        <v>46</v>
      </c>
      <c r="D3894" t="s">
        <v>56</v>
      </c>
      <c r="E3894" t="s">
        <v>13</v>
      </c>
      <c r="F3894" t="s">
        <v>14</v>
      </c>
      <c r="G3894" t="s">
        <v>15</v>
      </c>
      <c r="K3894" cm="1">
        <f t="array" ref="K3894">_xlfn.SWITCH(LeadsData[[#This Row],[Funnel Stage Reached]],"Lead",1,"MQL",2,"SQL",3,"Customer",4)</f>
        <v>1</v>
      </c>
      <c r="L3894" t="str">
        <f>TEXT(LeadsData[[#This Row],[Signup Date]],"mmm-yyyy")</f>
        <v>Oct-2024</v>
      </c>
      <c r="M3894">
        <f>IF(LeadsData[[#This Row],[Stage Number]]&gt;=2,1,0)</f>
        <v>0</v>
      </c>
      <c r="N3894" s="2">
        <f>IF(LeadsData[[#This Row],[Stage Number]]&gt;=3,1,0)</f>
        <v>0</v>
      </c>
      <c r="O3894" s="2">
        <f>IF(LeadsData[[#This Row],[Stage Number]]&gt;=4,1,0)</f>
        <v>0</v>
      </c>
    </row>
    <row r="3895" spans="1:15" x14ac:dyDescent="0.25">
      <c r="A3895" t="s">
        <v>3935</v>
      </c>
      <c r="B3895" s="1">
        <v>45642</v>
      </c>
      <c r="C3895" t="s">
        <v>11</v>
      </c>
      <c r="D3895" t="s">
        <v>12</v>
      </c>
      <c r="E3895" t="s">
        <v>13</v>
      </c>
      <c r="F3895" t="s">
        <v>19</v>
      </c>
      <c r="G3895" t="s">
        <v>15</v>
      </c>
      <c r="K3895" cm="1">
        <f t="array" ref="K3895">_xlfn.SWITCH(LeadsData[[#This Row],[Funnel Stage Reached]],"Lead",1,"MQL",2,"SQL",3,"Customer",4)</f>
        <v>1</v>
      </c>
      <c r="L3895" t="str">
        <f>TEXT(LeadsData[[#This Row],[Signup Date]],"mmm-yyyy")</f>
        <v>Dec-2024</v>
      </c>
      <c r="M3895">
        <f>IF(LeadsData[[#This Row],[Stage Number]]&gt;=2,1,0)</f>
        <v>0</v>
      </c>
      <c r="N3895" s="2">
        <f>IF(LeadsData[[#This Row],[Stage Number]]&gt;=3,1,0)</f>
        <v>0</v>
      </c>
      <c r="O3895" s="2">
        <f>IF(LeadsData[[#This Row],[Stage Number]]&gt;=4,1,0)</f>
        <v>0</v>
      </c>
    </row>
    <row r="3896" spans="1:15" x14ac:dyDescent="0.25">
      <c r="A3896" t="s">
        <v>3936</v>
      </c>
      <c r="B3896" s="1">
        <v>45633</v>
      </c>
      <c r="C3896" t="s">
        <v>25</v>
      </c>
      <c r="D3896" t="s">
        <v>26</v>
      </c>
      <c r="E3896" t="s">
        <v>21</v>
      </c>
      <c r="F3896" t="s">
        <v>22</v>
      </c>
      <c r="G3896" t="s">
        <v>15</v>
      </c>
      <c r="K3896" cm="1">
        <f t="array" ref="K3896">_xlfn.SWITCH(LeadsData[[#This Row],[Funnel Stage Reached]],"Lead",1,"MQL",2,"SQL",3,"Customer",4)</f>
        <v>1</v>
      </c>
      <c r="L3896" t="str">
        <f>TEXT(LeadsData[[#This Row],[Signup Date]],"mmm-yyyy")</f>
        <v>Dec-2024</v>
      </c>
      <c r="M3896">
        <f>IF(LeadsData[[#This Row],[Stage Number]]&gt;=2,1,0)</f>
        <v>0</v>
      </c>
      <c r="N3896" s="2">
        <f>IF(LeadsData[[#This Row],[Stage Number]]&gt;=3,1,0)</f>
        <v>0</v>
      </c>
      <c r="O3896" s="2">
        <f>IF(LeadsData[[#This Row],[Stage Number]]&gt;=4,1,0)</f>
        <v>0</v>
      </c>
    </row>
    <row r="3897" spans="1:15" x14ac:dyDescent="0.25">
      <c r="A3897" t="s">
        <v>3937</v>
      </c>
      <c r="B3897" s="1">
        <v>45586</v>
      </c>
      <c r="C3897" t="s">
        <v>11</v>
      </c>
      <c r="D3897" t="s">
        <v>79</v>
      </c>
      <c r="E3897" t="s">
        <v>13</v>
      </c>
      <c r="F3897" t="s">
        <v>19</v>
      </c>
      <c r="G3897" t="s">
        <v>15</v>
      </c>
      <c r="K3897" cm="1">
        <f t="array" ref="K3897">_xlfn.SWITCH(LeadsData[[#This Row],[Funnel Stage Reached]],"Lead",1,"MQL",2,"SQL",3,"Customer",4)</f>
        <v>1</v>
      </c>
      <c r="L3897" t="str">
        <f>TEXT(LeadsData[[#This Row],[Signup Date]],"mmm-yyyy")</f>
        <v>Oct-2024</v>
      </c>
      <c r="M3897">
        <f>IF(LeadsData[[#This Row],[Stage Number]]&gt;=2,1,0)</f>
        <v>0</v>
      </c>
      <c r="N3897" s="2">
        <f>IF(LeadsData[[#This Row],[Stage Number]]&gt;=3,1,0)</f>
        <v>0</v>
      </c>
      <c r="O3897" s="2">
        <f>IF(LeadsData[[#This Row],[Stage Number]]&gt;=4,1,0)</f>
        <v>0</v>
      </c>
    </row>
    <row r="3898" spans="1:15" x14ac:dyDescent="0.25">
      <c r="A3898" t="s">
        <v>3938</v>
      </c>
      <c r="B3898" s="1">
        <v>45560</v>
      </c>
      <c r="C3898" t="s">
        <v>11</v>
      </c>
      <c r="D3898" t="s">
        <v>79</v>
      </c>
      <c r="E3898" t="s">
        <v>13</v>
      </c>
      <c r="F3898" t="s">
        <v>14</v>
      </c>
      <c r="G3898" t="s">
        <v>29</v>
      </c>
      <c r="K3898" cm="1">
        <f t="array" ref="K3898">_xlfn.SWITCH(LeadsData[[#This Row],[Funnel Stage Reached]],"Lead",1,"MQL",2,"SQL",3,"Customer",4)</f>
        <v>3</v>
      </c>
      <c r="L3898" t="str">
        <f>TEXT(LeadsData[[#This Row],[Signup Date]],"mmm-yyyy")</f>
        <v>Sep-2024</v>
      </c>
      <c r="M3898">
        <f>IF(LeadsData[[#This Row],[Stage Number]]&gt;=2,1,0)</f>
        <v>1</v>
      </c>
      <c r="N3898" s="2">
        <f>IF(LeadsData[[#This Row],[Stage Number]]&gt;=3,1,0)</f>
        <v>1</v>
      </c>
      <c r="O3898" s="2">
        <f>IF(LeadsData[[#This Row],[Stage Number]]&gt;=4,1,0)</f>
        <v>0</v>
      </c>
    </row>
    <row r="3899" spans="1:15" x14ac:dyDescent="0.25">
      <c r="A3899" t="s">
        <v>3939</v>
      </c>
      <c r="B3899" s="1">
        <v>45367</v>
      </c>
      <c r="C3899" t="s">
        <v>25</v>
      </c>
      <c r="D3899" t="s">
        <v>26</v>
      </c>
      <c r="E3899" t="s">
        <v>21</v>
      </c>
      <c r="F3899" t="s">
        <v>19</v>
      </c>
      <c r="G3899" t="s">
        <v>15</v>
      </c>
      <c r="K3899" cm="1">
        <f t="array" ref="K3899">_xlfn.SWITCH(LeadsData[[#This Row],[Funnel Stage Reached]],"Lead",1,"MQL",2,"SQL",3,"Customer",4)</f>
        <v>1</v>
      </c>
      <c r="L3899" t="str">
        <f>TEXT(LeadsData[[#This Row],[Signup Date]],"mmm-yyyy")</f>
        <v>Mar-2024</v>
      </c>
      <c r="M3899">
        <f>IF(LeadsData[[#This Row],[Stage Number]]&gt;=2,1,0)</f>
        <v>0</v>
      </c>
      <c r="N3899" s="2">
        <f>IF(LeadsData[[#This Row],[Stage Number]]&gt;=3,1,0)</f>
        <v>0</v>
      </c>
      <c r="O3899" s="2">
        <f>IF(LeadsData[[#This Row],[Stage Number]]&gt;=4,1,0)</f>
        <v>0</v>
      </c>
    </row>
    <row r="3900" spans="1:15" x14ac:dyDescent="0.25">
      <c r="A3900" t="s">
        <v>3940</v>
      </c>
      <c r="B3900" s="1">
        <v>45601</v>
      </c>
      <c r="C3900" t="s">
        <v>31</v>
      </c>
      <c r="D3900" t="s">
        <v>32</v>
      </c>
      <c r="E3900" t="s">
        <v>21</v>
      </c>
      <c r="F3900" t="s">
        <v>22</v>
      </c>
      <c r="G3900" t="s">
        <v>29</v>
      </c>
      <c r="K3900" cm="1">
        <f t="array" ref="K3900">_xlfn.SWITCH(LeadsData[[#This Row],[Funnel Stage Reached]],"Lead",1,"MQL",2,"SQL",3,"Customer",4)</f>
        <v>3</v>
      </c>
      <c r="L3900" t="str">
        <f>TEXT(LeadsData[[#This Row],[Signup Date]],"mmm-yyyy")</f>
        <v>Nov-2024</v>
      </c>
      <c r="M3900">
        <f>IF(LeadsData[[#This Row],[Stage Number]]&gt;=2,1,0)</f>
        <v>1</v>
      </c>
      <c r="N3900" s="2">
        <f>IF(LeadsData[[#This Row],[Stage Number]]&gt;=3,1,0)</f>
        <v>1</v>
      </c>
      <c r="O3900" s="2">
        <f>IF(LeadsData[[#This Row],[Stage Number]]&gt;=4,1,0)</f>
        <v>0</v>
      </c>
    </row>
    <row r="3901" spans="1:15" x14ac:dyDescent="0.25">
      <c r="A3901" t="s">
        <v>3941</v>
      </c>
      <c r="B3901" s="1">
        <v>45611</v>
      </c>
      <c r="C3901" t="s">
        <v>31</v>
      </c>
      <c r="D3901" t="s">
        <v>32</v>
      </c>
      <c r="E3901" t="s">
        <v>21</v>
      </c>
      <c r="F3901" t="s">
        <v>14</v>
      </c>
      <c r="G3901" t="s">
        <v>23</v>
      </c>
      <c r="K3901" cm="1">
        <f t="array" ref="K3901">_xlfn.SWITCH(LeadsData[[#This Row],[Funnel Stage Reached]],"Lead",1,"MQL",2,"SQL",3,"Customer",4)</f>
        <v>2</v>
      </c>
      <c r="L3901" t="str">
        <f>TEXT(LeadsData[[#This Row],[Signup Date]],"mmm-yyyy")</f>
        <v>Nov-2024</v>
      </c>
      <c r="M3901">
        <f>IF(LeadsData[[#This Row],[Stage Number]]&gt;=2,1,0)</f>
        <v>1</v>
      </c>
      <c r="N3901" s="2">
        <f>IF(LeadsData[[#This Row],[Stage Number]]&gt;=3,1,0)</f>
        <v>0</v>
      </c>
      <c r="O3901" s="2">
        <f>IF(LeadsData[[#This Row],[Stage Number]]&gt;=4,1,0)</f>
        <v>0</v>
      </c>
    </row>
    <row r="3902" spans="1:15" x14ac:dyDescent="0.25">
      <c r="A3902" t="s">
        <v>3942</v>
      </c>
      <c r="B3902" s="1">
        <v>45622</v>
      </c>
      <c r="C3902" t="s">
        <v>11</v>
      </c>
      <c r="D3902" t="s">
        <v>79</v>
      </c>
      <c r="E3902" t="s">
        <v>21</v>
      </c>
      <c r="F3902" t="s">
        <v>28</v>
      </c>
      <c r="G3902" t="s">
        <v>15</v>
      </c>
      <c r="K3902" cm="1">
        <f t="array" ref="K3902">_xlfn.SWITCH(LeadsData[[#This Row],[Funnel Stage Reached]],"Lead",1,"MQL",2,"SQL",3,"Customer",4)</f>
        <v>1</v>
      </c>
      <c r="L3902" t="str">
        <f>TEXT(LeadsData[[#This Row],[Signup Date]],"mmm-yyyy")</f>
        <v>Nov-2024</v>
      </c>
      <c r="M3902">
        <f>IF(LeadsData[[#This Row],[Stage Number]]&gt;=2,1,0)</f>
        <v>0</v>
      </c>
      <c r="N3902" s="2">
        <f>IF(LeadsData[[#This Row],[Stage Number]]&gt;=3,1,0)</f>
        <v>0</v>
      </c>
      <c r="O3902" s="2">
        <f>IF(LeadsData[[#This Row],[Stage Number]]&gt;=4,1,0)</f>
        <v>0</v>
      </c>
    </row>
    <row r="3903" spans="1:15" x14ac:dyDescent="0.25">
      <c r="A3903" t="s">
        <v>3943</v>
      </c>
      <c r="B3903" s="1">
        <v>45418</v>
      </c>
      <c r="C3903" t="s">
        <v>11</v>
      </c>
      <c r="D3903" t="s">
        <v>68</v>
      </c>
      <c r="E3903" t="s">
        <v>13</v>
      </c>
      <c r="F3903" t="s">
        <v>19</v>
      </c>
      <c r="G3903" t="s">
        <v>15</v>
      </c>
      <c r="K3903" cm="1">
        <f t="array" ref="K3903">_xlfn.SWITCH(LeadsData[[#This Row],[Funnel Stage Reached]],"Lead",1,"MQL",2,"SQL",3,"Customer",4)</f>
        <v>1</v>
      </c>
      <c r="L3903" t="str">
        <f>TEXT(LeadsData[[#This Row],[Signup Date]],"mmm-yyyy")</f>
        <v>May-2024</v>
      </c>
      <c r="M3903">
        <f>IF(LeadsData[[#This Row],[Stage Number]]&gt;=2,1,0)</f>
        <v>0</v>
      </c>
      <c r="N3903" s="2">
        <f>IF(LeadsData[[#This Row],[Stage Number]]&gt;=3,1,0)</f>
        <v>0</v>
      </c>
      <c r="O3903" s="2">
        <f>IF(LeadsData[[#This Row],[Stage Number]]&gt;=4,1,0)</f>
        <v>0</v>
      </c>
    </row>
    <row r="3904" spans="1:15" x14ac:dyDescent="0.25">
      <c r="A3904" t="s">
        <v>3944</v>
      </c>
      <c r="B3904" s="1">
        <v>45605</v>
      </c>
      <c r="C3904" t="s">
        <v>46</v>
      </c>
      <c r="D3904" t="s">
        <v>56</v>
      </c>
      <c r="E3904" t="s">
        <v>13</v>
      </c>
      <c r="F3904" t="s">
        <v>14</v>
      </c>
      <c r="G3904" t="s">
        <v>15</v>
      </c>
      <c r="K3904" cm="1">
        <f t="array" ref="K3904">_xlfn.SWITCH(LeadsData[[#This Row],[Funnel Stage Reached]],"Lead",1,"MQL",2,"SQL",3,"Customer",4)</f>
        <v>1</v>
      </c>
      <c r="L3904" t="str">
        <f>TEXT(LeadsData[[#This Row],[Signup Date]],"mmm-yyyy")</f>
        <v>Nov-2024</v>
      </c>
      <c r="M3904">
        <f>IF(LeadsData[[#This Row],[Stage Number]]&gt;=2,1,0)</f>
        <v>0</v>
      </c>
      <c r="N3904" s="2">
        <f>IF(LeadsData[[#This Row],[Stage Number]]&gt;=3,1,0)</f>
        <v>0</v>
      </c>
      <c r="O3904" s="2">
        <f>IF(LeadsData[[#This Row],[Stage Number]]&gt;=4,1,0)</f>
        <v>0</v>
      </c>
    </row>
    <row r="3905" spans="1:15" x14ac:dyDescent="0.25">
      <c r="A3905" t="s">
        <v>3945</v>
      </c>
      <c r="B3905" s="1">
        <v>45373</v>
      </c>
      <c r="C3905" t="s">
        <v>25</v>
      </c>
      <c r="D3905" t="s">
        <v>26</v>
      </c>
      <c r="E3905" t="s">
        <v>21</v>
      </c>
      <c r="F3905" t="s">
        <v>22</v>
      </c>
      <c r="G3905" t="s">
        <v>15</v>
      </c>
      <c r="K3905" cm="1">
        <f t="array" ref="K3905">_xlfn.SWITCH(LeadsData[[#This Row],[Funnel Stage Reached]],"Lead",1,"MQL",2,"SQL",3,"Customer",4)</f>
        <v>1</v>
      </c>
      <c r="L3905" t="str">
        <f>TEXT(LeadsData[[#This Row],[Signup Date]],"mmm-yyyy")</f>
        <v>Mar-2024</v>
      </c>
      <c r="M3905">
        <f>IF(LeadsData[[#This Row],[Stage Number]]&gt;=2,1,0)</f>
        <v>0</v>
      </c>
      <c r="N3905" s="2">
        <f>IF(LeadsData[[#This Row],[Stage Number]]&gt;=3,1,0)</f>
        <v>0</v>
      </c>
      <c r="O3905" s="2">
        <f>IF(LeadsData[[#This Row],[Stage Number]]&gt;=4,1,0)</f>
        <v>0</v>
      </c>
    </row>
    <row r="3906" spans="1:15" x14ac:dyDescent="0.25">
      <c r="A3906" t="s">
        <v>3946</v>
      </c>
      <c r="B3906" s="1">
        <v>45520</v>
      </c>
      <c r="C3906" t="s">
        <v>46</v>
      </c>
      <c r="D3906" t="s">
        <v>56</v>
      </c>
      <c r="E3906" t="s">
        <v>21</v>
      </c>
      <c r="F3906" t="s">
        <v>14</v>
      </c>
      <c r="G3906" t="s">
        <v>23</v>
      </c>
      <c r="K3906" cm="1">
        <f t="array" ref="K3906">_xlfn.SWITCH(LeadsData[[#This Row],[Funnel Stage Reached]],"Lead",1,"MQL",2,"SQL",3,"Customer",4)</f>
        <v>2</v>
      </c>
      <c r="L3906" t="str">
        <f>TEXT(LeadsData[[#This Row],[Signup Date]],"mmm-yyyy")</f>
        <v>Aug-2024</v>
      </c>
      <c r="M3906">
        <f>IF(LeadsData[[#This Row],[Stage Number]]&gt;=2,1,0)</f>
        <v>1</v>
      </c>
      <c r="N3906" s="2">
        <f>IF(LeadsData[[#This Row],[Stage Number]]&gt;=3,1,0)</f>
        <v>0</v>
      </c>
      <c r="O3906" s="2">
        <f>IF(LeadsData[[#This Row],[Stage Number]]&gt;=4,1,0)</f>
        <v>0</v>
      </c>
    </row>
    <row r="3907" spans="1:15" x14ac:dyDescent="0.25">
      <c r="A3907" t="s">
        <v>3947</v>
      </c>
      <c r="B3907" s="1">
        <v>45361</v>
      </c>
      <c r="C3907" t="s">
        <v>36</v>
      </c>
      <c r="D3907" t="s">
        <v>50</v>
      </c>
      <c r="E3907" t="s">
        <v>13</v>
      </c>
      <c r="F3907" t="s">
        <v>22</v>
      </c>
      <c r="G3907" t="s">
        <v>29</v>
      </c>
      <c r="K3907" cm="1">
        <f t="array" ref="K3907">_xlfn.SWITCH(LeadsData[[#This Row],[Funnel Stage Reached]],"Lead",1,"MQL",2,"SQL",3,"Customer",4)</f>
        <v>3</v>
      </c>
      <c r="L3907" t="str">
        <f>TEXT(LeadsData[[#This Row],[Signup Date]],"mmm-yyyy")</f>
        <v>Mar-2024</v>
      </c>
      <c r="M3907">
        <f>IF(LeadsData[[#This Row],[Stage Number]]&gt;=2,1,0)</f>
        <v>1</v>
      </c>
      <c r="N3907" s="2">
        <f>IF(LeadsData[[#This Row],[Stage Number]]&gt;=3,1,0)</f>
        <v>1</v>
      </c>
      <c r="O3907" s="2">
        <f>IF(LeadsData[[#This Row],[Stage Number]]&gt;=4,1,0)</f>
        <v>0</v>
      </c>
    </row>
    <row r="3908" spans="1:15" x14ac:dyDescent="0.25">
      <c r="A3908" t="s">
        <v>3948</v>
      </c>
      <c r="B3908" s="1">
        <v>45303</v>
      </c>
      <c r="C3908" t="s">
        <v>31</v>
      </c>
      <c r="D3908" t="s">
        <v>32</v>
      </c>
      <c r="E3908" t="s">
        <v>13</v>
      </c>
      <c r="F3908" t="s">
        <v>19</v>
      </c>
      <c r="G3908" t="s">
        <v>42</v>
      </c>
      <c r="H3908">
        <v>35</v>
      </c>
      <c r="I3908" t="s">
        <v>43</v>
      </c>
      <c r="J3908">
        <v>1430.83</v>
      </c>
      <c r="K3908" cm="1">
        <f t="array" ref="K3908">_xlfn.SWITCH(LeadsData[[#This Row],[Funnel Stage Reached]],"Lead",1,"MQL",2,"SQL",3,"Customer",4)</f>
        <v>4</v>
      </c>
      <c r="L3908" t="str">
        <f>TEXT(LeadsData[[#This Row],[Signup Date]],"mmm-yyyy")</f>
        <v>Jan-2024</v>
      </c>
      <c r="M3908">
        <f>IF(LeadsData[[#This Row],[Stage Number]]&gt;=2,1,0)</f>
        <v>1</v>
      </c>
      <c r="N3908" s="2">
        <f>IF(LeadsData[[#This Row],[Stage Number]]&gt;=3,1,0)</f>
        <v>1</v>
      </c>
      <c r="O3908" s="2">
        <f>IF(LeadsData[[#This Row],[Stage Number]]&gt;=4,1,0)</f>
        <v>1</v>
      </c>
    </row>
    <row r="3909" spans="1:15" x14ac:dyDescent="0.25">
      <c r="A3909" t="s">
        <v>3949</v>
      </c>
      <c r="B3909" s="1">
        <v>45525</v>
      </c>
      <c r="C3909" t="s">
        <v>46</v>
      </c>
      <c r="D3909" t="s">
        <v>56</v>
      </c>
      <c r="E3909" t="s">
        <v>21</v>
      </c>
      <c r="F3909" t="s">
        <v>19</v>
      </c>
      <c r="G3909" t="s">
        <v>23</v>
      </c>
      <c r="K3909" cm="1">
        <f t="array" ref="K3909">_xlfn.SWITCH(LeadsData[[#This Row],[Funnel Stage Reached]],"Lead",1,"MQL",2,"SQL",3,"Customer",4)</f>
        <v>2</v>
      </c>
      <c r="L3909" t="str">
        <f>TEXT(LeadsData[[#This Row],[Signup Date]],"mmm-yyyy")</f>
        <v>Aug-2024</v>
      </c>
      <c r="M3909">
        <f>IF(LeadsData[[#This Row],[Stage Number]]&gt;=2,1,0)</f>
        <v>1</v>
      </c>
      <c r="N3909" s="2">
        <f>IF(LeadsData[[#This Row],[Stage Number]]&gt;=3,1,0)</f>
        <v>0</v>
      </c>
      <c r="O3909" s="2">
        <f>IF(LeadsData[[#This Row],[Stage Number]]&gt;=4,1,0)</f>
        <v>0</v>
      </c>
    </row>
    <row r="3910" spans="1:15" x14ac:dyDescent="0.25">
      <c r="A3910" t="s">
        <v>3950</v>
      </c>
      <c r="B3910" s="1">
        <v>45519</v>
      </c>
      <c r="C3910" t="s">
        <v>46</v>
      </c>
      <c r="D3910" t="s">
        <v>47</v>
      </c>
      <c r="E3910" t="s">
        <v>21</v>
      </c>
      <c r="F3910" t="s">
        <v>22</v>
      </c>
      <c r="G3910" t="s">
        <v>29</v>
      </c>
      <c r="K3910" cm="1">
        <f t="array" ref="K3910">_xlfn.SWITCH(LeadsData[[#This Row],[Funnel Stage Reached]],"Lead",1,"MQL",2,"SQL",3,"Customer",4)</f>
        <v>3</v>
      </c>
      <c r="L3910" t="str">
        <f>TEXT(LeadsData[[#This Row],[Signup Date]],"mmm-yyyy")</f>
        <v>Aug-2024</v>
      </c>
      <c r="M3910">
        <f>IF(LeadsData[[#This Row],[Stage Number]]&gt;=2,1,0)</f>
        <v>1</v>
      </c>
      <c r="N3910" s="2">
        <f>IF(LeadsData[[#This Row],[Stage Number]]&gt;=3,1,0)</f>
        <v>1</v>
      </c>
      <c r="O3910" s="2">
        <f>IF(LeadsData[[#This Row],[Stage Number]]&gt;=4,1,0)</f>
        <v>0</v>
      </c>
    </row>
    <row r="3911" spans="1:15" x14ac:dyDescent="0.25">
      <c r="A3911" t="s">
        <v>3951</v>
      </c>
      <c r="B3911" s="1">
        <v>45464</v>
      </c>
      <c r="C3911" t="s">
        <v>11</v>
      </c>
      <c r="D3911" t="s">
        <v>12</v>
      </c>
      <c r="E3911" t="s">
        <v>21</v>
      </c>
      <c r="F3911" t="s">
        <v>22</v>
      </c>
      <c r="G3911" t="s">
        <v>15</v>
      </c>
      <c r="K3911" cm="1">
        <f t="array" ref="K3911">_xlfn.SWITCH(LeadsData[[#This Row],[Funnel Stage Reached]],"Lead",1,"MQL",2,"SQL",3,"Customer",4)</f>
        <v>1</v>
      </c>
      <c r="L3911" t="str">
        <f>TEXT(LeadsData[[#This Row],[Signup Date]],"mmm-yyyy")</f>
        <v>Jun-2024</v>
      </c>
      <c r="M3911">
        <f>IF(LeadsData[[#This Row],[Stage Number]]&gt;=2,1,0)</f>
        <v>0</v>
      </c>
      <c r="N3911" s="2">
        <f>IF(LeadsData[[#This Row],[Stage Number]]&gt;=3,1,0)</f>
        <v>0</v>
      </c>
      <c r="O3911" s="2">
        <f>IF(LeadsData[[#This Row],[Stage Number]]&gt;=4,1,0)</f>
        <v>0</v>
      </c>
    </row>
    <row r="3912" spans="1:15" x14ac:dyDescent="0.25">
      <c r="A3912" t="s">
        <v>3952</v>
      </c>
      <c r="B3912" s="1">
        <v>45560</v>
      </c>
      <c r="C3912" t="s">
        <v>36</v>
      </c>
      <c r="D3912" t="s">
        <v>50</v>
      </c>
      <c r="E3912" t="s">
        <v>21</v>
      </c>
      <c r="F3912" t="s">
        <v>19</v>
      </c>
      <c r="G3912" t="s">
        <v>15</v>
      </c>
      <c r="K3912" cm="1">
        <f t="array" ref="K3912">_xlfn.SWITCH(LeadsData[[#This Row],[Funnel Stage Reached]],"Lead",1,"MQL",2,"SQL",3,"Customer",4)</f>
        <v>1</v>
      </c>
      <c r="L3912" t="str">
        <f>TEXT(LeadsData[[#This Row],[Signup Date]],"mmm-yyyy")</f>
        <v>Sep-2024</v>
      </c>
      <c r="M3912">
        <f>IF(LeadsData[[#This Row],[Stage Number]]&gt;=2,1,0)</f>
        <v>0</v>
      </c>
      <c r="N3912" s="2">
        <f>IF(LeadsData[[#This Row],[Stage Number]]&gt;=3,1,0)</f>
        <v>0</v>
      </c>
      <c r="O3912" s="2">
        <f>IF(LeadsData[[#This Row],[Stage Number]]&gt;=4,1,0)</f>
        <v>0</v>
      </c>
    </row>
    <row r="3913" spans="1:15" x14ac:dyDescent="0.25">
      <c r="A3913" t="s">
        <v>3953</v>
      </c>
      <c r="B3913" s="1">
        <v>45464</v>
      </c>
      <c r="C3913" t="s">
        <v>17</v>
      </c>
      <c r="D3913" t="s">
        <v>18</v>
      </c>
      <c r="E3913" t="s">
        <v>13</v>
      </c>
      <c r="F3913" t="s">
        <v>19</v>
      </c>
      <c r="G3913" t="s">
        <v>15</v>
      </c>
      <c r="K3913" cm="1">
        <f t="array" ref="K3913">_xlfn.SWITCH(LeadsData[[#This Row],[Funnel Stage Reached]],"Lead",1,"MQL",2,"SQL",3,"Customer",4)</f>
        <v>1</v>
      </c>
      <c r="L3913" t="str">
        <f>TEXT(LeadsData[[#This Row],[Signup Date]],"mmm-yyyy")</f>
        <v>Jun-2024</v>
      </c>
      <c r="M3913">
        <f>IF(LeadsData[[#This Row],[Stage Number]]&gt;=2,1,0)</f>
        <v>0</v>
      </c>
      <c r="N3913" s="2">
        <f>IF(LeadsData[[#This Row],[Stage Number]]&gt;=3,1,0)</f>
        <v>0</v>
      </c>
      <c r="O3913" s="2">
        <f>IF(LeadsData[[#This Row],[Stage Number]]&gt;=4,1,0)</f>
        <v>0</v>
      </c>
    </row>
    <row r="3914" spans="1:15" x14ac:dyDescent="0.25">
      <c r="A3914" t="s">
        <v>3954</v>
      </c>
      <c r="B3914" s="1">
        <v>45627</v>
      </c>
      <c r="C3914" t="s">
        <v>46</v>
      </c>
      <c r="D3914" t="s">
        <v>56</v>
      </c>
      <c r="E3914" t="s">
        <v>13</v>
      </c>
      <c r="F3914" t="s">
        <v>22</v>
      </c>
      <c r="G3914" t="s">
        <v>15</v>
      </c>
      <c r="K3914" cm="1">
        <f t="array" ref="K3914">_xlfn.SWITCH(LeadsData[[#This Row],[Funnel Stage Reached]],"Lead",1,"MQL",2,"SQL",3,"Customer",4)</f>
        <v>1</v>
      </c>
      <c r="L3914" t="str">
        <f>TEXT(LeadsData[[#This Row],[Signup Date]],"mmm-yyyy")</f>
        <v>Dec-2024</v>
      </c>
      <c r="M3914">
        <f>IF(LeadsData[[#This Row],[Stage Number]]&gt;=2,1,0)</f>
        <v>0</v>
      </c>
      <c r="N3914" s="2">
        <f>IF(LeadsData[[#This Row],[Stage Number]]&gt;=3,1,0)</f>
        <v>0</v>
      </c>
      <c r="O3914" s="2">
        <f>IF(LeadsData[[#This Row],[Stage Number]]&gt;=4,1,0)</f>
        <v>0</v>
      </c>
    </row>
    <row r="3915" spans="1:15" x14ac:dyDescent="0.25">
      <c r="A3915" t="s">
        <v>3955</v>
      </c>
      <c r="B3915" s="1">
        <v>45576</v>
      </c>
      <c r="C3915" t="s">
        <v>11</v>
      </c>
      <c r="D3915" t="s">
        <v>12</v>
      </c>
      <c r="E3915" t="s">
        <v>21</v>
      </c>
      <c r="F3915" t="s">
        <v>14</v>
      </c>
      <c r="G3915" t="s">
        <v>15</v>
      </c>
      <c r="K3915" cm="1">
        <f t="array" ref="K3915">_xlfn.SWITCH(LeadsData[[#This Row],[Funnel Stage Reached]],"Lead",1,"MQL",2,"SQL",3,"Customer",4)</f>
        <v>1</v>
      </c>
      <c r="L3915" t="str">
        <f>TEXT(LeadsData[[#This Row],[Signup Date]],"mmm-yyyy")</f>
        <v>Oct-2024</v>
      </c>
      <c r="M3915">
        <f>IF(LeadsData[[#This Row],[Stage Number]]&gt;=2,1,0)</f>
        <v>0</v>
      </c>
      <c r="N3915" s="2">
        <f>IF(LeadsData[[#This Row],[Stage Number]]&gt;=3,1,0)</f>
        <v>0</v>
      </c>
      <c r="O3915" s="2">
        <f>IF(LeadsData[[#This Row],[Stage Number]]&gt;=4,1,0)</f>
        <v>0</v>
      </c>
    </row>
    <row r="3916" spans="1:15" x14ac:dyDescent="0.25">
      <c r="A3916" t="s">
        <v>3956</v>
      </c>
      <c r="B3916" s="1">
        <v>45548</v>
      </c>
      <c r="C3916" t="s">
        <v>46</v>
      </c>
      <c r="D3916" t="s">
        <v>56</v>
      </c>
      <c r="E3916" t="s">
        <v>21</v>
      </c>
      <c r="F3916" t="s">
        <v>19</v>
      </c>
      <c r="G3916" t="s">
        <v>15</v>
      </c>
      <c r="K3916" cm="1">
        <f t="array" ref="K3916">_xlfn.SWITCH(LeadsData[[#This Row],[Funnel Stage Reached]],"Lead",1,"MQL",2,"SQL",3,"Customer",4)</f>
        <v>1</v>
      </c>
      <c r="L3916" t="str">
        <f>TEXT(LeadsData[[#This Row],[Signup Date]],"mmm-yyyy")</f>
        <v>Sep-2024</v>
      </c>
      <c r="M3916">
        <f>IF(LeadsData[[#This Row],[Stage Number]]&gt;=2,1,0)</f>
        <v>0</v>
      </c>
      <c r="N3916" s="2">
        <f>IF(LeadsData[[#This Row],[Stage Number]]&gt;=3,1,0)</f>
        <v>0</v>
      </c>
      <c r="O3916" s="2">
        <f>IF(LeadsData[[#This Row],[Stage Number]]&gt;=4,1,0)</f>
        <v>0</v>
      </c>
    </row>
    <row r="3917" spans="1:15" x14ac:dyDescent="0.25">
      <c r="A3917" t="s">
        <v>3957</v>
      </c>
      <c r="B3917" s="1">
        <v>45349</v>
      </c>
      <c r="C3917" t="s">
        <v>25</v>
      </c>
      <c r="D3917" t="s">
        <v>26</v>
      </c>
      <c r="E3917" t="s">
        <v>13</v>
      </c>
      <c r="F3917" t="s">
        <v>19</v>
      </c>
      <c r="G3917" t="s">
        <v>23</v>
      </c>
      <c r="K3917" cm="1">
        <f t="array" ref="K3917">_xlfn.SWITCH(LeadsData[[#This Row],[Funnel Stage Reached]],"Lead",1,"MQL",2,"SQL",3,"Customer",4)</f>
        <v>2</v>
      </c>
      <c r="L3917" t="str">
        <f>TEXT(LeadsData[[#This Row],[Signup Date]],"mmm-yyyy")</f>
        <v>Feb-2024</v>
      </c>
      <c r="M3917">
        <f>IF(LeadsData[[#This Row],[Stage Number]]&gt;=2,1,0)</f>
        <v>1</v>
      </c>
      <c r="N3917" s="2">
        <f>IF(LeadsData[[#This Row],[Stage Number]]&gt;=3,1,0)</f>
        <v>0</v>
      </c>
      <c r="O3917" s="2">
        <f>IF(LeadsData[[#This Row],[Stage Number]]&gt;=4,1,0)</f>
        <v>0</v>
      </c>
    </row>
    <row r="3918" spans="1:15" x14ac:dyDescent="0.25">
      <c r="A3918" t="s">
        <v>3958</v>
      </c>
      <c r="B3918" s="1">
        <v>45621</v>
      </c>
      <c r="C3918" t="s">
        <v>31</v>
      </c>
      <c r="D3918" t="s">
        <v>32</v>
      </c>
      <c r="E3918" t="s">
        <v>21</v>
      </c>
      <c r="F3918" t="s">
        <v>19</v>
      </c>
      <c r="G3918" t="s">
        <v>23</v>
      </c>
      <c r="K3918" cm="1">
        <f t="array" ref="K3918">_xlfn.SWITCH(LeadsData[[#This Row],[Funnel Stage Reached]],"Lead",1,"MQL",2,"SQL",3,"Customer",4)</f>
        <v>2</v>
      </c>
      <c r="L3918" t="str">
        <f>TEXT(LeadsData[[#This Row],[Signup Date]],"mmm-yyyy")</f>
        <v>Nov-2024</v>
      </c>
      <c r="M3918">
        <f>IF(LeadsData[[#This Row],[Stage Number]]&gt;=2,1,0)</f>
        <v>1</v>
      </c>
      <c r="N3918" s="2">
        <f>IF(LeadsData[[#This Row],[Stage Number]]&gt;=3,1,0)</f>
        <v>0</v>
      </c>
      <c r="O3918" s="2">
        <f>IF(LeadsData[[#This Row],[Stage Number]]&gt;=4,1,0)</f>
        <v>0</v>
      </c>
    </row>
    <row r="3919" spans="1:15" x14ac:dyDescent="0.25">
      <c r="A3919" t="s">
        <v>3959</v>
      </c>
      <c r="B3919" s="1">
        <v>45522</v>
      </c>
      <c r="C3919" t="s">
        <v>31</v>
      </c>
      <c r="D3919" t="s">
        <v>34</v>
      </c>
      <c r="E3919" t="s">
        <v>21</v>
      </c>
      <c r="F3919" t="s">
        <v>19</v>
      </c>
      <c r="G3919" t="s">
        <v>15</v>
      </c>
      <c r="K3919" cm="1">
        <f t="array" ref="K3919">_xlfn.SWITCH(LeadsData[[#This Row],[Funnel Stage Reached]],"Lead",1,"MQL",2,"SQL",3,"Customer",4)</f>
        <v>1</v>
      </c>
      <c r="L3919" t="str">
        <f>TEXT(LeadsData[[#This Row],[Signup Date]],"mmm-yyyy")</f>
        <v>Aug-2024</v>
      </c>
      <c r="M3919">
        <f>IF(LeadsData[[#This Row],[Stage Number]]&gt;=2,1,0)</f>
        <v>0</v>
      </c>
      <c r="N3919" s="2">
        <f>IF(LeadsData[[#This Row],[Stage Number]]&gt;=3,1,0)</f>
        <v>0</v>
      </c>
      <c r="O3919" s="2">
        <f>IF(LeadsData[[#This Row],[Stage Number]]&gt;=4,1,0)</f>
        <v>0</v>
      </c>
    </row>
    <row r="3920" spans="1:15" x14ac:dyDescent="0.25">
      <c r="A3920" t="s">
        <v>3960</v>
      </c>
      <c r="B3920" s="1">
        <v>45605</v>
      </c>
      <c r="C3920" t="s">
        <v>11</v>
      </c>
      <c r="D3920" t="s">
        <v>12</v>
      </c>
      <c r="E3920" t="s">
        <v>21</v>
      </c>
      <c r="F3920" t="s">
        <v>22</v>
      </c>
      <c r="G3920" t="s">
        <v>15</v>
      </c>
      <c r="K3920" cm="1">
        <f t="array" ref="K3920">_xlfn.SWITCH(LeadsData[[#This Row],[Funnel Stage Reached]],"Lead",1,"MQL",2,"SQL",3,"Customer",4)</f>
        <v>1</v>
      </c>
      <c r="L3920" t="str">
        <f>TEXT(LeadsData[[#This Row],[Signup Date]],"mmm-yyyy")</f>
        <v>Nov-2024</v>
      </c>
      <c r="M3920">
        <f>IF(LeadsData[[#This Row],[Stage Number]]&gt;=2,1,0)</f>
        <v>0</v>
      </c>
      <c r="N3920" s="2">
        <f>IF(LeadsData[[#This Row],[Stage Number]]&gt;=3,1,0)</f>
        <v>0</v>
      </c>
      <c r="O3920" s="2">
        <f>IF(LeadsData[[#This Row],[Stage Number]]&gt;=4,1,0)</f>
        <v>0</v>
      </c>
    </row>
    <row r="3921" spans="1:15" x14ac:dyDescent="0.25">
      <c r="A3921" t="s">
        <v>3961</v>
      </c>
      <c r="B3921" s="1">
        <v>45419</v>
      </c>
      <c r="C3921" t="s">
        <v>31</v>
      </c>
      <c r="D3921" t="s">
        <v>34</v>
      </c>
      <c r="E3921" t="s">
        <v>13</v>
      </c>
      <c r="F3921" t="s">
        <v>19</v>
      </c>
      <c r="G3921" t="s">
        <v>15</v>
      </c>
      <c r="K3921" cm="1">
        <f t="array" ref="K3921">_xlfn.SWITCH(LeadsData[[#This Row],[Funnel Stage Reached]],"Lead",1,"MQL",2,"SQL",3,"Customer",4)</f>
        <v>1</v>
      </c>
      <c r="L3921" t="str">
        <f>TEXT(LeadsData[[#This Row],[Signup Date]],"mmm-yyyy")</f>
        <v>May-2024</v>
      </c>
      <c r="M3921">
        <f>IF(LeadsData[[#This Row],[Stage Number]]&gt;=2,1,0)</f>
        <v>0</v>
      </c>
      <c r="N3921" s="2">
        <f>IF(LeadsData[[#This Row],[Stage Number]]&gt;=3,1,0)</f>
        <v>0</v>
      </c>
      <c r="O3921" s="2">
        <f>IF(LeadsData[[#This Row],[Stage Number]]&gt;=4,1,0)</f>
        <v>0</v>
      </c>
    </row>
    <row r="3922" spans="1:15" x14ac:dyDescent="0.25">
      <c r="A3922" t="s">
        <v>3962</v>
      </c>
      <c r="B3922" s="1">
        <v>45416</v>
      </c>
      <c r="C3922" t="s">
        <v>17</v>
      </c>
      <c r="D3922" t="s">
        <v>18</v>
      </c>
      <c r="E3922" t="s">
        <v>48</v>
      </c>
      <c r="F3922" t="s">
        <v>14</v>
      </c>
      <c r="G3922" t="s">
        <v>23</v>
      </c>
      <c r="K3922" cm="1">
        <f t="array" ref="K3922">_xlfn.SWITCH(LeadsData[[#This Row],[Funnel Stage Reached]],"Lead",1,"MQL",2,"SQL",3,"Customer",4)</f>
        <v>2</v>
      </c>
      <c r="L3922" t="str">
        <f>TEXT(LeadsData[[#This Row],[Signup Date]],"mmm-yyyy")</f>
        <v>May-2024</v>
      </c>
      <c r="M3922">
        <f>IF(LeadsData[[#This Row],[Stage Number]]&gt;=2,1,0)</f>
        <v>1</v>
      </c>
      <c r="N3922" s="2">
        <f>IF(LeadsData[[#This Row],[Stage Number]]&gt;=3,1,0)</f>
        <v>0</v>
      </c>
      <c r="O3922" s="2">
        <f>IF(LeadsData[[#This Row],[Stage Number]]&gt;=4,1,0)</f>
        <v>0</v>
      </c>
    </row>
    <row r="3923" spans="1:15" x14ac:dyDescent="0.25">
      <c r="A3923" t="s">
        <v>3963</v>
      </c>
      <c r="B3923" s="1">
        <v>45578</v>
      </c>
      <c r="C3923" t="s">
        <v>11</v>
      </c>
      <c r="D3923" t="s">
        <v>12</v>
      </c>
      <c r="E3923" t="s">
        <v>21</v>
      </c>
      <c r="F3923" t="s">
        <v>19</v>
      </c>
      <c r="G3923" t="s">
        <v>15</v>
      </c>
      <c r="K3923" cm="1">
        <f t="array" ref="K3923">_xlfn.SWITCH(LeadsData[[#This Row],[Funnel Stage Reached]],"Lead",1,"MQL",2,"SQL",3,"Customer",4)</f>
        <v>1</v>
      </c>
      <c r="L3923" t="str">
        <f>TEXT(LeadsData[[#This Row],[Signup Date]],"mmm-yyyy")</f>
        <v>Oct-2024</v>
      </c>
      <c r="M3923">
        <f>IF(LeadsData[[#This Row],[Stage Number]]&gt;=2,1,0)</f>
        <v>0</v>
      </c>
      <c r="N3923" s="2">
        <f>IF(LeadsData[[#This Row],[Stage Number]]&gt;=3,1,0)</f>
        <v>0</v>
      </c>
      <c r="O3923" s="2">
        <f>IF(LeadsData[[#This Row],[Stage Number]]&gt;=4,1,0)</f>
        <v>0</v>
      </c>
    </row>
    <row r="3924" spans="1:15" x14ac:dyDescent="0.25">
      <c r="A3924" t="s">
        <v>3964</v>
      </c>
      <c r="B3924" s="1">
        <v>45512</v>
      </c>
      <c r="C3924" t="s">
        <v>36</v>
      </c>
      <c r="D3924" t="s">
        <v>37</v>
      </c>
      <c r="E3924" t="s">
        <v>21</v>
      </c>
      <c r="F3924" t="s">
        <v>14</v>
      </c>
      <c r="G3924" t="s">
        <v>29</v>
      </c>
      <c r="K3924" cm="1">
        <f t="array" ref="K3924">_xlfn.SWITCH(LeadsData[[#This Row],[Funnel Stage Reached]],"Lead",1,"MQL",2,"SQL",3,"Customer",4)</f>
        <v>3</v>
      </c>
      <c r="L3924" t="str">
        <f>TEXT(LeadsData[[#This Row],[Signup Date]],"mmm-yyyy")</f>
        <v>Aug-2024</v>
      </c>
      <c r="M3924">
        <f>IF(LeadsData[[#This Row],[Stage Number]]&gt;=2,1,0)</f>
        <v>1</v>
      </c>
      <c r="N3924" s="2">
        <f>IF(LeadsData[[#This Row],[Stage Number]]&gt;=3,1,0)</f>
        <v>1</v>
      </c>
      <c r="O3924" s="2">
        <f>IF(LeadsData[[#This Row],[Stage Number]]&gt;=4,1,0)</f>
        <v>0</v>
      </c>
    </row>
    <row r="3925" spans="1:15" x14ac:dyDescent="0.25">
      <c r="A3925" t="s">
        <v>3965</v>
      </c>
      <c r="B3925" s="1">
        <v>45514</v>
      </c>
      <c r="C3925" t="s">
        <v>31</v>
      </c>
      <c r="D3925" t="s">
        <v>34</v>
      </c>
      <c r="E3925" t="s">
        <v>21</v>
      </c>
      <c r="F3925" t="s">
        <v>19</v>
      </c>
      <c r="G3925" t="s">
        <v>29</v>
      </c>
      <c r="K3925" cm="1">
        <f t="array" ref="K3925">_xlfn.SWITCH(LeadsData[[#This Row],[Funnel Stage Reached]],"Lead",1,"MQL",2,"SQL",3,"Customer",4)</f>
        <v>3</v>
      </c>
      <c r="L3925" t="str">
        <f>TEXT(LeadsData[[#This Row],[Signup Date]],"mmm-yyyy")</f>
        <v>Aug-2024</v>
      </c>
      <c r="M3925">
        <f>IF(LeadsData[[#This Row],[Stage Number]]&gt;=2,1,0)</f>
        <v>1</v>
      </c>
      <c r="N3925" s="2">
        <f>IF(LeadsData[[#This Row],[Stage Number]]&gt;=3,1,0)</f>
        <v>1</v>
      </c>
      <c r="O3925" s="2">
        <f>IF(LeadsData[[#This Row],[Stage Number]]&gt;=4,1,0)</f>
        <v>0</v>
      </c>
    </row>
    <row r="3926" spans="1:15" x14ac:dyDescent="0.25">
      <c r="A3926" t="s">
        <v>3966</v>
      </c>
      <c r="B3926" s="1">
        <v>45521</v>
      </c>
      <c r="C3926" t="s">
        <v>11</v>
      </c>
      <c r="D3926" t="s">
        <v>12</v>
      </c>
      <c r="E3926" t="s">
        <v>13</v>
      </c>
      <c r="F3926" t="s">
        <v>22</v>
      </c>
      <c r="G3926" t="s">
        <v>15</v>
      </c>
      <c r="K3926" cm="1">
        <f t="array" ref="K3926">_xlfn.SWITCH(LeadsData[[#This Row],[Funnel Stage Reached]],"Lead",1,"MQL",2,"SQL",3,"Customer",4)</f>
        <v>1</v>
      </c>
      <c r="L3926" t="str">
        <f>TEXT(LeadsData[[#This Row],[Signup Date]],"mmm-yyyy")</f>
        <v>Aug-2024</v>
      </c>
      <c r="M3926">
        <f>IF(LeadsData[[#This Row],[Stage Number]]&gt;=2,1,0)</f>
        <v>0</v>
      </c>
      <c r="N3926" s="2">
        <f>IF(LeadsData[[#This Row],[Stage Number]]&gt;=3,1,0)</f>
        <v>0</v>
      </c>
      <c r="O3926" s="2">
        <f>IF(LeadsData[[#This Row],[Stage Number]]&gt;=4,1,0)</f>
        <v>0</v>
      </c>
    </row>
    <row r="3927" spans="1:15" x14ac:dyDescent="0.25">
      <c r="A3927" t="s">
        <v>3967</v>
      </c>
      <c r="B3927" s="1">
        <v>45303</v>
      </c>
      <c r="C3927" t="s">
        <v>31</v>
      </c>
      <c r="D3927" t="s">
        <v>34</v>
      </c>
      <c r="E3927" t="s">
        <v>21</v>
      </c>
      <c r="F3927" t="s">
        <v>19</v>
      </c>
      <c r="G3927" t="s">
        <v>15</v>
      </c>
      <c r="K3927" cm="1">
        <f t="array" ref="K3927">_xlfn.SWITCH(LeadsData[[#This Row],[Funnel Stage Reached]],"Lead",1,"MQL",2,"SQL",3,"Customer",4)</f>
        <v>1</v>
      </c>
      <c r="L3927" t="str">
        <f>TEXT(LeadsData[[#This Row],[Signup Date]],"mmm-yyyy")</f>
        <v>Jan-2024</v>
      </c>
      <c r="M3927">
        <f>IF(LeadsData[[#This Row],[Stage Number]]&gt;=2,1,0)</f>
        <v>0</v>
      </c>
      <c r="N3927" s="2">
        <f>IF(LeadsData[[#This Row],[Stage Number]]&gt;=3,1,0)</f>
        <v>0</v>
      </c>
      <c r="O3927" s="2">
        <f>IF(LeadsData[[#This Row],[Stage Number]]&gt;=4,1,0)</f>
        <v>0</v>
      </c>
    </row>
    <row r="3928" spans="1:15" x14ac:dyDescent="0.25">
      <c r="A3928" t="s">
        <v>3968</v>
      </c>
      <c r="B3928" s="1">
        <v>45406</v>
      </c>
      <c r="C3928" t="s">
        <v>17</v>
      </c>
      <c r="D3928" t="s">
        <v>18</v>
      </c>
      <c r="E3928" t="s">
        <v>13</v>
      </c>
      <c r="F3928" t="s">
        <v>22</v>
      </c>
      <c r="G3928" t="s">
        <v>29</v>
      </c>
      <c r="K3928" cm="1">
        <f t="array" ref="K3928">_xlfn.SWITCH(LeadsData[[#This Row],[Funnel Stage Reached]],"Lead",1,"MQL",2,"SQL",3,"Customer",4)</f>
        <v>3</v>
      </c>
      <c r="L3928" t="str">
        <f>TEXT(LeadsData[[#This Row],[Signup Date]],"mmm-yyyy")</f>
        <v>Apr-2024</v>
      </c>
      <c r="M3928">
        <f>IF(LeadsData[[#This Row],[Stage Number]]&gt;=2,1,0)</f>
        <v>1</v>
      </c>
      <c r="N3928" s="2">
        <f>IF(LeadsData[[#This Row],[Stage Number]]&gt;=3,1,0)</f>
        <v>1</v>
      </c>
      <c r="O3928" s="2">
        <f>IF(LeadsData[[#This Row],[Stage Number]]&gt;=4,1,0)</f>
        <v>0</v>
      </c>
    </row>
    <row r="3929" spans="1:15" x14ac:dyDescent="0.25">
      <c r="A3929" t="s">
        <v>3969</v>
      </c>
      <c r="B3929" s="1">
        <v>45403</v>
      </c>
      <c r="C3929" t="s">
        <v>31</v>
      </c>
      <c r="D3929" t="s">
        <v>32</v>
      </c>
      <c r="E3929" t="s">
        <v>13</v>
      </c>
      <c r="F3929" t="s">
        <v>14</v>
      </c>
      <c r="G3929" t="s">
        <v>15</v>
      </c>
      <c r="K3929" cm="1">
        <f t="array" ref="K3929">_xlfn.SWITCH(LeadsData[[#This Row],[Funnel Stage Reached]],"Lead",1,"MQL",2,"SQL",3,"Customer",4)</f>
        <v>1</v>
      </c>
      <c r="L3929" t="str">
        <f>TEXT(LeadsData[[#This Row],[Signup Date]],"mmm-yyyy")</f>
        <v>Apr-2024</v>
      </c>
      <c r="M3929">
        <f>IF(LeadsData[[#This Row],[Stage Number]]&gt;=2,1,0)</f>
        <v>0</v>
      </c>
      <c r="N3929" s="2">
        <f>IF(LeadsData[[#This Row],[Stage Number]]&gt;=3,1,0)</f>
        <v>0</v>
      </c>
      <c r="O3929" s="2">
        <f>IF(LeadsData[[#This Row],[Stage Number]]&gt;=4,1,0)</f>
        <v>0</v>
      </c>
    </row>
    <row r="3930" spans="1:15" x14ac:dyDescent="0.25">
      <c r="A3930" t="s">
        <v>3970</v>
      </c>
      <c r="B3930" s="1">
        <v>45648</v>
      </c>
      <c r="C3930" t="s">
        <v>31</v>
      </c>
      <c r="D3930" t="s">
        <v>34</v>
      </c>
      <c r="E3930" t="s">
        <v>13</v>
      </c>
      <c r="F3930" t="s">
        <v>14</v>
      </c>
      <c r="G3930" t="s">
        <v>15</v>
      </c>
      <c r="K3930" cm="1">
        <f t="array" ref="K3930">_xlfn.SWITCH(LeadsData[[#This Row],[Funnel Stage Reached]],"Lead",1,"MQL",2,"SQL",3,"Customer",4)</f>
        <v>1</v>
      </c>
      <c r="L3930" t="str">
        <f>TEXT(LeadsData[[#This Row],[Signup Date]],"mmm-yyyy")</f>
        <v>Dec-2024</v>
      </c>
      <c r="M3930">
        <f>IF(LeadsData[[#This Row],[Stage Number]]&gt;=2,1,0)</f>
        <v>0</v>
      </c>
      <c r="N3930" s="2">
        <f>IF(LeadsData[[#This Row],[Stage Number]]&gt;=3,1,0)</f>
        <v>0</v>
      </c>
      <c r="O3930" s="2">
        <f>IF(LeadsData[[#This Row],[Stage Number]]&gt;=4,1,0)</f>
        <v>0</v>
      </c>
    </row>
    <row r="3931" spans="1:15" x14ac:dyDescent="0.25">
      <c r="A3931" t="s">
        <v>3971</v>
      </c>
      <c r="B3931" s="1">
        <v>45536</v>
      </c>
      <c r="C3931" t="s">
        <v>25</v>
      </c>
      <c r="D3931" t="s">
        <v>26</v>
      </c>
      <c r="E3931" t="s">
        <v>21</v>
      </c>
      <c r="F3931" t="s">
        <v>22</v>
      </c>
      <c r="G3931" t="s">
        <v>23</v>
      </c>
      <c r="K3931" cm="1">
        <f t="array" ref="K3931">_xlfn.SWITCH(LeadsData[[#This Row],[Funnel Stage Reached]],"Lead",1,"MQL",2,"SQL",3,"Customer",4)</f>
        <v>2</v>
      </c>
      <c r="L3931" t="str">
        <f>TEXT(LeadsData[[#This Row],[Signup Date]],"mmm-yyyy")</f>
        <v>Sep-2024</v>
      </c>
      <c r="M3931">
        <f>IF(LeadsData[[#This Row],[Stage Number]]&gt;=2,1,0)</f>
        <v>1</v>
      </c>
      <c r="N3931" s="2">
        <f>IF(LeadsData[[#This Row],[Stage Number]]&gt;=3,1,0)</f>
        <v>0</v>
      </c>
      <c r="O3931" s="2">
        <f>IF(LeadsData[[#This Row],[Stage Number]]&gt;=4,1,0)</f>
        <v>0</v>
      </c>
    </row>
    <row r="3932" spans="1:15" x14ac:dyDescent="0.25">
      <c r="A3932" t="s">
        <v>3972</v>
      </c>
      <c r="B3932" s="1">
        <v>45335</v>
      </c>
      <c r="C3932" t="s">
        <v>25</v>
      </c>
      <c r="D3932" t="s">
        <v>26</v>
      </c>
      <c r="E3932" t="s">
        <v>21</v>
      </c>
      <c r="F3932" t="s">
        <v>14</v>
      </c>
      <c r="G3932" t="s">
        <v>15</v>
      </c>
      <c r="K3932" cm="1">
        <f t="array" ref="K3932">_xlfn.SWITCH(LeadsData[[#This Row],[Funnel Stage Reached]],"Lead",1,"MQL",2,"SQL",3,"Customer",4)</f>
        <v>1</v>
      </c>
      <c r="L3932" t="str">
        <f>TEXT(LeadsData[[#This Row],[Signup Date]],"mmm-yyyy")</f>
        <v>Feb-2024</v>
      </c>
      <c r="M3932">
        <f>IF(LeadsData[[#This Row],[Stage Number]]&gt;=2,1,0)</f>
        <v>0</v>
      </c>
      <c r="N3932" s="2">
        <f>IF(LeadsData[[#This Row],[Stage Number]]&gt;=3,1,0)</f>
        <v>0</v>
      </c>
      <c r="O3932" s="2">
        <f>IF(LeadsData[[#This Row],[Stage Number]]&gt;=4,1,0)</f>
        <v>0</v>
      </c>
    </row>
    <row r="3933" spans="1:15" x14ac:dyDescent="0.25">
      <c r="A3933" t="s">
        <v>3973</v>
      </c>
      <c r="B3933" s="1">
        <v>45555</v>
      </c>
      <c r="C3933" t="s">
        <v>17</v>
      </c>
      <c r="D3933" t="s">
        <v>53</v>
      </c>
      <c r="E3933" t="s">
        <v>13</v>
      </c>
      <c r="F3933" t="s">
        <v>14</v>
      </c>
      <c r="G3933" t="s">
        <v>23</v>
      </c>
      <c r="K3933" cm="1">
        <f t="array" ref="K3933">_xlfn.SWITCH(LeadsData[[#This Row],[Funnel Stage Reached]],"Lead",1,"MQL",2,"SQL",3,"Customer",4)</f>
        <v>2</v>
      </c>
      <c r="L3933" t="str">
        <f>TEXT(LeadsData[[#This Row],[Signup Date]],"mmm-yyyy")</f>
        <v>Sep-2024</v>
      </c>
      <c r="M3933">
        <f>IF(LeadsData[[#This Row],[Stage Number]]&gt;=2,1,0)</f>
        <v>1</v>
      </c>
      <c r="N3933" s="2">
        <f>IF(LeadsData[[#This Row],[Stage Number]]&gt;=3,1,0)</f>
        <v>0</v>
      </c>
      <c r="O3933" s="2">
        <f>IF(LeadsData[[#This Row],[Stage Number]]&gt;=4,1,0)</f>
        <v>0</v>
      </c>
    </row>
    <row r="3934" spans="1:15" x14ac:dyDescent="0.25">
      <c r="A3934" t="s">
        <v>3974</v>
      </c>
      <c r="B3934" s="1">
        <v>45572</v>
      </c>
      <c r="C3934" t="s">
        <v>31</v>
      </c>
      <c r="D3934" t="s">
        <v>34</v>
      </c>
      <c r="E3934" t="s">
        <v>21</v>
      </c>
      <c r="F3934" t="s">
        <v>28</v>
      </c>
      <c r="G3934" t="s">
        <v>15</v>
      </c>
      <c r="K3934" cm="1">
        <f t="array" ref="K3934">_xlfn.SWITCH(LeadsData[[#This Row],[Funnel Stage Reached]],"Lead",1,"MQL",2,"SQL",3,"Customer",4)</f>
        <v>1</v>
      </c>
      <c r="L3934" t="str">
        <f>TEXT(LeadsData[[#This Row],[Signup Date]],"mmm-yyyy")</f>
        <v>Oct-2024</v>
      </c>
      <c r="M3934">
        <f>IF(LeadsData[[#This Row],[Stage Number]]&gt;=2,1,0)</f>
        <v>0</v>
      </c>
      <c r="N3934" s="2">
        <f>IF(LeadsData[[#This Row],[Stage Number]]&gt;=3,1,0)</f>
        <v>0</v>
      </c>
      <c r="O3934" s="2">
        <f>IF(LeadsData[[#This Row],[Stage Number]]&gt;=4,1,0)</f>
        <v>0</v>
      </c>
    </row>
    <row r="3935" spans="1:15" x14ac:dyDescent="0.25">
      <c r="A3935" t="s">
        <v>3975</v>
      </c>
      <c r="B3935" s="1">
        <v>45308</v>
      </c>
      <c r="C3935" t="s">
        <v>31</v>
      </c>
      <c r="D3935" t="s">
        <v>34</v>
      </c>
      <c r="E3935" t="s">
        <v>13</v>
      </c>
      <c r="F3935" t="s">
        <v>19</v>
      </c>
      <c r="G3935" t="s">
        <v>29</v>
      </c>
      <c r="K3935" cm="1">
        <f t="array" ref="K3935">_xlfn.SWITCH(LeadsData[[#This Row],[Funnel Stage Reached]],"Lead",1,"MQL",2,"SQL",3,"Customer",4)</f>
        <v>3</v>
      </c>
      <c r="L3935" t="str">
        <f>TEXT(LeadsData[[#This Row],[Signup Date]],"mmm-yyyy")</f>
        <v>Jan-2024</v>
      </c>
      <c r="M3935">
        <f>IF(LeadsData[[#This Row],[Stage Number]]&gt;=2,1,0)</f>
        <v>1</v>
      </c>
      <c r="N3935" s="2">
        <f>IF(LeadsData[[#This Row],[Stage Number]]&gt;=3,1,0)</f>
        <v>1</v>
      </c>
      <c r="O3935" s="2">
        <f>IF(LeadsData[[#This Row],[Stage Number]]&gt;=4,1,0)</f>
        <v>0</v>
      </c>
    </row>
    <row r="3936" spans="1:15" x14ac:dyDescent="0.25">
      <c r="A3936" t="s">
        <v>3976</v>
      </c>
      <c r="B3936" s="1">
        <v>45330</v>
      </c>
      <c r="C3936" t="s">
        <v>11</v>
      </c>
      <c r="D3936" t="s">
        <v>68</v>
      </c>
      <c r="E3936" t="s">
        <v>21</v>
      </c>
      <c r="F3936" t="s">
        <v>19</v>
      </c>
      <c r="G3936" t="s">
        <v>15</v>
      </c>
      <c r="K3936" cm="1">
        <f t="array" ref="K3936">_xlfn.SWITCH(LeadsData[[#This Row],[Funnel Stage Reached]],"Lead",1,"MQL",2,"SQL",3,"Customer",4)</f>
        <v>1</v>
      </c>
      <c r="L3936" t="str">
        <f>TEXT(LeadsData[[#This Row],[Signup Date]],"mmm-yyyy")</f>
        <v>Feb-2024</v>
      </c>
      <c r="M3936">
        <f>IF(LeadsData[[#This Row],[Stage Number]]&gt;=2,1,0)</f>
        <v>0</v>
      </c>
      <c r="N3936" s="2">
        <f>IF(LeadsData[[#This Row],[Stage Number]]&gt;=3,1,0)</f>
        <v>0</v>
      </c>
      <c r="O3936" s="2">
        <f>IF(LeadsData[[#This Row],[Stage Number]]&gt;=4,1,0)</f>
        <v>0</v>
      </c>
    </row>
    <row r="3937" spans="1:15" x14ac:dyDescent="0.25">
      <c r="A3937" t="s">
        <v>3977</v>
      </c>
      <c r="B3937" s="1">
        <v>45508</v>
      </c>
      <c r="C3937" t="s">
        <v>17</v>
      </c>
      <c r="D3937" t="s">
        <v>53</v>
      </c>
      <c r="E3937" t="s">
        <v>13</v>
      </c>
      <c r="F3937" t="s">
        <v>22</v>
      </c>
      <c r="G3937" t="s">
        <v>23</v>
      </c>
      <c r="K3937" cm="1">
        <f t="array" ref="K3937">_xlfn.SWITCH(LeadsData[[#This Row],[Funnel Stage Reached]],"Lead",1,"MQL",2,"SQL",3,"Customer",4)</f>
        <v>2</v>
      </c>
      <c r="L3937" t="str">
        <f>TEXT(LeadsData[[#This Row],[Signup Date]],"mmm-yyyy")</f>
        <v>Aug-2024</v>
      </c>
      <c r="M3937">
        <f>IF(LeadsData[[#This Row],[Stage Number]]&gt;=2,1,0)</f>
        <v>1</v>
      </c>
      <c r="N3937" s="2">
        <f>IF(LeadsData[[#This Row],[Stage Number]]&gt;=3,1,0)</f>
        <v>0</v>
      </c>
      <c r="O3937" s="2">
        <f>IF(LeadsData[[#This Row],[Stage Number]]&gt;=4,1,0)</f>
        <v>0</v>
      </c>
    </row>
    <row r="3938" spans="1:15" x14ac:dyDescent="0.25">
      <c r="A3938" t="s">
        <v>3978</v>
      </c>
      <c r="B3938" s="1">
        <v>45557</v>
      </c>
      <c r="C3938" t="s">
        <v>36</v>
      </c>
      <c r="D3938" t="s">
        <v>50</v>
      </c>
      <c r="E3938" t="s">
        <v>48</v>
      </c>
      <c r="F3938" t="s">
        <v>19</v>
      </c>
      <c r="G3938" t="s">
        <v>29</v>
      </c>
      <c r="K3938" cm="1">
        <f t="array" ref="K3938">_xlfn.SWITCH(LeadsData[[#This Row],[Funnel Stage Reached]],"Lead",1,"MQL",2,"SQL",3,"Customer",4)</f>
        <v>3</v>
      </c>
      <c r="L3938" t="str">
        <f>TEXT(LeadsData[[#This Row],[Signup Date]],"mmm-yyyy")</f>
        <v>Sep-2024</v>
      </c>
      <c r="M3938">
        <f>IF(LeadsData[[#This Row],[Stage Number]]&gt;=2,1,0)</f>
        <v>1</v>
      </c>
      <c r="N3938" s="2">
        <f>IF(LeadsData[[#This Row],[Stage Number]]&gt;=3,1,0)</f>
        <v>1</v>
      </c>
      <c r="O3938" s="2">
        <f>IF(LeadsData[[#This Row],[Stage Number]]&gt;=4,1,0)</f>
        <v>0</v>
      </c>
    </row>
    <row r="3939" spans="1:15" x14ac:dyDescent="0.25">
      <c r="A3939" t="s">
        <v>3979</v>
      </c>
      <c r="B3939" s="1">
        <v>45401</v>
      </c>
      <c r="C3939" t="s">
        <v>36</v>
      </c>
      <c r="D3939" t="s">
        <v>37</v>
      </c>
      <c r="E3939" t="s">
        <v>21</v>
      </c>
      <c r="F3939" t="s">
        <v>22</v>
      </c>
      <c r="G3939" t="s">
        <v>15</v>
      </c>
      <c r="K3939" cm="1">
        <f t="array" ref="K3939">_xlfn.SWITCH(LeadsData[[#This Row],[Funnel Stage Reached]],"Lead",1,"MQL",2,"SQL",3,"Customer",4)</f>
        <v>1</v>
      </c>
      <c r="L3939" t="str">
        <f>TEXT(LeadsData[[#This Row],[Signup Date]],"mmm-yyyy")</f>
        <v>Apr-2024</v>
      </c>
      <c r="M3939">
        <f>IF(LeadsData[[#This Row],[Stage Number]]&gt;=2,1,0)</f>
        <v>0</v>
      </c>
      <c r="N3939" s="2">
        <f>IF(LeadsData[[#This Row],[Stage Number]]&gt;=3,1,0)</f>
        <v>0</v>
      </c>
      <c r="O3939" s="2">
        <f>IF(LeadsData[[#This Row],[Stage Number]]&gt;=4,1,0)</f>
        <v>0</v>
      </c>
    </row>
    <row r="3940" spans="1:15" x14ac:dyDescent="0.25">
      <c r="A3940" t="s">
        <v>3980</v>
      </c>
      <c r="B3940" s="1">
        <v>45601</v>
      </c>
      <c r="C3940" t="s">
        <v>46</v>
      </c>
      <c r="D3940" t="s">
        <v>56</v>
      </c>
      <c r="E3940" t="s">
        <v>21</v>
      </c>
      <c r="F3940" t="s">
        <v>14</v>
      </c>
      <c r="G3940" t="s">
        <v>15</v>
      </c>
      <c r="K3940" cm="1">
        <f t="array" ref="K3940">_xlfn.SWITCH(LeadsData[[#This Row],[Funnel Stage Reached]],"Lead",1,"MQL",2,"SQL",3,"Customer",4)</f>
        <v>1</v>
      </c>
      <c r="L3940" t="str">
        <f>TEXT(LeadsData[[#This Row],[Signup Date]],"mmm-yyyy")</f>
        <v>Nov-2024</v>
      </c>
      <c r="M3940">
        <f>IF(LeadsData[[#This Row],[Stage Number]]&gt;=2,1,0)</f>
        <v>0</v>
      </c>
      <c r="N3940" s="2">
        <f>IF(LeadsData[[#This Row],[Stage Number]]&gt;=3,1,0)</f>
        <v>0</v>
      </c>
      <c r="O3940" s="2">
        <f>IF(LeadsData[[#This Row],[Stage Number]]&gt;=4,1,0)</f>
        <v>0</v>
      </c>
    </row>
    <row r="3941" spans="1:15" x14ac:dyDescent="0.25">
      <c r="A3941" t="s">
        <v>3981</v>
      </c>
      <c r="B3941" s="1">
        <v>45585</v>
      </c>
      <c r="C3941" t="s">
        <v>46</v>
      </c>
      <c r="D3941" t="s">
        <v>56</v>
      </c>
      <c r="E3941" t="s">
        <v>13</v>
      </c>
      <c r="F3941" t="s">
        <v>19</v>
      </c>
      <c r="G3941" t="s">
        <v>23</v>
      </c>
      <c r="K3941" cm="1">
        <f t="array" ref="K3941">_xlfn.SWITCH(LeadsData[[#This Row],[Funnel Stage Reached]],"Lead",1,"MQL",2,"SQL",3,"Customer",4)</f>
        <v>2</v>
      </c>
      <c r="L3941" t="str">
        <f>TEXT(LeadsData[[#This Row],[Signup Date]],"mmm-yyyy")</f>
        <v>Oct-2024</v>
      </c>
      <c r="M3941">
        <f>IF(LeadsData[[#This Row],[Stage Number]]&gt;=2,1,0)</f>
        <v>1</v>
      </c>
      <c r="N3941" s="2">
        <f>IF(LeadsData[[#This Row],[Stage Number]]&gt;=3,1,0)</f>
        <v>0</v>
      </c>
      <c r="O3941" s="2">
        <f>IF(LeadsData[[#This Row],[Stage Number]]&gt;=4,1,0)</f>
        <v>0</v>
      </c>
    </row>
    <row r="3942" spans="1:15" x14ac:dyDescent="0.25">
      <c r="A3942" t="s">
        <v>3982</v>
      </c>
      <c r="B3942" s="1">
        <v>45373</v>
      </c>
      <c r="C3942" t="s">
        <v>11</v>
      </c>
      <c r="D3942" t="s">
        <v>12</v>
      </c>
      <c r="E3942" t="s">
        <v>13</v>
      </c>
      <c r="F3942" t="s">
        <v>19</v>
      </c>
      <c r="G3942" t="s">
        <v>15</v>
      </c>
      <c r="K3942" cm="1">
        <f t="array" ref="K3942">_xlfn.SWITCH(LeadsData[[#This Row],[Funnel Stage Reached]],"Lead",1,"MQL",2,"SQL",3,"Customer",4)</f>
        <v>1</v>
      </c>
      <c r="L3942" t="str">
        <f>TEXT(LeadsData[[#This Row],[Signup Date]],"mmm-yyyy")</f>
        <v>Mar-2024</v>
      </c>
      <c r="M3942">
        <f>IF(LeadsData[[#This Row],[Stage Number]]&gt;=2,1,0)</f>
        <v>0</v>
      </c>
      <c r="N3942" s="2">
        <f>IF(LeadsData[[#This Row],[Stage Number]]&gt;=3,1,0)</f>
        <v>0</v>
      </c>
      <c r="O3942" s="2">
        <f>IF(LeadsData[[#This Row],[Stage Number]]&gt;=4,1,0)</f>
        <v>0</v>
      </c>
    </row>
    <row r="3943" spans="1:15" x14ac:dyDescent="0.25">
      <c r="A3943" t="s">
        <v>3983</v>
      </c>
      <c r="B3943" s="1">
        <v>45647</v>
      </c>
      <c r="C3943" t="s">
        <v>17</v>
      </c>
      <c r="D3943" t="s">
        <v>53</v>
      </c>
      <c r="E3943" t="s">
        <v>13</v>
      </c>
      <c r="F3943" t="s">
        <v>14</v>
      </c>
      <c r="G3943" t="s">
        <v>15</v>
      </c>
      <c r="K3943" cm="1">
        <f t="array" ref="K3943">_xlfn.SWITCH(LeadsData[[#This Row],[Funnel Stage Reached]],"Lead",1,"MQL",2,"SQL",3,"Customer",4)</f>
        <v>1</v>
      </c>
      <c r="L3943" t="str">
        <f>TEXT(LeadsData[[#This Row],[Signup Date]],"mmm-yyyy")</f>
        <v>Dec-2024</v>
      </c>
      <c r="M3943">
        <f>IF(LeadsData[[#This Row],[Stage Number]]&gt;=2,1,0)</f>
        <v>0</v>
      </c>
      <c r="N3943" s="2">
        <f>IF(LeadsData[[#This Row],[Stage Number]]&gt;=3,1,0)</f>
        <v>0</v>
      </c>
      <c r="O3943" s="2">
        <f>IF(LeadsData[[#This Row],[Stage Number]]&gt;=4,1,0)</f>
        <v>0</v>
      </c>
    </row>
    <row r="3944" spans="1:15" x14ac:dyDescent="0.25">
      <c r="A3944" t="s">
        <v>3984</v>
      </c>
      <c r="B3944" s="1">
        <v>45612</v>
      </c>
      <c r="C3944" t="s">
        <v>31</v>
      </c>
      <c r="D3944" t="s">
        <v>32</v>
      </c>
      <c r="E3944" t="s">
        <v>13</v>
      </c>
      <c r="F3944" t="s">
        <v>19</v>
      </c>
      <c r="G3944" t="s">
        <v>15</v>
      </c>
      <c r="K3944" cm="1">
        <f t="array" ref="K3944">_xlfn.SWITCH(LeadsData[[#This Row],[Funnel Stage Reached]],"Lead",1,"MQL",2,"SQL",3,"Customer",4)</f>
        <v>1</v>
      </c>
      <c r="L3944" t="str">
        <f>TEXT(LeadsData[[#This Row],[Signup Date]],"mmm-yyyy")</f>
        <v>Nov-2024</v>
      </c>
      <c r="M3944">
        <f>IF(LeadsData[[#This Row],[Stage Number]]&gt;=2,1,0)</f>
        <v>0</v>
      </c>
      <c r="N3944" s="2">
        <f>IF(LeadsData[[#This Row],[Stage Number]]&gt;=3,1,0)</f>
        <v>0</v>
      </c>
      <c r="O3944" s="2">
        <f>IF(LeadsData[[#This Row],[Stage Number]]&gt;=4,1,0)</f>
        <v>0</v>
      </c>
    </row>
    <row r="3945" spans="1:15" x14ac:dyDescent="0.25">
      <c r="A3945" t="s">
        <v>3985</v>
      </c>
      <c r="B3945" s="1">
        <v>45638</v>
      </c>
      <c r="C3945" t="s">
        <v>31</v>
      </c>
      <c r="D3945" t="s">
        <v>32</v>
      </c>
      <c r="E3945" t="s">
        <v>21</v>
      </c>
      <c r="F3945" t="s">
        <v>19</v>
      </c>
      <c r="G3945" t="s">
        <v>15</v>
      </c>
      <c r="K3945" cm="1">
        <f t="array" ref="K3945">_xlfn.SWITCH(LeadsData[[#This Row],[Funnel Stage Reached]],"Lead",1,"MQL",2,"SQL",3,"Customer",4)</f>
        <v>1</v>
      </c>
      <c r="L3945" t="str">
        <f>TEXT(LeadsData[[#This Row],[Signup Date]],"mmm-yyyy")</f>
        <v>Dec-2024</v>
      </c>
      <c r="M3945">
        <f>IF(LeadsData[[#This Row],[Stage Number]]&gt;=2,1,0)</f>
        <v>0</v>
      </c>
      <c r="N3945" s="2">
        <f>IF(LeadsData[[#This Row],[Stage Number]]&gt;=3,1,0)</f>
        <v>0</v>
      </c>
      <c r="O3945" s="2">
        <f>IF(LeadsData[[#This Row],[Stage Number]]&gt;=4,1,0)</f>
        <v>0</v>
      </c>
    </row>
    <row r="3946" spans="1:15" x14ac:dyDescent="0.25">
      <c r="A3946" t="s">
        <v>3986</v>
      </c>
      <c r="B3946" s="1">
        <v>45573</v>
      </c>
      <c r="C3946" t="s">
        <v>31</v>
      </c>
      <c r="D3946" t="s">
        <v>32</v>
      </c>
      <c r="E3946" t="s">
        <v>13</v>
      </c>
      <c r="F3946" t="s">
        <v>22</v>
      </c>
      <c r="G3946" t="s">
        <v>23</v>
      </c>
      <c r="K3946" cm="1">
        <f t="array" ref="K3946">_xlfn.SWITCH(LeadsData[[#This Row],[Funnel Stage Reached]],"Lead",1,"MQL",2,"SQL",3,"Customer",4)</f>
        <v>2</v>
      </c>
      <c r="L3946" t="str">
        <f>TEXT(LeadsData[[#This Row],[Signup Date]],"mmm-yyyy")</f>
        <v>Oct-2024</v>
      </c>
      <c r="M3946">
        <f>IF(LeadsData[[#This Row],[Stage Number]]&gt;=2,1,0)</f>
        <v>1</v>
      </c>
      <c r="N3946" s="2">
        <f>IF(LeadsData[[#This Row],[Stage Number]]&gt;=3,1,0)</f>
        <v>0</v>
      </c>
      <c r="O3946" s="2">
        <f>IF(LeadsData[[#This Row],[Stage Number]]&gt;=4,1,0)</f>
        <v>0</v>
      </c>
    </row>
    <row r="3947" spans="1:15" x14ac:dyDescent="0.25">
      <c r="A3947" t="s">
        <v>3987</v>
      </c>
      <c r="B3947" s="1">
        <v>45451</v>
      </c>
      <c r="C3947" t="s">
        <v>17</v>
      </c>
      <c r="D3947" t="s">
        <v>18</v>
      </c>
      <c r="E3947" t="s">
        <v>13</v>
      </c>
      <c r="F3947" t="s">
        <v>14</v>
      </c>
      <c r="G3947" t="s">
        <v>15</v>
      </c>
      <c r="K3947" cm="1">
        <f t="array" ref="K3947">_xlfn.SWITCH(LeadsData[[#This Row],[Funnel Stage Reached]],"Lead",1,"MQL",2,"SQL",3,"Customer",4)</f>
        <v>1</v>
      </c>
      <c r="L3947" t="str">
        <f>TEXT(LeadsData[[#This Row],[Signup Date]],"mmm-yyyy")</f>
        <v>Jun-2024</v>
      </c>
      <c r="M3947">
        <f>IF(LeadsData[[#This Row],[Stage Number]]&gt;=2,1,0)</f>
        <v>0</v>
      </c>
      <c r="N3947" s="2">
        <f>IF(LeadsData[[#This Row],[Stage Number]]&gt;=3,1,0)</f>
        <v>0</v>
      </c>
      <c r="O3947" s="2">
        <f>IF(LeadsData[[#This Row],[Stage Number]]&gt;=4,1,0)</f>
        <v>0</v>
      </c>
    </row>
    <row r="3948" spans="1:15" x14ac:dyDescent="0.25">
      <c r="A3948" t="s">
        <v>3988</v>
      </c>
      <c r="B3948" s="1">
        <v>45469</v>
      </c>
      <c r="C3948" t="s">
        <v>46</v>
      </c>
      <c r="D3948" t="s">
        <v>47</v>
      </c>
      <c r="E3948" t="s">
        <v>13</v>
      </c>
      <c r="F3948" t="s">
        <v>19</v>
      </c>
      <c r="G3948" t="s">
        <v>23</v>
      </c>
      <c r="K3948" cm="1">
        <f t="array" ref="K3948">_xlfn.SWITCH(LeadsData[[#This Row],[Funnel Stage Reached]],"Lead",1,"MQL",2,"SQL",3,"Customer",4)</f>
        <v>2</v>
      </c>
      <c r="L3948" t="str">
        <f>TEXT(LeadsData[[#This Row],[Signup Date]],"mmm-yyyy")</f>
        <v>Jun-2024</v>
      </c>
      <c r="M3948">
        <f>IF(LeadsData[[#This Row],[Stage Number]]&gt;=2,1,0)</f>
        <v>1</v>
      </c>
      <c r="N3948" s="2">
        <f>IF(LeadsData[[#This Row],[Stage Number]]&gt;=3,1,0)</f>
        <v>0</v>
      </c>
      <c r="O3948" s="2">
        <f>IF(LeadsData[[#This Row],[Stage Number]]&gt;=4,1,0)</f>
        <v>0</v>
      </c>
    </row>
    <row r="3949" spans="1:15" x14ac:dyDescent="0.25">
      <c r="A3949" t="s">
        <v>3989</v>
      </c>
      <c r="B3949" s="1">
        <v>45613</v>
      </c>
      <c r="C3949" t="s">
        <v>31</v>
      </c>
      <c r="D3949" t="s">
        <v>34</v>
      </c>
      <c r="E3949" t="s">
        <v>13</v>
      </c>
      <c r="F3949" t="s">
        <v>14</v>
      </c>
      <c r="G3949" t="s">
        <v>15</v>
      </c>
      <c r="K3949" cm="1">
        <f t="array" ref="K3949">_xlfn.SWITCH(LeadsData[[#This Row],[Funnel Stage Reached]],"Lead",1,"MQL",2,"SQL",3,"Customer",4)</f>
        <v>1</v>
      </c>
      <c r="L3949" t="str">
        <f>TEXT(LeadsData[[#This Row],[Signup Date]],"mmm-yyyy")</f>
        <v>Nov-2024</v>
      </c>
      <c r="M3949">
        <f>IF(LeadsData[[#This Row],[Stage Number]]&gt;=2,1,0)</f>
        <v>0</v>
      </c>
      <c r="N3949" s="2">
        <f>IF(LeadsData[[#This Row],[Stage Number]]&gt;=3,1,0)</f>
        <v>0</v>
      </c>
      <c r="O3949" s="2">
        <f>IF(LeadsData[[#This Row],[Stage Number]]&gt;=4,1,0)</f>
        <v>0</v>
      </c>
    </row>
    <row r="3950" spans="1:15" x14ac:dyDescent="0.25">
      <c r="A3950" t="s">
        <v>3990</v>
      </c>
      <c r="B3950" s="1">
        <v>45395</v>
      </c>
      <c r="C3950" t="s">
        <v>31</v>
      </c>
      <c r="D3950" t="s">
        <v>34</v>
      </c>
      <c r="E3950" t="s">
        <v>48</v>
      </c>
      <c r="F3950" t="s">
        <v>19</v>
      </c>
      <c r="G3950" t="s">
        <v>23</v>
      </c>
      <c r="K3950" cm="1">
        <f t="array" ref="K3950">_xlfn.SWITCH(LeadsData[[#This Row],[Funnel Stage Reached]],"Lead",1,"MQL",2,"SQL",3,"Customer",4)</f>
        <v>2</v>
      </c>
      <c r="L3950" t="str">
        <f>TEXT(LeadsData[[#This Row],[Signup Date]],"mmm-yyyy")</f>
        <v>Apr-2024</v>
      </c>
      <c r="M3950">
        <f>IF(LeadsData[[#This Row],[Stage Number]]&gt;=2,1,0)</f>
        <v>1</v>
      </c>
      <c r="N3950" s="2">
        <f>IF(LeadsData[[#This Row],[Stage Number]]&gt;=3,1,0)</f>
        <v>0</v>
      </c>
      <c r="O3950" s="2">
        <f>IF(LeadsData[[#This Row],[Stage Number]]&gt;=4,1,0)</f>
        <v>0</v>
      </c>
    </row>
    <row r="3951" spans="1:15" x14ac:dyDescent="0.25">
      <c r="A3951" t="s">
        <v>3991</v>
      </c>
      <c r="B3951" s="1">
        <v>45440</v>
      </c>
      <c r="C3951" t="s">
        <v>31</v>
      </c>
      <c r="D3951" t="s">
        <v>32</v>
      </c>
      <c r="E3951" t="s">
        <v>13</v>
      </c>
      <c r="F3951" t="s">
        <v>19</v>
      </c>
      <c r="G3951" t="s">
        <v>23</v>
      </c>
      <c r="K3951" cm="1">
        <f t="array" ref="K3951">_xlfn.SWITCH(LeadsData[[#This Row],[Funnel Stage Reached]],"Lead",1,"MQL",2,"SQL",3,"Customer",4)</f>
        <v>2</v>
      </c>
      <c r="L3951" t="str">
        <f>TEXT(LeadsData[[#This Row],[Signup Date]],"mmm-yyyy")</f>
        <v>May-2024</v>
      </c>
      <c r="M3951">
        <f>IF(LeadsData[[#This Row],[Stage Number]]&gt;=2,1,0)</f>
        <v>1</v>
      </c>
      <c r="N3951" s="2">
        <f>IF(LeadsData[[#This Row],[Stage Number]]&gt;=3,1,0)</f>
        <v>0</v>
      </c>
      <c r="O3951" s="2">
        <f>IF(LeadsData[[#This Row],[Stage Number]]&gt;=4,1,0)</f>
        <v>0</v>
      </c>
    </row>
    <row r="3952" spans="1:15" x14ac:dyDescent="0.25">
      <c r="A3952" t="s">
        <v>3992</v>
      </c>
      <c r="B3952" s="1">
        <v>45467</v>
      </c>
      <c r="C3952" t="s">
        <v>25</v>
      </c>
      <c r="D3952" t="s">
        <v>26</v>
      </c>
      <c r="E3952" t="s">
        <v>21</v>
      </c>
      <c r="F3952" t="s">
        <v>22</v>
      </c>
      <c r="G3952" t="s">
        <v>15</v>
      </c>
      <c r="K3952" cm="1">
        <f t="array" ref="K3952">_xlfn.SWITCH(LeadsData[[#This Row],[Funnel Stage Reached]],"Lead",1,"MQL",2,"SQL",3,"Customer",4)</f>
        <v>1</v>
      </c>
      <c r="L3952" t="str">
        <f>TEXT(LeadsData[[#This Row],[Signup Date]],"mmm-yyyy")</f>
        <v>Jun-2024</v>
      </c>
      <c r="M3952">
        <f>IF(LeadsData[[#This Row],[Stage Number]]&gt;=2,1,0)</f>
        <v>0</v>
      </c>
      <c r="N3952" s="2">
        <f>IF(LeadsData[[#This Row],[Stage Number]]&gt;=3,1,0)</f>
        <v>0</v>
      </c>
      <c r="O3952" s="2">
        <f>IF(LeadsData[[#This Row],[Stage Number]]&gt;=4,1,0)</f>
        <v>0</v>
      </c>
    </row>
    <row r="3953" spans="1:15" x14ac:dyDescent="0.25">
      <c r="A3953" t="s">
        <v>3993</v>
      </c>
      <c r="B3953" s="1">
        <v>45612</v>
      </c>
      <c r="C3953" t="s">
        <v>36</v>
      </c>
      <c r="D3953" t="s">
        <v>50</v>
      </c>
      <c r="E3953" t="s">
        <v>21</v>
      </c>
      <c r="F3953" t="s">
        <v>22</v>
      </c>
      <c r="G3953" t="s">
        <v>29</v>
      </c>
      <c r="K3953" cm="1">
        <f t="array" ref="K3953">_xlfn.SWITCH(LeadsData[[#This Row],[Funnel Stage Reached]],"Lead",1,"MQL",2,"SQL",3,"Customer",4)</f>
        <v>3</v>
      </c>
      <c r="L3953" t="str">
        <f>TEXT(LeadsData[[#This Row],[Signup Date]],"mmm-yyyy")</f>
        <v>Nov-2024</v>
      </c>
      <c r="M3953">
        <f>IF(LeadsData[[#This Row],[Stage Number]]&gt;=2,1,0)</f>
        <v>1</v>
      </c>
      <c r="N3953" s="2">
        <f>IF(LeadsData[[#This Row],[Stage Number]]&gt;=3,1,0)</f>
        <v>1</v>
      </c>
      <c r="O3953" s="2">
        <f>IF(LeadsData[[#This Row],[Stage Number]]&gt;=4,1,0)</f>
        <v>0</v>
      </c>
    </row>
    <row r="3954" spans="1:15" x14ac:dyDescent="0.25">
      <c r="A3954" t="s">
        <v>3994</v>
      </c>
      <c r="B3954" s="1">
        <v>45417</v>
      </c>
      <c r="C3954" t="s">
        <v>31</v>
      </c>
      <c r="D3954" t="s">
        <v>32</v>
      </c>
      <c r="E3954" t="s">
        <v>13</v>
      </c>
      <c r="F3954" t="s">
        <v>22</v>
      </c>
      <c r="G3954" t="s">
        <v>29</v>
      </c>
      <c r="K3954" cm="1">
        <f t="array" ref="K3954">_xlfn.SWITCH(LeadsData[[#This Row],[Funnel Stage Reached]],"Lead",1,"MQL",2,"SQL",3,"Customer",4)</f>
        <v>3</v>
      </c>
      <c r="L3954" t="str">
        <f>TEXT(LeadsData[[#This Row],[Signup Date]],"mmm-yyyy")</f>
        <v>May-2024</v>
      </c>
      <c r="M3954">
        <f>IF(LeadsData[[#This Row],[Stage Number]]&gt;=2,1,0)</f>
        <v>1</v>
      </c>
      <c r="N3954" s="2">
        <f>IF(LeadsData[[#This Row],[Stage Number]]&gt;=3,1,0)</f>
        <v>1</v>
      </c>
      <c r="O3954" s="2">
        <f>IF(LeadsData[[#This Row],[Stage Number]]&gt;=4,1,0)</f>
        <v>0</v>
      </c>
    </row>
    <row r="3955" spans="1:15" x14ac:dyDescent="0.25">
      <c r="A3955" t="s">
        <v>3995</v>
      </c>
      <c r="B3955" s="1">
        <v>45530</v>
      </c>
      <c r="C3955" t="s">
        <v>25</v>
      </c>
      <c r="D3955" t="s">
        <v>26</v>
      </c>
      <c r="E3955" t="s">
        <v>13</v>
      </c>
      <c r="F3955" t="s">
        <v>19</v>
      </c>
      <c r="G3955" t="s">
        <v>15</v>
      </c>
      <c r="K3955" cm="1">
        <f t="array" ref="K3955">_xlfn.SWITCH(LeadsData[[#This Row],[Funnel Stage Reached]],"Lead",1,"MQL",2,"SQL",3,"Customer",4)</f>
        <v>1</v>
      </c>
      <c r="L3955" t="str">
        <f>TEXT(LeadsData[[#This Row],[Signup Date]],"mmm-yyyy")</f>
        <v>Aug-2024</v>
      </c>
      <c r="M3955">
        <f>IF(LeadsData[[#This Row],[Stage Number]]&gt;=2,1,0)</f>
        <v>0</v>
      </c>
      <c r="N3955" s="2">
        <f>IF(LeadsData[[#This Row],[Stage Number]]&gt;=3,1,0)</f>
        <v>0</v>
      </c>
      <c r="O3955" s="2">
        <f>IF(LeadsData[[#This Row],[Stage Number]]&gt;=4,1,0)</f>
        <v>0</v>
      </c>
    </row>
    <row r="3956" spans="1:15" x14ac:dyDescent="0.25">
      <c r="A3956" t="s">
        <v>3996</v>
      </c>
      <c r="B3956" s="1">
        <v>45512</v>
      </c>
      <c r="C3956" t="s">
        <v>11</v>
      </c>
      <c r="D3956" t="s">
        <v>12</v>
      </c>
      <c r="E3956" t="s">
        <v>13</v>
      </c>
      <c r="F3956" t="s">
        <v>14</v>
      </c>
      <c r="G3956" t="s">
        <v>15</v>
      </c>
      <c r="K3956" cm="1">
        <f t="array" ref="K3956">_xlfn.SWITCH(LeadsData[[#This Row],[Funnel Stage Reached]],"Lead",1,"MQL",2,"SQL",3,"Customer",4)</f>
        <v>1</v>
      </c>
      <c r="L3956" t="str">
        <f>TEXT(LeadsData[[#This Row],[Signup Date]],"mmm-yyyy")</f>
        <v>Aug-2024</v>
      </c>
      <c r="M3956">
        <f>IF(LeadsData[[#This Row],[Stage Number]]&gt;=2,1,0)</f>
        <v>0</v>
      </c>
      <c r="N3956" s="2">
        <f>IF(LeadsData[[#This Row],[Stage Number]]&gt;=3,1,0)</f>
        <v>0</v>
      </c>
      <c r="O3956" s="2">
        <f>IF(LeadsData[[#This Row],[Stage Number]]&gt;=4,1,0)</f>
        <v>0</v>
      </c>
    </row>
    <row r="3957" spans="1:15" x14ac:dyDescent="0.25">
      <c r="A3957" t="s">
        <v>3997</v>
      </c>
      <c r="B3957" s="1">
        <v>45332</v>
      </c>
      <c r="C3957" t="s">
        <v>11</v>
      </c>
      <c r="D3957" t="s">
        <v>68</v>
      </c>
      <c r="E3957" t="s">
        <v>13</v>
      </c>
      <c r="F3957" t="s">
        <v>22</v>
      </c>
      <c r="G3957" t="s">
        <v>15</v>
      </c>
      <c r="K3957" cm="1">
        <f t="array" ref="K3957">_xlfn.SWITCH(LeadsData[[#This Row],[Funnel Stage Reached]],"Lead",1,"MQL",2,"SQL",3,"Customer",4)</f>
        <v>1</v>
      </c>
      <c r="L3957" t="str">
        <f>TEXT(LeadsData[[#This Row],[Signup Date]],"mmm-yyyy")</f>
        <v>Feb-2024</v>
      </c>
      <c r="M3957">
        <f>IF(LeadsData[[#This Row],[Stage Number]]&gt;=2,1,0)</f>
        <v>0</v>
      </c>
      <c r="N3957" s="2">
        <f>IF(LeadsData[[#This Row],[Stage Number]]&gt;=3,1,0)</f>
        <v>0</v>
      </c>
      <c r="O3957" s="2">
        <f>IF(LeadsData[[#This Row],[Stage Number]]&gt;=4,1,0)</f>
        <v>0</v>
      </c>
    </row>
    <row r="3958" spans="1:15" x14ac:dyDescent="0.25">
      <c r="A3958" t="s">
        <v>3998</v>
      </c>
      <c r="B3958" s="1">
        <v>45396</v>
      </c>
      <c r="C3958" t="s">
        <v>36</v>
      </c>
      <c r="D3958" t="s">
        <v>50</v>
      </c>
      <c r="E3958" t="s">
        <v>48</v>
      </c>
      <c r="F3958" t="s">
        <v>14</v>
      </c>
      <c r="G3958" t="s">
        <v>23</v>
      </c>
      <c r="K3958" cm="1">
        <f t="array" ref="K3958">_xlfn.SWITCH(LeadsData[[#This Row],[Funnel Stage Reached]],"Lead",1,"MQL",2,"SQL",3,"Customer",4)</f>
        <v>2</v>
      </c>
      <c r="L3958" t="str">
        <f>TEXT(LeadsData[[#This Row],[Signup Date]],"mmm-yyyy")</f>
        <v>Apr-2024</v>
      </c>
      <c r="M3958">
        <f>IF(LeadsData[[#This Row],[Stage Number]]&gt;=2,1,0)</f>
        <v>1</v>
      </c>
      <c r="N3958" s="2">
        <f>IF(LeadsData[[#This Row],[Stage Number]]&gt;=3,1,0)</f>
        <v>0</v>
      </c>
      <c r="O3958" s="2">
        <f>IF(LeadsData[[#This Row],[Stage Number]]&gt;=4,1,0)</f>
        <v>0</v>
      </c>
    </row>
    <row r="3959" spans="1:15" x14ac:dyDescent="0.25">
      <c r="A3959" t="s">
        <v>3999</v>
      </c>
      <c r="B3959" s="1">
        <v>45651</v>
      </c>
      <c r="C3959" t="s">
        <v>11</v>
      </c>
      <c r="D3959" t="s">
        <v>12</v>
      </c>
      <c r="E3959" t="s">
        <v>13</v>
      </c>
      <c r="F3959" t="s">
        <v>22</v>
      </c>
      <c r="G3959" t="s">
        <v>29</v>
      </c>
      <c r="K3959" cm="1">
        <f t="array" ref="K3959">_xlfn.SWITCH(LeadsData[[#This Row],[Funnel Stage Reached]],"Lead",1,"MQL",2,"SQL",3,"Customer",4)</f>
        <v>3</v>
      </c>
      <c r="L3959" t="str">
        <f>TEXT(LeadsData[[#This Row],[Signup Date]],"mmm-yyyy")</f>
        <v>Dec-2024</v>
      </c>
      <c r="M3959">
        <f>IF(LeadsData[[#This Row],[Stage Number]]&gt;=2,1,0)</f>
        <v>1</v>
      </c>
      <c r="N3959" s="2">
        <f>IF(LeadsData[[#This Row],[Stage Number]]&gt;=3,1,0)</f>
        <v>1</v>
      </c>
      <c r="O3959" s="2">
        <f>IF(LeadsData[[#This Row],[Stage Number]]&gt;=4,1,0)</f>
        <v>0</v>
      </c>
    </row>
    <row r="3960" spans="1:15" x14ac:dyDescent="0.25">
      <c r="A3960" t="s">
        <v>4000</v>
      </c>
      <c r="B3960" s="1">
        <v>45324</v>
      </c>
      <c r="C3960" t="s">
        <v>17</v>
      </c>
      <c r="D3960" t="s">
        <v>18</v>
      </c>
      <c r="E3960" t="s">
        <v>21</v>
      </c>
      <c r="F3960" t="s">
        <v>22</v>
      </c>
      <c r="G3960" t="s">
        <v>23</v>
      </c>
      <c r="K3960" cm="1">
        <f t="array" ref="K3960">_xlfn.SWITCH(LeadsData[[#This Row],[Funnel Stage Reached]],"Lead",1,"MQL",2,"SQL",3,"Customer",4)</f>
        <v>2</v>
      </c>
      <c r="L3960" t="str">
        <f>TEXT(LeadsData[[#This Row],[Signup Date]],"mmm-yyyy")</f>
        <v>Feb-2024</v>
      </c>
      <c r="M3960">
        <f>IF(LeadsData[[#This Row],[Stage Number]]&gt;=2,1,0)</f>
        <v>1</v>
      </c>
      <c r="N3960" s="2">
        <f>IF(LeadsData[[#This Row],[Stage Number]]&gt;=3,1,0)</f>
        <v>0</v>
      </c>
      <c r="O3960" s="2">
        <f>IF(LeadsData[[#This Row],[Stage Number]]&gt;=4,1,0)</f>
        <v>0</v>
      </c>
    </row>
    <row r="3961" spans="1:15" x14ac:dyDescent="0.25">
      <c r="A3961" t="s">
        <v>4001</v>
      </c>
      <c r="B3961" s="1">
        <v>45586</v>
      </c>
      <c r="C3961" t="s">
        <v>11</v>
      </c>
      <c r="D3961" t="s">
        <v>12</v>
      </c>
      <c r="E3961" t="s">
        <v>13</v>
      </c>
      <c r="F3961" t="s">
        <v>22</v>
      </c>
      <c r="G3961" t="s">
        <v>15</v>
      </c>
      <c r="K3961" cm="1">
        <f t="array" ref="K3961">_xlfn.SWITCH(LeadsData[[#This Row],[Funnel Stage Reached]],"Lead",1,"MQL",2,"SQL",3,"Customer",4)</f>
        <v>1</v>
      </c>
      <c r="L3961" t="str">
        <f>TEXT(LeadsData[[#This Row],[Signup Date]],"mmm-yyyy")</f>
        <v>Oct-2024</v>
      </c>
      <c r="M3961">
        <f>IF(LeadsData[[#This Row],[Stage Number]]&gt;=2,1,0)</f>
        <v>0</v>
      </c>
      <c r="N3961" s="2">
        <f>IF(LeadsData[[#This Row],[Stage Number]]&gt;=3,1,0)</f>
        <v>0</v>
      </c>
      <c r="O3961" s="2">
        <f>IF(LeadsData[[#This Row],[Stage Number]]&gt;=4,1,0)</f>
        <v>0</v>
      </c>
    </row>
    <row r="3962" spans="1:15" x14ac:dyDescent="0.25">
      <c r="A3962" t="s">
        <v>4002</v>
      </c>
      <c r="B3962" s="1">
        <v>45491</v>
      </c>
      <c r="C3962" t="s">
        <v>46</v>
      </c>
      <c r="D3962" t="s">
        <v>47</v>
      </c>
      <c r="E3962" t="s">
        <v>13</v>
      </c>
      <c r="F3962" t="s">
        <v>22</v>
      </c>
      <c r="G3962" t="s">
        <v>15</v>
      </c>
      <c r="K3962" cm="1">
        <f t="array" ref="K3962">_xlfn.SWITCH(LeadsData[[#This Row],[Funnel Stage Reached]],"Lead",1,"MQL",2,"SQL",3,"Customer",4)</f>
        <v>1</v>
      </c>
      <c r="L3962" t="str">
        <f>TEXT(LeadsData[[#This Row],[Signup Date]],"mmm-yyyy")</f>
        <v>Jul-2024</v>
      </c>
      <c r="M3962">
        <f>IF(LeadsData[[#This Row],[Stage Number]]&gt;=2,1,0)</f>
        <v>0</v>
      </c>
      <c r="N3962" s="2">
        <f>IF(LeadsData[[#This Row],[Stage Number]]&gt;=3,1,0)</f>
        <v>0</v>
      </c>
      <c r="O3962" s="2">
        <f>IF(LeadsData[[#This Row],[Stage Number]]&gt;=4,1,0)</f>
        <v>0</v>
      </c>
    </row>
    <row r="3963" spans="1:15" x14ac:dyDescent="0.25">
      <c r="A3963" t="s">
        <v>4003</v>
      </c>
      <c r="B3963" s="1">
        <v>45574</v>
      </c>
      <c r="C3963" t="s">
        <v>46</v>
      </c>
      <c r="D3963" t="s">
        <v>56</v>
      </c>
      <c r="E3963" t="s">
        <v>48</v>
      </c>
      <c r="F3963" t="s">
        <v>19</v>
      </c>
      <c r="G3963" t="s">
        <v>15</v>
      </c>
      <c r="K3963" cm="1">
        <f t="array" ref="K3963">_xlfn.SWITCH(LeadsData[[#This Row],[Funnel Stage Reached]],"Lead",1,"MQL",2,"SQL",3,"Customer",4)</f>
        <v>1</v>
      </c>
      <c r="L3963" t="str">
        <f>TEXT(LeadsData[[#This Row],[Signup Date]],"mmm-yyyy")</f>
        <v>Oct-2024</v>
      </c>
      <c r="M3963">
        <f>IF(LeadsData[[#This Row],[Stage Number]]&gt;=2,1,0)</f>
        <v>0</v>
      </c>
      <c r="N3963" s="2">
        <f>IF(LeadsData[[#This Row],[Stage Number]]&gt;=3,1,0)</f>
        <v>0</v>
      </c>
      <c r="O3963" s="2">
        <f>IF(LeadsData[[#This Row],[Stage Number]]&gt;=4,1,0)</f>
        <v>0</v>
      </c>
    </row>
    <row r="3964" spans="1:15" x14ac:dyDescent="0.25">
      <c r="A3964" t="s">
        <v>4004</v>
      </c>
      <c r="B3964" s="1">
        <v>45496</v>
      </c>
      <c r="C3964" t="s">
        <v>17</v>
      </c>
      <c r="D3964" t="s">
        <v>18</v>
      </c>
      <c r="E3964" t="s">
        <v>13</v>
      </c>
      <c r="F3964" t="s">
        <v>19</v>
      </c>
      <c r="G3964" t="s">
        <v>15</v>
      </c>
      <c r="K3964" cm="1">
        <f t="array" ref="K3964">_xlfn.SWITCH(LeadsData[[#This Row],[Funnel Stage Reached]],"Lead",1,"MQL",2,"SQL",3,"Customer",4)</f>
        <v>1</v>
      </c>
      <c r="L3964" t="str">
        <f>TEXT(LeadsData[[#This Row],[Signup Date]],"mmm-yyyy")</f>
        <v>Jul-2024</v>
      </c>
      <c r="M3964">
        <f>IF(LeadsData[[#This Row],[Stage Number]]&gt;=2,1,0)</f>
        <v>0</v>
      </c>
      <c r="N3964" s="2">
        <f>IF(LeadsData[[#This Row],[Stage Number]]&gt;=3,1,0)</f>
        <v>0</v>
      </c>
      <c r="O3964" s="2">
        <f>IF(LeadsData[[#This Row],[Stage Number]]&gt;=4,1,0)</f>
        <v>0</v>
      </c>
    </row>
    <row r="3965" spans="1:15" x14ac:dyDescent="0.25">
      <c r="A3965" t="s">
        <v>4005</v>
      </c>
      <c r="B3965" s="1">
        <v>45428</v>
      </c>
      <c r="C3965" t="s">
        <v>11</v>
      </c>
      <c r="D3965" t="s">
        <v>68</v>
      </c>
      <c r="E3965" t="s">
        <v>21</v>
      </c>
      <c r="F3965" t="s">
        <v>14</v>
      </c>
      <c r="G3965" t="s">
        <v>23</v>
      </c>
      <c r="K3965" cm="1">
        <f t="array" ref="K3965">_xlfn.SWITCH(LeadsData[[#This Row],[Funnel Stage Reached]],"Lead",1,"MQL",2,"SQL",3,"Customer",4)</f>
        <v>2</v>
      </c>
      <c r="L3965" t="str">
        <f>TEXT(LeadsData[[#This Row],[Signup Date]],"mmm-yyyy")</f>
        <v>May-2024</v>
      </c>
      <c r="M3965">
        <f>IF(LeadsData[[#This Row],[Stage Number]]&gt;=2,1,0)</f>
        <v>1</v>
      </c>
      <c r="N3965" s="2">
        <f>IF(LeadsData[[#This Row],[Stage Number]]&gt;=3,1,0)</f>
        <v>0</v>
      </c>
      <c r="O3965" s="2">
        <f>IF(LeadsData[[#This Row],[Stage Number]]&gt;=4,1,0)</f>
        <v>0</v>
      </c>
    </row>
    <row r="3966" spans="1:15" x14ac:dyDescent="0.25">
      <c r="A3966" t="s">
        <v>4006</v>
      </c>
      <c r="B3966" s="1">
        <v>45651</v>
      </c>
      <c r="C3966" t="s">
        <v>31</v>
      </c>
      <c r="D3966" t="s">
        <v>32</v>
      </c>
      <c r="E3966" t="s">
        <v>13</v>
      </c>
      <c r="F3966" t="s">
        <v>22</v>
      </c>
      <c r="G3966" t="s">
        <v>29</v>
      </c>
      <c r="K3966" cm="1">
        <f t="array" ref="K3966">_xlfn.SWITCH(LeadsData[[#This Row],[Funnel Stage Reached]],"Lead",1,"MQL",2,"SQL",3,"Customer",4)</f>
        <v>3</v>
      </c>
      <c r="L3966" t="str">
        <f>TEXT(LeadsData[[#This Row],[Signup Date]],"mmm-yyyy")</f>
        <v>Dec-2024</v>
      </c>
      <c r="M3966">
        <f>IF(LeadsData[[#This Row],[Stage Number]]&gt;=2,1,0)</f>
        <v>1</v>
      </c>
      <c r="N3966" s="2">
        <f>IF(LeadsData[[#This Row],[Stage Number]]&gt;=3,1,0)</f>
        <v>1</v>
      </c>
      <c r="O3966" s="2">
        <f>IF(LeadsData[[#This Row],[Stage Number]]&gt;=4,1,0)</f>
        <v>0</v>
      </c>
    </row>
    <row r="3967" spans="1:15" x14ac:dyDescent="0.25">
      <c r="A3967" t="s">
        <v>4007</v>
      </c>
      <c r="B3967" s="1">
        <v>45416</v>
      </c>
      <c r="C3967" t="s">
        <v>25</v>
      </c>
      <c r="D3967" t="s">
        <v>26</v>
      </c>
      <c r="E3967" t="s">
        <v>21</v>
      </c>
      <c r="F3967" t="s">
        <v>14</v>
      </c>
      <c r="G3967" t="s">
        <v>23</v>
      </c>
      <c r="K3967" cm="1">
        <f t="array" ref="K3967">_xlfn.SWITCH(LeadsData[[#This Row],[Funnel Stage Reached]],"Lead",1,"MQL",2,"SQL",3,"Customer",4)</f>
        <v>2</v>
      </c>
      <c r="L3967" t="str">
        <f>TEXT(LeadsData[[#This Row],[Signup Date]],"mmm-yyyy")</f>
        <v>May-2024</v>
      </c>
      <c r="M3967">
        <f>IF(LeadsData[[#This Row],[Stage Number]]&gt;=2,1,0)</f>
        <v>1</v>
      </c>
      <c r="N3967" s="2">
        <f>IF(LeadsData[[#This Row],[Stage Number]]&gt;=3,1,0)</f>
        <v>0</v>
      </c>
      <c r="O3967" s="2">
        <f>IF(LeadsData[[#This Row],[Stage Number]]&gt;=4,1,0)</f>
        <v>0</v>
      </c>
    </row>
    <row r="3968" spans="1:15" x14ac:dyDescent="0.25">
      <c r="A3968" t="s">
        <v>4008</v>
      </c>
      <c r="B3968" s="1">
        <v>45315</v>
      </c>
      <c r="C3968" t="s">
        <v>46</v>
      </c>
      <c r="D3968" t="s">
        <v>56</v>
      </c>
      <c r="E3968" t="s">
        <v>13</v>
      </c>
      <c r="F3968" t="s">
        <v>19</v>
      </c>
      <c r="G3968" t="s">
        <v>15</v>
      </c>
      <c r="K3968" cm="1">
        <f t="array" ref="K3968">_xlfn.SWITCH(LeadsData[[#This Row],[Funnel Stage Reached]],"Lead",1,"MQL",2,"SQL",3,"Customer",4)</f>
        <v>1</v>
      </c>
      <c r="L3968" t="str">
        <f>TEXT(LeadsData[[#This Row],[Signup Date]],"mmm-yyyy")</f>
        <v>Jan-2024</v>
      </c>
      <c r="M3968">
        <f>IF(LeadsData[[#This Row],[Stage Number]]&gt;=2,1,0)</f>
        <v>0</v>
      </c>
      <c r="N3968" s="2">
        <f>IF(LeadsData[[#This Row],[Stage Number]]&gt;=3,1,0)</f>
        <v>0</v>
      </c>
      <c r="O3968" s="2">
        <f>IF(LeadsData[[#This Row],[Stage Number]]&gt;=4,1,0)</f>
        <v>0</v>
      </c>
    </row>
    <row r="3969" spans="1:15" x14ac:dyDescent="0.25">
      <c r="A3969" t="s">
        <v>4009</v>
      </c>
      <c r="B3969" s="1">
        <v>45384</v>
      </c>
      <c r="C3969" t="s">
        <v>36</v>
      </c>
      <c r="D3969" t="s">
        <v>50</v>
      </c>
      <c r="E3969" t="s">
        <v>21</v>
      </c>
      <c r="F3969" t="s">
        <v>19</v>
      </c>
      <c r="G3969" t="s">
        <v>29</v>
      </c>
      <c r="K3969" cm="1">
        <f t="array" ref="K3969">_xlfn.SWITCH(LeadsData[[#This Row],[Funnel Stage Reached]],"Lead",1,"MQL",2,"SQL",3,"Customer",4)</f>
        <v>3</v>
      </c>
      <c r="L3969" t="str">
        <f>TEXT(LeadsData[[#This Row],[Signup Date]],"mmm-yyyy")</f>
        <v>Apr-2024</v>
      </c>
      <c r="M3969">
        <f>IF(LeadsData[[#This Row],[Stage Number]]&gt;=2,1,0)</f>
        <v>1</v>
      </c>
      <c r="N3969" s="2">
        <f>IF(LeadsData[[#This Row],[Stage Number]]&gt;=3,1,0)</f>
        <v>1</v>
      </c>
      <c r="O3969" s="2">
        <f>IF(LeadsData[[#This Row],[Stage Number]]&gt;=4,1,0)</f>
        <v>0</v>
      </c>
    </row>
    <row r="3970" spans="1:15" x14ac:dyDescent="0.25">
      <c r="A3970" t="s">
        <v>4010</v>
      </c>
      <c r="B3970" s="1">
        <v>45393</v>
      </c>
      <c r="C3970" t="s">
        <v>17</v>
      </c>
      <c r="D3970" t="s">
        <v>53</v>
      </c>
      <c r="E3970" t="s">
        <v>21</v>
      </c>
      <c r="F3970" t="s">
        <v>28</v>
      </c>
      <c r="G3970" t="s">
        <v>15</v>
      </c>
      <c r="K3970" cm="1">
        <f t="array" ref="K3970">_xlfn.SWITCH(LeadsData[[#This Row],[Funnel Stage Reached]],"Lead",1,"MQL",2,"SQL",3,"Customer",4)</f>
        <v>1</v>
      </c>
      <c r="L3970" t="str">
        <f>TEXT(LeadsData[[#This Row],[Signup Date]],"mmm-yyyy")</f>
        <v>Apr-2024</v>
      </c>
      <c r="M3970">
        <f>IF(LeadsData[[#This Row],[Stage Number]]&gt;=2,1,0)</f>
        <v>0</v>
      </c>
      <c r="N3970" s="2">
        <f>IF(LeadsData[[#This Row],[Stage Number]]&gt;=3,1,0)</f>
        <v>0</v>
      </c>
      <c r="O3970" s="2">
        <f>IF(LeadsData[[#This Row],[Stage Number]]&gt;=4,1,0)</f>
        <v>0</v>
      </c>
    </row>
    <row r="3971" spans="1:15" x14ac:dyDescent="0.25">
      <c r="A3971" t="s">
        <v>4011</v>
      </c>
      <c r="B3971" s="1">
        <v>45573</v>
      </c>
      <c r="C3971" t="s">
        <v>46</v>
      </c>
      <c r="D3971" t="s">
        <v>56</v>
      </c>
      <c r="E3971" t="s">
        <v>21</v>
      </c>
      <c r="F3971" t="s">
        <v>22</v>
      </c>
      <c r="G3971" t="s">
        <v>23</v>
      </c>
      <c r="K3971" cm="1">
        <f t="array" ref="K3971">_xlfn.SWITCH(LeadsData[[#This Row],[Funnel Stage Reached]],"Lead",1,"MQL",2,"SQL",3,"Customer",4)</f>
        <v>2</v>
      </c>
      <c r="L3971" t="str">
        <f>TEXT(LeadsData[[#This Row],[Signup Date]],"mmm-yyyy")</f>
        <v>Oct-2024</v>
      </c>
      <c r="M3971">
        <f>IF(LeadsData[[#This Row],[Stage Number]]&gt;=2,1,0)</f>
        <v>1</v>
      </c>
      <c r="N3971" s="2">
        <f>IF(LeadsData[[#This Row],[Stage Number]]&gt;=3,1,0)</f>
        <v>0</v>
      </c>
      <c r="O3971" s="2">
        <f>IF(LeadsData[[#This Row],[Stage Number]]&gt;=4,1,0)</f>
        <v>0</v>
      </c>
    </row>
    <row r="3972" spans="1:15" x14ac:dyDescent="0.25">
      <c r="A3972" t="s">
        <v>4012</v>
      </c>
      <c r="B3972" s="1">
        <v>45317</v>
      </c>
      <c r="C3972" t="s">
        <v>31</v>
      </c>
      <c r="D3972" t="s">
        <v>34</v>
      </c>
      <c r="E3972" t="s">
        <v>21</v>
      </c>
      <c r="F3972" t="s">
        <v>19</v>
      </c>
      <c r="G3972" t="s">
        <v>15</v>
      </c>
      <c r="K3972" cm="1">
        <f t="array" ref="K3972">_xlfn.SWITCH(LeadsData[[#This Row],[Funnel Stage Reached]],"Lead",1,"MQL",2,"SQL",3,"Customer",4)</f>
        <v>1</v>
      </c>
      <c r="L3972" t="str">
        <f>TEXT(LeadsData[[#This Row],[Signup Date]],"mmm-yyyy")</f>
        <v>Jan-2024</v>
      </c>
      <c r="M3972">
        <f>IF(LeadsData[[#This Row],[Stage Number]]&gt;=2,1,0)</f>
        <v>0</v>
      </c>
      <c r="N3972" s="2">
        <f>IF(LeadsData[[#This Row],[Stage Number]]&gt;=3,1,0)</f>
        <v>0</v>
      </c>
      <c r="O3972" s="2">
        <f>IF(LeadsData[[#This Row],[Stage Number]]&gt;=4,1,0)</f>
        <v>0</v>
      </c>
    </row>
    <row r="3973" spans="1:15" x14ac:dyDescent="0.25">
      <c r="A3973" t="s">
        <v>4013</v>
      </c>
      <c r="B3973" s="1">
        <v>45454</v>
      </c>
      <c r="C3973" t="s">
        <v>36</v>
      </c>
      <c r="D3973" t="s">
        <v>50</v>
      </c>
      <c r="E3973" t="s">
        <v>13</v>
      </c>
      <c r="F3973" t="s">
        <v>19</v>
      </c>
      <c r="G3973" t="s">
        <v>42</v>
      </c>
      <c r="H3973">
        <v>66</v>
      </c>
      <c r="I3973" t="s">
        <v>87</v>
      </c>
      <c r="J3973">
        <v>2662.49</v>
      </c>
      <c r="K3973" cm="1">
        <f t="array" ref="K3973">_xlfn.SWITCH(LeadsData[[#This Row],[Funnel Stage Reached]],"Lead",1,"MQL",2,"SQL",3,"Customer",4)</f>
        <v>4</v>
      </c>
      <c r="L3973" t="str">
        <f>TEXT(LeadsData[[#This Row],[Signup Date]],"mmm-yyyy")</f>
        <v>Jun-2024</v>
      </c>
      <c r="M3973">
        <f>IF(LeadsData[[#This Row],[Stage Number]]&gt;=2,1,0)</f>
        <v>1</v>
      </c>
      <c r="N3973" s="2">
        <f>IF(LeadsData[[#This Row],[Stage Number]]&gt;=3,1,0)</f>
        <v>1</v>
      </c>
      <c r="O3973" s="2">
        <f>IF(LeadsData[[#This Row],[Stage Number]]&gt;=4,1,0)</f>
        <v>1</v>
      </c>
    </row>
    <row r="3974" spans="1:15" x14ac:dyDescent="0.25">
      <c r="A3974" t="s">
        <v>4014</v>
      </c>
      <c r="B3974" s="1">
        <v>45435</v>
      </c>
      <c r="C3974" t="s">
        <v>31</v>
      </c>
      <c r="D3974" t="s">
        <v>34</v>
      </c>
      <c r="E3974" t="s">
        <v>13</v>
      </c>
      <c r="F3974" t="s">
        <v>19</v>
      </c>
      <c r="G3974" t="s">
        <v>23</v>
      </c>
      <c r="K3974" cm="1">
        <f t="array" ref="K3974">_xlfn.SWITCH(LeadsData[[#This Row],[Funnel Stage Reached]],"Lead",1,"MQL",2,"SQL",3,"Customer",4)</f>
        <v>2</v>
      </c>
      <c r="L3974" t="str">
        <f>TEXT(LeadsData[[#This Row],[Signup Date]],"mmm-yyyy")</f>
        <v>May-2024</v>
      </c>
      <c r="M3974">
        <f>IF(LeadsData[[#This Row],[Stage Number]]&gt;=2,1,0)</f>
        <v>1</v>
      </c>
      <c r="N3974" s="2">
        <f>IF(LeadsData[[#This Row],[Stage Number]]&gt;=3,1,0)</f>
        <v>0</v>
      </c>
      <c r="O3974" s="2">
        <f>IF(LeadsData[[#This Row],[Stage Number]]&gt;=4,1,0)</f>
        <v>0</v>
      </c>
    </row>
    <row r="3975" spans="1:15" x14ac:dyDescent="0.25">
      <c r="A3975" t="s">
        <v>4015</v>
      </c>
      <c r="B3975" s="1">
        <v>45327</v>
      </c>
      <c r="C3975" t="s">
        <v>36</v>
      </c>
      <c r="D3975" t="s">
        <v>50</v>
      </c>
      <c r="E3975" t="s">
        <v>21</v>
      </c>
      <c r="F3975" t="s">
        <v>28</v>
      </c>
      <c r="G3975" t="s">
        <v>15</v>
      </c>
      <c r="K3975" cm="1">
        <f t="array" ref="K3975">_xlfn.SWITCH(LeadsData[[#This Row],[Funnel Stage Reached]],"Lead",1,"MQL",2,"SQL",3,"Customer",4)</f>
        <v>1</v>
      </c>
      <c r="L3975" t="str">
        <f>TEXT(LeadsData[[#This Row],[Signup Date]],"mmm-yyyy")</f>
        <v>Feb-2024</v>
      </c>
      <c r="M3975">
        <f>IF(LeadsData[[#This Row],[Stage Number]]&gt;=2,1,0)</f>
        <v>0</v>
      </c>
      <c r="N3975" s="2">
        <f>IF(LeadsData[[#This Row],[Stage Number]]&gt;=3,1,0)</f>
        <v>0</v>
      </c>
      <c r="O3975" s="2">
        <f>IF(LeadsData[[#This Row],[Stage Number]]&gt;=4,1,0)</f>
        <v>0</v>
      </c>
    </row>
    <row r="3976" spans="1:15" x14ac:dyDescent="0.25">
      <c r="A3976" t="s">
        <v>4016</v>
      </c>
      <c r="B3976" s="1">
        <v>45463</v>
      </c>
      <c r="C3976" t="s">
        <v>31</v>
      </c>
      <c r="D3976" t="s">
        <v>32</v>
      </c>
      <c r="E3976" t="s">
        <v>21</v>
      </c>
      <c r="F3976" t="s">
        <v>22</v>
      </c>
      <c r="G3976" t="s">
        <v>23</v>
      </c>
      <c r="K3976" cm="1">
        <f t="array" ref="K3976">_xlfn.SWITCH(LeadsData[[#This Row],[Funnel Stage Reached]],"Lead",1,"MQL",2,"SQL",3,"Customer",4)</f>
        <v>2</v>
      </c>
      <c r="L3976" t="str">
        <f>TEXT(LeadsData[[#This Row],[Signup Date]],"mmm-yyyy")</f>
        <v>Jun-2024</v>
      </c>
      <c r="M3976">
        <f>IF(LeadsData[[#This Row],[Stage Number]]&gt;=2,1,0)</f>
        <v>1</v>
      </c>
      <c r="N3976" s="2">
        <f>IF(LeadsData[[#This Row],[Stage Number]]&gt;=3,1,0)</f>
        <v>0</v>
      </c>
      <c r="O3976" s="2">
        <f>IF(LeadsData[[#This Row],[Stage Number]]&gt;=4,1,0)</f>
        <v>0</v>
      </c>
    </row>
    <row r="3977" spans="1:15" x14ac:dyDescent="0.25">
      <c r="A3977" t="s">
        <v>4017</v>
      </c>
      <c r="B3977" s="1">
        <v>45567</v>
      </c>
      <c r="C3977" t="s">
        <v>31</v>
      </c>
      <c r="D3977" t="s">
        <v>32</v>
      </c>
      <c r="E3977" t="s">
        <v>13</v>
      </c>
      <c r="F3977" t="s">
        <v>22</v>
      </c>
      <c r="G3977" t="s">
        <v>29</v>
      </c>
      <c r="K3977" cm="1">
        <f t="array" ref="K3977">_xlfn.SWITCH(LeadsData[[#This Row],[Funnel Stage Reached]],"Lead",1,"MQL",2,"SQL",3,"Customer",4)</f>
        <v>3</v>
      </c>
      <c r="L3977" t="str">
        <f>TEXT(LeadsData[[#This Row],[Signup Date]],"mmm-yyyy")</f>
        <v>Oct-2024</v>
      </c>
      <c r="M3977">
        <f>IF(LeadsData[[#This Row],[Stage Number]]&gt;=2,1,0)</f>
        <v>1</v>
      </c>
      <c r="N3977" s="2">
        <f>IF(LeadsData[[#This Row],[Stage Number]]&gt;=3,1,0)</f>
        <v>1</v>
      </c>
      <c r="O3977" s="2">
        <f>IF(LeadsData[[#This Row],[Stage Number]]&gt;=4,1,0)</f>
        <v>0</v>
      </c>
    </row>
    <row r="3978" spans="1:15" x14ac:dyDescent="0.25">
      <c r="A3978" t="s">
        <v>4018</v>
      </c>
      <c r="B3978" s="1">
        <v>45486</v>
      </c>
      <c r="C3978" t="s">
        <v>31</v>
      </c>
      <c r="D3978" t="s">
        <v>32</v>
      </c>
      <c r="E3978" t="s">
        <v>21</v>
      </c>
      <c r="F3978" t="s">
        <v>22</v>
      </c>
      <c r="G3978" t="s">
        <v>23</v>
      </c>
      <c r="K3978" cm="1">
        <f t="array" ref="K3978">_xlfn.SWITCH(LeadsData[[#This Row],[Funnel Stage Reached]],"Lead",1,"MQL",2,"SQL",3,"Customer",4)</f>
        <v>2</v>
      </c>
      <c r="L3978" t="str">
        <f>TEXT(LeadsData[[#This Row],[Signup Date]],"mmm-yyyy")</f>
        <v>Jul-2024</v>
      </c>
      <c r="M3978">
        <f>IF(LeadsData[[#This Row],[Stage Number]]&gt;=2,1,0)</f>
        <v>1</v>
      </c>
      <c r="N3978" s="2">
        <f>IF(LeadsData[[#This Row],[Stage Number]]&gt;=3,1,0)</f>
        <v>0</v>
      </c>
      <c r="O3978" s="2">
        <f>IF(LeadsData[[#This Row],[Stage Number]]&gt;=4,1,0)</f>
        <v>0</v>
      </c>
    </row>
    <row r="3979" spans="1:15" x14ac:dyDescent="0.25">
      <c r="A3979" t="s">
        <v>4019</v>
      </c>
      <c r="B3979" s="1">
        <v>45508</v>
      </c>
      <c r="C3979" t="s">
        <v>46</v>
      </c>
      <c r="D3979" t="s">
        <v>56</v>
      </c>
      <c r="E3979" t="s">
        <v>48</v>
      </c>
      <c r="F3979" t="s">
        <v>22</v>
      </c>
      <c r="G3979" t="s">
        <v>15</v>
      </c>
      <c r="K3979" cm="1">
        <f t="array" ref="K3979">_xlfn.SWITCH(LeadsData[[#This Row],[Funnel Stage Reached]],"Lead",1,"MQL",2,"SQL",3,"Customer",4)</f>
        <v>1</v>
      </c>
      <c r="L3979" t="str">
        <f>TEXT(LeadsData[[#This Row],[Signup Date]],"mmm-yyyy")</f>
        <v>Aug-2024</v>
      </c>
      <c r="M3979">
        <f>IF(LeadsData[[#This Row],[Stage Number]]&gt;=2,1,0)</f>
        <v>0</v>
      </c>
      <c r="N3979" s="2">
        <f>IF(LeadsData[[#This Row],[Stage Number]]&gt;=3,1,0)</f>
        <v>0</v>
      </c>
      <c r="O3979" s="2">
        <f>IF(LeadsData[[#This Row],[Stage Number]]&gt;=4,1,0)</f>
        <v>0</v>
      </c>
    </row>
    <row r="3980" spans="1:15" x14ac:dyDescent="0.25">
      <c r="A3980" t="s">
        <v>4020</v>
      </c>
      <c r="B3980" s="1">
        <v>45605</v>
      </c>
      <c r="C3980" t="s">
        <v>31</v>
      </c>
      <c r="D3980" t="s">
        <v>34</v>
      </c>
      <c r="E3980" t="s">
        <v>21</v>
      </c>
      <c r="F3980" t="s">
        <v>22</v>
      </c>
      <c r="G3980" t="s">
        <v>15</v>
      </c>
      <c r="K3980" cm="1">
        <f t="array" ref="K3980">_xlfn.SWITCH(LeadsData[[#This Row],[Funnel Stage Reached]],"Lead",1,"MQL",2,"SQL",3,"Customer",4)</f>
        <v>1</v>
      </c>
      <c r="L3980" t="str">
        <f>TEXT(LeadsData[[#This Row],[Signup Date]],"mmm-yyyy")</f>
        <v>Nov-2024</v>
      </c>
      <c r="M3980">
        <f>IF(LeadsData[[#This Row],[Stage Number]]&gt;=2,1,0)</f>
        <v>0</v>
      </c>
      <c r="N3980" s="2">
        <f>IF(LeadsData[[#This Row],[Stage Number]]&gt;=3,1,0)</f>
        <v>0</v>
      </c>
      <c r="O3980" s="2">
        <f>IF(LeadsData[[#This Row],[Stage Number]]&gt;=4,1,0)</f>
        <v>0</v>
      </c>
    </row>
    <row r="3981" spans="1:15" x14ac:dyDescent="0.25">
      <c r="A3981" t="s">
        <v>4021</v>
      </c>
      <c r="B3981" s="1">
        <v>45576</v>
      </c>
      <c r="C3981" t="s">
        <v>46</v>
      </c>
      <c r="D3981" t="s">
        <v>56</v>
      </c>
      <c r="E3981" t="s">
        <v>13</v>
      </c>
      <c r="F3981" t="s">
        <v>19</v>
      </c>
      <c r="G3981" t="s">
        <v>23</v>
      </c>
      <c r="K3981" cm="1">
        <f t="array" ref="K3981">_xlfn.SWITCH(LeadsData[[#This Row],[Funnel Stage Reached]],"Lead",1,"MQL",2,"SQL",3,"Customer",4)</f>
        <v>2</v>
      </c>
      <c r="L3981" t="str">
        <f>TEXT(LeadsData[[#This Row],[Signup Date]],"mmm-yyyy")</f>
        <v>Oct-2024</v>
      </c>
      <c r="M3981">
        <f>IF(LeadsData[[#This Row],[Stage Number]]&gt;=2,1,0)</f>
        <v>1</v>
      </c>
      <c r="N3981" s="2">
        <f>IF(LeadsData[[#This Row],[Stage Number]]&gt;=3,1,0)</f>
        <v>0</v>
      </c>
      <c r="O3981" s="2">
        <f>IF(LeadsData[[#This Row],[Stage Number]]&gt;=4,1,0)</f>
        <v>0</v>
      </c>
    </row>
    <row r="3982" spans="1:15" x14ac:dyDescent="0.25">
      <c r="A3982" t="s">
        <v>4022</v>
      </c>
      <c r="B3982" s="1">
        <v>45553</v>
      </c>
      <c r="C3982" t="s">
        <v>31</v>
      </c>
      <c r="D3982" t="s">
        <v>32</v>
      </c>
      <c r="E3982" t="s">
        <v>13</v>
      </c>
      <c r="F3982" t="s">
        <v>19</v>
      </c>
      <c r="G3982" t="s">
        <v>15</v>
      </c>
      <c r="K3982" cm="1">
        <f t="array" ref="K3982">_xlfn.SWITCH(LeadsData[[#This Row],[Funnel Stage Reached]],"Lead",1,"MQL",2,"SQL",3,"Customer",4)</f>
        <v>1</v>
      </c>
      <c r="L3982" t="str">
        <f>TEXT(LeadsData[[#This Row],[Signup Date]],"mmm-yyyy")</f>
        <v>Sep-2024</v>
      </c>
      <c r="M3982">
        <f>IF(LeadsData[[#This Row],[Stage Number]]&gt;=2,1,0)</f>
        <v>0</v>
      </c>
      <c r="N3982" s="2">
        <f>IF(LeadsData[[#This Row],[Stage Number]]&gt;=3,1,0)</f>
        <v>0</v>
      </c>
      <c r="O3982" s="2">
        <f>IF(LeadsData[[#This Row],[Stage Number]]&gt;=4,1,0)</f>
        <v>0</v>
      </c>
    </row>
    <row r="3983" spans="1:15" x14ac:dyDescent="0.25">
      <c r="A3983" t="s">
        <v>4023</v>
      </c>
      <c r="B3983" s="1">
        <v>45367</v>
      </c>
      <c r="C3983" t="s">
        <v>31</v>
      </c>
      <c r="D3983" t="s">
        <v>34</v>
      </c>
      <c r="E3983" t="s">
        <v>13</v>
      </c>
      <c r="F3983" t="s">
        <v>19</v>
      </c>
      <c r="G3983" t="s">
        <v>15</v>
      </c>
      <c r="K3983" cm="1">
        <f t="array" ref="K3983">_xlfn.SWITCH(LeadsData[[#This Row],[Funnel Stage Reached]],"Lead",1,"MQL",2,"SQL",3,"Customer",4)</f>
        <v>1</v>
      </c>
      <c r="L3983" t="str">
        <f>TEXT(LeadsData[[#This Row],[Signup Date]],"mmm-yyyy")</f>
        <v>Mar-2024</v>
      </c>
      <c r="M3983">
        <f>IF(LeadsData[[#This Row],[Stage Number]]&gt;=2,1,0)</f>
        <v>0</v>
      </c>
      <c r="N3983" s="2">
        <f>IF(LeadsData[[#This Row],[Stage Number]]&gt;=3,1,0)</f>
        <v>0</v>
      </c>
      <c r="O3983" s="2">
        <f>IF(LeadsData[[#This Row],[Stage Number]]&gt;=4,1,0)</f>
        <v>0</v>
      </c>
    </row>
    <row r="3984" spans="1:15" x14ac:dyDescent="0.25">
      <c r="A3984" t="s">
        <v>4024</v>
      </c>
      <c r="B3984" s="1">
        <v>45359</v>
      </c>
      <c r="C3984" t="s">
        <v>17</v>
      </c>
      <c r="D3984" t="s">
        <v>53</v>
      </c>
      <c r="E3984" t="s">
        <v>21</v>
      </c>
      <c r="F3984" t="s">
        <v>19</v>
      </c>
      <c r="G3984" t="s">
        <v>15</v>
      </c>
      <c r="K3984" cm="1">
        <f t="array" ref="K3984">_xlfn.SWITCH(LeadsData[[#This Row],[Funnel Stage Reached]],"Lead",1,"MQL",2,"SQL",3,"Customer",4)</f>
        <v>1</v>
      </c>
      <c r="L3984" t="str">
        <f>TEXT(LeadsData[[#This Row],[Signup Date]],"mmm-yyyy")</f>
        <v>Mar-2024</v>
      </c>
      <c r="M3984">
        <f>IF(LeadsData[[#This Row],[Stage Number]]&gt;=2,1,0)</f>
        <v>0</v>
      </c>
      <c r="N3984" s="2">
        <f>IF(LeadsData[[#This Row],[Stage Number]]&gt;=3,1,0)</f>
        <v>0</v>
      </c>
      <c r="O3984" s="2">
        <f>IF(LeadsData[[#This Row],[Stage Number]]&gt;=4,1,0)</f>
        <v>0</v>
      </c>
    </row>
    <row r="3985" spans="1:15" x14ac:dyDescent="0.25">
      <c r="A3985" t="s">
        <v>4025</v>
      </c>
      <c r="B3985" s="1">
        <v>45419</v>
      </c>
      <c r="C3985" t="s">
        <v>11</v>
      </c>
      <c r="D3985" t="s">
        <v>68</v>
      </c>
      <c r="E3985" t="s">
        <v>21</v>
      </c>
      <c r="F3985" t="s">
        <v>19</v>
      </c>
      <c r="G3985" t="s">
        <v>15</v>
      </c>
      <c r="K3985" cm="1">
        <f t="array" ref="K3985">_xlfn.SWITCH(LeadsData[[#This Row],[Funnel Stage Reached]],"Lead",1,"MQL",2,"SQL",3,"Customer",4)</f>
        <v>1</v>
      </c>
      <c r="L3985" t="str">
        <f>TEXT(LeadsData[[#This Row],[Signup Date]],"mmm-yyyy")</f>
        <v>May-2024</v>
      </c>
      <c r="M3985">
        <f>IF(LeadsData[[#This Row],[Stage Number]]&gt;=2,1,0)</f>
        <v>0</v>
      </c>
      <c r="N3985" s="2">
        <f>IF(LeadsData[[#This Row],[Stage Number]]&gt;=3,1,0)</f>
        <v>0</v>
      </c>
      <c r="O3985" s="2">
        <f>IF(LeadsData[[#This Row],[Stage Number]]&gt;=4,1,0)</f>
        <v>0</v>
      </c>
    </row>
    <row r="3986" spans="1:15" x14ac:dyDescent="0.25">
      <c r="A3986" t="s">
        <v>4026</v>
      </c>
      <c r="B3986" s="1">
        <v>45402</v>
      </c>
      <c r="C3986" t="s">
        <v>25</v>
      </c>
      <c r="D3986" t="s">
        <v>26</v>
      </c>
      <c r="E3986" t="s">
        <v>13</v>
      </c>
      <c r="F3986" t="s">
        <v>22</v>
      </c>
      <c r="G3986" t="s">
        <v>29</v>
      </c>
      <c r="K3986" cm="1">
        <f t="array" ref="K3986">_xlfn.SWITCH(LeadsData[[#This Row],[Funnel Stage Reached]],"Lead",1,"MQL",2,"SQL",3,"Customer",4)</f>
        <v>3</v>
      </c>
      <c r="L3986" t="str">
        <f>TEXT(LeadsData[[#This Row],[Signup Date]],"mmm-yyyy")</f>
        <v>Apr-2024</v>
      </c>
      <c r="M3986">
        <f>IF(LeadsData[[#This Row],[Stage Number]]&gt;=2,1,0)</f>
        <v>1</v>
      </c>
      <c r="N3986" s="2">
        <f>IF(LeadsData[[#This Row],[Stage Number]]&gt;=3,1,0)</f>
        <v>1</v>
      </c>
      <c r="O3986" s="2">
        <f>IF(LeadsData[[#This Row],[Stage Number]]&gt;=4,1,0)</f>
        <v>0</v>
      </c>
    </row>
    <row r="3987" spans="1:15" x14ac:dyDescent="0.25">
      <c r="A3987" t="s">
        <v>4027</v>
      </c>
      <c r="B3987" s="1">
        <v>45531</v>
      </c>
      <c r="C3987" t="s">
        <v>25</v>
      </c>
      <c r="D3987" t="s">
        <v>26</v>
      </c>
      <c r="E3987" t="s">
        <v>21</v>
      </c>
      <c r="F3987" t="s">
        <v>22</v>
      </c>
      <c r="G3987" t="s">
        <v>15</v>
      </c>
      <c r="K3987" cm="1">
        <f t="array" ref="K3987">_xlfn.SWITCH(LeadsData[[#This Row],[Funnel Stage Reached]],"Lead",1,"MQL",2,"SQL",3,"Customer",4)</f>
        <v>1</v>
      </c>
      <c r="L3987" t="str">
        <f>TEXT(LeadsData[[#This Row],[Signup Date]],"mmm-yyyy")</f>
        <v>Aug-2024</v>
      </c>
      <c r="M3987">
        <f>IF(LeadsData[[#This Row],[Stage Number]]&gt;=2,1,0)</f>
        <v>0</v>
      </c>
      <c r="N3987" s="2">
        <f>IF(LeadsData[[#This Row],[Stage Number]]&gt;=3,1,0)</f>
        <v>0</v>
      </c>
      <c r="O3987" s="2">
        <f>IF(LeadsData[[#This Row],[Stage Number]]&gt;=4,1,0)</f>
        <v>0</v>
      </c>
    </row>
    <row r="3988" spans="1:15" x14ac:dyDescent="0.25">
      <c r="A3988" t="s">
        <v>4028</v>
      </c>
      <c r="B3988" s="1">
        <v>45350</v>
      </c>
      <c r="C3988" t="s">
        <v>46</v>
      </c>
      <c r="D3988" t="s">
        <v>56</v>
      </c>
      <c r="E3988" t="s">
        <v>21</v>
      </c>
      <c r="F3988" t="s">
        <v>19</v>
      </c>
      <c r="G3988" t="s">
        <v>29</v>
      </c>
      <c r="K3988" cm="1">
        <f t="array" ref="K3988">_xlfn.SWITCH(LeadsData[[#This Row],[Funnel Stage Reached]],"Lead",1,"MQL",2,"SQL",3,"Customer",4)</f>
        <v>3</v>
      </c>
      <c r="L3988" t="str">
        <f>TEXT(LeadsData[[#This Row],[Signup Date]],"mmm-yyyy")</f>
        <v>Feb-2024</v>
      </c>
      <c r="M3988">
        <f>IF(LeadsData[[#This Row],[Stage Number]]&gt;=2,1,0)</f>
        <v>1</v>
      </c>
      <c r="N3988" s="2">
        <f>IF(LeadsData[[#This Row],[Stage Number]]&gt;=3,1,0)</f>
        <v>1</v>
      </c>
      <c r="O3988" s="2">
        <f>IF(LeadsData[[#This Row],[Stage Number]]&gt;=4,1,0)</f>
        <v>0</v>
      </c>
    </row>
    <row r="3989" spans="1:15" x14ac:dyDescent="0.25">
      <c r="A3989" t="s">
        <v>4029</v>
      </c>
      <c r="B3989" s="1">
        <v>45349</v>
      </c>
      <c r="C3989" t="s">
        <v>25</v>
      </c>
      <c r="D3989" t="s">
        <v>26</v>
      </c>
      <c r="E3989" t="s">
        <v>13</v>
      </c>
      <c r="F3989" t="s">
        <v>19</v>
      </c>
      <c r="G3989" t="s">
        <v>15</v>
      </c>
      <c r="K3989" cm="1">
        <f t="array" ref="K3989">_xlfn.SWITCH(LeadsData[[#This Row],[Funnel Stage Reached]],"Lead",1,"MQL",2,"SQL",3,"Customer",4)</f>
        <v>1</v>
      </c>
      <c r="L3989" t="str">
        <f>TEXT(LeadsData[[#This Row],[Signup Date]],"mmm-yyyy")</f>
        <v>Feb-2024</v>
      </c>
      <c r="M3989">
        <f>IF(LeadsData[[#This Row],[Stage Number]]&gt;=2,1,0)</f>
        <v>0</v>
      </c>
      <c r="N3989" s="2">
        <f>IF(LeadsData[[#This Row],[Stage Number]]&gt;=3,1,0)</f>
        <v>0</v>
      </c>
      <c r="O3989" s="2">
        <f>IF(LeadsData[[#This Row],[Stage Number]]&gt;=4,1,0)</f>
        <v>0</v>
      </c>
    </row>
    <row r="3990" spans="1:15" x14ac:dyDescent="0.25">
      <c r="A3990" t="s">
        <v>4030</v>
      </c>
      <c r="B3990" s="1">
        <v>45445</v>
      </c>
      <c r="C3990" t="s">
        <v>46</v>
      </c>
      <c r="D3990" t="s">
        <v>56</v>
      </c>
      <c r="E3990" t="s">
        <v>21</v>
      </c>
      <c r="F3990" t="s">
        <v>19</v>
      </c>
      <c r="G3990" t="s">
        <v>29</v>
      </c>
      <c r="K3990" cm="1">
        <f t="array" ref="K3990">_xlfn.SWITCH(LeadsData[[#This Row],[Funnel Stage Reached]],"Lead",1,"MQL",2,"SQL",3,"Customer",4)</f>
        <v>3</v>
      </c>
      <c r="L3990" t="str">
        <f>TEXT(LeadsData[[#This Row],[Signup Date]],"mmm-yyyy")</f>
        <v>Jun-2024</v>
      </c>
      <c r="M3990">
        <f>IF(LeadsData[[#This Row],[Stage Number]]&gt;=2,1,0)</f>
        <v>1</v>
      </c>
      <c r="N3990" s="2">
        <f>IF(LeadsData[[#This Row],[Stage Number]]&gt;=3,1,0)</f>
        <v>1</v>
      </c>
      <c r="O3990" s="2">
        <f>IF(LeadsData[[#This Row],[Stage Number]]&gt;=4,1,0)</f>
        <v>0</v>
      </c>
    </row>
    <row r="3991" spans="1:15" x14ac:dyDescent="0.25">
      <c r="A3991" t="s">
        <v>4031</v>
      </c>
      <c r="B3991" s="1">
        <v>45474</v>
      </c>
      <c r="C3991" t="s">
        <v>17</v>
      </c>
      <c r="D3991" t="s">
        <v>18</v>
      </c>
      <c r="E3991" t="s">
        <v>13</v>
      </c>
      <c r="F3991" t="s">
        <v>19</v>
      </c>
      <c r="G3991" t="s">
        <v>42</v>
      </c>
      <c r="H3991">
        <v>7</v>
      </c>
      <c r="I3991" t="s">
        <v>43</v>
      </c>
      <c r="J3991">
        <v>931.45</v>
      </c>
      <c r="K3991" cm="1">
        <f t="array" ref="K3991">_xlfn.SWITCH(LeadsData[[#This Row],[Funnel Stage Reached]],"Lead",1,"MQL",2,"SQL",3,"Customer",4)</f>
        <v>4</v>
      </c>
      <c r="L3991" t="str">
        <f>TEXT(LeadsData[[#This Row],[Signup Date]],"mmm-yyyy")</f>
        <v>Jul-2024</v>
      </c>
      <c r="M3991">
        <f>IF(LeadsData[[#This Row],[Stage Number]]&gt;=2,1,0)</f>
        <v>1</v>
      </c>
      <c r="N3991" s="2">
        <f>IF(LeadsData[[#This Row],[Stage Number]]&gt;=3,1,0)</f>
        <v>1</v>
      </c>
      <c r="O3991" s="2">
        <f>IF(LeadsData[[#This Row],[Stage Number]]&gt;=4,1,0)</f>
        <v>1</v>
      </c>
    </row>
    <row r="3992" spans="1:15" x14ac:dyDescent="0.25">
      <c r="A3992" t="s">
        <v>4032</v>
      </c>
      <c r="B3992" s="1">
        <v>45506</v>
      </c>
      <c r="C3992" t="s">
        <v>17</v>
      </c>
      <c r="D3992" t="s">
        <v>53</v>
      </c>
      <c r="E3992" t="s">
        <v>21</v>
      </c>
      <c r="F3992" t="s">
        <v>28</v>
      </c>
      <c r="G3992" t="s">
        <v>42</v>
      </c>
      <c r="H3992">
        <v>65</v>
      </c>
      <c r="I3992" t="s">
        <v>43</v>
      </c>
      <c r="J3992">
        <v>1416.82</v>
      </c>
      <c r="K3992" cm="1">
        <f t="array" ref="K3992">_xlfn.SWITCH(LeadsData[[#This Row],[Funnel Stage Reached]],"Lead",1,"MQL",2,"SQL",3,"Customer",4)</f>
        <v>4</v>
      </c>
      <c r="L3992" t="str">
        <f>TEXT(LeadsData[[#This Row],[Signup Date]],"mmm-yyyy")</f>
        <v>Aug-2024</v>
      </c>
      <c r="M3992">
        <f>IF(LeadsData[[#This Row],[Stage Number]]&gt;=2,1,0)</f>
        <v>1</v>
      </c>
      <c r="N3992" s="2">
        <f>IF(LeadsData[[#This Row],[Stage Number]]&gt;=3,1,0)</f>
        <v>1</v>
      </c>
      <c r="O3992" s="2">
        <f>IF(LeadsData[[#This Row],[Stage Number]]&gt;=4,1,0)</f>
        <v>1</v>
      </c>
    </row>
    <row r="3993" spans="1:15" x14ac:dyDescent="0.25">
      <c r="A3993" t="s">
        <v>4033</v>
      </c>
      <c r="B3993" s="1">
        <v>45330</v>
      </c>
      <c r="C3993" t="s">
        <v>46</v>
      </c>
      <c r="D3993" t="s">
        <v>47</v>
      </c>
      <c r="E3993" t="s">
        <v>13</v>
      </c>
      <c r="F3993" t="s">
        <v>14</v>
      </c>
      <c r="G3993" t="s">
        <v>23</v>
      </c>
      <c r="K3993" cm="1">
        <f t="array" ref="K3993">_xlfn.SWITCH(LeadsData[[#This Row],[Funnel Stage Reached]],"Lead",1,"MQL",2,"SQL",3,"Customer",4)</f>
        <v>2</v>
      </c>
      <c r="L3993" t="str">
        <f>TEXT(LeadsData[[#This Row],[Signup Date]],"mmm-yyyy")</f>
        <v>Feb-2024</v>
      </c>
      <c r="M3993">
        <f>IF(LeadsData[[#This Row],[Stage Number]]&gt;=2,1,0)</f>
        <v>1</v>
      </c>
      <c r="N3993" s="2">
        <f>IF(LeadsData[[#This Row],[Stage Number]]&gt;=3,1,0)</f>
        <v>0</v>
      </c>
      <c r="O3993" s="2">
        <f>IF(LeadsData[[#This Row],[Stage Number]]&gt;=4,1,0)</f>
        <v>0</v>
      </c>
    </row>
    <row r="3994" spans="1:15" x14ac:dyDescent="0.25">
      <c r="A3994" t="s">
        <v>4034</v>
      </c>
      <c r="B3994" s="1">
        <v>45419</v>
      </c>
      <c r="C3994" t="s">
        <v>11</v>
      </c>
      <c r="D3994" t="s">
        <v>68</v>
      </c>
      <c r="E3994" t="s">
        <v>13</v>
      </c>
      <c r="F3994" t="s">
        <v>22</v>
      </c>
      <c r="G3994" t="s">
        <v>29</v>
      </c>
      <c r="K3994" cm="1">
        <f t="array" ref="K3994">_xlfn.SWITCH(LeadsData[[#This Row],[Funnel Stage Reached]],"Lead",1,"MQL",2,"SQL",3,"Customer",4)</f>
        <v>3</v>
      </c>
      <c r="L3994" t="str">
        <f>TEXT(LeadsData[[#This Row],[Signup Date]],"mmm-yyyy")</f>
        <v>May-2024</v>
      </c>
      <c r="M3994">
        <f>IF(LeadsData[[#This Row],[Stage Number]]&gt;=2,1,0)</f>
        <v>1</v>
      </c>
      <c r="N3994" s="2">
        <f>IF(LeadsData[[#This Row],[Stage Number]]&gt;=3,1,0)</f>
        <v>1</v>
      </c>
      <c r="O3994" s="2">
        <f>IF(LeadsData[[#This Row],[Stage Number]]&gt;=4,1,0)</f>
        <v>0</v>
      </c>
    </row>
    <row r="3995" spans="1:15" x14ac:dyDescent="0.25">
      <c r="A3995" t="s">
        <v>4035</v>
      </c>
      <c r="B3995" s="1">
        <v>45370</v>
      </c>
      <c r="C3995" t="s">
        <v>31</v>
      </c>
      <c r="D3995" t="s">
        <v>34</v>
      </c>
      <c r="E3995" t="s">
        <v>13</v>
      </c>
      <c r="F3995" t="s">
        <v>22</v>
      </c>
      <c r="G3995" t="s">
        <v>29</v>
      </c>
      <c r="K3995" cm="1">
        <f t="array" ref="K3995">_xlfn.SWITCH(LeadsData[[#This Row],[Funnel Stage Reached]],"Lead",1,"MQL",2,"SQL",3,"Customer",4)</f>
        <v>3</v>
      </c>
      <c r="L3995" t="str">
        <f>TEXT(LeadsData[[#This Row],[Signup Date]],"mmm-yyyy")</f>
        <v>Mar-2024</v>
      </c>
      <c r="M3995">
        <f>IF(LeadsData[[#This Row],[Stage Number]]&gt;=2,1,0)</f>
        <v>1</v>
      </c>
      <c r="N3995" s="2">
        <f>IF(LeadsData[[#This Row],[Stage Number]]&gt;=3,1,0)</f>
        <v>1</v>
      </c>
      <c r="O3995" s="2">
        <f>IF(LeadsData[[#This Row],[Stage Number]]&gt;=4,1,0)</f>
        <v>0</v>
      </c>
    </row>
    <row r="3996" spans="1:15" x14ac:dyDescent="0.25">
      <c r="A3996" t="s">
        <v>4036</v>
      </c>
      <c r="B3996" s="1">
        <v>45611</v>
      </c>
      <c r="C3996" t="s">
        <v>25</v>
      </c>
      <c r="D3996" t="s">
        <v>26</v>
      </c>
      <c r="E3996" t="s">
        <v>13</v>
      </c>
      <c r="F3996" t="s">
        <v>22</v>
      </c>
      <c r="G3996" t="s">
        <v>15</v>
      </c>
      <c r="K3996" cm="1">
        <f t="array" ref="K3996">_xlfn.SWITCH(LeadsData[[#This Row],[Funnel Stage Reached]],"Lead",1,"MQL",2,"SQL",3,"Customer",4)</f>
        <v>1</v>
      </c>
      <c r="L3996" t="str">
        <f>TEXT(LeadsData[[#This Row],[Signup Date]],"mmm-yyyy")</f>
        <v>Nov-2024</v>
      </c>
      <c r="M3996">
        <f>IF(LeadsData[[#This Row],[Stage Number]]&gt;=2,1,0)</f>
        <v>0</v>
      </c>
      <c r="N3996" s="2">
        <f>IF(LeadsData[[#This Row],[Stage Number]]&gt;=3,1,0)</f>
        <v>0</v>
      </c>
      <c r="O3996" s="2">
        <f>IF(LeadsData[[#This Row],[Stage Number]]&gt;=4,1,0)</f>
        <v>0</v>
      </c>
    </row>
    <row r="3997" spans="1:15" x14ac:dyDescent="0.25">
      <c r="A3997" t="s">
        <v>4037</v>
      </c>
      <c r="B3997" s="1">
        <v>45422</v>
      </c>
      <c r="C3997" t="s">
        <v>25</v>
      </c>
      <c r="D3997" t="s">
        <v>26</v>
      </c>
      <c r="E3997" t="s">
        <v>13</v>
      </c>
      <c r="F3997" t="s">
        <v>28</v>
      </c>
      <c r="G3997" t="s">
        <v>15</v>
      </c>
      <c r="K3997" cm="1">
        <f t="array" ref="K3997">_xlfn.SWITCH(LeadsData[[#This Row],[Funnel Stage Reached]],"Lead",1,"MQL",2,"SQL",3,"Customer",4)</f>
        <v>1</v>
      </c>
      <c r="L3997" t="str">
        <f>TEXT(LeadsData[[#This Row],[Signup Date]],"mmm-yyyy")</f>
        <v>May-2024</v>
      </c>
      <c r="M3997">
        <f>IF(LeadsData[[#This Row],[Stage Number]]&gt;=2,1,0)</f>
        <v>0</v>
      </c>
      <c r="N3997" s="2">
        <f>IF(LeadsData[[#This Row],[Stage Number]]&gt;=3,1,0)</f>
        <v>0</v>
      </c>
      <c r="O3997" s="2">
        <f>IF(LeadsData[[#This Row],[Stage Number]]&gt;=4,1,0)</f>
        <v>0</v>
      </c>
    </row>
    <row r="3998" spans="1:15" x14ac:dyDescent="0.25">
      <c r="A3998" t="s">
        <v>4038</v>
      </c>
      <c r="B3998" s="1">
        <v>45638</v>
      </c>
      <c r="C3998" t="s">
        <v>31</v>
      </c>
      <c r="D3998" t="s">
        <v>34</v>
      </c>
      <c r="E3998" t="s">
        <v>13</v>
      </c>
      <c r="F3998" t="s">
        <v>19</v>
      </c>
      <c r="G3998" t="s">
        <v>15</v>
      </c>
      <c r="K3998" cm="1">
        <f t="array" ref="K3998">_xlfn.SWITCH(LeadsData[[#This Row],[Funnel Stage Reached]],"Lead",1,"MQL",2,"SQL",3,"Customer",4)</f>
        <v>1</v>
      </c>
      <c r="L3998" t="str">
        <f>TEXT(LeadsData[[#This Row],[Signup Date]],"mmm-yyyy")</f>
        <v>Dec-2024</v>
      </c>
      <c r="M3998">
        <f>IF(LeadsData[[#This Row],[Stage Number]]&gt;=2,1,0)</f>
        <v>0</v>
      </c>
      <c r="N3998" s="2">
        <f>IF(LeadsData[[#This Row],[Stage Number]]&gt;=3,1,0)</f>
        <v>0</v>
      </c>
      <c r="O3998" s="2">
        <f>IF(LeadsData[[#This Row],[Stage Number]]&gt;=4,1,0)</f>
        <v>0</v>
      </c>
    </row>
    <row r="3999" spans="1:15" x14ac:dyDescent="0.25">
      <c r="A3999" t="s">
        <v>4039</v>
      </c>
      <c r="B3999" s="1">
        <v>45304</v>
      </c>
      <c r="C3999" t="s">
        <v>46</v>
      </c>
      <c r="D3999" t="s">
        <v>56</v>
      </c>
      <c r="E3999" t="s">
        <v>13</v>
      </c>
      <c r="F3999" t="s">
        <v>14</v>
      </c>
      <c r="G3999" t="s">
        <v>29</v>
      </c>
      <c r="K3999" cm="1">
        <f t="array" ref="K3999">_xlfn.SWITCH(LeadsData[[#This Row],[Funnel Stage Reached]],"Lead",1,"MQL",2,"SQL",3,"Customer",4)</f>
        <v>3</v>
      </c>
      <c r="L3999" t="str">
        <f>TEXT(LeadsData[[#This Row],[Signup Date]],"mmm-yyyy")</f>
        <v>Jan-2024</v>
      </c>
      <c r="M3999">
        <f>IF(LeadsData[[#This Row],[Stage Number]]&gt;=2,1,0)</f>
        <v>1</v>
      </c>
      <c r="N3999" s="2">
        <f>IF(LeadsData[[#This Row],[Stage Number]]&gt;=3,1,0)</f>
        <v>1</v>
      </c>
      <c r="O3999" s="2">
        <f>IF(LeadsData[[#This Row],[Stage Number]]&gt;=4,1,0)</f>
        <v>0</v>
      </c>
    </row>
    <row r="4000" spans="1:15" x14ac:dyDescent="0.25">
      <c r="A4000" t="s">
        <v>4040</v>
      </c>
      <c r="B4000" s="1">
        <v>45510</v>
      </c>
      <c r="C4000" t="s">
        <v>17</v>
      </c>
      <c r="D4000" t="s">
        <v>18</v>
      </c>
      <c r="E4000" t="s">
        <v>21</v>
      </c>
      <c r="F4000" t="s">
        <v>19</v>
      </c>
      <c r="G4000" t="s">
        <v>15</v>
      </c>
      <c r="K4000" cm="1">
        <f t="array" ref="K4000">_xlfn.SWITCH(LeadsData[[#This Row],[Funnel Stage Reached]],"Lead",1,"MQL",2,"SQL",3,"Customer",4)</f>
        <v>1</v>
      </c>
      <c r="L4000" t="str">
        <f>TEXT(LeadsData[[#This Row],[Signup Date]],"mmm-yyyy")</f>
        <v>Aug-2024</v>
      </c>
      <c r="M4000">
        <f>IF(LeadsData[[#This Row],[Stage Number]]&gt;=2,1,0)</f>
        <v>0</v>
      </c>
      <c r="N4000" s="2">
        <f>IF(LeadsData[[#This Row],[Stage Number]]&gt;=3,1,0)</f>
        <v>0</v>
      </c>
      <c r="O4000" s="2">
        <f>IF(LeadsData[[#This Row],[Stage Number]]&gt;=4,1,0)</f>
        <v>0</v>
      </c>
    </row>
    <row r="4001" spans="1:15" x14ac:dyDescent="0.25">
      <c r="A4001" t="s">
        <v>4041</v>
      </c>
      <c r="B4001" s="1">
        <v>45425</v>
      </c>
      <c r="C4001" t="s">
        <v>31</v>
      </c>
      <c r="D4001" t="s">
        <v>32</v>
      </c>
      <c r="E4001" t="s">
        <v>13</v>
      </c>
      <c r="F4001" t="s">
        <v>22</v>
      </c>
      <c r="G4001" t="s">
        <v>29</v>
      </c>
      <c r="K4001" cm="1">
        <f t="array" ref="K4001">_xlfn.SWITCH(LeadsData[[#This Row],[Funnel Stage Reached]],"Lead",1,"MQL",2,"SQL",3,"Customer",4)</f>
        <v>3</v>
      </c>
      <c r="L4001" t="str">
        <f>TEXT(LeadsData[[#This Row],[Signup Date]],"mmm-yyyy")</f>
        <v>May-2024</v>
      </c>
      <c r="M4001">
        <f>IF(LeadsData[[#This Row],[Stage Number]]&gt;=2,1,0)</f>
        <v>1</v>
      </c>
      <c r="N4001" s="2">
        <f>IF(LeadsData[[#This Row],[Stage Number]]&gt;=3,1,0)</f>
        <v>1</v>
      </c>
      <c r="O4001" s="2">
        <f>IF(LeadsData[[#This Row],[Stage Number]]&gt;=4,1,0)</f>
        <v>0</v>
      </c>
    </row>
    <row r="4002" spans="1:15" x14ac:dyDescent="0.25">
      <c r="A4002" t="s">
        <v>4042</v>
      </c>
      <c r="B4002" s="1">
        <v>45643</v>
      </c>
      <c r="C4002" t="s">
        <v>46</v>
      </c>
      <c r="D4002" t="s">
        <v>56</v>
      </c>
      <c r="E4002" t="s">
        <v>21</v>
      </c>
      <c r="F4002" t="s">
        <v>14</v>
      </c>
      <c r="G4002" t="s">
        <v>42</v>
      </c>
      <c r="H4002">
        <v>28</v>
      </c>
      <c r="I4002" t="s">
        <v>43</v>
      </c>
      <c r="J4002">
        <v>1073.3699999999999</v>
      </c>
      <c r="K4002" cm="1">
        <f t="array" ref="K4002">_xlfn.SWITCH(LeadsData[[#This Row],[Funnel Stage Reached]],"Lead",1,"MQL",2,"SQL",3,"Customer",4)</f>
        <v>4</v>
      </c>
      <c r="L4002" t="str">
        <f>TEXT(LeadsData[[#This Row],[Signup Date]],"mmm-yyyy")</f>
        <v>Dec-2024</v>
      </c>
      <c r="M4002">
        <f>IF(LeadsData[[#This Row],[Stage Number]]&gt;=2,1,0)</f>
        <v>1</v>
      </c>
      <c r="N4002" s="2">
        <f>IF(LeadsData[[#This Row],[Stage Number]]&gt;=3,1,0)</f>
        <v>1</v>
      </c>
      <c r="O4002" s="2">
        <f>IF(LeadsData[[#This Row],[Stage Number]]&gt;=4,1,0)</f>
        <v>1</v>
      </c>
    </row>
    <row r="4003" spans="1:15" x14ac:dyDescent="0.25">
      <c r="A4003" t="s">
        <v>4043</v>
      </c>
      <c r="B4003" s="1">
        <v>45573</v>
      </c>
      <c r="C4003" t="s">
        <v>31</v>
      </c>
      <c r="D4003" t="s">
        <v>34</v>
      </c>
      <c r="E4003" t="s">
        <v>13</v>
      </c>
      <c r="F4003" t="s">
        <v>19</v>
      </c>
      <c r="G4003" t="s">
        <v>42</v>
      </c>
      <c r="H4003">
        <v>21</v>
      </c>
      <c r="I4003" t="s">
        <v>183</v>
      </c>
      <c r="J4003">
        <v>5473.49</v>
      </c>
      <c r="K4003" cm="1">
        <f t="array" ref="K4003">_xlfn.SWITCH(LeadsData[[#This Row],[Funnel Stage Reached]],"Lead",1,"MQL",2,"SQL",3,"Customer",4)</f>
        <v>4</v>
      </c>
      <c r="L4003" t="str">
        <f>TEXT(LeadsData[[#This Row],[Signup Date]],"mmm-yyyy")</f>
        <v>Oct-2024</v>
      </c>
      <c r="M4003">
        <f>IF(LeadsData[[#This Row],[Stage Number]]&gt;=2,1,0)</f>
        <v>1</v>
      </c>
      <c r="N4003" s="2">
        <f>IF(LeadsData[[#This Row],[Stage Number]]&gt;=3,1,0)</f>
        <v>1</v>
      </c>
      <c r="O4003" s="2">
        <f>IF(LeadsData[[#This Row],[Stage Number]]&gt;=4,1,0)</f>
        <v>1</v>
      </c>
    </row>
    <row r="4004" spans="1:15" x14ac:dyDescent="0.25">
      <c r="A4004" t="s">
        <v>4044</v>
      </c>
      <c r="B4004" s="1">
        <v>45581</v>
      </c>
      <c r="C4004" t="s">
        <v>11</v>
      </c>
      <c r="D4004" t="s">
        <v>12</v>
      </c>
      <c r="E4004" t="s">
        <v>13</v>
      </c>
      <c r="F4004" t="s">
        <v>22</v>
      </c>
      <c r="G4004" t="s">
        <v>15</v>
      </c>
      <c r="K4004" cm="1">
        <f t="array" ref="K4004">_xlfn.SWITCH(LeadsData[[#This Row],[Funnel Stage Reached]],"Lead",1,"MQL",2,"SQL",3,"Customer",4)</f>
        <v>1</v>
      </c>
      <c r="L4004" t="str">
        <f>TEXT(LeadsData[[#This Row],[Signup Date]],"mmm-yyyy")</f>
        <v>Oct-2024</v>
      </c>
      <c r="M4004">
        <f>IF(LeadsData[[#This Row],[Stage Number]]&gt;=2,1,0)</f>
        <v>0</v>
      </c>
      <c r="N4004" s="2">
        <f>IF(LeadsData[[#This Row],[Stage Number]]&gt;=3,1,0)</f>
        <v>0</v>
      </c>
      <c r="O4004" s="2">
        <f>IF(LeadsData[[#This Row],[Stage Number]]&gt;=4,1,0)</f>
        <v>0</v>
      </c>
    </row>
    <row r="4005" spans="1:15" x14ac:dyDescent="0.25">
      <c r="A4005" t="s">
        <v>4045</v>
      </c>
      <c r="B4005" s="1">
        <v>45615</v>
      </c>
      <c r="C4005" t="s">
        <v>36</v>
      </c>
      <c r="D4005" t="s">
        <v>37</v>
      </c>
      <c r="E4005" t="s">
        <v>13</v>
      </c>
      <c r="F4005" t="s">
        <v>22</v>
      </c>
      <c r="G4005" t="s">
        <v>29</v>
      </c>
      <c r="K4005" cm="1">
        <f t="array" ref="K4005">_xlfn.SWITCH(LeadsData[[#This Row],[Funnel Stage Reached]],"Lead",1,"MQL",2,"SQL",3,"Customer",4)</f>
        <v>3</v>
      </c>
      <c r="L4005" t="str">
        <f>TEXT(LeadsData[[#This Row],[Signup Date]],"mmm-yyyy")</f>
        <v>Nov-2024</v>
      </c>
      <c r="M4005">
        <f>IF(LeadsData[[#This Row],[Stage Number]]&gt;=2,1,0)</f>
        <v>1</v>
      </c>
      <c r="N4005" s="2">
        <f>IF(LeadsData[[#This Row],[Stage Number]]&gt;=3,1,0)</f>
        <v>1</v>
      </c>
      <c r="O4005" s="2">
        <f>IF(LeadsData[[#This Row],[Stage Number]]&gt;=4,1,0)</f>
        <v>0</v>
      </c>
    </row>
    <row r="4006" spans="1:15" x14ac:dyDescent="0.25">
      <c r="A4006" t="s">
        <v>4046</v>
      </c>
      <c r="B4006" s="1">
        <v>45561</v>
      </c>
      <c r="C4006" t="s">
        <v>17</v>
      </c>
      <c r="D4006" t="s">
        <v>18</v>
      </c>
      <c r="E4006" t="s">
        <v>13</v>
      </c>
      <c r="F4006" t="s">
        <v>22</v>
      </c>
      <c r="G4006" t="s">
        <v>23</v>
      </c>
      <c r="K4006" cm="1">
        <f t="array" ref="K4006">_xlfn.SWITCH(LeadsData[[#This Row],[Funnel Stage Reached]],"Lead",1,"MQL",2,"SQL",3,"Customer",4)</f>
        <v>2</v>
      </c>
      <c r="L4006" t="str">
        <f>TEXT(LeadsData[[#This Row],[Signup Date]],"mmm-yyyy")</f>
        <v>Sep-2024</v>
      </c>
      <c r="M4006">
        <f>IF(LeadsData[[#This Row],[Stage Number]]&gt;=2,1,0)</f>
        <v>1</v>
      </c>
      <c r="N4006" s="2">
        <f>IF(LeadsData[[#This Row],[Stage Number]]&gt;=3,1,0)</f>
        <v>0</v>
      </c>
      <c r="O4006" s="2">
        <f>IF(LeadsData[[#This Row],[Stage Number]]&gt;=4,1,0)</f>
        <v>0</v>
      </c>
    </row>
    <row r="4007" spans="1:15" x14ac:dyDescent="0.25">
      <c r="A4007" t="s">
        <v>4047</v>
      </c>
      <c r="B4007" s="1">
        <v>45374</v>
      </c>
      <c r="C4007" t="s">
        <v>25</v>
      </c>
      <c r="D4007" t="s">
        <v>26</v>
      </c>
      <c r="E4007" t="s">
        <v>21</v>
      </c>
      <c r="F4007" t="s">
        <v>14</v>
      </c>
      <c r="G4007" t="s">
        <v>15</v>
      </c>
      <c r="K4007" cm="1">
        <f t="array" ref="K4007">_xlfn.SWITCH(LeadsData[[#This Row],[Funnel Stage Reached]],"Lead",1,"MQL",2,"SQL",3,"Customer",4)</f>
        <v>1</v>
      </c>
      <c r="L4007" t="str">
        <f>TEXT(LeadsData[[#This Row],[Signup Date]],"mmm-yyyy")</f>
        <v>Mar-2024</v>
      </c>
      <c r="M4007">
        <f>IF(LeadsData[[#This Row],[Stage Number]]&gt;=2,1,0)</f>
        <v>0</v>
      </c>
      <c r="N4007" s="2">
        <f>IF(LeadsData[[#This Row],[Stage Number]]&gt;=3,1,0)</f>
        <v>0</v>
      </c>
      <c r="O4007" s="2">
        <f>IF(LeadsData[[#This Row],[Stage Number]]&gt;=4,1,0)</f>
        <v>0</v>
      </c>
    </row>
    <row r="4008" spans="1:15" x14ac:dyDescent="0.25">
      <c r="A4008" t="s">
        <v>4048</v>
      </c>
      <c r="B4008" s="1">
        <v>45366</v>
      </c>
      <c r="C4008" t="s">
        <v>31</v>
      </c>
      <c r="D4008" t="s">
        <v>34</v>
      </c>
      <c r="E4008" t="s">
        <v>13</v>
      </c>
      <c r="F4008" t="s">
        <v>22</v>
      </c>
      <c r="G4008" t="s">
        <v>23</v>
      </c>
      <c r="K4008" cm="1">
        <f t="array" ref="K4008">_xlfn.SWITCH(LeadsData[[#This Row],[Funnel Stage Reached]],"Lead",1,"MQL",2,"SQL",3,"Customer",4)</f>
        <v>2</v>
      </c>
      <c r="L4008" t="str">
        <f>TEXT(LeadsData[[#This Row],[Signup Date]],"mmm-yyyy")</f>
        <v>Mar-2024</v>
      </c>
      <c r="M4008">
        <f>IF(LeadsData[[#This Row],[Stage Number]]&gt;=2,1,0)</f>
        <v>1</v>
      </c>
      <c r="N4008" s="2">
        <f>IF(LeadsData[[#This Row],[Stage Number]]&gt;=3,1,0)</f>
        <v>0</v>
      </c>
      <c r="O4008" s="2">
        <f>IF(LeadsData[[#This Row],[Stage Number]]&gt;=4,1,0)</f>
        <v>0</v>
      </c>
    </row>
    <row r="4009" spans="1:15" x14ac:dyDescent="0.25">
      <c r="A4009" t="s">
        <v>4049</v>
      </c>
      <c r="B4009" s="1">
        <v>45418</v>
      </c>
      <c r="C4009" t="s">
        <v>31</v>
      </c>
      <c r="D4009" t="s">
        <v>32</v>
      </c>
      <c r="E4009" t="s">
        <v>21</v>
      </c>
      <c r="F4009" t="s">
        <v>14</v>
      </c>
      <c r="G4009" t="s">
        <v>29</v>
      </c>
      <c r="K4009" cm="1">
        <f t="array" ref="K4009">_xlfn.SWITCH(LeadsData[[#This Row],[Funnel Stage Reached]],"Lead",1,"MQL",2,"SQL",3,"Customer",4)</f>
        <v>3</v>
      </c>
      <c r="L4009" t="str">
        <f>TEXT(LeadsData[[#This Row],[Signup Date]],"mmm-yyyy")</f>
        <v>May-2024</v>
      </c>
      <c r="M4009">
        <f>IF(LeadsData[[#This Row],[Stage Number]]&gt;=2,1,0)</f>
        <v>1</v>
      </c>
      <c r="N4009" s="2">
        <f>IF(LeadsData[[#This Row],[Stage Number]]&gt;=3,1,0)</f>
        <v>1</v>
      </c>
      <c r="O4009" s="2">
        <f>IF(LeadsData[[#This Row],[Stage Number]]&gt;=4,1,0)</f>
        <v>0</v>
      </c>
    </row>
    <row r="4010" spans="1:15" x14ac:dyDescent="0.25">
      <c r="A4010" t="s">
        <v>4050</v>
      </c>
      <c r="B4010" s="1">
        <v>45458</v>
      </c>
      <c r="C4010" t="s">
        <v>17</v>
      </c>
      <c r="D4010" t="s">
        <v>18</v>
      </c>
      <c r="E4010" t="s">
        <v>13</v>
      </c>
      <c r="F4010" t="s">
        <v>14</v>
      </c>
      <c r="G4010" t="s">
        <v>15</v>
      </c>
      <c r="K4010" cm="1">
        <f t="array" ref="K4010">_xlfn.SWITCH(LeadsData[[#This Row],[Funnel Stage Reached]],"Lead",1,"MQL",2,"SQL",3,"Customer",4)</f>
        <v>1</v>
      </c>
      <c r="L4010" t="str">
        <f>TEXT(LeadsData[[#This Row],[Signup Date]],"mmm-yyyy")</f>
        <v>Jun-2024</v>
      </c>
      <c r="M4010">
        <f>IF(LeadsData[[#This Row],[Stage Number]]&gt;=2,1,0)</f>
        <v>0</v>
      </c>
      <c r="N4010" s="2">
        <f>IF(LeadsData[[#This Row],[Stage Number]]&gt;=3,1,0)</f>
        <v>0</v>
      </c>
      <c r="O4010" s="2">
        <f>IF(LeadsData[[#This Row],[Stage Number]]&gt;=4,1,0)</f>
        <v>0</v>
      </c>
    </row>
    <row r="4011" spans="1:15" x14ac:dyDescent="0.25">
      <c r="A4011" t="s">
        <v>4051</v>
      </c>
      <c r="B4011" s="1">
        <v>45387</v>
      </c>
      <c r="C4011" t="s">
        <v>31</v>
      </c>
      <c r="D4011" t="s">
        <v>34</v>
      </c>
      <c r="E4011" t="s">
        <v>21</v>
      </c>
      <c r="F4011" t="s">
        <v>22</v>
      </c>
      <c r="G4011" t="s">
        <v>15</v>
      </c>
      <c r="K4011" cm="1">
        <f t="array" ref="K4011">_xlfn.SWITCH(LeadsData[[#This Row],[Funnel Stage Reached]],"Lead",1,"MQL",2,"SQL",3,"Customer",4)</f>
        <v>1</v>
      </c>
      <c r="L4011" t="str">
        <f>TEXT(LeadsData[[#This Row],[Signup Date]],"mmm-yyyy")</f>
        <v>Apr-2024</v>
      </c>
      <c r="M4011">
        <f>IF(LeadsData[[#This Row],[Stage Number]]&gt;=2,1,0)</f>
        <v>0</v>
      </c>
      <c r="N4011" s="2">
        <f>IF(LeadsData[[#This Row],[Stage Number]]&gt;=3,1,0)</f>
        <v>0</v>
      </c>
      <c r="O4011" s="2">
        <f>IF(LeadsData[[#This Row],[Stage Number]]&gt;=4,1,0)</f>
        <v>0</v>
      </c>
    </row>
    <row r="4012" spans="1:15" x14ac:dyDescent="0.25">
      <c r="A4012" t="s">
        <v>4052</v>
      </c>
      <c r="B4012" s="1">
        <v>45616</v>
      </c>
      <c r="C4012" t="s">
        <v>17</v>
      </c>
      <c r="D4012" t="s">
        <v>18</v>
      </c>
      <c r="E4012" t="s">
        <v>13</v>
      </c>
      <c r="F4012" t="s">
        <v>19</v>
      </c>
      <c r="G4012" t="s">
        <v>23</v>
      </c>
      <c r="K4012" cm="1">
        <f t="array" ref="K4012">_xlfn.SWITCH(LeadsData[[#This Row],[Funnel Stage Reached]],"Lead",1,"MQL",2,"SQL",3,"Customer",4)</f>
        <v>2</v>
      </c>
      <c r="L4012" t="str">
        <f>TEXT(LeadsData[[#This Row],[Signup Date]],"mmm-yyyy")</f>
        <v>Nov-2024</v>
      </c>
      <c r="M4012">
        <f>IF(LeadsData[[#This Row],[Stage Number]]&gt;=2,1,0)</f>
        <v>1</v>
      </c>
      <c r="N4012" s="2">
        <f>IF(LeadsData[[#This Row],[Stage Number]]&gt;=3,1,0)</f>
        <v>0</v>
      </c>
      <c r="O4012" s="2">
        <f>IF(LeadsData[[#This Row],[Stage Number]]&gt;=4,1,0)</f>
        <v>0</v>
      </c>
    </row>
    <row r="4013" spans="1:15" x14ac:dyDescent="0.25">
      <c r="A4013" t="s">
        <v>4053</v>
      </c>
      <c r="B4013" s="1">
        <v>45464</v>
      </c>
      <c r="C4013" t="s">
        <v>17</v>
      </c>
      <c r="D4013" t="s">
        <v>53</v>
      </c>
      <c r="E4013" t="s">
        <v>13</v>
      </c>
      <c r="F4013" t="s">
        <v>19</v>
      </c>
      <c r="G4013" t="s">
        <v>23</v>
      </c>
      <c r="K4013" cm="1">
        <f t="array" ref="K4013">_xlfn.SWITCH(LeadsData[[#This Row],[Funnel Stage Reached]],"Lead",1,"MQL",2,"SQL",3,"Customer",4)</f>
        <v>2</v>
      </c>
      <c r="L4013" t="str">
        <f>TEXT(LeadsData[[#This Row],[Signup Date]],"mmm-yyyy")</f>
        <v>Jun-2024</v>
      </c>
      <c r="M4013">
        <f>IF(LeadsData[[#This Row],[Stage Number]]&gt;=2,1,0)</f>
        <v>1</v>
      </c>
      <c r="N4013" s="2">
        <f>IF(LeadsData[[#This Row],[Stage Number]]&gt;=3,1,0)</f>
        <v>0</v>
      </c>
      <c r="O4013" s="2">
        <f>IF(LeadsData[[#This Row],[Stage Number]]&gt;=4,1,0)</f>
        <v>0</v>
      </c>
    </row>
    <row r="4014" spans="1:15" x14ac:dyDescent="0.25">
      <c r="A4014" t="s">
        <v>4054</v>
      </c>
      <c r="B4014" s="1">
        <v>45334</v>
      </c>
      <c r="C4014" t="s">
        <v>31</v>
      </c>
      <c r="D4014" t="s">
        <v>32</v>
      </c>
      <c r="E4014" t="s">
        <v>13</v>
      </c>
      <c r="F4014" t="s">
        <v>19</v>
      </c>
      <c r="G4014" t="s">
        <v>15</v>
      </c>
      <c r="K4014" cm="1">
        <f t="array" ref="K4014">_xlfn.SWITCH(LeadsData[[#This Row],[Funnel Stage Reached]],"Lead",1,"MQL",2,"SQL",3,"Customer",4)</f>
        <v>1</v>
      </c>
      <c r="L4014" t="str">
        <f>TEXT(LeadsData[[#This Row],[Signup Date]],"mmm-yyyy")</f>
        <v>Feb-2024</v>
      </c>
      <c r="M4014">
        <f>IF(LeadsData[[#This Row],[Stage Number]]&gt;=2,1,0)</f>
        <v>0</v>
      </c>
      <c r="N4014" s="2">
        <f>IF(LeadsData[[#This Row],[Stage Number]]&gt;=3,1,0)</f>
        <v>0</v>
      </c>
      <c r="O4014" s="2">
        <f>IF(LeadsData[[#This Row],[Stage Number]]&gt;=4,1,0)</f>
        <v>0</v>
      </c>
    </row>
    <row r="4015" spans="1:15" x14ac:dyDescent="0.25">
      <c r="A4015" t="s">
        <v>4055</v>
      </c>
      <c r="B4015" s="1">
        <v>45436</v>
      </c>
      <c r="C4015" t="s">
        <v>11</v>
      </c>
      <c r="D4015" t="s">
        <v>68</v>
      </c>
      <c r="E4015" t="s">
        <v>13</v>
      </c>
      <c r="F4015" t="s">
        <v>22</v>
      </c>
      <c r="G4015" t="s">
        <v>15</v>
      </c>
      <c r="K4015" cm="1">
        <f t="array" ref="K4015">_xlfn.SWITCH(LeadsData[[#This Row],[Funnel Stage Reached]],"Lead",1,"MQL",2,"SQL",3,"Customer",4)</f>
        <v>1</v>
      </c>
      <c r="L4015" t="str">
        <f>TEXT(LeadsData[[#This Row],[Signup Date]],"mmm-yyyy")</f>
        <v>May-2024</v>
      </c>
      <c r="M4015">
        <f>IF(LeadsData[[#This Row],[Stage Number]]&gt;=2,1,0)</f>
        <v>0</v>
      </c>
      <c r="N4015" s="2">
        <f>IF(LeadsData[[#This Row],[Stage Number]]&gt;=3,1,0)</f>
        <v>0</v>
      </c>
      <c r="O4015" s="2">
        <f>IF(LeadsData[[#This Row],[Stage Number]]&gt;=4,1,0)</f>
        <v>0</v>
      </c>
    </row>
    <row r="4016" spans="1:15" x14ac:dyDescent="0.25">
      <c r="A4016" t="s">
        <v>4056</v>
      </c>
      <c r="B4016" s="1">
        <v>45378</v>
      </c>
      <c r="C4016" t="s">
        <v>46</v>
      </c>
      <c r="D4016" t="s">
        <v>56</v>
      </c>
      <c r="E4016" t="s">
        <v>48</v>
      </c>
      <c r="F4016" t="s">
        <v>19</v>
      </c>
      <c r="G4016" t="s">
        <v>29</v>
      </c>
      <c r="K4016" cm="1">
        <f t="array" ref="K4016">_xlfn.SWITCH(LeadsData[[#This Row],[Funnel Stage Reached]],"Lead",1,"MQL",2,"SQL",3,"Customer",4)</f>
        <v>3</v>
      </c>
      <c r="L4016" t="str">
        <f>TEXT(LeadsData[[#This Row],[Signup Date]],"mmm-yyyy")</f>
        <v>Mar-2024</v>
      </c>
      <c r="M4016">
        <f>IF(LeadsData[[#This Row],[Stage Number]]&gt;=2,1,0)</f>
        <v>1</v>
      </c>
      <c r="N4016" s="2">
        <f>IF(LeadsData[[#This Row],[Stage Number]]&gt;=3,1,0)</f>
        <v>1</v>
      </c>
      <c r="O4016" s="2">
        <f>IF(LeadsData[[#This Row],[Stage Number]]&gt;=4,1,0)</f>
        <v>0</v>
      </c>
    </row>
    <row r="4017" spans="1:15" x14ac:dyDescent="0.25">
      <c r="A4017" t="s">
        <v>4057</v>
      </c>
      <c r="B4017" s="1">
        <v>45603</v>
      </c>
      <c r="C4017" t="s">
        <v>31</v>
      </c>
      <c r="D4017" t="s">
        <v>34</v>
      </c>
      <c r="E4017" t="s">
        <v>21</v>
      </c>
      <c r="F4017" t="s">
        <v>14</v>
      </c>
      <c r="G4017" t="s">
        <v>29</v>
      </c>
      <c r="K4017" cm="1">
        <f t="array" ref="K4017">_xlfn.SWITCH(LeadsData[[#This Row],[Funnel Stage Reached]],"Lead",1,"MQL",2,"SQL",3,"Customer",4)</f>
        <v>3</v>
      </c>
      <c r="L4017" t="str">
        <f>TEXT(LeadsData[[#This Row],[Signup Date]],"mmm-yyyy")</f>
        <v>Nov-2024</v>
      </c>
      <c r="M4017">
        <f>IF(LeadsData[[#This Row],[Stage Number]]&gt;=2,1,0)</f>
        <v>1</v>
      </c>
      <c r="N4017" s="2">
        <f>IF(LeadsData[[#This Row],[Stage Number]]&gt;=3,1,0)</f>
        <v>1</v>
      </c>
      <c r="O4017" s="2">
        <f>IF(LeadsData[[#This Row],[Stage Number]]&gt;=4,1,0)</f>
        <v>0</v>
      </c>
    </row>
    <row r="4018" spans="1:15" x14ac:dyDescent="0.25">
      <c r="A4018" t="s">
        <v>4058</v>
      </c>
      <c r="B4018" s="1">
        <v>45500</v>
      </c>
      <c r="C4018" t="s">
        <v>17</v>
      </c>
      <c r="D4018" t="s">
        <v>18</v>
      </c>
      <c r="E4018" t="s">
        <v>13</v>
      </c>
      <c r="F4018" t="s">
        <v>19</v>
      </c>
      <c r="G4018" t="s">
        <v>15</v>
      </c>
      <c r="K4018" cm="1">
        <f t="array" ref="K4018">_xlfn.SWITCH(LeadsData[[#This Row],[Funnel Stage Reached]],"Lead",1,"MQL",2,"SQL",3,"Customer",4)</f>
        <v>1</v>
      </c>
      <c r="L4018" t="str">
        <f>TEXT(LeadsData[[#This Row],[Signup Date]],"mmm-yyyy")</f>
        <v>Jul-2024</v>
      </c>
      <c r="M4018">
        <f>IF(LeadsData[[#This Row],[Stage Number]]&gt;=2,1,0)</f>
        <v>0</v>
      </c>
      <c r="N4018" s="2">
        <f>IF(LeadsData[[#This Row],[Stage Number]]&gt;=3,1,0)</f>
        <v>0</v>
      </c>
      <c r="O4018" s="2">
        <f>IF(LeadsData[[#This Row],[Stage Number]]&gt;=4,1,0)</f>
        <v>0</v>
      </c>
    </row>
    <row r="4019" spans="1:15" x14ac:dyDescent="0.25">
      <c r="A4019" t="s">
        <v>4059</v>
      </c>
      <c r="B4019" s="1">
        <v>45357</v>
      </c>
      <c r="C4019" t="s">
        <v>17</v>
      </c>
      <c r="D4019" t="s">
        <v>53</v>
      </c>
      <c r="E4019" t="s">
        <v>13</v>
      </c>
      <c r="F4019" t="s">
        <v>19</v>
      </c>
      <c r="G4019" t="s">
        <v>23</v>
      </c>
      <c r="K4019" cm="1">
        <f t="array" ref="K4019">_xlfn.SWITCH(LeadsData[[#This Row],[Funnel Stage Reached]],"Lead",1,"MQL",2,"SQL",3,"Customer",4)</f>
        <v>2</v>
      </c>
      <c r="L4019" t="str">
        <f>TEXT(LeadsData[[#This Row],[Signup Date]],"mmm-yyyy")</f>
        <v>Mar-2024</v>
      </c>
      <c r="M4019">
        <f>IF(LeadsData[[#This Row],[Stage Number]]&gt;=2,1,0)</f>
        <v>1</v>
      </c>
      <c r="N4019" s="2">
        <f>IF(LeadsData[[#This Row],[Stage Number]]&gt;=3,1,0)</f>
        <v>0</v>
      </c>
      <c r="O4019" s="2">
        <f>IF(LeadsData[[#This Row],[Stage Number]]&gt;=4,1,0)</f>
        <v>0</v>
      </c>
    </row>
    <row r="4020" spans="1:15" x14ac:dyDescent="0.25">
      <c r="A4020" t="s">
        <v>4060</v>
      </c>
      <c r="B4020" s="1">
        <v>45408</v>
      </c>
      <c r="C4020" t="s">
        <v>25</v>
      </c>
      <c r="D4020" t="s">
        <v>26</v>
      </c>
      <c r="E4020" t="s">
        <v>13</v>
      </c>
      <c r="F4020" t="s">
        <v>19</v>
      </c>
      <c r="G4020" t="s">
        <v>23</v>
      </c>
      <c r="K4020" cm="1">
        <f t="array" ref="K4020">_xlfn.SWITCH(LeadsData[[#This Row],[Funnel Stage Reached]],"Lead",1,"MQL",2,"SQL",3,"Customer",4)</f>
        <v>2</v>
      </c>
      <c r="L4020" t="str">
        <f>TEXT(LeadsData[[#This Row],[Signup Date]],"mmm-yyyy")</f>
        <v>Apr-2024</v>
      </c>
      <c r="M4020">
        <f>IF(LeadsData[[#This Row],[Stage Number]]&gt;=2,1,0)</f>
        <v>1</v>
      </c>
      <c r="N4020" s="2">
        <f>IF(LeadsData[[#This Row],[Stage Number]]&gt;=3,1,0)</f>
        <v>0</v>
      </c>
      <c r="O4020" s="2">
        <f>IF(LeadsData[[#This Row],[Stage Number]]&gt;=4,1,0)</f>
        <v>0</v>
      </c>
    </row>
    <row r="4021" spans="1:15" x14ac:dyDescent="0.25">
      <c r="A4021" t="s">
        <v>4061</v>
      </c>
      <c r="B4021" s="1">
        <v>45530</v>
      </c>
      <c r="C4021" t="s">
        <v>25</v>
      </c>
      <c r="D4021" t="s">
        <v>26</v>
      </c>
      <c r="E4021" t="s">
        <v>48</v>
      </c>
      <c r="F4021" t="s">
        <v>19</v>
      </c>
      <c r="G4021" t="s">
        <v>15</v>
      </c>
      <c r="K4021" cm="1">
        <f t="array" ref="K4021">_xlfn.SWITCH(LeadsData[[#This Row],[Funnel Stage Reached]],"Lead",1,"MQL",2,"SQL",3,"Customer",4)</f>
        <v>1</v>
      </c>
      <c r="L4021" t="str">
        <f>TEXT(LeadsData[[#This Row],[Signup Date]],"mmm-yyyy")</f>
        <v>Aug-2024</v>
      </c>
      <c r="M4021">
        <f>IF(LeadsData[[#This Row],[Stage Number]]&gt;=2,1,0)</f>
        <v>0</v>
      </c>
      <c r="N4021" s="2">
        <f>IF(LeadsData[[#This Row],[Stage Number]]&gt;=3,1,0)</f>
        <v>0</v>
      </c>
      <c r="O4021" s="2">
        <f>IF(LeadsData[[#This Row],[Stage Number]]&gt;=4,1,0)</f>
        <v>0</v>
      </c>
    </row>
    <row r="4022" spans="1:15" x14ac:dyDescent="0.25">
      <c r="A4022" t="s">
        <v>4062</v>
      </c>
      <c r="B4022" s="1">
        <v>45379</v>
      </c>
      <c r="C4022" t="s">
        <v>31</v>
      </c>
      <c r="D4022" t="s">
        <v>34</v>
      </c>
      <c r="E4022" t="s">
        <v>21</v>
      </c>
      <c r="F4022" t="s">
        <v>19</v>
      </c>
      <c r="G4022" t="s">
        <v>23</v>
      </c>
      <c r="K4022" cm="1">
        <f t="array" ref="K4022">_xlfn.SWITCH(LeadsData[[#This Row],[Funnel Stage Reached]],"Lead",1,"MQL",2,"SQL",3,"Customer",4)</f>
        <v>2</v>
      </c>
      <c r="L4022" t="str">
        <f>TEXT(LeadsData[[#This Row],[Signup Date]],"mmm-yyyy")</f>
        <v>Mar-2024</v>
      </c>
      <c r="M4022">
        <f>IF(LeadsData[[#This Row],[Stage Number]]&gt;=2,1,0)</f>
        <v>1</v>
      </c>
      <c r="N4022" s="2">
        <f>IF(LeadsData[[#This Row],[Stage Number]]&gt;=3,1,0)</f>
        <v>0</v>
      </c>
      <c r="O4022" s="2">
        <f>IF(LeadsData[[#This Row],[Stage Number]]&gt;=4,1,0)</f>
        <v>0</v>
      </c>
    </row>
    <row r="4023" spans="1:15" x14ac:dyDescent="0.25">
      <c r="A4023" t="s">
        <v>4063</v>
      </c>
      <c r="B4023" s="1">
        <v>45401</v>
      </c>
      <c r="C4023" t="s">
        <v>31</v>
      </c>
      <c r="D4023" t="s">
        <v>34</v>
      </c>
      <c r="E4023" t="s">
        <v>13</v>
      </c>
      <c r="F4023" t="s">
        <v>28</v>
      </c>
      <c r="G4023" t="s">
        <v>23</v>
      </c>
      <c r="K4023" cm="1">
        <f t="array" ref="K4023">_xlfn.SWITCH(LeadsData[[#This Row],[Funnel Stage Reached]],"Lead",1,"MQL",2,"SQL",3,"Customer",4)</f>
        <v>2</v>
      </c>
      <c r="L4023" t="str">
        <f>TEXT(LeadsData[[#This Row],[Signup Date]],"mmm-yyyy")</f>
        <v>Apr-2024</v>
      </c>
      <c r="M4023">
        <f>IF(LeadsData[[#This Row],[Stage Number]]&gt;=2,1,0)</f>
        <v>1</v>
      </c>
      <c r="N4023" s="2">
        <f>IF(LeadsData[[#This Row],[Stage Number]]&gt;=3,1,0)</f>
        <v>0</v>
      </c>
      <c r="O4023" s="2">
        <f>IF(LeadsData[[#This Row],[Stage Number]]&gt;=4,1,0)</f>
        <v>0</v>
      </c>
    </row>
    <row r="4024" spans="1:15" x14ac:dyDescent="0.25">
      <c r="A4024" t="s">
        <v>4064</v>
      </c>
      <c r="B4024" s="1">
        <v>45519</v>
      </c>
      <c r="C4024" t="s">
        <v>25</v>
      </c>
      <c r="D4024" t="s">
        <v>26</v>
      </c>
      <c r="E4024" t="s">
        <v>21</v>
      </c>
      <c r="F4024" t="s">
        <v>19</v>
      </c>
      <c r="G4024" t="s">
        <v>15</v>
      </c>
      <c r="K4024" cm="1">
        <f t="array" ref="K4024">_xlfn.SWITCH(LeadsData[[#This Row],[Funnel Stage Reached]],"Lead",1,"MQL",2,"SQL",3,"Customer",4)</f>
        <v>1</v>
      </c>
      <c r="L4024" t="str">
        <f>TEXT(LeadsData[[#This Row],[Signup Date]],"mmm-yyyy")</f>
        <v>Aug-2024</v>
      </c>
      <c r="M4024">
        <f>IF(LeadsData[[#This Row],[Stage Number]]&gt;=2,1,0)</f>
        <v>0</v>
      </c>
      <c r="N4024" s="2">
        <f>IF(LeadsData[[#This Row],[Stage Number]]&gt;=3,1,0)</f>
        <v>0</v>
      </c>
      <c r="O4024" s="2">
        <f>IF(LeadsData[[#This Row],[Stage Number]]&gt;=4,1,0)</f>
        <v>0</v>
      </c>
    </row>
    <row r="4025" spans="1:15" x14ac:dyDescent="0.25">
      <c r="A4025" t="s">
        <v>4065</v>
      </c>
      <c r="B4025" s="1">
        <v>45567</v>
      </c>
      <c r="C4025" t="s">
        <v>17</v>
      </c>
      <c r="D4025" t="s">
        <v>18</v>
      </c>
      <c r="E4025" t="s">
        <v>21</v>
      </c>
      <c r="F4025" t="s">
        <v>22</v>
      </c>
      <c r="G4025" t="s">
        <v>23</v>
      </c>
      <c r="K4025" cm="1">
        <f t="array" ref="K4025">_xlfn.SWITCH(LeadsData[[#This Row],[Funnel Stage Reached]],"Lead",1,"MQL",2,"SQL",3,"Customer",4)</f>
        <v>2</v>
      </c>
      <c r="L4025" t="str">
        <f>TEXT(LeadsData[[#This Row],[Signup Date]],"mmm-yyyy")</f>
        <v>Oct-2024</v>
      </c>
      <c r="M4025">
        <f>IF(LeadsData[[#This Row],[Stage Number]]&gt;=2,1,0)</f>
        <v>1</v>
      </c>
      <c r="N4025" s="2">
        <f>IF(LeadsData[[#This Row],[Stage Number]]&gt;=3,1,0)</f>
        <v>0</v>
      </c>
      <c r="O4025" s="2">
        <f>IF(LeadsData[[#This Row],[Stage Number]]&gt;=4,1,0)</f>
        <v>0</v>
      </c>
    </row>
    <row r="4026" spans="1:15" x14ac:dyDescent="0.25">
      <c r="A4026" t="s">
        <v>4066</v>
      </c>
      <c r="B4026" s="1">
        <v>45316</v>
      </c>
      <c r="C4026" t="s">
        <v>25</v>
      </c>
      <c r="D4026" t="s">
        <v>26</v>
      </c>
      <c r="E4026" t="s">
        <v>13</v>
      </c>
      <c r="F4026" t="s">
        <v>28</v>
      </c>
      <c r="G4026" t="s">
        <v>29</v>
      </c>
      <c r="K4026" cm="1">
        <f t="array" ref="K4026">_xlfn.SWITCH(LeadsData[[#This Row],[Funnel Stage Reached]],"Lead",1,"MQL",2,"SQL",3,"Customer",4)</f>
        <v>3</v>
      </c>
      <c r="L4026" t="str">
        <f>TEXT(LeadsData[[#This Row],[Signup Date]],"mmm-yyyy")</f>
        <v>Jan-2024</v>
      </c>
      <c r="M4026">
        <f>IF(LeadsData[[#This Row],[Stage Number]]&gt;=2,1,0)</f>
        <v>1</v>
      </c>
      <c r="N4026" s="2">
        <f>IF(LeadsData[[#This Row],[Stage Number]]&gt;=3,1,0)</f>
        <v>1</v>
      </c>
      <c r="O4026" s="2">
        <f>IF(LeadsData[[#This Row],[Stage Number]]&gt;=4,1,0)</f>
        <v>0</v>
      </c>
    </row>
    <row r="4027" spans="1:15" x14ac:dyDescent="0.25">
      <c r="A4027" t="s">
        <v>4067</v>
      </c>
      <c r="B4027" s="1">
        <v>45336</v>
      </c>
      <c r="C4027" t="s">
        <v>36</v>
      </c>
      <c r="D4027" t="s">
        <v>37</v>
      </c>
      <c r="E4027" t="s">
        <v>21</v>
      </c>
      <c r="F4027" t="s">
        <v>22</v>
      </c>
      <c r="G4027" t="s">
        <v>15</v>
      </c>
      <c r="K4027" cm="1">
        <f t="array" ref="K4027">_xlfn.SWITCH(LeadsData[[#This Row],[Funnel Stage Reached]],"Lead",1,"MQL",2,"SQL",3,"Customer",4)</f>
        <v>1</v>
      </c>
      <c r="L4027" t="str">
        <f>TEXT(LeadsData[[#This Row],[Signup Date]],"mmm-yyyy")</f>
        <v>Feb-2024</v>
      </c>
      <c r="M4027">
        <f>IF(LeadsData[[#This Row],[Stage Number]]&gt;=2,1,0)</f>
        <v>0</v>
      </c>
      <c r="N4027" s="2">
        <f>IF(LeadsData[[#This Row],[Stage Number]]&gt;=3,1,0)</f>
        <v>0</v>
      </c>
      <c r="O4027" s="2">
        <f>IF(LeadsData[[#This Row],[Stage Number]]&gt;=4,1,0)</f>
        <v>0</v>
      </c>
    </row>
    <row r="4028" spans="1:15" x14ac:dyDescent="0.25">
      <c r="A4028" t="s">
        <v>4068</v>
      </c>
      <c r="B4028" s="1">
        <v>45539</v>
      </c>
      <c r="C4028" t="s">
        <v>25</v>
      </c>
      <c r="D4028" t="s">
        <v>26</v>
      </c>
      <c r="E4028" t="s">
        <v>13</v>
      </c>
      <c r="F4028" t="s">
        <v>19</v>
      </c>
      <c r="G4028" t="s">
        <v>15</v>
      </c>
      <c r="K4028" cm="1">
        <f t="array" ref="K4028">_xlfn.SWITCH(LeadsData[[#This Row],[Funnel Stage Reached]],"Lead",1,"MQL",2,"SQL",3,"Customer",4)</f>
        <v>1</v>
      </c>
      <c r="L4028" t="str">
        <f>TEXT(LeadsData[[#This Row],[Signup Date]],"mmm-yyyy")</f>
        <v>Sep-2024</v>
      </c>
      <c r="M4028">
        <f>IF(LeadsData[[#This Row],[Stage Number]]&gt;=2,1,0)</f>
        <v>0</v>
      </c>
      <c r="N4028" s="2">
        <f>IF(LeadsData[[#This Row],[Stage Number]]&gt;=3,1,0)</f>
        <v>0</v>
      </c>
      <c r="O4028" s="2">
        <f>IF(LeadsData[[#This Row],[Stage Number]]&gt;=4,1,0)</f>
        <v>0</v>
      </c>
    </row>
    <row r="4029" spans="1:15" x14ac:dyDescent="0.25">
      <c r="A4029" t="s">
        <v>4069</v>
      </c>
      <c r="B4029" s="1">
        <v>45509</v>
      </c>
      <c r="C4029" t="s">
        <v>31</v>
      </c>
      <c r="D4029" t="s">
        <v>32</v>
      </c>
      <c r="E4029" t="s">
        <v>13</v>
      </c>
      <c r="F4029" t="s">
        <v>19</v>
      </c>
      <c r="G4029" t="s">
        <v>15</v>
      </c>
      <c r="K4029" cm="1">
        <f t="array" ref="K4029">_xlfn.SWITCH(LeadsData[[#This Row],[Funnel Stage Reached]],"Lead",1,"MQL",2,"SQL",3,"Customer",4)</f>
        <v>1</v>
      </c>
      <c r="L4029" t="str">
        <f>TEXT(LeadsData[[#This Row],[Signup Date]],"mmm-yyyy")</f>
        <v>Aug-2024</v>
      </c>
      <c r="M4029">
        <f>IF(LeadsData[[#This Row],[Stage Number]]&gt;=2,1,0)</f>
        <v>0</v>
      </c>
      <c r="N4029" s="2">
        <f>IF(LeadsData[[#This Row],[Stage Number]]&gt;=3,1,0)</f>
        <v>0</v>
      </c>
      <c r="O4029" s="2">
        <f>IF(LeadsData[[#This Row],[Stage Number]]&gt;=4,1,0)</f>
        <v>0</v>
      </c>
    </row>
    <row r="4030" spans="1:15" x14ac:dyDescent="0.25">
      <c r="A4030" t="s">
        <v>4070</v>
      </c>
      <c r="B4030" s="1">
        <v>45610</v>
      </c>
      <c r="C4030" t="s">
        <v>25</v>
      </c>
      <c r="D4030" t="s">
        <v>26</v>
      </c>
      <c r="E4030" t="s">
        <v>21</v>
      </c>
      <c r="F4030" t="s">
        <v>22</v>
      </c>
      <c r="G4030" t="s">
        <v>23</v>
      </c>
      <c r="K4030" cm="1">
        <f t="array" ref="K4030">_xlfn.SWITCH(LeadsData[[#This Row],[Funnel Stage Reached]],"Lead",1,"MQL",2,"SQL",3,"Customer",4)</f>
        <v>2</v>
      </c>
      <c r="L4030" t="str">
        <f>TEXT(LeadsData[[#This Row],[Signup Date]],"mmm-yyyy")</f>
        <v>Nov-2024</v>
      </c>
      <c r="M4030">
        <f>IF(LeadsData[[#This Row],[Stage Number]]&gt;=2,1,0)</f>
        <v>1</v>
      </c>
      <c r="N4030" s="2">
        <f>IF(LeadsData[[#This Row],[Stage Number]]&gt;=3,1,0)</f>
        <v>0</v>
      </c>
      <c r="O4030" s="2">
        <f>IF(LeadsData[[#This Row],[Stage Number]]&gt;=4,1,0)</f>
        <v>0</v>
      </c>
    </row>
    <row r="4031" spans="1:15" x14ac:dyDescent="0.25">
      <c r="A4031" t="s">
        <v>4071</v>
      </c>
      <c r="B4031" s="1">
        <v>45454</v>
      </c>
      <c r="C4031" t="s">
        <v>17</v>
      </c>
      <c r="D4031" t="s">
        <v>18</v>
      </c>
      <c r="E4031" t="s">
        <v>21</v>
      </c>
      <c r="F4031" t="s">
        <v>14</v>
      </c>
      <c r="G4031" t="s">
        <v>15</v>
      </c>
      <c r="K4031" cm="1">
        <f t="array" ref="K4031">_xlfn.SWITCH(LeadsData[[#This Row],[Funnel Stage Reached]],"Lead",1,"MQL",2,"SQL",3,"Customer",4)</f>
        <v>1</v>
      </c>
      <c r="L4031" t="str">
        <f>TEXT(LeadsData[[#This Row],[Signup Date]],"mmm-yyyy")</f>
        <v>Jun-2024</v>
      </c>
      <c r="M4031">
        <f>IF(LeadsData[[#This Row],[Stage Number]]&gt;=2,1,0)</f>
        <v>0</v>
      </c>
      <c r="N4031" s="2">
        <f>IF(LeadsData[[#This Row],[Stage Number]]&gt;=3,1,0)</f>
        <v>0</v>
      </c>
      <c r="O4031" s="2">
        <f>IF(LeadsData[[#This Row],[Stage Number]]&gt;=4,1,0)</f>
        <v>0</v>
      </c>
    </row>
    <row r="4032" spans="1:15" x14ac:dyDescent="0.25">
      <c r="A4032" t="s">
        <v>4072</v>
      </c>
      <c r="B4032" s="1">
        <v>45491</v>
      </c>
      <c r="C4032" t="s">
        <v>46</v>
      </c>
      <c r="D4032" t="s">
        <v>56</v>
      </c>
      <c r="E4032" t="s">
        <v>21</v>
      </c>
      <c r="F4032" t="s">
        <v>22</v>
      </c>
      <c r="G4032" t="s">
        <v>15</v>
      </c>
      <c r="K4032" cm="1">
        <f t="array" ref="K4032">_xlfn.SWITCH(LeadsData[[#This Row],[Funnel Stage Reached]],"Lead",1,"MQL",2,"SQL",3,"Customer",4)</f>
        <v>1</v>
      </c>
      <c r="L4032" t="str">
        <f>TEXT(LeadsData[[#This Row],[Signup Date]],"mmm-yyyy")</f>
        <v>Jul-2024</v>
      </c>
      <c r="M4032">
        <f>IF(LeadsData[[#This Row],[Stage Number]]&gt;=2,1,0)</f>
        <v>0</v>
      </c>
      <c r="N4032" s="2">
        <f>IF(LeadsData[[#This Row],[Stage Number]]&gt;=3,1,0)</f>
        <v>0</v>
      </c>
      <c r="O4032" s="2">
        <f>IF(LeadsData[[#This Row],[Stage Number]]&gt;=4,1,0)</f>
        <v>0</v>
      </c>
    </row>
    <row r="4033" spans="1:15" x14ac:dyDescent="0.25">
      <c r="A4033" t="s">
        <v>4073</v>
      </c>
      <c r="B4033" s="1">
        <v>45618</v>
      </c>
      <c r="C4033" t="s">
        <v>46</v>
      </c>
      <c r="D4033" t="s">
        <v>56</v>
      </c>
      <c r="E4033" t="s">
        <v>13</v>
      </c>
      <c r="F4033" t="s">
        <v>14</v>
      </c>
      <c r="G4033" t="s">
        <v>29</v>
      </c>
      <c r="K4033" cm="1">
        <f t="array" ref="K4033">_xlfn.SWITCH(LeadsData[[#This Row],[Funnel Stage Reached]],"Lead",1,"MQL",2,"SQL",3,"Customer",4)</f>
        <v>3</v>
      </c>
      <c r="L4033" t="str">
        <f>TEXT(LeadsData[[#This Row],[Signup Date]],"mmm-yyyy")</f>
        <v>Nov-2024</v>
      </c>
      <c r="M4033">
        <f>IF(LeadsData[[#This Row],[Stage Number]]&gt;=2,1,0)</f>
        <v>1</v>
      </c>
      <c r="N4033" s="2">
        <f>IF(LeadsData[[#This Row],[Stage Number]]&gt;=3,1,0)</f>
        <v>1</v>
      </c>
      <c r="O4033" s="2">
        <f>IF(LeadsData[[#This Row],[Stage Number]]&gt;=4,1,0)</f>
        <v>0</v>
      </c>
    </row>
    <row r="4034" spans="1:15" x14ac:dyDescent="0.25">
      <c r="A4034" t="s">
        <v>4074</v>
      </c>
      <c r="B4034" s="1">
        <v>45531</v>
      </c>
      <c r="C4034" t="s">
        <v>25</v>
      </c>
      <c r="D4034" t="s">
        <v>26</v>
      </c>
      <c r="E4034" t="s">
        <v>21</v>
      </c>
      <c r="F4034" t="s">
        <v>22</v>
      </c>
      <c r="G4034" t="s">
        <v>15</v>
      </c>
      <c r="K4034" cm="1">
        <f t="array" ref="K4034">_xlfn.SWITCH(LeadsData[[#This Row],[Funnel Stage Reached]],"Lead",1,"MQL",2,"SQL",3,"Customer",4)</f>
        <v>1</v>
      </c>
      <c r="L4034" t="str">
        <f>TEXT(LeadsData[[#This Row],[Signup Date]],"mmm-yyyy")</f>
        <v>Aug-2024</v>
      </c>
      <c r="M4034">
        <f>IF(LeadsData[[#This Row],[Stage Number]]&gt;=2,1,0)</f>
        <v>0</v>
      </c>
      <c r="N4034" s="2">
        <f>IF(LeadsData[[#This Row],[Stage Number]]&gt;=3,1,0)</f>
        <v>0</v>
      </c>
      <c r="O4034" s="2">
        <f>IF(LeadsData[[#This Row],[Stage Number]]&gt;=4,1,0)</f>
        <v>0</v>
      </c>
    </row>
    <row r="4035" spans="1:15" x14ac:dyDescent="0.25">
      <c r="A4035" t="s">
        <v>4075</v>
      </c>
      <c r="B4035" s="1">
        <v>45342</v>
      </c>
      <c r="C4035" t="s">
        <v>31</v>
      </c>
      <c r="D4035" t="s">
        <v>32</v>
      </c>
      <c r="E4035" t="s">
        <v>21</v>
      </c>
      <c r="F4035" t="s">
        <v>22</v>
      </c>
      <c r="G4035" t="s">
        <v>23</v>
      </c>
      <c r="K4035" cm="1">
        <f t="array" ref="K4035">_xlfn.SWITCH(LeadsData[[#This Row],[Funnel Stage Reached]],"Lead",1,"MQL",2,"SQL",3,"Customer",4)</f>
        <v>2</v>
      </c>
      <c r="L4035" t="str">
        <f>TEXT(LeadsData[[#This Row],[Signup Date]],"mmm-yyyy")</f>
        <v>Feb-2024</v>
      </c>
      <c r="M4035">
        <f>IF(LeadsData[[#This Row],[Stage Number]]&gt;=2,1,0)</f>
        <v>1</v>
      </c>
      <c r="N4035" s="2">
        <f>IF(LeadsData[[#This Row],[Stage Number]]&gt;=3,1,0)</f>
        <v>0</v>
      </c>
      <c r="O4035" s="2">
        <f>IF(LeadsData[[#This Row],[Stage Number]]&gt;=4,1,0)</f>
        <v>0</v>
      </c>
    </row>
    <row r="4036" spans="1:15" x14ac:dyDescent="0.25">
      <c r="A4036" t="s">
        <v>4076</v>
      </c>
      <c r="B4036" s="1">
        <v>45465</v>
      </c>
      <c r="C4036" t="s">
        <v>17</v>
      </c>
      <c r="D4036" t="s">
        <v>18</v>
      </c>
      <c r="E4036" t="s">
        <v>21</v>
      </c>
      <c r="F4036" t="s">
        <v>22</v>
      </c>
      <c r="G4036" t="s">
        <v>15</v>
      </c>
      <c r="K4036" cm="1">
        <f t="array" ref="K4036">_xlfn.SWITCH(LeadsData[[#This Row],[Funnel Stage Reached]],"Lead",1,"MQL",2,"SQL",3,"Customer",4)</f>
        <v>1</v>
      </c>
      <c r="L4036" t="str">
        <f>TEXT(LeadsData[[#This Row],[Signup Date]],"mmm-yyyy")</f>
        <v>Jun-2024</v>
      </c>
      <c r="M4036">
        <f>IF(LeadsData[[#This Row],[Stage Number]]&gt;=2,1,0)</f>
        <v>0</v>
      </c>
      <c r="N4036" s="2">
        <f>IF(LeadsData[[#This Row],[Stage Number]]&gt;=3,1,0)</f>
        <v>0</v>
      </c>
      <c r="O4036" s="2">
        <f>IF(LeadsData[[#This Row],[Stage Number]]&gt;=4,1,0)</f>
        <v>0</v>
      </c>
    </row>
    <row r="4037" spans="1:15" x14ac:dyDescent="0.25">
      <c r="A4037" t="s">
        <v>4077</v>
      </c>
      <c r="B4037" s="1">
        <v>45651</v>
      </c>
      <c r="C4037" t="s">
        <v>31</v>
      </c>
      <c r="D4037" t="s">
        <v>34</v>
      </c>
      <c r="E4037" t="s">
        <v>21</v>
      </c>
      <c r="F4037" t="s">
        <v>19</v>
      </c>
      <c r="G4037" t="s">
        <v>15</v>
      </c>
      <c r="K4037" cm="1">
        <f t="array" ref="K4037">_xlfn.SWITCH(LeadsData[[#This Row],[Funnel Stage Reached]],"Lead",1,"MQL",2,"SQL",3,"Customer",4)</f>
        <v>1</v>
      </c>
      <c r="L4037" t="str">
        <f>TEXT(LeadsData[[#This Row],[Signup Date]],"mmm-yyyy")</f>
        <v>Dec-2024</v>
      </c>
      <c r="M4037">
        <f>IF(LeadsData[[#This Row],[Stage Number]]&gt;=2,1,0)</f>
        <v>0</v>
      </c>
      <c r="N4037" s="2">
        <f>IF(LeadsData[[#This Row],[Stage Number]]&gt;=3,1,0)</f>
        <v>0</v>
      </c>
      <c r="O4037" s="2">
        <f>IF(LeadsData[[#This Row],[Stage Number]]&gt;=4,1,0)</f>
        <v>0</v>
      </c>
    </row>
    <row r="4038" spans="1:15" x14ac:dyDescent="0.25">
      <c r="A4038" t="s">
        <v>4078</v>
      </c>
      <c r="B4038" s="1">
        <v>45408</v>
      </c>
      <c r="C4038" t="s">
        <v>31</v>
      </c>
      <c r="D4038" t="s">
        <v>34</v>
      </c>
      <c r="E4038" t="s">
        <v>13</v>
      </c>
      <c r="F4038" t="s">
        <v>19</v>
      </c>
      <c r="G4038" t="s">
        <v>42</v>
      </c>
      <c r="H4038">
        <v>25</v>
      </c>
      <c r="I4038" t="s">
        <v>87</v>
      </c>
      <c r="J4038">
        <v>4607.29</v>
      </c>
      <c r="K4038" cm="1">
        <f t="array" ref="K4038">_xlfn.SWITCH(LeadsData[[#This Row],[Funnel Stage Reached]],"Lead",1,"MQL",2,"SQL",3,"Customer",4)</f>
        <v>4</v>
      </c>
      <c r="L4038" t="str">
        <f>TEXT(LeadsData[[#This Row],[Signup Date]],"mmm-yyyy")</f>
        <v>Apr-2024</v>
      </c>
      <c r="M4038">
        <f>IF(LeadsData[[#This Row],[Stage Number]]&gt;=2,1,0)</f>
        <v>1</v>
      </c>
      <c r="N4038" s="2">
        <f>IF(LeadsData[[#This Row],[Stage Number]]&gt;=3,1,0)</f>
        <v>1</v>
      </c>
      <c r="O4038" s="2">
        <f>IF(LeadsData[[#This Row],[Stage Number]]&gt;=4,1,0)</f>
        <v>1</v>
      </c>
    </row>
    <row r="4039" spans="1:15" x14ac:dyDescent="0.25">
      <c r="A4039" t="s">
        <v>4079</v>
      </c>
      <c r="B4039" s="1">
        <v>45435</v>
      </c>
      <c r="C4039" t="s">
        <v>17</v>
      </c>
      <c r="D4039" t="s">
        <v>53</v>
      </c>
      <c r="E4039" t="s">
        <v>13</v>
      </c>
      <c r="F4039" t="s">
        <v>22</v>
      </c>
      <c r="G4039" t="s">
        <v>29</v>
      </c>
      <c r="K4039" cm="1">
        <f t="array" ref="K4039">_xlfn.SWITCH(LeadsData[[#This Row],[Funnel Stage Reached]],"Lead",1,"MQL",2,"SQL",3,"Customer",4)</f>
        <v>3</v>
      </c>
      <c r="L4039" t="str">
        <f>TEXT(LeadsData[[#This Row],[Signup Date]],"mmm-yyyy")</f>
        <v>May-2024</v>
      </c>
      <c r="M4039">
        <f>IF(LeadsData[[#This Row],[Stage Number]]&gt;=2,1,0)</f>
        <v>1</v>
      </c>
      <c r="N4039" s="2">
        <f>IF(LeadsData[[#This Row],[Stage Number]]&gt;=3,1,0)</f>
        <v>1</v>
      </c>
      <c r="O4039" s="2">
        <f>IF(LeadsData[[#This Row],[Stage Number]]&gt;=4,1,0)</f>
        <v>0</v>
      </c>
    </row>
    <row r="4040" spans="1:15" x14ac:dyDescent="0.25">
      <c r="A4040" t="s">
        <v>4080</v>
      </c>
      <c r="B4040" s="1">
        <v>45440</v>
      </c>
      <c r="C4040" t="s">
        <v>11</v>
      </c>
      <c r="D4040" t="s">
        <v>79</v>
      </c>
      <c r="E4040" t="s">
        <v>13</v>
      </c>
      <c r="F4040" t="s">
        <v>14</v>
      </c>
      <c r="G4040" t="s">
        <v>15</v>
      </c>
      <c r="K4040" cm="1">
        <f t="array" ref="K4040">_xlfn.SWITCH(LeadsData[[#This Row],[Funnel Stage Reached]],"Lead",1,"MQL",2,"SQL",3,"Customer",4)</f>
        <v>1</v>
      </c>
      <c r="L4040" t="str">
        <f>TEXT(LeadsData[[#This Row],[Signup Date]],"mmm-yyyy")</f>
        <v>May-2024</v>
      </c>
      <c r="M4040">
        <f>IF(LeadsData[[#This Row],[Stage Number]]&gt;=2,1,0)</f>
        <v>0</v>
      </c>
      <c r="N4040" s="2">
        <f>IF(LeadsData[[#This Row],[Stage Number]]&gt;=3,1,0)</f>
        <v>0</v>
      </c>
      <c r="O4040" s="2">
        <f>IF(LeadsData[[#This Row],[Stage Number]]&gt;=4,1,0)</f>
        <v>0</v>
      </c>
    </row>
    <row r="4041" spans="1:15" x14ac:dyDescent="0.25">
      <c r="A4041" t="s">
        <v>4081</v>
      </c>
      <c r="B4041" s="1">
        <v>45450</v>
      </c>
      <c r="C4041" t="s">
        <v>11</v>
      </c>
      <c r="D4041" t="s">
        <v>79</v>
      </c>
      <c r="E4041" t="s">
        <v>21</v>
      </c>
      <c r="F4041" t="s">
        <v>19</v>
      </c>
      <c r="G4041" t="s">
        <v>23</v>
      </c>
      <c r="K4041" cm="1">
        <f t="array" ref="K4041">_xlfn.SWITCH(LeadsData[[#This Row],[Funnel Stage Reached]],"Lead",1,"MQL",2,"SQL",3,"Customer",4)</f>
        <v>2</v>
      </c>
      <c r="L4041" t="str">
        <f>TEXT(LeadsData[[#This Row],[Signup Date]],"mmm-yyyy")</f>
        <v>Jun-2024</v>
      </c>
      <c r="M4041">
        <f>IF(LeadsData[[#This Row],[Stage Number]]&gt;=2,1,0)</f>
        <v>1</v>
      </c>
      <c r="N4041" s="2">
        <f>IF(LeadsData[[#This Row],[Stage Number]]&gt;=3,1,0)</f>
        <v>0</v>
      </c>
      <c r="O4041" s="2">
        <f>IF(LeadsData[[#This Row],[Stage Number]]&gt;=4,1,0)</f>
        <v>0</v>
      </c>
    </row>
    <row r="4042" spans="1:15" x14ac:dyDescent="0.25">
      <c r="A4042" t="s">
        <v>4082</v>
      </c>
      <c r="B4042" s="1">
        <v>45418</v>
      </c>
      <c r="C4042" t="s">
        <v>31</v>
      </c>
      <c r="D4042" t="s">
        <v>32</v>
      </c>
      <c r="E4042" t="s">
        <v>48</v>
      </c>
      <c r="F4042" t="s">
        <v>14</v>
      </c>
      <c r="G4042" t="s">
        <v>15</v>
      </c>
      <c r="K4042" cm="1">
        <f t="array" ref="K4042">_xlfn.SWITCH(LeadsData[[#This Row],[Funnel Stage Reached]],"Lead",1,"MQL",2,"SQL",3,"Customer",4)</f>
        <v>1</v>
      </c>
      <c r="L4042" t="str">
        <f>TEXT(LeadsData[[#This Row],[Signup Date]],"mmm-yyyy")</f>
        <v>May-2024</v>
      </c>
      <c r="M4042">
        <f>IF(LeadsData[[#This Row],[Stage Number]]&gt;=2,1,0)</f>
        <v>0</v>
      </c>
      <c r="N4042" s="2">
        <f>IF(LeadsData[[#This Row],[Stage Number]]&gt;=3,1,0)</f>
        <v>0</v>
      </c>
      <c r="O4042" s="2">
        <f>IF(LeadsData[[#This Row],[Stage Number]]&gt;=4,1,0)</f>
        <v>0</v>
      </c>
    </row>
    <row r="4043" spans="1:15" x14ac:dyDescent="0.25">
      <c r="A4043" t="s">
        <v>4083</v>
      </c>
      <c r="B4043" s="1">
        <v>45649</v>
      </c>
      <c r="C4043" t="s">
        <v>36</v>
      </c>
      <c r="D4043" t="s">
        <v>37</v>
      </c>
      <c r="E4043" t="s">
        <v>21</v>
      </c>
      <c r="F4043" t="s">
        <v>19</v>
      </c>
      <c r="G4043" t="s">
        <v>23</v>
      </c>
      <c r="K4043" cm="1">
        <f t="array" ref="K4043">_xlfn.SWITCH(LeadsData[[#This Row],[Funnel Stage Reached]],"Lead",1,"MQL",2,"SQL",3,"Customer",4)</f>
        <v>2</v>
      </c>
      <c r="L4043" t="str">
        <f>TEXT(LeadsData[[#This Row],[Signup Date]],"mmm-yyyy")</f>
        <v>Dec-2024</v>
      </c>
      <c r="M4043">
        <f>IF(LeadsData[[#This Row],[Stage Number]]&gt;=2,1,0)</f>
        <v>1</v>
      </c>
      <c r="N4043" s="2">
        <f>IF(LeadsData[[#This Row],[Stage Number]]&gt;=3,1,0)</f>
        <v>0</v>
      </c>
      <c r="O4043" s="2">
        <f>IF(LeadsData[[#This Row],[Stage Number]]&gt;=4,1,0)</f>
        <v>0</v>
      </c>
    </row>
    <row r="4044" spans="1:15" x14ac:dyDescent="0.25">
      <c r="A4044" t="s">
        <v>4084</v>
      </c>
      <c r="B4044" s="1">
        <v>45597</v>
      </c>
      <c r="C4044" t="s">
        <v>31</v>
      </c>
      <c r="D4044" t="s">
        <v>32</v>
      </c>
      <c r="E4044" t="s">
        <v>13</v>
      </c>
      <c r="F4044" t="s">
        <v>22</v>
      </c>
      <c r="G4044" t="s">
        <v>15</v>
      </c>
      <c r="K4044" cm="1">
        <f t="array" ref="K4044">_xlfn.SWITCH(LeadsData[[#This Row],[Funnel Stage Reached]],"Lead",1,"MQL",2,"SQL",3,"Customer",4)</f>
        <v>1</v>
      </c>
      <c r="L4044" t="str">
        <f>TEXT(LeadsData[[#This Row],[Signup Date]],"mmm-yyyy")</f>
        <v>Nov-2024</v>
      </c>
      <c r="M4044">
        <f>IF(LeadsData[[#This Row],[Stage Number]]&gt;=2,1,0)</f>
        <v>0</v>
      </c>
      <c r="N4044" s="2">
        <f>IF(LeadsData[[#This Row],[Stage Number]]&gt;=3,1,0)</f>
        <v>0</v>
      </c>
      <c r="O4044" s="2">
        <f>IF(LeadsData[[#This Row],[Stage Number]]&gt;=4,1,0)</f>
        <v>0</v>
      </c>
    </row>
    <row r="4045" spans="1:15" x14ac:dyDescent="0.25">
      <c r="A4045" t="s">
        <v>4085</v>
      </c>
      <c r="B4045" s="1">
        <v>45324</v>
      </c>
      <c r="C4045" t="s">
        <v>36</v>
      </c>
      <c r="D4045" t="s">
        <v>50</v>
      </c>
      <c r="E4045" t="s">
        <v>13</v>
      </c>
      <c r="F4045" t="s">
        <v>19</v>
      </c>
      <c r="G4045" t="s">
        <v>15</v>
      </c>
      <c r="K4045" cm="1">
        <f t="array" ref="K4045">_xlfn.SWITCH(LeadsData[[#This Row],[Funnel Stage Reached]],"Lead",1,"MQL",2,"SQL",3,"Customer",4)</f>
        <v>1</v>
      </c>
      <c r="L4045" t="str">
        <f>TEXT(LeadsData[[#This Row],[Signup Date]],"mmm-yyyy")</f>
        <v>Feb-2024</v>
      </c>
      <c r="M4045">
        <f>IF(LeadsData[[#This Row],[Stage Number]]&gt;=2,1,0)</f>
        <v>0</v>
      </c>
      <c r="N4045" s="2">
        <f>IF(LeadsData[[#This Row],[Stage Number]]&gt;=3,1,0)</f>
        <v>0</v>
      </c>
      <c r="O4045" s="2">
        <f>IF(LeadsData[[#This Row],[Stage Number]]&gt;=4,1,0)</f>
        <v>0</v>
      </c>
    </row>
    <row r="4046" spans="1:15" x14ac:dyDescent="0.25">
      <c r="A4046" t="s">
        <v>4086</v>
      </c>
      <c r="B4046" s="1">
        <v>45623</v>
      </c>
      <c r="C4046" t="s">
        <v>17</v>
      </c>
      <c r="D4046" t="s">
        <v>18</v>
      </c>
      <c r="E4046" t="s">
        <v>21</v>
      </c>
      <c r="F4046" t="s">
        <v>19</v>
      </c>
      <c r="G4046" t="s">
        <v>23</v>
      </c>
      <c r="K4046" cm="1">
        <f t="array" ref="K4046">_xlfn.SWITCH(LeadsData[[#This Row],[Funnel Stage Reached]],"Lead",1,"MQL",2,"SQL",3,"Customer",4)</f>
        <v>2</v>
      </c>
      <c r="L4046" t="str">
        <f>TEXT(LeadsData[[#This Row],[Signup Date]],"mmm-yyyy")</f>
        <v>Nov-2024</v>
      </c>
      <c r="M4046">
        <f>IF(LeadsData[[#This Row],[Stage Number]]&gt;=2,1,0)</f>
        <v>1</v>
      </c>
      <c r="N4046" s="2">
        <f>IF(LeadsData[[#This Row],[Stage Number]]&gt;=3,1,0)</f>
        <v>0</v>
      </c>
      <c r="O4046" s="2">
        <f>IF(LeadsData[[#This Row],[Stage Number]]&gt;=4,1,0)</f>
        <v>0</v>
      </c>
    </row>
    <row r="4047" spans="1:15" x14ac:dyDescent="0.25">
      <c r="A4047" t="s">
        <v>4087</v>
      </c>
      <c r="B4047" s="1">
        <v>45361</v>
      </c>
      <c r="C4047" t="s">
        <v>17</v>
      </c>
      <c r="D4047" t="s">
        <v>53</v>
      </c>
      <c r="E4047" t="s">
        <v>21</v>
      </c>
      <c r="F4047" t="s">
        <v>22</v>
      </c>
      <c r="G4047" t="s">
        <v>29</v>
      </c>
      <c r="K4047" cm="1">
        <f t="array" ref="K4047">_xlfn.SWITCH(LeadsData[[#This Row],[Funnel Stage Reached]],"Lead",1,"MQL",2,"SQL",3,"Customer",4)</f>
        <v>3</v>
      </c>
      <c r="L4047" t="str">
        <f>TEXT(LeadsData[[#This Row],[Signup Date]],"mmm-yyyy")</f>
        <v>Mar-2024</v>
      </c>
      <c r="M4047">
        <f>IF(LeadsData[[#This Row],[Stage Number]]&gt;=2,1,0)</f>
        <v>1</v>
      </c>
      <c r="N4047" s="2">
        <f>IF(LeadsData[[#This Row],[Stage Number]]&gt;=3,1,0)</f>
        <v>1</v>
      </c>
      <c r="O4047" s="2">
        <f>IF(LeadsData[[#This Row],[Stage Number]]&gt;=4,1,0)</f>
        <v>0</v>
      </c>
    </row>
    <row r="4048" spans="1:15" x14ac:dyDescent="0.25">
      <c r="A4048" t="s">
        <v>4088</v>
      </c>
      <c r="B4048" s="1">
        <v>45585</v>
      </c>
      <c r="C4048" t="s">
        <v>11</v>
      </c>
      <c r="D4048" t="s">
        <v>79</v>
      </c>
      <c r="E4048" t="s">
        <v>48</v>
      </c>
      <c r="F4048" t="s">
        <v>22</v>
      </c>
      <c r="G4048" t="s">
        <v>15</v>
      </c>
      <c r="K4048" cm="1">
        <f t="array" ref="K4048">_xlfn.SWITCH(LeadsData[[#This Row],[Funnel Stage Reached]],"Lead",1,"MQL",2,"SQL",3,"Customer",4)</f>
        <v>1</v>
      </c>
      <c r="L4048" t="str">
        <f>TEXT(LeadsData[[#This Row],[Signup Date]],"mmm-yyyy")</f>
        <v>Oct-2024</v>
      </c>
      <c r="M4048">
        <f>IF(LeadsData[[#This Row],[Stage Number]]&gt;=2,1,0)</f>
        <v>0</v>
      </c>
      <c r="N4048" s="2">
        <f>IF(LeadsData[[#This Row],[Stage Number]]&gt;=3,1,0)</f>
        <v>0</v>
      </c>
      <c r="O4048" s="2">
        <f>IF(LeadsData[[#This Row],[Stage Number]]&gt;=4,1,0)</f>
        <v>0</v>
      </c>
    </row>
    <row r="4049" spans="1:15" x14ac:dyDescent="0.25">
      <c r="A4049" t="s">
        <v>4089</v>
      </c>
      <c r="B4049" s="1">
        <v>45577</v>
      </c>
      <c r="C4049" t="s">
        <v>46</v>
      </c>
      <c r="D4049" t="s">
        <v>47</v>
      </c>
      <c r="E4049" t="s">
        <v>21</v>
      </c>
      <c r="F4049" t="s">
        <v>14</v>
      </c>
      <c r="G4049" t="s">
        <v>23</v>
      </c>
      <c r="K4049" cm="1">
        <f t="array" ref="K4049">_xlfn.SWITCH(LeadsData[[#This Row],[Funnel Stage Reached]],"Lead",1,"MQL",2,"SQL",3,"Customer",4)</f>
        <v>2</v>
      </c>
      <c r="L4049" t="str">
        <f>TEXT(LeadsData[[#This Row],[Signup Date]],"mmm-yyyy")</f>
        <v>Oct-2024</v>
      </c>
      <c r="M4049">
        <f>IF(LeadsData[[#This Row],[Stage Number]]&gt;=2,1,0)</f>
        <v>1</v>
      </c>
      <c r="N4049" s="2">
        <f>IF(LeadsData[[#This Row],[Stage Number]]&gt;=3,1,0)</f>
        <v>0</v>
      </c>
      <c r="O4049" s="2">
        <f>IF(LeadsData[[#This Row],[Stage Number]]&gt;=4,1,0)</f>
        <v>0</v>
      </c>
    </row>
    <row r="4050" spans="1:15" x14ac:dyDescent="0.25">
      <c r="A4050" t="s">
        <v>4090</v>
      </c>
      <c r="B4050" s="1">
        <v>45328</v>
      </c>
      <c r="C4050" t="s">
        <v>46</v>
      </c>
      <c r="D4050" t="s">
        <v>47</v>
      </c>
      <c r="E4050" t="s">
        <v>21</v>
      </c>
      <c r="F4050" t="s">
        <v>14</v>
      </c>
      <c r="G4050" t="s">
        <v>15</v>
      </c>
      <c r="K4050" cm="1">
        <f t="array" ref="K4050">_xlfn.SWITCH(LeadsData[[#This Row],[Funnel Stage Reached]],"Lead",1,"MQL",2,"SQL",3,"Customer",4)</f>
        <v>1</v>
      </c>
      <c r="L4050" t="str">
        <f>TEXT(LeadsData[[#This Row],[Signup Date]],"mmm-yyyy")</f>
        <v>Feb-2024</v>
      </c>
      <c r="M4050">
        <f>IF(LeadsData[[#This Row],[Stage Number]]&gt;=2,1,0)</f>
        <v>0</v>
      </c>
      <c r="N4050" s="2">
        <f>IF(LeadsData[[#This Row],[Stage Number]]&gt;=3,1,0)</f>
        <v>0</v>
      </c>
      <c r="O4050" s="2">
        <f>IF(LeadsData[[#This Row],[Stage Number]]&gt;=4,1,0)</f>
        <v>0</v>
      </c>
    </row>
    <row r="4051" spans="1:15" x14ac:dyDescent="0.25">
      <c r="A4051" t="s">
        <v>4091</v>
      </c>
      <c r="B4051" s="1">
        <v>45617</v>
      </c>
      <c r="C4051" t="s">
        <v>31</v>
      </c>
      <c r="D4051" t="s">
        <v>34</v>
      </c>
      <c r="E4051" t="s">
        <v>21</v>
      </c>
      <c r="F4051" t="s">
        <v>14</v>
      </c>
      <c r="G4051" t="s">
        <v>15</v>
      </c>
      <c r="K4051" cm="1">
        <f t="array" ref="K4051">_xlfn.SWITCH(LeadsData[[#This Row],[Funnel Stage Reached]],"Lead",1,"MQL",2,"SQL",3,"Customer",4)</f>
        <v>1</v>
      </c>
      <c r="L4051" t="str">
        <f>TEXT(LeadsData[[#This Row],[Signup Date]],"mmm-yyyy")</f>
        <v>Nov-2024</v>
      </c>
      <c r="M4051">
        <f>IF(LeadsData[[#This Row],[Stage Number]]&gt;=2,1,0)</f>
        <v>0</v>
      </c>
      <c r="N4051" s="2">
        <f>IF(LeadsData[[#This Row],[Stage Number]]&gt;=3,1,0)</f>
        <v>0</v>
      </c>
      <c r="O4051" s="2">
        <f>IF(LeadsData[[#This Row],[Stage Number]]&gt;=4,1,0)</f>
        <v>0</v>
      </c>
    </row>
    <row r="4052" spans="1:15" x14ac:dyDescent="0.25">
      <c r="A4052" t="s">
        <v>4092</v>
      </c>
      <c r="B4052" s="1">
        <v>45437</v>
      </c>
      <c r="C4052" t="s">
        <v>36</v>
      </c>
      <c r="D4052" t="s">
        <v>50</v>
      </c>
      <c r="E4052" t="s">
        <v>13</v>
      </c>
      <c r="F4052" t="s">
        <v>22</v>
      </c>
      <c r="G4052" t="s">
        <v>23</v>
      </c>
      <c r="K4052" cm="1">
        <f t="array" ref="K4052">_xlfn.SWITCH(LeadsData[[#This Row],[Funnel Stage Reached]],"Lead",1,"MQL",2,"SQL",3,"Customer",4)</f>
        <v>2</v>
      </c>
      <c r="L4052" t="str">
        <f>TEXT(LeadsData[[#This Row],[Signup Date]],"mmm-yyyy")</f>
        <v>May-2024</v>
      </c>
      <c r="M4052">
        <f>IF(LeadsData[[#This Row],[Stage Number]]&gt;=2,1,0)</f>
        <v>1</v>
      </c>
      <c r="N4052" s="2">
        <f>IF(LeadsData[[#This Row],[Stage Number]]&gt;=3,1,0)</f>
        <v>0</v>
      </c>
      <c r="O4052" s="2">
        <f>IF(LeadsData[[#This Row],[Stage Number]]&gt;=4,1,0)</f>
        <v>0</v>
      </c>
    </row>
    <row r="4053" spans="1:15" x14ac:dyDescent="0.25">
      <c r="A4053" t="s">
        <v>4093</v>
      </c>
      <c r="B4053" s="1">
        <v>45609</v>
      </c>
      <c r="C4053" t="s">
        <v>17</v>
      </c>
      <c r="D4053" t="s">
        <v>18</v>
      </c>
      <c r="E4053" t="s">
        <v>13</v>
      </c>
      <c r="F4053" t="s">
        <v>19</v>
      </c>
      <c r="G4053" t="s">
        <v>15</v>
      </c>
      <c r="K4053" cm="1">
        <f t="array" ref="K4053">_xlfn.SWITCH(LeadsData[[#This Row],[Funnel Stage Reached]],"Lead",1,"MQL",2,"SQL",3,"Customer",4)</f>
        <v>1</v>
      </c>
      <c r="L4053" t="str">
        <f>TEXT(LeadsData[[#This Row],[Signup Date]],"mmm-yyyy")</f>
        <v>Nov-2024</v>
      </c>
      <c r="M4053">
        <f>IF(LeadsData[[#This Row],[Stage Number]]&gt;=2,1,0)</f>
        <v>0</v>
      </c>
      <c r="N4053" s="2">
        <f>IF(LeadsData[[#This Row],[Stage Number]]&gt;=3,1,0)</f>
        <v>0</v>
      </c>
      <c r="O4053" s="2">
        <f>IF(LeadsData[[#This Row],[Stage Number]]&gt;=4,1,0)</f>
        <v>0</v>
      </c>
    </row>
    <row r="4054" spans="1:15" x14ac:dyDescent="0.25">
      <c r="A4054" t="s">
        <v>4094</v>
      </c>
      <c r="B4054" s="1">
        <v>45588</v>
      </c>
      <c r="C4054" t="s">
        <v>31</v>
      </c>
      <c r="D4054" t="s">
        <v>32</v>
      </c>
      <c r="E4054" t="s">
        <v>48</v>
      </c>
      <c r="F4054" t="s">
        <v>22</v>
      </c>
      <c r="G4054" t="s">
        <v>15</v>
      </c>
      <c r="K4054" cm="1">
        <f t="array" ref="K4054">_xlfn.SWITCH(LeadsData[[#This Row],[Funnel Stage Reached]],"Lead",1,"MQL",2,"SQL",3,"Customer",4)</f>
        <v>1</v>
      </c>
      <c r="L4054" t="str">
        <f>TEXT(LeadsData[[#This Row],[Signup Date]],"mmm-yyyy")</f>
        <v>Oct-2024</v>
      </c>
      <c r="M4054">
        <f>IF(LeadsData[[#This Row],[Stage Number]]&gt;=2,1,0)</f>
        <v>0</v>
      </c>
      <c r="N4054" s="2">
        <f>IF(LeadsData[[#This Row],[Stage Number]]&gt;=3,1,0)</f>
        <v>0</v>
      </c>
      <c r="O4054" s="2">
        <f>IF(LeadsData[[#This Row],[Stage Number]]&gt;=4,1,0)</f>
        <v>0</v>
      </c>
    </row>
    <row r="4055" spans="1:15" x14ac:dyDescent="0.25">
      <c r="A4055" t="s">
        <v>4095</v>
      </c>
      <c r="B4055" s="1">
        <v>45463</v>
      </c>
      <c r="C4055" t="s">
        <v>46</v>
      </c>
      <c r="D4055" t="s">
        <v>47</v>
      </c>
      <c r="E4055" t="s">
        <v>13</v>
      </c>
      <c r="F4055" t="s">
        <v>19</v>
      </c>
      <c r="G4055" t="s">
        <v>29</v>
      </c>
      <c r="K4055" cm="1">
        <f t="array" ref="K4055">_xlfn.SWITCH(LeadsData[[#This Row],[Funnel Stage Reached]],"Lead",1,"MQL",2,"SQL",3,"Customer",4)</f>
        <v>3</v>
      </c>
      <c r="L4055" t="str">
        <f>TEXT(LeadsData[[#This Row],[Signup Date]],"mmm-yyyy")</f>
        <v>Jun-2024</v>
      </c>
      <c r="M4055">
        <f>IF(LeadsData[[#This Row],[Stage Number]]&gt;=2,1,0)</f>
        <v>1</v>
      </c>
      <c r="N4055" s="2">
        <f>IF(LeadsData[[#This Row],[Stage Number]]&gt;=3,1,0)</f>
        <v>1</v>
      </c>
      <c r="O4055" s="2">
        <f>IF(LeadsData[[#This Row],[Stage Number]]&gt;=4,1,0)</f>
        <v>0</v>
      </c>
    </row>
    <row r="4056" spans="1:15" x14ac:dyDescent="0.25">
      <c r="A4056" t="s">
        <v>4096</v>
      </c>
      <c r="B4056" s="1">
        <v>45620</v>
      </c>
      <c r="C4056" t="s">
        <v>17</v>
      </c>
      <c r="D4056" t="s">
        <v>53</v>
      </c>
      <c r="E4056" t="s">
        <v>21</v>
      </c>
      <c r="F4056" t="s">
        <v>14</v>
      </c>
      <c r="G4056" t="s">
        <v>15</v>
      </c>
      <c r="K4056" cm="1">
        <f t="array" ref="K4056">_xlfn.SWITCH(LeadsData[[#This Row],[Funnel Stage Reached]],"Lead",1,"MQL",2,"SQL",3,"Customer",4)</f>
        <v>1</v>
      </c>
      <c r="L4056" t="str">
        <f>TEXT(LeadsData[[#This Row],[Signup Date]],"mmm-yyyy")</f>
        <v>Nov-2024</v>
      </c>
      <c r="M4056">
        <f>IF(LeadsData[[#This Row],[Stage Number]]&gt;=2,1,0)</f>
        <v>0</v>
      </c>
      <c r="N4056" s="2">
        <f>IF(LeadsData[[#This Row],[Stage Number]]&gt;=3,1,0)</f>
        <v>0</v>
      </c>
      <c r="O4056" s="2">
        <f>IF(LeadsData[[#This Row],[Stage Number]]&gt;=4,1,0)</f>
        <v>0</v>
      </c>
    </row>
    <row r="4057" spans="1:15" x14ac:dyDescent="0.25">
      <c r="A4057" t="s">
        <v>4097</v>
      </c>
      <c r="B4057" s="1">
        <v>45434</v>
      </c>
      <c r="C4057" t="s">
        <v>11</v>
      </c>
      <c r="D4057" t="s">
        <v>68</v>
      </c>
      <c r="E4057" t="s">
        <v>48</v>
      </c>
      <c r="F4057" t="s">
        <v>19</v>
      </c>
      <c r="G4057" t="s">
        <v>15</v>
      </c>
      <c r="K4057" cm="1">
        <f t="array" ref="K4057">_xlfn.SWITCH(LeadsData[[#This Row],[Funnel Stage Reached]],"Lead",1,"MQL",2,"SQL",3,"Customer",4)</f>
        <v>1</v>
      </c>
      <c r="L4057" t="str">
        <f>TEXT(LeadsData[[#This Row],[Signup Date]],"mmm-yyyy")</f>
        <v>May-2024</v>
      </c>
      <c r="M4057">
        <f>IF(LeadsData[[#This Row],[Stage Number]]&gt;=2,1,0)</f>
        <v>0</v>
      </c>
      <c r="N4057" s="2">
        <f>IF(LeadsData[[#This Row],[Stage Number]]&gt;=3,1,0)</f>
        <v>0</v>
      </c>
      <c r="O4057" s="2">
        <f>IF(LeadsData[[#This Row],[Stage Number]]&gt;=4,1,0)</f>
        <v>0</v>
      </c>
    </row>
    <row r="4058" spans="1:15" x14ac:dyDescent="0.25">
      <c r="A4058" t="s">
        <v>4098</v>
      </c>
      <c r="B4058" s="1">
        <v>45405</v>
      </c>
      <c r="C4058" t="s">
        <v>11</v>
      </c>
      <c r="D4058" t="s">
        <v>12</v>
      </c>
      <c r="E4058" t="s">
        <v>48</v>
      </c>
      <c r="F4058" t="s">
        <v>19</v>
      </c>
      <c r="G4058" t="s">
        <v>15</v>
      </c>
      <c r="K4058" cm="1">
        <f t="array" ref="K4058">_xlfn.SWITCH(LeadsData[[#This Row],[Funnel Stage Reached]],"Lead",1,"MQL",2,"SQL",3,"Customer",4)</f>
        <v>1</v>
      </c>
      <c r="L4058" t="str">
        <f>TEXT(LeadsData[[#This Row],[Signup Date]],"mmm-yyyy")</f>
        <v>Apr-2024</v>
      </c>
      <c r="M4058">
        <f>IF(LeadsData[[#This Row],[Stage Number]]&gt;=2,1,0)</f>
        <v>0</v>
      </c>
      <c r="N4058" s="2">
        <f>IF(LeadsData[[#This Row],[Stage Number]]&gt;=3,1,0)</f>
        <v>0</v>
      </c>
      <c r="O4058" s="2">
        <f>IF(LeadsData[[#This Row],[Stage Number]]&gt;=4,1,0)</f>
        <v>0</v>
      </c>
    </row>
    <row r="4059" spans="1:15" x14ac:dyDescent="0.25">
      <c r="A4059" t="s">
        <v>4099</v>
      </c>
      <c r="B4059" s="1">
        <v>45329</v>
      </c>
      <c r="C4059" t="s">
        <v>17</v>
      </c>
      <c r="D4059" t="s">
        <v>18</v>
      </c>
      <c r="E4059" t="s">
        <v>21</v>
      </c>
      <c r="F4059" t="s">
        <v>19</v>
      </c>
      <c r="G4059" t="s">
        <v>23</v>
      </c>
      <c r="K4059" cm="1">
        <f t="array" ref="K4059">_xlfn.SWITCH(LeadsData[[#This Row],[Funnel Stage Reached]],"Lead",1,"MQL",2,"SQL",3,"Customer",4)</f>
        <v>2</v>
      </c>
      <c r="L4059" t="str">
        <f>TEXT(LeadsData[[#This Row],[Signup Date]],"mmm-yyyy")</f>
        <v>Feb-2024</v>
      </c>
      <c r="M4059">
        <f>IF(LeadsData[[#This Row],[Stage Number]]&gt;=2,1,0)</f>
        <v>1</v>
      </c>
      <c r="N4059" s="2">
        <f>IF(LeadsData[[#This Row],[Stage Number]]&gt;=3,1,0)</f>
        <v>0</v>
      </c>
      <c r="O4059" s="2">
        <f>IF(LeadsData[[#This Row],[Stage Number]]&gt;=4,1,0)</f>
        <v>0</v>
      </c>
    </row>
    <row r="4060" spans="1:15" x14ac:dyDescent="0.25">
      <c r="A4060" t="s">
        <v>4100</v>
      </c>
      <c r="B4060" s="1">
        <v>45530</v>
      </c>
      <c r="C4060" t="s">
        <v>11</v>
      </c>
      <c r="D4060" t="s">
        <v>12</v>
      </c>
      <c r="E4060" t="s">
        <v>21</v>
      </c>
      <c r="F4060" t="s">
        <v>22</v>
      </c>
      <c r="G4060" t="s">
        <v>15</v>
      </c>
      <c r="K4060" cm="1">
        <f t="array" ref="K4060">_xlfn.SWITCH(LeadsData[[#This Row],[Funnel Stage Reached]],"Lead",1,"MQL",2,"SQL",3,"Customer",4)</f>
        <v>1</v>
      </c>
      <c r="L4060" t="str">
        <f>TEXT(LeadsData[[#This Row],[Signup Date]],"mmm-yyyy")</f>
        <v>Aug-2024</v>
      </c>
      <c r="M4060">
        <f>IF(LeadsData[[#This Row],[Stage Number]]&gt;=2,1,0)</f>
        <v>0</v>
      </c>
      <c r="N4060" s="2">
        <f>IF(LeadsData[[#This Row],[Stage Number]]&gt;=3,1,0)</f>
        <v>0</v>
      </c>
      <c r="O4060" s="2">
        <f>IF(LeadsData[[#This Row],[Stage Number]]&gt;=4,1,0)</f>
        <v>0</v>
      </c>
    </row>
    <row r="4061" spans="1:15" x14ac:dyDescent="0.25">
      <c r="A4061" t="s">
        <v>4101</v>
      </c>
      <c r="B4061" s="1">
        <v>45345</v>
      </c>
      <c r="C4061" t="s">
        <v>17</v>
      </c>
      <c r="D4061" t="s">
        <v>18</v>
      </c>
      <c r="E4061" t="s">
        <v>48</v>
      </c>
      <c r="F4061" t="s">
        <v>19</v>
      </c>
      <c r="G4061" t="s">
        <v>23</v>
      </c>
      <c r="K4061" cm="1">
        <f t="array" ref="K4061">_xlfn.SWITCH(LeadsData[[#This Row],[Funnel Stage Reached]],"Lead",1,"MQL",2,"SQL",3,"Customer",4)</f>
        <v>2</v>
      </c>
      <c r="L4061" t="str">
        <f>TEXT(LeadsData[[#This Row],[Signup Date]],"mmm-yyyy")</f>
        <v>Feb-2024</v>
      </c>
      <c r="M4061">
        <f>IF(LeadsData[[#This Row],[Stage Number]]&gt;=2,1,0)</f>
        <v>1</v>
      </c>
      <c r="N4061" s="2">
        <f>IF(LeadsData[[#This Row],[Stage Number]]&gt;=3,1,0)</f>
        <v>0</v>
      </c>
      <c r="O4061" s="2">
        <f>IF(LeadsData[[#This Row],[Stage Number]]&gt;=4,1,0)</f>
        <v>0</v>
      </c>
    </row>
    <row r="4062" spans="1:15" x14ac:dyDescent="0.25">
      <c r="A4062" t="s">
        <v>4102</v>
      </c>
      <c r="B4062" s="1">
        <v>45383</v>
      </c>
      <c r="C4062" t="s">
        <v>25</v>
      </c>
      <c r="D4062" t="s">
        <v>26</v>
      </c>
      <c r="E4062" t="s">
        <v>48</v>
      </c>
      <c r="F4062" t="s">
        <v>22</v>
      </c>
      <c r="G4062" t="s">
        <v>15</v>
      </c>
      <c r="K4062" cm="1">
        <f t="array" ref="K4062">_xlfn.SWITCH(LeadsData[[#This Row],[Funnel Stage Reached]],"Lead",1,"MQL",2,"SQL",3,"Customer",4)</f>
        <v>1</v>
      </c>
      <c r="L4062" t="str">
        <f>TEXT(LeadsData[[#This Row],[Signup Date]],"mmm-yyyy")</f>
        <v>Apr-2024</v>
      </c>
      <c r="M4062">
        <f>IF(LeadsData[[#This Row],[Stage Number]]&gt;=2,1,0)</f>
        <v>0</v>
      </c>
      <c r="N4062" s="2">
        <f>IF(LeadsData[[#This Row],[Stage Number]]&gt;=3,1,0)</f>
        <v>0</v>
      </c>
      <c r="O4062" s="2">
        <f>IF(LeadsData[[#This Row],[Stage Number]]&gt;=4,1,0)</f>
        <v>0</v>
      </c>
    </row>
    <row r="4063" spans="1:15" x14ac:dyDescent="0.25">
      <c r="A4063" t="s">
        <v>4103</v>
      </c>
      <c r="B4063" s="1">
        <v>45369</v>
      </c>
      <c r="C4063" t="s">
        <v>31</v>
      </c>
      <c r="D4063" t="s">
        <v>34</v>
      </c>
      <c r="E4063" t="s">
        <v>48</v>
      </c>
      <c r="F4063" t="s">
        <v>22</v>
      </c>
      <c r="G4063" t="s">
        <v>23</v>
      </c>
      <c r="K4063" cm="1">
        <f t="array" ref="K4063">_xlfn.SWITCH(LeadsData[[#This Row],[Funnel Stage Reached]],"Lead",1,"MQL",2,"SQL",3,"Customer",4)</f>
        <v>2</v>
      </c>
      <c r="L4063" t="str">
        <f>TEXT(LeadsData[[#This Row],[Signup Date]],"mmm-yyyy")</f>
        <v>Mar-2024</v>
      </c>
      <c r="M4063">
        <f>IF(LeadsData[[#This Row],[Stage Number]]&gt;=2,1,0)</f>
        <v>1</v>
      </c>
      <c r="N4063" s="2">
        <f>IF(LeadsData[[#This Row],[Stage Number]]&gt;=3,1,0)</f>
        <v>0</v>
      </c>
      <c r="O4063" s="2">
        <f>IF(LeadsData[[#This Row],[Stage Number]]&gt;=4,1,0)</f>
        <v>0</v>
      </c>
    </row>
    <row r="4064" spans="1:15" x14ac:dyDescent="0.25">
      <c r="A4064" t="s">
        <v>4104</v>
      </c>
      <c r="B4064" s="1">
        <v>45616</v>
      </c>
      <c r="C4064" t="s">
        <v>31</v>
      </c>
      <c r="D4064" t="s">
        <v>32</v>
      </c>
      <c r="E4064" t="s">
        <v>13</v>
      </c>
      <c r="F4064" t="s">
        <v>19</v>
      </c>
      <c r="G4064" t="s">
        <v>29</v>
      </c>
      <c r="K4064" cm="1">
        <f t="array" ref="K4064">_xlfn.SWITCH(LeadsData[[#This Row],[Funnel Stage Reached]],"Lead",1,"MQL",2,"SQL",3,"Customer",4)</f>
        <v>3</v>
      </c>
      <c r="L4064" t="str">
        <f>TEXT(LeadsData[[#This Row],[Signup Date]],"mmm-yyyy")</f>
        <v>Nov-2024</v>
      </c>
      <c r="M4064">
        <f>IF(LeadsData[[#This Row],[Stage Number]]&gt;=2,1,0)</f>
        <v>1</v>
      </c>
      <c r="N4064" s="2">
        <f>IF(LeadsData[[#This Row],[Stage Number]]&gt;=3,1,0)</f>
        <v>1</v>
      </c>
      <c r="O4064" s="2">
        <f>IF(LeadsData[[#This Row],[Stage Number]]&gt;=4,1,0)</f>
        <v>0</v>
      </c>
    </row>
    <row r="4065" spans="1:15" x14ac:dyDescent="0.25">
      <c r="A4065" t="s">
        <v>4105</v>
      </c>
      <c r="B4065" s="1">
        <v>45319</v>
      </c>
      <c r="C4065" t="s">
        <v>31</v>
      </c>
      <c r="D4065" t="s">
        <v>34</v>
      </c>
      <c r="E4065" t="s">
        <v>21</v>
      </c>
      <c r="F4065" t="s">
        <v>19</v>
      </c>
      <c r="G4065" t="s">
        <v>29</v>
      </c>
      <c r="K4065" cm="1">
        <f t="array" ref="K4065">_xlfn.SWITCH(LeadsData[[#This Row],[Funnel Stage Reached]],"Lead",1,"MQL",2,"SQL",3,"Customer",4)</f>
        <v>3</v>
      </c>
      <c r="L4065" t="str">
        <f>TEXT(LeadsData[[#This Row],[Signup Date]],"mmm-yyyy")</f>
        <v>Jan-2024</v>
      </c>
      <c r="M4065">
        <f>IF(LeadsData[[#This Row],[Stage Number]]&gt;=2,1,0)</f>
        <v>1</v>
      </c>
      <c r="N4065" s="2">
        <f>IF(LeadsData[[#This Row],[Stage Number]]&gt;=3,1,0)</f>
        <v>1</v>
      </c>
      <c r="O4065" s="2">
        <f>IF(LeadsData[[#This Row],[Stage Number]]&gt;=4,1,0)</f>
        <v>0</v>
      </c>
    </row>
    <row r="4066" spans="1:15" x14ac:dyDescent="0.25">
      <c r="A4066" t="s">
        <v>4106</v>
      </c>
      <c r="B4066" s="1">
        <v>45348</v>
      </c>
      <c r="C4066" t="s">
        <v>17</v>
      </c>
      <c r="D4066" t="s">
        <v>53</v>
      </c>
      <c r="E4066" t="s">
        <v>21</v>
      </c>
      <c r="F4066" t="s">
        <v>22</v>
      </c>
      <c r="G4066" t="s">
        <v>15</v>
      </c>
      <c r="K4066" cm="1">
        <f t="array" ref="K4066">_xlfn.SWITCH(LeadsData[[#This Row],[Funnel Stage Reached]],"Lead",1,"MQL",2,"SQL",3,"Customer",4)</f>
        <v>1</v>
      </c>
      <c r="L4066" t="str">
        <f>TEXT(LeadsData[[#This Row],[Signup Date]],"mmm-yyyy")</f>
        <v>Feb-2024</v>
      </c>
      <c r="M4066">
        <f>IF(LeadsData[[#This Row],[Stage Number]]&gt;=2,1,0)</f>
        <v>0</v>
      </c>
      <c r="N4066" s="2">
        <f>IF(LeadsData[[#This Row],[Stage Number]]&gt;=3,1,0)</f>
        <v>0</v>
      </c>
      <c r="O4066" s="2">
        <f>IF(LeadsData[[#This Row],[Stage Number]]&gt;=4,1,0)</f>
        <v>0</v>
      </c>
    </row>
    <row r="4067" spans="1:15" x14ac:dyDescent="0.25">
      <c r="A4067" t="s">
        <v>4107</v>
      </c>
      <c r="B4067" s="1">
        <v>45574</v>
      </c>
      <c r="C4067" t="s">
        <v>25</v>
      </c>
      <c r="D4067" t="s">
        <v>26</v>
      </c>
      <c r="E4067" t="s">
        <v>21</v>
      </c>
      <c r="F4067" t="s">
        <v>19</v>
      </c>
      <c r="G4067" t="s">
        <v>15</v>
      </c>
      <c r="K4067" cm="1">
        <f t="array" ref="K4067">_xlfn.SWITCH(LeadsData[[#This Row],[Funnel Stage Reached]],"Lead",1,"MQL",2,"SQL",3,"Customer",4)</f>
        <v>1</v>
      </c>
      <c r="L4067" t="str">
        <f>TEXT(LeadsData[[#This Row],[Signup Date]],"mmm-yyyy")</f>
        <v>Oct-2024</v>
      </c>
      <c r="M4067">
        <f>IF(LeadsData[[#This Row],[Stage Number]]&gt;=2,1,0)</f>
        <v>0</v>
      </c>
      <c r="N4067" s="2">
        <f>IF(LeadsData[[#This Row],[Stage Number]]&gt;=3,1,0)</f>
        <v>0</v>
      </c>
      <c r="O4067" s="2">
        <f>IF(LeadsData[[#This Row],[Stage Number]]&gt;=4,1,0)</f>
        <v>0</v>
      </c>
    </row>
    <row r="4068" spans="1:15" x14ac:dyDescent="0.25">
      <c r="A4068" t="s">
        <v>4108</v>
      </c>
      <c r="B4068" s="1">
        <v>45518</v>
      </c>
      <c r="C4068" t="s">
        <v>11</v>
      </c>
      <c r="D4068" t="s">
        <v>79</v>
      </c>
      <c r="E4068" t="s">
        <v>13</v>
      </c>
      <c r="F4068" t="s">
        <v>14</v>
      </c>
      <c r="G4068" t="s">
        <v>23</v>
      </c>
      <c r="K4068" cm="1">
        <f t="array" ref="K4068">_xlfn.SWITCH(LeadsData[[#This Row],[Funnel Stage Reached]],"Lead",1,"MQL",2,"SQL",3,"Customer",4)</f>
        <v>2</v>
      </c>
      <c r="L4068" t="str">
        <f>TEXT(LeadsData[[#This Row],[Signup Date]],"mmm-yyyy")</f>
        <v>Aug-2024</v>
      </c>
      <c r="M4068">
        <f>IF(LeadsData[[#This Row],[Stage Number]]&gt;=2,1,0)</f>
        <v>1</v>
      </c>
      <c r="N4068" s="2">
        <f>IF(LeadsData[[#This Row],[Stage Number]]&gt;=3,1,0)</f>
        <v>0</v>
      </c>
      <c r="O4068" s="2">
        <f>IF(LeadsData[[#This Row],[Stage Number]]&gt;=4,1,0)</f>
        <v>0</v>
      </c>
    </row>
    <row r="4069" spans="1:15" x14ac:dyDescent="0.25">
      <c r="A4069" t="s">
        <v>4109</v>
      </c>
      <c r="B4069" s="1">
        <v>45342</v>
      </c>
      <c r="C4069" t="s">
        <v>17</v>
      </c>
      <c r="D4069" t="s">
        <v>18</v>
      </c>
      <c r="E4069" t="s">
        <v>13</v>
      </c>
      <c r="F4069" t="s">
        <v>28</v>
      </c>
      <c r="G4069" t="s">
        <v>15</v>
      </c>
      <c r="K4069" cm="1">
        <f t="array" ref="K4069">_xlfn.SWITCH(LeadsData[[#This Row],[Funnel Stage Reached]],"Lead",1,"MQL",2,"SQL",3,"Customer",4)</f>
        <v>1</v>
      </c>
      <c r="L4069" t="str">
        <f>TEXT(LeadsData[[#This Row],[Signup Date]],"mmm-yyyy")</f>
        <v>Feb-2024</v>
      </c>
      <c r="M4069">
        <f>IF(LeadsData[[#This Row],[Stage Number]]&gt;=2,1,0)</f>
        <v>0</v>
      </c>
      <c r="N4069" s="2">
        <f>IF(LeadsData[[#This Row],[Stage Number]]&gt;=3,1,0)</f>
        <v>0</v>
      </c>
      <c r="O4069" s="2">
        <f>IF(LeadsData[[#This Row],[Stage Number]]&gt;=4,1,0)</f>
        <v>0</v>
      </c>
    </row>
    <row r="4070" spans="1:15" x14ac:dyDescent="0.25">
      <c r="A4070" t="s">
        <v>4110</v>
      </c>
      <c r="B4070" s="1">
        <v>45311</v>
      </c>
      <c r="C4070" t="s">
        <v>25</v>
      </c>
      <c r="D4070" t="s">
        <v>26</v>
      </c>
      <c r="E4070" t="s">
        <v>21</v>
      </c>
      <c r="F4070" t="s">
        <v>22</v>
      </c>
      <c r="G4070" t="s">
        <v>23</v>
      </c>
      <c r="K4070" cm="1">
        <f t="array" ref="K4070">_xlfn.SWITCH(LeadsData[[#This Row],[Funnel Stage Reached]],"Lead",1,"MQL",2,"SQL",3,"Customer",4)</f>
        <v>2</v>
      </c>
      <c r="L4070" t="str">
        <f>TEXT(LeadsData[[#This Row],[Signup Date]],"mmm-yyyy")</f>
        <v>Jan-2024</v>
      </c>
      <c r="M4070">
        <f>IF(LeadsData[[#This Row],[Stage Number]]&gt;=2,1,0)</f>
        <v>1</v>
      </c>
      <c r="N4070" s="2">
        <f>IF(LeadsData[[#This Row],[Stage Number]]&gt;=3,1,0)</f>
        <v>0</v>
      </c>
      <c r="O4070" s="2">
        <f>IF(LeadsData[[#This Row],[Stage Number]]&gt;=4,1,0)</f>
        <v>0</v>
      </c>
    </row>
    <row r="4071" spans="1:15" x14ac:dyDescent="0.25">
      <c r="A4071" t="s">
        <v>4111</v>
      </c>
      <c r="B4071" s="1">
        <v>45399</v>
      </c>
      <c r="C4071" t="s">
        <v>36</v>
      </c>
      <c r="D4071" t="s">
        <v>37</v>
      </c>
      <c r="E4071" t="s">
        <v>13</v>
      </c>
      <c r="F4071" t="s">
        <v>19</v>
      </c>
      <c r="G4071" t="s">
        <v>15</v>
      </c>
      <c r="K4071" cm="1">
        <f t="array" ref="K4071">_xlfn.SWITCH(LeadsData[[#This Row],[Funnel Stage Reached]],"Lead",1,"MQL",2,"SQL",3,"Customer",4)</f>
        <v>1</v>
      </c>
      <c r="L4071" t="str">
        <f>TEXT(LeadsData[[#This Row],[Signup Date]],"mmm-yyyy")</f>
        <v>Apr-2024</v>
      </c>
      <c r="M4071">
        <f>IF(LeadsData[[#This Row],[Stage Number]]&gt;=2,1,0)</f>
        <v>0</v>
      </c>
      <c r="N4071" s="2">
        <f>IF(LeadsData[[#This Row],[Stage Number]]&gt;=3,1,0)</f>
        <v>0</v>
      </c>
      <c r="O4071" s="2">
        <f>IF(LeadsData[[#This Row],[Stage Number]]&gt;=4,1,0)</f>
        <v>0</v>
      </c>
    </row>
    <row r="4072" spans="1:15" x14ac:dyDescent="0.25">
      <c r="A4072" t="s">
        <v>4112</v>
      </c>
      <c r="B4072" s="1">
        <v>45477</v>
      </c>
      <c r="C4072" t="s">
        <v>11</v>
      </c>
      <c r="D4072" t="s">
        <v>12</v>
      </c>
      <c r="E4072" t="s">
        <v>21</v>
      </c>
      <c r="F4072" t="s">
        <v>22</v>
      </c>
      <c r="G4072" t="s">
        <v>23</v>
      </c>
      <c r="K4072" cm="1">
        <f t="array" ref="K4072">_xlfn.SWITCH(LeadsData[[#This Row],[Funnel Stage Reached]],"Lead",1,"MQL",2,"SQL",3,"Customer",4)</f>
        <v>2</v>
      </c>
      <c r="L4072" t="str">
        <f>TEXT(LeadsData[[#This Row],[Signup Date]],"mmm-yyyy")</f>
        <v>Jul-2024</v>
      </c>
      <c r="M4072">
        <f>IF(LeadsData[[#This Row],[Stage Number]]&gt;=2,1,0)</f>
        <v>1</v>
      </c>
      <c r="N4072" s="2">
        <f>IF(LeadsData[[#This Row],[Stage Number]]&gt;=3,1,0)</f>
        <v>0</v>
      </c>
      <c r="O4072" s="2">
        <f>IF(LeadsData[[#This Row],[Stage Number]]&gt;=4,1,0)</f>
        <v>0</v>
      </c>
    </row>
    <row r="4073" spans="1:15" x14ac:dyDescent="0.25">
      <c r="A4073" t="s">
        <v>4113</v>
      </c>
      <c r="B4073" s="1">
        <v>45295</v>
      </c>
      <c r="C4073" t="s">
        <v>17</v>
      </c>
      <c r="D4073" t="s">
        <v>18</v>
      </c>
      <c r="E4073" t="s">
        <v>13</v>
      </c>
      <c r="F4073" t="s">
        <v>19</v>
      </c>
      <c r="G4073" t="s">
        <v>23</v>
      </c>
      <c r="K4073" cm="1">
        <f t="array" ref="K4073">_xlfn.SWITCH(LeadsData[[#This Row],[Funnel Stage Reached]],"Lead",1,"MQL",2,"SQL",3,"Customer",4)</f>
        <v>2</v>
      </c>
      <c r="L4073" t="str">
        <f>TEXT(LeadsData[[#This Row],[Signup Date]],"mmm-yyyy")</f>
        <v>Jan-2024</v>
      </c>
      <c r="M4073">
        <f>IF(LeadsData[[#This Row],[Stage Number]]&gt;=2,1,0)</f>
        <v>1</v>
      </c>
      <c r="N4073" s="2">
        <f>IF(LeadsData[[#This Row],[Stage Number]]&gt;=3,1,0)</f>
        <v>0</v>
      </c>
      <c r="O4073" s="2">
        <f>IF(LeadsData[[#This Row],[Stage Number]]&gt;=4,1,0)</f>
        <v>0</v>
      </c>
    </row>
    <row r="4074" spans="1:15" x14ac:dyDescent="0.25">
      <c r="A4074" t="s">
        <v>4114</v>
      </c>
      <c r="B4074" s="1">
        <v>45549</v>
      </c>
      <c r="C4074" t="s">
        <v>46</v>
      </c>
      <c r="D4074" t="s">
        <v>56</v>
      </c>
      <c r="E4074" t="s">
        <v>48</v>
      </c>
      <c r="F4074" t="s">
        <v>22</v>
      </c>
      <c r="G4074" t="s">
        <v>23</v>
      </c>
      <c r="K4074" cm="1">
        <f t="array" ref="K4074">_xlfn.SWITCH(LeadsData[[#This Row],[Funnel Stage Reached]],"Lead",1,"MQL",2,"SQL",3,"Customer",4)</f>
        <v>2</v>
      </c>
      <c r="L4074" t="str">
        <f>TEXT(LeadsData[[#This Row],[Signup Date]],"mmm-yyyy")</f>
        <v>Sep-2024</v>
      </c>
      <c r="M4074">
        <f>IF(LeadsData[[#This Row],[Stage Number]]&gt;=2,1,0)</f>
        <v>1</v>
      </c>
      <c r="N4074" s="2">
        <f>IF(LeadsData[[#This Row],[Stage Number]]&gt;=3,1,0)</f>
        <v>0</v>
      </c>
      <c r="O4074" s="2">
        <f>IF(LeadsData[[#This Row],[Stage Number]]&gt;=4,1,0)</f>
        <v>0</v>
      </c>
    </row>
    <row r="4075" spans="1:15" x14ac:dyDescent="0.25">
      <c r="A4075" t="s">
        <v>4115</v>
      </c>
      <c r="B4075" s="1">
        <v>45545</v>
      </c>
      <c r="C4075" t="s">
        <v>11</v>
      </c>
      <c r="D4075" t="s">
        <v>12</v>
      </c>
      <c r="E4075" t="s">
        <v>13</v>
      </c>
      <c r="F4075" t="s">
        <v>28</v>
      </c>
      <c r="G4075" t="s">
        <v>15</v>
      </c>
      <c r="K4075" cm="1">
        <f t="array" ref="K4075">_xlfn.SWITCH(LeadsData[[#This Row],[Funnel Stage Reached]],"Lead",1,"MQL",2,"SQL",3,"Customer",4)</f>
        <v>1</v>
      </c>
      <c r="L4075" t="str">
        <f>TEXT(LeadsData[[#This Row],[Signup Date]],"mmm-yyyy")</f>
        <v>Sep-2024</v>
      </c>
      <c r="M4075">
        <f>IF(LeadsData[[#This Row],[Stage Number]]&gt;=2,1,0)</f>
        <v>0</v>
      </c>
      <c r="N4075" s="2">
        <f>IF(LeadsData[[#This Row],[Stage Number]]&gt;=3,1,0)</f>
        <v>0</v>
      </c>
      <c r="O4075" s="2">
        <f>IF(LeadsData[[#This Row],[Stage Number]]&gt;=4,1,0)</f>
        <v>0</v>
      </c>
    </row>
    <row r="4076" spans="1:15" x14ac:dyDescent="0.25">
      <c r="A4076" t="s">
        <v>4116</v>
      </c>
      <c r="B4076" s="1">
        <v>45638</v>
      </c>
      <c r="C4076" t="s">
        <v>31</v>
      </c>
      <c r="D4076" t="s">
        <v>34</v>
      </c>
      <c r="E4076" t="s">
        <v>48</v>
      </c>
      <c r="F4076" t="s">
        <v>19</v>
      </c>
      <c r="G4076" t="s">
        <v>29</v>
      </c>
      <c r="K4076" cm="1">
        <f t="array" ref="K4076">_xlfn.SWITCH(LeadsData[[#This Row],[Funnel Stage Reached]],"Lead",1,"MQL",2,"SQL",3,"Customer",4)</f>
        <v>3</v>
      </c>
      <c r="L4076" t="str">
        <f>TEXT(LeadsData[[#This Row],[Signup Date]],"mmm-yyyy")</f>
        <v>Dec-2024</v>
      </c>
      <c r="M4076">
        <f>IF(LeadsData[[#This Row],[Stage Number]]&gt;=2,1,0)</f>
        <v>1</v>
      </c>
      <c r="N4076" s="2">
        <f>IF(LeadsData[[#This Row],[Stage Number]]&gt;=3,1,0)</f>
        <v>1</v>
      </c>
      <c r="O4076" s="2">
        <f>IF(LeadsData[[#This Row],[Stage Number]]&gt;=4,1,0)</f>
        <v>0</v>
      </c>
    </row>
    <row r="4077" spans="1:15" x14ac:dyDescent="0.25">
      <c r="A4077" t="s">
        <v>4117</v>
      </c>
      <c r="B4077" s="1">
        <v>45633</v>
      </c>
      <c r="C4077" t="s">
        <v>31</v>
      </c>
      <c r="D4077" t="s">
        <v>34</v>
      </c>
      <c r="E4077" t="s">
        <v>13</v>
      </c>
      <c r="F4077" t="s">
        <v>22</v>
      </c>
      <c r="G4077" t="s">
        <v>23</v>
      </c>
      <c r="K4077" cm="1">
        <f t="array" ref="K4077">_xlfn.SWITCH(LeadsData[[#This Row],[Funnel Stage Reached]],"Lead",1,"MQL",2,"SQL",3,"Customer",4)</f>
        <v>2</v>
      </c>
      <c r="L4077" t="str">
        <f>TEXT(LeadsData[[#This Row],[Signup Date]],"mmm-yyyy")</f>
        <v>Dec-2024</v>
      </c>
      <c r="M4077">
        <f>IF(LeadsData[[#This Row],[Stage Number]]&gt;=2,1,0)</f>
        <v>1</v>
      </c>
      <c r="N4077" s="2">
        <f>IF(LeadsData[[#This Row],[Stage Number]]&gt;=3,1,0)</f>
        <v>0</v>
      </c>
      <c r="O4077" s="2">
        <f>IF(LeadsData[[#This Row],[Stage Number]]&gt;=4,1,0)</f>
        <v>0</v>
      </c>
    </row>
    <row r="4078" spans="1:15" x14ac:dyDescent="0.25">
      <c r="A4078" t="s">
        <v>4118</v>
      </c>
      <c r="B4078" s="1">
        <v>45432</v>
      </c>
      <c r="C4078" t="s">
        <v>46</v>
      </c>
      <c r="D4078" t="s">
        <v>56</v>
      </c>
      <c r="E4078" t="s">
        <v>21</v>
      </c>
      <c r="F4078" t="s">
        <v>14</v>
      </c>
      <c r="G4078" t="s">
        <v>23</v>
      </c>
      <c r="K4078" cm="1">
        <f t="array" ref="K4078">_xlfn.SWITCH(LeadsData[[#This Row],[Funnel Stage Reached]],"Lead",1,"MQL",2,"SQL",3,"Customer",4)</f>
        <v>2</v>
      </c>
      <c r="L4078" t="str">
        <f>TEXT(LeadsData[[#This Row],[Signup Date]],"mmm-yyyy")</f>
        <v>May-2024</v>
      </c>
      <c r="M4078">
        <f>IF(LeadsData[[#This Row],[Stage Number]]&gt;=2,1,0)</f>
        <v>1</v>
      </c>
      <c r="N4078" s="2">
        <f>IF(LeadsData[[#This Row],[Stage Number]]&gt;=3,1,0)</f>
        <v>0</v>
      </c>
      <c r="O4078" s="2">
        <f>IF(LeadsData[[#This Row],[Stage Number]]&gt;=4,1,0)</f>
        <v>0</v>
      </c>
    </row>
    <row r="4079" spans="1:15" x14ac:dyDescent="0.25">
      <c r="A4079" t="s">
        <v>4119</v>
      </c>
      <c r="B4079" s="1">
        <v>45405</v>
      </c>
      <c r="C4079" t="s">
        <v>46</v>
      </c>
      <c r="D4079" t="s">
        <v>56</v>
      </c>
      <c r="E4079" t="s">
        <v>13</v>
      </c>
      <c r="F4079" t="s">
        <v>28</v>
      </c>
      <c r="G4079" t="s">
        <v>15</v>
      </c>
      <c r="K4079" cm="1">
        <f t="array" ref="K4079">_xlfn.SWITCH(LeadsData[[#This Row],[Funnel Stage Reached]],"Lead",1,"MQL",2,"SQL",3,"Customer",4)</f>
        <v>1</v>
      </c>
      <c r="L4079" t="str">
        <f>TEXT(LeadsData[[#This Row],[Signup Date]],"mmm-yyyy")</f>
        <v>Apr-2024</v>
      </c>
      <c r="M4079">
        <f>IF(LeadsData[[#This Row],[Stage Number]]&gt;=2,1,0)</f>
        <v>0</v>
      </c>
      <c r="N4079" s="2">
        <f>IF(LeadsData[[#This Row],[Stage Number]]&gt;=3,1,0)</f>
        <v>0</v>
      </c>
      <c r="O4079" s="2">
        <f>IF(LeadsData[[#This Row],[Stage Number]]&gt;=4,1,0)</f>
        <v>0</v>
      </c>
    </row>
    <row r="4080" spans="1:15" x14ac:dyDescent="0.25">
      <c r="A4080" t="s">
        <v>4120</v>
      </c>
      <c r="B4080" s="1">
        <v>45505</v>
      </c>
      <c r="C4080" t="s">
        <v>17</v>
      </c>
      <c r="D4080" t="s">
        <v>53</v>
      </c>
      <c r="E4080" t="s">
        <v>21</v>
      </c>
      <c r="F4080" t="s">
        <v>14</v>
      </c>
      <c r="G4080" t="s">
        <v>15</v>
      </c>
      <c r="K4080" cm="1">
        <f t="array" ref="K4080">_xlfn.SWITCH(LeadsData[[#This Row],[Funnel Stage Reached]],"Lead",1,"MQL",2,"SQL",3,"Customer",4)</f>
        <v>1</v>
      </c>
      <c r="L4080" t="str">
        <f>TEXT(LeadsData[[#This Row],[Signup Date]],"mmm-yyyy")</f>
        <v>Aug-2024</v>
      </c>
      <c r="M4080">
        <f>IF(LeadsData[[#This Row],[Stage Number]]&gt;=2,1,0)</f>
        <v>0</v>
      </c>
      <c r="N4080" s="2">
        <f>IF(LeadsData[[#This Row],[Stage Number]]&gt;=3,1,0)</f>
        <v>0</v>
      </c>
      <c r="O4080" s="2">
        <f>IF(LeadsData[[#This Row],[Stage Number]]&gt;=4,1,0)</f>
        <v>0</v>
      </c>
    </row>
    <row r="4081" spans="1:15" x14ac:dyDescent="0.25">
      <c r="A4081" t="s">
        <v>4121</v>
      </c>
      <c r="B4081" s="1">
        <v>45325</v>
      </c>
      <c r="C4081" t="s">
        <v>36</v>
      </c>
      <c r="D4081" t="s">
        <v>50</v>
      </c>
      <c r="E4081" t="s">
        <v>21</v>
      </c>
      <c r="F4081" t="s">
        <v>19</v>
      </c>
      <c r="G4081" t="s">
        <v>29</v>
      </c>
      <c r="K4081" cm="1">
        <f t="array" ref="K4081">_xlfn.SWITCH(LeadsData[[#This Row],[Funnel Stage Reached]],"Lead",1,"MQL",2,"SQL",3,"Customer",4)</f>
        <v>3</v>
      </c>
      <c r="L4081" t="str">
        <f>TEXT(LeadsData[[#This Row],[Signup Date]],"mmm-yyyy")</f>
        <v>Feb-2024</v>
      </c>
      <c r="M4081">
        <f>IF(LeadsData[[#This Row],[Stage Number]]&gt;=2,1,0)</f>
        <v>1</v>
      </c>
      <c r="N4081" s="2">
        <f>IF(LeadsData[[#This Row],[Stage Number]]&gt;=3,1,0)</f>
        <v>1</v>
      </c>
      <c r="O4081" s="2">
        <f>IF(LeadsData[[#This Row],[Stage Number]]&gt;=4,1,0)</f>
        <v>0</v>
      </c>
    </row>
    <row r="4082" spans="1:15" x14ac:dyDescent="0.25">
      <c r="A4082" t="s">
        <v>4122</v>
      </c>
      <c r="B4082" s="1">
        <v>45578</v>
      </c>
      <c r="C4082" t="s">
        <v>46</v>
      </c>
      <c r="D4082" t="s">
        <v>56</v>
      </c>
      <c r="E4082" t="s">
        <v>21</v>
      </c>
      <c r="F4082" t="s">
        <v>19</v>
      </c>
      <c r="G4082" t="s">
        <v>15</v>
      </c>
      <c r="K4082" cm="1">
        <f t="array" ref="K4082">_xlfn.SWITCH(LeadsData[[#This Row],[Funnel Stage Reached]],"Lead",1,"MQL",2,"SQL",3,"Customer",4)</f>
        <v>1</v>
      </c>
      <c r="L4082" t="str">
        <f>TEXT(LeadsData[[#This Row],[Signup Date]],"mmm-yyyy")</f>
        <v>Oct-2024</v>
      </c>
      <c r="M4082">
        <f>IF(LeadsData[[#This Row],[Stage Number]]&gt;=2,1,0)</f>
        <v>0</v>
      </c>
      <c r="N4082" s="2">
        <f>IF(LeadsData[[#This Row],[Stage Number]]&gt;=3,1,0)</f>
        <v>0</v>
      </c>
      <c r="O4082" s="2">
        <f>IF(LeadsData[[#This Row],[Stage Number]]&gt;=4,1,0)</f>
        <v>0</v>
      </c>
    </row>
    <row r="4083" spans="1:15" x14ac:dyDescent="0.25">
      <c r="A4083" t="s">
        <v>4123</v>
      </c>
      <c r="B4083" s="1">
        <v>45518</v>
      </c>
      <c r="C4083" t="s">
        <v>17</v>
      </c>
      <c r="D4083" t="s">
        <v>18</v>
      </c>
      <c r="E4083" t="s">
        <v>21</v>
      </c>
      <c r="F4083" t="s">
        <v>22</v>
      </c>
      <c r="G4083" t="s">
        <v>15</v>
      </c>
      <c r="K4083" cm="1">
        <f t="array" ref="K4083">_xlfn.SWITCH(LeadsData[[#This Row],[Funnel Stage Reached]],"Lead",1,"MQL",2,"SQL",3,"Customer",4)</f>
        <v>1</v>
      </c>
      <c r="L4083" t="str">
        <f>TEXT(LeadsData[[#This Row],[Signup Date]],"mmm-yyyy")</f>
        <v>Aug-2024</v>
      </c>
      <c r="M4083">
        <f>IF(LeadsData[[#This Row],[Stage Number]]&gt;=2,1,0)</f>
        <v>0</v>
      </c>
      <c r="N4083" s="2">
        <f>IF(LeadsData[[#This Row],[Stage Number]]&gt;=3,1,0)</f>
        <v>0</v>
      </c>
      <c r="O4083" s="2">
        <f>IF(LeadsData[[#This Row],[Stage Number]]&gt;=4,1,0)</f>
        <v>0</v>
      </c>
    </row>
    <row r="4084" spans="1:15" x14ac:dyDescent="0.25">
      <c r="A4084" t="s">
        <v>4124</v>
      </c>
      <c r="B4084" s="1">
        <v>45603</v>
      </c>
      <c r="C4084" t="s">
        <v>46</v>
      </c>
      <c r="D4084" t="s">
        <v>56</v>
      </c>
      <c r="E4084" t="s">
        <v>13</v>
      </c>
      <c r="F4084" t="s">
        <v>22</v>
      </c>
      <c r="G4084" t="s">
        <v>15</v>
      </c>
      <c r="K4084" cm="1">
        <f t="array" ref="K4084">_xlfn.SWITCH(LeadsData[[#This Row],[Funnel Stage Reached]],"Lead",1,"MQL",2,"SQL",3,"Customer",4)</f>
        <v>1</v>
      </c>
      <c r="L4084" t="str">
        <f>TEXT(LeadsData[[#This Row],[Signup Date]],"mmm-yyyy")</f>
        <v>Nov-2024</v>
      </c>
      <c r="M4084">
        <f>IF(LeadsData[[#This Row],[Stage Number]]&gt;=2,1,0)</f>
        <v>0</v>
      </c>
      <c r="N4084" s="2">
        <f>IF(LeadsData[[#This Row],[Stage Number]]&gt;=3,1,0)</f>
        <v>0</v>
      </c>
      <c r="O4084" s="2">
        <f>IF(LeadsData[[#This Row],[Stage Number]]&gt;=4,1,0)</f>
        <v>0</v>
      </c>
    </row>
    <row r="4085" spans="1:15" x14ac:dyDescent="0.25">
      <c r="A4085" t="s">
        <v>4125</v>
      </c>
      <c r="B4085" s="1">
        <v>45603</v>
      </c>
      <c r="C4085" t="s">
        <v>25</v>
      </c>
      <c r="D4085" t="s">
        <v>26</v>
      </c>
      <c r="E4085" t="s">
        <v>13</v>
      </c>
      <c r="F4085" t="s">
        <v>14</v>
      </c>
      <c r="G4085" t="s">
        <v>23</v>
      </c>
      <c r="K4085" cm="1">
        <f t="array" ref="K4085">_xlfn.SWITCH(LeadsData[[#This Row],[Funnel Stage Reached]],"Lead",1,"MQL",2,"SQL",3,"Customer",4)</f>
        <v>2</v>
      </c>
      <c r="L4085" t="str">
        <f>TEXT(LeadsData[[#This Row],[Signup Date]],"mmm-yyyy")</f>
        <v>Nov-2024</v>
      </c>
      <c r="M4085">
        <f>IF(LeadsData[[#This Row],[Stage Number]]&gt;=2,1,0)</f>
        <v>1</v>
      </c>
      <c r="N4085" s="2">
        <f>IF(LeadsData[[#This Row],[Stage Number]]&gt;=3,1,0)</f>
        <v>0</v>
      </c>
      <c r="O4085" s="2">
        <f>IF(LeadsData[[#This Row],[Stage Number]]&gt;=4,1,0)</f>
        <v>0</v>
      </c>
    </row>
    <row r="4086" spans="1:15" x14ac:dyDescent="0.25">
      <c r="A4086" t="s">
        <v>4126</v>
      </c>
      <c r="B4086" s="1">
        <v>45384</v>
      </c>
      <c r="C4086" t="s">
        <v>46</v>
      </c>
      <c r="D4086" t="s">
        <v>47</v>
      </c>
      <c r="E4086" t="s">
        <v>21</v>
      </c>
      <c r="F4086" t="s">
        <v>22</v>
      </c>
      <c r="G4086" t="s">
        <v>29</v>
      </c>
      <c r="K4086" cm="1">
        <f t="array" ref="K4086">_xlfn.SWITCH(LeadsData[[#This Row],[Funnel Stage Reached]],"Lead",1,"MQL",2,"SQL",3,"Customer",4)</f>
        <v>3</v>
      </c>
      <c r="L4086" t="str">
        <f>TEXT(LeadsData[[#This Row],[Signup Date]],"mmm-yyyy")</f>
        <v>Apr-2024</v>
      </c>
      <c r="M4086">
        <f>IF(LeadsData[[#This Row],[Stage Number]]&gt;=2,1,0)</f>
        <v>1</v>
      </c>
      <c r="N4086" s="2">
        <f>IF(LeadsData[[#This Row],[Stage Number]]&gt;=3,1,0)</f>
        <v>1</v>
      </c>
      <c r="O4086" s="2">
        <f>IF(LeadsData[[#This Row],[Stage Number]]&gt;=4,1,0)</f>
        <v>0</v>
      </c>
    </row>
    <row r="4087" spans="1:15" x14ac:dyDescent="0.25">
      <c r="A4087" t="s">
        <v>4127</v>
      </c>
      <c r="B4087" s="1">
        <v>45371</v>
      </c>
      <c r="C4087" t="s">
        <v>46</v>
      </c>
      <c r="D4087" t="s">
        <v>47</v>
      </c>
      <c r="E4087" t="s">
        <v>13</v>
      </c>
      <c r="F4087" t="s">
        <v>19</v>
      </c>
      <c r="G4087" t="s">
        <v>15</v>
      </c>
      <c r="K4087" cm="1">
        <f t="array" ref="K4087">_xlfn.SWITCH(LeadsData[[#This Row],[Funnel Stage Reached]],"Lead",1,"MQL",2,"SQL",3,"Customer",4)</f>
        <v>1</v>
      </c>
      <c r="L4087" t="str">
        <f>TEXT(LeadsData[[#This Row],[Signup Date]],"mmm-yyyy")</f>
        <v>Mar-2024</v>
      </c>
      <c r="M4087">
        <f>IF(LeadsData[[#This Row],[Stage Number]]&gt;=2,1,0)</f>
        <v>0</v>
      </c>
      <c r="N4087" s="2">
        <f>IF(LeadsData[[#This Row],[Stage Number]]&gt;=3,1,0)</f>
        <v>0</v>
      </c>
      <c r="O4087" s="2">
        <f>IF(LeadsData[[#This Row],[Stage Number]]&gt;=4,1,0)</f>
        <v>0</v>
      </c>
    </row>
    <row r="4088" spans="1:15" x14ac:dyDescent="0.25">
      <c r="A4088" t="s">
        <v>4128</v>
      </c>
      <c r="B4088" s="1">
        <v>45609</v>
      </c>
      <c r="C4088" t="s">
        <v>36</v>
      </c>
      <c r="D4088" t="s">
        <v>50</v>
      </c>
      <c r="E4088" t="s">
        <v>13</v>
      </c>
      <c r="F4088" t="s">
        <v>28</v>
      </c>
      <c r="G4088" t="s">
        <v>15</v>
      </c>
      <c r="K4088" cm="1">
        <f t="array" ref="K4088">_xlfn.SWITCH(LeadsData[[#This Row],[Funnel Stage Reached]],"Lead",1,"MQL",2,"SQL",3,"Customer",4)</f>
        <v>1</v>
      </c>
      <c r="L4088" t="str">
        <f>TEXT(LeadsData[[#This Row],[Signup Date]],"mmm-yyyy")</f>
        <v>Nov-2024</v>
      </c>
      <c r="M4088">
        <f>IF(LeadsData[[#This Row],[Stage Number]]&gt;=2,1,0)</f>
        <v>0</v>
      </c>
      <c r="N4088" s="2">
        <f>IF(LeadsData[[#This Row],[Stage Number]]&gt;=3,1,0)</f>
        <v>0</v>
      </c>
      <c r="O4088" s="2">
        <f>IF(LeadsData[[#This Row],[Stage Number]]&gt;=4,1,0)</f>
        <v>0</v>
      </c>
    </row>
    <row r="4089" spans="1:15" x14ac:dyDescent="0.25">
      <c r="A4089" t="s">
        <v>4129</v>
      </c>
      <c r="B4089" s="1">
        <v>45330</v>
      </c>
      <c r="C4089" t="s">
        <v>46</v>
      </c>
      <c r="D4089" t="s">
        <v>47</v>
      </c>
      <c r="E4089" t="s">
        <v>13</v>
      </c>
      <c r="F4089" t="s">
        <v>22</v>
      </c>
      <c r="G4089" t="s">
        <v>23</v>
      </c>
      <c r="K4089" cm="1">
        <f t="array" ref="K4089">_xlfn.SWITCH(LeadsData[[#This Row],[Funnel Stage Reached]],"Lead",1,"MQL",2,"SQL",3,"Customer",4)</f>
        <v>2</v>
      </c>
      <c r="L4089" t="str">
        <f>TEXT(LeadsData[[#This Row],[Signup Date]],"mmm-yyyy")</f>
        <v>Feb-2024</v>
      </c>
      <c r="M4089">
        <f>IF(LeadsData[[#This Row],[Stage Number]]&gt;=2,1,0)</f>
        <v>1</v>
      </c>
      <c r="N4089" s="2">
        <f>IF(LeadsData[[#This Row],[Stage Number]]&gt;=3,1,0)</f>
        <v>0</v>
      </c>
      <c r="O4089" s="2">
        <f>IF(LeadsData[[#This Row],[Stage Number]]&gt;=4,1,0)</f>
        <v>0</v>
      </c>
    </row>
    <row r="4090" spans="1:15" x14ac:dyDescent="0.25">
      <c r="A4090" t="s">
        <v>4130</v>
      </c>
      <c r="B4090" s="1">
        <v>45301</v>
      </c>
      <c r="C4090" t="s">
        <v>17</v>
      </c>
      <c r="D4090" t="s">
        <v>53</v>
      </c>
      <c r="E4090" t="s">
        <v>13</v>
      </c>
      <c r="F4090" t="s">
        <v>19</v>
      </c>
      <c r="G4090" t="s">
        <v>23</v>
      </c>
      <c r="K4090" cm="1">
        <f t="array" ref="K4090">_xlfn.SWITCH(LeadsData[[#This Row],[Funnel Stage Reached]],"Lead",1,"MQL",2,"SQL",3,"Customer",4)</f>
        <v>2</v>
      </c>
      <c r="L4090" t="str">
        <f>TEXT(LeadsData[[#This Row],[Signup Date]],"mmm-yyyy")</f>
        <v>Jan-2024</v>
      </c>
      <c r="M4090">
        <f>IF(LeadsData[[#This Row],[Stage Number]]&gt;=2,1,0)</f>
        <v>1</v>
      </c>
      <c r="N4090" s="2">
        <f>IF(LeadsData[[#This Row],[Stage Number]]&gt;=3,1,0)</f>
        <v>0</v>
      </c>
      <c r="O4090" s="2">
        <f>IF(LeadsData[[#This Row],[Stage Number]]&gt;=4,1,0)</f>
        <v>0</v>
      </c>
    </row>
    <row r="4091" spans="1:15" x14ac:dyDescent="0.25">
      <c r="A4091" t="s">
        <v>4131</v>
      </c>
      <c r="B4091" s="1">
        <v>45517</v>
      </c>
      <c r="C4091" t="s">
        <v>17</v>
      </c>
      <c r="D4091" t="s">
        <v>18</v>
      </c>
      <c r="E4091" t="s">
        <v>21</v>
      </c>
      <c r="F4091" t="s">
        <v>14</v>
      </c>
      <c r="G4091" t="s">
        <v>15</v>
      </c>
      <c r="K4091" cm="1">
        <f t="array" ref="K4091">_xlfn.SWITCH(LeadsData[[#This Row],[Funnel Stage Reached]],"Lead",1,"MQL",2,"SQL",3,"Customer",4)</f>
        <v>1</v>
      </c>
      <c r="L4091" t="str">
        <f>TEXT(LeadsData[[#This Row],[Signup Date]],"mmm-yyyy")</f>
        <v>Aug-2024</v>
      </c>
      <c r="M4091">
        <f>IF(LeadsData[[#This Row],[Stage Number]]&gt;=2,1,0)</f>
        <v>0</v>
      </c>
      <c r="N4091" s="2">
        <f>IF(LeadsData[[#This Row],[Stage Number]]&gt;=3,1,0)</f>
        <v>0</v>
      </c>
      <c r="O4091" s="2">
        <f>IF(LeadsData[[#This Row],[Stage Number]]&gt;=4,1,0)</f>
        <v>0</v>
      </c>
    </row>
    <row r="4092" spans="1:15" x14ac:dyDescent="0.25">
      <c r="A4092" t="s">
        <v>4132</v>
      </c>
      <c r="B4092" s="1">
        <v>45433</v>
      </c>
      <c r="C4092" t="s">
        <v>36</v>
      </c>
      <c r="D4092" t="s">
        <v>50</v>
      </c>
      <c r="E4092" t="s">
        <v>13</v>
      </c>
      <c r="F4092" t="s">
        <v>19</v>
      </c>
      <c r="G4092" t="s">
        <v>29</v>
      </c>
      <c r="K4092" cm="1">
        <f t="array" ref="K4092">_xlfn.SWITCH(LeadsData[[#This Row],[Funnel Stage Reached]],"Lead",1,"MQL",2,"SQL",3,"Customer",4)</f>
        <v>3</v>
      </c>
      <c r="L4092" t="str">
        <f>TEXT(LeadsData[[#This Row],[Signup Date]],"mmm-yyyy")</f>
        <v>May-2024</v>
      </c>
      <c r="M4092">
        <f>IF(LeadsData[[#This Row],[Stage Number]]&gt;=2,1,0)</f>
        <v>1</v>
      </c>
      <c r="N4092" s="2">
        <f>IF(LeadsData[[#This Row],[Stage Number]]&gt;=3,1,0)</f>
        <v>1</v>
      </c>
      <c r="O4092" s="2">
        <f>IF(LeadsData[[#This Row],[Stage Number]]&gt;=4,1,0)</f>
        <v>0</v>
      </c>
    </row>
    <row r="4093" spans="1:15" x14ac:dyDescent="0.25">
      <c r="A4093" t="s">
        <v>4133</v>
      </c>
      <c r="B4093" s="1">
        <v>45588</v>
      </c>
      <c r="C4093" t="s">
        <v>31</v>
      </c>
      <c r="D4093" t="s">
        <v>34</v>
      </c>
      <c r="E4093" t="s">
        <v>21</v>
      </c>
      <c r="F4093" t="s">
        <v>19</v>
      </c>
      <c r="G4093" t="s">
        <v>29</v>
      </c>
      <c r="K4093" cm="1">
        <f t="array" ref="K4093">_xlfn.SWITCH(LeadsData[[#This Row],[Funnel Stage Reached]],"Lead",1,"MQL",2,"SQL",3,"Customer",4)</f>
        <v>3</v>
      </c>
      <c r="L4093" t="str">
        <f>TEXT(LeadsData[[#This Row],[Signup Date]],"mmm-yyyy")</f>
        <v>Oct-2024</v>
      </c>
      <c r="M4093">
        <f>IF(LeadsData[[#This Row],[Stage Number]]&gt;=2,1,0)</f>
        <v>1</v>
      </c>
      <c r="N4093" s="2">
        <f>IF(LeadsData[[#This Row],[Stage Number]]&gt;=3,1,0)</f>
        <v>1</v>
      </c>
      <c r="O4093" s="2">
        <f>IF(LeadsData[[#This Row],[Stage Number]]&gt;=4,1,0)</f>
        <v>0</v>
      </c>
    </row>
    <row r="4094" spans="1:15" x14ac:dyDescent="0.25">
      <c r="A4094" t="s">
        <v>4134</v>
      </c>
      <c r="B4094" s="1">
        <v>45430</v>
      </c>
      <c r="C4094" t="s">
        <v>46</v>
      </c>
      <c r="D4094" t="s">
        <v>47</v>
      </c>
      <c r="E4094" t="s">
        <v>48</v>
      </c>
      <c r="F4094" t="s">
        <v>19</v>
      </c>
      <c r="G4094" t="s">
        <v>15</v>
      </c>
      <c r="K4094" cm="1">
        <f t="array" ref="K4094">_xlfn.SWITCH(LeadsData[[#This Row],[Funnel Stage Reached]],"Lead",1,"MQL",2,"SQL",3,"Customer",4)</f>
        <v>1</v>
      </c>
      <c r="L4094" t="str">
        <f>TEXT(LeadsData[[#This Row],[Signup Date]],"mmm-yyyy")</f>
        <v>May-2024</v>
      </c>
      <c r="M4094">
        <f>IF(LeadsData[[#This Row],[Stage Number]]&gt;=2,1,0)</f>
        <v>0</v>
      </c>
      <c r="N4094" s="2">
        <f>IF(LeadsData[[#This Row],[Stage Number]]&gt;=3,1,0)</f>
        <v>0</v>
      </c>
      <c r="O4094" s="2">
        <f>IF(LeadsData[[#This Row],[Stage Number]]&gt;=4,1,0)</f>
        <v>0</v>
      </c>
    </row>
    <row r="4095" spans="1:15" x14ac:dyDescent="0.25">
      <c r="A4095" t="s">
        <v>4135</v>
      </c>
      <c r="B4095" s="1">
        <v>45465</v>
      </c>
      <c r="C4095" t="s">
        <v>25</v>
      </c>
      <c r="D4095" t="s">
        <v>26</v>
      </c>
      <c r="E4095" t="s">
        <v>13</v>
      </c>
      <c r="F4095" t="s">
        <v>19</v>
      </c>
      <c r="G4095" t="s">
        <v>29</v>
      </c>
      <c r="K4095" cm="1">
        <f t="array" ref="K4095">_xlfn.SWITCH(LeadsData[[#This Row],[Funnel Stage Reached]],"Lead",1,"MQL",2,"SQL",3,"Customer",4)</f>
        <v>3</v>
      </c>
      <c r="L4095" t="str">
        <f>TEXT(LeadsData[[#This Row],[Signup Date]],"mmm-yyyy")</f>
        <v>Jun-2024</v>
      </c>
      <c r="M4095">
        <f>IF(LeadsData[[#This Row],[Stage Number]]&gt;=2,1,0)</f>
        <v>1</v>
      </c>
      <c r="N4095" s="2">
        <f>IF(LeadsData[[#This Row],[Stage Number]]&gt;=3,1,0)</f>
        <v>1</v>
      </c>
      <c r="O4095" s="2">
        <f>IF(LeadsData[[#This Row],[Stage Number]]&gt;=4,1,0)</f>
        <v>0</v>
      </c>
    </row>
    <row r="4096" spans="1:15" x14ac:dyDescent="0.25">
      <c r="A4096" t="s">
        <v>4136</v>
      </c>
      <c r="B4096" s="1">
        <v>45601</v>
      </c>
      <c r="C4096" t="s">
        <v>31</v>
      </c>
      <c r="D4096" t="s">
        <v>34</v>
      </c>
      <c r="E4096" t="s">
        <v>13</v>
      </c>
      <c r="F4096" t="s">
        <v>22</v>
      </c>
      <c r="G4096" t="s">
        <v>23</v>
      </c>
      <c r="K4096" cm="1">
        <f t="array" ref="K4096">_xlfn.SWITCH(LeadsData[[#This Row],[Funnel Stage Reached]],"Lead",1,"MQL",2,"SQL",3,"Customer",4)</f>
        <v>2</v>
      </c>
      <c r="L4096" t="str">
        <f>TEXT(LeadsData[[#This Row],[Signup Date]],"mmm-yyyy")</f>
        <v>Nov-2024</v>
      </c>
      <c r="M4096">
        <f>IF(LeadsData[[#This Row],[Stage Number]]&gt;=2,1,0)</f>
        <v>1</v>
      </c>
      <c r="N4096" s="2">
        <f>IF(LeadsData[[#This Row],[Stage Number]]&gt;=3,1,0)</f>
        <v>0</v>
      </c>
      <c r="O4096" s="2">
        <f>IF(LeadsData[[#This Row],[Stage Number]]&gt;=4,1,0)</f>
        <v>0</v>
      </c>
    </row>
    <row r="4097" spans="1:15" x14ac:dyDescent="0.25">
      <c r="A4097" t="s">
        <v>4137</v>
      </c>
      <c r="B4097" s="1">
        <v>45482</v>
      </c>
      <c r="C4097" t="s">
        <v>36</v>
      </c>
      <c r="D4097" t="s">
        <v>37</v>
      </c>
      <c r="E4097" t="s">
        <v>13</v>
      </c>
      <c r="F4097" t="s">
        <v>19</v>
      </c>
      <c r="G4097" t="s">
        <v>42</v>
      </c>
      <c r="H4097">
        <v>25</v>
      </c>
      <c r="I4097" t="s">
        <v>43</v>
      </c>
      <c r="J4097">
        <v>1373.85</v>
      </c>
      <c r="K4097" cm="1">
        <f t="array" ref="K4097">_xlfn.SWITCH(LeadsData[[#This Row],[Funnel Stage Reached]],"Lead",1,"MQL",2,"SQL",3,"Customer",4)</f>
        <v>4</v>
      </c>
      <c r="L4097" t="str">
        <f>TEXT(LeadsData[[#This Row],[Signup Date]],"mmm-yyyy")</f>
        <v>Jul-2024</v>
      </c>
      <c r="M4097">
        <f>IF(LeadsData[[#This Row],[Stage Number]]&gt;=2,1,0)</f>
        <v>1</v>
      </c>
      <c r="N4097" s="2">
        <f>IF(LeadsData[[#This Row],[Stage Number]]&gt;=3,1,0)</f>
        <v>1</v>
      </c>
      <c r="O4097" s="2">
        <f>IF(LeadsData[[#This Row],[Stage Number]]&gt;=4,1,0)</f>
        <v>1</v>
      </c>
    </row>
    <row r="4098" spans="1:15" x14ac:dyDescent="0.25">
      <c r="A4098" t="s">
        <v>4138</v>
      </c>
      <c r="B4098" s="1">
        <v>45329</v>
      </c>
      <c r="C4098" t="s">
        <v>17</v>
      </c>
      <c r="D4098" t="s">
        <v>53</v>
      </c>
      <c r="E4098" t="s">
        <v>13</v>
      </c>
      <c r="F4098" t="s">
        <v>14</v>
      </c>
      <c r="G4098" t="s">
        <v>15</v>
      </c>
      <c r="K4098" cm="1">
        <f t="array" ref="K4098">_xlfn.SWITCH(LeadsData[[#This Row],[Funnel Stage Reached]],"Lead",1,"MQL",2,"SQL",3,"Customer",4)</f>
        <v>1</v>
      </c>
      <c r="L4098" t="str">
        <f>TEXT(LeadsData[[#This Row],[Signup Date]],"mmm-yyyy")</f>
        <v>Feb-2024</v>
      </c>
      <c r="M4098">
        <f>IF(LeadsData[[#This Row],[Stage Number]]&gt;=2,1,0)</f>
        <v>0</v>
      </c>
      <c r="N4098" s="2">
        <f>IF(LeadsData[[#This Row],[Stage Number]]&gt;=3,1,0)</f>
        <v>0</v>
      </c>
      <c r="O4098" s="2">
        <f>IF(LeadsData[[#This Row],[Stage Number]]&gt;=4,1,0)</f>
        <v>0</v>
      </c>
    </row>
    <row r="4099" spans="1:15" x14ac:dyDescent="0.25">
      <c r="A4099" t="s">
        <v>4139</v>
      </c>
      <c r="B4099" s="1">
        <v>45629</v>
      </c>
      <c r="C4099" t="s">
        <v>46</v>
      </c>
      <c r="D4099" t="s">
        <v>47</v>
      </c>
      <c r="E4099" t="s">
        <v>13</v>
      </c>
      <c r="F4099" t="s">
        <v>19</v>
      </c>
      <c r="G4099" t="s">
        <v>23</v>
      </c>
      <c r="K4099" cm="1">
        <f t="array" ref="K4099">_xlfn.SWITCH(LeadsData[[#This Row],[Funnel Stage Reached]],"Lead",1,"MQL",2,"SQL",3,"Customer",4)</f>
        <v>2</v>
      </c>
      <c r="L4099" t="str">
        <f>TEXT(LeadsData[[#This Row],[Signup Date]],"mmm-yyyy")</f>
        <v>Dec-2024</v>
      </c>
      <c r="M4099">
        <f>IF(LeadsData[[#This Row],[Stage Number]]&gt;=2,1,0)</f>
        <v>1</v>
      </c>
      <c r="N4099" s="2">
        <f>IF(LeadsData[[#This Row],[Stage Number]]&gt;=3,1,0)</f>
        <v>0</v>
      </c>
      <c r="O4099" s="2">
        <f>IF(LeadsData[[#This Row],[Stage Number]]&gt;=4,1,0)</f>
        <v>0</v>
      </c>
    </row>
    <row r="4100" spans="1:15" x14ac:dyDescent="0.25">
      <c r="A4100" t="s">
        <v>4140</v>
      </c>
      <c r="B4100" s="1">
        <v>45648</v>
      </c>
      <c r="C4100" t="s">
        <v>31</v>
      </c>
      <c r="D4100" t="s">
        <v>34</v>
      </c>
      <c r="E4100" t="s">
        <v>21</v>
      </c>
      <c r="F4100" t="s">
        <v>19</v>
      </c>
      <c r="G4100" t="s">
        <v>29</v>
      </c>
      <c r="K4100" cm="1">
        <f t="array" ref="K4100">_xlfn.SWITCH(LeadsData[[#This Row],[Funnel Stage Reached]],"Lead",1,"MQL",2,"SQL",3,"Customer",4)</f>
        <v>3</v>
      </c>
      <c r="L4100" t="str">
        <f>TEXT(LeadsData[[#This Row],[Signup Date]],"mmm-yyyy")</f>
        <v>Dec-2024</v>
      </c>
      <c r="M4100">
        <f>IF(LeadsData[[#This Row],[Stage Number]]&gt;=2,1,0)</f>
        <v>1</v>
      </c>
      <c r="N4100" s="2">
        <f>IF(LeadsData[[#This Row],[Stage Number]]&gt;=3,1,0)</f>
        <v>1</v>
      </c>
      <c r="O4100" s="2">
        <f>IF(LeadsData[[#This Row],[Stage Number]]&gt;=4,1,0)</f>
        <v>0</v>
      </c>
    </row>
    <row r="4101" spans="1:15" x14ac:dyDescent="0.25">
      <c r="A4101" t="s">
        <v>4141</v>
      </c>
      <c r="B4101" s="1">
        <v>45499</v>
      </c>
      <c r="C4101" t="s">
        <v>46</v>
      </c>
      <c r="D4101" t="s">
        <v>47</v>
      </c>
      <c r="E4101" t="s">
        <v>13</v>
      </c>
      <c r="F4101" t="s">
        <v>19</v>
      </c>
      <c r="G4101" t="s">
        <v>15</v>
      </c>
      <c r="K4101" cm="1">
        <f t="array" ref="K4101">_xlfn.SWITCH(LeadsData[[#This Row],[Funnel Stage Reached]],"Lead",1,"MQL",2,"SQL",3,"Customer",4)</f>
        <v>1</v>
      </c>
      <c r="L4101" t="str">
        <f>TEXT(LeadsData[[#This Row],[Signup Date]],"mmm-yyyy")</f>
        <v>Jul-2024</v>
      </c>
      <c r="M4101">
        <f>IF(LeadsData[[#This Row],[Stage Number]]&gt;=2,1,0)</f>
        <v>0</v>
      </c>
      <c r="N4101" s="2">
        <f>IF(LeadsData[[#This Row],[Stage Number]]&gt;=3,1,0)</f>
        <v>0</v>
      </c>
      <c r="O4101" s="2">
        <f>IF(LeadsData[[#This Row],[Stage Number]]&gt;=4,1,0)</f>
        <v>0</v>
      </c>
    </row>
    <row r="4102" spans="1:15" x14ac:dyDescent="0.25">
      <c r="A4102" t="s">
        <v>4142</v>
      </c>
      <c r="B4102" s="1">
        <v>45563</v>
      </c>
      <c r="C4102" t="s">
        <v>11</v>
      </c>
      <c r="D4102" t="s">
        <v>79</v>
      </c>
      <c r="E4102" t="s">
        <v>13</v>
      </c>
      <c r="F4102" t="s">
        <v>28</v>
      </c>
      <c r="G4102" t="s">
        <v>29</v>
      </c>
      <c r="K4102" cm="1">
        <f t="array" ref="K4102">_xlfn.SWITCH(LeadsData[[#This Row],[Funnel Stage Reached]],"Lead",1,"MQL",2,"SQL",3,"Customer",4)</f>
        <v>3</v>
      </c>
      <c r="L4102" t="str">
        <f>TEXT(LeadsData[[#This Row],[Signup Date]],"mmm-yyyy")</f>
        <v>Sep-2024</v>
      </c>
      <c r="M4102">
        <f>IF(LeadsData[[#This Row],[Stage Number]]&gt;=2,1,0)</f>
        <v>1</v>
      </c>
      <c r="N4102" s="2">
        <f>IF(LeadsData[[#This Row],[Stage Number]]&gt;=3,1,0)</f>
        <v>1</v>
      </c>
      <c r="O4102" s="2">
        <f>IF(LeadsData[[#This Row],[Stage Number]]&gt;=4,1,0)</f>
        <v>0</v>
      </c>
    </row>
    <row r="4103" spans="1:15" x14ac:dyDescent="0.25">
      <c r="A4103" t="s">
        <v>4143</v>
      </c>
      <c r="B4103" s="1">
        <v>45578</v>
      </c>
      <c r="C4103" t="s">
        <v>11</v>
      </c>
      <c r="D4103" t="s">
        <v>68</v>
      </c>
      <c r="E4103" t="s">
        <v>21</v>
      </c>
      <c r="F4103" t="s">
        <v>22</v>
      </c>
      <c r="G4103" t="s">
        <v>15</v>
      </c>
      <c r="K4103" cm="1">
        <f t="array" ref="K4103">_xlfn.SWITCH(LeadsData[[#This Row],[Funnel Stage Reached]],"Lead",1,"MQL",2,"SQL",3,"Customer",4)</f>
        <v>1</v>
      </c>
      <c r="L4103" t="str">
        <f>TEXT(LeadsData[[#This Row],[Signup Date]],"mmm-yyyy")</f>
        <v>Oct-2024</v>
      </c>
      <c r="M4103">
        <f>IF(LeadsData[[#This Row],[Stage Number]]&gt;=2,1,0)</f>
        <v>0</v>
      </c>
      <c r="N4103" s="2">
        <f>IF(LeadsData[[#This Row],[Stage Number]]&gt;=3,1,0)</f>
        <v>0</v>
      </c>
      <c r="O4103" s="2">
        <f>IF(LeadsData[[#This Row],[Stage Number]]&gt;=4,1,0)</f>
        <v>0</v>
      </c>
    </row>
    <row r="4104" spans="1:15" x14ac:dyDescent="0.25">
      <c r="A4104" t="s">
        <v>4144</v>
      </c>
      <c r="B4104" s="1">
        <v>45547</v>
      </c>
      <c r="C4104" t="s">
        <v>31</v>
      </c>
      <c r="D4104" t="s">
        <v>32</v>
      </c>
      <c r="E4104" t="s">
        <v>21</v>
      </c>
      <c r="F4104" t="s">
        <v>22</v>
      </c>
      <c r="G4104" t="s">
        <v>29</v>
      </c>
      <c r="K4104" cm="1">
        <f t="array" ref="K4104">_xlfn.SWITCH(LeadsData[[#This Row],[Funnel Stage Reached]],"Lead",1,"MQL",2,"SQL",3,"Customer",4)</f>
        <v>3</v>
      </c>
      <c r="L4104" t="str">
        <f>TEXT(LeadsData[[#This Row],[Signup Date]],"mmm-yyyy")</f>
        <v>Sep-2024</v>
      </c>
      <c r="M4104">
        <f>IF(LeadsData[[#This Row],[Stage Number]]&gt;=2,1,0)</f>
        <v>1</v>
      </c>
      <c r="N4104" s="2">
        <f>IF(LeadsData[[#This Row],[Stage Number]]&gt;=3,1,0)</f>
        <v>1</v>
      </c>
      <c r="O4104" s="2">
        <f>IF(LeadsData[[#This Row],[Stage Number]]&gt;=4,1,0)</f>
        <v>0</v>
      </c>
    </row>
    <row r="4105" spans="1:15" x14ac:dyDescent="0.25">
      <c r="A4105" t="s">
        <v>4145</v>
      </c>
      <c r="B4105" s="1">
        <v>45542</v>
      </c>
      <c r="C4105" t="s">
        <v>36</v>
      </c>
      <c r="D4105" t="s">
        <v>37</v>
      </c>
      <c r="E4105" t="s">
        <v>21</v>
      </c>
      <c r="F4105" t="s">
        <v>28</v>
      </c>
      <c r="G4105" t="s">
        <v>15</v>
      </c>
      <c r="K4105" cm="1">
        <f t="array" ref="K4105">_xlfn.SWITCH(LeadsData[[#This Row],[Funnel Stage Reached]],"Lead",1,"MQL",2,"SQL",3,"Customer",4)</f>
        <v>1</v>
      </c>
      <c r="L4105" t="str">
        <f>TEXT(LeadsData[[#This Row],[Signup Date]],"mmm-yyyy")</f>
        <v>Sep-2024</v>
      </c>
      <c r="M4105">
        <f>IF(LeadsData[[#This Row],[Stage Number]]&gt;=2,1,0)</f>
        <v>0</v>
      </c>
      <c r="N4105" s="2">
        <f>IF(LeadsData[[#This Row],[Stage Number]]&gt;=3,1,0)</f>
        <v>0</v>
      </c>
      <c r="O4105" s="2">
        <f>IF(LeadsData[[#This Row],[Stage Number]]&gt;=4,1,0)</f>
        <v>0</v>
      </c>
    </row>
    <row r="4106" spans="1:15" x14ac:dyDescent="0.25">
      <c r="A4106" t="s">
        <v>4146</v>
      </c>
      <c r="B4106" s="1">
        <v>45310</v>
      </c>
      <c r="C4106" t="s">
        <v>36</v>
      </c>
      <c r="D4106" t="s">
        <v>37</v>
      </c>
      <c r="E4106" t="s">
        <v>21</v>
      </c>
      <c r="F4106" t="s">
        <v>14</v>
      </c>
      <c r="G4106" t="s">
        <v>15</v>
      </c>
      <c r="K4106" cm="1">
        <f t="array" ref="K4106">_xlfn.SWITCH(LeadsData[[#This Row],[Funnel Stage Reached]],"Lead",1,"MQL",2,"SQL",3,"Customer",4)</f>
        <v>1</v>
      </c>
      <c r="L4106" t="str">
        <f>TEXT(LeadsData[[#This Row],[Signup Date]],"mmm-yyyy")</f>
        <v>Jan-2024</v>
      </c>
      <c r="M4106">
        <f>IF(LeadsData[[#This Row],[Stage Number]]&gt;=2,1,0)</f>
        <v>0</v>
      </c>
      <c r="N4106" s="2">
        <f>IF(LeadsData[[#This Row],[Stage Number]]&gt;=3,1,0)</f>
        <v>0</v>
      </c>
      <c r="O4106" s="2">
        <f>IF(LeadsData[[#This Row],[Stage Number]]&gt;=4,1,0)</f>
        <v>0</v>
      </c>
    </row>
    <row r="4107" spans="1:15" x14ac:dyDescent="0.25">
      <c r="A4107" t="s">
        <v>4147</v>
      </c>
      <c r="B4107" s="1">
        <v>45406</v>
      </c>
      <c r="C4107" t="s">
        <v>36</v>
      </c>
      <c r="D4107" t="s">
        <v>37</v>
      </c>
      <c r="E4107" t="s">
        <v>13</v>
      </c>
      <c r="F4107" t="s">
        <v>22</v>
      </c>
      <c r="G4107" t="s">
        <v>23</v>
      </c>
      <c r="K4107" cm="1">
        <f t="array" ref="K4107">_xlfn.SWITCH(LeadsData[[#This Row],[Funnel Stage Reached]],"Lead",1,"MQL",2,"SQL",3,"Customer",4)</f>
        <v>2</v>
      </c>
      <c r="L4107" t="str">
        <f>TEXT(LeadsData[[#This Row],[Signup Date]],"mmm-yyyy")</f>
        <v>Apr-2024</v>
      </c>
      <c r="M4107">
        <f>IF(LeadsData[[#This Row],[Stage Number]]&gt;=2,1,0)</f>
        <v>1</v>
      </c>
      <c r="N4107" s="2">
        <f>IF(LeadsData[[#This Row],[Stage Number]]&gt;=3,1,0)</f>
        <v>0</v>
      </c>
      <c r="O4107" s="2">
        <f>IF(LeadsData[[#This Row],[Stage Number]]&gt;=4,1,0)</f>
        <v>0</v>
      </c>
    </row>
    <row r="4108" spans="1:15" x14ac:dyDescent="0.25">
      <c r="A4108" t="s">
        <v>4148</v>
      </c>
      <c r="B4108" s="1">
        <v>45602</v>
      </c>
      <c r="C4108" t="s">
        <v>46</v>
      </c>
      <c r="D4108" t="s">
        <v>47</v>
      </c>
      <c r="E4108" t="s">
        <v>21</v>
      </c>
      <c r="F4108" t="s">
        <v>22</v>
      </c>
      <c r="G4108" t="s">
        <v>15</v>
      </c>
      <c r="K4108" cm="1">
        <f t="array" ref="K4108">_xlfn.SWITCH(LeadsData[[#This Row],[Funnel Stage Reached]],"Lead",1,"MQL",2,"SQL",3,"Customer",4)</f>
        <v>1</v>
      </c>
      <c r="L4108" t="str">
        <f>TEXT(LeadsData[[#This Row],[Signup Date]],"mmm-yyyy")</f>
        <v>Nov-2024</v>
      </c>
      <c r="M4108">
        <f>IF(LeadsData[[#This Row],[Stage Number]]&gt;=2,1,0)</f>
        <v>0</v>
      </c>
      <c r="N4108" s="2">
        <f>IF(LeadsData[[#This Row],[Stage Number]]&gt;=3,1,0)</f>
        <v>0</v>
      </c>
      <c r="O4108" s="2">
        <f>IF(LeadsData[[#This Row],[Stage Number]]&gt;=4,1,0)</f>
        <v>0</v>
      </c>
    </row>
    <row r="4109" spans="1:15" x14ac:dyDescent="0.25">
      <c r="A4109" t="s">
        <v>4149</v>
      </c>
      <c r="B4109" s="1">
        <v>45607</v>
      </c>
      <c r="C4109" t="s">
        <v>31</v>
      </c>
      <c r="D4109" t="s">
        <v>32</v>
      </c>
      <c r="E4109" t="s">
        <v>48</v>
      </c>
      <c r="F4109" t="s">
        <v>28</v>
      </c>
      <c r="G4109" t="s">
        <v>15</v>
      </c>
      <c r="K4109" cm="1">
        <f t="array" ref="K4109">_xlfn.SWITCH(LeadsData[[#This Row],[Funnel Stage Reached]],"Lead",1,"MQL",2,"SQL",3,"Customer",4)</f>
        <v>1</v>
      </c>
      <c r="L4109" t="str">
        <f>TEXT(LeadsData[[#This Row],[Signup Date]],"mmm-yyyy")</f>
        <v>Nov-2024</v>
      </c>
      <c r="M4109">
        <f>IF(LeadsData[[#This Row],[Stage Number]]&gt;=2,1,0)</f>
        <v>0</v>
      </c>
      <c r="N4109" s="2">
        <f>IF(LeadsData[[#This Row],[Stage Number]]&gt;=3,1,0)</f>
        <v>0</v>
      </c>
      <c r="O4109" s="2">
        <f>IF(LeadsData[[#This Row],[Stage Number]]&gt;=4,1,0)</f>
        <v>0</v>
      </c>
    </row>
    <row r="4110" spans="1:15" x14ac:dyDescent="0.25">
      <c r="A4110" t="s">
        <v>4150</v>
      </c>
      <c r="B4110" s="1">
        <v>45523</v>
      </c>
      <c r="C4110" t="s">
        <v>17</v>
      </c>
      <c r="D4110" t="s">
        <v>53</v>
      </c>
      <c r="E4110" t="s">
        <v>21</v>
      </c>
      <c r="F4110" t="s">
        <v>19</v>
      </c>
      <c r="G4110" t="s">
        <v>23</v>
      </c>
      <c r="K4110" cm="1">
        <f t="array" ref="K4110">_xlfn.SWITCH(LeadsData[[#This Row],[Funnel Stage Reached]],"Lead",1,"MQL",2,"SQL",3,"Customer",4)</f>
        <v>2</v>
      </c>
      <c r="L4110" t="str">
        <f>TEXT(LeadsData[[#This Row],[Signup Date]],"mmm-yyyy")</f>
        <v>Aug-2024</v>
      </c>
      <c r="M4110">
        <f>IF(LeadsData[[#This Row],[Stage Number]]&gt;=2,1,0)</f>
        <v>1</v>
      </c>
      <c r="N4110" s="2">
        <f>IF(LeadsData[[#This Row],[Stage Number]]&gt;=3,1,0)</f>
        <v>0</v>
      </c>
      <c r="O4110" s="2">
        <f>IF(LeadsData[[#This Row],[Stage Number]]&gt;=4,1,0)</f>
        <v>0</v>
      </c>
    </row>
    <row r="4111" spans="1:15" x14ac:dyDescent="0.25">
      <c r="A4111" t="s">
        <v>4151</v>
      </c>
      <c r="B4111" s="1">
        <v>45515</v>
      </c>
      <c r="C4111" t="s">
        <v>17</v>
      </c>
      <c r="D4111" t="s">
        <v>53</v>
      </c>
      <c r="E4111" t="s">
        <v>13</v>
      </c>
      <c r="F4111" t="s">
        <v>19</v>
      </c>
      <c r="G4111" t="s">
        <v>29</v>
      </c>
      <c r="K4111" cm="1">
        <f t="array" ref="K4111">_xlfn.SWITCH(LeadsData[[#This Row],[Funnel Stage Reached]],"Lead",1,"MQL",2,"SQL",3,"Customer",4)</f>
        <v>3</v>
      </c>
      <c r="L4111" t="str">
        <f>TEXT(LeadsData[[#This Row],[Signup Date]],"mmm-yyyy")</f>
        <v>Aug-2024</v>
      </c>
      <c r="M4111">
        <f>IF(LeadsData[[#This Row],[Stage Number]]&gt;=2,1,0)</f>
        <v>1</v>
      </c>
      <c r="N4111" s="2">
        <f>IF(LeadsData[[#This Row],[Stage Number]]&gt;=3,1,0)</f>
        <v>1</v>
      </c>
      <c r="O4111" s="2">
        <f>IF(LeadsData[[#This Row],[Stage Number]]&gt;=4,1,0)</f>
        <v>0</v>
      </c>
    </row>
    <row r="4112" spans="1:15" x14ac:dyDescent="0.25">
      <c r="A4112" t="s">
        <v>4152</v>
      </c>
      <c r="B4112" s="1">
        <v>45418</v>
      </c>
      <c r="C4112" t="s">
        <v>31</v>
      </c>
      <c r="D4112" t="s">
        <v>32</v>
      </c>
      <c r="E4112" t="s">
        <v>21</v>
      </c>
      <c r="F4112" t="s">
        <v>19</v>
      </c>
      <c r="G4112" t="s">
        <v>42</v>
      </c>
      <c r="H4112">
        <v>50</v>
      </c>
      <c r="I4112" t="s">
        <v>43</v>
      </c>
      <c r="J4112">
        <v>997.32</v>
      </c>
      <c r="K4112" cm="1">
        <f t="array" ref="K4112">_xlfn.SWITCH(LeadsData[[#This Row],[Funnel Stage Reached]],"Lead",1,"MQL",2,"SQL",3,"Customer",4)</f>
        <v>4</v>
      </c>
      <c r="L4112" t="str">
        <f>TEXT(LeadsData[[#This Row],[Signup Date]],"mmm-yyyy")</f>
        <v>May-2024</v>
      </c>
      <c r="M4112">
        <f>IF(LeadsData[[#This Row],[Stage Number]]&gt;=2,1,0)</f>
        <v>1</v>
      </c>
      <c r="N4112" s="2">
        <f>IF(LeadsData[[#This Row],[Stage Number]]&gt;=3,1,0)</f>
        <v>1</v>
      </c>
      <c r="O4112" s="2">
        <f>IF(LeadsData[[#This Row],[Stage Number]]&gt;=4,1,0)</f>
        <v>1</v>
      </c>
    </row>
    <row r="4113" spans="1:15" x14ac:dyDescent="0.25">
      <c r="A4113" t="s">
        <v>4153</v>
      </c>
      <c r="B4113" s="1">
        <v>45559</v>
      </c>
      <c r="C4113" t="s">
        <v>17</v>
      </c>
      <c r="D4113" t="s">
        <v>18</v>
      </c>
      <c r="E4113" t="s">
        <v>13</v>
      </c>
      <c r="F4113" t="s">
        <v>19</v>
      </c>
      <c r="G4113" t="s">
        <v>15</v>
      </c>
      <c r="K4113" cm="1">
        <f t="array" ref="K4113">_xlfn.SWITCH(LeadsData[[#This Row],[Funnel Stage Reached]],"Lead",1,"MQL",2,"SQL",3,"Customer",4)</f>
        <v>1</v>
      </c>
      <c r="L4113" t="str">
        <f>TEXT(LeadsData[[#This Row],[Signup Date]],"mmm-yyyy")</f>
        <v>Sep-2024</v>
      </c>
      <c r="M4113">
        <f>IF(LeadsData[[#This Row],[Stage Number]]&gt;=2,1,0)</f>
        <v>0</v>
      </c>
      <c r="N4113" s="2">
        <f>IF(LeadsData[[#This Row],[Stage Number]]&gt;=3,1,0)</f>
        <v>0</v>
      </c>
      <c r="O4113" s="2">
        <f>IF(LeadsData[[#This Row],[Stage Number]]&gt;=4,1,0)</f>
        <v>0</v>
      </c>
    </row>
    <row r="4114" spans="1:15" x14ac:dyDescent="0.25">
      <c r="A4114" t="s">
        <v>4154</v>
      </c>
      <c r="B4114" s="1">
        <v>45652</v>
      </c>
      <c r="C4114" t="s">
        <v>46</v>
      </c>
      <c r="D4114" t="s">
        <v>56</v>
      </c>
      <c r="E4114" t="s">
        <v>21</v>
      </c>
      <c r="F4114" t="s">
        <v>19</v>
      </c>
      <c r="G4114" t="s">
        <v>23</v>
      </c>
      <c r="K4114" cm="1">
        <f t="array" ref="K4114">_xlfn.SWITCH(LeadsData[[#This Row],[Funnel Stage Reached]],"Lead",1,"MQL",2,"SQL",3,"Customer",4)</f>
        <v>2</v>
      </c>
      <c r="L4114" t="str">
        <f>TEXT(LeadsData[[#This Row],[Signup Date]],"mmm-yyyy")</f>
        <v>Dec-2024</v>
      </c>
      <c r="M4114">
        <f>IF(LeadsData[[#This Row],[Stage Number]]&gt;=2,1,0)</f>
        <v>1</v>
      </c>
      <c r="N4114" s="2">
        <f>IF(LeadsData[[#This Row],[Stage Number]]&gt;=3,1,0)</f>
        <v>0</v>
      </c>
      <c r="O4114" s="2">
        <f>IF(LeadsData[[#This Row],[Stage Number]]&gt;=4,1,0)</f>
        <v>0</v>
      </c>
    </row>
    <row r="4115" spans="1:15" x14ac:dyDescent="0.25">
      <c r="A4115" t="s">
        <v>4155</v>
      </c>
      <c r="B4115" s="1">
        <v>45507</v>
      </c>
      <c r="C4115" t="s">
        <v>11</v>
      </c>
      <c r="D4115" t="s">
        <v>79</v>
      </c>
      <c r="E4115" t="s">
        <v>48</v>
      </c>
      <c r="F4115" t="s">
        <v>19</v>
      </c>
      <c r="G4115" t="s">
        <v>15</v>
      </c>
      <c r="K4115" cm="1">
        <f t="array" ref="K4115">_xlfn.SWITCH(LeadsData[[#This Row],[Funnel Stage Reached]],"Lead",1,"MQL",2,"SQL",3,"Customer",4)</f>
        <v>1</v>
      </c>
      <c r="L4115" t="str">
        <f>TEXT(LeadsData[[#This Row],[Signup Date]],"mmm-yyyy")</f>
        <v>Aug-2024</v>
      </c>
      <c r="M4115">
        <f>IF(LeadsData[[#This Row],[Stage Number]]&gt;=2,1,0)</f>
        <v>0</v>
      </c>
      <c r="N4115" s="2">
        <f>IF(LeadsData[[#This Row],[Stage Number]]&gt;=3,1,0)</f>
        <v>0</v>
      </c>
      <c r="O4115" s="2">
        <f>IF(LeadsData[[#This Row],[Stage Number]]&gt;=4,1,0)</f>
        <v>0</v>
      </c>
    </row>
    <row r="4116" spans="1:15" x14ac:dyDescent="0.25">
      <c r="A4116" t="s">
        <v>4156</v>
      </c>
      <c r="B4116" s="1">
        <v>45562</v>
      </c>
      <c r="C4116" t="s">
        <v>17</v>
      </c>
      <c r="D4116" t="s">
        <v>53</v>
      </c>
      <c r="E4116" t="s">
        <v>13</v>
      </c>
      <c r="F4116" t="s">
        <v>22</v>
      </c>
      <c r="G4116" t="s">
        <v>15</v>
      </c>
      <c r="K4116" cm="1">
        <f t="array" ref="K4116">_xlfn.SWITCH(LeadsData[[#This Row],[Funnel Stage Reached]],"Lead",1,"MQL",2,"SQL",3,"Customer",4)</f>
        <v>1</v>
      </c>
      <c r="L4116" t="str">
        <f>TEXT(LeadsData[[#This Row],[Signup Date]],"mmm-yyyy")</f>
        <v>Sep-2024</v>
      </c>
      <c r="M4116">
        <f>IF(LeadsData[[#This Row],[Stage Number]]&gt;=2,1,0)</f>
        <v>0</v>
      </c>
      <c r="N4116" s="2">
        <f>IF(LeadsData[[#This Row],[Stage Number]]&gt;=3,1,0)</f>
        <v>0</v>
      </c>
      <c r="O4116" s="2">
        <f>IF(LeadsData[[#This Row],[Stage Number]]&gt;=4,1,0)</f>
        <v>0</v>
      </c>
    </row>
    <row r="4117" spans="1:15" x14ac:dyDescent="0.25">
      <c r="A4117" t="s">
        <v>4157</v>
      </c>
      <c r="B4117" s="1">
        <v>45592</v>
      </c>
      <c r="C4117" t="s">
        <v>46</v>
      </c>
      <c r="D4117" t="s">
        <v>47</v>
      </c>
      <c r="E4117" t="s">
        <v>13</v>
      </c>
      <c r="F4117" t="s">
        <v>19</v>
      </c>
      <c r="G4117" t="s">
        <v>15</v>
      </c>
      <c r="K4117" cm="1">
        <f t="array" ref="K4117">_xlfn.SWITCH(LeadsData[[#This Row],[Funnel Stage Reached]],"Lead",1,"MQL",2,"SQL",3,"Customer",4)</f>
        <v>1</v>
      </c>
      <c r="L4117" t="str">
        <f>TEXT(LeadsData[[#This Row],[Signup Date]],"mmm-yyyy")</f>
        <v>Oct-2024</v>
      </c>
      <c r="M4117">
        <f>IF(LeadsData[[#This Row],[Stage Number]]&gt;=2,1,0)</f>
        <v>0</v>
      </c>
      <c r="N4117" s="2">
        <f>IF(LeadsData[[#This Row],[Stage Number]]&gt;=3,1,0)</f>
        <v>0</v>
      </c>
      <c r="O4117" s="2">
        <f>IF(LeadsData[[#This Row],[Stage Number]]&gt;=4,1,0)</f>
        <v>0</v>
      </c>
    </row>
    <row r="4118" spans="1:15" x14ac:dyDescent="0.25">
      <c r="A4118" t="s">
        <v>4158</v>
      </c>
      <c r="B4118" s="1">
        <v>45575</v>
      </c>
      <c r="C4118" t="s">
        <v>46</v>
      </c>
      <c r="D4118" t="s">
        <v>47</v>
      </c>
      <c r="E4118" t="s">
        <v>13</v>
      </c>
      <c r="F4118" t="s">
        <v>19</v>
      </c>
      <c r="G4118" t="s">
        <v>42</v>
      </c>
      <c r="H4118">
        <v>13</v>
      </c>
      <c r="I4118" t="s">
        <v>43</v>
      </c>
      <c r="J4118">
        <v>1449.75</v>
      </c>
      <c r="K4118" cm="1">
        <f t="array" ref="K4118">_xlfn.SWITCH(LeadsData[[#This Row],[Funnel Stage Reached]],"Lead",1,"MQL",2,"SQL",3,"Customer",4)</f>
        <v>4</v>
      </c>
      <c r="L4118" t="str">
        <f>TEXT(LeadsData[[#This Row],[Signup Date]],"mmm-yyyy")</f>
        <v>Oct-2024</v>
      </c>
      <c r="M4118">
        <f>IF(LeadsData[[#This Row],[Stage Number]]&gt;=2,1,0)</f>
        <v>1</v>
      </c>
      <c r="N4118" s="2">
        <f>IF(LeadsData[[#This Row],[Stage Number]]&gt;=3,1,0)</f>
        <v>1</v>
      </c>
      <c r="O4118" s="2">
        <f>IF(LeadsData[[#This Row],[Stage Number]]&gt;=4,1,0)</f>
        <v>1</v>
      </c>
    </row>
    <row r="4119" spans="1:15" x14ac:dyDescent="0.25">
      <c r="A4119" t="s">
        <v>4159</v>
      </c>
      <c r="B4119" s="1">
        <v>45354</v>
      </c>
      <c r="C4119" t="s">
        <v>11</v>
      </c>
      <c r="D4119" t="s">
        <v>12</v>
      </c>
      <c r="E4119" t="s">
        <v>48</v>
      </c>
      <c r="F4119" t="s">
        <v>22</v>
      </c>
      <c r="G4119" t="s">
        <v>29</v>
      </c>
      <c r="K4119" cm="1">
        <f t="array" ref="K4119">_xlfn.SWITCH(LeadsData[[#This Row],[Funnel Stage Reached]],"Lead",1,"MQL",2,"SQL",3,"Customer",4)</f>
        <v>3</v>
      </c>
      <c r="L4119" t="str">
        <f>TEXT(LeadsData[[#This Row],[Signup Date]],"mmm-yyyy")</f>
        <v>Mar-2024</v>
      </c>
      <c r="M4119">
        <f>IF(LeadsData[[#This Row],[Stage Number]]&gt;=2,1,0)</f>
        <v>1</v>
      </c>
      <c r="N4119" s="2">
        <f>IF(LeadsData[[#This Row],[Stage Number]]&gt;=3,1,0)</f>
        <v>1</v>
      </c>
      <c r="O4119" s="2">
        <f>IF(LeadsData[[#This Row],[Stage Number]]&gt;=4,1,0)</f>
        <v>0</v>
      </c>
    </row>
    <row r="4120" spans="1:15" x14ac:dyDescent="0.25">
      <c r="A4120" t="s">
        <v>4160</v>
      </c>
      <c r="B4120" s="1">
        <v>45563</v>
      </c>
      <c r="C4120" t="s">
        <v>31</v>
      </c>
      <c r="D4120" t="s">
        <v>32</v>
      </c>
      <c r="E4120" t="s">
        <v>21</v>
      </c>
      <c r="F4120" t="s">
        <v>14</v>
      </c>
      <c r="G4120" t="s">
        <v>29</v>
      </c>
      <c r="K4120" cm="1">
        <f t="array" ref="K4120">_xlfn.SWITCH(LeadsData[[#This Row],[Funnel Stage Reached]],"Lead",1,"MQL",2,"SQL",3,"Customer",4)</f>
        <v>3</v>
      </c>
      <c r="L4120" t="str">
        <f>TEXT(LeadsData[[#This Row],[Signup Date]],"mmm-yyyy")</f>
        <v>Sep-2024</v>
      </c>
      <c r="M4120">
        <f>IF(LeadsData[[#This Row],[Stage Number]]&gt;=2,1,0)</f>
        <v>1</v>
      </c>
      <c r="N4120" s="2">
        <f>IF(LeadsData[[#This Row],[Stage Number]]&gt;=3,1,0)</f>
        <v>1</v>
      </c>
      <c r="O4120" s="2">
        <f>IF(LeadsData[[#This Row],[Stage Number]]&gt;=4,1,0)</f>
        <v>0</v>
      </c>
    </row>
    <row r="4121" spans="1:15" x14ac:dyDescent="0.25">
      <c r="A4121" t="s">
        <v>4161</v>
      </c>
      <c r="B4121" s="1">
        <v>45353</v>
      </c>
      <c r="C4121" t="s">
        <v>25</v>
      </c>
      <c r="D4121" t="s">
        <v>26</v>
      </c>
      <c r="E4121" t="s">
        <v>21</v>
      </c>
      <c r="F4121" t="s">
        <v>19</v>
      </c>
      <c r="G4121" t="s">
        <v>15</v>
      </c>
      <c r="K4121" cm="1">
        <f t="array" ref="K4121">_xlfn.SWITCH(LeadsData[[#This Row],[Funnel Stage Reached]],"Lead",1,"MQL",2,"SQL",3,"Customer",4)</f>
        <v>1</v>
      </c>
      <c r="L4121" t="str">
        <f>TEXT(LeadsData[[#This Row],[Signup Date]],"mmm-yyyy")</f>
        <v>Mar-2024</v>
      </c>
      <c r="M4121">
        <f>IF(LeadsData[[#This Row],[Stage Number]]&gt;=2,1,0)</f>
        <v>0</v>
      </c>
      <c r="N4121" s="2">
        <f>IF(LeadsData[[#This Row],[Stage Number]]&gt;=3,1,0)</f>
        <v>0</v>
      </c>
      <c r="O4121" s="2">
        <f>IF(LeadsData[[#This Row],[Stage Number]]&gt;=4,1,0)</f>
        <v>0</v>
      </c>
    </row>
    <row r="4122" spans="1:15" x14ac:dyDescent="0.25">
      <c r="A4122" t="s">
        <v>4162</v>
      </c>
      <c r="B4122" s="1">
        <v>45609</v>
      </c>
      <c r="C4122" t="s">
        <v>25</v>
      </c>
      <c r="D4122" t="s">
        <v>26</v>
      </c>
      <c r="E4122" t="s">
        <v>21</v>
      </c>
      <c r="F4122" t="s">
        <v>14</v>
      </c>
      <c r="G4122" t="s">
        <v>15</v>
      </c>
      <c r="K4122" cm="1">
        <f t="array" ref="K4122">_xlfn.SWITCH(LeadsData[[#This Row],[Funnel Stage Reached]],"Lead",1,"MQL",2,"SQL",3,"Customer",4)</f>
        <v>1</v>
      </c>
      <c r="L4122" t="str">
        <f>TEXT(LeadsData[[#This Row],[Signup Date]],"mmm-yyyy")</f>
        <v>Nov-2024</v>
      </c>
      <c r="M4122">
        <f>IF(LeadsData[[#This Row],[Stage Number]]&gt;=2,1,0)</f>
        <v>0</v>
      </c>
      <c r="N4122" s="2">
        <f>IF(LeadsData[[#This Row],[Stage Number]]&gt;=3,1,0)</f>
        <v>0</v>
      </c>
      <c r="O4122" s="2">
        <f>IF(LeadsData[[#This Row],[Stage Number]]&gt;=4,1,0)</f>
        <v>0</v>
      </c>
    </row>
    <row r="4123" spans="1:15" x14ac:dyDescent="0.25">
      <c r="A4123" t="s">
        <v>4163</v>
      </c>
      <c r="B4123" s="1">
        <v>45619</v>
      </c>
      <c r="C4123" t="s">
        <v>36</v>
      </c>
      <c r="D4123" t="s">
        <v>37</v>
      </c>
      <c r="E4123" t="s">
        <v>13</v>
      </c>
      <c r="F4123" t="s">
        <v>19</v>
      </c>
      <c r="G4123" t="s">
        <v>42</v>
      </c>
      <c r="H4123">
        <v>14</v>
      </c>
      <c r="I4123" t="s">
        <v>87</v>
      </c>
      <c r="J4123">
        <v>2308.9899999999998</v>
      </c>
      <c r="K4123" cm="1">
        <f t="array" ref="K4123">_xlfn.SWITCH(LeadsData[[#This Row],[Funnel Stage Reached]],"Lead",1,"MQL",2,"SQL",3,"Customer",4)</f>
        <v>4</v>
      </c>
      <c r="L4123" t="str">
        <f>TEXT(LeadsData[[#This Row],[Signup Date]],"mmm-yyyy")</f>
        <v>Nov-2024</v>
      </c>
      <c r="M4123">
        <f>IF(LeadsData[[#This Row],[Stage Number]]&gt;=2,1,0)</f>
        <v>1</v>
      </c>
      <c r="N4123" s="2">
        <f>IF(LeadsData[[#This Row],[Stage Number]]&gt;=3,1,0)</f>
        <v>1</v>
      </c>
      <c r="O4123" s="2">
        <f>IF(LeadsData[[#This Row],[Stage Number]]&gt;=4,1,0)</f>
        <v>1</v>
      </c>
    </row>
    <row r="4124" spans="1:15" x14ac:dyDescent="0.25">
      <c r="A4124" t="s">
        <v>4164</v>
      </c>
      <c r="B4124" s="1">
        <v>45580</v>
      </c>
      <c r="C4124" t="s">
        <v>31</v>
      </c>
      <c r="D4124" t="s">
        <v>32</v>
      </c>
      <c r="E4124" t="s">
        <v>13</v>
      </c>
      <c r="F4124" t="s">
        <v>22</v>
      </c>
      <c r="G4124" t="s">
        <v>15</v>
      </c>
      <c r="K4124" cm="1">
        <f t="array" ref="K4124">_xlfn.SWITCH(LeadsData[[#This Row],[Funnel Stage Reached]],"Lead",1,"MQL",2,"SQL",3,"Customer",4)</f>
        <v>1</v>
      </c>
      <c r="L4124" t="str">
        <f>TEXT(LeadsData[[#This Row],[Signup Date]],"mmm-yyyy")</f>
        <v>Oct-2024</v>
      </c>
      <c r="M4124">
        <f>IF(LeadsData[[#This Row],[Stage Number]]&gt;=2,1,0)</f>
        <v>0</v>
      </c>
      <c r="N4124" s="2">
        <f>IF(LeadsData[[#This Row],[Stage Number]]&gt;=3,1,0)</f>
        <v>0</v>
      </c>
      <c r="O4124" s="2">
        <f>IF(LeadsData[[#This Row],[Stage Number]]&gt;=4,1,0)</f>
        <v>0</v>
      </c>
    </row>
    <row r="4125" spans="1:15" x14ac:dyDescent="0.25">
      <c r="A4125" t="s">
        <v>4165</v>
      </c>
      <c r="B4125" s="1">
        <v>45342</v>
      </c>
      <c r="C4125" t="s">
        <v>36</v>
      </c>
      <c r="D4125" t="s">
        <v>37</v>
      </c>
      <c r="E4125" t="s">
        <v>21</v>
      </c>
      <c r="F4125" t="s">
        <v>22</v>
      </c>
      <c r="G4125" t="s">
        <v>42</v>
      </c>
      <c r="H4125">
        <v>17</v>
      </c>
      <c r="I4125" t="s">
        <v>87</v>
      </c>
      <c r="J4125">
        <v>3168.11</v>
      </c>
      <c r="K4125" cm="1">
        <f t="array" ref="K4125">_xlfn.SWITCH(LeadsData[[#This Row],[Funnel Stage Reached]],"Lead",1,"MQL",2,"SQL",3,"Customer",4)</f>
        <v>4</v>
      </c>
      <c r="L4125" t="str">
        <f>TEXT(LeadsData[[#This Row],[Signup Date]],"mmm-yyyy")</f>
        <v>Feb-2024</v>
      </c>
      <c r="M4125">
        <f>IF(LeadsData[[#This Row],[Stage Number]]&gt;=2,1,0)</f>
        <v>1</v>
      </c>
      <c r="N4125" s="2">
        <f>IF(LeadsData[[#This Row],[Stage Number]]&gt;=3,1,0)</f>
        <v>1</v>
      </c>
      <c r="O4125" s="2">
        <f>IF(LeadsData[[#This Row],[Stage Number]]&gt;=4,1,0)</f>
        <v>1</v>
      </c>
    </row>
    <row r="4126" spans="1:15" x14ac:dyDescent="0.25">
      <c r="A4126" t="s">
        <v>4166</v>
      </c>
      <c r="B4126" s="1">
        <v>45419</v>
      </c>
      <c r="C4126" t="s">
        <v>31</v>
      </c>
      <c r="D4126" t="s">
        <v>32</v>
      </c>
      <c r="E4126" t="s">
        <v>13</v>
      </c>
      <c r="F4126" t="s">
        <v>19</v>
      </c>
      <c r="G4126" t="s">
        <v>42</v>
      </c>
      <c r="H4126">
        <v>31</v>
      </c>
      <c r="I4126" t="s">
        <v>43</v>
      </c>
      <c r="J4126">
        <v>1221.18</v>
      </c>
      <c r="K4126" cm="1">
        <f t="array" ref="K4126">_xlfn.SWITCH(LeadsData[[#This Row],[Funnel Stage Reached]],"Lead",1,"MQL",2,"SQL",3,"Customer",4)</f>
        <v>4</v>
      </c>
      <c r="L4126" t="str">
        <f>TEXT(LeadsData[[#This Row],[Signup Date]],"mmm-yyyy")</f>
        <v>May-2024</v>
      </c>
      <c r="M4126">
        <f>IF(LeadsData[[#This Row],[Stage Number]]&gt;=2,1,0)</f>
        <v>1</v>
      </c>
      <c r="N4126" s="2">
        <f>IF(LeadsData[[#This Row],[Stage Number]]&gt;=3,1,0)</f>
        <v>1</v>
      </c>
      <c r="O4126" s="2">
        <f>IF(LeadsData[[#This Row],[Stage Number]]&gt;=4,1,0)</f>
        <v>1</v>
      </c>
    </row>
    <row r="4127" spans="1:15" x14ac:dyDescent="0.25">
      <c r="A4127" t="s">
        <v>4167</v>
      </c>
      <c r="B4127" s="1">
        <v>45461</v>
      </c>
      <c r="C4127" t="s">
        <v>17</v>
      </c>
      <c r="D4127" t="s">
        <v>53</v>
      </c>
      <c r="E4127" t="s">
        <v>13</v>
      </c>
      <c r="F4127" t="s">
        <v>19</v>
      </c>
      <c r="G4127" t="s">
        <v>15</v>
      </c>
      <c r="K4127" cm="1">
        <f t="array" ref="K4127">_xlfn.SWITCH(LeadsData[[#This Row],[Funnel Stage Reached]],"Lead",1,"MQL",2,"SQL",3,"Customer",4)</f>
        <v>1</v>
      </c>
      <c r="L4127" t="str">
        <f>TEXT(LeadsData[[#This Row],[Signup Date]],"mmm-yyyy")</f>
        <v>Jun-2024</v>
      </c>
      <c r="M4127">
        <f>IF(LeadsData[[#This Row],[Stage Number]]&gt;=2,1,0)</f>
        <v>0</v>
      </c>
      <c r="N4127" s="2">
        <f>IF(LeadsData[[#This Row],[Stage Number]]&gt;=3,1,0)</f>
        <v>0</v>
      </c>
      <c r="O4127" s="2">
        <f>IF(LeadsData[[#This Row],[Stage Number]]&gt;=4,1,0)</f>
        <v>0</v>
      </c>
    </row>
    <row r="4128" spans="1:15" x14ac:dyDescent="0.25">
      <c r="A4128" t="s">
        <v>4168</v>
      </c>
      <c r="B4128" s="1">
        <v>45603</v>
      </c>
      <c r="C4128" t="s">
        <v>31</v>
      </c>
      <c r="D4128" t="s">
        <v>32</v>
      </c>
      <c r="E4128" t="s">
        <v>21</v>
      </c>
      <c r="F4128" t="s">
        <v>22</v>
      </c>
      <c r="G4128" t="s">
        <v>29</v>
      </c>
      <c r="K4128" cm="1">
        <f t="array" ref="K4128">_xlfn.SWITCH(LeadsData[[#This Row],[Funnel Stage Reached]],"Lead",1,"MQL",2,"SQL",3,"Customer",4)</f>
        <v>3</v>
      </c>
      <c r="L4128" t="str">
        <f>TEXT(LeadsData[[#This Row],[Signup Date]],"mmm-yyyy")</f>
        <v>Nov-2024</v>
      </c>
      <c r="M4128">
        <f>IF(LeadsData[[#This Row],[Stage Number]]&gt;=2,1,0)</f>
        <v>1</v>
      </c>
      <c r="N4128" s="2">
        <f>IF(LeadsData[[#This Row],[Stage Number]]&gt;=3,1,0)</f>
        <v>1</v>
      </c>
      <c r="O4128" s="2">
        <f>IF(LeadsData[[#This Row],[Stage Number]]&gt;=4,1,0)</f>
        <v>0</v>
      </c>
    </row>
    <row r="4129" spans="1:15" x14ac:dyDescent="0.25">
      <c r="A4129" t="s">
        <v>4169</v>
      </c>
      <c r="B4129" s="1">
        <v>45326</v>
      </c>
      <c r="C4129" t="s">
        <v>36</v>
      </c>
      <c r="D4129" t="s">
        <v>50</v>
      </c>
      <c r="E4129" t="s">
        <v>13</v>
      </c>
      <c r="F4129" t="s">
        <v>19</v>
      </c>
      <c r="G4129" t="s">
        <v>23</v>
      </c>
      <c r="K4129" cm="1">
        <f t="array" ref="K4129">_xlfn.SWITCH(LeadsData[[#This Row],[Funnel Stage Reached]],"Lead",1,"MQL",2,"SQL",3,"Customer",4)</f>
        <v>2</v>
      </c>
      <c r="L4129" t="str">
        <f>TEXT(LeadsData[[#This Row],[Signup Date]],"mmm-yyyy")</f>
        <v>Feb-2024</v>
      </c>
      <c r="M4129">
        <f>IF(LeadsData[[#This Row],[Stage Number]]&gt;=2,1,0)</f>
        <v>1</v>
      </c>
      <c r="N4129" s="2">
        <f>IF(LeadsData[[#This Row],[Stage Number]]&gt;=3,1,0)</f>
        <v>0</v>
      </c>
      <c r="O4129" s="2">
        <f>IF(LeadsData[[#This Row],[Stage Number]]&gt;=4,1,0)</f>
        <v>0</v>
      </c>
    </row>
    <row r="4130" spans="1:15" x14ac:dyDescent="0.25">
      <c r="A4130" t="s">
        <v>4170</v>
      </c>
      <c r="B4130" s="1">
        <v>45330</v>
      </c>
      <c r="C4130" t="s">
        <v>17</v>
      </c>
      <c r="D4130" t="s">
        <v>53</v>
      </c>
      <c r="E4130" t="s">
        <v>21</v>
      </c>
      <c r="F4130" t="s">
        <v>28</v>
      </c>
      <c r="G4130" t="s">
        <v>15</v>
      </c>
      <c r="K4130" cm="1">
        <f t="array" ref="K4130">_xlfn.SWITCH(LeadsData[[#This Row],[Funnel Stage Reached]],"Lead",1,"MQL",2,"SQL",3,"Customer",4)</f>
        <v>1</v>
      </c>
      <c r="L4130" t="str">
        <f>TEXT(LeadsData[[#This Row],[Signup Date]],"mmm-yyyy")</f>
        <v>Feb-2024</v>
      </c>
      <c r="M4130">
        <f>IF(LeadsData[[#This Row],[Stage Number]]&gt;=2,1,0)</f>
        <v>0</v>
      </c>
      <c r="N4130" s="2">
        <f>IF(LeadsData[[#This Row],[Stage Number]]&gt;=3,1,0)</f>
        <v>0</v>
      </c>
      <c r="O4130" s="2">
        <f>IF(LeadsData[[#This Row],[Stage Number]]&gt;=4,1,0)</f>
        <v>0</v>
      </c>
    </row>
    <row r="4131" spans="1:15" x14ac:dyDescent="0.25">
      <c r="A4131" t="s">
        <v>4171</v>
      </c>
      <c r="B4131" s="1">
        <v>45306</v>
      </c>
      <c r="C4131" t="s">
        <v>11</v>
      </c>
      <c r="D4131" t="s">
        <v>79</v>
      </c>
      <c r="E4131" t="s">
        <v>21</v>
      </c>
      <c r="F4131" t="s">
        <v>19</v>
      </c>
      <c r="G4131" t="s">
        <v>29</v>
      </c>
      <c r="K4131" cm="1">
        <f t="array" ref="K4131">_xlfn.SWITCH(LeadsData[[#This Row],[Funnel Stage Reached]],"Lead",1,"MQL",2,"SQL",3,"Customer",4)</f>
        <v>3</v>
      </c>
      <c r="L4131" t="str">
        <f>TEXT(LeadsData[[#This Row],[Signup Date]],"mmm-yyyy")</f>
        <v>Jan-2024</v>
      </c>
      <c r="M4131">
        <f>IF(LeadsData[[#This Row],[Stage Number]]&gt;=2,1,0)</f>
        <v>1</v>
      </c>
      <c r="N4131" s="2">
        <f>IF(LeadsData[[#This Row],[Stage Number]]&gt;=3,1,0)</f>
        <v>1</v>
      </c>
      <c r="O4131" s="2">
        <f>IF(LeadsData[[#This Row],[Stage Number]]&gt;=4,1,0)</f>
        <v>0</v>
      </c>
    </row>
    <row r="4132" spans="1:15" x14ac:dyDescent="0.25">
      <c r="A4132" t="s">
        <v>4172</v>
      </c>
      <c r="B4132" s="1">
        <v>45409</v>
      </c>
      <c r="C4132" t="s">
        <v>17</v>
      </c>
      <c r="D4132" t="s">
        <v>18</v>
      </c>
      <c r="E4132" t="s">
        <v>21</v>
      </c>
      <c r="F4132" t="s">
        <v>22</v>
      </c>
      <c r="G4132" t="s">
        <v>23</v>
      </c>
      <c r="K4132" cm="1">
        <f t="array" ref="K4132">_xlfn.SWITCH(LeadsData[[#This Row],[Funnel Stage Reached]],"Lead",1,"MQL",2,"SQL",3,"Customer",4)</f>
        <v>2</v>
      </c>
      <c r="L4132" t="str">
        <f>TEXT(LeadsData[[#This Row],[Signup Date]],"mmm-yyyy")</f>
        <v>Apr-2024</v>
      </c>
      <c r="M4132">
        <f>IF(LeadsData[[#This Row],[Stage Number]]&gt;=2,1,0)</f>
        <v>1</v>
      </c>
      <c r="N4132" s="2">
        <f>IF(LeadsData[[#This Row],[Stage Number]]&gt;=3,1,0)</f>
        <v>0</v>
      </c>
      <c r="O4132" s="2">
        <f>IF(LeadsData[[#This Row],[Stage Number]]&gt;=4,1,0)</f>
        <v>0</v>
      </c>
    </row>
    <row r="4133" spans="1:15" x14ac:dyDescent="0.25">
      <c r="A4133" t="s">
        <v>4173</v>
      </c>
      <c r="B4133" s="1">
        <v>45386</v>
      </c>
      <c r="C4133" t="s">
        <v>25</v>
      </c>
      <c r="D4133" t="s">
        <v>26</v>
      </c>
      <c r="E4133" t="s">
        <v>13</v>
      </c>
      <c r="F4133" t="s">
        <v>19</v>
      </c>
      <c r="G4133" t="s">
        <v>23</v>
      </c>
      <c r="K4133" cm="1">
        <f t="array" ref="K4133">_xlfn.SWITCH(LeadsData[[#This Row],[Funnel Stage Reached]],"Lead",1,"MQL",2,"SQL",3,"Customer",4)</f>
        <v>2</v>
      </c>
      <c r="L4133" t="str">
        <f>TEXT(LeadsData[[#This Row],[Signup Date]],"mmm-yyyy")</f>
        <v>Apr-2024</v>
      </c>
      <c r="M4133">
        <f>IF(LeadsData[[#This Row],[Stage Number]]&gt;=2,1,0)</f>
        <v>1</v>
      </c>
      <c r="N4133" s="2">
        <f>IF(LeadsData[[#This Row],[Stage Number]]&gt;=3,1,0)</f>
        <v>0</v>
      </c>
      <c r="O4133" s="2">
        <f>IF(LeadsData[[#This Row],[Stage Number]]&gt;=4,1,0)</f>
        <v>0</v>
      </c>
    </row>
    <row r="4134" spans="1:15" x14ac:dyDescent="0.25">
      <c r="A4134" t="s">
        <v>4174</v>
      </c>
      <c r="B4134" s="1">
        <v>45492</v>
      </c>
      <c r="C4134" t="s">
        <v>11</v>
      </c>
      <c r="D4134" t="s">
        <v>79</v>
      </c>
      <c r="E4134" t="s">
        <v>21</v>
      </c>
      <c r="F4134" t="s">
        <v>28</v>
      </c>
      <c r="G4134" t="s">
        <v>15</v>
      </c>
      <c r="K4134" cm="1">
        <f t="array" ref="K4134">_xlfn.SWITCH(LeadsData[[#This Row],[Funnel Stage Reached]],"Lead",1,"MQL",2,"SQL",3,"Customer",4)</f>
        <v>1</v>
      </c>
      <c r="L4134" t="str">
        <f>TEXT(LeadsData[[#This Row],[Signup Date]],"mmm-yyyy")</f>
        <v>Jul-2024</v>
      </c>
      <c r="M4134">
        <f>IF(LeadsData[[#This Row],[Stage Number]]&gt;=2,1,0)</f>
        <v>0</v>
      </c>
      <c r="N4134" s="2">
        <f>IF(LeadsData[[#This Row],[Stage Number]]&gt;=3,1,0)</f>
        <v>0</v>
      </c>
      <c r="O4134" s="2">
        <f>IF(LeadsData[[#This Row],[Stage Number]]&gt;=4,1,0)</f>
        <v>0</v>
      </c>
    </row>
    <row r="4135" spans="1:15" x14ac:dyDescent="0.25">
      <c r="A4135" t="s">
        <v>4175</v>
      </c>
      <c r="B4135" s="1">
        <v>45552</v>
      </c>
      <c r="C4135" t="s">
        <v>17</v>
      </c>
      <c r="D4135" t="s">
        <v>18</v>
      </c>
      <c r="E4135" t="s">
        <v>13</v>
      </c>
      <c r="F4135" t="s">
        <v>14</v>
      </c>
      <c r="G4135" t="s">
        <v>29</v>
      </c>
      <c r="K4135" cm="1">
        <f t="array" ref="K4135">_xlfn.SWITCH(LeadsData[[#This Row],[Funnel Stage Reached]],"Lead",1,"MQL",2,"SQL",3,"Customer",4)</f>
        <v>3</v>
      </c>
      <c r="L4135" t="str">
        <f>TEXT(LeadsData[[#This Row],[Signup Date]],"mmm-yyyy")</f>
        <v>Sep-2024</v>
      </c>
      <c r="M4135">
        <f>IF(LeadsData[[#This Row],[Stage Number]]&gt;=2,1,0)</f>
        <v>1</v>
      </c>
      <c r="N4135" s="2">
        <f>IF(LeadsData[[#This Row],[Stage Number]]&gt;=3,1,0)</f>
        <v>1</v>
      </c>
      <c r="O4135" s="2">
        <f>IF(LeadsData[[#This Row],[Stage Number]]&gt;=4,1,0)</f>
        <v>0</v>
      </c>
    </row>
    <row r="4136" spans="1:15" x14ac:dyDescent="0.25">
      <c r="A4136" t="s">
        <v>4176</v>
      </c>
      <c r="B4136" s="1">
        <v>45331</v>
      </c>
      <c r="C4136" t="s">
        <v>25</v>
      </c>
      <c r="D4136" t="s">
        <v>26</v>
      </c>
      <c r="E4136" t="s">
        <v>13</v>
      </c>
      <c r="F4136" t="s">
        <v>22</v>
      </c>
      <c r="G4136" t="s">
        <v>15</v>
      </c>
      <c r="K4136" cm="1">
        <f t="array" ref="K4136">_xlfn.SWITCH(LeadsData[[#This Row],[Funnel Stage Reached]],"Lead",1,"MQL",2,"SQL",3,"Customer",4)</f>
        <v>1</v>
      </c>
      <c r="L4136" t="str">
        <f>TEXT(LeadsData[[#This Row],[Signup Date]],"mmm-yyyy")</f>
        <v>Feb-2024</v>
      </c>
      <c r="M4136">
        <f>IF(LeadsData[[#This Row],[Stage Number]]&gt;=2,1,0)</f>
        <v>0</v>
      </c>
      <c r="N4136" s="2">
        <f>IF(LeadsData[[#This Row],[Stage Number]]&gt;=3,1,0)</f>
        <v>0</v>
      </c>
      <c r="O4136" s="2">
        <f>IF(LeadsData[[#This Row],[Stage Number]]&gt;=4,1,0)</f>
        <v>0</v>
      </c>
    </row>
    <row r="4137" spans="1:15" x14ac:dyDescent="0.25">
      <c r="A4137" t="s">
        <v>4177</v>
      </c>
      <c r="B4137" s="1">
        <v>45349</v>
      </c>
      <c r="C4137" t="s">
        <v>17</v>
      </c>
      <c r="D4137" t="s">
        <v>18</v>
      </c>
      <c r="E4137" t="s">
        <v>13</v>
      </c>
      <c r="F4137" t="s">
        <v>22</v>
      </c>
      <c r="G4137" t="s">
        <v>15</v>
      </c>
      <c r="K4137" cm="1">
        <f t="array" ref="K4137">_xlfn.SWITCH(LeadsData[[#This Row],[Funnel Stage Reached]],"Lead",1,"MQL",2,"SQL",3,"Customer",4)</f>
        <v>1</v>
      </c>
      <c r="L4137" t="str">
        <f>TEXT(LeadsData[[#This Row],[Signup Date]],"mmm-yyyy")</f>
        <v>Feb-2024</v>
      </c>
      <c r="M4137">
        <f>IF(LeadsData[[#This Row],[Stage Number]]&gt;=2,1,0)</f>
        <v>0</v>
      </c>
      <c r="N4137" s="2">
        <f>IF(LeadsData[[#This Row],[Stage Number]]&gt;=3,1,0)</f>
        <v>0</v>
      </c>
      <c r="O4137" s="2">
        <f>IF(LeadsData[[#This Row],[Stage Number]]&gt;=4,1,0)</f>
        <v>0</v>
      </c>
    </row>
    <row r="4138" spans="1:15" x14ac:dyDescent="0.25">
      <c r="A4138" t="s">
        <v>4178</v>
      </c>
      <c r="B4138" s="1">
        <v>45574</v>
      </c>
      <c r="C4138" t="s">
        <v>17</v>
      </c>
      <c r="D4138" t="s">
        <v>18</v>
      </c>
      <c r="E4138" t="s">
        <v>21</v>
      </c>
      <c r="F4138" t="s">
        <v>19</v>
      </c>
      <c r="G4138" t="s">
        <v>15</v>
      </c>
      <c r="K4138" cm="1">
        <f t="array" ref="K4138">_xlfn.SWITCH(LeadsData[[#This Row],[Funnel Stage Reached]],"Lead",1,"MQL",2,"SQL",3,"Customer",4)</f>
        <v>1</v>
      </c>
      <c r="L4138" t="str">
        <f>TEXT(LeadsData[[#This Row],[Signup Date]],"mmm-yyyy")</f>
        <v>Oct-2024</v>
      </c>
      <c r="M4138">
        <f>IF(LeadsData[[#This Row],[Stage Number]]&gt;=2,1,0)</f>
        <v>0</v>
      </c>
      <c r="N4138" s="2">
        <f>IF(LeadsData[[#This Row],[Stage Number]]&gt;=3,1,0)</f>
        <v>0</v>
      </c>
      <c r="O4138" s="2">
        <f>IF(LeadsData[[#This Row],[Stage Number]]&gt;=4,1,0)</f>
        <v>0</v>
      </c>
    </row>
    <row r="4139" spans="1:15" x14ac:dyDescent="0.25">
      <c r="A4139" t="s">
        <v>4179</v>
      </c>
      <c r="B4139" s="1">
        <v>45543</v>
      </c>
      <c r="C4139" t="s">
        <v>31</v>
      </c>
      <c r="D4139" t="s">
        <v>32</v>
      </c>
      <c r="E4139" t="s">
        <v>48</v>
      </c>
      <c r="F4139" t="s">
        <v>14</v>
      </c>
      <c r="G4139" t="s">
        <v>23</v>
      </c>
      <c r="K4139" cm="1">
        <f t="array" ref="K4139">_xlfn.SWITCH(LeadsData[[#This Row],[Funnel Stage Reached]],"Lead",1,"MQL",2,"SQL",3,"Customer",4)</f>
        <v>2</v>
      </c>
      <c r="L4139" t="str">
        <f>TEXT(LeadsData[[#This Row],[Signup Date]],"mmm-yyyy")</f>
        <v>Sep-2024</v>
      </c>
      <c r="M4139">
        <f>IF(LeadsData[[#This Row],[Stage Number]]&gt;=2,1,0)</f>
        <v>1</v>
      </c>
      <c r="N4139" s="2">
        <f>IF(LeadsData[[#This Row],[Stage Number]]&gt;=3,1,0)</f>
        <v>0</v>
      </c>
      <c r="O4139" s="2">
        <f>IF(LeadsData[[#This Row],[Stage Number]]&gt;=4,1,0)</f>
        <v>0</v>
      </c>
    </row>
    <row r="4140" spans="1:15" x14ac:dyDescent="0.25">
      <c r="A4140" t="s">
        <v>4180</v>
      </c>
      <c r="B4140" s="1">
        <v>45389</v>
      </c>
      <c r="C4140" t="s">
        <v>25</v>
      </c>
      <c r="D4140" t="s">
        <v>26</v>
      </c>
      <c r="E4140" t="s">
        <v>13</v>
      </c>
      <c r="F4140" t="s">
        <v>28</v>
      </c>
      <c r="G4140" t="s">
        <v>15</v>
      </c>
      <c r="K4140" cm="1">
        <f t="array" ref="K4140">_xlfn.SWITCH(LeadsData[[#This Row],[Funnel Stage Reached]],"Lead",1,"MQL",2,"SQL",3,"Customer",4)</f>
        <v>1</v>
      </c>
      <c r="L4140" t="str">
        <f>TEXT(LeadsData[[#This Row],[Signup Date]],"mmm-yyyy")</f>
        <v>Apr-2024</v>
      </c>
      <c r="M4140">
        <f>IF(LeadsData[[#This Row],[Stage Number]]&gt;=2,1,0)</f>
        <v>0</v>
      </c>
      <c r="N4140" s="2">
        <f>IF(LeadsData[[#This Row],[Stage Number]]&gt;=3,1,0)</f>
        <v>0</v>
      </c>
      <c r="O4140" s="2">
        <f>IF(LeadsData[[#This Row],[Stage Number]]&gt;=4,1,0)</f>
        <v>0</v>
      </c>
    </row>
    <row r="4141" spans="1:15" x14ac:dyDescent="0.25">
      <c r="A4141" t="s">
        <v>4181</v>
      </c>
      <c r="B4141" s="1">
        <v>45301</v>
      </c>
      <c r="C4141" t="s">
        <v>17</v>
      </c>
      <c r="D4141" t="s">
        <v>18</v>
      </c>
      <c r="E4141" t="s">
        <v>21</v>
      </c>
      <c r="F4141" t="s">
        <v>19</v>
      </c>
      <c r="G4141" t="s">
        <v>23</v>
      </c>
      <c r="K4141" cm="1">
        <f t="array" ref="K4141">_xlfn.SWITCH(LeadsData[[#This Row],[Funnel Stage Reached]],"Lead",1,"MQL",2,"SQL",3,"Customer",4)</f>
        <v>2</v>
      </c>
      <c r="L4141" t="str">
        <f>TEXT(LeadsData[[#This Row],[Signup Date]],"mmm-yyyy")</f>
        <v>Jan-2024</v>
      </c>
      <c r="M4141">
        <f>IF(LeadsData[[#This Row],[Stage Number]]&gt;=2,1,0)</f>
        <v>1</v>
      </c>
      <c r="N4141" s="2">
        <f>IF(LeadsData[[#This Row],[Stage Number]]&gt;=3,1,0)</f>
        <v>0</v>
      </c>
      <c r="O4141" s="2">
        <f>IF(LeadsData[[#This Row],[Stage Number]]&gt;=4,1,0)</f>
        <v>0</v>
      </c>
    </row>
    <row r="4142" spans="1:15" x14ac:dyDescent="0.25">
      <c r="A4142" t="s">
        <v>4182</v>
      </c>
      <c r="B4142" s="1">
        <v>45556</v>
      </c>
      <c r="C4142" t="s">
        <v>25</v>
      </c>
      <c r="D4142" t="s">
        <v>26</v>
      </c>
      <c r="E4142" t="s">
        <v>13</v>
      </c>
      <c r="F4142" t="s">
        <v>14</v>
      </c>
      <c r="G4142" t="s">
        <v>15</v>
      </c>
      <c r="K4142" cm="1">
        <f t="array" ref="K4142">_xlfn.SWITCH(LeadsData[[#This Row],[Funnel Stage Reached]],"Lead",1,"MQL",2,"SQL",3,"Customer",4)</f>
        <v>1</v>
      </c>
      <c r="L4142" t="str">
        <f>TEXT(LeadsData[[#This Row],[Signup Date]],"mmm-yyyy")</f>
        <v>Sep-2024</v>
      </c>
      <c r="M4142">
        <f>IF(LeadsData[[#This Row],[Stage Number]]&gt;=2,1,0)</f>
        <v>0</v>
      </c>
      <c r="N4142" s="2">
        <f>IF(LeadsData[[#This Row],[Stage Number]]&gt;=3,1,0)</f>
        <v>0</v>
      </c>
      <c r="O4142" s="2">
        <f>IF(LeadsData[[#This Row],[Stage Number]]&gt;=4,1,0)</f>
        <v>0</v>
      </c>
    </row>
    <row r="4143" spans="1:15" x14ac:dyDescent="0.25">
      <c r="A4143" t="s">
        <v>4183</v>
      </c>
      <c r="B4143" s="1">
        <v>45602</v>
      </c>
      <c r="C4143" t="s">
        <v>25</v>
      </c>
      <c r="D4143" t="s">
        <v>26</v>
      </c>
      <c r="E4143" t="s">
        <v>21</v>
      </c>
      <c r="F4143" t="s">
        <v>22</v>
      </c>
      <c r="G4143" t="s">
        <v>15</v>
      </c>
      <c r="K4143" cm="1">
        <f t="array" ref="K4143">_xlfn.SWITCH(LeadsData[[#This Row],[Funnel Stage Reached]],"Lead",1,"MQL",2,"SQL",3,"Customer",4)</f>
        <v>1</v>
      </c>
      <c r="L4143" t="str">
        <f>TEXT(LeadsData[[#This Row],[Signup Date]],"mmm-yyyy")</f>
        <v>Nov-2024</v>
      </c>
      <c r="M4143">
        <f>IF(LeadsData[[#This Row],[Stage Number]]&gt;=2,1,0)</f>
        <v>0</v>
      </c>
      <c r="N4143" s="2">
        <f>IF(LeadsData[[#This Row],[Stage Number]]&gt;=3,1,0)</f>
        <v>0</v>
      </c>
      <c r="O4143" s="2">
        <f>IF(LeadsData[[#This Row],[Stage Number]]&gt;=4,1,0)</f>
        <v>0</v>
      </c>
    </row>
    <row r="4144" spans="1:15" x14ac:dyDescent="0.25">
      <c r="A4144" t="s">
        <v>4184</v>
      </c>
      <c r="B4144" s="1">
        <v>45536</v>
      </c>
      <c r="C4144" t="s">
        <v>31</v>
      </c>
      <c r="D4144" t="s">
        <v>34</v>
      </c>
      <c r="E4144" t="s">
        <v>21</v>
      </c>
      <c r="F4144" t="s">
        <v>19</v>
      </c>
      <c r="G4144" t="s">
        <v>29</v>
      </c>
      <c r="K4144" cm="1">
        <f t="array" ref="K4144">_xlfn.SWITCH(LeadsData[[#This Row],[Funnel Stage Reached]],"Lead",1,"MQL",2,"SQL",3,"Customer",4)</f>
        <v>3</v>
      </c>
      <c r="L4144" t="str">
        <f>TEXT(LeadsData[[#This Row],[Signup Date]],"mmm-yyyy")</f>
        <v>Sep-2024</v>
      </c>
      <c r="M4144">
        <f>IF(LeadsData[[#This Row],[Stage Number]]&gt;=2,1,0)</f>
        <v>1</v>
      </c>
      <c r="N4144" s="2">
        <f>IF(LeadsData[[#This Row],[Stage Number]]&gt;=3,1,0)</f>
        <v>1</v>
      </c>
      <c r="O4144" s="2">
        <f>IF(LeadsData[[#This Row],[Stage Number]]&gt;=4,1,0)</f>
        <v>0</v>
      </c>
    </row>
    <row r="4145" spans="1:15" x14ac:dyDescent="0.25">
      <c r="A4145" t="s">
        <v>4185</v>
      </c>
      <c r="B4145" s="1">
        <v>45339</v>
      </c>
      <c r="C4145" t="s">
        <v>36</v>
      </c>
      <c r="D4145" t="s">
        <v>37</v>
      </c>
      <c r="E4145" t="s">
        <v>21</v>
      </c>
      <c r="F4145" t="s">
        <v>19</v>
      </c>
      <c r="G4145" t="s">
        <v>15</v>
      </c>
      <c r="K4145" cm="1">
        <f t="array" ref="K4145">_xlfn.SWITCH(LeadsData[[#This Row],[Funnel Stage Reached]],"Lead",1,"MQL",2,"SQL",3,"Customer",4)</f>
        <v>1</v>
      </c>
      <c r="L4145" t="str">
        <f>TEXT(LeadsData[[#This Row],[Signup Date]],"mmm-yyyy")</f>
        <v>Feb-2024</v>
      </c>
      <c r="M4145">
        <f>IF(LeadsData[[#This Row],[Stage Number]]&gt;=2,1,0)</f>
        <v>0</v>
      </c>
      <c r="N4145" s="2">
        <f>IF(LeadsData[[#This Row],[Stage Number]]&gt;=3,1,0)</f>
        <v>0</v>
      </c>
      <c r="O4145" s="2">
        <f>IF(LeadsData[[#This Row],[Stage Number]]&gt;=4,1,0)</f>
        <v>0</v>
      </c>
    </row>
    <row r="4146" spans="1:15" x14ac:dyDescent="0.25">
      <c r="A4146" t="s">
        <v>4186</v>
      </c>
      <c r="B4146" s="1">
        <v>45360</v>
      </c>
      <c r="C4146" t="s">
        <v>25</v>
      </c>
      <c r="D4146" t="s">
        <v>26</v>
      </c>
      <c r="E4146" t="s">
        <v>21</v>
      </c>
      <c r="F4146" t="s">
        <v>14</v>
      </c>
      <c r="G4146" t="s">
        <v>15</v>
      </c>
      <c r="K4146" cm="1">
        <f t="array" ref="K4146">_xlfn.SWITCH(LeadsData[[#This Row],[Funnel Stage Reached]],"Lead",1,"MQL",2,"SQL",3,"Customer",4)</f>
        <v>1</v>
      </c>
      <c r="L4146" t="str">
        <f>TEXT(LeadsData[[#This Row],[Signup Date]],"mmm-yyyy")</f>
        <v>Mar-2024</v>
      </c>
      <c r="M4146">
        <f>IF(LeadsData[[#This Row],[Stage Number]]&gt;=2,1,0)</f>
        <v>0</v>
      </c>
      <c r="N4146" s="2">
        <f>IF(LeadsData[[#This Row],[Stage Number]]&gt;=3,1,0)</f>
        <v>0</v>
      </c>
      <c r="O4146" s="2">
        <f>IF(LeadsData[[#This Row],[Stage Number]]&gt;=4,1,0)</f>
        <v>0</v>
      </c>
    </row>
    <row r="4147" spans="1:15" x14ac:dyDescent="0.25">
      <c r="A4147" t="s">
        <v>4187</v>
      </c>
      <c r="B4147" s="1">
        <v>45606</v>
      </c>
      <c r="C4147" t="s">
        <v>31</v>
      </c>
      <c r="D4147" t="s">
        <v>34</v>
      </c>
      <c r="E4147" t="s">
        <v>13</v>
      </c>
      <c r="F4147" t="s">
        <v>22</v>
      </c>
      <c r="G4147" t="s">
        <v>15</v>
      </c>
      <c r="K4147" cm="1">
        <f t="array" ref="K4147">_xlfn.SWITCH(LeadsData[[#This Row],[Funnel Stage Reached]],"Lead",1,"MQL",2,"SQL",3,"Customer",4)</f>
        <v>1</v>
      </c>
      <c r="L4147" t="str">
        <f>TEXT(LeadsData[[#This Row],[Signup Date]],"mmm-yyyy")</f>
        <v>Nov-2024</v>
      </c>
      <c r="M4147">
        <f>IF(LeadsData[[#This Row],[Stage Number]]&gt;=2,1,0)</f>
        <v>0</v>
      </c>
      <c r="N4147" s="2">
        <f>IF(LeadsData[[#This Row],[Stage Number]]&gt;=3,1,0)</f>
        <v>0</v>
      </c>
      <c r="O4147" s="2">
        <f>IF(LeadsData[[#This Row],[Stage Number]]&gt;=4,1,0)</f>
        <v>0</v>
      </c>
    </row>
    <row r="4148" spans="1:15" x14ac:dyDescent="0.25">
      <c r="A4148" t="s">
        <v>4188</v>
      </c>
      <c r="B4148" s="1">
        <v>45551</v>
      </c>
      <c r="C4148" t="s">
        <v>11</v>
      </c>
      <c r="D4148" t="s">
        <v>12</v>
      </c>
      <c r="E4148" t="s">
        <v>13</v>
      </c>
      <c r="F4148" t="s">
        <v>22</v>
      </c>
      <c r="G4148" t="s">
        <v>15</v>
      </c>
      <c r="K4148" cm="1">
        <f t="array" ref="K4148">_xlfn.SWITCH(LeadsData[[#This Row],[Funnel Stage Reached]],"Lead",1,"MQL",2,"SQL",3,"Customer",4)</f>
        <v>1</v>
      </c>
      <c r="L4148" t="str">
        <f>TEXT(LeadsData[[#This Row],[Signup Date]],"mmm-yyyy")</f>
        <v>Sep-2024</v>
      </c>
      <c r="M4148">
        <f>IF(LeadsData[[#This Row],[Stage Number]]&gt;=2,1,0)</f>
        <v>0</v>
      </c>
      <c r="N4148" s="2">
        <f>IF(LeadsData[[#This Row],[Stage Number]]&gt;=3,1,0)</f>
        <v>0</v>
      </c>
      <c r="O4148" s="2">
        <f>IF(LeadsData[[#This Row],[Stage Number]]&gt;=4,1,0)</f>
        <v>0</v>
      </c>
    </row>
    <row r="4149" spans="1:15" x14ac:dyDescent="0.25">
      <c r="A4149" t="s">
        <v>4189</v>
      </c>
      <c r="B4149" s="1">
        <v>45469</v>
      </c>
      <c r="C4149" t="s">
        <v>31</v>
      </c>
      <c r="D4149" t="s">
        <v>34</v>
      </c>
      <c r="E4149" t="s">
        <v>13</v>
      </c>
      <c r="F4149" t="s">
        <v>19</v>
      </c>
      <c r="G4149" t="s">
        <v>15</v>
      </c>
      <c r="K4149" cm="1">
        <f t="array" ref="K4149">_xlfn.SWITCH(LeadsData[[#This Row],[Funnel Stage Reached]],"Lead",1,"MQL",2,"SQL",3,"Customer",4)</f>
        <v>1</v>
      </c>
      <c r="L4149" t="str">
        <f>TEXT(LeadsData[[#This Row],[Signup Date]],"mmm-yyyy")</f>
        <v>Jun-2024</v>
      </c>
      <c r="M4149">
        <f>IF(LeadsData[[#This Row],[Stage Number]]&gt;=2,1,0)</f>
        <v>0</v>
      </c>
      <c r="N4149" s="2">
        <f>IF(LeadsData[[#This Row],[Stage Number]]&gt;=3,1,0)</f>
        <v>0</v>
      </c>
      <c r="O4149" s="2">
        <f>IF(LeadsData[[#This Row],[Stage Number]]&gt;=4,1,0)</f>
        <v>0</v>
      </c>
    </row>
    <row r="4150" spans="1:15" x14ac:dyDescent="0.25">
      <c r="A4150" t="s">
        <v>4190</v>
      </c>
      <c r="B4150" s="1">
        <v>45400</v>
      </c>
      <c r="C4150" t="s">
        <v>31</v>
      </c>
      <c r="D4150" t="s">
        <v>32</v>
      </c>
      <c r="E4150" t="s">
        <v>21</v>
      </c>
      <c r="F4150" t="s">
        <v>19</v>
      </c>
      <c r="G4150" t="s">
        <v>15</v>
      </c>
      <c r="K4150" cm="1">
        <f t="array" ref="K4150">_xlfn.SWITCH(LeadsData[[#This Row],[Funnel Stage Reached]],"Lead",1,"MQL",2,"SQL",3,"Customer",4)</f>
        <v>1</v>
      </c>
      <c r="L4150" t="str">
        <f>TEXT(LeadsData[[#This Row],[Signup Date]],"mmm-yyyy")</f>
        <v>Apr-2024</v>
      </c>
      <c r="M4150">
        <f>IF(LeadsData[[#This Row],[Stage Number]]&gt;=2,1,0)</f>
        <v>0</v>
      </c>
      <c r="N4150" s="2">
        <f>IF(LeadsData[[#This Row],[Stage Number]]&gt;=3,1,0)</f>
        <v>0</v>
      </c>
      <c r="O4150" s="2">
        <f>IF(LeadsData[[#This Row],[Stage Number]]&gt;=4,1,0)</f>
        <v>0</v>
      </c>
    </row>
    <row r="4151" spans="1:15" x14ac:dyDescent="0.25">
      <c r="A4151" t="s">
        <v>4191</v>
      </c>
      <c r="B4151" s="1">
        <v>45448</v>
      </c>
      <c r="C4151" t="s">
        <v>17</v>
      </c>
      <c r="D4151" t="s">
        <v>18</v>
      </c>
      <c r="E4151" t="s">
        <v>21</v>
      </c>
      <c r="F4151" t="s">
        <v>19</v>
      </c>
      <c r="G4151" t="s">
        <v>42</v>
      </c>
      <c r="H4151">
        <v>29</v>
      </c>
      <c r="I4151" t="s">
        <v>87</v>
      </c>
      <c r="J4151">
        <v>4625.1499999999996</v>
      </c>
      <c r="K4151" cm="1">
        <f t="array" ref="K4151">_xlfn.SWITCH(LeadsData[[#This Row],[Funnel Stage Reached]],"Lead",1,"MQL",2,"SQL",3,"Customer",4)</f>
        <v>4</v>
      </c>
      <c r="L4151" t="str">
        <f>TEXT(LeadsData[[#This Row],[Signup Date]],"mmm-yyyy")</f>
        <v>Jun-2024</v>
      </c>
      <c r="M4151">
        <f>IF(LeadsData[[#This Row],[Stage Number]]&gt;=2,1,0)</f>
        <v>1</v>
      </c>
      <c r="N4151" s="2">
        <f>IF(LeadsData[[#This Row],[Stage Number]]&gt;=3,1,0)</f>
        <v>1</v>
      </c>
      <c r="O4151" s="2">
        <f>IF(LeadsData[[#This Row],[Stage Number]]&gt;=4,1,0)</f>
        <v>1</v>
      </c>
    </row>
    <row r="4152" spans="1:15" x14ac:dyDescent="0.25">
      <c r="A4152" t="s">
        <v>4192</v>
      </c>
      <c r="B4152" s="1">
        <v>45490</v>
      </c>
      <c r="C4152" t="s">
        <v>36</v>
      </c>
      <c r="D4152" t="s">
        <v>50</v>
      </c>
      <c r="E4152" t="s">
        <v>13</v>
      </c>
      <c r="F4152" t="s">
        <v>22</v>
      </c>
      <c r="G4152" t="s">
        <v>42</v>
      </c>
      <c r="H4152">
        <v>45</v>
      </c>
      <c r="I4152" t="s">
        <v>43</v>
      </c>
      <c r="J4152">
        <v>997.48</v>
      </c>
      <c r="K4152" cm="1">
        <f t="array" ref="K4152">_xlfn.SWITCH(LeadsData[[#This Row],[Funnel Stage Reached]],"Lead",1,"MQL",2,"SQL",3,"Customer",4)</f>
        <v>4</v>
      </c>
      <c r="L4152" t="str">
        <f>TEXT(LeadsData[[#This Row],[Signup Date]],"mmm-yyyy")</f>
        <v>Jul-2024</v>
      </c>
      <c r="M4152">
        <f>IF(LeadsData[[#This Row],[Stage Number]]&gt;=2,1,0)</f>
        <v>1</v>
      </c>
      <c r="N4152" s="2">
        <f>IF(LeadsData[[#This Row],[Stage Number]]&gt;=3,1,0)</f>
        <v>1</v>
      </c>
      <c r="O4152" s="2">
        <f>IF(LeadsData[[#This Row],[Stage Number]]&gt;=4,1,0)</f>
        <v>1</v>
      </c>
    </row>
    <row r="4153" spans="1:15" x14ac:dyDescent="0.25">
      <c r="A4153" t="s">
        <v>4193</v>
      </c>
      <c r="B4153" s="1">
        <v>45638</v>
      </c>
      <c r="C4153" t="s">
        <v>17</v>
      </c>
      <c r="D4153" t="s">
        <v>53</v>
      </c>
      <c r="E4153" t="s">
        <v>21</v>
      </c>
      <c r="F4153" t="s">
        <v>19</v>
      </c>
      <c r="G4153" t="s">
        <v>15</v>
      </c>
      <c r="K4153" cm="1">
        <f t="array" ref="K4153">_xlfn.SWITCH(LeadsData[[#This Row],[Funnel Stage Reached]],"Lead",1,"MQL",2,"SQL",3,"Customer",4)</f>
        <v>1</v>
      </c>
      <c r="L4153" t="str">
        <f>TEXT(LeadsData[[#This Row],[Signup Date]],"mmm-yyyy")</f>
        <v>Dec-2024</v>
      </c>
      <c r="M4153">
        <f>IF(LeadsData[[#This Row],[Stage Number]]&gt;=2,1,0)</f>
        <v>0</v>
      </c>
      <c r="N4153" s="2">
        <f>IF(LeadsData[[#This Row],[Stage Number]]&gt;=3,1,0)</f>
        <v>0</v>
      </c>
      <c r="O4153" s="2">
        <f>IF(LeadsData[[#This Row],[Stage Number]]&gt;=4,1,0)</f>
        <v>0</v>
      </c>
    </row>
    <row r="4154" spans="1:15" x14ac:dyDescent="0.25">
      <c r="A4154" t="s">
        <v>4194</v>
      </c>
      <c r="B4154" s="1">
        <v>45549</v>
      </c>
      <c r="C4154" t="s">
        <v>36</v>
      </c>
      <c r="D4154" t="s">
        <v>50</v>
      </c>
      <c r="E4154" t="s">
        <v>21</v>
      </c>
      <c r="F4154" t="s">
        <v>19</v>
      </c>
      <c r="G4154" t="s">
        <v>23</v>
      </c>
      <c r="K4154" cm="1">
        <f t="array" ref="K4154">_xlfn.SWITCH(LeadsData[[#This Row],[Funnel Stage Reached]],"Lead",1,"MQL",2,"SQL",3,"Customer",4)</f>
        <v>2</v>
      </c>
      <c r="L4154" t="str">
        <f>TEXT(LeadsData[[#This Row],[Signup Date]],"mmm-yyyy")</f>
        <v>Sep-2024</v>
      </c>
      <c r="M4154">
        <f>IF(LeadsData[[#This Row],[Stage Number]]&gt;=2,1,0)</f>
        <v>1</v>
      </c>
      <c r="N4154" s="2">
        <f>IF(LeadsData[[#This Row],[Stage Number]]&gt;=3,1,0)</f>
        <v>0</v>
      </c>
      <c r="O4154" s="2">
        <f>IF(LeadsData[[#This Row],[Stage Number]]&gt;=4,1,0)</f>
        <v>0</v>
      </c>
    </row>
    <row r="4155" spans="1:15" x14ac:dyDescent="0.25">
      <c r="A4155" t="s">
        <v>4195</v>
      </c>
      <c r="B4155" s="1">
        <v>45477</v>
      </c>
      <c r="C4155" t="s">
        <v>31</v>
      </c>
      <c r="D4155" t="s">
        <v>34</v>
      </c>
      <c r="E4155" t="s">
        <v>48</v>
      </c>
      <c r="F4155" t="s">
        <v>19</v>
      </c>
      <c r="G4155" t="s">
        <v>15</v>
      </c>
      <c r="K4155" cm="1">
        <f t="array" ref="K4155">_xlfn.SWITCH(LeadsData[[#This Row],[Funnel Stage Reached]],"Lead",1,"MQL",2,"SQL",3,"Customer",4)</f>
        <v>1</v>
      </c>
      <c r="L4155" t="str">
        <f>TEXT(LeadsData[[#This Row],[Signup Date]],"mmm-yyyy")</f>
        <v>Jul-2024</v>
      </c>
      <c r="M4155">
        <f>IF(LeadsData[[#This Row],[Stage Number]]&gt;=2,1,0)</f>
        <v>0</v>
      </c>
      <c r="N4155" s="2">
        <f>IF(LeadsData[[#This Row],[Stage Number]]&gt;=3,1,0)</f>
        <v>0</v>
      </c>
      <c r="O4155" s="2">
        <f>IF(LeadsData[[#This Row],[Stage Number]]&gt;=4,1,0)</f>
        <v>0</v>
      </c>
    </row>
    <row r="4156" spans="1:15" x14ac:dyDescent="0.25">
      <c r="A4156" t="s">
        <v>4196</v>
      </c>
      <c r="B4156" s="1">
        <v>45624</v>
      </c>
      <c r="C4156" t="s">
        <v>17</v>
      </c>
      <c r="D4156" t="s">
        <v>53</v>
      </c>
      <c r="E4156" t="s">
        <v>13</v>
      </c>
      <c r="F4156" t="s">
        <v>19</v>
      </c>
      <c r="G4156" t="s">
        <v>15</v>
      </c>
      <c r="K4156" cm="1">
        <f t="array" ref="K4156">_xlfn.SWITCH(LeadsData[[#This Row],[Funnel Stage Reached]],"Lead",1,"MQL",2,"SQL",3,"Customer",4)</f>
        <v>1</v>
      </c>
      <c r="L4156" t="str">
        <f>TEXT(LeadsData[[#This Row],[Signup Date]],"mmm-yyyy")</f>
        <v>Nov-2024</v>
      </c>
      <c r="M4156">
        <f>IF(LeadsData[[#This Row],[Stage Number]]&gt;=2,1,0)</f>
        <v>0</v>
      </c>
      <c r="N4156" s="2">
        <f>IF(LeadsData[[#This Row],[Stage Number]]&gt;=3,1,0)</f>
        <v>0</v>
      </c>
      <c r="O4156" s="2">
        <f>IF(LeadsData[[#This Row],[Stage Number]]&gt;=4,1,0)</f>
        <v>0</v>
      </c>
    </row>
    <row r="4157" spans="1:15" x14ac:dyDescent="0.25">
      <c r="A4157" t="s">
        <v>4197</v>
      </c>
      <c r="B4157" s="1">
        <v>45567</v>
      </c>
      <c r="C4157" t="s">
        <v>31</v>
      </c>
      <c r="D4157" t="s">
        <v>32</v>
      </c>
      <c r="E4157" t="s">
        <v>21</v>
      </c>
      <c r="F4157" t="s">
        <v>22</v>
      </c>
      <c r="G4157" t="s">
        <v>29</v>
      </c>
      <c r="K4157" cm="1">
        <f t="array" ref="K4157">_xlfn.SWITCH(LeadsData[[#This Row],[Funnel Stage Reached]],"Lead",1,"MQL",2,"SQL",3,"Customer",4)</f>
        <v>3</v>
      </c>
      <c r="L4157" t="str">
        <f>TEXT(LeadsData[[#This Row],[Signup Date]],"mmm-yyyy")</f>
        <v>Oct-2024</v>
      </c>
      <c r="M4157">
        <f>IF(LeadsData[[#This Row],[Stage Number]]&gt;=2,1,0)</f>
        <v>1</v>
      </c>
      <c r="N4157" s="2">
        <f>IF(LeadsData[[#This Row],[Stage Number]]&gt;=3,1,0)</f>
        <v>1</v>
      </c>
      <c r="O4157" s="2">
        <f>IF(LeadsData[[#This Row],[Stage Number]]&gt;=4,1,0)</f>
        <v>0</v>
      </c>
    </row>
    <row r="4158" spans="1:15" x14ac:dyDescent="0.25">
      <c r="A4158" t="s">
        <v>4198</v>
      </c>
      <c r="B4158" s="1">
        <v>45572</v>
      </c>
      <c r="C4158" t="s">
        <v>46</v>
      </c>
      <c r="D4158" t="s">
        <v>56</v>
      </c>
      <c r="E4158" t="s">
        <v>21</v>
      </c>
      <c r="F4158" t="s">
        <v>28</v>
      </c>
      <c r="G4158" t="s">
        <v>42</v>
      </c>
      <c r="H4158">
        <v>31</v>
      </c>
      <c r="I4158" t="s">
        <v>87</v>
      </c>
      <c r="J4158">
        <v>1760.44</v>
      </c>
      <c r="K4158" cm="1">
        <f t="array" ref="K4158">_xlfn.SWITCH(LeadsData[[#This Row],[Funnel Stage Reached]],"Lead",1,"MQL",2,"SQL",3,"Customer",4)</f>
        <v>4</v>
      </c>
      <c r="L4158" t="str">
        <f>TEXT(LeadsData[[#This Row],[Signup Date]],"mmm-yyyy")</f>
        <v>Oct-2024</v>
      </c>
      <c r="M4158">
        <f>IF(LeadsData[[#This Row],[Stage Number]]&gt;=2,1,0)</f>
        <v>1</v>
      </c>
      <c r="N4158" s="2">
        <f>IF(LeadsData[[#This Row],[Stage Number]]&gt;=3,1,0)</f>
        <v>1</v>
      </c>
      <c r="O4158" s="2">
        <f>IF(LeadsData[[#This Row],[Stage Number]]&gt;=4,1,0)</f>
        <v>1</v>
      </c>
    </row>
    <row r="4159" spans="1:15" x14ac:dyDescent="0.25">
      <c r="A4159" t="s">
        <v>4199</v>
      </c>
      <c r="B4159" s="1">
        <v>45423</v>
      </c>
      <c r="C4159" t="s">
        <v>46</v>
      </c>
      <c r="D4159" t="s">
        <v>47</v>
      </c>
      <c r="E4159" t="s">
        <v>13</v>
      </c>
      <c r="F4159" t="s">
        <v>19</v>
      </c>
      <c r="G4159" t="s">
        <v>29</v>
      </c>
      <c r="K4159" cm="1">
        <f t="array" ref="K4159">_xlfn.SWITCH(LeadsData[[#This Row],[Funnel Stage Reached]],"Lead",1,"MQL",2,"SQL",3,"Customer",4)</f>
        <v>3</v>
      </c>
      <c r="L4159" t="str">
        <f>TEXT(LeadsData[[#This Row],[Signup Date]],"mmm-yyyy")</f>
        <v>May-2024</v>
      </c>
      <c r="M4159">
        <f>IF(LeadsData[[#This Row],[Stage Number]]&gt;=2,1,0)</f>
        <v>1</v>
      </c>
      <c r="N4159" s="2">
        <f>IF(LeadsData[[#This Row],[Stage Number]]&gt;=3,1,0)</f>
        <v>1</v>
      </c>
      <c r="O4159" s="2">
        <f>IF(LeadsData[[#This Row],[Stage Number]]&gt;=4,1,0)</f>
        <v>0</v>
      </c>
    </row>
    <row r="4160" spans="1:15" x14ac:dyDescent="0.25">
      <c r="A4160" t="s">
        <v>4200</v>
      </c>
      <c r="B4160" s="1">
        <v>45383</v>
      </c>
      <c r="C4160" t="s">
        <v>25</v>
      </c>
      <c r="D4160" t="s">
        <v>26</v>
      </c>
      <c r="E4160" t="s">
        <v>13</v>
      </c>
      <c r="F4160" t="s">
        <v>19</v>
      </c>
      <c r="G4160" t="s">
        <v>15</v>
      </c>
      <c r="K4160" cm="1">
        <f t="array" ref="K4160">_xlfn.SWITCH(LeadsData[[#This Row],[Funnel Stage Reached]],"Lead",1,"MQL",2,"SQL",3,"Customer",4)</f>
        <v>1</v>
      </c>
      <c r="L4160" t="str">
        <f>TEXT(LeadsData[[#This Row],[Signup Date]],"mmm-yyyy")</f>
        <v>Apr-2024</v>
      </c>
      <c r="M4160">
        <f>IF(LeadsData[[#This Row],[Stage Number]]&gt;=2,1,0)</f>
        <v>0</v>
      </c>
      <c r="N4160" s="2">
        <f>IF(LeadsData[[#This Row],[Stage Number]]&gt;=3,1,0)</f>
        <v>0</v>
      </c>
      <c r="O4160" s="2">
        <f>IF(LeadsData[[#This Row],[Stage Number]]&gt;=4,1,0)</f>
        <v>0</v>
      </c>
    </row>
    <row r="4161" spans="1:15" x14ac:dyDescent="0.25">
      <c r="A4161" t="s">
        <v>4201</v>
      </c>
      <c r="B4161" s="1">
        <v>45326</v>
      </c>
      <c r="C4161" t="s">
        <v>46</v>
      </c>
      <c r="D4161" t="s">
        <v>56</v>
      </c>
      <c r="E4161" t="s">
        <v>21</v>
      </c>
      <c r="F4161" t="s">
        <v>22</v>
      </c>
      <c r="G4161" t="s">
        <v>15</v>
      </c>
      <c r="K4161" cm="1">
        <f t="array" ref="K4161">_xlfn.SWITCH(LeadsData[[#This Row],[Funnel Stage Reached]],"Lead",1,"MQL",2,"SQL",3,"Customer",4)</f>
        <v>1</v>
      </c>
      <c r="L4161" t="str">
        <f>TEXT(LeadsData[[#This Row],[Signup Date]],"mmm-yyyy")</f>
        <v>Feb-2024</v>
      </c>
      <c r="M4161">
        <f>IF(LeadsData[[#This Row],[Stage Number]]&gt;=2,1,0)</f>
        <v>0</v>
      </c>
      <c r="N4161" s="2">
        <f>IF(LeadsData[[#This Row],[Stage Number]]&gt;=3,1,0)</f>
        <v>0</v>
      </c>
      <c r="O4161" s="2">
        <f>IF(LeadsData[[#This Row],[Stage Number]]&gt;=4,1,0)</f>
        <v>0</v>
      </c>
    </row>
    <row r="4162" spans="1:15" x14ac:dyDescent="0.25">
      <c r="A4162" t="s">
        <v>4202</v>
      </c>
      <c r="B4162" s="1">
        <v>45360</v>
      </c>
      <c r="C4162" t="s">
        <v>25</v>
      </c>
      <c r="D4162" t="s">
        <v>26</v>
      </c>
      <c r="E4162" t="s">
        <v>13</v>
      </c>
      <c r="F4162" t="s">
        <v>22</v>
      </c>
      <c r="G4162" t="s">
        <v>15</v>
      </c>
      <c r="K4162" cm="1">
        <f t="array" ref="K4162">_xlfn.SWITCH(LeadsData[[#This Row],[Funnel Stage Reached]],"Lead",1,"MQL",2,"SQL",3,"Customer",4)</f>
        <v>1</v>
      </c>
      <c r="L4162" t="str">
        <f>TEXT(LeadsData[[#This Row],[Signup Date]],"mmm-yyyy")</f>
        <v>Mar-2024</v>
      </c>
      <c r="M4162">
        <f>IF(LeadsData[[#This Row],[Stage Number]]&gt;=2,1,0)</f>
        <v>0</v>
      </c>
      <c r="N4162" s="2">
        <f>IF(LeadsData[[#This Row],[Stage Number]]&gt;=3,1,0)</f>
        <v>0</v>
      </c>
      <c r="O4162" s="2">
        <f>IF(LeadsData[[#This Row],[Stage Number]]&gt;=4,1,0)</f>
        <v>0</v>
      </c>
    </row>
    <row r="4163" spans="1:15" x14ac:dyDescent="0.25">
      <c r="A4163" t="s">
        <v>4203</v>
      </c>
      <c r="B4163" s="1">
        <v>45592</v>
      </c>
      <c r="C4163" t="s">
        <v>36</v>
      </c>
      <c r="D4163" t="s">
        <v>50</v>
      </c>
      <c r="E4163" t="s">
        <v>48</v>
      </c>
      <c r="F4163" t="s">
        <v>19</v>
      </c>
      <c r="G4163" t="s">
        <v>15</v>
      </c>
      <c r="K4163" cm="1">
        <f t="array" ref="K4163">_xlfn.SWITCH(LeadsData[[#This Row],[Funnel Stage Reached]],"Lead",1,"MQL",2,"SQL",3,"Customer",4)</f>
        <v>1</v>
      </c>
      <c r="L4163" t="str">
        <f>TEXT(LeadsData[[#This Row],[Signup Date]],"mmm-yyyy")</f>
        <v>Oct-2024</v>
      </c>
      <c r="M4163">
        <f>IF(LeadsData[[#This Row],[Stage Number]]&gt;=2,1,0)</f>
        <v>0</v>
      </c>
      <c r="N4163" s="2">
        <f>IF(LeadsData[[#This Row],[Stage Number]]&gt;=3,1,0)</f>
        <v>0</v>
      </c>
      <c r="O4163" s="2">
        <f>IF(LeadsData[[#This Row],[Stage Number]]&gt;=4,1,0)</f>
        <v>0</v>
      </c>
    </row>
    <row r="4164" spans="1:15" x14ac:dyDescent="0.25">
      <c r="A4164" t="s">
        <v>4204</v>
      </c>
      <c r="B4164" s="1">
        <v>45468</v>
      </c>
      <c r="C4164" t="s">
        <v>46</v>
      </c>
      <c r="D4164" t="s">
        <v>47</v>
      </c>
      <c r="E4164" t="s">
        <v>21</v>
      </c>
      <c r="F4164" t="s">
        <v>22</v>
      </c>
      <c r="G4164" t="s">
        <v>15</v>
      </c>
      <c r="K4164" cm="1">
        <f t="array" ref="K4164">_xlfn.SWITCH(LeadsData[[#This Row],[Funnel Stage Reached]],"Lead",1,"MQL",2,"SQL",3,"Customer",4)</f>
        <v>1</v>
      </c>
      <c r="L4164" t="str">
        <f>TEXT(LeadsData[[#This Row],[Signup Date]],"mmm-yyyy")</f>
        <v>Jun-2024</v>
      </c>
      <c r="M4164">
        <f>IF(LeadsData[[#This Row],[Stage Number]]&gt;=2,1,0)</f>
        <v>0</v>
      </c>
      <c r="N4164" s="2">
        <f>IF(LeadsData[[#This Row],[Stage Number]]&gt;=3,1,0)</f>
        <v>0</v>
      </c>
      <c r="O4164" s="2">
        <f>IF(LeadsData[[#This Row],[Stage Number]]&gt;=4,1,0)</f>
        <v>0</v>
      </c>
    </row>
    <row r="4165" spans="1:15" x14ac:dyDescent="0.25">
      <c r="A4165" t="s">
        <v>4205</v>
      </c>
      <c r="B4165" s="1">
        <v>45409</v>
      </c>
      <c r="C4165" t="s">
        <v>36</v>
      </c>
      <c r="D4165" t="s">
        <v>50</v>
      </c>
      <c r="E4165" t="s">
        <v>13</v>
      </c>
      <c r="F4165" t="s">
        <v>19</v>
      </c>
      <c r="G4165" t="s">
        <v>23</v>
      </c>
      <c r="K4165" cm="1">
        <f t="array" ref="K4165">_xlfn.SWITCH(LeadsData[[#This Row],[Funnel Stage Reached]],"Lead",1,"MQL",2,"SQL",3,"Customer",4)</f>
        <v>2</v>
      </c>
      <c r="L4165" t="str">
        <f>TEXT(LeadsData[[#This Row],[Signup Date]],"mmm-yyyy")</f>
        <v>Apr-2024</v>
      </c>
      <c r="M4165">
        <f>IF(LeadsData[[#This Row],[Stage Number]]&gt;=2,1,0)</f>
        <v>1</v>
      </c>
      <c r="N4165" s="2">
        <f>IF(LeadsData[[#This Row],[Stage Number]]&gt;=3,1,0)</f>
        <v>0</v>
      </c>
      <c r="O4165" s="2">
        <f>IF(LeadsData[[#This Row],[Stage Number]]&gt;=4,1,0)</f>
        <v>0</v>
      </c>
    </row>
    <row r="4166" spans="1:15" x14ac:dyDescent="0.25">
      <c r="A4166" t="s">
        <v>4206</v>
      </c>
      <c r="B4166" s="1">
        <v>45615</v>
      </c>
      <c r="C4166" t="s">
        <v>31</v>
      </c>
      <c r="D4166" t="s">
        <v>34</v>
      </c>
      <c r="E4166" t="s">
        <v>13</v>
      </c>
      <c r="F4166" t="s">
        <v>14</v>
      </c>
      <c r="G4166" t="s">
        <v>15</v>
      </c>
      <c r="K4166" cm="1">
        <f t="array" ref="K4166">_xlfn.SWITCH(LeadsData[[#This Row],[Funnel Stage Reached]],"Lead",1,"MQL",2,"SQL",3,"Customer",4)</f>
        <v>1</v>
      </c>
      <c r="L4166" t="str">
        <f>TEXT(LeadsData[[#This Row],[Signup Date]],"mmm-yyyy")</f>
        <v>Nov-2024</v>
      </c>
      <c r="M4166">
        <f>IF(LeadsData[[#This Row],[Stage Number]]&gt;=2,1,0)</f>
        <v>0</v>
      </c>
      <c r="N4166" s="2">
        <f>IF(LeadsData[[#This Row],[Stage Number]]&gt;=3,1,0)</f>
        <v>0</v>
      </c>
      <c r="O4166" s="2">
        <f>IF(LeadsData[[#This Row],[Stage Number]]&gt;=4,1,0)</f>
        <v>0</v>
      </c>
    </row>
    <row r="4167" spans="1:15" x14ac:dyDescent="0.25">
      <c r="A4167" t="s">
        <v>4207</v>
      </c>
      <c r="B4167" s="1">
        <v>45466</v>
      </c>
      <c r="C4167" t="s">
        <v>11</v>
      </c>
      <c r="D4167" t="s">
        <v>79</v>
      </c>
      <c r="E4167" t="s">
        <v>48</v>
      </c>
      <c r="F4167" t="s">
        <v>22</v>
      </c>
      <c r="G4167" t="s">
        <v>15</v>
      </c>
      <c r="K4167" cm="1">
        <f t="array" ref="K4167">_xlfn.SWITCH(LeadsData[[#This Row],[Funnel Stage Reached]],"Lead",1,"MQL",2,"SQL",3,"Customer",4)</f>
        <v>1</v>
      </c>
      <c r="L4167" t="str">
        <f>TEXT(LeadsData[[#This Row],[Signup Date]],"mmm-yyyy")</f>
        <v>Jun-2024</v>
      </c>
      <c r="M4167">
        <f>IF(LeadsData[[#This Row],[Stage Number]]&gt;=2,1,0)</f>
        <v>0</v>
      </c>
      <c r="N4167" s="2">
        <f>IF(LeadsData[[#This Row],[Stage Number]]&gt;=3,1,0)</f>
        <v>0</v>
      </c>
      <c r="O4167" s="2">
        <f>IF(LeadsData[[#This Row],[Stage Number]]&gt;=4,1,0)</f>
        <v>0</v>
      </c>
    </row>
    <row r="4168" spans="1:15" x14ac:dyDescent="0.25">
      <c r="A4168" t="s">
        <v>4208</v>
      </c>
      <c r="B4168" s="1">
        <v>45387</v>
      </c>
      <c r="C4168" t="s">
        <v>36</v>
      </c>
      <c r="D4168" t="s">
        <v>37</v>
      </c>
      <c r="E4168" t="s">
        <v>21</v>
      </c>
      <c r="F4168" t="s">
        <v>22</v>
      </c>
      <c r="G4168" t="s">
        <v>15</v>
      </c>
      <c r="K4168" cm="1">
        <f t="array" ref="K4168">_xlfn.SWITCH(LeadsData[[#This Row],[Funnel Stage Reached]],"Lead",1,"MQL",2,"SQL",3,"Customer",4)</f>
        <v>1</v>
      </c>
      <c r="L4168" t="str">
        <f>TEXT(LeadsData[[#This Row],[Signup Date]],"mmm-yyyy")</f>
        <v>Apr-2024</v>
      </c>
      <c r="M4168">
        <f>IF(LeadsData[[#This Row],[Stage Number]]&gt;=2,1,0)</f>
        <v>0</v>
      </c>
      <c r="N4168" s="2">
        <f>IF(LeadsData[[#This Row],[Stage Number]]&gt;=3,1,0)</f>
        <v>0</v>
      </c>
      <c r="O4168" s="2">
        <f>IF(LeadsData[[#This Row],[Stage Number]]&gt;=4,1,0)</f>
        <v>0</v>
      </c>
    </row>
    <row r="4169" spans="1:15" x14ac:dyDescent="0.25">
      <c r="A4169" t="s">
        <v>4209</v>
      </c>
      <c r="B4169" s="1">
        <v>45653</v>
      </c>
      <c r="C4169" t="s">
        <v>31</v>
      </c>
      <c r="D4169" t="s">
        <v>32</v>
      </c>
      <c r="E4169" t="s">
        <v>48</v>
      </c>
      <c r="F4169" t="s">
        <v>22</v>
      </c>
      <c r="G4169" t="s">
        <v>29</v>
      </c>
      <c r="K4169" cm="1">
        <f t="array" ref="K4169">_xlfn.SWITCH(LeadsData[[#This Row],[Funnel Stage Reached]],"Lead",1,"MQL",2,"SQL",3,"Customer",4)</f>
        <v>3</v>
      </c>
      <c r="L4169" t="str">
        <f>TEXT(LeadsData[[#This Row],[Signup Date]],"mmm-yyyy")</f>
        <v>Dec-2024</v>
      </c>
      <c r="M4169">
        <f>IF(LeadsData[[#This Row],[Stage Number]]&gt;=2,1,0)</f>
        <v>1</v>
      </c>
      <c r="N4169" s="2">
        <f>IF(LeadsData[[#This Row],[Stage Number]]&gt;=3,1,0)</f>
        <v>1</v>
      </c>
      <c r="O4169" s="2">
        <f>IF(LeadsData[[#This Row],[Stage Number]]&gt;=4,1,0)</f>
        <v>0</v>
      </c>
    </row>
    <row r="4170" spans="1:15" x14ac:dyDescent="0.25">
      <c r="A4170" t="s">
        <v>4210</v>
      </c>
      <c r="B4170" s="1">
        <v>45419</v>
      </c>
      <c r="C4170" t="s">
        <v>46</v>
      </c>
      <c r="D4170" t="s">
        <v>56</v>
      </c>
      <c r="E4170" t="s">
        <v>13</v>
      </c>
      <c r="F4170" t="s">
        <v>19</v>
      </c>
      <c r="G4170" t="s">
        <v>23</v>
      </c>
      <c r="K4170" cm="1">
        <f t="array" ref="K4170">_xlfn.SWITCH(LeadsData[[#This Row],[Funnel Stage Reached]],"Lead",1,"MQL",2,"SQL",3,"Customer",4)</f>
        <v>2</v>
      </c>
      <c r="L4170" t="str">
        <f>TEXT(LeadsData[[#This Row],[Signup Date]],"mmm-yyyy")</f>
        <v>May-2024</v>
      </c>
      <c r="M4170">
        <f>IF(LeadsData[[#This Row],[Stage Number]]&gt;=2,1,0)</f>
        <v>1</v>
      </c>
      <c r="N4170" s="2">
        <f>IF(LeadsData[[#This Row],[Stage Number]]&gt;=3,1,0)</f>
        <v>0</v>
      </c>
      <c r="O4170" s="2">
        <f>IF(LeadsData[[#This Row],[Stage Number]]&gt;=4,1,0)</f>
        <v>0</v>
      </c>
    </row>
    <row r="4171" spans="1:15" x14ac:dyDescent="0.25">
      <c r="A4171" t="s">
        <v>4211</v>
      </c>
      <c r="B4171" s="1">
        <v>45597</v>
      </c>
      <c r="C4171" t="s">
        <v>31</v>
      </c>
      <c r="D4171" t="s">
        <v>32</v>
      </c>
      <c r="E4171" t="s">
        <v>21</v>
      </c>
      <c r="F4171" t="s">
        <v>28</v>
      </c>
      <c r="G4171" t="s">
        <v>23</v>
      </c>
      <c r="K4171" cm="1">
        <f t="array" ref="K4171">_xlfn.SWITCH(LeadsData[[#This Row],[Funnel Stage Reached]],"Lead",1,"MQL",2,"SQL",3,"Customer",4)</f>
        <v>2</v>
      </c>
      <c r="L4171" t="str">
        <f>TEXT(LeadsData[[#This Row],[Signup Date]],"mmm-yyyy")</f>
        <v>Nov-2024</v>
      </c>
      <c r="M4171">
        <f>IF(LeadsData[[#This Row],[Stage Number]]&gt;=2,1,0)</f>
        <v>1</v>
      </c>
      <c r="N4171" s="2">
        <f>IF(LeadsData[[#This Row],[Stage Number]]&gt;=3,1,0)</f>
        <v>0</v>
      </c>
      <c r="O4171" s="2">
        <f>IF(LeadsData[[#This Row],[Stage Number]]&gt;=4,1,0)</f>
        <v>0</v>
      </c>
    </row>
    <row r="4172" spans="1:15" x14ac:dyDescent="0.25">
      <c r="A4172" t="s">
        <v>4212</v>
      </c>
      <c r="B4172" s="1">
        <v>45608</v>
      </c>
      <c r="C4172" t="s">
        <v>25</v>
      </c>
      <c r="D4172" t="s">
        <v>26</v>
      </c>
      <c r="E4172" t="s">
        <v>21</v>
      </c>
      <c r="F4172" t="s">
        <v>22</v>
      </c>
      <c r="G4172" t="s">
        <v>23</v>
      </c>
      <c r="K4172" cm="1">
        <f t="array" ref="K4172">_xlfn.SWITCH(LeadsData[[#This Row],[Funnel Stage Reached]],"Lead",1,"MQL",2,"SQL",3,"Customer",4)</f>
        <v>2</v>
      </c>
      <c r="L4172" t="str">
        <f>TEXT(LeadsData[[#This Row],[Signup Date]],"mmm-yyyy")</f>
        <v>Nov-2024</v>
      </c>
      <c r="M4172">
        <f>IF(LeadsData[[#This Row],[Stage Number]]&gt;=2,1,0)</f>
        <v>1</v>
      </c>
      <c r="N4172" s="2">
        <f>IF(LeadsData[[#This Row],[Stage Number]]&gt;=3,1,0)</f>
        <v>0</v>
      </c>
      <c r="O4172" s="2">
        <f>IF(LeadsData[[#This Row],[Stage Number]]&gt;=4,1,0)</f>
        <v>0</v>
      </c>
    </row>
    <row r="4173" spans="1:15" x14ac:dyDescent="0.25">
      <c r="A4173" t="s">
        <v>4213</v>
      </c>
      <c r="B4173" s="1">
        <v>45336</v>
      </c>
      <c r="C4173" t="s">
        <v>36</v>
      </c>
      <c r="D4173" t="s">
        <v>37</v>
      </c>
      <c r="E4173" t="s">
        <v>21</v>
      </c>
      <c r="F4173" t="s">
        <v>19</v>
      </c>
      <c r="G4173" t="s">
        <v>42</v>
      </c>
      <c r="H4173">
        <v>39</v>
      </c>
      <c r="I4173" t="s">
        <v>43</v>
      </c>
      <c r="J4173">
        <v>952.4</v>
      </c>
      <c r="K4173" cm="1">
        <f t="array" ref="K4173">_xlfn.SWITCH(LeadsData[[#This Row],[Funnel Stage Reached]],"Lead",1,"MQL",2,"SQL",3,"Customer",4)</f>
        <v>4</v>
      </c>
      <c r="L4173" t="str">
        <f>TEXT(LeadsData[[#This Row],[Signup Date]],"mmm-yyyy")</f>
        <v>Feb-2024</v>
      </c>
      <c r="M4173">
        <f>IF(LeadsData[[#This Row],[Stage Number]]&gt;=2,1,0)</f>
        <v>1</v>
      </c>
      <c r="N4173" s="2">
        <f>IF(LeadsData[[#This Row],[Stage Number]]&gt;=3,1,0)</f>
        <v>1</v>
      </c>
      <c r="O4173" s="2">
        <f>IF(LeadsData[[#This Row],[Stage Number]]&gt;=4,1,0)</f>
        <v>1</v>
      </c>
    </row>
    <row r="4174" spans="1:15" x14ac:dyDescent="0.25">
      <c r="A4174" t="s">
        <v>4214</v>
      </c>
      <c r="B4174" s="1">
        <v>45495</v>
      </c>
      <c r="C4174" t="s">
        <v>25</v>
      </c>
      <c r="D4174" t="s">
        <v>26</v>
      </c>
      <c r="E4174" t="s">
        <v>21</v>
      </c>
      <c r="F4174" t="s">
        <v>14</v>
      </c>
      <c r="G4174" t="s">
        <v>15</v>
      </c>
      <c r="K4174" cm="1">
        <f t="array" ref="K4174">_xlfn.SWITCH(LeadsData[[#This Row],[Funnel Stage Reached]],"Lead",1,"MQL",2,"SQL",3,"Customer",4)</f>
        <v>1</v>
      </c>
      <c r="L4174" t="str">
        <f>TEXT(LeadsData[[#This Row],[Signup Date]],"mmm-yyyy")</f>
        <v>Jul-2024</v>
      </c>
      <c r="M4174">
        <f>IF(LeadsData[[#This Row],[Stage Number]]&gt;=2,1,0)</f>
        <v>0</v>
      </c>
      <c r="N4174" s="2">
        <f>IF(LeadsData[[#This Row],[Stage Number]]&gt;=3,1,0)</f>
        <v>0</v>
      </c>
      <c r="O4174" s="2">
        <f>IF(LeadsData[[#This Row],[Stage Number]]&gt;=4,1,0)</f>
        <v>0</v>
      </c>
    </row>
    <row r="4175" spans="1:15" x14ac:dyDescent="0.25">
      <c r="A4175" t="s">
        <v>4215</v>
      </c>
      <c r="B4175" s="1">
        <v>45619</v>
      </c>
      <c r="C4175" t="s">
        <v>46</v>
      </c>
      <c r="D4175" t="s">
        <v>47</v>
      </c>
      <c r="E4175" t="s">
        <v>13</v>
      </c>
      <c r="F4175" t="s">
        <v>22</v>
      </c>
      <c r="G4175" t="s">
        <v>23</v>
      </c>
      <c r="K4175" cm="1">
        <f t="array" ref="K4175">_xlfn.SWITCH(LeadsData[[#This Row],[Funnel Stage Reached]],"Lead",1,"MQL",2,"SQL",3,"Customer",4)</f>
        <v>2</v>
      </c>
      <c r="L4175" t="str">
        <f>TEXT(LeadsData[[#This Row],[Signup Date]],"mmm-yyyy")</f>
        <v>Nov-2024</v>
      </c>
      <c r="M4175">
        <f>IF(LeadsData[[#This Row],[Stage Number]]&gt;=2,1,0)</f>
        <v>1</v>
      </c>
      <c r="N4175" s="2">
        <f>IF(LeadsData[[#This Row],[Stage Number]]&gt;=3,1,0)</f>
        <v>0</v>
      </c>
      <c r="O4175" s="2">
        <f>IF(LeadsData[[#This Row],[Stage Number]]&gt;=4,1,0)</f>
        <v>0</v>
      </c>
    </row>
    <row r="4176" spans="1:15" x14ac:dyDescent="0.25">
      <c r="A4176" t="s">
        <v>4216</v>
      </c>
      <c r="B4176" s="1">
        <v>45439</v>
      </c>
      <c r="C4176" t="s">
        <v>17</v>
      </c>
      <c r="D4176" t="s">
        <v>18</v>
      </c>
      <c r="E4176" t="s">
        <v>13</v>
      </c>
      <c r="F4176" t="s">
        <v>19</v>
      </c>
      <c r="G4176" t="s">
        <v>15</v>
      </c>
      <c r="K4176" cm="1">
        <f t="array" ref="K4176">_xlfn.SWITCH(LeadsData[[#This Row],[Funnel Stage Reached]],"Lead",1,"MQL",2,"SQL",3,"Customer",4)</f>
        <v>1</v>
      </c>
      <c r="L4176" t="str">
        <f>TEXT(LeadsData[[#This Row],[Signup Date]],"mmm-yyyy")</f>
        <v>May-2024</v>
      </c>
      <c r="M4176">
        <f>IF(LeadsData[[#This Row],[Stage Number]]&gt;=2,1,0)</f>
        <v>0</v>
      </c>
      <c r="N4176" s="2">
        <f>IF(LeadsData[[#This Row],[Stage Number]]&gt;=3,1,0)</f>
        <v>0</v>
      </c>
      <c r="O4176" s="2">
        <f>IF(LeadsData[[#This Row],[Stage Number]]&gt;=4,1,0)</f>
        <v>0</v>
      </c>
    </row>
    <row r="4177" spans="1:15" x14ac:dyDescent="0.25">
      <c r="A4177" t="s">
        <v>4217</v>
      </c>
      <c r="B4177" s="1">
        <v>45618</v>
      </c>
      <c r="C4177" t="s">
        <v>31</v>
      </c>
      <c r="D4177" t="s">
        <v>32</v>
      </c>
      <c r="E4177" t="s">
        <v>21</v>
      </c>
      <c r="F4177" t="s">
        <v>19</v>
      </c>
      <c r="G4177" t="s">
        <v>23</v>
      </c>
      <c r="K4177" cm="1">
        <f t="array" ref="K4177">_xlfn.SWITCH(LeadsData[[#This Row],[Funnel Stage Reached]],"Lead",1,"MQL",2,"SQL",3,"Customer",4)</f>
        <v>2</v>
      </c>
      <c r="L4177" t="str">
        <f>TEXT(LeadsData[[#This Row],[Signup Date]],"mmm-yyyy")</f>
        <v>Nov-2024</v>
      </c>
      <c r="M4177">
        <f>IF(LeadsData[[#This Row],[Stage Number]]&gt;=2,1,0)</f>
        <v>1</v>
      </c>
      <c r="N4177" s="2">
        <f>IF(LeadsData[[#This Row],[Stage Number]]&gt;=3,1,0)</f>
        <v>0</v>
      </c>
      <c r="O4177" s="2">
        <f>IF(LeadsData[[#This Row],[Stage Number]]&gt;=4,1,0)</f>
        <v>0</v>
      </c>
    </row>
    <row r="4178" spans="1:15" x14ac:dyDescent="0.25">
      <c r="A4178" t="s">
        <v>4218</v>
      </c>
      <c r="B4178" s="1">
        <v>45646</v>
      </c>
      <c r="C4178" t="s">
        <v>46</v>
      </c>
      <c r="D4178" t="s">
        <v>47</v>
      </c>
      <c r="E4178" t="s">
        <v>21</v>
      </c>
      <c r="F4178" t="s">
        <v>14</v>
      </c>
      <c r="G4178" t="s">
        <v>23</v>
      </c>
      <c r="K4178" cm="1">
        <f t="array" ref="K4178">_xlfn.SWITCH(LeadsData[[#This Row],[Funnel Stage Reached]],"Lead",1,"MQL",2,"SQL",3,"Customer",4)</f>
        <v>2</v>
      </c>
      <c r="L4178" t="str">
        <f>TEXT(LeadsData[[#This Row],[Signup Date]],"mmm-yyyy")</f>
        <v>Dec-2024</v>
      </c>
      <c r="M4178">
        <f>IF(LeadsData[[#This Row],[Stage Number]]&gt;=2,1,0)</f>
        <v>1</v>
      </c>
      <c r="N4178" s="2">
        <f>IF(LeadsData[[#This Row],[Stage Number]]&gt;=3,1,0)</f>
        <v>0</v>
      </c>
      <c r="O4178" s="2">
        <f>IF(LeadsData[[#This Row],[Stage Number]]&gt;=4,1,0)</f>
        <v>0</v>
      </c>
    </row>
    <row r="4179" spans="1:15" x14ac:dyDescent="0.25">
      <c r="A4179" t="s">
        <v>4219</v>
      </c>
      <c r="B4179" s="1">
        <v>45310</v>
      </c>
      <c r="C4179" t="s">
        <v>36</v>
      </c>
      <c r="D4179" t="s">
        <v>50</v>
      </c>
      <c r="E4179" t="s">
        <v>21</v>
      </c>
      <c r="F4179" t="s">
        <v>14</v>
      </c>
      <c r="G4179" t="s">
        <v>15</v>
      </c>
      <c r="K4179" cm="1">
        <f t="array" ref="K4179">_xlfn.SWITCH(LeadsData[[#This Row],[Funnel Stage Reached]],"Lead",1,"MQL",2,"SQL",3,"Customer",4)</f>
        <v>1</v>
      </c>
      <c r="L4179" t="str">
        <f>TEXT(LeadsData[[#This Row],[Signup Date]],"mmm-yyyy")</f>
        <v>Jan-2024</v>
      </c>
      <c r="M4179">
        <f>IF(LeadsData[[#This Row],[Stage Number]]&gt;=2,1,0)</f>
        <v>0</v>
      </c>
      <c r="N4179" s="2">
        <f>IF(LeadsData[[#This Row],[Stage Number]]&gt;=3,1,0)</f>
        <v>0</v>
      </c>
      <c r="O4179" s="2">
        <f>IF(LeadsData[[#This Row],[Stage Number]]&gt;=4,1,0)</f>
        <v>0</v>
      </c>
    </row>
    <row r="4180" spans="1:15" x14ac:dyDescent="0.25">
      <c r="A4180" t="s">
        <v>4220</v>
      </c>
      <c r="B4180" s="1">
        <v>45405</v>
      </c>
      <c r="C4180" t="s">
        <v>25</v>
      </c>
      <c r="D4180" t="s">
        <v>26</v>
      </c>
      <c r="E4180" t="s">
        <v>48</v>
      </c>
      <c r="F4180" t="s">
        <v>22</v>
      </c>
      <c r="G4180" t="s">
        <v>23</v>
      </c>
      <c r="K4180" cm="1">
        <f t="array" ref="K4180">_xlfn.SWITCH(LeadsData[[#This Row],[Funnel Stage Reached]],"Lead",1,"MQL",2,"SQL",3,"Customer",4)</f>
        <v>2</v>
      </c>
      <c r="L4180" t="str">
        <f>TEXT(LeadsData[[#This Row],[Signup Date]],"mmm-yyyy")</f>
        <v>Apr-2024</v>
      </c>
      <c r="M4180">
        <f>IF(LeadsData[[#This Row],[Stage Number]]&gt;=2,1,0)</f>
        <v>1</v>
      </c>
      <c r="N4180" s="2">
        <f>IF(LeadsData[[#This Row],[Stage Number]]&gt;=3,1,0)</f>
        <v>0</v>
      </c>
      <c r="O4180" s="2">
        <f>IF(LeadsData[[#This Row],[Stage Number]]&gt;=4,1,0)</f>
        <v>0</v>
      </c>
    </row>
    <row r="4181" spans="1:15" x14ac:dyDescent="0.25">
      <c r="A4181" t="s">
        <v>4221</v>
      </c>
      <c r="B4181" s="1">
        <v>45649</v>
      </c>
      <c r="C4181" t="s">
        <v>31</v>
      </c>
      <c r="D4181" t="s">
        <v>34</v>
      </c>
      <c r="E4181" t="s">
        <v>21</v>
      </c>
      <c r="F4181" t="s">
        <v>22</v>
      </c>
      <c r="G4181" t="s">
        <v>23</v>
      </c>
      <c r="K4181" cm="1">
        <f t="array" ref="K4181">_xlfn.SWITCH(LeadsData[[#This Row],[Funnel Stage Reached]],"Lead",1,"MQL",2,"SQL",3,"Customer",4)</f>
        <v>2</v>
      </c>
      <c r="L4181" t="str">
        <f>TEXT(LeadsData[[#This Row],[Signup Date]],"mmm-yyyy")</f>
        <v>Dec-2024</v>
      </c>
      <c r="M4181">
        <f>IF(LeadsData[[#This Row],[Stage Number]]&gt;=2,1,0)</f>
        <v>1</v>
      </c>
      <c r="N4181" s="2">
        <f>IF(LeadsData[[#This Row],[Stage Number]]&gt;=3,1,0)</f>
        <v>0</v>
      </c>
      <c r="O4181" s="2">
        <f>IF(LeadsData[[#This Row],[Stage Number]]&gt;=4,1,0)</f>
        <v>0</v>
      </c>
    </row>
    <row r="4182" spans="1:15" x14ac:dyDescent="0.25">
      <c r="A4182" t="s">
        <v>4222</v>
      </c>
      <c r="B4182" s="1">
        <v>45361</v>
      </c>
      <c r="C4182" t="s">
        <v>31</v>
      </c>
      <c r="D4182" t="s">
        <v>34</v>
      </c>
      <c r="E4182" t="s">
        <v>48</v>
      </c>
      <c r="F4182" t="s">
        <v>19</v>
      </c>
      <c r="G4182" t="s">
        <v>29</v>
      </c>
      <c r="K4182" cm="1">
        <f t="array" ref="K4182">_xlfn.SWITCH(LeadsData[[#This Row],[Funnel Stage Reached]],"Lead",1,"MQL",2,"SQL",3,"Customer",4)</f>
        <v>3</v>
      </c>
      <c r="L4182" t="str">
        <f>TEXT(LeadsData[[#This Row],[Signup Date]],"mmm-yyyy")</f>
        <v>Mar-2024</v>
      </c>
      <c r="M4182">
        <f>IF(LeadsData[[#This Row],[Stage Number]]&gt;=2,1,0)</f>
        <v>1</v>
      </c>
      <c r="N4182" s="2">
        <f>IF(LeadsData[[#This Row],[Stage Number]]&gt;=3,1,0)</f>
        <v>1</v>
      </c>
      <c r="O4182" s="2">
        <f>IF(LeadsData[[#This Row],[Stage Number]]&gt;=4,1,0)</f>
        <v>0</v>
      </c>
    </row>
    <row r="4183" spans="1:15" x14ac:dyDescent="0.25">
      <c r="A4183" t="s">
        <v>4223</v>
      </c>
      <c r="B4183" s="1">
        <v>45575</v>
      </c>
      <c r="C4183" t="s">
        <v>31</v>
      </c>
      <c r="D4183" t="s">
        <v>34</v>
      </c>
      <c r="E4183" t="s">
        <v>13</v>
      </c>
      <c r="F4183" t="s">
        <v>22</v>
      </c>
      <c r="G4183" t="s">
        <v>42</v>
      </c>
      <c r="H4183">
        <v>17</v>
      </c>
      <c r="I4183" t="s">
        <v>43</v>
      </c>
      <c r="J4183">
        <v>973.64</v>
      </c>
      <c r="K4183" cm="1">
        <f t="array" ref="K4183">_xlfn.SWITCH(LeadsData[[#This Row],[Funnel Stage Reached]],"Lead",1,"MQL",2,"SQL",3,"Customer",4)</f>
        <v>4</v>
      </c>
      <c r="L4183" t="str">
        <f>TEXT(LeadsData[[#This Row],[Signup Date]],"mmm-yyyy")</f>
        <v>Oct-2024</v>
      </c>
      <c r="M4183">
        <f>IF(LeadsData[[#This Row],[Stage Number]]&gt;=2,1,0)</f>
        <v>1</v>
      </c>
      <c r="N4183" s="2">
        <f>IF(LeadsData[[#This Row],[Stage Number]]&gt;=3,1,0)</f>
        <v>1</v>
      </c>
      <c r="O4183" s="2">
        <f>IF(LeadsData[[#This Row],[Stage Number]]&gt;=4,1,0)</f>
        <v>1</v>
      </c>
    </row>
    <row r="4184" spans="1:15" x14ac:dyDescent="0.25">
      <c r="A4184" t="s">
        <v>4224</v>
      </c>
      <c r="B4184" s="1">
        <v>45386</v>
      </c>
      <c r="C4184" t="s">
        <v>31</v>
      </c>
      <c r="D4184" t="s">
        <v>34</v>
      </c>
      <c r="E4184" t="s">
        <v>48</v>
      </c>
      <c r="F4184" t="s">
        <v>28</v>
      </c>
      <c r="G4184" t="s">
        <v>15</v>
      </c>
      <c r="K4184" cm="1">
        <f t="array" ref="K4184">_xlfn.SWITCH(LeadsData[[#This Row],[Funnel Stage Reached]],"Lead",1,"MQL",2,"SQL",3,"Customer",4)</f>
        <v>1</v>
      </c>
      <c r="L4184" t="str">
        <f>TEXT(LeadsData[[#This Row],[Signup Date]],"mmm-yyyy")</f>
        <v>Apr-2024</v>
      </c>
      <c r="M4184">
        <f>IF(LeadsData[[#This Row],[Stage Number]]&gt;=2,1,0)</f>
        <v>0</v>
      </c>
      <c r="N4184" s="2">
        <f>IF(LeadsData[[#This Row],[Stage Number]]&gt;=3,1,0)</f>
        <v>0</v>
      </c>
      <c r="O4184" s="2">
        <f>IF(LeadsData[[#This Row],[Stage Number]]&gt;=4,1,0)</f>
        <v>0</v>
      </c>
    </row>
    <row r="4185" spans="1:15" x14ac:dyDescent="0.25">
      <c r="A4185" t="s">
        <v>4225</v>
      </c>
      <c r="B4185" s="1">
        <v>45356</v>
      </c>
      <c r="C4185" t="s">
        <v>46</v>
      </c>
      <c r="D4185" t="s">
        <v>56</v>
      </c>
      <c r="E4185" t="s">
        <v>21</v>
      </c>
      <c r="F4185" t="s">
        <v>14</v>
      </c>
      <c r="G4185" t="s">
        <v>15</v>
      </c>
      <c r="K4185" cm="1">
        <f t="array" ref="K4185">_xlfn.SWITCH(LeadsData[[#This Row],[Funnel Stage Reached]],"Lead",1,"MQL",2,"SQL",3,"Customer",4)</f>
        <v>1</v>
      </c>
      <c r="L4185" t="str">
        <f>TEXT(LeadsData[[#This Row],[Signup Date]],"mmm-yyyy")</f>
        <v>Mar-2024</v>
      </c>
      <c r="M4185">
        <f>IF(LeadsData[[#This Row],[Stage Number]]&gt;=2,1,0)</f>
        <v>0</v>
      </c>
      <c r="N4185" s="2">
        <f>IF(LeadsData[[#This Row],[Stage Number]]&gt;=3,1,0)</f>
        <v>0</v>
      </c>
      <c r="O4185" s="2">
        <f>IF(LeadsData[[#This Row],[Stage Number]]&gt;=4,1,0)</f>
        <v>0</v>
      </c>
    </row>
    <row r="4186" spans="1:15" x14ac:dyDescent="0.25">
      <c r="A4186" t="s">
        <v>4226</v>
      </c>
      <c r="B4186" s="1">
        <v>45374</v>
      </c>
      <c r="C4186" t="s">
        <v>36</v>
      </c>
      <c r="D4186" t="s">
        <v>37</v>
      </c>
      <c r="E4186" t="s">
        <v>21</v>
      </c>
      <c r="F4186" t="s">
        <v>22</v>
      </c>
      <c r="G4186" t="s">
        <v>15</v>
      </c>
      <c r="K4186" cm="1">
        <f t="array" ref="K4186">_xlfn.SWITCH(LeadsData[[#This Row],[Funnel Stage Reached]],"Lead",1,"MQL",2,"SQL",3,"Customer",4)</f>
        <v>1</v>
      </c>
      <c r="L4186" t="str">
        <f>TEXT(LeadsData[[#This Row],[Signup Date]],"mmm-yyyy")</f>
        <v>Mar-2024</v>
      </c>
      <c r="M4186">
        <f>IF(LeadsData[[#This Row],[Stage Number]]&gt;=2,1,0)</f>
        <v>0</v>
      </c>
      <c r="N4186" s="2">
        <f>IF(LeadsData[[#This Row],[Stage Number]]&gt;=3,1,0)</f>
        <v>0</v>
      </c>
      <c r="O4186" s="2">
        <f>IF(LeadsData[[#This Row],[Stage Number]]&gt;=4,1,0)</f>
        <v>0</v>
      </c>
    </row>
    <row r="4187" spans="1:15" x14ac:dyDescent="0.25">
      <c r="A4187" t="s">
        <v>4227</v>
      </c>
      <c r="B4187" s="1">
        <v>45569</v>
      </c>
      <c r="C4187" t="s">
        <v>25</v>
      </c>
      <c r="D4187" t="s">
        <v>26</v>
      </c>
      <c r="E4187" t="s">
        <v>21</v>
      </c>
      <c r="F4187" t="s">
        <v>22</v>
      </c>
      <c r="G4187" t="s">
        <v>23</v>
      </c>
      <c r="K4187" cm="1">
        <f t="array" ref="K4187">_xlfn.SWITCH(LeadsData[[#This Row],[Funnel Stage Reached]],"Lead",1,"MQL",2,"SQL",3,"Customer",4)</f>
        <v>2</v>
      </c>
      <c r="L4187" t="str">
        <f>TEXT(LeadsData[[#This Row],[Signup Date]],"mmm-yyyy")</f>
        <v>Oct-2024</v>
      </c>
      <c r="M4187">
        <f>IF(LeadsData[[#This Row],[Stage Number]]&gt;=2,1,0)</f>
        <v>1</v>
      </c>
      <c r="N4187" s="2">
        <f>IF(LeadsData[[#This Row],[Stage Number]]&gt;=3,1,0)</f>
        <v>0</v>
      </c>
      <c r="O4187" s="2">
        <f>IF(LeadsData[[#This Row],[Stage Number]]&gt;=4,1,0)</f>
        <v>0</v>
      </c>
    </row>
    <row r="4188" spans="1:15" x14ac:dyDescent="0.25">
      <c r="A4188" t="s">
        <v>4228</v>
      </c>
      <c r="B4188" s="1">
        <v>45317</v>
      </c>
      <c r="C4188" t="s">
        <v>25</v>
      </c>
      <c r="D4188" t="s">
        <v>26</v>
      </c>
      <c r="E4188" t="s">
        <v>13</v>
      </c>
      <c r="F4188" t="s">
        <v>19</v>
      </c>
      <c r="G4188" t="s">
        <v>15</v>
      </c>
      <c r="K4188" cm="1">
        <f t="array" ref="K4188">_xlfn.SWITCH(LeadsData[[#This Row],[Funnel Stage Reached]],"Lead",1,"MQL",2,"SQL",3,"Customer",4)</f>
        <v>1</v>
      </c>
      <c r="L4188" t="str">
        <f>TEXT(LeadsData[[#This Row],[Signup Date]],"mmm-yyyy")</f>
        <v>Jan-2024</v>
      </c>
      <c r="M4188">
        <f>IF(LeadsData[[#This Row],[Stage Number]]&gt;=2,1,0)</f>
        <v>0</v>
      </c>
      <c r="N4188" s="2">
        <f>IF(LeadsData[[#This Row],[Stage Number]]&gt;=3,1,0)</f>
        <v>0</v>
      </c>
      <c r="O4188" s="2">
        <f>IF(LeadsData[[#This Row],[Stage Number]]&gt;=4,1,0)</f>
        <v>0</v>
      </c>
    </row>
    <row r="4189" spans="1:15" x14ac:dyDescent="0.25">
      <c r="A4189" t="s">
        <v>4229</v>
      </c>
      <c r="B4189" s="1">
        <v>45447</v>
      </c>
      <c r="C4189" t="s">
        <v>31</v>
      </c>
      <c r="D4189" t="s">
        <v>34</v>
      </c>
      <c r="E4189" t="s">
        <v>13</v>
      </c>
      <c r="F4189" t="s">
        <v>19</v>
      </c>
      <c r="G4189" t="s">
        <v>23</v>
      </c>
      <c r="K4189" cm="1">
        <f t="array" ref="K4189">_xlfn.SWITCH(LeadsData[[#This Row],[Funnel Stage Reached]],"Lead",1,"MQL",2,"SQL",3,"Customer",4)</f>
        <v>2</v>
      </c>
      <c r="L4189" t="str">
        <f>TEXT(LeadsData[[#This Row],[Signup Date]],"mmm-yyyy")</f>
        <v>Jun-2024</v>
      </c>
      <c r="M4189">
        <f>IF(LeadsData[[#This Row],[Stage Number]]&gt;=2,1,0)</f>
        <v>1</v>
      </c>
      <c r="N4189" s="2">
        <f>IF(LeadsData[[#This Row],[Stage Number]]&gt;=3,1,0)</f>
        <v>0</v>
      </c>
      <c r="O4189" s="2">
        <f>IF(LeadsData[[#This Row],[Stage Number]]&gt;=4,1,0)</f>
        <v>0</v>
      </c>
    </row>
    <row r="4190" spans="1:15" x14ac:dyDescent="0.25">
      <c r="A4190" t="s">
        <v>4230</v>
      </c>
      <c r="B4190" s="1">
        <v>45572</v>
      </c>
      <c r="C4190" t="s">
        <v>25</v>
      </c>
      <c r="D4190" t="s">
        <v>26</v>
      </c>
      <c r="E4190" t="s">
        <v>21</v>
      </c>
      <c r="F4190" t="s">
        <v>22</v>
      </c>
      <c r="G4190" t="s">
        <v>29</v>
      </c>
      <c r="K4190" cm="1">
        <f t="array" ref="K4190">_xlfn.SWITCH(LeadsData[[#This Row],[Funnel Stage Reached]],"Lead",1,"MQL",2,"SQL",3,"Customer",4)</f>
        <v>3</v>
      </c>
      <c r="L4190" t="str">
        <f>TEXT(LeadsData[[#This Row],[Signup Date]],"mmm-yyyy")</f>
        <v>Oct-2024</v>
      </c>
      <c r="M4190">
        <f>IF(LeadsData[[#This Row],[Stage Number]]&gt;=2,1,0)</f>
        <v>1</v>
      </c>
      <c r="N4190" s="2">
        <f>IF(LeadsData[[#This Row],[Stage Number]]&gt;=3,1,0)</f>
        <v>1</v>
      </c>
      <c r="O4190" s="2">
        <f>IF(LeadsData[[#This Row],[Stage Number]]&gt;=4,1,0)</f>
        <v>0</v>
      </c>
    </row>
    <row r="4191" spans="1:15" x14ac:dyDescent="0.25">
      <c r="A4191" t="s">
        <v>4231</v>
      </c>
      <c r="B4191" s="1">
        <v>45387</v>
      </c>
      <c r="C4191" t="s">
        <v>17</v>
      </c>
      <c r="D4191" t="s">
        <v>18</v>
      </c>
      <c r="E4191" t="s">
        <v>21</v>
      </c>
      <c r="F4191" t="s">
        <v>19</v>
      </c>
      <c r="G4191" t="s">
        <v>15</v>
      </c>
      <c r="K4191" cm="1">
        <f t="array" ref="K4191">_xlfn.SWITCH(LeadsData[[#This Row],[Funnel Stage Reached]],"Lead",1,"MQL",2,"SQL",3,"Customer",4)</f>
        <v>1</v>
      </c>
      <c r="L4191" t="str">
        <f>TEXT(LeadsData[[#This Row],[Signup Date]],"mmm-yyyy")</f>
        <v>Apr-2024</v>
      </c>
      <c r="M4191">
        <f>IF(LeadsData[[#This Row],[Stage Number]]&gt;=2,1,0)</f>
        <v>0</v>
      </c>
      <c r="N4191" s="2">
        <f>IF(LeadsData[[#This Row],[Stage Number]]&gt;=3,1,0)</f>
        <v>0</v>
      </c>
      <c r="O4191" s="2">
        <f>IF(LeadsData[[#This Row],[Stage Number]]&gt;=4,1,0)</f>
        <v>0</v>
      </c>
    </row>
    <row r="4192" spans="1:15" x14ac:dyDescent="0.25">
      <c r="A4192" t="s">
        <v>4232</v>
      </c>
      <c r="B4192" s="1">
        <v>45651</v>
      </c>
      <c r="C4192" t="s">
        <v>17</v>
      </c>
      <c r="D4192" t="s">
        <v>18</v>
      </c>
      <c r="E4192" t="s">
        <v>13</v>
      </c>
      <c r="F4192" t="s">
        <v>19</v>
      </c>
      <c r="G4192" t="s">
        <v>15</v>
      </c>
      <c r="K4192" cm="1">
        <f t="array" ref="K4192">_xlfn.SWITCH(LeadsData[[#This Row],[Funnel Stage Reached]],"Lead",1,"MQL",2,"SQL",3,"Customer",4)</f>
        <v>1</v>
      </c>
      <c r="L4192" t="str">
        <f>TEXT(LeadsData[[#This Row],[Signup Date]],"mmm-yyyy")</f>
        <v>Dec-2024</v>
      </c>
      <c r="M4192">
        <f>IF(LeadsData[[#This Row],[Stage Number]]&gt;=2,1,0)</f>
        <v>0</v>
      </c>
      <c r="N4192" s="2">
        <f>IF(LeadsData[[#This Row],[Stage Number]]&gt;=3,1,0)</f>
        <v>0</v>
      </c>
      <c r="O4192" s="2">
        <f>IF(LeadsData[[#This Row],[Stage Number]]&gt;=4,1,0)</f>
        <v>0</v>
      </c>
    </row>
    <row r="4193" spans="1:15" x14ac:dyDescent="0.25">
      <c r="A4193" t="s">
        <v>4233</v>
      </c>
      <c r="B4193" s="1">
        <v>45647</v>
      </c>
      <c r="C4193" t="s">
        <v>36</v>
      </c>
      <c r="D4193" t="s">
        <v>37</v>
      </c>
      <c r="E4193" t="s">
        <v>13</v>
      </c>
      <c r="F4193" t="s">
        <v>22</v>
      </c>
      <c r="G4193" t="s">
        <v>42</v>
      </c>
      <c r="H4193">
        <v>44</v>
      </c>
      <c r="I4193" t="s">
        <v>87</v>
      </c>
      <c r="J4193">
        <v>4022.44</v>
      </c>
      <c r="K4193" cm="1">
        <f t="array" ref="K4193">_xlfn.SWITCH(LeadsData[[#This Row],[Funnel Stage Reached]],"Lead",1,"MQL",2,"SQL",3,"Customer",4)</f>
        <v>4</v>
      </c>
      <c r="L4193" t="str">
        <f>TEXT(LeadsData[[#This Row],[Signup Date]],"mmm-yyyy")</f>
        <v>Dec-2024</v>
      </c>
      <c r="M4193">
        <f>IF(LeadsData[[#This Row],[Stage Number]]&gt;=2,1,0)</f>
        <v>1</v>
      </c>
      <c r="N4193" s="2">
        <f>IF(LeadsData[[#This Row],[Stage Number]]&gt;=3,1,0)</f>
        <v>1</v>
      </c>
      <c r="O4193" s="2">
        <f>IF(LeadsData[[#This Row],[Stage Number]]&gt;=4,1,0)</f>
        <v>1</v>
      </c>
    </row>
    <row r="4194" spans="1:15" x14ac:dyDescent="0.25">
      <c r="A4194" t="s">
        <v>4234</v>
      </c>
      <c r="B4194" s="1">
        <v>45423</v>
      </c>
      <c r="C4194" t="s">
        <v>25</v>
      </c>
      <c r="D4194" t="s">
        <v>26</v>
      </c>
      <c r="E4194" t="s">
        <v>21</v>
      </c>
      <c r="F4194" t="s">
        <v>22</v>
      </c>
      <c r="G4194" t="s">
        <v>23</v>
      </c>
      <c r="K4194" cm="1">
        <f t="array" ref="K4194">_xlfn.SWITCH(LeadsData[[#This Row],[Funnel Stage Reached]],"Lead",1,"MQL",2,"SQL",3,"Customer",4)</f>
        <v>2</v>
      </c>
      <c r="L4194" t="str">
        <f>TEXT(LeadsData[[#This Row],[Signup Date]],"mmm-yyyy")</f>
        <v>May-2024</v>
      </c>
      <c r="M4194">
        <f>IF(LeadsData[[#This Row],[Stage Number]]&gt;=2,1,0)</f>
        <v>1</v>
      </c>
      <c r="N4194" s="2">
        <f>IF(LeadsData[[#This Row],[Stage Number]]&gt;=3,1,0)</f>
        <v>0</v>
      </c>
      <c r="O4194" s="2">
        <f>IF(LeadsData[[#This Row],[Stage Number]]&gt;=4,1,0)</f>
        <v>0</v>
      </c>
    </row>
    <row r="4195" spans="1:15" x14ac:dyDescent="0.25">
      <c r="A4195" t="s">
        <v>4235</v>
      </c>
      <c r="B4195" s="1">
        <v>45374</v>
      </c>
      <c r="C4195" t="s">
        <v>31</v>
      </c>
      <c r="D4195" t="s">
        <v>34</v>
      </c>
      <c r="E4195" t="s">
        <v>21</v>
      </c>
      <c r="F4195" t="s">
        <v>22</v>
      </c>
      <c r="G4195" t="s">
        <v>15</v>
      </c>
      <c r="K4195" cm="1">
        <f t="array" ref="K4195">_xlfn.SWITCH(LeadsData[[#This Row],[Funnel Stage Reached]],"Lead",1,"MQL",2,"SQL",3,"Customer",4)</f>
        <v>1</v>
      </c>
      <c r="L4195" t="str">
        <f>TEXT(LeadsData[[#This Row],[Signup Date]],"mmm-yyyy")</f>
        <v>Mar-2024</v>
      </c>
      <c r="M4195">
        <f>IF(LeadsData[[#This Row],[Stage Number]]&gt;=2,1,0)</f>
        <v>0</v>
      </c>
      <c r="N4195" s="2">
        <f>IF(LeadsData[[#This Row],[Stage Number]]&gt;=3,1,0)</f>
        <v>0</v>
      </c>
      <c r="O4195" s="2">
        <f>IF(LeadsData[[#This Row],[Stage Number]]&gt;=4,1,0)</f>
        <v>0</v>
      </c>
    </row>
    <row r="4196" spans="1:15" x14ac:dyDescent="0.25">
      <c r="A4196" t="s">
        <v>4236</v>
      </c>
      <c r="B4196" s="1">
        <v>45581</v>
      </c>
      <c r="C4196" t="s">
        <v>36</v>
      </c>
      <c r="D4196" t="s">
        <v>50</v>
      </c>
      <c r="E4196" t="s">
        <v>21</v>
      </c>
      <c r="F4196" t="s">
        <v>22</v>
      </c>
      <c r="G4196" t="s">
        <v>15</v>
      </c>
      <c r="K4196" cm="1">
        <f t="array" ref="K4196">_xlfn.SWITCH(LeadsData[[#This Row],[Funnel Stage Reached]],"Lead",1,"MQL",2,"SQL",3,"Customer",4)</f>
        <v>1</v>
      </c>
      <c r="L4196" t="str">
        <f>TEXT(LeadsData[[#This Row],[Signup Date]],"mmm-yyyy")</f>
        <v>Oct-2024</v>
      </c>
      <c r="M4196">
        <f>IF(LeadsData[[#This Row],[Stage Number]]&gt;=2,1,0)</f>
        <v>0</v>
      </c>
      <c r="N4196" s="2">
        <f>IF(LeadsData[[#This Row],[Stage Number]]&gt;=3,1,0)</f>
        <v>0</v>
      </c>
      <c r="O4196" s="2">
        <f>IF(LeadsData[[#This Row],[Stage Number]]&gt;=4,1,0)</f>
        <v>0</v>
      </c>
    </row>
    <row r="4197" spans="1:15" x14ac:dyDescent="0.25">
      <c r="A4197" t="s">
        <v>4237</v>
      </c>
      <c r="B4197" s="1">
        <v>45622</v>
      </c>
      <c r="C4197" t="s">
        <v>46</v>
      </c>
      <c r="D4197" t="s">
        <v>47</v>
      </c>
      <c r="E4197" t="s">
        <v>13</v>
      </c>
      <c r="F4197" t="s">
        <v>19</v>
      </c>
      <c r="G4197" t="s">
        <v>42</v>
      </c>
      <c r="H4197">
        <v>29</v>
      </c>
      <c r="I4197" t="s">
        <v>43</v>
      </c>
      <c r="J4197">
        <v>1491.7</v>
      </c>
      <c r="K4197" cm="1">
        <f t="array" ref="K4197">_xlfn.SWITCH(LeadsData[[#This Row],[Funnel Stage Reached]],"Lead",1,"MQL",2,"SQL",3,"Customer",4)</f>
        <v>4</v>
      </c>
      <c r="L4197" t="str">
        <f>TEXT(LeadsData[[#This Row],[Signup Date]],"mmm-yyyy")</f>
        <v>Nov-2024</v>
      </c>
      <c r="M4197">
        <f>IF(LeadsData[[#This Row],[Stage Number]]&gt;=2,1,0)</f>
        <v>1</v>
      </c>
      <c r="N4197" s="2">
        <f>IF(LeadsData[[#This Row],[Stage Number]]&gt;=3,1,0)</f>
        <v>1</v>
      </c>
      <c r="O4197" s="2">
        <f>IF(LeadsData[[#This Row],[Stage Number]]&gt;=4,1,0)</f>
        <v>1</v>
      </c>
    </row>
    <row r="4198" spans="1:15" x14ac:dyDescent="0.25">
      <c r="A4198" t="s">
        <v>4238</v>
      </c>
      <c r="B4198" s="1">
        <v>45349</v>
      </c>
      <c r="C4198" t="s">
        <v>36</v>
      </c>
      <c r="D4198" t="s">
        <v>50</v>
      </c>
      <c r="E4198" t="s">
        <v>48</v>
      </c>
      <c r="F4198" t="s">
        <v>28</v>
      </c>
      <c r="G4198" t="s">
        <v>42</v>
      </c>
      <c r="H4198">
        <v>24</v>
      </c>
      <c r="I4198" t="s">
        <v>43</v>
      </c>
      <c r="J4198">
        <v>882.21</v>
      </c>
      <c r="K4198" cm="1">
        <f t="array" ref="K4198">_xlfn.SWITCH(LeadsData[[#This Row],[Funnel Stage Reached]],"Lead",1,"MQL",2,"SQL",3,"Customer",4)</f>
        <v>4</v>
      </c>
      <c r="L4198" t="str">
        <f>TEXT(LeadsData[[#This Row],[Signup Date]],"mmm-yyyy")</f>
        <v>Feb-2024</v>
      </c>
      <c r="M4198">
        <f>IF(LeadsData[[#This Row],[Stage Number]]&gt;=2,1,0)</f>
        <v>1</v>
      </c>
      <c r="N4198" s="2">
        <f>IF(LeadsData[[#This Row],[Stage Number]]&gt;=3,1,0)</f>
        <v>1</v>
      </c>
      <c r="O4198" s="2">
        <f>IF(LeadsData[[#This Row],[Stage Number]]&gt;=4,1,0)</f>
        <v>1</v>
      </c>
    </row>
    <row r="4199" spans="1:15" x14ac:dyDescent="0.25">
      <c r="A4199" t="s">
        <v>4239</v>
      </c>
      <c r="B4199" s="1">
        <v>45449</v>
      </c>
      <c r="C4199" t="s">
        <v>36</v>
      </c>
      <c r="D4199" t="s">
        <v>37</v>
      </c>
      <c r="E4199" t="s">
        <v>21</v>
      </c>
      <c r="F4199" t="s">
        <v>19</v>
      </c>
      <c r="G4199" t="s">
        <v>42</v>
      </c>
      <c r="H4199">
        <v>19</v>
      </c>
      <c r="I4199" t="s">
        <v>43</v>
      </c>
      <c r="J4199">
        <v>1150.29</v>
      </c>
      <c r="K4199" cm="1">
        <f t="array" ref="K4199">_xlfn.SWITCH(LeadsData[[#This Row],[Funnel Stage Reached]],"Lead",1,"MQL",2,"SQL",3,"Customer",4)</f>
        <v>4</v>
      </c>
      <c r="L4199" t="str">
        <f>TEXT(LeadsData[[#This Row],[Signup Date]],"mmm-yyyy")</f>
        <v>Jun-2024</v>
      </c>
      <c r="M4199">
        <f>IF(LeadsData[[#This Row],[Stage Number]]&gt;=2,1,0)</f>
        <v>1</v>
      </c>
      <c r="N4199" s="2">
        <f>IF(LeadsData[[#This Row],[Stage Number]]&gt;=3,1,0)</f>
        <v>1</v>
      </c>
      <c r="O4199" s="2">
        <f>IF(LeadsData[[#This Row],[Stage Number]]&gt;=4,1,0)</f>
        <v>1</v>
      </c>
    </row>
    <row r="4200" spans="1:15" x14ac:dyDescent="0.25">
      <c r="A4200" t="s">
        <v>4240</v>
      </c>
      <c r="B4200" s="1">
        <v>45327</v>
      </c>
      <c r="C4200" t="s">
        <v>46</v>
      </c>
      <c r="D4200" t="s">
        <v>47</v>
      </c>
      <c r="E4200" t="s">
        <v>21</v>
      </c>
      <c r="F4200" t="s">
        <v>28</v>
      </c>
      <c r="G4200" t="s">
        <v>15</v>
      </c>
      <c r="K4200" cm="1">
        <f t="array" ref="K4200">_xlfn.SWITCH(LeadsData[[#This Row],[Funnel Stage Reached]],"Lead",1,"MQL",2,"SQL",3,"Customer",4)</f>
        <v>1</v>
      </c>
      <c r="L4200" t="str">
        <f>TEXT(LeadsData[[#This Row],[Signup Date]],"mmm-yyyy")</f>
        <v>Feb-2024</v>
      </c>
      <c r="M4200">
        <f>IF(LeadsData[[#This Row],[Stage Number]]&gt;=2,1,0)</f>
        <v>0</v>
      </c>
      <c r="N4200" s="2">
        <f>IF(LeadsData[[#This Row],[Stage Number]]&gt;=3,1,0)</f>
        <v>0</v>
      </c>
      <c r="O4200" s="2">
        <f>IF(LeadsData[[#This Row],[Stage Number]]&gt;=4,1,0)</f>
        <v>0</v>
      </c>
    </row>
    <row r="4201" spans="1:15" x14ac:dyDescent="0.25">
      <c r="A4201" t="s">
        <v>4241</v>
      </c>
      <c r="B4201" s="1">
        <v>45367</v>
      </c>
      <c r="C4201" t="s">
        <v>17</v>
      </c>
      <c r="D4201" t="s">
        <v>18</v>
      </c>
      <c r="E4201" t="s">
        <v>48</v>
      </c>
      <c r="F4201" t="s">
        <v>19</v>
      </c>
      <c r="G4201" t="s">
        <v>15</v>
      </c>
      <c r="K4201" cm="1">
        <f t="array" ref="K4201">_xlfn.SWITCH(LeadsData[[#This Row],[Funnel Stage Reached]],"Lead",1,"MQL",2,"SQL",3,"Customer",4)</f>
        <v>1</v>
      </c>
      <c r="L4201" t="str">
        <f>TEXT(LeadsData[[#This Row],[Signup Date]],"mmm-yyyy")</f>
        <v>Mar-2024</v>
      </c>
      <c r="M4201">
        <f>IF(LeadsData[[#This Row],[Stage Number]]&gt;=2,1,0)</f>
        <v>0</v>
      </c>
      <c r="N4201" s="2">
        <f>IF(LeadsData[[#This Row],[Stage Number]]&gt;=3,1,0)</f>
        <v>0</v>
      </c>
      <c r="O4201" s="2">
        <f>IF(LeadsData[[#This Row],[Stage Number]]&gt;=4,1,0)</f>
        <v>0</v>
      </c>
    </row>
    <row r="4202" spans="1:15" x14ac:dyDescent="0.25">
      <c r="A4202" t="s">
        <v>4242</v>
      </c>
      <c r="B4202" s="1">
        <v>45642</v>
      </c>
      <c r="C4202" t="s">
        <v>31</v>
      </c>
      <c r="D4202" t="s">
        <v>32</v>
      </c>
      <c r="E4202" t="s">
        <v>13</v>
      </c>
      <c r="F4202" t="s">
        <v>19</v>
      </c>
      <c r="G4202" t="s">
        <v>15</v>
      </c>
      <c r="K4202" cm="1">
        <f t="array" ref="K4202">_xlfn.SWITCH(LeadsData[[#This Row],[Funnel Stage Reached]],"Lead",1,"MQL",2,"SQL",3,"Customer",4)</f>
        <v>1</v>
      </c>
      <c r="L4202" t="str">
        <f>TEXT(LeadsData[[#This Row],[Signup Date]],"mmm-yyyy")</f>
        <v>Dec-2024</v>
      </c>
      <c r="M4202">
        <f>IF(LeadsData[[#This Row],[Stage Number]]&gt;=2,1,0)</f>
        <v>0</v>
      </c>
      <c r="N4202" s="2">
        <f>IF(LeadsData[[#This Row],[Stage Number]]&gt;=3,1,0)</f>
        <v>0</v>
      </c>
      <c r="O4202" s="2">
        <f>IF(LeadsData[[#This Row],[Stage Number]]&gt;=4,1,0)</f>
        <v>0</v>
      </c>
    </row>
    <row r="4203" spans="1:15" x14ac:dyDescent="0.25">
      <c r="A4203" t="s">
        <v>4243</v>
      </c>
      <c r="B4203" s="1">
        <v>45483</v>
      </c>
      <c r="C4203" t="s">
        <v>36</v>
      </c>
      <c r="D4203" t="s">
        <v>50</v>
      </c>
      <c r="E4203" t="s">
        <v>21</v>
      </c>
      <c r="F4203" t="s">
        <v>22</v>
      </c>
      <c r="G4203" t="s">
        <v>42</v>
      </c>
      <c r="H4203">
        <v>65</v>
      </c>
      <c r="I4203" t="s">
        <v>43</v>
      </c>
      <c r="J4203">
        <v>1179.72</v>
      </c>
      <c r="K4203" cm="1">
        <f t="array" ref="K4203">_xlfn.SWITCH(LeadsData[[#This Row],[Funnel Stage Reached]],"Lead",1,"MQL",2,"SQL",3,"Customer",4)</f>
        <v>4</v>
      </c>
      <c r="L4203" t="str">
        <f>TEXT(LeadsData[[#This Row],[Signup Date]],"mmm-yyyy")</f>
        <v>Jul-2024</v>
      </c>
      <c r="M4203">
        <f>IF(LeadsData[[#This Row],[Stage Number]]&gt;=2,1,0)</f>
        <v>1</v>
      </c>
      <c r="N4203" s="2">
        <f>IF(LeadsData[[#This Row],[Stage Number]]&gt;=3,1,0)</f>
        <v>1</v>
      </c>
      <c r="O4203" s="2">
        <f>IF(LeadsData[[#This Row],[Stage Number]]&gt;=4,1,0)</f>
        <v>1</v>
      </c>
    </row>
    <row r="4204" spans="1:15" x14ac:dyDescent="0.25">
      <c r="A4204" t="s">
        <v>4244</v>
      </c>
      <c r="B4204" s="1">
        <v>45567</v>
      </c>
      <c r="C4204" t="s">
        <v>11</v>
      </c>
      <c r="D4204" t="s">
        <v>68</v>
      </c>
      <c r="E4204" t="s">
        <v>13</v>
      </c>
      <c r="F4204" t="s">
        <v>22</v>
      </c>
      <c r="G4204" t="s">
        <v>29</v>
      </c>
      <c r="K4204" cm="1">
        <f t="array" ref="K4204">_xlfn.SWITCH(LeadsData[[#This Row],[Funnel Stage Reached]],"Lead",1,"MQL",2,"SQL",3,"Customer",4)</f>
        <v>3</v>
      </c>
      <c r="L4204" t="str">
        <f>TEXT(LeadsData[[#This Row],[Signup Date]],"mmm-yyyy")</f>
        <v>Oct-2024</v>
      </c>
      <c r="M4204">
        <f>IF(LeadsData[[#This Row],[Stage Number]]&gt;=2,1,0)</f>
        <v>1</v>
      </c>
      <c r="N4204" s="2">
        <f>IF(LeadsData[[#This Row],[Stage Number]]&gt;=3,1,0)</f>
        <v>1</v>
      </c>
      <c r="O4204" s="2">
        <f>IF(LeadsData[[#This Row],[Stage Number]]&gt;=4,1,0)</f>
        <v>0</v>
      </c>
    </row>
    <row r="4205" spans="1:15" x14ac:dyDescent="0.25">
      <c r="A4205" t="s">
        <v>4245</v>
      </c>
      <c r="B4205" s="1">
        <v>45462</v>
      </c>
      <c r="C4205" t="s">
        <v>36</v>
      </c>
      <c r="D4205" t="s">
        <v>37</v>
      </c>
      <c r="E4205" t="s">
        <v>13</v>
      </c>
      <c r="F4205" t="s">
        <v>22</v>
      </c>
      <c r="G4205" t="s">
        <v>15</v>
      </c>
      <c r="K4205" cm="1">
        <f t="array" ref="K4205">_xlfn.SWITCH(LeadsData[[#This Row],[Funnel Stage Reached]],"Lead",1,"MQL",2,"SQL",3,"Customer",4)</f>
        <v>1</v>
      </c>
      <c r="L4205" t="str">
        <f>TEXT(LeadsData[[#This Row],[Signup Date]],"mmm-yyyy")</f>
        <v>Jun-2024</v>
      </c>
      <c r="M4205">
        <f>IF(LeadsData[[#This Row],[Stage Number]]&gt;=2,1,0)</f>
        <v>0</v>
      </c>
      <c r="N4205" s="2">
        <f>IF(LeadsData[[#This Row],[Stage Number]]&gt;=3,1,0)</f>
        <v>0</v>
      </c>
      <c r="O4205" s="2">
        <f>IF(LeadsData[[#This Row],[Stage Number]]&gt;=4,1,0)</f>
        <v>0</v>
      </c>
    </row>
    <row r="4206" spans="1:15" x14ac:dyDescent="0.25">
      <c r="A4206" t="s">
        <v>4246</v>
      </c>
      <c r="B4206" s="1">
        <v>45550</v>
      </c>
      <c r="C4206" t="s">
        <v>17</v>
      </c>
      <c r="D4206" t="s">
        <v>18</v>
      </c>
      <c r="E4206" t="s">
        <v>13</v>
      </c>
      <c r="F4206" t="s">
        <v>19</v>
      </c>
      <c r="G4206" t="s">
        <v>23</v>
      </c>
      <c r="K4206" cm="1">
        <f t="array" ref="K4206">_xlfn.SWITCH(LeadsData[[#This Row],[Funnel Stage Reached]],"Lead",1,"MQL",2,"SQL",3,"Customer",4)</f>
        <v>2</v>
      </c>
      <c r="L4206" t="str">
        <f>TEXT(LeadsData[[#This Row],[Signup Date]],"mmm-yyyy")</f>
        <v>Sep-2024</v>
      </c>
      <c r="M4206">
        <f>IF(LeadsData[[#This Row],[Stage Number]]&gt;=2,1,0)</f>
        <v>1</v>
      </c>
      <c r="N4206" s="2">
        <f>IF(LeadsData[[#This Row],[Stage Number]]&gt;=3,1,0)</f>
        <v>0</v>
      </c>
      <c r="O4206" s="2">
        <f>IF(LeadsData[[#This Row],[Stage Number]]&gt;=4,1,0)</f>
        <v>0</v>
      </c>
    </row>
    <row r="4207" spans="1:15" x14ac:dyDescent="0.25">
      <c r="A4207" t="s">
        <v>4247</v>
      </c>
      <c r="B4207" s="1">
        <v>45495</v>
      </c>
      <c r="C4207" t="s">
        <v>11</v>
      </c>
      <c r="D4207" t="s">
        <v>79</v>
      </c>
      <c r="E4207" t="s">
        <v>13</v>
      </c>
      <c r="F4207" t="s">
        <v>14</v>
      </c>
      <c r="G4207" t="s">
        <v>15</v>
      </c>
      <c r="K4207" cm="1">
        <f t="array" ref="K4207">_xlfn.SWITCH(LeadsData[[#This Row],[Funnel Stage Reached]],"Lead",1,"MQL",2,"SQL",3,"Customer",4)</f>
        <v>1</v>
      </c>
      <c r="L4207" t="str">
        <f>TEXT(LeadsData[[#This Row],[Signup Date]],"mmm-yyyy")</f>
        <v>Jul-2024</v>
      </c>
      <c r="M4207">
        <f>IF(LeadsData[[#This Row],[Stage Number]]&gt;=2,1,0)</f>
        <v>0</v>
      </c>
      <c r="N4207" s="2">
        <f>IF(LeadsData[[#This Row],[Stage Number]]&gt;=3,1,0)</f>
        <v>0</v>
      </c>
      <c r="O4207" s="2">
        <f>IF(LeadsData[[#This Row],[Stage Number]]&gt;=4,1,0)</f>
        <v>0</v>
      </c>
    </row>
    <row r="4208" spans="1:15" x14ac:dyDescent="0.25">
      <c r="A4208" t="s">
        <v>4248</v>
      </c>
      <c r="B4208" s="1">
        <v>45539</v>
      </c>
      <c r="C4208" t="s">
        <v>31</v>
      </c>
      <c r="D4208" t="s">
        <v>32</v>
      </c>
      <c r="E4208" t="s">
        <v>13</v>
      </c>
      <c r="F4208" t="s">
        <v>22</v>
      </c>
      <c r="G4208" t="s">
        <v>29</v>
      </c>
      <c r="K4208" cm="1">
        <f t="array" ref="K4208">_xlfn.SWITCH(LeadsData[[#This Row],[Funnel Stage Reached]],"Lead",1,"MQL",2,"SQL",3,"Customer",4)</f>
        <v>3</v>
      </c>
      <c r="L4208" t="str">
        <f>TEXT(LeadsData[[#This Row],[Signup Date]],"mmm-yyyy")</f>
        <v>Sep-2024</v>
      </c>
      <c r="M4208">
        <f>IF(LeadsData[[#This Row],[Stage Number]]&gt;=2,1,0)</f>
        <v>1</v>
      </c>
      <c r="N4208" s="2">
        <f>IF(LeadsData[[#This Row],[Stage Number]]&gt;=3,1,0)</f>
        <v>1</v>
      </c>
      <c r="O4208" s="2">
        <f>IF(LeadsData[[#This Row],[Stage Number]]&gt;=4,1,0)</f>
        <v>0</v>
      </c>
    </row>
    <row r="4209" spans="1:15" x14ac:dyDescent="0.25">
      <c r="A4209" t="s">
        <v>4249</v>
      </c>
      <c r="B4209" s="1">
        <v>45638</v>
      </c>
      <c r="C4209" t="s">
        <v>36</v>
      </c>
      <c r="D4209" t="s">
        <v>37</v>
      </c>
      <c r="E4209" t="s">
        <v>21</v>
      </c>
      <c r="F4209" t="s">
        <v>22</v>
      </c>
      <c r="G4209" t="s">
        <v>15</v>
      </c>
      <c r="K4209" cm="1">
        <f t="array" ref="K4209">_xlfn.SWITCH(LeadsData[[#This Row],[Funnel Stage Reached]],"Lead",1,"MQL",2,"SQL",3,"Customer",4)</f>
        <v>1</v>
      </c>
      <c r="L4209" t="str">
        <f>TEXT(LeadsData[[#This Row],[Signup Date]],"mmm-yyyy")</f>
        <v>Dec-2024</v>
      </c>
      <c r="M4209">
        <f>IF(LeadsData[[#This Row],[Stage Number]]&gt;=2,1,0)</f>
        <v>0</v>
      </c>
      <c r="N4209" s="2">
        <f>IF(LeadsData[[#This Row],[Stage Number]]&gt;=3,1,0)</f>
        <v>0</v>
      </c>
      <c r="O4209" s="2">
        <f>IF(LeadsData[[#This Row],[Stage Number]]&gt;=4,1,0)</f>
        <v>0</v>
      </c>
    </row>
    <row r="4210" spans="1:15" x14ac:dyDescent="0.25">
      <c r="A4210" t="s">
        <v>4250</v>
      </c>
      <c r="B4210" s="1">
        <v>45456</v>
      </c>
      <c r="C4210" t="s">
        <v>46</v>
      </c>
      <c r="D4210" t="s">
        <v>56</v>
      </c>
      <c r="E4210" t="s">
        <v>13</v>
      </c>
      <c r="F4210" t="s">
        <v>22</v>
      </c>
      <c r="G4210" t="s">
        <v>29</v>
      </c>
      <c r="K4210" cm="1">
        <f t="array" ref="K4210">_xlfn.SWITCH(LeadsData[[#This Row],[Funnel Stage Reached]],"Lead",1,"MQL",2,"SQL",3,"Customer",4)</f>
        <v>3</v>
      </c>
      <c r="L4210" t="str">
        <f>TEXT(LeadsData[[#This Row],[Signup Date]],"mmm-yyyy")</f>
        <v>Jun-2024</v>
      </c>
      <c r="M4210">
        <f>IF(LeadsData[[#This Row],[Stage Number]]&gt;=2,1,0)</f>
        <v>1</v>
      </c>
      <c r="N4210" s="2">
        <f>IF(LeadsData[[#This Row],[Stage Number]]&gt;=3,1,0)</f>
        <v>1</v>
      </c>
      <c r="O4210" s="2">
        <f>IF(LeadsData[[#This Row],[Stage Number]]&gt;=4,1,0)</f>
        <v>0</v>
      </c>
    </row>
    <row r="4211" spans="1:15" x14ac:dyDescent="0.25">
      <c r="A4211" t="s">
        <v>4251</v>
      </c>
      <c r="B4211" s="1">
        <v>45451</v>
      </c>
      <c r="C4211" t="s">
        <v>31</v>
      </c>
      <c r="D4211" t="s">
        <v>34</v>
      </c>
      <c r="E4211" t="s">
        <v>21</v>
      </c>
      <c r="F4211" t="s">
        <v>22</v>
      </c>
      <c r="G4211" t="s">
        <v>15</v>
      </c>
      <c r="K4211" cm="1">
        <f t="array" ref="K4211">_xlfn.SWITCH(LeadsData[[#This Row],[Funnel Stage Reached]],"Lead",1,"MQL",2,"SQL",3,"Customer",4)</f>
        <v>1</v>
      </c>
      <c r="L4211" t="str">
        <f>TEXT(LeadsData[[#This Row],[Signup Date]],"mmm-yyyy")</f>
        <v>Jun-2024</v>
      </c>
      <c r="M4211">
        <f>IF(LeadsData[[#This Row],[Stage Number]]&gt;=2,1,0)</f>
        <v>0</v>
      </c>
      <c r="N4211" s="2">
        <f>IF(LeadsData[[#This Row],[Stage Number]]&gt;=3,1,0)</f>
        <v>0</v>
      </c>
      <c r="O4211" s="2">
        <f>IF(LeadsData[[#This Row],[Stage Number]]&gt;=4,1,0)</f>
        <v>0</v>
      </c>
    </row>
    <row r="4212" spans="1:15" x14ac:dyDescent="0.25">
      <c r="A4212" t="s">
        <v>4252</v>
      </c>
      <c r="B4212" s="1">
        <v>45631</v>
      </c>
      <c r="C4212" t="s">
        <v>36</v>
      </c>
      <c r="D4212" t="s">
        <v>37</v>
      </c>
      <c r="E4212" t="s">
        <v>13</v>
      </c>
      <c r="F4212" t="s">
        <v>22</v>
      </c>
      <c r="G4212" t="s">
        <v>15</v>
      </c>
      <c r="K4212" cm="1">
        <f t="array" ref="K4212">_xlfn.SWITCH(LeadsData[[#This Row],[Funnel Stage Reached]],"Lead",1,"MQL",2,"SQL",3,"Customer",4)</f>
        <v>1</v>
      </c>
      <c r="L4212" t="str">
        <f>TEXT(LeadsData[[#This Row],[Signup Date]],"mmm-yyyy")</f>
        <v>Dec-2024</v>
      </c>
      <c r="M4212">
        <f>IF(LeadsData[[#This Row],[Stage Number]]&gt;=2,1,0)</f>
        <v>0</v>
      </c>
      <c r="N4212" s="2">
        <f>IF(LeadsData[[#This Row],[Stage Number]]&gt;=3,1,0)</f>
        <v>0</v>
      </c>
      <c r="O4212" s="2">
        <f>IF(LeadsData[[#This Row],[Stage Number]]&gt;=4,1,0)</f>
        <v>0</v>
      </c>
    </row>
    <row r="4213" spans="1:15" x14ac:dyDescent="0.25">
      <c r="A4213" t="s">
        <v>4253</v>
      </c>
      <c r="B4213" s="1">
        <v>45618</v>
      </c>
      <c r="C4213" t="s">
        <v>31</v>
      </c>
      <c r="D4213" t="s">
        <v>34</v>
      </c>
      <c r="E4213" t="s">
        <v>13</v>
      </c>
      <c r="F4213" t="s">
        <v>22</v>
      </c>
      <c r="G4213" t="s">
        <v>15</v>
      </c>
      <c r="K4213" cm="1">
        <f t="array" ref="K4213">_xlfn.SWITCH(LeadsData[[#This Row],[Funnel Stage Reached]],"Lead",1,"MQL",2,"SQL",3,"Customer",4)</f>
        <v>1</v>
      </c>
      <c r="L4213" t="str">
        <f>TEXT(LeadsData[[#This Row],[Signup Date]],"mmm-yyyy")</f>
        <v>Nov-2024</v>
      </c>
      <c r="M4213">
        <f>IF(LeadsData[[#This Row],[Stage Number]]&gt;=2,1,0)</f>
        <v>0</v>
      </c>
      <c r="N4213" s="2">
        <f>IF(LeadsData[[#This Row],[Stage Number]]&gt;=3,1,0)</f>
        <v>0</v>
      </c>
      <c r="O4213" s="2">
        <f>IF(LeadsData[[#This Row],[Stage Number]]&gt;=4,1,0)</f>
        <v>0</v>
      </c>
    </row>
    <row r="4214" spans="1:15" x14ac:dyDescent="0.25">
      <c r="A4214" t="s">
        <v>4254</v>
      </c>
      <c r="B4214" s="1">
        <v>45521</v>
      </c>
      <c r="C4214" t="s">
        <v>17</v>
      </c>
      <c r="D4214" t="s">
        <v>18</v>
      </c>
      <c r="E4214" t="s">
        <v>21</v>
      </c>
      <c r="F4214" t="s">
        <v>22</v>
      </c>
      <c r="G4214" t="s">
        <v>23</v>
      </c>
      <c r="K4214" cm="1">
        <f t="array" ref="K4214">_xlfn.SWITCH(LeadsData[[#This Row],[Funnel Stage Reached]],"Lead",1,"MQL",2,"SQL",3,"Customer",4)</f>
        <v>2</v>
      </c>
      <c r="L4214" t="str">
        <f>TEXT(LeadsData[[#This Row],[Signup Date]],"mmm-yyyy")</f>
        <v>Aug-2024</v>
      </c>
      <c r="M4214">
        <f>IF(LeadsData[[#This Row],[Stage Number]]&gt;=2,1,0)</f>
        <v>1</v>
      </c>
      <c r="N4214" s="2">
        <f>IF(LeadsData[[#This Row],[Stage Number]]&gt;=3,1,0)</f>
        <v>0</v>
      </c>
      <c r="O4214" s="2">
        <f>IF(LeadsData[[#This Row],[Stage Number]]&gt;=4,1,0)</f>
        <v>0</v>
      </c>
    </row>
    <row r="4215" spans="1:15" x14ac:dyDescent="0.25">
      <c r="A4215" t="s">
        <v>4255</v>
      </c>
      <c r="B4215" s="1">
        <v>45544</v>
      </c>
      <c r="C4215" t="s">
        <v>31</v>
      </c>
      <c r="D4215" t="s">
        <v>34</v>
      </c>
      <c r="E4215" t="s">
        <v>13</v>
      </c>
      <c r="F4215" t="s">
        <v>19</v>
      </c>
      <c r="G4215" t="s">
        <v>15</v>
      </c>
      <c r="K4215" cm="1">
        <f t="array" ref="K4215">_xlfn.SWITCH(LeadsData[[#This Row],[Funnel Stage Reached]],"Lead",1,"MQL",2,"SQL",3,"Customer",4)</f>
        <v>1</v>
      </c>
      <c r="L4215" t="str">
        <f>TEXT(LeadsData[[#This Row],[Signup Date]],"mmm-yyyy")</f>
        <v>Sep-2024</v>
      </c>
      <c r="M4215">
        <f>IF(LeadsData[[#This Row],[Stage Number]]&gt;=2,1,0)</f>
        <v>0</v>
      </c>
      <c r="N4215" s="2">
        <f>IF(LeadsData[[#This Row],[Stage Number]]&gt;=3,1,0)</f>
        <v>0</v>
      </c>
      <c r="O4215" s="2">
        <f>IF(LeadsData[[#This Row],[Stage Number]]&gt;=4,1,0)</f>
        <v>0</v>
      </c>
    </row>
    <row r="4216" spans="1:15" x14ac:dyDescent="0.25">
      <c r="A4216" t="s">
        <v>4256</v>
      </c>
      <c r="B4216" s="1">
        <v>45618</v>
      </c>
      <c r="C4216" t="s">
        <v>31</v>
      </c>
      <c r="D4216" t="s">
        <v>34</v>
      </c>
      <c r="E4216" t="s">
        <v>21</v>
      </c>
      <c r="F4216" t="s">
        <v>14</v>
      </c>
      <c r="G4216" t="s">
        <v>23</v>
      </c>
      <c r="K4216" cm="1">
        <f t="array" ref="K4216">_xlfn.SWITCH(LeadsData[[#This Row],[Funnel Stage Reached]],"Lead",1,"MQL",2,"SQL",3,"Customer",4)</f>
        <v>2</v>
      </c>
      <c r="L4216" t="str">
        <f>TEXT(LeadsData[[#This Row],[Signup Date]],"mmm-yyyy")</f>
        <v>Nov-2024</v>
      </c>
      <c r="M4216">
        <f>IF(LeadsData[[#This Row],[Stage Number]]&gt;=2,1,0)</f>
        <v>1</v>
      </c>
      <c r="N4216" s="2">
        <f>IF(LeadsData[[#This Row],[Stage Number]]&gt;=3,1,0)</f>
        <v>0</v>
      </c>
      <c r="O4216" s="2">
        <f>IF(LeadsData[[#This Row],[Stage Number]]&gt;=4,1,0)</f>
        <v>0</v>
      </c>
    </row>
    <row r="4217" spans="1:15" x14ac:dyDescent="0.25">
      <c r="A4217" t="s">
        <v>4257</v>
      </c>
      <c r="B4217" s="1">
        <v>45449</v>
      </c>
      <c r="C4217" t="s">
        <v>46</v>
      </c>
      <c r="D4217" t="s">
        <v>47</v>
      </c>
      <c r="E4217" t="s">
        <v>21</v>
      </c>
      <c r="F4217" t="s">
        <v>14</v>
      </c>
      <c r="G4217" t="s">
        <v>15</v>
      </c>
      <c r="K4217" cm="1">
        <f t="array" ref="K4217">_xlfn.SWITCH(LeadsData[[#This Row],[Funnel Stage Reached]],"Lead",1,"MQL",2,"SQL",3,"Customer",4)</f>
        <v>1</v>
      </c>
      <c r="L4217" t="str">
        <f>TEXT(LeadsData[[#This Row],[Signup Date]],"mmm-yyyy")</f>
        <v>Jun-2024</v>
      </c>
      <c r="M4217">
        <f>IF(LeadsData[[#This Row],[Stage Number]]&gt;=2,1,0)</f>
        <v>0</v>
      </c>
      <c r="N4217" s="2">
        <f>IF(LeadsData[[#This Row],[Stage Number]]&gt;=3,1,0)</f>
        <v>0</v>
      </c>
      <c r="O4217" s="2">
        <f>IF(LeadsData[[#This Row],[Stage Number]]&gt;=4,1,0)</f>
        <v>0</v>
      </c>
    </row>
    <row r="4218" spans="1:15" x14ac:dyDescent="0.25">
      <c r="A4218" t="s">
        <v>4258</v>
      </c>
      <c r="B4218" s="1">
        <v>45604</v>
      </c>
      <c r="C4218" t="s">
        <v>46</v>
      </c>
      <c r="D4218" t="s">
        <v>56</v>
      </c>
      <c r="E4218" t="s">
        <v>13</v>
      </c>
      <c r="F4218" t="s">
        <v>28</v>
      </c>
      <c r="G4218" t="s">
        <v>15</v>
      </c>
      <c r="K4218" cm="1">
        <f t="array" ref="K4218">_xlfn.SWITCH(LeadsData[[#This Row],[Funnel Stage Reached]],"Lead",1,"MQL",2,"SQL",3,"Customer",4)</f>
        <v>1</v>
      </c>
      <c r="L4218" t="str">
        <f>TEXT(LeadsData[[#This Row],[Signup Date]],"mmm-yyyy")</f>
        <v>Nov-2024</v>
      </c>
      <c r="M4218">
        <f>IF(LeadsData[[#This Row],[Stage Number]]&gt;=2,1,0)</f>
        <v>0</v>
      </c>
      <c r="N4218" s="2">
        <f>IF(LeadsData[[#This Row],[Stage Number]]&gt;=3,1,0)</f>
        <v>0</v>
      </c>
      <c r="O4218" s="2">
        <f>IF(LeadsData[[#This Row],[Stage Number]]&gt;=4,1,0)</f>
        <v>0</v>
      </c>
    </row>
    <row r="4219" spans="1:15" x14ac:dyDescent="0.25">
      <c r="A4219" t="s">
        <v>4259</v>
      </c>
      <c r="B4219" s="1">
        <v>45552</v>
      </c>
      <c r="C4219" t="s">
        <v>31</v>
      </c>
      <c r="D4219" t="s">
        <v>32</v>
      </c>
      <c r="E4219" t="s">
        <v>13</v>
      </c>
      <c r="F4219" t="s">
        <v>14</v>
      </c>
      <c r="G4219" t="s">
        <v>23</v>
      </c>
      <c r="K4219" cm="1">
        <f t="array" ref="K4219">_xlfn.SWITCH(LeadsData[[#This Row],[Funnel Stage Reached]],"Lead",1,"MQL",2,"SQL",3,"Customer",4)</f>
        <v>2</v>
      </c>
      <c r="L4219" t="str">
        <f>TEXT(LeadsData[[#This Row],[Signup Date]],"mmm-yyyy")</f>
        <v>Sep-2024</v>
      </c>
      <c r="M4219">
        <f>IF(LeadsData[[#This Row],[Stage Number]]&gt;=2,1,0)</f>
        <v>1</v>
      </c>
      <c r="N4219" s="2">
        <f>IF(LeadsData[[#This Row],[Stage Number]]&gt;=3,1,0)</f>
        <v>0</v>
      </c>
      <c r="O4219" s="2">
        <f>IF(LeadsData[[#This Row],[Stage Number]]&gt;=4,1,0)</f>
        <v>0</v>
      </c>
    </row>
    <row r="4220" spans="1:15" x14ac:dyDescent="0.25">
      <c r="A4220" t="s">
        <v>4260</v>
      </c>
      <c r="B4220" s="1">
        <v>45359</v>
      </c>
      <c r="C4220" t="s">
        <v>17</v>
      </c>
      <c r="D4220" t="s">
        <v>53</v>
      </c>
      <c r="E4220" t="s">
        <v>13</v>
      </c>
      <c r="F4220" t="s">
        <v>19</v>
      </c>
      <c r="G4220" t="s">
        <v>15</v>
      </c>
      <c r="K4220" cm="1">
        <f t="array" ref="K4220">_xlfn.SWITCH(LeadsData[[#This Row],[Funnel Stage Reached]],"Lead",1,"MQL",2,"SQL",3,"Customer",4)</f>
        <v>1</v>
      </c>
      <c r="L4220" t="str">
        <f>TEXT(LeadsData[[#This Row],[Signup Date]],"mmm-yyyy")</f>
        <v>Mar-2024</v>
      </c>
      <c r="M4220">
        <f>IF(LeadsData[[#This Row],[Stage Number]]&gt;=2,1,0)</f>
        <v>0</v>
      </c>
      <c r="N4220" s="2">
        <f>IF(LeadsData[[#This Row],[Stage Number]]&gt;=3,1,0)</f>
        <v>0</v>
      </c>
      <c r="O4220" s="2">
        <f>IF(LeadsData[[#This Row],[Stage Number]]&gt;=4,1,0)</f>
        <v>0</v>
      </c>
    </row>
    <row r="4221" spans="1:15" x14ac:dyDescent="0.25">
      <c r="A4221" t="s">
        <v>4261</v>
      </c>
      <c r="B4221" s="1">
        <v>45433</v>
      </c>
      <c r="C4221" t="s">
        <v>46</v>
      </c>
      <c r="D4221" t="s">
        <v>47</v>
      </c>
      <c r="E4221" t="s">
        <v>21</v>
      </c>
      <c r="F4221" t="s">
        <v>22</v>
      </c>
      <c r="G4221" t="s">
        <v>29</v>
      </c>
      <c r="K4221" cm="1">
        <f t="array" ref="K4221">_xlfn.SWITCH(LeadsData[[#This Row],[Funnel Stage Reached]],"Lead",1,"MQL",2,"SQL",3,"Customer",4)</f>
        <v>3</v>
      </c>
      <c r="L4221" t="str">
        <f>TEXT(LeadsData[[#This Row],[Signup Date]],"mmm-yyyy")</f>
        <v>May-2024</v>
      </c>
      <c r="M4221">
        <f>IF(LeadsData[[#This Row],[Stage Number]]&gt;=2,1,0)</f>
        <v>1</v>
      </c>
      <c r="N4221" s="2">
        <f>IF(LeadsData[[#This Row],[Stage Number]]&gt;=3,1,0)</f>
        <v>1</v>
      </c>
      <c r="O4221" s="2">
        <f>IF(LeadsData[[#This Row],[Stage Number]]&gt;=4,1,0)</f>
        <v>0</v>
      </c>
    </row>
    <row r="4222" spans="1:15" x14ac:dyDescent="0.25">
      <c r="A4222" t="s">
        <v>4262</v>
      </c>
      <c r="B4222" s="1">
        <v>45424</v>
      </c>
      <c r="C4222" t="s">
        <v>36</v>
      </c>
      <c r="D4222" t="s">
        <v>37</v>
      </c>
      <c r="E4222" t="s">
        <v>13</v>
      </c>
      <c r="F4222" t="s">
        <v>14</v>
      </c>
      <c r="G4222" t="s">
        <v>15</v>
      </c>
      <c r="K4222" cm="1">
        <f t="array" ref="K4222">_xlfn.SWITCH(LeadsData[[#This Row],[Funnel Stage Reached]],"Lead",1,"MQL",2,"SQL",3,"Customer",4)</f>
        <v>1</v>
      </c>
      <c r="L4222" t="str">
        <f>TEXT(LeadsData[[#This Row],[Signup Date]],"mmm-yyyy")</f>
        <v>May-2024</v>
      </c>
      <c r="M4222">
        <f>IF(LeadsData[[#This Row],[Stage Number]]&gt;=2,1,0)</f>
        <v>0</v>
      </c>
      <c r="N4222" s="2">
        <f>IF(LeadsData[[#This Row],[Stage Number]]&gt;=3,1,0)</f>
        <v>0</v>
      </c>
      <c r="O4222" s="2">
        <f>IF(LeadsData[[#This Row],[Stage Number]]&gt;=4,1,0)</f>
        <v>0</v>
      </c>
    </row>
    <row r="4223" spans="1:15" x14ac:dyDescent="0.25">
      <c r="A4223" t="s">
        <v>4263</v>
      </c>
      <c r="B4223" s="1">
        <v>45416</v>
      </c>
      <c r="C4223" t="s">
        <v>46</v>
      </c>
      <c r="D4223" t="s">
        <v>56</v>
      </c>
      <c r="E4223" t="s">
        <v>21</v>
      </c>
      <c r="F4223" t="s">
        <v>19</v>
      </c>
      <c r="G4223" t="s">
        <v>15</v>
      </c>
      <c r="K4223" cm="1">
        <f t="array" ref="K4223">_xlfn.SWITCH(LeadsData[[#This Row],[Funnel Stage Reached]],"Lead",1,"MQL",2,"SQL",3,"Customer",4)</f>
        <v>1</v>
      </c>
      <c r="L4223" t="str">
        <f>TEXT(LeadsData[[#This Row],[Signup Date]],"mmm-yyyy")</f>
        <v>May-2024</v>
      </c>
      <c r="M4223">
        <f>IF(LeadsData[[#This Row],[Stage Number]]&gt;=2,1,0)</f>
        <v>0</v>
      </c>
      <c r="N4223" s="2">
        <f>IF(LeadsData[[#This Row],[Stage Number]]&gt;=3,1,0)</f>
        <v>0</v>
      </c>
      <c r="O4223" s="2">
        <f>IF(LeadsData[[#This Row],[Stage Number]]&gt;=4,1,0)</f>
        <v>0</v>
      </c>
    </row>
    <row r="4224" spans="1:15" x14ac:dyDescent="0.25">
      <c r="A4224" t="s">
        <v>4264</v>
      </c>
      <c r="B4224" s="1">
        <v>45578</v>
      </c>
      <c r="C4224" t="s">
        <v>36</v>
      </c>
      <c r="D4224" t="s">
        <v>50</v>
      </c>
      <c r="E4224" t="s">
        <v>21</v>
      </c>
      <c r="F4224" t="s">
        <v>22</v>
      </c>
      <c r="G4224" t="s">
        <v>23</v>
      </c>
      <c r="K4224" cm="1">
        <f t="array" ref="K4224">_xlfn.SWITCH(LeadsData[[#This Row],[Funnel Stage Reached]],"Lead",1,"MQL",2,"SQL",3,"Customer",4)</f>
        <v>2</v>
      </c>
      <c r="L4224" t="str">
        <f>TEXT(LeadsData[[#This Row],[Signup Date]],"mmm-yyyy")</f>
        <v>Oct-2024</v>
      </c>
      <c r="M4224">
        <f>IF(LeadsData[[#This Row],[Stage Number]]&gt;=2,1,0)</f>
        <v>1</v>
      </c>
      <c r="N4224" s="2">
        <f>IF(LeadsData[[#This Row],[Stage Number]]&gt;=3,1,0)</f>
        <v>0</v>
      </c>
      <c r="O4224" s="2">
        <f>IF(LeadsData[[#This Row],[Stage Number]]&gt;=4,1,0)</f>
        <v>0</v>
      </c>
    </row>
    <row r="4225" spans="1:15" x14ac:dyDescent="0.25">
      <c r="A4225" t="s">
        <v>4265</v>
      </c>
      <c r="B4225" s="1">
        <v>45307</v>
      </c>
      <c r="C4225" t="s">
        <v>11</v>
      </c>
      <c r="D4225" t="s">
        <v>68</v>
      </c>
      <c r="E4225" t="s">
        <v>21</v>
      </c>
      <c r="F4225" t="s">
        <v>19</v>
      </c>
      <c r="G4225" t="s">
        <v>15</v>
      </c>
      <c r="K4225" cm="1">
        <f t="array" ref="K4225">_xlfn.SWITCH(LeadsData[[#This Row],[Funnel Stage Reached]],"Lead",1,"MQL",2,"SQL",3,"Customer",4)</f>
        <v>1</v>
      </c>
      <c r="L4225" t="str">
        <f>TEXT(LeadsData[[#This Row],[Signup Date]],"mmm-yyyy")</f>
        <v>Jan-2024</v>
      </c>
      <c r="M4225">
        <f>IF(LeadsData[[#This Row],[Stage Number]]&gt;=2,1,0)</f>
        <v>0</v>
      </c>
      <c r="N4225" s="2">
        <f>IF(LeadsData[[#This Row],[Stage Number]]&gt;=3,1,0)</f>
        <v>0</v>
      </c>
      <c r="O4225" s="2">
        <f>IF(LeadsData[[#This Row],[Stage Number]]&gt;=4,1,0)</f>
        <v>0</v>
      </c>
    </row>
    <row r="4226" spans="1:15" x14ac:dyDescent="0.25">
      <c r="A4226" t="s">
        <v>4266</v>
      </c>
      <c r="B4226" s="1">
        <v>45379</v>
      </c>
      <c r="C4226" t="s">
        <v>46</v>
      </c>
      <c r="D4226" t="s">
        <v>47</v>
      </c>
      <c r="E4226" t="s">
        <v>21</v>
      </c>
      <c r="F4226" t="s">
        <v>19</v>
      </c>
      <c r="G4226" t="s">
        <v>23</v>
      </c>
      <c r="K4226" cm="1">
        <f t="array" ref="K4226">_xlfn.SWITCH(LeadsData[[#This Row],[Funnel Stage Reached]],"Lead",1,"MQL",2,"SQL",3,"Customer",4)</f>
        <v>2</v>
      </c>
      <c r="L4226" t="str">
        <f>TEXT(LeadsData[[#This Row],[Signup Date]],"mmm-yyyy")</f>
        <v>Mar-2024</v>
      </c>
      <c r="M4226">
        <f>IF(LeadsData[[#This Row],[Stage Number]]&gt;=2,1,0)</f>
        <v>1</v>
      </c>
      <c r="N4226" s="2">
        <f>IF(LeadsData[[#This Row],[Stage Number]]&gt;=3,1,0)</f>
        <v>0</v>
      </c>
      <c r="O4226" s="2">
        <f>IF(LeadsData[[#This Row],[Stage Number]]&gt;=4,1,0)</f>
        <v>0</v>
      </c>
    </row>
    <row r="4227" spans="1:15" x14ac:dyDescent="0.25">
      <c r="A4227" t="s">
        <v>4267</v>
      </c>
      <c r="B4227" s="1">
        <v>45400</v>
      </c>
      <c r="C4227" t="s">
        <v>36</v>
      </c>
      <c r="D4227" t="s">
        <v>50</v>
      </c>
      <c r="E4227" t="s">
        <v>21</v>
      </c>
      <c r="F4227" t="s">
        <v>19</v>
      </c>
      <c r="G4227" t="s">
        <v>15</v>
      </c>
      <c r="K4227" cm="1">
        <f t="array" ref="K4227">_xlfn.SWITCH(LeadsData[[#This Row],[Funnel Stage Reached]],"Lead",1,"MQL",2,"SQL",3,"Customer",4)</f>
        <v>1</v>
      </c>
      <c r="L4227" t="str">
        <f>TEXT(LeadsData[[#This Row],[Signup Date]],"mmm-yyyy")</f>
        <v>Apr-2024</v>
      </c>
      <c r="M4227">
        <f>IF(LeadsData[[#This Row],[Stage Number]]&gt;=2,1,0)</f>
        <v>0</v>
      </c>
      <c r="N4227" s="2">
        <f>IF(LeadsData[[#This Row],[Stage Number]]&gt;=3,1,0)</f>
        <v>0</v>
      </c>
      <c r="O4227" s="2">
        <f>IF(LeadsData[[#This Row],[Stage Number]]&gt;=4,1,0)</f>
        <v>0</v>
      </c>
    </row>
    <row r="4228" spans="1:15" x14ac:dyDescent="0.25">
      <c r="A4228" t="s">
        <v>4268</v>
      </c>
      <c r="B4228" s="1">
        <v>45590</v>
      </c>
      <c r="C4228" t="s">
        <v>17</v>
      </c>
      <c r="D4228" t="s">
        <v>53</v>
      </c>
      <c r="E4228" t="s">
        <v>13</v>
      </c>
      <c r="F4228" t="s">
        <v>19</v>
      </c>
      <c r="G4228" t="s">
        <v>15</v>
      </c>
      <c r="K4228" cm="1">
        <f t="array" ref="K4228">_xlfn.SWITCH(LeadsData[[#This Row],[Funnel Stage Reached]],"Lead",1,"MQL",2,"SQL",3,"Customer",4)</f>
        <v>1</v>
      </c>
      <c r="L4228" t="str">
        <f>TEXT(LeadsData[[#This Row],[Signup Date]],"mmm-yyyy")</f>
        <v>Oct-2024</v>
      </c>
      <c r="M4228">
        <f>IF(LeadsData[[#This Row],[Stage Number]]&gt;=2,1,0)</f>
        <v>0</v>
      </c>
      <c r="N4228" s="2">
        <f>IF(LeadsData[[#This Row],[Stage Number]]&gt;=3,1,0)</f>
        <v>0</v>
      </c>
      <c r="O4228" s="2">
        <f>IF(LeadsData[[#This Row],[Stage Number]]&gt;=4,1,0)</f>
        <v>0</v>
      </c>
    </row>
    <row r="4229" spans="1:15" x14ac:dyDescent="0.25">
      <c r="A4229" t="s">
        <v>4269</v>
      </c>
      <c r="B4229" s="1">
        <v>45374</v>
      </c>
      <c r="C4229" t="s">
        <v>25</v>
      </c>
      <c r="D4229" t="s">
        <v>26</v>
      </c>
      <c r="E4229" t="s">
        <v>13</v>
      </c>
      <c r="F4229" t="s">
        <v>28</v>
      </c>
      <c r="G4229" t="s">
        <v>23</v>
      </c>
      <c r="K4229" cm="1">
        <f t="array" ref="K4229">_xlfn.SWITCH(LeadsData[[#This Row],[Funnel Stage Reached]],"Lead",1,"MQL",2,"SQL",3,"Customer",4)</f>
        <v>2</v>
      </c>
      <c r="L4229" t="str">
        <f>TEXT(LeadsData[[#This Row],[Signup Date]],"mmm-yyyy")</f>
        <v>Mar-2024</v>
      </c>
      <c r="M4229">
        <f>IF(LeadsData[[#This Row],[Stage Number]]&gt;=2,1,0)</f>
        <v>1</v>
      </c>
      <c r="N4229" s="2">
        <f>IF(LeadsData[[#This Row],[Stage Number]]&gt;=3,1,0)</f>
        <v>0</v>
      </c>
      <c r="O4229" s="2">
        <f>IF(LeadsData[[#This Row],[Stage Number]]&gt;=4,1,0)</f>
        <v>0</v>
      </c>
    </row>
    <row r="4230" spans="1:15" x14ac:dyDescent="0.25">
      <c r="A4230" t="s">
        <v>4270</v>
      </c>
      <c r="B4230" s="1">
        <v>45417</v>
      </c>
      <c r="C4230" t="s">
        <v>17</v>
      </c>
      <c r="D4230" t="s">
        <v>53</v>
      </c>
      <c r="E4230" t="s">
        <v>13</v>
      </c>
      <c r="F4230" t="s">
        <v>19</v>
      </c>
      <c r="G4230" t="s">
        <v>15</v>
      </c>
      <c r="K4230" cm="1">
        <f t="array" ref="K4230">_xlfn.SWITCH(LeadsData[[#This Row],[Funnel Stage Reached]],"Lead",1,"MQL",2,"SQL",3,"Customer",4)</f>
        <v>1</v>
      </c>
      <c r="L4230" t="str">
        <f>TEXT(LeadsData[[#This Row],[Signup Date]],"mmm-yyyy")</f>
        <v>May-2024</v>
      </c>
      <c r="M4230">
        <f>IF(LeadsData[[#This Row],[Stage Number]]&gt;=2,1,0)</f>
        <v>0</v>
      </c>
      <c r="N4230" s="2">
        <f>IF(LeadsData[[#This Row],[Stage Number]]&gt;=3,1,0)</f>
        <v>0</v>
      </c>
      <c r="O4230" s="2">
        <f>IF(LeadsData[[#This Row],[Stage Number]]&gt;=4,1,0)</f>
        <v>0</v>
      </c>
    </row>
    <row r="4231" spans="1:15" x14ac:dyDescent="0.25">
      <c r="A4231" t="s">
        <v>4271</v>
      </c>
      <c r="B4231" s="1">
        <v>45340</v>
      </c>
      <c r="C4231" t="s">
        <v>11</v>
      </c>
      <c r="D4231" t="s">
        <v>79</v>
      </c>
      <c r="E4231" t="s">
        <v>13</v>
      </c>
      <c r="F4231" t="s">
        <v>19</v>
      </c>
      <c r="G4231" t="s">
        <v>15</v>
      </c>
      <c r="K4231" cm="1">
        <f t="array" ref="K4231">_xlfn.SWITCH(LeadsData[[#This Row],[Funnel Stage Reached]],"Lead",1,"MQL",2,"SQL",3,"Customer",4)</f>
        <v>1</v>
      </c>
      <c r="L4231" t="str">
        <f>TEXT(LeadsData[[#This Row],[Signup Date]],"mmm-yyyy")</f>
        <v>Feb-2024</v>
      </c>
      <c r="M4231">
        <f>IF(LeadsData[[#This Row],[Stage Number]]&gt;=2,1,0)</f>
        <v>0</v>
      </c>
      <c r="N4231" s="2">
        <f>IF(LeadsData[[#This Row],[Stage Number]]&gt;=3,1,0)</f>
        <v>0</v>
      </c>
      <c r="O4231" s="2">
        <f>IF(LeadsData[[#This Row],[Stage Number]]&gt;=4,1,0)</f>
        <v>0</v>
      </c>
    </row>
    <row r="4232" spans="1:15" x14ac:dyDescent="0.25">
      <c r="A4232" t="s">
        <v>4272</v>
      </c>
      <c r="B4232" s="1">
        <v>45355</v>
      </c>
      <c r="C4232" t="s">
        <v>17</v>
      </c>
      <c r="D4232" t="s">
        <v>53</v>
      </c>
      <c r="E4232" t="s">
        <v>13</v>
      </c>
      <c r="F4232" t="s">
        <v>22</v>
      </c>
      <c r="G4232" t="s">
        <v>29</v>
      </c>
      <c r="K4232" cm="1">
        <f t="array" ref="K4232">_xlfn.SWITCH(LeadsData[[#This Row],[Funnel Stage Reached]],"Lead",1,"MQL",2,"SQL",3,"Customer",4)</f>
        <v>3</v>
      </c>
      <c r="L4232" t="str">
        <f>TEXT(LeadsData[[#This Row],[Signup Date]],"mmm-yyyy")</f>
        <v>Mar-2024</v>
      </c>
      <c r="M4232">
        <f>IF(LeadsData[[#This Row],[Stage Number]]&gt;=2,1,0)</f>
        <v>1</v>
      </c>
      <c r="N4232" s="2">
        <f>IF(LeadsData[[#This Row],[Stage Number]]&gt;=3,1,0)</f>
        <v>1</v>
      </c>
      <c r="O4232" s="2">
        <f>IF(LeadsData[[#This Row],[Stage Number]]&gt;=4,1,0)</f>
        <v>0</v>
      </c>
    </row>
    <row r="4233" spans="1:15" x14ac:dyDescent="0.25">
      <c r="A4233" t="s">
        <v>4273</v>
      </c>
      <c r="B4233" s="1">
        <v>45517</v>
      </c>
      <c r="C4233" t="s">
        <v>36</v>
      </c>
      <c r="D4233" t="s">
        <v>50</v>
      </c>
      <c r="E4233" t="s">
        <v>21</v>
      </c>
      <c r="F4233" t="s">
        <v>22</v>
      </c>
      <c r="G4233" t="s">
        <v>15</v>
      </c>
      <c r="K4233" cm="1">
        <f t="array" ref="K4233">_xlfn.SWITCH(LeadsData[[#This Row],[Funnel Stage Reached]],"Lead",1,"MQL",2,"SQL",3,"Customer",4)</f>
        <v>1</v>
      </c>
      <c r="L4233" t="str">
        <f>TEXT(LeadsData[[#This Row],[Signup Date]],"mmm-yyyy")</f>
        <v>Aug-2024</v>
      </c>
      <c r="M4233">
        <f>IF(LeadsData[[#This Row],[Stage Number]]&gt;=2,1,0)</f>
        <v>0</v>
      </c>
      <c r="N4233" s="2">
        <f>IF(LeadsData[[#This Row],[Stage Number]]&gt;=3,1,0)</f>
        <v>0</v>
      </c>
      <c r="O4233" s="2">
        <f>IF(LeadsData[[#This Row],[Stage Number]]&gt;=4,1,0)</f>
        <v>0</v>
      </c>
    </row>
    <row r="4234" spans="1:15" x14ac:dyDescent="0.25">
      <c r="A4234" t="s">
        <v>4274</v>
      </c>
      <c r="B4234" s="1">
        <v>45396</v>
      </c>
      <c r="C4234" t="s">
        <v>31</v>
      </c>
      <c r="D4234" t="s">
        <v>34</v>
      </c>
      <c r="E4234" t="s">
        <v>13</v>
      </c>
      <c r="F4234" t="s">
        <v>19</v>
      </c>
      <c r="G4234" t="s">
        <v>15</v>
      </c>
      <c r="K4234" cm="1">
        <f t="array" ref="K4234">_xlfn.SWITCH(LeadsData[[#This Row],[Funnel Stage Reached]],"Lead",1,"MQL",2,"SQL",3,"Customer",4)</f>
        <v>1</v>
      </c>
      <c r="L4234" t="str">
        <f>TEXT(LeadsData[[#This Row],[Signup Date]],"mmm-yyyy")</f>
        <v>Apr-2024</v>
      </c>
      <c r="M4234">
        <f>IF(LeadsData[[#This Row],[Stage Number]]&gt;=2,1,0)</f>
        <v>0</v>
      </c>
      <c r="N4234" s="2">
        <f>IF(LeadsData[[#This Row],[Stage Number]]&gt;=3,1,0)</f>
        <v>0</v>
      </c>
      <c r="O4234" s="2">
        <f>IF(LeadsData[[#This Row],[Stage Number]]&gt;=4,1,0)</f>
        <v>0</v>
      </c>
    </row>
    <row r="4235" spans="1:15" x14ac:dyDescent="0.25">
      <c r="A4235" t="s">
        <v>4275</v>
      </c>
      <c r="B4235" s="1">
        <v>45554</v>
      </c>
      <c r="C4235" t="s">
        <v>31</v>
      </c>
      <c r="D4235" t="s">
        <v>32</v>
      </c>
      <c r="E4235" t="s">
        <v>13</v>
      </c>
      <c r="F4235" t="s">
        <v>28</v>
      </c>
      <c r="G4235" t="s">
        <v>23</v>
      </c>
      <c r="K4235" cm="1">
        <f t="array" ref="K4235">_xlfn.SWITCH(LeadsData[[#This Row],[Funnel Stage Reached]],"Lead",1,"MQL",2,"SQL",3,"Customer",4)</f>
        <v>2</v>
      </c>
      <c r="L4235" t="str">
        <f>TEXT(LeadsData[[#This Row],[Signup Date]],"mmm-yyyy")</f>
        <v>Sep-2024</v>
      </c>
      <c r="M4235">
        <f>IF(LeadsData[[#This Row],[Stage Number]]&gt;=2,1,0)</f>
        <v>1</v>
      </c>
      <c r="N4235" s="2">
        <f>IF(LeadsData[[#This Row],[Stage Number]]&gt;=3,1,0)</f>
        <v>0</v>
      </c>
      <c r="O4235" s="2">
        <f>IF(LeadsData[[#This Row],[Stage Number]]&gt;=4,1,0)</f>
        <v>0</v>
      </c>
    </row>
    <row r="4236" spans="1:15" x14ac:dyDescent="0.25">
      <c r="A4236" t="s">
        <v>4276</v>
      </c>
      <c r="B4236" s="1">
        <v>45461</v>
      </c>
      <c r="C4236" t="s">
        <v>46</v>
      </c>
      <c r="D4236" t="s">
        <v>47</v>
      </c>
      <c r="E4236" t="s">
        <v>13</v>
      </c>
      <c r="F4236" t="s">
        <v>22</v>
      </c>
      <c r="G4236" t="s">
        <v>23</v>
      </c>
      <c r="K4236" cm="1">
        <f t="array" ref="K4236">_xlfn.SWITCH(LeadsData[[#This Row],[Funnel Stage Reached]],"Lead",1,"MQL",2,"SQL",3,"Customer",4)</f>
        <v>2</v>
      </c>
      <c r="L4236" t="str">
        <f>TEXT(LeadsData[[#This Row],[Signup Date]],"mmm-yyyy")</f>
        <v>Jun-2024</v>
      </c>
      <c r="M4236">
        <f>IF(LeadsData[[#This Row],[Stage Number]]&gt;=2,1,0)</f>
        <v>1</v>
      </c>
      <c r="N4236" s="2">
        <f>IF(LeadsData[[#This Row],[Stage Number]]&gt;=3,1,0)</f>
        <v>0</v>
      </c>
      <c r="O4236" s="2">
        <f>IF(LeadsData[[#This Row],[Stage Number]]&gt;=4,1,0)</f>
        <v>0</v>
      </c>
    </row>
    <row r="4237" spans="1:15" x14ac:dyDescent="0.25">
      <c r="A4237" t="s">
        <v>4277</v>
      </c>
      <c r="B4237" s="1">
        <v>45490</v>
      </c>
      <c r="C4237" t="s">
        <v>25</v>
      </c>
      <c r="D4237" t="s">
        <v>26</v>
      </c>
      <c r="E4237" t="s">
        <v>13</v>
      </c>
      <c r="F4237" t="s">
        <v>22</v>
      </c>
      <c r="G4237" t="s">
        <v>15</v>
      </c>
      <c r="K4237" cm="1">
        <f t="array" ref="K4237">_xlfn.SWITCH(LeadsData[[#This Row],[Funnel Stage Reached]],"Lead",1,"MQL",2,"SQL",3,"Customer",4)</f>
        <v>1</v>
      </c>
      <c r="L4237" t="str">
        <f>TEXT(LeadsData[[#This Row],[Signup Date]],"mmm-yyyy")</f>
        <v>Jul-2024</v>
      </c>
      <c r="M4237">
        <f>IF(LeadsData[[#This Row],[Stage Number]]&gt;=2,1,0)</f>
        <v>0</v>
      </c>
      <c r="N4237" s="2">
        <f>IF(LeadsData[[#This Row],[Stage Number]]&gt;=3,1,0)</f>
        <v>0</v>
      </c>
      <c r="O4237" s="2">
        <f>IF(LeadsData[[#This Row],[Stage Number]]&gt;=4,1,0)</f>
        <v>0</v>
      </c>
    </row>
    <row r="4238" spans="1:15" x14ac:dyDescent="0.25">
      <c r="A4238" t="s">
        <v>4278</v>
      </c>
      <c r="B4238" s="1">
        <v>45353</v>
      </c>
      <c r="C4238" t="s">
        <v>46</v>
      </c>
      <c r="D4238" t="s">
        <v>56</v>
      </c>
      <c r="E4238" t="s">
        <v>13</v>
      </c>
      <c r="F4238" t="s">
        <v>14</v>
      </c>
      <c r="G4238" t="s">
        <v>29</v>
      </c>
      <c r="K4238" cm="1">
        <f t="array" ref="K4238">_xlfn.SWITCH(LeadsData[[#This Row],[Funnel Stage Reached]],"Lead",1,"MQL",2,"SQL",3,"Customer",4)</f>
        <v>3</v>
      </c>
      <c r="L4238" t="str">
        <f>TEXT(LeadsData[[#This Row],[Signup Date]],"mmm-yyyy")</f>
        <v>Mar-2024</v>
      </c>
      <c r="M4238">
        <f>IF(LeadsData[[#This Row],[Stage Number]]&gt;=2,1,0)</f>
        <v>1</v>
      </c>
      <c r="N4238" s="2">
        <f>IF(LeadsData[[#This Row],[Stage Number]]&gt;=3,1,0)</f>
        <v>1</v>
      </c>
      <c r="O4238" s="2">
        <f>IF(LeadsData[[#This Row],[Stage Number]]&gt;=4,1,0)</f>
        <v>0</v>
      </c>
    </row>
    <row r="4239" spans="1:15" x14ac:dyDescent="0.25">
      <c r="A4239" t="s">
        <v>4279</v>
      </c>
      <c r="B4239" s="1">
        <v>45429</v>
      </c>
      <c r="C4239" t="s">
        <v>11</v>
      </c>
      <c r="D4239" t="s">
        <v>79</v>
      </c>
      <c r="E4239" t="s">
        <v>13</v>
      </c>
      <c r="F4239" t="s">
        <v>19</v>
      </c>
      <c r="G4239" t="s">
        <v>23</v>
      </c>
      <c r="K4239" cm="1">
        <f t="array" ref="K4239">_xlfn.SWITCH(LeadsData[[#This Row],[Funnel Stage Reached]],"Lead",1,"MQL",2,"SQL",3,"Customer",4)</f>
        <v>2</v>
      </c>
      <c r="L4239" t="str">
        <f>TEXT(LeadsData[[#This Row],[Signup Date]],"mmm-yyyy")</f>
        <v>May-2024</v>
      </c>
      <c r="M4239">
        <f>IF(LeadsData[[#This Row],[Stage Number]]&gt;=2,1,0)</f>
        <v>1</v>
      </c>
      <c r="N4239" s="2">
        <f>IF(LeadsData[[#This Row],[Stage Number]]&gt;=3,1,0)</f>
        <v>0</v>
      </c>
      <c r="O4239" s="2">
        <f>IF(LeadsData[[#This Row],[Stage Number]]&gt;=4,1,0)</f>
        <v>0</v>
      </c>
    </row>
    <row r="4240" spans="1:15" x14ac:dyDescent="0.25">
      <c r="A4240" t="s">
        <v>4280</v>
      </c>
      <c r="B4240" s="1">
        <v>45550</v>
      </c>
      <c r="C4240" t="s">
        <v>36</v>
      </c>
      <c r="D4240" t="s">
        <v>50</v>
      </c>
      <c r="E4240" t="s">
        <v>13</v>
      </c>
      <c r="F4240" t="s">
        <v>22</v>
      </c>
      <c r="G4240" t="s">
        <v>42</v>
      </c>
      <c r="H4240">
        <v>50</v>
      </c>
      <c r="I4240" t="s">
        <v>43</v>
      </c>
      <c r="J4240">
        <v>1227.97</v>
      </c>
      <c r="K4240" cm="1">
        <f t="array" ref="K4240">_xlfn.SWITCH(LeadsData[[#This Row],[Funnel Stage Reached]],"Lead",1,"MQL",2,"SQL",3,"Customer",4)</f>
        <v>4</v>
      </c>
      <c r="L4240" t="str">
        <f>TEXT(LeadsData[[#This Row],[Signup Date]],"mmm-yyyy")</f>
        <v>Sep-2024</v>
      </c>
      <c r="M4240">
        <f>IF(LeadsData[[#This Row],[Stage Number]]&gt;=2,1,0)</f>
        <v>1</v>
      </c>
      <c r="N4240" s="2">
        <f>IF(LeadsData[[#This Row],[Stage Number]]&gt;=3,1,0)</f>
        <v>1</v>
      </c>
      <c r="O4240" s="2">
        <f>IF(LeadsData[[#This Row],[Stage Number]]&gt;=4,1,0)</f>
        <v>1</v>
      </c>
    </row>
    <row r="4241" spans="1:15" x14ac:dyDescent="0.25">
      <c r="A4241" t="s">
        <v>4281</v>
      </c>
      <c r="B4241" s="1">
        <v>45654</v>
      </c>
      <c r="C4241" t="s">
        <v>25</v>
      </c>
      <c r="D4241" t="s">
        <v>26</v>
      </c>
      <c r="E4241" t="s">
        <v>13</v>
      </c>
      <c r="F4241" t="s">
        <v>19</v>
      </c>
      <c r="G4241" t="s">
        <v>29</v>
      </c>
      <c r="K4241" cm="1">
        <f t="array" ref="K4241">_xlfn.SWITCH(LeadsData[[#This Row],[Funnel Stage Reached]],"Lead",1,"MQL",2,"SQL",3,"Customer",4)</f>
        <v>3</v>
      </c>
      <c r="L4241" t="str">
        <f>TEXT(LeadsData[[#This Row],[Signup Date]],"mmm-yyyy")</f>
        <v>Dec-2024</v>
      </c>
      <c r="M4241">
        <f>IF(LeadsData[[#This Row],[Stage Number]]&gt;=2,1,0)</f>
        <v>1</v>
      </c>
      <c r="N4241" s="2">
        <f>IF(LeadsData[[#This Row],[Stage Number]]&gt;=3,1,0)</f>
        <v>1</v>
      </c>
      <c r="O4241" s="2">
        <f>IF(LeadsData[[#This Row],[Stage Number]]&gt;=4,1,0)</f>
        <v>0</v>
      </c>
    </row>
    <row r="4242" spans="1:15" x14ac:dyDescent="0.25">
      <c r="A4242" t="s">
        <v>4282</v>
      </c>
      <c r="B4242" s="1">
        <v>45298</v>
      </c>
      <c r="C4242" t="s">
        <v>31</v>
      </c>
      <c r="D4242" t="s">
        <v>32</v>
      </c>
      <c r="E4242" t="s">
        <v>13</v>
      </c>
      <c r="F4242" t="s">
        <v>22</v>
      </c>
      <c r="G4242" t="s">
        <v>42</v>
      </c>
      <c r="H4242">
        <v>57</v>
      </c>
      <c r="I4242" t="s">
        <v>43</v>
      </c>
      <c r="J4242">
        <v>1466.69</v>
      </c>
      <c r="K4242" cm="1">
        <f t="array" ref="K4242">_xlfn.SWITCH(LeadsData[[#This Row],[Funnel Stage Reached]],"Lead",1,"MQL",2,"SQL",3,"Customer",4)</f>
        <v>4</v>
      </c>
      <c r="L4242" t="str">
        <f>TEXT(LeadsData[[#This Row],[Signup Date]],"mmm-yyyy")</f>
        <v>Jan-2024</v>
      </c>
      <c r="M4242">
        <f>IF(LeadsData[[#This Row],[Stage Number]]&gt;=2,1,0)</f>
        <v>1</v>
      </c>
      <c r="N4242" s="2">
        <f>IF(LeadsData[[#This Row],[Stage Number]]&gt;=3,1,0)</f>
        <v>1</v>
      </c>
      <c r="O4242" s="2">
        <f>IF(LeadsData[[#This Row],[Stage Number]]&gt;=4,1,0)</f>
        <v>1</v>
      </c>
    </row>
    <row r="4243" spans="1:15" x14ac:dyDescent="0.25">
      <c r="A4243" t="s">
        <v>4283</v>
      </c>
      <c r="B4243" s="1">
        <v>45446</v>
      </c>
      <c r="C4243" t="s">
        <v>17</v>
      </c>
      <c r="D4243" t="s">
        <v>53</v>
      </c>
      <c r="E4243" t="s">
        <v>21</v>
      </c>
      <c r="F4243" t="s">
        <v>22</v>
      </c>
      <c r="G4243" t="s">
        <v>15</v>
      </c>
      <c r="K4243" cm="1">
        <f t="array" ref="K4243">_xlfn.SWITCH(LeadsData[[#This Row],[Funnel Stage Reached]],"Lead",1,"MQL",2,"SQL",3,"Customer",4)</f>
        <v>1</v>
      </c>
      <c r="L4243" t="str">
        <f>TEXT(LeadsData[[#This Row],[Signup Date]],"mmm-yyyy")</f>
        <v>Jun-2024</v>
      </c>
      <c r="M4243">
        <f>IF(LeadsData[[#This Row],[Stage Number]]&gt;=2,1,0)</f>
        <v>0</v>
      </c>
      <c r="N4243" s="2">
        <f>IF(LeadsData[[#This Row],[Stage Number]]&gt;=3,1,0)</f>
        <v>0</v>
      </c>
      <c r="O4243" s="2">
        <f>IF(LeadsData[[#This Row],[Stage Number]]&gt;=4,1,0)</f>
        <v>0</v>
      </c>
    </row>
    <row r="4244" spans="1:15" x14ac:dyDescent="0.25">
      <c r="A4244" t="s">
        <v>4284</v>
      </c>
      <c r="B4244" s="1">
        <v>45422</v>
      </c>
      <c r="C4244" t="s">
        <v>11</v>
      </c>
      <c r="D4244" t="s">
        <v>79</v>
      </c>
      <c r="E4244" t="s">
        <v>21</v>
      </c>
      <c r="F4244" t="s">
        <v>22</v>
      </c>
      <c r="G4244" t="s">
        <v>15</v>
      </c>
      <c r="K4244" cm="1">
        <f t="array" ref="K4244">_xlfn.SWITCH(LeadsData[[#This Row],[Funnel Stage Reached]],"Lead",1,"MQL",2,"SQL",3,"Customer",4)</f>
        <v>1</v>
      </c>
      <c r="L4244" t="str">
        <f>TEXT(LeadsData[[#This Row],[Signup Date]],"mmm-yyyy")</f>
        <v>May-2024</v>
      </c>
      <c r="M4244">
        <f>IF(LeadsData[[#This Row],[Stage Number]]&gt;=2,1,0)</f>
        <v>0</v>
      </c>
      <c r="N4244" s="2">
        <f>IF(LeadsData[[#This Row],[Stage Number]]&gt;=3,1,0)</f>
        <v>0</v>
      </c>
      <c r="O4244" s="2">
        <f>IF(LeadsData[[#This Row],[Stage Number]]&gt;=4,1,0)</f>
        <v>0</v>
      </c>
    </row>
    <row r="4245" spans="1:15" x14ac:dyDescent="0.25">
      <c r="A4245" t="s">
        <v>4285</v>
      </c>
      <c r="B4245" s="1">
        <v>45617</v>
      </c>
      <c r="C4245" t="s">
        <v>46</v>
      </c>
      <c r="D4245" t="s">
        <v>47</v>
      </c>
      <c r="E4245" t="s">
        <v>13</v>
      </c>
      <c r="F4245" t="s">
        <v>19</v>
      </c>
      <c r="G4245" t="s">
        <v>23</v>
      </c>
      <c r="K4245" cm="1">
        <f t="array" ref="K4245">_xlfn.SWITCH(LeadsData[[#This Row],[Funnel Stage Reached]],"Lead",1,"MQL",2,"SQL",3,"Customer",4)</f>
        <v>2</v>
      </c>
      <c r="L4245" t="str">
        <f>TEXT(LeadsData[[#This Row],[Signup Date]],"mmm-yyyy")</f>
        <v>Nov-2024</v>
      </c>
      <c r="M4245">
        <f>IF(LeadsData[[#This Row],[Stage Number]]&gt;=2,1,0)</f>
        <v>1</v>
      </c>
      <c r="N4245" s="2">
        <f>IF(LeadsData[[#This Row],[Stage Number]]&gt;=3,1,0)</f>
        <v>0</v>
      </c>
      <c r="O4245" s="2">
        <f>IF(LeadsData[[#This Row],[Stage Number]]&gt;=4,1,0)</f>
        <v>0</v>
      </c>
    </row>
    <row r="4246" spans="1:15" x14ac:dyDescent="0.25">
      <c r="A4246" t="s">
        <v>4286</v>
      </c>
      <c r="B4246" s="1">
        <v>45417</v>
      </c>
      <c r="C4246" t="s">
        <v>25</v>
      </c>
      <c r="D4246" t="s">
        <v>26</v>
      </c>
      <c r="E4246" t="s">
        <v>13</v>
      </c>
      <c r="F4246" t="s">
        <v>19</v>
      </c>
      <c r="G4246" t="s">
        <v>15</v>
      </c>
      <c r="K4246" cm="1">
        <f t="array" ref="K4246">_xlfn.SWITCH(LeadsData[[#This Row],[Funnel Stage Reached]],"Lead",1,"MQL",2,"SQL",3,"Customer",4)</f>
        <v>1</v>
      </c>
      <c r="L4246" t="str">
        <f>TEXT(LeadsData[[#This Row],[Signup Date]],"mmm-yyyy")</f>
        <v>May-2024</v>
      </c>
      <c r="M4246">
        <f>IF(LeadsData[[#This Row],[Stage Number]]&gt;=2,1,0)</f>
        <v>0</v>
      </c>
      <c r="N4246" s="2">
        <f>IF(LeadsData[[#This Row],[Stage Number]]&gt;=3,1,0)</f>
        <v>0</v>
      </c>
      <c r="O4246" s="2">
        <f>IF(LeadsData[[#This Row],[Stage Number]]&gt;=4,1,0)</f>
        <v>0</v>
      </c>
    </row>
    <row r="4247" spans="1:15" x14ac:dyDescent="0.25">
      <c r="A4247" t="s">
        <v>4287</v>
      </c>
      <c r="B4247" s="1">
        <v>45436</v>
      </c>
      <c r="C4247" t="s">
        <v>17</v>
      </c>
      <c r="D4247" t="s">
        <v>18</v>
      </c>
      <c r="E4247" t="s">
        <v>21</v>
      </c>
      <c r="F4247" t="s">
        <v>19</v>
      </c>
      <c r="G4247" t="s">
        <v>23</v>
      </c>
      <c r="K4247" cm="1">
        <f t="array" ref="K4247">_xlfn.SWITCH(LeadsData[[#This Row],[Funnel Stage Reached]],"Lead",1,"MQL",2,"SQL",3,"Customer",4)</f>
        <v>2</v>
      </c>
      <c r="L4247" t="str">
        <f>TEXT(LeadsData[[#This Row],[Signup Date]],"mmm-yyyy")</f>
        <v>May-2024</v>
      </c>
      <c r="M4247">
        <f>IF(LeadsData[[#This Row],[Stage Number]]&gt;=2,1,0)</f>
        <v>1</v>
      </c>
      <c r="N4247" s="2">
        <f>IF(LeadsData[[#This Row],[Stage Number]]&gt;=3,1,0)</f>
        <v>0</v>
      </c>
      <c r="O4247" s="2">
        <f>IF(LeadsData[[#This Row],[Stage Number]]&gt;=4,1,0)</f>
        <v>0</v>
      </c>
    </row>
    <row r="4248" spans="1:15" x14ac:dyDescent="0.25">
      <c r="A4248" t="s">
        <v>4288</v>
      </c>
      <c r="B4248" s="1">
        <v>45476</v>
      </c>
      <c r="C4248" t="s">
        <v>17</v>
      </c>
      <c r="D4248" t="s">
        <v>53</v>
      </c>
      <c r="E4248" t="s">
        <v>13</v>
      </c>
      <c r="F4248" t="s">
        <v>19</v>
      </c>
      <c r="G4248" t="s">
        <v>23</v>
      </c>
      <c r="K4248" cm="1">
        <f t="array" ref="K4248">_xlfn.SWITCH(LeadsData[[#This Row],[Funnel Stage Reached]],"Lead",1,"MQL",2,"SQL",3,"Customer",4)</f>
        <v>2</v>
      </c>
      <c r="L4248" t="str">
        <f>TEXT(LeadsData[[#This Row],[Signup Date]],"mmm-yyyy")</f>
        <v>Jul-2024</v>
      </c>
      <c r="M4248">
        <f>IF(LeadsData[[#This Row],[Stage Number]]&gt;=2,1,0)</f>
        <v>1</v>
      </c>
      <c r="N4248" s="2">
        <f>IF(LeadsData[[#This Row],[Stage Number]]&gt;=3,1,0)</f>
        <v>0</v>
      </c>
      <c r="O4248" s="2">
        <f>IF(LeadsData[[#This Row],[Stage Number]]&gt;=4,1,0)</f>
        <v>0</v>
      </c>
    </row>
    <row r="4249" spans="1:15" x14ac:dyDescent="0.25">
      <c r="A4249" t="s">
        <v>4289</v>
      </c>
      <c r="B4249" s="1">
        <v>45618</v>
      </c>
      <c r="C4249" t="s">
        <v>31</v>
      </c>
      <c r="D4249" t="s">
        <v>32</v>
      </c>
      <c r="E4249" t="s">
        <v>48</v>
      </c>
      <c r="F4249" t="s">
        <v>14</v>
      </c>
      <c r="G4249" t="s">
        <v>29</v>
      </c>
      <c r="K4249" cm="1">
        <f t="array" ref="K4249">_xlfn.SWITCH(LeadsData[[#This Row],[Funnel Stage Reached]],"Lead",1,"MQL",2,"SQL",3,"Customer",4)</f>
        <v>3</v>
      </c>
      <c r="L4249" t="str">
        <f>TEXT(LeadsData[[#This Row],[Signup Date]],"mmm-yyyy")</f>
        <v>Nov-2024</v>
      </c>
      <c r="M4249">
        <f>IF(LeadsData[[#This Row],[Stage Number]]&gt;=2,1,0)</f>
        <v>1</v>
      </c>
      <c r="N4249" s="2">
        <f>IF(LeadsData[[#This Row],[Stage Number]]&gt;=3,1,0)</f>
        <v>1</v>
      </c>
      <c r="O4249" s="2">
        <f>IF(LeadsData[[#This Row],[Stage Number]]&gt;=4,1,0)</f>
        <v>0</v>
      </c>
    </row>
    <row r="4250" spans="1:15" x14ac:dyDescent="0.25">
      <c r="A4250" t="s">
        <v>4290</v>
      </c>
      <c r="B4250" s="1">
        <v>45505</v>
      </c>
      <c r="C4250" t="s">
        <v>25</v>
      </c>
      <c r="D4250" t="s">
        <v>26</v>
      </c>
      <c r="E4250" t="s">
        <v>13</v>
      </c>
      <c r="F4250" t="s">
        <v>22</v>
      </c>
      <c r="G4250" t="s">
        <v>42</v>
      </c>
      <c r="H4250">
        <v>50</v>
      </c>
      <c r="I4250" t="s">
        <v>87</v>
      </c>
      <c r="J4250">
        <v>3697.78</v>
      </c>
      <c r="K4250" cm="1">
        <f t="array" ref="K4250">_xlfn.SWITCH(LeadsData[[#This Row],[Funnel Stage Reached]],"Lead",1,"MQL",2,"SQL",3,"Customer",4)</f>
        <v>4</v>
      </c>
      <c r="L4250" t="str">
        <f>TEXT(LeadsData[[#This Row],[Signup Date]],"mmm-yyyy")</f>
        <v>Aug-2024</v>
      </c>
      <c r="M4250">
        <f>IF(LeadsData[[#This Row],[Stage Number]]&gt;=2,1,0)</f>
        <v>1</v>
      </c>
      <c r="N4250" s="2">
        <f>IF(LeadsData[[#This Row],[Stage Number]]&gt;=3,1,0)</f>
        <v>1</v>
      </c>
      <c r="O4250" s="2">
        <f>IF(LeadsData[[#This Row],[Stage Number]]&gt;=4,1,0)</f>
        <v>1</v>
      </c>
    </row>
    <row r="4251" spans="1:15" x14ac:dyDescent="0.25">
      <c r="A4251" t="s">
        <v>4291</v>
      </c>
      <c r="B4251" s="1">
        <v>45374</v>
      </c>
      <c r="C4251" t="s">
        <v>25</v>
      </c>
      <c r="D4251" t="s">
        <v>26</v>
      </c>
      <c r="E4251" t="s">
        <v>13</v>
      </c>
      <c r="F4251" t="s">
        <v>22</v>
      </c>
      <c r="G4251" t="s">
        <v>15</v>
      </c>
      <c r="K4251" cm="1">
        <f t="array" ref="K4251">_xlfn.SWITCH(LeadsData[[#This Row],[Funnel Stage Reached]],"Lead",1,"MQL",2,"SQL",3,"Customer",4)</f>
        <v>1</v>
      </c>
      <c r="L4251" t="str">
        <f>TEXT(LeadsData[[#This Row],[Signup Date]],"mmm-yyyy")</f>
        <v>Mar-2024</v>
      </c>
      <c r="M4251">
        <f>IF(LeadsData[[#This Row],[Stage Number]]&gt;=2,1,0)</f>
        <v>0</v>
      </c>
      <c r="N4251" s="2">
        <f>IF(LeadsData[[#This Row],[Stage Number]]&gt;=3,1,0)</f>
        <v>0</v>
      </c>
      <c r="O4251" s="2">
        <f>IF(LeadsData[[#This Row],[Stage Number]]&gt;=4,1,0)</f>
        <v>0</v>
      </c>
    </row>
    <row r="4252" spans="1:15" x14ac:dyDescent="0.25">
      <c r="A4252" t="s">
        <v>4292</v>
      </c>
      <c r="B4252" s="1">
        <v>45627</v>
      </c>
      <c r="C4252" t="s">
        <v>11</v>
      </c>
      <c r="D4252" t="s">
        <v>12</v>
      </c>
      <c r="E4252" t="s">
        <v>21</v>
      </c>
      <c r="F4252" t="s">
        <v>19</v>
      </c>
      <c r="G4252" t="s">
        <v>29</v>
      </c>
      <c r="K4252" cm="1">
        <f t="array" ref="K4252">_xlfn.SWITCH(LeadsData[[#This Row],[Funnel Stage Reached]],"Lead",1,"MQL",2,"SQL",3,"Customer",4)</f>
        <v>3</v>
      </c>
      <c r="L4252" t="str">
        <f>TEXT(LeadsData[[#This Row],[Signup Date]],"mmm-yyyy")</f>
        <v>Dec-2024</v>
      </c>
      <c r="M4252">
        <f>IF(LeadsData[[#This Row],[Stage Number]]&gt;=2,1,0)</f>
        <v>1</v>
      </c>
      <c r="N4252" s="2">
        <f>IF(LeadsData[[#This Row],[Stage Number]]&gt;=3,1,0)</f>
        <v>1</v>
      </c>
      <c r="O4252" s="2">
        <f>IF(LeadsData[[#This Row],[Stage Number]]&gt;=4,1,0)</f>
        <v>0</v>
      </c>
    </row>
    <row r="4253" spans="1:15" x14ac:dyDescent="0.25">
      <c r="A4253" t="s">
        <v>4293</v>
      </c>
      <c r="B4253" s="1">
        <v>45416</v>
      </c>
      <c r="C4253" t="s">
        <v>25</v>
      </c>
      <c r="D4253" t="s">
        <v>26</v>
      </c>
      <c r="E4253" t="s">
        <v>13</v>
      </c>
      <c r="F4253" t="s">
        <v>19</v>
      </c>
      <c r="G4253" t="s">
        <v>15</v>
      </c>
      <c r="K4253" cm="1">
        <f t="array" ref="K4253">_xlfn.SWITCH(LeadsData[[#This Row],[Funnel Stage Reached]],"Lead",1,"MQL",2,"SQL",3,"Customer",4)</f>
        <v>1</v>
      </c>
      <c r="L4253" t="str">
        <f>TEXT(LeadsData[[#This Row],[Signup Date]],"mmm-yyyy")</f>
        <v>May-2024</v>
      </c>
      <c r="M4253">
        <f>IF(LeadsData[[#This Row],[Stage Number]]&gt;=2,1,0)</f>
        <v>0</v>
      </c>
      <c r="N4253" s="2">
        <f>IF(LeadsData[[#This Row],[Stage Number]]&gt;=3,1,0)</f>
        <v>0</v>
      </c>
      <c r="O4253" s="2">
        <f>IF(LeadsData[[#This Row],[Stage Number]]&gt;=4,1,0)</f>
        <v>0</v>
      </c>
    </row>
    <row r="4254" spans="1:15" x14ac:dyDescent="0.25">
      <c r="A4254" t="s">
        <v>4294</v>
      </c>
      <c r="B4254" s="1">
        <v>45556</v>
      </c>
      <c r="C4254" t="s">
        <v>31</v>
      </c>
      <c r="D4254" t="s">
        <v>32</v>
      </c>
      <c r="E4254" t="s">
        <v>13</v>
      </c>
      <c r="F4254" t="s">
        <v>19</v>
      </c>
      <c r="G4254" t="s">
        <v>29</v>
      </c>
      <c r="K4254" cm="1">
        <f t="array" ref="K4254">_xlfn.SWITCH(LeadsData[[#This Row],[Funnel Stage Reached]],"Lead",1,"MQL",2,"SQL",3,"Customer",4)</f>
        <v>3</v>
      </c>
      <c r="L4254" t="str">
        <f>TEXT(LeadsData[[#This Row],[Signup Date]],"mmm-yyyy")</f>
        <v>Sep-2024</v>
      </c>
      <c r="M4254">
        <f>IF(LeadsData[[#This Row],[Stage Number]]&gt;=2,1,0)</f>
        <v>1</v>
      </c>
      <c r="N4254" s="2">
        <f>IF(LeadsData[[#This Row],[Stage Number]]&gt;=3,1,0)</f>
        <v>1</v>
      </c>
      <c r="O4254" s="2">
        <f>IF(LeadsData[[#This Row],[Stage Number]]&gt;=4,1,0)</f>
        <v>0</v>
      </c>
    </row>
    <row r="4255" spans="1:15" x14ac:dyDescent="0.25">
      <c r="A4255" t="s">
        <v>4295</v>
      </c>
      <c r="B4255" s="1">
        <v>45566</v>
      </c>
      <c r="C4255" t="s">
        <v>31</v>
      </c>
      <c r="D4255" t="s">
        <v>32</v>
      </c>
      <c r="E4255" t="s">
        <v>21</v>
      </c>
      <c r="F4255" t="s">
        <v>14</v>
      </c>
      <c r="G4255" t="s">
        <v>15</v>
      </c>
      <c r="K4255" cm="1">
        <f t="array" ref="K4255">_xlfn.SWITCH(LeadsData[[#This Row],[Funnel Stage Reached]],"Lead",1,"MQL",2,"SQL",3,"Customer",4)</f>
        <v>1</v>
      </c>
      <c r="L4255" t="str">
        <f>TEXT(LeadsData[[#This Row],[Signup Date]],"mmm-yyyy")</f>
        <v>Oct-2024</v>
      </c>
      <c r="M4255">
        <f>IF(LeadsData[[#This Row],[Stage Number]]&gt;=2,1,0)</f>
        <v>0</v>
      </c>
      <c r="N4255" s="2">
        <f>IF(LeadsData[[#This Row],[Stage Number]]&gt;=3,1,0)</f>
        <v>0</v>
      </c>
      <c r="O4255" s="2">
        <f>IF(LeadsData[[#This Row],[Stage Number]]&gt;=4,1,0)</f>
        <v>0</v>
      </c>
    </row>
    <row r="4256" spans="1:15" x14ac:dyDescent="0.25">
      <c r="A4256" t="s">
        <v>4296</v>
      </c>
      <c r="B4256" s="1">
        <v>45310</v>
      </c>
      <c r="C4256" t="s">
        <v>25</v>
      </c>
      <c r="D4256" t="s">
        <v>26</v>
      </c>
      <c r="E4256" t="s">
        <v>21</v>
      </c>
      <c r="F4256" t="s">
        <v>22</v>
      </c>
      <c r="G4256" t="s">
        <v>23</v>
      </c>
      <c r="K4256" cm="1">
        <f t="array" ref="K4256">_xlfn.SWITCH(LeadsData[[#This Row],[Funnel Stage Reached]],"Lead",1,"MQL",2,"SQL",3,"Customer",4)</f>
        <v>2</v>
      </c>
      <c r="L4256" t="str">
        <f>TEXT(LeadsData[[#This Row],[Signup Date]],"mmm-yyyy")</f>
        <v>Jan-2024</v>
      </c>
      <c r="M4256">
        <f>IF(LeadsData[[#This Row],[Stage Number]]&gt;=2,1,0)</f>
        <v>1</v>
      </c>
      <c r="N4256" s="2">
        <f>IF(LeadsData[[#This Row],[Stage Number]]&gt;=3,1,0)</f>
        <v>0</v>
      </c>
      <c r="O4256" s="2">
        <f>IF(LeadsData[[#This Row],[Stage Number]]&gt;=4,1,0)</f>
        <v>0</v>
      </c>
    </row>
    <row r="4257" spans="1:15" x14ac:dyDescent="0.25">
      <c r="A4257" t="s">
        <v>4297</v>
      </c>
      <c r="B4257" s="1">
        <v>45562</v>
      </c>
      <c r="C4257" t="s">
        <v>11</v>
      </c>
      <c r="D4257" t="s">
        <v>68</v>
      </c>
      <c r="E4257" t="s">
        <v>48</v>
      </c>
      <c r="F4257" t="s">
        <v>14</v>
      </c>
      <c r="G4257" t="s">
        <v>23</v>
      </c>
      <c r="K4257" cm="1">
        <f t="array" ref="K4257">_xlfn.SWITCH(LeadsData[[#This Row],[Funnel Stage Reached]],"Lead",1,"MQL",2,"SQL",3,"Customer",4)</f>
        <v>2</v>
      </c>
      <c r="L4257" t="str">
        <f>TEXT(LeadsData[[#This Row],[Signup Date]],"mmm-yyyy")</f>
        <v>Sep-2024</v>
      </c>
      <c r="M4257">
        <f>IF(LeadsData[[#This Row],[Stage Number]]&gt;=2,1,0)</f>
        <v>1</v>
      </c>
      <c r="N4257" s="2">
        <f>IF(LeadsData[[#This Row],[Stage Number]]&gt;=3,1,0)</f>
        <v>0</v>
      </c>
      <c r="O4257" s="2">
        <f>IF(LeadsData[[#This Row],[Stage Number]]&gt;=4,1,0)</f>
        <v>0</v>
      </c>
    </row>
    <row r="4258" spans="1:15" x14ac:dyDescent="0.25">
      <c r="A4258" t="s">
        <v>4298</v>
      </c>
      <c r="B4258" s="1">
        <v>45363</v>
      </c>
      <c r="C4258" t="s">
        <v>31</v>
      </c>
      <c r="D4258" t="s">
        <v>32</v>
      </c>
      <c r="E4258" t="s">
        <v>13</v>
      </c>
      <c r="F4258" t="s">
        <v>22</v>
      </c>
      <c r="G4258" t="s">
        <v>29</v>
      </c>
      <c r="K4258" cm="1">
        <f t="array" ref="K4258">_xlfn.SWITCH(LeadsData[[#This Row],[Funnel Stage Reached]],"Lead",1,"MQL",2,"SQL",3,"Customer",4)</f>
        <v>3</v>
      </c>
      <c r="L4258" t="str">
        <f>TEXT(LeadsData[[#This Row],[Signup Date]],"mmm-yyyy")</f>
        <v>Mar-2024</v>
      </c>
      <c r="M4258">
        <f>IF(LeadsData[[#This Row],[Stage Number]]&gt;=2,1,0)</f>
        <v>1</v>
      </c>
      <c r="N4258" s="2">
        <f>IF(LeadsData[[#This Row],[Stage Number]]&gt;=3,1,0)</f>
        <v>1</v>
      </c>
      <c r="O4258" s="2">
        <f>IF(LeadsData[[#This Row],[Stage Number]]&gt;=4,1,0)</f>
        <v>0</v>
      </c>
    </row>
    <row r="4259" spans="1:15" x14ac:dyDescent="0.25">
      <c r="A4259" t="s">
        <v>4299</v>
      </c>
      <c r="B4259" s="1">
        <v>45529</v>
      </c>
      <c r="C4259" t="s">
        <v>11</v>
      </c>
      <c r="D4259" t="s">
        <v>79</v>
      </c>
      <c r="E4259" t="s">
        <v>13</v>
      </c>
      <c r="F4259" t="s">
        <v>19</v>
      </c>
      <c r="G4259" t="s">
        <v>15</v>
      </c>
      <c r="K4259" cm="1">
        <f t="array" ref="K4259">_xlfn.SWITCH(LeadsData[[#This Row],[Funnel Stage Reached]],"Lead",1,"MQL",2,"SQL",3,"Customer",4)</f>
        <v>1</v>
      </c>
      <c r="L4259" t="str">
        <f>TEXT(LeadsData[[#This Row],[Signup Date]],"mmm-yyyy")</f>
        <v>Aug-2024</v>
      </c>
      <c r="M4259">
        <f>IF(LeadsData[[#This Row],[Stage Number]]&gt;=2,1,0)</f>
        <v>0</v>
      </c>
      <c r="N4259" s="2">
        <f>IF(LeadsData[[#This Row],[Stage Number]]&gt;=3,1,0)</f>
        <v>0</v>
      </c>
      <c r="O4259" s="2">
        <f>IF(LeadsData[[#This Row],[Stage Number]]&gt;=4,1,0)</f>
        <v>0</v>
      </c>
    </row>
    <row r="4260" spans="1:15" x14ac:dyDescent="0.25">
      <c r="A4260" t="s">
        <v>4300</v>
      </c>
      <c r="B4260" s="1">
        <v>45316</v>
      </c>
      <c r="C4260" t="s">
        <v>36</v>
      </c>
      <c r="D4260" t="s">
        <v>37</v>
      </c>
      <c r="E4260" t="s">
        <v>13</v>
      </c>
      <c r="F4260" t="s">
        <v>14</v>
      </c>
      <c r="G4260" t="s">
        <v>23</v>
      </c>
      <c r="K4260" cm="1">
        <f t="array" ref="K4260">_xlfn.SWITCH(LeadsData[[#This Row],[Funnel Stage Reached]],"Lead",1,"MQL",2,"SQL",3,"Customer",4)</f>
        <v>2</v>
      </c>
      <c r="L4260" t="str">
        <f>TEXT(LeadsData[[#This Row],[Signup Date]],"mmm-yyyy")</f>
        <v>Jan-2024</v>
      </c>
      <c r="M4260">
        <f>IF(LeadsData[[#This Row],[Stage Number]]&gt;=2,1,0)</f>
        <v>1</v>
      </c>
      <c r="N4260" s="2">
        <f>IF(LeadsData[[#This Row],[Stage Number]]&gt;=3,1,0)</f>
        <v>0</v>
      </c>
      <c r="O4260" s="2">
        <f>IF(LeadsData[[#This Row],[Stage Number]]&gt;=4,1,0)</f>
        <v>0</v>
      </c>
    </row>
    <row r="4261" spans="1:15" x14ac:dyDescent="0.25">
      <c r="A4261" t="s">
        <v>4301</v>
      </c>
      <c r="B4261" s="1">
        <v>45603</v>
      </c>
      <c r="C4261" t="s">
        <v>46</v>
      </c>
      <c r="D4261" t="s">
        <v>56</v>
      </c>
      <c r="E4261" t="s">
        <v>21</v>
      </c>
      <c r="F4261" t="s">
        <v>19</v>
      </c>
      <c r="G4261" t="s">
        <v>15</v>
      </c>
      <c r="K4261" cm="1">
        <f t="array" ref="K4261">_xlfn.SWITCH(LeadsData[[#This Row],[Funnel Stage Reached]],"Lead",1,"MQL",2,"SQL",3,"Customer",4)</f>
        <v>1</v>
      </c>
      <c r="L4261" t="str">
        <f>TEXT(LeadsData[[#This Row],[Signup Date]],"mmm-yyyy")</f>
        <v>Nov-2024</v>
      </c>
      <c r="M4261">
        <f>IF(LeadsData[[#This Row],[Stage Number]]&gt;=2,1,0)</f>
        <v>0</v>
      </c>
      <c r="N4261" s="2">
        <f>IF(LeadsData[[#This Row],[Stage Number]]&gt;=3,1,0)</f>
        <v>0</v>
      </c>
      <c r="O4261" s="2">
        <f>IF(LeadsData[[#This Row],[Stage Number]]&gt;=4,1,0)</f>
        <v>0</v>
      </c>
    </row>
    <row r="4262" spans="1:15" x14ac:dyDescent="0.25">
      <c r="A4262" t="s">
        <v>4302</v>
      </c>
      <c r="B4262" s="1">
        <v>45617</v>
      </c>
      <c r="C4262" t="s">
        <v>46</v>
      </c>
      <c r="D4262" t="s">
        <v>56</v>
      </c>
      <c r="E4262" t="s">
        <v>13</v>
      </c>
      <c r="F4262" t="s">
        <v>19</v>
      </c>
      <c r="G4262" t="s">
        <v>23</v>
      </c>
      <c r="K4262" cm="1">
        <f t="array" ref="K4262">_xlfn.SWITCH(LeadsData[[#This Row],[Funnel Stage Reached]],"Lead",1,"MQL",2,"SQL",3,"Customer",4)</f>
        <v>2</v>
      </c>
      <c r="L4262" t="str">
        <f>TEXT(LeadsData[[#This Row],[Signup Date]],"mmm-yyyy")</f>
        <v>Nov-2024</v>
      </c>
      <c r="M4262">
        <f>IF(LeadsData[[#This Row],[Stage Number]]&gt;=2,1,0)</f>
        <v>1</v>
      </c>
      <c r="N4262" s="2">
        <f>IF(LeadsData[[#This Row],[Stage Number]]&gt;=3,1,0)</f>
        <v>0</v>
      </c>
      <c r="O4262" s="2">
        <f>IF(LeadsData[[#This Row],[Stage Number]]&gt;=4,1,0)</f>
        <v>0</v>
      </c>
    </row>
    <row r="4263" spans="1:15" x14ac:dyDescent="0.25">
      <c r="A4263" t="s">
        <v>4303</v>
      </c>
      <c r="B4263" s="1">
        <v>45415</v>
      </c>
      <c r="C4263" t="s">
        <v>36</v>
      </c>
      <c r="D4263" t="s">
        <v>37</v>
      </c>
      <c r="E4263" t="s">
        <v>13</v>
      </c>
      <c r="F4263" t="s">
        <v>28</v>
      </c>
      <c r="G4263" t="s">
        <v>29</v>
      </c>
      <c r="K4263" cm="1">
        <f t="array" ref="K4263">_xlfn.SWITCH(LeadsData[[#This Row],[Funnel Stage Reached]],"Lead",1,"MQL",2,"SQL",3,"Customer",4)</f>
        <v>3</v>
      </c>
      <c r="L4263" t="str">
        <f>TEXT(LeadsData[[#This Row],[Signup Date]],"mmm-yyyy")</f>
        <v>May-2024</v>
      </c>
      <c r="M4263">
        <f>IF(LeadsData[[#This Row],[Stage Number]]&gt;=2,1,0)</f>
        <v>1</v>
      </c>
      <c r="N4263" s="2">
        <f>IF(LeadsData[[#This Row],[Stage Number]]&gt;=3,1,0)</f>
        <v>1</v>
      </c>
      <c r="O4263" s="2">
        <f>IF(LeadsData[[#This Row],[Stage Number]]&gt;=4,1,0)</f>
        <v>0</v>
      </c>
    </row>
    <row r="4264" spans="1:15" x14ac:dyDescent="0.25">
      <c r="A4264" t="s">
        <v>4304</v>
      </c>
      <c r="B4264" s="1">
        <v>45308</v>
      </c>
      <c r="C4264" t="s">
        <v>46</v>
      </c>
      <c r="D4264" t="s">
        <v>47</v>
      </c>
      <c r="E4264" t="s">
        <v>21</v>
      </c>
      <c r="F4264" t="s">
        <v>22</v>
      </c>
      <c r="G4264" t="s">
        <v>29</v>
      </c>
      <c r="K4264" cm="1">
        <f t="array" ref="K4264">_xlfn.SWITCH(LeadsData[[#This Row],[Funnel Stage Reached]],"Lead",1,"MQL",2,"SQL",3,"Customer",4)</f>
        <v>3</v>
      </c>
      <c r="L4264" t="str">
        <f>TEXT(LeadsData[[#This Row],[Signup Date]],"mmm-yyyy")</f>
        <v>Jan-2024</v>
      </c>
      <c r="M4264">
        <f>IF(LeadsData[[#This Row],[Stage Number]]&gt;=2,1,0)</f>
        <v>1</v>
      </c>
      <c r="N4264" s="2">
        <f>IF(LeadsData[[#This Row],[Stage Number]]&gt;=3,1,0)</f>
        <v>1</v>
      </c>
      <c r="O4264" s="2">
        <f>IF(LeadsData[[#This Row],[Stage Number]]&gt;=4,1,0)</f>
        <v>0</v>
      </c>
    </row>
    <row r="4265" spans="1:15" x14ac:dyDescent="0.25">
      <c r="A4265" t="s">
        <v>4305</v>
      </c>
      <c r="B4265" s="1">
        <v>45430</v>
      </c>
      <c r="C4265" t="s">
        <v>46</v>
      </c>
      <c r="D4265" t="s">
        <v>47</v>
      </c>
      <c r="E4265" t="s">
        <v>21</v>
      </c>
      <c r="F4265" t="s">
        <v>19</v>
      </c>
      <c r="G4265" t="s">
        <v>23</v>
      </c>
      <c r="K4265" cm="1">
        <f t="array" ref="K4265">_xlfn.SWITCH(LeadsData[[#This Row],[Funnel Stage Reached]],"Lead",1,"MQL",2,"SQL",3,"Customer",4)</f>
        <v>2</v>
      </c>
      <c r="L4265" t="str">
        <f>TEXT(LeadsData[[#This Row],[Signup Date]],"mmm-yyyy")</f>
        <v>May-2024</v>
      </c>
      <c r="M4265">
        <f>IF(LeadsData[[#This Row],[Stage Number]]&gt;=2,1,0)</f>
        <v>1</v>
      </c>
      <c r="N4265" s="2">
        <f>IF(LeadsData[[#This Row],[Stage Number]]&gt;=3,1,0)</f>
        <v>0</v>
      </c>
      <c r="O4265" s="2">
        <f>IF(LeadsData[[#This Row],[Stage Number]]&gt;=4,1,0)</f>
        <v>0</v>
      </c>
    </row>
    <row r="4266" spans="1:15" x14ac:dyDescent="0.25">
      <c r="A4266" t="s">
        <v>4306</v>
      </c>
      <c r="B4266" s="1">
        <v>45403</v>
      </c>
      <c r="C4266" t="s">
        <v>17</v>
      </c>
      <c r="D4266" t="s">
        <v>18</v>
      </c>
      <c r="E4266" t="s">
        <v>48</v>
      </c>
      <c r="F4266" t="s">
        <v>19</v>
      </c>
      <c r="G4266" t="s">
        <v>23</v>
      </c>
      <c r="K4266" cm="1">
        <f t="array" ref="K4266">_xlfn.SWITCH(LeadsData[[#This Row],[Funnel Stage Reached]],"Lead",1,"MQL",2,"SQL",3,"Customer",4)</f>
        <v>2</v>
      </c>
      <c r="L4266" t="str">
        <f>TEXT(LeadsData[[#This Row],[Signup Date]],"mmm-yyyy")</f>
        <v>Apr-2024</v>
      </c>
      <c r="M4266">
        <f>IF(LeadsData[[#This Row],[Stage Number]]&gt;=2,1,0)</f>
        <v>1</v>
      </c>
      <c r="N4266" s="2">
        <f>IF(LeadsData[[#This Row],[Stage Number]]&gt;=3,1,0)</f>
        <v>0</v>
      </c>
      <c r="O4266" s="2">
        <f>IF(LeadsData[[#This Row],[Stage Number]]&gt;=4,1,0)</f>
        <v>0</v>
      </c>
    </row>
    <row r="4267" spans="1:15" x14ac:dyDescent="0.25">
      <c r="A4267" t="s">
        <v>4307</v>
      </c>
      <c r="B4267" s="1">
        <v>45334</v>
      </c>
      <c r="C4267" t="s">
        <v>11</v>
      </c>
      <c r="D4267" t="s">
        <v>79</v>
      </c>
      <c r="E4267" t="s">
        <v>13</v>
      </c>
      <c r="F4267" t="s">
        <v>22</v>
      </c>
      <c r="G4267" t="s">
        <v>15</v>
      </c>
      <c r="K4267" cm="1">
        <f t="array" ref="K4267">_xlfn.SWITCH(LeadsData[[#This Row],[Funnel Stage Reached]],"Lead",1,"MQL",2,"SQL",3,"Customer",4)</f>
        <v>1</v>
      </c>
      <c r="L4267" t="str">
        <f>TEXT(LeadsData[[#This Row],[Signup Date]],"mmm-yyyy")</f>
        <v>Feb-2024</v>
      </c>
      <c r="M4267">
        <f>IF(LeadsData[[#This Row],[Stage Number]]&gt;=2,1,0)</f>
        <v>0</v>
      </c>
      <c r="N4267" s="2">
        <f>IF(LeadsData[[#This Row],[Stage Number]]&gt;=3,1,0)</f>
        <v>0</v>
      </c>
      <c r="O4267" s="2">
        <f>IF(LeadsData[[#This Row],[Stage Number]]&gt;=4,1,0)</f>
        <v>0</v>
      </c>
    </row>
    <row r="4268" spans="1:15" x14ac:dyDescent="0.25">
      <c r="A4268" t="s">
        <v>4308</v>
      </c>
      <c r="B4268" s="1">
        <v>45568</v>
      </c>
      <c r="C4268" t="s">
        <v>11</v>
      </c>
      <c r="D4268" t="s">
        <v>12</v>
      </c>
      <c r="E4268" t="s">
        <v>13</v>
      </c>
      <c r="F4268" t="s">
        <v>19</v>
      </c>
      <c r="G4268" t="s">
        <v>23</v>
      </c>
      <c r="K4268" cm="1">
        <f t="array" ref="K4268">_xlfn.SWITCH(LeadsData[[#This Row],[Funnel Stage Reached]],"Lead",1,"MQL",2,"SQL",3,"Customer",4)</f>
        <v>2</v>
      </c>
      <c r="L4268" t="str">
        <f>TEXT(LeadsData[[#This Row],[Signup Date]],"mmm-yyyy")</f>
        <v>Oct-2024</v>
      </c>
      <c r="M4268">
        <f>IF(LeadsData[[#This Row],[Stage Number]]&gt;=2,1,0)</f>
        <v>1</v>
      </c>
      <c r="N4268" s="2">
        <f>IF(LeadsData[[#This Row],[Stage Number]]&gt;=3,1,0)</f>
        <v>0</v>
      </c>
      <c r="O4268" s="2">
        <f>IF(LeadsData[[#This Row],[Stage Number]]&gt;=4,1,0)</f>
        <v>0</v>
      </c>
    </row>
    <row r="4269" spans="1:15" x14ac:dyDescent="0.25">
      <c r="A4269" t="s">
        <v>4309</v>
      </c>
      <c r="B4269" s="1">
        <v>45461</v>
      </c>
      <c r="C4269" t="s">
        <v>11</v>
      </c>
      <c r="D4269" t="s">
        <v>68</v>
      </c>
      <c r="E4269" t="s">
        <v>21</v>
      </c>
      <c r="F4269" t="s">
        <v>19</v>
      </c>
      <c r="G4269" t="s">
        <v>29</v>
      </c>
      <c r="K4269" cm="1">
        <f t="array" ref="K4269">_xlfn.SWITCH(LeadsData[[#This Row],[Funnel Stage Reached]],"Lead",1,"MQL",2,"SQL",3,"Customer",4)</f>
        <v>3</v>
      </c>
      <c r="L4269" t="str">
        <f>TEXT(LeadsData[[#This Row],[Signup Date]],"mmm-yyyy")</f>
        <v>Jun-2024</v>
      </c>
      <c r="M4269">
        <f>IF(LeadsData[[#This Row],[Stage Number]]&gt;=2,1,0)</f>
        <v>1</v>
      </c>
      <c r="N4269" s="2">
        <f>IF(LeadsData[[#This Row],[Stage Number]]&gt;=3,1,0)</f>
        <v>1</v>
      </c>
      <c r="O4269" s="2">
        <f>IF(LeadsData[[#This Row],[Stage Number]]&gt;=4,1,0)</f>
        <v>0</v>
      </c>
    </row>
    <row r="4270" spans="1:15" x14ac:dyDescent="0.25">
      <c r="A4270" t="s">
        <v>4310</v>
      </c>
      <c r="B4270" s="1">
        <v>45378</v>
      </c>
      <c r="C4270" t="s">
        <v>36</v>
      </c>
      <c r="D4270" t="s">
        <v>37</v>
      </c>
      <c r="E4270" t="s">
        <v>13</v>
      </c>
      <c r="F4270" t="s">
        <v>19</v>
      </c>
      <c r="G4270" t="s">
        <v>15</v>
      </c>
      <c r="K4270" cm="1">
        <f t="array" ref="K4270">_xlfn.SWITCH(LeadsData[[#This Row],[Funnel Stage Reached]],"Lead",1,"MQL",2,"SQL",3,"Customer",4)</f>
        <v>1</v>
      </c>
      <c r="L4270" t="str">
        <f>TEXT(LeadsData[[#This Row],[Signup Date]],"mmm-yyyy")</f>
        <v>Mar-2024</v>
      </c>
      <c r="M4270">
        <f>IF(LeadsData[[#This Row],[Stage Number]]&gt;=2,1,0)</f>
        <v>0</v>
      </c>
      <c r="N4270" s="2">
        <f>IF(LeadsData[[#This Row],[Stage Number]]&gt;=3,1,0)</f>
        <v>0</v>
      </c>
      <c r="O4270" s="2">
        <f>IF(LeadsData[[#This Row],[Stage Number]]&gt;=4,1,0)</f>
        <v>0</v>
      </c>
    </row>
    <row r="4271" spans="1:15" x14ac:dyDescent="0.25">
      <c r="A4271" t="s">
        <v>4311</v>
      </c>
      <c r="B4271" s="1">
        <v>45631</v>
      </c>
      <c r="C4271" t="s">
        <v>11</v>
      </c>
      <c r="D4271" t="s">
        <v>68</v>
      </c>
      <c r="E4271" t="s">
        <v>21</v>
      </c>
      <c r="F4271" t="s">
        <v>19</v>
      </c>
      <c r="G4271" t="s">
        <v>23</v>
      </c>
      <c r="K4271" cm="1">
        <f t="array" ref="K4271">_xlfn.SWITCH(LeadsData[[#This Row],[Funnel Stage Reached]],"Lead",1,"MQL",2,"SQL",3,"Customer",4)</f>
        <v>2</v>
      </c>
      <c r="L4271" t="str">
        <f>TEXT(LeadsData[[#This Row],[Signup Date]],"mmm-yyyy")</f>
        <v>Dec-2024</v>
      </c>
      <c r="M4271">
        <f>IF(LeadsData[[#This Row],[Stage Number]]&gt;=2,1,0)</f>
        <v>1</v>
      </c>
      <c r="N4271" s="2">
        <f>IF(LeadsData[[#This Row],[Stage Number]]&gt;=3,1,0)</f>
        <v>0</v>
      </c>
      <c r="O4271" s="2">
        <f>IF(LeadsData[[#This Row],[Stage Number]]&gt;=4,1,0)</f>
        <v>0</v>
      </c>
    </row>
    <row r="4272" spans="1:15" x14ac:dyDescent="0.25">
      <c r="A4272" t="s">
        <v>4312</v>
      </c>
      <c r="B4272" s="1">
        <v>45440</v>
      </c>
      <c r="C4272" t="s">
        <v>36</v>
      </c>
      <c r="D4272" t="s">
        <v>37</v>
      </c>
      <c r="E4272" t="s">
        <v>13</v>
      </c>
      <c r="F4272" t="s">
        <v>19</v>
      </c>
      <c r="G4272" t="s">
        <v>15</v>
      </c>
      <c r="K4272" cm="1">
        <f t="array" ref="K4272">_xlfn.SWITCH(LeadsData[[#This Row],[Funnel Stage Reached]],"Lead",1,"MQL",2,"SQL",3,"Customer",4)</f>
        <v>1</v>
      </c>
      <c r="L4272" t="str">
        <f>TEXT(LeadsData[[#This Row],[Signup Date]],"mmm-yyyy")</f>
        <v>May-2024</v>
      </c>
      <c r="M4272">
        <f>IF(LeadsData[[#This Row],[Stage Number]]&gt;=2,1,0)</f>
        <v>0</v>
      </c>
      <c r="N4272" s="2">
        <f>IF(LeadsData[[#This Row],[Stage Number]]&gt;=3,1,0)</f>
        <v>0</v>
      </c>
      <c r="O4272" s="2">
        <f>IF(LeadsData[[#This Row],[Stage Number]]&gt;=4,1,0)</f>
        <v>0</v>
      </c>
    </row>
    <row r="4273" spans="1:15" x14ac:dyDescent="0.25">
      <c r="A4273" t="s">
        <v>4313</v>
      </c>
      <c r="B4273" s="1">
        <v>45510</v>
      </c>
      <c r="C4273" t="s">
        <v>31</v>
      </c>
      <c r="D4273" t="s">
        <v>32</v>
      </c>
      <c r="E4273" t="s">
        <v>13</v>
      </c>
      <c r="F4273" t="s">
        <v>19</v>
      </c>
      <c r="G4273" t="s">
        <v>29</v>
      </c>
      <c r="K4273" cm="1">
        <f t="array" ref="K4273">_xlfn.SWITCH(LeadsData[[#This Row],[Funnel Stage Reached]],"Lead",1,"MQL",2,"SQL",3,"Customer",4)</f>
        <v>3</v>
      </c>
      <c r="L4273" t="str">
        <f>TEXT(LeadsData[[#This Row],[Signup Date]],"mmm-yyyy")</f>
        <v>Aug-2024</v>
      </c>
      <c r="M4273">
        <f>IF(LeadsData[[#This Row],[Stage Number]]&gt;=2,1,0)</f>
        <v>1</v>
      </c>
      <c r="N4273" s="2">
        <f>IF(LeadsData[[#This Row],[Stage Number]]&gt;=3,1,0)</f>
        <v>1</v>
      </c>
      <c r="O4273" s="2">
        <f>IF(LeadsData[[#This Row],[Stage Number]]&gt;=4,1,0)</f>
        <v>0</v>
      </c>
    </row>
    <row r="4274" spans="1:15" x14ac:dyDescent="0.25">
      <c r="A4274" t="s">
        <v>4314</v>
      </c>
      <c r="B4274" s="1">
        <v>45417</v>
      </c>
      <c r="C4274" t="s">
        <v>31</v>
      </c>
      <c r="D4274" t="s">
        <v>34</v>
      </c>
      <c r="E4274" t="s">
        <v>13</v>
      </c>
      <c r="F4274" t="s">
        <v>22</v>
      </c>
      <c r="G4274" t="s">
        <v>15</v>
      </c>
      <c r="K4274" cm="1">
        <f t="array" ref="K4274">_xlfn.SWITCH(LeadsData[[#This Row],[Funnel Stage Reached]],"Lead",1,"MQL",2,"SQL",3,"Customer",4)</f>
        <v>1</v>
      </c>
      <c r="L4274" t="str">
        <f>TEXT(LeadsData[[#This Row],[Signup Date]],"mmm-yyyy")</f>
        <v>May-2024</v>
      </c>
      <c r="M4274">
        <f>IF(LeadsData[[#This Row],[Stage Number]]&gt;=2,1,0)</f>
        <v>0</v>
      </c>
      <c r="N4274" s="2">
        <f>IF(LeadsData[[#This Row],[Stage Number]]&gt;=3,1,0)</f>
        <v>0</v>
      </c>
      <c r="O4274" s="2">
        <f>IF(LeadsData[[#This Row],[Stage Number]]&gt;=4,1,0)</f>
        <v>0</v>
      </c>
    </row>
    <row r="4275" spans="1:15" x14ac:dyDescent="0.25">
      <c r="A4275" t="s">
        <v>4315</v>
      </c>
      <c r="B4275" s="1">
        <v>45296</v>
      </c>
      <c r="C4275" t="s">
        <v>25</v>
      </c>
      <c r="D4275" t="s">
        <v>26</v>
      </c>
      <c r="E4275" t="s">
        <v>21</v>
      </c>
      <c r="F4275" t="s">
        <v>14</v>
      </c>
      <c r="G4275" t="s">
        <v>15</v>
      </c>
      <c r="K4275" cm="1">
        <f t="array" ref="K4275">_xlfn.SWITCH(LeadsData[[#This Row],[Funnel Stage Reached]],"Lead",1,"MQL",2,"SQL",3,"Customer",4)</f>
        <v>1</v>
      </c>
      <c r="L4275" t="str">
        <f>TEXT(LeadsData[[#This Row],[Signup Date]],"mmm-yyyy")</f>
        <v>Jan-2024</v>
      </c>
      <c r="M4275">
        <f>IF(LeadsData[[#This Row],[Stage Number]]&gt;=2,1,0)</f>
        <v>0</v>
      </c>
      <c r="N4275" s="2">
        <f>IF(LeadsData[[#This Row],[Stage Number]]&gt;=3,1,0)</f>
        <v>0</v>
      </c>
      <c r="O4275" s="2">
        <f>IF(LeadsData[[#This Row],[Stage Number]]&gt;=4,1,0)</f>
        <v>0</v>
      </c>
    </row>
    <row r="4276" spans="1:15" x14ac:dyDescent="0.25">
      <c r="A4276" t="s">
        <v>4316</v>
      </c>
      <c r="B4276" s="1">
        <v>45541</v>
      </c>
      <c r="C4276" t="s">
        <v>17</v>
      </c>
      <c r="D4276" t="s">
        <v>18</v>
      </c>
      <c r="E4276" t="s">
        <v>21</v>
      </c>
      <c r="F4276" t="s">
        <v>22</v>
      </c>
      <c r="G4276" t="s">
        <v>15</v>
      </c>
      <c r="K4276" cm="1">
        <f t="array" ref="K4276">_xlfn.SWITCH(LeadsData[[#This Row],[Funnel Stage Reached]],"Lead",1,"MQL",2,"SQL",3,"Customer",4)</f>
        <v>1</v>
      </c>
      <c r="L4276" t="str">
        <f>TEXT(LeadsData[[#This Row],[Signup Date]],"mmm-yyyy")</f>
        <v>Sep-2024</v>
      </c>
      <c r="M4276">
        <f>IF(LeadsData[[#This Row],[Stage Number]]&gt;=2,1,0)</f>
        <v>0</v>
      </c>
      <c r="N4276" s="2">
        <f>IF(LeadsData[[#This Row],[Stage Number]]&gt;=3,1,0)</f>
        <v>0</v>
      </c>
      <c r="O4276" s="2">
        <f>IF(LeadsData[[#This Row],[Stage Number]]&gt;=4,1,0)</f>
        <v>0</v>
      </c>
    </row>
    <row r="4277" spans="1:15" x14ac:dyDescent="0.25">
      <c r="A4277" t="s">
        <v>4317</v>
      </c>
      <c r="B4277" s="1">
        <v>45537</v>
      </c>
      <c r="C4277" t="s">
        <v>46</v>
      </c>
      <c r="D4277" t="s">
        <v>47</v>
      </c>
      <c r="E4277" t="s">
        <v>13</v>
      </c>
      <c r="F4277" t="s">
        <v>19</v>
      </c>
      <c r="G4277" t="s">
        <v>15</v>
      </c>
      <c r="K4277" cm="1">
        <f t="array" ref="K4277">_xlfn.SWITCH(LeadsData[[#This Row],[Funnel Stage Reached]],"Lead",1,"MQL",2,"SQL",3,"Customer",4)</f>
        <v>1</v>
      </c>
      <c r="L4277" t="str">
        <f>TEXT(LeadsData[[#This Row],[Signup Date]],"mmm-yyyy")</f>
        <v>Sep-2024</v>
      </c>
      <c r="M4277">
        <f>IF(LeadsData[[#This Row],[Stage Number]]&gt;=2,1,0)</f>
        <v>0</v>
      </c>
      <c r="N4277" s="2">
        <f>IF(LeadsData[[#This Row],[Stage Number]]&gt;=3,1,0)</f>
        <v>0</v>
      </c>
      <c r="O4277" s="2">
        <f>IF(LeadsData[[#This Row],[Stage Number]]&gt;=4,1,0)</f>
        <v>0</v>
      </c>
    </row>
    <row r="4278" spans="1:15" x14ac:dyDescent="0.25">
      <c r="A4278" t="s">
        <v>4318</v>
      </c>
      <c r="B4278" s="1">
        <v>45395</v>
      </c>
      <c r="C4278" t="s">
        <v>46</v>
      </c>
      <c r="D4278" t="s">
        <v>56</v>
      </c>
      <c r="E4278" t="s">
        <v>21</v>
      </c>
      <c r="F4278" t="s">
        <v>19</v>
      </c>
      <c r="G4278" t="s">
        <v>42</v>
      </c>
      <c r="H4278">
        <v>31</v>
      </c>
      <c r="I4278" t="s">
        <v>87</v>
      </c>
      <c r="J4278">
        <v>1906.37</v>
      </c>
      <c r="K4278" cm="1">
        <f t="array" ref="K4278">_xlfn.SWITCH(LeadsData[[#This Row],[Funnel Stage Reached]],"Lead",1,"MQL",2,"SQL",3,"Customer",4)</f>
        <v>4</v>
      </c>
      <c r="L4278" t="str">
        <f>TEXT(LeadsData[[#This Row],[Signup Date]],"mmm-yyyy")</f>
        <v>Apr-2024</v>
      </c>
      <c r="M4278">
        <f>IF(LeadsData[[#This Row],[Stage Number]]&gt;=2,1,0)</f>
        <v>1</v>
      </c>
      <c r="N4278" s="2">
        <f>IF(LeadsData[[#This Row],[Stage Number]]&gt;=3,1,0)</f>
        <v>1</v>
      </c>
      <c r="O4278" s="2">
        <f>IF(LeadsData[[#This Row],[Stage Number]]&gt;=4,1,0)</f>
        <v>1</v>
      </c>
    </row>
    <row r="4279" spans="1:15" x14ac:dyDescent="0.25">
      <c r="A4279" t="s">
        <v>4319</v>
      </c>
      <c r="B4279" s="1">
        <v>45519</v>
      </c>
      <c r="C4279" t="s">
        <v>11</v>
      </c>
      <c r="D4279" t="s">
        <v>12</v>
      </c>
      <c r="E4279" t="s">
        <v>21</v>
      </c>
      <c r="F4279" t="s">
        <v>14</v>
      </c>
      <c r="G4279" t="s">
        <v>15</v>
      </c>
      <c r="K4279" cm="1">
        <f t="array" ref="K4279">_xlfn.SWITCH(LeadsData[[#This Row],[Funnel Stage Reached]],"Lead",1,"MQL",2,"SQL",3,"Customer",4)</f>
        <v>1</v>
      </c>
      <c r="L4279" t="str">
        <f>TEXT(LeadsData[[#This Row],[Signup Date]],"mmm-yyyy")</f>
        <v>Aug-2024</v>
      </c>
      <c r="M4279">
        <f>IF(LeadsData[[#This Row],[Stage Number]]&gt;=2,1,0)</f>
        <v>0</v>
      </c>
      <c r="N4279" s="2">
        <f>IF(LeadsData[[#This Row],[Stage Number]]&gt;=3,1,0)</f>
        <v>0</v>
      </c>
      <c r="O4279" s="2">
        <f>IF(LeadsData[[#This Row],[Stage Number]]&gt;=4,1,0)</f>
        <v>0</v>
      </c>
    </row>
    <row r="4280" spans="1:15" x14ac:dyDescent="0.25">
      <c r="A4280" t="s">
        <v>4320</v>
      </c>
      <c r="B4280" s="1">
        <v>45305</v>
      </c>
      <c r="C4280" t="s">
        <v>31</v>
      </c>
      <c r="D4280" t="s">
        <v>32</v>
      </c>
      <c r="E4280" t="s">
        <v>13</v>
      </c>
      <c r="F4280" t="s">
        <v>19</v>
      </c>
      <c r="G4280" t="s">
        <v>23</v>
      </c>
      <c r="K4280" cm="1">
        <f t="array" ref="K4280">_xlfn.SWITCH(LeadsData[[#This Row],[Funnel Stage Reached]],"Lead",1,"MQL",2,"SQL",3,"Customer",4)</f>
        <v>2</v>
      </c>
      <c r="L4280" t="str">
        <f>TEXT(LeadsData[[#This Row],[Signup Date]],"mmm-yyyy")</f>
        <v>Jan-2024</v>
      </c>
      <c r="M4280">
        <f>IF(LeadsData[[#This Row],[Stage Number]]&gt;=2,1,0)</f>
        <v>1</v>
      </c>
      <c r="N4280" s="2">
        <f>IF(LeadsData[[#This Row],[Stage Number]]&gt;=3,1,0)</f>
        <v>0</v>
      </c>
      <c r="O4280" s="2">
        <f>IF(LeadsData[[#This Row],[Stage Number]]&gt;=4,1,0)</f>
        <v>0</v>
      </c>
    </row>
    <row r="4281" spans="1:15" x14ac:dyDescent="0.25">
      <c r="A4281" t="s">
        <v>4321</v>
      </c>
      <c r="B4281" s="1">
        <v>45526</v>
      </c>
      <c r="C4281" t="s">
        <v>46</v>
      </c>
      <c r="D4281" t="s">
        <v>47</v>
      </c>
      <c r="E4281" t="s">
        <v>21</v>
      </c>
      <c r="F4281" t="s">
        <v>19</v>
      </c>
      <c r="G4281" t="s">
        <v>23</v>
      </c>
      <c r="K4281" cm="1">
        <f t="array" ref="K4281">_xlfn.SWITCH(LeadsData[[#This Row],[Funnel Stage Reached]],"Lead",1,"MQL",2,"SQL",3,"Customer",4)</f>
        <v>2</v>
      </c>
      <c r="L4281" t="str">
        <f>TEXT(LeadsData[[#This Row],[Signup Date]],"mmm-yyyy")</f>
        <v>Aug-2024</v>
      </c>
      <c r="M4281">
        <f>IF(LeadsData[[#This Row],[Stage Number]]&gt;=2,1,0)</f>
        <v>1</v>
      </c>
      <c r="N4281" s="2">
        <f>IF(LeadsData[[#This Row],[Stage Number]]&gt;=3,1,0)</f>
        <v>0</v>
      </c>
      <c r="O4281" s="2">
        <f>IF(LeadsData[[#This Row],[Stage Number]]&gt;=4,1,0)</f>
        <v>0</v>
      </c>
    </row>
    <row r="4282" spans="1:15" x14ac:dyDescent="0.25">
      <c r="A4282" t="s">
        <v>4322</v>
      </c>
      <c r="B4282" s="1">
        <v>45628</v>
      </c>
      <c r="C4282" t="s">
        <v>11</v>
      </c>
      <c r="D4282" t="s">
        <v>79</v>
      </c>
      <c r="E4282" t="s">
        <v>13</v>
      </c>
      <c r="F4282" t="s">
        <v>28</v>
      </c>
      <c r="G4282" t="s">
        <v>23</v>
      </c>
      <c r="K4282" cm="1">
        <f t="array" ref="K4282">_xlfn.SWITCH(LeadsData[[#This Row],[Funnel Stage Reached]],"Lead",1,"MQL",2,"SQL",3,"Customer",4)</f>
        <v>2</v>
      </c>
      <c r="L4282" t="str">
        <f>TEXT(LeadsData[[#This Row],[Signup Date]],"mmm-yyyy")</f>
        <v>Dec-2024</v>
      </c>
      <c r="M4282">
        <f>IF(LeadsData[[#This Row],[Stage Number]]&gt;=2,1,0)</f>
        <v>1</v>
      </c>
      <c r="N4282" s="2">
        <f>IF(LeadsData[[#This Row],[Stage Number]]&gt;=3,1,0)</f>
        <v>0</v>
      </c>
      <c r="O4282" s="2">
        <f>IF(LeadsData[[#This Row],[Stage Number]]&gt;=4,1,0)</f>
        <v>0</v>
      </c>
    </row>
    <row r="4283" spans="1:15" x14ac:dyDescent="0.25">
      <c r="A4283" t="s">
        <v>4323</v>
      </c>
      <c r="B4283" s="1">
        <v>45468</v>
      </c>
      <c r="C4283" t="s">
        <v>46</v>
      </c>
      <c r="D4283" t="s">
        <v>56</v>
      </c>
      <c r="E4283" t="s">
        <v>21</v>
      </c>
      <c r="F4283" t="s">
        <v>22</v>
      </c>
      <c r="G4283" t="s">
        <v>23</v>
      </c>
      <c r="K4283" cm="1">
        <f t="array" ref="K4283">_xlfn.SWITCH(LeadsData[[#This Row],[Funnel Stage Reached]],"Lead",1,"MQL",2,"SQL",3,"Customer",4)</f>
        <v>2</v>
      </c>
      <c r="L4283" t="str">
        <f>TEXT(LeadsData[[#This Row],[Signup Date]],"mmm-yyyy")</f>
        <v>Jun-2024</v>
      </c>
      <c r="M4283">
        <f>IF(LeadsData[[#This Row],[Stage Number]]&gt;=2,1,0)</f>
        <v>1</v>
      </c>
      <c r="N4283" s="2">
        <f>IF(LeadsData[[#This Row],[Stage Number]]&gt;=3,1,0)</f>
        <v>0</v>
      </c>
      <c r="O4283" s="2">
        <f>IF(LeadsData[[#This Row],[Stage Number]]&gt;=4,1,0)</f>
        <v>0</v>
      </c>
    </row>
    <row r="4284" spans="1:15" x14ac:dyDescent="0.25">
      <c r="A4284" t="s">
        <v>4324</v>
      </c>
      <c r="B4284" s="1">
        <v>45365</v>
      </c>
      <c r="C4284" t="s">
        <v>36</v>
      </c>
      <c r="D4284" t="s">
        <v>50</v>
      </c>
      <c r="E4284" t="s">
        <v>13</v>
      </c>
      <c r="F4284" t="s">
        <v>14</v>
      </c>
      <c r="G4284" t="s">
        <v>29</v>
      </c>
      <c r="K4284" cm="1">
        <f t="array" ref="K4284">_xlfn.SWITCH(LeadsData[[#This Row],[Funnel Stage Reached]],"Lead",1,"MQL",2,"SQL",3,"Customer",4)</f>
        <v>3</v>
      </c>
      <c r="L4284" t="str">
        <f>TEXT(LeadsData[[#This Row],[Signup Date]],"mmm-yyyy")</f>
        <v>Mar-2024</v>
      </c>
      <c r="M4284">
        <f>IF(LeadsData[[#This Row],[Stage Number]]&gt;=2,1,0)</f>
        <v>1</v>
      </c>
      <c r="N4284" s="2">
        <f>IF(LeadsData[[#This Row],[Stage Number]]&gt;=3,1,0)</f>
        <v>1</v>
      </c>
      <c r="O4284" s="2">
        <f>IF(LeadsData[[#This Row],[Stage Number]]&gt;=4,1,0)</f>
        <v>0</v>
      </c>
    </row>
    <row r="4285" spans="1:15" x14ac:dyDescent="0.25">
      <c r="A4285" t="s">
        <v>4325</v>
      </c>
      <c r="B4285" s="1">
        <v>45621</v>
      </c>
      <c r="C4285" t="s">
        <v>36</v>
      </c>
      <c r="D4285" t="s">
        <v>37</v>
      </c>
      <c r="E4285" t="s">
        <v>21</v>
      </c>
      <c r="F4285" t="s">
        <v>19</v>
      </c>
      <c r="G4285" t="s">
        <v>23</v>
      </c>
      <c r="K4285" cm="1">
        <f t="array" ref="K4285">_xlfn.SWITCH(LeadsData[[#This Row],[Funnel Stage Reached]],"Lead",1,"MQL",2,"SQL",3,"Customer",4)</f>
        <v>2</v>
      </c>
      <c r="L4285" t="str">
        <f>TEXT(LeadsData[[#This Row],[Signup Date]],"mmm-yyyy")</f>
        <v>Nov-2024</v>
      </c>
      <c r="M4285">
        <f>IF(LeadsData[[#This Row],[Stage Number]]&gt;=2,1,0)</f>
        <v>1</v>
      </c>
      <c r="N4285" s="2">
        <f>IF(LeadsData[[#This Row],[Stage Number]]&gt;=3,1,0)</f>
        <v>0</v>
      </c>
      <c r="O4285" s="2">
        <f>IF(LeadsData[[#This Row],[Stage Number]]&gt;=4,1,0)</f>
        <v>0</v>
      </c>
    </row>
    <row r="4286" spans="1:15" x14ac:dyDescent="0.25">
      <c r="A4286" t="s">
        <v>4326</v>
      </c>
      <c r="B4286" s="1">
        <v>45325</v>
      </c>
      <c r="C4286" t="s">
        <v>17</v>
      </c>
      <c r="D4286" t="s">
        <v>53</v>
      </c>
      <c r="E4286" t="s">
        <v>21</v>
      </c>
      <c r="F4286" t="s">
        <v>22</v>
      </c>
      <c r="G4286" t="s">
        <v>15</v>
      </c>
      <c r="K4286" cm="1">
        <f t="array" ref="K4286">_xlfn.SWITCH(LeadsData[[#This Row],[Funnel Stage Reached]],"Lead",1,"MQL",2,"SQL",3,"Customer",4)</f>
        <v>1</v>
      </c>
      <c r="L4286" t="str">
        <f>TEXT(LeadsData[[#This Row],[Signup Date]],"mmm-yyyy")</f>
        <v>Feb-2024</v>
      </c>
      <c r="M4286">
        <f>IF(LeadsData[[#This Row],[Stage Number]]&gt;=2,1,0)</f>
        <v>0</v>
      </c>
      <c r="N4286" s="2">
        <f>IF(LeadsData[[#This Row],[Stage Number]]&gt;=3,1,0)</f>
        <v>0</v>
      </c>
      <c r="O4286" s="2">
        <f>IF(LeadsData[[#This Row],[Stage Number]]&gt;=4,1,0)</f>
        <v>0</v>
      </c>
    </row>
    <row r="4287" spans="1:15" x14ac:dyDescent="0.25">
      <c r="A4287" t="s">
        <v>4327</v>
      </c>
      <c r="B4287" s="1">
        <v>45619</v>
      </c>
      <c r="C4287" t="s">
        <v>17</v>
      </c>
      <c r="D4287" t="s">
        <v>18</v>
      </c>
      <c r="E4287" t="s">
        <v>13</v>
      </c>
      <c r="F4287" t="s">
        <v>19</v>
      </c>
      <c r="G4287" t="s">
        <v>15</v>
      </c>
      <c r="K4287" cm="1">
        <f t="array" ref="K4287">_xlfn.SWITCH(LeadsData[[#This Row],[Funnel Stage Reached]],"Lead",1,"MQL",2,"SQL",3,"Customer",4)</f>
        <v>1</v>
      </c>
      <c r="L4287" t="str">
        <f>TEXT(LeadsData[[#This Row],[Signup Date]],"mmm-yyyy")</f>
        <v>Nov-2024</v>
      </c>
      <c r="M4287">
        <f>IF(LeadsData[[#This Row],[Stage Number]]&gt;=2,1,0)</f>
        <v>0</v>
      </c>
      <c r="N4287" s="2">
        <f>IF(LeadsData[[#This Row],[Stage Number]]&gt;=3,1,0)</f>
        <v>0</v>
      </c>
      <c r="O4287" s="2">
        <f>IF(LeadsData[[#This Row],[Stage Number]]&gt;=4,1,0)</f>
        <v>0</v>
      </c>
    </row>
    <row r="4288" spans="1:15" x14ac:dyDescent="0.25">
      <c r="A4288" t="s">
        <v>4328</v>
      </c>
      <c r="B4288" s="1">
        <v>45654</v>
      </c>
      <c r="C4288" t="s">
        <v>25</v>
      </c>
      <c r="D4288" t="s">
        <v>26</v>
      </c>
      <c r="E4288" t="s">
        <v>13</v>
      </c>
      <c r="F4288" t="s">
        <v>19</v>
      </c>
      <c r="G4288" t="s">
        <v>15</v>
      </c>
      <c r="K4288" cm="1">
        <f t="array" ref="K4288">_xlfn.SWITCH(LeadsData[[#This Row],[Funnel Stage Reached]],"Lead",1,"MQL",2,"SQL",3,"Customer",4)</f>
        <v>1</v>
      </c>
      <c r="L4288" t="str">
        <f>TEXT(LeadsData[[#This Row],[Signup Date]],"mmm-yyyy")</f>
        <v>Dec-2024</v>
      </c>
      <c r="M4288">
        <f>IF(LeadsData[[#This Row],[Stage Number]]&gt;=2,1,0)</f>
        <v>0</v>
      </c>
      <c r="N4288" s="2">
        <f>IF(LeadsData[[#This Row],[Stage Number]]&gt;=3,1,0)</f>
        <v>0</v>
      </c>
      <c r="O4288" s="2">
        <f>IF(LeadsData[[#This Row],[Stage Number]]&gt;=4,1,0)</f>
        <v>0</v>
      </c>
    </row>
    <row r="4289" spans="1:15" x14ac:dyDescent="0.25">
      <c r="A4289" t="s">
        <v>4329</v>
      </c>
      <c r="B4289" s="1">
        <v>45639</v>
      </c>
      <c r="C4289" t="s">
        <v>11</v>
      </c>
      <c r="D4289" t="s">
        <v>79</v>
      </c>
      <c r="E4289" t="s">
        <v>21</v>
      </c>
      <c r="F4289" t="s">
        <v>22</v>
      </c>
      <c r="G4289" t="s">
        <v>29</v>
      </c>
      <c r="K4289" cm="1">
        <f t="array" ref="K4289">_xlfn.SWITCH(LeadsData[[#This Row],[Funnel Stage Reached]],"Lead",1,"MQL",2,"SQL",3,"Customer",4)</f>
        <v>3</v>
      </c>
      <c r="L4289" t="str">
        <f>TEXT(LeadsData[[#This Row],[Signup Date]],"mmm-yyyy")</f>
        <v>Dec-2024</v>
      </c>
      <c r="M4289">
        <f>IF(LeadsData[[#This Row],[Stage Number]]&gt;=2,1,0)</f>
        <v>1</v>
      </c>
      <c r="N4289" s="2">
        <f>IF(LeadsData[[#This Row],[Stage Number]]&gt;=3,1,0)</f>
        <v>1</v>
      </c>
      <c r="O4289" s="2">
        <f>IF(LeadsData[[#This Row],[Stage Number]]&gt;=4,1,0)</f>
        <v>0</v>
      </c>
    </row>
    <row r="4290" spans="1:15" x14ac:dyDescent="0.25">
      <c r="A4290" t="s">
        <v>4330</v>
      </c>
      <c r="B4290" s="1">
        <v>45559</v>
      </c>
      <c r="C4290" t="s">
        <v>31</v>
      </c>
      <c r="D4290" t="s">
        <v>34</v>
      </c>
      <c r="E4290" t="s">
        <v>13</v>
      </c>
      <c r="F4290" t="s">
        <v>22</v>
      </c>
      <c r="G4290" t="s">
        <v>29</v>
      </c>
      <c r="K4290" cm="1">
        <f t="array" ref="K4290">_xlfn.SWITCH(LeadsData[[#This Row],[Funnel Stage Reached]],"Lead",1,"MQL",2,"SQL",3,"Customer",4)</f>
        <v>3</v>
      </c>
      <c r="L4290" t="str">
        <f>TEXT(LeadsData[[#This Row],[Signup Date]],"mmm-yyyy")</f>
        <v>Sep-2024</v>
      </c>
      <c r="M4290">
        <f>IF(LeadsData[[#This Row],[Stage Number]]&gt;=2,1,0)</f>
        <v>1</v>
      </c>
      <c r="N4290" s="2">
        <f>IF(LeadsData[[#This Row],[Stage Number]]&gt;=3,1,0)</f>
        <v>1</v>
      </c>
      <c r="O4290" s="2">
        <f>IF(LeadsData[[#This Row],[Stage Number]]&gt;=4,1,0)</f>
        <v>0</v>
      </c>
    </row>
    <row r="4291" spans="1:15" x14ac:dyDescent="0.25">
      <c r="A4291" t="s">
        <v>4331</v>
      </c>
      <c r="B4291" s="1">
        <v>45500</v>
      </c>
      <c r="C4291" t="s">
        <v>25</v>
      </c>
      <c r="D4291" t="s">
        <v>26</v>
      </c>
      <c r="E4291" t="s">
        <v>13</v>
      </c>
      <c r="F4291" t="s">
        <v>22</v>
      </c>
      <c r="G4291" t="s">
        <v>23</v>
      </c>
      <c r="K4291" cm="1">
        <f t="array" ref="K4291">_xlfn.SWITCH(LeadsData[[#This Row],[Funnel Stage Reached]],"Lead",1,"MQL",2,"SQL",3,"Customer",4)</f>
        <v>2</v>
      </c>
      <c r="L4291" t="str">
        <f>TEXT(LeadsData[[#This Row],[Signup Date]],"mmm-yyyy")</f>
        <v>Jul-2024</v>
      </c>
      <c r="M4291">
        <f>IF(LeadsData[[#This Row],[Stage Number]]&gt;=2,1,0)</f>
        <v>1</v>
      </c>
      <c r="N4291" s="2">
        <f>IF(LeadsData[[#This Row],[Stage Number]]&gt;=3,1,0)</f>
        <v>0</v>
      </c>
      <c r="O4291" s="2">
        <f>IF(LeadsData[[#This Row],[Stage Number]]&gt;=4,1,0)</f>
        <v>0</v>
      </c>
    </row>
    <row r="4292" spans="1:15" x14ac:dyDescent="0.25">
      <c r="A4292" t="s">
        <v>4332</v>
      </c>
      <c r="B4292" s="1">
        <v>45570</v>
      </c>
      <c r="C4292" t="s">
        <v>36</v>
      </c>
      <c r="D4292" t="s">
        <v>50</v>
      </c>
      <c r="E4292" t="s">
        <v>21</v>
      </c>
      <c r="F4292" t="s">
        <v>19</v>
      </c>
      <c r="G4292" t="s">
        <v>23</v>
      </c>
      <c r="K4292" cm="1">
        <f t="array" ref="K4292">_xlfn.SWITCH(LeadsData[[#This Row],[Funnel Stage Reached]],"Lead",1,"MQL",2,"SQL",3,"Customer",4)</f>
        <v>2</v>
      </c>
      <c r="L4292" t="str">
        <f>TEXT(LeadsData[[#This Row],[Signup Date]],"mmm-yyyy")</f>
        <v>Oct-2024</v>
      </c>
      <c r="M4292">
        <f>IF(LeadsData[[#This Row],[Stage Number]]&gt;=2,1,0)</f>
        <v>1</v>
      </c>
      <c r="N4292" s="2">
        <f>IF(LeadsData[[#This Row],[Stage Number]]&gt;=3,1,0)</f>
        <v>0</v>
      </c>
      <c r="O4292" s="2">
        <f>IF(LeadsData[[#This Row],[Stage Number]]&gt;=4,1,0)</f>
        <v>0</v>
      </c>
    </row>
    <row r="4293" spans="1:15" x14ac:dyDescent="0.25">
      <c r="A4293" t="s">
        <v>4333</v>
      </c>
      <c r="B4293" s="1">
        <v>45448</v>
      </c>
      <c r="C4293" t="s">
        <v>25</v>
      </c>
      <c r="D4293" t="s">
        <v>26</v>
      </c>
      <c r="E4293" t="s">
        <v>13</v>
      </c>
      <c r="F4293" t="s">
        <v>19</v>
      </c>
      <c r="G4293" t="s">
        <v>29</v>
      </c>
      <c r="K4293" cm="1">
        <f t="array" ref="K4293">_xlfn.SWITCH(LeadsData[[#This Row],[Funnel Stage Reached]],"Lead",1,"MQL",2,"SQL",3,"Customer",4)</f>
        <v>3</v>
      </c>
      <c r="L4293" t="str">
        <f>TEXT(LeadsData[[#This Row],[Signup Date]],"mmm-yyyy")</f>
        <v>Jun-2024</v>
      </c>
      <c r="M4293">
        <f>IF(LeadsData[[#This Row],[Stage Number]]&gt;=2,1,0)</f>
        <v>1</v>
      </c>
      <c r="N4293" s="2">
        <f>IF(LeadsData[[#This Row],[Stage Number]]&gt;=3,1,0)</f>
        <v>1</v>
      </c>
      <c r="O4293" s="2">
        <f>IF(LeadsData[[#This Row],[Stage Number]]&gt;=4,1,0)</f>
        <v>0</v>
      </c>
    </row>
    <row r="4294" spans="1:15" x14ac:dyDescent="0.25">
      <c r="A4294" t="s">
        <v>4334</v>
      </c>
      <c r="B4294" s="1">
        <v>45607</v>
      </c>
      <c r="C4294" t="s">
        <v>25</v>
      </c>
      <c r="D4294" t="s">
        <v>26</v>
      </c>
      <c r="E4294" t="s">
        <v>21</v>
      </c>
      <c r="F4294" t="s">
        <v>22</v>
      </c>
      <c r="G4294" t="s">
        <v>15</v>
      </c>
      <c r="K4294" cm="1">
        <f t="array" ref="K4294">_xlfn.SWITCH(LeadsData[[#This Row],[Funnel Stage Reached]],"Lead",1,"MQL",2,"SQL",3,"Customer",4)</f>
        <v>1</v>
      </c>
      <c r="L4294" t="str">
        <f>TEXT(LeadsData[[#This Row],[Signup Date]],"mmm-yyyy")</f>
        <v>Nov-2024</v>
      </c>
      <c r="M4294">
        <f>IF(LeadsData[[#This Row],[Stage Number]]&gt;=2,1,0)</f>
        <v>0</v>
      </c>
      <c r="N4294" s="2">
        <f>IF(LeadsData[[#This Row],[Stage Number]]&gt;=3,1,0)</f>
        <v>0</v>
      </c>
      <c r="O4294" s="2">
        <f>IF(LeadsData[[#This Row],[Stage Number]]&gt;=4,1,0)</f>
        <v>0</v>
      </c>
    </row>
    <row r="4295" spans="1:15" x14ac:dyDescent="0.25">
      <c r="A4295" t="s">
        <v>4335</v>
      </c>
      <c r="B4295" s="1">
        <v>45428</v>
      </c>
      <c r="C4295" t="s">
        <v>25</v>
      </c>
      <c r="D4295" t="s">
        <v>26</v>
      </c>
      <c r="E4295" t="s">
        <v>21</v>
      </c>
      <c r="F4295" t="s">
        <v>19</v>
      </c>
      <c r="G4295" t="s">
        <v>23</v>
      </c>
      <c r="K4295" cm="1">
        <f t="array" ref="K4295">_xlfn.SWITCH(LeadsData[[#This Row],[Funnel Stage Reached]],"Lead",1,"MQL",2,"SQL",3,"Customer",4)</f>
        <v>2</v>
      </c>
      <c r="L4295" t="str">
        <f>TEXT(LeadsData[[#This Row],[Signup Date]],"mmm-yyyy")</f>
        <v>May-2024</v>
      </c>
      <c r="M4295">
        <f>IF(LeadsData[[#This Row],[Stage Number]]&gt;=2,1,0)</f>
        <v>1</v>
      </c>
      <c r="N4295" s="2">
        <f>IF(LeadsData[[#This Row],[Stage Number]]&gt;=3,1,0)</f>
        <v>0</v>
      </c>
      <c r="O4295" s="2">
        <f>IF(LeadsData[[#This Row],[Stage Number]]&gt;=4,1,0)</f>
        <v>0</v>
      </c>
    </row>
    <row r="4296" spans="1:15" x14ac:dyDescent="0.25">
      <c r="A4296" t="s">
        <v>4336</v>
      </c>
      <c r="B4296" s="1">
        <v>45578</v>
      </c>
      <c r="C4296" t="s">
        <v>31</v>
      </c>
      <c r="D4296" t="s">
        <v>32</v>
      </c>
      <c r="E4296" t="s">
        <v>13</v>
      </c>
      <c r="F4296" t="s">
        <v>19</v>
      </c>
      <c r="G4296" t="s">
        <v>23</v>
      </c>
      <c r="K4296" cm="1">
        <f t="array" ref="K4296">_xlfn.SWITCH(LeadsData[[#This Row],[Funnel Stage Reached]],"Lead",1,"MQL",2,"SQL",3,"Customer",4)</f>
        <v>2</v>
      </c>
      <c r="L4296" t="str">
        <f>TEXT(LeadsData[[#This Row],[Signup Date]],"mmm-yyyy")</f>
        <v>Oct-2024</v>
      </c>
      <c r="M4296">
        <f>IF(LeadsData[[#This Row],[Stage Number]]&gt;=2,1,0)</f>
        <v>1</v>
      </c>
      <c r="N4296" s="2">
        <f>IF(LeadsData[[#This Row],[Stage Number]]&gt;=3,1,0)</f>
        <v>0</v>
      </c>
      <c r="O4296" s="2">
        <f>IF(LeadsData[[#This Row],[Stage Number]]&gt;=4,1,0)</f>
        <v>0</v>
      </c>
    </row>
    <row r="4297" spans="1:15" x14ac:dyDescent="0.25">
      <c r="A4297" t="s">
        <v>4337</v>
      </c>
      <c r="B4297" s="1">
        <v>45585</v>
      </c>
      <c r="C4297" t="s">
        <v>31</v>
      </c>
      <c r="D4297" t="s">
        <v>32</v>
      </c>
      <c r="E4297" t="s">
        <v>21</v>
      </c>
      <c r="F4297" t="s">
        <v>22</v>
      </c>
      <c r="G4297" t="s">
        <v>23</v>
      </c>
      <c r="K4297" cm="1">
        <f t="array" ref="K4297">_xlfn.SWITCH(LeadsData[[#This Row],[Funnel Stage Reached]],"Lead",1,"MQL",2,"SQL",3,"Customer",4)</f>
        <v>2</v>
      </c>
      <c r="L4297" t="str">
        <f>TEXT(LeadsData[[#This Row],[Signup Date]],"mmm-yyyy")</f>
        <v>Oct-2024</v>
      </c>
      <c r="M4297">
        <f>IF(LeadsData[[#This Row],[Stage Number]]&gt;=2,1,0)</f>
        <v>1</v>
      </c>
      <c r="N4297" s="2">
        <f>IF(LeadsData[[#This Row],[Stage Number]]&gt;=3,1,0)</f>
        <v>0</v>
      </c>
      <c r="O4297" s="2">
        <f>IF(LeadsData[[#This Row],[Stage Number]]&gt;=4,1,0)</f>
        <v>0</v>
      </c>
    </row>
    <row r="4298" spans="1:15" x14ac:dyDescent="0.25">
      <c r="A4298" t="s">
        <v>4338</v>
      </c>
      <c r="B4298" s="1">
        <v>45558</v>
      </c>
      <c r="C4298" t="s">
        <v>46</v>
      </c>
      <c r="D4298" t="s">
        <v>47</v>
      </c>
      <c r="E4298" t="s">
        <v>13</v>
      </c>
      <c r="F4298" t="s">
        <v>22</v>
      </c>
      <c r="G4298" t="s">
        <v>15</v>
      </c>
      <c r="K4298" cm="1">
        <f t="array" ref="K4298">_xlfn.SWITCH(LeadsData[[#This Row],[Funnel Stage Reached]],"Lead",1,"MQL",2,"SQL",3,"Customer",4)</f>
        <v>1</v>
      </c>
      <c r="L4298" t="str">
        <f>TEXT(LeadsData[[#This Row],[Signup Date]],"mmm-yyyy")</f>
        <v>Sep-2024</v>
      </c>
      <c r="M4298">
        <f>IF(LeadsData[[#This Row],[Stage Number]]&gt;=2,1,0)</f>
        <v>0</v>
      </c>
      <c r="N4298" s="2">
        <f>IF(LeadsData[[#This Row],[Stage Number]]&gt;=3,1,0)</f>
        <v>0</v>
      </c>
      <c r="O4298" s="2">
        <f>IF(LeadsData[[#This Row],[Stage Number]]&gt;=4,1,0)</f>
        <v>0</v>
      </c>
    </row>
    <row r="4299" spans="1:15" x14ac:dyDescent="0.25">
      <c r="A4299" t="s">
        <v>4339</v>
      </c>
      <c r="B4299" s="1">
        <v>45523</v>
      </c>
      <c r="C4299" t="s">
        <v>25</v>
      </c>
      <c r="D4299" t="s">
        <v>26</v>
      </c>
      <c r="E4299" t="s">
        <v>48</v>
      </c>
      <c r="F4299" t="s">
        <v>14</v>
      </c>
      <c r="G4299" t="s">
        <v>23</v>
      </c>
      <c r="K4299" cm="1">
        <f t="array" ref="K4299">_xlfn.SWITCH(LeadsData[[#This Row],[Funnel Stage Reached]],"Lead",1,"MQL",2,"SQL",3,"Customer",4)</f>
        <v>2</v>
      </c>
      <c r="L4299" t="str">
        <f>TEXT(LeadsData[[#This Row],[Signup Date]],"mmm-yyyy")</f>
        <v>Aug-2024</v>
      </c>
      <c r="M4299">
        <f>IF(LeadsData[[#This Row],[Stage Number]]&gt;=2,1,0)</f>
        <v>1</v>
      </c>
      <c r="N4299" s="2">
        <f>IF(LeadsData[[#This Row],[Stage Number]]&gt;=3,1,0)</f>
        <v>0</v>
      </c>
      <c r="O4299" s="2">
        <f>IF(LeadsData[[#This Row],[Stage Number]]&gt;=4,1,0)</f>
        <v>0</v>
      </c>
    </row>
    <row r="4300" spans="1:15" x14ac:dyDescent="0.25">
      <c r="A4300" t="s">
        <v>4340</v>
      </c>
      <c r="B4300" s="1">
        <v>45632</v>
      </c>
      <c r="C4300" t="s">
        <v>31</v>
      </c>
      <c r="D4300" t="s">
        <v>34</v>
      </c>
      <c r="E4300" t="s">
        <v>21</v>
      </c>
      <c r="F4300" t="s">
        <v>19</v>
      </c>
      <c r="G4300" t="s">
        <v>42</v>
      </c>
      <c r="H4300">
        <v>69</v>
      </c>
      <c r="I4300" t="s">
        <v>87</v>
      </c>
      <c r="J4300">
        <v>4092.98</v>
      </c>
      <c r="K4300" cm="1">
        <f t="array" ref="K4300">_xlfn.SWITCH(LeadsData[[#This Row],[Funnel Stage Reached]],"Lead",1,"MQL",2,"SQL",3,"Customer",4)</f>
        <v>4</v>
      </c>
      <c r="L4300" t="str">
        <f>TEXT(LeadsData[[#This Row],[Signup Date]],"mmm-yyyy")</f>
        <v>Dec-2024</v>
      </c>
      <c r="M4300">
        <f>IF(LeadsData[[#This Row],[Stage Number]]&gt;=2,1,0)</f>
        <v>1</v>
      </c>
      <c r="N4300" s="2">
        <f>IF(LeadsData[[#This Row],[Stage Number]]&gt;=3,1,0)</f>
        <v>1</v>
      </c>
      <c r="O4300" s="2">
        <f>IF(LeadsData[[#This Row],[Stage Number]]&gt;=4,1,0)</f>
        <v>1</v>
      </c>
    </row>
    <row r="4301" spans="1:15" x14ac:dyDescent="0.25">
      <c r="A4301" t="s">
        <v>4341</v>
      </c>
      <c r="B4301" s="1">
        <v>45335</v>
      </c>
      <c r="C4301" t="s">
        <v>11</v>
      </c>
      <c r="D4301" t="s">
        <v>79</v>
      </c>
      <c r="E4301" t="s">
        <v>13</v>
      </c>
      <c r="F4301" t="s">
        <v>22</v>
      </c>
      <c r="G4301" t="s">
        <v>23</v>
      </c>
      <c r="K4301" cm="1">
        <f t="array" ref="K4301">_xlfn.SWITCH(LeadsData[[#This Row],[Funnel Stage Reached]],"Lead",1,"MQL",2,"SQL",3,"Customer",4)</f>
        <v>2</v>
      </c>
      <c r="L4301" t="str">
        <f>TEXT(LeadsData[[#This Row],[Signup Date]],"mmm-yyyy")</f>
        <v>Feb-2024</v>
      </c>
      <c r="M4301">
        <f>IF(LeadsData[[#This Row],[Stage Number]]&gt;=2,1,0)</f>
        <v>1</v>
      </c>
      <c r="N4301" s="2">
        <f>IF(LeadsData[[#This Row],[Stage Number]]&gt;=3,1,0)</f>
        <v>0</v>
      </c>
      <c r="O4301" s="2">
        <f>IF(LeadsData[[#This Row],[Stage Number]]&gt;=4,1,0)</f>
        <v>0</v>
      </c>
    </row>
    <row r="4302" spans="1:15" x14ac:dyDescent="0.25">
      <c r="A4302" t="s">
        <v>4342</v>
      </c>
      <c r="B4302" s="1">
        <v>45556</v>
      </c>
      <c r="C4302" t="s">
        <v>31</v>
      </c>
      <c r="D4302" t="s">
        <v>32</v>
      </c>
      <c r="E4302" t="s">
        <v>21</v>
      </c>
      <c r="F4302" t="s">
        <v>14</v>
      </c>
      <c r="G4302" t="s">
        <v>15</v>
      </c>
      <c r="K4302" cm="1">
        <f t="array" ref="K4302">_xlfn.SWITCH(LeadsData[[#This Row],[Funnel Stage Reached]],"Lead",1,"MQL",2,"SQL",3,"Customer",4)</f>
        <v>1</v>
      </c>
      <c r="L4302" t="str">
        <f>TEXT(LeadsData[[#This Row],[Signup Date]],"mmm-yyyy")</f>
        <v>Sep-2024</v>
      </c>
      <c r="M4302">
        <f>IF(LeadsData[[#This Row],[Stage Number]]&gt;=2,1,0)</f>
        <v>0</v>
      </c>
      <c r="N4302" s="2">
        <f>IF(LeadsData[[#This Row],[Stage Number]]&gt;=3,1,0)</f>
        <v>0</v>
      </c>
      <c r="O4302" s="2">
        <f>IF(LeadsData[[#This Row],[Stage Number]]&gt;=4,1,0)</f>
        <v>0</v>
      </c>
    </row>
    <row r="4303" spans="1:15" x14ac:dyDescent="0.25">
      <c r="A4303" t="s">
        <v>4343</v>
      </c>
      <c r="B4303" s="1">
        <v>45485</v>
      </c>
      <c r="C4303" t="s">
        <v>11</v>
      </c>
      <c r="D4303" t="s">
        <v>12</v>
      </c>
      <c r="E4303" t="s">
        <v>13</v>
      </c>
      <c r="F4303" t="s">
        <v>19</v>
      </c>
      <c r="G4303" t="s">
        <v>15</v>
      </c>
      <c r="K4303" cm="1">
        <f t="array" ref="K4303">_xlfn.SWITCH(LeadsData[[#This Row],[Funnel Stage Reached]],"Lead",1,"MQL",2,"SQL",3,"Customer",4)</f>
        <v>1</v>
      </c>
      <c r="L4303" t="str">
        <f>TEXT(LeadsData[[#This Row],[Signup Date]],"mmm-yyyy")</f>
        <v>Jul-2024</v>
      </c>
      <c r="M4303">
        <f>IF(LeadsData[[#This Row],[Stage Number]]&gt;=2,1,0)</f>
        <v>0</v>
      </c>
      <c r="N4303" s="2">
        <f>IF(LeadsData[[#This Row],[Stage Number]]&gt;=3,1,0)</f>
        <v>0</v>
      </c>
      <c r="O4303" s="2">
        <f>IF(LeadsData[[#This Row],[Stage Number]]&gt;=4,1,0)</f>
        <v>0</v>
      </c>
    </row>
    <row r="4304" spans="1:15" x14ac:dyDescent="0.25">
      <c r="A4304" t="s">
        <v>4344</v>
      </c>
      <c r="B4304" s="1">
        <v>45573</v>
      </c>
      <c r="C4304" t="s">
        <v>25</v>
      </c>
      <c r="D4304" t="s">
        <v>26</v>
      </c>
      <c r="E4304" t="s">
        <v>21</v>
      </c>
      <c r="F4304" t="s">
        <v>19</v>
      </c>
      <c r="G4304" t="s">
        <v>23</v>
      </c>
      <c r="K4304" cm="1">
        <f t="array" ref="K4304">_xlfn.SWITCH(LeadsData[[#This Row],[Funnel Stage Reached]],"Lead",1,"MQL",2,"SQL",3,"Customer",4)</f>
        <v>2</v>
      </c>
      <c r="L4304" t="str">
        <f>TEXT(LeadsData[[#This Row],[Signup Date]],"mmm-yyyy")</f>
        <v>Oct-2024</v>
      </c>
      <c r="M4304">
        <f>IF(LeadsData[[#This Row],[Stage Number]]&gt;=2,1,0)</f>
        <v>1</v>
      </c>
      <c r="N4304" s="2">
        <f>IF(LeadsData[[#This Row],[Stage Number]]&gt;=3,1,0)</f>
        <v>0</v>
      </c>
      <c r="O4304" s="2">
        <f>IF(LeadsData[[#This Row],[Stage Number]]&gt;=4,1,0)</f>
        <v>0</v>
      </c>
    </row>
    <row r="4305" spans="1:15" x14ac:dyDescent="0.25">
      <c r="A4305" t="s">
        <v>4345</v>
      </c>
      <c r="B4305" s="1">
        <v>45554</v>
      </c>
      <c r="C4305" t="s">
        <v>46</v>
      </c>
      <c r="D4305" t="s">
        <v>47</v>
      </c>
      <c r="E4305" t="s">
        <v>13</v>
      </c>
      <c r="F4305" t="s">
        <v>28</v>
      </c>
      <c r="G4305" t="s">
        <v>23</v>
      </c>
      <c r="K4305" cm="1">
        <f t="array" ref="K4305">_xlfn.SWITCH(LeadsData[[#This Row],[Funnel Stage Reached]],"Lead",1,"MQL",2,"SQL",3,"Customer",4)</f>
        <v>2</v>
      </c>
      <c r="L4305" t="str">
        <f>TEXT(LeadsData[[#This Row],[Signup Date]],"mmm-yyyy")</f>
        <v>Sep-2024</v>
      </c>
      <c r="M4305">
        <f>IF(LeadsData[[#This Row],[Stage Number]]&gt;=2,1,0)</f>
        <v>1</v>
      </c>
      <c r="N4305" s="2">
        <f>IF(LeadsData[[#This Row],[Stage Number]]&gt;=3,1,0)</f>
        <v>0</v>
      </c>
      <c r="O4305" s="2">
        <f>IF(LeadsData[[#This Row],[Stage Number]]&gt;=4,1,0)</f>
        <v>0</v>
      </c>
    </row>
    <row r="4306" spans="1:15" x14ac:dyDescent="0.25">
      <c r="A4306" t="s">
        <v>4346</v>
      </c>
      <c r="B4306" s="1">
        <v>45455</v>
      </c>
      <c r="C4306" t="s">
        <v>31</v>
      </c>
      <c r="D4306" t="s">
        <v>32</v>
      </c>
      <c r="E4306" t="s">
        <v>13</v>
      </c>
      <c r="F4306" t="s">
        <v>28</v>
      </c>
      <c r="G4306" t="s">
        <v>23</v>
      </c>
      <c r="K4306" cm="1">
        <f t="array" ref="K4306">_xlfn.SWITCH(LeadsData[[#This Row],[Funnel Stage Reached]],"Lead",1,"MQL",2,"SQL",3,"Customer",4)</f>
        <v>2</v>
      </c>
      <c r="L4306" t="str">
        <f>TEXT(LeadsData[[#This Row],[Signup Date]],"mmm-yyyy")</f>
        <v>Jun-2024</v>
      </c>
      <c r="M4306">
        <f>IF(LeadsData[[#This Row],[Stage Number]]&gt;=2,1,0)</f>
        <v>1</v>
      </c>
      <c r="N4306" s="2">
        <f>IF(LeadsData[[#This Row],[Stage Number]]&gt;=3,1,0)</f>
        <v>0</v>
      </c>
      <c r="O4306" s="2">
        <f>IF(LeadsData[[#This Row],[Stage Number]]&gt;=4,1,0)</f>
        <v>0</v>
      </c>
    </row>
    <row r="4307" spans="1:15" x14ac:dyDescent="0.25">
      <c r="A4307" t="s">
        <v>4347</v>
      </c>
      <c r="B4307" s="1">
        <v>45523</v>
      </c>
      <c r="C4307" t="s">
        <v>11</v>
      </c>
      <c r="D4307" t="s">
        <v>79</v>
      </c>
      <c r="E4307" t="s">
        <v>13</v>
      </c>
      <c r="F4307" t="s">
        <v>19</v>
      </c>
      <c r="G4307" t="s">
        <v>15</v>
      </c>
      <c r="K4307" cm="1">
        <f t="array" ref="K4307">_xlfn.SWITCH(LeadsData[[#This Row],[Funnel Stage Reached]],"Lead",1,"MQL",2,"SQL",3,"Customer",4)</f>
        <v>1</v>
      </c>
      <c r="L4307" t="str">
        <f>TEXT(LeadsData[[#This Row],[Signup Date]],"mmm-yyyy")</f>
        <v>Aug-2024</v>
      </c>
      <c r="M4307">
        <f>IF(LeadsData[[#This Row],[Stage Number]]&gt;=2,1,0)</f>
        <v>0</v>
      </c>
      <c r="N4307" s="2">
        <f>IF(LeadsData[[#This Row],[Stage Number]]&gt;=3,1,0)</f>
        <v>0</v>
      </c>
      <c r="O4307" s="2">
        <f>IF(LeadsData[[#This Row],[Stage Number]]&gt;=4,1,0)</f>
        <v>0</v>
      </c>
    </row>
    <row r="4308" spans="1:15" x14ac:dyDescent="0.25">
      <c r="A4308" t="s">
        <v>4348</v>
      </c>
      <c r="B4308" s="1">
        <v>45545</v>
      </c>
      <c r="C4308" t="s">
        <v>46</v>
      </c>
      <c r="D4308" t="s">
        <v>56</v>
      </c>
      <c r="E4308" t="s">
        <v>21</v>
      </c>
      <c r="F4308" t="s">
        <v>19</v>
      </c>
      <c r="G4308" t="s">
        <v>15</v>
      </c>
      <c r="K4308" cm="1">
        <f t="array" ref="K4308">_xlfn.SWITCH(LeadsData[[#This Row],[Funnel Stage Reached]],"Lead",1,"MQL",2,"SQL",3,"Customer",4)</f>
        <v>1</v>
      </c>
      <c r="L4308" t="str">
        <f>TEXT(LeadsData[[#This Row],[Signup Date]],"mmm-yyyy")</f>
        <v>Sep-2024</v>
      </c>
      <c r="M4308">
        <f>IF(LeadsData[[#This Row],[Stage Number]]&gt;=2,1,0)</f>
        <v>0</v>
      </c>
      <c r="N4308" s="2">
        <f>IF(LeadsData[[#This Row],[Stage Number]]&gt;=3,1,0)</f>
        <v>0</v>
      </c>
      <c r="O4308" s="2">
        <f>IF(LeadsData[[#This Row],[Stage Number]]&gt;=4,1,0)</f>
        <v>0</v>
      </c>
    </row>
    <row r="4309" spans="1:15" x14ac:dyDescent="0.25">
      <c r="A4309" t="s">
        <v>4349</v>
      </c>
      <c r="B4309" s="1">
        <v>45428</v>
      </c>
      <c r="C4309" t="s">
        <v>11</v>
      </c>
      <c r="D4309" t="s">
        <v>12</v>
      </c>
      <c r="E4309" t="s">
        <v>13</v>
      </c>
      <c r="F4309" t="s">
        <v>22</v>
      </c>
      <c r="G4309" t="s">
        <v>15</v>
      </c>
      <c r="K4309" cm="1">
        <f t="array" ref="K4309">_xlfn.SWITCH(LeadsData[[#This Row],[Funnel Stage Reached]],"Lead",1,"MQL",2,"SQL",3,"Customer",4)</f>
        <v>1</v>
      </c>
      <c r="L4309" t="str">
        <f>TEXT(LeadsData[[#This Row],[Signup Date]],"mmm-yyyy")</f>
        <v>May-2024</v>
      </c>
      <c r="M4309">
        <f>IF(LeadsData[[#This Row],[Stage Number]]&gt;=2,1,0)</f>
        <v>0</v>
      </c>
      <c r="N4309" s="2">
        <f>IF(LeadsData[[#This Row],[Stage Number]]&gt;=3,1,0)</f>
        <v>0</v>
      </c>
      <c r="O4309" s="2">
        <f>IF(LeadsData[[#This Row],[Stage Number]]&gt;=4,1,0)</f>
        <v>0</v>
      </c>
    </row>
    <row r="4310" spans="1:15" x14ac:dyDescent="0.25">
      <c r="A4310" t="s">
        <v>4350</v>
      </c>
      <c r="B4310" s="1">
        <v>45633</v>
      </c>
      <c r="C4310" t="s">
        <v>46</v>
      </c>
      <c r="D4310" t="s">
        <v>56</v>
      </c>
      <c r="E4310" t="s">
        <v>21</v>
      </c>
      <c r="F4310" t="s">
        <v>19</v>
      </c>
      <c r="G4310" t="s">
        <v>15</v>
      </c>
      <c r="K4310" cm="1">
        <f t="array" ref="K4310">_xlfn.SWITCH(LeadsData[[#This Row],[Funnel Stage Reached]],"Lead",1,"MQL",2,"SQL",3,"Customer",4)</f>
        <v>1</v>
      </c>
      <c r="L4310" t="str">
        <f>TEXT(LeadsData[[#This Row],[Signup Date]],"mmm-yyyy")</f>
        <v>Dec-2024</v>
      </c>
      <c r="M4310">
        <f>IF(LeadsData[[#This Row],[Stage Number]]&gt;=2,1,0)</f>
        <v>0</v>
      </c>
      <c r="N4310" s="2">
        <f>IF(LeadsData[[#This Row],[Stage Number]]&gt;=3,1,0)</f>
        <v>0</v>
      </c>
      <c r="O4310" s="2">
        <f>IF(LeadsData[[#This Row],[Stage Number]]&gt;=4,1,0)</f>
        <v>0</v>
      </c>
    </row>
    <row r="4311" spans="1:15" x14ac:dyDescent="0.25">
      <c r="A4311" t="s">
        <v>4351</v>
      </c>
      <c r="B4311" s="1">
        <v>45419</v>
      </c>
      <c r="C4311" t="s">
        <v>31</v>
      </c>
      <c r="D4311" t="s">
        <v>32</v>
      </c>
      <c r="E4311" t="s">
        <v>48</v>
      </c>
      <c r="F4311" t="s">
        <v>19</v>
      </c>
      <c r="G4311" t="s">
        <v>23</v>
      </c>
      <c r="K4311" cm="1">
        <f t="array" ref="K4311">_xlfn.SWITCH(LeadsData[[#This Row],[Funnel Stage Reached]],"Lead",1,"MQL",2,"SQL",3,"Customer",4)</f>
        <v>2</v>
      </c>
      <c r="L4311" t="str">
        <f>TEXT(LeadsData[[#This Row],[Signup Date]],"mmm-yyyy")</f>
        <v>May-2024</v>
      </c>
      <c r="M4311">
        <f>IF(LeadsData[[#This Row],[Stage Number]]&gt;=2,1,0)</f>
        <v>1</v>
      </c>
      <c r="N4311" s="2">
        <f>IF(LeadsData[[#This Row],[Stage Number]]&gt;=3,1,0)</f>
        <v>0</v>
      </c>
      <c r="O4311" s="2">
        <f>IF(LeadsData[[#This Row],[Stage Number]]&gt;=4,1,0)</f>
        <v>0</v>
      </c>
    </row>
    <row r="4312" spans="1:15" x14ac:dyDescent="0.25">
      <c r="A4312" t="s">
        <v>4352</v>
      </c>
      <c r="B4312" s="1">
        <v>45331</v>
      </c>
      <c r="C4312" t="s">
        <v>46</v>
      </c>
      <c r="D4312" t="s">
        <v>56</v>
      </c>
      <c r="E4312" t="s">
        <v>13</v>
      </c>
      <c r="F4312" t="s">
        <v>19</v>
      </c>
      <c r="G4312" t="s">
        <v>15</v>
      </c>
      <c r="K4312" cm="1">
        <f t="array" ref="K4312">_xlfn.SWITCH(LeadsData[[#This Row],[Funnel Stage Reached]],"Lead",1,"MQL",2,"SQL",3,"Customer",4)</f>
        <v>1</v>
      </c>
      <c r="L4312" t="str">
        <f>TEXT(LeadsData[[#This Row],[Signup Date]],"mmm-yyyy")</f>
        <v>Feb-2024</v>
      </c>
      <c r="M4312">
        <f>IF(LeadsData[[#This Row],[Stage Number]]&gt;=2,1,0)</f>
        <v>0</v>
      </c>
      <c r="N4312" s="2">
        <f>IF(LeadsData[[#This Row],[Stage Number]]&gt;=3,1,0)</f>
        <v>0</v>
      </c>
      <c r="O4312" s="2">
        <f>IF(LeadsData[[#This Row],[Stage Number]]&gt;=4,1,0)</f>
        <v>0</v>
      </c>
    </row>
    <row r="4313" spans="1:15" x14ac:dyDescent="0.25">
      <c r="A4313" t="s">
        <v>4353</v>
      </c>
      <c r="B4313" s="1">
        <v>45342</v>
      </c>
      <c r="C4313" t="s">
        <v>46</v>
      </c>
      <c r="D4313" t="s">
        <v>47</v>
      </c>
      <c r="E4313" t="s">
        <v>21</v>
      </c>
      <c r="F4313" t="s">
        <v>22</v>
      </c>
      <c r="G4313" t="s">
        <v>15</v>
      </c>
      <c r="K4313" cm="1">
        <f t="array" ref="K4313">_xlfn.SWITCH(LeadsData[[#This Row],[Funnel Stage Reached]],"Lead",1,"MQL",2,"SQL",3,"Customer",4)</f>
        <v>1</v>
      </c>
      <c r="L4313" t="str">
        <f>TEXT(LeadsData[[#This Row],[Signup Date]],"mmm-yyyy")</f>
        <v>Feb-2024</v>
      </c>
      <c r="M4313">
        <f>IF(LeadsData[[#This Row],[Stage Number]]&gt;=2,1,0)</f>
        <v>0</v>
      </c>
      <c r="N4313" s="2">
        <f>IF(LeadsData[[#This Row],[Stage Number]]&gt;=3,1,0)</f>
        <v>0</v>
      </c>
      <c r="O4313" s="2">
        <f>IF(LeadsData[[#This Row],[Stage Number]]&gt;=4,1,0)</f>
        <v>0</v>
      </c>
    </row>
    <row r="4314" spans="1:15" x14ac:dyDescent="0.25">
      <c r="A4314" t="s">
        <v>4354</v>
      </c>
      <c r="B4314" s="1">
        <v>45593</v>
      </c>
      <c r="C4314" t="s">
        <v>25</v>
      </c>
      <c r="D4314" t="s">
        <v>26</v>
      </c>
      <c r="E4314" t="s">
        <v>48</v>
      </c>
      <c r="F4314" t="s">
        <v>14</v>
      </c>
      <c r="G4314" t="s">
        <v>15</v>
      </c>
      <c r="K4314" cm="1">
        <f t="array" ref="K4314">_xlfn.SWITCH(LeadsData[[#This Row],[Funnel Stage Reached]],"Lead",1,"MQL",2,"SQL",3,"Customer",4)</f>
        <v>1</v>
      </c>
      <c r="L4314" t="str">
        <f>TEXT(LeadsData[[#This Row],[Signup Date]],"mmm-yyyy")</f>
        <v>Oct-2024</v>
      </c>
      <c r="M4314">
        <f>IF(LeadsData[[#This Row],[Stage Number]]&gt;=2,1,0)</f>
        <v>0</v>
      </c>
      <c r="N4314" s="2">
        <f>IF(LeadsData[[#This Row],[Stage Number]]&gt;=3,1,0)</f>
        <v>0</v>
      </c>
      <c r="O4314" s="2">
        <f>IF(LeadsData[[#This Row],[Stage Number]]&gt;=4,1,0)</f>
        <v>0</v>
      </c>
    </row>
    <row r="4315" spans="1:15" x14ac:dyDescent="0.25">
      <c r="A4315" t="s">
        <v>4355</v>
      </c>
      <c r="B4315" s="1">
        <v>45618</v>
      </c>
      <c r="C4315" t="s">
        <v>46</v>
      </c>
      <c r="D4315" t="s">
        <v>56</v>
      </c>
      <c r="E4315" t="s">
        <v>13</v>
      </c>
      <c r="F4315" t="s">
        <v>19</v>
      </c>
      <c r="G4315" t="s">
        <v>29</v>
      </c>
      <c r="K4315" cm="1">
        <f t="array" ref="K4315">_xlfn.SWITCH(LeadsData[[#This Row],[Funnel Stage Reached]],"Lead",1,"MQL",2,"SQL",3,"Customer",4)</f>
        <v>3</v>
      </c>
      <c r="L4315" t="str">
        <f>TEXT(LeadsData[[#This Row],[Signup Date]],"mmm-yyyy")</f>
        <v>Nov-2024</v>
      </c>
      <c r="M4315">
        <f>IF(LeadsData[[#This Row],[Stage Number]]&gt;=2,1,0)</f>
        <v>1</v>
      </c>
      <c r="N4315" s="2">
        <f>IF(LeadsData[[#This Row],[Stage Number]]&gt;=3,1,0)</f>
        <v>1</v>
      </c>
      <c r="O4315" s="2">
        <f>IF(LeadsData[[#This Row],[Stage Number]]&gt;=4,1,0)</f>
        <v>0</v>
      </c>
    </row>
    <row r="4316" spans="1:15" x14ac:dyDescent="0.25">
      <c r="A4316" t="s">
        <v>4356</v>
      </c>
      <c r="B4316" s="1">
        <v>45600</v>
      </c>
      <c r="C4316" t="s">
        <v>46</v>
      </c>
      <c r="D4316" t="s">
        <v>47</v>
      </c>
      <c r="E4316" t="s">
        <v>21</v>
      </c>
      <c r="F4316" t="s">
        <v>22</v>
      </c>
      <c r="G4316" t="s">
        <v>15</v>
      </c>
      <c r="K4316" cm="1">
        <f t="array" ref="K4316">_xlfn.SWITCH(LeadsData[[#This Row],[Funnel Stage Reached]],"Lead",1,"MQL",2,"SQL",3,"Customer",4)</f>
        <v>1</v>
      </c>
      <c r="L4316" t="str">
        <f>TEXT(LeadsData[[#This Row],[Signup Date]],"mmm-yyyy")</f>
        <v>Nov-2024</v>
      </c>
      <c r="M4316">
        <f>IF(LeadsData[[#This Row],[Stage Number]]&gt;=2,1,0)</f>
        <v>0</v>
      </c>
      <c r="N4316" s="2">
        <f>IF(LeadsData[[#This Row],[Stage Number]]&gt;=3,1,0)</f>
        <v>0</v>
      </c>
      <c r="O4316" s="2">
        <f>IF(LeadsData[[#This Row],[Stage Number]]&gt;=4,1,0)</f>
        <v>0</v>
      </c>
    </row>
    <row r="4317" spans="1:15" x14ac:dyDescent="0.25">
      <c r="A4317" t="s">
        <v>4357</v>
      </c>
      <c r="B4317" s="1">
        <v>45585</v>
      </c>
      <c r="C4317" t="s">
        <v>31</v>
      </c>
      <c r="D4317" t="s">
        <v>34</v>
      </c>
      <c r="E4317" t="s">
        <v>13</v>
      </c>
      <c r="F4317" t="s">
        <v>22</v>
      </c>
      <c r="G4317" t="s">
        <v>15</v>
      </c>
      <c r="K4317" cm="1">
        <f t="array" ref="K4317">_xlfn.SWITCH(LeadsData[[#This Row],[Funnel Stage Reached]],"Lead",1,"MQL",2,"SQL",3,"Customer",4)</f>
        <v>1</v>
      </c>
      <c r="L4317" t="str">
        <f>TEXT(LeadsData[[#This Row],[Signup Date]],"mmm-yyyy")</f>
        <v>Oct-2024</v>
      </c>
      <c r="M4317">
        <f>IF(LeadsData[[#This Row],[Stage Number]]&gt;=2,1,0)</f>
        <v>0</v>
      </c>
      <c r="N4317" s="2">
        <f>IF(LeadsData[[#This Row],[Stage Number]]&gt;=3,1,0)</f>
        <v>0</v>
      </c>
      <c r="O4317" s="2">
        <f>IF(LeadsData[[#This Row],[Stage Number]]&gt;=4,1,0)</f>
        <v>0</v>
      </c>
    </row>
    <row r="4318" spans="1:15" x14ac:dyDescent="0.25">
      <c r="A4318" t="s">
        <v>4358</v>
      </c>
      <c r="B4318" s="1">
        <v>45348</v>
      </c>
      <c r="C4318" t="s">
        <v>31</v>
      </c>
      <c r="D4318" t="s">
        <v>34</v>
      </c>
      <c r="E4318" t="s">
        <v>13</v>
      </c>
      <c r="F4318" t="s">
        <v>19</v>
      </c>
      <c r="G4318" t="s">
        <v>23</v>
      </c>
      <c r="K4318" cm="1">
        <f t="array" ref="K4318">_xlfn.SWITCH(LeadsData[[#This Row],[Funnel Stage Reached]],"Lead",1,"MQL",2,"SQL",3,"Customer",4)</f>
        <v>2</v>
      </c>
      <c r="L4318" t="str">
        <f>TEXT(LeadsData[[#This Row],[Signup Date]],"mmm-yyyy")</f>
        <v>Feb-2024</v>
      </c>
      <c r="M4318">
        <f>IF(LeadsData[[#This Row],[Stage Number]]&gt;=2,1,0)</f>
        <v>1</v>
      </c>
      <c r="N4318" s="2">
        <f>IF(LeadsData[[#This Row],[Stage Number]]&gt;=3,1,0)</f>
        <v>0</v>
      </c>
      <c r="O4318" s="2">
        <f>IF(LeadsData[[#This Row],[Stage Number]]&gt;=4,1,0)</f>
        <v>0</v>
      </c>
    </row>
    <row r="4319" spans="1:15" x14ac:dyDescent="0.25">
      <c r="A4319" t="s">
        <v>4359</v>
      </c>
      <c r="B4319" s="1">
        <v>45590</v>
      </c>
      <c r="C4319" t="s">
        <v>25</v>
      </c>
      <c r="D4319" t="s">
        <v>26</v>
      </c>
      <c r="E4319" t="s">
        <v>13</v>
      </c>
      <c r="F4319" t="s">
        <v>14</v>
      </c>
      <c r="G4319" t="s">
        <v>15</v>
      </c>
      <c r="K4319" cm="1">
        <f t="array" ref="K4319">_xlfn.SWITCH(LeadsData[[#This Row],[Funnel Stage Reached]],"Lead",1,"MQL",2,"SQL",3,"Customer",4)</f>
        <v>1</v>
      </c>
      <c r="L4319" t="str">
        <f>TEXT(LeadsData[[#This Row],[Signup Date]],"mmm-yyyy")</f>
        <v>Oct-2024</v>
      </c>
      <c r="M4319">
        <f>IF(LeadsData[[#This Row],[Stage Number]]&gt;=2,1,0)</f>
        <v>0</v>
      </c>
      <c r="N4319" s="2">
        <f>IF(LeadsData[[#This Row],[Stage Number]]&gt;=3,1,0)</f>
        <v>0</v>
      </c>
      <c r="O4319" s="2">
        <f>IF(LeadsData[[#This Row],[Stage Number]]&gt;=4,1,0)</f>
        <v>0</v>
      </c>
    </row>
    <row r="4320" spans="1:15" x14ac:dyDescent="0.25">
      <c r="A4320" t="s">
        <v>4360</v>
      </c>
      <c r="B4320" s="1">
        <v>45566</v>
      </c>
      <c r="C4320" t="s">
        <v>17</v>
      </c>
      <c r="D4320" t="s">
        <v>53</v>
      </c>
      <c r="E4320" t="s">
        <v>13</v>
      </c>
      <c r="F4320" t="s">
        <v>19</v>
      </c>
      <c r="G4320" t="s">
        <v>15</v>
      </c>
      <c r="K4320" cm="1">
        <f t="array" ref="K4320">_xlfn.SWITCH(LeadsData[[#This Row],[Funnel Stage Reached]],"Lead",1,"MQL",2,"SQL",3,"Customer",4)</f>
        <v>1</v>
      </c>
      <c r="L4320" t="str">
        <f>TEXT(LeadsData[[#This Row],[Signup Date]],"mmm-yyyy")</f>
        <v>Oct-2024</v>
      </c>
      <c r="M4320">
        <f>IF(LeadsData[[#This Row],[Stage Number]]&gt;=2,1,0)</f>
        <v>0</v>
      </c>
      <c r="N4320" s="2">
        <f>IF(LeadsData[[#This Row],[Stage Number]]&gt;=3,1,0)</f>
        <v>0</v>
      </c>
      <c r="O4320" s="2">
        <f>IF(LeadsData[[#This Row],[Stage Number]]&gt;=4,1,0)</f>
        <v>0</v>
      </c>
    </row>
    <row r="4321" spans="1:15" x14ac:dyDescent="0.25">
      <c r="A4321" t="s">
        <v>4361</v>
      </c>
      <c r="B4321" s="1">
        <v>45324</v>
      </c>
      <c r="C4321" t="s">
        <v>11</v>
      </c>
      <c r="D4321" t="s">
        <v>68</v>
      </c>
      <c r="E4321" t="s">
        <v>21</v>
      </c>
      <c r="F4321" t="s">
        <v>22</v>
      </c>
      <c r="G4321" t="s">
        <v>15</v>
      </c>
      <c r="K4321" cm="1">
        <f t="array" ref="K4321">_xlfn.SWITCH(LeadsData[[#This Row],[Funnel Stage Reached]],"Lead",1,"MQL",2,"SQL",3,"Customer",4)</f>
        <v>1</v>
      </c>
      <c r="L4321" t="str">
        <f>TEXT(LeadsData[[#This Row],[Signup Date]],"mmm-yyyy")</f>
        <v>Feb-2024</v>
      </c>
      <c r="M4321">
        <f>IF(LeadsData[[#This Row],[Stage Number]]&gt;=2,1,0)</f>
        <v>0</v>
      </c>
      <c r="N4321" s="2">
        <f>IF(LeadsData[[#This Row],[Stage Number]]&gt;=3,1,0)</f>
        <v>0</v>
      </c>
      <c r="O4321" s="2">
        <f>IF(LeadsData[[#This Row],[Stage Number]]&gt;=4,1,0)</f>
        <v>0</v>
      </c>
    </row>
    <row r="4322" spans="1:15" x14ac:dyDescent="0.25">
      <c r="A4322" t="s">
        <v>4362</v>
      </c>
      <c r="B4322" s="1">
        <v>45654</v>
      </c>
      <c r="C4322" t="s">
        <v>25</v>
      </c>
      <c r="D4322" t="s">
        <v>26</v>
      </c>
      <c r="E4322" t="s">
        <v>13</v>
      </c>
      <c r="F4322" t="s">
        <v>19</v>
      </c>
      <c r="G4322" t="s">
        <v>23</v>
      </c>
      <c r="K4322" cm="1">
        <f t="array" ref="K4322">_xlfn.SWITCH(LeadsData[[#This Row],[Funnel Stage Reached]],"Lead",1,"MQL",2,"SQL",3,"Customer",4)</f>
        <v>2</v>
      </c>
      <c r="L4322" t="str">
        <f>TEXT(LeadsData[[#This Row],[Signup Date]],"mmm-yyyy")</f>
        <v>Dec-2024</v>
      </c>
      <c r="M4322">
        <f>IF(LeadsData[[#This Row],[Stage Number]]&gt;=2,1,0)</f>
        <v>1</v>
      </c>
      <c r="N4322" s="2">
        <f>IF(LeadsData[[#This Row],[Stage Number]]&gt;=3,1,0)</f>
        <v>0</v>
      </c>
      <c r="O4322" s="2">
        <f>IF(LeadsData[[#This Row],[Stage Number]]&gt;=4,1,0)</f>
        <v>0</v>
      </c>
    </row>
    <row r="4323" spans="1:15" x14ac:dyDescent="0.25">
      <c r="A4323" t="s">
        <v>4363</v>
      </c>
      <c r="B4323" s="1">
        <v>45430</v>
      </c>
      <c r="C4323" t="s">
        <v>17</v>
      </c>
      <c r="D4323" t="s">
        <v>53</v>
      </c>
      <c r="E4323" t="s">
        <v>13</v>
      </c>
      <c r="F4323" t="s">
        <v>14</v>
      </c>
      <c r="G4323" t="s">
        <v>15</v>
      </c>
      <c r="K4323" cm="1">
        <f t="array" ref="K4323">_xlfn.SWITCH(LeadsData[[#This Row],[Funnel Stage Reached]],"Lead",1,"MQL",2,"SQL",3,"Customer",4)</f>
        <v>1</v>
      </c>
      <c r="L4323" t="str">
        <f>TEXT(LeadsData[[#This Row],[Signup Date]],"mmm-yyyy")</f>
        <v>May-2024</v>
      </c>
      <c r="M4323">
        <f>IF(LeadsData[[#This Row],[Stage Number]]&gt;=2,1,0)</f>
        <v>0</v>
      </c>
      <c r="N4323" s="2">
        <f>IF(LeadsData[[#This Row],[Stage Number]]&gt;=3,1,0)</f>
        <v>0</v>
      </c>
      <c r="O4323" s="2">
        <f>IF(LeadsData[[#This Row],[Stage Number]]&gt;=4,1,0)</f>
        <v>0</v>
      </c>
    </row>
    <row r="4324" spans="1:15" x14ac:dyDescent="0.25">
      <c r="A4324" t="s">
        <v>4364</v>
      </c>
      <c r="B4324" s="1">
        <v>45316</v>
      </c>
      <c r="C4324" t="s">
        <v>36</v>
      </c>
      <c r="D4324" t="s">
        <v>50</v>
      </c>
      <c r="E4324" t="s">
        <v>13</v>
      </c>
      <c r="F4324" t="s">
        <v>28</v>
      </c>
      <c r="G4324" t="s">
        <v>23</v>
      </c>
      <c r="K4324" cm="1">
        <f t="array" ref="K4324">_xlfn.SWITCH(LeadsData[[#This Row],[Funnel Stage Reached]],"Lead",1,"MQL",2,"SQL",3,"Customer",4)</f>
        <v>2</v>
      </c>
      <c r="L4324" t="str">
        <f>TEXT(LeadsData[[#This Row],[Signup Date]],"mmm-yyyy")</f>
        <v>Jan-2024</v>
      </c>
      <c r="M4324">
        <f>IF(LeadsData[[#This Row],[Stage Number]]&gt;=2,1,0)</f>
        <v>1</v>
      </c>
      <c r="N4324" s="2">
        <f>IF(LeadsData[[#This Row],[Stage Number]]&gt;=3,1,0)</f>
        <v>0</v>
      </c>
      <c r="O4324" s="2">
        <f>IF(LeadsData[[#This Row],[Stage Number]]&gt;=4,1,0)</f>
        <v>0</v>
      </c>
    </row>
    <row r="4325" spans="1:15" x14ac:dyDescent="0.25">
      <c r="A4325" t="s">
        <v>4365</v>
      </c>
      <c r="B4325" s="1">
        <v>45629</v>
      </c>
      <c r="C4325" t="s">
        <v>31</v>
      </c>
      <c r="D4325" t="s">
        <v>32</v>
      </c>
      <c r="E4325" t="s">
        <v>21</v>
      </c>
      <c r="F4325" t="s">
        <v>19</v>
      </c>
      <c r="G4325" t="s">
        <v>15</v>
      </c>
      <c r="K4325" cm="1">
        <f t="array" ref="K4325">_xlfn.SWITCH(LeadsData[[#This Row],[Funnel Stage Reached]],"Lead",1,"MQL",2,"SQL",3,"Customer",4)</f>
        <v>1</v>
      </c>
      <c r="L4325" t="str">
        <f>TEXT(LeadsData[[#This Row],[Signup Date]],"mmm-yyyy")</f>
        <v>Dec-2024</v>
      </c>
      <c r="M4325">
        <f>IF(LeadsData[[#This Row],[Stage Number]]&gt;=2,1,0)</f>
        <v>0</v>
      </c>
      <c r="N4325" s="2">
        <f>IF(LeadsData[[#This Row],[Stage Number]]&gt;=3,1,0)</f>
        <v>0</v>
      </c>
      <c r="O4325" s="2">
        <f>IF(LeadsData[[#This Row],[Stage Number]]&gt;=4,1,0)</f>
        <v>0</v>
      </c>
    </row>
    <row r="4326" spans="1:15" x14ac:dyDescent="0.25">
      <c r="A4326" t="s">
        <v>4366</v>
      </c>
      <c r="B4326" s="1">
        <v>45551</v>
      </c>
      <c r="C4326" t="s">
        <v>17</v>
      </c>
      <c r="D4326" t="s">
        <v>53</v>
      </c>
      <c r="E4326" t="s">
        <v>48</v>
      </c>
      <c r="F4326" t="s">
        <v>22</v>
      </c>
      <c r="G4326" t="s">
        <v>29</v>
      </c>
      <c r="K4326" cm="1">
        <f t="array" ref="K4326">_xlfn.SWITCH(LeadsData[[#This Row],[Funnel Stage Reached]],"Lead",1,"MQL",2,"SQL",3,"Customer",4)</f>
        <v>3</v>
      </c>
      <c r="L4326" t="str">
        <f>TEXT(LeadsData[[#This Row],[Signup Date]],"mmm-yyyy")</f>
        <v>Sep-2024</v>
      </c>
      <c r="M4326">
        <f>IF(LeadsData[[#This Row],[Stage Number]]&gt;=2,1,0)</f>
        <v>1</v>
      </c>
      <c r="N4326" s="2">
        <f>IF(LeadsData[[#This Row],[Stage Number]]&gt;=3,1,0)</f>
        <v>1</v>
      </c>
      <c r="O4326" s="2">
        <f>IF(LeadsData[[#This Row],[Stage Number]]&gt;=4,1,0)</f>
        <v>0</v>
      </c>
    </row>
    <row r="4327" spans="1:15" x14ac:dyDescent="0.25">
      <c r="A4327" t="s">
        <v>4367</v>
      </c>
      <c r="B4327" s="1">
        <v>45302</v>
      </c>
      <c r="C4327" t="s">
        <v>36</v>
      </c>
      <c r="D4327" t="s">
        <v>37</v>
      </c>
      <c r="E4327" t="s">
        <v>48</v>
      </c>
      <c r="F4327" t="s">
        <v>19</v>
      </c>
      <c r="G4327" t="s">
        <v>15</v>
      </c>
      <c r="K4327" cm="1">
        <f t="array" ref="K4327">_xlfn.SWITCH(LeadsData[[#This Row],[Funnel Stage Reached]],"Lead",1,"MQL",2,"SQL",3,"Customer",4)</f>
        <v>1</v>
      </c>
      <c r="L4327" t="str">
        <f>TEXT(LeadsData[[#This Row],[Signup Date]],"mmm-yyyy")</f>
        <v>Jan-2024</v>
      </c>
      <c r="M4327">
        <f>IF(LeadsData[[#This Row],[Stage Number]]&gt;=2,1,0)</f>
        <v>0</v>
      </c>
      <c r="N4327" s="2">
        <f>IF(LeadsData[[#This Row],[Stage Number]]&gt;=3,1,0)</f>
        <v>0</v>
      </c>
      <c r="O4327" s="2">
        <f>IF(LeadsData[[#This Row],[Stage Number]]&gt;=4,1,0)</f>
        <v>0</v>
      </c>
    </row>
    <row r="4328" spans="1:15" x14ac:dyDescent="0.25">
      <c r="A4328" t="s">
        <v>4368</v>
      </c>
      <c r="B4328" s="1">
        <v>45583</v>
      </c>
      <c r="C4328" t="s">
        <v>17</v>
      </c>
      <c r="D4328" t="s">
        <v>18</v>
      </c>
      <c r="E4328" t="s">
        <v>13</v>
      </c>
      <c r="F4328" t="s">
        <v>28</v>
      </c>
      <c r="G4328" t="s">
        <v>23</v>
      </c>
      <c r="K4328" cm="1">
        <f t="array" ref="K4328">_xlfn.SWITCH(LeadsData[[#This Row],[Funnel Stage Reached]],"Lead",1,"MQL",2,"SQL",3,"Customer",4)</f>
        <v>2</v>
      </c>
      <c r="L4328" t="str">
        <f>TEXT(LeadsData[[#This Row],[Signup Date]],"mmm-yyyy")</f>
        <v>Oct-2024</v>
      </c>
      <c r="M4328">
        <f>IF(LeadsData[[#This Row],[Stage Number]]&gt;=2,1,0)</f>
        <v>1</v>
      </c>
      <c r="N4328" s="2">
        <f>IF(LeadsData[[#This Row],[Stage Number]]&gt;=3,1,0)</f>
        <v>0</v>
      </c>
      <c r="O4328" s="2">
        <f>IF(LeadsData[[#This Row],[Stage Number]]&gt;=4,1,0)</f>
        <v>0</v>
      </c>
    </row>
    <row r="4329" spans="1:15" x14ac:dyDescent="0.25">
      <c r="A4329" t="s">
        <v>4369</v>
      </c>
      <c r="B4329" s="1">
        <v>45436</v>
      </c>
      <c r="C4329" t="s">
        <v>11</v>
      </c>
      <c r="D4329" t="s">
        <v>12</v>
      </c>
      <c r="E4329" t="s">
        <v>21</v>
      </c>
      <c r="F4329" t="s">
        <v>14</v>
      </c>
      <c r="G4329" t="s">
        <v>23</v>
      </c>
      <c r="K4329" cm="1">
        <f t="array" ref="K4329">_xlfn.SWITCH(LeadsData[[#This Row],[Funnel Stage Reached]],"Lead",1,"MQL",2,"SQL",3,"Customer",4)</f>
        <v>2</v>
      </c>
      <c r="L4329" t="str">
        <f>TEXT(LeadsData[[#This Row],[Signup Date]],"mmm-yyyy")</f>
        <v>May-2024</v>
      </c>
      <c r="M4329">
        <f>IF(LeadsData[[#This Row],[Stage Number]]&gt;=2,1,0)</f>
        <v>1</v>
      </c>
      <c r="N4329" s="2">
        <f>IF(LeadsData[[#This Row],[Stage Number]]&gt;=3,1,0)</f>
        <v>0</v>
      </c>
      <c r="O4329" s="2">
        <f>IF(LeadsData[[#This Row],[Stage Number]]&gt;=4,1,0)</f>
        <v>0</v>
      </c>
    </row>
    <row r="4330" spans="1:15" x14ac:dyDescent="0.25">
      <c r="A4330" t="s">
        <v>4370</v>
      </c>
      <c r="B4330" s="1">
        <v>45586</v>
      </c>
      <c r="C4330" t="s">
        <v>36</v>
      </c>
      <c r="D4330" t="s">
        <v>37</v>
      </c>
      <c r="E4330" t="s">
        <v>13</v>
      </c>
      <c r="F4330" t="s">
        <v>28</v>
      </c>
      <c r="G4330" t="s">
        <v>15</v>
      </c>
      <c r="K4330" cm="1">
        <f t="array" ref="K4330">_xlfn.SWITCH(LeadsData[[#This Row],[Funnel Stage Reached]],"Lead",1,"MQL",2,"SQL",3,"Customer",4)</f>
        <v>1</v>
      </c>
      <c r="L4330" t="str">
        <f>TEXT(LeadsData[[#This Row],[Signup Date]],"mmm-yyyy")</f>
        <v>Oct-2024</v>
      </c>
      <c r="M4330">
        <f>IF(LeadsData[[#This Row],[Stage Number]]&gt;=2,1,0)</f>
        <v>0</v>
      </c>
      <c r="N4330" s="2">
        <f>IF(LeadsData[[#This Row],[Stage Number]]&gt;=3,1,0)</f>
        <v>0</v>
      </c>
      <c r="O4330" s="2">
        <f>IF(LeadsData[[#This Row],[Stage Number]]&gt;=4,1,0)</f>
        <v>0</v>
      </c>
    </row>
    <row r="4331" spans="1:15" x14ac:dyDescent="0.25">
      <c r="A4331" t="s">
        <v>4371</v>
      </c>
      <c r="B4331" s="1">
        <v>45385</v>
      </c>
      <c r="C4331" t="s">
        <v>17</v>
      </c>
      <c r="D4331" t="s">
        <v>18</v>
      </c>
      <c r="E4331" t="s">
        <v>21</v>
      </c>
      <c r="F4331" t="s">
        <v>19</v>
      </c>
      <c r="G4331" t="s">
        <v>15</v>
      </c>
      <c r="K4331" cm="1">
        <f t="array" ref="K4331">_xlfn.SWITCH(LeadsData[[#This Row],[Funnel Stage Reached]],"Lead",1,"MQL",2,"SQL",3,"Customer",4)</f>
        <v>1</v>
      </c>
      <c r="L4331" t="str">
        <f>TEXT(LeadsData[[#This Row],[Signup Date]],"mmm-yyyy")</f>
        <v>Apr-2024</v>
      </c>
      <c r="M4331">
        <f>IF(LeadsData[[#This Row],[Stage Number]]&gt;=2,1,0)</f>
        <v>0</v>
      </c>
      <c r="N4331" s="2">
        <f>IF(LeadsData[[#This Row],[Stage Number]]&gt;=3,1,0)</f>
        <v>0</v>
      </c>
      <c r="O4331" s="2">
        <f>IF(LeadsData[[#This Row],[Stage Number]]&gt;=4,1,0)</f>
        <v>0</v>
      </c>
    </row>
    <row r="4332" spans="1:15" x14ac:dyDescent="0.25">
      <c r="A4332" t="s">
        <v>4372</v>
      </c>
      <c r="B4332" s="1">
        <v>45610</v>
      </c>
      <c r="C4332" t="s">
        <v>25</v>
      </c>
      <c r="D4332" t="s">
        <v>26</v>
      </c>
      <c r="E4332" t="s">
        <v>13</v>
      </c>
      <c r="F4332" t="s">
        <v>19</v>
      </c>
      <c r="G4332" t="s">
        <v>23</v>
      </c>
      <c r="K4332" cm="1">
        <f t="array" ref="K4332">_xlfn.SWITCH(LeadsData[[#This Row],[Funnel Stage Reached]],"Lead",1,"MQL",2,"SQL",3,"Customer",4)</f>
        <v>2</v>
      </c>
      <c r="L4332" t="str">
        <f>TEXT(LeadsData[[#This Row],[Signup Date]],"mmm-yyyy")</f>
        <v>Nov-2024</v>
      </c>
      <c r="M4332">
        <f>IF(LeadsData[[#This Row],[Stage Number]]&gt;=2,1,0)</f>
        <v>1</v>
      </c>
      <c r="N4332" s="2">
        <f>IF(LeadsData[[#This Row],[Stage Number]]&gt;=3,1,0)</f>
        <v>0</v>
      </c>
      <c r="O4332" s="2">
        <f>IF(LeadsData[[#This Row],[Stage Number]]&gt;=4,1,0)</f>
        <v>0</v>
      </c>
    </row>
    <row r="4333" spans="1:15" x14ac:dyDescent="0.25">
      <c r="A4333" t="s">
        <v>4373</v>
      </c>
      <c r="B4333" s="1">
        <v>45529</v>
      </c>
      <c r="C4333" t="s">
        <v>17</v>
      </c>
      <c r="D4333" t="s">
        <v>53</v>
      </c>
      <c r="E4333" t="s">
        <v>13</v>
      </c>
      <c r="F4333" t="s">
        <v>19</v>
      </c>
      <c r="G4333" t="s">
        <v>23</v>
      </c>
      <c r="K4333" cm="1">
        <f t="array" ref="K4333">_xlfn.SWITCH(LeadsData[[#This Row],[Funnel Stage Reached]],"Lead",1,"MQL",2,"SQL",3,"Customer",4)</f>
        <v>2</v>
      </c>
      <c r="L4333" t="str">
        <f>TEXT(LeadsData[[#This Row],[Signup Date]],"mmm-yyyy")</f>
        <v>Aug-2024</v>
      </c>
      <c r="M4333">
        <f>IF(LeadsData[[#This Row],[Stage Number]]&gt;=2,1,0)</f>
        <v>1</v>
      </c>
      <c r="N4333" s="2">
        <f>IF(LeadsData[[#This Row],[Stage Number]]&gt;=3,1,0)</f>
        <v>0</v>
      </c>
      <c r="O4333" s="2">
        <f>IF(LeadsData[[#This Row],[Stage Number]]&gt;=4,1,0)</f>
        <v>0</v>
      </c>
    </row>
    <row r="4334" spans="1:15" x14ac:dyDescent="0.25">
      <c r="A4334" t="s">
        <v>4374</v>
      </c>
      <c r="B4334" s="1">
        <v>45356</v>
      </c>
      <c r="C4334" t="s">
        <v>46</v>
      </c>
      <c r="D4334" t="s">
        <v>47</v>
      </c>
      <c r="E4334" t="s">
        <v>13</v>
      </c>
      <c r="F4334" t="s">
        <v>19</v>
      </c>
      <c r="G4334" t="s">
        <v>15</v>
      </c>
      <c r="K4334" cm="1">
        <f t="array" ref="K4334">_xlfn.SWITCH(LeadsData[[#This Row],[Funnel Stage Reached]],"Lead",1,"MQL",2,"SQL",3,"Customer",4)</f>
        <v>1</v>
      </c>
      <c r="L4334" t="str">
        <f>TEXT(LeadsData[[#This Row],[Signup Date]],"mmm-yyyy")</f>
        <v>Mar-2024</v>
      </c>
      <c r="M4334">
        <f>IF(LeadsData[[#This Row],[Stage Number]]&gt;=2,1,0)</f>
        <v>0</v>
      </c>
      <c r="N4334" s="2">
        <f>IF(LeadsData[[#This Row],[Stage Number]]&gt;=3,1,0)</f>
        <v>0</v>
      </c>
      <c r="O4334" s="2">
        <f>IF(LeadsData[[#This Row],[Stage Number]]&gt;=4,1,0)</f>
        <v>0</v>
      </c>
    </row>
    <row r="4335" spans="1:15" x14ac:dyDescent="0.25">
      <c r="A4335" t="s">
        <v>4375</v>
      </c>
      <c r="B4335" s="1">
        <v>45644</v>
      </c>
      <c r="C4335" t="s">
        <v>46</v>
      </c>
      <c r="D4335" t="s">
        <v>56</v>
      </c>
      <c r="E4335" t="s">
        <v>13</v>
      </c>
      <c r="F4335" t="s">
        <v>14</v>
      </c>
      <c r="G4335" t="s">
        <v>15</v>
      </c>
      <c r="K4335" cm="1">
        <f t="array" ref="K4335">_xlfn.SWITCH(LeadsData[[#This Row],[Funnel Stage Reached]],"Lead",1,"MQL",2,"SQL",3,"Customer",4)</f>
        <v>1</v>
      </c>
      <c r="L4335" t="str">
        <f>TEXT(LeadsData[[#This Row],[Signup Date]],"mmm-yyyy")</f>
        <v>Dec-2024</v>
      </c>
      <c r="M4335">
        <f>IF(LeadsData[[#This Row],[Stage Number]]&gt;=2,1,0)</f>
        <v>0</v>
      </c>
      <c r="N4335" s="2">
        <f>IF(LeadsData[[#This Row],[Stage Number]]&gt;=3,1,0)</f>
        <v>0</v>
      </c>
      <c r="O4335" s="2">
        <f>IF(LeadsData[[#This Row],[Stage Number]]&gt;=4,1,0)</f>
        <v>0</v>
      </c>
    </row>
    <row r="4336" spans="1:15" x14ac:dyDescent="0.25">
      <c r="A4336" t="s">
        <v>4376</v>
      </c>
      <c r="B4336" s="1">
        <v>45650</v>
      </c>
      <c r="C4336" t="s">
        <v>36</v>
      </c>
      <c r="D4336" t="s">
        <v>50</v>
      </c>
      <c r="E4336" t="s">
        <v>13</v>
      </c>
      <c r="F4336" t="s">
        <v>19</v>
      </c>
      <c r="G4336" t="s">
        <v>23</v>
      </c>
      <c r="K4336" cm="1">
        <f t="array" ref="K4336">_xlfn.SWITCH(LeadsData[[#This Row],[Funnel Stage Reached]],"Lead",1,"MQL",2,"SQL",3,"Customer",4)</f>
        <v>2</v>
      </c>
      <c r="L4336" t="str">
        <f>TEXT(LeadsData[[#This Row],[Signup Date]],"mmm-yyyy")</f>
        <v>Dec-2024</v>
      </c>
      <c r="M4336">
        <f>IF(LeadsData[[#This Row],[Stage Number]]&gt;=2,1,0)</f>
        <v>1</v>
      </c>
      <c r="N4336" s="2">
        <f>IF(LeadsData[[#This Row],[Stage Number]]&gt;=3,1,0)</f>
        <v>0</v>
      </c>
      <c r="O4336" s="2">
        <f>IF(LeadsData[[#This Row],[Stage Number]]&gt;=4,1,0)</f>
        <v>0</v>
      </c>
    </row>
    <row r="4337" spans="1:15" x14ac:dyDescent="0.25">
      <c r="A4337" t="s">
        <v>4377</v>
      </c>
      <c r="B4337" s="1">
        <v>45581</v>
      </c>
      <c r="C4337" t="s">
        <v>36</v>
      </c>
      <c r="D4337" t="s">
        <v>50</v>
      </c>
      <c r="E4337" t="s">
        <v>13</v>
      </c>
      <c r="F4337" t="s">
        <v>19</v>
      </c>
      <c r="G4337" t="s">
        <v>29</v>
      </c>
      <c r="K4337" cm="1">
        <f t="array" ref="K4337">_xlfn.SWITCH(LeadsData[[#This Row],[Funnel Stage Reached]],"Lead",1,"MQL",2,"SQL",3,"Customer",4)</f>
        <v>3</v>
      </c>
      <c r="L4337" t="str">
        <f>TEXT(LeadsData[[#This Row],[Signup Date]],"mmm-yyyy")</f>
        <v>Oct-2024</v>
      </c>
      <c r="M4337">
        <f>IF(LeadsData[[#This Row],[Stage Number]]&gt;=2,1,0)</f>
        <v>1</v>
      </c>
      <c r="N4337" s="2">
        <f>IF(LeadsData[[#This Row],[Stage Number]]&gt;=3,1,0)</f>
        <v>1</v>
      </c>
      <c r="O4337" s="2">
        <f>IF(LeadsData[[#This Row],[Stage Number]]&gt;=4,1,0)</f>
        <v>0</v>
      </c>
    </row>
    <row r="4338" spans="1:15" x14ac:dyDescent="0.25">
      <c r="A4338" t="s">
        <v>4378</v>
      </c>
      <c r="B4338" s="1">
        <v>45310</v>
      </c>
      <c r="C4338" t="s">
        <v>36</v>
      </c>
      <c r="D4338" t="s">
        <v>50</v>
      </c>
      <c r="E4338" t="s">
        <v>13</v>
      </c>
      <c r="F4338" t="s">
        <v>19</v>
      </c>
      <c r="G4338" t="s">
        <v>23</v>
      </c>
      <c r="K4338" cm="1">
        <f t="array" ref="K4338">_xlfn.SWITCH(LeadsData[[#This Row],[Funnel Stage Reached]],"Lead",1,"MQL",2,"SQL",3,"Customer",4)</f>
        <v>2</v>
      </c>
      <c r="L4338" t="str">
        <f>TEXT(LeadsData[[#This Row],[Signup Date]],"mmm-yyyy")</f>
        <v>Jan-2024</v>
      </c>
      <c r="M4338">
        <f>IF(LeadsData[[#This Row],[Stage Number]]&gt;=2,1,0)</f>
        <v>1</v>
      </c>
      <c r="N4338" s="2">
        <f>IF(LeadsData[[#This Row],[Stage Number]]&gt;=3,1,0)</f>
        <v>0</v>
      </c>
      <c r="O4338" s="2">
        <f>IF(LeadsData[[#This Row],[Stage Number]]&gt;=4,1,0)</f>
        <v>0</v>
      </c>
    </row>
    <row r="4339" spans="1:15" x14ac:dyDescent="0.25">
      <c r="A4339" t="s">
        <v>4379</v>
      </c>
      <c r="B4339" s="1">
        <v>45522</v>
      </c>
      <c r="C4339" t="s">
        <v>31</v>
      </c>
      <c r="D4339" t="s">
        <v>34</v>
      </c>
      <c r="E4339" t="s">
        <v>13</v>
      </c>
      <c r="F4339" t="s">
        <v>28</v>
      </c>
      <c r="G4339" t="s">
        <v>15</v>
      </c>
      <c r="K4339" cm="1">
        <f t="array" ref="K4339">_xlfn.SWITCH(LeadsData[[#This Row],[Funnel Stage Reached]],"Lead",1,"MQL",2,"SQL",3,"Customer",4)</f>
        <v>1</v>
      </c>
      <c r="L4339" t="str">
        <f>TEXT(LeadsData[[#This Row],[Signup Date]],"mmm-yyyy")</f>
        <v>Aug-2024</v>
      </c>
      <c r="M4339">
        <f>IF(LeadsData[[#This Row],[Stage Number]]&gt;=2,1,0)</f>
        <v>0</v>
      </c>
      <c r="N4339" s="2">
        <f>IF(LeadsData[[#This Row],[Stage Number]]&gt;=3,1,0)</f>
        <v>0</v>
      </c>
      <c r="O4339" s="2">
        <f>IF(LeadsData[[#This Row],[Stage Number]]&gt;=4,1,0)</f>
        <v>0</v>
      </c>
    </row>
    <row r="4340" spans="1:15" x14ac:dyDescent="0.25">
      <c r="A4340" t="s">
        <v>4380</v>
      </c>
      <c r="B4340" s="1">
        <v>45555</v>
      </c>
      <c r="C4340" t="s">
        <v>36</v>
      </c>
      <c r="D4340" t="s">
        <v>37</v>
      </c>
      <c r="E4340" t="s">
        <v>21</v>
      </c>
      <c r="F4340" t="s">
        <v>19</v>
      </c>
      <c r="G4340" t="s">
        <v>15</v>
      </c>
      <c r="K4340" cm="1">
        <f t="array" ref="K4340">_xlfn.SWITCH(LeadsData[[#This Row],[Funnel Stage Reached]],"Lead",1,"MQL",2,"SQL",3,"Customer",4)</f>
        <v>1</v>
      </c>
      <c r="L4340" t="str">
        <f>TEXT(LeadsData[[#This Row],[Signup Date]],"mmm-yyyy")</f>
        <v>Sep-2024</v>
      </c>
      <c r="M4340">
        <f>IF(LeadsData[[#This Row],[Stage Number]]&gt;=2,1,0)</f>
        <v>0</v>
      </c>
      <c r="N4340" s="2">
        <f>IF(LeadsData[[#This Row],[Stage Number]]&gt;=3,1,0)</f>
        <v>0</v>
      </c>
      <c r="O4340" s="2">
        <f>IF(LeadsData[[#This Row],[Stage Number]]&gt;=4,1,0)</f>
        <v>0</v>
      </c>
    </row>
    <row r="4341" spans="1:15" x14ac:dyDescent="0.25">
      <c r="A4341" t="s">
        <v>4381</v>
      </c>
      <c r="B4341" s="1">
        <v>45358</v>
      </c>
      <c r="C4341" t="s">
        <v>31</v>
      </c>
      <c r="D4341" t="s">
        <v>32</v>
      </c>
      <c r="E4341" t="s">
        <v>13</v>
      </c>
      <c r="F4341" t="s">
        <v>22</v>
      </c>
      <c r="G4341" t="s">
        <v>42</v>
      </c>
      <c r="H4341">
        <v>26</v>
      </c>
      <c r="I4341" t="s">
        <v>87</v>
      </c>
      <c r="J4341">
        <v>3058.43</v>
      </c>
      <c r="K4341" cm="1">
        <f t="array" ref="K4341">_xlfn.SWITCH(LeadsData[[#This Row],[Funnel Stage Reached]],"Lead",1,"MQL",2,"SQL",3,"Customer",4)</f>
        <v>4</v>
      </c>
      <c r="L4341" t="str">
        <f>TEXT(LeadsData[[#This Row],[Signup Date]],"mmm-yyyy")</f>
        <v>Mar-2024</v>
      </c>
      <c r="M4341">
        <f>IF(LeadsData[[#This Row],[Stage Number]]&gt;=2,1,0)</f>
        <v>1</v>
      </c>
      <c r="N4341" s="2">
        <f>IF(LeadsData[[#This Row],[Stage Number]]&gt;=3,1,0)</f>
        <v>1</v>
      </c>
      <c r="O4341" s="2">
        <f>IF(LeadsData[[#This Row],[Stage Number]]&gt;=4,1,0)</f>
        <v>1</v>
      </c>
    </row>
    <row r="4342" spans="1:15" x14ac:dyDescent="0.25">
      <c r="A4342" t="s">
        <v>4382</v>
      </c>
      <c r="B4342" s="1">
        <v>45614</v>
      </c>
      <c r="C4342" t="s">
        <v>36</v>
      </c>
      <c r="D4342" t="s">
        <v>50</v>
      </c>
      <c r="E4342" t="s">
        <v>21</v>
      </c>
      <c r="F4342" t="s">
        <v>19</v>
      </c>
      <c r="G4342" t="s">
        <v>15</v>
      </c>
      <c r="K4342" cm="1">
        <f t="array" ref="K4342">_xlfn.SWITCH(LeadsData[[#This Row],[Funnel Stage Reached]],"Lead",1,"MQL",2,"SQL",3,"Customer",4)</f>
        <v>1</v>
      </c>
      <c r="L4342" t="str">
        <f>TEXT(LeadsData[[#This Row],[Signup Date]],"mmm-yyyy")</f>
        <v>Nov-2024</v>
      </c>
      <c r="M4342">
        <f>IF(LeadsData[[#This Row],[Stage Number]]&gt;=2,1,0)</f>
        <v>0</v>
      </c>
      <c r="N4342" s="2">
        <f>IF(LeadsData[[#This Row],[Stage Number]]&gt;=3,1,0)</f>
        <v>0</v>
      </c>
      <c r="O4342" s="2">
        <f>IF(LeadsData[[#This Row],[Stage Number]]&gt;=4,1,0)</f>
        <v>0</v>
      </c>
    </row>
    <row r="4343" spans="1:15" x14ac:dyDescent="0.25">
      <c r="A4343" t="s">
        <v>4383</v>
      </c>
      <c r="B4343" s="1">
        <v>45517</v>
      </c>
      <c r="C4343" t="s">
        <v>11</v>
      </c>
      <c r="D4343" t="s">
        <v>79</v>
      </c>
      <c r="E4343" t="s">
        <v>21</v>
      </c>
      <c r="F4343" t="s">
        <v>19</v>
      </c>
      <c r="G4343" t="s">
        <v>15</v>
      </c>
      <c r="K4343" cm="1">
        <f t="array" ref="K4343">_xlfn.SWITCH(LeadsData[[#This Row],[Funnel Stage Reached]],"Lead",1,"MQL",2,"SQL",3,"Customer",4)</f>
        <v>1</v>
      </c>
      <c r="L4343" t="str">
        <f>TEXT(LeadsData[[#This Row],[Signup Date]],"mmm-yyyy")</f>
        <v>Aug-2024</v>
      </c>
      <c r="M4343">
        <f>IF(LeadsData[[#This Row],[Stage Number]]&gt;=2,1,0)</f>
        <v>0</v>
      </c>
      <c r="N4343" s="2">
        <f>IF(LeadsData[[#This Row],[Stage Number]]&gt;=3,1,0)</f>
        <v>0</v>
      </c>
      <c r="O4343" s="2">
        <f>IF(LeadsData[[#This Row],[Stage Number]]&gt;=4,1,0)</f>
        <v>0</v>
      </c>
    </row>
    <row r="4344" spans="1:15" x14ac:dyDescent="0.25">
      <c r="A4344" t="s">
        <v>4384</v>
      </c>
      <c r="B4344" s="1">
        <v>45624</v>
      </c>
      <c r="C4344" t="s">
        <v>31</v>
      </c>
      <c r="D4344" t="s">
        <v>32</v>
      </c>
      <c r="E4344" t="s">
        <v>21</v>
      </c>
      <c r="F4344" t="s">
        <v>22</v>
      </c>
      <c r="G4344" t="s">
        <v>15</v>
      </c>
      <c r="K4344" cm="1">
        <f t="array" ref="K4344">_xlfn.SWITCH(LeadsData[[#This Row],[Funnel Stage Reached]],"Lead",1,"MQL",2,"SQL",3,"Customer",4)</f>
        <v>1</v>
      </c>
      <c r="L4344" t="str">
        <f>TEXT(LeadsData[[#This Row],[Signup Date]],"mmm-yyyy")</f>
        <v>Nov-2024</v>
      </c>
      <c r="M4344">
        <f>IF(LeadsData[[#This Row],[Stage Number]]&gt;=2,1,0)</f>
        <v>0</v>
      </c>
      <c r="N4344" s="2">
        <f>IF(LeadsData[[#This Row],[Stage Number]]&gt;=3,1,0)</f>
        <v>0</v>
      </c>
      <c r="O4344" s="2">
        <f>IF(LeadsData[[#This Row],[Stage Number]]&gt;=4,1,0)</f>
        <v>0</v>
      </c>
    </row>
    <row r="4345" spans="1:15" x14ac:dyDescent="0.25">
      <c r="A4345" t="s">
        <v>4385</v>
      </c>
      <c r="B4345" s="1">
        <v>45457</v>
      </c>
      <c r="C4345" t="s">
        <v>46</v>
      </c>
      <c r="D4345" t="s">
        <v>47</v>
      </c>
      <c r="E4345" t="s">
        <v>13</v>
      </c>
      <c r="F4345" t="s">
        <v>28</v>
      </c>
      <c r="G4345" t="s">
        <v>23</v>
      </c>
      <c r="K4345" cm="1">
        <f t="array" ref="K4345">_xlfn.SWITCH(LeadsData[[#This Row],[Funnel Stage Reached]],"Lead",1,"MQL",2,"SQL",3,"Customer",4)</f>
        <v>2</v>
      </c>
      <c r="L4345" t="str">
        <f>TEXT(LeadsData[[#This Row],[Signup Date]],"mmm-yyyy")</f>
        <v>Jun-2024</v>
      </c>
      <c r="M4345">
        <f>IF(LeadsData[[#This Row],[Stage Number]]&gt;=2,1,0)</f>
        <v>1</v>
      </c>
      <c r="N4345" s="2">
        <f>IF(LeadsData[[#This Row],[Stage Number]]&gt;=3,1,0)</f>
        <v>0</v>
      </c>
      <c r="O4345" s="2">
        <f>IF(LeadsData[[#This Row],[Stage Number]]&gt;=4,1,0)</f>
        <v>0</v>
      </c>
    </row>
    <row r="4346" spans="1:15" x14ac:dyDescent="0.25">
      <c r="A4346" t="s">
        <v>4386</v>
      </c>
      <c r="B4346" s="1">
        <v>45485</v>
      </c>
      <c r="C4346" t="s">
        <v>36</v>
      </c>
      <c r="D4346" t="s">
        <v>50</v>
      </c>
      <c r="E4346" t="s">
        <v>21</v>
      </c>
      <c r="F4346" t="s">
        <v>19</v>
      </c>
      <c r="G4346" t="s">
        <v>23</v>
      </c>
      <c r="K4346" cm="1">
        <f t="array" ref="K4346">_xlfn.SWITCH(LeadsData[[#This Row],[Funnel Stage Reached]],"Lead",1,"MQL",2,"SQL",3,"Customer",4)</f>
        <v>2</v>
      </c>
      <c r="L4346" t="str">
        <f>TEXT(LeadsData[[#This Row],[Signup Date]],"mmm-yyyy")</f>
        <v>Jul-2024</v>
      </c>
      <c r="M4346">
        <f>IF(LeadsData[[#This Row],[Stage Number]]&gt;=2,1,0)</f>
        <v>1</v>
      </c>
      <c r="N4346" s="2">
        <f>IF(LeadsData[[#This Row],[Stage Number]]&gt;=3,1,0)</f>
        <v>0</v>
      </c>
      <c r="O4346" s="2">
        <f>IF(LeadsData[[#This Row],[Stage Number]]&gt;=4,1,0)</f>
        <v>0</v>
      </c>
    </row>
    <row r="4347" spans="1:15" x14ac:dyDescent="0.25">
      <c r="A4347" t="s">
        <v>4387</v>
      </c>
      <c r="B4347" s="1">
        <v>45435</v>
      </c>
      <c r="C4347" t="s">
        <v>46</v>
      </c>
      <c r="D4347" t="s">
        <v>47</v>
      </c>
      <c r="E4347" t="s">
        <v>21</v>
      </c>
      <c r="F4347" t="s">
        <v>14</v>
      </c>
      <c r="G4347" t="s">
        <v>15</v>
      </c>
      <c r="K4347" cm="1">
        <f t="array" ref="K4347">_xlfn.SWITCH(LeadsData[[#This Row],[Funnel Stage Reached]],"Lead",1,"MQL",2,"SQL",3,"Customer",4)</f>
        <v>1</v>
      </c>
      <c r="L4347" t="str">
        <f>TEXT(LeadsData[[#This Row],[Signup Date]],"mmm-yyyy")</f>
        <v>May-2024</v>
      </c>
      <c r="M4347">
        <f>IF(LeadsData[[#This Row],[Stage Number]]&gt;=2,1,0)</f>
        <v>0</v>
      </c>
      <c r="N4347" s="2">
        <f>IF(LeadsData[[#This Row],[Stage Number]]&gt;=3,1,0)</f>
        <v>0</v>
      </c>
      <c r="O4347" s="2">
        <f>IF(LeadsData[[#This Row],[Stage Number]]&gt;=4,1,0)</f>
        <v>0</v>
      </c>
    </row>
    <row r="4348" spans="1:15" x14ac:dyDescent="0.25">
      <c r="A4348" t="s">
        <v>4388</v>
      </c>
      <c r="B4348" s="1">
        <v>45328</v>
      </c>
      <c r="C4348" t="s">
        <v>31</v>
      </c>
      <c r="D4348" t="s">
        <v>34</v>
      </c>
      <c r="E4348" t="s">
        <v>13</v>
      </c>
      <c r="F4348" t="s">
        <v>22</v>
      </c>
      <c r="G4348" t="s">
        <v>15</v>
      </c>
      <c r="K4348" cm="1">
        <f t="array" ref="K4348">_xlfn.SWITCH(LeadsData[[#This Row],[Funnel Stage Reached]],"Lead",1,"MQL",2,"SQL",3,"Customer",4)</f>
        <v>1</v>
      </c>
      <c r="L4348" t="str">
        <f>TEXT(LeadsData[[#This Row],[Signup Date]],"mmm-yyyy")</f>
        <v>Feb-2024</v>
      </c>
      <c r="M4348">
        <f>IF(LeadsData[[#This Row],[Stage Number]]&gt;=2,1,0)</f>
        <v>0</v>
      </c>
      <c r="N4348" s="2">
        <f>IF(LeadsData[[#This Row],[Stage Number]]&gt;=3,1,0)</f>
        <v>0</v>
      </c>
      <c r="O4348" s="2">
        <f>IF(LeadsData[[#This Row],[Stage Number]]&gt;=4,1,0)</f>
        <v>0</v>
      </c>
    </row>
    <row r="4349" spans="1:15" x14ac:dyDescent="0.25">
      <c r="A4349" t="s">
        <v>4389</v>
      </c>
      <c r="B4349" s="1">
        <v>45635</v>
      </c>
      <c r="C4349" t="s">
        <v>17</v>
      </c>
      <c r="D4349" t="s">
        <v>53</v>
      </c>
      <c r="E4349" t="s">
        <v>21</v>
      </c>
      <c r="F4349" t="s">
        <v>19</v>
      </c>
      <c r="G4349" t="s">
        <v>23</v>
      </c>
      <c r="K4349" cm="1">
        <f t="array" ref="K4349">_xlfn.SWITCH(LeadsData[[#This Row],[Funnel Stage Reached]],"Lead",1,"MQL",2,"SQL",3,"Customer",4)</f>
        <v>2</v>
      </c>
      <c r="L4349" t="str">
        <f>TEXT(LeadsData[[#This Row],[Signup Date]],"mmm-yyyy")</f>
        <v>Dec-2024</v>
      </c>
      <c r="M4349">
        <f>IF(LeadsData[[#This Row],[Stage Number]]&gt;=2,1,0)</f>
        <v>1</v>
      </c>
      <c r="N4349" s="2">
        <f>IF(LeadsData[[#This Row],[Stage Number]]&gt;=3,1,0)</f>
        <v>0</v>
      </c>
      <c r="O4349" s="2">
        <f>IF(LeadsData[[#This Row],[Stage Number]]&gt;=4,1,0)</f>
        <v>0</v>
      </c>
    </row>
    <row r="4350" spans="1:15" x14ac:dyDescent="0.25">
      <c r="A4350" t="s">
        <v>4390</v>
      </c>
      <c r="B4350" s="1">
        <v>45509</v>
      </c>
      <c r="C4350" t="s">
        <v>46</v>
      </c>
      <c r="D4350" t="s">
        <v>47</v>
      </c>
      <c r="E4350" t="s">
        <v>13</v>
      </c>
      <c r="F4350" t="s">
        <v>22</v>
      </c>
      <c r="G4350" t="s">
        <v>23</v>
      </c>
      <c r="K4350" cm="1">
        <f t="array" ref="K4350">_xlfn.SWITCH(LeadsData[[#This Row],[Funnel Stage Reached]],"Lead",1,"MQL",2,"SQL",3,"Customer",4)</f>
        <v>2</v>
      </c>
      <c r="L4350" t="str">
        <f>TEXT(LeadsData[[#This Row],[Signup Date]],"mmm-yyyy")</f>
        <v>Aug-2024</v>
      </c>
      <c r="M4350">
        <f>IF(LeadsData[[#This Row],[Stage Number]]&gt;=2,1,0)</f>
        <v>1</v>
      </c>
      <c r="N4350" s="2">
        <f>IF(LeadsData[[#This Row],[Stage Number]]&gt;=3,1,0)</f>
        <v>0</v>
      </c>
      <c r="O4350" s="2">
        <f>IF(LeadsData[[#This Row],[Stage Number]]&gt;=4,1,0)</f>
        <v>0</v>
      </c>
    </row>
    <row r="4351" spans="1:15" x14ac:dyDescent="0.25">
      <c r="A4351" t="s">
        <v>4391</v>
      </c>
      <c r="B4351" s="1">
        <v>45638</v>
      </c>
      <c r="C4351" t="s">
        <v>11</v>
      </c>
      <c r="D4351" t="s">
        <v>12</v>
      </c>
      <c r="E4351" t="s">
        <v>13</v>
      </c>
      <c r="F4351" t="s">
        <v>22</v>
      </c>
      <c r="G4351" t="s">
        <v>15</v>
      </c>
      <c r="K4351" cm="1">
        <f t="array" ref="K4351">_xlfn.SWITCH(LeadsData[[#This Row],[Funnel Stage Reached]],"Lead",1,"MQL",2,"SQL",3,"Customer",4)</f>
        <v>1</v>
      </c>
      <c r="L4351" t="str">
        <f>TEXT(LeadsData[[#This Row],[Signup Date]],"mmm-yyyy")</f>
        <v>Dec-2024</v>
      </c>
      <c r="M4351">
        <f>IF(LeadsData[[#This Row],[Stage Number]]&gt;=2,1,0)</f>
        <v>0</v>
      </c>
      <c r="N4351" s="2">
        <f>IF(LeadsData[[#This Row],[Stage Number]]&gt;=3,1,0)</f>
        <v>0</v>
      </c>
      <c r="O4351" s="2">
        <f>IF(LeadsData[[#This Row],[Stage Number]]&gt;=4,1,0)</f>
        <v>0</v>
      </c>
    </row>
    <row r="4352" spans="1:15" x14ac:dyDescent="0.25">
      <c r="A4352" t="s">
        <v>4392</v>
      </c>
      <c r="B4352" s="1">
        <v>45635</v>
      </c>
      <c r="C4352" t="s">
        <v>46</v>
      </c>
      <c r="D4352" t="s">
        <v>56</v>
      </c>
      <c r="E4352" t="s">
        <v>48</v>
      </c>
      <c r="F4352" t="s">
        <v>14</v>
      </c>
      <c r="G4352" t="s">
        <v>15</v>
      </c>
      <c r="K4352" cm="1">
        <f t="array" ref="K4352">_xlfn.SWITCH(LeadsData[[#This Row],[Funnel Stage Reached]],"Lead",1,"MQL",2,"SQL",3,"Customer",4)</f>
        <v>1</v>
      </c>
      <c r="L4352" t="str">
        <f>TEXT(LeadsData[[#This Row],[Signup Date]],"mmm-yyyy")</f>
        <v>Dec-2024</v>
      </c>
      <c r="M4352">
        <f>IF(LeadsData[[#This Row],[Stage Number]]&gt;=2,1,0)</f>
        <v>0</v>
      </c>
      <c r="N4352" s="2">
        <f>IF(LeadsData[[#This Row],[Stage Number]]&gt;=3,1,0)</f>
        <v>0</v>
      </c>
      <c r="O4352" s="2">
        <f>IF(LeadsData[[#This Row],[Stage Number]]&gt;=4,1,0)</f>
        <v>0</v>
      </c>
    </row>
    <row r="4353" spans="1:15" x14ac:dyDescent="0.25">
      <c r="A4353" t="s">
        <v>4393</v>
      </c>
      <c r="B4353" s="1">
        <v>45404</v>
      </c>
      <c r="C4353" t="s">
        <v>11</v>
      </c>
      <c r="D4353" t="s">
        <v>12</v>
      </c>
      <c r="E4353" t="s">
        <v>13</v>
      </c>
      <c r="F4353" t="s">
        <v>22</v>
      </c>
      <c r="G4353" t="s">
        <v>29</v>
      </c>
      <c r="K4353" cm="1">
        <f t="array" ref="K4353">_xlfn.SWITCH(LeadsData[[#This Row],[Funnel Stage Reached]],"Lead",1,"MQL",2,"SQL",3,"Customer",4)</f>
        <v>3</v>
      </c>
      <c r="L4353" t="str">
        <f>TEXT(LeadsData[[#This Row],[Signup Date]],"mmm-yyyy")</f>
        <v>Apr-2024</v>
      </c>
      <c r="M4353">
        <f>IF(LeadsData[[#This Row],[Stage Number]]&gt;=2,1,0)</f>
        <v>1</v>
      </c>
      <c r="N4353" s="2">
        <f>IF(LeadsData[[#This Row],[Stage Number]]&gt;=3,1,0)</f>
        <v>1</v>
      </c>
      <c r="O4353" s="2">
        <f>IF(LeadsData[[#This Row],[Stage Number]]&gt;=4,1,0)</f>
        <v>0</v>
      </c>
    </row>
    <row r="4354" spans="1:15" x14ac:dyDescent="0.25">
      <c r="A4354" t="s">
        <v>4394</v>
      </c>
      <c r="B4354" s="1">
        <v>45305</v>
      </c>
      <c r="C4354" t="s">
        <v>36</v>
      </c>
      <c r="D4354" t="s">
        <v>37</v>
      </c>
      <c r="E4354" t="s">
        <v>21</v>
      </c>
      <c r="F4354" t="s">
        <v>19</v>
      </c>
      <c r="G4354" t="s">
        <v>29</v>
      </c>
      <c r="K4354" cm="1">
        <f t="array" ref="K4354">_xlfn.SWITCH(LeadsData[[#This Row],[Funnel Stage Reached]],"Lead",1,"MQL",2,"SQL",3,"Customer",4)</f>
        <v>3</v>
      </c>
      <c r="L4354" t="str">
        <f>TEXT(LeadsData[[#This Row],[Signup Date]],"mmm-yyyy")</f>
        <v>Jan-2024</v>
      </c>
      <c r="M4354">
        <f>IF(LeadsData[[#This Row],[Stage Number]]&gt;=2,1,0)</f>
        <v>1</v>
      </c>
      <c r="N4354" s="2">
        <f>IF(LeadsData[[#This Row],[Stage Number]]&gt;=3,1,0)</f>
        <v>1</v>
      </c>
      <c r="O4354" s="2">
        <f>IF(LeadsData[[#This Row],[Stage Number]]&gt;=4,1,0)</f>
        <v>0</v>
      </c>
    </row>
    <row r="4355" spans="1:15" x14ac:dyDescent="0.25">
      <c r="A4355" t="s">
        <v>4395</v>
      </c>
      <c r="B4355" s="1">
        <v>45546</v>
      </c>
      <c r="C4355" t="s">
        <v>36</v>
      </c>
      <c r="D4355" t="s">
        <v>37</v>
      </c>
      <c r="E4355" t="s">
        <v>13</v>
      </c>
      <c r="F4355" t="s">
        <v>22</v>
      </c>
      <c r="G4355" t="s">
        <v>23</v>
      </c>
      <c r="K4355" cm="1">
        <f t="array" ref="K4355">_xlfn.SWITCH(LeadsData[[#This Row],[Funnel Stage Reached]],"Lead",1,"MQL",2,"SQL",3,"Customer",4)</f>
        <v>2</v>
      </c>
      <c r="L4355" t="str">
        <f>TEXT(LeadsData[[#This Row],[Signup Date]],"mmm-yyyy")</f>
        <v>Sep-2024</v>
      </c>
      <c r="M4355">
        <f>IF(LeadsData[[#This Row],[Stage Number]]&gt;=2,1,0)</f>
        <v>1</v>
      </c>
      <c r="N4355" s="2">
        <f>IF(LeadsData[[#This Row],[Stage Number]]&gt;=3,1,0)</f>
        <v>0</v>
      </c>
      <c r="O4355" s="2">
        <f>IF(LeadsData[[#This Row],[Stage Number]]&gt;=4,1,0)</f>
        <v>0</v>
      </c>
    </row>
    <row r="4356" spans="1:15" x14ac:dyDescent="0.25">
      <c r="A4356" t="s">
        <v>4396</v>
      </c>
      <c r="B4356" s="1">
        <v>45550</v>
      </c>
      <c r="C4356" t="s">
        <v>31</v>
      </c>
      <c r="D4356" t="s">
        <v>34</v>
      </c>
      <c r="E4356" t="s">
        <v>13</v>
      </c>
      <c r="F4356" t="s">
        <v>22</v>
      </c>
      <c r="G4356" t="s">
        <v>15</v>
      </c>
      <c r="K4356" cm="1">
        <f t="array" ref="K4356">_xlfn.SWITCH(LeadsData[[#This Row],[Funnel Stage Reached]],"Lead",1,"MQL",2,"SQL",3,"Customer",4)</f>
        <v>1</v>
      </c>
      <c r="L4356" t="str">
        <f>TEXT(LeadsData[[#This Row],[Signup Date]],"mmm-yyyy")</f>
        <v>Sep-2024</v>
      </c>
      <c r="M4356">
        <f>IF(LeadsData[[#This Row],[Stage Number]]&gt;=2,1,0)</f>
        <v>0</v>
      </c>
      <c r="N4356" s="2">
        <f>IF(LeadsData[[#This Row],[Stage Number]]&gt;=3,1,0)</f>
        <v>0</v>
      </c>
      <c r="O4356" s="2">
        <f>IF(LeadsData[[#This Row],[Stage Number]]&gt;=4,1,0)</f>
        <v>0</v>
      </c>
    </row>
    <row r="4357" spans="1:15" x14ac:dyDescent="0.25">
      <c r="A4357" t="s">
        <v>4397</v>
      </c>
      <c r="B4357" s="1">
        <v>45542</v>
      </c>
      <c r="C4357" t="s">
        <v>31</v>
      </c>
      <c r="D4357" t="s">
        <v>32</v>
      </c>
      <c r="E4357" t="s">
        <v>13</v>
      </c>
      <c r="F4357" t="s">
        <v>19</v>
      </c>
      <c r="G4357" t="s">
        <v>15</v>
      </c>
      <c r="K4357" cm="1">
        <f t="array" ref="K4357">_xlfn.SWITCH(LeadsData[[#This Row],[Funnel Stage Reached]],"Lead",1,"MQL",2,"SQL",3,"Customer",4)</f>
        <v>1</v>
      </c>
      <c r="L4357" t="str">
        <f>TEXT(LeadsData[[#This Row],[Signup Date]],"mmm-yyyy")</f>
        <v>Sep-2024</v>
      </c>
      <c r="M4357">
        <f>IF(LeadsData[[#This Row],[Stage Number]]&gt;=2,1,0)</f>
        <v>0</v>
      </c>
      <c r="N4357" s="2">
        <f>IF(LeadsData[[#This Row],[Stage Number]]&gt;=3,1,0)</f>
        <v>0</v>
      </c>
      <c r="O4357" s="2">
        <f>IF(LeadsData[[#This Row],[Stage Number]]&gt;=4,1,0)</f>
        <v>0</v>
      </c>
    </row>
    <row r="4358" spans="1:15" x14ac:dyDescent="0.25">
      <c r="A4358" t="s">
        <v>4398</v>
      </c>
      <c r="B4358" s="1">
        <v>45307</v>
      </c>
      <c r="C4358" t="s">
        <v>17</v>
      </c>
      <c r="D4358" t="s">
        <v>18</v>
      </c>
      <c r="E4358" t="s">
        <v>13</v>
      </c>
      <c r="F4358" t="s">
        <v>19</v>
      </c>
      <c r="G4358" t="s">
        <v>23</v>
      </c>
      <c r="K4358" cm="1">
        <f t="array" ref="K4358">_xlfn.SWITCH(LeadsData[[#This Row],[Funnel Stage Reached]],"Lead",1,"MQL",2,"SQL",3,"Customer",4)</f>
        <v>2</v>
      </c>
      <c r="L4358" t="str">
        <f>TEXT(LeadsData[[#This Row],[Signup Date]],"mmm-yyyy")</f>
        <v>Jan-2024</v>
      </c>
      <c r="M4358">
        <f>IF(LeadsData[[#This Row],[Stage Number]]&gt;=2,1,0)</f>
        <v>1</v>
      </c>
      <c r="N4358" s="2">
        <f>IF(LeadsData[[#This Row],[Stage Number]]&gt;=3,1,0)</f>
        <v>0</v>
      </c>
      <c r="O4358" s="2">
        <f>IF(LeadsData[[#This Row],[Stage Number]]&gt;=4,1,0)</f>
        <v>0</v>
      </c>
    </row>
    <row r="4359" spans="1:15" x14ac:dyDescent="0.25">
      <c r="A4359" t="s">
        <v>4399</v>
      </c>
      <c r="B4359" s="1">
        <v>45612</v>
      </c>
      <c r="C4359" t="s">
        <v>36</v>
      </c>
      <c r="D4359" t="s">
        <v>37</v>
      </c>
      <c r="E4359" t="s">
        <v>13</v>
      </c>
      <c r="F4359" t="s">
        <v>19</v>
      </c>
      <c r="G4359" t="s">
        <v>15</v>
      </c>
      <c r="K4359" cm="1">
        <f t="array" ref="K4359">_xlfn.SWITCH(LeadsData[[#This Row],[Funnel Stage Reached]],"Lead",1,"MQL",2,"SQL",3,"Customer",4)</f>
        <v>1</v>
      </c>
      <c r="L4359" t="str">
        <f>TEXT(LeadsData[[#This Row],[Signup Date]],"mmm-yyyy")</f>
        <v>Nov-2024</v>
      </c>
      <c r="M4359">
        <f>IF(LeadsData[[#This Row],[Stage Number]]&gt;=2,1,0)</f>
        <v>0</v>
      </c>
      <c r="N4359" s="2">
        <f>IF(LeadsData[[#This Row],[Stage Number]]&gt;=3,1,0)</f>
        <v>0</v>
      </c>
      <c r="O4359" s="2">
        <f>IF(LeadsData[[#This Row],[Stage Number]]&gt;=4,1,0)</f>
        <v>0</v>
      </c>
    </row>
    <row r="4360" spans="1:15" x14ac:dyDescent="0.25">
      <c r="A4360" t="s">
        <v>4400</v>
      </c>
      <c r="B4360" s="1">
        <v>45475</v>
      </c>
      <c r="C4360" t="s">
        <v>46</v>
      </c>
      <c r="D4360" t="s">
        <v>47</v>
      </c>
      <c r="E4360" t="s">
        <v>13</v>
      </c>
      <c r="F4360" t="s">
        <v>19</v>
      </c>
      <c r="G4360" t="s">
        <v>29</v>
      </c>
      <c r="K4360" cm="1">
        <f t="array" ref="K4360">_xlfn.SWITCH(LeadsData[[#This Row],[Funnel Stage Reached]],"Lead",1,"MQL",2,"SQL",3,"Customer",4)</f>
        <v>3</v>
      </c>
      <c r="L4360" t="str">
        <f>TEXT(LeadsData[[#This Row],[Signup Date]],"mmm-yyyy")</f>
        <v>Jul-2024</v>
      </c>
      <c r="M4360">
        <f>IF(LeadsData[[#This Row],[Stage Number]]&gt;=2,1,0)</f>
        <v>1</v>
      </c>
      <c r="N4360" s="2">
        <f>IF(LeadsData[[#This Row],[Stage Number]]&gt;=3,1,0)</f>
        <v>1</v>
      </c>
      <c r="O4360" s="2">
        <f>IF(LeadsData[[#This Row],[Stage Number]]&gt;=4,1,0)</f>
        <v>0</v>
      </c>
    </row>
    <row r="4361" spans="1:15" x14ac:dyDescent="0.25">
      <c r="A4361" t="s">
        <v>4401</v>
      </c>
      <c r="B4361" s="1">
        <v>45618</v>
      </c>
      <c r="C4361" t="s">
        <v>25</v>
      </c>
      <c r="D4361" t="s">
        <v>26</v>
      </c>
      <c r="E4361" t="s">
        <v>13</v>
      </c>
      <c r="F4361" t="s">
        <v>14</v>
      </c>
      <c r="G4361" t="s">
        <v>15</v>
      </c>
      <c r="K4361" cm="1">
        <f t="array" ref="K4361">_xlfn.SWITCH(LeadsData[[#This Row],[Funnel Stage Reached]],"Lead",1,"MQL",2,"SQL",3,"Customer",4)</f>
        <v>1</v>
      </c>
      <c r="L4361" t="str">
        <f>TEXT(LeadsData[[#This Row],[Signup Date]],"mmm-yyyy")</f>
        <v>Nov-2024</v>
      </c>
      <c r="M4361">
        <f>IF(LeadsData[[#This Row],[Stage Number]]&gt;=2,1,0)</f>
        <v>0</v>
      </c>
      <c r="N4361" s="2">
        <f>IF(LeadsData[[#This Row],[Stage Number]]&gt;=3,1,0)</f>
        <v>0</v>
      </c>
      <c r="O4361" s="2">
        <f>IF(LeadsData[[#This Row],[Stage Number]]&gt;=4,1,0)</f>
        <v>0</v>
      </c>
    </row>
    <row r="4362" spans="1:15" x14ac:dyDescent="0.25">
      <c r="A4362" t="s">
        <v>4402</v>
      </c>
      <c r="B4362" s="1">
        <v>45315</v>
      </c>
      <c r="C4362" t="s">
        <v>36</v>
      </c>
      <c r="D4362" t="s">
        <v>50</v>
      </c>
      <c r="E4362" t="s">
        <v>21</v>
      </c>
      <c r="F4362" t="s">
        <v>19</v>
      </c>
      <c r="G4362" t="s">
        <v>42</v>
      </c>
      <c r="H4362">
        <v>70</v>
      </c>
      <c r="I4362" t="s">
        <v>43</v>
      </c>
      <c r="J4362">
        <v>667.21</v>
      </c>
      <c r="K4362" cm="1">
        <f t="array" ref="K4362">_xlfn.SWITCH(LeadsData[[#This Row],[Funnel Stage Reached]],"Lead",1,"MQL",2,"SQL",3,"Customer",4)</f>
        <v>4</v>
      </c>
      <c r="L4362" t="str">
        <f>TEXT(LeadsData[[#This Row],[Signup Date]],"mmm-yyyy")</f>
        <v>Jan-2024</v>
      </c>
      <c r="M4362">
        <f>IF(LeadsData[[#This Row],[Stage Number]]&gt;=2,1,0)</f>
        <v>1</v>
      </c>
      <c r="N4362" s="2">
        <f>IF(LeadsData[[#This Row],[Stage Number]]&gt;=3,1,0)</f>
        <v>1</v>
      </c>
      <c r="O4362" s="2">
        <f>IF(LeadsData[[#This Row],[Stage Number]]&gt;=4,1,0)</f>
        <v>1</v>
      </c>
    </row>
    <row r="4363" spans="1:15" x14ac:dyDescent="0.25">
      <c r="A4363" t="s">
        <v>4403</v>
      </c>
      <c r="B4363" s="1">
        <v>45650</v>
      </c>
      <c r="C4363" t="s">
        <v>17</v>
      </c>
      <c r="D4363" t="s">
        <v>18</v>
      </c>
      <c r="E4363" t="s">
        <v>13</v>
      </c>
      <c r="F4363" t="s">
        <v>22</v>
      </c>
      <c r="G4363" t="s">
        <v>15</v>
      </c>
      <c r="K4363" cm="1">
        <f t="array" ref="K4363">_xlfn.SWITCH(LeadsData[[#This Row],[Funnel Stage Reached]],"Lead",1,"MQL",2,"SQL",3,"Customer",4)</f>
        <v>1</v>
      </c>
      <c r="L4363" t="str">
        <f>TEXT(LeadsData[[#This Row],[Signup Date]],"mmm-yyyy")</f>
        <v>Dec-2024</v>
      </c>
      <c r="M4363">
        <f>IF(LeadsData[[#This Row],[Stage Number]]&gt;=2,1,0)</f>
        <v>0</v>
      </c>
      <c r="N4363" s="2">
        <f>IF(LeadsData[[#This Row],[Stage Number]]&gt;=3,1,0)</f>
        <v>0</v>
      </c>
      <c r="O4363" s="2">
        <f>IF(LeadsData[[#This Row],[Stage Number]]&gt;=4,1,0)</f>
        <v>0</v>
      </c>
    </row>
    <row r="4364" spans="1:15" x14ac:dyDescent="0.25">
      <c r="A4364" t="s">
        <v>4404</v>
      </c>
      <c r="B4364" s="1">
        <v>45492</v>
      </c>
      <c r="C4364" t="s">
        <v>25</v>
      </c>
      <c r="D4364" t="s">
        <v>26</v>
      </c>
      <c r="E4364" t="s">
        <v>13</v>
      </c>
      <c r="F4364" t="s">
        <v>14</v>
      </c>
      <c r="G4364" t="s">
        <v>23</v>
      </c>
      <c r="K4364" cm="1">
        <f t="array" ref="K4364">_xlfn.SWITCH(LeadsData[[#This Row],[Funnel Stage Reached]],"Lead",1,"MQL",2,"SQL",3,"Customer",4)</f>
        <v>2</v>
      </c>
      <c r="L4364" t="str">
        <f>TEXT(LeadsData[[#This Row],[Signup Date]],"mmm-yyyy")</f>
        <v>Jul-2024</v>
      </c>
      <c r="M4364">
        <f>IF(LeadsData[[#This Row],[Stage Number]]&gt;=2,1,0)</f>
        <v>1</v>
      </c>
      <c r="N4364" s="2">
        <f>IF(LeadsData[[#This Row],[Stage Number]]&gt;=3,1,0)</f>
        <v>0</v>
      </c>
      <c r="O4364" s="2">
        <f>IF(LeadsData[[#This Row],[Stage Number]]&gt;=4,1,0)</f>
        <v>0</v>
      </c>
    </row>
    <row r="4365" spans="1:15" x14ac:dyDescent="0.25">
      <c r="A4365" t="s">
        <v>4405</v>
      </c>
      <c r="B4365" s="1">
        <v>45547</v>
      </c>
      <c r="C4365" t="s">
        <v>17</v>
      </c>
      <c r="D4365" t="s">
        <v>53</v>
      </c>
      <c r="E4365" t="s">
        <v>21</v>
      </c>
      <c r="F4365" t="s">
        <v>19</v>
      </c>
      <c r="G4365" t="s">
        <v>15</v>
      </c>
      <c r="K4365" cm="1">
        <f t="array" ref="K4365">_xlfn.SWITCH(LeadsData[[#This Row],[Funnel Stage Reached]],"Lead",1,"MQL",2,"SQL",3,"Customer",4)</f>
        <v>1</v>
      </c>
      <c r="L4365" t="str">
        <f>TEXT(LeadsData[[#This Row],[Signup Date]],"mmm-yyyy")</f>
        <v>Sep-2024</v>
      </c>
      <c r="M4365">
        <f>IF(LeadsData[[#This Row],[Stage Number]]&gt;=2,1,0)</f>
        <v>0</v>
      </c>
      <c r="N4365" s="2">
        <f>IF(LeadsData[[#This Row],[Stage Number]]&gt;=3,1,0)</f>
        <v>0</v>
      </c>
      <c r="O4365" s="2">
        <f>IF(LeadsData[[#This Row],[Stage Number]]&gt;=4,1,0)</f>
        <v>0</v>
      </c>
    </row>
    <row r="4366" spans="1:15" x14ac:dyDescent="0.25">
      <c r="A4366" t="s">
        <v>4406</v>
      </c>
      <c r="B4366" s="1">
        <v>45513</v>
      </c>
      <c r="C4366" t="s">
        <v>46</v>
      </c>
      <c r="D4366" t="s">
        <v>56</v>
      </c>
      <c r="E4366" t="s">
        <v>13</v>
      </c>
      <c r="F4366" t="s">
        <v>14</v>
      </c>
      <c r="G4366" t="s">
        <v>15</v>
      </c>
      <c r="K4366" cm="1">
        <f t="array" ref="K4366">_xlfn.SWITCH(LeadsData[[#This Row],[Funnel Stage Reached]],"Lead",1,"MQL",2,"SQL",3,"Customer",4)</f>
        <v>1</v>
      </c>
      <c r="L4366" t="str">
        <f>TEXT(LeadsData[[#This Row],[Signup Date]],"mmm-yyyy")</f>
        <v>Aug-2024</v>
      </c>
      <c r="M4366">
        <f>IF(LeadsData[[#This Row],[Stage Number]]&gt;=2,1,0)</f>
        <v>0</v>
      </c>
      <c r="N4366" s="2">
        <f>IF(LeadsData[[#This Row],[Stage Number]]&gt;=3,1,0)</f>
        <v>0</v>
      </c>
      <c r="O4366" s="2">
        <f>IF(LeadsData[[#This Row],[Stage Number]]&gt;=4,1,0)</f>
        <v>0</v>
      </c>
    </row>
    <row r="4367" spans="1:15" x14ac:dyDescent="0.25">
      <c r="A4367" t="s">
        <v>4407</v>
      </c>
      <c r="B4367" s="1">
        <v>45486</v>
      </c>
      <c r="C4367" t="s">
        <v>31</v>
      </c>
      <c r="D4367" t="s">
        <v>34</v>
      </c>
      <c r="E4367" t="s">
        <v>48</v>
      </c>
      <c r="F4367" t="s">
        <v>22</v>
      </c>
      <c r="G4367" t="s">
        <v>23</v>
      </c>
      <c r="K4367" cm="1">
        <f t="array" ref="K4367">_xlfn.SWITCH(LeadsData[[#This Row],[Funnel Stage Reached]],"Lead",1,"MQL",2,"SQL",3,"Customer",4)</f>
        <v>2</v>
      </c>
      <c r="L4367" t="str">
        <f>TEXT(LeadsData[[#This Row],[Signup Date]],"mmm-yyyy")</f>
        <v>Jul-2024</v>
      </c>
      <c r="M4367">
        <f>IF(LeadsData[[#This Row],[Stage Number]]&gt;=2,1,0)</f>
        <v>1</v>
      </c>
      <c r="N4367" s="2">
        <f>IF(LeadsData[[#This Row],[Stage Number]]&gt;=3,1,0)</f>
        <v>0</v>
      </c>
      <c r="O4367" s="2">
        <f>IF(LeadsData[[#This Row],[Stage Number]]&gt;=4,1,0)</f>
        <v>0</v>
      </c>
    </row>
    <row r="4368" spans="1:15" x14ac:dyDescent="0.25">
      <c r="A4368" t="s">
        <v>4408</v>
      </c>
      <c r="B4368" s="1">
        <v>45357</v>
      </c>
      <c r="C4368" t="s">
        <v>46</v>
      </c>
      <c r="D4368" t="s">
        <v>47</v>
      </c>
      <c r="E4368" t="s">
        <v>21</v>
      </c>
      <c r="F4368" t="s">
        <v>22</v>
      </c>
      <c r="G4368" t="s">
        <v>23</v>
      </c>
      <c r="K4368" cm="1">
        <f t="array" ref="K4368">_xlfn.SWITCH(LeadsData[[#This Row],[Funnel Stage Reached]],"Lead",1,"MQL",2,"SQL",3,"Customer",4)</f>
        <v>2</v>
      </c>
      <c r="L4368" t="str">
        <f>TEXT(LeadsData[[#This Row],[Signup Date]],"mmm-yyyy")</f>
        <v>Mar-2024</v>
      </c>
      <c r="M4368">
        <f>IF(LeadsData[[#This Row],[Stage Number]]&gt;=2,1,0)</f>
        <v>1</v>
      </c>
      <c r="N4368" s="2">
        <f>IF(LeadsData[[#This Row],[Stage Number]]&gt;=3,1,0)</f>
        <v>0</v>
      </c>
      <c r="O4368" s="2">
        <f>IF(LeadsData[[#This Row],[Stage Number]]&gt;=4,1,0)</f>
        <v>0</v>
      </c>
    </row>
    <row r="4369" spans="1:15" x14ac:dyDescent="0.25">
      <c r="A4369" t="s">
        <v>4409</v>
      </c>
      <c r="B4369" s="1">
        <v>45577</v>
      </c>
      <c r="C4369" t="s">
        <v>46</v>
      </c>
      <c r="D4369" t="s">
        <v>56</v>
      </c>
      <c r="E4369" t="s">
        <v>21</v>
      </c>
      <c r="F4369" t="s">
        <v>19</v>
      </c>
      <c r="G4369" t="s">
        <v>23</v>
      </c>
      <c r="K4369" cm="1">
        <f t="array" ref="K4369">_xlfn.SWITCH(LeadsData[[#This Row],[Funnel Stage Reached]],"Lead",1,"MQL",2,"SQL",3,"Customer",4)</f>
        <v>2</v>
      </c>
      <c r="L4369" t="str">
        <f>TEXT(LeadsData[[#This Row],[Signup Date]],"mmm-yyyy")</f>
        <v>Oct-2024</v>
      </c>
      <c r="M4369">
        <f>IF(LeadsData[[#This Row],[Stage Number]]&gt;=2,1,0)</f>
        <v>1</v>
      </c>
      <c r="N4369" s="2">
        <f>IF(LeadsData[[#This Row],[Stage Number]]&gt;=3,1,0)</f>
        <v>0</v>
      </c>
      <c r="O4369" s="2">
        <f>IF(LeadsData[[#This Row],[Stage Number]]&gt;=4,1,0)</f>
        <v>0</v>
      </c>
    </row>
    <row r="4370" spans="1:15" x14ac:dyDescent="0.25">
      <c r="A4370" t="s">
        <v>4410</v>
      </c>
      <c r="B4370" s="1">
        <v>45330</v>
      </c>
      <c r="C4370" t="s">
        <v>36</v>
      </c>
      <c r="D4370" t="s">
        <v>50</v>
      </c>
      <c r="E4370" t="s">
        <v>21</v>
      </c>
      <c r="F4370" t="s">
        <v>19</v>
      </c>
      <c r="G4370" t="s">
        <v>15</v>
      </c>
      <c r="K4370" cm="1">
        <f t="array" ref="K4370">_xlfn.SWITCH(LeadsData[[#This Row],[Funnel Stage Reached]],"Lead",1,"MQL",2,"SQL",3,"Customer",4)</f>
        <v>1</v>
      </c>
      <c r="L4370" t="str">
        <f>TEXT(LeadsData[[#This Row],[Signup Date]],"mmm-yyyy")</f>
        <v>Feb-2024</v>
      </c>
      <c r="M4370">
        <f>IF(LeadsData[[#This Row],[Stage Number]]&gt;=2,1,0)</f>
        <v>0</v>
      </c>
      <c r="N4370" s="2">
        <f>IF(LeadsData[[#This Row],[Stage Number]]&gt;=3,1,0)</f>
        <v>0</v>
      </c>
      <c r="O4370" s="2">
        <f>IF(LeadsData[[#This Row],[Stage Number]]&gt;=4,1,0)</f>
        <v>0</v>
      </c>
    </row>
    <row r="4371" spans="1:15" x14ac:dyDescent="0.25">
      <c r="A4371" t="s">
        <v>4411</v>
      </c>
      <c r="B4371" s="1">
        <v>45521</v>
      </c>
      <c r="C4371" t="s">
        <v>36</v>
      </c>
      <c r="D4371" t="s">
        <v>50</v>
      </c>
      <c r="E4371" t="s">
        <v>13</v>
      </c>
      <c r="F4371" t="s">
        <v>19</v>
      </c>
      <c r="G4371" t="s">
        <v>23</v>
      </c>
      <c r="K4371" cm="1">
        <f t="array" ref="K4371">_xlfn.SWITCH(LeadsData[[#This Row],[Funnel Stage Reached]],"Lead",1,"MQL",2,"SQL",3,"Customer",4)</f>
        <v>2</v>
      </c>
      <c r="L4371" t="str">
        <f>TEXT(LeadsData[[#This Row],[Signup Date]],"mmm-yyyy")</f>
        <v>Aug-2024</v>
      </c>
      <c r="M4371">
        <f>IF(LeadsData[[#This Row],[Stage Number]]&gt;=2,1,0)</f>
        <v>1</v>
      </c>
      <c r="N4371" s="2">
        <f>IF(LeadsData[[#This Row],[Stage Number]]&gt;=3,1,0)</f>
        <v>0</v>
      </c>
      <c r="O4371" s="2">
        <f>IF(LeadsData[[#This Row],[Stage Number]]&gt;=4,1,0)</f>
        <v>0</v>
      </c>
    </row>
    <row r="4372" spans="1:15" x14ac:dyDescent="0.25">
      <c r="A4372" t="s">
        <v>4412</v>
      </c>
      <c r="B4372" s="1">
        <v>45314</v>
      </c>
      <c r="C4372" t="s">
        <v>46</v>
      </c>
      <c r="D4372" t="s">
        <v>56</v>
      </c>
      <c r="E4372" t="s">
        <v>13</v>
      </c>
      <c r="F4372" t="s">
        <v>19</v>
      </c>
      <c r="G4372" t="s">
        <v>15</v>
      </c>
      <c r="K4372" cm="1">
        <f t="array" ref="K4372">_xlfn.SWITCH(LeadsData[[#This Row],[Funnel Stage Reached]],"Lead",1,"MQL",2,"SQL",3,"Customer",4)</f>
        <v>1</v>
      </c>
      <c r="L4372" t="str">
        <f>TEXT(LeadsData[[#This Row],[Signup Date]],"mmm-yyyy")</f>
        <v>Jan-2024</v>
      </c>
      <c r="M4372">
        <f>IF(LeadsData[[#This Row],[Stage Number]]&gt;=2,1,0)</f>
        <v>0</v>
      </c>
      <c r="N4372" s="2">
        <f>IF(LeadsData[[#This Row],[Stage Number]]&gt;=3,1,0)</f>
        <v>0</v>
      </c>
      <c r="O4372" s="2">
        <f>IF(LeadsData[[#This Row],[Stage Number]]&gt;=4,1,0)</f>
        <v>0</v>
      </c>
    </row>
    <row r="4373" spans="1:15" x14ac:dyDescent="0.25">
      <c r="A4373" t="s">
        <v>4413</v>
      </c>
      <c r="B4373" s="1">
        <v>45432</v>
      </c>
      <c r="C4373" t="s">
        <v>11</v>
      </c>
      <c r="D4373" t="s">
        <v>79</v>
      </c>
      <c r="E4373" t="s">
        <v>21</v>
      </c>
      <c r="F4373" t="s">
        <v>19</v>
      </c>
      <c r="G4373" t="s">
        <v>23</v>
      </c>
      <c r="K4373" cm="1">
        <f t="array" ref="K4373">_xlfn.SWITCH(LeadsData[[#This Row],[Funnel Stage Reached]],"Lead",1,"MQL",2,"SQL",3,"Customer",4)</f>
        <v>2</v>
      </c>
      <c r="L4373" t="str">
        <f>TEXT(LeadsData[[#This Row],[Signup Date]],"mmm-yyyy")</f>
        <v>May-2024</v>
      </c>
      <c r="M4373">
        <f>IF(LeadsData[[#This Row],[Stage Number]]&gt;=2,1,0)</f>
        <v>1</v>
      </c>
      <c r="N4373" s="2">
        <f>IF(LeadsData[[#This Row],[Stage Number]]&gt;=3,1,0)</f>
        <v>0</v>
      </c>
      <c r="O4373" s="2">
        <f>IF(LeadsData[[#This Row],[Stage Number]]&gt;=4,1,0)</f>
        <v>0</v>
      </c>
    </row>
    <row r="4374" spans="1:15" x14ac:dyDescent="0.25">
      <c r="A4374" t="s">
        <v>4414</v>
      </c>
      <c r="B4374" s="1">
        <v>45577</v>
      </c>
      <c r="C4374" t="s">
        <v>31</v>
      </c>
      <c r="D4374" t="s">
        <v>34</v>
      </c>
      <c r="E4374" t="s">
        <v>21</v>
      </c>
      <c r="F4374" t="s">
        <v>19</v>
      </c>
      <c r="G4374" t="s">
        <v>23</v>
      </c>
      <c r="K4374" cm="1">
        <f t="array" ref="K4374">_xlfn.SWITCH(LeadsData[[#This Row],[Funnel Stage Reached]],"Lead",1,"MQL",2,"SQL",3,"Customer",4)</f>
        <v>2</v>
      </c>
      <c r="L4374" t="str">
        <f>TEXT(LeadsData[[#This Row],[Signup Date]],"mmm-yyyy")</f>
        <v>Oct-2024</v>
      </c>
      <c r="M4374">
        <f>IF(LeadsData[[#This Row],[Stage Number]]&gt;=2,1,0)</f>
        <v>1</v>
      </c>
      <c r="N4374" s="2">
        <f>IF(LeadsData[[#This Row],[Stage Number]]&gt;=3,1,0)</f>
        <v>0</v>
      </c>
      <c r="O4374" s="2">
        <f>IF(LeadsData[[#This Row],[Stage Number]]&gt;=4,1,0)</f>
        <v>0</v>
      </c>
    </row>
    <row r="4375" spans="1:15" x14ac:dyDescent="0.25">
      <c r="A4375" t="s">
        <v>4415</v>
      </c>
      <c r="B4375" s="1">
        <v>45632</v>
      </c>
      <c r="C4375" t="s">
        <v>46</v>
      </c>
      <c r="D4375" t="s">
        <v>56</v>
      </c>
      <c r="E4375" t="s">
        <v>13</v>
      </c>
      <c r="F4375" t="s">
        <v>22</v>
      </c>
      <c r="G4375" t="s">
        <v>15</v>
      </c>
      <c r="K4375" cm="1">
        <f t="array" ref="K4375">_xlfn.SWITCH(LeadsData[[#This Row],[Funnel Stage Reached]],"Lead",1,"MQL",2,"SQL",3,"Customer",4)</f>
        <v>1</v>
      </c>
      <c r="L4375" t="str">
        <f>TEXT(LeadsData[[#This Row],[Signup Date]],"mmm-yyyy")</f>
        <v>Dec-2024</v>
      </c>
      <c r="M4375">
        <f>IF(LeadsData[[#This Row],[Stage Number]]&gt;=2,1,0)</f>
        <v>0</v>
      </c>
      <c r="N4375" s="2">
        <f>IF(LeadsData[[#This Row],[Stage Number]]&gt;=3,1,0)</f>
        <v>0</v>
      </c>
      <c r="O4375" s="2">
        <f>IF(LeadsData[[#This Row],[Stage Number]]&gt;=4,1,0)</f>
        <v>0</v>
      </c>
    </row>
    <row r="4376" spans="1:15" x14ac:dyDescent="0.25">
      <c r="A4376" t="s">
        <v>4416</v>
      </c>
      <c r="B4376" s="1">
        <v>45638</v>
      </c>
      <c r="C4376" t="s">
        <v>17</v>
      </c>
      <c r="D4376" t="s">
        <v>18</v>
      </c>
      <c r="E4376" t="s">
        <v>21</v>
      </c>
      <c r="F4376" t="s">
        <v>19</v>
      </c>
      <c r="G4376" t="s">
        <v>29</v>
      </c>
      <c r="K4376" cm="1">
        <f t="array" ref="K4376">_xlfn.SWITCH(LeadsData[[#This Row],[Funnel Stage Reached]],"Lead",1,"MQL",2,"SQL",3,"Customer",4)</f>
        <v>3</v>
      </c>
      <c r="L4376" t="str">
        <f>TEXT(LeadsData[[#This Row],[Signup Date]],"mmm-yyyy")</f>
        <v>Dec-2024</v>
      </c>
      <c r="M4376">
        <f>IF(LeadsData[[#This Row],[Stage Number]]&gt;=2,1,0)</f>
        <v>1</v>
      </c>
      <c r="N4376" s="2">
        <f>IF(LeadsData[[#This Row],[Stage Number]]&gt;=3,1,0)</f>
        <v>1</v>
      </c>
      <c r="O4376" s="2">
        <f>IF(LeadsData[[#This Row],[Stage Number]]&gt;=4,1,0)</f>
        <v>0</v>
      </c>
    </row>
    <row r="4377" spans="1:15" x14ac:dyDescent="0.25">
      <c r="A4377" t="s">
        <v>4417</v>
      </c>
      <c r="B4377" s="1">
        <v>45592</v>
      </c>
      <c r="C4377" t="s">
        <v>46</v>
      </c>
      <c r="D4377" t="s">
        <v>56</v>
      </c>
      <c r="E4377" t="s">
        <v>13</v>
      </c>
      <c r="F4377" t="s">
        <v>19</v>
      </c>
      <c r="G4377" t="s">
        <v>29</v>
      </c>
      <c r="K4377" cm="1">
        <f t="array" ref="K4377">_xlfn.SWITCH(LeadsData[[#This Row],[Funnel Stage Reached]],"Lead",1,"MQL",2,"SQL",3,"Customer",4)</f>
        <v>3</v>
      </c>
      <c r="L4377" t="str">
        <f>TEXT(LeadsData[[#This Row],[Signup Date]],"mmm-yyyy")</f>
        <v>Oct-2024</v>
      </c>
      <c r="M4377">
        <f>IF(LeadsData[[#This Row],[Stage Number]]&gt;=2,1,0)</f>
        <v>1</v>
      </c>
      <c r="N4377" s="2">
        <f>IF(LeadsData[[#This Row],[Stage Number]]&gt;=3,1,0)</f>
        <v>1</v>
      </c>
      <c r="O4377" s="2">
        <f>IF(LeadsData[[#This Row],[Stage Number]]&gt;=4,1,0)</f>
        <v>0</v>
      </c>
    </row>
    <row r="4378" spans="1:15" x14ac:dyDescent="0.25">
      <c r="A4378" t="s">
        <v>4418</v>
      </c>
      <c r="B4378" s="1">
        <v>45327</v>
      </c>
      <c r="C4378" t="s">
        <v>31</v>
      </c>
      <c r="D4378" t="s">
        <v>32</v>
      </c>
      <c r="E4378" t="s">
        <v>21</v>
      </c>
      <c r="F4378" t="s">
        <v>28</v>
      </c>
      <c r="G4378" t="s">
        <v>15</v>
      </c>
      <c r="K4378" cm="1">
        <f t="array" ref="K4378">_xlfn.SWITCH(LeadsData[[#This Row],[Funnel Stage Reached]],"Lead",1,"MQL",2,"SQL",3,"Customer",4)</f>
        <v>1</v>
      </c>
      <c r="L4378" t="str">
        <f>TEXT(LeadsData[[#This Row],[Signup Date]],"mmm-yyyy")</f>
        <v>Feb-2024</v>
      </c>
      <c r="M4378">
        <f>IF(LeadsData[[#This Row],[Stage Number]]&gt;=2,1,0)</f>
        <v>0</v>
      </c>
      <c r="N4378" s="2">
        <f>IF(LeadsData[[#This Row],[Stage Number]]&gt;=3,1,0)</f>
        <v>0</v>
      </c>
      <c r="O4378" s="2">
        <f>IF(LeadsData[[#This Row],[Stage Number]]&gt;=4,1,0)</f>
        <v>0</v>
      </c>
    </row>
    <row r="4379" spans="1:15" x14ac:dyDescent="0.25">
      <c r="A4379" t="s">
        <v>4419</v>
      </c>
      <c r="B4379" s="1">
        <v>45415</v>
      </c>
      <c r="C4379" t="s">
        <v>11</v>
      </c>
      <c r="D4379" t="s">
        <v>68</v>
      </c>
      <c r="E4379" t="s">
        <v>13</v>
      </c>
      <c r="F4379" t="s">
        <v>19</v>
      </c>
      <c r="G4379" t="s">
        <v>15</v>
      </c>
      <c r="K4379" cm="1">
        <f t="array" ref="K4379">_xlfn.SWITCH(LeadsData[[#This Row],[Funnel Stage Reached]],"Lead",1,"MQL",2,"SQL",3,"Customer",4)</f>
        <v>1</v>
      </c>
      <c r="L4379" t="str">
        <f>TEXT(LeadsData[[#This Row],[Signup Date]],"mmm-yyyy")</f>
        <v>May-2024</v>
      </c>
      <c r="M4379">
        <f>IF(LeadsData[[#This Row],[Stage Number]]&gt;=2,1,0)</f>
        <v>0</v>
      </c>
      <c r="N4379" s="2">
        <f>IF(LeadsData[[#This Row],[Stage Number]]&gt;=3,1,0)</f>
        <v>0</v>
      </c>
      <c r="O4379" s="2">
        <f>IF(LeadsData[[#This Row],[Stage Number]]&gt;=4,1,0)</f>
        <v>0</v>
      </c>
    </row>
    <row r="4380" spans="1:15" x14ac:dyDescent="0.25">
      <c r="A4380" t="s">
        <v>4420</v>
      </c>
      <c r="B4380" s="1">
        <v>45538</v>
      </c>
      <c r="C4380" t="s">
        <v>46</v>
      </c>
      <c r="D4380" t="s">
        <v>56</v>
      </c>
      <c r="E4380" t="s">
        <v>21</v>
      </c>
      <c r="F4380" t="s">
        <v>28</v>
      </c>
      <c r="G4380" t="s">
        <v>15</v>
      </c>
      <c r="K4380" cm="1">
        <f t="array" ref="K4380">_xlfn.SWITCH(LeadsData[[#This Row],[Funnel Stage Reached]],"Lead",1,"MQL",2,"SQL",3,"Customer",4)</f>
        <v>1</v>
      </c>
      <c r="L4380" t="str">
        <f>TEXT(LeadsData[[#This Row],[Signup Date]],"mmm-yyyy")</f>
        <v>Sep-2024</v>
      </c>
      <c r="M4380">
        <f>IF(LeadsData[[#This Row],[Stage Number]]&gt;=2,1,0)</f>
        <v>0</v>
      </c>
      <c r="N4380" s="2">
        <f>IF(LeadsData[[#This Row],[Stage Number]]&gt;=3,1,0)</f>
        <v>0</v>
      </c>
      <c r="O4380" s="2">
        <f>IF(LeadsData[[#This Row],[Stage Number]]&gt;=4,1,0)</f>
        <v>0</v>
      </c>
    </row>
    <row r="4381" spans="1:15" x14ac:dyDescent="0.25">
      <c r="A4381" t="s">
        <v>4421</v>
      </c>
      <c r="B4381" s="1">
        <v>45509</v>
      </c>
      <c r="C4381" t="s">
        <v>36</v>
      </c>
      <c r="D4381" t="s">
        <v>37</v>
      </c>
      <c r="E4381" t="s">
        <v>13</v>
      </c>
      <c r="F4381" t="s">
        <v>19</v>
      </c>
      <c r="G4381" t="s">
        <v>29</v>
      </c>
      <c r="K4381" cm="1">
        <f t="array" ref="K4381">_xlfn.SWITCH(LeadsData[[#This Row],[Funnel Stage Reached]],"Lead",1,"MQL",2,"SQL",3,"Customer",4)</f>
        <v>3</v>
      </c>
      <c r="L4381" t="str">
        <f>TEXT(LeadsData[[#This Row],[Signup Date]],"mmm-yyyy")</f>
        <v>Aug-2024</v>
      </c>
      <c r="M4381">
        <f>IF(LeadsData[[#This Row],[Stage Number]]&gt;=2,1,0)</f>
        <v>1</v>
      </c>
      <c r="N4381" s="2">
        <f>IF(LeadsData[[#This Row],[Stage Number]]&gt;=3,1,0)</f>
        <v>1</v>
      </c>
      <c r="O4381" s="2">
        <f>IF(LeadsData[[#This Row],[Stage Number]]&gt;=4,1,0)</f>
        <v>0</v>
      </c>
    </row>
    <row r="4382" spans="1:15" x14ac:dyDescent="0.25">
      <c r="A4382" t="s">
        <v>4422</v>
      </c>
      <c r="B4382" s="1">
        <v>45606</v>
      </c>
      <c r="C4382" t="s">
        <v>25</v>
      </c>
      <c r="D4382" t="s">
        <v>26</v>
      </c>
      <c r="E4382" t="s">
        <v>21</v>
      </c>
      <c r="F4382" t="s">
        <v>14</v>
      </c>
      <c r="G4382" t="s">
        <v>23</v>
      </c>
      <c r="K4382" cm="1">
        <f t="array" ref="K4382">_xlfn.SWITCH(LeadsData[[#This Row],[Funnel Stage Reached]],"Lead",1,"MQL",2,"SQL",3,"Customer",4)</f>
        <v>2</v>
      </c>
      <c r="L4382" t="str">
        <f>TEXT(LeadsData[[#This Row],[Signup Date]],"mmm-yyyy")</f>
        <v>Nov-2024</v>
      </c>
      <c r="M4382">
        <f>IF(LeadsData[[#This Row],[Stage Number]]&gt;=2,1,0)</f>
        <v>1</v>
      </c>
      <c r="N4382" s="2">
        <f>IF(LeadsData[[#This Row],[Stage Number]]&gt;=3,1,0)</f>
        <v>0</v>
      </c>
      <c r="O4382" s="2">
        <f>IF(LeadsData[[#This Row],[Stage Number]]&gt;=4,1,0)</f>
        <v>0</v>
      </c>
    </row>
    <row r="4383" spans="1:15" x14ac:dyDescent="0.25">
      <c r="A4383" t="s">
        <v>4423</v>
      </c>
      <c r="B4383" s="1">
        <v>45605</v>
      </c>
      <c r="C4383" t="s">
        <v>11</v>
      </c>
      <c r="D4383" t="s">
        <v>79</v>
      </c>
      <c r="E4383" t="s">
        <v>13</v>
      </c>
      <c r="F4383" t="s">
        <v>28</v>
      </c>
      <c r="G4383" t="s">
        <v>15</v>
      </c>
      <c r="K4383" cm="1">
        <f t="array" ref="K4383">_xlfn.SWITCH(LeadsData[[#This Row],[Funnel Stage Reached]],"Lead",1,"MQL",2,"SQL",3,"Customer",4)</f>
        <v>1</v>
      </c>
      <c r="L4383" t="str">
        <f>TEXT(LeadsData[[#This Row],[Signup Date]],"mmm-yyyy")</f>
        <v>Nov-2024</v>
      </c>
      <c r="M4383">
        <f>IF(LeadsData[[#This Row],[Stage Number]]&gt;=2,1,0)</f>
        <v>0</v>
      </c>
      <c r="N4383" s="2">
        <f>IF(LeadsData[[#This Row],[Stage Number]]&gt;=3,1,0)</f>
        <v>0</v>
      </c>
      <c r="O4383" s="2">
        <f>IF(LeadsData[[#This Row],[Stage Number]]&gt;=4,1,0)</f>
        <v>0</v>
      </c>
    </row>
    <row r="4384" spans="1:15" x14ac:dyDescent="0.25">
      <c r="A4384" t="s">
        <v>4424</v>
      </c>
      <c r="B4384" s="1">
        <v>45520</v>
      </c>
      <c r="C4384" t="s">
        <v>17</v>
      </c>
      <c r="D4384" t="s">
        <v>53</v>
      </c>
      <c r="E4384" t="s">
        <v>21</v>
      </c>
      <c r="F4384" t="s">
        <v>19</v>
      </c>
      <c r="G4384" t="s">
        <v>15</v>
      </c>
      <c r="K4384" cm="1">
        <f t="array" ref="K4384">_xlfn.SWITCH(LeadsData[[#This Row],[Funnel Stage Reached]],"Lead",1,"MQL",2,"SQL",3,"Customer",4)</f>
        <v>1</v>
      </c>
      <c r="L4384" t="str">
        <f>TEXT(LeadsData[[#This Row],[Signup Date]],"mmm-yyyy")</f>
        <v>Aug-2024</v>
      </c>
      <c r="M4384">
        <f>IF(LeadsData[[#This Row],[Stage Number]]&gt;=2,1,0)</f>
        <v>0</v>
      </c>
      <c r="N4384" s="2">
        <f>IF(LeadsData[[#This Row],[Stage Number]]&gt;=3,1,0)</f>
        <v>0</v>
      </c>
      <c r="O4384" s="2">
        <f>IF(LeadsData[[#This Row],[Stage Number]]&gt;=4,1,0)</f>
        <v>0</v>
      </c>
    </row>
    <row r="4385" spans="1:15" x14ac:dyDescent="0.25">
      <c r="A4385" t="s">
        <v>4425</v>
      </c>
      <c r="B4385" s="1">
        <v>45587</v>
      </c>
      <c r="C4385" t="s">
        <v>31</v>
      </c>
      <c r="D4385" t="s">
        <v>34</v>
      </c>
      <c r="E4385" t="s">
        <v>21</v>
      </c>
      <c r="F4385" t="s">
        <v>22</v>
      </c>
      <c r="G4385" t="s">
        <v>15</v>
      </c>
      <c r="K4385" cm="1">
        <f t="array" ref="K4385">_xlfn.SWITCH(LeadsData[[#This Row],[Funnel Stage Reached]],"Lead",1,"MQL",2,"SQL",3,"Customer",4)</f>
        <v>1</v>
      </c>
      <c r="L4385" t="str">
        <f>TEXT(LeadsData[[#This Row],[Signup Date]],"mmm-yyyy")</f>
        <v>Oct-2024</v>
      </c>
      <c r="M4385">
        <f>IF(LeadsData[[#This Row],[Stage Number]]&gt;=2,1,0)</f>
        <v>0</v>
      </c>
      <c r="N4385" s="2">
        <f>IF(LeadsData[[#This Row],[Stage Number]]&gt;=3,1,0)</f>
        <v>0</v>
      </c>
      <c r="O4385" s="2">
        <f>IF(LeadsData[[#This Row],[Stage Number]]&gt;=4,1,0)</f>
        <v>0</v>
      </c>
    </row>
    <row r="4386" spans="1:15" x14ac:dyDescent="0.25">
      <c r="A4386" t="s">
        <v>4426</v>
      </c>
      <c r="B4386" s="1">
        <v>45310</v>
      </c>
      <c r="C4386" t="s">
        <v>25</v>
      </c>
      <c r="D4386" t="s">
        <v>26</v>
      </c>
      <c r="E4386" t="s">
        <v>13</v>
      </c>
      <c r="F4386" t="s">
        <v>19</v>
      </c>
      <c r="G4386" t="s">
        <v>23</v>
      </c>
      <c r="K4386" cm="1">
        <f t="array" ref="K4386">_xlfn.SWITCH(LeadsData[[#This Row],[Funnel Stage Reached]],"Lead",1,"MQL",2,"SQL",3,"Customer",4)</f>
        <v>2</v>
      </c>
      <c r="L4386" t="str">
        <f>TEXT(LeadsData[[#This Row],[Signup Date]],"mmm-yyyy")</f>
        <v>Jan-2024</v>
      </c>
      <c r="M4386">
        <f>IF(LeadsData[[#This Row],[Stage Number]]&gt;=2,1,0)</f>
        <v>1</v>
      </c>
      <c r="N4386" s="2">
        <f>IF(LeadsData[[#This Row],[Stage Number]]&gt;=3,1,0)</f>
        <v>0</v>
      </c>
      <c r="O4386" s="2">
        <f>IF(LeadsData[[#This Row],[Stage Number]]&gt;=4,1,0)</f>
        <v>0</v>
      </c>
    </row>
    <row r="4387" spans="1:15" x14ac:dyDescent="0.25">
      <c r="A4387" t="s">
        <v>4427</v>
      </c>
      <c r="B4387" s="1">
        <v>45306</v>
      </c>
      <c r="C4387" t="s">
        <v>36</v>
      </c>
      <c r="D4387" t="s">
        <v>50</v>
      </c>
      <c r="E4387" t="s">
        <v>48</v>
      </c>
      <c r="F4387" t="s">
        <v>19</v>
      </c>
      <c r="G4387" t="s">
        <v>15</v>
      </c>
      <c r="K4387" cm="1">
        <f t="array" ref="K4387">_xlfn.SWITCH(LeadsData[[#This Row],[Funnel Stage Reached]],"Lead",1,"MQL",2,"SQL",3,"Customer",4)</f>
        <v>1</v>
      </c>
      <c r="L4387" t="str">
        <f>TEXT(LeadsData[[#This Row],[Signup Date]],"mmm-yyyy")</f>
        <v>Jan-2024</v>
      </c>
      <c r="M4387">
        <f>IF(LeadsData[[#This Row],[Stage Number]]&gt;=2,1,0)</f>
        <v>0</v>
      </c>
      <c r="N4387" s="2">
        <f>IF(LeadsData[[#This Row],[Stage Number]]&gt;=3,1,0)</f>
        <v>0</v>
      </c>
      <c r="O4387" s="2">
        <f>IF(LeadsData[[#This Row],[Stage Number]]&gt;=4,1,0)</f>
        <v>0</v>
      </c>
    </row>
    <row r="4388" spans="1:15" x14ac:dyDescent="0.25">
      <c r="A4388" t="s">
        <v>4428</v>
      </c>
      <c r="B4388" s="1">
        <v>45587</v>
      </c>
      <c r="C4388" t="s">
        <v>31</v>
      </c>
      <c r="D4388" t="s">
        <v>32</v>
      </c>
      <c r="E4388" t="s">
        <v>21</v>
      </c>
      <c r="F4388" t="s">
        <v>22</v>
      </c>
      <c r="G4388" t="s">
        <v>29</v>
      </c>
      <c r="K4388" cm="1">
        <f t="array" ref="K4388">_xlfn.SWITCH(LeadsData[[#This Row],[Funnel Stage Reached]],"Lead",1,"MQL",2,"SQL",3,"Customer",4)</f>
        <v>3</v>
      </c>
      <c r="L4388" t="str">
        <f>TEXT(LeadsData[[#This Row],[Signup Date]],"mmm-yyyy")</f>
        <v>Oct-2024</v>
      </c>
      <c r="M4388">
        <f>IF(LeadsData[[#This Row],[Stage Number]]&gt;=2,1,0)</f>
        <v>1</v>
      </c>
      <c r="N4388" s="2">
        <f>IF(LeadsData[[#This Row],[Stage Number]]&gt;=3,1,0)</f>
        <v>1</v>
      </c>
      <c r="O4388" s="2">
        <f>IF(LeadsData[[#This Row],[Stage Number]]&gt;=4,1,0)</f>
        <v>0</v>
      </c>
    </row>
    <row r="4389" spans="1:15" x14ac:dyDescent="0.25">
      <c r="A4389" t="s">
        <v>4429</v>
      </c>
      <c r="B4389" s="1">
        <v>45633</v>
      </c>
      <c r="C4389" t="s">
        <v>11</v>
      </c>
      <c r="D4389" t="s">
        <v>68</v>
      </c>
      <c r="E4389" t="s">
        <v>13</v>
      </c>
      <c r="F4389" t="s">
        <v>19</v>
      </c>
      <c r="G4389" t="s">
        <v>15</v>
      </c>
      <c r="K4389" cm="1">
        <f t="array" ref="K4389">_xlfn.SWITCH(LeadsData[[#This Row],[Funnel Stage Reached]],"Lead",1,"MQL",2,"SQL",3,"Customer",4)</f>
        <v>1</v>
      </c>
      <c r="L4389" t="str">
        <f>TEXT(LeadsData[[#This Row],[Signup Date]],"mmm-yyyy")</f>
        <v>Dec-2024</v>
      </c>
      <c r="M4389">
        <f>IF(LeadsData[[#This Row],[Stage Number]]&gt;=2,1,0)</f>
        <v>0</v>
      </c>
      <c r="N4389" s="2">
        <f>IF(LeadsData[[#This Row],[Stage Number]]&gt;=3,1,0)</f>
        <v>0</v>
      </c>
      <c r="O4389" s="2">
        <f>IF(LeadsData[[#This Row],[Stage Number]]&gt;=4,1,0)</f>
        <v>0</v>
      </c>
    </row>
    <row r="4390" spans="1:15" x14ac:dyDescent="0.25">
      <c r="A4390" t="s">
        <v>4430</v>
      </c>
      <c r="B4390" s="1">
        <v>45555</v>
      </c>
      <c r="C4390" t="s">
        <v>17</v>
      </c>
      <c r="D4390" t="s">
        <v>18</v>
      </c>
      <c r="E4390" t="s">
        <v>13</v>
      </c>
      <c r="F4390" t="s">
        <v>19</v>
      </c>
      <c r="G4390" t="s">
        <v>42</v>
      </c>
      <c r="H4390">
        <v>23</v>
      </c>
      <c r="I4390" t="s">
        <v>43</v>
      </c>
      <c r="J4390">
        <v>587.01</v>
      </c>
      <c r="K4390" cm="1">
        <f t="array" ref="K4390">_xlfn.SWITCH(LeadsData[[#This Row],[Funnel Stage Reached]],"Lead",1,"MQL",2,"SQL",3,"Customer",4)</f>
        <v>4</v>
      </c>
      <c r="L4390" t="str">
        <f>TEXT(LeadsData[[#This Row],[Signup Date]],"mmm-yyyy")</f>
        <v>Sep-2024</v>
      </c>
      <c r="M4390">
        <f>IF(LeadsData[[#This Row],[Stage Number]]&gt;=2,1,0)</f>
        <v>1</v>
      </c>
      <c r="N4390" s="2">
        <f>IF(LeadsData[[#This Row],[Stage Number]]&gt;=3,1,0)</f>
        <v>1</v>
      </c>
      <c r="O4390" s="2">
        <f>IF(LeadsData[[#This Row],[Stage Number]]&gt;=4,1,0)</f>
        <v>1</v>
      </c>
    </row>
    <row r="4391" spans="1:15" x14ac:dyDescent="0.25">
      <c r="A4391" t="s">
        <v>4431</v>
      </c>
      <c r="B4391" s="1">
        <v>45452</v>
      </c>
      <c r="C4391" t="s">
        <v>17</v>
      </c>
      <c r="D4391" t="s">
        <v>53</v>
      </c>
      <c r="E4391" t="s">
        <v>13</v>
      </c>
      <c r="F4391" t="s">
        <v>19</v>
      </c>
      <c r="G4391" t="s">
        <v>23</v>
      </c>
      <c r="K4391" cm="1">
        <f t="array" ref="K4391">_xlfn.SWITCH(LeadsData[[#This Row],[Funnel Stage Reached]],"Lead",1,"MQL",2,"SQL",3,"Customer",4)</f>
        <v>2</v>
      </c>
      <c r="L4391" t="str">
        <f>TEXT(LeadsData[[#This Row],[Signup Date]],"mmm-yyyy")</f>
        <v>Jun-2024</v>
      </c>
      <c r="M4391">
        <f>IF(LeadsData[[#This Row],[Stage Number]]&gt;=2,1,0)</f>
        <v>1</v>
      </c>
      <c r="N4391" s="2">
        <f>IF(LeadsData[[#This Row],[Stage Number]]&gt;=3,1,0)</f>
        <v>0</v>
      </c>
      <c r="O4391" s="2">
        <f>IF(LeadsData[[#This Row],[Stage Number]]&gt;=4,1,0)</f>
        <v>0</v>
      </c>
    </row>
    <row r="4392" spans="1:15" x14ac:dyDescent="0.25">
      <c r="A4392" t="s">
        <v>4432</v>
      </c>
      <c r="B4392" s="1">
        <v>45654</v>
      </c>
      <c r="C4392" t="s">
        <v>17</v>
      </c>
      <c r="D4392" t="s">
        <v>53</v>
      </c>
      <c r="E4392" t="s">
        <v>21</v>
      </c>
      <c r="F4392" t="s">
        <v>19</v>
      </c>
      <c r="G4392" t="s">
        <v>15</v>
      </c>
      <c r="K4392" cm="1">
        <f t="array" ref="K4392">_xlfn.SWITCH(LeadsData[[#This Row],[Funnel Stage Reached]],"Lead",1,"MQL",2,"SQL",3,"Customer",4)</f>
        <v>1</v>
      </c>
      <c r="L4392" t="str">
        <f>TEXT(LeadsData[[#This Row],[Signup Date]],"mmm-yyyy")</f>
        <v>Dec-2024</v>
      </c>
      <c r="M4392">
        <f>IF(LeadsData[[#This Row],[Stage Number]]&gt;=2,1,0)</f>
        <v>0</v>
      </c>
      <c r="N4392" s="2">
        <f>IF(LeadsData[[#This Row],[Stage Number]]&gt;=3,1,0)</f>
        <v>0</v>
      </c>
      <c r="O4392" s="2">
        <f>IF(LeadsData[[#This Row],[Stage Number]]&gt;=4,1,0)</f>
        <v>0</v>
      </c>
    </row>
    <row r="4393" spans="1:15" x14ac:dyDescent="0.25">
      <c r="A4393" t="s">
        <v>4433</v>
      </c>
      <c r="B4393" s="1">
        <v>45569</v>
      </c>
      <c r="C4393" t="s">
        <v>11</v>
      </c>
      <c r="D4393" t="s">
        <v>12</v>
      </c>
      <c r="E4393" t="s">
        <v>13</v>
      </c>
      <c r="F4393" t="s">
        <v>28</v>
      </c>
      <c r="G4393" t="s">
        <v>15</v>
      </c>
      <c r="K4393" cm="1">
        <f t="array" ref="K4393">_xlfn.SWITCH(LeadsData[[#This Row],[Funnel Stage Reached]],"Lead",1,"MQL",2,"SQL",3,"Customer",4)</f>
        <v>1</v>
      </c>
      <c r="L4393" t="str">
        <f>TEXT(LeadsData[[#This Row],[Signup Date]],"mmm-yyyy")</f>
        <v>Oct-2024</v>
      </c>
      <c r="M4393">
        <f>IF(LeadsData[[#This Row],[Stage Number]]&gt;=2,1,0)</f>
        <v>0</v>
      </c>
      <c r="N4393" s="2">
        <f>IF(LeadsData[[#This Row],[Stage Number]]&gt;=3,1,0)</f>
        <v>0</v>
      </c>
      <c r="O4393" s="2">
        <f>IF(LeadsData[[#This Row],[Stage Number]]&gt;=4,1,0)</f>
        <v>0</v>
      </c>
    </row>
    <row r="4394" spans="1:15" x14ac:dyDescent="0.25">
      <c r="A4394" t="s">
        <v>4434</v>
      </c>
      <c r="B4394" s="1">
        <v>45494</v>
      </c>
      <c r="C4394" t="s">
        <v>25</v>
      </c>
      <c r="D4394" t="s">
        <v>26</v>
      </c>
      <c r="E4394" t="s">
        <v>48</v>
      </c>
      <c r="F4394" t="s">
        <v>19</v>
      </c>
      <c r="G4394" t="s">
        <v>29</v>
      </c>
      <c r="K4394" cm="1">
        <f t="array" ref="K4394">_xlfn.SWITCH(LeadsData[[#This Row],[Funnel Stage Reached]],"Lead",1,"MQL",2,"SQL",3,"Customer",4)</f>
        <v>3</v>
      </c>
      <c r="L4394" t="str">
        <f>TEXT(LeadsData[[#This Row],[Signup Date]],"mmm-yyyy")</f>
        <v>Jul-2024</v>
      </c>
      <c r="M4394">
        <f>IF(LeadsData[[#This Row],[Stage Number]]&gt;=2,1,0)</f>
        <v>1</v>
      </c>
      <c r="N4394" s="2">
        <f>IF(LeadsData[[#This Row],[Stage Number]]&gt;=3,1,0)</f>
        <v>1</v>
      </c>
      <c r="O4394" s="2">
        <f>IF(LeadsData[[#This Row],[Stage Number]]&gt;=4,1,0)</f>
        <v>0</v>
      </c>
    </row>
    <row r="4395" spans="1:15" x14ac:dyDescent="0.25">
      <c r="A4395" t="s">
        <v>4435</v>
      </c>
      <c r="B4395" s="1">
        <v>45378</v>
      </c>
      <c r="C4395" t="s">
        <v>25</v>
      </c>
      <c r="D4395" t="s">
        <v>26</v>
      </c>
      <c r="E4395" t="s">
        <v>13</v>
      </c>
      <c r="F4395" t="s">
        <v>19</v>
      </c>
      <c r="G4395" t="s">
        <v>15</v>
      </c>
      <c r="K4395" cm="1">
        <f t="array" ref="K4395">_xlfn.SWITCH(LeadsData[[#This Row],[Funnel Stage Reached]],"Lead",1,"MQL",2,"SQL",3,"Customer",4)</f>
        <v>1</v>
      </c>
      <c r="L4395" t="str">
        <f>TEXT(LeadsData[[#This Row],[Signup Date]],"mmm-yyyy")</f>
        <v>Mar-2024</v>
      </c>
      <c r="M4395">
        <f>IF(LeadsData[[#This Row],[Stage Number]]&gt;=2,1,0)</f>
        <v>0</v>
      </c>
      <c r="N4395" s="2">
        <f>IF(LeadsData[[#This Row],[Stage Number]]&gt;=3,1,0)</f>
        <v>0</v>
      </c>
      <c r="O4395" s="2">
        <f>IF(LeadsData[[#This Row],[Stage Number]]&gt;=4,1,0)</f>
        <v>0</v>
      </c>
    </row>
    <row r="4396" spans="1:15" x14ac:dyDescent="0.25">
      <c r="A4396" t="s">
        <v>4436</v>
      </c>
      <c r="B4396" s="1">
        <v>45592</v>
      </c>
      <c r="C4396" t="s">
        <v>11</v>
      </c>
      <c r="D4396" t="s">
        <v>68</v>
      </c>
      <c r="E4396" t="s">
        <v>21</v>
      </c>
      <c r="F4396" t="s">
        <v>28</v>
      </c>
      <c r="G4396" t="s">
        <v>15</v>
      </c>
      <c r="K4396" cm="1">
        <f t="array" ref="K4396">_xlfn.SWITCH(LeadsData[[#This Row],[Funnel Stage Reached]],"Lead",1,"MQL",2,"SQL",3,"Customer",4)</f>
        <v>1</v>
      </c>
      <c r="L4396" t="str">
        <f>TEXT(LeadsData[[#This Row],[Signup Date]],"mmm-yyyy")</f>
        <v>Oct-2024</v>
      </c>
      <c r="M4396">
        <f>IF(LeadsData[[#This Row],[Stage Number]]&gt;=2,1,0)</f>
        <v>0</v>
      </c>
      <c r="N4396" s="2">
        <f>IF(LeadsData[[#This Row],[Stage Number]]&gt;=3,1,0)</f>
        <v>0</v>
      </c>
      <c r="O4396" s="2">
        <f>IF(LeadsData[[#This Row],[Stage Number]]&gt;=4,1,0)</f>
        <v>0</v>
      </c>
    </row>
    <row r="4397" spans="1:15" x14ac:dyDescent="0.25">
      <c r="A4397" t="s">
        <v>4437</v>
      </c>
      <c r="B4397" s="1">
        <v>45548</v>
      </c>
      <c r="C4397" t="s">
        <v>36</v>
      </c>
      <c r="D4397" t="s">
        <v>50</v>
      </c>
      <c r="E4397" t="s">
        <v>21</v>
      </c>
      <c r="F4397" t="s">
        <v>19</v>
      </c>
      <c r="G4397" t="s">
        <v>23</v>
      </c>
      <c r="K4397" cm="1">
        <f t="array" ref="K4397">_xlfn.SWITCH(LeadsData[[#This Row],[Funnel Stage Reached]],"Lead",1,"MQL",2,"SQL",3,"Customer",4)</f>
        <v>2</v>
      </c>
      <c r="L4397" t="str">
        <f>TEXT(LeadsData[[#This Row],[Signup Date]],"mmm-yyyy")</f>
        <v>Sep-2024</v>
      </c>
      <c r="M4397">
        <f>IF(LeadsData[[#This Row],[Stage Number]]&gt;=2,1,0)</f>
        <v>1</v>
      </c>
      <c r="N4397" s="2">
        <f>IF(LeadsData[[#This Row],[Stage Number]]&gt;=3,1,0)</f>
        <v>0</v>
      </c>
      <c r="O4397" s="2">
        <f>IF(LeadsData[[#This Row],[Stage Number]]&gt;=4,1,0)</f>
        <v>0</v>
      </c>
    </row>
    <row r="4398" spans="1:15" x14ac:dyDescent="0.25">
      <c r="A4398" t="s">
        <v>4438</v>
      </c>
      <c r="B4398" s="1">
        <v>45518</v>
      </c>
      <c r="C4398" t="s">
        <v>31</v>
      </c>
      <c r="D4398" t="s">
        <v>34</v>
      </c>
      <c r="E4398" t="s">
        <v>21</v>
      </c>
      <c r="F4398" t="s">
        <v>19</v>
      </c>
      <c r="G4398" t="s">
        <v>23</v>
      </c>
      <c r="K4398" cm="1">
        <f t="array" ref="K4398">_xlfn.SWITCH(LeadsData[[#This Row],[Funnel Stage Reached]],"Lead",1,"MQL",2,"SQL",3,"Customer",4)</f>
        <v>2</v>
      </c>
      <c r="L4398" t="str">
        <f>TEXT(LeadsData[[#This Row],[Signup Date]],"mmm-yyyy")</f>
        <v>Aug-2024</v>
      </c>
      <c r="M4398">
        <f>IF(LeadsData[[#This Row],[Stage Number]]&gt;=2,1,0)</f>
        <v>1</v>
      </c>
      <c r="N4398" s="2">
        <f>IF(LeadsData[[#This Row],[Stage Number]]&gt;=3,1,0)</f>
        <v>0</v>
      </c>
      <c r="O4398" s="2">
        <f>IF(LeadsData[[#This Row],[Stage Number]]&gt;=4,1,0)</f>
        <v>0</v>
      </c>
    </row>
    <row r="4399" spans="1:15" x14ac:dyDescent="0.25">
      <c r="A4399" t="s">
        <v>4439</v>
      </c>
      <c r="B4399" s="1">
        <v>45582</v>
      </c>
      <c r="C4399" t="s">
        <v>25</v>
      </c>
      <c r="D4399" t="s">
        <v>26</v>
      </c>
      <c r="E4399" t="s">
        <v>13</v>
      </c>
      <c r="F4399" t="s">
        <v>14</v>
      </c>
      <c r="G4399" t="s">
        <v>29</v>
      </c>
      <c r="K4399" cm="1">
        <f t="array" ref="K4399">_xlfn.SWITCH(LeadsData[[#This Row],[Funnel Stage Reached]],"Lead",1,"MQL",2,"SQL",3,"Customer",4)</f>
        <v>3</v>
      </c>
      <c r="L4399" t="str">
        <f>TEXT(LeadsData[[#This Row],[Signup Date]],"mmm-yyyy")</f>
        <v>Oct-2024</v>
      </c>
      <c r="M4399">
        <f>IF(LeadsData[[#This Row],[Stage Number]]&gt;=2,1,0)</f>
        <v>1</v>
      </c>
      <c r="N4399" s="2">
        <f>IF(LeadsData[[#This Row],[Stage Number]]&gt;=3,1,0)</f>
        <v>1</v>
      </c>
      <c r="O4399" s="2">
        <f>IF(LeadsData[[#This Row],[Stage Number]]&gt;=4,1,0)</f>
        <v>0</v>
      </c>
    </row>
    <row r="4400" spans="1:15" x14ac:dyDescent="0.25">
      <c r="A4400" t="s">
        <v>4440</v>
      </c>
      <c r="B4400" s="1">
        <v>45639</v>
      </c>
      <c r="C4400" t="s">
        <v>31</v>
      </c>
      <c r="D4400" t="s">
        <v>34</v>
      </c>
      <c r="E4400" t="s">
        <v>48</v>
      </c>
      <c r="F4400" t="s">
        <v>19</v>
      </c>
      <c r="G4400" t="s">
        <v>23</v>
      </c>
      <c r="K4400" cm="1">
        <f t="array" ref="K4400">_xlfn.SWITCH(LeadsData[[#This Row],[Funnel Stage Reached]],"Lead",1,"MQL",2,"SQL",3,"Customer",4)</f>
        <v>2</v>
      </c>
      <c r="L4400" t="str">
        <f>TEXT(LeadsData[[#This Row],[Signup Date]],"mmm-yyyy")</f>
        <v>Dec-2024</v>
      </c>
      <c r="M4400">
        <f>IF(LeadsData[[#This Row],[Stage Number]]&gt;=2,1,0)</f>
        <v>1</v>
      </c>
      <c r="N4400" s="2">
        <f>IF(LeadsData[[#This Row],[Stage Number]]&gt;=3,1,0)</f>
        <v>0</v>
      </c>
      <c r="O4400" s="2">
        <f>IF(LeadsData[[#This Row],[Stage Number]]&gt;=4,1,0)</f>
        <v>0</v>
      </c>
    </row>
    <row r="4401" spans="1:15" x14ac:dyDescent="0.25">
      <c r="A4401" t="s">
        <v>4441</v>
      </c>
      <c r="B4401" s="1">
        <v>45577</v>
      </c>
      <c r="C4401" t="s">
        <v>25</v>
      </c>
      <c r="D4401" t="s">
        <v>26</v>
      </c>
      <c r="E4401" t="s">
        <v>13</v>
      </c>
      <c r="F4401" t="s">
        <v>19</v>
      </c>
      <c r="G4401" t="s">
        <v>23</v>
      </c>
      <c r="K4401" cm="1">
        <f t="array" ref="K4401">_xlfn.SWITCH(LeadsData[[#This Row],[Funnel Stage Reached]],"Lead",1,"MQL",2,"SQL",3,"Customer",4)</f>
        <v>2</v>
      </c>
      <c r="L4401" t="str">
        <f>TEXT(LeadsData[[#This Row],[Signup Date]],"mmm-yyyy")</f>
        <v>Oct-2024</v>
      </c>
      <c r="M4401">
        <f>IF(LeadsData[[#This Row],[Stage Number]]&gt;=2,1,0)</f>
        <v>1</v>
      </c>
      <c r="N4401" s="2">
        <f>IF(LeadsData[[#This Row],[Stage Number]]&gt;=3,1,0)</f>
        <v>0</v>
      </c>
      <c r="O4401" s="2">
        <f>IF(LeadsData[[#This Row],[Stage Number]]&gt;=4,1,0)</f>
        <v>0</v>
      </c>
    </row>
    <row r="4402" spans="1:15" x14ac:dyDescent="0.25">
      <c r="A4402" t="s">
        <v>4442</v>
      </c>
      <c r="B4402" s="1">
        <v>45435</v>
      </c>
      <c r="C4402" t="s">
        <v>31</v>
      </c>
      <c r="D4402" t="s">
        <v>32</v>
      </c>
      <c r="E4402" t="s">
        <v>21</v>
      </c>
      <c r="F4402" t="s">
        <v>22</v>
      </c>
      <c r="G4402" t="s">
        <v>29</v>
      </c>
      <c r="K4402" cm="1">
        <f t="array" ref="K4402">_xlfn.SWITCH(LeadsData[[#This Row],[Funnel Stage Reached]],"Lead",1,"MQL",2,"SQL",3,"Customer",4)</f>
        <v>3</v>
      </c>
      <c r="L4402" t="str">
        <f>TEXT(LeadsData[[#This Row],[Signup Date]],"mmm-yyyy")</f>
        <v>May-2024</v>
      </c>
      <c r="M4402">
        <f>IF(LeadsData[[#This Row],[Stage Number]]&gt;=2,1,0)</f>
        <v>1</v>
      </c>
      <c r="N4402" s="2">
        <f>IF(LeadsData[[#This Row],[Stage Number]]&gt;=3,1,0)</f>
        <v>1</v>
      </c>
      <c r="O4402" s="2">
        <f>IF(LeadsData[[#This Row],[Stage Number]]&gt;=4,1,0)</f>
        <v>0</v>
      </c>
    </row>
    <row r="4403" spans="1:15" x14ac:dyDescent="0.25">
      <c r="A4403" t="s">
        <v>4443</v>
      </c>
      <c r="B4403" s="1">
        <v>45413</v>
      </c>
      <c r="C4403" t="s">
        <v>36</v>
      </c>
      <c r="D4403" t="s">
        <v>37</v>
      </c>
      <c r="E4403" t="s">
        <v>13</v>
      </c>
      <c r="F4403" t="s">
        <v>19</v>
      </c>
      <c r="G4403" t="s">
        <v>23</v>
      </c>
      <c r="K4403" cm="1">
        <f t="array" ref="K4403">_xlfn.SWITCH(LeadsData[[#This Row],[Funnel Stage Reached]],"Lead",1,"MQL",2,"SQL",3,"Customer",4)</f>
        <v>2</v>
      </c>
      <c r="L4403" t="str">
        <f>TEXT(LeadsData[[#This Row],[Signup Date]],"mmm-yyyy")</f>
        <v>May-2024</v>
      </c>
      <c r="M4403">
        <f>IF(LeadsData[[#This Row],[Stage Number]]&gt;=2,1,0)</f>
        <v>1</v>
      </c>
      <c r="N4403" s="2">
        <f>IF(LeadsData[[#This Row],[Stage Number]]&gt;=3,1,0)</f>
        <v>0</v>
      </c>
      <c r="O4403" s="2">
        <f>IF(LeadsData[[#This Row],[Stage Number]]&gt;=4,1,0)</f>
        <v>0</v>
      </c>
    </row>
    <row r="4404" spans="1:15" x14ac:dyDescent="0.25">
      <c r="A4404" t="s">
        <v>4444</v>
      </c>
      <c r="B4404" s="1">
        <v>45570</v>
      </c>
      <c r="C4404" t="s">
        <v>25</v>
      </c>
      <c r="D4404" t="s">
        <v>26</v>
      </c>
      <c r="E4404" t="s">
        <v>13</v>
      </c>
      <c r="F4404" t="s">
        <v>19</v>
      </c>
      <c r="G4404" t="s">
        <v>15</v>
      </c>
      <c r="K4404" cm="1">
        <f t="array" ref="K4404">_xlfn.SWITCH(LeadsData[[#This Row],[Funnel Stage Reached]],"Lead",1,"MQL",2,"SQL",3,"Customer",4)</f>
        <v>1</v>
      </c>
      <c r="L4404" t="str">
        <f>TEXT(LeadsData[[#This Row],[Signup Date]],"mmm-yyyy")</f>
        <v>Oct-2024</v>
      </c>
      <c r="M4404">
        <f>IF(LeadsData[[#This Row],[Stage Number]]&gt;=2,1,0)</f>
        <v>0</v>
      </c>
      <c r="N4404" s="2">
        <f>IF(LeadsData[[#This Row],[Stage Number]]&gt;=3,1,0)</f>
        <v>0</v>
      </c>
      <c r="O4404" s="2">
        <f>IF(LeadsData[[#This Row],[Stage Number]]&gt;=4,1,0)</f>
        <v>0</v>
      </c>
    </row>
    <row r="4405" spans="1:15" x14ac:dyDescent="0.25">
      <c r="A4405" t="s">
        <v>4445</v>
      </c>
      <c r="B4405" s="1">
        <v>45300</v>
      </c>
      <c r="C4405" t="s">
        <v>25</v>
      </c>
      <c r="D4405" t="s">
        <v>26</v>
      </c>
      <c r="E4405" t="s">
        <v>13</v>
      </c>
      <c r="F4405" t="s">
        <v>14</v>
      </c>
      <c r="G4405" t="s">
        <v>29</v>
      </c>
      <c r="K4405" cm="1">
        <f t="array" ref="K4405">_xlfn.SWITCH(LeadsData[[#This Row],[Funnel Stage Reached]],"Lead",1,"MQL",2,"SQL",3,"Customer",4)</f>
        <v>3</v>
      </c>
      <c r="L4405" t="str">
        <f>TEXT(LeadsData[[#This Row],[Signup Date]],"mmm-yyyy")</f>
        <v>Jan-2024</v>
      </c>
      <c r="M4405">
        <f>IF(LeadsData[[#This Row],[Stage Number]]&gt;=2,1,0)</f>
        <v>1</v>
      </c>
      <c r="N4405" s="2">
        <f>IF(LeadsData[[#This Row],[Stage Number]]&gt;=3,1,0)</f>
        <v>1</v>
      </c>
      <c r="O4405" s="2">
        <f>IF(LeadsData[[#This Row],[Stage Number]]&gt;=4,1,0)</f>
        <v>0</v>
      </c>
    </row>
    <row r="4406" spans="1:15" x14ac:dyDescent="0.25">
      <c r="A4406" t="s">
        <v>4446</v>
      </c>
      <c r="B4406" s="1">
        <v>45319</v>
      </c>
      <c r="C4406" t="s">
        <v>17</v>
      </c>
      <c r="D4406" t="s">
        <v>18</v>
      </c>
      <c r="E4406" t="s">
        <v>13</v>
      </c>
      <c r="F4406" t="s">
        <v>22</v>
      </c>
      <c r="G4406" t="s">
        <v>15</v>
      </c>
      <c r="K4406" cm="1">
        <f t="array" ref="K4406">_xlfn.SWITCH(LeadsData[[#This Row],[Funnel Stage Reached]],"Lead",1,"MQL",2,"SQL",3,"Customer",4)</f>
        <v>1</v>
      </c>
      <c r="L4406" t="str">
        <f>TEXT(LeadsData[[#This Row],[Signup Date]],"mmm-yyyy")</f>
        <v>Jan-2024</v>
      </c>
      <c r="M4406">
        <f>IF(LeadsData[[#This Row],[Stage Number]]&gt;=2,1,0)</f>
        <v>0</v>
      </c>
      <c r="N4406" s="2">
        <f>IF(LeadsData[[#This Row],[Stage Number]]&gt;=3,1,0)</f>
        <v>0</v>
      </c>
      <c r="O4406" s="2">
        <f>IF(LeadsData[[#This Row],[Stage Number]]&gt;=4,1,0)</f>
        <v>0</v>
      </c>
    </row>
    <row r="4407" spans="1:15" x14ac:dyDescent="0.25">
      <c r="A4407" t="s">
        <v>4447</v>
      </c>
      <c r="B4407" s="1">
        <v>45597</v>
      </c>
      <c r="C4407" t="s">
        <v>31</v>
      </c>
      <c r="D4407" t="s">
        <v>34</v>
      </c>
      <c r="E4407" t="s">
        <v>13</v>
      </c>
      <c r="F4407" t="s">
        <v>19</v>
      </c>
      <c r="G4407" t="s">
        <v>23</v>
      </c>
      <c r="K4407" cm="1">
        <f t="array" ref="K4407">_xlfn.SWITCH(LeadsData[[#This Row],[Funnel Stage Reached]],"Lead",1,"MQL",2,"SQL",3,"Customer",4)</f>
        <v>2</v>
      </c>
      <c r="L4407" t="str">
        <f>TEXT(LeadsData[[#This Row],[Signup Date]],"mmm-yyyy")</f>
        <v>Nov-2024</v>
      </c>
      <c r="M4407">
        <f>IF(LeadsData[[#This Row],[Stage Number]]&gt;=2,1,0)</f>
        <v>1</v>
      </c>
      <c r="N4407" s="2">
        <f>IF(LeadsData[[#This Row],[Stage Number]]&gt;=3,1,0)</f>
        <v>0</v>
      </c>
      <c r="O4407" s="2">
        <f>IF(LeadsData[[#This Row],[Stage Number]]&gt;=4,1,0)</f>
        <v>0</v>
      </c>
    </row>
    <row r="4408" spans="1:15" x14ac:dyDescent="0.25">
      <c r="A4408" t="s">
        <v>4448</v>
      </c>
      <c r="B4408" s="1">
        <v>45633</v>
      </c>
      <c r="C4408" t="s">
        <v>17</v>
      </c>
      <c r="D4408" t="s">
        <v>18</v>
      </c>
      <c r="E4408" t="s">
        <v>13</v>
      </c>
      <c r="F4408" t="s">
        <v>14</v>
      </c>
      <c r="G4408" t="s">
        <v>29</v>
      </c>
      <c r="K4408" cm="1">
        <f t="array" ref="K4408">_xlfn.SWITCH(LeadsData[[#This Row],[Funnel Stage Reached]],"Lead",1,"MQL",2,"SQL",3,"Customer",4)</f>
        <v>3</v>
      </c>
      <c r="L4408" t="str">
        <f>TEXT(LeadsData[[#This Row],[Signup Date]],"mmm-yyyy")</f>
        <v>Dec-2024</v>
      </c>
      <c r="M4408">
        <f>IF(LeadsData[[#This Row],[Stage Number]]&gt;=2,1,0)</f>
        <v>1</v>
      </c>
      <c r="N4408" s="2">
        <f>IF(LeadsData[[#This Row],[Stage Number]]&gt;=3,1,0)</f>
        <v>1</v>
      </c>
      <c r="O4408" s="2">
        <f>IF(LeadsData[[#This Row],[Stage Number]]&gt;=4,1,0)</f>
        <v>0</v>
      </c>
    </row>
    <row r="4409" spans="1:15" x14ac:dyDescent="0.25">
      <c r="A4409" t="s">
        <v>4449</v>
      </c>
      <c r="B4409" s="1">
        <v>45644</v>
      </c>
      <c r="C4409" t="s">
        <v>31</v>
      </c>
      <c r="D4409" t="s">
        <v>32</v>
      </c>
      <c r="E4409" t="s">
        <v>13</v>
      </c>
      <c r="F4409" t="s">
        <v>14</v>
      </c>
      <c r="G4409" t="s">
        <v>42</v>
      </c>
      <c r="H4409">
        <v>12</v>
      </c>
      <c r="I4409" t="s">
        <v>87</v>
      </c>
      <c r="J4409">
        <v>4157.3500000000004</v>
      </c>
      <c r="K4409" cm="1">
        <f t="array" ref="K4409">_xlfn.SWITCH(LeadsData[[#This Row],[Funnel Stage Reached]],"Lead",1,"MQL",2,"SQL",3,"Customer",4)</f>
        <v>4</v>
      </c>
      <c r="L4409" t="str">
        <f>TEXT(LeadsData[[#This Row],[Signup Date]],"mmm-yyyy")</f>
        <v>Dec-2024</v>
      </c>
      <c r="M4409">
        <f>IF(LeadsData[[#This Row],[Stage Number]]&gt;=2,1,0)</f>
        <v>1</v>
      </c>
      <c r="N4409" s="2">
        <f>IF(LeadsData[[#This Row],[Stage Number]]&gt;=3,1,0)</f>
        <v>1</v>
      </c>
      <c r="O4409" s="2">
        <f>IF(LeadsData[[#This Row],[Stage Number]]&gt;=4,1,0)</f>
        <v>1</v>
      </c>
    </row>
    <row r="4410" spans="1:15" x14ac:dyDescent="0.25">
      <c r="A4410" t="s">
        <v>4450</v>
      </c>
      <c r="B4410" s="1">
        <v>45647</v>
      </c>
      <c r="C4410" t="s">
        <v>25</v>
      </c>
      <c r="D4410" t="s">
        <v>26</v>
      </c>
      <c r="E4410" t="s">
        <v>13</v>
      </c>
      <c r="F4410" t="s">
        <v>14</v>
      </c>
      <c r="G4410" t="s">
        <v>15</v>
      </c>
      <c r="K4410" cm="1">
        <f t="array" ref="K4410">_xlfn.SWITCH(LeadsData[[#This Row],[Funnel Stage Reached]],"Lead",1,"MQL",2,"SQL",3,"Customer",4)</f>
        <v>1</v>
      </c>
      <c r="L4410" t="str">
        <f>TEXT(LeadsData[[#This Row],[Signup Date]],"mmm-yyyy")</f>
        <v>Dec-2024</v>
      </c>
      <c r="M4410">
        <f>IF(LeadsData[[#This Row],[Stage Number]]&gt;=2,1,0)</f>
        <v>0</v>
      </c>
      <c r="N4410" s="2">
        <f>IF(LeadsData[[#This Row],[Stage Number]]&gt;=3,1,0)</f>
        <v>0</v>
      </c>
      <c r="O4410" s="2">
        <f>IF(LeadsData[[#This Row],[Stage Number]]&gt;=4,1,0)</f>
        <v>0</v>
      </c>
    </row>
    <row r="4411" spans="1:15" x14ac:dyDescent="0.25">
      <c r="A4411" t="s">
        <v>4451</v>
      </c>
      <c r="B4411" s="1">
        <v>45395</v>
      </c>
      <c r="C4411" t="s">
        <v>25</v>
      </c>
      <c r="D4411" t="s">
        <v>26</v>
      </c>
      <c r="E4411" t="s">
        <v>13</v>
      </c>
      <c r="F4411" t="s">
        <v>19</v>
      </c>
      <c r="G4411" t="s">
        <v>23</v>
      </c>
      <c r="K4411" cm="1">
        <f t="array" ref="K4411">_xlfn.SWITCH(LeadsData[[#This Row],[Funnel Stage Reached]],"Lead",1,"MQL",2,"SQL",3,"Customer",4)</f>
        <v>2</v>
      </c>
      <c r="L4411" t="str">
        <f>TEXT(LeadsData[[#This Row],[Signup Date]],"mmm-yyyy")</f>
        <v>Apr-2024</v>
      </c>
      <c r="M4411">
        <f>IF(LeadsData[[#This Row],[Stage Number]]&gt;=2,1,0)</f>
        <v>1</v>
      </c>
      <c r="N4411" s="2">
        <f>IF(LeadsData[[#This Row],[Stage Number]]&gt;=3,1,0)</f>
        <v>0</v>
      </c>
      <c r="O4411" s="2">
        <f>IF(LeadsData[[#This Row],[Stage Number]]&gt;=4,1,0)</f>
        <v>0</v>
      </c>
    </row>
    <row r="4412" spans="1:15" x14ac:dyDescent="0.25">
      <c r="A4412" t="s">
        <v>4452</v>
      </c>
      <c r="B4412" s="1">
        <v>45491</v>
      </c>
      <c r="C4412" t="s">
        <v>46</v>
      </c>
      <c r="D4412" t="s">
        <v>47</v>
      </c>
      <c r="E4412" t="s">
        <v>13</v>
      </c>
      <c r="F4412" t="s">
        <v>22</v>
      </c>
      <c r="G4412" t="s">
        <v>15</v>
      </c>
      <c r="K4412" cm="1">
        <f t="array" ref="K4412">_xlfn.SWITCH(LeadsData[[#This Row],[Funnel Stage Reached]],"Lead",1,"MQL",2,"SQL",3,"Customer",4)</f>
        <v>1</v>
      </c>
      <c r="L4412" t="str">
        <f>TEXT(LeadsData[[#This Row],[Signup Date]],"mmm-yyyy")</f>
        <v>Jul-2024</v>
      </c>
      <c r="M4412">
        <f>IF(LeadsData[[#This Row],[Stage Number]]&gt;=2,1,0)</f>
        <v>0</v>
      </c>
      <c r="N4412" s="2">
        <f>IF(LeadsData[[#This Row],[Stage Number]]&gt;=3,1,0)</f>
        <v>0</v>
      </c>
      <c r="O4412" s="2">
        <f>IF(LeadsData[[#This Row],[Stage Number]]&gt;=4,1,0)</f>
        <v>0</v>
      </c>
    </row>
    <row r="4413" spans="1:15" x14ac:dyDescent="0.25">
      <c r="A4413" t="s">
        <v>4453</v>
      </c>
      <c r="B4413" s="1">
        <v>45324</v>
      </c>
      <c r="C4413" t="s">
        <v>25</v>
      </c>
      <c r="D4413" t="s">
        <v>26</v>
      </c>
      <c r="E4413" t="s">
        <v>21</v>
      </c>
      <c r="F4413" t="s">
        <v>22</v>
      </c>
      <c r="G4413" t="s">
        <v>15</v>
      </c>
      <c r="K4413" cm="1">
        <f t="array" ref="K4413">_xlfn.SWITCH(LeadsData[[#This Row],[Funnel Stage Reached]],"Lead",1,"MQL",2,"SQL",3,"Customer",4)</f>
        <v>1</v>
      </c>
      <c r="L4413" t="str">
        <f>TEXT(LeadsData[[#This Row],[Signup Date]],"mmm-yyyy")</f>
        <v>Feb-2024</v>
      </c>
      <c r="M4413">
        <f>IF(LeadsData[[#This Row],[Stage Number]]&gt;=2,1,0)</f>
        <v>0</v>
      </c>
      <c r="N4413" s="2">
        <f>IF(LeadsData[[#This Row],[Stage Number]]&gt;=3,1,0)</f>
        <v>0</v>
      </c>
      <c r="O4413" s="2">
        <f>IF(LeadsData[[#This Row],[Stage Number]]&gt;=4,1,0)</f>
        <v>0</v>
      </c>
    </row>
    <row r="4414" spans="1:15" x14ac:dyDescent="0.25">
      <c r="A4414" t="s">
        <v>4454</v>
      </c>
      <c r="B4414" s="1">
        <v>45651</v>
      </c>
      <c r="C4414" t="s">
        <v>46</v>
      </c>
      <c r="D4414" t="s">
        <v>47</v>
      </c>
      <c r="E4414" t="s">
        <v>13</v>
      </c>
      <c r="F4414" t="s">
        <v>22</v>
      </c>
      <c r="G4414" t="s">
        <v>15</v>
      </c>
      <c r="K4414" cm="1">
        <f t="array" ref="K4414">_xlfn.SWITCH(LeadsData[[#This Row],[Funnel Stage Reached]],"Lead",1,"MQL",2,"SQL",3,"Customer",4)</f>
        <v>1</v>
      </c>
      <c r="L4414" t="str">
        <f>TEXT(LeadsData[[#This Row],[Signup Date]],"mmm-yyyy")</f>
        <v>Dec-2024</v>
      </c>
      <c r="M4414">
        <f>IF(LeadsData[[#This Row],[Stage Number]]&gt;=2,1,0)</f>
        <v>0</v>
      </c>
      <c r="N4414" s="2">
        <f>IF(LeadsData[[#This Row],[Stage Number]]&gt;=3,1,0)</f>
        <v>0</v>
      </c>
      <c r="O4414" s="2">
        <f>IF(LeadsData[[#This Row],[Stage Number]]&gt;=4,1,0)</f>
        <v>0</v>
      </c>
    </row>
    <row r="4415" spans="1:15" x14ac:dyDescent="0.25">
      <c r="A4415" t="s">
        <v>4455</v>
      </c>
      <c r="B4415" s="1">
        <v>45428</v>
      </c>
      <c r="C4415" t="s">
        <v>11</v>
      </c>
      <c r="D4415" t="s">
        <v>12</v>
      </c>
      <c r="E4415" t="s">
        <v>13</v>
      </c>
      <c r="F4415" t="s">
        <v>19</v>
      </c>
      <c r="G4415" t="s">
        <v>15</v>
      </c>
      <c r="K4415" cm="1">
        <f t="array" ref="K4415">_xlfn.SWITCH(LeadsData[[#This Row],[Funnel Stage Reached]],"Lead",1,"MQL",2,"SQL",3,"Customer",4)</f>
        <v>1</v>
      </c>
      <c r="L4415" t="str">
        <f>TEXT(LeadsData[[#This Row],[Signup Date]],"mmm-yyyy")</f>
        <v>May-2024</v>
      </c>
      <c r="M4415">
        <f>IF(LeadsData[[#This Row],[Stage Number]]&gt;=2,1,0)</f>
        <v>0</v>
      </c>
      <c r="N4415" s="2">
        <f>IF(LeadsData[[#This Row],[Stage Number]]&gt;=3,1,0)</f>
        <v>0</v>
      </c>
      <c r="O4415" s="2">
        <f>IF(LeadsData[[#This Row],[Stage Number]]&gt;=4,1,0)</f>
        <v>0</v>
      </c>
    </row>
    <row r="4416" spans="1:15" x14ac:dyDescent="0.25">
      <c r="A4416" t="s">
        <v>4456</v>
      </c>
      <c r="B4416" s="1">
        <v>45514</v>
      </c>
      <c r="C4416" t="s">
        <v>11</v>
      </c>
      <c r="D4416" t="s">
        <v>68</v>
      </c>
      <c r="E4416" t="s">
        <v>13</v>
      </c>
      <c r="F4416" t="s">
        <v>19</v>
      </c>
      <c r="G4416" t="s">
        <v>15</v>
      </c>
      <c r="K4416" cm="1">
        <f t="array" ref="K4416">_xlfn.SWITCH(LeadsData[[#This Row],[Funnel Stage Reached]],"Lead",1,"MQL",2,"SQL",3,"Customer",4)</f>
        <v>1</v>
      </c>
      <c r="L4416" t="str">
        <f>TEXT(LeadsData[[#This Row],[Signup Date]],"mmm-yyyy")</f>
        <v>Aug-2024</v>
      </c>
      <c r="M4416">
        <f>IF(LeadsData[[#This Row],[Stage Number]]&gt;=2,1,0)</f>
        <v>0</v>
      </c>
      <c r="N4416" s="2">
        <f>IF(LeadsData[[#This Row],[Stage Number]]&gt;=3,1,0)</f>
        <v>0</v>
      </c>
      <c r="O4416" s="2">
        <f>IF(LeadsData[[#This Row],[Stage Number]]&gt;=4,1,0)</f>
        <v>0</v>
      </c>
    </row>
    <row r="4417" spans="1:15" x14ac:dyDescent="0.25">
      <c r="A4417" t="s">
        <v>4457</v>
      </c>
      <c r="B4417" s="1">
        <v>45600</v>
      </c>
      <c r="C4417" t="s">
        <v>11</v>
      </c>
      <c r="D4417" t="s">
        <v>79</v>
      </c>
      <c r="E4417" t="s">
        <v>21</v>
      </c>
      <c r="F4417" t="s">
        <v>19</v>
      </c>
      <c r="G4417" t="s">
        <v>15</v>
      </c>
      <c r="K4417" cm="1">
        <f t="array" ref="K4417">_xlfn.SWITCH(LeadsData[[#This Row],[Funnel Stage Reached]],"Lead",1,"MQL",2,"SQL",3,"Customer",4)</f>
        <v>1</v>
      </c>
      <c r="L4417" t="str">
        <f>TEXT(LeadsData[[#This Row],[Signup Date]],"mmm-yyyy")</f>
        <v>Nov-2024</v>
      </c>
      <c r="M4417">
        <f>IF(LeadsData[[#This Row],[Stage Number]]&gt;=2,1,0)</f>
        <v>0</v>
      </c>
      <c r="N4417" s="2">
        <f>IF(LeadsData[[#This Row],[Stage Number]]&gt;=3,1,0)</f>
        <v>0</v>
      </c>
      <c r="O4417" s="2">
        <f>IF(LeadsData[[#This Row],[Stage Number]]&gt;=4,1,0)</f>
        <v>0</v>
      </c>
    </row>
    <row r="4418" spans="1:15" x14ac:dyDescent="0.25">
      <c r="A4418" t="s">
        <v>4458</v>
      </c>
      <c r="B4418" s="1">
        <v>45400</v>
      </c>
      <c r="C4418" t="s">
        <v>31</v>
      </c>
      <c r="D4418" t="s">
        <v>32</v>
      </c>
      <c r="E4418" t="s">
        <v>13</v>
      </c>
      <c r="F4418" t="s">
        <v>14</v>
      </c>
      <c r="G4418" t="s">
        <v>15</v>
      </c>
      <c r="K4418" cm="1">
        <f t="array" ref="K4418">_xlfn.SWITCH(LeadsData[[#This Row],[Funnel Stage Reached]],"Lead",1,"MQL",2,"SQL",3,"Customer",4)</f>
        <v>1</v>
      </c>
      <c r="L4418" t="str">
        <f>TEXT(LeadsData[[#This Row],[Signup Date]],"mmm-yyyy")</f>
        <v>Apr-2024</v>
      </c>
      <c r="M4418">
        <f>IF(LeadsData[[#This Row],[Stage Number]]&gt;=2,1,0)</f>
        <v>0</v>
      </c>
      <c r="N4418" s="2">
        <f>IF(LeadsData[[#This Row],[Stage Number]]&gt;=3,1,0)</f>
        <v>0</v>
      </c>
      <c r="O4418" s="2">
        <f>IF(LeadsData[[#This Row],[Stage Number]]&gt;=4,1,0)</f>
        <v>0</v>
      </c>
    </row>
    <row r="4419" spans="1:15" x14ac:dyDescent="0.25">
      <c r="A4419" t="s">
        <v>4459</v>
      </c>
      <c r="B4419" s="1">
        <v>45401</v>
      </c>
      <c r="C4419" t="s">
        <v>46</v>
      </c>
      <c r="D4419" t="s">
        <v>56</v>
      </c>
      <c r="E4419" t="s">
        <v>13</v>
      </c>
      <c r="F4419" t="s">
        <v>19</v>
      </c>
      <c r="G4419" t="s">
        <v>15</v>
      </c>
      <c r="K4419" cm="1">
        <f t="array" ref="K4419">_xlfn.SWITCH(LeadsData[[#This Row],[Funnel Stage Reached]],"Lead",1,"MQL",2,"SQL",3,"Customer",4)</f>
        <v>1</v>
      </c>
      <c r="L4419" t="str">
        <f>TEXT(LeadsData[[#This Row],[Signup Date]],"mmm-yyyy")</f>
        <v>Apr-2024</v>
      </c>
      <c r="M4419">
        <f>IF(LeadsData[[#This Row],[Stage Number]]&gt;=2,1,0)</f>
        <v>0</v>
      </c>
      <c r="N4419" s="2">
        <f>IF(LeadsData[[#This Row],[Stage Number]]&gt;=3,1,0)</f>
        <v>0</v>
      </c>
      <c r="O4419" s="2">
        <f>IF(LeadsData[[#This Row],[Stage Number]]&gt;=4,1,0)</f>
        <v>0</v>
      </c>
    </row>
    <row r="4420" spans="1:15" x14ac:dyDescent="0.25">
      <c r="A4420" t="s">
        <v>4460</v>
      </c>
      <c r="B4420" s="1">
        <v>45453</v>
      </c>
      <c r="C4420" t="s">
        <v>25</v>
      </c>
      <c r="D4420" t="s">
        <v>26</v>
      </c>
      <c r="E4420" t="s">
        <v>21</v>
      </c>
      <c r="F4420" t="s">
        <v>19</v>
      </c>
      <c r="G4420" t="s">
        <v>29</v>
      </c>
      <c r="K4420" cm="1">
        <f t="array" ref="K4420">_xlfn.SWITCH(LeadsData[[#This Row],[Funnel Stage Reached]],"Lead",1,"MQL",2,"SQL",3,"Customer",4)</f>
        <v>3</v>
      </c>
      <c r="L4420" t="str">
        <f>TEXT(LeadsData[[#This Row],[Signup Date]],"mmm-yyyy")</f>
        <v>Jun-2024</v>
      </c>
      <c r="M4420">
        <f>IF(LeadsData[[#This Row],[Stage Number]]&gt;=2,1,0)</f>
        <v>1</v>
      </c>
      <c r="N4420" s="2">
        <f>IF(LeadsData[[#This Row],[Stage Number]]&gt;=3,1,0)</f>
        <v>1</v>
      </c>
      <c r="O4420" s="2">
        <f>IF(LeadsData[[#This Row],[Stage Number]]&gt;=4,1,0)</f>
        <v>0</v>
      </c>
    </row>
    <row r="4421" spans="1:15" x14ac:dyDescent="0.25">
      <c r="A4421" t="s">
        <v>4461</v>
      </c>
      <c r="B4421" s="1">
        <v>45572</v>
      </c>
      <c r="C4421" t="s">
        <v>31</v>
      </c>
      <c r="D4421" t="s">
        <v>32</v>
      </c>
      <c r="E4421" t="s">
        <v>48</v>
      </c>
      <c r="F4421" t="s">
        <v>19</v>
      </c>
      <c r="G4421" t="s">
        <v>29</v>
      </c>
      <c r="K4421" cm="1">
        <f t="array" ref="K4421">_xlfn.SWITCH(LeadsData[[#This Row],[Funnel Stage Reached]],"Lead",1,"MQL",2,"SQL",3,"Customer",4)</f>
        <v>3</v>
      </c>
      <c r="L4421" t="str">
        <f>TEXT(LeadsData[[#This Row],[Signup Date]],"mmm-yyyy")</f>
        <v>Oct-2024</v>
      </c>
      <c r="M4421">
        <f>IF(LeadsData[[#This Row],[Stage Number]]&gt;=2,1,0)</f>
        <v>1</v>
      </c>
      <c r="N4421" s="2">
        <f>IF(LeadsData[[#This Row],[Stage Number]]&gt;=3,1,0)</f>
        <v>1</v>
      </c>
      <c r="O4421" s="2">
        <f>IF(LeadsData[[#This Row],[Stage Number]]&gt;=4,1,0)</f>
        <v>0</v>
      </c>
    </row>
    <row r="4422" spans="1:15" x14ac:dyDescent="0.25">
      <c r="A4422" t="s">
        <v>4462</v>
      </c>
      <c r="B4422" s="1">
        <v>45414</v>
      </c>
      <c r="C4422" t="s">
        <v>46</v>
      </c>
      <c r="D4422" t="s">
        <v>56</v>
      </c>
      <c r="E4422" t="s">
        <v>21</v>
      </c>
      <c r="F4422" t="s">
        <v>22</v>
      </c>
      <c r="G4422" t="s">
        <v>42</v>
      </c>
      <c r="H4422">
        <v>60</v>
      </c>
      <c r="I4422" t="s">
        <v>87</v>
      </c>
      <c r="J4422">
        <v>2461.69</v>
      </c>
      <c r="K4422" cm="1">
        <f t="array" ref="K4422">_xlfn.SWITCH(LeadsData[[#This Row],[Funnel Stage Reached]],"Lead",1,"MQL",2,"SQL",3,"Customer",4)</f>
        <v>4</v>
      </c>
      <c r="L4422" t="str">
        <f>TEXT(LeadsData[[#This Row],[Signup Date]],"mmm-yyyy")</f>
        <v>May-2024</v>
      </c>
      <c r="M4422">
        <f>IF(LeadsData[[#This Row],[Stage Number]]&gt;=2,1,0)</f>
        <v>1</v>
      </c>
      <c r="N4422" s="2">
        <f>IF(LeadsData[[#This Row],[Stage Number]]&gt;=3,1,0)</f>
        <v>1</v>
      </c>
      <c r="O4422" s="2">
        <f>IF(LeadsData[[#This Row],[Stage Number]]&gt;=4,1,0)</f>
        <v>1</v>
      </c>
    </row>
    <row r="4423" spans="1:15" x14ac:dyDescent="0.25">
      <c r="A4423" t="s">
        <v>4463</v>
      </c>
      <c r="B4423" s="1">
        <v>45338</v>
      </c>
      <c r="C4423" t="s">
        <v>31</v>
      </c>
      <c r="D4423" t="s">
        <v>34</v>
      </c>
      <c r="E4423" t="s">
        <v>13</v>
      </c>
      <c r="F4423" t="s">
        <v>28</v>
      </c>
      <c r="G4423" t="s">
        <v>15</v>
      </c>
      <c r="K4423" cm="1">
        <f t="array" ref="K4423">_xlfn.SWITCH(LeadsData[[#This Row],[Funnel Stage Reached]],"Lead",1,"MQL",2,"SQL",3,"Customer",4)</f>
        <v>1</v>
      </c>
      <c r="L4423" t="str">
        <f>TEXT(LeadsData[[#This Row],[Signup Date]],"mmm-yyyy")</f>
        <v>Feb-2024</v>
      </c>
      <c r="M4423">
        <f>IF(LeadsData[[#This Row],[Stage Number]]&gt;=2,1,0)</f>
        <v>0</v>
      </c>
      <c r="N4423" s="2">
        <f>IF(LeadsData[[#This Row],[Stage Number]]&gt;=3,1,0)</f>
        <v>0</v>
      </c>
      <c r="O4423" s="2">
        <f>IF(LeadsData[[#This Row],[Stage Number]]&gt;=4,1,0)</f>
        <v>0</v>
      </c>
    </row>
    <row r="4424" spans="1:15" x14ac:dyDescent="0.25">
      <c r="A4424" t="s">
        <v>4464</v>
      </c>
      <c r="B4424" s="1">
        <v>45407</v>
      </c>
      <c r="C4424" t="s">
        <v>46</v>
      </c>
      <c r="D4424" t="s">
        <v>47</v>
      </c>
      <c r="E4424" t="s">
        <v>21</v>
      </c>
      <c r="F4424" t="s">
        <v>14</v>
      </c>
      <c r="G4424" t="s">
        <v>15</v>
      </c>
      <c r="K4424" cm="1">
        <f t="array" ref="K4424">_xlfn.SWITCH(LeadsData[[#This Row],[Funnel Stage Reached]],"Lead",1,"MQL",2,"SQL",3,"Customer",4)</f>
        <v>1</v>
      </c>
      <c r="L4424" t="str">
        <f>TEXT(LeadsData[[#This Row],[Signup Date]],"mmm-yyyy")</f>
        <v>Apr-2024</v>
      </c>
      <c r="M4424">
        <f>IF(LeadsData[[#This Row],[Stage Number]]&gt;=2,1,0)</f>
        <v>0</v>
      </c>
      <c r="N4424" s="2">
        <f>IF(LeadsData[[#This Row],[Stage Number]]&gt;=3,1,0)</f>
        <v>0</v>
      </c>
      <c r="O4424" s="2">
        <f>IF(LeadsData[[#This Row],[Stage Number]]&gt;=4,1,0)</f>
        <v>0</v>
      </c>
    </row>
    <row r="4425" spans="1:15" x14ac:dyDescent="0.25">
      <c r="A4425" t="s">
        <v>4465</v>
      </c>
      <c r="B4425" s="1">
        <v>45635</v>
      </c>
      <c r="C4425" t="s">
        <v>31</v>
      </c>
      <c r="D4425" t="s">
        <v>34</v>
      </c>
      <c r="E4425" t="s">
        <v>13</v>
      </c>
      <c r="F4425" t="s">
        <v>22</v>
      </c>
      <c r="G4425" t="s">
        <v>23</v>
      </c>
      <c r="K4425" cm="1">
        <f t="array" ref="K4425">_xlfn.SWITCH(LeadsData[[#This Row],[Funnel Stage Reached]],"Lead",1,"MQL",2,"SQL",3,"Customer",4)</f>
        <v>2</v>
      </c>
      <c r="L4425" t="str">
        <f>TEXT(LeadsData[[#This Row],[Signup Date]],"mmm-yyyy")</f>
        <v>Dec-2024</v>
      </c>
      <c r="M4425">
        <f>IF(LeadsData[[#This Row],[Stage Number]]&gt;=2,1,0)</f>
        <v>1</v>
      </c>
      <c r="N4425" s="2">
        <f>IF(LeadsData[[#This Row],[Stage Number]]&gt;=3,1,0)</f>
        <v>0</v>
      </c>
      <c r="O4425" s="2">
        <f>IF(LeadsData[[#This Row],[Stage Number]]&gt;=4,1,0)</f>
        <v>0</v>
      </c>
    </row>
    <row r="4426" spans="1:15" x14ac:dyDescent="0.25">
      <c r="A4426" t="s">
        <v>4466</v>
      </c>
      <c r="B4426" s="1">
        <v>45557</v>
      </c>
      <c r="C4426" t="s">
        <v>17</v>
      </c>
      <c r="D4426" t="s">
        <v>53</v>
      </c>
      <c r="E4426" t="s">
        <v>13</v>
      </c>
      <c r="F4426" t="s">
        <v>22</v>
      </c>
      <c r="G4426" t="s">
        <v>15</v>
      </c>
      <c r="K4426" cm="1">
        <f t="array" ref="K4426">_xlfn.SWITCH(LeadsData[[#This Row],[Funnel Stage Reached]],"Lead",1,"MQL",2,"SQL",3,"Customer",4)</f>
        <v>1</v>
      </c>
      <c r="L4426" t="str">
        <f>TEXT(LeadsData[[#This Row],[Signup Date]],"mmm-yyyy")</f>
        <v>Sep-2024</v>
      </c>
      <c r="M4426">
        <f>IF(LeadsData[[#This Row],[Stage Number]]&gt;=2,1,0)</f>
        <v>0</v>
      </c>
      <c r="N4426" s="2">
        <f>IF(LeadsData[[#This Row],[Stage Number]]&gt;=3,1,0)</f>
        <v>0</v>
      </c>
      <c r="O4426" s="2">
        <f>IF(LeadsData[[#This Row],[Stage Number]]&gt;=4,1,0)</f>
        <v>0</v>
      </c>
    </row>
    <row r="4427" spans="1:15" x14ac:dyDescent="0.25">
      <c r="A4427" t="s">
        <v>4467</v>
      </c>
      <c r="B4427" s="1">
        <v>45621</v>
      </c>
      <c r="C4427" t="s">
        <v>11</v>
      </c>
      <c r="D4427" t="s">
        <v>12</v>
      </c>
      <c r="E4427" t="s">
        <v>13</v>
      </c>
      <c r="F4427" t="s">
        <v>19</v>
      </c>
      <c r="G4427" t="s">
        <v>15</v>
      </c>
      <c r="K4427" cm="1">
        <f t="array" ref="K4427">_xlfn.SWITCH(LeadsData[[#This Row],[Funnel Stage Reached]],"Lead",1,"MQL",2,"SQL",3,"Customer",4)</f>
        <v>1</v>
      </c>
      <c r="L4427" t="str">
        <f>TEXT(LeadsData[[#This Row],[Signup Date]],"mmm-yyyy")</f>
        <v>Nov-2024</v>
      </c>
      <c r="M4427">
        <f>IF(LeadsData[[#This Row],[Stage Number]]&gt;=2,1,0)</f>
        <v>0</v>
      </c>
      <c r="N4427" s="2">
        <f>IF(LeadsData[[#This Row],[Stage Number]]&gt;=3,1,0)</f>
        <v>0</v>
      </c>
      <c r="O4427" s="2">
        <f>IF(LeadsData[[#This Row],[Stage Number]]&gt;=4,1,0)</f>
        <v>0</v>
      </c>
    </row>
    <row r="4428" spans="1:15" x14ac:dyDescent="0.25">
      <c r="A4428" t="s">
        <v>4468</v>
      </c>
      <c r="B4428" s="1">
        <v>45536</v>
      </c>
      <c r="C4428" t="s">
        <v>31</v>
      </c>
      <c r="D4428" t="s">
        <v>32</v>
      </c>
      <c r="E4428" t="s">
        <v>21</v>
      </c>
      <c r="F4428" t="s">
        <v>19</v>
      </c>
      <c r="G4428" t="s">
        <v>15</v>
      </c>
      <c r="K4428" cm="1">
        <f t="array" ref="K4428">_xlfn.SWITCH(LeadsData[[#This Row],[Funnel Stage Reached]],"Lead",1,"MQL",2,"SQL",3,"Customer",4)</f>
        <v>1</v>
      </c>
      <c r="L4428" t="str">
        <f>TEXT(LeadsData[[#This Row],[Signup Date]],"mmm-yyyy")</f>
        <v>Sep-2024</v>
      </c>
      <c r="M4428">
        <f>IF(LeadsData[[#This Row],[Stage Number]]&gt;=2,1,0)</f>
        <v>0</v>
      </c>
      <c r="N4428" s="2">
        <f>IF(LeadsData[[#This Row],[Stage Number]]&gt;=3,1,0)</f>
        <v>0</v>
      </c>
      <c r="O4428" s="2">
        <f>IF(LeadsData[[#This Row],[Stage Number]]&gt;=4,1,0)</f>
        <v>0</v>
      </c>
    </row>
    <row r="4429" spans="1:15" x14ac:dyDescent="0.25">
      <c r="A4429" t="s">
        <v>4469</v>
      </c>
      <c r="B4429" s="1">
        <v>45478</v>
      </c>
      <c r="C4429" t="s">
        <v>31</v>
      </c>
      <c r="D4429" t="s">
        <v>32</v>
      </c>
      <c r="E4429" t="s">
        <v>13</v>
      </c>
      <c r="F4429" t="s">
        <v>19</v>
      </c>
      <c r="G4429" t="s">
        <v>23</v>
      </c>
      <c r="K4429" cm="1">
        <f t="array" ref="K4429">_xlfn.SWITCH(LeadsData[[#This Row],[Funnel Stage Reached]],"Lead",1,"MQL",2,"SQL",3,"Customer",4)</f>
        <v>2</v>
      </c>
      <c r="L4429" t="str">
        <f>TEXT(LeadsData[[#This Row],[Signup Date]],"mmm-yyyy")</f>
        <v>Jul-2024</v>
      </c>
      <c r="M4429">
        <f>IF(LeadsData[[#This Row],[Stage Number]]&gt;=2,1,0)</f>
        <v>1</v>
      </c>
      <c r="N4429" s="2">
        <f>IF(LeadsData[[#This Row],[Stage Number]]&gt;=3,1,0)</f>
        <v>0</v>
      </c>
      <c r="O4429" s="2">
        <f>IF(LeadsData[[#This Row],[Stage Number]]&gt;=4,1,0)</f>
        <v>0</v>
      </c>
    </row>
    <row r="4430" spans="1:15" x14ac:dyDescent="0.25">
      <c r="A4430" t="s">
        <v>4470</v>
      </c>
      <c r="B4430" s="1">
        <v>45340</v>
      </c>
      <c r="C4430" t="s">
        <v>31</v>
      </c>
      <c r="D4430" t="s">
        <v>34</v>
      </c>
      <c r="E4430" t="s">
        <v>13</v>
      </c>
      <c r="F4430" t="s">
        <v>22</v>
      </c>
      <c r="G4430" t="s">
        <v>23</v>
      </c>
      <c r="K4430" cm="1">
        <f t="array" ref="K4430">_xlfn.SWITCH(LeadsData[[#This Row],[Funnel Stage Reached]],"Lead",1,"MQL",2,"SQL",3,"Customer",4)</f>
        <v>2</v>
      </c>
      <c r="L4430" t="str">
        <f>TEXT(LeadsData[[#This Row],[Signup Date]],"mmm-yyyy")</f>
        <v>Feb-2024</v>
      </c>
      <c r="M4430">
        <f>IF(LeadsData[[#This Row],[Stage Number]]&gt;=2,1,0)</f>
        <v>1</v>
      </c>
      <c r="N4430" s="2">
        <f>IF(LeadsData[[#This Row],[Stage Number]]&gt;=3,1,0)</f>
        <v>0</v>
      </c>
      <c r="O4430" s="2">
        <f>IF(LeadsData[[#This Row],[Stage Number]]&gt;=4,1,0)</f>
        <v>0</v>
      </c>
    </row>
    <row r="4431" spans="1:15" x14ac:dyDescent="0.25">
      <c r="A4431" t="s">
        <v>4471</v>
      </c>
      <c r="B4431" s="1">
        <v>45365</v>
      </c>
      <c r="C4431" t="s">
        <v>25</v>
      </c>
      <c r="D4431" t="s">
        <v>26</v>
      </c>
      <c r="E4431" t="s">
        <v>13</v>
      </c>
      <c r="F4431" t="s">
        <v>22</v>
      </c>
      <c r="G4431" t="s">
        <v>29</v>
      </c>
      <c r="K4431" cm="1">
        <f t="array" ref="K4431">_xlfn.SWITCH(LeadsData[[#This Row],[Funnel Stage Reached]],"Lead",1,"MQL",2,"SQL",3,"Customer",4)</f>
        <v>3</v>
      </c>
      <c r="L4431" t="str">
        <f>TEXT(LeadsData[[#This Row],[Signup Date]],"mmm-yyyy")</f>
        <v>Mar-2024</v>
      </c>
      <c r="M4431">
        <f>IF(LeadsData[[#This Row],[Stage Number]]&gt;=2,1,0)</f>
        <v>1</v>
      </c>
      <c r="N4431" s="2">
        <f>IF(LeadsData[[#This Row],[Stage Number]]&gt;=3,1,0)</f>
        <v>1</v>
      </c>
      <c r="O4431" s="2">
        <f>IF(LeadsData[[#This Row],[Stage Number]]&gt;=4,1,0)</f>
        <v>0</v>
      </c>
    </row>
    <row r="4432" spans="1:15" x14ac:dyDescent="0.25">
      <c r="A4432" t="s">
        <v>4472</v>
      </c>
      <c r="B4432" s="1">
        <v>45374</v>
      </c>
      <c r="C4432" t="s">
        <v>36</v>
      </c>
      <c r="D4432" t="s">
        <v>37</v>
      </c>
      <c r="E4432" t="s">
        <v>13</v>
      </c>
      <c r="F4432" t="s">
        <v>19</v>
      </c>
      <c r="G4432" t="s">
        <v>15</v>
      </c>
      <c r="K4432" cm="1">
        <f t="array" ref="K4432">_xlfn.SWITCH(LeadsData[[#This Row],[Funnel Stage Reached]],"Lead",1,"MQL",2,"SQL",3,"Customer",4)</f>
        <v>1</v>
      </c>
      <c r="L4432" t="str">
        <f>TEXT(LeadsData[[#This Row],[Signup Date]],"mmm-yyyy")</f>
        <v>Mar-2024</v>
      </c>
      <c r="M4432">
        <f>IF(LeadsData[[#This Row],[Stage Number]]&gt;=2,1,0)</f>
        <v>0</v>
      </c>
      <c r="N4432" s="2">
        <f>IF(LeadsData[[#This Row],[Stage Number]]&gt;=3,1,0)</f>
        <v>0</v>
      </c>
      <c r="O4432" s="2">
        <f>IF(LeadsData[[#This Row],[Stage Number]]&gt;=4,1,0)</f>
        <v>0</v>
      </c>
    </row>
    <row r="4433" spans="1:15" x14ac:dyDescent="0.25">
      <c r="A4433" t="s">
        <v>4473</v>
      </c>
      <c r="B4433" s="1">
        <v>45438</v>
      </c>
      <c r="C4433" t="s">
        <v>17</v>
      </c>
      <c r="D4433" t="s">
        <v>53</v>
      </c>
      <c r="E4433" t="s">
        <v>13</v>
      </c>
      <c r="F4433" t="s">
        <v>22</v>
      </c>
      <c r="G4433" t="s">
        <v>15</v>
      </c>
      <c r="K4433" cm="1">
        <f t="array" ref="K4433">_xlfn.SWITCH(LeadsData[[#This Row],[Funnel Stage Reached]],"Lead",1,"MQL",2,"SQL",3,"Customer",4)</f>
        <v>1</v>
      </c>
      <c r="L4433" t="str">
        <f>TEXT(LeadsData[[#This Row],[Signup Date]],"mmm-yyyy")</f>
        <v>May-2024</v>
      </c>
      <c r="M4433">
        <f>IF(LeadsData[[#This Row],[Stage Number]]&gt;=2,1,0)</f>
        <v>0</v>
      </c>
      <c r="N4433" s="2">
        <f>IF(LeadsData[[#This Row],[Stage Number]]&gt;=3,1,0)</f>
        <v>0</v>
      </c>
      <c r="O4433" s="2">
        <f>IF(LeadsData[[#This Row],[Stage Number]]&gt;=4,1,0)</f>
        <v>0</v>
      </c>
    </row>
    <row r="4434" spans="1:15" x14ac:dyDescent="0.25">
      <c r="A4434" t="s">
        <v>4474</v>
      </c>
      <c r="B4434" s="1">
        <v>45399</v>
      </c>
      <c r="C4434" t="s">
        <v>17</v>
      </c>
      <c r="D4434" t="s">
        <v>53</v>
      </c>
      <c r="E4434" t="s">
        <v>21</v>
      </c>
      <c r="F4434" t="s">
        <v>19</v>
      </c>
      <c r="G4434" t="s">
        <v>23</v>
      </c>
      <c r="K4434" cm="1">
        <f t="array" ref="K4434">_xlfn.SWITCH(LeadsData[[#This Row],[Funnel Stage Reached]],"Lead",1,"MQL",2,"SQL",3,"Customer",4)</f>
        <v>2</v>
      </c>
      <c r="L4434" t="str">
        <f>TEXT(LeadsData[[#This Row],[Signup Date]],"mmm-yyyy")</f>
        <v>Apr-2024</v>
      </c>
      <c r="M4434">
        <f>IF(LeadsData[[#This Row],[Stage Number]]&gt;=2,1,0)</f>
        <v>1</v>
      </c>
      <c r="N4434" s="2">
        <f>IF(LeadsData[[#This Row],[Stage Number]]&gt;=3,1,0)</f>
        <v>0</v>
      </c>
      <c r="O4434" s="2">
        <f>IF(LeadsData[[#This Row],[Stage Number]]&gt;=4,1,0)</f>
        <v>0</v>
      </c>
    </row>
    <row r="4435" spans="1:15" x14ac:dyDescent="0.25">
      <c r="A4435" t="s">
        <v>4475</v>
      </c>
      <c r="B4435" s="1">
        <v>45644</v>
      </c>
      <c r="C4435" t="s">
        <v>31</v>
      </c>
      <c r="D4435" t="s">
        <v>32</v>
      </c>
      <c r="E4435" t="s">
        <v>13</v>
      </c>
      <c r="F4435" t="s">
        <v>22</v>
      </c>
      <c r="G4435" t="s">
        <v>29</v>
      </c>
      <c r="K4435" cm="1">
        <f t="array" ref="K4435">_xlfn.SWITCH(LeadsData[[#This Row],[Funnel Stage Reached]],"Lead",1,"MQL",2,"SQL",3,"Customer",4)</f>
        <v>3</v>
      </c>
      <c r="L4435" t="str">
        <f>TEXT(LeadsData[[#This Row],[Signup Date]],"mmm-yyyy")</f>
        <v>Dec-2024</v>
      </c>
      <c r="M4435">
        <f>IF(LeadsData[[#This Row],[Stage Number]]&gt;=2,1,0)</f>
        <v>1</v>
      </c>
      <c r="N4435" s="2">
        <f>IF(LeadsData[[#This Row],[Stage Number]]&gt;=3,1,0)</f>
        <v>1</v>
      </c>
      <c r="O4435" s="2">
        <f>IF(LeadsData[[#This Row],[Stage Number]]&gt;=4,1,0)</f>
        <v>0</v>
      </c>
    </row>
    <row r="4436" spans="1:15" x14ac:dyDescent="0.25">
      <c r="A4436" t="s">
        <v>4476</v>
      </c>
      <c r="B4436" s="1">
        <v>45309</v>
      </c>
      <c r="C4436" t="s">
        <v>36</v>
      </c>
      <c r="D4436" t="s">
        <v>37</v>
      </c>
      <c r="E4436" t="s">
        <v>13</v>
      </c>
      <c r="F4436" t="s">
        <v>22</v>
      </c>
      <c r="G4436" t="s">
        <v>15</v>
      </c>
      <c r="K4436" cm="1">
        <f t="array" ref="K4436">_xlfn.SWITCH(LeadsData[[#This Row],[Funnel Stage Reached]],"Lead",1,"MQL",2,"SQL",3,"Customer",4)</f>
        <v>1</v>
      </c>
      <c r="L4436" t="str">
        <f>TEXT(LeadsData[[#This Row],[Signup Date]],"mmm-yyyy")</f>
        <v>Jan-2024</v>
      </c>
      <c r="M4436">
        <f>IF(LeadsData[[#This Row],[Stage Number]]&gt;=2,1,0)</f>
        <v>0</v>
      </c>
      <c r="N4436" s="2">
        <f>IF(LeadsData[[#This Row],[Stage Number]]&gt;=3,1,0)</f>
        <v>0</v>
      </c>
      <c r="O4436" s="2">
        <f>IF(LeadsData[[#This Row],[Stage Number]]&gt;=4,1,0)</f>
        <v>0</v>
      </c>
    </row>
    <row r="4437" spans="1:15" x14ac:dyDescent="0.25">
      <c r="A4437" t="s">
        <v>4477</v>
      </c>
      <c r="B4437" s="1">
        <v>45345</v>
      </c>
      <c r="C4437" t="s">
        <v>36</v>
      </c>
      <c r="D4437" t="s">
        <v>50</v>
      </c>
      <c r="E4437" t="s">
        <v>13</v>
      </c>
      <c r="F4437" t="s">
        <v>22</v>
      </c>
      <c r="G4437" t="s">
        <v>15</v>
      </c>
      <c r="K4437" cm="1">
        <f t="array" ref="K4437">_xlfn.SWITCH(LeadsData[[#This Row],[Funnel Stage Reached]],"Lead",1,"MQL",2,"SQL",3,"Customer",4)</f>
        <v>1</v>
      </c>
      <c r="L4437" t="str">
        <f>TEXT(LeadsData[[#This Row],[Signup Date]],"mmm-yyyy")</f>
        <v>Feb-2024</v>
      </c>
      <c r="M4437">
        <f>IF(LeadsData[[#This Row],[Stage Number]]&gt;=2,1,0)</f>
        <v>0</v>
      </c>
      <c r="N4437" s="2">
        <f>IF(LeadsData[[#This Row],[Stage Number]]&gt;=3,1,0)</f>
        <v>0</v>
      </c>
      <c r="O4437" s="2">
        <f>IF(LeadsData[[#This Row],[Stage Number]]&gt;=4,1,0)</f>
        <v>0</v>
      </c>
    </row>
    <row r="4438" spans="1:15" x14ac:dyDescent="0.25">
      <c r="A4438" t="s">
        <v>4478</v>
      </c>
      <c r="B4438" s="1">
        <v>45522</v>
      </c>
      <c r="C4438" t="s">
        <v>46</v>
      </c>
      <c r="D4438" t="s">
        <v>56</v>
      </c>
      <c r="E4438" t="s">
        <v>13</v>
      </c>
      <c r="F4438" t="s">
        <v>22</v>
      </c>
      <c r="G4438" t="s">
        <v>29</v>
      </c>
      <c r="K4438" cm="1">
        <f t="array" ref="K4438">_xlfn.SWITCH(LeadsData[[#This Row],[Funnel Stage Reached]],"Lead",1,"MQL",2,"SQL",3,"Customer",4)</f>
        <v>3</v>
      </c>
      <c r="L4438" t="str">
        <f>TEXT(LeadsData[[#This Row],[Signup Date]],"mmm-yyyy")</f>
        <v>Aug-2024</v>
      </c>
      <c r="M4438">
        <f>IF(LeadsData[[#This Row],[Stage Number]]&gt;=2,1,0)</f>
        <v>1</v>
      </c>
      <c r="N4438" s="2">
        <f>IF(LeadsData[[#This Row],[Stage Number]]&gt;=3,1,0)</f>
        <v>1</v>
      </c>
      <c r="O4438" s="2">
        <f>IF(LeadsData[[#This Row],[Stage Number]]&gt;=4,1,0)</f>
        <v>0</v>
      </c>
    </row>
    <row r="4439" spans="1:15" x14ac:dyDescent="0.25">
      <c r="A4439" t="s">
        <v>4479</v>
      </c>
      <c r="B4439" s="1">
        <v>45614</v>
      </c>
      <c r="C4439" t="s">
        <v>25</v>
      </c>
      <c r="D4439" t="s">
        <v>26</v>
      </c>
      <c r="E4439" t="s">
        <v>13</v>
      </c>
      <c r="F4439" t="s">
        <v>22</v>
      </c>
      <c r="G4439" t="s">
        <v>15</v>
      </c>
      <c r="K4439" cm="1">
        <f t="array" ref="K4439">_xlfn.SWITCH(LeadsData[[#This Row],[Funnel Stage Reached]],"Lead",1,"MQL",2,"SQL",3,"Customer",4)</f>
        <v>1</v>
      </c>
      <c r="L4439" t="str">
        <f>TEXT(LeadsData[[#This Row],[Signup Date]],"mmm-yyyy")</f>
        <v>Nov-2024</v>
      </c>
      <c r="M4439">
        <f>IF(LeadsData[[#This Row],[Stage Number]]&gt;=2,1,0)</f>
        <v>0</v>
      </c>
      <c r="N4439" s="2">
        <f>IF(LeadsData[[#This Row],[Stage Number]]&gt;=3,1,0)</f>
        <v>0</v>
      </c>
      <c r="O4439" s="2">
        <f>IF(LeadsData[[#This Row],[Stage Number]]&gt;=4,1,0)</f>
        <v>0</v>
      </c>
    </row>
    <row r="4440" spans="1:15" x14ac:dyDescent="0.25">
      <c r="A4440" t="s">
        <v>4480</v>
      </c>
      <c r="B4440" s="1">
        <v>45363</v>
      </c>
      <c r="C4440" t="s">
        <v>11</v>
      </c>
      <c r="D4440" t="s">
        <v>12</v>
      </c>
      <c r="E4440" t="s">
        <v>21</v>
      </c>
      <c r="F4440" t="s">
        <v>14</v>
      </c>
      <c r="G4440" t="s">
        <v>23</v>
      </c>
      <c r="K4440" cm="1">
        <f t="array" ref="K4440">_xlfn.SWITCH(LeadsData[[#This Row],[Funnel Stage Reached]],"Lead",1,"MQL",2,"SQL",3,"Customer",4)</f>
        <v>2</v>
      </c>
      <c r="L4440" t="str">
        <f>TEXT(LeadsData[[#This Row],[Signup Date]],"mmm-yyyy")</f>
        <v>Mar-2024</v>
      </c>
      <c r="M4440">
        <f>IF(LeadsData[[#This Row],[Stage Number]]&gt;=2,1,0)</f>
        <v>1</v>
      </c>
      <c r="N4440" s="2">
        <f>IF(LeadsData[[#This Row],[Stage Number]]&gt;=3,1,0)</f>
        <v>0</v>
      </c>
      <c r="O4440" s="2">
        <f>IF(LeadsData[[#This Row],[Stage Number]]&gt;=4,1,0)</f>
        <v>0</v>
      </c>
    </row>
    <row r="4441" spans="1:15" x14ac:dyDescent="0.25">
      <c r="A4441" t="s">
        <v>4481</v>
      </c>
      <c r="B4441" s="1">
        <v>45544</v>
      </c>
      <c r="C4441" t="s">
        <v>11</v>
      </c>
      <c r="D4441" t="s">
        <v>79</v>
      </c>
      <c r="E4441" t="s">
        <v>13</v>
      </c>
      <c r="F4441" t="s">
        <v>22</v>
      </c>
      <c r="G4441" t="s">
        <v>23</v>
      </c>
      <c r="K4441" cm="1">
        <f t="array" ref="K4441">_xlfn.SWITCH(LeadsData[[#This Row],[Funnel Stage Reached]],"Lead",1,"MQL",2,"SQL",3,"Customer",4)</f>
        <v>2</v>
      </c>
      <c r="L4441" t="str">
        <f>TEXT(LeadsData[[#This Row],[Signup Date]],"mmm-yyyy")</f>
        <v>Sep-2024</v>
      </c>
      <c r="M4441">
        <f>IF(LeadsData[[#This Row],[Stage Number]]&gt;=2,1,0)</f>
        <v>1</v>
      </c>
      <c r="N4441" s="2">
        <f>IF(LeadsData[[#This Row],[Stage Number]]&gt;=3,1,0)</f>
        <v>0</v>
      </c>
      <c r="O4441" s="2">
        <f>IF(LeadsData[[#This Row],[Stage Number]]&gt;=4,1,0)</f>
        <v>0</v>
      </c>
    </row>
    <row r="4442" spans="1:15" x14ac:dyDescent="0.25">
      <c r="A4442" t="s">
        <v>4482</v>
      </c>
      <c r="B4442" s="1">
        <v>45581</v>
      </c>
      <c r="C4442" t="s">
        <v>36</v>
      </c>
      <c r="D4442" t="s">
        <v>37</v>
      </c>
      <c r="E4442" t="s">
        <v>13</v>
      </c>
      <c r="F4442" t="s">
        <v>22</v>
      </c>
      <c r="G4442" t="s">
        <v>29</v>
      </c>
      <c r="K4442" cm="1">
        <f t="array" ref="K4442">_xlfn.SWITCH(LeadsData[[#This Row],[Funnel Stage Reached]],"Lead",1,"MQL",2,"SQL",3,"Customer",4)</f>
        <v>3</v>
      </c>
      <c r="L4442" t="str">
        <f>TEXT(LeadsData[[#This Row],[Signup Date]],"mmm-yyyy")</f>
        <v>Oct-2024</v>
      </c>
      <c r="M4442">
        <f>IF(LeadsData[[#This Row],[Stage Number]]&gt;=2,1,0)</f>
        <v>1</v>
      </c>
      <c r="N4442" s="2">
        <f>IF(LeadsData[[#This Row],[Stage Number]]&gt;=3,1,0)</f>
        <v>1</v>
      </c>
      <c r="O4442" s="2">
        <f>IF(LeadsData[[#This Row],[Stage Number]]&gt;=4,1,0)</f>
        <v>0</v>
      </c>
    </row>
    <row r="4443" spans="1:15" x14ac:dyDescent="0.25">
      <c r="A4443" t="s">
        <v>4483</v>
      </c>
      <c r="B4443" s="1">
        <v>45433</v>
      </c>
      <c r="C4443" t="s">
        <v>17</v>
      </c>
      <c r="D4443" t="s">
        <v>18</v>
      </c>
      <c r="E4443" t="s">
        <v>21</v>
      </c>
      <c r="F4443" t="s">
        <v>22</v>
      </c>
      <c r="G4443" t="s">
        <v>15</v>
      </c>
      <c r="K4443" cm="1">
        <f t="array" ref="K4443">_xlfn.SWITCH(LeadsData[[#This Row],[Funnel Stage Reached]],"Lead",1,"MQL",2,"SQL",3,"Customer",4)</f>
        <v>1</v>
      </c>
      <c r="L4443" t="str">
        <f>TEXT(LeadsData[[#This Row],[Signup Date]],"mmm-yyyy")</f>
        <v>May-2024</v>
      </c>
      <c r="M4443">
        <f>IF(LeadsData[[#This Row],[Stage Number]]&gt;=2,1,0)</f>
        <v>0</v>
      </c>
      <c r="N4443" s="2">
        <f>IF(LeadsData[[#This Row],[Stage Number]]&gt;=3,1,0)</f>
        <v>0</v>
      </c>
      <c r="O4443" s="2">
        <f>IF(LeadsData[[#This Row],[Stage Number]]&gt;=4,1,0)</f>
        <v>0</v>
      </c>
    </row>
    <row r="4444" spans="1:15" x14ac:dyDescent="0.25">
      <c r="A4444" t="s">
        <v>4484</v>
      </c>
      <c r="B4444" s="1">
        <v>45303</v>
      </c>
      <c r="C4444" t="s">
        <v>25</v>
      </c>
      <c r="D4444" t="s">
        <v>26</v>
      </c>
      <c r="E4444" t="s">
        <v>48</v>
      </c>
      <c r="F4444" t="s">
        <v>19</v>
      </c>
      <c r="G4444" t="s">
        <v>23</v>
      </c>
      <c r="K4444" cm="1">
        <f t="array" ref="K4444">_xlfn.SWITCH(LeadsData[[#This Row],[Funnel Stage Reached]],"Lead",1,"MQL",2,"SQL",3,"Customer",4)</f>
        <v>2</v>
      </c>
      <c r="L4444" t="str">
        <f>TEXT(LeadsData[[#This Row],[Signup Date]],"mmm-yyyy")</f>
        <v>Jan-2024</v>
      </c>
      <c r="M4444">
        <f>IF(LeadsData[[#This Row],[Stage Number]]&gt;=2,1,0)</f>
        <v>1</v>
      </c>
      <c r="N4444" s="2">
        <f>IF(LeadsData[[#This Row],[Stage Number]]&gt;=3,1,0)</f>
        <v>0</v>
      </c>
      <c r="O4444" s="2">
        <f>IF(LeadsData[[#This Row],[Stage Number]]&gt;=4,1,0)</f>
        <v>0</v>
      </c>
    </row>
    <row r="4445" spans="1:15" x14ac:dyDescent="0.25">
      <c r="A4445" t="s">
        <v>4485</v>
      </c>
      <c r="B4445" s="1">
        <v>45393</v>
      </c>
      <c r="C4445" t="s">
        <v>25</v>
      </c>
      <c r="D4445" t="s">
        <v>26</v>
      </c>
      <c r="E4445" t="s">
        <v>13</v>
      </c>
      <c r="F4445" t="s">
        <v>22</v>
      </c>
      <c r="G4445" t="s">
        <v>15</v>
      </c>
      <c r="K4445" cm="1">
        <f t="array" ref="K4445">_xlfn.SWITCH(LeadsData[[#This Row],[Funnel Stage Reached]],"Lead",1,"MQL",2,"SQL",3,"Customer",4)</f>
        <v>1</v>
      </c>
      <c r="L4445" t="str">
        <f>TEXT(LeadsData[[#This Row],[Signup Date]],"mmm-yyyy")</f>
        <v>Apr-2024</v>
      </c>
      <c r="M4445">
        <f>IF(LeadsData[[#This Row],[Stage Number]]&gt;=2,1,0)</f>
        <v>0</v>
      </c>
      <c r="N4445" s="2">
        <f>IF(LeadsData[[#This Row],[Stage Number]]&gt;=3,1,0)</f>
        <v>0</v>
      </c>
      <c r="O4445" s="2">
        <f>IF(LeadsData[[#This Row],[Stage Number]]&gt;=4,1,0)</f>
        <v>0</v>
      </c>
    </row>
    <row r="4446" spans="1:15" x14ac:dyDescent="0.25">
      <c r="A4446" t="s">
        <v>4486</v>
      </c>
      <c r="B4446" s="1">
        <v>45329</v>
      </c>
      <c r="C4446" t="s">
        <v>11</v>
      </c>
      <c r="D4446" t="s">
        <v>68</v>
      </c>
      <c r="E4446" t="s">
        <v>13</v>
      </c>
      <c r="F4446" t="s">
        <v>19</v>
      </c>
      <c r="G4446" t="s">
        <v>15</v>
      </c>
      <c r="K4446" cm="1">
        <f t="array" ref="K4446">_xlfn.SWITCH(LeadsData[[#This Row],[Funnel Stage Reached]],"Lead",1,"MQL",2,"SQL",3,"Customer",4)</f>
        <v>1</v>
      </c>
      <c r="L4446" t="str">
        <f>TEXT(LeadsData[[#This Row],[Signup Date]],"mmm-yyyy")</f>
        <v>Feb-2024</v>
      </c>
      <c r="M4446">
        <f>IF(LeadsData[[#This Row],[Stage Number]]&gt;=2,1,0)</f>
        <v>0</v>
      </c>
      <c r="N4446" s="2">
        <f>IF(LeadsData[[#This Row],[Stage Number]]&gt;=3,1,0)</f>
        <v>0</v>
      </c>
      <c r="O4446" s="2">
        <f>IF(LeadsData[[#This Row],[Stage Number]]&gt;=4,1,0)</f>
        <v>0</v>
      </c>
    </row>
    <row r="4447" spans="1:15" x14ac:dyDescent="0.25">
      <c r="A4447" t="s">
        <v>4487</v>
      </c>
      <c r="B4447" s="1">
        <v>45602</v>
      </c>
      <c r="C4447" t="s">
        <v>46</v>
      </c>
      <c r="D4447" t="s">
        <v>56</v>
      </c>
      <c r="E4447" t="s">
        <v>21</v>
      </c>
      <c r="F4447" t="s">
        <v>22</v>
      </c>
      <c r="G4447" t="s">
        <v>15</v>
      </c>
      <c r="K4447" cm="1">
        <f t="array" ref="K4447">_xlfn.SWITCH(LeadsData[[#This Row],[Funnel Stage Reached]],"Lead",1,"MQL",2,"SQL",3,"Customer",4)</f>
        <v>1</v>
      </c>
      <c r="L4447" t="str">
        <f>TEXT(LeadsData[[#This Row],[Signup Date]],"mmm-yyyy")</f>
        <v>Nov-2024</v>
      </c>
      <c r="M4447">
        <f>IF(LeadsData[[#This Row],[Stage Number]]&gt;=2,1,0)</f>
        <v>0</v>
      </c>
      <c r="N4447" s="2">
        <f>IF(LeadsData[[#This Row],[Stage Number]]&gt;=3,1,0)</f>
        <v>0</v>
      </c>
      <c r="O4447" s="2">
        <f>IF(LeadsData[[#This Row],[Stage Number]]&gt;=4,1,0)</f>
        <v>0</v>
      </c>
    </row>
    <row r="4448" spans="1:15" x14ac:dyDescent="0.25">
      <c r="A4448" t="s">
        <v>4488</v>
      </c>
      <c r="B4448" s="1">
        <v>45398</v>
      </c>
      <c r="C4448" t="s">
        <v>25</v>
      </c>
      <c r="D4448" t="s">
        <v>26</v>
      </c>
      <c r="E4448" t="s">
        <v>21</v>
      </c>
      <c r="F4448" t="s">
        <v>22</v>
      </c>
      <c r="G4448" t="s">
        <v>29</v>
      </c>
      <c r="K4448" cm="1">
        <f t="array" ref="K4448">_xlfn.SWITCH(LeadsData[[#This Row],[Funnel Stage Reached]],"Lead",1,"MQL",2,"SQL",3,"Customer",4)</f>
        <v>3</v>
      </c>
      <c r="L4448" t="str">
        <f>TEXT(LeadsData[[#This Row],[Signup Date]],"mmm-yyyy")</f>
        <v>Apr-2024</v>
      </c>
      <c r="M4448">
        <f>IF(LeadsData[[#This Row],[Stage Number]]&gt;=2,1,0)</f>
        <v>1</v>
      </c>
      <c r="N4448" s="2">
        <f>IF(LeadsData[[#This Row],[Stage Number]]&gt;=3,1,0)</f>
        <v>1</v>
      </c>
      <c r="O4448" s="2">
        <f>IF(LeadsData[[#This Row],[Stage Number]]&gt;=4,1,0)</f>
        <v>0</v>
      </c>
    </row>
    <row r="4449" spans="1:15" x14ac:dyDescent="0.25">
      <c r="A4449" t="s">
        <v>4489</v>
      </c>
      <c r="B4449" s="1">
        <v>45454</v>
      </c>
      <c r="C4449" t="s">
        <v>17</v>
      </c>
      <c r="D4449" t="s">
        <v>18</v>
      </c>
      <c r="E4449" t="s">
        <v>13</v>
      </c>
      <c r="F4449" t="s">
        <v>22</v>
      </c>
      <c r="G4449" t="s">
        <v>15</v>
      </c>
      <c r="K4449" cm="1">
        <f t="array" ref="K4449">_xlfn.SWITCH(LeadsData[[#This Row],[Funnel Stage Reached]],"Lead",1,"MQL",2,"SQL",3,"Customer",4)</f>
        <v>1</v>
      </c>
      <c r="L4449" t="str">
        <f>TEXT(LeadsData[[#This Row],[Signup Date]],"mmm-yyyy")</f>
        <v>Jun-2024</v>
      </c>
      <c r="M4449">
        <f>IF(LeadsData[[#This Row],[Stage Number]]&gt;=2,1,0)</f>
        <v>0</v>
      </c>
      <c r="N4449" s="2">
        <f>IF(LeadsData[[#This Row],[Stage Number]]&gt;=3,1,0)</f>
        <v>0</v>
      </c>
      <c r="O4449" s="2">
        <f>IF(LeadsData[[#This Row],[Stage Number]]&gt;=4,1,0)</f>
        <v>0</v>
      </c>
    </row>
    <row r="4450" spans="1:15" x14ac:dyDescent="0.25">
      <c r="A4450" t="s">
        <v>4490</v>
      </c>
      <c r="B4450" s="1">
        <v>45579</v>
      </c>
      <c r="C4450" t="s">
        <v>31</v>
      </c>
      <c r="D4450" t="s">
        <v>34</v>
      </c>
      <c r="E4450" t="s">
        <v>13</v>
      </c>
      <c r="F4450" t="s">
        <v>22</v>
      </c>
      <c r="G4450" t="s">
        <v>23</v>
      </c>
      <c r="K4450" cm="1">
        <f t="array" ref="K4450">_xlfn.SWITCH(LeadsData[[#This Row],[Funnel Stage Reached]],"Lead",1,"MQL",2,"SQL",3,"Customer",4)</f>
        <v>2</v>
      </c>
      <c r="L4450" t="str">
        <f>TEXT(LeadsData[[#This Row],[Signup Date]],"mmm-yyyy")</f>
        <v>Oct-2024</v>
      </c>
      <c r="M4450">
        <f>IF(LeadsData[[#This Row],[Stage Number]]&gt;=2,1,0)</f>
        <v>1</v>
      </c>
      <c r="N4450" s="2">
        <f>IF(LeadsData[[#This Row],[Stage Number]]&gt;=3,1,0)</f>
        <v>0</v>
      </c>
      <c r="O4450" s="2">
        <f>IF(LeadsData[[#This Row],[Stage Number]]&gt;=4,1,0)</f>
        <v>0</v>
      </c>
    </row>
    <row r="4451" spans="1:15" x14ac:dyDescent="0.25">
      <c r="A4451" t="s">
        <v>4491</v>
      </c>
      <c r="B4451" s="1">
        <v>45550</v>
      </c>
      <c r="C4451" t="s">
        <v>31</v>
      </c>
      <c r="D4451" t="s">
        <v>32</v>
      </c>
      <c r="E4451" t="s">
        <v>21</v>
      </c>
      <c r="F4451" t="s">
        <v>22</v>
      </c>
      <c r="G4451" t="s">
        <v>29</v>
      </c>
      <c r="K4451" cm="1">
        <f t="array" ref="K4451">_xlfn.SWITCH(LeadsData[[#This Row],[Funnel Stage Reached]],"Lead",1,"MQL",2,"SQL",3,"Customer",4)</f>
        <v>3</v>
      </c>
      <c r="L4451" t="str">
        <f>TEXT(LeadsData[[#This Row],[Signup Date]],"mmm-yyyy")</f>
        <v>Sep-2024</v>
      </c>
      <c r="M4451">
        <f>IF(LeadsData[[#This Row],[Stage Number]]&gt;=2,1,0)</f>
        <v>1</v>
      </c>
      <c r="N4451" s="2">
        <f>IF(LeadsData[[#This Row],[Stage Number]]&gt;=3,1,0)</f>
        <v>1</v>
      </c>
      <c r="O4451" s="2">
        <f>IF(LeadsData[[#This Row],[Stage Number]]&gt;=4,1,0)</f>
        <v>0</v>
      </c>
    </row>
    <row r="4452" spans="1:15" x14ac:dyDescent="0.25">
      <c r="A4452" t="s">
        <v>4492</v>
      </c>
      <c r="B4452" s="1">
        <v>45636</v>
      </c>
      <c r="C4452" t="s">
        <v>31</v>
      </c>
      <c r="D4452" t="s">
        <v>34</v>
      </c>
      <c r="E4452" t="s">
        <v>48</v>
      </c>
      <c r="F4452" t="s">
        <v>14</v>
      </c>
      <c r="G4452" t="s">
        <v>23</v>
      </c>
      <c r="K4452" cm="1">
        <f t="array" ref="K4452">_xlfn.SWITCH(LeadsData[[#This Row],[Funnel Stage Reached]],"Lead",1,"MQL",2,"SQL",3,"Customer",4)</f>
        <v>2</v>
      </c>
      <c r="L4452" t="str">
        <f>TEXT(LeadsData[[#This Row],[Signup Date]],"mmm-yyyy")</f>
        <v>Dec-2024</v>
      </c>
      <c r="M4452">
        <f>IF(LeadsData[[#This Row],[Stage Number]]&gt;=2,1,0)</f>
        <v>1</v>
      </c>
      <c r="N4452" s="2">
        <f>IF(LeadsData[[#This Row],[Stage Number]]&gt;=3,1,0)</f>
        <v>0</v>
      </c>
      <c r="O4452" s="2">
        <f>IF(LeadsData[[#This Row],[Stage Number]]&gt;=4,1,0)</f>
        <v>0</v>
      </c>
    </row>
    <row r="4453" spans="1:15" x14ac:dyDescent="0.25">
      <c r="A4453" t="s">
        <v>4493</v>
      </c>
      <c r="B4453" s="1">
        <v>45406</v>
      </c>
      <c r="C4453" t="s">
        <v>36</v>
      </c>
      <c r="D4453" t="s">
        <v>37</v>
      </c>
      <c r="E4453" t="s">
        <v>48</v>
      </c>
      <c r="F4453" t="s">
        <v>19</v>
      </c>
      <c r="G4453" t="s">
        <v>23</v>
      </c>
      <c r="K4453" cm="1">
        <f t="array" ref="K4453">_xlfn.SWITCH(LeadsData[[#This Row],[Funnel Stage Reached]],"Lead",1,"MQL",2,"SQL",3,"Customer",4)</f>
        <v>2</v>
      </c>
      <c r="L4453" t="str">
        <f>TEXT(LeadsData[[#This Row],[Signup Date]],"mmm-yyyy")</f>
        <v>Apr-2024</v>
      </c>
      <c r="M4453">
        <f>IF(LeadsData[[#This Row],[Stage Number]]&gt;=2,1,0)</f>
        <v>1</v>
      </c>
      <c r="N4453" s="2">
        <f>IF(LeadsData[[#This Row],[Stage Number]]&gt;=3,1,0)</f>
        <v>0</v>
      </c>
      <c r="O4453" s="2">
        <f>IF(LeadsData[[#This Row],[Stage Number]]&gt;=4,1,0)</f>
        <v>0</v>
      </c>
    </row>
    <row r="4454" spans="1:15" x14ac:dyDescent="0.25">
      <c r="A4454" t="s">
        <v>4494</v>
      </c>
      <c r="B4454" s="1">
        <v>45589</v>
      </c>
      <c r="C4454" t="s">
        <v>31</v>
      </c>
      <c r="D4454" t="s">
        <v>34</v>
      </c>
      <c r="E4454" t="s">
        <v>13</v>
      </c>
      <c r="F4454" t="s">
        <v>22</v>
      </c>
      <c r="G4454" t="s">
        <v>15</v>
      </c>
      <c r="K4454" cm="1">
        <f t="array" ref="K4454">_xlfn.SWITCH(LeadsData[[#This Row],[Funnel Stage Reached]],"Lead",1,"MQL",2,"SQL",3,"Customer",4)</f>
        <v>1</v>
      </c>
      <c r="L4454" t="str">
        <f>TEXT(LeadsData[[#This Row],[Signup Date]],"mmm-yyyy")</f>
        <v>Oct-2024</v>
      </c>
      <c r="M4454">
        <f>IF(LeadsData[[#This Row],[Stage Number]]&gt;=2,1,0)</f>
        <v>0</v>
      </c>
      <c r="N4454" s="2">
        <f>IF(LeadsData[[#This Row],[Stage Number]]&gt;=3,1,0)</f>
        <v>0</v>
      </c>
      <c r="O4454" s="2">
        <f>IF(LeadsData[[#This Row],[Stage Number]]&gt;=4,1,0)</f>
        <v>0</v>
      </c>
    </row>
    <row r="4455" spans="1:15" x14ac:dyDescent="0.25">
      <c r="A4455" t="s">
        <v>4495</v>
      </c>
      <c r="B4455" s="1">
        <v>45432</v>
      </c>
      <c r="C4455" t="s">
        <v>36</v>
      </c>
      <c r="D4455" t="s">
        <v>37</v>
      </c>
      <c r="E4455" t="s">
        <v>13</v>
      </c>
      <c r="F4455" t="s">
        <v>19</v>
      </c>
      <c r="G4455" t="s">
        <v>42</v>
      </c>
      <c r="H4455">
        <v>44</v>
      </c>
      <c r="I4455" t="s">
        <v>87</v>
      </c>
      <c r="J4455">
        <v>2828.05</v>
      </c>
      <c r="K4455" cm="1">
        <f t="array" ref="K4455">_xlfn.SWITCH(LeadsData[[#This Row],[Funnel Stage Reached]],"Lead",1,"MQL",2,"SQL",3,"Customer",4)</f>
        <v>4</v>
      </c>
      <c r="L4455" t="str">
        <f>TEXT(LeadsData[[#This Row],[Signup Date]],"mmm-yyyy")</f>
        <v>May-2024</v>
      </c>
      <c r="M4455">
        <f>IF(LeadsData[[#This Row],[Stage Number]]&gt;=2,1,0)</f>
        <v>1</v>
      </c>
      <c r="N4455" s="2">
        <f>IF(LeadsData[[#This Row],[Stage Number]]&gt;=3,1,0)</f>
        <v>1</v>
      </c>
      <c r="O4455" s="2">
        <f>IF(LeadsData[[#This Row],[Stage Number]]&gt;=4,1,0)</f>
        <v>1</v>
      </c>
    </row>
    <row r="4456" spans="1:15" x14ac:dyDescent="0.25">
      <c r="A4456" t="s">
        <v>4496</v>
      </c>
      <c r="B4456" s="1">
        <v>45468</v>
      </c>
      <c r="C4456" t="s">
        <v>25</v>
      </c>
      <c r="D4456" t="s">
        <v>26</v>
      </c>
      <c r="E4456" t="s">
        <v>13</v>
      </c>
      <c r="F4456" t="s">
        <v>28</v>
      </c>
      <c r="G4456" t="s">
        <v>15</v>
      </c>
      <c r="K4456" cm="1">
        <f t="array" ref="K4456">_xlfn.SWITCH(LeadsData[[#This Row],[Funnel Stage Reached]],"Lead",1,"MQL",2,"SQL",3,"Customer",4)</f>
        <v>1</v>
      </c>
      <c r="L4456" t="str">
        <f>TEXT(LeadsData[[#This Row],[Signup Date]],"mmm-yyyy")</f>
        <v>Jun-2024</v>
      </c>
      <c r="M4456">
        <f>IF(LeadsData[[#This Row],[Stage Number]]&gt;=2,1,0)</f>
        <v>0</v>
      </c>
      <c r="N4456" s="2">
        <f>IF(LeadsData[[#This Row],[Stage Number]]&gt;=3,1,0)</f>
        <v>0</v>
      </c>
      <c r="O4456" s="2">
        <f>IF(LeadsData[[#This Row],[Stage Number]]&gt;=4,1,0)</f>
        <v>0</v>
      </c>
    </row>
    <row r="4457" spans="1:15" x14ac:dyDescent="0.25">
      <c r="A4457" t="s">
        <v>4497</v>
      </c>
      <c r="B4457" s="1">
        <v>45529</v>
      </c>
      <c r="C4457" t="s">
        <v>17</v>
      </c>
      <c r="D4457" t="s">
        <v>18</v>
      </c>
      <c r="E4457" t="s">
        <v>21</v>
      </c>
      <c r="F4457" t="s">
        <v>22</v>
      </c>
      <c r="G4457" t="s">
        <v>15</v>
      </c>
      <c r="K4457" cm="1">
        <f t="array" ref="K4457">_xlfn.SWITCH(LeadsData[[#This Row],[Funnel Stage Reached]],"Lead",1,"MQL",2,"SQL",3,"Customer",4)</f>
        <v>1</v>
      </c>
      <c r="L4457" t="str">
        <f>TEXT(LeadsData[[#This Row],[Signup Date]],"mmm-yyyy")</f>
        <v>Aug-2024</v>
      </c>
      <c r="M4457">
        <f>IF(LeadsData[[#This Row],[Stage Number]]&gt;=2,1,0)</f>
        <v>0</v>
      </c>
      <c r="N4457" s="2">
        <f>IF(LeadsData[[#This Row],[Stage Number]]&gt;=3,1,0)</f>
        <v>0</v>
      </c>
      <c r="O4457" s="2">
        <f>IF(LeadsData[[#This Row],[Stage Number]]&gt;=4,1,0)</f>
        <v>0</v>
      </c>
    </row>
    <row r="4458" spans="1:15" x14ac:dyDescent="0.25">
      <c r="A4458" t="s">
        <v>4498</v>
      </c>
      <c r="B4458" s="1">
        <v>45334</v>
      </c>
      <c r="C4458" t="s">
        <v>36</v>
      </c>
      <c r="D4458" t="s">
        <v>37</v>
      </c>
      <c r="E4458" t="s">
        <v>13</v>
      </c>
      <c r="F4458" t="s">
        <v>14</v>
      </c>
      <c r="G4458" t="s">
        <v>15</v>
      </c>
      <c r="K4458" cm="1">
        <f t="array" ref="K4458">_xlfn.SWITCH(LeadsData[[#This Row],[Funnel Stage Reached]],"Lead",1,"MQL",2,"SQL",3,"Customer",4)</f>
        <v>1</v>
      </c>
      <c r="L4458" t="str">
        <f>TEXT(LeadsData[[#This Row],[Signup Date]],"mmm-yyyy")</f>
        <v>Feb-2024</v>
      </c>
      <c r="M4458">
        <f>IF(LeadsData[[#This Row],[Stage Number]]&gt;=2,1,0)</f>
        <v>0</v>
      </c>
      <c r="N4458" s="2">
        <f>IF(LeadsData[[#This Row],[Stage Number]]&gt;=3,1,0)</f>
        <v>0</v>
      </c>
      <c r="O4458" s="2">
        <f>IF(LeadsData[[#This Row],[Stage Number]]&gt;=4,1,0)</f>
        <v>0</v>
      </c>
    </row>
    <row r="4459" spans="1:15" x14ac:dyDescent="0.25">
      <c r="A4459" t="s">
        <v>4499</v>
      </c>
      <c r="B4459" s="1">
        <v>45335</v>
      </c>
      <c r="C4459" t="s">
        <v>46</v>
      </c>
      <c r="D4459" t="s">
        <v>47</v>
      </c>
      <c r="E4459" t="s">
        <v>13</v>
      </c>
      <c r="F4459" t="s">
        <v>19</v>
      </c>
      <c r="G4459" t="s">
        <v>15</v>
      </c>
      <c r="K4459" cm="1">
        <f t="array" ref="K4459">_xlfn.SWITCH(LeadsData[[#This Row],[Funnel Stage Reached]],"Lead",1,"MQL",2,"SQL",3,"Customer",4)</f>
        <v>1</v>
      </c>
      <c r="L4459" t="str">
        <f>TEXT(LeadsData[[#This Row],[Signup Date]],"mmm-yyyy")</f>
        <v>Feb-2024</v>
      </c>
      <c r="M4459">
        <f>IF(LeadsData[[#This Row],[Stage Number]]&gt;=2,1,0)</f>
        <v>0</v>
      </c>
      <c r="N4459" s="2">
        <f>IF(LeadsData[[#This Row],[Stage Number]]&gt;=3,1,0)</f>
        <v>0</v>
      </c>
      <c r="O4459" s="2">
        <f>IF(LeadsData[[#This Row],[Stage Number]]&gt;=4,1,0)</f>
        <v>0</v>
      </c>
    </row>
    <row r="4460" spans="1:15" x14ac:dyDescent="0.25">
      <c r="A4460" t="s">
        <v>4500</v>
      </c>
      <c r="B4460" s="1">
        <v>45517</v>
      </c>
      <c r="C4460" t="s">
        <v>11</v>
      </c>
      <c r="D4460" t="s">
        <v>12</v>
      </c>
      <c r="E4460" t="s">
        <v>13</v>
      </c>
      <c r="F4460" t="s">
        <v>22</v>
      </c>
      <c r="G4460" t="s">
        <v>23</v>
      </c>
      <c r="K4460" cm="1">
        <f t="array" ref="K4460">_xlfn.SWITCH(LeadsData[[#This Row],[Funnel Stage Reached]],"Lead",1,"MQL",2,"SQL",3,"Customer",4)</f>
        <v>2</v>
      </c>
      <c r="L4460" t="str">
        <f>TEXT(LeadsData[[#This Row],[Signup Date]],"mmm-yyyy")</f>
        <v>Aug-2024</v>
      </c>
      <c r="M4460">
        <f>IF(LeadsData[[#This Row],[Stage Number]]&gt;=2,1,0)</f>
        <v>1</v>
      </c>
      <c r="N4460" s="2">
        <f>IF(LeadsData[[#This Row],[Stage Number]]&gt;=3,1,0)</f>
        <v>0</v>
      </c>
      <c r="O4460" s="2">
        <f>IF(LeadsData[[#This Row],[Stage Number]]&gt;=4,1,0)</f>
        <v>0</v>
      </c>
    </row>
    <row r="4461" spans="1:15" x14ac:dyDescent="0.25">
      <c r="A4461" t="s">
        <v>4501</v>
      </c>
      <c r="B4461" s="1">
        <v>45538</v>
      </c>
      <c r="C4461" t="s">
        <v>17</v>
      </c>
      <c r="D4461" t="s">
        <v>53</v>
      </c>
      <c r="E4461" t="s">
        <v>13</v>
      </c>
      <c r="F4461" t="s">
        <v>19</v>
      </c>
      <c r="G4461" t="s">
        <v>29</v>
      </c>
      <c r="K4461" cm="1">
        <f t="array" ref="K4461">_xlfn.SWITCH(LeadsData[[#This Row],[Funnel Stage Reached]],"Lead",1,"MQL",2,"SQL",3,"Customer",4)</f>
        <v>3</v>
      </c>
      <c r="L4461" t="str">
        <f>TEXT(LeadsData[[#This Row],[Signup Date]],"mmm-yyyy")</f>
        <v>Sep-2024</v>
      </c>
      <c r="M4461">
        <f>IF(LeadsData[[#This Row],[Stage Number]]&gt;=2,1,0)</f>
        <v>1</v>
      </c>
      <c r="N4461" s="2">
        <f>IF(LeadsData[[#This Row],[Stage Number]]&gt;=3,1,0)</f>
        <v>1</v>
      </c>
      <c r="O4461" s="2">
        <f>IF(LeadsData[[#This Row],[Stage Number]]&gt;=4,1,0)</f>
        <v>0</v>
      </c>
    </row>
    <row r="4462" spans="1:15" x14ac:dyDescent="0.25">
      <c r="A4462" t="s">
        <v>4502</v>
      </c>
      <c r="B4462" s="1">
        <v>45510</v>
      </c>
      <c r="C4462" t="s">
        <v>11</v>
      </c>
      <c r="D4462" t="s">
        <v>68</v>
      </c>
      <c r="E4462" t="s">
        <v>21</v>
      </c>
      <c r="F4462" t="s">
        <v>19</v>
      </c>
      <c r="G4462" t="s">
        <v>23</v>
      </c>
      <c r="K4462" cm="1">
        <f t="array" ref="K4462">_xlfn.SWITCH(LeadsData[[#This Row],[Funnel Stage Reached]],"Lead",1,"MQL",2,"SQL",3,"Customer",4)</f>
        <v>2</v>
      </c>
      <c r="L4462" t="str">
        <f>TEXT(LeadsData[[#This Row],[Signup Date]],"mmm-yyyy")</f>
        <v>Aug-2024</v>
      </c>
      <c r="M4462">
        <f>IF(LeadsData[[#This Row],[Stage Number]]&gt;=2,1,0)</f>
        <v>1</v>
      </c>
      <c r="N4462" s="2">
        <f>IF(LeadsData[[#This Row],[Stage Number]]&gt;=3,1,0)</f>
        <v>0</v>
      </c>
      <c r="O4462" s="2">
        <f>IF(LeadsData[[#This Row],[Stage Number]]&gt;=4,1,0)</f>
        <v>0</v>
      </c>
    </row>
    <row r="4463" spans="1:15" x14ac:dyDescent="0.25">
      <c r="A4463" t="s">
        <v>4503</v>
      </c>
      <c r="B4463" s="1">
        <v>45610</v>
      </c>
      <c r="C4463" t="s">
        <v>46</v>
      </c>
      <c r="D4463" t="s">
        <v>47</v>
      </c>
      <c r="E4463" t="s">
        <v>21</v>
      </c>
      <c r="F4463" t="s">
        <v>19</v>
      </c>
      <c r="G4463" t="s">
        <v>23</v>
      </c>
      <c r="K4463" cm="1">
        <f t="array" ref="K4463">_xlfn.SWITCH(LeadsData[[#This Row],[Funnel Stage Reached]],"Lead",1,"MQL",2,"SQL",3,"Customer",4)</f>
        <v>2</v>
      </c>
      <c r="L4463" t="str">
        <f>TEXT(LeadsData[[#This Row],[Signup Date]],"mmm-yyyy")</f>
        <v>Nov-2024</v>
      </c>
      <c r="M4463">
        <f>IF(LeadsData[[#This Row],[Stage Number]]&gt;=2,1,0)</f>
        <v>1</v>
      </c>
      <c r="N4463" s="2">
        <f>IF(LeadsData[[#This Row],[Stage Number]]&gt;=3,1,0)</f>
        <v>0</v>
      </c>
      <c r="O4463" s="2">
        <f>IF(LeadsData[[#This Row],[Stage Number]]&gt;=4,1,0)</f>
        <v>0</v>
      </c>
    </row>
    <row r="4464" spans="1:15" x14ac:dyDescent="0.25">
      <c r="A4464" t="s">
        <v>4504</v>
      </c>
      <c r="B4464" s="1">
        <v>45609</v>
      </c>
      <c r="C4464" t="s">
        <v>17</v>
      </c>
      <c r="D4464" t="s">
        <v>18</v>
      </c>
      <c r="E4464" t="s">
        <v>13</v>
      </c>
      <c r="F4464" t="s">
        <v>28</v>
      </c>
      <c r="G4464" t="s">
        <v>15</v>
      </c>
      <c r="K4464" cm="1">
        <f t="array" ref="K4464">_xlfn.SWITCH(LeadsData[[#This Row],[Funnel Stage Reached]],"Lead",1,"MQL",2,"SQL",3,"Customer",4)</f>
        <v>1</v>
      </c>
      <c r="L4464" t="str">
        <f>TEXT(LeadsData[[#This Row],[Signup Date]],"mmm-yyyy")</f>
        <v>Nov-2024</v>
      </c>
      <c r="M4464">
        <f>IF(LeadsData[[#This Row],[Stage Number]]&gt;=2,1,0)</f>
        <v>0</v>
      </c>
      <c r="N4464" s="2">
        <f>IF(LeadsData[[#This Row],[Stage Number]]&gt;=3,1,0)</f>
        <v>0</v>
      </c>
      <c r="O4464" s="2">
        <f>IF(LeadsData[[#This Row],[Stage Number]]&gt;=4,1,0)</f>
        <v>0</v>
      </c>
    </row>
    <row r="4465" spans="1:15" x14ac:dyDescent="0.25">
      <c r="A4465" t="s">
        <v>4505</v>
      </c>
      <c r="B4465" s="1">
        <v>45650</v>
      </c>
      <c r="C4465" t="s">
        <v>17</v>
      </c>
      <c r="D4465" t="s">
        <v>53</v>
      </c>
      <c r="E4465" t="s">
        <v>13</v>
      </c>
      <c r="F4465" t="s">
        <v>19</v>
      </c>
      <c r="G4465" t="s">
        <v>15</v>
      </c>
      <c r="K4465" cm="1">
        <f t="array" ref="K4465">_xlfn.SWITCH(LeadsData[[#This Row],[Funnel Stage Reached]],"Lead",1,"MQL",2,"SQL",3,"Customer",4)</f>
        <v>1</v>
      </c>
      <c r="L4465" t="str">
        <f>TEXT(LeadsData[[#This Row],[Signup Date]],"mmm-yyyy")</f>
        <v>Dec-2024</v>
      </c>
      <c r="M4465">
        <f>IF(LeadsData[[#This Row],[Stage Number]]&gt;=2,1,0)</f>
        <v>0</v>
      </c>
      <c r="N4465" s="2">
        <f>IF(LeadsData[[#This Row],[Stage Number]]&gt;=3,1,0)</f>
        <v>0</v>
      </c>
      <c r="O4465" s="2">
        <f>IF(LeadsData[[#This Row],[Stage Number]]&gt;=4,1,0)</f>
        <v>0</v>
      </c>
    </row>
    <row r="4466" spans="1:15" x14ac:dyDescent="0.25">
      <c r="A4466" t="s">
        <v>4506</v>
      </c>
      <c r="B4466" s="1">
        <v>45463</v>
      </c>
      <c r="C4466" t="s">
        <v>36</v>
      </c>
      <c r="D4466" t="s">
        <v>37</v>
      </c>
      <c r="E4466" t="s">
        <v>13</v>
      </c>
      <c r="F4466" t="s">
        <v>22</v>
      </c>
      <c r="G4466" t="s">
        <v>42</v>
      </c>
      <c r="H4466">
        <v>50</v>
      </c>
      <c r="I4466" t="s">
        <v>43</v>
      </c>
      <c r="J4466">
        <v>642.34</v>
      </c>
      <c r="K4466" cm="1">
        <f t="array" ref="K4466">_xlfn.SWITCH(LeadsData[[#This Row],[Funnel Stage Reached]],"Lead",1,"MQL",2,"SQL",3,"Customer",4)</f>
        <v>4</v>
      </c>
      <c r="L4466" t="str">
        <f>TEXT(LeadsData[[#This Row],[Signup Date]],"mmm-yyyy")</f>
        <v>Jun-2024</v>
      </c>
      <c r="M4466">
        <f>IF(LeadsData[[#This Row],[Stage Number]]&gt;=2,1,0)</f>
        <v>1</v>
      </c>
      <c r="N4466" s="2">
        <f>IF(LeadsData[[#This Row],[Stage Number]]&gt;=3,1,0)</f>
        <v>1</v>
      </c>
      <c r="O4466" s="2">
        <f>IF(LeadsData[[#This Row],[Stage Number]]&gt;=4,1,0)</f>
        <v>1</v>
      </c>
    </row>
    <row r="4467" spans="1:15" x14ac:dyDescent="0.25">
      <c r="A4467" t="s">
        <v>4507</v>
      </c>
      <c r="B4467" s="1">
        <v>45419</v>
      </c>
      <c r="C4467" t="s">
        <v>25</v>
      </c>
      <c r="D4467" t="s">
        <v>26</v>
      </c>
      <c r="E4467" t="s">
        <v>21</v>
      </c>
      <c r="F4467" t="s">
        <v>19</v>
      </c>
      <c r="G4467" t="s">
        <v>42</v>
      </c>
      <c r="H4467">
        <v>24</v>
      </c>
      <c r="I4467" t="s">
        <v>43</v>
      </c>
      <c r="J4467">
        <v>1069.29</v>
      </c>
      <c r="K4467" cm="1">
        <f t="array" ref="K4467">_xlfn.SWITCH(LeadsData[[#This Row],[Funnel Stage Reached]],"Lead",1,"MQL",2,"SQL",3,"Customer",4)</f>
        <v>4</v>
      </c>
      <c r="L4467" t="str">
        <f>TEXT(LeadsData[[#This Row],[Signup Date]],"mmm-yyyy")</f>
        <v>May-2024</v>
      </c>
      <c r="M4467">
        <f>IF(LeadsData[[#This Row],[Stage Number]]&gt;=2,1,0)</f>
        <v>1</v>
      </c>
      <c r="N4467" s="2">
        <f>IF(LeadsData[[#This Row],[Stage Number]]&gt;=3,1,0)</f>
        <v>1</v>
      </c>
      <c r="O4467" s="2">
        <f>IF(LeadsData[[#This Row],[Stage Number]]&gt;=4,1,0)</f>
        <v>1</v>
      </c>
    </row>
    <row r="4468" spans="1:15" x14ac:dyDescent="0.25">
      <c r="A4468" t="s">
        <v>4508</v>
      </c>
      <c r="B4468" s="1">
        <v>45357</v>
      </c>
      <c r="C4468" t="s">
        <v>17</v>
      </c>
      <c r="D4468" t="s">
        <v>53</v>
      </c>
      <c r="E4468" t="s">
        <v>21</v>
      </c>
      <c r="F4468" t="s">
        <v>22</v>
      </c>
      <c r="G4468" t="s">
        <v>23</v>
      </c>
      <c r="K4468" cm="1">
        <f t="array" ref="K4468">_xlfn.SWITCH(LeadsData[[#This Row],[Funnel Stage Reached]],"Lead",1,"MQL",2,"SQL",3,"Customer",4)</f>
        <v>2</v>
      </c>
      <c r="L4468" t="str">
        <f>TEXT(LeadsData[[#This Row],[Signup Date]],"mmm-yyyy")</f>
        <v>Mar-2024</v>
      </c>
      <c r="M4468">
        <f>IF(LeadsData[[#This Row],[Stage Number]]&gt;=2,1,0)</f>
        <v>1</v>
      </c>
      <c r="N4468" s="2">
        <f>IF(LeadsData[[#This Row],[Stage Number]]&gt;=3,1,0)</f>
        <v>0</v>
      </c>
      <c r="O4468" s="2">
        <f>IF(LeadsData[[#This Row],[Stage Number]]&gt;=4,1,0)</f>
        <v>0</v>
      </c>
    </row>
    <row r="4469" spans="1:15" x14ac:dyDescent="0.25">
      <c r="A4469" t="s">
        <v>4509</v>
      </c>
      <c r="B4469" s="1">
        <v>45386</v>
      </c>
      <c r="C4469" t="s">
        <v>25</v>
      </c>
      <c r="D4469" t="s">
        <v>26</v>
      </c>
      <c r="E4469" t="s">
        <v>21</v>
      </c>
      <c r="F4469" t="s">
        <v>22</v>
      </c>
      <c r="G4469" t="s">
        <v>23</v>
      </c>
      <c r="K4469" cm="1">
        <f t="array" ref="K4469">_xlfn.SWITCH(LeadsData[[#This Row],[Funnel Stage Reached]],"Lead",1,"MQL",2,"SQL",3,"Customer",4)</f>
        <v>2</v>
      </c>
      <c r="L4469" t="str">
        <f>TEXT(LeadsData[[#This Row],[Signup Date]],"mmm-yyyy")</f>
        <v>Apr-2024</v>
      </c>
      <c r="M4469">
        <f>IF(LeadsData[[#This Row],[Stage Number]]&gt;=2,1,0)</f>
        <v>1</v>
      </c>
      <c r="N4469" s="2">
        <f>IF(LeadsData[[#This Row],[Stage Number]]&gt;=3,1,0)</f>
        <v>0</v>
      </c>
      <c r="O4469" s="2">
        <f>IF(LeadsData[[#This Row],[Stage Number]]&gt;=4,1,0)</f>
        <v>0</v>
      </c>
    </row>
    <row r="4470" spans="1:15" x14ac:dyDescent="0.25">
      <c r="A4470" t="s">
        <v>4510</v>
      </c>
      <c r="B4470" s="1">
        <v>45426</v>
      </c>
      <c r="C4470" t="s">
        <v>25</v>
      </c>
      <c r="D4470" t="s">
        <v>26</v>
      </c>
      <c r="E4470" t="s">
        <v>13</v>
      </c>
      <c r="F4470" t="s">
        <v>22</v>
      </c>
      <c r="G4470" t="s">
        <v>15</v>
      </c>
      <c r="K4470" cm="1">
        <f t="array" ref="K4470">_xlfn.SWITCH(LeadsData[[#This Row],[Funnel Stage Reached]],"Lead",1,"MQL",2,"SQL",3,"Customer",4)</f>
        <v>1</v>
      </c>
      <c r="L4470" t="str">
        <f>TEXT(LeadsData[[#This Row],[Signup Date]],"mmm-yyyy")</f>
        <v>May-2024</v>
      </c>
      <c r="M4470">
        <f>IF(LeadsData[[#This Row],[Stage Number]]&gt;=2,1,0)</f>
        <v>0</v>
      </c>
      <c r="N4470" s="2">
        <f>IF(LeadsData[[#This Row],[Stage Number]]&gt;=3,1,0)</f>
        <v>0</v>
      </c>
      <c r="O4470" s="2">
        <f>IF(LeadsData[[#This Row],[Stage Number]]&gt;=4,1,0)</f>
        <v>0</v>
      </c>
    </row>
    <row r="4471" spans="1:15" x14ac:dyDescent="0.25">
      <c r="A4471" t="s">
        <v>4511</v>
      </c>
      <c r="B4471" s="1">
        <v>45576</v>
      </c>
      <c r="C4471" t="s">
        <v>31</v>
      </c>
      <c r="D4471" t="s">
        <v>34</v>
      </c>
      <c r="E4471" t="s">
        <v>13</v>
      </c>
      <c r="F4471" t="s">
        <v>19</v>
      </c>
      <c r="G4471" t="s">
        <v>23</v>
      </c>
      <c r="K4471" cm="1">
        <f t="array" ref="K4471">_xlfn.SWITCH(LeadsData[[#This Row],[Funnel Stage Reached]],"Lead",1,"MQL",2,"SQL",3,"Customer",4)</f>
        <v>2</v>
      </c>
      <c r="L4471" t="str">
        <f>TEXT(LeadsData[[#This Row],[Signup Date]],"mmm-yyyy")</f>
        <v>Oct-2024</v>
      </c>
      <c r="M4471">
        <f>IF(LeadsData[[#This Row],[Stage Number]]&gt;=2,1,0)</f>
        <v>1</v>
      </c>
      <c r="N4471" s="2">
        <f>IF(LeadsData[[#This Row],[Stage Number]]&gt;=3,1,0)</f>
        <v>0</v>
      </c>
      <c r="O4471" s="2">
        <f>IF(LeadsData[[#This Row],[Stage Number]]&gt;=4,1,0)</f>
        <v>0</v>
      </c>
    </row>
    <row r="4472" spans="1:15" x14ac:dyDescent="0.25">
      <c r="A4472" t="s">
        <v>4512</v>
      </c>
      <c r="B4472" s="1">
        <v>45316</v>
      </c>
      <c r="C4472" t="s">
        <v>31</v>
      </c>
      <c r="D4472" t="s">
        <v>32</v>
      </c>
      <c r="E4472" t="s">
        <v>13</v>
      </c>
      <c r="F4472" t="s">
        <v>14</v>
      </c>
      <c r="G4472" t="s">
        <v>23</v>
      </c>
      <c r="K4472" cm="1">
        <f t="array" ref="K4472">_xlfn.SWITCH(LeadsData[[#This Row],[Funnel Stage Reached]],"Lead",1,"MQL",2,"SQL",3,"Customer",4)</f>
        <v>2</v>
      </c>
      <c r="L4472" t="str">
        <f>TEXT(LeadsData[[#This Row],[Signup Date]],"mmm-yyyy")</f>
        <v>Jan-2024</v>
      </c>
      <c r="M4472">
        <f>IF(LeadsData[[#This Row],[Stage Number]]&gt;=2,1,0)</f>
        <v>1</v>
      </c>
      <c r="N4472" s="2">
        <f>IF(LeadsData[[#This Row],[Stage Number]]&gt;=3,1,0)</f>
        <v>0</v>
      </c>
      <c r="O4472" s="2">
        <f>IF(LeadsData[[#This Row],[Stage Number]]&gt;=4,1,0)</f>
        <v>0</v>
      </c>
    </row>
    <row r="4473" spans="1:15" x14ac:dyDescent="0.25">
      <c r="A4473" t="s">
        <v>4513</v>
      </c>
      <c r="B4473" s="1">
        <v>45356</v>
      </c>
      <c r="C4473" t="s">
        <v>11</v>
      </c>
      <c r="D4473" t="s">
        <v>12</v>
      </c>
      <c r="E4473" t="s">
        <v>21</v>
      </c>
      <c r="F4473" t="s">
        <v>19</v>
      </c>
      <c r="G4473" t="s">
        <v>23</v>
      </c>
      <c r="K4473" cm="1">
        <f t="array" ref="K4473">_xlfn.SWITCH(LeadsData[[#This Row],[Funnel Stage Reached]],"Lead",1,"MQL",2,"SQL",3,"Customer",4)</f>
        <v>2</v>
      </c>
      <c r="L4473" t="str">
        <f>TEXT(LeadsData[[#This Row],[Signup Date]],"mmm-yyyy")</f>
        <v>Mar-2024</v>
      </c>
      <c r="M4473">
        <f>IF(LeadsData[[#This Row],[Stage Number]]&gt;=2,1,0)</f>
        <v>1</v>
      </c>
      <c r="N4473" s="2">
        <f>IF(LeadsData[[#This Row],[Stage Number]]&gt;=3,1,0)</f>
        <v>0</v>
      </c>
      <c r="O4473" s="2">
        <f>IF(LeadsData[[#This Row],[Stage Number]]&gt;=4,1,0)</f>
        <v>0</v>
      </c>
    </row>
    <row r="4474" spans="1:15" x14ac:dyDescent="0.25">
      <c r="A4474" t="s">
        <v>4514</v>
      </c>
      <c r="B4474" s="1">
        <v>45605</v>
      </c>
      <c r="C4474" t="s">
        <v>11</v>
      </c>
      <c r="D4474" t="s">
        <v>68</v>
      </c>
      <c r="E4474" t="s">
        <v>13</v>
      </c>
      <c r="F4474" t="s">
        <v>22</v>
      </c>
      <c r="G4474" t="s">
        <v>15</v>
      </c>
      <c r="K4474" cm="1">
        <f t="array" ref="K4474">_xlfn.SWITCH(LeadsData[[#This Row],[Funnel Stage Reached]],"Lead",1,"MQL",2,"SQL",3,"Customer",4)</f>
        <v>1</v>
      </c>
      <c r="L4474" t="str">
        <f>TEXT(LeadsData[[#This Row],[Signup Date]],"mmm-yyyy")</f>
        <v>Nov-2024</v>
      </c>
      <c r="M4474">
        <f>IF(LeadsData[[#This Row],[Stage Number]]&gt;=2,1,0)</f>
        <v>0</v>
      </c>
      <c r="N4474" s="2">
        <f>IF(LeadsData[[#This Row],[Stage Number]]&gt;=3,1,0)</f>
        <v>0</v>
      </c>
      <c r="O4474" s="2">
        <f>IF(LeadsData[[#This Row],[Stage Number]]&gt;=4,1,0)</f>
        <v>0</v>
      </c>
    </row>
    <row r="4475" spans="1:15" x14ac:dyDescent="0.25">
      <c r="A4475" t="s">
        <v>4515</v>
      </c>
      <c r="B4475" s="1">
        <v>45557</v>
      </c>
      <c r="C4475" t="s">
        <v>11</v>
      </c>
      <c r="D4475" t="s">
        <v>68</v>
      </c>
      <c r="E4475" t="s">
        <v>13</v>
      </c>
      <c r="F4475" t="s">
        <v>28</v>
      </c>
      <c r="G4475" t="s">
        <v>15</v>
      </c>
      <c r="K4475" cm="1">
        <f t="array" ref="K4475">_xlfn.SWITCH(LeadsData[[#This Row],[Funnel Stage Reached]],"Lead",1,"MQL",2,"SQL",3,"Customer",4)</f>
        <v>1</v>
      </c>
      <c r="L4475" t="str">
        <f>TEXT(LeadsData[[#This Row],[Signup Date]],"mmm-yyyy")</f>
        <v>Sep-2024</v>
      </c>
      <c r="M4475">
        <f>IF(LeadsData[[#This Row],[Stage Number]]&gt;=2,1,0)</f>
        <v>0</v>
      </c>
      <c r="N4475" s="2">
        <f>IF(LeadsData[[#This Row],[Stage Number]]&gt;=3,1,0)</f>
        <v>0</v>
      </c>
      <c r="O4475" s="2">
        <f>IF(LeadsData[[#This Row],[Stage Number]]&gt;=4,1,0)</f>
        <v>0</v>
      </c>
    </row>
    <row r="4476" spans="1:15" x14ac:dyDescent="0.25">
      <c r="A4476" t="s">
        <v>4516</v>
      </c>
      <c r="B4476" s="1">
        <v>45577</v>
      </c>
      <c r="C4476" t="s">
        <v>31</v>
      </c>
      <c r="D4476" t="s">
        <v>34</v>
      </c>
      <c r="E4476" t="s">
        <v>13</v>
      </c>
      <c r="F4476" t="s">
        <v>14</v>
      </c>
      <c r="G4476" t="s">
        <v>15</v>
      </c>
      <c r="K4476" cm="1">
        <f t="array" ref="K4476">_xlfn.SWITCH(LeadsData[[#This Row],[Funnel Stage Reached]],"Lead",1,"MQL",2,"SQL",3,"Customer",4)</f>
        <v>1</v>
      </c>
      <c r="L4476" t="str">
        <f>TEXT(LeadsData[[#This Row],[Signup Date]],"mmm-yyyy")</f>
        <v>Oct-2024</v>
      </c>
      <c r="M4476">
        <f>IF(LeadsData[[#This Row],[Stage Number]]&gt;=2,1,0)</f>
        <v>0</v>
      </c>
      <c r="N4476" s="2">
        <f>IF(LeadsData[[#This Row],[Stage Number]]&gt;=3,1,0)</f>
        <v>0</v>
      </c>
      <c r="O4476" s="2">
        <f>IF(LeadsData[[#This Row],[Stage Number]]&gt;=4,1,0)</f>
        <v>0</v>
      </c>
    </row>
    <row r="4477" spans="1:15" x14ac:dyDescent="0.25">
      <c r="A4477" t="s">
        <v>4517</v>
      </c>
      <c r="B4477" s="1">
        <v>45644</v>
      </c>
      <c r="C4477" t="s">
        <v>11</v>
      </c>
      <c r="D4477" t="s">
        <v>68</v>
      </c>
      <c r="E4477" t="s">
        <v>21</v>
      </c>
      <c r="F4477" t="s">
        <v>19</v>
      </c>
      <c r="G4477" t="s">
        <v>23</v>
      </c>
      <c r="K4477" cm="1">
        <f t="array" ref="K4477">_xlfn.SWITCH(LeadsData[[#This Row],[Funnel Stage Reached]],"Lead",1,"MQL",2,"SQL",3,"Customer",4)</f>
        <v>2</v>
      </c>
      <c r="L4477" t="str">
        <f>TEXT(LeadsData[[#This Row],[Signup Date]],"mmm-yyyy")</f>
        <v>Dec-2024</v>
      </c>
      <c r="M4477">
        <f>IF(LeadsData[[#This Row],[Stage Number]]&gt;=2,1,0)</f>
        <v>1</v>
      </c>
      <c r="N4477" s="2">
        <f>IF(LeadsData[[#This Row],[Stage Number]]&gt;=3,1,0)</f>
        <v>0</v>
      </c>
      <c r="O4477" s="2">
        <f>IF(LeadsData[[#This Row],[Stage Number]]&gt;=4,1,0)</f>
        <v>0</v>
      </c>
    </row>
    <row r="4478" spans="1:15" x14ac:dyDescent="0.25">
      <c r="A4478" t="s">
        <v>4518</v>
      </c>
      <c r="B4478" s="1">
        <v>45627</v>
      </c>
      <c r="C4478" t="s">
        <v>25</v>
      </c>
      <c r="D4478" t="s">
        <v>26</v>
      </c>
      <c r="E4478" t="s">
        <v>13</v>
      </c>
      <c r="F4478" t="s">
        <v>22</v>
      </c>
      <c r="G4478" t="s">
        <v>29</v>
      </c>
      <c r="K4478" cm="1">
        <f t="array" ref="K4478">_xlfn.SWITCH(LeadsData[[#This Row],[Funnel Stage Reached]],"Lead",1,"MQL",2,"SQL",3,"Customer",4)</f>
        <v>3</v>
      </c>
      <c r="L4478" t="str">
        <f>TEXT(LeadsData[[#This Row],[Signup Date]],"mmm-yyyy")</f>
        <v>Dec-2024</v>
      </c>
      <c r="M4478">
        <f>IF(LeadsData[[#This Row],[Stage Number]]&gt;=2,1,0)</f>
        <v>1</v>
      </c>
      <c r="N4478" s="2">
        <f>IF(LeadsData[[#This Row],[Stage Number]]&gt;=3,1,0)</f>
        <v>1</v>
      </c>
      <c r="O4478" s="2">
        <f>IF(LeadsData[[#This Row],[Stage Number]]&gt;=4,1,0)</f>
        <v>0</v>
      </c>
    </row>
    <row r="4479" spans="1:15" x14ac:dyDescent="0.25">
      <c r="A4479" t="s">
        <v>4519</v>
      </c>
      <c r="B4479" s="1">
        <v>45464</v>
      </c>
      <c r="C4479" t="s">
        <v>36</v>
      </c>
      <c r="D4479" t="s">
        <v>50</v>
      </c>
      <c r="E4479" t="s">
        <v>13</v>
      </c>
      <c r="F4479" t="s">
        <v>28</v>
      </c>
      <c r="G4479" t="s">
        <v>15</v>
      </c>
      <c r="K4479" cm="1">
        <f t="array" ref="K4479">_xlfn.SWITCH(LeadsData[[#This Row],[Funnel Stage Reached]],"Lead",1,"MQL",2,"SQL",3,"Customer",4)</f>
        <v>1</v>
      </c>
      <c r="L4479" t="str">
        <f>TEXT(LeadsData[[#This Row],[Signup Date]],"mmm-yyyy")</f>
        <v>Jun-2024</v>
      </c>
      <c r="M4479">
        <f>IF(LeadsData[[#This Row],[Stage Number]]&gt;=2,1,0)</f>
        <v>0</v>
      </c>
      <c r="N4479" s="2">
        <f>IF(LeadsData[[#This Row],[Stage Number]]&gt;=3,1,0)</f>
        <v>0</v>
      </c>
      <c r="O4479" s="2">
        <f>IF(LeadsData[[#This Row],[Stage Number]]&gt;=4,1,0)</f>
        <v>0</v>
      </c>
    </row>
    <row r="4480" spans="1:15" x14ac:dyDescent="0.25">
      <c r="A4480" t="s">
        <v>4520</v>
      </c>
      <c r="B4480" s="1">
        <v>45618</v>
      </c>
      <c r="C4480" t="s">
        <v>46</v>
      </c>
      <c r="D4480" t="s">
        <v>47</v>
      </c>
      <c r="E4480" t="s">
        <v>48</v>
      </c>
      <c r="F4480" t="s">
        <v>14</v>
      </c>
      <c r="G4480" t="s">
        <v>29</v>
      </c>
      <c r="K4480" cm="1">
        <f t="array" ref="K4480">_xlfn.SWITCH(LeadsData[[#This Row],[Funnel Stage Reached]],"Lead",1,"MQL",2,"SQL",3,"Customer",4)</f>
        <v>3</v>
      </c>
      <c r="L4480" t="str">
        <f>TEXT(LeadsData[[#This Row],[Signup Date]],"mmm-yyyy")</f>
        <v>Nov-2024</v>
      </c>
      <c r="M4480">
        <f>IF(LeadsData[[#This Row],[Stage Number]]&gt;=2,1,0)</f>
        <v>1</v>
      </c>
      <c r="N4480" s="2">
        <f>IF(LeadsData[[#This Row],[Stage Number]]&gt;=3,1,0)</f>
        <v>1</v>
      </c>
      <c r="O4480" s="2">
        <f>IF(LeadsData[[#This Row],[Stage Number]]&gt;=4,1,0)</f>
        <v>0</v>
      </c>
    </row>
    <row r="4481" spans="1:15" x14ac:dyDescent="0.25">
      <c r="A4481" t="s">
        <v>4521</v>
      </c>
      <c r="B4481" s="1">
        <v>45584</v>
      </c>
      <c r="C4481" t="s">
        <v>31</v>
      </c>
      <c r="D4481" t="s">
        <v>32</v>
      </c>
      <c r="E4481" t="s">
        <v>48</v>
      </c>
      <c r="F4481" t="s">
        <v>14</v>
      </c>
      <c r="G4481" t="s">
        <v>23</v>
      </c>
      <c r="K4481" cm="1">
        <f t="array" ref="K4481">_xlfn.SWITCH(LeadsData[[#This Row],[Funnel Stage Reached]],"Lead",1,"MQL",2,"SQL",3,"Customer",4)</f>
        <v>2</v>
      </c>
      <c r="L4481" t="str">
        <f>TEXT(LeadsData[[#This Row],[Signup Date]],"mmm-yyyy")</f>
        <v>Oct-2024</v>
      </c>
      <c r="M4481">
        <f>IF(LeadsData[[#This Row],[Stage Number]]&gt;=2,1,0)</f>
        <v>1</v>
      </c>
      <c r="N4481" s="2">
        <f>IF(LeadsData[[#This Row],[Stage Number]]&gt;=3,1,0)</f>
        <v>0</v>
      </c>
      <c r="O4481" s="2">
        <f>IF(LeadsData[[#This Row],[Stage Number]]&gt;=4,1,0)</f>
        <v>0</v>
      </c>
    </row>
    <row r="4482" spans="1:15" x14ac:dyDescent="0.25">
      <c r="A4482" t="s">
        <v>4522</v>
      </c>
      <c r="B4482" s="1">
        <v>45512</v>
      </c>
      <c r="C4482" t="s">
        <v>36</v>
      </c>
      <c r="D4482" t="s">
        <v>50</v>
      </c>
      <c r="E4482" t="s">
        <v>13</v>
      </c>
      <c r="F4482" t="s">
        <v>22</v>
      </c>
      <c r="G4482" t="s">
        <v>42</v>
      </c>
      <c r="H4482">
        <v>26</v>
      </c>
      <c r="I4482" t="s">
        <v>43</v>
      </c>
      <c r="J4482">
        <v>1258.3699999999999</v>
      </c>
      <c r="K4482" cm="1">
        <f t="array" ref="K4482">_xlfn.SWITCH(LeadsData[[#This Row],[Funnel Stage Reached]],"Lead",1,"MQL",2,"SQL",3,"Customer",4)</f>
        <v>4</v>
      </c>
      <c r="L4482" t="str">
        <f>TEXT(LeadsData[[#This Row],[Signup Date]],"mmm-yyyy")</f>
        <v>Aug-2024</v>
      </c>
      <c r="M4482">
        <f>IF(LeadsData[[#This Row],[Stage Number]]&gt;=2,1,0)</f>
        <v>1</v>
      </c>
      <c r="N4482" s="2">
        <f>IF(LeadsData[[#This Row],[Stage Number]]&gt;=3,1,0)</f>
        <v>1</v>
      </c>
      <c r="O4482" s="2">
        <f>IF(LeadsData[[#This Row],[Stage Number]]&gt;=4,1,0)</f>
        <v>1</v>
      </c>
    </row>
    <row r="4483" spans="1:15" x14ac:dyDescent="0.25">
      <c r="A4483" t="s">
        <v>4523</v>
      </c>
      <c r="B4483" s="1">
        <v>45483</v>
      </c>
      <c r="C4483" t="s">
        <v>17</v>
      </c>
      <c r="D4483" t="s">
        <v>53</v>
      </c>
      <c r="E4483" t="s">
        <v>48</v>
      </c>
      <c r="F4483" t="s">
        <v>14</v>
      </c>
      <c r="G4483" t="s">
        <v>15</v>
      </c>
      <c r="K4483" cm="1">
        <f t="array" ref="K4483">_xlfn.SWITCH(LeadsData[[#This Row],[Funnel Stage Reached]],"Lead",1,"MQL",2,"SQL",3,"Customer",4)</f>
        <v>1</v>
      </c>
      <c r="L4483" t="str">
        <f>TEXT(LeadsData[[#This Row],[Signup Date]],"mmm-yyyy")</f>
        <v>Jul-2024</v>
      </c>
      <c r="M4483">
        <f>IF(LeadsData[[#This Row],[Stage Number]]&gt;=2,1,0)</f>
        <v>0</v>
      </c>
      <c r="N4483" s="2">
        <f>IF(LeadsData[[#This Row],[Stage Number]]&gt;=3,1,0)</f>
        <v>0</v>
      </c>
      <c r="O4483" s="2">
        <f>IF(LeadsData[[#This Row],[Stage Number]]&gt;=4,1,0)</f>
        <v>0</v>
      </c>
    </row>
    <row r="4484" spans="1:15" x14ac:dyDescent="0.25">
      <c r="A4484" t="s">
        <v>4524</v>
      </c>
      <c r="B4484" s="1">
        <v>45605</v>
      </c>
      <c r="C4484" t="s">
        <v>25</v>
      </c>
      <c r="D4484" t="s">
        <v>26</v>
      </c>
      <c r="E4484" t="s">
        <v>21</v>
      </c>
      <c r="F4484" t="s">
        <v>22</v>
      </c>
      <c r="G4484" t="s">
        <v>15</v>
      </c>
      <c r="K4484" cm="1">
        <f t="array" ref="K4484">_xlfn.SWITCH(LeadsData[[#This Row],[Funnel Stage Reached]],"Lead",1,"MQL",2,"SQL",3,"Customer",4)</f>
        <v>1</v>
      </c>
      <c r="L4484" t="str">
        <f>TEXT(LeadsData[[#This Row],[Signup Date]],"mmm-yyyy")</f>
        <v>Nov-2024</v>
      </c>
      <c r="M4484">
        <f>IF(LeadsData[[#This Row],[Stage Number]]&gt;=2,1,0)</f>
        <v>0</v>
      </c>
      <c r="N4484" s="2">
        <f>IF(LeadsData[[#This Row],[Stage Number]]&gt;=3,1,0)</f>
        <v>0</v>
      </c>
      <c r="O4484" s="2">
        <f>IF(LeadsData[[#This Row],[Stage Number]]&gt;=4,1,0)</f>
        <v>0</v>
      </c>
    </row>
    <row r="4485" spans="1:15" x14ac:dyDescent="0.25">
      <c r="A4485" t="s">
        <v>4525</v>
      </c>
      <c r="B4485" s="1">
        <v>45553</v>
      </c>
      <c r="C4485" t="s">
        <v>46</v>
      </c>
      <c r="D4485" t="s">
        <v>56</v>
      </c>
      <c r="E4485" t="s">
        <v>13</v>
      </c>
      <c r="F4485" t="s">
        <v>19</v>
      </c>
      <c r="G4485" t="s">
        <v>15</v>
      </c>
      <c r="K4485" cm="1">
        <f t="array" ref="K4485">_xlfn.SWITCH(LeadsData[[#This Row],[Funnel Stage Reached]],"Lead",1,"MQL",2,"SQL",3,"Customer",4)</f>
        <v>1</v>
      </c>
      <c r="L4485" t="str">
        <f>TEXT(LeadsData[[#This Row],[Signup Date]],"mmm-yyyy")</f>
        <v>Sep-2024</v>
      </c>
      <c r="M4485">
        <f>IF(LeadsData[[#This Row],[Stage Number]]&gt;=2,1,0)</f>
        <v>0</v>
      </c>
      <c r="N4485" s="2">
        <f>IF(LeadsData[[#This Row],[Stage Number]]&gt;=3,1,0)</f>
        <v>0</v>
      </c>
      <c r="O4485" s="2">
        <f>IF(LeadsData[[#This Row],[Stage Number]]&gt;=4,1,0)</f>
        <v>0</v>
      </c>
    </row>
    <row r="4486" spans="1:15" x14ac:dyDescent="0.25">
      <c r="A4486" t="s">
        <v>4526</v>
      </c>
      <c r="B4486" s="1">
        <v>45599</v>
      </c>
      <c r="C4486" t="s">
        <v>31</v>
      </c>
      <c r="D4486" t="s">
        <v>34</v>
      </c>
      <c r="E4486" t="s">
        <v>13</v>
      </c>
      <c r="F4486" t="s">
        <v>19</v>
      </c>
      <c r="G4486" t="s">
        <v>42</v>
      </c>
      <c r="H4486">
        <v>50</v>
      </c>
      <c r="I4486" t="s">
        <v>87</v>
      </c>
      <c r="J4486">
        <v>2407.16</v>
      </c>
      <c r="K4486" cm="1">
        <f t="array" ref="K4486">_xlfn.SWITCH(LeadsData[[#This Row],[Funnel Stage Reached]],"Lead",1,"MQL",2,"SQL",3,"Customer",4)</f>
        <v>4</v>
      </c>
      <c r="L4486" t="str">
        <f>TEXT(LeadsData[[#This Row],[Signup Date]],"mmm-yyyy")</f>
        <v>Nov-2024</v>
      </c>
      <c r="M4486">
        <f>IF(LeadsData[[#This Row],[Stage Number]]&gt;=2,1,0)</f>
        <v>1</v>
      </c>
      <c r="N4486" s="2">
        <f>IF(LeadsData[[#This Row],[Stage Number]]&gt;=3,1,0)</f>
        <v>1</v>
      </c>
      <c r="O4486" s="2">
        <f>IF(LeadsData[[#This Row],[Stage Number]]&gt;=4,1,0)</f>
        <v>1</v>
      </c>
    </row>
    <row r="4487" spans="1:15" x14ac:dyDescent="0.25">
      <c r="A4487" t="s">
        <v>4527</v>
      </c>
      <c r="B4487" s="1">
        <v>45496</v>
      </c>
      <c r="C4487" t="s">
        <v>11</v>
      </c>
      <c r="D4487" t="s">
        <v>68</v>
      </c>
      <c r="E4487" t="s">
        <v>21</v>
      </c>
      <c r="F4487" t="s">
        <v>14</v>
      </c>
      <c r="G4487" t="s">
        <v>23</v>
      </c>
      <c r="K4487" cm="1">
        <f t="array" ref="K4487">_xlfn.SWITCH(LeadsData[[#This Row],[Funnel Stage Reached]],"Lead",1,"MQL",2,"SQL",3,"Customer",4)</f>
        <v>2</v>
      </c>
      <c r="L4487" t="str">
        <f>TEXT(LeadsData[[#This Row],[Signup Date]],"mmm-yyyy")</f>
        <v>Jul-2024</v>
      </c>
      <c r="M4487">
        <f>IF(LeadsData[[#This Row],[Stage Number]]&gt;=2,1,0)</f>
        <v>1</v>
      </c>
      <c r="N4487" s="2">
        <f>IF(LeadsData[[#This Row],[Stage Number]]&gt;=3,1,0)</f>
        <v>0</v>
      </c>
      <c r="O4487" s="2">
        <f>IF(LeadsData[[#This Row],[Stage Number]]&gt;=4,1,0)</f>
        <v>0</v>
      </c>
    </row>
    <row r="4488" spans="1:15" x14ac:dyDescent="0.25">
      <c r="A4488" t="s">
        <v>4528</v>
      </c>
      <c r="B4488" s="1">
        <v>45385</v>
      </c>
      <c r="C4488" t="s">
        <v>31</v>
      </c>
      <c r="D4488" t="s">
        <v>32</v>
      </c>
      <c r="E4488" t="s">
        <v>21</v>
      </c>
      <c r="F4488" t="s">
        <v>22</v>
      </c>
      <c r="G4488" t="s">
        <v>23</v>
      </c>
      <c r="K4488" cm="1">
        <f t="array" ref="K4488">_xlfn.SWITCH(LeadsData[[#This Row],[Funnel Stage Reached]],"Lead",1,"MQL",2,"SQL",3,"Customer",4)</f>
        <v>2</v>
      </c>
      <c r="L4488" t="str">
        <f>TEXT(LeadsData[[#This Row],[Signup Date]],"mmm-yyyy")</f>
        <v>Apr-2024</v>
      </c>
      <c r="M4488">
        <f>IF(LeadsData[[#This Row],[Stage Number]]&gt;=2,1,0)</f>
        <v>1</v>
      </c>
      <c r="N4488" s="2">
        <f>IF(LeadsData[[#This Row],[Stage Number]]&gt;=3,1,0)</f>
        <v>0</v>
      </c>
      <c r="O4488" s="2">
        <f>IF(LeadsData[[#This Row],[Stage Number]]&gt;=4,1,0)</f>
        <v>0</v>
      </c>
    </row>
    <row r="4489" spans="1:15" x14ac:dyDescent="0.25">
      <c r="A4489" t="s">
        <v>4529</v>
      </c>
      <c r="B4489" s="1">
        <v>45346</v>
      </c>
      <c r="C4489" t="s">
        <v>17</v>
      </c>
      <c r="D4489" t="s">
        <v>18</v>
      </c>
      <c r="E4489" t="s">
        <v>48</v>
      </c>
      <c r="F4489" t="s">
        <v>14</v>
      </c>
      <c r="G4489" t="s">
        <v>15</v>
      </c>
      <c r="K4489" cm="1">
        <f t="array" ref="K4489">_xlfn.SWITCH(LeadsData[[#This Row],[Funnel Stage Reached]],"Lead",1,"MQL",2,"SQL",3,"Customer",4)</f>
        <v>1</v>
      </c>
      <c r="L4489" t="str">
        <f>TEXT(LeadsData[[#This Row],[Signup Date]],"mmm-yyyy")</f>
        <v>Feb-2024</v>
      </c>
      <c r="M4489">
        <f>IF(LeadsData[[#This Row],[Stage Number]]&gt;=2,1,0)</f>
        <v>0</v>
      </c>
      <c r="N4489" s="2">
        <f>IF(LeadsData[[#This Row],[Stage Number]]&gt;=3,1,0)</f>
        <v>0</v>
      </c>
      <c r="O4489" s="2">
        <f>IF(LeadsData[[#This Row],[Stage Number]]&gt;=4,1,0)</f>
        <v>0</v>
      </c>
    </row>
    <row r="4490" spans="1:15" x14ac:dyDescent="0.25">
      <c r="A4490" t="s">
        <v>4530</v>
      </c>
      <c r="B4490" s="1">
        <v>45446</v>
      </c>
      <c r="C4490" t="s">
        <v>17</v>
      </c>
      <c r="D4490" t="s">
        <v>53</v>
      </c>
      <c r="E4490" t="s">
        <v>21</v>
      </c>
      <c r="F4490" t="s">
        <v>14</v>
      </c>
      <c r="G4490" t="s">
        <v>15</v>
      </c>
      <c r="K4490" cm="1">
        <f t="array" ref="K4490">_xlfn.SWITCH(LeadsData[[#This Row],[Funnel Stage Reached]],"Lead",1,"MQL",2,"SQL",3,"Customer",4)</f>
        <v>1</v>
      </c>
      <c r="L4490" t="str">
        <f>TEXT(LeadsData[[#This Row],[Signup Date]],"mmm-yyyy")</f>
        <v>Jun-2024</v>
      </c>
      <c r="M4490">
        <f>IF(LeadsData[[#This Row],[Stage Number]]&gt;=2,1,0)</f>
        <v>0</v>
      </c>
      <c r="N4490" s="2">
        <f>IF(LeadsData[[#This Row],[Stage Number]]&gt;=3,1,0)</f>
        <v>0</v>
      </c>
      <c r="O4490" s="2">
        <f>IF(LeadsData[[#This Row],[Stage Number]]&gt;=4,1,0)</f>
        <v>0</v>
      </c>
    </row>
    <row r="4491" spans="1:15" x14ac:dyDescent="0.25">
      <c r="A4491" t="s">
        <v>4531</v>
      </c>
      <c r="B4491" s="1">
        <v>45563</v>
      </c>
      <c r="C4491" t="s">
        <v>17</v>
      </c>
      <c r="D4491" t="s">
        <v>18</v>
      </c>
      <c r="E4491" t="s">
        <v>21</v>
      </c>
      <c r="F4491" t="s">
        <v>19</v>
      </c>
      <c r="G4491" t="s">
        <v>15</v>
      </c>
      <c r="K4491" cm="1">
        <f t="array" ref="K4491">_xlfn.SWITCH(LeadsData[[#This Row],[Funnel Stage Reached]],"Lead",1,"MQL",2,"SQL",3,"Customer",4)</f>
        <v>1</v>
      </c>
      <c r="L4491" t="str">
        <f>TEXT(LeadsData[[#This Row],[Signup Date]],"mmm-yyyy")</f>
        <v>Sep-2024</v>
      </c>
      <c r="M4491">
        <f>IF(LeadsData[[#This Row],[Stage Number]]&gt;=2,1,0)</f>
        <v>0</v>
      </c>
      <c r="N4491" s="2">
        <f>IF(LeadsData[[#This Row],[Stage Number]]&gt;=3,1,0)</f>
        <v>0</v>
      </c>
      <c r="O4491" s="2">
        <f>IF(LeadsData[[#This Row],[Stage Number]]&gt;=4,1,0)</f>
        <v>0</v>
      </c>
    </row>
    <row r="4492" spans="1:15" x14ac:dyDescent="0.25">
      <c r="A4492" t="s">
        <v>4532</v>
      </c>
      <c r="B4492" s="1">
        <v>45329</v>
      </c>
      <c r="C4492" t="s">
        <v>46</v>
      </c>
      <c r="D4492" t="s">
        <v>47</v>
      </c>
      <c r="E4492" t="s">
        <v>13</v>
      </c>
      <c r="F4492" t="s">
        <v>19</v>
      </c>
      <c r="G4492" t="s">
        <v>15</v>
      </c>
      <c r="K4492" cm="1">
        <f t="array" ref="K4492">_xlfn.SWITCH(LeadsData[[#This Row],[Funnel Stage Reached]],"Lead",1,"MQL",2,"SQL",3,"Customer",4)</f>
        <v>1</v>
      </c>
      <c r="L4492" t="str">
        <f>TEXT(LeadsData[[#This Row],[Signup Date]],"mmm-yyyy")</f>
        <v>Feb-2024</v>
      </c>
      <c r="M4492">
        <f>IF(LeadsData[[#This Row],[Stage Number]]&gt;=2,1,0)</f>
        <v>0</v>
      </c>
      <c r="N4492" s="2">
        <f>IF(LeadsData[[#This Row],[Stage Number]]&gt;=3,1,0)</f>
        <v>0</v>
      </c>
      <c r="O4492" s="2">
        <f>IF(LeadsData[[#This Row],[Stage Number]]&gt;=4,1,0)</f>
        <v>0</v>
      </c>
    </row>
    <row r="4493" spans="1:15" x14ac:dyDescent="0.25">
      <c r="A4493" t="s">
        <v>4533</v>
      </c>
      <c r="B4493" s="1">
        <v>45602</v>
      </c>
      <c r="C4493" t="s">
        <v>31</v>
      </c>
      <c r="D4493" t="s">
        <v>34</v>
      </c>
      <c r="E4493" t="s">
        <v>21</v>
      </c>
      <c r="F4493" t="s">
        <v>19</v>
      </c>
      <c r="G4493" t="s">
        <v>15</v>
      </c>
      <c r="K4493" cm="1">
        <f t="array" ref="K4493">_xlfn.SWITCH(LeadsData[[#This Row],[Funnel Stage Reached]],"Lead",1,"MQL",2,"SQL",3,"Customer",4)</f>
        <v>1</v>
      </c>
      <c r="L4493" t="str">
        <f>TEXT(LeadsData[[#This Row],[Signup Date]],"mmm-yyyy")</f>
        <v>Nov-2024</v>
      </c>
      <c r="M4493">
        <f>IF(LeadsData[[#This Row],[Stage Number]]&gt;=2,1,0)</f>
        <v>0</v>
      </c>
      <c r="N4493" s="2">
        <f>IF(LeadsData[[#This Row],[Stage Number]]&gt;=3,1,0)</f>
        <v>0</v>
      </c>
      <c r="O4493" s="2">
        <f>IF(LeadsData[[#This Row],[Stage Number]]&gt;=4,1,0)</f>
        <v>0</v>
      </c>
    </row>
    <row r="4494" spans="1:15" x14ac:dyDescent="0.25">
      <c r="A4494" t="s">
        <v>4534</v>
      </c>
      <c r="B4494" s="1">
        <v>45302</v>
      </c>
      <c r="C4494" t="s">
        <v>31</v>
      </c>
      <c r="D4494" t="s">
        <v>34</v>
      </c>
      <c r="E4494" t="s">
        <v>13</v>
      </c>
      <c r="F4494" t="s">
        <v>28</v>
      </c>
      <c r="G4494" t="s">
        <v>23</v>
      </c>
      <c r="K4494" cm="1">
        <f t="array" ref="K4494">_xlfn.SWITCH(LeadsData[[#This Row],[Funnel Stage Reached]],"Lead",1,"MQL",2,"SQL",3,"Customer",4)</f>
        <v>2</v>
      </c>
      <c r="L4494" t="str">
        <f>TEXT(LeadsData[[#This Row],[Signup Date]],"mmm-yyyy")</f>
        <v>Jan-2024</v>
      </c>
      <c r="M4494">
        <f>IF(LeadsData[[#This Row],[Stage Number]]&gt;=2,1,0)</f>
        <v>1</v>
      </c>
      <c r="N4494" s="2">
        <f>IF(LeadsData[[#This Row],[Stage Number]]&gt;=3,1,0)</f>
        <v>0</v>
      </c>
      <c r="O4494" s="2">
        <f>IF(LeadsData[[#This Row],[Stage Number]]&gt;=4,1,0)</f>
        <v>0</v>
      </c>
    </row>
    <row r="4495" spans="1:15" x14ac:dyDescent="0.25">
      <c r="A4495" t="s">
        <v>4535</v>
      </c>
      <c r="B4495" s="1">
        <v>45541</v>
      </c>
      <c r="C4495" t="s">
        <v>31</v>
      </c>
      <c r="D4495" t="s">
        <v>34</v>
      </c>
      <c r="E4495" t="s">
        <v>21</v>
      </c>
      <c r="F4495" t="s">
        <v>19</v>
      </c>
      <c r="G4495" t="s">
        <v>15</v>
      </c>
      <c r="K4495" cm="1">
        <f t="array" ref="K4495">_xlfn.SWITCH(LeadsData[[#This Row],[Funnel Stage Reached]],"Lead",1,"MQL",2,"SQL",3,"Customer",4)</f>
        <v>1</v>
      </c>
      <c r="L4495" t="str">
        <f>TEXT(LeadsData[[#This Row],[Signup Date]],"mmm-yyyy")</f>
        <v>Sep-2024</v>
      </c>
      <c r="M4495">
        <f>IF(LeadsData[[#This Row],[Stage Number]]&gt;=2,1,0)</f>
        <v>0</v>
      </c>
      <c r="N4495" s="2">
        <f>IF(LeadsData[[#This Row],[Stage Number]]&gt;=3,1,0)</f>
        <v>0</v>
      </c>
      <c r="O4495" s="2">
        <f>IF(LeadsData[[#This Row],[Stage Number]]&gt;=4,1,0)</f>
        <v>0</v>
      </c>
    </row>
    <row r="4496" spans="1:15" x14ac:dyDescent="0.25">
      <c r="A4496" t="s">
        <v>4536</v>
      </c>
      <c r="B4496" s="1">
        <v>45579</v>
      </c>
      <c r="C4496" t="s">
        <v>46</v>
      </c>
      <c r="D4496" t="s">
        <v>56</v>
      </c>
      <c r="E4496" t="s">
        <v>21</v>
      </c>
      <c r="F4496" t="s">
        <v>19</v>
      </c>
      <c r="G4496" t="s">
        <v>15</v>
      </c>
      <c r="K4496" cm="1">
        <f t="array" ref="K4496">_xlfn.SWITCH(LeadsData[[#This Row],[Funnel Stage Reached]],"Lead",1,"MQL",2,"SQL",3,"Customer",4)</f>
        <v>1</v>
      </c>
      <c r="L4496" t="str">
        <f>TEXT(LeadsData[[#This Row],[Signup Date]],"mmm-yyyy")</f>
        <v>Oct-2024</v>
      </c>
      <c r="M4496">
        <f>IF(LeadsData[[#This Row],[Stage Number]]&gt;=2,1,0)</f>
        <v>0</v>
      </c>
      <c r="N4496" s="2">
        <f>IF(LeadsData[[#This Row],[Stage Number]]&gt;=3,1,0)</f>
        <v>0</v>
      </c>
      <c r="O4496" s="2">
        <f>IF(LeadsData[[#This Row],[Stage Number]]&gt;=4,1,0)</f>
        <v>0</v>
      </c>
    </row>
    <row r="4497" spans="1:15" x14ac:dyDescent="0.25">
      <c r="A4497" t="s">
        <v>4537</v>
      </c>
      <c r="B4497" s="1">
        <v>45305</v>
      </c>
      <c r="C4497" t="s">
        <v>36</v>
      </c>
      <c r="D4497" t="s">
        <v>37</v>
      </c>
      <c r="E4497" t="s">
        <v>21</v>
      </c>
      <c r="F4497" t="s">
        <v>22</v>
      </c>
      <c r="G4497" t="s">
        <v>29</v>
      </c>
      <c r="K4497" cm="1">
        <f t="array" ref="K4497">_xlfn.SWITCH(LeadsData[[#This Row],[Funnel Stage Reached]],"Lead",1,"MQL",2,"SQL",3,"Customer",4)</f>
        <v>3</v>
      </c>
      <c r="L4497" t="str">
        <f>TEXT(LeadsData[[#This Row],[Signup Date]],"mmm-yyyy")</f>
        <v>Jan-2024</v>
      </c>
      <c r="M4497">
        <f>IF(LeadsData[[#This Row],[Stage Number]]&gt;=2,1,0)</f>
        <v>1</v>
      </c>
      <c r="N4497" s="2">
        <f>IF(LeadsData[[#This Row],[Stage Number]]&gt;=3,1,0)</f>
        <v>1</v>
      </c>
      <c r="O4497" s="2">
        <f>IF(LeadsData[[#This Row],[Stage Number]]&gt;=4,1,0)</f>
        <v>0</v>
      </c>
    </row>
    <row r="4498" spans="1:15" x14ac:dyDescent="0.25">
      <c r="A4498" t="s">
        <v>4538</v>
      </c>
      <c r="B4498" s="1">
        <v>45352</v>
      </c>
      <c r="C4498" t="s">
        <v>25</v>
      </c>
      <c r="D4498" t="s">
        <v>26</v>
      </c>
      <c r="E4498" t="s">
        <v>13</v>
      </c>
      <c r="F4498" t="s">
        <v>19</v>
      </c>
      <c r="G4498" t="s">
        <v>15</v>
      </c>
      <c r="K4498" cm="1">
        <f t="array" ref="K4498">_xlfn.SWITCH(LeadsData[[#This Row],[Funnel Stage Reached]],"Lead",1,"MQL",2,"SQL",3,"Customer",4)</f>
        <v>1</v>
      </c>
      <c r="L4498" t="str">
        <f>TEXT(LeadsData[[#This Row],[Signup Date]],"mmm-yyyy")</f>
        <v>Mar-2024</v>
      </c>
      <c r="M4498">
        <f>IF(LeadsData[[#This Row],[Stage Number]]&gt;=2,1,0)</f>
        <v>0</v>
      </c>
      <c r="N4498" s="2">
        <f>IF(LeadsData[[#This Row],[Stage Number]]&gt;=3,1,0)</f>
        <v>0</v>
      </c>
      <c r="O4498" s="2">
        <f>IF(LeadsData[[#This Row],[Stage Number]]&gt;=4,1,0)</f>
        <v>0</v>
      </c>
    </row>
    <row r="4499" spans="1:15" x14ac:dyDescent="0.25">
      <c r="A4499" t="s">
        <v>4539</v>
      </c>
      <c r="B4499" s="1">
        <v>45319</v>
      </c>
      <c r="C4499" t="s">
        <v>31</v>
      </c>
      <c r="D4499" t="s">
        <v>34</v>
      </c>
      <c r="E4499" t="s">
        <v>21</v>
      </c>
      <c r="F4499" t="s">
        <v>19</v>
      </c>
      <c r="G4499" t="s">
        <v>15</v>
      </c>
      <c r="K4499" cm="1">
        <f t="array" ref="K4499">_xlfn.SWITCH(LeadsData[[#This Row],[Funnel Stage Reached]],"Lead",1,"MQL",2,"SQL",3,"Customer",4)</f>
        <v>1</v>
      </c>
      <c r="L4499" t="str">
        <f>TEXT(LeadsData[[#This Row],[Signup Date]],"mmm-yyyy")</f>
        <v>Jan-2024</v>
      </c>
      <c r="M4499">
        <f>IF(LeadsData[[#This Row],[Stage Number]]&gt;=2,1,0)</f>
        <v>0</v>
      </c>
      <c r="N4499" s="2">
        <f>IF(LeadsData[[#This Row],[Stage Number]]&gt;=3,1,0)</f>
        <v>0</v>
      </c>
      <c r="O4499" s="2">
        <f>IF(LeadsData[[#This Row],[Stage Number]]&gt;=4,1,0)</f>
        <v>0</v>
      </c>
    </row>
    <row r="4500" spans="1:15" x14ac:dyDescent="0.25">
      <c r="A4500" t="s">
        <v>4540</v>
      </c>
      <c r="B4500" s="1">
        <v>45554</v>
      </c>
      <c r="C4500" t="s">
        <v>36</v>
      </c>
      <c r="D4500" t="s">
        <v>50</v>
      </c>
      <c r="E4500" t="s">
        <v>21</v>
      </c>
      <c r="F4500" t="s">
        <v>14</v>
      </c>
      <c r="G4500" t="s">
        <v>23</v>
      </c>
      <c r="K4500" cm="1">
        <f t="array" ref="K4500">_xlfn.SWITCH(LeadsData[[#This Row],[Funnel Stage Reached]],"Lead",1,"MQL",2,"SQL",3,"Customer",4)</f>
        <v>2</v>
      </c>
      <c r="L4500" t="str">
        <f>TEXT(LeadsData[[#This Row],[Signup Date]],"mmm-yyyy")</f>
        <v>Sep-2024</v>
      </c>
      <c r="M4500">
        <f>IF(LeadsData[[#This Row],[Stage Number]]&gt;=2,1,0)</f>
        <v>1</v>
      </c>
      <c r="N4500" s="2">
        <f>IF(LeadsData[[#This Row],[Stage Number]]&gt;=3,1,0)</f>
        <v>0</v>
      </c>
      <c r="O4500" s="2">
        <f>IF(LeadsData[[#This Row],[Stage Number]]&gt;=4,1,0)</f>
        <v>0</v>
      </c>
    </row>
    <row r="4501" spans="1:15" x14ac:dyDescent="0.25">
      <c r="A4501" t="s">
        <v>4541</v>
      </c>
      <c r="B4501" s="1">
        <v>45627</v>
      </c>
      <c r="C4501" t="s">
        <v>46</v>
      </c>
      <c r="D4501" t="s">
        <v>56</v>
      </c>
      <c r="E4501" t="s">
        <v>48</v>
      </c>
      <c r="F4501" t="s">
        <v>19</v>
      </c>
      <c r="G4501" t="s">
        <v>15</v>
      </c>
      <c r="K4501" cm="1">
        <f t="array" ref="K4501">_xlfn.SWITCH(LeadsData[[#This Row],[Funnel Stage Reached]],"Lead",1,"MQL",2,"SQL",3,"Customer",4)</f>
        <v>1</v>
      </c>
      <c r="L4501" t="str">
        <f>TEXT(LeadsData[[#This Row],[Signup Date]],"mmm-yyyy")</f>
        <v>Dec-2024</v>
      </c>
      <c r="M4501">
        <f>IF(LeadsData[[#This Row],[Stage Number]]&gt;=2,1,0)</f>
        <v>0</v>
      </c>
      <c r="N4501" s="2">
        <f>IF(LeadsData[[#This Row],[Stage Number]]&gt;=3,1,0)</f>
        <v>0</v>
      </c>
      <c r="O4501" s="2">
        <f>IF(LeadsData[[#This Row],[Stage Number]]&gt;=4,1,0)</f>
        <v>0</v>
      </c>
    </row>
    <row r="4502" spans="1:15" x14ac:dyDescent="0.25">
      <c r="A4502" t="s">
        <v>4542</v>
      </c>
      <c r="B4502" s="1">
        <v>45396</v>
      </c>
      <c r="C4502" t="s">
        <v>11</v>
      </c>
      <c r="D4502" t="s">
        <v>12</v>
      </c>
      <c r="E4502" t="s">
        <v>13</v>
      </c>
      <c r="F4502" t="s">
        <v>22</v>
      </c>
      <c r="G4502" t="s">
        <v>15</v>
      </c>
      <c r="K4502" cm="1">
        <f t="array" ref="K4502">_xlfn.SWITCH(LeadsData[[#This Row],[Funnel Stage Reached]],"Lead",1,"MQL",2,"SQL",3,"Customer",4)</f>
        <v>1</v>
      </c>
      <c r="L4502" t="str">
        <f>TEXT(LeadsData[[#This Row],[Signup Date]],"mmm-yyyy")</f>
        <v>Apr-2024</v>
      </c>
      <c r="M4502">
        <f>IF(LeadsData[[#This Row],[Stage Number]]&gt;=2,1,0)</f>
        <v>0</v>
      </c>
      <c r="N4502" s="2">
        <f>IF(LeadsData[[#This Row],[Stage Number]]&gt;=3,1,0)</f>
        <v>0</v>
      </c>
      <c r="O4502" s="2">
        <f>IF(LeadsData[[#This Row],[Stage Number]]&gt;=4,1,0)</f>
        <v>0</v>
      </c>
    </row>
    <row r="4503" spans="1:15" x14ac:dyDescent="0.25">
      <c r="A4503" t="s">
        <v>4543</v>
      </c>
      <c r="B4503" s="1">
        <v>45403</v>
      </c>
      <c r="C4503" t="s">
        <v>11</v>
      </c>
      <c r="D4503" t="s">
        <v>12</v>
      </c>
      <c r="E4503" t="s">
        <v>13</v>
      </c>
      <c r="F4503" t="s">
        <v>14</v>
      </c>
      <c r="G4503" t="s">
        <v>15</v>
      </c>
      <c r="K4503" cm="1">
        <f t="array" ref="K4503">_xlfn.SWITCH(LeadsData[[#This Row],[Funnel Stage Reached]],"Lead",1,"MQL",2,"SQL",3,"Customer",4)</f>
        <v>1</v>
      </c>
      <c r="L4503" t="str">
        <f>TEXT(LeadsData[[#This Row],[Signup Date]],"mmm-yyyy")</f>
        <v>Apr-2024</v>
      </c>
      <c r="M4503">
        <f>IF(LeadsData[[#This Row],[Stage Number]]&gt;=2,1,0)</f>
        <v>0</v>
      </c>
      <c r="N4503" s="2">
        <f>IF(LeadsData[[#This Row],[Stage Number]]&gt;=3,1,0)</f>
        <v>0</v>
      </c>
      <c r="O4503" s="2">
        <f>IF(LeadsData[[#This Row],[Stage Number]]&gt;=4,1,0)</f>
        <v>0</v>
      </c>
    </row>
    <row r="4504" spans="1:15" x14ac:dyDescent="0.25">
      <c r="A4504" t="s">
        <v>4544</v>
      </c>
      <c r="B4504" s="1">
        <v>45413</v>
      </c>
      <c r="C4504" t="s">
        <v>36</v>
      </c>
      <c r="D4504" t="s">
        <v>37</v>
      </c>
      <c r="E4504" t="s">
        <v>21</v>
      </c>
      <c r="F4504" t="s">
        <v>19</v>
      </c>
      <c r="G4504" t="s">
        <v>29</v>
      </c>
      <c r="K4504" cm="1">
        <f t="array" ref="K4504">_xlfn.SWITCH(LeadsData[[#This Row],[Funnel Stage Reached]],"Lead",1,"MQL",2,"SQL",3,"Customer",4)</f>
        <v>3</v>
      </c>
      <c r="L4504" t="str">
        <f>TEXT(LeadsData[[#This Row],[Signup Date]],"mmm-yyyy")</f>
        <v>May-2024</v>
      </c>
      <c r="M4504">
        <f>IF(LeadsData[[#This Row],[Stage Number]]&gt;=2,1,0)</f>
        <v>1</v>
      </c>
      <c r="N4504" s="2">
        <f>IF(LeadsData[[#This Row],[Stage Number]]&gt;=3,1,0)</f>
        <v>1</v>
      </c>
      <c r="O4504" s="2">
        <f>IF(LeadsData[[#This Row],[Stage Number]]&gt;=4,1,0)</f>
        <v>0</v>
      </c>
    </row>
    <row r="4505" spans="1:15" x14ac:dyDescent="0.25">
      <c r="A4505" t="s">
        <v>4545</v>
      </c>
      <c r="B4505" s="1">
        <v>45571</v>
      </c>
      <c r="C4505" t="s">
        <v>36</v>
      </c>
      <c r="D4505" t="s">
        <v>50</v>
      </c>
      <c r="E4505" t="s">
        <v>21</v>
      </c>
      <c r="F4505" t="s">
        <v>19</v>
      </c>
      <c r="G4505" t="s">
        <v>23</v>
      </c>
      <c r="K4505" cm="1">
        <f t="array" ref="K4505">_xlfn.SWITCH(LeadsData[[#This Row],[Funnel Stage Reached]],"Lead",1,"MQL",2,"SQL",3,"Customer",4)</f>
        <v>2</v>
      </c>
      <c r="L4505" t="str">
        <f>TEXT(LeadsData[[#This Row],[Signup Date]],"mmm-yyyy")</f>
        <v>Oct-2024</v>
      </c>
      <c r="M4505">
        <f>IF(LeadsData[[#This Row],[Stage Number]]&gt;=2,1,0)</f>
        <v>1</v>
      </c>
      <c r="N4505" s="2">
        <f>IF(LeadsData[[#This Row],[Stage Number]]&gt;=3,1,0)</f>
        <v>0</v>
      </c>
      <c r="O4505" s="2">
        <f>IF(LeadsData[[#This Row],[Stage Number]]&gt;=4,1,0)</f>
        <v>0</v>
      </c>
    </row>
    <row r="4506" spans="1:15" x14ac:dyDescent="0.25">
      <c r="A4506" t="s">
        <v>4546</v>
      </c>
      <c r="B4506" s="1">
        <v>45302</v>
      </c>
      <c r="C4506" t="s">
        <v>31</v>
      </c>
      <c r="D4506" t="s">
        <v>34</v>
      </c>
      <c r="E4506" t="s">
        <v>21</v>
      </c>
      <c r="F4506" t="s">
        <v>14</v>
      </c>
      <c r="G4506" t="s">
        <v>23</v>
      </c>
      <c r="K4506" cm="1">
        <f t="array" ref="K4506">_xlfn.SWITCH(LeadsData[[#This Row],[Funnel Stage Reached]],"Lead",1,"MQL",2,"SQL",3,"Customer",4)</f>
        <v>2</v>
      </c>
      <c r="L4506" t="str">
        <f>TEXT(LeadsData[[#This Row],[Signup Date]],"mmm-yyyy")</f>
        <v>Jan-2024</v>
      </c>
      <c r="M4506">
        <f>IF(LeadsData[[#This Row],[Stage Number]]&gt;=2,1,0)</f>
        <v>1</v>
      </c>
      <c r="N4506" s="2">
        <f>IF(LeadsData[[#This Row],[Stage Number]]&gt;=3,1,0)</f>
        <v>0</v>
      </c>
      <c r="O4506" s="2">
        <f>IF(LeadsData[[#This Row],[Stage Number]]&gt;=4,1,0)</f>
        <v>0</v>
      </c>
    </row>
    <row r="4507" spans="1:15" x14ac:dyDescent="0.25">
      <c r="A4507" t="s">
        <v>4547</v>
      </c>
      <c r="B4507" s="1">
        <v>45646</v>
      </c>
      <c r="C4507" t="s">
        <v>11</v>
      </c>
      <c r="D4507" t="s">
        <v>79</v>
      </c>
      <c r="E4507" t="s">
        <v>21</v>
      </c>
      <c r="F4507" t="s">
        <v>22</v>
      </c>
      <c r="G4507" t="s">
        <v>15</v>
      </c>
      <c r="K4507" cm="1">
        <f t="array" ref="K4507">_xlfn.SWITCH(LeadsData[[#This Row],[Funnel Stage Reached]],"Lead",1,"MQL",2,"SQL",3,"Customer",4)</f>
        <v>1</v>
      </c>
      <c r="L4507" t="str">
        <f>TEXT(LeadsData[[#This Row],[Signup Date]],"mmm-yyyy")</f>
        <v>Dec-2024</v>
      </c>
      <c r="M4507">
        <f>IF(LeadsData[[#This Row],[Stage Number]]&gt;=2,1,0)</f>
        <v>0</v>
      </c>
      <c r="N4507" s="2">
        <f>IF(LeadsData[[#This Row],[Stage Number]]&gt;=3,1,0)</f>
        <v>0</v>
      </c>
      <c r="O4507" s="2">
        <f>IF(LeadsData[[#This Row],[Stage Number]]&gt;=4,1,0)</f>
        <v>0</v>
      </c>
    </row>
    <row r="4508" spans="1:15" x14ac:dyDescent="0.25">
      <c r="A4508" t="s">
        <v>4548</v>
      </c>
      <c r="B4508" s="1">
        <v>45409</v>
      </c>
      <c r="C4508" t="s">
        <v>17</v>
      </c>
      <c r="D4508" t="s">
        <v>53</v>
      </c>
      <c r="E4508" t="s">
        <v>21</v>
      </c>
      <c r="F4508" t="s">
        <v>19</v>
      </c>
      <c r="G4508" t="s">
        <v>23</v>
      </c>
      <c r="K4508" cm="1">
        <f t="array" ref="K4508">_xlfn.SWITCH(LeadsData[[#This Row],[Funnel Stage Reached]],"Lead",1,"MQL",2,"SQL",3,"Customer",4)</f>
        <v>2</v>
      </c>
      <c r="L4508" t="str">
        <f>TEXT(LeadsData[[#This Row],[Signup Date]],"mmm-yyyy")</f>
        <v>Apr-2024</v>
      </c>
      <c r="M4508">
        <f>IF(LeadsData[[#This Row],[Stage Number]]&gt;=2,1,0)</f>
        <v>1</v>
      </c>
      <c r="N4508" s="2">
        <f>IF(LeadsData[[#This Row],[Stage Number]]&gt;=3,1,0)</f>
        <v>0</v>
      </c>
      <c r="O4508" s="2">
        <f>IF(LeadsData[[#This Row],[Stage Number]]&gt;=4,1,0)</f>
        <v>0</v>
      </c>
    </row>
    <row r="4509" spans="1:15" x14ac:dyDescent="0.25">
      <c r="A4509" t="s">
        <v>4549</v>
      </c>
      <c r="B4509" s="1">
        <v>45511</v>
      </c>
      <c r="C4509" t="s">
        <v>11</v>
      </c>
      <c r="D4509" t="s">
        <v>68</v>
      </c>
      <c r="E4509" t="s">
        <v>21</v>
      </c>
      <c r="F4509" t="s">
        <v>22</v>
      </c>
      <c r="G4509" t="s">
        <v>23</v>
      </c>
      <c r="K4509" cm="1">
        <f t="array" ref="K4509">_xlfn.SWITCH(LeadsData[[#This Row],[Funnel Stage Reached]],"Lead",1,"MQL",2,"SQL",3,"Customer",4)</f>
        <v>2</v>
      </c>
      <c r="L4509" t="str">
        <f>TEXT(LeadsData[[#This Row],[Signup Date]],"mmm-yyyy")</f>
        <v>Aug-2024</v>
      </c>
      <c r="M4509">
        <f>IF(LeadsData[[#This Row],[Stage Number]]&gt;=2,1,0)</f>
        <v>1</v>
      </c>
      <c r="N4509" s="2">
        <f>IF(LeadsData[[#This Row],[Stage Number]]&gt;=3,1,0)</f>
        <v>0</v>
      </c>
      <c r="O4509" s="2">
        <f>IF(LeadsData[[#This Row],[Stage Number]]&gt;=4,1,0)</f>
        <v>0</v>
      </c>
    </row>
    <row r="4510" spans="1:15" x14ac:dyDescent="0.25">
      <c r="A4510" t="s">
        <v>4550</v>
      </c>
      <c r="B4510" s="1">
        <v>45632</v>
      </c>
      <c r="C4510" t="s">
        <v>25</v>
      </c>
      <c r="D4510" t="s">
        <v>26</v>
      </c>
      <c r="E4510" t="s">
        <v>21</v>
      </c>
      <c r="F4510" t="s">
        <v>19</v>
      </c>
      <c r="G4510" t="s">
        <v>29</v>
      </c>
      <c r="K4510" cm="1">
        <f t="array" ref="K4510">_xlfn.SWITCH(LeadsData[[#This Row],[Funnel Stage Reached]],"Lead",1,"MQL",2,"SQL",3,"Customer",4)</f>
        <v>3</v>
      </c>
      <c r="L4510" t="str">
        <f>TEXT(LeadsData[[#This Row],[Signup Date]],"mmm-yyyy")</f>
        <v>Dec-2024</v>
      </c>
      <c r="M4510">
        <f>IF(LeadsData[[#This Row],[Stage Number]]&gt;=2,1,0)</f>
        <v>1</v>
      </c>
      <c r="N4510" s="2">
        <f>IF(LeadsData[[#This Row],[Stage Number]]&gt;=3,1,0)</f>
        <v>1</v>
      </c>
      <c r="O4510" s="2">
        <f>IF(LeadsData[[#This Row],[Stage Number]]&gt;=4,1,0)</f>
        <v>0</v>
      </c>
    </row>
    <row r="4511" spans="1:15" x14ac:dyDescent="0.25">
      <c r="A4511" t="s">
        <v>4551</v>
      </c>
      <c r="B4511" s="1">
        <v>45467</v>
      </c>
      <c r="C4511" t="s">
        <v>11</v>
      </c>
      <c r="D4511" t="s">
        <v>68</v>
      </c>
      <c r="E4511" t="s">
        <v>21</v>
      </c>
      <c r="F4511" t="s">
        <v>14</v>
      </c>
      <c r="G4511" t="s">
        <v>15</v>
      </c>
      <c r="K4511" cm="1">
        <f t="array" ref="K4511">_xlfn.SWITCH(LeadsData[[#This Row],[Funnel Stage Reached]],"Lead",1,"MQL",2,"SQL",3,"Customer",4)</f>
        <v>1</v>
      </c>
      <c r="L4511" t="str">
        <f>TEXT(LeadsData[[#This Row],[Signup Date]],"mmm-yyyy")</f>
        <v>Jun-2024</v>
      </c>
      <c r="M4511">
        <f>IF(LeadsData[[#This Row],[Stage Number]]&gt;=2,1,0)</f>
        <v>0</v>
      </c>
      <c r="N4511" s="2">
        <f>IF(LeadsData[[#This Row],[Stage Number]]&gt;=3,1,0)</f>
        <v>0</v>
      </c>
      <c r="O4511" s="2">
        <f>IF(LeadsData[[#This Row],[Stage Number]]&gt;=4,1,0)</f>
        <v>0</v>
      </c>
    </row>
    <row r="4512" spans="1:15" x14ac:dyDescent="0.25">
      <c r="A4512" t="s">
        <v>4552</v>
      </c>
      <c r="B4512" s="1">
        <v>45391</v>
      </c>
      <c r="C4512" t="s">
        <v>46</v>
      </c>
      <c r="D4512" t="s">
        <v>56</v>
      </c>
      <c r="E4512" t="s">
        <v>21</v>
      </c>
      <c r="F4512" t="s">
        <v>19</v>
      </c>
      <c r="G4512" t="s">
        <v>23</v>
      </c>
      <c r="K4512" cm="1">
        <f t="array" ref="K4512">_xlfn.SWITCH(LeadsData[[#This Row],[Funnel Stage Reached]],"Lead",1,"MQL",2,"SQL",3,"Customer",4)</f>
        <v>2</v>
      </c>
      <c r="L4512" t="str">
        <f>TEXT(LeadsData[[#This Row],[Signup Date]],"mmm-yyyy")</f>
        <v>Apr-2024</v>
      </c>
      <c r="M4512">
        <f>IF(LeadsData[[#This Row],[Stage Number]]&gt;=2,1,0)</f>
        <v>1</v>
      </c>
      <c r="N4512" s="2">
        <f>IF(LeadsData[[#This Row],[Stage Number]]&gt;=3,1,0)</f>
        <v>0</v>
      </c>
      <c r="O4512" s="2">
        <f>IF(LeadsData[[#This Row],[Stage Number]]&gt;=4,1,0)</f>
        <v>0</v>
      </c>
    </row>
    <row r="4513" spans="1:15" x14ac:dyDescent="0.25">
      <c r="A4513" t="s">
        <v>4553</v>
      </c>
      <c r="B4513" s="1">
        <v>45583</v>
      </c>
      <c r="C4513" t="s">
        <v>36</v>
      </c>
      <c r="D4513" t="s">
        <v>50</v>
      </c>
      <c r="E4513" t="s">
        <v>21</v>
      </c>
      <c r="F4513" t="s">
        <v>19</v>
      </c>
      <c r="G4513" t="s">
        <v>15</v>
      </c>
      <c r="K4513" cm="1">
        <f t="array" ref="K4513">_xlfn.SWITCH(LeadsData[[#This Row],[Funnel Stage Reached]],"Lead",1,"MQL",2,"SQL",3,"Customer",4)</f>
        <v>1</v>
      </c>
      <c r="L4513" t="str">
        <f>TEXT(LeadsData[[#This Row],[Signup Date]],"mmm-yyyy")</f>
        <v>Oct-2024</v>
      </c>
      <c r="M4513">
        <f>IF(LeadsData[[#This Row],[Stage Number]]&gt;=2,1,0)</f>
        <v>0</v>
      </c>
      <c r="N4513" s="2">
        <f>IF(LeadsData[[#This Row],[Stage Number]]&gt;=3,1,0)</f>
        <v>0</v>
      </c>
      <c r="O4513" s="2">
        <f>IF(LeadsData[[#This Row],[Stage Number]]&gt;=4,1,0)</f>
        <v>0</v>
      </c>
    </row>
    <row r="4514" spans="1:15" x14ac:dyDescent="0.25">
      <c r="A4514" t="s">
        <v>4554</v>
      </c>
      <c r="B4514" s="1">
        <v>45653</v>
      </c>
      <c r="C4514" t="s">
        <v>31</v>
      </c>
      <c r="D4514" t="s">
        <v>32</v>
      </c>
      <c r="E4514" t="s">
        <v>21</v>
      </c>
      <c r="F4514" t="s">
        <v>14</v>
      </c>
      <c r="G4514" t="s">
        <v>29</v>
      </c>
      <c r="K4514" cm="1">
        <f t="array" ref="K4514">_xlfn.SWITCH(LeadsData[[#This Row],[Funnel Stage Reached]],"Lead",1,"MQL",2,"SQL",3,"Customer",4)</f>
        <v>3</v>
      </c>
      <c r="L4514" t="str">
        <f>TEXT(LeadsData[[#This Row],[Signup Date]],"mmm-yyyy")</f>
        <v>Dec-2024</v>
      </c>
      <c r="M4514">
        <f>IF(LeadsData[[#This Row],[Stage Number]]&gt;=2,1,0)</f>
        <v>1</v>
      </c>
      <c r="N4514" s="2">
        <f>IF(LeadsData[[#This Row],[Stage Number]]&gt;=3,1,0)</f>
        <v>1</v>
      </c>
      <c r="O4514" s="2">
        <f>IF(LeadsData[[#This Row],[Stage Number]]&gt;=4,1,0)</f>
        <v>0</v>
      </c>
    </row>
    <row r="4515" spans="1:15" x14ac:dyDescent="0.25">
      <c r="A4515" t="s">
        <v>4555</v>
      </c>
      <c r="B4515" s="1">
        <v>45636</v>
      </c>
      <c r="C4515" t="s">
        <v>17</v>
      </c>
      <c r="D4515" t="s">
        <v>18</v>
      </c>
      <c r="E4515" t="s">
        <v>13</v>
      </c>
      <c r="F4515" t="s">
        <v>22</v>
      </c>
      <c r="G4515" t="s">
        <v>15</v>
      </c>
      <c r="K4515" cm="1">
        <f t="array" ref="K4515">_xlfn.SWITCH(LeadsData[[#This Row],[Funnel Stage Reached]],"Lead",1,"MQL",2,"SQL",3,"Customer",4)</f>
        <v>1</v>
      </c>
      <c r="L4515" t="str">
        <f>TEXT(LeadsData[[#This Row],[Signup Date]],"mmm-yyyy")</f>
        <v>Dec-2024</v>
      </c>
      <c r="M4515">
        <f>IF(LeadsData[[#This Row],[Stage Number]]&gt;=2,1,0)</f>
        <v>0</v>
      </c>
      <c r="N4515" s="2">
        <f>IF(LeadsData[[#This Row],[Stage Number]]&gt;=3,1,0)</f>
        <v>0</v>
      </c>
      <c r="O4515" s="2">
        <f>IF(LeadsData[[#This Row],[Stage Number]]&gt;=4,1,0)</f>
        <v>0</v>
      </c>
    </row>
    <row r="4516" spans="1:15" x14ac:dyDescent="0.25">
      <c r="A4516" t="s">
        <v>4556</v>
      </c>
      <c r="B4516" s="1">
        <v>45405</v>
      </c>
      <c r="C4516" t="s">
        <v>31</v>
      </c>
      <c r="D4516" t="s">
        <v>34</v>
      </c>
      <c r="E4516" t="s">
        <v>13</v>
      </c>
      <c r="F4516" t="s">
        <v>19</v>
      </c>
      <c r="G4516" t="s">
        <v>23</v>
      </c>
      <c r="K4516" cm="1">
        <f t="array" ref="K4516">_xlfn.SWITCH(LeadsData[[#This Row],[Funnel Stage Reached]],"Lead",1,"MQL",2,"SQL",3,"Customer",4)</f>
        <v>2</v>
      </c>
      <c r="L4516" t="str">
        <f>TEXT(LeadsData[[#This Row],[Signup Date]],"mmm-yyyy")</f>
        <v>Apr-2024</v>
      </c>
      <c r="M4516">
        <f>IF(LeadsData[[#This Row],[Stage Number]]&gt;=2,1,0)</f>
        <v>1</v>
      </c>
      <c r="N4516" s="2">
        <f>IF(LeadsData[[#This Row],[Stage Number]]&gt;=3,1,0)</f>
        <v>0</v>
      </c>
      <c r="O4516" s="2">
        <f>IF(LeadsData[[#This Row],[Stage Number]]&gt;=4,1,0)</f>
        <v>0</v>
      </c>
    </row>
    <row r="4517" spans="1:15" x14ac:dyDescent="0.25">
      <c r="A4517" t="s">
        <v>4557</v>
      </c>
      <c r="B4517" s="1">
        <v>45549</v>
      </c>
      <c r="C4517" t="s">
        <v>46</v>
      </c>
      <c r="D4517" t="s">
        <v>47</v>
      </c>
      <c r="E4517" t="s">
        <v>13</v>
      </c>
      <c r="F4517" t="s">
        <v>19</v>
      </c>
      <c r="G4517" t="s">
        <v>15</v>
      </c>
      <c r="K4517" cm="1">
        <f t="array" ref="K4517">_xlfn.SWITCH(LeadsData[[#This Row],[Funnel Stage Reached]],"Lead",1,"MQL",2,"SQL",3,"Customer",4)</f>
        <v>1</v>
      </c>
      <c r="L4517" t="str">
        <f>TEXT(LeadsData[[#This Row],[Signup Date]],"mmm-yyyy")</f>
        <v>Sep-2024</v>
      </c>
      <c r="M4517">
        <f>IF(LeadsData[[#This Row],[Stage Number]]&gt;=2,1,0)</f>
        <v>0</v>
      </c>
      <c r="N4517" s="2">
        <f>IF(LeadsData[[#This Row],[Stage Number]]&gt;=3,1,0)</f>
        <v>0</v>
      </c>
      <c r="O4517" s="2">
        <f>IF(LeadsData[[#This Row],[Stage Number]]&gt;=4,1,0)</f>
        <v>0</v>
      </c>
    </row>
    <row r="4518" spans="1:15" x14ac:dyDescent="0.25">
      <c r="A4518" t="s">
        <v>4558</v>
      </c>
      <c r="B4518" s="1">
        <v>45618</v>
      </c>
      <c r="C4518" t="s">
        <v>36</v>
      </c>
      <c r="D4518" t="s">
        <v>37</v>
      </c>
      <c r="E4518" t="s">
        <v>21</v>
      </c>
      <c r="F4518" t="s">
        <v>19</v>
      </c>
      <c r="G4518" t="s">
        <v>29</v>
      </c>
      <c r="K4518" cm="1">
        <f t="array" ref="K4518">_xlfn.SWITCH(LeadsData[[#This Row],[Funnel Stage Reached]],"Lead",1,"MQL",2,"SQL",3,"Customer",4)</f>
        <v>3</v>
      </c>
      <c r="L4518" t="str">
        <f>TEXT(LeadsData[[#This Row],[Signup Date]],"mmm-yyyy")</f>
        <v>Nov-2024</v>
      </c>
      <c r="M4518">
        <f>IF(LeadsData[[#This Row],[Stage Number]]&gt;=2,1,0)</f>
        <v>1</v>
      </c>
      <c r="N4518" s="2">
        <f>IF(LeadsData[[#This Row],[Stage Number]]&gt;=3,1,0)</f>
        <v>1</v>
      </c>
      <c r="O4518" s="2">
        <f>IF(LeadsData[[#This Row],[Stage Number]]&gt;=4,1,0)</f>
        <v>0</v>
      </c>
    </row>
    <row r="4519" spans="1:15" x14ac:dyDescent="0.25">
      <c r="A4519" t="s">
        <v>4559</v>
      </c>
      <c r="B4519" s="1">
        <v>45609</v>
      </c>
      <c r="C4519" t="s">
        <v>17</v>
      </c>
      <c r="D4519" t="s">
        <v>18</v>
      </c>
      <c r="E4519" t="s">
        <v>21</v>
      </c>
      <c r="F4519" t="s">
        <v>22</v>
      </c>
      <c r="G4519" t="s">
        <v>15</v>
      </c>
      <c r="K4519" cm="1">
        <f t="array" ref="K4519">_xlfn.SWITCH(LeadsData[[#This Row],[Funnel Stage Reached]],"Lead",1,"MQL",2,"SQL",3,"Customer",4)</f>
        <v>1</v>
      </c>
      <c r="L4519" t="str">
        <f>TEXT(LeadsData[[#This Row],[Signup Date]],"mmm-yyyy")</f>
        <v>Nov-2024</v>
      </c>
      <c r="M4519">
        <f>IF(LeadsData[[#This Row],[Stage Number]]&gt;=2,1,0)</f>
        <v>0</v>
      </c>
      <c r="N4519" s="2">
        <f>IF(LeadsData[[#This Row],[Stage Number]]&gt;=3,1,0)</f>
        <v>0</v>
      </c>
      <c r="O4519" s="2">
        <f>IF(LeadsData[[#This Row],[Stage Number]]&gt;=4,1,0)</f>
        <v>0</v>
      </c>
    </row>
    <row r="4520" spans="1:15" x14ac:dyDescent="0.25">
      <c r="A4520" t="s">
        <v>4560</v>
      </c>
      <c r="B4520" s="1">
        <v>45636</v>
      </c>
      <c r="C4520" t="s">
        <v>11</v>
      </c>
      <c r="D4520" t="s">
        <v>68</v>
      </c>
      <c r="E4520" t="s">
        <v>21</v>
      </c>
      <c r="F4520" t="s">
        <v>22</v>
      </c>
      <c r="G4520" t="s">
        <v>15</v>
      </c>
      <c r="K4520" cm="1">
        <f t="array" ref="K4520">_xlfn.SWITCH(LeadsData[[#This Row],[Funnel Stage Reached]],"Lead",1,"MQL",2,"SQL",3,"Customer",4)</f>
        <v>1</v>
      </c>
      <c r="L4520" t="str">
        <f>TEXT(LeadsData[[#This Row],[Signup Date]],"mmm-yyyy")</f>
        <v>Dec-2024</v>
      </c>
      <c r="M4520">
        <f>IF(LeadsData[[#This Row],[Stage Number]]&gt;=2,1,0)</f>
        <v>0</v>
      </c>
      <c r="N4520" s="2">
        <f>IF(LeadsData[[#This Row],[Stage Number]]&gt;=3,1,0)</f>
        <v>0</v>
      </c>
      <c r="O4520" s="2">
        <f>IF(LeadsData[[#This Row],[Stage Number]]&gt;=4,1,0)</f>
        <v>0</v>
      </c>
    </row>
    <row r="4521" spans="1:15" x14ac:dyDescent="0.25">
      <c r="A4521" t="s">
        <v>4561</v>
      </c>
      <c r="B4521" s="1">
        <v>45296</v>
      </c>
      <c r="C4521" t="s">
        <v>36</v>
      </c>
      <c r="D4521" t="s">
        <v>37</v>
      </c>
      <c r="E4521" t="s">
        <v>13</v>
      </c>
      <c r="F4521" t="s">
        <v>28</v>
      </c>
      <c r="G4521" t="s">
        <v>29</v>
      </c>
      <c r="K4521" cm="1">
        <f t="array" ref="K4521">_xlfn.SWITCH(LeadsData[[#This Row],[Funnel Stage Reached]],"Lead",1,"MQL",2,"SQL",3,"Customer",4)</f>
        <v>3</v>
      </c>
      <c r="L4521" t="str">
        <f>TEXT(LeadsData[[#This Row],[Signup Date]],"mmm-yyyy")</f>
        <v>Jan-2024</v>
      </c>
      <c r="M4521">
        <f>IF(LeadsData[[#This Row],[Stage Number]]&gt;=2,1,0)</f>
        <v>1</v>
      </c>
      <c r="N4521" s="2">
        <f>IF(LeadsData[[#This Row],[Stage Number]]&gt;=3,1,0)</f>
        <v>1</v>
      </c>
      <c r="O4521" s="2">
        <f>IF(LeadsData[[#This Row],[Stage Number]]&gt;=4,1,0)</f>
        <v>0</v>
      </c>
    </row>
    <row r="4522" spans="1:15" x14ac:dyDescent="0.25">
      <c r="A4522" t="s">
        <v>4562</v>
      </c>
      <c r="B4522" s="1">
        <v>45638</v>
      </c>
      <c r="C4522" t="s">
        <v>25</v>
      </c>
      <c r="D4522" t="s">
        <v>26</v>
      </c>
      <c r="E4522" t="s">
        <v>21</v>
      </c>
      <c r="F4522" t="s">
        <v>19</v>
      </c>
      <c r="G4522" t="s">
        <v>29</v>
      </c>
      <c r="K4522" cm="1">
        <f t="array" ref="K4522">_xlfn.SWITCH(LeadsData[[#This Row],[Funnel Stage Reached]],"Lead",1,"MQL",2,"SQL",3,"Customer",4)</f>
        <v>3</v>
      </c>
      <c r="L4522" t="str">
        <f>TEXT(LeadsData[[#This Row],[Signup Date]],"mmm-yyyy")</f>
        <v>Dec-2024</v>
      </c>
      <c r="M4522">
        <f>IF(LeadsData[[#This Row],[Stage Number]]&gt;=2,1,0)</f>
        <v>1</v>
      </c>
      <c r="N4522" s="2">
        <f>IF(LeadsData[[#This Row],[Stage Number]]&gt;=3,1,0)</f>
        <v>1</v>
      </c>
      <c r="O4522" s="2">
        <f>IF(LeadsData[[#This Row],[Stage Number]]&gt;=4,1,0)</f>
        <v>0</v>
      </c>
    </row>
    <row r="4523" spans="1:15" x14ac:dyDescent="0.25">
      <c r="A4523" t="s">
        <v>4563</v>
      </c>
      <c r="B4523" s="1">
        <v>45654</v>
      </c>
      <c r="C4523" t="s">
        <v>46</v>
      </c>
      <c r="D4523" t="s">
        <v>47</v>
      </c>
      <c r="E4523" t="s">
        <v>21</v>
      </c>
      <c r="F4523" t="s">
        <v>19</v>
      </c>
      <c r="G4523" t="s">
        <v>15</v>
      </c>
      <c r="K4523" cm="1">
        <f t="array" ref="K4523">_xlfn.SWITCH(LeadsData[[#This Row],[Funnel Stage Reached]],"Lead",1,"MQL",2,"SQL",3,"Customer",4)</f>
        <v>1</v>
      </c>
      <c r="L4523" t="str">
        <f>TEXT(LeadsData[[#This Row],[Signup Date]],"mmm-yyyy")</f>
        <v>Dec-2024</v>
      </c>
      <c r="M4523">
        <f>IF(LeadsData[[#This Row],[Stage Number]]&gt;=2,1,0)</f>
        <v>0</v>
      </c>
      <c r="N4523" s="2">
        <f>IF(LeadsData[[#This Row],[Stage Number]]&gt;=3,1,0)</f>
        <v>0</v>
      </c>
      <c r="O4523" s="2">
        <f>IF(LeadsData[[#This Row],[Stage Number]]&gt;=4,1,0)</f>
        <v>0</v>
      </c>
    </row>
    <row r="4524" spans="1:15" x14ac:dyDescent="0.25">
      <c r="A4524" t="s">
        <v>4564</v>
      </c>
      <c r="B4524" s="1">
        <v>45536</v>
      </c>
      <c r="C4524" t="s">
        <v>31</v>
      </c>
      <c r="D4524" t="s">
        <v>34</v>
      </c>
      <c r="E4524" t="s">
        <v>13</v>
      </c>
      <c r="F4524" t="s">
        <v>19</v>
      </c>
      <c r="G4524" t="s">
        <v>23</v>
      </c>
      <c r="K4524" cm="1">
        <f t="array" ref="K4524">_xlfn.SWITCH(LeadsData[[#This Row],[Funnel Stage Reached]],"Lead",1,"MQL",2,"SQL",3,"Customer",4)</f>
        <v>2</v>
      </c>
      <c r="L4524" t="str">
        <f>TEXT(LeadsData[[#This Row],[Signup Date]],"mmm-yyyy")</f>
        <v>Sep-2024</v>
      </c>
      <c r="M4524">
        <f>IF(LeadsData[[#This Row],[Stage Number]]&gt;=2,1,0)</f>
        <v>1</v>
      </c>
      <c r="N4524" s="2">
        <f>IF(LeadsData[[#This Row],[Stage Number]]&gt;=3,1,0)</f>
        <v>0</v>
      </c>
      <c r="O4524" s="2">
        <f>IF(LeadsData[[#This Row],[Stage Number]]&gt;=4,1,0)</f>
        <v>0</v>
      </c>
    </row>
    <row r="4525" spans="1:15" x14ac:dyDescent="0.25">
      <c r="A4525" t="s">
        <v>4565</v>
      </c>
      <c r="B4525" s="1">
        <v>45601</v>
      </c>
      <c r="C4525" t="s">
        <v>46</v>
      </c>
      <c r="D4525" t="s">
        <v>47</v>
      </c>
      <c r="E4525" t="s">
        <v>21</v>
      </c>
      <c r="F4525" t="s">
        <v>22</v>
      </c>
      <c r="G4525" t="s">
        <v>23</v>
      </c>
      <c r="K4525" cm="1">
        <f t="array" ref="K4525">_xlfn.SWITCH(LeadsData[[#This Row],[Funnel Stage Reached]],"Lead",1,"MQL",2,"SQL",3,"Customer",4)</f>
        <v>2</v>
      </c>
      <c r="L4525" t="str">
        <f>TEXT(LeadsData[[#This Row],[Signup Date]],"mmm-yyyy")</f>
        <v>Nov-2024</v>
      </c>
      <c r="M4525">
        <f>IF(LeadsData[[#This Row],[Stage Number]]&gt;=2,1,0)</f>
        <v>1</v>
      </c>
      <c r="N4525" s="2">
        <f>IF(LeadsData[[#This Row],[Stage Number]]&gt;=3,1,0)</f>
        <v>0</v>
      </c>
      <c r="O4525" s="2">
        <f>IF(LeadsData[[#This Row],[Stage Number]]&gt;=4,1,0)</f>
        <v>0</v>
      </c>
    </row>
    <row r="4526" spans="1:15" x14ac:dyDescent="0.25">
      <c r="A4526" t="s">
        <v>4566</v>
      </c>
      <c r="B4526" s="1">
        <v>45650</v>
      </c>
      <c r="C4526" t="s">
        <v>17</v>
      </c>
      <c r="D4526" t="s">
        <v>18</v>
      </c>
      <c r="E4526" t="s">
        <v>13</v>
      </c>
      <c r="F4526" t="s">
        <v>14</v>
      </c>
      <c r="G4526" t="s">
        <v>15</v>
      </c>
      <c r="K4526" cm="1">
        <f t="array" ref="K4526">_xlfn.SWITCH(LeadsData[[#This Row],[Funnel Stage Reached]],"Lead",1,"MQL",2,"SQL",3,"Customer",4)</f>
        <v>1</v>
      </c>
      <c r="L4526" t="str">
        <f>TEXT(LeadsData[[#This Row],[Signup Date]],"mmm-yyyy")</f>
        <v>Dec-2024</v>
      </c>
      <c r="M4526">
        <f>IF(LeadsData[[#This Row],[Stage Number]]&gt;=2,1,0)</f>
        <v>0</v>
      </c>
      <c r="N4526" s="2">
        <f>IF(LeadsData[[#This Row],[Stage Number]]&gt;=3,1,0)</f>
        <v>0</v>
      </c>
      <c r="O4526" s="2">
        <f>IF(LeadsData[[#This Row],[Stage Number]]&gt;=4,1,0)</f>
        <v>0</v>
      </c>
    </row>
    <row r="4527" spans="1:15" x14ac:dyDescent="0.25">
      <c r="A4527" t="s">
        <v>4567</v>
      </c>
      <c r="B4527" s="1">
        <v>45414</v>
      </c>
      <c r="C4527" t="s">
        <v>25</v>
      </c>
      <c r="D4527" t="s">
        <v>26</v>
      </c>
      <c r="E4527" t="s">
        <v>13</v>
      </c>
      <c r="F4527" t="s">
        <v>19</v>
      </c>
      <c r="G4527" t="s">
        <v>29</v>
      </c>
      <c r="K4527" cm="1">
        <f t="array" ref="K4527">_xlfn.SWITCH(LeadsData[[#This Row],[Funnel Stage Reached]],"Lead",1,"MQL",2,"SQL",3,"Customer",4)</f>
        <v>3</v>
      </c>
      <c r="L4527" t="str">
        <f>TEXT(LeadsData[[#This Row],[Signup Date]],"mmm-yyyy")</f>
        <v>May-2024</v>
      </c>
      <c r="M4527">
        <f>IF(LeadsData[[#This Row],[Stage Number]]&gt;=2,1,0)</f>
        <v>1</v>
      </c>
      <c r="N4527" s="2">
        <f>IF(LeadsData[[#This Row],[Stage Number]]&gt;=3,1,0)</f>
        <v>1</v>
      </c>
      <c r="O4527" s="2">
        <f>IF(LeadsData[[#This Row],[Stage Number]]&gt;=4,1,0)</f>
        <v>0</v>
      </c>
    </row>
    <row r="4528" spans="1:15" x14ac:dyDescent="0.25">
      <c r="A4528" t="s">
        <v>4568</v>
      </c>
      <c r="B4528" s="1">
        <v>45578</v>
      </c>
      <c r="C4528" t="s">
        <v>17</v>
      </c>
      <c r="D4528" t="s">
        <v>53</v>
      </c>
      <c r="E4528" t="s">
        <v>13</v>
      </c>
      <c r="F4528" t="s">
        <v>19</v>
      </c>
      <c r="G4528" t="s">
        <v>15</v>
      </c>
      <c r="K4528" cm="1">
        <f t="array" ref="K4528">_xlfn.SWITCH(LeadsData[[#This Row],[Funnel Stage Reached]],"Lead",1,"MQL",2,"SQL",3,"Customer",4)</f>
        <v>1</v>
      </c>
      <c r="L4528" t="str">
        <f>TEXT(LeadsData[[#This Row],[Signup Date]],"mmm-yyyy")</f>
        <v>Oct-2024</v>
      </c>
      <c r="M4528">
        <f>IF(LeadsData[[#This Row],[Stage Number]]&gt;=2,1,0)</f>
        <v>0</v>
      </c>
      <c r="N4528" s="2">
        <f>IF(LeadsData[[#This Row],[Stage Number]]&gt;=3,1,0)</f>
        <v>0</v>
      </c>
      <c r="O4528" s="2">
        <f>IF(LeadsData[[#This Row],[Stage Number]]&gt;=4,1,0)</f>
        <v>0</v>
      </c>
    </row>
    <row r="4529" spans="1:15" x14ac:dyDescent="0.25">
      <c r="A4529" t="s">
        <v>4569</v>
      </c>
      <c r="B4529" s="1">
        <v>45644</v>
      </c>
      <c r="C4529" t="s">
        <v>17</v>
      </c>
      <c r="D4529" t="s">
        <v>53</v>
      </c>
      <c r="E4529" t="s">
        <v>21</v>
      </c>
      <c r="F4529" t="s">
        <v>19</v>
      </c>
      <c r="G4529" t="s">
        <v>15</v>
      </c>
      <c r="K4529" cm="1">
        <f t="array" ref="K4529">_xlfn.SWITCH(LeadsData[[#This Row],[Funnel Stage Reached]],"Lead",1,"MQL",2,"SQL",3,"Customer",4)</f>
        <v>1</v>
      </c>
      <c r="L4529" t="str">
        <f>TEXT(LeadsData[[#This Row],[Signup Date]],"mmm-yyyy")</f>
        <v>Dec-2024</v>
      </c>
      <c r="M4529">
        <f>IF(LeadsData[[#This Row],[Stage Number]]&gt;=2,1,0)</f>
        <v>0</v>
      </c>
      <c r="N4529" s="2">
        <f>IF(LeadsData[[#This Row],[Stage Number]]&gt;=3,1,0)</f>
        <v>0</v>
      </c>
      <c r="O4529" s="2">
        <f>IF(LeadsData[[#This Row],[Stage Number]]&gt;=4,1,0)</f>
        <v>0</v>
      </c>
    </row>
    <row r="4530" spans="1:15" x14ac:dyDescent="0.25">
      <c r="A4530" t="s">
        <v>4570</v>
      </c>
      <c r="B4530" s="1">
        <v>45498</v>
      </c>
      <c r="C4530" t="s">
        <v>46</v>
      </c>
      <c r="D4530" t="s">
        <v>56</v>
      </c>
      <c r="E4530" t="s">
        <v>13</v>
      </c>
      <c r="F4530" t="s">
        <v>19</v>
      </c>
      <c r="G4530" t="s">
        <v>15</v>
      </c>
      <c r="K4530" cm="1">
        <f t="array" ref="K4530">_xlfn.SWITCH(LeadsData[[#This Row],[Funnel Stage Reached]],"Lead",1,"MQL",2,"SQL",3,"Customer",4)</f>
        <v>1</v>
      </c>
      <c r="L4530" t="str">
        <f>TEXT(LeadsData[[#This Row],[Signup Date]],"mmm-yyyy")</f>
        <v>Jul-2024</v>
      </c>
      <c r="M4530">
        <f>IF(LeadsData[[#This Row],[Stage Number]]&gt;=2,1,0)</f>
        <v>0</v>
      </c>
      <c r="N4530" s="2">
        <f>IF(LeadsData[[#This Row],[Stage Number]]&gt;=3,1,0)</f>
        <v>0</v>
      </c>
      <c r="O4530" s="2">
        <f>IF(LeadsData[[#This Row],[Stage Number]]&gt;=4,1,0)</f>
        <v>0</v>
      </c>
    </row>
    <row r="4531" spans="1:15" x14ac:dyDescent="0.25">
      <c r="A4531" t="s">
        <v>4571</v>
      </c>
      <c r="B4531" s="1">
        <v>45647</v>
      </c>
      <c r="C4531" t="s">
        <v>17</v>
      </c>
      <c r="D4531" t="s">
        <v>18</v>
      </c>
      <c r="E4531" t="s">
        <v>13</v>
      </c>
      <c r="F4531" t="s">
        <v>19</v>
      </c>
      <c r="G4531" t="s">
        <v>23</v>
      </c>
      <c r="K4531" cm="1">
        <f t="array" ref="K4531">_xlfn.SWITCH(LeadsData[[#This Row],[Funnel Stage Reached]],"Lead",1,"MQL",2,"SQL",3,"Customer",4)</f>
        <v>2</v>
      </c>
      <c r="L4531" t="str">
        <f>TEXT(LeadsData[[#This Row],[Signup Date]],"mmm-yyyy")</f>
        <v>Dec-2024</v>
      </c>
      <c r="M4531">
        <f>IF(LeadsData[[#This Row],[Stage Number]]&gt;=2,1,0)</f>
        <v>1</v>
      </c>
      <c r="N4531" s="2">
        <f>IF(LeadsData[[#This Row],[Stage Number]]&gt;=3,1,0)</f>
        <v>0</v>
      </c>
      <c r="O4531" s="2">
        <f>IF(LeadsData[[#This Row],[Stage Number]]&gt;=4,1,0)</f>
        <v>0</v>
      </c>
    </row>
    <row r="4532" spans="1:15" x14ac:dyDescent="0.25">
      <c r="A4532" t="s">
        <v>4572</v>
      </c>
      <c r="B4532" s="1">
        <v>45437</v>
      </c>
      <c r="C4532" t="s">
        <v>17</v>
      </c>
      <c r="D4532" t="s">
        <v>18</v>
      </c>
      <c r="E4532" t="s">
        <v>13</v>
      </c>
      <c r="F4532" t="s">
        <v>19</v>
      </c>
      <c r="G4532" t="s">
        <v>15</v>
      </c>
      <c r="K4532" cm="1">
        <f t="array" ref="K4532">_xlfn.SWITCH(LeadsData[[#This Row],[Funnel Stage Reached]],"Lead",1,"MQL",2,"SQL",3,"Customer",4)</f>
        <v>1</v>
      </c>
      <c r="L4532" t="str">
        <f>TEXT(LeadsData[[#This Row],[Signup Date]],"mmm-yyyy")</f>
        <v>May-2024</v>
      </c>
      <c r="M4532">
        <f>IF(LeadsData[[#This Row],[Stage Number]]&gt;=2,1,0)</f>
        <v>0</v>
      </c>
      <c r="N4532" s="2">
        <f>IF(LeadsData[[#This Row],[Stage Number]]&gt;=3,1,0)</f>
        <v>0</v>
      </c>
      <c r="O4532" s="2">
        <f>IF(LeadsData[[#This Row],[Stage Number]]&gt;=4,1,0)</f>
        <v>0</v>
      </c>
    </row>
    <row r="4533" spans="1:15" x14ac:dyDescent="0.25">
      <c r="A4533" t="s">
        <v>4573</v>
      </c>
      <c r="B4533" s="1">
        <v>45337</v>
      </c>
      <c r="C4533" t="s">
        <v>17</v>
      </c>
      <c r="D4533" t="s">
        <v>18</v>
      </c>
      <c r="E4533" t="s">
        <v>13</v>
      </c>
      <c r="F4533" t="s">
        <v>22</v>
      </c>
      <c r="G4533" t="s">
        <v>23</v>
      </c>
      <c r="K4533" cm="1">
        <f t="array" ref="K4533">_xlfn.SWITCH(LeadsData[[#This Row],[Funnel Stage Reached]],"Lead",1,"MQL",2,"SQL",3,"Customer",4)</f>
        <v>2</v>
      </c>
      <c r="L4533" t="str">
        <f>TEXT(LeadsData[[#This Row],[Signup Date]],"mmm-yyyy")</f>
        <v>Feb-2024</v>
      </c>
      <c r="M4533">
        <f>IF(LeadsData[[#This Row],[Stage Number]]&gt;=2,1,0)</f>
        <v>1</v>
      </c>
      <c r="N4533" s="2">
        <f>IF(LeadsData[[#This Row],[Stage Number]]&gt;=3,1,0)</f>
        <v>0</v>
      </c>
      <c r="O4533" s="2">
        <f>IF(LeadsData[[#This Row],[Stage Number]]&gt;=4,1,0)</f>
        <v>0</v>
      </c>
    </row>
    <row r="4534" spans="1:15" x14ac:dyDescent="0.25">
      <c r="A4534" t="s">
        <v>4574</v>
      </c>
      <c r="B4534" s="1">
        <v>45439</v>
      </c>
      <c r="C4534" t="s">
        <v>36</v>
      </c>
      <c r="D4534" t="s">
        <v>37</v>
      </c>
      <c r="E4534" t="s">
        <v>21</v>
      </c>
      <c r="F4534" t="s">
        <v>19</v>
      </c>
      <c r="G4534" t="s">
        <v>15</v>
      </c>
      <c r="K4534" cm="1">
        <f t="array" ref="K4534">_xlfn.SWITCH(LeadsData[[#This Row],[Funnel Stage Reached]],"Lead",1,"MQL",2,"SQL",3,"Customer",4)</f>
        <v>1</v>
      </c>
      <c r="L4534" t="str">
        <f>TEXT(LeadsData[[#This Row],[Signup Date]],"mmm-yyyy")</f>
        <v>May-2024</v>
      </c>
      <c r="M4534">
        <f>IF(LeadsData[[#This Row],[Stage Number]]&gt;=2,1,0)</f>
        <v>0</v>
      </c>
      <c r="N4534" s="2">
        <f>IF(LeadsData[[#This Row],[Stage Number]]&gt;=3,1,0)</f>
        <v>0</v>
      </c>
      <c r="O4534" s="2">
        <f>IF(LeadsData[[#This Row],[Stage Number]]&gt;=4,1,0)</f>
        <v>0</v>
      </c>
    </row>
    <row r="4535" spans="1:15" x14ac:dyDescent="0.25">
      <c r="A4535" t="s">
        <v>4575</v>
      </c>
      <c r="B4535" s="1">
        <v>45468</v>
      </c>
      <c r="C4535" t="s">
        <v>17</v>
      </c>
      <c r="D4535" t="s">
        <v>18</v>
      </c>
      <c r="E4535" t="s">
        <v>13</v>
      </c>
      <c r="F4535" t="s">
        <v>19</v>
      </c>
      <c r="G4535" t="s">
        <v>15</v>
      </c>
      <c r="K4535" cm="1">
        <f t="array" ref="K4535">_xlfn.SWITCH(LeadsData[[#This Row],[Funnel Stage Reached]],"Lead",1,"MQL",2,"SQL",3,"Customer",4)</f>
        <v>1</v>
      </c>
      <c r="L4535" t="str">
        <f>TEXT(LeadsData[[#This Row],[Signup Date]],"mmm-yyyy")</f>
        <v>Jun-2024</v>
      </c>
      <c r="M4535">
        <f>IF(LeadsData[[#This Row],[Stage Number]]&gt;=2,1,0)</f>
        <v>0</v>
      </c>
      <c r="N4535" s="2">
        <f>IF(LeadsData[[#This Row],[Stage Number]]&gt;=3,1,0)</f>
        <v>0</v>
      </c>
      <c r="O4535" s="2">
        <f>IF(LeadsData[[#This Row],[Stage Number]]&gt;=4,1,0)</f>
        <v>0</v>
      </c>
    </row>
    <row r="4536" spans="1:15" x14ac:dyDescent="0.25">
      <c r="A4536" t="s">
        <v>4576</v>
      </c>
      <c r="B4536" s="1">
        <v>45623</v>
      </c>
      <c r="C4536" t="s">
        <v>11</v>
      </c>
      <c r="D4536" t="s">
        <v>79</v>
      </c>
      <c r="E4536" t="s">
        <v>13</v>
      </c>
      <c r="F4536" t="s">
        <v>19</v>
      </c>
      <c r="G4536" t="s">
        <v>23</v>
      </c>
      <c r="K4536" cm="1">
        <f t="array" ref="K4536">_xlfn.SWITCH(LeadsData[[#This Row],[Funnel Stage Reached]],"Lead",1,"MQL",2,"SQL",3,"Customer",4)</f>
        <v>2</v>
      </c>
      <c r="L4536" t="str">
        <f>TEXT(LeadsData[[#This Row],[Signup Date]],"mmm-yyyy")</f>
        <v>Nov-2024</v>
      </c>
      <c r="M4536">
        <f>IF(LeadsData[[#This Row],[Stage Number]]&gt;=2,1,0)</f>
        <v>1</v>
      </c>
      <c r="N4536" s="2">
        <f>IF(LeadsData[[#This Row],[Stage Number]]&gt;=3,1,0)</f>
        <v>0</v>
      </c>
      <c r="O4536" s="2">
        <f>IF(LeadsData[[#This Row],[Stage Number]]&gt;=4,1,0)</f>
        <v>0</v>
      </c>
    </row>
    <row r="4537" spans="1:15" x14ac:dyDescent="0.25">
      <c r="A4537" t="s">
        <v>4577</v>
      </c>
      <c r="B4537" s="1">
        <v>45563</v>
      </c>
      <c r="C4537" t="s">
        <v>31</v>
      </c>
      <c r="D4537" t="s">
        <v>32</v>
      </c>
      <c r="E4537" t="s">
        <v>21</v>
      </c>
      <c r="F4537" t="s">
        <v>19</v>
      </c>
      <c r="G4537" t="s">
        <v>23</v>
      </c>
      <c r="K4537" cm="1">
        <f t="array" ref="K4537">_xlfn.SWITCH(LeadsData[[#This Row],[Funnel Stage Reached]],"Lead",1,"MQL",2,"SQL",3,"Customer",4)</f>
        <v>2</v>
      </c>
      <c r="L4537" t="str">
        <f>TEXT(LeadsData[[#This Row],[Signup Date]],"mmm-yyyy")</f>
        <v>Sep-2024</v>
      </c>
      <c r="M4537">
        <f>IF(LeadsData[[#This Row],[Stage Number]]&gt;=2,1,0)</f>
        <v>1</v>
      </c>
      <c r="N4537" s="2">
        <f>IF(LeadsData[[#This Row],[Stage Number]]&gt;=3,1,0)</f>
        <v>0</v>
      </c>
      <c r="O4537" s="2">
        <f>IF(LeadsData[[#This Row],[Stage Number]]&gt;=4,1,0)</f>
        <v>0</v>
      </c>
    </row>
    <row r="4538" spans="1:15" x14ac:dyDescent="0.25">
      <c r="A4538" t="s">
        <v>4578</v>
      </c>
      <c r="B4538" s="1">
        <v>45580</v>
      </c>
      <c r="C4538" t="s">
        <v>31</v>
      </c>
      <c r="D4538" t="s">
        <v>34</v>
      </c>
      <c r="E4538" t="s">
        <v>21</v>
      </c>
      <c r="F4538" t="s">
        <v>19</v>
      </c>
      <c r="G4538" t="s">
        <v>15</v>
      </c>
      <c r="K4538" cm="1">
        <f t="array" ref="K4538">_xlfn.SWITCH(LeadsData[[#This Row],[Funnel Stage Reached]],"Lead",1,"MQL",2,"SQL",3,"Customer",4)</f>
        <v>1</v>
      </c>
      <c r="L4538" t="str">
        <f>TEXT(LeadsData[[#This Row],[Signup Date]],"mmm-yyyy")</f>
        <v>Oct-2024</v>
      </c>
      <c r="M4538">
        <f>IF(LeadsData[[#This Row],[Stage Number]]&gt;=2,1,0)</f>
        <v>0</v>
      </c>
      <c r="N4538" s="2">
        <f>IF(LeadsData[[#This Row],[Stage Number]]&gt;=3,1,0)</f>
        <v>0</v>
      </c>
      <c r="O4538" s="2">
        <f>IF(LeadsData[[#This Row],[Stage Number]]&gt;=4,1,0)</f>
        <v>0</v>
      </c>
    </row>
    <row r="4539" spans="1:15" x14ac:dyDescent="0.25">
      <c r="A4539" t="s">
        <v>4579</v>
      </c>
      <c r="B4539" s="1">
        <v>45572</v>
      </c>
      <c r="C4539" t="s">
        <v>25</v>
      </c>
      <c r="D4539" t="s">
        <v>26</v>
      </c>
      <c r="E4539" t="s">
        <v>13</v>
      </c>
      <c r="F4539" t="s">
        <v>14</v>
      </c>
      <c r="G4539" t="s">
        <v>15</v>
      </c>
      <c r="K4539" cm="1">
        <f t="array" ref="K4539">_xlfn.SWITCH(LeadsData[[#This Row],[Funnel Stage Reached]],"Lead",1,"MQL",2,"SQL",3,"Customer",4)</f>
        <v>1</v>
      </c>
      <c r="L4539" t="str">
        <f>TEXT(LeadsData[[#This Row],[Signup Date]],"mmm-yyyy")</f>
        <v>Oct-2024</v>
      </c>
      <c r="M4539">
        <f>IF(LeadsData[[#This Row],[Stage Number]]&gt;=2,1,0)</f>
        <v>0</v>
      </c>
      <c r="N4539" s="2">
        <f>IF(LeadsData[[#This Row],[Stage Number]]&gt;=3,1,0)</f>
        <v>0</v>
      </c>
      <c r="O4539" s="2">
        <f>IF(LeadsData[[#This Row],[Stage Number]]&gt;=4,1,0)</f>
        <v>0</v>
      </c>
    </row>
    <row r="4540" spans="1:15" x14ac:dyDescent="0.25">
      <c r="A4540" t="s">
        <v>4580</v>
      </c>
      <c r="B4540" s="1">
        <v>45432</v>
      </c>
      <c r="C4540" t="s">
        <v>31</v>
      </c>
      <c r="D4540" t="s">
        <v>32</v>
      </c>
      <c r="E4540" t="s">
        <v>21</v>
      </c>
      <c r="F4540" t="s">
        <v>19</v>
      </c>
      <c r="G4540" t="s">
        <v>23</v>
      </c>
      <c r="K4540" cm="1">
        <f t="array" ref="K4540">_xlfn.SWITCH(LeadsData[[#This Row],[Funnel Stage Reached]],"Lead",1,"MQL",2,"SQL",3,"Customer",4)</f>
        <v>2</v>
      </c>
      <c r="L4540" t="str">
        <f>TEXT(LeadsData[[#This Row],[Signup Date]],"mmm-yyyy")</f>
        <v>May-2024</v>
      </c>
      <c r="M4540">
        <f>IF(LeadsData[[#This Row],[Stage Number]]&gt;=2,1,0)</f>
        <v>1</v>
      </c>
      <c r="N4540" s="2">
        <f>IF(LeadsData[[#This Row],[Stage Number]]&gt;=3,1,0)</f>
        <v>0</v>
      </c>
      <c r="O4540" s="2">
        <f>IF(LeadsData[[#This Row],[Stage Number]]&gt;=4,1,0)</f>
        <v>0</v>
      </c>
    </row>
    <row r="4541" spans="1:15" x14ac:dyDescent="0.25">
      <c r="A4541" t="s">
        <v>4581</v>
      </c>
      <c r="B4541" s="1">
        <v>45591</v>
      </c>
      <c r="C4541" t="s">
        <v>36</v>
      </c>
      <c r="D4541" t="s">
        <v>50</v>
      </c>
      <c r="E4541" t="s">
        <v>13</v>
      </c>
      <c r="F4541" t="s">
        <v>19</v>
      </c>
      <c r="G4541" t="s">
        <v>29</v>
      </c>
      <c r="K4541" cm="1">
        <f t="array" ref="K4541">_xlfn.SWITCH(LeadsData[[#This Row],[Funnel Stage Reached]],"Lead",1,"MQL",2,"SQL",3,"Customer",4)</f>
        <v>3</v>
      </c>
      <c r="L4541" t="str">
        <f>TEXT(LeadsData[[#This Row],[Signup Date]],"mmm-yyyy")</f>
        <v>Oct-2024</v>
      </c>
      <c r="M4541">
        <f>IF(LeadsData[[#This Row],[Stage Number]]&gt;=2,1,0)</f>
        <v>1</v>
      </c>
      <c r="N4541" s="2">
        <f>IF(LeadsData[[#This Row],[Stage Number]]&gt;=3,1,0)</f>
        <v>1</v>
      </c>
      <c r="O4541" s="2">
        <f>IF(LeadsData[[#This Row],[Stage Number]]&gt;=4,1,0)</f>
        <v>0</v>
      </c>
    </row>
    <row r="4542" spans="1:15" x14ac:dyDescent="0.25">
      <c r="A4542" t="s">
        <v>4582</v>
      </c>
      <c r="B4542" s="1">
        <v>45525</v>
      </c>
      <c r="C4542" t="s">
        <v>17</v>
      </c>
      <c r="D4542" t="s">
        <v>53</v>
      </c>
      <c r="E4542" t="s">
        <v>21</v>
      </c>
      <c r="F4542" t="s">
        <v>19</v>
      </c>
      <c r="G4542" t="s">
        <v>15</v>
      </c>
      <c r="K4542" cm="1">
        <f t="array" ref="K4542">_xlfn.SWITCH(LeadsData[[#This Row],[Funnel Stage Reached]],"Lead",1,"MQL",2,"SQL",3,"Customer",4)</f>
        <v>1</v>
      </c>
      <c r="L4542" t="str">
        <f>TEXT(LeadsData[[#This Row],[Signup Date]],"mmm-yyyy")</f>
        <v>Aug-2024</v>
      </c>
      <c r="M4542">
        <f>IF(LeadsData[[#This Row],[Stage Number]]&gt;=2,1,0)</f>
        <v>0</v>
      </c>
      <c r="N4542" s="2">
        <f>IF(LeadsData[[#This Row],[Stage Number]]&gt;=3,1,0)</f>
        <v>0</v>
      </c>
      <c r="O4542" s="2">
        <f>IF(LeadsData[[#This Row],[Stage Number]]&gt;=4,1,0)</f>
        <v>0</v>
      </c>
    </row>
    <row r="4543" spans="1:15" x14ac:dyDescent="0.25">
      <c r="A4543" t="s">
        <v>4583</v>
      </c>
      <c r="B4543" s="1">
        <v>45514</v>
      </c>
      <c r="C4543" t="s">
        <v>36</v>
      </c>
      <c r="D4543" t="s">
        <v>50</v>
      </c>
      <c r="E4543" t="s">
        <v>13</v>
      </c>
      <c r="F4543" t="s">
        <v>22</v>
      </c>
      <c r="G4543" t="s">
        <v>42</v>
      </c>
      <c r="H4543">
        <v>56</v>
      </c>
      <c r="I4543" t="s">
        <v>43</v>
      </c>
      <c r="J4543">
        <v>548.41999999999996</v>
      </c>
      <c r="K4543" cm="1">
        <f t="array" ref="K4543">_xlfn.SWITCH(LeadsData[[#This Row],[Funnel Stage Reached]],"Lead",1,"MQL",2,"SQL",3,"Customer",4)</f>
        <v>4</v>
      </c>
      <c r="L4543" t="str">
        <f>TEXT(LeadsData[[#This Row],[Signup Date]],"mmm-yyyy")</f>
        <v>Aug-2024</v>
      </c>
      <c r="M4543">
        <f>IF(LeadsData[[#This Row],[Stage Number]]&gt;=2,1,0)</f>
        <v>1</v>
      </c>
      <c r="N4543" s="2">
        <f>IF(LeadsData[[#This Row],[Stage Number]]&gt;=3,1,0)</f>
        <v>1</v>
      </c>
      <c r="O4543" s="2">
        <f>IF(LeadsData[[#This Row],[Stage Number]]&gt;=4,1,0)</f>
        <v>1</v>
      </c>
    </row>
    <row r="4544" spans="1:15" x14ac:dyDescent="0.25">
      <c r="A4544" t="s">
        <v>4584</v>
      </c>
      <c r="B4544" s="1">
        <v>45542</v>
      </c>
      <c r="C4544" t="s">
        <v>25</v>
      </c>
      <c r="D4544" t="s">
        <v>26</v>
      </c>
      <c r="E4544" t="s">
        <v>48</v>
      </c>
      <c r="F4544" t="s">
        <v>19</v>
      </c>
      <c r="G4544" t="s">
        <v>23</v>
      </c>
      <c r="K4544" cm="1">
        <f t="array" ref="K4544">_xlfn.SWITCH(LeadsData[[#This Row],[Funnel Stage Reached]],"Lead",1,"MQL",2,"SQL",3,"Customer",4)</f>
        <v>2</v>
      </c>
      <c r="L4544" t="str">
        <f>TEXT(LeadsData[[#This Row],[Signup Date]],"mmm-yyyy")</f>
        <v>Sep-2024</v>
      </c>
      <c r="M4544">
        <f>IF(LeadsData[[#This Row],[Stage Number]]&gt;=2,1,0)</f>
        <v>1</v>
      </c>
      <c r="N4544" s="2">
        <f>IF(LeadsData[[#This Row],[Stage Number]]&gt;=3,1,0)</f>
        <v>0</v>
      </c>
      <c r="O4544" s="2">
        <f>IF(LeadsData[[#This Row],[Stage Number]]&gt;=4,1,0)</f>
        <v>0</v>
      </c>
    </row>
    <row r="4545" spans="1:15" x14ac:dyDescent="0.25">
      <c r="A4545" t="s">
        <v>4585</v>
      </c>
      <c r="B4545" s="1">
        <v>45556</v>
      </c>
      <c r="C4545" t="s">
        <v>17</v>
      </c>
      <c r="D4545" t="s">
        <v>53</v>
      </c>
      <c r="E4545" t="s">
        <v>13</v>
      </c>
      <c r="F4545" t="s">
        <v>14</v>
      </c>
      <c r="G4545" t="s">
        <v>15</v>
      </c>
      <c r="K4545" cm="1">
        <f t="array" ref="K4545">_xlfn.SWITCH(LeadsData[[#This Row],[Funnel Stage Reached]],"Lead",1,"MQL",2,"SQL",3,"Customer",4)</f>
        <v>1</v>
      </c>
      <c r="L4545" t="str">
        <f>TEXT(LeadsData[[#This Row],[Signup Date]],"mmm-yyyy")</f>
        <v>Sep-2024</v>
      </c>
      <c r="M4545">
        <f>IF(LeadsData[[#This Row],[Stage Number]]&gt;=2,1,0)</f>
        <v>0</v>
      </c>
      <c r="N4545" s="2">
        <f>IF(LeadsData[[#This Row],[Stage Number]]&gt;=3,1,0)</f>
        <v>0</v>
      </c>
      <c r="O4545" s="2">
        <f>IF(LeadsData[[#This Row],[Stage Number]]&gt;=4,1,0)</f>
        <v>0</v>
      </c>
    </row>
    <row r="4546" spans="1:15" x14ac:dyDescent="0.25">
      <c r="A4546" t="s">
        <v>4586</v>
      </c>
      <c r="B4546" s="1">
        <v>45386</v>
      </c>
      <c r="C4546" t="s">
        <v>46</v>
      </c>
      <c r="D4546" t="s">
        <v>56</v>
      </c>
      <c r="E4546" t="s">
        <v>48</v>
      </c>
      <c r="F4546" t="s">
        <v>22</v>
      </c>
      <c r="G4546" t="s">
        <v>23</v>
      </c>
      <c r="K4546" cm="1">
        <f t="array" ref="K4546">_xlfn.SWITCH(LeadsData[[#This Row],[Funnel Stage Reached]],"Lead",1,"MQL",2,"SQL",3,"Customer",4)</f>
        <v>2</v>
      </c>
      <c r="L4546" t="str">
        <f>TEXT(LeadsData[[#This Row],[Signup Date]],"mmm-yyyy")</f>
        <v>Apr-2024</v>
      </c>
      <c r="M4546">
        <f>IF(LeadsData[[#This Row],[Stage Number]]&gt;=2,1,0)</f>
        <v>1</v>
      </c>
      <c r="N4546" s="2">
        <f>IF(LeadsData[[#This Row],[Stage Number]]&gt;=3,1,0)</f>
        <v>0</v>
      </c>
      <c r="O4546" s="2">
        <f>IF(LeadsData[[#This Row],[Stage Number]]&gt;=4,1,0)</f>
        <v>0</v>
      </c>
    </row>
    <row r="4547" spans="1:15" x14ac:dyDescent="0.25">
      <c r="A4547" t="s">
        <v>4587</v>
      </c>
      <c r="B4547" s="1">
        <v>45431</v>
      </c>
      <c r="C4547" t="s">
        <v>31</v>
      </c>
      <c r="D4547" t="s">
        <v>34</v>
      </c>
      <c r="E4547" t="s">
        <v>13</v>
      </c>
      <c r="F4547" t="s">
        <v>19</v>
      </c>
      <c r="G4547" t="s">
        <v>23</v>
      </c>
      <c r="K4547" cm="1">
        <f t="array" ref="K4547">_xlfn.SWITCH(LeadsData[[#This Row],[Funnel Stage Reached]],"Lead",1,"MQL",2,"SQL",3,"Customer",4)</f>
        <v>2</v>
      </c>
      <c r="L4547" t="str">
        <f>TEXT(LeadsData[[#This Row],[Signup Date]],"mmm-yyyy")</f>
        <v>May-2024</v>
      </c>
      <c r="M4547">
        <f>IF(LeadsData[[#This Row],[Stage Number]]&gt;=2,1,0)</f>
        <v>1</v>
      </c>
      <c r="N4547" s="2">
        <f>IF(LeadsData[[#This Row],[Stage Number]]&gt;=3,1,0)</f>
        <v>0</v>
      </c>
      <c r="O4547" s="2">
        <f>IF(LeadsData[[#This Row],[Stage Number]]&gt;=4,1,0)</f>
        <v>0</v>
      </c>
    </row>
    <row r="4548" spans="1:15" x14ac:dyDescent="0.25">
      <c r="A4548" t="s">
        <v>4588</v>
      </c>
      <c r="B4548" s="1">
        <v>45522</v>
      </c>
      <c r="C4548" t="s">
        <v>36</v>
      </c>
      <c r="D4548" t="s">
        <v>50</v>
      </c>
      <c r="E4548" t="s">
        <v>13</v>
      </c>
      <c r="F4548" t="s">
        <v>14</v>
      </c>
      <c r="G4548" t="s">
        <v>23</v>
      </c>
      <c r="K4548" cm="1">
        <f t="array" ref="K4548">_xlfn.SWITCH(LeadsData[[#This Row],[Funnel Stage Reached]],"Lead",1,"MQL",2,"SQL",3,"Customer",4)</f>
        <v>2</v>
      </c>
      <c r="L4548" t="str">
        <f>TEXT(LeadsData[[#This Row],[Signup Date]],"mmm-yyyy")</f>
        <v>Aug-2024</v>
      </c>
      <c r="M4548">
        <f>IF(LeadsData[[#This Row],[Stage Number]]&gt;=2,1,0)</f>
        <v>1</v>
      </c>
      <c r="N4548" s="2">
        <f>IF(LeadsData[[#This Row],[Stage Number]]&gt;=3,1,0)</f>
        <v>0</v>
      </c>
      <c r="O4548" s="2">
        <f>IF(LeadsData[[#This Row],[Stage Number]]&gt;=4,1,0)</f>
        <v>0</v>
      </c>
    </row>
    <row r="4549" spans="1:15" x14ac:dyDescent="0.25">
      <c r="A4549" t="s">
        <v>4589</v>
      </c>
      <c r="B4549" s="1">
        <v>45368</v>
      </c>
      <c r="C4549" t="s">
        <v>31</v>
      </c>
      <c r="D4549" t="s">
        <v>32</v>
      </c>
      <c r="E4549" t="s">
        <v>13</v>
      </c>
      <c r="F4549" t="s">
        <v>19</v>
      </c>
      <c r="G4549" t="s">
        <v>15</v>
      </c>
      <c r="K4549" cm="1">
        <f t="array" ref="K4549">_xlfn.SWITCH(LeadsData[[#This Row],[Funnel Stage Reached]],"Lead",1,"MQL",2,"SQL",3,"Customer",4)</f>
        <v>1</v>
      </c>
      <c r="L4549" t="str">
        <f>TEXT(LeadsData[[#This Row],[Signup Date]],"mmm-yyyy")</f>
        <v>Mar-2024</v>
      </c>
      <c r="M4549">
        <f>IF(LeadsData[[#This Row],[Stage Number]]&gt;=2,1,0)</f>
        <v>0</v>
      </c>
      <c r="N4549" s="2">
        <f>IF(LeadsData[[#This Row],[Stage Number]]&gt;=3,1,0)</f>
        <v>0</v>
      </c>
      <c r="O4549" s="2">
        <f>IF(LeadsData[[#This Row],[Stage Number]]&gt;=4,1,0)</f>
        <v>0</v>
      </c>
    </row>
    <row r="4550" spans="1:15" x14ac:dyDescent="0.25">
      <c r="A4550" t="s">
        <v>4590</v>
      </c>
      <c r="B4550" s="1">
        <v>45470</v>
      </c>
      <c r="C4550" t="s">
        <v>17</v>
      </c>
      <c r="D4550" t="s">
        <v>18</v>
      </c>
      <c r="E4550" t="s">
        <v>13</v>
      </c>
      <c r="F4550" t="s">
        <v>22</v>
      </c>
      <c r="G4550" t="s">
        <v>15</v>
      </c>
      <c r="K4550" cm="1">
        <f t="array" ref="K4550">_xlfn.SWITCH(LeadsData[[#This Row],[Funnel Stage Reached]],"Lead",1,"MQL",2,"SQL",3,"Customer",4)</f>
        <v>1</v>
      </c>
      <c r="L4550" t="str">
        <f>TEXT(LeadsData[[#This Row],[Signup Date]],"mmm-yyyy")</f>
        <v>Jun-2024</v>
      </c>
      <c r="M4550">
        <f>IF(LeadsData[[#This Row],[Stage Number]]&gt;=2,1,0)</f>
        <v>0</v>
      </c>
      <c r="N4550" s="2">
        <f>IF(LeadsData[[#This Row],[Stage Number]]&gt;=3,1,0)</f>
        <v>0</v>
      </c>
      <c r="O4550" s="2">
        <f>IF(LeadsData[[#This Row],[Stage Number]]&gt;=4,1,0)</f>
        <v>0</v>
      </c>
    </row>
    <row r="4551" spans="1:15" x14ac:dyDescent="0.25">
      <c r="A4551" t="s">
        <v>4591</v>
      </c>
      <c r="B4551" s="1">
        <v>45460</v>
      </c>
      <c r="C4551" t="s">
        <v>31</v>
      </c>
      <c r="D4551" t="s">
        <v>34</v>
      </c>
      <c r="E4551" t="s">
        <v>21</v>
      </c>
      <c r="F4551" t="s">
        <v>19</v>
      </c>
      <c r="G4551" t="s">
        <v>15</v>
      </c>
      <c r="K4551" cm="1">
        <f t="array" ref="K4551">_xlfn.SWITCH(LeadsData[[#This Row],[Funnel Stage Reached]],"Lead",1,"MQL",2,"SQL",3,"Customer",4)</f>
        <v>1</v>
      </c>
      <c r="L4551" t="str">
        <f>TEXT(LeadsData[[#This Row],[Signup Date]],"mmm-yyyy")</f>
        <v>Jun-2024</v>
      </c>
      <c r="M4551">
        <f>IF(LeadsData[[#This Row],[Stage Number]]&gt;=2,1,0)</f>
        <v>0</v>
      </c>
      <c r="N4551" s="2">
        <f>IF(LeadsData[[#This Row],[Stage Number]]&gt;=3,1,0)</f>
        <v>0</v>
      </c>
      <c r="O4551" s="2">
        <f>IF(LeadsData[[#This Row],[Stage Number]]&gt;=4,1,0)</f>
        <v>0</v>
      </c>
    </row>
    <row r="4552" spans="1:15" x14ac:dyDescent="0.25">
      <c r="A4552" t="s">
        <v>4592</v>
      </c>
      <c r="B4552" s="1">
        <v>45629</v>
      </c>
      <c r="C4552" t="s">
        <v>46</v>
      </c>
      <c r="D4552" t="s">
        <v>47</v>
      </c>
      <c r="E4552" t="s">
        <v>13</v>
      </c>
      <c r="F4552" t="s">
        <v>19</v>
      </c>
      <c r="G4552" t="s">
        <v>42</v>
      </c>
      <c r="H4552">
        <v>12</v>
      </c>
      <c r="I4552" t="s">
        <v>43</v>
      </c>
      <c r="J4552">
        <v>678.77</v>
      </c>
      <c r="K4552" cm="1">
        <f t="array" ref="K4552">_xlfn.SWITCH(LeadsData[[#This Row],[Funnel Stage Reached]],"Lead",1,"MQL",2,"SQL",3,"Customer",4)</f>
        <v>4</v>
      </c>
      <c r="L4552" t="str">
        <f>TEXT(LeadsData[[#This Row],[Signup Date]],"mmm-yyyy")</f>
        <v>Dec-2024</v>
      </c>
      <c r="M4552">
        <f>IF(LeadsData[[#This Row],[Stage Number]]&gt;=2,1,0)</f>
        <v>1</v>
      </c>
      <c r="N4552" s="2">
        <f>IF(LeadsData[[#This Row],[Stage Number]]&gt;=3,1,0)</f>
        <v>1</v>
      </c>
      <c r="O4552" s="2">
        <f>IF(LeadsData[[#This Row],[Stage Number]]&gt;=4,1,0)</f>
        <v>1</v>
      </c>
    </row>
    <row r="4553" spans="1:15" x14ac:dyDescent="0.25">
      <c r="A4553" t="s">
        <v>4593</v>
      </c>
      <c r="B4553" s="1">
        <v>45616</v>
      </c>
      <c r="C4553" t="s">
        <v>46</v>
      </c>
      <c r="D4553" t="s">
        <v>56</v>
      </c>
      <c r="E4553" t="s">
        <v>13</v>
      </c>
      <c r="F4553" t="s">
        <v>28</v>
      </c>
      <c r="G4553" t="s">
        <v>23</v>
      </c>
      <c r="K4553" cm="1">
        <f t="array" ref="K4553">_xlfn.SWITCH(LeadsData[[#This Row],[Funnel Stage Reached]],"Lead",1,"MQL",2,"SQL",3,"Customer",4)</f>
        <v>2</v>
      </c>
      <c r="L4553" t="str">
        <f>TEXT(LeadsData[[#This Row],[Signup Date]],"mmm-yyyy")</f>
        <v>Nov-2024</v>
      </c>
      <c r="M4553">
        <f>IF(LeadsData[[#This Row],[Stage Number]]&gt;=2,1,0)</f>
        <v>1</v>
      </c>
      <c r="N4553" s="2">
        <f>IF(LeadsData[[#This Row],[Stage Number]]&gt;=3,1,0)</f>
        <v>0</v>
      </c>
      <c r="O4553" s="2">
        <f>IF(LeadsData[[#This Row],[Stage Number]]&gt;=4,1,0)</f>
        <v>0</v>
      </c>
    </row>
    <row r="4554" spans="1:15" x14ac:dyDescent="0.25">
      <c r="A4554" t="s">
        <v>4594</v>
      </c>
      <c r="B4554" s="1">
        <v>45558</v>
      </c>
      <c r="C4554" t="s">
        <v>17</v>
      </c>
      <c r="D4554" t="s">
        <v>53</v>
      </c>
      <c r="E4554" t="s">
        <v>13</v>
      </c>
      <c r="F4554" t="s">
        <v>19</v>
      </c>
      <c r="G4554" t="s">
        <v>15</v>
      </c>
      <c r="K4554" cm="1">
        <f t="array" ref="K4554">_xlfn.SWITCH(LeadsData[[#This Row],[Funnel Stage Reached]],"Lead",1,"MQL",2,"SQL",3,"Customer",4)</f>
        <v>1</v>
      </c>
      <c r="L4554" t="str">
        <f>TEXT(LeadsData[[#This Row],[Signup Date]],"mmm-yyyy")</f>
        <v>Sep-2024</v>
      </c>
      <c r="M4554">
        <f>IF(LeadsData[[#This Row],[Stage Number]]&gt;=2,1,0)</f>
        <v>0</v>
      </c>
      <c r="N4554" s="2">
        <f>IF(LeadsData[[#This Row],[Stage Number]]&gt;=3,1,0)</f>
        <v>0</v>
      </c>
      <c r="O4554" s="2">
        <f>IF(LeadsData[[#This Row],[Stage Number]]&gt;=4,1,0)</f>
        <v>0</v>
      </c>
    </row>
    <row r="4555" spans="1:15" x14ac:dyDescent="0.25">
      <c r="A4555" t="s">
        <v>4595</v>
      </c>
      <c r="B4555" s="1">
        <v>45566</v>
      </c>
      <c r="C4555" t="s">
        <v>31</v>
      </c>
      <c r="D4555" t="s">
        <v>34</v>
      </c>
      <c r="E4555" t="s">
        <v>13</v>
      </c>
      <c r="F4555" t="s">
        <v>22</v>
      </c>
      <c r="G4555" t="s">
        <v>15</v>
      </c>
      <c r="K4555" cm="1">
        <f t="array" ref="K4555">_xlfn.SWITCH(LeadsData[[#This Row],[Funnel Stage Reached]],"Lead",1,"MQL",2,"SQL",3,"Customer",4)</f>
        <v>1</v>
      </c>
      <c r="L4555" t="str">
        <f>TEXT(LeadsData[[#This Row],[Signup Date]],"mmm-yyyy")</f>
        <v>Oct-2024</v>
      </c>
      <c r="M4555">
        <f>IF(LeadsData[[#This Row],[Stage Number]]&gt;=2,1,0)</f>
        <v>0</v>
      </c>
      <c r="N4555" s="2">
        <f>IF(LeadsData[[#This Row],[Stage Number]]&gt;=3,1,0)</f>
        <v>0</v>
      </c>
      <c r="O4555" s="2">
        <f>IF(LeadsData[[#This Row],[Stage Number]]&gt;=4,1,0)</f>
        <v>0</v>
      </c>
    </row>
    <row r="4556" spans="1:15" x14ac:dyDescent="0.25">
      <c r="A4556" t="s">
        <v>4596</v>
      </c>
      <c r="B4556" s="1">
        <v>45477</v>
      </c>
      <c r="C4556" t="s">
        <v>46</v>
      </c>
      <c r="D4556" t="s">
        <v>56</v>
      </c>
      <c r="E4556" t="s">
        <v>13</v>
      </c>
      <c r="F4556" t="s">
        <v>22</v>
      </c>
      <c r="G4556" t="s">
        <v>15</v>
      </c>
      <c r="K4556" cm="1">
        <f t="array" ref="K4556">_xlfn.SWITCH(LeadsData[[#This Row],[Funnel Stage Reached]],"Lead",1,"MQL",2,"SQL",3,"Customer",4)</f>
        <v>1</v>
      </c>
      <c r="L4556" t="str">
        <f>TEXT(LeadsData[[#This Row],[Signup Date]],"mmm-yyyy")</f>
        <v>Jul-2024</v>
      </c>
      <c r="M4556">
        <f>IF(LeadsData[[#This Row],[Stage Number]]&gt;=2,1,0)</f>
        <v>0</v>
      </c>
      <c r="N4556" s="2">
        <f>IF(LeadsData[[#This Row],[Stage Number]]&gt;=3,1,0)</f>
        <v>0</v>
      </c>
      <c r="O4556" s="2">
        <f>IF(LeadsData[[#This Row],[Stage Number]]&gt;=4,1,0)</f>
        <v>0</v>
      </c>
    </row>
    <row r="4557" spans="1:15" x14ac:dyDescent="0.25">
      <c r="A4557" t="s">
        <v>4597</v>
      </c>
      <c r="B4557" s="1">
        <v>45614</v>
      </c>
      <c r="C4557" t="s">
        <v>31</v>
      </c>
      <c r="D4557" t="s">
        <v>32</v>
      </c>
      <c r="E4557" t="s">
        <v>13</v>
      </c>
      <c r="F4557" t="s">
        <v>22</v>
      </c>
      <c r="G4557" t="s">
        <v>23</v>
      </c>
      <c r="K4557" cm="1">
        <f t="array" ref="K4557">_xlfn.SWITCH(LeadsData[[#This Row],[Funnel Stage Reached]],"Lead",1,"MQL",2,"SQL",3,"Customer",4)</f>
        <v>2</v>
      </c>
      <c r="L4557" t="str">
        <f>TEXT(LeadsData[[#This Row],[Signup Date]],"mmm-yyyy")</f>
        <v>Nov-2024</v>
      </c>
      <c r="M4557">
        <f>IF(LeadsData[[#This Row],[Stage Number]]&gt;=2,1,0)</f>
        <v>1</v>
      </c>
      <c r="N4557" s="2">
        <f>IF(LeadsData[[#This Row],[Stage Number]]&gt;=3,1,0)</f>
        <v>0</v>
      </c>
      <c r="O4557" s="2">
        <f>IF(LeadsData[[#This Row],[Stage Number]]&gt;=4,1,0)</f>
        <v>0</v>
      </c>
    </row>
    <row r="4558" spans="1:15" x14ac:dyDescent="0.25">
      <c r="A4558" t="s">
        <v>4598</v>
      </c>
      <c r="B4558" s="1">
        <v>45630</v>
      </c>
      <c r="C4558" t="s">
        <v>25</v>
      </c>
      <c r="D4558" t="s">
        <v>26</v>
      </c>
      <c r="E4558" t="s">
        <v>21</v>
      </c>
      <c r="F4558" t="s">
        <v>22</v>
      </c>
      <c r="G4558" t="s">
        <v>15</v>
      </c>
      <c r="K4558" cm="1">
        <f t="array" ref="K4558">_xlfn.SWITCH(LeadsData[[#This Row],[Funnel Stage Reached]],"Lead",1,"MQL",2,"SQL",3,"Customer",4)</f>
        <v>1</v>
      </c>
      <c r="L4558" t="str">
        <f>TEXT(LeadsData[[#This Row],[Signup Date]],"mmm-yyyy")</f>
        <v>Dec-2024</v>
      </c>
      <c r="M4558">
        <f>IF(LeadsData[[#This Row],[Stage Number]]&gt;=2,1,0)</f>
        <v>0</v>
      </c>
      <c r="N4558" s="2">
        <f>IF(LeadsData[[#This Row],[Stage Number]]&gt;=3,1,0)</f>
        <v>0</v>
      </c>
      <c r="O4558" s="2">
        <f>IF(LeadsData[[#This Row],[Stage Number]]&gt;=4,1,0)</f>
        <v>0</v>
      </c>
    </row>
    <row r="4559" spans="1:15" x14ac:dyDescent="0.25">
      <c r="A4559" t="s">
        <v>4599</v>
      </c>
      <c r="B4559" s="1">
        <v>45394</v>
      </c>
      <c r="C4559" t="s">
        <v>31</v>
      </c>
      <c r="D4559" t="s">
        <v>32</v>
      </c>
      <c r="E4559" t="s">
        <v>21</v>
      </c>
      <c r="F4559" t="s">
        <v>19</v>
      </c>
      <c r="G4559" t="s">
        <v>42</v>
      </c>
      <c r="H4559">
        <v>66</v>
      </c>
      <c r="I4559" t="s">
        <v>87</v>
      </c>
      <c r="J4559">
        <v>2625.46</v>
      </c>
      <c r="K4559" cm="1">
        <f t="array" ref="K4559">_xlfn.SWITCH(LeadsData[[#This Row],[Funnel Stage Reached]],"Lead",1,"MQL",2,"SQL",3,"Customer",4)</f>
        <v>4</v>
      </c>
      <c r="L4559" t="str">
        <f>TEXT(LeadsData[[#This Row],[Signup Date]],"mmm-yyyy")</f>
        <v>Apr-2024</v>
      </c>
      <c r="M4559">
        <f>IF(LeadsData[[#This Row],[Stage Number]]&gt;=2,1,0)</f>
        <v>1</v>
      </c>
      <c r="N4559" s="2">
        <f>IF(LeadsData[[#This Row],[Stage Number]]&gt;=3,1,0)</f>
        <v>1</v>
      </c>
      <c r="O4559" s="2">
        <f>IF(LeadsData[[#This Row],[Stage Number]]&gt;=4,1,0)</f>
        <v>1</v>
      </c>
    </row>
    <row r="4560" spans="1:15" x14ac:dyDescent="0.25">
      <c r="A4560" t="s">
        <v>4600</v>
      </c>
      <c r="B4560" s="1">
        <v>45459</v>
      </c>
      <c r="C4560" t="s">
        <v>31</v>
      </c>
      <c r="D4560" t="s">
        <v>34</v>
      </c>
      <c r="E4560" t="s">
        <v>13</v>
      </c>
      <c r="F4560" t="s">
        <v>14</v>
      </c>
      <c r="G4560" t="s">
        <v>29</v>
      </c>
      <c r="K4560" cm="1">
        <f t="array" ref="K4560">_xlfn.SWITCH(LeadsData[[#This Row],[Funnel Stage Reached]],"Lead",1,"MQL",2,"SQL",3,"Customer",4)</f>
        <v>3</v>
      </c>
      <c r="L4560" t="str">
        <f>TEXT(LeadsData[[#This Row],[Signup Date]],"mmm-yyyy")</f>
        <v>Jun-2024</v>
      </c>
      <c r="M4560">
        <f>IF(LeadsData[[#This Row],[Stage Number]]&gt;=2,1,0)</f>
        <v>1</v>
      </c>
      <c r="N4560" s="2">
        <f>IF(LeadsData[[#This Row],[Stage Number]]&gt;=3,1,0)</f>
        <v>1</v>
      </c>
      <c r="O4560" s="2">
        <f>IF(LeadsData[[#This Row],[Stage Number]]&gt;=4,1,0)</f>
        <v>0</v>
      </c>
    </row>
    <row r="4561" spans="1:15" x14ac:dyDescent="0.25">
      <c r="A4561" t="s">
        <v>4601</v>
      </c>
      <c r="B4561" s="1">
        <v>45581</v>
      </c>
      <c r="C4561" t="s">
        <v>36</v>
      </c>
      <c r="D4561" t="s">
        <v>37</v>
      </c>
      <c r="E4561" t="s">
        <v>21</v>
      </c>
      <c r="F4561" t="s">
        <v>14</v>
      </c>
      <c r="G4561" t="s">
        <v>23</v>
      </c>
      <c r="K4561" cm="1">
        <f t="array" ref="K4561">_xlfn.SWITCH(LeadsData[[#This Row],[Funnel Stage Reached]],"Lead",1,"MQL",2,"SQL",3,"Customer",4)</f>
        <v>2</v>
      </c>
      <c r="L4561" t="str">
        <f>TEXT(LeadsData[[#This Row],[Signup Date]],"mmm-yyyy")</f>
        <v>Oct-2024</v>
      </c>
      <c r="M4561">
        <f>IF(LeadsData[[#This Row],[Stage Number]]&gt;=2,1,0)</f>
        <v>1</v>
      </c>
      <c r="N4561" s="2">
        <f>IF(LeadsData[[#This Row],[Stage Number]]&gt;=3,1,0)</f>
        <v>0</v>
      </c>
      <c r="O4561" s="2">
        <f>IF(LeadsData[[#This Row],[Stage Number]]&gt;=4,1,0)</f>
        <v>0</v>
      </c>
    </row>
    <row r="4562" spans="1:15" x14ac:dyDescent="0.25">
      <c r="A4562" t="s">
        <v>4602</v>
      </c>
      <c r="B4562" s="1">
        <v>45651</v>
      </c>
      <c r="C4562" t="s">
        <v>11</v>
      </c>
      <c r="D4562" t="s">
        <v>12</v>
      </c>
      <c r="E4562" t="s">
        <v>13</v>
      </c>
      <c r="F4562" t="s">
        <v>22</v>
      </c>
      <c r="G4562" t="s">
        <v>15</v>
      </c>
      <c r="K4562" cm="1">
        <f t="array" ref="K4562">_xlfn.SWITCH(LeadsData[[#This Row],[Funnel Stage Reached]],"Lead",1,"MQL",2,"SQL",3,"Customer",4)</f>
        <v>1</v>
      </c>
      <c r="L4562" t="str">
        <f>TEXT(LeadsData[[#This Row],[Signup Date]],"mmm-yyyy")</f>
        <v>Dec-2024</v>
      </c>
      <c r="M4562">
        <f>IF(LeadsData[[#This Row],[Stage Number]]&gt;=2,1,0)</f>
        <v>0</v>
      </c>
      <c r="N4562" s="2">
        <f>IF(LeadsData[[#This Row],[Stage Number]]&gt;=3,1,0)</f>
        <v>0</v>
      </c>
      <c r="O4562" s="2">
        <f>IF(LeadsData[[#This Row],[Stage Number]]&gt;=4,1,0)</f>
        <v>0</v>
      </c>
    </row>
    <row r="4563" spans="1:15" x14ac:dyDescent="0.25">
      <c r="A4563" t="s">
        <v>4603</v>
      </c>
      <c r="B4563" s="1">
        <v>45422</v>
      </c>
      <c r="C4563" t="s">
        <v>36</v>
      </c>
      <c r="D4563" t="s">
        <v>50</v>
      </c>
      <c r="E4563" t="s">
        <v>13</v>
      </c>
      <c r="F4563" t="s">
        <v>14</v>
      </c>
      <c r="G4563" t="s">
        <v>15</v>
      </c>
      <c r="K4563" cm="1">
        <f t="array" ref="K4563">_xlfn.SWITCH(LeadsData[[#This Row],[Funnel Stage Reached]],"Lead",1,"MQL",2,"SQL",3,"Customer",4)</f>
        <v>1</v>
      </c>
      <c r="L4563" t="str">
        <f>TEXT(LeadsData[[#This Row],[Signup Date]],"mmm-yyyy")</f>
        <v>May-2024</v>
      </c>
      <c r="M4563">
        <f>IF(LeadsData[[#This Row],[Stage Number]]&gt;=2,1,0)</f>
        <v>0</v>
      </c>
      <c r="N4563" s="2">
        <f>IF(LeadsData[[#This Row],[Stage Number]]&gt;=3,1,0)</f>
        <v>0</v>
      </c>
      <c r="O4563" s="2">
        <f>IF(LeadsData[[#This Row],[Stage Number]]&gt;=4,1,0)</f>
        <v>0</v>
      </c>
    </row>
    <row r="4564" spans="1:15" x14ac:dyDescent="0.25">
      <c r="A4564" t="s">
        <v>4604</v>
      </c>
      <c r="B4564" s="1">
        <v>45456</v>
      </c>
      <c r="C4564" t="s">
        <v>46</v>
      </c>
      <c r="D4564" t="s">
        <v>56</v>
      </c>
      <c r="E4564" t="s">
        <v>13</v>
      </c>
      <c r="F4564" t="s">
        <v>14</v>
      </c>
      <c r="G4564" t="s">
        <v>15</v>
      </c>
      <c r="K4564" cm="1">
        <f t="array" ref="K4564">_xlfn.SWITCH(LeadsData[[#This Row],[Funnel Stage Reached]],"Lead",1,"MQL",2,"SQL",3,"Customer",4)</f>
        <v>1</v>
      </c>
      <c r="L4564" t="str">
        <f>TEXT(LeadsData[[#This Row],[Signup Date]],"mmm-yyyy")</f>
        <v>Jun-2024</v>
      </c>
      <c r="M4564">
        <f>IF(LeadsData[[#This Row],[Stage Number]]&gt;=2,1,0)</f>
        <v>0</v>
      </c>
      <c r="N4564" s="2">
        <f>IF(LeadsData[[#This Row],[Stage Number]]&gt;=3,1,0)</f>
        <v>0</v>
      </c>
      <c r="O4564" s="2">
        <f>IF(LeadsData[[#This Row],[Stage Number]]&gt;=4,1,0)</f>
        <v>0</v>
      </c>
    </row>
    <row r="4565" spans="1:15" x14ac:dyDescent="0.25">
      <c r="A4565" t="s">
        <v>4605</v>
      </c>
      <c r="B4565" s="1">
        <v>45615</v>
      </c>
      <c r="C4565" t="s">
        <v>31</v>
      </c>
      <c r="D4565" t="s">
        <v>34</v>
      </c>
      <c r="E4565" t="s">
        <v>13</v>
      </c>
      <c r="F4565" t="s">
        <v>14</v>
      </c>
      <c r="G4565" t="s">
        <v>42</v>
      </c>
      <c r="H4565">
        <v>25</v>
      </c>
      <c r="I4565" t="s">
        <v>43</v>
      </c>
      <c r="J4565">
        <v>779.15</v>
      </c>
      <c r="K4565" cm="1">
        <f t="array" ref="K4565">_xlfn.SWITCH(LeadsData[[#This Row],[Funnel Stage Reached]],"Lead",1,"MQL",2,"SQL",3,"Customer",4)</f>
        <v>4</v>
      </c>
      <c r="L4565" t="str">
        <f>TEXT(LeadsData[[#This Row],[Signup Date]],"mmm-yyyy")</f>
        <v>Nov-2024</v>
      </c>
      <c r="M4565">
        <f>IF(LeadsData[[#This Row],[Stage Number]]&gt;=2,1,0)</f>
        <v>1</v>
      </c>
      <c r="N4565" s="2">
        <f>IF(LeadsData[[#This Row],[Stage Number]]&gt;=3,1,0)</f>
        <v>1</v>
      </c>
      <c r="O4565" s="2">
        <f>IF(LeadsData[[#This Row],[Stage Number]]&gt;=4,1,0)</f>
        <v>1</v>
      </c>
    </row>
    <row r="4566" spans="1:15" x14ac:dyDescent="0.25">
      <c r="A4566" t="s">
        <v>4606</v>
      </c>
      <c r="B4566" s="1">
        <v>45574</v>
      </c>
      <c r="C4566" t="s">
        <v>25</v>
      </c>
      <c r="D4566" t="s">
        <v>26</v>
      </c>
      <c r="E4566" t="s">
        <v>21</v>
      </c>
      <c r="F4566" t="s">
        <v>22</v>
      </c>
      <c r="G4566" t="s">
        <v>15</v>
      </c>
      <c r="K4566" cm="1">
        <f t="array" ref="K4566">_xlfn.SWITCH(LeadsData[[#This Row],[Funnel Stage Reached]],"Lead",1,"MQL",2,"SQL",3,"Customer",4)</f>
        <v>1</v>
      </c>
      <c r="L4566" t="str">
        <f>TEXT(LeadsData[[#This Row],[Signup Date]],"mmm-yyyy")</f>
        <v>Oct-2024</v>
      </c>
      <c r="M4566">
        <f>IF(LeadsData[[#This Row],[Stage Number]]&gt;=2,1,0)</f>
        <v>0</v>
      </c>
      <c r="N4566" s="2">
        <f>IF(LeadsData[[#This Row],[Stage Number]]&gt;=3,1,0)</f>
        <v>0</v>
      </c>
      <c r="O4566" s="2">
        <f>IF(LeadsData[[#This Row],[Stage Number]]&gt;=4,1,0)</f>
        <v>0</v>
      </c>
    </row>
    <row r="4567" spans="1:15" x14ac:dyDescent="0.25">
      <c r="A4567" t="s">
        <v>4607</v>
      </c>
      <c r="B4567" s="1">
        <v>45342</v>
      </c>
      <c r="C4567" t="s">
        <v>11</v>
      </c>
      <c r="D4567" t="s">
        <v>68</v>
      </c>
      <c r="E4567" t="s">
        <v>13</v>
      </c>
      <c r="F4567" t="s">
        <v>22</v>
      </c>
      <c r="G4567" t="s">
        <v>15</v>
      </c>
      <c r="K4567" cm="1">
        <f t="array" ref="K4567">_xlfn.SWITCH(LeadsData[[#This Row],[Funnel Stage Reached]],"Lead",1,"MQL",2,"SQL",3,"Customer",4)</f>
        <v>1</v>
      </c>
      <c r="L4567" t="str">
        <f>TEXT(LeadsData[[#This Row],[Signup Date]],"mmm-yyyy")</f>
        <v>Feb-2024</v>
      </c>
      <c r="M4567">
        <f>IF(LeadsData[[#This Row],[Stage Number]]&gt;=2,1,0)</f>
        <v>0</v>
      </c>
      <c r="N4567" s="2">
        <f>IF(LeadsData[[#This Row],[Stage Number]]&gt;=3,1,0)</f>
        <v>0</v>
      </c>
      <c r="O4567" s="2">
        <f>IF(LeadsData[[#This Row],[Stage Number]]&gt;=4,1,0)</f>
        <v>0</v>
      </c>
    </row>
    <row r="4568" spans="1:15" x14ac:dyDescent="0.25">
      <c r="A4568" t="s">
        <v>4608</v>
      </c>
      <c r="B4568" s="1">
        <v>45490</v>
      </c>
      <c r="C4568" t="s">
        <v>46</v>
      </c>
      <c r="D4568" t="s">
        <v>56</v>
      </c>
      <c r="E4568" t="s">
        <v>21</v>
      </c>
      <c r="F4568" t="s">
        <v>19</v>
      </c>
      <c r="G4568" t="s">
        <v>23</v>
      </c>
      <c r="K4568" cm="1">
        <f t="array" ref="K4568">_xlfn.SWITCH(LeadsData[[#This Row],[Funnel Stage Reached]],"Lead",1,"MQL",2,"SQL",3,"Customer",4)</f>
        <v>2</v>
      </c>
      <c r="L4568" t="str">
        <f>TEXT(LeadsData[[#This Row],[Signup Date]],"mmm-yyyy")</f>
        <v>Jul-2024</v>
      </c>
      <c r="M4568">
        <f>IF(LeadsData[[#This Row],[Stage Number]]&gt;=2,1,0)</f>
        <v>1</v>
      </c>
      <c r="N4568" s="2">
        <f>IF(LeadsData[[#This Row],[Stage Number]]&gt;=3,1,0)</f>
        <v>0</v>
      </c>
      <c r="O4568" s="2">
        <f>IF(LeadsData[[#This Row],[Stage Number]]&gt;=4,1,0)</f>
        <v>0</v>
      </c>
    </row>
    <row r="4569" spans="1:15" x14ac:dyDescent="0.25">
      <c r="A4569" t="s">
        <v>4609</v>
      </c>
      <c r="B4569" s="1">
        <v>45623</v>
      </c>
      <c r="C4569" t="s">
        <v>31</v>
      </c>
      <c r="D4569" t="s">
        <v>34</v>
      </c>
      <c r="E4569" t="s">
        <v>21</v>
      </c>
      <c r="F4569" t="s">
        <v>22</v>
      </c>
      <c r="G4569" t="s">
        <v>15</v>
      </c>
      <c r="K4569" cm="1">
        <f t="array" ref="K4569">_xlfn.SWITCH(LeadsData[[#This Row],[Funnel Stage Reached]],"Lead",1,"MQL",2,"SQL",3,"Customer",4)</f>
        <v>1</v>
      </c>
      <c r="L4569" t="str">
        <f>TEXT(LeadsData[[#This Row],[Signup Date]],"mmm-yyyy")</f>
        <v>Nov-2024</v>
      </c>
      <c r="M4569">
        <f>IF(LeadsData[[#This Row],[Stage Number]]&gt;=2,1,0)</f>
        <v>0</v>
      </c>
      <c r="N4569" s="2">
        <f>IF(LeadsData[[#This Row],[Stage Number]]&gt;=3,1,0)</f>
        <v>0</v>
      </c>
      <c r="O4569" s="2">
        <f>IF(LeadsData[[#This Row],[Stage Number]]&gt;=4,1,0)</f>
        <v>0</v>
      </c>
    </row>
    <row r="4570" spans="1:15" x14ac:dyDescent="0.25">
      <c r="A4570" t="s">
        <v>4610</v>
      </c>
      <c r="B4570" s="1">
        <v>45577</v>
      </c>
      <c r="C4570" t="s">
        <v>36</v>
      </c>
      <c r="D4570" t="s">
        <v>50</v>
      </c>
      <c r="E4570" t="s">
        <v>21</v>
      </c>
      <c r="F4570" t="s">
        <v>28</v>
      </c>
      <c r="G4570" t="s">
        <v>23</v>
      </c>
      <c r="K4570" cm="1">
        <f t="array" ref="K4570">_xlfn.SWITCH(LeadsData[[#This Row],[Funnel Stage Reached]],"Lead",1,"MQL",2,"SQL",3,"Customer",4)</f>
        <v>2</v>
      </c>
      <c r="L4570" t="str">
        <f>TEXT(LeadsData[[#This Row],[Signup Date]],"mmm-yyyy")</f>
        <v>Oct-2024</v>
      </c>
      <c r="M4570">
        <f>IF(LeadsData[[#This Row],[Stage Number]]&gt;=2,1,0)</f>
        <v>1</v>
      </c>
      <c r="N4570" s="2">
        <f>IF(LeadsData[[#This Row],[Stage Number]]&gt;=3,1,0)</f>
        <v>0</v>
      </c>
      <c r="O4570" s="2">
        <f>IF(LeadsData[[#This Row],[Stage Number]]&gt;=4,1,0)</f>
        <v>0</v>
      </c>
    </row>
    <row r="4571" spans="1:15" x14ac:dyDescent="0.25">
      <c r="A4571" t="s">
        <v>4611</v>
      </c>
      <c r="B4571" s="1">
        <v>45317</v>
      </c>
      <c r="C4571" t="s">
        <v>46</v>
      </c>
      <c r="D4571" t="s">
        <v>47</v>
      </c>
      <c r="E4571" t="s">
        <v>21</v>
      </c>
      <c r="F4571" t="s">
        <v>19</v>
      </c>
      <c r="G4571" t="s">
        <v>15</v>
      </c>
      <c r="K4571" cm="1">
        <f t="array" ref="K4571">_xlfn.SWITCH(LeadsData[[#This Row],[Funnel Stage Reached]],"Lead",1,"MQL",2,"SQL",3,"Customer",4)</f>
        <v>1</v>
      </c>
      <c r="L4571" t="str">
        <f>TEXT(LeadsData[[#This Row],[Signup Date]],"mmm-yyyy")</f>
        <v>Jan-2024</v>
      </c>
      <c r="M4571">
        <f>IF(LeadsData[[#This Row],[Stage Number]]&gt;=2,1,0)</f>
        <v>0</v>
      </c>
      <c r="N4571" s="2">
        <f>IF(LeadsData[[#This Row],[Stage Number]]&gt;=3,1,0)</f>
        <v>0</v>
      </c>
      <c r="O4571" s="2">
        <f>IF(LeadsData[[#This Row],[Stage Number]]&gt;=4,1,0)</f>
        <v>0</v>
      </c>
    </row>
    <row r="4572" spans="1:15" x14ac:dyDescent="0.25">
      <c r="A4572" t="s">
        <v>4612</v>
      </c>
      <c r="B4572" s="1">
        <v>45539</v>
      </c>
      <c r="C4572" t="s">
        <v>31</v>
      </c>
      <c r="D4572" t="s">
        <v>34</v>
      </c>
      <c r="E4572" t="s">
        <v>21</v>
      </c>
      <c r="F4572" t="s">
        <v>14</v>
      </c>
      <c r="G4572" t="s">
        <v>42</v>
      </c>
      <c r="H4572">
        <v>58</v>
      </c>
      <c r="I4572" t="s">
        <v>87</v>
      </c>
      <c r="J4572">
        <v>2835.89</v>
      </c>
      <c r="K4572" cm="1">
        <f t="array" ref="K4572">_xlfn.SWITCH(LeadsData[[#This Row],[Funnel Stage Reached]],"Lead",1,"MQL",2,"SQL",3,"Customer",4)</f>
        <v>4</v>
      </c>
      <c r="L4572" t="str">
        <f>TEXT(LeadsData[[#This Row],[Signup Date]],"mmm-yyyy")</f>
        <v>Sep-2024</v>
      </c>
      <c r="M4572">
        <f>IF(LeadsData[[#This Row],[Stage Number]]&gt;=2,1,0)</f>
        <v>1</v>
      </c>
      <c r="N4572" s="2">
        <f>IF(LeadsData[[#This Row],[Stage Number]]&gt;=3,1,0)</f>
        <v>1</v>
      </c>
      <c r="O4572" s="2">
        <f>IF(LeadsData[[#This Row],[Stage Number]]&gt;=4,1,0)</f>
        <v>1</v>
      </c>
    </row>
    <row r="4573" spans="1:15" x14ac:dyDescent="0.25">
      <c r="A4573" t="s">
        <v>4613</v>
      </c>
      <c r="B4573" s="1">
        <v>45634</v>
      </c>
      <c r="C4573" t="s">
        <v>11</v>
      </c>
      <c r="D4573" t="s">
        <v>79</v>
      </c>
      <c r="E4573" t="s">
        <v>13</v>
      </c>
      <c r="F4573" t="s">
        <v>22</v>
      </c>
      <c r="G4573" t="s">
        <v>23</v>
      </c>
      <c r="K4573" cm="1">
        <f t="array" ref="K4573">_xlfn.SWITCH(LeadsData[[#This Row],[Funnel Stage Reached]],"Lead",1,"MQL",2,"SQL",3,"Customer",4)</f>
        <v>2</v>
      </c>
      <c r="L4573" t="str">
        <f>TEXT(LeadsData[[#This Row],[Signup Date]],"mmm-yyyy")</f>
        <v>Dec-2024</v>
      </c>
      <c r="M4573">
        <f>IF(LeadsData[[#This Row],[Stage Number]]&gt;=2,1,0)</f>
        <v>1</v>
      </c>
      <c r="N4573" s="2">
        <f>IF(LeadsData[[#This Row],[Stage Number]]&gt;=3,1,0)</f>
        <v>0</v>
      </c>
      <c r="O4573" s="2">
        <f>IF(LeadsData[[#This Row],[Stage Number]]&gt;=4,1,0)</f>
        <v>0</v>
      </c>
    </row>
    <row r="4574" spans="1:15" x14ac:dyDescent="0.25">
      <c r="A4574" t="s">
        <v>4614</v>
      </c>
      <c r="B4574" s="1">
        <v>45366</v>
      </c>
      <c r="C4574" t="s">
        <v>11</v>
      </c>
      <c r="D4574" t="s">
        <v>68</v>
      </c>
      <c r="E4574" t="s">
        <v>13</v>
      </c>
      <c r="F4574" t="s">
        <v>19</v>
      </c>
      <c r="G4574" t="s">
        <v>15</v>
      </c>
      <c r="K4574" cm="1">
        <f t="array" ref="K4574">_xlfn.SWITCH(LeadsData[[#This Row],[Funnel Stage Reached]],"Lead",1,"MQL",2,"SQL",3,"Customer",4)</f>
        <v>1</v>
      </c>
      <c r="L4574" t="str">
        <f>TEXT(LeadsData[[#This Row],[Signup Date]],"mmm-yyyy")</f>
        <v>Mar-2024</v>
      </c>
      <c r="M4574">
        <f>IF(LeadsData[[#This Row],[Stage Number]]&gt;=2,1,0)</f>
        <v>0</v>
      </c>
      <c r="N4574" s="2">
        <f>IF(LeadsData[[#This Row],[Stage Number]]&gt;=3,1,0)</f>
        <v>0</v>
      </c>
      <c r="O4574" s="2">
        <f>IF(LeadsData[[#This Row],[Stage Number]]&gt;=4,1,0)</f>
        <v>0</v>
      </c>
    </row>
    <row r="4575" spans="1:15" x14ac:dyDescent="0.25">
      <c r="A4575" t="s">
        <v>4615</v>
      </c>
      <c r="B4575" s="1">
        <v>45471</v>
      </c>
      <c r="C4575" t="s">
        <v>46</v>
      </c>
      <c r="D4575" t="s">
        <v>56</v>
      </c>
      <c r="E4575" t="s">
        <v>13</v>
      </c>
      <c r="F4575" t="s">
        <v>14</v>
      </c>
      <c r="G4575" t="s">
        <v>15</v>
      </c>
      <c r="K4575" cm="1">
        <f t="array" ref="K4575">_xlfn.SWITCH(LeadsData[[#This Row],[Funnel Stage Reached]],"Lead",1,"MQL",2,"SQL",3,"Customer",4)</f>
        <v>1</v>
      </c>
      <c r="L4575" t="str">
        <f>TEXT(LeadsData[[#This Row],[Signup Date]],"mmm-yyyy")</f>
        <v>Jun-2024</v>
      </c>
      <c r="M4575">
        <f>IF(LeadsData[[#This Row],[Stage Number]]&gt;=2,1,0)</f>
        <v>0</v>
      </c>
      <c r="N4575" s="2">
        <f>IF(LeadsData[[#This Row],[Stage Number]]&gt;=3,1,0)</f>
        <v>0</v>
      </c>
      <c r="O4575" s="2">
        <f>IF(LeadsData[[#This Row],[Stage Number]]&gt;=4,1,0)</f>
        <v>0</v>
      </c>
    </row>
    <row r="4576" spans="1:15" x14ac:dyDescent="0.25">
      <c r="A4576" t="s">
        <v>4616</v>
      </c>
      <c r="B4576" s="1">
        <v>45370</v>
      </c>
      <c r="C4576" t="s">
        <v>17</v>
      </c>
      <c r="D4576" t="s">
        <v>18</v>
      </c>
      <c r="E4576" t="s">
        <v>21</v>
      </c>
      <c r="F4576" t="s">
        <v>14</v>
      </c>
      <c r="G4576" t="s">
        <v>23</v>
      </c>
      <c r="K4576" cm="1">
        <f t="array" ref="K4576">_xlfn.SWITCH(LeadsData[[#This Row],[Funnel Stage Reached]],"Lead",1,"MQL",2,"SQL",3,"Customer",4)</f>
        <v>2</v>
      </c>
      <c r="L4576" t="str">
        <f>TEXT(LeadsData[[#This Row],[Signup Date]],"mmm-yyyy")</f>
        <v>Mar-2024</v>
      </c>
      <c r="M4576">
        <f>IF(LeadsData[[#This Row],[Stage Number]]&gt;=2,1,0)</f>
        <v>1</v>
      </c>
      <c r="N4576" s="2">
        <f>IF(LeadsData[[#This Row],[Stage Number]]&gt;=3,1,0)</f>
        <v>0</v>
      </c>
      <c r="O4576" s="2">
        <f>IF(LeadsData[[#This Row],[Stage Number]]&gt;=4,1,0)</f>
        <v>0</v>
      </c>
    </row>
    <row r="4577" spans="1:15" x14ac:dyDescent="0.25">
      <c r="A4577" t="s">
        <v>4617</v>
      </c>
      <c r="B4577" s="1">
        <v>45366</v>
      </c>
      <c r="C4577" t="s">
        <v>31</v>
      </c>
      <c r="D4577" t="s">
        <v>34</v>
      </c>
      <c r="E4577" t="s">
        <v>21</v>
      </c>
      <c r="F4577" t="s">
        <v>28</v>
      </c>
      <c r="G4577" t="s">
        <v>15</v>
      </c>
      <c r="K4577" cm="1">
        <f t="array" ref="K4577">_xlfn.SWITCH(LeadsData[[#This Row],[Funnel Stage Reached]],"Lead",1,"MQL",2,"SQL",3,"Customer",4)</f>
        <v>1</v>
      </c>
      <c r="L4577" t="str">
        <f>TEXT(LeadsData[[#This Row],[Signup Date]],"mmm-yyyy")</f>
        <v>Mar-2024</v>
      </c>
      <c r="M4577">
        <f>IF(LeadsData[[#This Row],[Stage Number]]&gt;=2,1,0)</f>
        <v>0</v>
      </c>
      <c r="N4577" s="2">
        <f>IF(LeadsData[[#This Row],[Stage Number]]&gt;=3,1,0)</f>
        <v>0</v>
      </c>
      <c r="O4577" s="2">
        <f>IF(LeadsData[[#This Row],[Stage Number]]&gt;=4,1,0)</f>
        <v>0</v>
      </c>
    </row>
    <row r="4578" spans="1:15" x14ac:dyDescent="0.25">
      <c r="A4578" t="s">
        <v>4618</v>
      </c>
      <c r="B4578" s="1">
        <v>45621</v>
      </c>
      <c r="C4578" t="s">
        <v>25</v>
      </c>
      <c r="D4578" t="s">
        <v>26</v>
      </c>
      <c r="E4578" t="s">
        <v>13</v>
      </c>
      <c r="F4578" t="s">
        <v>14</v>
      </c>
      <c r="G4578" t="s">
        <v>15</v>
      </c>
      <c r="K4578" cm="1">
        <f t="array" ref="K4578">_xlfn.SWITCH(LeadsData[[#This Row],[Funnel Stage Reached]],"Lead",1,"MQL",2,"SQL",3,"Customer",4)</f>
        <v>1</v>
      </c>
      <c r="L4578" t="str">
        <f>TEXT(LeadsData[[#This Row],[Signup Date]],"mmm-yyyy")</f>
        <v>Nov-2024</v>
      </c>
      <c r="M4578">
        <f>IF(LeadsData[[#This Row],[Stage Number]]&gt;=2,1,0)</f>
        <v>0</v>
      </c>
      <c r="N4578" s="2">
        <f>IF(LeadsData[[#This Row],[Stage Number]]&gt;=3,1,0)</f>
        <v>0</v>
      </c>
      <c r="O4578" s="2">
        <f>IF(LeadsData[[#This Row],[Stage Number]]&gt;=4,1,0)</f>
        <v>0</v>
      </c>
    </row>
    <row r="4579" spans="1:15" x14ac:dyDescent="0.25">
      <c r="A4579" t="s">
        <v>4619</v>
      </c>
      <c r="B4579" s="1">
        <v>45604</v>
      </c>
      <c r="C4579" t="s">
        <v>11</v>
      </c>
      <c r="D4579" t="s">
        <v>12</v>
      </c>
      <c r="E4579" t="s">
        <v>21</v>
      </c>
      <c r="F4579" t="s">
        <v>14</v>
      </c>
      <c r="G4579" t="s">
        <v>15</v>
      </c>
      <c r="K4579" cm="1">
        <f t="array" ref="K4579">_xlfn.SWITCH(LeadsData[[#This Row],[Funnel Stage Reached]],"Lead",1,"MQL",2,"SQL",3,"Customer",4)</f>
        <v>1</v>
      </c>
      <c r="L4579" t="str">
        <f>TEXT(LeadsData[[#This Row],[Signup Date]],"mmm-yyyy")</f>
        <v>Nov-2024</v>
      </c>
      <c r="M4579">
        <f>IF(LeadsData[[#This Row],[Stage Number]]&gt;=2,1,0)</f>
        <v>0</v>
      </c>
      <c r="N4579" s="2">
        <f>IF(LeadsData[[#This Row],[Stage Number]]&gt;=3,1,0)</f>
        <v>0</v>
      </c>
      <c r="O4579" s="2">
        <f>IF(LeadsData[[#This Row],[Stage Number]]&gt;=4,1,0)</f>
        <v>0</v>
      </c>
    </row>
    <row r="4580" spans="1:15" x14ac:dyDescent="0.25">
      <c r="A4580" t="s">
        <v>4620</v>
      </c>
      <c r="B4580" s="1">
        <v>45496</v>
      </c>
      <c r="C4580" t="s">
        <v>31</v>
      </c>
      <c r="D4580" t="s">
        <v>34</v>
      </c>
      <c r="E4580" t="s">
        <v>13</v>
      </c>
      <c r="F4580" t="s">
        <v>19</v>
      </c>
      <c r="G4580" t="s">
        <v>15</v>
      </c>
      <c r="K4580" cm="1">
        <f t="array" ref="K4580">_xlfn.SWITCH(LeadsData[[#This Row],[Funnel Stage Reached]],"Lead",1,"MQL",2,"SQL",3,"Customer",4)</f>
        <v>1</v>
      </c>
      <c r="L4580" t="str">
        <f>TEXT(LeadsData[[#This Row],[Signup Date]],"mmm-yyyy")</f>
        <v>Jul-2024</v>
      </c>
      <c r="M4580">
        <f>IF(LeadsData[[#This Row],[Stage Number]]&gt;=2,1,0)</f>
        <v>0</v>
      </c>
      <c r="N4580" s="2">
        <f>IF(LeadsData[[#This Row],[Stage Number]]&gt;=3,1,0)</f>
        <v>0</v>
      </c>
      <c r="O4580" s="2">
        <f>IF(LeadsData[[#This Row],[Stage Number]]&gt;=4,1,0)</f>
        <v>0</v>
      </c>
    </row>
    <row r="4581" spans="1:15" x14ac:dyDescent="0.25">
      <c r="A4581" t="s">
        <v>4621</v>
      </c>
      <c r="B4581" s="1">
        <v>45532</v>
      </c>
      <c r="C4581" t="s">
        <v>25</v>
      </c>
      <c r="D4581" t="s">
        <v>26</v>
      </c>
      <c r="E4581" t="s">
        <v>21</v>
      </c>
      <c r="F4581" t="s">
        <v>22</v>
      </c>
      <c r="G4581" t="s">
        <v>15</v>
      </c>
      <c r="K4581" cm="1">
        <f t="array" ref="K4581">_xlfn.SWITCH(LeadsData[[#This Row],[Funnel Stage Reached]],"Lead",1,"MQL",2,"SQL",3,"Customer",4)</f>
        <v>1</v>
      </c>
      <c r="L4581" t="str">
        <f>TEXT(LeadsData[[#This Row],[Signup Date]],"mmm-yyyy")</f>
        <v>Aug-2024</v>
      </c>
      <c r="M4581">
        <f>IF(LeadsData[[#This Row],[Stage Number]]&gt;=2,1,0)</f>
        <v>0</v>
      </c>
      <c r="N4581" s="2">
        <f>IF(LeadsData[[#This Row],[Stage Number]]&gt;=3,1,0)</f>
        <v>0</v>
      </c>
      <c r="O4581" s="2">
        <f>IF(LeadsData[[#This Row],[Stage Number]]&gt;=4,1,0)</f>
        <v>0</v>
      </c>
    </row>
    <row r="4582" spans="1:15" x14ac:dyDescent="0.25">
      <c r="A4582" t="s">
        <v>4622</v>
      </c>
      <c r="B4582" s="1">
        <v>45385</v>
      </c>
      <c r="C4582" t="s">
        <v>17</v>
      </c>
      <c r="D4582" t="s">
        <v>18</v>
      </c>
      <c r="E4582" t="s">
        <v>13</v>
      </c>
      <c r="F4582" t="s">
        <v>22</v>
      </c>
      <c r="G4582" t="s">
        <v>23</v>
      </c>
      <c r="K4582" cm="1">
        <f t="array" ref="K4582">_xlfn.SWITCH(LeadsData[[#This Row],[Funnel Stage Reached]],"Lead",1,"MQL",2,"SQL",3,"Customer",4)</f>
        <v>2</v>
      </c>
      <c r="L4582" t="str">
        <f>TEXT(LeadsData[[#This Row],[Signup Date]],"mmm-yyyy")</f>
        <v>Apr-2024</v>
      </c>
      <c r="M4582">
        <f>IF(LeadsData[[#This Row],[Stage Number]]&gt;=2,1,0)</f>
        <v>1</v>
      </c>
      <c r="N4582" s="2">
        <f>IF(LeadsData[[#This Row],[Stage Number]]&gt;=3,1,0)</f>
        <v>0</v>
      </c>
      <c r="O4582" s="2">
        <f>IF(LeadsData[[#This Row],[Stage Number]]&gt;=4,1,0)</f>
        <v>0</v>
      </c>
    </row>
    <row r="4583" spans="1:15" x14ac:dyDescent="0.25">
      <c r="A4583" t="s">
        <v>4623</v>
      </c>
      <c r="B4583" s="1">
        <v>45523</v>
      </c>
      <c r="C4583" t="s">
        <v>36</v>
      </c>
      <c r="D4583" t="s">
        <v>50</v>
      </c>
      <c r="E4583" t="s">
        <v>13</v>
      </c>
      <c r="F4583" t="s">
        <v>19</v>
      </c>
      <c r="G4583" t="s">
        <v>29</v>
      </c>
      <c r="K4583" cm="1">
        <f t="array" ref="K4583">_xlfn.SWITCH(LeadsData[[#This Row],[Funnel Stage Reached]],"Lead",1,"MQL",2,"SQL",3,"Customer",4)</f>
        <v>3</v>
      </c>
      <c r="L4583" t="str">
        <f>TEXT(LeadsData[[#This Row],[Signup Date]],"mmm-yyyy")</f>
        <v>Aug-2024</v>
      </c>
      <c r="M4583">
        <f>IF(LeadsData[[#This Row],[Stage Number]]&gt;=2,1,0)</f>
        <v>1</v>
      </c>
      <c r="N4583" s="2">
        <f>IF(LeadsData[[#This Row],[Stage Number]]&gt;=3,1,0)</f>
        <v>1</v>
      </c>
      <c r="O4583" s="2">
        <f>IF(LeadsData[[#This Row],[Stage Number]]&gt;=4,1,0)</f>
        <v>0</v>
      </c>
    </row>
    <row r="4584" spans="1:15" x14ac:dyDescent="0.25">
      <c r="A4584" t="s">
        <v>4624</v>
      </c>
      <c r="B4584" s="1">
        <v>45523</v>
      </c>
      <c r="C4584" t="s">
        <v>11</v>
      </c>
      <c r="D4584" t="s">
        <v>12</v>
      </c>
      <c r="E4584" t="s">
        <v>21</v>
      </c>
      <c r="F4584" t="s">
        <v>22</v>
      </c>
      <c r="G4584" t="s">
        <v>23</v>
      </c>
      <c r="K4584" cm="1">
        <f t="array" ref="K4584">_xlfn.SWITCH(LeadsData[[#This Row],[Funnel Stage Reached]],"Lead",1,"MQL",2,"SQL",3,"Customer",4)</f>
        <v>2</v>
      </c>
      <c r="L4584" t="str">
        <f>TEXT(LeadsData[[#This Row],[Signup Date]],"mmm-yyyy")</f>
        <v>Aug-2024</v>
      </c>
      <c r="M4584">
        <f>IF(LeadsData[[#This Row],[Stage Number]]&gt;=2,1,0)</f>
        <v>1</v>
      </c>
      <c r="N4584" s="2">
        <f>IF(LeadsData[[#This Row],[Stage Number]]&gt;=3,1,0)</f>
        <v>0</v>
      </c>
      <c r="O4584" s="2">
        <f>IF(LeadsData[[#This Row],[Stage Number]]&gt;=4,1,0)</f>
        <v>0</v>
      </c>
    </row>
    <row r="4585" spans="1:15" x14ac:dyDescent="0.25">
      <c r="A4585" t="s">
        <v>4625</v>
      </c>
      <c r="B4585" s="1">
        <v>45538</v>
      </c>
      <c r="C4585" t="s">
        <v>31</v>
      </c>
      <c r="D4585" t="s">
        <v>32</v>
      </c>
      <c r="E4585" t="s">
        <v>21</v>
      </c>
      <c r="F4585" t="s">
        <v>19</v>
      </c>
      <c r="G4585" t="s">
        <v>29</v>
      </c>
      <c r="K4585" cm="1">
        <f t="array" ref="K4585">_xlfn.SWITCH(LeadsData[[#This Row],[Funnel Stage Reached]],"Lead",1,"MQL",2,"SQL",3,"Customer",4)</f>
        <v>3</v>
      </c>
      <c r="L4585" t="str">
        <f>TEXT(LeadsData[[#This Row],[Signup Date]],"mmm-yyyy")</f>
        <v>Sep-2024</v>
      </c>
      <c r="M4585">
        <f>IF(LeadsData[[#This Row],[Stage Number]]&gt;=2,1,0)</f>
        <v>1</v>
      </c>
      <c r="N4585" s="2">
        <f>IF(LeadsData[[#This Row],[Stage Number]]&gt;=3,1,0)</f>
        <v>1</v>
      </c>
      <c r="O4585" s="2">
        <f>IF(LeadsData[[#This Row],[Stage Number]]&gt;=4,1,0)</f>
        <v>0</v>
      </c>
    </row>
    <row r="4586" spans="1:15" x14ac:dyDescent="0.25">
      <c r="A4586" t="s">
        <v>4626</v>
      </c>
      <c r="B4586" s="1">
        <v>45362</v>
      </c>
      <c r="C4586" t="s">
        <v>36</v>
      </c>
      <c r="D4586" t="s">
        <v>37</v>
      </c>
      <c r="E4586" t="s">
        <v>13</v>
      </c>
      <c r="F4586" t="s">
        <v>22</v>
      </c>
      <c r="G4586" t="s">
        <v>15</v>
      </c>
      <c r="K4586" cm="1">
        <f t="array" ref="K4586">_xlfn.SWITCH(LeadsData[[#This Row],[Funnel Stage Reached]],"Lead",1,"MQL",2,"SQL",3,"Customer",4)</f>
        <v>1</v>
      </c>
      <c r="L4586" t="str">
        <f>TEXT(LeadsData[[#This Row],[Signup Date]],"mmm-yyyy")</f>
        <v>Mar-2024</v>
      </c>
      <c r="M4586">
        <f>IF(LeadsData[[#This Row],[Stage Number]]&gt;=2,1,0)</f>
        <v>0</v>
      </c>
      <c r="N4586" s="2">
        <f>IF(LeadsData[[#This Row],[Stage Number]]&gt;=3,1,0)</f>
        <v>0</v>
      </c>
      <c r="O4586" s="2">
        <f>IF(LeadsData[[#This Row],[Stage Number]]&gt;=4,1,0)</f>
        <v>0</v>
      </c>
    </row>
    <row r="4587" spans="1:15" x14ac:dyDescent="0.25">
      <c r="A4587" t="s">
        <v>4627</v>
      </c>
      <c r="B4587" s="1">
        <v>45632</v>
      </c>
      <c r="C4587" t="s">
        <v>25</v>
      </c>
      <c r="D4587" t="s">
        <v>26</v>
      </c>
      <c r="E4587" t="s">
        <v>13</v>
      </c>
      <c r="F4587" t="s">
        <v>22</v>
      </c>
      <c r="G4587" t="s">
        <v>15</v>
      </c>
      <c r="K4587" cm="1">
        <f t="array" ref="K4587">_xlfn.SWITCH(LeadsData[[#This Row],[Funnel Stage Reached]],"Lead",1,"MQL",2,"SQL",3,"Customer",4)</f>
        <v>1</v>
      </c>
      <c r="L4587" t="str">
        <f>TEXT(LeadsData[[#This Row],[Signup Date]],"mmm-yyyy")</f>
        <v>Dec-2024</v>
      </c>
      <c r="M4587">
        <f>IF(LeadsData[[#This Row],[Stage Number]]&gt;=2,1,0)</f>
        <v>0</v>
      </c>
      <c r="N4587" s="2">
        <f>IF(LeadsData[[#This Row],[Stage Number]]&gt;=3,1,0)</f>
        <v>0</v>
      </c>
      <c r="O4587" s="2">
        <f>IF(LeadsData[[#This Row],[Stage Number]]&gt;=4,1,0)</f>
        <v>0</v>
      </c>
    </row>
    <row r="4588" spans="1:15" x14ac:dyDescent="0.25">
      <c r="A4588" t="s">
        <v>4628</v>
      </c>
      <c r="B4588" s="1">
        <v>45312</v>
      </c>
      <c r="C4588" t="s">
        <v>25</v>
      </c>
      <c r="D4588" t="s">
        <v>26</v>
      </c>
      <c r="E4588" t="s">
        <v>13</v>
      </c>
      <c r="F4588" t="s">
        <v>22</v>
      </c>
      <c r="G4588" t="s">
        <v>15</v>
      </c>
      <c r="K4588" cm="1">
        <f t="array" ref="K4588">_xlfn.SWITCH(LeadsData[[#This Row],[Funnel Stage Reached]],"Lead",1,"MQL",2,"SQL",3,"Customer",4)</f>
        <v>1</v>
      </c>
      <c r="L4588" t="str">
        <f>TEXT(LeadsData[[#This Row],[Signup Date]],"mmm-yyyy")</f>
        <v>Jan-2024</v>
      </c>
      <c r="M4588">
        <f>IF(LeadsData[[#This Row],[Stage Number]]&gt;=2,1,0)</f>
        <v>0</v>
      </c>
      <c r="N4588" s="2">
        <f>IF(LeadsData[[#This Row],[Stage Number]]&gt;=3,1,0)</f>
        <v>0</v>
      </c>
      <c r="O4588" s="2">
        <f>IF(LeadsData[[#This Row],[Stage Number]]&gt;=4,1,0)</f>
        <v>0</v>
      </c>
    </row>
    <row r="4589" spans="1:15" x14ac:dyDescent="0.25">
      <c r="A4589" t="s">
        <v>4629</v>
      </c>
      <c r="B4589" s="1">
        <v>45369</v>
      </c>
      <c r="C4589" t="s">
        <v>17</v>
      </c>
      <c r="D4589" t="s">
        <v>53</v>
      </c>
      <c r="E4589" t="s">
        <v>21</v>
      </c>
      <c r="F4589" t="s">
        <v>14</v>
      </c>
      <c r="G4589" t="s">
        <v>15</v>
      </c>
      <c r="K4589" cm="1">
        <f t="array" ref="K4589">_xlfn.SWITCH(LeadsData[[#This Row],[Funnel Stage Reached]],"Lead",1,"MQL",2,"SQL",3,"Customer",4)</f>
        <v>1</v>
      </c>
      <c r="L4589" t="str">
        <f>TEXT(LeadsData[[#This Row],[Signup Date]],"mmm-yyyy")</f>
        <v>Mar-2024</v>
      </c>
      <c r="M4589">
        <f>IF(LeadsData[[#This Row],[Stage Number]]&gt;=2,1,0)</f>
        <v>0</v>
      </c>
      <c r="N4589" s="2">
        <f>IF(LeadsData[[#This Row],[Stage Number]]&gt;=3,1,0)</f>
        <v>0</v>
      </c>
      <c r="O4589" s="2">
        <f>IF(LeadsData[[#This Row],[Stage Number]]&gt;=4,1,0)</f>
        <v>0</v>
      </c>
    </row>
    <row r="4590" spans="1:15" x14ac:dyDescent="0.25">
      <c r="A4590" t="s">
        <v>4630</v>
      </c>
      <c r="B4590" s="1">
        <v>45461</v>
      </c>
      <c r="C4590" t="s">
        <v>46</v>
      </c>
      <c r="D4590" t="s">
        <v>47</v>
      </c>
      <c r="E4590" t="s">
        <v>21</v>
      </c>
      <c r="F4590" t="s">
        <v>28</v>
      </c>
      <c r="G4590" t="s">
        <v>23</v>
      </c>
      <c r="K4590" cm="1">
        <f t="array" ref="K4590">_xlfn.SWITCH(LeadsData[[#This Row],[Funnel Stage Reached]],"Lead",1,"MQL",2,"SQL",3,"Customer",4)</f>
        <v>2</v>
      </c>
      <c r="L4590" t="str">
        <f>TEXT(LeadsData[[#This Row],[Signup Date]],"mmm-yyyy")</f>
        <v>Jun-2024</v>
      </c>
      <c r="M4590">
        <f>IF(LeadsData[[#This Row],[Stage Number]]&gt;=2,1,0)</f>
        <v>1</v>
      </c>
      <c r="N4590" s="2">
        <f>IF(LeadsData[[#This Row],[Stage Number]]&gt;=3,1,0)</f>
        <v>0</v>
      </c>
      <c r="O4590" s="2">
        <f>IF(LeadsData[[#This Row],[Stage Number]]&gt;=4,1,0)</f>
        <v>0</v>
      </c>
    </row>
    <row r="4591" spans="1:15" x14ac:dyDescent="0.25">
      <c r="A4591" t="s">
        <v>4631</v>
      </c>
      <c r="B4591" s="1">
        <v>45587</v>
      </c>
      <c r="C4591" t="s">
        <v>17</v>
      </c>
      <c r="D4591" t="s">
        <v>53</v>
      </c>
      <c r="E4591" t="s">
        <v>21</v>
      </c>
      <c r="F4591" t="s">
        <v>19</v>
      </c>
      <c r="G4591" t="s">
        <v>29</v>
      </c>
      <c r="K4591" cm="1">
        <f t="array" ref="K4591">_xlfn.SWITCH(LeadsData[[#This Row],[Funnel Stage Reached]],"Lead",1,"MQL",2,"SQL",3,"Customer",4)</f>
        <v>3</v>
      </c>
      <c r="L4591" t="str">
        <f>TEXT(LeadsData[[#This Row],[Signup Date]],"mmm-yyyy")</f>
        <v>Oct-2024</v>
      </c>
      <c r="M4591">
        <f>IF(LeadsData[[#This Row],[Stage Number]]&gt;=2,1,0)</f>
        <v>1</v>
      </c>
      <c r="N4591" s="2">
        <f>IF(LeadsData[[#This Row],[Stage Number]]&gt;=3,1,0)</f>
        <v>1</v>
      </c>
      <c r="O4591" s="2">
        <f>IF(LeadsData[[#This Row],[Stage Number]]&gt;=4,1,0)</f>
        <v>0</v>
      </c>
    </row>
    <row r="4592" spans="1:15" x14ac:dyDescent="0.25">
      <c r="A4592" t="s">
        <v>4632</v>
      </c>
      <c r="B4592" s="1">
        <v>45331</v>
      </c>
      <c r="C4592" t="s">
        <v>11</v>
      </c>
      <c r="D4592" t="s">
        <v>68</v>
      </c>
      <c r="E4592" t="s">
        <v>13</v>
      </c>
      <c r="F4592" t="s">
        <v>19</v>
      </c>
      <c r="G4592" t="s">
        <v>15</v>
      </c>
      <c r="K4592" cm="1">
        <f t="array" ref="K4592">_xlfn.SWITCH(LeadsData[[#This Row],[Funnel Stage Reached]],"Lead",1,"MQL",2,"SQL",3,"Customer",4)</f>
        <v>1</v>
      </c>
      <c r="L4592" t="str">
        <f>TEXT(LeadsData[[#This Row],[Signup Date]],"mmm-yyyy")</f>
        <v>Feb-2024</v>
      </c>
      <c r="M4592">
        <f>IF(LeadsData[[#This Row],[Stage Number]]&gt;=2,1,0)</f>
        <v>0</v>
      </c>
      <c r="N4592" s="2">
        <f>IF(LeadsData[[#This Row],[Stage Number]]&gt;=3,1,0)</f>
        <v>0</v>
      </c>
      <c r="O4592" s="2">
        <f>IF(LeadsData[[#This Row],[Stage Number]]&gt;=4,1,0)</f>
        <v>0</v>
      </c>
    </row>
    <row r="4593" spans="1:15" x14ac:dyDescent="0.25">
      <c r="A4593" t="s">
        <v>4633</v>
      </c>
      <c r="B4593" s="1">
        <v>45407</v>
      </c>
      <c r="C4593" t="s">
        <v>46</v>
      </c>
      <c r="D4593" t="s">
        <v>47</v>
      </c>
      <c r="E4593" t="s">
        <v>13</v>
      </c>
      <c r="F4593" t="s">
        <v>19</v>
      </c>
      <c r="G4593" t="s">
        <v>42</v>
      </c>
      <c r="H4593">
        <v>70</v>
      </c>
      <c r="I4593" t="s">
        <v>43</v>
      </c>
      <c r="J4593">
        <v>873.28</v>
      </c>
      <c r="K4593" cm="1">
        <f t="array" ref="K4593">_xlfn.SWITCH(LeadsData[[#This Row],[Funnel Stage Reached]],"Lead",1,"MQL",2,"SQL",3,"Customer",4)</f>
        <v>4</v>
      </c>
      <c r="L4593" t="str">
        <f>TEXT(LeadsData[[#This Row],[Signup Date]],"mmm-yyyy")</f>
        <v>Apr-2024</v>
      </c>
      <c r="M4593">
        <f>IF(LeadsData[[#This Row],[Stage Number]]&gt;=2,1,0)</f>
        <v>1</v>
      </c>
      <c r="N4593" s="2">
        <f>IF(LeadsData[[#This Row],[Stage Number]]&gt;=3,1,0)</f>
        <v>1</v>
      </c>
      <c r="O4593" s="2">
        <f>IF(LeadsData[[#This Row],[Stage Number]]&gt;=4,1,0)</f>
        <v>1</v>
      </c>
    </row>
    <row r="4594" spans="1:15" x14ac:dyDescent="0.25">
      <c r="A4594" t="s">
        <v>4634</v>
      </c>
      <c r="B4594" s="1">
        <v>45578</v>
      </c>
      <c r="C4594" t="s">
        <v>36</v>
      </c>
      <c r="D4594" t="s">
        <v>37</v>
      </c>
      <c r="E4594" t="s">
        <v>13</v>
      </c>
      <c r="F4594" t="s">
        <v>19</v>
      </c>
      <c r="G4594" t="s">
        <v>23</v>
      </c>
      <c r="K4594" cm="1">
        <f t="array" ref="K4594">_xlfn.SWITCH(LeadsData[[#This Row],[Funnel Stage Reached]],"Lead",1,"MQL",2,"SQL",3,"Customer",4)</f>
        <v>2</v>
      </c>
      <c r="L4594" t="str">
        <f>TEXT(LeadsData[[#This Row],[Signup Date]],"mmm-yyyy")</f>
        <v>Oct-2024</v>
      </c>
      <c r="M4594">
        <f>IF(LeadsData[[#This Row],[Stage Number]]&gt;=2,1,0)</f>
        <v>1</v>
      </c>
      <c r="N4594" s="2">
        <f>IF(LeadsData[[#This Row],[Stage Number]]&gt;=3,1,0)</f>
        <v>0</v>
      </c>
      <c r="O4594" s="2">
        <f>IF(LeadsData[[#This Row],[Stage Number]]&gt;=4,1,0)</f>
        <v>0</v>
      </c>
    </row>
    <row r="4595" spans="1:15" x14ac:dyDescent="0.25">
      <c r="A4595" t="s">
        <v>4635</v>
      </c>
      <c r="B4595" s="1">
        <v>45632</v>
      </c>
      <c r="C4595" t="s">
        <v>17</v>
      </c>
      <c r="D4595" t="s">
        <v>53</v>
      </c>
      <c r="E4595" t="s">
        <v>21</v>
      </c>
      <c r="F4595" t="s">
        <v>28</v>
      </c>
      <c r="G4595" t="s">
        <v>15</v>
      </c>
      <c r="K4595" cm="1">
        <f t="array" ref="K4595">_xlfn.SWITCH(LeadsData[[#This Row],[Funnel Stage Reached]],"Lead",1,"MQL",2,"SQL",3,"Customer",4)</f>
        <v>1</v>
      </c>
      <c r="L4595" t="str">
        <f>TEXT(LeadsData[[#This Row],[Signup Date]],"mmm-yyyy")</f>
        <v>Dec-2024</v>
      </c>
      <c r="M4595">
        <f>IF(LeadsData[[#This Row],[Stage Number]]&gt;=2,1,0)</f>
        <v>0</v>
      </c>
      <c r="N4595" s="2">
        <f>IF(LeadsData[[#This Row],[Stage Number]]&gt;=3,1,0)</f>
        <v>0</v>
      </c>
      <c r="O4595" s="2">
        <f>IF(LeadsData[[#This Row],[Stage Number]]&gt;=4,1,0)</f>
        <v>0</v>
      </c>
    </row>
    <row r="4596" spans="1:15" x14ac:dyDescent="0.25">
      <c r="A4596" t="s">
        <v>4636</v>
      </c>
      <c r="B4596" s="1">
        <v>45462</v>
      </c>
      <c r="C4596" t="s">
        <v>31</v>
      </c>
      <c r="D4596" t="s">
        <v>34</v>
      </c>
      <c r="E4596" t="s">
        <v>21</v>
      </c>
      <c r="F4596" t="s">
        <v>19</v>
      </c>
      <c r="G4596" t="s">
        <v>42</v>
      </c>
      <c r="H4596">
        <v>70</v>
      </c>
      <c r="I4596" t="s">
        <v>87</v>
      </c>
      <c r="J4596">
        <v>3285.73</v>
      </c>
      <c r="K4596" cm="1">
        <f t="array" ref="K4596">_xlfn.SWITCH(LeadsData[[#This Row],[Funnel Stage Reached]],"Lead",1,"MQL",2,"SQL",3,"Customer",4)</f>
        <v>4</v>
      </c>
      <c r="L4596" t="str">
        <f>TEXT(LeadsData[[#This Row],[Signup Date]],"mmm-yyyy")</f>
        <v>Jun-2024</v>
      </c>
      <c r="M4596">
        <f>IF(LeadsData[[#This Row],[Stage Number]]&gt;=2,1,0)</f>
        <v>1</v>
      </c>
      <c r="N4596" s="2">
        <f>IF(LeadsData[[#This Row],[Stage Number]]&gt;=3,1,0)</f>
        <v>1</v>
      </c>
      <c r="O4596" s="2">
        <f>IF(LeadsData[[#This Row],[Stage Number]]&gt;=4,1,0)</f>
        <v>1</v>
      </c>
    </row>
    <row r="4597" spans="1:15" x14ac:dyDescent="0.25">
      <c r="A4597" t="s">
        <v>4637</v>
      </c>
      <c r="B4597" s="1">
        <v>45531</v>
      </c>
      <c r="C4597" t="s">
        <v>46</v>
      </c>
      <c r="D4597" t="s">
        <v>56</v>
      </c>
      <c r="E4597" t="s">
        <v>21</v>
      </c>
      <c r="F4597" t="s">
        <v>19</v>
      </c>
      <c r="G4597" t="s">
        <v>23</v>
      </c>
      <c r="K4597" cm="1">
        <f t="array" ref="K4597">_xlfn.SWITCH(LeadsData[[#This Row],[Funnel Stage Reached]],"Lead",1,"MQL",2,"SQL",3,"Customer",4)</f>
        <v>2</v>
      </c>
      <c r="L4597" t="str">
        <f>TEXT(LeadsData[[#This Row],[Signup Date]],"mmm-yyyy")</f>
        <v>Aug-2024</v>
      </c>
      <c r="M4597">
        <f>IF(LeadsData[[#This Row],[Stage Number]]&gt;=2,1,0)</f>
        <v>1</v>
      </c>
      <c r="N4597" s="2">
        <f>IF(LeadsData[[#This Row],[Stage Number]]&gt;=3,1,0)</f>
        <v>0</v>
      </c>
      <c r="O4597" s="2">
        <f>IF(LeadsData[[#This Row],[Stage Number]]&gt;=4,1,0)</f>
        <v>0</v>
      </c>
    </row>
    <row r="4598" spans="1:15" x14ac:dyDescent="0.25">
      <c r="A4598" t="s">
        <v>4638</v>
      </c>
      <c r="B4598" s="1">
        <v>45592</v>
      </c>
      <c r="C4598" t="s">
        <v>11</v>
      </c>
      <c r="D4598" t="s">
        <v>68</v>
      </c>
      <c r="E4598" t="s">
        <v>13</v>
      </c>
      <c r="F4598" t="s">
        <v>19</v>
      </c>
      <c r="G4598" t="s">
        <v>23</v>
      </c>
      <c r="K4598" cm="1">
        <f t="array" ref="K4598">_xlfn.SWITCH(LeadsData[[#This Row],[Funnel Stage Reached]],"Lead",1,"MQL",2,"SQL",3,"Customer",4)</f>
        <v>2</v>
      </c>
      <c r="L4598" t="str">
        <f>TEXT(LeadsData[[#This Row],[Signup Date]],"mmm-yyyy")</f>
        <v>Oct-2024</v>
      </c>
      <c r="M4598">
        <f>IF(LeadsData[[#This Row],[Stage Number]]&gt;=2,1,0)</f>
        <v>1</v>
      </c>
      <c r="N4598" s="2">
        <f>IF(LeadsData[[#This Row],[Stage Number]]&gt;=3,1,0)</f>
        <v>0</v>
      </c>
      <c r="O4598" s="2">
        <f>IF(LeadsData[[#This Row],[Stage Number]]&gt;=4,1,0)</f>
        <v>0</v>
      </c>
    </row>
    <row r="4599" spans="1:15" x14ac:dyDescent="0.25">
      <c r="A4599" t="s">
        <v>4639</v>
      </c>
      <c r="B4599" s="1">
        <v>45344</v>
      </c>
      <c r="C4599" t="s">
        <v>17</v>
      </c>
      <c r="D4599" t="s">
        <v>53</v>
      </c>
      <c r="E4599" t="s">
        <v>13</v>
      </c>
      <c r="F4599" t="s">
        <v>19</v>
      </c>
      <c r="G4599" t="s">
        <v>29</v>
      </c>
      <c r="K4599" cm="1">
        <f t="array" ref="K4599">_xlfn.SWITCH(LeadsData[[#This Row],[Funnel Stage Reached]],"Lead",1,"MQL",2,"SQL",3,"Customer",4)</f>
        <v>3</v>
      </c>
      <c r="L4599" t="str">
        <f>TEXT(LeadsData[[#This Row],[Signup Date]],"mmm-yyyy")</f>
        <v>Feb-2024</v>
      </c>
      <c r="M4599">
        <f>IF(LeadsData[[#This Row],[Stage Number]]&gt;=2,1,0)</f>
        <v>1</v>
      </c>
      <c r="N4599" s="2">
        <f>IF(LeadsData[[#This Row],[Stage Number]]&gt;=3,1,0)</f>
        <v>1</v>
      </c>
      <c r="O4599" s="2">
        <f>IF(LeadsData[[#This Row],[Stage Number]]&gt;=4,1,0)</f>
        <v>0</v>
      </c>
    </row>
    <row r="4600" spans="1:15" x14ac:dyDescent="0.25">
      <c r="A4600" t="s">
        <v>4640</v>
      </c>
      <c r="B4600" s="1">
        <v>45365</v>
      </c>
      <c r="C4600" t="s">
        <v>31</v>
      </c>
      <c r="D4600" t="s">
        <v>34</v>
      </c>
      <c r="E4600" t="s">
        <v>21</v>
      </c>
      <c r="F4600" t="s">
        <v>22</v>
      </c>
      <c r="G4600" t="s">
        <v>23</v>
      </c>
      <c r="K4600" cm="1">
        <f t="array" ref="K4600">_xlfn.SWITCH(LeadsData[[#This Row],[Funnel Stage Reached]],"Lead",1,"MQL",2,"SQL",3,"Customer",4)</f>
        <v>2</v>
      </c>
      <c r="L4600" t="str">
        <f>TEXT(LeadsData[[#This Row],[Signup Date]],"mmm-yyyy")</f>
        <v>Mar-2024</v>
      </c>
      <c r="M4600">
        <f>IF(LeadsData[[#This Row],[Stage Number]]&gt;=2,1,0)</f>
        <v>1</v>
      </c>
      <c r="N4600" s="2">
        <f>IF(LeadsData[[#This Row],[Stage Number]]&gt;=3,1,0)</f>
        <v>0</v>
      </c>
      <c r="O4600" s="2">
        <f>IF(LeadsData[[#This Row],[Stage Number]]&gt;=4,1,0)</f>
        <v>0</v>
      </c>
    </row>
    <row r="4601" spans="1:15" x14ac:dyDescent="0.25">
      <c r="A4601" t="s">
        <v>4641</v>
      </c>
      <c r="B4601" s="1">
        <v>45566</v>
      </c>
      <c r="C4601" t="s">
        <v>46</v>
      </c>
      <c r="D4601" t="s">
        <v>56</v>
      </c>
      <c r="E4601" t="s">
        <v>21</v>
      </c>
      <c r="F4601" t="s">
        <v>22</v>
      </c>
      <c r="G4601" t="s">
        <v>15</v>
      </c>
      <c r="K4601" cm="1">
        <f t="array" ref="K4601">_xlfn.SWITCH(LeadsData[[#This Row],[Funnel Stage Reached]],"Lead",1,"MQL",2,"SQL",3,"Customer",4)</f>
        <v>1</v>
      </c>
      <c r="L4601" t="str">
        <f>TEXT(LeadsData[[#This Row],[Signup Date]],"mmm-yyyy")</f>
        <v>Oct-2024</v>
      </c>
      <c r="M4601">
        <f>IF(LeadsData[[#This Row],[Stage Number]]&gt;=2,1,0)</f>
        <v>0</v>
      </c>
      <c r="N4601" s="2">
        <f>IF(LeadsData[[#This Row],[Stage Number]]&gt;=3,1,0)</f>
        <v>0</v>
      </c>
      <c r="O4601" s="2">
        <f>IF(LeadsData[[#This Row],[Stage Number]]&gt;=4,1,0)</f>
        <v>0</v>
      </c>
    </row>
    <row r="4602" spans="1:15" x14ac:dyDescent="0.25">
      <c r="A4602" t="s">
        <v>4642</v>
      </c>
      <c r="B4602" s="1">
        <v>45340</v>
      </c>
      <c r="C4602" t="s">
        <v>46</v>
      </c>
      <c r="D4602" t="s">
        <v>56</v>
      </c>
      <c r="E4602" t="s">
        <v>13</v>
      </c>
      <c r="F4602" t="s">
        <v>22</v>
      </c>
      <c r="G4602" t="s">
        <v>15</v>
      </c>
      <c r="K4602" cm="1">
        <f t="array" ref="K4602">_xlfn.SWITCH(LeadsData[[#This Row],[Funnel Stage Reached]],"Lead",1,"MQL",2,"SQL",3,"Customer",4)</f>
        <v>1</v>
      </c>
      <c r="L4602" t="str">
        <f>TEXT(LeadsData[[#This Row],[Signup Date]],"mmm-yyyy")</f>
        <v>Feb-2024</v>
      </c>
      <c r="M4602">
        <f>IF(LeadsData[[#This Row],[Stage Number]]&gt;=2,1,0)</f>
        <v>0</v>
      </c>
      <c r="N4602" s="2">
        <f>IF(LeadsData[[#This Row],[Stage Number]]&gt;=3,1,0)</f>
        <v>0</v>
      </c>
      <c r="O4602" s="2">
        <f>IF(LeadsData[[#This Row],[Stage Number]]&gt;=4,1,0)</f>
        <v>0</v>
      </c>
    </row>
    <row r="4603" spans="1:15" x14ac:dyDescent="0.25">
      <c r="A4603" t="s">
        <v>4643</v>
      </c>
      <c r="B4603" s="1">
        <v>45392</v>
      </c>
      <c r="C4603" t="s">
        <v>17</v>
      </c>
      <c r="D4603" t="s">
        <v>18</v>
      </c>
      <c r="E4603" t="s">
        <v>48</v>
      </c>
      <c r="F4603" t="s">
        <v>19</v>
      </c>
      <c r="G4603" t="s">
        <v>15</v>
      </c>
      <c r="K4603" cm="1">
        <f t="array" ref="K4603">_xlfn.SWITCH(LeadsData[[#This Row],[Funnel Stage Reached]],"Lead",1,"MQL",2,"SQL",3,"Customer",4)</f>
        <v>1</v>
      </c>
      <c r="L4603" t="str">
        <f>TEXT(LeadsData[[#This Row],[Signup Date]],"mmm-yyyy")</f>
        <v>Apr-2024</v>
      </c>
      <c r="M4603">
        <f>IF(LeadsData[[#This Row],[Stage Number]]&gt;=2,1,0)</f>
        <v>0</v>
      </c>
      <c r="N4603" s="2">
        <f>IF(LeadsData[[#This Row],[Stage Number]]&gt;=3,1,0)</f>
        <v>0</v>
      </c>
      <c r="O4603" s="2">
        <f>IF(LeadsData[[#This Row],[Stage Number]]&gt;=4,1,0)</f>
        <v>0</v>
      </c>
    </row>
    <row r="4604" spans="1:15" x14ac:dyDescent="0.25">
      <c r="A4604" t="s">
        <v>4644</v>
      </c>
      <c r="B4604" s="1">
        <v>45357</v>
      </c>
      <c r="C4604" t="s">
        <v>25</v>
      </c>
      <c r="D4604" t="s">
        <v>26</v>
      </c>
      <c r="E4604" t="s">
        <v>13</v>
      </c>
      <c r="F4604" t="s">
        <v>19</v>
      </c>
      <c r="G4604" t="s">
        <v>15</v>
      </c>
      <c r="K4604" cm="1">
        <f t="array" ref="K4604">_xlfn.SWITCH(LeadsData[[#This Row],[Funnel Stage Reached]],"Lead",1,"MQL",2,"SQL",3,"Customer",4)</f>
        <v>1</v>
      </c>
      <c r="L4604" t="str">
        <f>TEXT(LeadsData[[#This Row],[Signup Date]],"mmm-yyyy")</f>
        <v>Mar-2024</v>
      </c>
      <c r="M4604">
        <f>IF(LeadsData[[#This Row],[Stage Number]]&gt;=2,1,0)</f>
        <v>0</v>
      </c>
      <c r="N4604" s="2">
        <f>IF(LeadsData[[#This Row],[Stage Number]]&gt;=3,1,0)</f>
        <v>0</v>
      </c>
      <c r="O4604" s="2">
        <f>IF(LeadsData[[#This Row],[Stage Number]]&gt;=4,1,0)</f>
        <v>0</v>
      </c>
    </row>
    <row r="4605" spans="1:15" x14ac:dyDescent="0.25">
      <c r="A4605" t="s">
        <v>4645</v>
      </c>
      <c r="B4605" s="1">
        <v>45451</v>
      </c>
      <c r="C4605" t="s">
        <v>25</v>
      </c>
      <c r="D4605" t="s">
        <v>26</v>
      </c>
      <c r="E4605" t="s">
        <v>13</v>
      </c>
      <c r="F4605" t="s">
        <v>19</v>
      </c>
      <c r="G4605" t="s">
        <v>15</v>
      </c>
      <c r="K4605" cm="1">
        <f t="array" ref="K4605">_xlfn.SWITCH(LeadsData[[#This Row],[Funnel Stage Reached]],"Lead",1,"MQL",2,"SQL",3,"Customer",4)</f>
        <v>1</v>
      </c>
      <c r="L4605" t="str">
        <f>TEXT(LeadsData[[#This Row],[Signup Date]],"mmm-yyyy")</f>
        <v>Jun-2024</v>
      </c>
      <c r="M4605">
        <f>IF(LeadsData[[#This Row],[Stage Number]]&gt;=2,1,0)</f>
        <v>0</v>
      </c>
      <c r="N4605" s="2">
        <f>IF(LeadsData[[#This Row],[Stage Number]]&gt;=3,1,0)</f>
        <v>0</v>
      </c>
      <c r="O4605" s="2">
        <f>IF(LeadsData[[#This Row],[Stage Number]]&gt;=4,1,0)</f>
        <v>0</v>
      </c>
    </row>
    <row r="4606" spans="1:15" x14ac:dyDescent="0.25">
      <c r="A4606" t="s">
        <v>4646</v>
      </c>
      <c r="B4606" s="1">
        <v>45577</v>
      </c>
      <c r="C4606" t="s">
        <v>36</v>
      </c>
      <c r="D4606" t="s">
        <v>37</v>
      </c>
      <c r="E4606" t="s">
        <v>13</v>
      </c>
      <c r="F4606" t="s">
        <v>19</v>
      </c>
      <c r="G4606" t="s">
        <v>29</v>
      </c>
      <c r="K4606" cm="1">
        <f t="array" ref="K4606">_xlfn.SWITCH(LeadsData[[#This Row],[Funnel Stage Reached]],"Lead",1,"MQL",2,"SQL",3,"Customer",4)</f>
        <v>3</v>
      </c>
      <c r="L4606" t="str">
        <f>TEXT(LeadsData[[#This Row],[Signup Date]],"mmm-yyyy")</f>
        <v>Oct-2024</v>
      </c>
      <c r="M4606">
        <f>IF(LeadsData[[#This Row],[Stage Number]]&gt;=2,1,0)</f>
        <v>1</v>
      </c>
      <c r="N4606" s="2">
        <f>IF(LeadsData[[#This Row],[Stage Number]]&gt;=3,1,0)</f>
        <v>1</v>
      </c>
      <c r="O4606" s="2">
        <f>IF(LeadsData[[#This Row],[Stage Number]]&gt;=4,1,0)</f>
        <v>0</v>
      </c>
    </row>
    <row r="4607" spans="1:15" x14ac:dyDescent="0.25">
      <c r="A4607" t="s">
        <v>4647</v>
      </c>
      <c r="B4607" s="1">
        <v>45486</v>
      </c>
      <c r="C4607" t="s">
        <v>31</v>
      </c>
      <c r="D4607" t="s">
        <v>34</v>
      </c>
      <c r="E4607" t="s">
        <v>13</v>
      </c>
      <c r="F4607" t="s">
        <v>22</v>
      </c>
      <c r="G4607" t="s">
        <v>29</v>
      </c>
      <c r="K4607" cm="1">
        <f t="array" ref="K4607">_xlfn.SWITCH(LeadsData[[#This Row],[Funnel Stage Reached]],"Lead",1,"MQL",2,"SQL",3,"Customer",4)</f>
        <v>3</v>
      </c>
      <c r="L4607" t="str">
        <f>TEXT(LeadsData[[#This Row],[Signup Date]],"mmm-yyyy")</f>
        <v>Jul-2024</v>
      </c>
      <c r="M4607">
        <f>IF(LeadsData[[#This Row],[Stage Number]]&gt;=2,1,0)</f>
        <v>1</v>
      </c>
      <c r="N4607" s="2">
        <f>IF(LeadsData[[#This Row],[Stage Number]]&gt;=3,1,0)</f>
        <v>1</v>
      </c>
      <c r="O4607" s="2">
        <f>IF(LeadsData[[#This Row],[Stage Number]]&gt;=4,1,0)</f>
        <v>0</v>
      </c>
    </row>
    <row r="4608" spans="1:15" x14ac:dyDescent="0.25">
      <c r="A4608" t="s">
        <v>4648</v>
      </c>
      <c r="B4608" s="1">
        <v>45532</v>
      </c>
      <c r="C4608" t="s">
        <v>11</v>
      </c>
      <c r="D4608" t="s">
        <v>79</v>
      </c>
      <c r="E4608" t="s">
        <v>13</v>
      </c>
      <c r="F4608" t="s">
        <v>22</v>
      </c>
      <c r="G4608" t="s">
        <v>15</v>
      </c>
      <c r="K4608" cm="1">
        <f t="array" ref="K4608">_xlfn.SWITCH(LeadsData[[#This Row],[Funnel Stage Reached]],"Lead",1,"MQL",2,"SQL",3,"Customer",4)</f>
        <v>1</v>
      </c>
      <c r="L4608" t="str">
        <f>TEXT(LeadsData[[#This Row],[Signup Date]],"mmm-yyyy")</f>
        <v>Aug-2024</v>
      </c>
      <c r="M4608">
        <f>IF(LeadsData[[#This Row],[Stage Number]]&gt;=2,1,0)</f>
        <v>0</v>
      </c>
      <c r="N4608" s="2">
        <f>IF(LeadsData[[#This Row],[Stage Number]]&gt;=3,1,0)</f>
        <v>0</v>
      </c>
      <c r="O4608" s="2">
        <f>IF(LeadsData[[#This Row],[Stage Number]]&gt;=4,1,0)</f>
        <v>0</v>
      </c>
    </row>
    <row r="4609" spans="1:15" x14ac:dyDescent="0.25">
      <c r="A4609" t="s">
        <v>4649</v>
      </c>
      <c r="B4609" s="1">
        <v>45557</v>
      </c>
      <c r="C4609" t="s">
        <v>17</v>
      </c>
      <c r="D4609" t="s">
        <v>53</v>
      </c>
      <c r="E4609" t="s">
        <v>13</v>
      </c>
      <c r="F4609" t="s">
        <v>22</v>
      </c>
      <c r="G4609" t="s">
        <v>42</v>
      </c>
      <c r="H4609">
        <v>51</v>
      </c>
      <c r="I4609" t="s">
        <v>43</v>
      </c>
      <c r="J4609">
        <v>547.89</v>
      </c>
      <c r="K4609" cm="1">
        <f t="array" ref="K4609">_xlfn.SWITCH(LeadsData[[#This Row],[Funnel Stage Reached]],"Lead",1,"MQL",2,"SQL",3,"Customer",4)</f>
        <v>4</v>
      </c>
      <c r="L4609" t="str">
        <f>TEXT(LeadsData[[#This Row],[Signup Date]],"mmm-yyyy")</f>
        <v>Sep-2024</v>
      </c>
      <c r="M4609">
        <f>IF(LeadsData[[#This Row],[Stage Number]]&gt;=2,1,0)</f>
        <v>1</v>
      </c>
      <c r="N4609" s="2">
        <f>IF(LeadsData[[#This Row],[Stage Number]]&gt;=3,1,0)</f>
        <v>1</v>
      </c>
      <c r="O4609" s="2">
        <f>IF(LeadsData[[#This Row],[Stage Number]]&gt;=4,1,0)</f>
        <v>1</v>
      </c>
    </row>
    <row r="4610" spans="1:15" x14ac:dyDescent="0.25">
      <c r="A4610" t="s">
        <v>4650</v>
      </c>
      <c r="B4610" s="1">
        <v>45569</v>
      </c>
      <c r="C4610" t="s">
        <v>17</v>
      </c>
      <c r="D4610" t="s">
        <v>53</v>
      </c>
      <c r="E4610" t="s">
        <v>21</v>
      </c>
      <c r="F4610" t="s">
        <v>19</v>
      </c>
      <c r="G4610" t="s">
        <v>15</v>
      </c>
      <c r="K4610" cm="1">
        <f t="array" ref="K4610">_xlfn.SWITCH(LeadsData[[#This Row],[Funnel Stage Reached]],"Lead",1,"MQL",2,"SQL",3,"Customer",4)</f>
        <v>1</v>
      </c>
      <c r="L4610" t="str">
        <f>TEXT(LeadsData[[#This Row],[Signup Date]],"mmm-yyyy")</f>
        <v>Oct-2024</v>
      </c>
      <c r="M4610">
        <f>IF(LeadsData[[#This Row],[Stage Number]]&gt;=2,1,0)</f>
        <v>0</v>
      </c>
      <c r="N4610" s="2">
        <f>IF(LeadsData[[#This Row],[Stage Number]]&gt;=3,1,0)</f>
        <v>0</v>
      </c>
      <c r="O4610" s="2">
        <f>IF(LeadsData[[#This Row],[Stage Number]]&gt;=4,1,0)</f>
        <v>0</v>
      </c>
    </row>
    <row r="4611" spans="1:15" x14ac:dyDescent="0.25">
      <c r="A4611" t="s">
        <v>4651</v>
      </c>
      <c r="B4611" s="1">
        <v>45499</v>
      </c>
      <c r="C4611" t="s">
        <v>11</v>
      </c>
      <c r="D4611" t="s">
        <v>79</v>
      </c>
      <c r="E4611" t="s">
        <v>13</v>
      </c>
      <c r="F4611" t="s">
        <v>22</v>
      </c>
      <c r="G4611" t="s">
        <v>15</v>
      </c>
      <c r="K4611" cm="1">
        <f t="array" ref="K4611">_xlfn.SWITCH(LeadsData[[#This Row],[Funnel Stage Reached]],"Lead",1,"MQL",2,"SQL",3,"Customer",4)</f>
        <v>1</v>
      </c>
      <c r="L4611" t="str">
        <f>TEXT(LeadsData[[#This Row],[Signup Date]],"mmm-yyyy")</f>
        <v>Jul-2024</v>
      </c>
      <c r="M4611">
        <f>IF(LeadsData[[#This Row],[Stage Number]]&gt;=2,1,0)</f>
        <v>0</v>
      </c>
      <c r="N4611" s="2">
        <f>IF(LeadsData[[#This Row],[Stage Number]]&gt;=3,1,0)</f>
        <v>0</v>
      </c>
      <c r="O4611" s="2">
        <f>IF(LeadsData[[#This Row],[Stage Number]]&gt;=4,1,0)</f>
        <v>0</v>
      </c>
    </row>
    <row r="4612" spans="1:15" x14ac:dyDescent="0.25">
      <c r="A4612" t="s">
        <v>4652</v>
      </c>
      <c r="B4612" s="1">
        <v>45373</v>
      </c>
      <c r="C4612" t="s">
        <v>17</v>
      </c>
      <c r="D4612" t="s">
        <v>53</v>
      </c>
      <c r="E4612" t="s">
        <v>48</v>
      </c>
      <c r="F4612" t="s">
        <v>19</v>
      </c>
      <c r="G4612" t="s">
        <v>15</v>
      </c>
      <c r="K4612" cm="1">
        <f t="array" ref="K4612">_xlfn.SWITCH(LeadsData[[#This Row],[Funnel Stage Reached]],"Lead",1,"MQL",2,"SQL",3,"Customer",4)</f>
        <v>1</v>
      </c>
      <c r="L4612" t="str">
        <f>TEXT(LeadsData[[#This Row],[Signup Date]],"mmm-yyyy")</f>
        <v>Mar-2024</v>
      </c>
      <c r="M4612">
        <f>IF(LeadsData[[#This Row],[Stage Number]]&gt;=2,1,0)</f>
        <v>0</v>
      </c>
      <c r="N4612" s="2">
        <f>IF(LeadsData[[#This Row],[Stage Number]]&gt;=3,1,0)</f>
        <v>0</v>
      </c>
      <c r="O4612" s="2">
        <f>IF(LeadsData[[#This Row],[Stage Number]]&gt;=4,1,0)</f>
        <v>0</v>
      </c>
    </row>
    <row r="4613" spans="1:15" x14ac:dyDescent="0.25">
      <c r="A4613" t="s">
        <v>4653</v>
      </c>
      <c r="B4613" s="1">
        <v>45460</v>
      </c>
      <c r="C4613" t="s">
        <v>46</v>
      </c>
      <c r="D4613" t="s">
        <v>56</v>
      </c>
      <c r="E4613" t="s">
        <v>13</v>
      </c>
      <c r="F4613" t="s">
        <v>19</v>
      </c>
      <c r="G4613" t="s">
        <v>42</v>
      </c>
      <c r="H4613">
        <v>8</v>
      </c>
      <c r="I4613" t="s">
        <v>43</v>
      </c>
      <c r="J4613">
        <v>1262.6300000000001</v>
      </c>
      <c r="K4613" cm="1">
        <f t="array" ref="K4613">_xlfn.SWITCH(LeadsData[[#This Row],[Funnel Stage Reached]],"Lead",1,"MQL",2,"SQL",3,"Customer",4)</f>
        <v>4</v>
      </c>
      <c r="L4613" t="str">
        <f>TEXT(LeadsData[[#This Row],[Signup Date]],"mmm-yyyy")</f>
        <v>Jun-2024</v>
      </c>
      <c r="M4613">
        <f>IF(LeadsData[[#This Row],[Stage Number]]&gt;=2,1,0)</f>
        <v>1</v>
      </c>
      <c r="N4613" s="2">
        <f>IF(LeadsData[[#This Row],[Stage Number]]&gt;=3,1,0)</f>
        <v>1</v>
      </c>
      <c r="O4613" s="2">
        <f>IF(LeadsData[[#This Row],[Stage Number]]&gt;=4,1,0)</f>
        <v>1</v>
      </c>
    </row>
    <row r="4614" spans="1:15" x14ac:dyDescent="0.25">
      <c r="A4614" t="s">
        <v>4654</v>
      </c>
      <c r="B4614" s="1">
        <v>45403</v>
      </c>
      <c r="C4614" t="s">
        <v>17</v>
      </c>
      <c r="D4614" t="s">
        <v>18</v>
      </c>
      <c r="E4614" t="s">
        <v>48</v>
      </c>
      <c r="F4614" t="s">
        <v>28</v>
      </c>
      <c r="G4614" t="s">
        <v>15</v>
      </c>
      <c r="K4614" cm="1">
        <f t="array" ref="K4614">_xlfn.SWITCH(LeadsData[[#This Row],[Funnel Stage Reached]],"Lead",1,"MQL",2,"SQL",3,"Customer",4)</f>
        <v>1</v>
      </c>
      <c r="L4614" t="str">
        <f>TEXT(LeadsData[[#This Row],[Signup Date]],"mmm-yyyy")</f>
        <v>Apr-2024</v>
      </c>
      <c r="M4614">
        <f>IF(LeadsData[[#This Row],[Stage Number]]&gt;=2,1,0)</f>
        <v>0</v>
      </c>
      <c r="N4614" s="2">
        <f>IF(LeadsData[[#This Row],[Stage Number]]&gt;=3,1,0)</f>
        <v>0</v>
      </c>
      <c r="O4614" s="2">
        <f>IF(LeadsData[[#This Row],[Stage Number]]&gt;=4,1,0)</f>
        <v>0</v>
      </c>
    </row>
    <row r="4615" spans="1:15" x14ac:dyDescent="0.25">
      <c r="A4615" t="s">
        <v>4655</v>
      </c>
      <c r="B4615" s="1">
        <v>45430</v>
      </c>
      <c r="C4615" t="s">
        <v>31</v>
      </c>
      <c r="D4615" t="s">
        <v>32</v>
      </c>
      <c r="E4615" t="s">
        <v>13</v>
      </c>
      <c r="F4615" t="s">
        <v>22</v>
      </c>
      <c r="G4615" t="s">
        <v>23</v>
      </c>
      <c r="K4615" cm="1">
        <f t="array" ref="K4615">_xlfn.SWITCH(LeadsData[[#This Row],[Funnel Stage Reached]],"Lead",1,"MQL",2,"SQL",3,"Customer",4)</f>
        <v>2</v>
      </c>
      <c r="L4615" t="str">
        <f>TEXT(LeadsData[[#This Row],[Signup Date]],"mmm-yyyy")</f>
        <v>May-2024</v>
      </c>
      <c r="M4615">
        <f>IF(LeadsData[[#This Row],[Stage Number]]&gt;=2,1,0)</f>
        <v>1</v>
      </c>
      <c r="N4615" s="2">
        <f>IF(LeadsData[[#This Row],[Stage Number]]&gt;=3,1,0)</f>
        <v>0</v>
      </c>
      <c r="O4615" s="2">
        <f>IF(LeadsData[[#This Row],[Stage Number]]&gt;=4,1,0)</f>
        <v>0</v>
      </c>
    </row>
    <row r="4616" spans="1:15" x14ac:dyDescent="0.25">
      <c r="A4616" t="s">
        <v>4656</v>
      </c>
      <c r="B4616" s="1">
        <v>45604</v>
      </c>
      <c r="C4616" t="s">
        <v>31</v>
      </c>
      <c r="D4616" t="s">
        <v>34</v>
      </c>
      <c r="E4616" t="s">
        <v>13</v>
      </c>
      <c r="F4616" t="s">
        <v>22</v>
      </c>
      <c r="G4616" t="s">
        <v>29</v>
      </c>
      <c r="K4616" cm="1">
        <f t="array" ref="K4616">_xlfn.SWITCH(LeadsData[[#This Row],[Funnel Stage Reached]],"Lead",1,"MQL",2,"SQL",3,"Customer",4)</f>
        <v>3</v>
      </c>
      <c r="L4616" t="str">
        <f>TEXT(LeadsData[[#This Row],[Signup Date]],"mmm-yyyy")</f>
        <v>Nov-2024</v>
      </c>
      <c r="M4616">
        <f>IF(LeadsData[[#This Row],[Stage Number]]&gt;=2,1,0)</f>
        <v>1</v>
      </c>
      <c r="N4616" s="2">
        <f>IF(LeadsData[[#This Row],[Stage Number]]&gt;=3,1,0)</f>
        <v>1</v>
      </c>
      <c r="O4616" s="2">
        <f>IF(LeadsData[[#This Row],[Stage Number]]&gt;=4,1,0)</f>
        <v>0</v>
      </c>
    </row>
    <row r="4617" spans="1:15" x14ac:dyDescent="0.25">
      <c r="A4617" t="s">
        <v>4657</v>
      </c>
      <c r="B4617" s="1">
        <v>45499</v>
      </c>
      <c r="C4617" t="s">
        <v>46</v>
      </c>
      <c r="D4617" t="s">
        <v>56</v>
      </c>
      <c r="E4617" t="s">
        <v>13</v>
      </c>
      <c r="F4617" t="s">
        <v>22</v>
      </c>
      <c r="G4617" t="s">
        <v>15</v>
      </c>
      <c r="K4617" cm="1">
        <f t="array" ref="K4617">_xlfn.SWITCH(LeadsData[[#This Row],[Funnel Stage Reached]],"Lead",1,"MQL",2,"SQL",3,"Customer",4)</f>
        <v>1</v>
      </c>
      <c r="L4617" t="str">
        <f>TEXT(LeadsData[[#This Row],[Signup Date]],"mmm-yyyy")</f>
        <v>Jul-2024</v>
      </c>
      <c r="M4617">
        <f>IF(LeadsData[[#This Row],[Stage Number]]&gt;=2,1,0)</f>
        <v>0</v>
      </c>
      <c r="N4617" s="2">
        <f>IF(LeadsData[[#This Row],[Stage Number]]&gt;=3,1,0)</f>
        <v>0</v>
      </c>
      <c r="O4617" s="2">
        <f>IF(LeadsData[[#This Row],[Stage Number]]&gt;=4,1,0)</f>
        <v>0</v>
      </c>
    </row>
    <row r="4618" spans="1:15" x14ac:dyDescent="0.25">
      <c r="A4618" t="s">
        <v>4658</v>
      </c>
      <c r="B4618" s="1">
        <v>45511</v>
      </c>
      <c r="C4618" t="s">
        <v>25</v>
      </c>
      <c r="D4618" t="s">
        <v>26</v>
      </c>
      <c r="E4618" t="s">
        <v>13</v>
      </c>
      <c r="F4618" t="s">
        <v>14</v>
      </c>
      <c r="G4618" t="s">
        <v>23</v>
      </c>
      <c r="K4618" cm="1">
        <f t="array" ref="K4618">_xlfn.SWITCH(LeadsData[[#This Row],[Funnel Stage Reached]],"Lead",1,"MQL",2,"SQL",3,"Customer",4)</f>
        <v>2</v>
      </c>
      <c r="L4618" t="str">
        <f>TEXT(LeadsData[[#This Row],[Signup Date]],"mmm-yyyy")</f>
        <v>Aug-2024</v>
      </c>
      <c r="M4618">
        <f>IF(LeadsData[[#This Row],[Stage Number]]&gt;=2,1,0)</f>
        <v>1</v>
      </c>
      <c r="N4618" s="2">
        <f>IF(LeadsData[[#This Row],[Stage Number]]&gt;=3,1,0)</f>
        <v>0</v>
      </c>
      <c r="O4618" s="2">
        <f>IF(LeadsData[[#This Row],[Stage Number]]&gt;=4,1,0)</f>
        <v>0</v>
      </c>
    </row>
    <row r="4619" spans="1:15" x14ac:dyDescent="0.25">
      <c r="A4619" t="s">
        <v>4659</v>
      </c>
      <c r="B4619" s="1">
        <v>45615</v>
      </c>
      <c r="C4619" t="s">
        <v>25</v>
      </c>
      <c r="D4619" t="s">
        <v>26</v>
      </c>
      <c r="E4619" t="s">
        <v>21</v>
      </c>
      <c r="F4619" t="s">
        <v>22</v>
      </c>
      <c r="G4619" t="s">
        <v>15</v>
      </c>
      <c r="K4619" cm="1">
        <f t="array" ref="K4619">_xlfn.SWITCH(LeadsData[[#This Row],[Funnel Stage Reached]],"Lead",1,"MQL",2,"SQL",3,"Customer",4)</f>
        <v>1</v>
      </c>
      <c r="L4619" t="str">
        <f>TEXT(LeadsData[[#This Row],[Signup Date]],"mmm-yyyy")</f>
        <v>Nov-2024</v>
      </c>
      <c r="M4619">
        <f>IF(LeadsData[[#This Row],[Stage Number]]&gt;=2,1,0)</f>
        <v>0</v>
      </c>
      <c r="N4619" s="2">
        <f>IF(LeadsData[[#This Row],[Stage Number]]&gt;=3,1,0)</f>
        <v>0</v>
      </c>
      <c r="O4619" s="2">
        <f>IF(LeadsData[[#This Row],[Stage Number]]&gt;=4,1,0)</f>
        <v>0</v>
      </c>
    </row>
    <row r="4620" spans="1:15" x14ac:dyDescent="0.25">
      <c r="A4620" t="s">
        <v>4660</v>
      </c>
      <c r="B4620" s="1">
        <v>45648</v>
      </c>
      <c r="C4620" t="s">
        <v>31</v>
      </c>
      <c r="D4620" t="s">
        <v>32</v>
      </c>
      <c r="E4620" t="s">
        <v>13</v>
      </c>
      <c r="F4620" t="s">
        <v>19</v>
      </c>
      <c r="G4620" t="s">
        <v>15</v>
      </c>
      <c r="K4620" cm="1">
        <f t="array" ref="K4620">_xlfn.SWITCH(LeadsData[[#This Row],[Funnel Stage Reached]],"Lead",1,"MQL",2,"SQL",3,"Customer",4)</f>
        <v>1</v>
      </c>
      <c r="L4620" t="str">
        <f>TEXT(LeadsData[[#This Row],[Signup Date]],"mmm-yyyy")</f>
        <v>Dec-2024</v>
      </c>
      <c r="M4620">
        <f>IF(LeadsData[[#This Row],[Stage Number]]&gt;=2,1,0)</f>
        <v>0</v>
      </c>
      <c r="N4620" s="2">
        <f>IF(LeadsData[[#This Row],[Stage Number]]&gt;=3,1,0)</f>
        <v>0</v>
      </c>
      <c r="O4620" s="2">
        <f>IF(LeadsData[[#This Row],[Stage Number]]&gt;=4,1,0)</f>
        <v>0</v>
      </c>
    </row>
    <row r="4621" spans="1:15" x14ac:dyDescent="0.25">
      <c r="A4621" t="s">
        <v>4661</v>
      </c>
      <c r="B4621" s="1">
        <v>45577</v>
      </c>
      <c r="C4621" t="s">
        <v>17</v>
      </c>
      <c r="D4621" t="s">
        <v>53</v>
      </c>
      <c r="E4621" t="s">
        <v>13</v>
      </c>
      <c r="F4621" t="s">
        <v>14</v>
      </c>
      <c r="G4621" t="s">
        <v>15</v>
      </c>
      <c r="K4621" cm="1">
        <f t="array" ref="K4621">_xlfn.SWITCH(LeadsData[[#This Row],[Funnel Stage Reached]],"Lead",1,"MQL",2,"SQL",3,"Customer",4)</f>
        <v>1</v>
      </c>
      <c r="L4621" t="str">
        <f>TEXT(LeadsData[[#This Row],[Signup Date]],"mmm-yyyy")</f>
        <v>Oct-2024</v>
      </c>
      <c r="M4621">
        <f>IF(LeadsData[[#This Row],[Stage Number]]&gt;=2,1,0)</f>
        <v>0</v>
      </c>
      <c r="N4621" s="2">
        <f>IF(LeadsData[[#This Row],[Stage Number]]&gt;=3,1,0)</f>
        <v>0</v>
      </c>
      <c r="O4621" s="2">
        <f>IF(LeadsData[[#This Row],[Stage Number]]&gt;=4,1,0)</f>
        <v>0</v>
      </c>
    </row>
    <row r="4622" spans="1:15" x14ac:dyDescent="0.25">
      <c r="A4622" t="s">
        <v>4662</v>
      </c>
      <c r="B4622" s="1">
        <v>45602</v>
      </c>
      <c r="C4622" t="s">
        <v>46</v>
      </c>
      <c r="D4622" t="s">
        <v>56</v>
      </c>
      <c r="E4622" t="s">
        <v>13</v>
      </c>
      <c r="F4622" t="s">
        <v>14</v>
      </c>
      <c r="G4622" t="s">
        <v>15</v>
      </c>
      <c r="K4622" cm="1">
        <f t="array" ref="K4622">_xlfn.SWITCH(LeadsData[[#This Row],[Funnel Stage Reached]],"Lead",1,"MQL",2,"SQL",3,"Customer",4)</f>
        <v>1</v>
      </c>
      <c r="L4622" t="str">
        <f>TEXT(LeadsData[[#This Row],[Signup Date]],"mmm-yyyy")</f>
        <v>Nov-2024</v>
      </c>
      <c r="M4622">
        <f>IF(LeadsData[[#This Row],[Stage Number]]&gt;=2,1,0)</f>
        <v>0</v>
      </c>
      <c r="N4622" s="2">
        <f>IF(LeadsData[[#This Row],[Stage Number]]&gt;=3,1,0)</f>
        <v>0</v>
      </c>
      <c r="O4622" s="2">
        <f>IF(LeadsData[[#This Row],[Stage Number]]&gt;=4,1,0)</f>
        <v>0</v>
      </c>
    </row>
    <row r="4623" spans="1:15" x14ac:dyDescent="0.25">
      <c r="A4623" t="s">
        <v>4663</v>
      </c>
      <c r="B4623" s="1">
        <v>45379</v>
      </c>
      <c r="C4623" t="s">
        <v>25</v>
      </c>
      <c r="D4623" t="s">
        <v>26</v>
      </c>
      <c r="E4623" t="s">
        <v>13</v>
      </c>
      <c r="F4623" t="s">
        <v>19</v>
      </c>
      <c r="G4623" t="s">
        <v>23</v>
      </c>
      <c r="K4623" cm="1">
        <f t="array" ref="K4623">_xlfn.SWITCH(LeadsData[[#This Row],[Funnel Stage Reached]],"Lead",1,"MQL",2,"SQL",3,"Customer",4)</f>
        <v>2</v>
      </c>
      <c r="L4623" t="str">
        <f>TEXT(LeadsData[[#This Row],[Signup Date]],"mmm-yyyy")</f>
        <v>Mar-2024</v>
      </c>
      <c r="M4623">
        <f>IF(LeadsData[[#This Row],[Stage Number]]&gt;=2,1,0)</f>
        <v>1</v>
      </c>
      <c r="N4623" s="2">
        <f>IF(LeadsData[[#This Row],[Stage Number]]&gt;=3,1,0)</f>
        <v>0</v>
      </c>
      <c r="O4623" s="2">
        <f>IF(LeadsData[[#This Row],[Stage Number]]&gt;=4,1,0)</f>
        <v>0</v>
      </c>
    </row>
    <row r="4624" spans="1:15" x14ac:dyDescent="0.25">
      <c r="A4624" t="s">
        <v>4664</v>
      </c>
      <c r="B4624" s="1">
        <v>45405</v>
      </c>
      <c r="C4624" t="s">
        <v>31</v>
      </c>
      <c r="D4624" t="s">
        <v>32</v>
      </c>
      <c r="E4624" t="s">
        <v>13</v>
      </c>
      <c r="F4624" t="s">
        <v>19</v>
      </c>
      <c r="G4624" t="s">
        <v>29</v>
      </c>
      <c r="K4624" cm="1">
        <f t="array" ref="K4624">_xlfn.SWITCH(LeadsData[[#This Row],[Funnel Stage Reached]],"Lead",1,"MQL",2,"SQL",3,"Customer",4)</f>
        <v>3</v>
      </c>
      <c r="L4624" t="str">
        <f>TEXT(LeadsData[[#This Row],[Signup Date]],"mmm-yyyy")</f>
        <v>Apr-2024</v>
      </c>
      <c r="M4624">
        <f>IF(LeadsData[[#This Row],[Stage Number]]&gt;=2,1,0)</f>
        <v>1</v>
      </c>
      <c r="N4624" s="2">
        <f>IF(LeadsData[[#This Row],[Stage Number]]&gt;=3,1,0)</f>
        <v>1</v>
      </c>
      <c r="O4624" s="2">
        <f>IF(LeadsData[[#This Row],[Stage Number]]&gt;=4,1,0)</f>
        <v>0</v>
      </c>
    </row>
    <row r="4625" spans="1:15" x14ac:dyDescent="0.25">
      <c r="A4625" t="s">
        <v>4665</v>
      </c>
      <c r="B4625" s="1">
        <v>45386</v>
      </c>
      <c r="C4625" t="s">
        <v>31</v>
      </c>
      <c r="D4625" t="s">
        <v>34</v>
      </c>
      <c r="E4625" t="s">
        <v>21</v>
      </c>
      <c r="F4625" t="s">
        <v>14</v>
      </c>
      <c r="G4625" t="s">
        <v>23</v>
      </c>
      <c r="K4625" cm="1">
        <f t="array" ref="K4625">_xlfn.SWITCH(LeadsData[[#This Row],[Funnel Stage Reached]],"Lead",1,"MQL",2,"SQL",3,"Customer",4)</f>
        <v>2</v>
      </c>
      <c r="L4625" t="str">
        <f>TEXT(LeadsData[[#This Row],[Signup Date]],"mmm-yyyy")</f>
        <v>Apr-2024</v>
      </c>
      <c r="M4625">
        <f>IF(LeadsData[[#This Row],[Stage Number]]&gt;=2,1,0)</f>
        <v>1</v>
      </c>
      <c r="N4625" s="2">
        <f>IF(LeadsData[[#This Row],[Stage Number]]&gt;=3,1,0)</f>
        <v>0</v>
      </c>
      <c r="O4625" s="2">
        <f>IF(LeadsData[[#This Row],[Stage Number]]&gt;=4,1,0)</f>
        <v>0</v>
      </c>
    </row>
    <row r="4626" spans="1:15" x14ac:dyDescent="0.25">
      <c r="A4626" t="s">
        <v>4666</v>
      </c>
      <c r="B4626" s="1">
        <v>45506</v>
      </c>
      <c r="C4626" t="s">
        <v>25</v>
      </c>
      <c r="D4626" t="s">
        <v>26</v>
      </c>
      <c r="E4626" t="s">
        <v>13</v>
      </c>
      <c r="F4626" t="s">
        <v>28</v>
      </c>
      <c r="G4626" t="s">
        <v>29</v>
      </c>
      <c r="K4626" cm="1">
        <f t="array" ref="K4626">_xlfn.SWITCH(LeadsData[[#This Row],[Funnel Stage Reached]],"Lead",1,"MQL",2,"SQL",3,"Customer",4)</f>
        <v>3</v>
      </c>
      <c r="L4626" t="str">
        <f>TEXT(LeadsData[[#This Row],[Signup Date]],"mmm-yyyy")</f>
        <v>Aug-2024</v>
      </c>
      <c r="M4626">
        <f>IF(LeadsData[[#This Row],[Stage Number]]&gt;=2,1,0)</f>
        <v>1</v>
      </c>
      <c r="N4626" s="2">
        <f>IF(LeadsData[[#This Row],[Stage Number]]&gt;=3,1,0)</f>
        <v>1</v>
      </c>
      <c r="O4626" s="2">
        <f>IF(LeadsData[[#This Row],[Stage Number]]&gt;=4,1,0)</f>
        <v>0</v>
      </c>
    </row>
    <row r="4627" spans="1:15" x14ac:dyDescent="0.25">
      <c r="A4627" t="s">
        <v>4667</v>
      </c>
      <c r="B4627" s="1">
        <v>45362</v>
      </c>
      <c r="C4627" t="s">
        <v>25</v>
      </c>
      <c r="D4627" t="s">
        <v>26</v>
      </c>
      <c r="E4627" t="s">
        <v>13</v>
      </c>
      <c r="F4627" t="s">
        <v>22</v>
      </c>
      <c r="G4627" t="s">
        <v>15</v>
      </c>
      <c r="K4627" cm="1">
        <f t="array" ref="K4627">_xlfn.SWITCH(LeadsData[[#This Row],[Funnel Stage Reached]],"Lead",1,"MQL",2,"SQL",3,"Customer",4)</f>
        <v>1</v>
      </c>
      <c r="L4627" t="str">
        <f>TEXT(LeadsData[[#This Row],[Signup Date]],"mmm-yyyy")</f>
        <v>Mar-2024</v>
      </c>
      <c r="M4627">
        <f>IF(LeadsData[[#This Row],[Stage Number]]&gt;=2,1,0)</f>
        <v>0</v>
      </c>
      <c r="N4627" s="2">
        <f>IF(LeadsData[[#This Row],[Stage Number]]&gt;=3,1,0)</f>
        <v>0</v>
      </c>
      <c r="O4627" s="2">
        <f>IF(LeadsData[[#This Row],[Stage Number]]&gt;=4,1,0)</f>
        <v>0</v>
      </c>
    </row>
    <row r="4628" spans="1:15" x14ac:dyDescent="0.25">
      <c r="A4628" t="s">
        <v>4668</v>
      </c>
      <c r="B4628" s="1">
        <v>45319</v>
      </c>
      <c r="C4628" t="s">
        <v>46</v>
      </c>
      <c r="D4628" t="s">
        <v>47</v>
      </c>
      <c r="E4628" t="s">
        <v>13</v>
      </c>
      <c r="F4628" t="s">
        <v>14</v>
      </c>
      <c r="G4628" t="s">
        <v>15</v>
      </c>
      <c r="K4628" cm="1">
        <f t="array" ref="K4628">_xlfn.SWITCH(LeadsData[[#This Row],[Funnel Stage Reached]],"Lead",1,"MQL",2,"SQL",3,"Customer",4)</f>
        <v>1</v>
      </c>
      <c r="L4628" t="str">
        <f>TEXT(LeadsData[[#This Row],[Signup Date]],"mmm-yyyy")</f>
        <v>Jan-2024</v>
      </c>
      <c r="M4628">
        <f>IF(LeadsData[[#This Row],[Stage Number]]&gt;=2,1,0)</f>
        <v>0</v>
      </c>
      <c r="N4628" s="2">
        <f>IF(LeadsData[[#This Row],[Stage Number]]&gt;=3,1,0)</f>
        <v>0</v>
      </c>
      <c r="O4628" s="2">
        <f>IF(LeadsData[[#This Row],[Stage Number]]&gt;=4,1,0)</f>
        <v>0</v>
      </c>
    </row>
    <row r="4629" spans="1:15" x14ac:dyDescent="0.25">
      <c r="A4629" t="s">
        <v>4669</v>
      </c>
      <c r="B4629" s="1">
        <v>45318</v>
      </c>
      <c r="C4629" t="s">
        <v>25</v>
      </c>
      <c r="D4629" t="s">
        <v>26</v>
      </c>
      <c r="E4629" t="s">
        <v>13</v>
      </c>
      <c r="F4629" t="s">
        <v>14</v>
      </c>
      <c r="G4629" t="s">
        <v>15</v>
      </c>
      <c r="K4629" cm="1">
        <f t="array" ref="K4629">_xlfn.SWITCH(LeadsData[[#This Row],[Funnel Stage Reached]],"Lead",1,"MQL",2,"SQL",3,"Customer",4)</f>
        <v>1</v>
      </c>
      <c r="L4629" t="str">
        <f>TEXT(LeadsData[[#This Row],[Signup Date]],"mmm-yyyy")</f>
        <v>Jan-2024</v>
      </c>
      <c r="M4629">
        <f>IF(LeadsData[[#This Row],[Stage Number]]&gt;=2,1,0)</f>
        <v>0</v>
      </c>
      <c r="N4629" s="2">
        <f>IF(LeadsData[[#This Row],[Stage Number]]&gt;=3,1,0)</f>
        <v>0</v>
      </c>
      <c r="O4629" s="2">
        <f>IF(LeadsData[[#This Row],[Stage Number]]&gt;=4,1,0)</f>
        <v>0</v>
      </c>
    </row>
    <row r="4630" spans="1:15" x14ac:dyDescent="0.25">
      <c r="A4630" t="s">
        <v>4670</v>
      </c>
      <c r="B4630" s="1">
        <v>45426</v>
      </c>
      <c r="C4630" t="s">
        <v>31</v>
      </c>
      <c r="D4630" t="s">
        <v>32</v>
      </c>
      <c r="E4630" t="s">
        <v>21</v>
      </c>
      <c r="F4630" t="s">
        <v>14</v>
      </c>
      <c r="G4630" t="s">
        <v>23</v>
      </c>
      <c r="K4630" cm="1">
        <f t="array" ref="K4630">_xlfn.SWITCH(LeadsData[[#This Row],[Funnel Stage Reached]],"Lead",1,"MQL",2,"SQL",3,"Customer",4)</f>
        <v>2</v>
      </c>
      <c r="L4630" t="str">
        <f>TEXT(LeadsData[[#This Row],[Signup Date]],"mmm-yyyy")</f>
        <v>May-2024</v>
      </c>
      <c r="M4630">
        <f>IF(LeadsData[[#This Row],[Stage Number]]&gt;=2,1,0)</f>
        <v>1</v>
      </c>
      <c r="N4630" s="2">
        <f>IF(LeadsData[[#This Row],[Stage Number]]&gt;=3,1,0)</f>
        <v>0</v>
      </c>
      <c r="O4630" s="2">
        <f>IF(LeadsData[[#This Row],[Stage Number]]&gt;=4,1,0)</f>
        <v>0</v>
      </c>
    </row>
    <row r="4631" spans="1:15" x14ac:dyDescent="0.25">
      <c r="A4631" t="s">
        <v>4671</v>
      </c>
      <c r="B4631" s="1">
        <v>45519</v>
      </c>
      <c r="C4631" t="s">
        <v>17</v>
      </c>
      <c r="D4631" t="s">
        <v>53</v>
      </c>
      <c r="E4631" t="s">
        <v>21</v>
      </c>
      <c r="F4631" t="s">
        <v>19</v>
      </c>
      <c r="G4631" t="s">
        <v>23</v>
      </c>
      <c r="K4631" cm="1">
        <f t="array" ref="K4631">_xlfn.SWITCH(LeadsData[[#This Row],[Funnel Stage Reached]],"Lead",1,"MQL",2,"SQL",3,"Customer",4)</f>
        <v>2</v>
      </c>
      <c r="L4631" t="str">
        <f>TEXT(LeadsData[[#This Row],[Signup Date]],"mmm-yyyy")</f>
        <v>Aug-2024</v>
      </c>
      <c r="M4631">
        <f>IF(LeadsData[[#This Row],[Stage Number]]&gt;=2,1,0)</f>
        <v>1</v>
      </c>
      <c r="N4631" s="2">
        <f>IF(LeadsData[[#This Row],[Stage Number]]&gt;=3,1,0)</f>
        <v>0</v>
      </c>
      <c r="O4631" s="2">
        <f>IF(LeadsData[[#This Row],[Stage Number]]&gt;=4,1,0)</f>
        <v>0</v>
      </c>
    </row>
    <row r="4632" spans="1:15" x14ac:dyDescent="0.25">
      <c r="A4632" t="s">
        <v>4672</v>
      </c>
      <c r="B4632" s="1">
        <v>45478</v>
      </c>
      <c r="C4632" t="s">
        <v>17</v>
      </c>
      <c r="D4632" t="s">
        <v>18</v>
      </c>
      <c r="E4632" t="s">
        <v>13</v>
      </c>
      <c r="F4632" t="s">
        <v>19</v>
      </c>
      <c r="G4632" t="s">
        <v>15</v>
      </c>
      <c r="K4632" cm="1">
        <f t="array" ref="K4632">_xlfn.SWITCH(LeadsData[[#This Row],[Funnel Stage Reached]],"Lead",1,"MQL",2,"SQL",3,"Customer",4)</f>
        <v>1</v>
      </c>
      <c r="L4632" t="str">
        <f>TEXT(LeadsData[[#This Row],[Signup Date]],"mmm-yyyy")</f>
        <v>Jul-2024</v>
      </c>
      <c r="M4632">
        <f>IF(LeadsData[[#This Row],[Stage Number]]&gt;=2,1,0)</f>
        <v>0</v>
      </c>
      <c r="N4632" s="2">
        <f>IF(LeadsData[[#This Row],[Stage Number]]&gt;=3,1,0)</f>
        <v>0</v>
      </c>
      <c r="O4632" s="2">
        <f>IF(LeadsData[[#This Row],[Stage Number]]&gt;=4,1,0)</f>
        <v>0</v>
      </c>
    </row>
    <row r="4633" spans="1:15" x14ac:dyDescent="0.25">
      <c r="A4633" t="s">
        <v>4673</v>
      </c>
      <c r="B4633" s="1">
        <v>45370</v>
      </c>
      <c r="C4633" t="s">
        <v>31</v>
      </c>
      <c r="D4633" t="s">
        <v>32</v>
      </c>
      <c r="E4633" t="s">
        <v>13</v>
      </c>
      <c r="F4633" t="s">
        <v>19</v>
      </c>
      <c r="G4633" t="s">
        <v>15</v>
      </c>
      <c r="K4633" cm="1">
        <f t="array" ref="K4633">_xlfn.SWITCH(LeadsData[[#This Row],[Funnel Stage Reached]],"Lead",1,"MQL",2,"SQL",3,"Customer",4)</f>
        <v>1</v>
      </c>
      <c r="L4633" t="str">
        <f>TEXT(LeadsData[[#This Row],[Signup Date]],"mmm-yyyy")</f>
        <v>Mar-2024</v>
      </c>
      <c r="M4633">
        <f>IF(LeadsData[[#This Row],[Stage Number]]&gt;=2,1,0)</f>
        <v>0</v>
      </c>
      <c r="N4633" s="2">
        <f>IF(LeadsData[[#This Row],[Stage Number]]&gt;=3,1,0)</f>
        <v>0</v>
      </c>
      <c r="O4633" s="2">
        <f>IF(LeadsData[[#This Row],[Stage Number]]&gt;=4,1,0)</f>
        <v>0</v>
      </c>
    </row>
    <row r="4634" spans="1:15" x14ac:dyDescent="0.25">
      <c r="A4634" t="s">
        <v>4674</v>
      </c>
      <c r="B4634" s="1">
        <v>45570</v>
      </c>
      <c r="C4634" t="s">
        <v>31</v>
      </c>
      <c r="D4634" t="s">
        <v>34</v>
      </c>
      <c r="E4634" t="s">
        <v>21</v>
      </c>
      <c r="F4634" t="s">
        <v>14</v>
      </c>
      <c r="G4634" t="s">
        <v>23</v>
      </c>
      <c r="K4634" cm="1">
        <f t="array" ref="K4634">_xlfn.SWITCH(LeadsData[[#This Row],[Funnel Stage Reached]],"Lead",1,"MQL",2,"SQL",3,"Customer",4)</f>
        <v>2</v>
      </c>
      <c r="L4634" t="str">
        <f>TEXT(LeadsData[[#This Row],[Signup Date]],"mmm-yyyy")</f>
        <v>Oct-2024</v>
      </c>
      <c r="M4634">
        <f>IF(LeadsData[[#This Row],[Stage Number]]&gt;=2,1,0)</f>
        <v>1</v>
      </c>
      <c r="N4634" s="2">
        <f>IF(LeadsData[[#This Row],[Stage Number]]&gt;=3,1,0)</f>
        <v>0</v>
      </c>
      <c r="O4634" s="2">
        <f>IF(LeadsData[[#This Row],[Stage Number]]&gt;=4,1,0)</f>
        <v>0</v>
      </c>
    </row>
    <row r="4635" spans="1:15" x14ac:dyDescent="0.25">
      <c r="A4635" t="s">
        <v>4675</v>
      </c>
      <c r="B4635" s="1">
        <v>45560</v>
      </c>
      <c r="C4635" t="s">
        <v>31</v>
      </c>
      <c r="D4635" t="s">
        <v>32</v>
      </c>
      <c r="E4635" t="s">
        <v>21</v>
      </c>
      <c r="F4635" t="s">
        <v>14</v>
      </c>
      <c r="G4635" t="s">
        <v>29</v>
      </c>
      <c r="K4635" cm="1">
        <f t="array" ref="K4635">_xlfn.SWITCH(LeadsData[[#This Row],[Funnel Stage Reached]],"Lead",1,"MQL",2,"SQL",3,"Customer",4)</f>
        <v>3</v>
      </c>
      <c r="L4635" t="str">
        <f>TEXT(LeadsData[[#This Row],[Signup Date]],"mmm-yyyy")</f>
        <v>Sep-2024</v>
      </c>
      <c r="M4635">
        <f>IF(LeadsData[[#This Row],[Stage Number]]&gt;=2,1,0)</f>
        <v>1</v>
      </c>
      <c r="N4635" s="2">
        <f>IF(LeadsData[[#This Row],[Stage Number]]&gt;=3,1,0)</f>
        <v>1</v>
      </c>
      <c r="O4635" s="2">
        <f>IF(LeadsData[[#This Row],[Stage Number]]&gt;=4,1,0)</f>
        <v>0</v>
      </c>
    </row>
    <row r="4636" spans="1:15" x14ac:dyDescent="0.25">
      <c r="A4636" t="s">
        <v>4676</v>
      </c>
      <c r="B4636" s="1">
        <v>45483</v>
      </c>
      <c r="C4636" t="s">
        <v>36</v>
      </c>
      <c r="D4636" t="s">
        <v>37</v>
      </c>
      <c r="E4636" t="s">
        <v>21</v>
      </c>
      <c r="F4636" t="s">
        <v>19</v>
      </c>
      <c r="G4636" t="s">
        <v>23</v>
      </c>
      <c r="K4636" cm="1">
        <f t="array" ref="K4636">_xlfn.SWITCH(LeadsData[[#This Row],[Funnel Stage Reached]],"Lead",1,"MQL",2,"SQL",3,"Customer",4)</f>
        <v>2</v>
      </c>
      <c r="L4636" t="str">
        <f>TEXT(LeadsData[[#This Row],[Signup Date]],"mmm-yyyy")</f>
        <v>Jul-2024</v>
      </c>
      <c r="M4636">
        <f>IF(LeadsData[[#This Row],[Stage Number]]&gt;=2,1,0)</f>
        <v>1</v>
      </c>
      <c r="N4636" s="2">
        <f>IF(LeadsData[[#This Row],[Stage Number]]&gt;=3,1,0)</f>
        <v>0</v>
      </c>
      <c r="O4636" s="2">
        <f>IF(LeadsData[[#This Row],[Stage Number]]&gt;=4,1,0)</f>
        <v>0</v>
      </c>
    </row>
    <row r="4637" spans="1:15" x14ac:dyDescent="0.25">
      <c r="A4637" t="s">
        <v>4677</v>
      </c>
      <c r="B4637" s="1">
        <v>45425</v>
      </c>
      <c r="C4637" t="s">
        <v>17</v>
      </c>
      <c r="D4637" t="s">
        <v>18</v>
      </c>
      <c r="E4637" t="s">
        <v>13</v>
      </c>
      <c r="F4637" t="s">
        <v>19</v>
      </c>
      <c r="G4637" t="s">
        <v>23</v>
      </c>
      <c r="K4637" cm="1">
        <f t="array" ref="K4637">_xlfn.SWITCH(LeadsData[[#This Row],[Funnel Stage Reached]],"Lead",1,"MQL",2,"SQL",3,"Customer",4)</f>
        <v>2</v>
      </c>
      <c r="L4637" t="str">
        <f>TEXT(LeadsData[[#This Row],[Signup Date]],"mmm-yyyy")</f>
        <v>May-2024</v>
      </c>
      <c r="M4637">
        <f>IF(LeadsData[[#This Row],[Stage Number]]&gt;=2,1,0)</f>
        <v>1</v>
      </c>
      <c r="N4637" s="2">
        <f>IF(LeadsData[[#This Row],[Stage Number]]&gt;=3,1,0)</f>
        <v>0</v>
      </c>
      <c r="O4637" s="2">
        <f>IF(LeadsData[[#This Row],[Stage Number]]&gt;=4,1,0)</f>
        <v>0</v>
      </c>
    </row>
    <row r="4638" spans="1:15" x14ac:dyDescent="0.25">
      <c r="A4638" t="s">
        <v>4678</v>
      </c>
      <c r="B4638" s="1">
        <v>45447</v>
      </c>
      <c r="C4638" t="s">
        <v>46</v>
      </c>
      <c r="D4638" t="s">
        <v>47</v>
      </c>
      <c r="E4638" t="s">
        <v>21</v>
      </c>
      <c r="F4638" t="s">
        <v>19</v>
      </c>
      <c r="G4638" t="s">
        <v>23</v>
      </c>
      <c r="K4638" cm="1">
        <f t="array" ref="K4638">_xlfn.SWITCH(LeadsData[[#This Row],[Funnel Stage Reached]],"Lead",1,"MQL",2,"SQL",3,"Customer",4)</f>
        <v>2</v>
      </c>
      <c r="L4638" t="str">
        <f>TEXT(LeadsData[[#This Row],[Signup Date]],"mmm-yyyy")</f>
        <v>Jun-2024</v>
      </c>
      <c r="M4638">
        <f>IF(LeadsData[[#This Row],[Stage Number]]&gt;=2,1,0)</f>
        <v>1</v>
      </c>
      <c r="N4638" s="2">
        <f>IF(LeadsData[[#This Row],[Stage Number]]&gt;=3,1,0)</f>
        <v>0</v>
      </c>
      <c r="O4638" s="2">
        <f>IF(LeadsData[[#This Row],[Stage Number]]&gt;=4,1,0)</f>
        <v>0</v>
      </c>
    </row>
    <row r="4639" spans="1:15" x14ac:dyDescent="0.25">
      <c r="A4639" t="s">
        <v>4679</v>
      </c>
      <c r="B4639" s="1">
        <v>45521</v>
      </c>
      <c r="C4639" t="s">
        <v>25</v>
      </c>
      <c r="D4639" t="s">
        <v>26</v>
      </c>
      <c r="E4639" t="s">
        <v>21</v>
      </c>
      <c r="F4639" t="s">
        <v>19</v>
      </c>
      <c r="G4639" t="s">
        <v>29</v>
      </c>
      <c r="K4639" cm="1">
        <f t="array" ref="K4639">_xlfn.SWITCH(LeadsData[[#This Row],[Funnel Stage Reached]],"Lead",1,"MQL",2,"SQL",3,"Customer",4)</f>
        <v>3</v>
      </c>
      <c r="L4639" t="str">
        <f>TEXT(LeadsData[[#This Row],[Signup Date]],"mmm-yyyy")</f>
        <v>Aug-2024</v>
      </c>
      <c r="M4639">
        <f>IF(LeadsData[[#This Row],[Stage Number]]&gt;=2,1,0)</f>
        <v>1</v>
      </c>
      <c r="N4639" s="2">
        <f>IF(LeadsData[[#This Row],[Stage Number]]&gt;=3,1,0)</f>
        <v>1</v>
      </c>
      <c r="O4639" s="2">
        <f>IF(LeadsData[[#This Row],[Stage Number]]&gt;=4,1,0)</f>
        <v>0</v>
      </c>
    </row>
    <row r="4640" spans="1:15" x14ac:dyDescent="0.25">
      <c r="A4640" t="s">
        <v>4680</v>
      </c>
      <c r="B4640" s="1">
        <v>45641</v>
      </c>
      <c r="C4640" t="s">
        <v>31</v>
      </c>
      <c r="D4640" t="s">
        <v>34</v>
      </c>
      <c r="E4640" t="s">
        <v>13</v>
      </c>
      <c r="F4640" t="s">
        <v>19</v>
      </c>
      <c r="G4640" t="s">
        <v>15</v>
      </c>
      <c r="K4640" cm="1">
        <f t="array" ref="K4640">_xlfn.SWITCH(LeadsData[[#This Row],[Funnel Stage Reached]],"Lead",1,"MQL",2,"SQL",3,"Customer",4)</f>
        <v>1</v>
      </c>
      <c r="L4640" t="str">
        <f>TEXT(LeadsData[[#This Row],[Signup Date]],"mmm-yyyy")</f>
        <v>Dec-2024</v>
      </c>
      <c r="M4640">
        <f>IF(LeadsData[[#This Row],[Stage Number]]&gt;=2,1,0)</f>
        <v>0</v>
      </c>
      <c r="N4640" s="2">
        <f>IF(LeadsData[[#This Row],[Stage Number]]&gt;=3,1,0)</f>
        <v>0</v>
      </c>
      <c r="O4640" s="2">
        <f>IF(LeadsData[[#This Row],[Stage Number]]&gt;=4,1,0)</f>
        <v>0</v>
      </c>
    </row>
    <row r="4641" spans="1:15" x14ac:dyDescent="0.25">
      <c r="A4641" t="s">
        <v>4681</v>
      </c>
      <c r="B4641" s="1">
        <v>45409</v>
      </c>
      <c r="C4641" t="s">
        <v>11</v>
      </c>
      <c r="D4641" t="s">
        <v>68</v>
      </c>
      <c r="E4641" t="s">
        <v>21</v>
      </c>
      <c r="F4641" t="s">
        <v>22</v>
      </c>
      <c r="G4641" t="s">
        <v>29</v>
      </c>
      <c r="K4641" cm="1">
        <f t="array" ref="K4641">_xlfn.SWITCH(LeadsData[[#This Row],[Funnel Stage Reached]],"Lead",1,"MQL",2,"SQL",3,"Customer",4)</f>
        <v>3</v>
      </c>
      <c r="L4641" t="str">
        <f>TEXT(LeadsData[[#This Row],[Signup Date]],"mmm-yyyy")</f>
        <v>Apr-2024</v>
      </c>
      <c r="M4641">
        <f>IF(LeadsData[[#This Row],[Stage Number]]&gt;=2,1,0)</f>
        <v>1</v>
      </c>
      <c r="N4641" s="2">
        <f>IF(LeadsData[[#This Row],[Stage Number]]&gt;=3,1,0)</f>
        <v>1</v>
      </c>
      <c r="O4641" s="2">
        <f>IF(LeadsData[[#This Row],[Stage Number]]&gt;=4,1,0)</f>
        <v>0</v>
      </c>
    </row>
    <row r="4642" spans="1:15" x14ac:dyDescent="0.25">
      <c r="A4642" t="s">
        <v>4682</v>
      </c>
      <c r="B4642" s="1">
        <v>45588</v>
      </c>
      <c r="C4642" t="s">
        <v>11</v>
      </c>
      <c r="D4642" t="s">
        <v>68</v>
      </c>
      <c r="E4642" t="s">
        <v>13</v>
      </c>
      <c r="F4642" t="s">
        <v>22</v>
      </c>
      <c r="G4642" t="s">
        <v>23</v>
      </c>
      <c r="K4642" cm="1">
        <f t="array" ref="K4642">_xlfn.SWITCH(LeadsData[[#This Row],[Funnel Stage Reached]],"Lead",1,"MQL",2,"SQL",3,"Customer",4)</f>
        <v>2</v>
      </c>
      <c r="L4642" t="str">
        <f>TEXT(LeadsData[[#This Row],[Signup Date]],"mmm-yyyy")</f>
        <v>Oct-2024</v>
      </c>
      <c r="M4642">
        <f>IF(LeadsData[[#This Row],[Stage Number]]&gt;=2,1,0)</f>
        <v>1</v>
      </c>
      <c r="N4642" s="2">
        <f>IF(LeadsData[[#This Row],[Stage Number]]&gt;=3,1,0)</f>
        <v>0</v>
      </c>
      <c r="O4642" s="2">
        <f>IF(LeadsData[[#This Row],[Stage Number]]&gt;=4,1,0)</f>
        <v>0</v>
      </c>
    </row>
    <row r="4643" spans="1:15" x14ac:dyDescent="0.25">
      <c r="A4643" t="s">
        <v>4683</v>
      </c>
      <c r="B4643" s="1">
        <v>45410</v>
      </c>
      <c r="C4643" t="s">
        <v>11</v>
      </c>
      <c r="D4643" t="s">
        <v>68</v>
      </c>
      <c r="E4643" t="s">
        <v>21</v>
      </c>
      <c r="F4643" t="s">
        <v>19</v>
      </c>
      <c r="G4643" t="s">
        <v>23</v>
      </c>
      <c r="K4643" cm="1">
        <f t="array" ref="K4643">_xlfn.SWITCH(LeadsData[[#This Row],[Funnel Stage Reached]],"Lead",1,"MQL",2,"SQL",3,"Customer",4)</f>
        <v>2</v>
      </c>
      <c r="L4643" t="str">
        <f>TEXT(LeadsData[[#This Row],[Signup Date]],"mmm-yyyy")</f>
        <v>Apr-2024</v>
      </c>
      <c r="M4643">
        <f>IF(LeadsData[[#This Row],[Stage Number]]&gt;=2,1,0)</f>
        <v>1</v>
      </c>
      <c r="N4643" s="2">
        <f>IF(LeadsData[[#This Row],[Stage Number]]&gt;=3,1,0)</f>
        <v>0</v>
      </c>
      <c r="O4643" s="2">
        <f>IF(LeadsData[[#This Row],[Stage Number]]&gt;=4,1,0)</f>
        <v>0</v>
      </c>
    </row>
    <row r="4644" spans="1:15" x14ac:dyDescent="0.25">
      <c r="A4644" t="s">
        <v>4684</v>
      </c>
      <c r="B4644" s="1">
        <v>45631</v>
      </c>
      <c r="C4644" t="s">
        <v>31</v>
      </c>
      <c r="D4644" t="s">
        <v>34</v>
      </c>
      <c r="E4644" t="s">
        <v>13</v>
      </c>
      <c r="F4644" t="s">
        <v>19</v>
      </c>
      <c r="G4644" t="s">
        <v>23</v>
      </c>
      <c r="K4644" cm="1">
        <f t="array" ref="K4644">_xlfn.SWITCH(LeadsData[[#This Row],[Funnel Stage Reached]],"Lead",1,"MQL",2,"SQL",3,"Customer",4)</f>
        <v>2</v>
      </c>
      <c r="L4644" t="str">
        <f>TEXT(LeadsData[[#This Row],[Signup Date]],"mmm-yyyy")</f>
        <v>Dec-2024</v>
      </c>
      <c r="M4644">
        <f>IF(LeadsData[[#This Row],[Stage Number]]&gt;=2,1,0)</f>
        <v>1</v>
      </c>
      <c r="N4644" s="2">
        <f>IF(LeadsData[[#This Row],[Stage Number]]&gt;=3,1,0)</f>
        <v>0</v>
      </c>
      <c r="O4644" s="2">
        <f>IF(LeadsData[[#This Row],[Stage Number]]&gt;=4,1,0)</f>
        <v>0</v>
      </c>
    </row>
    <row r="4645" spans="1:15" x14ac:dyDescent="0.25">
      <c r="A4645" t="s">
        <v>4685</v>
      </c>
      <c r="B4645" s="1">
        <v>45603</v>
      </c>
      <c r="C4645" t="s">
        <v>46</v>
      </c>
      <c r="D4645" t="s">
        <v>56</v>
      </c>
      <c r="E4645" t="s">
        <v>21</v>
      </c>
      <c r="F4645" t="s">
        <v>19</v>
      </c>
      <c r="G4645" t="s">
        <v>15</v>
      </c>
      <c r="K4645" cm="1">
        <f t="array" ref="K4645">_xlfn.SWITCH(LeadsData[[#This Row],[Funnel Stage Reached]],"Lead",1,"MQL",2,"SQL",3,"Customer",4)</f>
        <v>1</v>
      </c>
      <c r="L4645" t="str">
        <f>TEXT(LeadsData[[#This Row],[Signup Date]],"mmm-yyyy")</f>
        <v>Nov-2024</v>
      </c>
      <c r="M4645">
        <f>IF(LeadsData[[#This Row],[Stage Number]]&gt;=2,1,0)</f>
        <v>0</v>
      </c>
      <c r="N4645" s="2">
        <f>IF(LeadsData[[#This Row],[Stage Number]]&gt;=3,1,0)</f>
        <v>0</v>
      </c>
      <c r="O4645" s="2">
        <f>IF(LeadsData[[#This Row],[Stage Number]]&gt;=4,1,0)</f>
        <v>0</v>
      </c>
    </row>
    <row r="4646" spans="1:15" x14ac:dyDescent="0.25">
      <c r="A4646" t="s">
        <v>4686</v>
      </c>
      <c r="B4646" s="1">
        <v>45531</v>
      </c>
      <c r="C4646" t="s">
        <v>17</v>
      </c>
      <c r="D4646" t="s">
        <v>53</v>
      </c>
      <c r="E4646" t="s">
        <v>21</v>
      </c>
      <c r="F4646" t="s">
        <v>19</v>
      </c>
      <c r="G4646" t="s">
        <v>15</v>
      </c>
      <c r="K4646" cm="1">
        <f t="array" ref="K4646">_xlfn.SWITCH(LeadsData[[#This Row],[Funnel Stage Reached]],"Lead",1,"MQL",2,"SQL",3,"Customer",4)</f>
        <v>1</v>
      </c>
      <c r="L4646" t="str">
        <f>TEXT(LeadsData[[#This Row],[Signup Date]],"mmm-yyyy")</f>
        <v>Aug-2024</v>
      </c>
      <c r="M4646">
        <f>IF(LeadsData[[#This Row],[Stage Number]]&gt;=2,1,0)</f>
        <v>0</v>
      </c>
      <c r="N4646" s="2">
        <f>IF(LeadsData[[#This Row],[Stage Number]]&gt;=3,1,0)</f>
        <v>0</v>
      </c>
      <c r="O4646" s="2">
        <f>IF(LeadsData[[#This Row],[Stage Number]]&gt;=4,1,0)</f>
        <v>0</v>
      </c>
    </row>
    <row r="4647" spans="1:15" x14ac:dyDescent="0.25">
      <c r="A4647" t="s">
        <v>4687</v>
      </c>
      <c r="B4647" s="1">
        <v>45307</v>
      </c>
      <c r="C4647" t="s">
        <v>36</v>
      </c>
      <c r="D4647" t="s">
        <v>50</v>
      </c>
      <c r="E4647" t="s">
        <v>48</v>
      </c>
      <c r="F4647" t="s">
        <v>28</v>
      </c>
      <c r="G4647" t="s">
        <v>15</v>
      </c>
      <c r="K4647" cm="1">
        <f t="array" ref="K4647">_xlfn.SWITCH(LeadsData[[#This Row],[Funnel Stage Reached]],"Lead",1,"MQL",2,"SQL",3,"Customer",4)</f>
        <v>1</v>
      </c>
      <c r="L4647" t="str">
        <f>TEXT(LeadsData[[#This Row],[Signup Date]],"mmm-yyyy")</f>
        <v>Jan-2024</v>
      </c>
      <c r="M4647">
        <f>IF(LeadsData[[#This Row],[Stage Number]]&gt;=2,1,0)</f>
        <v>0</v>
      </c>
      <c r="N4647" s="2">
        <f>IF(LeadsData[[#This Row],[Stage Number]]&gt;=3,1,0)</f>
        <v>0</v>
      </c>
      <c r="O4647" s="2">
        <f>IF(LeadsData[[#This Row],[Stage Number]]&gt;=4,1,0)</f>
        <v>0</v>
      </c>
    </row>
    <row r="4648" spans="1:15" x14ac:dyDescent="0.25">
      <c r="A4648" t="s">
        <v>4688</v>
      </c>
      <c r="B4648" s="1">
        <v>45568</v>
      </c>
      <c r="C4648" t="s">
        <v>25</v>
      </c>
      <c r="D4648" t="s">
        <v>26</v>
      </c>
      <c r="E4648" t="s">
        <v>21</v>
      </c>
      <c r="F4648" t="s">
        <v>22</v>
      </c>
      <c r="G4648" t="s">
        <v>29</v>
      </c>
      <c r="K4648" cm="1">
        <f t="array" ref="K4648">_xlfn.SWITCH(LeadsData[[#This Row],[Funnel Stage Reached]],"Lead",1,"MQL",2,"SQL",3,"Customer",4)</f>
        <v>3</v>
      </c>
      <c r="L4648" t="str">
        <f>TEXT(LeadsData[[#This Row],[Signup Date]],"mmm-yyyy")</f>
        <v>Oct-2024</v>
      </c>
      <c r="M4648">
        <f>IF(LeadsData[[#This Row],[Stage Number]]&gt;=2,1,0)</f>
        <v>1</v>
      </c>
      <c r="N4648" s="2">
        <f>IF(LeadsData[[#This Row],[Stage Number]]&gt;=3,1,0)</f>
        <v>1</v>
      </c>
      <c r="O4648" s="2">
        <f>IF(LeadsData[[#This Row],[Stage Number]]&gt;=4,1,0)</f>
        <v>0</v>
      </c>
    </row>
    <row r="4649" spans="1:15" x14ac:dyDescent="0.25">
      <c r="A4649" t="s">
        <v>4689</v>
      </c>
      <c r="B4649" s="1">
        <v>45640</v>
      </c>
      <c r="C4649" t="s">
        <v>11</v>
      </c>
      <c r="D4649" t="s">
        <v>12</v>
      </c>
      <c r="E4649" t="s">
        <v>13</v>
      </c>
      <c r="F4649" t="s">
        <v>19</v>
      </c>
      <c r="G4649" t="s">
        <v>15</v>
      </c>
      <c r="K4649" cm="1">
        <f t="array" ref="K4649">_xlfn.SWITCH(LeadsData[[#This Row],[Funnel Stage Reached]],"Lead",1,"MQL",2,"SQL",3,"Customer",4)</f>
        <v>1</v>
      </c>
      <c r="L4649" t="str">
        <f>TEXT(LeadsData[[#This Row],[Signup Date]],"mmm-yyyy")</f>
        <v>Dec-2024</v>
      </c>
      <c r="M4649">
        <f>IF(LeadsData[[#This Row],[Stage Number]]&gt;=2,1,0)</f>
        <v>0</v>
      </c>
      <c r="N4649" s="2">
        <f>IF(LeadsData[[#This Row],[Stage Number]]&gt;=3,1,0)</f>
        <v>0</v>
      </c>
      <c r="O4649" s="2">
        <f>IF(LeadsData[[#This Row],[Stage Number]]&gt;=4,1,0)</f>
        <v>0</v>
      </c>
    </row>
    <row r="4650" spans="1:15" x14ac:dyDescent="0.25">
      <c r="A4650" t="s">
        <v>4690</v>
      </c>
      <c r="B4650" s="1">
        <v>45308</v>
      </c>
      <c r="C4650" t="s">
        <v>17</v>
      </c>
      <c r="D4650" t="s">
        <v>18</v>
      </c>
      <c r="E4650" t="s">
        <v>21</v>
      </c>
      <c r="F4650" t="s">
        <v>22</v>
      </c>
      <c r="G4650" t="s">
        <v>15</v>
      </c>
      <c r="K4650" cm="1">
        <f t="array" ref="K4650">_xlfn.SWITCH(LeadsData[[#This Row],[Funnel Stage Reached]],"Lead",1,"MQL",2,"SQL",3,"Customer",4)</f>
        <v>1</v>
      </c>
      <c r="L4650" t="str">
        <f>TEXT(LeadsData[[#This Row],[Signup Date]],"mmm-yyyy")</f>
        <v>Jan-2024</v>
      </c>
      <c r="M4650">
        <f>IF(LeadsData[[#This Row],[Stage Number]]&gt;=2,1,0)</f>
        <v>0</v>
      </c>
      <c r="N4650" s="2">
        <f>IF(LeadsData[[#This Row],[Stage Number]]&gt;=3,1,0)</f>
        <v>0</v>
      </c>
      <c r="O4650" s="2">
        <f>IF(LeadsData[[#This Row],[Stage Number]]&gt;=4,1,0)</f>
        <v>0</v>
      </c>
    </row>
    <row r="4651" spans="1:15" x14ac:dyDescent="0.25">
      <c r="A4651" t="s">
        <v>4691</v>
      </c>
      <c r="B4651" s="1">
        <v>45538</v>
      </c>
      <c r="C4651" t="s">
        <v>31</v>
      </c>
      <c r="D4651" t="s">
        <v>32</v>
      </c>
      <c r="E4651" t="s">
        <v>21</v>
      </c>
      <c r="F4651" t="s">
        <v>14</v>
      </c>
      <c r="G4651" t="s">
        <v>15</v>
      </c>
      <c r="K4651" cm="1">
        <f t="array" ref="K4651">_xlfn.SWITCH(LeadsData[[#This Row],[Funnel Stage Reached]],"Lead",1,"MQL",2,"SQL",3,"Customer",4)</f>
        <v>1</v>
      </c>
      <c r="L4651" t="str">
        <f>TEXT(LeadsData[[#This Row],[Signup Date]],"mmm-yyyy")</f>
        <v>Sep-2024</v>
      </c>
      <c r="M4651">
        <f>IF(LeadsData[[#This Row],[Stage Number]]&gt;=2,1,0)</f>
        <v>0</v>
      </c>
      <c r="N4651" s="2">
        <f>IF(LeadsData[[#This Row],[Stage Number]]&gt;=3,1,0)</f>
        <v>0</v>
      </c>
      <c r="O4651" s="2">
        <f>IF(LeadsData[[#This Row],[Stage Number]]&gt;=4,1,0)</f>
        <v>0</v>
      </c>
    </row>
    <row r="4652" spans="1:15" x14ac:dyDescent="0.25">
      <c r="A4652" t="s">
        <v>4692</v>
      </c>
      <c r="B4652" s="1">
        <v>45650</v>
      </c>
      <c r="C4652" t="s">
        <v>17</v>
      </c>
      <c r="D4652" t="s">
        <v>53</v>
      </c>
      <c r="E4652" t="s">
        <v>13</v>
      </c>
      <c r="F4652" t="s">
        <v>19</v>
      </c>
      <c r="G4652" t="s">
        <v>23</v>
      </c>
      <c r="K4652" cm="1">
        <f t="array" ref="K4652">_xlfn.SWITCH(LeadsData[[#This Row],[Funnel Stage Reached]],"Lead",1,"MQL",2,"SQL",3,"Customer",4)</f>
        <v>2</v>
      </c>
      <c r="L4652" t="str">
        <f>TEXT(LeadsData[[#This Row],[Signup Date]],"mmm-yyyy")</f>
        <v>Dec-2024</v>
      </c>
      <c r="M4652">
        <f>IF(LeadsData[[#This Row],[Stage Number]]&gt;=2,1,0)</f>
        <v>1</v>
      </c>
      <c r="N4652" s="2">
        <f>IF(LeadsData[[#This Row],[Stage Number]]&gt;=3,1,0)</f>
        <v>0</v>
      </c>
      <c r="O4652" s="2">
        <f>IF(LeadsData[[#This Row],[Stage Number]]&gt;=4,1,0)</f>
        <v>0</v>
      </c>
    </row>
    <row r="4653" spans="1:15" x14ac:dyDescent="0.25">
      <c r="A4653" t="s">
        <v>4693</v>
      </c>
      <c r="B4653" s="1">
        <v>45616</v>
      </c>
      <c r="C4653" t="s">
        <v>17</v>
      </c>
      <c r="D4653" t="s">
        <v>18</v>
      </c>
      <c r="E4653" t="s">
        <v>13</v>
      </c>
      <c r="F4653" t="s">
        <v>22</v>
      </c>
      <c r="G4653" t="s">
        <v>15</v>
      </c>
      <c r="K4653" cm="1">
        <f t="array" ref="K4653">_xlfn.SWITCH(LeadsData[[#This Row],[Funnel Stage Reached]],"Lead",1,"MQL",2,"SQL",3,"Customer",4)</f>
        <v>1</v>
      </c>
      <c r="L4653" t="str">
        <f>TEXT(LeadsData[[#This Row],[Signup Date]],"mmm-yyyy")</f>
        <v>Nov-2024</v>
      </c>
      <c r="M4653">
        <f>IF(LeadsData[[#This Row],[Stage Number]]&gt;=2,1,0)</f>
        <v>0</v>
      </c>
      <c r="N4653" s="2">
        <f>IF(LeadsData[[#This Row],[Stage Number]]&gt;=3,1,0)</f>
        <v>0</v>
      </c>
      <c r="O4653" s="2">
        <f>IF(LeadsData[[#This Row],[Stage Number]]&gt;=4,1,0)</f>
        <v>0</v>
      </c>
    </row>
    <row r="4654" spans="1:15" x14ac:dyDescent="0.25">
      <c r="A4654" t="s">
        <v>4694</v>
      </c>
      <c r="B4654" s="1">
        <v>45329</v>
      </c>
      <c r="C4654" t="s">
        <v>31</v>
      </c>
      <c r="D4654" t="s">
        <v>32</v>
      </c>
      <c r="E4654" t="s">
        <v>21</v>
      </c>
      <c r="F4654" t="s">
        <v>22</v>
      </c>
      <c r="G4654" t="s">
        <v>15</v>
      </c>
      <c r="K4654" cm="1">
        <f t="array" ref="K4654">_xlfn.SWITCH(LeadsData[[#This Row],[Funnel Stage Reached]],"Lead",1,"MQL",2,"SQL",3,"Customer",4)</f>
        <v>1</v>
      </c>
      <c r="L4654" t="str">
        <f>TEXT(LeadsData[[#This Row],[Signup Date]],"mmm-yyyy")</f>
        <v>Feb-2024</v>
      </c>
      <c r="M4654">
        <f>IF(LeadsData[[#This Row],[Stage Number]]&gt;=2,1,0)</f>
        <v>0</v>
      </c>
      <c r="N4654" s="2">
        <f>IF(LeadsData[[#This Row],[Stage Number]]&gt;=3,1,0)</f>
        <v>0</v>
      </c>
      <c r="O4654" s="2">
        <f>IF(LeadsData[[#This Row],[Stage Number]]&gt;=4,1,0)</f>
        <v>0</v>
      </c>
    </row>
    <row r="4655" spans="1:15" x14ac:dyDescent="0.25">
      <c r="A4655" t="s">
        <v>4695</v>
      </c>
      <c r="B4655" s="1">
        <v>45481</v>
      </c>
      <c r="C4655" t="s">
        <v>17</v>
      </c>
      <c r="D4655" t="s">
        <v>18</v>
      </c>
      <c r="E4655" t="s">
        <v>13</v>
      </c>
      <c r="F4655" t="s">
        <v>19</v>
      </c>
      <c r="G4655" t="s">
        <v>15</v>
      </c>
      <c r="K4655" cm="1">
        <f t="array" ref="K4655">_xlfn.SWITCH(LeadsData[[#This Row],[Funnel Stage Reached]],"Lead",1,"MQL",2,"SQL",3,"Customer",4)</f>
        <v>1</v>
      </c>
      <c r="L4655" t="str">
        <f>TEXT(LeadsData[[#This Row],[Signup Date]],"mmm-yyyy")</f>
        <v>Jul-2024</v>
      </c>
      <c r="M4655">
        <f>IF(LeadsData[[#This Row],[Stage Number]]&gt;=2,1,0)</f>
        <v>0</v>
      </c>
      <c r="N4655" s="2">
        <f>IF(LeadsData[[#This Row],[Stage Number]]&gt;=3,1,0)</f>
        <v>0</v>
      </c>
      <c r="O4655" s="2">
        <f>IF(LeadsData[[#This Row],[Stage Number]]&gt;=4,1,0)</f>
        <v>0</v>
      </c>
    </row>
    <row r="4656" spans="1:15" x14ac:dyDescent="0.25">
      <c r="A4656" t="s">
        <v>4696</v>
      </c>
      <c r="B4656" s="1">
        <v>45599</v>
      </c>
      <c r="C4656" t="s">
        <v>36</v>
      </c>
      <c r="D4656" t="s">
        <v>37</v>
      </c>
      <c r="E4656" t="s">
        <v>21</v>
      </c>
      <c r="F4656" t="s">
        <v>22</v>
      </c>
      <c r="G4656" t="s">
        <v>42</v>
      </c>
      <c r="H4656">
        <v>31</v>
      </c>
      <c r="I4656" t="s">
        <v>43</v>
      </c>
      <c r="J4656">
        <v>953.18</v>
      </c>
      <c r="K4656" cm="1">
        <f t="array" ref="K4656">_xlfn.SWITCH(LeadsData[[#This Row],[Funnel Stage Reached]],"Lead",1,"MQL",2,"SQL",3,"Customer",4)</f>
        <v>4</v>
      </c>
      <c r="L4656" t="str">
        <f>TEXT(LeadsData[[#This Row],[Signup Date]],"mmm-yyyy")</f>
        <v>Nov-2024</v>
      </c>
      <c r="M4656">
        <f>IF(LeadsData[[#This Row],[Stage Number]]&gt;=2,1,0)</f>
        <v>1</v>
      </c>
      <c r="N4656" s="2">
        <f>IF(LeadsData[[#This Row],[Stage Number]]&gt;=3,1,0)</f>
        <v>1</v>
      </c>
      <c r="O4656" s="2">
        <f>IF(LeadsData[[#This Row],[Stage Number]]&gt;=4,1,0)</f>
        <v>1</v>
      </c>
    </row>
    <row r="4657" spans="1:15" x14ac:dyDescent="0.25">
      <c r="A4657" t="s">
        <v>4697</v>
      </c>
      <c r="B4657" s="1">
        <v>45537</v>
      </c>
      <c r="C4657" t="s">
        <v>31</v>
      </c>
      <c r="D4657" t="s">
        <v>32</v>
      </c>
      <c r="E4657" t="s">
        <v>21</v>
      </c>
      <c r="F4657" t="s">
        <v>19</v>
      </c>
      <c r="G4657" t="s">
        <v>23</v>
      </c>
      <c r="K4657" cm="1">
        <f t="array" ref="K4657">_xlfn.SWITCH(LeadsData[[#This Row],[Funnel Stage Reached]],"Lead",1,"MQL",2,"SQL",3,"Customer",4)</f>
        <v>2</v>
      </c>
      <c r="L4657" t="str">
        <f>TEXT(LeadsData[[#This Row],[Signup Date]],"mmm-yyyy")</f>
        <v>Sep-2024</v>
      </c>
      <c r="M4657">
        <f>IF(LeadsData[[#This Row],[Stage Number]]&gt;=2,1,0)</f>
        <v>1</v>
      </c>
      <c r="N4657" s="2">
        <f>IF(LeadsData[[#This Row],[Stage Number]]&gt;=3,1,0)</f>
        <v>0</v>
      </c>
      <c r="O4657" s="2">
        <f>IF(LeadsData[[#This Row],[Stage Number]]&gt;=4,1,0)</f>
        <v>0</v>
      </c>
    </row>
    <row r="4658" spans="1:15" x14ac:dyDescent="0.25">
      <c r="A4658" t="s">
        <v>4698</v>
      </c>
      <c r="B4658" s="1">
        <v>45569</v>
      </c>
      <c r="C4658" t="s">
        <v>17</v>
      </c>
      <c r="D4658" t="s">
        <v>18</v>
      </c>
      <c r="E4658" t="s">
        <v>13</v>
      </c>
      <c r="F4658" t="s">
        <v>22</v>
      </c>
      <c r="G4658" t="s">
        <v>15</v>
      </c>
      <c r="K4658" cm="1">
        <f t="array" ref="K4658">_xlfn.SWITCH(LeadsData[[#This Row],[Funnel Stage Reached]],"Lead",1,"MQL",2,"SQL",3,"Customer",4)</f>
        <v>1</v>
      </c>
      <c r="L4658" t="str">
        <f>TEXT(LeadsData[[#This Row],[Signup Date]],"mmm-yyyy")</f>
        <v>Oct-2024</v>
      </c>
      <c r="M4658">
        <f>IF(LeadsData[[#This Row],[Stage Number]]&gt;=2,1,0)</f>
        <v>0</v>
      </c>
      <c r="N4658" s="2">
        <f>IF(LeadsData[[#This Row],[Stage Number]]&gt;=3,1,0)</f>
        <v>0</v>
      </c>
      <c r="O4658" s="2">
        <f>IF(LeadsData[[#This Row],[Stage Number]]&gt;=4,1,0)</f>
        <v>0</v>
      </c>
    </row>
    <row r="4659" spans="1:15" x14ac:dyDescent="0.25">
      <c r="A4659" t="s">
        <v>4699</v>
      </c>
      <c r="B4659" s="1">
        <v>45311</v>
      </c>
      <c r="C4659" t="s">
        <v>36</v>
      </c>
      <c r="D4659" t="s">
        <v>37</v>
      </c>
      <c r="E4659" t="s">
        <v>21</v>
      </c>
      <c r="F4659" t="s">
        <v>19</v>
      </c>
      <c r="G4659" t="s">
        <v>23</v>
      </c>
      <c r="K4659" cm="1">
        <f t="array" ref="K4659">_xlfn.SWITCH(LeadsData[[#This Row],[Funnel Stage Reached]],"Lead",1,"MQL",2,"SQL",3,"Customer",4)</f>
        <v>2</v>
      </c>
      <c r="L4659" t="str">
        <f>TEXT(LeadsData[[#This Row],[Signup Date]],"mmm-yyyy")</f>
        <v>Jan-2024</v>
      </c>
      <c r="M4659">
        <f>IF(LeadsData[[#This Row],[Stage Number]]&gt;=2,1,0)</f>
        <v>1</v>
      </c>
      <c r="N4659" s="2">
        <f>IF(LeadsData[[#This Row],[Stage Number]]&gt;=3,1,0)</f>
        <v>0</v>
      </c>
      <c r="O4659" s="2">
        <f>IF(LeadsData[[#This Row],[Stage Number]]&gt;=4,1,0)</f>
        <v>0</v>
      </c>
    </row>
    <row r="4660" spans="1:15" x14ac:dyDescent="0.25">
      <c r="A4660" t="s">
        <v>4700</v>
      </c>
      <c r="B4660" s="1">
        <v>45315</v>
      </c>
      <c r="C4660" t="s">
        <v>46</v>
      </c>
      <c r="D4660" t="s">
        <v>56</v>
      </c>
      <c r="E4660" t="s">
        <v>48</v>
      </c>
      <c r="F4660" t="s">
        <v>14</v>
      </c>
      <c r="G4660" t="s">
        <v>29</v>
      </c>
      <c r="K4660" cm="1">
        <f t="array" ref="K4660">_xlfn.SWITCH(LeadsData[[#This Row],[Funnel Stage Reached]],"Lead",1,"MQL",2,"SQL",3,"Customer",4)</f>
        <v>3</v>
      </c>
      <c r="L4660" t="str">
        <f>TEXT(LeadsData[[#This Row],[Signup Date]],"mmm-yyyy")</f>
        <v>Jan-2024</v>
      </c>
      <c r="M4660">
        <f>IF(LeadsData[[#This Row],[Stage Number]]&gt;=2,1,0)</f>
        <v>1</v>
      </c>
      <c r="N4660" s="2">
        <f>IF(LeadsData[[#This Row],[Stage Number]]&gt;=3,1,0)</f>
        <v>1</v>
      </c>
      <c r="O4660" s="2">
        <f>IF(LeadsData[[#This Row],[Stage Number]]&gt;=4,1,0)</f>
        <v>0</v>
      </c>
    </row>
    <row r="4661" spans="1:15" x14ac:dyDescent="0.25">
      <c r="A4661" t="s">
        <v>4701</v>
      </c>
      <c r="B4661" s="1">
        <v>45378</v>
      </c>
      <c r="C4661" t="s">
        <v>46</v>
      </c>
      <c r="D4661" t="s">
        <v>56</v>
      </c>
      <c r="E4661" t="s">
        <v>13</v>
      </c>
      <c r="F4661" t="s">
        <v>22</v>
      </c>
      <c r="G4661" t="s">
        <v>15</v>
      </c>
      <c r="K4661" cm="1">
        <f t="array" ref="K4661">_xlfn.SWITCH(LeadsData[[#This Row],[Funnel Stage Reached]],"Lead",1,"MQL",2,"SQL",3,"Customer",4)</f>
        <v>1</v>
      </c>
      <c r="L4661" t="str">
        <f>TEXT(LeadsData[[#This Row],[Signup Date]],"mmm-yyyy")</f>
        <v>Mar-2024</v>
      </c>
      <c r="M4661">
        <f>IF(LeadsData[[#This Row],[Stage Number]]&gt;=2,1,0)</f>
        <v>0</v>
      </c>
      <c r="N4661" s="2">
        <f>IF(LeadsData[[#This Row],[Stage Number]]&gt;=3,1,0)</f>
        <v>0</v>
      </c>
      <c r="O4661" s="2">
        <f>IF(LeadsData[[#This Row],[Stage Number]]&gt;=4,1,0)</f>
        <v>0</v>
      </c>
    </row>
    <row r="4662" spans="1:15" x14ac:dyDescent="0.25">
      <c r="A4662" t="s">
        <v>4702</v>
      </c>
      <c r="B4662" s="1">
        <v>45426</v>
      </c>
      <c r="C4662" t="s">
        <v>31</v>
      </c>
      <c r="D4662" t="s">
        <v>32</v>
      </c>
      <c r="E4662" t="s">
        <v>48</v>
      </c>
      <c r="F4662" t="s">
        <v>22</v>
      </c>
      <c r="G4662" t="s">
        <v>29</v>
      </c>
      <c r="K4662" cm="1">
        <f t="array" ref="K4662">_xlfn.SWITCH(LeadsData[[#This Row],[Funnel Stage Reached]],"Lead",1,"MQL",2,"SQL",3,"Customer",4)</f>
        <v>3</v>
      </c>
      <c r="L4662" t="str">
        <f>TEXT(LeadsData[[#This Row],[Signup Date]],"mmm-yyyy")</f>
        <v>May-2024</v>
      </c>
      <c r="M4662">
        <f>IF(LeadsData[[#This Row],[Stage Number]]&gt;=2,1,0)</f>
        <v>1</v>
      </c>
      <c r="N4662" s="2">
        <f>IF(LeadsData[[#This Row],[Stage Number]]&gt;=3,1,0)</f>
        <v>1</v>
      </c>
      <c r="O4662" s="2">
        <f>IF(LeadsData[[#This Row],[Stage Number]]&gt;=4,1,0)</f>
        <v>0</v>
      </c>
    </row>
    <row r="4663" spans="1:15" x14ac:dyDescent="0.25">
      <c r="A4663" t="s">
        <v>4703</v>
      </c>
      <c r="B4663" s="1">
        <v>45420</v>
      </c>
      <c r="C4663" t="s">
        <v>25</v>
      </c>
      <c r="D4663" t="s">
        <v>26</v>
      </c>
      <c r="E4663" t="s">
        <v>13</v>
      </c>
      <c r="F4663" t="s">
        <v>14</v>
      </c>
      <c r="G4663" t="s">
        <v>23</v>
      </c>
      <c r="K4663" cm="1">
        <f t="array" ref="K4663">_xlfn.SWITCH(LeadsData[[#This Row],[Funnel Stage Reached]],"Lead",1,"MQL",2,"SQL",3,"Customer",4)</f>
        <v>2</v>
      </c>
      <c r="L4663" t="str">
        <f>TEXT(LeadsData[[#This Row],[Signup Date]],"mmm-yyyy")</f>
        <v>May-2024</v>
      </c>
      <c r="M4663">
        <f>IF(LeadsData[[#This Row],[Stage Number]]&gt;=2,1,0)</f>
        <v>1</v>
      </c>
      <c r="N4663" s="2">
        <f>IF(LeadsData[[#This Row],[Stage Number]]&gt;=3,1,0)</f>
        <v>0</v>
      </c>
      <c r="O4663" s="2">
        <f>IF(LeadsData[[#This Row],[Stage Number]]&gt;=4,1,0)</f>
        <v>0</v>
      </c>
    </row>
    <row r="4664" spans="1:15" x14ac:dyDescent="0.25">
      <c r="A4664" t="s">
        <v>4704</v>
      </c>
      <c r="B4664" s="1">
        <v>45420</v>
      </c>
      <c r="C4664" t="s">
        <v>31</v>
      </c>
      <c r="D4664" t="s">
        <v>34</v>
      </c>
      <c r="E4664" t="s">
        <v>13</v>
      </c>
      <c r="F4664" t="s">
        <v>19</v>
      </c>
      <c r="G4664" t="s">
        <v>29</v>
      </c>
      <c r="K4664" cm="1">
        <f t="array" ref="K4664">_xlfn.SWITCH(LeadsData[[#This Row],[Funnel Stage Reached]],"Lead",1,"MQL",2,"SQL",3,"Customer",4)</f>
        <v>3</v>
      </c>
      <c r="L4664" t="str">
        <f>TEXT(LeadsData[[#This Row],[Signup Date]],"mmm-yyyy")</f>
        <v>May-2024</v>
      </c>
      <c r="M4664">
        <f>IF(LeadsData[[#This Row],[Stage Number]]&gt;=2,1,0)</f>
        <v>1</v>
      </c>
      <c r="N4664" s="2">
        <f>IF(LeadsData[[#This Row],[Stage Number]]&gt;=3,1,0)</f>
        <v>1</v>
      </c>
      <c r="O4664" s="2">
        <f>IF(LeadsData[[#This Row],[Stage Number]]&gt;=4,1,0)</f>
        <v>0</v>
      </c>
    </row>
    <row r="4665" spans="1:15" x14ac:dyDescent="0.25">
      <c r="A4665" t="s">
        <v>4705</v>
      </c>
      <c r="B4665" s="1">
        <v>45606</v>
      </c>
      <c r="C4665" t="s">
        <v>46</v>
      </c>
      <c r="D4665" t="s">
        <v>47</v>
      </c>
      <c r="E4665" t="s">
        <v>13</v>
      </c>
      <c r="F4665" t="s">
        <v>22</v>
      </c>
      <c r="G4665" t="s">
        <v>29</v>
      </c>
      <c r="K4665" cm="1">
        <f t="array" ref="K4665">_xlfn.SWITCH(LeadsData[[#This Row],[Funnel Stage Reached]],"Lead",1,"MQL",2,"SQL",3,"Customer",4)</f>
        <v>3</v>
      </c>
      <c r="L4665" t="str">
        <f>TEXT(LeadsData[[#This Row],[Signup Date]],"mmm-yyyy")</f>
        <v>Nov-2024</v>
      </c>
      <c r="M4665">
        <f>IF(LeadsData[[#This Row],[Stage Number]]&gt;=2,1,0)</f>
        <v>1</v>
      </c>
      <c r="N4665" s="2">
        <f>IF(LeadsData[[#This Row],[Stage Number]]&gt;=3,1,0)</f>
        <v>1</v>
      </c>
      <c r="O4665" s="2">
        <f>IF(LeadsData[[#This Row],[Stage Number]]&gt;=4,1,0)</f>
        <v>0</v>
      </c>
    </row>
    <row r="4666" spans="1:15" x14ac:dyDescent="0.25">
      <c r="A4666" t="s">
        <v>4706</v>
      </c>
      <c r="B4666" s="1">
        <v>45294</v>
      </c>
      <c r="C4666" t="s">
        <v>46</v>
      </c>
      <c r="D4666" t="s">
        <v>47</v>
      </c>
      <c r="E4666" t="s">
        <v>21</v>
      </c>
      <c r="F4666" t="s">
        <v>19</v>
      </c>
      <c r="G4666" t="s">
        <v>23</v>
      </c>
      <c r="K4666" cm="1">
        <f t="array" ref="K4666">_xlfn.SWITCH(LeadsData[[#This Row],[Funnel Stage Reached]],"Lead",1,"MQL",2,"SQL",3,"Customer",4)</f>
        <v>2</v>
      </c>
      <c r="L4666" t="str">
        <f>TEXT(LeadsData[[#This Row],[Signup Date]],"mmm-yyyy")</f>
        <v>Jan-2024</v>
      </c>
      <c r="M4666">
        <f>IF(LeadsData[[#This Row],[Stage Number]]&gt;=2,1,0)</f>
        <v>1</v>
      </c>
      <c r="N4666" s="2">
        <f>IF(LeadsData[[#This Row],[Stage Number]]&gt;=3,1,0)</f>
        <v>0</v>
      </c>
      <c r="O4666" s="2">
        <f>IF(LeadsData[[#This Row],[Stage Number]]&gt;=4,1,0)</f>
        <v>0</v>
      </c>
    </row>
    <row r="4667" spans="1:15" x14ac:dyDescent="0.25">
      <c r="A4667" t="s">
        <v>4707</v>
      </c>
      <c r="B4667" s="1">
        <v>45458</v>
      </c>
      <c r="C4667" t="s">
        <v>31</v>
      </c>
      <c r="D4667" t="s">
        <v>34</v>
      </c>
      <c r="E4667" t="s">
        <v>13</v>
      </c>
      <c r="F4667" t="s">
        <v>19</v>
      </c>
      <c r="G4667" t="s">
        <v>15</v>
      </c>
      <c r="K4667" cm="1">
        <f t="array" ref="K4667">_xlfn.SWITCH(LeadsData[[#This Row],[Funnel Stage Reached]],"Lead",1,"MQL",2,"SQL",3,"Customer",4)</f>
        <v>1</v>
      </c>
      <c r="L4667" t="str">
        <f>TEXT(LeadsData[[#This Row],[Signup Date]],"mmm-yyyy")</f>
        <v>Jun-2024</v>
      </c>
      <c r="M4667">
        <f>IF(LeadsData[[#This Row],[Stage Number]]&gt;=2,1,0)</f>
        <v>0</v>
      </c>
      <c r="N4667" s="2">
        <f>IF(LeadsData[[#This Row],[Stage Number]]&gt;=3,1,0)</f>
        <v>0</v>
      </c>
      <c r="O4667" s="2">
        <f>IF(LeadsData[[#This Row],[Stage Number]]&gt;=4,1,0)</f>
        <v>0</v>
      </c>
    </row>
    <row r="4668" spans="1:15" x14ac:dyDescent="0.25">
      <c r="A4668" t="s">
        <v>4708</v>
      </c>
      <c r="B4668" s="1">
        <v>45487</v>
      </c>
      <c r="C4668" t="s">
        <v>36</v>
      </c>
      <c r="D4668" t="s">
        <v>37</v>
      </c>
      <c r="E4668" t="s">
        <v>13</v>
      </c>
      <c r="F4668" t="s">
        <v>22</v>
      </c>
      <c r="G4668" t="s">
        <v>42</v>
      </c>
      <c r="H4668">
        <v>32</v>
      </c>
      <c r="I4668" t="s">
        <v>87</v>
      </c>
      <c r="J4668">
        <v>3387.34</v>
      </c>
      <c r="K4668" cm="1">
        <f t="array" ref="K4668">_xlfn.SWITCH(LeadsData[[#This Row],[Funnel Stage Reached]],"Lead",1,"MQL",2,"SQL",3,"Customer",4)</f>
        <v>4</v>
      </c>
      <c r="L4668" t="str">
        <f>TEXT(LeadsData[[#This Row],[Signup Date]],"mmm-yyyy")</f>
        <v>Jul-2024</v>
      </c>
      <c r="M4668">
        <f>IF(LeadsData[[#This Row],[Stage Number]]&gt;=2,1,0)</f>
        <v>1</v>
      </c>
      <c r="N4668" s="2">
        <f>IF(LeadsData[[#This Row],[Stage Number]]&gt;=3,1,0)</f>
        <v>1</v>
      </c>
      <c r="O4668" s="2">
        <f>IF(LeadsData[[#This Row],[Stage Number]]&gt;=4,1,0)</f>
        <v>1</v>
      </c>
    </row>
    <row r="4669" spans="1:15" x14ac:dyDescent="0.25">
      <c r="A4669" t="s">
        <v>4709</v>
      </c>
      <c r="B4669" s="1">
        <v>45464</v>
      </c>
      <c r="C4669" t="s">
        <v>25</v>
      </c>
      <c r="D4669" t="s">
        <v>26</v>
      </c>
      <c r="E4669" t="s">
        <v>13</v>
      </c>
      <c r="F4669" t="s">
        <v>19</v>
      </c>
      <c r="G4669" t="s">
        <v>15</v>
      </c>
      <c r="K4669" cm="1">
        <f t="array" ref="K4669">_xlfn.SWITCH(LeadsData[[#This Row],[Funnel Stage Reached]],"Lead",1,"MQL",2,"SQL",3,"Customer",4)</f>
        <v>1</v>
      </c>
      <c r="L4669" t="str">
        <f>TEXT(LeadsData[[#This Row],[Signup Date]],"mmm-yyyy")</f>
        <v>Jun-2024</v>
      </c>
      <c r="M4669">
        <f>IF(LeadsData[[#This Row],[Stage Number]]&gt;=2,1,0)</f>
        <v>0</v>
      </c>
      <c r="N4669" s="2">
        <f>IF(LeadsData[[#This Row],[Stage Number]]&gt;=3,1,0)</f>
        <v>0</v>
      </c>
      <c r="O4669" s="2">
        <f>IF(LeadsData[[#This Row],[Stage Number]]&gt;=4,1,0)</f>
        <v>0</v>
      </c>
    </row>
    <row r="4670" spans="1:15" x14ac:dyDescent="0.25">
      <c r="A4670" t="s">
        <v>4710</v>
      </c>
      <c r="B4670" s="1">
        <v>45483</v>
      </c>
      <c r="C4670" t="s">
        <v>31</v>
      </c>
      <c r="D4670" t="s">
        <v>34</v>
      </c>
      <c r="E4670" t="s">
        <v>21</v>
      </c>
      <c r="F4670" t="s">
        <v>14</v>
      </c>
      <c r="G4670" t="s">
        <v>42</v>
      </c>
      <c r="H4670">
        <v>44</v>
      </c>
      <c r="I4670" t="s">
        <v>87</v>
      </c>
      <c r="J4670">
        <v>1891.28</v>
      </c>
      <c r="K4670" cm="1">
        <f t="array" ref="K4670">_xlfn.SWITCH(LeadsData[[#This Row],[Funnel Stage Reached]],"Lead",1,"MQL",2,"SQL",3,"Customer",4)</f>
        <v>4</v>
      </c>
      <c r="L4670" t="str">
        <f>TEXT(LeadsData[[#This Row],[Signup Date]],"mmm-yyyy")</f>
        <v>Jul-2024</v>
      </c>
      <c r="M4670">
        <f>IF(LeadsData[[#This Row],[Stage Number]]&gt;=2,1,0)</f>
        <v>1</v>
      </c>
      <c r="N4670" s="2">
        <f>IF(LeadsData[[#This Row],[Stage Number]]&gt;=3,1,0)</f>
        <v>1</v>
      </c>
      <c r="O4670" s="2">
        <f>IF(LeadsData[[#This Row],[Stage Number]]&gt;=4,1,0)</f>
        <v>1</v>
      </c>
    </row>
    <row r="4671" spans="1:15" x14ac:dyDescent="0.25">
      <c r="A4671" t="s">
        <v>4711</v>
      </c>
      <c r="B4671" s="1">
        <v>45547</v>
      </c>
      <c r="C4671" t="s">
        <v>31</v>
      </c>
      <c r="D4671" t="s">
        <v>34</v>
      </c>
      <c r="E4671" t="s">
        <v>13</v>
      </c>
      <c r="F4671" t="s">
        <v>19</v>
      </c>
      <c r="G4671" t="s">
        <v>15</v>
      </c>
      <c r="K4671" cm="1">
        <f t="array" ref="K4671">_xlfn.SWITCH(LeadsData[[#This Row],[Funnel Stage Reached]],"Lead",1,"MQL",2,"SQL",3,"Customer",4)</f>
        <v>1</v>
      </c>
      <c r="L4671" t="str">
        <f>TEXT(LeadsData[[#This Row],[Signup Date]],"mmm-yyyy")</f>
        <v>Sep-2024</v>
      </c>
      <c r="M4671">
        <f>IF(LeadsData[[#This Row],[Stage Number]]&gt;=2,1,0)</f>
        <v>0</v>
      </c>
      <c r="N4671" s="2">
        <f>IF(LeadsData[[#This Row],[Stage Number]]&gt;=3,1,0)</f>
        <v>0</v>
      </c>
      <c r="O4671" s="2">
        <f>IF(LeadsData[[#This Row],[Stage Number]]&gt;=4,1,0)</f>
        <v>0</v>
      </c>
    </row>
    <row r="4672" spans="1:15" x14ac:dyDescent="0.25">
      <c r="A4672" t="s">
        <v>4712</v>
      </c>
      <c r="B4672" s="1">
        <v>45299</v>
      </c>
      <c r="C4672" t="s">
        <v>46</v>
      </c>
      <c r="D4672" t="s">
        <v>47</v>
      </c>
      <c r="E4672" t="s">
        <v>21</v>
      </c>
      <c r="F4672" t="s">
        <v>19</v>
      </c>
      <c r="G4672" t="s">
        <v>23</v>
      </c>
      <c r="K4672" cm="1">
        <f t="array" ref="K4672">_xlfn.SWITCH(LeadsData[[#This Row],[Funnel Stage Reached]],"Lead",1,"MQL",2,"SQL",3,"Customer",4)</f>
        <v>2</v>
      </c>
      <c r="L4672" t="str">
        <f>TEXT(LeadsData[[#This Row],[Signup Date]],"mmm-yyyy")</f>
        <v>Jan-2024</v>
      </c>
      <c r="M4672">
        <f>IF(LeadsData[[#This Row],[Stage Number]]&gt;=2,1,0)</f>
        <v>1</v>
      </c>
      <c r="N4672" s="2">
        <f>IF(LeadsData[[#This Row],[Stage Number]]&gt;=3,1,0)</f>
        <v>0</v>
      </c>
      <c r="O4672" s="2">
        <f>IF(LeadsData[[#This Row],[Stage Number]]&gt;=4,1,0)</f>
        <v>0</v>
      </c>
    </row>
    <row r="4673" spans="1:15" x14ac:dyDescent="0.25">
      <c r="A4673" t="s">
        <v>4713</v>
      </c>
      <c r="B4673" s="1">
        <v>45363</v>
      </c>
      <c r="C4673" t="s">
        <v>11</v>
      </c>
      <c r="D4673" t="s">
        <v>68</v>
      </c>
      <c r="E4673" t="s">
        <v>48</v>
      </c>
      <c r="F4673" t="s">
        <v>19</v>
      </c>
      <c r="G4673" t="s">
        <v>15</v>
      </c>
      <c r="K4673" cm="1">
        <f t="array" ref="K4673">_xlfn.SWITCH(LeadsData[[#This Row],[Funnel Stage Reached]],"Lead",1,"MQL",2,"SQL",3,"Customer",4)</f>
        <v>1</v>
      </c>
      <c r="L4673" t="str">
        <f>TEXT(LeadsData[[#This Row],[Signup Date]],"mmm-yyyy")</f>
        <v>Mar-2024</v>
      </c>
      <c r="M4673">
        <f>IF(LeadsData[[#This Row],[Stage Number]]&gt;=2,1,0)</f>
        <v>0</v>
      </c>
      <c r="N4673" s="2">
        <f>IF(LeadsData[[#This Row],[Stage Number]]&gt;=3,1,0)</f>
        <v>0</v>
      </c>
      <c r="O4673" s="2">
        <f>IF(LeadsData[[#This Row],[Stage Number]]&gt;=4,1,0)</f>
        <v>0</v>
      </c>
    </row>
    <row r="4674" spans="1:15" x14ac:dyDescent="0.25">
      <c r="A4674" t="s">
        <v>4714</v>
      </c>
      <c r="B4674" s="1">
        <v>45399</v>
      </c>
      <c r="C4674" t="s">
        <v>36</v>
      </c>
      <c r="D4674" t="s">
        <v>50</v>
      </c>
      <c r="E4674" t="s">
        <v>13</v>
      </c>
      <c r="F4674" t="s">
        <v>22</v>
      </c>
      <c r="G4674" t="s">
        <v>23</v>
      </c>
      <c r="K4674" cm="1">
        <f t="array" ref="K4674">_xlfn.SWITCH(LeadsData[[#This Row],[Funnel Stage Reached]],"Lead",1,"MQL",2,"SQL",3,"Customer",4)</f>
        <v>2</v>
      </c>
      <c r="L4674" t="str">
        <f>TEXT(LeadsData[[#This Row],[Signup Date]],"mmm-yyyy")</f>
        <v>Apr-2024</v>
      </c>
      <c r="M4674">
        <f>IF(LeadsData[[#This Row],[Stage Number]]&gt;=2,1,0)</f>
        <v>1</v>
      </c>
      <c r="N4674" s="2">
        <f>IF(LeadsData[[#This Row],[Stage Number]]&gt;=3,1,0)</f>
        <v>0</v>
      </c>
      <c r="O4674" s="2">
        <f>IF(LeadsData[[#This Row],[Stage Number]]&gt;=4,1,0)</f>
        <v>0</v>
      </c>
    </row>
    <row r="4675" spans="1:15" x14ac:dyDescent="0.25">
      <c r="A4675" t="s">
        <v>4715</v>
      </c>
      <c r="B4675" s="1">
        <v>45427</v>
      </c>
      <c r="C4675" t="s">
        <v>36</v>
      </c>
      <c r="D4675" t="s">
        <v>50</v>
      </c>
      <c r="E4675" t="s">
        <v>13</v>
      </c>
      <c r="F4675" t="s">
        <v>14</v>
      </c>
      <c r="G4675" t="s">
        <v>23</v>
      </c>
      <c r="K4675" cm="1">
        <f t="array" ref="K4675">_xlfn.SWITCH(LeadsData[[#This Row],[Funnel Stage Reached]],"Lead",1,"MQL",2,"SQL",3,"Customer",4)</f>
        <v>2</v>
      </c>
      <c r="L4675" t="str">
        <f>TEXT(LeadsData[[#This Row],[Signup Date]],"mmm-yyyy")</f>
        <v>May-2024</v>
      </c>
      <c r="M4675">
        <f>IF(LeadsData[[#This Row],[Stage Number]]&gt;=2,1,0)</f>
        <v>1</v>
      </c>
      <c r="N4675" s="2">
        <f>IF(LeadsData[[#This Row],[Stage Number]]&gt;=3,1,0)</f>
        <v>0</v>
      </c>
      <c r="O4675" s="2">
        <f>IF(LeadsData[[#This Row],[Stage Number]]&gt;=4,1,0)</f>
        <v>0</v>
      </c>
    </row>
    <row r="4676" spans="1:15" x14ac:dyDescent="0.25">
      <c r="A4676" t="s">
        <v>4716</v>
      </c>
      <c r="B4676" s="1">
        <v>45453</v>
      </c>
      <c r="C4676" t="s">
        <v>31</v>
      </c>
      <c r="D4676" t="s">
        <v>34</v>
      </c>
      <c r="E4676" t="s">
        <v>13</v>
      </c>
      <c r="F4676" t="s">
        <v>19</v>
      </c>
      <c r="G4676" t="s">
        <v>23</v>
      </c>
      <c r="K4676" cm="1">
        <f t="array" ref="K4676">_xlfn.SWITCH(LeadsData[[#This Row],[Funnel Stage Reached]],"Lead",1,"MQL",2,"SQL",3,"Customer",4)</f>
        <v>2</v>
      </c>
      <c r="L4676" t="str">
        <f>TEXT(LeadsData[[#This Row],[Signup Date]],"mmm-yyyy")</f>
        <v>Jun-2024</v>
      </c>
      <c r="M4676">
        <f>IF(LeadsData[[#This Row],[Stage Number]]&gt;=2,1,0)</f>
        <v>1</v>
      </c>
      <c r="N4676" s="2">
        <f>IF(LeadsData[[#This Row],[Stage Number]]&gt;=3,1,0)</f>
        <v>0</v>
      </c>
      <c r="O4676" s="2">
        <f>IF(LeadsData[[#This Row],[Stage Number]]&gt;=4,1,0)</f>
        <v>0</v>
      </c>
    </row>
    <row r="4677" spans="1:15" x14ac:dyDescent="0.25">
      <c r="A4677" t="s">
        <v>4717</v>
      </c>
      <c r="B4677" s="1">
        <v>45528</v>
      </c>
      <c r="C4677" t="s">
        <v>31</v>
      </c>
      <c r="D4677" t="s">
        <v>32</v>
      </c>
      <c r="E4677" t="s">
        <v>21</v>
      </c>
      <c r="F4677" t="s">
        <v>22</v>
      </c>
      <c r="G4677" t="s">
        <v>42</v>
      </c>
      <c r="H4677">
        <v>50</v>
      </c>
      <c r="I4677" t="s">
        <v>43</v>
      </c>
      <c r="J4677">
        <v>1401.3</v>
      </c>
      <c r="K4677" cm="1">
        <f t="array" ref="K4677">_xlfn.SWITCH(LeadsData[[#This Row],[Funnel Stage Reached]],"Lead",1,"MQL",2,"SQL",3,"Customer",4)</f>
        <v>4</v>
      </c>
      <c r="L4677" t="str">
        <f>TEXT(LeadsData[[#This Row],[Signup Date]],"mmm-yyyy")</f>
        <v>Aug-2024</v>
      </c>
      <c r="M4677">
        <f>IF(LeadsData[[#This Row],[Stage Number]]&gt;=2,1,0)</f>
        <v>1</v>
      </c>
      <c r="N4677" s="2">
        <f>IF(LeadsData[[#This Row],[Stage Number]]&gt;=3,1,0)</f>
        <v>1</v>
      </c>
      <c r="O4677" s="2">
        <f>IF(LeadsData[[#This Row],[Stage Number]]&gt;=4,1,0)</f>
        <v>1</v>
      </c>
    </row>
    <row r="4678" spans="1:15" x14ac:dyDescent="0.25">
      <c r="A4678" t="s">
        <v>4718</v>
      </c>
      <c r="B4678" s="1">
        <v>45355</v>
      </c>
      <c r="C4678" t="s">
        <v>46</v>
      </c>
      <c r="D4678" t="s">
        <v>56</v>
      </c>
      <c r="E4678" t="s">
        <v>21</v>
      </c>
      <c r="F4678" t="s">
        <v>28</v>
      </c>
      <c r="G4678" t="s">
        <v>23</v>
      </c>
      <c r="K4678" cm="1">
        <f t="array" ref="K4678">_xlfn.SWITCH(LeadsData[[#This Row],[Funnel Stage Reached]],"Lead",1,"MQL",2,"SQL",3,"Customer",4)</f>
        <v>2</v>
      </c>
      <c r="L4678" t="str">
        <f>TEXT(LeadsData[[#This Row],[Signup Date]],"mmm-yyyy")</f>
        <v>Mar-2024</v>
      </c>
      <c r="M4678">
        <f>IF(LeadsData[[#This Row],[Stage Number]]&gt;=2,1,0)</f>
        <v>1</v>
      </c>
      <c r="N4678" s="2">
        <f>IF(LeadsData[[#This Row],[Stage Number]]&gt;=3,1,0)</f>
        <v>0</v>
      </c>
      <c r="O4678" s="2">
        <f>IF(LeadsData[[#This Row],[Stage Number]]&gt;=4,1,0)</f>
        <v>0</v>
      </c>
    </row>
    <row r="4679" spans="1:15" x14ac:dyDescent="0.25">
      <c r="A4679" t="s">
        <v>4719</v>
      </c>
      <c r="B4679" s="1">
        <v>45531</v>
      </c>
      <c r="C4679" t="s">
        <v>31</v>
      </c>
      <c r="D4679" t="s">
        <v>32</v>
      </c>
      <c r="E4679" t="s">
        <v>21</v>
      </c>
      <c r="F4679" t="s">
        <v>22</v>
      </c>
      <c r="G4679" t="s">
        <v>42</v>
      </c>
      <c r="H4679">
        <v>30</v>
      </c>
      <c r="I4679" t="s">
        <v>87</v>
      </c>
      <c r="J4679">
        <v>4481.24</v>
      </c>
      <c r="K4679" cm="1">
        <f t="array" ref="K4679">_xlfn.SWITCH(LeadsData[[#This Row],[Funnel Stage Reached]],"Lead",1,"MQL",2,"SQL",3,"Customer",4)</f>
        <v>4</v>
      </c>
      <c r="L4679" t="str">
        <f>TEXT(LeadsData[[#This Row],[Signup Date]],"mmm-yyyy")</f>
        <v>Aug-2024</v>
      </c>
      <c r="M4679">
        <f>IF(LeadsData[[#This Row],[Stage Number]]&gt;=2,1,0)</f>
        <v>1</v>
      </c>
      <c r="N4679" s="2">
        <f>IF(LeadsData[[#This Row],[Stage Number]]&gt;=3,1,0)</f>
        <v>1</v>
      </c>
      <c r="O4679" s="2">
        <f>IF(LeadsData[[#This Row],[Stage Number]]&gt;=4,1,0)</f>
        <v>1</v>
      </c>
    </row>
    <row r="4680" spans="1:15" x14ac:dyDescent="0.25">
      <c r="A4680" t="s">
        <v>4720</v>
      </c>
      <c r="B4680" s="1">
        <v>45469</v>
      </c>
      <c r="C4680" t="s">
        <v>25</v>
      </c>
      <c r="D4680" t="s">
        <v>26</v>
      </c>
      <c r="E4680" t="s">
        <v>13</v>
      </c>
      <c r="F4680" t="s">
        <v>19</v>
      </c>
      <c r="G4680" t="s">
        <v>23</v>
      </c>
      <c r="K4680" cm="1">
        <f t="array" ref="K4680">_xlfn.SWITCH(LeadsData[[#This Row],[Funnel Stage Reached]],"Lead",1,"MQL",2,"SQL",3,"Customer",4)</f>
        <v>2</v>
      </c>
      <c r="L4680" t="str">
        <f>TEXT(LeadsData[[#This Row],[Signup Date]],"mmm-yyyy")</f>
        <v>Jun-2024</v>
      </c>
      <c r="M4680">
        <f>IF(LeadsData[[#This Row],[Stage Number]]&gt;=2,1,0)</f>
        <v>1</v>
      </c>
      <c r="N4680" s="2">
        <f>IF(LeadsData[[#This Row],[Stage Number]]&gt;=3,1,0)</f>
        <v>0</v>
      </c>
      <c r="O4680" s="2">
        <f>IF(LeadsData[[#This Row],[Stage Number]]&gt;=4,1,0)</f>
        <v>0</v>
      </c>
    </row>
    <row r="4681" spans="1:15" x14ac:dyDescent="0.25">
      <c r="A4681" t="s">
        <v>4721</v>
      </c>
      <c r="B4681" s="1">
        <v>45363</v>
      </c>
      <c r="C4681" t="s">
        <v>46</v>
      </c>
      <c r="D4681" t="s">
        <v>56</v>
      </c>
      <c r="E4681" t="s">
        <v>13</v>
      </c>
      <c r="F4681" t="s">
        <v>28</v>
      </c>
      <c r="G4681" t="s">
        <v>15</v>
      </c>
      <c r="K4681" cm="1">
        <f t="array" ref="K4681">_xlfn.SWITCH(LeadsData[[#This Row],[Funnel Stage Reached]],"Lead",1,"MQL",2,"SQL",3,"Customer",4)</f>
        <v>1</v>
      </c>
      <c r="L4681" t="str">
        <f>TEXT(LeadsData[[#This Row],[Signup Date]],"mmm-yyyy")</f>
        <v>Mar-2024</v>
      </c>
      <c r="M4681">
        <f>IF(LeadsData[[#This Row],[Stage Number]]&gt;=2,1,0)</f>
        <v>0</v>
      </c>
      <c r="N4681" s="2">
        <f>IF(LeadsData[[#This Row],[Stage Number]]&gt;=3,1,0)</f>
        <v>0</v>
      </c>
      <c r="O4681" s="2">
        <f>IF(LeadsData[[#This Row],[Stage Number]]&gt;=4,1,0)</f>
        <v>0</v>
      </c>
    </row>
    <row r="4682" spans="1:15" x14ac:dyDescent="0.25">
      <c r="A4682" t="s">
        <v>4722</v>
      </c>
      <c r="B4682" s="1">
        <v>45466</v>
      </c>
      <c r="C4682" t="s">
        <v>31</v>
      </c>
      <c r="D4682" t="s">
        <v>34</v>
      </c>
      <c r="E4682" t="s">
        <v>21</v>
      </c>
      <c r="F4682" t="s">
        <v>19</v>
      </c>
      <c r="G4682" t="s">
        <v>23</v>
      </c>
      <c r="K4682" cm="1">
        <f t="array" ref="K4682">_xlfn.SWITCH(LeadsData[[#This Row],[Funnel Stage Reached]],"Lead",1,"MQL",2,"SQL",3,"Customer",4)</f>
        <v>2</v>
      </c>
      <c r="L4682" t="str">
        <f>TEXT(LeadsData[[#This Row],[Signup Date]],"mmm-yyyy")</f>
        <v>Jun-2024</v>
      </c>
      <c r="M4682">
        <f>IF(LeadsData[[#This Row],[Stage Number]]&gt;=2,1,0)</f>
        <v>1</v>
      </c>
      <c r="N4682" s="2">
        <f>IF(LeadsData[[#This Row],[Stage Number]]&gt;=3,1,0)</f>
        <v>0</v>
      </c>
      <c r="O4682" s="2">
        <f>IF(LeadsData[[#This Row],[Stage Number]]&gt;=4,1,0)</f>
        <v>0</v>
      </c>
    </row>
    <row r="4683" spans="1:15" x14ac:dyDescent="0.25">
      <c r="A4683" t="s">
        <v>4723</v>
      </c>
      <c r="B4683" s="1">
        <v>45453</v>
      </c>
      <c r="C4683" t="s">
        <v>25</v>
      </c>
      <c r="D4683" t="s">
        <v>26</v>
      </c>
      <c r="E4683" t="s">
        <v>13</v>
      </c>
      <c r="F4683" t="s">
        <v>22</v>
      </c>
      <c r="G4683" t="s">
        <v>15</v>
      </c>
      <c r="K4683" cm="1">
        <f t="array" ref="K4683">_xlfn.SWITCH(LeadsData[[#This Row],[Funnel Stage Reached]],"Lead",1,"MQL",2,"SQL",3,"Customer",4)</f>
        <v>1</v>
      </c>
      <c r="L4683" t="str">
        <f>TEXT(LeadsData[[#This Row],[Signup Date]],"mmm-yyyy")</f>
        <v>Jun-2024</v>
      </c>
      <c r="M4683">
        <f>IF(LeadsData[[#This Row],[Stage Number]]&gt;=2,1,0)</f>
        <v>0</v>
      </c>
      <c r="N4683" s="2">
        <f>IF(LeadsData[[#This Row],[Stage Number]]&gt;=3,1,0)</f>
        <v>0</v>
      </c>
      <c r="O4683" s="2">
        <f>IF(LeadsData[[#This Row],[Stage Number]]&gt;=4,1,0)</f>
        <v>0</v>
      </c>
    </row>
    <row r="4684" spans="1:15" x14ac:dyDescent="0.25">
      <c r="A4684" t="s">
        <v>4724</v>
      </c>
      <c r="B4684" s="1">
        <v>45495</v>
      </c>
      <c r="C4684" t="s">
        <v>31</v>
      </c>
      <c r="D4684" t="s">
        <v>34</v>
      </c>
      <c r="E4684" t="s">
        <v>21</v>
      </c>
      <c r="F4684" t="s">
        <v>19</v>
      </c>
      <c r="G4684" t="s">
        <v>15</v>
      </c>
      <c r="K4684" cm="1">
        <f t="array" ref="K4684">_xlfn.SWITCH(LeadsData[[#This Row],[Funnel Stage Reached]],"Lead",1,"MQL",2,"SQL",3,"Customer",4)</f>
        <v>1</v>
      </c>
      <c r="L4684" t="str">
        <f>TEXT(LeadsData[[#This Row],[Signup Date]],"mmm-yyyy")</f>
        <v>Jul-2024</v>
      </c>
      <c r="M4684">
        <f>IF(LeadsData[[#This Row],[Stage Number]]&gt;=2,1,0)</f>
        <v>0</v>
      </c>
      <c r="N4684" s="2">
        <f>IF(LeadsData[[#This Row],[Stage Number]]&gt;=3,1,0)</f>
        <v>0</v>
      </c>
      <c r="O4684" s="2">
        <f>IF(LeadsData[[#This Row],[Stage Number]]&gt;=4,1,0)</f>
        <v>0</v>
      </c>
    </row>
    <row r="4685" spans="1:15" x14ac:dyDescent="0.25">
      <c r="A4685" t="s">
        <v>4725</v>
      </c>
      <c r="B4685" s="1">
        <v>45574</v>
      </c>
      <c r="C4685" t="s">
        <v>17</v>
      </c>
      <c r="D4685" t="s">
        <v>18</v>
      </c>
      <c r="E4685" t="s">
        <v>21</v>
      </c>
      <c r="F4685" t="s">
        <v>22</v>
      </c>
      <c r="G4685" t="s">
        <v>15</v>
      </c>
      <c r="K4685" cm="1">
        <f t="array" ref="K4685">_xlfn.SWITCH(LeadsData[[#This Row],[Funnel Stage Reached]],"Lead",1,"MQL",2,"SQL",3,"Customer",4)</f>
        <v>1</v>
      </c>
      <c r="L4685" t="str">
        <f>TEXT(LeadsData[[#This Row],[Signup Date]],"mmm-yyyy")</f>
        <v>Oct-2024</v>
      </c>
      <c r="M4685">
        <f>IF(LeadsData[[#This Row],[Stage Number]]&gt;=2,1,0)</f>
        <v>0</v>
      </c>
      <c r="N4685" s="2">
        <f>IF(LeadsData[[#This Row],[Stage Number]]&gt;=3,1,0)</f>
        <v>0</v>
      </c>
      <c r="O4685" s="2">
        <f>IF(LeadsData[[#This Row],[Stage Number]]&gt;=4,1,0)</f>
        <v>0</v>
      </c>
    </row>
    <row r="4686" spans="1:15" x14ac:dyDescent="0.25">
      <c r="A4686" t="s">
        <v>4726</v>
      </c>
      <c r="B4686" s="1">
        <v>45342</v>
      </c>
      <c r="C4686" t="s">
        <v>31</v>
      </c>
      <c r="D4686" t="s">
        <v>32</v>
      </c>
      <c r="E4686" t="s">
        <v>21</v>
      </c>
      <c r="F4686" t="s">
        <v>22</v>
      </c>
      <c r="G4686" t="s">
        <v>15</v>
      </c>
      <c r="K4686" cm="1">
        <f t="array" ref="K4686">_xlfn.SWITCH(LeadsData[[#This Row],[Funnel Stage Reached]],"Lead",1,"MQL",2,"SQL",3,"Customer",4)</f>
        <v>1</v>
      </c>
      <c r="L4686" t="str">
        <f>TEXT(LeadsData[[#This Row],[Signup Date]],"mmm-yyyy")</f>
        <v>Feb-2024</v>
      </c>
      <c r="M4686">
        <f>IF(LeadsData[[#This Row],[Stage Number]]&gt;=2,1,0)</f>
        <v>0</v>
      </c>
      <c r="N4686" s="2">
        <f>IF(LeadsData[[#This Row],[Stage Number]]&gt;=3,1,0)</f>
        <v>0</v>
      </c>
      <c r="O4686" s="2">
        <f>IF(LeadsData[[#This Row],[Stage Number]]&gt;=4,1,0)</f>
        <v>0</v>
      </c>
    </row>
    <row r="4687" spans="1:15" x14ac:dyDescent="0.25">
      <c r="A4687" t="s">
        <v>4727</v>
      </c>
      <c r="B4687" s="1">
        <v>45549</v>
      </c>
      <c r="C4687" t="s">
        <v>31</v>
      </c>
      <c r="D4687" t="s">
        <v>32</v>
      </c>
      <c r="E4687" t="s">
        <v>21</v>
      </c>
      <c r="F4687" t="s">
        <v>14</v>
      </c>
      <c r="G4687" t="s">
        <v>15</v>
      </c>
      <c r="K4687" cm="1">
        <f t="array" ref="K4687">_xlfn.SWITCH(LeadsData[[#This Row],[Funnel Stage Reached]],"Lead",1,"MQL",2,"SQL",3,"Customer",4)</f>
        <v>1</v>
      </c>
      <c r="L4687" t="str">
        <f>TEXT(LeadsData[[#This Row],[Signup Date]],"mmm-yyyy")</f>
        <v>Sep-2024</v>
      </c>
      <c r="M4687">
        <f>IF(LeadsData[[#This Row],[Stage Number]]&gt;=2,1,0)</f>
        <v>0</v>
      </c>
      <c r="N4687" s="2">
        <f>IF(LeadsData[[#This Row],[Stage Number]]&gt;=3,1,0)</f>
        <v>0</v>
      </c>
      <c r="O4687" s="2">
        <f>IF(LeadsData[[#This Row],[Stage Number]]&gt;=4,1,0)</f>
        <v>0</v>
      </c>
    </row>
    <row r="4688" spans="1:15" x14ac:dyDescent="0.25">
      <c r="A4688" t="s">
        <v>4728</v>
      </c>
      <c r="B4688" s="1">
        <v>45364</v>
      </c>
      <c r="C4688" t="s">
        <v>25</v>
      </c>
      <c r="D4688" t="s">
        <v>26</v>
      </c>
      <c r="E4688" t="s">
        <v>13</v>
      </c>
      <c r="F4688" t="s">
        <v>19</v>
      </c>
      <c r="G4688" t="s">
        <v>15</v>
      </c>
      <c r="K4688" cm="1">
        <f t="array" ref="K4688">_xlfn.SWITCH(LeadsData[[#This Row],[Funnel Stage Reached]],"Lead",1,"MQL",2,"SQL",3,"Customer",4)</f>
        <v>1</v>
      </c>
      <c r="L4688" t="str">
        <f>TEXT(LeadsData[[#This Row],[Signup Date]],"mmm-yyyy")</f>
        <v>Mar-2024</v>
      </c>
      <c r="M4688">
        <f>IF(LeadsData[[#This Row],[Stage Number]]&gt;=2,1,0)</f>
        <v>0</v>
      </c>
      <c r="N4688" s="2">
        <f>IF(LeadsData[[#This Row],[Stage Number]]&gt;=3,1,0)</f>
        <v>0</v>
      </c>
      <c r="O4688" s="2">
        <f>IF(LeadsData[[#This Row],[Stage Number]]&gt;=4,1,0)</f>
        <v>0</v>
      </c>
    </row>
    <row r="4689" spans="1:15" x14ac:dyDescent="0.25">
      <c r="A4689" t="s">
        <v>4729</v>
      </c>
      <c r="B4689" s="1">
        <v>45462</v>
      </c>
      <c r="C4689" t="s">
        <v>31</v>
      </c>
      <c r="D4689" t="s">
        <v>32</v>
      </c>
      <c r="E4689" t="s">
        <v>21</v>
      </c>
      <c r="F4689" t="s">
        <v>14</v>
      </c>
      <c r="G4689" t="s">
        <v>15</v>
      </c>
      <c r="K4689" cm="1">
        <f t="array" ref="K4689">_xlfn.SWITCH(LeadsData[[#This Row],[Funnel Stage Reached]],"Lead",1,"MQL",2,"SQL",3,"Customer",4)</f>
        <v>1</v>
      </c>
      <c r="L4689" t="str">
        <f>TEXT(LeadsData[[#This Row],[Signup Date]],"mmm-yyyy")</f>
        <v>Jun-2024</v>
      </c>
      <c r="M4689">
        <f>IF(LeadsData[[#This Row],[Stage Number]]&gt;=2,1,0)</f>
        <v>0</v>
      </c>
      <c r="N4689" s="2">
        <f>IF(LeadsData[[#This Row],[Stage Number]]&gt;=3,1,0)</f>
        <v>0</v>
      </c>
      <c r="O4689" s="2">
        <f>IF(LeadsData[[#This Row],[Stage Number]]&gt;=4,1,0)</f>
        <v>0</v>
      </c>
    </row>
    <row r="4690" spans="1:15" x14ac:dyDescent="0.25">
      <c r="A4690" t="s">
        <v>4730</v>
      </c>
      <c r="B4690" s="1">
        <v>45531</v>
      </c>
      <c r="C4690" t="s">
        <v>25</v>
      </c>
      <c r="D4690" t="s">
        <v>26</v>
      </c>
      <c r="E4690" t="s">
        <v>48</v>
      </c>
      <c r="F4690" t="s">
        <v>14</v>
      </c>
      <c r="G4690" t="s">
        <v>23</v>
      </c>
      <c r="K4690" cm="1">
        <f t="array" ref="K4690">_xlfn.SWITCH(LeadsData[[#This Row],[Funnel Stage Reached]],"Lead",1,"MQL",2,"SQL",3,"Customer",4)</f>
        <v>2</v>
      </c>
      <c r="L4690" t="str">
        <f>TEXT(LeadsData[[#This Row],[Signup Date]],"mmm-yyyy")</f>
        <v>Aug-2024</v>
      </c>
      <c r="M4690">
        <f>IF(LeadsData[[#This Row],[Stage Number]]&gt;=2,1,0)</f>
        <v>1</v>
      </c>
      <c r="N4690" s="2">
        <f>IF(LeadsData[[#This Row],[Stage Number]]&gt;=3,1,0)</f>
        <v>0</v>
      </c>
      <c r="O4690" s="2">
        <f>IF(LeadsData[[#This Row],[Stage Number]]&gt;=4,1,0)</f>
        <v>0</v>
      </c>
    </row>
    <row r="4691" spans="1:15" x14ac:dyDescent="0.25">
      <c r="A4691" t="s">
        <v>4731</v>
      </c>
      <c r="B4691" s="1">
        <v>45333</v>
      </c>
      <c r="C4691" t="s">
        <v>25</v>
      </c>
      <c r="D4691" t="s">
        <v>26</v>
      </c>
      <c r="E4691" t="s">
        <v>21</v>
      </c>
      <c r="F4691" t="s">
        <v>14</v>
      </c>
      <c r="G4691" t="s">
        <v>15</v>
      </c>
      <c r="K4691" cm="1">
        <f t="array" ref="K4691">_xlfn.SWITCH(LeadsData[[#This Row],[Funnel Stage Reached]],"Lead",1,"MQL",2,"SQL",3,"Customer",4)</f>
        <v>1</v>
      </c>
      <c r="L4691" t="str">
        <f>TEXT(LeadsData[[#This Row],[Signup Date]],"mmm-yyyy")</f>
        <v>Feb-2024</v>
      </c>
      <c r="M4691">
        <f>IF(LeadsData[[#This Row],[Stage Number]]&gt;=2,1,0)</f>
        <v>0</v>
      </c>
      <c r="N4691" s="2">
        <f>IF(LeadsData[[#This Row],[Stage Number]]&gt;=3,1,0)</f>
        <v>0</v>
      </c>
      <c r="O4691" s="2">
        <f>IF(LeadsData[[#This Row],[Stage Number]]&gt;=4,1,0)</f>
        <v>0</v>
      </c>
    </row>
    <row r="4692" spans="1:15" x14ac:dyDescent="0.25">
      <c r="A4692" t="s">
        <v>4732</v>
      </c>
      <c r="B4692" s="1">
        <v>45610</v>
      </c>
      <c r="C4692" t="s">
        <v>11</v>
      </c>
      <c r="D4692" t="s">
        <v>12</v>
      </c>
      <c r="E4692" t="s">
        <v>21</v>
      </c>
      <c r="F4692" t="s">
        <v>22</v>
      </c>
      <c r="G4692" t="s">
        <v>15</v>
      </c>
      <c r="K4692" cm="1">
        <f t="array" ref="K4692">_xlfn.SWITCH(LeadsData[[#This Row],[Funnel Stage Reached]],"Lead",1,"MQL",2,"SQL",3,"Customer",4)</f>
        <v>1</v>
      </c>
      <c r="L4692" t="str">
        <f>TEXT(LeadsData[[#This Row],[Signup Date]],"mmm-yyyy")</f>
        <v>Nov-2024</v>
      </c>
      <c r="M4692">
        <f>IF(LeadsData[[#This Row],[Stage Number]]&gt;=2,1,0)</f>
        <v>0</v>
      </c>
      <c r="N4692" s="2">
        <f>IF(LeadsData[[#This Row],[Stage Number]]&gt;=3,1,0)</f>
        <v>0</v>
      </c>
      <c r="O4692" s="2">
        <f>IF(LeadsData[[#This Row],[Stage Number]]&gt;=4,1,0)</f>
        <v>0</v>
      </c>
    </row>
    <row r="4693" spans="1:15" x14ac:dyDescent="0.25">
      <c r="A4693" t="s">
        <v>4733</v>
      </c>
      <c r="B4693" s="1">
        <v>45549</v>
      </c>
      <c r="C4693" t="s">
        <v>46</v>
      </c>
      <c r="D4693" t="s">
        <v>56</v>
      </c>
      <c r="E4693" t="s">
        <v>13</v>
      </c>
      <c r="F4693" t="s">
        <v>19</v>
      </c>
      <c r="G4693" t="s">
        <v>29</v>
      </c>
      <c r="K4693" cm="1">
        <f t="array" ref="K4693">_xlfn.SWITCH(LeadsData[[#This Row],[Funnel Stage Reached]],"Lead",1,"MQL",2,"SQL",3,"Customer",4)</f>
        <v>3</v>
      </c>
      <c r="L4693" t="str">
        <f>TEXT(LeadsData[[#This Row],[Signup Date]],"mmm-yyyy")</f>
        <v>Sep-2024</v>
      </c>
      <c r="M4693">
        <f>IF(LeadsData[[#This Row],[Stage Number]]&gt;=2,1,0)</f>
        <v>1</v>
      </c>
      <c r="N4693" s="2">
        <f>IF(LeadsData[[#This Row],[Stage Number]]&gt;=3,1,0)</f>
        <v>1</v>
      </c>
      <c r="O4693" s="2">
        <f>IF(LeadsData[[#This Row],[Stage Number]]&gt;=4,1,0)</f>
        <v>0</v>
      </c>
    </row>
    <row r="4694" spans="1:15" x14ac:dyDescent="0.25">
      <c r="A4694" t="s">
        <v>4734</v>
      </c>
      <c r="B4694" s="1">
        <v>45650</v>
      </c>
      <c r="C4694" t="s">
        <v>17</v>
      </c>
      <c r="D4694" t="s">
        <v>18</v>
      </c>
      <c r="E4694" t="s">
        <v>21</v>
      </c>
      <c r="F4694" t="s">
        <v>22</v>
      </c>
      <c r="G4694" t="s">
        <v>15</v>
      </c>
      <c r="K4694" cm="1">
        <f t="array" ref="K4694">_xlfn.SWITCH(LeadsData[[#This Row],[Funnel Stage Reached]],"Lead",1,"MQL",2,"SQL",3,"Customer",4)</f>
        <v>1</v>
      </c>
      <c r="L4694" t="str">
        <f>TEXT(LeadsData[[#This Row],[Signup Date]],"mmm-yyyy")</f>
        <v>Dec-2024</v>
      </c>
      <c r="M4694">
        <f>IF(LeadsData[[#This Row],[Stage Number]]&gt;=2,1,0)</f>
        <v>0</v>
      </c>
      <c r="N4694" s="2">
        <f>IF(LeadsData[[#This Row],[Stage Number]]&gt;=3,1,0)</f>
        <v>0</v>
      </c>
      <c r="O4694" s="2">
        <f>IF(LeadsData[[#This Row],[Stage Number]]&gt;=4,1,0)</f>
        <v>0</v>
      </c>
    </row>
    <row r="4695" spans="1:15" x14ac:dyDescent="0.25">
      <c r="A4695" t="s">
        <v>4735</v>
      </c>
      <c r="B4695" s="1">
        <v>45624</v>
      </c>
      <c r="C4695" t="s">
        <v>17</v>
      </c>
      <c r="D4695" t="s">
        <v>53</v>
      </c>
      <c r="E4695" t="s">
        <v>48</v>
      </c>
      <c r="F4695" t="s">
        <v>19</v>
      </c>
      <c r="G4695" t="s">
        <v>15</v>
      </c>
      <c r="K4695" cm="1">
        <f t="array" ref="K4695">_xlfn.SWITCH(LeadsData[[#This Row],[Funnel Stage Reached]],"Lead",1,"MQL",2,"SQL",3,"Customer",4)</f>
        <v>1</v>
      </c>
      <c r="L4695" t="str">
        <f>TEXT(LeadsData[[#This Row],[Signup Date]],"mmm-yyyy")</f>
        <v>Nov-2024</v>
      </c>
      <c r="M4695">
        <f>IF(LeadsData[[#This Row],[Stage Number]]&gt;=2,1,0)</f>
        <v>0</v>
      </c>
      <c r="N4695" s="2">
        <f>IF(LeadsData[[#This Row],[Stage Number]]&gt;=3,1,0)</f>
        <v>0</v>
      </c>
      <c r="O4695" s="2">
        <f>IF(LeadsData[[#This Row],[Stage Number]]&gt;=4,1,0)</f>
        <v>0</v>
      </c>
    </row>
    <row r="4696" spans="1:15" x14ac:dyDescent="0.25">
      <c r="A4696" t="s">
        <v>4736</v>
      </c>
      <c r="B4696" s="1">
        <v>45464</v>
      </c>
      <c r="C4696" t="s">
        <v>11</v>
      </c>
      <c r="D4696" t="s">
        <v>79</v>
      </c>
      <c r="E4696" t="s">
        <v>21</v>
      </c>
      <c r="F4696" t="s">
        <v>14</v>
      </c>
      <c r="G4696" t="s">
        <v>23</v>
      </c>
      <c r="K4696" cm="1">
        <f t="array" ref="K4696">_xlfn.SWITCH(LeadsData[[#This Row],[Funnel Stage Reached]],"Lead",1,"MQL",2,"SQL",3,"Customer",4)</f>
        <v>2</v>
      </c>
      <c r="L4696" t="str">
        <f>TEXT(LeadsData[[#This Row],[Signup Date]],"mmm-yyyy")</f>
        <v>Jun-2024</v>
      </c>
      <c r="M4696">
        <f>IF(LeadsData[[#This Row],[Stage Number]]&gt;=2,1,0)</f>
        <v>1</v>
      </c>
      <c r="N4696" s="2">
        <f>IF(LeadsData[[#This Row],[Stage Number]]&gt;=3,1,0)</f>
        <v>0</v>
      </c>
      <c r="O4696" s="2">
        <f>IF(LeadsData[[#This Row],[Stage Number]]&gt;=4,1,0)</f>
        <v>0</v>
      </c>
    </row>
    <row r="4697" spans="1:15" x14ac:dyDescent="0.25">
      <c r="A4697" t="s">
        <v>4737</v>
      </c>
      <c r="B4697" s="1">
        <v>45400</v>
      </c>
      <c r="C4697" t="s">
        <v>17</v>
      </c>
      <c r="D4697" t="s">
        <v>18</v>
      </c>
      <c r="E4697" t="s">
        <v>13</v>
      </c>
      <c r="F4697" t="s">
        <v>22</v>
      </c>
      <c r="G4697" t="s">
        <v>15</v>
      </c>
      <c r="K4697" cm="1">
        <f t="array" ref="K4697">_xlfn.SWITCH(LeadsData[[#This Row],[Funnel Stage Reached]],"Lead",1,"MQL",2,"SQL",3,"Customer",4)</f>
        <v>1</v>
      </c>
      <c r="L4697" t="str">
        <f>TEXT(LeadsData[[#This Row],[Signup Date]],"mmm-yyyy")</f>
        <v>Apr-2024</v>
      </c>
      <c r="M4697">
        <f>IF(LeadsData[[#This Row],[Stage Number]]&gt;=2,1,0)</f>
        <v>0</v>
      </c>
      <c r="N4697" s="2">
        <f>IF(LeadsData[[#This Row],[Stage Number]]&gt;=3,1,0)</f>
        <v>0</v>
      </c>
      <c r="O4697" s="2">
        <f>IF(LeadsData[[#This Row],[Stage Number]]&gt;=4,1,0)</f>
        <v>0</v>
      </c>
    </row>
    <row r="4698" spans="1:15" x14ac:dyDescent="0.25">
      <c r="A4698" t="s">
        <v>4738</v>
      </c>
      <c r="B4698" s="1">
        <v>45600</v>
      </c>
      <c r="C4698" t="s">
        <v>31</v>
      </c>
      <c r="D4698" t="s">
        <v>32</v>
      </c>
      <c r="E4698" t="s">
        <v>21</v>
      </c>
      <c r="F4698" t="s">
        <v>19</v>
      </c>
      <c r="G4698" t="s">
        <v>23</v>
      </c>
      <c r="K4698" cm="1">
        <f t="array" ref="K4698">_xlfn.SWITCH(LeadsData[[#This Row],[Funnel Stage Reached]],"Lead",1,"MQL",2,"SQL",3,"Customer",4)</f>
        <v>2</v>
      </c>
      <c r="L4698" t="str">
        <f>TEXT(LeadsData[[#This Row],[Signup Date]],"mmm-yyyy")</f>
        <v>Nov-2024</v>
      </c>
      <c r="M4698">
        <f>IF(LeadsData[[#This Row],[Stage Number]]&gt;=2,1,0)</f>
        <v>1</v>
      </c>
      <c r="N4698" s="2">
        <f>IF(LeadsData[[#This Row],[Stage Number]]&gt;=3,1,0)</f>
        <v>0</v>
      </c>
      <c r="O4698" s="2">
        <f>IF(LeadsData[[#This Row],[Stage Number]]&gt;=4,1,0)</f>
        <v>0</v>
      </c>
    </row>
    <row r="4699" spans="1:15" x14ac:dyDescent="0.25">
      <c r="A4699" t="s">
        <v>4739</v>
      </c>
      <c r="B4699" s="1">
        <v>45340</v>
      </c>
      <c r="C4699" t="s">
        <v>36</v>
      </c>
      <c r="D4699" t="s">
        <v>50</v>
      </c>
      <c r="E4699" t="s">
        <v>13</v>
      </c>
      <c r="F4699" t="s">
        <v>19</v>
      </c>
      <c r="G4699" t="s">
        <v>42</v>
      </c>
      <c r="H4699">
        <v>7</v>
      </c>
      <c r="I4699" t="s">
        <v>87</v>
      </c>
      <c r="J4699">
        <v>3270.85</v>
      </c>
      <c r="K4699" cm="1">
        <f t="array" ref="K4699">_xlfn.SWITCH(LeadsData[[#This Row],[Funnel Stage Reached]],"Lead",1,"MQL",2,"SQL",3,"Customer",4)</f>
        <v>4</v>
      </c>
      <c r="L4699" t="str">
        <f>TEXT(LeadsData[[#This Row],[Signup Date]],"mmm-yyyy")</f>
        <v>Feb-2024</v>
      </c>
      <c r="M4699">
        <f>IF(LeadsData[[#This Row],[Stage Number]]&gt;=2,1,0)</f>
        <v>1</v>
      </c>
      <c r="N4699" s="2">
        <f>IF(LeadsData[[#This Row],[Stage Number]]&gt;=3,1,0)</f>
        <v>1</v>
      </c>
      <c r="O4699" s="2">
        <f>IF(LeadsData[[#This Row],[Stage Number]]&gt;=4,1,0)</f>
        <v>1</v>
      </c>
    </row>
    <row r="4700" spans="1:15" x14ac:dyDescent="0.25">
      <c r="A4700" t="s">
        <v>4740</v>
      </c>
      <c r="B4700" s="1">
        <v>45373</v>
      </c>
      <c r="C4700" t="s">
        <v>36</v>
      </c>
      <c r="D4700" t="s">
        <v>50</v>
      </c>
      <c r="E4700" t="s">
        <v>48</v>
      </c>
      <c r="F4700" t="s">
        <v>28</v>
      </c>
      <c r="G4700" t="s">
        <v>15</v>
      </c>
      <c r="K4700" cm="1">
        <f t="array" ref="K4700">_xlfn.SWITCH(LeadsData[[#This Row],[Funnel Stage Reached]],"Lead",1,"MQL",2,"SQL",3,"Customer",4)</f>
        <v>1</v>
      </c>
      <c r="L4700" t="str">
        <f>TEXT(LeadsData[[#This Row],[Signup Date]],"mmm-yyyy")</f>
        <v>Mar-2024</v>
      </c>
      <c r="M4700">
        <f>IF(LeadsData[[#This Row],[Stage Number]]&gt;=2,1,0)</f>
        <v>0</v>
      </c>
      <c r="N4700" s="2">
        <f>IF(LeadsData[[#This Row],[Stage Number]]&gt;=3,1,0)</f>
        <v>0</v>
      </c>
      <c r="O4700" s="2">
        <f>IF(LeadsData[[#This Row],[Stage Number]]&gt;=4,1,0)</f>
        <v>0</v>
      </c>
    </row>
    <row r="4701" spans="1:15" x14ac:dyDescent="0.25">
      <c r="A4701" t="s">
        <v>4741</v>
      </c>
      <c r="B4701" s="1">
        <v>45513</v>
      </c>
      <c r="C4701" t="s">
        <v>11</v>
      </c>
      <c r="D4701" t="s">
        <v>12</v>
      </c>
      <c r="E4701" t="s">
        <v>21</v>
      </c>
      <c r="F4701" t="s">
        <v>19</v>
      </c>
      <c r="G4701" t="s">
        <v>15</v>
      </c>
      <c r="K4701" cm="1">
        <f t="array" ref="K4701">_xlfn.SWITCH(LeadsData[[#This Row],[Funnel Stage Reached]],"Lead",1,"MQL",2,"SQL",3,"Customer",4)</f>
        <v>1</v>
      </c>
      <c r="L4701" t="str">
        <f>TEXT(LeadsData[[#This Row],[Signup Date]],"mmm-yyyy")</f>
        <v>Aug-2024</v>
      </c>
      <c r="M4701">
        <f>IF(LeadsData[[#This Row],[Stage Number]]&gt;=2,1,0)</f>
        <v>0</v>
      </c>
      <c r="N4701" s="2">
        <f>IF(LeadsData[[#This Row],[Stage Number]]&gt;=3,1,0)</f>
        <v>0</v>
      </c>
      <c r="O4701" s="2">
        <f>IF(LeadsData[[#This Row],[Stage Number]]&gt;=4,1,0)</f>
        <v>0</v>
      </c>
    </row>
    <row r="4702" spans="1:15" x14ac:dyDescent="0.25">
      <c r="A4702" t="s">
        <v>4742</v>
      </c>
      <c r="B4702" s="1">
        <v>45603</v>
      </c>
      <c r="C4702" t="s">
        <v>25</v>
      </c>
      <c r="D4702" t="s">
        <v>26</v>
      </c>
      <c r="E4702" t="s">
        <v>13</v>
      </c>
      <c r="F4702" t="s">
        <v>22</v>
      </c>
      <c r="G4702" t="s">
        <v>15</v>
      </c>
      <c r="K4702" cm="1">
        <f t="array" ref="K4702">_xlfn.SWITCH(LeadsData[[#This Row],[Funnel Stage Reached]],"Lead",1,"MQL",2,"SQL",3,"Customer",4)</f>
        <v>1</v>
      </c>
      <c r="L4702" t="str">
        <f>TEXT(LeadsData[[#This Row],[Signup Date]],"mmm-yyyy")</f>
        <v>Nov-2024</v>
      </c>
      <c r="M4702">
        <f>IF(LeadsData[[#This Row],[Stage Number]]&gt;=2,1,0)</f>
        <v>0</v>
      </c>
      <c r="N4702" s="2">
        <f>IF(LeadsData[[#This Row],[Stage Number]]&gt;=3,1,0)</f>
        <v>0</v>
      </c>
      <c r="O4702" s="2">
        <f>IF(LeadsData[[#This Row],[Stage Number]]&gt;=4,1,0)</f>
        <v>0</v>
      </c>
    </row>
    <row r="4703" spans="1:15" x14ac:dyDescent="0.25">
      <c r="A4703" t="s">
        <v>4743</v>
      </c>
      <c r="B4703" s="1">
        <v>45338</v>
      </c>
      <c r="C4703" t="s">
        <v>36</v>
      </c>
      <c r="D4703" t="s">
        <v>37</v>
      </c>
      <c r="E4703" t="s">
        <v>21</v>
      </c>
      <c r="F4703" t="s">
        <v>19</v>
      </c>
      <c r="G4703" t="s">
        <v>23</v>
      </c>
      <c r="K4703" cm="1">
        <f t="array" ref="K4703">_xlfn.SWITCH(LeadsData[[#This Row],[Funnel Stage Reached]],"Lead",1,"MQL",2,"SQL",3,"Customer",4)</f>
        <v>2</v>
      </c>
      <c r="L4703" t="str">
        <f>TEXT(LeadsData[[#This Row],[Signup Date]],"mmm-yyyy")</f>
        <v>Feb-2024</v>
      </c>
      <c r="M4703">
        <f>IF(LeadsData[[#This Row],[Stage Number]]&gt;=2,1,0)</f>
        <v>1</v>
      </c>
      <c r="N4703" s="2">
        <f>IF(LeadsData[[#This Row],[Stage Number]]&gt;=3,1,0)</f>
        <v>0</v>
      </c>
      <c r="O4703" s="2">
        <f>IF(LeadsData[[#This Row],[Stage Number]]&gt;=4,1,0)</f>
        <v>0</v>
      </c>
    </row>
    <row r="4704" spans="1:15" x14ac:dyDescent="0.25">
      <c r="A4704" t="s">
        <v>4744</v>
      </c>
      <c r="B4704" s="1">
        <v>45360</v>
      </c>
      <c r="C4704" t="s">
        <v>46</v>
      </c>
      <c r="D4704" t="s">
        <v>56</v>
      </c>
      <c r="E4704" t="s">
        <v>13</v>
      </c>
      <c r="F4704" t="s">
        <v>22</v>
      </c>
      <c r="G4704" t="s">
        <v>15</v>
      </c>
      <c r="K4704" cm="1">
        <f t="array" ref="K4704">_xlfn.SWITCH(LeadsData[[#This Row],[Funnel Stage Reached]],"Lead",1,"MQL",2,"SQL",3,"Customer",4)</f>
        <v>1</v>
      </c>
      <c r="L4704" t="str">
        <f>TEXT(LeadsData[[#This Row],[Signup Date]],"mmm-yyyy")</f>
        <v>Mar-2024</v>
      </c>
      <c r="M4704">
        <f>IF(LeadsData[[#This Row],[Stage Number]]&gt;=2,1,0)</f>
        <v>0</v>
      </c>
      <c r="N4704" s="2">
        <f>IF(LeadsData[[#This Row],[Stage Number]]&gt;=3,1,0)</f>
        <v>0</v>
      </c>
      <c r="O4704" s="2">
        <f>IF(LeadsData[[#This Row],[Stage Number]]&gt;=4,1,0)</f>
        <v>0</v>
      </c>
    </row>
    <row r="4705" spans="1:15" x14ac:dyDescent="0.25">
      <c r="A4705" t="s">
        <v>4745</v>
      </c>
      <c r="B4705" s="1">
        <v>45590</v>
      </c>
      <c r="C4705" t="s">
        <v>31</v>
      </c>
      <c r="D4705" t="s">
        <v>34</v>
      </c>
      <c r="E4705" t="s">
        <v>13</v>
      </c>
      <c r="F4705" t="s">
        <v>28</v>
      </c>
      <c r="G4705" t="s">
        <v>15</v>
      </c>
      <c r="K4705" cm="1">
        <f t="array" ref="K4705">_xlfn.SWITCH(LeadsData[[#This Row],[Funnel Stage Reached]],"Lead",1,"MQL",2,"SQL",3,"Customer",4)</f>
        <v>1</v>
      </c>
      <c r="L4705" t="str">
        <f>TEXT(LeadsData[[#This Row],[Signup Date]],"mmm-yyyy")</f>
        <v>Oct-2024</v>
      </c>
      <c r="M4705">
        <f>IF(LeadsData[[#This Row],[Stage Number]]&gt;=2,1,0)</f>
        <v>0</v>
      </c>
      <c r="N4705" s="2">
        <f>IF(LeadsData[[#This Row],[Stage Number]]&gt;=3,1,0)</f>
        <v>0</v>
      </c>
      <c r="O4705" s="2">
        <f>IF(LeadsData[[#This Row],[Stage Number]]&gt;=4,1,0)</f>
        <v>0</v>
      </c>
    </row>
    <row r="4706" spans="1:15" x14ac:dyDescent="0.25">
      <c r="A4706" t="s">
        <v>4746</v>
      </c>
      <c r="B4706" s="1">
        <v>45545</v>
      </c>
      <c r="C4706" t="s">
        <v>46</v>
      </c>
      <c r="D4706" t="s">
        <v>56</v>
      </c>
      <c r="E4706" t="s">
        <v>21</v>
      </c>
      <c r="F4706" t="s">
        <v>22</v>
      </c>
      <c r="G4706" t="s">
        <v>23</v>
      </c>
      <c r="K4706" cm="1">
        <f t="array" ref="K4706">_xlfn.SWITCH(LeadsData[[#This Row],[Funnel Stage Reached]],"Lead",1,"MQL",2,"SQL",3,"Customer",4)</f>
        <v>2</v>
      </c>
      <c r="L4706" t="str">
        <f>TEXT(LeadsData[[#This Row],[Signup Date]],"mmm-yyyy")</f>
        <v>Sep-2024</v>
      </c>
      <c r="M4706">
        <f>IF(LeadsData[[#This Row],[Stage Number]]&gt;=2,1,0)</f>
        <v>1</v>
      </c>
      <c r="N4706" s="2">
        <f>IF(LeadsData[[#This Row],[Stage Number]]&gt;=3,1,0)</f>
        <v>0</v>
      </c>
      <c r="O4706" s="2">
        <f>IF(LeadsData[[#This Row],[Stage Number]]&gt;=4,1,0)</f>
        <v>0</v>
      </c>
    </row>
    <row r="4707" spans="1:15" x14ac:dyDescent="0.25">
      <c r="A4707" t="s">
        <v>4747</v>
      </c>
      <c r="B4707" s="1">
        <v>45404</v>
      </c>
      <c r="C4707" t="s">
        <v>17</v>
      </c>
      <c r="D4707" t="s">
        <v>53</v>
      </c>
      <c r="E4707" t="s">
        <v>21</v>
      </c>
      <c r="F4707" t="s">
        <v>14</v>
      </c>
      <c r="G4707" t="s">
        <v>15</v>
      </c>
      <c r="K4707" cm="1">
        <f t="array" ref="K4707">_xlfn.SWITCH(LeadsData[[#This Row],[Funnel Stage Reached]],"Lead",1,"MQL",2,"SQL",3,"Customer",4)</f>
        <v>1</v>
      </c>
      <c r="L4707" t="str">
        <f>TEXT(LeadsData[[#This Row],[Signup Date]],"mmm-yyyy")</f>
        <v>Apr-2024</v>
      </c>
      <c r="M4707">
        <f>IF(LeadsData[[#This Row],[Stage Number]]&gt;=2,1,0)</f>
        <v>0</v>
      </c>
      <c r="N4707" s="2">
        <f>IF(LeadsData[[#This Row],[Stage Number]]&gt;=3,1,0)</f>
        <v>0</v>
      </c>
      <c r="O4707" s="2">
        <f>IF(LeadsData[[#This Row],[Stage Number]]&gt;=4,1,0)</f>
        <v>0</v>
      </c>
    </row>
    <row r="4708" spans="1:15" x14ac:dyDescent="0.25">
      <c r="A4708" t="s">
        <v>4748</v>
      </c>
      <c r="B4708" s="1">
        <v>45397</v>
      </c>
      <c r="C4708" t="s">
        <v>11</v>
      </c>
      <c r="D4708" t="s">
        <v>68</v>
      </c>
      <c r="E4708" t="s">
        <v>13</v>
      </c>
      <c r="F4708" t="s">
        <v>22</v>
      </c>
      <c r="G4708" t="s">
        <v>15</v>
      </c>
      <c r="K4708" cm="1">
        <f t="array" ref="K4708">_xlfn.SWITCH(LeadsData[[#This Row],[Funnel Stage Reached]],"Lead",1,"MQL",2,"SQL",3,"Customer",4)</f>
        <v>1</v>
      </c>
      <c r="L4708" t="str">
        <f>TEXT(LeadsData[[#This Row],[Signup Date]],"mmm-yyyy")</f>
        <v>Apr-2024</v>
      </c>
      <c r="M4708">
        <f>IF(LeadsData[[#This Row],[Stage Number]]&gt;=2,1,0)</f>
        <v>0</v>
      </c>
      <c r="N4708" s="2">
        <f>IF(LeadsData[[#This Row],[Stage Number]]&gt;=3,1,0)</f>
        <v>0</v>
      </c>
      <c r="O4708" s="2">
        <f>IF(LeadsData[[#This Row],[Stage Number]]&gt;=4,1,0)</f>
        <v>0</v>
      </c>
    </row>
    <row r="4709" spans="1:15" x14ac:dyDescent="0.25">
      <c r="A4709" t="s">
        <v>4749</v>
      </c>
      <c r="B4709" s="1">
        <v>45542</v>
      </c>
      <c r="C4709" t="s">
        <v>25</v>
      </c>
      <c r="D4709" t="s">
        <v>26</v>
      </c>
      <c r="E4709" t="s">
        <v>13</v>
      </c>
      <c r="F4709" t="s">
        <v>22</v>
      </c>
      <c r="G4709" t="s">
        <v>23</v>
      </c>
      <c r="K4709" cm="1">
        <f t="array" ref="K4709">_xlfn.SWITCH(LeadsData[[#This Row],[Funnel Stage Reached]],"Lead",1,"MQL",2,"SQL",3,"Customer",4)</f>
        <v>2</v>
      </c>
      <c r="L4709" t="str">
        <f>TEXT(LeadsData[[#This Row],[Signup Date]],"mmm-yyyy")</f>
        <v>Sep-2024</v>
      </c>
      <c r="M4709">
        <f>IF(LeadsData[[#This Row],[Stage Number]]&gt;=2,1,0)</f>
        <v>1</v>
      </c>
      <c r="N4709" s="2">
        <f>IF(LeadsData[[#This Row],[Stage Number]]&gt;=3,1,0)</f>
        <v>0</v>
      </c>
      <c r="O4709" s="2">
        <f>IF(LeadsData[[#This Row],[Stage Number]]&gt;=4,1,0)</f>
        <v>0</v>
      </c>
    </row>
    <row r="4710" spans="1:15" x14ac:dyDescent="0.25">
      <c r="A4710" t="s">
        <v>4750</v>
      </c>
      <c r="B4710" s="1">
        <v>45485</v>
      </c>
      <c r="C4710" t="s">
        <v>17</v>
      </c>
      <c r="D4710" t="s">
        <v>53</v>
      </c>
      <c r="E4710" t="s">
        <v>21</v>
      </c>
      <c r="F4710" t="s">
        <v>14</v>
      </c>
      <c r="G4710" t="s">
        <v>15</v>
      </c>
      <c r="K4710" cm="1">
        <f t="array" ref="K4710">_xlfn.SWITCH(LeadsData[[#This Row],[Funnel Stage Reached]],"Lead",1,"MQL",2,"SQL",3,"Customer",4)</f>
        <v>1</v>
      </c>
      <c r="L4710" t="str">
        <f>TEXT(LeadsData[[#This Row],[Signup Date]],"mmm-yyyy")</f>
        <v>Jul-2024</v>
      </c>
      <c r="M4710">
        <f>IF(LeadsData[[#This Row],[Stage Number]]&gt;=2,1,0)</f>
        <v>0</v>
      </c>
      <c r="N4710" s="2">
        <f>IF(LeadsData[[#This Row],[Stage Number]]&gt;=3,1,0)</f>
        <v>0</v>
      </c>
      <c r="O4710" s="2">
        <f>IF(LeadsData[[#This Row],[Stage Number]]&gt;=4,1,0)</f>
        <v>0</v>
      </c>
    </row>
    <row r="4711" spans="1:15" x14ac:dyDescent="0.25">
      <c r="A4711" t="s">
        <v>4751</v>
      </c>
      <c r="B4711" s="1">
        <v>45610</v>
      </c>
      <c r="C4711" t="s">
        <v>46</v>
      </c>
      <c r="D4711" t="s">
        <v>56</v>
      </c>
      <c r="E4711" t="s">
        <v>13</v>
      </c>
      <c r="F4711" t="s">
        <v>19</v>
      </c>
      <c r="G4711" t="s">
        <v>23</v>
      </c>
      <c r="K4711" cm="1">
        <f t="array" ref="K4711">_xlfn.SWITCH(LeadsData[[#This Row],[Funnel Stage Reached]],"Lead",1,"MQL",2,"SQL",3,"Customer",4)</f>
        <v>2</v>
      </c>
      <c r="L4711" t="str">
        <f>TEXT(LeadsData[[#This Row],[Signup Date]],"mmm-yyyy")</f>
        <v>Nov-2024</v>
      </c>
      <c r="M4711">
        <f>IF(LeadsData[[#This Row],[Stage Number]]&gt;=2,1,0)</f>
        <v>1</v>
      </c>
      <c r="N4711" s="2">
        <f>IF(LeadsData[[#This Row],[Stage Number]]&gt;=3,1,0)</f>
        <v>0</v>
      </c>
      <c r="O4711" s="2">
        <f>IF(LeadsData[[#This Row],[Stage Number]]&gt;=4,1,0)</f>
        <v>0</v>
      </c>
    </row>
    <row r="4712" spans="1:15" x14ac:dyDescent="0.25">
      <c r="A4712" t="s">
        <v>4752</v>
      </c>
      <c r="B4712" s="1">
        <v>45365</v>
      </c>
      <c r="C4712" t="s">
        <v>36</v>
      </c>
      <c r="D4712" t="s">
        <v>50</v>
      </c>
      <c r="E4712" t="s">
        <v>13</v>
      </c>
      <c r="F4712" t="s">
        <v>19</v>
      </c>
      <c r="G4712" t="s">
        <v>23</v>
      </c>
      <c r="K4712" cm="1">
        <f t="array" ref="K4712">_xlfn.SWITCH(LeadsData[[#This Row],[Funnel Stage Reached]],"Lead",1,"MQL",2,"SQL",3,"Customer",4)</f>
        <v>2</v>
      </c>
      <c r="L4712" t="str">
        <f>TEXT(LeadsData[[#This Row],[Signup Date]],"mmm-yyyy")</f>
        <v>Mar-2024</v>
      </c>
      <c r="M4712">
        <f>IF(LeadsData[[#This Row],[Stage Number]]&gt;=2,1,0)</f>
        <v>1</v>
      </c>
      <c r="N4712" s="2">
        <f>IF(LeadsData[[#This Row],[Stage Number]]&gt;=3,1,0)</f>
        <v>0</v>
      </c>
      <c r="O4712" s="2">
        <f>IF(LeadsData[[#This Row],[Stage Number]]&gt;=4,1,0)</f>
        <v>0</v>
      </c>
    </row>
    <row r="4713" spans="1:15" x14ac:dyDescent="0.25">
      <c r="A4713" t="s">
        <v>4753</v>
      </c>
      <c r="B4713" s="1">
        <v>45566</v>
      </c>
      <c r="C4713" t="s">
        <v>25</v>
      </c>
      <c r="D4713" t="s">
        <v>26</v>
      </c>
      <c r="E4713" t="s">
        <v>21</v>
      </c>
      <c r="F4713" t="s">
        <v>19</v>
      </c>
      <c r="G4713" t="s">
        <v>15</v>
      </c>
      <c r="K4713" cm="1">
        <f t="array" ref="K4713">_xlfn.SWITCH(LeadsData[[#This Row],[Funnel Stage Reached]],"Lead",1,"MQL",2,"SQL",3,"Customer",4)</f>
        <v>1</v>
      </c>
      <c r="L4713" t="str">
        <f>TEXT(LeadsData[[#This Row],[Signup Date]],"mmm-yyyy")</f>
        <v>Oct-2024</v>
      </c>
      <c r="M4713">
        <f>IF(LeadsData[[#This Row],[Stage Number]]&gt;=2,1,0)</f>
        <v>0</v>
      </c>
      <c r="N4713" s="2">
        <f>IF(LeadsData[[#This Row],[Stage Number]]&gt;=3,1,0)</f>
        <v>0</v>
      </c>
      <c r="O4713" s="2">
        <f>IF(LeadsData[[#This Row],[Stage Number]]&gt;=4,1,0)</f>
        <v>0</v>
      </c>
    </row>
    <row r="4714" spans="1:15" x14ac:dyDescent="0.25">
      <c r="A4714" t="s">
        <v>4754</v>
      </c>
      <c r="B4714" s="1">
        <v>45478</v>
      </c>
      <c r="C4714" t="s">
        <v>11</v>
      </c>
      <c r="D4714" t="s">
        <v>79</v>
      </c>
      <c r="E4714" t="s">
        <v>13</v>
      </c>
      <c r="F4714" t="s">
        <v>19</v>
      </c>
      <c r="G4714" t="s">
        <v>15</v>
      </c>
      <c r="K4714" cm="1">
        <f t="array" ref="K4714">_xlfn.SWITCH(LeadsData[[#This Row],[Funnel Stage Reached]],"Lead",1,"MQL",2,"SQL",3,"Customer",4)</f>
        <v>1</v>
      </c>
      <c r="L4714" t="str">
        <f>TEXT(LeadsData[[#This Row],[Signup Date]],"mmm-yyyy")</f>
        <v>Jul-2024</v>
      </c>
      <c r="M4714">
        <f>IF(LeadsData[[#This Row],[Stage Number]]&gt;=2,1,0)</f>
        <v>0</v>
      </c>
      <c r="N4714" s="2">
        <f>IF(LeadsData[[#This Row],[Stage Number]]&gt;=3,1,0)</f>
        <v>0</v>
      </c>
      <c r="O4714" s="2">
        <f>IF(LeadsData[[#This Row],[Stage Number]]&gt;=4,1,0)</f>
        <v>0</v>
      </c>
    </row>
    <row r="4715" spans="1:15" x14ac:dyDescent="0.25">
      <c r="A4715" t="s">
        <v>4755</v>
      </c>
      <c r="B4715" s="1">
        <v>45572</v>
      </c>
      <c r="C4715" t="s">
        <v>17</v>
      </c>
      <c r="D4715" t="s">
        <v>18</v>
      </c>
      <c r="E4715" t="s">
        <v>21</v>
      </c>
      <c r="F4715" t="s">
        <v>19</v>
      </c>
      <c r="G4715" t="s">
        <v>15</v>
      </c>
      <c r="K4715" cm="1">
        <f t="array" ref="K4715">_xlfn.SWITCH(LeadsData[[#This Row],[Funnel Stage Reached]],"Lead",1,"MQL",2,"SQL",3,"Customer",4)</f>
        <v>1</v>
      </c>
      <c r="L4715" t="str">
        <f>TEXT(LeadsData[[#This Row],[Signup Date]],"mmm-yyyy")</f>
        <v>Oct-2024</v>
      </c>
      <c r="M4715">
        <f>IF(LeadsData[[#This Row],[Stage Number]]&gt;=2,1,0)</f>
        <v>0</v>
      </c>
      <c r="N4715" s="2">
        <f>IF(LeadsData[[#This Row],[Stage Number]]&gt;=3,1,0)</f>
        <v>0</v>
      </c>
      <c r="O4715" s="2">
        <f>IF(LeadsData[[#This Row],[Stage Number]]&gt;=4,1,0)</f>
        <v>0</v>
      </c>
    </row>
    <row r="4716" spans="1:15" x14ac:dyDescent="0.25">
      <c r="A4716" t="s">
        <v>4756</v>
      </c>
      <c r="B4716" s="1">
        <v>45593</v>
      </c>
      <c r="C4716" t="s">
        <v>36</v>
      </c>
      <c r="D4716" t="s">
        <v>37</v>
      </c>
      <c r="E4716" t="s">
        <v>13</v>
      </c>
      <c r="F4716" t="s">
        <v>14</v>
      </c>
      <c r="G4716" t="s">
        <v>15</v>
      </c>
      <c r="K4716" cm="1">
        <f t="array" ref="K4716">_xlfn.SWITCH(LeadsData[[#This Row],[Funnel Stage Reached]],"Lead",1,"MQL",2,"SQL",3,"Customer",4)</f>
        <v>1</v>
      </c>
      <c r="L4716" t="str">
        <f>TEXT(LeadsData[[#This Row],[Signup Date]],"mmm-yyyy")</f>
        <v>Oct-2024</v>
      </c>
      <c r="M4716">
        <f>IF(LeadsData[[#This Row],[Stage Number]]&gt;=2,1,0)</f>
        <v>0</v>
      </c>
      <c r="N4716" s="2">
        <f>IF(LeadsData[[#This Row],[Stage Number]]&gt;=3,1,0)</f>
        <v>0</v>
      </c>
      <c r="O4716" s="2">
        <f>IF(LeadsData[[#This Row],[Stage Number]]&gt;=4,1,0)</f>
        <v>0</v>
      </c>
    </row>
    <row r="4717" spans="1:15" x14ac:dyDescent="0.25">
      <c r="A4717" t="s">
        <v>4757</v>
      </c>
      <c r="B4717" s="1">
        <v>45488</v>
      </c>
      <c r="C4717" t="s">
        <v>11</v>
      </c>
      <c r="D4717" t="s">
        <v>79</v>
      </c>
      <c r="E4717" t="s">
        <v>13</v>
      </c>
      <c r="F4717" t="s">
        <v>19</v>
      </c>
      <c r="G4717" t="s">
        <v>15</v>
      </c>
      <c r="K4717" cm="1">
        <f t="array" ref="K4717">_xlfn.SWITCH(LeadsData[[#This Row],[Funnel Stage Reached]],"Lead",1,"MQL",2,"SQL",3,"Customer",4)</f>
        <v>1</v>
      </c>
      <c r="L4717" t="str">
        <f>TEXT(LeadsData[[#This Row],[Signup Date]],"mmm-yyyy")</f>
        <v>Jul-2024</v>
      </c>
      <c r="M4717">
        <f>IF(LeadsData[[#This Row],[Stage Number]]&gt;=2,1,0)</f>
        <v>0</v>
      </c>
      <c r="N4717" s="2">
        <f>IF(LeadsData[[#This Row],[Stage Number]]&gt;=3,1,0)</f>
        <v>0</v>
      </c>
      <c r="O4717" s="2">
        <f>IF(LeadsData[[#This Row],[Stage Number]]&gt;=4,1,0)</f>
        <v>0</v>
      </c>
    </row>
    <row r="4718" spans="1:15" x14ac:dyDescent="0.25">
      <c r="A4718" t="s">
        <v>4758</v>
      </c>
      <c r="B4718" s="1">
        <v>45600</v>
      </c>
      <c r="C4718" t="s">
        <v>17</v>
      </c>
      <c r="D4718" t="s">
        <v>18</v>
      </c>
      <c r="E4718" t="s">
        <v>21</v>
      </c>
      <c r="F4718" t="s">
        <v>22</v>
      </c>
      <c r="G4718" t="s">
        <v>23</v>
      </c>
      <c r="K4718" cm="1">
        <f t="array" ref="K4718">_xlfn.SWITCH(LeadsData[[#This Row],[Funnel Stage Reached]],"Lead",1,"MQL",2,"SQL",3,"Customer",4)</f>
        <v>2</v>
      </c>
      <c r="L4718" t="str">
        <f>TEXT(LeadsData[[#This Row],[Signup Date]],"mmm-yyyy")</f>
        <v>Nov-2024</v>
      </c>
      <c r="M4718">
        <f>IF(LeadsData[[#This Row],[Stage Number]]&gt;=2,1,0)</f>
        <v>1</v>
      </c>
      <c r="N4718" s="2">
        <f>IF(LeadsData[[#This Row],[Stage Number]]&gt;=3,1,0)</f>
        <v>0</v>
      </c>
      <c r="O4718" s="2">
        <f>IF(LeadsData[[#This Row],[Stage Number]]&gt;=4,1,0)</f>
        <v>0</v>
      </c>
    </row>
    <row r="4719" spans="1:15" x14ac:dyDescent="0.25">
      <c r="A4719" t="s">
        <v>4759</v>
      </c>
      <c r="B4719" s="1">
        <v>45328</v>
      </c>
      <c r="C4719" t="s">
        <v>11</v>
      </c>
      <c r="D4719" t="s">
        <v>79</v>
      </c>
      <c r="E4719" t="s">
        <v>13</v>
      </c>
      <c r="F4719" t="s">
        <v>14</v>
      </c>
      <c r="G4719" t="s">
        <v>29</v>
      </c>
      <c r="K4719" cm="1">
        <f t="array" ref="K4719">_xlfn.SWITCH(LeadsData[[#This Row],[Funnel Stage Reached]],"Lead",1,"MQL",2,"SQL",3,"Customer",4)</f>
        <v>3</v>
      </c>
      <c r="L4719" t="str">
        <f>TEXT(LeadsData[[#This Row],[Signup Date]],"mmm-yyyy")</f>
        <v>Feb-2024</v>
      </c>
      <c r="M4719">
        <f>IF(LeadsData[[#This Row],[Stage Number]]&gt;=2,1,0)</f>
        <v>1</v>
      </c>
      <c r="N4719" s="2">
        <f>IF(LeadsData[[#This Row],[Stage Number]]&gt;=3,1,0)</f>
        <v>1</v>
      </c>
      <c r="O4719" s="2">
        <f>IF(LeadsData[[#This Row],[Stage Number]]&gt;=4,1,0)</f>
        <v>0</v>
      </c>
    </row>
    <row r="4720" spans="1:15" x14ac:dyDescent="0.25">
      <c r="A4720" t="s">
        <v>4760</v>
      </c>
      <c r="B4720" s="1">
        <v>45616</v>
      </c>
      <c r="C4720" t="s">
        <v>46</v>
      </c>
      <c r="D4720" t="s">
        <v>56</v>
      </c>
      <c r="E4720" t="s">
        <v>21</v>
      </c>
      <c r="F4720" t="s">
        <v>22</v>
      </c>
      <c r="G4720" t="s">
        <v>42</v>
      </c>
      <c r="H4720">
        <v>54</v>
      </c>
      <c r="I4720" t="s">
        <v>43</v>
      </c>
      <c r="J4720">
        <v>664.98</v>
      </c>
      <c r="K4720" cm="1">
        <f t="array" ref="K4720">_xlfn.SWITCH(LeadsData[[#This Row],[Funnel Stage Reached]],"Lead",1,"MQL",2,"SQL",3,"Customer",4)</f>
        <v>4</v>
      </c>
      <c r="L4720" t="str">
        <f>TEXT(LeadsData[[#This Row],[Signup Date]],"mmm-yyyy")</f>
        <v>Nov-2024</v>
      </c>
      <c r="M4720">
        <f>IF(LeadsData[[#This Row],[Stage Number]]&gt;=2,1,0)</f>
        <v>1</v>
      </c>
      <c r="N4720" s="2">
        <f>IF(LeadsData[[#This Row],[Stage Number]]&gt;=3,1,0)</f>
        <v>1</v>
      </c>
      <c r="O4720" s="2">
        <f>IF(LeadsData[[#This Row],[Stage Number]]&gt;=4,1,0)</f>
        <v>1</v>
      </c>
    </row>
    <row r="4721" spans="1:15" x14ac:dyDescent="0.25">
      <c r="A4721" t="s">
        <v>4761</v>
      </c>
      <c r="B4721" s="1">
        <v>45485</v>
      </c>
      <c r="C4721" t="s">
        <v>31</v>
      </c>
      <c r="D4721" t="s">
        <v>32</v>
      </c>
      <c r="E4721" t="s">
        <v>13</v>
      </c>
      <c r="F4721" t="s">
        <v>22</v>
      </c>
      <c r="G4721" t="s">
        <v>29</v>
      </c>
      <c r="K4721" cm="1">
        <f t="array" ref="K4721">_xlfn.SWITCH(LeadsData[[#This Row],[Funnel Stage Reached]],"Lead",1,"MQL",2,"SQL",3,"Customer",4)</f>
        <v>3</v>
      </c>
      <c r="L4721" t="str">
        <f>TEXT(LeadsData[[#This Row],[Signup Date]],"mmm-yyyy")</f>
        <v>Jul-2024</v>
      </c>
      <c r="M4721">
        <f>IF(LeadsData[[#This Row],[Stage Number]]&gt;=2,1,0)</f>
        <v>1</v>
      </c>
      <c r="N4721" s="2">
        <f>IF(LeadsData[[#This Row],[Stage Number]]&gt;=3,1,0)</f>
        <v>1</v>
      </c>
      <c r="O4721" s="2">
        <f>IF(LeadsData[[#This Row],[Stage Number]]&gt;=4,1,0)</f>
        <v>0</v>
      </c>
    </row>
    <row r="4722" spans="1:15" x14ac:dyDescent="0.25">
      <c r="A4722" t="s">
        <v>4762</v>
      </c>
      <c r="B4722" s="1">
        <v>45531</v>
      </c>
      <c r="C4722" t="s">
        <v>17</v>
      </c>
      <c r="D4722" t="s">
        <v>53</v>
      </c>
      <c r="E4722" t="s">
        <v>13</v>
      </c>
      <c r="F4722" t="s">
        <v>22</v>
      </c>
      <c r="G4722" t="s">
        <v>15</v>
      </c>
      <c r="K4722" cm="1">
        <f t="array" ref="K4722">_xlfn.SWITCH(LeadsData[[#This Row],[Funnel Stage Reached]],"Lead",1,"MQL",2,"SQL",3,"Customer",4)</f>
        <v>1</v>
      </c>
      <c r="L4722" t="str">
        <f>TEXT(LeadsData[[#This Row],[Signup Date]],"mmm-yyyy")</f>
        <v>Aug-2024</v>
      </c>
      <c r="M4722">
        <f>IF(LeadsData[[#This Row],[Stage Number]]&gt;=2,1,0)</f>
        <v>0</v>
      </c>
      <c r="N4722" s="2">
        <f>IF(LeadsData[[#This Row],[Stage Number]]&gt;=3,1,0)</f>
        <v>0</v>
      </c>
      <c r="O4722" s="2">
        <f>IF(LeadsData[[#This Row],[Stage Number]]&gt;=4,1,0)</f>
        <v>0</v>
      </c>
    </row>
    <row r="4723" spans="1:15" x14ac:dyDescent="0.25">
      <c r="A4723" t="s">
        <v>4763</v>
      </c>
      <c r="B4723" s="1">
        <v>45438</v>
      </c>
      <c r="C4723" t="s">
        <v>31</v>
      </c>
      <c r="D4723" t="s">
        <v>32</v>
      </c>
      <c r="E4723" t="s">
        <v>21</v>
      </c>
      <c r="F4723" t="s">
        <v>28</v>
      </c>
      <c r="G4723" t="s">
        <v>29</v>
      </c>
      <c r="K4723" cm="1">
        <f t="array" ref="K4723">_xlfn.SWITCH(LeadsData[[#This Row],[Funnel Stage Reached]],"Lead",1,"MQL",2,"SQL",3,"Customer",4)</f>
        <v>3</v>
      </c>
      <c r="L4723" t="str">
        <f>TEXT(LeadsData[[#This Row],[Signup Date]],"mmm-yyyy")</f>
        <v>May-2024</v>
      </c>
      <c r="M4723">
        <f>IF(LeadsData[[#This Row],[Stage Number]]&gt;=2,1,0)</f>
        <v>1</v>
      </c>
      <c r="N4723" s="2">
        <f>IF(LeadsData[[#This Row],[Stage Number]]&gt;=3,1,0)</f>
        <v>1</v>
      </c>
      <c r="O4723" s="2">
        <f>IF(LeadsData[[#This Row],[Stage Number]]&gt;=4,1,0)</f>
        <v>0</v>
      </c>
    </row>
    <row r="4724" spans="1:15" x14ac:dyDescent="0.25">
      <c r="A4724" t="s">
        <v>4764</v>
      </c>
      <c r="B4724" s="1">
        <v>45372</v>
      </c>
      <c r="C4724" t="s">
        <v>36</v>
      </c>
      <c r="D4724" t="s">
        <v>50</v>
      </c>
      <c r="E4724" t="s">
        <v>13</v>
      </c>
      <c r="F4724" t="s">
        <v>14</v>
      </c>
      <c r="G4724" t="s">
        <v>15</v>
      </c>
      <c r="K4724" cm="1">
        <f t="array" ref="K4724">_xlfn.SWITCH(LeadsData[[#This Row],[Funnel Stage Reached]],"Lead",1,"MQL",2,"SQL",3,"Customer",4)</f>
        <v>1</v>
      </c>
      <c r="L4724" t="str">
        <f>TEXT(LeadsData[[#This Row],[Signup Date]],"mmm-yyyy")</f>
        <v>Mar-2024</v>
      </c>
      <c r="M4724">
        <f>IF(LeadsData[[#This Row],[Stage Number]]&gt;=2,1,0)</f>
        <v>0</v>
      </c>
      <c r="N4724" s="2">
        <f>IF(LeadsData[[#This Row],[Stage Number]]&gt;=3,1,0)</f>
        <v>0</v>
      </c>
      <c r="O4724" s="2">
        <f>IF(LeadsData[[#This Row],[Stage Number]]&gt;=4,1,0)</f>
        <v>0</v>
      </c>
    </row>
    <row r="4725" spans="1:15" x14ac:dyDescent="0.25">
      <c r="A4725" t="s">
        <v>4765</v>
      </c>
      <c r="B4725" s="1">
        <v>45637</v>
      </c>
      <c r="C4725" t="s">
        <v>17</v>
      </c>
      <c r="D4725" t="s">
        <v>18</v>
      </c>
      <c r="E4725" t="s">
        <v>21</v>
      </c>
      <c r="F4725" t="s">
        <v>22</v>
      </c>
      <c r="G4725" t="s">
        <v>23</v>
      </c>
      <c r="K4725" cm="1">
        <f t="array" ref="K4725">_xlfn.SWITCH(LeadsData[[#This Row],[Funnel Stage Reached]],"Lead",1,"MQL",2,"SQL",3,"Customer",4)</f>
        <v>2</v>
      </c>
      <c r="L4725" t="str">
        <f>TEXT(LeadsData[[#This Row],[Signup Date]],"mmm-yyyy")</f>
        <v>Dec-2024</v>
      </c>
      <c r="M4725">
        <f>IF(LeadsData[[#This Row],[Stage Number]]&gt;=2,1,0)</f>
        <v>1</v>
      </c>
      <c r="N4725" s="2">
        <f>IF(LeadsData[[#This Row],[Stage Number]]&gt;=3,1,0)</f>
        <v>0</v>
      </c>
      <c r="O4725" s="2">
        <f>IF(LeadsData[[#This Row],[Stage Number]]&gt;=4,1,0)</f>
        <v>0</v>
      </c>
    </row>
    <row r="4726" spans="1:15" x14ac:dyDescent="0.25">
      <c r="A4726" t="s">
        <v>4766</v>
      </c>
      <c r="B4726" s="1">
        <v>45623</v>
      </c>
      <c r="C4726" t="s">
        <v>17</v>
      </c>
      <c r="D4726" t="s">
        <v>53</v>
      </c>
      <c r="E4726" t="s">
        <v>21</v>
      </c>
      <c r="F4726" t="s">
        <v>19</v>
      </c>
      <c r="G4726" t="s">
        <v>29</v>
      </c>
      <c r="K4726" cm="1">
        <f t="array" ref="K4726">_xlfn.SWITCH(LeadsData[[#This Row],[Funnel Stage Reached]],"Lead",1,"MQL",2,"SQL",3,"Customer",4)</f>
        <v>3</v>
      </c>
      <c r="L4726" t="str">
        <f>TEXT(LeadsData[[#This Row],[Signup Date]],"mmm-yyyy")</f>
        <v>Nov-2024</v>
      </c>
      <c r="M4726">
        <f>IF(LeadsData[[#This Row],[Stage Number]]&gt;=2,1,0)</f>
        <v>1</v>
      </c>
      <c r="N4726" s="2">
        <f>IF(LeadsData[[#This Row],[Stage Number]]&gt;=3,1,0)</f>
        <v>1</v>
      </c>
      <c r="O4726" s="2">
        <f>IF(LeadsData[[#This Row],[Stage Number]]&gt;=4,1,0)</f>
        <v>0</v>
      </c>
    </row>
    <row r="4727" spans="1:15" x14ac:dyDescent="0.25">
      <c r="A4727" t="s">
        <v>4767</v>
      </c>
      <c r="B4727" s="1">
        <v>45543</v>
      </c>
      <c r="C4727" t="s">
        <v>31</v>
      </c>
      <c r="D4727" t="s">
        <v>32</v>
      </c>
      <c r="E4727" t="s">
        <v>21</v>
      </c>
      <c r="F4727" t="s">
        <v>22</v>
      </c>
      <c r="G4727" t="s">
        <v>15</v>
      </c>
      <c r="K4727" cm="1">
        <f t="array" ref="K4727">_xlfn.SWITCH(LeadsData[[#This Row],[Funnel Stage Reached]],"Lead",1,"MQL",2,"SQL",3,"Customer",4)</f>
        <v>1</v>
      </c>
      <c r="L4727" t="str">
        <f>TEXT(LeadsData[[#This Row],[Signup Date]],"mmm-yyyy")</f>
        <v>Sep-2024</v>
      </c>
      <c r="M4727">
        <f>IF(LeadsData[[#This Row],[Stage Number]]&gt;=2,1,0)</f>
        <v>0</v>
      </c>
      <c r="N4727" s="2">
        <f>IF(LeadsData[[#This Row],[Stage Number]]&gt;=3,1,0)</f>
        <v>0</v>
      </c>
      <c r="O4727" s="2">
        <f>IF(LeadsData[[#This Row],[Stage Number]]&gt;=4,1,0)</f>
        <v>0</v>
      </c>
    </row>
    <row r="4728" spans="1:15" x14ac:dyDescent="0.25">
      <c r="A4728" t="s">
        <v>4768</v>
      </c>
      <c r="B4728" s="1">
        <v>45615</v>
      </c>
      <c r="C4728" t="s">
        <v>11</v>
      </c>
      <c r="D4728" t="s">
        <v>68</v>
      </c>
      <c r="E4728" t="s">
        <v>13</v>
      </c>
      <c r="F4728" t="s">
        <v>22</v>
      </c>
      <c r="G4728" t="s">
        <v>29</v>
      </c>
      <c r="K4728" cm="1">
        <f t="array" ref="K4728">_xlfn.SWITCH(LeadsData[[#This Row],[Funnel Stage Reached]],"Lead",1,"MQL",2,"SQL",3,"Customer",4)</f>
        <v>3</v>
      </c>
      <c r="L4728" t="str">
        <f>TEXT(LeadsData[[#This Row],[Signup Date]],"mmm-yyyy")</f>
        <v>Nov-2024</v>
      </c>
      <c r="M4728">
        <f>IF(LeadsData[[#This Row],[Stage Number]]&gt;=2,1,0)</f>
        <v>1</v>
      </c>
      <c r="N4728" s="2">
        <f>IF(LeadsData[[#This Row],[Stage Number]]&gt;=3,1,0)</f>
        <v>1</v>
      </c>
      <c r="O4728" s="2">
        <f>IF(LeadsData[[#This Row],[Stage Number]]&gt;=4,1,0)</f>
        <v>0</v>
      </c>
    </row>
    <row r="4729" spans="1:15" x14ac:dyDescent="0.25">
      <c r="A4729" t="s">
        <v>4769</v>
      </c>
      <c r="B4729" s="1">
        <v>45368</v>
      </c>
      <c r="C4729" t="s">
        <v>46</v>
      </c>
      <c r="D4729" t="s">
        <v>47</v>
      </c>
      <c r="E4729" t="s">
        <v>13</v>
      </c>
      <c r="F4729" t="s">
        <v>22</v>
      </c>
      <c r="G4729" t="s">
        <v>23</v>
      </c>
      <c r="K4729" cm="1">
        <f t="array" ref="K4729">_xlfn.SWITCH(LeadsData[[#This Row],[Funnel Stage Reached]],"Lead",1,"MQL",2,"SQL",3,"Customer",4)</f>
        <v>2</v>
      </c>
      <c r="L4729" t="str">
        <f>TEXT(LeadsData[[#This Row],[Signup Date]],"mmm-yyyy")</f>
        <v>Mar-2024</v>
      </c>
      <c r="M4729">
        <f>IF(LeadsData[[#This Row],[Stage Number]]&gt;=2,1,0)</f>
        <v>1</v>
      </c>
      <c r="N4729" s="2">
        <f>IF(LeadsData[[#This Row],[Stage Number]]&gt;=3,1,0)</f>
        <v>0</v>
      </c>
      <c r="O4729" s="2">
        <f>IF(LeadsData[[#This Row],[Stage Number]]&gt;=4,1,0)</f>
        <v>0</v>
      </c>
    </row>
    <row r="4730" spans="1:15" x14ac:dyDescent="0.25">
      <c r="A4730" t="s">
        <v>4770</v>
      </c>
      <c r="B4730" s="1">
        <v>45615</v>
      </c>
      <c r="C4730" t="s">
        <v>46</v>
      </c>
      <c r="D4730" t="s">
        <v>47</v>
      </c>
      <c r="E4730" t="s">
        <v>13</v>
      </c>
      <c r="F4730" t="s">
        <v>14</v>
      </c>
      <c r="G4730" t="s">
        <v>15</v>
      </c>
      <c r="K4730" cm="1">
        <f t="array" ref="K4730">_xlfn.SWITCH(LeadsData[[#This Row],[Funnel Stage Reached]],"Lead",1,"MQL",2,"SQL",3,"Customer",4)</f>
        <v>1</v>
      </c>
      <c r="L4730" t="str">
        <f>TEXT(LeadsData[[#This Row],[Signup Date]],"mmm-yyyy")</f>
        <v>Nov-2024</v>
      </c>
      <c r="M4730">
        <f>IF(LeadsData[[#This Row],[Stage Number]]&gt;=2,1,0)</f>
        <v>0</v>
      </c>
      <c r="N4730" s="2">
        <f>IF(LeadsData[[#This Row],[Stage Number]]&gt;=3,1,0)</f>
        <v>0</v>
      </c>
      <c r="O4730" s="2">
        <f>IF(LeadsData[[#This Row],[Stage Number]]&gt;=4,1,0)</f>
        <v>0</v>
      </c>
    </row>
    <row r="4731" spans="1:15" x14ac:dyDescent="0.25">
      <c r="A4731" t="s">
        <v>4771</v>
      </c>
      <c r="B4731" s="1">
        <v>45635</v>
      </c>
      <c r="C4731" t="s">
        <v>46</v>
      </c>
      <c r="D4731" t="s">
        <v>47</v>
      </c>
      <c r="E4731" t="s">
        <v>21</v>
      </c>
      <c r="F4731" t="s">
        <v>22</v>
      </c>
      <c r="G4731" t="s">
        <v>15</v>
      </c>
      <c r="K4731" cm="1">
        <f t="array" ref="K4731">_xlfn.SWITCH(LeadsData[[#This Row],[Funnel Stage Reached]],"Lead",1,"MQL",2,"SQL",3,"Customer",4)</f>
        <v>1</v>
      </c>
      <c r="L4731" t="str">
        <f>TEXT(LeadsData[[#This Row],[Signup Date]],"mmm-yyyy")</f>
        <v>Dec-2024</v>
      </c>
      <c r="M4731">
        <f>IF(LeadsData[[#This Row],[Stage Number]]&gt;=2,1,0)</f>
        <v>0</v>
      </c>
      <c r="N4731" s="2">
        <f>IF(LeadsData[[#This Row],[Stage Number]]&gt;=3,1,0)</f>
        <v>0</v>
      </c>
      <c r="O4731" s="2">
        <f>IF(LeadsData[[#This Row],[Stage Number]]&gt;=4,1,0)</f>
        <v>0</v>
      </c>
    </row>
    <row r="4732" spans="1:15" x14ac:dyDescent="0.25">
      <c r="A4732" t="s">
        <v>4772</v>
      </c>
      <c r="B4732" s="1">
        <v>45607</v>
      </c>
      <c r="C4732" t="s">
        <v>31</v>
      </c>
      <c r="D4732" t="s">
        <v>34</v>
      </c>
      <c r="E4732" t="s">
        <v>21</v>
      </c>
      <c r="F4732" t="s">
        <v>14</v>
      </c>
      <c r="G4732" t="s">
        <v>29</v>
      </c>
      <c r="K4732" cm="1">
        <f t="array" ref="K4732">_xlfn.SWITCH(LeadsData[[#This Row],[Funnel Stage Reached]],"Lead",1,"MQL",2,"SQL",3,"Customer",4)</f>
        <v>3</v>
      </c>
      <c r="L4732" t="str">
        <f>TEXT(LeadsData[[#This Row],[Signup Date]],"mmm-yyyy")</f>
        <v>Nov-2024</v>
      </c>
      <c r="M4732">
        <f>IF(LeadsData[[#This Row],[Stage Number]]&gt;=2,1,0)</f>
        <v>1</v>
      </c>
      <c r="N4732" s="2">
        <f>IF(LeadsData[[#This Row],[Stage Number]]&gt;=3,1,0)</f>
        <v>1</v>
      </c>
      <c r="O4732" s="2">
        <f>IF(LeadsData[[#This Row],[Stage Number]]&gt;=4,1,0)</f>
        <v>0</v>
      </c>
    </row>
    <row r="4733" spans="1:15" x14ac:dyDescent="0.25">
      <c r="A4733" t="s">
        <v>4773</v>
      </c>
      <c r="B4733" s="1">
        <v>45654</v>
      </c>
      <c r="C4733" t="s">
        <v>36</v>
      </c>
      <c r="D4733" t="s">
        <v>50</v>
      </c>
      <c r="E4733" t="s">
        <v>48</v>
      </c>
      <c r="F4733" t="s">
        <v>19</v>
      </c>
      <c r="G4733" t="s">
        <v>23</v>
      </c>
      <c r="K4733" cm="1">
        <f t="array" ref="K4733">_xlfn.SWITCH(LeadsData[[#This Row],[Funnel Stage Reached]],"Lead",1,"MQL",2,"SQL",3,"Customer",4)</f>
        <v>2</v>
      </c>
      <c r="L4733" t="str">
        <f>TEXT(LeadsData[[#This Row],[Signup Date]],"mmm-yyyy")</f>
        <v>Dec-2024</v>
      </c>
      <c r="M4733">
        <f>IF(LeadsData[[#This Row],[Stage Number]]&gt;=2,1,0)</f>
        <v>1</v>
      </c>
      <c r="N4733" s="2">
        <f>IF(LeadsData[[#This Row],[Stage Number]]&gt;=3,1,0)</f>
        <v>0</v>
      </c>
      <c r="O4733" s="2">
        <f>IF(LeadsData[[#This Row],[Stage Number]]&gt;=4,1,0)</f>
        <v>0</v>
      </c>
    </row>
    <row r="4734" spans="1:15" x14ac:dyDescent="0.25">
      <c r="A4734" t="s">
        <v>4774</v>
      </c>
      <c r="B4734" s="1">
        <v>45543</v>
      </c>
      <c r="C4734" t="s">
        <v>46</v>
      </c>
      <c r="D4734" t="s">
        <v>56</v>
      </c>
      <c r="E4734" t="s">
        <v>21</v>
      </c>
      <c r="F4734" t="s">
        <v>22</v>
      </c>
      <c r="G4734" t="s">
        <v>23</v>
      </c>
      <c r="K4734" cm="1">
        <f t="array" ref="K4734">_xlfn.SWITCH(LeadsData[[#This Row],[Funnel Stage Reached]],"Lead",1,"MQL",2,"SQL",3,"Customer",4)</f>
        <v>2</v>
      </c>
      <c r="L4734" t="str">
        <f>TEXT(LeadsData[[#This Row],[Signup Date]],"mmm-yyyy")</f>
        <v>Sep-2024</v>
      </c>
      <c r="M4734">
        <f>IF(LeadsData[[#This Row],[Stage Number]]&gt;=2,1,0)</f>
        <v>1</v>
      </c>
      <c r="N4734" s="2">
        <f>IF(LeadsData[[#This Row],[Stage Number]]&gt;=3,1,0)</f>
        <v>0</v>
      </c>
      <c r="O4734" s="2">
        <f>IF(LeadsData[[#This Row],[Stage Number]]&gt;=4,1,0)</f>
        <v>0</v>
      </c>
    </row>
    <row r="4735" spans="1:15" x14ac:dyDescent="0.25">
      <c r="A4735" t="s">
        <v>4775</v>
      </c>
      <c r="B4735" s="1">
        <v>45481</v>
      </c>
      <c r="C4735" t="s">
        <v>25</v>
      </c>
      <c r="D4735" t="s">
        <v>26</v>
      </c>
      <c r="E4735" t="s">
        <v>13</v>
      </c>
      <c r="F4735" t="s">
        <v>14</v>
      </c>
      <c r="G4735" t="s">
        <v>23</v>
      </c>
      <c r="K4735" cm="1">
        <f t="array" ref="K4735">_xlfn.SWITCH(LeadsData[[#This Row],[Funnel Stage Reached]],"Lead",1,"MQL",2,"SQL",3,"Customer",4)</f>
        <v>2</v>
      </c>
      <c r="L4735" t="str">
        <f>TEXT(LeadsData[[#This Row],[Signup Date]],"mmm-yyyy")</f>
        <v>Jul-2024</v>
      </c>
      <c r="M4735">
        <f>IF(LeadsData[[#This Row],[Stage Number]]&gt;=2,1,0)</f>
        <v>1</v>
      </c>
      <c r="N4735" s="2">
        <f>IF(LeadsData[[#This Row],[Stage Number]]&gt;=3,1,0)</f>
        <v>0</v>
      </c>
      <c r="O4735" s="2">
        <f>IF(LeadsData[[#This Row],[Stage Number]]&gt;=4,1,0)</f>
        <v>0</v>
      </c>
    </row>
    <row r="4736" spans="1:15" x14ac:dyDescent="0.25">
      <c r="A4736" t="s">
        <v>4776</v>
      </c>
      <c r="B4736" s="1">
        <v>45435</v>
      </c>
      <c r="C4736" t="s">
        <v>36</v>
      </c>
      <c r="D4736" t="s">
        <v>37</v>
      </c>
      <c r="E4736" t="s">
        <v>13</v>
      </c>
      <c r="F4736" t="s">
        <v>22</v>
      </c>
      <c r="G4736" t="s">
        <v>29</v>
      </c>
      <c r="K4736" cm="1">
        <f t="array" ref="K4736">_xlfn.SWITCH(LeadsData[[#This Row],[Funnel Stage Reached]],"Lead",1,"MQL",2,"SQL",3,"Customer",4)</f>
        <v>3</v>
      </c>
      <c r="L4736" t="str">
        <f>TEXT(LeadsData[[#This Row],[Signup Date]],"mmm-yyyy")</f>
        <v>May-2024</v>
      </c>
      <c r="M4736">
        <f>IF(LeadsData[[#This Row],[Stage Number]]&gt;=2,1,0)</f>
        <v>1</v>
      </c>
      <c r="N4736" s="2">
        <f>IF(LeadsData[[#This Row],[Stage Number]]&gt;=3,1,0)</f>
        <v>1</v>
      </c>
      <c r="O4736" s="2">
        <f>IF(LeadsData[[#This Row],[Stage Number]]&gt;=4,1,0)</f>
        <v>0</v>
      </c>
    </row>
    <row r="4737" spans="1:15" x14ac:dyDescent="0.25">
      <c r="A4737" t="s">
        <v>4777</v>
      </c>
      <c r="B4737" s="1">
        <v>45509</v>
      </c>
      <c r="C4737" t="s">
        <v>36</v>
      </c>
      <c r="D4737" t="s">
        <v>37</v>
      </c>
      <c r="E4737" t="s">
        <v>13</v>
      </c>
      <c r="F4737" t="s">
        <v>19</v>
      </c>
      <c r="G4737" t="s">
        <v>23</v>
      </c>
      <c r="K4737" cm="1">
        <f t="array" ref="K4737">_xlfn.SWITCH(LeadsData[[#This Row],[Funnel Stage Reached]],"Lead",1,"MQL",2,"SQL",3,"Customer",4)</f>
        <v>2</v>
      </c>
      <c r="L4737" t="str">
        <f>TEXT(LeadsData[[#This Row],[Signup Date]],"mmm-yyyy")</f>
        <v>Aug-2024</v>
      </c>
      <c r="M4737">
        <f>IF(LeadsData[[#This Row],[Stage Number]]&gt;=2,1,0)</f>
        <v>1</v>
      </c>
      <c r="N4737" s="2">
        <f>IF(LeadsData[[#This Row],[Stage Number]]&gt;=3,1,0)</f>
        <v>0</v>
      </c>
      <c r="O4737" s="2">
        <f>IF(LeadsData[[#This Row],[Stage Number]]&gt;=4,1,0)</f>
        <v>0</v>
      </c>
    </row>
    <row r="4738" spans="1:15" x14ac:dyDescent="0.25">
      <c r="A4738" t="s">
        <v>4778</v>
      </c>
      <c r="B4738" s="1">
        <v>45358</v>
      </c>
      <c r="C4738" t="s">
        <v>11</v>
      </c>
      <c r="D4738" t="s">
        <v>12</v>
      </c>
      <c r="E4738" t="s">
        <v>21</v>
      </c>
      <c r="F4738" t="s">
        <v>19</v>
      </c>
      <c r="G4738" t="s">
        <v>15</v>
      </c>
      <c r="K4738" cm="1">
        <f t="array" ref="K4738">_xlfn.SWITCH(LeadsData[[#This Row],[Funnel Stage Reached]],"Lead",1,"MQL",2,"SQL",3,"Customer",4)</f>
        <v>1</v>
      </c>
      <c r="L4738" t="str">
        <f>TEXT(LeadsData[[#This Row],[Signup Date]],"mmm-yyyy")</f>
        <v>Mar-2024</v>
      </c>
      <c r="M4738">
        <f>IF(LeadsData[[#This Row],[Stage Number]]&gt;=2,1,0)</f>
        <v>0</v>
      </c>
      <c r="N4738" s="2">
        <f>IF(LeadsData[[#This Row],[Stage Number]]&gt;=3,1,0)</f>
        <v>0</v>
      </c>
      <c r="O4738" s="2">
        <f>IF(LeadsData[[#This Row],[Stage Number]]&gt;=4,1,0)</f>
        <v>0</v>
      </c>
    </row>
    <row r="4739" spans="1:15" x14ac:dyDescent="0.25">
      <c r="A4739" t="s">
        <v>4779</v>
      </c>
      <c r="B4739" s="1">
        <v>45555</v>
      </c>
      <c r="C4739" t="s">
        <v>17</v>
      </c>
      <c r="D4739" t="s">
        <v>18</v>
      </c>
      <c r="E4739" t="s">
        <v>13</v>
      </c>
      <c r="F4739" t="s">
        <v>19</v>
      </c>
      <c r="G4739" t="s">
        <v>29</v>
      </c>
      <c r="K4739" cm="1">
        <f t="array" ref="K4739">_xlfn.SWITCH(LeadsData[[#This Row],[Funnel Stage Reached]],"Lead",1,"MQL",2,"SQL",3,"Customer",4)</f>
        <v>3</v>
      </c>
      <c r="L4739" t="str">
        <f>TEXT(LeadsData[[#This Row],[Signup Date]],"mmm-yyyy")</f>
        <v>Sep-2024</v>
      </c>
      <c r="M4739">
        <f>IF(LeadsData[[#This Row],[Stage Number]]&gt;=2,1,0)</f>
        <v>1</v>
      </c>
      <c r="N4739" s="2">
        <f>IF(LeadsData[[#This Row],[Stage Number]]&gt;=3,1,0)</f>
        <v>1</v>
      </c>
      <c r="O4739" s="2">
        <f>IF(LeadsData[[#This Row],[Stage Number]]&gt;=4,1,0)</f>
        <v>0</v>
      </c>
    </row>
    <row r="4740" spans="1:15" x14ac:dyDescent="0.25">
      <c r="A4740" t="s">
        <v>4780</v>
      </c>
      <c r="B4740" s="1">
        <v>45385</v>
      </c>
      <c r="C4740" t="s">
        <v>46</v>
      </c>
      <c r="D4740" t="s">
        <v>47</v>
      </c>
      <c r="E4740" t="s">
        <v>13</v>
      </c>
      <c r="F4740" t="s">
        <v>19</v>
      </c>
      <c r="G4740" t="s">
        <v>29</v>
      </c>
      <c r="K4740" cm="1">
        <f t="array" ref="K4740">_xlfn.SWITCH(LeadsData[[#This Row],[Funnel Stage Reached]],"Lead",1,"MQL",2,"SQL",3,"Customer",4)</f>
        <v>3</v>
      </c>
      <c r="L4740" t="str">
        <f>TEXT(LeadsData[[#This Row],[Signup Date]],"mmm-yyyy")</f>
        <v>Apr-2024</v>
      </c>
      <c r="M4740">
        <f>IF(LeadsData[[#This Row],[Stage Number]]&gt;=2,1,0)</f>
        <v>1</v>
      </c>
      <c r="N4740" s="2">
        <f>IF(LeadsData[[#This Row],[Stage Number]]&gt;=3,1,0)</f>
        <v>1</v>
      </c>
      <c r="O4740" s="2">
        <f>IF(LeadsData[[#This Row],[Stage Number]]&gt;=4,1,0)</f>
        <v>0</v>
      </c>
    </row>
    <row r="4741" spans="1:15" x14ac:dyDescent="0.25">
      <c r="A4741" t="s">
        <v>4781</v>
      </c>
      <c r="B4741" s="1">
        <v>45645</v>
      </c>
      <c r="C4741" t="s">
        <v>11</v>
      </c>
      <c r="D4741" t="s">
        <v>68</v>
      </c>
      <c r="E4741" t="s">
        <v>13</v>
      </c>
      <c r="F4741" t="s">
        <v>19</v>
      </c>
      <c r="G4741" t="s">
        <v>23</v>
      </c>
      <c r="K4741" cm="1">
        <f t="array" ref="K4741">_xlfn.SWITCH(LeadsData[[#This Row],[Funnel Stage Reached]],"Lead",1,"MQL",2,"SQL",3,"Customer",4)</f>
        <v>2</v>
      </c>
      <c r="L4741" t="str">
        <f>TEXT(LeadsData[[#This Row],[Signup Date]],"mmm-yyyy")</f>
        <v>Dec-2024</v>
      </c>
      <c r="M4741">
        <f>IF(LeadsData[[#This Row],[Stage Number]]&gt;=2,1,0)</f>
        <v>1</v>
      </c>
      <c r="N4741" s="2">
        <f>IF(LeadsData[[#This Row],[Stage Number]]&gt;=3,1,0)</f>
        <v>0</v>
      </c>
      <c r="O4741" s="2">
        <f>IF(LeadsData[[#This Row],[Stage Number]]&gt;=4,1,0)</f>
        <v>0</v>
      </c>
    </row>
    <row r="4742" spans="1:15" x14ac:dyDescent="0.25">
      <c r="A4742" t="s">
        <v>4782</v>
      </c>
      <c r="B4742" s="1">
        <v>45410</v>
      </c>
      <c r="C4742" t="s">
        <v>31</v>
      </c>
      <c r="D4742" t="s">
        <v>32</v>
      </c>
      <c r="E4742" t="s">
        <v>13</v>
      </c>
      <c r="F4742" t="s">
        <v>22</v>
      </c>
      <c r="G4742" t="s">
        <v>23</v>
      </c>
      <c r="K4742" cm="1">
        <f t="array" ref="K4742">_xlfn.SWITCH(LeadsData[[#This Row],[Funnel Stage Reached]],"Lead",1,"MQL",2,"SQL",3,"Customer",4)</f>
        <v>2</v>
      </c>
      <c r="L4742" t="str">
        <f>TEXT(LeadsData[[#This Row],[Signup Date]],"mmm-yyyy")</f>
        <v>Apr-2024</v>
      </c>
      <c r="M4742">
        <f>IF(LeadsData[[#This Row],[Stage Number]]&gt;=2,1,0)</f>
        <v>1</v>
      </c>
      <c r="N4742" s="2">
        <f>IF(LeadsData[[#This Row],[Stage Number]]&gt;=3,1,0)</f>
        <v>0</v>
      </c>
      <c r="O4742" s="2">
        <f>IF(LeadsData[[#This Row],[Stage Number]]&gt;=4,1,0)</f>
        <v>0</v>
      </c>
    </row>
    <row r="4743" spans="1:15" x14ac:dyDescent="0.25">
      <c r="A4743" t="s">
        <v>4783</v>
      </c>
      <c r="B4743" s="1">
        <v>45367</v>
      </c>
      <c r="C4743" t="s">
        <v>46</v>
      </c>
      <c r="D4743" t="s">
        <v>47</v>
      </c>
      <c r="E4743" t="s">
        <v>13</v>
      </c>
      <c r="F4743" t="s">
        <v>14</v>
      </c>
      <c r="G4743" t="s">
        <v>23</v>
      </c>
      <c r="K4743" cm="1">
        <f t="array" ref="K4743">_xlfn.SWITCH(LeadsData[[#This Row],[Funnel Stage Reached]],"Lead",1,"MQL",2,"SQL",3,"Customer",4)</f>
        <v>2</v>
      </c>
      <c r="L4743" t="str">
        <f>TEXT(LeadsData[[#This Row],[Signup Date]],"mmm-yyyy")</f>
        <v>Mar-2024</v>
      </c>
      <c r="M4743">
        <f>IF(LeadsData[[#This Row],[Stage Number]]&gt;=2,1,0)</f>
        <v>1</v>
      </c>
      <c r="N4743" s="2">
        <f>IF(LeadsData[[#This Row],[Stage Number]]&gt;=3,1,0)</f>
        <v>0</v>
      </c>
      <c r="O4743" s="2">
        <f>IF(LeadsData[[#This Row],[Stage Number]]&gt;=4,1,0)</f>
        <v>0</v>
      </c>
    </row>
    <row r="4744" spans="1:15" x14ac:dyDescent="0.25">
      <c r="A4744" t="s">
        <v>4784</v>
      </c>
      <c r="B4744" s="1">
        <v>45294</v>
      </c>
      <c r="C4744" t="s">
        <v>17</v>
      </c>
      <c r="D4744" t="s">
        <v>18</v>
      </c>
      <c r="E4744" t="s">
        <v>21</v>
      </c>
      <c r="F4744" t="s">
        <v>14</v>
      </c>
      <c r="G4744" t="s">
        <v>15</v>
      </c>
      <c r="K4744" cm="1">
        <f t="array" ref="K4744">_xlfn.SWITCH(LeadsData[[#This Row],[Funnel Stage Reached]],"Lead",1,"MQL",2,"SQL",3,"Customer",4)</f>
        <v>1</v>
      </c>
      <c r="L4744" t="str">
        <f>TEXT(LeadsData[[#This Row],[Signup Date]],"mmm-yyyy")</f>
        <v>Jan-2024</v>
      </c>
      <c r="M4744">
        <f>IF(LeadsData[[#This Row],[Stage Number]]&gt;=2,1,0)</f>
        <v>0</v>
      </c>
      <c r="N4744" s="2">
        <f>IF(LeadsData[[#This Row],[Stage Number]]&gt;=3,1,0)</f>
        <v>0</v>
      </c>
      <c r="O4744" s="2">
        <f>IF(LeadsData[[#This Row],[Stage Number]]&gt;=4,1,0)</f>
        <v>0</v>
      </c>
    </row>
    <row r="4745" spans="1:15" x14ac:dyDescent="0.25">
      <c r="A4745" t="s">
        <v>4785</v>
      </c>
      <c r="B4745" s="1">
        <v>45375</v>
      </c>
      <c r="C4745" t="s">
        <v>36</v>
      </c>
      <c r="D4745" t="s">
        <v>50</v>
      </c>
      <c r="E4745" t="s">
        <v>13</v>
      </c>
      <c r="F4745" t="s">
        <v>22</v>
      </c>
      <c r="G4745" t="s">
        <v>29</v>
      </c>
      <c r="K4745" cm="1">
        <f t="array" ref="K4745">_xlfn.SWITCH(LeadsData[[#This Row],[Funnel Stage Reached]],"Lead",1,"MQL",2,"SQL",3,"Customer",4)</f>
        <v>3</v>
      </c>
      <c r="L4745" t="str">
        <f>TEXT(LeadsData[[#This Row],[Signup Date]],"mmm-yyyy")</f>
        <v>Mar-2024</v>
      </c>
      <c r="M4745">
        <f>IF(LeadsData[[#This Row],[Stage Number]]&gt;=2,1,0)</f>
        <v>1</v>
      </c>
      <c r="N4745" s="2">
        <f>IF(LeadsData[[#This Row],[Stage Number]]&gt;=3,1,0)</f>
        <v>1</v>
      </c>
      <c r="O4745" s="2">
        <f>IF(LeadsData[[#This Row],[Stage Number]]&gt;=4,1,0)</f>
        <v>0</v>
      </c>
    </row>
    <row r="4746" spans="1:15" x14ac:dyDescent="0.25">
      <c r="A4746" t="s">
        <v>4786</v>
      </c>
      <c r="B4746" s="1">
        <v>45654</v>
      </c>
      <c r="C4746" t="s">
        <v>17</v>
      </c>
      <c r="D4746" t="s">
        <v>18</v>
      </c>
      <c r="E4746" t="s">
        <v>21</v>
      </c>
      <c r="F4746" t="s">
        <v>22</v>
      </c>
      <c r="G4746" t="s">
        <v>15</v>
      </c>
      <c r="K4746" cm="1">
        <f t="array" ref="K4746">_xlfn.SWITCH(LeadsData[[#This Row],[Funnel Stage Reached]],"Lead",1,"MQL",2,"SQL",3,"Customer",4)</f>
        <v>1</v>
      </c>
      <c r="L4746" t="str">
        <f>TEXT(LeadsData[[#This Row],[Signup Date]],"mmm-yyyy")</f>
        <v>Dec-2024</v>
      </c>
      <c r="M4746">
        <f>IF(LeadsData[[#This Row],[Stage Number]]&gt;=2,1,0)</f>
        <v>0</v>
      </c>
      <c r="N4746" s="2">
        <f>IF(LeadsData[[#This Row],[Stage Number]]&gt;=3,1,0)</f>
        <v>0</v>
      </c>
      <c r="O4746" s="2">
        <f>IF(LeadsData[[#This Row],[Stage Number]]&gt;=4,1,0)</f>
        <v>0</v>
      </c>
    </row>
    <row r="4747" spans="1:15" x14ac:dyDescent="0.25">
      <c r="A4747" t="s">
        <v>4787</v>
      </c>
      <c r="B4747" s="1">
        <v>45542</v>
      </c>
      <c r="C4747" t="s">
        <v>36</v>
      </c>
      <c r="D4747" t="s">
        <v>50</v>
      </c>
      <c r="E4747" t="s">
        <v>13</v>
      </c>
      <c r="F4747" t="s">
        <v>22</v>
      </c>
      <c r="G4747" t="s">
        <v>15</v>
      </c>
      <c r="K4747" cm="1">
        <f t="array" ref="K4747">_xlfn.SWITCH(LeadsData[[#This Row],[Funnel Stage Reached]],"Lead",1,"MQL",2,"SQL",3,"Customer",4)</f>
        <v>1</v>
      </c>
      <c r="L4747" t="str">
        <f>TEXT(LeadsData[[#This Row],[Signup Date]],"mmm-yyyy")</f>
        <v>Sep-2024</v>
      </c>
      <c r="M4747">
        <f>IF(LeadsData[[#This Row],[Stage Number]]&gt;=2,1,0)</f>
        <v>0</v>
      </c>
      <c r="N4747" s="2">
        <f>IF(LeadsData[[#This Row],[Stage Number]]&gt;=3,1,0)</f>
        <v>0</v>
      </c>
      <c r="O4747" s="2">
        <f>IF(LeadsData[[#This Row],[Stage Number]]&gt;=4,1,0)</f>
        <v>0</v>
      </c>
    </row>
    <row r="4748" spans="1:15" x14ac:dyDescent="0.25">
      <c r="A4748" t="s">
        <v>4788</v>
      </c>
      <c r="B4748" s="1">
        <v>45334</v>
      </c>
      <c r="C4748" t="s">
        <v>25</v>
      </c>
      <c r="D4748" t="s">
        <v>26</v>
      </c>
      <c r="E4748" t="s">
        <v>13</v>
      </c>
      <c r="F4748" t="s">
        <v>19</v>
      </c>
      <c r="G4748" t="s">
        <v>15</v>
      </c>
      <c r="K4748" cm="1">
        <f t="array" ref="K4748">_xlfn.SWITCH(LeadsData[[#This Row],[Funnel Stage Reached]],"Lead",1,"MQL",2,"SQL",3,"Customer",4)</f>
        <v>1</v>
      </c>
      <c r="L4748" t="str">
        <f>TEXT(LeadsData[[#This Row],[Signup Date]],"mmm-yyyy")</f>
        <v>Feb-2024</v>
      </c>
      <c r="M4748">
        <f>IF(LeadsData[[#This Row],[Stage Number]]&gt;=2,1,0)</f>
        <v>0</v>
      </c>
      <c r="N4748" s="2">
        <f>IF(LeadsData[[#This Row],[Stage Number]]&gt;=3,1,0)</f>
        <v>0</v>
      </c>
      <c r="O4748" s="2">
        <f>IF(LeadsData[[#This Row],[Stage Number]]&gt;=4,1,0)</f>
        <v>0</v>
      </c>
    </row>
    <row r="4749" spans="1:15" x14ac:dyDescent="0.25">
      <c r="A4749" t="s">
        <v>4789</v>
      </c>
      <c r="B4749" s="1">
        <v>45448</v>
      </c>
      <c r="C4749" t="s">
        <v>11</v>
      </c>
      <c r="D4749" t="s">
        <v>12</v>
      </c>
      <c r="E4749" t="s">
        <v>13</v>
      </c>
      <c r="F4749" t="s">
        <v>22</v>
      </c>
      <c r="G4749" t="s">
        <v>29</v>
      </c>
      <c r="K4749" cm="1">
        <f t="array" ref="K4749">_xlfn.SWITCH(LeadsData[[#This Row],[Funnel Stage Reached]],"Lead",1,"MQL",2,"SQL",3,"Customer",4)</f>
        <v>3</v>
      </c>
      <c r="L4749" t="str">
        <f>TEXT(LeadsData[[#This Row],[Signup Date]],"mmm-yyyy")</f>
        <v>Jun-2024</v>
      </c>
      <c r="M4749">
        <f>IF(LeadsData[[#This Row],[Stage Number]]&gt;=2,1,0)</f>
        <v>1</v>
      </c>
      <c r="N4749" s="2">
        <f>IF(LeadsData[[#This Row],[Stage Number]]&gt;=3,1,0)</f>
        <v>1</v>
      </c>
      <c r="O4749" s="2">
        <f>IF(LeadsData[[#This Row],[Stage Number]]&gt;=4,1,0)</f>
        <v>0</v>
      </c>
    </row>
    <row r="4750" spans="1:15" x14ac:dyDescent="0.25">
      <c r="A4750" t="s">
        <v>4790</v>
      </c>
      <c r="B4750" s="1">
        <v>45611</v>
      </c>
      <c r="C4750" t="s">
        <v>31</v>
      </c>
      <c r="D4750" t="s">
        <v>32</v>
      </c>
      <c r="E4750" t="s">
        <v>13</v>
      </c>
      <c r="F4750" t="s">
        <v>22</v>
      </c>
      <c r="G4750" t="s">
        <v>15</v>
      </c>
      <c r="K4750" cm="1">
        <f t="array" ref="K4750">_xlfn.SWITCH(LeadsData[[#This Row],[Funnel Stage Reached]],"Lead",1,"MQL",2,"SQL",3,"Customer",4)</f>
        <v>1</v>
      </c>
      <c r="L4750" t="str">
        <f>TEXT(LeadsData[[#This Row],[Signup Date]],"mmm-yyyy")</f>
        <v>Nov-2024</v>
      </c>
      <c r="M4750">
        <f>IF(LeadsData[[#This Row],[Stage Number]]&gt;=2,1,0)</f>
        <v>0</v>
      </c>
      <c r="N4750" s="2">
        <f>IF(LeadsData[[#This Row],[Stage Number]]&gt;=3,1,0)</f>
        <v>0</v>
      </c>
      <c r="O4750" s="2">
        <f>IF(LeadsData[[#This Row],[Stage Number]]&gt;=4,1,0)</f>
        <v>0</v>
      </c>
    </row>
    <row r="4751" spans="1:15" x14ac:dyDescent="0.25">
      <c r="A4751" t="s">
        <v>4791</v>
      </c>
      <c r="B4751" s="1">
        <v>45558</v>
      </c>
      <c r="C4751" t="s">
        <v>31</v>
      </c>
      <c r="D4751" t="s">
        <v>34</v>
      </c>
      <c r="E4751" t="s">
        <v>21</v>
      </c>
      <c r="F4751" t="s">
        <v>14</v>
      </c>
      <c r="G4751" t="s">
        <v>29</v>
      </c>
      <c r="K4751" cm="1">
        <f t="array" ref="K4751">_xlfn.SWITCH(LeadsData[[#This Row],[Funnel Stage Reached]],"Lead",1,"MQL",2,"SQL",3,"Customer",4)</f>
        <v>3</v>
      </c>
      <c r="L4751" t="str">
        <f>TEXT(LeadsData[[#This Row],[Signup Date]],"mmm-yyyy")</f>
        <v>Sep-2024</v>
      </c>
      <c r="M4751">
        <f>IF(LeadsData[[#This Row],[Stage Number]]&gt;=2,1,0)</f>
        <v>1</v>
      </c>
      <c r="N4751" s="2">
        <f>IF(LeadsData[[#This Row],[Stage Number]]&gt;=3,1,0)</f>
        <v>1</v>
      </c>
      <c r="O4751" s="2">
        <f>IF(LeadsData[[#This Row],[Stage Number]]&gt;=4,1,0)</f>
        <v>0</v>
      </c>
    </row>
    <row r="4752" spans="1:15" x14ac:dyDescent="0.25">
      <c r="A4752" t="s">
        <v>4792</v>
      </c>
      <c r="B4752" s="1">
        <v>45633</v>
      </c>
      <c r="C4752" t="s">
        <v>31</v>
      </c>
      <c r="D4752" t="s">
        <v>32</v>
      </c>
      <c r="E4752" t="s">
        <v>21</v>
      </c>
      <c r="F4752" t="s">
        <v>19</v>
      </c>
      <c r="G4752" t="s">
        <v>15</v>
      </c>
      <c r="K4752" cm="1">
        <f t="array" ref="K4752">_xlfn.SWITCH(LeadsData[[#This Row],[Funnel Stage Reached]],"Lead",1,"MQL",2,"SQL",3,"Customer",4)</f>
        <v>1</v>
      </c>
      <c r="L4752" t="str">
        <f>TEXT(LeadsData[[#This Row],[Signup Date]],"mmm-yyyy")</f>
        <v>Dec-2024</v>
      </c>
      <c r="M4752">
        <f>IF(LeadsData[[#This Row],[Stage Number]]&gt;=2,1,0)</f>
        <v>0</v>
      </c>
      <c r="N4752" s="2">
        <f>IF(LeadsData[[#This Row],[Stage Number]]&gt;=3,1,0)</f>
        <v>0</v>
      </c>
      <c r="O4752" s="2">
        <f>IF(LeadsData[[#This Row],[Stage Number]]&gt;=4,1,0)</f>
        <v>0</v>
      </c>
    </row>
    <row r="4753" spans="1:15" x14ac:dyDescent="0.25">
      <c r="A4753" t="s">
        <v>4793</v>
      </c>
      <c r="B4753" s="1">
        <v>45603</v>
      </c>
      <c r="C4753" t="s">
        <v>31</v>
      </c>
      <c r="D4753" t="s">
        <v>32</v>
      </c>
      <c r="E4753" t="s">
        <v>21</v>
      </c>
      <c r="F4753" t="s">
        <v>14</v>
      </c>
      <c r="G4753" t="s">
        <v>29</v>
      </c>
      <c r="K4753" cm="1">
        <f t="array" ref="K4753">_xlfn.SWITCH(LeadsData[[#This Row],[Funnel Stage Reached]],"Lead",1,"MQL",2,"SQL",3,"Customer",4)</f>
        <v>3</v>
      </c>
      <c r="L4753" t="str">
        <f>TEXT(LeadsData[[#This Row],[Signup Date]],"mmm-yyyy")</f>
        <v>Nov-2024</v>
      </c>
      <c r="M4753">
        <f>IF(LeadsData[[#This Row],[Stage Number]]&gt;=2,1,0)</f>
        <v>1</v>
      </c>
      <c r="N4753" s="2">
        <f>IF(LeadsData[[#This Row],[Stage Number]]&gt;=3,1,0)</f>
        <v>1</v>
      </c>
      <c r="O4753" s="2">
        <f>IF(LeadsData[[#This Row],[Stage Number]]&gt;=4,1,0)</f>
        <v>0</v>
      </c>
    </row>
    <row r="4754" spans="1:15" x14ac:dyDescent="0.25">
      <c r="A4754" t="s">
        <v>4794</v>
      </c>
      <c r="B4754" s="1">
        <v>45484</v>
      </c>
      <c r="C4754" t="s">
        <v>11</v>
      </c>
      <c r="D4754" t="s">
        <v>79</v>
      </c>
      <c r="E4754" t="s">
        <v>13</v>
      </c>
      <c r="F4754" t="s">
        <v>22</v>
      </c>
      <c r="G4754" t="s">
        <v>23</v>
      </c>
      <c r="K4754" cm="1">
        <f t="array" ref="K4754">_xlfn.SWITCH(LeadsData[[#This Row],[Funnel Stage Reached]],"Lead",1,"MQL",2,"SQL",3,"Customer",4)</f>
        <v>2</v>
      </c>
      <c r="L4754" t="str">
        <f>TEXT(LeadsData[[#This Row],[Signup Date]],"mmm-yyyy")</f>
        <v>Jul-2024</v>
      </c>
      <c r="M4754">
        <f>IF(LeadsData[[#This Row],[Stage Number]]&gt;=2,1,0)</f>
        <v>1</v>
      </c>
      <c r="N4754" s="2">
        <f>IF(LeadsData[[#This Row],[Stage Number]]&gt;=3,1,0)</f>
        <v>0</v>
      </c>
      <c r="O4754" s="2">
        <f>IF(LeadsData[[#This Row],[Stage Number]]&gt;=4,1,0)</f>
        <v>0</v>
      </c>
    </row>
    <row r="4755" spans="1:15" x14ac:dyDescent="0.25">
      <c r="A4755" t="s">
        <v>4795</v>
      </c>
      <c r="B4755" s="1">
        <v>45367</v>
      </c>
      <c r="C4755" t="s">
        <v>31</v>
      </c>
      <c r="D4755" t="s">
        <v>34</v>
      </c>
      <c r="E4755" t="s">
        <v>48</v>
      </c>
      <c r="F4755" t="s">
        <v>28</v>
      </c>
      <c r="G4755" t="s">
        <v>15</v>
      </c>
      <c r="K4755" cm="1">
        <f t="array" ref="K4755">_xlfn.SWITCH(LeadsData[[#This Row],[Funnel Stage Reached]],"Lead",1,"MQL",2,"SQL",3,"Customer",4)</f>
        <v>1</v>
      </c>
      <c r="L4755" t="str">
        <f>TEXT(LeadsData[[#This Row],[Signup Date]],"mmm-yyyy")</f>
        <v>Mar-2024</v>
      </c>
      <c r="M4755">
        <f>IF(LeadsData[[#This Row],[Stage Number]]&gt;=2,1,0)</f>
        <v>0</v>
      </c>
      <c r="N4755" s="2">
        <f>IF(LeadsData[[#This Row],[Stage Number]]&gt;=3,1,0)</f>
        <v>0</v>
      </c>
      <c r="O4755" s="2">
        <f>IF(LeadsData[[#This Row],[Stage Number]]&gt;=4,1,0)</f>
        <v>0</v>
      </c>
    </row>
    <row r="4756" spans="1:15" x14ac:dyDescent="0.25">
      <c r="A4756" t="s">
        <v>4796</v>
      </c>
      <c r="B4756" s="1">
        <v>45514</v>
      </c>
      <c r="C4756" t="s">
        <v>31</v>
      </c>
      <c r="D4756" t="s">
        <v>34</v>
      </c>
      <c r="E4756" t="s">
        <v>21</v>
      </c>
      <c r="F4756" t="s">
        <v>22</v>
      </c>
      <c r="G4756" t="s">
        <v>29</v>
      </c>
      <c r="K4756" cm="1">
        <f t="array" ref="K4756">_xlfn.SWITCH(LeadsData[[#This Row],[Funnel Stage Reached]],"Lead",1,"MQL",2,"SQL",3,"Customer",4)</f>
        <v>3</v>
      </c>
      <c r="L4756" t="str">
        <f>TEXT(LeadsData[[#This Row],[Signup Date]],"mmm-yyyy")</f>
        <v>Aug-2024</v>
      </c>
      <c r="M4756">
        <f>IF(LeadsData[[#This Row],[Stage Number]]&gt;=2,1,0)</f>
        <v>1</v>
      </c>
      <c r="N4756" s="2">
        <f>IF(LeadsData[[#This Row],[Stage Number]]&gt;=3,1,0)</f>
        <v>1</v>
      </c>
      <c r="O4756" s="2">
        <f>IF(LeadsData[[#This Row],[Stage Number]]&gt;=4,1,0)</f>
        <v>0</v>
      </c>
    </row>
    <row r="4757" spans="1:15" x14ac:dyDescent="0.25">
      <c r="A4757" t="s">
        <v>4797</v>
      </c>
      <c r="B4757" s="1">
        <v>45599</v>
      </c>
      <c r="C4757" t="s">
        <v>25</v>
      </c>
      <c r="D4757" t="s">
        <v>26</v>
      </c>
      <c r="E4757" t="s">
        <v>13</v>
      </c>
      <c r="F4757" t="s">
        <v>19</v>
      </c>
      <c r="G4757" t="s">
        <v>15</v>
      </c>
      <c r="K4757" cm="1">
        <f t="array" ref="K4757">_xlfn.SWITCH(LeadsData[[#This Row],[Funnel Stage Reached]],"Lead",1,"MQL",2,"SQL",3,"Customer",4)</f>
        <v>1</v>
      </c>
      <c r="L4757" t="str">
        <f>TEXT(LeadsData[[#This Row],[Signup Date]],"mmm-yyyy")</f>
        <v>Nov-2024</v>
      </c>
      <c r="M4757">
        <f>IF(LeadsData[[#This Row],[Stage Number]]&gt;=2,1,0)</f>
        <v>0</v>
      </c>
      <c r="N4757" s="2">
        <f>IF(LeadsData[[#This Row],[Stage Number]]&gt;=3,1,0)</f>
        <v>0</v>
      </c>
      <c r="O4757" s="2">
        <f>IF(LeadsData[[#This Row],[Stage Number]]&gt;=4,1,0)</f>
        <v>0</v>
      </c>
    </row>
    <row r="4758" spans="1:15" x14ac:dyDescent="0.25">
      <c r="A4758" t="s">
        <v>4798</v>
      </c>
      <c r="B4758" s="1">
        <v>45543</v>
      </c>
      <c r="C4758" t="s">
        <v>46</v>
      </c>
      <c r="D4758" t="s">
        <v>47</v>
      </c>
      <c r="E4758" t="s">
        <v>13</v>
      </c>
      <c r="F4758" t="s">
        <v>14</v>
      </c>
      <c r="G4758" t="s">
        <v>23</v>
      </c>
      <c r="K4758" cm="1">
        <f t="array" ref="K4758">_xlfn.SWITCH(LeadsData[[#This Row],[Funnel Stage Reached]],"Lead",1,"MQL",2,"SQL",3,"Customer",4)</f>
        <v>2</v>
      </c>
      <c r="L4758" t="str">
        <f>TEXT(LeadsData[[#This Row],[Signup Date]],"mmm-yyyy")</f>
        <v>Sep-2024</v>
      </c>
      <c r="M4758">
        <f>IF(LeadsData[[#This Row],[Stage Number]]&gt;=2,1,0)</f>
        <v>1</v>
      </c>
      <c r="N4758" s="2">
        <f>IF(LeadsData[[#This Row],[Stage Number]]&gt;=3,1,0)</f>
        <v>0</v>
      </c>
      <c r="O4758" s="2">
        <f>IF(LeadsData[[#This Row],[Stage Number]]&gt;=4,1,0)</f>
        <v>0</v>
      </c>
    </row>
    <row r="4759" spans="1:15" x14ac:dyDescent="0.25">
      <c r="A4759" t="s">
        <v>4799</v>
      </c>
      <c r="B4759" s="1">
        <v>45602</v>
      </c>
      <c r="C4759" t="s">
        <v>31</v>
      </c>
      <c r="D4759" t="s">
        <v>32</v>
      </c>
      <c r="E4759" t="s">
        <v>13</v>
      </c>
      <c r="F4759" t="s">
        <v>19</v>
      </c>
      <c r="G4759" t="s">
        <v>29</v>
      </c>
      <c r="K4759" cm="1">
        <f t="array" ref="K4759">_xlfn.SWITCH(LeadsData[[#This Row],[Funnel Stage Reached]],"Lead",1,"MQL",2,"SQL",3,"Customer",4)</f>
        <v>3</v>
      </c>
      <c r="L4759" t="str">
        <f>TEXT(LeadsData[[#This Row],[Signup Date]],"mmm-yyyy")</f>
        <v>Nov-2024</v>
      </c>
      <c r="M4759">
        <f>IF(LeadsData[[#This Row],[Stage Number]]&gt;=2,1,0)</f>
        <v>1</v>
      </c>
      <c r="N4759" s="2">
        <f>IF(LeadsData[[#This Row],[Stage Number]]&gt;=3,1,0)</f>
        <v>1</v>
      </c>
      <c r="O4759" s="2">
        <f>IF(LeadsData[[#This Row],[Stage Number]]&gt;=4,1,0)</f>
        <v>0</v>
      </c>
    </row>
    <row r="4760" spans="1:15" x14ac:dyDescent="0.25">
      <c r="A4760" t="s">
        <v>4800</v>
      </c>
      <c r="B4760" s="1">
        <v>45362</v>
      </c>
      <c r="C4760" t="s">
        <v>31</v>
      </c>
      <c r="D4760" t="s">
        <v>32</v>
      </c>
      <c r="E4760" t="s">
        <v>13</v>
      </c>
      <c r="F4760" t="s">
        <v>19</v>
      </c>
      <c r="G4760" t="s">
        <v>15</v>
      </c>
      <c r="K4760" cm="1">
        <f t="array" ref="K4760">_xlfn.SWITCH(LeadsData[[#This Row],[Funnel Stage Reached]],"Lead",1,"MQL",2,"SQL",3,"Customer",4)</f>
        <v>1</v>
      </c>
      <c r="L4760" t="str">
        <f>TEXT(LeadsData[[#This Row],[Signup Date]],"mmm-yyyy")</f>
        <v>Mar-2024</v>
      </c>
      <c r="M4760">
        <f>IF(LeadsData[[#This Row],[Stage Number]]&gt;=2,1,0)</f>
        <v>0</v>
      </c>
      <c r="N4760" s="2">
        <f>IF(LeadsData[[#This Row],[Stage Number]]&gt;=3,1,0)</f>
        <v>0</v>
      </c>
      <c r="O4760" s="2">
        <f>IF(LeadsData[[#This Row],[Stage Number]]&gt;=4,1,0)</f>
        <v>0</v>
      </c>
    </row>
    <row r="4761" spans="1:15" x14ac:dyDescent="0.25">
      <c r="A4761" t="s">
        <v>4801</v>
      </c>
      <c r="B4761" s="1">
        <v>45415</v>
      </c>
      <c r="C4761" t="s">
        <v>11</v>
      </c>
      <c r="D4761" t="s">
        <v>79</v>
      </c>
      <c r="E4761" t="s">
        <v>13</v>
      </c>
      <c r="F4761" t="s">
        <v>19</v>
      </c>
      <c r="G4761" t="s">
        <v>15</v>
      </c>
      <c r="K4761" cm="1">
        <f t="array" ref="K4761">_xlfn.SWITCH(LeadsData[[#This Row],[Funnel Stage Reached]],"Lead",1,"MQL",2,"SQL",3,"Customer",4)</f>
        <v>1</v>
      </c>
      <c r="L4761" t="str">
        <f>TEXT(LeadsData[[#This Row],[Signup Date]],"mmm-yyyy")</f>
        <v>May-2024</v>
      </c>
      <c r="M4761">
        <f>IF(LeadsData[[#This Row],[Stage Number]]&gt;=2,1,0)</f>
        <v>0</v>
      </c>
      <c r="N4761" s="2">
        <f>IF(LeadsData[[#This Row],[Stage Number]]&gt;=3,1,0)</f>
        <v>0</v>
      </c>
      <c r="O4761" s="2">
        <f>IF(LeadsData[[#This Row],[Stage Number]]&gt;=4,1,0)</f>
        <v>0</v>
      </c>
    </row>
    <row r="4762" spans="1:15" x14ac:dyDescent="0.25">
      <c r="A4762" t="s">
        <v>4802</v>
      </c>
      <c r="B4762" s="1">
        <v>45459</v>
      </c>
      <c r="C4762" t="s">
        <v>11</v>
      </c>
      <c r="D4762" t="s">
        <v>12</v>
      </c>
      <c r="E4762" t="s">
        <v>21</v>
      </c>
      <c r="F4762" t="s">
        <v>22</v>
      </c>
      <c r="G4762" t="s">
        <v>29</v>
      </c>
      <c r="K4762" cm="1">
        <f t="array" ref="K4762">_xlfn.SWITCH(LeadsData[[#This Row],[Funnel Stage Reached]],"Lead",1,"MQL",2,"SQL",3,"Customer",4)</f>
        <v>3</v>
      </c>
      <c r="L4762" t="str">
        <f>TEXT(LeadsData[[#This Row],[Signup Date]],"mmm-yyyy")</f>
        <v>Jun-2024</v>
      </c>
      <c r="M4762">
        <f>IF(LeadsData[[#This Row],[Stage Number]]&gt;=2,1,0)</f>
        <v>1</v>
      </c>
      <c r="N4762" s="2">
        <f>IF(LeadsData[[#This Row],[Stage Number]]&gt;=3,1,0)</f>
        <v>1</v>
      </c>
      <c r="O4762" s="2">
        <f>IF(LeadsData[[#This Row],[Stage Number]]&gt;=4,1,0)</f>
        <v>0</v>
      </c>
    </row>
    <row r="4763" spans="1:15" x14ac:dyDescent="0.25">
      <c r="A4763" t="s">
        <v>4803</v>
      </c>
      <c r="B4763" s="1">
        <v>45318</v>
      </c>
      <c r="C4763" t="s">
        <v>31</v>
      </c>
      <c r="D4763" t="s">
        <v>34</v>
      </c>
      <c r="E4763" t="s">
        <v>48</v>
      </c>
      <c r="F4763" t="s">
        <v>22</v>
      </c>
      <c r="G4763" t="s">
        <v>29</v>
      </c>
      <c r="K4763" cm="1">
        <f t="array" ref="K4763">_xlfn.SWITCH(LeadsData[[#This Row],[Funnel Stage Reached]],"Lead",1,"MQL",2,"SQL",3,"Customer",4)</f>
        <v>3</v>
      </c>
      <c r="L4763" t="str">
        <f>TEXT(LeadsData[[#This Row],[Signup Date]],"mmm-yyyy")</f>
        <v>Jan-2024</v>
      </c>
      <c r="M4763">
        <f>IF(LeadsData[[#This Row],[Stage Number]]&gt;=2,1,0)</f>
        <v>1</v>
      </c>
      <c r="N4763" s="2">
        <f>IF(LeadsData[[#This Row],[Stage Number]]&gt;=3,1,0)</f>
        <v>1</v>
      </c>
      <c r="O4763" s="2">
        <f>IF(LeadsData[[#This Row],[Stage Number]]&gt;=4,1,0)</f>
        <v>0</v>
      </c>
    </row>
    <row r="4764" spans="1:15" x14ac:dyDescent="0.25">
      <c r="A4764" t="s">
        <v>4804</v>
      </c>
      <c r="B4764" s="1">
        <v>45559</v>
      </c>
      <c r="C4764" t="s">
        <v>25</v>
      </c>
      <c r="D4764" t="s">
        <v>26</v>
      </c>
      <c r="E4764" t="s">
        <v>21</v>
      </c>
      <c r="F4764" t="s">
        <v>19</v>
      </c>
      <c r="G4764" t="s">
        <v>15</v>
      </c>
      <c r="K4764" cm="1">
        <f t="array" ref="K4764">_xlfn.SWITCH(LeadsData[[#This Row],[Funnel Stage Reached]],"Lead",1,"MQL",2,"SQL",3,"Customer",4)</f>
        <v>1</v>
      </c>
      <c r="L4764" t="str">
        <f>TEXT(LeadsData[[#This Row],[Signup Date]],"mmm-yyyy")</f>
        <v>Sep-2024</v>
      </c>
      <c r="M4764">
        <f>IF(LeadsData[[#This Row],[Stage Number]]&gt;=2,1,0)</f>
        <v>0</v>
      </c>
      <c r="N4764" s="2">
        <f>IF(LeadsData[[#This Row],[Stage Number]]&gt;=3,1,0)</f>
        <v>0</v>
      </c>
      <c r="O4764" s="2">
        <f>IF(LeadsData[[#This Row],[Stage Number]]&gt;=4,1,0)</f>
        <v>0</v>
      </c>
    </row>
    <row r="4765" spans="1:15" x14ac:dyDescent="0.25">
      <c r="A4765" t="s">
        <v>4805</v>
      </c>
      <c r="B4765" s="1">
        <v>45365</v>
      </c>
      <c r="C4765" t="s">
        <v>46</v>
      </c>
      <c r="D4765" t="s">
        <v>47</v>
      </c>
      <c r="E4765" t="s">
        <v>13</v>
      </c>
      <c r="F4765" t="s">
        <v>22</v>
      </c>
      <c r="G4765" t="s">
        <v>29</v>
      </c>
      <c r="K4765" cm="1">
        <f t="array" ref="K4765">_xlfn.SWITCH(LeadsData[[#This Row],[Funnel Stage Reached]],"Lead",1,"MQL",2,"SQL",3,"Customer",4)</f>
        <v>3</v>
      </c>
      <c r="L4765" t="str">
        <f>TEXT(LeadsData[[#This Row],[Signup Date]],"mmm-yyyy")</f>
        <v>Mar-2024</v>
      </c>
      <c r="M4765">
        <f>IF(LeadsData[[#This Row],[Stage Number]]&gt;=2,1,0)</f>
        <v>1</v>
      </c>
      <c r="N4765" s="2">
        <f>IF(LeadsData[[#This Row],[Stage Number]]&gt;=3,1,0)</f>
        <v>1</v>
      </c>
      <c r="O4765" s="2">
        <f>IF(LeadsData[[#This Row],[Stage Number]]&gt;=4,1,0)</f>
        <v>0</v>
      </c>
    </row>
    <row r="4766" spans="1:15" x14ac:dyDescent="0.25">
      <c r="A4766" t="s">
        <v>4806</v>
      </c>
      <c r="B4766" s="1">
        <v>45364</v>
      </c>
      <c r="C4766" t="s">
        <v>31</v>
      </c>
      <c r="D4766" t="s">
        <v>34</v>
      </c>
      <c r="E4766" t="s">
        <v>13</v>
      </c>
      <c r="F4766" t="s">
        <v>22</v>
      </c>
      <c r="G4766" t="s">
        <v>29</v>
      </c>
      <c r="K4766" cm="1">
        <f t="array" ref="K4766">_xlfn.SWITCH(LeadsData[[#This Row],[Funnel Stage Reached]],"Lead",1,"MQL",2,"SQL",3,"Customer",4)</f>
        <v>3</v>
      </c>
      <c r="L4766" t="str">
        <f>TEXT(LeadsData[[#This Row],[Signup Date]],"mmm-yyyy")</f>
        <v>Mar-2024</v>
      </c>
      <c r="M4766">
        <f>IF(LeadsData[[#This Row],[Stage Number]]&gt;=2,1,0)</f>
        <v>1</v>
      </c>
      <c r="N4766" s="2">
        <f>IF(LeadsData[[#This Row],[Stage Number]]&gt;=3,1,0)</f>
        <v>1</v>
      </c>
      <c r="O4766" s="2">
        <f>IF(LeadsData[[#This Row],[Stage Number]]&gt;=4,1,0)</f>
        <v>0</v>
      </c>
    </row>
    <row r="4767" spans="1:15" x14ac:dyDescent="0.25">
      <c r="A4767" t="s">
        <v>4807</v>
      </c>
      <c r="B4767" s="1">
        <v>45363</v>
      </c>
      <c r="C4767" t="s">
        <v>46</v>
      </c>
      <c r="D4767" t="s">
        <v>56</v>
      </c>
      <c r="E4767" t="s">
        <v>13</v>
      </c>
      <c r="F4767" t="s">
        <v>22</v>
      </c>
      <c r="G4767" t="s">
        <v>15</v>
      </c>
      <c r="K4767" cm="1">
        <f t="array" ref="K4767">_xlfn.SWITCH(LeadsData[[#This Row],[Funnel Stage Reached]],"Lead",1,"MQL",2,"SQL",3,"Customer",4)</f>
        <v>1</v>
      </c>
      <c r="L4767" t="str">
        <f>TEXT(LeadsData[[#This Row],[Signup Date]],"mmm-yyyy")</f>
        <v>Mar-2024</v>
      </c>
      <c r="M4767">
        <f>IF(LeadsData[[#This Row],[Stage Number]]&gt;=2,1,0)</f>
        <v>0</v>
      </c>
      <c r="N4767" s="2">
        <f>IF(LeadsData[[#This Row],[Stage Number]]&gt;=3,1,0)</f>
        <v>0</v>
      </c>
      <c r="O4767" s="2">
        <f>IF(LeadsData[[#This Row],[Stage Number]]&gt;=4,1,0)</f>
        <v>0</v>
      </c>
    </row>
    <row r="4768" spans="1:15" x14ac:dyDescent="0.25">
      <c r="A4768" t="s">
        <v>4808</v>
      </c>
      <c r="B4768" s="1">
        <v>45516</v>
      </c>
      <c r="C4768" t="s">
        <v>31</v>
      </c>
      <c r="D4768" t="s">
        <v>34</v>
      </c>
      <c r="E4768" t="s">
        <v>13</v>
      </c>
      <c r="F4768" t="s">
        <v>19</v>
      </c>
      <c r="G4768" t="s">
        <v>29</v>
      </c>
      <c r="K4768" cm="1">
        <f t="array" ref="K4768">_xlfn.SWITCH(LeadsData[[#This Row],[Funnel Stage Reached]],"Lead",1,"MQL",2,"SQL",3,"Customer",4)</f>
        <v>3</v>
      </c>
      <c r="L4768" t="str">
        <f>TEXT(LeadsData[[#This Row],[Signup Date]],"mmm-yyyy")</f>
        <v>Aug-2024</v>
      </c>
      <c r="M4768">
        <f>IF(LeadsData[[#This Row],[Stage Number]]&gt;=2,1,0)</f>
        <v>1</v>
      </c>
      <c r="N4768" s="2">
        <f>IF(LeadsData[[#This Row],[Stage Number]]&gt;=3,1,0)</f>
        <v>1</v>
      </c>
      <c r="O4768" s="2">
        <f>IF(LeadsData[[#This Row],[Stage Number]]&gt;=4,1,0)</f>
        <v>0</v>
      </c>
    </row>
    <row r="4769" spans="1:15" x14ac:dyDescent="0.25">
      <c r="A4769" t="s">
        <v>4809</v>
      </c>
      <c r="B4769" s="1">
        <v>45438</v>
      </c>
      <c r="C4769" t="s">
        <v>25</v>
      </c>
      <c r="D4769" t="s">
        <v>26</v>
      </c>
      <c r="E4769" t="s">
        <v>13</v>
      </c>
      <c r="F4769" t="s">
        <v>14</v>
      </c>
      <c r="G4769" t="s">
        <v>23</v>
      </c>
      <c r="K4769" cm="1">
        <f t="array" ref="K4769">_xlfn.SWITCH(LeadsData[[#This Row],[Funnel Stage Reached]],"Lead",1,"MQL",2,"SQL",3,"Customer",4)</f>
        <v>2</v>
      </c>
      <c r="L4769" t="str">
        <f>TEXT(LeadsData[[#This Row],[Signup Date]],"mmm-yyyy")</f>
        <v>May-2024</v>
      </c>
      <c r="M4769">
        <f>IF(LeadsData[[#This Row],[Stage Number]]&gt;=2,1,0)</f>
        <v>1</v>
      </c>
      <c r="N4769" s="2">
        <f>IF(LeadsData[[#This Row],[Stage Number]]&gt;=3,1,0)</f>
        <v>0</v>
      </c>
      <c r="O4769" s="2">
        <f>IF(LeadsData[[#This Row],[Stage Number]]&gt;=4,1,0)</f>
        <v>0</v>
      </c>
    </row>
    <row r="4770" spans="1:15" x14ac:dyDescent="0.25">
      <c r="A4770" t="s">
        <v>4810</v>
      </c>
      <c r="B4770" s="1">
        <v>45556</v>
      </c>
      <c r="C4770" t="s">
        <v>11</v>
      </c>
      <c r="D4770" t="s">
        <v>79</v>
      </c>
      <c r="E4770" t="s">
        <v>13</v>
      </c>
      <c r="F4770" t="s">
        <v>19</v>
      </c>
      <c r="G4770" t="s">
        <v>15</v>
      </c>
      <c r="K4770" cm="1">
        <f t="array" ref="K4770">_xlfn.SWITCH(LeadsData[[#This Row],[Funnel Stage Reached]],"Lead",1,"MQL",2,"SQL",3,"Customer",4)</f>
        <v>1</v>
      </c>
      <c r="L4770" t="str">
        <f>TEXT(LeadsData[[#This Row],[Signup Date]],"mmm-yyyy")</f>
        <v>Sep-2024</v>
      </c>
      <c r="M4770">
        <f>IF(LeadsData[[#This Row],[Stage Number]]&gt;=2,1,0)</f>
        <v>0</v>
      </c>
      <c r="N4770" s="2">
        <f>IF(LeadsData[[#This Row],[Stage Number]]&gt;=3,1,0)</f>
        <v>0</v>
      </c>
      <c r="O4770" s="2">
        <f>IF(LeadsData[[#This Row],[Stage Number]]&gt;=4,1,0)</f>
        <v>0</v>
      </c>
    </row>
    <row r="4771" spans="1:15" x14ac:dyDescent="0.25">
      <c r="A4771" t="s">
        <v>4811</v>
      </c>
      <c r="B4771" s="1">
        <v>45361</v>
      </c>
      <c r="C4771" t="s">
        <v>17</v>
      </c>
      <c r="D4771" t="s">
        <v>53</v>
      </c>
      <c r="E4771" t="s">
        <v>21</v>
      </c>
      <c r="F4771" t="s">
        <v>14</v>
      </c>
      <c r="G4771" t="s">
        <v>15</v>
      </c>
      <c r="K4771" cm="1">
        <f t="array" ref="K4771">_xlfn.SWITCH(LeadsData[[#This Row],[Funnel Stage Reached]],"Lead",1,"MQL",2,"SQL",3,"Customer",4)</f>
        <v>1</v>
      </c>
      <c r="L4771" t="str">
        <f>TEXT(LeadsData[[#This Row],[Signup Date]],"mmm-yyyy")</f>
        <v>Mar-2024</v>
      </c>
      <c r="M4771">
        <f>IF(LeadsData[[#This Row],[Stage Number]]&gt;=2,1,0)</f>
        <v>0</v>
      </c>
      <c r="N4771" s="2">
        <f>IF(LeadsData[[#This Row],[Stage Number]]&gt;=3,1,0)</f>
        <v>0</v>
      </c>
      <c r="O4771" s="2">
        <f>IF(LeadsData[[#This Row],[Stage Number]]&gt;=4,1,0)</f>
        <v>0</v>
      </c>
    </row>
    <row r="4772" spans="1:15" x14ac:dyDescent="0.25">
      <c r="A4772" t="s">
        <v>4812</v>
      </c>
      <c r="B4772" s="1">
        <v>45591</v>
      </c>
      <c r="C4772" t="s">
        <v>31</v>
      </c>
      <c r="D4772" t="s">
        <v>32</v>
      </c>
      <c r="E4772" t="s">
        <v>21</v>
      </c>
      <c r="F4772" t="s">
        <v>14</v>
      </c>
      <c r="G4772" t="s">
        <v>15</v>
      </c>
      <c r="K4772" cm="1">
        <f t="array" ref="K4772">_xlfn.SWITCH(LeadsData[[#This Row],[Funnel Stage Reached]],"Lead",1,"MQL",2,"SQL",3,"Customer",4)</f>
        <v>1</v>
      </c>
      <c r="L4772" t="str">
        <f>TEXT(LeadsData[[#This Row],[Signup Date]],"mmm-yyyy")</f>
        <v>Oct-2024</v>
      </c>
      <c r="M4772">
        <f>IF(LeadsData[[#This Row],[Stage Number]]&gt;=2,1,0)</f>
        <v>0</v>
      </c>
      <c r="N4772" s="2">
        <f>IF(LeadsData[[#This Row],[Stage Number]]&gt;=3,1,0)</f>
        <v>0</v>
      </c>
      <c r="O4772" s="2">
        <f>IF(LeadsData[[#This Row],[Stage Number]]&gt;=4,1,0)</f>
        <v>0</v>
      </c>
    </row>
    <row r="4773" spans="1:15" x14ac:dyDescent="0.25">
      <c r="A4773" t="s">
        <v>4813</v>
      </c>
      <c r="B4773" s="1">
        <v>45307</v>
      </c>
      <c r="C4773" t="s">
        <v>31</v>
      </c>
      <c r="D4773" t="s">
        <v>34</v>
      </c>
      <c r="E4773" t="s">
        <v>13</v>
      </c>
      <c r="F4773" t="s">
        <v>14</v>
      </c>
      <c r="G4773" t="s">
        <v>29</v>
      </c>
      <c r="K4773" cm="1">
        <f t="array" ref="K4773">_xlfn.SWITCH(LeadsData[[#This Row],[Funnel Stage Reached]],"Lead",1,"MQL",2,"SQL",3,"Customer",4)</f>
        <v>3</v>
      </c>
      <c r="L4773" t="str">
        <f>TEXT(LeadsData[[#This Row],[Signup Date]],"mmm-yyyy")</f>
        <v>Jan-2024</v>
      </c>
      <c r="M4773">
        <f>IF(LeadsData[[#This Row],[Stage Number]]&gt;=2,1,0)</f>
        <v>1</v>
      </c>
      <c r="N4773" s="2">
        <f>IF(LeadsData[[#This Row],[Stage Number]]&gt;=3,1,0)</f>
        <v>1</v>
      </c>
      <c r="O4773" s="2">
        <f>IF(LeadsData[[#This Row],[Stage Number]]&gt;=4,1,0)</f>
        <v>0</v>
      </c>
    </row>
    <row r="4774" spans="1:15" x14ac:dyDescent="0.25">
      <c r="A4774" t="s">
        <v>4814</v>
      </c>
      <c r="B4774" s="1">
        <v>45375</v>
      </c>
      <c r="C4774" t="s">
        <v>17</v>
      </c>
      <c r="D4774" t="s">
        <v>18</v>
      </c>
      <c r="E4774" t="s">
        <v>13</v>
      </c>
      <c r="F4774" t="s">
        <v>19</v>
      </c>
      <c r="G4774" t="s">
        <v>15</v>
      </c>
      <c r="K4774" cm="1">
        <f t="array" ref="K4774">_xlfn.SWITCH(LeadsData[[#This Row],[Funnel Stage Reached]],"Lead",1,"MQL",2,"SQL",3,"Customer",4)</f>
        <v>1</v>
      </c>
      <c r="L4774" t="str">
        <f>TEXT(LeadsData[[#This Row],[Signup Date]],"mmm-yyyy")</f>
        <v>Mar-2024</v>
      </c>
      <c r="M4774">
        <f>IF(LeadsData[[#This Row],[Stage Number]]&gt;=2,1,0)</f>
        <v>0</v>
      </c>
      <c r="N4774" s="2">
        <f>IF(LeadsData[[#This Row],[Stage Number]]&gt;=3,1,0)</f>
        <v>0</v>
      </c>
      <c r="O4774" s="2">
        <f>IF(LeadsData[[#This Row],[Stage Number]]&gt;=4,1,0)</f>
        <v>0</v>
      </c>
    </row>
    <row r="4775" spans="1:15" x14ac:dyDescent="0.25">
      <c r="A4775" t="s">
        <v>4815</v>
      </c>
      <c r="B4775" s="1">
        <v>45358</v>
      </c>
      <c r="C4775" t="s">
        <v>31</v>
      </c>
      <c r="D4775" t="s">
        <v>32</v>
      </c>
      <c r="E4775" t="s">
        <v>13</v>
      </c>
      <c r="F4775" t="s">
        <v>28</v>
      </c>
      <c r="G4775" t="s">
        <v>15</v>
      </c>
      <c r="K4775" cm="1">
        <f t="array" ref="K4775">_xlfn.SWITCH(LeadsData[[#This Row],[Funnel Stage Reached]],"Lead",1,"MQL",2,"SQL",3,"Customer",4)</f>
        <v>1</v>
      </c>
      <c r="L4775" t="str">
        <f>TEXT(LeadsData[[#This Row],[Signup Date]],"mmm-yyyy")</f>
        <v>Mar-2024</v>
      </c>
      <c r="M4775">
        <f>IF(LeadsData[[#This Row],[Stage Number]]&gt;=2,1,0)</f>
        <v>0</v>
      </c>
      <c r="N4775" s="2">
        <f>IF(LeadsData[[#This Row],[Stage Number]]&gt;=3,1,0)</f>
        <v>0</v>
      </c>
      <c r="O4775" s="2">
        <f>IF(LeadsData[[#This Row],[Stage Number]]&gt;=4,1,0)</f>
        <v>0</v>
      </c>
    </row>
    <row r="4776" spans="1:15" x14ac:dyDescent="0.25">
      <c r="A4776" t="s">
        <v>4816</v>
      </c>
      <c r="B4776" s="1">
        <v>45370</v>
      </c>
      <c r="C4776" t="s">
        <v>46</v>
      </c>
      <c r="D4776" t="s">
        <v>56</v>
      </c>
      <c r="E4776" t="s">
        <v>13</v>
      </c>
      <c r="F4776" t="s">
        <v>19</v>
      </c>
      <c r="G4776" t="s">
        <v>29</v>
      </c>
      <c r="K4776" cm="1">
        <f t="array" ref="K4776">_xlfn.SWITCH(LeadsData[[#This Row],[Funnel Stage Reached]],"Lead",1,"MQL",2,"SQL",3,"Customer",4)</f>
        <v>3</v>
      </c>
      <c r="L4776" t="str">
        <f>TEXT(LeadsData[[#This Row],[Signup Date]],"mmm-yyyy")</f>
        <v>Mar-2024</v>
      </c>
      <c r="M4776">
        <f>IF(LeadsData[[#This Row],[Stage Number]]&gt;=2,1,0)</f>
        <v>1</v>
      </c>
      <c r="N4776" s="2">
        <f>IF(LeadsData[[#This Row],[Stage Number]]&gt;=3,1,0)</f>
        <v>1</v>
      </c>
      <c r="O4776" s="2">
        <f>IF(LeadsData[[#This Row],[Stage Number]]&gt;=4,1,0)</f>
        <v>0</v>
      </c>
    </row>
    <row r="4777" spans="1:15" x14ac:dyDescent="0.25">
      <c r="A4777" t="s">
        <v>4817</v>
      </c>
      <c r="B4777" s="1">
        <v>45422</v>
      </c>
      <c r="C4777" t="s">
        <v>31</v>
      </c>
      <c r="D4777" t="s">
        <v>32</v>
      </c>
      <c r="E4777" t="s">
        <v>21</v>
      </c>
      <c r="F4777" t="s">
        <v>19</v>
      </c>
      <c r="G4777" t="s">
        <v>42</v>
      </c>
      <c r="H4777">
        <v>68</v>
      </c>
      <c r="I4777" t="s">
        <v>43</v>
      </c>
      <c r="J4777">
        <v>815.27</v>
      </c>
      <c r="K4777" cm="1">
        <f t="array" ref="K4777">_xlfn.SWITCH(LeadsData[[#This Row],[Funnel Stage Reached]],"Lead",1,"MQL",2,"SQL",3,"Customer",4)</f>
        <v>4</v>
      </c>
      <c r="L4777" t="str">
        <f>TEXT(LeadsData[[#This Row],[Signup Date]],"mmm-yyyy")</f>
        <v>May-2024</v>
      </c>
      <c r="M4777">
        <f>IF(LeadsData[[#This Row],[Stage Number]]&gt;=2,1,0)</f>
        <v>1</v>
      </c>
      <c r="N4777" s="2">
        <f>IF(LeadsData[[#This Row],[Stage Number]]&gt;=3,1,0)</f>
        <v>1</v>
      </c>
      <c r="O4777" s="2">
        <f>IF(LeadsData[[#This Row],[Stage Number]]&gt;=4,1,0)</f>
        <v>1</v>
      </c>
    </row>
    <row r="4778" spans="1:15" x14ac:dyDescent="0.25">
      <c r="A4778" t="s">
        <v>4818</v>
      </c>
      <c r="B4778" s="1">
        <v>45620</v>
      </c>
      <c r="C4778" t="s">
        <v>46</v>
      </c>
      <c r="D4778" t="s">
        <v>47</v>
      </c>
      <c r="E4778" t="s">
        <v>13</v>
      </c>
      <c r="F4778" t="s">
        <v>19</v>
      </c>
      <c r="G4778" t="s">
        <v>23</v>
      </c>
      <c r="K4778" cm="1">
        <f t="array" ref="K4778">_xlfn.SWITCH(LeadsData[[#This Row],[Funnel Stage Reached]],"Lead",1,"MQL",2,"SQL",3,"Customer",4)</f>
        <v>2</v>
      </c>
      <c r="L4778" t="str">
        <f>TEXT(LeadsData[[#This Row],[Signup Date]],"mmm-yyyy")</f>
        <v>Nov-2024</v>
      </c>
      <c r="M4778">
        <f>IF(LeadsData[[#This Row],[Stage Number]]&gt;=2,1,0)</f>
        <v>1</v>
      </c>
      <c r="N4778" s="2">
        <f>IF(LeadsData[[#This Row],[Stage Number]]&gt;=3,1,0)</f>
        <v>0</v>
      </c>
      <c r="O4778" s="2">
        <f>IF(LeadsData[[#This Row],[Stage Number]]&gt;=4,1,0)</f>
        <v>0</v>
      </c>
    </row>
    <row r="4779" spans="1:15" x14ac:dyDescent="0.25">
      <c r="A4779" t="s">
        <v>4819</v>
      </c>
      <c r="B4779" s="1">
        <v>45386</v>
      </c>
      <c r="C4779" t="s">
        <v>36</v>
      </c>
      <c r="D4779" t="s">
        <v>37</v>
      </c>
      <c r="E4779" t="s">
        <v>13</v>
      </c>
      <c r="F4779" t="s">
        <v>22</v>
      </c>
      <c r="G4779" t="s">
        <v>29</v>
      </c>
      <c r="K4779" cm="1">
        <f t="array" ref="K4779">_xlfn.SWITCH(LeadsData[[#This Row],[Funnel Stage Reached]],"Lead",1,"MQL",2,"SQL",3,"Customer",4)</f>
        <v>3</v>
      </c>
      <c r="L4779" t="str">
        <f>TEXT(LeadsData[[#This Row],[Signup Date]],"mmm-yyyy")</f>
        <v>Apr-2024</v>
      </c>
      <c r="M4779">
        <f>IF(LeadsData[[#This Row],[Stage Number]]&gt;=2,1,0)</f>
        <v>1</v>
      </c>
      <c r="N4779" s="2">
        <f>IF(LeadsData[[#This Row],[Stage Number]]&gt;=3,1,0)</f>
        <v>1</v>
      </c>
      <c r="O4779" s="2">
        <f>IF(LeadsData[[#This Row],[Stage Number]]&gt;=4,1,0)</f>
        <v>0</v>
      </c>
    </row>
    <row r="4780" spans="1:15" x14ac:dyDescent="0.25">
      <c r="A4780" t="s">
        <v>4820</v>
      </c>
      <c r="B4780" s="1">
        <v>45591</v>
      </c>
      <c r="C4780" t="s">
        <v>11</v>
      </c>
      <c r="D4780" t="s">
        <v>12</v>
      </c>
      <c r="E4780" t="s">
        <v>21</v>
      </c>
      <c r="F4780" t="s">
        <v>19</v>
      </c>
      <c r="G4780" t="s">
        <v>15</v>
      </c>
      <c r="K4780" cm="1">
        <f t="array" ref="K4780">_xlfn.SWITCH(LeadsData[[#This Row],[Funnel Stage Reached]],"Lead",1,"MQL",2,"SQL",3,"Customer",4)</f>
        <v>1</v>
      </c>
      <c r="L4780" t="str">
        <f>TEXT(LeadsData[[#This Row],[Signup Date]],"mmm-yyyy")</f>
        <v>Oct-2024</v>
      </c>
      <c r="M4780">
        <f>IF(LeadsData[[#This Row],[Stage Number]]&gt;=2,1,0)</f>
        <v>0</v>
      </c>
      <c r="N4780" s="2">
        <f>IF(LeadsData[[#This Row],[Stage Number]]&gt;=3,1,0)</f>
        <v>0</v>
      </c>
      <c r="O4780" s="2">
        <f>IF(LeadsData[[#This Row],[Stage Number]]&gt;=4,1,0)</f>
        <v>0</v>
      </c>
    </row>
    <row r="4781" spans="1:15" x14ac:dyDescent="0.25">
      <c r="A4781" t="s">
        <v>4821</v>
      </c>
      <c r="B4781" s="1">
        <v>45357</v>
      </c>
      <c r="C4781" t="s">
        <v>31</v>
      </c>
      <c r="D4781" t="s">
        <v>34</v>
      </c>
      <c r="E4781" t="s">
        <v>13</v>
      </c>
      <c r="F4781" t="s">
        <v>14</v>
      </c>
      <c r="G4781" t="s">
        <v>15</v>
      </c>
      <c r="K4781" cm="1">
        <f t="array" ref="K4781">_xlfn.SWITCH(LeadsData[[#This Row],[Funnel Stage Reached]],"Lead",1,"MQL",2,"SQL",3,"Customer",4)</f>
        <v>1</v>
      </c>
      <c r="L4781" t="str">
        <f>TEXT(LeadsData[[#This Row],[Signup Date]],"mmm-yyyy")</f>
        <v>Mar-2024</v>
      </c>
      <c r="M4781">
        <f>IF(LeadsData[[#This Row],[Stage Number]]&gt;=2,1,0)</f>
        <v>0</v>
      </c>
      <c r="N4781" s="2">
        <f>IF(LeadsData[[#This Row],[Stage Number]]&gt;=3,1,0)</f>
        <v>0</v>
      </c>
      <c r="O4781" s="2">
        <f>IF(LeadsData[[#This Row],[Stage Number]]&gt;=4,1,0)</f>
        <v>0</v>
      </c>
    </row>
    <row r="4782" spans="1:15" x14ac:dyDescent="0.25">
      <c r="A4782" t="s">
        <v>4822</v>
      </c>
      <c r="B4782" s="1">
        <v>45329</v>
      </c>
      <c r="C4782" t="s">
        <v>17</v>
      </c>
      <c r="D4782" t="s">
        <v>53</v>
      </c>
      <c r="E4782" t="s">
        <v>13</v>
      </c>
      <c r="F4782" t="s">
        <v>19</v>
      </c>
      <c r="G4782" t="s">
        <v>15</v>
      </c>
      <c r="K4782" cm="1">
        <f t="array" ref="K4782">_xlfn.SWITCH(LeadsData[[#This Row],[Funnel Stage Reached]],"Lead",1,"MQL",2,"SQL",3,"Customer",4)</f>
        <v>1</v>
      </c>
      <c r="L4782" t="str">
        <f>TEXT(LeadsData[[#This Row],[Signup Date]],"mmm-yyyy")</f>
        <v>Feb-2024</v>
      </c>
      <c r="M4782">
        <f>IF(LeadsData[[#This Row],[Stage Number]]&gt;=2,1,0)</f>
        <v>0</v>
      </c>
      <c r="N4782" s="2">
        <f>IF(LeadsData[[#This Row],[Stage Number]]&gt;=3,1,0)</f>
        <v>0</v>
      </c>
      <c r="O4782" s="2">
        <f>IF(LeadsData[[#This Row],[Stage Number]]&gt;=4,1,0)</f>
        <v>0</v>
      </c>
    </row>
    <row r="4783" spans="1:15" x14ac:dyDescent="0.25">
      <c r="A4783" t="s">
        <v>4823</v>
      </c>
      <c r="B4783" s="1">
        <v>45624</v>
      </c>
      <c r="C4783" t="s">
        <v>17</v>
      </c>
      <c r="D4783" t="s">
        <v>53</v>
      </c>
      <c r="E4783" t="s">
        <v>21</v>
      </c>
      <c r="F4783" t="s">
        <v>14</v>
      </c>
      <c r="G4783" t="s">
        <v>23</v>
      </c>
      <c r="K4783" cm="1">
        <f t="array" ref="K4783">_xlfn.SWITCH(LeadsData[[#This Row],[Funnel Stage Reached]],"Lead",1,"MQL",2,"SQL",3,"Customer",4)</f>
        <v>2</v>
      </c>
      <c r="L4783" t="str">
        <f>TEXT(LeadsData[[#This Row],[Signup Date]],"mmm-yyyy")</f>
        <v>Nov-2024</v>
      </c>
      <c r="M4783">
        <f>IF(LeadsData[[#This Row],[Stage Number]]&gt;=2,1,0)</f>
        <v>1</v>
      </c>
      <c r="N4783" s="2">
        <f>IF(LeadsData[[#This Row],[Stage Number]]&gt;=3,1,0)</f>
        <v>0</v>
      </c>
      <c r="O4783" s="2">
        <f>IF(LeadsData[[#This Row],[Stage Number]]&gt;=4,1,0)</f>
        <v>0</v>
      </c>
    </row>
    <row r="4784" spans="1:15" x14ac:dyDescent="0.25">
      <c r="A4784" t="s">
        <v>4824</v>
      </c>
      <c r="B4784" s="1">
        <v>45391</v>
      </c>
      <c r="C4784" t="s">
        <v>31</v>
      </c>
      <c r="D4784" t="s">
        <v>34</v>
      </c>
      <c r="E4784" t="s">
        <v>21</v>
      </c>
      <c r="F4784" t="s">
        <v>19</v>
      </c>
      <c r="G4784" t="s">
        <v>29</v>
      </c>
      <c r="K4784" cm="1">
        <f t="array" ref="K4784">_xlfn.SWITCH(LeadsData[[#This Row],[Funnel Stage Reached]],"Lead",1,"MQL",2,"SQL",3,"Customer",4)</f>
        <v>3</v>
      </c>
      <c r="L4784" t="str">
        <f>TEXT(LeadsData[[#This Row],[Signup Date]],"mmm-yyyy")</f>
        <v>Apr-2024</v>
      </c>
      <c r="M4784">
        <f>IF(LeadsData[[#This Row],[Stage Number]]&gt;=2,1,0)</f>
        <v>1</v>
      </c>
      <c r="N4784" s="2">
        <f>IF(LeadsData[[#This Row],[Stage Number]]&gt;=3,1,0)</f>
        <v>1</v>
      </c>
      <c r="O4784" s="2">
        <f>IF(LeadsData[[#This Row],[Stage Number]]&gt;=4,1,0)</f>
        <v>0</v>
      </c>
    </row>
    <row r="4785" spans="1:15" x14ac:dyDescent="0.25">
      <c r="A4785" t="s">
        <v>4825</v>
      </c>
      <c r="B4785" s="1">
        <v>45364</v>
      </c>
      <c r="C4785" t="s">
        <v>36</v>
      </c>
      <c r="D4785" t="s">
        <v>37</v>
      </c>
      <c r="E4785" t="s">
        <v>13</v>
      </c>
      <c r="F4785" t="s">
        <v>19</v>
      </c>
      <c r="G4785" t="s">
        <v>15</v>
      </c>
      <c r="K4785" cm="1">
        <f t="array" ref="K4785">_xlfn.SWITCH(LeadsData[[#This Row],[Funnel Stage Reached]],"Lead",1,"MQL",2,"SQL",3,"Customer",4)</f>
        <v>1</v>
      </c>
      <c r="L4785" t="str">
        <f>TEXT(LeadsData[[#This Row],[Signup Date]],"mmm-yyyy")</f>
        <v>Mar-2024</v>
      </c>
      <c r="M4785">
        <f>IF(LeadsData[[#This Row],[Stage Number]]&gt;=2,1,0)</f>
        <v>0</v>
      </c>
      <c r="N4785" s="2">
        <f>IF(LeadsData[[#This Row],[Stage Number]]&gt;=3,1,0)</f>
        <v>0</v>
      </c>
      <c r="O4785" s="2">
        <f>IF(LeadsData[[#This Row],[Stage Number]]&gt;=4,1,0)</f>
        <v>0</v>
      </c>
    </row>
    <row r="4786" spans="1:15" x14ac:dyDescent="0.25">
      <c r="A4786" t="s">
        <v>4826</v>
      </c>
      <c r="B4786" s="1">
        <v>45613</v>
      </c>
      <c r="C4786" t="s">
        <v>17</v>
      </c>
      <c r="D4786" t="s">
        <v>53</v>
      </c>
      <c r="E4786" t="s">
        <v>13</v>
      </c>
      <c r="F4786" t="s">
        <v>28</v>
      </c>
      <c r="G4786" t="s">
        <v>15</v>
      </c>
      <c r="K4786" cm="1">
        <f t="array" ref="K4786">_xlfn.SWITCH(LeadsData[[#This Row],[Funnel Stage Reached]],"Lead",1,"MQL",2,"SQL",3,"Customer",4)</f>
        <v>1</v>
      </c>
      <c r="L4786" t="str">
        <f>TEXT(LeadsData[[#This Row],[Signup Date]],"mmm-yyyy")</f>
        <v>Nov-2024</v>
      </c>
      <c r="M4786">
        <f>IF(LeadsData[[#This Row],[Stage Number]]&gt;=2,1,0)</f>
        <v>0</v>
      </c>
      <c r="N4786" s="2">
        <f>IF(LeadsData[[#This Row],[Stage Number]]&gt;=3,1,0)</f>
        <v>0</v>
      </c>
      <c r="O4786" s="2">
        <f>IF(LeadsData[[#This Row],[Stage Number]]&gt;=4,1,0)</f>
        <v>0</v>
      </c>
    </row>
    <row r="4787" spans="1:15" x14ac:dyDescent="0.25">
      <c r="A4787" t="s">
        <v>4827</v>
      </c>
      <c r="B4787" s="1">
        <v>45402</v>
      </c>
      <c r="C4787" t="s">
        <v>17</v>
      </c>
      <c r="D4787" t="s">
        <v>53</v>
      </c>
      <c r="E4787" t="s">
        <v>13</v>
      </c>
      <c r="F4787" t="s">
        <v>22</v>
      </c>
      <c r="G4787" t="s">
        <v>15</v>
      </c>
      <c r="K4787" cm="1">
        <f t="array" ref="K4787">_xlfn.SWITCH(LeadsData[[#This Row],[Funnel Stage Reached]],"Lead",1,"MQL",2,"SQL",3,"Customer",4)</f>
        <v>1</v>
      </c>
      <c r="L4787" t="str">
        <f>TEXT(LeadsData[[#This Row],[Signup Date]],"mmm-yyyy")</f>
        <v>Apr-2024</v>
      </c>
      <c r="M4787">
        <f>IF(LeadsData[[#This Row],[Stage Number]]&gt;=2,1,0)</f>
        <v>0</v>
      </c>
      <c r="N4787" s="2">
        <f>IF(LeadsData[[#This Row],[Stage Number]]&gt;=3,1,0)</f>
        <v>0</v>
      </c>
      <c r="O4787" s="2">
        <f>IF(LeadsData[[#This Row],[Stage Number]]&gt;=4,1,0)</f>
        <v>0</v>
      </c>
    </row>
    <row r="4788" spans="1:15" x14ac:dyDescent="0.25">
      <c r="A4788" t="s">
        <v>4828</v>
      </c>
      <c r="B4788" s="1">
        <v>45402</v>
      </c>
      <c r="C4788" t="s">
        <v>17</v>
      </c>
      <c r="D4788" t="s">
        <v>53</v>
      </c>
      <c r="E4788" t="s">
        <v>13</v>
      </c>
      <c r="F4788" t="s">
        <v>19</v>
      </c>
      <c r="G4788" t="s">
        <v>23</v>
      </c>
      <c r="K4788" cm="1">
        <f t="array" ref="K4788">_xlfn.SWITCH(LeadsData[[#This Row],[Funnel Stage Reached]],"Lead",1,"MQL",2,"SQL",3,"Customer",4)</f>
        <v>2</v>
      </c>
      <c r="L4788" t="str">
        <f>TEXT(LeadsData[[#This Row],[Signup Date]],"mmm-yyyy")</f>
        <v>Apr-2024</v>
      </c>
      <c r="M4788">
        <f>IF(LeadsData[[#This Row],[Stage Number]]&gt;=2,1,0)</f>
        <v>1</v>
      </c>
      <c r="N4788" s="2">
        <f>IF(LeadsData[[#This Row],[Stage Number]]&gt;=3,1,0)</f>
        <v>0</v>
      </c>
      <c r="O4788" s="2">
        <f>IF(LeadsData[[#This Row],[Stage Number]]&gt;=4,1,0)</f>
        <v>0</v>
      </c>
    </row>
    <row r="4789" spans="1:15" x14ac:dyDescent="0.25">
      <c r="A4789" t="s">
        <v>4829</v>
      </c>
      <c r="B4789" s="1">
        <v>45517</v>
      </c>
      <c r="C4789" t="s">
        <v>46</v>
      </c>
      <c r="D4789" t="s">
        <v>47</v>
      </c>
      <c r="E4789" t="s">
        <v>13</v>
      </c>
      <c r="F4789" t="s">
        <v>19</v>
      </c>
      <c r="G4789" t="s">
        <v>29</v>
      </c>
      <c r="K4789" cm="1">
        <f t="array" ref="K4789">_xlfn.SWITCH(LeadsData[[#This Row],[Funnel Stage Reached]],"Lead",1,"MQL",2,"SQL",3,"Customer",4)</f>
        <v>3</v>
      </c>
      <c r="L4789" t="str">
        <f>TEXT(LeadsData[[#This Row],[Signup Date]],"mmm-yyyy")</f>
        <v>Aug-2024</v>
      </c>
      <c r="M4789">
        <f>IF(LeadsData[[#This Row],[Stage Number]]&gt;=2,1,0)</f>
        <v>1</v>
      </c>
      <c r="N4789" s="2">
        <f>IF(LeadsData[[#This Row],[Stage Number]]&gt;=3,1,0)</f>
        <v>1</v>
      </c>
      <c r="O4789" s="2">
        <f>IF(LeadsData[[#This Row],[Stage Number]]&gt;=4,1,0)</f>
        <v>0</v>
      </c>
    </row>
    <row r="4790" spans="1:15" x14ac:dyDescent="0.25">
      <c r="A4790" t="s">
        <v>4830</v>
      </c>
      <c r="B4790" s="1">
        <v>45421</v>
      </c>
      <c r="C4790" t="s">
        <v>31</v>
      </c>
      <c r="D4790" t="s">
        <v>34</v>
      </c>
      <c r="E4790" t="s">
        <v>21</v>
      </c>
      <c r="F4790" t="s">
        <v>19</v>
      </c>
      <c r="G4790" t="s">
        <v>29</v>
      </c>
      <c r="K4790" cm="1">
        <f t="array" ref="K4790">_xlfn.SWITCH(LeadsData[[#This Row],[Funnel Stage Reached]],"Lead",1,"MQL",2,"SQL",3,"Customer",4)</f>
        <v>3</v>
      </c>
      <c r="L4790" t="str">
        <f>TEXT(LeadsData[[#This Row],[Signup Date]],"mmm-yyyy")</f>
        <v>May-2024</v>
      </c>
      <c r="M4790">
        <f>IF(LeadsData[[#This Row],[Stage Number]]&gt;=2,1,0)</f>
        <v>1</v>
      </c>
      <c r="N4790" s="2">
        <f>IF(LeadsData[[#This Row],[Stage Number]]&gt;=3,1,0)</f>
        <v>1</v>
      </c>
      <c r="O4790" s="2">
        <f>IF(LeadsData[[#This Row],[Stage Number]]&gt;=4,1,0)</f>
        <v>0</v>
      </c>
    </row>
    <row r="4791" spans="1:15" x14ac:dyDescent="0.25">
      <c r="A4791" t="s">
        <v>4831</v>
      </c>
      <c r="B4791" s="1">
        <v>45413</v>
      </c>
      <c r="C4791" t="s">
        <v>11</v>
      </c>
      <c r="D4791" t="s">
        <v>68</v>
      </c>
      <c r="E4791" t="s">
        <v>13</v>
      </c>
      <c r="F4791" t="s">
        <v>14</v>
      </c>
      <c r="G4791" t="s">
        <v>15</v>
      </c>
      <c r="K4791" cm="1">
        <f t="array" ref="K4791">_xlfn.SWITCH(LeadsData[[#This Row],[Funnel Stage Reached]],"Lead",1,"MQL",2,"SQL",3,"Customer",4)</f>
        <v>1</v>
      </c>
      <c r="L4791" t="str">
        <f>TEXT(LeadsData[[#This Row],[Signup Date]],"mmm-yyyy")</f>
        <v>May-2024</v>
      </c>
      <c r="M4791">
        <f>IF(LeadsData[[#This Row],[Stage Number]]&gt;=2,1,0)</f>
        <v>0</v>
      </c>
      <c r="N4791" s="2">
        <f>IF(LeadsData[[#This Row],[Stage Number]]&gt;=3,1,0)</f>
        <v>0</v>
      </c>
      <c r="O4791" s="2">
        <f>IF(LeadsData[[#This Row],[Stage Number]]&gt;=4,1,0)</f>
        <v>0</v>
      </c>
    </row>
    <row r="4792" spans="1:15" x14ac:dyDescent="0.25">
      <c r="A4792" t="s">
        <v>4832</v>
      </c>
      <c r="B4792" s="1">
        <v>45651</v>
      </c>
      <c r="C4792" t="s">
        <v>25</v>
      </c>
      <c r="D4792" t="s">
        <v>26</v>
      </c>
      <c r="E4792" t="s">
        <v>21</v>
      </c>
      <c r="F4792" t="s">
        <v>22</v>
      </c>
      <c r="G4792" t="s">
        <v>15</v>
      </c>
      <c r="K4792" cm="1">
        <f t="array" ref="K4792">_xlfn.SWITCH(LeadsData[[#This Row],[Funnel Stage Reached]],"Lead",1,"MQL",2,"SQL",3,"Customer",4)</f>
        <v>1</v>
      </c>
      <c r="L4792" t="str">
        <f>TEXT(LeadsData[[#This Row],[Signup Date]],"mmm-yyyy")</f>
        <v>Dec-2024</v>
      </c>
      <c r="M4792">
        <f>IF(LeadsData[[#This Row],[Stage Number]]&gt;=2,1,0)</f>
        <v>0</v>
      </c>
      <c r="N4792" s="2">
        <f>IF(LeadsData[[#This Row],[Stage Number]]&gt;=3,1,0)</f>
        <v>0</v>
      </c>
      <c r="O4792" s="2">
        <f>IF(LeadsData[[#This Row],[Stage Number]]&gt;=4,1,0)</f>
        <v>0</v>
      </c>
    </row>
    <row r="4793" spans="1:15" x14ac:dyDescent="0.25">
      <c r="A4793" t="s">
        <v>4833</v>
      </c>
      <c r="B4793" s="1">
        <v>45474</v>
      </c>
      <c r="C4793" t="s">
        <v>17</v>
      </c>
      <c r="D4793" t="s">
        <v>53</v>
      </c>
      <c r="E4793" t="s">
        <v>21</v>
      </c>
      <c r="F4793" t="s">
        <v>19</v>
      </c>
      <c r="G4793" t="s">
        <v>15</v>
      </c>
      <c r="K4793" cm="1">
        <f t="array" ref="K4793">_xlfn.SWITCH(LeadsData[[#This Row],[Funnel Stage Reached]],"Lead",1,"MQL",2,"SQL",3,"Customer",4)</f>
        <v>1</v>
      </c>
      <c r="L4793" t="str">
        <f>TEXT(LeadsData[[#This Row],[Signup Date]],"mmm-yyyy")</f>
        <v>Jul-2024</v>
      </c>
      <c r="M4793">
        <f>IF(LeadsData[[#This Row],[Stage Number]]&gt;=2,1,0)</f>
        <v>0</v>
      </c>
      <c r="N4793" s="2">
        <f>IF(LeadsData[[#This Row],[Stage Number]]&gt;=3,1,0)</f>
        <v>0</v>
      </c>
      <c r="O4793" s="2">
        <f>IF(LeadsData[[#This Row],[Stage Number]]&gt;=4,1,0)</f>
        <v>0</v>
      </c>
    </row>
    <row r="4794" spans="1:15" x14ac:dyDescent="0.25">
      <c r="A4794" t="s">
        <v>4834</v>
      </c>
      <c r="B4794" s="1">
        <v>45492</v>
      </c>
      <c r="C4794" t="s">
        <v>17</v>
      </c>
      <c r="D4794" t="s">
        <v>53</v>
      </c>
      <c r="E4794" t="s">
        <v>21</v>
      </c>
      <c r="F4794" t="s">
        <v>28</v>
      </c>
      <c r="G4794" t="s">
        <v>15</v>
      </c>
      <c r="K4794" cm="1">
        <f t="array" ref="K4794">_xlfn.SWITCH(LeadsData[[#This Row],[Funnel Stage Reached]],"Lead",1,"MQL",2,"SQL",3,"Customer",4)</f>
        <v>1</v>
      </c>
      <c r="L4794" t="str">
        <f>TEXT(LeadsData[[#This Row],[Signup Date]],"mmm-yyyy")</f>
        <v>Jul-2024</v>
      </c>
      <c r="M4794">
        <f>IF(LeadsData[[#This Row],[Stage Number]]&gt;=2,1,0)</f>
        <v>0</v>
      </c>
      <c r="N4794" s="2">
        <f>IF(LeadsData[[#This Row],[Stage Number]]&gt;=3,1,0)</f>
        <v>0</v>
      </c>
      <c r="O4794" s="2">
        <f>IF(LeadsData[[#This Row],[Stage Number]]&gt;=4,1,0)</f>
        <v>0</v>
      </c>
    </row>
    <row r="4795" spans="1:15" x14ac:dyDescent="0.25">
      <c r="A4795" t="s">
        <v>4835</v>
      </c>
      <c r="B4795" s="1">
        <v>45367</v>
      </c>
      <c r="C4795" t="s">
        <v>31</v>
      </c>
      <c r="D4795" t="s">
        <v>32</v>
      </c>
      <c r="E4795" t="s">
        <v>13</v>
      </c>
      <c r="F4795" t="s">
        <v>19</v>
      </c>
      <c r="G4795" t="s">
        <v>23</v>
      </c>
      <c r="K4795" cm="1">
        <f t="array" ref="K4795">_xlfn.SWITCH(LeadsData[[#This Row],[Funnel Stage Reached]],"Lead",1,"MQL",2,"SQL",3,"Customer",4)</f>
        <v>2</v>
      </c>
      <c r="L4795" t="str">
        <f>TEXT(LeadsData[[#This Row],[Signup Date]],"mmm-yyyy")</f>
        <v>Mar-2024</v>
      </c>
      <c r="M4795">
        <f>IF(LeadsData[[#This Row],[Stage Number]]&gt;=2,1,0)</f>
        <v>1</v>
      </c>
      <c r="N4795" s="2">
        <f>IF(LeadsData[[#This Row],[Stage Number]]&gt;=3,1,0)</f>
        <v>0</v>
      </c>
      <c r="O4795" s="2">
        <f>IF(LeadsData[[#This Row],[Stage Number]]&gt;=4,1,0)</f>
        <v>0</v>
      </c>
    </row>
    <row r="4796" spans="1:15" x14ac:dyDescent="0.25">
      <c r="A4796" t="s">
        <v>4836</v>
      </c>
      <c r="B4796" s="1">
        <v>45331</v>
      </c>
      <c r="C4796" t="s">
        <v>17</v>
      </c>
      <c r="D4796" t="s">
        <v>53</v>
      </c>
      <c r="E4796" t="s">
        <v>21</v>
      </c>
      <c r="F4796" t="s">
        <v>22</v>
      </c>
      <c r="G4796" t="s">
        <v>15</v>
      </c>
      <c r="K4796" cm="1">
        <f t="array" ref="K4796">_xlfn.SWITCH(LeadsData[[#This Row],[Funnel Stage Reached]],"Lead",1,"MQL",2,"SQL",3,"Customer",4)</f>
        <v>1</v>
      </c>
      <c r="L4796" t="str">
        <f>TEXT(LeadsData[[#This Row],[Signup Date]],"mmm-yyyy")</f>
        <v>Feb-2024</v>
      </c>
      <c r="M4796">
        <f>IF(LeadsData[[#This Row],[Stage Number]]&gt;=2,1,0)</f>
        <v>0</v>
      </c>
      <c r="N4796" s="2">
        <f>IF(LeadsData[[#This Row],[Stage Number]]&gt;=3,1,0)</f>
        <v>0</v>
      </c>
      <c r="O4796" s="2">
        <f>IF(LeadsData[[#This Row],[Stage Number]]&gt;=4,1,0)</f>
        <v>0</v>
      </c>
    </row>
    <row r="4797" spans="1:15" x14ac:dyDescent="0.25">
      <c r="A4797" t="s">
        <v>4837</v>
      </c>
      <c r="B4797" s="1">
        <v>45417</v>
      </c>
      <c r="C4797" t="s">
        <v>31</v>
      </c>
      <c r="D4797" t="s">
        <v>34</v>
      </c>
      <c r="E4797" t="s">
        <v>13</v>
      </c>
      <c r="F4797" t="s">
        <v>19</v>
      </c>
      <c r="G4797" t="s">
        <v>15</v>
      </c>
      <c r="K4797" cm="1">
        <f t="array" ref="K4797">_xlfn.SWITCH(LeadsData[[#This Row],[Funnel Stage Reached]],"Lead",1,"MQL",2,"SQL",3,"Customer",4)</f>
        <v>1</v>
      </c>
      <c r="L4797" t="str">
        <f>TEXT(LeadsData[[#This Row],[Signup Date]],"mmm-yyyy")</f>
        <v>May-2024</v>
      </c>
      <c r="M4797">
        <f>IF(LeadsData[[#This Row],[Stage Number]]&gt;=2,1,0)</f>
        <v>0</v>
      </c>
      <c r="N4797" s="2">
        <f>IF(LeadsData[[#This Row],[Stage Number]]&gt;=3,1,0)</f>
        <v>0</v>
      </c>
      <c r="O4797" s="2">
        <f>IF(LeadsData[[#This Row],[Stage Number]]&gt;=4,1,0)</f>
        <v>0</v>
      </c>
    </row>
    <row r="4798" spans="1:15" x14ac:dyDescent="0.25">
      <c r="A4798" t="s">
        <v>4838</v>
      </c>
      <c r="B4798" s="1">
        <v>45364</v>
      </c>
      <c r="C4798" t="s">
        <v>31</v>
      </c>
      <c r="D4798" t="s">
        <v>32</v>
      </c>
      <c r="E4798" t="s">
        <v>21</v>
      </c>
      <c r="F4798" t="s">
        <v>19</v>
      </c>
      <c r="G4798" t="s">
        <v>29</v>
      </c>
      <c r="K4798" cm="1">
        <f t="array" ref="K4798">_xlfn.SWITCH(LeadsData[[#This Row],[Funnel Stage Reached]],"Lead",1,"MQL",2,"SQL",3,"Customer",4)</f>
        <v>3</v>
      </c>
      <c r="L4798" t="str">
        <f>TEXT(LeadsData[[#This Row],[Signup Date]],"mmm-yyyy")</f>
        <v>Mar-2024</v>
      </c>
      <c r="M4798">
        <f>IF(LeadsData[[#This Row],[Stage Number]]&gt;=2,1,0)</f>
        <v>1</v>
      </c>
      <c r="N4798" s="2">
        <f>IF(LeadsData[[#This Row],[Stage Number]]&gt;=3,1,0)</f>
        <v>1</v>
      </c>
      <c r="O4798" s="2">
        <f>IF(LeadsData[[#This Row],[Stage Number]]&gt;=4,1,0)</f>
        <v>0</v>
      </c>
    </row>
    <row r="4799" spans="1:15" x14ac:dyDescent="0.25">
      <c r="A4799" t="s">
        <v>4839</v>
      </c>
      <c r="B4799" s="1">
        <v>45606</v>
      </c>
      <c r="C4799" t="s">
        <v>17</v>
      </c>
      <c r="D4799" t="s">
        <v>18</v>
      </c>
      <c r="E4799" t="s">
        <v>13</v>
      </c>
      <c r="F4799" t="s">
        <v>14</v>
      </c>
      <c r="G4799" t="s">
        <v>15</v>
      </c>
      <c r="K4799" cm="1">
        <f t="array" ref="K4799">_xlfn.SWITCH(LeadsData[[#This Row],[Funnel Stage Reached]],"Lead",1,"MQL",2,"SQL",3,"Customer",4)</f>
        <v>1</v>
      </c>
      <c r="L4799" t="str">
        <f>TEXT(LeadsData[[#This Row],[Signup Date]],"mmm-yyyy")</f>
        <v>Nov-2024</v>
      </c>
      <c r="M4799">
        <f>IF(LeadsData[[#This Row],[Stage Number]]&gt;=2,1,0)</f>
        <v>0</v>
      </c>
      <c r="N4799" s="2">
        <f>IF(LeadsData[[#This Row],[Stage Number]]&gt;=3,1,0)</f>
        <v>0</v>
      </c>
      <c r="O4799" s="2">
        <f>IF(LeadsData[[#This Row],[Stage Number]]&gt;=4,1,0)</f>
        <v>0</v>
      </c>
    </row>
    <row r="4800" spans="1:15" x14ac:dyDescent="0.25">
      <c r="A4800" t="s">
        <v>4840</v>
      </c>
      <c r="B4800" s="1">
        <v>45630</v>
      </c>
      <c r="C4800" t="s">
        <v>46</v>
      </c>
      <c r="D4800" t="s">
        <v>47</v>
      </c>
      <c r="E4800" t="s">
        <v>13</v>
      </c>
      <c r="F4800" t="s">
        <v>19</v>
      </c>
      <c r="G4800" t="s">
        <v>15</v>
      </c>
      <c r="K4800" cm="1">
        <f t="array" ref="K4800">_xlfn.SWITCH(LeadsData[[#This Row],[Funnel Stage Reached]],"Lead",1,"MQL",2,"SQL",3,"Customer",4)</f>
        <v>1</v>
      </c>
      <c r="L4800" t="str">
        <f>TEXT(LeadsData[[#This Row],[Signup Date]],"mmm-yyyy")</f>
        <v>Dec-2024</v>
      </c>
      <c r="M4800">
        <f>IF(LeadsData[[#This Row],[Stage Number]]&gt;=2,1,0)</f>
        <v>0</v>
      </c>
      <c r="N4800" s="2">
        <f>IF(LeadsData[[#This Row],[Stage Number]]&gt;=3,1,0)</f>
        <v>0</v>
      </c>
      <c r="O4800" s="2">
        <f>IF(LeadsData[[#This Row],[Stage Number]]&gt;=4,1,0)</f>
        <v>0</v>
      </c>
    </row>
    <row r="4801" spans="1:15" x14ac:dyDescent="0.25">
      <c r="A4801" t="s">
        <v>4841</v>
      </c>
      <c r="B4801" s="1">
        <v>45389</v>
      </c>
      <c r="C4801" t="s">
        <v>25</v>
      </c>
      <c r="D4801" t="s">
        <v>26</v>
      </c>
      <c r="E4801" t="s">
        <v>13</v>
      </c>
      <c r="F4801" t="s">
        <v>19</v>
      </c>
      <c r="G4801" t="s">
        <v>29</v>
      </c>
      <c r="K4801" cm="1">
        <f t="array" ref="K4801">_xlfn.SWITCH(LeadsData[[#This Row],[Funnel Stage Reached]],"Lead",1,"MQL",2,"SQL",3,"Customer",4)</f>
        <v>3</v>
      </c>
      <c r="L4801" t="str">
        <f>TEXT(LeadsData[[#This Row],[Signup Date]],"mmm-yyyy")</f>
        <v>Apr-2024</v>
      </c>
      <c r="M4801">
        <f>IF(LeadsData[[#This Row],[Stage Number]]&gt;=2,1,0)</f>
        <v>1</v>
      </c>
      <c r="N4801" s="2">
        <f>IF(LeadsData[[#This Row],[Stage Number]]&gt;=3,1,0)</f>
        <v>1</v>
      </c>
      <c r="O4801" s="2">
        <f>IF(LeadsData[[#This Row],[Stage Number]]&gt;=4,1,0)</f>
        <v>0</v>
      </c>
    </row>
    <row r="4802" spans="1:15" x14ac:dyDescent="0.25">
      <c r="A4802" t="s">
        <v>4842</v>
      </c>
      <c r="B4802" s="1">
        <v>45468</v>
      </c>
      <c r="C4802" t="s">
        <v>46</v>
      </c>
      <c r="D4802" t="s">
        <v>56</v>
      </c>
      <c r="E4802" t="s">
        <v>13</v>
      </c>
      <c r="F4802" t="s">
        <v>14</v>
      </c>
      <c r="G4802" t="s">
        <v>15</v>
      </c>
      <c r="K4802" cm="1">
        <f t="array" ref="K4802">_xlfn.SWITCH(LeadsData[[#This Row],[Funnel Stage Reached]],"Lead",1,"MQL",2,"SQL",3,"Customer",4)</f>
        <v>1</v>
      </c>
      <c r="L4802" t="str">
        <f>TEXT(LeadsData[[#This Row],[Signup Date]],"mmm-yyyy")</f>
        <v>Jun-2024</v>
      </c>
      <c r="M4802">
        <f>IF(LeadsData[[#This Row],[Stage Number]]&gt;=2,1,0)</f>
        <v>0</v>
      </c>
      <c r="N4802" s="2">
        <f>IF(LeadsData[[#This Row],[Stage Number]]&gt;=3,1,0)</f>
        <v>0</v>
      </c>
      <c r="O4802" s="2">
        <f>IF(LeadsData[[#This Row],[Stage Number]]&gt;=4,1,0)</f>
        <v>0</v>
      </c>
    </row>
    <row r="4803" spans="1:15" x14ac:dyDescent="0.25">
      <c r="A4803" t="s">
        <v>4843</v>
      </c>
      <c r="B4803" s="1">
        <v>45317</v>
      </c>
      <c r="C4803" t="s">
        <v>31</v>
      </c>
      <c r="D4803" t="s">
        <v>34</v>
      </c>
      <c r="E4803" t="s">
        <v>13</v>
      </c>
      <c r="F4803" t="s">
        <v>14</v>
      </c>
      <c r="G4803" t="s">
        <v>23</v>
      </c>
      <c r="K4803" cm="1">
        <f t="array" ref="K4803">_xlfn.SWITCH(LeadsData[[#This Row],[Funnel Stage Reached]],"Lead",1,"MQL",2,"SQL",3,"Customer",4)</f>
        <v>2</v>
      </c>
      <c r="L4803" t="str">
        <f>TEXT(LeadsData[[#This Row],[Signup Date]],"mmm-yyyy")</f>
        <v>Jan-2024</v>
      </c>
      <c r="M4803">
        <f>IF(LeadsData[[#This Row],[Stage Number]]&gt;=2,1,0)</f>
        <v>1</v>
      </c>
      <c r="N4803" s="2">
        <f>IF(LeadsData[[#This Row],[Stage Number]]&gt;=3,1,0)</f>
        <v>0</v>
      </c>
      <c r="O4803" s="2">
        <f>IF(LeadsData[[#This Row],[Stage Number]]&gt;=4,1,0)</f>
        <v>0</v>
      </c>
    </row>
    <row r="4804" spans="1:15" x14ac:dyDescent="0.25">
      <c r="A4804" t="s">
        <v>4844</v>
      </c>
      <c r="B4804" s="1">
        <v>45328</v>
      </c>
      <c r="C4804" t="s">
        <v>17</v>
      </c>
      <c r="D4804" t="s">
        <v>18</v>
      </c>
      <c r="E4804" t="s">
        <v>13</v>
      </c>
      <c r="F4804" t="s">
        <v>22</v>
      </c>
      <c r="G4804" t="s">
        <v>15</v>
      </c>
      <c r="K4804" cm="1">
        <f t="array" ref="K4804">_xlfn.SWITCH(LeadsData[[#This Row],[Funnel Stage Reached]],"Lead",1,"MQL",2,"SQL",3,"Customer",4)</f>
        <v>1</v>
      </c>
      <c r="L4804" t="str">
        <f>TEXT(LeadsData[[#This Row],[Signup Date]],"mmm-yyyy")</f>
        <v>Feb-2024</v>
      </c>
      <c r="M4804">
        <f>IF(LeadsData[[#This Row],[Stage Number]]&gt;=2,1,0)</f>
        <v>0</v>
      </c>
      <c r="N4804" s="2">
        <f>IF(LeadsData[[#This Row],[Stage Number]]&gt;=3,1,0)</f>
        <v>0</v>
      </c>
      <c r="O4804" s="2">
        <f>IF(LeadsData[[#This Row],[Stage Number]]&gt;=4,1,0)</f>
        <v>0</v>
      </c>
    </row>
    <row r="4805" spans="1:15" x14ac:dyDescent="0.25">
      <c r="A4805" t="s">
        <v>4845</v>
      </c>
      <c r="B4805" s="1">
        <v>45589</v>
      </c>
      <c r="C4805" t="s">
        <v>31</v>
      </c>
      <c r="D4805" t="s">
        <v>32</v>
      </c>
      <c r="E4805" t="s">
        <v>21</v>
      </c>
      <c r="F4805" t="s">
        <v>28</v>
      </c>
      <c r="G4805" t="s">
        <v>23</v>
      </c>
      <c r="K4805" cm="1">
        <f t="array" ref="K4805">_xlfn.SWITCH(LeadsData[[#This Row],[Funnel Stage Reached]],"Lead",1,"MQL",2,"SQL",3,"Customer",4)</f>
        <v>2</v>
      </c>
      <c r="L4805" t="str">
        <f>TEXT(LeadsData[[#This Row],[Signup Date]],"mmm-yyyy")</f>
        <v>Oct-2024</v>
      </c>
      <c r="M4805">
        <f>IF(LeadsData[[#This Row],[Stage Number]]&gt;=2,1,0)</f>
        <v>1</v>
      </c>
      <c r="N4805" s="2">
        <f>IF(LeadsData[[#This Row],[Stage Number]]&gt;=3,1,0)</f>
        <v>0</v>
      </c>
      <c r="O4805" s="2">
        <f>IF(LeadsData[[#This Row],[Stage Number]]&gt;=4,1,0)</f>
        <v>0</v>
      </c>
    </row>
    <row r="4806" spans="1:15" x14ac:dyDescent="0.25">
      <c r="A4806" t="s">
        <v>4846</v>
      </c>
      <c r="B4806" s="1">
        <v>45494</v>
      </c>
      <c r="C4806" t="s">
        <v>46</v>
      </c>
      <c r="D4806" t="s">
        <v>47</v>
      </c>
      <c r="E4806" t="s">
        <v>13</v>
      </c>
      <c r="F4806" t="s">
        <v>19</v>
      </c>
      <c r="G4806" t="s">
        <v>29</v>
      </c>
      <c r="K4806" cm="1">
        <f t="array" ref="K4806">_xlfn.SWITCH(LeadsData[[#This Row],[Funnel Stage Reached]],"Lead",1,"MQL",2,"SQL",3,"Customer",4)</f>
        <v>3</v>
      </c>
      <c r="L4806" t="str">
        <f>TEXT(LeadsData[[#This Row],[Signup Date]],"mmm-yyyy")</f>
        <v>Jul-2024</v>
      </c>
      <c r="M4806">
        <f>IF(LeadsData[[#This Row],[Stage Number]]&gt;=2,1,0)</f>
        <v>1</v>
      </c>
      <c r="N4806" s="2">
        <f>IF(LeadsData[[#This Row],[Stage Number]]&gt;=3,1,0)</f>
        <v>1</v>
      </c>
      <c r="O4806" s="2">
        <f>IF(LeadsData[[#This Row],[Stage Number]]&gt;=4,1,0)</f>
        <v>0</v>
      </c>
    </row>
    <row r="4807" spans="1:15" x14ac:dyDescent="0.25">
      <c r="A4807" t="s">
        <v>4847</v>
      </c>
      <c r="B4807" s="1">
        <v>45480</v>
      </c>
      <c r="C4807" t="s">
        <v>25</v>
      </c>
      <c r="D4807" t="s">
        <v>26</v>
      </c>
      <c r="E4807" t="s">
        <v>13</v>
      </c>
      <c r="F4807" t="s">
        <v>22</v>
      </c>
      <c r="G4807" t="s">
        <v>15</v>
      </c>
      <c r="K4807" cm="1">
        <f t="array" ref="K4807">_xlfn.SWITCH(LeadsData[[#This Row],[Funnel Stage Reached]],"Lead",1,"MQL",2,"SQL",3,"Customer",4)</f>
        <v>1</v>
      </c>
      <c r="L4807" t="str">
        <f>TEXT(LeadsData[[#This Row],[Signup Date]],"mmm-yyyy")</f>
        <v>Jul-2024</v>
      </c>
      <c r="M4807">
        <f>IF(LeadsData[[#This Row],[Stage Number]]&gt;=2,1,0)</f>
        <v>0</v>
      </c>
      <c r="N4807" s="2">
        <f>IF(LeadsData[[#This Row],[Stage Number]]&gt;=3,1,0)</f>
        <v>0</v>
      </c>
      <c r="O4807" s="2">
        <f>IF(LeadsData[[#This Row],[Stage Number]]&gt;=4,1,0)</f>
        <v>0</v>
      </c>
    </row>
    <row r="4808" spans="1:15" x14ac:dyDescent="0.25">
      <c r="A4808" t="s">
        <v>4848</v>
      </c>
      <c r="B4808" s="1">
        <v>45640</v>
      </c>
      <c r="C4808" t="s">
        <v>11</v>
      </c>
      <c r="D4808" t="s">
        <v>12</v>
      </c>
      <c r="E4808" t="s">
        <v>13</v>
      </c>
      <c r="F4808" t="s">
        <v>22</v>
      </c>
      <c r="G4808" t="s">
        <v>23</v>
      </c>
      <c r="K4808" cm="1">
        <f t="array" ref="K4808">_xlfn.SWITCH(LeadsData[[#This Row],[Funnel Stage Reached]],"Lead",1,"MQL",2,"SQL",3,"Customer",4)</f>
        <v>2</v>
      </c>
      <c r="L4808" t="str">
        <f>TEXT(LeadsData[[#This Row],[Signup Date]],"mmm-yyyy")</f>
        <v>Dec-2024</v>
      </c>
      <c r="M4808">
        <f>IF(LeadsData[[#This Row],[Stage Number]]&gt;=2,1,0)</f>
        <v>1</v>
      </c>
      <c r="N4808" s="2">
        <f>IF(LeadsData[[#This Row],[Stage Number]]&gt;=3,1,0)</f>
        <v>0</v>
      </c>
      <c r="O4808" s="2">
        <f>IF(LeadsData[[#This Row],[Stage Number]]&gt;=4,1,0)</f>
        <v>0</v>
      </c>
    </row>
    <row r="4809" spans="1:15" x14ac:dyDescent="0.25">
      <c r="A4809" t="s">
        <v>4849</v>
      </c>
      <c r="B4809" s="1">
        <v>45548</v>
      </c>
      <c r="C4809" t="s">
        <v>31</v>
      </c>
      <c r="D4809" t="s">
        <v>34</v>
      </c>
      <c r="E4809" t="s">
        <v>13</v>
      </c>
      <c r="F4809" t="s">
        <v>22</v>
      </c>
      <c r="G4809" t="s">
        <v>23</v>
      </c>
      <c r="K4809" cm="1">
        <f t="array" ref="K4809">_xlfn.SWITCH(LeadsData[[#This Row],[Funnel Stage Reached]],"Lead",1,"MQL",2,"SQL",3,"Customer",4)</f>
        <v>2</v>
      </c>
      <c r="L4809" t="str">
        <f>TEXT(LeadsData[[#This Row],[Signup Date]],"mmm-yyyy")</f>
        <v>Sep-2024</v>
      </c>
      <c r="M4809">
        <f>IF(LeadsData[[#This Row],[Stage Number]]&gt;=2,1,0)</f>
        <v>1</v>
      </c>
      <c r="N4809" s="2">
        <f>IF(LeadsData[[#This Row],[Stage Number]]&gt;=3,1,0)</f>
        <v>0</v>
      </c>
      <c r="O4809" s="2">
        <f>IF(LeadsData[[#This Row],[Stage Number]]&gt;=4,1,0)</f>
        <v>0</v>
      </c>
    </row>
    <row r="4810" spans="1:15" x14ac:dyDescent="0.25">
      <c r="A4810" t="s">
        <v>4850</v>
      </c>
      <c r="B4810" s="1">
        <v>45545</v>
      </c>
      <c r="C4810" t="s">
        <v>46</v>
      </c>
      <c r="D4810" t="s">
        <v>56</v>
      </c>
      <c r="E4810" t="s">
        <v>13</v>
      </c>
      <c r="F4810" t="s">
        <v>22</v>
      </c>
      <c r="G4810" t="s">
        <v>23</v>
      </c>
      <c r="K4810" cm="1">
        <f t="array" ref="K4810">_xlfn.SWITCH(LeadsData[[#This Row],[Funnel Stage Reached]],"Lead",1,"MQL",2,"SQL",3,"Customer",4)</f>
        <v>2</v>
      </c>
      <c r="L4810" t="str">
        <f>TEXT(LeadsData[[#This Row],[Signup Date]],"mmm-yyyy")</f>
        <v>Sep-2024</v>
      </c>
      <c r="M4810">
        <f>IF(LeadsData[[#This Row],[Stage Number]]&gt;=2,1,0)</f>
        <v>1</v>
      </c>
      <c r="N4810" s="2">
        <f>IF(LeadsData[[#This Row],[Stage Number]]&gt;=3,1,0)</f>
        <v>0</v>
      </c>
      <c r="O4810" s="2">
        <f>IF(LeadsData[[#This Row],[Stage Number]]&gt;=4,1,0)</f>
        <v>0</v>
      </c>
    </row>
    <row r="4811" spans="1:15" x14ac:dyDescent="0.25">
      <c r="A4811" t="s">
        <v>4851</v>
      </c>
      <c r="B4811" s="1">
        <v>45653</v>
      </c>
      <c r="C4811" t="s">
        <v>31</v>
      </c>
      <c r="D4811" t="s">
        <v>32</v>
      </c>
      <c r="E4811" t="s">
        <v>21</v>
      </c>
      <c r="F4811" t="s">
        <v>14</v>
      </c>
      <c r="G4811" t="s">
        <v>15</v>
      </c>
      <c r="K4811" cm="1">
        <f t="array" ref="K4811">_xlfn.SWITCH(LeadsData[[#This Row],[Funnel Stage Reached]],"Lead",1,"MQL",2,"SQL",3,"Customer",4)</f>
        <v>1</v>
      </c>
      <c r="L4811" t="str">
        <f>TEXT(LeadsData[[#This Row],[Signup Date]],"mmm-yyyy")</f>
        <v>Dec-2024</v>
      </c>
      <c r="M4811">
        <f>IF(LeadsData[[#This Row],[Stage Number]]&gt;=2,1,0)</f>
        <v>0</v>
      </c>
      <c r="N4811" s="2">
        <f>IF(LeadsData[[#This Row],[Stage Number]]&gt;=3,1,0)</f>
        <v>0</v>
      </c>
      <c r="O4811" s="2">
        <f>IF(LeadsData[[#This Row],[Stage Number]]&gt;=4,1,0)</f>
        <v>0</v>
      </c>
    </row>
    <row r="4812" spans="1:15" x14ac:dyDescent="0.25">
      <c r="A4812" t="s">
        <v>4852</v>
      </c>
      <c r="B4812" s="1">
        <v>45420</v>
      </c>
      <c r="C4812" t="s">
        <v>46</v>
      </c>
      <c r="D4812" t="s">
        <v>47</v>
      </c>
      <c r="E4812" t="s">
        <v>21</v>
      </c>
      <c r="F4812" t="s">
        <v>22</v>
      </c>
      <c r="G4812" t="s">
        <v>15</v>
      </c>
      <c r="K4812" cm="1">
        <f t="array" ref="K4812">_xlfn.SWITCH(LeadsData[[#This Row],[Funnel Stage Reached]],"Lead",1,"MQL",2,"SQL",3,"Customer",4)</f>
        <v>1</v>
      </c>
      <c r="L4812" t="str">
        <f>TEXT(LeadsData[[#This Row],[Signup Date]],"mmm-yyyy")</f>
        <v>May-2024</v>
      </c>
      <c r="M4812">
        <f>IF(LeadsData[[#This Row],[Stage Number]]&gt;=2,1,0)</f>
        <v>0</v>
      </c>
      <c r="N4812" s="2">
        <f>IF(LeadsData[[#This Row],[Stage Number]]&gt;=3,1,0)</f>
        <v>0</v>
      </c>
      <c r="O4812" s="2">
        <f>IF(LeadsData[[#This Row],[Stage Number]]&gt;=4,1,0)</f>
        <v>0</v>
      </c>
    </row>
    <row r="4813" spans="1:15" x14ac:dyDescent="0.25">
      <c r="A4813" t="s">
        <v>4853</v>
      </c>
      <c r="B4813" s="1">
        <v>45560</v>
      </c>
      <c r="C4813" t="s">
        <v>31</v>
      </c>
      <c r="D4813" t="s">
        <v>34</v>
      </c>
      <c r="E4813" t="s">
        <v>13</v>
      </c>
      <c r="F4813" t="s">
        <v>22</v>
      </c>
      <c r="G4813" t="s">
        <v>29</v>
      </c>
      <c r="K4813" cm="1">
        <f t="array" ref="K4813">_xlfn.SWITCH(LeadsData[[#This Row],[Funnel Stage Reached]],"Lead",1,"MQL",2,"SQL",3,"Customer",4)</f>
        <v>3</v>
      </c>
      <c r="L4813" t="str">
        <f>TEXT(LeadsData[[#This Row],[Signup Date]],"mmm-yyyy")</f>
        <v>Sep-2024</v>
      </c>
      <c r="M4813">
        <f>IF(LeadsData[[#This Row],[Stage Number]]&gt;=2,1,0)</f>
        <v>1</v>
      </c>
      <c r="N4813" s="2">
        <f>IF(LeadsData[[#This Row],[Stage Number]]&gt;=3,1,0)</f>
        <v>1</v>
      </c>
      <c r="O4813" s="2">
        <f>IF(LeadsData[[#This Row],[Stage Number]]&gt;=4,1,0)</f>
        <v>0</v>
      </c>
    </row>
    <row r="4814" spans="1:15" x14ac:dyDescent="0.25">
      <c r="A4814" t="s">
        <v>4854</v>
      </c>
      <c r="B4814" s="1">
        <v>45609</v>
      </c>
      <c r="C4814" t="s">
        <v>46</v>
      </c>
      <c r="D4814" t="s">
        <v>47</v>
      </c>
      <c r="E4814" t="s">
        <v>13</v>
      </c>
      <c r="F4814" t="s">
        <v>22</v>
      </c>
      <c r="G4814" t="s">
        <v>15</v>
      </c>
      <c r="K4814" cm="1">
        <f t="array" ref="K4814">_xlfn.SWITCH(LeadsData[[#This Row],[Funnel Stage Reached]],"Lead",1,"MQL",2,"SQL",3,"Customer",4)</f>
        <v>1</v>
      </c>
      <c r="L4814" t="str">
        <f>TEXT(LeadsData[[#This Row],[Signup Date]],"mmm-yyyy")</f>
        <v>Nov-2024</v>
      </c>
      <c r="M4814">
        <f>IF(LeadsData[[#This Row],[Stage Number]]&gt;=2,1,0)</f>
        <v>0</v>
      </c>
      <c r="N4814" s="2">
        <f>IF(LeadsData[[#This Row],[Stage Number]]&gt;=3,1,0)</f>
        <v>0</v>
      </c>
      <c r="O4814" s="2">
        <f>IF(LeadsData[[#This Row],[Stage Number]]&gt;=4,1,0)</f>
        <v>0</v>
      </c>
    </row>
    <row r="4815" spans="1:15" x14ac:dyDescent="0.25">
      <c r="A4815" t="s">
        <v>4855</v>
      </c>
      <c r="B4815" s="1">
        <v>45419</v>
      </c>
      <c r="C4815" t="s">
        <v>17</v>
      </c>
      <c r="D4815" t="s">
        <v>53</v>
      </c>
      <c r="E4815" t="s">
        <v>13</v>
      </c>
      <c r="F4815" t="s">
        <v>19</v>
      </c>
      <c r="G4815" t="s">
        <v>23</v>
      </c>
      <c r="K4815" cm="1">
        <f t="array" ref="K4815">_xlfn.SWITCH(LeadsData[[#This Row],[Funnel Stage Reached]],"Lead",1,"MQL",2,"SQL",3,"Customer",4)</f>
        <v>2</v>
      </c>
      <c r="L4815" t="str">
        <f>TEXT(LeadsData[[#This Row],[Signup Date]],"mmm-yyyy")</f>
        <v>May-2024</v>
      </c>
      <c r="M4815">
        <f>IF(LeadsData[[#This Row],[Stage Number]]&gt;=2,1,0)</f>
        <v>1</v>
      </c>
      <c r="N4815" s="2">
        <f>IF(LeadsData[[#This Row],[Stage Number]]&gt;=3,1,0)</f>
        <v>0</v>
      </c>
      <c r="O4815" s="2">
        <f>IF(LeadsData[[#This Row],[Stage Number]]&gt;=4,1,0)</f>
        <v>0</v>
      </c>
    </row>
    <row r="4816" spans="1:15" x14ac:dyDescent="0.25">
      <c r="A4816" t="s">
        <v>4856</v>
      </c>
      <c r="B4816" s="1">
        <v>45314</v>
      </c>
      <c r="C4816" t="s">
        <v>46</v>
      </c>
      <c r="D4816" t="s">
        <v>56</v>
      </c>
      <c r="E4816" t="s">
        <v>13</v>
      </c>
      <c r="F4816" t="s">
        <v>22</v>
      </c>
      <c r="G4816" t="s">
        <v>23</v>
      </c>
      <c r="K4816" cm="1">
        <f t="array" ref="K4816">_xlfn.SWITCH(LeadsData[[#This Row],[Funnel Stage Reached]],"Lead",1,"MQL",2,"SQL",3,"Customer",4)</f>
        <v>2</v>
      </c>
      <c r="L4816" t="str">
        <f>TEXT(LeadsData[[#This Row],[Signup Date]],"mmm-yyyy")</f>
        <v>Jan-2024</v>
      </c>
      <c r="M4816">
        <f>IF(LeadsData[[#This Row],[Stage Number]]&gt;=2,1,0)</f>
        <v>1</v>
      </c>
      <c r="N4816" s="2">
        <f>IF(LeadsData[[#This Row],[Stage Number]]&gt;=3,1,0)</f>
        <v>0</v>
      </c>
      <c r="O4816" s="2">
        <f>IF(LeadsData[[#This Row],[Stage Number]]&gt;=4,1,0)</f>
        <v>0</v>
      </c>
    </row>
    <row r="4817" spans="1:15" x14ac:dyDescent="0.25">
      <c r="A4817" t="s">
        <v>4857</v>
      </c>
      <c r="B4817" s="1">
        <v>45436</v>
      </c>
      <c r="C4817" t="s">
        <v>46</v>
      </c>
      <c r="D4817" t="s">
        <v>56</v>
      </c>
      <c r="E4817" t="s">
        <v>13</v>
      </c>
      <c r="F4817" t="s">
        <v>19</v>
      </c>
      <c r="G4817" t="s">
        <v>15</v>
      </c>
      <c r="K4817" cm="1">
        <f t="array" ref="K4817">_xlfn.SWITCH(LeadsData[[#This Row],[Funnel Stage Reached]],"Lead",1,"MQL",2,"SQL",3,"Customer",4)</f>
        <v>1</v>
      </c>
      <c r="L4817" t="str">
        <f>TEXT(LeadsData[[#This Row],[Signup Date]],"mmm-yyyy")</f>
        <v>May-2024</v>
      </c>
      <c r="M4817">
        <f>IF(LeadsData[[#This Row],[Stage Number]]&gt;=2,1,0)</f>
        <v>0</v>
      </c>
      <c r="N4817" s="2">
        <f>IF(LeadsData[[#This Row],[Stage Number]]&gt;=3,1,0)</f>
        <v>0</v>
      </c>
      <c r="O4817" s="2">
        <f>IF(LeadsData[[#This Row],[Stage Number]]&gt;=4,1,0)</f>
        <v>0</v>
      </c>
    </row>
    <row r="4818" spans="1:15" x14ac:dyDescent="0.25">
      <c r="A4818" t="s">
        <v>4858</v>
      </c>
      <c r="B4818" s="1">
        <v>45511</v>
      </c>
      <c r="C4818" t="s">
        <v>36</v>
      </c>
      <c r="D4818" t="s">
        <v>37</v>
      </c>
      <c r="E4818" t="s">
        <v>21</v>
      </c>
      <c r="F4818" t="s">
        <v>14</v>
      </c>
      <c r="G4818" t="s">
        <v>15</v>
      </c>
      <c r="K4818" cm="1">
        <f t="array" ref="K4818">_xlfn.SWITCH(LeadsData[[#This Row],[Funnel Stage Reached]],"Lead",1,"MQL",2,"SQL",3,"Customer",4)</f>
        <v>1</v>
      </c>
      <c r="L4818" t="str">
        <f>TEXT(LeadsData[[#This Row],[Signup Date]],"mmm-yyyy")</f>
        <v>Aug-2024</v>
      </c>
      <c r="M4818">
        <f>IF(LeadsData[[#This Row],[Stage Number]]&gt;=2,1,0)</f>
        <v>0</v>
      </c>
      <c r="N4818" s="2">
        <f>IF(LeadsData[[#This Row],[Stage Number]]&gt;=3,1,0)</f>
        <v>0</v>
      </c>
      <c r="O4818" s="2">
        <f>IF(LeadsData[[#This Row],[Stage Number]]&gt;=4,1,0)</f>
        <v>0</v>
      </c>
    </row>
    <row r="4819" spans="1:15" x14ac:dyDescent="0.25">
      <c r="A4819" t="s">
        <v>4859</v>
      </c>
      <c r="B4819" s="1">
        <v>45634</v>
      </c>
      <c r="C4819" t="s">
        <v>46</v>
      </c>
      <c r="D4819" t="s">
        <v>56</v>
      </c>
      <c r="E4819" t="s">
        <v>13</v>
      </c>
      <c r="F4819" t="s">
        <v>19</v>
      </c>
      <c r="G4819" t="s">
        <v>29</v>
      </c>
      <c r="K4819" cm="1">
        <f t="array" ref="K4819">_xlfn.SWITCH(LeadsData[[#This Row],[Funnel Stage Reached]],"Lead",1,"MQL",2,"SQL",3,"Customer",4)</f>
        <v>3</v>
      </c>
      <c r="L4819" t="str">
        <f>TEXT(LeadsData[[#This Row],[Signup Date]],"mmm-yyyy")</f>
        <v>Dec-2024</v>
      </c>
      <c r="M4819">
        <f>IF(LeadsData[[#This Row],[Stage Number]]&gt;=2,1,0)</f>
        <v>1</v>
      </c>
      <c r="N4819" s="2">
        <f>IF(LeadsData[[#This Row],[Stage Number]]&gt;=3,1,0)</f>
        <v>1</v>
      </c>
      <c r="O4819" s="2">
        <f>IF(LeadsData[[#This Row],[Stage Number]]&gt;=4,1,0)</f>
        <v>0</v>
      </c>
    </row>
    <row r="4820" spans="1:15" x14ac:dyDescent="0.25">
      <c r="A4820" t="s">
        <v>4860</v>
      </c>
      <c r="B4820" s="1">
        <v>45496</v>
      </c>
      <c r="C4820" t="s">
        <v>11</v>
      </c>
      <c r="D4820" t="s">
        <v>12</v>
      </c>
      <c r="E4820" t="s">
        <v>21</v>
      </c>
      <c r="F4820" t="s">
        <v>14</v>
      </c>
      <c r="G4820" t="s">
        <v>15</v>
      </c>
      <c r="K4820" cm="1">
        <f t="array" ref="K4820">_xlfn.SWITCH(LeadsData[[#This Row],[Funnel Stage Reached]],"Lead",1,"MQL",2,"SQL",3,"Customer",4)</f>
        <v>1</v>
      </c>
      <c r="L4820" t="str">
        <f>TEXT(LeadsData[[#This Row],[Signup Date]],"mmm-yyyy")</f>
        <v>Jul-2024</v>
      </c>
      <c r="M4820">
        <f>IF(LeadsData[[#This Row],[Stage Number]]&gt;=2,1,0)</f>
        <v>0</v>
      </c>
      <c r="N4820" s="2">
        <f>IF(LeadsData[[#This Row],[Stage Number]]&gt;=3,1,0)</f>
        <v>0</v>
      </c>
      <c r="O4820" s="2">
        <f>IF(LeadsData[[#This Row],[Stage Number]]&gt;=4,1,0)</f>
        <v>0</v>
      </c>
    </row>
    <row r="4821" spans="1:15" x14ac:dyDescent="0.25">
      <c r="A4821" t="s">
        <v>4861</v>
      </c>
      <c r="B4821" s="1">
        <v>45527</v>
      </c>
      <c r="C4821" t="s">
        <v>31</v>
      </c>
      <c r="D4821" t="s">
        <v>34</v>
      </c>
      <c r="E4821" t="s">
        <v>13</v>
      </c>
      <c r="F4821" t="s">
        <v>19</v>
      </c>
      <c r="G4821" t="s">
        <v>15</v>
      </c>
      <c r="K4821" cm="1">
        <f t="array" ref="K4821">_xlfn.SWITCH(LeadsData[[#This Row],[Funnel Stage Reached]],"Lead",1,"MQL",2,"SQL",3,"Customer",4)</f>
        <v>1</v>
      </c>
      <c r="L4821" t="str">
        <f>TEXT(LeadsData[[#This Row],[Signup Date]],"mmm-yyyy")</f>
        <v>Aug-2024</v>
      </c>
      <c r="M4821">
        <f>IF(LeadsData[[#This Row],[Stage Number]]&gt;=2,1,0)</f>
        <v>0</v>
      </c>
      <c r="N4821" s="2">
        <f>IF(LeadsData[[#This Row],[Stage Number]]&gt;=3,1,0)</f>
        <v>0</v>
      </c>
      <c r="O4821" s="2">
        <f>IF(LeadsData[[#This Row],[Stage Number]]&gt;=4,1,0)</f>
        <v>0</v>
      </c>
    </row>
    <row r="4822" spans="1:15" x14ac:dyDescent="0.25">
      <c r="A4822" t="s">
        <v>4862</v>
      </c>
      <c r="B4822" s="1">
        <v>45313</v>
      </c>
      <c r="C4822" t="s">
        <v>17</v>
      </c>
      <c r="D4822" t="s">
        <v>18</v>
      </c>
      <c r="E4822" t="s">
        <v>13</v>
      </c>
      <c r="F4822" t="s">
        <v>22</v>
      </c>
      <c r="G4822" t="s">
        <v>15</v>
      </c>
      <c r="K4822" cm="1">
        <f t="array" ref="K4822">_xlfn.SWITCH(LeadsData[[#This Row],[Funnel Stage Reached]],"Lead",1,"MQL",2,"SQL",3,"Customer",4)</f>
        <v>1</v>
      </c>
      <c r="L4822" t="str">
        <f>TEXT(LeadsData[[#This Row],[Signup Date]],"mmm-yyyy")</f>
        <v>Jan-2024</v>
      </c>
      <c r="M4822">
        <f>IF(LeadsData[[#This Row],[Stage Number]]&gt;=2,1,0)</f>
        <v>0</v>
      </c>
      <c r="N4822" s="2">
        <f>IF(LeadsData[[#This Row],[Stage Number]]&gt;=3,1,0)</f>
        <v>0</v>
      </c>
      <c r="O4822" s="2">
        <f>IF(LeadsData[[#This Row],[Stage Number]]&gt;=4,1,0)</f>
        <v>0</v>
      </c>
    </row>
    <row r="4823" spans="1:15" x14ac:dyDescent="0.25">
      <c r="A4823" t="s">
        <v>4863</v>
      </c>
      <c r="B4823" s="1">
        <v>45576</v>
      </c>
      <c r="C4823" t="s">
        <v>31</v>
      </c>
      <c r="D4823" t="s">
        <v>32</v>
      </c>
      <c r="E4823" t="s">
        <v>48</v>
      </c>
      <c r="F4823" t="s">
        <v>19</v>
      </c>
      <c r="G4823" t="s">
        <v>15</v>
      </c>
      <c r="K4823" cm="1">
        <f t="array" ref="K4823">_xlfn.SWITCH(LeadsData[[#This Row],[Funnel Stage Reached]],"Lead",1,"MQL",2,"SQL",3,"Customer",4)</f>
        <v>1</v>
      </c>
      <c r="L4823" t="str">
        <f>TEXT(LeadsData[[#This Row],[Signup Date]],"mmm-yyyy")</f>
        <v>Oct-2024</v>
      </c>
      <c r="M4823">
        <f>IF(LeadsData[[#This Row],[Stage Number]]&gt;=2,1,0)</f>
        <v>0</v>
      </c>
      <c r="N4823" s="2">
        <f>IF(LeadsData[[#This Row],[Stage Number]]&gt;=3,1,0)</f>
        <v>0</v>
      </c>
      <c r="O4823" s="2">
        <f>IF(LeadsData[[#This Row],[Stage Number]]&gt;=4,1,0)</f>
        <v>0</v>
      </c>
    </row>
    <row r="4824" spans="1:15" x14ac:dyDescent="0.25">
      <c r="A4824" t="s">
        <v>4864</v>
      </c>
      <c r="B4824" s="1">
        <v>45636</v>
      </c>
      <c r="C4824" t="s">
        <v>36</v>
      </c>
      <c r="D4824" t="s">
        <v>37</v>
      </c>
      <c r="E4824" t="s">
        <v>21</v>
      </c>
      <c r="F4824" t="s">
        <v>22</v>
      </c>
      <c r="G4824" t="s">
        <v>15</v>
      </c>
      <c r="K4824" cm="1">
        <f t="array" ref="K4824">_xlfn.SWITCH(LeadsData[[#This Row],[Funnel Stage Reached]],"Lead",1,"MQL",2,"SQL",3,"Customer",4)</f>
        <v>1</v>
      </c>
      <c r="L4824" t="str">
        <f>TEXT(LeadsData[[#This Row],[Signup Date]],"mmm-yyyy")</f>
        <v>Dec-2024</v>
      </c>
      <c r="M4824">
        <f>IF(LeadsData[[#This Row],[Stage Number]]&gt;=2,1,0)</f>
        <v>0</v>
      </c>
      <c r="N4824" s="2">
        <f>IF(LeadsData[[#This Row],[Stage Number]]&gt;=3,1,0)</f>
        <v>0</v>
      </c>
      <c r="O4824" s="2">
        <f>IF(LeadsData[[#This Row],[Stage Number]]&gt;=4,1,0)</f>
        <v>0</v>
      </c>
    </row>
    <row r="4825" spans="1:15" x14ac:dyDescent="0.25">
      <c r="A4825" t="s">
        <v>4865</v>
      </c>
      <c r="B4825" s="1">
        <v>45541</v>
      </c>
      <c r="C4825" t="s">
        <v>25</v>
      </c>
      <c r="D4825" t="s">
        <v>26</v>
      </c>
      <c r="E4825" t="s">
        <v>21</v>
      </c>
      <c r="F4825" t="s">
        <v>19</v>
      </c>
      <c r="G4825" t="s">
        <v>15</v>
      </c>
      <c r="K4825" cm="1">
        <f t="array" ref="K4825">_xlfn.SWITCH(LeadsData[[#This Row],[Funnel Stage Reached]],"Lead",1,"MQL",2,"SQL",3,"Customer",4)</f>
        <v>1</v>
      </c>
      <c r="L4825" t="str">
        <f>TEXT(LeadsData[[#This Row],[Signup Date]],"mmm-yyyy")</f>
        <v>Sep-2024</v>
      </c>
      <c r="M4825">
        <f>IF(LeadsData[[#This Row],[Stage Number]]&gt;=2,1,0)</f>
        <v>0</v>
      </c>
      <c r="N4825" s="2">
        <f>IF(LeadsData[[#This Row],[Stage Number]]&gt;=3,1,0)</f>
        <v>0</v>
      </c>
      <c r="O4825" s="2">
        <f>IF(LeadsData[[#This Row],[Stage Number]]&gt;=4,1,0)</f>
        <v>0</v>
      </c>
    </row>
    <row r="4826" spans="1:15" x14ac:dyDescent="0.25">
      <c r="A4826" t="s">
        <v>4866</v>
      </c>
      <c r="B4826" s="1">
        <v>45312</v>
      </c>
      <c r="C4826" t="s">
        <v>46</v>
      </c>
      <c r="D4826" t="s">
        <v>56</v>
      </c>
      <c r="E4826" t="s">
        <v>13</v>
      </c>
      <c r="F4826" t="s">
        <v>19</v>
      </c>
      <c r="G4826" t="s">
        <v>15</v>
      </c>
      <c r="K4826" cm="1">
        <f t="array" ref="K4826">_xlfn.SWITCH(LeadsData[[#This Row],[Funnel Stage Reached]],"Lead",1,"MQL",2,"SQL",3,"Customer",4)</f>
        <v>1</v>
      </c>
      <c r="L4826" t="str">
        <f>TEXT(LeadsData[[#This Row],[Signup Date]],"mmm-yyyy")</f>
        <v>Jan-2024</v>
      </c>
      <c r="M4826">
        <f>IF(LeadsData[[#This Row],[Stage Number]]&gt;=2,1,0)</f>
        <v>0</v>
      </c>
      <c r="N4826" s="2">
        <f>IF(LeadsData[[#This Row],[Stage Number]]&gt;=3,1,0)</f>
        <v>0</v>
      </c>
      <c r="O4826" s="2">
        <f>IF(LeadsData[[#This Row],[Stage Number]]&gt;=4,1,0)</f>
        <v>0</v>
      </c>
    </row>
    <row r="4827" spans="1:15" x14ac:dyDescent="0.25">
      <c r="A4827" t="s">
        <v>4867</v>
      </c>
      <c r="B4827" s="1">
        <v>45607</v>
      </c>
      <c r="C4827" t="s">
        <v>31</v>
      </c>
      <c r="D4827" t="s">
        <v>32</v>
      </c>
      <c r="E4827" t="s">
        <v>13</v>
      </c>
      <c r="F4827" t="s">
        <v>14</v>
      </c>
      <c r="G4827" t="s">
        <v>15</v>
      </c>
      <c r="K4827" cm="1">
        <f t="array" ref="K4827">_xlfn.SWITCH(LeadsData[[#This Row],[Funnel Stage Reached]],"Lead",1,"MQL",2,"SQL",3,"Customer",4)</f>
        <v>1</v>
      </c>
      <c r="L4827" t="str">
        <f>TEXT(LeadsData[[#This Row],[Signup Date]],"mmm-yyyy")</f>
        <v>Nov-2024</v>
      </c>
      <c r="M4827">
        <f>IF(LeadsData[[#This Row],[Stage Number]]&gt;=2,1,0)</f>
        <v>0</v>
      </c>
      <c r="N4827" s="2">
        <f>IF(LeadsData[[#This Row],[Stage Number]]&gt;=3,1,0)</f>
        <v>0</v>
      </c>
      <c r="O4827" s="2">
        <f>IF(LeadsData[[#This Row],[Stage Number]]&gt;=4,1,0)</f>
        <v>0</v>
      </c>
    </row>
    <row r="4828" spans="1:15" x14ac:dyDescent="0.25">
      <c r="A4828" t="s">
        <v>4868</v>
      </c>
      <c r="B4828" s="1">
        <v>45541</v>
      </c>
      <c r="C4828" t="s">
        <v>36</v>
      </c>
      <c r="D4828" t="s">
        <v>50</v>
      </c>
      <c r="E4828" t="s">
        <v>13</v>
      </c>
      <c r="F4828" t="s">
        <v>14</v>
      </c>
      <c r="G4828" t="s">
        <v>15</v>
      </c>
      <c r="K4828" cm="1">
        <f t="array" ref="K4828">_xlfn.SWITCH(LeadsData[[#This Row],[Funnel Stage Reached]],"Lead",1,"MQL",2,"SQL",3,"Customer",4)</f>
        <v>1</v>
      </c>
      <c r="L4828" t="str">
        <f>TEXT(LeadsData[[#This Row],[Signup Date]],"mmm-yyyy")</f>
        <v>Sep-2024</v>
      </c>
      <c r="M4828">
        <f>IF(LeadsData[[#This Row],[Stage Number]]&gt;=2,1,0)</f>
        <v>0</v>
      </c>
      <c r="N4828" s="2">
        <f>IF(LeadsData[[#This Row],[Stage Number]]&gt;=3,1,0)</f>
        <v>0</v>
      </c>
      <c r="O4828" s="2">
        <f>IF(LeadsData[[#This Row],[Stage Number]]&gt;=4,1,0)</f>
        <v>0</v>
      </c>
    </row>
    <row r="4829" spans="1:15" x14ac:dyDescent="0.25">
      <c r="A4829" t="s">
        <v>4869</v>
      </c>
      <c r="B4829" s="1">
        <v>45391</v>
      </c>
      <c r="C4829" t="s">
        <v>46</v>
      </c>
      <c r="D4829" t="s">
        <v>47</v>
      </c>
      <c r="E4829" t="s">
        <v>21</v>
      </c>
      <c r="F4829" t="s">
        <v>22</v>
      </c>
      <c r="G4829" t="s">
        <v>15</v>
      </c>
      <c r="K4829" cm="1">
        <f t="array" ref="K4829">_xlfn.SWITCH(LeadsData[[#This Row],[Funnel Stage Reached]],"Lead",1,"MQL",2,"SQL",3,"Customer",4)</f>
        <v>1</v>
      </c>
      <c r="L4829" t="str">
        <f>TEXT(LeadsData[[#This Row],[Signup Date]],"mmm-yyyy")</f>
        <v>Apr-2024</v>
      </c>
      <c r="M4829">
        <f>IF(LeadsData[[#This Row],[Stage Number]]&gt;=2,1,0)</f>
        <v>0</v>
      </c>
      <c r="N4829" s="2">
        <f>IF(LeadsData[[#This Row],[Stage Number]]&gt;=3,1,0)</f>
        <v>0</v>
      </c>
      <c r="O4829" s="2">
        <f>IF(LeadsData[[#This Row],[Stage Number]]&gt;=4,1,0)</f>
        <v>0</v>
      </c>
    </row>
    <row r="4830" spans="1:15" x14ac:dyDescent="0.25">
      <c r="A4830" t="s">
        <v>4870</v>
      </c>
      <c r="B4830" s="1">
        <v>45413</v>
      </c>
      <c r="C4830" t="s">
        <v>31</v>
      </c>
      <c r="D4830" t="s">
        <v>34</v>
      </c>
      <c r="E4830" t="s">
        <v>21</v>
      </c>
      <c r="F4830" t="s">
        <v>19</v>
      </c>
      <c r="G4830" t="s">
        <v>23</v>
      </c>
      <c r="K4830" cm="1">
        <f t="array" ref="K4830">_xlfn.SWITCH(LeadsData[[#This Row],[Funnel Stage Reached]],"Lead",1,"MQL",2,"SQL",3,"Customer",4)</f>
        <v>2</v>
      </c>
      <c r="L4830" t="str">
        <f>TEXT(LeadsData[[#This Row],[Signup Date]],"mmm-yyyy")</f>
        <v>May-2024</v>
      </c>
      <c r="M4830">
        <f>IF(LeadsData[[#This Row],[Stage Number]]&gt;=2,1,0)</f>
        <v>1</v>
      </c>
      <c r="N4830" s="2">
        <f>IF(LeadsData[[#This Row],[Stage Number]]&gt;=3,1,0)</f>
        <v>0</v>
      </c>
      <c r="O4830" s="2">
        <f>IF(LeadsData[[#This Row],[Stage Number]]&gt;=4,1,0)</f>
        <v>0</v>
      </c>
    </row>
    <row r="4831" spans="1:15" x14ac:dyDescent="0.25">
      <c r="A4831" t="s">
        <v>4871</v>
      </c>
      <c r="B4831" s="1">
        <v>45571</v>
      </c>
      <c r="C4831" t="s">
        <v>46</v>
      </c>
      <c r="D4831" t="s">
        <v>56</v>
      </c>
      <c r="E4831" t="s">
        <v>21</v>
      </c>
      <c r="F4831" t="s">
        <v>28</v>
      </c>
      <c r="G4831" t="s">
        <v>29</v>
      </c>
      <c r="K4831" cm="1">
        <f t="array" ref="K4831">_xlfn.SWITCH(LeadsData[[#This Row],[Funnel Stage Reached]],"Lead",1,"MQL",2,"SQL",3,"Customer",4)</f>
        <v>3</v>
      </c>
      <c r="L4831" t="str">
        <f>TEXT(LeadsData[[#This Row],[Signup Date]],"mmm-yyyy")</f>
        <v>Oct-2024</v>
      </c>
      <c r="M4831">
        <f>IF(LeadsData[[#This Row],[Stage Number]]&gt;=2,1,0)</f>
        <v>1</v>
      </c>
      <c r="N4831" s="2">
        <f>IF(LeadsData[[#This Row],[Stage Number]]&gt;=3,1,0)</f>
        <v>1</v>
      </c>
      <c r="O4831" s="2">
        <f>IF(LeadsData[[#This Row],[Stage Number]]&gt;=4,1,0)</f>
        <v>0</v>
      </c>
    </row>
    <row r="4832" spans="1:15" x14ac:dyDescent="0.25">
      <c r="A4832" t="s">
        <v>4872</v>
      </c>
      <c r="B4832" s="1">
        <v>45474</v>
      </c>
      <c r="C4832" t="s">
        <v>46</v>
      </c>
      <c r="D4832" t="s">
        <v>56</v>
      </c>
      <c r="E4832" t="s">
        <v>21</v>
      </c>
      <c r="F4832" t="s">
        <v>19</v>
      </c>
      <c r="G4832" t="s">
        <v>29</v>
      </c>
      <c r="K4832" cm="1">
        <f t="array" ref="K4832">_xlfn.SWITCH(LeadsData[[#This Row],[Funnel Stage Reached]],"Lead",1,"MQL",2,"SQL",3,"Customer",4)</f>
        <v>3</v>
      </c>
      <c r="L4832" t="str">
        <f>TEXT(LeadsData[[#This Row],[Signup Date]],"mmm-yyyy")</f>
        <v>Jul-2024</v>
      </c>
      <c r="M4832">
        <f>IF(LeadsData[[#This Row],[Stage Number]]&gt;=2,1,0)</f>
        <v>1</v>
      </c>
      <c r="N4832" s="2">
        <f>IF(LeadsData[[#This Row],[Stage Number]]&gt;=3,1,0)</f>
        <v>1</v>
      </c>
      <c r="O4832" s="2">
        <f>IF(LeadsData[[#This Row],[Stage Number]]&gt;=4,1,0)</f>
        <v>0</v>
      </c>
    </row>
    <row r="4833" spans="1:15" x14ac:dyDescent="0.25">
      <c r="A4833" t="s">
        <v>4873</v>
      </c>
      <c r="B4833" s="1">
        <v>45517</v>
      </c>
      <c r="C4833" t="s">
        <v>25</v>
      </c>
      <c r="D4833" t="s">
        <v>26</v>
      </c>
      <c r="E4833" t="s">
        <v>21</v>
      </c>
      <c r="F4833" t="s">
        <v>19</v>
      </c>
      <c r="G4833" t="s">
        <v>15</v>
      </c>
      <c r="K4833" cm="1">
        <f t="array" ref="K4833">_xlfn.SWITCH(LeadsData[[#This Row],[Funnel Stage Reached]],"Lead",1,"MQL",2,"SQL",3,"Customer",4)</f>
        <v>1</v>
      </c>
      <c r="L4833" t="str">
        <f>TEXT(LeadsData[[#This Row],[Signup Date]],"mmm-yyyy")</f>
        <v>Aug-2024</v>
      </c>
      <c r="M4833">
        <f>IF(LeadsData[[#This Row],[Stage Number]]&gt;=2,1,0)</f>
        <v>0</v>
      </c>
      <c r="N4833" s="2">
        <f>IF(LeadsData[[#This Row],[Stage Number]]&gt;=3,1,0)</f>
        <v>0</v>
      </c>
      <c r="O4833" s="2">
        <f>IF(LeadsData[[#This Row],[Stage Number]]&gt;=4,1,0)</f>
        <v>0</v>
      </c>
    </row>
    <row r="4834" spans="1:15" x14ac:dyDescent="0.25">
      <c r="A4834" t="s">
        <v>4874</v>
      </c>
      <c r="B4834" s="1">
        <v>45438</v>
      </c>
      <c r="C4834" t="s">
        <v>31</v>
      </c>
      <c r="D4834" t="s">
        <v>34</v>
      </c>
      <c r="E4834" t="s">
        <v>21</v>
      </c>
      <c r="F4834" t="s">
        <v>22</v>
      </c>
      <c r="G4834" t="s">
        <v>23</v>
      </c>
      <c r="K4834" cm="1">
        <f t="array" ref="K4834">_xlfn.SWITCH(LeadsData[[#This Row],[Funnel Stage Reached]],"Lead",1,"MQL",2,"SQL",3,"Customer",4)</f>
        <v>2</v>
      </c>
      <c r="L4834" t="str">
        <f>TEXT(LeadsData[[#This Row],[Signup Date]],"mmm-yyyy")</f>
        <v>May-2024</v>
      </c>
      <c r="M4834">
        <f>IF(LeadsData[[#This Row],[Stage Number]]&gt;=2,1,0)</f>
        <v>1</v>
      </c>
      <c r="N4834" s="2">
        <f>IF(LeadsData[[#This Row],[Stage Number]]&gt;=3,1,0)</f>
        <v>0</v>
      </c>
      <c r="O4834" s="2">
        <f>IF(LeadsData[[#This Row],[Stage Number]]&gt;=4,1,0)</f>
        <v>0</v>
      </c>
    </row>
    <row r="4835" spans="1:15" x14ac:dyDescent="0.25">
      <c r="A4835" t="s">
        <v>4875</v>
      </c>
      <c r="B4835" s="1">
        <v>45299</v>
      </c>
      <c r="C4835" t="s">
        <v>36</v>
      </c>
      <c r="D4835" t="s">
        <v>50</v>
      </c>
      <c r="E4835" t="s">
        <v>13</v>
      </c>
      <c r="F4835" t="s">
        <v>22</v>
      </c>
      <c r="G4835" t="s">
        <v>15</v>
      </c>
      <c r="K4835" cm="1">
        <f t="array" ref="K4835">_xlfn.SWITCH(LeadsData[[#This Row],[Funnel Stage Reached]],"Lead",1,"MQL",2,"SQL",3,"Customer",4)</f>
        <v>1</v>
      </c>
      <c r="L4835" t="str">
        <f>TEXT(LeadsData[[#This Row],[Signup Date]],"mmm-yyyy")</f>
        <v>Jan-2024</v>
      </c>
      <c r="M4835">
        <f>IF(LeadsData[[#This Row],[Stage Number]]&gt;=2,1,0)</f>
        <v>0</v>
      </c>
      <c r="N4835" s="2">
        <f>IF(LeadsData[[#This Row],[Stage Number]]&gt;=3,1,0)</f>
        <v>0</v>
      </c>
      <c r="O4835" s="2">
        <f>IF(LeadsData[[#This Row],[Stage Number]]&gt;=4,1,0)</f>
        <v>0</v>
      </c>
    </row>
    <row r="4836" spans="1:15" x14ac:dyDescent="0.25">
      <c r="A4836" t="s">
        <v>4876</v>
      </c>
      <c r="B4836" s="1">
        <v>45603</v>
      </c>
      <c r="C4836" t="s">
        <v>17</v>
      </c>
      <c r="D4836" t="s">
        <v>53</v>
      </c>
      <c r="E4836" t="s">
        <v>13</v>
      </c>
      <c r="F4836" t="s">
        <v>14</v>
      </c>
      <c r="G4836" t="s">
        <v>15</v>
      </c>
      <c r="K4836" cm="1">
        <f t="array" ref="K4836">_xlfn.SWITCH(LeadsData[[#This Row],[Funnel Stage Reached]],"Lead",1,"MQL",2,"SQL",3,"Customer",4)</f>
        <v>1</v>
      </c>
      <c r="L4836" t="str">
        <f>TEXT(LeadsData[[#This Row],[Signup Date]],"mmm-yyyy")</f>
        <v>Nov-2024</v>
      </c>
      <c r="M4836">
        <f>IF(LeadsData[[#This Row],[Stage Number]]&gt;=2,1,0)</f>
        <v>0</v>
      </c>
      <c r="N4836" s="2">
        <f>IF(LeadsData[[#This Row],[Stage Number]]&gt;=3,1,0)</f>
        <v>0</v>
      </c>
      <c r="O4836" s="2">
        <f>IF(LeadsData[[#This Row],[Stage Number]]&gt;=4,1,0)</f>
        <v>0</v>
      </c>
    </row>
    <row r="4837" spans="1:15" x14ac:dyDescent="0.25">
      <c r="A4837" t="s">
        <v>4877</v>
      </c>
      <c r="B4837" s="1">
        <v>45599</v>
      </c>
      <c r="C4837" t="s">
        <v>31</v>
      </c>
      <c r="D4837" t="s">
        <v>32</v>
      </c>
      <c r="E4837" t="s">
        <v>13</v>
      </c>
      <c r="F4837" t="s">
        <v>19</v>
      </c>
      <c r="G4837" t="s">
        <v>42</v>
      </c>
      <c r="H4837">
        <v>15</v>
      </c>
      <c r="I4837" t="s">
        <v>43</v>
      </c>
      <c r="J4837">
        <v>541.61</v>
      </c>
      <c r="K4837" cm="1">
        <f t="array" ref="K4837">_xlfn.SWITCH(LeadsData[[#This Row],[Funnel Stage Reached]],"Lead",1,"MQL",2,"SQL",3,"Customer",4)</f>
        <v>4</v>
      </c>
      <c r="L4837" t="str">
        <f>TEXT(LeadsData[[#This Row],[Signup Date]],"mmm-yyyy")</f>
        <v>Nov-2024</v>
      </c>
      <c r="M4837">
        <f>IF(LeadsData[[#This Row],[Stage Number]]&gt;=2,1,0)</f>
        <v>1</v>
      </c>
      <c r="N4837" s="2">
        <f>IF(LeadsData[[#This Row],[Stage Number]]&gt;=3,1,0)</f>
        <v>1</v>
      </c>
      <c r="O4837" s="2">
        <f>IF(LeadsData[[#This Row],[Stage Number]]&gt;=4,1,0)</f>
        <v>1</v>
      </c>
    </row>
    <row r="4838" spans="1:15" x14ac:dyDescent="0.25">
      <c r="A4838" t="s">
        <v>4878</v>
      </c>
      <c r="B4838" s="1">
        <v>45341</v>
      </c>
      <c r="C4838" t="s">
        <v>25</v>
      </c>
      <c r="D4838" t="s">
        <v>26</v>
      </c>
      <c r="E4838" t="s">
        <v>21</v>
      </c>
      <c r="F4838" t="s">
        <v>19</v>
      </c>
      <c r="G4838" t="s">
        <v>15</v>
      </c>
      <c r="K4838" cm="1">
        <f t="array" ref="K4838">_xlfn.SWITCH(LeadsData[[#This Row],[Funnel Stage Reached]],"Lead",1,"MQL",2,"SQL",3,"Customer",4)</f>
        <v>1</v>
      </c>
      <c r="L4838" t="str">
        <f>TEXT(LeadsData[[#This Row],[Signup Date]],"mmm-yyyy")</f>
        <v>Feb-2024</v>
      </c>
      <c r="M4838">
        <f>IF(LeadsData[[#This Row],[Stage Number]]&gt;=2,1,0)</f>
        <v>0</v>
      </c>
      <c r="N4838" s="2">
        <f>IF(LeadsData[[#This Row],[Stage Number]]&gt;=3,1,0)</f>
        <v>0</v>
      </c>
      <c r="O4838" s="2">
        <f>IF(LeadsData[[#This Row],[Stage Number]]&gt;=4,1,0)</f>
        <v>0</v>
      </c>
    </row>
    <row r="4839" spans="1:15" x14ac:dyDescent="0.25">
      <c r="A4839" t="s">
        <v>4879</v>
      </c>
      <c r="B4839" s="1">
        <v>45654</v>
      </c>
      <c r="C4839" t="s">
        <v>31</v>
      </c>
      <c r="D4839" t="s">
        <v>32</v>
      </c>
      <c r="E4839" t="s">
        <v>13</v>
      </c>
      <c r="F4839" t="s">
        <v>14</v>
      </c>
      <c r="G4839" t="s">
        <v>15</v>
      </c>
      <c r="K4839" cm="1">
        <f t="array" ref="K4839">_xlfn.SWITCH(LeadsData[[#This Row],[Funnel Stage Reached]],"Lead",1,"MQL",2,"SQL",3,"Customer",4)</f>
        <v>1</v>
      </c>
      <c r="L4839" t="str">
        <f>TEXT(LeadsData[[#This Row],[Signup Date]],"mmm-yyyy")</f>
        <v>Dec-2024</v>
      </c>
      <c r="M4839">
        <f>IF(LeadsData[[#This Row],[Stage Number]]&gt;=2,1,0)</f>
        <v>0</v>
      </c>
      <c r="N4839" s="2">
        <f>IF(LeadsData[[#This Row],[Stage Number]]&gt;=3,1,0)</f>
        <v>0</v>
      </c>
      <c r="O4839" s="2">
        <f>IF(LeadsData[[#This Row],[Stage Number]]&gt;=4,1,0)</f>
        <v>0</v>
      </c>
    </row>
    <row r="4840" spans="1:15" x14ac:dyDescent="0.25">
      <c r="A4840" t="s">
        <v>4880</v>
      </c>
      <c r="B4840" s="1">
        <v>45549</v>
      </c>
      <c r="C4840" t="s">
        <v>25</v>
      </c>
      <c r="D4840" t="s">
        <v>26</v>
      </c>
      <c r="E4840" t="s">
        <v>13</v>
      </c>
      <c r="F4840" t="s">
        <v>14</v>
      </c>
      <c r="G4840" t="s">
        <v>23</v>
      </c>
      <c r="K4840" cm="1">
        <f t="array" ref="K4840">_xlfn.SWITCH(LeadsData[[#This Row],[Funnel Stage Reached]],"Lead",1,"MQL",2,"SQL",3,"Customer",4)</f>
        <v>2</v>
      </c>
      <c r="L4840" t="str">
        <f>TEXT(LeadsData[[#This Row],[Signup Date]],"mmm-yyyy")</f>
        <v>Sep-2024</v>
      </c>
      <c r="M4840">
        <f>IF(LeadsData[[#This Row],[Stage Number]]&gt;=2,1,0)</f>
        <v>1</v>
      </c>
      <c r="N4840" s="2">
        <f>IF(LeadsData[[#This Row],[Stage Number]]&gt;=3,1,0)</f>
        <v>0</v>
      </c>
      <c r="O4840" s="2">
        <f>IF(LeadsData[[#This Row],[Stage Number]]&gt;=4,1,0)</f>
        <v>0</v>
      </c>
    </row>
    <row r="4841" spans="1:15" x14ac:dyDescent="0.25">
      <c r="A4841" t="s">
        <v>4881</v>
      </c>
      <c r="B4841" s="1">
        <v>45436</v>
      </c>
      <c r="C4841" t="s">
        <v>17</v>
      </c>
      <c r="D4841" t="s">
        <v>53</v>
      </c>
      <c r="E4841" t="s">
        <v>21</v>
      </c>
      <c r="F4841" t="s">
        <v>19</v>
      </c>
      <c r="G4841" t="s">
        <v>23</v>
      </c>
      <c r="K4841" cm="1">
        <f t="array" ref="K4841">_xlfn.SWITCH(LeadsData[[#This Row],[Funnel Stage Reached]],"Lead",1,"MQL",2,"SQL",3,"Customer",4)</f>
        <v>2</v>
      </c>
      <c r="L4841" t="str">
        <f>TEXT(LeadsData[[#This Row],[Signup Date]],"mmm-yyyy")</f>
        <v>May-2024</v>
      </c>
      <c r="M4841">
        <f>IF(LeadsData[[#This Row],[Stage Number]]&gt;=2,1,0)</f>
        <v>1</v>
      </c>
      <c r="N4841" s="2">
        <f>IF(LeadsData[[#This Row],[Stage Number]]&gt;=3,1,0)</f>
        <v>0</v>
      </c>
      <c r="O4841" s="2">
        <f>IF(LeadsData[[#This Row],[Stage Number]]&gt;=4,1,0)</f>
        <v>0</v>
      </c>
    </row>
    <row r="4842" spans="1:15" x14ac:dyDescent="0.25">
      <c r="A4842" t="s">
        <v>4882</v>
      </c>
      <c r="B4842" s="1">
        <v>45508</v>
      </c>
      <c r="C4842" t="s">
        <v>17</v>
      </c>
      <c r="D4842" t="s">
        <v>53</v>
      </c>
      <c r="E4842" t="s">
        <v>13</v>
      </c>
      <c r="F4842" t="s">
        <v>22</v>
      </c>
      <c r="G4842" t="s">
        <v>15</v>
      </c>
      <c r="K4842" cm="1">
        <f t="array" ref="K4842">_xlfn.SWITCH(LeadsData[[#This Row],[Funnel Stage Reached]],"Lead",1,"MQL",2,"SQL",3,"Customer",4)</f>
        <v>1</v>
      </c>
      <c r="L4842" t="str">
        <f>TEXT(LeadsData[[#This Row],[Signup Date]],"mmm-yyyy")</f>
        <v>Aug-2024</v>
      </c>
      <c r="M4842">
        <f>IF(LeadsData[[#This Row],[Stage Number]]&gt;=2,1,0)</f>
        <v>0</v>
      </c>
      <c r="N4842" s="2">
        <f>IF(LeadsData[[#This Row],[Stage Number]]&gt;=3,1,0)</f>
        <v>0</v>
      </c>
      <c r="O4842" s="2">
        <f>IF(LeadsData[[#This Row],[Stage Number]]&gt;=4,1,0)</f>
        <v>0</v>
      </c>
    </row>
    <row r="4843" spans="1:15" x14ac:dyDescent="0.25">
      <c r="A4843" t="s">
        <v>4883</v>
      </c>
      <c r="B4843" s="1">
        <v>45642</v>
      </c>
      <c r="C4843" t="s">
        <v>46</v>
      </c>
      <c r="D4843" t="s">
        <v>56</v>
      </c>
      <c r="E4843" t="s">
        <v>21</v>
      </c>
      <c r="F4843" t="s">
        <v>14</v>
      </c>
      <c r="G4843" t="s">
        <v>15</v>
      </c>
      <c r="K4843" cm="1">
        <f t="array" ref="K4843">_xlfn.SWITCH(LeadsData[[#This Row],[Funnel Stage Reached]],"Lead",1,"MQL",2,"SQL",3,"Customer",4)</f>
        <v>1</v>
      </c>
      <c r="L4843" t="str">
        <f>TEXT(LeadsData[[#This Row],[Signup Date]],"mmm-yyyy")</f>
        <v>Dec-2024</v>
      </c>
      <c r="M4843">
        <f>IF(LeadsData[[#This Row],[Stage Number]]&gt;=2,1,0)</f>
        <v>0</v>
      </c>
      <c r="N4843" s="2">
        <f>IF(LeadsData[[#This Row],[Stage Number]]&gt;=3,1,0)</f>
        <v>0</v>
      </c>
      <c r="O4843" s="2">
        <f>IF(LeadsData[[#This Row],[Stage Number]]&gt;=4,1,0)</f>
        <v>0</v>
      </c>
    </row>
    <row r="4844" spans="1:15" x14ac:dyDescent="0.25">
      <c r="A4844" t="s">
        <v>4884</v>
      </c>
      <c r="B4844" s="1">
        <v>45613</v>
      </c>
      <c r="C4844" t="s">
        <v>31</v>
      </c>
      <c r="D4844" t="s">
        <v>32</v>
      </c>
      <c r="E4844" t="s">
        <v>21</v>
      </c>
      <c r="F4844" t="s">
        <v>19</v>
      </c>
      <c r="G4844" t="s">
        <v>29</v>
      </c>
      <c r="K4844" cm="1">
        <f t="array" ref="K4844">_xlfn.SWITCH(LeadsData[[#This Row],[Funnel Stage Reached]],"Lead",1,"MQL",2,"SQL",3,"Customer",4)</f>
        <v>3</v>
      </c>
      <c r="L4844" t="str">
        <f>TEXT(LeadsData[[#This Row],[Signup Date]],"mmm-yyyy")</f>
        <v>Nov-2024</v>
      </c>
      <c r="M4844">
        <f>IF(LeadsData[[#This Row],[Stage Number]]&gt;=2,1,0)</f>
        <v>1</v>
      </c>
      <c r="N4844" s="2">
        <f>IF(LeadsData[[#This Row],[Stage Number]]&gt;=3,1,0)</f>
        <v>1</v>
      </c>
      <c r="O4844" s="2">
        <f>IF(LeadsData[[#This Row],[Stage Number]]&gt;=4,1,0)</f>
        <v>0</v>
      </c>
    </row>
    <row r="4845" spans="1:15" x14ac:dyDescent="0.25">
      <c r="A4845" t="s">
        <v>4885</v>
      </c>
      <c r="B4845" s="1">
        <v>45515</v>
      </c>
      <c r="C4845" t="s">
        <v>17</v>
      </c>
      <c r="D4845" t="s">
        <v>18</v>
      </c>
      <c r="E4845" t="s">
        <v>13</v>
      </c>
      <c r="F4845" t="s">
        <v>19</v>
      </c>
      <c r="G4845" t="s">
        <v>15</v>
      </c>
      <c r="K4845" cm="1">
        <f t="array" ref="K4845">_xlfn.SWITCH(LeadsData[[#This Row],[Funnel Stage Reached]],"Lead",1,"MQL",2,"SQL",3,"Customer",4)</f>
        <v>1</v>
      </c>
      <c r="L4845" t="str">
        <f>TEXT(LeadsData[[#This Row],[Signup Date]],"mmm-yyyy")</f>
        <v>Aug-2024</v>
      </c>
      <c r="M4845">
        <f>IF(LeadsData[[#This Row],[Stage Number]]&gt;=2,1,0)</f>
        <v>0</v>
      </c>
      <c r="N4845" s="2">
        <f>IF(LeadsData[[#This Row],[Stage Number]]&gt;=3,1,0)</f>
        <v>0</v>
      </c>
      <c r="O4845" s="2">
        <f>IF(LeadsData[[#This Row],[Stage Number]]&gt;=4,1,0)</f>
        <v>0</v>
      </c>
    </row>
    <row r="4846" spans="1:15" x14ac:dyDescent="0.25">
      <c r="A4846" t="s">
        <v>4886</v>
      </c>
      <c r="B4846" s="1">
        <v>45346</v>
      </c>
      <c r="C4846" t="s">
        <v>46</v>
      </c>
      <c r="D4846" t="s">
        <v>47</v>
      </c>
      <c r="E4846" t="s">
        <v>21</v>
      </c>
      <c r="F4846" t="s">
        <v>28</v>
      </c>
      <c r="G4846" t="s">
        <v>15</v>
      </c>
      <c r="K4846" cm="1">
        <f t="array" ref="K4846">_xlfn.SWITCH(LeadsData[[#This Row],[Funnel Stage Reached]],"Lead",1,"MQL",2,"SQL",3,"Customer",4)</f>
        <v>1</v>
      </c>
      <c r="L4846" t="str">
        <f>TEXT(LeadsData[[#This Row],[Signup Date]],"mmm-yyyy")</f>
        <v>Feb-2024</v>
      </c>
      <c r="M4846">
        <f>IF(LeadsData[[#This Row],[Stage Number]]&gt;=2,1,0)</f>
        <v>0</v>
      </c>
      <c r="N4846" s="2">
        <f>IF(LeadsData[[#This Row],[Stage Number]]&gt;=3,1,0)</f>
        <v>0</v>
      </c>
      <c r="O4846" s="2">
        <f>IF(LeadsData[[#This Row],[Stage Number]]&gt;=4,1,0)</f>
        <v>0</v>
      </c>
    </row>
    <row r="4847" spans="1:15" x14ac:dyDescent="0.25">
      <c r="A4847" t="s">
        <v>4887</v>
      </c>
      <c r="B4847" s="1">
        <v>45527</v>
      </c>
      <c r="C4847" t="s">
        <v>11</v>
      </c>
      <c r="D4847" t="s">
        <v>12</v>
      </c>
      <c r="E4847" t="s">
        <v>21</v>
      </c>
      <c r="F4847" t="s">
        <v>22</v>
      </c>
      <c r="G4847" t="s">
        <v>15</v>
      </c>
      <c r="K4847" cm="1">
        <f t="array" ref="K4847">_xlfn.SWITCH(LeadsData[[#This Row],[Funnel Stage Reached]],"Lead",1,"MQL",2,"SQL",3,"Customer",4)</f>
        <v>1</v>
      </c>
      <c r="L4847" t="str">
        <f>TEXT(LeadsData[[#This Row],[Signup Date]],"mmm-yyyy")</f>
        <v>Aug-2024</v>
      </c>
      <c r="M4847">
        <f>IF(LeadsData[[#This Row],[Stage Number]]&gt;=2,1,0)</f>
        <v>0</v>
      </c>
      <c r="N4847" s="2">
        <f>IF(LeadsData[[#This Row],[Stage Number]]&gt;=3,1,0)</f>
        <v>0</v>
      </c>
      <c r="O4847" s="2">
        <f>IF(LeadsData[[#This Row],[Stage Number]]&gt;=4,1,0)</f>
        <v>0</v>
      </c>
    </row>
    <row r="4848" spans="1:15" x14ac:dyDescent="0.25">
      <c r="A4848" t="s">
        <v>4888</v>
      </c>
      <c r="B4848" s="1">
        <v>45578</v>
      </c>
      <c r="C4848" t="s">
        <v>17</v>
      </c>
      <c r="D4848" t="s">
        <v>53</v>
      </c>
      <c r="E4848" t="s">
        <v>21</v>
      </c>
      <c r="F4848" t="s">
        <v>19</v>
      </c>
      <c r="G4848" t="s">
        <v>15</v>
      </c>
      <c r="K4848" cm="1">
        <f t="array" ref="K4848">_xlfn.SWITCH(LeadsData[[#This Row],[Funnel Stage Reached]],"Lead",1,"MQL",2,"SQL",3,"Customer",4)</f>
        <v>1</v>
      </c>
      <c r="L4848" t="str">
        <f>TEXT(LeadsData[[#This Row],[Signup Date]],"mmm-yyyy")</f>
        <v>Oct-2024</v>
      </c>
      <c r="M4848">
        <f>IF(LeadsData[[#This Row],[Stage Number]]&gt;=2,1,0)</f>
        <v>0</v>
      </c>
      <c r="N4848" s="2">
        <f>IF(LeadsData[[#This Row],[Stage Number]]&gt;=3,1,0)</f>
        <v>0</v>
      </c>
      <c r="O4848" s="2">
        <f>IF(LeadsData[[#This Row],[Stage Number]]&gt;=4,1,0)</f>
        <v>0</v>
      </c>
    </row>
    <row r="4849" spans="1:15" x14ac:dyDescent="0.25">
      <c r="A4849" t="s">
        <v>4889</v>
      </c>
      <c r="B4849" s="1">
        <v>45367</v>
      </c>
      <c r="C4849" t="s">
        <v>31</v>
      </c>
      <c r="D4849" t="s">
        <v>34</v>
      </c>
      <c r="E4849" t="s">
        <v>13</v>
      </c>
      <c r="F4849" t="s">
        <v>19</v>
      </c>
      <c r="G4849" t="s">
        <v>23</v>
      </c>
      <c r="K4849" cm="1">
        <f t="array" ref="K4849">_xlfn.SWITCH(LeadsData[[#This Row],[Funnel Stage Reached]],"Lead",1,"MQL",2,"SQL",3,"Customer",4)</f>
        <v>2</v>
      </c>
      <c r="L4849" t="str">
        <f>TEXT(LeadsData[[#This Row],[Signup Date]],"mmm-yyyy")</f>
        <v>Mar-2024</v>
      </c>
      <c r="M4849">
        <f>IF(LeadsData[[#This Row],[Stage Number]]&gt;=2,1,0)</f>
        <v>1</v>
      </c>
      <c r="N4849" s="2">
        <f>IF(LeadsData[[#This Row],[Stage Number]]&gt;=3,1,0)</f>
        <v>0</v>
      </c>
      <c r="O4849" s="2">
        <f>IF(LeadsData[[#This Row],[Stage Number]]&gt;=4,1,0)</f>
        <v>0</v>
      </c>
    </row>
    <row r="4850" spans="1:15" x14ac:dyDescent="0.25">
      <c r="A4850" t="s">
        <v>4890</v>
      </c>
      <c r="B4850" s="1">
        <v>45538</v>
      </c>
      <c r="C4850" t="s">
        <v>11</v>
      </c>
      <c r="D4850" t="s">
        <v>68</v>
      </c>
      <c r="E4850" t="s">
        <v>21</v>
      </c>
      <c r="F4850" t="s">
        <v>14</v>
      </c>
      <c r="G4850" t="s">
        <v>15</v>
      </c>
      <c r="K4850" cm="1">
        <f t="array" ref="K4850">_xlfn.SWITCH(LeadsData[[#This Row],[Funnel Stage Reached]],"Lead",1,"MQL",2,"SQL",3,"Customer",4)</f>
        <v>1</v>
      </c>
      <c r="L4850" t="str">
        <f>TEXT(LeadsData[[#This Row],[Signup Date]],"mmm-yyyy")</f>
        <v>Sep-2024</v>
      </c>
      <c r="M4850">
        <f>IF(LeadsData[[#This Row],[Stage Number]]&gt;=2,1,0)</f>
        <v>0</v>
      </c>
      <c r="N4850" s="2">
        <f>IF(LeadsData[[#This Row],[Stage Number]]&gt;=3,1,0)</f>
        <v>0</v>
      </c>
      <c r="O4850" s="2">
        <f>IF(LeadsData[[#This Row],[Stage Number]]&gt;=4,1,0)</f>
        <v>0</v>
      </c>
    </row>
    <row r="4851" spans="1:15" x14ac:dyDescent="0.25">
      <c r="A4851" t="s">
        <v>4891</v>
      </c>
      <c r="B4851" s="1">
        <v>45367</v>
      </c>
      <c r="C4851" t="s">
        <v>36</v>
      </c>
      <c r="D4851" t="s">
        <v>50</v>
      </c>
      <c r="E4851" t="s">
        <v>13</v>
      </c>
      <c r="F4851" t="s">
        <v>19</v>
      </c>
      <c r="G4851" t="s">
        <v>15</v>
      </c>
      <c r="K4851" cm="1">
        <f t="array" ref="K4851">_xlfn.SWITCH(LeadsData[[#This Row],[Funnel Stage Reached]],"Lead",1,"MQL",2,"SQL",3,"Customer",4)</f>
        <v>1</v>
      </c>
      <c r="L4851" t="str">
        <f>TEXT(LeadsData[[#This Row],[Signup Date]],"mmm-yyyy")</f>
        <v>Mar-2024</v>
      </c>
      <c r="M4851">
        <f>IF(LeadsData[[#This Row],[Stage Number]]&gt;=2,1,0)</f>
        <v>0</v>
      </c>
      <c r="N4851" s="2">
        <f>IF(LeadsData[[#This Row],[Stage Number]]&gt;=3,1,0)</f>
        <v>0</v>
      </c>
      <c r="O4851" s="2">
        <f>IF(LeadsData[[#This Row],[Stage Number]]&gt;=4,1,0)</f>
        <v>0</v>
      </c>
    </row>
    <row r="4852" spans="1:15" x14ac:dyDescent="0.25">
      <c r="A4852" t="s">
        <v>4892</v>
      </c>
      <c r="B4852" s="1">
        <v>45506</v>
      </c>
      <c r="C4852" t="s">
        <v>25</v>
      </c>
      <c r="D4852" t="s">
        <v>26</v>
      </c>
      <c r="E4852" t="s">
        <v>21</v>
      </c>
      <c r="F4852" t="s">
        <v>19</v>
      </c>
      <c r="G4852" t="s">
        <v>15</v>
      </c>
      <c r="K4852" cm="1">
        <f t="array" ref="K4852">_xlfn.SWITCH(LeadsData[[#This Row],[Funnel Stage Reached]],"Lead",1,"MQL",2,"SQL",3,"Customer",4)</f>
        <v>1</v>
      </c>
      <c r="L4852" t="str">
        <f>TEXT(LeadsData[[#This Row],[Signup Date]],"mmm-yyyy")</f>
        <v>Aug-2024</v>
      </c>
      <c r="M4852">
        <f>IF(LeadsData[[#This Row],[Stage Number]]&gt;=2,1,0)</f>
        <v>0</v>
      </c>
      <c r="N4852" s="2">
        <f>IF(LeadsData[[#This Row],[Stage Number]]&gt;=3,1,0)</f>
        <v>0</v>
      </c>
      <c r="O4852" s="2">
        <f>IF(LeadsData[[#This Row],[Stage Number]]&gt;=4,1,0)</f>
        <v>0</v>
      </c>
    </row>
    <row r="4853" spans="1:15" x14ac:dyDescent="0.25">
      <c r="A4853" t="s">
        <v>4893</v>
      </c>
      <c r="B4853" s="1">
        <v>45556</v>
      </c>
      <c r="C4853" t="s">
        <v>31</v>
      </c>
      <c r="D4853" t="s">
        <v>32</v>
      </c>
      <c r="E4853" t="s">
        <v>13</v>
      </c>
      <c r="F4853" t="s">
        <v>19</v>
      </c>
      <c r="G4853" t="s">
        <v>15</v>
      </c>
      <c r="K4853" cm="1">
        <f t="array" ref="K4853">_xlfn.SWITCH(LeadsData[[#This Row],[Funnel Stage Reached]],"Lead",1,"MQL",2,"SQL",3,"Customer",4)</f>
        <v>1</v>
      </c>
      <c r="L4853" t="str">
        <f>TEXT(LeadsData[[#This Row],[Signup Date]],"mmm-yyyy")</f>
        <v>Sep-2024</v>
      </c>
      <c r="M4853">
        <f>IF(LeadsData[[#This Row],[Stage Number]]&gt;=2,1,0)</f>
        <v>0</v>
      </c>
      <c r="N4853" s="2">
        <f>IF(LeadsData[[#This Row],[Stage Number]]&gt;=3,1,0)</f>
        <v>0</v>
      </c>
      <c r="O4853" s="2">
        <f>IF(LeadsData[[#This Row],[Stage Number]]&gt;=4,1,0)</f>
        <v>0</v>
      </c>
    </row>
    <row r="4854" spans="1:15" x14ac:dyDescent="0.25">
      <c r="A4854" t="s">
        <v>4894</v>
      </c>
      <c r="B4854" s="1">
        <v>45397</v>
      </c>
      <c r="C4854" t="s">
        <v>31</v>
      </c>
      <c r="D4854" t="s">
        <v>34</v>
      </c>
      <c r="E4854" t="s">
        <v>21</v>
      </c>
      <c r="F4854" t="s">
        <v>19</v>
      </c>
      <c r="G4854" t="s">
        <v>23</v>
      </c>
      <c r="K4854" cm="1">
        <f t="array" ref="K4854">_xlfn.SWITCH(LeadsData[[#This Row],[Funnel Stage Reached]],"Lead",1,"MQL",2,"SQL",3,"Customer",4)</f>
        <v>2</v>
      </c>
      <c r="L4854" t="str">
        <f>TEXT(LeadsData[[#This Row],[Signup Date]],"mmm-yyyy")</f>
        <v>Apr-2024</v>
      </c>
      <c r="M4854">
        <f>IF(LeadsData[[#This Row],[Stage Number]]&gt;=2,1,0)</f>
        <v>1</v>
      </c>
      <c r="N4854" s="2">
        <f>IF(LeadsData[[#This Row],[Stage Number]]&gt;=3,1,0)</f>
        <v>0</v>
      </c>
      <c r="O4854" s="2">
        <f>IF(LeadsData[[#This Row],[Stage Number]]&gt;=4,1,0)</f>
        <v>0</v>
      </c>
    </row>
    <row r="4855" spans="1:15" x14ac:dyDescent="0.25">
      <c r="A4855" t="s">
        <v>4895</v>
      </c>
      <c r="B4855" s="1">
        <v>45471</v>
      </c>
      <c r="C4855" t="s">
        <v>36</v>
      </c>
      <c r="D4855" t="s">
        <v>37</v>
      </c>
      <c r="E4855" t="s">
        <v>13</v>
      </c>
      <c r="F4855" t="s">
        <v>22</v>
      </c>
      <c r="G4855" t="s">
        <v>42</v>
      </c>
      <c r="H4855">
        <v>73</v>
      </c>
      <c r="I4855" t="s">
        <v>87</v>
      </c>
      <c r="J4855">
        <v>1866.05</v>
      </c>
      <c r="K4855" cm="1">
        <f t="array" ref="K4855">_xlfn.SWITCH(LeadsData[[#This Row],[Funnel Stage Reached]],"Lead",1,"MQL",2,"SQL",3,"Customer",4)</f>
        <v>4</v>
      </c>
      <c r="L4855" t="str">
        <f>TEXT(LeadsData[[#This Row],[Signup Date]],"mmm-yyyy")</f>
        <v>Jun-2024</v>
      </c>
      <c r="M4855">
        <f>IF(LeadsData[[#This Row],[Stage Number]]&gt;=2,1,0)</f>
        <v>1</v>
      </c>
      <c r="N4855" s="2">
        <f>IF(LeadsData[[#This Row],[Stage Number]]&gt;=3,1,0)</f>
        <v>1</v>
      </c>
      <c r="O4855" s="2">
        <f>IF(LeadsData[[#This Row],[Stage Number]]&gt;=4,1,0)</f>
        <v>1</v>
      </c>
    </row>
    <row r="4856" spans="1:15" x14ac:dyDescent="0.25">
      <c r="A4856" t="s">
        <v>4896</v>
      </c>
      <c r="B4856" s="1">
        <v>45375</v>
      </c>
      <c r="C4856" t="s">
        <v>25</v>
      </c>
      <c r="D4856" t="s">
        <v>26</v>
      </c>
      <c r="E4856" t="s">
        <v>21</v>
      </c>
      <c r="F4856" t="s">
        <v>14</v>
      </c>
      <c r="G4856" t="s">
        <v>15</v>
      </c>
      <c r="K4856" cm="1">
        <f t="array" ref="K4856">_xlfn.SWITCH(LeadsData[[#This Row],[Funnel Stage Reached]],"Lead",1,"MQL",2,"SQL",3,"Customer",4)</f>
        <v>1</v>
      </c>
      <c r="L4856" t="str">
        <f>TEXT(LeadsData[[#This Row],[Signup Date]],"mmm-yyyy")</f>
        <v>Mar-2024</v>
      </c>
      <c r="M4856">
        <f>IF(LeadsData[[#This Row],[Stage Number]]&gt;=2,1,0)</f>
        <v>0</v>
      </c>
      <c r="N4856" s="2">
        <f>IF(LeadsData[[#This Row],[Stage Number]]&gt;=3,1,0)</f>
        <v>0</v>
      </c>
      <c r="O4856" s="2">
        <f>IF(LeadsData[[#This Row],[Stage Number]]&gt;=4,1,0)</f>
        <v>0</v>
      </c>
    </row>
    <row r="4857" spans="1:15" x14ac:dyDescent="0.25">
      <c r="A4857" t="s">
        <v>4897</v>
      </c>
      <c r="B4857" s="1">
        <v>45589</v>
      </c>
      <c r="C4857" t="s">
        <v>31</v>
      </c>
      <c r="D4857" t="s">
        <v>32</v>
      </c>
      <c r="E4857" t="s">
        <v>21</v>
      </c>
      <c r="F4857" t="s">
        <v>19</v>
      </c>
      <c r="G4857" t="s">
        <v>42</v>
      </c>
      <c r="H4857">
        <v>27</v>
      </c>
      <c r="I4857" t="s">
        <v>87</v>
      </c>
      <c r="J4857">
        <v>2617.69</v>
      </c>
      <c r="K4857" cm="1">
        <f t="array" ref="K4857">_xlfn.SWITCH(LeadsData[[#This Row],[Funnel Stage Reached]],"Lead",1,"MQL",2,"SQL",3,"Customer",4)</f>
        <v>4</v>
      </c>
      <c r="L4857" t="str">
        <f>TEXT(LeadsData[[#This Row],[Signup Date]],"mmm-yyyy")</f>
        <v>Oct-2024</v>
      </c>
      <c r="M4857">
        <f>IF(LeadsData[[#This Row],[Stage Number]]&gt;=2,1,0)</f>
        <v>1</v>
      </c>
      <c r="N4857" s="2">
        <f>IF(LeadsData[[#This Row],[Stage Number]]&gt;=3,1,0)</f>
        <v>1</v>
      </c>
      <c r="O4857" s="2">
        <f>IF(LeadsData[[#This Row],[Stage Number]]&gt;=4,1,0)</f>
        <v>1</v>
      </c>
    </row>
    <row r="4858" spans="1:15" x14ac:dyDescent="0.25">
      <c r="A4858" t="s">
        <v>4898</v>
      </c>
      <c r="B4858" s="1">
        <v>45635</v>
      </c>
      <c r="C4858" t="s">
        <v>36</v>
      </c>
      <c r="D4858" t="s">
        <v>37</v>
      </c>
      <c r="E4858" t="s">
        <v>21</v>
      </c>
      <c r="F4858" t="s">
        <v>14</v>
      </c>
      <c r="G4858" t="s">
        <v>23</v>
      </c>
      <c r="K4858" cm="1">
        <f t="array" ref="K4858">_xlfn.SWITCH(LeadsData[[#This Row],[Funnel Stage Reached]],"Lead",1,"MQL",2,"SQL",3,"Customer",4)</f>
        <v>2</v>
      </c>
      <c r="L4858" t="str">
        <f>TEXT(LeadsData[[#This Row],[Signup Date]],"mmm-yyyy")</f>
        <v>Dec-2024</v>
      </c>
      <c r="M4858">
        <f>IF(LeadsData[[#This Row],[Stage Number]]&gt;=2,1,0)</f>
        <v>1</v>
      </c>
      <c r="N4858" s="2">
        <f>IF(LeadsData[[#This Row],[Stage Number]]&gt;=3,1,0)</f>
        <v>0</v>
      </c>
      <c r="O4858" s="2">
        <f>IF(LeadsData[[#This Row],[Stage Number]]&gt;=4,1,0)</f>
        <v>0</v>
      </c>
    </row>
    <row r="4859" spans="1:15" x14ac:dyDescent="0.25">
      <c r="A4859" t="s">
        <v>4899</v>
      </c>
      <c r="B4859" s="1">
        <v>45512</v>
      </c>
      <c r="C4859" t="s">
        <v>31</v>
      </c>
      <c r="D4859" t="s">
        <v>34</v>
      </c>
      <c r="E4859" t="s">
        <v>13</v>
      </c>
      <c r="F4859" t="s">
        <v>19</v>
      </c>
      <c r="G4859" t="s">
        <v>29</v>
      </c>
      <c r="K4859" cm="1">
        <f t="array" ref="K4859">_xlfn.SWITCH(LeadsData[[#This Row],[Funnel Stage Reached]],"Lead",1,"MQL",2,"SQL",3,"Customer",4)</f>
        <v>3</v>
      </c>
      <c r="L4859" t="str">
        <f>TEXT(LeadsData[[#This Row],[Signup Date]],"mmm-yyyy")</f>
        <v>Aug-2024</v>
      </c>
      <c r="M4859">
        <f>IF(LeadsData[[#This Row],[Stage Number]]&gt;=2,1,0)</f>
        <v>1</v>
      </c>
      <c r="N4859" s="2">
        <f>IF(LeadsData[[#This Row],[Stage Number]]&gt;=3,1,0)</f>
        <v>1</v>
      </c>
      <c r="O4859" s="2">
        <f>IF(LeadsData[[#This Row],[Stage Number]]&gt;=4,1,0)</f>
        <v>0</v>
      </c>
    </row>
    <row r="4860" spans="1:15" x14ac:dyDescent="0.25">
      <c r="A4860" t="s">
        <v>4900</v>
      </c>
      <c r="B4860" s="1">
        <v>45374</v>
      </c>
      <c r="C4860" t="s">
        <v>31</v>
      </c>
      <c r="D4860" t="s">
        <v>32</v>
      </c>
      <c r="E4860" t="s">
        <v>13</v>
      </c>
      <c r="F4860" t="s">
        <v>19</v>
      </c>
      <c r="G4860" t="s">
        <v>15</v>
      </c>
      <c r="K4860" cm="1">
        <f t="array" ref="K4860">_xlfn.SWITCH(LeadsData[[#This Row],[Funnel Stage Reached]],"Lead",1,"MQL",2,"SQL",3,"Customer",4)</f>
        <v>1</v>
      </c>
      <c r="L4860" t="str">
        <f>TEXT(LeadsData[[#This Row],[Signup Date]],"mmm-yyyy")</f>
        <v>Mar-2024</v>
      </c>
      <c r="M4860">
        <f>IF(LeadsData[[#This Row],[Stage Number]]&gt;=2,1,0)</f>
        <v>0</v>
      </c>
      <c r="N4860" s="2">
        <f>IF(LeadsData[[#This Row],[Stage Number]]&gt;=3,1,0)</f>
        <v>0</v>
      </c>
      <c r="O4860" s="2">
        <f>IF(LeadsData[[#This Row],[Stage Number]]&gt;=4,1,0)</f>
        <v>0</v>
      </c>
    </row>
    <row r="4861" spans="1:15" x14ac:dyDescent="0.25">
      <c r="A4861" t="s">
        <v>4901</v>
      </c>
      <c r="B4861" s="1">
        <v>45582</v>
      </c>
      <c r="C4861" t="s">
        <v>46</v>
      </c>
      <c r="D4861" t="s">
        <v>56</v>
      </c>
      <c r="E4861" t="s">
        <v>21</v>
      </c>
      <c r="F4861" t="s">
        <v>19</v>
      </c>
      <c r="G4861" t="s">
        <v>42</v>
      </c>
      <c r="H4861">
        <v>45</v>
      </c>
      <c r="I4861" t="s">
        <v>43</v>
      </c>
      <c r="J4861">
        <v>800.58</v>
      </c>
      <c r="K4861" cm="1">
        <f t="array" ref="K4861">_xlfn.SWITCH(LeadsData[[#This Row],[Funnel Stage Reached]],"Lead",1,"MQL",2,"SQL",3,"Customer",4)</f>
        <v>4</v>
      </c>
      <c r="L4861" t="str">
        <f>TEXT(LeadsData[[#This Row],[Signup Date]],"mmm-yyyy")</f>
        <v>Oct-2024</v>
      </c>
      <c r="M4861">
        <f>IF(LeadsData[[#This Row],[Stage Number]]&gt;=2,1,0)</f>
        <v>1</v>
      </c>
      <c r="N4861" s="2">
        <f>IF(LeadsData[[#This Row],[Stage Number]]&gt;=3,1,0)</f>
        <v>1</v>
      </c>
      <c r="O4861" s="2">
        <f>IF(LeadsData[[#This Row],[Stage Number]]&gt;=4,1,0)</f>
        <v>1</v>
      </c>
    </row>
    <row r="4862" spans="1:15" x14ac:dyDescent="0.25">
      <c r="A4862" t="s">
        <v>4902</v>
      </c>
      <c r="B4862" s="1">
        <v>45390</v>
      </c>
      <c r="C4862" t="s">
        <v>11</v>
      </c>
      <c r="D4862" t="s">
        <v>12</v>
      </c>
      <c r="E4862" t="s">
        <v>13</v>
      </c>
      <c r="F4862" t="s">
        <v>14</v>
      </c>
      <c r="G4862" t="s">
        <v>15</v>
      </c>
      <c r="K4862" cm="1">
        <f t="array" ref="K4862">_xlfn.SWITCH(LeadsData[[#This Row],[Funnel Stage Reached]],"Lead",1,"MQL",2,"SQL",3,"Customer",4)</f>
        <v>1</v>
      </c>
      <c r="L4862" t="str">
        <f>TEXT(LeadsData[[#This Row],[Signup Date]],"mmm-yyyy")</f>
        <v>Apr-2024</v>
      </c>
      <c r="M4862">
        <f>IF(LeadsData[[#This Row],[Stage Number]]&gt;=2,1,0)</f>
        <v>0</v>
      </c>
      <c r="N4862" s="2">
        <f>IF(LeadsData[[#This Row],[Stage Number]]&gt;=3,1,0)</f>
        <v>0</v>
      </c>
      <c r="O4862" s="2">
        <f>IF(LeadsData[[#This Row],[Stage Number]]&gt;=4,1,0)</f>
        <v>0</v>
      </c>
    </row>
    <row r="4863" spans="1:15" x14ac:dyDescent="0.25">
      <c r="A4863" t="s">
        <v>4903</v>
      </c>
      <c r="B4863" s="1">
        <v>45362</v>
      </c>
      <c r="C4863" t="s">
        <v>46</v>
      </c>
      <c r="D4863" t="s">
        <v>56</v>
      </c>
      <c r="E4863" t="s">
        <v>21</v>
      </c>
      <c r="F4863" t="s">
        <v>14</v>
      </c>
      <c r="G4863" t="s">
        <v>23</v>
      </c>
      <c r="K4863" cm="1">
        <f t="array" ref="K4863">_xlfn.SWITCH(LeadsData[[#This Row],[Funnel Stage Reached]],"Lead",1,"MQL",2,"SQL",3,"Customer",4)</f>
        <v>2</v>
      </c>
      <c r="L4863" t="str">
        <f>TEXT(LeadsData[[#This Row],[Signup Date]],"mmm-yyyy")</f>
        <v>Mar-2024</v>
      </c>
      <c r="M4863">
        <f>IF(LeadsData[[#This Row],[Stage Number]]&gt;=2,1,0)</f>
        <v>1</v>
      </c>
      <c r="N4863" s="2">
        <f>IF(LeadsData[[#This Row],[Stage Number]]&gt;=3,1,0)</f>
        <v>0</v>
      </c>
      <c r="O4863" s="2">
        <f>IF(LeadsData[[#This Row],[Stage Number]]&gt;=4,1,0)</f>
        <v>0</v>
      </c>
    </row>
    <row r="4864" spans="1:15" x14ac:dyDescent="0.25">
      <c r="A4864" t="s">
        <v>4904</v>
      </c>
      <c r="B4864" s="1">
        <v>45585</v>
      </c>
      <c r="C4864" t="s">
        <v>31</v>
      </c>
      <c r="D4864" t="s">
        <v>32</v>
      </c>
      <c r="E4864" t="s">
        <v>13</v>
      </c>
      <c r="F4864" t="s">
        <v>22</v>
      </c>
      <c r="G4864" t="s">
        <v>23</v>
      </c>
      <c r="K4864" cm="1">
        <f t="array" ref="K4864">_xlfn.SWITCH(LeadsData[[#This Row],[Funnel Stage Reached]],"Lead",1,"MQL",2,"SQL",3,"Customer",4)</f>
        <v>2</v>
      </c>
      <c r="L4864" t="str">
        <f>TEXT(LeadsData[[#This Row],[Signup Date]],"mmm-yyyy")</f>
        <v>Oct-2024</v>
      </c>
      <c r="M4864">
        <f>IF(LeadsData[[#This Row],[Stage Number]]&gt;=2,1,0)</f>
        <v>1</v>
      </c>
      <c r="N4864" s="2">
        <f>IF(LeadsData[[#This Row],[Stage Number]]&gt;=3,1,0)</f>
        <v>0</v>
      </c>
      <c r="O4864" s="2">
        <f>IF(LeadsData[[#This Row],[Stage Number]]&gt;=4,1,0)</f>
        <v>0</v>
      </c>
    </row>
    <row r="4865" spans="1:15" x14ac:dyDescent="0.25">
      <c r="A4865" t="s">
        <v>4905</v>
      </c>
      <c r="B4865" s="1">
        <v>45602</v>
      </c>
      <c r="C4865" t="s">
        <v>46</v>
      </c>
      <c r="D4865" t="s">
        <v>56</v>
      </c>
      <c r="E4865" t="s">
        <v>21</v>
      </c>
      <c r="F4865" t="s">
        <v>22</v>
      </c>
      <c r="G4865" t="s">
        <v>23</v>
      </c>
      <c r="K4865" cm="1">
        <f t="array" ref="K4865">_xlfn.SWITCH(LeadsData[[#This Row],[Funnel Stage Reached]],"Lead",1,"MQL",2,"SQL",3,"Customer",4)</f>
        <v>2</v>
      </c>
      <c r="L4865" t="str">
        <f>TEXT(LeadsData[[#This Row],[Signup Date]],"mmm-yyyy")</f>
        <v>Nov-2024</v>
      </c>
      <c r="M4865">
        <f>IF(LeadsData[[#This Row],[Stage Number]]&gt;=2,1,0)</f>
        <v>1</v>
      </c>
      <c r="N4865" s="2">
        <f>IF(LeadsData[[#This Row],[Stage Number]]&gt;=3,1,0)</f>
        <v>0</v>
      </c>
      <c r="O4865" s="2">
        <f>IF(LeadsData[[#This Row],[Stage Number]]&gt;=4,1,0)</f>
        <v>0</v>
      </c>
    </row>
    <row r="4866" spans="1:15" x14ac:dyDescent="0.25">
      <c r="A4866" t="s">
        <v>4906</v>
      </c>
      <c r="B4866" s="1">
        <v>45598</v>
      </c>
      <c r="C4866" t="s">
        <v>36</v>
      </c>
      <c r="D4866" t="s">
        <v>50</v>
      </c>
      <c r="E4866" t="s">
        <v>13</v>
      </c>
      <c r="F4866" t="s">
        <v>19</v>
      </c>
      <c r="G4866" t="s">
        <v>23</v>
      </c>
      <c r="K4866" cm="1">
        <f t="array" ref="K4866">_xlfn.SWITCH(LeadsData[[#This Row],[Funnel Stage Reached]],"Lead",1,"MQL",2,"SQL",3,"Customer",4)</f>
        <v>2</v>
      </c>
      <c r="L4866" t="str">
        <f>TEXT(LeadsData[[#This Row],[Signup Date]],"mmm-yyyy")</f>
        <v>Nov-2024</v>
      </c>
      <c r="M4866">
        <f>IF(LeadsData[[#This Row],[Stage Number]]&gt;=2,1,0)</f>
        <v>1</v>
      </c>
      <c r="N4866" s="2">
        <f>IF(LeadsData[[#This Row],[Stage Number]]&gt;=3,1,0)</f>
        <v>0</v>
      </c>
      <c r="O4866" s="2">
        <f>IF(LeadsData[[#This Row],[Stage Number]]&gt;=4,1,0)</f>
        <v>0</v>
      </c>
    </row>
    <row r="4867" spans="1:15" x14ac:dyDescent="0.25">
      <c r="A4867" t="s">
        <v>4907</v>
      </c>
      <c r="B4867" s="1">
        <v>45629</v>
      </c>
      <c r="C4867" t="s">
        <v>17</v>
      </c>
      <c r="D4867" t="s">
        <v>18</v>
      </c>
      <c r="E4867" t="s">
        <v>13</v>
      </c>
      <c r="F4867" t="s">
        <v>19</v>
      </c>
      <c r="G4867" t="s">
        <v>15</v>
      </c>
      <c r="K4867" cm="1">
        <f t="array" ref="K4867">_xlfn.SWITCH(LeadsData[[#This Row],[Funnel Stage Reached]],"Lead",1,"MQL",2,"SQL",3,"Customer",4)</f>
        <v>1</v>
      </c>
      <c r="L4867" t="str">
        <f>TEXT(LeadsData[[#This Row],[Signup Date]],"mmm-yyyy")</f>
        <v>Dec-2024</v>
      </c>
      <c r="M4867">
        <f>IF(LeadsData[[#This Row],[Stage Number]]&gt;=2,1,0)</f>
        <v>0</v>
      </c>
      <c r="N4867" s="2">
        <f>IF(LeadsData[[#This Row],[Stage Number]]&gt;=3,1,0)</f>
        <v>0</v>
      </c>
      <c r="O4867" s="2">
        <f>IF(LeadsData[[#This Row],[Stage Number]]&gt;=4,1,0)</f>
        <v>0</v>
      </c>
    </row>
    <row r="4868" spans="1:15" x14ac:dyDescent="0.25">
      <c r="A4868" t="s">
        <v>4908</v>
      </c>
      <c r="B4868" s="1">
        <v>45304</v>
      </c>
      <c r="C4868" t="s">
        <v>36</v>
      </c>
      <c r="D4868" t="s">
        <v>50</v>
      </c>
      <c r="E4868" t="s">
        <v>21</v>
      </c>
      <c r="F4868" t="s">
        <v>19</v>
      </c>
      <c r="G4868" t="s">
        <v>42</v>
      </c>
      <c r="H4868">
        <v>55</v>
      </c>
      <c r="I4868" t="s">
        <v>87</v>
      </c>
      <c r="J4868">
        <v>3718.65</v>
      </c>
      <c r="K4868" cm="1">
        <f t="array" ref="K4868">_xlfn.SWITCH(LeadsData[[#This Row],[Funnel Stage Reached]],"Lead",1,"MQL",2,"SQL",3,"Customer",4)</f>
        <v>4</v>
      </c>
      <c r="L4868" t="str">
        <f>TEXT(LeadsData[[#This Row],[Signup Date]],"mmm-yyyy")</f>
        <v>Jan-2024</v>
      </c>
      <c r="M4868">
        <f>IF(LeadsData[[#This Row],[Stage Number]]&gt;=2,1,0)</f>
        <v>1</v>
      </c>
      <c r="N4868" s="2">
        <f>IF(LeadsData[[#This Row],[Stage Number]]&gt;=3,1,0)</f>
        <v>1</v>
      </c>
      <c r="O4868" s="2">
        <f>IF(LeadsData[[#This Row],[Stage Number]]&gt;=4,1,0)</f>
        <v>1</v>
      </c>
    </row>
    <row r="4869" spans="1:15" x14ac:dyDescent="0.25">
      <c r="A4869" t="s">
        <v>4909</v>
      </c>
      <c r="B4869" s="1">
        <v>45428</v>
      </c>
      <c r="C4869" t="s">
        <v>46</v>
      </c>
      <c r="D4869" t="s">
        <v>56</v>
      </c>
      <c r="E4869" t="s">
        <v>13</v>
      </c>
      <c r="F4869" t="s">
        <v>19</v>
      </c>
      <c r="G4869" t="s">
        <v>23</v>
      </c>
      <c r="K4869" cm="1">
        <f t="array" ref="K4869">_xlfn.SWITCH(LeadsData[[#This Row],[Funnel Stage Reached]],"Lead",1,"MQL",2,"SQL",3,"Customer",4)</f>
        <v>2</v>
      </c>
      <c r="L4869" t="str">
        <f>TEXT(LeadsData[[#This Row],[Signup Date]],"mmm-yyyy")</f>
        <v>May-2024</v>
      </c>
      <c r="M4869">
        <f>IF(LeadsData[[#This Row],[Stage Number]]&gt;=2,1,0)</f>
        <v>1</v>
      </c>
      <c r="N4869" s="2">
        <f>IF(LeadsData[[#This Row],[Stage Number]]&gt;=3,1,0)</f>
        <v>0</v>
      </c>
      <c r="O4869" s="2">
        <f>IF(LeadsData[[#This Row],[Stage Number]]&gt;=4,1,0)</f>
        <v>0</v>
      </c>
    </row>
    <row r="4870" spans="1:15" x14ac:dyDescent="0.25">
      <c r="A4870" t="s">
        <v>4910</v>
      </c>
      <c r="B4870" s="1">
        <v>45630</v>
      </c>
      <c r="C4870" t="s">
        <v>31</v>
      </c>
      <c r="D4870" t="s">
        <v>32</v>
      </c>
      <c r="E4870" t="s">
        <v>13</v>
      </c>
      <c r="F4870" t="s">
        <v>19</v>
      </c>
      <c r="G4870" t="s">
        <v>15</v>
      </c>
      <c r="K4870" cm="1">
        <f t="array" ref="K4870">_xlfn.SWITCH(LeadsData[[#This Row],[Funnel Stage Reached]],"Lead",1,"MQL",2,"SQL",3,"Customer",4)</f>
        <v>1</v>
      </c>
      <c r="L4870" t="str">
        <f>TEXT(LeadsData[[#This Row],[Signup Date]],"mmm-yyyy")</f>
        <v>Dec-2024</v>
      </c>
      <c r="M4870">
        <f>IF(LeadsData[[#This Row],[Stage Number]]&gt;=2,1,0)</f>
        <v>0</v>
      </c>
      <c r="N4870" s="2">
        <f>IF(LeadsData[[#This Row],[Stage Number]]&gt;=3,1,0)</f>
        <v>0</v>
      </c>
      <c r="O4870" s="2">
        <f>IF(LeadsData[[#This Row],[Stage Number]]&gt;=4,1,0)</f>
        <v>0</v>
      </c>
    </row>
    <row r="4871" spans="1:15" x14ac:dyDescent="0.25">
      <c r="A4871" t="s">
        <v>4911</v>
      </c>
      <c r="B4871" s="1">
        <v>45383</v>
      </c>
      <c r="C4871" t="s">
        <v>25</v>
      </c>
      <c r="D4871" t="s">
        <v>26</v>
      </c>
      <c r="E4871" t="s">
        <v>13</v>
      </c>
      <c r="F4871" t="s">
        <v>19</v>
      </c>
      <c r="G4871" t="s">
        <v>15</v>
      </c>
      <c r="K4871" cm="1">
        <f t="array" ref="K4871">_xlfn.SWITCH(LeadsData[[#This Row],[Funnel Stage Reached]],"Lead",1,"MQL",2,"SQL",3,"Customer",4)</f>
        <v>1</v>
      </c>
      <c r="L4871" t="str">
        <f>TEXT(LeadsData[[#This Row],[Signup Date]],"mmm-yyyy")</f>
        <v>Apr-2024</v>
      </c>
      <c r="M4871">
        <f>IF(LeadsData[[#This Row],[Stage Number]]&gt;=2,1,0)</f>
        <v>0</v>
      </c>
      <c r="N4871" s="2">
        <f>IF(LeadsData[[#This Row],[Stage Number]]&gt;=3,1,0)</f>
        <v>0</v>
      </c>
      <c r="O4871" s="2">
        <f>IF(LeadsData[[#This Row],[Stage Number]]&gt;=4,1,0)</f>
        <v>0</v>
      </c>
    </row>
    <row r="4872" spans="1:15" x14ac:dyDescent="0.25">
      <c r="A4872" t="s">
        <v>4912</v>
      </c>
      <c r="B4872" s="1">
        <v>45296</v>
      </c>
      <c r="C4872" t="s">
        <v>17</v>
      </c>
      <c r="D4872" t="s">
        <v>18</v>
      </c>
      <c r="E4872" t="s">
        <v>13</v>
      </c>
      <c r="F4872" t="s">
        <v>28</v>
      </c>
      <c r="G4872" t="s">
        <v>23</v>
      </c>
      <c r="K4872" cm="1">
        <f t="array" ref="K4872">_xlfn.SWITCH(LeadsData[[#This Row],[Funnel Stage Reached]],"Lead",1,"MQL",2,"SQL",3,"Customer",4)</f>
        <v>2</v>
      </c>
      <c r="L4872" t="str">
        <f>TEXT(LeadsData[[#This Row],[Signup Date]],"mmm-yyyy")</f>
        <v>Jan-2024</v>
      </c>
      <c r="M4872">
        <f>IF(LeadsData[[#This Row],[Stage Number]]&gt;=2,1,0)</f>
        <v>1</v>
      </c>
      <c r="N4872" s="2">
        <f>IF(LeadsData[[#This Row],[Stage Number]]&gt;=3,1,0)</f>
        <v>0</v>
      </c>
      <c r="O4872" s="2">
        <f>IF(LeadsData[[#This Row],[Stage Number]]&gt;=4,1,0)</f>
        <v>0</v>
      </c>
    </row>
    <row r="4873" spans="1:15" x14ac:dyDescent="0.25">
      <c r="A4873" t="s">
        <v>4913</v>
      </c>
      <c r="B4873" s="1">
        <v>45529</v>
      </c>
      <c r="C4873" t="s">
        <v>36</v>
      </c>
      <c r="D4873" t="s">
        <v>37</v>
      </c>
      <c r="E4873" t="s">
        <v>21</v>
      </c>
      <c r="F4873" t="s">
        <v>22</v>
      </c>
      <c r="G4873" t="s">
        <v>15</v>
      </c>
      <c r="K4873" cm="1">
        <f t="array" ref="K4873">_xlfn.SWITCH(LeadsData[[#This Row],[Funnel Stage Reached]],"Lead",1,"MQL",2,"SQL",3,"Customer",4)</f>
        <v>1</v>
      </c>
      <c r="L4873" t="str">
        <f>TEXT(LeadsData[[#This Row],[Signup Date]],"mmm-yyyy")</f>
        <v>Aug-2024</v>
      </c>
      <c r="M4873">
        <f>IF(LeadsData[[#This Row],[Stage Number]]&gt;=2,1,0)</f>
        <v>0</v>
      </c>
      <c r="N4873" s="2">
        <f>IF(LeadsData[[#This Row],[Stage Number]]&gt;=3,1,0)</f>
        <v>0</v>
      </c>
      <c r="O4873" s="2">
        <f>IF(LeadsData[[#This Row],[Stage Number]]&gt;=4,1,0)</f>
        <v>0</v>
      </c>
    </row>
    <row r="4874" spans="1:15" x14ac:dyDescent="0.25">
      <c r="A4874" t="s">
        <v>4914</v>
      </c>
      <c r="B4874" s="1">
        <v>45342</v>
      </c>
      <c r="C4874" t="s">
        <v>25</v>
      </c>
      <c r="D4874" t="s">
        <v>26</v>
      </c>
      <c r="E4874" t="s">
        <v>48</v>
      </c>
      <c r="F4874" t="s">
        <v>22</v>
      </c>
      <c r="G4874" t="s">
        <v>29</v>
      </c>
      <c r="K4874" cm="1">
        <f t="array" ref="K4874">_xlfn.SWITCH(LeadsData[[#This Row],[Funnel Stage Reached]],"Lead",1,"MQL",2,"SQL",3,"Customer",4)</f>
        <v>3</v>
      </c>
      <c r="L4874" t="str">
        <f>TEXT(LeadsData[[#This Row],[Signup Date]],"mmm-yyyy")</f>
        <v>Feb-2024</v>
      </c>
      <c r="M4874">
        <f>IF(LeadsData[[#This Row],[Stage Number]]&gt;=2,1,0)</f>
        <v>1</v>
      </c>
      <c r="N4874" s="2">
        <f>IF(LeadsData[[#This Row],[Stage Number]]&gt;=3,1,0)</f>
        <v>1</v>
      </c>
      <c r="O4874" s="2">
        <f>IF(LeadsData[[#This Row],[Stage Number]]&gt;=4,1,0)</f>
        <v>0</v>
      </c>
    </row>
    <row r="4875" spans="1:15" x14ac:dyDescent="0.25">
      <c r="A4875" t="s">
        <v>4915</v>
      </c>
      <c r="B4875" s="1">
        <v>45311</v>
      </c>
      <c r="C4875" t="s">
        <v>36</v>
      </c>
      <c r="D4875" t="s">
        <v>37</v>
      </c>
      <c r="E4875" t="s">
        <v>13</v>
      </c>
      <c r="F4875" t="s">
        <v>22</v>
      </c>
      <c r="G4875" t="s">
        <v>29</v>
      </c>
      <c r="K4875" cm="1">
        <f t="array" ref="K4875">_xlfn.SWITCH(LeadsData[[#This Row],[Funnel Stage Reached]],"Lead",1,"MQL",2,"SQL",3,"Customer",4)</f>
        <v>3</v>
      </c>
      <c r="L4875" t="str">
        <f>TEXT(LeadsData[[#This Row],[Signup Date]],"mmm-yyyy")</f>
        <v>Jan-2024</v>
      </c>
      <c r="M4875">
        <f>IF(LeadsData[[#This Row],[Stage Number]]&gt;=2,1,0)</f>
        <v>1</v>
      </c>
      <c r="N4875" s="2">
        <f>IF(LeadsData[[#This Row],[Stage Number]]&gt;=3,1,0)</f>
        <v>1</v>
      </c>
      <c r="O4875" s="2">
        <f>IF(LeadsData[[#This Row],[Stage Number]]&gt;=4,1,0)</f>
        <v>0</v>
      </c>
    </row>
    <row r="4876" spans="1:15" x14ac:dyDescent="0.25">
      <c r="A4876" t="s">
        <v>4916</v>
      </c>
      <c r="B4876" s="1">
        <v>45542</v>
      </c>
      <c r="C4876" t="s">
        <v>36</v>
      </c>
      <c r="D4876" t="s">
        <v>37</v>
      </c>
      <c r="E4876" t="s">
        <v>13</v>
      </c>
      <c r="F4876" t="s">
        <v>19</v>
      </c>
      <c r="G4876" t="s">
        <v>15</v>
      </c>
      <c r="K4876" cm="1">
        <f t="array" ref="K4876">_xlfn.SWITCH(LeadsData[[#This Row],[Funnel Stage Reached]],"Lead",1,"MQL",2,"SQL",3,"Customer",4)</f>
        <v>1</v>
      </c>
      <c r="L4876" t="str">
        <f>TEXT(LeadsData[[#This Row],[Signup Date]],"mmm-yyyy")</f>
        <v>Sep-2024</v>
      </c>
      <c r="M4876">
        <f>IF(LeadsData[[#This Row],[Stage Number]]&gt;=2,1,0)</f>
        <v>0</v>
      </c>
      <c r="N4876" s="2">
        <f>IF(LeadsData[[#This Row],[Stage Number]]&gt;=3,1,0)</f>
        <v>0</v>
      </c>
      <c r="O4876" s="2">
        <f>IF(LeadsData[[#This Row],[Stage Number]]&gt;=4,1,0)</f>
        <v>0</v>
      </c>
    </row>
    <row r="4877" spans="1:15" x14ac:dyDescent="0.25">
      <c r="A4877" t="s">
        <v>4917</v>
      </c>
      <c r="B4877" s="1">
        <v>45541</v>
      </c>
      <c r="C4877" t="s">
        <v>17</v>
      </c>
      <c r="D4877" t="s">
        <v>18</v>
      </c>
      <c r="E4877" t="s">
        <v>13</v>
      </c>
      <c r="F4877" t="s">
        <v>22</v>
      </c>
      <c r="G4877" t="s">
        <v>15</v>
      </c>
      <c r="K4877" cm="1">
        <f t="array" ref="K4877">_xlfn.SWITCH(LeadsData[[#This Row],[Funnel Stage Reached]],"Lead",1,"MQL",2,"SQL",3,"Customer",4)</f>
        <v>1</v>
      </c>
      <c r="L4877" t="str">
        <f>TEXT(LeadsData[[#This Row],[Signup Date]],"mmm-yyyy")</f>
        <v>Sep-2024</v>
      </c>
      <c r="M4877">
        <f>IF(LeadsData[[#This Row],[Stage Number]]&gt;=2,1,0)</f>
        <v>0</v>
      </c>
      <c r="N4877" s="2">
        <f>IF(LeadsData[[#This Row],[Stage Number]]&gt;=3,1,0)</f>
        <v>0</v>
      </c>
      <c r="O4877" s="2">
        <f>IF(LeadsData[[#This Row],[Stage Number]]&gt;=4,1,0)</f>
        <v>0</v>
      </c>
    </row>
    <row r="4878" spans="1:15" x14ac:dyDescent="0.25">
      <c r="A4878" t="s">
        <v>4918</v>
      </c>
      <c r="B4878" s="1">
        <v>45339</v>
      </c>
      <c r="C4878" t="s">
        <v>31</v>
      </c>
      <c r="D4878" t="s">
        <v>32</v>
      </c>
      <c r="E4878" t="s">
        <v>21</v>
      </c>
      <c r="F4878" t="s">
        <v>19</v>
      </c>
      <c r="G4878" t="s">
        <v>29</v>
      </c>
      <c r="K4878" cm="1">
        <f t="array" ref="K4878">_xlfn.SWITCH(LeadsData[[#This Row],[Funnel Stage Reached]],"Lead",1,"MQL",2,"SQL",3,"Customer",4)</f>
        <v>3</v>
      </c>
      <c r="L4878" t="str">
        <f>TEXT(LeadsData[[#This Row],[Signup Date]],"mmm-yyyy")</f>
        <v>Feb-2024</v>
      </c>
      <c r="M4878">
        <f>IF(LeadsData[[#This Row],[Stage Number]]&gt;=2,1,0)</f>
        <v>1</v>
      </c>
      <c r="N4878" s="2">
        <f>IF(LeadsData[[#This Row],[Stage Number]]&gt;=3,1,0)</f>
        <v>1</v>
      </c>
      <c r="O4878" s="2">
        <f>IF(LeadsData[[#This Row],[Stage Number]]&gt;=4,1,0)</f>
        <v>0</v>
      </c>
    </row>
    <row r="4879" spans="1:15" x14ac:dyDescent="0.25">
      <c r="A4879" t="s">
        <v>4919</v>
      </c>
      <c r="B4879" s="1">
        <v>45470</v>
      </c>
      <c r="C4879" t="s">
        <v>36</v>
      </c>
      <c r="D4879" t="s">
        <v>50</v>
      </c>
      <c r="E4879" t="s">
        <v>21</v>
      </c>
      <c r="F4879" t="s">
        <v>19</v>
      </c>
      <c r="G4879" t="s">
        <v>23</v>
      </c>
      <c r="K4879" cm="1">
        <f t="array" ref="K4879">_xlfn.SWITCH(LeadsData[[#This Row],[Funnel Stage Reached]],"Lead",1,"MQL",2,"SQL",3,"Customer",4)</f>
        <v>2</v>
      </c>
      <c r="L4879" t="str">
        <f>TEXT(LeadsData[[#This Row],[Signup Date]],"mmm-yyyy")</f>
        <v>Jun-2024</v>
      </c>
      <c r="M4879">
        <f>IF(LeadsData[[#This Row],[Stage Number]]&gt;=2,1,0)</f>
        <v>1</v>
      </c>
      <c r="N4879" s="2">
        <f>IF(LeadsData[[#This Row],[Stage Number]]&gt;=3,1,0)</f>
        <v>0</v>
      </c>
      <c r="O4879" s="2">
        <f>IF(LeadsData[[#This Row],[Stage Number]]&gt;=4,1,0)</f>
        <v>0</v>
      </c>
    </row>
    <row r="4880" spans="1:15" x14ac:dyDescent="0.25">
      <c r="A4880" t="s">
        <v>4920</v>
      </c>
      <c r="B4880" s="1">
        <v>45651</v>
      </c>
      <c r="C4880" t="s">
        <v>25</v>
      </c>
      <c r="D4880" t="s">
        <v>26</v>
      </c>
      <c r="E4880" t="s">
        <v>21</v>
      </c>
      <c r="F4880" t="s">
        <v>19</v>
      </c>
      <c r="G4880" t="s">
        <v>42</v>
      </c>
      <c r="H4880">
        <v>25</v>
      </c>
      <c r="I4880" t="s">
        <v>43</v>
      </c>
      <c r="J4880">
        <v>647.72</v>
      </c>
      <c r="K4880" cm="1">
        <f t="array" ref="K4880">_xlfn.SWITCH(LeadsData[[#This Row],[Funnel Stage Reached]],"Lead",1,"MQL",2,"SQL",3,"Customer",4)</f>
        <v>4</v>
      </c>
      <c r="L4880" t="str">
        <f>TEXT(LeadsData[[#This Row],[Signup Date]],"mmm-yyyy")</f>
        <v>Dec-2024</v>
      </c>
      <c r="M4880">
        <f>IF(LeadsData[[#This Row],[Stage Number]]&gt;=2,1,0)</f>
        <v>1</v>
      </c>
      <c r="N4880" s="2">
        <f>IF(LeadsData[[#This Row],[Stage Number]]&gt;=3,1,0)</f>
        <v>1</v>
      </c>
      <c r="O4880" s="2">
        <f>IF(LeadsData[[#This Row],[Stage Number]]&gt;=4,1,0)</f>
        <v>1</v>
      </c>
    </row>
    <row r="4881" spans="1:15" x14ac:dyDescent="0.25">
      <c r="A4881" t="s">
        <v>4921</v>
      </c>
      <c r="B4881" s="1">
        <v>45468</v>
      </c>
      <c r="C4881" t="s">
        <v>36</v>
      </c>
      <c r="D4881" t="s">
        <v>50</v>
      </c>
      <c r="E4881" t="s">
        <v>21</v>
      </c>
      <c r="F4881" t="s">
        <v>22</v>
      </c>
      <c r="G4881" t="s">
        <v>29</v>
      </c>
      <c r="K4881" cm="1">
        <f t="array" ref="K4881">_xlfn.SWITCH(LeadsData[[#This Row],[Funnel Stage Reached]],"Lead",1,"MQL",2,"SQL",3,"Customer",4)</f>
        <v>3</v>
      </c>
      <c r="L4881" t="str">
        <f>TEXT(LeadsData[[#This Row],[Signup Date]],"mmm-yyyy")</f>
        <v>Jun-2024</v>
      </c>
      <c r="M4881">
        <f>IF(LeadsData[[#This Row],[Stage Number]]&gt;=2,1,0)</f>
        <v>1</v>
      </c>
      <c r="N4881" s="2">
        <f>IF(LeadsData[[#This Row],[Stage Number]]&gt;=3,1,0)</f>
        <v>1</v>
      </c>
      <c r="O4881" s="2">
        <f>IF(LeadsData[[#This Row],[Stage Number]]&gt;=4,1,0)</f>
        <v>0</v>
      </c>
    </row>
    <row r="4882" spans="1:15" x14ac:dyDescent="0.25">
      <c r="A4882" t="s">
        <v>4922</v>
      </c>
      <c r="B4882" s="1">
        <v>45302</v>
      </c>
      <c r="C4882" t="s">
        <v>31</v>
      </c>
      <c r="D4882" t="s">
        <v>32</v>
      </c>
      <c r="E4882" t="s">
        <v>13</v>
      </c>
      <c r="F4882" t="s">
        <v>19</v>
      </c>
      <c r="G4882" t="s">
        <v>42</v>
      </c>
      <c r="H4882">
        <v>56</v>
      </c>
      <c r="I4882" t="s">
        <v>87</v>
      </c>
      <c r="J4882">
        <v>2963.47</v>
      </c>
      <c r="K4882" cm="1">
        <f t="array" ref="K4882">_xlfn.SWITCH(LeadsData[[#This Row],[Funnel Stage Reached]],"Lead",1,"MQL",2,"SQL",3,"Customer",4)</f>
        <v>4</v>
      </c>
      <c r="L4882" t="str">
        <f>TEXT(LeadsData[[#This Row],[Signup Date]],"mmm-yyyy")</f>
        <v>Jan-2024</v>
      </c>
      <c r="M4882">
        <f>IF(LeadsData[[#This Row],[Stage Number]]&gt;=2,1,0)</f>
        <v>1</v>
      </c>
      <c r="N4882" s="2">
        <f>IF(LeadsData[[#This Row],[Stage Number]]&gt;=3,1,0)</f>
        <v>1</v>
      </c>
      <c r="O4882" s="2">
        <f>IF(LeadsData[[#This Row],[Stage Number]]&gt;=4,1,0)</f>
        <v>1</v>
      </c>
    </row>
    <row r="4883" spans="1:15" x14ac:dyDescent="0.25">
      <c r="A4883" t="s">
        <v>4923</v>
      </c>
      <c r="B4883" s="1">
        <v>45568</v>
      </c>
      <c r="C4883" t="s">
        <v>46</v>
      </c>
      <c r="D4883" t="s">
        <v>56</v>
      </c>
      <c r="E4883" t="s">
        <v>13</v>
      </c>
      <c r="F4883" t="s">
        <v>22</v>
      </c>
      <c r="G4883" t="s">
        <v>15</v>
      </c>
      <c r="K4883" cm="1">
        <f t="array" ref="K4883">_xlfn.SWITCH(LeadsData[[#This Row],[Funnel Stage Reached]],"Lead",1,"MQL",2,"SQL",3,"Customer",4)</f>
        <v>1</v>
      </c>
      <c r="L4883" t="str">
        <f>TEXT(LeadsData[[#This Row],[Signup Date]],"mmm-yyyy")</f>
        <v>Oct-2024</v>
      </c>
      <c r="M4883">
        <f>IF(LeadsData[[#This Row],[Stage Number]]&gt;=2,1,0)</f>
        <v>0</v>
      </c>
      <c r="N4883" s="2">
        <f>IF(LeadsData[[#This Row],[Stage Number]]&gt;=3,1,0)</f>
        <v>0</v>
      </c>
      <c r="O4883" s="2">
        <f>IF(LeadsData[[#This Row],[Stage Number]]&gt;=4,1,0)</f>
        <v>0</v>
      </c>
    </row>
    <row r="4884" spans="1:15" x14ac:dyDescent="0.25">
      <c r="A4884" t="s">
        <v>4924</v>
      </c>
      <c r="B4884" s="1">
        <v>45344</v>
      </c>
      <c r="C4884" t="s">
        <v>11</v>
      </c>
      <c r="D4884" t="s">
        <v>12</v>
      </c>
      <c r="E4884" t="s">
        <v>21</v>
      </c>
      <c r="F4884" t="s">
        <v>19</v>
      </c>
      <c r="G4884" t="s">
        <v>15</v>
      </c>
      <c r="K4884" cm="1">
        <f t="array" ref="K4884">_xlfn.SWITCH(LeadsData[[#This Row],[Funnel Stage Reached]],"Lead",1,"MQL",2,"SQL",3,"Customer",4)</f>
        <v>1</v>
      </c>
      <c r="L4884" t="str">
        <f>TEXT(LeadsData[[#This Row],[Signup Date]],"mmm-yyyy")</f>
        <v>Feb-2024</v>
      </c>
      <c r="M4884">
        <f>IF(LeadsData[[#This Row],[Stage Number]]&gt;=2,1,0)</f>
        <v>0</v>
      </c>
      <c r="N4884" s="2">
        <f>IF(LeadsData[[#This Row],[Stage Number]]&gt;=3,1,0)</f>
        <v>0</v>
      </c>
      <c r="O4884" s="2">
        <f>IF(LeadsData[[#This Row],[Stage Number]]&gt;=4,1,0)</f>
        <v>0</v>
      </c>
    </row>
    <row r="4885" spans="1:15" x14ac:dyDescent="0.25">
      <c r="A4885" t="s">
        <v>4925</v>
      </c>
      <c r="B4885" s="1">
        <v>45409</v>
      </c>
      <c r="C4885" t="s">
        <v>25</v>
      </c>
      <c r="D4885" t="s">
        <v>26</v>
      </c>
      <c r="E4885" t="s">
        <v>21</v>
      </c>
      <c r="F4885" t="s">
        <v>22</v>
      </c>
      <c r="G4885" t="s">
        <v>29</v>
      </c>
      <c r="K4885" cm="1">
        <f t="array" ref="K4885">_xlfn.SWITCH(LeadsData[[#This Row],[Funnel Stage Reached]],"Lead",1,"MQL",2,"SQL",3,"Customer",4)</f>
        <v>3</v>
      </c>
      <c r="L4885" t="str">
        <f>TEXT(LeadsData[[#This Row],[Signup Date]],"mmm-yyyy")</f>
        <v>Apr-2024</v>
      </c>
      <c r="M4885">
        <f>IF(LeadsData[[#This Row],[Stage Number]]&gt;=2,1,0)</f>
        <v>1</v>
      </c>
      <c r="N4885" s="2">
        <f>IF(LeadsData[[#This Row],[Stage Number]]&gt;=3,1,0)</f>
        <v>1</v>
      </c>
      <c r="O4885" s="2">
        <f>IF(LeadsData[[#This Row],[Stage Number]]&gt;=4,1,0)</f>
        <v>0</v>
      </c>
    </row>
    <row r="4886" spans="1:15" x14ac:dyDescent="0.25">
      <c r="A4886" t="s">
        <v>4926</v>
      </c>
      <c r="B4886" s="1">
        <v>45513</v>
      </c>
      <c r="C4886" t="s">
        <v>17</v>
      </c>
      <c r="D4886" t="s">
        <v>53</v>
      </c>
      <c r="E4886" t="s">
        <v>21</v>
      </c>
      <c r="F4886" t="s">
        <v>19</v>
      </c>
      <c r="G4886" t="s">
        <v>15</v>
      </c>
      <c r="K4886" cm="1">
        <f t="array" ref="K4886">_xlfn.SWITCH(LeadsData[[#This Row],[Funnel Stage Reached]],"Lead",1,"MQL",2,"SQL",3,"Customer",4)</f>
        <v>1</v>
      </c>
      <c r="L4886" t="str">
        <f>TEXT(LeadsData[[#This Row],[Signup Date]],"mmm-yyyy")</f>
        <v>Aug-2024</v>
      </c>
      <c r="M4886">
        <f>IF(LeadsData[[#This Row],[Stage Number]]&gt;=2,1,0)</f>
        <v>0</v>
      </c>
      <c r="N4886" s="2">
        <f>IF(LeadsData[[#This Row],[Stage Number]]&gt;=3,1,0)</f>
        <v>0</v>
      </c>
      <c r="O4886" s="2">
        <f>IF(LeadsData[[#This Row],[Stage Number]]&gt;=4,1,0)</f>
        <v>0</v>
      </c>
    </row>
    <row r="4887" spans="1:15" x14ac:dyDescent="0.25">
      <c r="A4887" t="s">
        <v>4927</v>
      </c>
      <c r="B4887" s="1">
        <v>45310</v>
      </c>
      <c r="C4887" t="s">
        <v>31</v>
      </c>
      <c r="D4887" t="s">
        <v>34</v>
      </c>
      <c r="E4887" t="s">
        <v>21</v>
      </c>
      <c r="F4887" t="s">
        <v>14</v>
      </c>
      <c r="G4887" t="s">
        <v>23</v>
      </c>
      <c r="K4887" cm="1">
        <f t="array" ref="K4887">_xlfn.SWITCH(LeadsData[[#This Row],[Funnel Stage Reached]],"Lead",1,"MQL",2,"SQL",3,"Customer",4)</f>
        <v>2</v>
      </c>
      <c r="L4887" t="str">
        <f>TEXT(LeadsData[[#This Row],[Signup Date]],"mmm-yyyy")</f>
        <v>Jan-2024</v>
      </c>
      <c r="M4887">
        <f>IF(LeadsData[[#This Row],[Stage Number]]&gt;=2,1,0)</f>
        <v>1</v>
      </c>
      <c r="N4887" s="2">
        <f>IF(LeadsData[[#This Row],[Stage Number]]&gt;=3,1,0)</f>
        <v>0</v>
      </c>
      <c r="O4887" s="2">
        <f>IF(LeadsData[[#This Row],[Stage Number]]&gt;=4,1,0)</f>
        <v>0</v>
      </c>
    </row>
    <row r="4888" spans="1:15" x14ac:dyDescent="0.25">
      <c r="A4888" t="s">
        <v>4928</v>
      </c>
      <c r="B4888" s="1">
        <v>45425</v>
      </c>
      <c r="C4888" t="s">
        <v>31</v>
      </c>
      <c r="D4888" t="s">
        <v>34</v>
      </c>
      <c r="E4888" t="s">
        <v>13</v>
      </c>
      <c r="F4888" t="s">
        <v>22</v>
      </c>
      <c r="G4888" t="s">
        <v>15</v>
      </c>
      <c r="K4888" cm="1">
        <f t="array" ref="K4888">_xlfn.SWITCH(LeadsData[[#This Row],[Funnel Stage Reached]],"Lead",1,"MQL",2,"SQL",3,"Customer",4)</f>
        <v>1</v>
      </c>
      <c r="L4888" t="str">
        <f>TEXT(LeadsData[[#This Row],[Signup Date]],"mmm-yyyy")</f>
        <v>May-2024</v>
      </c>
      <c r="M4888">
        <f>IF(LeadsData[[#This Row],[Stage Number]]&gt;=2,1,0)</f>
        <v>0</v>
      </c>
      <c r="N4888" s="2">
        <f>IF(LeadsData[[#This Row],[Stage Number]]&gt;=3,1,0)</f>
        <v>0</v>
      </c>
      <c r="O4888" s="2">
        <f>IF(LeadsData[[#This Row],[Stage Number]]&gt;=4,1,0)</f>
        <v>0</v>
      </c>
    </row>
    <row r="4889" spans="1:15" x14ac:dyDescent="0.25">
      <c r="A4889" t="s">
        <v>4929</v>
      </c>
      <c r="B4889" s="1">
        <v>45593</v>
      </c>
      <c r="C4889" t="s">
        <v>17</v>
      </c>
      <c r="D4889" t="s">
        <v>53</v>
      </c>
      <c r="E4889" t="s">
        <v>13</v>
      </c>
      <c r="F4889" t="s">
        <v>22</v>
      </c>
      <c r="G4889" t="s">
        <v>15</v>
      </c>
      <c r="K4889" cm="1">
        <f t="array" ref="K4889">_xlfn.SWITCH(LeadsData[[#This Row],[Funnel Stage Reached]],"Lead",1,"MQL",2,"SQL",3,"Customer",4)</f>
        <v>1</v>
      </c>
      <c r="L4889" t="str">
        <f>TEXT(LeadsData[[#This Row],[Signup Date]],"mmm-yyyy")</f>
        <v>Oct-2024</v>
      </c>
      <c r="M4889">
        <f>IF(LeadsData[[#This Row],[Stage Number]]&gt;=2,1,0)</f>
        <v>0</v>
      </c>
      <c r="N4889" s="2">
        <f>IF(LeadsData[[#This Row],[Stage Number]]&gt;=3,1,0)</f>
        <v>0</v>
      </c>
      <c r="O4889" s="2">
        <f>IF(LeadsData[[#This Row],[Stage Number]]&gt;=4,1,0)</f>
        <v>0</v>
      </c>
    </row>
    <row r="4890" spans="1:15" x14ac:dyDescent="0.25">
      <c r="A4890" t="s">
        <v>4930</v>
      </c>
      <c r="B4890" s="1">
        <v>45424</v>
      </c>
      <c r="C4890" t="s">
        <v>31</v>
      </c>
      <c r="D4890" t="s">
        <v>34</v>
      </c>
      <c r="E4890" t="s">
        <v>13</v>
      </c>
      <c r="F4890" t="s">
        <v>22</v>
      </c>
      <c r="G4890" t="s">
        <v>23</v>
      </c>
      <c r="K4890" cm="1">
        <f t="array" ref="K4890">_xlfn.SWITCH(LeadsData[[#This Row],[Funnel Stage Reached]],"Lead",1,"MQL",2,"SQL",3,"Customer",4)</f>
        <v>2</v>
      </c>
      <c r="L4890" t="str">
        <f>TEXT(LeadsData[[#This Row],[Signup Date]],"mmm-yyyy")</f>
        <v>May-2024</v>
      </c>
      <c r="M4890">
        <f>IF(LeadsData[[#This Row],[Stage Number]]&gt;=2,1,0)</f>
        <v>1</v>
      </c>
      <c r="N4890" s="2">
        <f>IF(LeadsData[[#This Row],[Stage Number]]&gt;=3,1,0)</f>
        <v>0</v>
      </c>
      <c r="O4890" s="2">
        <f>IF(LeadsData[[#This Row],[Stage Number]]&gt;=4,1,0)</f>
        <v>0</v>
      </c>
    </row>
    <row r="4891" spans="1:15" x14ac:dyDescent="0.25">
      <c r="A4891" t="s">
        <v>4931</v>
      </c>
      <c r="B4891" s="1">
        <v>45524</v>
      </c>
      <c r="C4891" t="s">
        <v>11</v>
      </c>
      <c r="D4891" t="s">
        <v>79</v>
      </c>
      <c r="E4891" t="s">
        <v>21</v>
      </c>
      <c r="F4891" t="s">
        <v>19</v>
      </c>
      <c r="G4891" t="s">
        <v>15</v>
      </c>
      <c r="K4891" cm="1">
        <f t="array" ref="K4891">_xlfn.SWITCH(LeadsData[[#This Row],[Funnel Stage Reached]],"Lead",1,"MQL",2,"SQL",3,"Customer",4)</f>
        <v>1</v>
      </c>
      <c r="L4891" t="str">
        <f>TEXT(LeadsData[[#This Row],[Signup Date]],"mmm-yyyy")</f>
        <v>Aug-2024</v>
      </c>
      <c r="M4891">
        <f>IF(LeadsData[[#This Row],[Stage Number]]&gt;=2,1,0)</f>
        <v>0</v>
      </c>
      <c r="N4891" s="2">
        <f>IF(LeadsData[[#This Row],[Stage Number]]&gt;=3,1,0)</f>
        <v>0</v>
      </c>
      <c r="O4891" s="2">
        <f>IF(LeadsData[[#This Row],[Stage Number]]&gt;=4,1,0)</f>
        <v>0</v>
      </c>
    </row>
    <row r="4892" spans="1:15" x14ac:dyDescent="0.25">
      <c r="A4892" t="s">
        <v>4932</v>
      </c>
      <c r="B4892" s="1">
        <v>45518</v>
      </c>
      <c r="C4892" t="s">
        <v>31</v>
      </c>
      <c r="D4892" t="s">
        <v>32</v>
      </c>
      <c r="E4892" t="s">
        <v>21</v>
      </c>
      <c r="F4892" t="s">
        <v>14</v>
      </c>
      <c r="G4892" t="s">
        <v>29</v>
      </c>
      <c r="K4892" cm="1">
        <f t="array" ref="K4892">_xlfn.SWITCH(LeadsData[[#This Row],[Funnel Stage Reached]],"Lead",1,"MQL",2,"SQL",3,"Customer",4)</f>
        <v>3</v>
      </c>
      <c r="L4892" t="str">
        <f>TEXT(LeadsData[[#This Row],[Signup Date]],"mmm-yyyy")</f>
        <v>Aug-2024</v>
      </c>
      <c r="M4892">
        <f>IF(LeadsData[[#This Row],[Stage Number]]&gt;=2,1,0)</f>
        <v>1</v>
      </c>
      <c r="N4892" s="2">
        <f>IF(LeadsData[[#This Row],[Stage Number]]&gt;=3,1,0)</f>
        <v>1</v>
      </c>
      <c r="O4892" s="2">
        <f>IF(LeadsData[[#This Row],[Stage Number]]&gt;=4,1,0)</f>
        <v>0</v>
      </c>
    </row>
    <row r="4893" spans="1:15" x14ac:dyDescent="0.25">
      <c r="A4893" t="s">
        <v>4933</v>
      </c>
      <c r="B4893" s="1">
        <v>45396</v>
      </c>
      <c r="C4893" t="s">
        <v>36</v>
      </c>
      <c r="D4893" t="s">
        <v>37</v>
      </c>
      <c r="E4893" t="s">
        <v>21</v>
      </c>
      <c r="F4893" t="s">
        <v>19</v>
      </c>
      <c r="G4893" t="s">
        <v>29</v>
      </c>
      <c r="K4893" cm="1">
        <f t="array" ref="K4893">_xlfn.SWITCH(LeadsData[[#This Row],[Funnel Stage Reached]],"Lead",1,"MQL",2,"SQL",3,"Customer",4)</f>
        <v>3</v>
      </c>
      <c r="L4893" t="str">
        <f>TEXT(LeadsData[[#This Row],[Signup Date]],"mmm-yyyy")</f>
        <v>Apr-2024</v>
      </c>
      <c r="M4893">
        <f>IF(LeadsData[[#This Row],[Stage Number]]&gt;=2,1,0)</f>
        <v>1</v>
      </c>
      <c r="N4893" s="2">
        <f>IF(LeadsData[[#This Row],[Stage Number]]&gt;=3,1,0)</f>
        <v>1</v>
      </c>
      <c r="O4893" s="2">
        <f>IF(LeadsData[[#This Row],[Stage Number]]&gt;=4,1,0)</f>
        <v>0</v>
      </c>
    </row>
    <row r="4894" spans="1:15" x14ac:dyDescent="0.25">
      <c r="A4894" t="s">
        <v>4934</v>
      </c>
      <c r="B4894" s="1">
        <v>45618</v>
      </c>
      <c r="C4894" t="s">
        <v>36</v>
      </c>
      <c r="D4894" t="s">
        <v>37</v>
      </c>
      <c r="E4894" t="s">
        <v>13</v>
      </c>
      <c r="F4894" t="s">
        <v>19</v>
      </c>
      <c r="G4894" t="s">
        <v>15</v>
      </c>
      <c r="K4894" cm="1">
        <f t="array" ref="K4894">_xlfn.SWITCH(LeadsData[[#This Row],[Funnel Stage Reached]],"Lead",1,"MQL",2,"SQL",3,"Customer",4)</f>
        <v>1</v>
      </c>
      <c r="L4894" t="str">
        <f>TEXT(LeadsData[[#This Row],[Signup Date]],"mmm-yyyy")</f>
        <v>Nov-2024</v>
      </c>
      <c r="M4894">
        <f>IF(LeadsData[[#This Row],[Stage Number]]&gt;=2,1,0)</f>
        <v>0</v>
      </c>
      <c r="N4894" s="2">
        <f>IF(LeadsData[[#This Row],[Stage Number]]&gt;=3,1,0)</f>
        <v>0</v>
      </c>
      <c r="O4894" s="2">
        <f>IF(LeadsData[[#This Row],[Stage Number]]&gt;=4,1,0)</f>
        <v>0</v>
      </c>
    </row>
    <row r="4895" spans="1:15" x14ac:dyDescent="0.25">
      <c r="A4895" t="s">
        <v>4935</v>
      </c>
      <c r="B4895" s="1">
        <v>45493</v>
      </c>
      <c r="C4895" t="s">
        <v>36</v>
      </c>
      <c r="D4895" t="s">
        <v>50</v>
      </c>
      <c r="E4895" t="s">
        <v>13</v>
      </c>
      <c r="F4895" t="s">
        <v>19</v>
      </c>
      <c r="G4895" t="s">
        <v>42</v>
      </c>
      <c r="H4895">
        <v>74</v>
      </c>
      <c r="I4895" t="s">
        <v>43</v>
      </c>
      <c r="J4895">
        <v>583.15</v>
      </c>
      <c r="K4895" cm="1">
        <f t="array" ref="K4895">_xlfn.SWITCH(LeadsData[[#This Row],[Funnel Stage Reached]],"Lead",1,"MQL",2,"SQL",3,"Customer",4)</f>
        <v>4</v>
      </c>
      <c r="L4895" t="str">
        <f>TEXT(LeadsData[[#This Row],[Signup Date]],"mmm-yyyy")</f>
        <v>Jul-2024</v>
      </c>
      <c r="M4895">
        <f>IF(LeadsData[[#This Row],[Stage Number]]&gt;=2,1,0)</f>
        <v>1</v>
      </c>
      <c r="N4895" s="2">
        <f>IF(LeadsData[[#This Row],[Stage Number]]&gt;=3,1,0)</f>
        <v>1</v>
      </c>
      <c r="O4895" s="2">
        <f>IF(LeadsData[[#This Row],[Stage Number]]&gt;=4,1,0)</f>
        <v>1</v>
      </c>
    </row>
    <row r="4896" spans="1:15" x14ac:dyDescent="0.25">
      <c r="A4896" t="s">
        <v>4936</v>
      </c>
      <c r="B4896" s="1">
        <v>45335</v>
      </c>
      <c r="C4896" t="s">
        <v>31</v>
      </c>
      <c r="D4896" t="s">
        <v>34</v>
      </c>
      <c r="E4896" t="s">
        <v>21</v>
      </c>
      <c r="F4896" t="s">
        <v>22</v>
      </c>
      <c r="G4896" t="s">
        <v>15</v>
      </c>
      <c r="K4896" cm="1">
        <f t="array" ref="K4896">_xlfn.SWITCH(LeadsData[[#This Row],[Funnel Stage Reached]],"Lead",1,"MQL",2,"SQL",3,"Customer",4)</f>
        <v>1</v>
      </c>
      <c r="L4896" t="str">
        <f>TEXT(LeadsData[[#This Row],[Signup Date]],"mmm-yyyy")</f>
        <v>Feb-2024</v>
      </c>
      <c r="M4896">
        <f>IF(LeadsData[[#This Row],[Stage Number]]&gt;=2,1,0)</f>
        <v>0</v>
      </c>
      <c r="N4896" s="2">
        <f>IF(LeadsData[[#This Row],[Stage Number]]&gt;=3,1,0)</f>
        <v>0</v>
      </c>
      <c r="O4896" s="2">
        <f>IF(LeadsData[[#This Row],[Stage Number]]&gt;=4,1,0)</f>
        <v>0</v>
      </c>
    </row>
    <row r="4897" spans="1:15" x14ac:dyDescent="0.25">
      <c r="A4897" t="s">
        <v>4937</v>
      </c>
      <c r="B4897" s="1">
        <v>45520</v>
      </c>
      <c r="C4897" t="s">
        <v>17</v>
      </c>
      <c r="D4897" t="s">
        <v>18</v>
      </c>
      <c r="E4897" t="s">
        <v>13</v>
      </c>
      <c r="F4897" t="s">
        <v>22</v>
      </c>
      <c r="G4897" t="s">
        <v>23</v>
      </c>
      <c r="K4897" cm="1">
        <f t="array" ref="K4897">_xlfn.SWITCH(LeadsData[[#This Row],[Funnel Stage Reached]],"Lead",1,"MQL",2,"SQL",3,"Customer",4)</f>
        <v>2</v>
      </c>
      <c r="L4897" t="str">
        <f>TEXT(LeadsData[[#This Row],[Signup Date]],"mmm-yyyy")</f>
        <v>Aug-2024</v>
      </c>
      <c r="M4897">
        <f>IF(LeadsData[[#This Row],[Stage Number]]&gt;=2,1,0)</f>
        <v>1</v>
      </c>
      <c r="N4897" s="2">
        <f>IF(LeadsData[[#This Row],[Stage Number]]&gt;=3,1,0)</f>
        <v>0</v>
      </c>
      <c r="O4897" s="2">
        <f>IF(LeadsData[[#This Row],[Stage Number]]&gt;=4,1,0)</f>
        <v>0</v>
      </c>
    </row>
    <row r="4898" spans="1:15" x14ac:dyDescent="0.25">
      <c r="A4898" t="s">
        <v>4938</v>
      </c>
      <c r="B4898" s="1">
        <v>45587</v>
      </c>
      <c r="C4898" t="s">
        <v>11</v>
      </c>
      <c r="D4898" t="s">
        <v>79</v>
      </c>
      <c r="E4898" t="s">
        <v>48</v>
      </c>
      <c r="F4898" t="s">
        <v>19</v>
      </c>
      <c r="G4898" t="s">
        <v>15</v>
      </c>
      <c r="K4898" cm="1">
        <f t="array" ref="K4898">_xlfn.SWITCH(LeadsData[[#This Row],[Funnel Stage Reached]],"Lead",1,"MQL",2,"SQL",3,"Customer",4)</f>
        <v>1</v>
      </c>
      <c r="L4898" t="str">
        <f>TEXT(LeadsData[[#This Row],[Signup Date]],"mmm-yyyy")</f>
        <v>Oct-2024</v>
      </c>
      <c r="M4898">
        <f>IF(LeadsData[[#This Row],[Stage Number]]&gt;=2,1,0)</f>
        <v>0</v>
      </c>
      <c r="N4898" s="2">
        <f>IF(LeadsData[[#This Row],[Stage Number]]&gt;=3,1,0)</f>
        <v>0</v>
      </c>
      <c r="O4898" s="2">
        <f>IF(LeadsData[[#This Row],[Stage Number]]&gt;=4,1,0)</f>
        <v>0</v>
      </c>
    </row>
    <row r="4899" spans="1:15" x14ac:dyDescent="0.25">
      <c r="A4899" t="s">
        <v>4939</v>
      </c>
      <c r="B4899" s="1">
        <v>45375</v>
      </c>
      <c r="C4899" t="s">
        <v>31</v>
      </c>
      <c r="D4899" t="s">
        <v>34</v>
      </c>
      <c r="E4899" t="s">
        <v>21</v>
      </c>
      <c r="F4899" t="s">
        <v>14</v>
      </c>
      <c r="G4899" t="s">
        <v>23</v>
      </c>
      <c r="K4899" cm="1">
        <f t="array" ref="K4899">_xlfn.SWITCH(LeadsData[[#This Row],[Funnel Stage Reached]],"Lead",1,"MQL",2,"SQL",3,"Customer",4)</f>
        <v>2</v>
      </c>
      <c r="L4899" t="str">
        <f>TEXT(LeadsData[[#This Row],[Signup Date]],"mmm-yyyy")</f>
        <v>Mar-2024</v>
      </c>
      <c r="M4899">
        <f>IF(LeadsData[[#This Row],[Stage Number]]&gt;=2,1,0)</f>
        <v>1</v>
      </c>
      <c r="N4899" s="2">
        <f>IF(LeadsData[[#This Row],[Stage Number]]&gt;=3,1,0)</f>
        <v>0</v>
      </c>
      <c r="O4899" s="2">
        <f>IF(LeadsData[[#This Row],[Stage Number]]&gt;=4,1,0)</f>
        <v>0</v>
      </c>
    </row>
    <row r="4900" spans="1:15" x14ac:dyDescent="0.25">
      <c r="A4900" t="s">
        <v>4940</v>
      </c>
      <c r="B4900" s="1">
        <v>45580</v>
      </c>
      <c r="C4900" t="s">
        <v>36</v>
      </c>
      <c r="D4900" t="s">
        <v>50</v>
      </c>
      <c r="E4900" t="s">
        <v>21</v>
      </c>
      <c r="F4900" t="s">
        <v>19</v>
      </c>
      <c r="G4900" t="s">
        <v>15</v>
      </c>
      <c r="K4900" cm="1">
        <f t="array" ref="K4900">_xlfn.SWITCH(LeadsData[[#This Row],[Funnel Stage Reached]],"Lead",1,"MQL",2,"SQL",3,"Customer",4)</f>
        <v>1</v>
      </c>
      <c r="L4900" t="str">
        <f>TEXT(LeadsData[[#This Row],[Signup Date]],"mmm-yyyy")</f>
        <v>Oct-2024</v>
      </c>
      <c r="M4900">
        <f>IF(LeadsData[[#This Row],[Stage Number]]&gt;=2,1,0)</f>
        <v>0</v>
      </c>
      <c r="N4900" s="2">
        <f>IF(LeadsData[[#This Row],[Stage Number]]&gt;=3,1,0)</f>
        <v>0</v>
      </c>
      <c r="O4900" s="2">
        <f>IF(LeadsData[[#This Row],[Stage Number]]&gt;=4,1,0)</f>
        <v>0</v>
      </c>
    </row>
    <row r="4901" spans="1:15" x14ac:dyDescent="0.25">
      <c r="A4901" t="s">
        <v>4941</v>
      </c>
      <c r="B4901" s="1">
        <v>45599</v>
      </c>
      <c r="C4901" t="s">
        <v>36</v>
      </c>
      <c r="D4901" t="s">
        <v>50</v>
      </c>
      <c r="E4901" t="s">
        <v>48</v>
      </c>
      <c r="F4901" t="s">
        <v>19</v>
      </c>
      <c r="G4901" t="s">
        <v>23</v>
      </c>
      <c r="K4901" cm="1">
        <f t="array" ref="K4901">_xlfn.SWITCH(LeadsData[[#This Row],[Funnel Stage Reached]],"Lead",1,"MQL",2,"SQL",3,"Customer",4)</f>
        <v>2</v>
      </c>
      <c r="L4901" t="str">
        <f>TEXT(LeadsData[[#This Row],[Signup Date]],"mmm-yyyy")</f>
        <v>Nov-2024</v>
      </c>
      <c r="M4901">
        <f>IF(LeadsData[[#This Row],[Stage Number]]&gt;=2,1,0)</f>
        <v>1</v>
      </c>
      <c r="N4901" s="2">
        <f>IF(LeadsData[[#This Row],[Stage Number]]&gt;=3,1,0)</f>
        <v>0</v>
      </c>
      <c r="O4901" s="2">
        <f>IF(LeadsData[[#This Row],[Stage Number]]&gt;=4,1,0)</f>
        <v>0</v>
      </c>
    </row>
    <row r="4902" spans="1:15" x14ac:dyDescent="0.25">
      <c r="A4902" t="s">
        <v>4942</v>
      </c>
      <c r="B4902" s="1">
        <v>45524</v>
      </c>
      <c r="C4902" t="s">
        <v>17</v>
      </c>
      <c r="D4902" t="s">
        <v>18</v>
      </c>
      <c r="E4902" t="s">
        <v>13</v>
      </c>
      <c r="F4902" t="s">
        <v>14</v>
      </c>
      <c r="G4902" t="s">
        <v>29</v>
      </c>
      <c r="K4902" cm="1">
        <f t="array" ref="K4902">_xlfn.SWITCH(LeadsData[[#This Row],[Funnel Stage Reached]],"Lead",1,"MQL",2,"SQL",3,"Customer",4)</f>
        <v>3</v>
      </c>
      <c r="L4902" t="str">
        <f>TEXT(LeadsData[[#This Row],[Signup Date]],"mmm-yyyy")</f>
        <v>Aug-2024</v>
      </c>
      <c r="M4902">
        <f>IF(LeadsData[[#This Row],[Stage Number]]&gt;=2,1,0)</f>
        <v>1</v>
      </c>
      <c r="N4902" s="2">
        <f>IF(LeadsData[[#This Row],[Stage Number]]&gt;=3,1,0)</f>
        <v>1</v>
      </c>
      <c r="O4902" s="2">
        <f>IF(LeadsData[[#This Row],[Stage Number]]&gt;=4,1,0)</f>
        <v>0</v>
      </c>
    </row>
    <row r="4903" spans="1:15" x14ac:dyDescent="0.25">
      <c r="A4903" t="s">
        <v>4943</v>
      </c>
      <c r="B4903" s="1">
        <v>45436</v>
      </c>
      <c r="C4903" t="s">
        <v>17</v>
      </c>
      <c r="D4903" t="s">
        <v>18</v>
      </c>
      <c r="E4903" t="s">
        <v>21</v>
      </c>
      <c r="F4903" t="s">
        <v>19</v>
      </c>
      <c r="G4903" t="s">
        <v>15</v>
      </c>
      <c r="K4903" cm="1">
        <f t="array" ref="K4903">_xlfn.SWITCH(LeadsData[[#This Row],[Funnel Stage Reached]],"Lead",1,"MQL",2,"SQL",3,"Customer",4)</f>
        <v>1</v>
      </c>
      <c r="L4903" t="str">
        <f>TEXT(LeadsData[[#This Row],[Signup Date]],"mmm-yyyy")</f>
        <v>May-2024</v>
      </c>
      <c r="M4903">
        <f>IF(LeadsData[[#This Row],[Stage Number]]&gt;=2,1,0)</f>
        <v>0</v>
      </c>
      <c r="N4903" s="2">
        <f>IF(LeadsData[[#This Row],[Stage Number]]&gt;=3,1,0)</f>
        <v>0</v>
      </c>
      <c r="O4903" s="2">
        <f>IF(LeadsData[[#This Row],[Stage Number]]&gt;=4,1,0)</f>
        <v>0</v>
      </c>
    </row>
    <row r="4904" spans="1:15" x14ac:dyDescent="0.25">
      <c r="A4904" t="s">
        <v>4944</v>
      </c>
      <c r="B4904" s="1">
        <v>45538</v>
      </c>
      <c r="C4904" t="s">
        <v>46</v>
      </c>
      <c r="D4904" t="s">
        <v>47</v>
      </c>
      <c r="E4904" t="s">
        <v>13</v>
      </c>
      <c r="F4904" t="s">
        <v>14</v>
      </c>
      <c r="G4904" t="s">
        <v>15</v>
      </c>
      <c r="K4904" cm="1">
        <f t="array" ref="K4904">_xlfn.SWITCH(LeadsData[[#This Row],[Funnel Stage Reached]],"Lead",1,"MQL",2,"SQL",3,"Customer",4)</f>
        <v>1</v>
      </c>
      <c r="L4904" t="str">
        <f>TEXT(LeadsData[[#This Row],[Signup Date]],"mmm-yyyy")</f>
        <v>Sep-2024</v>
      </c>
      <c r="M4904">
        <f>IF(LeadsData[[#This Row],[Stage Number]]&gt;=2,1,0)</f>
        <v>0</v>
      </c>
      <c r="N4904" s="2">
        <f>IF(LeadsData[[#This Row],[Stage Number]]&gt;=3,1,0)</f>
        <v>0</v>
      </c>
      <c r="O4904" s="2">
        <f>IF(LeadsData[[#This Row],[Stage Number]]&gt;=4,1,0)</f>
        <v>0</v>
      </c>
    </row>
    <row r="4905" spans="1:15" x14ac:dyDescent="0.25">
      <c r="A4905" t="s">
        <v>4945</v>
      </c>
      <c r="B4905" s="1">
        <v>45323</v>
      </c>
      <c r="C4905" t="s">
        <v>46</v>
      </c>
      <c r="D4905" t="s">
        <v>56</v>
      </c>
      <c r="E4905" t="s">
        <v>21</v>
      </c>
      <c r="F4905" t="s">
        <v>22</v>
      </c>
      <c r="G4905" t="s">
        <v>15</v>
      </c>
      <c r="K4905" cm="1">
        <f t="array" ref="K4905">_xlfn.SWITCH(LeadsData[[#This Row],[Funnel Stage Reached]],"Lead",1,"MQL",2,"SQL",3,"Customer",4)</f>
        <v>1</v>
      </c>
      <c r="L4905" t="str">
        <f>TEXT(LeadsData[[#This Row],[Signup Date]],"mmm-yyyy")</f>
        <v>Feb-2024</v>
      </c>
      <c r="M4905">
        <f>IF(LeadsData[[#This Row],[Stage Number]]&gt;=2,1,0)</f>
        <v>0</v>
      </c>
      <c r="N4905" s="2">
        <f>IF(LeadsData[[#This Row],[Stage Number]]&gt;=3,1,0)</f>
        <v>0</v>
      </c>
      <c r="O4905" s="2">
        <f>IF(LeadsData[[#This Row],[Stage Number]]&gt;=4,1,0)</f>
        <v>0</v>
      </c>
    </row>
    <row r="4906" spans="1:15" x14ac:dyDescent="0.25">
      <c r="A4906" t="s">
        <v>4946</v>
      </c>
      <c r="B4906" s="1">
        <v>45599</v>
      </c>
      <c r="C4906" t="s">
        <v>25</v>
      </c>
      <c r="D4906" t="s">
        <v>26</v>
      </c>
      <c r="E4906" t="s">
        <v>48</v>
      </c>
      <c r="F4906" t="s">
        <v>14</v>
      </c>
      <c r="G4906" t="s">
        <v>23</v>
      </c>
      <c r="K4906" cm="1">
        <f t="array" ref="K4906">_xlfn.SWITCH(LeadsData[[#This Row],[Funnel Stage Reached]],"Lead",1,"MQL",2,"SQL",3,"Customer",4)</f>
        <v>2</v>
      </c>
      <c r="L4906" t="str">
        <f>TEXT(LeadsData[[#This Row],[Signup Date]],"mmm-yyyy")</f>
        <v>Nov-2024</v>
      </c>
      <c r="M4906">
        <f>IF(LeadsData[[#This Row],[Stage Number]]&gt;=2,1,0)</f>
        <v>1</v>
      </c>
      <c r="N4906" s="2">
        <f>IF(LeadsData[[#This Row],[Stage Number]]&gt;=3,1,0)</f>
        <v>0</v>
      </c>
      <c r="O4906" s="2">
        <f>IF(LeadsData[[#This Row],[Stage Number]]&gt;=4,1,0)</f>
        <v>0</v>
      </c>
    </row>
    <row r="4907" spans="1:15" x14ac:dyDescent="0.25">
      <c r="A4907" t="s">
        <v>4947</v>
      </c>
      <c r="B4907" s="1">
        <v>45315</v>
      </c>
      <c r="C4907" t="s">
        <v>36</v>
      </c>
      <c r="D4907" t="s">
        <v>37</v>
      </c>
      <c r="E4907" t="s">
        <v>21</v>
      </c>
      <c r="F4907" t="s">
        <v>19</v>
      </c>
      <c r="G4907" t="s">
        <v>29</v>
      </c>
      <c r="K4907" cm="1">
        <f t="array" ref="K4907">_xlfn.SWITCH(LeadsData[[#This Row],[Funnel Stage Reached]],"Lead",1,"MQL",2,"SQL",3,"Customer",4)</f>
        <v>3</v>
      </c>
      <c r="L4907" t="str">
        <f>TEXT(LeadsData[[#This Row],[Signup Date]],"mmm-yyyy")</f>
        <v>Jan-2024</v>
      </c>
      <c r="M4907">
        <f>IF(LeadsData[[#This Row],[Stage Number]]&gt;=2,1,0)</f>
        <v>1</v>
      </c>
      <c r="N4907" s="2">
        <f>IF(LeadsData[[#This Row],[Stage Number]]&gt;=3,1,0)</f>
        <v>1</v>
      </c>
      <c r="O4907" s="2">
        <f>IF(LeadsData[[#This Row],[Stage Number]]&gt;=4,1,0)</f>
        <v>0</v>
      </c>
    </row>
    <row r="4908" spans="1:15" x14ac:dyDescent="0.25">
      <c r="A4908" t="s">
        <v>4948</v>
      </c>
      <c r="B4908" s="1">
        <v>45566</v>
      </c>
      <c r="C4908" t="s">
        <v>31</v>
      </c>
      <c r="D4908" t="s">
        <v>32</v>
      </c>
      <c r="E4908" t="s">
        <v>21</v>
      </c>
      <c r="F4908" t="s">
        <v>22</v>
      </c>
      <c r="G4908" t="s">
        <v>29</v>
      </c>
      <c r="K4908" cm="1">
        <f t="array" ref="K4908">_xlfn.SWITCH(LeadsData[[#This Row],[Funnel Stage Reached]],"Lead",1,"MQL",2,"SQL",3,"Customer",4)</f>
        <v>3</v>
      </c>
      <c r="L4908" t="str">
        <f>TEXT(LeadsData[[#This Row],[Signup Date]],"mmm-yyyy")</f>
        <v>Oct-2024</v>
      </c>
      <c r="M4908">
        <f>IF(LeadsData[[#This Row],[Stage Number]]&gt;=2,1,0)</f>
        <v>1</v>
      </c>
      <c r="N4908" s="2">
        <f>IF(LeadsData[[#This Row],[Stage Number]]&gt;=3,1,0)</f>
        <v>1</v>
      </c>
      <c r="O4908" s="2">
        <f>IF(LeadsData[[#This Row],[Stage Number]]&gt;=4,1,0)</f>
        <v>0</v>
      </c>
    </row>
    <row r="4909" spans="1:15" x14ac:dyDescent="0.25">
      <c r="A4909" t="s">
        <v>4949</v>
      </c>
      <c r="B4909" s="1">
        <v>45636</v>
      </c>
      <c r="C4909" t="s">
        <v>25</v>
      </c>
      <c r="D4909" t="s">
        <v>26</v>
      </c>
      <c r="E4909" t="s">
        <v>13</v>
      </c>
      <c r="F4909" t="s">
        <v>22</v>
      </c>
      <c r="G4909" t="s">
        <v>15</v>
      </c>
      <c r="K4909" cm="1">
        <f t="array" ref="K4909">_xlfn.SWITCH(LeadsData[[#This Row],[Funnel Stage Reached]],"Lead",1,"MQL",2,"SQL",3,"Customer",4)</f>
        <v>1</v>
      </c>
      <c r="L4909" t="str">
        <f>TEXT(LeadsData[[#This Row],[Signup Date]],"mmm-yyyy")</f>
        <v>Dec-2024</v>
      </c>
      <c r="M4909">
        <f>IF(LeadsData[[#This Row],[Stage Number]]&gt;=2,1,0)</f>
        <v>0</v>
      </c>
      <c r="N4909" s="2">
        <f>IF(LeadsData[[#This Row],[Stage Number]]&gt;=3,1,0)</f>
        <v>0</v>
      </c>
      <c r="O4909" s="2">
        <f>IF(LeadsData[[#This Row],[Stage Number]]&gt;=4,1,0)</f>
        <v>0</v>
      </c>
    </row>
    <row r="4910" spans="1:15" x14ac:dyDescent="0.25">
      <c r="A4910" t="s">
        <v>4950</v>
      </c>
      <c r="B4910" s="1">
        <v>45643</v>
      </c>
      <c r="C4910" t="s">
        <v>25</v>
      </c>
      <c r="D4910" t="s">
        <v>26</v>
      </c>
      <c r="E4910" t="s">
        <v>13</v>
      </c>
      <c r="F4910" t="s">
        <v>19</v>
      </c>
      <c r="G4910" t="s">
        <v>15</v>
      </c>
      <c r="K4910" cm="1">
        <f t="array" ref="K4910">_xlfn.SWITCH(LeadsData[[#This Row],[Funnel Stage Reached]],"Lead",1,"MQL",2,"SQL",3,"Customer",4)</f>
        <v>1</v>
      </c>
      <c r="L4910" t="str">
        <f>TEXT(LeadsData[[#This Row],[Signup Date]],"mmm-yyyy")</f>
        <v>Dec-2024</v>
      </c>
      <c r="M4910">
        <f>IF(LeadsData[[#This Row],[Stage Number]]&gt;=2,1,0)</f>
        <v>0</v>
      </c>
      <c r="N4910" s="2">
        <f>IF(LeadsData[[#This Row],[Stage Number]]&gt;=3,1,0)</f>
        <v>0</v>
      </c>
      <c r="O4910" s="2">
        <f>IF(LeadsData[[#This Row],[Stage Number]]&gt;=4,1,0)</f>
        <v>0</v>
      </c>
    </row>
    <row r="4911" spans="1:15" x14ac:dyDescent="0.25">
      <c r="A4911" t="s">
        <v>4951</v>
      </c>
      <c r="B4911" s="1">
        <v>45647</v>
      </c>
      <c r="C4911" t="s">
        <v>17</v>
      </c>
      <c r="D4911" t="s">
        <v>18</v>
      </c>
      <c r="E4911" t="s">
        <v>21</v>
      </c>
      <c r="F4911" t="s">
        <v>19</v>
      </c>
      <c r="G4911" t="s">
        <v>23</v>
      </c>
      <c r="K4911" cm="1">
        <f t="array" ref="K4911">_xlfn.SWITCH(LeadsData[[#This Row],[Funnel Stage Reached]],"Lead",1,"MQL",2,"SQL",3,"Customer",4)</f>
        <v>2</v>
      </c>
      <c r="L4911" t="str">
        <f>TEXT(LeadsData[[#This Row],[Signup Date]],"mmm-yyyy")</f>
        <v>Dec-2024</v>
      </c>
      <c r="M4911">
        <f>IF(LeadsData[[#This Row],[Stage Number]]&gt;=2,1,0)</f>
        <v>1</v>
      </c>
      <c r="N4911" s="2">
        <f>IF(LeadsData[[#This Row],[Stage Number]]&gt;=3,1,0)</f>
        <v>0</v>
      </c>
      <c r="O4911" s="2">
        <f>IF(LeadsData[[#This Row],[Stage Number]]&gt;=4,1,0)</f>
        <v>0</v>
      </c>
    </row>
    <row r="4912" spans="1:15" x14ac:dyDescent="0.25">
      <c r="A4912" t="s">
        <v>4952</v>
      </c>
      <c r="B4912" s="1">
        <v>45295</v>
      </c>
      <c r="C4912" t="s">
        <v>11</v>
      </c>
      <c r="D4912" t="s">
        <v>68</v>
      </c>
      <c r="E4912" t="s">
        <v>21</v>
      </c>
      <c r="F4912" t="s">
        <v>14</v>
      </c>
      <c r="G4912" t="s">
        <v>15</v>
      </c>
      <c r="K4912" cm="1">
        <f t="array" ref="K4912">_xlfn.SWITCH(LeadsData[[#This Row],[Funnel Stage Reached]],"Lead",1,"MQL",2,"SQL",3,"Customer",4)</f>
        <v>1</v>
      </c>
      <c r="L4912" t="str">
        <f>TEXT(LeadsData[[#This Row],[Signup Date]],"mmm-yyyy")</f>
        <v>Jan-2024</v>
      </c>
      <c r="M4912">
        <f>IF(LeadsData[[#This Row],[Stage Number]]&gt;=2,1,0)</f>
        <v>0</v>
      </c>
      <c r="N4912" s="2">
        <f>IF(LeadsData[[#This Row],[Stage Number]]&gt;=3,1,0)</f>
        <v>0</v>
      </c>
      <c r="O4912" s="2">
        <f>IF(LeadsData[[#This Row],[Stage Number]]&gt;=4,1,0)</f>
        <v>0</v>
      </c>
    </row>
    <row r="4913" spans="1:15" x14ac:dyDescent="0.25">
      <c r="A4913" t="s">
        <v>4953</v>
      </c>
      <c r="B4913" s="1">
        <v>45303</v>
      </c>
      <c r="C4913" t="s">
        <v>25</v>
      </c>
      <c r="D4913" t="s">
        <v>26</v>
      </c>
      <c r="E4913" t="s">
        <v>21</v>
      </c>
      <c r="F4913" t="s">
        <v>19</v>
      </c>
      <c r="G4913" t="s">
        <v>15</v>
      </c>
      <c r="K4913" cm="1">
        <f t="array" ref="K4913">_xlfn.SWITCH(LeadsData[[#This Row],[Funnel Stage Reached]],"Lead",1,"MQL",2,"SQL",3,"Customer",4)</f>
        <v>1</v>
      </c>
      <c r="L4913" t="str">
        <f>TEXT(LeadsData[[#This Row],[Signup Date]],"mmm-yyyy")</f>
        <v>Jan-2024</v>
      </c>
      <c r="M4913">
        <f>IF(LeadsData[[#This Row],[Stage Number]]&gt;=2,1,0)</f>
        <v>0</v>
      </c>
      <c r="N4913" s="2">
        <f>IF(LeadsData[[#This Row],[Stage Number]]&gt;=3,1,0)</f>
        <v>0</v>
      </c>
      <c r="O4913" s="2">
        <f>IF(LeadsData[[#This Row],[Stage Number]]&gt;=4,1,0)</f>
        <v>0</v>
      </c>
    </row>
    <row r="4914" spans="1:15" x14ac:dyDescent="0.25">
      <c r="A4914" t="s">
        <v>4954</v>
      </c>
      <c r="B4914" s="1">
        <v>45413</v>
      </c>
      <c r="C4914" t="s">
        <v>46</v>
      </c>
      <c r="D4914" t="s">
        <v>56</v>
      </c>
      <c r="E4914" t="s">
        <v>21</v>
      </c>
      <c r="F4914" t="s">
        <v>22</v>
      </c>
      <c r="G4914" t="s">
        <v>23</v>
      </c>
      <c r="K4914" cm="1">
        <f t="array" ref="K4914">_xlfn.SWITCH(LeadsData[[#This Row],[Funnel Stage Reached]],"Lead",1,"MQL",2,"SQL",3,"Customer",4)</f>
        <v>2</v>
      </c>
      <c r="L4914" t="str">
        <f>TEXT(LeadsData[[#This Row],[Signup Date]],"mmm-yyyy")</f>
        <v>May-2024</v>
      </c>
      <c r="M4914">
        <f>IF(LeadsData[[#This Row],[Stage Number]]&gt;=2,1,0)</f>
        <v>1</v>
      </c>
      <c r="N4914" s="2">
        <f>IF(LeadsData[[#This Row],[Stage Number]]&gt;=3,1,0)</f>
        <v>0</v>
      </c>
      <c r="O4914" s="2">
        <f>IF(LeadsData[[#This Row],[Stage Number]]&gt;=4,1,0)</f>
        <v>0</v>
      </c>
    </row>
    <row r="4915" spans="1:15" x14ac:dyDescent="0.25">
      <c r="A4915" t="s">
        <v>4955</v>
      </c>
      <c r="B4915" s="1">
        <v>45438</v>
      </c>
      <c r="C4915" t="s">
        <v>31</v>
      </c>
      <c r="D4915" t="s">
        <v>32</v>
      </c>
      <c r="E4915" t="s">
        <v>13</v>
      </c>
      <c r="F4915" t="s">
        <v>14</v>
      </c>
      <c r="G4915" t="s">
        <v>15</v>
      </c>
      <c r="K4915" cm="1">
        <f t="array" ref="K4915">_xlfn.SWITCH(LeadsData[[#This Row],[Funnel Stage Reached]],"Lead",1,"MQL",2,"SQL",3,"Customer",4)</f>
        <v>1</v>
      </c>
      <c r="L4915" t="str">
        <f>TEXT(LeadsData[[#This Row],[Signup Date]],"mmm-yyyy")</f>
        <v>May-2024</v>
      </c>
      <c r="M4915">
        <f>IF(LeadsData[[#This Row],[Stage Number]]&gt;=2,1,0)</f>
        <v>0</v>
      </c>
      <c r="N4915" s="2">
        <f>IF(LeadsData[[#This Row],[Stage Number]]&gt;=3,1,0)</f>
        <v>0</v>
      </c>
      <c r="O4915" s="2">
        <f>IF(LeadsData[[#This Row],[Stage Number]]&gt;=4,1,0)</f>
        <v>0</v>
      </c>
    </row>
    <row r="4916" spans="1:15" x14ac:dyDescent="0.25">
      <c r="A4916" t="s">
        <v>4956</v>
      </c>
      <c r="B4916" s="1">
        <v>45314</v>
      </c>
      <c r="C4916" t="s">
        <v>31</v>
      </c>
      <c r="D4916" t="s">
        <v>34</v>
      </c>
      <c r="E4916" t="s">
        <v>13</v>
      </c>
      <c r="F4916" t="s">
        <v>22</v>
      </c>
      <c r="G4916" t="s">
        <v>23</v>
      </c>
      <c r="K4916" cm="1">
        <f t="array" ref="K4916">_xlfn.SWITCH(LeadsData[[#This Row],[Funnel Stage Reached]],"Lead",1,"MQL",2,"SQL",3,"Customer",4)</f>
        <v>2</v>
      </c>
      <c r="L4916" t="str">
        <f>TEXT(LeadsData[[#This Row],[Signup Date]],"mmm-yyyy")</f>
        <v>Jan-2024</v>
      </c>
      <c r="M4916">
        <f>IF(LeadsData[[#This Row],[Stage Number]]&gt;=2,1,0)</f>
        <v>1</v>
      </c>
      <c r="N4916" s="2">
        <f>IF(LeadsData[[#This Row],[Stage Number]]&gt;=3,1,0)</f>
        <v>0</v>
      </c>
      <c r="O4916" s="2">
        <f>IF(LeadsData[[#This Row],[Stage Number]]&gt;=4,1,0)</f>
        <v>0</v>
      </c>
    </row>
    <row r="4917" spans="1:15" x14ac:dyDescent="0.25">
      <c r="A4917" t="s">
        <v>4957</v>
      </c>
      <c r="B4917" s="1">
        <v>45606</v>
      </c>
      <c r="C4917" t="s">
        <v>31</v>
      </c>
      <c r="D4917" t="s">
        <v>34</v>
      </c>
      <c r="E4917" t="s">
        <v>13</v>
      </c>
      <c r="F4917" t="s">
        <v>19</v>
      </c>
      <c r="G4917" t="s">
        <v>15</v>
      </c>
      <c r="K4917" cm="1">
        <f t="array" ref="K4917">_xlfn.SWITCH(LeadsData[[#This Row],[Funnel Stage Reached]],"Lead",1,"MQL",2,"SQL",3,"Customer",4)</f>
        <v>1</v>
      </c>
      <c r="L4917" t="str">
        <f>TEXT(LeadsData[[#This Row],[Signup Date]],"mmm-yyyy")</f>
        <v>Nov-2024</v>
      </c>
      <c r="M4917">
        <f>IF(LeadsData[[#This Row],[Stage Number]]&gt;=2,1,0)</f>
        <v>0</v>
      </c>
      <c r="N4917" s="2">
        <f>IF(LeadsData[[#This Row],[Stage Number]]&gt;=3,1,0)</f>
        <v>0</v>
      </c>
      <c r="O4917" s="2">
        <f>IF(LeadsData[[#This Row],[Stage Number]]&gt;=4,1,0)</f>
        <v>0</v>
      </c>
    </row>
    <row r="4918" spans="1:15" x14ac:dyDescent="0.25">
      <c r="A4918" t="s">
        <v>4958</v>
      </c>
      <c r="B4918" s="1">
        <v>45359</v>
      </c>
      <c r="C4918" t="s">
        <v>17</v>
      </c>
      <c r="D4918" t="s">
        <v>18</v>
      </c>
      <c r="E4918" t="s">
        <v>21</v>
      </c>
      <c r="F4918" t="s">
        <v>19</v>
      </c>
      <c r="G4918" t="s">
        <v>42</v>
      </c>
      <c r="H4918">
        <v>17</v>
      </c>
      <c r="I4918" t="s">
        <v>43</v>
      </c>
      <c r="J4918">
        <v>1263.02</v>
      </c>
      <c r="K4918" cm="1">
        <f t="array" ref="K4918">_xlfn.SWITCH(LeadsData[[#This Row],[Funnel Stage Reached]],"Lead",1,"MQL",2,"SQL",3,"Customer",4)</f>
        <v>4</v>
      </c>
      <c r="L4918" t="str">
        <f>TEXT(LeadsData[[#This Row],[Signup Date]],"mmm-yyyy")</f>
        <v>Mar-2024</v>
      </c>
      <c r="M4918">
        <f>IF(LeadsData[[#This Row],[Stage Number]]&gt;=2,1,0)</f>
        <v>1</v>
      </c>
      <c r="N4918" s="2">
        <f>IF(LeadsData[[#This Row],[Stage Number]]&gt;=3,1,0)</f>
        <v>1</v>
      </c>
      <c r="O4918" s="2">
        <f>IF(LeadsData[[#This Row],[Stage Number]]&gt;=4,1,0)</f>
        <v>1</v>
      </c>
    </row>
    <row r="4919" spans="1:15" x14ac:dyDescent="0.25">
      <c r="A4919" t="s">
        <v>4959</v>
      </c>
      <c r="B4919" s="1">
        <v>45623</v>
      </c>
      <c r="C4919" t="s">
        <v>17</v>
      </c>
      <c r="D4919" t="s">
        <v>53</v>
      </c>
      <c r="E4919" t="s">
        <v>21</v>
      </c>
      <c r="F4919" t="s">
        <v>14</v>
      </c>
      <c r="G4919" t="s">
        <v>15</v>
      </c>
      <c r="K4919" cm="1">
        <f t="array" ref="K4919">_xlfn.SWITCH(LeadsData[[#This Row],[Funnel Stage Reached]],"Lead",1,"MQL",2,"SQL",3,"Customer",4)</f>
        <v>1</v>
      </c>
      <c r="L4919" t="str">
        <f>TEXT(LeadsData[[#This Row],[Signup Date]],"mmm-yyyy")</f>
        <v>Nov-2024</v>
      </c>
      <c r="M4919">
        <f>IF(LeadsData[[#This Row],[Stage Number]]&gt;=2,1,0)</f>
        <v>0</v>
      </c>
      <c r="N4919" s="2">
        <f>IF(LeadsData[[#This Row],[Stage Number]]&gt;=3,1,0)</f>
        <v>0</v>
      </c>
      <c r="O4919" s="2">
        <f>IF(LeadsData[[#This Row],[Stage Number]]&gt;=4,1,0)</f>
        <v>0</v>
      </c>
    </row>
    <row r="4920" spans="1:15" x14ac:dyDescent="0.25">
      <c r="A4920" t="s">
        <v>4960</v>
      </c>
      <c r="B4920" s="1">
        <v>45408</v>
      </c>
      <c r="C4920" t="s">
        <v>11</v>
      </c>
      <c r="D4920" t="s">
        <v>12</v>
      </c>
      <c r="E4920" t="s">
        <v>21</v>
      </c>
      <c r="F4920" t="s">
        <v>22</v>
      </c>
      <c r="G4920" t="s">
        <v>23</v>
      </c>
      <c r="K4920" cm="1">
        <f t="array" ref="K4920">_xlfn.SWITCH(LeadsData[[#This Row],[Funnel Stage Reached]],"Lead",1,"MQL",2,"SQL",3,"Customer",4)</f>
        <v>2</v>
      </c>
      <c r="L4920" t="str">
        <f>TEXT(LeadsData[[#This Row],[Signup Date]],"mmm-yyyy")</f>
        <v>Apr-2024</v>
      </c>
      <c r="M4920">
        <f>IF(LeadsData[[#This Row],[Stage Number]]&gt;=2,1,0)</f>
        <v>1</v>
      </c>
      <c r="N4920" s="2">
        <f>IF(LeadsData[[#This Row],[Stage Number]]&gt;=3,1,0)</f>
        <v>0</v>
      </c>
      <c r="O4920" s="2">
        <f>IF(LeadsData[[#This Row],[Stage Number]]&gt;=4,1,0)</f>
        <v>0</v>
      </c>
    </row>
    <row r="4921" spans="1:15" x14ac:dyDescent="0.25">
      <c r="A4921" t="s">
        <v>4961</v>
      </c>
      <c r="B4921" s="1">
        <v>45517</v>
      </c>
      <c r="C4921" t="s">
        <v>36</v>
      </c>
      <c r="D4921" t="s">
        <v>37</v>
      </c>
      <c r="E4921" t="s">
        <v>13</v>
      </c>
      <c r="F4921" t="s">
        <v>19</v>
      </c>
      <c r="G4921" t="s">
        <v>42</v>
      </c>
      <c r="H4921">
        <v>27</v>
      </c>
      <c r="I4921" t="s">
        <v>87</v>
      </c>
      <c r="J4921">
        <v>4771.7</v>
      </c>
      <c r="K4921" cm="1">
        <f t="array" ref="K4921">_xlfn.SWITCH(LeadsData[[#This Row],[Funnel Stage Reached]],"Lead",1,"MQL",2,"SQL",3,"Customer",4)</f>
        <v>4</v>
      </c>
      <c r="L4921" t="str">
        <f>TEXT(LeadsData[[#This Row],[Signup Date]],"mmm-yyyy")</f>
        <v>Aug-2024</v>
      </c>
      <c r="M4921">
        <f>IF(LeadsData[[#This Row],[Stage Number]]&gt;=2,1,0)</f>
        <v>1</v>
      </c>
      <c r="N4921" s="2">
        <f>IF(LeadsData[[#This Row],[Stage Number]]&gt;=3,1,0)</f>
        <v>1</v>
      </c>
      <c r="O4921" s="2">
        <f>IF(LeadsData[[#This Row],[Stage Number]]&gt;=4,1,0)</f>
        <v>1</v>
      </c>
    </row>
    <row r="4922" spans="1:15" x14ac:dyDescent="0.25">
      <c r="A4922" t="s">
        <v>4962</v>
      </c>
      <c r="B4922" s="1">
        <v>45338</v>
      </c>
      <c r="C4922" t="s">
        <v>31</v>
      </c>
      <c r="D4922" t="s">
        <v>32</v>
      </c>
      <c r="E4922" t="s">
        <v>13</v>
      </c>
      <c r="F4922" t="s">
        <v>19</v>
      </c>
      <c r="G4922" t="s">
        <v>15</v>
      </c>
      <c r="K4922" cm="1">
        <f t="array" ref="K4922">_xlfn.SWITCH(LeadsData[[#This Row],[Funnel Stage Reached]],"Lead",1,"MQL",2,"SQL",3,"Customer",4)</f>
        <v>1</v>
      </c>
      <c r="L4922" t="str">
        <f>TEXT(LeadsData[[#This Row],[Signup Date]],"mmm-yyyy")</f>
        <v>Feb-2024</v>
      </c>
      <c r="M4922">
        <f>IF(LeadsData[[#This Row],[Stage Number]]&gt;=2,1,0)</f>
        <v>0</v>
      </c>
      <c r="N4922" s="2">
        <f>IF(LeadsData[[#This Row],[Stage Number]]&gt;=3,1,0)</f>
        <v>0</v>
      </c>
      <c r="O4922" s="2">
        <f>IF(LeadsData[[#This Row],[Stage Number]]&gt;=4,1,0)</f>
        <v>0</v>
      </c>
    </row>
    <row r="4923" spans="1:15" x14ac:dyDescent="0.25">
      <c r="A4923" t="s">
        <v>4963</v>
      </c>
      <c r="B4923" s="1">
        <v>45338</v>
      </c>
      <c r="C4923" t="s">
        <v>46</v>
      </c>
      <c r="D4923" t="s">
        <v>47</v>
      </c>
      <c r="E4923" t="s">
        <v>13</v>
      </c>
      <c r="F4923" t="s">
        <v>19</v>
      </c>
      <c r="G4923" t="s">
        <v>23</v>
      </c>
      <c r="K4923" cm="1">
        <f t="array" ref="K4923">_xlfn.SWITCH(LeadsData[[#This Row],[Funnel Stage Reached]],"Lead",1,"MQL",2,"SQL",3,"Customer",4)</f>
        <v>2</v>
      </c>
      <c r="L4923" t="str">
        <f>TEXT(LeadsData[[#This Row],[Signup Date]],"mmm-yyyy")</f>
        <v>Feb-2024</v>
      </c>
      <c r="M4923">
        <f>IF(LeadsData[[#This Row],[Stage Number]]&gt;=2,1,0)</f>
        <v>1</v>
      </c>
      <c r="N4923" s="2">
        <f>IF(LeadsData[[#This Row],[Stage Number]]&gt;=3,1,0)</f>
        <v>0</v>
      </c>
      <c r="O4923" s="2">
        <f>IF(LeadsData[[#This Row],[Stage Number]]&gt;=4,1,0)</f>
        <v>0</v>
      </c>
    </row>
    <row r="4924" spans="1:15" x14ac:dyDescent="0.25">
      <c r="A4924" t="s">
        <v>4964</v>
      </c>
      <c r="B4924" s="1">
        <v>45366</v>
      </c>
      <c r="C4924" t="s">
        <v>25</v>
      </c>
      <c r="D4924" t="s">
        <v>26</v>
      </c>
      <c r="E4924" t="s">
        <v>13</v>
      </c>
      <c r="F4924" t="s">
        <v>14</v>
      </c>
      <c r="G4924" t="s">
        <v>23</v>
      </c>
      <c r="K4924" cm="1">
        <f t="array" ref="K4924">_xlfn.SWITCH(LeadsData[[#This Row],[Funnel Stage Reached]],"Lead",1,"MQL",2,"SQL",3,"Customer",4)</f>
        <v>2</v>
      </c>
      <c r="L4924" t="str">
        <f>TEXT(LeadsData[[#This Row],[Signup Date]],"mmm-yyyy")</f>
        <v>Mar-2024</v>
      </c>
      <c r="M4924">
        <f>IF(LeadsData[[#This Row],[Stage Number]]&gt;=2,1,0)</f>
        <v>1</v>
      </c>
      <c r="N4924" s="2">
        <f>IF(LeadsData[[#This Row],[Stage Number]]&gt;=3,1,0)</f>
        <v>0</v>
      </c>
      <c r="O4924" s="2">
        <f>IF(LeadsData[[#This Row],[Stage Number]]&gt;=4,1,0)</f>
        <v>0</v>
      </c>
    </row>
    <row r="4925" spans="1:15" x14ac:dyDescent="0.25">
      <c r="A4925" t="s">
        <v>4965</v>
      </c>
      <c r="B4925" s="1">
        <v>45427</v>
      </c>
      <c r="C4925" t="s">
        <v>11</v>
      </c>
      <c r="D4925" t="s">
        <v>79</v>
      </c>
      <c r="E4925" t="s">
        <v>13</v>
      </c>
      <c r="F4925" t="s">
        <v>22</v>
      </c>
      <c r="G4925" t="s">
        <v>15</v>
      </c>
      <c r="K4925" cm="1">
        <f t="array" ref="K4925">_xlfn.SWITCH(LeadsData[[#This Row],[Funnel Stage Reached]],"Lead",1,"MQL",2,"SQL",3,"Customer",4)</f>
        <v>1</v>
      </c>
      <c r="L4925" t="str">
        <f>TEXT(LeadsData[[#This Row],[Signup Date]],"mmm-yyyy")</f>
        <v>May-2024</v>
      </c>
      <c r="M4925">
        <f>IF(LeadsData[[#This Row],[Stage Number]]&gt;=2,1,0)</f>
        <v>0</v>
      </c>
      <c r="N4925" s="2">
        <f>IF(LeadsData[[#This Row],[Stage Number]]&gt;=3,1,0)</f>
        <v>0</v>
      </c>
      <c r="O4925" s="2">
        <f>IF(LeadsData[[#This Row],[Stage Number]]&gt;=4,1,0)</f>
        <v>0</v>
      </c>
    </row>
    <row r="4926" spans="1:15" x14ac:dyDescent="0.25">
      <c r="A4926" t="s">
        <v>4966</v>
      </c>
      <c r="B4926" s="1">
        <v>45479</v>
      </c>
      <c r="C4926" t="s">
        <v>17</v>
      </c>
      <c r="D4926" t="s">
        <v>18</v>
      </c>
      <c r="E4926" t="s">
        <v>21</v>
      </c>
      <c r="F4926" t="s">
        <v>22</v>
      </c>
      <c r="G4926" t="s">
        <v>15</v>
      </c>
      <c r="K4926" cm="1">
        <f t="array" ref="K4926">_xlfn.SWITCH(LeadsData[[#This Row],[Funnel Stage Reached]],"Lead",1,"MQL",2,"SQL",3,"Customer",4)</f>
        <v>1</v>
      </c>
      <c r="L4926" t="str">
        <f>TEXT(LeadsData[[#This Row],[Signup Date]],"mmm-yyyy")</f>
        <v>Jul-2024</v>
      </c>
      <c r="M4926">
        <f>IF(LeadsData[[#This Row],[Stage Number]]&gt;=2,1,0)</f>
        <v>0</v>
      </c>
      <c r="N4926" s="2">
        <f>IF(LeadsData[[#This Row],[Stage Number]]&gt;=3,1,0)</f>
        <v>0</v>
      </c>
      <c r="O4926" s="2">
        <f>IF(LeadsData[[#This Row],[Stage Number]]&gt;=4,1,0)</f>
        <v>0</v>
      </c>
    </row>
    <row r="4927" spans="1:15" x14ac:dyDescent="0.25">
      <c r="A4927" t="s">
        <v>4967</v>
      </c>
      <c r="B4927" s="1">
        <v>45634</v>
      </c>
      <c r="C4927" t="s">
        <v>31</v>
      </c>
      <c r="D4927" t="s">
        <v>32</v>
      </c>
      <c r="E4927" t="s">
        <v>21</v>
      </c>
      <c r="F4927" t="s">
        <v>19</v>
      </c>
      <c r="G4927" t="s">
        <v>29</v>
      </c>
      <c r="K4927" cm="1">
        <f t="array" ref="K4927">_xlfn.SWITCH(LeadsData[[#This Row],[Funnel Stage Reached]],"Lead",1,"MQL",2,"SQL",3,"Customer",4)</f>
        <v>3</v>
      </c>
      <c r="L4927" t="str">
        <f>TEXT(LeadsData[[#This Row],[Signup Date]],"mmm-yyyy")</f>
        <v>Dec-2024</v>
      </c>
      <c r="M4927">
        <f>IF(LeadsData[[#This Row],[Stage Number]]&gt;=2,1,0)</f>
        <v>1</v>
      </c>
      <c r="N4927" s="2">
        <f>IF(LeadsData[[#This Row],[Stage Number]]&gt;=3,1,0)</f>
        <v>1</v>
      </c>
      <c r="O4927" s="2">
        <f>IF(LeadsData[[#This Row],[Stage Number]]&gt;=4,1,0)</f>
        <v>0</v>
      </c>
    </row>
    <row r="4928" spans="1:15" x14ac:dyDescent="0.25">
      <c r="A4928" t="s">
        <v>4968</v>
      </c>
      <c r="B4928" s="1">
        <v>45398</v>
      </c>
      <c r="C4928" t="s">
        <v>36</v>
      </c>
      <c r="D4928" t="s">
        <v>37</v>
      </c>
      <c r="E4928" t="s">
        <v>21</v>
      </c>
      <c r="F4928" t="s">
        <v>19</v>
      </c>
      <c r="G4928" t="s">
        <v>29</v>
      </c>
      <c r="K4928" cm="1">
        <f t="array" ref="K4928">_xlfn.SWITCH(LeadsData[[#This Row],[Funnel Stage Reached]],"Lead",1,"MQL",2,"SQL",3,"Customer",4)</f>
        <v>3</v>
      </c>
      <c r="L4928" t="str">
        <f>TEXT(LeadsData[[#This Row],[Signup Date]],"mmm-yyyy")</f>
        <v>Apr-2024</v>
      </c>
      <c r="M4928">
        <f>IF(LeadsData[[#This Row],[Stage Number]]&gt;=2,1,0)</f>
        <v>1</v>
      </c>
      <c r="N4928" s="2">
        <f>IF(LeadsData[[#This Row],[Stage Number]]&gt;=3,1,0)</f>
        <v>1</v>
      </c>
      <c r="O4928" s="2">
        <f>IF(LeadsData[[#This Row],[Stage Number]]&gt;=4,1,0)</f>
        <v>0</v>
      </c>
    </row>
    <row r="4929" spans="1:15" x14ac:dyDescent="0.25">
      <c r="A4929" t="s">
        <v>4969</v>
      </c>
      <c r="B4929" s="1">
        <v>45345</v>
      </c>
      <c r="C4929" t="s">
        <v>17</v>
      </c>
      <c r="D4929" t="s">
        <v>18</v>
      </c>
      <c r="E4929" t="s">
        <v>13</v>
      </c>
      <c r="F4929" t="s">
        <v>22</v>
      </c>
      <c r="G4929" t="s">
        <v>15</v>
      </c>
      <c r="K4929" cm="1">
        <f t="array" ref="K4929">_xlfn.SWITCH(LeadsData[[#This Row],[Funnel Stage Reached]],"Lead",1,"MQL",2,"SQL",3,"Customer",4)</f>
        <v>1</v>
      </c>
      <c r="L4929" t="str">
        <f>TEXT(LeadsData[[#This Row],[Signup Date]],"mmm-yyyy")</f>
        <v>Feb-2024</v>
      </c>
      <c r="M4929">
        <f>IF(LeadsData[[#This Row],[Stage Number]]&gt;=2,1,0)</f>
        <v>0</v>
      </c>
      <c r="N4929" s="2">
        <f>IF(LeadsData[[#This Row],[Stage Number]]&gt;=3,1,0)</f>
        <v>0</v>
      </c>
      <c r="O4929" s="2">
        <f>IF(LeadsData[[#This Row],[Stage Number]]&gt;=4,1,0)</f>
        <v>0</v>
      </c>
    </row>
    <row r="4930" spans="1:15" x14ac:dyDescent="0.25">
      <c r="A4930" t="s">
        <v>4970</v>
      </c>
      <c r="B4930" s="1">
        <v>45304</v>
      </c>
      <c r="C4930" t="s">
        <v>31</v>
      </c>
      <c r="D4930" t="s">
        <v>32</v>
      </c>
      <c r="E4930" t="s">
        <v>21</v>
      </c>
      <c r="F4930" t="s">
        <v>19</v>
      </c>
      <c r="G4930" t="s">
        <v>29</v>
      </c>
      <c r="K4930" cm="1">
        <f t="array" ref="K4930">_xlfn.SWITCH(LeadsData[[#This Row],[Funnel Stage Reached]],"Lead",1,"MQL",2,"SQL",3,"Customer",4)</f>
        <v>3</v>
      </c>
      <c r="L4930" t="str">
        <f>TEXT(LeadsData[[#This Row],[Signup Date]],"mmm-yyyy")</f>
        <v>Jan-2024</v>
      </c>
      <c r="M4930">
        <f>IF(LeadsData[[#This Row],[Stage Number]]&gt;=2,1,0)</f>
        <v>1</v>
      </c>
      <c r="N4930" s="2">
        <f>IF(LeadsData[[#This Row],[Stage Number]]&gt;=3,1,0)</f>
        <v>1</v>
      </c>
      <c r="O4930" s="2">
        <f>IF(LeadsData[[#This Row],[Stage Number]]&gt;=4,1,0)</f>
        <v>0</v>
      </c>
    </row>
    <row r="4931" spans="1:15" x14ac:dyDescent="0.25">
      <c r="A4931" t="s">
        <v>4971</v>
      </c>
      <c r="B4931" s="1">
        <v>45654</v>
      </c>
      <c r="C4931" t="s">
        <v>11</v>
      </c>
      <c r="D4931" t="s">
        <v>68</v>
      </c>
      <c r="E4931" t="s">
        <v>13</v>
      </c>
      <c r="F4931" t="s">
        <v>22</v>
      </c>
      <c r="G4931" t="s">
        <v>15</v>
      </c>
      <c r="K4931" cm="1">
        <f t="array" ref="K4931">_xlfn.SWITCH(LeadsData[[#This Row],[Funnel Stage Reached]],"Lead",1,"MQL",2,"SQL",3,"Customer",4)</f>
        <v>1</v>
      </c>
      <c r="L4931" t="str">
        <f>TEXT(LeadsData[[#This Row],[Signup Date]],"mmm-yyyy")</f>
        <v>Dec-2024</v>
      </c>
      <c r="M4931">
        <f>IF(LeadsData[[#This Row],[Stage Number]]&gt;=2,1,0)</f>
        <v>0</v>
      </c>
      <c r="N4931" s="2">
        <f>IF(LeadsData[[#This Row],[Stage Number]]&gt;=3,1,0)</f>
        <v>0</v>
      </c>
      <c r="O4931" s="2">
        <f>IF(LeadsData[[#This Row],[Stage Number]]&gt;=4,1,0)</f>
        <v>0</v>
      </c>
    </row>
    <row r="4932" spans="1:15" x14ac:dyDescent="0.25">
      <c r="A4932" t="s">
        <v>4972</v>
      </c>
      <c r="B4932" s="1">
        <v>45306</v>
      </c>
      <c r="C4932" t="s">
        <v>25</v>
      </c>
      <c r="D4932" t="s">
        <v>26</v>
      </c>
      <c r="E4932" t="s">
        <v>13</v>
      </c>
      <c r="F4932" t="s">
        <v>19</v>
      </c>
      <c r="G4932" t="s">
        <v>15</v>
      </c>
      <c r="K4932" cm="1">
        <f t="array" ref="K4932">_xlfn.SWITCH(LeadsData[[#This Row],[Funnel Stage Reached]],"Lead",1,"MQL",2,"SQL",3,"Customer",4)</f>
        <v>1</v>
      </c>
      <c r="L4932" t="str">
        <f>TEXT(LeadsData[[#This Row],[Signup Date]],"mmm-yyyy")</f>
        <v>Jan-2024</v>
      </c>
      <c r="M4932">
        <f>IF(LeadsData[[#This Row],[Stage Number]]&gt;=2,1,0)</f>
        <v>0</v>
      </c>
      <c r="N4932" s="2">
        <f>IF(LeadsData[[#This Row],[Stage Number]]&gt;=3,1,0)</f>
        <v>0</v>
      </c>
      <c r="O4932" s="2">
        <f>IF(LeadsData[[#This Row],[Stage Number]]&gt;=4,1,0)</f>
        <v>0</v>
      </c>
    </row>
    <row r="4933" spans="1:15" x14ac:dyDescent="0.25">
      <c r="A4933" t="s">
        <v>4973</v>
      </c>
      <c r="B4933" s="1">
        <v>45600</v>
      </c>
      <c r="C4933" t="s">
        <v>17</v>
      </c>
      <c r="D4933" t="s">
        <v>18</v>
      </c>
      <c r="E4933" t="s">
        <v>21</v>
      </c>
      <c r="F4933" t="s">
        <v>22</v>
      </c>
      <c r="G4933" t="s">
        <v>15</v>
      </c>
      <c r="K4933" cm="1">
        <f t="array" ref="K4933">_xlfn.SWITCH(LeadsData[[#This Row],[Funnel Stage Reached]],"Lead",1,"MQL",2,"SQL",3,"Customer",4)</f>
        <v>1</v>
      </c>
      <c r="L4933" t="str">
        <f>TEXT(LeadsData[[#This Row],[Signup Date]],"mmm-yyyy")</f>
        <v>Nov-2024</v>
      </c>
      <c r="M4933">
        <f>IF(LeadsData[[#This Row],[Stage Number]]&gt;=2,1,0)</f>
        <v>0</v>
      </c>
      <c r="N4933" s="2">
        <f>IF(LeadsData[[#This Row],[Stage Number]]&gt;=3,1,0)</f>
        <v>0</v>
      </c>
      <c r="O4933" s="2">
        <f>IF(LeadsData[[#This Row],[Stage Number]]&gt;=4,1,0)</f>
        <v>0</v>
      </c>
    </row>
    <row r="4934" spans="1:15" x14ac:dyDescent="0.25">
      <c r="A4934" t="s">
        <v>4974</v>
      </c>
      <c r="B4934" s="1">
        <v>45300</v>
      </c>
      <c r="C4934" t="s">
        <v>17</v>
      </c>
      <c r="D4934" t="s">
        <v>53</v>
      </c>
      <c r="E4934" t="s">
        <v>13</v>
      </c>
      <c r="F4934" t="s">
        <v>14</v>
      </c>
      <c r="G4934" t="s">
        <v>15</v>
      </c>
      <c r="K4934" cm="1">
        <f t="array" ref="K4934">_xlfn.SWITCH(LeadsData[[#This Row],[Funnel Stage Reached]],"Lead",1,"MQL",2,"SQL",3,"Customer",4)</f>
        <v>1</v>
      </c>
      <c r="L4934" t="str">
        <f>TEXT(LeadsData[[#This Row],[Signup Date]],"mmm-yyyy")</f>
        <v>Jan-2024</v>
      </c>
      <c r="M4934">
        <f>IF(LeadsData[[#This Row],[Stage Number]]&gt;=2,1,0)</f>
        <v>0</v>
      </c>
      <c r="N4934" s="2">
        <f>IF(LeadsData[[#This Row],[Stage Number]]&gt;=3,1,0)</f>
        <v>0</v>
      </c>
      <c r="O4934" s="2">
        <f>IF(LeadsData[[#This Row],[Stage Number]]&gt;=4,1,0)</f>
        <v>0</v>
      </c>
    </row>
    <row r="4935" spans="1:15" x14ac:dyDescent="0.25">
      <c r="A4935" t="s">
        <v>4975</v>
      </c>
      <c r="B4935" s="1">
        <v>45447</v>
      </c>
      <c r="C4935" t="s">
        <v>25</v>
      </c>
      <c r="D4935" t="s">
        <v>26</v>
      </c>
      <c r="E4935" t="s">
        <v>48</v>
      </c>
      <c r="F4935" t="s">
        <v>28</v>
      </c>
      <c r="G4935" t="s">
        <v>15</v>
      </c>
      <c r="K4935" cm="1">
        <f t="array" ref="K4935">_xlfn.SWITCH(LeadsData[[#This Row],[Funnel Stage Reached]],"Lead",1,"MQL",2,"SQL",3,"Customer",4)</f>
        <v>1</v>
      </c>
      <c r="L4935" t="str">
        <f>TEXT(LeadsData[[#This Row],[Signup Date]],"mmm-yyyy")</f>
        <v>Jun-2024</v>
      </c>
      <c r="M4935">
        <f>IF(LeadsData[[#This Row],[Stage Number]]&gt;=2,1,0)</f>
        <v>0</v>
      </c>
      <c r="N4935" s="2">
        <f>IF(LeadsData[[#This Row],[Stage Number]]&gt;=3,1,0)</f>
        <v>0</v>
      </c>
      <c r="O4935" s="2">
        <f>IF(LeadsData[[#This Row],[Stage Number]]&gt;=4,1,0)</f>
        <v>0</v>
      </c>
    </row>
    <row r="4936" spans="1:15" x14ac:dyDescent="0.25">
      <c r="A4936" t="s">
        <v>4976</v>
      </c>
      <c r="B4936" s="1">
        <v>45554</v>
      </c>
      <c r="C4936" t="s">
        <v>11</v>
      </c>
      <c r="D4936" t="s">
        <v>12</v>
      </c>
      <c r="E4936" t="s">
        <v>21</v>
      </c>
      <c r="F4936" t="s">
        <v>14</v>
      </c>
      <c r="G4936" t="s">
        <v>23</v>
      </c>
      <c r="K4936" cm="1">
        <f t="array" ref="K4936">_xlfn.SWITCH(LeadsData[[#This Row],[Funnel Stage Reached]],"Lead",1,"MQL",2,"SQL",3,"Customer",4)</f>
        <v>2</v>
      </c>
      <c r="L4936" t="str">
        <f>TEXT(LeadsData[[#This Row],[Signup Date]],"mmm-yyyy")</f>
        <v>Sep-2024</v>
      </c>
      <c r="M4936">
        <f>IF(LeadsData[[#This Row],[Stage Number]]&gt;=2,1,0)</f>
        <v>1</v>
      </c>
      <c r="N4936" s="2">
        <f>IF(LeadsData[[#This Row],[Stage Number]]&gt;=3,1,0)</f>
        <v>0</v>
      </c>
      <c r="O4936" s="2">
        <f>IF(LeadsData[[#This Row],[Stage Number]]&gt;=4,1,0)</f>
        <v>0</v>
      </c>
    </row>
    <row r="4937" spans="1:15" x14ac:dyDescent="0.25">
      <c r="A4937" t="s">
        <v>4977</v>
      </c>
      <c r="B4937" s="1">
        <v>45434</v>
      </c>
      <c r="C4937" t="s">
        <v>17</v>
      </c>
      <c r="D4937" t="s">
        <v>18</v>
      </c>
      <c r="E4937" t="s">
        <v>21</v>
      </c>
      <c r="F4937" t="s">
        <v>28</v>
      </c>
      <c r="G4937" t="s">
        <v>23</v>
      </c>
      <c r="K4937" cm="1">
        <f t="array" ref="K4937">_xlfn.SWITCH(LeadsData[[#This Row],[Funnel Stage Reached]],"Lead",1,"MQL",2,"SQL",3,"Customer",4)</f>
        <v>2</v>
      </c>
      <c r="L4937" t="str">
        <f>TEXT(LeadsData[[#This Row],[Signup Date]],"mmm-yyyy")</f>
        <v>May-2024</v>
      </c>
      <c r="M4937">
        <f>IF(LeadsData[[#This Row],[Stage Number]]&gt;=2,1,0)</f>
        <v>1</v>
      </c>
      <c r="N4937" s="2">
        <f>IF(LeadsData[[#This Row],[Stage Number]]&gt;=3,1,0)</f>
        <v>0</v>
      </c>
      <c r="O4937" s="2">
        <f>IF(LeadsData[[#This Row],[Stage Number]]&gt;=4,1,0)</f>
        <v>0</v>
      </c>
    </row>
    <row r="4938" spans="1:15" x14ac:dyDescent="0.25">
      <c r="A4938" t="s">
        <v>4978</v>
      </c>
      <c r="B4938" s="1">
        <v>45387</v>
      </c>
      <c r="C4938" t="s">
        <v>11</v>
      </c>
      <c r="D4938" t="s">
        <v>79</v>
      </c>
      <c r="E4938" t="s">
        <v>21</v>
      </c>
      <c r="F4938" t="s">
        <v>22</v>
      </c>
      <c r="G4938" t="s">
        <v>15</v>
      </c>
      <c r="K4938" cm="1">
        <f t="array" ref="K4938">_xlfn.SWITCH(LeadsData[[#This Row],[Funnel Stage Reached]],"Lead",1,"MQL",2,"SQL",3,"Customer",4)</f>
        <v>1</v>
      </c>
      <c r="L4938" t="str">
        <f>TEXT(LeadsData[[#This Row],[Signup Date]],"mmm-yyyy")</f>
        <v>Apr-2024</v>
      </c>
      <c r="M4938">
        <f>IF(LeadsData[[#This Row],[Stage Number]]&gt;=2,1,0)</f>
        <v>0</v>
      </c>
      <c r="N4938" s="2">
        <f>IF(LeadsData[[#This Row],[Stage Number]]&gt;=3,1,0)</f>
        <v>0</v>
      </c>
      <c r="O4938" s="2">
        <f>IF(LeadsData[[#This Row],[Stage Number]]&gt;=4,1,0)</f>
        <v>0</v>
      </c>
    </row>
    <row r="4939" spans="1:15" x14ac:dyDescent="0.25">
      <c r="A4939" t="s">
        <v>4979</v>
      </c>
      <c r="B4939" s="1">
        <v>45304</v>
      </c>
      <c r="C4939" t="s">
        <v>17</v>
      </c>
      <c r="D4939" t="s">
        <v>53</v>
      </c>
      <c r="E4939" t="s">
        <v>21</v>
      </c>
      <c r="F4939" t="s">
        <v>14</v>
      </c>
      <c r="G4939" t="s">
        <v>15</v>
      </c>
      <c r="K4939" cm="1">
        <f t="array" ref="K4939">_xlfn.SWITCH(LeadsData[[#This Row],[Funnel Stage Reached]],"Lead",1,"MQL",2,"SQL",3,"Customer",4)</f>
        <v>1</v>
      </c>
      <c r="L4939" t="str">
        <f>TEXT(LeadsData[[#This Row],[Signup Date]],"mmm-yyyy")</f>
        <v>Jan-2024</v>
      </c>
      <c r="M4939">
        <f>IF(LeadsData[[#This Row],[Stage Number]]&gt;=2,1,0)</f>
        <v>0</v>
      </c>
      <c r="N4939" s="2">
        <f>IF(LeadsData[[#This Row],[Stage Number]]&gt;=3,1,0)</f>
        <v>0</v>
      </c>
      <c r="O4939" s="2">
        <f>IF(LeadsData[[#This Row],[Stage Number]]&gt;=4,1,0)</f>
        <v>0</v>
      </c>
    </row>
    <row r="4940" spans="1:15" x14ac:dyDescent="0.25">
      <c r="A4940" t="s">
        <v>4980</v>
      </c>
      <c r="B4940" s="1">
        <v>45417</v>
      </c>
      <c r="C4940" t="s">
        <v>11</v>
      </c>
      <c r="D4940" t="s">
        <v>79</v>
      </c>
      <c r="E4940" t="s">
        <v>21</v>
      </c>
      <c r="F4940" t="s">
        <v>19</v>
      </c>
      <c r="G4940" t="s">
        <v>15</v>
      </c>
      <c r="K4940" cm="1">
        <f t="array" ref="K4940">_xlfn.SWITCH(LeadsData[[#This Row],[Funnel Stage Reached]],"Lead",1,"MQL",2,"SQL",3,"Customer",4)</f>
        <v>1</v>
      </c>
      <c r="L4940" t="str">
        <f>TEXT(LeadsData[[#This Row],[Signup Date]],"mmm-yyyy")</f>
        <v>May-2024</v>
      </c>
      <c r="M4940">
        <f>IF(LeadsData[[#This Row],[Stage Number]]&gt;=2,1,0)</f>
        <v>0</v>
      </c>
      <c r="N4940" s="2">
        <f>IF(LeadsData[[#This Row],[Stage Number]]&gt;=3,1,0)</f>
        <v>0</v>
      </c>
      <c r="O4940" s="2">
        <f>IF(LeadsData[[#This Row],[Stage Number]]&gt;=4,1,0)</f>
        <v>0</v>
      </c>
    </row>
    <row r="4941" spans="1:15" x14ac:dyDescent="0.25">
      <c r="A4941" t="s">
        <v>4981</v>
      </c>
      <c r="B4941" s="1">
        <v>45498</v>
      </c>
      <c r="C4941" t="s">
        <v>17</v>
      </c>
      <c r="D4941" t="s">
        <v>18</v>
      </c>
      <c r="E4941" t="s">
        <v>13</v>
      </c>
      <c r="F4941" t="s">
        <v>22</v>
      </c>
      <c r="G4941" t="s">
        <v>15</v>
      </c>
      <c r="K4941" cm="1">
        <f t="array" ref="K4941">_xlfn.SWITCH(LeadsData[[#This Row],[Funnel Stage Reached]],"Lead",1,"MQL",2,"SQL",3,"Customer",4)</f>
        <v>1</v>
      </c>
      <c r="L4941" t="str">
        <f>TEXT(LeadsData[[#This Row],[Signup Date]],"mmm-yyyy")</f>
        <v>Jul-2024</v>
      </c>
      <c r="M4941">
        <f>IF(LeadsData[[#This Row],[Stage Number]]&gt;=2,1,0)</f>
        <v>0</v>
      </c>
      <c r="N4941" s="2">
        <f>IF(LeadsData[[#This Row],[Stage Number]]&gt;=3,1,0)</f>
        <v>0</v>
      </c>
      <c r="O4941" s="2">
        <f>IF(LeadsData[[#This Row],[Stage Number]]&gt;=4,1,0)</f>
        <v>0</v>
      </c>
    </row>
    <row r="4942" spans="1:15" x14ac:dyDescent="0.25">
      <c r="A4942" t="s">
        <v>4982</v>
      </c>
      <c r="B4942" s="1">
        <v>45568</v>
      </c>
      <c r="C4942" t="s">
        <v>31</v>
      </c>
      <c r="D4942" t="s">
        <v>32</v>
      </c>
      <c r="E4942" t="s">
        <v>13</v>
      </c>
      <c r="F4942" t="s">
        <v>19</v>
      </c>
      <c r="G4942" t="s">
        <v>42</v>
      </c>
      <c r="H4942">
        <v>43</v>
      </c>
      <c r="I4942" t="s">
        <v>43</v>
      </c>
      <c r="J4942">
        <v>1234.3800000000001</v>
      </c>
      <c r="K4942" cm="1">
        <f t="array" ref="K4942">_xlfn.SWITCH(LeadsData[[#This Row],[Funnel Stage Reached]],"Lead",1,"MQL",2,"SQL",3,"Customer",4)</f>
        <v>4</v>
      </c>
      <c r="L4942" t="str">
        <f>TEXT(LeadsData[[#This Row],[Signup Date]],"mmm-yyyy")</f>
        <v>Oct-2024</v>
      </c>
      <c r="M4942">
        <f>IF(LeadsData[[#This Row],[Stage Number]]&gt;=2,1,0)</f>
        <v>1</v>
      </c>
      <c r="N4942" s="2">
        <f>IF(LeadsData[[#This Row],[Stage Number]]&gt;=3,1,0)</f>
        <v>1</v>
      </c>
      <c r="O4942" s="2">
        <f>IF(LeadsData[[#This Row],[Stage Number]]&gt;=4,1,0)</f>
        <v>1</v>
      </c>
    </row>
    <row r="4943" spans="1:15" x14ac:dyDescent="0.25">
      <c r="A4943" t="s">
        <v>4983</v>
      </c>
      <c r="B4943" s="1">
        <v>45391</v>
      </c>
      <c r="C4943" t="s">
        <v>25</v>
      </c>
      <c r="D4943" t="s">
        <v>26</v>
      </c>
      <c r="E4943" t="s">
        <v>21</v>
      </c>
      <c r="F4943" t="s">
        <v>14</v>
      </c>
      <c r="G4943" t="s">
        <v>15</v>
      </c>
      <c r="K4943" cm="1">
        <f t="array" ref="K4943">_xlfn.SWITCH(LeadsData[[#This Row],[Funnel Stage Reached]],"Lead",1,"MQL",2,"SQL",3,"Customer",4)</f>
        <v>1</v>
      </c>
      <c r="L4943" t="str">
        <f>TEXT(LeadsData[[#This Row],[Signup Date]],"mmm-yyyy")</f>
        <v>Apr-2024</v>
      </c>
      <c r="M4943">
        <f>IF(LeadsData[[#This Row],[Stage Number]]&gt;=2,1,0)</f>
        <v>0</v>
      </c>
      <c r="N4943" s="2">
        <f>IF(LeadsData[[#This Row],[Stage Number]]&gt;=3,1,0)</f>
        <v>0</v>
      </c>
      <c r="O4943" s="2">
        <f>IF(LeadsData[[#This Row],[Stage Number]]&gt;=4,1,0)</f>
        <v>0</v>
      </c>
    </row>
    <row r="4944" spans="1:15" x14ac:dyDescent="0.25">
      <c r="A4944" t="s">
        <v>4984</v>
      </c>
      <c r="B4944" s="1">
        <v>45536</v>
      </c>
      <c r="C4944" t="s">
        <v>46</v>
      </c>
      <c r="D4944" t="s">
        <v>56</v>
      </c>
      <c r="E4944" t="s">
        <v>21</v>
      </c>
      <c r="F4944" t="s">
        <v>19</v>
      </c>
      <c r="G4944" t="s">
        <v>15</v>
      </c>
      <c r="K4944" cm="1">
        <f t="array" ref="K4944">_xlfn.SWITCH(LeadsData[[#This Row],[Funnel Stage Reached]],"Lead",1,"MQL",2,"SQL",3,"Customer",4)</f>
        <v>1</v>
      </c>
      <c r="L4944" t="str">
        <f>TEXT(LeadsData[[#This Row],[Signup Date]],"mmm-yyyy")</f>
        <v>Sep-2024</v>
      </c>
      <c r="M4944">
        <f>IF(LeadsData[[#This Row],[Stage Number]]&gt;=2,1,0)</f>
        <v>0</v>
      </c>
      <c r="N4944" s="2">
        <f>IF(LeadsData[[#This Row],[Stage Number]]&gt;=3,1,0)</f>
        <v>0</v>
      </c>
      <c r="O4944" s="2">
        <f>IF(LeadsData[[#This Row],[Stage Number]]&gt;=4,1,0)</f>
        <v>0</v>
      </c>
    </row>
    <row r="4945" spans="1:15" x14ac:dyDescent="0.25">
      <c r="A4945" t="s">
        <v>4985</v>
      </c>
      <c r="B4945" s="1">
        <v>45466</v>
      </c>
      <c r="C4945" t="s">
        <v>31</v>
      </c>
      <c r="D4945" t="s">
        <v>34</v>
      </c>
      <c r="E4945" t="s">
        <v>21</v>
      </c>
      <c r="F4945" t="s">
        <v>22</v>
      </c>
      <c r="G4945" t="s">
        <v>15</v>
      </c>
      <c r="K4945" cm="1">
        <f t="array" ref="K4945">_xlfn.SWITCH(LeadsData[[#This Row],[Funnel Stage Reached]],"Lead",1,"MQL",2,"SQL",3,"Customer",4)</f>
        <v>1</v>
      </c>
      <c r="L4945" t="str">
        <f>TEXT(LeadsData[[#This Row],[Signup Date]],"mmm-yyyy")</f>
        <v>Jun-2024</v>
      </c>
      <c r="M4945">
        <f>IF(LeadsData[[#This Row],[Stage Number]]&gt;=2,1,0)</f>
        <v>0</v>
      </c>
      <c r="N4945" s="2">
        <f>IF(LeadsData[[#This Row],[Stage Number]]&gt;=3,1,0)</f>
        <v>0</v>
      </c>
      <c r="O4945" s="2">
        <f>IF(LeadsData[[#This Row],[Stage Number]]&gt;=4,1,0)</f>
        <v>0</v>
      </c>
    </row>
    <row r="4946" spans="1:15" x14ac:dyDescent="0.25">
      <c r="A4946" t="s">
        <v>4986</v>
      </c>
      <c r="B4946" s="1">
        <v>45313</v>
      </c>
      <c r="C4946" t="s">
        <v>46</v>
      </c>
      <c r="D4946" t="s">
        <v>47</v>
      </c>
      <c r="E4946" t="s">
        <v>21</v>
      </c>
      <c r="F4946" t="s">
        <v>19</v>
      </c>
      <c r="G4946" t="s">
        <v>29</v>
      </c>
      <c r="K4946" cm="1">
        <f t="array" ref="K4946">_xlfn.SWITCH(LeadsData[[#This Row],[Funnel Stage Reached]],"Lead",1,"MQL",2,"SQL",3,"Customer",4)</f>
        <v>3</v>
      </c>
      <c r="L4946" t="str">
        <f>TEXT(LeadsData[[#This Row],[Signup Date]],"mmm-yyyy")</f>
        <v>Jan-2024</v>
      </c>
      <c r="M4946">
        <f>IF(LeadsData[[#This Row],[Stage Number]]&gt;=2,1,0)</f>
        <v>1</v>
      </c>
      <c r="N4946" s="2">
        <f>IF(LeadsData[[#This Row],[Stage Number]]&gt;=3,1,0)</f>
        <v>1</v>
      </c>
      <c r="O4946" s="2">
        <f>IF(LeadsData[[#This Row],[Stage Number]]&gt;=4,1,0)</f>
        <v>0</v>
      </c>
    </row>
    <row r="4947" spans="1:15" x14ac:dyDescent="0.25">
      <c r="A4947" t="s">
        <v>4987</v>
      </c>
      <c r="B4947" s="1">
        <v>45540</v>
      </c>
      <c r="C4947" t="s">
        <v>31</v>
      </c>
      <c r="D4947" t="s">
        <v>32</v>
      </c>
      <c r="E4947" t="s">
        <v>21</v>
      </c>
      <c r="F4947" t="s">
        <v>19</v>
      </c>
      <c r="G4947" t="s">
        <v>23</v>
      </c>
      <c r="K4947" cm="1">
        <f t="array" ref="K4947">_xlfn.SWITCH(LeadsData[[#This Row],[Funnel Stage Reached]],"Lead",1,"MQL",2,"SQL",3,"Customer",4)</f>
        <v>2</v>
      </c>
      <c r="L4947" t="str">
        <f>TEXT(LeadsData[[#This Row],[Signup Date]],"mmm-yyyy")</f>
        <v>Sep-2024</v>
      </c>
      <c r="M4947">
        <f>IF(LeadsData[[#This Row],[Stage Number]]&gt;=2,1,0)</f>
        <v>1</v>
      </c>
      <c r="N4947" s="2">
        <f>IF(LeadsData[[#This Row],[Stage Number]]&gt;=3,1,0)</f>
        <v>0</v>
      </c>
      <c r="O4947" s="2">
        <f>IF(LeadsData[[#This Row],[Stage Number]]&gt;=4,1,0)</f>
        <v>0</v>
      </c>
    </row>
    <row r="4948" spans="1:15" x14ac:dyDescent="0.25">
      <c r="A4948" t="s">
        <v>4988</v>
      </c>
      <c r="B4948" s="1">
        <v>45340</v>
      </c>
      <c r="C4948" t="s">
        <v>25</v>
      </c>
      <c r="D4948" t="s">
        <v>26</v>
      </c>
      <c r="E4948" t="s">
        <v>13</v>
      </c>
      <c r="F4948" t="s">
        <v>19</v>
      </c>
      <c r="G4948" t="s">
        <v>29</v>
      </c>
      <c r="K4948" cm="1">
        <f t="array" ref="K4948">_xlfn.SWITCH(LeadsData[[#This Row],[Funnel Stage Reached]],"Lead",1,"MQL",2,"SQL",3,"Customer",4)</f>
        <v>3</v>
      </c>
      <c r="L4948" t="str">
        <f>TEXT(LeadsData[[#This Row],[Signup Date]],"mmm-yyyy")</f>
        <v>Feb-2024</v>
      </c>
      <c r="M4948">
        <f>IF(LeadsData[[#This Row],[Stage Number]]&gt;=2,1,0)</f>
        <v>1</v>
      </c>
      <c r="N4948" s="2">
        <f>IF(LeadsData[[#This Row],[Stage Number]]&gt;=3,1,0)</f>
        <v>1</v>
      </c>
      <c r="O4948" s="2">
        <f>IF(LeadsData[[#This Row],[Stage Number]]&gt;=4,1,0)</f>
        <v>0</v>
      </c>
    </row>
    <row r="4949" spans="1:15" x14ac:dyDescent="0.25">
      <c r="A4949" t="s">
        <v>4989</v>
      </c>
      <c r="B4949" s="1">
        <v>45619</v>
      </c>
      <c r="C4949" t="s">
        <v>31</v>
      </c>
      <c r="D4949" t="s">
        <v>32</v>
      </c>
      <c r="E4949" t="s">
        <v>13</v>
      </c>
      <c r="F4949" t="s">
        <v>19</v>
      </c>
      <c r="G4949" t="s">
        <v>23</v>
      </c>
      <c r="K4949" cm="1">
        <f t="array" ref="K4949">_xlfn.SWITCH(LeadsData[[#This Row],[Funnel Stage Reached]],"Lead",1,"MQL",2,"SQL",3,"Customer",4)</f>
        <v>2</v>
      </c>
      <c r="L4949" t="str">
        <f>TEXT(LeadsData[[#This Row],[Signup Date]],"mmm-yyyy")</f>
        <v>Nov-2024</v>
      </c>
      <c r="M4949">
        <f>IF(LeadsData[[#This Row],[Stage Number]]&gt;=2,1,0)</f>
        <v>1</v>
      </c>
      <c r="N4949" s="2">
        <f>IF(LeadsData[[#This Row],[Stage Number]]&gt;=3,1,0)</f>
        <v>0</v>
      </c>
      <c r="O4949" s="2">
        <f>IF(LeadsData[[#This Row],[Stage Number]]&gt;=4,1,0)</f>
        <v>0</v>
      </c>
    </row>
    <row r="4950" spans="1:15" x14ac:dyDescent="0.25">
      <c r="A4950" t="s">
        <v>4990</v>
      </c>
      <c r="B4950" s="1">
        <v>45462</v>
      </c>
      <c r="C4950" t="s">
        <v>17</v>
      </c>
      <c r="D4950" t="s">
        <v>18</v>
      </c>
      <c r="E4950" t="s">
        <v>13</v>
      </c>
      <c r="F4950" t="s">
        <v>19</v>
      </c>
      <c r="G4950" t="s">
        <v>15</v>
      </c>
      <c r="K4950" cm="1">
        <f t="array" ref="K4950">_xlfn.SWITCH(LeadsData[[#This Row],[Funnel Stage Reached]],"Lead",1,"MQL",2,"SQL",3,"Customer",4)</f>
        <v>1</v>
      </c>
      <c r="L4950" t="str">
        <f>TEXT(LeadsData[[#This Row],[Signup Date]],"mmm-yyyy")</f>
        <v>Jun-2024</v>
      </c>
      <c r="M4950">
        <f>IF(LeadsData[[#This Row],[Stage Number]]&gt;=2,1,0)</f>
        <v>0</v>
      </c>
      <c r="N4950" s="2">
        <f>IF(LeadsData[[#This Row],[Stage Number]]&gt;=3,1,0)</f>
        <v>0</v>
      </c>
      <c r="O4950" s="2">
        <f>IF(LeadsData[[#This Row],[Stage Number]]&gt;=4,1,0)</f>
        <v>0</v>
      </c>
    </row>
    <row r="4951" spans="1:15" x14ac:dyDescent="0.25">
      <c r="A4951" t="s">
        <v>4991</v>
      </c>
      <c r="B4951" s="1">
        <v>45344</v>
      </c>
      <c r="C4951" t="s">
        <v>17</v>
      </c>
      <c r="D4951" t="s">
        <v>53</v>
      </c>
      <c r="E4951" t="s">
        <v>13</v>
      </c>
      <c r="F4951" t="s">
        <v>14</v>
      </c>
      <c r="G4951" t="s">
        <v>15</v>
      </c>
      <c r="K4951" cm="1">
        <f t="array" ref="K4951">_xlfn.SWITCH(LeadsData[[#This Row],[Funnel Stage Reached]],"Lead",1,"MQL",2,"SQL",3,"Customer",4)</f>
        <v>1</v>
      </c>
      <c r="L4951" t="str">
        <f>TEXT(LeadsData[[#This Row],[Signup Date]],"mmm-yyyy")</f>
        <v>Feb-2024</v>
      </c>
      <c r="M4951">
        <f>IF(LeadsData[[#This Row],[Stage Number]]&gt;=2,1,0)</f>
        <v>0</v>
      </c>
      <c r="N4951" s="2">
        <f>IF(LeadsData[[#This Row],[Stage Number]]&gt;=3,1,0)</f>
        <v>0</v>
      </c>
      <c r="O4951" s="2">
        <f>IF(LeadsData[[#This Row],[Stage Number]]&gt;=4,1,0)</f>
        <v>0</v>
      </c>
    </row>
    <row r="4952" spans="1:15" x14ac:dyDescent="0.25">
      <c r="A4952" t="s">
        <v>4992</v>
      </c>
      <c r="B4952" s="1">
        <v>45584</v>
      </c>
      <c r="C4952" t="s">
        <v>31</v>
      </c>
      <c r="D4952" t="s">
        <v>32</v>
      </c>
      <c r="E4952" t="s">
        <v>13</v>
      </c>
      <c r="F4952" t="s">
        <v>28</v>
      </c>
      <c r="G4952" t="s">
        <v>42</v>
      </c>
      <c r="H4952">
        <v>21</v>
      </c>
      <c r="I4952" t="s">
        <v>87</v>
      </c>
      <c r="J4952">
        <v>4056.83</v>
      </c>
      <c r="K4952" cm="1">
        <f t="array" ref="K4952">_xlfn.SWITCH(LeadsData[[#This Row],[Funnel Stage Reached]],"Lead",1,"MQL",2,"SQL",3,"Customer",4)</f>
        <v>4</v>
      </c>
      <c r="L4952" t="str">
        <f>TEXT(LeadsData[[#This Row],[Signup Date]],"mmm-yyyy")</f>
        <v>Oct-2024</v>
      </c>
      <c r="M4952">
        <f>IF(LeadsData[[#This Row],[Stage Number]]&gt;=2,1,0)</f>
        <v>1</v>
      </c>
      <c r="N4952" s="2">
        <f>IF(LeadsData[[#This Row],[Stage Number]]&gt;=3,1,0)</f>
        <v>1</v>
      </c>
      <c r="O4952" s="2">
        <f>IF(LeadsData[[#This Row],[Stage Number]]&gt;=4,1,0)</f>
        <v>1</v>
      </c>
    </row>
    <row r="4953" spans="1:15" x14ac:dyDescent="0.25">
      <c r="A4953" t="s">
        <v>4993</v>
      </c>
      <c r="B4953" s="1">
        <v>45445</v>
      </c>
      <c r="C4953" t="s">
        <v>36</v>
      </c>
      <c r="D4953" t="s">
        <v>37</v>
      </c>
      <c r="E4953" t="s">
        <v>21</v>
      </c>
      <c r="F4953" t="s">
        <v>22</v>
      </c>
      <c r="G4953" t="s">
        <v>23</v>
      </c>
      <c r="K4953" cm="1">
        <f t="array" ref="K4953">_xlfn.SWITCH(LeadsData[[#This Row],[Funnel Stage Reached]],"Lead",1,"MQL",2,"SQL",3,"Customer",4)</f>
        <v>2</v>
      </c>
      <c r="L4953" t="str">
        <f>TEXT(LeadsData[[#This Row],[Signup Date]],"mmm-yyyy")</f>
        <v>Jun-2024</v>
      </c>
      <c r="M4953">
        <f>IF(LeadsData[[#This Row],[Stage Number]]&gt;=2,1,0)</f>
        <v>1</v>
      </c>
      <c r="N4953" s="2">
        <f>IF(LeadsData[[#This Row],[Stage Number]]&gt;=3,1,0)</f>
        <v>0</v>
      </c>
      <c r="O4953" s="2">
        <f>IF(LeadsData[[#This Row],[Stage Number]]&gt;=4,1,0)</f>
        <v>0</v>
      </c>
    </row>
    <row r="4954" spans="1:15" x14ac:dyDescent="0.25">
      <c r="A4954" t="s">
        <v>4994</v>
      </c>
      <c r="B4954" s="1">
        <v>45416</v>
      </c>
      <c r="C4954" t="s">
        <v>36</v>
      </c>
      <c r="D4954" t="s">
        <v>50</v>
      </c>
      <c r="E4954" t="s">
        <v>13</v>
      </c>
      <c r="F4954" t="s">
        <v>19</v>
      </c>
      <c r="G4954" t="s">
        <v>15</v>
      </c>
      <c r="K4954" cm="1">
        <f t="array" ref="K4954">_xlfn.SWITCH(LeadsData[[#This Row],[Funnel Stage Reached]],"Lead",1,"MQL",2,"SQL",3,"Customer",4)</f>
        <v>1</v>
      </c>
      <c r="L4954" t="str">
        <f>TEXT(LeadsData[[#This Row],[Signup Date]],"mmm-yyyy")</f>
        <v>May-2024</v>
      </c>
      <c r="M4954">
        <f>IF(LeadsData[[#This Row],[Stage Number]]&gt;=2,1,0)</f>
        <v>0</v>
      </c>
      <c r="N4954" s="2">
        <f>IF(LeadsData[[#This Row],[Stage Number]]&gt;=3,1,0)</f>
        <v>0</v>
      </c>
      <c r="O4954" s="2">
        <f>IF(LeadsData[[#This Row],[Stage Number]]&gt;=4,1,0)</f>
        <v>0</v>
      </c>
    </row>
    <row r="4955" spans="1:15" x14ac:dyDescent="0.25">
      <c r="A4955" t="s">
        <v>4995</v>
      </c>
      <c r="B4955" s="1">
        <v>45399</v>
      </c>
      <c r="C4955" t="s">
        <v>17</v>
      </c>
      <c r="D4955" t="s">
        <v>53</v>
      </c>
      <c r="E4955" t="s">
        <v>13</v>
      </c>
      <c r="F4955" t="s">
        <v>19</v>
      </c>
      <c r="G4955" t="s">
        <v>15</v>
      </c>
      <c r="K4955" cm="1">
        <f t="array" ref="K4955">_xlfn.SWITCH(LeadsData[[#This Row],[Funnel Stage Reached]],"Lead",1,"MQL",2,"SQL",3,"Customer",4)</f>
        <v>1</v>
      </c>
      <c r="L4955" t="str">
        <f>TEXT(LeadsData[[#This Row],[Signup Date]],"mmm-yyyy")</f>
        <v>Apr-2024</v>
      </c>
      <c r="M4955">
        <f>IF(LeadsData[[#This Row],[Stage Number]]&gt;=2,1,0)</f>
        <v>0</v>
      </c>
      <c r="N4955" s="2">
        <f>IF(LeadsData[[#This Row],[Stage Number]]&gt;=3,1,0)</f>
        <v>0</v>
      </c>
      <c r="O4955" s="2">
        <f>IF(LeadsData[[#This Row],[Stage Number]]&gt;=4,1,0)</f>
        <v>0</v>
      </c>
    </row>
    <row r="4956" spans="1:15" x14ac:dyDescent="0.25">
      <c r="A4956" t="s">
        <v>4996</v>
      </c>
      <c r="B4956" s="1">
        <v>45620</v>
      </c>
      <c r="C4956" t="s">
        <v>11</v>
      </c>
      <c r="D4956" t="s">
        <v>79</v>
      </c>
      <c r="E4956" t="s">
        <v>13</v>
      </c>
      <c r="F4956" t="s">
        <v>19</v>
      </c>
      <c r="G4956" t="s">
        <v>29</v>
      </c>
      <c r="K4956" cm="1">
        <f t="array" ref="K4956">_xlfn.SWITCH(LeadsData[[#This Row],[Funnel Stage Reached]],"Lead",1,"MQL",2,"SQL",3,"Customer",4)</f>
        <v>3</v>
      </c>
      <c r="L4956" t="str">
        <f>TEXT(LeadsData[[#This Row],[Signup Date]],"mmm-yyyy")</f>
        <v>Nov-2024</v>
      </c>
      <c r="M4956">
        <f>IF(LeadsData[[#This Row],[Stage Number]]&gt;=2,1,0)</f>
        <v>1</v>
      </c>
      <c r="N4956" s="2">
        <f>IF(LeadsData[[#This Row],[Stage Number]]&gt;=3,1,0)</f>
        <v>1</v>
      </c>
      <c r="O4956" s="2">
        <f>IF(LeadsData[[#This Row],[Stage Number]]&gt;=4,1,0)</f>
        <v>0</v>
      </c>
    </row>
    <row r="4957" spans="1:15" x14ac:dyDescent="0.25">
      <c r="A4957" t="s">
        <v>4997</v>
      </c>
      <c r="B4957" s="1">
        <v>45316</v>
      </c>
      <c r="C4957" t="s">
        <v>11</v>
      </c>
      <c r="D4957" t="s">
        <v>12</v>
      </c>
      <c r="E4957" t="s">
        <v>21</v>
      </c>
      <c r="F4957" t="s">
        <v>22</v>
      </c>
      <c r="G4957" t="s">
        <v>15</v>
      </c>
      <c r="K4957" cm="1">
        <f t="array" ref="K4957">_xlfn.SWITCH(LeadsData[[#This Row],[Funnel Stage Reached]],"Lead",1,"MQL",2,"SQL",3,"Customer",4)</f>
        <v>1</v>
      </c>
      <c r="L4957" t="str">
        <f>TEXT(LeadsData[[#This Row],[Signup Date]],"mmm-yyyy")</f>
        <v>Jan-2024</v>
      </c>
      <c r="M4957">
        <f>IF(LeadsData[[#This Row],[Stage Number]]&gt;=2,1,0)</f>
        <v>0</v>
      </c>
      <c r="N4957" s="2">
        <f>IF(LeadsData[[#This Row],[Stage Number]]&gt;=3,1,0)</f>
        <v>0</v>
      </c>
      <c r="O4957" s="2">
        <f>IF(LeadsData[[#This Row],[Stage Number]]&gt;=4,1,0)</f>
        <v>0</v>
      </c>
    </row>
    <row r="4958" spans="1:15" x14ac:dyDescent="0.25">
      <c r="A4958" t="s">
        <v>4998</v>
      </c>
      <c r="B4958" s="1">
        <v>45335</v>
      </c>
      <c r="C4958" t="s">
        <v>31</v>
      </c>
      <c r="D4958" t="s">
        <v>32</v>
      </c>
      <c r="E4958" t="s">
        <v>21</v>
      </c>
      <c r="F4958" t="s">
        <v>19</v>
      </c>
      <c r="G4958" t="s">
        <v>15</v>
      </c>
      <c r="K4958" cm="1">
        <f t="array" ref="K4958">_xlfn.SWITCH(LeadsData[[#This Row],[Funnel Stage Reached]],"Lead",1,"MQL",2,"SQL",3,"Customer",4)</f>
        <v>1</v>
      </c>
      <c r="L4958" t="str">
        <f>TEXT(LeadsData[[#This Row],[Signup Date]],"mmm-yyyy")</f>
        <v>Feb-2024</v>
      </c>
      <c r="M4958">
        <f>IF(LeadsData[[#This Row],[Stage Number]]&gt;=2,1,0)</f>
        <v>0</v>
      </c>
      <c r="N4958" s="2">
        <f>IF(LeadsData[[#This Row],[Stage Number]]&gt;=3,1,0)</f>
        <v>0</v>
      </c>
      <c r="O4958" s="2">
        <f>IF(LeadsData[[#This Row],[Stage Number]]&gt;=4,1,0)</f>
        <v>0</v>
      </c>
    </row>
    <row r="4959" spans="1:15" x14ac:dyDescent="0.25">
      <c r="A4959" t="s">
        <v>4999</v>
      </c>
      <c r="B4959" s="1">
        <v>45516</v>
      </c>
      <c r="C4959" t="s">
        <v>46</v>
      </c>
      <c r="D4959" t="s">
        <v>56</v>
      </c>
      <c r="E4959" t="s">
        <v>13</v>
      </c>
      <c r="F4959" t="s">
        <v>19</v>
      </c>
      <c r="G4959" t="s">
        <v>15</v>
      </c>
      <c r="K4959" cm="1">
        <f t="array" ref="K4959">_xlfn.SWITCH(LeadsData[[#This Row],[Funnel Stage Reached]],"Lead",1,"MQL",2,"SQL",3,"Customer",4)</f>
        <v>1</v>
      </c>
      <c r="L4959" t="str">
        <f>TEXT(LeadsData[[#This Row],[Signup Date]],"mmm-yyyy")</f>
        <v>Aug-2024</v>
      </c>
      <c r="M4959">
        <f>IF(LeadsData[[#This Row],[Stage Number]]&gt;=2,1,0)</f>
        <v>0</v>
      </c>
      <c r="N4959" s="2">
        <f>IF(LeadsData[[#This Row],[Stage Number]]&gt;=3,1,0)</f>
        <v>0</v>
      </c>
      <c r="O4959" s="2">
        <f>IF(LeadsData[[#This Row],[Stage Number]]&gt;=4,1,0)</f>
        <v>0</v>
      </c>
    </row>
    <row r="4960" spans="1:15" x14ac:dyDescent="0.25">
      <c r="A4960" t="s">
        <v>5000</v>
      </c>
      <c r="B4960" s="1">
        <v>45574</v>
      </c>
      <c r="C4960" t="s">
        <v>25</v>
      </c>
      <c r="D4960" t="s">
        <v>26</v>
      </c>
      <c r="E4960" t="s">
        <v>13</v>
      </c>
      <c r="F4960" t="s">
        <v>19</v>
      </c>
      <c r="G4960" t="s">
        <v>29</v>
      </c>
      <c r="K4960" cm="1">
        <f t="array" ref="K4960">_xlfn.SWITCH(LeadsData[[#This Row],[Funnel Stage Reached]],"Lead",1,"MQL",2,"SQL",3,"Customer",4)</f>
        <v>3</v>
      </c>
      <c r="L4960" t="str">
        <f>TEXT(LeadsData[[#This Row],[Signup Date]],"mmm-yyyy")</f>
        <v>Oct-2024</v>
      </c>
      <c r="M4960">
        <f>IF(LeadsData[[#This Row],[Stage Number]]&gt;=2,1,0)</f>
        <v>1</v>
      </c>
      <c r="N4960" s="2">
        <f>IF(LeadsData[[#This Row],[Stage Number]]&gt;=3,1,0)</f>
        <v>1</v>
      </c>
      <c r="O4960" s="2">
        <f>IF(LeadsData[[#This Row],[Stage Number]]&gt;=4,1,0)</f>
        <v>0</v>
      </c>
    </row>
    <row r="4961" spans="1:15" x14ac:dyDescent="0.25">
      <c r="A4961" t="s">
        <v>5001</v>
      </c>
      <c r="B4961" s="1">
        <v>45419</v>
      </c>
      <c r="C4961" t="s">
        <v>46</v>
      </c>
      <c r="D4961" t="s">
        <v>56</v>
      </c>
      <c r="E4961" t="s">
        <v>13</v>
      </c>
      <c r="F4961" t="s">
        <v>22</v>
      </c>
      <c r="G4961" t="s">
        <v>23</v>
      </c>
      <c r="K4961" cm="1">
        <f t="array" ref="K4961">_xlfn.SWITCH(LeadsData[[#This Row],[Funnel Stage Reached]],"Lead",1,"MQL",2,"SQL",3,"Customer",4)</f>
        <v>2</v>
      </c>
      <c r="L4961" t="str">
        <f>TEXT(LeadsData[[#This Row],[Signup Date]],"mmm-yyyy")</f>
        <v>May-2024</v>
      </c>
      <c r="M4961">
        <f>IF(LeadsData[[#This Row],[Stage Number]]&gt;=2,1,0)</f>
        <v>1</v>
      </c>
      <c r="N4961" s="2">
        <f>IF(LeadsData[[#This Row],[Stage Number]]&gt;=3,1,0)</f>
        <v>0</v>
      </c>
      <c r="O4961" s="2">
        <f>IF(LeadsData[[#This Row],[Stage Number]]&gt;=4,1,0)</f>
        <v>0</v>
      </c>
    </row>
    <row r="4962" spans="1:15" x14ac:dyDescent="0.25">
      <c r="A4962" t="s">
        <v>5002</v>
      </c>
      <c r="B4962" s="1">
        <v>45646</v>
      </c>
      <c r="C4962" t="s">
        <v>46</v>
      </c>
      <c r="D4962" t="s">
        <v>56</v>
      </c>
      <c r="E4962" t="s">
        <v>13</v>
      </c>
      <c r="F4962" t="s">
        <v>19</v>
      </c>
      <c r="G4962" t="s">
        <v>23</v>
      </c>
      <c r="K4962" cm="1">
        <f t="array" ref="K4962">_xlfn.SWITCH(LeadsData[[#This Row],[Funnel Stage Reached]],"Lead",1,"MQL",2,"SQL",3,"Customer",4)</f>
        <v>2</v>
      </c>
      <c r="L4962" t="str">
        <f>TEXT(LeadsData[[#This Row],[Signup Date]],"mmm-yyyy")</f>
        <v>Dec-2024</v>
      </c>
      <c r="M4962">
        <f>IF(LeadsData[[#This Row],[Stage Number]]&gt;=2,1,0)</f>
        <v>1</v>
      </c>
      <c r="N4962" s="2">
        <f>IF(LeadsData[[#This Row],[Stage Number]]&gt;=3,1,0)</f>
        <v>0</v>
      </c>
      <c r="O4962" s="2">
        <f>IF(LeadsData[[#This Row],[Stage Number]]&gt;=4,1,0)</f>
        <v>0</v>
      </c>
    </row>
    <row r="4963" spans="1:15" x14ac:dyDescent="0.25">
      <c r="A4963" t="s">
        <v>5003</v>
      </c>
      <c r="B4963" s="1">
        <v>45401</v>
      </c>
      <c r="C4963" t="s">
        <v>17</v>
      </c>
      <c r="D4963" t="s">
        <v>18</v>
      </c>
      <c r="E4963" t="s">
        <v>13</v>
      </c>
      <c r="F4963" t="s">
        <v>19</v>
      </c>
      <c r="G4963" t="s">
        <v>23</v>
      </c>
      <c r="K4963" cm="1">
        <f t="array" ref="K4963">_xlfn.SWITCH(LeadsData[[#This Row],[Funnel Stage Reached]],"Lead",1,"MQL",2,"SQL",3,"Customer",4)</f>
        <v>2</v>
      </c>
      <c r="L4963" t="str">
        <f>TEXT(LeadsData[[#This Row],[Signup Date]],"mmm-yyyy")</f>
        <v>Apr-2024</v>
      </c>
      <c r="M4963">
        <f>IF(LeadsData[[#This Row],[Stage Number]]&gt;=2,1,0)</f>
        <v>1</v>
      </c>
      <c r="N4963" s="2">
        <f>IF(LeadsData[[#This Row],[Stage Number]]&gt;=3,1,0)</f>
        <v>0</v>
      </c>
      <c r="O4963" s="2">
        <f>IF(LeadsData[[#This Row],[Stage Number]]&gt;=4,1,0)</f>
        <v>0</v>
      </c>
    </row>
    <row r="4964" spans="1:15" x14ac:dyDescent="0.25">
      <c r="A4964" t="s">
        <v>5004</v>
      </c>
      <c r="B4964" s="1">
        <v>45310</v>
      </c>
      <c r="C4964" t="s">
        <v>17</v>
      </c>
      <c r="D4964" t="s">
        <v>18</v>
      </c>
      <c r="E4964" t="s">
        <v>13</v>
      </c>
      <c r="F4964" t="s">
        <v>19</v>
      </c>
      <c r="G4964" t="s">
        <v>15</v>
      </c>
      <c r="K4964" cm="1">
        <f t="array" ref="K4964">_xlfn.SWITCH(LeadsData[[#This Row],[Funnel Stage Reached]],"Lead",1,"MQL",2,"SQL",3,"Customer",4)</f>
        <v>1</v>
      </c>
      <c r="L4964" t="str">
        <f>TEXT(LeadsData[[#This Row],[Signup Date]],"mmm-yyyy")</f>
        <v>Jan-2024</v>
      </c>
      <c r="M4964">
        <f>IF(LeadsData[[#This Row],[Stage Number]]&gt;=2,1,0)</f>
        <v>0</v>
      </c>
      <c r="N4964" s="2">
        <f>IF(LeadsData[[#This Row],[Stage Number]]&gt;=3,1,0)</f>
        <v>0</v>
      </c>
      <c r="O4964" s="2">
        <f>IF(LeadsData[[#This Row],[Stage Number]]&gt;=4,1,0)</f>
        <v>0</v>
      </c>
    </row>
    <row r="4965" spans="1:15" x14ac:dyDescent="0.25">
      <c r="A4965" t="s">
        <v>5005</v>
      </c>
      <c r="B4965" s="1">
        <v>45577</v>
      </c>
      <c r="C4965" t="s">
        <v>46</v>
      </c>
      <c r="D4965" t="s">
        <v>47</v>
      </c>
      <c r="E4965" t="s">
        <v>21</v>
      </c>
      <c r="F4965" t="s">
        <v>19</v>
      </c>
      <c r="G4965" t="s">
        <v>23</v>
      </c>
      <c r="K4965" cm="1">
        <f t="array" ref="K4965">_xlfn.SWITCH(LeadsData[[#This Row],[Funnel Stage Reached]],"Lead",1,"MQL",2,"SQL",3,"Customer",4)</f>
        <v>2</v>
      </c>
      <c r="L4965" t="str">
        <f>TEXT(LeadsData[[#This Row],[Signup Date]],"mmm-yyyy")</f>
        <v>Oct-2024</v>
      </c>
      <c r="M4965">
        <f>IF(LeadsData[[#This Row],[Stage Number]]&gt;=2,1,0)</f>
        <v>1</v>
      </c>
      <c r="N4965" s="2">
        <f>IF(LeadsData[[#This Row],[Stage Number]]&gt;=3,1,0)</f>
        <v>0</v>
      </c>
      <c r="O4965" s="2">
        <f>IF(LeadsData[[#This Row],[Stage Number]]&gt;=4,1,0)</f>
        <v>0</v>
      </c>
    </row>
    <row r="4966" spans="1:15" x14ac:dyDescent="0.25">
      <c r="A4966" t="s">
        <v>5006</v>
      </c>
      <c r="B4966" s="1">
        <v>45529</v>
      </c>
      <c r="C4966" t="s">
        <v>46</v>
      </c>
      <c r="D4966" t="s">
        <v>56</v>
      </c>
      <c r="E4966" t="s">
        <v>13</v>
      </c>
      <c r="F4966" t="s">
        <v>22</v>
      </c>
      <c r="G4966" t="s">
        <v>15</v>
      </c>
      <c r="K4966" cm="1">
        <f t="array" ref="K4966">_xlfn.SWITCH(LeadsData[[#This Row],[Funnel Stage Reached]],"Lead",1,"MQL",2,"SQL",3,"Customer",4)</f>
        <v>1</v>
      </c>
      <c r="L4966" t="str">
        <f>TEXT(LeadsData[[#This Row],[Signup Date]],"mmm-yyyy")</f>
        <v>Aug-2024</v>
      </c>
      <c r="M4966">
        <f>IF(LeadsData[[#This Row],[Stage Number]]&gt;=2,1,0)</f>
        <v>0</v>
      </c>
      <c r="N4966" s="2">
        <f>IF(LeadsData[[#This Row],[Stage Number]]&gt;=3,1,0)</f>
        <v>0</v>
      </c>
      <c r="O4966" s="2">
        <f>IF(LeadsData[[#This Row],[Stage Number]]&gt;=4,1,0)</f>
        <v>0</v>
      </c>
    </row>
    <row r="4967" spans="1:15" x14ac:dyDescent="0.25">
      <c r="A4967" t="s">
        <v>5007</v>
      </c>
      <c r="B4967" s="1">
        <v>45647</v>
      </c>
      <c r="C4967" t="s">
        <v>25</v>
      </c>
      <c r="D4967" t="s">
        <v>26</v>
      </c>
      <c r="E4967" t="s">
        <v>48</v>
      </c>
      <c r="F4967" t="s">
        <v>19</v>
      </c>
      <c r="G4967" t="s">
        <v>15</v>
      </c>
      <c r="K4967" cm="1">
        <f t="array" ref="K4967">_xlfn.SWITCH(LeadsData[[#This Row],[Funnel Stage Reached]],"Lead",1,"MQL",2,"SQL",3,"Customer",4)</f>
        <v>1</v>
      </c>
      <c r="L4967" t="str">
        <f>TEXT(LeadsData[[#This Row],[Signup Date]],"mmm-yyyy")</f>
        <v>Dec-2024</v>
      </c>
      <c r="M4967">
        <f>IF(LeadsData[[#This Row],[Stage Number]]&gt;=2,1,0)</f>
        <v>0</v>
      </c>
      <c r="N4967" s="2">
        <f>IF(LeadsData[[#This Row],[Stage Number]]&gt;=3,1,0)</f>
        <v>0</v>
      </c>
      <c r="O4967" s="2">
        <f>IF(LeadsData[[#This Row],[Stage Number]]&gt;=4,1,0)</f>
        <v>0</v>
      </c>
    </row>
    <row r="4968" spans="1:15" x14ac:dyDescent="0.25">
      <c r="A4968" t="s">
        <v>5008</v>
      </c>
      <c r="B4968" s="1">
        <v>45628</v>
      </c>
      <c r="C4968" t="s">
        <v>31</v>
      </c>
      <c r="D4968" t="s">
        <v>32</v>
      </c>
      <c r="E4968" t="s">
        <v>21</v>
      </c>
      <c r="F4968" t="s">
        <v>19</v>
      </c>
      <c r="G4968" t="s">
        <v>15</v>
      </c>
      <c r="K4968" cm="1">
        <f t="array" ref="K4968">_xlfn.SWITCH(LeadsData[[#This Row],[Funnel Stage Reached]],"Lead",1,"MQL",2,"SQL",3,"Customer",4)</f>
        <v>1</v>
      </c>
      <c r="L4968" t="str">
        <f>TEXT(LeadsData[[#This Row],[Signup Date]],"mmm-yyyy")</f>
        <v>Dec-2024</v>
      </c>
      <c r="M4968">
        <f>IF(LeadsData[[#This Row],[Stage Number]]&gt;=2,1,0)</f>
        <v>0</v>
      </c>
      <c r="N4968" s="2">
        <f>IF(LeadsData[[#This Row],[Stage Number]]&gt;=3,1,0)</f>
        <v>0</v>
      </c>
      <c r="O4968" s="2">
        <f>IF(LeadsData[[#This Row],[Stage Number]]&gt;=4,1,0)</f>
        <v>0</v>
      </c>
    </row>
    <row r="4969" spans="1:15" x14ac:dyDescent="0.25">
      <c r="A4969" t="s">
        <v>5009</v>
      </c>
      <c r="B4969" s="1">
        <v>45392</v>
      </c>
      <c r="C4969" t="s">
        <v>25</v>
      </c>
      <c r="D4969" t="s">
        <v>26</v>
      </c>
      <c r="E4969" t="s">
        <v>13</v>
      </c>
      <c r="F4969" t="s">
        <v>19</v>
      </c>
      <c r="G4969" t="s">
        <v>42</v>
      </c>
      <c r="H4969">
        <v>54</v>
      </c>
      <c r="I4969" t="s">
        <v>43</v>
      </c>
      <c r="J4969">
        <v>659.33</v>
      </c>
      <c r="K4969" cm="1">
        <f t="array" ref="K4969">_xlfn.SWITCH(LeadsData[[#This Row],[Funnel Stage Reached]],"Lead",1,"MQL",2,"SQL",3,"Customer",4)</f>
        <v>4</v>
      </c>
      <c r="L4969" t="str">
        <f>TEXT(LeadsData[[#This Row],[Signup Date]],"mmm-yyyy")</f>
        <v>Apr-2024</v>
      </c>
      <c r="M4969">
        <f>IF(LeadsData[[#This Row],[Stage Number]]&gt;=2,1,0)</f>
        <v>1</v>
      </c>
      <c r="N4969" s="2">
        <f>IF(LeadsData[[#This Row],[Stage Number]]&gt;=3,1,0)</f>
        <v>1</v>
      </c>
      <c r="O4969" s="2">
        <f>IF(LeadsData[[#This Row],[Stage Number]]&gt;=4,1,0)</f>
        <v>1</v>
      </c>
    </row>
    <row r="4970" spans="1:15" x14ac:dyDescent="0.25">
      <c r="A4970" t="s">
        <v>5010</v>
      </c>
      <c r="B4970" s="1">
        <v>45303</v>
      </c>
      <c r="C4970" t="s">
        <v>31</v>
      </c>
      <c r="D4970" t="s">
        <v>34</v>
      </c>
      <c r="E4970" t="s">
        <v>21</v>
      </c>
      <c r="F4970" t="s">
        <v>19</v>
      </c>
      <c r="G4970" t="s">
        <v>29</v>
      </c>
      <c r="K4970" cm="1">
        <f t="array" ref="K4970">_xlfn.SWITCH(LeadsData[[#This Row],[Funnel Stage Reached]],"Lead",1,"MQL",2,"SQL",3,"Customer",4)</f>
        <v>3</v>
      </c>
      <c r="L4970" t="str">
        <f>TEXT(LeadsData[[#This Row],[Signup Date]],"mmm-yyyy")</f>
        <v>Jan-2024</v>
      </c>
      <c r="M4970">
        <f>IF(LeadsData[[#This Row],[Stage Number]]&gt;=2,1,0)</f>
        <v>1</v>
      </c>
      <c r="N4970" s="2">
        <f>IF(LeadsData[[#This Row],[Stage Number]]&gt;=3,1,0)</f>
        <v>1</v>
      </c>
      <c r="O4970" s="2">
        <f>IF(LeadsData[[#This Row],[Stage Number]]&gt;=4,1,0)</f>
        <v>0</v>
      </c>
    </row>
    <row r="4971" spans="1:15" x14ac:dyDescent="0.25">
      <c r="A4971" t="s">
        <v>5011</v>
      </c>
      <c r="B4971" s="1">
        <v>45531</v>
      </c>
      <c r="C4971" t="s">
        <v>31</v>
      </c>
      <c r="D4971" t="s">
        <v>32</v>
      </c>
      <c r="E4971" t="s">
        <v>21</v>
      </c>
      <c r="F4971" t="s">
        <v>19</v>
      </c>
      <c r="G4971" t="s">
        <v>23</v>
      </c>
      <c r="K4971" cm="1">
        <f t="array" ref="K4971">_xlfn.SWITCH(LeadsData[[#This Row],[Funnel Stage Reached]],"Lead",1,"MQL",2,"SQL",3,"Customer",4)</f>
        <v>2</v>
      </c>
      <c r="L4971" t="str">
        <f>TEXT(LeadsData[[#This Row],[Signup Date]],"mmm-yyyy")</f>
        <v>Aug-2024</v>
      </c>
      <c r="M4971">
        <f>IF(LeadsData[[#This Row],[Stage Number]]&gt;=2,1,0)</f>
        <v>1</v>
      </c>
      <c r="N4971" s="2">
        <f>IF(LeadsData[[#This Row],[Stage Number]]&gt;=3,1,0)</f>
        <v>0</v>
      </c>
      <c r="O4971" s="2">
        <f>IF(LeadsData[[#This Row],[Stage Number]]&gt;=4,1,0)</f>
        <v>0</v>
      </c>
    </row>
    <row r="4972" spans="1:15" x14ac:dyDescent="0.25">
      <c r="A4972" t="s">
        <v>5012</v>
      </c>
      <c r="B4972" s="1">
        <v>45558</v>
      </c>
      <c r="C4972" t="s">
        <v>17</v>
      </c>
      <c r="D4972" t="s">
        <v>18</v>
      </c>
      <c r="E4972" t="s">
        <v>48</v>
      </c>
      <c r="F4972" t="s">
        <v>19</v>
      </c>
      <c r="G4972" t="s">
        <v>23</v>
      </c>
      <c r="K4972" cm="1">
        <f t="array" ref="K4972">_xlfn.SWITCH(LeadsData[[#This Row],[Funnel Stage Reached]],"Lead",1,"MQL",2,"SQL",3,"Customer",4)</f>
        <v>2</v>
      </c>
      <c r="L4972" t="str">
        <f>TEXT(LeadsData[[#This Row],[Signup Date]],"mmm-yyyy")</f>
        <v>Sep-2024</v>
      </c>
      <c r="M4972">
        <f>IF(LeadsData[[#This Row],[Stage Number]]&gt;=2,1,0)</f>
        <v>1</v>
      </c>
      <c r="N4972" s="2">
        <f>IF(LeadsData[[#This Row],[Stage Number]]&gt;=3,1,0)</f>
        <v>0</v>
      </c>
      <c r="O4972" s="2">
        <f>IF(LeadsData[[#This Row],[Stage Number]]&gt;=4,1,0)</f>
        <v>0</v>
      </c>
    </row>
    <row r="4973" spans="1:15" x14ac:dyDescent="0.25">
      <c r="A4973" t="s">
        <v>5013</v>
      </c>
      <c r="B4973" s="1">
        <v>45609</v>
      </c>
      <c r="C4973" t="s">
        <v>46</v>
      </c>
      <c r="D4973" t="s">
        <v>47</v>
      </c>
      <c r="E4973" t="s">
        <v>13</v>
      </c>
      <c r="F4973" t="s">
        <v>19</v>
      </c>
      <c r="G4973" t="s">
        <v>15</v>
      </c>
      <c r="K4973" cm="1">
        <f t="array" ref="K4973">_xlfn.SWITCH(LeadsData[[#This Row],[Funnel Stage Reached]],"Lead",1,"MQL",2,"SQL",3,"Customer",4)</f>
        <v>1</v>
      </c>
      <c r="L4973" t="str">
        <f>TEXT(LeadsData[[#This Row],[Signup Date]],"mmm-yyyy")</f>
        <v>Nov-2024</v>
      </c>
      <c r="M4973">
        <f>IF(LeadsData[[#This Row],[Stage Number]]&gt;=2,1,0)</f>
        <v>0</v>
      </c>
      <c r="N4973" s="2">
        <f>IF(LeadsData[[#This Row],[Stage Number]]&gt;=3,1,0)</f>
        <v>0</v>
      </c>
      <c r="O4973" s="2">
        <f>IF(LeadsData[[#This Row],[Stage Number]]&gt;=4,1,0)</f>
        <v>0</v>
      </c>
    </row>
    <row r="4974" spans="1:15" x14ac:dyDescent="0.25">
      <c r="A4974" t="s">
        <v>5014</v>
      </c>
      <c r="B4974" s="1">
        <v>45508</v>
      </c>
      <c r="C4974" t="s">
        <v>31</v>
      </c>
      <c r="D4974" t="s">
        <v>34</v>
      </c>
      <c r="E4974" t="s">
        <v>13</v>
      </c>
      <c r="F4974" t="s">
        <v>22</v>
      </c>
      <c r="G4974" t="s">
        <v>15</v>
      </c>
      <c r="K4974" cm="1">
        <f t="array" ref="K4974">_xlfn.SWITCH(LeadsData[[#This Row],[Funnel Stage Reached]],"Lead",1,"MQL",2,"SQL",3,"Customer",4)</f>
        <v>1</v>
      </c>
      <c r="L4974" t="str">
        <f>TEXT(LeadsData[[#This Row],[Signup Date]],"mmm-yyyy")</f>
        <v>Aug-2024</v>
      </c>
      <c r="M4974">
        <f>IF(LeadsData[[#This Row],[Stage Number]]&gt;=2,1,0)</f>
        <v>0</v>
      </c>
      <c r="N4974" s="2">
        <f>IF(LeadsData[[#This Row],[Stage Number]]&gt;=3,1,0)</f>
        <v>0</v>
      </c>
      <c r="O4974" s="2">
        <f>IF(LeadsData[[#This Row],[Stage Number]]&gt;=4,1,0)</f>
        <v>0</v>
      </c>
    </row>
    <row r="4975" spans="1:15" x14ac:dyDescent="0.25">
      <c r="A4975" t="s">
        <v>5015</v>
      </c>
      <c r="B4975" s="1">
        <v>45294</v>
      </c>
      <c r="C4975" t="s">
        <v>36</v>
      </c>
      <c r="D4975" t="s">
        <v>37</v>
      </c>
      <c r="E4975" t="s">
        <v>13</v>
      </c>
      <c r="F4975" t="s">
        <v>22</v>
      </c>
      <c r="G4975" t="s">
        <v>42</v>
      </c>
      <c r="H4975">
        <v>70</v>
      </c>
      <c r="I4975" t="s">
        <v>87</v>
      </c>
      <c r="J4975">
        <v>3757.18</v>
      </c>
      <c r="K4975" cm="1">
        <f t="array" ref="K4975">_xlfn.SWITCH(LeadsData[[#This Row],[Funnel Stage Reached]],"Lead",1,"MQL",2,"SQL",3,"Customer",4)</f>
        <v>4</v>
      </c>
      <c r="L4975" t="str">
        <f>TEXT(LeadsData[[#This Row],[Signup Date]],"mmm-yyyy")</f>
        <v>Jan-2024</v>
      </c>
      <c r="M4975">
        <f>IF(LeadsData[[#This Row],[Stage Number]]&gt;=2,1,0)</f>
        <v>1</v>
      </c>
      <c r="N4975" s="2">
        <f>IF(LeadsData[[#This Row],[Stage Number]]&gt;=3,1,0)</f>
        <v>1</v>
      </c>
      <c r="O4975" s="2">
        <f>IF(LeadsData[[#This Row],[Stage Number]]&gt;=4,1,0)</f>
        <v>1</v>
      </c>
    </row>
    <row r="4976" spans="1:15" x14ac:dyDescent="0.25">
      <c r="A4976" t="s">
        <v>5016</v>
      </c>
      <c r="B4976" s="1">
        <v>45344</v>
      </c>
      <c r="C4976" t="s">
        <v>17</v>
      </c>
      <c r="D4976" t="s">
        <v>53</v>
      </c>
      <c r="E4976" t="s">
        <v>21</v>
      </c>
      <c r="F4976" t="s">
        <v>19</v>
      </c>
      <c r="G4976" t="s">
        <v>15</v>
      </c>
      <c r="K4976" cm="1">
        <f t="array" ref="K4976">_xlfn.SWITCH(LeadsData[[#This Row],[Funnel Stage Reached]],"Lead",1,"MQL",2,"SQL",3,"Customer",4)</f>
        <v>1</v>
      </c>
      <c r="L4976" t="str">
        <f>TEXT(LeadsData[[#This Row],[Signup Date]],"mmm-yyyy")</f>
        <v>Feb-2024</v>
      </c>
      <c r="M4976">
        <f>IF(LeadsData[[#This Row],[Stage Number]]&gt;=2,1,0)</f>
        <v>0</v>
      </c>
      <c r="N4976" s="2">
        <f>IF(LeadsData[[#This Row],[Stage Number]]&gt;=3,1,0)</f>
        <v>0</v>
      </c>
      <c r="O4976" s="2">
        <f>IF(LeadsData[[#This Row],[Stage Number]]&gt;=4,1,0)</f>
        <v>0</v>
      </c>
    </row>
    <row r="4977" spans="1:15" x14ac:dyDescent="0.25">
      <c r="A4977" t="s">
        <v>5017</v>
      </c>
      <c r="B4977" s="1">
        <v>45652</v>
      </c>
      <c r="C4977" t="s">
        <v>25</v>
      </c>
      <c r="D4977" t="s">
        <v>26</v>
      </c>
      <c r="E4977" t="s">
        <v>21</v>
      </c>
      <c r="F4977" t="s">
        <v>19</v>
      </c>
      <c r="G4977" t="s">
        <v>15</v>
      </c>
      <c r="K4977" cm="1">
        <f t="array" ref="K4977">_xlfn.SWITCH(LeadsData[[#This Row],[Funnel Stage Reached]],"Lead",1,"MQL",2,"SQL",3,"Customer",4)</f>
        <v>1</v>
      </c>
      <c r="L4977" t="str">
        <f>TEXT(LeadsData[[#This Row],[Signup Date]],"mmm-yyyy")</f>
        <v>Dec-2024</v>
      </c>
      <c r="M4977">
        <f>IF(LeadsData[[#This Row],[Stage Number]]&gt;=2,1,0)</f>
        <v>0</v>
      </c>
      <c r="N4977" s="2">
        <f>IF(LeadsData[[#This Row],[Stage Number]]&gt;=3,1,0)</f>
        <v>0</v>
      </c>
      <c r="O4977" s="2">
        <f>IF(LeadsData[[#This Row],[Stage Number]]&gt;=4,1,0)</f>
        <v>0</v>
      </c>
    </row>
    <row r="4978" spans="1:15" x14ac:dyDescent="0.25">
      <c r="A4978" t="s">
        <v>5018</v>
      </c>
      <c r="B4978" s="1">
        <v>45642</v>
      </c>
      <c r="C4978" t="s">
        <v>17</v>
      </c>
      <c r="D4978" t="s">
        <v>53</v>
      </c>
      <c r="E4978" t="s">
        <v>13</v>
      </c>
      <c r="F4978" t="s">
        <v>19</v>
      </c>
      <c r="G4978" t="s">
        <v>23</v>
      </c>
      <c r="K4978" cm="1">
        <f t="array" ref="K4978">_xlfn.SWITCH(LeadsData[[#This Row],[Funnel Stage Reached]],"Lead",1,"MQL",2,"SQL",3,"Customer",4)</f>
        <v>2</v>
      </c>
      <c r="L4978" t="str">
        <f>TEXT(LeadsData[[#This Row],[Signup Date]],"mmm-yyyy")</f>
        <v>Dec-2024</v>
      </c>
      <c r="M4978">
        <f>IF(LeadsData[[#This Row],[Stage Number]]&gt;=2,1,0)</f>
        <v>1</v>
      </c>
      <c r="N4978" s="2">
        <f>IF(LeadsData[[#This Row],[Stage Number]]&gt;=3,1,0)</f>
        <v>0</v>
      </c>
      <c r="O4978" s="2">
        <f>IF(LeadsData[[#This Row],[Stage Number]]&gt;=4,1,0)</f>
        <v>0</v>
      </c>
    </row>
    <row r="4979" spans="1:15" x14ac:dyDescent="0.25">
      <c r="A4979" t="s">
        <v>5019</v>
      </c>
      <c r="B4979" s="1">
        <v>45640</v>
      </c>
      <c r="C4979" t="s">
        <v>31</v>
      </c>
      <c r="D4979" t="s">
        <v>32</v>
      </c>
      <c r="E4979" t="s">
        <v>21</v>
      </c>
      <c r="F4979" t="s">
        <v>14</v>
      </c>
      <c r="G4979" t="s">
        <v>42</v>
      </c>
      <c r="H4979">
        <v>60</v>
      </c>
      <c r="I4979" t="s">
        <v>87</v>
      </c>
      <c r="J4979">
        <v>3730</v>
      </c>
      <c r="K4979" cm="1">
        <f t="array" ref="K4979">_xlfn.SWITCH(LeadsData[[#This Row],[Funnel Stage Reached]],"Lead",1,"MQL",2,"SQL",3,"Customer",4)</f>
        <v>4</v>
      </c>
      <c r="L4979" t="str">
        <f>TEXT(LeadsData[[#This Row],[Signup Date]],"mmm-yyyy")</f>
        <v>Dec-2024</v>
      </c>
      <c r="M4979">
        <f>IF(LeadsData[[#This Row],[Stage Number]]&gt;=2,1,0)</f>
        <v>1</v>
      </c>
      <c r="N4979" s="2">
        <f>IF(LeadsData[[#This Row],[Stage Number]]&gt;=3,1,0)</f>
        <v>1</v>
      </c>
      <c r="O4979" s="2">
        <f>IF(LeadsData[[#This Row],[Stage Number]]&gt;=4,1,0)</f>
        <v>1</v>
      </c>
    </row>
    <row r="4980" spans="1:15" x14ac:dyDescent="0.25">
      <c r="A4980" t="s">
        <v>5020</v>
      </c>
      <c r="B4980" s="1">
        <v>45336</v>
      </c>
      <c r="C4980" t="s">
        <v>46</v>
      </c>
      <c r="D4980" t="s">
        <v>56</v>
      </c>
      <c r="E4980" t="s">
        <v>13</v>
      </c>
      <c r="F4980" t="s">
        <v>19</v>
      </c>
      <c r="G4980" t="s">
        <v>29</v>
      </c>
      <c r="K4980" cm="1">
        <f t="array" ref="K4980">_xlfn.SWITCH(LeadsData[[#This Row],[Funnel Stage Reached]],"Lead",1,"MQL",2,"SQL",3,"Customer",4)</f>
        <v>3</v>
      </c>
      <c r="L4980" t="str">
        <f>TEXT(LeadsData[[#This Row],[Signup Date]],"mmm-yyyy")</f>
        <v>Feb-2024</v>
      </c>
      <c r="M4980">
        <f>IF(LeadsData[[#This Row],[Stage Number]]&gt;=2,1,0)</f>
        <v>1</v>
      </c>
      <c r="N4980" s="2">
        <f>IF(LeadsData[[#This Row],[Stage Number]]&gt;=3,1,0)</f>
        <v>1</v>
      </c>
      <c r="O4980" s="2">
        <f>IF(LeadsData[[#This Row],[Stage Number]]&gt;=4,1,0)</f>
        <v>0</v>
      </c>
    </row>
    <row r="4981" spans="1:15" x14ac:dyDescent="0.25">
      <c r="A4981" t="s">
        <v>5021</v>
      </c>
      <c r="B4981" s="1">
        <v>45399</v>
      </c>
      <c r="C4981" t="s">
        <v>31</v>
      </c>
      <c r="D4981" t="s">
        <v>34</v>
      </c>
      <c r="E4981" t="s">
        <v>13</v>
      </c>
      <c r="F4981" t="s">
        <v>19</v>
      </c>
      <c r="G4981" t="s">
        <v>42</v>
      </c>
      <c r="H4981">
        <v>11</v>
      </c>
      <c r="I4981" t="s">
        <v>87</v>
      </c>
      <c r="J4981">
        <v>2335.6799999999998</v>
      </c>
      <c r="K4981" cm="1">
        <f t="array" ref="K4981">_xlfn.SWITCH(LeadsData[[#This Row],[Funnel Stage Reached]],"Lead",1,"MQL",2,"SQL",3,"Customer",4)</f>
        <v>4</v>
      </c>
      <c r="L4981" t="str">
        <f>TEXT(LeadsData[[#This Row],[Signup Date]],"mmm-yyyy")</f>
        <v>Apr-2024</v>
      </c>
      <c r="M4981">
        <f>IF(LeadsData[[#This Row],[Stage Number]]&gt;=2,1,0)</f>
        <v>1</v>
      </c>
      <c r="N4981" s="2">
        <f>IF(LeadsData[[#This Row],[Stage Number]]&gt;=3,1,0)</f>
        <v>1</v>
      </c>
      <c r="O4981" s="2">
        <f>IF(LeadsData[[#This Row],[Stage Number]]&gt;=4,1,0)</f>
        <v>1</v>
      </c>
    </row>
    <row r="4982" spans="1:15" x14ac:dyDescent="0.25">
      <c r="A4982" t="s">
        <v>5022</v>
      </c>
      <c r="B4982" s="1">
        <v>45384</v>
      </c>
      <c r="C4982" t="s">
        <v>36</v>
      </c>
      <c r="D4982" t="s">
        <v>50</v>
      </c>
      <c r="E4982" t="s">
        <v>13</v>
      </c>
      <c r="F4982" t="s">
        <v>19</v>
      </c>
      <c r="G4982" t="s">
        <v>15</v>
      </c>
      <c r="K4982" cm="1">
        <f t="array" ref="K4982">_xlfn.SWITCH(LeadsData[[#This Row],[Funnel Stage Reached]],"Lead",1,"MQL",2,"SQL",3,"Customer",4)</f>
        <v>1</v>
      </c>
      <c r="L4982" t="str">
        <f>TEXT(LeadsData[[#This Row],[Signup Date]],"mmm-yyyy")</f>
        <v>Apr-2024</v>
      </c>
      <c r="M4982">
        <f>IF(LeadsData[[#This Row],[Stage Number]]&gt;=2,1,0)</f>
        <v>0</v>
      </c>
      <c r="N4982" s="2">
        <f>IF(LeadsData[[#This Row],[Stage Number]]&gt;=3,1,0)</f>
        <v>0</v>
      </c>
      <c r="O4982" s="2">
        <f>IF(LeadsData[[#This Row],[Stage Number]]&gt;=4,1,0)</f>
        <v>0</v>
      </c>
    </row>
    <row r="4983" spans="1:15" x14ac:dyDescent="0.25">
      <c r="A4983" t="s">
        <v>5023</v>
      </c>
      <c r="B4983" s="1">
        <v>45521</v>
      </c>
      <c r="C4983" t="s">
        <v>25</v>
      </c>
      <c r="D4983" t="s">
        <v>26</v>
      </c>
      <c r="E4983" t="s">
        <v>13</v>
      </c>
      <c r="F4983" t="s">
        <v>14</v>
      </c>
      <c r="G4983" t="s">
        <v>15</v>
      </c>
      <c r="K4983" cm="1">
        <f t="array" ref="K4983">_xlfn.SWITCH(LeadsData[[#This Row],[Funnel Stage Reached]],"Lead",1,"MQL",2,"SQL",3,"Customer",4)</f>
        <v>1</v>
      </c>
      <c r="L4983" t="str">
        <f>TEXT(LeadsData[[#This Row],[Signup Date]],"mmm-yyyy")</f>
        <v>Aug-2024</v>
      </c>
      <c r="M4983">
        <f>IF(LeadsData[[#This Row],[Stage Number]]&gt;=2,1,0)</f>
        <v>0</v>
      </c>
      <c r="N4983" s="2">
        <f>IF(LeadsData[[#This Row],[Stage Number]]&gt;=3,1,0)</f>
        <v>0</v>
      </c>
      <c r="O4983" s="2">
        <f>IF(LeadsData[[#This Row],[Stage Number]]&gt;=4,1,0)</f>
        <v>0</v>
      </c>
    </row>
    <row r="4984" spans="1:15" x14ac:dyDescent="0.25">
      <c r="A4984" t="s">
        <v>5024</v>
      </c>
      <c r="B4984" s="1">
        <v>45484</v>
      </c>
      <c r="C4984" t="s">
        <v>31</v>
      </c>
      <c r="D4984" t="s">
        <v>32</v>
      </c>
      <c r="E4984" t="s">
        <v>21</v>
      </c>
      <c r="F4984" t="s">
        <v>19</v>
      </c>
      <c r="G4984" t="s">
        <v>23</v>
      </c>
      <c r="K4984" cm="1">
        <f t="array" ref="K4984">_xlfn.SWITCH(LeadsData[[#This Row],[Funnel Stage Reached]],"Lead",1,"MQL",2,"SQL",3,"Customer",4)</f>
        <v>2</v>
      </c>
      <c r="L4984" t="str">
        <f>TEXT(LeadsData[[#This Row],[Signup Date]],"mmm-yyyy")</f>
        <v>Jul-2024</v>
      </c>
      <c r="M4984">
        <f>IF(LeadsData[[#This Row],[Stage Number]]&gt;=2,1,0)</f>
        <v>1</v>
      </c>
      <c r="N4984" s="2">
        <f>IF(LeadsData[[#This Row],[Stage Number]]&gt;=3,1,0)</f>
        <v>0</v>
      </c>
      <c r="O4984" s="2">
        <f>IF(LeadsData[[#This Row],[Stage Number]]&gt;=4,1,0)</f>
        <v>0</v>
      </c>
    </row>
    <row r="4985" spans="1:15" x14ac:dyDescent="0.25">
      <c r="A4985" t="s">
        <v>5025</v>
      </c>
      <c r="B4985" s="1">
        <v>45421</v>
      </c>
      <c r="C4985" t="s">
        <v>11</v>
      </c>
      <c r="D4985" t="s">
        <v>12</v>
      </c>
      <c r="E4985" t="s">
        <v>13</v>
      </c>
      <c r="F4985" t="s">
        <v>19</v>
      </c>
      <c r="G4985" t="s">
        <v>23</v>
      </c>
      <c r="K4985" cm="1">
        <f t="array" ref="K4985">_xlfn.SWITCH(LeadsData[[#This Row],[Funnel Stage Reached]],"Lead",1,"MQL",2,"SQL",3,"Customer",4)</f>
        <v>2</v>
      </c>
      <c r="L4985" t="str">
        <f>TEXT(LeadsData[[#This Row],[Signup Date]],"mmm-yyyy")</f>
        <v>May-2024</v>
      </c>
      <c r="M4985">
        <f>IF(LeadsData[[#This Row],[Stage Number]]&gt;=2,1,0)</f>
        <v>1</v>
      </c>
      <c r="N4985" s="2">
        <f>IF(LeadsData[[#This Row],[Stage Number]]&gt;=3,1,0)</f>
        <v>0</v>
      </c>
      <c r="O4985" s="2">
        <f>IF(LeadsData[[#This Row],[Stage Number]]&gt;=4,1,0)</f>
        <v>0</v>
      </c>
    </row>
    <row r="4986" spans="1:15" x14ac:dyDescent="0.25">
      <c r="A4986" t="s">
        <v>5026</v>
      </c>
      <c r="B4986" s="1">
        <v>45493</v>
      </c>
      <c r="C4986" t="s">
        <v>11</v>
      </c>
      <c r="D4986" t="s">
        <v>68</v>
      </c>
      <c r="E4986" t="s">
        <v>13</v>
      </c>
      <c r="F4986" t="s">
        <v>22</v>
      </c>
      <c r="G4986" t="s">
        <v>15</v>
      </c>
      <c r="K4986" cm="1">
        <f t="array" ref="K4986">_xlfn.SWITCH(LeadsData[[#This Row],[Funnel Stage Reached]],"Lead",1,"MQL",2,"SQL",3,"Customer",4)</f>
        <v>1</v>
      </c>
      <c r="L4986" t="str">
        <f>TEXT(LeadsData[[#This Row],[Signup Date]],"mmm-yyyy")</f>
        <v>Jul-2024</v>
      </c>
      <c r="M4986">
        <f>IF(LeadsData[[#This Row],[Stage Number]]&gt;=2,1,0)</f>
        <v>0</v>
      </c>
      <c r="N4986" s="2">
        <f>IF(LeadsData[[#This Row],[Stage Number]]&gt;=3,1,0)</f>
        <v>0</v>
      </c>
      <c r="O4986" s="2">
        <f>IF(LeadsData[[#This Row],[Stage Number]]&gt;=4,1,0)</f>
        <v>0</v>
      </c>
    </row>
    <row r="4987" spans="1:15" x14ac:dyDescent="0.25">
      <c r="A4987" t="s">
        <v>5027</v>
      </c>
      <c r="B4987" s="1">
        <v>45333</v>
      </c>
      <c r="C4987" t="s">
        <v>46</v>
      </c>
      <c r="D4987" t="s">
        <v>56</v>
      </c>
      <c r="E4987" t="s">
        <v>13</v>
      </c>
      <c r="F4987" t="s">
        <v>19</v>
      </c>
      <c r="G4987" t="s">
        <v>15</v>
      </c>
      <c r="K4987" cm="1">
        <f t="array" ref="K4987">_xlfn.SWITCH(LeadsData[[#This Row],[Funnel Stage Reached]],"Lead",1,"MQL",2,"SQL",3,"Customer",4)</f>
        <v>1</v>
      </c>
      <c r="L4987" t="str">
        <f>TEXT(LeadsData[[#This Row],[Signup Date]],"mmm-yyyy")</f>
        <v>Feb-2024</v>
      </c>
      <c r="M4987">
        <f>IF(LeadsData[[#This Row],[Stage Number]]&gt;=2,1,0)</f>
        <v>0</v>
      </c>
      <c r="N4987" s="2">
        <f>IF(LeadsData[[#This Row],[Stage Number]]&gt;=3,1,0)</f>
        <v>0</v>
      </c>
      <c r="O4987" s="2">
        <f>IF(LeadsData[[#This Row],[Stage Number]]&gt;=4,1,0)</f>
        <v>0</v>
      </c>
    </row>
    <row r="4988" spans="1:15" x14ac:dyDescent="0.25">
      <c r="A4988" t="s">
        <v>5028</v>
      </c>
      <c r="B4988" s="1">
        <v>45465</v>
      </c>
      <c r="C4988" t="s">
        <v>36</v>
      </c>
      <c r="D4988" t="s">
        <v>50</v>
      </c>
      <c r="E4988" t="s">
        <v>21</v>
      </c>
      <c r="F4988" t="s">
        <v>22</v>
      </c>
      <c r="G4988" t="s">
        <v>23</v>
      </c>
      <c r="K4988" cm="1">
        <f t="array" ref="K4988">_xlfn.SWITCH(LeadsData[[#This Row],[Funnel Stage Reached]],"Lead",1,"MQL",2,"SQL",3,"Customer",4)</f>
        <v>2</v>
      </c>
      <c r="L4988" t="str">
        <f>TEXT(LeadsData[[#This Row],[Signup Date]],"mmm-yyyy")</f>
        <v>Jun-2024</v>
      </c>
      <c r="M4988">
        <f>IF(LeadsData[[#This Row],[Stage Number]]&gt;=2,1,0)</f>
        <v>1</v>
      </c>
      <c r="N4988" s="2">
        <f>IF(LeadsData[[#This Row],[Stage Number]]&gt;=3,1,0)</f>
        <v>0</v>
      </c>
      <c r="O4988" s="2">
        <f>IF(LeadsData[[#This Row],[Stage Number]]&gt;=4,1,0)</f>
        <v>0</v>
      </c>
    </row>
    <row r="4989" spans="1:15" x14ac:dyDescent="0.25">
      <c r="A4989" t="s">
        <v>5029</v>
      </c>
      <c r="B4989" s="1">
        <v>45538</v>
      </c>
      <c r="C4989" t="s">
        <v>36</v>
      </c>
      <c r="D4989" t="s">
        <v>50</v>
      </c>
      <c r="E4989" t="s">
        <v>21</v>
      </c>
      <c r="F4989" t="s">
        <v>14</v>
      </c>
      <c r="G4989" t="s">
        <v>23</v>
      </c>
      <c r="K4989" cm="1">
        <f t="array" ref="K4989">_xlfn.SWITCH(LeadsData[[#This Row],[Funnel Stage Reached]],"Lead",1,"MQL",2,"SQL",3,"Customer",4)</f>
        <v>2</v>
      </c>
      <c r="L4989" t="str">
        <f>TEXT(LeadsData[[#This Row],[Signup Date]],"mmm-yyyy")</f>
        <v>Sep-2024</v>
      </c>
      <c r="M4989">
        <f>IF(LeadsData[[#This Row],[Stage Number]]&gt;=2,1,0)</f>
        <v>1</v>
      </c>
      <c r="N4989" s="2">
        <f>IF(LeadsData[[#This Row],[Stage Number]]&gt;=3,1,0)</f>
        <v>0</v>
      </c>
      <c r="O4989" s="2">
        <f>IF(LeadsData[[#This Row],[Stage Number]]&gt;=4,1,0)</f>
        <v>0</v>
      </c>
    </row>
    <row r="4990" spans="1:15" x14ac:dyDescent="0.25">
      <c r="A4990" t="s">
        <v>5030</v>
      </c>
      <c r="B4990" s="1">
        <v>45516</v>
      </c>
      <c r="C4990" t="s">
        <v>36</v>
      </c>
      <c r="D4990" t="s">
        <v>37</v>
      </c>
      <c r="E4990" t="s">
        <v>13</v>
      </c>
      <c r="F4990" t="s">
        <v>19</v>
      </c>
      <c r="G4990" t="s">
        <v>29</v>
      </c>
      <c r="K4990" cm="1">
        <f t="array" ref="K4990">_xlfn.SWITCH(LeadsData[[#This Row],[Funnel Stage Reached]],"Lead",1,"MQL",2,"SQL",3,"Customer",4)</f>
        <v>3</v>
      </c>
      <c r="L4990" t="str">
        <f>TEXT(LeadsData[[#This Row],[Signup Date]],"mmm-yyyy")</f>
        <v>Aug-2024</v>
      </c>
      <c r="M4990">
        <f>IF(LeadsData[[#This Row],[Stage Number]]&gt;=2,1,0)</f>
        <v>1</v>
      </c>
      <c r="N4990" s="2">
        <f>IF(LeadsData[[#This Row],[Stage Number]]&gt;=3,1,0)</f>
        <v>1</v>
      </c>
      <c r="O4990" s="2">
        <f>IF(LeadsData[[#This Row],[Stage Number]]&gt;=4,1,0)</f>
        <v>0</v>
      </c>
    </row>
    <row r="4991" spans="1:15" x14ac:dyDescent="0.25">
      <c r="A4991" t="s">
        <v>5031</v>
      </c>
      <c r="B4991" s="1">
        <v>45330</v>
      </c>
      <c r="C4991" t="s">
        <v>11</v>
      </c>
      <c r="D4991" t="s">
        <v>12</v>
      </c>
      <c r="E4991" t="s">
        <v>13</v>
      </c>
      <c r="F4991" t="s">
        <v>22</v>
      </c>
      <c r="G4991" t="s">
        <v>15</v>
      </c>
      <c r="K4991" cm="1">
        <f t="array" ref="K4991">_xlfn.SWITCH(LeadsData[[#This Row],[Funnel Stage Reached]],"Lead",1,"MQL",2,"SQL",3,"Customer",4)</f>
        <v>1</v>
      </c>
      <c r="L4991" t="str">
        <f>TEXT(LeadsData[[#This Row],[Signup Date]],"mmm-yyyy")</f>
        <v>Feb-2024</v>
      </c>
      <c r="M4991">
        <f>IF(LeadsData[[#This Row],[Stage Number]]&gt;=2,1,0)</f>
        <v>0</v>
      </c>
      <c r="N4991" s="2">
        <f>IF(LeadsData[[#This Row],[Stage Number]]&gt;=3,1,0)</f>
        <v>0</v>
      </c>
      <c r="O4991" s="2">
        <f>IF(LeadsData[[#This Row],[Stage Number]]&gt;=4,1,0)</f>
        <v>0</v>
      </c>
    </row>
    <row r="4992" spans="1:15" x14ac:dyDescent="0.25">
      <c r="A4992" t="s">
        <v>5032</v>
      </c>
      <c r="B4992" s="1">
        <v>45650</v>
      </c>
      <c r="C4992" t="s">
        <v>11</v>
      </c>
      <c r="D4992" t="s">
        <v>79</v>
      </c>
      <c r="E4992" t="s">
        <v>13</v>
      </c>
      <c r="F4992" t="s">
        <v>19</v>
      </c>
      <c r="G4992" t="s">
        <v>15</v>
      </c>
      <c r="K4992" cm="1">
        <f t="array" ref="K4992">_xlfn.SWITCH(LeadsData[[#This Row],[Funnel Stage Reached]],"Lead",1,"MQL",2,"SQL",3,"Customer",4)</f>
        <v>1</v>
      </c>
      <c r="L4992" t="str">
        <f>TEXT(LeadsData[[#This Row],[Signup Date]],"mmm-yyyy")</f>
        <v>Dec-2024</v>
      </c>
      <c r="M4992">
        <f>IF(LeadsData[[#This Row],[Stage Number]]&gt;=2,1,0)</f>
        <v>0</v>
      </c>
      <c r="N4992" s="2">
        <f>IF(LeadsData[[#This Row],[Stage Number]]&gt;=3,1,0)</f>
        <v>0</v>
      </c>
      <c r="O4992" s="2">
        <f>IF(LeadsData[[#This Row],[Stage Number]]&gt;=4,1,0)</f>
        <v>0</v>
      </c>
    </row>
    <row r="4993" spans="1:15" x14ac:dyDescent="0.25">
      <c r="A4993" t="s">
        <v>5033</v>
      </c>
      <c r="B4993" s="1">
        <v>45536</v>
      </c>
      <c r="C4993" t="s">
        <v>31</v>
      </c>
      <c r="D4993" t="s">
        <v>34</v>
      </c>
      <c r="E4993" t="s">
        <v>13</v>
      </c>
      <c r="F4993" t="s">
        <v>19</v>
      </c>
      <c r="G4993" t="s">
        <v>29</v>
      </c>
      <c r="K4993" cm="1">
        <f t="array" ref="K4993">_xlfn.SWITCH(LeadsData[[#This Row],[Funnel Stage Reached]],"Lead",1,"MQL",2,"SQL",3,"Customer",4)</f>
        <v>3</v>
      </c>
      <c r="L4993" t="str">
        <f>TEXT(LeadsData[[#This Row],[Signup Date]],"mmm-yyyy")</f>
        <v>Sep-2024</v>
      </c>
      <c r="M4993">
        <f>IF(LeadsData[[#This Row],[Stage Number]]&gt;=2,1,0)</f>
        <v>1</v>
      </c>
      <c r="N4993" s="2">
        <f>IF(LeadsData[[#This Row],[Stage Number]]&gt;=3,1,0)</f>
        <v>1</v>
      </c>
      <c r="O4993" s="2">
        <f>IF(LeadsData[[#This Row],[Stage Number]]&gt;=4,1,0)</f>
        <v>0</v>
      </c>
    </row>
    <row r="4994" spans="1:15" x14ac:dyDescent="0.25">
      <c r="A4994" t="s">
        <v>5034</v>
      </c>
      <c r="B4994" s="1">
        <v>45525</v>
      </c>
      <c r="C4994" t="s">
        <v>17</v>
      </c>
      <c r="D4994" t="s">
        <v>18</v>
      </c>
      <c r="E4994" t="s">
        <v>21</v>
      </c>
      <c r="F4994" t="s">
        <v>14</v>
      </c>
      <c r="G4994" t="s">
        <v>15</v>
      </c>
      <c r="K4994" cm="1">
        <f t="array" ref="K4994">_xlfn.SWITCH(LeadsData[[#This Row],[Funnel Stage Reached]],"Lead",1,"MQL",2,"SQL",3,"Customer",4)</f>
        <v>1</v>
      </c>
      <c r="L4994" t="str">
        <f>TEXT(LeadsData[[#This Row],[Signup Date]],"mmm-yyyy")</f>
        <v>Aug-2024</v>
      </c>
      <c r="M4994">
        <f>IF(LeadsData[[#This Row],[Stage Number]]&gt;=2,1,0)</f>
        <v>0</v>
      </c>
      <c r="N4994" s="2">
        <f>IF(LeadsData[[#This Row],[Stage Number]]&gt;=3,1,0)</f>
        <v>0</v>
      </c>
      <c r="O4994" s="2">
        <f>IF(LeadsData[[#This Row],[Stage Number]]&gt;=4,1,0)</f>
        <v>0</v>
      </c>
    </row>
    <row r="4995" spans="1:15" x14ac:dyDescent="0.25">
      <c r="A4995" t="s">
        <v>5035</v>
      </c>
      <c r="B4995" s="1">
        <v>45374</v>
      </c>
      <c r="C4995" t="s">
        <v>17</v>
      </c>
      <c r="D4995" t="s">
        <v>18</v>
      </c>
      <c r="E4995" t="s">
        <v>21</v>
      </c>
      <c r="F4995" t="s">
        <v>19</v>
      </c>
      <c r="G4995" t="s">
        <v>15</v>
      </c>
      <c r="K4995" cm="1">
        <f t="array" ref="K4995">_xlfn.SWITCH(LeadsData[[#This Row],[Funnel Stage Reached]],"Lead",1,"MQL",2,"SQL",3,"Customer",4)</f>
        <v>1</v>
      </c>
      <c r="L4995" t="str">
        <f>TEXT(LeadsData[[#This Row],[Signup Date]],"mmm-yyyy")</f>
        <v>Mar-2024</v>
      </c>
      <c r="M4995">
        <f>IF(LeadsData[[#This Row],[Stage Number]]&gt;=2,1,0)</f>
        <v>0</v>
      </c>
      <c r="N4995" s="2">
        <f>IF(LeadsData[[#This Row],[Stage Number]]&gt;=3,1,0)</f>
        <v>0</v>
      </c>
      <c r="O4995" s="2">
        <f>IF(LeadsData[[#This Row],[Stage Number]]&gt;=4,1,0)</f>
        <v>0</v>
      </c>
    </row>
    <row r="4996" spans="1:15" x14ac:dyDescent="0.25">
      <c r="A4996" t="s">
        <v>5036</v>
      </c>
      <c r="B4996" s="1">
        <v>45333</v>
      </c>
      <c r="C4996" t="s">
        <v>17</v>
      </c>
      <c r="D4996" t="s">
        <v>18</v>
      </c>
      <c r="E4996" t="s">
        <v>21</v>
      </c>
      <c r="F4996" t="s">
        <v>22</v>
      </c>
      <c r="G4996" t="s">
        <v>15</v>
      </c>
      <c r="K4996" cm="1">
        <f t="array" ref="K4996">_xlfn.SWITCH(LeadsData[[#This Row],[Funnel Stage Reached]],"Lead",1,"MQL",2,"SQL",3,"Customer",4)</f>
        <v>1</v>
      </c>
      <c r="L4996" t="str">
        <f>TEXT(LeadsData[[#This Row],[Signup Date]],"mmm-yyyy")</f>
        <v>Feb-2024</v>
      </c>
      <c r="M4996">
        <f>IF(LeadsData[[#This Row],[Stage Number]]&gt;=2,1,0)</f>
        <v>0</v>
      </c>
      <c r="N4996" s="2">
        <f>IF(LeadsData[[#This Row],[Stage Number]]&gt;=3,1,0)</f>
        <v>0</v>
      </c>
      <c r="O4996" s="2">
        <f>IF(LeadsData[[#This Row],[Stage Number]]&gt;=4,1,0)</f>
        <v>0</v>
      </c>
    </row>
    <row r="4997" spans="1:15" x14ac:dyDescent="0.25">
      <c r="A4997" t="s">
        <v>5037</v>
      </c>
      <c r="B4997" s="1">
        <v>45325</v>
      </c>
      <c r="C4997" t="s">
        <v>46</v>
      </c>
      <c r="D4997" t="s">
        <v>56</v>
      </c>
      <c r="E4997" t="s">
        <v>13</v>
      </c>
      <c r="F4997" t="s">
        <v>28</v>
      </c>
      <c r="G4997" t="s">
        <v>23</v>
      </c>
      <c r="K4997" cm="1">
        <f t="array" ref="K4997">_xlfn.SWITCH(LeadsData[[#This Row],[Funnel Stage Reached]],"Lead",1,"MQL",2,"SQL",3,"Customer",4)</f>
        <v>2</v>
      </c>
      <c r="L4997" t="str">
        <f>TEXT(LeadsData[[#This Row],[Signup Date]],"mmm-yyyy")</f>
        <v>Feb-2024</v>
      </c>
      <c r="M4997">
        <f>IF(LeadsData[[#This Row],[Stage Number]]&gt;=2,1,0)</f>
        <v>1</v>
      </c>
      <c r="N4997" s="2">
        <f>IF(LeadsData[[#This Row],[Stage Number]]&gt;=3,1,0)</f>
        <v>0</v>
      </c>
      <c r="O4997" s="2">
        <f>IF(LeadsData[[#This Row],[Stage Number]]&gt;=4,1,0)</f>
        <v>0</v>
      </c>
    </row>
    <row r="4998" spans="1:15" x14ac:dyDescent="0.25">
      <c r="A4998" t="s">
        <v>5038</v>
      </c>
      <c r="B4998" s="1">
        <v>45495</v>
      </c>
      <c r="C4998" t="s">
        <v>36</v>
      </c>
      <c r="D4998" t="s">
        <v>50</v>
      </c>
      <c r="E4998" t="s">
        <v>13</v>
      </c>
      <c r="F4998" t="s">
        <v>19</v>
      </c>
      <c r="G4998" t="s">
        <v>15</v>
      </c>
      <c r="K4998" cm="1">
        <f t="array" ref="K4998">_xlfn.SWITCH(LeadsData[[#This Row],[Funnel Stage Reached]],"Lead",1,"MQL",2,"SQL",3,"Customer",4)</f>
        <v>1</v>
      </c>
      <c r="L4998" t="str">
        <f>TEXT(LeadsData[[#This Row],[Signup Date]],"mmm-yyyy")</f>
        <v>Jul-2024</v>
      </c>
      <c r="M4998">
        <f>IF(LeadsData[[#This Row],[Stage Number]]&gt;=2,1,0)</f>
        <v>0</v>
      </c>
      <c r="N4998" s="2">
        <f>IF(LeadsData[[#This Row],[Stage Number]]&gt;=3,1,0)</f>
        <v>0</v>
      </c>
      <c r="O4998" s="2">
        <f>IF(LeadsData[[#This Row],[Stage Number]]&gt;=4,1,0)</f>
        <v>0</v>
      </c>
    </row>
    <row r="4999" spans="1:15" x14ac:dyDescent="0.25">
      <c r="A4999" t="s">
        <v>5039</v>
      </c>
      <c r="B4999" s="1">
        <v>45512</v>
      </c>
      <c r="C4999" t="s">
        <v>17</v>
      </c>
      <c r="D4999" t="s">
        <v>53</v>
      </c>
      <c r="E4999" t="s">
        <v>21</v>
      </c>
      <c r="F4999" t="s">
        <v>19</v>
      </c>
      <c r="G4999" t="s">
        <v>15</v>
      </c>
      <c r="K4999" cm="1">
        <f t="array" ref="K4999">_xlfn.SWITCH(LeadsData[[#This Row],[Funnel Stage Reached]],"Lead",1,"MQL",2,"SQL",3,"Customer",4)</f>
        <v>1</v>
      </c>
      <c r="L4999" t="str">
        <f>TEXT(LeadsData[[#This Row],[Signup Date]],"mmm-yyyy")</f>
        <v>Aug-2024</v>
      </c>
      <c r="M4999">
        <f>IF(LeadsData[[#This Row],[Stage Number]]&gt;=2,1,0)</f>
        <v>0</v>
      </c>
      <c r="N4999" s="2">
        <f>IF(LeadsData[[#This Row],[Stage Number]]&gt;=3,1,0)</f>
        <v>0</v>
      </c>
      <c r="O4999" s="2">
        <f>IF(LeadsData[[#This Row],[Stage Number]]&gt;=4,1,0)</f>
        <v>0</v>
      </c>
    </row>
    <row r="5000" spans="1:15" x14ac:dyDescent="0.25">
      <c r="A5000" t="s">
        <v>5040</v>
      </c>
      <c r="B5000" s="1">
        <v>45624</v>
      </c>
      <c r="C5000" t="s">
        <v>17</v>
      </c>
      <c r="D5000" t="s">
        <v>53</v>
      </c>
      <c r="E5000" t="s">
        <v>21</v>
      </c>
      <c r="F5000" t="s">
        <v>28</v>
      </c>
      <c r="G5000" t="s">
        <v>15</v>
      </c>
      <c r="K5000" cm="1">
        <f t="array" ref="K5000">_xlfn.SWITCH(LeadsData[[#This Row],[Funnel Stage Reached]],"Lead",1,"MQL",2,"SQL",3,"Customer",4)</f>
        <v>1</v>
      </c>
      <c r="L5000" t="str">
        <f>TEXT(LeadsData[[#This Row],[Signup Date]],"mmm-yyyy")</f>
        <v>Nov-2024</v>
      </c>
      <c r="M5000">
        <f>IF(LeadsData[[#This Row],[Stage Number]]&gt;=2,1,0)</f>
        <v>0</v>
      </c>
      <c r="N5000" s="2">
        <f>IF(LeadsData[[#This Row],[Stage Number]]&gt;=3,1,0)</f>
        <v>0</v>
      </c>
      <c r="O5000" s="2">
        <f>IF(LeadsData[[#This Row],[Stage Number]]&gt;=4,1,0)</f>
        <v>0</v>
      </c>
    </row>
    <row r="5001" spans="1:15" x14ac:dyDescent="0.25">
      <c r="A5001" t="s">
        <v>5041</v>
      </c>
      <c r="B5001" s="1">
        <v>45397</v>
      </c>
      <c r="C5001" t="s">
        <v>17</v>
      </c>
      <c r="D5001" t="s">
        <v>18</v>
      </c>
      <c r="E5001" t="s">
        <v>13</v>
      </c>
      <c r="F5001" t="s">
        <v>22</v>
      </c>
      <c r="G5001" t="s">
        <v>23</v>
      </c>
      <c r="K5001" cm="1">
        <f t="array" ref="K5001">_xlfn.SWITCH(LeadsData[[#This Row],[Funnel Stage Reached]],"Lead",1,"MQL",2,"SQL",3,"Customer",4)</f>
        <v>2</v>
      </c>
      <c r="L5001" t="str">
        <f>TEXT(LeadsData[[#This Row],[Signup Date]],"mmm-yyyy")</f>
        <v>Apr-2024</v>
      </c>
      <c r="M5001">
        <f>IF(LeadsData[[#This Row],[Stage Number]]&gt;=2,1,0)</f>
        <v>1</v>
      </c>
      <c r="N5001" s="2">
        <f>IF(LeadsData[[#This Row],[Stage Number]]&gt;=3,1,0)</f>
        <v>0</v>
      </c>
      <c r="O5001" s="2">
        <f>IF(LeadsData[[#This Row],[Stage Number]]&gt;=4,1,0)</f>
        <v>0</v>
      </c>
    </row>
    <row r="5002" spans="1:15" x14ac:dyDescent="0.25">
      <c r="A5002" t="s">
        <v>5042</v>
      </c>
      <c r="B5002" s="1">
        <v>45506</v>
      </c>
      <c r="C5002" t="s">
        <v>17</v>
      </c>
      <c r="D5002" t="s">
        <v>18</v>
      </c>
      <c r="E5002" t="s">
        <v>13</v>
      </c>
      <c r="F5002" t="s">
        <v>19</v>
      </c>
      <c r="G5002" t="s">
        <v>15</v>
      </c>
      <c r="K5002" cm="1">
        <f t="array" ref="K5002">_xlfn.SWITCH(LeadsData[[#This Row],[Funnel Stage Reached]],"Lead",1,"MQL",2,"SQL",3,"Customer",4)</f>
        <v>1</v>
      </c>
      <c r="L5002" t="str">
        <f>TEXT(LeadsData[[#This Row],[Signup Date]],"mmm-yyyy")</f>
        <v>Aug-2024</v>
      </c>
      <c r="M5002">
        <f>IF(LeadsData[[#This Row],[Stage Number]]&gt;=2,1,0)</f>
        <v>0</v>
      </c>
      <c r="N5002" s="2">
        <f>IF(LeadsData[[#This Row],[Stage Number]]&gt;=3,1,0)</f>
        <v>0</v>
      </c>
      <c r="O5002" s="2">
        <f>IF(LeadsData[[#This Row],[Stage Number]]&gt;=4,1,0)</f>
        <v>0</v>
      </c>
    </row>
    <row r="5003" spans="1:15" x14ac:dyDescent="0.25">
      <c r="A5003" t="s">
        <v>5043</v>
      </c>
      <c r="B5003" s="1">
        <v>45643</v>
      </c>
      <c r="C5003" t="s">
        <v>31</v>
      </c>
      <c r="D5003" t="s">
        <v>32</v>
      </c>
      <c r="E5003" t="s">
        <v>13</v>
      </c>
      <c r="F5003" t="s">
        <v>22</v>
      </c>
      <c r="G5003" t="s">
        <v>15</v>
      </c>
      <c r="K5003" cm="1">
        <f t="array" ref="K5003">_xlfn.SWITCH(LeadsData[[#This Row],[Funnel Stage Reached]],"Lead",1,"MQL",2,"SQL",3,"Customer",4)</f>
        <v>1</v>
      </c>
      <c r="L5003" t="str">
        <f>TEXT(LeadsData[[#This Row],[Signup Date]],"mmm-yyyy")</f>
        <v>Dec-2024</v>
      </c>
      <c r="M5003">
        <f>IF(LeadsData[[#This Row],[Stage Number]]&gt;=2,1,0)</f>
        <v>0</v>
      </c>
      <c r="N5003" s="2">
        <f>IF(LeadsData[[#This Row],[Stage Number]]&gt;=3,1,0)</f>
        <v>0</v>
      </c>
      <c r="O5003" s="2">
        <f>IF(LeadsData[[#This Row],[Stage Number]]&gt;=4,1,0)</f>
        <v>0</v>
      </c>
    </row>
    <row r="5004" spans="1:15" x14ac:dyDescent="0.25">
      <c r="A5004" t="s">
        <v>5044</v>
      </c>
      <c r="B5004" s="1">
        <v>45397</v>
      </c>
      <c r="C5004" t="s">
        <v>31</v>
      </c>
      <c r="D5004" t="s">
        <v>34</v>
      </c>
      <c r="E5004" t="s">
        <v>21</v>
      </c>
      <c r="F5004" t="s">
        <v>19</v>
      </c>
      <c r="G5004" t="s">
        <v>29</v>
      </c>
      <c r="K5004" cm="1">
        <f t="array" ref="K5004">_xlfn.SWITCH(LeadsData[[#This Row],[Funnel Stage Reached]],"Lead",1,"MQL",2,"SQL",3,"Customer",4)</f>
        <v>3</v>
      </c>
      <c r="L5004" t="str">
        <f>TEXT(LeadsData[[#This Row],[Signup Date]],"mmm-yyyy")</f>
        <v>Apr-2024</v>
      </c>
      <c r="M5004">
        <f>IF(LeadsData[[#This Row],[Stage Number]]&gt;=2,1,0)</f>
        <v>1</v>
      </c>
      <c r="N5004" s="2">
        <f>IF(LeadsData[[#This Row],[Stage Number]]&gt;=3,1,0)</f>
        <v>1</v>
      </c>
      <c r="O5004" s="2">
        <f>IF(LeadsData[[#This Row],[Stage Number]]&gt;=4,1,0)</f>
        <v>0</v>
      </c>
    </row>
    <row r="5005" spans="1:15" x14ac:dyDescent="0.25">
      <c r="A5005" t="s">
        <v>5045</v>
      </c>
      <c r="B5005" s="1">
        <v>45325</v>
      </c>
      <c r="C5005" t="s">
        <v>31</v>
      </c>
      <c r="D5005" t="s">
        <v>32</v>
      </c>
      <c r="E5005" t="s">
        <v>13</v>
      </c>
      <c r="F5005" t="s">
        <v>19</v>
      </c>
      <c r="G5005" t="s">
        <v>15</v>
      </c>
      <c r="K5005" cm="1">
        <f t="array" ref="K5005">_xlfn.SWITCH(LeadsData[[#This Row],[Funnel Stage Reached]],"Lead",1,"MQL",2,"SQL",3,"Customer",4)</f>
        <v>1</v>
      </c>
      <c r="L5005" t="str">
        <f>TEXT(LeadsData[[#This Row],[Signup Date]],"mmm-yyyy")</f>
        <v>Feb-2024</v>
      </c>
      <c r="M5005">
        <f>IF(LeadsData[[#This Row],[Stage Number]]&gt;=2,1,0)</f>
        <v>0</v>
      </c>
      <c r="N5005" s="2">
        <f>IF(LeadsData[[#This Row],[Stage Number]]&gt;=3,1,0)</f>
        <v>0</v>
      </c>
      <c r="O5005" s="2">
        <f>IF(LeadsData[[#This Row],[Stage Number]]&gt;=4,1,0)</f>
        <v>0</v>
      </c>
    </row>
    <row r="5006" spans="1:15" x14ac:dyDescent="0.25">
      <c r="A5006" t="s">
        <v>5046</v>
      </c>
      <c r="B5006" s="1">
        <v>45335</v>
      </c>
      <c r="C5006" t="s">
        <v>31</v>
      </c>
      <c r="D5006" t="s">
        <v>34</v>
      </c>
      <c r="E5006" t="s">
        <v>13</v>
      </c>
      <c r="F5006" t="s">
        <v>22</v>
      </c>
      <c r="G5006" t="s">
        <v>29</v>
      </c>
      <c r="K5006" cm="1">
        <f t="array" ref="K5006">_xlfn.SWITCH(LeadsData[[#This Row],[Funnel Stage Reached]],"Lead",1,"MQL",2,"SQL",3,"Customer",4)</f>
        <v>3</v>
      </c>
      <c r="L5006" t="str">
        <f>TEXT(LeadsData[[#This Row],[Signup Date]],"mmm-yyyy")</f>
        <v>Feb-2024</v>
      </c>
      <c r="M5006">
        <f>IF(LeadsData[[#This Row],[Stage Number]]&gt;=2,1,0)</f>
        <v>1</v>
      </c>
      <c r="N5006" s="2">
        <f>IF(LeadsData[[#This Row],[Stage Number]]&gt;=3,1,0)</f>
        <v>1</v>
      </c>
      <c r="O5006" s="2">
        <f>IF(LeadsData[[#This Row],[Stage Number]]&gt;=4,1,0)</f>
        <v>0</v>
      </c>
    </row>
    <row r="5007" spans="1:15" x14ac:dyDescent="0.25">
      <c r="A5007" t="s">
        <v>5047</v>
      </c>
      <c r="B5007" s="1">
        <v>45618</v>
      </c>
      <c r="C5007" t="s">
        <v>36</v>
      </c>
      <c r="D5007" t="s">
        <v>37</v>
      </c>
      <c r="E5007" t="s">
        <v>13</v>
      </c>
      <c r="F5007" t="s">
        <v>22</v>
      </c>
      <c r="G5007" t="s">
        <v>29</v>
      </c>
      <c r="K5007" cm="1">
        <f t="array" ref="K5007">_xlfn.SWITCH(LeadsData[[#This Row],[Funnel Stage Reached]],"Lead",1,"MQL",2,"SQL",3,"Customer",4)</f>
        <v>3</v>
      </c>
      <c r="L5007" t="str">
        <f>TEXT(LeadsData[[#This Row],[Signup Date]],"mmm-yyyy")</f>
        <v>Nov-2024</v>
      </c>
      <c r="M5007">
        <f>IF(LeadsData[[#This Row],[Stage Number]]&gt;=2,1,0)</f>
        <v>1</v>
      </c>
      <c r="N5007" s="2">
        <f>IF(LeadsData[[#This Row],[Stage Number]]&gt;=3,1,0)</f>
        <v>1</v>
      </c>
      <c r="O5007" s="2">
        <f>IF(LeadsData[[#This Row],[Stage Number]]&gt;=4,1,0)</f>
        <v>0</v>
      </c>
    </row>
    <row r="5008" spans="1:15" x14ac:dyDescent="0.25">
      <c r="A5008" t="s">
        <v>5048</v>
      </c>
      <c r="B5008" s="1">
        <v>45402</v>
      </c>
      <c r="C5008" t="s">
        <v>31</v>
      </c>
      <c r="D5008" t="s">
        <v>34</v>
      </c>
      <c r="E5008" t="s">
        <v>13</v>
      </c>
      <c r="F5008" t="s">
        <v>19</v>
      </c>
      <c r="G5008" t="s">
        <v>23</v>
      </c>
      <c r="K5008" cm="1">
        <f t="array" ref="K5008">_xlfn.SWITCH(LeadsData[[#This Row],[Funnel Stage Reached]],"Lead",1,"MQL",2,"SQL",3,"Customer",4)</f>
        <v>2</v>
      </c>
      <c r="L5008" t="str">
        <f>TEXT(LeadsData[[#This Row],[Signup Date]],"mmm-yyyy")</f>
        <v>Apr-2024</v>
      </c>
      <c r="M5008">
        <f>IF(LeadsData[[#This Row],[Stage Number]]&gt;=2,1,0)</f>
        <v>1</v>
      </c>
      <c r="N5008" s="2">
        <f>IF(LeadsData[[#This Row],[Stage Number]]&gt;=3,1,0)</f>
        <v>0</v>
      </c>
      <c r="O5008" s="2">
        <f>IF(LeadsData[[#This Row],[Stage Number]]&gt;=4,1,0)</f>
        <v>0</v>
      </c>
    </row>
    <row r="5009" spans="1:15" x14ac:dyDescent="0.25">
      <c r="A5009" t="s">
        <v>5049</v>
      </c>
      <c r="B5009" s="1">
        <v>45398</v>
      </c>
      <c r="C5009" t="s">
        <v>25</v>
      </c>
      <c r="D5009" t="s">
        <v>26</v>
      </c>
      <c r="E5009" t="s">
        <v>13</v>
      </c>
      <c r="F5009" t="s">
        <v>19</v>
      </c>
      <c r="G5009" t="s">
        <v>15</v>
      </c>
      <c r="K5009" cm="1">
        <f t="array" ref="K5009">_xlfn.SWITCH(LeadsData[[#This Row],[Funnel Stage Reached]],"Lead",1,"MQL",2,"SQL",3,"Customer",4)</f>
        <v>1</v>
      </c>
      <c r="L5009" t="str">
        <f>TEXT(LeadsData[[#This Row],[Signup Date]],"mmm-yyyy")</f>
        <v>Apr-2024</v>
      </c>
      <c r="M5009">
        <f>IF(LeadsData[[#This Row],[Stage Number]]&gt;=2,1,0)</f>
        <v>0</v>
      </c>
      <c r="N5009" s="2">
        <f>IF(LeadsData[[#This Row],[Stage Number]]&gt;=3,1,0)</f>
        <v>0</v>
      </c>
      <c r="O5009" s="2">
        <f>IF(LeadsData[[#This Row],[Stage Number]]&gt;=4,1,0)</f>
        <v>0</v>
      </c>
    </row>
    <row r="5010" spans="1:15" x14ac:dyDescent="0.25">
      <c r="A5010" t="s">
        <v>5050</v>
      </c>
      <c r="B5010" s="1">
        <v>45477</v>
      </c>
      <c r="C5010" t="s">
        <v>11</v>
      </c>
      <c r="D5010" t="s">
        <v>68</v>
      </c>
      <c r="E5010" t="s">
        <v>21</v>
      </c>
      <c r="F5010" t="s">
        <v>14</v>
      </c>
      <c r="G5010" t="s">
        <v>42</v>
      </c>
      <c r="H5010">
        <v>22</v>
      </c>
      <c r="I5010" t="s">
        <v>43</v>
      </c>
      <c r="J5010">
        <v>599.78</v>
      </c>
      <c r="K5010" cm="1">
        <f t="array" ref="K5010">_xlfn.SWITCH(LeadsData[[#This Row],[Funnel Stage Reached]],"Lead",1,"MQL",2,"SQL",3,"Customer",4)</f>
        <v>4</v>
      </c>
      <c r="L5010" t="str">
        <f>TEXT(LeadsData[[#This Row],[Signup Date]],"mmm-yyyy")</f>
        <v>Jul-2024</v>
      </c>
      <c r="M5010">
        <f>IF(LeadsData[[#This Row],[Stage Number]]&gt;=2,1,0)</f>
        <v>1</v>
      </c>
      <c r="N5010" s="2">
        <f>IF(LeadsData[[#This Row],[Stage Number]]&gt;=3,1,0)</f>
        <v>1</v>
      </c>
      <c r="O5010" s="2">
        <f>IF(LeadsData[[#This Row],[Stage Number]]&gt;=4,1,0)</f>
        <v>1</v>
      </c>
    </row>
    <row r="5011" spans="1:15" x14ac:dyDescent="0.25">
      <c r="A5011" t="s">
        <v>5051</v>
      </c>
      <c r="B5011" s="1">
        <v>45525</v>
      </c>
      <c r="C5011" t="s">
        <v>17</v>
      </c>
      <c r="D5011" t="s">
        <v>53</v>
      </c>
      <c r="E5011" t="s">
        <v>21</v>
      </c>
      <c r="F5011" t="s">
        <v>19</v>
      </c>
      <c r="G5011" t="s">
        <v>15</v>
      </c>
      <c r="K5011" cm="1">
        <f t="array" ref="K5011">_xlfn.SWITCH(LeadsData[[#This Row],[Funnel Stage Reached]],"Lead",1,"MQL",2,"SQL",3,"Customer",4)</f>
        <v>1</v>
      </c>
      <c r="L5011" t="str">
        <f>TEXT(LeadsData[[#This Row],[Signup Date]],"mmm-yyyy")</f>
        <v>Aug-2024</v>
      </c>
      <c r="M5011">
        <f>IF(LeadsData[[#This Row],[Stage Number]]&gt;=2,1,0)</f>
        <v>0</v>
      </c>
      <c r="N5011" s="2">
        <f>IF(LeadsData[[#This Row],[Stage Number]]&gt;=3,1,0)</f>
        <v>0</v>
      </c>
      <c r="O5011" s="2">
        <f>IF(LeadsData[[#This Row],[Stage Number]]&gt;=4,1,0)</f>
        <v>0</v>
      </c>
    </row>
    <row r="5012" spans="1:15" x14ac:dyDescent="0.25">
      <c r="A5012" t="s">
        <v>5052</v>
      </c>
      <c r="B5012" s="1">
        <v>45329</v>
      </c>
      <c r="C5012" t="s">
        <v>25</v>
      </c>
      <c r="D5012" t="s">
        <v>26</v>
      </c>
      <c r="E5012" t="s">
        <v>13</v>
      </c>
      <c r="F5012" t="s">
        <v>19</v>
      </c>
      <c r="G5012" t="s">
        <v>15</v>
      </c>
      <c r="K5012" cm="1">
        <f t="array" ref="K5012">_xlfn.SWITCH(LeadsData[[#This Row],[Funnel Stage Reached]],"Lead",1,"MQL",2,"SQL",3,"Customer",4)</f>
        <v>1</v>
      </c>
      <c r="L5012" t="str">
        <f>TEXT(LeadsData[[#This Row],[Signup Date]],"mmm-yyyy")</f>
        <v>Feb-2024</v>
      </c>
      <c r="M5012">
        <f>IF(LeadsData[[#This Row],[Stage Number]]&gt;=2,1,0)</f>
        <v>0</v>
      </c>
      <c r="N5012" s="2">
        <f>IF(LeadsData[[#This Row],[Stage Number]]&gt;=3,1,0)</f>
        <v>0</v>
      </c>
      <c r="O5012" s="2">
        <f>IF(LeadsData[[#This Row],[Stage Number]]&gt;=4,1,0)</f>
        <v>0</v>
      </c>
    </row>
    <row r="5013" spans="1:15" x14ac:dyDescent="0.25">
      <c r="A5013" t="s">
        <v>5053</v>
      </c>
      <c r="B5013" s="1">
        <v>45532</v>
      </c>
      <c r="C5013" t="s">
        <v>25</v>
      </c>
      <c r="D5013" t="s">
        <v>26</v>
      </c>
      <c r="E5013" t="s">
        <v>13</v>
      </c>
      <c r="F5013" t="s">
        <v>19</v>
      </c>
      <c r="G5013" t="s">
        <v>15</v>
      </c>
      <c r="K5013" cm="1">
        <f t="array" ref="K5013">_xlfn.SWITCH(LeadsData[[#This Row],[Funnel Stage Reached]],"Lead",1,"MQL",2,"SQL",3,"Customer",4)</f>
        <v>1</v>
      </c>
      <c r="L5013" t="str">
        <f>TEXT(LeadsData[[#This Row],[Signup Date]],"mmm-yyyy")</f>
        <v>Aug-2024</v>
      </c>
      <c r="M5013">
        <f>IF(LeadsData[[#This Row],[Stage Number]]&gt;=2,1,0)</f>
        <v>0</v>
      </c>
      <c r="N5013" s="2">
        <f>IF(LeadsData[[#This Row],[Stage Number]]&gt;=3,1,0)</f>
        <v>0</v>
      </c>
      <c r="O5013" s="2">
        <f>IF(LeadsData[[#This Row],[Stage Number]]&gt;=4,1,0)</f>
        <v>0</v>
      </c>
    </row>
    <row r="5014" spans="1:15" x14ac:dyDescent="0.25">
      <c r="A5014" t="s">
        <v>5054</v>
      </c>
      <c r="B5014" s="1">
        <v>45578</v>
      </c>
      <c r="C5014" t="s">
        <v>31</v>
      </c>
      <c r="D5014" t="s">
        <v>34</v>
      </c>
      <c r="E5014" t="s">
        <v>13</v>
      </c>
      <c r="F5014" t="s">
        <v>22</v>
      </c>
      <c r="G5014" t="s">
        <v>23</v>
      </c>
      <c r="K5014" cm="1">
        <f t="array" ref="K5014">_xlfn.SWITCH(LeadsData[[#This Row],[Funnel Stage Reached]],"Lead",1,"MQL",2,"SQL",3,"Customer",4)</f>
        <v>2</v>
      </c>
      <c r="L5014" t="str">
        <f>TEXT(LeadsData[[#This Row],[Signup Date]],"mmm-yyyy")</f>
        <v>Oct-2024</v>
      </c>
      <c r="M5014">
        <f>IF(LeadsData[[#This Row],[Stage Number]]&gt;=2,1,0)</f>
        <v>1</v>
      </c>
      <c r="N5014" s="2">
        <f>IF(LeadsData[[#This Row],[Stage Number]]&gt;=3,1,0)</f>
        <v>0</v>
      </c>
      <c r="O5014" s="2">
        <f>IF(LeadsData[[#This Row],[Stage Number]]&gt;=4,1,0)</f>
        <v>0</v>
      </c>
    </row>
    <row r="5015" spans="1:15" x14ac:dyDescent="0.25">
      <c r="A5015" t="s">
        <v>5055</v>
      </c>
      <c r="B5015" s="1">
        <v>45635</v>
      </c>
      <c r="C5015" t="s">
        <v>17</v>
      </c>
      <c r="D5015" t="s">
        <v>18</v>
      </c>
      <c r="E5015" t="s">
        <v>13</v>
      </c>
      <c r="F5015" t="s">
        <v>22</v>
      </c>
      <c r="G5015" t="s">
        <v>23</v>
      </c>
      <c r="K5015" cm="1">
        <f t="array" ref="K5015">_xlfn.SWITCH(LeadsData[[#This Row],[Funnel Stage Reached]],"Lead",1,"MQL",2,"SQL",3,"Customer",4)</f>
        <v>2</v>
      </c>
      <c r="L5015" t="str">
        <f>TEXT(LeadsData[[#This Row],[Signup Date]],"mmm-yyyy")</f>
        <v>Dec-2024</v>
      </c>
      <c r="M5015">
        <f>IF(LeadsData[[#This Row],[Stage Number]]&gt;=2,1,0)</f>
        <v>1</v>
      </c>
      <c r="N5015" s="2">
        <f>IF(LeadsData[[#This Row],[Stage Number]]&gt;=3,1,0)</f>
        <v>0</v>
      </c>
      <c r="O5015" s="2">
        <f>IF(LeadsData[[#This Row],[Stage Number]]&gt;=4,1,0)</f>
        <v>0</v>
      </c>
    </row>
    <row r="5016" spans="1:15" x14ac:dyDescent="0.25">
      <c r="A5016" t="s">
        <v>5056</v>
      </c>
      <c r="B5016" s="1">
        <v>45560</v>
      </c>
      <c r="C5016" t="s">
        <v>17</v>
      </c>
      <c r="D5016" t="s">
        <v>18</v>
      </c>
      <c r="E5016" t="s">
        <v>21</v>
      </c>
      <c r="F5016" t="s">
        <v>19</v>
      </c>
      <c r="G5016" t="s">
        <v>15</v>
      </c>
      <c r="K5016" cm="1">
        <f t="array" ref="K5016">_xlfn.SWITCH(LeadsData[[#This Row],[Funnel Stage Reached]],"Lead",1,"MQL",2,"SQL",3,"Customer",4)</f>
        <v>1</v>
      </c>
      <c r="L5016" t="str">
        <f>TEXT(LeadsData[[#This Row],[Signup Date]],"mmm-yyyy")</f>
        <v>Sep-2024</v>
      </c>
      <c r="M5016">
        <f>IF(LeadsData[[#This Row],[Stage Number]]&gt;=2,1,0)</f>
        <v>0</v>
      </c>
      <c r="N5016" s="2">
        <f>IF(LeadsData[[#This Row],[Stage Number]]&gt;=3,1,0)</f>
        <v>0</v>
      </c>
      <c r="O5016" s="2">
        <f>IF(LeadsData[[#This Row],[Stage Number]]&gt;=4,1,0)</f>
        <v>0</v>
      </c>
    </row>
    <row r="5017" spans="1:15" x14ac:dyDescent="0.25">
      <c r="A5017" t="s">
        <v>5057</v>
      </c>
      <c r="B5017" s="1">
        <v>45552</v>
      </c>
      <c r="C5017" t="s">
        <v>46</v>
      </c>
      <c r="D5017" t="s">
        <v>47</v>
      </c>
      <c r="E5017" t="s">
        <v>21</v>
      </c>
      <c r="F5017" t="s">
        <v>19</v>
      </c>
      <c r="G5017" t="s">
        <v>15</v>
      </c>
      <c r="K5017" cm="1">
        <f t="array" ref="K5017">_xlfn.SWITCH(LeadsData[[#This Row],[Funnel Stage Reached]],"Lead",1,"MQL",2,"SQL",3,"Customer",4)</f>
        <v>1</v>
      </c>
      <c r="L5017" t="str">
        <f>TEXT(LeadsData[[#This Row],[Signup Date]],"mmm-yyyy")</f>
        <v>Sep-2024</v>
      </c>
      <c r="M5017">
        <f>IF(LeadsData[[#This Row],[Stage Number]]&gt;=2,1,0)</f>
        <v>0</v>
      </c>
      <c r="N5017" s="2">
        <f>IF(LeadsData[[#This Row],[Stage Number]]&gt;=3,1,0)</f>
        <v>0</v>
      </c>
      <c r="O5017" s="2">
        <f>IF(LeadsData[[#This Row],[Stage Number]]&gt;=4,1,0)</f>
        <v>0</v>
      </c>
    </row>
    <row r="5018" spans="1:15" x14ac:dyDescent="0.25">
      <c r="A5018" t="s">
        <v>5058</v>
      </c>
      <c r="B5018" s="1">
        <v>45607</v>
      </c>
      <c r="C5018" t="s">
        <v>36</v>
      </c>
      <c r="D5018" t="s">
        <v>37</v>
      </c>
      <c r="E5018" t="s">
        <v>21</v>
      </c>
      <c r="F5018" t="s">
        <v>19</v>
      </c>
      <c r="G5018" t="s">
        <v>15</v>
      </c>
      <c r="K5018" cm="1">
        <f t="array" ref="K5018">_xlfn.SWITCH(LeadsData[[#This Row],[Funnel Stage Reached]],"Lead",1,"MQL",2,"SQL",3,"Customer",4)</f>
        <v>1</v>
      </c>
      <c r="L5018" t="str">
        <f>TEXT(LeadsData[[#This Row],[Signup Date]],"mmm-yyyy")</f>
        <v>Nov-2024</v>
      </c>
      <c r="M5018">
        <f>IF(LeadsData[[#This Row],[Stage Number]]&gt;=2,1,0)</f>
        <v>0</v>
      </c>
      <c r="N5018" s="2">
        <f>IF(LeadsData[[#This Row],[Stage Number]]&gt;=3,1,0)</f>
        <v>0</v>
      </c>
      <c r="O5018" s="2">
        <f>IF(LeadsData[[#This Row],[Stage Number]]&gt;=4,1,0)</f>
        <v>0</v>
      </c>
    </row>
    <row r="5019" spans="1:15" x14ac:dyDescent="0.25">
      <c r="A5019" t="s">
        <v>5059</v>
      </c>
      <c r="B5019" s="1">
        <v>45562</v>
      </c>
      <c r="C5019" t="s">
        <v>46</v>
      </c>
      <c r="D5019" t="s">
        <v>47</v>
      </c>
      <c r="E5019" t="s">
        <v>13</v>
      </c>
      <c r="F5019" t="s">
        <v>22</v>
      </c>
      <c r="G5019" t="s">
        <v>29</v>
      </c>
      <c r="K5019" cm="1">
        <f t="array" ref="K5019">_xlfn.SWITCH(LeadsData[[#This Row],[Funnel Stage Reached]],"Lead",1,"MQL",2,"SQL",3,"Customer",4)</f>
        <v>3</v>
      </c>
      <c r="L5019" t="str">
        <f>TEXT(LeadsData[[#This Row],[Signup Date]],"mmm-yyyy")</f>
        <v>Sep-2024</v>
      </c>
      <c r="M5019">
        <f>IF(LeadsData[[#This Row],[Stage Number]]&gt;=2,1,0)</f>
        <v>1</v>
      </c>
      <c r="N5019" s="2">
        <f>IF(LeadsData[[#This Row],[Stage Number]]&gt;=3,1,0)</f>
        <v>1</v>
      </c>
      <c r="O5019" s="2">
        <f>IF(LeadsData[[#This Row],[Stage Number]]&gt;=4,1,0)</f>
        <v>0</v>
      </c>
    </row>
    <row r="5020" spans="1:15" x14ac:dyDescent="0.25">
      <c r="A5020" t="s">
        <v>5060</v>
      </c>
      <c r="B5020" s="1">
        <v>45364</v>
      </c>
      <c r="C5020" t="s">
        <v>46</v>
      </c>
      <c r="D5020" t="s">
        <v>56</v>
      </c>
      <c r="E5020" t="s">
        <v>21</v>
      </c>
      <c r="F5020" t="s">
        <v>22</v>
      </c>
      <c r="G5020" t="s">
        <v>15</v>
      </c>
      <c r="K5020" cm="1">
        <f t="array" ref="K5020">_xlfn.SWITCH(LeadsData[[#This Row],[Funnel Stage Reached]],"Lead",1,"MQL",2,"SQL",3,"Customer",4)</f>
        <v>1</v>
      </c>
      <c r="L5020" t="str">
        <f>TEXT(LeadsData[[#This Row],[Signup Date]],"mmm-yyyy")</f>
        <v>Mar-2024</v>
      </c>
      <c r="M5020">
        <f>IF(LeadsData[[#This Row],[Stage Number]]&gt;=2,1,0)</f>
        <v>0</v>
      </c>
      <c r="N5020" s="2">
        <f>IF(LeadsData[[#This Row],[Stage Number]]&gt;=3,1,0)</f>
        <v>0</v>
      </c>
      <c r="O5020" s="2">
        <f>IF(LeadsData[[#This Row],[Stage Number]]&gt;=4,1,0)</f>
        <v>0</v>
      </c>
    </row>
    <row r="5021" spans="1:15" x14ac:dyDescent="0.25">
      <c r="A5021" t="s">
        <v>5061</v>
      </c>
      <c r="B5021" s="1">
        <v>45572</v>
      </c>
      <c r="C5021" t="s">
        <v>36</v>
      </c>
      <c r="D5021" t="s">
        <v>50</v>
      </c>
      <c r="E5021" t="s">
        <v>48</v>
      </c>
      <c r="F5021" t="s">
        <v>14</v>
      </c>
      <c r="G5021" t="s">
        <v>23</v>
      </c>
      <c r="K5021" cm="1">
        <f t="array" ref="K5021">_xlfn.SWITCH(LeadsData[[#This Row],[Funnel Stage Reached]],"Lead",1,"MQL",2,"SQL",3,"Customer",4)</f>
        <v>2</v>
      </c>
      <c r="L5021" t="str">
        <f>TEXT(LeadsData[[#This Row],[Signup Date]],"mmm-yyyy")</f>
        <v>Oct-2024</v>
      </c>
      <c r="M5021">
        <f>IF(LeadsData[[#This Row],[Stage Number]]&gt;=2,1,0)</f>
        <v>1</v>
      </c>
      <c r="N5021" s="2">
        <f>IF(LeadsData[[#This Row],[Stage Number]]&gt;=3,1,0)</f>
        <v>0</v>
      </c>
      <c r="O5021" s="2">
        <f>IF(LeadsData[[#This Row],[Stage Number]]&gt;=4,1,0)</f>
        <v>0</v>
      </c>
    </row>
    <row r="5022" spans="1:15" x14ac:dyDescent="0.25">
      <c r="A5022" t="s">
        <v>5062</v>
      </c>
      <c r="B5022" s="1">
        <v>45484</v>
      </c>
      <c r="C5022" t="s">
        <v>25</v>
      </c>
      <c r="D5022" t="s">
        <v>26</v>
      </c>
      <c r="E5022" t="s">
        <v>21</v>
      </c>
      <c r="F5022" t="s">
        <v>19</v>
      </c>
      <c r="G5022" t="s">
        <v>15</v>
      </c>
      <c r="K5022" cm="1">
        <f t="array" ref="K5022">_xlfn.SWITCH(LeadsData[[#This Row],[Funnel Stage Reached]],"Lead",1,"MQL",2,"SQL",3,"Customer",4)</f>
        <v>1</v>
      </c>
      <c r="L5022" t="str">
        <f>TEXT(LeadsData[[#This Row],[Signup Date]],"mmm-yyyy")</f>
        <v>Jul-2024</v>
      </c>
      <c r="M5022">
        <f>IF(LeadsData[[#This Row],[Stage Number]]&gt;=2,1,0)</f>
        <v>0</v>
      </c>
      <c r="N5022" s="2">
        <f>IF(LeadsData[[#This Row],[Stage Number]]&gt;=3,1,0)</f>
        <v>0</v>
      </c>
      <c r="O5022" s="2">
        <f>IF(LeadsData[[#This Row],[Stage Number]]&gt;=4,1,0)</f>
        <v>0</v>
      </c>
    </row>
    <row r="5023" spans="1:15" x14ac:dyDescent="0.25">
      <c r="A5023" t="s">
        <v>5063</v>
      </c>
      <c r="B5023" s="1">
        <v>45634</v>
      </c>
      <c r="C5023" t="s">
        <v>46</v>
      </c>
      <c r="D5023" t="s">
        <v>47</v>
      </c>
      <c r="E5023" t="s">
        <v>13</v>
      </c>
      <c r="F5023" t="s">
        <v>19</v>
      </c>
      <c r="G5023" t="s">
        <v>15</v>
      </c>
      <c r="K5023" cm="1">
        <f t="array" ref="K5023">_xlfn.SWITCH(LeadsData[[#This Row],[Funnel Stage Reached]],"Lead",1,"MQL",2,"SQL",3,"Customer",4)</f>
        <v>1</v>
      </c>
      <c r="L5023" t="str">
        <f>TEXT(LeadsData[[#This Row],[Signup Date]],"mmm-yyyy")</f>
        <v>Dec-2024</v>
      </c>
      <c r="M5023">
        <f>IF(LeadsData[[#This Row],[Stage Number]]&gt;=2,1,0)</f>
        <v>0</v>
      </c>
      <c r="N5023" s="2">
        <f>IF(LeadsData[[#This Row],[Stage Number]]&gt;=3,1,0)</f>
        <v>0</v>
      </c>
      <c r="O5023" s="2">
        <f>IF(LeadsData[[#This Row],[Stage Number]]&gt;=4,1,0)</f>
        <v>0</v>
      </c>
    </row>
    <row r="5024" spans="1:15" x14ac:dyDescent="0.25">
      <c r="A5024" t="s">
        <v>5064</v>
      </c>
      <c r="B5024" s="1">
        <v>45530</v>
      </c>
      <c r="C5024" t="s">
        <v>31</v>
      </c>
      <c r="D5024" t="s">
        <v>34</v>
      </c>
      <c r="E5024" t="s">
        <v>21</v>
      </c>
      <c r="F5024" t="s">
        <v>14</v>
      </c>
      <c r="G5024" t="s">
        <v>15</v>
      </c>
      <c r="K5024" cm="1">
        <f t="array" ref="K5024">_xlfn.SWITCH(LeadsData[[#This Row],[Funnel Stage Reached]],"Lead",1,"MQL",2,"SQL",3,"Customer",4)</f>
        <v>1</v>
      </c>
      <c r="L5024" t="str">
        <f>TEXT(LeadsData[[#This Row],[Signup Date]],"mmm-yyyy")</f>
        <v>Aug-2024</v>
      </c>
      <c r="M5024">
        <f>IF(LeadsData[[#This Row],[Stage Number]]&gt;=2,1,0)</f>
        <v>0</v>
      </c>
      <c r="N5024" s="2">
        <f>IF(LeadsData[[#This Row],[Stage Number]]&gt;=3,1,0)</f>
        <v>0</v>
      </c>
      <c r="O5024" s="2">
        <f>IF(LeadsData[[#This Row],[Stage Number]]&gt;=4,1,0)</f>
        <v>0</v>
      </c>
    </row>
    <row r="5025" spans="1:15" x14ac:dyDescent="0.25">
      <c r="A5025" t="s">
        <v>5065</v>
      </c>
      <c r="B5025" s="1">
        <v>45643</v>
      </c>
      <c r="C5025" t="s">
        <v>25</v>
      </c>
      <c r="D5025" t="s">
        <v>26</v>
      </c>
      <c r="E5025" t="s">
        <v>13</v>
      </c>
      <c r="F5025" t="s">
        <v>19</v>
      </c>
      <c r="G5025" t="s">
        <v>15</v>
      </c>
      <c r="K5025" cm="1">
        <f t="array" ref="K5025">_xlfn.SWITCH(LeadsData[[#This Row],[Funnel Stage Reached]],"Lead",1,"MQL",2,"SQL",3,"Customer",4)</f>
        <v>1</v>
      </c>
      <c r="L5025" t="str">
        <f>TEXT(LeadsData[[#This Row],[Signup Date]],"mmm-yyyy")</f>
        <v>Dec-2024</v>
      </c>
      <c r="M5025">
        <f>IF(LeadsData[[#This Row],[Stage Number]]&gt;=2,1,0)</f>
        <v>0</v>
      </c>
      <c r="N5025" s="2">
        <f>IF(LeadsData[[#This Row],[Stage Number]]&gt;=3,1,0)</f>
        <v>0</v>
      </c>
      <c r="O5025" s="2">
        <f>IF(LeadsData[[#This Row],[Stage Number]]&gt;=4,1,0)</f>
        <v>0</v>
      </c>
    </row>
    <row r="5026" spans="1:15" x14ac:dyDescent="0.25">
      <c r="A5026" t="s">
        <v>5066</v>
      </c>
      <c r="B5026" s="1">
        <v>45485</v>
      </c>
      <c r="C5026" t="s">
        <v>46</v>
      </c>
      <c r="D5026" t="s">
        <v>47</v>
      </c>
      <c r="E5026" t="s">
        <v>21</v>
      </c>
      <c r="F5026" t="s">
        <v>19</v>
      </c>
      <c r="G5026" t="s">
        <v>29</v>
      </c>
      <c r="K5026" cm="1">
        <f t="array" ref="K5026">_xlfn.SWITCH(LeadsData[[#This Row],[Funnel Stage Reached]],"Lead",1,"MQL",2,"SQL",3,"Customer",4)</f>
        <v>3</v>
      </c>
      <c r="L5026" t="str">
        <f>TEXT(LeadsData[[#This Row],[Signup Date]],"mmm-yyyy")</f>
        <v>Jul-2024</v>
      </c>
      <c r="M5026">
        <f>IF(LeadsData[[#This Row],[Stage Number]]&gt;=2,1,0)</f>
        <v>1</v>
      </c>
      <c r="N5026" s="2">
        <f>IF(LeadsData[[#This Row],[Stage Number]]&gt;=3,1,0)</f>
        <v>1</v>
      </c>
      <c r="O5026" s="2">
        <f>IF(LeadsData[[#This Row],[Stage Number]]&gt;=4,1,0)</f>
        <v>0</v>
      </c>
    </row>
    <row r="5027" spans="1:15" x14ac:dyDescent="0.25">
      <c r="A5027" t="s">
        <v>5067</v>
      </c>
      <c r="B5027" s="1">
        <v>45475</v>
      </c>
      <c r="C5027" t="s">
        <v>17</v>
      </c>
      <c r="D5027" t="s">
        <v>53</v>
      </c>
      <c r="E5027" t="s">
        <v>13</v>
      </c>
      <c r="F5027" t="s">
        <v>19</v>
      </c>
      <c r="G5027" t="s">
        <v>15</v>
      </c>
      <c r="K5027" cm="1">
        <f t="array" ref="K5027">_xlfn.SWITCH(LeadsData[[#This Row],[Funnel Stage Reached]],"Lead",1,"MQL",2,"SQL",3,"Customer",4)</f>
        <v>1</v>
      </c>
      <c r="L5027" t="str">
        <f>TEXT(LeadsData[[#This Row],[Signup Date]],"mmm-yyyy")</f>
        <v>Jul-2024</v>
      </c>
      <c r="M5027">
        <f>IF(LeadsData[[#This Row],[Stage Number]]&gt;=2,1,0)</f>
        <v>0</v>
      </c>
      <c r="N5027" s="2">
        <f>IF(LeadsData[[#This Row],[Stage Number]]&gt;=3,1,0)</f>
        <v>0</v>
      </c>
      <c r="O5027" s="2">
        <f>IF(LeadsData[[#This Row],[Stage Number]]&gt;=4,1,0)</f>
        <v>0</v>
      </c>
    </row>
    <row r="5028" spans="1:15" x14ac:dyDescent="0.25">
      <c r="A5028" t="s">
        <v>5068</v>
      </c>
      <c r="B5028" s="1">
        <v>45483</v>
      </c>
      <c r="C5028" t="s">
        <v>17</v>
      </c>
      <c r="D5028" t="s">
        <v>18</v>
      </c>
      <c r="E5028" t="s">
        <v>48</v>
      </c>
      <c r="F5028" t="s">
        <v>28</v>
      </c>
      <c r="G5028" t="s">
        <v>15</v>
      </c>
      <c r="K5028" cm="1">
        <f t="array" ref="K5028">_xlfn.SWITCH(LeadsData[[#This Row],[Funnel Stage Reached]],"Lead",1,"MQL",2,"SQL",3,"Customer",4)</f>
        <v>1</v>
      </c>
      <c r="L5028" t="str">
        <f>TEXT(LeadsData[[#This Row],[Signup Date]],"mmm-yyyy")</f>
        <v>Jul-2024</v>
      </c>
      <c r="M5028">
        <f>IF(LeadsData[[#This Row],[Stage Number]]&gt;=2,1,0)</f>
        <v>0</v>
      </c>
      <c r="N5028" s="2">
        <f>IF(LeadsData[[#This Row],[Stage Number]]&gt;=3,1,0)</f>
        <v>0</v>
      </c>
      <c r="O5028" s="2">
        <f>IF(LeadsData[[#This Row],[Stage Number]]&gt;=4,1,0)</f>
        <v>0</v>
      </c>
    </row>
    <row r="5029" spans="1:15" x14ac:dyDescent="0.25">
      <c r="A5029" t="s">
        <v>5069</v>
      </c>
      <c r="B5029" s="1">
        <v>45604</v>
      </c>
      <c r="C5029" t="s">
        <v>17</v>
      </c>
      <c r="D5029" t="s">
        <v>18</v>
      </c>
      <c r="E5029" t="s">
        <v>21</v>
      </c>
      <c r="F5029" t="s">
        <v>14</v>
      </c>
      <c r="G5029" t="s">
        <v>23</v>
      </c>
      <c r="K5029" cm="1">
        <f t="array" ref="K5029">_xlfn.SWITCH(LeadsData[[#This Row],[Funnel Stage Reached]],"Lead",1,"MQL",2,"SQL",3,"Customer",4)</f>
        <v>2</v>
      </c>
      <c r="L5029" t="str">
        <f>TEXT(LeadsData[[#This Row],[Signup Date]],"mmm-yyyy")</f>
        <v>Nov-2024</v>
      </c>
      <c r="M5029">
        <f>IF(LeadsData[[#This Row],[Stage Number]]&gt;=2,1,0)</f>
        <v>1</v>
      </c>
      <c r="N5029" s="2">
        <f>IF(LeadsData[[#This Row],[Stage Number]]&gt;=3,1,0)</f>
        <v>0</v>
      </c>
      <c r="O5029" s="2">
        <f>IF(LeadsData[[#This Row],[Stage Number]]&gt;=4,1,0)</f>
        <v>0</v>
      </c>
    </row>
    <row r="5030" spans="1:15" x14ac:dyDescent="0.25">
      <c r="A5030" t="s">
        <v>5070</v>
      </c>
      <c r="B5030" s="1">
        <v>45363</v>
      </c>
      <c r="C5030" t="s">
        <v>17</v>
      </c>
      <c r="D5030" t="s">
        <v>18</v>
      </c>
      <c r="E5030" t="s">
        <v>13</v>
      </c>
      <c r="F5030" t="s">
        <v>22</v>
      </c>
      <c r="G5030" t="s">
        <v>15</v>
      </c>
      <c r="K5030" cm="1">
        <f t="array" ref="K5030">_xlfn.SWITCH(LeadsData[[#This Row],[Funnel Stage Reached]],"Lead",1,"MQL",2,"SQL",3,"Customer",4)</f>
        <v>1</v>
      </c>
      <c r="L5030" t="str">
        <f>TEXT(LeadsData[[#This Row],[Signup Date]],"mmm-yyyy")</f>
        <v>Mar-2024</v>
      </c>
      <c r="M5030">
        <f>IF(LeadsData[[#This Row],[Stage Number]]&gt;=2,1,0)</f>
        <v>0</v>
      </c>
      <c r="N5030" s="2">
        <f>IF(LeadsData[[#This Row],[Stage Number]]&gt;=3,1,0)</f>
        <v>0</v>
      </c>
      <c r="O5030" s="2">
        <f>IF(LeadsData[[#This Row],[Stage Number]]&gt;=4,1,0)</f>
        <v>0</v>
      </c>
    </row>
    <row r="5031" spans="1:15" x14ac:dyDescent="0.25">
      <c r="A5031" t="s">
        <v>5071</v>
      </c>
      <c r="B5031" s="1">
        <v>45605</v>
      </c>
      <c r="C5031" t="s">
        <v>11</v>
      </c>
      <c r="D5031" t="s">
        <v>68</v>
      </c>
      <c r="E5031" t="s">
        <v>48</v>
      </c>
      <c r="F5031" t="s">
        <v>14</v>
      </c>
      <c r="G5031" t="s">
        <v>23</v>
      </c>
      <c r="K5031" cm="1">
        <f t="array" ref="K5031">_xlfn.SWITCH(LeadsData[[#This Row],[Funnel Stage Reached]],"Lead",1,"MQL",2,"SQL",3,"Customer",4)</f>
        <v>2</v>
      </c>
      <c r="L5031" t="str">
        <f>TEXT(LeadsData[[#This Row],[Signup Date]],"mmm-yyyy")</f>
        <v>Nov-2024</v>
      </c>
      <c r="M5031">
        <f>IF(LeadsData[[#This Row],[Stage Number]]&gt;=2,1,0)</f>
        <v>1</v>
      </c>
      <c r="N5031" s="2">
        <f>IF(LeadsData[[#This Row],[Stage Number]]&gt;=3,1,0)</f>
        <v>0</v>
      </c>
      <c r="O5031" s="2">
        <f>IF(LeadsData[[#This Row],[Stage Number]]&gt;=4,1,0)</f>
        <v>0</v>
      </c>
    </row>
    <row r="5032" spans="1:15" x14ac:dyDescent="0.25">
      <c r="A5032" t="s">
        <v>5072</v>
      </c>
      <c r="B5032" s="1">
        <v>45470</v>
      </c>
      <c r="C5032" t="s">
        <v>31</v>
      </c>
      <c r="D5032" t="s">
        <v>34</v>
      </c>
      <c r="E5032" t="s">
        <v>13</v>
      </c>
      <c r="F5032" t="s">
        <v>14</v>
      </c>
      <c r="G5032" t="s">
        <v>29</v>
      </c>
      <c r="K5032" cm="1">
        <f t="array" ref="K5032">_xlfn.SWITCH(LeadsData[[#This Row],[Funnel Stage Reached]],"Lead",1,"MQL",2,"SQL",3,"Customer",4)</f>
        <v>3</v>
      </c>
      <c r="L5032" t="str">
        <f>TEXT(LeadsData[[#This Row],[Signup Date]],"mmm-yyyy")</f>
        <v>Jun-2024</v>
      </c>
      <c r="M5032">
        <f>IF(LeadsData[[#This Row],[Stage Number]]&gt;=2,1,0)</f>
        <v>1</v>
      </c>
      <c r="N5032" s="2">
        <f>IF(LeadsData[[#This Row],[Stage Number]]&gt;=3,1,0)</f>
        <v>1</v>
      </c>
      <c r="O5032" s="2">
        <f>IF(LeadsData[[#This Row],[Stage Number]]&gt;=4,1,0)</f>
        <v>0</v>
      </c>
    </row>
    <row r="5033" spans="1:15" x14ac:dyDescent="0.25">
      <c r="A5033" t="s">
        <v>5073</v>
      </c>
      <c r="B5033" s="1">
        <v>45327</v>
      </c>
      <c r="C5033" t="s">
        <v>36</v>
      </c>
      <c r="D5033" t="s">
        <v>37</v>
      </c>
      <c r="E5033" t="s">
        <v>21</v>
      </c>
      <c r="F5033" t="s">
        <v>22</v>
      </c>
      <c r="G5033" t="s">
        <v>15</v>
      </c>
      <c r="K5033" cm="1">
        <f t="array" ref="K5033">_xlfn.SWITCH(LeadsData[[#This Row],[Funnel Stage Reached]],"Lead",1,"MQL",2,"SQL",3,"Customer",4)</f>
        <v>1</v>
      </c>
      <c r="L5033" t="str">
        <f>TEXT(LeadsData[[#This Row],[Signup Date]],"mmm-yyyy")</f>
        <v>Feb-2024</v>
      </c>
      <c r="M5033">
        <f>IF(LeadsData[[#This Row],[Stage Number]]&gt;=2,1,0)</f>
        <v>0</v>
      </c>
      <c r="N5033" s="2">
        <f>IF(LeadsData[[#This Row],[Stage Number]]&gt;=3,1,0)</f>
        <v>0</v>
      </c>
      <c r="O5033" s="2">
        <f>IF(LeadsData[[#This Row],[Stage Number]]&gt;=4,1,0)</f>
        <v>0</v>
      </c>
    </row>
    <row r="5034" spans="1:15" x14ac:dyDescent="0.25">
      <c r="A5034" t="s">
        <v>5074</v>
      </c>
      <c r="B5034" s="1">
        <v>45649</v>
      </c>
      <c r="C5034" t="s">
        <v>36</v>
      </c>
      <c r="D5034" t="s">
        <v>50</v>
      </c>
      <c r="E5034" t="s">
        <v>13</v>
      </c>
      <c r="F5034" t="s">
        <v>28</v>
      </c>
      <c r="G5034" t="s">
        <v>15</v>
      </c>
      <c r="K5034" cm="1">
        <f t="array" ref="K5034">_xlfn.SWITCH(LeadsData[[#This Row],[Funnel Stage Reached]],"Lead",1,"MQL",2,"SQL",3,"Customer",4)</f>
        <v>1</v>
      </c>
      <c r="L5034" t="str">
        <f>TEXT(LeadsData[[#This Row],[Signup Date]],"mmm-yyyy")</f>
        <v>Dec-2024</v>
      </c>
      <c r="M5034">
        <f>IF(LeadsData[[#This Row],[Stage Number]]&gt;=2,1,0)</f>
        <v>0</v>
      </c>
      <c r="N5034" s="2">
        <f>IF(LeadsData[[#This Row],[Stage Number]]&gt;=3,1,0)</f>
        <v>0</v>
      </c>
      <c r="O5034" s="2">
        <f>IF(LeadsData[[#This Row],[Stage Number]]&gt;=4,1,0)</f>
        <v>0</v>
      </c>
    </row>
    <row r="5035" spans="1:15" x14ac:dyDescent="0.25">
      <c r="A5035" t="s">
        <v>5075</v>
      </c>
      <c r="B5035" s="1">
        <v>45586</v>
      </c>
      <c r="C5035" t="s">
        <v>25</v>
      </c>
      <c r="D5035" t="s">
        <v>26</v>
      </c>
      <c r="E5035" t="s">
        <v>21</v>
      </c>
      <c r="F5035" t="s">
        <v>19</v>
      </c>
      <c r="G5035" t="s">
        <v>15</v>
      </c>
      <c r="K5035" cm="1">
        <f t="array" ref="K5035">_xlfn.SWITCH(LeadsData[[#This Row],[Funnel Stage Reached]],"Lead",1,"MQL",2,"SQL",3,"Customer",4)</f>
        <v>1</v>
      </c>
      <c r="L5035" t="str">
        <f>TEXT(LeadsData[[#This Row],[Signup Date]],"mmm-yyyy")</f>
        <v>Oct-2024</v>
      </c>
      <c r="M5035">
        <f>IF(LeadsData[[#This Row],[Stage Number]]&gt;=2,1,0)</f>
        <v>0</v>
      </c>
      <c r="N5035" s="2">
        <f>IF(LeadsData[[#This Row],[Stage Number]]&gt;=3,1,0)</f>
        <v>0</v>
      </c>
      <c r="O5035" s="2">
        <f>IF(LeadsData[[#This Row],[Stage Number]]&gt;=4,1,0)</f>
        <v>0</v>
      </c>
    </row>
    <row r="5036" spans="1:15" x14ac:dyDescent="0.25">
      <c r="A5036" t="s">
        <v>5076</v>
      </c>
      <c r="B5036" s="1">
        <v>45326</v>
      </c>
      <c r="C5036" t="s">
        <v>46</v>
      </c>
      <c r="D5036" t="s">
        <v>56</v>
      </c>
      <c r="E5036" t="s">
        <v>13</v>
      </c>
      <c r="F5036" t="s">
        <v>14</v>
      </c>
      <c r="G5036" t="s">
        <v>29</v>
      </c>
      <c r="K5036" cm="1">
        <f t="array" ref="K5036">_xlfn.SWITCH(LeadsData[[#This Row],[Funnel Stage Reached]],"Lead",1,"MQL",2,"SQL",3,"Customer",4)</f>
        <v>3</v>
      </c>
      <c r="L5036" t="str">
        <f>TEXT(LeadsData[[#This Row],[Signup Date]],"mmm-yyyy")</f>
        <v>Feb-2024</v>
      </c>
      <c r="M5036">
        <f>IF(LeadsData[[#This Row],[Stage Number]]&gt;=2,1,0)</f>
        <v>1</v>
      </c>
      <c r="N5036" s="2">
        <f>IF(LeadsData[[#This Row],[Stage Number]]&gt;=3,1,0)</f>
        <v>1</v>
      </c>
      <c r="O5036" s="2">
        <f>IF(LeadsData[[#This Row],[Stage Number]]&gt;=4,1,0)</f>
        <v>0</v>
      </c>
    </row>
    <row r="5037" spans="1:15" x14ac:dyDescent="0.25">
      <c r="A5037" t="s">
        <v>5077</v>
      </c>
      <c r="B5037" s="1">
        <v>45641</v>
      </c>
      <c r="C5037" t="s">
        <v>17</v>
      </c>
      <c r="D5037" t="s">
        <v>53</v>
      </c>
      <c r="E5037" t="s">
        <v>21</v>
      </c>
      <c r="F5037" t="s">
        <v>22</v>
      </c>
      <c r="G5037" t="s">
        <v>23</v>
      </c>
      <c r="K5037" cm="1">
        <f t="array" ref="K5037">_xlfn.SWITCH(LeadsData[[#This Row],[Funnel Stage Reached]],"Lead",1,"MQL",2,"SQL",3,"Customer",4)</f>
        <v>2</v>
      </c>
      <c r="L5037" t="str">
        <f>TEXT(LeadsData[[#This Row],[Signup Date]],"mmm-yyyy")</f>
        <v>Dec-2024</v>
      </c>
      <c r="M5037">
        <f>IF(LeadsData[[#This Row],[Stage Number]]&gt;=2,1,0)</f>
        <v>1</v>
      </c>
      <c r="N5037" s="2">
        <f>IF(LeadsData[[#This Row],[Stage Number]]&gt;=3,1,0)</f>
        <v>0</v>
      </c>
      <c r="O5037" s="2">
        <f>IF(LeadsData[[#This Row],[Stage Number]]&gt;=4,1,0)</f>
        <v>0</v>
      </c>
    </row>
    <row r="5038" spans="1:15" x14ac:dyDescent="0.25">
      <c r="A5038" t="s">
        <v>5078</v>
      </c>
      <c r="B5038" s="1">
        <v>45566</v>
      </c>
      <c r="C5038" t="s">
        <v>17</v>
      </c>
      <c r="D5038" t="s">
        <v>18</v>
      </c>
      <c r="E5038" t="s">
        <v>13</v>
      </c>
      <c r="F5038" t="s">
        <v>22</v>
      </c>
      <c r="G5038" t="s">
        <v>15</v>
      </c>
      <c r="K5038" cm="1">
        <f t="array" ref="K5038">_xlfn.SWITCH(LeadsData[[#This Row],[Funnel Stage Reached]],"Lead",1,"MQL",2,"SQL",3,"Customer",4)</f>
        <v>1</v>
      </c>
      <c r="L5038" t="str">
        <f>TEXT(LeadsData[[#This Row],[Signup Date]],"mmm-yyyy")</f>
        <v>Oct-2024</v>
      </c>
      <c r="M5038">
        <f>IF(LeadsData[[#This Row],[Stage Number]]&gt;=2,1,0)</f>
        <v>0</v>
      </c>
      <c r="N5038" s="2">
        <f>IF(LeadsData[[#This Row],[Stage Number]]&gt;=3,1,0)</f>
        <v>0</v>
      </c>
      <c r="O5038" s="2">
        <f>IF(LeadsData[[#This Row],[Stage Number]]&gt;=4,1,0)</f>
        <v>0</v>
      </c>
    </row>
    <row r="5039" spans="1:15" x14ac:dyDescent="0.25">
      <c r="A5039" t="s">
        <v>5079</v>
      </c>
      <c r="B5039" s="1">
        <v>45373</v>
      </c>
      <c r="C5039" t="s">
        <v>25</v>
      </c>
      <c r="D5039" t="s">
        <v>26</v>
      </c>
      <c r="E5039" t="s">
        <v>13</v>
      </c>
      <c r="F5039" t="s">
        <v>22</v>
      </c>
      <c r="G5039" t="s">
        <v>15</v>
      </c>
      <c r="K5039" cm="1">
        <f t="array" ref="K5039">_xlfn.SWITCH(LeadsData[[#This Row],[Funnel Stage Reached]],"Lead",1,"MQL",2,"SQL",3,"Customer",4)</f>
        <v>1</v>
      </c>
      <c r="L5039" t="str">
        <f>TEXT(LeadsData[[#This Row],[Signup Date]],"mmm-yyyy")</f>
        <v>Mar-2024</v>
      </c>
      <c r="M5039">
        <f>IF(LeadsData[[#This Row],[Stage Number]]&gt;=2,1,0)</f>
        <v>0</v>
      </c>
      <c r="N5039" s="2">
        <f>IF(LeadsData[[#This Row],[Stage Number]]&gt;=3,1,0)</f>
        <v>0</v>
      </c>
      <c r="O5039" s="2">
        <f>IF(LeadsData[[#This Row],[Stage Number]]&gt;=4,1,0)</f>
        <v>0</v>
      </c>
    </row>
    <row r="5040" spans="1:15" x14ac:dyDescent="0.25">
      <c r="A5040" t="s">
        <v>5080</v>
      </c>
      <c r="B5040" s="1">
        <v>45527</v>
      </c>
      <c r="C5040" t="s">
        <v>46</v>
      </c>
      <c r="D5040" t="s">
        <v>47</v>
      </c>
      <c r="E5040" t="s">
        <v>13</v>
      </c>
      <c r="F5040" t="s">
        <v>22</v>
      </c>
      <c r="G5040" t="s">
        <v>23</v>
      </c>
      <c r="K5040" cm="1">
        <f t="array" ref="K5040">_xlfn.SWITCH(LeadsData[[#This Row],[Funnel Stage Reached]],"Lead",1,"MQL",2,"SQL",3,"Customer",4)</f>
        <v>2</v>
      </c>
      <c r="L5040" t="str">
        <f>TEXT(LeadsData[[#This Row],[Signup Date]],"mmm-yyyy")</f>
        <v>Aug-2024</v>
      </c>
      <c r="M5040">
        <f>IF(LeadsData[[#This Row],[Stage Number]]&gt;=2,1,0)</f>
        <v>1</v>
      </c>
      <c r="N5040" s="2">
        <f>IF(LeadsData[[#This Row],[Stage Number]]&gt;=3,1,0)</f>
        <v>0</v>
      </c>
      <c r="O5040" s="2">
        <f>IF(LeadsData[[#This Row],[Stage Number]]&gt;=4,1,0)</f>
        <v>0</v>
      </c>
    </row>
    <row r="5041" spans="1:15" x14ac:dyDescent="0.25">
      <c r="A5041" t="s">
        <v>5081</v>
      </c>
      <c r="B5041" s="1">
        <v>45527</v>
      </c>
      <c r="C5041" t="s">
        <v>17</v>
      </c>
      <c r="D5041" t="s">
        <v>53</v>
      </c>
      <c r="E5041" t="s">
        <v>21</v>
      </c>
      <c r="F5041" t="s">
        <v>22</v>
      </c>
      <c r="G5041" t="s">
        <v>15</v>
      </c>
      <c r="K5041" cm="1">
        <f t="array" ref="K5041">_xlfn.SWITCH(LeadsData[[#This Row],[Funnel Stage Reached]],"Lead",1,"MQL",2,"SQL",3,"Customer",4)</f>
        <v>1</v>
      </c>
      <c r="L5041" t="str">
        <f>TEXT(LeadsData[[#This Row],[Signup Date]],"mmm-yyyy")</f>
        <v>Aug-2024</v>
      </c>
      <c r="M5041">
        <f>IF(LeadsData[[#This Row],[Stage Number]]&gt;=2,1,0)</f>
        <v>0</v>
      </c>
      <c r="N5041" s="2">
        <f>IF(LeadsData[[#This Row],[Stage Number]]&gt;=3,1,0)</f>
        <v>0</v>
      </c>
      <c r="O5041" s="2">
        <f>IF(LeadsData[[#This Row],[Stage Number]]&gt;=4,1,0)</f>
        <v>0</v>
      </c>
    </row>
    <row r="5042" spans="1:15" x14ac:dyDescent="0.25">
      <c r="A5042" t="s">
        <v>5082</v>
      </c>
      <c r="B5042" s="1">
        <v>45586</v>
      </c>
      <c r="C5042" t="s">
        <v>46</v>
      </c>
      <c r="D5042" t="s">
        <v>47</v>
      </c>
      <c r="E5042" t="s">
        <v>13</v>
      </c>
      <c r="F5042" t="s">
        <v>19</v>
      </c>
      <c r="G5042" t="s">
        <v>29</v>
      </c>
      <c r="K5042" cm="1">
        <f t="array" ref="K5042">_xlfn.SWITCH(LeadsData[[#This Row],[Funnel Stage Reached]],"Lead",1,"MQL",2,"SQL",3,"Customer",4)</f>
        <v>3</v>
      </c>
      <c r="L5042" t="str">
        <f>TEXT(LeadsData[[#This Row],[Signup Date]],"mmm-yyyy")</f>
        <v>Oct-2024</v>
      </c>
      <c r="M5042">
        <f>IF(LeadsData[[#This Row],[Stage Number]]&gt;=2,1,0)</f>
        <v>1</v>
      </c>
      <c r="N5042" s="2">
        <f>IF(LeadsData[[#This Row],[Stage Number]]&gt;=3,1,0)</f>
        <v>1</v>
      </c>
      <c r="O5042" s="2">
        <f>IF(LeadsData[[#This Row],[Stage Number]]&gt;=4,1,0)</f>
        <v>0</v>
      </c>
    </row>
    <row r="5043" spans="1:15" x14ac:dyDescent="0.25">
      <c r="A5043" t="s">
        <v>5083</v>
      </c>
      <c r="B5043" s="1">
        <v>45420</v>
      </c>
      <c r="C5043" t="s">
        <v>25</v>
      </c>
      <c r="D5043" t="s">
        <v>26</v>
      </c>
      <c r="E5043" t="s">
        <v>13</v>
      </c>
      <c r="F5043" t="s">
        <v>19</v>
      </c>
      <c r="G5043" t="s">
        <v>23</v>
      </c>
      <c r="K5043" cm="1">
        <f t="array" ref="K5043">_xlfn.SWITCH(LeadsData[[#This Row],[Funnel Stage Reached]],"Lead",1,"MQL",2,"SQL",3,"Customer",4)</f>
        <v>2</v>
      </c>
      <c r="L5043" t="str">
        <f>TEXT(LeadsData[[#This Row],[Signup Date]],"mmm-yyyy")</f>
        <v>May-2024</v>
      </c>
      <c r="M5043">
        <f>IF(LeadsData[[#This Row],[Stage Number]]&gt;=2,1,0)</f>
        <v>1</v>
      </c>
      <c r="N5043" s="2">
        <f>IF(LeadsData[[#This Row],[Stage Number]]&gt;=3,1,0)</f>
        <v>0</v>
      </c>
      <c r="O5043" s="2">
        <f>IF(LeadsData[[#This Row],[Stage Number]]&gt;=4,1,0)</f>
        <v>0</v>
      </c>
    </row>
    <row r="5044" spans="1:15" x14ac:dyDescent="0.25">
      <c r="A5044" t="s">
        <v>5084</v>
      </c>
      <c r="B5044" s="1">
        <v>45449</v>
      </c>
      <c r="C5044" t="s">
        <v>25</v>
      </c>
      <c r="D5044" t="s">
        <v>26</v>
      </c>
      <c r="E5044" t="s">
        <v>21</v>
      </c>
      <c r="F5044" t="s">
        <v>28</v>
      </c>
      <c r="G5044" t="s">
        <v>23</v>
      </c>
      <c r="K5044" cm="1">
        <f t="array" ref="K5044">_xlfn.SWITCH(LeadsData[[#This Row],[Funnel Stage Reached]],"Lead",1,"MQL",2,"SQL",3,"Customer",4)</f>
        <v>2</v>
      </c>
      <c r="L5044" t="str">
        <f>TEXT(LeadsData[[#This Row],[Signup Date]],"mmm-yyyy")</f>
        <v>Jun-2024</v>
      </c>
      <c r="M5044">
        <f>IF(LeadsData[[#This Row],[Stage Number]]&gt;=2,1,0)</f>
        <v>1</v>
      </c>
      <c r="N5044" s="2">
        <f>IF(LeadsData[[#This Row],[Stage Number]]&gt;=3,1,0)</f>
        <v>0</v>
      </c>
      <c r="O5044" s="2">
        <f>IF(LeadsData[[#This Row],[Stage Number]]&gt;=4,1,0)</f>
        <v>0</v>
      </c>
    </row>
    <row r="5045" spans="1:15" x14ac:dyDescent="0.25">
      <c r="A5045" t="s">
        <v>5085</v>
      </c>
      <c r="B5045" s="1">
        <v>45526</v>
      </c>
      <c r="C5045" t="s">
        <v>25</v>
      </c>
      <c r="D5045" t="s">
        <v>26</v>
      </c>
      <c r="E5045" t="s">
        <v>13</v>
      </c>
      <c r="F5045" t="s">
        <v>19</v>
      </c>
      <c r="G5045" t="s">
        <v>15</v>
      </c>
      <c r="K5045" cm="1">
        <f t="array" ref="K5045">_xlfn.SWITCH(LeadsData[[#This Row],[Funnel Stage Reached]],"Lead",1,"MQL",2,"SQL",3,"Customer",4)</f>
        <v>1</v>
      </c>
      <c r="L5045" t="str">
        <f>TEXT(LeadsData[[#This Row],[Signup Date]],"mmm-yyyy")</f>
        <v>Aug-2024</v>
      </c>
      <c r="M5045">
        <f>IF(LeadsData[[#This Row],[Stage Number]]&gt;=2,1,0)</f>
        <v>0</v>
      </c>
      <c r="N5045" s="2">
        <f>IF(LeadsData[[#This Row],[Stage Number]]&gt;=3,1,0)</f>
        <v>0</v>
      </c>
      <c r="O5045" s="2">
        <f>IF(LeadsData[[#This Row],[Stage Number]]&gt;=4,1,0)</f>
        <v>0</v>
      </c>
    </row>
    <row r="5046" spans="1:15" x14ac:dyDescent="0.25">
      <c r="A5046" t="s">
        <v>5086</v>
      </c>
      <c r="B5046" s="1">
        <v>45636</v>
      </c>
      <c r="C5046" t="s">
        <v>31</v>
      </c>
      <c r="D5046" t="s">
        <v>32</v>
      </c>
      <c r="E5046" t="s">
        <v>13</v>
      </c>
      <c r="F5046" t="s">
        <v>19</v>
      </c>
      <c r="G5046" t="s">
        <v>29</v>
      </c>
      <c r="K5046" cm="1">
        <f t="array" ref="K5046">_xlfn.SWITCH(LeadsData[[#This Row],[Funnel Stage Reached]],"Lead",1,"MQL",2,"SQL",3,"Customer",4)</f>
        <v>3</v>
      </c>
      <c r="L5046" t="str">
        <f>TEXT(LeadsData[[#This Row],[Signup Date]],"mmm-yyyy")</f>
        <v>Dec-2024</v>
      </c>
      <c r="M5046">
        <f>IF(LeadsData[[#This Row],[Stage Number]]&gt;=2,1,0)</f>
        <v>1</v>
      </c>
      <c r="N5046" s="2">
        <f>IF(LeadsData[[#This Row],[Stage Number]]&gt;=3,1,0)</f>
        <v>1</v>
      </c>
      <c r="O5046" s="2">
        <f>IF(LeadsData[[#This Row],[Stage Number]]&gt;=4,1,0)</f>
        <v>0</v>
      </c>
    </row>
    <row r="5047" spans="1:15" x14ac:dyDescent="0.25">
      <c r="A5047" t="s">
        <v>5087</v>
      </c>
      <c r="B5047" s="1">
        <v>45342</v>
      </c>
      <c r="C5047" t="s">
        <v>25</v>
      </c>
      <c r="D5047" t="s">
        <v>26</v>
      </c>
      <c r="E5047" t="s">
        <v>13</v>
      </c>
      <c r="F5047" t="s">
        <v>22</v>
      </c>
      <c r="G5047" t="s">
        <v>15</v>
      </c>
      <c r="K5047" cm="1">
        <f t="array" ref="K5047">_xlfn.SWITCH(LeadsData[[#This Row],[Funnel Stage Reached]],"Lead",1,"MQL",2,"SQL",3,"Customer",4)</f>
        <v>1</v>
      </c>
      <c r="L5047" t="str">
        <f>TEXT(LeadsData[[#This Row],[Signup Date]],"mmm-yyyy")</f>
        <v>Feb-2024</v>
      </c>
      <c r="M5047">
        <f>IF(LeadsData[[#This Row],[Stage Number]]&gt;=2,1,0)</f>
        <v>0</v>
      </c>
      <c r="N5047" s="2">
        <f>IF(LeadsData[[#This Row],[Stage Number]]&gt;=3,1,0)</f>
        <v>0</v>
      </c>
      <c r="O5047" s="2">
        <f>IF(LeadsData[[#This Row],[Stage Number]]&gt;=4,1,0)</f>
        <v>0</v>
      </c>
    </row>
    <row r="5048" spans="1:15" x14ac:dyDescent="0.25">
      <c r="A5048" t="s">
        <v>5088</v>
      </c>
      <c r="B5048" s="1">
        <v>45306</v>
      </c>
      <c r="C5048" t="s">
        <v>46</v>
      </c>
      <c r="D5048" t="s">
        <v>47</v>
      </c>
      <c r="E5048" t="s">
        <v>13</v>
      </c>
      <c r="F5048" t="s">
        <v>19</v>
      </c>
      <c r="G5048" t="s">
        <v>23</v>
      </c>
      <c r="K5048" cm="1">
        <f t="array" ref="K5048">_xlfn.SWITCH(LeadsData[[#This Row],[Funnel Stage Reached]],"Lead",1,"MQL",2,"SQL",3,"Customer",4)</f>
        <v>2</v>
      </c>
      <c r="L5048" t="str">
        <f>TEXT(LeadsData[[#This Row],[Signup Date]],"mmm-yyyy")</f>
        <v>Jan-2024</v>
      </c>
      <c r="M5048">
        <f>IF(LeadsData[[#This Row],[Stage Number]]&gt;=2,1,0)</f>
        <v>1</v>
      </c>
      <c r="N5048" s="2">
        <f>IF(LeadsData[[#This Row],[Stage Number]]&gt;=3,1,0)</f>
        <v>0</v>
      </c>
      <c r="O5048" s="2">
        <f>IF(LeadsData[[#This Row],[Stage Number]]&gt;=4,1,0)</f>
        <v>0</v>
      </c>
    </row>
    <row r="5049" spans="1:15" x14ac:dyDescent="0.25">
      <c r="A5049" t="s">
        <v>5089</v>
      </c>
      <c r="B5049" s="1">
        <v>45429</v>
      </c>
      <c r="C5049" t="s">
        <v>25</v>
      </c>
      <c r="D5049" t="s">
        <v>26</v>
      </c>
      <c r="E5049" t="s">
        <v>13</v>
      </c>
      <c r="F5049" t="s">
        <v>19</v>
      </c>
      <c r="G5049" t="s">
        <v>15</v>
      </c>
      <c r="K5049" cm="1">
        <f t="array" ref="K5049">_xlfn.SWITCH(LeadsData[[#This Row],[Funnel Stage Reached]],"Lead",1,"MQL",2,"SQL",3,"Customer",4)</f>
        <v>1</v>
      </c>
      <c r="L5049" t="str">
        <f>TEXT(LeadsData[[#This Row],[Signup Date]],"mmm-yyyy")</f>
        <v>May-2024</v>
      </c>
      <c r="M5049">
        <f>IF(LeadsData[[#This Row],[Stage Number]]&gt;=2,1,0)</f>
        <v>0</v>
      </c>
      <c r="N5049" s="2">
        <f>IF(LeadsData[[#This Row],[Stage Number]]&gt;=3,1,0)</f>
        <v>0</v>
      </c>
      <c r="O5049" s="2">
        <f>IF(LeadsData[[#This Row],[Stage Number]]&gt;=4,1,0)</f>
        <v>0</v>
      </c>
    </row>
    <row r="5050" spans="1:15" x14ac:dyDescent="0.25">
      <c r="A5050" t="s">
        <v>5090</v>
      </c>
      <c r="B5050" s="1">
        <v>45437</v>
      </c>
      <c r="C5050" t="s">
        <v>31</v>
      </c>
      <c r="D5050" t="s">
        <v>32</v>
      </c>
      <c r="E5050" t="s">
        <v>13</v>
      </c>
      <c r="F5050" t="s">
        <v>22</v>
      </c>
      <c r="G5050" t="s">
        <v>23</v>
      </c>
      <c r="K5050" cm="1">
        <f t="array" ref="K5050">_xlfn.SWITCH(LeadsData[[#This Row],[Funnel Stage Reached]],"Lead",1,"MQL",2,"SQL",3,"Customer",4)</f>
        <v>2</v>
      </c>
      <c r="L5050" t="str">
        <f>TEXT(LeadsData[[#This Row],[Signup Date]],"mmm-yyyy")</f>
        <v>May-2024</v>
      </c>
      <c r="M5050">
        <f>IF(LeadsData[[#This Row],[Stage Number]]&gt;=2,1,0)</f>
        <v>1</v>
      </c>
      <c r="N5050" s="2">
        <f>IF(LeadsData[[#This Row],[Stage Number]]&gt;=3,1,0)</f>
        <v>0</v>
      </c>
      <c r="O5050" s="2">
        <f>IF(LeadsData[[#This Row],[Stage Number]]&gt;=4,1,0)</f>
        <v>0</v>
      </c>
    </row>
    <row r="5051" spans="1:15" x14ac:dyDescent="0.25">
      <c r="A5051" t="s">
        <v>5091</v>
      </c>
      <c r="B5051" s="1">
        <v>45573</v>
      </c>
      <c r="C5051" t="s">
        <v>31</v>
      </c>
      <c r="D5051" t="s">
        <v>32</v>
      </c>
      <c r="E5051" t="s">
        <v>21</v>
      </c>
      <c r="F5051" t="s">
        <v>22</v>
      </c>
      <c r="G5051" t="s">
        <v>23</v>
      </c>
      <c r="K5051" cm="1">
        <f t="array" ref="K5051">_xlfn.SWITCH(LeadsData[[#This Row],[Funnel Stage Reached]],"Lead",1,"MQL",2,"SQL",3,"Customer",4)</f>
        <v>2</v>
      </c>
      <c r="L5051" t="str">
        <f>TEXT(LeadsData[[#This Row],[Signup Date]],"mmm-yyyy")</f>
        <v>Oct-2024</v>
      </c>
      <c r="M5051">
        <f>IF(LeadsData[[#This Row],[Stage Number]]&gt;=2,1,0)</f>
        <v>1</v>
      </c>
      <c r="N5051" s="2">
        <f>IF(LeadsData[[#This Row],[Stage Number]]&gt;=3,1,0)</f>
        <v>0</v>
      </c>
      <c r="O5051" s="2">
        <f>IF(LeadsData[[#This Row],[Stage Number]]&gt;=4,1,0)</f>
        <v>0</v>
      </c>
    </row>
    <row r="5052" spans="1:15" x14ac:dyDescent="0.25">
      <c r="A5052" t="s">
        <v>5092</v>
      </c>
      <c r="B5052" s="1">
        <v>45333</v>
      </c>
      <c r="C5052" t="s">
        <v>31</v>
      </c>
      <c r="D5052" t="s">
        <v>32</v>
      </c>
      <c r="E5052" t="s">
        <v>21</v>
      </c>
      <c r="F5052" t="s">
        <v>19</v>
      </c>
      <c r="G5052" t="s">
        <v>29</v>
      </c>
      <c r="K5052" cm="1">
        <f t="array" ref="K5052">_xlfn.SWITCH(LeadsData[[#This Row],[Funnel Stage Reached]],"Lead",1,"MQL",2,"SQL",3,"Customer",4)</f>
        <v>3</v>
      </c>
      <c r="L5052" t="str">
        <f>TEXT(LeadsData[[#This Row],[Signup Date]],"mmm-yyyy")</f>
        <v>Feb-2024</v>
      </c>
      <c r="M5052">
        <f>IF(LeadsData[[#This Row],[Stage Number]]&gt;=2,1,0)</f>
        <v>1</v>
      </c>
      <c r="N5052" s="2">
        <f>IF(LeadsData[[#This Row],[Stage Number]]&gt;=3,1,0)</f>
        <v>1</v>
      </c>
      <c r="O5052" s="2">
        <f>IF(LeadsData[[#This Row],[Stage Number]]&gt;=4,1,0)</f>
        <v>0</v>
      </c>
    </row>
    <row r="5053" spans="1:15" x14ac:dyDescent="0.25">
      <c r="A5053" t="s">
        <v>5093</v>
      </c>
      <c r="B5053" s="1">
        <v>45517</v>
      </c>
      <c r="C5053" t="s">
        <v>11</v>
      </c>
      <c r="D5053" t="s">
        <v>68</v>
      </c>
      <c r="E5053" t="s">
        <v>13</v>
      </c>
      <c r="F5053" t="s">
        <v>28</v>
      </c>
      <c r="G5053" t="s">
        <v>15</v>
      </c>
      <c r="K5053" cm="1">
        <f t="array" ref="K5053">_xlfn.SWITCH(LeadsData[[#This Row],[Funnel Stage Reached]],"Lead",1,"MQL",2,"SQL",3,"Customer",4)</f>
        <v>1</v>
      </c>
      <c r="L5053" t="str">
        <f>TEXT(LeadsData[[#This Row],[Signup Date]],"mmm-yyyy")</f>
        <v>Aug-2024</v>
      </c>
      <c r="M5053">
        <f>IF(LeadsData[[#This Row],[Stage Number]]&gt;=2,1,0)</f>
        <v>0</v>
      </c>
      <c r="N5053" s="2">
        <f>IF(LeadsData[[#This Row],[Stage Number]]&gt;=3,1,0)</f>
        <v>0</v>
      </c>
      <c r="O5053" s="2">
        <f>IF(LeadsData[[#This Row],[Stage Number]]&gt;=4,1,0)</f>
        <v>0</v>
      </c>
    </row>
    <row r="5054" spans="1:15" x14ac:dyDescent="0.25">
      <c r="A5054" t="s">
        <v>5094</v>
      </c>
      <c r="B5054" s="1">
        <v>45578</v>
      </c>
      <c r="C5054" t="s">
        <v>17</v>
      </c>
      <c r="D5054" t="s">
        <v>18</v>
      </c>
      <c r="E5054" t="s">
        <v>21</v>
      </c>
      <c r="F5054" t="s">
        <v>19</v>
      </c>
      <c r="G5054" t="s">
        <v>15</v>
      </c>
      <c r="K5054" cm="1">
        <f t="array" ref="K5054">_xlfn.SWITCH(LeadsData[[#This Row],[Funnel Stage Reached]],"Lead",1,"MQL",2,"SQL",3,"Customer",4)</f>
        <v>1</v>
      </c>
      <c r="L5054" t="str">
        <f>TEXT(LeadsData[[#This Row],[Signup Date]],"mmm-yyyy")</f>
        <v>Oct-2024</v>
      </c>
      <c r="M5054">
        <f>IF(LeadsData[[#This Row],[Stage Number]]&gt;=2,1,0)</f>
        <v>0</v>
      </c>
      <c r="N5054" s="2">
        <f>IF(LeadsData[[#This Row],[Stage Number]]&gt;=3,1,0)</f>
        <v>0</v>
      </c>
      <c r="O5054" s="2">
        <f>IF(LeadsData[[#This Row],[Stage Number]]&gt;=4,1,0)</f>
        <v>0</v>
      </c>
    </row>
    <row r="5055" spans="1:15" x14ac:dyDescent="0.25">
      <c r="A5055" t="s">
        <v>5095</v>
      </c>
      <c r="B5055" s="1">
        <v>45303</v>
      </c>
      <c r="C5055" t="s">
        <v>31</v>
      </c>
      <c r="D5055" t="s">
        <v>34</v>
      </c>
      <c r="E5055" t="s">
        <v>13</v>
      </c>
      <c r="F5055" t="s">
        <v>14</v>
      </c>
      <c r="G5055" t="s">
        <v>23</v>
      </c>
      <c r="K5055" cm="1">
        <f t="array" ref="K5055">_xlfn.SWITCH(LeadsData[[#This Row],[Funnel Stage Reached]],"Lead",1,"MQL",2,"SQL",3,"Customer",4)</f>
        <v>2</v>
      </c>
      <c r="L5055" t="str">
        <f>TEXT(LeadsData[[#This Row],[Signup Date]],"mmm-yyyy")</f>
        <v>Jan-2024</v>
      </c>
      <c r="M5055">
        <f>IF(LeadsData[[#This Row],[Stage Number]]&gt;=2,1,0)</f>
        <v>1</v>
      </c>
      <c r="N5055" s="2">
        <f>IF(LeadsData[[#This Row],[Stage Number]]&gt;=3,1,0)</f>
        <v>0</v>
      </c>
      <c r="O5055" s="2">
        <f>IF(LeadsData[[#This Row],[Stage Number]]&gt;=4,1,0)</f>
        <v>0</v>
      </c>
    </row>
    <row r="5056" spans="1:15" x14ac:dyDescent="0.25">
      <c r="A5056" t="s">
        <v>5096</v>
      </c>
      <c r="B5056" s="1">
        <v>45349</v>
      </c>
      <c r="C5056" t="s">
        <v>11</v>
      </c>
      <c r="D5056" t="s">
        <v>12</v>
      </c>
      <c r="E5056" t="s">
        <v>13</v>
      </c>
      <c r="F5056" t="s">
        <v>22</v>
      </c>
      <c r="G5056" t="s">
        <v>15</v>
      </c>
      <c r="K5056" cm="1">
        <f t="array" ref="K5056">_xlfn.SWITCH(LeadsData[[#This Row],[Funnel Stage Reached]],"Lead",1,"MQL",2,"SQL",3,"Customer",4)</f>
        <v>1</v>
      </c>
      <c r="L5056" t="str">
        <f>TEXT(LeadsData[[#This Row],[Signup Date]],"mmm-yyyy")</f>
        <v>Feb-2024</v>
      </c>
      <c r="M5056">
        <f>IF(LeadsData[[#This Row],[Stage Number]]&gt;=2,1,0)</f>
        <v>0</v>
      </c>
      <c r="N5056" s="2">
        <f>IF(LeadsData[[#This Row],[Stage Number]]&gt;=3,1,0)</f>
        <v>0</v>
      </c>
      <c r="O5056" s="2">
        <f>IF(LeadsData[[#This Row],[Stage Number]]&gt;=4,1,0)</f>
        <v>0</v>
      </c>
    </row>
    <row r="5057" spans="1:15" x14ac:dyDescent="0.25">
      <c r="A5057" t="s">
        <v>5097</v>
      </c>
      <c r="B5057" s="1">
        <v>45648</v>
      </c>
      <c r="C5057" t="s">
        <v>17</v>
      </c>
      <c r="D5057" t="s">
        <v>18</v>
      </c>
      <c r="E5057" t="s">
        <v>13</v>
      </c>
      <c r="F5057" t="s">
        <v>14</v>
      </c>
      <c r="G5057" t="s">
        <v>42</v>
      </c>
      <c r="H5057">
        <v>23</v>
      </c>
      <c r="I5057" t="s">
        <v>87</v>
      </c>
      <c r="J5057">
        <v>2708.31</v>
      </c>
      <c r="K5057" cm="1">
        <f t="array" ref="K5057">_xlfn.SWITCH(LeadsData[[#This Row],[Funnel Stage Reached]],"Lead",1,"MQL",2,"SQL",3,"Customer",4)</f>
        <v>4</v>
      </c>
      <c r="L5057" t="str">
        <f>TEXT(LeadsData[[#This Row],[Signup Date]],"mmm-yyyy")</f>
        <v>Dec-2024</v>
      </c>
      <c r="M5057">
        <f>IF(LeadsData[[#This Row],[Stage Number]]&gt;=2,1,0)</f>
        <v>1</v>
      </c>
      <c r="N5057" s="2">
        <f>IF(LeadsData[[#This Row],[Stage Number]]&gt;=3,1,0)</f>
        <v>1</v>
      </c>
      <c r="O5057" s="2">
        <f>IF(LeadsData[[#This Row],[Stage Number]]&gt;=4,1,0)</f>
        <v>1</v>
      </c>
    </row>
    <row r="5058" spans="1:15" x14ac:dyDescent="0.25">
      <c r="A5058" t="s">
        <v>5098</v>
      </c>
      <c r="B5058" s="1">
        <v>45432</v>
      </c>
      <c r="C5058" t="s">
        <v>31</v>
      </c>
      <c r="D5058" t="s">
        <v>34</v>
      </c>
      <c r="E5058" t="s">
        <v>13</v>
      </c>
      <c r="F5058" t="s">
        <v>14</v>
      </c>
      <c r="G5058" t="s">
        <v>15</v>
      </c>
      <c r="K5058" cm="1">
        <f t="array" ref="K5058">_xlfn.SWITCH(LeadsData[[#This Row],[Funnel Stage Reached]],"Lead",1,"MQL",2,"SQL",3,"Customer",4)</f>
        <v>1</v>
      </c>
      <c r="L5058" t="str">
        <f>TEXT(LeadsData[[#This Row],[Signup Date]],"mmm-yyyy")</f>
        <v>May-2024</v>
      </c>
      <c r="M5058">
        <f>IF(LeadsData[[#This Row],[Stage Number]]&gt;=2,1,0)</f>
        <v>0</v>
      </c>
      <c r="N5058" s="2">
        <f>IF(LeadsData[[#This Row],[Stage Number]]&gt;=3,1,0)</f>
        <v>0</v>
      </c>
      <c r="O5058" s="2">
        <f>IF(LeadsData[[#This Row],[Stage Number]]&gt;=4,1,0)</f>
        <v>0</v>
      </c>
    </row>
    <row r="5059" spans="1:15" x14ac:dyDescent="0.25">
      <c r="A5059" t="s">
        <v>5099</v>
      </c>
      <c r="B5059" s="1">
        <v>45620</v>
      </c>
      <c r="C5059" t="s">
        <v>46</v>
      </c>
      <c r="D5059" t="s">
        <v>47</v>
      </c>
      <c r="E5059" t="s">
        <v>21</v>
      </c>
      <c r="F5059" t="s">
        <v>22</v>
      </c>
      <c r="G5059" t="s">
        <v>29</v>
      </c>
      <c r="K5059" cm="1">
        <f t="array" ref="K5059">_xlfn.SWITCH(LeadsData[[#This Row],[Funnel Stage Reached]],"Lead",1,"MQL",2,"SQL",3,"Customer",4)</f>
        <v>3</v>
      </c>
      <c r="L5059" t="str">
        <f>TEXT(LeadsData[[#This Row],[Signup Date]],"mmm-yyyy")</f>
        <v>Nov-2024</v>
      </c>
      <c r="M5059">
        <f>IF(LeadsData[[#This Row],[Stage Number]]&gt;=2,1,0)</f>
        <v>1</v>
      </c>
      <c r="N5059" s="2">
        <f>IF(LeadsData[[#This Row],[Stage Number]]&gt;=3,1,0)</f>
        <v>1</v>
      </c>
      <c r="O5059" s="2">
        <f>IF(LeadsData[[#This Row],[Stage Number]]&gt;=4,1,0)</f>
        <v>0</v>
      </c>
    </row>
    <row r="5060" spans="1:15" x14ac:dyDescent="0.25">
      <c r="A5060" t="s">
        <v>5100</v>
      </c>
      <c r="B5060" s="1">
        <v>45600</v>
      </c>
      <c r="C5060" t="s">
        <v>31</v>
      </c>
      <c r="D5060" t="s">
        <v>34</v>
      </c>
      <c r="E5060" t="s">
        <v>13</v>
      </c>
      <c r="F5060" t="s">
        <v>19</v>
      </c>
      <c r="G5060" t="s">
        <v>23</v>
      </c>
      <c r="K5060" cm="1">
        <f t="array" ref="K5060">_xlfn.SWITCH(LeadsData[[#This Row],[Funnel Stage Reached]],"Lead",1,"MQL",2,"SQL",3,"Customer",4)</f>
        <v>2</v>
      </c>
      <c r="L5060" t="str">
        <f>TEXT(LeadsData[[#This Row],[Signup Date]],"mmm-yyyy")</f>
        <v>Nov-2024</v>
      </c>
      <c r="M5060">
        <f>IF(LeadsData[[#This Row],[Stage Number]]&gt;=2,1,0)</f>
        <v>1</v>
      </c>
      <c r="N5060" s="2">
        <f>IF(LeadsData[[#This Row],[Stage Number]]&gt;=3,1,0)</f>
        <v>0</v>
      </c>
      <c r="O5060" s="2">
        <f>IF(LeadsData[[#This Row],[Stage Number]]&gt;=4,1,0)</f>
        <v>0</v>
      </c>
    </row>
    <row r="5061" spans="1:15" x14ac:dyDescent="0.25">
      <c r="A5061" t="s">
        <v>5101</v>
      </c>
      <c r="B5061" s="1">
        <v>45318</v>
      </c>
      <c r="C5061" t="s">
        <v>46</v>
      </c>
      <c r="D5061" t="s">
        <v>47</v>
      </c>
      <c r="E5061" t="s">
        <v>13</v>
      </c>
      <c r="F5061" t="s">
        <v>14</v>
      </c>
      <c r="G5061" t="s">
        <v>23</v>
      </c>
      <c r="K5061" cm="1">
        <f t="array" ref="K5061">_xlfn.SWITCH(LeadsData[[#This Row],[Funnel Stage Reached]],"Lead",1,"MQL",2,"SQL",3,"Customer",4)</f>
        <v>2</v>
      </c>
      <c r="L5061" t="str">
        <f>TEXT(LeadsData[[#This Row],[Signup Date]],"mmm-yyyy")</f>
        <v>Jan-2024</v>
      </c>
      <c r="M5061">
        <f>IF(LeadsData[[#This Row],[Stage Number]]&gt;=2,1,0)</f>
        <v>1</v>
      </c>
      <c r="N5061" s="2">
        <f>IF(LeadsData[[#This Row],[Stage Number]]&gt;=3,1,0)</f>
        <v>0</v>
      </c>
      <c r="O5061" s="2">
        <f>IF(LeadsData[[#This Row],[Stage Number]]&gt;=4,1,0)</f>
        <v>0</v>
      </c>
    </row>
    <row r="5062" spans="1:15" x14ac:dyDescent="0.25">
      <c r="A5062" t="s">
        <v>5102</v>
      </c>
      <c r="B5062" s="1">
        <v>45455</v>
      </c>
      <c r="C5062" t="s">
        <v>11</v>
      </c>
      <c r="D5062" t="s">
        <v>68</v>
      </c>
      <c r="E5062" t="s">
        <v>13</v>
      </c>
      <c r="F5062" t="s">
        <v>28</v>
      </c>
      <c r="G5062" t="s">
        <v>23</v>
      </c>
      <c r="K5062" cm="1">
        <f t="array" ref="K5062">_xlfn.SWITCH(LeadsData[[#This Row],[Funnel Stage Reached]],"Lead",1,"MQL",2,"SQL",3,"Customer",4)</f>
        <v>2</v>
      </c>
      <c r="L5062" t="str">
        <f>TEXT(LeadsData[[#This Row],[Signup Date]],"mmm-yyyy")</f>
        <v>Jun-2024</v>
      </c>
      <c r="M5062">
        <f>IF(LeadsData[[#This Row],[Stage Number]]&gt;=2,1,0)</f>
        <v>1</v>
      </c>
      <c r="N5062" s="2">
        <f>IF(LeadsData[[#This Row],[Stage Number]]&gt;=3,1,0)</f>
        <v>0</v>
      </c>
      <c r="O5062" s="2">
        <f>IF(LeadsData[[#This Row],[Stage Number]]&gt;=4,1,0)</f>
        <v>0</v>
      </c>
    </row>
    <row r="5063" spans="1:15" x14ac:dyDescent="0.25">
      <c r="A5063" t="s">
        <v>5103</v>
      </c>
      <c r="B5063" s="1">
        <v>45328</v>
      </c>
      <c r="C5063" t="s">
        <v>36</v>
      </c>
      <c r="D5063" t="s">
        <v>37</v>
      </c>
      <c r="E5063" t="s">
        <v>13</v>
      </c>
      <c r="F5063" t="s">
        <v>14</v>
      </c>
      <c r="G5063" t="s">
        <v>15</v>
      </c>
      <c r="K5063" cm="1">
        <f t="array" ref="K5063">_xlfn.SWITCH(LeadsData[[#This Row],[Funnel Stage Reached]],"Lead",1,"MQL",2,"SQL",3,"Customer",4)</f>
        <v>1</v>
      </c>
      <c r="L5063" t="str">
        <f>TEXT(LeadsData[[#This Row],[Signup Date]],"mmm-yyyy")</f>
        <v>Feb-2024</v>
      </c>
      <c r="M5063">
        <f>IF(LeadsData[[#This Row],[Stage Number]]&gt;=2,1,0)</f>
        <v>0</v>
      </c>
      <c r="N5063" s="2">
        <f>IF(LeadsData[[#This Row],[Stage Number]]&gt;=3,1,0)</f>
        <v>0</v>
      </c>
      <c r="O5063" s="2">
        <f>IF(LeadsData[[#This Row],[Stage Number]]&gt;=4,1,0)</f>
        <v>0</v>
      </c>
    </row>
    <row r="5064" spans="1:15" x14ac:dyDescent="0.25">
      <c r="A5064" t="s">
        <v>5104</v>
      </c>
      <c r="B5064" s="1">
        <v>45338</v>
      </c>
      <c r="C5064" t="s">
        <v>25</v>
      </c>
      <c r="D5064" t="s">
        <v>26</v>
      </c>
      <c r="E5064" t="s">
        <v>21</v>
      </c>
      <c r="F5064" t="s">
        <v>14</v>
      </c>
      <c r="G5064" t="s">
        <v>15</v>
      </c>
      <c r="K5064" cm="1">
        <f t="array" ref="K5064">_xlfn.SWITCH(LeadsData[[#This Row],[Funnel Stage Reached]],"Lead",1,"MQL",2,"SQL",3,"Customer",4)</f>
        <v>1</v>
      </c>
      <c r="L5064" t="str">
        <f>TEXT(LeadsData[[#This Row],[Signup Date]],"mmm-yyyy")</f>
        <v>Feb-2024</v>
      </c>
      <c r="M5064">
        <f>IF(LeadsData[[#This Row],[Stage Number]]&gt;=2,1,0)</f>
        <v>0</v>
      </c>
      <c r="N5064" s="2">
        <f>IF(LeadsData[[#This Row],[Stage Number]]&gt;=3,1,0)</f>
        <v>0</v>
      </c>
      <c r="O5064" s="2">
        <f>IF(LeadsData[[#This Row],[Stage Number]]&gt;=4,1,0)</f>
        <v>0</v>
      </c>
    </row>
    <row r="5065" spans="1:15" x14ac:dyDescent="0.25">
      <c r="A5065" t="s">
        <v>5105</v>
      </c>
      <c r="B5065" s="1">
        <v>45370</v>
      </c>
      <c r="C5065" t="s">
        <v>46</v>
      </c>
      <c r="D5065" t="s">
        <v>56</v>
      </c>
      <c r="E5065" t="s">
        <v>21</v>
      </c>
      <c r="F5065" t="s">
        <v>19</v>
      </c>
      <c r="G5065" t="s">
        <v>15</v>
      </c>
      <c r="K5065" cm="1">
        <f t="array" ref="K5065">_xlfn.SWITCH(LeadsData[[#This Row],[Funnel Stage Reached]],"Lead",1,"MQL",2,"SQL",3,"Customer",4)</f>
        <v>1</v>
      </c>
      <c r="L5065" t="str">
        <f>TEXT(LeadsData[[#This Row],[Signup Date]],"mmm-yyyy")</f>
        <v>Mar-2024</v>
      </c>
      <c r="M5065">
        <f>IF(LeadsData[[#This Row],[Stage Number]]&gt;=2,1,0)</f>
        <v>0</v>
      </c>
      <c r="N5065" s="2">
        <f>IF(LeadsData[[#This Row],[Stage Number]]&gt;=3,1,0)</f>
        <v>0</v>
      </c>
      <c r="O5065" s="2">
        <f>IF(LeadsData[[#This Row],[Stage Number]]&gt;=4,1,0)</f>
        <v>0</v>
      </c>
    </row>
    <row r="5066" spans="1:15" x14ac:dyDescent="0.25">
      <c r="A5066" t="s">
        <v>5106</v>
      </c>
      <c r="B5066" s="1">
        <v>45604</v>
      </c>
      <c r="C5066" t="s">
        <v>46</v>
      </c>
      <c r="D5066" t="s">
        <v>47</v>
      </c>
      <c r="E5066" t="s">
        <v>13</v>
      </c>
      <c r="F5066" t="s">
        <v>14</v>
      </c>
      <c r="G5066" t="s">
        <v>23</v>
      </c>
      <c r="K5066" cm="1">
        <f t="array" ref="K5066">_xlfn.SWITCH(LeadsData[[#This Row],[Funnel Stage Reached]],"Lead",1,"MQL",2,"SQL",3,"Customer",4)</f>
        <v>2</v>
      </c>
      <c r="L5066" t="str">
        <f>TEXT(LeadsData[[#This Row],[Signup Date]],"mmm-yyyy")</f>
        <v>Nov-2024</v>
      </c>
      <c r="M5066">
        <f>IF(LeadsData[[#This Row],[Stage Number]]&gt;=2,1,0)</f>
        <v>1</v>
      </c>
      <c r="N5066" s="2">
        <f>IF(LeadsData[[#This Row],[Stage Number]]&gt;=3,1,0)</f>
        <v>0</v>
      </c>
      <c r="O5066" s="2">
        <f>IF(LeadsData[[#This Row],[Stage Number]]&gt;=4,1,0)</f>
        <v>0</v>
      </c>
    </row>
    <row r="5067" spans="1:15" x14ac:dyDescent="0.25">
      <c r="A5067" t="s">
        <v>5107</v>
      </c>
      <c r="B5067" s="1">
        <v>45355</v>
      </c>
      <c r="C5067" t="s">
        <v>31</v>
      </c>
      <c r="D5067" t="s">
        <v>32</v>
      </c>
      <c r="E5067" t="s">
        <v>13</v>
      </c>
      <c r="F5067" t="s">
        <v>19</v>
      </c>
      <c r="G5067" t="s">
        <v>29</v>
      </c>
      <c r="K5067" cm="1">
        <f t="array" ref="K5067">_xlfn.SWITCH(LeadsData[[#This Row],[Funnel Stage Reached]],"Lead",1,"MQL",2,"SQL",3,"Customer",4)</f>
        <v>3</v>
      </c>
      <c r="L5067" t="str">
        <f>TEXT(LeadsData[[#This Row],[Signup Date]],"mmm-yyyy")</f>
        <v>Mar-2024</v>
      </c>
      <c r="M5067">
        <f>IF(LeadsData[[#This Row],[Stage Number]]&gt;=2,1,0)</f>
        <v>1</v>
      </c>
      <c r="N5067" s="2">
        <f>IF(LeadsData[[#This Row],[Stage Number]]&gt;=3,1,0)</f>
        <v>1</v>
      </c>
      <c r="O5067" s="2">
        <f>IF(LeadsData[[#This Row],[Stage Number]]&gt;=4,1,0)</f>
        <v>0</v>
      </c>
    </row>
    <row r="5068" spans="1:15" x14ac:dyDescent="0.25">
      <c r="A5068" t="s">
        <v>5108</v>
      </c>
      <c r="B5068" s="1">
        <v>45546</v>
      </c>
      <c r="C5068" t="s">
        <v>25</v>
      </c>
      <c r="D5068" t="s">
        <v>26</v>
      </c>
      <c r="E5068" t="s">
        <v>21</v>
      </c>
      <c r="F5068" t="s">
        <v>22</v>
      </c>
      <c r="G5068" t="s">
        <v>15</v>
      </c>
      <c r="K5068" cm="1">
        <f t="array" ref="K5068">_xlfn.SWITCH(LeadsData[[#This Row],[Funnel Stage Reached]],"Lead",1,"MQL",2,"SQL",3,"Customer",4)</f>
        <v>1</v>
      </c>
      <c r="L5068" t="str">
        <f>TEXT(LeadsData[[#This Row],[Signup Date]],"mmm-yyyy")</f>
        <v>Sep-2024</v>
      </c>
      <c r="M5068">
        <f>IF(LeadsData[[#This Row],[Stage Number]]&gt;=2,1,0)</f>
        <v>0</v>
      </c>
      <c r="N5068" s="2">
        <f>IF(LeadsData[[#This Row],[Stage Number]]&gt;=3,1,0)</f>
        <v>0</v>
      </c>
      <c r="O5068" s="2">
        <f>IF(LeadsData[[#This Row],[Stage Number]]&gt;=4,1,0)</f>
        <v>0</v>
      </c>
    </row>
    <row r="5069" spans="1:15" x14ac:dyDescent="0.25">
      <c r="A5069" t="s">
        <v>5109</v>
      </c>
      <c r="B5069" s="1">
        <v>45622</v>
      </c>
      <c r="C5069" t="s">
        <v>31</v>
      </c>
      <c r="D5069" t="s">
        <v>34</v>
      </c>
      <c r="E5069" t="s">
        <v>21</v>
      </c>
      <c r="F5069" t="s">
        <v>19</v>
      </c>
      <c r="G5069" t="s">
        <v>15</v>
      </c>
      <c r="K5069" cm="1">
        <f t="array" ref="K5069">_xlfn.SWITCH(LeadsData[[#This Row],[Funnel Stage Reached]],"Lead",1,"MQL",2,"SQL",3,"Customer",4)</f>
        <v>1</v>
      </c>
      <c r="L5069" t="str">
        <f>TEXT(LeadsData[[#This Row],[Signup Date]],"mmm-yyyy")</f>
        <v>Nov-2024</v>
      </c>
      <c r="M5069">
        <f>IF(LeadsData[[#This Row],[Stage Number]]&gt;=2,1,0)</f>
        <v>0</v>
      </c>
      <c r="N5069" s="2">
        <f>IF(LeadsData[[#This Row],[Stage Number]]&gt;=3,1,0)</f>
        <v>0</v>
      </c>
      <c r="O5069" s="2">
        <f>IF(LeadsData[[#This Row],[Stage Number]]&gt;=4,1,0)</f>
        <v>0</v>
      </c>
    </row>
    <row r="5070" spans="1:15" x14ac:dyDescent="0.25">
      <c r="A5070" t="s">
        <v>5110</v>
      </c>
      <c r="B5070" s="1">
        <v>45308</v>
      </c>
      <c r="C5070" t="s">
        <v>31</v>
      </c>
      <c r="D5070" t="s">
        <v>34</v>
      </c>
      <c r="E5070" t="s">
        <v>48</v>
      </c>
      <c r="F5070" t="s">
        <v>22</v>
      </c>
      <c r="G5070" t="s">
        <v>23</v>
      </c>
      <c r="K5070" cm="1">
        <f t="array" ref="K5070">_xlfn.SWITCH(LeadsData[[#This Row],[Funnel Stage Reached]],"Lead",1,"MQL",2,"SQL",3,"Customer",4)</f>
        <v>2</v>
      </c>
      <c r="L5070" t="str">
        <f>TEXT(LeadsData[[#This Row],[Signup Date]],"mmm-yyyy")</f>
        <v>Jan-2024</v>
      </c>
      <c r="M5070">
        <f>IF(LeadsData[[#This Row],[Stage Number]]&gt;=2,1,0)</f>
        <v>1</v>
      </c>
      <c r="N5070" s="2">
        <f>IF(LeadsData[[#This Row],[Stage Number]]&gt;=3,1,0)</f>
        <v>0</v>
      </c>
      <c r="O5070" s="2">
        <f>IF(LeadsData[[#This Row],[Stage Number]]&gt;=4,1,0)</f>
        <v>0</v>
      </c>
    </row>
    <row r="5071" spans="1:15" x14ac:dyDescent="0.25">
      <c r="A5071" t="s">
        <v>5111</v>
      </c>
      <c r="B5071" s="1">
        <v>45433</v>
      </c>
      <c r="C5071" t="s">
        <v>46</v>
      </c>
      <c r="D5071" t="s">
        <v>47</v>
      </c>
      <c r="E5071" t="s">
        <v>21</v>
      </c>
      <c r="F5071" t="s">
        <v>22</v>
      </c>
      <c r="G5071" t="s">
        <v>29</v>
      </c>
      <c r="K5071" cm="1">
        <f t="array" ref="K5071">_xlfn.SWITCH(LeadsData[[#This Row],[Funnel Stage Reached]],"Lead",1,"MQL",2,"SQL",3,"Customer",4)</f>
        <v>3</v>
      </c>
      <c r="L5071" t="str">
        <f>TEXT(LeadsData[[#This Row],[Signup Date]],"mmm-yyyy")</f>
        <v>May-2024</v>
      </c>
      <c r="M5071">
        <f>IF(LeadsData[[#This Row],[Stage Number]]&gt;=2,1,0)</f>
        <v>1</v>
      </c>
      <c r="N5071" s="2">
        <f>IF(LeadsData[[#This Row],[Stage Number]]&gt;=3,1,0)</f>
        <v>1</v>
      </c>
      <c r="O5071" s="2">
        <f>IF(LeadsData[[#This Row],[Stage Number]]&gt;=4,1,0)</f>
        <v>0</v>
      </c>
    </row>
    <row r="5072" spans="1:15" x14ac:dyDescent="0.25">
      <c r="A5072" t="s">
        <v>5112</v>
      </c>
      <c r="B5072" s="1">
        <v>45372</v>
      </c>
      <c r="C5072" t="s">
        <v>31</v>
      </c>
      <c r="D5072" t="s">
        <v>32</v>
      </c>
      <c r="E5072" t="s">
        <v>13</v>
      </c>
      <c r="F5072" t="s">
        <v>22</v>
      </c>
      <c r="G5072" t="s">
        <v>15</v>
      </c>
      <c r="K5072" cm="1">
        <f t="array" ref="K5072">_xlfn.SWITCH(LeadsData[[#This Row],[Funnel Stage Reached]],"Lead",1,"MQL",2,"SQL",3,"Customer",4)</f>
        <v>1</v>
      </c>
      <c r="L5072" t="str">
        <f>TEXT(LeadsData[[#This Row],[Signup Date]],"mmm-yyyy")</f>
        <v>Mar-2024</v>
      </c>
      <c r="M5072">
        <f>IF(LeadsData[[#This Row],[Stage Number]]&gt;=2,1,0)</f>
        <v>0</v>
      </c>
      <c r="N5072" s="2">
        <f>IF(LeadsData[[#This Row],[Stage Number]]&gt;=3,1,0)</f>
        <v>0</v>
      </c>
      <c r="O5072" s="2">
        <f>IF(LeadsData[[#This Row],[Stage Number]]&gt;=4,1,0)</f>
        <v>0</v>
      </c>
    </row>
    <row r="5073" spans="1:15" x14ac:dyDescent="0.25">
      <c r="A5073" t="s">
        <v>5113</v>
      </c>
      <c r="B5073" s="1">
        <v>45436</v>
      </c>
      <c r="C5073" t="s">
        <v>31</v>
      </c>
      <c r="D5073" t="s">
        <v>34</v>
      </c>
      <c r="E5073" t="s">
        <v>21</v>
      </c>
      <c r="F5073" t="s">
        <v>22</v>
      </c>
      <c r="G5073" t="s">
        <v>15</v>
      </c>
      <c r="K5073" cm="1">
        <f t="array" ref="K5073">_xlfn.SWITCH(LeadsData[[#This Row],[Funnel Stage Reached]],"Lead",1,"MQL",2,"SQL",3,"Customer",4)</f>
        <v>1</v>
      </c>
      <c r="L5073" t="str">
        <f>TEXT(LeadsData[[#This Row],[Signup Date]],"mmm-yyyy")</f>
        <v>May-2024</v>
      </c>
      <c r="M5073">
        <f>IF(LeadsData[[#This Row],[Stage Number]]&gt;=2,1,0)</f>
        <v>0</v>
      </c>
      <c r="N5073" s="2">
        <f>IF(LeadsData[[#This Row],[Stage Number]]&gt;=3,1,0)</f>
        <v>0</v>
      </c>
      <c r="O5073" s="2">
        <f>IF(LeadsData[[#This Row],[Stage Number]]&gt;=4,1,0)</f>
        <v>0</v>
      </c>
    </row>
    <row r="5074" spans="1:15" x14ac:dyDescent="0.25">
      <c r="A5074" t="s">
        <v>5114</v>
      </c>
      <c r="B5074" s="1">
        <v>45347</v>
      </c>
      <c r="C5074" t="s">
        <v>17</v>
      </c>
      <c r="D5074" t="s">
        <v>53</v>
      </c>
      <c r="E5074" t="s">
        <v>13</v>
      </c>
      <c r="F5074" t="s">
        <v>19</v>
      </c>
      <c r="G5074" t="s">
        <v>15</v>
      </c>
      <c r="K5074" cm="1">
        <f t="array" ref="K5074">_xlfn.SWITCH(LeadsData[[#This Row],[Funnel Stage Reached]],"Lead",1,"MQL",2,"SQL",3,"Customer",4)</f>
        <v>1</v>
      </c>
      <c r="L5074" t="str">
        <f>TEXT(LeadsData[[#This Row],[Signup Date]],"mmm-yyyy")</f>
        <v>Feb-2024</v>
      </c>
      <c r="M5074">
        <f>IF(LeadsData[[#This Row],[Stage Number]]&gt;=2,1,0)</f>
        <v>0</v>
      </c>
      <c r="N5074" s="2">
        <f>IF(LeadsData[[#This Row],[Stage Number]]&gt;=3,1,0)</f>
        <v>0</v>
      </c>
      <c r="O5074" s="2">
        <f>IF(LeadsData[[#This Row],[Stage Number]]&gt;=4,1,0)</f>
        <v>0</v>
      </c>
    </row>
    <row r="5075" spans="1:15" x14ac:dyDescent="0.25">
      <c r="A5075" t="s">
        <v>5115</v>
      </c>
      <c r="B5075" s="1">
        <v>45352</v>
      </c>
      <c r="C5075" t="s">
        <v>25</v>
      </c>
      <c r="D5075" t="s">
        <v>26</v>
      </c>
      <c r="E5075" t="s">
        <v>21</v>
      </c>
      <c r="F5075" t="s">
        <v>19</v>
      </c>
      <c r="G5075" t="s">
        <v>23</v>
      </c>
      <c r="K5075" cm="1">
        <f t="array" ref="K5075">_xlfn.SWITCH(LeadsData[[#This Row],[Funnel Stage Reached]],"Lead",1,"MQL",2,"SQL",3,"Customer",4)</f>
        <v>2</v>
      </c>
      <c r="L5075" t="str">
        <f>TEXT(LeadsData[[#This Row],[Signup Date]],"mmm-yyyy")</f>
        <v>Mar-2024</v>
      </c>
      <c r="M5075">
        <f>IF(LeadsData[[#This Row],[Stage Number]]&gt;=2,1,0)</f>
        <v>1</v>
      </c>
      <c r="N5075" s="2">
        <f>IF(LeadsData[[#This Row],[Stage Number]]&gt;=3,1,0)</f>
        <v>0</v>
      </c>
      <c r="O5075" s="2">
        <f>IF(LeadsData[[#This Row],[Stage Number]]&gt;=4,1,0)</f>
        <v>0</v>
      </c>
    </row>
    <row r="5076" spans="1:15" x14ac:dyDescent="0.25">
      <c r="A5076" t="s">
        <v>5116</v>
      </c>
      <c r="B5076" s="1">
        <v>45514</v>
      </c>
      <c r="C5076" t="s">
        <v>36</v>
      </c>
      <c r="D5076" t="s">
        <v>37</v>
      </c>
      <c r="E5076" t="s">
        <v>21</v>
      </c>
      <c r="F5076" t="s">
        <v>19</v>
      </c>
      <c r="G5076" t="s">
        <v>29</v>
      </c>
      <c r="K5076" cm="1">
        <f t="array" ref="K5076">_xlfn.SWITCH(LeadsData[[#This Row],[Funnel Stage Reached]],"Lead",1,"MQL",2,"SQL",3,"Customer",4)</f>
        <v>3</v>
      </c>
      <c r="L5076" t="str">
        <f>TEXT(LeadsData[[#This Row],[Signup Date]],"mmm-yyyy")</f>
        <v>Aug-2024</v>
      </c>
      <c r="M5076">
        <f>IF(LeadsData[[#This Row],[Stage Number]]&gt;=2,1,0)</f>
        <v>1</v>
      </c>
      <c r="N5076" s="2">
        <f>IF(LeadsData[[#This Row],[Stage Number]]&gt;=3,1,0)</f>
        <v>1</v>
      </c>
      <c r="O5076" s="2">
        <f>IF(LeadsData[[#This Row],[Stage Number]]&gt;=4,1,0)</f>
        <v>0</v>
      </c>
    </row>
    <row r="5077" spans="1:15" x14ac:dyDescent="0.25">
      <c r="A5077" t="s">
        <v>5117</v>
      </c>
      <c r="B5077" s="1">
        <v>45367</v>
      </c>
      <c r="C5077" t="s">
        <v>31</v>
      </c>
      <c r="D5077" t="s">
        <v>34</v>
      </c>
      <c r="E5077" t="s">
        <v>13</v>
      </c>
      <c r="F5077" t="s">
        <v>19</v>
      </c>
      <c r="G5077" t="s">
        <v>29</v>
      </c>
      <c r="K5077" cm="1">
        <f t="array" ref="K5077">_xlfn.SWITCH(LeadsData[[#This Row],[Funnel Stage Reached]],"Lead",1,"MQL",2,"SQL",3,"Customer",4)</f>
        <v>3</v>
      </c>
      <c r="L5077" t="str">
        <f>TEXT(LeadsData[[#This Row],[Signup Date]],"mmm-yyyy")</f>
        <v>Mar-2024</v>
      </c>
      <c r="M5077">
        <f>IF(LeadsData[[#This Row],[Stage Number]]&gt;=2,1,0)</f>
        <v>1</v>
      </c>
      <c r="N5077" s="2">
        <f>IF(LeadsData[[#This Row],[Stage Number]]&gt;=3,1,0)</f>
        <v>1</v>
      </c>
      <c r="O5077" s="2">
        <f>IF(LeadsData[[#This Row],[Stage Number]]&gt;=4,1,0)</f>
        <v>0</v>
      </c>
    </row>
    <row r="5078" spans="1:15" x14ac:dyDescent="0.25">
      <c r="A5078" t="s">
        <v>5118</v>
      </c>
      <c r="B5078" s="1">
        <v>45566</v>
      </c>
      <c r="C5078" t="s">
        <v>46</v>
      </c>
      <c r="D5078" t="s">
        <v>56</v>
      </c>
      <c r="E5078" t="s">
        <v>21</v>
      </c>
      <c r="F5078" t="s">
        <v>14</v>
      </c>
      <c r="G5078" t="s">
        <v>23</v>
      </c>
      <c r="K5078" cm="1">
        <f t="array" ref="K5078">_xlfn.SWITCH(LeadsData[[#This Row],[Funnel Stage Reached]],"Lead",1,"MQL",2,"SQL",3,"Customer",4)</f>
        <v>2</v>
      </c>
      <c r="L5078" t="str">
        <f>TEXT(LeadsData[[#This Row],[Signup Date]],"mmm-yyyy")</f>
        <v>Oct-2024</v>
      </c>
      <c r="M5078">
        <f>IF(LeadsData[[#This Row],[Stage Number]]&gt;=2,1,0)</f>
        <v>1</v>
      </c>
      <c r="N5078" s="2">
        <f>IF(LeadsData[[#This Row],[Stage Number]]&gt;=3,1,0)</f>
        <v>0</v>
      </c>
      <c r="O5078" s="2">
        <f>IF(LeadsData[[#This Row],[Stage Number]]&gt;=4,1,0)</f>
        <v>0</v>
      </c>
    </row>
    <row r="5079" spans="1:15" x14ac:dyDescent="0.25">
      <c r="A5079" t="s">
        <v>5119</v>
      </c>
      <c r="B5079" s="1">
        <v>45507</v>
      </c>
      <c r="C5079" t="s">
        <v>46</v>
      </c>
      <c r="D5079" t="s">
        <v>47</v>
      </c>
      <c r="E5079" t="s">
        <v>21</v>
      </c>
      <c r="F5079" t="s">
        <v>22</v>
      </c>
      <c r="G5079" t="s">
        <v>23</v>
      </c>
      <c r="K5079" cm="1">
        <f t="array" ref="K5079">_xlfn.SWITCH(LeadsData[[#This Row],[Funnel Stage Reached]],"Lead",1,"MQL",2,"SQL",3,"Customer",4)</f>
        <v>2</v>
      </c>
      <c r="L5079" t="str">
        <f>TEXT(LeadsData[[#This Row],[Signup Date]],"mmm-yyyy")</f>
        <v>Aug-2024</v>
      </c>
      <c r="M5079">
        <f>IF(LeadsData[[#This Row],[Stage Number]]&gt;=2,1,0)</f>
        <v>1</v>
      </c>
      <c r="N5079" s="2">
        <f>IF(LeadsData[[#This Row],[Stage Number]]&gt;=3,1,0)</f>
        <v>0</v>
      </c>
      <c r="O5079" s="2">
        <f>IF(LeadsData[[#This Row],[Stage Number]]&gt;=4,1,0)</f>
        <v>0</v>
      </c>
    </row>
    <row r="5080" spans="1:15" x14ac:dyDescent="0.25">
      <c r="A5080" t="s">
        <v>5120</v>
      </c>
      <c r="B5080" s="1">
        <v>45428</v>
      </c>
      <c r="C5080" t="s">
        <v>25</v>
      </c>
      <c r="D5080" t="s">
        <v>26</v>
      </c>
      <c r="E5080" t="s">
        <v>21</v>
      </c>
      <c r="F5080" t="s">
        <v>19</v>
      </c>
      <c r="G5080" t="s">
        <v>15</v>
      </c>
      <c r="K5080" cm="1">
        <f t="array" ref="K5080">_xlfn.SWITCH(LeadsData[[#This Row],[Funnel Stage Reached]],"Lead",1,"MQL",2,"SQL",3,"Customer",4)</f>
        <v>1</v>
      </c>
      <c r="L5080" t="str">
        <f>TEXT(LeadsData[[#This Row],[Signup Date]],"mmm-yyyy")</f>
        <v>May-2024</v>
      </c>
      <c r="M5080">
        <f>IF(LeadsData[[#This Row],[Stage Number]]&gt;=2,1,0)</f>
        <v>0</v>
      </c>
      <c r="N5080" s="2">
        <f>IF(LeadsData[[#This Row],[Stage Number]]&gt;=3,1,0)</f>
        <v>0</v>
      </c>
      <c r="O5080" s="2">
        <f>IF(LeadsData[[#This Row],[Stage Number]]&gt;=4,1,0)</f>
        <v>0</v>
      </c>
    </row>
    <row r="5081" spans="1:15" x14ac:dyDescent="0.25">
      <c r="A5081" t="s">
        <v>5121</v>
      </c>
      <c r="B5081" s="1">
        <v>45376</v>
      </c>
      <c r="C5081" t="s">
        <v>46</v>
      </c>
      <c r="D5081" t="s">
        <v>56</v>
      </c>
      <c r="E5081" t="s">
        <v>21</v>
      </c>
      <c r="F5081" t="s">
        <v>19</v>
      </c>
      <c r="G5081" t="s">
        <v>42</v>
      </c>
      <c r="H5081">
        <v>56</v>
      </c>
      <c r="I5081" t="s">
        <v>87</v>
      </c>
      <c r="J5081">
        <v>3707.16</v>
      </c>
      <c r="K5081" cm="1">
        <f t="array" ref="K5081">_xlfn.SWITCH(LeadsData[[#This Row],[Funnel Stage Reached]],"Lead",1,"MQL",2,"SQL",3,"Customer",4)</f>
        <v>4</v>
      </c>
      <c r="L5081" t="str">
        <f>TEXT(LeadsData[[#This Row],[Signup Date]],"mmm-yyyy")</f>
        <v>Mar-2024</v>
      </c>
      <c r="M5081">
        <f>IF(LeadsData[[#This Row],[Stage Number]]&gt;=2,1,0)</f>
        <v>1</v>
      </c>
      <c r="N5081" s="2">
        <f>IF(LeadsData[[#This Row],[Stage Number]]&gt;=3,1,0)</f>
        <v>1</v>
      </c>
      <c r="O5081" s="2">
        <f>IF(LeadsData[[#This Row],[Stage Number]]&gt;=4,1,0)</f>
        <v>1</v>
      </c>
    </row>
    <row r="5082" spans="1:15" x14ac:dyDescent="0.25">
      <c r="A5082" t="s">
        <v>5122</v>
      </c>
      <c r="B5082" s="1">
        <v>45567</v>
      </c>
      <c r="C5082" t="s">
        <v>17</v>
      </c>
      <c r="D5082" t="s">
        <v>53</v>
      </c>
      <c r="E5082" t="s">
        <v>13</v>
      </c>
      <c r="F5082" t="s">
        <v>19</v>
      </c>
      <c r="G5082" t="s">
        <v>15</v>
      </c>
      <c r="K5082" cm="1">
        <f t="array" ref="K5082">_xlfn.SWITCH(LeadsData[[#This Row],[Funnel Stage Reached]],"Lead",1,"MQL",2,"SQL",3,"Customer",4)</f>
        <v>1</v>
      </c>
      <c r="L5082" t="str">
        <f>TEXT(LeadsData[[#This Row],[Signup Date]],"mmm-yyyy")</f>
        <v>Oct-2024</v>
      </c>
      <c r="M5082">
        <f>IF(LeadsData[[#This Row],[Stage Number]]&gt;=2,1,0)</f>
        <v>0</v>
      </c>
      <c r="N5082" s="2">
        <f>IF(LeadsData[[#This Row],[Stage Number]]&gt;=3,1,0)</f>
        <v>0</v>
      </c>
      <c r="O5082" s="2">
        <f>IF(LeadsData[[#This Row],[Stage Number]]&gt;=4,1,0)</f>
        <v>0</v>
      </c>
    </row>
    <row r="5083" spans="1:15" x14ac:dyDescent="0.25">
      <c r="A5083" t="s">
        <v>5123</v>
      </c>
      <c r="B5083" s="1">
        <v>45563</v>
      </c>
      <c r="C5083" t="s">
        <v>25</v>
      </c>
      <c r="D5083" t="s">
        <v>26</v>
      </c>
      <c r="E5083" t="s">
        <v>13</v>
      </c>
      <c r="F5083" t="s">
        <v>14</v>
      </c>
      <c r="G5083" t="s">
        <v>15</v>
      </c>
      <c r="K5083" cm="1">
        <f t="array" ref="K5083">_xlfn.SWITCH(LeadsData[[#This Row],[Funnel Stage Reached]],"Lead",1,"MQL",2,"SQL",3,"Customer",4)</f>
        <v>1</v>
      </c>
      <c r="L5083" t="str">
        <f>TEXT(LeadsData[[#This Row],[Signup Date]],"mmm-yyyy")</f>
        <v>Sep-2024</v>
      </c>
      <c r="M5083">
        <f>IF(LeadsData[[#This Row],[Stage Number]]&gt;=2,1,0)</f>
        <v>0</v>
      </c>
      <c r="N5083" s="2">
        <f>IF(LeadsData[[#This Row],[Stage Number]]&gt;=3,1,0)</f>
        <v>0</v>
      </c>
      <c r="O5083" s="2">
        <f>IF(LeadsData[[#This Row],[Stage Number]]&gt;=4,1,0)</f>
        <v>0</v>
      </c>
    </row>
    <row r="5084" spans="1:15" x14ac:dyDescent="0.25">
      <c r="A5084" t="s">
        <v>5124</v>
      </c>
      <c r="B5084" s="1">
        <v>45581</v>
      </c>
      <c r="C5084" t="s">
        <v>31</v>
      </c>
      <c r="D5084" t="s">
        <v>32</v>
      </c>
      <c r="E5084" t="s">
        <v>13</v>
      </c>
      <c r="F5084" t="s">
        <v>19</v>
      </c>
      <c r="G5084" t="s">
        <v>15</v>
      </c>
      <c r="K5084" cm="1">
        <f t="array" ref="K5084">_xlfn.SWITCH(LeadsData[[#This Row],[Funnel Stage Reached]],"Lead",1,"MQL",2,"SQL",3,"Customer",4)</f>
        <v>1</v>
      </c>
      <c r="L5084" t="str">
        <f>TEXT(LeadsData[[#This Row],[Signup Date]],"mmm-yyyy")</f>
        <v>Oct-2024</v>
      </c>
      <c r="M5084">
        <f>IF(LeadsData[[#This Row],[Stage Number]]&gt;=2,1,0)</f>
        <v>0</v>
      </c>
      <c r="N5084" s="2">
        <f>IF(LeadsData[[#This Row],[Stage Number]]&gt;=3,1,0)</f>
        <v>0</v>
      </c>
      <c r="O5084" s="2">
        <f>IF(LeadsData[[#This Row],[Stage Number]]&gt;=4,1,0)</f>
        <v>0</v>
      </c>
    </row>
    <row r="5085" spans="1:15" x14ac:dyDescent="0.25">
      <c r="A5085" t="s">
        <v>5125</v>
      </c>
      <c r="B5085" s="1">
        <v>45600</v>
      </c>
      <c r="C5085" t="s">
        <v>31</v>
      </c>
      <c r="D5085" t="s">
        <v>32</v>
      </c>
      <c r="E5085" t="s">
        <v>21</v>
      </c>
      <c r="F5085" t="s">
        <v>22</v>
      </c>
      <c r="G5085" t="s">
        <v>23</v>
      </c>
      <c r="K5085" cm="1">
        <f t="array" ref="K5085">_xlfn.SWITCH(LeadsData[[#This Row],[Funnel Stage Reached]],"Lead",1,"MQL",2,"SQL",3,"Customer",4)</f>
        <v>2</v>
      </c>
      <c r="L5085" t="str">
        <f>TEXT(LeadsData[[#This Row],[Signup Date]],"mmm-yyyy")</f>
        <v>Nov-2024</v>
      </c>
      <c r="M5085">
        <f>IF(LeadsData[[#This Row],[Stage Number]]&gt;=2,1,0)</f>
        <v>1</v>
      </c>
      <c r="N5085" s="2">
        <f>IF(LeadsData[[#This Row],[Stage Number]]&gt;=3,1,0)</f>
        <v>0</v>
      </c>
      <c r="O5085" s="2">
        <f>IF(LeadsData[[#This Row],[Stage Number]]&gt;=4,1,0)</f>
        <v>0</v>
      </c>
    </row>
    <row r="5086" spans="1:15" x14ac:dyDescent="0.25">
      <c r="A5086" t="s">
        <v>5126</v>
      </c>
      <c r="B5086" s="1">
        <v>45423</v>
      </c>
      <c r="C5086" t="s">
        <v>46</v>
      </c>
      <c r="D5086" t="s">
        <v>47</v>
      </c>
      <c r="E5086" t="s">
        <v>13</v>
      </c>
      <c r="F5086" t="s">
        <v>22</v>
      </c>
      <c r="G5086" t="s">
        <v>15</v>
      </c>
      <c r="K5086" cm="1">
        <f t="array" ref="K5086">_xlfn.SWITCH(LeadsData[[#This Row],[Funnel Stage Reached]],"Lead",1,"MQL",2,"SQL",3,"Customer",4)</f>
        <v>1</v>
      </c>
      <c r="L5086" t="str">
        <f>TEXT(LeadsData[[#This Row],[Signup Date]],"mmm-yyyy")</f>
        <v>May-2024</v>
      </c>
      <c r="M5086">
        <f>IF(LeadsData[[#This Row],[Stage Number]]&gt;=2,1,0)</f>
        <v>0</v>
      </c>
      <c r="N5086" s="2">
        <f>IF(LeadsData[[#This Row],[Stage Number]]&gt;=3,1,0)</f>
        <v>0</v>
      </c>
      <c r="O5086" s="2">
        <f>IF(LeadsData[[#This Row],[Stage Number]]&gt;=4,1,0)</f>
        <v>0</v>
      </c>
    </row>
    <row r="5087" spans="1:15" x14ac:dyDescent="0.25">
      <c r="A5087" t="s">
        <v>5127</v>
      </c>
      <c r="B5087" s="1">
        <v>45617</v>
      </c>
      <c r="C5087" t="s">
        <v>46</v>
      </c>
      <c r="D5087" t="s">
        <v>47</v>
      </c>
      <c r="E5087" t="s">
        <v>48</v>
      </c>
      <c r="F5087" t="s">
        <v>28</v>
      </c>
      <c r="G5087" t="s">
        <v>15</v>
      </c>
      <c r="K5087" cm="1">
        <f t="array" ref="K5087">_xlfn.SWITCH(LeadsData[[#This Row],[Funnel Stage Reached]],"Lead",1,"MQL",2,"SQL",3,"Customer",4)</f>
        <v>1</v>
      </c>
      <c r="L5087" t="str">
        <f>TEXT(LeadsData[[#This Row],[Signup Date]],"mmm-yyyy")</f>
        <v>Nov-2024</v>
      </c>
      <c r="M5087">
        <f>IF(LeadsData[[#This Row],[Stage Number]]&gt;=2,1,0)</f>
        <v>0</v>
      </c>
      <c r="N5087" s="2">
        <f>IF(LeadsData[[#This Row],[Stage Number]]&gt;=3,1,0)</f>
        <v>0</v>
      </c>
      <c r="O5087" s="2">
        <f>IF(LeadsData[[#This Row],[Stage Number]]&gt;=4,1,0)</f>
        <v>0</v>
      </c>
    </row>
    <row r="5088" spans="1:15" x14ac:dyDescent="0.25">
      <c r="A5088" t="s">
        <v>5128</v>
      </c>
      <c r="B5088" s="1">
        <v>45407</v>
      </c>
      <c r="C5088" t="s">
        <v>11</v>
      </c>
      <c r="D5088" t="s">
        <v>12</v>
      </c>
      <c r="E5088" t="s">
        <v>13</v>
      </c>
      <c r="F5088" t="s">
        <v>19</v>
      </c>
      <c r="G5088" t="s">
        <v>15</v>
      </c>
      <c r="K5088" cm="1">
        <f t="array" ref="K5088">_xlfn.SWITCH(LeadsData[[#This Row],[Funnel Stage Reached]],"Lead",1,"MQL",2,"SQL",3,"Customer",4)</f>
        <v>1</v>
      </c>
      <c r="L5088" t="str">
        <f>TEXT(LeadsData[[#This Row],[Signup Date]],"mmm-yyyy")</f>
        <v>Apr-2024</v>
      </c>
      <c r="M5088">
        <f>IF(LeadsData[[#This Row],[Stage Number]]&gt;=2,1,0)</f>
        <v>0</v>
      </c>
      <c r="N5088" s="2">
        <f>IF(LeadsData[[#This Row],[Stage Number]]&gt;=3,1,0)</f>
        <v>0</v>
      </c>
      <c r="O5088" s="2">
        <f>IF(LeadsData[[#This Row],[Stage Number]]&gt;=4,1,0)</f>
        <v>0</v>
      </c>
    </row>
    <row r="5089" spans="1:15" x14ac:dyDescent="0.25">
      <c r="A5089" t="s">
        <v>5129</v>
      </c>
      <c r="B5089" s="1">
        <v>45638</v>
      </c>
      <c r="C5089" t="s">
        <v>31</v>
      </c>
      <c r="D5089" t="s">
        <v>34</v>
      </c>
      <c r="E5089" t="s">
        <v>48</v>
      </c>
      <c r="F5089" t="s">
        <v>19</v>
      </c>
      <c r="G5089" t="s">
        <v>15</v>
      </c>
      <c r="K5089" cm="1">
        <f t="array" ref="K5089">_xlfn.SWITCH(LeadsData[[#This Row],[Funnel Stage Reached]],"Lead",1,"MQL",2,"SQL",3,"Customer",4)</f>
        <v>1</v>
      </c>
      <c r="L5089" t="str">
        <f>TEXT(LeadsData[[#This Row],[Signup Date]],"mmm-yyyy")</f>
        <v>Dec-2024</v>
      </c>
      <c r="M5089">
        <f>IF(LeadsData[[#This Row],[Stage Number]]&gt;=2,1,0)</f>
        <v>0</v>
      </c>
      <c r="N5089" s="2">
        <f>IF(LeadsData[[#This Row],[Stage Number]]&gt;=3,1,0)</f>
        <v>0</v>
      </c>
      <c r="O5089" s="2">
        <f>IF(LeadsData[[#This Row],[Stage Number]]&gt;=4,1,0)</f>
        <v>0</v>
      </c>
    </row>
    <row r="5090" spans="1:15" x14ac:dyDescent="0.25">
      <c r="A5090" t="s">
        <v>5130</v>
      </c>
      <c r="B5090" s="1">
        <v>45399</v>
      </c>
      <c r="C5090" t="s">
        <v>25</v>
      </c>
      <c r="D5090" t="s">
        <v>26</v>
      </c>
      <c r="E5090" t="s">
        <v>48</v>
      </c>
      <c r="F5090" t="s">
        <v>19</v>
      </c>
      <c r="G5090" t="s">
        <v>15</v>
      </c>
      <c r="K5090" cm="1">
        <f t="array" ref="K5090">_xlfn.SWITCH(LeadsData[[#This Row],[Funnel Stage Reached]],"Lead",1,"MQL",2,"SQL",3,"Customer",4)</f>
        <v>1</v>
      </c>
      <c r="L5090" t="str">
        <f>TEXT(LeadsData[[#This Row],[Signup Date]],"mmm-yyyy")</f>
        <v>Apr-2024</v>
      </c>
      <c r="M5090">
        <f>IF(LeadsData[[#This Row],[Stage Number]]&gt;=2,1,0)</f>
        <v>0</v>
      </c>
      <c r="N5090" s="2">
        <f>IF(LeadsData[[#This Row],[Stage Number]]&gt;=3,1,0)</f>
        <v>0</v>
      </c>
      <c r="O5090" s="2">
        <f>IF(LeadsData[[#This Row],[Stage Number]]&gt;=4,1,0)</f>
        <v>0</v>
      </c>
    </row>
    <row r="5091" spans="1:15" x14ac:dyDescent="0.25">
      <c r="A5091" t="s">
        <v>5131</v>
      </c>
      <c r="B5091" s="1">
        <v>45294</v>
      </c>
      <c r="C5091" t="s">
        <v>31</v>
      </c>
      <c r="D5091" t="s">
        <v>34</v>
      </c>
      <c r="E5091" t="s">
        <v>21</v>
      </c>
      <c r="F5091" t="s">
        <v>22</v>
      </c>
      <c r="G5091" t="s">
        <v>42</v>
      </c>
      <c r="H5091">
        <v>27</v>
      </c>
      <c r="I5091" t="s">
        <v>87</v>
      </c>
      <c r="J5091">
        <v>4745.6400000000003</v>
      </c>
      <c r="K5091" cm="1">
        <f t="array" ref="K5091">_xlfn.SWITCH(LeadsData[[#This Row],[Funnel Stage Reached]],"Lead",1,"MQL",2,"SQL",3,"Customer",4)</f>
        <v>4</v>
      </c>
      <c r="L5091" t="str">
        <f>TEXT(LeadsData[[#This Row],[Signup Date]],"mmm-yyyy")</f>
        <v>Jan-2024</v>
      </c>
      <c r="M5091">
        <f>IF(LeadsData[[#This Row],[Stage Number]]&gt;=2,1,0)</f>
        <v>1</v>
      </c>
      <c r="N5091" s="2">
        <f>IF(LeadsData[[#This Row],[Stage Number]]&gt;=3,1,0)</f>
        <v>1</v>
      </c>
      <c r="O5091" s="2">
        <f>IF(LeadsData[[#This Row],[Stage Number]]&gt;=4,1,0)</f>
        <v>1</v>
      </c>
    </row>
    <row r="5092" spans="1:15" x14ac:dyDescent="0.25">
      <c r="A5092" t="s">
        <v>5132</v>
      </c>
      <c r="B5092" s="1">
        <v>45386</v>
      </c>
      <c r="C5092" t="s">
        <v>46</v>
      </c>
      <c r="D5092" t="s">
        <v>56</v>
      </c>
      <c r="E5092" t="s">
        <v>21</v>
      </c>
      <c r="F5092" t="s">
        <v>19</v>
      </c>
      <c r="G5092" t="s">
        <v>23</v>
      </c>
      <c r="K5092" cm="1">
        <f t="array" ref="K5092">_xlfn.SWITCH(LeadsData[[#This Row],[Funnel Stage Reached]],"Lead",1,"MQL",2,"SQL",3,"Customer",4)</f>
        <v>2</v>
      </c>
      <c r="L5092" t="str">
        <f>TEXT(LeadsData[[#This Row],[Signup Date]],"mmm-yyyy")</f>
        <v>Apr-2024</v>
      </c>
      <c r="M5092">
        <f>IF(LeadsData[[#This Row],[Stage Number]]&gt;=2,1,0)</f>
        <v>1</v>
      </c>
      <c r="N5092" s="2">
        <f>IF(LeadsData[[#This Row],[Stage Number]]&gt;=3,1,0)</f>
        <v>0</v>
      </c>
      <c r="O5092" s="2">
        <f>IF(LeadsData[[#This Row],[Stage Number]]&gt;=4,1,0)</f>
        <v>0</v>
      </c>
    </row>
    <row r="5093" spans="1:15" x14ac:dyDescent="0.25">
      <c r="A5093" t="s">
        <v>5133</v>
      </c>
      <c r="B5093" s="1">
        <v>45408</v>
      </c>
      <c r="C5093" t="s">
        <v>25</v>
      </c>
      <c r="D5093" t="s">
        <v>26</v>
      </c>
      <c r="E5093" t="s">
        <v>13</v>
      </c>
      <c r="F5093" t="s">
        <v>19</v>
      </c>
      <c r="G5093" t="s">
        <v>29</v>
      </c>
      <c r="K5093" cm="1">
        <f t="array" ref="K5093">_xlfn.SWITCH(LeadsData[[#This Row],[Funnel Stage Reached]],"Lead",1,"MQL",2,"SQL",3,"Customer",4)</f>
        <v>3</v>
      </c>
      <c r="L5093" t="str">
        <f>TEXT(LeadsData[[#This Row],[Signup Date]],"mmm-yyyy")</f>
        <v>Apr-2024</v>
      </c>
      <c r="M5093">
        <f>IF(LeadsData[[#This Row],[Stage Number]]&gt;=2,1,0)</f>
        <v>1</v>
      </c>
      <c r="N5093" s="2">
        <f>IF(LeadsData[[#This Row],[Stage Number]]&gt;=3,1,0)</f>
        <v>1</v>
      </c>
      <c r="O5093" s="2">
        <f>IF(LeadsData[[#This Row],[Stage Number]]&gt;=4,1,0)</f>
        <v>0</v>
      </c>
    </row>
    <row r="5094" spans="1:15" x14ac:dyDescent="0.25">
      <c r="A5094" t="s">
        <v>5134</v>
      </c>
      <c r="B5094" s="1">
        <v>45343</v>
      </c>
      <c r="C5094" t="s">
        <v>17</v>
      </c>
      <c r="D5094" t="s">
        <v>53</v>
      </c>
      <c r="E5094" t="s">
        <v>48</v>
      </c>
      <c r="F5094" t="s">
        <v>19</v>
      </c>
      <c r="G5094" t="s">
        <v>15</v>
      </c>
      <c r="K5094" cm="1">
        <f t="array" ref="K5094">_xlfn.SWITCH(LeadsData[[#This Row],[Funnel Stage Reached]],"Lead",1,"MQL",2,"SQL",3,"Customer",4)</f>
        <v>1</v>
      </c>
      <c r="L5094" t="str">
        <f>TEXT(LeadsData[[#This Row],[Signup Date]],"mmm-yyyy")</f>
        <v>Feb-2024</v>
      </c>
      <c r="M5094">
        <f>IF(LeadsData[[#This Row],[Stage Number]]&gt;=2,1,0)</f>
        <v>0</v>
      </c>
      <c r="N5094" s="2">
        <f>IF(LeadsData[[#This Row],[Stage Number]]&gt;=3,1,0)</f>
        <v>0</v>
      </c>
      <c r="O5094" s="2">
        <f>IF(LeadsData[[#This Row],[Stage Number]]&gt;=4,1,0)</f>
        <v>0</v>
      </c>
    </row>
    <row r="5095" spans="1:15" x14ac:dyDescent="0.25">
      <c r="A5095" t="s">
        <v>5135</v>
      </c>
      <c r="B5095" s="1">
        <v>45497</v>
      </c>
      <c r="C5095" t="s">
        <v>31</v>
      </c>
      <c r="D5095" t="s">
        <v>32</v>
      </c>
      <c r="E5095" t="s">
        <v>48</v>
      </c>
      <c r="F5095" t="s">
        <v>22</v>
      </c>
      <c r="G5095" t="s">
        <v>15</v>
      </c>
      <c r="K5095" cm="1">
        <f t="array" ref="K5095">_xlfn.SWITCH(LeadsData[[#This Row],[Funnel Stage Reached]],"Lead",1,"MQL",2,"SQL",3,"Customer",4)</f>
        <v>1</v>
      </c>
      <c r="L5095" t="str">
        <f>TEXT(LeadsData[[#This Row],[Signup Date]],"mmm-yyyy")</f>
        <v>Jul-2024</v>
      </c>
      <c r="M5095">
        <f>IF(LeadsData[[#This Row],[Stage Number]]&gt;=2,1,0)</f>
        <v>0</v>
      </c>
      <c r="N5095" s="2">
        <f>IF(LeadsData[[#This Row],[Stage Number]]&gt;=3,1,0)</f>
        <v>0</v>
      </c>
      <c r="O5095" s="2">
        <f>IF(LeadsData[[#This Row],[Stage Number]]&gt;=4,1,0)</f>
        <v>0</v>
      </c>
    </row>
    <row r="5096" spans="1:15" x14ac:dyDescent="0.25">
      <c r="A5096" t="s">
        <v>5136</v>
      </c>
      <c r="B5096" s="1">
        <v>45432</v>
      </c>
      <c r="C5096" t="s">
        <v>31</v>
      </c>
      <c r="D5096" t="s">
        <v>32</v>
      </c>
      <c r="E5096" t="s">
        <v>21</v>
      </c>
      <c r="F5096" t="s">
        <v>22</v>
      </c>
      <c r="G5096" t="s">
        <v>23</v>
      </c>
      <c r="K5096" cm="1">
        <f t="array" ref="K5096">_xlfn.SWITCH(LeadsData[[#This Row],[Funnel Stage Reached]],"Lead",1,"MQL",2,"SQL",3,"Customer",4)</f>
        <v>2</v>
      </c>
      <c r="L5096" t="str">
        <f>TEXT(LeadsData[[#This Row],[Signup Date]],"mmm-yyyy")</f>
        <v>May-2024</v>
      </c>
      <c r="M5096">
        <f>IF(LeadsData[[#This Row],[Stage Number]]&gt;=2,1,0)</f>
        <v>1</v>
      </c>
      <c r="N5096" s="2">
        <f>IF(LeadsData[[#This Row],[Stage Number]]&gt;=3,1,0)</f>
        <v>0</v>
      </c>
      <c r="O5096" s="2">
        <f>IF(LeadsData[[#This Row],[Stage Number]]&gt;=4,1,0)</f>
        <v>0</v>
      </c>
    </row>
    <row r="5097" spans="1:15" x14ac:dyDescent="0.25">
      <c r="A5097" t="s">
        <v>5137</v>
      </c>
      <c r="B5097" s="1">
        <v>45440</v>
      </c>
      <c r="C5097" t="s">
        <v>17</v>
      </c>
      <c r="D5097" t="s">
        <v>53</v>
      </c>
      <c r="E5097" t="s">
        <v>21</v>
      </c>
      <c r="F5097" t="s">
        <v>22</v>
      </c>
      <c r="G5097" t="s">
        <v>15</v>
      </c>
      <c r="K5097" cm="1">
        <f t="array" ref="K5097">_xlfn.SWITCH(LeadsData[[#This Row],[Funnel Stage Reached]],"Lead",1,"MQL",2,"SQL",3,"Customer",4)</f>
        <v>1</v>
      </c>
      <c r="L5097" t="str">
        <f>TEXT(LeadsData[[#This Row],[Signup Date]],"mmm-yyyy")</f>
        <v>May-2024</v>
      </c>
      <c r="M5097">
        <f>IF(LeadsData[[#This Row],[Stage Number]]&gt;=2,1,0)</f>
        <v>0</v>
      </c>
      <c r="N5097" s="2">
        <f>IF(LeadsData[[#This Row],[Stage Number]]&gt;=3,1,0)</f>
        <v>0</v>
      </c>
      <c r="O5097" s="2">
        <f>IF(LeadsData[[#This Row],[Stage Number]]&gt;=4,1,0)</f>
        <v>0</v>
      </c>
    </row>
    <row r="5098" spans="1:15" x14ac:dyDescent="0.25">
      <c r="A5098" t="s">
        <v>5138</v>
      </c>
      <c r="B5098" s="1">
        <v>45518</v>
      </c>
      <c r="C5098" t="s">
        <v>25</v>
      </c>
      <c r="D5098" t="s">
        <v>26</v>
      </c>
      <c r="E5098" t="s">
        <v>13</v>
      </c>
      <c r="F5098" t="s">
        <v>14</v>
      </c>
      <c r="G5098" t="s">
        <v>15</v>
      </c>
      <c r="K5098" cm="1">
        <f t="array" ref="K5098">_xlfn.SWITCH(LeadsData[[#This Row],[Funnel Stage Reached]],"Lead",1,"MQL",2,"SQL",3,"Customer",4)</f>
        <v>1</v>
      </c>
      <c r="L5098" t="str">
        <f>TEXT(LeadsData[[#This Row],[Signup Date]],"mmm-yyyy")</f>
        <v>Aug-2024</v>
      </c>
      <c r="M5098">
        <f>IF(LeadsData[[#This Row],[Stage Number]]&gt;=2,1,0)</f>
        <v>0</v>
      </c>
      <c r="N5098" s="2">
        <f>IF(LeadsData[[#This Row],[Stage Number]]&gt;=3,1,0)</f>
        <v>0</v>
      </c>
      <c r="O5098" s="2">
        <f>IF(LeadsData[[#This Row],[Stage Number]]&gt;=4,1,0)</f>
        <v>0</v>
      </c>
    </row>
    <row r="5099" spans="1:15" x14ac:dyDescent="0.25">
      <c r="A5099" t="s">
        <v>5139</v>
      </c>
      <c r="B5099" s="1">
        <v>45605</v>
      </c>
      <c r="C5099" t="s">
        <v>36</v>
      </c>
      <c r="D5099" t="s">
        <v>50</v>
      </c>
      <c r="E5099" t="s">
        <v>21</v>
      </c>
      <c r="F5099" t="s">
        <v>19</v>
      </c>
      <c r="G5099" t="s">
        <v>15</v>
      </c>
      <c r="K5099" cm="1">
        <f t="array" ref="K5099">_xlfn.SWITCH(LeadsData[[#This Row],[Funnel Stage Reached]],"Lead",1,"MQL",2,"SQL",3,"Customer",4)</f>
        <v>1</v>
      </c>
      <c r="L5099" t="str">
        <f>TEXT(LeadsData[[#This Row],[Signup Date]],"mmm-yyyy")</f>
        <v>Nov-2024</v>
      </c>
      <c r="M5099">
        <f>IF(LeadsData[[#This Row],[Stage Number]]&gt;=2,1,0)</f>
        <v>0</v>
      </c>
      <c r="N5099" s="2">
        <f>IF(LeadsData[[#This Row],[Stage Number]]&gt;=3,1,0)</f>
        <v>0</v>
      </c>
      <c r="O5099" s="2">
        <f>IF(LeadsData[[#This Row],[Stage Number]]&gt;=4,1,0)</f>
        <v>0</v>
      </c>
    </row>
    <row r="5100" spans="1:15" x14ac:dyDescent="0.25">
      <c r="A5100" t="s">
        <v>5140</v>
      </c>
      <c r="B5100" s="1">
        <v>45527</v>
      </c>
      <c r="C5100" t="s">
        <v>11</v>
      </c>
      <c r="D5100" t="s">
        <v>12</v>
      </c>
      <c r="E5100" t="s">
        <v>13</v>
      </c>
      <c r="F5100" t="s">
        <v>22</v>
      </c>
      <c r="G5100" t="s">
        <v>29</v>
      </c>
      <c r="K5100" cm="1">
        <f t="array" ref="K5100">_xlfn.SWITCH(LeadsData[[#This Row],[Funnel Stage Reached]],"Lead",1,"MQL",2,"SQL",3,"Customer",4)</f>
        <v>3</v>
      </c>
      <c r="L5100" t="str">
        <f>TEXT(LeadsData[[#This Row],[Signup Date]],"mmm-yyyy")</f>
        <v>Aug-2024</v>
      </c>
      <c r="M5100">
        <f>IF(LeadsData[[#This Row],[Stage Number]]&gt;=2,1,0)</f>
        <v>1</v>
      </c>
      <c r="N5100" s="2">
        <f>IF(LeadsData[[#This Row],[Stage Number]]&gt;=3,1,0)</f>
        <v>1</v>
      </c>
      <c r="O5100" s="2">
        <f>IF(LeadsData[[#This Row],[Stage Number]]&gt;=4,1,0)</f>
        <v>0</v>
      </c>
    </row>
    <row r="5101" spans="1:15" x14ac:dyDescent="0.25">
      <c r="A5101" t="s">
        <v>5141</v>
      </c>
      <c r="B5101" s="1">
        <v>45518</v>
      </c>
      <c r="C5101" t="s">
        <v>46</v>
      </c>
      <c r="D5101" t="s">
        <v>47</v>
      </c>
      <c r="E5101" t="s">
        <v>13</v>
      </c>
      <c r="F5101" t="s">
        <v>19</v>
      </c>
      <c r="G5101" t="s">
        <v>23</v>
      </c>
      <c r="K5101" cm="1">
        <f t="array" ref="K5101">_xlfn.SWITCH(LeadsData[[#This Row],[Funnel Stage Reached]],"Lead",1,"MQL",2,"SQL",3,"Customer",4)</f>
        <v>2</v>
      </c>
      <c r="L5101" t="str">
        <f>TEXT(LeadsData[[#This Row],[Signup Date]],"mmm-yyyy")</f>
        <v>Aug-2024</v>
      </c>
      <c r="M5101">
        <f>IF(LeadsData[[#This Row],[Stage Number]]&gt;=2,1,0)</f>
        <v>1</v>
      </c>
      <c r="N5101" s="2">
        <f>IF(LeadsData[[#This Row],[Stage Number]]&gt;=3,1,0)</f>
        <v>0</v>
      </c>
      <c r="O5101" s="2">
        <f>IF(LeadsData[[#This Row],[Stage Number]]&gt;=4,1,0)</f>
        <v>0</v>
      </c>
    </row>
    <row r="5102" spans="1:15" x14ac:dyDescent="0.25">
      <c r="A5102" t="s">
        <v>5142</v>
      </c>
      <c r="B5102" s="1">
        <v>45444</v>
      </c>
      <c r="C5102" t="s">
        <v>17</v>
      </c>
      <c r="D5102" t="s">
        <v>18</v>
      </c>
      <c r="E5102" t="s">
        <v>21</v>
      </c>
      <c r="F5102" t="s">
        <v>19</v>
      </c>
      <c r="G5102" t="s">
        <v>23</v>
      </c>
      <c r="K5102" cm="1">
        <f t="array" ref="K5102">_xlfn.SWITCH(LeadsData[[#This Row],[Funnel Stage Reached]],"Lead",1,"MQL",2,"SQL",3,"Customer",4)</f>
        <v>2</v>
      </c>
      <c r="L5102" t="str">
        <f>TEXT(LeadsData[[#This Row],[Signup Date]],"mmm-yyyy")</f>
        <v>Jun-2024</v>
      </c>
      <c r="M5102">
        <f>IF(LeadsData[[#This Row],[Stage Number]]&gt;=2,1,0)</f>
        <v>1</v>
      </c>
      <c r="N5102" s="2">
        <f>IF(LeadsData[[#This Row],[Stage Number]]&gt;=3,1,0)</f>
        <v>0</v>
      </c>
      <c r="O5102" s="2">
        <f>IF(LeadsData[[#This Row],[Stage Number]]&gt;=4,1,0)</f>
        <v>0</v>
      </c>
    </row>
    <row r="5103" spans="1:15" x14ac:dyDescent="0.25">
      <c r="A5103" t="s">
        <v>5143</v>
      </c>
      <c r="B5103" s="1">
        <v>45551</v>
      </c>
      <c r="C5103" t="s">
        <v>36</v>
      </c>
      <c r="D5103" t="s">
        <v>37</v>
      </c>
      <c r="E5103" t="s">
        <v>13</v>
      </c>
      <c r="F5103" t="s">
        <v>19</v>
      </c>
      <c r="G5103" t="s">
        <v>42</v>
      </c>
      <c r="H5103">
        <v>11</v>
      </c>
      <c r="I5103" t="s">
        <v>87</v>
      </c>
      <c r="J5103">
        <v>4293.59</v>
      </c>
      <c r="K5103" cm="1">
        <f t="array" ref="K5103">_xlfn.SWITCH(LeadsData[[#This Row],[Funnel Stage Reached]],"Lead",1,"MQL",2,"SQL",3,"Customer",4)</f>
        <v>4</v>
      </c>
      <c r="L5103" t="str">
        <f>TEXT(LeadsData[[#This Row],[Signup Date]],"mmm-yyyy")</f>
        <v>Sep-2024</v>
      </c>
      <c r="M5103">
        <f>IF(LeadsData[[#This Row],[Stage Number]]&gt;=2,1,0)</f>
        <v>1</v>
      </c>
      <c r="N5103" s="2">
        <f>IF(LeadsData[[#This Row],[Stage Number]]&gt;=3,1,0)</f>
        <v>1</v>
      </c>
      <c r="O5103" s="2">
        <f>IF(LeadsData[[#This Row],[Stage Number]]&gt;=4,1,0)</f>
        <v>1</v>
      </c>
    </row>
    <row r="5104" spans="1:15" x14ac:dyDescent="0.25">
      <c r="A5104" t="s">
        <v>5144</v>
      </c>
      <c r="B5104" s="1">
        <v>45638</v>
      </c>
      <c r="C5104" t="s">
        <v>46</v>
      </c>
      <c r="D5104" t="s">
        <v>47</v>
      </c>
      <c r="E5104" t="s">
        <v>21</v>
      </c>
      <c r="F5104" t="s">
        <v>19</v>
      </c>
      <c r="G5104" t="s">
        <v>23</v>
      </c>
      <c r="K5104" cm="1">
        <f t="array" ref="K5104">_xlfn.SWITCH(LeadsData[[#This Row],[Funnel Stage Reached]],"Lead",1,"MQL",2,"SQL",3,"Customer",4)</f>
        <v>2</v>
      </c>
      <c r="L5104" t="str">
        <f>TEXT(LeadsData[[#This Row],[Signup Date]],"mmm-yyyy")</f>
        <v>Dec-2024</v>
      </c>
      <c r="M5104">
        <f>IF(LeadsData[[#This Row],[Stage Number]]&gt;=2,1,0)</f>
        <v>1</v>
      </c>
      <c r="N5104" s="2">
        <f>IF(LeadsData[[#This Row],[Stage Number]]&gt;=3,1,0)</f>
        <v>0</v>
      </c>
      <c r="O5104" s="2">
        <f>IF(LeadsData[[#This Row],[Stage Number]]&gt;=4,1,0)</f>
        <v>0</v>
      </c>
    </row>
    <row r="5105" spans="1:15" x14ac:dyDescent="0.25">
      <c r="A5105" t="s">
        <v>5145</v>
      </c>
      <c r="B5105" s="1">
        <v>45654</v>
      </c>
      <c r="C5105" t="s">
        <v>11</v>
      </c>
      <c r="D5105" t="s">
        <v>68</v>
      </c>
      <c r="E5105" t="s">
        <v>13</v>
      </c>
      <c r="F5105" t="s">
        <v>19</v>
      </c>
      <c r="G5105" t="s">
        <v>15</v>
      </c>
      <c r="K5105" cm="1">
        <f t="array" ref="K5105">_xlfn.SWITCH(LeadsData[[#This Row],[Funnel Stage Reached]],"Lead",1,"MQL",2,"SQL",3,"Customer",4)</f>
        <v>1</v>
      </c>
      <c r="L5105" t="str">
        <f>TEXT(LeadsData[[#This Row],[Signup Date]],"mmm-yyyy")</f>
        <v>Dec-2024</v>
      </c>
      <c r="M5105">
        <f>IF(LeadsData[[#This Row],[Stage Number]]&gt;=2,1,0)</f>
        <v>0</v>
      </c>
      <c r="N5105" s="2">
        <f>IF(LeadsData[[#This Row],[Stage Number]]&gt;=3,1,0)</f>
        <v>0</v>
      </c>
      <c r="O5105" s="2">
        <f>IF(LeadsData[[#This Row],[Stage Number]]&gt;=4,1,0)</f>
        <v>0</v>
      </c>
    </row>
    <row r="5106" spans="1:15" x14ac:dyDescent="0.25">
      <c r="A5106" t="s">
        <v>5146</v>
      </c>
      <c r="B5106" s="1">
        <v>45326</v>
      </c>
      <c r="C5106" t="s">
        <v>46</v>
      </c>
      <c r="D5106" t="s">
        <v>47</v>
      </c>
      <c r="E5106" t="s">
        <v>21</v>
      </c>
      <c r="F5106" t="s">
        <v>14</v>
      </c>
      <c r="G5106" t="s">
        <v>23</v>
      </c>
      <c r="K5106" cm="1">
        <f t="array" ref="K5106">_xlfn.SWITCH(LeadsData[[#This Row],[Funnel Stage Reached]],"Lead",1,"MQL",2,"SQL",3,"Customer",4)</f>
        <v>2</v>
      </c>
      <c r="L5106" t="str">
        <f>TEXT(LeadsData[[#This Row],[Signup Date]],"mmm-yyyy")</f>
        <v>Feb-2024</v>
      </c>
      <c r="M5106">
        <f>IF(LeadsData[[#This Row],[Stage Number]]&gt;=2,1,0)</f>
        <v>1</v>
      </c>
      <c r="N5106" s="2">
        <f>IF(LeadsData[[#This Row],[Stage Number]]&gt;=3,1,0)</f>
        <v>0</v>
      </c>
      <c r="O5106" s="2">
        <f>IF(LeadsData[[#This Row],[Stage Number]]&gt;=4,1,0)</f>
        <v>0</v>
      </c>
    </row>
    <row r="5107" spans="1:15" x14ac:dyDescent="0.25">
      <c r="A5107" t="s">
        <v>5147</v>
      </c>
      <c r="B5107" s="1">
        <v>45573</v>
      </c>
      <c r="C5107" t="s">
        <v>17</v>
      </c>
      <c r="D5107" t="s">
        <v>53</v>
      </c>
      <c r="E5107" t="s">
        <v>13</v>
      </c>
      <c r="F5107" t="s">
        <v>22</v>
      </c>
      <c r="G5107" t="s">
        <v>15</v>
      </c>
      <c r="K5107" cm="1">
        <f t="array" ref="K5107">_xlfn.SWITCH(LeadsData[[#This Row],[Funnel Stage Reached]],"Lead",1,"MQL",2,"SQL",3,"Customer",4)</f>
        <v>1</v>
      </c>
      <c r="L5107" t="str">
        <f>TEXT(LeadsData[[#This Row],[Signup Date]],"mmm-yyyy")</f>
        <v>Oct-2024</v>
      </c>
      <c r="M5107">
        <f>IF(LeadsData[[#This Row],[Stage Number]]&gt;=2,1,0)</f>
        <v>0</v>
      </c>
      <c r="N5107" s="2">
        <f>IF(LeadsData[[#This Row],[Stage Number]]&gt;=3,1,0)</f>
        <v>0</v>
      </c>
      <c r="O5107" s="2">
        <f>IF(LeadsData[[#This Row],[Stage Number]]&gt;=4,1,0)</f>
        <v>0</v>
      </c>
    </row>
    <row r="5108" spans="1:15" x14ac:dyDescent="0.25">
      <c r="A5108" t="s">
        <v>5148</v>
      </c>
      <c r="B5108" s="1">
        <v>45435</v>
      </c>
      <c r="C5108" t="s">
        <v>36</v>
      </c>
      <c r="D5108" t="s">
        <v>50</v>
      </c>
      <c r="E5108" t="s">
        <v>13</v>
      </c>
      <c r="F5108" t="s">
        <v>19</v>
      </c>
      <c r="G5108" t="s">
        <v>29</v>
      </c>
      <c r="K5108" cm="1">
        <f t="array" ref="K5108">_xlfn.SWITCH(LeadsData[[#This Row],[Funnel Stage Reached]],"Lead",1,"MQL",2,"SQL",3,"Customer",4)</f>
        <v>3</v>
      </c>
      <c r="L5108" t="str">
        <f>TEXT(LeadsData[[#This Row],[Signup Date]],"mmm-yyyy")</f>
        <v>May-2024</v>
      </c>
      <c r="M5108">
        <f>IF(LeadsData[[#This Row],[Stage Number]]&gt;=2,1,0)</f>
        <v>1</v>
      </c>
      <c r="N5108" s="2">
        <f>IF(LeadsData[[#This Row],[Stage Number]]&gt;=3,1,0)</f>
        <v>1</v>
      </c>
      <c r="O5108" s="2">
        <f>IF(LeadsData[[#This Row],[Stage Number]]&gt;=4,1,0)</f>
        <v>0</v>
      </c>
    </row>
    <row r="5109" spans="1:15" x14ac:dyDescent="0.25">
      <c r="A5109" t="s">
        <v>5149</v>
      </c>
      <c r="B5109" s="1">
        <v>45527</v>
      </c>
      <c r="C5109" t="s">
        <v>11</v>
      </c>
      <c r="D5109" t="s">
        <v>79</v>
      </c>
      <c r="E5109" t="s">
        <v>13</v>
      </c>
      <c r="F5109" t="s">
        <v>19</v>
      </c>
      <c r="G5109" t="s">
        <v>15</v>
      </c>
      <c r="K5109" cm="1">
        <f t="array" ref="K5109">_xlfn.SWITCH(LeadsData[[#This Row],[Funnel Stage Reached]],"Lead",1,"MQL",2,"SQL",3,"Customer",4)</f>
        <v>1</v>
      </c>
      <c r="L5109" t="str">
        <f>TEXT(LeadsData[[#This Row],[Signup Date]],"mmm-yyyy")</f>
        <v>Aug-2024</v>
      </c>
      <c r="M5109">
        <f>IF(LeadsData[[#This Row],[Stage Number]]&gt;=2,1,0)</f>
        <v>0</v>
      </c>
      <c r="N5109" s="2">
        <f>IF(LeadsData[[#This Row],[Stage Number]]&gt;=3,1,0)</f>
        <v>0</v>
      </c>
      <c r="O5109" s="2">
        <f>IF(LeadsData[[#This Row],[Stage Number]]&gt;=4,1,0)</f>
        <v>0</v>
      </c>
    </row>
    <row r="5110" spans="1:15" x14ac:dyDescent="0.25">
      <c r="A5110" t="s">
        <v>5150</v>
      </c>
      <c r="B5110" s="1">
        <v>45540</v>
      </c>
      <c r="C5110" t="s">
        <v>11</v>
      </c>
      <c r="D5110" t="s">
        <v>68</v>
      </c>
      <c r="E5110" t="s">
        <v>13</v>
      </c>
      <c r="F5110" t="s">
        <v>19</v>
      </c>
      <c r="G5110" t="s">
        <v>29</v>
      </c>
      <c r="K5110" cm="1">
        <f t="array" ref="K5110">_xlfn.SWITCH(LeadsData[[#This Row],[Funnel Stage Reached]],"Lead",1,"MQL",2,"SQL",3,"Customer",4)</f>
        <v>3</v>
      </c>
      <c r="L5110" t="str">
        <f>TEXT(LeadsData[[#This Row],[Signup Date]],"mmm-yyyy")</f>
        <v>Sep-2024</v>
      </c>
      <c r="M5110">
        <f>IF(LeadsData[[#This Row],[Stage Number]]&gt;=2,1,0)</f>
        <v>1</v>
      </c>
      <c r="N5110" s="2">
        <f>IF(LeadsData[[#This Row],[Stage Number]]&gt;=3,1,0)</f>
        <v>1</v>
      </c>
      <c r="O5110" s="2">
        <f>IF(LeadsData[[#This Row],[Stage Number]]&gt;=4,1,0)</f>
        <v>0</v>
      </c>
    </row>
    <row r="5111" spans="1:15" x14ac:dyDescent="0.25">
      <c r="A5111" t="s">
        <v>5151</v>
      </c>
      <c r="B5111" s="1">
        <v>45623</v>
      </c>
      <c r="C5111" t="s">
        <v>17</v>
      </c>
      <c r="D5111" t="s">
        <v>53</v>
      </c>
      <c r="E5111" t="s">
        <v>21</v>
      </c>
      <c r="F5111" t="s">
        <v>19</v>
      </c>
      <c r="G5111" t="s">
        <v>15</v>
      </c>
      <c r="K5111" cm="1">
        <f t="array" ref="K5111">_xlfn.SWITCH(LeadsData[[#This Row],[Funnel Stage Reached]],"Lead",1,"MQL",2,"SQL",3,"Customer",4)</f>
        <v>1</v>
      </c>
      <c r="L5111" t="str">
        <f>TEXT(LeadsData[[#This Row],[Signup Date]],"mmm-yyyy")</f>
        <v>Nov-2024</v>
      </c>
      <c r="M5111">
        <f>IF(LeadsData[[#This Row],[Stage Number]]&gt;=2,1,0)</f>
        <v>0</v>
      </c>
      <c r="N5111" s="2">
        <f>IF(LeadsData[[#This Row],[Stage Number]]&gt;=3,1,0)</f>
        <v>0</v>
      </c>
      <c r="O5111" s="2">
        <f>IF(LeadsData[[#This Row],[Stage Number]]&gt;=4,1,0)</f>
        <v>0</v>
      </c>
    </row>
    <row r="5112" spans="1:15" x14ac:dyDescent="0.25">
      <c r="A5112" t="s">
        <v>5152</v>
      </c>
      <c r="B5112" s="1">
        <v>45385</v>
      </c>
      <c r="C5112" t="s">
        <v>11</v>
      </c>
      <c r="D5112" t="s">
        <v>79</v>
      </c>
      <c r="E5112" t="s">
        <v>13</v>
      </c>
      <c r="F5112" t="s">
        <v>19</v>
      </c>
      <c r="G5112" t="s">
        <v>15</v>
      </c>
      <c r="K5112" cm="1">
        <f t="array" ref="K5112">_xlfn.SWITCH(LeadsData[[#This Row],[Funnel Stage Reached]],"Lead",1,"MQL",2,"SQL",3,"Customer",4)</f>
        <v>1</v>
      </c>
      <c r="L5112" t="str">
        <f>TEXT(LeadsData[[#This Row],[Signup Date]],"mmm-yyyy")</f>
        <v>Apr-2024</v>
      </c>
      <c r="M5112">
        <f>IF(LeadsData[[#This Row],[Stage Number]]&gt;=2,1,0)</f>
        <v>0</v>
      </c>
      <c r="N5112" s="2">
        <f>IF(LeadsData[[#This Row],[Stage Number]]&gt;=3,1,0)</f>
        <v>0</v>
      </c>
      <c r="O5112" s="2">
        <f>IF(LeadsData[[#This Row],[Stage Number]]&gt;=4,1,0)</f>
        <v>0</v>
      </c>
    </row>
    <row r="5113" spans="1:15" x14ac:dyDescent="0.25">
      <c r="A5113" t="s">
        <v>5153</v>
      </c>
      <c r="B5113" s="1">
        <v>45464</v>
      </c>
      <c r="C5113" t="s">
        <v>46</v>
      </c>
      <c r="D5113" t="s">
        <v>56</v>
      </c>
      <c r="E5113" t="s">
        <v>13</v>
      </c>
      <c r="F5113" t="s">
        <v>22</v>
      </c>
      <c r="G5113" t="s">
        <v>42</v>
      </c>
      <c r="H5113">
        <v>45</v>
      </c>
      <c r="I5113" t="s">
        <v>87</v>
      </c>
      <c r="J5113">
        <v>4994.41</v>
      </c>
      <c r="K5113" cm="1">
        <f t="array" ref="K5113">_xlfn.SWITCH(LeadsData[[#This Row],[Funnel Stage Reached]],"Lead",1,"MQL",2,"SQL",3,"Customer",4)</f>
        <v>4</v>
      </c>
      <c r="L5113" t="str">
        <f>TEXT(LeadsData[[#This Row],[Signup Date]],"mmm-yyyy")</f>
        <v>Jun-2024</v>
      </c>
      <c r="M5113">
        <f>IF(LeadsData[[#This Row],[Stage Number]]&gt;=2,1,0)</f>
        <v>1</v>
      </c>
      <c r="N5113" s="2">
        <f>IF(LeadsData[[#This Row],[Stage Number]]&gt;=3,1,0)</f>
        <v>1</v>
      </c>
      <c r="O5113" s="2">
        <f>IF(LeadsData[[#This Row],[Stage Number]]&gt;=4,1,0)</f>
        <v>1</v>
      </c>
    </row>
    <row r="5114" spans="1:15" x14ac:dyDescent="0.25">
      <c r="A5114" t="s">
        <v>5154</v>
      </c>
      <c r="B5114" s="1">
        <v>45620</v>
      </c>
      <c r="C5114" t="s">
        <v>11</v>
      </c>
      <c r="D5114" t="s">
        <v>79</v>
      </c>
      <c r="E5114" t="s">
        <v>13</v>
      </c>
      <c r="F5114" t="s">
        <v>14</v>
      </c>
      <c r="G5114" t="s">
        <v>15</v>
      </c>
      <c r="K5114" cm="1">
        <f t="array" ref="K5114">_xlfn.SWITCH(LeadsData[[#This Row],[Funnel Stage Reached]],"Lead",1,"MQL",2,"SQL",3,"Customer",4)</f>
        <v>1</v>
      </c>
      <c r="L5114" t="str">
        <f>TEXT(LeadsData[[#This Row],[Signup Date]],"mmm-yyyy")</f>
        <v>Nov-2024</v>
      </c>
      <c r="M5114">
        <f>IF(LeadsData[[#This Row],[Stage Number]]&gt;=2,1,0)</f>
        <v>0</v>
      </c>
      <c r="N5114" s="2">
        <f>IF(LeadsData[[#This Row],[Stage Number]]&gt;=3,1,0)</f>
        <v>0</v>
      </c>
      <c r="O5114" s="2">
        <f>IF(LeadsData[[#This Row],[Stage Number]]&gt;=4,1,0)</f>
        <v>0</v>
      </c>
    </row>
    <row r="5115" spans="1:15" x14ac:dyDescent="0.25">
      <c r="A5115" t="s">
        <v>5155</v>
      </c>
      <c r="B5115" s="1">
        <v>45395</v>
      </c>
      <c r="C5115" t="s">
        <v>11</v>
      </c>
      <c r="D5115" t="s">
        <v>79</v>
      </c>
      <c r="E5115" t="s">
        <v>21</v>
      </c>
      <c r="F5115" t="s">
        <v>22</v>
      </c>
      <c r="G5115" t="s">
        <v>23</v>
      </c>
      <c r="K5115" cm="1">
        <f t="array" ref="K5115">_xlfn.SWITCH(LeadsData[[#This Row],[Funnel Stage Reached]],"Lead",1,"MQL",2,"SQL",3,"Customer",4)</f>
        <v>2</v>
      </c>
      <c r="L5115" t="str">
        <f>TEXT(LeadsData[[#This Row],[Signup Date]],"mmm-yyyy")</f>
        <v>Apr-2024</v>
      </c>
      <c r="M5115">
        <f>IF(LeadsData[[#This Row],[Stage Number]]&gt;=2,1,0)</f>
        <v>1</v>
      </c>
      <c r="N5115" s="2">
        <f>IF(LeadsData[[#This Row],[Stage Number]]&gt;=3,1,0)</f>
        <v>0</v>
      </c>
      <c r="O5115" s="2">
        <f>IF(LeadsData[[#This Row],[Stage Number]]&gt;=4,1,0)</f>
        <v>0</v>
      </c>
    </row>
    <row r="5116" spans="1:15" x14ac:dyDescent="0.25">
      <c r="A5116" t="s">
        <v>5156</v>
      </c>
      <c r="B5116" s="1">
        <v>45424</v>
      </c>
      <c r="C5116" t="s">
        <v>17</v>
      </c>
      <c r="D5116" t="s">
        <v>18</v>
      </c>
      <c r="E5116" t="s">
        <v>13</v>
      </c>
      <c r="F5116" t="s">
        <v>19</v>
      </c>
      <c r="G5116" t="s">
        <v>29</v>
      </c>
      <c r="K5116" cm="1">
        <f t="array" ref="K5116">_xlfn.SWITCH(LeadsData[[#This Row],[Funnel Stage Reached]],"Lead",1,"MQL",2,"SQL",3,"Customer",4)</f>
        <v>3</v>
      </c>
      <c r="L5116" t="str">
        <f>TEXT(LeadsData[[#This Row],[Signup Date]],"mmm-yyyy")</f>
        <v>May-2024</v>
      </c>
      <c r="M5116">
        <f>IF(LeadsData[[#This Row],[Stage Number]]&gt;=2,1,0)</f>
        <v>1</v>
      </c>
      <c r="N5116" s="2">
        <f>IF(LeadsData[[#This Row],[Stage Number]]&gt;=3,1,0)</f>
        <v>1</v>
      </c>
      <c r="O5116" s="2">
        <f>IF(LeadsData[[#This Row],[Stage Number]]&gt;=4,1,0)</f>
        <v>0</v>
      </c>
    </row>
    <row r="5117" spans="1:15" x14ac:dyDescent="0.25">
      <c r="A5117" t="s">
        <v>5157</v>
      </c>
      <c r="B5117" s="1">
        <v>45478</v>
      </c>
      <c r="C5117" t="s">
        <v>11</v>
      </c>
      <c r="D5117" t="s">
        <v>79</v>
      </c>
      <c r="E5117" t="s">
        <v>48</v>
      </c>
      <c r="F5117" t="s">
        <v>14</v>
      </c>
      <c r="G5117" t="s">
        <v>15</v>
      </c>
      <c r="K5117" cm="1">
        <f t="array" ref="K5117">_xlfn.SWITCH(LeadsData[[#This Row],[Funnel Stage Reached]],"Lead",1,"MQL",2,"SQL",3,"Customer",4)</f>
        <v>1</v>
      </c>
      <c r="L5117" t="str">
        <f>TEXT(LeadsData[[#This Row],[Signup Date]],"mmm-yyyy")</f>
        <v>Jul-2024</v>
      </c>
      <c r="M5117">
        <f>IF(LeadsData[[#This Row],[Stage Number]]&gt;=2,1,0)</f>
        <v>0</v>
      </c>
      <c r="N5117" s="2">
        <f>IF(LeadsData[[#This Row],[Stage Number]]&gt;=3,1,0)</f>
        <v>0</v>
      </c>
      <c r="O5117" s="2">
        <f>IF(LeadsData[[#This Row],[Stage Number]]&gt;=4,1,0)</f>
        <v>0</v>
      </c>
    </row>
    <row r="5118" spans="1:15" x14ac:dyDescent="0.25">
      <c r="A5118" t="s">
        <v>5158</v>
      </c>
      <c r="B5118" s="1">
        <v>45425</v>
      </c>
      <c r="C5118" t="s">
        <v>31</v>
      </c>
      <c r="D5118" t="s">
        <v>32</v>
      </c>
      <c r="E5118" t="s">
        <v>13</v>
      </c>
      <c r="F5118" t="s">
        <v>14</v>
      </c>
      <c r="G5118" t="s">
        <v>29</v>
      </c>
      <c r="K5118" cm="1">
        <f t="array" ref="K5118">_xlfn.SWITCH(LeadsData[[#This Row],[Funnel Stage Reached]],"Lead",1,"MQL",2,"SQL",3,"Customer",4)</f>
        <v>3</v>
      </c>
      <c r="L5118" t="str">
        <f>TEXT(LeadsData[[#This Row],[Signup Date]],"mmm-yyyy")</f>
        <v>May-2024</v>
      </c>
      <c r="M5118">
        <f>IF(LeadsData[[#This Row],[Stage Number]]&gt;=2,1,0)</f>
        <v>1</v>
      </c>
      <c r="N5118" s="2">
        <f>IF(LeadsData[[#This Row],[Stage Number]]&gt;=3,1,0)</f>
        <v>1</v>
      </c>
      <c r="O5118" s="2">
        <f>IF(LeadsData[[#This Row],[Stage Number]]&gt;=4,1,0)</f>
        <v>0</v>
      </c>
    </row>
    <row r="5119" spans="1:15" x14ac:dyDescent="0.25">
      <c r="A5119" t="s">
        <v>5159</v>
      </c>
      <c r="B5119" s="1">
        <v>45557</v>
      </c>
      <c r="C5119" t="s">
        <v>31</v>
      </c>
      <c r="D5119" t="s">
        <v>34</v>
      </c>
      <c r="E5119" t="s">
        <v>13</v>
      </c>
      <c r="F5119" t="s">
        <v>22</v>
      </c>
      <c r="G5119" t="s">
        <v>23</v>
      </c>
      <c r="K5119" cm="1">
        <f t="array" ref="K5119">_xlfn.SWITCH(LeadsData[[#This Row],[Funnel Stage Reached]],"Lead",1,"MQL",2,"SQL",3,"Customer",4)</f>
        <v>2</v>
      </c>
      <c r="L5119" t="str">
        <f>TEXT(LeadsData[[#This Row],[Signup Date]],"mmm-yyyy")</f>
        <v>Sep-2024</v>
      </c>
      <c r="M5119">
        <f>IF(LeadsData[[#This Row],[Stage Number]]&gt;=2,1,0)</f>
        <v>1</v>
      </c>
      <c r="N5119" s="2">
        <f>IF(LeadsData[[#This Row],[Stage Number]]&gt;=3,1,0)</f>
        <v>0</v>
      </c>
      <c r="O5119" s="2">
        <f>IF(LeadsData[[#This Row],[Stage Number]]&gt;=4,1,0)</f>
        <v>0</v>
      </c>
    </row>
    <row r="5120" spans="1:15" x14ac:dyDescent="0.25">
      <c r="A5120" t="s">
        <v>5160</v>
      </c>
      <c r="B5120" s="1">
        <v>45366</v>
      </c>
      <c r="C5120" t="s">
        <v>31</v>
      </c>
      <c r="D5120" t="s">
        <v>34</v>
      </c>
      <c r="E5120" t="s">
        <v>48</v>
      </c>
      <c r="F5120" t="s">
        <v>14</v>
      </c>
      <c r="G5120" t="s">
        <v>15</v>
      </c>
      <c r="K5120" cm="1">
        <f t="array" ref="K5120">_xlfn.SWITCH(LeadsData[[#This Row],[Funnel Stage Reached]],"Lead",1,"MQL",2,"SQL",3,"Customer",4)</f>
        <v>1</v>
      </c>
      <c r="L5120" t="str">
        <f>TEXT(LeadsData[[#This Row],[Signup Date]],"mmm-yyyy")</f>
        <v>Mar-2024</v>
      </c>
      <c r="M5120">
        <f>IF(LeadsData[[#This Row],[Stage Number]]&gt;=2,1,0)</f>
        <v>0</v>
      </c>
      <c r="N5120" s="2">
        <f>IF(LeadsData[[#This Row],[Stage Number]]&gt;=3,1,0)</f>
        <v>0</v>
      </c>
      <c r="O5120" s="2">
        <f>IF(LeadsData[[#This Row],[Stage Number]]&gt;=4,1,0)</f>
        <v>0</v>
      </c>
    </row>
    <row r="5121" spans="1:15" x14ac:dyDescent="0.25">
      <c r="A5121" t="s">
        <v>5161</v>
      </c>
      <c r="B5121" s="1">
        <v>45617</v>
      </c>
      <c r="C5121" t="s">
        <v>31</v>
      </c>
      <c r="D5121" t="s">
        <v>34</v>
      </c>
      <c r="E5121" t="s">
        <v>13</v>
      </c>
      <c r="F5121" t="s">
        <v>22</v>
      </c>
      <c r="G5121" t="s">
        <v>15</v>
      </c>
      <c r="K5121" cm="1">
        <f t="array" ref="K5121">_xlfn.SWITCH(LeadsData[[#This Row],[Funnel Stage Reached]],"Lead",1,"MQL",2,"SQL",3,"Customer",4)</f>
        <v>1</v>
      </c>
      <c r="L5121" t="str">
        <f>TEXT(LeadsData[[#This Row],[Signup Date]],"mmm-yyyy")</f>
        <v>Nov-2024</v>
      </c>
      <c r="M5121">
        <f>IF(LeadsData[[#This Row],[Stage Number]]&gt;=2,1,0)</f>
        <v>0</v>
      </c>
      <c r="N5121" s="2">
        <f>IF(LeadsData[[#This Row],[Stage Number]]&gt;=3,1,0)</f>
        <v>0</v>
      </c>
      <c r="O5121" s="2">
        <f>IF(LeadsData[[#This Row],[Stage Number]]&gt;=4,1,0)</f>
        <v>0</v>
      </c>
    </row>
    <row r="5122" spans="1:15" x14ac:dyDescent="0.25">
      <c r="A5122" t="s">
        <v>5162</v>
      </c>
      <c r="B5122" s="1">
        <v>45601</v>
      </c>
      <c r="C5122" t="s">
        <v>25</v>
      </c>
      <c r="D5122" t="s">
        <v>26</v>
      </c>
      <c r="E5122" t="s">
        <v>13</v>
      </c>
      <c r="F5122" t="s">
        <v>22</v>
      </c>
      <c r="G5122" t="s">
        <v>42</v>
      </c>
      <c r="H5122">
        <v>53</v>
      </c>
      <c r="I5122" t="s">
        <v>87</v>
      </c>
      <c r="J5122">
        <v>2949.54</v>
      </c>
      <c r="K5122" cm="1">
        <f t="array" ref="K5122">_xlfn.SWITCH(LeadsData[[#This Row],[Funnel Stage Reached]],"Lead",1,"MQL",2,"SQL",3,"Customer",4)</f>
        <v>4</v>
      </c>
      <c r="L5122" t="str">
        <f>TEXT(LeadsData[[#This Row],[Signup Date]],"mmm-yyyy")</f>
        <v>Nov-2024</v>
      </c>
      <c r="M5122">
        <f>IF(LeadsData[[#This Row],[Stage Number]]&gt;=2,1,0)</f>
        <v>1</v>
      </c>
      <c r="N5122" s="2">
        <f>IF(LeadsData[[#This Row],[Stage Number]]&gt;=3,1,0)</f>
        <v>1</v>
      </c>
      <c r="O5122" s="2">
        <f>IF(LeadsData[[#This Row],[Stage Number]]&gt;=4,1,0)</f>
        <v>1</v>
      </c>
    </row>
    <row r="5123" spans="1:15" x14ac:dyDescent="0.25">
      <c r="A5123" t="s">
        <v>5163</v>
      </c>
      <c r="B5123" s="1">
        <v>45521</v>
      </c>
      <c r="C5123" t="s">
        <v>36</v>
      </c>
      <c r="D5123" t="s">
        <v>50</v>
      </c>
      <c r="E5123" t="s">
        <v>48</v>
      </c>
      <c r="F5123" t="s">
        <v>22</v>
      </c>
      <c r="G5123" t="s">
        <v>29</v>
      </c>
      <c r="K5123" cm="1">
        <f t="array" ref="K5123">_xlfn.SWITCH(LeadsData[[#This Row],[Funnel Stage Reached]],"Lead",1,"MQL",2,"SQL",3,"Customer",4)</f>
        <v>3</v>
      </c>
      <c r="L5123" t="str">
        <f>TEXT(LeadsData[[#This Row],[Signup Date]],"mmm-yyyy")</f>
        <v>Aug-2024</v>
      </c>
      <c r="M5123">
        <f>IF(LeadsData[[#This Row],[Stage Number]]&gt;=2,1,0)</f>
        <v>1</v>
      </c>
      <c r="N5123" s="2">
        <f>IF(LeadsData[[#This Row],[Stage Number]]&gt;=3,1,0)</f>
        <v>1</v>
      </c>
      <c r="O5123" s="2">
        <f>IF(LeadsData[[#This Row],[Stage Number]]&gt;=4,1,0)</f>
        <v>0</v>
      </c>
    </row>
    <row r="5124" spans="1:15" x14ac:dyDescent="0.25">
      <c r="A5124" t="s">
        <v>5164</v>
      </c>
      <c r="B5124" s="1">
        <v>45573</v>
      </c>
      <c r="C5124" t="s">
        <v>31</v>
      </c>
      <c r="D5124" t="s">
        <v>34</v>
      </c>
      <c r="E5124" t="s">
        <v>21</v>
      </c>
      <c r="F5124" t="s">
        <v>22</v>
      </c>
      <c r="G5124" t="s">
        <v>15</v>
      </c>
      <c r="K5124" cm="1">
        <f t="array" ref="K5124">_xlfn.SWITCH(LeadsData[[#This Row],[Funnel Stage Reached]],"Lead",1,"MQL",2,"SQL",3,"Customer",4)</f>
        <v>1</v>
      </c>
      <c r="L5124" t="str">
        <f>TEXT(LeadsData[[#This Row],[Signup Date]],"mmm-yyyy")</f>
        <v>Oct-2024</v>
      </c>
      <c r="M5124">
        <f>IF(LeadsData[[#This Row],[Stage Number]]&gt;=2,1,0)</f>
        <v>0</v>
      </c>
      <c r="N5124" s="2">
        <f>IF(LeadsData[[#This Row],[Stage Number]]&gt;=3,1,0)</f>
        <v>0</v>
      </c>
      <c r="O5124" s="2">
        <f>IF(LeadsData[[#This Row],[Stage Number]]&gt;=4,1,0)</f>
        <v>0</v>
      </c>
    </row>
    <row r="5125" spans="1:15" x14ac:dyDescent="0.25">
      <c r="A5125" t="s">
        <v>5165</v>
      </c>
      <c r="B5125" s="1">
        <v>45408</v>
      </c>
      <c r="C5125" t="s">
        <v>17</v>
      </c>
      <c r="D5125" t="s">
        <v>18</v>
      </c>
      <c r="E5125" t="s">
        <v>21</v>
      </c>
      <c r="F5125" t="s">
        <v>19</v>
      </c>
      <c r="G5125" t="s">
        <v>15</v>
      </c>
      <c r="K5125" cm="1">
        <f t="array" ref="K5125">_xlfn.SWITCH(LeadsData[[#This Row],[Funnel Stage Reached]],"Lead",1,"MQL",2,"SQL",3,"Customer",4)</f>
        <v>1</v>
      </c>
      <c r="L5125" t="str">
        <f>TEXT(LeadsData[[#This Row],[Signup Date]],"mmm-yyyy")</f>
        <v>Apr-2024</v>
      </c>
      <c r="M5125">
        <f>IF(LeadsData[[#This Row],[Stage Number]]&gt;=2,1,0)</f>
        <v>0</v>
      </c>
      <c r="N5125" s="2">
        <f>IF(LeadsData[[#This Row],[Stage Number]]&gt;=3,1,0)</f>
        <v>0</v>
      </c>
      <c r="O5125" s="2">
        <f>IF(LeadsData[[#This Row],[Stage Number]]&gt;=4,1,0)</f>
        <v>0</v>
      </c>
    </row>
    <row r="5126" spans="1:15" x14ac:dyDescent="0.25">
      <c r="A5126" t="s">
        <v>5166</v>
      </c>
      <c r="B5126" s="1">
        <v>45601</v>
      </c>
      <c r="C5126" t="s">
        <v>36</v>
      </c>
      <c r="D5126" t="s">
        <v>37</v>
      </c>
      <c r="E5126" t="s">
        <v>13</v>
      </c>
      <c r="F5126" t="s">
        <v>19</v>
      </c>
      <c r="G5126" t="s">
        <v>42</v>
      </c>
      <c r="H5126">
        <v>24</v>
      </c>
      <c r="I5126" t="s">
        <v>43</v>
      </c>
      <c r="J5126">
        <v>1293.23</v>
      </c>
      <c r="K5126" cm="1">
        <f t="array" ref="K5126">_xlfn.SWITCH(LeadsData[[#This Row],[Funnel Stage Reached]],"Lead",1,"MQL",2,"SQL",3,"Customer",4)</f>
        <v>4</v>
      </c>
      <c r="L5126" t="str">
        <f>TEXT(LeadsData[[#This Row],[Signup Date]],"mmm-yyyy")</f>
        <v>Nov-2024</v>
      </c>
      <c r="M5126">
        <f>IF(LeadsData[[#This Row],[Stage Number]]&gt;=2,1,0)</f>
        <v>1</v>
      </c>
      <c r="N5126" s="2">
        <f>IF(LeadsData[[#This Row],[Stage Number]]&gt;=3,1,0)</f>
        <v>1</v>
      </c>
      <c r="O5126" s="2">
        <f>IF(LeadsData[[#This Row],[Stage Number]]&gt;=4,1,0)</f>
        <v>1</v>
      </c>
    </row>
    <row r="5127" spans="1:15" x14ac:dyDescent="0.25">
      <c r="A5127" t="s">
        <v>5167</v>
      </c>
      <c r="B5127" s="1">
        <v>45426</v>
      </c>
      <c r="C5127" t="s">
        <v>17</v>
      </c>
      <c r="D5127" t="s">
        <v>53</v>
      </c>
      <c r="E5127" t="s">
        <v>13</v>
      </c>
      <c r="F5127" t="s">
        <v>22</v>
      </c>
      <c r="G5127" t="s">
        <v>15</v>
      </c>
      <c r="K5127" cm="1">
        <f t="array" ref="K5127">_xlfn.SWITCH(LeadsData[[#This Row],[Funnel Stage Reached]],"Lead",1,"MQL",2,"SQL",3,"Customer",4)</f>
        <v>1</v>
      </c>
      <c r="L5127" t="str">
        <f>TEXT(LeadsData[[#This Row],[Signup Date]],"mmm-yyyy")</f>
        <v>May-2024</v>
      </c>
      <c r="M5127">
        <f>IF(LeadsData[[#This Row],[Stage Number]]&gt;=2,1,0)</f>
        <v>0</v>
      </c>
      <c r="N5127" s="2">
        <f>IF(LeadsData[[#This Row],[Stage Number]]&gt;=3,1,0)</f>
        <v>0</v>
      </c>
      <c r="O5127" s="2">
        <f>IF(LeadsData[[#This Row],[Stage Number]]&gt;=4,1,0)</f>
        <v>0</v>
      </c>
    </row>
    <row r="5128" spans="1:15" x14ac:dyDescent="0.25">
      <c r="A5128" t="s">
        <v>5168</v>
      </c>
      <c r="B5128" s="1">
        <v>45436</v>
      </c>
      <c r="C5128" t="s">
        <v>31</v>
      </c>
      <c r="D5128" t="s">
        <v>34</v>
      </c>
      <c r="E5128" t="s">
        <v>13</v>
      </c>
      <c r="F5128" t="s">
        <v>19</v>
      </c>
      <c r="G5128" t="s">
        <v>23</v>
      </c>
      <c r="K5128" cm="1">
        <f t="array" ref="K5128">_xlfn.SWITCH(LeadsData[[#This Row],[Funnel Stage Reached]],"Lead",1,"MQL",2,"SQL",3,"Customer",4)</f>
        <v>2</v>
      </c>
      <c r="L5128" t="str">
        <f>TEXT(LeadsData[[#This Row],[Signup Date]],"mmm-yyyy")</f>
        <v>May-2024</v>
      </c>
      <c r="M5128">
        <f>IF(LeadsData[[#This Row],[Stage Number]]&gt;=2,1,0)</f>
        <v>1</v>
      </c>
      <c r="N5128" s="2">
        <f>IF(LeadsData[[#This Row],[Stage Number]]&gt;=3,1,0)</f>
        <v>0</v>
      </c>
      <c r="O5128" s="2">
        <f>IF(LeadsData[[#This Row],[Stage Number]]&gt;=4,1,0)</f>
        <v>0</v>
      </c>
    </row>
    <row r="5129" spans="1:15" x14ac:dyDescent="0.25">
      <c r="A5129" t="s">
        <v>5169</v>
      </c>
      <c r="B5129" s="1">
        <v>45316</v>
      </c>
      <c r="C5129" t="s">
        <v>31</v>
      </c>
      <c r="D5129" t="s">
        <v>34</v>
      </c>
      <c r="E5129" t="s">
        <v>21</v>
      </c>
      <c r="F5129" t="s">
        <v>22</v>
      </c>
      <c r="G5129" t="s">
        <v>15</v>
      </c>
      <c r="K5129" cm="1">
        <f t="array" ref="K5129">_xlfn.SWITCH(LeadsData[[#This Row],[Funnel Stage Reached]],"Lead",1,"MQL",2,"SQL",3,"Customer",4)</f>
        <v>1</v>
      </c>
      <c r="L5129" t="str">
        <f>TEXT(LeadsData[[#This Row],[Signup Date]],"mmm-yyyy")</f>
        <v>Jan-2024</v>
      </c>
      <c r="M5129">
        <f>IF(LeadsData[[#This Row],[Stage Number]]&gt;=2,1,0)</f>
        <v>0</v>
      </c>
      <c r="N5129" s="2">
        <f>IF(LeadsData[[#This Row],[Stage Number]]&gt;=3,1,0)</f>
        <v>0</v>
      </c>
      <c r="O5129" s="2">
        <f>IF(LeadsData[[#This Row],[Stage Number]]&gt;=4,1,0)</f>
        <v>0</v>
      </c>
    </row>
    <row r="5130" spans="1:15" x14ac:dyDescent="0.25">
      <c r="A5130" t="s">
        <v>5170</v>
      </c>
      <c r="B5130" s="1">
        <v>45606</v>
      </c>
      <c r="C5130" t="s">
        <v>25</v>
      </c>
      <c r="D5130" t="s">
        <v>26</v>
      </c>
      <c r="E5130" t="s">
        <v>21</v>
      </c>
      <c r="F5130" t="s">
        <v>19</v>
      </c>
      <c r="G5130" t="s">
        <v>23</v>
      </c>
      <c r="K5130" cm="1">
        <f t="array" ref="K5130">_xlfn.SWITCH(LeadsData[[#This Row],[Funnel Stage Reached]],"Lead",1,"MQL",2,"SQL",3,"Customer",4)</f>
        <v>2</v>
      </c>
      <c r="L5130" t="str">
        <f>TEXT(LeadsData[[#This Row],[Signup Date]],"mmm-yyyy")</f>
        <v>Nov-2024</v>
      </c>
      <c r="M5130">
        <f>IF(LeadsData[[#This Row],[Stage Number]]&gt;=2,1,0)</f>
        <v>1</v>
      </c>
      <c r="N5130" s="2">
        <f>IF(LeadsData[[#This Row],[Stage Number]]&gt;=3,1,0)</f>
        <v>0</v>
      </c>
      <c r="O5130" s="2">
        <f>IF(LeadsData[[#This Row],[Stage Number]]&gt;=4,1,0)</f>
        <v>0</v>
      </c>
    </row>
    <row r="5131" spans="1:15" x14ac:dyDescent="0.25">
      <c r="A5131" t="s">
        <v>5171</v>
      </c>
      <c r="B5131" s="1">
        <v>45475</v>
      </c>
      <c r="C5131" t="s">
        <v>46</v>
      </c>
      <c r="D5131" t="s">
        <v>47</v>
      </c>
      <c r="E5131" t="s">
        <v>13</v>
      </c>
      <c r="F5131" t="s">
        <v>19</v>
      </c>
      <c r="G5131" t="s">
        <v>15</v>
      </c>
      <c r="K5131" cm="1">
        <f t="array" ref="K5131">_xlfn.SWITCH(LeadsData[[#This Row],[Funnel Stage Reached]],"Lead",1,"MQL",2,"SQL",3,"Customer",4)</f>
        <v>1</v>
      </c>
      <c r="L5131" t="str">
        <f>TEXT(LeadsData[[#This Row],[Signup Date]],"mmm-yyyy")</f>
        <v>Jul-2024</v>
      </c>
      <c r="M5131">
        <f>IF(LeadsData[[#This Row],[Stage Number]]&gt;=2,1,0)</f>
        <v>0</v>
      </c>
      <c r="N5131" s="2">
        <f>IF(LeadsData[[#This Row],[Stage Number]]&gt;=3,1,0)</f>
        <v>0</v>
      </c>
      <c r="O5131" s="2">
        <f>IF(LeadsData[[#This Row],[Stage Number]]&gt;=4,1,0)</f>
        <v>0</v>
      </c>
    </row>
    <row r="5132" spans="1:15" x14ac:dyDescent="0.25">
      <c r="A5132" t="s">
        <v>5172</v>
      </c>
      <c r="B5132" s="1">
        <v>45599</v>
      </c>
      <c r="C5132" t="s">
        <v>46</v>
      </c>
      <c r="D5132" t="s">
        <v>47</v>
      </c>
      <c r="E5132" t="s">
        <v>21</v>
      </c>
      <c r="F5132" t="s">
        <v>22</v>
      </c>
      <c r="G5132" t="s">
        <v>15</v>
      </c>
      <c r="K5132" cm="1">
        <f t="array" ref="K5132">_xlfn.SWITCH(LeadsData[[#This Row],[Funnel Stage Reached]],"Lead",1,"MQL",2,"SQL",3,"Customer",4)</f>
        <v>1</v>
      </c>
      <c r="L5132" t="str">
        <f>TEXT(LeadsData[[#This Row],[Signup Date]],"mmm-yyyy")</f>
        <v>Nov-2024</v>
      </c>
      <c r="M5132">
        <f>IF(LeadsData[[#This Row],[Stage Number]]&gt;=2,1,0)</f>
        <v>0</v>
      </c>
      <c r="N5132" s="2">
        <f>IF(LeadsData[[#This Row],[Stage Number]]&gt;=3,1,0)</f>
        <v>0</v>
      </c>
      <c r="O5132" s="2">
        <f>IF(LeadsData[[#This Row],[Stage Number]]&gt;=4,1,0)</f>
        <v>0</v>
      </c>
    </row>
    <row r="5133" spans="1:15" x14ac:dyDescent="0.25">
      <c r="A5133" t="s">
        <v>5173</v>
      </c>
      <c r="B5133" s="1">
        <v>45628</v>
      </c>
      <c r="C5133" t="s">
        <v>31</v>
      </c>
      <c r="D5133" t="s">
        <v>34</v>
      </c>
      <c r="E5133" t="s">
        <v>21</v>
      </c>
      <c r="F5133" t="s">
        <v>19</v>
      </c>
      <c r="G5133" t="s">
        <v>29</v>
      </c>
      <c r="K5133" cm="1">
        <f t="array" ref="K5133">_xlfn.SWITCH(LeadsData[[#This Row],[Funnel Stage Reached]],"Lead",1,"MQL",2,"SQL",3,"Customer",4)</f>
        <v>3</v>
      </c>
      <c r="L5133" t="str">
        <f>TEXT(LeadsData[[#This Row],[Signup Date]],"mmm-yyyy")</f>
        <v>Dec-2024</v>
      </c>
      <c r="M5133">
        <f>IF(LeadsData[[#This Row],[Stage Number]]&gt;=2,1,0)</f>
        <v>1</v>
      </c>
      <c r="N5133" s="2">
        <f>IF(LeadsData[[#This Row],[Stage Number]]&gt;=3,1,0)</f>
        <v>1</v>
      </c>
      <c r="O5133" s="2">
        <f>IF(LeadsData[[#This Row],[Stage Number]]&gt;=4,1,0)</f>
        <v>0</v>
      </c>
    </row>
    <row r="5134" spans="1:15" x14ac:dyDescent="0.25">
      <c r="A5134" t="s">
        <v>5174</v>
      </c>
      <c r="B5134" s="1">
        <v>45551</v>
      </c>
      <c r="C5134" t="s">
        <v>46</v>
      </c>
      <c r="D5134" t="s">
        <v>56</v>
      </c>
      <c r="E5134" t="s">
        <v>21</v>
      </c>
      <c r="F5134" t="s">
        <v>14</v>
      </c>
      <c r="G5134" t="s">
        <v>15</v>
      </c>
      <c r="K5134" cm="1">
        <f t="array" ref="K5134">_xlfn.SWITCH(LeadsData[[#This Row],[Funnel Stage Reached]],"Lead",1,"MQL",2,"SQL",3,"Customer",4)</f>
        <v>1</v>
      </c>
      <c r="L5134" t="str">
        <f>TEXT(LeadsData[[#This Row],[Signup Date]],"mmm-yyyy")</f>
        <v>Sep-2024</v>
      </c>
      <c r="M5134">
        <f>IF(LeadsData[[#This Row],[Stage Number]]&gt;=2,1,0)</f>
        <v>0</v>
      </c>
      <c r="N5134" s="2">
        <f>IF(LeadsData[[#This Row],[Stage Number]]&gt;=3,1,0)</f>
        <v>0</v>
      </c>
      <c r="O5134" s="2">
        <f>IF(LeadsData[[#This Row],[Stage Number]]&gt;=4,1,0)</f>
        <v>0</v>
      </c>
    </row>
    <row r="5135" spans="1:15" x14ac:dyDescent="0.25">
      <c r="A5135" t="s">
        <v>5175</v>
      </c>
      <c r="B5135" s="1">
        <v>45340</v>
      </c>
      <c r="C5135" t="s">
        <v>31</v>
      </c>
      <c r="D5135" t="s">
        <v>34</v>
      </c>
      <c r="E5135" t="s">
        <v>13</v>
      </c>
      <c r="F5135" t="s">
        <v>28</v>
      </c>
      <c r="G5135" t="s">
        <v>23</v>
      </c>
      <c r="K5135" cm="1">
        <f t="array" ref="K5135">_xlfn.SWITCH(LeadsData[[#This Row],[Funnel Stage Reached]],"Lead",1,"MQL",2,"SQL",3,"Customer",4)</f>
        <v>2</v>
      </c>
      <c r="L5135" t="str">
        <f>TEXT(LeadsData[[#This Row],[Signup Date]],"mmm-yyyy")</f>
        <v>Feb-2024</v>
      </c>
      <c r="M5135">
        <f>IF(LeadsData[[#This Row],[Stage Number]]&gt;=2,1,0)</f>
        <v>1</v>
      </c>
      <c r="N5135" s="2">
        <f>IF(LeadsData[[#This Row],[Stage Number]]&gt;=3,1,0)</f>
        <v>0</v>
      </c>
      <c r="O5135" s="2">
        <f>IF(LeadsData[[#This Row],[Stage Number]]&gt;=4,1,0)</f>
        <v>0</v>
      </c>
    </row>
    <row r="5136" spans="1:15" x14ac:dyDescent="0.25">
      <c r="A5136" t="s">
        <v>5176</v>
      </c>
      <c r="B5136" s="1">
        <v>45458</v>
      </c>
      <c r="C5136" t="s">
        <v>25</v>
      </c>
      <c r="D5136" t="s">
        <v>26</v>
      </c>
      <c r="E5136" t="s">
        <v>21</v>
      </c>
      <c r="F5136" t="s">
        <v>22</v>
      </c>
      <c r="G5136" t="s">
        <v>15</v>
      </c>
      <c r="K5136" cm="1">
        <f t="array" ref="K5136">_xlfn.SWITCH(LeadsData[[#This Row],[Funnel Stage Reached]],"Lead",1,"MQL",2,"SQL",3,"Customer",4)</f>
        <v>1</v>
      </c>
      <c r="L5136" t="str">
        <f>TEXT(LeadsData[[#This Row],[Signup Date]],"mmm-yyyy")</f>
        <v>Jun-2024</v>
      </c>
      <c r="M5136">
        <f>IF(LeadsData[[#This Row],[Stage Number]]&gt;=2,1,0)</f>
        <v>0</v>
      </c>
      <c r="N5136" s="2">
        <f>IF(LeadsData[[#This Row],[Stage Number]]&gt;=3,1,0)</f>
        <v>0</v>
      </c>
      <c r="O5136" s="2">
        <f>IF(LeadsData[[#This Row],[Stage Number]]&gt;=4,1,0)</f>
        <v>0</v>
      </c>
    </row>
    <row r="5137" spans="1:15" x14ac:dyDescent="0.25">
      <c r="A5137" t="s">
        <v>5177</v>
      </c>
      <c r="B5137" s="1">
        <v>45403</v>
      </c>
      <c r="C5137" t="s">
        <v>11</v>
      </c>
      <c r="D5137" t="s">
        <v>68</v>
      </c>
      <c r="E5137" t="s">
        <v>21</v>
      </c>
      <c r="F5137" t="s">
        <v>19</v>
      </c>
      <c r="G5137" t="s">
        <v>15</v>
      </c>
      <c r="K5137" cm="1">
        <f t="array" ref="K5137">_xlfn.SWITCH(LeadsData[[#This Row],[Funnel Stage Reached]],"Lead",1,"MQL",2,"SQL",3,"Customer",4)</f>
        <v>1</v>
      </c>
      <c r="L5137" t="str">
        <f>TEXT(LeadsData[[#This Row],[Signup Date]],"mmm-yyyy")</f>
        <v>Apr-2024</v>
      </c>
      <c r="M5137">
        <f>IF(LeadsData[[#This Row],[Stage Number]]&gt;=2,1,0)</f>
        <v>0</v>
      </c>
      <c r="N5137" s="2">
        <f>IF(LeadsData[[#This Row],[Stage Number]]&gt;=3,1,0)</f>
        <v>0</v>
      </c>
      <c r="O5137" s="2">
        <f>IF(LeadsData[[#This Row],[Stage Number]]&gt;=4,1,0)</f>
        <v>0</v>
      </c>
    </row>
    <row r="5138" spans="1:15" x14ac:dyDescent="0.25">
      <c r="A5138" t="s">
        <v>5178</v>
      </c>
      <c r="B5138" s="1">
        <v>45492</v>
      </c>
      <c r="C5138" t="s">
        <v>36</v>
      </c>
      <c r="D5138" t="s">
        <v>50</v>
      </c>
      <c r="E5138" t="s">
        <v>13</v>
      </c>
      <c r="F5138" t="s">
        <v>19</v>
      </c>
      <c r="G5138" t="s">
        <v>29</v>
      </c>
      <c r="K5138" cm="1">
        <f t="array" ref="K5138">_xlfn.SWITCH(LeadsData[[#This Row],[Funnel Stage Reached]],"Lead",1,"MQL",2,"SQL",3,"Customer",4)</f>
        <v>3</v>
      </c>
      <c r="L5138" t="str">
        <f>TEXT(LeadsData[[#This Row],[Signup Date]],"mmm-yyyy")</f>
        <v>Jul-2024</v>
      </c>
      <c r="M5138">
        <f>IF(LeadsData[[#This Row],[Stage Number]]&gt;=2,1,0)</f>
        <v>1</v>
      </c>
      <c r="N5138" s="2">
        <f>IF(LeadsData[[#This Row],[Stage Number]]&gt;=3,1,0)</f>
        <v>1</v>
      </c>
      <c r="O5138" s="2">
        <f>IF(LeadsData[[#This Row],[Stage Number]]&gt;=4,1,0)</f>
        <v>0</v>
      </c>
    </row>
    <row r="5139" spans="1:15" x14ac:dyDescent="0.25">
      <c r="A5139" t="s">
        <v>5179</v>
      </c>
      <c r="B5139" s="1">
        <v>45293</v>
      </c>
      <c r="C5139" t="s">
        <v>46</v>
      </c>
      <c r="D5139" t="s">
        <v>47</v>
      </c>
      <c r="E5139" t="s">
        <v>48</v>
      </c>
      <c r="F5139" t="s">
        <v>14</v>
      </c>
      <c r="G5139" t="s">
        <v>15</v>
      </c>
      <c r="K5139" cm="1">
        <f t="array" ref="K5139">_xlfn.SWITCH(LeadsData[[#This Row],[Funnel Stage Reached]],"Lead",1,"MQL",2,"SQL",3,"Customer",4)</f>
        <v>1</v>
      </c>
      <c r="L5139" t="str">
        <f>TEXT(LeadsData[[#This Row],[Signup Date]],"mmm-yyyy")</f>
        <v>Jan-2024</v>
      </c>
      <c r="M5139">
        <f>IF(LeadsData[[#This Row],[Stage Number]]&gt;=2,1,0)</f>
        <v>0</v>
      </c>
      <c r="N5139" s="2">
        <f>IF(LeadsData[[#This Row],[Stage Number]]&gt;=3,1,0)</f>
        <v>0</v>
      </c>
      <c r="O5139" s="2">
        <f>IF(LeadsData[[#This Row],[Stage Number]]&gt;=4,1,0)</f>
        <v>0</v>
      </c>
    </row>
    <row r="5140" spans="1:15" x14ac:dyDescent="0.25">
      <c r="A5140" t="s">
        <v>5180</v>
      </c>
      <c r="B5140" s="1">
        <v>45559</v>
      </c>
      <c r="C5140" t="s">
        <v>25</v>
      </c>
      <c r="D5140" t="s">
        <v>26</v>
      </c>
      <c r="E5140" t="s">
        <v>13</v>
      </c>
      <c r="F5140" t="s">
        <v>19</v>
      </c>
      <c r="G5140" t="s">
        <v>23</v>
      </c>
      <c r="K5140" cm="1">
        <f t="array" ref="K5140">_xlfn.SWITCH(LeadsData[[#This Row],[Funnel Stage Reached]],"Lead",1,"MQL",2,"SQL",3,"Customer",4)</f>
        <v>2</v>
      </c>
      <c r="L5140" t="str">
        <f>TEXT(LeadsData[[#This Row],[Signup Date]],"mmm-yyyy")</f>
        <v>Sep-2024</v>
      </c>
      <c r="M5140">
        <f>IF(LeadsData[[#This Row],[Stage Number]]&gt;=2,1,0)</f>
        <v>1</v>
      </c>
      <c r="N5140" s="2">
        <f>IF(LeadsData[[#This Row],[Stage Number]]&gt;=3,1,0)</f>
        <v>0</v>
      </c>
      <c r="O5140" s="2">
        <f>IF(LeadsData[[#This Row],[Stage Number]]&gt;=4,1,0)</f>
        <v>0</v>
      </c>
    </row>
    <row r="5141" spans="1:15" x14ac:dyDescent="0.25">
      <c r="A5141" t="s">
        <v>5181</v>
      </c>
      <c r="B5141" s="1">
        <v>45343</v>
      </c>
      <c r="C5141" t="s">
        <v>25</v>
      </c>
      <c r="D5141" t="s">
        <v>26</v>
      </c>
      <c r="E5141" t="s">
        <v>13</v>
      </c>
      <c r="F5141" t="s">
        <v>19</v>
      </c>
      <c r="G5141" t="s">
        <v>23</v>
      </c>
      <c r="K5141" cm="1">
        <f t="array" ref="K5141">_xlfn.SWITCH(LeadsData[[#This Row],[Funnel Stage Reached]],"Lead",1,"MQL",2,"SQL",3,"Customer",4)</f>
        <v>2</v>
      </c>
      <c r="L5141" t="str">
        <f>TEXT(LeadsData[[#This Row],[Signup Date]],"mmm-yyyy")</f>
        <v>Feb-2024</v>
      </c>
      <c r="M5141">
        <f>IF(LeadsData[[#This Row],[Stage Number]]&gt;=2,1,0)</f>
        <v>1</v>
      </c>
      <c r="N5141" s="2">
        <f>IF(LeadsData[[#This Row],[Stage Number]]&gt;=3,1,0)</f>
        <v>0</v>
      </c>
      <c r="O5141" s="2">
        <f>IF(LeadsData[[#This Row],[Stage Number]]&gt;=4,1,0)</f>
        <v>0</v>
      </c>
    </row>
    <row r="5142" spans="1:15" x14ac:dyDescent="0.25">
      <c r="A5142" t="s">
        <v>5182</v>
      </c>
      <c r="B5142" s="1">
        <v>45505</v>
      </c>
      <c r="C5142" t="s">
        <v>25</v>
      </c>
      <c r="D5142" t="s">
        <v>26</v>
      </c>
      <c r="E5142" t="s">
        <v>13</v>
      </c>
      <c r="F5142" t="s">
        <v>19</v>
      </c>
      <c r="G5142" t="s">
        <v>29</v>
      </c>
      <c r="K5142" cm="1">
        <f t="array" ref="K5142">_xlfn.SWITCH(LeadsData[[#This Row],[Funnel Stage Reached]],"Lead",1,"MQL",2,"SQL",3,"Customer",4)</f>
        <v>3</v>
      </c>
      <c r="L5142" t="str">
        <f>TEXT(LeadsData[[#This Row],[Signup Date]],"mmm-yyyy")</f>
        <v>Aug-2024</v>
      </c>
      <c r="M5142">
        <f>IF(LeadsData[[#This Row],[Stage Number]]&gt;=2,1,0)</f>
        <v>1</v>
      </c>
      <c r="N5142" s="2">
        <f>IF(LeadsData[[#This Row],[Stage Number]]&gt;=3,1,0)</f>
        <v>1</v>
      </c>
      <c r="O5142" s="2">
        <f>IF(LeadsData[[#This Row],[Stage Number]]&gt;=4,1,0)</f>
        <v>0</v>
      </c>
    </row>
    <row r="5143" spans="1:15" x14ac:dyDescent="0.25">
      <c r="A5143" t="s">
        <v>5183</v>
      </c>
      <c r="B5143" s="1">
        <v>45560</v>
      </c>
      <c r="C5143" t="s">
        <v>17</v>
      </c>
      <c r="D5143" t="s">
        <v>18</v>
      </c>
      <c r="E5143" t="s">
        <v>13</v>
      </c>
      <c r="F5143" t="s">
        <v>14</v>
      </c>
      <c r="G5143" t="s">
        <v>15</v>
      </c>
      <c r="K5143" cm="1">
        <f t="array" ref="K5143">_xlfn.SWITCH(LeadsData[[#This Row],[Funnel Stage Reached]],"Lead",1,"MQL",2,"SQL",3,"Customer",4)</f>
        <v>1</v>
      </c>
      <c r="L5143" t="str">
        <f>TEXT(LeadsData[[#This Row],[Signup Date]],"mmm-yyyy")</f>
        <v>Sep-2024</v>
      </c>
      <c r="M5143">
        <f>IF(LeadsData[[#This Row],[Stage Number]]&gt;=2,1,0)</f>
        <v>0</v>
      </c>
      <c r="N5143" s="2">
        <f>IF(LeadsData[[#This Row],[Stage Number]]&gt;=3,1,0)</f>
        <v>0</v>
      </c>
      <c r="O5143" s="2">
        <f>IF(LeadsData[[#This Row],[Stage Number]]&gt;=4,1,0)</f>
        <v>0</v>
      </c>
    </row>
    <row r="5144" spans="1:15" x14ac:dyDescent="0.25">
      <c r="A5144" t="s">
        <v>5184</v>
      </c>
      <c r="B5144" s="1">
        <v>45361</v>
      </c>
      <c r="C5144" t="s">
        <v>46</v>
      </c>
      <c r="D5144" t="s">
        <v>47</v>
      </c>
      <c r="E5144" t="s">
        <v>13</v>
      </c>
      <c r="F5144" t="s">
        <v>14</v>
      </c>
      <c r="G5144" t="s">
        <v>15</v>
      </c>
      <c r="K5144" cm="1">
        <f t="array" ref="K5144">_xlfn.SWITCH(LeadsData[[#This Row],[Funnel Stage Reached]],"Lead",1,"MQL",2,"SQL",3,"Customer",4)</f>
        <v>1</v>
      </c>
      <c r="L5144" t="str">
        <f>TEXT(LeadsData[[#This Row],[Signup Date]],"mmm-yyyy")</f>
        <v>Mar-2024</v>
      </c>
      <c r="M5144">
        <f>IF(LeadsData[[#This Row],[Stage Number]]&gt;=2,1,0)</f>
        <v>0</v>
      </c>
      <c r="N5144" s="2">
        <f>IF(LeadsData[[#This Row],[Stage Number]]&gt;=3,1,0)</f>
        <v>0</v>
      </c>
      <c r="O5144" s="2">
        <f>IF(LeadsData[[#This Row],[Stage Number]]&gt;=4,1,0)</f>
        <v>0</v>
      </c>
    </row>
    <row r="5145" spans="1:15" x14ac:dyDescent="0.25">
      <c r="A5145" t="s">
        <v>5185</v>
      </c>
      <c r="B5145" s="1">
        <v>45376</v>
      </c>
      <c r="C5145" t="s">
        <v>46</v>
      </c>
      <c r="D5145" t="s">
        <v>47</v>
      </c>
      <c r="E5145" t="s">
        <v>13</v>
      </c>
      <c r="F5145" t="s">
        <v>22</v>
      </c>
      <c r="G5145" t="s">
        <v>23</v>
      </c>
      <c r="K5145" cm="1">
        <f t="array" ref="K5145">_xlfn.SWITCH(LeadsData[[#This Row],[Funnel Stage Reached]],"Lead",1,"MQL",2,"SQL",3,"Customer",4)</f>
        <v>2</v>
      </c>
      <c r="L5145" t="str">
        <f>TEXT(LeadsData[[#This Row],[Signup Date]],"mmm-yyyy")</f>
        <v>Mar-2024</v>
      </c>
      <c r="M5145">
        <f>IF(LeadsData[[#This Row],[Stage Number]]&gt;=2,1,0)</f>
        <v>1</v>
      </c>
      <c r="N5145" s="2">
        <f>IF(LeadsData[[#This Row],[Stage Number]]&gt;=3,1,0)</f>
        <v>0</v>
      </c>
      <c r="O5145" s="2">
        <f>IF(LeadsData[[#This Row],[Stage Number]]&gt;=4,1,0)</f>
        <v>0</v>
      </c>
    </row>
    <row r="5146" spans="1:15" x14ac:dyDescent="0.25">
      <c r="A5146" t="s">
        <v>5186</v>
      </c>
      <c r="B5146" s="1">
        <v>45619</v>
      </c>
      <c r="C5146" t="s">
        <v>17</v>
      </c>
      <c r="D5146" t="s">
        <v>18</v>
      </c>
      <c r="E5146" t="s">
        <v>13</v>
      </c>
      <c r="F5146" t="s">
        <v>22</v>
      </c>
      <c r="G5146" t="s">
        <v>23</v>
      </c>
      <c r="K5146" cm="1">
        <f t="array" ref="K5146">_xlfn.SWITCH(LeadsData[[#This Row],[Funnel Stage Reached]],"Lead",1,"MQL",2,"SQL",3,"Customer",4)</f>
        <v>2</v>
      </c>
      <c r="L5146" t="str">
        <f>TEXT(LeadsData[[#This Row],[Signup Date]],"mmm-yyyy")</f>
        <v>Nov-2024</v>
      </c>
      <c r="M5146">
        <f>IF(LeadsData[[#This Row],[Stage Number]]&gt;=2,1,0)</f>
        <v>1</v>
      </c>
      <c r="N5146" s="2">
        <f>IF(LeadsData[[#This Row],[Stage Number]]&gt;=3,1,0)</f>
        <v>0</v>
      </c>
      <c r="O5146" s="2">
        <f>IF(LeadsData[[#This Row],[Stage Number]]&gt;=4,1,0)</f>
        <v>0</v>
      </c>
    </row>
    <row r="5147" spans="1:15" x14ac:dyDescent="0.25">
      <c r="A5147" t="s">
        <v>5187</v>
      </c>
      <c r="B5147" s="1">
        <v>45355</v>
      </c>
      <c r="C5147" t="s">
        <v>25</v>
      </c>
      <c r="D5147" t="s">
        <v>26</v>
      </c>
      <c r="E5147" t="s">
        <v>21</v>
      </c>
      <c r="F5147" t="s">
        <v>19</v>
      </c>
      <c r="G5147" t="s">
        <v>15</v>
      </c>
      <c r="K5147" cm="1">
        <f t="array" ref="K5147">_xlfn.SWITCH(LeadsData[[#This Row],[Funnel Stage Reached]],"Lead",1,"MQL",2,"SQL",3,"Customer",4)</f>
        <v>1</v>
      </c>
      <c r="L5147" t="str">
        <f>TEXT(LeadsData[[#This Row],[Signup Date]],"mmm-yyyy")</f>
        <v>Mar-2024</v>
      </c>
      <c r="M5147">
        <f>IF(LeadsData[[#This Row],[Stage Number]]&gt;=2,1,0)</f>
        <v>0</v>
      </c>
      <c r="N5147" s="2">
        <f>IF(LeadsData[[#This Row],[Stage Number]]&gt;=3,1,0)</f>
        <v>0</v>
      </c>
      <c r="O5147" s="2">
        <f>IF(LeadsData[[#This Row],[Stage Number]]&gt;=4,1,0)</f>
        <v>0</v>
      </c>
    </row>
    <row r="5148" spans="1:15" x14ac:dyDescent="0.25">
      <c r="A5148" t="s">
        <v>5188</v>
      </c>
      <c r="B5148" s="1">
        <v>45406</v>
      </c>
      <c r="C5148" t="s">
        <v>46</v>
      </c>
      <c r="D5148" t="s">
        <v>56</v>
      </c>
      <c r="E5148" t="s">
        <v>13</v>
      </c>
      <c r="F5148" t="s">
        <v>28</v>
      </c>
      <c r="G5148" t="s">
        <v>15</v>
      </c>
      <c r="K5148" cm="1">
        <f t="array" ref="K5148">_xlfn.SWITCH(LeadsData[[#This Row],[Funnel Stage Reached]],"Lead",1,"MQL",2,"SQL",3,"Customer",4)</f>
        <v>1</v>
      </c>
      <c r="L5148" t="str">
        <f>TEXT(LeadsData[[#This Row],[Signup Date]],"mmm-yyyy")</f>
        <v>Apr-2024</v>
      </c>
      <c r="M5148">
        <f>IF(LeadsData[[#This Row],[Stage Number]]&gt;=2,1,0)</f>
        <v>0</v>
      </c>
      <c r="N5148" s="2">
        <f>IF(LeadsData[[#This Row],[Stage Number]]&gt;=3,1,0)</f>
        <v>0</v>
      </c>
      <c r="O5148" s="2">
        <f>IF(LeadsData[[#This Row],[Stage Number]]&gt;=4,1,0)</f>
        <v>0</v>
      </c>
    </row>
    <row r="5149" spans="1:15" x14ac:dyDescent="0.25">
      <c r="A5149" t="s">
        <v>5189</v>
      </c>
      <c r="B5149" s="1">
        <v>45558</v>
      </c>
      <c r="C5149" t="s">
        <v>17</v>
      </c>
      <c r="D5149" t="s">
        <v>53</v>
      </c>
      <c r="E5149" t="s">
        <v>21</v>
      </c>
      <c r="F5149" t="s">
        <v>22</v>
      </c>
      <c r="G5149" t="s">
        <v>15</v>
      </c>
      <c r="K5149" cm="1">
        <f t="array" ref="K5149">_xlfn.SWITCH(LeadsData[[#This Row],[Funnel Stage Reached]],"Lead",1,"MQL",2,"SQL",3,"Customer",4)</f>
        <v>1</v>
      </c>
      <c r="L5149" t="str">
        <f>TEXT(LeadsData[[#This Row],[Signup Date]],"mmm-yyyy")</f>
        <v>Sep-2024</v>
      </c>
      <c r="M5149">
        <f>IF(LeadsData[[#This Row],[Stage Number]]&gt;=2,1,0)</f>
        <v>0</v>
      </c>
      <c r="N5149" s="2">
        <f>IF(LeadsData[[#This Row],[Stage Number]]&gt;=3,1,0)</f>
        <v>0</v>
      </c>
      <c r="O5149" s="2">
        <f>IF(LeadsData[[#This Row],[Stage Number]]&gt;=4,1,0)</f>
        <v>0</v>
      </c>
    </row>
    <row r="5150" spans="1:15" x14ac:dyDescent="0.25">
      <c r="A5150" t="s">
        <v>5190</v>
      </c>
      <c r="B5150" s="1">
        <v>45599</v>
      </c>
      <c r="C5150" t="s">
        <v>46</v>
      </c>
      <c r="D5150" t="s">
        <v>47</v>
      </c>
      <c r="E5150" t="s">
        <v>13</v>
      </c>
      <c r="F5150" t="s">
        <v>19</v>
      </c>
      <c r="G5150" t="s">
        <v>23</v>
      </c>
      <c r="K5150" cm="1">
        <f t="array" ref="K5150">_xlfn.SWITCH(LeadsData[[#This Row],[Funnel Stage Reached]],"Lead",1,"MQL",2,"SQL",3,"Customer",4)</f>
        <v>2</v>
      </c>
      <c r="L5150" t="str">
        <f>TEXT(LeadsData[[#This Row],[Signup Date]],"mmm-yyyy")</f>
        <v>Nov-2024</v>
      </c>
      <c r="M5150">
        <f>IF(LeadsData[[#This Row],[Stage Number]]&gt;=2,1,0)</f>
        <v>1</v>
      </c>
      <c r="N5150" s="2">
        <f>IF(LeadsData[[#This Row],[Stage Number]]&gt;=3,1,0)</f>
        <v>0</v>
      </c>
      <c r="O5150" s="2">
        <f>IF(LeadsData[[#This Row],[Stage Number]]&gt;=4,1,0)</f>
        <v>0</v>
      </c>
    </row>
    <row r="5151" spans="1:15" x14ac:dyDescent="0.25">
      <c r="A5151" t="s">
        <v>5191</v>
      </c>
      <c r="B5151" s="1">
        <v>45560</v>
      </c>
      <c r="C5151" t="s">
        <v>11</v>
      </c>
      <c r="D5151" t="s">
        <v>79</v>
      </c>
      <c r="E5151" t="s">
        <v>21</v>
      </c>
      <c r="F5151" t="s">
        <v>28</v>
      </c>
      <c r="G5151" t="s">
        <v>15</v>
      </c>
      <c r="K5151" cm="1">
        <f t="array" ref="K5151">_xlfn.SWITCH(LeadsData[[#This Row],[Funnel Stage Reached]],"Lead",1,"MQL",2,"SQL",3,"Customer",4)</f>
        <v>1</v>
      </c>
      <c r="L5151" t="str">
        <f>TEXT(LeadsData[[#This Row],[Signup Date]],"mmm-yyyy")</f>
        <v>Sep-2024</v>
      </c>
      <c r="M5151">
        <f>IF(LeadsData[[#This Row],[Stage Number]]&gt;=2,1,0)</f>
        <v>0</v>
      </c>
      <c r="N5151" s="2">
        <f>IF(LeadsData[[#This Row],[Stage Number]]&gt;=3,1,0)</f>
        <v>0</v>
      </c>
      <c r="O5151" s="2">
        <f>IF(LeadsData[[#This Row],[Stage Number]]&gt;=4,1,0)</f>
        <v>0</v>
      </c>
    </row>
    <row r="5152" spans="1:15" x14ac:dyDescent="0.25">
      <c r="A5152" t="s">
        <v>5192</v>
      </c>
      <c r="B5152" s="1">
        <v>45356</v>
      </c>
      <c r="C5152" t="s">
        <v>36</v>
      </c>
      <c r="D5152" t="s">
        <v>37</v>
      </c>
      <c r="E5152" t="s">
        <v>13</v>
      </c>
      <c r="F5152" t="s">
        <v>19</v>
      </c>
      <c r="G5152" t="s">
        <v>29</v>
      </c>
      <c r="K5152" cm="1">
        <f t="array" ref="K5152">_xlfn.SWITCH(LeadsData[[#This Row],[Funnel Stage Reached]],"Lead",1,"MQL",2,"SQL",3,"Customer",4)</f>
        <v>3</v>
      </c>
      <c r="L5152" t="str">
        <f>TEXT(LeadsData[[#This Row],[Signup Date]],"mmm-yyyy")</f>
        <v>Mar-2024</v>
      </c>
      <c r="M5152">
        <f>IF(LeadsData[[#This Row],[Stage Number]]&gt;=2,1,0)</f>
        <v>1</v>
      </c>
      <c r="N5152" s="2">
        <f>IF(LeadsData[[#This Row],[Stage Number]]&gt;=3,1,0)</f>
        <v>1</v>
      </c>
      <c r="O5152" s="2">
        <f>IF(LeadsData[[#This Row],[Stage Number]]&gt;=4,1,0)</f>
        <v>0</v>
      </c>
    </row>
    <row r="5153" spans="1:15" x14ac:dyDescent="0.25">
      <c r="A5153" t="s">
        <v>5193</v>
      </c>
      <c r="B5153" s="1">
        <v>45645</v>
      </c>
      <c r="C5153" t="s">
        <v>11</v>
      </c>
      <c r="D5153" t="s">
        <v>68</v>
      </c>
      <c r="E5153" t="s">
        <v>21</v>
      </c>
      <c r="F5153" t="s">
        <v>19</v>
      </c>
      <c r="G5153" t="s">
        <v>15</v>
      </c>
      <c r="K5153" cm="1">
        <f t="array" ref="K5153">_xlfn.SWITCH(LeadsData[[#This Row],[Funnel Stage Reached]],"Lead",1,"MQL",2,"SQL",3,"Customer",4)</f>
        <v>1</v>
      </c>
      <c r="L5153" t="str">
        <f>TEXT(LeadsData[[#This Row],[Signup Date]],"mmm-yyyy")</f>
        <v>Dec-2024</v>
      </c>
      <c r="M5153">
        <f>IF(LeadsData[[#This Row],[Stage Number]]&gt;=2,1,0)</f>
        <v>0</v>
      </c>
      <c r="N5153" s="2">
        <f>IF(LeadsData[[#This Row],[Stage Number]]&gt;=3,1,0)</f>
        <v>0</v>
      </c>
      <c r="O5153" s="2">
        <f>IF(LeadsData[[#This Row],[Stage Number]]&gt;=4,1,0)</f>
        <v>0</v>
      </c>
    </row>
    <row r="5154" spans="1:15" x14ac:dyDescent="0.25">
      <c r="A5154" t="s">
        <v>5194</v>
      </c>
      <c r="B5154" s="1">
        <v>45629</v>
      </c>
      <c r="C5154" t="s">
        <v>31</v>
      </c>
      <c r="D5154" t="s">
        <v>34</v>
      </c>
      <c r="E5154" t="s">
        <v>13</v>
      </c>
      <c r="F5154" t="s">
        <v>19</v>
      </c>
      <c r="G5154" t="s">
        <v>15</v>
      </c>
      <c r="K5154" cm="1">
        <f t="array" ref="K5154">_xlfn.SWITCH(LeadsData[[#This Row],[Funnel Stage Reached]],"Lead",1,"MQL",2,"SQL",3,"Customer",4)</f>
        <v>1</v>
      </c>
      <c r="L5154" t="str">
        <f>TEXT(LeadsData[[#This Row],[Signup Date]],"mmm-yyyy")</f>
        <v>Dec-2024</v>
      </c>
      <c r="M5154">
        <f>IF(LeadsData[[#This Row],[Stage Number]]&gt;=2,1,0)</f>
        <v>0</v>
      </c>
      <c r="N5154" s="2">
        <f>IF(LeadsData[[#This Row],[Stage Number]]&gt;=3,1,0)</f>
        <v>0</v>
      </c>
      <c r="O5154" s="2">
        <f>IF(LeadsData[[#This Row],[Stage Number]]&gt;=4,1,0)</f>
        <v>0</v>
      </c>
    </row>
    <row r="5155" spans="1:15" x14ac:dyDescent="0.25">
      <c r="A5155" t="s">
        <v>5195</v>
      </c>
      <c r="B5155" s="1">
        <v>45371</v>
      </c>
      <c r="C5155" t="s">
        <v>46</v>
      </c>
      <c r="D5155" t="s">
        <v>56</v>
      </c>
      <c r="E5155" t="s">
        <v>13</v>
      </c>
      <c r="F5155" t="s">
        <v>19</v>
      </c>
      <c r="G5155" t="s">
        <v>23</v>
      </c>
      <c r="K5155" cm="1">
        <f t="array" ref="K5155">_xlfn.SWITCH(LeadsData[[#This Row],[Funnel Stage Reached]],"Lead",1,"MQL",2,"SQL",3,"Customer",4)</f>
        <v>2</v>
      </c>
      <c r="L5155" t="str">
        <f>TEXT(LeadsData[[#This Row],[Signup Date]],"mmm-yyyy")</f>
        <v>Mar-2024</v>
      </c>
      <c r="M5155">
        <f>IF(LeadsData[[#This Row],[Stage Number]]&gt;=2,1,0)</f>
        <v>1</v>
      </c>
      <c r="N5155" s="2">
        <f>IF(LeadsData[[#This Row],[Stage Number]]&gt;=3,1,0)</f>
        <v>0</v>
      </c>
      <c r="O5155" s="2">
        <f>IF(LeadsData[[#This Row],[Stage Number]]&gt;=4,1,0)</f>
        <v>0</v>
      </c>
    </row>
    <row r="5156" spans="1:15" x14ac:dyDescent="0.25">
      <c r="A5156" t="s">
        <v>5196</v>
      </c>
      <c r="B5156" s="1">
        <v>45463</v>
      </c>
      <c r="C5156" t="s">
        <v>17</v>
      </c>
      <c r="D5156" t="s">
        <v>53</v>
      </c>
      <c r="E5156" t="s">
        <v>13</v>
      </c>
      <c r="F5156" t="s">
        <v>22</v>
      </c>
      <c r="G5156" t="s">
        <v>15</v>
      </c>
      <c r="K5156" cm="1">
        <f t="array" ref="K5156">_xlfn.SWITCH(LeadsData[[#This Row],[Funnel Stage Reached]],"Lead",1,"MQL",2,"SQL",3,"Customer",4)</f>
        <v>1</v>
      </c>
      <c r="L5156" t="str">
        <f>TEXT(LeadsData[[#This Row],[Signup Date]],"mmm-yyyy")</f>
        <v>Jun-2024</v>
      </c>
      <c r="M5156">
        <f>IF(LeadsData[[#This Row],[Stage Number]]&gt;=2,1,0)</f>
        <v>0</v>
      </c>
      <c r="N5156" s="2">
        <f>IF(LeadsData[[#This Row],[Stage Number]]&gt;=3,1,0)</f>
        <v>0</v>
      </c>
      <c r="O5156" s="2">
        <f>IF(LeadsData[[#This Row],[Stage Number]]&gt;=4,1,0)</f>
        <v>0</v>
      </c>
    </row>
    <row r="5157" spans="1:15" x14ac:dyDescent="0.25">
      <c r="A5157" t="s">
        <v>5197</v>
      </c>
      <c r="B5157" s="1">
        <v>45575</v>
      </c>
      <c r="C5157" t="s">
        <v>31</v>
      </c>
      <c r="D5157" t="s">
        <v>34</v>
      </c>
      <c r="E5157" t="s">
        <v>13</v>
      </c>
      <c r="F5157" t="s">
        <v>19</v>
      </c>
      <c r="G5157" t="s">
        <v>29</v>
      </c>
      <c r="K5157" cm="1">
        <f t="array" ref="K5157">_xlfn.SWITCH(LeadsData[[#This Row],[Funnel Stage Reached]],"Lead",1,"MQL",2,"SQL",3,"Customer",4)</f>
        <v>3</v>
      </c>
      <c r="L5157" t="str">
        <f>TEXT(LeadsData[[#This Row],[Signup Date]],"mmm-yyyy")</f>
        <v>Oct-2024</v>
      </c>
      <c r="M5157">
        <f>IF(LeadsData[[#This Row],[Stage Number]]&gt;=2,1,0)</f>
        <v>1</v>
      </c>
      <c r="N5157" s="2">
        <f>IF(LeadsData[[#This Row],[Stage Number]]&gt;=3,1,0)</f>
        <v>1</v>
      </c>
      <c r="O5157" s="2">
        <f>IF(LeadsData[[#This Row],[Stage Number]]&gt;=4,1,0)</f>
        <v>0</v>
      </c>
    </row>
    <row r="5158" spans="1:15" x14ac:dyDescent="0.25">
      <c r="A5158" t="s">
        <v>5198</v>
      </c>
      <c r="B5158" s="1">
        <v>45390</v>
      </c>
      <c r="C5158" t="s">
        <v>17</v>
      </c>
      <c r="D5158" t="s">
        <v>53</v>
      </c>
      <c r="E5158" t="s">
        <v>13</v>
      </c>
      <c r="F5158" t="s">
        <v>22</v>
      </c>
      <c r="G5158" t="s">
        <v>15</v>
      </c>
      <c r="K5158" cm="1">
        <f t="array" ref="K5158">_xlfn.SWITCH(LeadsData[[#This Row],[Funnel Stage Reached]],"Lead",1,"MQL",2,"SQL",3,"Customer",4)</f>
        <v>1</v>
      </c>
      <c r="L5158" t="str">
        <f>TEXT(LeadsData[[#This Row],[Signup Date]],"mmm-yyyy")</f>
        <v>Apr-2024</v>
      </c>
      <c r="M5158">
        <f>IF(LeadsData[[#This Row],[Stage Number]]&gt;=2,1,0)</f>
        <v>0</v>
      </c>
      <c r="N5158" s="2">
        <f>IF(LeadsData[[#This Row],[Stage Number]]&gt;=3,1,0)</f>
        <v>0</v>
      </c>
      <c r="O5158" s="2">
        <f>IF(LeadsData[[#This Row],[Stage Number]]&gt;=4,1,0)</f>
        <v>0</v>
      </c>
    </row>
    <row r="5159" spans="1:15" x14ac:dyDescent="0.25">
      <c r="A5159" t="s">
        <v>5199</v>
      </c>
      <c r="B5159" s="1">
        <v>45364</v>
      </c>
      <c r="C5159" t="s">
        <v>31</v>
      </c>
      <c r="D5159" t="s">
        <v>34</v>
      </c>
      <c r="E5159" t="s">
        <v>21</v>
      </c>
      <c r="F5159" t="s">
        <v>22</v>
      </c>
      <c r="G5159" t="s">
        <v>15</v>
      </c>
      <c r="K5159" cm="1">
        <f t="array" ref="K5159">_xlfn.SWITCH(LeadsData[[#This Row],[Funnel Stage Reached]],"Lead",1,"MQL",2,"SQL",3,"Customer",4)</f>
        <v>1</v>
      </c>
      <c r="L5159" t="str">
        <f>TEXT(LeadsData[[#This Row],[Signup Date]],"mmm-yyyy")</f>
        <v>Mar-2024</v>
      </c>
      <c r="M5159">
        <f>IF(LeadsData[[#This Row],[Stage Number]]&gt;=2,1,0)</f>
        <v>0</v>
      </c>
      <c r="N5159" s="2">
        <f>IF(LeadsData[[#This Row],[Stage Number]]&gt;=3,1,0)</f>
        <v>0</v>
      </c>
      <c r="O5159" s="2">
        <f>IF(LeadsData[[#This Row],[Stage Number]]&gt;=4,1,0)</f>
        <v>0</v>
      </c>
    </row>
    <row r="5160" spans="1:15" x14ac:dyDescent="0.25">
      <c r="A5160" t="s">
        <v>5200</v>
      </c>
      <c r="B5160" s="1">
        <v>45505</v>
      </c>
      <c r="C5160" t="s">
        <v>11</v>
      </c>
      <c r="D5160" t="s">
        <v>68</v>
      </c>
      <c r="E5160" t="s">
        <v>21</v>
      </c>
      <c r="F5160" t="s">
        <v>19</v>
      </c>
      <c r="G5160" t="s">
        <v>15</v>
      </c>
      <c r="K5160" cm="1">
        <f t="array" ref="K5160">_xlfn.SWITCH(LeadsData[[#This Row],[Funnel Stage Reached]],"Lead",1,"MQL",2,"SQL",3,"Customer",4)</f>
        <v>1</v>
      </c>
      <c r="L5160" t="str">
        <f>TEXT(LeadsData[[#This Row],[Signup Date]],"mmm-yyyy")</f>
        <v>Aug-2024</v>
      </c>
      <c r="M5160">
        <f>IF(LeadsData[[#This Row],[Stage Number]]&gt;=2,1,0)</f>
        <v>0</v>
      </c>
      <c r="N5160" s="2">
        <f>IF(LeadsData[[#This Row],[Stage Number]]&gt;=3,1,0)</f>
        <v>0</v>
      </c>
      <c r="O5160" s="2">
        <f>IF(LeadsData[[#This Row],[Stage Number]]&gt;=4,1,0)</f>
        <v>0</v>
      </c>
    </row>
    <row r="5161" spans="1:15" x14ac:dyDescent="0.25">
      <c r="A5161" t="s">
        <v>5201</v>
      </c>
      <c r="B5161" s="1">
        <v>45353</v>
      </c>
      <c r="C5161" t="s">
        <v>36</v>
      </c>
      <c r="D5161" t="s">
        <v>50</v>
      </c>
      <c r="E5161" t="s">
        <v>13</v>
      </c>
      <c r="F5161" t="s">
        <v>22</v>
      </c>
      <c r="G5161" t="s">
        <v>23</v>
      </c>
      <c r="K5161" cm="1">
        <f t="array" ref="K5161">_xlfn.SWITCH(LeadsData[[#This Row],[Funnel Stage Reached]],"Lead",1,"MQL",2,"SQL",3,"Customer",4)</f>
        <v>2</v>
      </c>
      <c r="L5161" t="str">
        <f>TEXT(LeadsData[[#This Row],[Signup Date]],"mmm-yyyy")</f>
        <v>Mar-2024</v>
      </c>
      <c r="M5161">
        <f>IF(LeadsData[[#This Row],[Stage Number]]&gt;=2,1,0)</f>
        <v>1</v>
      </c>
      <c r="N5161" s="2">
        <f>IF(LeadsData[[#This Row],[Stage Number]]&gt;=3,1,0)</f>
        <v>0</v>
      </c>
      <c r="O5161" s="2">
        <f>IF(LeadsData[[#This Row],[Stage Number]]&gt;=4,1,0)</f>
        <v>0</v>
      </c>
    </row>
    <row r="5162" spans="1:15" x14ac:dyDescent="0.25">
      <c r="A5162" t="s">
        <v>5202</v>
      </c>
      <c r="B5162" s="1">
        <v>45392</v>
      </c>
      <c r="C5162" t="s">
        <v>36</v>
      </c>
      <c r="D5162" t="s">
        <v>50</v>
      </c>
      <c r="E5162" t="s">
        <v>21</v>
      </c>
      <c r="F5162" t="s">
        <v>19</v>
      </c>
      <c r="G5162" t="s">
        <v>23</v>
      </c>
      <c r="K5162" cm="1">
        <f t="array" ref="K5162">_xlfn.SWITCH(LeadsData[[#This Row],[Funnel Stage Reached]],"Lead",1,"MQL",2,"SQL",3,"Customer",4)</f>
        <v>2</v>
      </c>
      <c r="L5162" t="str">
        <f>TEXT(LeadsData[[#This Row],[Signup Date]],"mmm-yyyy")</f>
        <v>Apr-2024</v>
      </c>
      <c r="M5162">
        <f>IF(LeadsData[[#This Row],[Stage Number]]&gt;=2,1,0)</f>
        <v>1</v>
      </c>
      <c r="N5162" s="2">
        <f>IF(LeadsData[[#This Row],[Stage Number]]&gt;=3,1,0)</f>
        <v>0</v>
      </c>
      <c r="O5162" s="2">
        <f>IF(LeadsData[[#This Row],[Stage Number]]&gt;=4,1,0)</f>
        <v>0</v>
      </c>
    </row>
    <row r="5163" spans="1:15" x14ac:dyDescent="0.25">
      <c r="A5163" t="s">
        <v>5203</v>
      </c>
      <c r="B5163" s="1">
        <v>45570</v>
      </c>
      <c r="C5163" t="s">
        <v>46</v>
      </c>
      <c r="D5163" t="s">
        <v>56</v>
      </c>
      <c r="E5163" t="s">
        <v>13</v>
      </c>
      <c r="F5163" t="s">
        <v>22</v>
      </c>
      <c r="G5163" t="s">
        <v>15</v>
      </c>
      <c r="K5163" cm="1">
        <f t="array" ref="K5163">_xlfn.SWITCH(LeadsData[[#This Row],[Funnel Stage Reached]],"Lead",1,"MQL",2,"SQL",3,"Customer",4)</f>
        <v>1</v>
      </c>
      <c r="L5163" t="str">
        <f>TEXT(LeadsData[[#This Row],[Signup Date]],"mmm-yyyy")</f>
        <v>Oct-2024</v>
      </c>
      <c r="M5163">
        <f>IF(LeadsData[[#This Row],[Stage Number]]&gt;=2,1,0)</f>
        <v>0</v>
      </c>
      <c r="N5163" s="2">
        <f>IF(LeadsData[[#This Row],[Stage Number]]&gt;=3,1,0)</f>
        <v>0</v>
      </c>
      <c r="O5163" s="2">
        <f>IF(LeadsData[[#This Row],[Stage Number]]&gt;=4,1,0)</f>
        <v>0</v>
      </c>
    </row>
    <row r="5164" spans="1:15" x14ac:dyDescent="0.25">
      <c r="A5164" t="s">
        <v>5204</v>
      </c>
      <c r="B5164" s="1">
        <v>45602</v>
      </c>
      <c r="C5164" t="s">
        <v>31</v>
      </c>
      <c r="D5164" t="s">
        <v>34</v>
      </c>
      <c r="E5164" t="s">
        <v>21</v>
      </c>
      <c r="F5164" t="s">
        <v>19</v>
      </c>
      <c r="G5164" t="s">
        <v>23</v>
      </c>
      <c r="K5164" cm="1">
        <f t="array" ref="K5164">_xlfn.SWITCH(LeadsData[[#This Row],[Funnel Stage Reached]],"Lead",1,"MQL",2,"SQL",3,"Customer",4)</f>
        <v>2</v>
      </c>
      <c r="L5164" t="str">
        <f>TEXT(LeadsData[[#This Row],[Signup Date]],"mmm-yyyy")</f>
        <v>Nov-2024</v>
      </c>
      <c r="M5164">
        <f>IF(LeadsData[[#This Row],[Stage Number]]&gt;=2,1,0)</f>
        <v>1</v>
      </c>
      <c r="N5164" s="2">
        <f>IF(LeadsData[[#This Row],[Stage Number]]&gt;=3,1,0)</f>
        <v>0</v>
      </c>
      <c r="O5164" s="2">
        <f>IF(LeadsData[[#This Row],[Stage Number]]&gt;=4,1,0)</f>
        <v>0</v>
      </c>
    </row>
    <row r="5165" spans="1:15" x14ac:dyDescent="0.25">
      <c r="A5165" t="s">
        <v>5205</v>
      </c>
      <c r="B5165" s="1">
        <v>45482</v>
      </c>
      <c r="C5165" t="s">
        <v>17</v>
      </c>
      <c r="D5165" t="s">
        <v>18</v>
      </c>
      <c r="E5165" t="s">
        <v>13</v>
      </c>
      <c r="F5165" t="s">
        <v>19</v>
      </c>
      <c r="G5165" t="s">
        <v>15</v>
      </c>
      <c r="K5165" cm="1">
        <f t="array" ref="K5165">_xlfn.SWITCH(LeadsData[[#This Row],[Funnel Stage Reached]],"Lead",1,"MQL",2,"SQL",3,"Customer",4)</f>
        <v>1</v>
      </c>
      <c r="L5165" t="str">
        <f>TEXT(LeadsData[[#This Row],[Signup Date]],"mmm-yyyy")</f>
        <v>Jul-2024</v>
      </c>
      <c r="M5165">
        <f>IF(LeadsData[[#This Row],[Stage Number]]&gt;=2,1,0)</f>
        <v>0</v>
      </c>
      <c r="N5165" s="2">
        <f>IF(LeadsData[[#This Row],[Stage Number]]&gt;=3,1,0)</f>
        <v>0</v>
      </c>
      <c r="O5165" s="2">
        <f>IF(LeadsData[[#This Row],[Stage Number]]&gt;=4,1,0)</f>
        <v>0</v>
      </c>
    </row>
    <row r="5166" spans="1:15" x14ac:dyDescent="0.25">
      <c r="A5166" t="s">
        <v>5206</v>
      </c>
      <c r="B5166" s="1">
        <v>45431</v>
      </c>
      <c r="C5166" t="s">
        <v>46</v>
      </c>
      <c r="D5166" t="s">
        <v>56</v>
      </c>
      <c r="E5166" t="s">
        <v>13</v>
      </c>
      <c r="F5166" t="s">
        <v>14</v>
      </c>
      <c r="G5166" t="s">
        <v>15</v>
      </c>
      <c r="K5166" cm="1">
        <f t="array" ref="K5166">_xlfn.SWITCH(LeadsData[[#This Row],[Funnel Stage Reached]],"Lead",1,"MQL",2,"SQL",3,"Customer",4)</f>
        <v>1</v>
      </c>
      <c r="L5166" t="str">
        <f>TEXT(LeadsData[[#This Row],[Signup Date]],"mmm-yyyy")</f>
        <v>May-2024</v>
      </c>
      <c r="M5166">
        <f>IF(LeadsData[[#This Row],[Stage Number]]&gt;=2,1,0)</f>
        <v>0</v>
      </c>
      <c r="N5166" s="2">
        <f>IF(LeadsData[[#This Row],[Stage Number]]&gt;=3,1,0)</f>
        <v>0</v>
      </c>
      <c r="O5166" s="2">
        <f>IF(LeadsData[[#This Row],[Stage Number]]&gt;=4,1,0)</f>
        <v>0</v>
      </c>
    </row>
    <row r="5167" spans="1:15" x14ac:dyDescent="0.25">
      <c r="A5167" t="s">
        <v>5207</v>
      </c>
      <c r="B5167" s="1">
        <v>45339</v>
      </c>
      <c r="C5167" t="s">
        <v>25</v>
      </c>
      <c r="D5167" t="s">
        <v>26</v>
      </c>
      <c r="E5167" t="s">
        <v>13</v>
      </c>
      <c r="F5167" t="s">
        <v>19</v>
      </c>
      <c r="G5167" t="s">
        <v>15</v>
      </c>
      <c r="K5167" cm="1">
        <f t="array" ref="K5167">_xlfn.SWITCH(LeadsData[[#This Row],[Funnel Stage Reached]],"Lead",1,"MQL",2,"SQL",3,"Customer",4)</f>
        <v>1</v>
      </c>
      <c r="L5167" t="str">
        <f>TEXT(LeadsData[[#This Row],[Signup Date]],"mmm-yyyy")</f>
        <v>Feb-2024</v>
      </c>
      <c r="M5167">
        <f>IF(LeadsData[[#This Row],[Stage Number]]&gt;=2,1,0)</f>
        <v>0</v>
      </c>
      <c r="N5167" s="2">
        <f>IF(LeadsData[[#This Row],[Stage Number]]&gt;=3,1,0)</f>
        <v>0</v>
      </c>
      <c r="O5167" s="2">
        <f>IF(LeadsData[[#This Row],[Stage Number]]&gt;=4,1,0)</f>
        <v>0</v>
      </c>
    </row>
    <row r="5168" spans="1:15" x14ac:dyDescent="0.25">
      <c r="A5168" t="s">
        <v>5208</v>
      </c>
      <c r="B5168" s="1">
        <v>45585</v>
      </c>
      <c r="C5168" t="s">
        <v>11</v>
      </c>
      <c r="D5168" t="s">
        <v>79</v>
      </c>
      <c r="E5168" t="s">
        <v>21</v>
      </c>
      <c r="F5168" t="s">
        <v>22</v>
      </c>
      <c r="G5168" t="s">
        <v>15</v>
      </c>
      <c r="K5168" cm="1">
        <f t="array" ref="K5168">_xlfn.SWITCH(LeadsData[[#This Row],[Funnel Stage Reached]],"Lead",1,"MQL",2,"SQL",3,"Customer",4)</f>
        <v>1</v>
      </c>
      <c r="L5168" t="str">
        <f>TEXT(LeadsData[[#This Row],[Signup Date]],"mmm-yyyy")</f>
        <v>Oct-2024</v>
      </c>
      <c r="M5168">
        <f>IF(LeadsData[[#This Row],[Stage Number]]&gt;=2,1,0)</f>
        <v>0</v>
      </c>
      <c r="N5168" s="2">
        <f>IF(LeadsData[[#This Row],[Stage Number]]&gt;=3,1,0)</f>
        <v>0</v>
      </c>
      <c r="O5168" s="2">
        <f>IF(LeadsData[[#This Row],[Stage Number]]&gt;=4,1,0)</f>
        <v>0</v>
      </c>
    </row>
    <row r="5169" spans="1:15" x14ac:dyDescent="0.25">
      <c r="A5169" t="s">
        <v>5209</v>
      </c>
      <c r="B5169" s="1">
        <v>45542</v>
      </c>
      <c r="C5169" t="s">
        <v>46</v>
      </c>
      <c r="D5169" t="s">
        <v>47</v>
      </c>
      <c r="E5169" t="s">
        <v>13</v>
      </c>
      <c r="F5169" t="s">
        <v>22</v>
      </c>
      <c r="G5169" t="s">
        <v>23</v>
      </c>
      <c r="K5169" cm="1">
        <f t="array" ref="K5169">_xlfn.SWITCH(LeadsData[[#This Row],[Funnel Stage Reached]],"Lead",1,"MQL",2,"SQL",3,"Customer",4)</f>
        <v>2</v>
      </c>
      <c r="L5169" t="str">
        <f>TEXT(LeadsData[[#This Row],[Signup Date]],"mmm-yyyy")</f>
        <v>Sep-2024</v>
      </c>
      <c r="M5169">
        <f>IF(LeadsData[[#This Row],[Stage Number]]&gt;=2,1,0)</f>
        <v>1</v>
      </c>
      <c r="N5169" s="2">
        <f>IF(LeadsData[[#This Row],[Stage Number]]&gt;=3,1,0)</f>
        <v>0</v>
      </c>
      <c r="O5169" s="2">
        <f>IF(LeadsData[[#This Row],[Stage Number]]&gt;=4,1,0)</f>
        <v>0</v>
      </c>
    </row>
    <row r="5170" spans="1:15" x14ac:dyDescent="0.25">
      <c r="A5170" t="s">
        <v>5210</v>
      </c>
      <c r="B5170" s="1">
        <v>45561</v>
      </c>
      <c r="C5170" t="s">
        <v>11</v>
      </c>
      <c r="D5170" t="s">
        <v>68</v>
      </c>
      <c r="E5170" t="s">
        <v>13</v>
      </c>
      <c r="F5170" t="s">
        <v>19</v>
      </c>
      <c r="G5170" t="s">
        <v>29</v>
      </c>
      <c r="K5170" cm="1">
        <f t="array" ref="K5170">_xlfn.SWITCH(LeadsData[[#This Row],[Funnel Stage Reached]],"Lead",1,"MQL",2,"SQL",3,"Customer",4)</f>
        <v>3</v>
      </c>
      <c r="L5170" t="str">
        <f>TEXT(LeadsData[[#This Row],[Signup Date]],"mmm-yyyy")</f>
        <v>Sep-2024</v>
      </c>
      <c r="M5170">
        <f>IF(LeadsData[[#This Row],[Stage Number]]&gt;=2,1,0)</f>
        <v>1</v>
      </c>
      <c r="N5170" s="2">
        <f>IF(LeadsData[[#This Row],[Stage Number]]&gt;=3,1,0)</f>
        <v>1</v>
      </c>
      <c r="O5170" s="2">
        <f>IF(LeadsData[[#This Row],[Stage Number]]&gt;=4,1,0)</f>
        <v>0</v>
      </c>
    </row>
    <row r="5171" spans="1:15" x14ac:dyDescent="0.25">
      <c r="A5171" t="s">
        <v>5211</v>
      </c>
      <c r="B5171" s="1">
        <v>45309</v>
      </c>
      <c r="C5171" t="s">
        <v>46</v>
      </c>
      <c r="D5171" t="s">
        <v>47</v>
      </c>
      <c r="E5171" t="s">
        <v>21</v>
      </c>
      <c r="F5171" t="s">
        <v>22</v>
      </c>
      <c r="G5171" t="s">
        <v>42</v>
      </c>
      <c r="H5171">
        <v>7</v>
      </c>
      <c r="I5171" t="s">
        <v>87</v>
      </c>
      <c r="J5171">
        <v>2058.81</v>
      </c>
      <c r="K5171" cm="1">
        <f t="array" ref="K5171">_xlfn.SWITCH(LeadsData[[#This Row],[Funnel Stage Reached]],"Lead",1,"MQL",2,"SQL",3,"Customer",4)</f>
        <v>4</v>
      </c>
      <c r="L5171" t="str">
        <f>TEXT(LeadsData[[#This Row],[Signup Date]],"mmm-yyyy")</f>
        <v>Jan-2024</v>
      </c>
      <c r="M5171">
        <f>IF(LeadsData[[#This Row],[Stage Number]]&gt;=2,1,0)</f>
        <v>1</v>
      </c>
      <c r="N5171" s="2">
        <f>IF(LeadsData[[#This Row],[Stage Number]]&gt;=3,1,0)</f>
        <v>1</v>
      </c>
      <c r="O5171" s="2">
        <f>IF(LeadsData[[#This Row],[Stage Number]]&gt;=4,1,0)</f>
        <v>1</v>
      </c>
    </row>
    <row r="5172" spans="1:15" x14ac:dyDescent="0.25">
      <c r="A5172" t="s">
        <v>5212</v>
      </c>
      <c r="B5172" s="1">
        <v>45428</v>
      </c>
      <c r="C5172" t="s">
        <v>17</v>
      </c>
      <c r="D5172" t="s">
        <v>53</v>
      </c>
      <c r="E5172" t="s">
        <v>13</v>
      </c>
      <c r="F5172" t="s">
        <v>19</v>
      </c>
      <c r="G5172" t="s">
        <v>15</v>
      </c>
      <c r="K5172" cm="1">
        <f t="array" ref="K5172">_xlfn.SWITCH(LeadsData[[#This Row],[Funnel Stage Reached]],"Lead",1,"MQL",2,"SQL",3,"Customer",4)</f>
        <v>1</v>
      </c>
      <c r="L5172" t="str">
        <f>TEXT(LeadsData[[#This Row],[Signup Date]],"mmm-yyyy")</f>
        <v>May-2024</v>
      </c>
      <c r="M5172">
        <f>IF(LeadsData[[#This Row],[Stage Number]]&gt;=2,1,0)</f>
        <v>0</v>
      </c>
      <c r="N5172" s="2">
        <f>IF(LeadsData[[#This Row],[Stage Number]]&gt;=3,1,0)</f>
        <v>0</v>
      </c>
      <c r="O5172" s="2">
        <f>IF(LeadsData[[#This Row],[Stage Number]]&gt;=4,1,0)</f>
        <v>0</v>
      </c>
    </row>
    <row r="5173" spans="1:15" x14ac:dyDescent="0.25">
      <c r="A5173" t="s">
        <v>5213</v>
      </c>
      <c r="B5173" s="1">
        <v>45335</v>
      </c>
      <c r="C5173" t="s">
        <v>36</v>
      </c>
      <c r="D5173" t="s">
        <v>37</v>
      </c>
      <c r="E5173" t="s">
        <v>21</v>
      </c>
      <c r="F5173" t="s">
        <v>19</v>
      </c>
      <c r="G5173" t="s">
        <v>23</v>
      </c>
      <c r="K5173" cm="1">
        <f t="array" ref="K5173">_xlfn.SWITCH(LeadsData[[#This Row],[Funnel Stage Reached]],"Lead",1,"MQL",2,"SQL",3,"Customer",4)</f>
        <v>2</v>
      </c>
      <c r="L5173" t="str">
        <f>TEXT(LeadsData[[#This Row],[Signup Date]],"mmm-yyyy")</f>
        <v>Feb-2024</v>
      </c>
      <c r="M5173">
        <f>IF(LeadsData[[#This Row],[Stage Number]]&gt;=2,1,0)</f>
        <v>1</v>
      </c>
      <c r="N5173" s="2">
        <f>IF(LeadsData[[#This Row],[Stage Number]]&gt;=3,1,0)</f>
        <v>0</v>
      </c>
      <c r="O5173" s="2">
        <f>IF(LeadsData[[#This Row],[Stage Number]]&gt;=4,1,0)</f>
        <v>0</v>
      </c>
    </row>
    <row r="5174" spans="1:15" x14ac:dyDescent="0.25">
      <c r="A5174" t="s">
        <v>5214</v>
      </c>
      <c r="B5174" s="1">
        <v>45465</v>
      </c>
      <c r="C5174" t="s">
        <v>11</v>
      </c>
      <c r="D5174" t="s">
        <v>12</v>
      </c>
      <c r="E5174" t="s">
        <v>13</v>
      </c>
      <c r="F5174" t="s">
        <v>28</v>
      </c>
      <c r="G5174" t="s">
        <v>23</v>
      </c>
      <c r="K5174" cm="1">
        <f t="array" ref="K5174">_xlfn.SWITCH(LeadsData[[#This Row],[Funnel Stage Reached]],"Lead",1,"MQL",2,"SQL",3,"Customer",4)</f>
        <v>2</v>
      </c>
      <c r="L5174" t="str">
        <f>TEXT(LeadsData[[#This Row],[Signup Date]],"mmm-yyyy")</f>
        <v>Jun-2024</v>
      </c>
      <c r="M5174">
        <f>IF(LeadsData[[#This Row],[Stage Number]]&gt;=2,1,0)</f>
        <v>1</v>
      </c>
      <c r="N5174" s="2">
        <f>IF(LeadsData[[#This Row],[Stage Number]]&gt;=3,1,0)</f>
        <v>0</v>
      </c>
      <c r="O5174" s="2">
        <f>IF(LeadsData[[#This Row],[Stage Number]]&gt;=4,1,0)</f>
        <v>0</v>
      </c>
    </row>
    <row r="5175" spans="1:15" x14ac:dyDescent="0.25">
      <c r="A5175" t="s">
        <v>5215</v>
      </c>
      <c r="B5175" s="1">
        <v>45421</v>
      </c>
      <c r="C5175" t="s">
        <v>36</v>
      </c>
      <c r="D5175" t="s">
        <v>37</v>
      </c>
      <c r="E5175" t="s">
        <v>13</v>
      </c>
      <c r="F5175" t="s">
        <v>22</v>
      </c>
      <c r="G5175" t="s">
        <v>15</v>
      </c>
      <c r="K5175" cm="1">
        <f t="array" ref="K5175">_xlfn.SWITCH(LeadsData[[#This Row],[Funnel Stage Reached]],"Lead",1,"MQL",2,"SQL",3,"Customer",4)</f>
        <v>1</v>
      </c>
      <c r="L5175" t="str">
        <f>TEXT(LeadsData[[#This Row],[Signup Date]],"mmm-yyyy")</f>
        <v>May-2024</v>
      </c>
      <c r="M5175">
        <f>IF(LeadsData[[#This Row],[Stage Number]]&gt;=2,1,0)</f>
        <v>0</v>
      </c>
      <c r="N5175" s="2">
        <f>IF(LeadsData[[#This Row],[Stage Number]]&gt;=3,1,0)</f>
        <v>0</v>
      </c>
      <c r="O5175" s="2">
        <f>IF(LeadsData[[#This Row],[Stage Number]]&gt;=4,1,0)</f>
        <v>0</v>
      </c>
    </row>
    <row r="5176" spans="1:15" x14ac:dyDescent="0.25">
      <c r="A5176" t="s">
        <v>5216</v>
      </c>
      <c r="B5176" s="1">
        <v>45407</v>
      </c>
      <c r="C5176" t="s">
        <v>36</v>
      </c>
      <c r="D5176" t="s">
        <v>50</v>
      </c>
      <c r="E5176" t="s">
        <v>21</v>
      </c>
      <c r="F5176" t="s">
        <v>19</v>
      </c>
      <c r="G5176" t="s">
        <v>15</v>
      </c>
      <c r="K5176" cm="1">
        <f t="array" ref="K5176">_xlfn.SWITCH(LeadsData[[#This Row],[Funnel Stage Reached]],"Lead",1,"MQL",2,"SQL",3,"Customer",4)</f>
        <v>1</v>
      </c>
      <c r="L5176" t="str">
        <f>TEXT(LeadsData[[#This Row],[Signup Date]],"mmm-yyyy")</f>
        <v>Apr-2024</v>
      </c>
      <c r="M5176">
        <f>IF(LeadsData[[#This Row],[Stage Number]]&gt;=2,1,0)</f>
        <v>0</v>
      </c>
      <c r="N5176" s="2">
        <f>IF(LeadsData[[#This Row],[Stage Number]]&gt;=3,1,0)</f>
        <v>0</v>
      </c>
      <c r="O5176" s="2">
        <f>IF(LeadsData[[#This Row],[Stage Number]]&gt;=4,1,0)</f>
        <v>0</v>
      </c>
    </row>
    <row r="5177" spans="1:15" x14ac:dyDescent="0.25">
      <c r="A5177" t="s">
        <v>5217</v>
      </c>
      <c r="B5177" s="1">
        <v>45400</v>
      </c>
      <c r="C5177" t="s">
        <v>17</v>
      </c>
      <c r="D5177" t="s">
        <v>18</v>
      </c>
      <c r="E5177" t="s">
        <v>21</v>
      </c>
      <c r="F5177" t="s">
        <v>22</v>
      </c>
      <c r="G5177" t="s">
        <v>15</v>
      </c>
      <c r="K5177" cm="1">
        <f t="array" ref="K5177">_xlfn.SWITCH(LeadsData[[#This Row],[Funnel Stage Reached]],"Lead",1,"MQL",2,"SQL",3,"Customer",4)</f>
        <v>1</v>
      </c>
      <c r="L5177" t="str">
        <f>TEXT(LeadsData[[#This Row],[Signup Date]],"mmm-yyyy")</f>
        <v>Apr-2024</v>
      </c>
      <c r="M5177">
        <f>IF(LeadsData[[#This Row],[Stage Number]]&gt;=2,1,0)</f>
        <v>0</v>
      </c>
      <c r="N5177" s="2">
        <f>IF(LeadsData[[#This Row],[Stage Number]]&gt;=3,1,0)</f>
        <v>0</v>
      </c>
      <c r="O5177" s="2">
        <f>IF(LeadsData[[#This Row],[Stage Number]]&gt;=4,1,0)</f>
        <v>0</v>
      </c>
    </row>
    <row r="5178" spans="1:15" x14ac:dyDescent="0.25">
      <c r="A5178" t="s">
        <v>5218</v>
      </c>
      <c r="B5178" s="1">
        <v>45394</v>
      </c>
      <c r="C5178" t="s">
        <v>36</v>
      </c>
      <c r="D5178" t="s">
        <v>50</v>
      </c>
      <c r="E5178" t="s">
        <v>21</v>
      </c>
      <c r="F5178" t="s">
        <v>19</v>
      </c>
      <c r="G5178" t="s">
        <v>42</v>
      </c>
      <c r="H5178">
        <v>65</v>
      </c>
      <c r="I5178" t="s">
        <v>87</v>
      </c>
      <c r="J5178">
        <v>3294.95</v>
      </c>
      <c r="K5178" cm="1">
        <f t="array" ref="K5178">_xlfn.SWITCH(LeadsData[[#This Row],[Funnel Stage Reached]],"Lead",1,"MQL",2,"SQL",3,"Customer",4)</f>
        <v>4</v>
      </c>
      <c r="L5178" t="str">
        <f>TEXT(LeadsData[[#This Row],[Signup Date]],"mmm-yyyy")</f>
        <v>Apr-2024</v>
      </c>
      <c r="M5178">
        <f>IF(LeadsData[[#This Row],[Stage Number]]&gt;=2,1,0)</f>
        <v>1</v>
      </c>
      <c r="N5178" s="2">
        <f>IF(LeadsData[[#This Row],[Stage Number]]&gt;=3,1,0)</f>
        <v>1</v>
      </c>
      <c r="O5178" s="2">
        <f>IF(LeadsData[[#This Row],[Stage Number]]&gt;=4,1,0)</f>
        <v>1</v>
      </c>
    </row>
    <row r="5179" spans="1:15" x14ac:dyDescent="0.25">
      <c r="A5179" t="s">
        <v>5219</v>
      </c>
      <c r="B5179" s="1">
        <v>45570</v>
      </c>
      <c r="C5179" t="s">
        <v>36</v>
      </c>
      <c r="D5179" t="s">
        <v>50</v>
      </c>
      <c r="E5179" t="s">
        <v>21</v>
      </c>
      <c r="F5179" t="s">
        <v>19</v>
      </c>
      <c r="G5179" t="s">
        <v>42</v>
      </c>
      <c r="H5179">
        <v>43</v>
      </c>
      <c r="I5179" t="s">
        <v>87</v>
      </c>
      <c r="J5179">
        <v>2634.53</v>
      </c>
      <c r="K5179" cm="1">
        <f t="array" ref="K5179">_xlfn.SWITCH(LeadsData[[#This Row],[Funnel Stage Reached]],"Lead",1,"MQL",2,"SQL",3,"Customer",4)</f>
        <v>4</v>
      </c>
      <c r="L5179" t="str">
        <f>TEXT(LeadsData[[#This Row],[Signup Date]],"mmm-yyyy")</f>
        <v>Oct-2024</v>
      </c>
      <c r="M5179">
        <f>IF(LeadsData[[#This Row],[Stage Number]]&gt;=2,1,0)</f>
        <v>1</v>
      </c>
      <c r="N5179" s="2">
        <f>IF(LeadsData[[#This Row],[Stage Number]]&gt;=3,1,0)</f>
        <v>1</v>
      </c>
      <c r="O5179" s="2">
        <f>IF(LeadsData[[#This Row],[Stage Number]]&gt;=4,1,0)</f>
        <v>1</v>
      </c>
    </row>
    <row r="5180" spans="1:15" x14ac:dyDescent="0.25">
      <c r="A5180" t="s">
        <v>5220</v>
      </c>
      <c r="B5180" s="1">
        <v>45646</v>
      </c>
      <c r="C5180" t="s">
        <v>11</v>
      </c>
      <c r="D5180" t="s">
        <v>12</v>
      </c>
      <c r="E5180" t="s">
        <v>21</v>
      </c>
      <c r="F5180" t="s">
        <v>22</v>
      </c>
      <c r="G5180" t="s">
        <v>15</v>
      </c>
      <c r="K5180" cm="1">
        <f t="array" ref="K5180">_xlfn.SWITCH(LeadsData[[#This Row],[Funnel Stage Reached]],"Lead",1,"MQL",2,"SQL",3,"Customer",4)</f>
        <v>1</v>
      </c>
      <c r="L5180" t="str">
        <f>TEXT(LeadsData[[#This Row],[Signup Date]],"mmm-yyyy")</f>
        <v>Dec-2024</v>
      </c>
      <c r="M5180">
        <f>IF(LeadsData[[#This Row],[Stage Number]]&gt;=2,1,0)</f>
        <v>0</v>
      </c>
      <c r="N5180" s="2">
        <f>IF(LeadsData[[#This Row],[Stage Number]]&gt;=3,1,0)</f>
        <v>0</v>
      </c>
      <c r="O5180" s="2">
        <f>IF(LeadsData[[#This Row],[Stage Number]]&gt;=4,1,0)</f>
        <v>0</v>
      </c>
    </row>
    <row r="5181" spans="1:15" x14ac:dyDescent="0.25">
      <c r="A5181" t="s">
        <v>5221</v>
      </c>
      <c r="B5181" s="1">
        <v>45463</v>
      </c>
      <c r="C5181" t="s">
        <v>11</v>
      </c>
      <c r="D5181" t="s">
        <v>79</v>
      </c>
      <c r="E5181" t="s">
        <v>21</v>
      </c>
      <c r="F5181" t="s">
        <v>14</v>
      </c>
      <c r="G5181" t="s">
        <v>15</v>
      </c>
      <c r="K5181" cm="1">
        <f t="array" ref="K5181">_xlfn.SWITCH(LeadsData[[#This Row],[Funnel Stage Reached]],"Lead",1,"MQL",2,"SQL",3,"Customer",4)</f>
        <v>1</v>
      </c>
      <c r="L5181" t="str">
        <f>TEXT(LeadsData[[#This Row],[Signup Date]],"mmm-yyyy")</f>
        <v>Jun-2024</v>
      </c>
      <c r="M5181">
        <f>IF(LeadsData[[#This Row],[Stage Number]]&gt;=2,1,0)</f>
        <v>0</v>
      </c>
      <c r="N5181" s="2">
        <f>IF(LeadsData[[#This Row],[Stage Number]]&gt;=3,1,0)</f>
        <v>0</v>
      </c>
      <c r="O5181" s="2">
        <f>IF(LeadsData[[#This Row],[Stage Number]]&gt;=4,1,0)</f>
        <v>0</v>
      </c>
    </row>
    <row r="5182" spans="1:15" x14ac:dyDescent="0.25">
      <c r="A5182" t="s">
        <v>5222</v>
      </c>
      <c r="B5182" s="1">
        <v>45326</v>
      </c>
      <c r="C5182" t="s">
        <v>31</v>
      </c>
      <c r="D5182" t="s">
        <v>32</v>
      </c>
      <c r="E5182" t="s">
        <v>13</v>
      </c>
      <c r="F5182" t="s">
        <v>19</v>
      </c>
      <c r="G5182" t="s">
        <v>23</v>
      </c>
      <c r="K5182" cm="1">
        <f t="array" ref="K5182">_xlfn.SWITCH(LeadsData[[#This Row],[Funnel Stage Reached]],"Lead",1,"MQL",2,"SQL",3,"Customer",4)</f>
        <v>2</v>
      </c>
      <c r="L5182" t="str">
        <f>TEXT(LeadsData[[#This Row],[Signup Date]],"mmm-yyyy")</f>
        <v>Feb-2024</v>
      </c>
      <c r="M5182">
        <f>IF(LeadsData[[#This Row],[Stage Number]]&gt;=2,1,0)</f>
        <v>1</v>
      </c>
      <c r="N5182" s="2">
        <f>IF(LeadsData[[#This Row],[Stage Number]]&gt;=3,1,0)</f>
        <v>0</v>
      </c>
      <c r="O5182" s="2">
        <f>IF(LeadsData[[#This Row],[Stage Number]]&gt;=4,1,0)</f>
        <v>0</v>
      </c>
    </row>
    <row r="5183" spans="1:15" x14ac:dyDescent="0.25">
      <c r="A5183" t="s">
        <v>5223</v>
      </c>
      <c r="B5183" s="1">
        <v>45297</v>
      </c>
      <c r="C5183" t="s">
        <v>46</v>
      </c>
      <c r="D5183" t="s">
        <v>56</v>
      </c>
      <c r="E5183" t="s">
        <v>21</v>
      </c>
      <c r="F5183" t="s">
        <v>19</v>
      </c>
      <c r="G5183" t="s">
        <v>29</v>
      </c>
      <c r="K5183" cm="1">
        <f t="array" ref="K5183">_xlfn.SWITCH(LeadsData[[#This Row],[Funnel Stage Reached]],"Lead",1,"MQL",2,"SQL",3,"Customer",4)</f>
        <v>3</v>
      </c>
      <c r="L5183" t="str">
        <f>TEXT(LeadsData[[#This Row],[Signup Date]],"mmm-yyyy")</f>
        <v>Jan-2024</v>
      </c>
      <c r="M5183">
        <f>IF(LeadsData[[#This Row],[Stage Number]]&gt;=2,1,0)</f>
        <v>1</v>
      </c>
      <c r="N5183" s="2">
        <f>IF(LeadsData[[#This Row],[Stage Number]]&gt;=3,1,0)</f>
        <v>1</v>
      </c>
      <c r="O5183" s="2">
        <f>IF(LeadsData[[#This Row],[Stage Number]]&gt;=4,1,0)</f>
        <v>0</v>
      </c>
    </row>
    <row r="5184" spans="1:15" x14ac:dyDescent="0.25">
      <c r="A5184" t="s">
        <v>5224</v>
      </c>
      <c r="B5184" s="1">
        <v>45387</v>
      </c>
      <c r="C5184" t="s">
        <v>31</v>
      </c>
      <c r="D5184" t="s">
        <v>34</v>
      </c>
      <c r="E5184" t="s">
        <v>13</v>
      </c>
      <c r="F5184" t="s">
        <v>14</v>
      </c>
      <c r="G5184" t="s">
        <v>23</v>
      </c>
      <c r="K5184" cm="1">
        <f t="array" ref="K5184">_xlfn.SWITCH(LeadsData[[#This Row],[Funnel Stage Reached]],"Lead",1,"MQL",2,"SQL",3,"Customer",4)</f>
        <v>2</v>
      </c>
      <c r="L5184" t="str">
        <f>TEXT(LeadsData[[#This Row],[Signup Date]],"mmm-yyyy")</f>
        <v>Apr-2024</v>
      </c>
      <c r="M5184">
        <f>IF(LeadsData[[#This Row],[Stage Number]]&gt;=2,1,0)</f>
        <v>1</v>
      </c>
      <c r="N5184" s="2">
        <f>IF(LeadsData[[#This Row],[Stage Number]]&gt;=3,1,0)</f>
        <v>0</v>
      </c>
      <c r="O5184" s="2">
        <f>IF(LeadsData[[#This Row],[Stage Number]]&gt;=4,1,0)</f>
        <v>0</v>
      </c>
    </row>
    <row r="5185" spans="1:15" x14ac:dyDescent="0.25">
      <c r="A5185" t="s">
        <v>5225</v>
      </c>
      <c r="B5185" s="1">
        <v>45506</v>
      </c>
      <c r="C5185" t="s">
        <v>31</v>
      </c>
      <c r="D5185" t="s">
        <v>34</v>
      </c>
      <c r="E5185" t="s">
        <v>13</v>
      </c>
      <c r="F5185" t="s">
        <v>19</v>
      </c>
      <c r="G5185" t="s">
        <v>29</v>
      </c>
      <c r="K5185" cm="1">
        <f t="array" ref="K5185">_xlfn.SWITCH(LeadsData[[#This Row],[Funnel Stage Reached]],"Lead",1,"MQL",2,"SQL",3,"Customer",4)</f>
        <v>3</v>
      </c>
      <c r="L5185" t="str">
        <f>TEXT(LeadsData[[#This Row],[Signup Date]],"mmm-yyyy")</f>
        <v>Aug-2024</v>
      </c>
      <c r="M5185">
        <f>IF(LeadsData[[#This Row],[Stage Number]]&gt;=2,1,0)</f>
        <v>1</v>
      </c>
      <c r="N5185" s="2">
        <f>IF(LeadsData[[#This Row],[Stage Number]]&gt;=3,1,0)</f>
        <v>1</v>
      </c>
      <c r="O5185" s="2">
        <f>IF(LeadsData[[#This Row],[Stage Number]]&gt;=4,1,0)</f>
        <v>0</v>
      </c>
    </row>
    <row r="5186" spans="1:15" x14ac:dyDescent="0.25">
      <c r="A5186" t="s">
        <v>5226</v>
      </c>
      <c r="B5186" s="1">
        <v>45418</v>
      </c>
      <c r="C5186" t="s">
        <v>25</v>
      </c>
      <c r="D5186" t="s">
        <v>26</v>
      </c>
      <c r="E5186" t="s">
        <v>13</v>
      </c>
      <c r="F5186" t="s">
        <v>19</v>
      </c>
      <c r="G5186" t="s">
        <v>29</v>
      </c>
      <c r="K5186" cm="1">
        <f t="array" ref="K5186">_xlfn.SWITCH(LeadsData[[#This Row],[Funnel Stage Reached]],"Lead",1,"MQL",2,"SQL",3,"Customer",4)</f>
        <v>3</v>
      </c>
      <c r="L5186" t="str">
        <f>TEXT(LeadsData[[#This Row],[Signup Date]],"mmm-yyyy")</f>
        <v>May-2024</v>
      </c>
      <c r="M5186">
        <f>IF(LeadsData[[#This Row],[Stage Number]]&gt;=2,1,0)</f>
        <v>1</v>
      </c>
      <c r="N5186" s="2">
        <f>IF(LeadsData[[#This Row],[Stage Number]]&gt;=3,1,0)</f>
        <v>1</v>
      </c>
      <c r="O5186" s="2">
        <f>IF(LeadsData[[#This Row],[Stage Number]]&gt;=4,1,0)</f>
        <v>0</v>
      </c>
    </row>
    <row r="5187" spans="1:15" x14ac:dyDescent="0.25">
      <c r="A5187" t="s">
        <v>5227</v>
      </c>
      <c r="B5187" s="1">
        <v>45449</v>
      </c>
      <c r="C5187" t="s">
        <v>31</v>
      </c>
      <c r="D5187" t="s">
        <v>34</v>
      </c>
      <c r="E5187" t="s">
        <v>21</v>
      </c>
      <c r="F5187" t="s">
        <v>22</v>
      </c>
      <c r="G5187" t="s">
        <v>15</v>
      </c>
      <c r="K5187" cm="1">
        <f t="array" ref="K5187">_xlfn.SWITCH(LeadsData[[#This Row],[Funnel Stage Reached]],"Lead",1,"MQL",2,"SQL",3,"Customer",4)</f>
        <v>1</v>
      </c>
      <c r="L5187" t="str">
        <f>TEXT(LeadsData[[#This Row],[Signup Date]],"mmm-yyyy")</f>
        <v>Jun-2024</v>
      </c>
      <c r="M5187">
        <f>IF(LeadsData[[#This Row],[Stage Number]]&gt;=2,1,0)</f>
        <v>0</v>
      </c>
      <c r="N5187" s="2">
        <f>IF(LeadsData[[#This Row],[Stage Number]]&gt;=3,1,0)</f>
        <v>0</v>
      </c>
      <c r="O5187" s="2">
        <f>IF(LeadsData[[#This Row],[Stage Number]]&gt;=4,1,0)</f>
        <v>0</v>
      </c>
    </row>
    <row r="5188" spans="1:15" x14ac:dyDescent="0.25">
      <c r="A5188" t="s">
        <v>5228</v>
      </c>
      <c r="B5188" s="1">
        <v>45332</v>
      </c>
      <c r="C5188" t="s">
        <v>25</v>
      </c>
      <c r="D5188" t="s">
        <v>26</v>
      </c>
      <c r="E5188" t="s">
        <v>13</v>
      </c>
      <c r="F5188" t="s">
        <v>19</v>
      </c>
      <c r="G5188" t="s">
        <v>15</v>
      </c>
      <c r="K5188" cm="1">
        <f t="array" ref="K5188">_xlfn.SWITCH(LeadsData[[#This Row],[Funnel Stage Reached]],"Lead",1,"MQL",2,"SQL",3,"Customer",4)</f>
        <v>1</v>
      </c>
      <c r="L5188" t="str">
        <f>TEXT(LeadsData[[#This Row],[Signup Date]],"mmm-yyyy")</f>
        <v>Feb-2024</v>
      </c>
      <c r="M5188">
        <f>IF(LeadsData[[#This Row],[Stage Number]]&gt;=2,1,0)</f>
        <v>0</v>
      </c>
      <c r="N5188" s="2">
        <f>IF(LeadsData[[#This Row],[Stage Number]]&gt;=3,1,0)</f>
        <v>0</v>
      </c>
      <c r="O5188" s="2">
        <f>IF(LeadsData[[#This Row],[Stage Number]]&gt;=4,1,0)</f>
        <v>0</v>
      </c>
    </row>
    <row r="5189" spans="1:15" x14ac:dyDescent="0.25">
      <c r="A5189" t="s">
        <v>5229</v>
      </c>
      <c r="B5189" s="1">
        <v>45620</v>
      </c>
      <c r="C5189" t="s">
        <v>11</v>
      </c>
      <c r="D5189" t="s">
        <v>12</v>
      </c>
      <c r="E5189" t="s">
        <v>13</v>
      </c>
      <c r="F5189" t="s">
        <v>22</v>
      </c>
      <c r="G5189" t="s">
        <v>15</v>
      </c>
      <c r="K5189" cm="1">
        <f t="array" ref="K5189">_xlfn.SWITCH(LeadsData[[#This Row],[Funnel Stage Reached]],"Lead",1,"MQL",2,"SQL",3,"Customer",4)</f>
        <v>1</v>
      </c>
      <c r="L5189" t="str">
        <f>TEXT(LeadsData[[#This Row],[Signup Date]],"mmm-yyyy")</f>
        <v>Nov-2024</v>
      </c>
      <c r="M5189">
        <f>IF(LeadsData[[#This Row],[Stage Number]]&gt;=2,1,0)</f>
        <v>0</v>
      </c>
      <c r="N5189" s="2">
        <f>IF(LeadsData[[#This Row],[Stage Number]]&gt;=3,1,0)</f>
        <v>0</v>
      </c>
      <c r="O5189" s="2">
        <f>IF(LeadsData[[#This Row],[Stage Number]]&gt;=4,1,0)</f>
        <v>0</v>
      </c>
    </row>
    <row r="5190" spans="1:15" x14ac:dyDescent="0.25">
      <c r="A5190" t="s">
        <v>5230</v>
      </c>
      <c r="B5190" s="1">
        <v>45340</v>
      </c>
      <c r="C5190" t="s">
        <v>36</v>
      </c>
      <c r="D5190" t="s">
        <v>50</v>
      </c>
      <c r="E5190" t="s">
        <v>21</v>
      </c>
      <c r="F5190" t="s">
        <v>19</v>
      </c>
      <c r="G5190" t="s">
        <v>29</v>
      </c>
      <c r="K5190" cm="1">
        <f t="array" ref="K5190">_xlfn.SWITCH(LeadsData[[#This Row],[Funnel Stage Reached]],"Lead",1,"MQL",2,"SQL",3,"Customer",4)</f>
        <v>3</v>
      </c>
      <c r="L5190" t="str">
        <f>TEXT(LeadsData[[#This Row],[Signup Date]],"mmm-yyyy")</f>
        <v>Feb-2024</v>
      </c>
      <c r="M5190">
        <f>IF(LeadsData[[#This Row],[Stage Number]]&gt;=2,1,0)</f>
        <v>1</v>
      </c>
      <c r="N5190" s="2">
        <f>IF(LeadsData[[#This Row],[Stage Number]]&gt;=3,1,0)</f>
        <v>1</v>
      </c>
      <c r="O5190" s="2">
        <f>IF(LeadsData[[#This Row],[Stage Number]]&gt;=4,1,0)</f>
        <v>0</v>
      </c>
    </row>
    <row r="5191" spans="1:15" x14ac:dyDescent="0.25">
      <c r="A5191" t="s">
        <v>5231</v>
      </c>
      <c r="B5191" s="1">
        <v>45538</v>
      </c>
      <c r="C5191" t="s">
        <v>31</v>
      </c>
      <c r="D5191" t="s">
        <v>34</v>
      </c>
      <c r="E5191" t="s">
        <v>21</v>
      </c>
      <c r="F5191" t="s">
        <v>14</v>
      </c>
      <c r="G5191" t="s">
        <v>29</v>
      </c>
      <c r="K5191" cm="1">
        <f t="array" ref="K5191">_xlfn.SWITCH(LeadsData[[#This Row],[Funnel Stage Reached]],"Lead",1,"MQL",2,"SQL",3,"Customer",4)</f>
        <v>3</v>
      </c>
      <c r="L5191" t="str">
        <f>TEXT(LeadsData[[#This Row],[Signup Date]],"mmm-yyyy")</f>
        <v>Sep-2024</v>
      </c>
      <c r="M5191">
        <f>IF(LeadsData[[#This Row],[Stage Number]]&gt;=2,1,0)</f>
        <v>1</v>
      </c>
      <c r="N5191" s="2">
        <f>IF(LeadsData[[#This Row],[Stage Number]]&gt;=3,1,0)</f>
        <v>1</v>
      </c>
      <c r="O5191" s="2">
        <f>IF(LeadsData[[#This Row],[Stage Number]]&gt;=4,1,0)</f>
        <v>0</v>
      </c>
    </row>
    <row r="5192" spans="1:15" x14ac:dyDescent="0.25">
      <c r="A5192" t="s">
        <v>5232</v>
      </c>
      <c r="B5192" s="1">
        <v>45481</v>
      </c>
      <c r="C5192" t="s">
        <v>36</v>
      </c>
      <c r="D5192" t="s">
        <v>50</v>
      </c>
      <c r="E5192" t="s">
        <v>13</v>
      </c>
      <c r="F5192" t="s">
        <v>28</v>
      </c>
      <c r="G5192" t="s">
        <v>15</v>
      </c>
      <c r="K5192" cm="1">
        <f t="array" ref="K5192">_xlfn.SWITCH(LeadsData[[#This Row],[Funnel Stage Reached]],"Lead",1,"MQL",2,"SQL",3,"Customer",4)</f>
        <v>1</v>
      </c>
      <c r="L5192" t="str">
        <f>TEXT(LeadsData[[#This Row],[Signup Date]],"mmm-yyyy")</f>
        <v>Jul-2024</v>
      </c>
      <c r="M5192">
        <f>IF(LeadsData[[#This Row],[Stage Number]]&gt;=2,1,0)</f>
        <v>0</v>
      </c>
      <c r="N5192" s="2">
        <f>IF(LeadsData[[#This Row],[Stage Number]]&gt;=3,1,0)</f>
        <v>0</v>
      </c>
      <c r="O5192" s="2">
        <f>IF(LeadsData[[#This Row],[Stage Number]]&gt;=4,1,0)</f>
        <v>0</v>
      </c>
    </row>
    <row r="5193" spans="1:15" x14ac:dyDescent="0.25">
      <c r="A5193" t="s">
        <v>5233</v>
      </c>
      <c r="B5193" s="1">
        <v>45367</v>
      </c>
      <c r="C5193" t="s">
        <v>36</v>
      </c>
      <c r="D5193" t="s">
        <v>37</v>
      </c>
      <c r="E5193" t="s">
        <v>13</v>
      </c>
      <c r="F5193" t="s">
        <v>19</v>
      </c>
      <c r="G5193" t="s">
        <v>15</v>
      </c>
      <c r="K5193" cm="1">
        <f t="array" ref="K5193">_xlfn.SWITCH(LeadsData[[#This Row],[Funnel Stage Reached]],"Lead",1,"MQL",2,"SQL",3,"Customer",4)</f>
        <v>1</v>
      </c>
      <c r="L5193" t="str">
        <f>TEXT(LeadsData[[#This Row],[Signup Date]],"mmm-yyyy")</f>
        <v>Mar-2024</v>
      </c>
      <c r="M5193">
        <f>IF(LeadsData[[#This Row],[Stage Number]]&gt;=2,1,0)</f>
        <v>0</v>
      </c>
      <c r="N5193" s="2">
        <f>IF(LeadsData[[#This Row],[Stage Number]]&gt;=3,1,0)</f>
        <v>0</v>
      </c>
      <c r="O5193" s="2">
        <f>IF(LeadsData[[#This Row],[Stage Number]]&gt;=4,1,0)</f>
        <v>0</v>
      </c>
    </row>
    <row r="5194" spans="1:15" x14ac:dyDescent="0.25">
      <c r="A5194" t="s">
        <v>5234</v>
      </c>
      <c r="B5194" s="1">
        <v>45525</v>
      </c>
      <c r="C5194" t="s">
        <v>46</v>
      </c>
      <c r="D5194" t="s">
        <v>56</v>
      </c>
      <c r="E5194" t="s">
        <v>13</v>
      </c>
      <c r="F5194" t="s">
        <v>19</v>
      </c>
      <c r="G5194" t="s">
        <v>23</v>
      </c>
      <c r="K5194" cm="1">
        <f t="array" ref="K5194">_xlfn.SWITCH(LeadsData[[#This Row],[Funnel Stage Reached]],"Lead",1,"MQL",2,"SQL",3,"Customer",4)</f>
        <v>2</v>
      </c>
      <c r="L5194" t="str">
        <f>TEXT(LeadsData[[#This Row],[Signup Date]],"mmm-yyyy")</f>
        <v>Aug-2024</v>
      </c>
      <c r="M5194">
        <f>IF(LeadsData[[#This Row],[Stage Number]]&gt;=2,1,0)</f>
        <v>1</v>
      </c>
      <c r="N5194" s="2">
        <f>IF(LeadsData[[#This Row],[Stage Number]]&gt;=3,1,0)</f>
        <v>0</v>
      </c>
      <c r="O5194" s="2">
        <f>IF(LeadsData[[#This Row],[Stage Number]]&gt;=4,1,0)</f>
        <v>0</v>
      </c>
    </row>
    <row r="5195" spans="1:15" x14ac:dyDescent="0.25">
      <c r="A5195" t="s">
        <v>5235</v>
      </c>
      <c r="B5195" s="1">
        <v>45340</v>
      </c>
      <c r="C5195" t="s">
        <v>36</v>
      </c>
      <c r="D5195" t="s">
        <v>37</v>
      </c>
      <c r="E5195" t="s">
        <v>13</v>
      </c>
      <c r="F5195" t="s">
        <v>22</v>
      </c>
      <c r="G5195" t="s">
        <v>42</v>
      </c>
      <c r="H5195">
        <v>45</v>
      </c>
      <c r="I5195" t="s">
        <v>87</v>
      </c>
      <c r="J5195">
        <v>2500.6999999999998</v>
      </c>
      <c r="K5195" cm="1">
        <f t="array" ref="K5195">_xlfn.SWITCH(LeadsData[[#This Row],[Funnel Stage Reached]],"Lead",1,"MQL",2,"SQL",3,"Customer",4)</f>
        <v>4</v>
      </c>
      <c r="L5195" t="str">
        <f>TEXT(LeadsData[[#This Row],[Signup Date]],"mmm-yyyy")</f>
        <v>Feb-2024</v>
      </c>
      <c r="M5195">
        <f>IF(LeadsData[[#This Row],[Stage Number]]&gt;=2,1,0)</f>
        <v>1</v>
      </c>
      <c r="N5195" s="2">
        <f>IF(LeadsData[[#This Row],[Stage Number]]&gt;=3,1,0)</f>
        <v>1</v>
      </c>
      <c r="O5195" s="2">
        <f>IF(LeadsData[[#This Row],[Stage Number]]&gt;=4,1,0)</f>
        <v>1</v>
      </c>
    </row>
    <row r="5196" spans="1:15" x14ac:dyDescent="0.25">
      <c r="A5196" t="s">
        <v>5236</v>
      </c>
      <c r="B5196" s="1">
        <v>45576</v>
      </c>
      <c r="C5196" t="s">
        <v>11</v>
      </c>
      <c r="D5196" t="s">
        <v>68</v>
      </c>
      <c r="E5196" t="s">
        <v>13</v>
      </c>
      <c r="F5196" t="s">
        <v>19</v>
      </c>
      <c r="G5196" t="s">
        <v>15</v>
      </c>
      <c r="K5196" cm="1">
        <f t="array" ref="K5196">_xlfn.SWITCH(LeadsData[[#This Row],[Funnel Stage Reached]],"Lead",1,"MQL",2,"SQL",3,"Customer",4)</f>
        <v>1</v>
      </c>
      <c r="L5196" t="str">
        <f>TEXT(LeadsData[[#This Row],[Signup Date]],"mmm-yyyy")</f>
        <v>Oct-2024</v>
      </c>
      <c r="M5196">
        <f>IF(LeadsData[[#This Row],[Stage Number]]&gt;=2,1,0)</f>
        <v>0</v>
      </c>
      <c r="N5196" s="2">
        <f>IF(LeadsData[[#This Row],[Stage Number]]&gt;=3,1,0)</f>
        <v>0</v>
      </c>
      <c r="O5196" s="2">
        <f>IF(LeadsData[[#This Row],[Stage Number]]&gt;=4,1,0)</f>
        <v>0</v>
      </c>
    </row>
    <row r="5197" spans="1:15" x14ac:dyDescent="0.25">
      <c r="A5197" t="s">
        <v>5237</v>
      </c>
      <c r="B5197" s="1">
        <v>45390</v>
      </c>
      <c r="C5197" t="s">
        <v>36</v>
      </c>
      <c r="D5197" t="s">
        <v>50</v>
      </c>
      <c r="E5197" t="s">
        <v>21</v>
      </c>
      <c r="F5197" t="s">
        <v>19</v>
      </c>
      <c r="G5197" t="s">
        <v>15</v>
      </c>
      <c r="K5197" cm="1">
        <f t="array" ref="K5197">_xlfn.SWITCH(LeadsData[[#This Row],[Funnel Stage Reached]],"Lead",1,"MQL",2,"SQL",3,"Customer",4)</f>
        <v>1</v>
      </c>
      <c r="L5197" t="str">
        <f>TEXT(LeadsData[[#This Row],[Signup Date]],"mmm-yyyy")</f>
        <v>Apr-2024</v>
      </c>
      <c r="M5197">
        <f>IF(LeadsData[[#This Row],[Stage Number]]&gt;=2,1,0)</f>
        <v>0</v>
      </c>
      <c r="N5197" s="2">
        <f>IF(LeadsData[[#This Row],[Stage Number]]&gt;=3,1,0)</f>
        <v>0</v>
      </c>
      <c r="O5197" s="2">
        <f>IF(LeadsData[[#This Row],[Stage Number]]&gt;=4,1,0)</f>
        <v>0</v>
      </c>
    </row>
    <row r="5198" spans="1:15" x14ac:dyDescent="0.25">
      <c r="A5198" t="s">
        <v>5238</v>
      </c>
      <c r="B5198" s="1">
        <v>45587</v>
      </c>
      <c r="C5198" t="s">
        <v>36</v>
      </c>
      <c r="D5198" t="s">
        <v>37</v>
      </c>
      <c r="E5198" t="s">
        <v>13</v>
      </c>
      <c r="F5198" t="s">
        <v>19</v>
      </c>
      <c r="G5198" t="s">
        <v>23</v>
      </c>
      <c r="K5198" cm="1">
        <f t="array" ref="K5198">_xlfn.SWITCH(LeadsData[[#This Row],[Funnel Stage Reached]],"Lead",1,"MQL",2,"SQL",3,"Customer",4)</f>
        <v>2</v>
      </c>
      <c r="L5198" t="str">
        <f>TEXT(LeadsData[[#This Row],[Signup Date]],"mmm-yyyy")</f>
        <v>Oct-2024</v>
      </c>
      <c r="M5198">
        <f>IF(LeadsData[[#This Row],[Stage Number]]&gt;=2,1,0)</f>
        <v>1</v>
      </c>
      <c r="N5198" s="2">
        <f>IF(LeadsData[[#This Row],[Stage Number]]&gt;=3,1,0)</f>
        <v>0</v>
      </c>
      <c r="O5198" s="2">
        <f>IF(LeadsData[[#This Row],[Stage Number]]&gt;=4,1,0)</f>
        <v>0</v>
      </c>
    </row>
    <row r="5199" spans="1:15" x14ac:dyDescent="0.25">
      <c r="A5199" t="s">
        <v>5239</v>
      </c>
      <c r="B5199" s="1">
        <v>45309</v>
      </c>
      <c r="C5199" t="s">
        <v>46</v>
      </c>
      <c r="D5199" t="s">
        <v>47</v>
      </c>
      <c r="E5199" t="s">
        <v>21</v>
      </c>
      <c r="F5199" t="s">
        <v>14</v>
      </c>
      <c r="G5199" t="s">
        <v>15</v>
      </c>
      <c r="K5199" cm="1">
        <f t="array" ref="K5199">_xlfn.SWITCH(LeadsData[[#This Row],[Funnel Stage Reached]],"Lead",1,"MQL",2,"SQL",3,"Customer",4)</f>
        <v>1</v>
      </c>
      <c r="L5199" t="str">
        <f>TEXT(LeadsData[[#This Row],[Signup Date]],"mmm-yyyy")</f>
        <v>Jan-2024</v>
      </c>
      <c r="M5199">
        <f>IF(LeadsData[[#This Row],[Stage Number]]&gt;=2,1,0)</f>
        <v>0</v>
      </c>
      <c r="N5199" s="2">
        <f>IF(LeadsData[[#This Row],[Stage Number]]&gt;=3,1,0)</f>
        <v>0</v>
      </c>
      <c r="O5199" s="2">
        <f>IF(LeadsData[[#This Row],[Stage Number]]&gt;=4,1,0)</f>
        <v>0</v>
      </c>
    </row>
    <row r="5200" spans="1:15" x14ac:dyDescent="0.25">
      <c r="A5200" t="s">
        <v>5240</v>
      </c>
      <c r="B5200" s="1">
        <v>45488</v>
      </c>
      <c r="C5200" t="s">
        <v>36</v>
      </c>
      <c r="D5200" t="s">
        <v>50</v>
      </c>
      <c r="E5200" t="s">
        <v>13</v>
      </c>
      <c r="F5200" t="s">
        <v>19</v>
      </c>
      <c r="G5200" t="s">
        <v>15</v>
      </c>
      <c r="K5200" cm="1">
        <f t="array" ref="K5200">_xlfn.SWITCH(LeadsData[[#This Row],[Funnel Stage Reached]],"Lead",1,"MQL",2,"SQL",3,"Customer",4)</f>
        <v>1</v>
      </c>
      <c r="L5200" t="str">
        <f>TEXT(LeadsData[[#This Row],[Signup Date]],"mmm-yyyy")</f>
        <v>Jul-2024</v>
      </c>
      <c r="M5200">
        <f>IF(LeadsData[[#This Row],[Stage Number]]&gt;=2,1,0)</f>
        <v>0</v>
      </c>
      <c r="N5200" s="2">
        <f>IF(LeadsData[[#This Row],[Stage Number]]&gt;=3,1,0)</f>
        <v>0</v>
      </c>
      <c r="O5200" s="2">
        <f>IF(LeadsData[[#This Row],[Stage Number]]&gt;=4,1,0)</f>
        <v>0</v>
      </c>
    </row>
    <row r="5201" spans="1:15" x14ac:dyDescent="0.25">
      <c r="A5201" t="s">
        <v>5241</v>
      </c>
      <c r="B5201" s="1">
        <v>45368</v>
      </c>
      <c r="C5201" t="s">
        <v>25</v>
      </c>
      <c r="D5201" t="s">
        <v>26</v>
      </c>
      <c r="E5201" t="s">
        <v>13</v>
      </c>
      <c r="F5201" t="s">
        <v>14</v>
      </c>
      <c r="G5201" t="s">
        <v>42</v>
      </c>
      <c r="H5201">
        <v>31</v>
      </c>
      <c r="I5201" t="s">
        <v>43</v>
      </c>
      <c r="J5201">
        <v>1402.27</v>
      </c>
      <c r="K5201" cm="1">
        <f t="array" ref="K5201">_xlfn.SWITCH(LeadsData[[#This Row],[Funnel Stage Reached]],"Lead",1,"MQL",2,"SQL",3,"Customer",4)</f>
        <v>4</v>
      </c>
      <c r="L5201" t="str">
        <f>TEXT(LeadsData[[#This Row],[Signup Date]],"mmm-yyyy")</f>
        <v>Mar-2024</v>
      </c>
      <c r="M5201">
        <f>IF(LeadsData[[#This Row],[Stage Number]]&gt;=2,1,0)</f>
        <v>1</v>
      </c>
      <c r="N5201" s="2">
        <f>IF(LeadsData[[#This Row],[Stage Number]]&gt;=3,1,0)</f>
        <v>1</v>
      </c>
      <c r="O5201" s="2">
        <f>IF(LeadsData[[#This Row],[Stage Number]]&gt;=4,1,0)</f>
        <v>1</v>
      </c>
    </row>
    <row r="5202" spans="1:15" x14ac:dyDescent="0.25">
      <c r="A5202" t="s">
        <v>5242</v>
      </c>
      <c r="B5202" s="1">
        <v>45333</v>
      </c>
      <c r="C5202" t="s">
        <v>31</v>
      </c>
      <c r="D5202" t="s">
        <v>32</v>
      </c>
      <c r="E5202" t="s">
        <v>21</v>
      </c>
      <c r="F5202" t="s">
        <v>28</v>
      </c>
      <c r="G5202" t="s">
        <v>23</v>
      </c>
      <c r="K5202" cm="1">
        <f t="array" ref="K5202">_xlfn.SWITCH(LeadsData[[#This Row],[Funnel Stage Reached]],"Lead",1,"MQL",2,"SQL",3,"Customer",4)</f>
        <v>2</v>
      </c>
      <c r="L5202" t="str">
        <f>TEXT(LeadsData[[#This Row],[Signup Date]],"mmm-yyyy")</f>
        <v>Feb-2024</v>
      </c>
      <c r="M5202">
        <f>IF(LeadsData[[#This Row],[Stage Number]]&gt;=2,1,0)</f>
        <v>1</v>
      </c>
      <c r="N5202" s="2">
        <f>IF(LeadsData[[#This Row],[Stage Number]]&gt;=3,1,0)</f>
        <v>0</v>
      </c>
      <c r="O5202" s="2">
        <f>IF(LeadsData[[#This Row],[Stage Number]]&gt;=4,1,0)</f>
        <v>0</v>
      </c>
    </row>
    <row r="5203" spans="1:15" x14ac:dyDescent="0.25">
      <c r="A5203" t="s">
        <v>5243</v>
      </c>
      <c r="B5203" s="1">
        <v>45599</v>
      </c>
      <c r="C5203" t="s">
        <v>17</v>
      </c>
      <c r="D5203" t="s">
        <v>53</v>
      </c>
      <c r="E5203" t="s">
        <v>21</v>
      </c>
      <c r="F5203" t="s">
        <v>19</v>
      </c>
      <c r="G5203" t="s">
        <v>15</v>
      </c>
      <c r="K5203" cm="1">
        <f t="array" ref="K5203">_xlfn.SWITCH(LeadsData[[#This Row],[Funnel Stage Reached]],"Lead",1,"MQL",2,"SQL",3,"Customer",4)</f>
        <v>1</v>
      </c>
      <c r="L5203" t="str">
        <f>TEXT(LeadsData[[#This Row],[Signup Date]],"mmm-yyyy")</f>
        <v>Nov-2024</v>
      </c>
      <c r="M5203">
        <f>IF(LeadsData[[#This Row],[Stage Number]]&gt;=2,1,0)</f>
        <v>0</v>
      </c>
      <c r="N5203" s="2">
        <f>IF(LeadsData[[#This Row],[Stage Number]]&gt;=3,1,0)</f>
        <v>0</v>
      </c>
      <c r="O5203" s="2">
        <f>IF(LeadsData[[#This Row],[Stage Number]]&gt;=4,1,0)</f>
        <v>0</v>
      </c>
    </row>
    <row r="5204" spans="1:15" x14ac:dyDescent="0.25">
      <c r="A5204" t="s">
        <v>5244</v>
      </c>
      <c r="B5204" s="1">
        <v>45603</v>
      </c>
      <c r="C5204" t="s">
        <v>46</v>
      </c>
      <c r="D5204" t="s">
        <v>56</v>
      </c>
      <c r="E5204" t="s">
        <v>21</v>
      </c>
      <c r="F5204" t="s">
        <v>19</v>
      </c>
      <c r="G5204" t="s">
        <v>15</v>
      </c>
      <c r="K5204" cm="1">
        <f t="array" ref="K5204">_xlfn.SWITCH(LeadsData[[#This Row],[Funnel Stage Reached]],"Lead",1,"MQL",2,"SQL",3,"Customer",4)</f>
        <v>1</v>
      </c>
      <c r="L5204" t="str">
        <f>TEXT(LeadsData[[#This Row],[Signup Date]],"mmm-yyyy")</f>
        <v>Nov-2024</v>
      </c>
      <c r="M5204">
        <f>IF(LeadsData[[#This Row],[Stage Number]]&gt;=2,1,0)</f>
        <v>0</v>
      </c>
      <c r="N5204" s="2">
        <f>IF(LeadsData[[#This Row],[Stage Number]]&gt;=3,1,0)</f>
        <v>0</v>
      </c>
      <c r="O5204" s="2">
        <f>IF(LeadsData[[#This Row],[Stage Number]]&gt;=4,1,0)</f>
        <v>0</v>
      </c>
    </row>
    <row r="5205" spans="1:15" x14ac:dyDescent="0.25">
      <c r="A5205" t="s">
        <v>5245</v>
      </c>
      <c r="B5205" s="1">
        <v>45554</v>
      </c>
      <c r="C5205" t="s">
        <v>46</v>
      </c>
      <c r="D5205" t="s">
        <v>56</v>
      </c>
      <c r="E5205" t="s">
        <v>13</v>
      </c>
      <c r="F5205" t="s">
        <v>22</v>
      </c>
      <c r="G5205" t="s">
        <v>15</v>
      </c>
      <c r="K5205" cm="1">
        <f t="array" ref="K5205">_xlfn.SWITCH(LeadsData[[#This Row],[Funnel Stage Reached]],"Lead",1,"MQL",2,"SQL",3,"Customer",4)</f>
        <v>1</v>
      </c>
      <c r="L5205" t="str">
        <f>TEXT(LeadsData[[#This Row],[Signup Date]],"mmm-yyyy")</f>
        <v>Sep-2024</v>
      </c>
      <c r="M5205">
        <f>IF(LeadsData[[#This Row],[Stage Number]]&gt;=2,1,0)</f>
        <v>0</v>
      </c>
      <c r="N5205" s="2">
        <f>IF(LeadsData[[#This Row],[Stage Number]]&gt;=3,1,0)</f>
        <v>0</v>
      </c>
      <c r="O5205" s="2">
        <f>IF(LeadsData[[#This Row],[Stage Number]]&gt;=4,1,0)</f>
        <v>0</v>
      </c>
    </row>
    <row r="5206" spans="1:15" x14ac:dyDescent="0.25">
      <c r="A5206" t="s">
        <v>5246</v>
      </c>
      <c r="B5206" s="1">
        <v>45428</v>
      </c>
      <c r="C5206" t="s">
        <v>17</v>
      </c>
      <c r="D5206" t="s">
        <v>53</v>
      </c>
      <c r="E5206" t="s">
        <v>21</v>
      </c>
      <c r="F5206" t="s">
        <v>19</v>
      </c>
      <c r="G5206" t="s">
        <v>15</v>
      </c>
      <c r="K5206" cm="1">
        <f t="array" ref="K5206">_xlfn.SWITCH(LeadsData[[#This Row],[Funnel Stage Reached]],"Lead",1,"MQL",2,"SQL",3,"Customer",4)</f>
        <v>1</v>
      </c>
      <c r="L5206" t="str">
        <f>TEXT(LeadsData[[#This Row],[Signup Date]],"mmm-yyyy")</f>
        <v>May-2024</v>
      </c>
      <c r="M5206">
        <f>IF(LeadsData[[#This Row],[Stage Number]]&gt;=2,1,0)</f>
        <v>0</v>
      </c>
      <c r="N5206" s="2">
        <f>IF(LeadsData[[#This Row],[Stage Number]]&gt;=3,1,0)</f>
        <v>0</v>
      </c>
      <c r="O5206" s="2">
        <f>IF(LeadsData[[#This Row],[Stage Number]]&gt;=4,1,0)</f>
        <v>0</v>
      </c>
    </row>
    <row r="5207" spans="1:15" x14ac:dyDescent="0.25">
      <c r="A5207" t="s">
        <v>5247</v>
      </c>
      <c r="B5207" s="1">
        <v>45618</v>
      </c>
      <c r="C5207" t="s">
        <v>31</v>
      </c>
      <c r="D5207" t="s">
        <v>32</v>
      </c>
      <c r="E5207" t="s">
        <v>13</v>
      </c>
      <c r="F5207" t="s">
        <v>14</v>
      </c>
      <c r="G5207" t="s">
        <v>15</v>
      </c>
      <c r="K5207" cm="1">
        <f t="array" ref="K5207">_xlfn.SWITCH(LeadsData[[#This Row],[Funnel Stage Reached]],"Lead",1,"MQL",2,"SQL",3,"Customer",4)</f>
        <v>1</v>
      </c>
      <c r="L5207" t="str">
        <f>TEXT(LeadsData[[#This Row],[Signup Date]],"mmm-yyyy")</f>
        <v>Nov-2024</v>
      </c>
      <c r="M5207">
        <f>IF(LeadsData[[#This Row],[Stage Number]]&gt;=2,1,0)</f>
        <v>0</v>
      </c>
      <c r="N5207" s="2">
        <f>IF(LeadsData[[#This Row],[Stage Number]]&gt;=3,1,0)</f>
        <v>0</v>
      </c>
      <c r="O5207" s="2">
        <f>IF(LeadsData[[#This Row],[Stage Number]]&gt;=4,1,0)</f>
        <v>0</v>
      </c>
    </row>
    <row r="5208" spans="1:15" x14ac:dyDescent="0.25">
      <c r="A5208" t="s">
        <v>5248</v>
      </c>
      <c r="B5208" s="1">
        <v>45642</v>
      </c>
      <c r="C5208" t="s">
        <v>25</v>
      </c>
      <c r="D5208" t="s">
        <v>26</v>
      </c>
      <c r="E5208" t="s">
        <v>13</v>
      </c>
      <c r="F5208" t="s">
        <v>19</v>
      </c>
      <c r="G5208" t="s">
        <v>15</v>
      </c>
      <c r="K5208" cm="1">
        <f t="array" ref="K5208">_xlfn.SWITCH(LeadsData[[#This Row],[Funnel Stage Reached]],"Lead",1,"MQL",2,"SQL",3,"Customer",4)</f>
        <v>1</v>
      </c>
      <c r="L5208" t="str">
        <f>TEXT(LeadsData[[#This Row],[Signup Date]],"mmm-yyyy")</f>
        <v>Dec-2024</v>
      </c>
      <c r="M5208">
        <f>IF(LeadsData[[#This Row],[Stage Number]]&gt;=2,1,0)</f>
        <v>0</v>
      </c>
      <c r="N5208" s="2">
        <f>IF(LeadsData[[#This Row],[Stage Number]]&gt;=3,1,0)</f>
        <v>0</v>
      </c>
      <c r="O5208" s="2">
        <f>IF(LeadsData[[#This Row],[Stage Number]]&gt;=4,1,0)</f>
        <v>0</v>
      </c>
    </row>
    <row r="5209" spans="1:15" x14ac:dyDescent="0.25">
      <c r="A5209" t="s">
        <v>5249</v>
      </c>
      <c r="B5209" s="1">
        <v>45420</v>
      </c>
      <c r="C5209" t="s">
        <v>11</v>
      </c>
      <c r="D5209" t="s">
        <v>12</v>
      </c>
      <c r="E5209" t="s">
        <v>13</v>
      </c>
      <c r="F5209" t="s">
        <v>19</v>
      </c>
      <c r="G5209" t="s">
        <v>15</v>
      </c>
      <c r="K5209" cm="1">
        <f t="array" ref="K5209">_xlfn.SWITCH(LeadsData[[#This Row],[Funnel Stage Reached]],"Lead",1,"MQL",2,"SQL",3,"Customer",4)</f>
        <v>1</v>
      </c>
      <c r="L5209" t="str">
        <f>TEXT(LeadsData[[#This Row],[Signup Date]],"mmm-yyyy")</f>
        <v>May-2024</v>
      </c>
      <c r="M5209">
        <f>IF(LeadsData[[#This Row],[Stage Number]]&gt;=2,1,0)</f>
        <v>0</v>
      </c>
      <c r="N5209" s="2">
        <f>IF(LeadsData[[#This Row],[Stage Number]]&gt;=3,1,0)</f>
        <v>0</v>
      </c>
      <c r="O5209" s="2">
        <f>IF(LeadsData[[#This Row],[Stage Number]]&gt;=4,1,0)</f>
        <v>0</v>
      </c>
    </row>
    <row r="5210" spans="1:15" x14ac:dyDescent="0.25">
      <c r="A5210" t="s">
        <v>5250</v>
      </c>
      <c r="B5210" s="1">
        <v>45367</v>
      </c>
      <c r="C5210" t="s">
        <v>46</v>
      </c>
      <c r="D5210" t="s">
        <v>56</v>
      </c>
      <c r="E5210" t="s">
        <v>48</v>
      </c>
      <c r="F5210" t="s">
        <v>19</v>
      </c>
      <c r="G5210" t="s">
        <v>23</v>
      </c>
      <c r="K5210" cm="1">
        <f t="array" ref="K5210">_xlfn.SWITCH(LeadsData[[#This Row],[Funnel Stage Reached]],"Lead",1,"MQL",2,"SQL",3,"Customer",4)</f>
        <v>2</v>
      </c>
      <c r="L5210" t="str">
        <f>TEXT(LeadsData[[#This Row],[Signup Date]],"mmm-yyyy")</f>
        <v>Mar-2024</v>
      </c>
      <c r="M5210">
        <f>IF(LeadsData[[#This Row],[Stage Number]]&gt;=2,1,0)</f>
        <v>1</v>
      </c>
      <c r="N5210" s="2">
        <f>IF(LeadsData[[#This Row],[Stage Number]]&gt;=3,1,0)</f>
        <v>0</v>
      </c>
      <c r="O5210" s="2">
        <f>IF(LeadsData[[#This Row],[Stage Number]]&gt;=4,1,0)</f>
        <v>0</v>
      </c>
    </row>
    <row r="5211" spans="1:15" x14ac:dyDescent="0.25">
      <c r="A5211" t="s">
        <v>5251</v>
      </c>
      <c r="B5211" s="1">
        <v>45551</v>
      </c>
      <c r="C5211" t="s">
        <v>36</v>
      </c>
      <c r="D5211" t="s">
        <v>50</v>
      </c>
      <c r="E5211" t="s">
        <v>48</v>
      </c>
      <c r="F5211" t="s">
        <v>22</v>
      </c>
      <c r="G5211" t="s">
        <v>29</v>
      </c>
      <c r="K5211" cm="1">
        <f t="array" ref="K5211">_xlfn.SWITCH(LeadsData[[#This Row],[Funnel Stage Reached]],"Lead",1,"MQL",2,"SQL",3,"Customer",4)</f>
        <v>3</v>
      </c>
      <c r="L5211" t="str">
        <f>TEXT(LeadsData[[#This Row],[Signup Date]],"mmm-yyyy")</f>
        <v>Sep-2024</v>
      </c>
      <c r="M5211">
        <f>IF(LeadsData[[#This Row],[Stage Number]]&gt;=2,1,0)</f>
        <v>1</v>
      </c>
      <c r="N5211" s="2">
        <f>IF(LeadsData[[#This Row],[Stage Number]]&gt;=3,1,0)</f>
        <v>1</v>
      </c>
      <c r="O5211" s="2">
        <f>IF(LeadsData[[#This Row],[Stage Number]]&gt;=4,1,0)</f>
        <v>0</v>
      </c>
    </row>
    <row r="5212" spans="1:15" x14ac:dyDescent="0.25">
      <c r="A5212" t="s">
        <v>5252</v>
      </c>
      <c r="B5212" s="1">
        <v>45446</v>
      </c>
      <c r="C5212" t="s">
        <v>46</v>
      </c>
      <c r="D5212" t="s">
        <v>56</v>
      </c>
      <c r="E5212" t="s">
        <v>13</v>
      </c>
      <c r="F5212" t="s">
        <v>22</v>
      </c>
      <c r="G5212" t="s">
        <v>23</v>
      </c>
      <c r="K5212" cm="1">
        <f t="array" ref="K5212">_xlfn.SWITCH(LeadsData[[#This Row],[Funnel Stage Reached]],"Lead",1,"MQL",2,"SQL",3,"Customer",4)</f>
        <v>2</v>
      </c>
      <c r="L5212" t="str">
        <f>TEXT(LeadsData[[#This Row],[Signup Date]],"mmm-yyyy")</f>
        <v>Jun-2024</v>
      </c>
      <c r="M5212">
        <f>IF(LeadsData[[#This Row],[Stage Number]]&gt;=2,1,0)</f>
        <v>1</v>
      </c>
      <c r="N5212" s="2">
        <f>IF(LeadsData[[#This Row],[Stage Number]]&gt;=3,1,0)</f>
        <v>0</v>
      </c>
      <c r="O5212" s="2">
        <f>IF(LeadsData[[#This Row],[Stage Number]]&gt;=4,1,0)</f>
        <v>0</v>
      </c>
    </row>
    <row r="5213" spans="1:15" x14ac:dyDescent="0.25">
      <c r="A5213" t="s">
        <v>5253</v>
      </c>
      <c r="B5213" s="1">
        <v>45350</v>
      </c>
      <c r="C5213" t="s">
        <v>11</v>
      </c>
      <c r="D5213" t="s">
        <v>79</v>
      </c>
      <c r="E5213" t="s">
        <v>21</v>
      </c>
      <c r="F5213" t="s">
        <v>28</v>
      </c>
      <c r="G5213" t="s">
        <v>15</v>
      </c>
      <c r="K5213" cm="1">
        <f t="array" ref="K5213">_xlfn.SWITCH(LeadsData[[#This Row],[Funnel Stage Reached]],"Lead",1,"MQL",2,"SQL",3,"Customer",4)</f>
        <v>1</v>
      </c>
      <c r="L5213" t="str">
        <f>TEXT(LeadsData[[#This Row],[Signup Date]],"mmm-yyyy")</f>
        <v>Feb-2024</v>
      </c>
      <c r="M5213">
        <f>IF(LeadsData[[#This Row],[Stage Number]]&gt;=2,1,0)</f>
        <v>0</v>
      </c>
      <c r="N5213" s="2">
        <f>IF(LeadsData[[#This Row],[Stage Number]]&gt;=3,1,0)</f>
        <v>0</v>
      </c>
      <c r="O5213" s="2">
        <f>IF(LeadsData[[#This Row],[Stage Number]]&gt;=4,1,0)</f>
        <v>0</v>
      </c>
    </row>
    <row r="5214" spans="1:15" x14ac:dyDescent="0.25">
      <c r="A5214" t="s">
        <v>5254</v>
      </c>
      <c r="B5214" s="1">
        <v>45304</v>
      </c>
      <c r="C5214" t="s">
        <v>25</v>
      </c>
      <c r="D5214" t="s">
        <v>26</v>
      </c>
      <c r="E5214" t="s">
        <v>21</v>
      </c>
      <c r="F5214" t="s">
        <v>14</v>
      </c>
      <c r="G5214" t="s">
        <v>23</v>
      </c>
      <c r="K5214" cm="1">
        <f t="array" ref="K5214">_xlfn.SWITCH(LeadsData[[#This Row],[Funnel Stage Reached]],"Lead",1,"MQL",2,"SQL",3,"Customer",4)</f>
        <v>2</v>
      </c>
      <c r="L5214" t="str">
        <f>TEXT(LeadsData[[#This Row],[Signup Date]],"mmm-yyyy")</f>
        <v>Jan-2024</v>
      </c>
      <c r="M5214">
        <f>IF(LeadsData[[#This Row],[Stage Number]]&gt;=2,1,0)</f>
        <v>1</v>
      </c>
      <c r="N5214" s="2">
        <f>IF(LeadsData[[#This Row],[Stage Number]]&gt;=3,1,0)</f>
        <v>0</v>
      </c>
      <c r="O5214" s="2">
        <f>IF(LeadsData[[#This Row],[Stage Number]]&gt;=4,1,0)</f>
        <v>0</v>
      </c>
    </row>
    <row r="5215" spans="1:15" x14ac:dyDescent="0.25">
      <c r="A5215" t="s">
        <v>5255</v>
      </c>
      <c r="B5215" s="1">
        <v>45547</v>
      </c>
      <c r="C5215" t="s">
        <v>31</v>
      </c>
      <c r="D5215" t="s">
        <v>32</v>
      </c>
      <c r="E5215" t="s">
        <v>13</v>
      </c>
      <c r="F5215" t="s">
        <v>14</v>
      </c>
      <c r="G5215" t="s">
        <v>29</v>
      </c>
      <c r="K5215" cm="1">
        <f t="array" ref="K5215">_xlfn.SWITCH(LeadsData[[#This Row],[Funnel Stage Reached]],"Lead",1,"MQL",2,"SQL",3,"Customer",4)</f>
        <v>3</v>
      </c>
      <c r="L5215" t="str">
        <f>TEXT(LeadsData[[#This Row],[Signup Date]],"mmm-yyyy")</f>
        <v>Sep-2024</v>
      </c>
      <c r="M5215">
        <f>IF(LeadsData[[#This Row],[Stage Number]]&gt;=2,1,0)</f>
        <v>1</v>
      </c>
      <c r="N5215" s="2">
        <f>IF(LeadsData[[#This Row],[Stage Number]]&gt;=3,1,0)</f>
        <v>1</v>
      </c>
      <c r="O5215" s="2">
        <f>IF(LeadsData[[#This Row],[Stage Number]]&gt;=4,1,0)</f>
        <v>0</v>
      </c>
    </row>
    <row r="5216" spans="1:15" x14ac:dyDescent="0.25">
      <c r="A5216" t="s">
        <v>5256</v>
      </c>
      <c r="B5216" s="1">
        <v>45299</v>
      </c>
      <c r="C5216" t="s">
        <v>17</v>
      </c>
      <c r="D5216" t="s">
        <v>18</v>
      </c>
      <c r="E5216" t="s">
        <v>13</v>
      </c>
      <c r="F5216" t="s">
        <v>19</v>
      </c>
      <c r="G5216" t="s">
        <v>15</v>
      </c>
      <c r="K5216" cm="1">
        <f t="array" ref="K5216">_xlfn.SWITCH(LeadsData[[#This Row],[Funnel Stage Reached]],"Lead",1,"MQL",2,"SQL",3,"Customer",4)</f>
        <v>1</v>
      </c>
      <c r="L5216" t="str">
        <f>TEXT(LeadsData[[#This Row],[Signup Date]],"mmm-yyyy")</f>
        <v>Jan-2024</v>
      </c>
      <c r="M5216">
        <f>IF(LeadsData[[#This Row],[Stage Number]]&gt;=2,1,0)</f>
        <v>0</v>
      </c>
      <c r="N5216" s="2">
        <f>IF(LeadsData[[#This Row],[Stage Number]]&gt;=3,1,0)</f>
        <v>0</v>
      </c>
      <c r="O5216" s="2">
        <f>IF(LeadsData[[#This Row],[Stage Number]]&gt;=4,1,0)</f>
        <v>0</v>
      </c>
    </row>
    <row r="5217" spans="1:15" x14ac:dyDescent="0.25">
      <c r="A5217" t="s">
        <v>5257</v>
      </c>
      <c r="B5217" s="1">
        <v>45424</v>
      </c>
      <c r="C5217" t="s">
        <v>46</v>
      </c>
      <c r="D5217" t="s">
        <v>56</v>
      </c>
      <c r="E5217" t="s">
        <v>13</v>
      </c>
      <c r="F5217" t="s">
        <v>19</v>
      </c>
      <c r="G5217" t="s">
        <v>15</v>
      </c>
      <c r="K5217" cm="1">
        <f t="array" ref="K5217">_xlfn.SWITCH(LeadsData[[#This Row],[Funnel Stage Reached]],"Lead",1,"MQL",2,"SQL",3,"Customer",4)</f>
        <v>1</v>
      </c>
      <c r="L5217" t="str">
        <f>TEXT(LeadsData[[#This Row],[Signup Date]],"mmm-yyyy")</f>
        <v>May-2024</v>
      </c>
      <c r="M5217">
        <f>IF(LeadsData[[#This Row],[Stage Number]]&gt;=2,1,0)</f>
        <v>0</v>
      </c>
      <c r="N5217" s="2">
        <f>IF(LeadsData[[#This Row],[Stage Number]]&gt;=3,1,0)</f>
        <v>0</v>
      </c>
      <c r="O5217" s="2">
        <f>IF(LeadsData[[#This Row],[Stage Number]]&gt;=4,1,0)</f>
        <v>0</v>
      </c>
    </row>
    <row r="5218" spans="1:15" x14ac:dyDescent="0.25">
      <c r="A5218" t="s">
        <v>5258</v>
      </c>
      <c r="B5218" s="1">
        <v>45597</v>
      </c>
      <c r="C5218" t="s">
        <v>31</v>
      </c>
      <c r="D5218" t="s">
        <v>34</v>
      </c>
      <c r="E5218" t="s">
        <v>48</v>
      </c>
      <c r="F5218" t="s">
        <v>22</v>
      </c>
      <c r="G5218" t="s">
        <v>23</v>
      </c>
      <c r="K5218" cm="1">
        <f t="array" ref="K5218">_xlfn.SWITCH(LeadsData[[#This Row],[Funnel Stage Reached]],"Lead",1,"MQL",2,"SQL",3,"Customer",4)</f>
        <v>2</v>
      </c>
      <c r="L5218" t="str">
        <f>TEXT(LeadsData[[#This Row],[Signup Date]],"mmm-yyyy")</f>
        <v>Nov-2024</v>
      </c>
      <c r="M5218">
        <f>IF(LeadsData[[#This Row],[Stage Number]]&gt;=2,1,0)</f>
        <v>1</v>
      </c>
      <c r="N5218" s="2">
        <f>IF(LeadsData[[#This Row],[Stage Number]]&gt;=3,1,0)</f>
        <v>0</v>
      </c>
      <c r="O5218" s="2">
        <f>IF(LeadsData[[#This Row],[Stage Number]]&gt;=4,1,0)</f>
        <v>0</v>
      </c>
    </row>
    <row r="5219" spans="1:15" x14ac:dyDescent="0.25">
      <c r="A5219" t="s">
        <v>5259</v>
      </c>
      <c r="B5219" s="1">
        <v>45379</v>
      </c>
      <c r="C5219" t="s">
        <v>11</v>
      </c>
      <c r="D5219" t="s">
        <v>12</v>
      </c>
      <c r="E5219" t="s">
        <v>13</v>
      </c>
      <c r="F5219" t="s">
        <v>19</v>
      </c>
      <c r="G5219" t="s">
        <v>23</v>
      </c>
      <c r="K5219" cm="1">
        <f t="array" ref="K5219">_xlfn.SWITCH(LeadsData[[#This Row],[Funnel Stage Reached]],"Lead",1,"MQL",2,"SQL",3,"Customer",4)</f>
        <v>2</v>
      </c>
      <c r="L5219" t="str">
        <f>TEXT(LeadsData[[#This Row],[Signup Date]],"mmm-yyyy")</f>
        <v>Mar-2024</v>
      </c>
      <c r="M5219">
        <f>IF(LeadsData[[#This Row],[Stage Number]]&gt;=2,1,0)</f>
        <v>1</v>
      </c>
      <c r="N5219" s="2">
        <f>IF(LeadsData[[#This Row],[Stage Number]]&gt;=3,1,0)</f>
        <v>0</v>
      </c>
      <c r="O5219" s="2">
        <f>IF(LeadsData[[#This Row],[Stage Number]]&gt;=4,1,0)</f>
        <v>0</v>
      </c>
    </row>
    <row r="5220" spans="1:15" x14ac:dyDescent="0.25">
      <c r="A5220" t="s">
        <v>5260</v>
      </c>
      <c r="B5220" s="1">
        <v>45508</v>
      </c>
      <c r="C5220" t="s">
        <v>46</v>
      </c>
      <c r="D5220" t="s">
        <v>47</v>
      </c>
      <c r="E5220" t="s">
        <v>13</v>
      </c>
      <c r="F5220" t="s">
        <v>19</v>
      </c>
      <c r="G5220" t="s">
        <v>15</v>
      </c>
      <c r="K5220" cm="1">
        <f t="array" ref="K5220">_xlfn.SWITCH(LeadsData[[#This Row],[Funnel Stage Reached]],"Lead",1,"MQL",2,"SQL",3,"Customer",4)</f>
        <v>1</v>
      </c>
      <c r="L5220" t="str">
        <f>TEXT(LeadsData[[#This Row],[Signup Date]],"mmm-yyyy")</f>
        <v>Aug-2024</v>
      </c>
      <c r="M5220">
        <f>IF(LeadsData[[#This Row],[Stage Number]]&gt;=2,1,0)</f>
        <v>0</v>
      </c>
      <c r="N5220" s="2">
        <f>IF(LeadsData[[#This Row],[Stage Number]]&gt;=3,1,0)</f>
        <v>0</v>
      </c>
      <c r="O5220" s="2">
        <f>IF(LeadsData[[#This Row],[Stage Number]]&gt;=4,1,0)</f>
        <v>0</v>
      </c>
    </row>
    <row r="5221" spans="1:15" x14ac:dyDescent="0.25">
      <c r="A5221" t="s">
        <v>5261</v>
      </c>
      <c r="B5221" s="1">
        <v>45421</v>
      </c>
      <c r="C5221" t="s">
        <v>46</v>
      </c>
      <c r="D5221" t="s">
        <v>56</v>
      </c>
      <c r="E5221" t="s">
        <v>13</v>
      </c>
      <c r="F5221" t="s">
        <v>14</v>
      </c>
      <c r="G5221" t="s">
        <v>15</v>
      </c>
      <c r="K5221" cm="1">
        <f t="array" ref="K5221">_xlfn.SWITCH(LeadsData[[#This Row],[Funnel Stage Reached]],"Lead",1,"MQL",2,"SQL",3,"Customer",4)</f>
        <v>1</v>
      </c>
      <c r="L5221" t="str">
        <f>TEXT(LeadsData[[#This Row],[Signup Date]],"mmm-yyyy")</f>
        <v>May-2024</v>
      </c>
      <c r="M5221">
        <f>IF(LeadsData[[#This Row],[Stage Number]]&gt;=2,1,0)</f>
        <v>0</v>
      </c>
      <c r="N5221" s="2">
        <f>IF(LeadsData[[#This Row],[Stage Number]]&gt;=3,1,0)</f>
        <v>0</v>
      </c>
      <c r="O5221" s="2">
        <f>IF(LeadsData[[#This Row],[Stage Number]]&gt;=4,1,0)</f>
        <v>0</v>
      </c>
    </row>
    <row r="5222" spans="1:15" x14ac:dyDescent="0.25">
      <c r="A5222" t="s">
        <v>5262</v>
      </c>
      <c r="B5222" s="1">
        <v>45514</v>
      </c>
      <c r="C5222" t="s">
        <v>31</v>
      </c>
      <c r="D5222" t="s">
        <v>34</v>
      </c>
      <c r="E5222" t="s">
        <v>21</v>
      </c>
      <c r="F5222" t="s">
        <v>22</v>
      </c>
      <c r="G5222" t="s">
        <v>15</v>
      </c>
      <c r="K5222" cm="1">
        <f t="array" ref="K5222">_xlfn.SWITCH(LeadsData[[#This Row],[Funnel Stage Reached]],"Lead",1,"MQL",2,"SQL",3,"Customer",4)</f>
        <v>1</v>
      </c>
      <c r="L5222" t="str">
        <f>TEXT(LeadsData[[#This Row],[Signup Date]],"mmm-yyyy")</f>
        <v>Aug-2024</v>
      </c>
      <c r="M5222">
        <f>IF(LeadsData[[#This Row],[Stage Number]]&gt;=2,1,0)</f>
        <v>0</v>
      </c>
      <c r="N5222" s="2">
        <f>IF(LeadsData[[#This Row],[Stage Number]]&gt;=3,1,0)</f>
        <v>0</v>
      </c>
      <c r="O5222" s="2">
        <f>IF(LeadsData[[#This Row],[Stage Number]]&gt;=4,1,0)</f>
        <v>0</v>
      </c>
    </row>
    <row r="5223" spans="1:15" x14ac:dyDescent="0.25">
      <c r="A5223" t="s">
        <v>5263</v>
      </c>
      <c r="B5223" s="1">
        <v>45451</v>
      </c>
      <c r="C5223" t="s">
        <v>46</v>
      </c>
      <c r="D5223" t="s">
        <v>47</v>
      </c>
      <c r="E5223" t="s">
        <v>21</v>
      </c>
      <c r="F5223" t="s">
        <v>22</v>
      </c>
      <c r="G5223" t="s">
        <v>15</v>
      </c>
      <c r="K5223" cm="1">
        <f t="array" ref="K5223">_xlfn.SWITCH(LeadsData[[#This Row],[Funnel Stage Reached]],"Lead",1,"MQL",2,"SQL",3,"Customer",4)</f>
        <v>1</v>
      </c>
      <c r="L5223" t="str">
        <f>TEXT(LeadsData[[#This Row],[Signup Date]],"mmm-yyyy")</f>
        <v>Jun-2024</v>
      </c>
      <c r="M5223">
        <f>IF(LeadsData[[#This Row],[Stage Number]]&gt;=2,1,0)</f>
        <v>0</v>
      </c>
      <c r="N5223" s="2">
        <f>IF(LeadsData[[#This Row],[Stage Number]]&gt;=3,1,0)</f>
        <v>0</v>
      </c>
      <c r="O5223" s="2">
        <f>IF(LeadsData[[#This Row],[Stage Number]]&gt;=4,1,0)</f>
        <v>0</v>
      </c>
    </row>
    <row r="5224" spans="1:15" x14ac:dyDescent="0.25">
      <c r="A5224" t="s">
        <v>5264</v>
      </c>
      <c r="B5224" s="1">
        <v>45538</v>
      </c>
      <c r="C5224" t="s">
        <v>36</v>
      </c>
      <c r="D5224" t="s">
        <v>50</v>
      </c>
      <c r="E5224" t="s">
        <v>13</v>
      </c>
      <c r="F5224" t="s">
        <v>14</v>
      </c>
      <c r="G5224" t="s">
        <v>23</v>
      </c>
      <c r="K5224" cm="1">
        <f t="array" ref="K5224">_xlfn.SWITCH(LeadsData[[#This Row],[Funnel Stage Reached]],"Lead",1,"MQL",2,"SQL",3,"Customer",4)</f>
        <v>2</v>
      </c>
      <c r="L5224" t="str">
        <f>TEXT(LeadsData[[#This Row],[Signup Date]],"mmm-yyyy")</f>
        <v>Sep-2024</v>
      </c>
      <c r="M5224">
        <f>IF(LeadsData[[#This Row],[Stage Number]]&gt;=2,1,0)</f>
        <v>1</v>
      </c>
      <c r="N5224" s="2">
        <f>IF(LeadsData[[#This Row],[Stage Number]]&gt;=3,1,0)</f>
        <v>0</v>
      </c>
      <c r="O5224" s="2">
        <f>IF(LeadsData[[#This Row],[Stage Number]]&gt;=4,1,0)</f>
        <v>0</v>
      </c>
    </row>
    <row r="5225" spans="1:15" x14ac:dyDescent="0.25">
      <c r="A5225" t="s">
        <v>5265</v>
      </c>
      <c r="B5225" s="1">
        <v>45546</v>
      </c>
      <c r="C5225" t="s">
        <v>31</v>
      </c>
      <c r="D5225" t="s">
        <v>32</v>
      </c>
      <c r="E5225" t="s">
        <v>13</v>
      </c>
      <c r="F5225" t="s">
        <v>19</v>
      </c>
      <c r="G5225" t="s">
        <v>23</v>
      </c>
      <c r="K5225" cm="1">
        <f t="array" ref="K5225">_xlfn.SWITCH(LeadsData[[#This Row],[Funnel Stage Reached]],"Lead",1,"MQL",2,"SQL",3,"Customer",4)</f>
        <v>2</v>
      </c>
      <c r="L5225" t="str">
        <f>TEXT(LeadsData[[#This Row],[Signup Date]],"mmm-yyyy")</f>
        <v>Sep-2024</v>
      </c>
      <c r="M5225">
        <f>IF(LeadsData[[#This Row],[Stage Number]]&gt;=2,1,0)</f>
        <v>1</v>
      </c>
      <c r="N5225" s="2">
        <f>IF(LeadsData[[#This Row],[Stage Number]]&gt;=3,1,0)</f>
        <v>0</v>
      </c>
      <c r="O5225" s="2">
        <f>IF(LeadsData[[#This Row],[Stage Number]]&gt;=4,1,0)</f>
        <v>0</v>
      </c>
    </row>
    <row r="5226" spans="1:15" x14ac:dyDescent="0.25">
      <c r="A5226" t="s">
        <v>5266</v>
      </c>
      <c r="B5226" s="1">
        <v>45601</v>
      </c>
      <c r="C5226" t="s">
        <v>31</v>
      </c>
      <c r="D5226" t="s">
        <v>32</v>
      </c>
      <c r="E5226" t="s">
        <v>13</v>
      </c>
      <c r="F5226" t="s">
        <v>19</v>
      </c>
      <c r="G5226" t="s">
        <v>15</v>
      </c>
      <c r="K5226" cm="1">
        <f t="array" ref="K5226">_xlfn.SWITCH(LeadsData[[#This Row],[Funnel Stage Reached]],"Lead",1,"MQL",2,"SQL",3,"Customer",4)</f>
        <v>1</v>
      </c>
      <c r="L5226" t="str">
        <f>TEXT(LeadsData[[#This Row],[Signup Date]],"mmm-yyyy")</f>
        <v>Nov-2024</v>
      </c>
      <c r="M5226">
        <f>IF(LeadsData[[#This Row],[Stage Number]]&gt;=2,1,0)</f>
        <v>0</v>
      </c>
      <c r="N5226" s="2">
        <f>IF(LeadsData[[#This Row],[Stage Number]]&gt;=3,1,0)</f>
        <v>0</v>
      </c>
      <c r="O5226" s="2">
        <f>IF(LeadsData[[#This Row],[Stage Number]]&gt;=4,1,0)</f>
        <v>0</v>
      </c>
    </row>
    <row r="5227" spans="1:15" x14ac:dyDescent="0.25">
      <c r="A5227" t="s">
        <v>5267</v>
      </c>
      <c r="B5227" s="1">
        <v>45618</v>
      </c>
      <c r="C5227" t="s">
        <v>11</v>
      </c>
      <c r="D5227" t="s">
        <v>12</v>
      </c>
      <c r="E5227" t="s">
        <v>21</v>
      </c>
      <c r="F5227" t="s">
        <v>14</v>
      </c>
      <c r="G5227" t="s">
        <v>15</v>
      </c>
      <c r="K5227" cm="1">
        <f t="array" ref="K5227">_xlfn.SWITCH(LeadsData[[#This Row],[Funnel Stage Reached]],"Lead",1,"MQL",2,"SQL",3,"Customer",4)</f>
        <v>1</v>
      </c>
      <c r="L5227" t="str">
        <f>TEXT(LeadsData[[#This Row],[Signup Date]],"mmm-yyyy")</f>
        <v>Nov-2024</v>
      </c>
      <c r="M5227">
        <f>IF(LeadsData[[#This Row],[Stage Number]]&gt;=2,1,0)</f>
        <v>0</v>
      </c>
      <c r="N5227" s="2">
        <f>IF(LeadsData[[#This Row],[Stage Number]]&gt;=3,1,0)</f>
        <v>0</v>
      </c>
      <c r="O5227" s="2">
        <f>IF(LeadsData[[#This Row],[Stage Number]]&gt;=4,1,0)</f>
        <v>0</v>
      </c>
    </row>
    <row r="5228" spans="1:15" x14ac:dyDescent="0.25">
      <c r="A5228" t="s">
        <v>5268</v>
      </c>
      <c r="B5228" s="1">
        <v>45551</v>
      </c>
      <c r="C5228" t="s">
        <v>31</v>
      </c>
      <c r="D5228" t="s">
        <v>34</v>
      </c>
      <c r="E5228" t="s">
        <v>21</v>
      </c>
      <c r="F5228" t="s">
        <v>28</v>
      </c>
      <c r="G5228" t="s">
        <v>15</v>
      </c>
      <c r="K5228" cm="1">
        <f t="array" ref="K5228">_xlfn.SWITCH(LeadsData[[#This Row],[Funnel Stage Reached]],"Lead",1,"MQL",2,"SQL",3,"Customer",4)</f>
        <v>1</v>
      </c>
      <c r="L5228" t="str">
        <f>TEXT(LeadsData[[#This Row],[Signup Date]],"mmm-yyyy")</f>
        <v>Sep-2024</v>
      </c>
      <c r="M5228">
        <f>IF(LeadsData[[#This Row],[Stage Number]]&gt;=2,1,0)</f>
        <v>0</v>
      </c>
      <c r="N5228" s="2">
        <f>IF(LeadsData[[#This Row],[Stage Number]]&gt;=3,1,0)</f>
        <v>0</v>
      </c>
      <c r="O5228" s="2">
        <f>IF(LeadsData[[#This Row],[Stage Number]]&gt;=4,1,0)</f>
        <v>0</v>
      </c>
    </row>
    <row r="5229" spans="1:15" x14ac:dyDescent="0.25">
      <c r="A5229" t="s">
        <v>5269</v>
      </c>
      <c r="B5229" s="1">
        <v>45425</v>
      </c>
      <c r="C5229" t="s">
        <v>31</v>
      </c>
      <c r="D5229" t="s">
        <v>32</v>
      </c>
      <c r="E5229" t="s">
        <v>21</v>
      </c>
      <c r="F5229" t="s">
        <v>14</v>
      </c>
      <c r="G5229" t="s">
        <v>15</v>
      </c>
      <c r="K5229" cm="1">
        <f t="array" ref="K5229">_xlfn.SWITCH(LeadsData[[#This Row],[Funnel Stage Reached]],"Lead",1,"MQL",2,"SQL",3,"Customer",4)</f>
        <v>1</v>
      </c>
      <c r="L5229" t="str">
        <f>TEXT(LeadsData[[#This Row],[Signup Date]],"mmm-yyyy")</f>
        <v>May-2024</v>
      </c>
      <c r="M5229">
        <f>IF(LeadsData[[#This Row],[Stage Number]]&gt;=2,1,0)</f>
        <v>0</v>
      </c>
      <c r="N5229" s="2">
        <f>IF(LeadsData[[#This Row],[Stage Number]]&gt;=3,1,0)</f>
        <v>0</v>
      </c>
      <c r="O5229" s="2">
        <f>IF(LeadsData[[#This Row],[Stage Number]]&gt;=4,1,0)</f>
        <v>0</v>
      </c>
    </row>
    <row r="5230" spans="1:15" x14ac:dyDescent="0.25">
      <c r="A5230" t="s">
        <v>5270</v>
      </c>
      <c r="B5230" s="1">
        <v>45377</v>
      </c>
      <c r="C5230" t="s">
        <v>31</v>
      </c>
      <c r="D5230" t="s">
        <v>34</v>
      </c>
      <c r="E5230" t="s">
        <v>21</v>
      </c>
      <c r="F5230" t="s">
        <v>14</v>
      </c>
      <c r="G5230" t="s">
        <v>23</v>
      </c>
      <c r="K5230" cm="1">
        <f t="array" ref="K5230">_xlfn.SWITCH(LeadsData[[#This Row],[Funnel Stage Reached]],"Lead",1,"MQL",2,"SQL",3,"Customer",4)</f>
        <v>2</v>
      </c>
      <c r="L5230" t="str">
        <f>TEXT(LeadsData[[#This Row],[Signup Date]],"mmm-yyyy")</f>
        <v>Mar-2024</v>
      </c>
      <c r="M5230">
        <f>IF(LeadsData[[#This Row],[Stage Number]]&gt;=2,1,0)</f>
        <v>1</v>
      </c>
      <c r="N5230" s="2">
        <f>IF(LeadsData[[#This Row],[Stage Number]]&gt;=3,1,0)</f>
        <v>0</v>
      </c>
      <c r="O5230" s="2">
        <f>IF(LeadsData[[#This Row],[Stage Number]]&gt;=4,1,0)</f>
        <v>0</v>
      </c>
    </row>
    <row r="5231" spans="1:15" x14ac:dyDescent="0.25">
      <c r="A5231" t="s">
        <v>5271</v>
      </c>
      <c r="B5231" s="1">
        <v>45385</v>
      </c>
      <c r="C5231" t="s">
        <v>31</v>
      </c>
      <c r="D5231" t="s">
        <v>32</v>
      </c>
      <c r="E5231" t="s">
        <v>21</v>
      </c>
      <c r="F5231" t="s">
        <v>14</v>
      </c>
      <c r="G5231" t="s">
        <v>23</v>
      </c>
      <c r="K5231" cm="1">
        <f t="array" ref="K5231">_xlfn.SWITCH(LeadsData[[#This Row],[Funnel Stage Reached]],"Lead",1,"MQL",2,"SQL",3,"Customer",4)</f>
        <v>2</v>
      </c>
      <c r="L5231" t="str">
        <f>TEXT(LeadsData[[#This Row],[Signup Date]],"mmm-yyyy")</f>
        <v>Apr-2024</v>
      </c>
      <c r="M5231">
        <f>IF(LeadsData[[#This Row],[Stage Number]]&gt;=2,1,0)</f>
        <v>1</v>
      </c>
      <c r="N5231" s="2">
        <f>IF(LeadsData[[#This Row],[Stage Number]]&gt;=3,1,0)</f>
        <v>0</v>
      </c>
      <c r="O5231" s="2">
        <f>IF(LeadsData[[#This Row],[Stage Number]]&gt;=4,1,0)</f>
        <v>0</v>
      </c>
    </row>
    <row r="5232" spans="1:15" x14ac:dyDescent="0.25">
      <c r="A5232" t="s">
        <v>5272</v>
      </c>
      <c r="B5232" s="1">
        <v>45511</v>
      </c>
      <c r="C5232" t="s">
        <v>46</v>
      </c>
      <c r="D5232" t="s">
        <v>56</v>
      </c>
      <c r="E5232" t="s">
        <v>13</v>
      </c>
      <c r="F5232" t="s">
        <v>14</v>
      </c>
      <c r="G5232" t="s">
        <v>23</v>
      </c>
      <c r="K5232" cm="1">
        <f t="array" ref="K5232">_xlfn.SWITCH(LeadsData[[#This Row],[Funnel Stage Reached]],"Lead",1,"MQL",2,"SQL",3,"Customer",4)</f>
        <v>2</v>
      </c>
      <c r="L5232" t="str">
        <f>TEXT(LeadsData[[#This Row],[Signup Date]],"mmm-yyyy")</f>
        <v>Aug-2024</v>
      </c>
      <c r="M5232">
        <f>IF(LeadsData[[#This Row],[Stage Number]]&gt;=2,1,0)</f>
        <v>1</v>
      </c>
      <c r="N5232" s="2">
        <f>IF(LeadsData[[#This Row],[Stage Number]]&gt;=3,1,0)</f>
        <v>0</v>
      </c>
      <c r="O5232" s="2">
        <f>IF(LeadsData[[#This Row],[Stage Number]]&gt;=4,1,0)</f>
        <v>0</v>
      </c>
    </row>
    <row r="5233" spans="1:15" x14ac:dyDescent="0.25">
      <c r="A5233" t="s">
        <v>5273</v>
      </c>
      <c r="B5233" s="1">
        <v>45297</v>
      </c>
      <c r="C5233" t="s">
        <v>31</v>
      </c>
      <c r="D5233" t="s">
        <v>32</v>
      </c>
      <c r="E5233" t="s">
        <v>13</v>
      </c>
      <c r="F5233" t="s">
        <v>19</v>
      </c>
      <c r="G5233" t="s">
        <v>15</v>
      </c>
      <c r="K5233" cm="1">
        <f t="array" ref="K5233">_xlfn.SWITCH(LeadsData[[#This Row],[Funnel Stage Reached]],"Lead",1,"MQL",2,"SQL",3,"Customer",4)</f>
        <v>1</v>
      </c>
      <c r="L5233" t="str">
        <f>TEXT(LeadsData[[#This Row],[Signup Date]],"mmm-yyyy")</f>
        <v>Jan-2024</v>
      </c>
      <c r="M5233">
        <f>IF(LeadsData[[#This Row],[Stage Number]]&gt;=2,1,0)</f>
        <v>0</v>
      </c>
      <c r="N5233" s="2">
        <f>IF(LeadsData[[#This Row],[Stage Number]]&gt;=3,1,0)</f>
        <v>0</v>
      </c>
      <c r="O5233" s="2">
        <f>IF(LeadsData[[#This Row],[Stage Number]]&gt;=4,1,0)</f>
        <v>0</v>
      </c>
    </row>
    <row r="5234" spans="1:15" x14ac:dyDescent="0.25">
      <c r="A5234" t="s">
        <v>5274</v>
      </c>
      <c r="B5234" s="1">
        <v>45580</v>
      </c>
      <c r="C5234" t="s">
        <v>17</v>
      </c>
      <c r="D5234" t="s">
        <v>53</v>
      </c>
      <c r="E5234" t="s">
        <v>13</v>
      </c>
      <c r="F5234" t="s">
        <v>19</v>
      </c>
      <c r="G5234" t="s">
        <v>23</v>
      </c>
      <c r="K5234" cm="1">
        <f t="array" ref="K5234">_xlfn.SWITCH(LeadsData[[#This Row],[Funnel Stage Reached]],"Lead",1,"MQL",2,"SQL",3,"Customer",4)</f>
        <v>2</v>
      </c>
      <c r="L5234" t="str">
        <f>TEXT(LeadsData[[#This Row],[Signup Date]],"mmm-yyyy")</f>
        <v>Oct-2024</v>
      </c>
      <c r="M5234">
        <f>IF(LeadsData[[#This Row],[Stage Number]]&gt;=2,1,0)</f>
        <v>1</v>
      </c>
      <c r="N5234" s="2">
        <f>IF(LeadsData[[#This Row],[Stage Number]]&gt;=3,1,0)</f>
        <v>0</v>
      </c>
      <c r="O5234" s="2">
        <f>IF(LeadsData[[#This Row],[Stage Number]]&gt;=4,1,0)</f>
        <v>0</v>
      </c>
    </row>
    <row r="5235" spans="1:15" x14ac:dyDescent="0.25">
      <c r="A5235" t="s">
        <v>5275</v>
      </c>
      <c r="B5235" s="1">
        <v>45637</v>
      </c>
      <c r="C5235" t="s">
        <v>25</v>
      </c>
      <c r="D5235" t="s">
        <v>26</v>
      </c>
      <c r="E5235" t="s">
        <v>21</v>
      </c>
      <c r="F5235" t="s">
        <v>14</v>
      </c>
      <c r="G5235" t="s">
        <v>15</v>
      </c>
      <c r="K5235" cm="1">
        <f t="array" ref="K5235">_xlfn.SWITCH(LeadsData[[#This Row],[Funnel Stage Reached]],"Lead",1,"MQL",2,"SQL",3,"Customer",4)</f>
        <v>1</v>
      </c>
      <c r="L5235" t="str">
        <f>TEXT(LeadsData[[#This Row],[Signup Date]],"mmm-yyyy")</f>
        <v>Dec-2024</v>
      </c>
      <c r="M5235">
        <f>IF(LeadsData[[#This Row],[Stage Number]]&gt;=2,1,0)</f>
        <v>0</v>
      </c>
      <c r="N5235" s="2">
        <f>IF(LeadsData[[#This Row],[Stage Number]]&gt;=3,1,0)</f>
        <v>0</v>
      </c>
      <c r="O5235" s="2">
        <f>IF(LeadsData[[#This Row],[Stage Number]]&gt;=4,1,0)</f>
        <v>0</v>
      </c>
    </row>
    <row r="5236" spans="1:15" x14ac:dyDescent="0.25">
      <c r="A5236" t="s">
        <v>5276</v>
      </c>
      <c r="B5236" s="1">
        <v>45318</v>
      </c>
      <c r="C5236" t="s">
        <v>31</v>
      </c>
      <c r="D5236" t="s">
        <v>34</v>
      </c>
      <c r="E5236" t="s">
        <v>48</v>
      </c>
      <c r="F5236" t="s">
        <v>19</v>
      </c>
      <c r="G5236" t="s">
        <v>15</v>
      </c>
      <c r="K5236" cm="1">
        <f t="array" ref="K5236">_xlfn.SWITCH(LeadsData[[#This Row],[Funnel Stage Reached]],"Lead",1,"MQL",2,"SQL",3,"Customer",4)</f>
        <v>1</v>
      </c>
      <c r="L5236" t="str">
        <f>TEXT(LeadsData[[#This Row],[Signup Date]],"mmm-yyyy")</f>
        <v>Jan-2024</v>
      </c>
      <c r="M5236">
        <f>IF(LeadsData[[#This Row],[Stage Number]]&gt;=2,1,0)</f>
        <v>0</v>
      </c>
      <c r="N5236" s="2">
        <f>IF(LeadsData[[#This Row],[Stage Number]]&gt;=3,1,0)</f>
        <v>0</v>
      </c>
      <c r="O5236" s="2">
        <f>IF(LeadsData[[#This Row],[Stage Number]]&gt;=4,1,0)</f>
        <v>0</v>
      </c>
    </row>
    <row r="5237" spans="1:15" x14ac:dyDescent="0.25">
      <c r="A5237" t="s">
        <v>5277</v>
      </c>
      <c r="B5237" s="1">
        <v>45643</v>
      </c>
      <c r="C5237" t="s">
        <v>31</v>
      </c>
      <c r="D5237" t="s">
        <v>34</v>
      </c>
      <c r="E5237" t="s">
        <v>21</v>
      </c>
      <c r="F5237" t="s">
        <v>22</v>
      </c>
      <c r="G5237" t="s">
        <v>15</v>
      </c>
      <c r="K5237" cm="1">
        <f t="array" ref="K5237">_xlfn.SWITCH(LeadsData[[#This Row],[Funnel Stage Reached]],"Lead",1,"MQL",2,"SQL",3,"Customer",4)</f>
        <v>1</v>
      </c>
      <c r="L5237" t="str">
        <f>TEXT(LeadsData[[#This Row],[Signup Date]],"mmm-yyyy")</f>
        <v>Dec-2024</v>
      </c>
      <c r="M5237">
        <f>IF(LeadsData[[#This Row],[Stage Number]]&gt;=2,1,0)</f>
        <v>0</v>
      </c>
      <c r="N5237" s="2">
        <f>IF(LeadsData[[#This Row],[Stage Number]]&gt;=3,1,0)</f>
        <v>0</v>
      </c>
      <c r="O5237" s="2">
        <f>IF(LeadsData[[#This Row],[Stage Number]]&gt;=4,1,0)</f>
        <v>0</v>
      </c>
    </row>
    <row r="5238" spans="1:15" x14ac:dyDescent="0.25">
      <c r="A5238" t="s">
        <v>5278</v>
      </c>
      <c r="B5238" s="1">
        <v>45548</v>
      </c>
      <c r="C5238" t="s">
        <v>25</v>
      </c>
      <c r="D5238" t="s">
        <v>26</v>
      </c>
      <c r="E5238" t="s">
        <v>13</v>
      </c>
      <c r="F5238" t="s">
        <v>22</v>
      </c>
      <c r="G5238" t="s">
        <v>15</v>
      </c>
      <c r="K5238" cm="1">
        <f t="array" ref="K5238">_xlfn.SWITCH(LeadsData[[#This Row],[Funnel Stage Reached]],"Lead",1,"MQL",2,"SQL",3,"Customer",4)</f>
        <v>1</v>
      </c>
      <c r="L5238" t="str">
        <f>TEXT(LeadsData[[#This Row],[Signup Date]],"mmm-yyyy")</f>
        <v>Sep-2024</v>
      </c>
      <c r="M5238">
        <f>IF(LeadsData[[#This Row],[Stage Number]]&gt;=2,1,0)</f>
        <v>0</v>
      </c>
      <c r="N5238" s="2">
        <f>IF(LeadsData[[#This Row],[Stage Number]]&gt;=3,1,0)</f>
        <v>0</v>
      </c>
      <c r="O5238" s="2">
        <f>IF(LeadsData[[#This Row],[Stage Number]]&gt;=4,1,0)</f>
        <v>0</v>
      </c>
    </row>
    <row r="5239" spans="1:15" x14ac:dyDescent="0.25">
      <c r="A5239" t="s">
        <v>5279</v>
      </c>
      <c r="B5239" s="1">
        <v>45424</v>
      </c>
      <c r="C5239" t="s">
        <v>46</v>
      </c>
      <c r="D5239" t="s">
        <v>47</v>
      </c>
      <c r="E5239" t="s">
        <v>21</v>
      </c>
      <c r="F5239" t="s">
        <v>22</v>
      </c>
      <c r="G5239" t="s">
        <v>42</v>
      </c>
      <c r="H5239">
        <v>10</v>
      </c>
      <c r="I5239" t="s">
        <v>43</v>
      </c>
      <c r="J5239">
        <v>678.73</v>
      </c>
      <c r="K5239" cm="1">
        <f t="array" ref="K5239">_xlfn.SWITCH(LeadsData[[#This Row],[Funnel Stage Reached]],"Lead",1,"MQL",2,"SQL",3,"Customer",4)</f>
        <v>4</v>
      </c>
      <c r="L5239" t="str">
        <f>TEXT(LeadsData[[#This Row],[Signup Date]],"mmm-yyyy")</f>
        <v>May-2024</v>
      </c>
      <c r="M5239">
        <f>IF(LeadsData[[#This Row],[Stage Number]]&gt;=2,1,0)</f>
        <v>1</v>
      </c>
      <c r="N5239" s="2">
        <f>IF(LeadsData[[#This Row],[Stage Number]]&gt;=3,1,0)</f>
        <v>1</v>
      </c>
      <c r="O5239" s="2">
        <f>IF(LeadsData[[#This Row],[Stage Number]]&gt;=4,1,0)</f>
        <v>1</v>
      </c>
    </row>
    <row r="5240" spans="1:15" x14ac:dyDescent="0.25">
      <c r="A5240" t="s">
        <v>5280</v>
      </c>
      <c r="B5240" s="1">
        <v>45634</v>
      </c>
      <c r="C5240" t="s">
        <v>17</v>
      </c>
      <c r="D5240" t="s">
        <v>18</v>
      </c>
      <c r="E5240" t="s">
        <v>13</v>
      </c>
      <c r="F5240" t="s">
        <v>19</v>
      </c>
      <c r="G5240" t="s">
        <v>15</v>
      </c>
      <c r="K5240" cm="1">
        <f t="array" ref="K5240">_xlfn.SWITCH(LeadsData[[#This Row],[Funnel Stage Reached]],"Lead",1,"MQL",2,"SQL",3,"Customer",4)</f>
        <v>1</v>
      </c>
      <c r="L5240" t="str">
        <f>TEXT(LeadsData[[#This Row],[Signup Date]],"mmm-yyyy")</f>
        <v>Dec-2024</v>
      </c>
      <c r="M5240">
        <f>IF(LeadsData[[#This Row],[Stage Number]]&gt;=2,1,0)</f>
        <v>0</v>
      </c>
      <c r="N5240" s="2">
        <f>IF(LeadsData[[#This Row],[Stage Number]]&gt;=3,1,0)</f>
        <v>0</v>
      </c>
      <c r="O5240" s="2">
        <f>IF(LeadsData[[#This Row],[Stage Number]]&gt;=4,1,0)</f>
        <v>0</v>
      </c>
    </row>
    <row r="5241" spans="1:15" x14ac:dyDescent="0.25">
      <c r="A5241" t="s">
        <v>5281</v>
      </c>
      <c r="B5241" s="1">
        <v>45612</v>
      </c>
      <c r="C5241" t="s">
        <v>46</v>
      </c>
      <c r="D5241" t="s">
        <v>56</v>
      </c>
      <c r="E5241" t="s">
        <v>21</v>
      </c>
      <c r="F5241" t="s">
        <v>14</v>
      </c>
      <c r="G5241" t="s">
        <v>15</v>
      </c>
      <c r="K5241" cm="1">
        <f t="array" ref="K5241">_xlfn.SWITCH(LeadsData[[#This Row],[Funnel Stage Reached]],"Lead",1,"MQL",2,"SQL",3,"Customer",4)</f>
        <v>1</v>
      </c>
      <c r="L5241" t="str">
        <f>TEXT(LeadsData[[#This Row],[Signup Date]],"mmm-yyyy")</f>
        <v>Nov-2024</v>
      </c>
      <c r="M5241">
        <f>IF(LeadsData[[#This Row],[Stage Number]]&gt;=2,1,0)</f>
        <v>0</v>
      </c>
      <c r="N5241" s="2">
        <f>IF(LeadsData[[#This Row],[Stage Number]]&gt;=3,1,0)</f>
        <v>0</v>
      </c>
      <c r="O5241" s="2">
        <f>IF(LeadsData[[#This Row],[Stage Number]]&gt;=4,1,0)</f>
        <v>0</v>
      </c>
    </row>
    <row r="5242" spans="1:15" x14ac:dyDescent="0.25">
      <c r="A5242" t="s">
        <v>5282</v>
      </c>
      <c r="B5242" s="1">
        <v>45341</v>
      </c>
      <c r="C5242" t="s">
        <v>31</v>
      </c>
      <c r="D5242" t="s">
        <v>34</v>
      </c>
      <c r="E5242" t="s">
        <v>21</v>
      </c>
      <c r="F5242" t="s">
        <v>19</v>
      </c>
      <c r="G5242" t="s">
        <v>15</v>
      </c>
      <c r="K5242" cm="1">
        <f t="array" ref="K5242">_xlfn.SWITCH(LeadsData[[#This Row],[Funnel Stage Reached]],"Lead",1,"MQL",2,"SQL",3,"Customer",4)</f>
        <v>1</v>
      </c>
      <c r="L5242" t="str">
        <f>TEXT(LeadsData[[#This Row],[Signup Date]],"mmm-yyyy")</f>
        <v>Feb-2024</v>
      </c>
      <c r="M5242">
        <f>IF(LeadsData[[#This Row],[Stage Number]]&gt;=2,1,0)</f>
        <v>0</v>
      </c>
      <c r="N5242" s="2">
        <f>IF(LeadsData[[#This Row],[Stage Number]]&gt;=3,1,0)</f>
        <v>0</v>
      </c>
      <c r="O5242" s="2">
        <f>IF(LeadsData[[#This Row],[Stage Number]]&gt;=4,1,0)</f>
        <v>0</v>
      </c>
    </row>
    <row r="5243" spans="1:15" x14ac:dyDescent="0.25">
      <c r="A5243" t="s">
        <v>5283</v>
      </c>
      <c r="B5243" s="1">
        <v>45530</v>
      </c>
      <c r="C5243" t="s">
        <v>31</v>
      </c>
      <c r="D5243" t="s">
        <v>32</v>
      </c>
      <c r="E5243" t="s">
        <v>13</v>
      </c>
      <c r="F5243" t="s">
        <v>22</v>
      </c>
      <c r="G5243" t="s">
        <v>42</v>
      </c>
      <c r="H5243">
        <v>18</v>
      </c>
      <c r="I5243" t="s">
        <v>183</v>
      </c>
      <c r="J5243">
        <v>7343.15</v>
      </c>
      <c r="K5243" cm="1">
        <f t="array" ref="K5243">_xlfn.SWITCH(LeadsData[[#This Row],[Funnel Stage Reached]],"Lead",1,"MQL",2,"SQL",3,"Customer",4)</f>
        <v>4</v>
      </c>
      <c r="L5243" t="str">
        <f>TEXT(LeadsData[[#This Row],[Signup Date]],"mmm-yyyy")</f>
        <v>Aug-2024</v>
      </c>
      <c r="M5243">
        <f>IF(LeadsData[[#This Row],[Stage Number]]&gt;=2,1,0)</f>
        <v>1</v>
      </c>
      <c r="N5243" s="2">
        <f>IF(LeadsData[[#This Row],[Stage Number]]&gt;=3,1,0)</f>
        <v>1</v>
      </c>
      <c r="O5243" s="2">
        <f>IF(LeadsData[[#This Row],[Stage Number]]&gt;=4,1,0)</f>
        <v>1</v>
      </c>
    </row>
    <row r="5244" spans="1:15" x14ac:dyDescent="0.25">
      <c r="A5244" t="s">
        <v>5284</v>
      </c>
      <c r="B5244" s="1">
        <v>45605</v>
      </c>
      <c r="C5244" t="s">
        <v>17</v>
      </c>
      <c r="D5244" t="s">
        <v>53</v>
      </c>
      <c r="E5244" t="s">
        <v>21</v>
      </c>
      <c r="F5244" t="s">
        <v>19</v>
      </c>
      <c r="G5244" t="s">
        <v>23</v>
      </c>
      <c r="K5244" cm="1">
        <f t="array" ref="K5244">_xlfn.SWITCH(LeadsData[[#This Row],[Funnel Stage Reached]],"Lead",1,"MQL",2,"SQL",3,"Customer",4)</f>
        <v>2</v>
      </c>
      <c r="L5244" t="str">
        <f>TEXT(LeadsData[[#This Row],[Signup Date]],"mmm-yyyy")</f>
        <v>Nov-2024</v>
      </c>
      <c r="M5244">
        <f>IF(LeadsData[[#This Row],[Stage Number]]&gt;=2,1,0)</f>
        <v>1</v>
      </c>
      <c r="N5244" s="2">
        <f>IF(LeadsData[[#This Row],[Stage Number]]&gt;=3,1,0)</f>
        <v>0</v>
      </c>
      <c r="O5244" s="2">
        <f>IF(LeadsData[[#This Row],[Stage Number]]&gt;=4,1,0)</f>
        <v>0</v>
      </c>
    </row>
    <row r="5245" spans="1:15" x14ac:dyDescent="0.25">
      <c r="A5245" t="s">
        <v>5285</v>
      </c>
      <c r="B5245" s="1">
        <v>45392</v>
      </c>
      <c r="C5245" t="s">
        <v>31</v>
      </c>
      <c r="D5245" t="s">
        <v>34</v>
      </c>
      <c r="E5245" t="s">
        <v>13</v>
      </c>
      <c r="F5245" t="s">
        <v>19</v>
      </c>
      <c r="G5245" t="s">
        <v>23</v>
      </c>
      <c r="K5245" cm="1">
        <f t="array" ref="K5245">_xlfn.SWITCH(LeadsData[[#This Row],[Funnel Stage Reached]],"Lead",1,"MQL",2,"SQL",3,"Customer",4)</f>
        <v>2</v>
      </c>
      <c r="L5245" t="str">
        <f>TEXT(LeadsData[[#This Row],[Signup Date]],"mmm-yyyy")</f>
        <v>Apr-2024</v>
      </c>
      <c r="M5245">
        <f>IF(LeadsData[[#This Row],[Stage Number]]&gt;=2,1,0)</f>
        <v>1</v>
      </c>
      <c r="N5245" s="2">
        <f>IF(LeadsData[[#This Row],[Stage Number]]&gt;=3,1,0)</f>
        <v>0</v>
      </c>
      <c r="O5245" s="2">
        <f>IF(LeadsData[[#This Row],[Stage Number]]&gt;=4,1,0)</f>
        <v>0</v>
      </c>
    </row>
    <row r="5246" spans="1:15" x14ac:dyDescent="0.25">
      <c r="A5246" t="s">
        <v>5286</v>
      </c>
      <c r="B5246" s="1">
        <v>45603</v>
      </c>
      <c r="C5246" t="s">
        <v>31</v>
      </c>
      <c r="D5246" t="s">
        <v>34</v>
      </c>
      <c r="E5246" t="s">
        <v>21</v>
      </c>
      <c r="F5246" t="s">
        <v>19</v>
      </c>
      <c r="G5246" t="s">
        <v>23</v>
      </c>
      <c r="K5246" cm="1">
        <f t="array" ref="K5246">_xlfn.SWITCH(LeadsData[[#This Row],[Funnel Stage Reached]],"Lead",1,"MQL",2,"SQL",3,"Customer",4)</f>
        <v>2</v>
      </c>
      <c r="L5246" t="str">
        <f>TEXT(LeadsData[[#This Row],[Signup Date]],"mmm-yyyy")</f>
        <v>Nov-2024</v>
      </c>
      <c r="M5246">
        <f>IF(LeadsData[[#This Row],[Stage Number]]&gt;=2,1,0)</f>
        <v>1</v>
      </c>
      <c r="N5246" s="2">
        <f>IF(LeadsData[[#This Row],[Stage Number]]&gt;=3,1,0)</f>
        <v>0</v>
      </c>
      <c r="O5246" s="2">
        <f>IF(LeadsData[[#This Row],[Stage Number]]&gt;=4,1,0)</f>
        <v>0</v>
      </c>
    </row>
    <row r="5247" spans="1:15" x14ac:dyDescent="0.25">
      <c r="A5247" t="s">
        <v>5287</v>
      </c>
      <c r="B5247" s="1">
        <v>45557</v>
      </c>
      <c r="C5247" t="s">
        <v>31</v>
      </c>
      <c r="D5247" t="s">
        <v>32</v>
      </c>
      <c r="E5247" t="s">
        <v>13</v>
      </c>
      <c r="F5247" t="s">
        <v>19</v>
      </c>
      <c r="G5247" t="s">
        <v>23</v>
      </c>
      <c r="K5247" cm="1">
        <f t="array" ref="K5247">_xlfn.SWITCH(LeadsData[[#This Row],[Funnel Stage Reached]],"Lead",1,"MQL",2,"SQL",3,"Customer",4)</f>
        <v>2</v>
      </c>
      <c r="L5247" t="str">
        <f>TEXT(LeadsData[[#This Row],[Signup Date]],"mmm-yyyy")</f>
        <v>Sep-2024</v>
      </c>
      <c r="M5247">
        <f>IF(LeadsData[[#This Row],[Stage Number]]&gt;=2,1,0)</f>
        <v>1</v>
      </c>
      <c r="N5247" s="2">
        <f>IF(LeadsData[[#This Row],[Stage Number]]&gt;=3,1,0)</f>
        <v>0</v>
      </c>
      <c r="O5247" s="2">
        <f>IF(LeadsData[[#This Row],[Stage Number]]&gt;=4,1,0)</f>
        <v>0</v>
      </c>
    </row>
    <row r="5248" spans="1:15" x14ac:dyDescent="0.25">
      <c r="A5248" t="s">
        <v>5288</v>
      </c>
      <c r="B5248" s="1">
        <v>45439</v>
      </c>
      <c r="C5248" t="s">
        <v>36</v>
      </c>
      <c r="D5248" t="s">
        <v>37</v>
      </c>
      <c r="E5248" t="s">
        <v>48</v>
      </c>
      <c r="F5248" t="s">
        <v>14</v>
      </c>
      <c r="G5248" t="s">
        <v>23</v>
      </c>
      <c r="K5248" cm="1">
        <f t="array" ref="K5248">_xlfn.SWITCH(LeadsData[[#This Row],[Funnel Stage Reached]],"Lead",1,"MQL",2,"SQL",3,"Customer",4)</f>
        <v>2</v>
      </c>
      <c r="L5248" t="str">
        <f>TEXT(LeadsData[[#This Row],[Signup Date]],"mmm-yyyy")</f>
        <v>May-2024</v>
      </c>
      <c r="M5248">
        <f>IF(LeadsData[[#This Row],[Stage Number]]&gt;=2,1,0)</f>
        <v>1</v>
      </c>
      <c r="N5248" s="2">
        <f>IF(LeadsData[[#This Row],[Stage Number]]&gt;=3,1,0)</f>
        <v>0</v>
      </c>
      <c r="O5248" s="2">
        <f>IF(LeadsData[[#This Row],[Stage Number]]&gt;=4,1,0)</f>
        <v>0</v>
      </c>
    </row>
    <row r="5249" spans="1:15" x14ac:dyDescent="0.25">
      <c r="A5249" t="s">
        <v>5289</v>
      </c>
      <c r="B5249" s="1">
        <v>45337</v>
      </c>
      <c r="C5249" t="s">
        <v>46</v>
      </c>
      <c r="D5249" t="s">
        <v>56</v>
      </c>
      <c r="E5249" t="s">
        <v>48</v>
      </c>
      <c r="F5249" t="s">
        <v>14</v>
      </c>
      <c r="G5249" t="s">
        <v>29</v>
      </c>
      <c r="K5249" cm="1">
        <f t="array" ref="K5249">_xlfn.SWITCH(LeadsData[[#This Row],[Funnel Stage Reached]],"Lead",1,"MQL",2,"SQL",3,"Customer",4)</f>
        <v>3</v>
      </c>
      <c r="L5249" t="str">
        <f>TEXT(LeadsData[[#This Row],[Signup Date]],"mmm-yyyy")</f>
        <v>Feb-2024</v>
      </c>
      <c r="M5249">
        <f>IF(LeadsData[[#This Row],[Stage Number]]&gt;=2,1,0)</f>
        <v>1</v>
      </c>
      <c r="N5249" s="2">
        <f>IF(LeadsData[[#This Row],[Stage Number]]&gt;=3,1,0)</f>
        <v>1</v>
      </c>
      <c r="O5249" s="2">
        <f>IF(LeadsData[[#This Row],[Stage Number]]&gt;=4,1,0)</f>
        <v>0</v>
      </c>
    </row>
    <row r="5250" spans="1:15" x14ac:dyDescent="0.25">
      <c r="A5250" t="s">
        <v>5290</v>
      </c>
      <c r="B5250" s="1">
        <v>45485</v>
      </c>
      <c r="C5250" t="s">
        <v>11</v>
      </c>
      <c r="D5250" t="s">
        <v>68</v>
      </c>
      <c r="E5250" t="s">
        <v>48</v>
      </c>
      <c r="F5250" t="s">
        <v>14</v>
      </c>
      <c r="G5250" t="s">
        <v>15</v>
      </c>
      <c r="K5250" cm="1">
        <f t="array" ref="K5250">_xlfn.SWITCH(LeadsData[[#This Row],[Funnel Stage Reached]],"Lead",1,"MQL",2,"SQL",3,"Customer",4)</f>
        <v>1</v>
      </c>
      <c r="L5250" t="str">
        <f>TEXT(LeadsData[[#This Row],[Signup Date]],"mmm-yyyy")</f>
        <v>Jul-2024</v>
      </c>
      <c r="M5250">
        <f>IF(LeadsData[[#This Row],[Stage Number]]&gt;=2,1,0)</f>
        <v>0</v>
      </c>
      <c r="N5250" s="2">
        <f>IF(LeadsData[[#This Row],[Stage Number]]&gt;=3,1,0)</f>
        <v>0</v>
      </c>
      <c r="O5250" s="2">
        <f>IF(LeadsData[[#This Row],[Stage Number]]&gt;=4,1,0)</f>
        <v>0</v>
      </c>
    </row>
    <row r="5251" spans="1:15" x14ac:dyDescent="0.25">
      <c r="A5251" t="s">
        <v>5291</v>
      </c>
      <c r="B5251" s="1">
        <v>45330</v>
      </c>
      <c r="C5251" t="s">
        <v>31</v>
      </c>
      <c r="D5251" t="s">
        <v>34</v>
      </c>
      <c r="E5251" t="s">
        <v>21</v>
      </c>
      <c r="F5251" t="s">
        <v>19</v>
      </c>
      <c r="G5251" t="s">
        <v>23</v>
      </c>
      <c r="K5251" cm="1">
        <f t="array" ref="K5251">_xlfn.SWITCH(LeadsData[[#This Row],[Funnel Stage Reached]],"Lead",1,"MQL",2,"SQL",3,"Customer",4)</f>
        <v>2</v>
      </c>
      <c r="L5251" t="str">
        <f>TEXT(LeadsData[[#This Row],[Signup Date]],"mmm-yyyy")</f>
        <v>Feb-2024</v>
      </c>
      <c r="M5251">
        <f>IF(LeadsData[[#This Row],[Stage Number]]&gt;=2,1,0)</f>
        <v>1</v>
      </c>
      <c r="N5251" s="2">
        <f>IF(LeadsData[[#This Row],[Stage Number]]&gt;=3,1,0)</f>
        <v>0</v>
      </c>
      <c r="O5251" s="2">
        <f>IF(LeadsData[[#This Row],[Stage Number]]&gt;=4,1,0)</f>
        <v>0</v>
      </c>
    </row>
    <row r="5252" spans="1:15" x14ac:dyDescent="0.25">
      <c r="A5252" t="s">
        <v>5292</v>
      </c>
      <c r="B5252" s="1">
        <v>45319</v>
      </c>
      <c r="C5252" t="s">
        <v>31</v>
      </c>
      <c r="D5252" t="s">
        <v>34</v>
      </c>
      <c r="E5252" t="s">
        <v>48</v>
      </c>
      <c r="F5252" t="s">
        <v>19</v>
      </c>
      <c r="G5252" t="s">
        <v>23</v>
      </c>
      <c r="K5252" cm="1">
        <f t="array" ref="K5252">_xlfn.SWITCH(LeadsData[[#This Row],[Funnel Stage Reached]],"Lead",1,"MQL",2,"SQL",3,"Customer",4)</f>
        <v>2</v>
      </c>
      <c r="L5252" t="str">
        <f>TEXT(LeadsData[[#This Row],[Signup Date]],"mmm-yyyy")</f>
        <v>Jan-2024</v>
      </c>
      <c r="M5252">
        <f>IF(LeadsData[[#This Row],[Stage Number]]&gt;=2,1,0)</f>
        <v>1</v>
      </c>
      <c r="N5252" s="2">
        <f>IF(LeadsData[[#This Row],[Stage Number]]&gt;=3,1,0)</f>
        <v>0</v>
      </c>
      <c r="O5252" s="2">
        <f>IF(LeadsData[[#This Row],[Stage Number]]&gt;=4,1,0)</f>
        <v>0</v>
      </c>
    </row>
    <row r="5253" spans="1:15" x14ac:dyDescent="0.25">
      <c r="A5253" t="s">
        <v>5293</v>
      </c>
      <c r="B5253" s="1">
        <v>45518</v>
      </c>
      <c r="C5253" t="s">
        <v>46</v>
      </c>
      <c r="D5253" t="s">
        <v>56</v>
      </c>
      <c r="E5253" t="s">
        <v>13</v>
      </c>
      <c r="F5253" t="s">
        <v>19</v>
      </c>
      <c r="G5253" t="s">
        <v>29</v>
      </c>
      <c r="K5253" cm="1">
        <f t="array" ref="K5253">_xlfn.SWITCH(LeadsData[[#This Row],[Funnel Stage Reached]],"Lead",1,"MQL",2,"SQL",3,"Customer",4)</f>
        <v>3</v>
      </c>
      <c r="L5253" t="str">
        <f>TEXT(LeadsData[[#This Row],[Signup Date]],"mmm-yyyy")</f>
        <v>Aug-2024</v>
      </c>
      <c r="M5253">
        <f>IF(LeadsData[[#This Row],[Stage Number]]&gt;=2,1,0)</f>
        <v>1</v>
      </c>
      <c r="N5253" s="2">
        <f>IF(LeadsData[[#This Row],[Stage Number]]&gt;=3,1,0)</f>
        <v>1</v>
      </c>
      <c r="O5253" s="2">
        <f>IF(LeadsData[[#This Row],[Stage Number]]&gt;=4,1,0)</f>
        <v>0</v>
      </c>
    </row>
    <row r="5254" spans="1:15" x14ac:dyDescent="0.25">
      <c r="A5254" t="s">
        <v>5294</v>
      </c>
      <c r="B5254" s="1">
        <v>45359</v>
      </c>
      <c r="C5254" t="s">
        <v>17</v>
      </c>
      <c r="D5254" t="s">
        <v>18</v>
      </c>
      <c r="E5254" t="s">
        <v>13</v>
      </c>
      <c r="F5254" t="s">
        <v>22</v>
      </c>
      <c r="G5254" t="s">
        <v>15</v>
      </c>
      <c r="K5254" cm="1">
        <f t="array" ref="K5254">_xlfn.SWITCH(LeadsData[[#This Row],[Funnel Stage Reached]],"Lead",1,"MQL",2,"SQL",3,"Customer",4)</f>
        <v>1</v>
      </c>
      <c r="L5254" t="str">
        <f>TEXT(LeadsData[[#This Row],[Signup Date]],"mmm-yyyy")</f>
        <v>Mar-2024</v>
      </c>
      <c r="M5254">
        <f>IF(LeadsData[[#This Row],[Stage Number]]&gt;=2,1,0)</f>
        <v>0</v>
      </c>
      <c r="N5254" s="2">
        <f>IF(LeadsData[[#This Row],[Stage Number]]&gt;=3,1,0)</f>
        <v>0</v>
      </c>
      <c r="O5254" s="2">
        <f>IF(LeadsData[[#This Row],[Stage Number]]&gt;=4,1,0)</f>
        <v>0</v>
      </c>
    </row>
    <row r="5255" spans="1:15" x14ac:dyDescent="0.25">
      <c r="A5255" t="s">
        <v>5295</v>
      </c>
      <c r="B5255" s="1">
        <v>45645</v>
      </c>
      <c r="C5255" t="s">
        <v>36</v>
      </c>
      <c r="D5255" t="s">
        <v>37</v>
      </c>
      <c r="E5255" t="s">
        <v>21</v>
      </c>
      <c r="F5255" t="s">
        <v>14</v>
      </c>
      <c r="G5255" t="s">
        <v>29</v>
      </c>
      <c r="K5255" cm="1">
        <f t="array" ref="K5255">_xlfn.SWITCH(LeadsData[[#This Row],[Funnel Stage Reached]],"Lead",1,"MQL",2,"SQL",3,"Customer",4)</f>
        <v>3</v>
      </c>
      <c r="L5255" t="str">
        <f>TEXT(LeadsData[[#This Row],[Signup Date]],"mmm-yyyy")</f>
        <v>Dec-2024</v>
      </c>
      <c r="M5255">
        <f>IF(LeadsData[[#This Row],[Stage Number]]&gt;=2,1,0)</f>
        <v>1</v>
      </c>
      <c r="N5255" s="2">
        <f>IF(LeadsData[[#This Row],[Stage Number]]&gt;=3,1,0)</f>
        <v>1</v>
      </c>
      <c r="O5255" s="2">
        <f>IF(LeadsData[[#This Row],[Stage Number]]&gt;=4,1,0)</f>
        <v>0</v>
      </c>
    </row>
    <row r="5256" spans="1:15" x14ac:dyDescent="0.25">
      <c r="A5256" t="s">
        <v>5296</v>
      </c>
      <c r="B5256" s="1">
        <v>45562</v>
      </c>
      <c r="C5256" t="s">
        <v>46</v>
      </c>
      <c r="D5256" t="s">
        <v>47</v>
      </c>
      <c r="E5256" t="s">
        <v>48</v>
      </c>
      <c r="F5256" t="s">
        <v>19</v>
      </c>
      <c r="G5256" t="s">
        <v>15</v>
      </c>
      <c r="K5256" cm="1">
        <f t="array" ref="K5256">_xlfn.SWITCH(LeadsData[[#This Row],[Funnel Stage Reached]],"Lead",1,"MQL",2,"SQL",3,"Customer",4)</f>
        <v>1</v>
      </c>
      <c r="L5256" t="str">
        <f>TEXT(LeadsData[[#This Row],[Signup Date]],"mmm-yyyy")</f>
        <v>Sep-2024</v>
      </c>
      <c r="M5256">
        <f>IF(LeadsData[[#This Row],[Stage Number]]&gt;=2,1,0)</f>
        <v>0</v>
      </c>
      <c r="N5256" s="2">
        <f>IF(LeadsData[[#This Row],[Stage Number]]&gt;=3,1,0)</f>
        <v>0</v>
      </c>
      <c r="O5256" s="2">
        <f>IF(LeadsData[[#This Row],[Stage Number]]&gt;=4,1,0)</f>
        <v>0</v>
      </c>
    </row>
    <row r="5257" spans="1:15" x14ac:dyDescent="0.25">
      <c r="A5257" t="s">
        <v>5297</v>
      </c>
      <c r="B5257" s="1">
        <v>45465</v>
      </c>
      <c r="C5257" t="s">
        <v>11</v>
      </c>
      <c r="D5257" t="s">
        <v>79</v>
      </c>
      <c r="E5257" t="s">
        <v>21</v>
      </c>
      <c r="F5257" t="s">
        <v>14</v>
      </c>
      <c r="G5257" t="s">
        <v>23</v>
      </c>
      <c r="K5257" cm="1">
        <f t="array" ref="K5257">_xlfn.SWITCH(LeadsData[[#This Row],[Funnel Stage Reached]],"Lead",1,"MQL",2,"SQL",3,"Customer",4)</f>
        <v>2</v>
      </c>
      <c r="L5257" t="str">
        <f>TEXT(LeadsData[[#This Row],[Signup Date]],"mmm-yyyy")</f>
        <v>Jun-2024</v>
      </c>
      <c r="M5257">
        <f>IF(LeadsData[[#This Row],[Stage Number]]&gt;=2,1,0)</f>
        <v>1</v>
      </c>
      <c r="N5257" s="2">
        <f>IF(LeadsData[[#This Row],[Stage Number]]&gt;=3,1,0)</f>
        <v>0</v>
      </c>
      <c r="O5257" s="2">
        <f>IF(LeadsData[[#This Row],[Stage Number]]&gt;=4,1,0)</f>
        <v>0</v>
      </c>
    </row>
    <row r="5258" spans="1:15" x14ac:dyDescent="0.25">
      <c r="A5258" t="s">
        <v>5298</v>
      </c>
      <c r="B5258" s="1">
        <v>45323</v>
      </c>
      <c r="C5258" t="s">
        <v>25</v>
      </c>
      <c r="D5258" t="s">
        <v>26</v>
      </c>
      <c r="E5258" t="s">
        <v>21</v>
      </c>
      <c r="F5258" t="s">
        <v>19</v>
      </c>
      <c r="G5258" t="s">
        <v>15</v>
      </c>
      <c r="K5258" cm="1">
        <f t="array" ref="K5258">_xlfn.SWITCH(LeadsData[[#This Row],[Funnel Stage Reached]],"Lead",1,"MQL",2,"SQL",3,"Customer",4)</f>
        <v>1</v>
      </c>
      <c r="L5258" t="str">
        <f>TEXT(LeadsData[[#This Row],[Signup Date]],"mmm-yyyy")</f>
        <v>Feb-2024</v>
      </c>
      <c r="M5258">
        <f>IF(LeadsData[[#This Row],[Stage Number]]&gt;=2,1,0)</f>
        <v>0</v>
      </c>
      <c r="N5258" s="2">
        <f>IF(LeadsData[[#This Row],[Stage Number]]&gt;=3,1,0)</f>
        <v>0</v>
      </c>
      <c r="O5258" s="2">
        <f>IF(LeadsData[[#This Row],[Stage Number]]&gt;=4,1,0)</f>
        <v>0</v>
      </c>
    </row>
    <row r="5259" spans="1:15" x14ac:dyDescent="0.25">
      <c r="A5259" t="s">
        <v>5299</v>
      </c>
      <c r="B5259" s="1">
        <v>45522</v>
      </c>
      <c r="C5259" t="s">
        <v>17</v>
      </c>
      <c r="D5259" t="s">
        <v>18</v>
      </c>
      <c r="E5259" t="s">
        <v>48</v>
      </c>
      <c r="F5259" t="s">
        <v>19</v>
      </c>
      <c r="G5259" t="s">
        <v>15</v>
      </c>
      <c r="K5259" cm="1">
        <f t="array" ref="K5259">_xlfn.SWITCH(LeadsData[[#This Row],[Funnel Stage Reached]],"Lead",1,"MQL",2,"SQL",3,"Customer",4)</f>
        <v>1</v>
      </c>
      <c r="L5259" t="str">
        <f>TEXT(LeadsData[[#This Row],[Signup Date]],"mmm-yyyy")</f>
        <v>Aug-2024</v>
      </c>
      <c r="M5259">
        <f>IF(LeadsData[[#This Row],[Stage Number]]&gt;=2,1,0)</f>
        <v>0</v>
      </c>
      <c r="N5259" s="2">
        <f>IF(LeadsData[[#This Row],[Stage Number]]&gt;=3,1,0)</f>
        <v>0</v>
      </c>
      <c r="O5259" s="2">
        <f>IF(LeadsData[[#This Row],[Stage Number]]&gt;=4,1,0)</f>
        <v>0</v>
      </c>
    </row>
    <row r="5260" spans="1:15" x14ac:dyDescent="0.25">
      <c r="A5260" t="s">
        <v>5300</v>
      </c>
      <c r="B5260" s="1">
        <v>45506</v>
      </c>
      <c r="C5260" t="s">
        <v>25</v>
      </c>
      <c r="D5260" t="s">
        <v>26</v>
      </c>
      <c r="E5260" t="s">
        <v>13</v>
      </c>
      <c r="F5260" t="s">
        <v>22</v>
      </c>
      <c r="G5260" t="s">
        <v>15</v>
      </c>
      <c r="K5260" cm="1">
        <f t="array" ref="K5260">_xlfn.SWITCH(LeadsData[[#This Row],[Funnel Stage Reached]],"Lead",1,"MQL",2,"SQL",3,"Customer",4)</f>
        <v>1</v>
      </c>
      <c r="L5260" t="str">
        <f>TEXT(LeadsData[[#This Row],[Signup Date]],"mmm-yyyy")</f>
        <v>Aug-2024</v>
      </c>
      <c r="M5260">
        <f>IF(LeadsData[[#This Row],[Stage Number]]&gt;=2,1,0)</f>
        <v>0</v>
      </c>
      <c r="N5260" s="2">
        <f>IF(LeadsData[[#This Row],[Stage Number]]&gt;=3,1,0)</f>
        <v>0</v>
      </c>
      <c r="O5260" s="2">
        <f>IF(LeadsData[[#This Row],[Stage Number]]&gt;=4,1,0)</f>
        <v>0</v>
      </c>
    </row>
    <row r="5261" spans="1:15" x14ac:dyDescent="0.25">
      <c r="A5261" t="s">
        <v>5301</v>
      </c>
      <c r="B5261" s="1">
        <v>45304</v>
      </c>
      <c r="C5261" t="s">
        <v>46</v>
      </c>
      <c r="D5261" t="s">
        <v>56</v>
      </c>
      <c r="E5261" t="s">
        <v>21</v>
      </c>
      <c r="F5261" t="s">
        <v>14</v>
      </c>
      <c r="G5261" t="s">
        <v>23</v>
      </c>
      <c r="K5261" cm="1">
        <f t="array" ref="K5261">_xlfn.SWITCH(LeadsData[[#This Row],[Funnel Stage Reached]],"Lead",1,"MQL",2,"SQL",3,"Customer",4)</f>
        <v>2</v>
      </c>
      <c r="L5261" t="str">
        <f>TEXT(LeadsData[[#This Row],[Signup Date]],"mmm-yyyy")</f>
        <v>Jan-2024</v>
      </c>
      <c r="M5261">
        <f>IF(LeadsData[[#This Row],[Stage Number]]&gt;=2,1,0)</f>
        <v>1</v>
      </c>
      <c r="N5261" s="2">
        <f>IF(LeadsData[[#This Row],[Stage Number]]&gt;=3,1,0)</f>
        <v>0</v>
      </c>
      <c r="O5261" s="2">
        <f>IF(LeadsData[[#This Row],[Stage Number]]&gt;=4,1,0)</f>
        <v>0</v>
      </c>
    </row>
    <row r="5262" spans="1:15" x14ac:dyDescent="0.25">
      <c r="A5262" t="s">
        <v>5302</v>
      </c>
      <c r="B5262" s="1">
        <v>45556</v>
      </c>
      <c r="C5262" t="s">
        <v>36</v>
      </c>
      <c r="D5262" t="s">
        <v>50</v>
      </c>
      <c r="E5262" t="s">
        <v>13</v>
      </c>
      <c r="F5262" t="s">
        <v>19</v>
      </c>
      <c r="G5262" t="s">
        <v>15</v>
      </c>
      <c r="K5262" cm="1">
        <f t="array" ref="K5262">_xlfn.SWITCH(LeadsData[[#This Row],[Funnel Stage Reached]],"Lead",1,"MQL",2,"SQL",3,"Customer",4)</f>
        <v>1</v>
      </c>
      <c r="L5262" t="str">
        <f>TEXT(LeadsData[[#This Row],[Signup Date]],"mmm-yyyy")</f>
        <v>Sep-2024</v>
      </c>
      <c r="M5262">
        <f>IF(LeadsData[[#This Row],[Stage Number]]&gt;=2,1,0)</f>
        <v>0</v>
      </c>
      <c r="N5262" s="2">
        <f>IF(LeadsData[[#This Row],[Stage Number]]&gt;=3,1,0)</f>
        <v>0</v>
      </c>
      <c r="O5262" s="2">
        <f>IF(LeadsData[[#This Row],[Stage Number]]&gt;=4,1,0)</f>
        <v>0</v>
      </c>
    </row>
    <row r="5263" spans="1:15" x14ac:dyDescent="0.25">
      <c r="A5263" t="s">
        <v>5303</v>
      </c>
      <c r="B5263" s="1">
        <v>45548</v>
      </c>
      <c r="C5263" t="s">
        <v>11</v>
      </c>
      <c r="D5263" t="s">
        <v>68</v>
      </c>
      <c r="E5263" t="s">
        <v>13</v>
      </c>
      <c r="F5263" t="s">
        <v>22</v>
      </c>
      <c r="G5263" t="s">
        <v>15</v>
      </c>
      <c r="K5263" cm="1">
        <f t="array" ref="K5263">_xlfn.SWITCH(LeadsData[[#This Row],[Funnel Stage Reached]],"Lead",1,"MQL",2,"SQL",3,"Customer",4)</f>
        <v>1</v>
      </c>
      <c r="L5263" t="str">
        <f>TEXT(LeadsData[[#This Row],[Signup Date]],"mmm-yyyy")</f>
        <v>Sep-2024</v>
      </c>
      <c r="M5263">
        <f>IF(LeadsData[[#This Row],[Stage Number]]&gt;=2,1,0)</f>
        <v>0</v>
      </c>
      <c r="N5263" s="2">
        <f>IF(LeadsData[[#This Row],[Stage Number]]&gt;=3,1,0)</f>
        <v>0</v>
      </c>
      <c r="O5263" s="2">
        <f>IF(LeadsData[[#This Row],[Stage Number]]&gt;=4,1,0)</f>
        <v>0</v>
      </c>
    </row>
    <row r="5264" spans="1:15" x14ac:dyDescent="0.25">
      <c r="A5264" t="s">
        <v>5304</v>
      </c>
      <c r="B5264" s="1">
        <v>45466</v>
      </c>
      <c r="C5264" t="s">
        <v>36</v>
      </c>
      <c r="D5264" t="s">
        <v>50</v>
      </c>
      <c r="E5264" t="s">
        <v>13</v>
      </c>
      <c r="F5264" t="s">
        <v>22</v>
      </c>
      <c r="G5264" t="s">
        <v>15</v>
      </c>
      <c r="K5264" cm="1">
        <f t="array" ref="K5264">_xlfn.SWITCH(LeadsData[[#This Row],[Funnel Stage Reached]],"Lead",1,"MQL",2,"SQL",3,"Customer",4)</f>
        <v>1</v>
      </c>
      <c r="L5264" t="str">
        <f>TEXT(LeadsData[[#This Row],[Signup Date]],"mmm-yyyy")</f>
        <v>Jun-2024</v>
      </c>
      <c r="M5264">
        <f>IF(LeadsData[[#This Row],[Stage Number]]&gt;=2,1,0)</f>
        <v>0</v>
      </c>
      <c r="N5264" s="2">
        <f>IF(LeadsData[[#This Row],[Stage Number]]&gt;=3,1,0)</f>
        <v>0</v>
      </c>
      <c r="O5264" s="2">
        <f>IF(LeadsData[[#This Row],[Stage Number]]&gt;=4,1,0)</f>
        <v>0</v>
      </c>
    </row>
    <row r="5265" spans="1:15" x14ac:dyDescent="0.25">
      <c r="A5265" t="s">
        <v>5305</v>
      </c>
      <c r="B5265" s="1">
        <v>45643</v>
      </c>
      <c r="C5265" t="s">
        <v>25</v>
      </c>
      <c r="D5265" t="s">
        <v>26</v>
      </c>
      <c r="E5265" t="s">
        <v>13</v>
      </c>
      <c r="F5265" t="s">
        <v>19</v>
      </c>
      <c r="G5265" t="s">
        <v>15</v>
      </c>
      <c r="K5265" cm="1">
        <f t="array" ref="K5265">_xlfn.SWITCH(LeadsData[[#This Row],[Funnel Stage Reached]],"Lead",1,"MQL",2,"SQL",3,"Customer",4)</f>
        <v>1</v>
      </c>
      <c r="L5265" t="str">
        <f>TEXT(LeadsData[[#This Row],[Signup Date]],"mmm-yyyy")</f>
        <v>Dec-2024</v>
      </c>
      <c r="M5265">
        <f>IF(LeadsData[[#This Row],[Stage Number]]&gt;=2,1,0)</f>
        <v>0</v>
      </c>
      <c r="N5265" s="2">
        <f>IF(LeadsData[[#This Row],[Stage Number]]&gt;=3,1,0)</f>
        <v>0</v>
      </c>
      <c r="O5265" s="2">
        <f>IF(LeadsData[[#This Row],[Stage Number]]&gt;=4,1,0)</f>
        <v>0</v>
      </c>
    </row>
    <row r="5266" spans="1:15" x14ac:dyDescent="0.25">
      <c r="A5266" t="s">
        <v>5306</v>
      </c>
      <c r="B5266" s="1">
        <v>45582</v>
      </c>
      <c r="C5266" t="s">
        <v>36</v>
      </c>
      <c r="D5266" t="s">
        <v>37</v>
      </c>
      <c r="E5266" t="s">
        <v>13</v>
      </c>
      <c r="F5266" t="s">
        <v>19</v>
      </c>
      <c r="G5266" t="s">
        <v>15</v>
      </c>
      <c r="K5266" cm="1">
        <f t="array" ref="K5266">_xlfn.SWITCH(LeadsData[[#This Row],[Funnel Stage Reached]],"Lead",1,"MQL",2,"SQL",3,"Customer",4)</f>
        <v>1</v>
      </c>
      <c r="L5266" t="str">
        <f>TEXT(LeadsData[[#This Row],[Signup Date]],"mmm-yyyy")</f>
        <v>Oct-2024</v>
      </c>
      <c r="M5266">
        <f>IF(LeadsData[[#This Row],[Stage Number]]&gt;=2,1,0)</f>
        <v>0</v>
      </c>
      <c r="N5266" s="2">
        <f>IF(LeadsData[[#This Row],[Stage Number]]&gt;=3,1,0)</f>
        <v>0</v>
      </c>
      <c r="O5266" s="2">
        <f>IF(LeadsData[[#This Row],[Stage Number]]&gt;=4,1,0)</f>
        <v>0</v>
      </c>
    </row>
    <row r="5267" spans="1:15" x14ac:dyDescent="0.25">
      <c r="A5267" t="s">
        <v>5307</v>
      </c>
      <c r="B5267" s="1">
        <v>45445</v>
      </c>
      <c r="C5267" t="s">
        <v>17</v>
      </c>
      <c r="D5267" t="s">
        <v>18</v>
      </c>
      <c r="E5267" t="s">
        <v>21</v>
      </c>
      <c r="F5267" t="s">
        <v>22</v>
      </c>
      <c r="G5267" t="s">
        <v>15</v>
      </c>
      <c r="K5267" cm="1">
        <f t="array" ref="K5267">_xlfn.SWITCH(LeadsData[[#This Row],[Funnel Stage Reached]],"Lead",1,"MQL",2,"SQL",3,"Customer",4)</f>
        <v>1</v>
      </c>
      <c r="L5267" t="str">
        <f>TEXT(LeadsData[[#This Row],[Signup Date]],"mmm-yyyy")</f>
        <v>Jun-2024</v>
      </c>
      <c r="M5267">
        <f>IF(LeadsData[[#This Row],[Stage Number]]&gt;=2,1,0)</f>
        <v>0</v>
      </c>
      <c r="N5267" s="2">
        <f>IF(LeadsData[[#This Row],[Stage Number]]&gt;=3,1,0)</f>
        <v>0</v>
      </c>
      <c r="O5267" s="2">
        <f>IF(LeadsData[[#This Row],[Stage Number]]&gt;=4,1,0)</f>
        <v>0</v>
      </c>
    </row>
    <row r="5268" spans="1:15" x14ac:dyDescent="0.25">
      <c r="A5268" t="s">
        <v>5308</v>
      </c>
      <c r="B5268" s="1">
        <v>45478</v>
      </c>
      <c r="C5268" t="s">
        <v>11</v>
      </c>
      <c r="D5268" t="s">
        <v>68</v>
      </c>
      <c r="E5268" t="s">
        <v>21</v>
      </c>
      <c r="F5268" t="s">
        <v>19</v>
      </c>
      <c r="G5268" t="s">
        <v>15</v>
      </c>
      <c r="K5268" cm="1">
        <f t="array" ref="K5268">_xlfn.SWITCH(LeadsData[[#This Row],[Funnel Stage Reached]],"Lead",1,"MQL",2,"SQL",3,"Customer",4)</f>
        <v>1</v>
      </c>
      <c r="L5268" t="str">
        <f>TEXT(LeadsData[[#This Row],[Signup Date]],"mmm-yyyy")</f>
        <v>Jul-2024</v>
      </c>
      <c r="M5268">
        <f>IF(LeadsData[[#This Row],[Stage Number]]&gt;=2,1,0)</f>
        <v>0</v>
      </c>
      <c r="N5268" s="2">
        <f>IF(LeadsData[[#This Row],[Stage Number]]&gt;=3,1,0)</f>
        <v>0</v>
      </c>
      <c r="O5268" s="2">
        <f>IF(LeadsData[[#This Row],[Stage Number]]&gt;=4,1,0)</f>
        <v>0</v>
      </c>
    </row>
    <row r="5269" spans="1:15" x14ac:dyDescent="0.25">
      <c r="A5269" t="s">
        <v>5309</v>
      </c>
      <c r="B5269" s="1">
        <v>45363</v>
      </c>
      <c r="C5269" t="s">
        <v>11</v>
      </c>
      <c r="D5269" t="s">
        <v>68</v>
      </c>
      <c r="E5269" t="s">
        <v>13</v>
      </c>
      <c r="F5269" t="s">
        <v>14</v>
      </c>
      <c r="G5269" t="s">
        <v>15</v>
      </c>
      <c r="K5269" cm="1">
        <f t="array" ref="K5269">_xlfn.SWITCH(LeadsData[[#This Row],[Funnel Stage Reached]],"Lead",1,"MQL",2,"SQL",3,"Customer",4)</f>
        <v>1</v>
      </c>
      <c r="L5269" t="str">
        <f>TEXT(LeadsData[[#This Row],[Signup Date]],"mmm-yyyy")</f>
        <v>Mar-2024</v>
      </c>
      <c r="M5269">
        <f>IF(LeadsData[[#This Row],[Stage Number]]&gt;=2,1,0)</f>
        <v>0</v>
      </c>
      <c r="N5269" s="2">
        <f>IF(LeadsData[[#This Row],[Stage Number]]&gt;=3,1,0)</f>
        <v>0</v>
      </c>
      <c r="O5269" s="2">
        <f>IF(LeadsData[[#This Row],[Stage Number]]&gt;=4,1,0)</f>
        <v>0</v>
      </c>
    </row>
    <row r="5270" spans="1:15" x14ac:dyDescent="0.25">
      <c r="A5270" t="s">
        <v>5310</v>
      </c>
      <c r="B5270" s="1">
        <v>45327</v>
      </c>
      <c r="C5270" t="s">
        <v>17</v>
      </c>
      <c r="D5270" t="s">
        <v>18</v>
      </c>
      <c r="E5270" t="s">
        <v>21</v>
      </c>
      <c r="F5270" t="s">
        <v>22</v>
      </c>
      <c r="G5270" t="s">
        <v>23</v>
      </c>
      <c r="K5270" cm="1">
        <f t="array" ref="K5270">_xlfn.SWITCH(LeadsData[[#This Row],[Funnel Stage Reached]],"Lead",1,"MQL",2,"SQL",3,"Customer",4)</f>
        <v>2</v>
      </c>
      <c r="L5270" t="str">
        <f>TEXT(LeadsData[[#This Row],[Signup Date]],"mmm-yyyy")</f>
        <v>Feb-2024</v>
      </c>
      <c r="M5270">
        <f>IF(LeadsData[[#This Row],[Stage Number]]&gt;=2,1,0)</f>
        <v>1</v>
      </c>
      <c r="N5270" s="2">
        <f>IF(LeadsData[[#This Row],[Stage Number]]&gt;=3,1,0)</f>
        <v>0</v>
      </c>
      <c r="O5270" s="2">
        <f>IF(LeadsData[[#This Row],[Stage Number]]&gt;=4,1,0)</f>
        <v>0</v>
      </c>
    </row>
    <row r="5271" spans="1:15" x14ac:dyDescent="0.25">
      <c r="A5271" t="s">
        <v>5311</v>
      </c>
      <c r="B5271" s="1">
        <v>45644</v>
      </c>
      <c r="C5271" t="s">
        <v>36</v>
      </c>
      <c r="D5271" t="s">
        <v>50</v>
      </c>
      <c r="E5271" t="s">
        <v>21</v>
      </c>
      <c r="F5271" t="s">
        <v>14</v>
      </c>
      <c r="G5271" t="s">
        <v>23</v>
      </c>
      <c r="K5271" cm="1">
        <f t="array" ref="K5271">_xlfn.SWITCH(LeadsData[[#This Row],[Funnel Stage Reached]],"Lead",1,"MQL",2,"SQL",3,"Customer",4)</f>
        <v>2</v>
      </c>
      <c r="L5271" t="str">
        <f>TEXT(LeadsData[[#This Row],[Signup Date]],"mmm-yyyy")</f>
        <v>Dec-2024</v>
      </c>
      <c r="M5271">
        <f>IF(LeadsData[[#This Row],[Stage Number]]&gt;=2,1,0)</f>
        <v>1</v>
      </c>
      <c r="N5271" s="2">
        <f>IF(LeadsData[[#This Row],[Stage Number]]&gt;=3,1,0)</f>
        <v>0</v>
      </c>
      <c r="O5271" s="2">
        <f>IF(LeadsData[[#This Row],[Stage Number]]&gt;=4,1,0)</f>
        <v>0</v>
      </c>
    </row>
    <row r="5272" spans="1:15" x14ac:dyDescent="0.25">
      <c r="A5272" t="s">
        <v>5312</v>
      </c>
      <c r="B5272" s="1">
        <v>45367</v>
      </c>
      <c r="C5272" t="s">
        <v>25</v>
      </c>
      <c r="D5272" t="s">
        <v>26</v>
      </c>
      <c r="E5272" t="s">
        <v>21</v>
      </c>
      <c r="F5272" t="s">
        <v>19</v>
      </c>
      <c r="G5272" t="s">
        <v>23</v>
      </c>
      <c r="K5272" cm="1">
        <f t="array" ref="K5272">_xlfn.SWITCH(LeadsData[[#This Row],[Funnel Stage Reached]],"Lead",1,"MQL",2,"SQL",3,"Customer",4)</f>
        <v>2</v>
      </c>
      <c r="L5272" t="str">
        <f>TEXT(LeadsData[[#This Row],[Signup Date]],"mmm-yyyy")</f>
        <v>Mar-2024</v>
      </c>
      <c r="M5272">
        <f>IF(LeadsData[[#This Row],[Stage Number]]&gt;=2,1,0)</f>
        <v>1</v>
      </c>
      <c r="N5272" s="2">
        <f>IF(LeadsData[[#This Row],[Stage Number]]&gt;=3,1,0)</f>
        <v>0</v>
      </c>
      <c r="O5272" s="2">
        <f>IF(LeadsData[[#This Row],[Stage Number]]&gt;=4,1,0)</f>
        <v>0</v>
      </c>
    </row>
    <row r="5273" spans="1:15" x14ac:dyDescent="0.25">
      <c r="A5273" t="s">
        <v>5313</v>
      </c>
      <c r="B5273" s="1">
        <v>45543</v>
      </c>
      <c r="C5273" t="s">
        <v>36</v>
      </c>
      <c r="D5273" t="s">
        <v>50</v>
      </c>
      <c r="E5273" t="s">
        <v>21</v>
      </c>
      <c r="F5273" t="s">
        <v>19</v>
      </c>
      <c r="G5273" t="s">
        <v>29</v>
      </c>
      <c r="K5273" cm="1">
        <f t="array" ref="K5273">_xlfn.SWITCH(LeadsData[[#This Row],[Funnel Stage Reached]],"Lead",1,"MQL",2,"SQL",3,"Customer",4)</f>
        <v>3</v>
      </c>
      <c r="L5273" t="str">
        <f>TEXT(LeadsData[[#This Row],[Signup Date]],"mmm-yyyy")</f>
        <v>Sep-2024</v>
      </c>
      <c r="M5273">
        <f>IF(LeadsData[[#This Row],[Stage Number]]&gt;=2,1,0)</f>
        <v>1</v>
      </c>
      <c r="N5273" s="2">
        <f>IF(LeadsData[[#This Row],[Stage Number]]&gt;=3,1,0)</f>
        <v>1</v>
      </c>
      <c r="O5273" s="2">
        <f>IF(LeadsData[[#This Row],[Stage Number]]&gt;=4,1,0)</f>
        <v>0</v>
      </c>
    </row>
    <row r="5274" spans="1:15" x14ac:dyDescent="0.25">
      <c r="A5274" t="s">
        <v>5314</v>
      </c>
      <c r="B5274" s="1">
        <v>45489</v>
      </c>
      <c r="C5274" t="s">
        <v>46</v>
      </c>
      <c r="D5274" t="s">
        <v>47</v>
      </c>
      <c r="E5274" t="s">
        <v>13</v>
      </c>
      <c r="F5274" t="s">
        <v>14</v>
      </c>
      <c r="G5274" t="s">
        <v>15</v>
      </c>
      <c r="K5274" cm="1">
        <f t="array" ref="K5274">_xlfn.SWITCH(LeadsData[[#This Row],[Funnel Stage Reached]],"Lead",1,"MQL",2,"SQL",3,"Customer",4)</f>
        <v>1</v>
      </c>
      <c r="L5274" t="str">
        <f>TEXT(LeadsData[[#This Row],[Signup Date]],"mmm-yyyy")</f>
        <v>Jul-2024</v>
      </c>
      <c r="M5274">
        <f>IF(LeadsData[[#This Row],[Stage Number]]&gt;=2,1,0)</f>
        <v>0</v>
      </c>
      <c r="N5274" s="2">
        <f>IF(LeadsData[[#This Row],[Stage Number]]&gt;=3,1,0)</f>
        <v>0</v>
      </c>
      <c r="O5274" s="2">
        <f>IF(LeadsData[[#This Row],[Stage Number]]&gt;=4,1,0)</f>
        <v>0</v>
      </c>
    </row>
    <row r="5275" spans="1:15" x14ac:dyDescent="0.25">
      <c r="A5275" t="s">
        <v>5315</v>
      </c>
      <c r="B5275" s="1">
        <v>45347</v>
      </c>
      <c r="C5275" t="s">
        <v>25</v>
      </c>
      <c r="D5275" t="s">
        <v>26</v>
      </c>
      <c r="E5275" t="s">
        <v>21</v>
      </c>
      <c r="F5275" t="s">
        <v>19</v>
      </c>
      <c r="G5275" t="s">
        <v>29</v>
      </c>
      <c r="K5275" cm="1">
        <f t="array" ref="K5275">_xlfn.SWITCH(LeadsData[[#This Row],[Funnel Stage Reached]],"Lead",1,"MQL",2,"SQL",3,"Customer",4)</f>
        <v>3</v>
      </c>
      <c r="L5275" t="str">
        <f>TEXT(LeadsData[[#This Row],[Signup Date]],"mmm-yyyy")</f>
        <v>Feb-2024</v>
      </c>
      <c r="M5275">
        <f>IF(LeadsData[[#This Row],[Stage Number]]&gt;=2,1,0)</f>
        <v>1</v>
      </c>
      <c r="N5275" s="2">
        <f>IF(LeadsData[[#This Row],[Stage Number]]&gt;=3,1,0)</f>
        <v>1</v>
      </c>
      <c r="O5275" s="2">
        <f>IF(LeadsData[[#This Row],[Stage Number]]&gt;=4,1,0)</f>
        <v>0</v>
      </c>
    </row>
    <row r="5276" spans="1:15" x14ac:dyDescent="0.25">
      <c r="A5276" t="s">
        <v>5316</v>
      </c>
      <c r="B5276" s="1">
        <v>45428</v>
      </c>
      <c r="C5276" t="s">
        <v>31</v>
      </c>
      <c r="D5276" t="s">
        <v>34</v>
      </c>
      <c r="E5276" t="s">
        <v>13</v>
      </c>
      <c r="F5276" t="s">
        <v>19</v>
      </c>
      <c r="G5276" t="s">
        <v>15</v>
      </c>
      <c r="K5276" cm="1">
        <f t="array" ref="K5276">_xlfn.SWITCH(LeadsData[[#This Row],[Funnel Stage Reached]],"Lead",1,"MQL",2,"SQL",3,"Customer",4)</f>
        <v>1</v>
      </c>
      <c r="L5276" t="str">
        <f>TEXT(LeadsData[[#This Row],[Signup Date]],"mmm-yyyy")</f>
        <v>May-2024</v>
      </c>
      <c r="M5276">
        <f>IF(LeadsData[[#This Row],[Stage Number]]&gt;=2,1,0)</f>
        <v>0</v>
      </c>
      <c r="N5276" s="2">
        <f>IF(LeadsData[[#This Row],[Stage Number]]&gt;=3,1,0)</f>
        <v>0</v>
      </c>
      <c r="O5276" s="2">
        <f>IF(LeadsData[[#This Row],[Stage Number]]&gt;=4,1,0)</f>
        <v>0</v>
      </c>
    </row>
    <row r="5277" spans="1:15" x14ac:dyDescent="0.25">
      <c r="A5277" t="s">
        <v>5317</v>
      </c>
      <c r="B5277" s="1">
        <v>45585</v>
      </c>
      <c r="C5277" t="s">
        <v>31</v>
      </c>
      <c r="D5277" t="s">
        <v>34</v>
      </c>
      <c r="E5277" t="s">
        <v>13</v>
      </c>
      <c r="F5277" t="s">
        <v>14</v>
      </c>
      <c r="G5277" t="s">
        <v>29</v>
      </c>
      <c r="K5277" cm="1">
        <f t="array" ref="K5277">_xlfn.SWITCH(LeadsData[[#This Row],[Funnel Stage Reached]],"Lead",1,"MQL",2,"SQL",3,"Customer",4)</f>
        <v>3</v>
      </c>
      <c r="L5277" t="str">
        <f>TEXT(LeadsData[[#This Row],[Signup Date]],"mmm-yyyy")</f>
        <v>Oct-2024</v>
      </c>
      <c r="M5277">
        <f>IF(LeadsData[[#This Row],[Stage Number]]&gt;=2,1,0)</f>
        <v>1</v>
      </c>
      <c r="N5277" s="2">
        <f>IF(LeadsData[[#This Row],[Stage Number]]&gt;=3,1,0)</f>
        <v>1</v>
      </c>
      <c r="O5277" s="2">
        <f>IF(LeadsData[[#This Row],[Stage Number]]&gt;=4,1,0)</f>
        <v>0</v>
      </c>
    </row>
    <row r="5278" spans="1:15" x14ac:dyDescent="0.25">
      <c r="A5278" t="s">
        <v>5318</v>
      </c>
      <c r="B5278" s="1">
        <v>45649</v>
      </c>
      <c r="C5278" t="s">
        <v>46</v>
      </c>
      <c r="D5278" t="s">
        <v>56</v>
      </c>
      <c r="E5278" t="s">
        <v>21</v>
      </c>
      <c r="F5278" t="s">
        <v>19</v>
      </c>
      <c r="G5278" t="s">
        <v>15</v>
      </c>
      <c r="K5278" cm="1">
        <f t="array" ref="K5278">_xlfn.SWITCH(LeadsData[[#This Row],[Funnel Stage Reached]],"Lead",1,"MQL",2,"SQL",3,"Customer",4)</f>
        <v>1</v>
      </c>
      <c r="L5278" t="str">
        <f>TEXT(LeadsData[[#This Row],[Signup Date]],"mmm-yyyy")</f>
        <v>Dec-2024</v>
      </c>
      <c r="M5278">
        <f>IF(LeadsData[[#This Row],[Stage Number]]&gt;=2,1,0)</f>
        <v>0</v>
      </c>
      <c r="N5278" s="2">
        <f>IF(LeadsData[[#This Row],[Stage Number]]&gt;=3,1,0)</f>
        <v>0</v>
      </c>
      <c r="O5278" s="2">
        <f>IF(LeadsData[[#This Row],[Stage Number]]&gt;=4,1,0)</f>
        <v>0</v>
      </c>
    </row>
    <row r="5279" spans="1:15" x14ac:dyDescent="0.25">
      <c r="A5279" t="s">
        <v>5319</v>
      </c>
      <c r="B5279" s="1">
        <v>45621</v>
      </c>
      <c r="C5279" t="s">
        <v>17</v>
      </c>
      <c r="D5279" t="s">
        <v>18</v>
      </c>
      <c r="E5279" t="s">
        <v>13</v>
      </c>
      <c r="F5279" t="s">
        <v>22</v>
      </c>
      <c r="G5279" t="s">
        <v>23</v>
      </c>
      <c r="K5279" cm="1">
        <f t="array" ref="K5279">_xlfn.SWITCH(LeadsData[[#This Row],[Funnel Stage Reached]],"Lead",1,"MQL",2,"SQL",3,"Customer",4)</f>
        <v>2</v>
      </c>
      <c r="L5279" t="str">
        <f>TEXT(LeadsData[[#This Row],[Signup Date]],"mmm-yyyy")</f>
        <v>Nov-2024</v>
      </c>
      <c r="M5279">
        <f>IF(LeadsData[[#This Row],[Stage Number]]&gt;=2,1,0)</f>
        <v>1</v>
      </c>
      <c r="N5279" s="2">
        <f>IF(LeadsData[[#This Row],[Stage Number]]&gt;=3,1,0)</f>
        <v>0</v>
      </c>
      <c r="O5279" s="2">
        <f>IF(LeadsData[[#This Row],[Stage Number]]&gt;=4,1,0)</f>
        <v>0</v>
      </c>
    </row>
    <row r="5280" spans="1:15" x14ac:dyDescent="0.25">
      <c r="A5280" t="s">
        <v>5320</v>
      </c>
      <c r="B5280" s="1">
        <v>45574</v>
      </c>
      <c r="C5280" t="s">
        <v>17</v>
      </c>
      <c r="D5280" t="s">
        <v>18</v>
      </c>
      <c r="E5280" t="s">
        <v>13</v>
      </c>
      <c r="F5280" t="s">
        <v>22</v>
      </c>
      <c r="G5280" t="s">
        <v>15</v>
      </c>
      <c r="K5280" cm="1">
        <f t="array" ref="K5280">_xlfn.SWITCH(LeadsData[[#This Row],[Funnel Stage Reached]],"Lead",1,"MQL",2,"SQL",3,"Customer",4)</f>
        <v>1</v>
      </c>
      <c r="L5280" t="str">
        <f>TEXT(LeadsData[[#This Row],[Signup Date]],"mmm-yyyy")</f>
        <v>Oct-2024</v>
      </c>
      <c r="M5280">
        <f>IF(LeadsData[[#This Row],[Stage Number]]&gt;=2,1,0)</f>
        <v>0</v>
      </c>
      <c r="N5280" s="2">
        <f>IF(LeadsData[[#This Row],[Stage Number]]&gt;=3,1,0)</f>
        <v>0</v>
      </c>
      <c r="O5280" s="2">
        <f>IF(LeadsData[[#This Row],[Stage Number]]&gt;=4,1,0)</f>
        <v>0</v>
      </c>
    </row>
    <row r="5281" spans="1:15" x14ac:dyDescent="0.25">
      <c r="A5281" t="s">
        <v>5321</v>
      </c>
      <c r="B5281" s="1">
        <v>45329</v>
      </c>
      <c r="C5281" t="s">
        <v>36</v>
      </c>
      <c r="D5281" t="s">
        <v>50</v>
      </c>
      <c r="E5281" t="s">
        <v>13</v>
      </c>
      <c r="F5281" t="s">
        <v>19</v>
      </c>
      <c r="G5281" t="s">
        <v>23</v>
      </c>
      <c r="K5281" cm="1">
        <f t="array" ref="K5281">_xlfn.SWITCH(LeadsData[[#This Row],[Funnel Stage Reached]],"Lead",1,"MQL",2,"SQL",3,"Customer",4)</f>
        <v>2</v>
      </c>
      <c r="L5281" t="str">
        <f>TEXT(LeadsData[[#This Row],[Signup Date]],"mmm-yyyy")</f>
        <v>Feb-2024</v>
      </c>
      <c r="M5281">
        <f>IF(LeadsData[[#This Row],[Stage Number]]&gt;=2,1,0)</f>
        <v>1</v>
      </c>
      <c r="N5281" s="2">
        <f>IF(LeadsData[[#This Row],[Stage Number]]&gt;=3,1,0)</f>
        <v>0</v>
      </c>
      <c r="O5281" s="2">
        <f>IF(LeadsData[[#This Row],[Stage Number]]&gt;=4,1,0)</f>
        <v>0</v>
      </c>
    </row>
    <row r="5282" spans="1:15" x14ac:dyDescent="0.25">
      <c r="A5282" t="s">
        <v>5322</v>
      </c>
      <c r="B5282" s="1">
        <v>45394</v>
      </c>
      <c r="C5282" t="s">
        <v>46</v>
      </c>
      <c r="D5282" t="s">
        <v>47</v>
      </c>
      <c r="E5282" t="s">
        <v>21</v>
      </c>
      <c r="F5282" t="s">
        <v>22</v>
      </c>
      <c r="G5282" t="s">
        <v>42</v>
      </c>
      <c r="H5282">
        <v>34</v>
      </c>
      <c r="I5282" t="s">
        <v>183</v>
      </c>
      <c r="J5282">
        <v>14032.17</v>
      </c>
      <c r="K5282" cm="1">
        <f t="array" ref="K5282">_xlfn.SWITCH(LeadsData[[#This Row],[Funnel Stage Reached]],"Lead",1,"MQL",2,"SQL",3,"Customer",4)</f>
        <v>4</v>
      </c>
      <c r="L5282" t="str">
        <f>TEXT(LeadsData[[#This Row],[Signup Date]],"mmm-yyyy")</f>
        <v>Apr-2024</v>
      </c>
      <c r="M5282">
        <f>IF(LeadsData[[#This Row],[Stage Number]]&gt;=2,1,0)</f>
        <v>1</v>
      </c>
      <c r="N5282" s="2">
        <f>IF(LeadsData[[#This Row],[Stage Number]]&gt;=3,1,0)</f>
        <v>1</v>
      </c>
      <c r="O5282" s="2">
        <f>IF(LeadsData[[#This Row],[Stage Number]]&gt;=4,1,0)</f>
        <v>1</v>
      </c>
    </row>
    <row r="5283" spans="1:15" x14ac:dyDescent="0.25">
      <c r="A5283" t="s">
        <v>5323</v>
      </c>
      <c r="B5283" s="1">
        <v>45466</v>
      </c>
      <c r="C5283" t="s">
        <v>36</v>
      </c>
      <c r="D5283" t="s">
        <v>37</v>
      </c>
      <c r="E5283" t="s">
        <v>13</v>
      </c>
      <c r="F5283" t="s">
        <v>19</v>
      </c>
      <c r="G5283" t="s">
        <v>42</v>
      </c>
      <c r="H5283">
        <v>49</v>
      </c>
      <c r="I5283" t="s">
        <v>87</v>
      </c>
      <c r="J5283">
        <v>1587.27</v>
      </c>
      <c r="K5283" cm="1">
        <f t="array" ref="K5283">_xlfn.SWITCH(LeadsData[[#This Row],[Funnel Stage Reached]],"Lead",1,"MQL",2,"SQL",3,"Customer",4)</f>
        <v>4</v>
      </c>
      <c r="L5283" t="str">
        <f>TEXT(LeadsData[[#This Row],[Signup Date]],"mmm-yyyy")</f>
        <v>Jun-2024</v>
      </c>
      <c r="M5283">
        <f>IF(LeadsData[[#This Row],[Stage Number]]&gt;=2,1,0)</f>
        <v>1</v>
      </c>
      <c r="N5283" s="2">
        <f>IF(LeadsData[[#This Row],[Stage Number]]&gt;=3,1,0)</f>
        <v>1</v>
      </c>
      <c r="O5283" s="2">
        <f>IF(LeadsData[[#This Row],[Stage Number]]&gt;=4,1,0)</f>
        <v>1</v>
      </c>
    </row>
    <row r="5284" spans="1:15" x14ac:dyDescent="0.25">
      <c r="A5284" t="s">
        <v>5324</v>
      </c>
      <c r="B5284" s="1">
        <v>45557</v>
      </c>
      <c r="C5284" t="s">
        <v>11</v>
      </c>
      <c r="D5284" t="s">
        <v>79</v>
      </c>
      <c r="E5284" t="s">
        <v>21</v>
      </c>
      <c r="F5284" t="s">
        <v>14</v>
      </c>
      <c r="G5284" t="s">
        <v>23</v>
      </c>
      <c r="K5284" cm="1">
        <f t="array" ref="K5284">_xlfn.SWITCH(LeadsData[[#This Row],[Funnel Stage Reached]],"Lead",1,"MQL",2,"SQL",3,"Customer",4)</f>
        <v>2</v>
      </c>
      <c r="L5284" t="str">
        <f>TEXT(LeadsData[[#This Row],[Signup Date]],"mmm-yyyy")</f>
        <v>Sep-2024</v>
      </c>
      <c r="M5284">
        <f>IF(LeadsData[[#This Row],[Stage Number]]&gt;=2,1,0)</f>
        <v>1</v>
      </c>
      <c r="N5284" s="2">
        <f>IF(LeadsData[[#This Row],[Stage Number]]&gt;=3,1,0)</f>
        <v>0</v>
      </c>
      <c r="O5284" s="2">
        <f>IF(LeadsData[[#This Row],[Stage Number]]&gt;=4,1,0)</f>
        <v>0</v>
      </c>
    </row>
    <row r="5285" spans="1:15" x14ac:dyDescent="0.25">
      <c r="A5285" t="s">
        <v>5325</v>
      </c>
      <c r="B5285" s="1">
        <v>45326</v>
      </c>
      <c r="C5285" t="s">
        <v>17</v>
      </c>
      <c r="D5285" t="s">
        <v>18</v>
      </c>
      <c r="E5285" t="s">
        <v>21</v>
      </c>
      <c r="F5285" t="s">
        <v>19</v>
      </c>
      <c r="G5285" t="s">
        <v>15</v>
      </c>
      <c r="K5285" cm="1">
        <f t="array" ref="K5285">_xlfn.SWITCH(LeadsData[[#This Row],[Funnel Stage Reached]],"Lead",1,"MQL",2,"SQL",3,"Customer",4)</f>
        <v>1</v>
      </c>
      <c r="L5285" t="str">
        <f>TEXT(LeadsData[[#This Row],[Signup Date]],"mmm-yyyy")</f>
        <v>Feb-2024</v>
      </c>
      <c r="M5285">
        <f>IF(LeadsData[[#This Row],[Stage Number]]&gt;=2,1,0)</f>
        <v>0</v>
      </c>
      <c r="N5285" s="2">
        <f>IF(LeadsData[[#This Row],[Stage Number]]&gt;=3,1,0)</f>
        <v>0</v>
      </c>
      <c r="O5285" s="2">
        <f>IF(LeadsData[[#This Row],[Stage Number]]&gt;=4,1,0)</f>
        <v>0</v>
      </c>
    </row>
    <row r="5286" spans="1:15" x14ac:dyDescent="0.25">
      <c r="A5286" t="s">
        <v>5326</v>
      </c>
      <c r="B5286" s="1">
        <v>45556</v>
      </c>
      <c r="C5286" t="s">
        <v>31</v>
      </c>
      <c r="D5286" t="s">
        <v>34</v>
      </c>
      <c r="E5286" t="s">
        <v>21</v>
      </c>
      <c r="F5286" t="s">
        <v>19</v>
      </c>
      <c r="G5286" t="s">
        <v>29</v>
      </c>
      <c r="K5286" cm="1">
        <f t="array" ref="K5286">_xlfn.SWITCH(LeadsData[[#This Row],[Funnel Stage Reached]],"Lead",1,"MQL",2,"SQL",3,"Customer",4)</f>
        <v>3</v>
      </c>
      <c r="L5286" t="str">
        <f>TEXT(LeadsData[[#This Row],[Signup Date]],"mmm-yyyy")</f>
        <v>Sep-2024</v>
      </c>
      <c r="M5286">
        <f>IF(LeadsData[[#This Row],[Stage Number]]&gt;=2,1,0)</f>
        <v>1</v>
      </c>
      <c r="N5286" s="2">
        <f>IF(LeadsData[[#This Row],[Stage Number]]&gt;=3,1,0)</f>
        <v>1</v>
      </c>
      <c r="O5286" s="2">
        <f>IF(LeadsData[[#This Row],[Stage Number]]&gt;=4,1,0)</f>
        <v>0</v>
      </c>
    </row>
    <row r="5287" spans="1:15" x14ac:dyDescent="0.25">
      <c r="A5287" t="s">
        <v>5327</v>
      </c>
      <c r="B5287" s="1">
        <v>45507</v>
      </c>
      <c r="C5287" t="s">
        <v>31</v>
      </c>
      <c r="D5287" t="s">
        <v>34</v>
      </c>
      <c r="E5287" t="s">
        <v>21</v>
      </c>
      <c r="F5287" t="s">
        <v>28</v>
      </c>
      <c r="G5287" t="s">
        <v>15</v>
      </c>
      <c r="K5287" cm="1">
        <f t="array" ref="K5287">_xlfn.SWITCH(LeadsData[[#This Row],[Funnel Stage Reached]],"Lead",1,"MQL",2,"SQL",3,"Customer",4)</f>
        <v>1</v>
      </c>
      <c r="L5287" t="str">
        <f>TEXT(LeadsData[[#This Row],[Signup Date]],"mmm-yyyy")</f>
        <v>Aug-2024</v>
      </c>
      <c r="M5287">
        <f>IF(LeadsData[[#This Row],[Stage Number]]&gt;=2,1,0)</f>
        <v>0</v>
      </c>
      <c r="N5287" s="2">
        <f>IF(LeadsData[[#This Row],[Stage Number]]&gt;=3,1,0)</f>
        <v>0</v>
      </c>
      <c r="O5287" s="2">
        <f>IF(LeadsData[[#This Row],[Stage Number]]&gt;=4,1,0)</f>
        <v>0</v>
      </c>
    </row>
    <row r="5288" spans="1:15" x14ac:dyDescent="0.25">
      <c r="A5288" t="s">
        <v>5328</v>
      </c>
      <c r="B5288" s="1">
        <v>45308</v>
      </c>
      <c r="C5288" t="s">
        <v>36</v>
      </c>
      <c r="D5288" t="s">
        <v>37</v>
      </c>
      <c r="E5288" t="s">
        <v>21</v>
      </c>
      <c r="F5288" t="s">
        <v>14</v>
      </c>
      <c r="G5288" t="s">
        <v>42</v>
      </c>
      <c r="H5288">
        <v>31</v>
      </c>
      <c r="I5288" t="s">
        <v>87</v>
      </c>
      <c r="J5288">
        <v>2383.46</v>
      </c>
      <c r="K5288" cm="1">
        <f t="array" ref="K5288">_xlfn.SWITCH(LeadsData[[#This Row],[Funnel Stage Reached]],"Lead",1,"MQL",2,"SQL",3,"Customer",4)</f>
        <v>4</v>
      </c>
      <c r="L5288" t="str">
        <f>TEXT(LeadsData[[#This Row],[Signup Date]],"mmm-yyyy")</f>
        <v>Jan-2024</v>
      </c>
      <c r="M5288">
        <f>IF(LeadsData[[#This Row],[Stage Number]]&gt;=2,1,0)</f>
        <v>1</v>
      </c>
      <c r="N5288" s="2">
        <f>IF(LeadsData[[#This Row],[Stage Number]]&gt;=3,1,0)</f>
        <v>1</v>
      </c>
      <c r="O5288" s="2">
        <f>IF(LeadsData[[#This Row],[Stage Number]]&gt;=4,1,0)</f>
        <v>1</v>
      </c>
    </row>
    <row r="5289" spans="1:15" x14ac:dyDescent="0.25">
      <c r="A5289" t="s">
        <v>5329</v>
      </c>
      <c r="B5289" s="1">
        <v>45549</v>
      </c>
      <c r="C5289" t="s">
        <v>31</v>
      </c>
      <c r="D5289" t="s">
        <v>34</v>
      </c>
      <c r="E5289" t="s">
        <v>21</v>
      </c>
      <c r="F5289" t="s">
        <v>19</v>
      </c>
      <c r="G5289" t="s">
        <v>29</v>
      </c>
      <c r="K5289" cm="1">
        <f t="array" ref="K5289">_xlfn.SWITCH(LeadsData[[#This Row],[Funnel Stage Reached]],"Lead",1,"MQL",2,"SQL",3,"Customer",4)</f>
        <v>3</v>
      </c>
      <c r="L5289" t="str">
        <f>TEXT(LeadsData[[#This Row],[Signup Date]],"mmm-yyyy")</f>
        <v>Sep-2024</v>
      </c>
      <c r="M5289">
        <f>IF(LeadsData[[#This Row],[Stage Number]]&gt;=2,1,0)</f>
        <v>1</v>
      </c>
      <c r="N5289" s="2">
        <f>IF(LeadsData[[#This Row],[Stage Number]]&gt;=3,1,0)</f>
        <v>1</v>
      </c>
      <c r="O5289" s="2">
        <f>IF(LeadsData[[#This Row],[Stage Number]]&gt;=4,1,0)</f>
        <v>0</v>
      </c>
    </row>
    <row r="5290" spans="1:15" x14ac:dyDescent="0.25">
      <c r="A5290" t="s">
        <v>5330</v>
      </c>
      <c r="B5290" s="1">
        <v>45650</v>
      </c>
      <c r="C5290" t="s">
        <v>36</v>
      </c>
      <c r="D5290" t="s">
        <v>37</v>
      </c>
      <c r="E5290" t="s">
        <v>13</v>
      </c>
      <c r="F5290" t="s">
        <v>28</v>
      </c>
      <c r="G5290" t="s">
        <v>23</v>
      </c>
      <c r="K5290" cm="1">
        <f t="array" ref="K5290">_xlfn.SWITCH(LeadsData[[#This Row],[Funnel Stage Reached]],"Lead",1,"MQL",2,"SQL",3,"Customer",4)</f>
        <v>2</v>
      </c>
      <c r="L5290" t="str">
        <f>TEXT(LeadsData[[#This Row],[Signup Date]],"mmm-yyyy")</f>
        <v>Dec-2024</v>
      </c>
      <c r="M5290">
        <f>IF(LeadsData[[#This Row],[Stage Number]]&gt;=2,1,0)</f>
        <v>1</v>
      </c>
      <c r="N5290" s="2">
        <f>IF(LeadsData[[#This Row],[Stage Number]]&gt;=3,1,0)</f>
        <v>0</v>
      </c>
      <c r="O5290" s="2">
        <f>IF(LeadsData[[#This Row],[Stage Number]]&gt;=4,1,0)</f>
        <v>0</v>
      </c>
    </row>
    <row r="5291" spans="1:15" x14ac:dyDescent="0.25">
      <c r="A5291" t="s">
        <v>5331</v>
      </c>
      <c r="B5291" s="1">
        <v>45518</v>
      </c>
      <c r="C5291" t="s">
        <v>25</v>
      </c>
      <c r="D5291" t="s">
        <v>26</v>
      </c>
      <c r="E5291" t="s">
        <v>21</v>
      </c>
      <c r="F5291" t="s">
        <v>14</v>
      </c>
      <c r="G5291" t="s">
        <v>15</v>
      </c>
      <c r="K5291" cm="1">
        <f t="array" ref="K5291">_xlfn.SWITCH(LeadsData[[#This Row],[Funnel Stage Reached]],"Lead",1,"MQL",2,"SQL",3,"Customer",4)</f>
        <v>1</v>
      </c>
      <c r="L5291" t="str">
        <f>TEXT(LeadsData[[#This Row],[Signup Date]],"mmm-yyyy")</f>
        <v>Aug-2024</v>
      </c>
      <c r="M5291">
        <f>IF(LeadsData[[#This Row],[Stage Number]]&gt;=2,1,0)</f>
        <v>0</v>
      </c>
      <c r="N5291" s="2">
        <f>IF(LeadsData[[#This Row],[Stage Number]]&gt;=3,1,0)</f>
        <v>0</v>
      </c>
      <c r="O5291" s="2">
        <f>IF(LeadsData[[#This Row],[Stage Number]]&gt;=4,1,0)</f>
        <v>0</v>
      </c>
    </row>
    <row r="5292" spans="1:15" x14ac:dyDescent="0.25">
      <c r="A5292" t="s">
        <v>5332</v>
      </c>
      <c r="B5292" s="1">
        <v>45314</v>
      </c>
      <c r="C5292" t="s">
        <v>36</v>
      </c>
      <c r="D5292" t="s">
        <v>50</v>
      </c>
      <c r="E5292" t="s">
        <v>13</v>
      </c>
      <c r="F5292" t="s">
        <v>28</v>
      </c>
      <c r="G5292" t="s">
        <v>29</v>
      </c>
      <c r="K5292" cm="1">
        <f t="array" ref="K5292">_xlfn.SWITCH(LeadsData[[#This Row],[Funnel Stage Reached]],"Lead",1,"MQL",2,"SQL",3,"Customer",4)</f>
        <v>3</v>
      </c>
      <c r="L5292" t="str">
        <f>TEXT(LeadsData[[#This Row],[Signup Date]],"mmm-yyyy")</f>
        <v>Jan-2024</v>
      </c>
      <c r="M5292">
        <f>IF(LeadsData[[#This Row],[Stage Number]]&gt;=2,1,0)</f>
        <v>1</v>
      </c>
      <c r="N5292" s="2">
        <f>IF(LeadsData[[#This Row],[Stage Number]]&gt;=3,1,0)</f>
        <v>1</v>
      </c>
      <c r="O5292" s="2">
        <f>IF(LeadsData[[#This Row],[Stage Number]]&gt;=4,1,0)</f>
        <v>0</v>
      </c>
    </row>
    <row r="5293" spans="1:15" x14ac:dyDescent="0.25">
      <c r="A5293" t="s">
        <v>5333</v>
      </c>
      <c r="B5293" s="1">
        <v>45575</v>
      </c>
      <c r="C5293" t="s">
        <v>17</v>
      </c>
      <c r="D5293" t="s">
        <v>53</v>
      </c>
      <c r="E5293" t="s">
        <v>21</v>
      </c>
      <c r="F5293" t="s">
        <v>19</v>
      </c>
      <c r="G5293" t="s">
        <v>23</v>
      </c>
      <c r="K5293" cm="1">
        <f t="array" ref="K5293">_xlfn.SWITCH(LeadsData[[#This Row],[Funnel Stage Reached]],"Lead",1,"MQL",2,"SQL",3,"Customer",4)</f>
        <v>2</v>
      </c>
      <c r="L5293" t="str">
        <f>TEXT(LeadsData[[#This Row],[Signup Date]],"mmm-yyyy")</f>
        <v>Oct-2024</v>
      </c>
      <c r="M5293">
        <f>IF(LeadsData[[#This Row],[Stage Number]]&gt;=2,1,0)</f>
        <v>1</v>
      </c>
      <c r="N5293" s="2">
        <f>IF(LeadsData[[#This Row],[Stage Number]]&gt;=3,1,0)</f>
        <v>0</v>
      </c>
      <c r="O5293" s="2">
        <f>IF(LeadsData[[#This Row],[Stage Number]]&gt;=4,1,0)</f>
        <v>0</v>
      </c>
    </row>
    <row r="5294" spans="1:15" x14ac:dyDescent="0.25">
      <c r="A5294" t="s">
        <v>5334</v>
      </c>
      <c r="B5294" s="1">
        <v>45569</v>
      </c>
      <c r="C5294" t="s">
        <v>36</v>
      </c>
      <c r="D5294" t="s">
        <v>37</v>
      </c>
      <c r="E5294" t="s">
        <v>13</v>
      </c>
      <c r="F5294" t="s">
        <v>19</v>
      </c>
      <c r="G5294" t="s">
        <v>23</v>
      </c>
      <c r="K5294" cm="1">
        <f t="array" ref="K5294">_xlfn.SWITCH(LeadsData[[#This Row],[Funnel Stage Reached]],"Lead",1,"MQL",2,"SQL",3,"Customer",4)</f>
        <v>2</v>
      </c>
      <c r="L5294" t="str">
        <f>TEXT(LeadsData[[#This Row],[Signup Date]],"mmm-yyyy")</f>
        <v>Oct-2024</v>
      </c>
      <c r="M5294">
        <f>IF(LeadsData[[#This Row],[Stage Number]]&gt;=2,1,0)</f>
        <v>1</v>
      </c>
      <c r="N5294" s="2">
        <f>IF(LeadsData[[#This Row],[Stage Number]]&gt;=3,1,0)</f>
        <v>0</v>
      </c>
      <c r="O5294" s="2">
        <f>IF(LeadsData[[#This Row],[Stage Number]]&gt;=4,1,0)</f>
        <v>0</v>
      </c>
    </row>
    <row r="5295" spans="1:15" x14ac:dyDescent="0.25">
      <c r="A5295" t="s">
        <v>5335</v>
      </c>
      <c r="B5295" s="1">
        <v>45605</v>
      </c>
      <c r="C5295" t="s">
        <v>17</v>
      </c>
      <c r="D5295" t="s">
        <v>53</v>
      </c>
      <c r="E5295" t="s">
        <v>21</v>
      </c>
      <c r="F5295" t="s">
        <v>14</v>
      </c>
      <c r="G5295" t="s">
        <v>15</v>
      </c>
      <c r="K5295" cm="1">
        <f t="array" ref="K5295">_xlfn.SWITCH(LeadsData[[#This Row],[Funnel Stage Reached]],"Lead",1,"MQL",2,"SQL",3,"Customer",4)</f>
        <v>1</v>
      </c>
      <c r="L5295" t="str">
        <f>TEXT(LeadsData[[#This Row],[Signup Date]],"mmm-yyyy")</f>
        <v>Nov-2024</v>
      </c>
      <c r="M5295">
        <f>IF(LeadsData[[#This Row],[Stage Number]]&gt;=2,1,0)</f>
        <v>0</v>
      </c>
      <c r="N5295" s="2">
        <f>IF(LeadsData[[#This Row],[Stage Number]]&gt;=3,1,0)</f>
        <v>0</v>
      </c>
      <c r="O5295" s="2">
        <f>IF(LeadsData[[#This Row],[Stage Number]]&gt;=4,1,0)</f>
        <v>0</v>
      </c>
    </row>
    <row r="5296" spans="1:15" x14ac:dyDescent="0.25">
      <c r="A5296" t="s">
        <v>5336</v>
      </c>
      <c r="B5296" s="1">
        <v>45486</v>
      </c>
      <c r="C5296" t="s">
        <v>31</v>
      </c>
      <c r="D5296" t="s">
        <v>34</v>
      </c>
      <c r="E5296" t="s">
        <v>21</v>
      </c>
      <c r="F5296" t="s">
        <v>19</v>
      </c>
      <c r="G5296" t="s">
        <v>23</v>
      </c>
      <c r="K5296" cm="1">
        <f t="array" ref="K5296">_xlfn.SWITCH(LeadsData[[#This Row],[Funnel Stage Reached]],"Lead",1,"MQL",2,"SQL",3,"Customer",4)</f>
        <v>2</v>
      </c>
      <c r="L5296" t="str">
        <f>TEXT(LeadsData[[#This Row],[Signup Date]],"mmm-yyyy")</f>
        <v>Jul-2024</v>
      </c>
      <c r="M5296">
        <f>IF(LeadsData[[#This Row],[Stage Number]]&gt;=2,1,0)</f>
        <v>1</v>
      </c>
      <c r="N5296" s="2">
        <f>IF(LeadsData[[#This Row],[Stage Number]]&gt;=3,1,0)</f>
        <v>0</v>
      </c>
      <c r="O5296" s="2">
        <f>IF(LeadsData[[#This Row],[Stage Number]]&gt;=4,1,0)</f>
        <v>0</v>
      </c>
    </row>
    <row r="5297" spans="1:15" x14ac:dyDescent="0.25">
      <c r="A5297" t="s">
        <v>5337</v>
      </c>
      <c r="B5297" s="1">
        <v>45294</v>
      </c>
      <c r="C5297" t="s">
        <v>46</v>
      </c>
      <c r="D5297" t="s">
        <v>47</v>
      </c>
      <c r="E5297" t="s">
        <v>13</v>
      </c>
      <c r="F5297" t="s">
        <v>28</v>
      </c>
      <c r="G5297" t="s">
        <v>15</v>
      </c>
      <c r="K5297" cm="1">
        <f t="array" ref="K5297">_xlfn.SWITCH(LeadsData[[#This Row],[Funnel Stage Reached]],"Lead",1,"MQL",2,"SQL",3,"Customer",4)</f>
        <v>1</v>
      </c>
      <c r="L5297" t="str">
        <f>TEXT(LeadsData[[#This Row],[Signup Date]],"mmm-yyyy")</f>
        <v>Jan-2024</v>
      </c>
      <c r="M5297">
        <f>IF(LeadsData[[#This Row],[Stage Number]]&gt;=2,1,0)</f>
        <v>0</v>
      </c>
      <c r="N5297" s="2">
        <f>IF(LeadsData[[#This Row],[Stage Number]]&gt;=3,1,0)</f>
        <v>0</v>
      </c>
      <c r="O5297" s="2">
        <f>IF(LeadsData[[#This Row],[Stage Number]]&gt;=4,1,0)</f>
        <v>0</v>
      </c>
    </row>
    <row r="5298" spans="1:15" x14ac:dyDescent="0.25">
      <c r="A5298" t="s">
        <v>5338</v>
      </c>
      <c r="B5298" s="1">
        <v>45631</v>
      </c>
      <c r="C5298" t="s">
        <v>31</v>
      </c>
      <c r="D5298" t="s">
        <v>32</v>
      </c>
      <c r="E5298" t="s">
        <v>21</v>
      </c>
      <c r="F5298" t="s">
        <v>22</v>
      </c>
      <c r="G5298" t="s">
        <v>29</v>
      </c>
      <c r="K5298" cm="1">
        <f t="array" ref="K5298">_xlfn.SWITCH(LeadsData[[#This Row],[Funnel Stage Reached]],"Lead",1,"MQL",2,"SQL",3,"Customer",4)</f>
        <v>3</v>
      </c>
      <c r="L5298" t="str">
        <f>TEXT(LeadsData[[#This Row],[Signup Date]],"mmm-yyyy")</f>
        <v>Dec-2024</v>
      </c>
      <c r="M5298">
        <f>IF(LeadsData[[#This Row],[Stage Number]]&gt;=2,1,0)</f>
        <v>1</v>
      </c>
      <c r="N5298" s="2">
        <f>IF(LeadsData[[#This Row],[Stage Number]]&gt;=3,1,0)</f>
        <v>1</v>
      </c>
      <c r="O5298" s="2">
        <f>IF(LeadsData[[#This Row],[Stage Number]]&gt;=4,1,0)</f>
        <v>0</v>
      </c>
    </row>
    <row r="5299" spans="1:15" x14ac:dyDescent="0.25">
      <c r="A5299" t="s">
        <v>5339</v>
      </c>
      <c r="B5299" s="1">
        <v>45652</v>
      </c>
      <c r="C5299" t="s">
        <v>36</v>
      </c>
      <c r="D5299" t="s">
        <v>50</v>
      </c>
      <c r="E5299" t="s">
        <v>21</v>
      </c>
      <c r="F5299" t="s">
        <v>22</v>
      </c>
      <c r="G5299" t="s">
        <v>23</v>
      </c>
      <c r="K5299" cm="1">
        <f t="array" ref="K5299">_xlfn.SWITCH(LeadsData[[#This Row],[Funnel Stage Reached]],"Lead",1,"MQL",2,"SQL",3,"Customer",4)</f>
        <v>2</v>
      </c>
      <c r="L5299" t="str">
        <f>TEXT(LeadsData[[#This Row],[Signup Date]],"mmm-yyyy")</f>
        <v>Dec-2024</v>
      </c>
      <c r="M5299">
        <f>IF(LeadsData[[#This Row],[Stage Number]]&gt;=2,1,0)</f>
        <v>1</v>
      </c>
      <c r="N5299" s="2">
        <f>IF(LeadsData[[#This Row],[Stage Number]]&gt;=3,1,0)</f>
        <v>0</v>
      </c>
      <c r="O5299" s="2">
        <f>IF(LeadsData[[#This Row],[Stage Number]]&gt;=4,1,0)</f>
        <v>0</v>
      </c>
    </row>
    <row r="5300" spans="1:15" x14ac:dyDescent="0.25">
      <c r="A5300" t="s">
        <v>5340</v>
      </c>
      <c r="B5300" s="1">
        <v>45517</v>
      </c>
      <c r="C5300" t="s">
        <v>17</v>
      </c>
      <c r="D5300" t="s">
        <v>53</v>
      </c>
      <c r="E5300" t="s">
        <v>48</v>
      </c>
      <c r="F5300" t="s">
        <v>14</v>
      </c>
      <c r="G5300" t="s">
        <v>23</v>
      </c>
      <c r="K5300" cm="1">
        <f t="array" ref="K5300">_xlfn.SWITCH(LeadsData[[#This Row],[Funnel Stage Reached]],"Lead",1,"MQL",2,"SQL",3,"Customer",4)</f>
        <v>2</v>
      </c>
      <c r="L5300" t="str">
        <f>TEXT(LeadsData[[#This Row],[Signup Date]],"mmm-yyyy")</f>
        <v>Aug-2024</v>
      </c>
      <c r="M5300">
        <f>IF(LeadsData[[#This Row],[Stage Number]]&gt;=2,1,0)</f>
        <v>1</v>
      </c>
      <c r="N5300" s="2">
        <f>IF(LeadsData[[#This Row],[Stage Number]]&gt;=3,1,0)</f>
        <v>0</v>
      </c>
      <c r="O5300" s="2">
        <f>IF(LeadsData[[#This Row],[Stage Number]]&gt;=4,1,0)</f>
        <v>0</v>
      </c>
    </row>
    <row r="5301" spans="1:15" x14ac:dyDescent="0.25">
      <c r="A5301" t="s">
        <v>5341</v>
      </c>
      <c r="B5301" s="1">
        <v>45510</v>
      </c>
      <c r="C5301" t="s">
        <v>11</v>
      </c>
      <c r="D5301" t="s">
        <v>68</v>
      </c>
      <c r="E5301" t="s">
        <v>13</v>
      </c>
      <c r="F5301" t="s">
        <v>19</v>
      </c>
      <c r="G5301" t="s">
        <v>15</v>
      </c>
      <c r="K5301" cm="1">
        <f t="array" ref="K5301">_xlfn.SWITCH(LeadsData[[#This Row],[Funnel Stage Reached]],"Lead",1,"MQL",2,"SQL",3,"Customer",4)</f>
        <v>1</v>
      </c>
      <c r="L5301" t="str">
        <f>TEXT(LeadsData[[#This Row],[Signup Date]],"mmm-yyyy")</f>
        <v>Aug-2024</v>
      </c>
      <c r="M5301">
        <f>IF(LeadsData[[#This Row],[Stage Number]]&gt;=2,1,0)</f>
        <v>0</v>
      </c>
      <c r="N5301" s="2">
        <f>IF(LeadsData[[#This Row],[Stage Number]]&gt;=3,1,0)</f>
        <v>0</v>
      </c>
      <c r="O5301" s="2">
        <f>IF(LeadsData[[#This Row],[Stage Number]]&gt;=4,1,0)</f>
        <v>0</v>
      </c>
    </row>
    <row r="5302" spans="1:15" x14ac:dyDescent="0.25">
      <c r="A5302" t="s">
        <v>5342</v>
      </c>
      <c r="B5302" s="1">
        <v>45575</v>
      </c>
      <c r="C5302" t="s">
        <v>36</v>
      </c>
      <c r="D5302" t="s">
        <v>50</v>
      </c>
      <c r="E5302" t="s">
        <v>13</v>
      </c>
      <c r="F5302" t="s">
        <v>19</v>
      </c>
      <c r="G5302" t="s">
        <v>23</v>
      </c>
      <c r="K5302" cm="1">
        <f t="array" ref="K5302">_xlfn.SWITCH(LeadsData[[#This Row],[Funnel Stage Reached]],"Lead",1,"MQL",2,"SQL",3,"Customer",4)</f>
        <v>2</v>
      </c>
      <c r="L5302" t="str">
        <f>TEXT(LeadsData[[#This Row],[Signup Date]],"mmm-yyyy")</f>
        <v>Oct-2024</v>
      </c>
      <c r="M5302">
        <f>IF(LeadsData[[#This Row],[Stage Number]]&gt;=2,1,0)</f>
        <v>1</v>
      </c>
      <c r="N5302" s="2">
        <f>IF(LeadsData[[#This Row],[Stage Number]]&gt;=3,1,0)</f>
        <v>0</v>
      </c>
      <c r="O5302" s="2">
        <f>IF(LeadsData[[#This Row],[Stage Number]]&gt;=4,1,0)</f>
        <v>0</v>
      </c>
    </row>
    <row r="5303" spans="1:15" x14ac:dyDescent="0.25">
      <c r="A5303" t="s">
        <v>5343</v>
      </c>
      <c r="B5303" s="1">
        <v>45632</v>
      </c>
      <c r="C5303" t="s">
        <v>31</v>
      </c>
      <c r="D5303" t="s">
        <v>34</v>
      </c>
      <c r="E5303" t="s">
        <v>13</v>
      </c>
      <c r="F5303" t="s">
        <v>19</v>
      </c>
      <c r="G5303" t="s">
        <v>23</v>
      </c>
      <c r="K5303" cm="1">
        <f t="array" ref="K5303">_xlfn.SWITCH(LeadsData[[#This Row],[Funnel Stage Reached]],"Lead",1,"MQL",2,"SQL",3,"Customer",4)</f>
        <v>2</v>
      </c>
      <c r="L5303" t="str">
        <f>TEXT(LeadsData[[#This Row],[Signup Date]],"mmm-yyyy")</f>
        <v>Dec-2024</v>
      </c>
      <c r="M5303">
        <f>IF(LeadsData[[#This Row],[Stage Number]]&gt;=2,1,0)</f>
        <v>1</v>
      </c>
      <c r="N5303" s="2">
        <f>IF(LeadsData[[#This Row],[Stage Number]]&gt;=3,1,0)</f>
        <v>0</v>
      </c>
      <c r="O5303" s="2">
        <f>IF(LeadsData[[#This Row],[Stage Number]]&gt;=4,1,0)</f>
        <v>0</v>
      </c>
    </row>
    <row r="5304" spans="1:15" x14ac:dyDescent="0.25">
      <c r="A5304" t="s">
        <v>5344</v>
      </c>
      <c r="B5304" s="1">
        <v>45434</v>
      </c>
      <c r="C5304" t="s">
        <v>31</v>
      </c>
      <c r="D5304" t="s">
        <v>32</v>
      </c>
      <c r="E5304" t="s">
        <v>21</v>
      </c>
      <c r="F5304" t="s">
        <v>19</v>
      </c>
      <c r="G5304" t="s">
        <v>15</v>
      </c>
      <c r="K5304" cm="1">
        <f t="array" ref="K5304">_xlfn.SWITCH(LeadsData[[#This Row],[Funnel Stage Reached]],"Lead",1,"MQL",2,"SQL",3,"Customer",4)</f>
        <v>1</v>
      </c>
      <c r="L5304" t="str">
        <f>TEXT(LeadsData[[#This Row],[Signup Date]],"mmm-yyyy")</f>
        <v>May-2024</v>
      </c>
      <c r="M5304">
        <f>IF(LeadsData[[#This Row],[Stage Number]]&gt;=2,1,0)</f>
        <v>0</v>
      </c>
      <c r="N5304" s="2">
        <f>IF(LeadsData[[#This Row],[Stage Number]]&gt;=3,1,0)</f>
        <v>0</v>
      </c>
      <c r="O5304" s="2">
        <f>IF(LeadsData[[#This Row],[Stage Number]]&gt;=4,1,0)</f>
        <v>0</v>
      </c>
    </row>
    <row r="5305" spans="1:15" x14ac:dyDescent="0.25">
      <c r="A5305" t="s">
        <v>5345</v>
      </c>
      <c r="B5305" s="1">
        <v>45396</v>
      </c>
      <c r="C5305" t="s">
        <v>31</v>
      </c>
      <c r="D5305" t="s">
        <v>34</v>
      </c>
      <c r="E5305" t="s">
        <v>21</v>
      </c>
      <c r="F5305" t="s">
        <v>22</v>
      </c>
      <c r="G5305" t="s">
        <v>29</v>
      </c>
      <c r="K5305" cm="1">
        <f t="array" ref="K5305">_xlfn.SWITCH(LeadsData[[#This Row],[Funnel Stage Reached]],"Lead",1,"MQL",2,"SQL",3,"Customer",4)</f>
        <v>3</v>
      </c>
      <c r="L5305" t="str">
        <f>TEXT(LeadsData[[#This Row],[Signup Date]],"mmm-yyyy")</f>
        <v>Apr-2024</v>
      </c>
      <c r="M5305">
        <f>IF(LeadsData[[#This Row],[Stage Number]]&gt;=2,1,0)</f>
        <v>1</v>
      </c>
      <c r="N5305" s="2">
        <f>IF(LeadsData[[#This Row],[Stage Number]]&gt;=3,1,0)</f>
        <v>1</v>
      </c>
      <c r="O5305" s="2">
        <f>IF(LeadsData[[#This Row],[Stage Number]]&gt;=4,1,0)</f>
        <v>0</v>
      </c>
    </row>
    <row r="5306" spans="1:15" x14ac:dyDescent="0.25">
      <c r="A5306" t="s">
        <v>5346</v>
      </c>
      <c r="B5306" s="1">
        <v>45642</v>
      </c>
      <c r="C5306" t="s">
        <v>31</v>
      </c>
      <c r="D5306" t="s">
        <v>32</v>
      </c>
      <c r="E5306" t="s">
        <v>21</v>
      </c>
      <c r="F5306" t="s">
        <v>19</v>
      </c>
      <c r="G5306" t="s">
        <v>15</v>
      </c>
      <c r="K5306" cm="1">
        <f t="array" ref="K5306">_xlfn.SWITCH(LeadsData[[#This Row],[Funnel Stage Reached]],"Lead",1,"MQL",2,"SQL",3,"Customer",4)</f>
        <v>1</v>
      </c>
      <c r="L5306" t="str">
        <f>TEXT(LeadsData[[#This Row],[Signup Date]],"mmm-yyyy")</f>
        <v>Dec-2024</v>
      </c>
      <c r="M5306">
        <f>IF(LeadsData[[#This Row],[Stage Number]]&gt;=2,1,0)</f>
        <v>0</v>
      </c>
      <c r="N5306" s="2">
        <f>IF(LeadsData[[#This Row],[Stage Number]]&gt;=3,1,0)</f>
        <v>0</v>
      </c>
      <c r="O5306" s="2">
        <f>IF(LeadsData[[#This Row],[Stage Number]]&gt;=4,1,0)</f>
        <v>0</v>
      </c>
    </row>
    <row r="5307" spans="1:15" x14ac:dyDescent="0.25">
      <c r="A5307" t="s">
        <v>5347</v>
      </c>
      <c r="B5307" s="1">
        <v>45618</v>
      </c>
      <c r="C5307" t="s">
        <v>17</v>
      </c>
      <c r="D5307" t="s">
        <v>53</v>
      </c>
      <c r="E5307" t="s">
        <v>48</v>
      </c>
      <c r="F5307" t="s">
        <v>14</v>
      </c>
      <c r="G5307" t="s">
        <v>29</v>
      </c>
      <c r="K5307" cm="1">
        <f t="array" ref="K5307">_xlfn.SWITCH(LeadsData[[#This Row],[Funnel Stage Reached]],"Lead",1,"MQL",2,"SQL",3,"Customer",4)</f>
        <v>3</v>
      </c>
      <c r="L5307" t="str">
        <f>TEXT(LeadsData[[#This Row],[Signup Date]],"mmm-yyyy")</f>
        <v>Nov-2024</v>
      </c>
      <c r="M5307">
        <f>IF(LeadsData[[#This Row],[Stage Number]]&gt;=2,1,0)</f>
        <v>1</v>
      </c>
      <c r="N5307" s="2">
        <f>IF(LeadsData[[#This Row],[Stage Number]]&gt;=3,1,0)</f>
        <v>1</v>
      </c>
      <c r="O5307" s="2">
        <f>IF(LeadsData[[#This Row],[Stage Number]]&gt;=4,1,0)</f>
        <v>0</v>
      </c>
    </row>
    <row r="5308" spans="1:15" x14ac:dyDescent="0.25">
      <c r="A5308" t="s">
        <v>5348</v>
      </c>
      <c r="B5308" s="1">
        <v>45546</v>
      </c>
      <c r="C5308" t="s">
        <v>46</v>
      </c>
      <c r="D5308" t="s">
        <v>47</v>
      </c>
      <c r="E5308" t="s">
        <v>21</v>
      </c>
      <c r="F5308" t="s">
        <v>28</v>
      </c>
      <c r="G5308" t="s">
        <v>15</v>
      </c>
      <c r="K5308" cm="1">
        <f t="array" ref="K5308">_xlfn.SWITCH(LeadsData[[#This Row],[Funnel Stage Reached]],"Lead",1,"MQL",2,"SQL",3,"Customer",4)</f>
        <v>1</v>
      </c>
      <c r="L5308" t="str">
        <f>TEXT(LeadsData[[#This Row],[Signup Date]],"mmm-yyyy")</f>
        <v>Sep-2024</v>
      </c>
      <c r="M5308">
        <f>IF(LeadsData[[#This Row],[Stage Number]]&gt;=2,1,0)</f>
        <v>0</v>
      </c>
      <c r="N5308" s="2">
        <f>IF(LeadsData[[#This Row],[Stage Number]]&gt;=3,1,0)</f>
        <v>0</v>
      </c>
      <c r="O5308" s="2">
        <f>IF(LeadsData[[#This Row],[Stage Number]]&gt;=4,1,0)</f>
        <v>0</v>
      </c>
    </row>
    <row r="5309" spans="1:15" x14ac:dyDescent="0.25">
      <c r="A5309" t="s">
        <v>5349</v>
      </c>
      <c r="B5309" s="1">
        <v>45295</v>
      </c>
      <c r="C5309" t="s">
        <v>31</v>
      </c>
      <c r="D5309" t="s">
        <v>32</v>
      </c>
      <c r="E5309" t="s">
        <v>13</v>
      </c>
      <c r="F5309" t="s">
        <v>22</v>
      </c>
      <c r="G5309" t="s">
        <v>15</v>
      </c>
      <c r="K5309" cm="1">
        <f t="array" ref="K5309">_xlfn.SWITCH(LeadsData[[#This Row],[Funnel Stage Reached]],"Lead",1,"MQL",2,"SQL",3,"Customer",4)</f>
        <v>1</v>
      </c>
      <c r="L5309" t="str">
        <f>TEXT(LeadsData[[#This Row],[Signup Date]],"mmm-yyyy")</f>
        <v>Jan-2024</v>
      </c>
      <c r="M5309">
        <f>IF(LeadsData[[#This Row],[Stage Number]]&gt;=2,1,0)</f>
        <v>0</v>
      </c>
      <c r="N5309" s="2">
        <f>IF(LeadsData[[#This Row],[Stage Number]]&gt;=3,1,0)</f>
        <v>0</v>
      </c>
      <c r="O5309" s="2">
        <f>IF(LeadsData[[#This Row],[Stage Number]]&gt;=4,1,0)</f>
        <v>0</v>
      </c>
    </row>
    <row r="5310" spans="1:15" x14ac:dyDescent="0.25">
      <c r="A5310" t="s">
        <v>5350</v>
      </c>
      <c r="B5310" s="1">
        <v>45299</v>
      </c>
      <c r="C5310" t="s">
        <v>11</v>
      </c>
      <c r="D5310" t="s">
        <v>79</v>
      </c>
      <c r="E5310" t="s">
        <v>13</v>
      </c>
      <c r="F5310" t="s">
        <v>22</v>
      </c>
      <c r="G5310" t="s">
        <v>29</v>
      </c>
      <c r="K5310" cm="1">
        <f t="array" ref="K5310">_xlfn.SWITCH(LeadsData[[#This Row],[Funnel Stage Reached]],"Lead",1,"MQL",2,"SQL",3,"Customer",4)</f>
        <v>3</v>
      </c>
      <c r="L5310" t="str">
        <f>TEXT(LeadsData[[#This Row],[Signup Date]],"mmm-yyyy")</f>
        <v>Jan-2024</v>
      </c>
      <c r="M5310">
        <f>IF(LeadsData[[#This Row],[Stage Number]]&gt;=2,1,0)</f>
        <v>1</v>
      </c>
      <c r="N5310" s="2">
        <f>IF(LeadsData[[#This Row],[Stage Number]]&gt;=3,1,0)</f>
        <v>1</v>
      </c>
      <c r="O5310" s="2">
        <f>IF(LeadsData[[#This Row],[Stage Number]]&gt;=4,1,0)</f>
        <v>0</v>
      </c>
    </row>
    <row r="5311" spans="1:15" x14ac:dyDescent="0.25">
      <c r="A5311" t="s">
        <v>5351</v>
      </c>
      <c r="B5311" s="1">
        <v>45523</v>
      </c>
      <c r="C5311" t="s">
        <v>17</v>
      </c>
      <c r="D5311" t="s">
        <v>18</v>
      </c>
      <c r="E5311" t="s">
        <v>13</v>
      </c>
      <c r="F5311" t="s">
        <v>14</v>
      </c>
      <c r="G5311" t="s">
        <v>42</v>
      </c>
      <c r="H5311">
        <v>59</v>
      </c>
      <c r="I5311" t="s">
        <v>183</v>
      </c>
      <c r="J5311">
        <v>19759.2</v>
      </c>
      <c r="K5311" cm="1">
        <f t="array" ref="K5311">_xlfn.SWITCH(LeadsData[[#This Row],[Funnel Stage Reached]],"Lead",1,"MQL",2,"SQL",3,"Customer",4)</f>
        <v>4</v>
      </c>
      <c r="L5311" t="str">
        <f>TEXT(LeadsData[[#This Row],[Signup Date]],"mmm-yyyy")</f>
        <v>Aug-2024</v>
      </c>
      <c r="M5311">
        <f>IF(LeadsData[[#This Row],[Stage Number]]&gt;=2,1,0)</f>
        <v>1</v>
      </c>
      <c r="N5311" s="2">
        <f>IF(LeadsData[[#This Row],[Stage Number]]&gt;=3,1,0)</f>
        <v>1</v>
      </c>
      <c r="O5311" s="2">
        <f>IF(LeadsData[[#This Row],[Stage Number]]&gt;=4,1,0)</f>
        <v>1</v>
      </c>
    </row>
    <row r="5312" spans="1:15" x14ac:dyDescent="0.25">
      <c r="A5312" t="s">
        <v>5352</v>
      </c>
      <c r="B5312" s="1">
        <v>45354</v>
      </c>
      <c r="C5312" t="s">
        <v>36</v>
      </c>
      <c r="D5312" t="s">
        <v>50</v>
      </c>
      <c r="E5312" t="s">
        <v>13</v>
      </c>
      <c r="F5312" t="s">
        <v>19</v>
      </c>
      <c r="G5312" t="s">
        <v>23</v>
      </c>
      <c r="K5312" cm="1">
        <f t="array" ref="K5312">_xlfn.SWITCH(LeadsData[[#This Row],[Funnel Stage Reached]],"Lead",1,"MQL",2,"SQL",3,"Customer",4)</f>
        <v>2</v>
      </c>
      <c r="L5312" t="str">
        <f>TEXT(LeadsData[[#This Row],[Signup Date]],"mmm-yyyy")</f>
        <v>Mar-2024</v>
      </c>
      <c r="M5312">
        <f>IF(LeadsData[[#This Row],[Stage Number]]&gt;=2,1,0)</f>
        <v>1</v>
      </c>
      <c r="N5312" s="2">
        <f>IF(LeadsData[[#This Row],[Stage Number]]&gt;=3,1,0)</f>
        <v>0</v>
      </c>
      <c r="O5312" s="2">
        <f>IF(LeadsData[[#This Row],[Stage Number]]&gt;=4,1,0)</f>
        <v>0</v>
      </c>
    </row>
    <row r="5313" spans="1:15" x14ac:dyDescent="0.25">
      <c r="A5313" t="s">
        <v>5353</v>
      </c>
      <c r="B5313" s="1">
        <v>45643</v>
      </c>
      <c r="C5313" t="s">
        <v>46</v>
      </c>
      <c r="D5313" t="s">
        <v>47</v>
      </c>
      <c r="E5313" t="s">
        <v>21</v>
      </c>
      <c r="F5313" t="s">
        <v>14</v>
      </c>
      <c r="G5313" t="s">
        <v>23</v>
      </c>
      <c r="K5313" cm="1">
        <f t="array" ref="K5313">_xlfn.SWITCH(LeadsData[[#This Row],[Funnel Stage Reached]],"Lead",1,"MQL",2,"SQL",3,"Customer",4)</f>
        <v>2</v>
      </c>
      <c r="L5313" t="str">
        <f>TEXT(LeadsData[[#This Row],[Signup Date]],"mmm-yyyy")</f>
        <v>Dec-2024</v>
      </c>
      <c r="M5313">
        <f>IF(LeadsData[[#This Row],[Stage Number]]&gt;=2,1,0)</f>
        <v>1</v>
      </c>
      <c r="N5313" s="2">
        <f>IF(LeadsData[[#This Row],[Stage Number]]&gt;=3,1,0)</f>
        <v>0</v>
      </c>
      <c r="O5313" s="2">
        <f>IF(LeadsData[[#This Row],[Stage Number]]&gt;=4,1,0)</f>
        <v>0</v>
      </c>
    </row>
    <row r="5314" spans="1:15" x14ac:dyDescent="0.25">
      <c r="A5314" t="s">
        <v>5354</v>
      </c>
      <c r="B5314" s="1">
        <v>45525</v>
      </c>
      <c r="C5314" t="s">
        <v>36</v>
      </c>
      <c r="D5314" t="s">
        <v>50</v>
      </c>
      <c r="E5314" t="s">
        <v>21</v>
      </c>
      <c r="F5314" t="s">
        <v>22</v>
      </c>
      <c r="G5314" t="s">
        <v>42</v>
      </c>
      <c r="H5314">
        <v>43</v>
      </c>
      <c r="I5314" t="s">
        <v>87</v>
      </c>
      <c r="J5314">
        <v>2893.48</v>
      </c>
      <c r="K5314" cm="1">
        <f t="array" ref="K5314">_xlfn.SWITCH(LeadsData[[#This Row],[Funnel Stage Reached]],"Lead",1,"MQL",2,"SQL",3,"Customer",4)</f>
        <v>4</v>
      </c>
      <c r="L5314" t="str">
        <f>TEXT(LeadsData[[#This Row],[Signup Date]],"mmm-yyyy")</f>
        <v>Aug-2024</v>
      </c>
      <c r="M5314">
        <f>IF(LeadsData[[#This Row],[Stage Number]]&gt;=2,1,0)</f>
        <v>1</v>
      </c>
      <c r="N5314" s="2">
        <f>IF(LeadsData[[#This Row],[Stage Number]]&gt;=3,1,0)</f>
        <v>1</v>
      </c>
      <c r="O5314" s="2">
        <f>IF(LeadsData[[#This Row],[Stage Number]]&gt;=4,1,0)</f>
        <v>1</v>
      </c>
    </row>
    <row r="5315" spans="1:15" x14ac:dyDescent="0.25">
      <c r="A5315" t="s">
        <v>5355</v>
      </c>
      <c r="B5315" s="1">
        <v>45514</v>
      </c>
      <c r="C5315" t="s">
        <v>17</v>
      </c>
      <c r="D5315" t="s">
        <v>18</v>
      </c>
      <c r="E5315" t="s">
        <v>21</v>
      </c>
      <c r="F5315" t="s">
        <v>22</v>
      </c>
      <c r="G5315" t="s">
        <v>23</v>
      </c>
      <c r="K5315" cm="1">
        <f t="array" ref="K5315">_xlfn.SWITCH(LeadsData[[#This Row],[Funnel Stage Reached]],"Lead",1,"MQL",2,"SQL",3,"Customer",4)</f>
        <v>2</v>
      </c>
      <c r="L5315" t="str">
        <f>TEXT(LeadsData[[#This Row],[Signup Date]],"mmm-yyyy")</f>
        <v>Aug-2024</v>
      </c>
      <c r="M5315">
        <f>IF(LeadsData[[#This Row],[Stage Number]]&gt;=2,1,0)</f>
        <v>1</v>
      </c>
      <c r="N5315" s="2">
        <f>IF(LeadsData[[#This Row],[Stage Number]]&gt;=3,1,0)</f>
        <v>0</v>
      </c>
      <c r="O5315" s="2">
        <f>IF(LeadsData[[#This Row],[Stage Number]]&gt;=4,1,0)</f>
        <v>0</v>
      </c>
    </row>
    <row r="5316" spans="1:15" x14ac:dyDescent="0.25">
      <c r="A5316" t="s">
        <v>5356</v>
      </c>
      <c r="B5316" s="1">
        <v>45304</v>
      </c>
      <c r="C5316" t="s">
        <v>31</v>
      </c>
      <c r="D5316" t="s">
        <v>34</v>
      </c>
      <c r="E5316" t="s">
        <v>48</v>
      </c>
      <c r="F5316" t="s">
        <v>22</v>
      </c>
      <c r="G5316" t="s">
        <v>23</v>
      </c>
      <c r="K5316" cm="1">
        <f t="array" ref="K5316">_xlfn.SWITCH(LeadsData[[#This Row],[Funnel Stage Reached]],"Lead",1,"MQL",2,"SQL",3,"Customer",4)</f>
        <v>2</v>
      </c>
      <c r="L5316" t="str">
        <f>TEXT(LeadsData[[#This Row],[Signup Date]],"mmm-yyyy")</f>
        <v>Jan-2024</v>
      </c>
      <c r="M5316">
        <f>IF(LeadsData[[#This Row],[Stage Number]]&gt;=2,1,0)</f>
        <v>1</v>
      </c>
      <c r="N5316" s="2">
        <f>IF(LeadsData[[#This Row],[Stage Number]]&gt;=3,1,0)</f>
        <v>0</v>
      </c>
      <c r="O5316" s="2">
        <f>IF(LeadsData[[#This Row],[Stage Number]]&gt;=4,1,0)</f>
        <v>0</v>
      </c>
    </row>
    <row r="5317" spans="1:15" x14ac:dyDescent="0.25">
      <c r="A5317" t="s">
        <v>5357</v>
      </c>
      <c r="B5317" s="1">
        <v>45605</v>
      </c>
      <c r="C5317" t="s">
        <v>46</v>
      </c>
      <c r="D5317" t="s">
        <v>56</v>
      </c>
      <c r="E5317" t="s">
        <v>21</v>
      </c>
      <c r="F5317" t="s">
        <v>19</v>
      </c>
      <c r="G5317" t="s">
        <v>15</v>
      </c>
      <c r="K5317" cm="1">
        <f t="array" ref="K5317">_xlfn.SWITCH(LeadsData[[#This Row],[Funnel Stage Reached]],"Lead",1,"MQL",2,"SQL",3,"Customer",4)</f>
        <v>1</v>
      </c>
      <c r="L5317" t="str">
        <f>TEXT(LeadsData[[#This Row],[Signup Date]],"mmm-yyyy")</f>
        <v>Nov-2024</v>
      </c>
      <c r="M5317">
        <f>IF(LeadsData[[#This Row],[Stage Number]]&gt;=2,1,0)</f>
        <v>0</v>
      </c>
      <c r="N5317" s="2">
        <f>IF(LeadsData[[#This Row],[Stage Number]]&gt;=3,1,0)</f>
        <v>0</v>
      </c>
      <c r="O5317" s="2">
        <f>IF(LeadsData[[#This Row],[Stage Number]]&gt;=4,1,0)</f>
        <v>0</v>
      </c>
    </row>
    <row r="5318" spans="1:15" x14ac:dyDescent="0.25">
      <c r="A5318" t="s">
        <v>5358</v>
      </c>
      <c r="B5318" s="1">
        <v>45456</v>
      </c>
      <c r="C5318" t="s">
        <v>25</v>
      </c>
      <c r="D5318" t="s">
        <v>26</v>
      </c>
      <c r="E5318" t="s">
        <v>13</v>
      </c>
      <c r="F5318" t="s">
        <v>19</v>
      </c>
      <c r="G5318" t="s">
        <v>15</v>
      </c>
      <c r="K5318" cm="1">
        <f t="array" ref="K5318">_xlfn.SWITCH(LeadsData[[#This Row],[Funnel Stage Reached]],"Lead",1,"MQL",2,"SQL",3,"Customer",4)</f>
        <v>1</v>
      </c>
      <c r="L5318" t="str">
        <f>TEXT(LeadsData[[#This Row],[Signup Date]],"mmm-yyyy")</f>
        <v>Jun-2024</v>
      </c>
      <c r="M5318">
        <f>IF(LeadsData[[#This Row],[Stage Number]]&gt;=2,1,0)</f>
        <v>0</v>
      </c>
      <c r="N5318" s="2">
        <f>IF(LeadsData[[#This Row],[Stage Number]]&gt;=3,1,0)</f>
        <v>0</v>
      </c>
      <c r="O5318" s="2">
        <f>IF(LeadsData[[#This Row],[Stage Number]]&gt;=4,1,0)</f>
        <v>0</v>
      </c>
    </row>
    <row r="5319" spans="1:15" x14ac:dyDescent="0.25">
      <c r="A5319" t="s">
        <v>5359</v>
      </c>
      <c r="B5319" s="1">
        <v>45631</v>
      </c>
      <c r="C5319" t="s">
        <v>31</v>
      </c>
      <c r="D5319" t="s">
        <v>32</v>
      </c>
      <c r="E5319" t="s">
        <v>13</v>
      </c>
      <c r="F5319" t="s">
        <v>19</v>
      </c>
      <c r="G5319" t="s">
        <v>15</v>
      </c>
      <c r="K5319" cm="1">
        <f t="array" ref="K5319">_xlfn.SWITCH(LeadsData[[#This Row],[Funnel Stage Reached]],"Lead",1,"MQL",2,"SQL",3,"Customer",4)</f>
        <v>1</v>
      </c>
      <c r="L5319" t="str">
        <f>TEXT(LeadsData[[#This Row],[Signup Date]],"mmm-yyyy")</f>
        <v>Dec-2024</v>
      </c>
      <c r="M5319">
        <f>IF(LeadsData[[#This Row],[Stage Number]]&gt;=2,1,0)</f>
        <v>0</v>
      </c>
      <c r="N5319" s="2">
        <f>IF(LeadsData[[#This Row],[Stage Number]]&gt;=3,1,0)</f>
        <v>0</v>
      </c>
      <c r="O5319" s="2">
        <f>IF(LeadsData[[#This Row],[Stage Number]]&gt;=4,1,0)</f>
        <v>0</v>
      </c>
    </row>
    <row r="5320" spans="1:15" x14ac:dyDescent="0.25">
      <c r="A5320" t="s">
        <v>5360</v>
      </c>
      <c r="B5320" s="1">
        <v>45488</v>
      </c>
      <c r="C5320" t="s">
        <v>46</v>
      </c>
      <c r="D5320" t="s">
        <v>47</v>
      </c>
      <c r="E5320" t="s">
        <v>48</v>
      </c>
      <c r="F5320" t="s">
        <v>22</v>
      </c>
      <c r="G5320" t="s">
        <v>15</v>
      </c>
      <c r="K5320" cm="1">
        <f t="array" ref="K5320">_xlfn.SWITCH(LeadsData[[#This Row],[Funnel Stage Reached]],"Lead",1,"MQL",2,"SQL",3,"Customer",4)</f>
        <v>1</v>
      </c>
      <c r="L5320" t="str">
        <f>TEXT(LeadsData[[#This Row],[Signup Date]],"mmm-yyyy")</f>
        <v>Jul-2024</v>
      </c>
      <c r="M5320">
        <f>IF(LeadsData[[#This Row],[Stage Number]]&gt;=2,1,0)</f>
        <v>0</v>
      </c>
      <c r="N5320" s="2">
        <f>IF(LeadsData[[#This Row],[Stage Number]]&gt;=3,1,0)</f>
        <v>0</v>
      </c>
      <c r="O5320" s="2">
        <f>IF(LeadsData[[#This Row],[Stage Number]]&gt;=4,1,0)</f>
        <v>0</v>
      </c>
    </row>
    <row r="5321" spans="1:15" x14ac:dyDescent="0.25">
      <c r="A5321" t="s">
        <v>5361</v>
      </c>
      <c r="B5321" s="1">
        <v>45633</v>
      </c>
      <c r="C5321" t="s">
        <v>31</v>
      </c>
      <c r="D5321" t="s">
        <v>32</v>
      </c>
      <c r="E5321" t="s">
        <v>13</v>
      </c>
      <c r="F5321" t="s">
        <v>22</v>
      </c>
      <c r="G5321" t="s">
        <v>29</v>
      </c>
      <c r="K5321" cm="1">
        <f t="array" ref="K5321">_xlfn.SWITCH(LeadsData[[#This Row],[Funnel Stage Reached]],"Lead",1,"MQL",2,"SQL",3,"Customer",4)</f>
        <v>3</v>
      </c>
      <c r="L5321" t="str">
        <f>TEXT(LeadsData[[#This Row],[Signup Date]],"mmm-yyyy")</f>
        <v>Dec-2024</v>
      </c>
      <c r="M5321">
        <f>IF(LeadsData[[#This Row],[Stage Number]]&gt;=2,1,0)</f>
        <v>1</v>
      </c>
      <c r="N5321" s="2">
        <f>IF(LeadsData[[#This Row],[Stage Number]]&gt;=3,1,0)</f>
        <v>1</v>
      </c>
      <c r="O5321" s="2">
        <f>IF(LeadsData[[#This Row],[Stage Number]]&gt;=4,1,0)</f>
        <v>0</v>
      </c>
    </row>
    <row r="5322" spans="1:15" x14ac:dyDescent="0.25">
      <c r="A5322" t="s">
        <v>5362</v>
      </c>
      <c r="B5322" s="1">
        <v>45417</v>
      </c>
      <c r="C5322" t="s">
        <v>31</v>
      </c>
      <c r="D5322" t="s">
        <v>32</v>
      </c>
      <c r="E5322" t="s">
        <v>13</v>
      </c>
      <c r="F5322" t="s">
        <v>22</v>
      </c>
      <c r="G5322" t="s">
        <v>15</v>
      </c>
      <c r="K5322" cm="1">
        <f t="array" ref="K5322">_xlfn.SWITCH(LeadsData[[#This Row],[Funnel Stage Reached]],"Lead",1,"MQL",2,"SQL",3,"Customer",4)</f>
        <v>1</v>
      </c>
      <c r="L5322" t="str">
        <f>TEXT(LeadsData[[#This Row],[Signup Date]],"mmm-yyyy")</f>
        <v>May-2024</v>
      </c>
      <c r="M5322">
        <f>IF(LeadsData[[#This Row],[Stage Number]]&gt;=2,1,0)</f>
        <v>0</v>
      </c>
      <c r="N5322" s="2">
        <f>IF(LeadsData[[#This Row],[Stage Number]]&gt;=3,1,0)</f>
        <v>0</v>
      </c>
      <c r="O5322" s="2">
        <f>IF(LeadsData[[#This Row],[Stage Number]]&gt;=4,1,0)</f>
        <v>0</v>
      </c>
    </row>
    <row r="5323" spans="1:15" x14ac:dyDescent="0.25">
      <c r="A5323" t="s">
        <v>5363</v>
      </c>
      <c r="B5323" s="1">
        <v>45557</v>
      </c>
      <c r="C5323" t="s">
        <v>17</v>
      </c>
      <c r="D5323" t="s">
        <v>53</v>
      </c>
      <c r="E5323" t="s">
        <v>13</v>
      </c>
      <c r="F5323" t="s">
        <v>28</v>
      </c>
      <c r="G5323" t="s">
        <v>15</v>
      </c>
      <c r="K5323" cm="1">
        <f t="array" ref="K5323">_xlfn.SWITCH(LeadsData[[#This Row],[Funnel Stage Reached]],"Lead",1,"MQL",2,"SQL",3,"Customer",4)</f>
        <v>1</v>
      </c>
      <c r="L5323" t="str">
        <f>TEXT(LeadsData[[#This Row],[Signup Date]],"mmm-yyyy")</f>
        <v>Sep-2024</v>
      </c>
      <c r="M5323">
        <f>IF(LeadsData[[#This Row],[Stage Number]]&gt;=2,1,0)</f>
        <v>0</v>
      </c>
      <c r="N5323" s="2">
        <f>IF(LeadsData[[#This Row],[Stage Number]]&gt;=3,1,0)</f>
        <v>0</v>
      </c>
      <c r="O5323" s="2">
        <f>IF(LeadsData[[#This Row],[Stage Number]]&gt;=4,1,0)</f>
        <v>0</v>
      </c>
    </row>
    <row r="5324" spans="1:15" x14ac:dyDescent="0.25">
      <c r="A5324" t="s">
        <v>5364</v>
      </c>
      <c r="B5324" s="1">
        <v>45530</v>
      </c>
      <c r="C5324" t="s">
        <v>46</v>
      </c>
      <c r="D5324" t="s">
        <v>56</v>
      </c>
      <c r="E5324" t="s">
        <v>13</v>
      </c>
      <c r="F5324" t="s">
        <v>19</v>
      </c>
      <c r="G5324" t="s">
        <v>15</v>
      </c>
      <c r="K5324" cm="1">
        <f t="array" ref="K5324">_xlfn.SWITCH(LeadsData[[#This Row],[Funnel Stage Reached]],"Lead",1,"MQL",2,"SQL",3,"Customer",4)</f>
        <v>1</v>
      </c>
      <c r="L5324" t="str">
        <f>TEXT(LeadsData[[#This Row],[Signup Date]],"mmm-yyyy")</f>
        <v>Aug-2024</v>
      </c>
      <c r="M5324">
        <f>IF(LeadsData[[#This Row],[Stage Number]]&gt;=2,1,0)</f>
        <v>0</v>
      </c>
      <c r="N5324" s="2">
        <f>IF(LeadsData[[#This Row],[Stage Number]]&gt;=3,1,0)</f>
        <v>0</v>
      </c>
      <c r="O5324" s="2">
        <f>IF(LeadsData[[#This Row],[Stage Number]]&gt;=4,1,0)</f>
        <v>0</v>
      </c>
    </row>
    <row r="5325" spans="1:15" x14ac:dyDescent="0.25">
      <c r="A5325" t="s">
        <v>5365</v>
      </c>
      <c r="B5325" s="1">
        <v>45375</v>
      </c>
      <c r="C5325" t="s">
        <v>25</v>
      </c>
      <c r="D5325" t="s">
        <v>26</v>
      </c>
      <c r="E5325" t="s">
        <v>13</v>
      </c>
      <c r="F5325" t="s">
        <v>22</v>
      </c>
      <c r="G5325" t="s">
        <v>15</v>
      </c>
      <c r="K5325" cm="1">
        <f t="array" ref="K5325">_xlfn.SWITCH(LeadsData[[#This Row],[Funnel Stage Reached]],"Lead",1,"MQL",2,"SQL",3,"Customer",4)</f>
        <v>1</v>
      </c>
      <c r="L5325" t="str">
        <f>TEXT(LeadsData[[#This Row],[Signup Date]],"mmm-yyyy")</f>
        <v>Mar-2024</v>
      </c>
      <c r="M5325">
        <f>IF(LeadsData[[#This Row],[Stage Number]]&gt;=2,1,0)</f>
        <v>0</v>
      </c>
      <c r="N5325" s="2">
        <f>IF(LeadsData[[#This Row],[Stage Number]]&gt;=3,1,0)</f>
        <v>0</v>
      </c>
      <c r="O5325" s="2">
        <f>IF(LeadsData[[#This Row],[Stage Number]]&gt;=4,1,0)</f>
        <v>0</v>
      </c>
    </row>
    <row r="5326" spans="1:15" x14ac:dyDescent="0.25">
      <c r="A5326" t="s">
        <v>5366</v>
      </c>
      <c r="B5326" s="1">
        <v>45292</v>
      </c>
      <c r="C5326" t="s">
        <v>17</v>
      </c>
      <c r="D5326" t="s">
        <v>53</v>
      </c>
      <c r="E5326" t="s">
        <v>13</v>
      </c>
      <c r="F5326" t="s">
        <v>22</v>
      </c>
      <c r="G5326" t="s">
        <v>15</v>
      </c>
      <c r="K5326" cm="1">
        <f t="array" ref="K5326">_xlfn.SWITCH(LeadsData[[#This Row],[Funnel Stage Reached]],"Lead",1,"MQL",2,"SQL",3,"Customer",4)</f>
        <v>1</v>
      </c>
      <c r="L5326" t="str">
        <f>TEXT(LeadsData[[#This Row],[Signup Date]],"mmm-yyyy")</f>
        <v>Jan-2024</v>
      </c>
      <c r="M5326">
        <f>IF(LeadsData[[#This Row],[Stage Number]]&gt;=2,1,0)</f>
        <v>0</v>
      </c>
      <c r="N5326" s="2">
        <f>IF(LeadsData[[#This Row],[Stage Number]]&gt;=3,1,0)</f>
        <v>0</v>
      </c>
      <c r="O5326" s="2">
        <f>IF(LeadsData[[#This Row],[Stage Number]]&gt;=4,1,0)</f>
        <v>0</v>
      </c>
    </row>
    <row r="5327" spans="1:15" x14ac:dyDescent="0.25">
      <c r="A5327" t="s">
        <v>5367</v>
      </c>
      <c r="B5327" s="1">
        <v>45539</v>
      </c>
      <c r="C5327" t="s">
        <v>17</v>
      </c>
      <c r="D5327" t="s">
        <v>18</v>
      </c>
      <c r="E5327" t="s">
        <v>21</v>
      </c>
      <c r="F5327" t="s">
        <v>22</v>
      </c>
      <c r="G5327" t="s">
        <v>23</v>
      </c>
      <c r="K5327" cm="1">
        <f t="array" ref="K5327">_xlfn.SWITCH(LeadsData[[#This Row],[Funnel Stage Reached]],"Lead",1,"MQL",2,"SQL",3,"Customer",4)</f>
        <v>2</v>
      </c>
      <c r="L5327" t="str">
        <f>TEXT(LeadsData[[#This Row],[Signup Date]],"mmm-yyyy")</f>
        <v>Sep-2024</v>
      </c>
      <c r="M5327">
        <f>IF(LeadsData[[#This Row],[Stage Number]]&gt;=2,1,0)</f>
        <v>1</v>
      </c>
      <c r="N5327" s="2">
        <f>IF(LeadsData[[#This Row],[Stage Number]]&gt;=3,1,0)</f>
        <v>0</v>
      </c>
      <c r="O5327" s="2">
        <f>IF(LeadsData[[#This Row],[Stage Number]]&gt;=4,1,0)</f>
        <v>0</v>
      </c>
    </row>
    <row r="5328" spans="1:15" x14ac:dyDescent="0.25">
      <c r="A5328" t="s">
        <v>5368</v>
      </c>
      <c r="B5328" s="1">
        <v>45600</v>
      </c>
      <c r="C5328" t="s">
        <v>11</v>
      </c>
      <c r="D5328" t="s">
        <v>12</v>
      </c>
      <c r="E5328" t="s">
        <v>13</v>
      </c>
      <c r="F5328" t="s">
        <v>19</v>
      </c>
      <c r="G5328" t="s">
        <v>15</v>
      </c>
      <c r="K5328" cm="1">
        <f t="array" ref="K5328">_xlfn.SWITCH(LeadsData[[#This Row],[Funnel Stage Reached]],"Lead",1,"MQL",2,"SQL",3,"Customer",4)</f>
        <v>1</v>
      </c>
      <c r="L5328" t="str">
        <f>TEXT(LeadsData[[#This Row],[Signup Date]],"mmm-yyyy")</f>
        <v>Nov-2024</v>
      </c>
      <c r="M5328">
        <f>IF(LeadsData[[#This Row],[Stage Number]]&gt;=2,1,0)</f>
        <v>0</v>
      </c>
      <c r="N5328" s="2">
        <f>IF(LeadsData[[#This Row],[Stage Number]]&gt;=3,1,0)</f>
        <v>0</v>
      </c>
      <c r="O5328" s="2">
        <f>IF(LeadsData[[#This Row],[Stage Number]]&gt;=4,1,0)</f>
        <v>0</v>
      </c>
    </row>
    <row r="5329" spans="1:15" x14ac:dyDescent="0.25">
      <c r="A5329" t="s">
        <v>5369</v>
      </c>
      <c r="B5329" s="1">
        <v>45530</v>
      </c>
      <c r="C5329" t="s">
        <v>46</v>
      </c>
      <c r="D5329" t="s">
        <v>47</v>
      </c>
      <c r="E5329" t="s">
        <v>48</v>
      </c>
      <c r="F5329" t="s">
        <v>19</v>
      </c>
      <c r="G5329" t="s">
        <v>15</v>
      </c>
      <c r="K5329" cm="1">
        <f t="array" ref="K5329">_xlfn.SWITCH(LeadsData[[#This Row],[Funnel Stage Reached]],"Lead",1,"MQL",2,"SQL",3,"Customer",4)</f>
        <v>1</v>
      </c>
      <c r="L5329" t="str">
        <f>TEXT(LeadsData[[#This Row],[Signup Date]],"mmm-yyyy")</f>
        <v>Aug-2024</v>
      </c>
      <c r="M5329">
        <f>IF(LeadsData[[#This Row],[Stage Number]]&gt;=2,1,0)</f>
        <v>0</v>
      </c>
      <c r="N5329" s="2">
        <f>IF(LeadsData[[#This Row],[Stage Number]]&gt;=3,1,0)</f>
        <v>0</v>
      </c>
      <c r="O5329" s="2">
        <f>IF(LeadsData[[#This Row],[Stage Number]]&gt;=4,1,0)</f>
        <v>0</v>
      </c>
    </row>
    <row r="5330" spans="1:15" x14ac:dyDescent="0.25">
      <c r="A5330" t="s">
        <v>5370</v>
      </c>
      <c r="B5330" s="1">
        <v>45540</v>
      </c>
      <c r="C5330" t="s">
        <v>11</v>
      </c>
      <c r="D5330" t="s">
        <v>79</v>
      </c>
      <c r="E5330" t="s">
        <v>21</v>
      </c>
      <c r="F5330" t="s">
        <v>19</v>
      </c>
      <c r="G5330" t="s">
        <v>23</v>
      </c>
      <c r="K5330" cm="1">
        <f t="array" ref="K5330">_xlfn.SWITCH(LeadsData[[#This Row],[Funnel Stage Reached]],"Lead",1,"MQL",2,"SQL",3,"Customer",4)</f>
        <v>2</v>
      </c>
      <c r="L5330" t="str">
        <f>TEXT(LeadsData[[#This Row],[Signup Date]],"mmm-yyyy")</f>
        <v>Sep-2024</v>
      </c>
      <c r="M5330">
        <f>IF(LeadsData[[#This Row],[Stage Number]]&gt;=2,1,0)</f>
        <v>1</v>
      </c>
      <c r="N5330" s="2">
        <f>IF(LeadsData[[#This Row],[Stage Number]]&gt;=3,1,0)</f>
        <v>0</v>
      </c>
      <c r="O5330" s="2">
        <f>IF(LeadsData[[#This Row],[Stage Number]]&gt;=4,1,0)</f>
        <v>0</v>
      </c>
    </row>
    <row r="5331" spans="1:15" x14ac:dyDescent="0.25">
      <c r="A5331" t="s">
        <v>5371</v>
      </c>
      <c r="B5331" s="1">
        <v>45570</v>
      </c>
      <c r="C5331" t="s">
        <v>36</v>
      </c>
      <c r="D5331" t="s">
        <v>37</v>
      </c>
      <c r="E5331" t="s">
        <v>13</v>
      </c>
      <c r="F5331" t="s">
        <v>19</v>
      </c>
      <c r="G5331" t="s">
        <v>15</v>
      </c>
      <c r="K5331" cm="1">
        <f t="array" ref="K5331">_xlfn.SWITCH(LeadsData[[#This Row],[Funnel Stage Reached]],"Lead",1,"MQL",2,"SQL",3,"Customer",4)</f>
        <v>1</v>
      </c>
      <c r="L5331" t="str">
        <f>TEXT(LeadsData[[#This Row],[Signup Date]],"mmm-yyyy")</f>
        <v>Oct-2024</v>
      </c>
      <c r="M5331">
        <f>IF(LeadsData[[#This Row],[Stage Number]]&gt;=2,1,0)</f>
        <v>0</v>
      </c>
      <c r="N5331" s="2">
        <f>IF(LeadsData[[#This Row],[Stage Number]]&gt;=3,1,0)</f>
        <v>0</v>
      </c>
      <c r="O5331" s="2">
        <f>IF(LeadsData[[#This Row],[Stage Number]]&gt;=4,1,0)</f>
        <v>0</v>
      </c>
    </row>
    <row r="5332" spans="1:15" x14ac:dyDescent="0.25">
      <c r="A5332" t="s">
        <v>5372</v>
      </c>
      <c r="B5332" s="1">
        <v>45627</v>
      </c>
      <c r="C5332" t="s">
        <v>31</v>
      </c>
      <c r="D5332" t="s">
        <v>34</v>
      </c>
      <c r="E5332" t="s">
        <v>21</v>
      </c>
      <c r="F5332" t="s">
        <v>22</v>
      </c>
      <c r="G5332" t="s">
        <v>15</v>
      </c>
      <c r="K5332" cm="1">
        <f t="array" ref="K5332">_xlfn.SWITCH(LeadsData[[#This Row],[Funnel Stage Reached]],"Lead",1,"MQL",2,"SQL",3,"Customer",4)</f>
        <v>1</v>
      </c>
      <c r="L5332" t="str">
        <f>TEXT(LeadsData[[#This Row],[Signup Date]],"mmm-yyyy")</f>
        <v>Dec-2024</v>
      </c>
      <c r="M5332">
        <f>IF(LeadsData[[#This Row],[Stage Number]]&gt;=2,1,0)</f>
        <v>0</v>
      </c>
      <c r="N5332" s="2">
        <f>IF(LeadsData[[#This Row],[Stage Number]]&gt;=3,1,0)</f>
        <v>0</v>
      </c>
      <c r="O5332" s="2">
        <f>IF(LeadsData[[#This Row],[Stage Number]]&gt;=4,1,0)</f>
        <v>0</v>
      </c>
    </row>
    <row r="5333" spans="1:15" x14ac:dyDescent="0.25">
      <c r="A5333" t="s">
        <v>5373</v>
      </c>
      <c r="B5333" s="1">
        <v>45607</v>
      </c>
      <c r="C5333" t="s">
        <v>17</v>
      </c>
      <c r="D5333" t="s">
        <v>53</v>
      </c>
      <c r="E5333" t="s">
        <v>13</v>
      </c>
      <c r="F5333" t="s">
        <v>19</v>
      </c>
      <c r="G5333" t="s">
        <v>23</v>
      </c>
      <c r="K5333" cm="1">
        <f t="array" ref="K5333">_xlfn.SWITCH(LeadsData[[#This Row],[Funnel Stage Reached]],"Lead",1,"MQL",2,"SQL",3,"Customer",4)</f>
        <v>2</v>
      </c>
      <c r="L5333" t="str">
        <f>TEXT(LeadsData[[#This Row],[Signup Date]],"mmm-yyyy")</f>
        <v>Nov-2024</v>
      </c>
      <c r="M5333">
        <f>IF(LeadsData[[#This Row],[Stage Number]]&gt;=2,1,0)</f>
        <v>1</v>
      </c>
      <c r="N5333" s="2">
        <f>IF(LeadsData[[#This Row],[Stage Number]]&gt;=3,1,0)</f>
        <v>0</v>
      </c>
      <c r="O5333" s="2">
        <f>IF(LeadsData[[#This Row],[Stage Number]]&gt;=4,1,0)</f>
        <v>0</v>
      </c>
    </row>
    <row r="5334" spans="1:15" x14ac:dyDescent="0.25">
      <c r="A5334" t="s">
        <v>5374</v>
      </c>
      <c r="B5334" s="1">
        <v>45324</v>
      </c>
      <c r="C5334" t="s">
        <v>25</v>
      </c>
      <c r="D5334" t="s">
        <v>26</v>
      </c>
      <c r="E5334" t="s">
        <v>13</v>
      </c>
      <c r="F5334" t="s">
        <v>19</v>
      </c>
      <c r="G5334" t="s">
        <v>23</v>
      </c>
      <c r="K5334" cm="1">
        <f t="array" ref="K5334">_xlfn.SWITCH(LeadsData[[#This Row],[Funnel Stage Reached]],"Lead",1,"MQL",2,"SQL",3,"Customer",4)</f>
        <v>2</v>
      </c>
      <c r="L5334" t="str">
        <f>TEXT(LeadsData[[#This Row],[Signup Date]],"mmm-yyyy")</f>
        <v>Feb-2024</v>
      </c>
      <c r="M5334">
        <f>IF(LeadsData[[#This Row],[Stage Number]]&gt;=2,1,0)</f>
        <v>1</v>
      </c>
      <c r="N5334" s="2">
        <f>IF(LeadsData[[#This Row],[Stage Number]]&gt;=3,1,0)</f>
        <v>0</v>
      </c>
      <c r="O5334" s="2">
        <f>IF(LeadsData[[#This Row],[Stage Number]]&gt;=4,1,0)</f>
        <v>0</v>
      </c>
    </row>
    <row r="5335" spans="1:15" x14ac:dyDescent="0.25">
      <c r="A5335" t="s">
        <v>5375</v>
      </c>
      <c r="B5335" s="1">
        <v>45319</v>
      </c>
      <c r="C5335" t="s">
        <v>46</v>
      </c>
      <c r="D5335" t="s">
        <v>56</v>
      </c>
      <c r="E5335" t="s">
        <v>13</v>
      </c>
      <c r="F5335" t="s">
        <v>14</v>
      </c>
      <c r="G5335" t="s">
        <v>29</v>
      </c>
      <c r="K5335" cm="1">
        <f t="array" ref="K5335">_xlfn.SWITCH(LeadsData[[#This Row],[Funnel Stage Reached]],"Lead",1,"MQL",2,"SQL",3,"Customer",4)</f>
        <v>3</v>
      </c>
      <c r="L5335" t="str">
        <f>TEXT(LeadsData[[#This Row],[Signup Date]],"mmm-yyyy")</f>
        <v>Jan-2024</v>
      </c>
      <c r="M5335">
        <f>IF(LeadsData[[#This Row],[Stage Number]]&gt;=2,1,0)</f>
        <v>1</v>
      </c>
      <c r="N5335" s="2">
        <f>IF(LeadsData[[#This Row],[Stage Number]]&gt;=3,1,0)</f>
        <v>1</v>
      </c>
      <c r="O5335" s="2">
        <f>IF(LeadsData[[#This Row],[Stage Number]]&gt;=4,1,0)</f>
        <v>0</v>
      </c>
    </row>
    <row r="5336" spans="1:15" x14ac:dyDescent="0.25">
      <c r="A5336" t="s">
        <v>5376</v>
      </c>
      <c r="B5336" s="1">
        <v>45360</v>
      </c>
      <c r="C5336" t="s">
        <v>31</v>
      </c>
      <c r="D5336" t="s">
        <v>32</v>
      </c>
      <c r="E5336" t="s">
        <v>13</v>
      </c>
      <c r="F5336" t="s">
        <v>19</v>
      </c>
      <c r="G5336" t="s">
        <v>29</v>
      </c>
      <c r="K5336" cm="1">
        <f t="array" ref="K5336">_xlfn.SWITCH(LeadsData[[#This Row],[Funnel Stage Reached]],"Lead",1,"MQL",2,"SQL",3,"Customer",4)</f>
        <v>3</v>
      </c>
      <c r="L5336" t="str">
        <f>TEXT(LeadsData[[#This Row],[Signup Date]],"mmm-yyyy")</f>
        <v>Mar-2024</v>
      </c>
      <c r="M5336">
        <f>IF(LeadsData[[#This Row],[Stage Number]]&gt;=2,1,0)</f>
        <v>1</v>
      </c>
      <c r="N5336" s="2">
        <f>IF(LeadsData[[#This Row],[Stage Number]]&gt;=3,1,0)</f>
        <v>1</v>
      </c>
      <c r="O5336" s="2">
        <f>IF(LeadsData[[#This Row],[Stage Number]]&gt;=4,1,0)</f>
        <v>0</v>
      </c>
    </row>
    <row r="5337" spans="1:15" x14ac:dyDescent="0.25">
      <c r="A5337" t="s">
        <v>5377</v>
      </c>
      <c r="B5337" s="1">
        <v>45590</v>
      </c>
      <c r="C5337" t="s">
        <v>36</v>
      </c>
      <c r="D5337" t="s">
        <v>50</v>
      </c>
      <c r="E5337" t="s">
        <v>21</v>
      </c>
      <c r="F5337" t="s">
        <v>22</v>
      </c>
      <c r="G5337" t="s">
        <v>15</v>
      </c>
      <c r="K5337" cm="1">
        <f t="array" ref="K5337">_xlfn.SWITCH(LeadsData[[#This Row],[Funnel Stage Reached]],"Lead",1,"MQL",2,"SQL",3,"Customer",4)</f>
        <v>1</v>
      </c>
      <c r="L5337" t="str">
        <f>TEXT(LeadsData[[#This Row],[Signup Date]],"mmm-yyyy")</f>
        <v>Oct-2024</v>
      </c>
      <c r="M5337">
        <f>IF(LeadsData[[#This Row],[Stage Number]]&gt;=2,1,0)</f>
        <v>0</v>
      </c>
      <c r="N5337" s="2">
        <f>IF(LeadsData[[#This Row],[Stage Number]]&gt;=3,1,0)</f>
        <v>0</v>
      </c>
      <c r="O5337" s="2">
        <f>IF(LeadsData[[#This Row],[Stage Number]]&gt;=4,1,0)</f>
        <v>0</v>
      </c>
    </row>
    <row r="5338" spans="1:15" x14ac:dyDescent="0.25">
      <c r="A5338" t="s">
        <v>5378</v>
      </c>
      <c r="B5338" s="1">
        <v>45617</v>
      </c>
      <c r="C5338" t="s">
        <v>11</v>
      </c>
      <c r="D5338" t="s">
        <v>12</v>
      </c>
      <c r="E5338" t="s">
        <v>13</v>
      </c>
      <c r="F5338" t="s">
        <v>22</v>
      </c>
      <c r="G5338" t="s">
        <v>23</v>
      </c>
      <c r="K5338" cm="1">
        <f t="array" ref="K5338">_xlfn.SWITCH(LeadsData[[#This Row],[Funnel Stage Reached]],"Lead",1,"MQL",2,"SQL",3,"Customer",4)</f>
        <v>2</v>
      </c>
      <c r="L5338" t="str">
        <f>TEXT(LeadsData[[#This Row],[Signup Date]],"mmm-yyyy")</f>
        <v>Nov-2024</v>
      </c>
      <c r="M5338">
        <f>IF(LeadsData[[#This Row],[Stage Number]]&gt;=2,1,0)</f>
        <v>1</v>
      </c>
      <c r="N5338" s="2">
        <f>IF(LeadsData[[#This Row],[Stage Number]]&gt;=3,1,0)</f>
        <v>0</v>
      </c>
      <c r="O5338" s="2">
        <f>IF(LeadsData[[#This Row],[Stage Number]]&gt;=4,1,0)</f>
        <v>0</v>
      </c>
    </row>
    <row r="5339" spans="1:15" x14ac:dyDescent="0.25">
      <c r="A5339" t="s">
        <v>5379</v>
      </c>
      <c r="B5339" s="1">
        <v>45423</v>
      </c>
      <c r="C5339" t="s">
        <v>17</v>
      </c>
      <c r="D5339" t="s">
        <v>53</v>
      </c>
      <c r="E5339" t="s">
        <v>21</v>
      </c>
      <c r="F5339" t="s">
        <v>14</v>
      </c>
      <c r="G5339" t="s">
        <v>15</v>
      </c>
      <c r="K5339" cm="1">
        <f t="array" ref="K5339">_xlfn.SWITCH(LeadsData[[#This Row],[Funnel Stage Reached]],"Lead",1,"MQL",2,"SQL",3,"Customer",4)</f>
        <v>1</v>
      </c>
      <c r="L5339" t="str">
        <f>TEXT(LeadsData[[#This Row],[Signup Date]],"mmm-yyyy")</f>
        <v>May-2024</v>
      </c>
      <c r="M5339">
        <f>IF(LeadsData[[#This Row],[Stage Number]]&gt;=2,1,0)</f>
        <v>0</v>
      </c>
      <c r="N5339" s="2">
        <f>IF(LeadsData[[#This Row],[Stage Number]]&gt;=3,1,0)</f>
        <v>0</v>
      </c>
      <c r="O5339" s="2">
        <f>IF(LeadsData[[#This Row],[Stage Number]]&gt;=4,1,0)</f>
        <v>0</v>
      </c>
    </row>
    <row r="5340" spans="1:15" x14ac:dyDescent="0.25">
      <c r="A5340" t="s">
        <v>5380</v>
      </c>
      <c r="B5340" s="1">
        <v>45404</v>
      </c>
      <c r="C5340" t="s">
        <v>46</v>
      </c>
      <c r="D5340" t="s">
        <v>56</v>
      </c>
      <c r="E5340" t="s">
        <v>48</v>
      </c>
      <c r="F5340" t="s">
        <v>19</v>
      </c>
      <c r="G5340" t="s">
        <v>23</v>
      </c>
      <c r="K5340" cm="1">
        <f t="array" ref="K5340">_xlfn.SWITCH(LeadsData[[#This Row],[Funnel Stage Reached]],"Lead",1,"MQL",2,"SQL",3,"Customer",4)</f>
        <v>2</v>
      </c>
      <c r="L5340" t="str">
        <f>TEXT(LeadsData[[#This Row],[Signup Date]],"mmm-yyyy")</f>
        <v>Apr-2024</v>
      </c>
      <c r="M5340">
        <f>IF(LeadsData[[#This Row],[Stage Number]]&gt;=2,1,0)</f>
        <v>1</v>
      </c>
      <c r="N5340" s="2">
        <f>IF(LeadsData[[#This Row],[Stage Number]]&gt;=3,1,0)</f>
        <v>0</v>
      </c>
      <c r="O5340" s="2">
        <f>IF(LeadsData[[#This Row],[Stage Number]]&gt;=4,1,0)</f>
        <v>0</v>
      </c>
    </row>
    <row r="5341" spans="1:15" x14ac:dyDescent="0.25">
      <c r="A5341" t="s">
        <v>5381</v>
      </c>
      <c r="B5341" s="1">
        <v>45299</v>
      </c>
      <c r="C5341" t="s">
        <v>17</v>
      </c>
      <c r="D5341" t="s">
        <v>53</v>
      </c>
      <c r="E5341" t="s">
        <v>13</v>
      </c>
      <c r="F5341" t="s">
        <v>14</v>
      </c>
      <c r="G5341" t="s">
        <v>23</v>
      </c>
      <c r="K5341" cm="1">
        <f t="array" ref="K5341">_xlfn.SWITCH(LeadsData[[#This Row],[Funnel Stage Reached]],"Lead",1,"MQL",2,"SQL",3,"Customer",4)</f>
        <v>2</v>
      </c>
      <c r="L5341" t="str">
        <f>TEXT(LeadsData[[#This Row],[Signup Date]],"mmm-yyyy")</f>
        <v>Jan-2024</v>
      </c>
      <c r="M5341">
        <f>IF(LeadsData[[#This Row],[Stage Number]]&gt;=2,1,0)</f>
        <v>1</v>
      </c>
      <c r="N5341" s="2">
        <f>IF(LeadsData[[#This Row],[Stage Number]]&gt;=3,1,0)</f>
        <v>0</v>
      </c>
      <c r="O5341" s="2">
        <f>IF(LeadsData[[#This Row],[Stage Number]]&gt;=4,1,0)</f>
        <v>0</v>
      </c>
    </row>
    <row r="5342" spans="1:15" x14ac:dyDescent="0.25">
      <c r="A5342" t="s">
        <v>5382</v>
      </c>
      <c r="B5342" s="1">
        <v>45340</v>
      </c>
      <c r="C5342" t="s">
        <v>46</v>
      </c>
      <c r="D5342" t="s">
        <v>47</v>
      </c>
      <c r="E5342" t="s">
        <v>13</v>
      </c>
      <c r="F5342" t="s">
        <v>19</v>
      </c>
      <c r="G5342" t="s">
        <v>29</v>
      </c>
      <c r="K5342" cm="1">
        <f t="array" ref="K5342">_xlfn.SWITCH(LeadsData[[#This Row],[Funnel Stage Reached]],"Lead",1,"MQL",2,"SQL",3,"Customer",4)</f>
        <v>3</v>
      </c>
      <c r="L5342" t="str">
        <f>TEXT(LeadsData[[#This Row],[Signup Date]],"mmm-yyyy")</f>
        <v>Feb-2024</v>
      </c>
      <c r="M5342">
        <f>IF(LeadsData[[#This Row],[Stage Number]]&gt;=2,1,0)</f>
        <v>1</v>
      </c>
      <c r="N5342" s="2">
        <f>IF(LeadsData[[#This Row],[Stage Number]]&gt;=3,1,0)</f>
        <v>1</v>
      </c>
      <c r="O5342" s="2">
        <f>IF(LeadsData[[#This Row],[Stage Number]]&gt;=4,1,0)</f>
        <v>0</v>
      </c>
    </row>
    <row r="5343" spans="1:15" x14ac:dyDescent="0.25">
      <c r="A5343" t="s">
        <v>5383</v>
      </c>
      <c r="B5343" s="1">
        <v>45560</v>
      </c>
      <c r="C5343" t="s">
        <v>36</v>
      </c>
      <c r="D5343" t="s">
        <v>37</v>
      </c>
      <c r="E5343" t="s">
        <v>21</v>
      </c>
      <c r="F5343" t="s">
        <v>19</v>
      </c>
      <c r="G5343" t="s">
        <v>15</v>
      </c>
      <c r="K5343" cm="1">
        <f t="array" ref="K5343">_xlfn.SWITCH(LeadsData[[#This Row],[Funnel Stage Reached]],"Lead",1,"MQL",2,"SQL",3,"Customer",4)</f>
        <v>1</v>
      </c>
      <c r="L5343" t="str">
        <f>TEXT(LeadsData[[#This Row],[Signup Date]],"mmm-yyyy")</f>
        <v>Sep-2024</v>
      </c>
      <c r="M5343">
        <f>IF(LeadsData[[#This Row],[Stage Number]]&gt;=2,1,0)</f>
        <v>0</v>
      </c>
      <c r="N5343" s="2">
        <f>IF(LeadsData[[#This Row],[Stage Number]]&gt;=3,1,0)</f>
        <v>0</v>
      </c>
      <c r="O5343" s="2">
        <f>IF(LeadsData[[#This Row],[Stage Number]]&gt;=4,1,0)</f>
        <v>0</v>
      </c>
    </row>
    <row r="5344" spans="1:15" x14ac:dyDescent="0.25">
      <c r="A5344" t="s">
        <v>5384</v>
      </c>
      <c r="B5344" s="1">
        <v>45525</v>
      </c>
      <c r="C5344" t="s">
        <v>36</v>
      </c>
      <c r="D5344" t="s">
        <v>50</v>
      </c>
      <c r="E5344" t="s">
        <v>21</v>
      </c>
      <c r="F5344" t="s">
        <v>22</v>
      </c>
      <c r="G5344" t="s">
        <v>29</v>
      </c>
      <c r="K5344" cm="1">
        <f t="array" ref="K5344">_xlfn.SWITCH(LeadsData[[#This Row],[Funnel Stage Reached]],"Lead",1,"MQL",2,"SQL",3,"Customer",4)</f>
        <v>3</v>
      </c>
      <c r="L5344" t="str">
        <f>TEXT(LeadsData[[#This Row],[Signup Date]],"mmm-yyyy")</f>
        <v>Aug-2024</v>
      </c>
      <c r="M5344">
        <f>IF(LeadsData[[#This Row],[Stage Number]]&gt;=2,1,0)</f>
        <v>1</v>
      </c>
      <c r="N5344" s="2">
        <f>IF(LeadsData[[#This Row],[Stage Number]]&gt;=3,1,0)</f>
        <v>1</v>
      </c>
      <c r="O5344" s="2">
        <f>IF(LeadsData[[#This Row],[Stage Number]]&gt;=4,1,0)</f>
        <v>0</v>
      </c>
    </row>
    <row r="5345" spans="1:15" x14ac:dyDescent="0.25">
      <c r="A5345" t="s">
        <v>5385</v>
      </c>
      <c r="B5345" s="1">
        <v>45389</v>
      </c>
      <c r="C5345" t="s">
        <v>31</v>
      </c>
      <c r="D5345" t="s">
        <v>34</v>
      </c>
      <c r="E5345" t="s">
        <v>13</v>
      </c>
      <c r="F5345" t="s">
        <v>19</v>
      </c>
      <c r="G5345" t="s">
        <v>23</v>
      </c>
      <c r="K5345" cm="1">
        <f t="array" ref="K5345">_xlfn.SWITCH(LeadsData[[#This Row],[Funnel Stage Reached]],"Lead",1,"MQL",2,"SQL",3,"Customer",4)</f>
        <v>2</v>
      </c>
      <c r="L5345" t="str">
        <f>TEXT(LeadsData[[#This Row],[Signup Date]],"mmm-yyyy")</f>
        <v>Apr-2024</v>
      </c>
      <c r="M5345">
        <f>IF(LeadsData[[#This Row],[Stage Number]]&gt;=2,1,0)</f>
        <v>1</v>
      </c>
      <c r="N5345" s="2">
        <f>IF(LeadsData[[#This Row],[Stage Number]]&gt;=3,1,0)</f>
        <v>0</v>
      </c>
      <c r="O5345" s="2">
        <f>IF(LeadsData[[#This Row],[Stage Number]]&gt;=4,1,0)</f>
        <v>0</v>
      </c>
    </row>
    <row r="5346" spans="1:15" x14ac:dyDescent="0.25">
      <c r="A5346" t="s">
        <v>5386</v>
      </c>
      <c r="B5346" s="1">
        <v>45349</v>
      </c>
      <c r="C5346" t="s">
        <v>31</v>
      </c>
      <c r="D5346" t="s">
        <v>32</v>
      </c>
      <c r="E5346" t="s">
        <v>21</v>
      </c>
      <c r="F5346" t="s">
        <v>19</v>
      </c>
      <c r="G5346" t="s">
        <v>23</v>
      </c>
      <c r="K5346" cm="1">
        <f t="array" ref="K5346">_xlfn.SWITCH(LeadsData[[#This Row],[Funnel Stage Reached]],"Lead",1,"MQL",2,"SQL",3,"Customer",4)</f>
        <v>2</v>
      </c>
      <c r="L5346" t="str">
        <f>TEXT(LeadsData[[#This Row],[Signup Date]],"mmm-yyyy")</f>
        <v>Feb-2024</v>
      </c>
      <c r="M5346">
        <f>IF(LeadsData[[#This Row],[Stage Number]]&gt;=2,1,0)</f>
        <v>1</v>
      </c>
      <c r="N5346" s="2">
        <f>IF(LeadsData[[#This Row],[Stage Number]]&gt;=3,1,0)</f>
        <v>0</v>
      </c>
      <c r="O5346" s="2">
        <f>IF(LeadsData[[#This Row],[Stage Number]]&gt;=4,1,0)</f>
        <v>0</v>
      </c>
    </row>
    <row r="5347" spans="1:15" x14ac:dyDescent="0.25">
      <c r="A5347" t="s">
        <v>5387</v>
      </c>
      <c r="B5347" s="1">
        <v>45385</v>
      </c>
      <c r="C5347" t="s">
        <v>31</v>
      </c>
      <c r="D5347" t="s">
        <v>34</v>
      </c>
      <c r="E5347" t="s">
        <v>13</v>
      </c>
      <c r="F5347" t="s">
        <v>19</v>
      </c>
      <c r="G5347" t="s">
        <v>23</v>
      </c>
      <c r="K5347" cm="1">
        <f t="array" ref="K5347">_xlfn.SWITCH(LeadsData[[#This Row],[Funnel Stage Reached]],"Lead",1,"MQL",2,"SQL",3,"Customer",4)</f>
        <v>2</v>
      </c>
      <c r="L5347" t="str">
        <f>TEXT(LeadsData[[#This Row],[Signup Date]],"mmm-yyyy")</f>
        <v>Apr-2024</v>
      </c>
      <c r="M5347">
        <f>IF(LeadsData[[#This Row],[Stage Number]]&gt;=2,1,0)</f>
        <v>1</v>
      </c>
      <c r="N5347" s="2">
        <f>IF(LeadsData[[#This Row],[Stage Number]]&gt;=3,1,0)</f>
        <v>0</v>
      </c>
      <c r="O5347" s="2">
        <f>IF(LeadsData[[#This Row],[Stage Number]]&gt;=4,1,0)</f>
        <v>0</v>
      </c>
    </row>
    <row r="5348" spans="1:15" x14ac:dyDescent="0.25">
      <c r="A5348" t="s">
        <v>5388</v>
      </c>
      <c r="B5348" s="1">
        <v>45538</v>
      </c>
      <c r="C5348" t="s">
        <v>36</v>
      </c>
      <c r="D5348" t="s">
        <v>50</v>
      </c>
      <c r="E5348" t="s">
        <v>21</v>
      </c>
      <c r="F5348" t="s">
        <v>22</v>
      </c>
      <c r="G5348" t="s">
        <v>15</v>
      </c>
      <c r="K5348" cm="1">
        <f t="array" ref="K5348">_xlfn.SWITCH(LeadsData[[#This Row],[Funnel Stage Reached]],"Lead",1,"MQL",2,"SQL",3,"Customer",4)</f>
        <v>1</v>
      </c>
      <c r="L5348" t="str">
        <f>TEXT(LeadsData[[#This Row],[Signup Date]],"mmm-yyyy")</f>
        <v>Sep-2024</v>
      </c>
      <c r="M5348">
        <f>IF(LeadsData[[#This Row],[Stage Number]]&gt;=2,1,0)</f>
        <v>0</v>
      </c>
      <c r="N5348" s="2">
        <f>IF(LeadsData[[#This Row],[Stage Number]]&gt;=3,1,0)</f>
        <v>0</v>
      </c>
      <c r="O5348" s="2">
        <f>IF(LeadsData[[#This Row],[Stage Number]]&gt;=4,1,0)</f>
        <v>0</v>
      </c>
    </row>
    <row r="5349" spans="1:15" x14ac:dyDescent="0.25">
      <c r="A5349" t="s">
        <v>5389</v>
      </c>
      <c r="B5349" s="1">
        <v>45584</v>
      </c>
      <c r="C5349" t="s">
        <v>11</v>
      </c>
      <c r="D5349" t="s">
        <v>12</v>
      </c>
      <c r="E5349" t="s">
        <v>48</v>
      </c>
      <c r="F5349" t="s">
        <v>22</v>
      </c>
      <c r="G5349" t="s">
        <v>15</v>
      </c>
      <c r="K5349" cm="1">
        <f t="array" ref="K5349">_xlfn.SWITCH(LeadsData[[#This Row],[Funnel Stage Reached]],"Lead",1,"MQL",2,"SQL",3,"Customer",4)</f>
        <v>1</v>
      </c>
      <c r="L5349" t="str">
        <f>TEXT(LeadsData[[#This Row],[Signup Date]],"mmm-yyyy")</f>
        <v>Oct-2024</v>
      </c>
      <c r="M5349">
        <f>IF(LeadsData[[#This Row],[Stage Number]]&gt;=2,1,0)</f>
        <v>0</v>
      </c>
      <c r="N5349" s="2">
        <f>IF(LeadsData[[#This Row],[Stage Number]]&gt;=3,1,0)</f>
        <v>0</v>
      </c>
      <c r="O5349" s="2">
        <f>IF(LeadsData[[#This Row],[Stage Number]]&gt;=4,1,0)</f>
        <v>0</v>
      </c>
    </row>
    <row r="5350" spans="1:15" x14ac:dyDescent="0.25">
      <c r="A5350" t="s">
        <v>5390</v>
      </c>
      <c r="B5350" s="1">
        <v>45453</v>
      </c>
      <c r="C5350" t="s">
        <v>17</v>
      </c>
      <c r="D5350" t="s">
        <v>18</v>
      </c>
      <c r="E5350" t="s">
        <v>13</v>
      </c>
      <c r="F5350" t="s">
        <v>19</v>
      </c>
      <c r="G5350" t="s">
        <v>15</v>
      </c>
      <c r="K5350" cm="1">
        <f t="array" ref="K5350">_xlfn.SWITCH(LeadsData[[#This Row],[Funnel Stage Reached]],"Lead",1,"MQL",2,"SQL",3,"Customer",4)</f>
        <v>1</v>
      </c>
      <c r="L5350" t="str">
        <f>TEXT(LeadsData[[#This Row],[Signup Date]],"mmm-yyyy")</f>
        <v>Jun-2024</v>
      </c>
      <c r="M5350">
        <f>IF(LeadsData[[#This Row],[Stage Number]]&gt;=2,1,0)</f>
        <v>0</v>
      </c>
      <c r="N5350" s="2">
        <f>IF(LeadsData[[#This Row],[Stage Number]]&gt;=3,1,0)</f>
        <v>0</v>
      </c>
      <c r="O5350" s="2">
        <f>IF(LeadsData[[#This Row],[Stage Number]]&gt;=4,1,0)</f>
        <v>0</v>
      </c>
    </row>
    <row r="5351" spans="1:15" x14ac:dyDescent="0.25">
      <c r="A5351" t="s">
        <v>5391</v>
      </c>
      <c r="B5351" s="1">
        <v>45623</v>
      </c>
      <c r="C5351" t="s">
        <v>17</v>
      </c>
      <c r="D5351" t="s">
        <v>18</v>
      </c>
      <c r="E5351" t="s">
        <v>13</v>
      </c>
      <c r="F5351" t="s">
        <v>22</v>
      </c>
      <c r="G5351" t="s">
        <v>23</v>
      </c>
      <c r="K5351" cm="1">
        <f t="array" ref="K5351">_xlfn.SWITCH(LeadsData[[#This Row],[Funnel Stage Reached]],"Lead",1,"MQL",2,"SQL",3,"Customer",4)</f>
        <v>2</v>
      </c>
      <c r="L5351" t="str">
        <f>TEXT(LeadsData[[#This Row],[Signup Date]],"mmm-yyyy")</f>
        <v>Nov-2024</v>
      </c>
      <c r="M5351">
        <f>IF(LeadsData[[#This Row],[Stage Number]]&gt;=2,1,0)</f>
        <v>1</v>
      </c>
      <c r="N5351" s="2">
        <f>IF(LeadsData[[#This Row],[Stage Number]]&gt;=3,1,0)</f>
        <v>0</v>
      </c>
      <c r="O5351" s="2">
        <f>IF(LeadsData[[#This Row],[Stage Number]]&gt;=4,1,0)</f>
        <v>0</v>
      </c>
    </row>
    <row r="5352" spans="1:15" x14ac:dyDescent="0.25">
      <c r="A5352" t="s">
        <v>5392</v>
      </c>
      <c r="B5352" s="1">
        <v>45555</v>
      </c>
      <c r="C5352" t="s">
        <v>17</v>
      </c>
      <c r="D5352" t="s">
        <v>18</v>
      </c>
      <c r="E5352" t="s">
        <v>13</v>
      </c>
      <c r="F5352" t="s">
        <v>19</v>
      </c>
      <c r="G5352" t="s">
        <v>15</v>
      </c>
      <c r="K5352" cm="1">
        <f t="array" ref="K5352">_xlfn.SWITCH(LeadsData[[#This Row],[Funnel Stage Reached]],"Lead",1,"MQL",2,"SQL",3,"Customer",4)</f>
        <v>1</v>
      </c>
      <c r="L5352" t="str">
        <f>TEXT(LeadsData[[#This Row],[Signup Date]],"mmm-yyyy")</f>
        <v>Sep-2024</v>
      </c>
      <c r="M5352">
        <f>IF(LeadsData[[#This Row],[Stage Number]]&gt;=2,1,0)</f>
        <v>0</v>
      </c>
      <c r="N5352" s="2">
        <f>IF(LeadsData[[#This Row],[Stage Number]]&gt;=3,1,0)</f>
        <v>0</v>
      </c>
      <c r="O5352" s="2">
        <f>IF(LeadsData[[#This Row],[Stage Number]]&gt;=4,1,0)</f>
        <v>0</v>
      </c>
    </row>
    <row r="5353" spans="1:15" x14ac:dyDescent="0.25">
      <c r="A5353" t="s">
        <v>5393</v>
      </c>
      <c r="B5353" s="1">
        <v>45371</v>
      </c>
      <c r="C5353" t="s">
        <v>36</v>
      </c>
      <c r="D5353" t="s">
        <v>50</v>
      </c>
      <c r="E5353" t="s">
        <v>13</v>
      </c>
      <c r="F5353" t="s">
        <v>28</v>
      </c>
      <c r="G5353" t="s">
        <v>42</v>
      </c>
      <c r="H5353">
        <v>71</v>
      </c>
      <c r="I5353" t="s">
        <v>43</v>
      </c>
      <c r="J5353">
        <v>1051.79</v>
      </c>
      <c r="K5353" cm="1">
        <f t="array" ref="K5353">_xlfn.SWITCH(LeadsData[[#This Row],[Funnel Stage Reached]],"Lead",1,"MQL",2,"SQL",3,"Customer",4)</f>
        <v>4</v>
      </c>
      <c r="L5353" t="str">
        <f>TEXT(LeadsData[[#This Row],[Signup Date]],"mmm-yyyy")</f>
        <v>Mar-2024</v>
      </c>
      <c r="M5353">
        <f>IF(LeadsData[[#This Row],[Stage Number]]&gt;=2,1,0)</f>
        <v>1</v>
      </c>
      <c r="N5353" s="2">
        <f>IF(LeadsData[[#This Row],[Stage Number]]&gt;=3,1,0)</f>
        <v>1</v>
      </c>
      <c r="O5353" s="2">
        <f>IF(LeadsData[[#This Row],[Stage Number]]&gt;=4,1,0)</f>
        <v>1</v>
      </c>
    </row>
    <row r="5354" spans="1:15" x14ac:dyDescent="0.25">
      <c r="A5354" t="s">
        <v>5394</v>
      </c>
      <c r="B5354" s="1">
        <v>45622</v>
      </c>
      <c r="C5354" t="s">
        <v>25</v>
      </c>
      <c r="D5354" t="s">
        <v>26</v>
      </c>
      <c r="E5354" t="s">
        <v>21</v>
      </c>
      <c r="F5354" t="s">
        <v>19</v>
      </c>
      <c r="G5354" t="s">
        <v>15</v>
      </c>
      <c r="K5354" cm="1">
        <f t="array" ref="K5354">_xlfn.SWITCH(LeadsData[[#This Row],[Funnel Stage Reached]],"Lead",1,"MQL",2,"SQL",3,"Customer",4)</f>
        <v>1</v>
      </c>
      <c r="L5354" t="str">
        <f>TEXT(LeadsData[[#This Row],[Signup Date]],"mmm-yyyy")</f>
        <v>Nov-2024</v>
      </c>
      <c r="M5354">
        <f>IF(LeadsData[[#This Row],[Stage Number]]&gt;=2,1,0)</f>
        <v>0</v>
      </c>
      <c r="N5354" s="2">
        <f>IF(LeadsData[[#This Row],[Stage Number]]&gt;=3,1,0)</f>
        <v>0</v>
      </c>
      <c r="O5354" s="2">
        <f>IF(LeadsData[[#This Row],[Stage Number]]&gt;=4,1,0)</f>
        <v>0</v>
      </c>
    </row>
    <row r="5355" spans="1:15" x14ac:dyDescent="0.25">
      <c r="A5355" t="s">
        <v>5395</v>
      </c>
      <c r="B5355" s="1">
        <v>45469</v>
      </c>
      <c r="C5355" t="s">
        <v>31</v>
      </c>
      <c r="D5355" t="s">
        <v>34</v>
      </c>
      <c r="E5355" t="s">
        <v>21</v>
      </c>
      <c r="F5355" t="s">
        <v>14</v>
      </c>
      <c r="G5355" t="s">
        <v>23</v>
      </c>
      <c r="K5355" cm="1">
        <f t="array" ref="K5355">_xlfn.SWITCH(LeadsData[[#This Row],[Funnel Stage Reached]],"Lead",1,"MQL",2,"SQL",3,"Customer",4)</f>
        <v>2</v>
      </c>
      <c r="L5355" t="str">
        <f>TEXT(LeadsData[[#This Row],[Signup Date]],"mmm-yyyy")</f>
        <v>Jun-2024</v>
      </c>
      <c r="M5355">
        <f>IF(LeadsData[[#This Row],[Stage Number]]&gt;=2,1,0)</f>
        <v>1</v>
      </c>
      <c r="N5355" s="2">
        <f>IF(LeadsData[[#This Row],[Stage Number]]&gt;=3,1,0)</f>
        <v>0</v>
      </c>
      <c r="O5355" s="2">
        <f>IF(LeadsData[[#This Row],[Stage Number]]&gt;=4,1,0)</f>
        <v>0</v>
      </c>
    </row>
    <row r="5356" spans="1:15" x14ac:dyDescent="0.25">
      <c r="A5356" t="s">
        <v>5396</v>
      </c>
      <c r="B5356" s="1">
        <v>45295</v>
      </c>
      <c r="C5356" t="s">
        <v>11</v>
      </c>
      <c r="D5356" t="s">
        <v>79</v>
      </c>
      <c r="E5356" t="s">
        <v>13</v>
      </c>
      <c r="F5356" t="s">
        <v>22</v>
      </c>
      <c r="G5356" t="s">
        <v>15</v>
      </c>
      <c r="K5356" cm="1">
        <f t="array" ref="K5356">_xlfn.SWITCH(LeadsData[[#This Row],[Funnel Stage Reached]],"Lead",1,"MQL",2,"SQL",3,"Customer",4)</f>
        <v>1</v>
      </c>
      <c r="L5356" t="str">
        <f>TEXT(LeadsData[[#This Row],[Signup Date]],"mmm-yyyy")</f>
        <v>Jan-2024</v>
      </c>
      <c r="M5356">
        <f>IF(LeadsData[[#This Row],[Stage Number]]&gt;=2,1,0)</f>
        <v>0</v>
      </c>
      <c r="N5356" s="2">
        <f>IF(LeadsData[[#This Row],[Stage Number]]&gt;=3,1,0)</f>
        <v>0</v>
      </c>
      <c r="O5356" s="2">
        <f>IF(LeadsData[[#This Row],[Stage Number]]&gt;=4,1,0)</f>
        <v>0</v>
      </c>
    </row>
    <row r="5357" spans="1:15" x14ac:dyDescent="0.25">
      <c r="A5357" t="s">
        <v>5397</v>
      </c>
      <c r="B5357" s="1">
        <v>45369</v>
      </c>
      <c r="C5357" t="s">
        <v>11</v>
      </c>
      <c r="D5357" t="s">
        <v>79</v>
      </c>
      <c r="E5357" t="s">
        <v>48</v>
      </c>
      <c r="F5357" t="s">
        <v>19</v>
      </c>
      <c r="G5357" t="s">
        <v>15</v>
      </c>
      <c r="K5357" cm="1">
        <f t="array" ref="K5357">_xlfn.SWITCH(LeadsData[[#This Row],[Funnel Stage Reached]],"Lead",1,"MQL",2,"SQL",3,"Customer",4)</f>
        <v>1</v>
      </c>
      <c r="L5357" t="str">
        <f>TEXT(LeadsData[[#This Row],[Signup Date]],"mmm-yyyy")</f>
        <v>Mar-2024</v>
      </c>
      <c r="M5357">
        <f>IF(LeadsData[[#This Row],[Stage Number]]&gt;=2,1,0)</f>
        <v>0</v>
      </c>
      <c r="N5357" s="2">
        <f>IF(LeadsData[[#This Row],[Stage Number]]&gt;=3,1,0)</f>
        <v>0</v>
      </c>
      <c r="O5357" s="2">
        <f>IF(LeadsData[[#This Row],[Stage Number]]&gt;=4,1,0)</f>
        <v>0</v>
      </c>
    </row>
    <row r="5358" spans="1:15" x14ac:dyDescent="0.25">
      <c r="A5358" t="s">
        <v>5398</v>
      </c>
      <c r="B5358" s="1">
        <v>45421</v>
      </c>
      <c r="C5358" t="s">
        <v>46</v>
      </c>
      <c r="D5358" t="s">
        <v>56</v>
      </c>
      <c r="E5358" t="s">
        <v>21</v>
      </c>
      <c r="F5358" t="s">
        <v>22</v>
      </c>
      <c r="G5358" t="s">
        <v>15</v>
      </c>
      <c r="K5358" cm="1">
        <f t="array" ref="K5358">_xlfn.SWITCH(LeadsData[[#This Row],[Funnel Stage Reached]],"Lead",1,"MQL",2,"SQL",3,"Customer",4)</f>
        <v>1</v>
      </c>
      <c r="L5358" t="str">
        <f>TEXT(LeadsData[[#This Row],[Signup Date]],"mmm-yyyy")</f>
        <v>May-2024</v>
      </c>
      <c r="M5358">
        <f>IF(LeadsData[[#This Row],[Stage Number]]&gt;=2,1,0)</f>
        <v>0</v>
      </c>
      <c r="N5358" s="2">
        <f>IF(LeadsData[[#This Row],[Stage Number]]&gt;=3,1,0)</f>
        <v>0</v>
      </c>
      <c r="O5358" s="2">
        <f>IF(LeadsData[[#This Row],[Stage Number]]&gt;=4,1,0)</f>
        <v>0</v>
      </c>
    </row>
    <row r="5359" spans="1:15" x14ac:dyDescent="0.25">
      <c r="A5359" t="s">
        <v>5399</v>
      </c>
      <c r="B5359" s="1">
        <v>45604</v>
      </c>
      <c r="C5359" t="s">
        <v>11</v>
      </c>
      <c r="D5359" t="s">
        <v>12</v>
      </c>
      <c r="E5359" t="s">
        <v>21</v>
      </c>
      <c r="F5359" t="s">
        <v>28</v>
      </c>
      <c r="G5359" t="s">
        <v>15</v>
      </c>
      <c r="K5359" cm="1">
        <f t="array" ref="K5359">_xlfn.SWITCH(LeadsData[[#This Row],[Funnel Stage Reached]],"Lead",1,"MQL",2,"SQL",3,"Customer",4)</f>
        <v>1</v>
      </c>
      <c r="L5359" t="str">
        <f>TEXT(LeadsData[[#This Row],[Signup Date]],"mmm-yyyy")</f>
        <v>Nov-2024</v>
      </c>
      <c r="M5359">
        <f>IF(LeadsData[[#This Row],[Stage Number]]&gt;=2,1,0)</f>
        <v>0</v>
      </c>
      <c r="N5359" s="2">
        <f>IF(LeadsData[[#This Row],[Stage Number]]&gt;=3,1,0)</f>
        <v>0</v>
      </c>
      <c r="O5359" s="2">
        <f>IF(LeadsData[[#This Row],[Stage Number]]&gt;=4,1,0)</f>
        <v>0</v>
      </c>
    </row>
    <row r="5360" spans="1:15" x14ac:dyDescent="0.25">
      <c r="A5360" t="s">
        <v>5400</v>
      </c>
      <c r="B5360" s="1">
        <v>45315</v>
      </c>
      <c r="C5360" t="s">
        <v>17</v>
      </c>
      <c r="D5360" t="s">
        <v>18</v>
      </c>
      <c r="E5360" t="s">
        <v>21</v>
      </c>
      <c r="F5360" t="s">
        <v>19</v>
      </c>
      <c r="G5360" t="s">
        <v>15</v>
      </c>
      <c r="K5360" cm="1">
        <f t="array" ref="K5360">_xlfn.SWITCH(LeadsData[[#This Row],[Funnel Stage Reached]],"Lead",1,"MQL",2,"SQL",3,"Customer",4)</f>
        <v>1</v>
      </c>
      <c r="L5360" t="str">
        <f>TEXT(LeadsData[[#This Row],[Signup Date]],"mmm-yyyy")</f>
        <v>Jan-2024</v>
      </c>
      <c r="M5360">
        <f>IF(LeadsData[[#This Row],[Stage Number]]&gt;=2,1,0)</f>
        <v>0</v>
      </c>
      <c r="N5360" s="2">
        <f>IF(LeadsData[[#This Row],[Stage Number]]&gt;=3,1,0)</f>
        <v>0</v>
      </c>
      <c r="O5360" s="2">
        <f>IF(LeadsData[[#This Row],[Stage Number]]&gt;=4,1,0)</f>
        <v>0</v>
      </c>
    </row>
    <row r="5361" spans="1:15" x14ac:dyDescent="0.25">
      <c r="A5361" t="s">
        <v>5401</v>
      </c>
      <c r="B5361" s="1">
        <v>45551</v>
      </c>
      <c r="C5361" t="s">
        <v>46</v>
      </c>
      <c r="D5361" t="s">
        <v>47</v>
      </c>
      <c r="E5361" t="s">
        <v>48</v>
      </c>
      <c r="F5361" t="s">
        <v>19</v>
      </c>
      <c r="G5361" t="s">
        <v>15</v>
      </c>
      <c r="K5361" cm="1">
        <f t="array" ref="K5361">_xlfn.SWITCH(LeadsData[[#This Row],[Funnel Stage Reached]],"Lead",1,"MQL",2,"SQL",3,"Customer",4)</f>
        <v>1</v>
      </c>
      <c r="L5361" t="str">
        <f>TEXT(LeadsData[[#This Row],[Signup Date]],"mmm-yyyy")</f>
        <v>Sep-2024</v>
      </c>
      <c r="M5361">
        <f>IF(LeadsData[[#This Row],[Stage Number]]&gt;=2,1,0)</f>
        <v>0</v>
      </c>
      <c r="N5361" s="2">
        <f>IF(LeadsData[[#This Row],[Stage Number]]&gt;=3,1,0)</f>
        <v>0</v>
      </c>
      <c r="O5361" s="2">
        <f>IF(LeadsData[[#This Row],[Stage Number]]&gt;=4,1,0)</f>
        <v>0</v>
      </c>
    </row>
    <row r="5362" spans="1:15" x14ac:dyDescent="0.25">
      <c r="A5362" t="s">
        <v>5402</v>
      </c>
      <c r="B5362" s="1">
        <v>45586</v>
      </c>
      <c r="C5362" t="s">
        <v>11</v>
      </c>
      <c r="D5362" t="s">
        <v>68</v>
      </c>
      <c r="E5362" t="s">
        <v>13</v>
      </c>
      <c r="F5362" t="s">
        <v>19</v>
      </c>
      <c r="G5362" t="s">
        <v>15</v>
      </c>
      <c r="K5362" cm="1">
        <f t="array" ref="K5362">_xlfn.SWITCH(LeadsData[[#This Row],[Funnel Stage Reached]],"Lead",1,"MQL",2,"SQL",3,"Customer",4)</f>
        <v>1</v>
      </c>
      <c r="L5362" t="str">
        <f>TEXT(LeadsData[[#This Row],[Signup Date]],"mmm-yyyy")</f>
        <v>Oct-2024</v>
      </c>
      <c r="M5362">
        <f>IF(LeadsData[[#This Row],[Stage Number]]&gt;=2,1,0)</f>
        <v>0</v>
      </c>
      <c r="N5362" s="2">
        <f>IF(LeadsData[[#This Row],[Stage Number]]&gt;=3,1,0)</f>
        <v>0</v>
      </c>
      <c r="O5362" s="2">
        <f>IF(LeadsData[[#This Row],[Stage Number]]&gt;=4,1,0)</f>
        <v>0</v>
      </c>
    </row>
    <row r="5363" spans="1:15" x14ac:dyDescent="0.25">
      <c r="A5363" t="s">
        <v>5403</v>
      </c>
      <c r="B5363" s="1">
        <v>45490</v>
      </c>
      <c r="C5363" t="s">
        <v>31</v>
      </c>
      <c r="D5363" t="s">
        <v>34</v>
      </c>
      <c r="E5363" t="s">
        <v>21</v>
      </c>
      <c r="F5363" t="s">
        <v>28</v>
      </c>
      <c r="G5363" t="s">
        <v>15</v>
      </c>
      <c r="K5363" cm="1">
        <f t="array" ref="K5363">_xlfn.SWITCH(LeadsData[[#This Row],[Funnel Stage Reached]],"Lead",1,"MQL",2,"SQL",3,"Customer",4)</f>
        <v>1</v>
      </c>
      <c r="L5363" t="str">
        <f>TEXT(LeadsData[[#This Row],[Signup Date]],"mmm-yyyy")</f>
        <v>Jul-2024</v>
      </c>
      <c r="M5363">
        <f>IF(LeadsData[[#This Row],[Stage Number]]&gt;=2,1,0)</f>
        <v>0</v>
      </c>
      <c r="N5363" s="2">
        <f>IF(LeadsData[[#This Row],[Stage Number]]&gt;=3,1,0)</f>
        <v>0</v>
      </c>
      <c r="O5363" s="2">
        <f>IF(LeadsData[[#This Row],[Stage Number]]&gt;=4,1,0)</f>
        <v>0</v>
      </c>
    </row>
    <row r="5364" spans="1:15" x14ac:dyDescent="0.25">
      <c r="A5364" t="s">
        <v>5404</v>
      </c>
      <c r="B5364" s="1">
        <v>45574</v>
      </c>
      <c r="C5364" t="s">
        <v>17</v>
      </c>
      <c r="D5364" t="s">
        <v>53</v>
      </c>
      <c r="E5364" t="s">
        <v>13</v>
      </c>
      <c r="F5364" t="s">
        <v>19</v>
      </c>
      <c r="G5364" t="s">
        <v>15</v>
      </c>
      <c r="K5364" cm="1">
        <f t="array" ref="K5364">_xlfn.SWITCH(LeadsData[[#This Row],[Funnel Stage Reached]],"Lead",1,"MQL",2,"SQL",3,"Customer",4)</f>
        <v>1</v>
      </c>
      <c r="L5364" t="str">
        <f>TEXT(LeadsData[[#This Row],[Signup Date]],"mmm-yyyy")</f>
        <v>Oct-2024</v>
      </c>
      <c r="M5364">
        <f>IF(LeadsData[[#This Row],[Stage Number]]&gt;=2,1,0)</f>
        <v>0</v>
      </c>
      <c r="N5364" s="2">
        <f>IF(LeadsData[[#This Row],[Stage Number]]&gt;=3,1,0)</f>
        <v>0</v>
      </c>
      <c r="O5364" s="2">
        <f>IF(LeadsData[[#This Row],[Stage Number]]&gt;=4,1,0)</f>
        <v>0</v>
      </c>
    </row>
    <row r="5365" spans="1:15" x14ac:dyDescent="0.25">
      <c r="A5365" t="s">
        <v>5405</v>
      </c>
      <c r="B5365" s="1">
        <v>45467</v>
      </c>
      <c r="C5365" t="s">
        <v>31</v>
      </c>
      <c r="D5365" t="s">
        <v>32</v>
      </c>
      <c r="E5365" t="s">
        <v>13</v>
      </c>
      <c r="F5365" t="s">
        <v>19</v>
      </c>
      <c r="G5365" t="s">
        <v>29</v>
      </c>
      <c r="K5365" cm="1">
        <f t="array" ref="K5365">_xlfn.SWITCH(LeadsData[[#This Row],[Funnel Stage Reached]],"Lead",1,"MQL",2,"SQL",3,"Customer",4)</f>
        <v>3</v>
      </c>
      <c r="L5365" t="str">
        <f>TEXT(LeadsData[[#This Row],[Signup Date]],"mmm-yyyy")</f>
        <v>Jun-2024</v>
      </c>
      <c r="M5365">
        <f>IF(LeadsData[[#This Row],[Stage Number]]&gt;=2,1,0)</f>
        <v>1</v>
      </c>
      <c r="N5365" s="2">
        <f>IF(LeadsData[[#This Row],[Stage Number]]&gt;=3,1,0)</f>
        <v>1</v>
      </c>
      <c r="O5365" s="2">
        <f>IF(LeadsData[[#This Row],[Stage Number]]&gt;=4,1,0)</f>
        <v>0</v>
      </c>
    </row>
    <row r="5366" spans="1:15" x14ac:dyDescent="0.25">
      <c r="A5366" t="s">
        <v>5406</v>
      </c>
      <c r="B5366" s="1">
        <v>45531</v>
      </c>
      <c r="C5366" t="s">
        <v>31</v>
      </c>
      <c r="D5366" t="s">
        <v>32</v>
      </c>
      <c r="E5366" t="s">
        <v>13</v>
      </c>
      <c r="F5366" t="s">
        <v>14</v>
      </c>
      <c r="G5366" t="s">
        <v>29</v>
      </c>
      <c r="K5366" cm="1">
        <f t="array" ref="K5366">_xlfn.SWITCH(LeadsData[[#This Row],[Funnel Stage Reached]],"Lead",1,"MQL",2,"SQL",3,"Customer",4)</f>
        <v>3</v>
      </c>
      <c r="L5366" t="str">
        <f>TEXT(LeadsData[[#This Row],[Signup Date]],"mmm-yyyy")</f>
        <v>Aug-2024</v>
      </c>
      <c r="M5366">
        <f>IF(LeadsData[[#This Row],[Stage Number]]&gt;=2,1,0)</f>
        <v>1</v>
      </c>
      <c r="N5366" s="2">
        <f>IF(LeadsData[[#This Row],[Stage Number]]&gt;=3,1,0)</f>
        <v>1</v>
      </c>
      <c r="O5366" s="2">
        <f>IF(LeadsData[[#This Row],[Stage Number]]&gt;=4,1,0)</f>
        <v>0</v>
      </c>
    </row>
    <row r="5367" spans="1:15" x14ac:dyDescent="0.25">
      <c r="A5367" t="s">
        <v>5407</v>
      </c>
      <c r="B5367" s="1">
        <v>45369</v>
      </c>
      <c r="C5367" t="s">
        <v>36</v>
      </c>
      <c r="D5367" t="s">
        <v>37</v>
      </c>
      <c r="E5367" t="s">
        <v>21</v>
      </c>
      <c r="F5367" t="s">
        <v>22</v>
      </c>
      <c r="G5367" t="s">
        <v>15</v>
      </c>
      <c r="K5367" cm="1">
        <f t="array" ref="K5367">_xlfn.SWITCH(LeadsData[[#This Row],[Funnel Stage Reached]],"Lead",1,"MQL",2,"SQL",3,"Customer",4)</f>
        <v>1</v>
      </c>
      <c r="L5367" t="str">
        <f>TEXT(LeadsData[[#This Row],[Signup Date]],"mmm-yyyy")</f>
        <v>Mar-2024</v>
      </c>
      <c r="M5367">
        <f>IF(LeadsData[[#This Row],[Stage Number]]&gt;=2,1,0)</f>
        <v>0</v>
      </c>
      <c r="N5367" s="2">
        <f>IF(LeadsData[[#This Row],[Stage Number]]&gt;=3,1,0)</f>
        <v>0</v>
      </c>
      <c r="O5367" s="2">
        <f>IF(LeadsData[[#This Row],[Stage Number]]&gt;=4,1,0)</f>
        <v>0</v>
      </c>
    </row>
    <row r="5368" spans="1:15" x14ac:dyDescent="0.25">
      <c r="A5368" t="s">
        <v>5408</v>
      </c>
      <c r="B5368" s="1">
        <v>45651</v>
      </c>
      <c r="C5368" t="s">
        <v>11</v>
      </c>
      <c r="D5368" t="s">
        <v>68</v>
      </c>
      <c r="E5368" t="s">
        <v>21</v>
      </c>
      <c r="F5368" t="s">
        <v>22</v>
      </c>
      <c r="G5368" t="s">
        <v>15</v>
      </c>
      <c r="K5368" cm="1">
        <f t="array" ref="K5368">_xlfn.SWITCH(LeadsData[[#This Row],[Funnel Stage Reached]],"Lead",1,"MQL",2,"SQL",3,"Customer",4)</f>
        <v>1</v>
      </c>
      <c r="L5368" t="str">
        <f>TEXT(LeadsData[[#This Row],[Signup Date]],"mmm-yyyy")</f>
        <v>Dec-2024</v>
      </c>
      <c r="M5368">
        <f>IF(LeadsData[[#This Row],[Stage Number]]&gt;=2,1,0)</f>
        <v>0</v>
      </c>
      <c r="N5368" s="2">
        <f>IF(LeadsData[[#This Row],[Stage Number]]&gt;=3,1,0)</f>
        <v>0</v>
      </c>
      <c r="O5368" s="2">
        <f>IF(LeadsData[[#This Row],[Stage Number]]&gt;=4,1,0)</f>
        <v>0</v>
      </c>
    </row>
    <row r="5369" spans="1:15" x14ac:dyDescent="0.25">
      <c r="A5369" t="s">
        <v>5409</v>
      </c>
      <c r="B5369" s="1">
        <v>45609</v>
      </c>
      <c r="C5369" t="s">
        <v>11</v>
      </c>
      <c r="D5369" t="s">
        <v>12</v>
      </c>
      <c r="E5369" t="s">
        <v>21</v>
      </c>
      <c r="F5369" t="s">
        <v>19</v>
      </c>
      <c r="G5369" t="s">
        <v>15</v>
      </c>
      <c r="K5369" cm="1">
        <f t="array" ref="K5369">_xlfn.SWITCH(LeadsData[[#This Row],[Funnel Stage Reached]],"Lead",1,"MQL",2,"SQL",3,"Customer",4)</f>
        <v>1</v>
      </c>
      <c r="L5369" t="str">
        <f>TEXT(LeadsData[[#This Row],[Signup Date]],"mmm-yyyy")</f>
        <v>Nov-2024</v>
      </c>
      <c r="M5369">
        <f>IF(LeadsData[[#This Row],[Stage Number]]&gt;=2,1,0)</f>
        <v>0</v>
      </c>
      <c r="N5369" s="2">
        <f>IF(LeadsData[[#This Row],[Stage Number]]&gt;=3,1,0)</f>
        <v>0</v>
      </c>
      <c r="O5369" s="2">
        <f>IF(LeadsData[[#This Row],[Stage Number]]&gt;=4,1,0)</f>
        <v>0</v>
      </c>
    </row>
    <row r="5370" spans="1:15" x14ac:dyDescent="0.25">
      <c r="A5370" t="s">
        <v>5410</v>
      </c>
      <c r="B5370" s="1">
        <v>45532</v>
      </c>
      <c r="C5370" t="s">
        <v>17</v>
      </c>
      <c r="D5370" t="s">
        <v>18</v>
      </c>
      <c r="E5370" t="s">
        <v>13</v>
      </c>
      <c r="F5370" t="s">
        <v>19</v>
      </c>
      <c r="G5370" t="s">
        <v>23</v>
      </c>
      <c r="K5370" cm="1">
        <f t="array" ref="K5370">_xlfn.SWITCH(LeadsData[[#This Row],[Funnel Stage Reached]],"Lead",1,"MQL",2,"SQL",3,"Customer",4)</f>
        <v>2</v>
      </c>
      <c r="L5370" t="str">
        <f>TEXT(LeadsData[[#This Row],[Signup Date]],"mmm-yyyy")</f>
        <v>Aug-2024</v>
      </c>
      <c r="M5370">
        <f>IF(LeadsData[[#This Row],[Stage Number]]&gt;=2,1,0)</f>
        <v>1</v>
      </c>
      <c r="N5370" s="2">
        <f>IF(LeadsData[[#This Row],[Stage Number]]&gt;=3,1,0)</f>
        <v>0</v>
      </c>
      <c r="O5370" s="2">
        <f>IF(LeadsData[[#This Row],[Stage Number]]&gt;=4,1,0)</f>
        <v>0</v>
      </c>
    </row>
    <row r="5371" spans="1:15" x14ac:dyDescent="0.25">
      <c r="A5371" t="s">
        <v>5411</v>
      </c>
      <c r="B5371" s="1">
        <v>45630</v>
      </c>
      <c r="C5371" t="s">
        <v>46</v>
      </c>
      <c r="D5371" t="s">
        <v>47</v>
      </c>
      <c r="E5371" t="s">
        <v>21</v>
      </c>
      <c r="F5371" t="s">
        <v>14</v>
      </c>
      <c r="G5371" t="s">
        <v>42</v>
      </c>
      <c r="H5371">
        <v>27</v>
      </c>
      <c r="I5371" t="s">
        <v>43</v>
      </c>
      <c r="J5371">
        <v>1354.68</v>
      </c>
      <c r="K5371" cm="1">
        <f t="array" ref="K5371">_xlfn.SWITCH(LeadsData[[#This Row],[Funnel Stage Reached]],"Lead",1,"MQL",2,"SQL",3,"Customer",4)</f>
        <v>4</v>
      </c>
      <c r="L5371" t="str">
        <f>TEXT(LeadsData[[#This Row],[Signup Date]],"mmm-yyyy")</f>
        <v>Dec-2024</v>
      </c>
      <c r="M5371">
        <f>IF(LeadsData[[#This Row],[Stage Number]]&gt;=2,1,0)</f>
        <v>1</v>
      </c>
      <c r="N5371" s="2">
        <f>IF(LeadsData[[#This Row],[Stage Number]]&gt;=3,1,0)</f>
        <v>1</v>
      </c>
      <c r="O5371" s="2">
        <f>IF(LeadsData[[#This Row],[Stage Number]]&gt;=4,1,0)</f>
        <v>1</v>
      </c>
    </row>
    <row r="5372" spans="1:15" x14ac:dyDescent="0.25">
      <c r="A5372" t="s">
        <v>5412</v>
      </c>
      <c r="B5372" s="1">
        <v>45571</v>
      </c>
      <c r="C5372" t="s">
        <v>17</v>
      </c>
      <c r="D5372" t="s">
        <v>53</v>
      </c>
      <c r="E5372" t="s">
        <v>13</v>
      </c>
      <c r="F5372" t="s">
        <v>19</v>
      </c>
      <c r="G5372" t="s">
        <v>15</v>
      </c>
      <c r="K5372" cm="1">
        <f t="array" ref="K5372">_xlfn.SWITCH(LeadsData[[#This Row],[Funnel Stage Reached]],"Lead",1,"MQL",2,"SQL",3,"Customer",4)</f>
        <v>1</v>
      </c>
      <c r="L5372" t="str">
        <f>TEXT(LeadsData[[#This Row],[Signup Date]],"mmm-yyyy")</f>
        <v>Oct-2024</v>
      </c>
      <c r="M5372">
        <f>IF(LeadsData[[#This Row],[Stage Number]]&gt;=2,1,0)</f>
        <v>0</v>
      </c>
      <c r="N5372" s="2">
        <f>IF(LeadsData[[#This Row],[Stage Number]]&gt;=3,1,0)</f>
        <v>0</v>
      </c>
      <c r="O5372" s="2">
        <f>IF(LeadsData[[#This Row],[Stage Number]]&gt;=4,1,0)</f>
        <v>0</v>
      </c>
    </row>
    <row r="5373" spans="1:15" x14ac:dyDescent="0.25">
      <c r="A5373" t="s">
        <v>5413</v>
      </c>
      <c r="B5373" s="1">
        <v>45445</v>
      </c>
      <c r="C5373" t="s">
        <v>25</v>
      </c>
      <c r="D5373" t="s">
        <v>26</v>
      </c>
      <c r="E5373" t="s">
        <v>13</v>
      </c>
      <c r="F5373" t="s">
        <v>22</v>
      </c>
      <c r="G5373" t="s">
        <v>23</v>
      </c>
      <c r="K5373" cm="1">
        <f t="array" ref="K5373">_xlfn.SWITCH(LeadsData[[#This Row],[Funnel Stage Reached]],"Lead",1,"MQL",2,"SQL",3,"Customer",4)</f>
        <v>2</v>
      </c>
      <c r="L5373" t="str">
        <f>TEXT(LeadsData[[#This Row],[Signup Date]],"mmm-yyyy")</f>
        <v>Jun-2024</v>
      </c>
      <c r="M5373">
        <f>IF(LeadsData[[#This Row],[Stage Number]]&gt;=2,1,0)</f>
        <v>1</v>
      </c>
      <c r="N5373" s="2">
        <f>IF(LeadsData[[#This Row],[Stage Number]]&gt;=3,1,0)</f>
        <v>0</v>
      </c>
      <c r="O5373" s="2">
        <f>IF(LeadsData[[#This Row],[Stage Number]]&gt;=4,1,0)</f>
        <v>0</v>
      </c>
    </row>
    <row r="5374" spans="1:15" x14ac:dyDescent="0.25">
      <c r="A5374" t="s">
        <v>5414</v>
      </c>
      <c r="B5374" s="1">
        <v>45446</v>
      </c>
      <c r="C5374" t="s">
        <v>36</v>
      </c>
      <c r="D5374" t="s">
        <v>37</v>
      </c>
      <c r="E5374" t="s">
        <v>13</v>
      </c>
      <c r="F5374" t="s">
        <v>28</v>
      </c>
      <c r="G5374" t="s">
        <v>23</v>
      </c>
      <c r="K5374" cm="1">
        <f t="array" ref="K5374">_xlfn.SWITCH(LeadsData[[#This Row],[Funnel Stage Reached]],"Lead",1,"MQL",2,"SQL",3,"Customer",4)</f>
        <v>2</v>
      </c>
      <c r="L5374" t="str">
        <f>TEXT(LeadsData[[#This Row],[Signup Date]],"mmm-yyyy")</f>
        <v>Jun-2024</v>
      </c>
      <c r="M5374">
        <f>IF(LeadsData[[#This Row],[Stage Number]]&gt;=2,1,0)</f>
        <v>1</v>
      </c>
      <c r="N5374" s="2">
        <f>IF(LeadsData[[#This Row],[Stage Number]]&gt;=3,1,0)</f>
        <v>0</v>
      </c>
      <c r="O5374" s="2">
        <f>IF(LeadsData[[#This Row],[Stage Number]]&gt;=4,1,0)</f>
        <v>0</v>
      </c>
    </row>
    <row r="5375" spans="1:15" x14ac:dyDescent="0.25">
      <c r="A5375" t="s">
        <v>5415</v>
      </c>
      <c r="B5375" s="1">
        <v>45602</v>
      </c>
      <c r="C5375" t="s">
        <v>31</v>
      </c>
      <c r="D5375" t="s">
        <v>32</v>
      </c>
      <c r="E5375" t="s">
        <v>13</v>
      </c>
      <c r="F5375" t="s">
        <v>22</v>
      </c>
      <c r="G5375" t="s">
        <v>23</v>
      </c>
      <c r="K5375" cm="1">
        <f t="array" ref="K5375">_xlfn.SWITCH(LeadsData[[#This Row],[Funnel Stage Reached]],"Lead",1,"MQL",2,"SQL",3,"Customer",4)</f>
        <v>2</v>
      </c>
      <c r="L5375" t="str">
        <f>TEXT(LeadsData[[#This Row],[Signup Date]],"mmm-yyyy")</f>
        <v>Nov-2024</v>
      </c>
      <c r="M5375">
        <f>IF(LeadsData[[#This Row],[Stage Number]]&gt;=2,1,0)</f>
        <v>1</v>
      </c>
      <c r="N5375" s="2">
        <f>IF(LeadsData[[#This Row],[Stage Number]]&gt;=3,1,0)</f>
        <v>0</v>
      </c>
      <c r="O5375" s="2">
        <f>IF(LeadsData[[#This Row],[Stage Number]]&gt;=4,1,0)</f>
        <v>0</v>
      </c>
    </row>
    <row r="5376" spans="1:15" x14ac:dyDescent="0.25">
      <c r="A5376" t="s">
        <v>5416</v>
      </c>
      <c r="B5376" s="1">
        <v>45385</v>
      </c>
      <c r="C5376" t="s">
        <v>11</v>
      </c>
      <c r="D5376" t="s">
        <v>79</v>
      </c>
      <c r="E5376" t="s">
        <v>13</v>
      </c>
      <c r="F5376" t="s">
        <v>19</v>
      </c>
      <c r="G5376" t="s">
        <v>15</v>
      </c>
      <c r="K5376" cm="1">
        <f t="array" ref="K5376">_xlfn.SWITCH(LeadsData[[#This Row],[Funnel Stage Reached]],"Lead",1,"MQL",2,"SQL",3,"Customer",4)</f>
        <v>1</v>
      </c>
      <c r="L5376" t="str">
        <f>TEXT(LeadsData[[#This Row],[Signup Date]],"mmm-yyyy")</f>
        <v>Apr-2024</v>
      </c>
      <c r="M5376">
        <f>IF(LeadsData[[#This Row],[Stage Number]]&gt;=2,1,0)</f>
        <v>0</v>
      </c>
      <c r="N5376" s="2">
        <f>IF(LeadsData[[#This Row],[Stage Number]]&gt;=3,1,0)</f>
        <v>0</v>
      </c>
      <c r="O5376" s="2">
        <f>IF(LeadsData[[#This Row],[Stage Number]]&gt;=4,1,0)</f>
        <v>0</v>
      </c>
    </row>
    <row r="5377" spans="1:15" x14ac:dyDescent="0.25">
      <c r="A5377" t="s">
        <v>5417</v>
      </c>
      <c r="B5377" s="1">
        <v>45452</v>
      </c>
      <c r="C5377" t="s">
        <v>36</v>
      </c>
      <c r="D5377" t="s">
        <v>50</v>
      </c>
      <c r="E5377" t="s">
        <v>13</v>
      </c>
      <c r="F5377" t="s">
        <v>19</v>
      </c>
      <c r="G5377" t="s">
        <v>15</v>
      </c>
      <c r="K5377" cm="1">
        <f t="array" ref="K5377">_xlfn.SWITCH(LeadsData[[#This Row],[Funnel Stage Reached]],"Lead",1,"MQL",2,"SQL",3,"Customer",4)</f>
        <v>1</v>
      </c>
      <c r="L5377" t="str">
        <f>TEXT(LeadsData[[#This Row],[Signup Date]],"mmm-yyyy")</f>
        <v>Jun-2024</v>
      </c>
      <c r="M5377">
        <f>IF(LeadsData[[#This Row],[Stage Number]]&gt;=2,1,0)</f>
        <v>0</v>
      </c>
      <c r="N5377" s="2">
        <f>IF(LeadsData[[#This Row],[Stage Number]]&gt;=3,1,0)</f>
        <v>0</v>
      </c>
      <c r="O5377" s="2">
        <f>IF(LeadsData[[#This Row],[Stage Number]]&gt;=4,1,0)</f>
        <v>0</v>
      </c>
    </row>
    <row r="5378" spans="1:15" x14ac:dyDescent="0.25">
      <c r="A5378" t="s">
        <v>5418</v>
      </c>
      <c r="B5378" s="1">
        <v>45300</v>
      </c>
      <c r="C5378" t="s">
        <v>25</v>
      </c>
      <c r="D5378" t="s">
        <v>26</v>
      </c>
      <c r="E5378" t="s">
        <v>13</v>
      </c>
      <c r="F5378" t="s">
        <v>19</v>
      </c>
      <c r="G5378" t="s">
        <v>15</v>
      </c>
      <c r="K5378" cm="1">
        <f t="array" ref="K5378">_xlfn.SWITCH(LeadsData[[#This Row],[Funnel Stage Reached]],"Lead",1,"MQL",2,"SQL",3,"Customer",4)</f>
        <v>1</v>
      </c>
      <c r="L5378" t="str">
        <f>TEXT(LeadsData[[#This Row],[Signup Date]],"mmm-yyyy")</f>
        <v>Jan-2024</v>
      </c>
      <c r="M5378">
        <f>IF(LeadsData[[#This Row],[Stage Number]]&gt;=2,1,0)</f>
        <v>0</v>
      </c>
      <c r="N5378" s="2">
        <f>IF(LeadsData[[#This Row],[Stage Number]]&gt;=3,1,0)</f>
        <v>0</v>
      </c>
      <c r="O5378" s="2">
        <f>IF(LeadsData[[#This Row],[Stage Number]]&gt;=4,1,0)</f>
        <v>0</v>
      </c>
    </row>
    <row r="5379" spans="1:15" x14ac:dyDescent="0.25">
      <c r="A5379" t="s">
        <v>5419</v>
      </c>
      <c r="B5379" s="1">
        <v>45348</v>
      </c>
      <c r="C5379" t="s">
        <v>17</v>
      </c>
      <c r="D5379" t="s">
        <v>53</v>
      </c>
      <c r="E5379" t="s">
        <v>13</v>
      </c>
      <c r="F5379" t="s">
        <v>19</v>
      </c>
      <c r="G5379" t="s">
        <v>15</v>
      </c>
      <c r="K5379" cm="1">
        <f t="array" ref="K5379">_xlfn.SWITCH(LeadsData[[#This Row],[Funnel Stage Reached]],"Lead",1,"MQL",2,"SQL",3,"Customer",4)</f>
        <v>1</v>
      </c>
      <c r="L5379" t="str">
        <f>TEXT(LeadsData[[#This Row],[Signup Date]],"mmm-yyyy")</f>
        <v>Feb-2024</v>
      </c>
      <c r="M5379">
        <f>IF(LeadsData[[#This Row],[Stage Number]]&gt;=2,1,0)</f>
        <v>0</v>
      </c>
      <c r="N5379" s="2">
        <f>IF(LeadsData[[#This Row],[Stage Number]]&gt;=3,1,0)</f>
        <v>0</v>
      </c>
      <c r="O5379" s="2">
        <f>IF(LeadsData[[#This Row],[Stage Number]]&gt;=4,1,0)</f>
        <v>0</v>
      </c>
    </row>
    <row r="5380" spans="1:15" x14ac:dyDescent="0.25">
      <c r="A5380" t="s">
        <v>5420</v>
      </c>
      <c r="B5380" s="1">
        <v>45536</v>
      </c>
      <c r="C5380" t="s">
        <v>11</v>
      </c>
      <c r="D5380" t="s">
        <v>68</v>
      </c>
      <c r="E5380" t="s">
        <v>48</v>
      </c>
      <c r="F5380" t="s">
        <v>14</v>
      </c>
      <c r="G5380" t="s">
        <v>23</v>
      </c>
      <c r="K5380" cm="1">
        <f t="array" ref="K5380">_xlfn.SWITCH(LeadsData[[#This Row],[Funnel Stage Reached]],"Lead",1,"MQL",2,"SQL",3,"Customer",4)</f>
        <v>2</v>
      </c>
      <c r="L5380" t="str">
        <f>TEXT(LeadsData[[#This Row],[Signup Date]],"mmm-yyyy")</f>
        <v>Sep-2024</v>
      </c>
      <c r="M5380">
        <f>IF(LeadsData[[#This Row],[Stage Number]]&gt;=2,1,0)</f>
        <v>1</v>
      </c>
      <c r="N5380" s="2">
        <f>IF(LeadsData[[#This Row],[Stage Number]]&gt;=3,1,0)</f>
        <v>0</v>
      </c>
      <c r="O5380" s="2">
        <f>IF(LeadsData[[#This Row],[Stage Number]]&gt;=4,1,0)</f>
        <v>0</v>
      </c>
    </row>
    <row r="5381" spans="1:15" x14ac:dyDescent="0.25">
      <c r="A5381" t="s">
        <v>5421</v>
      </c>
      <c r="B5381" s="1">
        <v>45574</v>
      </c>
      <c r="C5381" t="s">
        <v>17</v>
      </c>
      <c r="D5381" t="s">
        <v>18</v>
      </c>
      <c r="E5381" t="s">
        <v>21</v>
      </c>
      <c r="F5381" t="s">
        <v>19</v>
      </c>
      <c r="G5381" t="s">
        <v>15</v>
      </c>
      <c r="K5381" cm="1">
        <f t="array" ref="K5381">_xlfn.SWITCH(LeadsData[[#This Row],[Funnel Stage Reached]],"Lead",1,"MQL",2,"SQL",3,"Customer",4)</f>
        <v>1</v>
      </c>
      <c r="L5381" t="str">
        <f>TEXT(LeadsData[[#This Row],[Signup Date]],"mmm-yyyy")</f>
        <v>Oct-2024</v>
      </c>
      <c r="M5381">
        <f>IF(LeadsData[[#This Row],[Stage Number]]&gt;=2,1,0)</f>
        <v>0</v>
      </c>
      <c r="N5381" s="2">
        <f>IF(LeadsData[[#This Row],[Stage Number]]&gt;=3,1,0)</f>
        <v>0</v>
      </c>
      <c r="O5381" s="2">
        <f>IF(LeadsData[[#This Row],[Stage Number]]&gt;=4,1,0)</f>
        <v>0</v>
      </c>
    </row>
    <row r="5382" spans="1:15" x14ac:dyDescent="0.25">
      <c r="A5382" t="s">
        <v>5422</v>
      </c>
      <c r="B5382" s="1">
        <v>45621</v>
      </c>
      <c r="C5382" t="s">
        <v>31</v>
      </c>
      <c r="D5382" t="s">
        <v>32</v>
      </c>
      <c r="E5382" t="s">
        <v>48</v>
      </c>
      <c r="F5382" t="s">
        <v>19</v>
      </c>
      <c r="G5382" t="s">
        <v>23</v>
      </c>
      <c r="K5382" cm="1">
        <f t="array" ref="K5382">_xlfn.SWITCH(LeadsData[[#This Row],[Funnel Stage Reached]],"Lead",1,"MQL",2,"SQL",3,"Customer",4)</f>
        <v>2</v>
      </c>
      <c r="L5382" t="str">
        <f>TEXT(LeadsData[[#This Row],[Signup Date]],"mmm-yyyy")</f>
        <v>Nov-2024</v>
      </c>
      <c r="M5382">
        <f>IF(LeadsData[[#This Row],[Stage Number]]&gt;=2,1,0)</f>
        <v>1</v>
      </c>
      <c r="N5382" s="2">
        <f>IF(LeadsData[[#This Row],[Stage Number]]&gt;=3,1,0)</f>
        <v>0</v>
      </c>
      <c r="O5382" s="2">
        <f>IF(LeadsData[[#This Row],[Stage Number]]&gt;=4,1,0)</f>
        <v>0</v>
      </c>
    </row>
    <row r="5383" spans="1:15" x14ac:dyDescent="0.25">
      <c r="A5383" t="s">
        <v>5423</v>
      </c>
      <c r="B5383" s="1">
        <v>45426</v>
      </c>
      <c r="C5383" t="s">
        <v>46</v>
      </c>
      <c r="D5383" t="s">
        <v>47</v>
      </c>
      <c r="E5383" t="s">
        <v>13</v>
      </c>
      <c r="F5383" t="s">
        <v>14</v>
      </c>
      <c r="G5383" t="s">
        <v>15</v>
      </c>
      <c r="K5383" cm="1">
        <f t="array" ref="K5383">_xlfn.SWITCH(LeadsData[[#This Row],[Funnel Stage Reached]],"Lead",1,"MQL",2,"SQL",3,"Customer",4)</f>
        <v>1</v>
      </c>
      <c r="L5383" t="str">
        <f>TEXT(LeadsData[[#This Row],[Signup Date]],"mmm-yyyy")</f>
        <v>May-2024</v>
      </c>
      <c r="M5383">
        <f>IF(LeadsData[[#This Row],[Stage Number]]&gt;=2,1,0)</f>
        <v>0</v>
      </c>
      <c r="N5383" s="2">
        <f>IF(LeadsData[[#This Row],[Stage Number]]&gt;=3,1,0)</f>
        <v>0</v>
      </c>
      <c r="O5383" s="2">
        <f>IF(LeadsData[[#This Row],[Stage Number]]&gt;=4,1,0)</f>
        <v>0</v>
      </c>
    </row>
    <row r="5384" spans="1:15" x14ac:dyDescent="0.25">
      <c r="A5384" t="s">
        <v>5424</v>
      </c>
      <c r="B5384" s="1">
        <v>45538</v>
      </c>
      <c r="C5384" t="s">
        <v>46</v>
      </c>
      <c r="D5384" t="s">
        <v>56</v>
      </c>
      <c r="E5384" t="s">
        <v>13</v>
      </c>
      <c r="F5384" t="s">
        <v>19</v>
      </c>
      <c r="G5384" t="s">
        <v>15</v>
      </c>
      <c r="K5384" cm="1">
        <f t="array" ref="K5384">_xlfn.SWITCH(LeadsData[[#This Row],[Funnel Stage Reached]],"Lead",1,"MQL",2,"SQL",3,"Customer",4)</f>
        <v>1</v>
      </c>
      <c r="L5384" t="str">
        <f>TEXT(LeadsData[[#This Row],[Signup Date]],"mmm-yyyy")</f>
        <v>Sep-2024</v>
      </c>
      <c r="M5384">
        <f>IF(LeadsData[[#This Row],[Stage Number]]&gt;=2,1,0)</f>
        <v>0</v>
      </c>
      <c r="N5384" s="2">
        <f>IF(LeadsData[[#This Row],[Stage Number]]&gt;=3,1,0)</f>
        <v>0</v>
      </c>
      <c r="O5384" s="2">
        <f>IF(LeadsData[[#This Row],[Stage Number]]&gt;=4,1,0)</f>
        <v>0</v>
      </c>
    </row>
    <row r="5385" spans="1:15" x14ac:dyDescent="0.25">
      <c r="A5385" t="s">
        <v>5425</v>
      </c>
      <c r="B5385" s="1">
        <v>45622</v>
      </c>
      <c r="C5385" t="s">
        <v>17</v>
      </c>
      <c r="D5385" t="s">
        <v>53</v>
      </c>
      <c r="E5385" t="s">
        <v>13</v>
      </c>
      <c r="F5385" t="s">
        <v>19</v>
      </c>
      <c r="G5385" t="s">
        <v>15</v>
      </c>
      <c r="K5385" cm="1">
        <f t="array" ref="K5385">_xlfn.SWITCH(LeadsData[[#This Row],[Funnel Stage Reached]],"Lead",1,"MQL",2,"SQL",3,"Customer",4)</f>
        <v>1</v>
      </c>
      <c r="L5385" t="str">
        <f>TEXT(LeadsData[[#This Row],[Signup Date]],"mmm-yyyy")</f>
        <v>Nov-2024</v>
      </c>
      <c r="M5385">
        <f>IF(LeadsData[[#This Row],[Stage Number]]&gt;=2,1,0)</f>
        <v>0</v>
      </c>
      <c r="N5385" s="2">
        <f>IF(LeadsData[[#This Row],[Stage Number]]&gt;=3,1,0)</f>
        <v>0</v>
      </c>
      <c r="O5385" s="2">
        <f>IF(LeadsData[[#This Row],[Stage Number]]&gt;=4,1,0)</f>
        <v>0</v>
      </c>
    </row>
    <row r="5386" spans="1:15" x14ac:dyDescent="0.25">
      <c r="A5386" t="s">
        <v>5426</v>
      </c>
      <c r="B5386" s="1">
        <v>45402</v>
      </c>
      <c r="C5386" t="s">
        <v>17</v>
      </c>
      <c r="D5386" t="s">
        <v>53</v>
      </c>
      <c r="E5386" t="s">
        <v>13</v>
      </c>
      <c r="F5386" t="s">
        <v>28</v>
      </c>
      <c r="G5386" t="s">
        <v>15</v>
      </c>
      <c r="K5386" cm="1">
        <f t="array" ref="K5386">_xlfn.SWITCH(LeadsData[[#This Row],[Funnel Stage Reached]],"Lead",1,"MQL",2,"SQL",3,"Customer",4)</f>
        <v>1</v>
      </c>
      <c r="L5386" t="str">
        <f>TEXT(LeadsData[[#This Row],[Signup Date]],"mmm-yyyy")</f>
        <v>Apr-2024</v>
      </c>
      <c r="M5386">
        <f>IF(LeadsData[[#This Row],[Stage Number]]&gt;=2,1,0)</f>
        <v>0</v>
      </c>
      <c r="N5386" s="2">
        <f>IF(LeadsData[[#This Row],[Stage Number]]&gt;=3,1,0)</f>
        <v>0</v>
      </c>
      <c r="O5386" s="2">
        <f>IF(LeadsData[[#This Row],[Stage Number]]&gt;=4,1,0)</f>
        <v>0</v>
      </c>
    </row>
    <row r="5387" spans="1:15" x14ac:dyDescent="0.25">
      <c r="A5387" t="s">
        <v>5427</v>
      </c>
      <c r="B5387" s="1">
        <v>45569</v>
      </c>
      <c r="C5387" t="s">
        <v>46</v>
      </c>
      <c r="D5387" t="s">
        <v>47</v>
      </c>
      <c r="E5387" t="s">
        <v>13</v>
      </c>
      <c r="F5387" t="s">
        <v>19</v>
      </c>
      <c r="G5387" t="s">
        <v>23</v>
      </c>
      <c r="K5387" cm="1">
        <f t="array" ref="K5387">_xlfn.SWITCH(LeadsData[[#This Row],[Funnel Stage Reached]],"Lead",1,"MQL",2,"SQL",3,"Customer",4)</f>
        <v>2</v>
      </c>
      <c r="L5387" t="str">
        <f>TEXT(LeadsData[[#This Row],[Signup Date]],"mmm-yyyy")</f>
        <v>Oct-2024</v>
      </c>
      <c r="M5387">
        <f>IF(LeadsData[[#This Row],[Stage Number]]&gt;=2,1,0)</f>
        <v>1</v>
      </c>
      <c r="N5387" s="2">
        <f>IF(LeadsData[[#This Row],[Stage Number]]&gt;=3,1,0)</f>
        <v>0</v>
      </c>
      <c r="O5387" s="2">
        <f>IF(LeadsData[[#This Row],[Stage Number]]&gt;=4,1,0)</f>
        <v>0</v>
      </c>
    </row>
    <row r="5388" spans="1:15" x14ac:dyDescent="0.25">
      <c r="A5388" t="s">
        <v>5428</v>
      </c>
      <c r="B5388" s="1">
        <v>45622</v>
      </c>
      <c r="C5388" t="s">
        <v>36</v>
      </c>
      <c r="D5388" t="s">
        <v>37</v>
      </c>
      <c r="E5388" t="s">
        <v>13</v>
      </c>
      <c r="F5388" t="s">
        <v>19</v>
      </c>
      <c r="G5388" t="s">
        <v>23</v>
      </c>
      <c r="K5388" cm="1">
        <f t="array" ref="K5388">_xlfn.SWITCH(LeadsData[[#This Row],[Funnel Stage Reached]],"Lead",1,"MQL",2,"SQL",3,"Customer",4)</f>
        <v>2</v>
      </c>
      <c r="L5388" t="str">
        <f>TEXT(LeadsData[[#This Row],[Signup Date]],"mmm-yyyy")</f>
        <v>Nov-2024</v>
      </c>
      <c r="M5388">
        <f>IF(LeadsData[[#This Row],[Stage Number]]&gt;=2,1,0)</f>
        <v>1</v>
      </c>
      <c r="N5388" s="2">
        <f>IF(LeadsData[[#This Row],[Stage Number]]&gt;=3,1,0)</f>
        <v>0</v>
      </c>
      <c r="O5388" s="2">
        <f>IF(LeadsData[[#This Row],[Stage Number]]&gt;=4,1,0)</f>
        <v>0</v>
      </c>
    </row>
    <row r="5389" spans="1:15" x14ac:dyDescent="0.25">
      <c r="A5389" t="s">
        <v>5429</v>
      </c>
      <c r="B5389" s="1">
        <v>45310</v>
      </c>
      <c r="C5389" t="s">
        <v>46</v>
      </c>
      <c r="D5389" t="s">
        <v>47</v>
      </c>
      <c r="E5389" t="s">
        <v>21</v>
      </c>
      <c r="F5389" t="s">
        <v>19</v>
      </c>
      <c r="G5389" t="s">
        <v>15</v>
      </c>
      <c r="K5389" cm="1">
        <f t="array" ref="K5389">_xlfn.SWITCH(LeadsData[[#This Row],[Funnel Stage Reached]],"Lead",1,"MQL",2,"SQL",3,"Customer",4)</f>
        <v>1</v>
      </c>
      <c r="L5389" t="str">
        <f>TEXT(LeadsData[[#This Row],[Signup Date]],"mmm-yyyy")</f>
        <v>Jan-2024</v>
      </c>
      <c r="M5389">
        <f>IF(LeadsData[[#This Row],[Stage Number]]&gt;=2,1,0)</f>
        <v>0</v>
      </c>
      <c r="N5389" s="2">
        <f>IF(LeadsData[[#This Row],[Stage Number]]&gt;=3,1,0)</f>
        <v>0</v>
      </c>
      <c r="O5389" s="2">
        <f>IF(LeadsData[[#This Row],[Stage Number]]&gt;=4,1,0)</f>
        <v>0</v>
      </c>
    </row>
    <row r="5390" spans="1:15" x14ac:dyDescent="0.25">
      <c r="A5390" t="s">
        <v>5430</v>
      </c>
      <c r="B5390" s="1">
        <v>45423</v>
      </c>
      <c r="C5390" t="s">
        <v>46</v>
      </c>
      <c r="D5390" t="s">
        <v>47</v>
      </c>
      <c r="E5390" t="s">
        <v>13</v>
      </c>
      <c r="F5390" t="s">
        <v>28</v>
      </c>
      <c r="G5390" t="s">
        <v>15</v>
      </c>
      <c r="K5390" cm="1">
        <f t="array" ref="K5390">_xlfn.SWITCH(LeadsData[[#This Row],[Funnel Stage Reached]],"Lead",1,"MQL",2,"SQL",3,"Customer",4)</f>
        <v>1</v>
      </c>
      <c r="L5390" t="str">
        <f>TEXT(LeadsData[[#This Row],[Signup Date]],"mmm-yyyy")</f>
        <v>May-2024</v>
      </c>
      <c r="M5390">
        <f>IF(LeadsData[[#This Row],[Stage Number]]&gt;=2,1,0)</f>
        <v>0</v>
      </c>
      <c r="N5390" s="2">
        <f>IF(LeadsData[[#This Row],[Stage Number]]&gt;=3,1,0)</f>
        <v>0</v>
      </c>
      <c r="O5390" s="2">
        <f>IF(LeadsData[[#This Row],[Stage Number]]&gt;=4,1,0)</f>
        <v>0</v>
      </c>
    </row>
    <row r="5391" spans="1:15" x14ac:dyDescent="0.25">
      <c r="A5391" t="s">
        <v>5431</v>
      </c>
      <c r="B5391" s="1">
        <v>45507</v>
      </c>
      <c r="C5391" t="s">
        <v>36</v>
      </c>
      <c r="D5391" t="s">
        <v>50</v>
      </c>
      <c r="E5391" t="s">
        <v>21</v>
      </c>
      <c r="F5391" t="s">
        <v>14</v>
      </c>
      <c r="G5391" t="s">
        <v>29</v>
      </c>
      <c r="K5391" cm="1">
        <f t="array" ref="K5391">_xlfn.SWITCH(LeadsData[[#This Row],[Funnel Stage Reached]],"Lead",1,"MQL",2,"SQL",3,"Customer",4)</f>
        <v>3</v>
      </c>
      <c r="L5391" t="str">
        <f>TEXT(LeadsData[[#This Row],[Signup Date]],"mmm-yyyy")</f>
        <v>Aug-2024</v>
      </c>
      <c r="M5391">
        <f>IF(LeadsData[[#This Row],[Stage Number]]&gt;=2,1,0)</f>
        <v>1</v>
      </c>
      <c r="N5391" s="2">
        <f>IF(LeadsData[[#This Row],[Stage Number]]&gt;=3,1,0)</f>
        <v>1</v>
      </c>
      <c r="O5391" s="2">
        <f>IF(LeadsData[[#This Row],[Stage Number]]&gt;=4,1,0)</f>
        <v>0</v>
      </c>
    </row>
    <row r="5392" spans="1:15" x14ac:dyDescent="0.25">
      <c r="A5392" t="s">
        <v>5432</v>
      </c>
      <c r="B5392" s="1">
        <v>45418</v>
      </c>
      <c r="C5392" t="s">
        <v>17</v>
      </c>
      <c r="D5392" t="s">
        <v>53</v>
      </c>
      <c r="E5392" t="s">
        <v>13</v>
      </c>
      <c r="F5392" t="s">
        <v>14</v>
      </c>
      <c r="G5392" t="s">
        <v>15</v>
      </c>
      <c r="K5392" cm="1">
        <f t="array" ref="K5392">_xlfn.SWITCH(LeadsData[[#This Row],[Funnel Stage Reached]],"Lead",1,"MQL",2,"SQL",3,"Customer",4)</f>
        <v>1</v>
      </c>
      <c r="L5392" t="str">
        <f>TEXT(LeadsData[[#This Row],[Signup Date]],"mmm-yyyy")</f>
        <v>May-2024</v>
      </c>
      <c r="M5392">
        <f>IF(LeadsData[[#This Row],[Stage Number]]&gt;=2,1,0)</f>
        <v>0</v>
      </c>
      <c r="N5392" s="2">
        <f>IF(LeadsData[[#This Row],[Stage Number]]&gt;=3,1,0)</f>
        <v>0</v>
      </c>
      <c r="O5392" s="2">
        <f>IF(LeadsData[[#This Row],[Stage Number]]&gt;=4,1,0)</f>
        <v>0</v>
      </c>
    </row>
    <row r="5393" spans="1:15" x14ac:dyDescent="0.25">
      <c r="A5393" t="s">
        <v>5433</v>
      </c>
      <c r="B5393" s="1">
        <v>45296</v>
      </c>
      <c r="C5393" t="s">
        <v>46</v>
      </c>
      <c r="D5393" t="s">
        <v>47</v>
      </c>
      <c r="E5393" t="s">
        <v>13</v>
      </c>
      <c r="F5393" t="s">
        <v>28</v>
      </c>
      <c r="G5393" t="s">
        <v>15</v>
      </c>
      <c r="K5393" cm="1">
        <f t="array" ref="K5393">_xlfn.SWITCH(LeadsData[[#This Row],[Funnel Stage Reached]],"Lead",1,"MQL",2,"SQL",3,"Customer",4)</f>
        <v>1</v>
      </c>
      <c r="L5393" t="str">
        <f>TEXT(LeadsData[[#This Row],[Signup Date]],"mmm-yyyy")</f>
        <v>Jan-2024</v>
      </c>
      <c r="M5393">
        <f>IF(LeadsData[[#This Row],[Stage Number]]&gt;=2,1,0)</f>
        <v>0</v>
      </c>
      <c r="N5393" s="2">
        <f>IF(LeadsData[[#This Row],[Stage Number]]&gt;=3,1,0)</f>
        <v>0</v>
      </c>
      <c r="O5393" s="2">
        <f>IF(LeadsData[[#This Row],[Stage Number]]&gt;=4,1,0)</f>
        <v>0</v>
      </c>
    </row>
    <row r="5394" spans="1:15" x14ac:dyDescent="0.25">
      <c r="A5394" t="s">
        <v>5434</v>
      </c>
      <c r="B5394" s="1">
        <v>45617</v>
      </c>
      <c r="C5394" t="s">
        <v>46</v>
      </c>
      <c r="D5394" t="s">
        <v>56</v>
      </c>
      <c r="E5394" t="s">
        <v>13</v>
      </c>
      <c r="F5394" t="s">
        <v>28</v>
      </c>
      <c r="G5394" t="s">
        <v>15</v>
      </c>
      <c r="K5394" cm="1">
        <f t="array" ref="K5394">_xlfn.SWITCH(LeadsData[[#This Row],[Funnel Stage Reached]],"Lead",1,"MQL",2,"SQL",3,"Customer",4)</f>
        <v>1</v>
      </c>
      <c r="L5394" t="str">
        <f>TEXT(LeadsData[[#This Row],[Signup Date]],"mmm-yyyy")</f>
        <v>Nov-2024</v>
      </c>
      <c r="M5394">
        <f>IF(LeadsData[[#This Row],[Stage Number]]&gt;=2,1,0)</f>
        <v>0</v>
      </c>
      <c r="N5394" s="2">
        <f>IF(LeadsData[[#This Row],[Stage Number]]&gt;=3,1,0)</f>
        <v>0</v>
      </c>
      <c r="O5394" s="2">
        <f>IF(LeadsData[[#This Row],[Stage Number]]&gt;=4,1,0)</f>
        <v>0</v>
      </c>
    </row>
    <row r="5395" spans="1:15" x14ac:dyDescent="0.25">
      <c r="A5395" t="s">
        <v>5435</v>
      </c>
      <c r="B5395" s="1">
        <v>45648</v>
      </c>
      <c r="C5395" t="s">
        <v>36</v>
      </c>
      <c r="D5395" t="s">
        <v>50</v>
      </c>
      <c r="E5395" t="s">
        <v>21</v>
      </c>
      <c r="F5395" t="s">
        <v>19</v>
      </c>
      <c r="G5395" t="s">
        <v>23</v>
      </c>
      <c r="K5395" cm="1">
        <f t="array" ref="K5395">_xlfn.SWITCH(LeadsData[[#This Row],[Funnel Stage Reached]],"Lead",1,"MQL",2,"SQL",3,"Customer",4)</f>
        <v>2</v>
      </c>
      <c r="L5395" t="str">
        <f>TEXT(LeadsData[[#This Row],[Signup Date]],"mmm-yyyy")</f>
        <v>Dec-2024</v>
      </c>
      <c r="M5395">
        <f>IF(LeadsData[[#This Row],[Stage Number]]&gt;=2,1,0)</f>
        <v>1</v>
      </c>
      <c r="N5395" s="2">
        <f>IF(LeadsData[[#This Row],[Stage Number]]&gt;=3,1,0)</f>
        <v>0</v>
      </c>
      <c r="O5395" s="2">
        <f>IF(LeadsData[[#This Row],[Stage Number]]&gt;=4,1,0)</f>
        <v>0</v>
      </c>
    </row>
    <row r="5396" spans="1:15" x14ac:dyDescent="0.25">
      <c r="A5396" t="s">
        <v>5436</v>
      </c>
      <c r="B5396" s="1">
        <v>45465</v>
      </c>
      <c r="C5396" t="s">
        <v>17</v>
      </c>
      <c r="D5396" t="s">
        <v>53</v>
      </c>
      <c r="E5396" t="s">
        <v>13</v>
      </c>
      <c r="F5396" t="s">
        <v>19</v>
      </c>
      <c r="G5396" t="s">
        <v>23</v>
      </c>
      <c r="K5396" cm="1">
        <f t="array" ref="K5396">_xlfn.SWITCH(LeadsData[[#This Row],[Funnel Stage Reached]],"Lead",1,"MQL",2,"SQL",3,"Customer",4)</f>
        <v>2</v>
      </c>
      <c r="L5396" t="str">
        <f>TEXT(LeadsData[[#This Row],[Signup Date]],"mmm-yyyy")</f>
        <v>Jun-2024</v>
      </c>
      <c r="M5396">
        <f>IF(LeadsData[[#This Row],[Stage Number]]&gt;=2,1,0)</f>
        <v>1</v>
      </c>
      <c r="N5396" s="2">
        <f>IF(LeadsData[[#This Row],[Stage Number]]&gt;=3,1,0)</f>
        <v>0</v>
      </c>
      <c r="O5396" s="2">
        <f>IF(LeadsData[[#This Row],[Stage Number]]&gt;=4,1,0)</f>
        <v>0</v>
      </c>
    </row>
    <row r="5397" spans="1:15" x14ac:dyDescent="0.25">
      <c r="A5397" t="s">
        <v>5437</v>
      </c>
      <c r="B5397" s="1">
        <v>45476</v>
      </c>
      <c r="C5397" t="s">
        <v>17</v>
      </c>
      <c r="D5397" t="s">
        <v>53</v>
      </c>
      <c r="E5397" t="s">
        <v>48</v>
      </c>
      <c r="F5397" t="s">
        <v>19</v>
      </c>
      <c r="G5397" t="s">
        <v>15</v>
      </c>
      <c r="K5397" cm="1">
        <f t="array" ref="K5397">_xlfn.SWITCH(LeadsData[[#This Row],[Funnel Stage Reached]],"Lead",1,"MQL",2,"SQL",3,"Customer",4)</f>
        <v>1</v>
      </c>
      <c r="L5397" t="str">
        <f>TEXT(LeadsData[[#This Row],[Signup Date]],"mmm-yyyy")</f>
        <v>Jul-2024</v>
      </c>
      <c r="M5397">
        <f>IF(LeadsData[[#This Row],[Stage Number]]&gt;=2,1,0)</f>
        <v>0</v>
      </c>
      <c r="N5397" s="2">
        <f>IF(LeadsData[[#This Row],[Stage Number]]&gt;=3,1,0)</f>
        <v>0</v>
      </c>
      <c r="O5397" s="2">
        <f>IF(LeadsData[[#This Row],[Stage Number]]&gt;=4,1,0)</f>
        <v>0</v>
      </c>
    </row>
    <row r="5398" spans="1:15" x14ac:dyDescent="0.25">
      <c r="A5398" t="s">
        <v>5438</v>
      </c>
      <c r="B5398" s="1">
        <v>45417</v>
      </c>
      <c r="C5398" t="s">
        <v>46</v>
      </c>
      <c r="D5398" t="s">
        <v>47</v>
      </c>
      <c r="E5398" t="s">
        <v>21</v>
      </c>
      <c r="F5398" t="s">
        <v>19</v>
      </c>
      <c r="G5398" t="s">
        <v>23</v>
      </c>
      <c r="K5398" cm="1">
        <f t="array" ref="K5398">_xlfn.SWITCH(LeadsData[[#This Row],[Funnel Stage Reached]],"Lead",1,"MQL",2,"SQL",3,"Customer",4)</f>
        <v>2</v>
      </c>
      <c r="L5398" t="str">
        <f>TEXT(LeadsData[[#This Row],[Signup Date]],"mmm-yyyy")</f>
        <v>May-2024</v>
      </c>
      <c r="M5398">
        <f>IF(LeadsData[[#This Row],[Stage Number]]&gt;=2,1,0)</f>
        <v>1</v>
      </c>
      <c r="N5398" s="2">
        <f>IF(LeadsData[[#This Row],[Stage Number]]&gt;=3,1,0)</f>
        <v>0</v>
      </c>
      <c r="O5398" s="2">
        <f>IF(LeadsData[[#This Row],[Stage Number]]&gt;=4,1,0)</f>
        <v>0</v>
      </c>
    </row>
    <row r="5399" spans="1:15" x14ac:dyDescent="0.25">
      <c r="A5399" t="s">
        <v>5439</v>
      </c>
      <c r="B5399" s="1">
        <v>45306</v>
      </c>
      <c r="C5399" t="s">
        <v>25</v>
      </c>
      <c r="D5399" t="s">
        <v>26</v>
      </c>
      <c r="E5399" t="s">
        <v>13</v>
      </c>
      <c r="F5399" t="s">
        <v>22</v>
      </c>
      <c r="G5399" t="s">
        <v>15</v>
      </c>
      <c r="K5399" cm="1">
        <f t="array" ref="K5399">_xlfn.SWITCH(LeadsData[[#This Row],[Funnel Stage Reached]],"Lead",1,"MQL",2,"SQL",3,"Customer",4)</f>
        <v>1</v>
      </c>
      <c r="L5399" t="str">
        <f>TEXT(LeadsData[[#This Row],[Signup Date]],"mmm-yyyy")</f>
        <v>Jan-2024</v>
      </c>
      <c r="M5399">
        <f>IF(LeadsData[[#This Row],[Stage Number]]&gt;=2,1,0)</f>
        <v>0</v>
      </c>
      <c r="N5399" s="2">
        <f>IF(LeadsData[[#This Row],[Stage Number]]&gt;=3,1,0)</f>
        <v>0</v>
      </c>
      <c r="O5399" s="2">
        <f>IF(LeadsData[[#This Row],[Stage Number]]&gt;=4,1,0)</f>
        <v>0</v>
      </c>
    </row>
    <row r="5400" spans="1:15" x14ac:dyDescent="0.25">
      <c r="A5400" t="s">
        <v>5440</v>
      </c>
      <c r="B5400" s="1">
        <v>45433</v>
      </c>
      <c r="C5400" t="s">
        <v>46</v>
      </c>
      <c r="D5400" t="s">
        <v>56</v>
      </c>
      <c r="E5400" t="s">
        <v>21</v>
      </c>
      <c r="F5400" t="s">
        <v>19</v>
      </c>
      <c r="G5400" t="s">
        <v>23</v>
      </c>
      <c r="K5400" cm="1">
        <f t="array" ref="K5400">_xlfn.SWITCH(LeadsData[[#This Row],[Funnel Stage Reached]],"Lead",1,"MQL",2,"SQL",3,"Customer",4)</f>
        <v>2</v>
      </c>
      <c r="L5400" t="str">
        <f>TEXT(LeadsData[[#This Row],[Signup Date]],"mmm-yyyy")</f>
        <v>May-2024</v>
      </c>
      <c r="M5400">
        <f>IF(LeadsData[[#This Row],[Stage Number]]&gt;=2,1,0)</f>
        <v>1</v>
      </c>
      <c r="N5400" s="2">
        <f>IF(LeadsData[[#This Row],[Stage Number]]&gt;=3,1,0)</f>
        <v>0</v>
      </c>
      <c r="O5400" s="2">
        <f>IF(LeadsData[[#This Row],[Stage Number]]&gt;=4,1,0)</f>
        <v>0</v>
      </c>
    </row>
    <row r="5401" spans="1:15" x14ac:dyDescent="0.25">
      <c r="A5401" t="s">
        <v>5441</v>
      </c>
      <c r="B5401" s="1">
        <v>45426</v>
      </c>
      <c r="C5401" t="s">
        <v>25</v>
      </c>
      <c r="D5401" t="s">
        <v>26</v>
      </c>
      <c r="E5401" t="s">
        <v>13</v>
      </c>
      <c r="F5401" t="s">
        <v>19</v>
      </c>
      <c r="G5401" t="s">
        <v>29</v>
      </c>
      <c r="K5401" cm="1">
        <f t="array" ref="K5401">_xlfn.SWITCH(LeadsData[[#This Row],[Funnel Stage Reached]],"Lead",1,"MQL",2,"SQL",3,"Customer",4)</f>
        <v>3</v>
      </c>
      <c r="L5401" t="str">
        <f>TEXT(LeadsData[[#This Row],[Signup Date]],"mmm-yyyy")</f>
        <v>May-2024</v>
      </c>
      <c r="M5401">
        <f>IF(LeadsData[[#This Row],[Stage Number]]&gt;=2,1,0)</f>
        <v>1</v>
      </c>
      <c r="N5401" s="2">
        <f>IF(LeadsData[[#This Row],[Stage Number]]&gt;=3,1,0)</f>
        <v>1</v>
      </c>
      <c r="O5401" s="2">
        <f>IF(LeadsData[[#This Row],[Stage Number]]&gt;=4,1,0)</f>
        <v>0</v>
      </c>
    </row>
    <row r="5402" spans="1:15" x14ac:dyDescent="0.25">
      <c r="A5402" t="s">
        <v>5442</v>
      </c>
      <c r="B5402" s="1">
        <v>45369</v>
      </c>
      <c r="C5402" t="s">
        <v>31</v>
      </c>
      <c r="D5402" t="s">
        <v>32</v>
      </c>
      <c r="E5402" t="s">
        <v>48</v>
      </c>
      <c r="F5402" t="s">
        <v>14</v>
      </c>
      <c r="G5402" t="s">
        <v>15</v>
      </c>
      <c r="K5402" cm="1">
        <f t="array" ref="K5402">_xlfn.SWITCH(LeadsData[[#This Row],[Funnel Stage Reached]],"Lead",1,"MQL",2,"SQL",3,"Customer",4)</f>
        <v>1</v>
      </c>
      <c r="L5402" t="str">
        <f>TEXT(LeadsData[[#This Row],[Signup Date]],"mmm-yyyy")</f>
        <v>Mar-2024</v>
      </c>
      <c r="M5402">
        <f>IF(LeadsData[[#This Row],[Stage Number]]&gt;=2,1,0)</f>
        <v>0</v>
      </c>
      <c r="N5402" s="2">
        <f>IF(LeadsData[[#This Row],[Stage Number]]&gt;=3,1,0)</f>
        <v>0</v>
      </c>
      <c r="O5402" s="2">
        <f>IF(LeadsData[[#This Row],[Stage Number]]&gt;=4,1,0)</f>
        <v>0</v>
      </c>
    </row>
    <row r="5403" spans="1:15" x14ac:dyDescent="0.25">
      <c r="A5403" t="s">
        <v>5443</v>
      </c>
      <c r="B5403" s="1">
        <v>45499</v>
      </c>
      <c r="C5403" t="s">
        <v>36</v>
      </c>
      <c r="D5403" t="s">
        <v>50</v>
      </c>
      <c r="E5403" t="s">
        <v>13</v>
      </c>
      <c r="F5403" t="s">
        <v>19</v>
      </c>
      <c r="G5403" t="s">
        <v>42</v>
      </c>
      <c r="H5403">
        <v>62</v>
      </c>
      <c r="I5403" t="s">
        <v>43</v>
      </c>
      <c r="J5403">
        <v>1184.27</v>
      </c>
      <c r="K5403" cm="1">
        <f t="array" ref="K5403">_xlfn.SWITCH(LeadsData[[#This Row],[Funnel Stage Reached]],"Lead",1,"MQL",2,"SQL",3,"Customer",4)</f>
        <v>4</v>
      </c>
      <c r="L5403" t="str">
        <f>TEXT(LeadsData[[#This Row],[Signup Date]],"mmm-yyyy")</f>
        <v>Jul-2024</v>
      </c>
      <c r="M5403">
        <f>IF(LeadsData[[#This Row],[Stage Number]]&gt;=2,1,0)</f>
        <v>1</v>
      </c>
      <c r="N5403" s="2">
        <f>IF(LeadsData[[#This Row],[Stage Number]]&gt;=3,1,0)</f>
        <v>1</v>
      </c>
      <c r="O5403" s="2">
        <f>IF(LeadsData[[#This Row],[Stage Number]]&gt;=4,1,0)</f>
        <v>1</v>
      </c>
    </row>
    <row r="5404" spans="1:15" x14ac:dyDescent="0.25">
      <c r="A5404" t="s">
        <v>5444</v>
      </c>
      <c r="B5404" s="1">
        <v>45370</v>
      </c>
      <c r="C5404" t="s">
        <v>31</v>
      </c>
      <c r="D5404" t="s">
        <v>32</v>
      </c>
      <c r="E5404" t="s">
        <v>48</v>
      </c>
      <c r="F5404" t="s">
        <v>22</v>
      </c>
      <c r="G5404" t="s">
        <v>15</v>
      </c>
      <c r="K5404" cm="1">
        <f t="array" ref="K5404">_xlfn.SWITCH(LeadsData[[#This Row],[Funnel Stage Reached]],"Lead",1,"MQL",2,"SQL",3,"Customer",4)</f>
        <v>1</v>
      </c>
      <c r="L5404" t="str">
        <f>TEXT(LeadsData[[#This Row],[Signup Date]],"mmm-yyyy")</f>
        <v>Mar-2024</v>
      </c>
      <c r="M5404">
        <f>IF(LeadsData[[#This Row],[Stage Number]]&gt;=2,1,0)</f>
        <v>0</v>
      </c>
      <c r="N5404" s="2">
        <f>IF(LeadsData[[#This Row],[Stage Number]]&gt;=3,1,0)</f>
        <v>0</v>
      </c>
      <c r="O5404" s="2">
        <f>IF(LeadsData[[#This Row],[Stage Number]]&gt;=4,1,0)</f>
        <v>0</v>
      </c>
    </row>
    <row r="5405" spans="1:15" x14ac:dyDescent="0.25">
      <c r="A5405" t="s">
        <v>5445</v>
      </c>
      <c r="B5405" s="1">
        <v>45303</v>
      </c>
      <c r="C5405" t="s">
        <v>31</v>
      </c>
      <c r="D5405" t="s">
        <v>32</v>
      </c>
      <c r="E5405" t="s">
        <v>13</v>
      </c>
      <c r="F5405" t="s">
        <v>19</v>
      </c>
      <c r="G5405" t="s">
        <v>23</v>
      </c>
      <c r="K5405" cm="1">
        <f t="array" ref="K5405">_xlfn.SWITCH(LeadsData[[#This Row],[Funnel Stage Reached]],"Lead",1,"MQL",2,"SQL",3,"Customer",4)</f>
        <v>2</v>
      </c>
      <c r="L5405" t="str">
        <f>TEXT(LeadsData[[#This Row],[Signup Date]],"mmm-yyyy")</f>
        <v>Jan-2024</v>
      </c>
      <c r="M5405">
        <f>IF(LeadsData[[#This Row],[Stage Number]]&gt;=2,1,0)</f>
        <v>1</v>
      </c>
      <c r="N5405" s="2">
        <f>IF(LeadsData[[#This Row],[Stage Number]]&gt;=3,1,0)</f>
        <v>0</v>
      </c>
      <c r="O5405" s="2">
        <f>IF(LeadsData[[#This Row],[Stage Number]]&gt;=4,1,0)</f>
        <v>0</v>
      </c>
    </row>
    <row r="5406" spans="1:15" x14ac:dyDescent="0.25">
      <c r="A5406" t="s">
        <v>5446</v>
      </c>
      <c r="B5406" s="1">
        <v>45619</v>
      </c>
      <c r="C5406" t="s">
        <v>11</v>
      </c>
      <c r="D5406" t="s">
        <v>79</v>
      </c>
      <c r="E5406" t="s">
        <v>21</v>
      </c>
      <c r="F5406" t="s">
        <v>22</v>
      </c>
      <c r="G5406" t="s">
        <v>15</v>
      </c>
      <c r="K5406" cm="1">
        <f t="array" ref="K5406">_xlfn.SWITCH(LeadsData[[#This Row],[Funnel Stage Reached]],"Lead",1,"MQL",2,"SQL",3,"Customer",4)</f>
        <v>1</v>
      </c>
      <c r="L5406" t="str">
        <f>TEXT(LeadsData[[#This Row],[Signup Date]],"mmm-yyyy")</f>
        <v>Nov-2024</v>
      </c>
      <c r="M5406">
        <f>IF(LeadsData[[#This Row],[Stage Number]]&gt;=2,1,0)</f>
        <v>0</v>
      </c>
      <c r="N5406" s="2">
        <f>IF(LeadsData[[#This Row],[Stage Number]]&gt;=3,1,0)</f>
        <v>0</v>
      </c>
      <c r="O5406" s="2">
        <f>IF(LeadsData[[#This Row],[Stage Number]]&gt;=4,1,0)</f>
        <v>0</v>
      </c>
    </row>
    <row r="5407" spans="1:15" x14ac:dyDescent="0.25">
      <c r="A5407" t="s">
        <v>5447</v>
      </c>
      <c r="B5407" s="1">
        <v>45445</v>
      </c>
      <c r="C5407" t="s">
        <v>46</v>
      </c>
      <c r="D5407" t="s">
        <v>56</v>
      </c>
      <c r="E5407" t="s">
        <v>13</v>
      </c>
      <c r="F5407" t="s">
        <v>22</v>
      </c>
      <c r="G5407" t="s">
        <v>23</v>
      </c>
      <c r="K5407" cm="1">
        <f t="array" ref="K5407">_xlfn.SWITCH(LeadsData[[#This Row],[Funnel Stage Reached]],"Lead",1,"MQL",2,"SQL",3,"Customer",4)</f>
        <v>2</v>
      </c>
      <c r="L5407" t="str">
        <f>TEXT(LeadsData[[#This Row],[Signup Date]],"mmm-yyyy")</f>
        <v>Jun-2024</v>
      </c>
      <c r="M5407">
        <f>IF(LeadsData[[#This Row],[Stage Number]]&gt;=2,1,0)</f>
        <v>1</v>
      </c>
      <c r="N5407" s="2">
        <f>IF(LeadsData[[#This Row],[Stage Number]]&gt;=3,1,0)</f>
        <v>0</v>
      </c>
      <c r="O5407" s="2">
        <f>IF(LeadsData[[#This Row],[Stage Number]]&gt;=4,1,0)</f>
        <v>0</v>
      </c>
    </row>
    <row r="5408" spans="1:15" x14ac:dyDescent="0.25">
      <c r="A5408" t="s">
        <v>5448</v>
      </c>
      <c r="B5408" s="1">
        <v>45540</v>
      </c>
      <c r="C5408" t="s">
        <v>25</v>
      </c>
      <c r="D5408" t="s">
        <v>26</v>
      </c>
      <c r="E5408" t="s">
        <v>21</v>
      </c>
      <c r="F5408" t="s">
        <v>22</v>
      </c>
      <c r="G5408" t="s">
        <v>15</v>
      </c>
      <c r="K5408" cm="1">
        <f t="array" ref="K5408">_xlfn.SWITCH(LeadsData[[#This Row],[Funnel Stage Reached]],"Lead",1,"MQL",2,"SQL",3,"Customer",4)</f>
        <v>1</v>
      </c>
      <c r="L5408" t="str">
        <f>TEXT(LeadsData[[#This Row],[Signup Date]],"mmm-yyyy")</f>
        <v>Sep-2024</v>
      </c>
      <c r="M5408">
        <f>IF(LeadsData[[#This Row],[Stage Number]]&gt;=2,1,0)</f>
        <v>0</v>
      </c>
      <c r="N5408" s="2">
        <f>IF(LeadsData[[#This Row],[Stage Number]]&gt;=3,1,0)</f>
        <v>0</v>
      </c>
      <c r="O5408" s="2">
        <f>IF(LeadsData[[#This Row],[Stage Number]]&gt;=4,1,0)</f>
        <v>0</v>
      </c>
    </row>
    <row r="5409" spans="1:15" x14ac:dyDescent="0.25">
      <c r="A5409" t="s">
        <v>5449</v>
      </c>
      <c r="B5409" s="1">
        <v>45463</v>
      </c>
      <c r="C5409" t="s">
        <v>46</v>
      </c>
      <c r="D5409" t="s">
        <v>47</v>
      </c>
      <c r="E5409" t="s">
        <v>13</v>
      </c>
      <c r="F5409" t="s">
        <v>28</v>
      </c>
      <c r="G5409" t="s">
        <v>15</v>
      </c>
      <c r="K5409" cm="1">
        <f t="array" ref="K5409">_xlfn.SWITCH(LeadsData[[#This Row],[Funnel Stage Reached]],"Lead",1,"MQL",2,"SQL",3,"Customer",4)</f>
        <v>1</v>
      </c>
      <c r="L5409" t="str">
        <f>TEXT(LeadsData[[#This Row],[Signup Date]],"mmm-yyyy")</f>
        <v>Jun-2024</v>
      </c>
      <c r="M5409">
        <f>IF(LeadsData[[#This Row],[Stage Number]]&gt;=2,1,0)</f>
        <v>0</v>
      </c>
      <c r="N5409" s="2">
        <f>IF(LeadsData[[#This Row],[Stage Number]]&gt;=3,1,0)</f>
        <v>0</v>
      </c>
      <c r="O5409" s="2">
        <f>IF(LeadsData[[#This Row],[Stage Number]]&gt;=4,1,0)</f>
        <v>0</v>
      </c>
    </row>
    <row r="5410" spans="1:15" x14ac:dyDescent="0.25">
      <c r="A5410" t="s">
        <v>5450</v>
      </c>
      <c r="B5410" s="1">
        <v>45481</v>
      </c>
      <c r="C5410" t="s">
        <v>31</v>
      </c>
      <c r="D5410" t="s">
        <v>32</v>
      </c>
      <c r="E5410" t="s">
        <v>21</v>
      </c>
      <c r="F5410" t="s">
        <v>22</v>
      </c>
      <c r="G5410" t="s">
        <v>15</v>
      </c>
      <c r="K5410" cm="1">
        <f t="array" ref="K5410">_xlfn.SWITCH(LeadsData[[#This Row],[Funnel Stage Reached]],"Lead",1,"MQL",2,"SQL",3,"Customer",4)</f>
        <v>1</v>
      </c>
      <c r="L5410" t="str">
        <f>TEXT(LeadsData[[#This Row],[Signup Date]],"mmm-yyyy")</f>
        <v>Jul-2024</v>
      </c>
      <c r="M5410">
        <f>IF(LeadsData[[#This Row],[Stage Number]]&gt;=2,1,0)</f>
        <v>0</v>
      </c>
      <c r="N5410" s="2">
        <f>IF(LeadsData[[#This Row],[Stage Number]]&gt;=3,1,0)</f>
        <v>0</v>
      </c>
      <c r="O5410" s="2">
        <f>IF(LeadsData[[#This Row],[Stage Number]]&gt;=4,1,0)</f>
        <v>0</v>
      </c>
    </row>
    <row r="5411" spans="1:15" x14ac:dyDescent="0.25">
      <c r="A5411" t="s">
        <v>5451</v>
      </c>
      <c r="B5411" s="1">
        <v>45499</v>
      </c>
      <c r="C5411" t="s">
        <v>17</v>
      </c>
      <c r="D5411" t="s">
        <v>18</v>
      </c>
      <c r="E5411" t="s">
        <v>21</v>
      </c>
      <c r="F5411" t="s">
        <v>22</v>
      </c>
      <c r="G5411" t="s">
        <v>15</v>
      </c>
      <c r="K5411" cm="1">
        <f t="array" ref="K5411">_xlfn.SWITCH(LeadsData[[#This Row],[Funnel Stage Reached]],"Lead",1,"MQL",2,"SQL",3,"Customer",4)</f>
        <v>1</v>
      </c>
      <c r="L5411" t="str">
        <f>TEXT(LeadsData[[#This Row],[Signup Date]],"mmm-yyyy")</f>
        <v>Jul-2024</v>
      </c>
      <c r="M5411">
        <f>IF(LeadsData[[#This Row],[Stage Number]]&gt;=2,1,0)</f>
        <v>0</v>
      </c>
      <c r="N5411" s="2">
        <f>IF(LeadsData[[#This Row],[Stage Number]]&gt;=3,1,0)</f>
        <v>0</v>
      </c>
      <c r="O5411" s="2">
        <f>IF(LeadsData[[#This Row],[Stage Number]]&gt;=4,1,0)</f>
        <v>0</v>
      </c>
    </row>
    <row r="5412" spans="1:15" x14ac:dyDescent="0.25">
      <c r="A5412" t="s">
        <v>5452</v>
      </c>
      <c r="B5412" s="1">
        <v>45509</v>
      </c>
      <c r="C5412" t="s">
        <v>25</v>
      </c>
      <c r="D5412" t="s">
        <v>26</v>
      </c>
      <c r="E5412" t="s">
        <v>21</v>
      </c>
      <c r="F5412" t="s">
        <v>14</v>
      </c>
      <c r="G5412" t="s">
        <v>23</v>
      </c>
      <c r="K5412" cm="1">
        <f t="array" ref="K5412">_xlfn.SWITCH(LeadsData[[#This Row],[Funnel Stage Reached]],"Lead",1,"MQL",2,"SQL",3,"Customer",4)</f>
        <v>2</v>
      </c>
      <c r="L5412" t="str">
        <f>TEXT(LeadsData[[#This Row],[Signup Date]],"mmm-yyyy")</f>
        <v>Aug-2024</v>
      </c>
      <c r="M5412">
        <f>IF(LeadsData[[#This Row],[Stage Number]]&gt;=2,1,0)</f>
        <v>1</v>
      </c>
      <c r="N5412" s="2">
        <f>IF(LeadsData[[#This Row],[Stage Number]]&gt;=3,1,0)</f>
        <v>0</v>
      </c>
      <c r="O5412" s="2">
        <f>IF(LeadsData[[#This Row],[Stage Number]]&gt;=4,1,0)</f>
        <v>0</v>
      </c>
    </row>
    <row r="5413" spans="1:15" x14ac:dyDescent="0.25">
      <c r="A5413" t="s">
        <v>5453</v>
      </c>
      <c r="B5413" s="1">
        <v>45444</v>
      </c>
      <c r="C5413" t="s">
        <v>11</v>
      </c>
      <c r="D5413" t="s">
        <v>68</v>
      </c>
      <c r="E5413" t="s">
        <v>13</v>
      </c>
      <c r="F5413" t="s">
        <v>19</v>
      </c>
      <c r="G5413" t="s">
        <v>15</v>
      </c>
      <c r="K5413" cm="1">
        <f t="array" ref="K5413">_xlfn.SWITCH(LeadsData[[#This Row],[Funnel Stage Reached]],"Lead",1,"MQL",2,"SQL",3,"Customer",4)</f>
        <v>1</v>
      </c>
      <c r="L5413" t="str">
        <f>TEXT(LeadsData[[#This Row],[Signup Date]],"mmm-yyyy")</f>
        <v>Jun-2024</v>
      </c>
      <c r="M5413">
        <f>IF(LeadsData[[#This Row],[Stage Number]]&gt;=2,1,0)</f>
        <v>0</v>
      </c>
      <c r="N5413" s="2">
        <f>IF(LeadsData[[#This Row],[Stage Number]]&gt;=3,1,0)</f>
        <v>0</v>
      </c>
      <c r="O5413" s="2">
        <f>IF(LeadsData[[#This Row],[Stage Number]]&gt;=4,1,0)</f>
        <v>0</v>
      </c>
    </row>
    <row r="5414" spans="1:15" x14ac:dyDescent="0.25">
      <c r="A5414" t="s">
        <v>5454</v>
      </c>
      <c r="B5414" s="1">
        <v>45576</v>
      </c>
      <c r="C5414" t="s">
        <v>17</v>
      </c>
      <c r="D5414" t="s">
        <v>53</v>
      </c>
      <c r="E5414" t="s">
        <v>48</v>
      </c>
      <c r="F5414" t="s">
        <v>19</v>
      </c>
      <c r="G5414" t="s">
        <v>23</v>
      </c>
      <c r="K5414" cm="1">
        <f t="array" ref="K5414">_xlfn.SWITCH(LeadsData[[#This Row],[Funnel Stage Reached]],"Lead",1,"MQL",2,"SQL",3,"Customer",4)</f>
        <v>2</v>
      </c>
      <c r="L5414" t="str">
        <f>TEXT(LeadsData[[#This Row],[Signup Date]],"mmm-yyyy")</f>
        <v>Oct-2024</v>
      </c>
      <c r="M5414">
        <f>IF(LeadsData[[#This Row],[Stage Number]]&gt;=2,1,0)</f>
        <v>1</v>
      </c>
      <c r="N5414" s="2">
        <f>IF(LeadsData[[#This Row],[Stage Number]]&gt;=3,1,0)</f>
        <v>0</v>
      </c>
      <c r="O5414" s="2">
        <f>IF(LeadsData[[#This Row],[Stage Number]]&gt;=4,1,0)</f>
        <v>0</v>
      </c>
    </row>
    <row r="5415" spans="1:15" x14ac:dyDescent="0.25">
      <c r="A5415" t="s">
        <v>5455</v>
      </c>
      <c r="B5415" s="1">
        <v>45551</v>
      </c>
      <c r="C5415" t="s">
        <v>11</v>
      </c>
      <c r="D5415" t="s">
        <v>79</v>
      </c>
      <c r="E5415" t="s">
        <v>13</v>
      </c>
      <c r="F5415" t="s">
        <v>14</v>
      </c>
      <c r="G5415" t="s">
        <v>15</v>
      </c>
      <c r="K5415" cm="1">
        <f t="array" ref="K5415">_xlfn.SWITCH(LeadsData[[#This Row],[Funnel Stage Reached]],"Lead",1,"MQL",2,"SQL",3,"Customer",4)</f>
        <v>1</v>
      </c>
      <c r="L5415" t="str">
        <f>TEXT(LeadsData[[#This Row],[Signup Date]],"mmm-yyyy")</f>
        <v>Sep-2024</v>
      </c>
      <c r="M5415">
        <f>IF(LeadsData[[#This Row],[Stage Number]]&gt;=2,1,0)</f>
        <v>0</v>
      </c>
      <c r="N5415" s="2">
        <f>IF(LeadsData[[#This Row],[Stage Number]]&gt;=3,1,0)</f>
        <v>0</v>
      </c>
      <c r="O5415" s="2">
        <f>IF(LeadsData[[#This Row],[Stage Number]]&gt;=4,1,0)</f>
        <v>0</v>
      </c>
    </row>
    <row r="5416" spans="1:15" x14ac:dyDescent="0.25">
      <c r="A5416" t="s">
        <v>5456</v>
      </c>
      <c r="B5416" s="1">
        <v>45437</v>
      </c>
      <c r="C5416" t="s">
        <v>17</v>
      </c>
      <c r="D5416" t="s">
        <v>53</v>
      </c>
      <c r="E5416" t="s">
        <v>13</v>
      </c>
      <c r="F5416" t="s">
        <v>19</v>
      </c>
      <c r="G5416" t="s">
        <v>15</v>
      </c>
      <c r="K5416" cm="1">
        <f t="array" ref="K5416">_xlfn.SWITCH(LeadsData[[#This Row],[Funnel Stage Reached]],"Lead",1,"MQL",2,"SQL",3,"Customer",4)</f>
        <v>1</v>
      </c>
      <c r="L5416" t="str">
        <f>TEXT(LeadsData[[#This Row],[Signup Date]],"mmm-yyyy")</f>
        <v>May-2024</v>
      </c>
      <c r="M5416">
        <f>IF(LeadsData[[#This Row],[Stage Number]]&gt;=2,1,0)</f>
        <v>0</v>
      </c>
      <c r="N5416" s="2">
        <f>IF(LeadsData[[#This Row],[Stage Number]]&gt;=3,1,0)</f>
        <v>0</v>
      </c>
      <c r="O5416" s="2">
        <f>IF(LeadsData[[#This Row],[Stage Number]]&gt;=4,1,0)</f>
        <v>0</v>
      </c>
    </row>
    <row r="5417" spans="1:15" x14ac:dyDescent="0.25">
      <c r="A5417" t="s">
        <v>5457</v>
      </c>
      <c r="B5417" s="1">
        <v>45447</v>
      </c>
      <c r="C5417" t="s">
        <v>17</v>
      </c>
      <c r="D5417" t="s">
        <v>53</v>
      </c>
      <c r="E5417" t="s">
        <v>21</v>
      </c>
      <c r="F5417" t="s">
        <v>22</v>
      </c>
      <c r="G5417" t="s">
        <v>23</v>
      </c>
      <c r="K5417" cm="1">
        <f t="array" ref="K5417">_xlfn.SWITCH(LeadsData[[#This Row],[Funnel Stage Reached]],"Lead",1,"MQL",2,"SQL",3,"Customer",4)</f>
        <v>2</v>
      </c>
      <c r="L5417" t="str">
        <f>TEXT(LeadsData[[#This Row],[Signup Date]],"mmm-yyyy")</f>
        <v>Jun-2024</v>
      </c>
      <c r="M5417">
        <f>IF(LeadsData[[#This Row],[Stage Number]]&gt;=2,1,0)</f>
        <v>1</v>
      </c>
      <c r="N5417" s="2">
        <f>IF(LeadsData[[#This Row],[Stage Number]]&gt;=3,1,0)</f>
        <v>0</v>
      </c>
      <c r="O5417" s="2">
        <f>IF(LeadsData[[#This Row],[Stage Number]]&gt;=4,1,0)</f>
        <v>0</v>
      </c>
    </row>
    <row r="5418" spans="1:15" x14ac:dyDescent="0.25">
      <c r="A5418" t="s">
        <v>5458</v>
      </c>
      <c r="B5418" s="1">
        <v>45455</v>
      </c>
      <c r="C5418" t="s">
        <v>11</v>
      </c>
      <c r="D5418" t="s">
        <v>68</v>
      </c>
      <c r="E5418" t="s">
        <v>13</v>
      </c>
      <c r="F5418" t="s">
        <v>28</v>
      </c>
      <c r="G5418" t="s">
        <v>23</v>
      </c>
      <c r="K5418" cm="1">
        <f t="array" ref="K5418">_xlfn.SWITCH(LeadsData[[#This Row],[Funnel Stage Reached]],"Lead",1,"MQL",2,"SQL",3,"Customer",4)</f>
        <v>2</v>
      </c>
      <c r="L5418" t="str">
        <f>TEXT(LeadsData[[#This Row],[Signup Date]],"mmm-yyyy")</f>
        <v>Jun-2024</v>
      </c>
      <c r="M5418">
        <f>IF(LeadsData[[#This Row],[Stage Number]]&gt;=2,1,0)</f>
        <v>1</v>
      </c>
      <c r="N5418" s="2">
        <f>IF(LeadsData[[#This Row],[Stage Number]]&gt;=3,1,0)</f>
        <v>0</v>
      </c>
      <c r="O5418" s="2">
        <f>IF(LeadsData[[#This Row],[Stage Number]]&gt;=4,1,0)</f>
        <v>0</v>
      </c>
    </row>
    <row r="5419" spans="1:15" x14ac:dyDescent="0.25">
      <c r="A5419" t="s">
        <v>5459</v>
      </c>
      <c r="B5419" s="1">
        <v>45584</v>
      </c>
      <c r="C5419" t="s">
        <v>46</v>
      </c>
      <c r="D5419" t="s">
        <v>47</v>
      </c>
      <c r="E5419" t="s">
        <v>13</v>
      </c>
      <c r="F5419" t="s">
        <v>19</v>
      </c>
      <c r="G5419" t="s">
        <v>23</v>
      </c>
      <c r="K5419" cm="1">
        <f t="array" ref="K5419">_xlfn.SWITCH(LeadsData[[#This Row],[Funnel Stage Reached]],"Lead",1,"MQL",2,"SQL",3,"Customer",4)</f>
        <v>2</v>
      </c>
      <c r="L5419" t="str">
        <f>TEXT(LeadsData[[#This Row],[Signup Date]],"mmm-yyyy")</f>
        <v>Oct-2024</v>
      </c>
      <c r="M5419">
        <f>IF(LeadsData[[#This Row],[Stage Number]]&gt;=2,1,0)</f>
        <v>1</v>
      </c>
      <c r="N5419" s="2">
        <f>IF(LeadsData[[#This Row],[Stage Number]]&gt;=3,1,0)</f>
        <v>0</v>
      </c>
      <c r="O5419" s="2">
        <f>IF(LeadsData[[#This Row],[Stage Number]]&gt;=4,1,0)</f>
        <v>0</v>
      </c>
    </row>
    <row r="5420" spans="1:15" x14ac:dyDescent="0.25">
      <c r="A5420" t="s">
        <v>5460</v>
      </c>
      <c r="B5420" s="1">
        <v>45609</v>
      </c>
      <c r="C5420" t="s">
        <v>46</v>
      </c>
      <c r="D5420" t="s">
        <v>56</v>
      </c>
      <c r="E5420" t="s">
        <v>13</v>
      </c>
      <c r="F5420" t="s">
        <v>22</v>
      </c>
      <c r="G5420" t="s">
        <v>23</v>
      </c>
      <c r="K5420" cm="1">
        <f t="array" ref="K5420">_xlfn.SWITCH(LeadsData[[#This Row],[Funnel Stage Reached]],"Lead",1,"MQL",2,"SQL",3,"Customer",4)</f>
        <v>2</v>
      </c>
      <c r="L5420" t="str">
        <f>TEXT(LeadsData[[#This Row],[Signup Date]],"mmm-yyyy")</f>
        <v>Nov-2024</v>
      </c>
      <c r="M5420">
        <f>IF(LeadsData[[#This Row],[Stage Number]]&gt;=2,1,0)</f>
        <v>1</v>
      </c>
      <c r="N5420" s="2">
        <f>IF(LeadsData[[#This Row],[Stage Number]]&gt;=3,1,0)</f>
        <v>0</v>
      </c>
      <c r="O5420" s="2">
        <f>IF(LeadsData[[#This Row],[Stage Number]]&gt;=4,1,0)</f>
        <v>0</v>
      </c>
    </row>
    <row r="5421" spans="1:15" x14ac:dyDescent="0.25">
      <c r="A5421" t="s">
        <v>5461</v>
      </c>
      <c r="B5421" s="1">
        <v>45362</v>
      </c>
      <c r="C5421" t="s">
        <v>36</v>
      </c>
      <c r="D5421" t="s">
        <v>50</v>
      </c>
      <c r="E5421" t="s">
        <v>13</v>
      </c>
      <c r="F5421" t="s">
        <v>28</v>
      </c>
      <c r="G5421" t="s">
        <v>29</v>
      </c>
      <c r="K5421" cm="1">
        <f t="array" ref="K5421">_xlfn.SWITCH(LeadsData[[#This Row],[Funnel Stage Reached]],"Lead",1,"MQL",2,"SQL",3,"Customer",4)</f>
        <v>3</v>
      </c>
      <c r="L5421" t="str">
        <f>TEXT(LeadsData[[#This Row],[Signup Date]],"mmm-yyyy")</f>
        <v>Mar-2024</v>
      </c>
      <c r="M5421">
        <f>IF(LeadsData[[#This Row],[Stage Number]]&gt;=2,1,0)</f>
        <v>1</v>
      </c>
      <c r="N5421" s="2">
        <f>IF(LeadsData[[#This Row],[Stage Number]]&gt;=3,1,0)</f>
        <v>1</v>
      </c>
      <c r="O5421" s="2">
        <f>IF(LeadsData[[#This Row],[Stage Number]]&gt;=4,1,0)</f>
        <v>0</v>
      </c>
    </row>
    <row r="5422" spans="1:15" x14ac:dyDescent="0.25">
      <c r="A5422" t="s">
        <v>5462</v>
      </c>
      <c r="B5422" s="1">
        <v>45650</v>
      </c>
      <c r="C5422" t="s">
        <v>11</v>
      </c>
      <c r="D5422" t="s">
        <v>68</v>
      </c>
      <c r="E5422" t="s">
        <v>13</v>
      </c>
      <c r="F5422" t="s">
        <v>19</v>
      </c>
      <c r="G5422" t="s">
        <v>29</v>
      </c>
      <c r="K5422" cm="1">
        <f t="array" ref="K5422">_xlfn.SWITCH(LeadsData[[#This Row],[Funnel Stage Reached]],"Lead",1,"MQL",2,"SQL",3,"Customer",4)</f>
        <v>3</v>
      </c>
      <c r="L5422" t="str">
        <f>TEXT(LeadsData[[#This Row],[Signup Date]],"mmm-yyyy")</f>
        <v>Dec-2024</v>
      </c>
      <c r="M5422">
        <f>IF(LeadsData[[#This Row],[Stage Number]]&gt;=2,1,0)</f>
        <v>1</v>
      </c>
      <c r="N5422" s="2">
        <f>IF(LeadsData[[#This Row],[Stage Number]]&gt;=3,1,0)</f>
        <v>1</v>
      </c>
      <c r="O5422" s="2">
        <f>IF(LeadsData[[#This Row],[Stage Number]]&gt;=4,1,0)</f>
        <v>0</v>
      </c>
    </row>
    <row r="5423" spans="1:15" x14ac:dyDescent="0.25">
      <c r="A5423" t="s">
        <v>5463</v>
      </c>
      <c r="B5423" s="1">
        <v>45648</v>
      </c>
      <c r="C5423" t="s">
        <v>46</v>
      </c>
      <c r="D5423" t="s">
        <v>56</v>
      </c>
      <c r="E5423" t="s">
        <v>13</v>
      </c>
      <c r="F5423" t="s">
        <v>19</v>
      </c>
      <c r="G5423" t="s">
        <v>23</v>
      </c>
      <c r="K5423" cm="1">
        <f t="array" ref="K5423">_xlfn.SWITCH(LeadsData[[#This Row],[Funnel Stage Reached]],"Lead",1,"MQL",2,"SQL",3,"Customer",4)</f>
        <v>2</v>
      </c>
      <c r="L5423" t="str">
        <f>TEXT(LeadsData[[#This Row],[Signup Date]],"mmm-yyyy")</f>
        <v>Dec-2024</v>
      </c>
      <c r="M5423">
        <f>IF(LeadsData[[#This Row],[Stage Number]]&gt;=2,1,0)</f>
        <v>1</v>
      </c>
      <c r="N5423" s="2">
        <f>IF(LeadsData[[#This Row],[Stage Number]]&gt;=3,1,0)</f>
        <v>0</v>
      </c>
      <c r="O5423" s="2">
        <f>IF(LeadsData[[#This Row],[Stage Number]]&gt;=4,1,0)</f>
        <v>0</v>
      </c>
    </row>
    <row r="5424" spans="1:15" x14ac:dyDescent="0.25">
      <c r="A5424" t="s">
        <v>5464</v>
      </c>
      <c r="B5424" s="1">
        <v>45653</v>
      </c>
      <c r="C5424" t="s">
        <v>31</v>
      </c>
      <c r="D5424" t="s">
        <v>32</v>
      </c>
      <c r="E5424" t="s">
        <v>13</v>
      </c>
      <c r="F5424" t="s">
        <v>22</v>
      </c>
      <c r="G5424" t="s">
        <v>23</v>
      </c>
      <c r="K5424" cm="1">
        <f t="array" ref="K5424">_xlfn.SWITCH(LeadsData[[#This Row],[Funnel Stage Reached]],"Lead",1,"MQL",2,"SQL",3,"Customer",4)</f>
        <v>2</v>
      </c>
      <c r="L5424" t="str">
        <f>TEXT(LeadsData[[#This Row],[Signup Date]],"mmm-yyyy")</f>
        <v>Dec-2024</v>
      </c>
      <c r="M5424">
        <f>IF(LeadsData[[#This Row],[Stage Number]]&gt;=2,1,0)</f>
        <v>1</v>
      </c>
      <c r="N5424" s="2">
        <f>IF(LeadsData[[#This Row],[Stage Number]]&gt;=3,1,0)</f>
        <v>0</v>
      </c>
      <c r="O5424" s="2">
        <f>IF(LeadsData[[#This Row],[Stage Number]]&gt;=4,1,0)</f>
        <v>0</v>
      </c>
    </row>
    <row r="5425" spans="1:15" x14ac:dyDescent="0.25">
      <c r="A5425" t="s">
        <v>5465</v>
      </c>
      <c r="B5425" s="1">
        <v>45584</v>
      </c>
      <c r="C5425" t="s">
        <v>31</v>
      </c>
      <c r="D5425" t="s">
        <v>32</v>
      </c>
      <c r="E5425" t="s">
        <v>48</v>
      </c>
      <c r="F5425" t="s">
        <v>19</v>
      </c>
      <c r="G5425" t="s">
        <v>42</v>
      </c>
      <c r="H5425">
        <v>75</v>
      </c>
      <c r="I5425" t="s">
        <v>87</v>
      </c>
      <c r="J5425">
        <v>3067.51</v>
      </c>
      <c r="K5425" cm="1">
        <f t="array" ref="K5425">_xlfn.SWITCH(LeadsData[[#This Row],[Funnel Stage Reached]],"Lead",1,"MQL",2,"SQL",3,"Customer",4)</f>
        <v>4</v>
      </c>
      <c r="L5425" t="str">
        <f>TEXT(LeadsData[[#This Row],[Signup Date]],"mmm-yyyy")</f>
        <v>Oct-2024</v>
      </c>
      <c r="M5425">
        <f>IF(LeadsData[[#This Row],[Stage Number]]&gt;=2,1,0)</f>
        <v>1</v>
      </c>
      <c r="N5425" s="2">
        <f>IF(LeadsData[[#This Row],[Stage Number]]&gt;=3,1,0)</f>
        <v>1</v>
      </c>
      <c r="O5425" s="2">
        <f>IF(LeadsData[[#This Row],[Stage Number]]&gt;=4,1,0)</f>
        <v>1</v>
      </c>
    </row>
    <row r="5426" spans="1:15" x14ac:dyDescent="0.25">
      <c r="A5426" t="s">
        <v>5466</v>
      </c>
      <c r="B5426" s="1">
        <v>45377</v>
      </c>
      <c r="C5426" t="s">
        <v>31</v>
      </c>
      <c r="D5426" t="s">
        <v>34</v>
      </c>
      <c r="E5426" t="s">
        <v>21</v>
      </c>
      <c r="F5426" t="s">
        <v>14</v>
      </c>
      <c r="G5426" t="s">
        <v>15</v>
      </c>
      <c r="K5426" cm="1">
        <f t="array" ref="K5426">_xlfn.SWITCH(LeadsData[[#This Row],[Funnel Stage Reached]],"Lead",1,"MQL",2,"SQL",3,"Customer",4)</f>
        <v>1</v>
      </c>
      <c r="L5426" t="str">
        <f>TEXT(LeadsData[[#This Row],[Signup Date]],"mmm-yyyy")</f>
        <v>Mar-2024</v>
      </c>
      <c r="M5426">
        <f>IF(LeadsData[[#This Row],[Stage Number]]&gt;=2,1,0)</f>
        <v>0</v>
      </c>
      <c r="N5426" s="2">
        <f>IF(LeadsData[[#This Row],[Stage Number]]&gt;=3,1,0)</f>
        <v>0</v>
      </c>
      <c r="O5426" s="2">
        <f>IF(LeadsData[[#This Row],[Stage Number]]&gt;=4,1,0)</f>
        <v>0</v>
      </c>
    </row>
    <row r="5427" spans="1:15" x14ac:dyDescent="0.25">
      <c r="A5427" t="s">
        <v>5467</v>
      </c>
      <c r="B5427" s="1">
        <v>45604</v>
      </c>
      <c r="C5427" t="s">
        <v>25</v>
      </c>
      <c r="D5427" t="s">
        <v>26</v>
      </c>
      <c r="E5427" t="s">
        <v>21</v>
      </c>
      <c r="F5427" t="s">
        <v>19</v>
      </c>
      <c r="G5427" t="s">
        <v>15</v>
      </c>
      <c r="K5427" cm="1">
        <f t="array" ref="K5427">_xlfn.SWITCH(LeadsData[[#This Row],[Funnel Stage Reached]],"Lead",1,"MQL",2,"SQL",3,"Customer",4)</f>
        <v>1</v>
      </c>
      <c r="L5427" t="str">
        <f>TEXT(LeadsData[[#This Row],[Signup Date]],"mmm-yyyy")</f>
        <v>Nov-2024</v>
      </c>
      <c r="M5427">
        <f>IF(LeadsData[[#This Row],[Stage Number]]&gt;=2,1,0)</f>
        <v>0</v>
      </c>
      <c r="N5427" s="2">
        <f>IF(LeadsData[[#This Row],[Stage Number]]&gt;=3,1,0)</f>
        <v>0</v>
      </c>
      <c r="O5427" s="2">
        <f>IF(LeadsData[[#This Row],[Stage Number]]&gt;=4,1,0)</f>
        <v>0</v>
      </c>
    </row>
    <row r="5428" spans="1:15" x14ac:dyDescent="0.25">
      <c r="A5428" t="s">
        <v>5468</v>
      </c>
      <c r="B5428" s="1">
        <v>45652</v>
      </c>
      <c r="C5428" t="s">
        <v>36</v>
      </c>
      <c r="D5428" t="s">
        <v>37</v>
      </c>
      <c r="E5428" t="s">
        <v>13</v>
      </c>
      <c r="F5428" t="s">
        <v>14</v>
      </c>
      <c r="G5428" t="s">
        <v>23</v>
      </c>
      <c r="K5428" cm="1">
        <f t="array" ref="K5428">_xlfn.SWITCH(LeadsData[[#This Row],[Funnel Stage Reached]],"Lead",1,"MQL",2,"SQL",3,"Customer",4)</f>
        <v>2</v>
      </c>
      <c r="L5428" t="str">
        <f>TEXT(LeadsData[[#This Row],[Signup Date]],"mmm-yyyy")</f>
        <v>Dec-2024</v>
      </c>
      <c r="M5428">
        <f>IF(LeadsData[[#This Row],[Stage Number]]&gt;=2,1,0)</f>
        <v>1</v>
      </c>
      <c r="N5428" s="2">
        <f>IF(LeadsData[[#This Row],[Stage Number]]&gt;=3,1,0)</f>
        <v>0</v>
      </c>
      <c r="O5428" s="2">
        <f>IF(LeadsData[[#This Row],[Stage Number]]&gt;=4,1,0)</f>
        <v>0</v>
      </c>
    </row>
    <row r="5429" spans="1:15" x14ac:dyDescent="0.25">
      <c r="A5429" t="s">
        <v>5469</v>
      </c>
      <c r="B5429" s="1">
        <v>45386</v>
      </c>
      <c r="C5429" t="s">
        <v>46</v>
      </c>
      <c r="D5429" t="s">
        <v>56</v>
      </c>
      <c r="E5429" t="s">
        <v>21</v>
      </c>
      <c r="F5429" t="s">
        <v>19</v>
      </c>
      <c r="G5429" t="s">
        <v>23</v>
      </c>
      <c r="K5429" cm="1">
        <f t="array" ref="K5429">_xlfn.SWITCH(LeadsData[[#This Row],[Funnel Stage Reached]],"Lead",1,"MQL",2,"SQL",3,"Customer",4)</f>
        <v>2</v>
      </c>
      <c r="L5429" t="str">
        <f>TEXT(LeadsData[[#This Row],[Signup Date]],"mmm-yyyy")</f>
        <v>Apr-2024</v>
      </c>
      <c r="M5429">
        <f>IF(LeadsData[[#This Row],[Stage Number]]&gt;=2,1,0)</f>
        <v>1</v>
      </c>
      <c r="N5429" s="2">
        <f>IF(LeadsData[[#This Row],[Stage Number]]&gt;=3,1,0)</f>
        <v>0</v>
      </c>
      <c r="O5429" s="2">
        <f>IF(LeadsData[[#This Row],[Stage Number]]&gt;=4,1,0)</f>
        <v>0</v>
      </c>
    </row>
    <row r="5430" spans="1:15" x14ac:dyDescent="0.25">
      <c r="A5430" t="s">
        <v>5470</v>
      </c>
      <c r="B5430" s="1">
        <v>45633</v>
      </c>
      <c r="C5430" t="s">
        <v>46</v>
      </c>
      <c r="D5430" t="s">
        <v>47</v>
      </c>
      <c r="E5430" t="s">
        <v>13</v>
      </c>
      <c r="F5430" t="s">
        <v>14</v>
      </c>
      <c r="G5430" t="s">
        <v>29</v>
      </c>
      <c r="K5430" cm="1">
        <f t="array" ref="K5430">_xlfn.SWITCH(LeadsData[[#This Row],[Funnel Stage Reached]],"Lead",1,"MQL",2,"SQL",3,"Customer",4)</f>
        <v>3</v>
      </c>
      <c r="L5430" t="str">
        <f>TEXT(LeadsData[[#This Row],[Signup Date]],"mmm-yyyy")</f>
        <v>Dec-2024</v>
      </c>
      <c r="M5430">
        <f>IF(LeadsData[[#This Row],[Stage Number]]&gt;=2,1,0)</f>
        <v>1</v>
      </c>
      <c r="N5430" s="2">
        <f>IF(LeadsData[[#This Row],[Stage Number]]&gt;=3,1,0)</f>
        <v>1</v>
      </c>
      <c r="O5430" s="2">
        <f>IF(LeadsData[[#This Row],[Stage Number]]&gt;=4,1,0)</f>
        <v>0</v>
      </c>
    </row>
    <row r="5431" spans="1:15" x14ac:dyDescent="0.25">
      <c r="A5431" t="s">
        <v>5471</v>
      </c>
      <c r="B5431" s="1">
        <v>45489</v>
      </c>
      <c r="C5431" t="s">
        <v>17</v>
      </c>
      <c r="D5431" t="s">
        <v>53</v>
      </c>
      <c r="E5431" t="s">
        <v>13</v>
      </c>
      <c r="F5431" t="s">
        <v>28</v>
      </c>
      <c r="G5431" t="s">
        <v>23</v>
      </c>
      <c r="K5431" cm="1">
        <f t="array" ref="K5431">_xlfn.SWITCH(LeadsData[[#This Row],[Funnel Stage Reached]],"Lead",1,"MQL",2,"SQL",3,"Customer",4)</f>
        <v>2</v>
      </c>
      <c r="L5431" t="str">
        <f>TEXT(LeadsData[[#This Row],[Signup Date]],"mmm-yyyy")</f>
        <v>Jul-2024</v>
      </c>
      <c r="M5431">
        <f>IF(LeadsData[[#This Row],[Stage Number]]&gt;=2,1,0)</f>
        <v>1</v>
      </c>
      <c r="N5431" s="2">
        <f>IF(LeadsData[[#This Row],[Stage Number]]&gt;=3,1,0)</f>
        <v>0</v>
      </c>
      <c r="O5431" s="2">
        <f>IF(LeadsData[[#This Row],[Stage Number]]&gt;=4,1,0)</f>
        <v>0</v>
      </c>
    </row>
    <row r="5432" spans="1:15" x14ac:dyDescent="0.25">
      <c r="A5432" t="s">
        <v>5472</v>
      </c>
      <c r="B5432" s="1">
        <v>45542</v>
      </c>
      <c r="C5432" t="s">
        <v>25</v>
      </c>
      <c r="D5432" t="s">
        <v>26</v>
      </c>
      <c r="E5432" t="s">
        <v>48</v>
      </c>
      <c r="F5432" t="s">
        <v>19</v>
      </c>
      <c r="G5432" t="s">
        <v>23</v>
      </c>
      <c r="K5432" cm="1">
        <f t="array" ref="K5432">_xlfn.SWITCH(LeadsData[[#This Row],[Funnel Stage Reached]],"Lead",1,"MQL",2,"SQL",3,"Customer",4)</f>
        <v>2</v>
      </c>
      <c r="L5432" t="str">
        <f>TEXT(LeadsData[[#This Row],[Signup Date]],"mmm-yyyy")</f>
        <v>Sep-2024</v>
      </c>
      <c r="M5432">
        <f>IF(LeadsData[[#This Row],[Stage Number]]&gt;=2,1,0)</f>
        <v>1</v>
      </c>
      <c r="N5432" s="2">
        <f>IF(LeadsData[[#This Row],[Stage Number]]&gt;=3,1,0)</f>
        <v>0</v>
      </c>
      <c r="O5432" s="2">
        <f>IF(LeadsData[[#This Row],[Stage Number]]&gt;=4,1,0)</f>
        <v>0</v>
      </c>
    </row>
    <row r="5433" spans="1:15" x14ac:dyDescent="0.25">
      <c r="A5433" t="s">
        <v>5473</v>
      </c>
      <c r="B5433" s="1">
        <v>45586</v>
      </c>
      <c r="C5433" t="s">
        <v>17</v>
      </c>
      <c r="D5433" t="s">
        <v>18</v>
      </c>
      <c r="E5433" t="s">
        <v>13</v>
      </c>
      <c r="F5433" t="s">
        <v>19</v>
      </c>
      <c r="G5433" t="s">
        <v>15</v>
      </c>
      <c r="K5433" cm="1">
        <f t="array" ref="K5433">_xlfn.SWITCH(LeadsData[[#This Row],[Funnel Stage Reached]],"Lead",1,"MQL",2,"SQL",3,"Customer",4)</f>
        <v>1</v>
      </c>
      <c r="L5433" t="str">
        <f>TEXT(LeadsData[[#This Row],[Signup Date]],"mmm-yyyy")</f>
        <v>Oct-2024</v>
      </c>
      <c r="M5433">
        <f>IF(LeadsData[[#This Row],[Stage Number]]&gt;=2,1,0)</f>
        <v>0</v>
      </c>
      <c r="N5433" s="2">
        <f>IF(LeadsData[[#This Row],[Stage Number]]&gt;=3,1,0)</f>
        <v>0</v>
      </c>
      <c r="O5433" s="2">
        <f>IF(LeadsData[[#This Row],[Stage Number]]&gt;=4,1,0)</f>
        <v>0</v>
      </c>
    </row>
    <row r="5434" spans="1:15" x14ac:dyDescent="0.25">
      <c r="A5434" t="s">
        <v>5474</v>
      </c>
      <c r="B5434" s="1">
        <v>45648</v>
      </c>
      <c r="C5434" t="s">
        <v>11</v>
      </c>
      <c r="D5434" t="s">
        <v>68</v>
      </c>
      <c r="E5434" t="s">
        <v>21</v>
      </c>
      <c r="F5434" t="s">
        <v>19</v>
      </c>
      <c r="G5434" t="s">
        <v>15</v>
      </c>
      <c r="K5434" cm="1">
        <f t="array" ref="K5434">_xlfn.SWITCH(LeadsData[[#This Row],[Funnel Stage Reached]],"Lead",1,"MQL",2,"SQL",3,"Customer",4)</f>
        <v>1</v>
      </c>
      <c r="L5434" t="str">
        <f>TEXT(LeadsData[[#This Row],[Signup Date]],"mmm-yyyy")</f>
        <v>Dec-2024</v>
      </c>
      <c r="M5434">
        <f>IF(LeadsData[[#This Row],[Stage Number]]&gt;=2,1,0)</f>
        <v>0</v>
      </c>
      <c r="N5434" s="2">
        <f>IF(LeadsData[[#This Row],[Stage Number]]&gt;=3,1,0)</f>
        <v>0</v>
      </c>
      <c r="O5434" s="2">
        <f>IF(LeadsData[[#This Row],[Stage Number]]&gt;=4,1,0)</f>
        <v>0</v>
      </c>
    </row>
    <row r="5435" spans="1:15" x14ac:dyDescent="0.25">
      <c r="A5435" t="s">
        <v>5475</v>
      </c>
      <c r="B5435" s="1">
        <v>45591</v>
      </c>
      <c r="C5435" t="s">
        <v>11</v>
      </c>
      <c r="D5435" t="s">
        <v>12</v>
      </c>
      <c r="E5435" t="s">
        <v>13</v>
      </c>
      <c r="F5435" t="s">
        <v>28</v>
      </c>
      <c r="G5435" t="s">
        <v>23</v>
      </c>
      <c r="K5435" cm="1">
        <f t="array" ref="K5435">_xlfn.SWITCH(LeadsData[[#This Row],[Funnel Stage Reached]],"Lead",1,"MQL",2,"SQL",3,"Customer",4)</f>
        <v>2</v>
      </c>
      <c r="L5435" t="str">
        <f>TEXT(LeadsData[[#This Row],[Signup Date]],"mmm-yyyy")</f>
        <v>Oct-2024</v>
      </c>
      <c r="M5435">
        <f>IF(LeadsData[[#This Row],[Stage Number]]&gt;=2,1,0)</f>
        <v>1</v>
      </c>
      <c r="N5435" s="2">
        <f>IF(LeadsData[[#This Row],[Stage Number]]&gt;=3,1,0)</f>
        <v>0</v>
      </c>
      <c r="O5435" s="2">
        <f>IF(LeadsData[[#This Row],[Stage Number]]&gt;=4,1,0)</f>
        <v>0</v>
      </c>
    </row>
    <row r="5436" spans="1:15" x14ac:dyDescent="0.25">
      <c r="A5436" t="s">
        <v>5476</v>
      </c>
      <c r="B5436" s="1">
        <v>45511</v>
      </c>
      <c r="C5436" t="s">
        <v>17</v>
      </c>
      <c r="D5436" t="s">
        <v>18</v>
      </c>
      <c r="E5436" t="s">
        <v>21</v>
      </c>
      <c r="F5436" t="s">
        <v>22</v>
      </c>
      <c r="G5436" t="s">
        <v>15</v>
      </c>
      <c r="K5436" cm="1">
        <f t="array" ref="K5436">_xlfn.SWITCH(LeadsData[[#This Row],[Funnel Stage Reached]],"Lead",1,"MQL",2,"SQL",3,"Customer",4)</f>
        <v>1</v>
      </c>
      <c r="L5436" t="str">
        <f>TEXT(LeadsData[[#This Row],[Signup Date]],"mmm-yyyy")</f>
        <v>Aug-2024</v>
      </c>
      <c r="M5436">
        <f>IF(LeadsData[[#This Row],[Stage Number]]&gt;=2,1,0)</f>
        <v>0</v>
      </c>
      <c r="N5436" s="2">
        <f>IF(LeadsData[[#This Row],[Stage Number]]&gt;=3,1,0)</f>
        <v>0</v>
      </c>
      <c r="O5436" s="2">
        <f>IF(LeadsData[[#This Row],[Stage Number]]&gt;=4,1,0)</f>
        <v>0</v>
      </c>
    </row>
    <row r="5437" spans="1:15" x14ac:dyDescent="0.25">
      <c r="A5437" t="s">
        <v>5477</v>
      </c>
      <c r="B5437" s="1">
        <v>45403</v>
      </c>
      <c r="C5437" t="s">
        <v>36</v>
      </c>
      <c r="D5437" t="s">
        <v>50</v>
      </c>
      <c r="E5437" t="s">
        <v>21</v>
      </c>
      <c r="F5437" t="s">
        <v>22</v>
      </c>
      <c r="G5437" t="s">
        <v>15</v>
      </c>
      <c r="K5437" cm="1">
        <f t="array" ref="K5437">_xlfn.SWITCH(LeadsData[[#This Row],[Funnel Stage Reached]],"Lead",1,"MQL",2,"SQL",3,"Customer",4)</f>
        <v>1</v>
      </c>
      <c r="L5437" t="str">
        <f>TEXT(LeadsData[[#This Row],[Signup Date]],"mmm-yyyy")</f>
        <v>Apr-2024</v>
      </c>
      <c r="M5437">
        <f>IF(LeadsData[[#This Row],[Stage Number]]&gt;=2,1,0)</f>
        <v>0</v>
      </c>
      <c r="N5437" s="2">
        <f>IF(LeadsData[[#This Row],[Stage Number]]&gt;=3,1,0)</f>
        <v>0</v>
      </c>
      <c r="O5437" s="2">
        <f>IF(LeadsData[[#This Row],[Stage Number]]&gt;=4,1,0)</f>
        <v>0</v>
      </c>
    </row>
    <row r="5438" spans="1:15" x14ac:dyDescent="0.25">
      <c r="A5438" t="s">
        <v>5478</v>
      </c>
      <c r="B5438" s="1">
        <v>45334</v>
      </c>
      <c r="C5438" t="s">
        <v>46</v>
      </c>
      <c r="D5438" t="s">
        <v>56</v>
      </c>
      <c r="E5438" t="s">
        <v>13</v>
      </c>
      <c r="F5438" t="s">
        <v>22</v>
      </c>
      <c r="G5438" t="s">
        <v>23</v>
      </c>
      <c r="K5438" cm="1">
        <f t="array" ref="K5438">_xlfn.SWITCH(LeadsData[[#This Row],[Funnel Stage Reached]],"Lead",1,"MQL",2,"SQL",3,"Customer",4)</f>
        <v>2</v>
      </c>
      <c r="L5438" t="str">
        <f>TEXT(LeadsData[[#This Row],[Signup Date]],"mmm-yyyy")</f>
        <v>Feb-2024</v>
      </c>
      <c r="M5438">
        <f>IF(LeadsData[[#This Row],[Stage Number]]&gt;=2,1,0)</f>
        <v>1</v>
      </c>
      <c r="N5438" s="2">
        <f>IF(LeadsData[[#This Row],[Stage Number]]&gt;=3,1,0)</f>
        <v>0</v>
      </c>
      <c r="O5438" s="2">
        <f>IF(LeadsData[[#This Row],[Stage Number]]&gt;=4,1,0)</f>
        <v>0</v>
      </c>
    </row>
    <row r="5439" spans="1:15" x14ac:dyDescent="0.25">
      <c r="A5439" t="s">
        <v>5479</v>
      </c>
      <c r="B5439" s="1">
        <v>45557</v>
      </c>
      <c r="C5439" t="s">
        <v>17</v>
      </c>
      <c r="D5439" t="s">
        <v>18</v>
      </c>
      <c r="E5439" t="s">
        <v>13</v>
      </c>
      <c r="F5439" t="s">
        <v>19</v>
      </c>
      <c r="G5439" t="s">
        <v>23</v>
      </c>
      <c r="K5439" cm="1">
        <f t="array" ref="K5439">_xlfn.SWITCH(LeadsData[[#This Row],[Funnel Stage Reached]],"Lead",1,"MQL",2,"SQL",3,"Customer",4)</f>
        <v>2</v>
      </c>
      <c r="L5439" t="str">
        <f>TEXT(LeadsData[[#This Row],[Signup Date]],"mmm-yyyy")</f>
        <v>Sep-2024</v>
      </c>
      <c r="M5439">
        <f>IF(LeadsData[[#This Row],[Stage Number]]&gt;=2,1,0)</f>
        <v>1</v>
      </c>
      <c r="N5439" s="2">
        <f>IF(LeadsData[[#This Row],[Stage Number]]&gt;=3,1,0)</f>
        <v>0</v>
      </c>
      <c r="O5439" s="2">
        <f>IF(LeadsData[[#This Row],[Stage Number]]&gt;=4,1,0)</f>
        <v>0</v>
      </c>
    </row>
    <row r="5440" spans="1:15" x14ac:dyDescent="0.25">
      <c r="A5440" t="s">
        <v>5480</v>
      </c>
      <c r="B5440" s="1">
        <v>45364</v>
      </c>
      <c r="C5440" t="s">
        <v>31</v>
      </c>
      <c r="D5440" t="s">
        <v>34</v>
      </c>
      <c r="E5440" t="s">
        <v>13</v>
      </c>
      <c r="F5440" t="s">
        <v>28</v>
      </c>
      <c r="G5440" t="s">
        <v>42</v>
      </c>
      <c r="H5440">
        <v>18</v>
      </c>
      <c r="I5440" t="s">
        <v>43</v>
      </c>
      <c r="J5440">
        <v>1452.16</v>
      </c>
      <c r="K5440" cm="1">
        <f t="array" ref="K5440">_xlfn.SWITCH(LeadsData[[#This Row],[Funnel Stage Reached]],"Lead",1,"MQL",2,"SQL",3,"Customer",4)</f>
        <v>4</v>
      </c>
      <c r="L5440" t="str">
        <f>TEXT(LeadsData[[#This Row],[Signup Date]],"mmm-yyyy")</f>
        <v>Mar-2024</v>
      </c>
      <c r="M5440">
        <f>IF(LeadsData[[#This Row],[Stage Number]]&gt;=2,1,0)</f>
        <v>1</v>
      </c>
      <c r="N5440" s="2">
        <f>IF(LeadsData[[#This Row],[Stage Number]]&gt;=3,1,0)</f>
        <v>1</v>
      </c>
      <c r="O5440" s="2">
        <f>IF(LeadsData[[#This Row],[Stage Number]]&gt;=4,1,0)</f>
        <v>1</v>
      </c>
    </row>
    <row r="5441" spans="1:15" x14ac:dyDescent="0.25">
      <c r="A5441" t="s">
        <v>5481</v>
      </c>
      <c r="B5441" s="1">
        <v>45332</v>
      </c>
      <c r="C5441" t="s">
        <v>25</v>
      </c>
      <c r="D5441" t="s">
        <v>26</v>
      </c>
      <c r="E5441" t="s">
        <v>13</v>
      </c>
      <c r="F5441" t="s">
        <v>19</v>
      </c>
      <c r="G5441" t="s">
        <v>23</v>
      </c>
      <c r="K5441" cm="1">
        <f t="array" ref="K5441">_xlfn.SWITCH(LeadsData[[#This Row],[Funnel Stage Reached]],"Lead",1,"MQL",2,"SQL",3,"Customer",4)</f>
        <v>2</v>
      </c>
      <c r="L5441" t="str">
        <f>TEXT(LeadsData[[#This Row],[Signup Date]],"mmm-yyyy")</f>
        <v>Feb-2024</v>
      </c>
      <c r="M5441">
        <f>IF(LeadsData[[#This Row],[Stage Number]]&gt;=2,1,0)</f>
        <v>1</v>
      </c>
      <c r="N5441" s="2">
        <f>IF(LeadsData[[#This Row],[Stage Number]]&gt;=3,1,0)</f>
        <v>0</v>
      </c>
      <c r="O5441" s="2">
        <f>IF(LeadsData[[#This Row],[Stage Number]]&gt;=4,1,0)</f>
        <v>0</v>
      </c>
    </row>
    <row r="5442" spans="1:15" x14ac:dyDescent="0.25">
      <c r="A5442" t="s">
        <v>5482</v>
      </c>
      <c r="B5442" s="1">
        <v>45480</v>
      </c>
      <c r="C5442" t="s">
        <v>25</v>
      </c>
      <c r="D5442" t="s">
        <v>26</v>
      </c>
      <c r="E5442" t="s">
        <v>21</v>
      </c>
      <c r="F5442" t="s">
        <v>14</v>
      </c>
      <c r="G5442" t="s">
        <v>42</v>
      </c>
      <c r="H5442">
        <v>69</v>
      </c>
      <c r="I5442" t="s">
        <v>87</v>
      </c>
      <c r="J5442">
        <v>1779.25</v>
      </c>
      <c r="K5442" cm="1">
        <f t="array" ref="K5442">_xlfn.SWITCH(LeadsData[[#This Row],[Funnel Stage Reached]],"Lead",1,"MQL",2,"SQL",3,"Customer",4)</f>
        <v>4</v>
      </c>
      <c r="L5442" t="str">
        <f>TEXT(LeadsData[[#This Row],[Signup Date]],"mmm-yyyy")</f>
        <v>Jul-2024</v>
      </c>
      <c r="M5442">
        <f>IF(LeadsData[[#This Row],[Stage Number]]&gt;=2,1,0)</f>
        <v>1</v>
      </c>
      <c r="N5442" s="2">
        <f>IF(LeadsData[[#This Row],[Stage Number]]&gt;=3,1,0)</f>
        <v>1</v>
      </c>
      <c r="O5442" s="2">
        <f>IF(LeadsData[[#This Row],[Stage Number]]&gt;=4,1,0)</f>
        <v>1</v>
      </c>
    </row>
    <row r="5443" spans="1:15" x14ac:dyDescent="0.25">
      <c r="A5443" t="s">
        <v>5483</v>
      </c>
      <c r="B5443" s="1">
        <v>45505</v>
      </c>
      <c r="C5443" t="s">
        <v>11</v>
      </c>
      <c r="D5443" t="s">
        <v>12</v>
      </c>
      <c r="E5443" t="s">
        <v>21</v>
      </c>
      <c r="F5443" t="s">
        <v>22</v>
      </c>
      <c r="G5443" t="s">
        <v>15</v>
      </c>
      <c r="K5443" cm="1">
        <f t="array" ref="K5443">_xlfn.SWITCH(LeadsData[[#This Row],[Funnel Stage Reached]],"Lead",1,"MQL",2,"SQL",3,"Customer",4)</f>
        <v>1</v>
      </c>
      <c r="L5443" t="str">
        <f>TEXT(LeadsData[[#This Row],[Signup Date]],"mmm-yyyy")</f>
        <v>Aug-2024</v>
      </c>
      <c r="M5443">
        <f>IF(LeadsData[[#This Row],[Stage Number]]&gt;=2,1,0)</f>
        <v>0</v>
      </c>
      <c r="N5443" s="2">
        <f>IF(LeadsData[[#This Row],[Stage Number]]&gt;=3,1,0)</f>
        <v>0</v>
      </c>
      <c r="O5443" s="2">
        <f>IF(LeadsData[[#This Row],[Stage Number]]&gt;=4,1,0)</f>
        <v>0</v>
      </c>
    </row>
    <row r="5444" spans="1:15" x14ac:dyDescent="0.25">
      <c r="A5444" t="s">
        <v>5484</v>
      </c>
      <c r="B5444" s="1">
        <v>45558</v>
      </c>
      <c r="C5444" t="s">
        <v>11</v>
      </c>
      <c r="D5444" t="s">
        <v>12</v>
      </c>
      <c r="E5444" t="s">
        <v>13</v>
      </c>
      <c r="F5444" t="s">
        <v>28</v>
      </c>
      <c r="G5444" t="s">
        <v>15</v>
      </c>
      <c r="K5444" cm="1">
        <f t="array" ref="K5444">_xlfn.SWITCH(LeadsData[[#This Row],[Funnel Stage Reached]],"Lead",1,"MQL",2,"SQL",3,"Customer",4)</f>
        <v>1</v>
      </c>
      <c r="L5444" t="str">
        <f>TEXT(LeadsData[[#This Row],[Signup Date]],"mmm-yyyy")</f>
        <v>Sep-2024</v>
      </c>
      <c r="M5444">
        <f>IF(LeadsData[[#This Row],[Stage Number]]&gt;=2,1,0)</f>
        <v>0</v>
      </c>
      <c r="N5444" s="2">
        <f>IF(LeadsData[[#This Row],[Stage Number]]&gt;=3,1,0)</f>
        <v>0</v>
      </c>
      <c r="O5444" s="2">
        <f>IF(LeadsData[[#This Row],[Stage Number]]&gt;=4,1,0)</f>
        <v>0</v>
      </c>
    </row>
    <row r="5445" spans="1:15" x14ac:dyDescent="0.25">
      <c r="A5445" t="s">
        <v>5485</v>
      </c>
      <c r="B5445" s="1">
        <v>45494</v>
      </c>
      <c r="C5445" t="s">
        <v>17</v>
      </c>
      <c r="D5445" t="s">
        <v>18</v>
      </c>
      <c r="E5445" t="s">
        <v>21</v>
      </c>
      <c r="F5445" t="s">
        <v>14</v>
      </c>
      <c r="G5445" t="s">
        <v>15</v>
      </c>
      <c r="K5445" cm="1">
        <f t="array" ref="K5445">_xlfn.SWITCH(LeadsData[[#This Row],[Funnel Stage Reached]],"Lead",1,"MQL",2,"SQL",3,"Customer",4)</f>
        <v>1</v>
      </c>
      <c r="L5445" t="str">
        <f>TEXT(LeadsData[[#This Row],[Signup Date]],"mmm-yyyy")</f>
        <v>Jul-2024</v>
      </c>
      <c r="M5445">
        <f>IF(LeadsData[[#This Row],[Stage Number]]&gt;=2,1,0)</f>
        <v>0</v>
      </c>
      <c r="N5445" s="2">
        <f>IF(LeadsData[[#This Row],[Stage Number]]&gt;=3,1,0)</f>
        <v>0</v>
      </c>
      <c r="O5445" s="2">
        <f>IF(LeadsData[[#This Row],[Stage Number]]&gt;=4,1,0)</f>
        <v>0</v>
      </c>
    </row>
    <row r="5446" spans="1:15" x14ac:dyDescent="0.25">
      <c r="A5446" t="s">
        <v>5486</v>
      </c>
      <c r="B5446" s="1">
        <v>45421</v>
      </c>
      <c r="C5446" t="s">
        <v>17</v>
      </c>
      <c r="D5446" t="s">
        <v>18</v>
      </c>
      <c r="E5446" t="s">
        <v>21</v>
      </c>
      <c r="F5446" t="s">
        <v>19</v>
      </c>
      <c r="G5446" t="s">
        <v>23</v>
      </c>
      <c r="K5446" cm="1">
        <f t="array" ref="K5446">_xlfn.SWITCH(LeadsData[[#This Row],[Funnel Stage Reached]],"Lead",1,"MQL",2,"SQL",3,"Customer",4)</f>
        <v>2</v>
      </c>
      <c r="L5446" t="str">
        <f>TEXT(LeadsData[[#This Row],[Signup Date]],"mmm-yyyy")</f>
        <v>May-2024</v>
      </c>
      <c r="M5446">
        <f>IF(LeadsData[[#This Row],[Stage Number]]&gt;=2,1,0)</f>
        <v>1</v>
      </c>
      <c r="N5446" s="2">
        <f>IF(LeadsData[[#This Row],[Stage Number]]&gt;=3,1,0)</f>
        <v>0</v>
      </c>
      <c r="O5446" s="2">
        <f>IF(LeadsData[[#This Row],[Stage Number]]&gt;=4,1,0)</f>
        <v>0</v>
      </c>
    </row>
    <row r="5447" spans="1:15" x14ac:dyDescent="0.25">
      <c r="A5447" t="s">
        <v>5487</v>
      </c>
      <c r="B5447" s="1">
        <v>45334</v>
      </c>
      <c r="C5447" t="s">
        <v>31</v>
      </c>
      <c r="D5447" t="s">
        <v>34</v>
      </c>
      <c r="E5447" t="s">
        <v>21</v>
      </c>
      <c r="F5447" t="s">
        <v>19</v>
      </c>
      <c r="G5447" t="s">
        <v>29</v>
      </c>
      <c r="K5447" cm="1">
        <f t="array" ref="K5447">_xlfn.SWITCH(LeadsData[[#This Row],[Funnel Stage Reached]],"Lead",1,"MQL",2,"SQL",3,"Customer",4)</f>
        <v>3</v>
      </c>
      <c r="L5447" t="str">
        <f>TEXT(LeadsData[[#This Row],[Signup Date]],"mmm-yyyy")</f>
        <v>Feb-2024</v>
      </c>
      <c r="M5447">
        <f>IF(LeadsData[[#This Row],[Stage Number]]&gt;=2,1,0)</f>
        <v>1</v>
      </c>
      <c r="N5447" s="2">
        <f>IF(LeadsData[[#This Row],[Stage Number]]&gt;=3,1,0)</f>
        <v>1</v>
      </c>
      <c r="O5447" s="2">
        <f>IF(LeadsData[[#This Row],[Stage Number]]&gt;=4,1,0)</f>
        <v>0</v>
      </c>
    </row>
    <row r="5448" spans="1:15" x14ac:dyDescent="0.25">
      <c r="A5448" t="s">
        <v>5488</v>
      </c>
      <c r="B5448" s="1">
        <v>45561</v>
      </c>
      <c r="C5448" t="s">
        <v>31</v>
      </c>
      <c r="D5448" t="s">
        <v>34</v>
      </c>
      <c r="E5448" t="s">
        <v>13</v>
      </c>
      <c r="F5448" t="s">
        <v>22</v>
      </c>
      <c r="G5448" t="s">
        <v>29</v>
      </c>
      <c r="K5448" cm="1">
        <f t="array" ref="K5448">_xlfn.SWITCH(LeadsData[[#This Row],[Funnel Stage Reached]],"Lead",1,"MQL",2,"SQL",3,"Customer",4)</f>
        <v>3</v>
      </c>
      <c r="L5448" t="str">
        <f>TEXT(LeadsData[[#This Row],[Signup Date]],"mmm-yyyy")</f>
        <v>Sep-2024</v>
      </c>
      <c r="M5448">
        <f>IF(LeadsData[[#This Row],[Stage Number]]&gt;=2,1,0)</f>
        <v>1</v>
      </c>
      <c r="N5448" s="2">
        <f>IF(LeadsData[[#This Row],[Stage Number]]&gt;=3,1,0)</f>
        <v>1</v>
      </c>
      <c r="O5448" s="2">
        <f>IF(LeadsData[[#This Row],[Stage Number]]&gt;=4,1,0)</f>
        <v>0</v>
      </c>
    </row>
    <row r="5449" spans="1:15" x14ac:dyDescent="0.25">
      <c r="A5449" t="s">
        <v>5489</v>
      </c>
      <c r="B5449" s="1">
        <v>45330</v>
      </c>
      <c r="C5449" t="s">
        <v>25</v>
      </c>
      <c r="D5449" t="s">
        <v>26</v>
      </c>
      <c r="E5449" t="s">
        <v>13</v>
      </c>
      <c r="F5449" t="s">
        <v>14</v>
      </c>
      <c r="G5449" t="s">
        <v>42</v>
      </c>
      <c r="H5449">
        <v>49</v>
      </c>
      <c r="I5449" t="s">
        <v>87</v>
      </c>
      <c r="J5449">
        <v>4588.41</v>
      </c>
      <c r="K5449" cm="1">
        <f t="array" ref="K5449">_xlfn.SWITCH(LeadsData[[#This Row],[Funnel Stage Reached]],"Lead",1,"MQL",2,"SQL",3,"Customer",4)</f>
        <v>4</v>
      </c>
      <c r="L5449" t="str">
        <f>TEXT(LeadsData[[#This Row],[Signup Date]],"mmm-yyyy")</f>
        <v>Feb-2024</v>
      </c>
      <c r="M5449">
        <f>IF(LeadsData[[#This Row],[Stage Number]]&gt;=2,1,0)</f>
        <v>1</v>
      </c>
      <c r="N5449" s="2">
        <f>IF(LeadsData[[#This Row],[Stage Number]]&gt;=3,1,0)</f>
        <v>1</v>
      </c>
      <c r="O5449" s="2">
        <f>IF(LeadsData[[#This Row],[Stage Number]]&gt;=4,1,0)</f>
        <v>1</v>
      </c>
    </row>
    <row r="5450" spans="1:15" x14ac:dyDescent="0.25">
      <c r="A5450" t="s">
        <v>5490</v>
      </c>
      <c r="B5450" s="1">
        <v>45346</v>
      </c>
      <c r="C5450" t="s">
        <v>36</v>
      </c>
      <c r="D5450" t="s">
        <v>50</v>
      </c>
      <c r="E5450" t="s">
        <v>21</v>
      </c>
      <c r="F5450" t="s">
        <v>22</v>
      </c>
      <c r="G5450" t="s">
        <v>23</v>
      </c>
      <c r="K5450" cm="1">
        <f t="array" ref="K5450">_xlfn.SWITCH(LeadsData[[#This Row],[Funnel Stage Reached]],"Lead",1,"MQL",2,"SQL",3,"Customer",4)</f>
        <v>2</v>
      </c>
      <c r="L5450" t="str">
        <f>TEXT(LeadsData[[#This Row],[Signup Date]],"mmm-yyyy")</f>
        <v>Feb-2024</v>
      </c>
      <c r="M5450">
        <f>IF(LeadsData[[#This Row],[Stage Number]]&gt;=2,1,0)</f>
        <v>1</v>
      </c>
      <c r="N5450" s="2">
        <f>IF(LeadsData[[#This Row],[Stage Number]]&gt;=3,1,0)</f>
        <v>0</v>
      </c>
      <c r="O5450" s="2">
        <f>IF(LeadsData[[#This Row],[Stage Number]]&gt;=4,1,0)</f>
        <v>0</v>
      </c>
    </row>
    <row r="5451" spans="1:15" x14ac:dyDescent="0.25">
      <c r="A5451" t="s">
        <v>5491</v>
      </c>
      <c r="B5451" s="1">
        <v>45576</v>
      </c>
      <c r="C5451" t="s">
        <v>31</v>
      </c>
      <c r="D5451" t="s">
        <v>32</v>
      </c>
      <c r="E5451" t="s">
        <v>21</v>
      </c>
      <c r="F5451" t="s">
        <v>19</v>
      </c>
      <c r="G5451" t="s">
        <v>15</v>
      </c>
      <c r="K5451" cm="1">
        <f t="array" ref="K5451">_xlfn.SWITCH(LeadsData[[#This Row],[Funnel Stage Reached]],"Lead",1,"MQL",2,"SQL",3,"Customer",4)</f>
        <v>1</v>
      </c>
      <c r="L5451" t="str">
        <f>TEXT(LeadsData[[#This Row],[Signup Date]],"mmm-yyyy")</f>
        <v>Oct-2024</v>
      </c>
      <c r="M5451">
        <f>IF(LeadsData[[#This Row],[Stage Number]]&gt;=2,1,0)</f>
        <v>0</v>
      </c>
      <c r="N5451" s="2">
        <f>IF(LeadsData[[#This Row],[Stage Number]]&gt;=3,1,0)</f>
        <v>0</v>
      </c>
      <c r="O5451" s="2">
        <f>IF(LeadsData[[#This Row],[Stage Number]]&gt;=4,1,0)</f>
        <v>0</v>
      </c>
    </row>
    <row r="5452" spans="1:15" x14ac:dyDescent="0.25">
      <c r="A5452" t="s">
        <v>5492</v>
      </c>
      <c r="B5452" s="1">
        <v>45537</v>
      </c>
      <c r="C5452" t="s">
        <v>11</v>
      </c>
      <c r="D5452" t="s">
        <v>79</v>
      </c>
      <c r="E5452" t="s">
        <v>21</v>
      </c>
      <c r="F5452" t="s">
        <v>14</v>
      </c>
      <c r="G5452" t="s">
        <v>15</v>
      </c>
      <c r="K5452" cm="1">
        <f t="array" ref="K5452">_xlfn.SWITCH(LeadsData[[#This Row],[Funnel Stage Reached]],"Lead",1,"MQL",2,"SQL",3,"Customer",4)</f>
        <v>1</v>
      </c>
      <c r="L5452" t="str">
        <f>TEXT(LeadsData[[#This Row],[Signup Date]],"mmm-yyyy")</f>
        <v>Sep-2024</v>
      </c>
      <c r="M5452">
        <f>IF(LeadsData[[#This Row],[Stage Number]]&gt;=2,1,0)</f>
        <v>0</v>
      </c>
      <c r="N5452" s="2">
        <f>IF(LeadsData[[#This Row],[Stage Number]]&gt;=3,1,0)</f>
        <v>0</v>
      </c>
      <c r="O5452" s="2">
        <f>IF(LeadsData[[#This Row],[Stage Number]]&gt;=4,1,0)</f>
        <v>0</v>
      </c>
    </row>
    <row r="5453" spans="1:15" x14ac:dyDescent="0.25">
      <c r="A5453" t="s">
        <v>5493</v>
      </c>
      <c r="B5453" s="1">
        <v>45293</v>
      </c>
      <c r="C5453" t="s">
        <v>17</v>
      </c>
      <c r="D5453" t="s">
        <v>53</v>
      </c>
      <c r="E5453" t="s">
        <v>21</v>
      </c>
      <c r="F5453" t="s">
        <v>19</v>
      </c>
      <c r="G5453" t="s">
        <v>29</v>
      </c>
      <c r="K5453" cm="1">
        <f t="array" ref="K5453">_xlfn.SWITCH(LeadsData[[#This Row],[Funnel Stage Reached]],"Lead",1,"MQL",2,"SQL",3,"Customer",4)</f>
        <v>3</v>
      </c>
      <c r="L5453" t="str">
        <f>TEXT(LeadsData[[#This Row],[Signup Date]],"mmm-yyyy")</f>
        <v>Jan-2024</v>
      </c>
      <c r="M5453">
        <f>IF(LeadsData[[#This Row],[Stage Number]]&gt;=2,1,0)</f>
        <v>1</v>
      </c>
      <c r="N5453" s="2">
        <f>IF(LeadsData[[#This Row],[Stage Number]]&gt;=3,1,0)</f>
        <v>1</v>
      </c>
      <c r="O5453" s="2">
        <f>IF(LeadsData[[#This Row],[Stage Number]]&gt;=4,1,0)</f>
        <v>0</v>
      </c>
    </row>
    <row r="5454" spans="1:15" x14ac:dyDescent="0.25">
      <c r="A5454" t="s">
        <v>5494</v>
      </c>
      <c r="B5454" s="1">
        <v>45543</v>
      </c>
      <c r="C5454" t="s">
        <v>25</v>
      </c>
      <c r="D5454" t="s">
        <v>26</v>
      </c>
      <c r="E5454" t="s">
        <v>13</v>
      </c>
      <c r="F5454" t="s">
        <v>19</v>
      </c>
      <c r="G5454" t="s">
        <v>15</v>
      </c>
      <c r="K5454" cm="1">
        <f t="array" ref="K5454">_xlfn.SWITCH(LeadsData[[#This Row],[Funnel Stage Reached]],"Lead",1,"MQL",2,"SQL",3,"Customer",4)</f>
        <v>1</v>
      </c>
      <c r="L5454" t="str">
        <f>TEXT(LeadsData[[#This Row],[Signup Date]],"mmm-yyyy")</f>
        <v>Sep-2024</v>
      </c>
      <c r="M5454">
        <f>IF(LeadsData[[#This Row],[Stage Number]]&gt;=2,1,0)</f>
        <v>0</v>
      </c>
      <c r="N5454" s="2">
        <f>IF(LeadsData[[#This Row],[Stage Number]]&gt;=3,1,0)</f>
        <v>0</v>
      </c>
      <c r="O5454" s="2">
        <f>IF(LeadsData[[#This Row],[Stage Number]]&gt;=4,1,0)</f>
        <v>0</v>
      </c>
    </row>
    <row r="5455" spans="1:15" x14ac:dyDescent="0.25">
      <c r="A5455" t="s">
        <v>5495</v>
      </c>
      <c r="B5455" s="1">
        <v>45516</v>
      </c>
      <c r="C5455" t="s">
        <v>25</v>
      </c>
      <c r="D5455" t="s">
        <v>26</v>
      </c>
      <c r="E5455" t="s">
        <v>48</v>
      </c>
      <c r="F5455" t="s">
        <v>22</v>
      </c>
      <c r="G5455" t="s">
        <v>15</v>
      </c>
      <c r="K5455" cm="1">
        <f t="array" ref="K5455">_xlfn.SWITCH(LeadsData[[#This Row],[Funnel Stage Reached]],"Lead",1,"MQL",2,"SQL",3,"Customer",4)</f>
        <v>1</v>
      </c>
      <c r="L5455" t="str">
        <f>TEXT(LeadsData[[#This Row],[Signup Date]],"mmm-yyyy")</f>
        <v>Aug-2024</v>
      </c>
      <c r="M5455">
        <f>IF(LeadsData[[#This Row],[Stage Number]]&gt;=2,1,0)</f>
        <v>0</v>
      </c>
      <c r="N5455" s="2">
        <f>IF(LeadsData[[#This Row],[Stage Number]]&gt;=3,1,0)</f>
        <v>0</v>
      </c>
      <c r="O5455" s="2">
        <f>IF(LeadsData[[#This Row],[Stage Number]]&gt;=4,1,0)</f>
        <v>0</v>
      </c>
    </row>
    <row r="5456" spans="1:15" x14ac:dyDescent="0.25">
      <c r="A5456" t="s">
        <v>5496</v>
      </c>
      <c r="B5456" s="1">
        <v>45425</v>
      </c>
      <c r="C5456" t="s">
        <v>25</v>
      </c>
      <c r="D5456" t="s">
        <v>26</v>
      </c>
      <c r="E5456" t="s">
        <v>48</v>
      </c>
      <c r="F5456" t="s">
        <v>19</v>
      </c>
      <c r="G5456" t="s">
        <v>15</v>
      </c>
      <c r="K5456" cm="1">
        <f t="array" ref="K5456">_xlfn.SWITCH(LeadsData[[#This Row],[Funnel Stage Reached]],"Lead",1,"MQL",2,"SQL",3,"Customer",4)</f>
        <v>1</v>
      </c>
      <c r="L5456" t="str">
        <f>TEXT(LeadsData[[#This Row],[Signup Date]],"mmm-yyyy")</f>
        <v>May-2024</v>
      </c>
      <c r="M5456">
        <f>IF(LeadsData[[#This Row],[Stage Number]]&gt;=2,1,0)</f>
        <v>0</v>
      </c>
      <c r="N5456" s="2">
        <f>IF(LeadsData[[#This Row],[Stage Number]]&gt;=3,1,0)</f>
        <v>0</v>
      </c>
      <c r="O5456" s="2">
        <f>IF(LeadsData[[#This Row],[Stage Number]]&gt;=4,1,0)</f>
        <v>0</v>
      </c>
    </row>
    <row r="5457" spans="1:15" x14ac:dyDescent="0.25">
      <c r="A5457" t="s">
        <v>5497</v>
      </c>
      <c r="B5457" s="1">
        <v>45654</v>
      </c>
      <c r="C5457" t="s">
        <v>31</v>
      </c>
      <c r="D5457" t="s">
        <v>32</v>
      </c>
      <c r="E5457" t="s">
        <v>13</v>
      </c>
      <c r="F5457" t="s">
        <v>19</v>
      </c>
      <c r="G5457" t="s">
        <v>15</v>
      </c>
      <c r="K5457" cm="1">
        <f t="array" ref="K5457">_xlfn.SWITCH(LeadsData[[#This Row],[Funnel Stage Reached]],"Lead",1,"MQL",2,"SQL",3,"Customer",4)</f>
        <v>1</v>
      </c>
      <c r="L5457" t="str">
        <f>TEXT(LeadsData[[#This Row],[Signup Date]],"mmm-yyyy")</f>
        <v>Dec-2024</v>
      </c>
      <c r="M5457">
        <f>IF(LeadsData[[#This Row],[Stage Number]]&gt;=2,1,0)</f>
        <v>0</v>
      </c>
      <c r="N5457" s="2">
        <f>IF(LeadsData[[#This Row],[Stage Number]]&gt;=3,1,0)</f>
        <v>0</v>
      </c>
      <c r="O5457" s="2">
        <f>IF(LeadsData[[#This Row],[Stage Number]]&gt;=4,1,0)</f>
        <v>0</v>
      </c>
    </row>
    <row r="5458" spans="1:15" x14ac:dyDescent="0.25">
      <c r="A5458" t="s">
        <v>5498</v>
      </c>
      <c r="B5458" s="1">
        <v>45360</v>
      </c>
      <c r="C5458" t="s">
        <v>31</v>
      </c>
      <c r="D5458" t="s">
        <v>34</v>
      </c>
      <c r="E5458" t="s">
        <v>48</v>
      </c>
      <c r="F5458" t="s">
        <v>14</v>
      </c>
      <c r="G5458" t="s">
        <v>29</v>
      </c>
      <c r="K5458" cm="1">
        <f t="array" ref="K5458">_xlfn.SWITCH(LeadsData[[#This Row],[Funnel Stage Reached]],"Lead",1,"MQL",2,"SQL",3,"Customer",4)</f>
        <v>3</v>
      </c>
      <c r="L5458" t="str">
        <f>TEXT(LeadsData[[#This Row],[Signup Date]],"mmm-yyyy")</f>
        <v>Mar-2024</v>
      </c>
      <c r="M5458">
        <f>IF(LeadsData[[#This Row],[Stage Number]]&gt;=2,1,0)</f>
        <v>1</v>
      </c>
      <c r="N5458" s="2">
        <f>IF(LeadsData[[#This Row],[Stage Number]]&gt;=3,1,0)</f>
        <v>1</v>
      </c>
      <c r="O5458" s="2">
        <f>IF(LeadsData[[#This Row],[Stage Number]]&gt;=4,1,0)</f>
        <v>0</v>
      </c>
    </row>
    <row r="5459" spans="1:15" x14ac:dyDescent="0.25">
      <c r="A5459" t="s">
        <v>5499</v>
      </c>
      <c r="B5459" s="1">
        <v>45573</v>
      </c>
      <c r="C5459" t="s">
        <v>36</v>
      </c>
      <c r="D5459" t="s">
        <v>50</v>
      </c>
      <c r="E5459" t="s">
        <v>13</v>
      </c>
      <c r="F5459" t="s">
        <v>19</v>
      </c>
      <c r="G5459" t="s">
        <v>23</v>
      </c>
      <c r="K5459" cm="1">
        <f t="array" ref="K5459">_xlfn.SWITCH(LeadsData[[#This Row],[Funnel Stage Reached]],"Lead",1,"MQL",2,"SQL",3,"Customer",4)</f>
        <v>2</v>
      </c>
      <c r="L5459" t="str">
        <f>TEXT(LeadsData[[#This Row],[Signup Date]],"mmm-yyyy")</f>
        <v>Oct-2024</v>
      </c>
      <c r="M5459">
        <f>IF(LeadsData[[#This Row],[Stage Number]]&gt;=2,1,0)</f>
        <v>1</v>
      </c>
      <c r="N5459" s="2">
        <f>IF(LeadsData[[#This Row],[Stage Number]]&gt;=3,1,0)</f>
        <v>0</v>
      </c>
      <c r="O5459" s="2">
        <f>IF(LeadsData[[#This Row],[Stage Number]]&gt;=4,1,0)</f>
        <v>0</v>
      </c>
    </row>
    <row r="5460" spans="1:15" x14ac:dyDescent="0.25">
      <c r="A5460" t="s">
        <v>5500</v>
      </c>
      <c r="B5460" s="1">
        <v>45640</v>
      </c>
      <c r="C5460" t="s">
        <v>46</v>
      </c>
      <c r="D5460" t="s">
        <v>56</v>
      </c>
      <c r="E5460" t="s">
        <v>13</v>
      </c>
      <c r="F5460" t="s">
        <v>14</v>
      </c>
      <c r="G5460" t="s">
        <v>42</v>
      </c>
      <c r="H5460">
        <v>38</v>
      </c>
      <c r="I5460" t="s">
        <v>43</v>
      </c>
      <c r="J5460">
        <v>1273.28</v>
      </c>
      <c r="K5460" cm="1">
        <f t="array" ref="K5460">_xlfn.SWITCH(LeadsData[[#This Row],[Funnel Stage Reached]],"Lead",1,"MQL",2,"SQL",3,"Customer",4)</f>
        <v>4</v>
      </c>
      <c r="L5460" t="str">
        <f>TEXT(LeadsData[[#This Row],[Signup Date]],"mmm-yyyy")</f>
        <v>Dec-2024</v>
      </c>
      <c r="M5460">
        <f>IF(LeadsData[[#This Row],[Stage Number]]&gt;=2,1,0)</f>
        <v>1</v>
      </c>
      <c r="N5460" s="2">
        <f>IF(LeadsData[[#This Row],[Stage Number]]&gt;=3,1,0)</f>
        <v>1</v>
      </c>
      <c r="O5460" s="2">
        <f>IF(LeadsData[[#This Row],[Stage Number]]&gt;=4,1,0)</f>
        <v>1</v>
      </c>
    </row>
    <row r="5461" spans="1:15" x14ac:dyDescent="0.25">
      <c r="A5461" t="s">
        <v>5501</v>
      </c>
      <c r="B5461" s="1">
        <v>45607</v>
      </c>
      <c r="C5461" t="s">
        <v>46</v>
      </c>
      <c r="D5461" t="s">
        <v>47</v>
      </c>
      <c r="E5461" t="s">
        <v>21</v>
      </c>
      <c r="F5461" t="s">
        <v>19</v>
      </c>
      <c r="G5461" t="s">
        <v>23</v>
      </c>
      <c r="K5461" cm="1">
        <f t="array" ref="K5461">_xlfn.SWITCH(LeadsData[[#This Row],[Funnel Stage Reached]],"Lead",1,"MQL",2,"SQL",3,"Customer",4)</f>
        <v>2</v>
      </c>
      <c r="L5461" t="str">
        <f>TEXT(LeadsData[[#This Row],[Signup Date]],"mmm-yyyy")</f>
        <v>Nov-2024</v>
      </c>
      <c r="M5461">
        <f>IF(LeadsData[[#This Row],[Stage Number]]&gt;=2,1,0)</f>
        <v>1</v>
      </c>
      <c r="N5461" s="2">
        <f>IF(LeadsData[[#This Row],[Stage Number]]&gt;=3,1,0)</f>
        <v>0</v>
      </c>
      <c r="O5461" s="2">
        <f>IF(LeadsData[[#This Row],[Stage Number]]&gt;=4,1,0)</f>
        <v>0</v>
      </c>
    </row>
    <row r="5462" spans="1:15" x14ac:dyDescent="0.25">
      <c r="A5462" t="s">
        <v>5502</v>
      </c>
      <c r="B5462" s="1">
        <v>45600</v>
      </c>
      <c r="C5462" t="s">
        <v>11</v>
      </c>
      <c r="D5462" t="s">
        <v>68</v>
      </c>
      <c r="E5462" t="s">
        <v>13</v>
      </c>
      <c r="F5462" t="s">
        <v>19</v>
      </c>
      <c r="G5462" t="s">
        <v>15</v>
      </c>
      <c r="K5462" cm="1">
        <f t="array" ref="K5462">_xlfn.SWITCH(LeadsData[[#This Row],[Funnel Stage Reached]],"Lead",1,"MQL",2,"SQL",3,"Customer",4)</f>
        <v>1</v>
      </c>
      <c r="L5462" t="str">
        <f>TEXT(LeadsData[[#This Row],[Signup Date]],"mmm-yyyy")</f>
        <v>Nov-2024</v>
      </c>
      <c r="M5462">
        <f>IF(LeadsData[[#This Row],[Stage Number]]&gt;=2,1,0)</f>
        <v>0</v>
      </c>
      <c r="N5462" s="2">
        <f>IF(LeadsData[[#This Row],[Stage Number]]&gt;=3,1,0)</f>
        <v>0</v>
      </c>
      <c r="O5462" s="2">
        <f>IF(LeadsData[[#This Row],[Stage Number]]&gt;=4,1,0)</f>
        <v>0</v>
      </c>
    </row>
    <row r="5463" spans="1:15" x14ac:dyDescent="0.25">
      <c r="A5463" t="s">
        <v>5503</v>
      </c>
      <c r="B5463" s="1">
        <v>45644</v>
      </c>
      <c r="C5463" t="s">
        <v>17</v>
      </c>
      <c r="D5463" t="s">
        <v>18</v>
      </c>
      <c r="E5463" t="s">
        <v>21</v>
      </c>
      <c r="F5463" t="s">
        <v>22</v>
      </c>
      <c r="G5463" t="s">
        <v>23</v>
      </c>
      <c r="K5463" cm="1">
        <f t="array" ref="K5463">_xlfn.SWITCH(LeadsData[[#This Row],[Funnel Stage Reached]],"Lead",1,"MQL",2,"SQL",3,"Customer",4)</f>
        <v>2</v>
      </c>
      <c r="L5463" t="str">
        <f>TEXT(LeadsData[[#This Row],[Signup Date]],"mmm-yyyy")</f>
        <v>Dec-2024</v>
      </c>
      <c r="M5463">
        <f>IF(LeadsData[[#This Row],[Stage Number]]&gt;=2,1,0)</f>
        <v>1</v>
      </c>
      <c r="N5463" s="2">
        <f>IF(LeadsData[[#This Row],[Stage Number]]&gt;=3,1,0)</f>
        <v>0</v>
      </c>
      <c r="O5463" s="2">
        <f>IF(LeadsData[[#This Row],[Stage Number]]&gt;=4,1,0)</f>
        <v>0</v>
      </c>
    </row>
    <row r="5464" spans="1:15" x14ac:dyDescent="0.25">
      <c r="A5464" t="s">
        <v>5504</v>
      </c>
      <c r="B5464" s="1">
        <v>45491</v>
      </c>
      <c r="C5464" t="s">
        <v>31</v>
      </c>
      <c r="D5464" t="s">
        <v>34</v>
      </c>
      <c r="E5464" t="s">
        <v>13</v>
      </c>
      <c r="F5464" t="s">
        <v>19</v>
      </c>
      <c r="G5464" t="s">
        <v>15</v>
      </c>
      <c r="K5464" cm="1">
        <f t="array" ref="K5464">_xlfn.SWITCH(LeadsData[[#This Row],[Funnel Stage Reached]],"Lead",1,"MQL",2,"SQL",3,"Customer",4)</f>
        <v>1</v>
      </c>
      <c r="L5464" t="str">
        <f>TEXT(LeadsData[[#This Row],[Signup Date]],"mmm-yyyy")</f>
        <v>Jul-2024</v>
      </c>
      <c r="M5464">
        <f>IF(LeadsData[[#This Row],[Stage Number]]&gt;=2,1,0)</f>
        <v>0</v>
      </c>
      <c r="N5464" s="2">
        <f>IF(LeadsData[[#This Row],[Stage Number]]&gt;=3,1,0)</f>
        <v>0</v>
      </c>
      <c r="O5464" s="2">
        <f>IF(LeadsData[[#This Row],[Stage Number]]&gt;=4,1,0)</f>
        <v>0</v>
      </c>
    </row>
    <row r="5465" spans="1:15" x14ac:dyDescent="0.25">
      <c r="A5465" t="s">
        <v>5505</v>
      </c>
      <c r="B5465" s="1">
        <v>45493</v>
      </c>
      <c r="C5465" t="s">
        <v>31</v>
      </c>
      <c r="D5465" t="s">
        <v>34</v>
      </c>
      <c r="E5465" t="s">
        <v>13</v>
      </c>
      <c r="F5465" t="s">
        <v>19</v>
      </c>
      <c r="G5465" t="s">
        <v>29</v>
      </c>
      <c r="K5465" cm="1">
        <f t="array" ref="K5465">_xlfn.SWITCH(LeadsData[[#This Row],[Funnel Stage Reached]],"Lead",1,"MQL",2,"SQL",3,"Customer",4)</f>
        <v>3</v>
      </c>
      <c r="L5465" t="str">
        <f>TEXT(LeadsData[[#This Row],[Signup Date]],"mmm-yyyy")</f>
        <v>Jul-2024</v>
      </c>
      <c r="M5465">
        <f>IF(LeadsData[[#This Row],[Stage Number]]&gt;=2,1,0)</f>
        <v>1</v>
      </c>
      <c r="N5465" s="2">
        <f>IF(LeadsData[[#This Row],[Stage Number]]&gt;=3,1,0)</f>
        <v>1</v>
      </c>
      <c r="O5465" s="2">
        <f>IF(LeadsData[[#This Row],[Stage Number]]&gt;=4,1,0)</f>
        <v>0</v>
      </c>
    </row>
    <row r="5466" spans="1:15" x14ac:dyDescent="0.25">
      <c r="A5466" t="s">
        <v>5506</v>
      </c>
      <c r="B5466" s="1">
        <v>45295</v>
      </c>
      <c r="C5466" t="s">
        <v>31</v>
      </c>
      <c r="D5466" t="s">
        <v>32</v>
      </c>
      <c r="E5466" t="s">
        <v>13</v>
      </c>
      <c r="F5466" t="s">
        <v>19</v>
      </c>
      <c r="G5466" t="s">
        <v>23</v>
      </c>
      <c r="K5466" cm="1">
        <f t="array" ref="K5466">_xlfn.SWITCH(LeadsData[[#This Row],[Funnel Stage Reached]],"Lead",1,"MQL",2,"SQL",3,"Customer",4)</f>
        <v>2</v>
      </c>
      <c r="L5466" t="str">
        <f>TEXT(LeadsData[[#This Row],[Signup Date]],"mmm-yyyy")</f>
        <v>Jan-2024</v>
      </c>
      <c r="M5466">
        <f>IF(LeadsData[[#This Row],[Stage Number]]&gt;=2,1,0)</f>
        <v>1</v>
      </c>
      <c r="N5466" s="2">
        <f>IF(LeadsData[[#This Row],[Stage Number]]&gt;=3,1,0)</f>
        <v>0</v>
      </c>
      <c r="O5466" s="2">
        <f>IF(LeadsData[[#This Row],[Stage Number]]&gt;=4,1,0)</f>
        <v>0</v>
      </c>
    </row>
    <row r="5467" spans="1:15" x14ac:dyDescent="0.25">
      <c r="A5467" t="s">
        <v>5507</v>
      </c>
      <c r="B5467" s="1">
        <v>45426</v>
      </c>
      <c r="C5467" t="s">
        <v>36</v>
      </c>
      <c r="D5467" t="s">
        <v>37</v>
      </c>
      <c r="E5467" t="s">
        <v>13</v>
      </c>
      <c r="F5467" t="s">
        <v>22</v>
      </c>
      <c r="G5467" t="s">
        <v>23</v>
      </c>
      <c r="K5467" cm="1">
        <f t="array" ref="K5467">_xlfn.SWITCH(LeadsData[[#This Row],[Funnel Stage Reached]],"Lead",1,"MQL",2,"SQL",3,"Customer",4)</f>
        <v>2</v>
      </c>
      <c r="L5467" t="str">
        <f>TEXT(LeadsData[[#This Row],[Signup Date]],"mmm-yyyy")</f>
        <v>May-2024</v>
      </c>
      <c r="M5467">
        <f>IF(LeadsData[[#This Row],[Stage Number]]&gt;=2,1,0)</f>
        <v>1</v>
      </c>
      <c r="N5467" s="2">
        <f>IF(LeadsData[[#This Row],[Stage Number]]&gt;=3,1,0)</f>
        <v>0</v>
      </c>
      <c r="O5467" s="2">
        <f>IF(LeadsData[[#This Row],[Stage Number]]&gt;=4,1,0)</f>
        <v>0</v>
      </c>
    </row>
    <row r="5468" spans="1:15" x14ac:dyDescent="0.25">
      <c r="A5468" t="s">
        <v>5508</v>
      </c>
      <c r="B5468" s="1">
        <v>45646</v>
      </c>
      <c r="C5468" t="s">
        <v>11</v>
      </c>
      <c r="D5468" t="s">
        <v>68</v>
      </c>
      <c r="E5468" t="s">
        <v>13</v>
      </c>
      <c r="F5468" t="s">
        <v>14</v>
      </c>
      <c r="G5468" t="s">
        <v>15</v>
      </c>
      <c r="K5468" cm="1">
        <f t="array" ref="K5468">_xlfn.SWITCH(LeadsData[[#This Row],[Funnel Stage Reached]],"Lead",1,"MQL",2,"SQL",3,"Customer",4)</f>
        <v>1</v>
      </c>
      <c r="L5468" t="str">
        <f>TEXT(LeadsData[[#This Row],[Signup Date]],"mmm-yyyy")</f>
        <v>Dec-2024</v>
      </c>
      <c r="M5468">
        <f>IF(LeadsData[[#This Row],[Stage Number]]&gt;=2,1,0)</f>
        <v>0</v>
      </c>
      <c r="N5468" s="2">
        <f>IF(LeadsData[[#This Row],[Stage Number]]&gt;=3,1,0)</f>
        <v>0</v>
      </c>
      <c r="O5468" s="2">
        <f>IF(LeadsData[[#This Row],[Stage Number]]&gt;=4,1,0)</f>
        <v>0</v>
      </c>
    </row>
    <row r="5469" spans="1:15" x14ac:dyDescent="0.25">
      <c r="A5469" t="s">
        <v>5509</v>
      </c>
      <c r="B5469" s="1">
        <v>45550</v>
      </c>
      <c r="C5469" t="s">
        <v>31</v>
      </c>
      <c r="D5469" t="s">
        <v>34</v>
      </c>
      <c r="E5469" t="s">
        <v>13</v>
      </c>
      <c r="F5469" t="s">
        <v>22</v>
      </c>
      <c r="G5469" t="s">
        <v>15</v>
      </c>
      <c r="K5469" cm="1">
        <f t="array" ref="K5469">_xlfn.SWITCH(LeadsData[[#This Row],[Funnel Stage Reached]],"Lead",1,"MQL",2,"SQL",3,"Customer",4)</f>
        <v>1</v>
      </c>
      <c r="L5469" t="str">
        <f>TEXT(LeadsData[[#This Row],[Signup Date]],"mmm-yyyy")</f>
        <v>Sep-2024</v>
      </c>
      <c r="M5469">
        <f>IF(LeadsData[[#This Row],[Stage Number]]&gt;=2,1,0)</f>
        <v>0</v>
      </c>
      <c r="N5469" s="2">
        <f>IF(LeadsData[[#This Row],[Stage Number]]&gt;=3,1,0)</f>
        <v>0</v>
      </c>
      <c r="O5469" s="2">
        <f>IF(LeadsData[[#This Row],[Stage Number]]&gt;=4,1,0)</f>
        <v>0</v>
      </c>
    </row>
    <row r="5470" spans="1:15" x14ac:dyDescent="0.25">
      <c r="A5470" t="s">
        <v>5510</v>
      </c>
      <c r="B5470" s="1">
        <v>45330</v>
      </c>
      <c r="C5470" t="s">
        <v>36</v>
      </c>
      <c r="D5470" t="s">
        <v>50</v>
      </c>
      <c r="E5470" t="s">
        <v>21</v>
      </c>
      <c r="F5470" t="s">
        <v>22</v>
      </c>
      <c r="G5470" t="s">
        <v>15</v>
      </c>
      <c r="K5470" cm="1">
        <f t="array" ref="K5470">_xlfn.SWITCH(LeadsData[[#This Row],[Funnel Stage Reached]],"Lead",1,"MQL",2,"SQL",3,"Customer",4)</f>
        <v>1</v>
      </c>
      <c r="L5470" t="str">
        <f>TEXT(LeadsData[[#This Row],[Signup Date]],"mmm-yyyy")</f>
        <v>Feb-2024</v>
      </c>
      <c r="M5470">
        <f>IF(LeadsData[[#This Row],[Stage Number]]&gt;=2,1,0)</f>
        <v>0</v>
      </c>
      <c r="N5470" s="2">
        <f>IF(LeadsData[[#This Row],[Stage Number]]&gt;=3,1,0)</f>
        <v>0</v>
      </c>
      <c r="O5470" s="2">
        <f>IF(LeadsData[[#This Row],[Stage Number]]&gt;=4,1,0)</f>
        <v>0</v>
      </c>
    </row>
    <row r="5471" spans="1:15" x14ac:dyDescent="0.25">
      <c r="A5471" t="s">
        <v>5511</v>
      </c>
      <c r="B5471" s="1">
        <v>45482</v>
      </c>
      <c r="C5471" t="s">
        <v>46</v>
      </c>
      <c r="D5471" t="s">
        <v>56</v>
      </c>
      <c r="E5471" t="s">
        <v>48</v>
      </c>
      <c r="F5471" t="s">
        <v>22</v>
      </c>
      <c r="G5471" t="s">
        <v>15</v>
      </c>
      <c r="K5471" cm="1">
        <f t="array" ref="K5471">_xlfn.SWITCH(LeadsData[[#This Row],[Funnel Stage Reached]],"Lead",1,"MQL",2,"SQL",3,"Customer",4)</f>
        <v>1</v>
      </c>
      <c r="L5471" t="str">
        <f>TEXT(LeadsData[[#This Row],[Signup Date]],"mmm-yyyy")</f>
        <v>Jul-2024</v>
      </c>
      <c r="M5471">
        <f>IF(LeadsData[[#This Row],[Stage Number]]&gt;=2,1,0)</f>
        <v>0</v>
      </c>
      <c r="N5471" s="2">
        <f>IF(LeadsData[[#This Row],[Stage Number]]&gt;=3,1,0)</f>
        <v>0</v>
      </c>
      <c r="O5471" s="2">
        <f>IF(LeadsData[[#This Row],[Stage Number]]&gt;=4,1,0)</f>
        <v>0</v>
      </c>
    </row>
    <row r="5472" spans="1:15" x14ac:dyDescent="0.25">
      <c r="A5472" t="s">
        <v>5512</v>
      </c>
      <c r="B5472" s="1">
        <v>45477</v>
      </c>
      <c r="C5472" t="s">
        <v>25</v>
      </c>
      <c r="D5472" t="s">
        <v>26</v>
      </c>
      <c r="E5472" t="s">
        <v>13</v>
      </c>
      <c r="F5472" t="s">
        <v>19</v>
      </c>
      <c r="G5472" t="s">
        <v>15</v>
      </c>
      <c r="K5472" cm="1">
        <f t="array" ref="K5472">_xlfn.SWITCH(LeadsData[[#This Row],[Funnel Stage Reached]],"Lead",1,"MQL",2,"SQL",3,"Customer",4)</f>
        <v>1</v>
      </c>
      <c r="L5472" t="str">
        <f>TEXT(LeadsData[[#This Row],[Signup Date]],"mmm-yyyy")</f>
        <v>Jul-2024</v>
      </c>
      <c r="M5472">
        <f>IF(LeadsData[[#This Row],[Stage Number]]&gt;=2,1,0)</f>
        <v>0</v>
      </c>
      <c r="N5472" s="2">
        <f>IF(LeadsData[[#This Row],[Stage Number]]&gt;=3,1,0)</f>
        <v>0</v>
      </c>
      <c r="O5472" s="2">
        <f>IF(LeadsData[[#This Row],[Stage Number]]&gt;=4,1,0)</f>
        <v>0</v>
      </c>
    </row>
    <row r="5473" spans="1:15" x14ac:dyDescent="0.25">
      <c r="A5473" t="s">
        <v>5513</v>
      </c>
      <c r="B5473" s="1">
        <v>45593</v>
      </c>
      <c r="C5473" t="s">
        <v>25</v>
      </c>
      <c r="D5473" t="s">
        <v>26</v>
      </c>
      <c r="E5473" t="s">
        <v>13</v>
      </c>
      <c r="F5473" t="s">
        <v>22</v>
      </c>
      <c r="G5473" t="s">
        <v>15</v>
      </c>
      <c r="K5473" cm="1">
        <f t="array" ref="K5473">_xlfn.SWITCH(LeadsData[[#This Row],[Funnel Stage Reached]],"Lead",1,"MQL",2,"SQL",3,"Customer",4)</f>
        <v>1</v>
      </c>
      <c r="L5473" t="str">
        <f>TEXT(LeadsData[[#This Row],[Signup Date]],"mmm-yyyy")</f>
        <v>Oct-2024</v>
      </c>
      <c r="M5473">
        <f>IF(LeadsData[[#This Row],[Stage Number]]&gt;=2,1,0)</f>
        <v>0</v>
      </c>
      <c r="N5473" s="2">
        <f>IF(LeadsData[[#This Row],[Stage Number]]&gt;=3,1,0)</f>
        <v>0</v>
      </c>
      <c r="O5473" s="2">
        <f>IF(LeadsData[[#This Row],[Stage Number]]&gt;=4,1,0)</f>
        <v>0</v>
      </c>
    </row>
    <row r="5474" spans="1:15" x14ac:dyDescent="0.25">
      <c r="A5474" t="s">
        <v>5514</v>
      </c>
      <c r="B5474" s="1">
        <v>45601</v>
      </c>
      <c r="C5474" t="s">
        <v>36</v>
      </c>
      <c r="D5474" t="s">
        <v>50</v>
      </c>
      <c r="E5474" t="s">
        <v>13</v>
      </c>
      <c r="F5474" t="s">
        <v>14</v>
      </c>
      <c r="G5474" t="s">
        <v>23</v>
      </c>
      <c r="K5474" cm="1">
        <f t="array" ref="K5474">_xlfn.SWITCH(LeadsData[[#This Row],[Funnel Stage Reached]],"Lead",1,"MQL",2,"SQL",3,"Customer",4)</f>
        <v>2</v>
      </c>
      <c r="L5474" t="str">
        <f>TEXT(LeadsData[[#This Row],[Signup Date]],"mmm-yyyy")</f>
        <v>Nov-2024</v>
      </c>
      <c r="M5474">
        <f>IF(LeadsData[[#This Row],[Stage Number]]&gt;=2,1,0)</f>
        <v>1</v>
      </c>
      <c r="N5474" s="2">
        <f>IF(LeadsData[[#This Row],[Stage Number]]&gt;=3,1,0)</f>
        <v>0</v>
      </c>
      <c r="O5474" s="2">
        <f>IF(LeadsData[[#This Row],[Stage Number]]&gt;=4,1,0)</f>
        <v>0</v>
      </c>
    </row>
    <row r="5475" spans="1:15" x14ac:dyDescent="0.25">
      <c r="A5475" t="s">
        <v>5515</v>
      </c>
      <c r="B5475" s="1">
        <v>45296</v>
      </c>
      <c r="C5475" t="s">
        <v>46</v>
      </c>
      <c r="D5475" t="s">
        <v>47</v>
      </c>
      <c r="E5475" t="s">
        <v>21</v>
      </c>
      <c r="F5475" t="s">
        <v>22</v>
      </c>
      <c r="G5475" t="s">
        <v>29</v>
      </c>
      <c r="K5475" cm="1">
        <f t="array" ref="K5475">_xlfn.SWITCH(LeadsData[[#This Row],[Funnel Stage Reached]],"Lead",1,"MQL",2,"SQL",3,"Customer",4)</f>
        <v>3</v>
      </c>
      <c r="L5475" t="str">
        <f>TEXT(LeadsData[[#This Row],[Signup Date]],"mmm-yyyy")</f>
        <v>Jan-2024</v>
      </c>
      <c r="M5475">
        <f>IF(LeadsData[[#This Row],[Stage Number]]&gt;=2,1,0)</f>
        <v>1</v>
      </c>
      <c r="N5475" s="2">
        <f>IF(LeadsData[[#This Row],[Stage Number]]&gt;=3,1,0)</f>
        <v>1</v>
      </c>
      <c r="O5475" s="2">
        <f>IF(LeadsData[[#This Row],[Stage Number]]&gt;=4,1,0)</f>
        <v>0</v>
      </c>
    </row>
    <row r="5476" spans="1:15" x14ac:dyDescent="0.25">
      <c r="A5476" t="s">
        <v>5516</v>
      </c>
      <c r="B5476" s="1">
        <v>45551</v>
      </c>
      <c r="C5476" t="s">
        <v>46</v>
      </c>
      <c r="D5476" t="s">
        <v>47</v>
      </c>
      <c r="E5476" t="s">
        <v>13</v>
      </c>
      <c r="F5476" t="s">
        <v>14</v>
      </c>
      <c r="G5476" t="s">
        <v>29</v>
      </c>
      <c r="K5476" cm="1">
        <f t="array" ref="K5476">_xlfn.SWITCH(LeadsData[[#This Row],[Funnel Stage Reached]],"Lead",1,"MQL",2,"SQL",3,"Customer",4)</f>
        <v>3</v>
      </c>
      <c r="L5476" t="str">
        <f>TEXT(LeadsData[[#This Row],[Signup Date]],"mmm-yyyy")</f>
        <v>Sep-2024</v>
      </c>
      <c r="M5476">
        <f>IF(LeadsData[[#This Row],[Stage Number]]&gt;=2,1,0)</f>
        <v>1</v>
      </c>
      <c r="N5476" s="2">
        <f>IF(LeadsData[[#This Row],[Stage Number]]&gt;=3,1,0)</f>
        <v>1</v>
      </c>
      <c r="O5476" s="2">
        <f>IF(LeadsData[[#This Row],[Stage Number]]&gt;=4,1,0)</f>
        <v>0</v>
      </c>
    </row>
    <row r="5477" spans="1:15" x14ac:dyDescent="0.25">
      <c r="A5477" t="s">
        <v>5517</v>
      </c>
      <c r="B5477" s="1">
        <v>45486</v>
      </c>
      <c r="C5477" t="s">
        <v>25</v>
      </c>
      <c r="D5477" t="s">
        <v>26</v>
      </c>
      <c r="E5477" t="s">
        <v>13</v>
      </c>
      <c r="F5477" t="s">
        <v>22</v>
      </c>
      <c r="G5477" t="s">
        <v>15</v>
      </c>
      <c r="K5477" cm="1">
        <f t="array" ref="K5477">_xlfn.SWITCH(LeadsData[[#This Row],[Funnel Stage Reached]],"Lead",1,"MQL",2,"SQL",3,"Customer",4)</f>
        <v>1</v>
      </c>
      <c r="L5477" t="str">
        <f>TEXT(LeadsData[[#This Row],[Signup Date]],"mmm-yyyy")</f>
        <v>Jul-2024</v>
      </c>
      <c r="M5477">
        <f>IF(LeadsData[[#This Row],[Stage Number]]&gt;=2,1,0)</f>
        <v>0</v>
      </c>
      <c r="N5477" s="2">
        <f>IF(LeadsData[[#This Row],[Stage Number]]&gt;=3,1,0)</f>
        <v>0</v>
      </c>
      <c r="O5477" s="2">
        <f>IF(LeadsData[[#This Row],[Stage Number]]&gt;=4,1,0)</f>
        <v>0</v>
      </c>
    </row>
    <row r="5478" spans="1:15" x14ac:dyDescent="0.25">
      <c r="A5478" t="s">
        <v>5518</v>
      </c>
      <c r="B5478" s="1">
        <v>45397</v>
      </c>
      <c r="C5478" t="s">
        <v>36</v>
      </c>
      <c r="D5478" t="s">
        <v>37</v>
      </c>
      <c r="E5478" t="s">
        <v>13</v>
      </c>
      <c r="F5478" t="s">
        <v>19</v>
      </c>
      <c r="G5478" t="s">
        <v>15</v>
      </c>
      <c r="K5478" cm="1">
        <f t="array" ref="K5478">_xlfn.SWITCH(LeadsData[[#This Row],[Funnel Stage Reached]],"Lead",1,"MQL",2,"SQL",3,"Customer",4)</f>
        <v>1</v>
      </c>
      <c r="L5478" t="str">
        <f>TEXT(LeadsData[[#This Row],[Signup Date]],"mmm-yyyy")</f>
        <v>Apr-2024</v>
      </c>
      <c r="M5478">
        <f>IF(LeadsData[[#This Row],[Stage Number]]&gt;=2,1,0)</f>
        <v>0</v>
      </c>
      <c r="N5478" s="2">
        <f>IF(LeadsData[[#This Row],[Stage Number]]&gt;=3,1,0)</f>
        <v>0</v>
      </c>
      <c r="O5478" s="2">
        <f>IF(LeadsData[[#This Row],[Stage Number]]&gt;=4,1,0)</f>
        <v>0</v>
      </c>
    </row>
    <row r="5479" spans="1:15" x14ac:dyDescent="0.25">
      <c r="A5479" t="s">
        <v>5519</v>
      </c>
      <c r="B5479" s="1">
        <v>45385</v>
      </c>
      <c r="C5479" t="s">
        <v>46</v>
      </c>
      <c r="D5479" t="s">
        <v>47</v>
      </c>
      <c r="E5479" t="s">
        <v>13</v>
      </c>
      <c r="F5479" t="s">
        <v>22</v>
      </c>
      <c r="G5479" t="s">
        <v>23</v>
      </c>
      <c r="K5479" cm="1">
        <f t="array" ref="K5479">_xlfn.SWITCH(LeadsData[[#This Row],[Funnel Stage Reached]],"Lead",1,"MQL",2,"SQL",3,"Customer",4)</f>
        <v>2</v>
      </c>
      <c r="L5479" t="str">
        <f>TEXT(LeadsData[[#This Row],[Signup Date]],"mmm-yyyy")</f>
        <v>Apr-2024</v>
      </c>
      <c r="M5479">
        <f>IF(LeadsData[[#This Row],[Stage Number]]&gt;=2,1,0)</f>
        <v>1</v>
      </c>
      <c r="N5479" s="2">
        <f>IF(LeadsData[[#This Row],[Stage Number]]&gt;=3,1,0)</f>
        <v>0</v>
      </c>
      <c r="O5479" s="2">
        <f>IF(LeadsData[[#This Row],[Stage Number]]&gt;=4,1,0)</f>
        <v>0</v>
      </c>
    </row>
    <row r="5480" spans="1:15" x14ac:dyDescent="0.25">
      <c r="A5480" t="s">
        <v>5520</v>
      </c>
      <c r="B5480" s="1">
        <v>45575</v>
      </c>
      <c r="C5480" t="s">
        <v>11</v>
      </c>
      <c r="D5480" t="s">
        <v>12</v>
      </c>
      <c r="E5480" t="s">
        <v>13</v>
      </c>
      <c r="F5480" t="s">
        <v>22</v>
      </c>
      <c r="G5480" t="s">
        <v>23</v>
      </c>
      <c r="K5480" cm="1">
        <f t="array" ref="K5480">_xlfn.SWITCH(LeadsData[[#This Row],[Funnel Stage Reached]],"Lead",1,"MQL",2,"SQL",3,"Customer",4)</f>
        <v>2</v>
      </c>
      <c r="L5480" t="str">
        <f>TEXT(LeadsData[[#This Row],[Signup Date]],"mmm-yyyy")</f>
        <v>Oct-2024</v>
      </c>
      <c r="M5480">
        <f>IF(LeadsData[[#This Row],[Stage Number]]&gt;=2,1,0)</f>
        <v>1</v>
      </c>
      <c r="N5480" s="2">
        <f>IF(LeadsData[[#This Row],[Stage Number]]&gt;=3,1,0)</f>
        <v>0</v>
      </c>
      <c r="O5480" s="2">
        <f>IF(LeadsData[[#This Row],[Stage Number]]&gt;=4,1,0)</f>
        <v>0</v>
      </c>
    </row>
    <row r="5481" spans="1:15" x14ac:dyDescent="0.25">
      <c r="A5481" t="s">
        <v>5521</v>
      </c>
      <c r="B5481" s="1">
        <v>45575</v>
      </c>
      <c r="C5481" t="s">
        <v>11</v>
      </c>
      <c r="D5481" t="s">
        <v>68</v>
      </c>
      <c r="E5481" t="s">
        <v>48</v>
      </c>
      <c r="F5481" t="s">
        <v>28</v>
      </c>
      <c r="G5481" t="s">
        <v>15</v>
      </c>
      <c r="K5481" cm="1">
        <f t="array" ref="K5481">_xlfn.SWITCH(LeadsData[[#This Row],[Funnel Stage Reached]],"Lead",1,"MQL",2,"SQL",3,"Customer",4)</f>
        <v>1</v>
      </c>
      <c r="L5481" t="str">
        <f>TEXT(LeadsData[[#This Row],[Signup Date]],"mmm-yyyy")</f>
        <v>Oct-2024</v>
      </c>
      <c r="M5481">
        <f>IF(LeadsData[[#This Row],[Stage Number]]&gt;=2,1,0)</f>
        <v>0</v>
      </c>
      <c r="N5481" s="2">
        <f>IF(LeadsData[[#This Row],[Stage Number]]&gt;=3,1,0)</f>
        <v>0</v>
      </c>
      <c r="O5481" s="2">
        <f>IF(LeadsData[[#This Row],[Stage Number]]&gt;=4,1,0)</f>
        <v>0</v>
      </c>
    </row>
    <row r="5482" spans="1:15" x14ac:dyDescent="0.25">
      <c r="A5482" t="s">
        <v>5522</v>
      </c>
      <c r="B5482" s="1">
        <v>45545</v>
      </c>
      <c r="C5482" t="s">
        <v>17</v>
      </c>
      <c r="D5482" t="s">
        <v>53</v>
      </c>
      <c r="E5482" t="s">
        <v>21</v>
      </c>
      <c r="F5482" t="s">
        <v>19</v>
      </c>
      <c r="G5482" t="s">
        <v>15</v>
      </c>
      <c r="K5482" cm="1">
        <f t="array" ref="K5482">_xlfn.SWITCH(LeadsData[[#This Row],[Funnel Stage Reached]],"Lead",1,"MQL",2,"SQL",3,"Customer",4)</f>
        <v>1</v>
      </c>
      <c r="L5482" t="str">
        <f>TEXT(LeadsData[[#This Row],[Signup Date]],"mmm-yyyy")</f>
        <v>Sep-2024</v>
      </c>
      <c r="M5482">
        <f>IF(LeadsData[[#This Row],[Stage Number]]&gt;=2,1,0)</f>
        <v>0</v>
      </c>
      <c r="N5482" s="2">
        <f>IF(LeadsData[[#This Row],[Stage Number]]&gt;=3,1,0)</f>
        <v>0</v>
      </c>
      <c r="O5482" s="2">
        <f>IF(LeadsData[[#This Row],[Stage Number]]&gt;=4,1,0)</f>
        <v>0</v>
      </c>
    </row>
    <row r="5483" spans="1:15" x14ac:dyDescent="0.25">
      <c r="A5483" t="s">
        <v>5523</v>
      </c>
      <c r="B5483" s="1">
        <v>45482</v>
      </c>
      <c r="C5483" t="s">
        <v>31</v>
      </c>
      <c r="D5483" t="s">
        <v>34</v>
      </c>
      <c r="E5483" t="s">
        <v>13</v>
      </c>
      <c r="F5483" t="s">
        <v>19</v>
      </c>
      <c r="G5483" t="s">
        <v>15</v>
      </c>
      <c r="K5483" cm="1">
        <f t="array" ref="K5483">_xlfn.SWITCH(LeadsData[[#This Row],[Funnel Stage Reached]],"Lead",1,"MQL",2,"SQL",3,"Customer",4)</f>
        <v>1</v>
      </c>
      <c r="L5483" t="str">
        <f>TEXT(LeadsData[[#This Row],[Signup Date]],"mmm-yyyy")</f>
        <v>Jul-2024</v>
      </c>
      <c r="M5483">
        <f>IF(LeadsData[[#This Row],[Stage Number]]&gt;=2,1,0)</f>
        <v>0</v>
      </c>
      <c r="N5483" s="2">
        <f>IF(LeadsData[[#This Row],[Stage Number]]&gt;=3,1,0)</f>
        <v>0</v>
      </c>
      <c r="O5483" s="2">
        <f>IF(LeadsData[[#This Row],[Stage Number]]&gt;=4,1,0)</f>
        <v>0</v>
      </c>
    </row>
    <row r="5484" spans="1:15" x14ac:dyDescent="0.25">
      <c r="A5484" t="s">
        <v>5524</v>
      </c>
      <c r="B5484" s="1">
        <v>45577</v>
      </c>
      <c r="C5484" t="s">
        <v>11</v>
      </c>
      <c r="D5484" t="s">
        <v>68</v>
      </c>
      <c r="E5484" t="s">
        <v>21</v>
      </c>
      <c r="F5484" t="s">
        <v>19</v>
      </c>
      <c r="G5484" t="s">
        <v>15</v>
      </c>
      <c r="K5484" cm="1">
        <f t="array" ref="K5484">_xlfn.SWITCH(LeadsData[[#This Row],[Funnel Stage Reached]],"Lead",1,"MQL",2,"SQL",3,"Customer",4)</f>
        <v>1</v>
      </c>
      <c r="L5484" t="str">
        <f>TEXT(LeadsData[[#This Row],[Signup Date]],"mmm-yyyy")</f>
        <v>Oct-2024</v>
      </c>
      <c r="M5484">
        <f>IF(LeadsData[[#This Row],[Stage Number]]&gt;=2,1,0)</f>
        <v>0</v>
      </c>
      <c r="N5484" s="2">
        <f>IF(LeadsData[[#This Row],[Stage Number]]&gt;=3,1,0)</f>
        <v>0</v>
      </c>
      <c r="O5484" s="2">
        <f>IF(LeadsData[[#This Row],[Stage Number]]&gt;=4,1,0)</f>
        <v>0</v>
      </c>
    </row>
    <row r="5485" spans="1:15" x14ac:dyDescent="0.25">
      <c r="A5485" t="s">
        <v>5525</v>
      </c>
      <c r="B5485" s="1">
        <v>45377</v>
      </c>
      <c r="C5485" t="s">
        <v>46</v>
      </c>
      <c r="D5485" t="s">
        <v>47</v>
      </c>
      <c r="E5485" t="s">
        <v>13</v>
      </c>
      <c r="F5485" t="s">
        <v>22</v>
      </c>
      <c r="G5485" t="s">
        <v>15</v>
      </c>
      <c r="K5485" cm="1">
        <f t="array" ref="K5485">_xlfn.SWITCH(LeadsData[[#This Row],[Funnel Stage Reached]],"Lead",1,"MQL",2,"SQL",3,"Customer",4)</f>
        <v>1</v>
      </c>
      <c r="L5485" t="str">
        <f>TEXT(LeadsData[[#This Row],[Signup Date]],"mmm-yyyy")</f>
        <v>Mar-2024</v>
      </c>
      <c r="M5485">
        <f>IF(LeadsData[[#This Row],[Stage Number]]&gt;=2,1,0)</f>
        <v>0</v>
      </c>
      <c r="N5485" s="2">
        <f>IF(LeadsData[[#This Row],[Stage Number]]&gt;=3,1,0)</f>
        <v>0</v>
      </c>
      <c r="O5485" s="2">
        <f>IF(LeadsData[[#This Row],[Stage Number]]&gt;=4,1,0)</f>
        <v>0</v>
      </c>
    </row>
    <row r="5486" spans="1:15" x14ac:dyDescent="0.25">
      <c r="A5486" t="s">
        <v>5526</v>
      </c>
      <c r="B5486" s="1">
        <v>45501</v>
      </c>
      <c r="C5486" t="s">
        <v>31</v>
      </c>
      <c r="D5486" t="s">
        <v>34</v>
      </c>
      <c r="E5486" t="s">
        <v>13</v>
      </c>
      <c r="F5486" t="s">
        <v>19</v>
      </c>
      <c r="G5486" t="s">
        <v>15</v>
      </c>
      <c r="K5486" cm="1">
        <f t="array" ref="K5486">_xlfn.SWITCH(LeadsData[[#This Row],[Funnel Stage Reached]],"Lead",1,"MQL",2,"SQL",3,"Customer",4)</f>
        <v>1</v>
      </c>
      <c r="L5486" t="str">
        <f>TEXT(LeadsData[[#This Row],[Signup Date]],"mmm-yyyy")</f>
        <v>Jul-2024</v>
      </c>
      <c r="M5486">
        <f>IF(LeadsData[[#This Row],[Stage Number]]&gt;=2,1,0)</f>
        <v>0</v>
      </c>
      <c r="N5486" s="2">
        <f>IF(LeadsData[[#This Row],[Stage Number]]&gt;=3,1,0)</f>
        <v>0</v>
      </c>
      <c r="O5486" s="2">
        <f>IF(LeadsData[[#This Row],[Stage Number]]&gt;=4,1,0)</f>
        <v>0</v>
      </c>
    </row>
    <row r="5487" spans="1:15" x14ac:dyDescent="0.25">
      <c r="A5487" t="s">
        <v>5527</v>
      </c>
      <c r="B5487" s="1">
        <v>45415</v>
      </c>
      <c r="C5487" t="s">
        <v>17</v>
      </c>
      <c r="D5487" t="s">
        <v>53</v>
      </c>
      <c r="E5487" t="s">
        <v>48</v>
      </c>
      <c r="F5487" t="s">
        <v>19</v>
      </c>
      <c r="G5487" t="s">
        <v>15</v>
      </c>
      <c r="K5487" cm="1">
        <f t="array" ref="K5487">_xlfn.SWITCH(LeadsData[[#This Row],[Funnel Stage Reached]],"Lead",1,"MQL",2,"SQL",3,"Customer",4)</f>
        <v>1</v>
      </c>
      <c r="L5487" t="str">
        <f>TEXT(LeadsData[[#This Row],[Signup Date]],"mmm-yyyy")</f>
        <v>May-2024</v>
      </c>
      <c r="M5487">
        <f>IF(LeadsData[[#This Row],[Stage Number]]&gt;=2,1,0)</f>
        <v>0</v>
      </c>
      <c r="N5487" s="2">
        <f>IF(LeadsData[[#This Row],[Stage Number]]&gt;=3,1,0)</f>
        <v>0</v>
      </c>
      <c r="O5487" s="2">
        <f>IF(LeadsData[[#This Row],[Stage Number]]&gt;=4,1,0)</f>
        <v>0</v>
      </c>
    </row>
    <row r="5488" spans="1:15" x14ac:dyDescent="0.25">
      <c r="A5488" t="s">
        <v>5528</v>
      </c>
      <c r="B5488" s="1">
        <v>45641</v>
      </c>
      <c r="C5488" t="s">
        <v>31</v>
      </c>
      <c r="D5488" t="s">
        <v>32</v>
      </c>
      <c r="E5488" t="s">
        <v>21</v>
      </c>
      <c r="F5488" t="s">
        <v>22</v>
      </c>
      <c r="G5488" t="s">
        <v>29</v>
      </c>
      <c r="K5488" cm="1">
        <f t="array" ref="K5488">_xlfn.SWITCH(LeadsData[[#This Row],[Funnel Stage Reached]],"Lead",1,"MQL",2,"SQL",3,"Customer",4)</f>
        <v>3</v>
      </c>
      <c r="L5488" t="str">
        <f>TEXT(LeadsData[[#This Row],[Signup Date]],"mmm-yyyy")</f>
        <v>Dec-2024</v>
      </c>
      <c r="M5488">
        <f>IF(LeadsData[[#This Row],[Stage Number]]&gt;=2,1,0)</f>
        <v>1</v>
      </c>
      <c r="N5488" s="2">
        <f>IF(LeadsData[[#This Row],[Stage Number]]&gt;=3,1,0)</f>
        <v>1</v>
      </c>
      <c r="O5488" s="2">
        <f>IF(LeadsData[[#This Row],[Stage Number]]&gt;=4,1,0)</f>
        <v>0</v>
      </c>
    </row>
    <row r="5489" spans="1:15" x14ac:dyDescent="0.25">
      <c r="A5489" t="s">
        <v>5529</v>
      </c>
      <c r="B5489" s="1">
        <v>45577</v>
      </c>
      <c r="C5489" t="s">
        <v>31</v>
      </c>
      <c r="D5489" t="s">
        <v>34</v>
      </c>
      <c r="E5489" t="s">
        <v>21</v>
      </c>
      <c r="F5489" t="s">
        <v>19</v>
      </c>
      <c r="G5489" t="s">
        <v>15</v>
      </c>
      <c r="K5489" cm="1">
        <f t="array" ref="K5489">_xlfn.SWITCH(LeadsData[[#This Row],[Funnel Stage Reached]],"Lead",1,"MQL",2,"SQL",3,"Customer",4)</f>
        <v>1</v>
      </c>
      <c r="L5489" t="str">
        <f>TEXT(LeadsData[[#This Row],[Signup Date]],"mmm-yyyy")</f>
        <v>Oct-2024</v>
      </c>
      <c r="M5489">
        <f>IF(LeadsData[[#This Row],[Stage Number]]&gt;=2,1,0)</f>
        <v>0</v>
      </c>
      <c r="N5489" s="2">
        <f>IF(LeadsData[[#This Row],[Stage Number]]&gt;=3,1,0)</f>
        <v>0</v>
      </c>
      <c r="O5489" s="2">
        <f>IF(LeadsData[[#This Row],[Stage Number]]&gt;=4,1,0)</f>
        <v>0</v>
      </c>
    </row>
    <row r="5490" spans="1:15" x14ac:dyDescent="0.25">
      <c r="A5490" t="s">
        <v>5530</v>
      </c>
      <c r="B5490" s="1">
        <v>45623</v>
      </c>
      <c r="C5490" t="s">
        <v>31</v>
      </c>
      <c r="D5490" t="s">
        <v>34</v>
      </c>
      <c r="E5490" t="s">
        <v>13</v>
      </c>
      <c r="F5490" t="s">
        <v>28</v>
      </c>
      <c r="G5490" t="s">
        <v>23</v>
      </c>
      <c r="K5490" cm="1">
        <f t="array" ref="K5490">_xlfn.SWITCH(LeadsData[[#This Row],[Funnel Stage Reached]],"Lead",1,"MQL",2,"SQL",3,"Customer",4)</f>
        <v>2</v>
      </c>
      <c r="L5490" t="str">
        <f>TEXT(LeadsData[[#This Row],[Signup Date]],"mmm-yyyy")</f>
        <v>Nov-2024</v>
      </c>
      <c r="M5490">
        <f>IF(LeadsData[[#This Row],[Stage Number]]&gt;=2,1,0)</f>
        <v>1</v>
      </c>
      <c r="N5490" s="2">
        <f>IF(LeadsData[[#This Row],[Stage Number]]&gt;=3,1,0)</f>
        <v>0</v>
      </c>
      <c r="O5490" s="2">
        <f>IF(LeadsData[[#This Row],[Stage Number]]&gt;=4,1,0)</f>
        <v>0</v>
      </c>
    </row>
    <row r="5491" spans="1:15" x14ac:dyDescent="0.25">
      <c r="A5491" t="s">
        <v>5531</v>
      </c>
      <c r="B5491" s="1">
        <v>45492</v>
      </c>
      <c r="C5491" t="s">
        <v>46</v>
      </c>
      <c r="D5491" t="s">
        <v>56</v>
      </c>
      <c r="E5491" t="s">
        <v>21</v>
      </c>
      <c r="F5491" t="s">
        <v>22</v>
      </c>
      <c r="G5491" t="s">
        <v>29</v>
      </c>
      <c r="K5491" cm="1">
        <f t="array" ref="K5491">_xlfn.SWITCH(LeadsData[[#This Row],[Funnel Stage Reached]],"Lead",1,"MQL",2,"SQL",3,"Customer",4)</f>
        <v>3</v>
      </c>
      <c r="L5491" t="str">
        <f>TEXT(LeadsData[[#This Row],[Signup Date]],"mmm-yyyy")</f>
        <v>Jul-2024</v>
      </c>
      <c r="M5491">
        <f>IF(LeadsData[[#This Row],[Stage Number]]&gt;=2,1,0)</f>
        <v>1</v>
      </c>
      <c r="N5491" s="2">
        <f>IF(LeadsData[[#This Row],[Stage Number]]&gt;=3,1,0)</f>
        <v>1</v>
      </c>
      <c r="O5491" s="2">
        <f>IF(LeadsData[[#This Row],[Stage Number]]&gt;=4,1,0)</f>
        <v>0</v>
      </c>
    </row>
    <row r="5492" spans="1:15" x14ac:dyDescent="0.25">
      <c r="A5492" t="s">
        <v>5532</v>
      </c>
      <c r="B5492" s="1">
        <v>45606</v>
      </c>
      <c r="C5492" t="s">
        <v>17</v>
      </c>
      <c r="D5492" t="s">
        <v>53</v>
      </c>
      <c r="E5492" t="s">
        <v>13</v>
      </c>
      <c r="F5492" t="s">
        <v>28</v>
      </c>
      <c r="G5492" t="s">
        <v>15</v>
      </c>
      <c r="K5492" cm="1">
        <f t="array" ref="K5492">_xlfn.SWITCH(LeadsData[[#This Row],[Funnel Stage Reached]],"Lead",1,"MQL",2,"SQL",3,"Customer",4)</f>
        <v>1</v>
      </c>
      <c r="L5492" t="str">
        <f>TEXT(LeadsData[[#This Row],[Signup Date]],"mmm-yyyy")</f>
        <v>Nov-2024</v>
      </c>
      <c r="M5492">
        <f>IF(LeadsData[[#This Row],[Stage Number]]&gt;=2,1,0)</f>
        <v>0</v>
      </c>
      <c r="N5492" s="2">
        <f>IF(LeadsData[[#This Row],[Stage Number]]&gt;=3,1,0)</f>
        <v>0</v>
      </c>
      <c r="O5492" s="2">
        <f>IF(LeadsData[[#This Row],[Stage Number]]&gt;=4,1,0)</f>
        <v>0</v>
      </c>
    </row>
    <row r="5493" spans="1:15" x14ac:dyDescent="0.25">
      <c r="A5493" t="s">
        <v>5533</v>
      </c>
      <c r="B5493" s="1">
        <v>45331</v>
      </c>
      <c r="C5493" t="s">
        <v>31</v>
      </c>
      <c r="D5493" t="s">
        <v>34</v>
      </c>
      <c r="E5493" t="s">
        <v>13</v>
      </c>
      <c r="F5493" t="s">
        <v>22</v>
      </c>
      <c r="G5493" t="s">
        <v>23</v>
      </c>
      <c r="K5493" cm="1">
        <f t="array" ref="K5493">_xlfn.SWITCH(LeadsData[[#This Row],[Funnel Stage Reached]],"Lead",1,"MQL",2,"SQL",3,"Customer",4)</f>
        <v>2</v>
      </c>
      <c r="L5493" t="str">
        <f>TEXT(LeadsData[[#This Row],[Signup Date]],"mmm-yyyy")</f>
        <v>Feb-2024</v>
      </c>
      <c r="M5493">
        <f>IF(LeadsData[[#This Row],[Stage Number]]&gt;=2,1,0)</f>
        <v>1</v>
      </c>
      <c r="N5493" s="2">
        <f>IF(LeadsData[[#This Row],[Stage Number]]&gt;=3,1,0)</f>
        <v>0</v>
      </c>
      <c r="O5493" s="2">
        <f>IF(LeadsData[[#This Row],[Stage Number]]&gt;=4,1,0)</f>
        <v>0</v>
      </c>
    </row>
    <row r="5494" spans="1:15" x14ac:dyDescent="0.25">
      <c r="A5494" t="s">
        <v>5534</v>
      </c>
      <c r="B5494" s="1">
        <v>45636</v>
      </c>
      <c r="C5494" t="s">
        <v>11</v>
      </c>
      <c r="D5494" t="s">
        <v>68</v>
      </c>
      <c r="E5494" t="s">
        <v>21</v>
      </c>
      <c r="F5494" t="s">
        <v>22</v>
      </c>
      <c r="G5494" t="s">
        <v>23</v>
      </c>
      <c r="K5494" cm="1">
        <f t="array" ref="K5494">_xlfn.SWITCH(LeadsData[[#This Row],[Funnel Stage Reached]],"Lead",1,"MQL",2,"SQL",3,"Customer",4)</f>
        <v>2</v>
      </c>
      <c r="L5494" t="str">
        <f>TEXT(LeadsData[[#This Row],[Signup Date]],"mmm-yyyy")</f>
        <v>Dec-2024</v>
      </c>
      <c r="M5494">
        <f>IF(LeadsData[[#This Row],[Stage Number]]&gt;=2,1,0)</f>
        <v>1</v>
      </c>
      <c r="N5494" s="2">
        <f>IF(LeadsData[[#This Row],[Stage Number]]&gt;=3,1,0)</f>
        <v>0</v>
      </c>
      <c r="O5494" s="2">
        <f>IF(LeadsData[[#This Row],[Stage Number]]&gt;=4,1,0)</f>
        <v>0</v>
      </c>
    </row>
    <row r="5495" spans="1:15" x14ac:dyDescent="0.25">
      <c r="A5495" t="s">
        <v>5535</v>
      </c>
      <c r="B5495" s="1">
        <v>45532</v>
      </c>
      <c r="C5495" t="s">
        <v>46</v>
      </c>
      <c r="D5495" t="s">
        <v>47</v>
      </c>
      <c r="E5495" t="s">
        <v>21</v>
      </c>
      <c r="F5495" t="s">
        <v>22</v>
      </c>
      <c r="G5495" t="s">
        <v>15</v>
      </c>
      <c r="K5495" cm="1">
        <f t="array" ref="K5495">_xlfn.SWITCH(LeadsData[[#This Row],[Funnel Stage Reached]],"Lead",1,"MQL",2,"SQL",3,"Customer",4)</f>
        <v>1</v>
      </c>
      <c r="L5495" t="str">
        <f>TEXT(LeadsData[[#This Row],[Signup Date]],"mmm-yyyy")</f>
        <v>Aug-2024</v>
      </c>
      <c r="M5495">
        <f>IF(LeadsData[[#This Row],[Stage Number]]&gt;=2,1,0)</f>
        <v>0</v>
      </c>
      <c r="N5495" s="2">
        <f>IF(LeadsData[[#This Row],[Stage Number]]&gt;=3,1,0)</f>
        <v>0</v>
      </c>
      <c r="O5495" s="2">
        <f>IF(LeadsData[[#This Row],[Stage Number]]&gt;=4,1,0)</f>
        <v>0</v>
      </c>
    </row>
    <row r="5496" spans="1:15" x14ac:dyDescent="0.25">
      <c r="A5496" t="s">
        <v>5536</v>
      </c>
      <c r="B5496" s="1">
        <v>45300</v>
      </c>
      <c r="C5496" t="s">
        <v>31</v>
      </c>
      <c r="D5496" t="s">
        <v>32</v>
      </c>
      <c r="E5496" t="s">
        <v>13</v>
      </c>
      <c r="F5496" t="s">
        <v>22</v>
      </c>
      <c r="G5496" t="s">
        <v>23</v>
      </c>
      <c r="K5496" cm="1">
        <f t="array" ref="K5496">_xlfn.SWITCH(LeadsData[[#This Row],[Funnel Stage Reached]],"Lead",1,"MQL",2,"SQL",3,"Customer",4)</f>
        <v>2</v>
      </c>
      <c r="L5496" t="str">
        <f>TEXT(LeadsData[[#This Row],[Signup Date]],"mmm-yyyy")</f>
        <v>Jan-2024</v>
      </c>
      <c r="M5496">
        <f>IF(LeadsData[[#This Row],[Stage Number]]&gt;=2,1,0)</f>
        <v>1</v>
      </c>
      <c r="N5496" s="2">
        <f>IF(LeadsData[[#This Row],[Stage Number]]&gt;=3,1,0)</f>
        <v>0</v>
      </c>
      <c r="O5496" s="2">
        <f>IF(LeadsData[[#This Row],[Stage Number]]&gt;=4,1,0)</f>
        <v>0</v>
      </c>
    </row>
    <row r="5497" spans="1:15" x14ac:dyDescent="0.25">
      <c r="A5497" t="s">
        <v>5537</v>
      </c>
      <c r="B5497" s="1">
        <v>45644</v>
      </c>
      <c r="C5497" t="s">
        <v>36</v>
      </c>
      <c r="D5497" t="s">
        <v>50</v>
      </c>
      <c r="E5497" t="s">
        <v>21</v>
      </c>
      <c r="F5497" t="s">
        <v>19</v>
      </c>
      <c r="G5497" t="s">
        <v>23</v>
      </c>
      <c r="K5497" cm="1">
        <f t="array" ref="K5497">_xlfn.SWITCH(LeadsData[[#This Row],[Funnel Stage Reached]],"Lead",1,"MQL",2,"SQL",3,"Customer",4)</f>
        <v>2</v>
      </c>
      <c r="L5497" t="str">
        <f>TEXT(LeadsData[[#This Row],[Signup Date]],"mmm-yyyy")</f>
        <v>Dec-2024</v>
      </c>
      <c r="M5497">
        <f>IF(LeadsData[[#This Row],[Stage Number]]&gt;=2,1,0)</f>
        <v>1</v>
      </c>
      <c r="N5497" s="2">
        <f>IF(LeadsData[[#This Row],[Stage Number]]&gt;=3,1,0)</f>
        <v>0</v>
      </c>
      <c r="O5497" s="2">
        <f>IF(LeadsData[[#This Row],[Stage Number]]&gt;=4,1,0)</f>
        <v>0</v>
      </c>
    </row>
    <row r="5498" spans="1:15" x14ac:dyDescent="0.25">
      <c r="A5498" t="s">
        <v>5538</v>
      </c>
      <c r="B5498" s="1">
        <v>45554</v>
      </c>
      <c r="C5498" t="s">
        <v>36</v>
      </c>
      <c r="D5498" t="s">
        <v>37</v>
      </c>
      <c r="E5498" t="s">
        <v>13</v>
      </c>
      <c r="F5498" t="s">
        <v>19</v>
      </c>
      <c r="G5498" t="s">
        <v>23</v>
      </c>
      <c r="K5498" cm="1">
        <f t="array" ref="K5498">_xlfn.SWITCH(LeadsData[[#This Row],[Funnel Stage Reached]],"Lead",1,"MQL",2,"SQL",3,"Customer",4)</f>
        <v>2</v>
      </c>
      <c r="L5498" t="str">
        <f>TEXT(LeadsData[[#This Row],[Signup Date]],"mmm-yyyy")</f>
        <v>Sep-2024</v>
      </c>
      <c r="M5498">
        <f>IF(LeadsData[[#This Row],[Stage Number]]&gt;=2,1,0)</f>
        <v>1</v>
      </c>
      <c r="N5498" s="2">
        <f>IF(LeadsData[[#This Row],[Stage Number]]&gt;=3,1,0)</f>
        <v>0</v>
      </c>
      <c r="O5498" s="2">
        <f>IF(LeadsData[[#This Row],[Stage Number]]&gt;=4,1,0)</f>
        <v>0</v>
      </c>
    </row>
    <row r="5499" spans="1:15" x14ac:dyDescent="0.25">
      <c r="A5499" t="s">
        <v>5539</v>
      </c>
      <c r="B5499" s="1">
        <v>45604</v>
      </c>
      <c r="C5499" t="s">
        <v>25</v>
      </c>
      <c r="D5499" t="s">
        <v>26</v>
      </c>
      <c r="E5499" t="s">
        <v>13</v>
      </c>
      <c r="F5499" t="s">
        <v>19</v>
      </c>
      <c r="G5499" t="s">
        <v>15</v>
      </c>
      <c r="K5499" cm="1">
        <f t="array" ref="K5499">_xlfn.SWITCH(LeadsData[[#This Row],[Funnel Stage Reached]],"Lead",1,"MQL",2,"SQL",3,"Customer",4)</f>
        <v>1</v>
      </c>
      <c r="L5499" t="str">
        <f>TEXT(LeadsData[[#This Row],[Signup Date]],"mmm-yyyy")</f>
        <v>Nov-2024</v>
      </c>
      <c r="M5499">
        <f>IF(LeadsData[[#This Row],[Stage Number]]&gt;=2,1,0)</f>
        <v>0</v>
      </c>
      <c r="N5499" s="2">
        <f>IF(LeadsData[[#This Row],[Stage Number]]&gt;=3,1,0)</f>
        <v>0</v>
      </c>
      <c r="O5499" s="2">
        <f>IF(LeadsData[[#This Row],[Stage Number]]&gt;=4,1,0)</f>
        <v>0</v>
      </c>
    </row>
    <row r="5500" spans="1:15" x14ac:dyDescent="0.25">
      <c r="A5500" t="s">
        <v>5540</v>
      </c>
      <c r="B5500" s="1">
        <v>45429</v>
      </c>
      <c r="C5500" t="s">
        <v>31</v>
      </c>
      <c r="D5500" t="s">
        <v>32</v>
      </c>
      <c r="E5500" t="s">
        <v>13</v>
      </c>
      <c r="F5500" t="s">
        <v>14</v>
      </c>
      <c r="G5500" t="s">
        <v>42</v>
      </c>
      <c r="H5500">
        <v>64</v>
      </c>
      <c r="I5500" t="s">
        <v>183</v>
      </c>
      <c r="J5500">
        <v>10062.77</v>
      </c>
      <c r="K5500" cm="1">
        <f t="array" ref="K5500">_xlfn.SWITCH(LeadsData[[#This Row],[Funnel Stage Reached]],"Lead",1,"MQL",2,"SQL",3,"Customer",4)</f>
        <v>4</v>
      </c>
      <c r="L5500" t="str">
        <f>TEXT(LeadsData[[#This Row],[Signup Date]],"mmm-yyyy")</f>
        <v>May-2024</v>
      </c>
      <c r="M5500">
        <f>IF(LeadsData[[#This Row],[Stage Number]]&gt;=2,1,0)</f>
        <v>1</v>
      </c>
      <c r="N5500" s="2">
        <f>IF(LeadsData[[#This Row],[Stage Number]]&gt;=3,1,0)</f>
        <v>1</v>
      </c>
      <c r="O5500" s="2">
        <f>IF(LeadsData[[#This Row],[Stage Number]]&gt;=4,1,0)</f>
        <v>1</v>
      </c>
    </row>
    <row r="5501" spans="1:15" x14ac:dyDescent="0.25">
      <c r="A5501" t="s">
        <v>5541</v>
      </c>
      <c r="B5501" s="1">
        <v>45446</v>
      </c>
      <c r="C5501" t="s">
        <v>17</v>
      </c>
      <c r="D5501" t="s">
        <v>53</v>
      </c>
      <c r="E5501" t="s">
        <v>21</v>
      </c>
      <c r="F5501" t="s">
        <v>19</v>
      </c>
      <c r="G5501" t="s">
        <v>23</v>
      </c>
      <c r="K5501" cm="1">
        <f t="array" ref="K5501">_xlfn.SWITCH(LeadsData[[#This Row],[Funnel Stage Reached]],"Lead",1,"MQL",2,"SQL",3,"Customer",4)</f>
        <v>2</v>
      </c>
      <c r="L5501" t="str">
        <f>TEXT(LeadsData[[#This Row],[Signup Date]],"mmm-yyyy")</f>
        <v>Jun-2024</v>
      </c>
      <c r="M5501">
        <f>IF(LeadsData[[#This Row],[Stage Number]]&gt;=2,1,0)</f>
        <v>1</v>
      </c>
      <c r="N5501" s="2">
        <f>IF(LeadsData[[#This Row],[Stage Number]]&gt;=3,1,0)</f>
        <v>0</v>
      </c>
      <c r="O5501" s="2">
        <f>IF(LeadsData[[#This Row],[Stage Number]]&gt;=4,1,0)</f>
        <v>0</v>
      </c>
    </row>
    <row r="5502" spans="1:15" x14ac:dyDescent="0.25">
      <c r="A5502" t="s">
        <v>5542</v>
      </c>
      <c r="B5502" s="1">
        <v>45422</v>
      </c>
      <c r="C5502" t="s">
        <v>46</v>
      </c>
      <c r="D5502" t="s">
        <v>47</v>
      </c>
      <c r="E5502" t="s">
        <v>21</v>
      </c>
      <c r="F5502" t="s">
        <v>19</v>
      </c>
      <c r="G5502" t="s">
        <v>15</v>
      </c>
      <c r="K5502" cm="1">
        <f t="array" ref="K5502">_xlfn.SWITCH(LeadsData[[#This Row],[Funnel Stage Reached]],"Lead",1,"MQL",2,"SQL",3,"Customer",4)</f>
        <v>1</v>
      </c>
      <c r="L5502" t="str">
        <f>TEXT(LeadsData[[#This Row],[Signup Date]],"mmm-yyyy")</f>
        <v>May-2024</v>
      </c>
      <c r="M5502">
        <f>IF(LeadsData[[#This Row],[Stage Number]]&gt;=2,1,0)</f>
        <v>0</v>
      </c>
      <c r="N5502" s="2">
        <f>IF(LeadsData[[#This Row],[Stage Number]]&gt;=3,1,0)</f>
        <v>0</v>
      </c>
      <c r="O5502" s="2">
        <f>IF(LeadsData[[#This Row],[Stage Number]]&gt;=4,1,0)</f>
        <v>0</v>
      </c>
    </row>
    <row r="5503" spans="1:15" x14ac:dyDescent="0.25">
      <c r="A5503" t="s">
        <v>5543</v>
      </c>
      <c r="B5503" s="1">
        <v>45488</v>
      </c>
      <c r="C5503" t="s">
        <v>36</v>
      </c>
      <c r="D5503" t="s">
        <v>37</v>
      </c>
      <c r="E5503" t="s">
        <v>21</v>
      </c>
      <c r="F5503" t="s">
        <v>19</v>
      </c>
      <c r="G5503" t="s">
        <v>29</v>
      </c>
      <c r="K5503" cm="1">
        <f t="array" ref="K5503">_xlfn.SWITCH(LeadsData[[#This Row],[Funnel Stage Reached]],"Lead",1,"MQL",2,"SQL",3,"Customer",4)</f>
        <v>3</v>
      </c>
      <c r="L5503" t="str">
        <f>TEXT(LeadsData[[#This Row],[Signup Date]],"mmm-yyyy")</f>
        <v>Jul-2024</v>
      </c>
      <c r="M5503">
        <f>IF(LeadsData[[#This Row],[Stage Number]]&gt;=2,1,0)</f>
        <v>1</v>
      </c>
      <c r="N5503" s="2">
        <f>IF(LeadsData[[#This Row],[Stage Number]]&gt;=3,1,0)</f>
        <v>1</v>
      </c>
      <c r="O5503" s="2">
        <f>IF(LeadsData[[#This Row],[Stage Number]]&gt;=4,1,0)</f>
        <v>0</v>
      </c>
    </row>
    <row r="5504" spans="1:15" x14ac:dyDescent="0.25">
      <c r="A5504" t="s">
        <v>5544</v>
      </c>
      <c r="B5504" s="1">
        <v>45349</v>
      </c>
      <c r="C5504" t="s">
        <v>31</v>
      </c>
      <c r="D5504" t="s">
        <v>34</v>
      </c>
      <c r="E5504" t="s">
        <v>21</v>
      </c>
      <c r="F5504" t="s">
        <v>22</v>
      </c>
      <c r="G5504" t="s">
        <v>29</v>
      </c>
      <c r="K5504" cm="1">
        <f t="array" ref="K5504">_xlfn.SWITCH(LeadsData[[#This Row],[Funnel Stage Reached]],"Lead",1,"MQL",2,"SQL",3,"Customer",4)</f>
        <v>3</v>
      </c>
      <c r="L5504" t="str">
        <f>TEXT(LeadsData[[#This Row],[Signup Date]],"mmm-yyyy")</f>
        <v>Feb-2024</v>
      </c>
      <c r="M5504">
        <f>IF(LeadsData[[#This Row],[Stage Number]]&gt;=2,1,0)</f>
        <v>1</v>
      </c>
      <c r="N5504" s="2">
        <f>IF(LeadsData[[#This Row],[Stage Number]]&gt;=3,1,0)</f>
        <v>1</v>
      </c>
      <c r="O5504" s="2">
        <f>IF(LeadsData[[#This Row],[Stage Number]]&gt;=4,1,0)</f>
        <v>0</v>
      </c>
    </row>
    <row r="5505" spans="1:15" x14ac:dyDescent="0.25">
      <c r="A5505" t="s">
        <v>5545</v>
      </c>
      <c r="B5505" s="1">
        <v>45374</v>
      </c>
      <c r="C5505" t="s">
        <v>46</v>
      </c>
      <c r="D5505" t="s">
        <v>56</v>
      </c>
      <c r="E5505" t="s">
        <v>13</v>
      </c>
      <c r="F5505" t="s">
        <v>22</v>
      </c>
      <c r="G5505" t="s">
        <v>29</v>
      </c>
      <c r="K5505" cm="1">
        <f t="array" ref="K5505">_xlfn.SWITCH(LeadsData[[#This Row],[Funnel Stage Reached]],"Lead",1,"MQL",2,"SQL",3,"Customer",4)</f>
        <v>3</v>
      </c>
      <c r="L5505" t="str">
        <f>TEXT(LeadsData[[#This Row],[Signup Date]],"mmm-yyyy")</f>
        <v>Mar-2024</v>
      </c>
      <c r="M5505">
        <f>IF(LeadsData[[#This Row],[Stage Number]]&gt;=2,1,0)</f>
        <v>1</v>
      </c>
      <c r="N5505" s="2">
        <f>IF(LeadsData[[#This Row],[Stage Number]]&gt;=3,1,0)</f>
        <v>1</v>
      </c>
      <c r="O5505" s="2">
        <f>IF(LeadsData[[#This Row],[Stage Number]]&gt;=4,1,0)</f>
        <v>0</v>
      </c>
    </row>
    <row r="5506" spans="1:15" x14ac:dyDescent="0.25">
      <c r="A5506" t="s">
        <v>5546</v>
      </c>
      <c r="B5506" s="1">
        <v>45608</v>
      </c>
      <c r="C5506" t="s">
        <v>36</v>
      </c>
      <c r="D5506" t="s">
        <v>37</v>
      </c>
      <c r="E5506" t="s">
        <v>21</v>
      </c>
      <c r="F5506" t="s">
        <v>22</v>
      </c>
      <c r="G5506" t="s">
        <v>23</v>
      </c>
      <c r="K5506" cm="1">
        <f t="array" ref="K5506">_xlfn.SWITCH(LeadsData[[#This Row],[Funnel Stage Reached]],"Lead",1,"MQL",2,"SQL",3,"Customer",4)</f>
        <v>2</v>
      </c>
      <c r="L5506" t="str">
        <f>TEXT(LeadsData[[#This Row],[Signup Date]],"mmm-yyyy")</f>
        <v>Nov-2024</v>
      </c>
      <c r="M5506">
        <f>IF(LeadsData[[#This Row],[Stage Number]]&gt;=2,1,0)</f>
        <v>1</v>
      </c>
      <c r="N5506" s="2">
        <f>IF(LeadsData[[#This Row],[Stage Number]]&gt;=3,1,0)</f>
        <v>0</v>
      </c>
      <c r="O5506" s="2">
        <f>IF(LeadsData[[#This Row],[Stage Number]]&gt;=4,1,0)</f>
        <v>0</v>
      </c>
    </row>
    <row r="5507" spans="1:15" x14ac:dyDescent="0.25">
      <c r="A5507" t="s">
        <v>5547</v>
      </c>
      <c r="B5507" s="1">
        <v>45416</v>
      </c>
      <c r="C5507" t="s">
        <v>11</v>
      </c>
      <c r="D5507" t="s">
        <v>12</v>
      </c>
      <c r="E5507" t="s">
        <v>48</v>
      </c>
      <c r="F5507" t="s">
        <v>19</v>
      </c>
      <c r="G5507" t="s">
        <v>15</v>
      </c>
      <c r="K5507" cm="1">
        <f t="array" ref="K5507">_xlfn.SWITCH(LeadsData[[#This Row],[Funnel Stage Reached]],"Lead",1,"MQL",2,"SQL",3,"Customer",4)</f>
        <v>1</v>
      </c>
      <c r="L5507" t="str">
        <f>TEXT(LeadsData[[#This Row],[Signup Date]],"mmm-yyyy")</f>
        <v>May-2024</v>
      </c>
      <c r="M5507">
        <f>IF(LeadsData[[#This Row],[Stage Number]]&gt;=2,1,0)</f>
        <v>0</v>
      </c>
      <c r="N5507" s="2">
        <f>IF(LeadsData[[#This Row],[Stage Number]]&gt;=3,1,0)</f>
        <v>0</v>
      </c>
      <c r="O5507" s="2">
        <f>IF(LeadsData[[#This Row],[Stage Number]]&gt;=4,1,0)</f>
        <v>0</v>
      </c>
    </row>
    <row r="5508" spans="1:15" x14ac:dyDescent="0.25">
      <c r="A5508" t="s">
        <v>5548</v>
      </c>
      <c r="B5508" s="1">
        <v>45370</v>
      </c>
      <c r="C5508" t="s">
        <v>46</v>
      </c>
      <c r="D5508" t="s">
        <v>47</v>
      </c>
      <c r="E5508" t="s">
        <v>13</v>
      </c>
      <c r="F5508" t="s">
        <v>22</v>
      </c>
      <c r="G5508" t="s">
        <v>15</v>
      </c>
      <c r="K5508" cm="1">
        <f t="array" ref="K5508">_xlfn.SWITCH(LeadsData[[#This Row],[Funnel Stage Reached]],"Lead",1,"MQL",2,"SQL",3,"Customer",4)</f>
        <v>1</v>
      </c>
      <c r="L5508" t="str">
        <f>TEXT(LeadsData[[#This Row],[Signup Date]],"mmm-yyyy")</f>
        <v>Mar-2024</v>
      </c>
      <c r="M5508">
        <f>IF(LeadsData[[#This Row],[Stage Number]]&gt;=2,1,0)</f>
        <v>0</v>
      </c>
      <c r="N5508" s="2">
        <f>IF(LeadsData[[#This Row],[Stage Number]]&gt;=3,1,0)</f>
        <v>0</v>
      </c>
      <c r="O5508" s="2">
        <f>IF(LeadsData[[#This Row],[Stage Number]]&gt;=4,1,0)</f>
        <v>0</v>
      </c>
    </row>
    <row r="5509" spans="1:15" x14ac:dyDescent="0.25">
      <c r="A5509" t="s">
        <v>5549</v>
      </c>
      <c r="B5509" s="1">
        <v>45479</v>
      </c>
      <c r="C5509" t="s">
        <v>11</v>
      </c>
      <c r="D5509" t="s">
        <v>68</v>
      </c>
      <c r="E5509" t="s">
        <v>48</v>
      </c>
      <c r="F5509" t="s">
        <v>22</v>
      </c>
      <c r="G5509" t="s">
        <v>15</v>
      </c>
      <c r="K5509" cm="1">
        <f t="array" ref="K5509">_xlfn.SWITCH(LeadsData[[#This Row],[Funnel Stage Reached]],"Lead",1,"MQL",2,"SQL",3,"Customer",4)</f>
        <v>1</v>
      </c>
      <c r="L5509" t="str">
        <f>TEXT(LeadsData[[#This Row],[Signup Date]],"mmm-yyyy")</f>
        <v>Jul-2024</v>
      </c>
      <c r="M5509">
        <f>IF(LeadsData[[#This Row],[Stage Number]]&gt;=2,1,0)</f>
        <v>0</v>
      </c>
      <c r="N5509" s="2">
        <f>IF(LeadsData[[#This Row],[Stage Number]]&gt;=3,1,0)</f>
        <v>0</v>
      </c>
      <c r="O5509" s="2">
        <f>IF(LeadsData[[#This Row],[Stage Number]]&gt;=4,1,0)</f>
        <v>0</v>
      </c>
    </row>
    <row r="5510" spans="1:15" x14ac:dyDescent="0.25">
      <c r="A5510" t="s">
        <v>5550</v>
      </c>
      <c r="B5510" s="1">
        <v>45390</v>
      </c>
      <c r="C5510" t="s">
        <v>31</v>
      </c>
      <c r="D5510" t="s">
        <v>32</v>
      </c>
      <c r="E5510" t="s">
        <v>21</v>
      </c>
      <c r="F5510" t="s">
        <v>19</v>
      </c>
      <c r="G5510" t="s">
        <v>23</v>
      </c>
      <c r="K5510" cm="1">
        <f t="array" ref="K5510">_xlfn.SWITCH(LeadsData[[#This Row],[Funnel Stage Reached]],"Lead",1,"MQL",2,"SQL",3,"Customer",4)</f>
        <v>2</v>
      </c>
      <c r="L5510" t="str">
        <f>TEXT(LeadsData[[#This Row],[Signup Date]],"mmm-yyyy")</f>
        <v>Apr-2024</v>
      </c>
      <c r="M5510">
        <f>IF(LeadsData[[#This Row],[Stage Number]]&gt;=2,1,0)</f>
        <v>1</v>
      </c>
      <c r="N5510" s="2">
        <f>IF(LeadsData[[#This Row],[Stage Number]]&gt;=3,1,0)</f>
        <v>0</v>
      </c>
      <c r="O5510" s="2">
        <f>IF(LeadsData[[#This Row],[Stage Number]]&gt;=4,1,0)</f>
        <v>0</v>
      </c>
    </row>
    <row r="5511" spans="1:15" x14ac:dyDescent="0.25">
      <c r="A5511" t="s">
        <v>5551</v>
      </c>
      <c r="B5511" s="1">
        <v>45597</v>
      </c>
      <c r="C5511" t="s">
        <v>17</v>
      </c>
      <c r="D5511" t="s">
        <v>53</v>
      </c>
      <c r="E5511" t="s">
        <v>21</v>
      </c>
      <c r="F5511" t="s">
        <v>19</v>
      </c>
      <c r="G5511" t="s">
        <v>15</v>
      </c>
      <c r="K5511" cm="1">
        <f t="array" ref="K5511">_xlfn.SWITCH(LeadsData[[#This Row],[Funnel Stage Reached]],"Lead",1,"MQL",2,"SQL",3,"Customer",4)</f>
        <v>1</v>
      </c>
      <c r="L5511" t="str">
        <f>TEXT(LeadsData[[#This Row],[Signup Date]],"mmm-yyyy")</f>
        <v>Nov-2024</v>
      </c>
      <c r="M5511">
        <f>IF(LeadsData[[#This Row],[Stage Number]]&gt;=2,1,0)</f>
        <v>0</v>
      </c>
      <c r="N5511" s="2">
        <f>IF(LeadsData[[#This Row],[Stage Number]]&gt;=3,1,0)</f>
        <v>0</v>
      </c>
      <c r="O5511" s="2">
        <f>IF(LeadsData[[#This Row],[Stage Number]]&gt;=4,1,0)</f>
        <v>0</v>
      </c>
    </row>
    <row r="5512" spans="1:15" x14ac:dyDescent="0.25">
      <c r="A5512" t="s">
        <v>5552</v>
      </c>
      <c r="B5512" s="1">
        <v>45563</v>
      </c>
      <c r="C5512" t="s">
        <v>31</v>
      </c>
      <c r="D5512" t="s">
        <v>32</v>
      </c>
      <c r="E5512" t="s">
        <v>13</v>
      </c>
      <c r="F5512" t="s">
        <v>14</v>
      </c>
      <c r="G5512" t="s">
        <v>23</v>
      </c>
      <c r="K5512" cm="1">
        <f t="array" ref="K5512">_xlfn.SWITCH(LeadsData[[#This Row],[Funnel Stage Reached]],"Lead",1,"MQL",2,"SQL",3,"Customer",4)</f>
        <v>2</v>
      </c>
      <c r="L5512" t="str">
        <f>TEXT(LeadsData[[#This Row],[Signup Date]],"mmm-yyyy")</f>
        <v>Sep-2024</v>
      </c>
      <c r="M5512">
        <f>IF(LeadsData[[#This Row],[Stage Number]]&gt;=2,1,0)</f>
        <v>1</v>
      </c>
      <c r="N5512" s="2">
        <f>IF(LeadsData[[#This Row],[Stage Number]]&gt;=3,1,0)</f>
        <v>0</v>
      </c>
      <c r="O5512" s="2">
        <f>IF(LeadsData[[#This Row],[Stage Number]]&gt;=4,1,0)</f>
        <v>0</v>
      </c>
    </row>
    <row r="5513" spans="1:15" x14ac:dyDescent="0.25">
      <c r="A5513" t="s">
        <v>5553</v>
      </c>
      <c r="B5513" s="1">
        <v>45614</v>
      </c>
      <c r="C5513" t="s">
        <v>17</v>
      </c>
      <c r="D5513" t="s">
        <v>18</v>
      </c>
      <c r="E5513" t="s">
        <v>21</v>
      </c>
      <c r="F5513" t="s">
        <v>22</v>
      </c>
      <c r="G5513" t="s">
        <v>29</v>
      </c>
      <c r="K5513" cm="1">
        <f t="array" ref="K5513">_xlfn.SWITCH(LeadsData[[#This Row],[Funnel Stage Reached]],"Lead",1,"MQL",2,"SQL",3,"Customer",4)</f>
        <v>3</v>
      </c>
      <c r="L5513" t="str">
        <f>TEXT(LeadsData[[#This Row],[Signup Date]],"mmm-yyyy")</f>
        <v>Nov-2024</v>
      </c>
      <c r="M5513">
        <f>IF(LeadsData[[#This Row],[Stage Number]]&gt;=2,1,0)</f>
        <v>1</v>
      </c>
      <c r="N5513" s="2">
        <f>IF(LeadsData[[#This Row],[Stage Number]]&gt;=3,1,0)</f>
        <v>1</v>
      </c>
      <c r="O5513" s="2">
        <f>IF(LeadsData[[#This Row],[Stage Number]]&gt;=4,1,0)</f>
        <v>0</v>
      </c>
    </row>
    <row r="5514" spans="1:15" x14ac:dyDescent="0.25">
      <c r="A5514" t="s">
        <v>5554</v>
      </c>
      <c r="B5514" s="1">
        <v>45387</v>
      </c>
      <c r="C5514" t="s">
        <v>11</v>
      </c>
      <c r="D5514" t="s">
        <v>12</v>
      </c>
      <c r="E5514" t="s">
        <v>13</v>
      </c>
      <c r="F5514" t="s">
        <v>19</v>
      </c>
      <c r="G5514" t="s">
        <v>23</v>
      </c>
      <c r="K5514" cm="1">
        <f t="array" ref="K5514">_xlfn.SWITCH(LeadsData[[#This Row],[Funnel Stage Reached]],"Lead",1,"MQL",2,"SQL",3,"Customer",4)</f>
        <v>2</v>
      </c>
      <c r="L5514" t="str">
        <f>TEXT(LeadsData[[#This Row],[Signup Date]],"mmm-yyyy")</f>
        <v>Apr-2024</v>
      </c>
      <c r="M5514">
        <f>IF(LeadsData[[#This Row],[Stage Number]]&gt;=2,1,0)</f>
        <v>1</v>
      </c>
      <c r="N5514" s="2">
        <f>IF(LeadsData[[#This Row],[Stage Number]]&gt;=3,1,0)</f>
        <v>0</v>
      </c>
      <c r="O5514" s="2">
        <f>IF(LeadsData[[#This Row],[Stage Number]]&gt;=4,1,0)</f>
        <v>0</v>
      </c>
    </row>
    <row r="5515" spans="1:15" x14ac:dyDescent="0.25">
      <c r="A5515" t="s">
        <v>5555</v>
      </c>
      <c r="B5515" s="1">
        <v>45583</v>
      </c>
      <c r="C5515" t="s">
        <v>36</v>
      </c>
      <c r="D5515" t="s">
        <v>37</v>
      </c>
      <c r="E5515" t="s">
        <v>13</v>
      </c>
      <c r="F5515" t="s">
        <v>19</v>
      </c>
      <c r="G5515" t="s">
        <v>15</v>
      </c>
      <c r="K5515" cm="1">
        <f t="array" ref="K5515">_xlfn.SWITCH(LeadsData[[#This Row],[Funnel Stage Reached]],"Lead",1,"MQL",2,"SQL",3,"Customer",4)</f>
        <v>1</v>
      </c>
      <c r="L5515" t="str">
        <f>TEXT(LeadsData[[#This Row],[Signup Date]],"mmm-yyyy")</f>
        <v>Oct-2024</v>
      </c>
      <c r="M5515">
        <f>IF(LeadsData[[#This Row],[Stage Number]]&gt;=2,1,0)</f>
        <v>0</v>
      </c>
      <c r="N5515" s="2">
        <f>IF(LeadsData[[#This Row],[Stage Number]]&gt;=3,1,0)</f>
        <v>0</v>
      </c>
      <c r="O5515" s="2">
        <f>IF(LeadsData[[#This Row],[Stage Number]]&gt;=4,1,0)</f>
        <v>0</v>
      </c>
    </row>
    <row r="5516" spans="1:15" x14ac:dyDescent="0.25">
      <c r="A5516" t="s">
        <v>5556</v>
      </c>
      <c r="B5516" s="1">
        <v>45309</v>
      </c>
      <c r="C5516" t="s">
        <v>31</v>
      </c>
      <c r="D5516" t="s">
        <v>32</v>
      </c>
      <c r="E5516" t="s">
        <v>21</v>
      </c>
      <c r="F5516" t="s">
        <v>19</v>
      </c>
      <c r="G5516" t="s">
        <v>15</v>
      </c>
      <c r="K5516" cm="1">
        <f t="array" ref="K5516">_xlfn.SWITCH(LeadsData[[#This Row],[Funnel Stage Reached]],"Lead",1,"MQL",2,"SQL",3,"Customer",4)</f>
        <v>1</v>
      </c>
      <c r="L5516" t="str">
        <f>TEXT(LeadsData[[#This Row],[Signup Date]],"mmm-yyyy")</f>
        <v>Jan-2024</v>
      </c>
      <c r="M5516">
        <f>IF(LeadsData[[#This Row],[Stage Number]]&gt;=2,1,0)</f>
        <v>0</v>
      </c>
      <c r="N5516" s="2">
        <f>IF(LeadsData[[#This Row],[Stage Number]]&gt;=3,1,0)</f>
        <v>0</v>
      </c>
      <c r="O5516" s="2">
        <f>IF(LeadsData[[#This Row],[Stage Number]]&gt;=4,1,0)</f>
        <v>0</v>
      </c>
    </row>
    <row r="5517" spans="1:15" x14ac:dyDescent="0.25">
      <c r="A5517" t="s">
        <v>5557</v>
      </c>
      <c r="B5517" s="1">
        <v>45513</v>
      </c>
      <c r="C5517" t="s">
        <v>11</v>
      </c>
      <c r="D5517" t="s">
        <v>68</v>
      </c>
      <c r="E5517" t="s">
        <v>13</v>
      </c>
      <c r="F5517" t="s">
        <v>19</v>
      </c>
      <c r="G5517" t="s">
        <v>15</v>
      </c>
      <c r="K5517" cm="1">
        <f t="array" ref="K5517">_xlfn.SWITCH(LeadsData[[#This Row],[Funnel Stage Reached]],"Lead",1,"MQL",2,"SQL",3,"Customer",4)</f>
        <v>1</v>
      </c>
      <c r="L5517" t="str">
        <f>TEXT(LeadsData[[#This Row],[Signup Date]],"mmm-yyyy")</f>
        <v>Aug-2024</v>
      </c>
      <c r="M5517">
        <f>IF(LeadsData[[#This Row],[Stage Number]]&gt;=2,1,0)</f>
        <v>0</v>
      </c>
      <c r="N5517" s="2">
        <f>IF(LeadsData[[#This Row],[Stage Number]]&gt;=3,1,0)</f>
        <v>0</v>
      </c>
      <c r="O5517" s="2">
        <f>IF(LeadsData[[#This Row],[Stage Number]]&gt;=4,1,0)</f>
        <v>0</v>
      </c>
    </row>
    <row r="5518" spans="1:15" x14ac:dyDescent="0.25">
      <c r="A5518" t="s">
        <v>5558</v>
      </c>
      <c r="B5518" s="1">
        <v>45558</v>
      </c>
      <c r="C5518" t="s">
        <v>11</v>
      </c>
      <c r="D5518" t="s">
        <v>79</v>
      </c>
      <c r="E5518" t="s">
        <v>21</v>
      </c>
      <c r="F5518" t="s">
        <v>22</v>
      </c>
      <c r="G5518" t="s">
        <v>23</v>
      </c>
      <c r="K5518" cm="1">
        <f t="array" ref="K5518">_xlfn.SWITCH(LeadsData[[#This Row],[Funnel Stage Reached]],"Lead",1,"MQL",2,"SQL",3,"Customer",4)</f>
        <v>2</v>
      </c>
      <c r="L5518" t="str">
        <f>TEXT(LeadsData[[#This Row],[Signup Date]],"mmm-yyyy")</f>
        <v>Sep-2024</v>
      </c>
      <c r="M5518">
        <f>IF(LeadsData[[#This Row],[Stage Number]]&gt;=2,1,0)</f>
        <v>1</v>
      </c>
      <c r="N5518" s="2">
        <f>IF(LeadsData[[#This Row],[Stage Number]]&gt;=3,1,0)</f>
        <v>0</v>
      </c>
      <c r="O5518" s="2">
        <f>IF(LeadsData[[#This Row],[Stage Number]]&gt;=4,1,0)</f>
        <v>0</v>
      </c>
    </row>
    <row r="5519" spans="1:15" x14ac:dyDescent="0.25">
      <c r="A5519" t="s">
        <v>5559</v>
      </c>
      <c r="B5519" s="1">
        <v>45328</v>
      </c>
      <c r="C5519" t="s">
        <v>11</v>
      </c>
      <c r="D5519" t="s">
        <v>68</v>
      </c>
      <c r="E5519" t="s">
        <v>13</v>
      </c>
      <c r="F5519" t="s">
        <v>22</v>
      </c>
      <c r="G5519" t="s">
        <v>23</v>
      </c>
      <c r="K5519" cm="1">
        <f t="array" ref="K5519">_xlfn.SWITCH(LeadsData[[#This Row],[Funnel Stage Reached]],"Lead",1,"MQL",2,"SQL",3,"Customer",4)</f>
        <v>2</v>
      </c>
      <c r="L5519" t="str">
        <f>TEXT(LeadsData[[#This Row],[Signup Date]],"mmm-yyyy")</f>
        <v>Feb-2024</v>
      </c>
      <c r="M5519">
        <f>IF(LeadsData[[#This Row],[Stage Number]]&gt;=2,1,0)</f>
        <v>1</v>
      </c>
      <c r="N5519" s="2">
        <f>IF(LeadsData[[#This Row],[Stage Number]]&gt;=3,1,0)</f>
        <v>0</v>
      </c>
      <c r="O5519" s="2">
        <f>IF(LeadsData[[#This Row],[Stage Number]]&gt;=4,1,0)</f>
        <v>0</v>
      </c>
    </row>
    <row r="5520" spans="1:15" x14ac:dyDescent="0.25">
      <c r="A5520" t="s">
        <v>5560</v>
      </c>
      <c r="B5520" s="1">
        <v>45480</v>
      </c>
      <c r="C5520" t="s">
        <v>36</v>
      </c>
      <c r="D5520" t="s">
        <v>37</v>
      </c>
      <c r="E5520" t="s">
        <v>21</v>
      </c>
      <c r="F5520" t="s">
        <v>22</v>
      </c>
      <c r="G5520" t="s">
        <v>15</v>
      </c>
      <c r="K5520" cm="1">
        <f t="array" ref="K5520">_xlfn.SWITCH(LeadsData[[#This Row],[Funnel Stage Reached]],"Lead",1,"MQL",2,"SQL",3,"Customer",4)</f>
        <v>1</v>
      </c>
      <c r="L5520" t="str">
        <f>TEXT(LeadsData[[#This Row],[Signup Date]],"mmm-yyyy")</f>
        <v>Jul-2024</v>
      </c>
      <c r="M5520">
        <f>IF(LeadsData[[#This Row],[Stage Number]]&gt;=2,1,0)</f>
        <v>0</v>
      </c>
      <c r="N5520" s="2">
        <f>IF(LeadsData[[#This Row],[Stage Number]]&gt;=3,1,0)</f>
        <v>0</v>
      </c>
      <c r="O5520" s="2">
        <f>IF(LeadsData[[#This Row],[Stage Number]]&gt;=4,1,0)</f>
        <v>0</v>
      </c>
    </row>
    <row r="5521" spans="1:15" x14ac:dyDescent="0.25">
      <c r="A5521" t="s">
        <v>5561</v>
      </c>
      <c r="B5521" s="1">
        <v>45591</v>
      </c>
      <c r="C5521" t="s">
        <v>36</v>
      </c>
      <c r="D5521" t="s">
        <v>37</v>
      </c>
      <c r="E5521" t="s">
        <v>13</v>
      </c>
      <c r="F5521" t="s">
        <v>19</v>
      </c>
      <c r="G5521" t="s">
        <v>15</v>
      </c>
      <c r="K5521" cm="1">
        <f t="array" ref="K5521">_xlfn.SWITCH(LeadsData[[#This Row],[Funnel Stage Reached]],"Lead",1,"MQL",2,"SQL",3,"Customer",4)</f>
        <v>1</v>
      </c>
      <c r="L5521" t="str">
        <f>TEXT(LeadsData[[#This Row],[Signup Date]],"mmm-yyyy")</f>
        <v>Oct-2024</v>
      </c>
      <c r="M5521">
        <f>IF(LeadsData[[#This Row],[Stage Number]]&gt;=2,1,0)</f>
        <v>0</v>
      </c>
      <c r="N5521" s="2">
        <f>IF(LeadsData[[#This Row],[Stage Number]]&gt;=3,1,0)</f>
        <v>0</v>
      </c>
      <c r="O5521" s="2">
        <f>IF(LeadsData[[#This Row],[Stage Number]]&gt;=4,1,0)</f>
        <v>0</v>
      </c>
    </row>
    <row r="5522" spans="1:15" x14ac:dyDescent="0.25">
      <c r="A5522" t="s">
        <v>5562</v>
      </c>
      <c r="B5522" s="1">
        <v>45579</v>
      </c>
      <c r="C5522" t="s">
        <v>11</v>
      </c>
      <c r="D5522" t="s">
        <v>12</v>
      </c>
      <c r="E5522" t="s">
        <v>13</v>
      </c>
      <c r="F5522" t="s">
        <v>22</v>
      </c>
      <c r="G5522" t="s">
        <v>15</v>
      </c>
      <c r="K5522" cm="1">
        <f t="array" ref="K5522">_xlfn.SWITCH(LeadsData[[#This Row],[Funnel Stage Reached]],"Lead",1,"MQL",2,"SQL",3,"Customer",4)</f>
        <v>1</v>
      </c>
      <c r="L5522" t="str">
        <f>TEXT(LeadsData[[#This Row],[Signup Date]],"mmm-yyyy")</f>
        <v>Oct-2024</v>
      </c>
      <c r="M5522">
        <f>IF(LeadsData[[#This Row],[Stage Number]]&gt;=2,1,0)</f>
        <v>0</v>
      </c>
      <c r="N5522" s="2">
        <f>IF(LeadsData[[#This Row],[Stage Number]]&gt;=3,1,0)</f>
        <v>0</v>
      </c>
      <c r="O5522" s="2">
        <f>IF(LeadsData[[#This Row],[Stage Number]]&gt;=4,1,0)</f>
        <v>0</v>
      </c>
    </row>
    <row r="5523" spans="1:15" x14ac:dyDescent="0.25">
      <c r="A5523" t="s">
        <v>5563</v>
      </c>
      <c r="B5523" s="1">
        <v>45364</v>
      </c>
      <c r="C5523" t="s">
        <v>46</v>
      </c>
      <c r="D5523" t="s">
        <v>56</v>
      </c>
      <c r="E5523" t="s">
        <v>13</v>
      </c>
      <c r="F5523" t="s">
        <v>19</v>
      </c>
      <c r="G5523" t="s">
        <v>23</v>
      </c>
      <c r="K5523" cm="1">
        <f t="array" ref="K5523">_xlfn.SWITCH(LeadsData[[#This Row],[Funnel Stage Reached]],"Lead",1,"MQL",2,"SQL",3,"Customer",4)</f>
        <v>2</v>
      </c>
      <c r="L5523" t="str">
        <f>TEXT(LeadsData[[#This Row],[Signup Date]],"mmm-yyyy")</f>
        <v>Mar-2024</v>
      </c>
      <c r="M5523">
        <f>IF(LeadsData[[#This Row],[Stage Number]]&gt;=2,1,0)</f>
        <v>1</v>
      </c>
      <c r="N5523" s="2">
        <f>IF(LeadsData[[#This Row],[Stage Number]]&gt;=3,1,0)</f>
        <v>0</v>
      </c>
      <c r="O5523" s="2">
        <f>IF(LeadsData[[#This Row],[Stage Number]]&gt;=4,1,0)</f>
        <v>0</v>
      </c>
    </row>
    <row r="5524" spans="1:15" x14ac:dyDescent="0.25">
      <c r="A5524" t="s">
        <v>5564</v>
      </c>
      <c r="B5524" s="1">
        <v>45627</v>
      </c>
      <c r="C5524" t="s">
        <v>11</v>
      </c>
      <c r="D5524" t="s">
        <v>68</v>
      </c>
      <c r="E5524" t="s">
        <v>48</v>
      </c>
      <c r="F5524" t="s">
        <v>28</v>
      </c>
      <c r="G5524" t="s">
        <v>23</v>
      </c>
      <c r="K5524" cm="1">
        <f t="array" ref="K5524">_xlfn.SWITCH(LeadsData[[#This Row],[Funnel Stage Reached]],"Lead",1,"MQL",2,"SQL",3,"Customer",4)</f>
        <v>2</v>
      </c>
      <c r="L5524" t="str">
        <f>TEXT(LeadsData[[#This Row],[Signup Date]],"mmm-yyyy")</f>
        <v>Dec-2024</v>
      </c>
      <c r="M5524">
        <f>IF(LeadsData[[#This Row],[Stage Number]]&gt;=2,1,0)</f>
        <v>1</v>
      </c>
      <c r="N5524" s="2">
        <f>IF(LeadsData[[#This Row],[Stage Number]]&gt;=3,1,0)</f>
        <v>0</v>
      </c>
      <c r="O5524" s="2">
        <f>IF(LeadsData[[#This Row],[Stage Number]]&gt;=4,1,0)</f>
        <v>0</v>
      </c>
    </row>
    <row r="5525" spans="1:15" x14ac:dyDescent="0.25">
      <c r="A5525" t="s">
        <v>5565</v>
      </c>
      <c r="B5525" s="1">
        <v>45421</v>
      </c>
      <c r="C5525" t="s">
        <v>17</v>
      </c>
      <c r="D5525" t="s">
        <v>53</v>
      </c>
      <c r="E5525" t="s">
        <v>13</v>
      </c>
      <c r="F5525" t="s">
        <v>19</v>
      </c>
      <c r="G5525" t="s">
        <v>15</v>
      </c>
      <c r="K5525" cm="1">
        <f t="array" ref="K5525">_xlfn.SWITCH(LeadsData[[#This Row],[Funnel Stage Reached]],"Lead",1,"MQL",2,"SQL",3,"Customer",4)</f>
        <v>1</v>
      </c>
      <c r="L5525" t="str">
        <f>TEXT(LeadsData[[#This Row],[Signup Date]],"mmm-yyyy")</f>
        <v>May-2024</v>
      </c>
      <c r="M5525">
        <f>IF(LeadsData[[#This Row],[Stage Number]]&gt;=2,1,0)</f>
        <v>0</v>
      </c>
      <c r="N5525" s="2">
        <f>IF(LeadsData[[#This Row],[Stage Number]]&gt;=3,1,0)</f>
        <v>0</v>
      </c>
      <c r="O5525" s="2">
        <f>IF(LeadsData[[#This Row],[Stage Number]]&gt;=4,1,0)</f>
        <v>0</v>
      </c>
    </row>
    <row r="5526" spans="1:15" x14ac:dyDescent="0.25">
      <c r="A5526" t="s">
        <v>5566</v>
      </c>
      <c r="B5526" s="1">
        <v>45466</v>
      </c>
      <c r="C5526" t="s">
        <v>17</v>
      </c>
      <c r="D5526" t="s">
        <v>18</v>
      </c>
      <c r="E5526" t="s">
        <v>13</v>
      </c>
      <c r="F5526" t="s">
        <v>19</v>
      </c>
      <c r="G5526" t="s">
        <v>42</v>
      </c>
      <c r="H5526">
        <v>65</v>
      </c>
      <c r="I5526" t="s">
        <v>43</v>
      </c>
      <c r="J5526">
        <v>1221.25</v>
      </c>
      <c r="K5526" cm="1">
        <f t="array" ref="K5526">_xlfn.SWITCH(LeadsData[[#This Row],[Funnel Stage Reached]],"Lead",1,"MQL",2,"SQL",3,"Customer",4)</f>
        <v>4</v>
      </c>
      <c r="L5526" t="str">
        <f>TEXT(LeadsData[[#This Row],[Signup Date]],"mmm-yyyy")</f>
        <v>Jun-2024</v>
      </c>
      <c r="M5526">
        <f>IF(LeadsData[[#This Row],[Stage Number]]&gt;=2,1,0)</f>
        <v>1</v>
      </c>
      <c r="N5526" s="2">
        <f>IF(LeadsData[[#This Row],[Stage Number]]&gt;=3,1,0)</f>
        <v>1</v>
      </c>
      <c r="O5526" s="2">
        <f>IF(LeadsData[[#This Row],[Stage Number]]&gt;=4,1,0)</f>
        <v>1</v>
      </c>
    </row>
    <row r="5527" spans="1:15" x14ac:dyDescent="0.25">
      <c r="A5527" t="s">
        <v>5567</v>
      </c>
      <c r="B5527" s="1">
        <v>45586</v>
      </c>
      <c r="C5527" t="s">
        <v>17</v>
      </c>
      <c r="D5527" t="s">
        <v>53</v>
      </c>
      <c r="E5527" t="s">
        <v>21</v>
      </c>
      <c r="F5527" t="s">
        <v>14</v>
      </c>
      <c r="G5527" t="s">
        <v>29</v>
      </c>
      <c r="K5527" cm="1">
        <f t="array" ref="K5527">_xlfn.SWITCH(LeadsData[[#This Row],[Funnel Stage Reached]],"Lead",1,"MQL",2,"SQL",3,"Customer",4)</f>
        <v>3</v>
      </c>
      <c r="L5527" t="str">
        <f>TEXT(LeadsData[[#This Row],[Signup Date]],"mmm-yyyy")</f>
        <v>Oct-2024</v>
      </c>
      <c r="M5527">
        <f>IF(LeadsData[[#This Row],[Stage Number]]&gt;=2,1,0)</f>
        <v>1</v>
      </c>
      <c r="N5527" s="2">
        <f>IF(LeadsData[[#This Row],[Stage Number]]&gt;=3,1,0)</f>
        <v>1</v>
      </c>
      <c r="O5527" s="2">
        <f>IF(LeadsData[[#This Row],[Stage Number]]&gt;=4,1,0)</f>
        <v>0</v>
      </c>
    </row>
    <row r="5528" spans="1:15" x14ac:dyDescent="0.25">
      <c r="A5528" t="s">
        <v>5568</v>
      </c>
      <c r="B5528" s="1">
        <v>45570</v>
      </c>
      <c r="C5528" t="s">
        <v>31</v>
      </c>
      <c r="D5528" t="s">
        <v>34</v>
      </c>
      <c r="E5528" t="s">
        <v>21</v>
      </c>
      <c r="F5528" t="s">
        <v>14</v>
      </c>
      <c r="G5528" t="s">
        <v>29</v>
      </c>
      <c r="K5528" cm="1">
        <f t="array" ref="K5528">_xlfn.SWITCH(LeadsData[[#This Row],[Funnel Stage Reached]],"Lead",1,"MQL",2,"SQL",3,"Customer",4)</f>
        <v>3</v>
      </c>
      <c r="L5528" t="str">
        <f>TEXT(LeadsData[[#This Row],[Signup Date]],"mmm-yyyy")</f>
        <v>Oct-2024</v>
      </c>
      <c r="M5528">
        <f>IF(LeadsData[[#This Row],[Stage Number]]&gt;=2,1,0)</f>
        <v>1</v>
      </c>
      <c r="N5528" s="2">
        <f>IF(LeadsData[[#This Row],[Stage Number]]&gt;=3,1,0)</f>
        <v>1</v>
      </c>
      <c r="O5528" s="2">
        <f>IF(LeadsData[[#This Row],[Stage Number]]&gt;=4,1,0)</f>
        <v>0</v>
      </c>
    </row>
    <row r="5529" spans="1:15" x14ac:dyDescent="0.25">
      <c r="A5529" t="s">
        <v>5569</v>
      </c>
      <c r="B5529" s="1">
        <v>45608</v>
      </c>
      <c r="C5529" t="s">
        <v>36</v>
      </c>
      <c r="D5529" t="s">
        <v>37</v>
      </c>
      <c r="E5529" t="s">
        <v>21</v>
      </c>
      <c r="F5529" t="s">
        <v>22</v>
      </c>
      <c r="G5529" t="s">
        <v>15</v>
      </c>
      <c r="K5529" cm="1">
        <f t="array" ref="K5529">_xlfn.SWITCH(LeadsData[[#This Row],[Funnel Stage Reached]],"Lead",1,"MQL",2,"SQL",3,"Customer",4)</f>
        <v>1</v>
      </c>
      <c r="L5529" t="str">
        <f>TEXT(LeadsData[[#This Row],[Signup Date]],"mmm-yyyy")</f>
        <v>Nov-2024</v>
      </c>
      <c r="M5529">
        <f>IF(LeadsData[[#This Row],[Stage Number]]&gt;=2,1,0)</f>
        <v>0</v>
      </c>
      <c r="N5529" s="2">
        <f>IF(LeadsData[[#This Row],[Stage Number]]&gt;=3,1,0)</f>
        <v>0</v>
      </c>
      <c r="O5529" s="2">
        <f>IF(LeadsData[[#This Row],[Stage Number]]&gt;=4,1,0)</f>
        <v>0</v>
      </c>
    </row>
    <row r="5530" spans="1:15" x14ac:dyDescent="0.25">
      <c r="A5530" t="s">
        <v>5570</v>
      </c>
      <c r="B5530" s="1">
        <v>45652</v>
      </c>
      <c r="C5530" t="s">
        <v>17</v>
      </c>
      <c r="D5530" t="s">
        <v>53</v>
      </c>
      <c r="E5530" t="s">
        <v>13</v>
      </c>
      <c r="F5530" t="s">
        <v>19</v>
      </c>
      <c r="G5530" t="s">
        <v>23</v>
      </c>
      <c r="K5530" cm="1">
        <f t="array" ref="K5530">_xlfn.SWITCH(LeadsData[[#This Row],[Funnel Stage Reached]],"Lead",1,"MQL",2,"SQL",3,"Customer",4)</f>
        <v>2</v>
      </c>
      <c r="L5530" t="str">
        <f>TEXT(LeadsData[[#This Row],[Signup Date]],"mmm-yyyy")</f>
        <v>Dec-2024</v>
      </c>
      <c r="M5530">
        <f>IF(LeadsData[[#This Row],[Stage Number]]&gt;=2,1,0)</f>
        <v>1</v>
      </c>
      <c r="N5530" s="2">
        <f>IF(LeadsData[[#This Row],[Stage Number]]&gt;=3,1,0)</f>
        <v>0</v>
      </c>
      <c r="O5530" s="2">
        <f>IF(LeadsData[[#This Row],[Stage Number]]&gt;=4,1,0)</f>
        <v>0</v>
      </c>
    </row>
    <row r="5531" spans="1:15" x14ac:dyDescent="0.25">
      <c r="A5531" t="s">
        <v>5571</v>
      </c>
      <c r="B5531" s="1">
        <v>45583</v>
      </c>
      <c r="C5531" t="s">
        <v>25</v>
      </c>
      <c r="D5531" t="s">
        <v>26</v>
      </c>
      <c r="E5531" t="s">
        <v>21</v>
      </c>
      <c r="F5531" t="s">
        <v>22</v>
      </c>
      <c r="G5531" t="s">
        <v>42</v>
      </c>
      <c r="H5531">
        <v>20</v>
      </c>
      <c r="I5531" t="s">
        <v>87</v>
      </c>
      <c r="J5531">
        <v>4541.01</v>
      </c>
      <c r="K5531" cm="1">
        <f t="array" ref="K5531">_xlfn.SWITCH(LeadsData[[#This Row],[Funnel Stage Reached]],"Lead",1,"MQL",2,"SQL",3,"Customer",4)</f>
        <v>4</v>
      </c>
      <c r="L5531" t="str">
        <f>TEXT(LeadsData[[#This Row],[Signup Date]],"mmm-yyyy")</f>
        <v>Oct-2024</v>
      </c>
      <c r="M5531">
        <f>IF(LeadsData[[#This Row],[Stage Number]]&gt;=2,1,0)</f>
        <v>1</v>
      </c>
      <c r="N5531" s="2">
        <f>IF(LeadsData[[#This Row],[Stage Number]]&gt;=3,1,0)</f>
        <v>1</v>
      </c>
      <c r="O5531" s="2">
        <f>IF(LeadsData[[#This Row],[Stage Number]]&gt;=4,1,0)</f>
        <v>1</v>
      </c>
    </row>
    <row r="5532" spans="1:15" x14ac:dyDescent="0.25">
      <c r="A5532" t="s">
        <v>5572</v>
      </c>
      <c r="B5532" s="1">
        <v>45531</v>
      </c>
      <c r="C5532" t="s">
        <v>46</v>
      </c>
      <c r="D5532" t="s">
        <v>56</v>
      </c>
      <c r="E5532" t="s">
        <v>21</v>
      </c>
      <c r="F5532" t="s">
        <v>19</v>
      </c>
      <c r="G5532" t="s">
        <v>29</v>
      </c>
      <c r="K5532" cm="1">
        <f t="array" ref="K5532">_xlfn.SWITCH(LeadsData[[#This Row],[Funnel Stage Reached]],"Lead",1,"MQL",2,"SQL",3,"Customer",4)</f>
        <v>3</v>
      </c>
      <c r="L5532" t="str">
        <f>TEXT(LeadsData[[#This Row],[Signup Date]],"mmm-yyyy")</f>
        <v>Aug-2024</v>
      </c>
      <c r="M5532">
        <f>IF(LeadsData[[#This Row],[Stage Number]]&gt;=2,1,0)</f>
        <v>1</v>
      </c>
      <c r="N5532" s="2">
        <f>IF(LeadsData[[#This Row],[Stage Number]]&gt;=3,1,0)</f>
        <v>1</v>
      </c>
      <c r="O5532" s="2">
        <f>IF(LeadsData[[#This Row],[Stage Number]]&gt;=4,1,0)</f>
        <v>0</v>
      </c>
    </row>
    <row r="5533" spans="1:15" x14ac:dyDescent="0.25">
      <c r="A5533" t="s">
        <v>5573</v>
      </c>
      <c r="B5533" s="1">
        <v>45593</v>
      </c>
      <c r="C5533" t="s">
        <v>17</v>
      </c>
      <c r="D5533" t="s">
        <v>53</v>
      </c>
      <c r="E5533" t="s">
        <v>13</v>
      </c>
      <c r="F5533" t="s">
        <v>14</v>
      </c>
      <c r="G5533" t="s">
        <v>15</v>
      </c>
      <c r="K5533" cm="1">
        <f t="array" ref="K5533">_xlfn.SWITCH(LeadsData[[#This Row],[Funnel Stage Reached]],"Lead",1,"MQL",2,"SQL",3,"Customer",4)</f>
        <v>1</v>
      </c>
      <c r="L5533" t="str">
        <f>TEXT(LeadsData[[#This Row],[Signup Date]],"mmm-yyyy")</f>
        <v>Oct-2024</v>
      </c>
      <c r="M5533">
        <f>IF(LeadsData[[#This Row],[Stage Number]]&gt;=2,1,0)</f>
        <v>0</v>
      </c>
      <c r="N5533" s="2">
        <f>IF(LeadsData[[#This Row],[Stage Number]]&gt;=3,1,0)</f>
        <v>0</v>
      </c>
      <c r="O5533" s="2">
        <f>IF(LeadsData[[#This Row],[Stage Number]]&gt;=4,1,0)</f>
        <v>0</v>
      </c>
    </row>
    <row r="5534" spans="1:15" x14ac:dyDescent="0.25">
      <c r="A5534" t="s">
        <v>5574</v>
      </c>
      <c r="B5534" s="1">
        <v>45582</v>
      </c>
      <c r="C5534" t="s">
        <v>25</v>
      </c>
      <c r="D5534" t="s">
        <v>26</v>
      </c>
      <c r="E5534" t="s">
        <v>21</v>
      </c>
      <c r="F5534" t="s">
        <v>22</v>
      </c>
      <c r="G5534" t="s">
        <v>15</v>
      </c>
      <c r="K5534" cm="1">
        <f t="array" ref="K5534">_xlfn.SWITCH(LeadsData[[#This Row],[Funnel Stage Reached]],"Lead",1,"MQL",2,"SQL",3,"Customer",4)</f>
        <v>1</v>
      </c>
      <c r="L5534" t="str">
        <f>TEXT(LeadsData[[#This Row],[Signup Date]],"mmm-yyyy")</f>
        <v>Oct-2024</v>
      </c>
      <c r="M5534">
        <f>IF(LeadsData[[#This Row],[Stage Number]]&gt;=2,1,0)</f>
        <v>0</v>
      </c>
      <c r="N5534" s="2">
        <f>IF(LeadsData[[#This Row],[Stage Number]]&gt;=3,1,0)</f>
        <v>0</v>
      </c>
      <c r="O5534" s="2">
        <f>IF(LeadsData[[#This Row],[Stage Number]]&gt;=4,1,0)</f>
        <v>0</v>
      </c>
    </row>
    <row r="5535" spans="1:15" x14ac:dyDescent="0.25">
      <c r="A5535" t="s">
        <v>5575</v>
      </c>
      <c r="B5535" s="1">
        <v>45388</v>
      </c>
      <c r="C5535" t="s">
        <v>25</v>
      </c>
      <c r="D5535" t="s">
        <v>26</v>
      </c>
      <c r="E5535" t="s">
        <v>21</v>
      </c>
      <c r="F5535" t="s">
        <v>28</v>
      </c>
      <c r="G5535" t="s">
        <v>15</v>
      </c>
      <c r="K5535" cm="1">
        <f t="array" ref="K5535">_xlfn.SWITCH(LeadsData[[#This Row],[Funnel Stage Reached]],"Lead",1,"MQL",2,"SQL",3,"Customer",4)</f>
        <v>1</v>
      </c>
      <c r="L5535" t="str">
        <f>TEXT(LeadsData[[#This Row],[Signup Date]],"mmm-yyyy")</f>
        <v>Apr-2024</v>
      </c>
      <c r="M5535">
        <f>IF(LeadsData[[#This Row],[Stage Number]]&gt;=2,1,0)</f>
        <v>0</v>
      </c>
      <c r="N5535" s="2">
        <f>IF(LeadsData[[#This Row],[Stage Number]]&gt;=3,1,0)</f>
        <v>0</v>
      </c>
      <c r="O5535" s="2">
        <f>IF(LeadsData[[#This Row],[Stage Number]]&gt;=4,1,0)</f>
        <v>0</v>
      </c>
    </row>
    <row r="5536" spans="1:15" x14ac:dyDescent="0.25">
      <c r="A5536" t="s">
        <v>5576</v>
      </c>
      <c r="B5536" s="1">
        <v>45558</v>
      </c>
      <c r="C5536" t="s">
        <v>46</v>
      </c>
      <c r="D5536" t="s">
        <v>56</v>
      </c>
      <c r="E5536" t="s">
        <v>21</v>
      </c>
      <c r="F5536" t="s">
        <v>22</v>
      </c>
      <c r="G5536" t="s">
        <v>29</v>
      </c>
      <c r="K5536" cm="1">
        <f t="array" ref="K5536">_xlfn.SWITCH(LeadsData[[#This Row],[Funnel Stage Reached]],"Lead",1,"MQL",2,"SQL",3,"Customer",4)</f>
        <v>3</v>
      </c>
      <c r="L5536" t="str">
        <f>TEXT(LeadsData[[#This Row],[Signup Date]],"mmm-yyyy")</f>
        <v>Sep-2024</v>
      </c>
      <c r="M5536">
        <f>IF(LeadsData[[#This Row],[Stage Number]]&gt;=2,1,0)</f>
        <v>1</v>
      </c>
      <c r="N5536" s="2">
        <f>IF(LeadsData[[#This Row],[Stage Number]]&gt;=3,1,0)</f>
        <v>1</v>
      </c>
      <c r="O5536" s="2">
        <f>IF(LeadsData[[#This Row],[Stage Number]]&gt;=4,1,0)</f>
        <v>0</v>
      </c>
    </row>
    <row r="5537" spans="1:15" x14ac:dyDescent="0.25">
      <c r="A5537" t="s">
        <v>5577</v>
      </c>
      <c r="B5537" s="1">
        <v>45566</v>
      </c>
      <c r="C5537" t="s">
        <v>17</v>
      </c>
      <c r="D5537" t="s">
        <v>53</v>
      </c>
      <c r="E5537" t="s">
        <v>13</v>
      </c>
      <c r="F5537" t="s">
        <v>19</v>
      </c>
      <c r="G5537" t="s">
        <v>23</v>
      </c>
      <c r="K5537" cm="1">
        <f t="array" ref="K5537">_xlfn.SWITCH(LeadsData[[#This Row],[Funnel Stage Reached]],"Lead",1,"MQL",2,"SQL",3,"Customer",4)</f>
        <v>2</v>
      </c>
      <c r="L5537" t="str">
        <f>TEXT(LeadsData[[#This Row],[Signup Date]],"mmm-yyyy")</f>
        <v>Oct-2024</v>
      </c>
      <c r="M5537">
        <f>IF(LeadsData[[#This Row],[Stage Number]]&gt;=2,1,0)</f>
        <v>1</v>
      </c>
      <c r="N5537" s="2">
        <f>IF(LeadsData[[#This Row],[Stage Number]]&gt;=3,1,0)</f>
        <v>0</v>
      </c>
      <c r="O5537" s="2">
        <f>IF(LeadsData[[#This Row],[Stage Number]]&gt;=4,1,0)</f>
        <v>0</v>
      </c>
    </row>
    <row r="5538" spans="1:15" x14ac:dyDescent="0.25">
      <c r="A5538" t="s">
        <v>5578</v>
      </c>
      <c r="B5538" s="1">
        <v>45622</v>
      </c>
      <c r="C5538" t="s">
        <v>36</v>
      </c>
      <c r="D5538" t="s">
        <v>37</v>
      </c>
      <c r="E5538" t="s">
        <v>21</v>
      </c>
      <c r="F5538" t="s">
        <v>28</v>
      </c>
      <c r="G5538" t="s">
        <v>15</v>
      </c>
      <c r="K5538" cm="1">
        <f t="array" ref="K5538">_xlfn.SWITCH(LeadsData[[#This Row],[Funnel Stage Reached]],"Lead",1,"MQL",2,"SQL",3,"Customer",4)</f>
        <v>1</v>
      </c>
      <c r="L5538" t="str">
        <f>TEXT(LeadsData[[#This Row],[Signup Date]],"mmm-yyyy")</f>
        <v>Nov-2024</v>
      </c>
      <c r="M5538">
        <f>IF(LeadsData[[#This Row],[Stage Number]]&gt;=2,1,0)</f>
        <v>0</v>
      </c>
      <c r="N5538" s="2">
        <f>IF(LeadsData[[#This Row],[Stage Number]]&gt;=3,1,0)</f>
        <v>0</v>
      </c>
      <c r="O5538" s="2">
        <f>IF(LeadsData[[#This Row],[Stage Number]]&gt;=4,1,0)</f>
        <v>0</v>
      </c>
    </row>
    <row r="5539" spans="1:15" x14ac:dyDescent="0.25">
      <c r="A5539" t="s">
        <v>5579</v>
      </c>
      <c r="B5539" s="1">
        <v>45570</v>
      </c>
      <c r="C5539" t="s">
        <v>25</v>
      </c>
      <c r="D5539" t="s">
        <v>26</v>
      </c>
      <c r="E5539" t="s">
        <v>13</v>
      </c>
      <c r="F5539" t="s">
        <v>22</v>
      </c>
      <c r="G5539" t="s">
        <v>29</v>
      </c>
      <c r="K5539" cm="1">
        <f t="array" ref="K5539">_xlfn.SWITCH(LeadsData[[#This Row],[Funnel Stage Reached]],"Lead",1,"MQL",2,"SQL",3,"Customer",4)</f>
        <v>3</v>
      </c>
      <c r="L5539" t="str">
        <f>TEXT(LeadsData[[#This Row],[Signup Date]],"mmm-yyyy")</f>
        <v>Oct-2024</v>
      </c>
      <c r="M5539">
        <f>IF(LeadsData[[#This Row],[Stage Number]]&gt;=2,1,0)</f>
        <v>1</v>
      </c>
      <c r="N5539" s="2">
        <f>IF(LeadsData[[#This Row],[Stage Number]]&gt;=3,1,0)</f>
        <v>1</v>
      </c>
      <c r="O5539" s="2">
        <f>IF(LeadsData[[#This Row],[Stage Number]]&gt;=4,1,0)</f>
        <v>0</v>
      </c>
    </row>
    <row r="5540" spans="1:15" x14ac:dyDescent="0.25">
      <c r="A5540" t="s">
        <v>5580</v>
      </c>
      <c r="B5540" s="1">
        <v>45601</v>
      </c>
      <c r="C5540" t="s">
        <v>36</v>
      </c>
      <c r="D5540" t="s">
        <v>37</v>
      </c>
      <c r="E5540" t="s">
        <v>13</v>
      </c>
      <c r="F5540" t="s">
        <v>19</v>
      </c>
      <c r="G5540" t="s">
        <v>15</v>
      </c>
      <c r="K5540" cm="1">
        <f t="array" ref="K5540">_xlfn.SWITCH(LeadsData[[#This Row],[Funnel Stage Reached]],"Lead",1,"MQL",2,"SQL",3,"Customer",4)</f>
        <v>1</v>
      </c>
      <c r="L5540" t="str">
        <f>TEXT(LeadsData[[#This Row],[Signup Date]],"mmm-yyyy")</f>
        <v>Nov-2024</v>
      </c>
      <c r="M5540">
        <f>IF(LeadsData[[#This Row],[Stage Number]]&gt;=2,1,0)</f>
        <v>0</v>
      </c>
      <c r="N5540" s="2">
        <f>IF(LeadsData[[#This Row],[Stage Number]]&gt;=3,1,0)</f>
        <v>0</v>
      </c>
      <c r="O5540" s="2">
        <f>IF(LeadsData[[#This Row],[Stage Number]]&gt;=4,1,0)</f>
        <v>0</v>
      </c>
    </row>
    <row r="5541" spans="1:15" x14ac:dyDescent="0.25">
      <c r="A5541" t="s">
        <v>5581</v>
      </c>
      <c r="B5541" s="1">
        <v>45582</v>
      </c>
      <c r="C5541" t="s">
        <v>31</v>
      </c>
      <c r="D5541" t="s">
        <v>34</v>
      </c>
      <c r="E5541" t="s">
        <v>13</v>
      </c>
      <c r="F5541" t="s">
        <v>28</v>
      </c>
      <c r="G5541" t="s">
        <v>42</v>
      </c>
      <c r="H5541">
        <v>43</v>
      </c>
      <c r="I5541" t="s">
        <v>43</v>
      </c>
      <c r="J5541">
        <v>1315.82</v>
      </c>
      <c r="K5541" cm="1">
        <f t="array" ref="K5541">_xlfn.SWITCH(LeadsData[[#This Row],[Funnel Stage Reached]],"Lead",1,"MQL",2,"SQL",3,"Customer",4)</f>
        <v>4</v>
      </c>
      <c r="L5541" t="str">
        <f>TEXT(LeadsData[[#This Row],[Signup Date]],"mmm-yyyy")</f>
        <v>Oct-2024</v>
      </c>
      <c r="M5541">
        <f>IF(LeadsData[[#This Row],[Stage Number]]&gt;=2,1,0)</f>
        <v>1</v>
      </c>
      <c r="N5541" s="2">
        <f>IF(LeadsData[[#This Row],[Stage Number]]&gt;=3,1,0)</f>
        <v>1</v>
      </c>
      <c r="O5541" s="2">
        <f>IF(LeadsData[[#This Row],[Stage Number]]&gt;=4,1,0)</f>
        <v>1</v>
      </c>
    </row>
    <row r="5542" spans="1:15" x14ac:dyDescent="0.25">
      <c r="A5542" t="s">
        <v>5582</v>
      </c>
      <c r="B5542" s="1">
        <v>45639</v>
      </c>
      <c r="C5542" t="s">
        <v>31</v>
      </c>
      <c r="D5542" t="s">
        <v>32</v>
      </c>
      <c r="E5542" t="s">
        <v>21</v>
      </c>
      <c r="F5542" t="s">
        <v>22</v>
      </c>
      <c r="G5542" t="s">
        <v>15</v>
      </c>
      <c r="K5542" cm="1">
        <f t="array" ref="K5542">_xlfn.SWITCH(LeadsData[[#This Row],[Funnel Stage Reached]],"Lead",1,"MQL",2,"SQL",3,"Customer",4)</f>
        <v>1</v>
      </c>
      <c r="L5542" t="str">
        <f>TEXT(LeadsData[[#This Row],[Signup Date]],"mmm-yyyy")</f>
        <v>Dec-2024</v>
      </c>
      <c r="M5542">
        <f>IF(LeadsData[[#This Row],[Stage Number]]&gt;=2,1,0)</f>
        <v>0</v>
      </c>
      <c r="N5542" s="2">
        <f>IF(LeadsData[[#This Row],[Stage Number]]&gt;=3,1,0)</f>
        <v>0</v>
      </c>
      <c r="O5542" s="2">
        <f>IF(LeadsData[[#This Row],[Stage Number]]&gt;=4,1,0)</f>
        <v>0</v>
      </c>
    </row>
    <row r="5543" spans="1:15" x14ac:dyDescent="0.25">
      <c r="A5543" t="s">
        <v>5583</v>
      </c>
      <c r="B5543" s="1">
        <v>45578</v>
      </c>
      <c r="C5543" t="s">
        <v>31</v>
      </c>
      <c r="D5543" t="s">
        <v>34</v>
      </c>
      <c r="E5543" t="s">
        <v>21</v>
      </c>
      <c r="F5543" t="s">
        <v>19</v>
      </c>
      <c r="G5543" t="s">
        <v>23</v>
      </c>
      <c r="K5543" cm="1">
        <f t="array" ref="K5543">_xlfn.SWITCH(LeadsData[[#This Row],[Funnel Stage Reached]],"Lead",1,"MQL",2,"SQL",3,"Customer",4)</f>
        <v>2</v>
      </c>
      <c r="L5543" t="str">
        <f>TEXT(LeadsData[[#This Row],[Signup Date]],"mmm-yyyy")</f>
        <v>Oct-2024</v>
      </c>
      <c r="M5543">
        <f>IF(LeadsData[[#This Row],[Stage Number]]&gt;=2,1,0)</f>
        <v>1</v>
      </c>
      <c r="N5543" s="2">
        <f>IF(LeadsData[[#This Row],[Stage Number]]&gt;=3,1,0)</f>
        <v>0</v>
      </c>
      <c r="O5543" s="2">
        <f>IF(LeadsData[[#This Row],[Stage Number]]&gt;=4,1,0)</f>
        <v>0</v>
      </c>
    </row>
    <row r="5544" spans="1:15" x14ac:dyDescent="0.25">
      <c r="A5544" t="s">
        <v>5584</v>
      </c>
      <c r="B5544" s="1">
        <v>45514</v>
      </c>
      <c r="C5544" t="s">
        <v>17</v>
      </c>
      <c r="D5544" t="s">
        <v>53</v>
      </c>
      <c r="E5544" t="s">
        <v>21</v>
      </c>
      <c r="F5544" t="s">
        <v>19</v>
      </c>
      <c r="G5544" t="s">
        <v>42</v>
      </c>
      <c r="H5544">
        <v>33</v>
      </c>
      <c r="I5544" t="s">
        <v>183</v>
      </c>
      <c r="J5544">
        <v>10110.89</v>
      </c>
      <c r="K5544" cm="1">
        <f t="array" ref="K5544">_xlfn.SWITCH(LeadsData[[#This Row],[Funnel Stage Reached]],"Lead",1,"MQL",2,"SQL",3,"Customer",4)</f>
        <v>4</v>
      </c>
      <c r="L5544" t="str">
        <f>TEXT(LeadsData[[#This Row],[Signup Date]],"mmm-yyyy")</f>
        <v>Aug-2024</v>
      </c>
      <c r="M5544">
        <f>IF(LeadsData[[#This Row],[Stage Number]]&gt;=2,1,0)</f>
        <v>1</v>
      </c>
      <c r="N5544" s="2">
        <f>IF(LeadsData[[#This Row],[Stage Number]]&gt;=3,1,0)</f>
        <v>1</v>
      </c>
      <c r="O5544" s="2">
        <f>IF(LeadsData[[#This Row],[Stage Number]]&gt;=4,1,0)</f>
        <v>1</v>
      </c>
    </row>
    <row r="5545" spans="1:15" x14ac:dyDescent="0.25">
      <c r="A5545" t="s">
        <v>5585</v>
      </c>
      <c r="B5545" s="1">
        <v>45642</v>
      </c>
      <c r="C5545" t="s">
        <v>46</v>
      </c>
      <c r="D5545" t="s">
        <v>47</v>
      </c>
      <c r="E5545" t="s">
        <v>21</v>
      </c>
      <c r="F5545" t="s">
        <v>22</v>
      </c>
      <c r="G5545" t="s">
        <v>15</v>
      </c>
      <c r="K5545" cm="1">
        <f t="array" ref="K5545">_xlfn.SWITCH(LeadsData[[#This Row],[Funnel Stage Reached]],"Lead",1,"MQL",2,"SQL",3,"Customer",4)</f>
        <v>1</v>
      </c>
      <c r="L5545" t="str">
        <f>TEXT(LeadsData[[#This Row],[Signup Date]],"mmm-yyyy")</f>
        <v>Dec-2024</v>
      </c>
      <c r="M5545">
        <f>IF(LeadsData[[#This Row],[Stage Number]]&gt;=2,1,0)</f>
        <v>0</v>
      </c>
      <c r="N5545" s="2">
        <f>IF(LeadsData[[#This Row],[Stage Number]]&gt;=3,1,0)</f>
        <v>0</v>
      </c>
      <c r="O5545" s="2">
        <f>IF(LeadsData[[#This Row],[Stage Number]]&gt;=4,1,0)</f>
        <v>0</v>
      </c>
    </row>
    <row r="5546" spans="1:15" x14ac:dyDescent="0.25">
      <c r="A5546" t="s">
        <v>5586</v>
      </c>
      <c r="B5546" s="1">
        <v>45643</v>
      </c>
      <c r="C5546" t="s">
        <v>25</v>
      </c>
      <c r="D5546" t="s">
        <v>26</v>
      </c>
      <c r="E5546" t="s">
        <v>13</v>
      </c>
      <c r="F5546" t="s">
        <v>19</v>
      </c>
      <c r="G5546" t="s">
        <v>23</v>
      </c>
      <c r="K5546" cm="1">
        <f t="array" ref="K5546">_xlfn.SWITCH(LeadsData[[#This Row],[Funnel Stage Reached]],"Lead",1,"MQL",2,"SQL",3,"Customer",4)</f>
        <v>2</v>
      </c>
      <c r="L5546" t="str">
        <f>TEXT(LeadsData[[#This Row],[Signup Date]],"mmm-yyyy")</f>
        <v>Dec-2024</v>
      </c>
      <c r="M5546">
        <f>IF(LeadsData[[#This Row],[Stage Number]]&gt;=2,1,0)</f>
        <v>1</v>
      </c>
      <c r="N5546" s="2">
        <f>IF(LeadsData[[#This Row],[Stage Number]]&gt;=3,1,0)</f>
        <v>0</v>
      </c>
      <c r="O5546" s="2">
        <f>IF(LeadsData[[#This Row],[Stage Number]]&gt;=4,1,0)</f>
        <v>0</v>
      </c>
    </row>
    <row r="5547" spans="1:15" x14ac:dyDescent="0.25">
      <c r="A5547" t="s">
        <v>5587</v>
      </c>
      <c r="B5547" s="1">
        <v>45651</v>
      </c>
      <c r="C5547" t="s">
        <v>31</v>
      </c>
      <c r="D5547" t="s">
        <v>32</v>
      </c>
      <c r="E5547" t="s">
        <v>21</v>
      </c>
      <c r="F5547" t="s">
        <v>22</v>
      </c>
      <c r="G5547" t="s">
        <v>15</v>
      </c>
      <c r="K5547" cm="1">
        <f t="array" ref="K5547">_xlfn.SWITCH(LeadsData[[#This Row],[Funnel Stage Reached]],"Lead",1,"MQL",2,"SQL",3,"Customer",4)</f>
        <v>1</v>
      </c>
      <c r="L5547" t="str">
        <f>TEXT(LeadsData[[#This Row],[Signup Date]],"mmm-yyyy")</f>
        <v>Dec-2024</v>
      </c>
      <c r="M5547">
        <f>IF(LeadsData[[#This Row],[Stage Number]]&gt;=2,1,0)</f>
        <v>0</v>
      </c>
      <c r="N5547" s="2">
        <f>IF(LeadsData[[#This Row],[Stage Number]]&gt;=3,1,0)</f>
        <v>0</v>
      </c>
      <c r="O5547" s="2">
        <f>IF(LeadsData[[#This Row],[Stage Number]]&gt;=4,1,0)</f>
        <v>0</v>
      </c>
    </row>
    <row r="5548" spans="1:15" x14ac:dyDescent="0.25">
      <c r="A5548" t="s">
        <v>5588</v>
      </c>
      <c r="B5548" s="1">
        <v>45307</v>
      </c>
      <c r="C5548" t="s">
        <v>36</v>
      </c>
      <c r="D5548" t="s">
        <v>37</v>
      </c>
      <c r="E5548" t="s">
        <v>13</v>
      </c>
      <c r="F5548" t="s">
        <v>22</v>
      </c>
      <c r="G5548" t="s">
        <v>29</v>
      </c>
      <c r="K5548" cm="1">
        <f t="array" ref="K5548">_xlfn.SWITCH(LeadsData[[#This Row],[Funnel Stage Reached]],"Lead",1,"MQL",2,"SQL",3,"Customer",4)</f>
        <v>3</v>
      </c>
      <c r="L5548" t="str">
        <f>TEXT(LeadsData[[#This Row],[Signup Date]],"mmm-yyyy")</f>
        <v>Jan-2024</v>
      </c>
      <c r="M5548">
        <f>IF(LeadsData[[#This Row],[Stage Number]]&gt;=2,1,0)</f>
        <v>1</v>
      </c>
      <c r="N5548" s="2">
        <f>IF(LeadsData[[#This Row],[Stage Number]]&gt;=3,1,0)</f>
        <v>1</v>
      </c>
      <c r="O5548" s="2">
        <f>IF(LeadsData[[#This Row],[Stage Number]]&gt;=4,1,0)</f>
        <v>0</v>
      </c>
    </row>
    <row r="5549" spans="1:15" x14ac:dyDescent="0.25">
      <c r="A5549" t="s">
        <v>5589</v>
      </c>
      <c r="B5549" s="1">
        <v>45608</v>
      </c>
      <c r="C5549" t="s">
        <v>36</v>
      </c>
      <c r="D5549" t="s">
        <v>37</v>
      </c>
      <c r="E5549" t="s">
        <v>21</v>
      </c>
      <c r="F5549" t="s">
        <v>22</v>
      </c>
      <c r="G5549" t="s">
        <v>23</v>
      </c>
      <c r="K5549" cm="1">
        <f t="array" ref="K5549">_xlfn.SWITCH(LeadsData[[#This Row],[Funnel Stage Reached]],"Lead",1,"MQL",2,"SQL",3,"Customer",4)</f>
        <v>2</v>
      </c>
      <c r="L5549" t="str">
        <f>TEXT(LeadsData[[#This Row],[Signup Date]],"mmm-yyyy")</f>
        <v>Nov-2024</v>
      </c>
      <c r="M5549">
        <f>IF(LeadsData[[#This Row],[Stage Number]]&gt;=2,1,0)</f>
        <v>1</v>
      </c>
      <c r="N5549" s="2">
        <f>IF(LeadsData[[#This Row],[Stage Number]]&gt;=3,1,0)</f>
        <v>0</v>
      </c>
      <c r="O5549" s="2">
        <f>IF(LeadsData[[#This Row],[Stage Number]]&gt;=4,1,0)</f>
        <v>0</v>
      </c>
    </row>
    <row r="5550" spans="1:15" x14ac:dyDescent="0.25">
      <c r="A5550" t="s">
        <v>5590</v>
      </c>
      <c r="B5550" s="1">
        <v>45637</v>
      </c>
      <c r="C5550" t="s">
        <v>46</v>
      </c>
      <c r="D5550" t="s">
        <v>47</v>
      </c>
      <c r="E5550" t="s">
        <v>13</v>
      </c>
      <c r="F5550" t="s">
        <v>22</v>
      </c>
      <c r="G5550" t="s">
        <v>23</v>
      </c>
      <c r="K5550" cm="1">
        <f t="array" ref="K5550">_xlfn.SWITCH(LeadsData[[#This Row],[Funnel Stage Reached]],"Lead",1,"MQL",2,"SQL",3,"Customer",4)</f>
        <v>2</v>
      </c>
      <c r="L5550" t="str">
        <f>TEXT(LeadsData[[#This Row],[Signup Date]],"mmm-yyyy")</f>
        <v>Dec-2024</v>
      </c>
      <c r="M5550">
        <f>IF(LeadsData[[#This Row],[Stage Number]]&gt;=2,1,0)</f>
        <v>1</v>
      </c>
      <c r="N5550" s="2">
        <f>IF(LeadsData[[#This Row],[Stage Number]]&gt;=3,1,0)</f>
        <v>0</v>
      </c>
      <c r="O5550" s="2">
        <f>IF(LeadsData[[#This Row],[Stage Number]]&gt;=4,1,0)</f>
        <v>0</v>
      </c>
    </row>
    <row r="5551" spans="1:15" x14ac:dyDescent="0.25">
      <c r="A5551" t="s">
        <v>5591</v>
      </c>
      <c r="B5551" s="1">
        <v>45348</v>
      </c>
      <c r="C5551" t="s">
        <v>46</v>
      </c>
      <c r="D5551" t="s">
        <v>56</v>
      </c>
      <c r="E5551" t="s">
        <v>13</v>
      </c>
      <c r="F5551" t="s">
        <v>19</v>
      </c>
      <c r="G5551" t="s">
        <v>15</v>
      </c>
      <c r="K5551" cm="1">
        <f t="array" ref="K5551">_xlfn.SWITCH(LeadsData[[#This Row],[Funnel Stage Reached]],"Lead",1,"MQL",2,"SQL",3,"Customer",4)</f>
        <v>1</v>
      </c>
      <c r="L5551" t="str">
        <f>TEXT(LeadsData[[#This Row],[Signup Date]],"mmm-yyyy")</f>
        <v>Feb-2024</v>
      </c>
      <c r="M5551">
        <f>IF(LeadsData[[#This Row],[Stage Number]]&gt;=2,1,0)</f>
        <v>0</v>
      </c>
      <c r="N5551" s="2">
        <f>IF(LeadsData[[#This Row],[Stage Number]]&gt;=3,1,0)</f>
        <v>0</v>
      </c>
      <c r="O5551" s="2">
        <f>IF(LeadsData[[#This Row],[Stage Number]]&gt;=4,1,0)</f>
        <v>0</v>
      </c>
    </row>
    <row r="5552" spans="1:15" x14ac:dyDescent="0.25">
      <c r="A5552" t="s">
        <v>5592</v>
      </c>
      <c r="B5552" s="1">
        <v>45628</v>
      </c>
      <c r="C5552" t="s">
        <v>17</v>
      </c>
      <c r="D5552" t="s">
        <v>53</v>
      </c>
      <c r="E5552" t="s">
        <v>13</v>
      </c>
      <c r="F5552" t="s">
        <v>22</v>
      </c>
      <c r="G5552" t="s">
        <v>15</v>
      </c>
      <c r="K5552" cm="1">
        <f t="array" ref="K5552">_xlfn.SWITCH(LeadsData[[#This Row],[Funnel Stage Reached]],"Lead",1,"MQL",2,"SQL",3,"Customer",4)</f>
        <v>1</v>
      </c>
      <c r="L5552" t="str">
        <f>TEXT(LeadsData[[#This Row],[Signup Date]],"mmm-yyyy")</f>
        <v>Dec-2024</v>
      </c>
      <c r="M5552">
        <f>IF(LeadsData[[#This Row],[Stage Number]]&gt;=2,1,0)</f>
        <v>0</v>
      </c>
      <c r="N5552" s="2">
        <f>IF(LeadsData[[#This Row],[Stage Number]]&gt;=3,1,0)</f>
        <v>0</v>
      </c>
      <c r="O5552" s="2">
        <f>IF(LeadsData[[#This Row],[Stage Number]]&gt;=4,1,0)</f>
        <v>0</v>
      </c>
    </row>
    <row r="5553" spans="1:15" x14ac:dyDescent="0.25">
      <c r="A5553" t="s">
        <v>5593</v>
      </c>
      <c r="B5553" s="1">
        <v>45584</v>
      </c>
      <c r="C5553" t="s">
        <v>31</v>
      </c>
      <c r="D5553" t="s">
        <v>32</v>
      </c>
      <c r="E5553" t="s">
        <v>21</v>
      </c>
      <c r="F5553" t="s">
        <v>19</v>
      </c>
      <c r="G5553" t="s">
        <v>15</v>
      </c>
      <c r="K5553" cm="1">
        <f t="array" ref="K5553">_xlfn.SWITCH(LeadsData[[#This Row],[Funnel Stage Reached]],"Lead",1,"MQL",2,"SQL",3,"Customer",4)</f>
        <v>1</v>
      </c>
      <c r="L5553" t="str">
        <f>TEXT(LeadsData[[#This Row],[Signup Date]],"mmm-yyyy")</f>
        <v>Oct-2024</v>
      </c>
      <c r="M5553">
        <f>IF(LeadsData[[#This Row],[Stage Number]]&gt;=2,1,0)</f>
        <v>0</v>
      </c>
      <c r="N5553" s="2">
        <f>IF(LeadsData[[#This Row],[Stage Number]]&gt;=3,1,0)</f>
        <v>0</v>
      </c>
      <c r="O5553" s="2">
        <f>IF(LeadsData[[#This Row],[Stage Number]]&gt;=4,1,0)</f>
        <v>0</v>
      </c>
    </row>
    <row r="5554" spans="1:15" x14ac:dyDescent="0.25">
      <c r="A5554" t="s">
        <v>5594</v>
      </c>
      <c r="B5554" s="1">
        <v>45545</v>
      </c>
      <c r="C5554" t="s">
        <v>17</v>
      </c>
      <c r="D5554" t="s">
        <v>53</v>
      </c>
      <c r="E5554" t="s">
        <v>13</v>
      </c>
      <c r="F5554" t="s">
        <v>19</v>
      </c>
      <c r="G5554" t="s">
        <v>42</v>
      </c>
      <c r="H5554">
        <v>22</v>
      </c>
      <c r="I5554" t="s">
        <v>87</v>
      </c>
      <c r="J5554">
        <v>4807.43</v>
      </c>
      <c r="K5554" cm="1">
        <f t="array" ref="K5554">_xlfn.SWITCH(LeadsData[[#This Row],[Funnel Stage Reached]],"Lead",1,"MQL",2,"SQL",3,"Customer",4)</f>
        <v>4</v>
      </c>
      <c r="L5554" t="str">
        <f>TEXT(LeadsData[[#This Row],[Signup Date]],"mmm-yyyy")</f>
        <v>Sep-2024</v>
      </c>
      <c r="M5554">
        <f>IF(LeadsData[[#This Row],[Stage Number]]&gt;=2,1,0)</f>
        <v>1</v>
      </c>
      <c r="N5554" s="2">
        <f>IF(LeadsData[[#This Row],[Stage Number]]&gt;=3,1,0)</f>
        <v>1</v>
      </c>
      <c r="O5554" s="2">
        <f>IF(LeadsData[[#This Row],[Stage Number]]&gt;=4,1,0)</f>
        <v>1</v>
      </c>
    </row>
    <row r="5555" spans="1:15" x14ac:dyDescent="0.25">
      <c r="A5555" t="s">
        <v>5595</v>
      </c>
      <c r="B5555" s="1">
        <v>45506</v>
      </c>
      <c r="C5555" t="s">
        <v>46</v>
      </c>
      <c r="D5555" t="s">
        <v>56</v>
      </c>
      <c r="E5555" t="s">
        <v>21</v>
      </c>
      <c r="F5555" t="s">
        <v>19</v>
      </c>
      <c r="G5555" t="s">
        <v>15</v>
      </c>
      <c r="K5555" cm="1">
        <f t="array" ref="K5555">_xlfn.SWITCH(LeadsData[[#This Row],[Funnel Stage Reached]],"Lead",1,"MQL",2,"SQL",3,"Customer",4)</f>
        <v>1</v>
      </c>
      <c r="L5555" t="str">
        <f>TEXT(LeadsData[[#This Row],[Signup Date]],"mmm-yyyy")</f>
        <v>Aug-2024</v>
      </c>
      <c r="M5555">
        <f>IF(LeadsData[[#This Row],[Stage Number]]&gt;=2,1,0)</f>
        <v>0</v>
      </c>
      <c r="N5555" s="2">
        <f>IF(LeadsData[[#This Row],[Stage Number]]&gt;=3,1,0)</f>
        <v>0</v>
      </c>
      <c r="O5555" s="2">
        <f>IF(LeadsData[[#This Row],[Stage Number]]&gt;=4,1,0)</f>
        <v>0</v>
      </c>
    </row>
    <row r="5556" spans="1:15" x14ac:dyDescent="0.25">
      <c r="A5556" t="s">
        <v>5596</v>
      </c>
      <c r="B5556" s="1">
        <v>45295</v>
      </c>
      <c r="C5556" t="s">
        <v>11</v>
      </c>
      <c r="D5556" t="s">
        <v>12</v>
      </c>
      <c r="E5556" t="s">
        <v>13</v>
      </c>
      <c r="F5556" t="s">
        <v>28</v>
      </c>
      <c r="G5556" t="s">
        <v>23</v>
      </c>
      <c r="K5556" cm="1">
        <f t="array" ref="K5556">_xlfn.SWITCH(LeadsData[[#This Row],[Funnel Stage Reached]],"Lead",1,"MQL",2,"SQL",3,"Customer",4)</f>
        <v>2</v>
      </c>
      <c r="L5556" t="str">
        <f>TEXT(LeadsData[[#This Row],[Signup Date]],"mmm-yyyy")</f>
        <v>Jan-2024</v>
      </c>
      <c r="M5556">
        <f>IF(LeadsData[[#This Row],[Stage Number]]&gt;=2,1,0)</f>
        <v>1</v>
      </c>
      <c r="N5556" s="2">
        <f>IF(LeadsData[[#This Row],[Stage Number]]&gt;=3,1,0)</f>
        <v>0</v>
      </c>
      <c r="O5556" s="2">
        <f>IF(LeadsData[[#This Row],[Stage Number]]&gt;=4,1,0)</f>
        <v>0</v>
      </c>
    </row>
    <row r="5557" spans="1:15" x14ac:dyDescent="0.25">
      <c r="A5557" t="s">
        <v>5597</v>
      </c>
      <c r="B5557" s="1">
        <v>45359</v>
      </c>
      <c r="C5557" t="s">
        <v>36</v>
      </c>
      <c r="D5557" t="s">
        <v>50</v>
      </c>
      <c r="E5557" t="s">
        <v>48</v>
      </c>
      <c r="F5557" t="s">
        <v>28</v>
      </c>
      <c r="G5557" t="s">
        <v>29</v>
      </c>
      <c r="K5557" cm="1">
        <f t="array" ref="K5557">_xlfn.SWITCH(LeadsData[[#This Row],[Funnel Stage Reached]],"Lead",1,"MQL",2,"SQL",3,"Customer",4)</f>
        <v>3</v>
      </c>
      <c r="L5557" t="str">
        <f>TEXT(LeadsData[[#This Row],[Signup Date]],"mmm-yyyy")</f>
        <v>Mar-2024</v>
      </c>
      <c r="M5557">
        <f>IF(LeadsData[[#This Row],[Stage Number]]&gt;=2,1,0)</f>
        <v>1</v>
      </c>
      <c r="N5557" s="2">
        <f>IF(LeadsData[[#This Row],[Stage Number]]&gt;=3,1,0)</f>
        <v>1</v>
      </c>
      <c r="O5557" s="2">
        <f>IF(LeadsData[[#This Row],[Stage Number]]&gt;=4,1,0)</f>
        <v>0</v>
      </c>
    </row>
    <row r="5558" spans="1:15" x14ac:dyDescent="0.25">
      <c r="A5558" t="s">
        <v>5598</v>
      </c>
      <c r="B5558" s="1">
        <v>45518</v>
      </c>
      <c r="C5558" t="s">
        <v>46</v>
      </c>
      <c r="D5558" t="s">
        <v>47</v>
      </c>
      <c r="E5558" t="s">
        <v>13</v>
      </c>
      <c r="F5558" t="s">
        <v>19</v>
      </c>
      <c r="G5558" t="s">
        <v>15</v>
      </c>
      <c r="K5558" cm="1">
        <f t="array" ref="K5558">_xlfn.SWITCH(LeadsData[[#This Row],[Funnel Stage Reached]],"Lead",1,"MQL",2,"SQL",3,"Customer",4)</f>
        <v>1</v>
      </c>
      <c r="L5558" t="str">
        <f>TEXT(LeadsData[[#This Row],[Signup Date]],"mmm-yyyy")</f>
        <v>Aug-2024</v>
      </c>
      <c r="M5558">
        <f>IF(LeadsData[[#This Row],[Stage Number]]&gt;=2,1,0)</f>
        <v>0</v>
      </c>
      <c r="N5558" s="2">
        <f>IF(LeadsData[[#This Row],[Stage Number]]&gt;=3,1,0)</f>
        <v>0</v>
      </c>
      <c r="O5558" s="2">
        <f>IF(LeadsData[[#This Row],[Stage Number]]&gt;=4,1,0)</f>
        <v>0</v>
      </c>
    </row>
    <row r="5559" spans="1:15" x14ac:dyDescent="0.25">
      <c r="A5559" t="s">
        <v>5599</v>
      </c>
      <c r="B5559" s="1">
        <v>45460</v>
      </c>
      <c r="C5559" t="s">
        <v>17</v>
      </c>
      <c r="D5559" t="s">
        <v>18</v>
      </c>
      <c r="E5559" t="s">
        <v>21</v>
      </c>
      <c r="F5559" t="s">
        <v>19</v>
      </c>
      <c r="G5559" t="s">
        <v>15</v>
      </c>
      <c r="K5559" cm="1">
        <f t="array" ref="K5559">_xlfn.SWITCH(LeadsData[[#This Row],[Funnel Stage Reached]],"Lead",1,"MQL",2,"SQL",3,"Customer",4)</f>
        <v>1</v>
      </c>
      <c r="L5559" t="str">
        <f>TEXT(LeadsData[[#This Row],[Signup Date]],"mmm-yyyy")</f>
        <v>Jun-2024</v>
      </c>
      <c r="M5559">
        <f>IF(LeadsData[[#This Row],[Stage Number]]&gt;=2,1,0)</f>
        <v>0</v>
      </c>
      <c r="N5559" s="2">
        <f>IF(LeadsData[[#This Row],[Stage Number]]&gt;=3,1,0)</f>
        <v>0</v>
      </c>
      <c r="O5559" s="2">
        <f>IF(LeadsData[[#This Row],[Stage Number]]&gt;=4,1,0)</f>
        <v>0</v>
      </c>
    </row>
    <row r="5560" spans="1:15" x14ac:dyDescent="0.25">
      <c r="A5560" t="s">
        <v>5600</v>
      </c>
      <c r="B5560" s="1">
        <v>45571</v>
      </c>
      <c r="C5560" t="s">
        <v>31</v>
      </c>
      <c r="D5560" t="s">
        <v>34</v>
      </c>
      <c r="E5560" t="s">
        <v>13</v>
      </c>
      <c r="F5560" t="s">
        <v>14</v>
      </c>
      <c r="G5560" t="s">
        <v>23</v>
      </c>
      <c r="K5560" cm="1">
        <f t="array" ref="K5560">_xlfn.SWITCH(LeadsData[[#This Row],[Funnel Stage Reached]],"Lead",1,"MQL",2,"SQL",3,"Customer",4)</f>
        <v>2</v>
      </c>
      <c r="L5560" t="str">
        <f>TEXT(LeadsData[[#This Row],[Signup Date]],"mmm-yyyy")</f>
        <v>Oct-2024</v>
      </c>
      <c r="M5560">
        <f>IF(LeadsData[[#This Row],[Stage Number]]&gt;=2,1,0)</f>
        <v>1</v>
      </c>
      <c r="N5560" s="2">
        <f>IF(LeadsData[[#This Row],[Stage Number]]&gt;=3,1,0)</f>
        <v>0</v>
      </c>
      <c r="O5560" s="2">
        <f>IF(LeadsData[[#This Row],[Stage Number]]&gt;=4,1,0)</f>
        <v>0</v>
      </c>
    </row>
    <row r="5561" spans="1:15" x14ac:dyDescent="0.25">
      <c r="A5561" t="s">
        <v>5601</v>
      </c>
      <c r="B5561" s="1">
        <v>45591</v>
      </c>
      <c r="C5561" t="s">
        <v>46</v>
      </c>
      <c r="D5561" t="s">
        <v>47</v>
      </c>
      <c r="E5561" t="s">
        <v>21</v>
      </c>
      <c r="F5561" t="s">
        <v>19</v>
      </c>
      <c r="G5561" t="s">
        <v>15</v>
      </c>
      <c r="K5561" cm="1">
        <f t="array" ref="K5561">_xlfn.SWITCH(LeadsData[[#This Row],[Funnel Stage Reached]],"Lead",1,"MQL",2,"SQL",3,"Customer",4)</f>
        <v>1</v>
      </c>
      <c r="L5561" t="str">
        <f>TEXT(LeadsData[[#This Row],[Signup Date]],"mmm-yyyy")</f>
        <v>Oct-2024</v>
      </c>
      <c r="M5561">
        <f>IF(LeadsData[[#This Row],[Stage Number]]&gt;=2,1,0)</f>
        <v>0</v>
      </c>
      <c r="N5561" s="2">
        <f>IF(LeadsData[[#This Row],[Stage Number]]&gt;=3,1,0)</f>
        <v>0</v>
      </c>
      <c r="O5561" s="2">
        <f>IF(LeadsData[[#This Row],[Stage Number]]&gt;=4,1,0)</f>
        <v>0</v>
      </c>
    </row>
    <row r="5562" spans="1:15" x14ac:dyDescent="0.25">
      <c r="A5562" t="s">
        <v>5602</v>
      </c>
      <c r="B5562" s="1">
        <v>45559</v>
      </c>
      <c r="C5562" t="s">
        <v>46</v>
      </c>
      <c r="D5562" t="s">
        <v>47</v>
      </c>
      <c r="E5562" t="s">
        <v>21</v>
      </c>
      <c r="F5562" t="s">
        <v>19</v>
      </c>
      <c r="G5562" t="s">
        <v>15</v>
      </c>
      <c r="K5562" cm="1">
        <f t="array" ref="K5562">_xlfn.SWITCH(LeadsData[[#This Row],[Funnel Stage Reached]],"Lead",1,"MQL",2,"SQL",3,"Customer",4)</f>
        <v>1</v>
      </c>
      <c r="L5562" t="str">
        <f>TEXT(LeadsData[[#This Row],[Signup Date]],"mmm-yyyy")</f>
        <v>Sep-2024</v>
      </c>
      <c r="M5562">
        <f>IF(LeadsData[[#This Row],[Stage Number]]&gt;=2,1,0)</f>
        <v>0</v>
      </c>
      <c r="N5562" s="2">
        <f>IF(LeadsData[[#This Row],[Stage Number]]&gt;=3,1,0)</f>
        <v>0</v>
      </c>
      <c r="O5562" s="2">
        <f>IF(LeadsData[[#This Row],[Stage Number]]&gt;=4,1,0)</f>
        <v>0</v>
      </c>
    </row>
    <row r="5563" spans="1:15" x14ac:dyDescent="0.25">
      <c r="A5563" t="s">
        <v>5603</v>
      </c>
      <c r="B5563" s="1">
        <v>45399</v>
      </c>
      <c r="C5563" t="s">
        <v>31</v>
      </c>
      <c r="D5563" t="s">
        <v>32</v>
      </c>
      <c r="E5563" t="s">
        <v>13</v>
      </c>
      <c r="F5563" t="s">
        <v>14</v>
      </c>
      <c r="G5563" t="s">
        <v>15</v>
      </c>
      <c r="K5563" cm="1">
        <f t="array" ref="K5563">_xlfn.SWITCH(LeadsData[[#This Row],[Funnel Stage Reached]],"Lead",1,"MQL",2,"SQL",3,"Customer",4)</f>
        <v>1</v>
      </c>
      <c r="L5563" t="str">
        <f>TEXT(LeadsData[[#This Row],[Signup Date]],"mmm-yyyy")</f>
        <v>Apr-2024</v>
      </c>
      <c r="M5563">
        <f>IF(LeadsData[[#This Row],[Stage Number]]&gt;=2,1,0)</f>
        <v>0</v>
      </c>
      <c r="N5563" s="2">
        <f>IF(LeadsData[[#This Row],[Stage Number]]&gt;=3,1,0)</f>
        <v>0</v>
      </c>
      <c r="O5563" s="2">
        <f>IF(LeadsData[[#This Row],[Stage Number]]&gt;=4,1,0)</f>
        <v>0</v>
      </c>
    </row>
    <row r="5564" spans="1:15" x14ac:dyDescent="0.25">
      <c r="A5564" t="s">
        <v>5604</v>
      </c>
      <c r="B5564" s="1">
        <v>45616</v>
      </c>
      <c r="C5564" t="s">
        <v>25</v>
      </c>
      <c r="D5564" t="s">
        <v>26</v>
      </c>
      <c r="E5564" t="s">
        <v>21</v>
      </c>
      <c r="F5564" t="s">
        <v>22</v>
      </c>
      <c r="G5564" t="s">
        <v>15</v>
      </c>
      <c r="K5564" cm="1">
        <f t="array" ref="K5564">_xlfn.SWITCH(LeadsData[[#This Row],[Funnel Stage Reached]],"Lead",1,"MQL",2,"SQL",3,"Customer",4)</f>
        <v>1</v>
      </c>
      <c r="L5564" t="str">
        <f>TEXT(LeadsData[[#This Row],[Signup Date]],"mmm-yyyy")</f>
        <v>Nov-2024</v>
      </c>
      <c r="M5564">
        <f>IF(LeadsData[[#This Row],[Stage Number]]&gt;=2,1,0)</f>
        <v>0</v>
      </c>
      <c r="N5564" s="2">
        <f>IF(LeadsData[[#This Row],[Stage Number]]&gt;=3,1,0)</f>
        <v>0</v>
      </c>
      <c r="O5564" s="2">
        <f>IF(LeadsData[[#This Row],[Stage Number]]&gt;=4,1,0)</f>
        <v>0</v>
      </c>
    </row>
    <row r="5565" spans="1:15" x14ac:dyDescent="0.25">
      <c r="A5565" t="s">
        <v>5605</v>
      </c>
      <c r="B5565" s="1">
        <v>45451</v>
      </c>
      <c r="C5565" t="s">
        <v>31</v>
      </c>
      <c r="D5565" t="s">
        <v>32</v>
      </c>
      <c r="E5565" t="s">
        <v>13</v>
      </c>
      <c r="F5565" t="s">
        <v>22</v>
      </c>
      <c r="G5565" t="s">
        <v>42</v>
      </c>
      <c r="H5565">
        <v>67</v>
      </c>
      <c r="I5565" t="s">
        <v>43</v>
      </c>
      <c r="J5565">
        <v>957.17</v>
      </c>
      <c r="K5565" cm="1">
        <f t="array" ref="K5565">_xlfn.SWITCH(LeadsData[[#This Row],[Funnel Stage Reached]],"Lead",1,"MQL",2,"SQL",3,"Customer",4)</f>
        <v>4</v>
      </c>
      <c r="L5565" t="str">
        <f>TEXT(LeadsData[[#This Row],[Signup Date]],"mmm-yyyy")</f>
        <v>Jun-2024</v>
      </c>
      <c r="M5565">
        <f>IF(LeadsData[[#This Row],[Stage Number]]&gt;=2,1,0)</f>
        <v>1</v>
      </c>
      <c r="N5565" s="2">
        <f>IF(LeadsData[[#This Row],[Stage Number]]&gt;=3,1,0)</f>
        <v>1</v>
      </c>
      <c r="O5565" s="2">
        <f>IF(LeadsData[[#This Row],[Stage Number]]&gt;=4,1,0)</f>
        <v>1</v>
      </c>
    </row>
    <row r="5566" spans="1:15" x14ac:dyDescent="0.25">
      <c r="A5566" t="s">
        <v>5606</v>
      </c>
      <c r="B5566" s="1">
        <v>45455</v>
      </c>
      <c r="C5566" t="s">
        <v>25</v>
      </c>
      <c r="D5566" t="s">
        <v>26</v>
      </c>
      <c r="E5566" t="s">
        <v>13</v>
      </c>
      <c r="F5566" t="s">
        <v>19</v>
      </c>
      <c r="G5566" t="s">
        <v>15</v>
      </c>
      <c r="K5566" cm="1">
        <f t="array" ref="K5566">_xlfn.SWITCH(LeadsData[[#This Row],[Funnel Stage Reached]],"Lead",1,"MQL",2,"SQL",3,"Customer",4)</f>
        <v>1</v>
      </c>
      <c r="L5566" t="str">
        <f>TEXT(LeadsData[[#This Row],[Signup Date]],"mmm-yyyy")</f>
        <v>Jun-2024</v>
      </c>
      <c r="M5566">
        <f>IF(LeadsData[[#This Row],[Stage Number]]&gt;=2,1,0)</f>
        <v>0</v>
      </c>
      <c r="N5566" s="2">
        <f>IF(LeadsData[[#This Row],[Stage Number]]&gt;=3,1,0)</f>
        <v>0</v>
      </c>
      <c r="O5566" s="2">
        <f>IF(LeadsData[[#This Row],[Stage Number]]&gt;=4,1,0)</f>
        <v>0</v>
      </c>
    </row>
    <row r="5567" spans="1:15" x14ac:dyDescent="0.25">
      <c r="A5567" t="s">
        <v>5607</v>
      </c>
      <c r="B5567" s="1">
        <v>45359</v>
      </c>
      <c r="C5567" t="s">
        <v>31</v>
      </c>
      <c r="D5567" t="s">
        <v>34</v>
      </c>
      <c r="E5567" t="s">
        <v>21</v>
      </c>
      <c r="F5567" t="s">
        <v>22</v>
      </c>
      <c r="G5567" t="s">
        <v>29</v>
      </c>
      <c r="K5567" cm="1">
        <f t="array" ref="K5567">_xlfn.SWITCH(LeadsData[[#This Row],[Funnel Stage Reached]],"Lead",1,"MQL",2,"SQL",3,"Customer",4)</f>
        <v>3</v>
      </c>
      <c r="L5567" t="str">
        <f>TEXT(LeadsData[[#This Row],[Signup Date]],"mmm-yyyy")</f>
        <v>Mar-2024</v>
      </c>
      <c r="M5567">
        <f>IF(LeadsData[[#This Row],[Stage Number]]&gt;=2,1,0)</f>
        <v>1</v>
      </c>
      <c r="N5567" s="2">
        <f>IF(LeadsData[[#This Row],[Stage Number]]&gt;=3,1,0)</f>
        <v>1</v>
      </c>
      <c r="O5567" s="2">
        <f>IF(LeadsData[[#This Row],[Stage Number]]&gt;=4,1,0)</f>
        <v>0</v>
      </c>
    </row>
    <row r="5568" spans="1:15" x14ac:dyDescent="0.25">
      <c r="A5568" t="s">
        <v>5608</v>
      </c>
      <c r="B5568" s="1">
        <v>45385</v>
      </c>
      <c r="C5568" t="s">
        <v>17</v>
      </c>
      <c r="D5568" t="s">
        <v>18</v>
      </c>
      <c r="E5568" t="s">
        <v>21</v>
      </c>
      <c r="F5568" t="s">
        <v>14</v>
      </c>
      <c r="G5568" t="s">
        <v>23</v>
      </c>
      <c r="K5568" cm="1">
        <f t="array" ref="K5568">_xlfn.SWITCH(LeadsData[[#This Row],[Funnel Stage Reached]],"Lead",1,"MQL",2,"SQL",3,"Customer",4)</f>
        <v>2</v>
      </c>
      <c r="L5568" t="str">
        <f>TEXT(LeadsData[[#This Row],[Signup Date]],"mmm-yyyy")</f>
        <v>Apr-2024</v>
      </c>
      <c r="M5568">
        <f>IF(LeadsData[[#This Row],[Stage Number]]&gt;=2,1,0)</f>
        <v>1</v>
      </c>
      <c r="N5568" s="2">
        <f>IF(LeadsData[[#This Row],[Stage Number]]&gt;=3,1,0)</f>
        <v>0</v>
      </c>
      <c r="O5568" s="2">
        <f>IF(LeadsData[[#This Row],[Stage Number]]&gt;=4,1,0)</f>
        <v>0</v>
      </c>
    </row>
    <row r="5569" spans="1:15" x14ac:dyDescent="0.25">
      <c r="A5569" t="s">
        <v>5609</v>
      </c>
      <c r="B5569" s="1">
        <v>45484</v>
      </c>
      <c r="C5569" t="s">
        <v>36</v>
      </c>
      <c r="D5569" t="s">
        <v>50</v>
      </c>
      <c r="E5569" t="s">
        <v>13</v>
      </c>
      <c r="F5569" t="s">
        <v>14</v>
      </c>
      <c r="G5569" t="s">
        <v>42</v>
      </c>
      <c r="H5569">
        <v>17</v>
      </c>
      <c r="I5569" t="s">
        <v>183</v>
      </c>
      <c r="J5569">
        <v>9312.0499999999993</v>
      </c>
      <c r="K5569" cm="1">
        <f t="array" ref="K5569">_xlfn.SWITCH(LeadsData[[#This Row],[Funnel Stage Reached]],"Lead",1,"MQL",2,"SQL",3,"Customer",4)</f>
        <v>4</v>
      </c>
      <c r="L5569" t="str">
        <f>TEXT(LeadsData[[#This Row],[Signup Date]],"mmm-yyyy")</f>
        <v>Jul-2024</v>
      </c>
      <c r="M5569">
        <f>IF(LeadsData[[#This Row],[Stage Number]]&gt;=2,1,0)</f>
        <v>1</v>
      </c>
      <c r="N5569" s="2">
        <f>IF(LeadsData[[#This Row],[Stage Number]]&gt;=3,1,0)</f>
        <v>1</v>
      </c>
      <c r="O5569" s="2">
        <f>IF(LeadsData[[#This Row],[Stage Number]]&gt;=4,1,0)</f>
        <v>1</v>
      </c>
    </row>
    <row r="5570" spans="1:15" x14ac:dyDescent="0.25">
      <c r="A5570" t="s">
        <v>5610</v>
      </c>
      <c r="B5570" s="1">
        <v>45484</v>
      </c>
      <c r="C5570" t="s">
        <v>25</v>
      </c>
      <c r="D5570" t="s">
        <v>26</v>
      </c>
      <c r="E5570" t="s">
        <v>13</v>
      </c>
      <c r="F5570" t="s">
        <v>19</v>
      </c>
      <c r="G5570" t="s">
        <v>15</v>
      </c>
      <c r="K5570" cm="1">
        <f t="array" ref="K5570">_xlfn.SWITCH(LeadsData[[#This Row],[Funnel Stage Reached]],"Lead",1,"MQL",2,"SQL",3,"Customer",4)</f>
        <v>1</v>
      </c>
      <c r="L5570" t="str">
        <f>TEXT(LeadsData[[#This Row],[Signup Date]],"mmm-yyyy")</f>
        <v>Jul-2024</v>
      </c>
      <c r="M5570">
        <f>IF(LeadsData[[#This Row],[Stage Number]]&gt;=2,1,0)</f>
        <v>0</v>
      </c>
      <c r="N5570" s="2">
        <f>IF(LeadsData[[#This Row],[Stage Number]]&gt;=3,1,0)</f>
        <v>0</v>
      </c>
      <c r="O5570" s="2">
        <f>IF(LeadsData[[#This Row],[Stage Number]]&gt;=4,1,0)</f>
        <v>0</v>
      </c>
    </row>
    <row r="5571" spans="1:15" x14ac:dyDescent="0.25">
      <c r="A5571" t="s">
        <v>5611</v>
      </c>
      <c r="B5571" s="1">
        <v>45448</v>
      </c>
      <c r="C5571" t="s">
        <v>31</v>
      </c>
      <c r="D5571" t="s">
        <v>34</v>
      </c>
      <c r="E5571" t="s">
        <v>48</v>
      </c>
      <c r="F5571" t="s">
        <v>22</v>
      </c>
      <c r="G5571" t="s">
        <v>15</v>
      </c>
      <c r="K5571" cm="1">
        <f t="array" ref="K5571">_xlfn.SWITCH(LeadsData[[#This Row],[Funnel Stage Reached]],"Lead",1,"MQL",2,"SQL",3,"Customer",4)</f>
        <v>1</v>
      </c>
      <c r="L5571" t="str">
        <f>TEXT(LeadsData[[#This Row],[Signup Date]],"mmm-yyyy")</f>
        <v>Jun-2024</v>
      </c>
      <c r="M5571">
        <f>IF(LeadsData[[#This Row],[Stage Number]]&gt;=2,1,0)</f>
        <v>0</v>
      </c>
      <c r="N5571" s="2">
        <f>IF(LeadsData[[#This Row],[Stage Number]]&gt;=3,1,0)</f>
        <v>0</v>
      </c>
      <c r="O5571" s="2">
        <f>IF(LeadsData[[#This Row],[Stage Number]]&gt;=4,1,0)</f>
        <v>0</v>
      </c>
    </row>
    <row r="5572" spans="1:15" x14ac:dyDescent="0.25">
      <c r="A5572" t="s">
        <v>5612</v>
      </c>
      <c r="B5572" s="1">
        <v>45392</v>
      </c>
      <c r="C5572" t="s">
        <v>31</v>
      </c>
      <c r="D5572" t="s">
        <v>34</v>
      </c>
      <c r="E5572" t="s">
        <v>13</v>
      </c>
      <c r="F5572" t="s">
        <v>22</v>
      </c>
      <c r="G5572" t="s">
        <v>15</v>
      </c>
      <c r="K5572" cm="1">
        <f t="array" ref="K5572">_xlfn.SWITCH(LeadsData[[#This Row],[Funnel Stage Reached]],"Lead",1,"MQL",2,"SQL",3,"Customer",4)</f>
        <v>1</v>
      </c>
      <c r="L5572" t="str">
        <f>TEXT(LeadsData[[#This Row],[Signup Date]],"mmm-yyyy")</f>
        <v>Apr-2024</v>
      </c>
      <c r="M5572">
        <f>IF(LeadsData[[#This Row],[Stage Number]]&gt;=2,1,0)</f>
        <v>0</v>
      </c>
      <c r="N5572" s="2">
        <f>IF(LeadsData[[#This Row],[Stage Number]]&gt;=3,1,0)</f>
        <v>0</v>
      </c>
      <c r="O5572" s="2">
        <f>IF(LeadsData[[#This Row],[Stage Number]]&gt;=4,1,0)</f>
        <v>0</v>
      </c>
    </row>
    <row r="5573" spans="1:15" x14ac:dyDescent="0.25">
      <c r="A5573" t="s">
        <v>5613</v>
      </c>
      <c r="B5573" s="1">
        <v>45599</v>
      </c>
      <c r="C5573" t="s">
        <v>17</v>
      </c>
      <c r="D5573" t="s">
        <v>18</v>
      </c>
      <c r="E5573" t="s">
        <v>13</v>
      </c>
      <c r="F5573" t="s">
        <v>22</v>
      </c>
      <c r="G5573" t="s">
        <v>23</v>
      </c>
      <c r="K5573" cm="1">
        <f t="array" ref="K5573">_xlfn.SWITCH(LeadsData[[#This Row],[Funnel Stage Reached]],"Lead",1,"MQL",2,"SQL",3,"Customer",4)</f>
        <v>2</v>
      </c>
      <c r="L5573" t="str">
        <f>TEXT(LeadsData[[#This Row],[Signup Date]],"mmm-yyyy")</f>
        <v>Nov-2024</v>
      </c>
      <c r="M5573">
        <f>IF(LeadsData[[#This Row],[Stage Number]]&gt;=2,1,0)</f>
        <v>1</v>
      </c>
      <c r="N5573" s="2">
        <f>IF(LeadsData[[#This Row],[Stage Number]]&gt;=3,1,0)</f>
        <v>0</v>
      </c>
      <c r="O5573" s="2">
        <f>IF(LeadsData[[#This Row],[Stage Number]]&gt;=4,1,0)</f>
        <v>0</v>
      </c>
    </row>
    <row r="5574" spans="1:15" x14ac:dyDescent="0.25">
      <c r="A5574" t="s">
        <v>5614</v>
      </c>
      <c r="B5574" s="1">
        <v>45529</v>
      </c>
      <c r="C5574" t="s">
        <v>31</v>
      </c>
      <c r="D5574" t="s">
        <v>32</v>
      </c>
      <c r="E5574" t="s">
        <v>13</v>
      </c>
      <c r="F5574" t="s">
        <v>19</v>
      </c>
      <c r="G5574" t="s">
        <v>29</v>
      </c>
      <c r="K5574" cm="1">
        <f t="array" ref="K5574">_xlfn.SWITCH(LeadsData[[#This Row],[Funnel Stage Reached]],"Lead",1,"MQL",2,"SQL",3,"Customer",4)</f>
        <v>3</v>
      </c>
      <c r="L5574" t="str">
        <f>TEXT(LeadsData[[#This Row],[Signup Date]],"mmm-yyyy")</f>
        <v>Aug-2024</v>
      </c>
      <c r="M5574">
        <f>IF(LeadsData[[#This Row],[Stage Number]]&gt;=2,1,0)</f>
        <v>1</v>
      </c>
      <c r="N5574" s="2">
        <f>IF(LeadsData[[#This Row],[Stage Number]]&gt;=3,1,0)</f>
        <v>1</v>
      </c>
      <c r="O5574" s="2">
        <f>IF(LeadsData[[#This Row],[Stage Number]]&gt;=4,1,0)</f>
        <v>0</v>
      </c>
    </row>
    <row r="5575" spans="1:15" x14ac:dyDescent="0.25">
      <c r="A5575" t="s">
        <v>5615</v>
      </c>
      <c r="B5575" s="1">
        <v>45501</v>
      </c>
      <c r="C5575" t="s">
        <v>31</v>
      </c>
      <c r="D5575" t="s">
        <v>32</v>
      </c>
      <c r="E5575" t="s">
        <v>13</v>
      </c>
      <c r="F5575" t="s">
        <v>14</v>
      </c>
      <c r="G5575" t="s">
        <v>23</v>
      </c>
      <c r="K5575" cm="1">
        <f t="array" ref="K5575">_xlfn.SWITCH(LeadsData[[#This Row],[Funnel Stage Reached]],"Lead",1,"MQL",2,"SQL",3,"Customer",4)</f>
        <v>2</v>
      </c>
      <c r="L5575" t="str">
        <f>TEXT(LeadsData[[#This Row],[Signup Date]],"mmm-yyyy")</f>
        <v>Jul-2024</v>
      </c>
      <c r="M5575">
        <f>IF(LeadsData[[#This Row],[Stage Number]]&gt;=2,1,0)</f>
        <v>1</v>
      </c>
      <c r="N5575" s="2">
        <f>IF(LeadsData[[#This Row],[Stage Number]]&gt;=3,1,0)</f>
        <v>0</v>
      </c>
      <c r="O5575" s="2">
        <f>IF(LeadsData[[#This Row],[Stage Number]]&gt;=4,1,0)</f>
        <v>0</v>
      </c>
    </row>
    <row r="5576" spans="1:15" x14ac:dyDescent="0.25">
      <c r="A5576" t="s">
        <v>5616</v>
      </c>
      <c r="B5576" s="1">
        <v>45483</v>
      </c>
      <c r="C5576" t="s">
        <v>31</v>
      </c>
      <c r="D5576" t="s">
        <v>34</v>
      </c>
      <c r="E5576" t="s">
        <v>48</v>
      </c>
      <c r="F5576" t="s">
        <v>14</v>
      </c>
      <c r="G5576" t="s">
        <v>23</v>
      </c>
      <c r="K5576" cm="1">
        <f t="array" ref="K5576">_xlfn.SWITCH(LeadsData[[#This Row],[Funnel Stage Reached]],"Lead",1,"MQL",2,"SQL",3,"Customer",4)</f>
        <v>2</v>
      </c>
      <c r="L5576" t="str">
        <f>TEXT(LeadsData[[#This Row],[Signup Date]],"mmm-yyyy")</f>
        <v>Jul-2024</v>
      </c>
      <c r="M5576">
        <f>IF(LeadsData[[#This Row],[Stage Number]]&gt;=2,1,0)</f>
        <v>1</v>
      </c>
      <c r="N5576" s="2">
        <f>IF(LeadsData[[#This Row],[Stage Number]]&gt;=3,1,0)</f>
        <v>0</v>
      </c>
      <c r="O5576" s="2">
        <f>IF(LeadsData[[#This Row],[Stage Number]]&gt;=4,1,0)</f>
        <v>0</v>
      </c>
    </row>
    <row r="5577" spans="1:15" x14ac:dyDescent="0.25">
      <c r="A5577" t="s">
        <v>5617</v>
      </c>
      <c r="B5577" s="1">
        <v>45531</v>
      </c>
      <c r="C5577" t="s">
        <v>46</v>
      </c>
      <c r="D5577" t="s">
        <v>47</v>
      </c>
      <c r="E5577" t="s">
        <v>21</v>
      </c>
      <c r="F5577" t="s">
        <v>28</v>
      </c>
      <c r="G5577" t="s">
        <v>29</v>
      </c>
      <c r="K5577" cm="1">
        <f t="array" ref="K5577">_xlfn.SWITCH(LeadsData[[#This Row],[Funnel Stage Reached]],"Lead",1,"MQL",2,"SQL",3,"Customer",4)</f>
        <v>3</v>
      </c>
      <c r="L5577" t="str">
        <f>TEXT(LeadsData[[#This Row],[Signup Date]],"mmm-yyyy")</f>
        <v>Aug-2024</v>
      </c>
      <c r="M5577">
        <f>IF(LeadsData[[#This Row],[Stage Number]]&gt;=2,1,0)</f>
        <v>1</v>
      </c>
      <c r="N5577" s="2">
        <f>IF(LeadsData[[#This Row],[Stage Number]]&gt;=3,1,0)</f>
        <v>1</v>
      </c>
      <c r="O5577" s="2">
        <f>IF(LeadsData[[#This Row],[Stage Number]]&gt;=4,1,0)</f>
        <v>0</v>
      </c>
    </row>
    <row r="5578" spans="1:15" x14ac:dyDescent="0.25">
      <c r="A5578" t="s">
        <v>5618</v>
      </c>
      <c r="B5578" s="1">
        <v>45599</v>
      </c>
      <c r="C5578" t="s">
        <v>36</v>
      </c>
      <c r="D5578" t="s">
        <v>37</v>
      </c>
      <c r="E5578" t="s">
        <v>21</v>
      </c>
      <c r="F5578" t="s">
        <v>19</v>
      </c>
      <c r="G5578" t="s">
        <v>23</v>
      </c>
      <c r="K5578" cm="1">
        <f t="array" ref="K5578">_xlfn.SWITCH(LeadsData[[#This Row],[Funnel Stage Reached]],"Lead",1,"MQL",2,"SQL",3,"Customer",4)</f>
        <v>2</v>
      </c>
      <c r="L5578" t="str">
        <f>TEXT(LeadsData[[#This Row],[Signup Date]],"mmm-yyyy")</f>
        <v>Nov-2024</v>
      </c>
      <c r="M5578">
        <f>IF(LeadsData[[#This Row],[Stage Number]]&gt;=2,1,0)</f>
        <v>1</v>
      </c>
      <c r="N5578" s="2">
        <f>IF(LeadsData[[#This Row],[Stage Number]]&gt;=3,1,0)</f>
        <v>0</v>
      </c>
      <c r="O5578" s="2">
        <f>IF(LeadsData[[#This Row],[Stage Number]]&gt;=4,1,0)</f>
        <v>0</v>
      </c>
    </row>
    <row r="5579" spans="1:15" x14ac:dyDescent="0.25">
      <c r="A5579" t="s">
        <v>5619</v>
      </c>
      <c r="B5579" s="1">
        <v>45582</v>
      </c>
      <c r="C5579" t="s">
        <v>31</v>
      </c>
      <c r="D5579" t="s">
        <v>34</v>
      </c>
      <c r="E5579" t="s">
        <v>13</v>
      </c>
      <c r="F5579" t="s">
        <v>19</v>
      </c>
      <c r="G5579" t="s">
        <v>23</v>
      </c>
      <c r="K5579" cm="1">
        <f t="array" ref="K5579">_xlfn.SWITCH(LeadsData[[#This Row],[Funnel Stage Reached]],"Lead",1,"MQL",2,"SQL",3,"Customer",4)</f>
        <v>2</v>
      </c>
      <c r="L5579" t="str">
        <f>TEXT(LeadsData[[#This Row],[Signup Date]],"mmm-yyyy")</f>
        <v>Oct-2024</v>
      </c>
      <c r="M5579">
        <f>IF(LeadsData[[#This Row],[Stage Number]]&gt;=2,1,0)</f>
        <v>1</v>
      </c>
      <c r="N5579" s="2">
        <f>IF(LeadsData[[#This Row],[Stage Number]]&gt;=3,1,0)</f>
        <v>0</v>
      </c>
      <c r="O5579" s="2">
        <f>IF(LeadsData[[#This Row],[Stage Number]]&gt;=4,1,0)</f>
        <v>0</v>
      </c>
    </row>
    <row r="5580" spans="1:15" x14ac:dyDescent="0.25">
      <c r="A5580" t="s">
        <v>5620</v>
      </c>
      <c r="B5580" s="1">
        <v>45498</v>
      </c>
      <c r="C5580" t="s">
        <v>25</v>
      </c>
      <c r="D5580" t="s">
        <v>26</v>
      </c>
      <c r="E5580" t="s">
        <v>21</v>
      </c>
      <c r="F5580" t="s">
        <v>19</v>
      </c>
      <c r="G5580" t="s">
        <v>29</v>
      </c>
      <c r="K5580" cm="1">
        <f t="array" ref="K5580">_xlfn.SWITCH(LeadsData[[#This Row],[Funnel Stage Reached]],"Lead",1,"MQL",2,"SQL",3,"Customer",4)</f>
        <v>3</v>
      </c>
      <c r="L5580" t="str">
        <f>TEXT(LeadsData[[#This Row],[Signup Date]],"mmm-yyyy")</f>
        <v>Jul-2024</v>
      </c>
      <c r="M5580">
        <f>IF(LeadsData[[#This Row],[Stage Number]]&gt;=2,1,0)</f>
        <v>1</v>
      </c>
      <c r="N5580" s="2">
        <f>IF(LeadsData[[#This Row],[Stage Number]]&gt;=3,1,0)</f>
        <v>1</v>
      </c>
      <c r="O5580" s="2">
        <f>IF(LeadsData[[#This Row],[Stage Number]]&gt;=4,1,0)</f>
        <v>0</v>
      </c>
    </row>
    <row r="5581" spans="1:15" x14ac:dyDescent="0.25">
      <c r="A5581" t="s">
        <v>5621</v>
      </c>
      <c r="B5581" s="1">
        <v>45343</v>
      </c>
      <c r="C5581" t="s">
        <v>17</v>
      </c>
      <c r="D5581" t="s">
        <v>53</v>
      </c>
      <c r="E5581" t="s">
        <v>13</v>
      </c>
      <c r="F5581" t="s">
        <v>28</v>
      </c>
      <c r="G5581" t="s">
        <v>42</v>
      </c>
      <c r="H5581">
        <v>54</v>
      </c>
      <c r="I5581" t="s">
        <v>183</v>
      </c>
      <c r="J5581">
        <v>18380.099999999999</v>
      </c>
      <c r="K5581" cm="1">
        <f t="array" ref="K5581">_xlfn.SWITCH(LeadsData[[#This Row],[Funnel Stage Reached]],"Lead",1,"MQL",2,"SQL",3,"Customer",4)</f>
        <v>4</v>
      </c>
      <c r="L5581" t="str">
        <f>TEXT(LeadsData[[#This Row],[Signup Date]],"mmm-yyyy")</f>
        <v>Feb-2024</v>
      </c>
      <c r="M5581">
        <f>IF(LeadsData[[#This Row],[Stage Number]]&gt;=2,1,0)</f>
        <v>1</v>
      </c>
      <c r="N5581" s="2">
        <f>IF(LeadsData[[#This Row],[Stage Number]]&gt;=3,1,0)</f>
        <v>1</v>
      </c>
      <c r="O5581" s="2">
        <f>IF(LeadsData[[#This Row],[Stage Number]]&gt;=4,1,0)</f>
        <v>1</v>
      </c>
    </row>
    <row r="5582" spans="1:15" x14ac:dyDescent="0.25">
      <c r="A5582" t="s">
        <v>5622</v>
      </c>
      <c r="B5582" s="1">
        <v>45483</v>
      </c>
      <c r="C5582" t="s">
        <v>46</v>
      </c>
      <c r="D5582" t="s">
        <v>47</v>
      </c>
      <c r="E5582" t="s">
        <v>21</v>
      </c>
      <c r="F5582" t="s">
        <v>22</v>
      </c>
      <c r="G5582" t="s">
        <v>23</v>
      </c>
      <c r="K5582" cm="1">
        <f t="array" ref="K5582">_xlfn.SWITCH(LeadsData[[#This Row],[Funnel Stage Reached]],"Lead",1,"MQL",2,"SQL",3,"Customer",4)</f>
        <v>2</v>
      </c>
      <c r="L5582" t="str">
        <f>TEXT(LeadsData[[#This Row],[Signup Date]],"mmm-yyyy")</f>
        <v>Jul-2024</v>
      </c>
      <c r="M5582">
        <f>IF(LeadsData[[#This Row],[Stage Number]]&gt;=2,1,0)</f>
        <v>1</v>
      </c>
      <c r="N5582" s="2">
        <f>IF(LeadsData[[#This Row],[Stage Number]]&gt;=3,1,0)</f>
        <v>0</v>
      </c>
      <c r="O5582" s="2">
        <f>IF(LeadsData[[#This Row],[Stage Number]]&gt;=4,1,0)</f>
        <v>0</v>
      </c>
    </row>
    <row r="5583" spans="1:15" x14ac:dyDescent="0.25">
      <c r="A5583" t="s">
        <v>5623</v>
      </c>
      <c r="B5583" s="1">
        <v>45618</v>
      </c>
      <c r="C5583" t="s">
        <v>36</v>
      </c>
      <c r="D5583" t="s">
        <v>50</v>
      </c>
      <c r="E5583" t="s">
        <v>13</v>
      </c>
      <c r="F5583" t="s">
        <v>19</v>
      </c>
      <c r="G5583" t="s">
        <v>23</v>
      </c>
      <c r="K5583" cm="1">
        <f t="array" ref="K5583">_xlfn.SWITCH(LeadsData[[#This Row],[Funnel Stage Reached]],"Lead",1,"MQL",2,"SQL",3,"Customer",4)</f>
        <v>2</v>
      </c>
      <c r="L5583" t="str">
        <f>TEXT(LeadsData[[#This Row],[Signup Date]],"mmm-yyyy")</f>
        <v>Nov-2024</v>
      </c>
      <c r="M5583">
        <f>IF(LeadsData[[#This Row],[Stage Number]]&gt;=2,1,0)</f>
        <v>1</v>
      </c>
      <c r="N5583" s="2">
        <f>IF(LeadsData[[#This Row],[Stage Number]]&gt;=3,1,0)</f>
        <v>0</v>
      </c>
      <c r="O5583" s="2">
        <f>IF(LeadsData[[#This Row],[Stage Number]]&gt;=4,1,0)</f>
        <v>0</v>
      </c>
    </row>
    <row r="5584" spans="1:15" x14ac:dyDescent="0.25">
      <c r="A5584" t="s">
        <v>5624</v>
      </c>
      <c r="B5584" s="1">
        <v>45297</v>
      </c>
      <c r="C5584" t="s">
        <v>17</v>
      </c>
      <c r="D5584" t="s">
        <v>18</v>
      </c>
      <c r="E5584" t="s">
        <v>13</v>
      </c>
      <c r="F5584" t="s">
        <v>22</v>
      </c>
      <c r="G5584" t="s">
        <v>15</v>
      </c>
      <c r="K5584" cm="1">
        <f t="array" ref="K5584">_xlfn.SWITCH(LeadsData[[#This Row],[Funnel Stage Reached]],"Lead",1,"MQL",2,"SQL",3,"Customer",4)</f>
        <v>1</v>
      </c>
      <c r="L5584" t="str">
        <f>TEXT(LeadsData[[#This Row],[Signup Date]],"mmm-yyyy")</f>
        <v>Jan-2024</v>
      </c>
      <c r="M5584">
        <f>IF(LeadsData[[#This Row],[Stage Number]]&gt;=2,1,0)</f>
        <v>0</v>
      </c>
      <c r="N5584" s="2">
        <f>IF(LeadsData[[#This Row],[Stage Number]]&gt;=3,1,0)</f>
        <v>0</v>
      </c>
      <c r="O5584" s="2">
        <f>IF(LeadsData[[#This Row],[Stage Number]]&gt;=4,1,0)</f>
        <v>0</v>
      </c>
    </row>
    <row r="5585" spans="1:15" x14ac:dyDescent="0.25">
      <c r="A5585" t="s">
        <v>5625</v>
      </c>
      <c r="B5585" s="1">
        <v>45526</v>
      </c>
      <c r="C5585" t="s">
        <v>36</v>
      </c>
      <c r="D5585" t="s">
        <v>50</v>
      </c>
      <c r="E5585" t="s">
        <v>13</v>
      </c>
      <c r="F5585" t="s">
        <v>19</v>
      </c>
      <c r="G5585" t="s">
        <v>42</v>
      </c>
      <c r="H5585">
        <v>68</v>
      </c>
      <c r="I5585" t="s">
        <v>183</v>
      </c>
      <c r="J5585">
        <v>10450.379999999999</v>
      </c>
      <c r="K5585" cm="1">
        <f t="array" ref="K5585">_xlfn.SWITCH(LeadsData[[#This Row],[Funnel Stage Reached]],"Lead",1,"MQL",2,"SQL",3,"Customer",4)</f>
        <v>4</v>
      </c>
      <c r="L5585" t="str">
        <f>TEXT(LeadsData[[#This Row],[Signup Date]],"mmm-yyyy")</f>
        <v>Aug-2024</v>
      </c>
      <c r="M5585">
        <f>IF(LeadsData[[#This Row],[Stage Number]]&gt;=2,1,0)</f>
        <v>1</v>
      </c>
      <c r="N5585" s="2">
        <f>IF(LeadsData[[#This Row],[Stage Number]]&gt;=3,1,0)</f>
        <v>1</v>
      </c>
      <c r="O5585" s="2">
        <f>IF(LeadsData[[#This Row],[Stage Number]]&gt;=4,1,0)</f>
        <v>1</v>
      </c>
    </row>
    <row r="5586" spans="1:15" x14ac:dyDescent="0.25">
      <c r="A5586" t="s">
        <v>5626</v>
      </c>
      <c r="B5586" s="1">
        <v>45466</v>
      </c>
      <c r="C5586" t="s">
        <v>36</v>
      </c>
      <c r="D5586" t="s">
        <v>50</v>
      </c>
      <c r="E5586" t="s">
        <v>13</v>
      </c>
      <c r="F5586" t="s">
        <v>19</v>
      </c>
      <c r="G5586" t="s">
        <v>23</v>
      </c>
      <c r="K5586" cm="1">
        <f t="array" ref="K5586">_xlfn.SWITCH(LeadsData[[#This Row],[Funnel Stage Reached]],"Lead",1,"MQL",2,"SQL",3,"Customer",4)</f>
        <v>2</v>
      </c>
      <c r="L5586" t="str">
        <f>TEXT(LeadsData[[#This Row],[Signup Date]],"mmm-yyyy")</f>
        <v>Jun-2024</v>
      </c>
      <c r="M5586">
        <f>IF(LeadsData[[#This Row],[Stage Number]]&gt;=2,1,0)</f>
        <v>1</v>
      </c>
      <c r="N5586" s="2">
        <f>IF(LeadsData[[#This Row],[Stage Number]]&gt;=3,1,0)</f>
        <v>0</v>
      </c>
      <c r="O5586" s="2">
        <f>IF(LeadsData[[#This Row],[Stage Number]]&gt;=4,1,0)</f>
        <v>0</v>
      </c>
    </row>
    <row r="5587" spans="1:15" x14ac:dyDescent="0.25">
      <c r="A5587" t="s">
        <v>5627</v>
      </c>
      <c r="B5587" s="1">
        <v>45603</v>
      </c>
      <c r="C5587" t="s">
        <v>46</v>
      </c>
      <c r="D5587" t="s">
        <v>56</v>
      </c>
      <c r="E5587" t="s">
        <v>13</v>
      </c>
      <c r="F5587" t="s">
        <v>19</v>
      </c>
      <c r="G5587" t="s">
        <v>23</v>
      </c>
      <c r="K5587" cm="1">
        <f t="array" ref="K5587">_xlfn.SWITCH(LeadsData[[#This Row],[Funnel Stage Reached]],"Lead",1,"MQL",2,"SQL",3,"Customer",4)</f>
        <v>2</v>
      </c>
      <c r="L5587" t="str">
        <f>TEXT(LeadsData[[#This Row],[Signup Date]],"mmm-yyyy")</f>
        <v>Nov-2024</v>
      </c>
      <c r="M5587">
        <f>IF(LeadsData[[#This Row],[Stage Number]]&gt;=2,1,0)</f>
        <v>1</v>
      </c>
      <c r="N5587" s="2">
        <f>IF(LeadsData[[#This Row],[Stage Number]]&gt;=3,1,0)</f>
        <v>0</v>
      </c>
      <c r="O5587" s="2">
        <f>IF(LeadsData[[#This Row],[Stage Number]]&gt;=4,1,0)</f>
        <v>0</v>
      </c>
    </row>
    <row r="5588" spans="1:15" x14ac:dyDescent="0.25">
      <c r="A5588" t="s">
        <v>5628</v>
      </c>
      <c r="B5588" s="1">
        <v>45542</v>
      </c>
      <c r="C5588" t="s">
        <v>36</v>
      </c>
      <c r="D5588" t="s">
        <v>37</v>
      </c>
      <c r="E5588" t="s">
        <v>21</v>
      </c>
      <c r="F5588" t="s">
        <v>28</v>
      </c>
      <c r="G5588" t="s">
        <v>23</v>
      </c>
      <c r="K5588" cm="1">
        <f t="array" ref="K5588">_xlfn.SWITCH(LeadsData[[#This Row],[Funnel Stage Reached]],"Lead",1,"MQL",2,"SQL",3,"Customer",4)</f>
        <v>2</v>
      </c>
      <c r="L5588" t="str">
        <f>TEXT(LeadsData[[#This Row],[Signup Date]],"mmm-yyyy")</f>
        <v>Sep-2024</v>
      </c>
      <c r="M5588">
        <f>IF(LeadsData[[#This Row],[Stage Number]]&gt;=2,1,0)</f>
        <v>1</v>
      </c>
      <c r="N5588" s="2">
        <f>IF(LeadsData[[#This Row],[Stage Number]]&gt;=3,1,0)</f>
        <v>0</v>
      </c>
      <c r="O5588" s="2">
        <f>IF(LeadsData[[#This Row],[Stage Number]]&gt;=4,1,0)</f>
        <v>0</v>
      </c>
    </row>
    <row r="5589" spans="1:15" x14ac:dyDescent="0.25">
      <c r="A5589" t="s">
        <v>5629</v>
      </c>
      <c r="B5589" s="1">
        <v>45509</v>
      </c>
      <c r="C5589" t="s">
        <v>46</v>
      </c>
      <c r="D5589" t="s">
        <v>47</v>
      </c>
      <c r="E5589" t="s">
        <v>13</v>
      </c>
      <c r="F5589" t="s">
        <v>19</v>
      </c>
      <c r="G5589" t="s">
        <v>23</v>
      </c>
      <c r="K5589" cm="1">
        <f t="array" ref="K5589">_xlfn.SWITCH(LeadsData[[#This Row],[Funnel Stage Reached]],"Lead",1,"MQL",2,"SQL",3,"Customer",4)</f>
        <v>2</v>
      </c>
      <c r="L5589" t="str">
        <f>TEXT(LeadsData[[#This Row],[Signup Date]],"mmm-yyyy")</f>
        <v>Aug-2024</v>
      </c>
      <c r="M5589">
        <f>IF(LeadsData[[#This Row],[Stage Number]]&gt;=2,1,0)</f>
        <v>1</v>
      </c>
      <c r="N5589" s="2">
        <f>IF(LeadsData[[#This Row],[Stage Number]]&gt;=3,1,0)</f>
        <v>0</v>
      </c>
      <c r="O5589" s="2">
        <f>IF(LeadsData[[#This Row],[Stage Number]]&gt;=4,1,0)</f>
        <v>0</v>
      </c>
    </row>
    <row r="5590" spans="1:15" x14ac:dyDescent="0.25">
      <c r="A5590" t="s">
        <v>5630</v>
      </c>
      <c r="B5590" s="1">
        <v>45446</v>
      </c>
      <c r="C5590" t="s">
        <v>11</v>
      </c>
      <c r="D5590" t="s">
        <v>12</v>
      </c>
      <c r="E5590" t="s">
        <v>48</v>
      </c>
      <c r="F5590" t="s">
        <v>22</v>
      </c>
      <c r="G5590" t="s">
        <v>15</v>
      </c>
      <c r="K5590" cm="1">
        <f t="array" ref="K5590">_xlfn.SWITCH(LeadsData[[#This Row],[Funnel Stage Reached]],"Lead",1,"MQL",2,"SQL",3,"Customer",4)</f>
        <v>1</v>
      </c>
      <c r="L5590" t="str">
        <f>TEXT(LeadsData[[#This Row],[Signup Date]],"mmm-yyyy")</f>
        <v>Jun-2024</v>
      </c>
      <c r="M5590">
        <f>IF(LeadsData[[#This Row],[Stage Number]]&gt;=2,1,0)</f>
        <v>0</v>
      </c>
      <c r="N5590" s="2">
        <f>IF(LeadsData[[#This Row],[Stage Number]]&gt;=3,1,0)</f>
        <v>0</v>
      </c>
      <c r="O5590" s="2">
        <f>IF(LeadsData[[#This Row],[Stage Number]]&gt;=4,1,0)</f>
        <v>0</v>
      </c>
    </row>
    <row r="5591" spans="1:15" x14ac:dyDescent="0.25">
      <c r="A5591" t="s">
        <v>5631</v>
      </c>
      <c r="B5591" s="1">
        <v>45344</v>
      </c>
      <c r="C5591" t="s">
        <v>36</v>
      </c>
      <c r="D5591" t="s">
        <v>37</v>
      </c>
      <c r="E5591" t="s">
        <v>13</v>
      </c>
      <c r="F5591" t="s">
        <v>22</v>
      </c>
      <c r="G5591" t="s">
        <v>29</v>
      </c>
      <c r="K5591" cm="1">
        <f t="array" ref="K5591">_xlfn.SWITCH(LeadsData[[#This Row],[Funnel Stage Reached]],"Lead",1,"MQL",2,"SQL",3,"Customer",4)</f>
        <v>3</v>
      </c>
      <c r="L5591" t="str">
        <f>TEXT(LeadsData[[#This Row],[Signup Date]],"mmm-yyyy")</f>
        <v>Feb-2024</v>
      </c>
      <c r="M5591">
        <f>IF(LeadsData[[#This Row],[Stage Number]]&gt;=2,1,0)</f>
        <v>1</v>
      </c>
      <c r="N5591" s="2">
        <f>IF(LeadsData[[#This Row],[Stage Number]]&gt;=3,1,0)</f>
        <v>1</v>
      </c>
      <c r="O5591" s="2">
        <f>IF(LeadsData[[#This Row],[Stage Number]]&gt;=4,1,0)</f>
        <v>0</v>
      </c>
    </row>
    <row r="5592" spans="1:15" x14ac:dyDescent="0.25">
      <c r="A5592" t="s">
        <v>5632</v>
      </c>
      <c r="B5592" s="1">
        <v>45399</v>
      </c>
      <c r="C5592" t="s">
        <v>17</v>
      </c>
      <c r="D5592" t="s">
        <v>53</v>
      </c>
      <c r="E5592" t="s">
        <v>48</v>
      </c>
      <c r="F5592" t="s">
        <v>19</v>
      </c>
      <c r="G5592" t="s">
        <v>23</v>
      </c>
      <c r="K5592" cm="1">
        <f t="array" ref="K5592">_xlfn.SWITCH(LeadsData[[#This Row],[Funnel Stage Reached]],"Lead",1,"MQL",2,"SQL",3,"Customer",4)</f>
        <v>2</v>
      </c>
      <c r="L5592" t="str">
        <f>TEXT(LeadsData[[#This Row],[Signup Date]],"mmm-yyyy")</f>
        <v>Apr-2024</v>
      </c>
      <c r="M5592">
        <f>IF(LeadsData[[#This Row],[Stage Number]]&gt;=2,1,0)</f>
        <v>1</v>
      </c>
      <c r="N5592" s="2">
        <f>IF(LeadsData[[#This Row],[Stage Number]]&gt;=3,1,0)</f>
        <v>0</v>
      </c>
      <c r="O5592" s="2">
        <f>IF(LeadsData[[#This Row],[Stage Number]]&gt;=4,1,0)</f>
        <v>0</v>
      </c>
    </row>
    <row r="5593" spans="1:15" x14ac:dyDescent="0.25">
      <c r="A5593" t="s">
        <v>5633</v>
      </c>
      <c r="B5593" s="1">
        <v>45376</v>
      </c>
      <c r="C5593" t="s">
        <v>46</v>
      </c>
      <c r="D5593" t="s">
        <v>47</v>
      </c>
      <c r="E5593" t="s">
        <v>13</v>
      </c>
      <c r="F5593" t="s">
        <v>22</v>
      </c>
      <c r="G5593" t="s">
        <v>29</v>
      </c>
      <c r="K5593" cm="1">
        <f t="array" ref="K5593">_xlfn.SWITCH(LeadsData[[#This Row],[Funnel Stage Reached]],"Lead",1,"MQL",2,"SQL",3,"Customer",4)</f>
        <v>3</v>
      </c>
      <c r="L5593" t="str">
        <f>TEXT(LeadsData[[#This Row],[Signup Date]],"mmm-yyyy")</f>
        <v>Mar-2024</v>
      </c>
      <c r="M5593">
        <f>IF(LeadsData[[#This Row],[Stage Number]]&gt;=2,1,0)</f>
        <v>1</v>
      </c>
      <c r="N5593" s="2">
        <f>IF(LeadsData[[#This Row],[Stage Number]]&gt;=3,1,0)</f>
        <v>1</v>
      </c>
      <c r="O5593" s="2">
        <f>IF(LeadsData[[#This Row],[Stage Number]]&gt;=4,1,0)</f>
        <v>0</v>
      </c>
    </row>
    <row r="5594" spans="1:15" x14ac:dyDescent="0.25">
      <c r="A5594" t="s">
        <v>5634</v>
      </c>
      <c r="B5594" s="1">
        <v>45493</v>
      </c>
      <c r="C5594" t="s">
        <v>31</v>
      </c>
      <c r="D5594" t="s">
        <v>34</v>
      </c>
      <c r="E5594" t="s">
        <v>21</v>
      </c>
      <c r="F5594" t="s">
        <v>19</v>
      </c>
      <c r="G5594" t="s">
        <v>23</v>
      </c>
      <c r="K5594" cm="1">
        <f t="array" ref="K5594">_xlfn.SWITCH(LeadsData[[#This Row],[Funnel Stage Reached]],"Lead",1,"MQL",2,"SQL",3,"Customer",4)</f>
        <v>2</v>
      </c>
      <c r="L5594" t="str">
        <f>TEXT(LeadsData[[#This Row],[Signup Date]],"mmm-yyyy")</f>
        <v>Jul-2024</v>
      </c>
      <c r="M5594">
        <f>IF(LeadsData[[#This Row],[Stage Number]]&gt;=2,1,0)</f>
        <v>1</v>
      </c>
      <c r="N5594" s="2">
        <f>IF(LeadsData[[#This Row],[Stage Number]]&gt;=3,1,0)</f>
        <v>0</v>
      </c>
      <c r="O5594" s="2">
        <f>IF(LeadsData[[#This Row],[Stage Number]]&gt;=4,1,0)</f>
        <v>0</v>
      </c>
    </row>
    <row r="5595" spans="1:15" x14ac:dyDescent="0.25">
      <c r="A5595" t="s">
        <v>5635</v>
      </c>
      <c r="B5595" s="1">
        <v>45646</v>
      </c>
      <c r="C5595" t="s">
        <v>25</v>
      </c>
      <c r="D5595" t="s">
        <v>26</v>
      </c>
      <c r="E5595" t="s">
        <v>21</v>
      </c>
      <c r="F5595" t="s">
        <v>22</v>
      </c>
      <c r="G5595" t="s">
        <v>15</v>
      </c>
      <c r="K5595" cm="1">
        <f t="array" ref="K5595">_xlfn.SWITCH(LeadsData[[#This Row],[Funnel Stage Reached]],"Lead",1,"MQL",2,"SQL",3,"Customer",4)</f>
        <v>1</v>
      </c>
      <c r="L5595" t="str">
        <f>TEXT(LeadsData[[#This Row],[Signup Date]],"mmm-yyyy")</f>
        <v>Dec-2024</v>
      </c>
      <c r="M5595">
        <f>IF(LeadsData[[#This Row],[Stage Number]]&gt;=2,1,0)</f>
        <v>0</v>
      </c>
      <c r="N5595" s="2">
        <f>IF(LeadsData[[#This Row],[Stage Number]]&gt;=3,1,0)</f>
        <v>0</v>
      </c>
      <c r="O5595" s="2">
        <f>IF(LeadsData[[#This Row],[Stage Number]]&gt;=4,1,0)</f>
        <v>0</v>
      </c>
    </row>
    <row r="5596" spans="1:15" x14ac:dyDescent="0.25">
      <c r="A5596" t="s">
        <v>5636</v>
      </c>
      <c r="B5596" s="1">
        <v>45434</v>
      </c>
      <c r="C5596" t="s">
        <v>17</v>
      </c>
      <c r="D5596" t="s">
        <v>53</v>
      </c>
      <c r="E5596" t="s">
        <v>13</v>
      </c>
      <c r="F5596" t="s">
        <v>22</v>
      </c>
      <c r="G5596" t="s">
        <v>15</v>
      </c>
      <c r="K5596" cm="1">
        <f t="array" ref="K5596">_xlfn.SWITCH(LeadsData[[#This Row],[Funnel Stage Reached]],"Lead",1,"MQL",2,"SQL",3,"Customer",4)</f>
        <v>1</v>
      </c>
      <c r="L5596" t="str">
        <f>TEXT(LeadsData[[#This Row],[Signup Date]],"mmm-yyyy")</f>
        <v>May-2024</v>
      </c>
      <c r="M5596">
        <f>IF(LeadsData[[#This Row],[Stage Number]]&gt;=2,1,0)</f>
        <v>0</v>
      </c>
      <c r="N5596" s="2">
        <f>IF(LeadsData[[#This Row],[Stage Number]]&gt;=3,1,0)</f>
        <v>0</v>
      </c>
      <c r="O5596" s="2">
        <f>IF(LeadsData[[#This Row],[Stage Number]]&gt;=4,1,0)</f>
        <v>0</v>
      </c>
    </row>
    <row r="5597" spans="1:15" x14ac:dyDescent="0.25">
      <c r="A5597" t="s">
        <v>5637</v>
      </c>
      <c r="B5597" s="1">
        <v>45652</v>
      </c>
      <c r="C5597" t="s">
        <v>17</v>
      </c>
      <c r="D5597" t="s">
        <v>18</v>
      </c>
      <c r="E5597" t="s">
        <v>13</v>
      </c>
      <c r="F5597" t="s">
        <v>22</v>
      </c>
      <c r="G5597" t="s">
        <v>15</v>
      </c>
      <c r="K5597" cm="1">
        <f t="array" ref="K5597">_xlfn.SWITCH(LeadsData[[#This Row],[Funnel Stage Reached]],"Lead",1,"MQL",2,"SQL",3,"Customer",4)</f>
        <v>1</v>
      </c>
      <c r="L5597" t="str">
        <f>TEXT(LeadsData[[#This Row],[Signup Date]],"mmm-yyyy")</f>
        <v>Dec-2024</v>
      </c>
      <c r="M5597">
        <f>IF(LeadsData[[#This Row],[Stage Number]]&gt;=2,1,0)</f>
        <v>0</v>
      </c>
      <c r="N5597" s="2">
        <f>IF(LeadsData[[#This Row],[Stage Number]]&gt;=3,1,0)</f>
        <v>0</v>
      </c>
      <c r="O5597" s="2">
        <f>IF(LeadsData[[#This Row],[Stage Number]]&gt;=4,1,0)</f>
        <v>0</v>
      </c>
    </row>
    <row r="5598" spans="1:15" x14ac:dyDescent="0.25">
      <c r="A5598" t="s">
        <v>5638</v>
      </c>
      <c r="B5598" s="1">
        <v>45438</v>
      </c>
      <c r="C5598" t="s">
        <v>36</v>
      </c>
      <c r="D5598" t="s">
        <v>50</v>
      </c>
      <c r="E5598" t="s">
        <v>13</v>
      </c>
      <c r="F5598" t="s">
        <v>19</v>
      </c>
      <c r="G5598" t="s">
        <v>29</v>
      </c>
      <c r="K5598" cm="1">
        <f t="array" ref="K5598">_xlfn.SWITCH(LeadsData[[#This Row],[Funnel Stage Reached]],"Lead",1,"MQL",2,"SQL",3,"Customer",4)</f>
        <v>3</v>
      </c>
      <c r="L5598" t="str">
        <f>TEXT(LeadsData[[#This Row],[Signup Date]],"mmm-yyyy")</f>
        <v>May-2024</v>
      </c>
      <c r="M5598">
        <f>IF(LeadsData[[#This Row],[Stage Number]]&gt;=2,1,0)</f>
        <v>1</v>
      </c>
      <c r="N5598" s="2">
        <f>IF(LeadsData[[#This Row],[Stage Number]]&gt;=3,1,0)</f>
        <v>1</v>
      </c>
      <c r="O5598" s="2">
        <f>IF(LeadsData[[#This Row],[Stage Number]]&gt;=4,1,0)</f>
        <v>0</v>
      </c>
    </row>
    <row r="5599" spans="1:15" x14ac:dyDescent="0.25">
      <c r="A5599" t="s">
        <v>5639</v>
      </c>
      <c r="B5599" s="1">
        <v>45304</v>
      </c>
      <c r="C5599" t="s">
        <v>36</v>
      </c>
      <c r="D5599" t="s">
        <v>37</v>
      </c>
      <c r="E5599" t="s">
        <v>13</v>
      </c>
      <c r="F5599" t="s">
        <v>28</v>
      </c>
      <c r="G5599" t="s">
        <v>15</v>
      </c>
      <c r="K5599" cm="1">
        <f t="array" ref="K5599">_xlfn.SWITCH(LeadsData[[#This Row],[Funnel Stage Reached]],"Lead",1,"MQL",2,"SQL",3,"Customer",4)</f>
        <v>1</v>
      </c>
      <c r="L5599" t="str">
        <f>TEXT(LeadsData[[#This Row],[Signup Date]],"mmm-yyyy")</f>
        <v>Jan-2024</v>
      </c>
      <c r="M5599">
        <f>IF(LeadsData[[#This Row],[Stage Number]]&gt;=2,1,0)</f>
        <v>0</v>
      </c>
      <c r="N5599" s="2">
        <f>IF(LeadsData[[#This Row],[Stage Number]]&gt;=3,1,0)</f>
        <v>0</v>
      </c>
      <c r="O5599" s="2">
        <f>IF(LeadsData[[#This Row],[Stage Number]]&gt;=4,1,0)</f>
        <v>0</v>
      </c>
    </row>
    <row r="5600" spans="1:15" x14ac:dyDescent="0.25">
      <c r="A5600" t="s">
        <v>5640</v>
      </c>
      <c r="B5600" s="1">
        <v>45419</v>
      </c>
      <c r="C5600" t="s">
        <v>31</v>
      </c>
      <c r="D5600" t="s">
        <v>32</v>
      </c>
      <c r="E5600" t="s">
        <v>21</v>
      </c>
      <c r="F5600" t="s">
        <v>14</v>
      </c>
      <c r="G5600" t="s">
        <v>29</v>
      </c>
      <c r="K5600" cm="1">
        <f t="array" ref="K5600">_xlfn.SWITCH(LeadsData[[#This Row],[Funnel Stage Reached]],"Lead",1,"MQL",2,"SQL",3,"Customer",4)</f>
        <v>3</v>
      </c>
      <c r="L5600" t="str">
        <f>TEXT(LeadsData[[#This Row],[Signup Date]],"mmm-yyyy")</f>
        <v>May-2024</v>
      </c>
      <c r="M5600">
        <f>IF(LeadsData[[#This Row],[Stage Number]]&gt;=2,1,0)</f>
        <v>1</v>
      </c>
      <c r="N5600" s="2">
        <f>IF(LeadsData[[#This Row],[Stage Number]]&gt;=3,1,0)</f>
        <v>1</v>
      </c>
      <c r="O5600" s="2">
        <f>IF(LeadsData[[#This Row],[Stage Number]]&gt;=4,1,0)</f>
        <v>0</v>
      </c>
    </row>
    <row r="5601" spans="1:15" x14ac:dyDescent="0.25">
      <c r="A5601" t="s">
        <v>5641</v>
      </c>
      <c r="B5601" s="1">
        <v>45319</v>
      </c>
      <c r="C5601" t="s">
        <v>31</v>
      </c>
      <c r="D5601" t="s">
        <v>34</v>
      </c>
      <c r="E5601" t="s">
        <v>13</v>
      </c>
      <c r="F5601" t="s">
        <v>14</v>
      </c>
      <c r="G5601" t="s">
        <v>23</v>
      </c>
      <c r="K5601" cm="1">
        <f t="array" ref="K5601">_xlfn.SWITCH(LeadsData[[#This Row],[Funnel Stage Reached]],"Lead",1,"MQL",2,"SQL",3,"Customer",4)</f>
        <v>2</v>
      </c>
      <c r="L5601" t="str">
        <f>TEXT(LeadsData[[#This Row],[Signup Date]],"mmm-yyyy")</f>
        <v>Jan-2024</v>
      </c>
      <c r="M5601">
        <f>IF(LeadsData[[#This Row],[Stage Number]]&gt;=2,1,0)</f>
        <v>1</v>
      </c>
      <c r="N5601" s="2">
        <f>IF(LeadsData[[#This Row],[Stage Number]]&gt;=3,1,0)</f>
        <v>0</v>
      </c>
      <c r="O5601" s="2">
        <f>IF(LeadsData[[#This Row],[Stage Number]]&gt;=4,1,0)</f>
        <v>0</v>
      </c>
    </row>
    <row r="5602" spans="1:15" x14ac:dyDescent="0.25">
      <c r="A5602" t="s">
        <v>5642</v>
      </c>
      <c r="B5602" s="1">
        <v>45330</v>
      </c>
      <c r="C5602" t="s">
        <v>31</v>
      </c>
      <c r="D5602" t="s">
        <v>32</v>
      </c>
      <c r="E5602" t="s">
        <v>13</v>
      </c>
      <c r="F5602" t="s">
        <v>22</v>
      </c>
      <c r="G5602" t="s">
        <v>23</v>
      </c>
      <c r="K5602" cm="1">
        <f t="array" ref="K5602">_xlfn.SWITCH(LeadsData[[#This Row],[Funnel Stage Reached]],"Lead",1,"MQL",2,"SQL",3,"Customer",4)</f>
        <v>2</v>
      </c>
      <c r="L5602" t="str">
        <f>TEXT(LeadsData[[#This Row],[Signup Date]],"mmm-yyyy")</f>
        <v>Feb-2024</v>
      </c>
      <c r="M5602">
        <f>IF(LeadsData[[#This Row],[Stage Number]]&gt;=2,1,0)</f>
        <v>1</v>
      </c>
      <c r="N5602" s="2">
        <f>IF(LeadsData[[#This Row],[Stage Number]]&gt;=3,1,0)</f>
        <v>0</v>
      </c>
      <c r="O5602" s="2">
        <f>IF(LeadsData[[#This Row],[Stage Number]]&gt;=4,1,0)</f>
        <v>0</v>
      </c>
    </row>
    <row r="5603" spans="1:15" x14ac:dyDescent="0.25">
      <c r="A5603" t="s">
        <v>5643</v>
      </c>
      <c r="B5603" s="1">
        <v>45586</v>
      </c>
      <c r="C5603" t="s">
        <v>17</v>
      </c>
      <c r="D5603" t="s">
        <v>18</v>
      </c>
      <c r="E5603" t="s">
        <v>13</v>
      </c>
      <c r="F5603" t="s">
        <v>19</v>
      </c>
      <c r="G5603" t="s">
        <v>15</v>
      </c>
      <c r="K5603" cm="1">
        <f t="array" ref="K5603">_xlfn.SWITCH(LeadsData[[#This Row],[Funnel Stage Reached]],"Lead",1,"MQL",2,"SQL",3,"Customer",4)</f>
        <v>1</v>
      </c>
      <c r="L5603" t="str">
        <f>TEXT(LeadsData[[#This Row],[Signup Date]],"mmm-yyyy")</f>
        <v>Oct-2024</v>
      </c>
      <c r="M5603">
        <f>IF(LeadsData[[#This Row],[Stage Number]]&gt;=2,1,0)</f>
        <v>0</v>
      </c>
      <c r="N5603" s="2">
        <f>IF(LeadsData[[#This Row],[Stage Number]]&gt;=3,1,0)</f>
        <v>0</v>
      </c>
      <c r="O5603" s="2">
        <f>IF(LeadsData[[#This Row],[Stage Number]]&gt;=4,1,0)</f>
        <v>0</v>
      </c>
    </row>
    <row r="5604" spans="1:15" x14ac:dyDescent="0.25">
      <c r="A5604" t="s">
        <v>5644</v>
      </c>
      <c r="B5604" s="1">
        <v>45481</v>
      </c>
      <c r="C5604" t="s">
        <v>17</v>
      </c>
      <c r="D5604" t="s">
        <v>18</v>
      </c>
      <c r="E5604" t="s">
        <v>48</v>
      </c>
      <c r="F5604" t="s">
        <v>22</v>
      </c>
      <c r="G5604" t="s">
        <v>23</v>
      </c>
      <c r="K5604" cm="1">
        <f t="array" ref="K5604">_xlfn.SWITCH(LeadsData[[#This Row],[Funnel Stage Reached]],"Lead",1,"MQL",2,"SQL",3,"Customer",4)</f>
        <v>2</v>
      </c>
      <c r="L5604" t="str">
        <f>TEXT(LeadsData[[#This Row],[Signup Date]],"mmm-yyyy")</f>
        <v>Jul-2024</v>
      </c>
      <c r="M5604">
        <f>IF(LeadsData[[#This Row],[Stage Number]]&gt;=2,1,0)</f>
        <v>1</v>
      </c>
      <c r="N5604" s="2">
        <f>IF(LeadsData[[#This Row],[Stage Number]]&gt;=3,1,0)</f>
        <v>0</v>
      </c>
      <c r="O5604" s="2">
        <f>IF(LeadsData[[#This Row],[Stage Number]]&gt;=4,1,0)</f>
        <v>0</v>
      </c>
    </row>
    <row r="5605" spans="1:15" x14ac:dyDescent="0.25">
      <c r="A5605" t="s">
        <v>5645</v>
      </c>
      <c r="B5605" s="1">
        <v>45621</v>
      </c>
      <c r="C5605" t="s">
        <v>11</v>
      </c>
      <c r="D5605" t="s">
        <v>68</v>
      </c>
      <c r="E5605" t="s">
        <v>21</v>
      </c>
      <c r="F5605" t="s">
        <v>19</v>
      </c>
      <c r="G5605" t="s">
        <v>15</v>
      </c>
      <c r="K5605" cm="1">
        <f t="array" ref="K5605">_xlfn.SWITCH(LeadsData[[#This Row],[Funnel Stage Reached]],"Lead",1,"MQL",2,"SQL",3,"Customer",4)</f>
        <v>1</v>
      </c>
      <c r="L5605" t="str">
        <f>TEXT(LeadsData[[#This Row],[Signup Date]],"mmm-yyyy")</f>
        <v>Nov-2024</v>
      </c>
      <c r="M5605">
        <f>IF(LeadsData[[#This Row],[Stage Number]]&gt;=2,1,0)</f>
        <v>0</v>
      </c>
      <c r="N5605" s="2">
        <f>IF(LeadsData[[#This Row],[Stage Number]]&gt;=3,1,0)</f>
        <v>0</v>
      </c>
      <c r="O5605" s="2">
        <f>IF(LeadsData[[#This Row],[Stage Number]]&gt;=4,1,0)</f>
        <v>0</v>
      </c>
    </row>
    <row r="5606" spans="1:15" x14ac:dyDescent="0.25">
      <c r="A5606" t="s">
        <v>5646</v>
      </c>
      <c r="B5606" s="1">
        <v>45648</v>
      </c>
      <c r="C5606" t="s">
        <v>31</v>
      </c>
      <c r="D5606" t="s">
        <v>34</v>
      </c>
      <c r="E5606" t="s">
        <v>13</v>
      </c>
      <c r="F5606" t="s">
        <v>14</v>
      </c>
      <c r="G5606" t="s">
        <v>15</v>
      </c>
      <c r="K5606" cm="1">
        <f t="array" ref="K5606">_xlfn.SWITCH(LeadsData[[#This Row],[Funnel Stage Reached]],"Lead",1,"MQL",2,"SQL",3,"Customer",4)</f>
        <v>1</v>
      </c>
      <c r="L5606" t="str">
        <f>TEXT(LeadsData[[#This Row],[Signup Date]],"mmm-yyyy")</f>
        <v>Dec-2024</v>
      </c>
      <c r="M5606">
        <f>IF(LeadsData[[#This Row],[Stage Number]]&gt;=2,1,0)</f>
        <v>0</v>
      </c>
      <c r="N5606" s="2">
        <f>IF(LeadsData[[#This Row],[Stage Number]]&gt;=3,1,0)</f>
        <v>0</v>
      </c>
      <c r="O5606" s="2">
        <f>IF(LeadsData[[#This Row],[Stage Number]]&gt;=4,1,0)</f>
        <v>0</v>
      </c>
    </row>
    <row r="5607" spans="1:15" x14ac:dyDescent="0.25">
      <c r="A5607" t="s">
        <v>5647</v>
      </c>
      <c r="B5607" s="1">
        <v>45500</v>
      </c>
      <c r="C5607" t="s">
        <v>31</v>
      </c>
      <c r="D5607" t="s">
        <v>32</v>
      </c>
      <c r="E5607" t="s">
        <v>21</v>
      </c>
      <c r="F5607" t="s">
        <v>19</v>
      </c>
      <c r="G5607" t="s">
        <v>23</v>
      </c>
      <c r="K5607" cm="1">
        <f t="array" ref="K5607">_xlfn.SWITCH(LeadsData[[#This Row],[Funnel Stage Reached]],"Lead",1,"MQL",2,"SQL",3,"Customer",4)</f>
        <v>2</v>
      </c>
      <c r="L5607" t="str">
        <f>TEXT(LeadsData[[#This Row],[Signup Date]],"mmm-yyyy")</f>
        <v>Jul-2024</v>
      </c>
      <c r="M5607">
        <f>IF(LeadsData[[#This Row],[Stage Number]]&gt;=2,1,0)</f>
        <v>1</v>
      </c>
      <c r="N5607" s="2">
        <f>IF(LeadsData[[#This Row],[Stage Number]]&gt;=3,1,0)</f>
        <v>0</v>
      </c>
      <c r="O5607" s="2">
        <f>IF(LeadsData[[#This Row],[Stage Number]]&gt;=4,1,0)</f>
        <v>0</v>
      </c>
    </row>
    <row r="5608" spans="1:15" x14ac:dyDescent="0.25">
      <c r="A5608" t="s">
        <v>5648</v>
      </c>
      <c r="B5608" s="1">
        <v>45536</v>
      </c>
      <c r="C5608" t="s">
        <v>46</v>
      </c>
      <c r="D5608" t="s">
        <v>56</v>
      </c>
      <c r="E5608" t="s">
        <v>21</v>
      </c>
      <c r="F5608" t="s">
        <v>19</v>
      </c>
      <c r="G5608" t="s">
        <v>29</v>
      </c>
      <c r="K5608" cm="1">
        <f t="array" ref="K5608">_xlfn.SWITCH(LeadsData[[#This Row],[Funnel Stage Reached]],"Lead",1,"MQL",2,"SQL",3,"Customer",4)</f>
        <v>3</v>
      </c>
      <c r="L5608" t="str">
        <f>TEXT(LeadsData[[#This Row],[Signup Date]],"mmm-yyyy")</f>
        <v>Sep-2024</v>
      </c>
      <c r="M5608">
        <f>IF(LeadsData[[#This Row],[Stage Number]]&gt;=2,1,0)</f>
        <v>1</v>
      </c>
      <c r="N5608" s="2">
        <f>IF(LeadsData[[#This Row],[Stage Number]]&gt;=3,1,0)</f>
        <v>1</v>
      </c>
      <c r="O5608" s="2">
        <f>IF(LeadsData[[#This Row],[Stage Number]]&gt;=4,1,0)</f>
        <v>0</v>
      </c>
    </row>
    <row r="5609" spans="1:15" x14ac:dyDescent="0.25">
      <c r="A5609" t="s">
        <v>5649</v>
      </c>
      <c r="B5609" s="1">
        <v>45436</v>
      </c>
      <c r="C5609" t="s">
        <v>17</v>
      </c>
      <c r="D5609" t="s">
        <v>53</v>
      </c>
      <c r="E5609" t="s">
        <v>48</v>
      </c>
      <c r="F5609" t="s">
        <v>28</v>
      </c>
      <c r="G5609" t="s">
        <v>15</v>
      </c>
      <c r="K5609" cm="1">
        <f t="array" ref="K5609">_xlfn.SWITCH(LeadsData[[#This Row],[Funnel Stage Reached]],"Lead",1,"MQL",2,"SQL",3,"Customer",4)</f>
        <v>1</v>
      </c>
      <c r="L5609" t="str">
        <f>TEXT(LeadsData[[#This Row],[Signup Date]],"mmm-yyyy")</f>
        <v>May-2024</v>
      </c>
      <c r="M5609">
        <f>IF(LeadsData[[#This Row],[Stage Number]]&gt;=2,1,0)</f>
        <v>0</v>
      </c>
      <c r="N5609" s="2">
        <f>IF(LeadsData[[#This Row],[Stage Number]]&gt;=3,1,0)</f>
        <v>0</v>
      </c>
      <c r="O5609" s="2">
        <f>IF(LeadsData[[#This Row],[Stage Number]]&gt;=4,1,0)</f>
        <v>0</v>
      </c>
    </row>
    <row r="5610" spans="1:15" x14ac:dyDescent="0.25">
      <c r="A5610" t="s">
        <v>5650</v>
      </c>
      <c r="B5610" s="1">
        <v>45388</v>
      </c>
      <c r="C5610" t="s">
        <v>31</v>
      </c>
      <c r="D5610" t="s">
        <v>34</v>
      </c>
      <c r="E5610" t="s">
        <v>13</v>
      </c>
      <c r="F5610" t="s">
        <v>22</v>
      </c>
      <c r="G5610" t="s">
        <v>15</v>
      </c>
      <c r="K5610" cm="1">
        <f t="array" ref="K5610">_xlfn.SWITCH(LeadsData[[#This Row],[Funnel Stage Reached]],"Lead",1,"MQL",2,"SQL",3,"Customer",4)</f>
        <v>1</v>
      </c>
      <c r="L5610" t="str">
        <f>TEXT(LeadsData[[#This Row],[Signup Date]],"mmm-yyyy")</f>
        <v>Apr-2024</v>
      </c>
      <c r="M5610">
        <f>IF(LeadsData[[#This Row],[Stage Number]]&gt;=2,1,0)</f>
        <v>0</v>
      </c>
      <c r="N5610" s="2">
        <f>IF(LeadsData[[#This Row],[Stage Number]]&gt;=3,1,0)</f>
        <v>0</v>
      </c>
      <c r="O5610" s="2">
        <f>IF(LeadsData[[#This Row],[Stage Number]]&gt;=4,1,0)</f>
        <v>0</v>
      </c>
    </row>
    <row r="5611" spans="1:15" x14ac:dyDescent="0.25">
      <c r="A5611" t="s">
        <v>5651</v>
      </c>
      <c r="B5611" s="1">
        <v>45328</v>
      </c>
      <c r="C5611" t="s">
        <v>31</v>
      </c>
      <c r="D5611" t="s">
        <v>32</v>
      </c>
      <c r="E5611" t="s">
        <v>13</v>
      </c>
      <c r="F5611" t="s">
        <v>19</v>
      </c>
      <c r="G5611" t="s">
        <v>15</v>
      </c>
      <c r="K5611" cm="1">
        <f t="array" ref="K5611">_xlfn.SWITCH(LeadsData[[#This Row],[Funnel Stage Reached]],"Lead",1,"MQL",2,"SQL",3,"Customer",4)</f>
        <v>1</v>
      </c>
      <c r="L5611" t="str">
        <f>TEXT(LeadsData[[#This Row],[Signup Date]],"mmm-yyyy")</f>
        <v>Feb-2024</v>
      </c>
      <c r="M5611">
        <f>IF(LeadsData[[#This Row],[Stage Number]]&gt;=2,1,0)</f>
        <v>0</v>
      </c>
      <c r="N5611" s="2">
        <f>IF(LeadsData[[#This Row],[Stage Number]]&gt;=3,1,0)</f>
        <v>0</v>
      </c>
      <c r="O5611" s="2">
        <f>IF(LeadsData[[#This Row],[Stage Number]]&gt;=4,1,0)</f>
        <v>0</v>
      </c>
    </row>
    <row r="5612" spans="1:15" x14ac:dyDescent="0.25">
      <c r="A5612" t="s">
        <v>5652</v>
      </c>
      <c r="B5612" s="1">
        <v>45653</v>
      </c>
      <c r="C5612" t="s">
        <v>25</v>
      </c>
      <c r="D5612" t="s">
        <v>26</v>
      </c>
      <c r="E5612" t="s">
        <v>13</v>
      </c>
      <c r="F5612" t="s">
        <v>22</v>
      </c>
      <c r="G5612" t="s">
        <v>15</v>
      </c>
      <c r="K5612" cm="1">
        <f t="array" ref="K5612">_xlfn.SWITCH(LeadsData[[#This Row],[Funnel Stage Reached]],"Lead",1,"MQL",2,"SQL",3,"Customer",4)</f>
        <v>1</v>
      </c>
      <c r="L5612" t="str">
        <f>TEXT(LeadsData[[#This Row],[Signup Date]],"mmm-yyyy")</f>
        <v>Dec-2024</v>
      </c>
      <c r="M5612">
        <f>IF(LeadsData[[#This Row],[Stage Number]]&gt;=2,1,0)</f>
        <v>0</v>
      </c>
      <c r="N5612" s="2">
        <f>IF(LeadsData[[#This Row],[Stage Number]]&gt;=3,1,0)</f>
        <v>0</v>
      </c>
      <c r="O5612" s="2">
        <f>IF(LeadsData[[#This Row],[Stage Number]]&gt;=4,1,0)</f>
        <v>0</v>
      </c>
    </row>
    <row r="5613" spans="1:15" x14ac:dyDescent="0.25">
      <c r="A5613" t="s">
        <v>5653</v>
      </c>
      <c r="B5613" s="1">
        <v>45446</v>
      </c>
      <c r="C5613" t="s">
        <v>17</v>
      </c>
      <c r="D5613" t="s">
        <v>18</v>
      </c>
      <c r="E5613" t="s">
        <v>21</v>
      </c>
      <c r="F5613" t="s">
        <v>19</v>
      </c>
      <c r="G5613" t="s">
        <v>15</v>
      </c>
      <c r="K5613" cm="1">
        <f t="array" ref="K5613">_xlfn.SWITCH(LeadsData[[#This Row],[Funnel Stage Reached]],"Lead",1,"MQL",2,"SQL",3,"Customer",4)</f>
        <v>1</v>
      </c>
      <c r="L5613" t="str">
        <f>TEXT(LeadsData[[#This Row],[Signup Date]],"mmm-yyyy")</f>
        <v>Jun-2024</v>
      </c>
      <c r="M5613">
        <f>IF(LeadsData[[#This Row],[Stage Number]]&gt;=2,1,0)</f>
        <v>0</v>
      </c>
      <c r="N5613" s="2">
        <f>IF(LeadsData[[#This Row],[Stage Number]]&gt;=3,1,0)</f>
        <v>0</v>
      </c>
      <c r="O5613" s="2">
        <f>IF(LeadsData[[#This Row],[Stage Number]]&gt;=4,1,0)</f>
        <v>0</v>
      </c>
    </row>
    <row r="5614" spans="1:15" x14ac:dyDescent="0.25">
      <c r="A5614" t="s">
        <v>5654</v>
      </c>
      <c r="B5614" s="1">
        <v>45318</v>
      </c>
      <c r="C5614" t="s">
        <v>17</v>
      </c>
      <c r="D5614" t="s">
        <v>18</v>
      </c>
      <c r="E5614" t="s">
        <v>13</v>
      </c>
      <c r="F5614" t="s">
        <v>22</v>
      </c>
      <c r="G5614" t="s">
        <v>23</v>
      </c>
      <c r="K5614" cm="1">
        <f t="array" ref="K5614">_xlfn.SWITCH(LeadsData[[#This Row],[Funnel Stage Reached]],"Lead",1,"MQL",2,"SQL",3,"Customer",4)</f>
        <v>2</v>
      </c>
      <c r="L5614" t="str">
        <f>TEXT(LeadsData[[#This Row],[Signup Date]],"mmm-yyyy")</f>
        <v>Jan-2024</v>
      </c>
      <c r="M5614">
        <f>IF(LeadsData[[#This Row],[Stage Number]]&gt;=2,1,0)</f>
        <v>1</v>
      </c>
      <c r="N5614" s="2">
        <f>IF(LeadsData[[#This Row],[Stage Number]]&gt;=3,1,0)</f>
        <v>0</v>
      </c>
      <c r="O5614" s="2">
        <f>IF(LeadsData[[#This Row],[Stage Number]]&gt;=4,1,0)</f>
        <v>0</v>
      </c>
    </row>
    <row r="5615" spans="1:15" x14ac:dyDescent="0.25">
      <c r="A5615" t="s">
        <v>5655</v>
      </c>
      <c r="B5615" s="1">
        <v>45560</v>
      </c>
      <c r="C5615" t="s">
        <v>11</v>
      </c>
      <c r="D5615" t="s">
        <v>79</v>
      </c>
      <c r="E5615" t="s">
        <v>21</v>
      </c>
      <c r="F5615" t="s">
        <v>22</v>
      </c>
      <c r="G5615" t="s">
        <v>15</v>
      </c>
      <c r="K5615" cm="1">
        <f t="array" ref="K5615">_xlfn.SWITCH(LeadsData[[#This Row],[Funnel Stage Reached]],"Lead",1,"MQL",2,"SQL",3,"Customer",4)</f>
        <v>1</v>
      </c>
      <c r="L5615" t="str">
        <f>TEXT(LeadsData[[#This Row],[Signup Date]],"mmm-yyyy")</f>
        <v>Sep-2024</v>
      </c>
      <c r="M5615">
        <f>IF(LeadsData[[#This Row],[Stage Number]]&gt;=2,1,0)</f>
        <v>0</v>
      </c>
      <c r="N5615" s="2">
        <f>IF(LeadsData[[#This Row],[Stage Number]]&gt;=3,1,0)</f>
        <v>0</v>
      </c>
      <c r="O5615" s="2">
        <f>IF(LeadsData[[#This Row],[Stage Number]]&gt;=4,1,0)</f>
        <v>0</v>
      </c>
    </row>
    <row r="5616" spans="1:15" x14ac:dyDescent="0.25">
      <c r="A5616" t="s">
        <v>5656</v>
      </c>
      <c r="B5616" s="1">
        <v>45531</v>
      </c>
      <c r="C5616" t="s">
        <v>31</v>
      </c>
      <c r="D5616" t="s">
        <v>32</v>
      </c>
      <c r="E5616" t="s">
        <v>13</v>
      </c>
      <c r="F5616" t="s">
        <v>22</v>
      </c>
      <c r="G5616" t="s">
        <v>42</v>
      </c>
      <c r="H5616">
        <v>62</v>
      </c>
      <c r="I5616" t="s">
        <v>87</v>
      </c>
      <c r="J5616">
        <v>2431.77</v>
      </c>
      <c r="K5616" cm="1">
        <f t="array" ref="K5616">_xlfn.SWITCH(LeadsData[[#This Row],[Funnel Stage Reached]],"Lead",1,"MQL",2,"SQL",3,"Customer",4)</f>
        <v>4</v>
      </c>
      <c r="L5616" t="str">
        <f>TEXT(LeadsData[[#This Row],[Signup Date]],"mmm-yyyy")</f>
        <v>Aug-2024</v>
      </c>
      <c r="M5616">
        <f>IF(LeadsData[[#This Row],[Stage Number]]&gt;=2,1,0)</f>
        <v>1</v>
      </c>
      <c r="N5616" s="2">
        <f>IF(LeadsData[[#This Row],[Stage Number]]&gt;=3,1,0)</f>
        <v>1</v>
      </c>
      <c r="O5616" s="2">
        <f>IF(LeadsData[[#This Row],[Stage Number]]&gt;=4,1,0)</f>
        <v>1</v>
      </c>
    </row>
    <row r="5617" spans="1:15" x14ac:dyDescent="0.25">
      <c r="A5617" t="s">
        <v>5657</v>
      </c>
      <c r="B5617" s="1">
        <v>45464</v>
      </c>
      <c r="C5617" t="s">
        <v>31</v>
      </c>
      <c r="D5617" t="s">
        <v>32</v>
      </c>
      <c r="E5617" t="s">
        <v>21</v>
      </c>
      <c r="F5617" t="s">
        <v>14</v>
      </c>
      <c r="G5617" t="s">
        <v>42</v>
      </c>
      <c r="H5617">
        <v>27</v>
      </c>
      <c r="I5617" t="s">
        <v>183</v>
      </c>
      <c r="J5617">
        <v>18080.099999999999</v>
      </c>
      <c r="K5617" cm="1">
        <f t="array" ref="K5617">_xlfn.SWITCH(LeadsData[[#This Row],[Funnel Stage Reached]],"Lead",1,"MQL",2,"SQL",3,"Customer",4)</f>
        <v>4</v>
      </c>
      <c r="L5617" t="str">
        <f>TEXT(LeadsData[[#This Row],[Signup Date]],"mmm-yyyy")</f>
        <v>Jun-2024</v>
      </c>
      <c r="M5617">
        <f>IF(LeadsData[[#This Row],[Stage Number]]&gt;=2,1,0)</f>
        <v>1</v>
      </c>
      <c r="N5617" s="2">
        <f>IF(LeadsData[[#This Row],[Stage Number]]&gt;=3,1,0)</f>
        <v>1</v>
      </c>
      <c r="O5617" s="2">
        <f>IF(LeadsData[[#This Row],[Stage Number]]&gt;=4,1,0)</f>
        <v>1</v>
      </c>
    </row>
    <row r="5618" spans="1:15" x14ac:dyDescent="0.25">
      <c r="A5618" t="s">
        <v>5658</v>
      </c>
      <c r="B5618" s="1">
        <v>45425</v>
      </c>
      <c r="C5618" t="s">
        <v>31</v>
      </c>
      <c r="D5618" t="s">
        <v>32</v>
      </c>
      <c r="E5618" t="s">
        <v>21</v>
      </c>
      <c r="F5618" t="s">
        <v>19</v>
      </c>
      <c r="G5618" t="s">
        <v>23</v>
      </c>
      <c r="K5618" cm="1">
        <f t="array" ref="K5618">_xlfn.SWITCH(LeadsData[[#This Row],[Funnel Stage Reached]],"Lead",1,"MQL",2,"SQL",3,"Customer",4)</f>
        <v>2</v>
      </c>
      <c r="L5618" t="str">
        <f>TEXT(LeadsData[[#This Row],[Signup Date]],"mmm-yyyy")</f>
        <v>May-2024</v>
      </c>
      <c r="M5618">
        <f>IF(LeadsData[[#This Row],[Stage Number]]&gt;=2,1,0)</f>
        <v>1</v>
      </c>
      <c r="N5618" s="2">
        <f>IF(LeadsData[[#This Row],[Stage Number]]&gt;=3,1,0)</f>
        <v>0</v>
      </c>
      <c r="O5618" s="2">
        <f>IF(LeadsData[[#This Row],[Stage Number]]&gt;=4,1,0)</f>
        <v>0</v>
      </c>
    </row>
    <row r="5619" spans="1:15" x14ac:dyDescent="0.25">
      <c r="A5619" t="s">
        <v>5659</v>
      </c>
      <c r="B5619" s="1">
        <v>45615</v>
      </c>
      <c r="C5619" t="s">
        <v>11</v>
      </c>
      <c r="D5619" t="s">
        <v>12</v>
      </c>
      <c r="E5619" t="s">
        <v>13</v>
      </c>
      <c r="F5619" t="s">
        <v>22</v>
      </c>
      <c r="G5619" t="s">
        <v>29</v>
      </c>
      <c r="K5619" cm="1">
        <f t="array" ref="K5619">_xlfn.SWITCH(LeadsData[[#This Row],[Funnel Stage Reached]],"Lead",1,"MQL",2,"SQL",3,"Customer",4)</f>
        <v>3</v>
      </c>
      <c r="L5619" t="str">
        <f>TEXT(LeadsData[[#This Row],[Signup Date]],"mmm-yyyy")</f>
        <v>Nov-2024</v>
      </c>
      <c r="M5619">
        <f>IF(LeadsData[[#This Row],[Stage Number]]&gt;=2,1,0)</f>
        <v>1</v>
      </c>
      <c r="N5619" s="2">
        <f>IF(LeadsData[[#This Row],[Stage Number]]&gt;=3,1,0)</f>
        <v>1</v>
      </c>
      <c r="O5619" s="2">
        <f>IF(LeadsData[[#This Row],[Stage Number]]&gt;=4,1,0)</f>
        <v>0</v>
      </c>
    </row>
    <row r="5620" spans="1:15" x14ac:dyDescent="0.25">
      <c r="A5620" t="s">
        <v>5660</v>
      </c>
      <c r="B5620" s="1">
        <v>45604</v>
      </c>
      <c r="C5620" t="s">
        <v>25</v>
      </c>
      <c r="D5620" t="s">
        <v>26</v>
      </c>
      <c r="E5620" t="s">
        <v>21</v>
      </c>
      <c r="F5620" t="s">
        <v>19</v>
      </c>
      <c r="G5620" t="s">
        <v>23</v>
      </c>
      <c r="K5620" cm="1">
        <f t="array" ref="K5620">_xlfn.SWITCH(LeadsData[[#This Row],[Funnel Stage Reached]],"Lead",1,"MQL",2,"SQL",3,"Customer",4)</f>
        <v>2</v>
      </c>
      <c r="L5620" t="str">
        <f>TEXT(LeadsData[[#This Row],[Signup Date]],"mmm-yyyy")</f>
        <v>Nov-2024</v>
      </c>
      <c r="M5620">
        <f>IF(LeadsData[[#This Row],[Stage Number]]&gt;=2,1,0)</f>
        <v>1</v>
      </c>
      <c r="N5620" s="2">
        <f>IF(LeadsData[[#This Row],[Stage Number]]&gt;=3,1,0)</f>
        <v>0</v>
      </c>
      <c r="O5620" s="2">
        <f>IF(LeadsData[[#This Row],[Stage Number]]&gt;=4,1,0)</f>
        <v>0</v>
      </c>
    </row>
    <row r="5621" spans="1:15" x14ac:dyDescent="0.25">
      <c r="A5621" t="s">
        <v>5661</v>
      </c>
      <c r="B5621" s="1">
        <v>45493</v>
      </c>
      <c r="C5621" t="s">
        <v>11</v>
      </c>
      <c r="D5621" t="s">
        <v>68</v>
      </c>
      <c r="E5621" t="s">
        <v>13</v>
      </c>
      <c r="F5621" t="s">
        <v>19</v>
      </c>
      <c r="G5621" t="s">
        <v>15</v>
      </c>
      <c r="K5621" cm="1">
        <f t="array" ref="K5621">_xlfn.SWITCH(LeadsData[[#This Row],[Funnel Stage Reached]],"Lead",1,"MQL",2,"SQL",3,"Customer",4)</f>
        <v>1</v>
      </c>
      <c r="L5621" t="str">
        <f>TEXT(LeadsData[[#This Row],[Signup Date]],"mmm-yyyy")</f>
        <v>Jul-2024</v>
      </c>
      <c r="M5621">
        <f>IF(LeadsData[[#This Row],[Stage Number]]&gt;=2,1,0)</f>
        <v>0</v>
      </c>
      <c r="N5621" s="2">
        <f>IF(LeadsData[[#This Row],[Stage Number]]&gt;=3,1,0)</f>
        <v>0</v>
      </c>
      <c r="O5621" s="2">
        <f>IF(LeadsData[[#This Row],[Stage Number]]&gt;=4,1,0)</f>
        <v>0</v>
      </c>
    </row>
    <row r="5622" spans="1:15" x14ac:dyDescent="0.25">
      <c r="A5622" t="s">
        <v>5662</v>
      </c>
      <c r="B5622" s="1">
        <v>45599</v>
      </c>
      <c r="C5622" t="s">
        <v>25</v>
      </c>
      <c r="D5622" t="s">
        <v>26</v>
      </c>
      <c r="E5622" t="s">
        <v>13</v>
      </c>
      <c r="F5622" t="s">
        <v>22</v>
      </c>
      <c r="G5622" t="s">
        <v>15</v>
      </c>
      <c r="K5622" cm="1">
        <f t="array" ref="K5622">_xlfn.SWITCH(LeadsData[[#This Row],[Funnel Stage Reached]],"Lead",1,"MQL",2,"SQL",3,"Customer",4)</f>
        <v>1</v>
      </c>
      <c r="L5622" t="str">
        <f>TEXT(LeadsData[[#This Row],[Signup Date]],"mmm-yyyy")</f>
        <v>Nov-2024</v>
      </c>
      <c r="M5622">
        <f>IF(LeadsData[[#This Row],[Stage Number]]&gt;=2,1,0)</f>
        <v>0</v>
      </c>
      <c r="N5622" s="2">
        <f>IF(LeadsData[[#This Row],[Stage Number]]&gt;=3,1,0)</f>
        <v>0</v>
      </c>
      <c r="O5622" s="2">
        <f>IF(LeadsData[[#This Row],[Stage Number]]&gt;=4,1,0)</f>
        <v>0</v>
      </c>
    </row>
    <row r="5623" spans="1:15" x14ac:dyDescent="0.25">
      <c r="A5623" t="s">
        <v>5663</v>
      </c>
      <c r="B5623" s="1">
        <v>45467</v>
      </c>
      <c r="C5623" t="s">
        <v>31</v>
      </c>
      <c r="D5623" t="s">
        <v>34</v>
      </c>
      <c r="E5623" t="s">
        <v>13</v>
      </c>
      <c r="F5623" t="s">
        <v>19</v>
      </c>
      <c r="G5623" t="s">
        <v>23</v>
      </c>
      <c r="K5623" cm="1">
        <f t="array" ref="K5623">_xlfn.SWITCH(LeadsData[[#This Row],[Funnel Stage Reached]],"Lead",1,"MQL",2,"SQL",3,"Customer",4)</f>
        <v>2</v>
      </c>
      <c r="L5623" t="str">
        <f>TEXT(LeadsData[[#This Row],[Signup Date]],"mmm-yyyy")</f>
        <v>Jun-2024</v>
      </c>
      <c r="M5623">
        <f>IF(LeadsData[[#This Row],[Stage Number]]&gt;=2,1,0)</f>
        <v>1</v>
      </c>
      <c r="N5623" s="2">
        <f>IF(LeadsData[[#This Row],[Stage Number]]&gt;=3,1,0)</f>
        <v>0</v>
      </c>
      <c r="O5623" s="2">
        <f>IF(LeadsData[[#This Row],[Stage Number]]&gt;=4,1,0)</f>
        <v>0</v>
      </c>
    </row>
    <row r="5624" spans="1:15" x14ac:dyDescent="0.25">
      <c r="A5624" t="s">
        <v>5664</v>
      </c>
      <c r="B5624" s="1">
        <v>45628</v>
      </c>
      <c r="C5624" t="s">
        <v>17</v>
      </c>
      <c r="D5624" t="s">
        <v>18</v>
      </c>
      <c r="E5624" t="s">
        <v>21</v>
      </c>
      <c r="F5624" t="s">
        <v>14</v>
      </c>
      <c r="G5624" t="s">
        <v>15</v>
      </c>
      <c r="K5624" cm="1">
        <f t="array" ref="K5624">_xlfn.SWITCH(LeadsData[[#This Row],[Funnel Stage Reached]],"Lead",1,"MQL",2,"SQL",3,"Customer",4)</f>
        <v>1</v>
      </c>
      <c r="L5624" t="str">
        <f>TEXT(LeadsData[[#This Row],[Signup Date]],"mmm-yyyy")</f>
        <v>Dec-2024</v>
      </c>
      <c r="M5624">
        <f>IF(LeadsData[[#This Row],[Stage Number]]&gt;=2,1,0)</f>
        <v>0</v>
      </c>
      <c r="N5624" s="2">
        <f>IF(LeadsData[[#This Row],[Stage Number]]&gt;=3,1,0)</f>
        <v>0</v>
      </c>
      <c r="O5624" s="2">
        <f>IF(LeadsData[[#This Row],[Stage Number]]&gt;=4,1,0)</f>
        <v>0</v>
      </c>
    </row>
    <row r="5625" spans="1:15" x14ac:dyDescent="0.25">
      <c r="A5625" t="s">
        <v>5665</v>
      </c>
      <c r="B5625" s="1">
        <v>45448</v>
      </c>
      <c r="C5625" t="s">
        <v>36</v>
      </c>
      <c r="D5625" t="s">
        <v>50</v>
      </c>
      <c r="E5625" t="s">
        <v>13</v>
      </c>
      <c r="F5625" t="s">
        <v>22</v>
      </c>
      <c r="G5625" t="s">
        <v>29</v>
      </c>
      <c r="K5625" cm="1">
        <f t="array" ref="K5625">_xlfn.SWITCH(LeadsData[[#This Row],[Funnel Stage Reached]],"Lead",1,"MQL",2,"SQL",3,"Customer",4)</f>
        <v>3</v>
      </c>
      <c r="L5625" t="str">
        <f>TEXT(LeadsData[[#This Row],[Signup Date]],"mmm-yyyy")</f>
        <v>Jun-2024</v>
      </c>
      <c r="M5625">
        <f>IF(LeadsData[[#This Row],[Stage Number]]&gt;=2,1,0)</f>
        <v>1</v>
      </c>
      <c r="N5625" s="2">
        <f>IF(LeadsData[[#This Row],[Stage Number]]&gt;=3,1,0)</f>
        <v>1</v>
      </c>
      <c r="O5625" s="2">
        <f>IF(LeadsData[[#This Row],[Stage Number]]&gt;=4,1,0)</f>
        <v>0</v>
      </c>
    </row>
    <row r="5626" spans="1:15" x14ac:dyDescent="0.25">
      <c r="A5626" t="s">
        <v>5666</v>
      </c>
      <c r="B5626" s="1">
        <v>45408</v>
      </c>
      <c r="C5626" t="s">
        <v>31</v>
      </c>
      <c r="D5626" t="s">
        <v>32</v>
      </c>
      <c r="E5626" t="s">
        <v>21</v>
      </c>
      <c r="F5626" t="s">
        <v>28</v>
      </c>
      <c r="G5626" t="s">
        <v>15</v>
      </c>
      <c r="K5626" cm="1">
        <f t="array" ref="K5626">_xlfn.SWITCH(LeadsData[[#This Row],[Funnel Stage Reached]],"Lead",1,"MQL",2,"SQL",3,"Customer",4)</f>
        <v>1</v>
      </c>
      <c r="L5626" t="str">
        <f>TEXT(LeadsData[[#This Row],[Signup Date]],"mmm-yyyy")</f>
        <v>Apr-2024</v>
      </c>
      <c r="M5626">
        <f>IF(LeadsData[[#This Row],[Stage Number]]&gt;=2,1,0)</f>
        <v>0</v>
      </c>
      <c r="N5626" s="2">
        <f>IF(LeadsData[[#This Row],[Stage Number]]&gt;=3,1,0)</f>
        <v>0</v>
      </c>
      <c r="O5626" s="2">
        <f>IF(LeadsData[[#This Row],[Stage Number]]&gt;=4,1,0)</f>
        <v>0</v>
      </c>
    </row>
    <row r="5627" spans="1:15" x14ac:dyDescent="0.25">
      <c r="A5627" t="s">
        <v>5667</v>
      </c>
      <c r="B5627" s="1">
        <v>45559</v>
      </c>
      <c r="C5627" t="s">
        <v>25</v>
      </c>
      <c r="D5627" t="s">
        <v>26</v>
      </c>
      <c r="E5627" t="s">
        <v>48</v>
      </c>
      <c r="F5627" t="s">
        <v>19</v>
      </c>
      <c r="G5627" t="s">
        <v>15</v>
      </c>
      <c r="K5627" cm="1">
        <f t="array" ref="K5627">_xlfn.SWITCH(LeadsData[[#This Row],[Funnel Stage Reached]],"Lead",1,"MQL",2,"SQL",3,"Customer",4)</f>
        <v>1</v>
      </c>
      <c r="L5627" t="str">
        <f>TEXT(LeadsData[[#This Row],[Signup Date]],"mmm-yyyy")</f>
        <v>Sep-2024</v>
      </c>
      <c r="M5627">
        <f>IF(LeadsData[[#This Row],[Stage Number]]&gt;=2,1,0)</f>
        <v>0</v>
      </c>
      <c r="N5627" s="2">
        <f>IF(LeadsData[[#This Row],[Stage Number]]&gt;=3,1,0)</f>
        <v>0</v>
      </c>
      <c r="O5627" s="2">
        <f>IF(LeadsData[[#This Row],[Stage Number]]&gt;=4,1,0)</f>
        <v>0</v>
      </c>
    </row>
    <row r="5628" spans="1:15" x14ac:dyDescent="0.25">
      <c r="A5628" t="s">
        <v>5668</v>
      </c>
      <c r="B5628" s="1">
        <v>45387</v>
      </c>
      <c r="C5628" t="s">
        <v>31</v>
      </c>
      <c r="D5628" t="s">
        <v>32</v>
      </c>
      <c r="E5628" t="s">
        <v>48</v>
      </c>
      <c r="F5628" t="s">
        <v>22</v>
      </c>
      <c r="G5628" t="s">
        <v>15</v>
      </c>
      <c r="K5628" cm="1">
        <f t="array" ref="K5628">_xlfn.SWITCH(LeadsData[[#This Row],[Funnel Stage Reached]],"Lead",1,"MQL",2,"SQL",3,"Customer",4)</f>
        <v>1</v>
      </c>
      <c r="L5628" t="str">
        <f>TEXT(LeadsData[[#This Row],[Signup Date]],"mmm-yyyy")</f>
        <v>Apr-2024</v>
      </c>
      <c r="M5628">
        <f>IF(LeadsData[[#This Row],[Stage Number]]&gt;=2,1,0)</f>
        <v>0</v>
      </c>
      <c r="N5628" s="2">
        <f>IF(LeadsData[[#This Row],[Stage Number]]&gt;=3,1,0)</f>
        <v>0</v>
      </c>
      <c r="O5628" s="2">
        <f>IF(LeadsData[[#This Row],[Stage Number]]&gt;=4,1,0)</f>
        <v>0</v>
      </c>
    </row>
    <row r="5629" spans="1:15" x14ac:dyDescent="0.25">
      <c r="A5629" t="s">
        <v>5669</v>
      </c>
      <c r="B5629" s="1">
        <v>45450</v>
      </c>
      <c r="C5629" t="s">
        <v>17</v>
      </c>
      <c r="D5629" t="s">
        <v>53</v>
      </c>
      <c r="E5629" t="s">
        <v>13</v>
      </c>
      <c r="F5629" t="s">
        <v>28</v>
      </c>
      <c r="G5629" t="s">
        <v>23</v>
      </c>
      <c r="K5629" cm="1">
        <f t="array" ref="K5629">_xlfn.SWITCH(LeadsData[[#This Row],[Funnel Stage Reached]],"Lead",1,"MQL",2,"SQL",3,"Customer",4)</f>
        <v>2</v>
      </c>
      <c r="L5629" t="str">
        <f>TEXT(LeadsData[[#This Row],[Signup Date]],"mmm-yyyy")</f>
        <v>Jun-2024</v>
      </c>
      <c r="M5629">
        <f>IF(LeadsData[[#This Row],[Stage Number]]&gt;=2,1,0)</f>
        <v>1</v>
      </c>
      <c r="N5629" s="2">
        <f>IF(LeadsData[[#This Row],[Stage Number]]&gt;=3,1,0)</f>
        <v>0</v>
      </c>
      <c r="O5629" s="2">
        <f>IF(LeadsData[[#This Row],[Stage Number]]&gt;=4,1,0)</f>
        <v>0</v>
      </c>
    </row>
    <row r="5630" spans="1:15" x14ac:dyDescent="0.25">
      <c r="A5630" t="s">
        <v>5670</v>
      </c>
      <c r="B5630" s="1">
        <v>45428</v>
      </c>
      <c r="C5630" t="s">
        <v>11</v>
      </c>
      <c r="D5630" t="s">
        <v>12</v>
      </c>
      <c r="E5630" t="s">
        <v>21</v>
      </c>
      <c r="F5630" t="s">
        <v>28</v>
      </c>
      <c r="G5630" t="s">
        <v>15</v>
      </c>
      <c r="K5630" cm="1">
        <f t="array" ref="K5630">_xlfn.SWITCH(LeadsData[[#This Row],[Funnel Stage Reached]],"Lead",1,"MQL",2,"SQL",3,"Customer",4)</f>
        <v>1</v>
      </c>
      <c r="L5630" t="str">
        <f>TEXT(LeadsData[[#This Row],[Signup Date]],"mmm-yyyy")</f>
        <v>May-2024</v>
      </c>
      <c r="M5630">
        <f>IF(LeadsData[[#This Row],[Stage Number]]&gt;=2,1,0)</f>
        <v>0</v>
      </c>
      <c r="N5630" s="2">
        <f>IF(LeadsData[[#This Row],[Stage Number]]&gt;=3,1,0)</f>
        <v>0</v>
      </c>
      <c r="O5630" s="2">
        <f>IF(LeadsData[[#This Row],[Stage Number]]&gt;=4,1,0)</f>
        <v>0</v>
      </c>
    </row>
    <row r="5631" spans="1:15" x14ac:dyDescent="0.25">
      <c r="A5631" t="s">
        <v>5671</v>
      </c>
      <c r="B5631" s="1">
        <v>45612</v>
      </c>
      <c r="C5631" t="s">
        <v>46</v>
      </c>
      <c r="D5631" t="s">
        <v>56</v>
      </c>
      <c r="E5631" t="s">
        <v>13</v>
      </c>
      <c r="F5631" t="s">
        <v>14</v>
      </c>
      <c r="G5631" t="s">
        <v>15</v>
      </c>
      <c r="K5631" cm="1">
        <f t="array" ref="K5631">_xlfn.SWITCH(LeadsData[[#This Row],[Funnel Stage Reached]],"Lead",1,"MQL",2,"SQL",3,"Customer",4)</f>
        <v>1</v>
      </c>
      <c r="L5631" t="str">
        <f>TEXT(LeadsData[[#This Row],[Signup Date]],"mmm-yyyy")</f>
        <v>Nov-2024</v>
      </c>
      <c r="M5631">
        <f>IF(LeadsData[[#This Row],[Stage Number]]&gt;=2,1,0)</f>
        <v>0</v>
      </c>
      <c r="N5631" s="2">
        <f>IF(LeadsData[[#This Row],[Stage Number]]&gt;=3,1,0)</f>
        <v>0</v>
      </c>
      <c r="O5631" s="2">
        <f>IF(LeadsData[[#This Row],[Stage Number]]&gt;=4,1,0)</f>
        <v>0</v>
      </c>
    </row>
    <row r="5632" spans="1:15" x14ac:dyDescent="0.25">
      <c r="A5632" t="s">
        <v>5672</v>
      </c>
      <c r="B5632" s="1">
        <v>45423</v>
      </c>
      <c r="C5632" t="s">
        <v>31</v>
      </c>
      <c r="D5632" t="s">
        <v>34</v>
      </c>
      <c r="E5632" t="s">
        <v>21</v>
      </c>
      <c r="F5632" t="s">
        <v>14</v>
      </c>
      <c r="G5632" t="s">
        <v>15</v>
      </c>
      <c r="K5632" cm="1">
        <f t="array" ref="K5632">_xlfn.SWITCH(LeadsData[[#This Row],[Funnel Stage Reached]],"Lead",1,"MQL",2,"SQL",3,"Customer",4)</f>
        <v>1</v>
      </c>
      <c r="L5632" t="str">
        <f>TEXT(LeadsData[[#This Row],[Signup Date]],"mmm-yyyy")</f>
        <v>May-2024</v>
      </c>
      <c r="M5632">
        <f>IF(LeadsData[[#This Row],[Stage Number]]&gt;=2,1,0)</f>
        <v>0</v>
      </c>
      <c r="N5632" s="2">
        <f>IF(LeadsData[[#This Row],[Stage Number]]&gt;=3,1,0)</f>
        <v>0</v>
      </c>
      <c r="O5632" s="2">
        <f>IF(LeadsData[[#This Row],[Stage Number]]&gt;=4,1,0)</f>
        <v>0</v>
      </c>
    </row>
    <row r="5633" spans="1:15" x14ac:dyDescent="0.25">
      <c r="A5633" t="s">
        <v>5673</v>
      </c>
      <c r="B5633" s="1">
        <v>45369</v>
      </c>
      <c r="C5633" t="s">
        <v>46</v>
      </c>
      <c r="D5633" t="s">
        <v>47</v>
      </c>
      <c r="E5633" t="s">
        <v>13</v>
      </c>
      <c r="F5633" t="s">
        <v>22</v>
      </c>
      <c r="G5633" t="s">
        <v>15</v>
      </c>
      <c r="K5633" cm="1">
        <f t="array" ref="K5633">_xlfn.SWITCH(LeadsData[[#This Row],[Funnel Stage Reached]],"Lead",1,"MQL",2,"SQL",3,"Customer",4)</f>
        <v>1</v>
      </c>
      <c r="L5633" t="str">
        <f>TEXT(LeadsData[[#This Row],[Signup Date]],"mmm-yyyy")</f>
        <v>Mar-2024</v>
      </c>
      <c r="M5633">
        <f>IF(LeadsData[[#This Row],[Stage Number]]&gt;=2,1,0)</f>
        <v>0</v>
      </c>
      <c r="N5633" s="2">
        <f>IF(LeadsData[[#This Row],[Stage Number]]&gt;=3,1,0)</f>
        <v>0</v>
      </c>
      <c r="O5633" s="2">
        <f>IF(LeadsData[[#This Row],[Stage Number]]&gt;=4,1,0)</f>
        <v>0</v>
      </c>
    </row>
    <row r="5634" spans="1:15" x14ac:dyDescent="0.25">
      <c r="A5634" t="s">
        <v>5674</v>
      </c>
      <c r="B5634" s="1">
        <v>45485</v>
      </c>
      <c r="C5634" t="s">
        <v>46</v>
      </c>
      <c r="D5634" t="s">
        <v>56</v>
      </c>
      <c r="E5634" t="s">
        <v>13</v>
      </c>
      <c r="F5634" t="s">
        <v>28</v>
      </c>
      <c r="G5634" t="s">
        <v>23</v>
      </c>
      <c r="K5634" cm="1">
        <f t="array" ref="K5634">_xlfn.SWITCH(LeadsData[[#This Row],[Funnel Stage Reached]],"Lead",1,"MQL",2,"SQL",3,"Customer",4)</f>
        <v>2</v>
      </c>
      <c r="L5634" t="str">
        <f>TEXT(LeadsData[[#This Row],[Signup Date]],"mmm-yyyy")</f>
        <v>Jul-2024</v>
      </c>
      <c r="M5634">
        <f>IF(LeadsData[[#This Row],[Stage Number]]&gt;=2,1,0)</f>
        <v>1</v>
      </c>
      <c r="N5634" s="2">
        <f>IF(LeadsData[[#This Row],[Stage Number]]&gt;=3,1,0)</f>
        <v>0</v>
      </c>
      <c r="O5634" s="2">
        <f>IF(LeadsData[[#This Row],[Stage Number]]&gt;=4,1,0)</f>
        <v>0</v>
      </c>
    </row>
    <row r="5635" spans="1:15" x14ac:dyDescent="0.25">
      <c r="A5635" t="s">
        <v>5675</v>
      </c>
      <c r="B5635" s="1">
        <v>45354</v>
      </c>
      <c r="C5635" t="s">
        <v>17</v>
      </c>
      <c r="D5635" t="s">
        <v>53</v>
      </c>
      <c r="E5635" t="s">
        <v>13</v>
      </c>
      <c r="F5635" t="s">
        <v>19</v>
      </c>
      <c r="G5635" t="s">
        <v>15</v>
      </c>
      <c r="K5635" cm="1">
        <f t="array" ref="K5635">_xlfn.SWITCH(LeadsData[[#This Row],[Funnel Stage Reached]],"Lead",1,"MQL",2,"SQL",3,"Customer",4)</f>
        <v>1</v>
      </c>
      <c r="L5635" t="str">
        <f>TEXT(LeadsData[[#This Row],[Signup Date]],"mmm-yyyy")</f>
        <v>Mar-2024</v>
      </c>
      <c r="M5635">
        <f>IF(LeadsData[[#This Row],[Stage Number]]&gt;=2,1,0)</f>
        <v>0</v>
      </c>
      <c r="N5635" s="2">
        <f>IF(LeadsData[[#This Row],[Stage Number]]&gt;=3,1,0)</f>
        <v>0</v>
      </c>
      <c r="O5635" s="2">
        <f>IF(LeadsData[[#This Row],[Stage Number]]&gt;=4,1,0)</f>
        <v>0</v>
      </c>
    </row>
    <row r="5636" spans="1:15" x14ac:dyDescent="0.25">
      <c r="A5636" t="s">
        <v>5676</v>
      </c>
      <c r="B5636" s="1">
        <v>45468</v>
      </c>
      <c r="C5636" t="s">
        <v>46</v>
      </c>
      <c r="D5636" t="s">
        <v>47</v>
      </c>
      <c r="E5636" t="s">
        <v>48</v>
      </c>
      <c r="F5636" t="s">
        <v>22</v>
      </c>
      <c r="G5636" t="s">
        <v>15</v>
      </c>
      <c r="K5636" cm="1">
        <f t="array" ref="K5636">_xlfn.SWITCH(LeadsData[[#This Row],[Funnel Stage Reached]],"Lead",1,"MQL",2,"SQL",3,"Customer",4)</f>
        <v>1</v>
      </c>
      <c r="L5636" t="str">
        <f>TEXT(LeadsData[[#This Row],[Signup Date]],"mmm-yyyy")</f>
        <v>Jun-2024</v>
      </c>
      <c r="M5636">
        <f>IF(LeadsData[[#This Row],[Stage Number]]&gt;=2,1,0)</f>
        <v>0</v>
      </c>
      <c r="N5636" s="2">
        <f>IF(LeadsData[[#This Row],[Stage Number]]&gt;=3,1,0)</f>
        <v>0</v>
      </c>
      <c r="O5636" s="2">
        <f>IF(LeadsData[[#This Row],[Stage Number]]&gt;=4,1,0)</f>
        <v>0</v>
      </c>
    </row>
    <row r="5637" spans="1:15" x14ac:dyDescent="0.25">
      <c r="A5637" t="s">
        <v>5677</v>
      </c>
      <c r="B5637" s="1">
        <v>45420</v>
      </c>
      <c r="C5637" t="s">
        <v>17</v>
      </c>
      <c r="D5637" t="s">
        <v>53</v>
      </c>
      <c r="E5637" t="s">
        <v>13</v>
      </c>
      <c r="F5637" t="s">
        <v>19</v>
      </c>
      <c r="G5637" t="s">
        <v>23</v>
      </c>
      <c r="K5637" cm="1">
        <f t="array" ref="K5637">_xlfn.SWITCH(LeadsData[[#This Row],[Funnel Stage Reached]],"Lead",1,"MQL",2,"SQL",3,"Customer",4)</f>
        <v>2</v>
      </c>
      <c r="L5637" t="str">
        <f>TEXT(LeadsData[[#This Row],[Signup Date]],"mmm-yyyy")</f>
        <v>May-2024</v>
      </c>
      <c r="M5637">
        <f>IF(LeadsData[[#This Row],[Stage Number]]&gt;=2,1,0)</f>
        <v>1</v>
      </c>
      <c r="N5637" s="2">
        <f>IF(LeadsData[[#This Row],[Stage Number]]&gt;=3,1,0)</f>
        <v>0</v>
      </c>
      <c r="O5637" s="2">
        <f>IF(LeadsData[[#This Row],[Stage Number]]&gt;=4,1,0)</f>
        <v>0</v>
      </c>
    </row>
    <row r="5638" spans="1:15" x14ac:dyDescent="0.25">
      <c r="A5638" t="s">
        <v>5678</v>
      </c>
      <c r="B5638" s="1">
        <v>45319</v>
      </c>
      <c r="C5638" t="s">
        <v>36</v>
      </c>
      <c r="D5638" t="s">
        <v>37</v>
      </c>
      <c r="E5638" t="s">
        <v>13</v>
      </c>
      <c r="F5638" t="s">
        <v>14</v>
      </c>
      <c r="G5638" t="s">
        <v>23</v>
      </c>
      <c r="K5638" cm="1">
        <f t="array" ref="K5638">_xlfn.SWITCH(LeadsData[[#This Row],[Funnel Stage Reached]],"Lead",1,"MQL",2,"SQL",3,"Customer",4)</f>
        <v>2</v>
      </c>
      <c r="L5638" t="str">
        <f>TEXT(LeadsData[[#This Row],[Signup Date]],"mmm-yyyy")</f>
        <v>Jan-2024</v>
      </c>
      <c r="M5638">
        <f>IF(LeadsData[[#This Row],[Stage Number]]&gt;=2,1,0)</f>
        <v>1</v>
      </c>
      <c r="N5638" s="2">
        <f>IF(LeadsData[[#This Row],[Stage Number]]&gt;=3,1,0)</f>
        <v>0</v>
      </c>
      <c r="O5638" s="2">
        <f>IF(LeadsData[[#This Row],[Stage Number]]&gt;=4,1,0)</f>
        <v>0</v>
      </c>
    </row>
    <row r="5639" spans="1:15" x14ac:dyDescent="0.25">
      <c r="A5639" t="s">
        <v>5679</v>
      </c>
      <c r="B5639" s="1">
        <v>45333</v>
      </c>
      <c r="C5639" t="s">
        <v>25</v>
      </c>
      <c r="D5639" t="s">
        <v>26</v>
      </c>
      <c r="E5639" t="s">
        <v>21</v>
      </c>
      <c r="F5639" t="s">
        <v>14</v>
      </c>
      <c r="G5639" t="s">
        <v>15</v>
      </c>
      <c r="K5639" cm="1">
        <f t="array" ref="K5639">_xlfn.SWITCH(LeadsData[[#This Row],[Funnel Stage Reached]],"Lead",1,"MQL",2,"SQL",3,"Customer",4)</f>
        <v>1</v>
      </c>
      <c r="L5639" t="str">
        <f>TEXT(LeadsData[[#This Row],[Signup Date]],"mmm-yyyy")</f>
        <v>Feb-2024</v>
      </c>
      <c r="M5639">
        <f>IF(LeadsData[[#This Row],[Stage Number]]&gt;=2,1,0)</f>
        <v>0</v>
      </c>
      <c r="N5639" s="2">
        <f>IF(LeadsData[[#This Row],[Stage Number]]&gt;=3,1,0)</f>
        <v>0</v>
      </c>
      <c r="O5639" s="2">
        <f>IF(LeadsData[[#This Row],[Stage Number]]&gt;=4,1,0)</f>
        <v>0</v>
      </c>
    </row>
    <row r="5640" spans="1:15" x14ac:dyDescent="0.25">
      <c r="A5640" t="s">
        <v>5680</v>
      </c>
      <c r="B5640" s="1">
        <v>45368</v>
      </c>
      <c r="C5640" t="s">
        <v>31</v>
      </c>
      <c r="D5640" t="s">
        <v>32</v>
      </c>
      <c r="E5640" t="s">
        <v>21</v>
      </c>
      <c r="F5640" t="s">
        <v>22</v>
      </c>
      <c r="G5640" t="s">
        <v>15</v>
      </c>
      <c r="K5640" cm="1">
        <f t="array" ref="K5640">_xlfn.SWITCH(LeadsData[[#This Row],[Funnel Stage Reached]],"Lead",1,"MQL",2,"SQL",3,"Customer",4)</f>
        <v>1</v>
      </c>
      <c r="L5640" t="str">
        <f>TEXT(LeadsData[[#This Row],[Signup Date]],"mmm-yyyy")</f>
        <v>Mar-2024</v>
      </c>
      <c r="M5640">
        <f>IF(LeadsData[[#This Row],[Stage Number]]&gt;=2,1,0)</f>
        <v>0</v>
      </c>
      <c r="N5640" s="2">
        <f>IF(LeadsData[[#This Row],[Stage Number]]&gt;=3,1,0)</f>
        <v>0</v>
      </c>
      <c r="O5640" s="2">
        <f>IF(LeadsData[[#This Row],[Stage Number]]&gt;=4,1,0)</f>
        <v>0</v>
      </c>
    </row>
    <row r="5641" spans="1:15" x14ac:dyDescent="0.25">
      <c r="A5641" t="s">
        <v>5681</v>
      </c>
      <c r="B5641" s="1">
        <v>45302</v>
      </c>
      <c r="C5641" t="s">
        <v>25</v>
      </c>
      <c r="D5641" t="s">
        <v>26</v>
      </c>
      <c r="E5641" t="s">
        <v>13</v>
      </c>
      <c r="F5641" t="s">
        <v>14</v>
      </c>
      <c r="G5641" t="s">
        <v>23</v>
      </c>
      <c r="K5641" cm="1">
        <f t="array" ref="K5641">_xlfn.SWITCH(LeadsData[[#This Row],[Funnel Stage Reached]],"Lead",1,"MQL",2,"SQL",3,"Customer",4)</f>
        <v>2</v>
      </c>
      <c r="L5641" t="str">
        <f>TEXT(LeadsData[[#This Row],[Signup Date]],"mmm-yyyy")</f>
        <v>Jan-2024</v>
      </c>
      <c r="M5641">
        <f>IF(LeadsData[[#This Row],[Stage Number]]&gt;=2,1,0)</f>
        <v>1</v>
      </c>
      <c r="N5641" s="2">
        <f>IF(LeadsData[[#This Row],[Stage Number]]&gt;=3,1,0)</f>
        <v>0</v>
      </c>
      <c r="O5641" s="2">
        <f>IF(LeadsData[[#This Row],[Stage Number]]&gt;=4,1,0)</f>
        <v>0</v>
      </c>
    </row>
    <row r="5642" spans="1:15" x14ac:dyDescent="0.25">
      <c r="A5642" t="s">
        <v>5682</v>
      </c>
      <c r="B5642" s="1">
        <v>45420</v>
      </c>
      <c r="C5642" t="s">
        <v>46</v>
      </c>
      <c r="D5642" t="s">
        <v>47</v>
      </c>
      <c r="E5642" t="s">
        <v>13</v>
      </c>
      <c r="F5642" t="s">
        <v>19</v>
      </c>
      <c r="G5642" t="s">
        <v>15</v>
      </c>
      <c r="K5642" cm="1">
        <f t="array" ref="K5642">_xlfn.SWITCH(LeadsData[[#This Row],[Funnel Stage Reached]],"Lead",1,"MQL",2,"SQL",3,"Customer",4)</f>
        <v>1</v>
      </c>
      <c r="L5642" t="str">
        <f>TEXT(LeadsData[[#This Row],[Signup Date]],"mmm-yyyy")</f>
        <v>May-2024</v>
      </c>
      <c r="M5642">
        <f>IF(LeadsData[[#This Row],[Stage Number]]&gt;=2,1,0)</f>
        <v>0</v>
      </c>
      <c r="N5642" s="2">
        <f>IF(LeadsData[[#This Row],[Stage Number]]&gt;=3,1,0)</f>
        <v>0</v>
      </c>
      <c r="O5642" s="2">
        <f>IF(LeadsData[[#This Row],[Stage Number]]&gt;=4,1,0)</f>
        <v>0</v>
      </c>
    </row>
    <row r="5643" spans="1:15" x14ac:dyDescent="0.25">
      <c r="A5643" t="s">
        <v>5683</v>
      </c>
      <c r="B5643" s="1">
        <v>45632</v>
      </c>
      <c r="C5643" t="s">
        <v>17</v>
      </c>
      <c r="D5643" t="s">
        <v>53</v>
      </c>
      <c r="E5643" t="s">
        <v>13</v>
      </c>
      <c r="F5643" t="s">
        <v>19</v>
      </c>
      <c r="G5643" t="s">
        <v>15</v>
      </c>
      <c r="K5643" cm="1">
        <f t="array" ref="K5643">_xlfn.SWITCH(LeadsData[[#This Row],[Funnel Stage Reached]],"Lead",1,"MQL",2,"SQL",3,"Customer",4)</f>
        <v>1</v>
      </c>
      <c r="L5643" t="str">
        <f>TEXT(LeadsData[[#This Row],[Signup Date]],"mmm-yyyy")</f>
        <v>Dec-2024</v>
      </c>
      <c r="M5643">
        <f>IF(LeadsData[[#This Row],[Stage Number]]&gt;=2,1,0)</f>
        <v>0</v>
      </c>
      <c r="N5643" s="2">
        <f>IF(LeadsData[[#This Row],[Stage Number]]&gt;=3,1,0)</f>
        <v>0</v>
      </c>
      <c r="O5643" s="2">
        <f>IF(LeadsData[[#This Row],[Stage Number]]&gt;=4,1,0)</f>
        <v>0</v>
      </c>
    </row>
    <row r="5644" spans="1:15" x14ac:dyDescent="0.25">
      <c r="A5644" t="s">
        <v>5684</v>
      </c>
      <c r="B5644" s="1">
        <v>45616</v>
      </c>
      <c r="C5644" t="s">
        <v>17</v>
      </c>
      <c r="D5644" t="s">
        <v>18</v>
      </c>
      <c r="E5644" t="s">
        <v>21</v>
      </c>
      <c r="F5644" t="s">
        <v>19</v>
      </c>
      <c r="G5644" t="s">
        <v>15</v>
      </c>
      <c r="K5644" cm="1">
        <f t="array" ref="K5644">_xlfn.SWITCH(LeadsData[[#This Row],[Funnel Stage Reached]],"Lead",1,"MQL",2,"SQL",3,"Customer",4)</f>
        <v>1</v>
      </c>
      <c r="L5644" t="str">
        <f>TEXT(LeadsData[[#This Row],[Signup Date]],"mmm-yyyy")</f>
        <v>Nov-2024</v>
      </c>
      <c r="M5644">
        <f>IF(LeadsData[[#This Row],[Stage Number]]&gt;=2,1,0)</f>
        <v>0</v>
      </c>
      <c r="N5644" s="2">
        <f>IF(LeadsData[[#This Row],[Stage Number]]&gt;=3,1,0)</f>
        <v>0</v>
      </c>
      <c r="O5644" s="2">
        <f>IF(LeadsData[[#This Row],[Stage Number]]&gt;=4,1,0)</f>
        <v>0</v>
      </c>
    </row>
    <row r="5645" spans="1:15" x14ac:dyDescent="0.25">
      <c r="A5645" t="s">
        <v>5685</v>
      </c>
      <c r="B5645" s="1">
        <v>45377</v>
      </c>
      <c r="C5645" t="s">
        <v>31</v>
      </c>
      <c r="D5645" t="s">
        <v>34</v>
      </c>
      <c r="E5645" t="s">
        <v>13</v>
      </c>
      <c r="F5645" t="s">
        <v>22</v>
      </c>
      <c r="G5645" t="s">
        <v>23</v>
      </c>
      <c r="K5645" cm="1">
        <f t="array" ref="K5645">_xlfn.SWITCH(LeadsData[[#This Row],[Funnel Stage Reached]],"Lead",1,"MQL",2,"SQL",3,"Customer",4)</f>
        <v>2</v>
      </c>
      <c r="L5645" t="str">
        <f>TEXT(LeadsData[[#This Row],[Signup Date]],"mmm-yyyy")</f>
        <v>Mar-2024</v>
      </c>
      <c r="M5645">
        <f>IF(LeadsData[[#This Row],[Stage Number]]&gt;=2,1,0)</f>
        <v>1</v>
      </c>
      <c r="N5645" s="2">
        <f>IF(LeadsData[[#This Row],[Stage Number]]&gt;=3,1,0)</f>
        <v>0</v>
      </c>
      <c r="O5645" s="2">
        <f>IF(LeadsData[[#This Row],[Stage Number]]&gt;=4,1,0)</f>
        <v>0</v>
      </c>
    </row>
    <row r="5646" spans="1:15" x14ac:dyDescent="0.25">
      <c r="A5646" t="s">
        <v>5686</v>
      </c>
      <c r="B5646" s="1">
        <v>45458</v>
      </c>
      <c r="C5646" t="s">
        <v>46</v>
      </c>
      <c r="D5646" t="s">
        <v>47</v>
      </c>
      <c r="E5646" t="s">
        <v>13</v>
      </c>
      <c r="F5646" t="s">
        <v>22</v>
      </c>
      <c r="G5646" t="s">
        <v>29</v>
      </c>
      <c r="K5646" cm="1">
        <f t="array" ref="K5646">_xlfn.SWITCH(LeadsData[[#This Row],[Funnel Stage Reached]],"Lead",1,"MQL",2,"SQL",3,"Customer",4)</f>
        <v>3</v>
      </c>
      <c r="L5646" t="str">
        <f>TEXT(LeadsData[[#This Row],[Signup Date]],"mmm-yyyy")</f>
        <v>Jun-2024</v>
      </c>
      <c r="M5646">
        <f>IF(LeadsData[[#This Row],[Stage Number]]&gt;=2,1,0)</f>
        <v>1</v>
      </c>
      <c r="N5646" s="2">
        <f>IF(LeadsData[[#This Row],[Stage Number]]&gt;=3,1,0)</f>
        <v>1</v>
      </c>
      <c r="O5646" s="2">
        <f>IF(LeadsData[[#This Row],[Stage Number]]&gt;=4,1,0)</f>
        <v>0</v>
      </c>
    </row>
    <row r="5647" spans="1:15" x14ac:dyDescent="0.25">
      <c r="A5647" t="s">
        <v>5687</v>
      </c>
      <c r="B5647" s="1">
        <v>45654</v>
      </c>
      <c r="C5647" t="s">
        <v>31</v>
      </c>
      <c r="D5647" t="s">
        <v>34</v>
      </c>
      <c r="E5647" t="s">
        <v>13</v>
      </c>
      <c r="F5647" t="s">
        <v>22</v>
      </c>
      <c r="G5647" t="s">
        <v>15</v>
      </c>
      <c r="K5647" cm="1">
        <f t="array" ref="K5647">_xlfn.SWITCH(LeadsData[[#This Row],[Funnel Stage Reached]],"Lead",1,"MQL",2,"SQL",3,"Customer",4)</f>
        <v>1</v>
      </c>
      <c r="L5647" t="str">
        <f>TEXT(LeadsData[[#This Row],[Signup Date]],"mmm-yyyy")</f>
        <v>Dec-2024</v>
      </c>
      <c r="M5647">
        <f>IF(LeadsData[[#This Row],[Stage Number]]&gt;=2,1,0)</f>
        <v>0</v>
      </c>
      <c r="N5647" s="2">
        <f>IF(LeadsData[[#This Row],[Stage Number]]&gt;=3,1,0)</f>
        <v>0</v>
      </c>
      <c r="O5647" s="2">
        <f>IF(LeadsData[[#This Row],[Stage Number]]&gt;=4,1,0)</f>
        <v>0</v>
      </c>
    </row>
    <row r="5648" spans="1:15" x14ac:dyDescent="0.25">
      <c r="A5648" t="s">
        <v>5688</v>
      </c>
      <c r="B5648" s="1">
        <v>45392</v>
      </c>
      <c r="C5648" t="s">
        <v>25</v>
      </c>
      <c r="D5648" t="s">
        <v>26</v>
      </c>
      <c r="E5648" t="s">
        <v>13</v>
      </c>
      <c r="F5648" t="s">
        <v>14</v>
      </c>
      <c r="G5648" t="s">
        <v>15</v>
      </c>
      <c r="K5648" cm="1">
        <f t="array" ref="K5648">_xlfn.SWITCH(LeadsData[[#This Row],[Funnel Stage Reached]],"Lead",1,"MQL",2,"SQL",3,"Customer",4)</f>
        <v>1</v>
      </c>
      <c r="L5648" t="str">
        <f>TEXT(LeadsData[[#This Row],[Signup Date]],"mmm-yyyy")</f>
        <v>Apr-2024</v>
      </c>
      <c r="M5648">
        <f>IF(LeadsData[[#This Row],[Stage Number]]&gt;=2,1,0)</f>
        <v>0</v>
      </c>
      <c r="N5648" s="2">
        <f>IF(LeadsData[[#This Row],[Stage Number]]&gt;=3,1,0)</f>
        <v>0</v>
      </c>
      <c r="O5648" s="2">
        <f>IF(LeadsData[[#This Row],[Stage Number]]&gt;=4,1,0)</f>
        <v>0</v>
      </c>
    </row>
    <row r="5649" spans="1:15" x14ac:dyDescent="0.25">
      <c r="A5649" t="s">
        <v>5689</v>
      </c>
      <c r="B5649" s="1">
        <v>45499</v>
      </c>
      <c r="C5649" t="s">
        <v>46</v>
      </c>
      <c r="D5649" t="s">
        <v>56</v>
      </c>
      <c r="E5649" t="s">
        <v>21</v>
      </c>
      <c r="F5649" t="s">
        <v>19</v>
      </c>
      <c r="G5649" t="s">
        <v>29</v>
      </c>
      <c r="K5649" cm="1">
        <f t="array" ref="K5649">_xlfn.SWITCH(LeadsData[[#This Row],[Funnel Stage Reached]],"Lead",1,"MQL",2,"SQL",3,"Customer",4)</f>
        <v>3</v>
      </c>
      <c r="L5649" t="str">
        <f>TEXT(LeadsData[[#This Row],[Signup Date]],"mmm-yyyy")</f>
        <v>Jul-2024</v>
      </c>
      <c r="M5649">
        <f>IF(LeadsData[[#This Row],[Stage Number]]&gt;=2,1,0)</f>
        <v>1</v>
      </c>
      <c r="N5649" s="2">
        <f>IF(LeadsData[[#This Row],[Stage Number]]&gt;=3,1,0)</f>
        <v>1</v>
      </c>
      <c r="O5649" s="2">
        <f>IF(LeadsData[[#This Row],[Stage Number]]&gt;=4,1,0)</f>
        <v>0</v>
      </c>
    </row>
    <row r="5650" spans="1:15" x14ac:dyDescent="0.25">
      <c r="A5650" t="s">
        <v>5690</v>
      </c>
      <c r="B5650" s="1">
        <v>45506</v>
      </c>
      <c r="C5650" t="s">
        <v>25</v>
      </c>
      <c r="D5650" t="s">
        <v>26</v>
      </c>
      <c r="E5650" t="s">
        <v>21</v>
      </c>
      <c r="F5650" t="s">
        <v>28</v>
      </c>
      <c r="G5650" t="s">
        <v>15</v>
      </c>
      <c r="K5650" cm="1">
        <f t="array" ref="K5650">_xlfn.SWITCH(LeadsData[[#This Row],[Funnel Stage Reached]],"Lead",1,"MQL",2,"SQL",3,"Customer",4)</f>
        <v>1</v>
      </c>
      <c r="L5650" t="str">
        <f>TEXT(LeadsData[[#This Row],[Signup Date]],"mmm-yyyy")</f>
        <v>Aug-2024</v>
      </c>
      <c r="M5650">
        <f>IF(LeadsData[[#This Row],[Stage Number]]&gt;=2,1,0)</f>
        <v>0</v>
      </c>
      <c r="N5650" s="2">
        <f>IF(LeadsData[[#This Row],[Stage Number]]&gt;=3,1,0)</f>
        <v>0</v>
      </c>
      <c r="O5650" s="2">
        <f>IF(LeadsData[[#This Row],[Stage Number]]&gt;=4,1,0)</f>
        <v>0</v>
      </c>
    </row>
    <row r="5651" spans="1:15" x14ac:dyDescent="0.25">
      <c r="A5651" t="s">
        <v>5691</v>
      </c>
      <c r="B5651" s="1">
        <v>45433</v>
      </c>
      <c r="C5651" t="s">
        <v>17</v>
      </c>
      <c r="D5651" t="s">
        <v>53</v>
      </c>
      <c r="E5651" t="s">
        <v>13</v>
      </c>
      <c r="F5651" t="s">
        <v>22</v>
      </c>
      <c r="G5651" t="s">
        <v>15</v>
      </c>
      <c r="K5651" cm="1">
        <f t="array" ref="K5651">_xlfn.SWITCH(LeadsData[[#This Row],[Funnel Stage Reached]],"Lead",1,"MQL",2,"SQL",3,"Customer",4)</f>
        <v>1</v>
      </c>
      <c r="L5651" t="str">
        <f>TEXT(LeadsData[[#This Row],[Signup Date]],"mmm-yyyy")</f>
        <v>May-2024</v>
      </c>
      <c r="M5651">
        <f>IF(LeadsData[[#This Row],[Stage Number]]&gt;=2,1,0)</f>
        <v>0</v>
      </c>
      <c r="N5651" s="2">
        <f>IF(LeadsData[[#This Row],[Stage Number]]&gt;=3,1,0)</f>
        <v>0</v>
      </c>
      <c r="O5651" s="2">
        <f>IF(LeadsData[[#This Row],[Stage Number]]&gt;=4,1,0)</f>
        <v>0</v>
      </c>
    </row>
    <row r="5652" spans="1:15" x14ac:dyDescent="0.25">
      <c r="A5652" t="s">
        <v>5692</v>
      </c>
      <c r="B5652" s="1">
        <v>45506</v>
      </c>
      <c r="C5652" t="s">
        <v>11</v>
      </c>
      <c r="D5652" t="s">
        <v>68</v>
      </c>
      <c r="E5652" t="s">
        <v>13</v>
      </c>
      <c r="F5652" t="s">
        <v>14</v>
      </c>
      <c r="G5652" t="s">
        <v>29</v>
      </c>
      <c r="K5652" cm="1">
        <f t="array" ref="K5652">_xlfn.SWITCH(LeadsData[[#This Row],[Funnel Stage Reached]],"Lead",1,"MQL",2,"SQL",3,"Customer",4)</f>
        <v>3</v>
      </c>
      <c r="L5652" t="str">
        <f>TEXT(LeadsData[[#This Row],[Signup Date]],"mmm-yyyy")</f>
        <v>Aug-2024</v>
      </c>
      <c r="M5652">
        <f>IF(LeadsData[[#This Row],[Stage Number]]&gt;=2,1,0)</f>
        <v>1</v>
      </c>
      <c r="N5652" s="2">
        <f>IF(LeadsData[[#This Row],[Stage Number]]&gt;=3,1,0)</f>
        <v>1</v>
      </c>
      <c r="O5652" s="2">
        <f>IF(LeadsData[[#This Row],[Stage Number]]&gt;=4,1,0)</f>
        <v>0</v>
      </c>
    </row>
    <row r="5653" spans="1:15" x14ac:dyDescent="0.25">
      <c r="A5653" t="s">
        <v>5693</v>
      </c>
      <c r="B5653" s="1">
        <v>45588</v>
      </c>
      <c r="C5653" t="s">
        <v>11</v>
      </c>
      <c r="D5653" t="s">
        <v>12</v>
      </c>
      <c r="E5653" t="s">
        <v>13</v>
      </c>
      <c r="F5653" t="s">
        <v>19</v>
      </c>
      <c r="G5653" t="s">
        <v>15</v>
      </c>
      <c r="K5653" cm="1">
        <f t="array" ref="K5653">_xlfn.SWITCH(LeadsData[[#This Row],[Funnel Stage Reached]],"Lead",1,"MQL",2,"SQL",3,"Customer",4)</f>
        <v>1</v>
      </c>
      <c r="L5653" t="str">
        <f>TEXT(LeadsData[[#This Row],[Signup Date]],"mmm-yyyy")</f>
        <v>Oct-2024</v>
      </c>
      <c r="M5653">
        <f>IF(LeadsData[[#This Row],[Stage Number]]&gt;=2,1,0)</f>
        <v>0</v>
      </c>
      <c r="N5653" s="2">
        <f>IF(LeadsData[[#This Row],[Stage Number]]&gt;=3,1,0)</f>
        <v>0</v>
      </c>
      <c r="O5653" s="2">
        <f>IF(LeadsData[[#This Row],[Stage Number]]&gt;=4,1,0)</f>
        <v>0</v>
      </c>
    </row>
    <row r="5654" spans="1:15" x14ac:dyDescent="0.25">
      <c r="A5654" t="s">
        <v>5694</v>
      </c>
      <c r="B5654" s="1">
        <v>45401</v>
      </c>
      <c r="C5654" t="s">
        <v>25</v>
      </c>
      <c r="D5654" t="s">
        <v>26</v>
      </c>
      <c r="E5654" t="s">
        <v>13</v>
      </c>
      <c r="F5654" t="s">
        <v>22</v>
      </c>
      <c r="G5654" t="s">
        <v>15</v>
      </c>
      <c r="K5654" cm="1">
        <f t="array" ref="K5654">_xlfn.SWITCH(LeadsData[[#This Row],[Funnel Stage Reached]],"Lead",1,"MQL",2,"SQL",3,"Customer",4)</f>
        <v>1</v>
      </c>
      <c r="L5654" t="str">
        <f>TEXT(LeadsData[[#This Row],[Signup Date]],"mmm-yyyy")</f>
        <v>Apr-2024</v>
      </c>
      <c r="M5654">
        <f>IF(LeadsData[[#This Row],[Stage Number]]&gt;=2,1,0)</f>
        <v>0</v>
      </c>
      <c r="N5654" s="2">
        <f>IF(LeadsData[[#This Row],[Stage Number]]&gt;=3,1,0)</f>
        <v>0</v>
      </c>
      <c r="O5654" s="2">
        <f>IF(LeadsData[[#This Row],[Stage Number]]&gt;=4,1,0)</f>
        <v>0</v>
      </c>
    </row>
    <row r="5655" spans="1:15" x14ac:dyDescent="0.25">
      <c r="A5655" t="s">
        <v>5695</v>
      </c>
      <c r="B5655" s="1">
        <v>45548</v>
      </c>
      <c r="C5655" t="s">
        <v>46</v>
      </c>
      <c r="D5655" t="s">
        <v>47</v>
      </c>
      <c r="E5655" t="s">
        <v>48</v>
      </c>
      <c r="F5655" t="s">
        <v>14</v>
      </c>
      <c r="G5655" t="s">
        <v>23</v>
      </c>
      <c r="K5655" cm="1">
        <f t="array" ref="K5655">_xlfn.SWITCH(LeadsData[[#This Row],[Funnel Stage Reached]],"Lead",1,"MQL",2,"SQL",3,"Customer",4)</f>
        <v>2</v>
      </c>
      <c r="L5655" t="str">
        <f>TEXT(LeadsData[[#This Row],[Signup Date]],"mmm-yyyy")</f>
        <v>Sep-2024</v>
      </c>
      <c r="M5655">
        <f>IF(LeadsData[[#This Row],[Stage Number]]&gt;=2,1,0)</f>
        <v>1</v>
      </c>
      <c r="N5655" s="2">
        <f>IF(LeadsData[[#This Row],[Stage Number]]&gt;=3,1,0)</f>
        <v>0</v>
      </c>
      <c r="O5655" s="2">
        <f>IF(LeadsData[[#This Row],[Stage Number]]&gt;=4,1,0)</f>
        <v>0</v>
      </c>
    </row>
    <row r="5656" spans="1:15" x14ac:dyDescent="0.25">
      <c r="A5656" t="s">
        <v>5696</v>
      </c>
      <c r="B5656" s="1">
        <v>45647</v>
      </c>
      <c r="C5656" t="s">
        <v>36</v>
      </c>
      <c r="D5656" t="s">
        <v>37</v>
      </c>
      <c r="E5656" t="s">
        <v>21</v>
      </c>
      <c r="F5656" t="s">
        <v>19</v>
      </c>
      <c r="G5656" t="s">
        <v>15</v>
      </c>
      <c r="K5656" cm="1">
        <f t="array" ref="K5656">_xlfn.SWITCH(LeadsData[[#This Row],[Funnel Stage Reached]],"Lead",1,"MQL",2,"SQL",3,"Customer",4)</f>
        <v>1</v>
      </c>
      <c r="L5656" t="str">
        <f>TEXT(LeadsData[[#This Row],[Signup Date]],"mmm-yyyy")</f>
        <v>Dec-2024</v>
      </c>
      <c r="M5656">
        <f>IF(LeadsData[[#This Row],[Stage Number]]&gt;=2,1,0)</f>
        <v>0</v>
      </c>
      <c r="N5656" s="2">
        <f>IF(LeadsData[[#This Row],[Stage Number]]&gt;=3,1,0)</f>
        <v>0</v>
      </c>
      <c r="O5656" s="2">
        <f>IF(LeadsData[[#This Row],[Stage Number]]&gt;=4,1,0)</f>
        <v>0</v>
      </c>
    </row>
    <row r="5657" spans="1:15" x14ac:dyDescent="0.25">
      <c r="A5657" t="s">
        <v>5697</v>
      </c>
      <c r="B5657" s="1">
        <v>45487</v>
      </c>
      <c r="C5657" t="s">
        <v>46</v>
      </c>
      <c r="D5657" t="s">
        <v>56</v>
      </c>
      <c r="E5657" t="s">
        <v>48</v>
      </c>
      <c r="F5657" t="s">
        <v>22</v>
      </c>
      <c r="G5657" t="s">
        <v>42</v>
      </c>
      <c r="H5657">
        <v>57</v>
      </c>
      <c r="I5657" t="s">
        <v>183</v>
      </c>
      <c r="J5657">
        <v>9486.36</v>
      </c>
      <c r="K5657" cm="1">
        <f t="array" ref="K5657">_xlfn.SWITCH(LeadsData[[#This Row],[Funnel Stage Reached]],"Lead",1,"MQL",2,"SQL",3,"Customer",4)</f>
        <v>4</v>
      </c>
      <c r="L5657" t="str">
        <f>TEXT(LeadsData[[#This Row],[Signup Date]],"mmm-yyyy")</f>
        <v>Jul-2024</v>
      </c>
      <c r="M5657">
        <f>IF(LeadsData[[#This Row],[Stage Number]]&gt;=2,1,0)</f>
        <v>1</v>
      </c>
      <c r="N5657" s="2">
        <f>IF(LeadsData[[#This Row],[Stage Number]]&gt;=3,1,0)</f>
        <v>1</v>
      </c>
      <c r="O5657" s="2">
        <f>IF(LeadsData[[#This Row],[Stage Number]]&gt;=4,1,0)</f>
        <v>1</v>
      </c>
    </row>
    <row r="5658" spans="1:15" x14ac:dyDescent="0.25">
      <c r="A5658" t="s">
        <v>5698</v>
      </c>
      <c r="B5658" s="1">
        <v>45364</v>
      </c>
      <c r="C5658" t="s">
        <v>31</v>
      </c>
      <c r="D5658" t="s">
        <v>32</v>
      </c>
      <c r="E5658" t="s">
        <v>13</v>
      </c>
      <c r="F5658" t="s">
        <v>19</v>
      </c>
      <c r="G5658" t="s">
        <v>15</v>
      </c>
      <c r="K5658" cm="1">
        <f t="array" ref="K5658">_xlfn.SWITCH(LeadsData[[#This Row],[Funnel Stage Reached]],"Lead",1,"MQL",2,"SQL",3,"Customer",4)</f>
        <v>1</v>
      </c>
      <c r="L5658" t="str">
        <f>TEXT(LeadsData[[#This Row],[Signup Date]],"mmm-yyyy")</f>
        <v>Mar-2024</v>
      </c>
      <c r="M5658">
        <f>IF(LeadsData[[#This Row],[Stage Number]]&gt;=2,1,0)</f>
        <v>0</v>
      </c>
      <c r="N5658" s="2">
        <f>IF(LeadsData[[#This Row],[Stage Number]]&gt;=3,1,0)</f>
        <v>0</v>
      </c>
      <c r="O5658" s="2">
        <f>IF(LeadsData[[#This Row],[Stage Number]]&gt;=4,1,0)</f>
        <v>0</v>
      </c>
    </row>
    <row r="5659" spans="1:15" x14ac:dyDescent="0.25">
      <c r="A5659" t="s">
        <v>5699</v>
      </c>
      <c r="B5659" s="1">
        <v>45417</v>
      </c>
      <c r="C5659" t="s">
        <v>17</v>
      </c>
      <c r="D5659" t="s">
        <v>53</v>
      </c>
      <c r="E5659" t="s">
        <v>13</v>
      </c>
      <c r="F5659" t="s">
        <v>22</v>
      </c>
      <c r="G5659" t="s">
        <v>15</v>
      </c>
      <c r="K5659" cm="1">
        <f t="array" ref="K5659">_xlfn.SWITCH(LeadsData[[#This Row],[Funnel Stage Reached]],"Lead",1,"MQL",2,"SQL",3,"Customer",4)</f>
        <v>1</v>
      </c>
      <c r="L5659" t="str">
        <f>TEXT(LeadsData[[#This Row],[Signup Date]],"mmm-yyyy")</f>
        <v>May-2024</v>
      </c>
      <c r="M5659">
        <f>IF(LeadsData[[#This Row],[Stage Number]]&gt;=2,1,0)</f>
        <v>0</v>
      </c>
      <c r="N5659" s="2">
        <f>IF(LeadsData[[#This Row],[Stage Number]]&gt;=3,1,0)</f>
        <v>0</v>
      </c>
      <c r="O5659" s="2">
        <f>IF(LeadsData[[#This Row],[Stage Number]]&gt;=4,1,0)</f>
        <v>0</v>
      </c>
    </row>
    <row r="5660" spans="1:15" x14ac:dyDescent="0.25">
      <c r="A5660" t="s">
        <v>5700</v>
      </c>
      <c r="B5660" s="1">
        <v>45470</v>
      </c>
      <c r="C5660" t="s">
        <v>17</v>
      </c>
      <c r="D5660" t="s">
        <v>53</v>
      </c>
      <c r="E5660" t="s">
        <v>13</v>
      </c>
      <c r="F5660" t="s">
        <v>22</v>
      </c>
      <c r="G5660" t="s">
        <v>15</v>
      </c>
      <c r="K5660" cm="1">
        <f t="array" ref="K5660">_xlfn.SWITCH(LeadsData[[#This Row],[Funnel Stage Reached]],"Lead",1,"MQL",2,"SQL",3,"Customer",4)</f>
        <v>1</v>
      </c>
      <c r="L5660" t="str">
        <f>TEXT(LeadsData[[#This Row],[Signup Date]],"mmm-yyyy")</f>
        <v>Jun-2024</v>
      </c>
      <c r="M5660">
        <f>IF(LeadsData[[#This Row],[Stage Number]]&gt;=2,1,0)</f>
        <v>0</v>
      </c>
      <c r="N5660" s="2">
        <f>IF(LeadsData[[#This Row],[Stage Number]]&gt;=3,1,0)</f>
        <v>0</v>
      </c>
      <c r="O5660" s="2">
        <f>IF(LeadsData[[#This Row],[Stage Number]]&gt;=4,1,0)</f>
        <v>0</v>
      </c>
    </row>
    <row r="5661" spans="1:15" x14ac:dyDescent="0.25">
      <c r="A5661" t="s">
        <v>5701</v>
      </c>
      <c r="B5661" s="1">
        <v>45378</v>
      </c>
      <c r="C5661" t="s">
        <v>46</v>
      </c>
      <c r="D5661" t="s">
        <v>47</v>
      </c>
      <c r="E5661" t="s">
        <v>48</v>
      </c>
      <c r="F5661" t="s">
        <v>22</v>
      </c>
      <c r="G5661" t="s">
        <v>15</v>
      </c>
      <c r="K5661" cm="1">
        <f t="array" ref="K5661">_xlfn.SWITCH(LeadsData[[#This Row],[Funnel Stage Reached]],"Lead",1,"MQL",2,"SQL",3,"Customer",4)</f>
        <v>1</v>
      </c>
      <c r="L5661" t="str">
        <f>TEXT(LeadsData[[#This Row],[Signup Date]],"mmm-yyyy")</f>
        <v>Mar-2024</v>
      </c>
      <c r="M5661">
        <f>IF(LeadsData[[#This Row],[Stage Number]]&gt;=2,1,0)</f>
        <v>0</v>
      </c>
      <c r="N5661" s="2">
        <f>IF(LeadsData[[#This Row],[Stage Number]]&gt;=3,1,0)</f>
        <v>0</v>
      </c>
      <c r="O5661" s="2">
        <f>IF(LeadsData[[#This Row],[Stage Number]]&gt;=4,1,0)</f>
        <v>0</v>
      </c>
    </row>
    <row r="5662" spans="1:15" x14ac:dyDescent="0.25">
      <c r="A5662" t="s">
        <v>5702</v>
      </c>
      <c r="B5662" s="1">
        <v>45418</v>
      </c>
      <c r="C5662" t="s">
        <v>17</v>
      </c>
      <c r="D5662" t="s">
        <v>18</v>
      </c>
      <c r="E5662" t="s">
        <v>13</v>
      </c>
      <c r="F5662" t="s">
        <v>19</v>
      </c>
      <c r="G5662" t="s">
        <v>15</v>
      </c>
      <c r="K5662" cm="1">
        <f t="array" ref="K5662">_xlfn.SWITCH(LeadsData[[#This Row],[Funnel Stage Reached]],"Lead",1,"MQL",2,"SQL",3,"Customer",4)</f>
        <v>1</v>
      </c>
      <c r="L5662" t="str">
        <f>TEXT(LeadsData[[#This Row],[Signup Date]],"mmm-yyyy")</f>
        <v>May-2024</v>
      </c>
      <c r="M5662">
        <f>IF(LeadsData[[#This Row],[Stage Number]]&gt;=2,1,0)</f>
        <v>0</v>
      </c>
      <c r="N5662" s="2">
        <f>IF(LeadsData[[#This Row],[Stage Number]]&gt;=3,1,0)</f>
        <v>0</v>
      </c>
      <c r="O5662" s="2">
        <f>IF(LeadsData[[#This Row],[Stage Number]]&gt;=4,1,0)</f>
        <v>0</v>
      </c>
    </row>
    <row r="5663" spans="1:15" x14ac:dyDescent="0.25">
      <c r="A5663" t="s">
        <v>5703</v>
      </c>
      <c r="B5663" s="1">
        <v>45569</v>
      </c>
      <c r="C5663" t="s">
        <v>46</v>
      </c>
      <c r="D5663" t="s">
        <v>56</v>
      </c>
      <c r="E5663" t="s">
        <v>13</v>
      </c>
      <c r="F5663" t="s">
        <v>19</v>
      </c>
      <c r="G5663" t="s">
        <v>15</v>
      </c>
      <c r="K5663" cm="1">
        <f t="array" ref="K5663">_xlfn.SWITCH(LeadsData[[#This Row],[Funnel Stage Reached]],"Lead",1,"MQL",2,"SQL",3,"Customer",4)</f>
        <v>1</v>
      </c>
      <c r="L5663" t="str">
        <f>TEXT(LeadsData[[#This Row],[Signup Date]],"mmm-yyyy")</f>
        <v>Oct-2024</v>
      </c>
      <c r="M5663">
        <f>IF(LeadsData[[#This Row],[Stage Number]]&gt;=2,1,0)</f>
        <v>0</v>
      </c>
      <c r="N5663" s="2">
        <f>IF(LeadsData[[#This Row],[Stage Number]]&gt;=3,1,0)</f>
        <v>0</v>
      </c>
      <c r="O5663" s="2">
        <f>IF(LeadsData[[#This Row],[Stage Number]]&gt;=4,1,0)</f>
        <v>0</v>
      </c>
    </row>
    <row r="5664" spans="1:15" x14ac:dyDescent="0.25">
      <c r="A5664" t="s">
        <v>5704</v>
      </c>
      <c r="B5664" s="1">
        <v>45592</v>
      </c>
      <c r="C5664" t="s">
        <v>36</v>
      </c>
      <c r="D5664" t="s">
        <v>50</v>
      </c>
      <c r="E5664" t="s">
        <v>48</v>
      </c>
      <c r="F5664" t="s">
        <v>28</v>
      </c>
      <c r="G5664" t="s">
        <v>23</v>
      </c>
      <c r="K5664" cm="1">
        <f t="array" ref="K5664">_xlfn.SWITCH(LeadsData[[#This Row],[Funnel Stage Reached]],"Lead",1,"MQL",2,"SQL",3,"Customer",4)</f>
        <v>2</v>
      </c>
      <c r="L5664" t="str">
        <f>TEXT(LeadsData[[#This Row],[Signup Date]],"mmm-yyyy")</f>
        <v>Oct-2024</v>
      </c>
      <c r="M5664">
        <f>IF(LeadsData[[#This Row],[Stage Number]]&gt;=2,1,0)</f>
        <v>1</v>
      </c>
      <c r="N5664" s="2">
        <f>IF(LeadsData[[#This Row],[Stage Number]]&gt;=3,1,0)</f>
        <v>0</v>
      </c>
      <c r="O5664" s="2">
        <f>IF(LeadsData[[#This Row],[Stage Number]]&gt;=4,1,0)</f>
        <v>0</v>
      </c>
    </row>
    <row r="5665" spans="1:15" x14ac:dyDescent="0.25">
      <c r="A5665" t="s">
        <v>5705</v>
      </c>
      <c r="B5665" s="1">
        <v>45517</v>
      </c>
      <c r="C5665" t="s">
        <v>31</v>
      </c>
      <c r="D5665" t="s">
        <v>34</v>
      </c>
      <c r="E5665" t="s">
        <v>13</v>
      </c>
      <c r="F5665" t="s">
        <v>14</v>
      </c>
      <c r="G5665" t="s">
        <v>15</v>
      </c>
      <c r="K5665" cm="1">
        <f t="array" ref="K5665">_xlfn.SWITCH(LeadsData[[#This Row],[Funnel Stage Reached]],"Lead",1,"MQL",2,"SQL",3,"Customer",4)</f>
        <v>1</v>
      </c>
      <c r="L5665" t="str">
        <f>TEXT(LeadsData[[#This Row],[Signup Date]],"mmm-yyyy")</f>
        <v>Aug-2024</v>
      </c>
      <c r="M5665">
        <f>IF(LeadsData[[#This Row],[Stage Number]]&gt;=2,1,0)</f>
        <v>0</v>
      </c>
      <c r="N5665" s="2">
        <f>IF(LeadsData[[#This Row],[Stage Number]]&gt;=3,1,0)</f>
        <v>0</v>
      </c>
      <c r="O5665" s="2">
        <f>IF(LeadsData[[#This Row],[Stage Number]]&gt;=4,1,0)</f>
        <v>0</v>
      </c>
    </row>
    <row r="5666" spans="1:15" x14ac:dyDescent="0.25">
      <c r="A5666" t="s">
        <v>5706</v>
      </c>
      <c r="B5666" s="1">
        <v>45508</v>
      </c>
      <c r="C5666" t="s">
        <v>17</v>
      </c>
      <c r="D5666" t="s">
        <v>53</v>
      </c>
      <c r="E5666" t="s">
        <v>21</v>
      </c>
      <c r="F5666" t="s">
        <v>22</v>
      </c>
      <c r="G5666" t="s">
        <v>23</v>
      </c>
      <c r="K5666" cm="1">
        <f t="array" ref="K5666">_xlfn.SWITCH(LeadsData[[#This Row],[Funnel Stage Reached]],"Lead",1,"MQL",2,"SQL",3,"Customer",4)</f>
        <v>2</v>
      </c>
      <c r="L5666" t="str">
        <f>TEXT(LeadsData[[#This Row],[Signup Date]],"mmm-yyyy")</f>
        <v>Aug-2024</v>
      </c>
      <c r="M5666">
        <f>IF(LeadsData[[#This Row],[Stage Number]]&gt;=2,1,0)</f>
        <v>1</v>
      </c>
      <c r="N5666" s="2">
        <f>IF(LeadsData[[#This Row],[Stage Number]]&gt;=3,1,0)</f>
        <v>0</v>
      </c>
      <c r="O5666" s="2">
        <f>IF(LeadsData[[#This Row],[Stage Number]]&gt;=4,1,0)</f>
        <v>0</v>
      </c>
    </row>
    <row r="5667" spans="1:15" x14ac:dyDescent="0.25">
      <c r="A5667" t="s">
        <v>5707</v>
      </c>
      <c r="B5667" s="1">
        <v>45586</v>
      </c>
      <c r="C5667" t="s">
        <v>46</v>
      </c>
      <c r="D5667" t="s">
        <v>56</v>
      </c>
      <c r="E5667" t="s">
        <v>21</v>
      </c>
      <c r="F5667" t="s">
        <v>22</v>
      </c>
      <c r="G5667" t="s">
        <v>23</v>
      </c>
      <c r="K5667" cm="1">
        <f t="array" ref="K5667">_xlfn.SWITCH(LeadsData[[#This Row],[Funnel Stage Reached]],"Lead",1,"MQL",2,"SQL",3,"Customer",4)</f>
        <v>2</v>
      </c>
      <c r="L5667" t="str">
        <f>TEXT(LeadsData[[#This Row],[Signup Date]],"mmm-yyyy")</f>
        <v>Oct-2024</v>
      </c>
      <c r="M5667">
        <f>IF(LeadsData[[#This Row],[Stage Number]]&gt;=2,1,0)</f>
        <v>1</v>
      </c>
      <c r="N5667" s="2">
        <f>IF(LeadsData[[#This Row],[Stage Number]]&gt;=3,1,0)</f>
        <v>0</v>
      </c>
      <c r="O5667" s="2">
        <f>IF(LeadsData[[#This Row],[Stage Number]]&gt;=4,1,0)</f>
        <v>0</v>
      </c>
    </row>
    <row r="5668" spans="1:15" x14ac:dyDescent="0.25">
      <c r="A5668" t="s">
        <v>5708</v>
      </c>
      <c r="B5668" s="1">
        <v>45378</v>
      </c>
      <c r="C5668" t="s">
        <v>31</v>
      </c>
      <c r="D5668" t="s">
        <v>34</v>
      </c>
      <c r="E5668" t="s">
        <v>21</v>
      </c>
      <c r="F5668" t="s">
        <v>19</v>
      </c>
      <c r="G5668" t="s">
        <v>23</v>
      </c>
      <c r="K5668" cm="1">
        <f t="array" ref="K5668">_xlfn.SWITCH(LeadsData[[#This Row],[Funnel Stage Reached]],"Lead",1,"MQL",2,"SQL",3,"Customer",4)</f>
        <v>2</v>
      </c>
      <c r="L5668" t="str">
        <f>TEXT(LeadsData[[#This Row],[Signup Date]],"mmm-yyyy")</f>
        <v>Mar-2024</v>
      </c>
      <c r="M5668">
        <f>IF(LeadsData[[#This Row],[Stage Number]]&gt;=2,1,0)</f>
        <v>1</v>
      </c>
      <c r="N5668" s="2">
        <f>IF(LeadsData[[#This Row],[Stage Number]]&gt;=3,1,0)</f>
        <v>0</v>
      </c>
      <c r="O5668" s="2">
        <f>IF(LeadsData[[#This Row],[Stage Number]]&gt;=4,1,0)</f>
        <v>0</v>
      </c>
    </row>
    <row r="5669" spans="1:15" x14ac:dyDescent="0.25">
      <c r="A5669" t="s">
        <v>5709</v>
      </c>
      <c r="B5669" s="1">
        <v>45401</v>
      </c>
      <c r="C5669" t="s">
        <v>31</v>
      </c>
      <c r="D5669" t="s">
        <v>32</v>
      </c>
      <c r="E5669" t="s">
        <v>21</v>
      </c>
      <c r="F5669" t="s">
        <v>19</v>
      </c>
      <c r="G5669" t="s">
        <v>15</v>
      </c>
      <c r="K5669" cm="1">
        <f t="array" ref="K5669">_xlfn.SWITCH(LeadsData[[#This Row],[Funnel Stage Reached]],"Lead",1,"MQL",2,"SQL",3,"Customer",4)</f>
        <v>1</v>
      </c>
      <c r="L5669" t="str">
        <f>TEXT(LeadsData[[#This Row],[Signup Date]],"mmm-yyyy")</f>
        <v>Apr-2024</v>
      </c>
      <c r="M5669">
        <f>IF(LeadsData[[#This Row],[Stage Number]]&gt;=2,1,0)</f>
        <v>0</v>
      </c>
      <c r="N5669" s="2">
        <f>IF(LeadsData[[#This Row],[Stage Number]]&gt;=3,1,0)</f>
        <v>0</v>
      </c>
      <c r="O5669" s="2">
        <f>IF(LeadsData[[#This Row],[Stage Number]]&gt;=4,1,0)</f>
        <v>0</v>
      </c>
    </row>
    <row r="5670" spans="1:15" x14ac:dyDescent="0.25">
      <c r="A5670" t="s">
        <v>5710</v>
      </c>
      <c r="B5670" s="1">
        <v>45415</v>
      </c>
      <c r="C5670" t="s">
        <v>31</v>
      </c>
      <c r="D5670" t="s">
        <v>32</v>
      </c>
      <c r="E5670" t="s">
        <v>13</v>
      </c>
      <c r="F5670" t="s">
        <v>28</v>
      </c>
      <c r="G5670" t="s">
        <v>23</v>
      </c>
      <c r="K5670" cm="1">
        <f t="array" ref="K5670">_xlfn.SWITCH(LeadsData[[#This Row],[Funnel Stage Reached]],"Lead",1,"MQL",2,"SQL",3,"Customer",4)</f>
        <v>2</v>
      </c>
      <c r="L5670" t="str">
        <f>TEXT(LeadsData[[#This Row],[Signup Date]],"mmm-yyyy")</f>
        <v>May-2024</v>
      </c>
      <c r="M5670">
        <f>IF(LeadsData[[#This Row],[Stage Number]]&gt;=2,1,0)</f>
        <v>1</v>
      </c>
      <c r="N5670" s="2">
        <f>IF(LeadsData[[#This Row],[Stage Number]]&gt;=3,1,0)</f>
        <v>0</v>
      </c>
      <c r="O5670" s="2">
        <f>IF(LeadsData[[#This Row],[Stage Number]]&gt;=4,1,0)</f>
        <v>0</v>
      </c>
    </row>
    <row r="5671" spans="1:15" x14ac:dyDescent="0.25">
      <c r="A5671" t="s">
        <v>5711</v>
      </c>
      <c r="B5671" s="1">
        <v>45432</v>
      </c>
      <c r="C5671" t="s">
        <v>36</v>
      </c>
      <c r="D5671" t="s">
        <v>50</v>
      </c>
      <c r="E5671" t="s">
        <v>13</v>
      </c>
      <c r="F5671" t="s">
        <v>19</v>
      </c>
      <c r="G5671" t="s">
        <v>15</v>
      </c>
      <c r="K5671" cm="1">
        <f t="array" ref="K5671">_xlfn.SWITCH(LeadsData[[#This Row],[Funnel Stage Reached]],"Lead",1,"MQL",2,"SQL",3,"Customer",4)</f>
        <v>1</v>
      </c>
      <c r="L5671" t="str">
        <f>TEXT(LeadsData[[#This Row],[Signup Date]],"mmm-yyyy")</f>
        <v>May-2024</v>
      </c>
      <c r="M5671">
        <f>IF(LeadsData[[#This Row],[Stage Number]]&gt;=2,1,0)</f>
        <v>0</v>
      </c>
      <c r="N5671" s="2">
        <f>IF(LeadsData[[#This Row],[Stage Number]]&gt;=3,1,0)</f>
        <v>0</v>
      </c>
      <c r="O5671" s="2">
        <f>IF(LeadsData[[#This Row],[Stage Number]]&gt;=4,1,0)</f>
        <v>0</v>
      </c>
    </row>
    <row r="5672" spans="1:15" x14ac:dyDescent="0.25">
      <c r="A5672" t="s">
        <v>5712</v>
      </c>
      <c r="B5672" s="1">
        <v>45426</v>
      </c>
      <c r="C5672" t="s">
        <v>17</v>
      </c>
      <c r="D5672" t="s">
        <v>18</v>
      </c>
      <c r="E5672" t="s">
        <v>13</v>
      </c>
      <c r="F5672" t="s">
        <v>19</v>
      </c>
      <c r="G5672" t="s">
        <v>15</v>
      </c>
      <c r="K5672" cm="1">
        <f t="array" ref="K5672">_xlfn.SWITCH(LeadsData[[#This Row],[Funnel Stage Reached]],"Lead",1,"MQL",2,"SQL",3,"Customer",4)</f>
        <v>1</v>
      </c>
      <c r="L5672" t="str">
        <f>TEXT(LeadsData[[#This Row],[Signup Date]],"mmm-yyyy")</f>
        <v>May-2024</v>
      </c>
      <c r="M5672">
        <f>IF(LeadsData[[#This Row],[Stage Number]]&gt;=2,1,0)</f>
        <v>0</v>
      </c>
      <c r="N5672" s="2">
        <f>IF(LeadsData[[#This Row],[Stage Number]]&gt;=3,1,0)</f>
        <v>0</v>
      </c>
      <c r="O5672" s="2">
        <f>IF(LeadsData[[#This Row],[Stage Number]]&gt;=4,1,0)</f>
        <v>0</v>
      </c>
    </row>
    <row r="5673" spans="1:15" x14ac:dyDescent="0.25">
      <c r="A5673" t="s">
        <v>5713</v>
      </c>
      <c r="B5673" s="1">
        <v>45362</v>
      </c>
      <c r="C5673" t="s">
        <v>17</v>
      </c>
      <c r="D5673" t="s">
        <v>53</v>
      </c>
      <c r="E5673" t="s">
        <v>21</v>
      </c>
      <c r="F5673" t="s">
        <v>22</v>
      </c>
      <c r="G5673" t="s">
        <v>15</v>
      </c>
      <c r="K5673" cm="1">
        <f t="array" ref="K5673">_xlfn.SWITCH(LeadsData[[#This Row],[Funnel Stage Reached]],"Lead",1,"MQL",2,"SQL",3,"Customer",4)</f>
        <v>1</v>
      </c>
      <c r="L5673" t="str">
        <f>TEXT(LeadsData[[#This Row],[Signup Date]],"mmm-yyyy")</f>
        <v>Mar-2024</v>
      </c>
      <c r="M5673">
        <f>IF(LeadsData[[#This Row],[Stage Number]]&gt;=2,1,0)</f>
        <v>0</v>
      </c>
      <c r="N5673" s="2">
        <f>IF(LeadsData[[#This Row],[Stage Number]]&gt;=3,1,0)</f>
        <v>0</v>
      </c>
      <c r="O5673" s="2">
        <f>IF(LeadsData[[#This Row],[Stage Number]]&gt;=4,1,0)</f>
        <v>0</v>
      </c>
    </row>
    <row r="5674" spans="1:15" x14ac:dyDescent="0.25">
      <c r="A5674" t="s">
        <v>5714</v>
      </c>
      <c r="B5674" s="1">
        <v>45650</v>
      </c>
      <c r="C5674" t="s">
        <v>25</v>
      </c>
      <c r="D5674" t="s">
        <v>26</v>
      </c>
      <c r="E5674" t="s">
        <v>13</v>
      </c>
      <c r="F5674" t="s">
        <v>19</v>
      </c>
      <c r="G5674" t="s">
        <v>15</v>
      </c>
      <c r="K5674" cm="1">
        <f t="array" ref="K5674">_xlfn.SWITCH(LeadsData[[#This Row],[Funnel Stage Reached]],"Lead",1,"MQL",2,"SQL",3,"Customer",4)</f>
        <v>1</v>
      </c>
      <c r="L5674" t="str">
        <f>TEXT(LeadsData[[#This Row],[Signup Date]],"mmm-yyyy")</f>
        <v>Dec-2024</v>
      </c>
      <c r="M5674">
        <f>IF(LeadsData[[#This Row],[Stage Number]]&gt;=2,1,0)</f>
        <v>0</v>
      </c>
      <c r="N5674" s="2">
        <f>IF(LeadsData[[#This Row],[Stage Number]]&gt;=3,1,0)</f>
        <v>0</v>
      </c>
      <c r="O5674" s="2">
        <f>IF(LeadsData[[#This Row],[Stage Number]]&gt;=4,1,0)</f>
        <v>0</v>
      </c>
    </row>
    <row r="5675" spans="1:15" x14ac:dyDescent="0.25">
      <c r="A5675" t="s">
        <v>5715</v>
      </c>
      <c r="B5675" s="1">
        <v>45555</v>
      </c>
      <c r="C5675" t="s">
        <v>11</v>
      </c>
      <c r="D5675" t="s">
        <v>68</v>
      </c>
      <c r="E5675" t="s">
        <v>21</v>
      </c>
      <c r="F5675" t="s">
        <v>14</v>
      </c>
      <c r="G5675" t="s">
        <v>15</v>
      </c>
      <c r="K5675" cm="1">
        <f t="array" ref="K5675">_xlfn.SWITCH(LeadsData[[#This Row],[Funnel Stage Reached]],"Lead",1,"MQL",2,"SQL",3,"Customer",4)</f>
        <v>1</v>
      </c>
      <c r="L5675" t="str">
        <f>TEXT(LeadsData[[#This Row],[Signup Date]],"mmm-yyyy")</f>
        <v>Sep-2024</v>
      </c>
      <c r="M5675">
        <f>IF(LeadsData[[#This Row],[Stage Number]]&gt;=2,1,0)</f>
        <v>0</v>
      </c>
      <c r="N5675" s="2">
        <f>IF(LeadsData[[#This Row],[Stage Number]]&gt;=3,1,0)</f>
        <v>0</v>
      </c>
      <c r="O5675" s="2">
        <f>IF(LeadsData[[#This Row],[Stage Number]]&gt;=4,1,0)</f>
        <v>0</v>
      </c>
    </row>
    <row r="5676" spans="1:15" x14ac:dyDescent="0.25">
      <c r="A5676" t="s">
        <v>5716</v>
      </c>
      <c r="B5676" s="1">
        <v>45466</v>
      </c>
      <c r="C5676" t="s">
        <v>46</v>
      </c>
      <c r="D5676" t="s">
        <v>56</v>
      </c>
      <c r="E5676" t="s">
        <v>13</v>
      </c>
      <c r="F5676" t="s">
        <v>22</v>
      </c>
      <c r="G5676" t="s">
        <v>29</v>
      </c>
      <c r="K5676" cm="1">
        <f t="array" ref="K5676">_xlfn.SWITCH(LeadsData[[#This Row],[Funnel Stage Reached]],"Lead",1,"MQL",2,"SQL",3,"Customer",4)</f>
        <v>3</v>
      </c>
      <c r="L5676" t="str">
        <f>TEXT(LeadsData[[#This Row],[Signup Date]],"mmm-yyyy")</f>
        <v>Jun-2024</v>
      </c>
      <c r="M5676">
        <f>IF(LeadsData[[#This Row],[Stage Number]]&gt;=2,1,0)</f>
        <v>1</v>
      </c>
      <c r="N5676" s="2">
        <f>IF(LeadsData[[#This Row],[Stage Number]]&gt;=3,1,0)</f>
        <v>1</v>
      </c>
      <c r="O5676" s="2">
        <f>IF(LeadsData[[#This Row],[Stage Number]]&gt;=4,1,0)</f>
        <v>0</v>
      </c>
    </row>
    <row r="5677" spans="1:15" x14ac:dyDescent="0.25">
      <c r="A5677" t="s">
        <v>5717</v>
      </c>
      <c r="B5677" s="1">
        <v>45292</v>
      </c>
      <c r="C5677" t="s">
        <v>46</v>
      </c>
      <c r="D5677" t="s">
        <v>47</v>
      </c>
      <c r="E5677" t="s">
        <v>21</v>
      </c>
      <c r="F5677" t="s">
        <v>19</v>
      </c>
      <c r="G5677" t="s">
        <v>15</v>
      </c>
      <c r="K5677" cm="1">
        <f t="array" ref="K5677">_xlfn.SWITCH(LeadsData[[#This Row],[Funnel Stage Reached]],"Lead",1,"MQL",2,"SQL",3,"Customer",4)</f>
        <v>1</v>
      </c>
      <c r="L5677" t="str">
        <f>TEXT(LeadsData[[#This Row],[Signup Date]],"mmm-yyyy")</f>
        <v>Jan-2024</v>
      </c>
      <c r="M5677">
        <f>IF(LeadsData[[#This Row],[Stage Number]]&gt;=2,1,0)</f>
        <v>0</v>
      </c>
      <c r="N5677" s="2">
        <f>IF(LeadsData[[#This Row],[Stage Number]]&gt;=3,1,0)</f>
        <v>0</v>
      </c>
      <c r="O5677" s="2">
        <f>IF(LeadsData[[#This Row],[Stage Number]]&gt;=4,1,0)</f>
        <v>0</v>
      </c>
    </row>
    <row r="5678" spans="1:15" x14ac:dyDescent="0.25">
      <c r="A5678" t="s">
        <v>5718</v>
      </c>
      <c r="B5678" s="1">
        <v>45466</v>
      </c>
      <c r="C5678" t="s">
        <v>31</v>
      </c>
      <c r="D5678" t="s">
        <v>34</v>
      </c>
      <c r="E5678" t="s">
        <v>13</v>
      </c>
      <c r="F5678" t="s">
        <v>14</v>
      </c>
      <c r="G5678" t="s">
        <v>29</v>
      </c>
      <c r="K5678" cm="1">
        <f t="array" ref="K5678">_xlfn.SWITCH(LeadsData[[#This Row],[Funnel Stage Reached]],"Lead",1,"MQL",2,"SQL",3,"Customer",4)</f>
        <v>3</v>
      </c>
      <c r="L5678" t="str">
        <f>TEXT(LeadsData[[#This Row],[Signup Date]],"mmm-yyyy")</f>
        <v>Jun-2024</v>
      </c>
      <c r="M5678">
        <f>IF(LeadsData[[#This Row],[Stage Number]]&gt;=2,1,0)</f>
        <v>1</v>
      </c>
      <c r="N5678" s="2">
        <f>IF(LeadsData[[#This Row],[Stage Number]]&gt;=3,1,0)</f>
        <v>1</v>
      </c>
      <c r="O5678" s="2">
        <f>IF(LeadsData[[#This Row],[Stage Number]]&gt;=4,1,0)</f>
        <v>0</v>
      </c>
    </row>
    <row r="5679" spans="1:15" x14ac:dyDescent="0.25">
      <c r="A5679" t="s">
        <v>5719</v>
      </c>
      <c r="B5679" s="1">
        <v>45576</v>
      </c>
      <c r="C5679" t="s">
        <v>17</v>
      </c>
      <c r="D5679" t="s">
        <v>18</v>
      </c>
      <c r="E5679" t="s">
        <v>13</v>
      </c>
      <c r="F5679" t="s">
        <v>19</v>
      </c>
      <c r="G5679" t="s">
        <v>15</v>
      </c>
      <c r="K5679" cm="1">
        <f t="array" ref="K5679">_xlfn.SWITCH(LeadsData[[#This Row],[Funnel Stage Reached]],"Lead",1,"MQL",2,"SQL",3,"Customer",4)</f>
        <v>1</v>
      </c>
      <c r="L5679" t="str">
        <f>TEXT(LeadsData[[#This Row],[Signup Date]],"mmm-yyyy")</f>
        <v>Oct-2024</v>
      </c>
      <c r="M5679">
        <f>IF(LeadsData[[#This Row],[Stage Number]]&gt;=2,1,0)</f>
        <v>0</v>
      </c>
      <c r="N5679" s="2">
        <f>IF(LeadsData[[#This Row],[Stage Number]]&gt;=3,1,0)</f>
        <v>0</v>
      </c>
      <c r="O5679" s="2">
        <f>IF(LeadsData[[#This Row],[Stage Number]]&gt;=4,1,0)</f>
        <v>0</v>
      </c>
    </row>
    <row r="5680" spans="1:15" x14ac:dyDescent="0.25">
      <c r="A5680" t="s">
        <v>5720</v>
      </c>
      <c r="B5680" s="1">
        <v>45352</v>
      </c>
      <c r="C5680" t="s">
        <v>31</v>
      </c>
      <c r="D5680" t="s">
        <v>34</v>
      </c>
      <c r="E5680" t="s">
        <v>21</v>
      </c>
      <c r="F5680" t="s">
        <v>22</v>
      </c>
      <c r="G5680" t="s">
        <v>23</v>
      </c>
      <c r="K5680" cm="1">
        <f t="array" ref="K5680">_xlfn.SWITCH(LeadsData[[#This Row],[Funnel Stage Reached]],"Lead",1,"MQL",2,"SQL",3,"Customer",4)</f>
        <v>2</v>
      </c>
      <c r="L5680" t="str">
        <f>TEXT(LeadsData[[#This Row],[Signup Date]],"mmm-yyyy")</f>
        <v>Mar-2024</v>
      </c>
      <c r="M5680">
        <f>IF(LeadsData[[#This Row],[Stage Number]]&gt;=2,1,0)</f>
        <v>1</v>
      </c>
      <c r="N5680" s="2">
        <f>IF(LeadsData[[#This Row],[Stage Number]]&gt;=3,1,0)</f>
        <v>0</v>
      </c>
      <c r="O5680" s="2">
        <f>IF(LeadsData[[#This Row],[Stage Number]]&gt;=4,1,0)</f>
        <v>0</v>
      </c>
    </row>
    <row r="5681" spans="1:15" x14ac:dyDescent="0.25">
      <c r="A5681" t="s">
        <v>5721</v>
      </c>
      <c r="B5681" s="1">
        <v>45637</v>
      </c>
      <c r="C5681" t="s">
        <v>46</v>
      </c>
      <c r="D5681" t="s">
        <v>56</v>
      </c>
      <c r="E5681" t="s">
        <v>21</v>
      </c>
      <c r="F5681" t="s">
        <v>19</v>
      </c>
      <c r="G5681" t="s">
        <v>29</v>
      </c>
      <c r="K5681" cm="1">
        <f t="array" ref="K5681">_xlfn.SWITCH(LeadsData[[#This Row],[Funnel Stage Reached]],"Lead",1,"MQL",2,"SQL",3,"Customer",4)</f>
        <v>3</v>
      </c>
      <c r="L5681" t="str">
        <f>TEXT(LeadsData[[#This Row],[Signup Date]],"mmm-yyyy")</f>
        <v>Dec-2024</v>
      </c>
      <c r="M5681">
        <f>IF(LeadsData[[#This Row],[Stage Number]]&gt;=2,1,0)</f>
        <v>1</v>
      </c>
      <c r="N5681" s="2">
        <f>IF(LeadsData[[#This Row],[Stage Number]]&gt;=3,1,0)</f>
        <v>1</v>
      </c>
      <c r="O5681" s="2">
        <f>IF(LeadsData[[#This Row],[Stage Number]]&gt;=4,1,0)</f>
        <v>0</v>
      </c>
    </row>
    <row r="5682" spans="1:15" x14ac:dyDescent="0.25">
      <c r="A5682" t="s">
        <v>5722</v>
      </c>
      <c r="B5682" s="1">
        <v>45346</v>
      </c>
      <c r="C5682" t="s">
        <v>36</v>
      </c>
      <c r="D5682" t="s">
        <v>50</v>
      </c>
      <c r="E5682" t="s">
        <v>13</v>
      </c>
      <c r="F5682" t="s">
        <v>14</v>
      </c>
      <c r="G5682" t="s">
        <v>42</v>
      </c>
      <c r="H5682">
        <v>59</v>
      </c>
      <c r="I5682" t="s">
        <v>183</v>
      </c>
      <c r="J5682">
        <v>9550.2199999999993</v>
      </c>
      <c r="K5682" cm="1">
        <f t="array" ref="K5682">_xlfn.SWITCH(LeadsData[[#This Row],[Funnel Stage Reached]],"Lead",1,"MQL",2,"SQL",3,"Customer",4)</f>
        <v>4</v>
      </c>
      <c r="L5682" t="str">
        <f>TEXT(LeadsData[[#This Row],[Signup Date]],"mmm-yyyy")</f>
        <v>Feb-2024</v>
      </c>
      <c r="M5682">
        <f>IF(LeadsData[[#This Row],[Stage Number]]&gt;=2,1,0)</f>
        <v>1</v>
      </c>
      <c r="N5682" s="2">
        <f>IF(LeadsData[[#This Row],[Stage Number]]&gt;=3,1,0)</f>
        <v>1</v>
      </c>
      <c r="O5682" s="2">
        <f>IF(LeadsData[[#This Row],[Stage Number]]&gt;=4,1,0)</f>
        <v>1</v>
      </c>
    </row>
    <row r="5683" spans="1:15" x14ac:dyDescent="0.25">
      <c r="A5683" t="s">
        <v>5723</v>
      </c>
      <c r="B5683" s="1">
        <v>45529</v>
      </c>
      <c r="C5683" t="s">
        <v>31</v>
      </c>
      <c r="D5683" t="s">
        <v>34</v>
      </c>
      <c r="E5683" t="s">
        <v>13</v>
      </c>
      <c r="F5683" t="s">
        <v>19</v>
      </c>
      <c r="G5683" t="s">
        <v>15</v>
      </c>
      <c r="K5683" cm="1">
        <f t="array" ref="K5683">_xlfn.SWITCH(LeadsData[[#This Row],[Funnel Stage Reached]],"Lead",1,"MQL",2,"SQL",3,"Customer",4)</f>
        <v>1</v>
      </c>
      <c r="L5683" t="str">
        <f>TEXT(LeadsData[[#This Row],[Signup Date]],"mmm-yyyy")</f>
        <v>Aug-2024</v>
      </c>
      <c r="M5683">
        <f>IF(LeadsData[[#This Row],[Stage Number]]&gt;=2,1,0)</f>
        <v>0</v>
      </c>
      <c r="N5683" s="2">
        <f>IF(LeadsData[[#This Row],[Stage Number]]&gt;=3,1,0)</f>
        <v>0</v>
      </c>
      <c r="O5683" s="2">
        <f>IF(LeadsData[[#This Row],[Stage Number]]&gt;=4,1,0)</f>
        <v>0</v>
      </c>
    </row>
    <row r="5684" spans="1:15" x14ac:dyDescent="0.25">
      <c r="A5684" t="s">
        <v>5724</v>
      </c>
      <c r="B5684" s="1">
        <v>45614</v>
      </c>
      <c r="C5684" t="s">
        <v>46</v>
      </c>
      <c r="D5684" t="s">
        <v>47</v>
      </c>
      <c r="E5684" t="s">
        <v>21</v>
      </c>
      <c r="F5684" t="s">
        <v>22</v>
      </c>
      <c r="G5684" t="s">
        <v>23</v>
      </c>
      <c r="K5684" cm="1">
        <f t="array" ref="K5684">_xlfn.SWITCH(LeadsData[[#This Row],[Funnel Stage Reached]],"Lead",1,"MQL",2,"SQL",3,"Customer",4)</f>
        <v>2</v>
      </c>
      <c r="L5684" t="str">
        <f>TEXT(LeadsData[[#This Row],[Signup Date]],"mmm-yyyy")</f>
        <v>Nov-2024</v>
      </c>
      <c r="M5684">
        <f>IF(LeadsData[[#This Row],[Stage Number]]&gt;=2,1,0)</f>
        <v>1</v>
      </c>
      <c r="N5684" s="2">
        <f>IF(LeadsData[[#This Row],[Stage Number]]&gt;=3,1,0)</f>
        <v>0</v>
      </c>
      <c r="O5684" s="2">
        <f>IF(LeadsData[[#This Row],[Stage Number]]&gt;=4,1,0)</f>
        <v>0</v>
      </c>
    </row>
    <row r="5685" spans="1:15" x14ac:dyDescent="0.25">
      <c r="A5685" t="s">
        <v>5725</v>
      </c>
      <c r="B5685" s="1">
        <v>45647</v>
      </c>
      <c r="C5685" t="s">
        <v>31</v>
      </c>
      <c r="D5685" t="s">
        <v>32</v>
      </c>
      <c r="E5685" t="s">
        <v>13</v>
      </c>
      <c r="F5685" t="s">
        <v>22</v>
      </c>
      <c r="G5685" t="s">
        <v>29</v>
      </c>
      <c r="K5685" cm="1">
        <f t="array" ref="K5685">_xlfn.SWITCH(LeadsData[[#This Row],[Funnel Stage Reached]],"Lead",1,"MQL",2,"SQL",3,"Customer",4)</f>
        <v>3</v>
      </c>
      <c r="L5685" t="str">
        <f>TEXT(LeadsData[[#This Row],[Signup Date]],"mmm-yyyy")</f>
        <v>Dec-2024</v>
      </c>
      <c r="M5685">
        <f>IF(LeadsData[[#This Row],[Stage Number]]&gt;=2,1,0)</f>
        <v>1</v>
      </c>
      <c r="N5685" s="2">
        <f>IF(LeadsData[[#This Row],[Stage Number]]&gt;=3,1,0)</f>
        <v>1</v>
      </c>
      <c r="O5685" s="2">
        <f>IF(LeadsData[[#This Row],[Stage Number]]&gt;=4,1,0)</f>
        <v>0</v>
      </c>
    </row>
    <row r="5686" spans="1:15" x14ac:dyDescent="0.25">
      <c r="A5686" t="s">
        <v>5726</v>
      </c>
      <c r="B5686" s="1">
        <v>45455</v>
      </c>
      <c r="C5686" t="s">
        <v>36</v>
      </c>
      <c r="D5686" t="s">
        <v>50</v>
      </c>
      <c r="E5686" t="s">
        <v>21</v>
      </c>
      <c r="F5686" t="s">
        <v>19</v>
      </c>
      <c r="G5686" t="s">
        <v>29</v>
      </c>
      <c r="K5686" cm="1">
        <f t="array" ref="K5686">_xlfn.SWITCH(LeadsData[[#This Row],[Funnel Stage Reached]],"Lead",1,"MQL",2,"SQL",3,"Customer",4)</f>
        <v>3</v>
      </c>
      <c r="L5686" t="str">
        <f>TEXT(LeadsData[[#This Row],[Signup Date]],"mmm-yyyy")</f>
        <v>Jun-2024</v>
      </c>
      <c r="M5686">
        <f>IF(LeadsData[[#This Row],[Stage Number]]&gt;=2,1,0)</f>
        <v>1</v>
      </c>
      <c r="N5686" s="2">
        <f>IF(LeadsData[[#This Row],[Stage Number]]&gt;=3,1,0)</f>
        <v>1</v>
      </c>
      <c r="O5686" s="2">
        <f>IF(LeadsData[[#This Row],[Stage Number]]&gt;=4,1,0)</f>
        <v>0</v>
      </c>
    </row>
    <row r="5687" spans="1:15" x14ac:dyDescent="0.25">
      <c r="A5687" t="s">
        <v>5727</v>
      </c>
      <c r="B5687" s="1">
        <v>45482</v>
      </c>
      <c r="C5687" t="s">
        <v>36</v>
      </c>
      <c r="D5687" t="s">
        <v>37</v>
      </c>
      <c r="E5687" t="s">
        <v>21</v>
      </c>
      <c r="F5687" t="s">
        <v>14</v>
      </c>
      <c r="G5687" t="s">
        <v>29</v>
      </c>
      <c r="K5687" cm="1">
        <f t="array" ref="K5687">_xlfn.SWITCH(LeadsData[[#This Row],[Funnel Stage Reached]],"Lead",1,"MQL",2,"SQL",3,"Customer",4)</f>
        <v>3</v>
      </c>
      <c r="L5687" t="str">
        <f>TEXT(LeadsData[[#This Row],[Signup Date]],"mmm-yyyy")</f>
        <v>Jul-2024</v>
      </c>
      <c r="M5687">
        <f>IF(LeadsData[[#This Row],[Stage Number]]&gt;=2,1,0)</f>
        <v>1</v>
      </c>
      <c r="N5687" s="2">
        <f>IF(LeadsData[[#This Row],[Stage Number]]&gt;=3,1,0)</f>
        <v>1</v>
      </c>
      <c r="O5687" s="2">
        <f>IF(LeadsData[[#This Row],[Stage Number]]&gt;=4,1,0)</f>
        <v>0</v>
      </c>
    </row>
    <row r="5688" spans="1:15" x14ac:dyDescent="0.25">
      <c r="A5688" t="s">
        <v>5728</v>
      </c>
      <c r="B5688" s="1">
        <v>45606</v>
      </c>
      <c r="C5688" t="s">
        <v>46</v>
      </c>
      <c r="D5688" t="s">
        <v>56</v>
      </c>
      <c r="E5688" t="s">
        <v>13</v>
      </c>
      <c r="F5688" t="s">
        <v>14</v>
      </c>
      <c r="G5688" t="s">
        <v>15</v>
      </c>
      <c r="K5688" cm="1">
        <f t="array" ref="K5688">_xlfn.SWITCH(LeadsData[[#This Row],[Funnel Stage Reached]],"Lead",1,"MQL",2,"SQL",3,"Customer",4)</f>
        <v>1</v>
      </c>
      <c r="L5688" t="str">
        <f>TEXT(LeadsData[[#This Row],[Signup Date]],"mmm-yyyy")</f>
        <v>Nov-2024</v>
      </c>
      <c r="M5688">
        <f>IF(LeadsData[[#This Row],[Stage Number]]&gt;=2,1,0)</f>
        <v>0</v>
      </c>
      <c r="N5688" s="2">
        <f>IF(LeadsData[[#This Row],[Stage Number]]&gt;=3,1,0)</f>
        <v>0</v>
      </c>
      <c r="O5688" s="2">
        <f>IF(LeadsData[[#This Row],[Stage Number]]&gt;=4,1,0)</f>
        <v>0</v>
      </c>
    </row>
    <row r="5689" spans="1:15" x14ac:dyDescent="0.25">
      <c r="A5689" t="s">
        <v>5729</v>
      </c>
      <c r="B5689" s="1">
        <v>45426</v>
      </c>
      <c r="C5689" t="s">
        <v>25</v>
      </c>
      <c r="D5689" t="s">
        <v>26</v>
      </c>
      <c r="E5689" t="s">
        <v>13</v>
      </c>
      <c r="F5689" t="s">
        <v>22</v>
      </c>
      <c r="G5689" t="s">
        <v>15</v>
      </c>
      <c r="K5689" cm="1">
        <f t="array" ref="K5689">_xlfn.SWITCH(LeadsData[[#This Row],[Funnel Stage Reached]],"Lead",1,"MQL",2,"SQL",3,"Customer",4)</f>
        <v>1</v>
      </c>
      <c r="L5689" t="str">
        <f>TEXT(LeadsData[[#This Row],[Signup Date]],"mmm-yyyy")</f>
        <v>May-2024</v>
      </c>
      <c r="M5689">
        <f>IF(LeadsData[[#This Row],[Stage Number]]&gt;=2,1,0)</f>
        <v>0</v>
      </c>
      <c r="N5689" s="2">
        <f>IF(LeadsData[[#This Row],[Stage Number]]&gt;=3,1,0)</f>
        <v>0</v>
      </c>
      <c r="O5689" s="2">
        <f>IF(LeadsData[[#This Row],[Stage Number]]&gt;=4,1,0)</f>
        <v>0</v>
      </c>
    </row>
    <row r="5690" spans="1:15" x14ac:dyDescent="0.25">
      <c r="A5690" t="s">
        <v>5730</v>
      </c>
      <c r="B5690" s="1">
        <v>45637</v>
      </c>
      <c r="C5690" t="s">
        <v>36</v>
      </c>
      <c r="D5690" t="s">
        <v>50</v>
      </c>
      <c r="E5690" t="s">
        <v>13</v>
      </c>
      <c r="F5690" t="s">
        <v>19</v>
      </c>
      <c r="G5690" t="s">
        <v>15</v>
      </c>
      <c r="K5690" cm="1">
        <f t="array" ref="K5690">_xlfn.SWITCH(LeadsData[[#This Row],[Funnel Stage Reached]],"Lead",1,"MQL",2,"SQL",3,"Customer",4)</f>
        <v>1</v>
      </c>
      <c r="L5690" t="str">
        <f>TEXT(LeadsData[[#This Row],[Signup Date]],"mmm-yyyy")</f>
        <v>Dec-2024</v>
      </c>
      <c r="M5690">
        <f>IF(LeadsData[[#This Row],[Stage Number]]&gt;=2,1,0)</f>
        <v>0</v>
      </c>
      <c r="N5690" s="2">
        <f>IF(LeadsData[[#This Row],[Stage Number]]&gt;=3,1,0)</f>
        <v>0</v>
      </c>
      <c r="O5690" s="2">
        <f>IF(LeadsData[[#This Row],[Stage Number]]&gt;=4,1,0)</f>
        <v>0</v>
      </c>
    </row>
    <row r="5691" spans="1:15" x14ac:dyDescent="0.25">
      <c r="A5691" t="s">
        <v>5731</v>
      </c>
      <c r="B5691" s="1">
        <v>45452</v>
      </c>
      <c r="C5691" t="s">
        <v>46</v>
      </c>
      <c r="D5691" t="s">
        <v>56</v>
      </c>
      <c r="E5691" t="s">
        <v>21</v>
      </c>
      <c r="F5691" t="s">
        <v>19</v>
      </c>
      <c r="G5691" t="s">
        <v>15</v>
      </c>
      <c r="K5691" cm="1">
        <f t="array" ref="K5691">_xlfn.SWITCH(LeadsData[[#This Row],[Funnel Stage Reached]],"Lead",1,"MQL",2,"SQL",3,"Customer",4)</f>
        <v>1</v>
      </c>
      <c r="L5691" t="str">
        <f>TEXT(LeadsData[[#This Row],[Signup Date]],"mmm-yyyy")</f>
        <v>Jun-2024</v>
      </c>
      <c r="M5691">
        <f>IF(LeadsData[[#This Row],[Stage Number]]&gt;=2,1,0)</f>
        <v>0</v>
      </c>
      <c r="N5691" s="2">
        <f>IF(LeadsData[[#This Row],[Stage Number]]&gt;=3,1,0)</f>
        <v>0</v>
      </c>
      <c r="O5691" s="2">
        <f>IF(LeadsData[[#This Row],[Stage Number]]&gt;=4,1,0)</f>
        <v>0</v>
      </c>
    </row>
    <row r="5692" spans="1:15" x14ac:dyDescent="0.25">
      <c r="A5692" t="s">
        <v>5732</v>
      </c>
      <c r="B5692" s="1">
        <v>45592</v>
      </c>
      <c r="C5692" t="s">
        <v>25</v>
      </c>
      <c r="D5692" t="s">
        <v>26</v>
      </c>
      <c r="E5692" t="s">
        <v>21</v>
      </c>
      <c r="F5692" t="s">
        <v>22</v>
      </c>
      <c r="G5692" t="s">
        <v>15</v>
      </c>
      <c r="K5692" cm="1">
        <f t="array" ref="K5692">_xlfn.SWITCH(LeadsData[[#This Row],[Funnel Stage Reached]],"Lead",1,"MQL",2,"SQL",3,"Customer",4)</f>
        <v>1</v>
      </c>
      <c r="L5692" t="str">
        <f>TEXT(LeadsData[[#This Row],[Signup Date]],"mmm-yyyy")</f>
        <v>Oct-2024</v>
      </c>
      <c r="M5692">
        <f>IF(LeadsData[[#This Row],[Stage Number]]&gt;=2,1,0)</f>
        <v>0</v>
      </c>
      <c r="N5692" s="2">
        <f>IF(LeadsData[[#This Row],[Stage Number]]&gt;=3,1,0)</f>
        <v>0</v>
      </c>
      <c r="O5692" s="2">
        <f>IF(LeadsData[[#This Row],[Stage Number]]&gt;=4,1,0)</f>
        <v>0</v>
      </c>
    </row>
    <row r="5693" spans="1:15" x14ac:dyDescent="0.25">
      <c r="A5693" t="s">
        <v>5733</v>
      </c>
      <c r="B5693" s="1">
        <v>45522</v>
      </c>
      <c r="C5693" t="s">
        <v>46</v>
      </c>
      <c r="D5693" t="s">
        <v>47</v>
      </c>
      <c r="E5693" t="s">
        <v>48</v>
      </c>
      <c r="F5693" t="s">
        <v>19</v>
      </c>
      <c r="G5693" t="s">
        <v>29</v>
      </c>
      <c r="K5693" cm="1">
        <f t="array" ref="K5693">_xlfn.SWITCH(LeadsData[[#This Row],[Funnel Stage Reached]],"Lead",1,"MQL",2,"SQL",3,"Customer",4)</f>
        <v>3</v>
      </c>
      <c r="L5693" t="str">
        <f>TEXT(LeadsData[[#This Row],[Signup Date]],"mmm-yyyy")</f>
        <v>Aug-2024</v>
      </c>
      <c r="M5693">
        <f>IF(LeadsData[[#This Row],[Stage Number]]&gt;=2,1,0)</f>
        <v>1</v>
      </c>
      <c r="N5693" s="2">
        <f>IF(LeadsData[[#This Row],[Stage Number]]&gt;=3,1,0)</f>
        <v>1</v>
      </c>
      <c r="O5693" s="2">
        <f>IF(LeadsData[[#This Row],[Stage Number]]&gt;=4,1,0)</f>
        <v>0</v>
      </c>
    </row>
    <row r="5694" spans="1:15" x14ac:dyDescent="0.25">
      <c r="A5694" t="s">
        <v>5734</v>
      </c>
      <c r="B5694" s="1">
        <v>45293</v>
      </c>
      <c r="C5694" t="s">
        <v>36</v>
      </c>
      <c r="D5694" t="s">
        <v>37</v>
      </c>
      <c r="E5694" t="s">
        <v>48</v>
      </c>
      <c r="F5694" t="s">
        <v>22</v>
      </c>
      <c r="G5694" t="s">
        <v>42</v>
      </c>
      <c r="H5694">
        <v>17</v>
      </c>
      <c r="I5694" t="s">
        <v>183</v>
      </c>
      <c r="J5694">
        <v>17707</v>
      </c>
      <c r="K5694" cm="1">
        <f t="array" ref="K5694">_xlfn.SWITCH(LeadsData[[#This Row],[Funnel Stage Reached]],"Lead",1,"MQL",2,"SQL",3,"Customer",4)</f>
        <v>4</v>
      </c>
      <c r="L5694" t="str">
        <f>TEXT(LeadsData[[#This Row],[Signup Date]],"mmm-yyyy")</f>
        <v>Jan-2024</v>
      </c>
      <c r="M5694">
        <f>IF(LeadsData[[#This Row],[Stage Number]]&gt;=2,1,0)</f>
        <v>1</v>
      </c>
      <c r="N5694" s="2">
        <f>IF(LeadsData[[#This Row],[Stage Number]]&gt;=3,1,0)</f>
        <v>1</v>
      </c>
      <c r="O5694" s="2">
        <f>IF(LeadsData[[#This Row],[Stage Number]]&gt;=4,1,0)</f>
        <v>1</v>
      </c>
    </row>
    <row r="5695" spans="1:15" x14ac:dyDescent="0.25">
      <c r="A5695" t="s">
        <v>5735</v>
      </c>
      <c r="B5695" s="1">
        <v>45407</v>
      </c>
      <c r="C5695" t="s">
        <v>36</v>
      </c>
      <c r="D5695" t="s">
        <v>50</v>
      </c>
      <c r="E5695" t="s">
        <v>13</v>
      </c>
      <c r="F5695" t="s">
        <v>14</v>
      </c>
      <c r="G5695" t="s">
        <v>15</v>
      </c>
      <c r="K5695" cm="1">
        <f t="array" ref="K5695">_xlfn.SWITCH(LeadsData[[#This Row],[Funnel Stage Reached]],"Lead",1,"MQL",2,"SQL",3,"Customer",4)</f>
        <v>1</v>
      </c>
      <c r="L5695" t="str">
        <f>TEXT(LeadsData[[#This Row],[Signup Date]],"mmm-yyyy")</f>
        <v>Apr-2024</v>
      </c>
      <c r="M5695">
        <f>IF(LeadsData[[#This Row],[Stage Number]]&gt;=2,1,0)</f>
        <v>0</v>
      </c>
      <c r="N5695" s="2">
        <f>IF(LeadsData[[#This Row],[Stage Number]]&gt;=3,1,0)</f>
        <v>0</v>
      </c>
      <c r="O5695" s="2">
        <f>IF(LeadsData[[#This Row],[Stage Number]]&gt;=4,1,0)</f>
        <v>0</v>
      </c>
    </row>
    <row r="5696" spans="1:15" x14ac:dyDescent="0.25">
      <c r="A5696" t="s">
        <v>5736</v>
      </c>
      <c r="B5696" s="1">
        <v>45543</v>
      </c>
      <c r="C5696" t="s">
        <v>31</v>
      </c>
      <c r="D5696" t="s">
        <v>34</v>
      </c>
      <c r="E5696" t="s">
        <v>21</v>
      </c>
      <c r="F5696" t="s">
        <v>19</v>
      </c>
      <c r="G5696" t="s">
        <v>23</v>
      </c>
      <c r="K5696" cm="1">
        <f t="array" ref="K5696">_xlfn.SWITCH(LeadsData[[#This Row],[Funnel Stage Reached]],"Lead",1,"MQL",2,"SQL",3,"Customer",4)</f>
        <v>2</v>
      </c>
      <c r="L5696" t="str">
        <f>TEXT(LeadsData[[#This Row],[Signup Date]],"mmm-yyyy")</f>
        <v>Sep-2024</v>
      </c>
      <c r="M5696">
        <f>IF(LeadsData[[#This Row],[Stage Number]]&gt;=2,1,0)</f>
        <v>1</v>
      </c>
      <c r="N5696" s="2">
        <f>IF(LeadsData[[#This Row],[Stage Number]]&gt;=3,1,0)</f>
        <v>0</v>
      </c>
      <c r="O5696" s="2">
        <f>IF(LeadsData[[#This Row],[Stage Number]]&gt;=4,1,0)</f>
        <v>0</v>
      </c>
    </row>
    <row r="5697" spans="1:15" x14ac:dyDescent="0.25">
      <c r="A5697" t="s">
        <v>5737</v>
      </c>
      <c r="B5697" s="1">
        <v>45617</v>
      </c>
      <c r="C5697" t="s">
        <v>31</v>
      </c>
      <c r="D5697" t="s">
        <v>32</v>
      </c>
      <c r="E5697" t="s">
        <v>13</v>
      </c>
      <c r="F5697" t="s">
        <v>19</v>
      </c>
      <c r="G5697" t="s">
        <v>42</v>
      </c>
      <c r="H5697">
        <v>67</v>
      </c>
      <c r="I5697" t="s">
        <v>183</v>
      </c>
      <c r="J5697">
        <v>19949.900000000001</v>
      </c>
      <c r="K5697" cm="1">
        <f t="array" ref="K5697">_xlfn.SWITCH(LeadsData[[#This Row],[Funnel Stage Reached]],"Lead",1,"MQL",2,"SQL",3,"Customer",4)</f>
        <v>4</v>
      </c>
      <c r="L5697" t="str">
        <f>TEXT(LeadsData[[#This Row],[Signup Date]],"mmm-yyyy")</f>
        <v>Nov-2024</v>
      </c>
      <c r="M5697">
        <f>IF(LeadsData[[#This Row],[Stage Number]]&gt;=2,1,0)</f>
        <v>1</v>
      </c>
      <c r="N5697" s="2">
        <f>IF(LeadsData[[#This Row],[Stage Number]]&gt;=3,1,0)</f>
        <v>1</v>
      </c>
      <c r="O5697" s="2">
        <f>IF(LeadsData[[#This Row],[Stage Number]]&gt;=4,1,0)</f>
        <v>1</v>
      </c>
    </row>
    <row r="5698" spans="1:15" x14ac:dyDescent="0.25">
      <c r="A5698" t="s">
        <v>5738</v>
      </c>
      <c r="B5698" s="1">
        <v>45619</v>
      </c>
      <c r="C5698" t="s">
        <v>36</v>
      </c>
      <c r="D5698" t="s">
        <v>37</v>
      </c>
      <c r="E5698" t="s">
        <v>21</v>
      </c>
      <c r="F5698" t="s">
        <v>19</v>
      </c>
      <c r="G5698" t="s">
        <v>15</v>
      </c>
      <c r="K5698" cm="1">
        <f t="array" ref="K5698">_xlfn.SWITCH(LeadsData[[#This Row],[Funnel Stage Reached]],"Lead",1,"MQL",2,"SQL",3,"Customer",4)</f>
        <v>1</v>
      </c>
      <c r="L5698" t="str">
        <f>TEXT(LeadsData[[#This Row],[Signup Date]],"mmm-yyyy")</f>
        <v>Nov-2024</v>
      </c>
      <c r="M5698">
        <f>IF(LeadsData[[#This Row],[Stage Number]]&gt;=2,1,0)</f>
        <v>0</v>
      </c>
      <c r="N5698" s="2">
        <f>IF(LeadsData[[#This Row],[Stage Number]]&gt;=3,1,0)</f>
        <v>0</v>
      </c>
      <c r="O5698" s="2">
        <f>IF(LeadsData[[#This Row],[Stage Number]]&gt;=4,1,0)</f>
        <v>0</v>
      </c>
    </row>
    <row r="5699" spans="1:15" x14ac:dyDescent="0.25">
      <c r="A5699" t="s">
        <v>5739</v>
      </c>
      <c r="B5699" s="1">
        <v>45547</v>
      </c>
      <c r="C5699" t="s">
        <v>46</v>
      </c>
      <c r="D5699" t="s">
        <v>56</v>
      </c>
      <c r="E5699" t="s">
        <v>21</v>
      </c>
      <c r="F5699" t="s">
        <v>19</v>
      </c>
      <c r="G5699" t="s">
        <v>15</v>
      </c>
      <c r="K5699" cm="1">
        <f t="array" ref="K5699">_xlfn.SWITCH(LeadsData[[#This Row],[Funnel Stage Reached]],"Lead",1,"MQL",2,"SQL",3,"Customer",4)</f>
        <v>1</v>
      </c>
      <c r="L5699" t="str">
        <f>TEXT(LeadsData[[#This Row],[Signup Date]],"mmm-yyyy")</f>
        <v>Sep-2024</v>
      </c>
      <c r="M5699">
        <f>IF(LeadsData[[#This Row],[Stage Number]]&gt;=2,1,0)</f>
        <v>0</v>
      </c>
      <c r="N5699" s="2">
        <f>IF(LeadsData[[#This Row],[Stage Number]]&gt;=3,1,0)</f>
        <v>0</v>
      </c>
      <c r="O5699" s="2">
        <f>IF(LeadsData[[#This Row],[Stage Number]]&gt;=4,1,0)</f>
        <v>0</v>
      </c>
    </row>
    <row r="5700" spans="1:15" x14ac:dyDescent="0.25">
      <c r="A5700" t="s">
        <v>5740</v>
      </c>
      <c r="B5700" s="1">
        <v>45407</v>
      </c>
      <c r="C5700" t="s">
        <v>17</v>
      </c>
      <c r="D5700" t="s">
        <v>18</v>
      </c>
      <c r="E5700" t="s">
        <v>13</v>
      </c>
      <c r="F5700" t="s">
        <v>14</v>
      </c>
      <c r="G5700" t="s">
        <v>23</v>
      </c>
      <c r="K5700" cm="1">
        <f t="array" ref="K5700">_xlfn.SWITCH(LeadsData[[#This Row],[Funnel Stage Reached]],"Lead",1,"MQL",2,"SQL",3,"Customer",4)</f>
        <v>2</v>
      </c>
      <c r="L5700" t="str">
        <f>TEXT(LeadsData[[#This Row],[Signup Date]],"mmm-yyyy")</f>
        <v>Apr-2024</v>
      </c>
      <c r="M5700">
        <f>IF(LeadsData[[#This Row],[Stage Number]]&gt;=2,1,0)</f>
        <v>1</v>
      </c>
      <c r="N5700" s="2">
        <f>IF(LeadsData[[#This Row],[Stage Number]]&gt;=3,1,0)</f>
        <v>0</v>
      </c>
      <c r="O5700" s="2">
        <f>IF(LeadsData[[#This Row],[Stage Number]]&gt;=4,1,0)</f>
        <v>0</v>
      </c>
    </row>
    <row r="5701" spans="1:15" x14ac:dyDescent="0.25">
      <c r="A5701" t="s">
        <v>5741</v>
      </c>
      <c r="B5701" s="1">
        <v>45368</v>
      </c>
      <c r="C5701" t="s">
        <v>17</v>
      </c>
      <c r="D5701" t="s">
        <v>18</v>
      </c>
      <c r="E5701" t="s">
        <v>13</v>
      </c>
      <c r="F5701" t="s">
        <v>14</v>
      </c>
      <c r="G5701" t="s">
        <v>23</v>
      </c>
      <c r="K5701" cm="1">
        <f t="array" ref="K5701">_xlfn.SWITCH(LeadsData[[#This Row],[Funnel Stage Reached]],"Lead",1,"MQL",2,"SQL",3,"Customer",4)</f>
        <v>2</v>
      </c>
      <c r="L5701" t="str">
        <f>TEXT(LeadsData[[#This Row],[Signup Date]],"mmm-yyyy")</f>
        <v>Mar-2024</v>
      </c>
      <c r="M5701">
        <f>IF(LeadsData[[#This Row],[Stage Number]]&gt;=2,1,0)</f>
        <v>1</v>
      </c>
      <c r="N5701" s="2">
        <f>IF(LeadsData[[#This Row],[Stage Number]]&gt;=3,1,0)</f>
        <v>0</v>
      </c>
      <c r="O5701" s="2">
        <f>IF(LeadsData[[#This Row],[Stage Number]]&gt;=4,1,0)</f>
        <v>0</v>
      </c>
    </row>
    <row r="5702" spans="1:15" x14ac:dyDescent="0.25">
      <c r="A5702" t="s">
        <v>5742</v>
      </c>
      <c r="B5702" s="1">
        <v>45531</v>
      </c>
      <c r="C5702" t="s">
        <v>11</v>
      </c>
      <c r="D5702" t="s">
        <v>12</v>
      </c>
      <c r="E5702" t="s">
        <v>13</v>
      </c>
      <c r="F5702" t="s">
        <v>14</v>
      </c>
      <c r="G5702" t="s">
        <v>15</v>
      </c>
      <c r="K5702" cm="1">
        <f t="array" ref="K5702">_xlfn.SWITCH(LeadsData[[#This Row],[Funnel Stage Reached]],"Lead",1,"MQL",2,"SQL",3,"Customer",4)</f>
        <v>1</v>
      </c>
      <c r="L5702" t="str">
        <f>TEXT(LeadsData[[#This Row],[Signup Date]],"mmm-yyyy")</f>
        <v>Aug-2024</v>
      </c>
      <c r="M5702">
        <f>IF(LeadsData[[#This Row],[Stage Number]]&gt;=2,1,0)</f>
        <v>0</v>
      </c>
      <c r="N5702" s="2">
        <f>IF(LeadsData[[#This Row],[Stage Number]]&gt;=3,1,0)</f>
        <v>0</v>
      </c>
      <c r="O5702" s="2">
        <f>IF(LeadsData[[#This Row],[Stage Number]]&gt;=4,1,0)</f>
        <v>0</v>
      </c>
    </row>
    <row r="5703" spans="1:15" x14ac:dyDescent="0.25">
      <c r="A5703" t="s">
        <v>5743</v>
      </c>
      <c r="B5703" s="1">
        <v>45485</v>
      </c>
      <c r="C5703" t="s">
        <v>25</v>
      </c>
      <c r="D5703" t="s">
        <v>26</v>
      </c>
      <c r="E5703" t="s">
        <v>21</v>
      </c>
      <c r="F5703" t="s">
        <v>19</v>
      </c>
      <c r="G5703" t="s">
        <v>23</v>
      </c>
      <c r="K5703" cm="1">
        <f t="array" ref="K5703">_xlfn.SWITCH(LeadsData[[#This Row],[Funnel Stage Reached]],"Lead",1,"MQL",2,"SQL",3,"Customer",4)</f>
        <v>2</v>
      </c>
      <c r="L5703" t="str">
        <f>TEXT(LeadsData[[#This Row],[Signup Date]],"mmm-yyyy")</f>
        <v>Jul-2024</v>
      </c>
      <c r="M5703">
        <f>IF(LeadsData[[#This Row],[Stage Number]]&gt;=2,1,0)</f>
        <v>1</v>
      </c>
      <c r="N5703" s="2">
        <f>IF(LeadsData[[#This Row],[Stage Number]]&gt;=3,1,0)</f>
        <v>0</v>
      </c>
      <c r="O5703" s="2">
        <f>IF(LeadsData[[#This Row],[Stage Number]]&gt;=4,1,0)</f>
        <v>0</v>
      </c>
    </row>
    <row r="5704" spans="1:15" x14ac:dyDescent="0.25">
      <c r="A5704" t="s">
        <v>5744</v>
      </c>
      <c r="B5704" s="1">
        <v>45644</v>
      </c>
      <c r="C5704" t="s">
        <v>31</v>
      </c>
      <c r="D5704" t="s">
        <v>34</v>
      </c>
      <c r="E5704" t="s">
        <v>13</v>
      </c>
      <c r="F5704" t="s">
        <v>14</v>
      </c>
      <c r="G5704" t="s">
        <v>15</v>
      </c>
      <c r="K5704" cm="1">
        <f t="array" ref="K5704">_xlfn.SWITCH(LeadsData[[#This Row],[Funnel Stage Reached]],"Lead",1,"MQL",2,"SQL",3,"Customer",4)</f>
        <v>1</v>
      </c>
      <c r="L5704" t="str">
        <f>TEXT(LeadsData[[#This Row],[Signup Date]],"mmm-yyyy")</f>
        <v>Dec-2024</v>
      </c>
      <c r="M5704">
        <f>IF(LeadsData[[#This Row],[Stage Number]]&gt;=2,1,0)</f>
        <v>0</v>
      </c>
      <c r="N5704" s="2">
        <f>IF(LeadsData[[#This Row],[Stage Number]]&gt;=3,1,0)</f>
        <v>0</v>
      </c>
      <c r="O5704" s="2">
        <f>IF(LeadsData[[#This Row],[Stage Number]]&gt;=4,1,0)</f>
        <v>0</v>
      </c>
    </row>
    <row r="5705" spans="1:15" x14ac:dyDescent="0.25">
      <c r="A5705" t="s">
        <v>5745</v>
      </c>
      <c r="B5705" s="1">
        <v>45465</v>
      </c>
      <c r="C5705" t="s">
        <v>36</v>
      </c>
      <c r="D5705" t="s">
        <v>37</v>
      </c>
      <c r="E5705" t="s">
        <v>21</v>
      </c>
      <c r="F5705" t="s">
        <v>19</v>
      </c>
      <c r="G5705" t="s">
        <v>29</v>
      </c>
      <c r="K5705" cm="1">
        <f t="array" ref="K5705">_xlfn.SWITCH(LeadsData[[#This Row],[Funnel Stage Reached]],"Lead",1,"MQL",2,"SQL",3,"Customer",4)</f>
        <v>3</v>
      </c>
      <c r="L5705" t="str">
        <f>TEXT(LeadsData[[#This Row],[Signup Date]],"mmm-yyyy")</f>
        <v>Jun-2024</v>
      </c>
      <c r="M5705">
        <f>IF(LeadsData[[#This Row],[Stage Number]]&gt;=2,1,0)</f>
        <v>1</v>
      </c>
      <c r="N5705" s="2">
        <f>IF(LeadsData[[#This Row],[Stage Number]]&gt;=3,1,0)</f>
        <v>1</v>
      </c>
      <c r="O5705" s="2">
        <f>IF(LeadsData[[#This Row],[Stage Number]]&gt;=4,1,0)</f>
        <v>0</v>
      </c>
    </row>
    <row r="5706" spans="1:15" x14ac:dyDescent="0.25">
      <c r="A5706" t="s">
        <v>5746</v>
      </c>
      <c r="B5706" s="1">
        <v>45396</v>
      </c>
      <c r="C5706" t="s">
        <v>25</v>
      </c>
      <c r="D5706" t="s">
        <v>26</v>
      </c>
      <c r="E5706" t="s">
        <v>21</v>
      </c>
      <c r="F5706" t="s">
        <v>19</v>
      </c>
      <c r="G5706" t="s">
        <v>23</v>
      </c>
      <c r="K5706" cm="1">
        <f t="array" ref="K5706">_xlfn.SWITCH(LeadsData[[#This Row],[Funnel Stage Reached]],"Lead",1,"MQL",2,"SQL",3,"Customer",4)</f>
        <v>2</v>
      </c>
      <c r="L5706" t="str">
        <f>TEXT(LeadsData[[#This Row],[Signup Date]],"mmm-yyyy")</f>
        <v>Apr-2024</v>
      </c>
      <c r="M5706">
        <f>IF(LeadsData[[#This Row],[Stage Number]]&gt;=2,1,0)</f>
        <v>1</v>
      </c>
      <c r="N5706" s="2">
        <f>IF(LeadsData[[#This Row],[Stage Number]]&gt;=3,1,0)</f>
        <v>0</v>
      </c>
      <c r="O5706" s="2">
        <f>IF(LeadsData[[#This Row],[Stage Number]]&gt;=4,1,0)</f>
        <v>0</v>
      </c>
    </row>
    <row r="5707" spans="1:15" x14ac:dyDescent="0.25">
      <c r="A5707" t="s">
        <v>5747</v>
      </c>
      <c r="B5707" s="1">
        <v>45650</v>
      </c>
      <c r="C5707" t="s">
        <v>25</v>
      </c>
      <c r="D5707" t="s">
        <v>26</v>
      </c>
      <c r="E5707" t="s">
        <v>21</v>
      </c>
      <c r="F5707" t="s">
        <v>22</v>
      </c>
      <c r="G5707" t="s">
        <v>23</v>
      </c>
      <c r="K5707" cm="1">
        <f t="array" ref="K5707">_xlfn.SWITCH(LeadsData[[#This Row],[Funnel Stage Reached]],"Lead",1,"MQL",2,"SQL",3,"Customer",4)</f>
        <v>2</v>
      </c>
      <c r="L5707" t="str">
        <f>TEXT(LeadsData[[#This Row],[Signup Date]],"mmm-yyyy")</f>
        <v>Dec-2024</v>
      </c>
      <c r="M5707">
        <f>IF(LeadsData[[#This Row],[Stage Number]]&gt;=2,1,0)</f>
        <v>1</v>
      </c>
      <c r="N5707" s="2">
        <f>IF(LeadsData[[#This Row],[Stage Number]]&gt;=3,1,0)</f>
        <v>0</v>
      </c>
      <c r="O5707" s="2">
        <f>IF(LeadsData[[#This Row],[Stage Number]]&gt;=4,1,0)</f>
        <v>0</v>
      </c>
    </row>
    <row r="5708" spans="1:15" x14ac:dyDescent="0.25">
      <c r="A5708" t="s">
        <v>5748</v>
      </c>
      <c r="B5708" s="1">
        <v>45613</v>
      </c>
      <c r="C5708" t="s">
        <v>31</v>
      </c>
      <c r="D5708" t="s">
        <v>32</v>
      </c>
      <c r="E5708" t="s">
        <v>13</v>
      </c>
      <c r="F5708" t="s">
        <v>22</v>
      </c>
      <c r="G5708" t="s">
        <v>42</v>
      </c>
      <c r="H5708">
        <v>73</v>
      </c>
      <c r="I5708" t="s">
        <v>43</v>
      </c>
      <c r="J5708">
        <v>922.66</v>
      </c>
      <c r="K5708" cm="1">
        <f t="array" ref="K5708">_xlfn.SWITCH(LeadsData[[#This Row],[Funnel Stage Reached]],"Lead",1,"MQL",2,"SQL",3,"Customer",4)</f>
        <v>4</v>
      </c>
      <c r="L5708" t="str">
        <f>TEXT(LeadsData[[#This Row],[Signup Date]],"mmm-yyyy")</f>
        <v>Nov-2024</v>
      </c>
      <c r="M5708">
        <f>IF(LeadsData[[#This Row],[Stage Number]]&gt;=2,1,0)</f>
        <v>1</v>
      </c>
      <c r="N5708" s="2">
        <f>IF(LeadsData[[#This Row],[Stage Number]]&gt;=3,1,0)</f>
        <v>1</v>
      </c>
      <c r="O5708" s="2">
        <f>IF(LeadsData[[#This Row],[Stage Number]]&gt;=4,1,0)</f>
        <v>1</v>
      </c>
    </row>
    <row r="5709" spans="1:15" x14ac:dyDescent="0.25">
      <c r="A5709" t="s">
        <v>5749</v>
      </c>
      <c r="B5709" s="1">
        <v>45436</v>
      </c>
      <c r="C5709" t="s">
        <v>31</v>
      </c>
      <c r="D5709" t="s">
        <v>32</v>
      </c>
      <c r="E5709" t="s">
        <v>13</v>
      </c>
      <c r="F5709" t="s">
        <v>22</v>
      </c>
      <c r="G5709" t="s">
        <v>29</v>
      </c>
      <c r="K5709" cm="1">
        <f t="array" ref="K5709">_xlfn.SWITCH(LeadsData[[#This Row],[Funnel Stage Reached]],"Lead",1,"MQL",2,"SQL",3,"Customer",4)</f>
        <v>3</v>
      </c>
      <c r="L5709" t="str">
        <f>TEXT(LeadsData[[#This Row],[Signup Date]],"mmm-yyyy")</f>
        <v>May-2024</v>
      </c>
      <c r="M5709">
        <f>IF(LeadsData[[#This Row],[Stage Number]]&gt;=2,1,0)</f>
        <v>1</v>
      </c>
      <c r="N5709" s="2">
        <f>IF(LeadsData[[#This Row],[Stage Number]]&gt;=3,1,0)</f>
        <v>1</v>
      </c>
      <c r="O5709" s="2">
        <f>IF(LeadsData[[#This Row],[Stage Number]]&gt;=4,1,0)</f>
        <v>0</v>
      </c>
    </row>
    <row r="5710" spans="1:15" x14ac:dyDescent="0.25">
      <c r="A5710" t="s">
        <v>5750</v>
      </c>
      <c r="B5710" s="1">
        <v>45352</v>
      </c>
      <c r="C5710" t="s">
        <v>36</v>
      </c>
      <c r="D5710" t="s">
        <v>37</v>
      </c>
      <c r="E5710" t="s">
        <v>13</v>
      </c>
      <c r="F5710" t="s">
        <v>19</v>
      </c>
      <c r="G5710" t="s">
        <v>15</v>
      </c>
      <c r="K5710" cm="1">
        <f t="array" ref="K5710">_xlfn.SWITCH(LeadsData[[#This Row],[Funnel Stage Reached]],"Lead",1,"MQL",2,"SQL",3,"Customer",4)</f>
        <v>1</v>
      </c>
      <c r="L5710" t="str">
        <f>TEXT(LeadsData[[#This Row],[Signup Date]],"mmm-yyyy")</f>
        <v>Mar-2024</v>
      </c>
      <c r="M5710">
        <f>IF(LeadsData[[#This Row],[Stage Number]]&gt;=2,1,0)</f>
        <v>0</v>
      </c>
      <c r="N5710" s="2">
        <f>IF(LeadsData[[#This Row],[Stage Number]]&gt;=3,1,0)</f>
        <v>0</v>
      </c>
      <c r="O5710" s="2">
        <f>IF(LeadsData[[#This Row],[Stage Number]]&gt;=4,1,0)</f>
        <v>0</v>
      </c>
    </row>
    <row r="5711" spans="1:15" x14ac:dyDescent="0.25">
      <c r="A5711" t="s">
        <v>5751</v>
      </c>
      <c r="B5711" s="1">
        <v>45296</v>
      </c>
      <c r="C5711" t="s">
        <v>31</v>
      </c>
      <c r="D5711" t="s">
        <v>32</v>
      </c>
      <c r="E5711" t="s">
        <v>13</v>
      </c>
      <c r="F5711" t="s">
        <v>22</v>
      </c>
      <c r="G5711" t="s">
        <v>23</v>
      </c>
      <c r="K5711" cm="1">
        <f t="array" ref="K5711">_xlfn.SWITCH(LeadsData[[#This Row],[Funnel Stage Reached]],"Lead",1,"MQL",2,"SQL",3,"Customer",4)</f>
        <v>2</v>
      </c>
      <c r="L5711" t="str">
        <f>TEXT(LeadsData[[#This Row],[Signup Date]],"mmm-yyyy")</f>
        <v>Jan-2024</v>
      </c>
      <c r="M5711">
        <f>IF(LeadsData[[#This Row],[Stage Number]]&gt;=2,1,0)</f>
        <v>1</v>
      </c>
      <c r="N5711" s="2">
        <f>IF(LeadsData[[#This Row],[Stage Number]]&gt;=3,1,0)</f>
        <v>0</v>
      </c>
      <c r="O5711" s="2">
        <f>IF(LeadsData[[#This Row],[Stage Number]]&gt;=4,1,0)</f>
        <v>0</v>
      </c>
    </row>
    <row r="5712" spans="1:15" x14ac:dyDescent="0.25">
      <c r="A5712" t="s">
        <v>5752</v>
      </c>
      <c r="B5712" s="1">
        <v>45398</v>
      </c>
      <c r="C5712" t="s">
        <v>17</v>
      </c>
      <c r="D5712" t="s">
        <v>18</v>
      </c>
      <c r="E5712" t="s">
        <v>13</v>
      </c>
      <c r="F5712" t="s">
        <v>19</v>
      </c>
      <c r="G5712" t="s">
        <v>15</v>
      </c>
      <c r="K5712" cm="1">
        <f t="array" ref="K5712">_xlfn.SWITCH(LeadsData[[#This Row],[Funnel Stage Reached]],"Lead",1,"MQL",2,"SQL",3,"Customer",4)</f>
        <v>1</v>
      </c>
      <c r="L5712" t="str">
        <f>TEXT(LeadsData[[#This Row],[Signup Date]],"mmm-yyyy")</f>
        <v>Apr-2024</v>
      </c>
      <c r="M5712">
        <f>IF(LeadsData[[#This Row],[Stage Number]]&gt;=2,1,0)</f>
        <v>0</v>
      </c>
      <c r="N5712" s="2">
        <f>IF(LeadsData[[#This Row],[Stage Number]]&gt;=3,1,0)</f>
        <v>0</v>
      </c>
      <c r="O5712" s="2">
        <f>IF(LeadsData[[#This Row],[Stage Number]]&gt;=4,1,0)</f>
        <v>0</v>
      </c>
    </row>
    <row r="5713" spans="1:15" x14ac:dyDescent="0.25">
      <c r="A5713" t="s">
        <v>5753</v>
      </c>
      <c r="B5713" s="1">
        <v>45513</v>
      </c>
      <c r="C5713" t="s">
        <v>11</v>
      </c>
      <c r="D5713" t="s">
        <v>79</v>
      </c>
      <c r="E5713" t="s">
        <v>13</v>
      </c>
      <c r="F5713" t="s">
        <v>19</v>
      </c>
      <c r="G5713" t="s">
        <v>15</v>
      </c>
      <c r="K5713" cm="1">
        <f t="array" ref="K5713">_xlfn.SWITCH(LeadsData[[#This Row],[Funnel Stage Reached]],"Lead",1,"MQL",2,"SQL",3,"Customer",4)</f>
        <v>1</v>
      </c>
      <c r="L5713" t="str">
        <f>TEXT(LeadsData[[#This Row],[Signup Date]],"mmm-yyyy")</f>
        <v>Aug-2024</v>
      </c>
      <c r="M5713">
        <f>IF(LeadsData[[#This Row],[Stage Number]]&gt;=2,1,0)</f>
        <v>0</v>
      </c>
      <c r="N5713" s="2">
        <f>IF(LeadsData[[#This Row],[Stage Number]]&gt;=3,1,0)</f>
        <v>0</v>
      </c>
      <c r="O5713" s="2">
        <f>IF(LeadsData[[#This Row],[Stage Number]]&gt;=4,1,0)</f>
        <v>0</v>
      </c>
    </row>
    <row r="5714" spans="1:15" x14ac:dyDescent="0.25">
      <c r="A5714" t="s">
        <v>5754</v>
      </c>
      <c r="B5714" s="1">
        <v>45631</v>
      </c>
      <c r="C5714" t="s">
        <v>17</v>
      </c>
      <c r="D5714" t="s">
        <v>18</v>
      </c>
      <c r="E5714" t="s">
        <v>21</v>
      </c>
      <c r="F5714" t="s">
        <v>22</v>
      </c>
      <c r="G5714" t="s">
        <v>23</v>
      </c>
      <c r="K5714" cm="1">
        <f t="array" ref="K5714">_xlfn.SWITCH(LeadsData[[#This Row],[Funnel Stage Reached]],"Lead",1,"MQL",2,"SQL",3,"Customer",4)</f>
        <v>2</v>
      </c>
      <c r="L5714" t="str">
        <f>TEXT(LeadsData[[#This Row],[Signup Date]],"mmm-yyyy")</f>
        <v>Dec-2024</v>
      </c>
      <c r="M5714">
        <f>IF(LeadsData[[#This Row],[Stage Number]]&gt;=2,1,0)</f>
        <v>1</v>
      </c>
      <c r="N5714" s="2">
        <f>IF(LeadsData[[#This Row],[Stage Number]]&gt;=3,1,0)</f>
        <v>0</v>
      </c>
      <c r="O5714" s="2">
        <f>IF(LeadsData[[#This Row],[Stage Number]]&gt;=4,1,0)</f>
        <v>0</v>
      </c>
    </row>
    <row r="5715" spans="1:15" x14ac:dyDescent="0.25">
      <c r="A5715" t="s">
        <v>5755</v>
      </c>
      <c r="B5715" s="1">
        <v>45422</v>
      </c>
      <c r="C5715" t="s">
        <v>46</v>
      </c>
      <c r="D5715" t="s">
        <v>56</v>
      </c>
      <c r="E5715" t="s">
        <v>13</v>
      </c>
      <c r="F5715" t="s">
        <v>14</v>
      </c>
      <c r="G5715" t="s">
        <v>29</v>
      </c>
      <c r="K5715" cm="1">
        <f t="array" ref="K5715">_xlfn.SWITCH(LeadsData[[#This Row],[Funnel Stage Reached]],"Lead",1,"MQL",2,"SQL",3,"Customer",4)</f>
        <v>3</v>
      </c>
      <c r="L5715" t="str">
        <f>TEXT(LeadsData[[#This Row],[Signup Date]],"mmm-yyyy")</f>
        <v>May-2024</v>
      </c>
      <c r="M5715">
        <f>IF(LeadsData[[#This Row],[Stage Number]]&gt;=2,1,0)</f>
        <v>1</v>
      </c>
      <c r="N5715" s="2">
        <f>IF(LeadsData[[#This Row],[Stage Number]]&gt;=3,1,0)</f>
        <v>1</v>
      </c>
      <c r="O5715" s="2">
        <f>IF(LeadsData[[#This Row],[Stage Number]]&gt;=4,1,0)</f>
        <v>0</v>
      </c>
    </row>
    <row r="5716" spans="1:15" x14ac:dyDescent="0.25">
      <c r="A5716" t="s">
        <v>5756</v>
      </c>
      <c r="B5716" s="1">
        <v>45433</v>
      </c>
      <c r="C5716" t="s">
        <v>11</v>
      </c>
      <c r="D5716" t="s">
        <v>12</v>
      </c>
      <c r="E5716" t="s">
        <v>13</v>
      </c>
      <c r="F5716" t="s">
        <v>22</v>
      </c>
      <c r="G5716" t="s">
        <v>23</v>
      </c>
      <c r="K5716" cm="1">
        <f t="array" ref="K5716">_xlfn.SWITCH(LeadsData[[#This Row],[Funnel Stage Reached]],"Lead",1,"MQL",2,"SQL",3,"Customer",4)</f>
        <v>2</v>
      </c>
      <c r="L5716" t="str">
        <f>TEXT(LeadsData[[#This Row],[Signup Date]],"mmm-yyyy")</f>
        <v>May-2024</v>
      </c>
      <c r="M5716">
        <f>IF(LeadsData[[#This Row],[Stage Number]]&gt;=2,1,0)</f>
        <v>1</v>
      </c>
      <c r="N5716" s="2">
        <f>IF(LeadsData[[#This Row],[Stage Number]]&gt;=3,1,0)</f>
        <v>0</v>
      </c>
      <c r="O5716" s="2">
        <f>IF(LeadsData[[#This Row],[Stage Number]]&gt;=4,1,0)</f>
        <v>0</v>
      </c>
    </row>
    <row r="5717" spans="1:15" x14ac:dyDescent="0.25">
      <c r="A5717" t="s">
        <v>5757</v>
      </c>
      <c r="B5717" s="1">
        <v>45398</v>
      </c>
      <c r="C5717" t="s">
        <v>11</v>
      </c>
      <c r="D5717" t="s">
        <v>79</v>
      </c>
      <c r="E5717" t="s">
        <v>13</v>
      </c>
      <c r="F5717" t="s">
        <v>14</v>
      </c>
      <c r="G5717" t="s">
        <v>15</v>
      </c>
      <c r="K5717" cm="1">
        <f t="array" ref="K5717">_xlfn.SWITCH(LeadsData[[#This Row],[Funnel Stage Reached]],"Lead",1,"MQL",2,"SQL",3,"Customer",4)</f>
        <v>1</v>
      </c>
      <c r="L5717" t="str">
        <f>TEXT(LeadsData[[#This Row],[Signup Date]],"mmm-yyyy")</f>
        <v>Apr-2024</v>
      </c>
      <c r="M5717">
        <f>IF(LeadsData[[#This Row],[Stage Number]]&gt;=2,1,0)</f>
        <v>0</v>
      </c>
      <c r="N5717" s="2">
        <f>IF(LeadsData[[#This Row],[Stage Number]]&gt;=3,1,0)</f>
        <v>0</v>
      </c>
      <c r="O5717" s="2">
        <f>IF(LeadsData[[#This Row],[Stage Number]]&gt;=4,1,0)</f>
        <v>0</v>
      </c>
    </row>
    <row r="5718" spans="1:15" x14ac:dyDescent="0.25">
      <c r="A5718" t="s">
        <v>5758</v>
      </c>
      <c r="B5718" s="1">
        <v>45297</v>
      </c>
      <c r="C5718" t="s">
        <v>31</v>
      </c>
      <c r="D5718" t="s">
        <v>32</v>
      </c>
      <c r="E5718" t="s">
        <v>21</v>
      </c>
      <c r="F5718" t="s">
        <v>19</v>
      </c>
      <c r="G5718" t="s">
        <v>23</v>
      </c>
      <c r="K5718" cm="1">
        <f t="array" ref="K5718">_xlfn.SWITCH(LeadsData[[#This Row],[Funnel Stage Reached]],"Lead",1,"MQL",2,"SQL",3,"Customer",4)</f>
        <v>2</v>
      </c>
      <c r="L5718" t="str">
        <f>TEXT(LeadsData[[#This Row],[Signup Date]],"mmm-yyyy")</f>
        <v>Jan-2024</v>
      </c>
      <c r="M5718">
        <f>IF(LeadsData[[#This Row],[Stage Number]]&gt;=2,1,0)</f>
        <v>1</v>
      </c>
      <c r="N5718" s="2">
        <f>IF(LeadsData[[#This Row],[Stage Number]]&gt;=3,1,0)</f>
        <v>0</v>
      </c>
      <c r="O5718" s="2">
        <f>IF(LeadsData[[#This Row],[Stage Number]]&gt;=4,1,0)</f>
        <v>0</v>
      </c>
    </row>
    <row r="5719" spans="1:15" x14ac:dyDescent="0.25">
      <c r="A5719" t="s">
        <v>5759</v>
      </c>
      <c r="B5719" s="1">
        <v>45603</v>
      </c>
      <c r="C5719" t="s">
        <v>36</v>
      </c>
      <c r="D5719" t="s">
        <v>37</v>
      </c>
      <c r="E5719" t="s">
        <v>48</v>
      </c>
      <c r="F5719" t="s">
        <v>22</v>
      </c>
      <c r="G5719" t="s">
        <v>23</v>
      </c>
      <c r="K5719" cm="1">
        <f t="array" ref="K5719">_xlfn.SWITCH(LeadsData[[#This Row],[Funnel Stage Reached]],"Lead",1,"MQL",2,"SQL",3,"Customer",4)</f>
        <v>2</v>
      </c>
      <c r="L5719" t="str">
        <f>TEXT(LeadsData[[#This Row],[Signup Date]],"mmm-yyyy")</f>
        <v>Nov-2024</v>
      </c>
      <c r="M5719">
        <f>IF(LeadsData[[#This Row],[Stage Number]]&gt;=2,1,0)</f>
        <v>1</v>
      </c>
      <c r="N5719" s="2">
        <f>IF(LeadsData[[#This Row],[Stage Number]]&gt;=3,1,0)</f>
        <v>0</v>
      </c>
      <c r="O5719" s="2">
        <f>IF(LeadsData[[#This Row],[Stage Number]]&gt;=4,1,0)</f>
        <v>0</v>
      </c>
    </row>
    <row r="5720" spans="1:15" x14ac:dyDescent="0.25">
      <c r="A5720" t="s">
        <v>5760</v>
      </c>
      <c r="B5720" s="1">
        <v>45436</v>
      </c>
      <c r="C5720" t="s">
        <v>46</v>
      </c>
      <c r="D5720" t="s">
        <v>47</v>
      </c>
      <c r="E5720" t="s">
        <v>13</v>
      </c>
      <c r="F5720" t="s">
        <v>28</v>
      </c>
      <c r="G5720" t="s">
        <v>23</v>
      </c>
      <c r="K5720" cm="1">
        <f t="array" ref="K5720">_xlfn.SWITCH(LeadsData[[#This Row],[Funnel Stage Reached]],"Lead",1,"MQL",2,"SQL",3,"Customer",4)</f>
        <v>2</v>
      </c>
      <c r="L5720" t="str">
        <f>TEXT(LeadsData[[#This Row],[Signup Date]],"mmm-yyyy")</f>
        <v>May-2024</v>
      </c>
      <c r="M5720">
        <f>IF(LeadsData[[#This Row],[Stage Number]]&gt;=2,1,0)</f>
        <v>1</v>
      </c>
      <c r="N5720" s="2">
        <f>IF(LeadsData[[#This Row],[Stage Number]]&gt;=3,1,0)</f>
        <v>0</v>
      </c>
      <c r="O5720" s="2">
        <f>IF(LeadsData[[#This Row],[Stage Number]]&gt;=4,1,0)</f>
        <v>0</v>
      </c>
    </row>
    <row r="5721" spans="1:15" x14ac:dyDescent="0.25">
      <c r="A5721" t="s">
        <v>5761</v>
      </c>
      <c r="B5721" s="1">
        <v>45577</v>
      </c>
      <c r="C5721" t="s">
        <v>17</v>
      </c>
      <c r="D5721" t="s">
        <v>53</v>
      </c>
      <c r="E5721" t="s">
        <v>13</v>
      </c>
      <c r="F5721" t="s">
        <v>19</v>
      </c>
      <c r="G5721" t="s">
        <v>15</v>
      </c>
      <c r="K5721" cm="1">
        <f t="array" ref="K5721">_xlfn.SWITCH(LeadsData[[#This Row],[Funnel Stage Reached]],"Lead",1,"MQL",2,"SQL",3,"Customer",4)</f>
        <v>1</v>
      </c>
      <c r="L5721" t="str">
        <f>TEXT(LeadsData[[#This Row],[Signup Date]],"mmm-yyyy")</f>
        <v>Oct-2024</v>
      </c>
      <c r="M5721">
        <f>IF(LeadsData[[#This Row],[Stage Number]]&gt;=2,1,0)</f>
        <v>0</v>
      </c>
      <c r="N5721" s="2">
        <f>IF(LeadsData[[#This Row],[Stage Number]]&gt;=3,1,0)</f>
        <v>0</v>
      </c>
      <c r="O5721" s="2">
        <f>IF(LeadsData[[#This Row],[Stage Number]]&gt;=4,1,0)</f>
        <v>0</v>
      </c>
    </row>
    <row r="5722" spans="1:15" x14ac:dyDescent="0.25">
      <c r="A5722" t="s">
        <v>5762</v>
      </c>
      <c r="B5722" s="1">
        <v>45332</v>
      </c>
      <c r="C5722" t="s">
        <v>25</v>
      </c>
      <c r="D5722" t="s">
        <v>26</v>
      </c>
      <c r="E5722" t="s">
        <v>21</v>
      </c>
      <c r="F5722" t="s">
        <v>19</v>
      </c>
      <c r="G5722" t="s">
        <v>29</v>
      </c>
      <c r="K5722" cm="1">
        <f t="array" ref="K5722">_xlfn.SWITCH(LeadsData[[#This Row],[Funnel Stage Reached]],"Lead",1,"MQL",2,"SQL",3,"Customer",4)</f>
        <v>3</v>
      </c>
      <c r="L5722" t="str">
        <f>TEXT(LeadsData[[#This Row],[Signup Date]],"mmm-yyyy")</f>
        <v>Feb-2024</v>
      </c>
      <c r="M5722">
        <f>IF(LeadsData[[#This Row],[Stage Number]]&gt;=2,1,0)</f>
        <v>1</v>
      </c>
      <c r="N5722" s="2">
        <f>IF(LeadsData[[#This Row],[Stage Number]]&gt;=3,1,0)</f>
        <v>1</v>
      </c>
      <c r="O5722" s="2">
        <f>IF(LeadsData[[#This Row],[Stage Number]]&gt;=4,1,0)</f>
        <v>0</v>
      </c>
    </row>
    <row r="5723" spans="1:15" x14ac:dyDescent="0.25">
      <c r="A5723" t="s">
        <v>5763</v>
      </c>
      <c r="B5723" s="1">
        <v>45505</v>
      </c>
      <c r="C5723" t="s">
        <v>11</v>
      </c>
      <c r="D5723" t="s">
        <v>68</v>
      </c>
      <c r="E5723" t="s">
        <v>48</v>
      </c>
      <c r="F5723" t="s">
        <v>22</v>
      </c>
      <c r="G5723" t="s">
        <v>29</v>
      </c>
      <c r="K5723" cm="1">
        <f t="array" ref="K5723">_xlfn.SWITCH(LeadsData[[#This Row],[Funnel Stage Reached]],"Lead",1,"MQL",2,"SQL",3,"Customer",4)</f>
        <v>3</v>
      </c>
      <c r="L5723" t="str">
        <f>TEXT(LeadsData[[#This Row],[Signup Date]],"mmm-yyyy")</f>
        <v>Aug-2024</v>
      </c>
      <c r="M5723">
        <f>IF(LeadsData[[#This Row],[Stage Number]]&gt;=2,1,0)</f>
        <v>1</v>
      </c>
      <c r="N5723" s="2">
        <f>IF(LeadsData[[#This Row],[Stage Number]]&gt;=3,1,0)</f>
        <v>1</v>
      </c>
      <c r="O5723" s="2">
        <f>IF(LeadsData[[#This Row],[Stage Number]]&gt;=4,1,0)</f>
        <v>0</v>
      </c>
    </row>
    <row r="5724" spans="1:15" x14ac:dyDescent="0.25">
      <c r="A5724" t="s">
        <v>5764</v>
      </c>
      <c r="B5724" s="1">
        <v>45426</v>
      </c>
      <c r="C5724" t="s">
        <v>46</v>
      </c>
      <c r="D5724" t="s">
        <v>47</v>
      </c>
      <c r="E5724" t="s">
        <v>13</v>
      </c>
      <c r="F5724" t="s">
        <v>19</v>
      </c>
      <c r="G5724" t="s">
        <v>15</v>
      </c>
      <c r="K5724" cm="1">
        <f t="array" ref="K5724">_xlfn.SWITCH(LeadsData[[#This Row],[Funnel Stage Reached]],"Lead",1,"MQL",2,"SQL",3,"Customer",4)</f>
        <v>1</v>
      </c>
      <c r="L5724" t="str">
        <f>TEXT(LeadsData[[#This Row],[Signup Date]],"mmm-yyyy")</f>
        <v>May-2024</v>
      </c>
      <c r="M5724">
        <f>IF(LeadsData[[#This Row],[Stage Number]]&gt;=2,1,0)</f>
        <v>0</v>
      </c>
      <c r="N5724" s="2">
        <f>IF(LeadsData[[#This Row],[Stage Number]]&gt;=3,1,0)</f>
        <v>0</v>
      </c>
      <c r="O5724" s="2">
        <f>IF(LeadsData[[#This Row],[Stage Number]]&gt;=4,1,0)</f>
        <v>0</v>
      </c>
    </row>
    <row r="5725" spans="1:15" x14ac:dyDescent="0.25">
      <c r="A5725" t="s">
        <v>5765</v>
      </c>
      <c r="B5725" s="1">
        <v>45563</v>
      </c>
      <c r="C5725" t="s">
        <v>11</v>
      </c>
      <c r="D5725" t="s">
        <v>12</v>
      </c>
      <c r="E5725" t="s">
        <v>13</v>
      </c>
      <c r="F5725" t="s">
        <v>19</v>
      </c>
      <c r="G5725" t="s">
        <v>29</v>
      </c>
      <c r="K5725" cm="1">
        <f t="array" ref="K5725">_xlfn.SWITCH(LeadsData[[#This Row],[Funnel Stage Reached]],"Lead",1,"MQL",2,"SQL",3,"Customer",4)</f>
        <v>3</v>
      </c>
      <c r="L5725" t="str">
        <f>TEXT(LeadsData[[#This Row],[Signup Date]],"mmm-yyyy")</f>
        <v>Sep-2024</v>
      </c>
      <c r="M5725">
        <f>IF(LeadsData[[#This Row],[Stage Number]]&gt;=2,1,0)</f>
        <v>1</v>
      </c>
      <c r="N5725" s="2">
        <f>IF(LeadsData[[#This Row],[Stage Number]]&gt;=3,1,0)</f>
        <v>1</v>
      </c>
      <c r="O5725" s="2">
        <f>IF(LeadsData[[#This Row],[Stage Number]]&gt;=4,1,0)</f>
        <v>0</v>
      </c>
    </row>
    <row r="5726" spans="1:15" x14ac:dyDescent="0.25">
      <c r="A5726" t="s">
        <v>5766</v>
      </c>
      <c r="B5726" s="1">
        <v>45410</v>
      </c>
      <c r="C5726" t="s">
        <v>36</v>
      </c>
      <c r="D5726" t="s">
        <v>50</v>
      </c>
      <c r="E5726" t="s">
        <v>21</v>
      </c>
      <c r="F5726" t="s">
        <v>19</v>
      </c>
      <c r="G5726" t="s">
        <v>23</v>
      </c>
      <c r="K5726" cm="1">
        <f t="array" ref="K5726">_xlfn.SWITCH(LeadsData[[#This Row],[Funnel Stage Reached]],"Lead",1,"MQL",2,"SQL",3,"Customer",4)</f>
        <v>2</v>
      </c>
      <c r="L5726" t="str">
        <f>TEXT(LeadsData[[#This Row],[Signup Date]],"mmm-yyyy")</f>
        <v>Apr-2024</v>
      </c>
      <c r="M5726">
        <f>IF(LeadsData[[#This Row],[Stage Number]]&gt;=2,1,0)</f>
        <v>1</v>
      </c>
      <c r="N5726" s="2">
        <f>IF(LeadsData[[#This Row],[Stage Number]]&gt;=3,1,0)</f>
        <v>0</v>
      </c>
      <c r="O5726" s="2">
        <f>IF(LeadsData[[#This Row],[Stage Number]]&gt;=4,1,0)</f>
        <v>0</v>
      </c>
    </row>
    <row r="5727" spans="1:15" x14ac:dyDescent="0.25">
      <c r="A5727" t="s">
        <v>5767</v>
      </c>
      <c r="B5727" s="1">
        <v>45393</v>
      </c>
      <c r="C5727" t="s">
        <v>31</v>
      </c>
      <c r="D5727" t="s">
        <v>32</v>
      </c>
      <c r="E5727" t="s">
        <v>21</v>
      </c>
      <c r="F5727" t="s">
        <v>28</v>
      </c>
      <c r="G5727" t="s">
        <v>15</v>
      </c>
      <c r="K5727" cm="1">
        <f t="array" ref="K5727">_xlfn.SWITCH(LeadsData[[#This Row],[Funnel Stage Reached]],"Lead",1,"MQL",2,"SQL",3,"Customer",4)</f>
        <v>1</v>
      </c>
      <c r="L5727" t="str">
        <f>TEXT(LeadsData[[#This Row],[Signup Date]],"mmm-yyyy")</f>
        <v>Apr-2024</v>
      </c>
      <c r="M5727">
        <f>IF(LeadsData[[#This Row],[Stage Number]]&gt;=2,1,0)</f>
        <v>0</v>
      </c>
      <c r="N5727" s="2">
        <f>IF(LeadsData[[#This Row],[Stage Number]]&gt;=3,1,0)</f>
        <v>0</v>
      </c>
      <c r="O5727" s="2">
        <f>IF(LeadsData[[#This Row],[Stage Number]]&gt;=4,1,0)</f>
        <v>0</v>
      </c>
    </row>
    <row r="5728" spans="1:15" x14ac:dyDescent="0.25">
      <c r="A5728" t="s">
        <v>5768</v>
      </c>
      <c r="B5728" s="1">
        <v>45393</v>
      </c>
      <c r="C5728" t="s">
        <v>17</v>
      </c>
      <c r="D5728" t="s">
        <v>18</v>
      </c>
      <c r="E5728" t="s">
        <v>13</v>
      </c>
      <c r="F5728" t="s">
        <v>19</v>
      </c>
      <c r="G5728" t="s">
        <v>15</v>
      </c>
      <c r="K5728" cm="1">
        <f t="array" ref="K5728">_xlfn.SWITCH(LeadsData[[#This Row],[Funnel Stage Reached]],"Lead",1,"MQL",2,"SQL",3,"Customer",4)</f>
        <v>1</v>
      </c>
      <c r="L5728" t="str">
        <f>TEXT(LeadsData[[#This Row],[Signup Date]],"mmm-yyyy")</f>
        <v>Apr-2024</v>
      </c>
      <c r="M5728">
        <f>IF(LeadsData[[#This Row],[Stage Number]]&gt;=2,1,0)</f>
        <v>0</v>
      </c>
      <c r="N5728" s="2">
        <f>IF(LeadsData[[#This Row],[Stage Number]]&gt;=3,1,0)</f>
        <v>0</v>
      </c>
      <c r="O5728" s="2">
        <f>IF(LeadsData[[#This Row],[Stage Number]]&gt;=4,1,0)</f>
        <v>0</v>
      </c>
    </row>
    <row r="5729" spans="1:15" x14ac:dyDescent="0.25">
      <c r="A5729" t="s">
        <v>5769</v>
      </c>
      <c r="B5729" s="1">
        <v>45563</v>
      </c>
      <c r="C5729" t="s">
        <v>31</v>
      </c>
      <c r="D5729" t="s">
        <v>32</v>
      </c>
      <c r="E5729" t="s">
        <v>21</v>
      </c>
      <c r="F5729" t="s">
        <v>14</v>
      </c>
      <c r="G5729" t="s">
        <v>42</v>
      </c>
      <c r="H5729">
        <v>53</v>
      </c>
      <c r="I5729" t="s">
        <v>87</v>
      </c>
      <c r="J5729">
        <v>3045.47</v>
      </c>
      <c r="K5729" cm="1">
        <f t="array" ref="K5729">_xlfn.SWITCH(LeadsData[[#This Row],[Funnel Stage Reached]],"Lead",1,"MQL",2,"SQL",3,"Customer",4)</f>
        <v>4</v>
      </c>
      <c r="L5729" t="str">
        <f>TEXT(LeadsData[[#This Row],[Signup Date]],"mmm-yyyy")</f>
        <v>Sep-2024</v>
      </c>
      <c r="M5729">
        <f>IF(LeadsData[[#This Row],[Stage Number]]&gt;=2,1,0)</f>
        <v>1</v>
      </c>
      <c r="N5729" s="2">
        <f>IF(LeadsData[[#This Row],[Stage Number]]&gt;=3,1,0)</f>
        <v>1</v>
      </c>
      <c r="O5729" s="2">
        <f>IF(LeadsData[[#This Row],[Stage Number]]&gt;=4,1,0)</f>
        <v>1</v>
      </c>
    </row>
    <row r="5730" spans="1:15" x14ac:dyDescent="0.25">
      <c r="A5730" t="s">
        <v>5770</v>
      </c>
      <c r="B5730" s="1">
        <v>45578</v>
      </c>
      <c r="C5730" t="s">
        <v>17</v>
      </c>
      <c r="D5730" t="s">
        <v>53</v>
      </c>
      <c r="E5730" t="s">
        <v>21</v>
      </c>
      <c r="F5730" t="s">
        <v>14</v>
      </c>
      <c r="G5730" t="s">
        <v>23</v>
      </c>
      <c r="K5730" cm="1">
        <f t="array" ref="K5730">_xlfn.SWITCH(LeadsData[[#This Row],[Funnel Stage Reached]],"Lead",1,"MQL",2,"SQL",3,"Customer",4)</f>
        <v>2</v>
      </c>
      <c r="L5730" t="str">
        <f>TEXT(LeadsData[[#This Row],[Signup Date]],"mmm-yyyy")</f>
        <v>Oct-2024</v>
      </c>
      <c r="M5730">
        <f>IF(LeadsData[[#This Row],[Stage Number]]&gt;=2,1,0)</f>
        <v>1</v>
      </c>
      <c r="N5730" s="2">
        <f>IF(LeadsData[[#This Row],[Stage Number]]&gt;=3,1,0)</f>
        <v>0</v>
      </c>
      <c r="O5730" s="2">
        <f>IF(LeadsData[[#This Row],[Stage Number]]&gt;=4,1,0)</f>
        <v>0</v>
      </c>
    </row>
    <row r="5731" spans="1:15" x14ac:dyDescent="0.25">
      <c r="A5731" t="s">
        <v>5771</v>
      </c>
      <c r="B5731" s="1">
        <v>45607</v>
      </c>
      <c r="C5731" t="s">
        <v>36</v>
      </c>
      <c r="D5731" t="s">
        <v>50</v>
      </c>
      <c r="E5731" t="s">
        <v>13</v>
      </c>
      <c r="F5731" t="s">
        <v>19</v>
      </c>
      <c r="G5731" t="s">
        <v>29</v>
      </c>
      <c r="K5731" cm="1">
        <f t="array" ref="K5731">_xlfn.SWITCH(LeadsData[[#This Row],[Funnel Stage Reached]],"Lead",1,"MQL",2,"SQL",3,"Customer",4)</f>
        <v>3</v>
      </c>
      <c r="L5731" t="str">
        <f>TEXT(LeadsData[[#This Row],[Signup Date]],"mmm-yyyy")</f>
        <v>Nov-2024</v>
      </c>
      <c r="M5731">
        <f>IF(LeadsData[[#This Row],[Stage Number]]&gt;=2,1,0)</f>
        <v>1</v>
      </c>
      <c r="N5731" s="2">
        <f>IF(LeadsData[[#This Row],[Stage Number]]&gt;=3,1,0)</f>
        <v>1</v>
      </c>
      <c r="O5731" s="2">
        <f>IF(LeadsData[[#This Row],[Stage Number]]&gt;=4,1,0)</f>
        <v>0</v>
      </c>
    </row>
    <row r="5732" spans="1:15" x14ac:dyDescent="0.25">
      <c r="A5732" t="s">
        <v>5772</v>
      </c>
      <c r="B5732" s="1">
        <v>45589</v>
      </c>
      <c r="C5732" t="s">
        <v>46</v>
      </c>
      <c r="D5732" t="s">
        <v>56</v>
      </c>
      <c r="E5732" t="s">
        <v>21</v>
      </c>
      <c r="F5732" t="s">
        <v>14</v>
      </c>
      <c r="G5732" t="s">
        <v>42</v>
      </c>
      <c r="H5732">
        <v>32</v>
      </c>
      <c r="I5732" t="s">
        <v>43</v>
      </c>
      <c r="J5732">
        <v>977.58</v>
      </c>
      <c r="K5732" cm="1">
        <f t="array" ref="K5732">_xlfn.SWITCH(LeadsData[[#This Row],[Funnel Stage Reached]],"Lead",1,"MQL",2,"SQL",3,"Customer",4)</f>
        <v>4</v>
      </c>
      <c r="L5732" t="str">
        <f>TEXT(LeadsData[[#This Row],[Signup Date]],"mmm-yyyy")</f>
        <v>Oct-2024</v>
      </c>
      <c r="M5732">
        <f>IF(LeadsData[[#This Row],[Stage Number]]&gt;=2,1,0)</f>
        <v>1</v>
      </c>
      <c r="N5732" s="2">
        <f>IF(LeadsData[[#This Row],[Stage Number]]&gt;=3,1,0)</f>
        <v>1</v>
      </c>
      <c r="O5732" s="2">
        <f>IF(LeadsData[[#This Row],[Stage Number]]&gt;=4,1,0)</f>
        <v>1</v>
      </c>
    </row>
    <row r="5733" spans="1:15" x14ac:dyDescent="0.25">
      <c r="A5733" t="s">
        <v>5773</v>
      </c>
      <c r="B5733" s="1">
        <v>45552</v>
      </c>
      <c r="C5733" t="s">
        <v>17</v>
      </c>
      <c r="D5733" t="s">
        <v>53</v>
      </c>
      <c r="E5733" t="s">
        <v>13</v>
      </c>
      <c r="F5733" t="s">
        <v>22</v>
      </c>
      <c r="G5733" t="s">
        <v>23</v>
      </c>
      <c r="K5733" cm="1">
        <f t="array" ref="K5733">_xlfn.SWITCH(LeadsData[[#This Row],[Funnel Stage Reached]],"Lead",1,"MQL",2,"SQL",3,"Customer",4)</f>
        <v>2</v>
      </c>
      <c r="L5733" t="str">
        <f>TEXT(LeadsData[[#This Row],[Signup Date]],"mmm-yyyy")</f>
        <v>Sep-2024</v>
      </c>
      <c r="M5733">
        <f>IF(LeadsData[[#This Row],[Stage Number]]&gt;=2,1,0)</f>
        <v>1</v>
      </c>
      <c r="N5733" s="2">
        <f>IF(LeadsData[[#This Row],[Stage Number]]&gt;=3,1,0)</f>
        <v>0</v>
      </c>
      <c r="O5733" s="2">
        <f>IF(LeadsData[[#This Row],[Stage Number]]&gt;=4,1,0)</f>
        <v>0</v>
      </c>
    </row>
    <row r="5734" spans="1:15" x14ac:dyDescent="0.25">
      <c r="A5734" t="s">
        <v>5774</v>
      </c>
      <c r="B5734" s="1">
        <v>45582</v>
      </c>
      <c r="C5734" t="s">
        <v>46</v>
      </c>
      <c r="D5734" t="s">
        <v>56</v>
      </c>
      <c r="E5734" t="s">
        <v>13</v>
      </c>
      <c r="F5734" t="s">
        <v>19</v>
      </c>
      <c r="G5734" t="s">
        <v>29</v>
      </c>
      <c r="K5734" cm="1">
        <f t="array" ref="K5734">_xlfn.SWITCH(LeadsData[[#This Row],[Funnel Stage Reached]],"Lead",1,"MQL",2,"SQL",3,"Customer",4)</f>
        <v>3</v>
      </c>
      <c r="L5734" t="str">
        <f>TEXT(LeadsData[[#This Row],[Signup Date]],"mmm-yyyy")</f>
        <v>Oct-2024</v>
      </c>
      <c r="M5734">
        <f>IF(LeadsData[[#This Row],[Stage Number]]&gt;=2,1,0)</f>
        <v>1</v>
      </c>
      <c r="N5734" s="2">
        <f>IF(LeadsData[[#This Row],[Stage Number]]&gt;=3,1,0)</f>
        <v>1</v>
      </c>
      <c r="O5734" s="2">
        <f>IF(LeadsData[[#This Row],[Stage Number]]&gt;=4,1,0)</f>
        <v>0</v>
      </c>
    </row>
    <row r="5735" spans="1:15" x14ac:dyDescent="0.25">
      <c r="A5735" t="s">
        <v>5775</v>
      </c>
      <c r="B5735" s="1">
        <v>45307</v>
      </c>
      <c r="C5735" t="s">
        <v>11</v>
      </c>
      <c r="D5735" t="s">
        <v>68</v>
      </c>
      <c r="E5735" t="s">
        <v>13</v>
      </c>
      <c r="F5735" t="s">
        <v>19</v>
      </c>
      <c r="G5735" t="s">
        <v>15</v>
      </c>
      <c r="K5735" cm="1">
        <f t="array" ref="K5735">_xlfn.SWITCH(LeadsData[[#This Row],[Funnel Stage Reached]],"Lead",1,"MQL",2,"SQL",3,"Customer",4)</f>
        <v>1</v>
      </c>
      <c r="L5735" t="str">
        <f>TEXT(LeadsData[[#This Row],[Signup Date]],"mmm-yyyy")</f>
        <v>Jan-2024</v>
      </c>
      <c r="M5735">
        <f>IF(LeadsData[[#This Row],[Stage Number]]&gt;=2,1,0)</f>
        <v>0</v>
      </c>
      <c r="N5735" s="2">
        <f>IF(LeadsData[[#This Row],[Stage Number]]&gt;=3,1,0)</f>
        <v>0</v>
      </c>
      <c r="O5735" s="2">
        <f>IF(LeadsData[[#This Row],[Stage Number]]&gt;=4,1,0)</f>
        <v>0</v>
      </c>
    </row>
    <row r="5736" spans="1:15" x14ac:dyDescent="0.25">
      <c r="A5736" t="s">
        <v>5776</v>
      </c>
      <c r="B5736" s="1">
        <v>45349</v>
      </c>
      <c r="C5736" t="s">
        <v>31</v>
      </c>
      <c r="D5736" t="s">
        <v>32</v>
      </c>
      <c r="E5736" t="s">
        <v>13</v>
      </c>
      <c r="F5736" t="s">
        <v>19</v>
      </c>
      <c r="G5736" t="s">
        <v>15</v>
      </c>
      <c r="K5736" cm="1">
        <f t="array" ref="K5736">_xlfn.SWITCH(LeadsData[[#This Row],[Funnel Stage Reached]],"Lead",1,"MQL",2,"SQL",3,"Customer",4)</f>
        <v>1</v>
      </c>
      <c r="L5736" t="str">
        <f>TEXT(LeadsData[[#This Row],[Signup Date]],"mmm-yyyy")</f>
        <v>Feb-2024</v>
      </c>
      <c r="M5736">
        <f>IF(LeadsData[[#This Row],[Stage Number]]&gt;=2,1,0)</f>
        <v>0</v>
      </c>
      <c r="N5736" s="2">
        <f>IF(LeadsData[[#This Row],[Stage Number]]&gt;=3,1,0)</f>
        <v>0</v>
      </c>
      <c r="O5736" s="2">
        <f>IF(LeadsData[[#This Row],[Stage Number]]&gt;=4,1,0)</f>
        <v>0</v>
      </c>
    </row>
    <row r="5737" spans="1:15" x14ac:dyDescent="0.25">
      <c r="A5737" t="s">
        <v>5777</v>
      </c>
      <c r="B5737" s="1">
        <v>45623</v>
      </c>
      <c r="C5737" t="s">
        <v>25</v>
      </c>
      <c r="D5737" t="s">
        <v>26</v>
      </c>
      <c r="E5737" t="s">
        <v>13</v>
      </c>
      <c r="F5737" t="s">
        <v>28</v>
      </c>
      <c r="G5737" t="s">
        <v>15</v>
      </c>
      <c r="K5737" cm="1">
        <f t="array" ref="K5737">_xlfn.SWITCH(LeadsData[[#This Row],[Funnel Stage Reached]],"Lead",1,"MQL",2,"SQL",3,"Customer",4)</f>
        <v>1</v>
      </c>
      <c r="L5737" t="str">
        <f>TEXT(LeadsData[[#This Row],[Signup Date]],"mmm-yyyy")</f>
        <v>Nov-2024</v>
      </c>
      <c r="M5737">
        <f>IF(LeadsData[[#This Row],[Stage Number]]&gt;=2,1,0)</f>
        <v>0</v>
      </c>
      <c r="N5737" s="2">
        <f>IF(LeadsData[[#This Row],[Stage Number]]&gt;=3,1,0)</f>
        <v>0</v>
      </c>
      <c r="O5737" s="2">
        <f>IF(LeadsData[[#This Row],[Stage Number]]&gt;=4,1,0)</f>
        <v>0</v>
      </c>
    </row>
    <row r="5738" spans="1:15" x14ac:dyDescent="0.25">
      <c r="A5738" t="s">
        <v>5778</v>
      </c>
      <c r="B5738" s="1">
        <v>45369</v>
      </c>
      <c r="C5738" t="s">
        <v>11</v>
      </c>
      <c r="D5738" t="s">
        <v>68</v>
      </c>
      <c r="E5738" t="s">
        <v>13</v>
      </c>
      <c r="F5738" t="s">
        <v>22</v>
      </c>
      <c r="G5738" t="s">
        <v>29</v>
      </c>
      <c r="K5738" cm="1">
        <f t="array" ref="K5738">_xlfn.SWITCH(LeadsData[[#This Row],[Funnel Stage Reached]],"Lead",1,"MQL",2,"SQL",3,"Customer",4)</f>
        <v>3</v>
      </c>
      <c r="L5738" t="str">
        <f>TEXT(LeadsData[[#This Row],[Signup Date]],"mmm-yyyy")</f>
        <v>Mar-2024</v>
      </c>
      <c r="M5738">
        <f>IF(LeadsData[[#This Row],[Stage Number]]&gt;=2,1,0)</f>
        <v>1</v>
      </c>
      <c r="N5738" s="2">
        <f>IF(LeadsData[[#This Row],[Stage Number]]&gt;=3,1,0)</f>
        <v>1</v>
      </c>
      <c r="O5738" s="2">
        <f>IF(LeadsData[[#This Row],[Stage Number]]&gt;=4,1,0)</f>
        <v>0</v>
      </c>
    </row>
    <row r="5739" spans="1:15" x14ac:dyDescent="0.25">
      <c r="A5739" t="s">
        <v>5779</v>
      </c>
      <c r="B5739" s="1">
        <v>45612</v>
      </c>
      <c r="C5739" t="s">
        <v>17</v>
      </c>
      <c r="D5739" t="s">
        <v>53</v>
      </c>
      <c r="E5739" t="s">
        <v>21</v>
      </c>
      <c r="F5739" t="s">
        <v>28</v>
      </c>
      <c r="G5739" t="s">
        <v>23</v>
      </c>
      <c r="K5739" cm="1">
        <f t="array" ref="K5739">_xlfn.SWITCH(LeadsData[[#This Row],[Funnel Stage Reached]],"Lead",1,"MQL",2,"SQL",3,"Customer",4)</f>
        <v>2</v>
      </c>
      <c r="L5739" t="str">
        <f>TEXT(LeadsData[[#This Row],[Signup Date]],"mmm-yyyy")</f>
        <v>Nov-2024</v>
      </c>
      <c r="M5739">
        <f>IF(LeadsData[[#This Row],[Stage Number]]&gt;=2,1,0)</f>
        <v>1</v>
      </c>
      <c r="N5739" s="2">
        <f>IF(LeadsData[[#This Row],[Stage Number]]&gt;=3,1,0)</f>
        <v>0</v>
      </c>
      <c r="O5739" s="2">
        <f>IF(LeadsData[[#This Row],[Stage Number]]&gt;=4,1,0)</f>
        <v>0</v>
      </c>
    </row>
    <row r="5740" spans="1:15" x14ac:dyDescent="0.25">
      <c r="A5740" t="s">
        <v>5780</v>
      </c>
      <c r="B5740" s="1">
        <v>45617</v>
      </c>
      <c r="C5740" t="s">
        <v>17</v>
      </c>
      <c r="D5740" t="s">
        <v>53</v>
      </c>
      <c r="E5740" t="s">
        <v>21</v>
      </c>
      <c r="F5740" t="s">
        <v>22</v>
      </c>
      <c r="G5740" t="s">
        <v>23</v>
      </c>
      <c r="K5740" cm="1">
        <f t="array" ref="K5740">_xlfn.SWITCH(LeadsData[[#This Row],[Funnel Stage Reached]],"Lead",1,"MQL",2,"SQL",3,"Customer",4)</f>
        <v>2</v>
      </c>
      <c r="L5740" t="str">
        <f>TEXT(LeadsData[[#This Row],[Signup Date]],"mmm-yyyy")</f>
        <v>Nov-2024</v>
      </c>
      <c r="M5740">
        <f>IF(LeadsData[[#This Row],[Stage Number]]&gt;=2,1,0)</f>
        <v>1</v>
      </c>
      <c r="N5740" s="2">
        <f>IF(LeadsData[[#This Row],[Stage Number]]&gt;=3,1,0)</f>
        <v>0</v>
      </c>
      <c r="O5740" s="2">
        <f>IF(LeadsData[[#This Row],[Stage Number]]&gt;=4,1,0)</f>
        <v>0</v>
      </c>
    </row>
    <row r="5741" spans="1:15" x14ac:dyDescent="0.25">
      <c r="A5741" t="s">
        <v>5781</v>
      </c>
      <c r="B5741" s="1">
        <v>45654</v>
      </c>
      <c r="C5741" t="s">
        <v>36</v>
      </c>
      <c r="D5741" t="s">
        <v>50</v>
      </c>
      <c r="E5741" t="s">
        <v>21</v>
      </c>
      <c r="F5741" t="s">
        <v>19</v>
      </c>
      <c r="G5741" t="s">
        <v>23</v>
      </c>
      <c r="K5741" cm="1">
        <f t="array" ref="K5741">_xlfn.SWITCH(LeadsData[[#This Row],[Funnel Stage Reached]],"Lead",1,"MQL",2,"SQL",3,"Customer",4)</f>
        <v>2</v>
      </c>
      <c r="L5741" t="str">
        <f>TEXT(LeadsData[[#This Row],[Signup Date]],"mmm-yyyy")</f>
        <v>Dec-2024</v>
      </c>
      <c r="M5741">
        <f>IF(LeadsData[[#This Row],[Stage Number]]&gt;=2,1,0)</f>
        <v>1</v>
      </c>
      <c r="N5741" s="2">
        <f>IF(LeadsData[[#This Row],[Stage Number]]&gt;=3,1,0)</f>
        <v>0</v>
      </c>
      <c r="O5741" s="2">
        <f>IF(LeadsData[[#This Row],[Stage Number]]&gt;=4,1,0)</f>
        <v>0</v>
      </c>
    </row>
    <row r="5742" spans="1:15" x14ac:dyDescent="0.25">
      <c r="A5742" t="s">
        <v>5782</v>
      </c>
      <c r="B5742" s="1">
        <v>45468</v>
      </c>
      <c r="C5742" t="s">
        <v>11</v>
      </c>
      <c r="D5742" t="s">
        <v>79</v>
      </c>
      <c r="E5742" t="s">
        <v>21</v>
      </c>
      <c r="F5742" t="s">
        <v>28</v>
      </c>
      <c r="G5742" t="s">
        <v>15</v>
      </c>
      <c r="K5742" cm="1">
        <f t="array" ref="K5742">_xlfn.SWITCH(LeadsData[[#This Row],[Funnel Stage Reached]],"Lead",1,"MQL",2,"SQL",3,"Customer",4)</f>
        <v>1</v>
      </c>
      <c r="L5742" t="str">
        <f>TEXT(LeadsData[[#This Row],[Signup Date]],"mmm-yyyy")</f>
        <v>Jun-2024</v>
      </c>
      <c r="M5742">
        <f>IF(LeadsData[[#This Row],[Stage Number]]&gt;=2,1,0)</f>
        <v>0</v>
      </c>
      <c r="N5742" s="2">
        <f>IF(LeadsData[[#This Row],[Stage Number]]&gt;=3,1,0)</f>
        <v>0</v>
      </c>
      <c r="O5742" s="2">
        <f>IF(LeadsData[[#This Row],[Stage Number]]&gt;=4,1,0)</f>
        <v>0</v>
      </c>
    </row>
    <row r="5743" spans="1:15" x14ac:dyDescent="0.25">
      <c r="A5743" t="s">
        <v>5783</v>
      </c>
      <c r="B5743" s="1">
        <v>45330</v>
      </c>
      <c r="C5743" t="s">
        <v>36</v>
      </c>
      <c r="D5743" t="s">
        <v>50</v>
      </c>
      <c r="E5743" t="s">
        <v>21</v>
      </c>
      <c r="F5743" t="s">
        <v>22</v>
      </c>
      <c r="G5743" t="s">
        <v>42</v>
      </c>
      <c r="H5743">
        <v>26</v>
      </c>
      <c r="I5743" t="s">
        <v>43</v>
      </c>
      <c r="J5743">
        <v>1197.77</v>
      </c>
      <c r="K5743" cm="1">
        <f t="array" ref="K5743">_xlfn.SWITCH(LeadsData[[#This Row],[Funnel Stage Reached]],"Lead",1,"MQL",2,"SQL",3,"Customer",4)</f>
        <v>4</v>
      </c>
      <c r="L5743" t="str">
        <f>TEXT(LeadsData[[#This Row],[Signup Date]],"mmm-yyyy")</f>
        <v>Feb-2024</v>
      </c>
      <c r="M5743">
        <f>IF(LeadsData[[#This Row],[Stage Number]]&gt;=2,1,0)</f>
        <v>1</v>
      </c>
      <c r="N5743" s="2">
        <f>IF(LeadsData[[#This Row],[Stage Number]]&gt;=3,1,0)</f>
        <v>1</v>
      </c>
      <c r="O5743" s="2">
        <f>IF(LeadsData[[#This Row],[Stage Number]]&gt;=4,1,0)</f>
        <v>1</v>
      </c>
    </row>
    <row r="5744" spans="1:15" x14ac:dyDescent="0.25">
      <c r="A5744" t="s">
        <v>5784</v>
      </c>
      <c r="B5744" s="1">
        <v>45553</v>
      </c>
      <c r="C5744" t="s">
        <v>11</v>
      </c>
      <c r="D5744" t="s">
        <v>79</v>
      </c>
      <c r="E5744" t="s">
        <v>13</v>
      </c>
      <c r="F5744" t="s">
        <v>19</v>
      </c>
      <c r="G5744" t="s">
        <v>15</v>
      </c>
      <c r="K5744" cm="1">
        <f t="array" ref="K5744">_xlfn.SWITCH(LeadsData[[#This Row],[Funnel Stage Reached]],"Lead",1,"MQL",2,"SQL",3,"Customer",4)</f>
        <v>1</v>
      </c>
      <c r="L5744" t="str">
        <f>TEXT(LeadsData[[#This Row],[Signup Date]],"mmm-yyyy")</f>
        <v>Sep-2024</v>
      </c>
      <c r="M5744">
        <f>IF(LeadsData[[#This Row],[Stage Number]]&gt;=2,1,0)</f>
        <v>0</v>
      </c>
      <c r="N5744" s="2">
        <f>IF(LeadsData[[#This Row],[Stage Number]]&gt;=3,1,0)</f>
        <v>0</v>
      </c>
      <c r="O5744" s="2">
        <f>IF(LeadsData[[#This Row],[Stage Number]]&gt;=4,1,0)</f>
        <v>0</v>
      </c>
    </row>
    <row r="5745" spans="1:15" x14ac:dyDescent="0.25">
      <c r="A5745" t="s">
        <v>5785</v>
      </c>
      <c r="B5745" s="1">
        <v>45604</v>
      </c>
      <c r="C5745" t="s">
        <v>17</v>
      </c>
      <c r="D5745" t="s">
        <v>53</v>
      </c>
      <c r="E5745" t="s">
        <v>13</v>
      </c>
      <c r="F5745" t="s">
        <v>28</v>
      </c>
      <c r="G5745" t="s">
        <v>23</v>
      </c>
      <c r="K5745" cm="1">
        <f t="array" ref="K5745">_xlfn.SWITCH(LeadsData[[#This Row],[Funnel Stage Reached]],"Lead",1,"MQL",2,"SQL",3,"Customer",4)</f>
        <v>2</v>
      </c>
      <c r="L5745" t="str">
        <f>TEXT(LeadsData[[#This Row],[Signup Date]],"mmm-yyyy")</f>
        <v>Nov-2024</v>
      </c>
      <c r="M5745">
        <f>IF(LeadsData[[#This Row],[Stage Number]]&gt;=2,1,0)</f>
        <v>1</v>
      </c>
      <c r="N5745" s="2">
        <f>IF(LeadsData[[#This Row],[Stage Number]]&gt;=3,1,0)</f>
        <v>0</v>
      </c>
      <c r="O5745" s="2">
        <f>IF(LeadsData[[#This Row],[Stage Number]]&gt;=4,1,0)</f>
        <v>0</v>
      </c>
    </row>
    <row r="5746" spans="1:15" x14ac:dyDescent="0.25">
      <c r="A5746" t="s">
        <v>5786</v>
      </c>
      <c r="B5746" s="1">
        <v>45575</v>
      </c>
      <c r="C5746" t="s">
        <v>31</v>
      </c>
      <c r="D5746" t="s">
        <v>32</v>
      </c>
      <c r="E5746" t="s">
        <v>13</v>
      </c>
      <c r="F5746" t="s">
        <v>19</v>
      </c>
      <c r="G5746" t="s">
        <v>29</v>
      </c>
      <c r="K5746" cm="1">
        <f t="array" ref="K5746">_xlfn.SWITCH(LeadsData[[#This Row],[Funnel Stage Reached]],"Lead",1,"MQL",2,"SQL",3,"Customer",4)</f>
        <v>3</v>
      </c>
      <c r="L5746" t="str">
        <f>TEXT(LeadsData[[#This Row],[Signup Date]],"mmm-yyyy")</f>
        <v>Oct-2024</v>
      </c>
      <c r="M5746">
        <f>IF(LeadsData[[#This Row],[Stage Number]]&gt;=2,1,0)</f>
        <v>1</v>
      </c>
      <c r="N5746" s="2">
        <f>IF(LeadsData[[#This Row],[Stage Number]]&gt;=3,1,0)</f>
        <v>1</v>
      </c>
      <c r="O5746" s="2">
        <f>IF(LeadsData[[#This Row],[Stage Number]]&gt;=4,1,0)</f>
        <v>0</v>
      </c>
    </row>
    <row r="5747" spans="1:15" x14ac:dyDescent="0.25">
      <c r="A5747" t="s">
        <v>5787</v>
      </c>
      <c r="B5747" s="1">
        <v>45428</v>
      </c>
      <c r="C5747" t="s">
        <v>25</v>
      </c>
      <c r="D5747" t="s">
        <v>26</v>
      </c>
      <c r="E5747" t="s">
        <v>13</v>
      </c>
      <c r="F5747" t="s">
        <v>19</v>
      </c>
      <c r="G5747" t="s">
        <v>15</v>
      </c>
      <c r="K5747" cm="1">
        <f t="array" ref="K5747">_xlfn.SWITCH(LeadsData[[#This Row],[Funnel Stage Reached]],"Lead",1,"MQL",2,"SQL",3,"Customer",4)</f>
        <v>1</v>
      </c>
      <c r="L5747" t="str">
        <f>TEXT(LeadsData[[#This Row],[Signup Date]],"mmm-yyyy")</f>
        <v>May-2024</v>
      </c>
      <c r="M5747">
        <f>IF(LeadsData[[#This Row],[Stage Number]]&gt;=2,1,0)</f>
        <v>0</v>
      </c>
      <c r="N5747" s="2">
        <f>IF(LeadsData[[#This Row],[Stage Number]]&gt;=3,1,0)</f>
        <v>0</v>
      </c>
      <c r="O5747" s="2">
        <f>IF(LeadsData[[#This Row],[Stage Number]]&gt;=4,1,0)</f>
        <v>0</v>
      </c>
    </row>
    <row r="5748" spans="1:15" x14ac:dyDescent="0.25">
      <c r="A5748" t="s">
        <v>5788</v>
      </c>
      <c r="B5748" s="1">
        <v>45603</v>
      </c>
      <c r="C5748" t="s">
        <v>31</v>
      </c>
      <c r="D5748" t="s">
        <v>34</v>
      </c>
      <c r="E5748" t="s">
        <v>21</v>
      </c>
      <c r="F5748" t="s">
        <v>19</v>
      </c>
      <c r="G5748" t="s">
        <v>42</v>
      </c>
      <c r="H5748">
        <v>62</v>
      </c>
      <c r="I5748" t="s">
        <v>43</v>
      </c>
      <c r="J5748">
        <v>1382.81</v>
      </c>
      <c r="K5748" cm="1">
        <f t="array" ref="K5748">_xlfn.SWITCH(LeadsData[[#This Row],[Funnel Stage Reached]],"Lead",1,"MQL",2,"SQL",3,"Customer",4)</f>
        <v>4</v>
      </c>
      <c r="L5748" t="str">
        <f>TEXT(LeadsData[[#This Row],[Signup Date]],"mmm-yyyy")</f>
        <v>Nov-2024</v>
      </c>
      <c r="M5748">
        <f>IF(LeadsData[[#This Row],[Stage Number]]&gt;=2,1,0)</f>
        <v>1</v>
      </c>
      <c r="N5748" s="2">
        <f>IF(LeadsData[[#This Row],[Stage Number]]&gt;=3,1,0)</f>
        <v>1</v>
      </c>
      <c r="O5748" s="2">
        <f>IF(LeadsData[[#This Row],[Stage Number]]&gt;=4,1,0)</f>
        <v>1</v>
      </c>
    </row>
    <row r="5749" spans="1:15" x14ac:dyDescent="0.25">
      <c r="A5749" t="s">
        <v>5789</v>
      </c>
      <c r="B5749" s="1">
        <v>45469</v>
      </c>
      <c r="C5749" t="s">
        <v>36</v>
      </c>
      <c r="D5749" t="s">
        <v>50</v>
      </c>
      <c r="E5749" t="s">
        <v>21</v>
      </c>
      <c r="F5749" t="s">
        <v>19</v>
      </c>
      <c r="G5749" t="s">
        <v>15</v>
      </c>
      <c r="K5749" cm="1">
        <f t="array" ref="K5749">_xlfn.SWITCH(LeadsData[[#This Row],[Funnel Stage Reached]],"Lead",1,"MQL",2,"SQL",3,"Customer",4)</f>
        <v>1</v>
      </c>
      <c r="L5749" t="str">
        <f>TEXT(LeadsData[[#This Row],[Signup Date]],"mmm-yyyy")</f>
        <v>Jun-2024</v>
      </c>
      <c r="M5749">
        <f>IF(LeadsData[[#This Row],[Stage Number]]&gt;=2,1,0)</f>
        <v>0</v>
      </c>
      <c r="N5749" s="2">
        <f>IF(LeadsData[[#This Row],[Stage Number]]&gt;=3,1,0)</f>
        <v>0</v>
      </c>
      <c r="O5749" s="2">
        <f>IF(LeadsData[[#This Row],[Stage Number]]&gt;=4,1,0)</f>
        <v>0</v>
      </c>
    </row>
    <row r="5750" spans="1:15" x14ac:dyDescent="0.25">
      <c r="A5750" t="s">
        <v>5790</v>
      </c>
      <c r="B5750" s="1">
        <v>45301</v>
      </c>
      <c r="C5750" t="s">
        <v>17</v>
      </c>
      <c r="D5750" t="s">
        <v>18</v>
      </c>
      <c r="E5750" t="s">
        <v>21</v>
      </c>
      <c r="F5750" t="s">
        <v>19</v>
      </c>
      <c r="G5750" t="s">
        <v>29</v>
      </c>
      <c r="K5750" cm="1">
        <f t="array" ref="K5750">_xlfn.SWITCH(LeadsData[[#This Row],[Funnel Stage Reached]],"Lead",1,"MQL",2,"SQL",3,"Customer",4)</f>
        <v>3</v>
      </c>
      <c r="L5750" t="str">
        <f>TEXT(LeadsData[[#This Row],[Signup Date]],"mmm-yyyy")</f>
        <v>Jan-2024</v>
      </c>
      <c r="M5750">
        <f>IF(LeadsData[[#This Row],[Stage Number]]&gt;=2,1,0)</f>
        <v>1</v>
      </c>
      <c r="N5750" s="2">
        <f>IF(LeadsData[[#This Row],[Stage Number]]&gt;=3,1,0)</f>
        <v>1</v>
      </c>
      <c r="O5750" s="2">
        <f>IF(LeadsData[[#This Row],[Stage Number]]&gt;=4,1,0)</f>
        <v>0</v>
      </c>
    </row>
    <row r="5751" spans="1:15" x14ac:dyDescent="0.25">
      <c r="A5751" t="s">
        <v>5791</v>
      </c>
      <c r="B5751" s="1">
        <v>45342</v>
      </c>
      <c r="C5751" t="s">
        <v>11</v>
      </c>
      <c r="D5751" t="s">
        <v>12</v>
      </c>
      <c r="E5751" t="s">
        <v>21</v>
      </c>
      <c r="F5751" t="s">
        <v>19</v>
      </c>
      <c r="G5751" t="s">
        <v>15</v>
      </c>
      <c r="K5751" cm="1">
        <f t="array" ref="K5751">_xlfn.SWITCH(LeadsData[[#This Row],[Funnel Stage Reached]],"Lead",1,"MQL",2,"SQL",3,"Customer",4)</f>
        <v>1</v>
      </c>
      <c r="L5751" t="str">
        <f>TEXT(LeadsData[[#This Row],[Signup Date]],"mmm-yyyy")</f>
        <v>Feb-2024</v>
      </c>
      <c r="M5751">
        <f>IF(LeadsData[[#This Row],[Stage Number]]&gt;=2,1,0)</f>
        <v>0</v>
      </c>
      <c r="N5751" s="2">
        <f>IF(LeadsData[[#This Row],[Stage Number]]&gt;=3,1,0)</f>
        <v>0</v>
      </c>
      <c r="O5751" s="2">
        <f>IF(LeadsData[[#This Row],[Stage Number]]&gt;=4,1,0)</f>
        <v>0</v>
      </c>
    </row>
    <row r="5752" spans="1:15" x14ac:dyDescent="0.25">
      <c r="A5752" t="s">
        <v>5792</v>
      </c>
      <c r="B5752" s="1">
        <v>45305</v>
      </c>
      <c r="C5752" t="s">
        <v>46</v>
      </c>
      <c r="D5752" t="s">
        <v>56</v>
      </c>
      <c r="E5752" t="s">
        <v>13</v>
      </c>
      <c r="F5752" t="s">
        <v>19</v>
      </c>
      <c r="G5752" t="s">
        <v>15</v>
      </c>
      <c r="K5752" cm="1">
        <f t="array" ref="K5752">_xlfn.SWITCH(LeadsData[[#This Row],[Funnel Stage Reached]],"Lead",1,"MQL",2,"SQL",3,"Customer",4)</f>
        <v>1</v>
      </c>
      <c r="L5752" t="str">
        <f>TEXT(LeadsData[[#This Row],[Signup Date]],"mmm-yyyy")</f>
        <v>Jan-2024</v>
      </c>
      <c r="M5752">
        <f>IF(LeadsData[[#This Row],[Stage Number]]&gt;=2,1,0)</f>
        <v>0</v>
      </c>
      <c r="N5752" s="2">
        <f>IF(LeadsData[[#This Row],[Stage Number]]&gt;=3,1,0)</f>
        <v>0</v>
      </c>
      <c r="O5752" s="2">
        <f>IF(LeadsData[[#This Row],[Stage Number]]&gt;=4,1,0)</f>
        <v>0</v>
      </c>
    </row>
    <row r="5753" spans="1:15" x14ac:dyDescent="0.25">
      <c r="A5753" t="s">
        <v>5793</v>
      </c>
      <c r="B5753" s="1">
        <v>45561</v>
      </c>
      <c r="C5753" t="s">
        <v>17</v>
      </c>
      <c r="D5753" t="s">
        <v>53</v>
      </c>
      <c r="E5753" t="s">
        <v>13</v>
      </c>
      <c r="F5753" t="s">
        <v>22</v>
      </c>
      <c r="G5753" t="s">
        <v>15</v>
      </c>
      <c r="K5753" cm="1">
        <f t="array" ref="K5753">_xlfn.SWITCH(LeadsData[[#This Row],[Funnel Stage Reached]],"Lead",1,"MQL",2,"SQL",3,"Customer",4)</f>
        <v>1</v>
      </c>
      <c r="L5753" t="str">
        <f>TEXT(LeadsData[[#This Row],[Signup Date]],"mmm-yyyy")</f>
        <v>Sep-2024</v>
      </c>
      <c r="M5753">
        <f>IF(LeadsData[[#This Row],[Stage Number]]&gt;=2,1,0)</f>
        <v>0</v>
      </c>
      <c r="N5753" s="2">
        <f>IF(LeadsData[[#This Row],[Stage Number]]&gt;=3,1,0)</f>
        <v>0</v>
      </c>
      <c r="O5753" s="2">
        <f>IF(LeadsData[[#This Row],[Stage Number]]&gt;=4,1,0)</f>
        <v>0</v>
      </c>
    </row>
    <row r="5754" spans="1:15" x14ac:dyDescent="0.25">
      <c r="A5754" t="s">
        <v>5794</v>
      </c>
      <c r="B5754" s="1">
        <v>45295</v>
      </c>
      <c r="C5754" t="s">
        <v>25</v>
      </c>
      <c r="D5754" t="s">
        <v>26</v>
      </c>
      <c r="E5754" t="s">
        <v>13</v>
      </c>
      <c r="F5754" t="s">
        <v>19</v>
      </c>
      <c r="G5754" t="s">
        <v>23</v>
      </c>
      <c r="K5754" cm="1">
        <f t="array" ref="K5754">_xlfn.SWITCH(LeadsData[[#This Row],[Funnel Stage Reached]],"Lead",1,"MQL",2,"SQL",3,"Customer",4)</f>
        <v>2</v>
      </c>
      <c r="L5754" t="str">
        <f>TEXT(LeadsData[[#This Row],[Signup Date]],"mmm-yyyy")</f>
        <v>Jan-2024</v>
      </c>
      <c r="M5754">
        <f>IF(LeadsData[[#This Row],[Stage Number]]&gt;=2,1,0)</f>
        <v>1</v>
      </c>
      <c r="N5754" s="2">
        <f>IF(LeadsData[[#This Row],[Stage Number]]&gt;=3,1,0)</f>
        <v>0</v>
      </c>
      <c r="O5754" s="2">
        <f>IF(LeadsData[[#This Row],[Stage Number]]&gt;=4,1,0)</f>
        <v>0</v>
      </c>
    </row>
    <row r="5755" spans="1:15" x14ac:dyDescent="0.25">
      <c r="A5755" t="s">
        <v>5795</v>
      </c>
      <c r="B5755" s="1">
        <v>45304</v>
      </c>
      <c r="C5755" t="s">
        <v>46</v>
      </c>
      <c r="D5755" t="s">
        <v>47</v>
      </c>
      <c r="E5755" t="s">
        <v>21</v>
      </c>
      <c r="F5755" t="s">
        <v>14</v>
      </c>
      <c r="G5755" t="s">
        <v>15</v>
      </c>
      <c r="K5755" cm="1">
        <f t="array" ref="K5755">_xlfn.SWITCH(LeadsData[[#This Row],[Funnel Stage Reached]],"Lead",1,"MQL",2,"SQL",3,"Customer",4)</f>
        <v>1</v>
      </c>
      <c r="L5755" t="str">
        <f>TEXT(LeadsData[[#This Row],[Signup Date]],"mmm-yyyy")</f>
        <v>Jan-2024</v>
      </c>
      <c r="M5755">
        <f>IF(LeadsData[[#This Row],[Stage Number]]&gt;=2,1,0)</f>
        <v>0</v>
      </c>
      <c r="N5755" s="2">
        <f>IF(LeadsData[[#This Row],[Stage Number]]&gt;=3,1,0)</f>
        <v>0</v>
      </c>
      <c r="O5755" s="2">
        <f>IF(LeadsData[[#This Row],[Stage Number]]&gt;=4,1,0)</f>
        <v>0</v>
      </c>
    </row>
    <row r="5756" spans="1:15" x14ac:dyDescent="0.25">
      <c r="A5756" t="s">
        <v>5796</v>
      </c>
      <c r="B5756" s="1">
        <v>45599</v>
      </c>
      <c r="C5756" t="s">
        <v>46</v>
      </c>
      <c r="D5756" t="s">
        <v>47</v>
      </c>
      <c r="E5756" t="s">
        <v>13</v>
      </c>
      <c r="F5756" t="s">
        <v>19</v>
      </c>
      <c r="G5756" t="s">
        <v>23</v>
      </c>
      <c r="K5756" cm="1">
        <f t="array" ref="K5756">_xlfn.SWITCH(LeadsData[[#This Row],[Funnel Stage Reached]],"Lead",1,"MQL",2,"SQL",3,"Customer",4)</f>
        <v>2</v>
      </c>
      <c r="L5756" t="str">
        <f>TEXT(LeadsData[[#This Row],[Signup Date]],"mmm-yyyy")</f>
        <v>Nov-2024</v>
      </c>
      <c r="M5756">
        <f>IF(LeadsData[[#This Row],[Stage Number]]&gt;=2,1,0)</f>
        <v>1</v>
      </c>
      <c r="N5756" s="2">
        <f>IF(LeadsData[[#This Row],[Stage Number]]&gt;=3,1,0)</f>
        <v>0</v>
      </c>
      <c r="O5756" s="2">
        <f>IF(LeadsData[[#This Row],[Stage Number]]&gt;=4,1,0)</f>
        <v>0</v>
      </c>
    </row>
    <row r="5757" spans="1:15" x14ac:dyDescent="0.25">
      <c r="A5757" t="s">
        <v>5797</v>
      </c>
      <c r="B5757" s="1">
        <v>45349</v>
      </c>
      <c r="C5757" t="s">
        <v>25</v>
      </c>
      <c r="D5757" t="s">
        <v>26</v>
      </c>
      <c r="E5757" t="s">
        <v>21</v>
      </c>
      <c r="F5757" t="s">
        <v>22</v>
      </c>
      <c r="G5757" t="s">
        <v>15</v>
      </c>
      <c r="K5757" cm="1">
        <f t="array" ref="K5757">_xlfn.SWITCH(LeadsData[[#This Row],[Funnel Stage Reached]],"Lead",1,"MQL",2,"SQL",3,"Customer",4)</f>
        <v>1</v>
      </c>
      <c r="L5757" t="str">
        <f>TEXT(LeadsData[[#This Row],[Signup Date]],"mmm-yyyy")</f>
        <v>Feb-2024</v>
      </c>
      <c r="M5757">
        <f>IF(LeadsData[[#This Row],[Stage Number]]&gt;=2,1,0)</f>
        <v>0</v>
      </c>
      <c r="N5757" s="2">
        <f>IF(LeadsData[[#This Row],[Stage Number]]&gt;=3,1,0)</f>
        <v>0</v>
      </c>
      <c r="O5757" s="2">
        <f>IF(LeadsData[[#This Row],[Stage Number]]&gt;=4,1,0)</f>
        <v>0</v>
      </c>
    </row>
    <row r="5758" spans="1:15" x14ac:dyDescent="0.25">
      <c r="A5758" t="s">
        <v>5798</v>
      </c>
      <c r="B5758" s="1">
        <v>45444</v>
      </c>
      <c r="C5758" t="s">
        <v>46</v>
      </c>
      <c r="D5758" t="s">
        <v>56</v>
      </c>
      <c r="E5758" t="s">
        <v>21</v>
      </c>
      <c r="F5758" t="s">
        <v>14</v>
      </c>
      <c r="G5758" t="s">
        <v>23</v>
      </c>
      <c r="K5758" cm="1">
        <f t="array" ref="K5758">_xlfn.SWITCH(LeadsData[[#This Row],[Funnel Stage Reached]],"Lead",1,"MQL",2,"SQL",3,"Customer",4)</f>
        <v>2</v>
      </c>
      <c r="L5758" t="str">
        <f>TEXT(LeadsData[[#This Row],[Signup Date]],"mmm-yyyy")</f>
        <v>Jun-2024</v>
      </c>
      <c r="M5758">
        <f>IF(LeadsData[[#This Row],[Stage Number]]&gt;=2,1,0)</f>
        <v>1</v>
      </c>
      <c r="N5758" s="2">
        <f>IF(LeadsData[[#This Row],[Stage Number]]&gt;=3,1,0)</f>
        <v>0</v>
      </c>
      <c r="O5758" s="2">
        <f>IF(LeadsData[[#This Row],[Stage Number]]&gt;=4,1,0)</f>
        <v>0</v>
      </c>
    </row>
    <row r="5759" spans="1:15" x14ac:dyDescent="0.25">
      <c r="A5759" t="s">
        <v>5799</v>
      </c>
      <c r="B5759" s="1">
        <v>45558</v>
      </c>
      <c r="C5759" t="s">
        <v>31</v>
      </c>
      <c r="D5759" t="s">
        <v>32</v>
      </c>
      <c r="E5759" t="s">
        <v>13</v>
      </c>
      <c r="F5759" t="s">
        <v>19</v>
      </c>
      <c r="G5759" t="s">
        <v>29</v>
      </c>
      <c r="K5759" cm="1">
        <f t="array" ref="K5759">_xlfn.SWITCH(LeadsData[[#This Row],[Funnel Stage Reached]],"Lead",1,"MQL",2,"SQL",3,"Customer",4)</f>
        <v>3</v>
      </c>
      <c r="L5759" t="str">
        <f>TEXT(LeadsData[[#This Row],[Signup Date]],"mmm-yyyy")</f>
        <v>Sep-2024</v>
      </c>
      <c r="M5759">
        <f>IF(LeadsData[[#This Row],[Stage Number]]&gt;=2,1,0)</f>
        <v>1</v>
      </c>
      <c r="N5759" s="2">
        <f>IF(LeadsData[[#This Row],[Stage Number]]&gt;=3,1,0)</f>
        <v>1</v>
      </c>
      <c r="O5759" s="2">
        <f>IF(LeadsData[[#This Row],[Stage Number]]&gt;=4,1,0)</f>
        <v>0</v>
      </c>
    </row>
    <row r="5760" spans="1:15" x14ac:dyDescent="0.25">
      <c r="A5760" t="s">
        <v>5800</v>
      </c>
      <c r="B5760" s="1">
        <v>45361</v>
      </c>
      <c r="C5760" t="s">
        <v>17</v>
      </c>
      <c r="D5760" t="s">
        <v>18</v>
      </c>
      <c r="E5760" t="s">
        <v>13</v>
      </c>
      <c r="F5760" t="s">
        <v>14</v>
      </c>
      <c r="G5760" t="s">
        <v>23</v>
      </c>
      <c r="K5760" cm="1">
        <f t="array" ref="K5760">_xlfn.SWITCH(LeadsData[[#This Row],[Funnel Stage Reached]],"Lead",1,"MQL",2,"SQL",3,"Customer",4)</f>
        <v>2</v>
      </c>
      <c r="L5760" t="str">
        <f>TEXT(LeadsData[[#This Row],[Signup Date]],"mmm-yyyy")</f>
        <v>Mar-2024</v>
      </c>
      <c r="M5760">
        <f>IF(LeadsData[[#This Row],[Stage Number]]&gt;=2,1,0)</f>
        <v>1</v>
      </c>
      <c r="N5760" s="2">
        <f>IF(LeadsData[[#This Row],[Stage Number]]&gt;=3,1,0)</f>
        <v>0</v>
      </c>
      <c r="O5760" s="2">
        <f>IF(LeadsData[[#This Row],[Stage Number]]&gt;=4,1,0)</f>
        <v>0</v>
      </c>
    </row>
    <row r="5761" spans="1:15" x14ac:dyDescent="0.25">
      <c r="A5761" t="s">
        <v>5801</v>
      </c>
      <c r="B5761" s="1">
        <v>45461</v>
      </c>
      <c r="C5761" t="s">
        <v>46</v>
      </c>
      <c r="D5761" t="s">
        <v>56</v>
      </c>
      <c r="E5761" t="s">
        <v>13</v>
      </c>
      <c r="F5761" t="s">
        <v>22</v>
      </c>
      <c r="G5761" t="s">
        <v>15</v>
      </c>
      <c r="K5761" cm="1">
        <f t="array" ref="K5761">_xlfn.SWITCH(LeadsData[[#This Row],[Funnel Stage Reached]],"Lead",1,"MQL",2,"SQL",3,"Customer",4)</f>
        <v>1</v>
      </c>
      <c r="L5761" t="str">
        <f>TEXT(LeadsData[[#This Row],[Signup Date]],"mmm-yyyy")</f>
        <v>Jun-2024</v>
      </c>
      <c r="M5761">
        <f>IF(LeadsData[[#This Row],[Stage Number]]&gt;=2,1,0)</f>
        <v>0</v>
      </c>
      <c r="N5761" s="2">
        <f>IF(LeadsData[[#This Row],[Stage Number]]&gt;=3,1,0)</f>
        <v>0</v>
      </c>
      <c r="O5761" s="2">
        <f>IF(LeadsData[[#This Row],[Stage Number]]&gt;=4,1,0)</f>
        <v>0</v>
      </c>
    </row>
    <row r="5762" spans="1:15" x14ac:dyDescent="0.25">
      <c r="A5762" t="s">
        <v>5802</v>
      </c>
      <c r="B5762" s="1">
        <v>45317</v>
      </c>
      <c r="C5762" t="s">
        <v>31</v>
      </c>
      <c r="D5762" t="s">
        <v>32</v>
      </c>
      <c r="E5762" t="s">
        <v>13</v>
      </c>
      <c r="F5762" t="s">
        <v>14</v>
      </c>
      <c r="G5762" t="s">
        <v>15</v>
      </c>
      <c r="K5762" cm="1">
        <f t="array" ref="K5762">_xlfn.SWITCH(LeadsData[[#This Row],[Funnel Stage Reached]],"Lead",1,"MQL",2,"SQL",3,"Customer",4)</f>
        <v>1</v>
      </c>
      <c r="L5762" t="str">
        <f>TEXT(LeadsData[[#This Row],[Signup Date]],"mmm-yyyy")</f>
        <v>Jan-2024</v>
      </c>
      <c r="M5762">
        <f>IF(LeadsData[[#This Row],[Stage Number]]&gt;=2,1,0)</f>
        <v>0</v>
      </c>
      <c r="N5762" s="2">
        <f>IF(LeadsData[[#This Row],[Stage Number]]&gt;=3,1,0)</f>
        <v>0</v>
      </c>
      <c r="O5762" s="2">
        <f>IF(LeadsData[[#This Row],[Stage Number]]&gt;=4,1,0)</f>
        <v>0</v>
      </c>
    </row>
    <row r="5763" spans="1:15" x14ac:dyDescent="0.25">
      <c r="A5763" t="s">
        <v>5803</v>
      </c>
      <c r="B5763" s="1">
        <v>45610</v>
      </c>
      <c r="C5763" t="s">
        <v>31</v>
      </c>
      <c r="D5763" t="s">
        <v>34</v>
      </c>
      <c r="E5763" t="s">
        <v>13</v>
      </c>
      <c r="F5763" t="s">
        <v>19</v>
      </c>
      <c r="G5763" t="s">
        <v>23</v>
      </c>
      <c r="K5763" cm="1">
        <f t="array" ref="K5763">_xlfn.SWITCH(LeadsData[[#This Row],[Funnel Stage Reached]],"Lead",1,"MQL",2,"SQL",3,"Customer",4)</f>
        <v>2</v>
      </c>
      <c r="L5763" t="str">
        <f>TEXT(LeadsData[[#This Row],[Signup Date]],"mmm-yyyy")</f>
        <v>Nov-2024</v>
      </c>
      <c r="M5763">
        <f>IF(LeadsData[[#This Row],[Stage Number]]&gt;=2,1,0)</f>
        <v>1</v>
      </c>
      <c r="N5763" s="2">
        <f>IF(LeadsData[[#This Row],[Stage Number]]&gt;=3,1,0)</f>
        <v>0</v>
      </c>
      <c r="O5763" s="2">
        <f>IF(LeadsData[[#This Row],[Stage Number]]&gt;=4,1,0)</f>
        <v>0</v>
      </c>
    </row>
    <row r="5764" spans="1:15" x14ac:dyDescent="0.25">
      <c r="A5764" t="s">
        <v>5804</v>
      </c>
      <c r="B5764" s="1">
        <v>45379</v>
      </c>
      <c r="C5764" t="s">
        <v>11</v>
      </c>
      <c r="D5764" t="s">
        <v>79</v>
      </c>
      <c r="E5764" t="s">
        <v>21</v>
      </c>
      <c r="F5764" t="s">
        <v>19</v>
      </c>
      <c r="G5764" t="s">
        <v>15</v>
      </c>
      <c r="K5764" cm="1">
        <f t="array" ref="K5764">_xlfn.SWITCH(LeadsData[[#This Row],[Funnel Stage Reached]],"Lead",1,"MQL",2,"SQL",3,"Customer",4)</f>
        <v>1</v>
      </c>
      <c r="L5764" t="str">
        <f>TEXT(LeadsData[[#This Row],[Signup Date]],"mmm-yyyy")</f>
        <v>Mar-2024</v>
      </c>
      <c r="M5764">
        <f>IF(LeadsData[[#This Row],[Stage Number]]&gt;=2,1,0)</f>
        <v>0</v>
      </c>
      <c r="N5764" s="2">
        <f>IF(LeadsData[[#This Row],[Stage Number]]&gt;=3,1,0)</f>
        <v>0</v>
      </c>
      <c r="O5764" s="2">
        <f>IF(LeadsData[[#This Row],[Stage Number]]&gt;=4,1,0)</f>
        <v>0</v>
      </c>
    </row>
    <row r="5765" spans="1:15" x14ac:dyDescent="0.25">
      <c r="A5765" t="s">
        <v>5805</v>
      </c>
      <c r="B5765" s="1">
        <v>45465</v>
      </c>
      <c r="C5765" t="s">
        <v>31</v>
      </c>
      <c r="D5765" t="s">
        <v>34</v>
      </c>
      <c r="E5765" t="s">
        <v>13</v>
      </c>
      <c r="F5765" t="s">
        <v>19</v>
      </c>
      <c r="G5765" t="s">
        <v>42</v>
      </c>
      <c r="H5765">
        <v>53</v>
      </c>
      <c r="I5765" t="s">
        <v>87</v>
      </c>
      <c r="J5765">
        <v>2429.71</v>
      </c>
      <c r="K5765" cm="1">
        <f t="array" ref="K5765">_xlfn.SWITCH(LeadsData[[#This Row],[Funnel Stage Reached]],"Lead",1,"MQL",2,"SQL",3,"Customer",4)</f>
        <v>4</v>
      </c>
      <c r="L5765" t="str">
        <f>TEXT(LeadsData[[#This Row],[Signup Date]],"mmm-yyyy")</f>
        <v>Jun-2024</v>
      </c>
      <c r="M5765">
        <f>IF(LeadsData[[#This Row],[Stage Number]]&gt;=2,1,0)</f>
        <v>1</v>
      </c>
      <c r="N5765" s="2">
        <f>IF(LeadsData[[#This Row],[Stage Number]]&gt;=3,1,0)</f>
        <v>1</v>
      </c>
      <c r="O5765" s="2">
        <f>IF(LeadsData[[#This Row],[Stage Number]]&gt;=4,1,0)</f>
        <v>1</v>
      </c>
    </row>
    <row r="5766" spans="1:15" x14ac:dyDescent="0.25">
      <c r="A5766" t="s">
        <v>5806</v>
      </c>
      <c r="B5766" s="1">
        <v>45524</v>
      </c>
      <c r="C5766" t="s">
        <v>11</v>
      </c>
      <c r="D5766" t="s">
        <v>79</v>
      </c>
      <c r="E5766" t="s">
        <v>13</v>
      </c>
      <c r="F5766" t="s">
        <v>14</v>
      </c>
      <c r="G5766" t="s">
        <v>15</v>
      </c>
      <c r="K5766" cm="1">
        <f t="array" ref="K5766">_xlfn.SWITCH(LeadsData[[#This Row],[Funnel Stage Reached]],"Lead",1,"MQL",2,"SQL",3,"Customer",4)</f>
        <v>1</v>
      </c>
      <c r="L5766" t="str">
        <f>TEXT(LeadsData[[#This Row],[Signup Date]],"mmm-yyyy")</f>
        <v>Aug-2024</v>
      </c>
      <c r="M5766">
        <f>IF(LeadsData[[#This Row],[Stage Number]]&gt;=2,1,0)</f>
        <v>0</v>
      </c>
      <c r="N5766" s="2">
        <f>IF(LeadsData[[#This Row],[Stage Number]]&gt;=3,1,0)</f>
        <v>0</v>
      </c>
      <c r="O5766" s="2">
        <f>IF(LeadsData[[#This Row],[Stage Number]]&gt;=4,1,0)</f>
        <v>0</v>
      </c>
    </row>
    <row r="5767" spans="1:15" x14ac:dyDescent="0.25">
      <c r="A5767" t="s">
        <v>5807</v>
      </c>
      <c r="B5767" s="1">
        <v>45627</v>
      </c>
      <c r="C5767" t="s">
        <v>46</v>
      </c>
      <c r="D5767" t="s">
        <v>56</v>
      </c>
      <c r="E5767" t="s">
        <v>21</v>
      </c>
      <c r="F5767" t="s">
        <v>22</v>
      </c>
      <c r="G5767" t="s">
        <v>29</v>
      </c>
      <c r="K5767" cm="1">
        <f t="array" ref="K5767">_xlfn.SWITCH(LeadsData[[#This Row],[Funnel Stage Reached]],"Lead",1,"MQL",2,"SQL",3,"Customer",4)</f>
        <v>3</v>
      </c>
      <c r="L5767" t="str">
        <f>TEXT(LeadsData[[#This Row],[Signup Date]],"mmm-yyyy")</f>
        <v>Dec-2024</v>
      </c>
      <c r="M5767">
        <f>IF(LeadsData[[#This Row],[Stage Number]]&gt;=2,1,0)</f>
        <v>1</v>
      </c>
      <c r="N5767" s="2">
        <f>IF(LeadsData[[#This Row],[Stage Number]]&gt;=3,1,0)</f>
        <v>1</v>
      </c>
      <c r="O5767" s="2">
        <f>IF(LeadsData[[#This Row],[Stage Number]]&gt;=4,1,0)</f>
        <v>0</v>
      </c>
    </row>
    <row r="5768" spans="1:15" x14ac:dyDescent="0.25">
      <c r="A5768" t="s">
        <v>5808</v>
      </c>
      <c r="B5768" s="1">
        <v>45437</v>
      </c>
      <c r="C5768" t="s">
        <v>31</v>
      </c>
      <c r="D5768" t="s">
        <v>34</v>
      </c>
      <c r="E5768" t="s">
        <v>13</v>
      </c>
      <c r="F5768" t="s">
        <v>19</v>
      </c>
      <c r="G5768" t="s">
        <v>42</v>
      </c>
      <c r="H5768">
        <v>10</v>
      </c>
      <c r="I5768" t="s">
        <v>43</v>
      </c>
      <c r="J5768">
        <v>1467.73</v>
      </c>
      <c r="K5768" cm="1">
        <f t="array" ref="K5768">_xlfn.SWITCH(LeadsData[[#This Row],[Funnel Stage Reached]],"Lead",1,"MQL",2,"SQL",3,"Customer",4)</f>
        <v>4</v>
      </c>
      <c r="L5768" t="str">
        <f>TEXT(LeadsData[[#This Row],[Signup Date]],"mmm-yyyy")</f>
        <v>May-2024</v>
      </c>
      <c r="M5768">
        <f>IF(LeadsData[[#This Row],[Stage Number]]&gt;=2,1,0)</f>
        <v>1</v>
      </c>
      <c r="N5768" s="2">
        <f>IF(LeadsData[[#This Row],[Stage Number]]&gt;=3,1,0)</f>
        <v>1</v>
      </c>
      <c r="O5768" s="2">
        <f>IF(LeadsData[[#This Row],[Stage Number]]&gt;=4,1,0)</f>
        <v>1</v>
      </c>
    </row>
    <row r="5769" spans="1:15" x14ac:dyDescent="0.25">
      <c r="A5769" t="s">
        <v>5809</v>
      </c>
      <c r="B5769" s="1">
        <v>45509</v>
      </c>
      <c r="C5769" t="s">
        <v>46</v>
      </c>
      <c r="D5769" t="s">
        <v>47</v>
      </c>
      <c r="E5769" t="s">
        <v>21</v>
      </c>
      <c r="F5769" t="s">
        <v>19</v>
      </c>
      <c r="G5769" t="s">
        <v>15</v>
      </c>
      <c r="K5769" cm="1">
        <f t="array" ref="K5769">_xlfn.SWITCH(LeadsData[[#This Row],[Funnel Stage Reached]],"Lead",1,"MQL",2,"SQL",3,"Customer",4)</f>
        <v>1</v>
      </c>
      <c r="L5769" t="str">
        <f>TEXT(LeadsData[[#This Row],[Signup Date]],"mmm-yyyy")</f>
        <v>Aug-2024</v>
      </c>
      <c r="M5769">
        <f>IF(LeadsData[[#This Row],[Stage Number]]&gt;=2,1,0)</f>
        <v>0</v>
      </c>
      <c r="N5769" s="2">
        <f>IF(LeadsData[[#This Row],[Stage Number]]&gt;=3,1,0)</f>
        <v>0</v>
      </c>
      <c r="O5769" s="2">
        <f>IF(LeadsData[[#This Row],[Stage Number]]&gt;=4,1,0)</f>
        <v>0</v>
      </c>
    </row>
    <row r="5770" spans="1:15" x14ac:dyDescent="0.25">
      <c r="A5770" t="s">
        <v>5810</v>
      </c>
      <c r="B5770" s="1">
        <v>45491</v>
      </c>
      <c r="C5770" t="s">
        <v>36</v>
      </c>
      <c r="D5770" t="s">
        <v>50</v>
      </c>
      <c r="E5770" t="s">
        <v>21</v>
      </c>
      <c r="F5770" t="s">
        <v>22</v>
      </c>
      <c r="G5770" t="s">
        <v>15</v>
      </c>
      <c r="K5770" cm="1">
        <f t="array" ref="K5770">_xlfn.SWITCH(LeadsData[[#This Row],[Funnel Stage Reached]],"Lead",1,"MQL",2,"SQL",3,"Customer",4)</f>
        <v>1</v>
      </c>
      <c r="L5770" t="str">
        <f>TEXT(LeadsData[[#This Row],[Signup Date]],"mmm-yyyy")</f>
        <v>Jul-2024</v>
      </c>
      <c r="M5770">
        <f>IF(LeadsData[[#This Row],[Stage Number]]&gt;=2,1,0)</f>
        <v>0</v>
      </c>
      <c r="N5770" s="2">
        <f>IF(LeadsData[[#This Row],[Stage Number]]&gt;=3,1,0)</f>
        <v>0</v>
      </c>
      <c r="O5770" s="2">
        <f>IF(LeadsData[[#This Row],[Stage Number]]&gt;=4,1,0)</f>
        <v>0</v>
      </c>
    </row>
    <row r="5771" spans="1:15" x14ac:dyDescent="0.25">
      <c r="A5771" t="s">
        <v>5811</v>
      </c>
      <c r="B5771" s="1">
        <v>45452</v>
      </c>
      <c r="C5771" t="s">
        <v>46</v>
      </c>
      <c r="D5771" t="s">
        <v>56</v>
      </c>
      <c r="E5771" t="s">
        <v>13</v>
      </c>
      <c r="F5771" t="s">
        <v>22</v>
      </c>
      <c r="G5771" t="s">
        <v>15</v>
      </c>
      <c r="K5771" cm="1">
        <f t="array" ref="K5771">_xlfn.SWITCH(LeadsData[[#This Row],[Funnel Stage Reached]],"Lead",1,"MQL",2,"SQL",3,"Customer",4)</f>
        <v>1</v>
      </c>
      <c r="L5771" t="str">
        <f>TEXT(LeadsData[[#This Row],[Signup Date]],"mmm-yyyy")</f>
        <v>Jun-2024</v>
      </c>
      <c r="M5771">
        <f>IF(LeadsData[[#This Row],[Stage Number]]&gt;=2,1,0)</f>
        <v>0</v>
      </c>
      <c r="N5771" s="2">
        <f>IF(LeadsData[[#This Row],[Stage Number]]&gt;=3,1,0)</f>
        <v>0</v>
      </c>
      <c r="O5771" s="2">
        <f>IF(LeadsData[[#This Row],[Stage Number]]&gt;=4,1,0)</f>
        <v>0</v>
      </c>
    </row>
    <row r="5772" spans="1:15" x14ac:dyDescent="0.25">
      <c r="A5772" t="s">
        <v>5812</v>
      </c>
      <c r="B5772" s="1">
        <v>45615</v>
      </c>
      <c r="C5772" t="s">
        <v>11</v>
      </c>
      <c r="D5772" t="s">
        <v>79</v>
      </c>
      <c r="E5772" t="s">
        <v>21</v>
      </c>
      <c r="F5772" t="s">
        <v>19</v>
      </c>
      <c r="G5772" t="s">
        <v>15</v>
      </c>
      <c r="K5772" cm="1">
        <f t="array" ref="K5772">_xlfn.SWITCH(LeadsData[[#This Row],[Funnel Stage Reached]],"Lead",1,"MQL",2,"SQL",3,"Customer",4)</f>
        <v>1</v>
      </c>
      <c r="L5772" t="str">
        <f>TEXT(LeadsData[[#This Row],[Signup Date]],"mmm-yyyy")</f>
        <v>Nov-2024</v>
      </c>
      <c r="M5772">
        <f>IF(LeadsData[[#This Row],[Stage Number]]&gt;=2,1,0)</f>
        <v>0</v>
      </c>
      <c r="N5772" s="2">
        <f>IF(LeadsData[[#This Row],[Stage Number]]&gt;=3,1,0)</f>
        <v>0</v>
      </c>
      <c r="O5772" s="2">
        <f>IF(LeadsData[[#This Row],[Stage Number]]&gt;=4,1,0)</f>
        <v>0</v>
      </c>
    </row>
    <row r="5773" spans="1:15" x14ac:dyDescent="0.25">
      <c r="A5773" t="s">
        <v>5813</v>
      </c>
      <c r="B5773" s="1">
        <v>45402</v>
      </c>
      <c r="C5773" t="s">
        <v>17</v>
      </c>
      <c r="D5773" t="s">
        <v>18</v>
      </c>
      <c r="E5773" t="s">
        <v>21</v>
      </c>
      <c r="F5773" t="s">
        <v>19</v>
      </c>
      <c r="G5773" t="s">
        <v>15</v>
      </c>
      <c r="K5773" cm="1">
        <f t="array" ref="K5773">_xlfn.SWITCH(LeadsData[[#This Row],[Funnel Stage Reached]],"Lead",1,"MQL",2,"SQL",3,"Customer",4)</f>
        <v>1</v>
      </c>
      <c r="L5773" t="str">
        <f>TEXT(LeadsData[[#This Row],[Signup Date]],"mmm-yyyy")</f>
        <v>Apr-2024</v>
      </c>
      <c r="M5773">
        <f>IF(LeadsData[[#This Row],[Stage Number]]&gt;=2,1,0)</f>
        <v>0</v>
      </c>
      <c r="N5773" s="2">
        <f>IF(LeadsData[[#This Row],[Stage Number]]&gt;=3,1,0)</f>
        <v>0</v>
      </c>
      <c r="O5773" s="2">
        <f>IF(LeadsData[[#This Row],[Stage Number]]&gt;=4,1,0)</f>
        <v>0</v>
      </c>
    </row>
    <row r="5774" spans="1:15" x14ac:dyDescent="0.25">
      <c r="A5774" t="s">
        <v>5814</v>
      </c>
      <c r="B5774" s="1">
        <v>45645</v>
      </c>
      <c r="C5774" t="s">
        <v>31</v>
      </c>
      <c r="D5774" t="s">
        <v>32</v>
      </c>
      <c r="E5774" t="s">
        <v>13</v>
      </c>
      <c r="F5774" t="s">
        <v>22</v>
      </c>
      <c r="G5774" t="s">
        <v>42</v>
      </c>
      <c r="H5774">
        <v>15</v>
      </c>
      <c r="I5774" t="s">
        <v>43</v>
      </c>
      <c r="J5774">
        <v>763.69</v>
      </c>
      <c r="K5774" cm="1">
        <f t="array" ref="K5774">_xlfn.SWITCH(LeadsData[[#This Row],[Funnel Stage Reached]],"Lead",1,"MQL",2,"SQL",3,"Customer",4)</f>
        <v>4</v>
      </c>
      <c r="L5774" t="str">
        <f>TEXT(LeadsData[[#This Row],[Signup Date]],"mmm-yyyy")</f>
        <v>Dec-2024</v>
      </c>
      <c r="M5774">
        <f>IF(LeadsData[[#This Row],[Stage Number]]&gt;=2,1,0)</f>
        <v>1</v>
      </c>
      <c r="N5774" s="2">
        <f>IF(LeadsData[[#This Row],[Stage Number]]&gt;=3,1,0)</f>
        <v>1</v>
      </c>
      <c r="O5774" s="2">
        <f>IF(LeadsData[[#This Row],[Stage Number]]&gt;=4,1,0)</f>
        <v>1</v>
      </c>
    </row>
    <row r="5775" spans="1:15" x14ac:dyDescent="0.25">
      <c r="A5775" t="s">
        <v>5815</v>
      </c>
      <c r="B5775" s="1">
        <v>45420</v>
      </c>
      <c r="C5775" t="s">
        <v>31</v>
      </c>
      <c r="D5775" t="s">
        <v>32</v>
      </c>
      <c r="E5775" t="s">
        <v>21</v>
      </c>
      <c r="F5775" t="s">
        <v>19</v>
      </c>
      <c r="G5775" t="s">
        <v>23</v>
      </c>
      <c r="K5775" cm="1">
        <f t="array" ref="K5775">_xlfn.SWITCH(LeadsData[[#This Row],[Funnel Stage Reached]],"Lead",1,"MQL",2,"SQL",3,"Customer",4)</f>
        <v>2</v>
      </c>
      <c r="L5775" t="str">
        <f>TEXT(LeadsData[[#This Row],[Signup Date]],"mmm-yyyy")</f>
        <v>May-2024</v>
      </c>
      <c r="M5775">
        <f>IF(LeadsData[[#This Row],[Stage Number]]&gt;=2,1,0)</f>
        <v>1</v>
      </c>
      <c r="N5775" s="2">
        <f>IF(LeadsData[[#This Row],[Stage Number]]&gt;=3,1,0)</f>
        <v>0</v>
      </c>
      <c r="O5775" s="2">
        <f>IF(LeadsData[[#This Row],[Stage Number]]&gt;=4,1,0)</f>
        <v>0</v>
      </c>
    </row>
    <row r="5776" spans="1:15" x14ac:dyDescent="0.25">
      <c r="A5776" t="s">
        <v>5816</v>
      </c>
      <c r="B5776" s="1">
        <v>45448</v>
      </c>
      <c r="C5776" t="s">
        <v>17</v>
      </c>
      <c r="D5776" t="s">
        <v>53</v>
      </c>
      <c r="E5776" t="s">
        <v>21</v>
      </c>
      <c r="F5776" t="s">
        <v>22</v>
      </c>
      <c r="G5776" t="s">
        <v>15</v>
      </c>
      <c r="K5776" cm="1">
        <f t="array" ref="K5776">_xlfn.SWITCH(LeadsData[[#This Row],[Funnel Stage Reached]],"Lead",1,"MQL",2,"SQL",3,"Customer",4)</f>
        <v>1</v>
      </c>
      <c r="L5776" t="str">
        <f>TEXT(LeadsData[[#This Row],[Signup Date]],"mmm-yyyy")</f>
        <v>Jun-2024</v>
      </c>
      <c r="M5776">
        <f>IF(LeadsData[[#This Row],[Stage Number]]&gt;=2,1,0)</f>
        <v>0</v>
      </c>
      <c r="N5776" s="2">
        <f>IF(LeadsData[[#This Row],[Stage Number]]&gt;=3,1,0)</f>
        <v>0</v>
      </c>
      <c r="O5776" s="2">
        <f>IF(LeadsData[[#This Row],[Stage Number]]&gt;=4,1,0)</f>
        <v>0</v>
      </c>
    </row>
    <row r="5777" spans="1:15" x14ac:dyDescent="0.25">
      <c r="A5777" t="s">
        <v>5817</v>
      </c>
      <c r="B5777" s="1">
        <v>45623</v>
      </c>
      <c r="C5777" t="s">
        <v>36</v>
      </c>
      <c r="D5777" t="s">
        <v>37</v>
      </c>
      <c r="E5777" t="s">
        <v>21</v>
      </c>
      <c r="F5777" t="s">
        <v>19</v>
      </c>
      <c r="G5777" t="s">
        <v>23</v>
      </c>
      <c r="K5777" cm="1">
        <f t="array" ref="K5777">_xlfn.SWITCH(LeadsData[[#This Row],[Funnel Stage Reached]],"Lead",1,"MQL",2,"SQL",3,"Customer",4)</f>
        <v>2</v>
      </c>
      <c r="L5777" t="str">
        <f>TEXT(LeadsData[[#This Row],[Signup Date]],"mmm-yyyy")</f>
        <v>Nov-2024</v>
      </c>
      <c r="M5777">
        <f>IF(LeadsData[[#This Row],[Stage Number]]&gt;=2,1,0)</f>
        <v>1</v>
      </c>
      <c r="N5777" s="2">
        <f>IF(LeadsData[[#This Row],[Stage Number]]&gt;=3,1,0)</f>
        <v>0</v>
      </c>
      <c r="O5777" s="2">
        <f>IF(LeadsData[[#This Row],[Stage Number]]&gt;=4,1,0)</f>
        <v>0</v>
      </c>
    </row>
    <row r="5778" spans="1:15" x14ac:dyDescent="0.25">
      <c r="A5778" t="s">
        <v>5818</v>
      </c>
      <c r="B5778" s="1">
        <v>45359</v>
      </c>
      <c r="C5778" t="s">
        <v>31</v>
      </c>
      <c r="D5778" t="s">
        <v>34</v>
      </c>
      <c r="E5778" t="s">
        <v>13</v>
      </c>
      <c r="F5778" t="s">
        <v>22</v>
      </c>
      <c r="G5778" t="s">
        <v>15</v>
      </c>
      <c r="K5778" cm="1">
        <f t="array" ref="K5778">_xlfn.SWITCH(LeadsData[[#This Row],[Funnel Stage Reached]],"Lead",1,"MQL",2,"SQL",3,"Customer",4)</f>
        <v>1</v>
      </c>
      <c r="L5778" t="str">
        <f>TEXT(LeadsData[[#This Row],[Signup Date]],"mmm-yyyy")</f>
        <v>Mar-2024</v>
      </c>
      <c r="M5778">
        <f>IF(LeadsData[[#This Row],[Stage Number]]&gt;=2,1,0)</f>
        <v>0</v>
      </c>
      <c r="N5778" s="2">
        <f>IF(LeadsData[[#This Row],[Stage Number]]&gt;=3,1,0)</f>
        <v>0</v>
      </c>
      <c r="O5778" s="2">
        <f>IF(LeadsData[[#This Row],[Stage Number]]&gt;=4,1,0)</f>
        <v>0</v>
      </c>
    </row>
    <row r="5779" spans="1:15" x14ac:dyDescent="0.25">
      <c r="A5779" t="s">
        <v>5819</v>
      </c>
      <c r="B5779" s="1">
        <v>45494</v>
      </c>
      <c r="C5779" t="s">
        <v>25</v>
      </c>
      <c r="D5779" t="s">
        <v>26</v>
      </c>
      <c r="E5779" t="s">
        <v>21</v>
      </c>
      <c r="F5779" t="s">
        <v>22</v>
      </c>
      <c r="G5779" t="s">
        <v>15</v>
      </c>
      <c r="K5779" cm="1">
        <f t="array" ref="K5779">_xlfn.SWITCH(LeadsData[[#This Row],[Funnel Stage Reached]],"Lead",1,"MQL",2,"SQL",3,"Customer",4)</f>
        <v>1</v>
      </c>
      <c r="L5779" t="str">
        <f>TEXT(LeadsData[[#This Row],[Signup Date]],"mmm-yyyy")</f>
        <v>Jul-2024</v>
      </c>
      <c r="M5779">
        <f>IF(LeadsData[[#This Row],[Stage Number]]&gt;=2,1,0)</f>
        <v>0</v>
      </c>
      <c r="N5779" s="2">
        <f>IF(LeadsData[[#This Row],[Stage Number]]&gt;=3,1,0)</f>
        <v>0</v>
      </c>
      <c r="O5779" s="2">
        <f>IF(LeadsData[[#This Row],[Stage Number]]&gt;=4,1,0)</f>
        <v>0</v>
      </c>
    </row>
    <row r="5780" spans="1:15" x14ac:dyDescent="0.25">
      <c r="A5780" t="s">
        <v>5820</v>
      </c>
      <c r="B5780" s="1">
        <v>45531</v>
      </c>
      <c r="C5780" t="s">
        <v>31</v>
      </c>
      <c r="D5780" t="s">
        <v>32</v>
      </c>
      <c r="E5780" t="s">
        <v>13</v>
      </c>
      <c r="F5780" t="s">
        <v>19</v>
      </c>
      <c r="G5780" t="s">
        <v>15</v>
      </c>
      <c r="K5780" cm="1">
        <f t="array" ref="K5780">_xlfn.SWITCH(LeadsData[[#This Row],[Funnel Stage Reached]],"Lead",1,"MQL",2,"SQL",3,"Customer",4)</f>
        <v>1</v>
      </c>
      <c r="L5780" t="str">
        <f>TEXT(LeadsData[[#This Row],[Signup Date]],"mmm-yyyy")</f>
        <v>Aug-2024</v>
      </c>
      <c r="M5780">
        <f>IF(LeadsData[[#This Row],[Stage Number]]&gt;=2,1,0)</f>
        <v>0</v>
      </c>
      <c r="N5780" s="2">
        <f>IF(LeadsData[[#This Row],[Stage Number]]&gt;=3,1,0)</f>
        <v>0</v>
      </c>
      <c r="O5780" s="2">
        <f>IF(LeadsData[[#This Row],[Stage Number]]&gt;=4,1,0)</f>
        <v>0</v>
      </c>
    </row>
    <row r="5781" spans="1:15" x14ac:dyDescent="0.25">
      <c r="A5781" t="s">
        <v>5821</v>
      </c>
      <c r="B5781" s="1">
        <v>45648</v>
      </c>
      <c r="C5781" t="s">
        <v>17</v>
      </c>
      <c r="D5781" t="s">
        <v>18</v>
      </c>
      <c r="E5781" t="s">
        <v>13</v>
      </c>
      <c r="F5781" t="s">
        <v>14</v>
      </c>
      <c r="G5781" t="s">
        <v>15</v>
      </c>
      <c r="K5781" cm="1">
        <f t="array" ref="K5781">_xlfn.SWITCH(LeadsData[[#This Row],[Funnel Stage Reached]],"Lead",1,"MQL",2,"SQL",3,"Customer",4)</f>
        <v>1</v>
      </c>
      <c r="L5781" t="str">
        <f>TEXT(LeadsData[[#This Row],[Signup Date]],"mmm-yyyy")</f>
        <v>Dec-2024</v>
      </c>
      <c r="M5781">
        <f>IF(LeadsData[[#This Row],[Stage Number]]&gt;=2,1,0)</f>
        <v>0</v>
      </c>
      <c r="N5781" s="2">
        <f>IF(LeadsData[[#This Row],[Stage Number]]&gt;=3,1,0)</f>
        <v>0</v>
      </c>
      <c r="O5781" s="2">
        <f>IF(LeadsData[[#This Row],[Stage Number]]&gt;=4,1,0)</f>
        <v>0</v>
      </c>
    </row>
    <row r="5782" spans="1:15" x14ac:dyDescent="0.25">
      <c r="A5782" t="s">
        <v>5822</v>
      </c>
      <c r="B5782" s="1">
        <v>45418</v>
      </c>
      <c r="C5782" t="s">
        <v>31</v>
      </c>
      <c r="D5782" t="s">
        <v>34</v>
      </c>
      <c r="E5782" t="s">
        <v>21</v>
      </c>
      <c r="F5782" t="s">
        <v>14</v>
      </c>
      <c r="G5782" t="s">
        <v>29</v>
      </c>
      <c r="K5782" cm="1">
        <f t="array" ref="K5782">_xlfn.SWITCH(LeadsData[[#This Row],[Funnel Stage Reached]],"Lead",1,"MQL",2,"SQL",3,"Customer",4)</f>
        <v>3</v>
      </c>
      <c r="L5782" t="str">
        <f>TEXT(LeadsData[[#This Row],[Signup Date]],"mmm-yyyy")</f>
        <v>May-2024</v>
      </c>
      <c r="M5782">
        <f>IF(LeadsData[[#This Row],[Stage Number]]&gt;=2,1,0)</f>
        <v>1</v>
      </c>
      <c r="N5782" s="2">
        <f>IF(LeadsData[[#This Row],[Stage Number]]&gt;=3,1,0)</f>
        <v>1</v>
      </c>
      <c r="O5782" s="2">
        <f>IF(LeadsData[[#This Row],[Stage Number]]&gt;=4,1,0)</f>
        <v>0</v>
      </c>
    </row>
    <row r="5783" spans="1:15" x14ac:dyDescent="0.25">
      <c r="A5783" t="s">
        <v>5823</v>
      </c>
      <c r="B5783" s="1">
        <v>45389</v>
      </c>
      <c r="C5783" t="s">
        <v>25</v>
      </c>
      <c r="D5783" t="s">
        <v>26</v>
      </c>
      <c r="E5783" t="s">
        <v>13</v>
      </c>
      <c r="F5783" t="s">
        <v>19</v>
      </c>
      <c r="G5783" t="s">
        <v>15</v>
      </c>
      <c r="K5783" cm="1">
        <f t="array" ref="K5783">_xlfn.SWITCH(LeadsData[[#This Row],[Funnel Stage Reached]],"Lead",1,"MQL",2,"SQL",3,"Customer",4)</f>
        <v>1</v>
      </c>
      <c r="L5783" t="str">
        <f>TEXT(LeadsData[[#This Row],[Signup Date]],"mmm-yyyy")</f>
        <v>Apr-2024</v>
      </c>
      <c r="M5783">
        <f>IF(LeadsData[[#This Row],[Stage Number]]&gt;=2,1,0)</f>
        <v>0</v>
      </c>
      <c r="N5783" s="2">
        <f>IF(LeadsData[[#This Row],[Stage Number]]&gt;=3,1,0)</f>
        <v>0</v>
      </c>
      <c r="O5783" s="2">
        <f>IF(LeadsData[[#This Row],[Stage Number]]&gt;=4,1,0)</f>
        <v>0</v>
      </c>
    </row>
    <row r="5784" spans="1:15" x14ac:dyDescent="0.25">
      <c r="A5784" t="s">
        <v>5824</v>
      </c>
      <c r="B5784" s="1">
        <v>45515</v>
      </c>
      <c r="C5784" t="s">
        <v>46</v>
      </c>
      <c r="D5784" t="s">
        <v>56</v>
      </c>
      <c r="E5784" t="s">
        <v>21</v>
      </c>
      <c r="F5784" t="s">
        <v>14</v>
      </c>
      <c r="G5784" t="s">
        <v>15</v>
      </c>
      <c r="K5784" cm="1">
        <f t="array" ref="K5784">_xlfn.SWITCH(LeadsData[[#This Row],[Funnel Stage Reached]],"Lead",1,"MQL",2,"SQL",3,"Customer",4)</f>
        <v>1</v>
      </c>
      <c r="L5784" t="str">
        <f>TEXT(LeadsData[[#This Row],[Signup Date]],"mmm-yyyy")</f>
        <v>Aug-2024</v>
      </c>
      <c r="M5784">
        <f>IF(LeadsData[[#This Row],[Stage Number]]&gt;=2,1,0)</f>
        <v>0</v>
      </c>
      <c r="N5784" s="2">
        <f>IF(LeadsData[[#This Row],[Stage Number]]&gt;=3,1,0)</f>
        <v>0</v>
      </c>
      <c r="O5784" s="2">
        <f>IF(LeadsData[[#This Row],[Stage Number]]&gt;=4,1,0)</f>
        <v>0</v>
      </c>
    </row>
    <row r="5785" spans="1:15" x14ac:dyDescent="0.25">
      <c r="A5785" t="s">
        <v>5825</v>
      </c>
      <c r="B5785" s="1">
        <v>45397</v>
      </c>
      <c r="C5785" t="s">
        <v>31</v>
      </c>
      <c r="D5785" t="s">
        <v>34</v>
      </c>
      <c r="E5785" t="s">
        <v>13</v>
      </c>
      <c r="F5785" t="s">
        <v>19</v>
      </c>
      <c r="G5785" t="s">
        <v>23</v>
      </c>
      <c r="K5785" cm="1">
        <f t="array" ref="K5785">_xlfn.SWITCH(LeadsData[[#This Row],[Funnel Stage Reached]],"Lead",1,"MQL",2,"SQL",3,"Customer",4)</f>
        <v>2</v>
      </c>
      <c r="L5785" t="str">
        <f>TEXT(LeadsData[[#This Row],[Signup Date]],"mmm-yyyy")</f>
        <v>Apr-2024</v>
      </c>
      <c r="M5785">
        <f>IF(LeadsData[[#This Row],[Stage Number]]&gt;=2,1,0)</f>
        <v>1</v>
      </c>
      <c r="N5785" s="2">
        <f>IF(LeadsData[[#This Row],[Stage Number]]&gt;=3,1,0)</f>
        <v>0</v>
      </c>
      <c r="O5785" s="2">
        <f>IF(LeadsData[[#This Row],[Stage Number]]&gt;=4,1,0)</f>
        <v>0</v>
      </c>
    </row>
    <row r="5786" spans="1:15" x14ac:dyDescent="0.25">
      <c r="A5786" t="s">
        <v>5826</v>
      </c>
      <c r="B5786" s="1">
        <v>45622</v>
      </c>
      <c r="C5786" t="s">
        <v>46</v>
      </c>
      <c r="D5786" t="s">
        <v>47</v>
      </c>
      <c r="E5786" t="s">
        <v>13</v>
      </c>
      <c r="F5786" t="s">
        <v>22</v>
      </c>
      <c r="G5786" t="s">
        <v>42</v>
      </c>
      <c r="H5786">
        <v>25</v>
      </c>
      <c r="I5786" t="s">
        <v>87</v>
      </c>
      <c r="J5786">
        <v>3076.06</v>
      </c>
      <c r="K5786" cm="1">
        <f t="array" ref="K5786">_xlfn.SWITCH(LeadsData[[#This Row],[Funnel Stage Reached]],"Lead",1,"MQL",2,"SQL",3,"Customer",4)</f>
        <v>4</v>
      </c>
      <c r="L5786" t="str">
        <f>TEXT(LeadsData[[#This Row],[Signup Date]],"mmm-yyyy")</f>
        <v>Nov-2024</v>
      </c>
      <c r="M5786">
        <f>IF(LeadsData[[#This Row],[Stage Number]]&gt;=2,1,0)</f>
        <v>1</v>
      </c>
      <c r="N5786" s="2">
        <f>IF(LeadsData[[#This Row],[Stage Number]]&gt;=3,1,0)</f>
        <v>1</v>
      </c>
      <c r="O5786" s="2">
        <f>IF(LeadsData[[#This Row],[Stage Number]]&gt;=4,1,0)</f>
        <v>1</v>
      </c>
    </row>
    <row r="5787" spans="1:15" x14ac:dyDescent="0.25">
      <c r="A5787" t="s">
        <v>5827</v>
      </c>
      <c r="B5787" s="1">
        <v>45461</v>
      </c>
      <c r="C5787" t="s">
        <v>11</v>
      </c>
      <c r="D5787" t="s">
        <v>79</v>
      </c>
      <c r="E5787" t="s">
        <v>13</v>
      </c>
      <c r="F5787" t="s">
        <v>19</v>
      </c>
      <c r="G5787" t="s">
        <v>15</v>
      </c>
      <c r="K5787" cm="1">
        <f t="array" ref="K5787">_xlfn.SWITCH(LeadsData[[#This Row],[Funnel Stage Reached]],"Lead",1,"MQL",2,"SQL",3,"Customer",4)</f>
        <v>1</v>
      </c>
      <c r="L5787" t="str">
        <f>TEXT(LeadsData[[#This Row],[Signup Date]],"mmm-yyyy")</f>
        <v>Jun-2024</v>
      </c>
      <c r="M5787">
        <f>IF(LeadsData[[#This Row],[Stage Number]]&gt;=2,1,0)</f>
        <v>0</v>
      </c>
      <c r="N5787" s="2">
        <f>IF(LeadsData[[#This Row],[Stage Number]]&gt;=3,1,0)</f>
        <v>0</v>
      </c>
      <c r="O5787" s="2">
        <f>IF(LeadsData[[#This Row],[Stage Number]]&gt;=4,1,0)</f>
        <v>0</v>
      </c>
    </row>
    <row r="5788" spans="1:15" x14ac:dyDescent="0.25">
      <c r="A5788" t="s">
        <v>5828</v>
      </c>
      <c r="B5788" s="1">
        <v>45618</v>
      </c>
      <c r="C5788" t="s">
        <v>11</v>
      </c>
      <c r="D5788" t="s">
        <v>12</v>
      </c>
      <c r="E5788" t="s">
        <v>21</v>
      </c>
      <c r="F5788" t="s">
        <v>19</v>
      </c>
      <c r="G5788" t="s">
        <v>42</v>
      </c>
      <c r="H5788">
        <v>30</v>
      </c>
      <c r="I5788" t="s">
        <v>43</v>
      </c>
      <c r="J5788">
        <v>1114.3399999999999</v>
      </c>
      <c r="K5788" cm="1">
        <f t="array" ref="K5788">_xlfn.SWITCH(LeadsData[[#This Row],[Funnel Stage Reached]],"Lead",1,"MQL",2,"SQL",3,"Customer",4)</f>
        <v>4</v>
      </c>
      <c r="L5788" t="str">
        <f>TEXT(LeadsData[[#This Row],[Signup Date]],"mmm-yyyy")</f>
        <v>Nov-2024</v>
      </c>
      <c r="M5788">
        <f>IF(LeadsData[[#This Row],[Stage Number]]&gt;=2,1,0)</f>
        <v>1</v>
      </c>
      <c r="N5788" s="2">
        <f>IF(LeadsData[[#This Row],[Stage Number]]&gt;=3,1,0)</f>
        <v>1</v>
      </c>
      <c r="O5788" s="2">
        <f>IF(LeadsData[[#This Row],[Stage Number]]&gt;=4,1,0)</f>
        <v>1</v>
      </c>
    </row>
    <row r="5789" spans="1:15" x14ac:dyDescent="0.25">
      <c r="A5789" t="s">
        <v>5829</v>
      </c>
      <c r="B5789" s="1">
        <v>45639</v>
      </c>
      <c r="C5789" t="s">
        <v>17</v>
      </c>
      <c r="D5789" t="s">
        <v>53</v>
      </c>
      <c r="E5789" t="s">
        <v>48</v>
      </c>
      <c r="F5789" t="s">
        <v>19</v>
      </c>
      <c r="G5789" t="s">
        <v>15</v>
      </c>
      <c r="K5789" cm="1">
        <f t="array" ref="K5789">_xlfn.SWITCH(LeadsData[[#This Row],[Funnel Stage Reached]],"Lead",1,"MQL",2,"SQL",3,"Customer",4)</f>
        <v>1</v>
      </c>
      <c r="L5789" t="str">
        <f>TEXT(LeadsData[[#This Row],[Signup Date]],"mmm-yyyy")</f>
        <v>Dec-2024</v>
      </c>
      <c r="M5789">
        <f>IF(LeadsData[[#This Row],[Stage Number]]&gt;=2,1,0)</f>
        <v>0</v>
      </c>
      <c r="N5789" s="2">
        <f>IF(LeadsData[[#This Row],[Stage Number]]&gt;=3,1,0)</f>
        <v>0</v>
      </c>
      <c r="O5789" s="2">
        <f>IF(LeadsData[[#This Row],[Stage Number]]&gt;=4,1,0)</f>
        <v>0</v>
      </c>
    </row>
    <row r="5790" spans="1:15" x14ac:dyDescent="0.25">
      <c r="A5790" t="s">
        <v>5830</v>
      </c>
      <c r="B5790" s="1">
        <v>45429</v>
      </c>
      <c r="C5790" t="s">
        <v>36</v>
      </c>
      <c r="D5790" t="s">
        <v>37</v>
      </c>
      <c r="E5790" t="s">
        <v>13</v>
      </c>
      <c r="F5790" t="s">
        <v>22</v>
      </c>
      <c r="G5790" t="s">
        <v>15</v>
      </c>
      <c r="K5790" cm="1">
        <f t="array" ref="K5790">_xlfn.SWITCH(LeadsData[[#This Row],[Funnel Stage Reached]],"Lead",1,"MQL",2,"SQL",3,"Customer",4)</f>
        <v>1</v>
      </c>
      <c r="L5790" t="str">
        <f>TEXT(LeadsData[[#This Row],[Signup Date]],"mmm-yyyy")</f>
        <v>May-2024</v>
      </c>
      <c r="M5790">
        <f>IF(LeadsData[[#This Row],[Stage Number]]&gt;=2,1,0)</f>
        <v>0</v>
      </c>
      <c r="N5790" s="2">
        <f>IF(LeadsData[[#This Row],[Stage Number]]&gt;=3,1,0)</f>
        <v>0</v>
      </c>
      <c r="O5790" s="2">
        <f>IF(LeadsData[[#This Row],[Stage Number]]&gt;=4,1,0)</f>
        <v>0</v>
      </c>
    </row>
    <row r="5791" spans="1:15" x14ac:dyDescent="0.25">
      <c r="A5791" t="s">
        <v>5831</v>
      </c>
      <c r="B5791" s="1">
        <v>45512</v>
      </c>
      <c r="C5791" t="s">
        <v>25</v>
      </c>
      <c r="D5791" t="s">
        <v>26</v>
      </c>
      <c r="E5791" t="s">
        <v>13</v>
      </c>
      <c r="F5791" t="s">
        <v>22</v>
      </c>
      <c r="G5791" t="s">
        <v>15</v>
      </c>
      <c r="K5791" cm="1">
        <f t="array" ref="K5791">_xlfn.SWITCH(LeadsData[[#This Row],[Funnel Stage Reached]],"Lead",1,"MQL",2,"SQL",3,"Customer",4)</f>
        <v>1</v>
      </c>
      <c r="L5791" t="str">
        <f>TEXT(LeadsData[[#This Row],[Signup Date]],"mmm-yyyy")</f>
        <v>Aug-2024</v>
      </c>
      <c r="M5791">
        <f>IF(LeadsData[[#This Row],[Stage Number]]&gt;=2,1,0)</f>
        <v>0</v>
      </c>
      <c r="N5791" s="2">
        <f>IF(LeadsData[[#This Row],[Stage Number]]&gt;=3,1,0)</f>
        <v>0</v>
      </c>
      <c r="O5791" s="2">
        <f>IF(LeadsData[[#This Row],[Stage Number]]&gt;=4,1,0)</f>
        <v>0</v>
      </c>
    </row>
    <row r="5792" spans="1:15" x14ac:dyDescent="0.25">
      <c r="A5792" t="s">
        <v>5832</v>
      </c>
      <c r="B5792" s="1">
        <v>45572</v>
      </c>
      <c r="C5792" t="s">
        <v>46</v>
      </c>
      <c r="D5792" t="s">
        <v>47</v>
      </c>
      <c r="E5792" t="s">
        <v>21</v>
      </c>
      <c r="F5792" t="s">
        <v>14</v>
      </c>
      <c r="G5792" t="s">
        <v>23</v>
      </c>
      <c r="K5792" cm="1">
        <f t="array" ref="K5792">_xlfn.SWITCH(LeadsData[[#This Row],[Funnel Stage Reached]],"Lead",1,"MQL",2,"SQL",3,"Customer",4)</f>
        <v>2</v>
      </c>
      <c r="L5792" t="str">
        <f>TEXT(LeadsData[[#This Row],[Signup Date]],"mmm-yyyy")</f>
        <v>Oct-2024</v>
      </c>
      <c r="M5792">
        <f>IF(LeadsData[[#This Row],[Stage Number]]&gt;=2,1,0)</f>
        <v>1</v>
      </c>
      <c r="N5792" s="2">
        <f>IF(LeadsData[[#This Row],[Stage Number]]&gt;=3,1,0)</f>
        <v>0</v>
      </c>
      <c r="O5792" s="2">
        <f>IF(LeadsData[[#This Row],[Stage Number]]&gt;=4,1,0)</f>
        <v>0</v>
      </c>
    </row>
    <row r="5793" spans="1:15" x14ac:dyDescent="0.25">
      <c r="A5793" t="s">
        <v>5833</v>
      </c>
      <c r="B5793" s="1">
        <v>45405</v>
      </c>
      <c r="C5793" t="s">
        <v>46</v>
      </c>
      <c r="D5793" t="s">
        <v>47</v>
      </c>
      <c r="E5793" t="s">
        <v>21</v>
      </c>
      <c r="F5793" t="s">
        <v>19</v>
      </c>
      <c r="G5793" t="s">
        <v>15</v>
      </c>
      <c r="K5793" cm="1">
        <f t="array" ref="K5793">_xlfn.SWITCH(LeadsData[[#This Row],[Funnel Stage Reached]],"Lead",1,"MQL",2,"SQL",3,"Customer",4)</f>
        <v>1</v>
      </c>
      <c r="L5793" t="str">
        <f>TEXT(LeadsData[[#This Row],[Signup Date]],"mmm-yyyy")</f>
        <v>Apr-2024</v>
      </c>
      <c r="M5793">
        <f>IF(LeadsData[[#This Row],[Stage Number]]&gt;=2,1,0)</f>
        <v>0</v>
      </c>
      <c r="N5793" s="2">
        <f>IF(LeadsData[[#This Row],[Stage Number]]&gt;=3,1,0)</f>
        <v>0</v>
      </c>
      <c r="O5793" s="2">
        <f>IF(LeadsData[[#This Row],[Stage Number]]&gt;=4,1,0)</f>
        <v>0</v>
      </c>
    </row>
    <row r="5794" spans="1:15" x14ac:dyDescent="0.25">
      <c r="A5794" t="s">
        <v>5834</v>
      </c>
      <c r="B5794" s="1">
        <v>45543</v>
      </c>
      <c r="C5794" t="s">
        <v>17</v>
      </c>
      <c r="D5794" t="s">
        <v>53</v>
      </c>
      <c r="E5794" t="s">
        <v>21</v>
      </c>
      <c r="F5794" t="s">
        <v>19</v>
      </c>
      <c r="G5794" t="s">
        <v>42</v>
      </c>
      <c r="H5794">
        <v>50</v>
      </c>
      <c r="I5794" t="s">
        <v>43</v>
      </c>
      <c r="J5794">
        <v>876.78</v>
      </c>
      <c r="K5794" cm="1">
        <f t="array" ref="K5794">_xlfn.SWITCH(LeadsData[[#This Row],[Funnel Stage Reached]],"Lead",1,"MQL",2,"SQL",3,"Customer",4)</f>
        <v>4</v>
      </c>
      <c r="L5794" t="str">
        <f>TEXT(LeadsData[[#This Row],[Signup Date]],"mmm-yyyy")</f>
        <v>Sep-2024</v>
      </c>
      <c r="M5794">
        <f>IF(LeadsData[[#This Row],[Stage Number]]&gt;=2,1,0)</f>
        <v>1</v>
      </c>
      <c r="N5794" s="2">
        <f>IF(LeadsData[[#This Row],[Stage Number]]&gt;=3,1,0)</f>
        <v>1</v>
      </c>
      <c r="O5794" s="2">
        <f>IF(LeadsData[[#This Row],[Stage Number]]&gt;=4,1,0)</f>
        <v>1</v>
      </c>
    </row>
    <row r="5795" spans="1:15" x14ac:dyDescent="0.25">
      <c r="A5795" t="s">
        <v>5835</v>
      </c>
      <c r="B5795" s="1">
        <v>45432</v>
      </c>
      <c r="C5795" t="s">
        <v>17</v>
      </c>
      <c r="D5795" t="s">
        <v>53</v>
      </c>
      <c r="E5795" t="s">
        <v>13</v>
      </c>
      <c r="F5795" t="s">
        <v>19</v>
      </c>
      <c r="G5795" t="s">
        <v>23</v>
      </c>
      <c r="K5795" cm="1">
        <f t="array" ref="K5795">_xlfn.SWITCH(LeadsData[[#This Row],[Funnel Stage Reached]],"Lead",1,"MQL",2,"SQL",3,"Customer",4)</f>
        <v>2</v>
      </c>
      <c r="L5795" t="str">
        <f>TEXT(LeadsData[[#This Row],[Signup Date]],"mmm-yyyy")</f>
        <v>May-2024</v>
      </c>
      <c r="M5795">
        <f>IF(LeadsData[[#This Row],[Stage Number]]&gt;=2,1,0)</f>
        <v>1</v>
      </c>
      <c r="N5795" s="2">
        <f>IF(LeadsData[[#This Row],[Stage Number]]&gt;=3,1,0)</f>
        <v>0</v>
      </c>
      <c r="O5795" s="2">
        <f>IF(LeadsData[[#This Row],[Stage Number]]&gt;=4,1,0)</f>
        <v>0</v>
      </c>
    </row>
    <row r="5796" spans="1:15" x14ac:dyDescent="0.25">
      <c r="A5796" t="s">
        <v>5836</v>
      </c>
      <c r="B5796" s="1">
        <v>45373</v>
      </c>
      <c r="C5796" t="s">
        <v>11</v>
      </c>
      <c r="D5796" t="s">
        <v>68</v>
      </c>
      <c r="E5796" t="s">
        <v>13</v>
      </c>
      <c r="F5796" t="s">
        <v>14</v>
      </c>
      <c r="G5796" t="s">
        <v>15</v>
      </c>
      <c r="K5796" cm="1">
        <f t="array" ref="K5796">_xlfn.SWITCH(LeadsData[[#This Row],[Funnel Stage Reached]],"Lead",1,"MQL",2,"SQL",3,"Customer",4)</f>
        <v>1</v>
      </c>
      <c r="L5796" t="str">
        <f>TEXT(LeadsData[[#This Row],[Signup Date]],"mmm-yyyy")</f>
        <v>Mar-2024</v>
      </c>
      <c r="M5796">
        <f>IF(LeadsData[[#This Row],[Stage Number]]&gt;=2,1,0)</f>
        <v>0</v>
      </c>
      <c r="N5796" s="2">
        <f>IF(LeadsData[[#This Row],[Stage Number]]&gt;=3,1,0)</f>
        <v>0</v>
      </c>
      <c r="O5796" s="2">
        <f>IF(LeadsData[[#This Row],[Stage Number]]&gt;=4,1,0)</f>
        <v>0</v>
      </c>
    </row>
    <row r="5797" spans="1:15" x14ac:dyDescent="0.25">
      <c r="A5797" t="s">
        <v>5837</v>
      </c>
      <c r="B5797" s="1">
        <v>45629</v>
      </c>
      <c r="C5797" t="s">
        <v>46</v>
      </c>
      <c r="D5797" t="s">
        <v>56</v>
      </c>
      <c r="E5797" t="s">
        <v>13</v>
      </c>
      <c r="F5797" t="s">
        <v>22</v>
      </c>
      <c r="G5797" t="s">
        <v>15</v>
      </c>
      <c r="K5797" cm="1">
        <f t="array" ref="K5797">_xlfn.SWITCH(LeadsData[[#This Row],[Funnel Stage Reached]],"Lead",1,"MQL",2,"SQL",3,"Customer",4)</f>
        <v>1</v>
      </c>
      <c r="L5797" t="str">
        <f>TEXT(LeadsData[[#This Row],[Signup Date]],"mmm-yyyy")</f>
        <v>Dec-2024</v>
      </c>
      <c r="M5797">
        <f>IF(LeadsData[[#This Row],[Stage Number]]&gt;=2,1,0)</f>
        <v>0</v>
      </c>
      <c r="N5797" s="2">
        <f>IF(LeadsData[[#This Row],[Stage Number]]&gt;=3,1,0)</f>
        <v>0</v>
      </c>
      <c r="O5797" s="2">
        <f>IF(LeadsData[[#This Row],[Stage Number]]&gt;=4,1,0)</f>
        <v>0</v>
      </c>
    </row>
    <row r="5798" spans="1:15" x14ac:dyDescent="0.25">
      <c r="A5798" t="s">
        <v>5838</v>
      </c>
      <c r="B5798" s="1">
        <v>45305</v>
      </c>
      <c r="C5798" t="s">
        <v>11</v>
      </c>
      <c r="D5798" t="s">
        <v>12</v>
      </c>
      <c r="E5798" t="s">
        <v>13</v>
      </c>
      <c r="F5798" t="s">
        <v>19</v>
      </c>
      <c r="G5798" t="s">
        <v>23</v>
      </c>
      <c r="K5798" cm="1">
        <f t="array" ref="K5798">_xlfn.SWITCH(LeadsData[[#This Row],[Funnel Stage Reached]],"Lead",1,"MQL",2,"SQL",3,"Customer",4)</f>
        <v>2</v>
      </c>
      <c r="L5798" t="str">
        <f>TEXT(LeadsData[[#This Row],[Signup Date]],"mmm-yyyy")</f>
        <v>Jan-2024</v>
      </c>
      <c r="M5798">
        <f>IF(LeadsData[[#This Row],[Stage Number]]&gt;=2,1,0)</f>
        <v>1</v>
      </c>
      <c r="N5798" s="2">
        <f>IF(LeadsData[[#This Row],[Stage Number]]&gt;=3,1,0)</f>
        <v>0</v>
      </c>
      <c r="O5798" s="2">
        <f>IF(LeadsData[[#This Row],[Stage Number]]&gt;=4,1,0)</f>
        <v>0</v>
      </c>
    </row>
    <row r="5799" spans="1:15" x14ac:dyDescent="0.25">
      <c r="A5799" t="s">
        <v>5839</v>
      </c>
      <c r="B5799" s="1">
        <v>45292</v>
      </c>
      <c r="C5799" t="s">
        <v>46</v>
      </c>
      <c r="D5799" t="s">
        <v>47</v>
      </c>
      <c r="E5799" t="s">
        <v>13</v>
      </c>
      <c r="F5799" t="s">
        <v>19</v>
      </c>
      <c r="G5799" t="s">
        <v>15</v>
      </c>
      <c r="K5799" cm="1">
        <f t="array" ref="K5799">_xlfn.SWITCH(LeadsData[[#This Row],[Funnel Stage Reached]],"Lead",1,"MQL",2,"SQL",3,"Customer",4)</f>
        <v>1</v>
      </c>
      <c r="L5799" t="str">
        <f>TEXT(LeadsData[[#This Row],[Signup Date]],"mmm-yyyy")</f>
        <v>Jan-2024</v>
      </c>
      <c r="M5799">
        <f>IF(LeadsData[[#This Row],[Stage Number]]&gt;=2,1,0)</f>
        <v>0</v>
      </c>
      <c r="N5799" s="2">
        <f>IF(LeadsData[[#This Row],[Stage Number]]&gt;=3,1,0)</f>
        <v>0</v>
      </c>
      <c r="O5799" s="2">
        <f>IF(LeadsData[[#This Row],[Stage Number]]&gt;=4,1,0)</f>
        <v>0</v>
      </c>
    </row>
    <row r="5800" spans="1:15" x14ac:dyDescent="0.25">
      <c r="A5800" t="s">
        <v>5840</v>
      </c>
      <c r="B5800" s="1">
        <v>45408</v>
      </c>
      <c r="C5800" t="s">
        <v>17</v>
      </c>
      <c r="D5800" t="s">
        <v>18</v>
      </c>
      <c r="E5800" t="s">
        <v>21</v>
      </c>
      <c r="F5800" t="s">
        <v>19</v>
      </c>
      <c r="G5800" t="s">
        <v>23</v>
      </c>
      <c r="K5800" cm="1">
        <f t="array" ref="K5800">_xlfn.SWITCH(LeadsData[[#This Row],[Funnel Stage Reached]],"Lead",1,"MQL",2,"SQL",3,"Customer",4)</f>
        <v>2</v>
      </c>
      <c r="L5800" t="str">
        <f>TEXT(LeadsData[[#This Row],[Signup Date]],"mmm-yyyy")</f>
        <v>Apr-2024</v>
      </c>
      <c r="M5800">
        <f>IF(LeadsData[[#This Row],[Stage Number]]&gt;=2,1,0)</f>
        <v>1</v>
      </c>
      <c r="N5800" s="2">
        <f>IF(LeadsData[[#This Row],[Stage Number]]&gt;=3,1,0)</f>
        <v>0</v>
      </c>
      <c r="O5800" s="2">
        <f>IF(LeadsData[[#This Row],[Stage Number]]&gt;=4,1,0)</f>
        <v>0</v>
      </c>
    </row>
    <row r="5801" spans="1:15" x14ac:dyDescent="0.25">
      <c r="A5801" t="s">
        <v>5841</v>
      </c>
      <c r="B5801" s="1">
        <v>45483</v>
      </c>
      <c r="C5801" t="s">
        <v>31</v>
      </c>
      <c r="D5801" t="s">
        <v>32</v>
      </c>
      <c r="E5801" t="s">
        <v>13</v>
      </c>
      <c r="F5801" t="s">
        <v>19</v>
      </c>
      <c r="G5801" t="s">
        <v>23</v>
      </c>
      <c r="K5801" cm="1">
        <f t="array" ref="K5801">_xlfn.SWITCH(LeadsData[[#This Row],[Funnel Stage Reached]],"Lead",1,"MQL",2,"SQL",3,"Customer",4)</f>
        <v>2</v>
      </c>
      <c r="L5801" t="str">
        <f>TEXT(LeadsData[[#This Row],[Signup Date]],"mmm-yyyy")</f>
        <v>Jul-2024</v>
      </c>
      <c r="M5801">
        <f>IF(LeadsData[[#This Row],[Stage Number]]&gt;=2,1,0)</f>
        <v>1</v>
      </c>
      <c r="N5801" s="2">
        <f>IF(LeadsData[[#This Row],[Stage Number]]&gt;=3,1,0)</f>
        <v>0</v>
      </c>
      <c r="O5801" s="2">
        <f>IF(LeadsData[[#This Row],[Stage Number]]&gt;=4,1,0)</f>
        <v>0</v>
      </c>
    </row>
    <row r="5802" spans="1:15" x14ac:dyDescent="0.25">
      <c r="A5802" t="s">
        <v>5842</v>
      </c>
      <c r="B5802" s="1">
        <v>45520</v>
      </c>
      <c r="C5802" t="s">
        <v>17</v>
      </c>
      <c r="D5802" t="s">
        <v>18</v>
      </c>
      <c r="E5802" t="s">
        <v>13</v>
      </c>
      <c r="F5802" t="s">
        <v>14</v>
      </c>
      <c r="G5802" t="s">
        <v>15</v>
      </c>
      <c r="K5802" cm="1">
        <f t="array" ref="K5802">_xlfn.SWITCH(LeadsData[[#This Row],[Funnel Stage Reached]],"Lead",1,"MQL",2,"SQL",3,"Customer",4)</f>
        <v>1</v>
      </c>
      <c r="L5802" t="str">
        <f>TEXT(LeadsData[[#This Row],[Signup Date]],"mmm-yyyy")</f>
        <v>Aug-2024</v>
      </c>
      <c r="M5802">
        <f>IF(LeadsData[[#This Row],[Stage Number]]&gt;=2,1,0)</f>
        <v>0</v>
      </c>
      <c r="N5802" s="2">
        <f>IF(LeadsData[[#This Row],[Stage Number]]&gt;=3,1,0)</f>
        <v>0</v>
      </c>
      <c r="O5802" s="2">
        <f>IF(LeadsData[[#This Row],[Stage Number]]&gt;=4,1,0)</f>
        <v>0</v>
      </c>
    </row>
    <row r="5803" spans="1:15" x14ac:dyDescent="0.25">
      <c r="A5803" t="s">
        <v>5843</v>
      </c>
      <c r="B5803" s="1">
        <v>45576</v>
      </c>
      <c r="C5803" t="s">
        <v>46</v>
      </c>
      <c r="D5803" t="s">
        <v>56</v>
      </c>
      <c r="E5803" t="s">
        <v>13</v>
      </c>
      <c r="F5803" t="s">
        <v>19</v>
      </c>
      <c r="G5803" t="s">
        <v>23</v>
      </c>
      <c r="K5803" cm="1">
        <f t="array" ref="K5803">_xlfn.SWITCH(LeadsData[[#This Row],[Funnel Stage Reached]],"Lead",1,"MQL",2,"SQL",3,"Customer",4)</f>
        <v>2</v>
      </c>
      <c r="L5803" t="str">
        <f>TEXT(LeadsData[[#This Row],[Signup Date]],"mmm-yyyy")</f>
        <v>Oct-2024</v>
      </c>
      <c r="M5803">
        <f>IF(LeadsData[[#This Row],[Stage Number]]&gt;=2,1,0)</f>
        <v>1</v>
      </c>
      <c r="N5803" s="2">
        <f>IF(LeadsData[[#This Row],[Stage Number]]&gt;=3,1,0)</f>
        <v>0</v>
      </c>
      <c r="O5803" s="2">
        <f>IF(LeadsData[[#This Row],[Stage Number]]&gt;=4,1,0)</f>
        <v>0</v>
      </c>
    </row>
    <row r="5804" spans="1:15" x14ac:dyDescent="0.25">
      <c r="A5804" t="s">
        <v>5844</v>
      </c>
      <c r="B5804" s="1">
        <v>45298</v>
      </c>
      <c r="C5804" t="s">
        <v>17</v>
      </c>
      <c r="D5804" t="s">
        <v>18</v>
      </c>
      <c r="E5804" t="s">
        <v>13</v>
      </c>
      <c r="F5804" t="s">
        <v>19</v>
      </c>
      <c r="G5804" t="s">
        <v>23</v>
      </c>
      <c r="K5804" cm="1">
        <f t="array" ref="K5804">_xlfn.SWITCH(LeadsData[[#This Row],[Funnel Stage Reached]],"Lead",1,"MQL",2,"SQL",3,"Customer",4)</f>
        <v>2</v>
      </c>
      <c r="L5804" t="str">
        <f>TEXT(LeadsData[[#This Row],[Signup Date]],"mmm-yyyy")</f>
        <v>Jan-2024</v>
      </c>
      <c r="M5804">
        <f>IF(LeadsData[[#This Row],[Stage Number]]&gt;=2,1,0)</f>
        <v>1</v>
      </c>
      <c r="N5804" s="2">
        <f>IF(LeadsData[[#This Row],[Stage Number]]&gt;=3,1,0)</f>
        <v>0</v>
      </c>
      <c r="O5804" s="2">
        <f>IF(LeadsData[[#This Row],[Stage Number]]&gt;=4,1,0)</f>
        <v>0</v>
      </c>
    </row>
    <row r="5805" spans="1:15" x14ac:dyDescent="0.25">
      <c r="A5805" t="s">
        <v>5845</v>
      </c>
      <c r="B5805" s="1">
        <v>45615</v>
      </c>
      <c r="C5805" t="s">
        <v>46</v>
      </c>
      <c r="D5805" t="s">
        <v>47</v>
      </c>
      <c r="E5805" t="s">
        <v>21</v>
      </c>
      <c r="F5805" t="s">
        <v>19</v>
      </c>
      <c r="G5805" t="s">
        <v>23</v>
      </c>
      <c r="K5805" cm="1">
        <f t="array" ref="K5805">_xlfn.SWITCH(LeadsData[[#This Row],[Funnel Stage Reached]],"Lead",1,"MQL",2,"SQL",3,"Customer",4)</f>
        <v>2</v>
      </c>
      <c r="L5805" t="str">
        <f>TEXT(LeadsData[[#This Row],[Signup Date]],"mmm-yyyy")</f>
        <v>Nov-2024</v>
      </c>
      <c r="M5805">
        <f>IF(LeadsData[[#This Row],[Stage Number]]&gt;=2,1,0)</f>
        <v>1</v>
      </c>
      <c r="N5805" s="2">
        <f>IF(LeadsData[[#This Row],[Stage Number]]&gt;=3,1,0)</f>
        <v>0</v>
      </c>
      <c r="O5805" s="2">
        <f>IF(LeadsData[[#This Row],[Stage Number]]&gt;=4,1,0)</f>
        <v>0</v>
      </c>
    </row>
    <row r="5806" spans="1:15" x14ac:dyDescent="0.25">
      <c r="A5806" t="s">
        <v>5846</v>
      </c>
      <c r="B5806" s="1">
        <v>45361</v>
      </c>
      <c r="C5806" t="s">
        <v>31</v>
      </c>
      <c r="D5806" t="s">
        <v>32</v>
      </c>
      <c r="E5806" t="s">
        <v>13</v>
      </c>
      <c r="F5806" t="s">
        <v>22</v>
      </c>
      <c r="G5806" t="s">
        <v>23</v>
      </c>
      <c r="K5806" cm="1">
        <f t="array" ref="K5806">_xlfn.SWITCH(LeadsData[[#This Row],[Funnel Stage Reached]],"Lead",1,"MQL",2,"SQL",3,"Customer",4)</f>
        <v>2</v>
      </c>
      <c r="L5806" t="str">
        <f>TEXT(LeadsData[[#This Row],[Signup Date]],"mmm-yyyy")</f>
        <v>Mar-2024</v>
      </c>
      <c r="M5806">
        <f>IF(LeadsData[[#This Row],[Stage Number]]&gt;=2,1,0)</f>
        <v>1</v>
      </c>
      <c r="N5806" s="2">
        <f>IF(LeadsData[[#This Row],[Stage Number]]&gt;=3,1,0)</f>
        <v>0</v>
      </c>
      <c r="O5806" s="2">
        <f>IF(LeadsData[[#This Row],[Stage Number]]&gt;=4,1,0)</f>
        <v>0</v>
      </c>
    </row>
    <row r="5807" spans="1:15" x14ac:dyDescent="0.25">
      <c r="A5807" t="s">
        <v>5847</v>
      </c>
      <c r="B5807" s="1">
        <v>45393</v>
      </c>
      <c r="C5807" t="s">
        <v>25</v>
      </c>
      <c r="D5807" t="s">
        <v>26</v>
      </c>
      <c r="E5807" t="s">
        <v>21</v>
      </c>
      <c r="F5807" t="s">
        <v>14</v>
      </c>
      <c r="G5807" t="s">
        <v>15</v>
      </c>
      <c r="K5807" cm="1">
        <f t="array" ref="K5807">_xlfn.SWITCH(LeadsData[[#This Row],[Funnel Stage Reached]],"Lead",1,"MQL",2,"SQL",3,"Customer",4)</f>
        <v>1</v>
      </c>
      <c r="L5807" t="str">
        <f>TEXT(LeadsData[[#This Row],[Signup Date]],"mmm-yyyy")</f>
        <v>Apr-2024</v>
      </c>
      <c r="M5807">
        <f>IF(LeadsData[[#This Row],[Stage Number]]&gt;=2,1,0)</f>
        <v>0</v>
      </c>
      <c r="N5807" s="2">
        <f>IF(LeadsData[[#This Row],[Stage Number]]&gt;=3,1,0)</f>
        <v>0</v>
      </c>
      <c r="O5807" s="2">
        <f>IF(LeadsData[[#This Row],[Stage Number]]&gt;=4,1,0)</f>
        <v>0</v>
      </c>
    </row>
    <row r="5808" spans="1:15" x14ac:dyDescent="0.25">
      <c r="A5808" t="s">
        <v>5848</v>
      </c>
      <c r="B5808" s="1">
        <v>45639</v>
      </c>
      <c r="C5808" t="s">
        <v>46</v>
      </c>
      <c r="D5808" t="s">
        <v>56</v>
      </c>
      <c r="E5808" t="s">
        <v>13</v>
      </c>
      <c r="F5808" t="s">
        <v>14</v>
      </c>
      <c r="G5808" t="s">
        <v>23</v>
      </c>
      <c r="K5808" cm="1">
        <f t="array" ref="K5808">_xlfn.SWITCH(LeadsData[[#This Row],[Funnel Stage Reached]],"Lead",1,"MQL",2,"SQL",3,"Customer",4)</f>
        <v>2</v>
      </c>
      <c r="L5808" t="str">
        <f>TEXT(LeadsData[[#This Row],[Signup Date]],"mmm-yyyy")</f>
        <v>Dec-2024</v>
      </c>
      <c r="M5808">
        <f>IF(LeadsData[[#This Row],[Stage Number]]&gt;=2,1,0)</f>
        <v>1</v>
      </c>
      <c r="N5808" s="2">
        <f>IF(LeadsData[[#This Row],[Stage Number]]&gt;=3,1,0)</f>
        <v>0</v>
      </c>
      <c r="O5808" s="2">
        <f>IF(LeadsData[[#This Row],[Stage Number]]&gt;=4,1,0)</f>
        <v>0</v>
      </c>
    </row>
    <row r="5809" spans="1:15" x14ac:dyDescent="0.25">
      <c r="A5809" t="s">
        <v>5849</v>
      </c>
      <c r="B5809" s="1">
        <v>45609</v>
      </c>
      <c r="C5809" t="s">
        <v>25</v>
      </c>
      <c r="D5809" t="s">
        <v>26</v>
      </c>
      <c r="E5809" t="s">
        <v>13</v>
      </c>
      <c r="F5809" t="s">
        <v>22</v>
      </c>
      <c r="G5809" t="s">
        <v>29</v>
      </c>
      <c r="K5809" cm="1">
        <f t="array" ref="K5809">_xlfn.SWITCH(LeadsData[[#This Row],[Funnel Stage Reached]],"Lead",1,"MQL",2,"SQL",3,"Customer",4)</f>
        <v>3</v>
      </c>
      <c r="L5809" t="str">
        <f>TEXT(LeadsData[[#This Row],[Signup Date]],"mmm-yyyy")</f>
        <v>Nov-2024</v>
      </c>
      <c r="M5809">
        <f>IF(LeadsData[[#This Row],[Stage Number]]&gt;=2,1,0)</f>
        <v>1</v>
      </c>
      <c r="N5809" s="2">
        <f>IF(LeadsData[[#This Row],[Stage Number]]&gt;=3,1,0)</f>
        <v>1</v>
      </c>
      <c r="O5809" s="2">
        <f>IF(LeadsData[[#This Row],[Stage Number]]&gt;=4,1,0)</f>
        <v>0</v>
      </c>
    </row>
    <row r="5810" spans="1:15" x14ac:dyDescent="0.25">
      <c r="A5810" t="s">
        <v>5850</v>
      </c>
      <c r="B5810" s="1">
        <v>45431</v>
      </c>
      <c r="C5810" t="s">
        <v>46</v>
      </c>
      <c r="D5810" t="s">
        <v>47</v>
      </c>
      <c r="E5810" t="s">
        <v>21</v>
      </c>
      <c r="F5810" t="s">
        <v>19</v>
      </c>
      <c r="G5810" t="s">
        <v>15</v>
      </c>
      <c r="K5810" cm="1">
        <f t="array" ref="K5810">_xlfn.SWITCH(LeadsData[[#This Row],[Funnel Stage Reached]],"Lead",1,"MQL",2,"SQL",3,"Customer",4)</f>
        <v>1</v>
      </c>
      <c r="L5810" t="str">
        <f>TEXT(LeadsData[[#This Row],[Signup Date]],"mmm-yyyy")</f>
        <v>May-2024</v>
      </c>
      <c r="M5810">
        <f>IF(LeadsData[[#This Row],[Stage Number]]&gt;=2,1,0)</f>
        <v>0</v>
      </c>
      <c r="N5810" s="2">
        <f>IF(LeadsData[[#This Row],[Stage Number]]&gt;=3,1,0)</f>
        <v>0</v>
      </c>
      <c r="O5810" s="2">
        <f>IF(LeadsData[[#This Row],[Stage Number]]&gt;=4,1,0)</f>
        <v>0</v>
      </c>
    </row>
    <row r="5811" spans="1:15" x14ac:dyDescent="0.25">
      <c r="A5811" t="s">
        <v>5851</v>
      </c>
      <c r="B5811" s="1">
        <v>45549</v>
      </c>
      <c r="C5811" t="s">
        <v>25</v>
      </c>
      <c r="D5811" t="s">
        <v>26</v>
      </c>
      <c r="E5811" t="s">
        <v>21</v>
      </c>
      <c r="F5811" t="s">
        <v>19</v>
      </c>
      <c r="G5811" t="s">
        <v>29</v>
      </c>
      <c r="K5811" cm="1">
        <f t="array" ref="K5811">_xlfn.SWITCH(LeadsData[[#This Row],[Funnel Stage Reached]],"Lead",1,"MQL",2,"SQL",3,"Customer",4)</f>
        <v>3</v>
      </c>
      <c r="L5811" t="str">
        <f>TEXT(LeadsData[[#This Row],[Signup Date]],"mmm-yyyy")</f>
        <v>Sep-2024</v>
      </c>
      <c r="M5811">
        <f>IF(LeadsData[[#This Row],[Stage Number]]&gt;=2,1,0)</f>
        <v>1</v>
      </c>
      <c r="N5811" s="2">
        <f>IF(LeadsData[[#This Row],[Stage Number]]&gt;=3,1,0)</f>
        <v>1</v>
      </c>
      <c r="O5811" s="2">
        <f>IF(LeadsData[[#This Row],[Stage Number]]&gt;=4,1,0)</f>
        <v>0</v>
      </c>
    </row>
    <row r="5812" spans="1:15" x14ac:dyDescent="0.25">
      <c r="A5812" t="s">
        <v>5852</v>
      </c>
      <c r="B5812" s="1">
        <v>45611</v>
      </c>
      <c r="C5812" t="s">
        <v>31</v>
      </c>
      <c r="D5812" t="s">
        <v>32</v>
      </c>
      <c r="E5812" t="s">
        <v>21</v>
      </c>
      <c r="F5812" t="s">
        <v>28</v>
      </c>
      <c r="G5812" t="s">
        <v>23</v>
      </c>
      <c r="K5812" cm="1">
        <f t="array" ref="K5812">_xlfn.SWITCH(LeadsData[[#This Row],[Funnel Stage Reached]],"Lead",1,"MQL",2,"SQL",3,"Customer",4)</f>
        <v>2</v>
      </c>
      <c r="L5812" t="str">
        <f>TEXT(LeadsData[[#This Row],[Signup Date]],"mmm-yyyy")</f>
        <v>Nov-2024</v>
      </c>
      <c r="M5812">
        <f>IF(LeadsData[[#This Row],[Stage Number]]&gt;=2,1,0)</f>
        <v>1</v>
      </c>
      <c r="N5812" s="2">
        <f>IF(LeadsData[[#This Row],[Stage Number]]&gt;=3,1,0)</f>
        <v>0</v>
      </c>
      <c r="O5812" s="2">
        <f>IF(LeadsData[[#This Row],[Stage Number]]&gt;=4,1,0)</f>
        <v>0</v>
      </c>
    </row>
    <row r="5813" spans="1:15" x14ac:dyDescent="0.25">
      <c r="A5813" t="s">
        <v>5853</v>
      </c>
      <c r="B5813" s="1">
        <v>45644</v>
      </c>
      <c r="C5813" t="s">
        <v>11</v>
      </c>
      <c r="D5813" t="s">
        <v>68</v>
      </c>
      <c r="E5813" t="s">
        <v>13</v>
      </c>
      <c r="F5813" t="s">
        <v>22</v>
      </c>
      <c r="G5813" t="s">
        <v>23</v>
      </c>
      <c r="K5813" cm="1">
        <f t="array" ref="K5813">_xlfn.SWITCH(LeadsData[[#This Row],[Funnel Stage Reached]],"Lead",1,"MQL",2,"SQL",3,"Customer",4)</f>
        <v>2</v>
      </c>
      <c r="L5813" t="str">
        <f>TEXT(LeadsData[[#This Row],[Signup Date]],"mmm-yyyy")</f>
        <v>Dec-2024</v>
      </c>
      <c r="M5813">
        <f>IF(LeadsData[[#This Row],[Stage Number]]&gt;=2,1,0)</f>
        <v>1</v>
      </c>
      <c r="N5813" s="2">
        <f>IF(LeadsData[[#This Row],[Stage Number]]&gt;=3,1,0)</f>
        <v>0</v>
      </c>
      <c r="O5813" s="2">
        <f>IF(LeadsData[[#This Row],[Stage Number]]&gt;=4,1,0)</f>
        <v>0</v>
      </c>
    </row>
    <row r="5814" spans="1:15" x14ac:dyDescent="0.25">
      <c r="A5814" t="s">
        <v>5854</v>
      </c>
      <c r="B5814" s="1">
        <v>45476</v>
      </c>
      <c r="C5814" t="s">
        <v>46</v>
      </c>
      <c r="D5814" t="s">
        <v>56</v>
      </c>
      <c r="E5814" t="s">
        <v>13</v>
      </c>
      <c r="F5814" t="s">
        <v>19</v>
      </c>
      <c r="G5814" t="s">
        <v>15</v>
      </c>
      <c r="K5814" cm="1">
        <f t="array" ref="K5814">_xlfn.SWITCH(LeadsData[[#This Row],[Funnel Stage Reached]],"Lead",1,"MQL",2,"SQL",3,"Customer",4)</f>
        <v>1</v>
      </c>
      <c r="L5814" t="str">
        <f>TEXT(LeadsData[[#This Row],[Signup Date]],"mmm-yyyy")</f>
        <v>Jul-2024</v>
      </c>
      <c r="M5814">
        <f>IF(LeadsData[[#This Row],[Stage Number]]&gt;=2,1,0)</f>
        <v>0</v>
      </c>
      <c r="N5814" s="2">
        <f>IF(LeadsData[[#This Row],[Stage Number]]&gt;=3,1,0)</f>
        <v>0</v>
      </c>
      <c r="O5814" s="2">
        <f>IF(LeadsData[[#This Row],[Stage Number]]&gt;=4,1,0)</f>
        <v>0</v>
      </c>
    </row>
    <row r="5815" spans="1:15" x14ac:dyDescent="0.25">
      <c r="A5815" t="s">
        <v>5855</v>
      </c>
      <c r="B5815" s="1">
        <v>45612</v>
      </c>
      <c r="C5815" t="s">
        <v>31</v>
      </c>
      <c r="D5815" t="s">
        <v>34</v>
      </c>
      <c r="E5815" t="s">
        <v>21</v>
      </c>
      <c r="F5815" t="s">
        <v>28</v>
      </c>
      <c r="G5815" t="s">
        <v>15</v>
      </c>
      <c r="K5815" cm="1">
        <f t="array" ref="K5815">_xlfn.SWITCH(LeadsData[[#This Row],[Funnel Stage Reached]],"Lead",1,"MQL",2,"SQL",3,"Customer",4)</f>
        <v>1</v>
      </c>
      <c r="L5815" t="str">
        <f>TEXT(LeadsData[[#This Row],[Signup Date]],"mmm-yyyy")</f>
        <v>Nov-2024</v>
      </c>
      <c r="M5815">
        <f>IF(LeadsData[[#This Row],[Stage Number]]&gt;=2,1,0)</f>
        <v>0</v>
      </c>
      <c r="N5815" s="2">
        <f>IF(LeadsData[[#This Row],[Stage Number]]&gt;=3,1,0)</f>
        <v>0</v>
      </c>
      <c r="O5815" s="2">
        <f>IF(LeadsData[[#This Row],[Stage Number]]&gt;=4,1,0)</f>
        <v>0</v>
      </c>
    </row>
    <row r="5816" spans="1:15" x14ac:dyDescent="0.25">
      <c r="A5816" t="s">
        <v>5856</v>
      </c>
      <c r="B5816" s="1">
        <v>45479</v>
      </c>
      <c r="C5816" t="s">
        <v>31</v>
      </c>
      <c r="D5816" t="s">
        <v>34</v>
      </c>
      <c r="E5816" t="s">
        <v>13</v>
      </c>
      <c r="F5816" t="s">
        <v>22</v>
      </c>
      <c r="G5816" t="s">
        <v>23</v>
      </c>
      <c r="K5816" cm="1">
        <f t="array" ref="K5816">_xlfn.SWITCH(LeadsData[[#This Row],[Funnel Stage Reached]],"Lead",1,"MQL",2,"SQL",3,"Customer",4)</f>
        <v>2</v>
      </c>
      <c r="L5816" t="str">
        <f>TEXT(LeadsData[[#This Row],[Signup Date]],"mmm-yyyy")</f>
        <v>Jul-2024</v>
      </c>
      <c r="M5816">
        <f>IF(LeadsData[[#This Row],[Stage Number]]&gt;=2,1,0)</f>
        <v>1</v>
      </c>
      <c r="N5816" s="2">
        <f>IF(LeadsData[[#This Row],[Stage Number]]&gt;=3,1,0)</f>
        <v>0</v>
      </c>
      <c r="O5816" s="2">
        <f>IF(LeadsData[[#This Row],[Stage Number]]&gt;=4,1,0)</f>
        <v>0</v>
      </c>
    </row>
    <row r="5817" spans="1:15" x14ac:dyDescent="0.25">
      <c r="A5817" t="s">
        <v>5857</v>
      </c>
      <c r="B5817" s="1">
        <v>45598</v>
      </c>
      <c r="C5817" t="s">
        <v>25</v>
      </c>
      <c r="D5817" t="s">
        <v>26</v>
      </c>
      <c r="E5817" t="s">
        <v>13</v>
      </c>
      <c r="F5817" t="s">
        <v>22</v>
      </c>
      <c r="G5817" t="s">
        <v>15</v>
      </c>
      <c r="K5817" cm="1">
        <f t="array" ref="K5817">_xlfn.SWITCH(LeadsData[[#This Row],[Funnel Stage Reached]],"Lead",1,"MQL",2,"SQL",3,"Customer",4)</f>
        <v>1</v>
      </c>
      <c r="L5817" t="str">
        <f>TEXT(LeadsData[[#This Row],[Signup Date]],"mmm-yyyy")</f>
        <v>Nov-2024</v>
      </c>
      <c r="M5817">
        <f>IF(LeadsData[[#This Row],[Stage Number]]&gt;=2,1,0)</f>
        <v>0</v>
      </c>
      <c r="N5817" s="2">
        <f>IF(LeadsData[[#This Row],[Stage Number]]&gt;=3,1,0)</f>
        <v>0</v>
      </c>
      <c r="O5817" s="2">
        <f>IF(LeadsData[[#This Row],[Stage Number]]&gt;=4,1,0)</f>
        <v>0</v>
      </c>
    </row>
    <row r="5818" spans="1:15" x14ac:dyDescent="0.25">
      <c r="A5818" t="s">
        <v>5858</v>
      </c>
      <c r="B5818" s="1">
        <v>45470</v>
      </c>
      <c r="C5818" t="s">
        <v>31</v>
      </c>
      <c r="D5818" t="s">
        <v>32</v>
      </c>
      <c r="E5818" t="s">
        <v>13</v>
      </c>
      <c r="F5818" t="s">
        <v>22</v>
      </c>
      <c r="G5818" t="s">
        <v>15</v>
      </c>
      <c r="K5818" cm="1">
        <f t="array" ref="K5818">_xlfn.SWITCH(LeadsData[[#This Row],[Funnel Stage Reached]],"Lead",1,"MQL",2,"SQL",3,"Customer",4)</f>
        <v>1</v>
      </c>
      <c r="L5818" t="str">
        <f>TEXT(LeadsData[[#This Row],[Signup Date]],"mmm-yyyy")</f>
        <v>Jun-2024</v>
      </c>
      <c r="M5818">
        <f>IF(LeadsData[[#This Row],[Stage Number]]&gt;=2,1,0)</f>
        <v>0</v>
      </c>
      <c r="N5818" s="2">
        <f>IF(LeadsData[[#This Row],[Stage Number]]&gt;=3,1,0)</f>
        <v>0</v>
      </c>
      <c r="O5818" s="2">
        <f>IF(LeadsData[[#This Row],[Stage Number]]&gt;=4,1,0)</f>
        <v>0</v>
      </c>
    </row>
    <row r="5819" spans="1:15" x14ac:dyDescent="0.25">
      <c r="A5819" t="s">
        <v>5859</v>
      </c>
      <c r="B5819" s="1">
        <v>45333</v>
      </c>
      <c r="C5819" t="s">
        <v>25</v>
      </c>
      <c r="D5819" t="s">
        <v>26</v>
      </c>
      <c r="E5819" t="s">
        <v>21</v>
      </c>
      <c r="F5819" t="s">
        <v>19</v>
      </c>
      <c r="G5819" t="s">
        <v>15</v>
      </c>
      <c r="K5819" cm="1">
        <f t="array" ref="K5819">_xlfn.SWITCH(LeadsData[[#This Row],[Funnel Stage Reached]],"Lead",1,"MQL",2,"SQL",3,"Customer",4)</f>
        <v>1</v>
      </c>
      <c r="L5819" t="str">
        <f>TEXT(LeadsData[[#This Row],[Signup Date]],"mmm-yyyy")</f>
        <v>Feb-2024</v>
      </c>
      <c r="M5819">
        <f>IF(LeadsData[[#This Row],[Stage Number]]&gt;=2,1,0)</f>
        <v>0</v>
      </c>
      <c r="N5819" s="2">
        <f>IF(LeadsData[[#This Row],[Stage Number]]&gt;=3,1,0)</f>
        <v>0</v>
      </c>
      <c r="O5819" s="2">
        <f>IF(LeadsData[[#This Row],[Stage Number]]&gt;=4,1,0)</f>
        <v>0</v>
      </c>
    </row>
    <row r="5820" spans="1:15" x14ac:dyDescent="0.25">
      <c r="A5820" t="s">
        <v>5860</v>
      </c>
      <c r="B5820" s="1">
        <v>45403</v>
      </c>
      <c r="C5820" t="s">
        <v>17</v>
      </c>
      <c r="D5820" t="s">
        <v>18</v>
      </c>
      <c r="E5820" t="s">
        <v>13</v>
      </c>
      <c r="F5820" t="s">
        <v>19</v>
      </c>
      <c r="G5820" t="s">
        <v>15</v>
      </c>
      <c r="K5820" cm="1">
        <f t="array" ref="K5820">_xlfn.SWITCH(LeadsData[[#This Row],[Funnel Stage Reached]],"Lead",1,"MQL",2,"SQL",3,"Customer",4)</f>
        <v>1</v>
      </c>
      <c r="L5820" t="str">
        <f>TEXT(LeadsData[[#This Row],[Signup Date]],"mmm-yyyy")</f>
        <v>Apr-2024</v>
      </c>
      <c r="M5820">
        <f>IF(LeadsData[[#This Row],[Stage Number]]&gt;=2,1,0)</f>
        <v>0</v>
      </c>
      <c r="N5820" s="2">
        <f>IF(LeadsData[[#This Row],[Stage Number]]&gt;=3,1,0)</f>
        <v>0</v>
      </c>
      <c r="O5820" s="2">
        <f>IF(LeadsData[[#This Row],[Stage Number]]&gt;=4,1,0)</f>
        <v>0</v>
      </c>
    </row>
    <row r="5821" spans="1:15" x14ac:dyDescent="0.25">
      <c r="A5821" t="s">
        <v>5861</v>
      </c>
      <c r="B5821" s="1">
        <v>45571</v>
      </c>
      <c r="C5821" t="s">
        <v>31</v>
      </c>
      <c r="D5821" t="s">
        <v>32</v>
      </c>
      <c r="E5821" t="s">
        <v>21</v>
      </c>
      <c r="F5821" t="s">
        <v>22</v>
      </c>
      <c r="G5821" t="s">
        <v>23</v>
      </c>
      <c r="K5821" cm="1">
        <f t="array" ref="K5821">_xlfn.SWITCH(LeadsData[[#This Row],[Funnel Stage Reached]],"Lead",1,"MQL",2,"SQL",3,"Customer",4)</f>
        <v>2</v>
      </c>
      <c r="L5821" t="str">
        <f>TEXT(LeadsData[[#This Row],[Signup Date]],"mmm-yyyy")</f>
        <v>Oct-2024</v>
      </c>
      <c r="M5821">
        <f>IF(LeadsData[[#This Row],[Stage Number]]&gt;=2,1,0)</f>
        <v>1</v>
      </c>
      <c r="N5821" s="2">
        <f>IF(LeadsData[[#This Row],[Stage Number]]&gt;=3,1,0)</f>
        <v>0</v>
      </c>
      <c r="O5821" s="2">
        <f>IF(LeadsData[[#This Row],[Stage Number]]&gt;=4,1,0)</f>
        <v>0</v>
      </c>
    </row>
    <row r="5822" spans="1:15" x14ac:dyDescent="0.25">
      <c r="A5822" t="s">
        <v>5862</v>
      </c>
      <c r="B5822" s="1">
        <v>45587</v>
      </c>
      <c r="C5822" t="s">
        <v>31</v>
      </c>
      <c r="D5822" t="s">
        <v>34</v>
      </c>
      <c r="E5822" t="s">
        <v>21</v>
      </c>
      <c r="F5822" t="s">
        <v>19</v>
      </c>
      <c r="G5822" t="s">
        <v>15</v>
      </c>
      <c r="K5822" cm="1">
        <f t="array" ref="K5822">_xlfn.SWITCH(LeadsData[[#This Row],[Funnel Stage Reached]],"Lead",1,"MQL",2,"SQL",3,"Customer",4)</f>
        <v>1</v>
      </c>
      <c r="L5822" t="str">
        <f>TEXT(LeadsData[[#This Row],[Signup Date]],"mmm-yyyy")</f>
        <v>Oct-2024</v>
      </c>
      <c r="M5822">
        <f>IF(LeadsData[[#This Row],[Stage Number]]&gt;=2,1,0)</f>
        <v>0</v>
      </c>
      <c r="N5822" s="2">
        <f>IF(LeadsData[[#This Row],[Stage Number]]&gt;=3,1,0)</f>
        <v>0</v>
      </c>
      <c r="O5822" s="2">
        <f>IF(LeadsData[[#This Row],[Stage Number]]&gt;=4,1,0)</f>
        <v>0</v>
      </c>
    </row>
    <row r="5823" spans="1:15" x14ac:dyDescent="0.25">
      <c r="A5823" t="s">
        <v>5863</v>
      </c>
      <c r="B5823" s="1">
        <v>45584</v>
      </c>
      <c r="C5823" t="s">
        <v>31</v>
      </c>
      <c r="D5823" t="s">
        <v>34</v>
      </c>
      <c r="E5823" t="s">
        <v>13</v>
      </c>
      <c r="F5823" t="s">
        <v>22</v>
      </c>
      <c r="G5823" t="s">
        <v>23</v>
      </c>
      <c r="K5823" cm="1">
        <f t="array" ref="K5823">_xlfn.SWITCH(LeadsData[[#This Row],[Funnel Stage Reached]],"Lead",1,"MQL",2,"SQL",3,"Customer",4)</f>
        <v>2</v>
      </c>
      <c r="L5823" t="str">
        <f>TEXT(LeadsData[[#This Row],[Signup Date]],"mmm-yyyy")</f>
        <v>Oct-2024</v>
      </c>
      <c r="M5823">
        <f>IF(LeadsData[[#This Row],[Stage Number]]&gt;=2,1,0)</f>
        <v>1</v>
      </c>
      <c r="N5823" s="2">
        <f>IF(LeadsData[[#This Row],[Stage Number]]&gt;=3,1,0)</f>
        <v>0</v>
      </c>
      <c r="O5823" s="2">
        <f>IF(LeadsData[[#This Row],[Stage Number]]&gt;=4,1,0)</f>
        <v>0</v>
      </c>
    </row>
    <row r="5824" spans="1:15" x14ac:dyDescent="0.25">
      <c r="A5824" t="s">
        <v>5864</v>
      </c>
      <c r="B5824" s="1">
        <v>45614</v>
      </c>
      <c r="C5824" t="s">
        <v>46</v>
      </c>
      <c r="D5824" t="s">
        <v>56</v>
      </c>
      <c r="E5824" t="s">
        <v>21</v>
      </c>
      <c r="F5824" t="s">
        <v>14</v>
      </c>
      <c r="G5824" t="s">
        <v>15</v>
      </c>
      <c r="K5824" cm="1">
        <f t="array" ref="K5824">_xlfn.SWITCH(LeadsData[[#This Row],[Funnel Stage Reached]],"Lead",1,"MQL",2,"SQL",3,"Customer",4)</f>
        <v>1</v>
      </c>
      <c r="L5824" t="str">
        <f>TEXT(LeadsData[[#This Row],[Signup Date]],"mmm-yyyy")</f>
        <v>Nov-2024</v>
      </c>
      <c r="M5824">
        <f>IF(LeadsData[[#This Row],[Stage Number]]&gt;=2,1,0)</f>
        <v>0</v>
      </c>
      <c r="N5824" s="2">
        <f>IF(LeadsData[[#This Row],[Stage Number]]&gt;=3,1,0)</f>
        <v>0</v>
      </c>
      <c r="O5824" s="2">
        <f>IF(LeadsData[[#This Row],[Stage Number]]&gt;=4,1,0)</f>
        <v>0</v>
      </c>
    </row>
    <row r="5825" spans="1:15" x14ac:dyDescent="0.25">
      <c r="A5825" t="s">
        <v>5865</v>
      </c>
      <c r="B5825" s="1">
        <v>45580</v>
      </c>
      <c r="C5825" t="s">
        <v>46</v>
      </c>
      <c r="D5825" t="s">
        <v>47</v>
      </c>
      <c r="E5825" t="s">
        <v>21</v>
      </c>
      <c r="F5825" t="s">
        <v>19</v>
      </c>
      <c r="G5825" t="s">
        <v>23</v>
      </c>
      <c r="K5825" cm="1">
        <f t="array" ref="K5825">_xlfn.SWITCH(LeadsData[[#This Row],[Funnel Stage Reached]],"Lead",1,"MQL",2,"SQL",3,"Customer",4)</f>
        <v>2</v>
      </c>
      <c r="L5825" t="str">
        <f>TEXT(LeadsData[[#This Row],[Signup Date]],"mmm-yyyy")</f>
        <v>Oct-2024</v>
      </c>
      <c r="M5825">
        <f>IF(LeadsData[[#This Row],[Stage Number]]&gt;=2,1,0)</f>
        <v>1</v>
      </c>
      <c r="N5825" s="2">
        <f>IF(LeadsData[[#This Row],[Stage Number]]&gt;=3,1,0)</f>
        <v>0</v>
      </c>
      <c r="O5825" s="2">
        <f>IF(LeadsData[[#This Row],[Stage Number]]&gt;=4,1,0)</f>
        <v>0</v>
      </c>
    </row>
    <row r="5826" spans="1:15" x14ac:dyDescent="0.25">
      <c r="A5826" t="s">
        <v>5866</v>
      </c>
      <c r="B5826" s="1">
        <v>45318</v>
      </c>
      <c r="C5826" t="s">
        <v>36</v>
      </c>
      <c r="D5826" t="s">
        <v>50</v>
      </c>
      <c r="E5826" t="s">
        <v>21</v>
      </c>
      <c r="F5826" t="s">
        <v>28</v>
      </c>
      <c r="G5826" t="s">
        <v>23</v>
      </c>
      <c r="K5826" cm="1">
        <f t="array" ref="K5826">_xlfn.SWITCH(LeadsData[[#This Row],[Funnel Stage Reached]],"Lead",1,"MQL",2,"SQL",3,"Customer",4)</f>
        <v>2</v>
      </c>
      <c r="L5826" t="str">
        <f>TEXT(LeadsData[[#This Row],[Signup Date]],"mmm-yyyy")</f>
        <v>Jan-2024</v>
      </c>
      <c r="M5826">
        <f>IF(LeadsData[[#This Row],[Stage Number]]&gt;=2,1,0)</f>
        <v>1</v>
      </c>
      <c r="N5826" s="2">
        <f>IF(LeadsData[[#This Row],[Stage Number]]&gt;=3,1,0)</f>
        <v>0</v>
      </c>
      <c r="O5826" s="2">
        <f>IF(LeadsData[[#This Row],[Stage Number]]&gt;=4,1,0)</f>
        <v>0</v>
      </c>
    </row>
    <row r="5827" spans="1:15" x14ac:dyDescent="0.25">
      <c r="A5827" t="s">
        <v>5867</v>
      </c>
      <c r="B5827" s="1">
        <v>45496</v>
      </c>
      <c r="C5827" t="s">
        <v>31</v>
      </c>
      <c r="D5827" t="s">
        <v>32</v>
      </c>
      <c r="E5827" t="s">
        <v>13</v>
      </c>
      <c r="F5827" t="s">
        <v>19</v>
      </c>
      <c r="G5827" t="s">
        <v>29</v>
      </c>
      <c r="K5827" cm="1">
        <f t="array" ref="K5827">_xlfn.SWITCH(LeadsData[[#This Row],[Funnel Stage Reached]],"Lead",1,"MQL",2,"SQL",3,"Customer",4)</f>
        <v>3</v>
      </c>
      <c r="L5827" t="str">
        <f>TEXT(LeadsData[[#This Row],[Signup Date]],"mmm-yyyy")</f>
        <v>Jul-2024</v>
      </c>
      <c r="M5827">
        <f>IF(LeadsData[[#This Row],[Stage Number]]&gt;=2,1,0)</f>
        <v>1</v>
      </c>
      <c r="N5827" s="2">
        <f>IF(LeadsData[[#This Row],[Stage Number]]&gt;=3,1,0)</f>
        <v>1</v>
      </c>
      <c r="O5827" s="2">
        <f>IF(LeadsData[[#This Row],[Stage Number]]&gt;=4,1,0)</f>
        <v>0</v>
      </c>
    </row>
    <row r="5828" spans="1:15" x14ac:dyDescent="0.25">
      <c r="A5828" t="s">
        <v>5868</v>
      </c>
      <c r="B5828" s="1">
        <v>45418</v>
      </c>
      <c r="C5828" t="s">
        <v>17</v>
      </c>
      <c r="D5828" t="s">
        <v>53</v>
      </c>
      <c r="E5828" t="s">
        <v>13</v>
      </c>
      <c r="F5828" t="s">
        <v>22</v>
      </c>
      <c r="G5828" t="s">
        <v>23</v>
      </c>
      <c r="K5828" cm="1">
        <f t="array" ref="K5828">_xlfn.SWITCH(LeadsData[[#This Row],[Funnel Stage Reached]],"Lead",1,"MQL",2,"SQL",3,"Customer",4)</f>
        <v>2</v>
      </c>
      <c r="L5828" t="str">
        <f>TEXT(LeadsData[[#This Row],[Signup Date]],"mmm-yyyy")</f>
        <v>May-2024</v>
      </c>
      <c r="M5828">
        <f>IF(LeadsData[[#This Row],[Stage Number]]&gt;=2,1,0)</f>
        <v>1</v>
      </c>
      <c r="N5828" s="2">
        <f>IF(LeadsData[[#This Row],[Stage Number]]&gt;=3,1,0)</f>
        <v>0</v>
      </c>
      <c r="O5828" s="2">
        <f>IF(LeadsData[[#This Row],[Stage Number]]&gt;=4,1,0)</f>
        <v>0</v>
      </c>
    </row>
    <row r="5829" spans="1:15" x14ac:dyDescent="0.25">
      <c r="A5829" t="s">
        <v>5869</v>
      </c>
      <c r="B5829" s="1">
        <v>45559</v>
      </c>
      <c r="C5829" t="s">
        <v>46</v>
      </c>
      <c r="D5829" t="s">
        <v>47</v>
      </c>
      <c r="E5829" t="s">
        <v>21</v>
      </c>
      <c r="F5829" t="s">
        <v>19</v>
      </c>
      <c r="G5829" t="s">
        <v>42</v>
      </c>
      <c r="H5829">
        <v>67</v>
      </c>
      <c r="I5829" t="s">
        <v>183</v>
      </c>
      <c r="J5829">
        <v>11288.93</v>
      </c>
      <c r="K5829" cm="1">
        <f t="array" ref="K5829">_xlfn.SWITCH(LeadsData[[#This Row],[Funnel Stage Reached]],"Lead",1,"MQL",2,"SQL",3,"Customer",4)</f>
        <v>4</v>
      </c>
      <c r="L5829" t="str">
        <f>TEXT(LeadsData[[#This Row],[Signup Date]],"mmm-yyyy")</f>
        <v>Sep-2024</v>
      </c>
      <c r="M5829">
        <f>IF(LeadsData[[#This Row],[Stage Number]]&gt;=2,1,0)</f>
        <v>1</v>
      </c>
      <c r="N5829" s="2">
        <f>IF(LeadsData[[#This Row],[Stage Number]]&gt;=3,1,0)</f>
        <v>1</v>
      </c>
      <c r="O5829" s="2">
        <f>IF(LeadsData[[#This Row],[Stage Number]]&gt;=4,1,0)</f>
        <v>1</v>
      </c>
    </row>
    <row r="5830" spans="1:15" x14ac:dyDescent="0.25">
      <c r="A5830" t="s">
        <v>5870</v>
      </c>
      <c r="B5830" s="1">
        <v>45554</v>
      </c>
      <c r="C5830" t="s">
        <v>25</v>
      </c>
      <c r="D5830" t="s">
        <v>26</v>
      </c>
      <c r="E5830" t="s">
        <v>21</v>
      </c>
      <c r="F5830" t="s">
        <v>19</v>
      </c>
      <c r="G5830" t="s">
        <v>15</v>
      </c>
      <c r="K5830" cm="1">
        <f t="array" ref="K5830">_xlfn.SWITCH(LeadsData[[#This Row],[Funnel Stage Reached]],"Lead",1,"MQL",2,"SQL",3,"Customer",4)</f>
        <v>1</v>
      </c>
      <c r="L5830" t="str">
        <f>TEXT(LeadsData[[#This Row],[Signup Date]],"mmm-yyyy")</f>
        <v>Sep-2024</v>
      </c>
      <c r="M5830">
        <f>IF(LeadsData[[#This Row],[Stage Number]]&gt;=2,1,0)</f>
        <v>0</v>
      </c>
      <c r="N5830" s="2">
        <f>IF(LeadsData[[#This Row],[Stage Number]]&gt;=3,1,0)</f>
        <v>0</v>
      </c>
      <c r="O5830" s="2">
        <f>IF(LeadsData[[#This Row],[Stage Number]]&gt;=4,1,0)</f>
        <v>0</v>
      </c>
    </row>
    <row r="5831" spans="1:15" x14ac:dyDescent="0.25">
      <c r="A5831" t="s">
        <v>5871</v>
      </c>
      <c r="B5831" s="1">
        <v>45335</v>
      </c>
      <c r="C5831" t="s">
        <v>46</v>
      </c>
      <c r="D5831" t="s">
        <v>56</v>
      </c>
      <c r="E5831" t="s">
        <v>13</v>
      </c>
      <c r="F5831" t="s">
        <v>14</v>
      </c>
      <c r="G5831" t="s">
        <v>23</v>
      </c>
      <c r="K5831" cm="1">
        <f t="array" ref="K5831">_xlfn.SWITCH(LeadsData[[#This Row],[Funnel Stage Reached]],"Lead",1,"MQL",2,"SQL",3,"Customer",4)</f>
        <v>2</v>
      </c>
      <c r="L5831" t="str">
        <f>TEXT(LeadsData[[#This Row],[Signup Date]],"mmm-yyyy")</f>
        <v>Feb-2024</v>
      </c>
      <c r="M5831">
        <f>IF(LeadsData[[#This Row],[Stage Number]]&gt;=2,1,0)</f>
        <v>1</v>
      </c>
      <c r="N5831" s="2">
        <f>IF(LeadsData[[#This Row],[Stage Number]]&gt;=3,1,0)</f>
        <v>0</v>
      </c>
      <c r="O5831" s="2">
        <f>IF(LeadsData[[#This Row],[Stage Number]]&gt;=4,1,0)</f>
        <v>0</v>
      </c>
    </row>
    <row r="5832" spans="1:15" x14ac:dyDescent="0.25">
      <c r="A5832" t="s">
        <v>5872</v>
      </c>
      <c r="B5832" s="1">
        <v>45589</v>
      </c>
      <c r="C5832" t="s">
        <v>17</v>
      </c>
      <c r="D5832" t="s">
        <v>18</v>
      </c>
      <c r="E5832" t="s">
        <v>13</v>
      </c>
      <c r="F5832" t="s">
        <v>14</v>
      </c>
      <c r="G5832" t="s">
        <v>23</v>
      </c>
      <c r="K5832" cm="1">
        <f t="array" ref="K5832">_xlfn.SWITCH(LeadsData[[#This Row],[Funnel Stage Reached]],"Lead",1,"MQL",2,"SQL",3,"Customer",4)</f>
        <v>2</v>
      </c>
      <c r="L5832" t="str">
        <f>TEXT(LeadsData[[#This Row],[Signup Date]],"mmm-yyyy")</f>
        <v>Oct-2024</v>
      </c>
      <c r="M5832">
        <f>IF(LeadsData[[#This Row],[Stage Number]]&gt;=2,1,0)</f>
        <v>1</v>
      </c>
      <c r="N5832" s="2">
        <f>IF(LeadsData[[#This Row],[Stage Number]]&gt;=3,1,0)</f>
        <v>0</v>
      </c>
      <c r="O5832" s="2">
        <f>IF(LeadsData[[#This Row],[Stage Number]]&gt;=4,1,0)</f>
        <v>0</v>
      </c>
    </row>
    <row r="5833" spans="1:15" x14ac:dyDescent="0.25">
      <c r="A5833" t="s">
        <v>5873</v>
      </c>
      <c r="B5833" s="1">
        <v>45317</v>
      </c>
      <c r="C5833" t="s">
        <v>46</v>
      </c>
      <c r="D5833" t="s">
        <v>47</v>
      </c>
      <c r="E5833" t="s">
        <v>21</v>
      </c>
      <c r="F5833" t="s">
        <v>19</v>
      </c>
      <c r="G5833" t="s">
        <v>29</v>
      </c>
      <c r="K5833" cm="1">
        <f t="array" ref="K5833">_xlfn.SWITCH(LeadsData[[#This Row],[Funnel Stage Reached]],"Lead",1,"MQL",2,"SQL",3,"Customer",4)</f>
        <v>3</v>
      </c>
      <c r="L5833" t="str">
        <f>TEXT(LeadsData[[#This Row],[Signup Date]],"mmm-yyyy")</f>
        <v>Jan-2024</v>
      </c>
      <c r="M5833">
        <f>IF(LeadsData[[#This Row],[Stage Number]]&gt;=2,1,0)</f>
        <v>1</v>
      </c>
      <c r="N5833" s="2">
        <f>IF(LeadsData[[#This Row],[Stage Number]]&gt;=3,1,0)</f>
        <v>1</v>
      </c>
      <c r="O5833" s="2">
        <f>IF(LeadsData[[#This Row],[Stage Number]]&gt;=4,1,0)</f>
        <v>0</v>
      </c>
    </row>
    <row r="5834" spans="1:15" x14ac:dyDescent="0.25">
      <c r="A5834" t="s">
        <v>5874</v>
      </c>
      <c r="B5834" s="1">
        <v>45330</v>
      </c>
      <c r="C5834" t="s">
        <v>17</v>
      </c>
      <c r="D5834" t="s">
        <v>53</v>
      </c>
      <c r="E5834" t="s">
        <v>48</v>
      </c>
      <c r="F5834" t="s">
        <v>19</v>
      </c>
      <c r="G5834" t="s">
        <v>23</v>
      </c>
      <c r="K5834" cm="1">
        <f t="array" ref="K5834">_xlfn.SWITCH(LeadsData[[#This Row],[Funnel Stage Reached]],"Lead",1,"MQL",2,"SQL",3,"Customer",4)</f>
        <v>2</v>
      </c>
      <c r="L5834" t="str">
        <f>TEXT(LeadsData[[#This Row],[Signup Date]],"mmm-yyyy")</f>
        <v>Feb-2024</v>
      </c>
      <c r="M5834">
        <f>IF(LeadsData[[#This Row],[Stage Number]]&gt;=2,1,0)</f>
        <v>1</v>
      </c>
      <c r="N5834" s="2">
        <f>IF(LeadsData[[#This Row],[Stage Number]]&gt;=3,1,0)</f>
        <v>0</v>
      </c>
      <c r="O5834" s="2">
        <f>IF(LeadsData[[#This Row],[Stage Number]]&gt;=4,1,0)</f>
        <v>0</v>
      </c>
    </row>
    <row r="5835" spans="1:15" x14ac:dyDescent="0.25">
      <c r="A5835" t="s">
        <v>5875</v>
      </c>
      <c r="B5835" s="1">
        <v>45299</v>
      </c>
      <c r="C5835" t="s">
        <v>31</v>
      </c>
      <c r="D5835" t="s">
        <v>34</v>
      </c>
      <c r="E5835" t="s">
        <v>48</v>
      </c>
      <c r="F5835" t="s">
        <v>22</v>
      </c>
      <c r="G5835" t="s">
        <v>42</v>
      </c>
      <c r="H5835">
        <v>42</v>
      </c>
      <c r="I5835" t="s">
        <v>43</v>
      </c>
      <c r="J5835">
        <v>802.82</v>
      </c>
      <c r="K5835" cm="1">
        <f t="array" ref="K5835">_xlfn.SWITCH(LeadsData[[#This Row],[Funnel Stage Reached]],"Lead",1,"MQL",2,"SQL",3,"Customer",4)</f>
        <v>4</v>
      </c>
      <c r="L5835" t="str">
        <f>TEXT(LeadsData[[#This Row],[Signup Date]],"mmm-yyyy")</f>
        <v>Jan-2024</v>
      </c>
      <c r="M5835">
        <f>IF(LeadsData[[#This Row],[Stage Number]]&gt;=2,1,0)</f>
        <v>1</v>
      </c>
      <c r="N5835" s="2">
        <f>IF(LeadsData[[#This Row],[Stage Number]]&gt;=3,1,0)</f>
        <v>1</v>
      </c>
      <c r="O5835" s="2">
        <f>IF(LeadsData[[#This Row],[Stage Number]]&gt;=4,1,0)</f>
        <v>1</v>
      </c>
    </row>
    <row r="5836" spans="1:15" x14ac:dyDescent="0.25">
      <c r="A5836" t="s">
        <v>5876</v>
      </c>
      <c r="B5836" s="1">
        <v>45457</v>
      </c>
      <c r="C5836" t="s">
        <v>11</v>
      </c>
      <c r="D5836" t="s">
        <v>68</v>
      </c>
      <c r="E5836" t="s">
        <v>13</v>
      </c>
      <c r="F5836" t="s">
        <v>14</v>
      </c>
      <c r="G5836" t="s">
        <v>15</v>
      </c>
      <c r="K5836" cm="1">
        <f t="array" ref="K5836">_xlfn.SWITCH(LeadsData[[#This Row],[Funnel Stage Reached]],"Lead",1,"MQL",2,"SQL",3,"Customer",4)</f>
        <v>1</v>
      </c>
      <c r="L5836" t="str">
        <f>TEXT(LeadsData[[#This Row],[Signup Date]],"mmm-yyyy")</f>
        <v>Jun-2024</v>
      </c>
      <c r="M5836">
        <f>IF(LeadsData[[#This Row],[Stage Number]]&gt;=2,1,0)</f>
        <v>0</v>
      </c>
      <c r="N5836" s="2">
        <f>IF(LeadsData[[#This Row],[Stage Number]]&gt;=3,1,0)</f>
        <v>0</v>
      </c>
      <c r="O5836" s="2">
        <f>IF(LeadsData[[#This Row],[Stage Number]]&gt;=4,1,0)</f>
        <v>0</v>
      </c>
    </row>
    <row r="5837" spans="1:15" x14ac:dyDescent="0.25">
      <c r="A5837" t="s">
        <v>5877</v>
      </c>
      <c r="B5837" s="1">
        <v>45611</v>
      </c>
      <c r="C5837" t="s">
        <v>31</v>
      </c>
      <c r="D5837" t="s">
        <v>32</v>
      </c>
      <c r="E5837" t="s">
        <v>21</v>
      </c>
      <c r="F5837" t="s">
        <v>22</v>
      </c>
      <c r="G5837" t="s">
        <v>29</v>
      </c>
      <c r="K5837" cm="1">
        <f t="array" ref="K5837">_xlfn.SWITCH(LeadsData[[#This Row],[Funnel Stage Reached]],"Lead",1,"MQL",2,"SQL",3,"Customer",4)</f>
        <v>3</v>
      </c>
      <c r="L5837" t="str">
        <f>TEXT(LeadsData[[#This Row],[Signup Date]],"mmm-yyyy")</f>
        <v>Nov-2024</v>
      </c>
      <c r="M5837">
        <f>IF(LeadsData[[#This Row],[Stage Number]]&gt;=2,1,0)</f>
        <v>1</v>
      </c>
      <c r="N5837" s="2">
        <f>IF(LeadsData[[#This Row],[Stage Number]]&gt;=3,1,0)</f>
        <v>1</v>
      </c>
      <c r="O5837" s="2">
        <f>IF(LeadsData[[#This Row],[Stage Number]]&gt;=4,1,0)</f>
        <v>0</v>
      </c>
    </row>
    <row r="5838" spans="1:15" x14ac:dyDescent="0.25">
      <c r="A5838" t="s">
        <v>5878</v>
      </c>
      <c r="B5838" s="1">
        <v>45374</v>
      </c>
      <c r="C5838" t="s">
        <v>31</v>
      </c>
      <c r="D5838" t="s">
        <v>34</v>
      </c>
      <c r="E5838" t="s">
        <v>13</v>
      </c>
      <c r="F5838" t="s">
        <v>14</v>
      </c>
      <c r="G5838" t="s">
        <v>15</v>
      </c>
      <c r="K5838" cm="1">
        <f t="array" ref="K5838">_xlfn.SWITCH(LeadsData[[#This Row],[Funnel Stage Reached]],"Lead",1,"MQL",2,"SQL",3,"Customer",4)</f>
        <v>1</v>
      </c>
      <c r="L5838" t="str">
        <f>TEXT(LeadsData[[#This Row],[Signup Date]],"mmm-yyyy")</f>
        <v>Mar-2024</v>
      </c>
      <c r="M5838">
        <f>IF(LeadsData[[#This Row],[Stage Number]]&gt;=2,1,0)</f>
        <v>0</v>
      </c>
      <c r="N5838" s="2">
        <f>IF(LeadsData[[#This Row],[Stage Number]]&gt;=3,1,0)</f>
        <v>0</v>
      </c>
      <c r="O5838" s="2">
        <f>IF(LeadsData[[#This Row],[Stage Number]]&gt;=4,1,0)</f>
        <v>0</v>
      </c>
    </row>
    <row r="5839" spans="1:15" x14ac:dyDescent="0.25">
      <c r="A5839" t="s">
        <v>5879</v>
      </c>
      <c r="B5839" s="1">
        <v>45576</v>
      </c>
      <c r="C5839" t="s">
        <v>46</v>
      </c>
      <c r="D5839" t="s">
        <v>56</v>
      </c>
      <c r="E5839" t="s">
        <v>21</v>
      </c>
      <c r="F5839" t="s">
        <v>22</v>
      </c>
      <c r="G5839" t="s">
        <v>23</v>
      </c>
      <c r="K5839" cm="1">
        <f t="array" ref="K5839">_xlfn.SWITCH(LeadsData[[#This Row],[Funnel Stage Reached]],"Lead",1,"MQL",2,"SQL",3,"Customer",4)</f>
        <v>2</v>
      </c>
      <c r="L5839" t="str">
        <f>TEXT(LeadsData[[#This Row],[Signup Date]],"mmm-yyyy")</f>
        <v>Oct-2024</v>
      </c>
      <c r="M5839">
        <f>IF(LeadsData[[#This Row],[Stage Number]]&gt;=2,1,0)</f>
        <v>1</v>
      </c>
      <c r="N5839" s="2">
        <f>IF(LeadsData[[#This Row],[Stage Number]]&gt;=3,1,0)</f>
        <v>0</v>
      </c>
      <c r="O5839" s="2">
        <f>IF(LeadsData[[#This Row],[Stage Number]]&gt;=4,1,0)</f>
        <v>0</v>
      </c>
    </row>
    <row r="5840" spans="1:15" x14ac:dyDescent="0.25">
      <c r="A5840" t="s">
        <v>5880</v>
      </c>
      <c r="B5840" s="1">
        <v>45417</v>
      </c>
      <c r="C5840" t="s">
        <v>46</v>
      </c>
      <c r="D5840" t="s">
        <v>56</v>
      </c>
      <c r="E5840" t="s">
        <v>21</v>
      </c>
      <c r="F5840" t="s">
        <v>14</v>
      </c>
      <c r="G5840" t="s">
        <v>29</v>
      </c>
      <c r="K5840" cm="1">
        <f t="array" ref="K5840">_xlfn.SWITCH(LeadsData[[#This Row],[Funnel Stage Reached]],"Lead",1,"MQL",2,"SQL",3,"Customer",4)</f>
        <v>3</v>
      </c>
      <c r="L5840" t="str">
        <f>TEXT(LeadsData[[#This Row],[Signup Date]],"mmm-yyyy")</f>
        <v>May-2024</v>
      </c>
      <c r="M5840">
        <f>IF(LeadsData[[#This Row],[Stage Number]]&gt;=2,1,0)</f>
        <v>1</v>
      </c>
      <c r="N5840" s="2">
        <f>IF(LeadsData[[#This Row],[Stage Number]]&gt;=3,1,0)</f>
        <v>1</v>
      </c>
      <c r="O5840" s="2">
        <f>IF(LeadsData[[#This Row],[Stage Number]]&gt;=4,1,0)</f>
        <v>0</v>
      </c>
    </row>
    <row r="5841" spans="1:15" x14ac:dyDescent="0.25">
      <c r="A5841" t="s">
        <v>5881</v>
      </c>
      <c r="B5841" s="1">
        <v>45618</v>
      </c>
      <c r="C5841" t="s">
        <v>46</v>
      </c>
      <c r="D5841" t="s">
        <v>56</v>
      </c>
      <c r="E5841" t="s">
        <v>13</v>
      </c>
      <c r="F5841" t="s">
        <v>22</v>
      </c>
      <c r="G5841" t="s">
        <v>29</v>
      </c>
      <c r="K5841" cm="1">
        <f t="array" ref="K5841">_xlfn.SWITCH(LeadsData[[#This Row],[Funnel Stage Reached]],"Lead",1,"MQL",2,"SQL",3,"Customer",4)</f>
        <v>3</v>
      </c>
      <c r="L5841" t="str">
        <f>TEXT(LeadsData[[#This Row],[Signup Date]],"mmm-yyyy")</f>
        <v>Nov-2024</v>
      </c>
      <c r="M5841">
        <f>IF(LeadsData[[#This Row],[Stage Number]]&gt;=2,1,0)</f>
        <v>1</v>
      </c>
      <c r="N5841" s="2">
        <f>IF(LeadsData[[#This Row],[Stage Number]]&gt;=3,1,0)</f>
        <v>1</v>
      </c>
      <c r="O5841" s="2">
        <f>IF(LeadsData[[#This Row],[Stage Number]]&gt;=4,1,0)</f>
        <v>0</v>
      </c>
    </row>
    <row r="5842" spans="1:15" x14ac:dyDescent="0.25">
      <c r="A5842" t="s">
        <v>5882</v>
      </c>
      <c r="B5842" s="1">
        <v>45592</v>
      </c>
      <c r="C5842" t="s">
        <v>36</v>
      </c>
      <c r="D5842" t="s">
        <v>50</v>
      </c>
      <c r="E5842" t="s">
        <v>21</v>
      </c>
      <c r="F5842" t="s">
        <v>14</v>
      </c>
      <c r="G5842" t="s">
        <v>15</v>
      </c>
      <c r="K5842" cm="1">
        <f t="array" ref="K5842">_xlfn.SWITCH(LeadsData[[#This Row],[Funnel Stage Reached]],"Lead",1,"MQL",2,"SQL",3,"Customer",4)</f>
        <v>1</v>
      </c>
      <c r="L5842" t="str">
        <f>TEXT(LeadsData[[#This Row],[Signup Date]],"mmm-yyyy")</f>
        <v>Oct-2024</v>
      </c>
      <c r="M5842">
        <f>IF(LeadsData[[#This Row],[Stage Number]]&gt;=2,1,0)</f>
        <v>0</v>
      </c>
      <c r="N5842" s="2">
        <f>IF(LeadsData[[#This Row],[Stage Number]]&gt;=3,1,0)</f>
        <v>0</v>
      </c>
      <c r="O5842" s="2">
        <f>IF(LeadsData[[#This Row],[Stage Number]]&gt;=4,1,0)</f>
        <v>0</v>
      </c>
    </row>
    <row r="5843" spans="1:15" x14ac:dyDescent="0.25">
      <c r="A5843" t="s">
        <v>5883</v>
      </c>
      <c r="B5843" s="1">
        <v>45561</v>
      </c>
      <c r="C5843" t="s">
        <v>31</v>
      </c>
      <c r="D5843" t="s">
        <v>32</v>
      </c>
      <c r="E5843" t="s">
        <v>13</v>
      </c>
      <c r="F5843" t="s">
        <v>22</v>
      </c>
      <c r="G5843" t="s">
        <v>29</v>
      </c>
      <c r="K5843" cm="1">
        <f t="array" ref="K5843">_xlfn.SWITCH(LeadsData[[#This Row],[Funnel Stage Reached]],"Lead",1,"MQL",2,"SQL",3,"Customer",4)</f>
        <v>3</v>
      </c>
      <c r="L5843" t="str">
        <f>TEXT(LeadsData[[#This Row],[Signup Date]],"mmm-yyyy")</f>
        <v>Sep-2024</v>
      </c>
      <c r="M5843">
        <f>IF(LeadsData[[#This Row],[Stage Number]]&gt;=2,1,0)</f>
        <v>1</v>
      </c>
      <c r="N5843" s="2">
        <f>IF(LeadsData[[#This Row],[Stage Number]]&gt;=3,1,0)</f>
        <v>1</v>
      </c>
      <c r="O5843" s="2">
        <f>IF(LeadsData[[#This Row],[Stage Number]]&gt;=4,1,0)</f>
        <v>0</v>
      </c>
    </row>
    <row r="5844" spans="1:15" x14ac:dyDescent="0.25">
      <c r="A5844" t="s">
        <v>5884</v>
      </c>
      <c r="B5844" s="1">
        <v>45517</v>
      </c>
      <c r="C5844" t="s">
        <v>17</v>
      </c>
      <c r="D5844" t="s">
        <v>18</v>
      </c>
      <c r="E5844" t="s">
        <v>13</v>
      </c>
      <c r="F5844" t="s">
        <v>28</v>
      </c>
      <c r="G5844" t="s">
        <v>15</v>
      </c>
      <c r="K5844" cm="1">
        <f t="array" ref="K5844">_xlfn.SWITCH(LeadsData[[#This Row],[Funnel Stage Reached]],"Lead",1,"MQL",2,"SQL",3,"Customer",4)</f>
        <v>1</v>
      </c>
      <c r="L5844" t="str">
        <f>TEXT(LeadsData[[#This Row],[Signup Date]],"mmm-yyyy")</f>
        <v>Aug-2024</v>
      </c>
      <c r="M5844">
        <f>IF(LeadsData[[#This Row],[Stage Number]]&gt;=2,1,0)</f>
        <v>0</v>
      </c>
      <c r="N5844" s="2">
        <f>IF(LeadsData[[#This Row],[Stage Number]]&gt;=3,1,0)</f>
        <v>0</v>
      </c>
      <c r="O5844" s="2">
        <f>IF(LeadsData[[#This Row],[Stage Number]]&gt;=4,1,0)</f>
        <v>0</v>
      </c>
    </row>
    <row r="5845" spans="1:15" x14ac:dyDescent="0.25">
      <c r="A5845" t="s">
        <v>5885</v>
      </c>
      <c r="B5845" s="1">
        <v>45551</v>
      </c>
      <c r="C5845" t="s">
        <v>17</v>
      </c>
      <c r="D5845" t="s">
        <v>53</v>
      </c>
      <c r="E5845" t="s">
        <v>13</v>
      </c>
      <c r="F5845" t="s">
        <v>19</v>
      </c>
      <c r="G5845" t="s">
        <v>15</v>
      </c>
      <c r="K5845" cm="1">
        <f t="array" ref="K5845">_xlfn.SWITCH(LeadsData[[#This Row],[Funnel Stage Reached]],"Lead",1,"MQL",2,"SQL",3,"Customer",4)</f>
        <v>1</v>
      </c>
      <c r="L5845" t="str">
        <f>TEXT(LeadsData[[#This Row],[Signup Date]],"mmm-yyyy")</f>
        <v>Sep-2024</v>
      </c>
      <c r="M5845">
        <f>IF(LeadsData[[#This Row],[Stage Number]]&gt;=2,1,0)</f>
        <v>0</v>
      </c>
      <c r="N5845" s="2">
        <f>IF(LeadsData[[#This Row],[Stage Number]]&gt;=3,1,0)</f>
        <v>0</v>
      </c>
      <c r="O5845" s="2">
        <f>IF(LeadsData[[#This Row],[Stage Number]]&gt;=4,1,0)</f>
        <v>0</v>
      </c>
    </row>
    <row r="5846" spans="1:15" x14ac:dyDescent="0.25">
      <c r="A5846" t="s">
        <v>5886</v>
      </c>
      <c r="B5846" s="1">
        <v>45466</v>
      </c>
      <c r="C5846" t="s">
        <v>31</v>
      </c>
      <c r="D5846" t="s">
        <v>32</v>
      </c>
      <c r="E5846" t="s">
        <v>21</v>
      </c>
      <c r="F5846" t="s">
        <v>14</v>
      </c>
      <c r="G5846" t="s">
        <v>29</v>
      </c>
      <c r="K5846" cm="1">
        <f t="array" ref="K5846">_xlfn.SWITCH(LeadsData[[#This Row],[Funnel Stage Reached]],"Lead",1,"MQL",2,"SQL",3,"Customer",4)</f>
        <v>3</v>
      </c>
      <c r="L5846" t="str">
        <f>TEXT(LeadsData[[#This Row],[Signup Date]],"mmm-yyyy")</f>
        <v>Jun-2024</v>
      </c>
      <c r="M5846">
        <f>IF(LeadsData[[#This Row],[Stage Number]]&gt;=2,1,0)</f>
        <v>1</v>
      </c>
      <c r="N5846" s="2">
        <f>IF(LeadsData[[#This Row],[Stage Number]]&gt;=3,1,0)</f>
        <v>1</v>
      </c>
      <c r="O5846" s="2">
        <f>IF(LeadsData[[#This Row],[Stage Number]]&gt;=4,1,0)</f>
        <v>0</v>
      </c>
    </row>
    <row r="5847" spans="1:15" x14ac:dyDescent="0.25">
      <c r="A5847" t="s">
        <v>5887</v>
      </c>
      <c r="B5847" s="1">
        <v>45555</v>
      </c>
      <c r="C5847" t="s">
        <v>17</v>
      </c>
      <c r="D5847" t="s">
        <v>18</v>
      </c>
      <c r="E5847" t="s">
        <v>13</v>
      </c>
      <c r="F5847" t="s">
        <v>28</v>
      </c>
      <c r="G5847" t="s">
        <v>42</v>
      </c>
      <c r="H5847">
        <v>52</v>
      </c>
      <c r="I5847" t="s">
        <v>87</v>
      </c>
      <c r="J5847">
        <v>4899.12</v>
      </c>
      <c r="K5847" cm="1">
        <f t="array" ref="K5847">_xlfn.SWITCH(LeadsData[[#This Row],[Funnel Stage Reached]],"Lead",1,"MQL",2,"SQL",3,"Customer",4)</f>
        <v>4</v>
      </c>
      <c r="L5847" t="str">
        <f>TEXT(LeadsData[[#This Row],[Signup Date]],"mmm-yyyy")</f>
        <v>Sep-2024</v>
      </c>
      <c r="M5847">
        <f>IF(LeadsData[[#This Row],[Stage Number]]&gt;=2,1,0)</f>
        <v>1</v>
      </c>
      <c r="N5847" s="2">
        <f>IF(LeadsData[[#This Row],[Stage Number]]&gt;=3,1,0)</f>
        <v>1</v>
      </c>
      <c r="O5847" s="2">
        <f>IF(LeadsData[[#This Row],[Stage Number]]&gt;=4,1,0)</f>
        <v>1</v>
      </c>
    </row>
    <row r="5848" spans="1:15" x14ac:dyDescent="0.25">
      <c r="A5848" t="s">
        <v>5888</v>
      </c>
      <c r="B5848" s="1">
        <v>45585</v>
      </c>
      <c r="C5848" t="s">
        <v>36</v>
      </c>
      <c r="D5848" t="s">
        <v>50</v>
      </c>
      <c r="E5848" t="s">
        <v>21</v>
      </c>
      <c r="F5848" t="s">
        <v>14</v>
      </c>
      <c r="G5848" t="s">
        <v>15</v>
      </c>
      <c r="K5848" cm="1">
        <f t="array" ref="K5848">_xlfn.SWITCH(LeadsData[[#This Row],[Funnel Stage Reached]],"Lead",1,"MQL",2,"SQL",3,"Customer",4)</f>
        <v>1</v>
      </c>
      <c r="L5848" t="str">
        <f>TEXT(LeadsData[[#This Row],[Signup Date]],"mmm-yyyy")</f>
        <v>Oct-2024</v>
      </c>
      <c r="M5848">
        <f>IF(LeadsData[[#This Row],[Stage Number]]&gt;=2,1,0)</f>
        <v>0</v>
      </c>
      <c r="N5848" s="2">
        <f>IF(LeadsData[[#This Row],[Stage Number]]&gt;=3,1,0)</f>
        <v>0</v>
      </c>
      <c r="O5848" s="2">
        <f>IF(LeadsData[[#This Row],[Stage Number]]&gt;=4,1,0)</f>
        <v>0</v>
      </c>
    </row>
    <row r="5849" spans="1:15" x14ac:dyDescent="0.25">
      <c r="A5849" t="s">
        <v>5889</v>
      </c>
      <c r="B5849" s="1">
        <v>45426</v>
      </c>
      <c r="C5849" t="s">
        <v>11</v>
      </c>
      <c r="D5849" t="s">
        <v>12</v>
      </c>
      <c r="E5849" t="s">
        <v>13</v>
      </c>
      <c r="F5849" t="s">
        <v>14</v>
      </c>
      <c r="G5849" t="s">
        <v>23</v>
      </c>
      <c r="K5849" cm="1">
        <f t="array" ref="K5849">_xlfn.SWITCH(LeadsData[[#This Row],[Funnel Stage Reached]],"Lead",1,"MQL",2,"SQL",3,"Customer",4)</f>
        <v>2</v>
      </c>
      <c r="L5849" t="str">
        <f>TEXT(LeadsData[[#This Row],[Signup Date]],"mmm-yyyy")</f>
        <v>May-2024</v>
      </c>
      <c r="M5849">
        <f>IF(LeadsData[[#This Row],[Stage Number]]&gt;=2,1,0)</f>
        <v>1</v>
      </c>
      <c r="N5849" s="2">
        <f>IF(LeadsData[[#This Row],[Stage Number]]&gt;=3,1,0)</f>
        <v>0</v>
      </c>
      <c r="O5849" s="2">
        <f>IF(LeadsData[[#This Row],[Stage Number]]&gt;=4,1,0)</f>
        <v>0</v>
      </c>
    </row>
    <row r="5850" spans="1:15" x14ac:dyDescent="0.25">
      <c r="A5850" t="s">
        <v>5890</v>
      </c>
      <c r="B5850" s="1">
        <v>45432</v>
      </c>
      <c r="C5850" t="s">
        <v>11</v>
      </c>
      <c r="D5850" t="s">
        <v>79</v>
      </c>
      <c r="E5850" t="s">
        <v>48</v>
      </c>
      <c r="F5850" t="s">
        <v>14</v>
      </c>
      <c r="G5850" t="s">
        <v>15</v>
      </c>
      <c r="K5850" cm="1">
        <f t="array" ref="K5850">_xlfn.SWITCH(LeadsData[[#This Row],[Funnel Stage Reached]],"Lead",1,"MQL",2,"SQL",3,"Customer",4)</f>
        <v>1</v>
      </c>
      <c r="L5850" t="str">
        <f>TEXT(LeadsData[[#This Row],[Signup Date]],"mmm-yyyy")</f>
        <v>May-2024</v>
      </c>
      <c r="M5850">
        <f>IF(LeadsData[[#This Row],[Stage Number]]&gt;=2,1,0)</f>
        <v>0</v>
      </c>
      <c r="N5850" s="2">
        <f>IF(LeadsData[[#This Row],[Stage Number]]&gt;=3,1,0)</f>
        <v>0</v>
      </c>
      <c r="O5850" s="2">
        <f>IF(LeadsData[[#This Row],[Stage Number]]&gt;=4,1,0)</f>
        <v>0</v>
      </c>
    </row>
    <row r="5851" spans="1:15" x14ac:dyDescent="0.25">
      <c r="A5851" t="s">
        <v>5891</v>
      </c>
      <c r="B5851" s="1">
        <v>45572</v>
      </c>
      <c r="C5851" t="s">
        <v>25</v>
      </c>
      <c r="D5851" t="s">
        <v>26</v>
      </c>
      <c r="E5851" t="s">
        <v>21</v>
      </c>
      <c r="F5851" t="s">
        <v>22</v>
      </c>
      <c r="G5851" t="s">
        <v>23</v>
      </c>
      <c r="K5851" cm="1">
        <f t="array" ref="K5851">_xlfn.SWITCH(LeadsData[[#This Row],[Funnel Stage Reached]],"Lead",1,"MQL",2,"SQL",3,"Customer",4)</f>
        <v>2</v>
      </c>
      <c r="L5851" t="str">
        <f>TEXT(LeadsData[[#This Row],[Signup Date]],"mmm-yyyy")</f>
        <v>Oct-2024</v>
      </c>
      <c r="M5851">
        <f>IF(LeadsData[[#This Row],[Stage Number]]&gt;=2,1,0)</f>
        <v>1</v>
      </c>
      <c r="N5851" s="2">
        <f>IF(LeadsData[[#This Row],[Stage Number]]&gt;=3,1,0)</f>
        <v>0</v>
      </c>
      <c r="O5851" s="2">
        <f>IF(LeadsData[[#This Row],[Stage Number]]&gt;=4,1,0)</f>
        <v>0</v>
      </c>
    </row>
    <row r="5852" spans="1:15" x14ac:dyDescent="0.25">
      <c r="A5852" t="s">
        <v>5892</v>
      </c>
      <c r="B5852" s="1">
        <v>45429</v>
      </c>
      <c r="C5852" t="s">
        <v>31</v>
      </c>
      <c r="D5852" t="s">
        <v>32</v>
      </c>
      <c r="E5852" t="s">
        <v>21</v>
      </c>
      <c r="F5852" t="s">
        <v>22</v>
      </c>
      <c r="G5852" t="s">
        <v>42</v>
      </c>
      <c r="H5852">
        <v>39</v>
      </c>
      <c r="I5852" t="s">
        <v>183</v>
      </c>
      <c r="J5852">
        <v>10251.76</v>
      </c>
      <c r="K5852" cm="1">
        <f t="array" ref="K5852">_xlfn.SWITCH(LeadsData[[#This Row],[Funnel Stage Reached]],"Lead",1,"MQL",2,"SQL",3,"Customer",4)</f>
        <v>4</v>
      </c>
      <c r="L5852" t="str">
        <f>TEXT(LeadsData[[#This Row],[Signup Date]],"mmm-yyyy")</f>
        <v>May-2024</v>
      </c>
      <c r="M5852">
        <f>IF(LeadsData[[#This Row],[Stage Number]]&gt;=2,1,0)</f>
        <v>1</v>
      </c>
      <c r="N5852" s="2">
        <f>IF(LeadsData[[#This Row],[Stage Number]]&gt;=3,1,0)</f>
        <v>1</v>
      </c>
      <c r="O5852" s="2">
        <f>IF(LeadsData[[#This Row],[Stage Number]]&gt;=4,1,0)</f>
        <v>1</v>
      </c>
    </row>
    <row r="5853" spans="1:15" x14ac:dyDescent="0.25">
      <c r="A5853" t="s">
        <v>5893</v>
      </c>
      <c r="B5853" s="1">
        <v>45410</v>
      </c>
      <c r="C5853" t="s">
        <v>31</v>
      </c>
      <c r="D5853" t="s">
        <v>32</v>
      </c>
      <c r="E5853" t="s">
        <v>21</v>
      </c>
      <c r="F5853" t="s">
        <v>19</v>
      </c>
      <c r="G5853" t="s">
        <v>29</v>
      </c>
      <c r="K5853" cm="1">
        <f t="array" ref="K5853">_xlfn.SWITCH(LeadsData[[#This Row],[Funnel Stage Reached]],"Lead",1,"MQL",2,"SQL",3,"Customer",4)</f>
        <v>3</v>
      </c>
      <c r="L5853" t="str">
        <f>TEXT(LeadsData[[#This Row],[Signup Date]],"mmm-yyyy")</f>
        <v>Apr-2024</v>
      </c>
      <c r="M5853">
        <f>IF(LeadsData[[#This Row],[Stage Number]]&gt;=2,1,0)</f>
        <v>1</v>
      </c>
      <c r="N5853" s="2">
        <f>IF(LeadsData[[#This Row],[Stage Number]]&gt;=3,1,0)</f>
        <v>1</v>
      </c>
      <c r="O5853" s="2">
        <f>IF(LeadsData[[#This Row],[Stage Number]]&gt;=4,1,0)</f>
        <v>0</v>
      </c>
    </row>
    <row r="5854" spans="1:15" x14ac:dyDescent="0.25">
      <c r="A5854" t="s">
        <v>5894</v>
      </c>
      <c r="B5854" s="1">
        <v>45571</v>
      </c>
      <c r="C5854" t="s">
        <v>36</v>
      </c>
      <c r="D5854" t="s">
        <v>37</v>
      </c>
      <c r="E5854" t="s">
        <v>13</v>
      </c>
      <c r="F5854" t="s">
        <v>28</v>
      </c>
      <c r="G5854" t="s">
        <v>23</v>
      </c>
      <c r="K5854" cm="1">
        <f t="array" ref="K5854">_xlfn.SWITCH(LeadsData[[#This Row],[Funnel Stage Reached]],"Lead",1,"MQL",2,"SQL",3,"Customer",4)</f>
        <v>2</v>
      </c>
      <c r="L5854" t="str">
        <f>TEXT(LeadsData[[#This Row],[Signup Date]],"mmm-yyyy")</f>
        <v>Oct-2024</v>
      </c>
      <c r="M5854">
        <f>IF(LeadsData[[#This Row],[Stage Number]]&gt;=2,1,0)</f>
        <v>1</v>
      </c>
      <c r="N5854" s="2">
        <f>IF(LeadsData[[#This Row],[Stage Number]]&gt;=3,1,0)</f>
        <v>0</v>
      </c>
      <c r="O5854" s="2">
        <f>IF(LeadsData[[#This Row],[Stage Number]]&gt;=4,1,0)</f>
        <v>0</v>
      </c>
    </row>
    <row r="5855" spans="1:15" x14ac:dyDescent="0.25">
      <c r="A5855" t="s">
        <v>5895</v>
      </c>
      <c r="B5855" s="1">
        <v>45387</v>
      </c>
      <c r="C5855" t="s">
        <v>25</v>
      </c>
      <c r="D5855" t="s">
        <v>26</v>
      </c>
      <c r="E5855" t="s">
        <v>13</v>
      </c>
      <c r="F5855" t="s">
        <v>22</v>
      </c>
      <c r="G5855" t="s">
        <v>23</v>
      </c>
      <c r="K5855" cm="1">
        <f t="array" ref="K5855">_xlfn.SWITCH(LeadsData[[#This Row],[Funnel Stage Reached]],"Lead",1,"MQL",2,"SQL",3,"Customer",4)</f>
        <v>2</v>
      </c>
      <c r="L5855" t="str">
        <f>TEXT(LeadsData[[#This Row],[Signup Date]],"mmm-yyyy")</f>
        <v>Apr-2024</v>
      </c>
      <c r="M5855">
        <f>IF(LeadsData[[#This Row],[Stage Number]]&gt;=2,1,0)</f>
        <v>1</v>
      </c>
      <c r="N5855" s="2">
        <f>IF(LeadsData[[#This Row],[Stage Number]]&gt;=3,1,0)</f>
        <v>0</v>
      </c>
      <c r="O5855" s="2">
        <f>IF(LeadsData[[#This Row],[Stage Number]]&gt;=4,1,0)</f>
        <v>0</v>
      </c>
    </row>
    <row r="5856" spans="1:15" x14ac:dyDescent="0.25">
      <c r="A5856" t="s">
        <v>5896</v>
      </c>
      <c r="B5856" s="1">
        <v>45603</v>
      </c>
      <c r="C5856" t="s">
        <v>31</v>
      </c>
      <c r="D5856" t="s">
        <v>32</v>
      </c>
      <c r="E5856" t="s">
        <v>48</v>
      </c>
      <c r="F5856" t="s">
        <v>19</v>
      </c>
      <c r="G5856" t="s">
        <v>23</v>
      </c>
      <c r="K5856" cm="1">
        <f t="array" ref="K5856">_xlfn.SWITCH(LeadsData[[#This Row],[Funnel Stage Reached]],"Lead",1,"MQL",2,"SQL",3,"Customer",4)</f>
        <v>2</v>
      </c>
      <c r="L5856" t="str">
        <f>TEXT(LeadsData[[#This Row],[Signup Date]],"mmm-yyyy")</f>
        <v>Nov-2024</v>
      </c>
      <c r="M5856">
        <f>IF(LeadsData[[#This Row],[Stage Number]]&gt;=2,1,0)</f>
        <v>1</v>
      </c>
      <c r="N5856" s="2">
        <f>IF(LeadsData[[#This Row],[Stage Number]]&gt;=3,1,0)</f>
        <v>0</v>
      </c>
      <c r="O5856" s="2">
        <f>IF(LeadsData[[#This Row],[Stage Number]]&gt;=4,1,0)</f>
        <v>0</v>
      </c>
    </row>
    <row r="5857" spans="1:15" x14ac:dyDescent="0.25">
      <c r="A5857" t="s">
        <v>5897</v>
      </c>
      <c r="B5857" s="1">
        <v>45475</v>
      </c>
      <c r="C5857" t="s">
        <v>46</v>
      </c>
      <c r="D5857" t="s">
        <v>47</v>
      </c>
      <c r="E5857" t="s">
        <v>48</v>
      </c>
      <c r="F5857" t="s">
        <v>19</v>
      </c>
      <c r="G5857" t="s">
        <v>15</v>
      </c>
      <c r="K5857" cm="1">
        <f t="array" ref="K5857">_xlfn.SWITCH(LeadsData[[#This Row],[Funnel Stage Reached]],"Lead",1,"MQL",2,"SQL",3,"Customer",4)</f>
        <v>1</v>
      </c>
      <c r="L5857" t="str">
        <f>TEXT(LeadsData[[#This Row],[Signup Date]],"mmm-yyyy")</f>
        <v>Jul-2024</v>
      </c>
      <c r="M5857">
        <f>IF(LeadsData[[#This Row],[Stage Number]]&gt;=2,1,0)</f>
        <v>0</v>
      </c>
      <c r="N5857" s="2">
        <f>IF(LeadsData[[#This Row],[Stage Number]]&gt;=3,1,0)</f>
        <v>0</v>
      </c>
      <c r="O5857" s="2">
        <f>IF(LeadsData[[#This Row],[Stage Number]]&gt;=4,1,0)</f>
        <v>0</v>
      </c>
    </row>
    <row r="5858" spans="1:15" x14ac:dyDescent="0.25">
      <c r="A5858" t="s">
        <v>5898</v>
      </c>
      <c r="B5858" s="1">
        <v>45430</v>
      </c>
      <c r="C5858" t="s">
        <v>31</v>
      </c>
      <c r="D5858" t="s">
        <v>32</v>
      </c>
      <c r="E5858" t="s">
        <v>13</v>
      </c>
      <c r="F5858" t="s">
        <v>22</v>
      </c>
      <c r="G5858" t="s">
        <v>23</v>
      </c>
      <c r="K5858" cm="1">
        <f t="array" ref="K5858">_xlfn.SWITCH(LeadsData[[#This Row],[Funnel Stage Reached]],"Lead",1,"MQL",2,"SQL",3,"Customer",4)</f>
        <v>2</v>
      </c>
      <c r="L5858" t="str">
        <f>TEXT(LeadsData[[#This Row],[Signup Date]],"mmm-yyyy")</f>
        <v>May-2024</v>
      </c>
      <c r="M5858">
        <f>IF(LeadsData[[#This Row],[Stage Number]]&gt;=2,1,0)</f>
        <v>1</v>
      </c>
      <c r="N5858" s="2">
        <f>IF(LeadsData[[#This Row],[Stage Number]]&gt;=3,1,0)</f>
        <v>0</v>
      </c>
      <c r="O5858" s="2">
        <f>IF(LeadsData[[#This Row],[Stage Number]]&gt;=4,1,0)</f>
        <v>0</v>
      </c>
    </row>
    <row r="5859" spans="1:15" x14ac:dyDescent="0.25">
      <c r="A5859" t="s">
        <v>5899</v>
      </c>
      <c r="B5859" s="1">
        <v>45338</v>
      </c>
      <c r="C5859" t="s">
        <v>46</v>
      </c>
      <c r="D5859" t="s">
        <v>47</v>
      </c>
      <c r="E5859" t="s">
        <v>13</v>
      </c>
      <c r="F5859" t="s">
        <v>19</v>
      </c>
      <c r="G5859" t="s">
        <v>23</v>
      </c>
      <c r="K5859" cm="1">
        <f t="array" ref="K5859">_xlfn.SWITCH(LeadsData[[#This Row],[Funnel Stage Reached]],"Lead",1,"MQL",2,"SQL",3,"Customer",4)</f>
        <v>2</v>
      </c>
      <c r="L5859" t="str">
        <f>TEXT(LeadsData[[#This Row],[Signup Date]],"mmm-yyyy")</f>
        <v>Feb-2024</v>
      </c>
      <c r="M5859">
        <f>IF(LeadsData[[#This Row],[Stage Number]]&gt;=2,1,0)</f>
        <v>1</v>
      </c>
      <c r="N5859" s="2">
        <f>IF(LeadsData[[#This Row],[Stage Number]]&gt;=3,1,0)</f>
        <v>0</v>
      </c>
      <c r="O5859" s="2">
        <f>IF(LeadsData[[#This Row],[Stage Number]]&gt;=4,1,0)</f>
        <v>0</v>
      </c>
    </row>
    <row r="5860" spans="1:15" x14ac:dyDescent="0.25">
      <c r="A5860" t="s">
        <v>5900</v>
      </c>
      <c r="B5860" s="1">
        <v>45612</v>
      </c>
      <c r="C5860" t="s">
        <v>17</v>
      </c>
      <c r="D5860" t="s">
        <v>53</v>
      </c>
      <c r="E5860" t="s">
        <v>13</v>
      </c>
      <c r="F5860" t="s">
        <v>19</v>
      </c>
      <c r="G5860" t="s">
        <v>29</v>
      </c>
      <c r="K5860" cm="1">
        <f t="array" ref="K5860">_xlfn.SWITCH(LeadsData[[#This Row],[Funnel Stage Reached]],"Lead",1,"MQL",2,"SQL",3,"Customer",4)</f>
        <v>3</v>
      </c>
      <c r="L5860" t="str">
        <f>TEXT(LeadsData[[#This Row],[Signup Date]],"mmm-yyyy")</f>
        <v>Nov-2024</v>
      </c>
      <c r="M5860">
        <f>IF(LeadsData[[#This Row],[Stage Number]]&gt;=2,1,0)</f>
        <v>1</v>
      </c>
      <c r="N5860" s="2">
        <f>IF(LeadsData[[#This Row],[Stage Number]]&gt;=3,1,0)</f>
        <v>1</v>
      </c>
      <c r="O5860" s="2">
        <f>IF(LeadsData[[#This Row],[Stage Number]]&gt;=4,1,0)</f>
        <v>0</v>
      </c>
    </row>
    <row r="5861" spans="1:15" x14ac:dyDescent="0.25">
      <c r="A5861" t="s">
        <v>5901</v>
      </c>
      <c r="B5861" s="1">
        <v>45526</v>
      </c>
      <c r="C5861" t="s">
        <v>36</v>
      </c>
      <c r="D5861" t="s">
        <v>50</v>
      </c>
      <c r="E5861" t="s">
        <v>13</v>
      </c>
      <c r="F5861" t="s">
        <v>14</v>
      </c>
      <c r="G5861" t="s">
        <v>29</v>
      </c>
      <c r="K5861" cm="1">
        <f t="array" ref="K5861">_xlfn.SWITCH(LeadsData[[#This Row],[Funnel Stage Reached]],"Lead",1,"MQL",2,"SQL",3,"Customer",4)</f>
        <v>3</v>
      </c>
      <c r="L5861" t="str">
        <f>TEXT(LeadsData[[#This Row],[Signup Date]],"mmm-yyyy")</f>
        <v>Aug-2024</v>
      </c>
      <c r="M5861">
        <f>IF(LeadsData[[#This Row],[Stage Number]]&gt;=2,1,0)</f>
        <v>1</v>
      </c>
      <c r="N5861" s="2">
        <f>IF(LeadsData[[#This Row],[Stage Number]]&gt;=3,1,0)</f>
        <v>1</v>
      </c>
      <c r="O5861" s="2">
        <f>IF(LeadsData[[#This Row],[Stage Number]]&gt;=4,1,0)</f>
        <v>0</v>
      </c>
    </row>
    <row r="5862" spans="1:15" x14ac:dyDescent="0.25">
      <c r="A5862" t="s">
        <v>5902</v>
      </c>
      <c r="B5862" s="1">
        <v>45648</v>
      </c>
      <c r="C5862" t="s">
        <v>17</v>
      </c>
      <c r="D5862" t="s">
        <v>53</v>
      </c>
      <c r="E5862" t="s">
        <v>21</v>
      </c>
      <c r="F5862" t="s">
        <v>19</v>
      </c>
      <c r="G5862" t="s">
        <v>15</v>
      </c>
      <c r="K5862" cm="1">
        <f t="array" ref="K5862">_xlfn.SWITCH(LeadsData[[#This Row],[Funnel Stage Reached]],"Lead",1,"MQL",2,"SQL",3,"Customer",4)</f>
        <v>1</v>
      </c>
      <c r="L5862" t="str">
        <f>TEXT(LeadsData[[#This Row],[Signup Date]],"mmm-yyyy")</f>
        <v>Dec-2024</v>
      </c>
      <c r="M5862">
        <f>IF(LeadsData[[#This Row],[Stage Number]]&gt;=2,1,0)</f>
        <v>0</v>
      </c>
      <c r="N5862" s="2">
        <f>IF(LeadsData[[#This Row],[Stage Number]]&gt;=3,1,0)</f>
        <v>0</v>
      </c>
      <c r="O5862" s="2">
        <f>IF(LeadsData[[#This Row],[Stage Number]]&gt;=4,1,0)</f>
        <v>0</v>
      </c>
    </row>
    <row r="5863" spans="1:15" x14ac:dyDescent="0.25">
      <c r="A5863" t="s">
        <v>5903</v>
      </c>
      <c r="B5863" s="1">
        <v>45580</v>
      </c>
      <c r="C5863" t="s">
        <v>46</v>
      </c>
      <c r="D5863" t="s">
        <v>47</v>
      </c>
      <c r="E5863" t="s">
        <v>21</v>
      </c>
      <c r="F5863" t="s">
        <v>19</v>
      </c>
      <c r="G5863" t="s">
        <v>29</v>
      </c>
      <c r="K5863" cm="1">
        <f t="array" ref="K5863">_xlfn.SWITCH(LeadsData[[#This Row],[Funnel Stage Reached]],"Lead",1,"MQL",2,"SQL",3,"Customer",4)</f>
        <v>3</v>
      </c>
      <c r="L5863" t="str">
        <f>TEXT(LeadsData[[#This Row],[Signup Date]],"mmm-yyyy")</f>
        <v>Oct-2024</v>
      </c>
      <c r="M5863">
        <f>IF(LeadsData[[#This Row],[Stage Number]]&gt;=2,1,0)</f>
        <v>1</v>
      </c>
      <c r="N5863" s="2">
        <f>IF(LeadsData[[#This Row],[Stage Number]]&gt;=3,1,0)</f>
        <v>1</v>
      </c>
      <c r="O5863" s="2">
        <f>IF(LeadsData[[#This Row],[Stage Number]]&gt;=4,1,0)</f>
        <v>0</v>
      </c>
    </row>
    <row r="5864" spans="1:15" x14ac:dyDescent="0.25">
      <c r="A5864" t="s">
        <v>5904</v>
      </c>
      <c r="B5864" s="1">
        <v>45611</v>
      </c>
      <c r="C5864" t="s">
        <v>17</v>
      </c>
      <c r="D5864" t="s">
        <v>18</v>
      </c>
      <c r="E5864" t="s">
        <v>13</v>
      </c>
      <c r="F5864" t="s">
        <v>22</v>
      </c>
      <c r="G5864" t="s">
        <v>23</v>
      </c>
      <c r="K5864" cm="1">
        <f t="array" ref="K5864">_xlfn.SWITCH(LeadsData[[#This Row],[Funnel Stage Reached]],"Lead",1,"MQL",2,"SQL",3,"Customer",4)</f>
        <v>2</v>
      </c>
      <c r="L5864" t="str">
        <f>TEXT(LeadsData[[#This Row],[Signup Date]],"mmm-yyyy")</f>
        <v>Nov-2024</v>
      </c>
      <c r="M5864">
        <f>IF(LeadsData[[#This Row],[Stage Number]]&gt;=2,1,0)</f>
        <v>1</v>
      </c>
      <c r="N5864" s="2">
        <f>IF(LeadsData[[#This Row],[Stage Number]]&gt;=3,1,0)</f>
        <v>0</v>
      </c>
      <c r="O5864" s="2">
        <f>IF(LeadsData[[#This Row],[Stage Number]]&gt;=4,1,0)</f>
        <v>0</v>
      </c>
    </row>
    <row r="5865" spans="1:15" x14ac:dyDescent="0.25">
      <c r="A5865" t="s">
        <v>5905</v>
      </c>
      <c r="B5865" s="1">
        <v>45613</v>
      </c>
      <c r="C5865" t="s">
        <v>36</v>
      </c>
      <c r="D5865" t="s">
        <v>50</v>
      </c>
      <c r="E5865" t="s">
        <v>13</v>
      </c>
      <c r="F5865" t="s">
        <v>28</v>
      </c>
      <c r="G5865" t="s">
        <v>42</v>
      </c>
      <c r="H5865">
        <v>33</v>
      </c>
      <c r="I5865" t="s">
        <v>87</v>
      </c>
      <c r="J5865">
        <v>2614.21</v>
      </c>
      <c r="K5865" cm="1">
        <f t="array" ref="K5865">_xlfn.SWITCH(LeadsData[[#This Row],[Funnel Stage Reached]],"Lead",1,"MQL",2,"SQL",3,"Customer",4)</f>
        <v>4</v>
      </c>
      <c r="L5865" t="str">
        <f>TEXT(LeadsData[[#This Row],[Signup Date]],"mmm-yyyy")</f>
        <v>Nov-2024</v>
      </c>
      <c r="M5865">
        <f>IF(LeadsData[[#This Row],[Stage Number]]&gt;=2,1,0)</f>
        <v>1</v>
      </c>
      <c r="N5865" s="2">
        <f>IF(LeadsData[[#This Row],[Stage Number]]&gt;=3,1,0)</f>
        <v>1</v>
      </c>
      <c r="O5865" s="2">
        <f>IF(LeadsData[[#This Row],[Stage Number]]&gt;=4,1,0)</f>
        <v>1</v>
      </c>
    </row>
    <row r="5866" spans="1:15" x14ac:dyDescent="0.25">
      <c r="A5866" t="s">
        <v>5906</v>
      </c>
      <c r="B5866" s="1">
        <v>45477</v>
      </c>
      <c r="C5866" t="s">
        <v>17</v>
      </c>
      <c r="D5866" t="s">
        <v>18</v>
      </c>
      <c r="E5866" t="s">
        <v>48</v>
      </c>
      <c r="F5866" t="s">
        <v>19</v>
      </c>
      <c r="G5866" t="s">
        <v>15</v>
      </c>
      <c r="K5866" cm="1">
        <f t="array" ref="K5866">_xlfn.SWITCH(LeadsData[[#This Row],[Funnel Stage Reached]],"Lead",1,"MQL",2,"SQL",3,"Customer",4)</f>
        <v>1</v>
      </c>
      <c r="L5866" t="str">
        <f>TEXT(LeadsData[[#This Row],[Signup Date]],"mmm-yyyy")</f>
        <v>Jul-2024</v>
      </c>
      <c r="M5866">
        <f>IF(LeadsData[[#This Row],[Stage Number]]&gt;=2,1,0)</f>
        <v>0</v>
      </c>
      <c r="N5866" s="2">
        <f>IF(LeadsData[[#This Row],[Stage Number]]&gt;=3,1,0)</f>
        <v>0</v>
      </c>
      <c r="O5866" s="2">
        <f>IF(LeadsData[[#This Row],[Stage Number]]&gt;=4,1,0)</f>
        <v>0</v>
      </c>
    </row>
    <row r="5867" spans="1:15" x14ac:dyDescent="0.25">
      <c r="A5867" t="s">
        <v>5907</v>
      </c>
      <c r="B5867" s="1">
        <v>45548</v>
      </c>
      <c r="C5867" t="s">
        <v>17</v>
      </c>
      <c r="D5867" t="s">
        <v>53</v>
      </c>
      <c r="E5867" t="s">
        <v>13</v>
      </c>
      <c r="F5867" t="s">
        <v>19</v>
      </c>
      <c r="G5867" t="s">
        <v>42</v>
      </c>
      <c r="H5867">
        <v>44</v>
      </c>
      <c r="I5867" t="s">
        <v>87</v>
      </c>
      <c r="J5867">
        <v>3788.68</v>
      </c>
      <c r="K5867" cm="1">
        <f t="array" ref="K5867">_xlfn.SWITCH(LeadsData[[#This Row],[Funnel Stage Reached]],"Lead",1,"MQL",2,"SQL",3,"Customer",4)</f>
        <v>4</v>
      </c>
      <c r="L5867" t="str">
        <f>TEXT(LeadsData[[#This Row],[Signup Date]],"mmm-yyyy")</f>
        <v>Sep-2024</v>
      </c>
      <c r="M5867">
        <f>IF(LeadsData[[#This Row],[Stage Number]]&gt;=2,1,0)</f>
        <v>1</v>
      </c>
      <c r="N5867" s="2">
        <f>IF(LeadsData[[#This Row],[Stage Number]]&gt;=3,1,0)</f>
        <v>1</v>
      </c>
      <c r="O5867" s="2">
        <f>IF(LeadsData[[#This Row],[Stage Number]]&gt;=4,1,0)</f>
        <v>1</v>
      </c>
    </row>
    <row r="5868" spans="1:15" x14ac:dyDescent="0.25">
      <c r="A5868" t="s">
        <v>5908</v>
      </c>
      <c r="B5868" s="1">
        <v>45390</v>
      </c>
      <c r="C5868" t="s">
        <v>25</v>
      </c>
      <c r="D5868" t="s">
        <v>26</v>
      </c>
      <c r="E5868" t="s">
        <v>13</v>
      </c>
      <c r="F5868" t="s">
        <v>19</v>
      </c>
      <c r="G5868" t="s">
        <v>15</v>
      </c>
      <c r="K5868" cm="1">
        <f t="array" ref="K5868">_xlfn.SWITCH(LeadsData[[#This Row],[Funnel Stage Reached]],"Lead",1,"MQL",2,"SQL",3,"Customer",4)</f>
        <v>1</v>
      </c>
      <c r="L5868" t="str">
        <f>TEXT(LeadsData[[#This Row],[Signup Date]],"mmm-yyyy")</f>
        <v>Apr-2024</v>
      </c>
      <c r="M5868">
        <f>IF(LeadsData[[#This Row],[Stage Number]]&gt;=2,1,0)</f>
        <v>0</v>
      </c>
      <c r="N5868" s="2">
        <f>IF(LeadsData[[#This Row],[Stage Number]]&gt;=3,1,0)</f>
        <v>0</v>
      </c>
      <c r="O5868" s="2">
        <f>IF(LeadsData[[#This Row],[Stage Number]]&gt;=4,1,0)</f>
        <v>0</v>
      </c>
    </row>
    <row r="5869" spans="1:15" x14ac:dyDescent="0.25">
      <c r="A5869" t="s">
        <v>5909</v>
      </c>
      <c r="B5869" s="1">
        <v>45335</v>
      </c>
      <c r="C5869" t="s">
        <v>11</v>
      </c>
      <c r="D5869" t="s">
        <v>12</v>
      </c>
      <c r="E5869" t="s">
        <v>48</v>
      </c>
      <c r="F5869" t="s">
        <v>28</v>
      </c>
      <c r="G5869" t="s">
        <v>23</v>
      </c>
      <c r="K5869" cm="1">
        <f t="array" ref="K5869">_xlfn.SWITCH(LeadsData[[#This Row],[Funnel Stage Reached]],"Lead",1,"MQL",2,"SQL",3,"Customer",4)</f>
        <v>2</v>
      </c>
      <c r="L5869" t="str">
        <f>TEXT(LeadsData[[#This Row],[Signup Date]],"mmm-yyyy")</f>
        <v>Feb-2024</v>
      </c>
      <c r="M5869">
        <f>IF(LeadsData[[#This Row],[Stage Number]]&gt;=2,1,0)</f>
        <v>1</v>
      </c>
      <c r="N5869" s="2">
        <f>IF(LeadsData[[#This Row],[Stage Number]]&gt;=3,1,0)</f>
        <v>0</v>
      </c>
      <c r="O5869" s="2">
        <f>IF(LeadsData[[#This Row],[Stage Number]]&gt;=4,1,0)</f>
        <v>0</v>
      </c>
    </row>
    <row r="5870" spans="1:15" x14ac:dyDescent="0.25">
      <c r="A5870" t="s">
        <v>5910</v>
      </c>
      <c r="B5870" s="1">
        <v>45538</v>
      </c>
      <c r="C5870" t="s">
        <v>17</v>
      </c>
      <c r="D5870" t="s">
        <v>53</v>
      </c>
      <c r="E5870" t="s">
        <v>21</v>
      </c>
      <c r="F5870" t="s">
        <v>22</v>
      </c>
      <c r="G5870" t="s">
        <v>42</v>
      </c>
      <c r="H5870">
        <v>42</v>
      </c>
      <c r="I5870" t="s">
        <v>43</v>
      </c>
      <c r="J5870">
        <v>1222.8900000000001</v>
      </c>
      <c r="K5870" cm="1">
        <f t="array" ref="K5870">_xlfn.SWITCH(LeadsData[[#This Row],[Funnel Stage Reached]],"Lead",1,"MQL",2,"SQL",3,"Customer",4)</f>
        <v>4</v>
      </c>
      <c r="L5870" t="str">
        <f>TEXT(LeadsData[[#This Row],[Signup Date]],"mmm-yyyy")</f>
        <v>Sep-2024</v>
      </c>
      <c r="M5870">
        <f>IF(LeadsData[[#This Row],[Stage Number]]&gt;=2,1,0)</f>
        <v>1</v>
      </c>
      <c r="N5870" s="2">
        <f>IF(LeadsData[[#This Row],[Stage Number]]&gt;=3,1,0)</f>
        <v>1</v>
      </c>
      <c r="O5870" s="2">
        <f>IF(LeadsData[[#This Row],[Stage Number]]&gt;=4,1,0)</f>
        <v>1</v>
      </c>
    </row>
    <row r="5871" spans="1:15" x14ac:dyDescent="0.25">
      <c r="A5871" t="s">
        <v>5911</v>
      </c>
      <c r="B5871" s="1">
        <v>45329</v>
      </c>
      <c r="C5871" t="s">
        <v>11</v>
      </c>
      <c r="D5871" t="s">
        <v>12</v>
      </c>
      <c r="E5871" t="s">
        <v>21</v>
      </c>
      <c r="F5871" t="s">
        <v>19</v>
      </c>
      <c r="G5871" t="s">
        <v>29</v>
      </c>
      <c r="K5871" cm="1">
        <f t="array" ref="K5871">_xlfn.SWITCH(LeadsData[[#This Row],[Funnel Stage Reached]],"Lead",1,"MQL",2,"SQL",3,"Customer",4)</f>
        <v>3</v>
      </c>
      <c r="L5871" t="str">
        <f>TEXT(LeadsData[[#This Row],[Signup Date]],"mmm-yyyy")</f>
        <v>Feb-2024</v>
      </c>
      <c r="M5871">
        <f>IF(LeadsData[[#This Row],[Stage Number]]&gt;=2,1,0)</f>
        <v>1</v>
      </c>
      <c r="N5871" s="2">
        <f>IF(LeadsData[[#This Row],[Stage Number]]&gt;=3,1,0)</f>
        <v>1</v>
      </c>
      <c r="O5871" s="2">
        <f>IF(LeadsData[[#This Row],[Stage Number]]&gt;=4,1,0)</f>
        <v>0</v>
      </c>
    </row>
    <row r="5872" spans="1:15" x14ac:dyDescent="0.25">
      <c r="A5872" t="s">
        <v>5912</v>
      </c>
      <c r="B5872" s="1">
        <v>45623</v>
      </c>
      <c r="C5872" t="s">
        <v>31</v>
      </c>
      <c r="D5872" t="s">
        <v>34</v>
      </c>
      <c r="E5872" t="s">
        <v>21</v>
      </c>
      <c r="F5872" t="s">
        <v>22</v>
      </c>
      <c r="G5872" t="s">
        <v>29</v>
      </c>
      <c r="K5872" cm="1">
        <f t="array" ref="K5872">_xlfn.SWITCH(LeadsData[[#This Row],[Funnel Stage Reached]],"Lead",1,"MQL",2,"SQL",3,"Customer",4)</f>
        <v>3</v>
      </c>
      <c r="L5872" t="str">
        <f>TEXT(LeadsData[[#This Row],[Signup Date]],"mmm-yyyy")</f>
        <v>Nov-2024</v>
      </c>
      <c r="M5872">
        <f>IF(LeadsData[[#This Row],[Stage Number]]&gt;=2,1,0)</f>
        <v>1</v>
      </c>
      <c r="N5872" s="2">
        <f>IF(LeadsData[[#This Row],[Stage Number]]&gt;=3,1,0)</f>
        <v>1</v>
      </c>
      <c r="O5872" s="2">
        <f>IF(LeadsData[[#This Row],[Stage Number]]&gt;=4,1,0)</f>
        <v>0</v>
      </c>
    </row>
    <row r="5873" spans="1:15" x14ac:dyDescent="0.25">
      <c r="A5873" t="s">
        <v>5913</v>
      </c>
      <c r="B5873" s="1">
        <v>45408</v>
      </c>
      <c r="C5873" t="s">
        <v>36</v>
      </c>
      <c r="D5873" t="s">
        <v>50</v>
      </c>
      <c r="E5873" t="s">
        <v>21</v>
      </c>
      <c r="F5873" t="s">
        <v>22</v>
      </c>
      <c r="G5873" t="s">
        <v>42</v>
      </c>
      <c r="H5873">
        <v>44</v>
      </c>
      <c r="I5873" t="s">
        <v>183</v>
      </c>
      <c r="J5873">
        <v>9930.27</v>
      </c>
      <c r="K5873" cm="1">
        <f t="array" ref="K5873">_xlfn.SWITCH(LeadsData[[#This Row],[Funnel Stage Reached]],"Lead",1,"MQL",2,"SQL",3,"Customer",4)</f>
        <v>4</v>
      </c>
      <c r="L5873" t="str">
        <f>TEXT(LeadsData[[#This Row],[Signup Date]],"mmm-yyyy")</f>
        <v>Apr-2024</v>
      </c>
      <c r="M5873">
        <f>IF(LeadsData[[#This Row],[Stage Number]]&gt;=2,1,0)</f>
        <v>1</v>
      </c>
      <c r="N5873" s="2">
        <f>IF(LeadsData[[#This Row],[Stage Number]]&gt;=3,1,0)</f>
        <v>1</v>
      </c>
      <c r="O5873" s="2">
        <f>IF(LeadsData[[#This Row],[Stage Number]]&gt;=4,1,0)</f>
        <v>1</v>
      </c>
    </row>
    <row r="5874" spans="1:15" x14ac:dyDescent="0.25">
      <c r="A5874" t="s">
        <v>5914</v>
      </c>
      <c r="B5874" s="1">
        <v>45490</v>
      </c>
      <c r="C5874" t="s">
        <v>11</v>
      </c>
      <c r="D5874" t="s">
        <v>68</v>
      </c>
      <c r="E5874" t="s">
        <v>21</v>
      </c>
      <c r="F5874" t="s">
        <v>22</v>
      </c>
      <c r="G5874" t="s">
        <v>15</v>
      </c>
      <c r="K5874" cm="1">
        <f t="array" ref="K5874">_xlfn.SWITCH(LeadsData[[#This Row],[Funnel Stage Reached]],"Lead",1,"MQL",2,"SQL",3,"Customer",4)</f>
        <v>1</v>
      </c>
      <c r="L5874" t="str">
        <f>TEXT(LeadsData[[#This Row],[Signup Date]],"mmm-yyyy")</f>
        <v>Jul-2024</v>
      </c>
      <c r="M5874">
        <f>IF(LeadsData[[#This Row],[Stage Number]]&gt;=2,1,0)</f>
        <v>0</v>
      </c>
      <c r="N5874" s="2">
        <f>IF(LeadsData[[#This Row],[Stage Number]]&gt;=3,1,0)</f>
        <v>0</v>
      </c>
      <c r="O5874" s="2">
        <f>IF(LeadsData[[#This Row],[Stage Number]]&gt;=4,1,0)</f>
        <v>0</v>
      </c>
    </row>
    <row r="5875" spans="1:15" x14ac:dyDescent="0.25">
      <c r="A5875" t="s">
        <v>5915</v>
      </c>
      <c r="B5875" s="1">
        <v>45315</v>
      </c>
      <c r="C5875" t="s">
        <v>31</v>
      </c>
      <c r="D5875" t="s">
        <v>34</v>
      </c>
      <c r="E5875" t="s">
        <v>21</v>
      </c>
      <c r="F5875" t="s">
        <v>19</v>
      </c>
      <c r="G5875" t="s">
        <v>15</v>
      </c>
      <c r="K5875" cm="1">
        <f t="array" ref="K5875">_xlfn.SWITCH(LeadsData[[#This Row],[Funnel Stage Reached]],"Lead",1,"MQL",2,"SQL",3,"Customer",4)</f>
        <v>1</v>
      </c>
      <c r="L5875" t="str">
        <f>TEXT(LeadsData[[#This Row],[Signup Date]],"mmm-yyyy")</f>
        <v>Jan-2024</v>
      </c>
      <c r="M5875">
        <f>IF(LeadsData[[#This Row],[Stage Number]]&gt;=2,1,0)</f>
        <v>0</v>
      </c>
      <c r="N5875" s="2">
        <f>IF(LeadsData[[#This Row],[Stage Number]]&gt;=3,1,0)</f>
        <v>0</v>
      </c>
      <c r="O5875" s="2">
        <f>IF(LeadsData[[#This Row],[Stage Number]]&gt;=4,1,0)</f>
        <v>0</v>
      </c>
    </row>
    <row r="5876" spans="1:15" x14ac:dyDescent="0.25">
      <c r="A5876" t="s">
        <v>5916</v>
      </c>
      <c r="B5876" s="1">
        <v>45408</v>
      </c>
      <c r="C5876" t="s">
        <v>11</v>
      </c>
      <c r="D5876" t="s">
        <v>79</v>
      </c>
      <c r="E5876" t="s">
        <v>13</v>
      </c>
      <c r="F5876" t="s">
        <v>19</v>
      </c>
      <c r="G5876" t="s">
        <v>23</v>
      </c>
      <c r="K5876" cm="1">
        <f t="array" ref="K5876">_xlfn.SWITCH(LeadsData[[#This Row],[Funnel Stage Reached]],"Lead",1,"MQL",2,"SQL",3,"Customer",4)</f>
        <v>2</v>
      </c>
      <c r="L5876" t="str">
        <f>TEXT(LeadsData[[#This Row],[Signup Date]],"mmm-yyyy")</f>
        <v>Apr-2024</v>
      </c>
      <c r="M5876">
        <f>IF(LeadsData[[#This Row],[Stage Number]]&gt;=2,1,0)</f>
        <v>1</v>
      </c>
      <c r="N5876" s="2">
        <f>IF(LeadsData[[#This Row],[Stage Number]]&gt;=3,1,0)</f>
        <v>0</v>
      </c>
      <c r="O5876" s="2">
        <f>IF(LeadsData[[#This Row],[Stage Number]]&gt;=4,1,0)</f>
        <v>0</v>
      </c>
    </row>
    <row r="5877" spans="1:15" x14ac:dyDescent="0.25">
      <c r="A5877" t="s">
        <v>5917</v>
      </c>
      <c r="B5877" s="1">
        <v>45461</v>
      </c>
      <c r="C5877" t="s">
        <v>36</v>
      </c>
      <c r="D5877" t="s">
        <v>50</v>
      </c>
      <c r="E5877" t="s">
        <v>13</v>
      </c>
      <c r="F5877" t="s">
        <v>22</v>
      </c>
      <c r="G5877" t="s">
        <v>15</v>
      </c>
      <c r="K5877" cm="1">
        <f t="array" ref="K5877">_xlfn.SWITCH(LeadsData[[#This Row],[Funnel Stage Reached]],"Lead",1,"MQL",2,"SQL",3,"Customer",4)</f>
        <v>1</v>
      </c>
      <c r="L5877" t="str">
        <f>TEXT(LeadsData[[#This Row],[Signup Date]],"mmm-yyyy")</f>
        <v>Jun-2024</v>
      </c>
      <c r="M5877">
        <f>IF(LeadsData[[#This Row],[Stage Number]]&gt;=2,1,0)</f>
        <v>0</v>
      </c>
      <c r="N5877" s="2">
        <f>IF(LeadsData[[#This Row],[Stage Number]]&gt;=3,1,0)</f>
        <v>0</v>
      </c>
      <c r="O5877" s="2">
        <f>IF(LeadsData[[#This Row],[Stage Number]]&gt;=4,1,0)</f>
        <v>0</v>
      </c>
    </row>
    <row r="5878" spans="1:15" x14ac:dyDescent="0.25">
      <c r="A5878" t="s">
        <v>5918</v>
      </c>
      <c r="B5878" s="1">
        <v>45549</v>
      </c>
      <c r="C5878" t="s">
        <v>36</v>
      </c>
      <c r="D5878" t="s">
        <v>50</v>
      </c>
      <c r="E5878" t="s">
        <v>21</v>
      </c>
      <c r="F5878" t="s">
        <v>19</v>
      </c>
      <c r="G5878" t="s">
        <v>23</v>
      </c>
      <c r="K5878" cm="1">
        <f t="array" ref="K5878">_xlfn.SWITCH(LeadsData[[#This Row],[Funnel Stage Reached]],"Lead",1,"MQL",2,"SQL",3,"Customer",4)</f>
        <v>2</v>
      </c>
      <c r="L5878" t="str">
        <f>TEXT(LeadsData[[#This Row],[Signup Date]],"mmm-yyyy")</f>
        <v>Sep-2024</v>
      </c>
      <c r="M5878">
        <f>IF(LeadsData[[#This Row],[Stage Number]]&gt;=2,1,0)</f>
        <v>1</v>
      </c>
      <c r="N5878" s="2">
        <f>IF(LeadsData[[#This Row],[Stage Number]]&gt;=3,1,0)</f>
        <v>0</v>
      </c>
      <c r="O5878" s="2">
        <f>IF(LeadsData[[#This Row],[Stage Number]]&gt;=4,1,0)</f>
        <v>0</v>
      </c>
    </row>
    <row r="5879" spans="1:15" x14ac:dyDescent="0.25">
      <c r="A5879" t="s">
        <v>5919</v>
      </c>
      <c r="B5879" s="1">
        <v>45342</v>
      </c>
      <c r="C5879" t="s">
        <v>25</v>
      </c>
      <c r="D5879" t="s">
        <v>26</v>
      </c>
      <c r="E5879" t="s">
        <v>13</v>
      </c>
      <c r="F5879" t="s">
        <v>19</v>
      </c>
      <c r="G5879" t="s">
        <v>15</v>
      </c>
      <c r="K5879" cm="1">
        <f t="array" ref="K5879">_xlfn.SWITCH(LeadsData[[#This Row],[Funnel Stage Reached]],"Lead",1,"MQL",2,"SQL",3,"Customer",4)</f>
        <v>1</v>
      </c>
      <c r="L5879" t="str">
        <f>TEXT(LeadsData[[#This Row],[Signup Date]],"mmm-yyyy")</f>
        <v>Feb-2024</v>
      </c>
      <c r="M5879">
        <f>IF(LeadsData[[#This Row],[Stage Number]]&gt;=2,1,0)</f>
        <v>0</v>
      </c>
      <c r="N5879" s="2">
        <f>IF(LeadsData[[#This Row],[Stage Number]]&gt;=3,1,0)</f>
        <v>0</v>
      </c>
      <c r="O5879" s="2">
        <f>IF(LeadsData[[#This Row],[Stage Number]]&gt;=4,1,0)</f>
        <v>0</v>
      </c>
    </row>
    <row r="5880" spans="1:15" x14ac:dyDescent="0.25">
      <c r="A5880" t="s">
        <v>5920</v>
      </c>
      <c r="B5880" s="1">
        <v>45630</v>
      </c>
      <c r="C5880" t="s">
        <v>31</v>
      </c>
      <c r="D5880" t="s">
        <v>34</v>
      </c>
      <c r="E5880" t="s">
        <v>21</v>
      </c>
      <c r="F5880" t="s">
        <v>22</v>
      </c>
      <c r="G5880" t="s">
        <v>23</v>
      </c>
      <c r="K5880" cm="1">
        <f t="array" ref="K5880">_xlfn.SWITCH(LeadsData[[#This Row],[Funnel Stage Reached]],"Lead",1,"MQL",2,"SQL",3,"Customer",4)</f>
        <v>2</v>
      </c>
      <c r="L5880" t="str">
        <f>TEXT(LeadsData[[#This Row],[Signup Date]],"mmm-yyyy")</f>
        <v>Dec-2024</v>
      </c>
      <c r="M5880">
        <f>IF(LeadsData[[#This Row],[Stage Number]]&gt;=2,1,0)</f>
        <v>1</v>
      </c>
      <c r="N5880" s="2">
        <f>IF(LeadsData[[#This Row],[Stage Number]]&gt;=3,1,0)</f>
        <v>0</v>
      </c>
      <c r="O5880" s="2">
        <f>IF(LeadsData[[#This Row],[Stage Number]]&gt;=4,1,0)</f>
        <v>0</v>
      </c>
    </row>
    <row r="5881" spans="1:15" x14ac:dyDescent="0.25">
      <c r="A5881" t="s">
        <v>5921</v>
      </c>
      <c r="B5881" s="1">
        <v>45348</v>
      </c>
      <c r="C5881" t="s">
        <v>31</v>
      </c>
      <c r="D5881" t="s">
        <v>32</v>
      </c>
      <c r="E5881" t="s">
        <v>21</v>
      </c>
      <c r="F5881" t="s">
        <v>19</v>
      </c>
      <c r="G5881" t="s">
        <v>23</v>
      </c>
      <c r="K5881" cm="1">
        <f t="array" ref="K5881">_xlfn.SWITCH(LeadsData[[#This Row],[Funnel Stage Reached]],"Lead",1,"MQL",2,"SQL",3,"Customer",4)</f>
        <v>2</v>
      </c>
      <c r="L5881" t="str">
        <f>TEXT(LeadsData[[#This Row],[Signup Date]],"mmm-yyyy")</f>
        <v>Feb-2024</v>
      </c>
      <c r="M5881">
        <f>IF(LeadsData[[#This Row],[Stage Number]]&gt;=2,1,0)</f>
        <v>1</v>
      </c>
      <c r="N5881" s="2">
        <f>IF(LeadsData[[#This Row],[Stage Number]]&gt;=3,1,0)</f>
        <v>0</v>
      </c>
      <c r="O5881" s="2">
        <f>IF(LeadsData[[#This Row],[Stage Number]]&gt;=4,1,0)</f>
        <v>0</v>
      </c>
    </row>
    <row r="5882" spans="1:15" x14ac:dyDescent="0.25">
      <c r="A5882" t="s">
        <v>5922</v>
      </c>
      <c r="B5882" s="1">
        <v>45390</v>
      </c>
      <c r="C5882" t="s">
        <v>36</v>
      </c>
      <c r="D5882" t="s">
        <v>50</v>
      </c>
      <c r="E5882" t="s">
        <v>13</v>
      </c>
      <c r="F5882" t="s">
        <v>14</v>
      </c>
      <c r="G5882" t="s">
        <v>15</v>
      </c>
      <c r="K5882" cm="1">
        <f t="array" ref="K5882">_xlfn.SWITCH(LeadsData[[#This Row],[Funnel Stage Reached]],"Lead",1,"MQL",2,"SQL",3,"Customer",4)</f>
        <v>1</v>
      </c>
      <c r="L5882" t="str">
        <f>TEXT(LeadsData[[#This Row],[Signup Date]],"mmm-yyyy")</f>
        <v>Apr-2024</v>
      </c>
      <c r="M5882">
        <f>IF(LeadsData[[#This Row],[Stage Number]]&gt;=2,1,0)</f>
        <v>0</v>
      </c>
      <c r="N5882" s="2">
        <f>IF(LeadsData[[#This Row],[Stage Number]]&gt;=3,1,0)</f>
        <v>0</v>
      </c>
      <c r="O5882" s="2">
        <f>IF(LeadsData[[#This Row],[Stage Number]]&gt;=4,1,0)</f>
        <v>0</v>
      </c>
    </row>
    <row r="5883" spans="1:15" x14ac:dyDescent="0.25">
      <c r="A5883" t="s">
        <v>5923</v>
      </c>
      <c r="B5883" s="1">
        <v>45540</v>
      </c>
      <c r="C5883" t="s">
        <v>46</v>
      </c>
      <c r="D5883" t="s">
        <v>56</v>
      </c>
      <c r="E5883" t="s">
        <v>13</v>
      </c>
      <c r="F5883" t="s">
        <v>22</v>
      </c>
      <c r="G5883" t="s">
        <v>29</v>
      </c>
      <c r="K5883" cm="1">
        <f t="array" ref="K5883">_xlfn.SWITCH(LeadsData[[#This Row],[Funnel Stage Reached]],"Lead",1,"MQL",2,"SQL",3,"Customer",4)</f>
        <v>3</v>
      </c>
      <c r="L5883" t="str">
        <f>TEXT(LeadsData[[#This Row],[Signup Date]],"mmm-yyyy")</f>
        <v>Sep-2024</v>
      </c>
      <c r="M5883">
        <f>IF(LeadsData[[#This Row],[Stage Number]]&gt;=2,1,0)</f>
        <v>1</v>
      </c>
      <c r="N5883" s="2">
        <f>IF(LeadsData[[#This Row],[Stage Number]]&gt;=3,1,0)</f>
        <v>1</v>
      </c>
      <c r="O5883" s="2">
        <f>IF(LeadsData[[#This Row],[Stage Number]]&gt;=4,1,0)</f>
        <v>0</v>
      </c>
    </row>
    <row r="5884" spans="1:15" x14ac:dyDescent="0.25">
      <c r="A5884" t="s">
        <v>5924</v>
      </c>
      <c r="B5884" s="1">
        <v>45505</v>
      </c>
      <c r="C5884" t="s">
        <v>31</v>
      </c>
      <c r="D5884" t="s">
        <v>34</v>
      </c>
      <c r="E5884" t="s">
        <v>13</v>
      </c>
      <c r="F5884" t="s">
        <v>19</v>
      </c>
      <c r="G5884" t="s">
        <v>23</v>
      </c>
      <c r="K5884" cm="1">
        <f t="array" ref="K5884">_xlfn.SWITCH(LeadsData[[#This Row],[Funnel Stage Reached]],"Lead",1,"MQL",2,"SQL",3,"Customer",4)</f>
        <v>2</v>
      </c>
      <c r="L5884" t="str">
        <f>TEXT(LeadsData[[#This Row],[Signup Date]],"mmm-yyyy")</f>
        <v>Aug-2024</v>
      </c>
      <c r="M5884">
        <f>IF(LeadsData[[#This Row],[Stage Number]]&gt;=2,1,0)</f>
        <v>1</v>
      </c>
      <c r="N5884" s="2">
        <f>IF(LeadsData[[#This Row],[Stage Number]]&gt;=3,1,0)</f>
        <v>0</v>
      </c>
      <c r="O5884" s="2">
        <f>IF(LeadsData[[#This Row],[Stage Number]]&gt;=4,1,0)</f>
        <v>0</v>
      </c>
    </row>
    <row r="5885" spans="1:15" x14ac:dyDescent="0.25">
      <c r="A5885" t="s">
        <v>5925</v>
      </c>
      <c r="B5885" s="1">
        <v>45561</v>
      </c>
      <c r="C5885" t="s">
        <v>17</v>
      </c>
      <c r="D5885" t="s">
        <v>18</v>
      </c>
      <c r="E5885" t="s">
        <v>21</v>
      </c>
      <c r="F5885" t="s">
        <v>19</v>
      </c>
      <c r="G5885" t="s">
        <v>15</v>
      </c>
      <c r="K5885" cm="1">
        <f t="array" ref="K5885">_xlfn.SWITCH(LeadsData[[#This Row],[Funnel Stage Reached]],"Lead",1,"MQL",2,"SQL",3,"Customer",4)</f>
        <v>1</v>
      </c>
      <c r="L5885" t="str">
        <f>TEXT(LeadsData[[#This Row],[Signup Date]],"mmm-yyyy")</f>
        <v>Sep-2024</v>
      </c>
      <c r="M5885">
        <f>IF(LeadsData[[#This Row],[Stage Number]]&gt;=2,1,0)</f>
        <v>0</v>
      </c>
      <c r="N5885" s="2">
        <f>IF(LeadsData[[#This Row],[Stage Number]]&gt;=3,1,0)</f>
        <v>0</v>
      </c>
      <c r="O5885" s="2">
        <f>IF(LeadsData[[#This Row],[Stage Number]]&gt;=4,1,0)</f>
        <v>0</v>
      </c>
    </row>
    <row r="5886" spans="1:15" x14ac:dyDescent="0.25">
      <c r="A5886" t="s">
        <v>5926</v>
      </c>
      <c r="B5886" s="1">
        <v>45512</v>
      </c>
      <c r="C5886" t="s">
        <v>31</v>
      </c>
      <c r="D5886" t="s">
        <v>34</v>
      </c>
      <c r="E5886" t="s">
        <v>13</v>
      </c>
      <c r="F5886" t="s">
        <v>22</v>
      </c>
      <c r="G5886" t="s">
        <v>23</v>
      </c>
      <c r="K5886" cm="1">
        <f t="array" ref="K5886">_xlfn.SWITCH(LeadsData[[#This Row],[Funnel Stage Reached]],"Lead",1,"MQL",2,"SQL",3,"Customer",4)</f>
        <v>2</v>
      </c>
      <c r="L5886" t="str">
        <f>TEXT(LeadsData[[#This Row],[Signup Date]],"mmm-yyyy")</f>
        <v>Aug-2024</v>
      </c>
      <c r="M5886">
        <f>IF(LeadsData[[#This Row],[Stage Number]]&gt;=2,1,0)</f>
        <v>1</v>
      </c>
      <c r="N5886" s="2">
        <f>IF(LeadsData[[#This Row],[Stage Number]]&gt;=3,1,0)</f>
        <v>0</v>
      </c>
      <c r="O5886" s="2">
        <f>IF(LeadsData[[#This Row],[Stage Number]]&gt;=4,1,0)</f>
        <v>0</v>
      </c>
    </row>
    <row r="5887" spans="1:15" x14ac:dyDescent="0.25">
      <c r="A5887" t="s">
        <v>5927</v>
      </c>
      <c r="B5887" s="1">
        <v>45539</v>
      </c>
      <c r="C5887" t="s">
        <v>11</v>
      </c>
      <c r="D5887" t="s">
        <v>68</v>
      </c>
      <c r="E5887" t="s">
        <v>13</v>
      </c>
      <c r="F5887" t="s">
        <v>19</v>
      </c>
      <c r="G5887" t="s">
        <v>15</v>
      </c>
      <c r="K5887" cm="1">
        <f t="array" ref="K5887">_xlfn.SWITCH(LeadsData[[#This Row],[Funnel Stage Reached]],"Lead",1,"MQL",2,"SQL",3,"Customer",4)</f>
        <v>1</v>
      </c>
      <c r="L5887" t="str">
        <f>TEXT(LeadsData[[#This Row],[Signup Date]],"mmm-yyyy")</f>
        <v>Sep-2024</v>
      </c>
      <c r="M5887">
        <f>IF(LeadsData[[#This Row],[Stage Number]]&gt;=2,1,0)</f>
        <v>0</v>
      </c>
      <c r="N5887" s="2">
        <f>IF(LeadsData[[#This Row],[Stage Number]]&gt;=3,1,0)</f>
        <v>0</v>
      </c>
      <c r="O5887" s="2">
        <f>IF(LeadsData[[#This Row],[Stage Number]]&gt;=4,1,0)</f>
        <v>0</v>
      </c>
    </row>
    <row r="5888" spans="1:15" x14ac:dyDescent="0.25">
      <c r="A5888" t="s">
        <v>5928</v>
      </c>
      <c r="B5888" s="1">
        <v>45602</v>
      </c>
      <c r="C5888" t="s">
        <v>17</v>
      </c>
      <c r="D5888" t="s">
        <v>53</v>
      </c>
      <c r="E5888" t="s">
        <v>21</v>
      </c>
      <c r="F5888" t="s">
        <v>14</v>
      </c>
      <c r="G5888" t="s">
        <v>23</v>
      </c>
      <c r="K5888" cm="1">
        <f t="array" ref="K5888">_xlfn.SWITCH(LeadsData[[#This Row],[Funnel Stage Reached]],"Lead",1,"MQL",2,"SQL",3,"Customer",4)</f>
        <v>2</v>
      </c>
      <c r="L5888" t="str">
        <f>TEXT(LeadsData[[#This Row],[Signup Date]],"mmm-yyyy")</f>
        <v>Nov-2024</v>
      </c>
      <c r="M5888">
        <f>IF(LeadsData[[#This Row],[Stage Number]]&gt;=2,1,0)</f>
        <v>1</v>
      </c>
      <c r="N5888" s="2">
        <f>IF(LeadsData[[#This Row],[Stage Number]]&gt;=3,1,0)</f>
        <v>0</v>
      </c>
      <c r="O5888" s="2">
        <f>IF(LeadsData[[#This Row],[Stage Number]]&gt;=4,1,0)</f>
        <v>0</v>
      </c>
    </row>
    <row r="5889" spans="1:15" x14ac:dyDescent="0.25">
      <c r="A5889" t="s">
        <v>5929</v>
      </c>
      <c r="B5889" s="1">
        <v>45469</v>
      </c>
      <c r="C5889" t="s">
        <v>46</v>
      </c>
      <c r="D5889" t="s">
        <v>47</v>
      </c>
      <c r="E5889" t="s">
        <v>48</v>
      </c>
      <c r="F5889" t="s">
        <v>19</v>
      </c>
      <c r="G5889" t="s">
        <v>23</v>
      </c>
      <c r="K5889" cm="1">
        <f t="array" ref="K5889">_xlfn.SWITCH(LeadsData[[#This Row],[Funnel Stage Reached]],"Lead",1,"MQL",2,"SQL",3,"Customer",4)</f>
        <v>2</v>
      </c>
      <c r="L5889" t="str">
        <f>TEXT(LeadsData[[#This Row],[Signup Date]],"mmm-yyyy")</f>
        <v>Jun-2024</v>
      </c>
      <c r="M5889">
        <f>IF(LeadsData[[#This Row],[Stage Number]]&gt;=2,1,0)</f>
        <v>1</v>
      </c>
      <c r="N5889" s="2">
        <f>IF(LeadsData[[#This Row],[Stage Number]]&gt;=3,1,0)</f>
        <v>0</v>
      </c>
      <c r="O5889" s="2">
        <f>IF(LeadsData[[#This Row],[Stage Number]]&gt;=4,1,0)</f>
        <v>0</v>
      </c>
    </row>
    <row r="5890" spans="1:15" x14ac:dyDescent="0.25">
      <c r="A5890" t="s">
        <v>5930</v>
      </c>
      <c r="B5890" s="1">
        <v>45552</v>
      </c>
      <c r="C5890" t="s">
        <v>17</v>
      </c>
      <c r="D5890" t="s">
        <v>18</v>
      </c>
      <c r="E5890" t="s">
        <v>13</v>
      </c>
      <c r="F5890" t="s">
        <v>22</v>
      </c>
      <c r="G5890" t="s">
        <v>15</v>
      </c>
      <c r="K5890" cm="1">
        <f t="array" ref="K5890">_xlfn.SWITCH(LeadsData[[#This Row],[Funnel Stage Reached]],"Lead",1,"MQL",2,"SQL",3,"Customer",4)</f>
        <v>1</v>
      </c>
      <c r="L5890" t="str">
        <f>TEXT(LeadsData[[#This Row],[Signup Date]],"mmm-yyyy")</f>
        <v>Sep-2024</v>
      </c>
      <c r="M5890">
        <f>IF(LeadsData[[#This Row],[Stage Number]]&gt;=2,1,0)</f>
        <v>0</v>
      </c>
      <c r="N5890" s="2">
        <f>IF(LeadsData[[#This Row],[Stage Number]]&gt;=3,1,0)</f>
        <v>0</v>
      </c>
      <c r="O5890" s="2">
        <f>IF(LeadsData[[#This Row],[Stage Number]]&gt;=4,1,0)</f>
        <v>0</v>
      </c>
    </row>
    <row r="5891" spans="1:15" x14ac:dyDescent="0.25">
      <c r="A5891" t="s">
        <v>5931</v>
      </c>
      <c r="B5891" s="1">
        <v>45470</v>
      </c>
      <c r="C5891" t="s">
        <v>25</v>
      </c>
      <c r="D5891" t="s">
        <v>26</v>
      </c>
      <c r="E5891" t="s">
        <v>21</v>
      </c>
      <c r="F5891" t="s">
        <v>22</v>
      </c>
      <c r="G5891" t="s">
        <v>15</v>
      </c>
      <c r="K5891" cm="1">
        <f t="array" ref="K5891">_xlfn.SWITCH(LeadsData[[#This Row],[Funnel Stage Reached]],"Lead",1,"MQL",2,"SQL",3,"Customer",4)</f>
        <v>1</v>
      </c>
      <c r="L5891" t="str">
        <f>TEXT(LeadsData[[#This Row],[Signup Date]],"mmm-yyyy")</f>
        <v>Jun-2024</v>
      </c>
      <c r="M5891">
        <f>IF(LeadsData[[#This Row],[Stage Number]]&gt;=2,1,0)</f>
        <v>0</v>
      </c>
      <c r="N5891" s="2">
        <f>IF(LeadsData[[#This Row],[Stage Number]]&gt;=3,1,0)</f>
        <v>0</v>
      </c>
      <c r="O5891" s="2">
        <f>IF(LeadsData[[#This Row],[Stage Number]]&gt;=4,1,0)</f>
        <v>0</v>
      </c>
    </row>
    <row r="5892" spans="1:15" x14ac:dyDescent="0.25">
      <c r="A5892" t="s">
        <v>5932</v>
      </c>
      <c r="B5892" s="1">
        <v>45532</v>
      </c>
      <c r="C5892" t="s">
        <v>17</v>
      </c>
      <c r="D5892" t="s">
        <v>53</v>
      </c>
      <c r="E5892" t="s">
        <v>21</v>
      </c>
      <c r="F5892" t="s">
        <v>19</v>
      </c>
      <c r="G5892" t="s">
        <v>23</v>
      </c>
      <c r="K5892" cm="1">
        <f t="array" ref="K5892">_xlfn.SWITCH(LeadsData[[#This Row],[Funnel Stage Reached]],"Lead",1,"MQL",2,"SQL",3,"Customer",4)</f>
        <v>2</v>
      </c>
      <c r="L5892" t="str">
        <f>TEXT(LeadsData[[#This Row],[Signup Date]],"mmm-yyyy")</f>
        <v>Aug-2024</v>
      </c>
      <c r="M5892">
        <f>IF(LeadsData[[#This Row],[Stage Number]]&gt;=2,1,0)</f>
        <v>1</v>
      </c>
      <c r="N5892" s="2">
        <f>IF(LeadsData[[#This Row],[Stage Number]]&gt;=3,1,0)</f>
        <v>0</v>
      </c>
      <c r="O5892" s="2">
        <f>IF(LeadsData[[#This Row],[Stage Number]]&gt;=4,1,0)</f>
        <v>0</v>
      </c>
    </row>
    <row r="5893" spans="1:15" x14ac:dyDescent="0.25">
      <c r="A5893" t="s">
        <v>5933</v>
      </c>
      <c r="B5893" s="1">
        <v>45462</v>
      </c>
      <c r="C5893" t="s">
        <v>31</v>
      </c>
      <c r="D5893" t="s">
        <v>34</v>
      </c>
      <c r="E5893" t="s">
        <v>21</v>
      </c>
      <c r="F5893" t="s">
        <v>14</v>
      </c>
      <c r="G5893" t="s">
        <v>23</v>
      </c>
      <c r="K5893" cm="1">
        <f t="array" ref="K5893">_xlfn.SWITCH(LeadsData[[#This Row],[Funnel Stage Reached]],"Lead",1,"MQL",2,"SQL",3,"Customer",4)</f>
        <v>2</v>
      </c>
      <c r="L5893" t="str">
        <f>TEXT(LeadsData[[#This Row],[Signup Date]],"mmm-yyyy")</f>
        <v>Jun-2024</v>
      </c>
      <c r="M5893">
        <f>IF(LeadsData[[#This Row],[Stage Number]]&gt;=2,1,0)</f>
        <v>1</v>
      </c>
      <c r="N5893" s="2">
        <f>IF(LeadsData[[#This Row],[Stage Number]]&gt;=3,1,0)</f>
        <v>0</v>
      </c>
      <c r="O5893" s="2">
        <f>IF(LeadsData[[#This Row],[Stage Number]]&gt;=4,1,0)</f>
        <v>0</v>
      </c>
    </row>
    <row r="5894" spans="1:15" x14ac:dyDescent="0.25">
      <c r="A5894" t="s">
        <v>5934</v>
      </c>
      <c r="B5894" s="1">
        <v>45624</v>
      </c>
      <c r="C5894" t="s">
        <v>46</v>
      </c>
      <c r="D5894" t="s">
        <v>56</v>
      </c>
      <c r="E5894" t="s">
        <v>13</v>
      </c>
      <c r="F5894" t="s">
        <v>22</v>
      </c>
      <c r="G5894" t="s">
        <v>23</v>
      </c>
      <c r="K5894" cm="1">
        <f t="array" ref="K5894">_xlfn.SWITCH(LeadsData[[#This Row],[Funnel Stage Reached]],"Lead",1,"MQL",2,"SQL",3,"Customer",4)</f>
        <v>2</v>
      </c>
      <c r="L5894" t="str">
        <f>TEXT(LeadsData[[#This Row],[Signup Date]],"mmm-yyyy")</f>
        <v>Nov-2024</v>
      </c>
      <c r="M5894">
        <f>IF(LeadsData[[#This Row],[Stage Number]]&gt;=2,1,0)</f>
        <v>1</v>
      </c>
      <c r="N5894" s="2">
        <f>IF(LeadsData[[#This Row],[Stage Number]]&gt;=3,1,0)</f>
        <v>0</v>
      </c>
      <c r="O5894" s="2">
        <f>IF(LeadsData[[#This Row],[Stage Number]]&gt;=4,1,0)</f>
        <v>0</v>
      </c>
    </row>
    <row r="5895" spans="1:15" x14ac:dyDescent="0.25">
      <c r="A5895" t="s">
        <v>5935</v>
      </c>
      <c r="B5895" s="1">
        <v>45489</v>
      </c>
      <c r="C5895" t="s">
        <v>25</v>
      </c>
      <c r="D5895" t="s">
        <v>26</v>
      </c>
      <c r="E5895" t="s">
        <v>13</v>
      </c>
      <c r="F5895" t="s">
        <v>19</v>
      </c>
      <c r="G5895" t="s">
        <v>23</v>
      </c>
      <c r="K5895" cm="1">
        <f t="array" ref="K5895">_xlfn.SWITCH(LeadsData[[#This Row],[Funnel Stage Reached]],"Lead",1,"MQL",2,"SQL",3,"Customer",4)</f>
        <v>2</v>
      </c>
      <c r="L5895" t="str">
        <f>TEXT(LeadsData[[#This Row],[Signup Date]],"mmm-yyyy")</f>
        <v>Jul-2024</v>
      </c>
      <c r="M5895">
        <f>IF(LeadsData[[#This Row],[Stage Number]]&gt;=2,1,0)</f>
        <v>1</v>
      </c>
      <c r="N5895" s="2">
        <f>IF(LeadsData[[#This Row],[Stage Number]]&gt;=3,1,0)</f>
        <v>0</v>
      </c>
      <c r="O5895" s="2">
        <f>IF(LeadsData[[#This Row],[Stage Number]]&gt;=4,1,0)</f>
        <v>0</v>
      </c>
    </row>
    <row r="5896" spans="1:15" x14ac:dyDescent="0.25">
      <c r="A5896" t="s">
        <v>5936</v>
      </c>
      <c r="B5896" s="1">
        <v>45302</v>
      </c>
      <c r="C5896" t="s">
        <v>17</v>
      </c>
      <c r="D5896" t="s">
        <v>18</v>
      </c>
      <c r="E5896" t="s">
        <v>21</v>
      </c>
      <c r="F5896" t="s">
        <v>19</v>
      </c>
      <c r="G5896" t="s">
        <v>15</v>
      </c>
      <c r="K5896" cm="1">
        <f t="array" ref="K5896">_xlfn.SWITCH(LeadsData[[#This Row],[Funnel Stage Reached]],"Lead",1,"MQL",2,"SQL",3,"Customer",4)</f>
        <v>1</v>
      </c>
      <c r="L5896" t="str">
        <f>TEXT(LeadsData[[#This Row],[Signup Date]],"mmm-yyyy")</f>
        <v>Jan-2024</v>
      </c>
      <c r="M5896">
        <f>IF(LeadsData[[#This Row],[Stage Number]]&gt;=2,1,0)</f>
        <v>0</v>
      </c>
      <c r="N5896" s="2">
        <f>IF(LeadsData[[#This Row],[Stage Number]]&gt;=3,1,0)</f>
        <v>0</v>
      </c>
      <c r="O5896" s="2">
        <f>IF(LeadsData[[#This Row],[Stage Number]]&gt;=4,1,0)</f>
        <v>0</v>
      </c>
    </row>
    <row r="5897" spans="1:15" x14ac:dyDescent="0.25">
      <c r="A5897" t="s">
        <v>5937</v>
      </c>
      <c r="B5897" s="1">
        <v>45593</v>
      </c>
      <c r="C5897" t="s">
        <v>11</v>
      </c>
      <c r="D5897" t="s">
        <v>79</v>
      </c>
      <c r="E5897" t="s">
        <v>13</v>
      </c>
      <c r="F5897" t="s">
        <v>19</v>
      </c>
      <c r="G5897" t="s">
        <v>15</v>
      </c>
      <c r="K5897" cm="1">
        <f t="array" ref="K5897">_xlfn.SWITCH(LeadsData[[#This Row],[Funnel Stage Reached]],"Lead",1,"MQL",2,"SQL",3,"Customer",4)</f>
        <v>1</v>
      </c>
      <c r="L5897" t="str">
        <f>TEXT(LeadsData[[#This Row],[Signup Date]],"mmm-yyyy")</f>
        <v>Oct-2024</v>
      </c>
      <c r="M5897">
        <f>IF(LeadsData[[#This Row],[Stage Number]]&gt;=2,1,0)</f>
        <v>0</v>
      </c>
      <c r="N5897" s="2">
        <f>IF(LeadsData[[#This Row],[Stage Number]]&gt;=3,1,0)</f>
        <v>0</v>
      </c>
      <c r="O5897" s="2">
        <f>IF(LeadsData[[#This Row],[Stage Number]]&gt;=4,1,0)</f>
        <v>0</v>
      </c>
    </row>
    <row r="5898" spans="1:15" x14ac:dyDescent="0.25">
      <c r="A5898" t="s">
        <v>5938</v>
      </c>
      <c r="B5898" s="1">
        <v>45415</v>
      </c>
      <c r="C5898" t="s">
        <v>17</v>
      </c>
      <c r="D5898" t="s">
        <v>18</v>
      </c>
      <c r="E5898" t="s">
        <v>13</v>
      </c>
      <c r="F5898" t="s">
        <v>28</v>
      </c>
      <c r="G5898" t="s">
        <v>15</v>
      </c>
      <c r="K5898" cm="1">
        <f t="array" ref="K5898">_xlfn.SWITCH(LeadsData[[#This Row],[Funnel Stage Reached]],"Lead",1,"MQL",2,"SQL",3,"Customer",4)</f>
        <v>1</v>
      </c>
      <c r="L5898" t="str">
        <f>TEXT(LeadsData[[#This Row],[Signup Date]],"mmm-yyyy")</f>
        <v>May-2024</v>
      </c>
      <c r="M5898">
        <f>IF(LeadsData[[#This Row],[Stage Number]]&gt;=2,1,0)</f>
        <v>0</v>
      </c>
      <c r="N5898" s="2">
        <f>IF(LeadsData[[#This Row],[Stage Number]]&gt;=3,1,0)</f>
        <v>0</v>
      </c>
      <c r="O5898" s="2">
        <f>IF(LeadsData[[#This Row],[Stage Number]]&gt;=4,1,0)</f>
        <v>0</v>
      </c>
    </row>
    <row r="5899" spans="1:15" x14ac:dyDescent="0.25">
      <c r="A5899" t="s">
        <v>5939</v>
      </c>
      <c r="B5899" s="1">
        <v>45424</v>
      </c>
      <c r="C5899" t="s">
        <v>17</v>
      </c>
      <c r="D5899" t="s">
        <v>18</v>
      </c>
      <c r="E5899" t="s">
        <v>21</v>
      </c>
      <c r="F5899" t="s">
        <v>28</v>
      </c>
      <c r="G5899" t="s">
        <v>15</v>
      </c>
      <c r="K5899" cm="1">
        <f t="array" ref="K5899">_xlfn.SWITCH(LeadsData[[#This Row],[Funnel Stage Reached]],"Lead",1,"MQL",2,"SQL",3,"Customer",4)</f>
        <v>1</v>
      </c>
      <c r="L5899" t="str">
        <f>TEXT(LeadsData[[#This Row],[Signup Date]],"mmm-yyyy")</f>
        <v>May-2024</v>
      </c>
      <c r="M5899">
        <f>IF(LeadsData[[#This Row],[Stage Number]]&gt;=2,1,0)</f>
        <v>0</v>
      </c>
      <c r="N5899" s="2">
        <f>IF(LeadsData[[#This Row],[Stage Number]]&gt;=3,1,0)</f>
        <v>0</v>
      </c>
      <c r="O5899" s="2">
        <f>IF(LeadsData[[#This Row],[Stage Number]]&gt;=4,1,0)</f>
        <v>0</v>
      </c>
    </row>
    <row r="5900" spans="1:15" x14ac:dyDescent="0.25">
      <c r="A5900" t="s">
        <v>5940</v>
      </c>
      <c r="B5900" s="1">
        <v>45486</v>
      </c>
      <c r="C5900" t="s">
        <v>17</v>
      </c>
      <c r="D5900" t="s">
        <v>18</v>
      </c>
      <c r="E5900" t="s">
        <v>21</v>
      </c>
      <c r="F5900" t="s">
        <v>22</v>
      </c>
      <c r="G5900" t="s">
        <v>29</v>
      </c>
      <c r="K5900" cm="1">
        <f t="array" ref="K5900">_xlfn.SWITCH(LeadsData[[#This Row],[Funnel Stage Reached]],"Lead",1,"MQL",2,"SQL",3,"Customer",4)</f>
        <v>3</v>
      </c>
      <c r="L5900" t="str">
        <f>TEXT(LeadsData[[#This Row],[Signup Date]],"mmm-yyyy")</f>
        <v>Jul-2024</v>
      </c>
      <c r="M5900">
        <f>IF(LeadsData[[#This Row],[Stage Number]]&gt;=2,1,0)</f>
        <v>1</v>
      </c>
      <c r="N5900" s="2">
        <f>IF(LeadsData[[#This Row],[Stage Number]]&gt;=3,1,0)</f>
        <v>1</v>
      </c>
      <c r="O5900" s="2">
        <f>IF(LeadsData[[#This Row],[Stage Number]]&gt;=4,1,0)</f>
        <v>0</v>
      </c>
    </row>
    <row r="5901" spans="1:15" x14ac:dyDescent="0.25">
      <c r="A5901" t="s">
        <v>5941</v>
      </c>
      <c r="B5901" s="1">
        <v>45584</v>
      </c>
      <c r="C5901" t="s">
        <v>11</v>
      </c>
      <c r="D5901" t="s">
        <v>12</v>
      </c>
      <c r="E5901" t="s">
        <v>13</v>
      </c>
      <c r="F5901" t="s">
        <v>19</v>
      </c>
      <c r="G5901" t="s">
        <v>15</v>
      </c>
      <c r="K5901" cm="1">
        <f t="array" ref="K5901">_xlfn.SWITCH(LeadsData[[#This Row],[Funnel Stage Reached]],"Lead",1,"MQL",2,"SQL",3,"Customer",4)</f>
        <v>1</v>
      </c>
      <c r="L5901" t="str">
        <f>TEXT(LeadsData[[#This Row],[Signup Date]],"mmm-yyyy")</f>
        <v>Oct-2024</v>
      </c>
      <c r="M5901">
        <f>IF(LeadsData[[#This Row],[Stage Number]]&gt;=2,1,0)</f>
        <v>0</v>
      </c>
      <c r="N5901" s="2">
        <f>IF(LeadsData[[#This Row],[Stage Number]]&gt;=3,1,0)</f>
        <v>0</v>
      </c>
      <c r="O5901" s="2">
        <f>IF(LeadsData[[#This Row],[Stage Number]]&gt;=4,1,0)</f>
        <v>0</v>
      </c>
    </row>
    <row r="5902" spans="1:15" x14ac:dyDescent="0.25">
      <c r="A5902" t="s">
        <v>5942</v>
      </c>
      <c r="B5902" s="1">
        <v>45566</v>
      </c>
      <c r="C5902" t="s">
        <v>46</v>
      </c>
      <c r="D5902" t="s">
        <v>56</v>
      </c>
      <c r="E5902" t="s">
        <v>13</v>
      </c>
      <c r="F5902" t="s">
        <v>22</v>
      </c>
      <c r="G5902" t="s">
        <v>15</v>
      </c>
      <c r="K5902" cm="1">
        <f t="array" ref="K5902">_xlfn.SWITCH(LeadsData[[#This Row],[Funnel Stage Reached]],"Lead",1,"MQL",2,"SQL",3,"Customer",4)</f>
        <v>1</v>
      </c>
      <c r="L5902" t="str">
        <f>TEXT(LeadsData[[#This Row],[Signup Date]],"mmm-yyyy")</f>
        <v>Oct-2024</v>
      </c>
      <c r="M5902">
        <f>IF(LeadsData[[#This Row],[Stage Number]]&gt;=2,1,0)</f>
        <v>0</v>
      </c>
      <c r="N5902" s="2">
        <f>IF(LeadsData[[#This Row],[Stage Number]]&gt;=3,1,0)</f>
        <v>0</v>
      </c>
      <c r="O5902" s="2">
        <f>IF(LeadsData[[#This Row],[Stage Number]]&gt;=4,1,0)</f>
        <v>0</v>
      </c>
    </row>
    <row r="5903" spans="1:15" x14ac:dyDescent="0.25">
      <c r="A5903" t="s">
        <v>5943</v>
      </c>
      <c r="B5903" s="1">
        <v>45585</v>
      </c>
      <c r="C5903" t="s">
        <v>31</v>
      </c>
      <c r="D5903" t="s">
        <v>34</v>
      </c>
      <c r="E5903" t="s">
        <v>21</v>
      </c>
      <c r="F5903" t="s">
        <v>22</v>
      </c>
      <c r="G5903" t="s">
        <v>15</v>
      </c>
      <c r="K5903" cm="1">
        <f t="array" ref="K5903">_xlfn.SWITCH(LeadsData[[#This Row],[Funnel Stage Reached]],"Lead",1,"MQL",2,"SQL",3,"Customer",4)</f>
        <v>1</v>
      </c>
      <c r="L5903" t="str">
        <f>TEXT(LeadsData[[#This Row],[Signup Date]],"mmm-yyyy")</f>
        <v>Oct-2024</v>
      </c>
      <c r="M5903">
        <f>IF(LeadsData[[#This Row],[Stage Number]]&gt;=2,1,0)</f>
        <v>0</v>
      </c>
      <c r="N5903" s="2">
        <f>IF(LeadsData[[#This Row],[Stage Number]]&gt;=3,1,0)</f>
        <v>0</v>
      </c>
      <c r="O5903" s="2">
        <f>IF(LeadsData[[#This Row],[Stage Number]]&gt;=4,1,0)</f>
        <v>0</v>
      </c>
    </row>
    <row r="5904" spans="1:15" x14ac:dyDescent="0.25">
      <c r="A5904" t="s">
        <v>5944</v>
      </c>
      <c r="B5904" s="1">
        <v>45600</v>
      </c>
      <c r="C5904" t="s">
        <v>36</v>
      </c>
      <c r="D5904" t="s">
        <v>37</v>
      </c>
      <c r="E5904" t="s">
        <v>13</v>
      </c>
      <c r="F5904" t="s">
        <v>19</v>
      </c>
      <c r="G5904" t="s">
        <v>42</v>
      </c>
      <c r="H5904">
        <v>46</v>
      </c>
      <c r="I5904" t="s">
        <v>87</v>
      </c>
      <c r="J5904">
        <v>4185.2299999999996</v>
      </c>
      <c r="K5904" cm="1">
        <f t="array" ref="K5904">_xlfn.SWITCH(LeadsData[[#This Row],[Funnel Stage Reached]],"Lead",1,"MQL",2,"SQL",3,"Customer",4)</f>
        <v>4</v>
      </c>
      <c r="L5904" t="str">
        <f>TEXT(LeadsData[[#This Row],[Signup Date]],"mmm-yyyy")</f>
        <v>Nov-2024</v>
      </c>
      <c r="M5904">
        <f>IF(LeadsData[[#This Row],[Stage Number]]&gt;=2,1,0)</f>
        <v>1</v>
      </c>
      <c r="N5904" s="2">
        <f>IF(LeadsData[[#This Row],[Stage Number]]&gt;=3,1,0)</f>
        <v>1</v>
      </c>
      <c r="O5904" s="2">
        <f>IF(LeadsData[[#This Row],[Stage Number]]&gt;=4,1,0)</f>
        <v>1</v>
      </c>
    </row>
    <row r="5905" spans="1:15" x14ac:dyDescent="0.25">
      <c r="A5905" t="s">
        <v>5945</v>
      </c>
      <c r="B5905" s="1">
        <v>45538</v>
      </c>
      <c r="C5905" t="s">
        <v>11</v>
      </c>
      <c r="D5905" t="s">
        <v>68</v>
      </c>
      <c r="E5905" t="s">
        <v>13</v>
      </c>
      <c r="F5905" t="s">
        <v>19</v>
      </c>
      <c r="G5905" t="s">
        <v>23</v>
      </c>
      <c r="K5905" cm="1">
        <f t="array" ref="K5905">_xlfn.SWITCH(LeadsData[[#This Row],[Funnel Stage Reached]],"Lead",1,"MQL",2,"SQL",3,"Customer",4)</f>
        <v>2</v>
      </c>
      <c r="L5905" t="str">
        <f>TEXT(LeadsData[[#This Row],[Signup Date]],"mmm-yyyy")</f>
        <v>Sep-2024</v>
      </c>
      <c r="M5905">
        <f>IF(LeadsData[[#This Row],[Stage Number]]&gt;=2,1,0)</f>
        <v>1</v>
      </c>
      <c r="N5905" s="2">
        <f>IF(LeadsData[[#This Row],[Stage Number]]&gt;=3,1,0)</f>
        <v>0</v>
      </c>
      <c r="O5905" s="2">
        <f>IF(LeadsData[[#This Row],[Stage Number]]&gt;=4,1,0)</f>
        <v>0</v>
      </c>
    </row>
    <row r="5906" spans="1:15" x14ac:dyDescent="0.25">
      <c r="A5906" t="s">
        <v>5946</v>
      </c>
      <c r="B5906" s="1">
        <v>45559</v>
      </c>
      <c r="C5906" t="s">
        <v>31</v>
      </c>
      <c r="D5906" t="s">
        <v>34</v>
      </c>
      <c r="E5906" t="s">
        <v>21</v>
      </c>
      <c r="F5906" t="s">
        <v>14</v>
      </c>
      <c r="G5906" t="s">
        <v>23</v>
      </c>
      <c r="K5906" cm="1">
        <f t="array" ref="K5906">_xlfn.SWITCH(LeadsData[[#This Row],[Funnel Stage Reached]],"Lead",1,"MQL",2,"SQL",3,"Customer",4)</f>
        <v>2</v>
      </c>
      <c r="L5906" t="str">
        <f>TEXT(LeadsData[[#This Row],[Signup Date]],"mmm-yyyy")</f>
        <v>Sep-2024</v>
      </c>
      <c r="M5906">
        <f>IF(LeadsData[[#This Row],[Stage Number]]&gt;=2,1,0)</f>
        <v>1</v>
      </c>
      <c r="N5906" s="2">
        <f>IF(LeadsData[[#This Row],[Stage Number]]&gt;=3,1,0)</f>
        <v>0</v>
      </c>
      <c r="O5906" s="2">
        <f>IF(LeadsData[[#This Row],[Stage Number]]&gt;=4,1,0)</f>
        <v>0</v>
      </c>
    </row>
    <row r="5907" spans="1:15" x14ac:dyDescent="0.25">
      <c r="A5907" t="s">
        <v>5947</v>
      </c>
      <c r="B5907" s="1">
        <v>45358</v>
      </c>
      <c r="C5907" t="s">
        <v>36</v>
      </c>
      <c r="D5907" t="s">
        <v>50</v>
      </c>
      <c r="E5907" t="s">
        <v>21</v>
      </c>
      <c r="F5907" t="s">
        <v>22</v>
      </c>
      <c r="G5907" t="s">
        <v>15</v>
      </c>
      <c r="K5907" cm="1">
        <f t="array" ref="K5907">_xlfn.SWITCH(LeadsData[[#This Row],[Funnel Stage Reached]],"Lead",1,"MQL",2,"SQL",3,"Customer",4)</f>
        <v>1</v>
      </c>
      <c r="L5907" t="str">
        <f>TEXT(LeadsData[[#This Row],[Signup Date]],"mmm-yyyy")</f>
        <v>Mar-2024</v>
      </c>
      <c r="M5907">
        <f>IF(LeadsData[[#This Row],[Stage Number]]&gt;=2,1,0)</f>
        <v>0</v>
      </c>
      <c r="N5907" s="2">
        <f>IF(LeadsData[[#This Row],[Stage Number]]&gt;=3,1,0)</f>
        <v>0</v>
      </c>
      <c r="O5907" s="2">
        <f>IF(LeadsData[[#This Row],[Stage Number]]&gt;=4,1,0)</f>
        <v>0</v>
      </c>
    </row>
    <row r="5908" spans="1:15" x14ac:dyDescent="0.25">
      <c r="A5908" t="s">
        <v>5948</v>
      </c>
      <c r="B5908" s="1">
        <v>45436</v>
      </c>
      <c r="C5908" t="s">
        <v>46</v>
      </c>
      <c r="D5908" t="s">
        <v>56</v>
      </c>
      <c r="E5908" t="s">
        <v>21</v>
      </c>
      <c r="F5908" t="s">
        <v>22</v>
      </c>
      <c r="G5908" t="s">
        <v>23</v>
      </c>
      <c r="K5908" cm="1">
        <f t="array" ref="K5908">_xlfn.SWITCH(LeadsData[[#This Row],[Funnel Stage Reached]],"Lead",1,"MQL",2,"SQL",3,"Customer",4)</f>
        <v>2</v>
      </c>
      <c r="L5908" t="str">
        <f>TEXT(LeadsData[[#This Row],[Signup Date]],"mmm-yyyy")</f>
        <v>May-2024</v>
      </c>
      <c r="M5908">
        <f>IF(LeadsData[[#This Row],[Stage Number]]&gt;=2,1,0)</f>
        <v>1</v>
      </c>
      <c r="N5908" s="2">
        <f>IF(LeadsData[[#This Row],[Stage Number]]&gt;=3,1,0)</f>
        <v>0</v>
      </c>
      <c r="O5908" s="2">
        <f>IF(LeadsData[[#This Row],[Stage Number]]&gt;=4,1,0)</f>
        <v>0</v>
      </c>
    </row>
    <row r="5909" spans="1:15" x14ac:dyDescent="0.25">
      <c r="A5909" t="s">
        <v>5949</v>
      </c>
      <c r="B5909" s="1">
        <v>45556</v>
      </c>
      <c r="C5909" t="s">
        <v>25</v>
      </c>
      <c r="D5909" t="s">
        <v>26</v>
      </c>
      <c r="E5909" t="s">
        <v>13</v>
      </c>
      <c r="F5909" t="s">
        <v>19</v>
      </c>
      <c r="G5909" t="s">
        <v>15</v>
      </c>
      <c r="K5909" cm="1">
        <f t="array" ref="K5909">_xlfn.SWITCH(LeadsData[[#This Row],[Funnel Stage Reached]],"Lead",1,"MQL",2,"SQL",3,"Customer",4)</f>
        <v>1</v>
      </c>
      <c r="L5909" t="str">
        <f>TEXT(LeadsData[[#This Row],[Signup Date]],"mmm-yyyy")</f>
        <v>Sep-2024</v>
      </c>
      <c r="M5909">
        <f>IF(LeadsData[[#This Row],[Stage Number]]&gt;=2,1,0)</f>
        <v>0</v>
      </c>
      <c r="N5909" s="2">
        <f>IF(LeadsData[[#This Row],[Stage Number]]&gt;=3,1,0)</f>
        <v>0</v>
      </c>
      <c r="O5909" s="2">
        <f>IF(LeadsData[[#This Row],[Stage Number]]&gt;=4,1,0)</f>
        <v>0</v>
      </c>
    </row>
    <row r="5910" spans="1:15" x14ac:dyDescent="0.25">
      <c r="A5910" t="s">
        <v>5950</v>
      </c>
      <c r="B5910" s="1">
        <v>45416</v>
      </c>
      <c r="C5910" t="s">
        <v>36</v>
      </c>
      <c r="D5910" t="s">
        <v>37</v>
      </c>
      <c r="E5910" t="s">
        <v>13</v>
      </c>
      <c r="F5910" t="s">
        <v>19</v>
      </c>
      <c r="G5910" t="s">
        <v>15</v>
      </c>
      <c r="K5910" cm="1">
        <f t="array" ref="K5910">_xlfn.SWITCH(LeadsData[[#This Row],[Funnel Stage Reached]],"Lead",1,"MQL",2,"SQL",3,"Customer",4)</f>
        <v>1</v>
      </c>
      <c r="L5910" t="str">
        <f>TEXT(LeadsData[[#This Row],[Signup Date]],"mmm-yyyy")</f>
        <v>May-2024</v>
      </c>
      <c r="M5910">
        <f>IF(LeadsData[[#This Row],[Stage Number]]&gt;=2,1,0)</f>
        <v>0</v>
      </c>
      <c r="N5910" s="2">
        <f>IF(LeadsData[[#This Row],[Stage Number]]&gt;=3,1,0)</f>
        <v>0</v>
      </c>
      <c r="O5910" s="2">
        <f>IF(LeadsData[[#This Row],[Stage Number]]&gt;=4,1,0)</f>
        <v>0</v>
      </c>
    </row>
    <row r="5911" spans="1:15" x14ac:dyDescent="0.25">
      <c r="A5911" t="s">
        <v>5951</v>
      </c>
      <c r="B5911" s="1">
        <v>45377</v>
      </c>
      <c r="C5911" t="s">
        <v>36</v>
      </c>
      <c r="D5911" t="s">
        <v>50</v>
      </c>
      <c r="E5911" t="s">
        <v>13</v>
      </c>
      <c r="F5911" t="s">
        <v>22</v>
      </c>
      <c r="G5911" t="s">
        <v>15</v>
      </c>
      <c r="K5911" cm="1">
        <f t="array" ref="K5911">_xlfn.SWITCH(LeadsData[[#This Row],[Funnel Stage Reached]],"Lead",1,"MQL",2,"SQL",3,"Customer",4)</f>
        <v>1</v>
      </c>
      <c r="L5911" t="str">
        <f>TEXT(LeadsData[[#This Row],[Signup Date]],"mmm-yyyy")</f>
        <v>Mar-2024</v>
      </c>
      <c r="M5911">
        <f>IF(LeadsData[[#This Row],[Stage Number]]&gt;=2,1,0)</f>
        <v>0</v>
      </c>
      <c r="N5911" s="2">
        <f>IF(LeadsData[[#This Row],[Stage Number]]&gt;=3,1,0)</f>
        <v>0</v>
      </c>
      <c r="O5911" s="2">
        <f>IF(LeadsData[[#This Row],[Stage Number]]&gt;=4,1,0)</f>
        <v>0</v>
      </c>
    </row>
    <row r="5912" spans="1:15" x14ac:dyDescent="0.25">
      <c r="A5912" t="s">
        <v>5952</v>
      </c>
      <c r="B5912" s="1">
        <v>45363</v>
      </c>
      <c r="C5912" t="s">
        <v>36</v>
      </c>
      <c r="D5912" t="s">
        <v>37</v>
      </c>
      <c r="E5912" t="s">
        <v>13</v>
      </c>
      <c r="F5912" t="s">
        <v>14</v>
      </c>
      <c r="G5912" t="s">
        <v>15</v>
      </c>
      <c r="K5912" cm="1">
        <f t="array" ref="K5912">_xlfn.SWITCH(LeadsData[[#This Row],[Funnel Stage Reached]],"Lead",1,"MQL",2,"SQL",3,"Customer",4)</f>
        <v>1</v>
      </c>
      <c r="L5912" t="str">
        <f>TEXT(LeadsData[[#This Row],[Signup Date]],"mmm-yyyy")</f>
        <v>Mar-2024</v>
      </c>
      <c r="M5912">
        <f>IF(LeadsData[[#This Row],[Stage Number]]&gt;=2,1,0)</f>
        <v>0</v>
      </c>
      <c r="N5912" s="2">
        <f>IF(LeadsData[[#This Row],[Stage Number]]&gt;=3,1,0)</f>
        <v>0</v>
      </c>
      <c r="O5912" s="2">
        <f>IF(LeadsData[[#This Row],[Stage Number]]&gt;=4,1,0)</f>
        <v>0</v>
      </c>
    </row>
    <row r="5913" spans="1:15" x14ac:dyDescent="0.25">
      <c r="A5913" t="s">
        <v>5953</v>
      </c>
      <c r="B5913" s="1">
        <v>45647</v>
      </c>
      <c r="C5913" t="s">
        <v>36</v>
      </c>
      <c r="D5913" t="s">
        <v>37</v>
      </c>
      <c r="E5913" t="s">
        <v>21</v>
      </c>
      <c r="F5913" t="s">
        <v>14</v>
      </c>
      <c r="G5913" t="s">
        <v>23</v>
      </c>
      <c r="K5913" cm="1">
        <f t="array" ref="K5913">_xlfn.SWITCH(LeadsData[[#This Row],[Funnel Stage Reached]],"Lead",1,"MQL",2,"SQL",3,"Customer",4)</f>
        <v>2</v>
      </c>
      <c r="L5913" t="str">
        <f>TEXT(LeadsData[[#This Row],[Signup Date]],"mmm-yyyy")</f>
        <v>Dec-2024</v>
      </c>
      <c r="M5913">
        <f>IF(LeadsData[[#This Row],[Stage Number]]&gt;=2,1,0)</f>
        <v>1</v>
      </c>
      <c r="N5913" s="2">
        <f>IF(LeadsData[[#This Row],[Stage Number]]&gt;=3,1,0)</f>
        <v>0</v>
      </c>
      <c r="O5913" s="2">
        <f>IF(LeadsData[[#This Row],[Stage Number]]&gt;=4,1,0)</f>
        <v>0</v>
      </c>
    </row>
    <row r="5914" spans="1:15" x14ac:dyDescent="0.25">
      <c r="A5914" t="s">
        <v>5954</v>
      </c>
      <c r="B5914" s="1">
        <v>45416</v>
      </c>
      <c r="C5914" t="s">
        <v>17</v>
      </c>
      <c r="D5914" t="s">
        <v>53</v>
      </c>
      <c r="E5914" t="s">
        <v>13</v>
      </c>
      <c r="F5914" t="s">
        <v>19</v>
      </c>
      <c r="G5914" t="s">
        <v>23</v>
      </c>
      <c r="K5914" cm="1">
        <f t="array" ref="K5914">_xlfn.SWITCH(LeadsData[[#This Row],[Funnel Stage Reached]],"Lead",1,"MQL",2,"SQL",3,"Customer",4)</f>
        <v>2</v>
      </c>
      <c r="L5914" t="str">
        <f>TEXT(LeadsData[[#This Row],[Signup Date]],"mmm-yyyy")</f>
        <v>May-2024</v>
      </c>
      <c r="M5914">
        <f>IF(LeadsData[[#This Row],[Stage Number]]&gt;=2,1,0)</f>
        <v>1</v>
      </c>
      <c r="N5914" s="2">
        <f>IF(LeadsData[[#This Row],[Stage Number]]&gt;=3,1,0)</f>
        <v>0</v>
      </c>
      <c r="O5914" s="2">
        <f>IF(LeadsData[[#This Row],[Stage Number]]&gt;=4,1,0)</f>
        <v>0</v>
      </c>
    </row>
    <row r="5915" spans="1:15" x14ac:dyDescent="0.25">
      <c r="A5915" t="s">
        <v>5955</v>
      </c>
      <c r="B5915" s="1">
        <v>45544</v>
      </c>
      <c r="C5915" t="s">
        <v>36</v>
      </c>
      <c r="D5915" t="s">
        <v>50</v>
      </c>
      <c r="E5915" t="s">
        <v>13</v>
      </c>
      <c r="F5915" t="s">
        <v>22</v>
      </c>
      <c r="G5915" t="s">
        <v>15</v>
      </c>
      <c r="K5915" cm="1">
        <f t="array" ref="K5915">_xlfn.SWITCH(LeadsData[[#This Row],[Funnel Stage Reached]],"Lead",1,"MQL",2,"SQL",3,"Customer",4)</f>
        <v>1</v>
      </c>
      <c r="L5915" t="str">
        <f>TEXT(LeadsData[[#This Row],[Signup Date]],"mmm-yyyy")</f>
        <v>Sep-2024</v>
      </c>
      <c r="M5915">
        <f>IF(LeadsData[[#This Row],[Stage Number]]&gt;=2,1,0)</f>
        <v>0</v>
      </c>
      <c r="N5915" s="2">
        <f>IF(LeadsData[[#This Row],[Stage Number]]&gt;=3,1,0)</f>
        <v>0</v>
      </c>
      <c r="O5915" s="2">
        <f>IF(LeadsData[[#This Row],[Stage Number]]&gt;=4,1,0)</f>
        <v>0</v>
      </c>
    </row>
    <row r="5916" spans="1:15" x14ac:dyDescent="0.25">
      <c r="A5916" t="s">
        <v>5956</v>
      </c>
      <c r="B5916" s="1">
        <v>45434</v>
      </c>
      <c r="C5916" t="s">
        <v>17</v>
      </c>
      <c r="D5916" t="s">
        <v>53</v>
      </c>
      <c r="E5916" t="s">
        <v>21</v>
      </c>
      <c r="F5916" t="s">
        <v>14</v>
      </c>
      <c r="G5916" t="s">
        <v>15</v>
      </c>
      <c r="K5916" cm="1">
        <f t="array" ref="K5916">_xlfn.SWITCH(LeadsData[[#This Row],[Funnel Stage Reached]],"Lead",1,"MQL",2,"SQL",3,"Customer",4)</f>
        <v>1</v>
      </c>
      <c r="L5916" t="str">
        <f>TEXT(LeadsData[[#This Row],[Signup Date]],"mmm-yyyy")</f>
        <v>May-2024</v>
      </c>
      <c r="M5916">
        <f>IF(LeadsData[[#This Row],[Stage Number]]&gt;=2,1,0)</f>
        <v>0</v>
      </c>
      <c r="N5916" s="2">
        <f>IF(LeadsData[[#This Row],[Stage Number]]&gt;=3,1,0)</f>
        <v>0</v>
      </c>
      <c r="O5916" s="2">
        <f>IF(LeadsData[[#This Row],[Stage Number]]&gt;=4,1,0)</f>
        <v>0</v>
      </c>
    </row>
    <row r="5917" spans="1:15" x14ac:dyDescent="0.25">
      <c r="A5917" t="s">
        <v>5957</v>
      </c>
      <c r="B5917" s="1">
        <v>45581</v>
      </c>
      <c r="C5917" t="s">
        <v>46</v>
      </c>
      <c r="D5917" t="s">
        <v>47</v>
      </c>
      <c r="E5917" t="s">
        <v>13</v>
      </c>
      <c r="F5917" t="s">
        <v>19</v>
      </c>
      <c r="G5917" t="s">
        <v>23</v>
      </c>
      <c r="K5917" cm="1">
        <f t="array" ref="K5917">_xlfn.SWITCH(LeadsData[[#This Row],[Funnel Stage Reached]],"Lead",1,"MQL",2,"SQL",3,"Customer",4)</f>
        <v>2</v>
      </c>
      <c r="L5917" t="str">
        <f>TEXT(LeadsData[[#This Row],[Signup Date]],"mmm-yyyy")</f>
        <v>Oct-2024</v>
      </c>
      <c r="M5917">
        <f>IF(LeadsData[[#This Row],[Stage Number]]&gt;=2,1,0)</f>
        <v>1</v>
      </c>
      <c r="N5917" s="2">
        <f>IF(LeadsData[[#This Row],[Stage Number]]&gt;=3,1,0)</f>
        <v>0</v>
      </c>
      <c r="O5917" s="2">
        <f>IF(LeadsData[[#This Row],[Stage Number]]&gt;=4,1,0)</f>
        <v>0</v>
      </c>
    </row>
    <row r="5918" spans="1:15" x14ac:dyDescent="0.25">
      <c r="A5918" t="s">
        <v>5958</v>
      </c>
      <c r="B5918" s="1">
        <v>45521</v>
      </c>
      <c r="C5918" t="s">
        <v>25</v>
      </c>
      <c r="D5918" t="s">
        <v>26</v>
      </c>
      <c r="E5918" t="s">
        <v>13</v>
      </c>
      <c r="F5918" t="s">
        <v>28</v>
      </c>
      <c r="G5918" t="s">
        <v>29</v>
      </c>
      <c r="K5918" cm="1">
        <f t="array" ref="K5918">_xlfn.SWITCH(LeadsData[[#This Row],[Funnel Stage Reached]],"Lead",1,"MQL",2,"SQL",3,"Customer",4)</f>
        <v>3</v>
      </c>
      <c r="L5918" t="str">
        <f>TEXT(LeadsData[[#This Row],[Signup Date]],"mmm-yyyy")</f>
        <v>Aug-2024</v>
      </c>
      <c r="M5918">
        <f>IF(LeadsData[[#This Row],[Stage Number]]&gt;=2,1,0)</f>
        <v>1</v>
      </c>
      <c r="N5918" s="2">
        <f>IF(LeadsData[[#This Row],[Stage Number]]&gt;=3,1,0)</f>
        <v>1</v>
      </c>
      <c r="O5918" s="2">
        <f>IF(LeadsData[[#This Row],[Stage Number]]&gt;=4,1,0)</f>
        <v>0</v>
      </c>
    </row>
    <row r="5919" spans="1:15" x14ac:dyDescent="0.25">
      <c r="A5919" t="s">
        <v>5959</v>
      </c>
      <c r="B5919" s="1">
        <v>45369</v>
      </c>
      <c r="C5919" t="s">
        <v>31</v>
      </c>
      <c r="D5919" t="s">
        <v>32</v>
      </c>
      <c r="E5919" t="s">
        <v>13</v>
      </c>
      <c r="F5919" t="s">
        <v>22</v>
      </c>
      <c r="G5919" t="s">
        <v>15</v>
      </c>
      <c r="K5919" cm="1">
        <f t="array" ref="K5919">_xlfn.SWITCH(LeadsData[[#This Row],[Funnel Stage Reached]],"Lead",1,"MQL",2,"SQL",3,"Customer",4)</f>
        <v>1</v>
      </c>
      <c r="L5919" t="str">
        <f>TEXT(LeadsData[[#This Row],[Signup Date]],"mmm-yyyy")</f>
        <v>Mar-2024</v>
      </c>
      <c r="M5919">
        <f>IF(LeadsData[[#This Row],[Stage Number]]&gt;=2,1,0)</f>
        <v>0</v>
      </c>
      <c r="N5919" s="2">
        <f>IF(LeadsData[[#This Row],[Stage Number]]&gt;=3,1,0)</f>
        <v>0</v>
      </c>
      <c r="O5919" s="2">
        <f>IF(LeadsData[[#This Row],[Stage Number]]&gt;=4,1,0)</f>
        <v>0</v>
      </c>
    </row>
    <row r="5920" spans="1:15" x14ac:dyDescent="0.25">
      <c r="A5920" t="s">
        <v>5960</v>
      </c>
      <c r="B5920" s="1">
        <v>45494</v>
      </c>
      <c r="C5920" t="s">
        <v>31</v>
      </c>
      <c r="D5920" t="s">
        <v>34</v>
      </c>
      <c r="E5920" t="s">
        <v>13</v>
      </c>
      <c r="F5920" t="s">
        <v>22</v>
      </c>
      <c r="G5920" t="s">
        <v>29</v>
      </c>
      <c r="K5920" cm="1">
        <f t="array" ref="K5920">_xlfn.SWITCH(LeadsData[[#This Row],[Funnel Stage Reached]],"Lead",1,"MQL",2,"SQL",3,"Customer",4)</f>
        <v>3</v>
      </c>
      <c r="L5920" t="str">
        <f>TEXT(LeadsData[[#This Row],[Signup Date]],"mmm-yyyy")</f>
        <v>Jul-2024</v>
      </c>
      <c r="M5920">
        <f>IF(LeadsData[[#This Row],[Stage Number]]&gt;=2,1,0)</f>
        <v>1</v>
      </c>
      <c r="N5920" s="2">
        <f>IF(LeadsData[[#This Row],[Stage Number]]&gt;=3,1,0)</f>
        <v>1</v>
      </c>
      <c r="O5920" s="2">
        <f>IF(LeadsData[[#This Row],[Stage Number]]&gt;=4,1,0)</f>
        <v>0</v>
      </c>
    </row>
    <row r="5921" spans="1:15" x14ac:dyDescent="0.25">
      <c r="A5921" t="s">
        <v>5961</v>
      </c>
      <c r="B5921" s="1">
        <v>45493</v>
      </c>
      <c r="C5921" t="s">
        <v>36</v>
      </c>
      <c r="D5921" t="s">
        <v>50</v>
      </c>
      <c r="E5921" t="s">
        <v>21</v>
      </c>
      <c r="F5921" t="s">
        <v>22</v>
      </c>
      <c r="G5921" t="s">
        <v>42</v>
      </c>
      <c r="H5921">
        <v>62</v>
      </c>
      <c r="I5921" t="s">
        <v>43</v>
      </c>
      <c r="J5921">
        <v>957.39</v>
      </c>
      <c r="K5921" cm="1">
        <f t="array" ref="K5921">_xlfn.SWITCH(LeadsData[[#This Row],[Funnel Stage Reached]],"Lead",1,"MQL",2,"SQL",3,"Customer",4)</f>
        <v>4</v>
      </c>
      <c r="L5921" t="str">
        <f>TEXT(LeadsData[[#This Row],[Signup Date]],"mmm-yyyy")</f>
        <v>Jul-2024</v>
      </c>
      <c r="M5921">
        <f>IF(LeadsData[[#This Row],[Stage Number]]&gt;=2,1,0)</f>
        <v>1</v>
      </c>
      <c r="N5921" s="2">
        <f>IF(LeadsData[[#This Row],[Stage Number]]&gt;=3,1,0)</f>
        <v>1</v>
      </c>
      <c r="O5921" s="2">
        <f>IF(LeadsData[[#This Row],[Stage Number]]&gt;=4,1,0)</f>
        <v>1</v>
      </c>
    </row>
    <row r="5922" spans="1:15" x14ac:dyDescent="0.25">
      <c r="A5922" t="s">
        <v>5962</v>
      </c>
      <c r="B5922" s="1">
        <v>45471</v>
      </c>
      <c r="C5922" t="s">
        <v>31</v>
      </c>
      <c r="D5922" t="s">
        <v>32</v>
      </c>
      <c r="E5922" t="s">
        <v>48</v>
      </c>
      <c r="F5922" t="s">
        <v>19</v>
      </c>
      <c r="G5922" t="s">
        <v>15</v>
      </c>
      <c r="K5922" cm="1">
        <f t="array" ref="K5922">_xlfn.SWITCH(LeadsData[[#This Row],[Funnel Stage Reached]],"Lead",1,"MQL",2,"SQL",3,"Customer",4)</f>
        <v>1</v>
      </c>
      <c r="L5922" t="str">
        <f>TEXT(LeadsData[[#This Row],[Signup Date]],"mmm-yyyy")</f>
        <v>Jun-2024</v>
      </c>
      <c r="M5922">
        <f>IF(LeadsData[[#This Row],[Stage Number]]&gt;=2,1,0)</f>
        <v>0</v>
      </c>
      <c r="N5922" s="2">
        <f>IF(LeadsData[[#This Row],[Stage Number]]&gt;=3,1,0)</f>
        <v>0</v>
      </c>
      <c r="O5922" s="2">
        <f>IF(LeadsData[[#This Row],[Stage Number]]&gt;=4,1,0)</f>
        <v>0</v>
      </c>
    </row>
    <row r="5923" spans="1:15" x14ac:dyDescent="0.25">
      <c r="A5923" t="s">
        <v>5963</v>
      </c>
      <c r="B5923" s="1">
        <v>45575</v>
      </c>
      <c r="C5923" t="s">
        <v>46</v>
      </c>
      <c r="D5923" t="s">
        <v>47</v>
      </c>
      <c r="E5923" t="s">
        <v>13</v>
      </c>
      <c r="F5923" t="s">
        <v>14</v>
      </c>
      <c r="G5923" t="s">
        <v>15</v>
      </c>
      <c r="K5923" cm="1">
        <f t="array" ref="K5923">_xlfn.SWITCH(LeadsData[[#This Row],[Funnel Stage Reached]],"Lead",1,"MQL",2,"SQL",3,"Customer",4)</f>
        <v>1</v>
      </c>
      <c r="L5923" t="str">
        <f>TEXT(LeadsData[[#This Row],[Signup Date]],"mmm-yyyy")</f>
        <v>Oct-2024</v>
      </c>
      <c r="M5923">
        <f>IF(LeadsData[[#This Row],[Stage Number]]&gt;=2,1,0)</f>
        <v>0</v>
      </c>
      <c r="N5923" s="2">
        <f>IF(LeadsData[[#This Row],[Stage Number]]&gt;=3,1,0)</f>
        <v>0</v>
      </c>
      <c r="O5923" s="2">
        <f>IF(LeadsData[[#This Row],[Stage Number]]&gt;=4,1,0)</f>
        <v>0</v>
      </c>
    </row>
    <row r="5924" spans="1:15" x14ac:dyDescent="0.25">
      <c r="A5924" t="s">
        <v>5964</v>
      </c>
      <c r="B5924" s="1">
        <v>45401</v>
      </c>
      <c r="C5924" t="s">
        <v>31</v>
      </c>
      <c r="D5924" t="s">
        <v>32</v>
      </c>
      <c r="E5924" t="s">
        <v>48</v>
      </c>
      <c r="F5924" t="s">
        <v>19</v>
      </c>
      <c r="G5924" t="s">
        <v>15</v>
      </c>
      <c r="K5924" cm="1">
        <f t="array" ref="K5924">_xlfn.SWITCH(LeadsData[[#This Row],[Funnel Stage Reached]],"Lead",1,"MQL",2,"SQL",3,"Customer",4)</f>
        <v>1</v>
      </c>
      <c r="L5924" t="str">
        <f>TEXT(LeadsData[[#This Row],[Signup Date]],"mmm-yyyy")</f>
        <v>Apr-2024</v>
      </c>
      <c r="M5924">
        <f>IF(LeadsData[[#This Row],[Stage Number]]&gt;=2,1,0)</f>
        <v>0</v>
      </c>
      <c r="N5924" s="2">
        <f>IF(LeadsData[[#This Row],[Stage Number]]&gt;=3,1,0)</f>
        <v>0</v>
      </c>
      <c r="O5924" s="2">
        <f>IF(LeadsData[[#This Row],[Stage Number]]&gt;=4,1,0)</f>
        <v>0</v>
      </c>
    </row>
    <row r="5925" spans="1:15" x14ac:dyDescent="0.25">
      <c r="A5925" t="s">
        <v>5965</v>
      </c>
      <c r="B5925" s="1">
        <v>45585</v>
      </c>
      <c r="C5925" t="s">
        <v>11</v>
      </c>
      <c r="D5925" t="s">
        <v>79</v>
      </c>
      <c r="E5925" t="s">
        <v>13</v>
      </c>
      <c r="F5925" t="s">
        <v>14</v>
      </c>
      <c r="G5925" t="s">
        <v>15</v>
      </c>
      <c r="K5925" cm="1">
        <f t="array" ref="K5925">_xlfn.SWITCH(LeadsData[[#This Row],[Funnel Stage Reached]],"Lead",1,"MQL",2,"SQL",3,"Customer",4)</f>
        <v>1</v>
      </c>
      <c r="L5925" t="str">
        <f>TEXT(LeadsData[[#This Row],[Signup Date]],"mmm-yyyy")</f>
        <v>Oct-2024</v>
      </c>
      <c r="M5925">
        <f>IF(LeadsData[[#This Row],[Stage Number]]&gt;=2,1,0)</f>
        <v>0</v>
      </c>
      <c r="N5925" s="2">
        <f>IF(LeadsData[[#This Row],[Stage Number]]&gt;=3,1,0)</f>
        <v>0</v>
      </c>
      <c r="O5925" s="2">
        <f>IF(LeadsData[[#This Row],[Stage Number]]&gt;=4,1,0)</f>
        <v>0</v>
      </c>
    </row>
    <row r="5926" spans="1:15" x14ac:dyDescent="0.25">
      <c r="A5926" t="s">
        <v>5966</v>
      </c>
      <c r="B5926" s="1">
        <v>45466</v>
      </c>
      <c r="C5926" t="s">
        <v>25</v>
      </c>
      <c r="D5926" t="s">
        <v>26</v>
      </c>
      <c r="E5926" t="s">
        <v>21</v>
      </c>
      <c r="F5926" t="s">
        <v>19</v>
      </c>
      <c r="G5926" t="s">
        <v>15</v>
      </c>
      <c r="K5926" cm="1">
        <f t="array" ref="K5926">_xlfn.SWITCH(LeadsData[[#This Row],[Funnel Stage Reached]],"Lead",1,"MQL",2,"SQL",3,"Customer",4)</f>
        <v>1</v>
      </c>
      <c r="L5926" t="str">
        <f>TEXT(LeadsData[[#This Row],[Signup Date]],"mmm-yyyy")</f>
        <v>Jun-2024</v>
      </c>
      <c r="M5926">
        <f>IF(LeadsData[[#This Row],[Stage Number]]&gt;=2,1,0)</f>
        <v>0</v>
      </c>
      <c r="N5926" s="2">
        <f>IF(LeadsData[[#This Row],[Stage Number]]&gt;=3,1,0)</f>
        <v>0</v>
      </c>
      <c r="O5926" s="2">
        <f>IF(LeadsData[[#This Row],[Stage Number]]&gt;=4,1,0)</f>
        <v>0</v>
      </c>
    </row>
    <row r="5927" spans="1:15" x14ac:dyDescent="0.25">
      <c r="A5927" t="s">
        <v>5967</v>
      </c>
      <c r="B5927" s="1">
        <v>45292</v>
      </c>
      <c r="C5927" t="s">
        <v>36</v>
      </c>
      <c r="D5927" t="s">
        <v>50</v>
      </c>
      <c r="E5927" t="s">
        <v>13</v>
      </c>
      <c r="F5927" t="s">
        <v>19</v>
      </c>
      <c r="G5927" t="s">
        <v>23</v>
      </c>
      <c r="K5927" cm="1">
        <f t="array" ref="K5927">_xlfn.SWITCH(LeadsData[[#This Row],[Funnel Stage Reached]],"Lead",1,"MQL",2,"SQL",3,"Customer",4)</f>
        <v>2</v>
      </c>
      <c r="L5927" t="str">
        <f>TEXT(LeadsData[[#This Row],[Signup Date]],"mmm-yyyy")</f>
        <v>Jan-2024</v>
      </c>
      <c r="M5927">
        <f>IF(LeadsData[[#This Row],[Stage Number]]&gt;=2,1,0)</f>
        <v>1</v>
      </c>
      <c r="N5927" s="2">
        <f>IF(LeadsData[[#This Row],[Stage Number]]&gt;=3,1,0)</f>
        <v>0</v>
      </c>
      <c r="O5927" s="2">
        <f>IF(LeadsData[[#This Row],[Stage Number]]&gt;=4,1,0)</f>
        <v>0</v>
      </c>
    </row>
    <row r="5928" spans="1:15" x14ac:dyDescent="0.25">
      <c r="A5928" t="s">
        <v>5968</v>
      </c>
      <c r="B5928" s="1">
        <v>45312</v>
      </c>
      <c r="C5928" t="s">
        <v>31</v>
      </c>
      <c r="D5928" t="s">
        <v>32</v>
      </c>
      <c r="E5928" t="s">
        <v>13</v>
      </c>
      <c r="F5928" t="s">
        <v>19</v>
      </c>
      <c r="G5928" t="s">
        <v>15</v>
      </c>
      <c r="K5928" cm="1">
        <f t="array" ref="K5928">_xlfn.SWITCH(LeadsData[[#This Row],[Funnel Stage Reached]],"Lead",1,"MQL",2,"SQL",3,"Customer",4)</f>
        <v>1</v>
      </c>
      <c r="L5928" t="str">
        <f>TEXT(LeadsData[[#This Row],[Signup Date]],"mmm-yyyy")</f>
        <v>Jan-2024</v>
      </c>
      <c r="M5928">
        <f>IF(LeadsData[[#This Row],[Stage Number]]&gt;=2,1,0)</f>
        <v>0</v>
      </c>
      <c r="N5928" s="2">
        <f>IF(LeadsData[[#This Row],[Stage Number]]&gt;=3,1,0)</f>
        <v>0</v>
      </c>
      <c r="O5928" s="2">
        <f>IF(LeadsData[[#This Row],[Stage Number]]&gt;=4,1,0)</f>
        <v>0</v>
      </c>
    </row>
    <row r="5929" spans="1:15" x14ac:dyDescent="0.25">
      <c r="A5929" t="s">
        <v>5969</v>
      </c>
      <c r="B5929" s="1">
        <v>45362</v>
      </c>
      <c r="C5929" t="s">
        <v>17</v>
      </c>
      <c r="D5929" t="s">
        <v>18</v>
      </c>
      <c r="E5929" t="s">
        <v>21</v>
      </c>
      <c r="F5929" t="s">
        <v>14</v>
      </c>
      <c r="G5929" t="s">
        <v>23</v>
      </c>
      <c r="K5929" cm="1">
        <f t="array" ref="K5929">_xlfn.SWITCH(LeadsData[[#This Row],[Funnel Stage Reached]],"Lead",1,"MQL",2,"SQL",3,"Customer",4)</f>
        <v>2</v>
      </c>
      <c r="L5929" t="str">
        <f>TEXT(LeadsData[[#This Row],[Signup Date]],"mmm-yyyy")</f>
        <v>Mar-2024</v>
      </c>
      <c r="M5929">
        <f>IF(LeadsData[[#This Row],[Stage Number]]&gt;=2,1,0)</f>
        <v>1</v>
      </c>
      <c r="N5929" s="2">
        <f>IF(LeadsData[[#This Row],[Stage Number]]&gt;=3,1,0)</f>
        <v>0</v>
      </c>
      <c r="O5929" s="2">
        <f>IF(LeadsData[[#This Row],[Stage Number]]&gt;=4,1,0)</f>
        <v>0</v>
      </c>
    </row>
    <row r="5930" spans="1:15" x14ac:dyDescent="0.25">
      <c r="A5930" t="s">
        <v>5970</v>
      </c>
      <c r="B5930" s="1">
        <v>45393</v>
      </c>
      <c r="C5930" t="s">
        <v>25</v>
      </c>
      <c r="D5930" t="s">
        <v>26</v>
      </c>
      <c r="E5930" t="s">
        <v>21</v>
      </c>
      <c r="F5930" t="s">
        <v>22</v>
      </c>
      <c r="G5930" t="s">
        <v>15</v>
      </c>
      <c r="K5930" cm="1">
        <f t="array" ref="K5930">_xlfn.SWITCH(LeadsData[[#This Row],[Funnel Stage Reached]],"Lead",1,"MQL",2,"SQL",3,"Customer",4)</f>
        <v>1</v>
      </c>
      <c r="L5930" t="str">
        <f>TEXT(LeadsData[[#This Row],[Signup Date]],"mmm-yyyy")</f>
        <v>Apr-2024</v>
      </c>
      <c r="M5930">
        <f>IF(LeadsData[[#This Row],[Stage Number]]&gt;=2,1,0)</f>
        <v>0</v>
      </c>
      <c r="N5930" s="2">
        <f>IF(LeadsData[[#This Row],[Stage Number]]&gt;=3,1,0)</f>
        <v>0</v>
      </c>
      <c r="O5930" s="2">
        <f>IF(LeadsData[[#This Row],[Stage Number]]&gt;=4,1,0)</f>
        <v>0</v>
      </c>
    </row>
    <row r="5931" spans="1:15" x14ac:dyDescent="0.25">
      <c r="A5931" t="s">
        <v>5971</v>
      </c>
      <c r="B5931" s="1">
        <v>45546</v>
      </c>
      <c r="C5931" t="s">
        <v>31</v>
      </c>
      <c r="D5931" t="s">
        <v>32</v>
      </c>
      <c r="E5931" t="s">
        <v>13</v>
      </c>
      <c r="F5931" t="s">
        <v>22</v>
      </c>
      <c r="G5931" t="s">
        <v>15</v>
      </c>
      <c r="K5931" cm="1">
        <f t="array" ref="K5931">_xlfn.SWITCH(LeadsData[[#This Row],[Funnel Stage Reached]],"Lead",1,"MQL",2,"SQL",3,"Customer",4)</f>
        <v>1</v>
      </c>
      <c r="L5931" t="str">
        <f>TEXT(LeadsData[[#This Row],[Signup Date]],"mmm-yyyy")</f>
        <v>Sep-2024</v>
      </c>
      <c r="M5931">
        <f>IF(LeadsData[[#This Row],[Stage Number]]&gt;=2,1,0)</f>
        <v>0</v>
      </c>
      <c r="N5931" s="2">
        <f>IF(LeadsData[[#This Row],[Stage Number]]&gt;=3,1,0)</f>
        <v>0</v>
      </c>
      <c r="O5931" s="2">
        <f>IF(LeadsData[[#This Row],[Stage Number]]&gt;=4,1,0)</f>
        <v>0</v>
      </c>
    </row>
    <row r="5932" spans="1:15" x14ac:dyDescent="0.25">
      <c r="A5932" t="s">
        <v>5972</v>
      </c>
      <c r="B5932" s="1">
        <v>45525</v>
      </c>
      <c r="C5932" t="s">
        <v>25</v>
      </c>
      <c r="D5932" t="s">
        <v>26</v>
      </c>
      <c r="E5932" t="s">
        <v>21</v>
      </c>
      <c r="F5932" t="s">
        <v>22</v>
      </c>
      <c r="G5932" t="s">
        <v>15</v>
      </c>
      <c r="K5932" cm="1">
        <f t="array" ref="K5932">_xlfn.SWITCH(LeadsData[[#This Row],[Funnel Stage Reached]],"Lead",1,"MQL",2,"SQL",3,"Customer",4)</f>
        <v>1</v>
      </c>
      <c r="L5932" t="str">
        <f>TEXT(LeadsData[[#This Row],[Signup Date]],"mmm-yyyy")</f>
        <v>Aug-2024</v>
      </c>
      <c r="M5932">
        <f>IF(LeadsData[[#This Row],[Stage Number]]&gt;=2,1,0)</f>
        <v>0</v>
      </c>
      <c r="N5932" s="2">
        <f>IF(LeadsData[[#This Row],[Stage Number]]&gt;=3,1,0)</f>
        <v>0</v>
      </c>
      <c r="O5932" s="2">
        <f>IF(LeadsData[[#This Row],[Stage Number]]&gt;=4,1,0)</f>
        <v>0</v>
      </c>
    </row>
    <row r="5933" spans="1:15" x14ac:dyDescent="0.25">
      <c r="A5933" t="s">
        <v>5973</v>
      </c>
      <c r="B5933" s="1">
        <v>45328</v>
      </c>
      <c r="C5933" t="s">
        <v>31</v>
      </c>
      <c r="D5933" t="s">
        <v>34</v>
      </c>
      <c r="E5933" t="s">
        <v>48</v>
      </c>
      <c r="F5933" t="s">
        <v>22</v>
      </c>
      <c r="G5933" t="s">
        <v>23</v>
      </c>
      <c r="K5933" cm="1">
        <f t="array" ref="K5933">_xlfn.SWITCH(LeadsData[[#This Row],[Funnel Stage Reached]],"Lead",1,"MQL",2,"SQL",3,"Customer",4)</f>
        <v>2</v>
      </c>
      <c r="L5933" t="str">
        <f>TEXT(LeadsData[[#This Row],[Signup Date]],"mmm-yyyy")</f>
        <v>Feb-2024</v>
      </c>
      <c r="M5933">
        <f>IF(LeadsData[[#This Row],[Stage Number]]&gt;=2,1,0)</f>
        <v>1</v>
      </c>
      <c r="N5933" s="2">
        <f>IF(LeadsData[[#This Row],[Stage Number]]&gt;=3,1,0)</f>
        <v>0</v>
      </c>
      <c r="O5933" s="2">
        <f>IF(LeadsData[[#This Row],[Stage Number]]&gt;=4,1,0)</f>
        <v>0</v>
      </c>
    </row>
    <row r="5934" spans="1:15" x14ac:dyDescent="0.25">
      <c r="A5934" t="s">
        <v>5974</v>
      </c>
      <c r="B5934" s="1">
        <v>45419</v>
      </c>
      <c r="C5934" t="s">
        <v>17</v>
      </c>
      <c r="D5934" t="s">
        <v>18</v>
      </c>
      <c r="E5934" t="s">
        <v>13</v>
      </c>
      <c r="F5934" t="s">
        <v>19</v>
      </c>
      <c r="G5934" t="s">
        <v>15</v>
      </c>
      <c r="K5934" cm="1">
        <f t="array" ref="K5934">_xlfn.SWITCH(LeadsData[[#This Row],[Funnel Stage Reached]],"Lead",1,"MQL",2,"SQL",3,"Customer",4)</f>
        <v>1</v>
      </c>
      <c r="L5934" t="str">
        <f>TEXT(LeadsData[[#This Row],[Signup Date]],"mmm-yyyy")</f>
        <v>May-2024</v>
      </c>
      <c r="M5934">
        <f>IF(LeadsData[[#This Row],[Stage Number]]&gt;=2,1,0)</f>
        <v>0</v>
      </c>
      <c r="N5934" s="2">
        <f>IF(LeadsData[[#This Row],[Stage Number]]&gt;=3,1,0)</f>
        <v>0</v>
      </c>
      <c r="O5934" s="2">
        <f>IF(LeadsData[[#This Row],[Stage Number]]&gt;=4,1,0)</f>
        <v>0</v>
      </c>
    </row>
    <row r="5935" spans="1:15" x14ac:dyDescent="0.25">
      <c r="A5935" t="s">
        <v>5975</v>
      </c>
      <c r="B5935" s="1">
        <v>45554</v>
      </c>
      <c r="C5935" t="s">
        <v>36</v>
      </c>
      <c r="D5935" t="s">
        <v>50</v>
      </c>
      <c r="E5935" t="s">
        <v>13</v>
      </c>
      <c r="F5935" t="s">
        <v>19</v>
      </c>
      <c r="G5935" t="s">
        <v>23</v>
      </c>
      <c r="K5935" cm="1">
        <f t="array" ref="K5935">_xlfn.SWITCH(LeadsData[[#This Row],[Funnel Stage Reached]],"Lead",1,"MQL",2,"SQL",3,"Customer",4)</f>
        <v>2</v>
      </c>
      <c r="L5935" t="str">
        <f>TEXT(LeadsData[[#This Row],[Signup Date]],"mmm-yyyy")</f>
        <v>Sep-2024</v>
      </c>
      <c r="M5935">
        <f>IF(LeadsData[[#This Row],[Stage Number]]&gt;=2,1,0)</f>
        <v>1</v>
      </c>
      <c r="N5935" s="2">
        <f>IF(LeadsData[[#This Row],[Stage Number]]&gt;=3,1,0)</f>
        <v>0</v>
      </c>
      <c r="O5935" s="2">
        <f>IF(LeadsData[[#This Row],[Stage Number]]&gt;=4,1,0)</f>
        <v>0</v>
      </c>
    </row>
    <row r="5936" spans="1:15" x14ac:dyDescent="0.25">
      <c r="A5936" t="s">
        <v>5976</v>
      </c>
      <c r="B5936" s="1">
        <v>45350</v>
      </c>
      <c r="C5936" t="s">
        <v>11</v>
      </c>
      <c r="D5936" t="s">
        <v>12</v>
      </c>
      <c r="E5936" t="s">
        <v>21</v>
      </c>
      <c r="F5936" t="s">
        <v>14</v>
      </c>
      <c r="G5936" t="s">
        <v>15</v>
      </c>
      <c r="K5936" cm="1">
        <f t="array" ref="K5936">_xlfn.SWITCH(LeadsData[[#This Row],[Funnel Stage Reached]],"Lead",1,"MQL",2,"SQL",3,"Customer",4)</f>
        <v>1</v>
      </c>
      <c r="L5936" t="str">
        <f>TEXT(LeadsData[[#This Row],[Signup Date]],"mmm-yyyy")</f>
        <v>Feb-2024</v>
      </c>
      <c r="M5936">
        <f>IF(LeadsData[[#This Row],[Stage Number]]&gt;=2,1,0)</f>
        <v>0</v>
      </c>
      <c r="N5936" s="2">
        <f>IF(LeadsData[[#This Row],[Stage Number]]&gt;=3,1,0)</f>
        <v>0</v>
      </c>
      <c r="O5936" s="2">
        <f>IF(LeadsData[[#This Row],[Stage Number]]&gt;=4,1,0)</f>
        <v>0</v>
      </c>
    </row>
    <row r="5937" spans="1:15" x14ac:dyDescent="0.25">
      <c r="A5937" t="s">
        <v>5977</v>
      </c>
      <c r="B5937" s="1">
        <v>45319</v>
      </c>
      <c r="C5937" t="s">
        <v>31</v>
      </c>
      <c r="D5937" t="s">
        <v>32</v>
      </c>
      <c r="E5937" t="s">
        <v>13</v>
      </c>
      <c r="F5937" t="s">
        <v>22</v>
      </c>
      <c r="G5937" t="s">
        <v>29</v>
      </c>
      <c r="K5937" cm="1">
        <f t="array" ref="K5937">_xlfn.SWITCH(LeadsData[[#This Row],[Funnel Stage Reached]],"Lead",1,"MQL",2,"SQL",3,"Customer",4)</f>
        <v>3</v>
      </c>
      <c r="L5937" t="str">
        <f>TEXT(LeadsData[[#This Row],[Signup Date]],"mmm-yyyy")</f>
        <v>Jan-2024</v>
      </c>
      <c r="M5937">
        <f>IF(LeadsData[[#This Row],[Stage Number]]&gt;=2,1,0)</f>
        <v>1</v>
      </c>
      <c r="N5937" s="2">
        <f>IF(LeadsData[[#This Row],[Stage Number]]&gt;=3,1,0)</f>
        <v>1</v>
      </c>
      <c r="O5937" s="2">
        <f>IF(LeadsData[[#This Row],[Stage Number]]&gt;=4,1,0)</f>
        <v>0</v>
      </c>
    </row>
    <row r="5938" spans="1:15" x14ac:dyDescent="0.25">
      <c r="A5938" t="s">
        <v>5978</v>
      </c>
      <c r="B5938" s="1">
        <v>45396</v>
      </c>
      <c r="C5938" t="s">
        <v>17</v>
      </c>
      <c r="D5938" t="s">
        <v>18</v>
      </c>
      <c r="E5938" t="s">
        <v>13</v>
      </c>
      <c r="F5938" t="s">
        <v>22</v>
      </c>
      <c r="G5938" t="s">
        <v>29</v>
      </c>
      <c r="K5938" cm="1">
        <f t="array" ref="K5938">_xlfn.SWITCH(LeadsData[[#This Row],[Funnel Stage Reached]],"Lead",1,"MQL",2,"SQL",3,"Customer",4)</f>
        <v>3</v>
      </c>
      <c r="L5938" t="str">
        <f>TEXT(LeadsData[[#This Row],[Signup Date]],"mmm-yyyy")</f>
        <v>Apr-2024</v>
      </c>
      <c r="M5938">
        <f>IF(LeadsData[[#This Row],[Stage Number]]&gt;=2,1,0)</f>
        <v>1</v>
      </c>
      <c r="N5938" s="2">
        <f>IF(LeadsData[[#This Row],[Stage Number]]&gt;=3,1,0)</f>
        <v>1</v>
      </c>
      <c r="O5938" s="2">
        <f>IF(LeadsData[[#This Row],[Stage Number]]&gt;=4,1,0)</f>
        <v>0</v>
      </c>
    </row>
    <row r="5939" spans="1:15" x14ac:dyDescent="0.25">
      <c r="A5939" t="s">
        <v>5979</v>
      </c>
      <c r="B5939" s="1">
        <v>45493</v>
      </c>
      <c r="C5939" t="s">
        <v>36</v>
      </c>
      <c r="D5939" t="s">
        <v>50</v>
      </c>
      <c r="E5939" t="s">
        <v>13</v>
      </c>
      <c r="F5939" t="s">
        <v>19</v>
      </c>
      <c r="G5939" t="s">
        <v>42</v>
      </c>
      <c r="H5939">
        <v>15</v>
      </c>
      <c r="I5939" t="s">
        <v>183</v>
      </c>
      <c r="J5939">
        <v>16686.990000000002</v>
      </c>
      <c r="K5939" cm="1">
        <f t="array" ref="K5939">_xlfn.SWITCH(LeadsData[[#This Row],[Funnel Stage Reached]],"Lead",1,"MQL",2,"SQL",3,"Customer",4)</f>
        <v>4</v>
      </c>
      <c r="L5939" t="str">
        <f>TEXT(LeadsData[[#This Row],[Signup Date]],"mmm-yyyy")</f>
        <v>Jul-2024</v>
      </c>
      <c r="M5939">
        <f>IF(LeadsData[[#This Row],[Stage Number]]&gt;=2,1,0)</f>
        <v>1</v>
      </c>
      <c r="N5939" s="2">
        <f>IF(LeadsData[[#This Row],[Stage Number]]&gt;=3,1,0)</f>
        <v>1</v>
      </c>
      <c r="O5939" s="2">
        <f>IF(LeadsData[[#This Row],[Stage Number]]&gt;=4,1,0)</f>
        <v>1</v>
      </c>
    </row>
    <row r="5940" spans="1:15" x14ac:dyDescent="0.25">
      <c r="A5940" t="s">
        <v>5980</v>
      </c>
      <c r="B5940" s="1">
        <v>45440</v>
      </c>
      <c r="C5940" t="s">
        <v>46</v>
      </c>
      <c r="D5940" t="s">
        <v>56</v>
      </c>
      <c r="E5940" t="s">
        <v>13</v>
      </c>
      <c r="F5940" t="s">
        <v>19</v>
      </c>
      <c r="G5940" t="s">
        <v>15</v>
      </c>
      <c r="K5940" cm="1">
        <f t="array" ref="K5940">_xlfn.SWITCH(LeadsData[[#This Row],[Funnel Stage Reached]],"Lead",1,"MQL",2,"SQL",3,"Customer",4)</f>
        <v>1</v>
      </c>
      <c r="L5940" t="str">
        <f>TEXT(LeadsData[[#This Row],[Signup Date]],"mmm-yyyy")</f>
        <v>May-2024</v>
      </c>
      <c r="M5940">
        <f>IF(LeadsData[[#This Row],[Stage Number]]&gt;=2,1,0)</f>
        <v>0</v>
      </c>
      <c r="N5940" s="2">
        <f>IF(LeadsData[[#This Row],[Stage Number]]&gt;=3,1,0)</f>
        <v>0</v>
      </c>
      <c r="O5940" s="2">
        <f>IF(LeadsData[[#This Row],[Stage Number]]&gt;=4,1,0)</f>
        <v>0</v>
      </c>
    </row>
    <row r="5941" spans="1:15" x14ac:dyDescent="0.25">
      <c r="A5941" t="s">
        <v>5981</v>
      </c>
      <c r="B5941" s="1">
        <v>45393</v>
      </c>
      <c r="C5941" t="s">
        <v>31</v>
      </c>
      <c r="D5941" t="s">
        <v>32</v>
      </c>
      <c r="E5941" t="s">
        <v>21</v>
      </c>
      <c r="F5941" t="s">
        <v>19</v>
      </c>
      <c r="G5941" t="s">
        <v>15</v>
      </c>
      <c r="K5941" cm="1">
        <f t="array" ref="K5941">_xlfn.SWITCH(LeadsData[[#This Row],[Funnel Stage Reached]],"Lead",1,"MQL",2,"SQL",3,"Customer",4)</f>
        <v>1</v>
      </c>
      <c r="L5941" t="str">
        <f>TEXT(LeadsData[[#This Row],[Signup Date]],"mmm-yyyy")</f>
        <v>Apr-2024</v>
      </c>
      <c r="M5941">
        <f>IF(LeadsData[[#This Row],[Stage Number]]&gt;=2,1,0)</f>
        <v>0</v>
      </c>
      <c r="N5941" s="2">
        <f>IF(LeadsData[[#This Row],[Stage Number]]&gt;=3,1,0)</f>
        <v>0</v>
      </c>
      <c r="O5941" s="2">
        <f>IF(LeadsData[[#This Row],[Stage Number]]&gt;=4,1,0)</f>
        <v>0</v>
      </c>
    </row>
    <row r="5942" spans="1:15" x14ac:dyDescent="0.25">
      <c r="A5942" t="s">
        <v>5982</v>
      </c>
      <c r="B5942" s="1">
        <v>45637</v>
      </c>
      <c r="C5942" t="s">
        <v>17</v>
      </c>
      <c r="D5942" t="s">
        <v>53</v>
      </c>
      <c r="E5942" t="s">
        <v>21</v>
      </c>
      <c r="F5942" t="s">
        <v>22</v>
      </c>
      <c r="G5942" t="s">
        <v>15</v>
      </c>
      <c r="K5942" cm="1">
        <f t="array" ref="K5942">_xlfn.SWITCH(LeadsData[[#This Row],[Funnel Stage Reached]],"Lead",1,"MQL",2,"SQL",3,"Customer",4)</f>
        <v>1</v>
      </c>
      <c r="L5942" t="str">
        <f>TEXT(LeadsData[[#This Row],[Signup Date]],"mmm-yyyy")</f>
        <v>Dec-2024</v>
      </c>
      <c r="M5942">
        <f>IF(LeadsData[[#This Row],[Stage Number]]&gt;=2,1,0)</f>
        <v>0</v>
      </c>
      <c r="N5942" s="2">
        <f>IF(LeadsData[[#This Row],[Stage Number]]&gt;=3,1,0)</f>
        <v>0</v>
      </c>
      <c r="O5942" s="2">
        <f>IF(LeadsData[[#This Row],[Stage Number]]&gt;=4,1,0)</f>
        <v>0</v>
      </c>
    </row>
    <row r="5943" spans="1:15" x14ac:dyDescent="0.25">
      <c r="A5943" t="s">
        <v>5983</v>
      </c>
      <c r="B5943" s="1">
        <v>45639</v>
      </c>
      <c r="C5943" t="s">
        <v>31</v>
      </c>
      <c r="D5943" t="s">
        <v>32</v>
      </c>
      <c r="E5943" t="s">
        <v>13</v>
      </c>
      <c r="F5943" t="s">
        <v>22</v>
      </c>
      <c r="G5943" t="s">
        <v>23</v>
      </c>
      <c r="K5943" cm="1">
        <f t="array" ref="K5943">_xlfn.SWITCH(LeadsData[[#This Row],[Funnel Stage Reached]],"Lead",1,"MQL",2,"SQL",3,"Customer",4)</f>
        <v>2</v>
      </c>
      <c r="L5943" t="str">
        <f>TEXT(LeadsData[[#This Row],[Signup Date]],"mmm-yyyy")</f>
        <v>Dec-2024</v>
      </c>
      <c r="M5943">
        <f>IF(LeadsData[[#This Row],[Stage Number]]&gt;=2,1,0)</f>
        <v>1</v>
      </c>
      <c r="N5943" s="2">
        <f>IF(LeadsData[[#This Row],[Stage Number]]&gt;=3,1,0)</f>
        <v>0</v>
      </c>
      <c r="O5943" s="2">
        <f>IF(LeadsData[[#This Row],[Stage Number]]&gt;=4,1,0)</f>
        <v>0</v>
      </c>
    </row>
    <row r="5944" spans="1:15" x14ac:dyDescent="0.25">
      <c r="A5944" t="s">
        <v>5984</v>
      </c>
      <c r="B5944" s="1">
        <v>45550</v>
      </c>
      <c r="C5944" t="s">
        <v>25</v>
      </c>
      <c r="D5944" t="s">
        <v>26</v>
      </c>
      <c r="E5944" t="s">
        <v>13</v>
      </c>
      <c r="F5944" t="s">
        <v>14</v>
      </c>
      <c r="G5944" t="s">
        <v>29</v>
      </c>
      <c r="K5944" cm="1">
        <f t="array" ref="K5944">_xlfn.SWITCH(LeadsData[[#This Row],[Funnel Stage Reached]],"Lead",1,"MQL",2,"SQL",3,"Customer",4)</f>
        <v>3</v>
      </c>
      <c r="L5944" t="str">
        <f>TEXT(LeadsData[[#This Row],[Signup Date]],"mmm-yyyy")</f>
        <v>Sep-2024</v>
      </c>
      <c r="M5944">
        <f>IF(LeadsData[[#This Row],[Stage Number]]&gt;=2,1,0)</f>
        <v>1</v>
      </c>
      <c r="N5944" s="2">
        <f>IF(LeadsData[[#This Row],[Stage Number]]&gt;=3,1,0)</f>
        <v>1</v>
      </c>
      <c r="O5944" s="2">
        <f>IF(LeadsData[[#This Row],[Stage Number]]&gt;=4,1,0)</f>
        <v>0</v>
      </c>
    </row>
    <row r="5945" spans="1:15" x14ac:dyDescent="0.25">
      <c r="A5945" t="s">
        <v>5985</v>
      </c>
      <c r="B5945" s="1">
        <v>45612</v>
      </c>
      <c r="C5945" t="s">
        <v>17</v>
      </c>
      <c r="D5945" t="s">
        <v>53</v>
      </c>
      <c r="E5945" t="s">
        <v>13</v>
      </c>
      <c r="F5945" t="s">
        <v>22</v>
      </c>
      <c r="G5945" t="s">
        <v>23</v>
      </c>
      <c r="K5945" cm="1">
        <f t="array" ref="K5945">_xlfn.SWITCH(LeadsData[[#This Row],[Funnel Stage Reached]],"Lead",1,"MQL",2,"SQL",3,"Customer",4)</f>
        <v>2</v>
      </c>
      <c r="L5945" t="str">
        <f>TEXT(LeadsData[[#This Row],[Signup Date]],"mmm-yyyy")</f>
        <v>Nov-2024</v>
      </c>
      <c r="M5945">
        <f>IF(LeadsData[[#This Row],[Stage Number]]&gt;=2,1,0)</f>
        <v>1</v>
      </c>
      <c r="N5945" s="2">
        <f>IF(LeadsData[[#This Row],[Stage Number]]&gt;=3,1,0)</f>
        <v>0</v>
      </c>
      <c r="O5945" s="2">
        <f>IF(LeadsData[[#This Row],[Stage Number]]&gt;=4,1,0)</f>
        <v>0</v>
      </c>
    </row>
    <row r="5946" spans="1:15" x14ac:dyDescent="0.25">
      <c r="A5946" t="s">
        <v>5986</v>
      </c>
      <c r="B5946" s="1">
        <v>45346</v>
      </c>
      <c r="C5946" t="s">
        <v>31</v>
      </c>
      <c r="D5946" t="s">
        <v>34</v>
      </c>
      <c r="E5946" t="s">
        <v>13</v>
      </c>
      <c r="F5946" t="s">
        <v>22</v>
      </c>
      <c r="G5946" t="s">
        <v>42</v>
      </c>
      <c r="H5946">
        <v>37</v>
      </c>
      <c r="I5946" t="s">
        <v>87</v>
      </c>
      <c r="J5946">
        <v>4322.8900000000003</v>
      </c>
      <c r="K5946" cm="1">
        <f t="array" ref="K5946">_xlfn.SWITCH(LeadsData[[#This Row],[Funnel Stage Reached]],"Lead",1,"MQL",2,"SQL",3,"Customer",4)</f>
        <v>4</v>
      </c>
      <c r="L5946" t="str">
        <f>TEXT(LeadsData[[#This Row],[Signup Date]],"mmm-yyyy")</f>
        <v>Feb-2024</v>
      </c>
      <c r="M5946">
        <f>IF(LeadsData[[#This Row],[Stage Number]]&gt;=2,1,0)</f>
        <v>1</v>
      </c>
      <c r="N5946" s="2">
        <f>IF(LeadsData[[#This Row],[Stage Number]]&gt;=3,1,0)</f>
        <v>1</v>
      </c>
      <c r="O5946" s="2">
        <f>IF(LeadsData[[#This Row],[Stage Number]]&gt;=4,1,0)</f>
        <v>1</v>
      </c>
    </row>
    <row r="5947" spans="1:15" x14ac:dyDescent="0.25">
      <c r="A5947" t="s">
        <v>5987</v>
      </c>
      <c r="B5947" s="1">
        <v>45623</v>
      </c>
      <c r="C5947" t="s">
        <v>25</v>
      </c>
      <c r="D5947" t="s">
        <v>26</v>
      </c>
      <c r="E5947" t="s">
        <v>13</v>
      </c>
      <c r="F5947" t="s">
        <v>28</v>
      </c>
      <c r="G5947" t="s">
        <v>15</v>
      </c>
      <c r="K5947" cm="1">
        <f t="array" ref="K5947">_xlfn.SWITCH(LeadsData[[#This Row],[Funnel Stage Reached]],"Lead",1,"MQL",2,"SQL",3,"Customer",4)</f>
        <v>1</v>
      </c>
      <c r="L5947" t="str">
        <f>TEXT(LeadsData[[#This Row],[Signup Date]],"mmm-yyyy")</f>
        <v>Nov-2024</v>
      </c>
      <c r="M5947">
        <f>IF(LeadsData[[#This Row],[Stage Number]]&gt;=2,1,0)</f>
        <v>0</v>
      </c>
      <c r="N5947" s="2">
        <f>IF(LeadsData[[#This Row],[Stage Number]]&gt;=3,1,0)</f>
        <v>0</v>
      </c>
      <c r="O5947" s="2">
        <f>IF(LeadsData[[#This Row],[Stage Number]]&gt;=4,1,0)</f>
        <v>0</v>
      </c>
    </row>
    <row r="5948" spans="1:15" x14ac:dyDescent="0.25">
      <c r="A5948" t="s">
        <v>5988</v>
      </c>
      <c r="B5948" s="1">
        <v>45629</v>
      </c>
      <c r="C5948" t="s">
        <v>17</v>
      </c>
      <c r="D5948" t="s">
        <v>53</v>
      </c>
      <c r="E5948" t="s">
        <v>21</v>
      </c>
      <c r="F5948" t="s">
        <v>19</v>
      </c>
      <c r="G5948" t="s">
        <v>29</v>
      </c>
      <c r="K5948" cm="1">
        <f t="array" ref="K5948">_xlfn.SWITCH(LeadsData[[#This Row],[Funnel Stage Reached]],"Lead",1,"MQL",2,"SQL",3,"Customer",4)</f>
        <v>3</v>
      </c>
      <c r="L5948" t="str">
        <f>TEXT(LeadsData[[#This Row],[Signup Date]],"mmm-yyyy")</f>
        <v>Dec-2024</v>
      </c>
      <c r="M5948">
        <f>IF(LeadsData[[#This Row],[Stage Number]]&gt;=2,1,0)</f>
        <v>1</v>
      </c>
      <c r="N5948" s="2">
        <f>IF(LeadsData[[#This Row],[Stage Number]]&gt;=3,1,0)</f>
        <v>1</v>
      </c>
      <c r="O5948" s="2">
        <f>IF(LeadsData[[#This Row],[Stage Number]]&gt;=4,1,0)</f>
        <v>0</v>
      </c>
    </row>
    <row r="5949" spans="1:15" x14ac:dyDescent="0.25">
      <c r="A5949" t="s">
        <v>5989</v>
      </c>
      <c r="B5949" s="1">
        <v>45413</v>
      </c>
      <c r="C5949" t="s">
        <v>46</v>
      </c>
      <c r="D5949" t="s">
        <v>56</v>
      </c>
      <c r="E5949" t="s">
        <v>13</v>
      </c>
      <c r="F5949" t="s">
        <v>19</v>
      </c>
      <c r="G5949" t="s">
        <v>23</v>
      </c>
      <c r="K5949" cm="1">
        <f t="array" ref="K5949">_xlfn.SWITCH(LeadsData[[#This Row],[Funnel Stage Reached]],"Lead",1,"MQL",2,"SQL",3,"Customer",4)</f>
        <v>2</v>
      </c>
      <c r="L5949" t="str">
        <f>TEXT(LeadsData[[#This Row],[Signup Date]],"mmm-yyyy")</f>
        <v>May-2024</v>
      </c>
      <c r="M5949">
        <f>IF(LeadsData[[#This Row],[Stage Number]]&gt;=2,1,0)</f>
        <v>1</v>
      </c>
      <c r="N5949" s="2">
        <f>IF(LeadsData[[#This Row],[Stage Number]]&gt;=3,1,0)</f>
        <v>0</v>
      </c>
      <c r="O5949" s="2">
        <f>IF(LeadsData[[#This Row],[Stage Number]]&gt;=4,1,0)</f>
        <v>0</v>
      </c>
    </row>
    <row r="5950" spans="1:15" x14ac:dyDescent="0.25">
      <c r="A5950" t="s">
        <v>5990</v>
      </c>
      <c r="B5950" s="1">
        <v>45570</v>
      </c>
      <c r="C5950" t="s">
        <v>25</v>
      </c>
      <c r="D5950" t="s">
        <v>26</v>
      </c>
      <c r="E5950" t="s">
        <v>48</v>
      </c>
      <c r="F5950" t="s">
        <v>19</v>
      </c>
      <c r="G5950" t="s">
        <v>15</v>
      </c>
      <c r="K5950" cm="1">
        <f t="array" ref="K5950">_xlfn.SWITCH(LeadsData[[#This Row],[Funnel Stage Reached]],"Lead",1,"MQL",2,"SQL",3,"Customer",4)</f>
        <v>1</v>
      </c>
      <c r="L5950" t="str">
        <f>TEXT(LeadsData[[#This Row],[Signup Date]],"mmm-yyyy")</f>
        <v>Oct-2024</v>
      </c>
      <c r="M5950">
        <f>IF(LeadsData[[#This Row],[Stage Number]]&gt;=2,1,0)</f>
        <v>0</v>
      </c>
      <c r="N5950" s="2">
        <f>IF(LeadsData[[#This Row],[Stage Number]]&gt;=3,1,0)</f>
        <v>0</v>
      </c>
      <c r="O5950" s="2">
        <f>IF(LeadsData[[#This Row],[Stage Number]]&gt;=4,1,0)</f>
        <v>0</v>
      </c>
    </row>
    <row r="5951" spans="1:15" x14ac:dyDescent="0.25">
      <c r="A5951" t="s">
        <v>5991</v>
      </c>
      <c r="B5951" s="1">
        <v>45553</v>
      </c>
      <c r="C5951" t="s">
        <v>17</v>
      </c>
      <c r="D5951" t="s">
        <v>18</v>
      </c>
      <c r="E5951" t="s">
        <v>21</v>
      </c>
      <c r="F5951" t="s">
        <v>19</v>
      </c>
      <c r="G5951" t="s">
        <v>15</v>
      </c>
      <c r="K5951" cm="1">
        <f t="array" ref="K5951">_xlfn.SWITCH(LeadsData[[#This Row],[Funnel Stage Reached]],"Lead",1,"MQL",2,"SQL",3,"Customer",4)</f>
        <v>1</v>
      </c>
      <c r="L5951" t="str">
        <f>TEXT(LeadsData[[#This Row],[Signup Date]],"mmm-yyyy")</f>
        <v>Sep-2024</v>
      </c>
      <c r="M5951">
        <f>IF(LeadsData[[#This Row],[Stage Number]]&gt;=2,1,0)</f>
        <v>0</v>
      </c>
      <c r="N5951" s="2">
        <f>IF(LeadsData[[#This Row],[Stage Number]]&gt;=3,1,0)</f>
        <v>0</v>
      </c>
      <c r="O5951" s="2">
        <f>IF(LeadsData[[#This Row],[Stage Number]]&gt;=4,1,0)</f>
        <v>0</v>
      </c>
    </row>
    <row r="5952" spans="1:15" x14ac:dyDescent="0.25">
      <c r="A5952" t="s">
        <v>5992</v>
      </c>
      <c r="B5952" s="1">
        <v>45575</v>
      </c>
      <c r="C5952" t="s">
        <v>17</v>
      </c>
      <c r="D5952" t="s">
        <v>18</v>
      </c>
      <c r="E5952" t="s">
        <v>13</v>
      </c>
      <c r="F5952" t="s">
        <v>14</v>
      </c>
      <c r="G5952" t="s">
        <v>15</v>
      </c>
      <c r="K5952" cm="1">
        <f t="array" ref="K5952">_xlfn.SWITCH(LeadsData[[#This Row],[Funnel Stage Reached]],"Lead",1,"MQL",2,"SQL",3,"Customer",4)</f>
        <v>1</v>
      </c>
      <c r="L5952" t="str">
        <f>TEXT(LeadsData[[#This Row],[Signup Date]],"mmm-yyyy")</f>
        <v>Oct-2024</v>
      </c>
      <c r="M5952">
        <f>IF(LeadsData[[#This Row],[Stage Number]]&gt;=2,1,0)</f>
        <v>0</v>
      </c>
      <c r="N5952" s="2">
        <f>IF(LeadsData[[#This Row],[Stage Number]]&gt;=3,1,0)</f>
        <v>0</v>
      </c>
      <c r="O5952" s="2">
        <f>IF(LeadsData[[#This Row],[Stage Number]]&gt;=4,1,0)</f>
        <v>0</v>
      </c>
    </row>
    <row r="5953" spans="1:15" x14ac:dyDescent="0.25">
      <c r="A5953" t="s">
        <v>5993</v>
      </c>
      <c r="B5953" s="1">
        <v>45456</v>
      </c>
      <c r="C5953" t="s">
        <v>17</v>
      </c>
      <c r="D5953" t="s">
        <v>53</v>
      </c>
      <c r="E5953" t="s">
        <v>21</v>
      </c>
      <c r="F5953" t="s">
        <v>19</v>
      </c>
      <c r="G5953" t="s">
        <v>15</v>
      </c>
      <c r="K5953" cm="1">
        <f t="array" ref="K5953">_xlfn.SWITCH(LeadsData[[#This Row],[Funnel Stage Reached]],"Lead",1,"MQL",2,"SQL",3,"Customer",4)</f>
        <v>1</v>
      </c>
      <c r="L5953" t="str">
        <f>TEXT(LeadsData[[#This Row],[Signup Date]],"mmm-yyyy")</f>
        <v>Jun-2024</v>
      </c>
      <c r="M5953">
        <f>IF(LeadsData[[#This Row],[Stage Number]]&gt;=2,1,0)</f>
        <v>0</v>
      </c>
      <c r="N5953" s="2">
        <f>IF(LeadsData[[#This Row],[Stage Number]]&gt;=3,1,0)</f>
        <v>0</v>
      </c>
      <c r="O5953" s="2">
        <f>IF(LeadsData[[#This Row],[Stage Number]]&gt;=4,1,0)</f>
        <v>0</v>
      </c>
    </row>
    <row r="5954" spans="1:15" x14ac:dyDescent="0.25">
      <c r="A5954" t="s">
        <v>5994</v>
      </c>
      <c r="B5954" s="1">
        <v>45632</v>
      </c>
      <c r="C5954" t="s">
        <v>46</v>
      </c>
      <c r="D5954" t="s">
        <v>47</v>
      </c>
      <c r="E5954" t="s">
        <v>13</v>
      </c>
      <c r="F5954" t="s">
        <v>22</v>
      </c>
      <c r="G5954" t="s">
        <v>23</v>
      </c>
      <c r="K5954" cm="1">
        <f t="array" ref="K5954">_xlfn.SWITCH(LeadsData[[#This Row],[Funnel Stage Reached]],"Lead",1,"MQL",2,"SQL",3,"Customer",4)</f>
        <v>2</v>
      </c>
      <c r="L5954" t="str">
        <f>TEXT(LeadsData[[#This Row],[Signup Date]],"mmm-yyyy")</f>
        <v>Dec-2024</v>
      </c>
      <c r="M5954">
        <f>IF(LeadsData[[#This Row],[Stage Number]]&gt;=2,1,0)</f>
        <v>1</v>
      </c>
      <c r="N5954" s="2">
        <f>IF(LeadsData[[#This Row],[Stage Number]]&gt;=3,1,0)</f>
        <v>0</v>
      </c>
      <c r="O5954" s="2">
        <f>IF(LeadsData[[#This Row],[Stage Number]]&gt;=4,1,0)</f>
        <v>0</v>
      </c>
    </row>
    <row r="5955" spans="1:15" x14ac:dyDescent="0.25">
      <c r="A5955" t="s">
        <v>5995</v>
      </c>
      <c r="B5955" s="1">
        <v>45374</v>
      </c>
      <c r="C5955" t="s">
        <v>25</v>
      </c>
      <c r="D5955" t="s">
        <v>26</v>
      </c>
      <c r="E5955" t="s">
        <v>13</v>
      </c>
      <c r="F5955" t="s">
        <v>19</v>
      </c>
      <c r="G5955" t="s">
        <v>15</v>
      </c>
      <c r="K5955" cm="1">
        <f t="array" ref="K5955">_xlfn.SWITCH(LeadsData[[#This Row],[Funnel Stage Reached]],"Lead",1,"MQL",2,"SQL",3,"Customer",4)</f>
        <v>1</v>
      </c>
      <c r="L5955" t="str">
        <f>TEXT(LeadsData[[#This Row],[Signup Date]],"mmm-yyyy")</f>
        <v>Mar-2024</v>
      </c>
      <c r="M5955">
        <f>IF(LeadsData[[#This Row],[Stage Number]]&gt;=2,1,0)</f>
        <v>0</v>
      </c>
      <c r="N5955" s="2">
        <f>IF(LeadsData[[#This Row],[Stage Number]]&gt;=3,1,0)</f>
        <v>0</v>
      </c>
      <c r="O5955" s="2">
        <f>IF(LeadsData[[#This Row],[Stage Number]]&gt;=4,1,0)</f>
        <v>0</v>
      </c>
    </row>
    <row r="5956" spans="1:15" x14ac:dyDescent="0.25">
      <c r="A5956" t="s">
        <v>5996</v>
      </c>
      <c r="B5956" s="1">
        <v>45409</v>
      </c>
      <c r="C5956" t="s">
        <v>11</v>
      </c>
      <c r="D5956" t="s">
        <v>12</v>
      </c>
      <c r="E5956" t="s">
        <v>13</v>
      </c>
      <c r="F5956" t="s">
        <v>19</v>
      </c>
      <c r="G5956" t="s">
        <v>23</v>
      </c>
      <c r="K5956" cm="1">
        <f t="array" ref="K5956">_xlfn.SWITCH(LeadsData[[#This Row],[Funnel Stage Reached]],"Lead",1,"MQL",2,"SQL",3,"Customer",4)</f>
        <v>2</v>
      </c>
      <c r="L5956" t="str">
        <f>TEXT(LeadsData[[#This Row],[Signup Date]],"mmm-yyyy")</f>
        <v>Apr-2024</v>
      </c>
      <c r="M5956">
        <f>IF(LeadsData[[#This Row],[Stage Number]]&gt;=2,1,0)</f>
        <v>1</v>
      </c>
      <c r="N5956" s="2">
        <f>IF(LeadsData[[#This Row],[Stage Number]]&gt;=3,1,0)</f>
        <v>0</v>
      </c>
      <c r="O5956" s="2">
        <f>IF(LeadsData[[#This Row],[Stage Number]]&gt;=4,1,0)</f>
        <v>0</v>
      </c>
    </row>
    <row r="5957" spans="1:15" x14ac:dyDescent="0.25">
      <c r="A5957" t="s">
        <v>5997</v>
      </c>
      <c r="B5957" s="1">
        <v>45456</v>
      </c>
      <c r="C5957" t="s">
        <v>11</v>
      </c>
      <c r="D5957" t="s">
        <v>68</v>
      </c>
      <c r="E5957" t="s">
        <v>21</v>
      </c>
      <c r="F5957" t="s">
        <v>28</v>
      </c>
      <c r="G5957" t="s">
        <v>15</v>
      </c>
      <c r="K5957" cm="1">
        <f t="array" ref="K5957">_xlfn.SWITCH(LeadsData[[#This Row],[Funnel Stage Reached]],"Lead",1,"MQL",2,"SQL",3,"Customer",4)</f>
        <v>1</v>
      </c>
      <c r="L5957" t="str">
        <f>TEXT(LeadsData[[#This Row],[Signup Date]],"mmm-yyyy")</f>
        <v>Jun-2024</v>
      </c>
      <c r="M5957">
        <f>IF(LeadsData[[#This Row],[Stage Number]]&gt;=2,1,0)</f>
        <v>0</v>
      </c>
      <c r="N5957" s="2">
        <f>IF(LeadsData[[#This Row],[Stage Number]]&gt;=3,1,0)</f>
        <v>0</v>
      </c>
      <c r="O5957" s="2">
        <f>IF(LeadsData[[#This Row],[Stage Number]]&gt;=4,1,0)</f>
        <v>0</v>
      </c>
    </row>
    <row r="5958" spans="1:15" x14ac:dyDescent="0.25">
      <c r="A5958" t="s">
        <v>5998</v>
      </c>
      <c r="B5958" s="1">
        <v>45384</v>
      </c>
      <c r="C5958" t="s">
        <v>25</v>
      </c>
      <c r="D5958" t="s">
        <v>26</v>
      </c>
      <c r="E5958" t="s">
        <v>13</v>
      </c>
      <c r="F5958" t="s">
        <v>22</v>
      </c>
      <c r="G5958" t="s">
        <v>15</v>
      </c>
      <c r="K5958" cm="1">
        <f t="array" ref="K5958">_xlfn.SWITCH(LeadsData[[#This Row],[Funnel Stage Reached]],"Lead",1,"MQL",2,"SQL",3,"Customer",4)</f>
        <v>1</v>
      </c>
      <c r="L5958" t="str">
        <f>TEXT(LeadsData[[#This Row],[Signup Date]],"mmm-yyyy")</f>
        <v>Apr-2024</v>
      </c>
      <c r="M5958">
        <f>IF(LeadsData[[#This Row],[Stage Number]]&gt;=2,1,0)</f>
        <v>0</v>
      </c>
      <c r="N5958" s="2">
        <f>IF(LeadsData[[#This Row],[Stage Number]]&gt;=3,1,0)</f>
        <v>0</v>
      </c>
      <c r="O5958" s="2">
        <f>IF(LeadsData[[#This Row],[Stage Number]]&gt;=4,1,0)</f>
        <v>0</v>
      </c>
    </row>
    <row r="5959" spans="1:15" x14ac:dyDescent="0.25">
      <c r="A5959" t="s">
        <v>5999</v>
      </c>
      <c r="B5959" s="1">
        <v>45552</v>
      </c>
      <c r="C5959" t="s">
        <v>25</v>
      </c>
      <c r="D5959" t="s">
        <v>26</v>
      </c>
      <c r="E5959" t="s">
        <v>21</v>
      </c>
      <c r="F5959" t="s">
        <v>19</v>
      </c>
      <c r="G5959" t="s">
        <v>15</v>
      </c>
      <c r="K5959" cm="1">
        <f t="array" ref="K5959">_xlfn.SWITCH(LeadsData[[#This Row],[Funnel Stage Reached]],"Lead",1,"MQL",2,"SQL",3,"Customer",4)</f>
        <v>1</v>
      </c>
      <c r="L5959" t="str">
        <f>TEXT(LeadsData[[#This Row],[Signup Date]],"mmm-yyyy")</f>
        <v>Sep-2024</v>
      </c>
      <c r="M5959">
        <f>IF(LeadsData[[#This Row],[Stage Number]]&gt;=2,1,0)</f>
        <v>0</v>
      </c>
      <c r="N5959" s="2">
        <f>IF(LeadsData[[#This Row],[Stage Number]]&gt;=3,1,0)</f>
        <v>0</v>
      </c>
      <c r="O5959" s="2">
        <f>IF(LeadsData[[#This Row],[Stage Number]]&gt;=4,1,0)</f>
        <v>0</v>
      </c>
    </row>
    <row r="5960" spans="1:15" x14ac:dyDescent="0.25">
      <c r="A5960" t="s">
        <v>6000</v>
      </c>
      <c r="B5960" s="1">
        <v>45536</v>
      </c>
      <c r="C5960" t="s">
        <v>25</v>
      </c>
      <c r="D5960" t="s">
        <v>26</v>
      </c>
      <c r="E5960" t="s">
        <v>21</v>
      </c>
      <c r="F5960" t="s">
        <v>14</v>
      </c>
      <c r="G5960" t="s">
        <v>15</v>
      </c>
      <c r="K5960" cm="1">
        <f t="array" ref="K5960">_xlfn.SWITCH(LeadsData[[#This Row],[Funnel Stage Reached]],"Lead",1,"MQL",2,"SQL",3,"Customer",4)</f>
        <v>1</v>
      </c>
      <c r="L5960" t="str">
        <f>TEXT(LeadsData[[#This Row],[Signup Date]],"mmm-yyyy")</f>
        <v>Sep-2024</v>
      </c>
      <c r="M5960">
        <f>IF(LeadsData[[#This Row],[Stage Number]]&gt;=2,1,0)</f>
        <v>0</v>
      </c>
      <c r="N5960" s="2">
        <f>IF(LeadsData[[#This Row],[Stage Number]]&gt;=3,1,0)</f>
        <v>0</v>
      </c>
      <c r="O5960" s="2">
        <f>IF(LeadsData[[#This Row],[Stage Number]]&gt;=4,1,0)</f>
        <v>0</v>
      </c>
    </row>
    <row r="5961" spans="1:15" x14ac:dyDescent="0.25">
      <c r="A5961" t="s">
        <v>6001</v>
      </c>
      <c r="B5961" s="1">
        <v>45315</v>
      </c>
      <c r="C5961" t="s">
        <v>36</v>
      </c>
      <c r="D5961" t="s">
        <v>37</v>
      </c>
      <c r="E5961" t="s">
        <v>13</v>
      </c>
      <c r="F5961" t="s">
        <v>19</v>
      </c>
      <c r="G5961" t="s">
        <v>42</v>
      </c>
      <c r="H5961">
        <v>41</v>
      </c>
      <c r="I5961" t="s">
        <v>43</v>
      </c>
      <c r="J5961">
        <v>587.29999999999995</v>
      </c>
      <c r="K5961" cm="1">
        <f t="array" ref="K5961">_xlfn.SWITCH(LeadsData[[#This Row],[Funnel Stage Reached]],"Lead",1,"MQL",2,"SQL",3,"Customer",4)</f>
        <v>4</v>
      </c>
      <c r="L5961" t="str">
        <f>TEXT(LeadsData[[#This Row],[Signup Date]],"mmm-yyyy")</f>
        <v>Jan-2024</v>
      </c>
      <c r="M5961">
        <f>IF(LeadsData[[#This Row],[Stage Number]]&gt;=2,1,0)</f>
        <v>1</v>
      </c>
      <c r="N5961" s="2">
        <f>IF(LeadsData[[#This Row],[Stage Number]]&gt;=3,1,0)</f>
        <v>1</v>
      </c>
      <c r="O5961" s="2">
        <f>IF(LeadsData[[#This Row],[Stage Number]]&gt;=4,1,0)</f>
        <v>1</v>
      </c>
    </row>
    <row r="5962" spans="1:15" x14ac:dyDescent="0.25">
      <c r="A5962" t="s">
        <v>6002</v>
      </c>
      <c r="B5962" s="1">
        <v>45299</v>
      </c>
      <c r="C5962" t="s">
        <v>36</v>
      </c>
      <c r="D5962" t="s">
        <v>37</v>
      </c>
      <c r="E5962" t="s">
        <v>21</v>
      </c>
      <c r="F5962" t="s">
        <v>28</v>
      </c>
      <c r="G5962" t="s">
        <v>23</v>
      </c>
      <c r="K5962" cm="1">
        <f t="array" ref="K5962">_xlfn.SWITCH(LeadsData[[#This Row],[Funnel Stage Reached]],"Lead",1,"MQL",2,"SQL",3,"Customer",4)</f>
        <v>2</v>
      </c>
      <c r="L5962" t="str">
        <f>TEXT(LeadsData[[#This Row],[Signup Date]],"mmm-yyyy")</f>
        <v>Jan-2024</v>
      </c>
      <c r="M5962">
        <f>IF(LeadsData[[#This Row],[Stage Number]]&gt;=2,1,0)</f>
        <v>1</v>
      </c>
      <c r="N5962" s="2">
        <f>IF(LeadsData[[#This Row],[Stage Number]]&gt;=3,1,0)</f>
        <v>0</v>
      </c>
      <c r="O5962" s="2">
        <f>IF(LeadsData[[#This Row],[Stage Number]]&gt;=4,1,0)</f>
        <v>0</v>
      </c>
    </row>
    <row r="5963" spans="1:15" x14ac:dyDescent="0.25">
      <c r="A5963" t="s">
        <v>6003</v>
      </c>
      <c r="B5963" s="1">
        <v>45607</v>
      </c>
      <c r="C5963" t="s">
        <v>25</v>
      </c>
      <c r="D5963" t="s">
        <v>26</v>
      </c>
      <c r="E5963" t="s">
        <v>13</v>
      </c>
      <c r="F5963" t="s">
        <v>19</v>
      </c>
      <c r="G5963" t="s">
        <v>29</v>
      </c>
      <c r="K5963" cm="1">
        <f t="array" ref="K5963">_xlfn.SWITCH(LeadsData[[#This Row],[Funnel Stage Reached]],"Lead",1,"MQL",2,"SQL",3,"Customer",4)</f>
        <v>3</v>
      </c>
      <c r="L5963" t="str">
        <f>TEXT(LeadsData[[#This Row],[Signup Date]],"mmm-yyyy")</f>
        <v>Nov-2024</v>
      </c>
      <c r="M5963">
        <f>IF(LeadsData[[#This Row],[Stage Number]]&gt;=2,1,0)</f>
        <v>1</v>
      </c>
      <c r="N5963" s="2">
        <f>IF(LeadsData[[#This Row],[Stage Number]]&gt;=3,1,0)</f>
        <v>1</v>
      </c>
      <c r="O5963" s="2">
        <f>IF(LeadsData[[#This Row],[Stage Number]]&gt;=4,1,0)</f>
        <v>0</v>
      </c>
    </row>
    <row r="5964" spans="1:15" x14ac:dyDescent="0.25">
      <c r="A5964" t="s">
        <v>6004</v>
      </c>
      <c r="B5964" s="1">
        <v>45438</v>
      </c>
      <c r="C5964" t="s">
        <v>17</v>
      </c>
      <c r="D5964" t="s">
        <v>53</v>
      </c>
      <c r="E5964" t="s">
        <v>21</v>
      </c>
      <c r="F5964" t="s">
        <v>19</v>
      </c>
      <c r="G5964" t="s">
        <v>15</v>
      </c>
      <c r="K5964" cm="1">
        <f t="array" ref="K5964">_xlfn.SWITCH(LeadsData[[#This Row],[Funnel Stage Reached]],"Lead",1,"MQL",2,"SQL",3,"Customer",4)</f>
        <v>1</v>
      </c>
      <c r="L5964" t="str">
        <f>TEXT(LeadsData[[#This Row],[Signup Date]],"mmm-yyyy")</f>
        <v>May-2024</v>
      </c>
      <c r="M5964">
        <f>IF(LeadsData[[#This Row],[Stage Number]]&gt;=2,1,0)</f>
        <v>0</v>
      </c>
      <c r="N5964" s="2">
        <f>IF(LeadsData[[#This Row],[Stage Number]]&gt;=3,1,0)</f>
        <v>0</v>
      </c>
      <c r="O5964" s="2">
        <f>IF(LeadsData[[#This Row],[Stage Number]]&gt;=4,1,0)</f>
        <v>0</v>
      </c>
    </row>
    <row r="5965" spans="1:15" x14ac:dyDescent="0.25">
      <c r="A5965" t="s">
        <v>6005</v>
      </c>
      <c r="B5965" s="1">
        <v>45409</v>
      </c>
      <c r="C5965" t="s">
        <v>17</v>
      </c>
      <c r="D5965" t="s">
        <v>53</v>
      </c>
      <c r="E5965" t="s">
        <v>13</v>
      </c>
      <c r="F5965" t="s">
        <v>19</v>
      </c>
      <c r="G5965" t="s">
        <v>15</v>
      </c>
      <c r="K5965" cm="1">
        <f t="array" ref="K5965">_xlfn.SWITCH(LeadsData[[#This Row],[Funnel Stage Reached]],"Lead",1,"MQL",2,"SQL",3,"Customer",4)</f>
        <v>1</v>
      </c>
      <c r="L5965" t="str">
        <f>TEXT(LeadsData[[#This Row],[Signup Date]],"mmm-yyyy")</f>
        <v>Apr-2024</v>
      </c>
      <c r="M5965">
        <f>IF(LeadsData[[#This Row],[Stage Number]]&gt;=2,1,0)</f>
        <v>0</v>
      </c>
      <c r="N5965" s="2">
        <f>IF(LeadsData[[#This Row],[Stage Number]]&gt;=3,1,0)</f>
        <v>0</v>
      </c>
      <c r="O5965" s="2">
        <f>IF(LeadsData[[#This Row],[Stage Number]]&gt;=4,1,0)</f>
        <v>0</v>
      </c>
    </row>
    <row r="5966" spans="1:15" x14ac:dyDescent="0.25">
      <c r="A5966" t="s">
        <v>6006</v>
      </c>
      <c r="B5966" s="1">
        <v>45634</v>
      </c>
      <c r="C5966" t="s">
        <v>17</v>
      </c>
      <c r="D5966" t="s">
        <v>53</v>
      </c>
      <c r="E5966" t="s">
        <v>21</v>
      </c>
      <c r="F5966" t="s">
        <v>19</v>
      </c>
      <c r="G5966" t="s">
        <v>15</v>
      </c>
      <c r="K5966" cm="1">
        <f t="array" ref="K5966">_xlfn.SWITCH(LeadsData[[#This Row],[Funnel Stage Reached]],"Lead",1,"MQL",2,"SQL",3,"Customer",4)</f>
        <v>1</v>
      </c>
      <c r="L5966" t="str">
        <f>TEXT(LeadsData[[#This Row],[Signup Date]],"mmm-yyyy")</f>
        <v>Dec-2024</v>
      </c>
      <c r="M5966">
        <f>IF(LeadsData[[#This Row],[Stage Number]]&gt;=2,1,0)</f>
        <v>0</v>
      </c>
      <c r="N5966" s="2">
        <f>IF(LeadsData[[#This Row],[Stage Number]]&gt;=3,1,0)</f>
        <v>0</v>
      </c>
      <c r="O5966" s="2">
        <f>IF(LeadsData[[#This Row],[Stage Number]]&gt;=4,1,0)</f>
        <v>0</v>
      </c>
    </row>
    <row r="5967" spans="1:15" x14ac:dyDescent="0.25">
      <c r="A5967" t="s">
        <v>6007</v>
      </c>
      <c r="B5967" s="1">
        <v>45600</v>
      </c>
      <c r="C5967" t="s">
        <v>17</v>
      </c>
      <c r="D5967" t="s">
        <v>18</v>
      </c>
      <c r="E5967" t="s">
        <v>21</v>
      </c>
      <c r="F5967" t="s">
        <v>14</v>
      </c>
      <c r="G5967" t="s">
        <v>15</v>
      </c>
      <c r="K5967" cm="1">
        <f t="array" ref="K5967">_xlfn.SWITCH(LeadsData[[#This Row],[Funnel Stage Reached]],"Lead",1,"MQL",2,"SQL",3,"Customer",4)</f>
        <v>1</v>
      </c>
      <c r="L5967" t="str">
        <f>TEXT(LeadsData[[#This Row],[Signup Date]],"mmm-yyyy")</f>
        <v>Nov-2024</v>
      </c>
      <c r="M5967">
        <f>IF(LeadsData[[#This Row],[Stage Number]]&gt;=2,1,0)</f>
        <v>0</v>
      </c>
      <c r="N5967" s="2">
        <f>IF(LeadsData[[#This Row],[Stage Number]]&gt;=3,1,0)</f>
        <v>0</v>
      </c>
      <c r="O5967" s="2">
        <f>IF(LeadsData[[#This Row],[Stage Number]]&gt;=4,1,0)</f>
        <v>0</v>
      </c>
    </row>
    <row r="5968" spans="1:15" x14ac:dyDescent="0.25">
      <c r="A5968" t="s">
        <v>6008</v>
      </c>
      <c r="B5968" s="1">
        <v>45584</v>
      </c>
      <c r="C5968" t="s">
        <v>17</v>
      </c>
      <c r="D5968" t="s">
        <v>53</v>
      </c>
      <c r="E5968" t="s">
        <v>13</v>
      </c>
      <c r="F5968" t="s">
        <v>14</v>
      </c>
      <c r="G5968" t="s">
        <v>23</v>
      </c>
      <c r="K5968" cm="1">
        <f t="array" ref="K5968">_xlfn.SWITCH(LeadsData[[#This Row],[Funnel Stage Reached]],"Lead",1,"MQL",2,"SQL",3,"Customer",4)</f>
        <v>2</v>
      </c>
      <c r="L5968" t="str">
        <f>TEXT(LeadsData[[#This Row],[Signup Date]],"mmm-yyyy")</f>
        <v>Oct-2024</v>
      </c>
      <c r="M5968">
        <f>IF(LeadsData[[#This Row],[Stage Number]]&gt;=2,1,0)</f>
        <v>1</v>
      </c>
      <c r="N5968" s="2">
        <f>IF(LeadsData[[#This Row],[Stage Number]]&gt;=3,1,0)</f>
        <v>0</v>
      </c>
      <c r="O5968" s="2">
        <f>IF(LeadsData[[#This Row],[Stage Number]]&gt;=4,1,0)</f>
        <v>0</v>
      </c>
    </row>
    <row r="5969" spans="1:15" x14ac:dyDescent="0.25">
      <c r="A5969" t="s">
        <v>6009</v>
      </c>
      <c r="B5969" s="1">
        <v>45513</v>
      </c>
      <c r="C5969" t="s">
        <v>36</v>
      </c>
      <c r="D5969" t="s">
        <v>50</v>
      </c>
      <c r="E5969" t="s">
        <v>21</v>
      </c>
      <c r="F5969" t="s">
        <v>14</v>
      </c>
      <c r="G5969" t="s">
        <v>23</v>
      </c>
      <c r="K5969" cm="1">
        <f t="array" ref="K5969">_xlfn.SWITCH(LeadsData[[#This Row],[Funnel Stage Reached]],"Lead",1,"MQL",2,"SQL",3,"Customer",4)</f>
        <v>2</v>
      </c>
      <c r="L5969" t="str">
        <f>TEXT(LeadsData[[#This Row],[Signup Date]],"mmm-yyyy")</f>
        <v>Aug-2024</v>
      </c>
      <c r="M5969">
        <f>IF(LeadsData[[#This Row],[Stage Number]]&gt;=2,1,0)</f>
        <v>1</v>
      </c>
      <c r="N5969" s="2">
        <f>IF(LeadsData[[#This Row],[Stage Number]]&gt;=3,1,0)</f>
        <v>0</v>
      </c>
      <c r="O5969" s="2">
        <f>IF(LeadsData[[#This Row],[Stage Number]]&gt;=4,1,0)</f>
        <v>0</v>
      </c>
    </row>
    <row r="5970" spans="1:15" x14ac:dyDescent="0.25">
      <c r="A5970" t="s">
        <v>6010</v>
      </c>
      <c r="B5970" s="1">
        <v>45606</v>
      </c>
      <c r="C5970" t="s">
        <v>46</v>
      </c>
      <c r="D5970" t="s">
        <v>47</v>
      </c>
      <c r="E5970" t="s">
        <v>21</v>
      </c>
      <c r="F5970" t="s">
        <v>28</v>
      </c>
      <c r="G5970" t="s">
        <v>15</v>
      </c>
      <c r="K5970" cm="1">
        <f t="array" ref="K5970">_xlfn.SWITCH(LeadsData[[#This Row],[Funnel Stage Reached]],"Lead",1,"MQL",2,"SQL",3,"Customer",4)</f>
        <v>1</v>
      </c>
      <c r="L5970" t="str">
        <f>TEXT(LeadsData[[#This Row],[Signup Date]],"mmm-yyyy")</f>
        <v>Nov-2024</v>
      </c>
      <c r="M5970">
        <f>IF(LeadsData[[#This Row],[Stage Number]]&gt;=2,1,0)</f>
        <v>0</v>
      </c>
      <c r="N5970" s="2">
        <f>IF(LeadsData[[#This Row],[Stage Number]]&gt;=3,1,0)</f>
        <v>0</v>
      </c>
      <c r="O5970" s="2">
        <f>IF(LeadsData[[#This Row],[Stage Number]]&gt;=4,1,0)</f>
        <v>0</v>
      </c>
    </row>
    <row r="5971" spans="1:15" x14ac:dyDescent="0.25">
      <c r="A5971" t="s">
        <v>6011</v>
      </c>
      <c r="B5971" s="1">
        <v>45552</v>
      </c>
      <c r="C5971" t="s">
        <v>17</v>
      </c>
      <c r="D5971" t="s">
        <v>53</v>
      </c>
      <c r="E5971" t="s">
        <v>21</v>
      </c>
      <c r="F5971" t="s">
        <v>19</v>
      </c>
      <c r="G5971" t="s">
        <v>15</v>
      </c>
      <c r="K5971" cm="1">
        <f t="array" ref="K5971">_xlfn.SWITCH(LeadsData[[#This Row],[Funnel Stage Reached]],"Lead",1,"MQL",2,"SQL",3,"Customer",4)</f>
        <v>1</v>
      </c>
      <c r="L5971" t="str">
        <f>TEXT(LeadsData[[#This Row],[Signup Date]],"mmm-yyyy")</f>
        <v>Sep-2024</v>
      </c>
      <c r="M5971">
        <f>IF(LeadsData[[#This Row],[Stage Number]]&gt;=2,1,0)</f>
        <v>0</v>
      </c>
      <c r="N5971" s="2">
        <f>IF(LeadsData[[#This Row],[Stage Number]]&gt;=3,1,0)</f>
        <v>0</v>
      </c>
      <c r="O5971" s="2">
        <f>IF(LeadsData[[#This Row],[Stage Number]]&gt;=4,1,0)</f>
        <v>0</v>
      </c>
    </row>
    <row r="5972" spans="1:15" x14ac:dyDescent="0.25">
      <c r="A5972" t="s">
        <v>6012</v>
      </c>
      <c r="B5972" s="1">
        <v>45569</v>
      </c>
      <c r="C5972" t="s">
        <v>31</v>
      </c>
      <c r="D5972" t="s">
        <v>32</v>
      </c>
      <c r="E5972" t="s">
        <v>13</v>
      </c>
      <c r="F5972" t="s">
        <v>22</v>
      </c>
      <c r="G5972" t="s">
        <v>23</v>
      </c>
      <c r="K5972" cm="1">
        <f t="array" ref="K5972">_xlfn.SWITCH(LeadsData[[#This Row],[Funnel Stage Reached]],"Lead",1,"MQL",2,"SQL",3,"Customer",4)</f>
        <v>2</v>
      </c>
      <c r="L5972" t="str">
        <f>TEXT(LeadsData[[#This Row],[Signup Date]],"mmm-yyyy")</f>
        <v>Oct-2024</v>
      </c>
      <c r="M5972">
        <f>IF(LeadsData[[#This Row],[Stage Number]]&gt;=2,1,0)</f>
        <v>1</v>
      </c>
      <c r="N5972" s="2">
        <f>IF(LeadsData[[#This Row],[Stage Number]]&gt;=3,1,0)</f>
        <v>0</v>
      </c>
      <c r="O5972" s="2">
        <f>IF(LeadsData[[#This Row],[Stage Number]]&gt;=4,1,0)</f>
        <v>0</v>
      </c>
    </row>
    <row r="5973" spans="1:15" x14ac:dyDescent="0.25">
      <c r="A5973" t="s">
        <v>6013</v>
      </c>
      <c r="B5973" s="1">
        <v>45621</v>
      </c>
      <c r="C5973" t="s">
        <v>31</v>
      </c>
      <c r="D5973" t="s">
        <v>32</v>
      </c>
      <c r="E5973" t="s">
        <v>21</v>
      </c>
      <c r="F5973" t="s">
        <v>19</v>
      </c>
      <c r="G5973" t="s">
        <v>23</v>
      </c>
      <c r="K5973" cm="1">
        <f t="array" ref="K5973">_xlfn.SWITCH(LeadsData[[#This Row],[Funnel Stage Reached]],"Lead",1,"MQL",2,"SQL",3,"Customer",4)</f>
        <v>2</v>
      </c>
      <c r="L5973" t="str">
        <f>TEXT(LeadsData[[#This Row],[Signup Date]],"mmm-yyyy")</f>
        <v>Nov-2024</v>
      </c>
      <c r="M5973">
        <f>IF(LeadsData[[#This Row],[Stage Number]]&gt;=2,1,0)</f>
        <v>1</v>
      </c>
      <c r="N5973" s="2">
        <f>IF(LeadsData[[#This Row],[Stage Number]]&gt;=3,1,0)</f>
        <v>0</v>
      </c>
      <c r="O5973" s="2">
        <f>IF(LeadsData[[#This Row],[Stage Number]]&gt;=4,1,0)</f>
        <v>0</v>
      </c>
    </row>
    <row r="5974" spans="1:15" x14ac:dyDescent="0.25">
      <c r="A5974" t="s">
        <v>6014</v>
      </c>
      <c r="B5974" s="1">
        <v>45623</v>
      </c>
      <c r="C5974" t="s">
        <v>46</v>
      </c>
      <c r="D5974" t="s">
        <v>56</v>
      </c>
      <c r="E5974" t="s">
        <v>48</v>
      </c>
      <c r="F5974" t="s">
        <v>19</v>
      </c>
      <c r="G5974" t="s">
        <v>23</v>
      </c>
      <c r="K5974" cm="1">
        <f t="array" ref="K5974">_xlfn.SWITCH(LeadsData[[#This Row],[Funnel Stage Reached]],"Lead",1,"MQL",2,"SQL",3,"Customer",4)</f>
        <v>2</v>
      </c>
      <c r="L5974" t="str">
        <f>TEXT(LeadsData[[#This Row],[Signup Date]],"mmm-yyyy")</f>
        <v>Nov-2024</v>
      </c>
      <c r="M5974">
        <f>IF(LeadsData[[#This Row],[Stage Number]]&gt;=2,1,0)</f>
        <v>1</v>
      </c>
      <c r="N5974" s="2">
        <f>IF(LeadsData[[#This Row],[Stage Number]]&gt;=3,1,0)</f>
        <v>0</v>
      </c>
      <c r="O5974" s="2">
        <f>IF(LeadsData[[#This Row],[Stage Number]]&gt;=4,1,0)</f>
        <v>0</v>
      </c>
    </row>
    <row r="5975" spans="1:15" x14ac:dyDescent="0.25">
      <c r="A5975" t="s">
        <v>6015</v>
      </c>
      <c r="B5975" s="1">
        <v>45311</v>
      </c>
      <c r="C5975" t="s">
        <v>11</v>
      </c>
      <c r="D5975" t="s">
        <v>79</v>
      </c>
      <c r="E5975" t="s">
        <v>21</v>
      </c>
      <c r="F5975" t="s">
        <v>19</v>
      </c>
      <c r="G5975" t="s">
        <v>15</v>
      </c>
      <c r="K5975" cm="1">
        <f t="array" ref="K5975">_xlfn.SWITCH(LeadsData[[#This Row],[Funnel Stage Reached]],"Lead",1,"MQL",2,"SQL",3,"Customer",4)</f>
        <v>1</v>
      </c>
      <c r="L5975" t="str">
        <f>TEXT(LeadsData[[#This Row],[Signup Date]],"mmm-yyyy")</f>
        <v>Jan-2024</v>
      </c>
      <c r="M5975">
        <f>IF(LeadsData[[#This Row],[Stage Number]]&gt;=2,1,0)</f>
        <v>0</v>
      </c>
      <c r="N5975" s="2">
        <f>IF(LeadsData[[#This Row],[Stage Number]]&gt;=3,1,0)</f>
        <v>0</v>
      </c>
      <c r="O5975" s="2">
        <f>IF(LeadsData[[#This Row],[Stage Number]]&gt;=4,1,0)</f>
        <v>0</v>
      </c>
    </row>
    <row r="5976" spans="1:15" x14ac:dyDescent="0.25">
      <c r="A5976" t="s">
        <v>6016</v>
      </c>
      <c r="B5976" s="1">
        <v>45417</v>
      </c>
      <c r="C5976" t="s">
        <v>17</v>
      </c>
      <c r="D5976" t="s">
        <v>18</v>
      </c>
      <c r="E5976" t="s">
        <v>13</v>
      </c>
      <c r="F5976" t="s">
        <v>22</v>
      </c>
      <c r="G5976" t="s">
        <v>15</v>
      </c>
      <c r="K5976" cm="1">
        <f t="array" ref="K5976">_xlfn.SWITCH(LeadsData[[#This Row],[Funnel Stage Reached]],"Lead",1,"MQL",2,"SQL",3,"Customer",4)</f>
        <v>1</v>
      </c>
      <c r="L5976" t="str">
        <f>TEXT(LeadsData[[#This Row],[Signup Date]],"mmm-yyyy")</f>
        <v>May-2024</v>
      </c>
      <c r="M5976">
        <f>IF(LeadsData[[#This Row],[Stage Number]]&gt;=2,1,0)</f>
        <v>0</v>
      </c>
      <c r="N5976" s="2">
        <f>IF(LeadsData[[#This Row],[Stage Number]]&gt;=3,1,0)</f>
        <v>0</v>
      </c>
      <c r="O5976" s="2">
        <f>IF(LeadsData[[#This Row],[Stage Number]]&gt;=4,1,0)</f>
        <v>0</v>
      </c>
    </row>
    <row r="5977" spans="1:15" x14ac:dyDescent="0.25">
      <c r="A5977" t="s">
        <v>6017</v>
      </c>
      <c r="B5977" s="1">
        <v>45491</v>
      </c>
      <c r="C5977" t="s">
        <v>17</v>
      </c>
      <c r="D5977" t="s">
        <v>53</v>
      </c>
      <c r="E5977" t="s">
        <v>13</v>
      </c>
      <c r="F5977" t="s">
        <v>19</v>
      </c>
      <c r="G5977" t="s">
        <v>23</v>
      </c>
      <c r="K5977" cm="1">
        <f t="array" ref="K5977">_xlfn.SWITCH(LeadsData[[#This Row],[Funnel Stage Reached]],"Lead",1,"MQL",2,"SQL",3,"Customer",4)</f>
        <v>2</v>
      </c>
      <c r="L5977" t="str">
        <f>TEXT(LeadsData[[#This Row],[Signup Date]],"mmm-yyyy")</f>
        <v>Jul-2024</v>
      </c>
      <c r="M5977">
        <f>IF(LeadsData[[#This Row],[Stage Number]]&gt;=2,1,0)</f>
        <v>1</v>
      </c>
      <c r="N5977" s="2">
        <f>IF(LeadsData[[#This Row],[Stage Number]]&gt;=3,1,0)</f>
        <v>0</v>
      </c>
      <c r="O5977" s="2">
        <f>IF(LeadsData[[#This Row],[Stage Number]]&gt;=4,1,0)</f>
        <v>0</v>
      </c>
    </row>
    <row r="5978" spans="1:15" x14ac:dyDescent="0.25">
      <c r="A5978" t="s">
        <v>6018</v>
      </c>
      <c r="B5978" s="1">
        <v>45563</v>
      </c>
      <c r="C5978" t="s">
        <v>36</v>
      </c>
      <c r="D5978" t="s">
        <v>37</v>
      </c>
      <c r="E5978" t="s">
        <v>13</v>
      </c>
      <c r="F5978" t="s">
        <v>19</v>
      </c>
      <c r="G5978" t="s">
        <v>15</v>
      </c>
      <c r="K5978" cm="1">
        <f t="array" ref="K5978">_xlfn.SWITCH(LeadsData[[#This Row],[Funnel Stage Reached]],"Lead",1,"MQL",2,"SQL",3,"Customer",4)</f>
        <v>1</v>
      </c>
      <c r="L5978" t="str">
        <f>TEXT(LeadsData[[#This Row],[Signup Date]],"mmm-yyyy")</f>
        <v>Sep-2024</v>
      </c>
      <c r="M5978">
        <f>IF(LeadsData[[#This Row],[Stage Number]]&gt;=2,1,0)</f>
        <v>0</v>
      </c>
      <c r="N5978" s="2">
        <f>IF(LeadsData[[#This Row],[Stage Number]]&gt;=3,1,0)</f>
        <v>0</v>
      </c>
      <c r="O5978" s="2">
        <f>IF(LeadsData[[#This Row],[Stage Number]]&gt;=4,1,0)</f>
        <v>0</v>
      </c>
    </row>
    <row r="5979" spans="1:15" x14ac:dyDescent="0.25">
      <c r="A5979" t="s">
        <v>6019</v>
      </c>
      <c r="B5979" s="1">
        <v>45401</v>
      </c>
      <c r="C5979" t="s">
        <v>31</v>
      </c>
      <c r="D5979" t="s">
        <v>32</v>
      </c>
      <c r="E5979" t="s">
        <v>13</v>
      </c>
      <c r="F5979" t="s">
        <v>22</v>
      </c>
      <c r="G5979" t="s">
        <v>15</v>
      </c>
      <c r="K5979" cm="1">
        <f t="array" ref="K5979">_xlfn.SWITCH(LeadsData[[#This Row],[Funnel Stage Reached]],"Lead",1,"MQL",2,"SQL",3,"Customer",4)</f>
        <v>1</v>
      </c>
      <c r="L5979" t="str">
        <f>TEXT(LeadsData[[#This Row],[Signup Date]],"mmm-yyyy")</f>
        <v>Apr-2024</v>
      </c>
      <c r="M5979">
        <f>IF(LeadsData[[#This Row],[Stage Number]]&gt;=2,1,0)</f>
        <v>0</v>
      </c>
      <c r="N5979" s="2">
        <f>IF(LeadsData[[#This Row],[Stage Number]]&gt;=3,1,0)</f>
        <v>0</v>
      </c>
      <c r="O5979" s="2">
        <f>IF(LeadsData[[#This Row],[Stage Number]]&gt;=4,1,0)</f>
        <v>0</v>
      </c>
    </row>
    <row r="5980" spans="1:15" x14ac:dyDescent="0.25">
      <c r="A5980" t="s">
        <v>6020</v>
      </c>
      <c r="B5980" s="1">
        <v>45632</v>
      </c>
      <c r="C5980" t="s">
        <v>17</v>
      </c>
      <c r="D5980" t="s">
        <v>18</v>
      </c>
      <c r="E5980" t="s">
        <v>21</v>
      </c>
      <c r="F5980" t="s">
        <v>22</v>
      </c>
      <c r="G5980" t="s">
        <v>23</v>
      </c>
      <c r="K5980" cm="1">
        <f t="array" ref="K5980">_xlfn.SWITCH(LeadsData[[#This Row],[Funnel Stage Reached]],"Lead",1,"MQL",2,"SQL",3,"Customer",4)</f>
        <v>2</v>
      </c>
      <c r="L5980" t="str">
        <f>TEXT(LeadsData[[#This Row],[Signup Date]],"mmm-yyyy")</f>
        <v>Dec-2024</v>
      </c>
      <c r="M5980">
        <f>IF(LeadsData[[#This Row],[Stage Number]]&gt;=2,1,0)</f>
        <v>1</v>
      </c>
      <c r="N5980" s="2">
        <f>IF(LeadsData[[#This Row],[Stage Number]]&gt;=3,1,0)</f>
        <v>0</v>
      </c>
      <c r="O5980" s="2">
        <f>IF(LeadsData[[#This Row],[Stage Number]]&gt;=4,1,0)</f>
        <v>0</v>
      </c>
    </row>
    <row r="5981" spans="1:15" x14ac:dyDescent="0.25">
      <c r="A5981" t="s">
        <v>6021</v>
      </c>
      <c r="B5981" s="1">
        <v>45574</v>
      </c>
      <c r="C5981" t="s">
        <v>31</v>
      </c>
      <c r="D5981" t="s">
        <v>34</v>
      </c>
      <c r="E5981" t="s">
        <v>13</v>
      </c>
      <c r="F5981" t="s">
        <v>14</v>
      </c>
      <c r="G5981" t="s">
        <v>42</v>
      </c>
      <c r="H5981">
        <v>59</v>
      </c>
      <c r="I5981" t="s">
        <v>43</v>
      </c>
      <c r="J5981">
        <v>832.83</v>
      </c>
      <c r="K5981" cm="1">
        <f t="array" ref="K5981">_xlfn.SWITCH(LeadsData[[#This Row],[Funnel Stage Reached]],"Lead",1,"MQL",2,"SQL",3,"Customer",4)</f>
        <v>4</v>
      </c>
      <c r="L5981" t="str">
        <f>TEXT(LeadsData[[#This Row],[Signup Date]],"mmm-yyyy")</f>
        <v>Oct-2024</v>
      </c>
      <c r="M5981">
        <f>IF(LeadsData[[#This Row],[Stage Number]]&gt;=2,1,0)</f>
        <v>1</v>
      </c>
      <c r="N5981" s="2">
        <f>IF(LeadsData[[#This Row],[Stage Number]]&gt;=3,1,0)</f>
        <v>1</v>
      </c>
      <c r="O5981" s="2">
        <f>IF(LeadsData[[#This Row],[Stage Number]]&gt;=4,1,0)</f>
        <v>1</v>
      </c>
    </row>
    <row r="5982" spans="1:15" x14ac:dyDescent="0.25">
      <c r="A5982" t="s">
        <v>6022</v>
      </c>
      <c r="B5982" s="1">
        <v>45578</v>
      </c>
      <c r="C5982" t="s">
        <v>31</v>
      </c>
      <c r="D5982" t="s">
        <v>34</v>
      </c>
      <c r="E5982" t="s">
        <v>13</v>
      </c>
      <c r="F5982" t="s">
        <v>14</v>
      </c>
      <c r="G5982" t="s">
        <v>29</v>
      </c>
      <c r="K5982" cm="1">
        <f t="array" ref="K5982">_xlfn.SWITCH(LeadsData[[#This Row],[Funnel Stage Reached]],"Lead",1,"MQL",2,"SQL",3,"Customer",4)</f>
        <v>3</v>
      </c>
      <c r="L5982" t="str">
        <f>TEXT(LeadsData[[#This Row],[Signup Date]],"mmm-yyyy")</f>
        <v>Oct-2024</v>
      </c>
      <c r="M5982">
        <f>IF(LeadsData[[#This Row],[Stage Number]]&gt;=2,1,0)</f>
        <v>1</v>
      </c>
      <c r="N5982" s="2">
        <f>IF(LeadsData[[#This Row],[Stage Number]]&gt;=3,1,0)</f>
        <v>1</v>
      </c>
      <c r="O5982" s="2">
        <f>IF(LeadsData[[#This Row],[Stage Number]]&gt;=4,1,0)</f>
        <v>0</v>
      </c>
    </row>
    <row r="5983" spans="1:15" x14ac:dyDescent="0.25">
      <c r="A5983" t="s">
        <v>6023</v>
      </c>
      <c r="B5983" s="1">
        <v>45348</v>
      </c>
      <c r="C5983" t="s">
        <v>31</v>
      </c>
      <c r="D5983" t="s">
        <v>32</v>
      </c>
      <c r="E5983" t="s">
        <v>13</v>
      </c>
      <c r="F5983" t="s">
        <v>19</v>
      </c>
      <c r="G5983" t="s">
        <v>42</v>
      </c>
      <c r="H5983">
        <v>24</v>
      </c>
      <c r="I5983" t="s">
        <v>43</v>
      </c>
      <c r="J5983">
        <v>969.2</v>
      </c>
      <c r="K5983" cm="1">
        <f t="array" ref="K5983">_xlfn.SWITCH(LeadsData[[#This Row],[Funnel Stage Reached]],"Lead",1,"MQL",2,"SQL",3,"Customer",4)</f>
        <v>4</v>
      </c>
      <c r="L5983" t="str">
        <f>TEXT(LeadsData[[#This Row],[Signup Date]],"mmm-yyyy")</f>
        <v>Feb-2024</v>
      </c>
      <c r="M5983">
        <f>IF(LeadsData[[#This Row],[Stage Number]]&gt;=2,1,0)</f>
        <v>1</v>
      </c>
      <c r="N5983" s="2">
        <f>IF(LeadsData[[#This Row],[Stage Number]]&gt;=3,1,0)</f>
        <v>1</v>
      </c>
      <c r="O5983" s="2">
        <f>IF(LeadsData[[#This Row],[Stage Number]]&gt;=4,1,0)</f>
        <v>1</v>
      </c>
    </row>
    <row r="5984" spans="1:15" x14ac:dyDescent="0.25">
      <c r="A5984" t="s">
        <v>6024</v>
      </c>
      <c r="B5984" s="1">
        <v>45448</v>
      </c>
      <c r="C5984" t="s">
        <v>31</v>
      </c>
      <c r="D5984" t="s">
        <v>34</v>
      </c>
      <c r="E5984" t="s">
        <v>13</v>
      </c>
      <c r="F5984" t="s">
        <v>22</v>
      </c>
      <c r="G5984" t="s">
        <v>42</v>
      </c>
      <c r="H5984">
        <v>65</v>
      </c>
      <c r="I5984" t="s">
        <v>43</v>
      </c>
      <c r="J5984">
        <v>1157.68</v>
      </c>
      <c r="K5984" cm="1">
        <f t="array" ref="K5984">_xlfn.SWITCH(LeadsData[[#This Row],[Funnel Stage Reached]],"Lead",1,"MQL",2,"SQL",3,"Customer",4)</f>
        <v>4</v>
      </c>
      <c r="L5984" t="str">
        <f>TEXT(LeadsData[[#This Row],[Signup Date]],"mmm-yyyy")</f>
        <v>Jun-2024</v>
      </c>
      <c r="M5984">
        <f>IF(LeadsData[[#This Row],[Stage Number]]&gt;=2,1,0)</f>
        <v>1</v>
      </c>
      <c r="N5984" s="2">
        <f>IF(LeadsData[[#This Row],[Stage Number]]&gt;=3,1,0)</f>
        <v>1</v>
      </c>
      <c r="O5984" s="2">
        <f>IF(LeadsData[[#This Row],[Stage Number]]&gt;=4,1,0)</f>
        <v>1</v>
      </c>
    </row>
    <row r="5985" spans="1:15" x14ac:dyDescent="0.25">
      <c r="A5985" t="s">
        <v>6025</v>
      </c>
      <c r="B5985" s="1">
        <v>45297</v>
      </c>
      <c r="C5985" t="s">
        <v>46</v>
      </c>
      <c r="D5985" t="s">
        <v>56</v>
      </c>
      <c r="E5985" t="s">
        <v>13</v>
      </c>
      <c r="F5985" t="s">
        <v>28</v>
      </c>
      <c r="G5985" t="s">
        <v>15</v>
      </c>
      <c r="K5985" cm="1">
        <f t="array" ref="K5985">_xlfn.SWITCH(LeadsData[[#This Row],[Funnel Stage Reached]],"Lead",1,"MQL",2,"SQL",3,"Customer",4)</f>
        <v>1</v>
      </c>
      <c r="L5985" t="str">
        <f>TEXT(LeadsData[[#This Row],[Signup Date]],"mmm-yyyy")</f>
        <v>Jan-2024</v>
      </c>
      <c r="M5985">
        <f>IF(LeadsData[[#This Row],[Stage Number]]&gt;=2,1,0)</f>
        <v>0</v>
      </c>
      <c r="N5985" s="2">
        <f>IF(LeadsData[[#This Row],[Stage Number]]&gt;=3,1,0)</f>
        <v>0</v>
      </c>
      <c r="O5985" s="2">
        <f>IF(LeadsData[[#This Row],[Stage Number]]&gt;=4,1,0)</f>
        <v>0</v>
      </c>
    </row>
    <row r="5986" spans="1:15" x14ac:dyDescent="0.25">
      <c r="A5986" t="s">
        <v>6026</v>
      </c>
      <c r="B5986" s="1">
        <v>45397</v>
      </c>
      <c r="C5986" t="s">
        <v>36</v>
      </c>
      <c r="D5986" t="s">
        <v>37</v>
      </c>
      <c r="E5986" t="s">
        <v>13</v>
      </c>
      <c r="F5986" t="s">
        <v>19</v>
      </c>
      <c r="G5986" t="s">
        <v>29</v>
      </c>
      <c r="K5986" cm="1">
        <f t="array" ref="K5986">_xlfn.SWITCH(LeadsData[[#This Row],[Funnel Stage Reached]],"Lead",1,"MQL",2,"SQL",3,"Customer",4)</f>
        <v>3</v>
      </c>
      <c r="L5986" t="str">
        <f>TEXT(LeadsData[[#This Row],[Signup Date]],"mmm-yyyy")</f>
        <v>Apr-2024</v>
      </c>
      <c r="M5986">
        <f>IF(LeadsData[[#This Row],[Stage Number]]&gt;=2,1,0)</f>
        <v>1</v>
      </c>
      <c r="N5986" s="2">
        <f>IF(LeadsData[[#This Row],[Stage Number]]&gt;=3,1,0)</f>
        <v>1</v>
      </c>
      <c r="O5986" s="2">
        <f>IF(LeadsData[[#This Row],[Stage Number]]&gt;=4,1,0)</f>
        <v>0</v>
      </c>
    </row>
    <row r="5987" spans="1:15" x14ac:dyDescent="0.25">
      <c r="A5987" t="s">
        <v>6027</v>
      </c>
      <c r="B5987" s="1">
        <v>45384</v>
      </c>
      <c r="C5987" t="s">
        <v>31</v>
      </c>
      <c r="D5987" t="s">
        <v>32</v>
      </c>
      <c r="E5987" t="s">
        <v>13</v>
      </c>
      <c r="F5987" t="s">
        <v>14</v>
      </c>
      <c r="G5987" t="s">
        <v>23</v>
      </c>
      <c r="K5987" cm="1">
        <f t="array" ref="K5987">_xlfn.SWITCH(LeadsData[[#This Row],[Funnel Stage Reached]],"Lead",1,"MQL",2,"SQL",3,"Customer",4)</f>
        <v>2</v>
      </c>
      <c r="L5987" t="str">
        <f>TEXT(LeadsData[[#This Row],[Signup Date]],"mmm-yyyy")</f>
        <v>Apr-2024</v>
      </c>
      <c r="M5987">
        <f>IF(LeadsData[[#This Row],[Stage Number]]&gt;=2,1,0)</f>
        <v>1</v>
      </c>
      <c r="N5987" s="2">
        <f>IF(LeadsData[[#This Row],[Stage Number]]&gt;=3,1,0)</f>
        <v>0</v>
      </c>
      <c r="O5987" s="2">
        <f>IF(LeadsData[[#This Row],[Stage Number]]&gt;=4,1,0)</f>
        <v>0</v>
      </c>
    </row>
    <row r="5988" spans="1:15" x14ac:dyDescent="0.25">
      <c r="A5988" t="s">
        <v>6028</v>
      </c>
      <c r="B5988" s="1">
        <v>45573</v>
      </c>
      <c r="C5988" t="s">
        <v>17</v>
      </c>
      <c r="D5988" t="s">
        <v>53</v>
      </c>
      <c r="E5988" t="s">
        <v>21</v>
      </c>
      <c r="F5988" t="s">
        <v>19</v>
      </c>
      <c r="G5988" t="s">
        <v>15</v>
      </c>
      <c r="K5988" cm="1">
        <f t="array" ref="K5988">_xlfn.SWITCH(LeadsData[[#This Row],[Funnel Stage Reached]],"Lead",1,"MQL",2,"SQL",3,"Customer",4)</f>
        <v>1</v>
      </c>
      <c r="L5988" t="str">
        <f>TEXT(LeadsData[[#This Row],[Signup Date]],"mmm-yyyy")</f>
        <v>Oct-2024</v>
      </c>
      <c r="M5988">
        <f>IF(LeadsData[[#This Row],[Stage Number]]&gt;=2,1,0)</f>
        <v>0</v>
      </c>
      <c r="N5988" s="2">
        <f>IF(LeadsData[[#This Row],[Stage Number]]&gt;=3,1,0)</f>
        <v>0</v>
      </c>
      <c r="O5988" s="2">
        <f>IF(LeadsData[[#This Row],[Stage Number]]&gt;=4,1,0)</f>
        <v>0</v>
      </c>
    </row>
    <row r="5989" spans="1:15" x14ac:dyDescent="0.25">
      <c r="A5989" t="s">
        <v>6029</v>
      </c>
      <c r="B5989" s="1">
        <v>45311</v>
      </c>
      <c r="C5989" t="s">
        <v>31</v>
      </c>
      <c r="D5989" t="s">
        <v>34</v>
      </c>
      <c r="E5989" t="s">
        <v>13</v>
      </c>
      <c r="F5989" t="s">
        <v>19</v>
      </c>
      <c r="G5989" t="s">
        <v>15</v>
      </c>
      <c r="K5989" cm="1">
        <f t="array" ref="K5989">_xlfn.SWITCH(LeadsData[[#This Row],[Funnel Stage Reached]],"Lead",1,"MQL",2,"SQL",3,"Customer",4)</f>
        <v>1</v>
      </c>
      <c r="L5989" t="str">
        <f>TEXT(LeadsData[[#This Row],[Signup Date]],"mmm-yyyy")</f>
        <v>Jan-2024</v>
      </c>
      <c r="M5989">
        <f>IF(LeadsData[[#This Row],[Stage Number]]&gt;=2,1,0)</f>
        <v>0</v>
      </c>
      <c r="N5989" s="2">
        <f>IF(LeadsData[[#This Row],[Stage Number]]&gt;=3,1,0)</f>
        <v>0</v>
      </c>
      <c r="O5989" s="2">
        <f>IF(LeadsData[[#This Row],[Stage Number]]&gt;=4,1,0)</f>
        <v>0</v>
      </c>
    </row>
    <row r="5990" spans="1:15" x14ac:dyDescent="0.25">
      <c r="A5990" t="s">
        <v>6030</v>
      </c>
      <c r="B5990" s="1">
        <v>45615</v>
      </c>
      <c r="C5990" t="s">
        <v>31</v>
      </c>
      <c r="D5990" t="s">
        <v>34</v>
      </c>
      <c r="E5990" t="s">
        <v>13</v>
      </c>
      <c r="F5990" t="s">
        <v>28</v>
      </c>
      <c r="G5990" t="s">
        <v>29</v>
      </c>
      <c r="K5990" cm="1">
        <f t="array" ref="K5990">_xlfn.SWITCH(LeadsData[[#This Row],[Funnel Stage Reached]],"Lead",1,"MQL",2,"SQL",3,"Customer",4)</f>
        <v>3</v>
      </c>
      <c r="L5990" t="str">
        <f>TEXT(LeadsData[[#This Row],[Signup Date]],"mmm-yyyy")</f>
        <v>Nov-2024</v>
      </c>
      <c r="M5990">
        <f>IF(LeadsData[[#This Row],[Stage Number]]&gt;=2,1,0)</f>
        <v>1</v>
      </c>
      <c r="N5990" s="2">
        <f>IF(LeadsData[[#This Row],[Stage Number]]&gt;=3,1,0)</f>
        <v>1</v>
      </c>
      <c r="O5990" s="2">
        <f>IF(LeadsData[[#This Row],[Stage Number]]&gt;=4,1,0)</f>
        <v>0</v>
      </c>
    </row>
    <row r="5991" spans="1:15" x14ac:dyDescent="0.25">
      <c r="A5991" t="s">
        <v>6031</v>
      </c>
      <c r="B5991" s="1">
        <v>45562</v>
      </c>
      <c r="C5991" t="s">
        <v>36</v>
      </c>
      <c r="D5991" t="s">
        <v>37</v>
      </c>
      <c r="E5991" t="s">
        <v>21</v>
      </c>
      <c r="F5991" t="s">
        <v>14</v>
      </c>
      <c r="G5991" t="s">
        <v>15</v>
      </c>
      <c r="K5991" cm="1">
        <f t="array" ref="K5991">_xlfn.SWITCH(LeadsData[[#This Row],[Funnel Stage Reached]],"Lead",1,"MQL",2,"SQL",3,"Customer",4)</f>
        <v>1</v>
      </c>
      <c r="L5991" t="str">
        <f>TEXT(LeadsData[[#This Row],[Signup Date]],"mmm-yyyy")</f>
        <v>Sep-2024</v>
      </c>
      <c r="M5991">
        <f>IF(LeadsData[[#This Row],[Stage Number]]&gt;=2,1,0)</f>
        <v>0</v>
      </c>
      <c r="N5991" s="2">
        <f>IF(LeadsData[[#This Row],[Stage Number]]&gt;=3,1,0)</f>
        <v>0</v>
      </c>
      <c r="O5991" s="2">
        <f>IF(LeadsData[[#This Row],[Stage Number]]&gt;=4,1,0)</f>
        <v>0</v>
      </c>
    </row>
    <row r="5992" spans="1:15" x14ac:dyDescent="0.25">
      <c r="A5992" t="s">
        <v>6032</v>
      </c>
      <c r="B5992" s="1">
        <v>45653</v>
      </c>
      <c r="C5992" t="s">
        <v>46</v>
      </c>
      <c r="D5992" t="s">
        <v>56</v>
      </c>
      <c r="E5992" t="s">
        <v>13</v>
      </c>
      <c r="F5992" t="s">
        <v>19</v>
      </c>
      <c r="G5992" t="s">
        <v>42</v>
      </c>
      <c r="H5992">
        <v>27</v>
      </c>
      <c r="I5992" t="s">
        <v>87</v>
      </c>
      <c r="J5992">
        <v>3471.99</v>
      </c>
      <c r="K5992" cm="1">
        <f t="array" ref="K5992">_xlfn.SWITCH(LeadsData[[#This Row],[Funnel Stage Reached]],"Lead",1,"MQL",2,"SQL",3,"Customer",4)</f>
        <v>4</v>
      </c>
      <c r="L5992" t="str">
        <f>TEXT(LeadsData[[#This Row],[Signup Date]],"mmm-yyyy")</f>
        <v>Dec-2024</v>
      </c>
      <c r="M5992">
        <f>IF(LeadsData[[#This Row],[Stage Number]]&gt;=2,1,0)</f>
        <v>1</v>
      </c>
      <c r="N5992" s="2">
        <f>IF(LeadsData[[#This Row],[Stage Number]]&gt;=3,1,0)</f>
        <v>1</v>
      </c>
      <c r="O5992" s="2">
        <f>IF(LeadsData[[#This Row],[Stage Number]]&gt;=4,1,0)</f>
        <v>1</v>
      </c>
    </row>
    <row r="5993" spans="1:15" x14ac:dyDescent="0.25">
      <c r="A5993" t="s">
        <v>6033</v>
      </c>
      <c r="B5993" s="1">
        <v>45391</v>
      </c>
      <c r="C5993" t="s">
        <v>17</v>
      </c>
      <c r="D5993" t="s">
        <v>53</v>
      </c>
      <c r="E5993" t="s">
        <v>21</v>
      </c>
      <c r="F5993" t="s">
        <v>19</v>
      </c>
      <c r="G5993" t="s">
        <v>15</v>
      </c>
      <c r="K5993" cm="1">
        <f t="array" ref="K5993">_xlfn.SWITCH(LeadsData[[#This Row],[Funnel Stage Reached]],"Lead",1,"MQL",2,"SQL",3,"Customer",4)</f>
        <v>1</v>
      </c>
      <c r="L5993" t="str">
        <f>TEXT(LeadsData[[#This Row],[Signup Date]],"mmm-yyyy")</f>
        <v>Apr-2024</v>
      </c>
      <c r="M5993">
        <f>IF(LeadsData[[#This Row],[Stage Number]]&gt;=2,1,0)</f>
        <v>0</v>
      </c>
      <c r="N5993" s="2">
        <f>IF(LeadsData[[#This Row],[Stage Number]]&gt;=3,1,0)</f>
        <v>0</v>
      </c>
      <c r="O5993" s="2">
        <f>IF(LeadsData[[#This Row],[Stage Number]]&gt;=4,1,0)</f>
        <v>0</v>
      </c>
    </row>
    <row r="5994" spans="1:15" x14ac:dyDescent="0.25">
      <c r="A5994" t="s">
        <v>6034</v>
      </c>
      <c r="B5994" s="1">
        <v>45452</v>
      </c>
      <c r="C5994" t="s">
        <v>36</v>
      </c>
      <c r="D5994" t="s">
        <v>50</v>
      </c>
      <c r="E5994" t="s">
        <v>21</v>
      </c>
      <c r="F5994" t="s">
        <v>19</v>
      </c>
      <c r="G5994" t="s">
        <v>15</v>
      </c>
      <c r="K5994" cm="1">
        <f t="array" ref="K5994">_xlfn.SWITCH(LeadsData[[#This Row],[Funnel Stage Reached]],"Lead",1,"MQL",2,"SQL",3,"Customer",4)</f>
        <v>1</v>
      </c>
      <c r="L5994" t="str">
        <f>TEXT(LeadsData[[#This Row],[Signup Date]],"mmm-yyyy")</f>
        <v>Jun-2024</v>
      </c>
      <c r="M5994">
        <f>IF(LeadsData[[#This Row],[Stage Number]]&gt;=2,1,0)</f>
        <v>0</v>
      </c>
      <c r="N5994" s="2">
        <f>IF(LeadsData[[#This Row],[Stage Number]]&gt;=3,1,0)</f>
        <v>0</v>
      </c>
      <c r="O5994" s="2">
        <f>IF(LeadsData[[#This Row],[Stage Number]]&gt;=4,1,0)</f>
        <v>0</v>
      </c>
    </row>
    <row r="5995" spans="1:15" x14ac:dyDescent="0.25">
      <c r="A5995" t="s">
        <v>6035</v>
      </c>
      <c r="B5995" s="1">
        <v>45345</v>
      </c>
      <c r="C5995" t="s">
        <v>25</v>
      </c>
      <c r="D5995" t="s">
        <v>26</v>
      </c>
      <c r="E5995" t="s">
        <v>21</v>
      </c>
      <c r="F5995" t="s">
        <v>19</v>
      </c>
      <c r="G5995" t="s">
        <v>23</v>
      </c>
      <c r="K5995" cm="1">
        <f t="array" ref="K5995">_xlfn.SWITCH(LeadsData[[#This Row],[Funnel Stage Reached]],"Lead",1,"MQL",2,"SQL",3,"Customer",4)</f>
        <v>2</v>
      </c>
      <c r="L5995" t="str">
        <f>TEXT(LeadsData[[#This Row],[Signup Date]],"mmm-yyyy")</f>
        <v>Feb-2024</v>
      </c>
      <c r="M5995">
        <f>IF(LeadsData[[#This Row],[Stage Number]]&gt;=2,1,0)</f>
        <v>1</v>
      </c>
      <c r="N5995" s="2">
        <f>IF(LeadsData[[#This Row],[Stage Number]]&gt;=3,1,0)</f>
        <v>0</v>
      </c>
      <c r="O5995" s="2">
        <f>IF(LeadsData[[#This Row],[Stage Number]]&gt;=4,1,0)</f>
        <v>0</v>
      </c>
    </row>
    <row r="5996" spans="1:15" x14ac:dyDescent="0.25">
      <c r="A5996" t="s">
        <v>6036</v>
      </c>
      <c r="B5996" s="1">
        <v>45637</v>
      </c>
      <c r="C5996" t="s">
        <v>11</v>
      </c>
      <c r="D5996" t="s">
        <v>68</v>
      </c>
      <c r="E5996" t="s">
        <v>21</v>
      </c>
      <c r="F5996" t="s">
        <v>19</v>
      </c>
      <c r="G5996" t="s">
        <v>15</v>
      </c>
      <c r="K5996" cm="1">
        <f t="array" ref="K5996">_xlfn.SWITCH(LeadsData[[#This Row],[Funnel Stage Reached]],"Lead",1,"MQL",2,"SQL",3,"Customer",4)</f>
        <v>1</v>
      </c>
      <c r="L5996" t="str">
        <f>TEXT(LeadsData[[#This Row],[Signup Date]],"mmm-yyyy")</f>
        <v>Dec-2024</v>
      </c>
      <c r="M5996">
        <f>IF(LeadsData[[#This Row],[Stage Number]]&gt;=2,1,0)</f>
        <v>0</v>
      </c>
      <c r="N5996" s="2">
        <f>IF(LeadsData[[#This Row],[Stage Number]]&gt;=3,1,0)</f>
        <v>0</v>
      </c>
      <c r="O5996" s="2">
        <f>IF(LeadsData[[#This Row],[Stage Number]]&gt;=4,1,0)</f>
        <v>0</v>
      </c>
    </row>
    <row r="5997" spans="1:15" x14ac:dyDescent="0.25">
      <c r="A5997" t="s">
        <v>6037</v>
      </c>
      <c r="B5997" s="1">
        <v>45440</v>
      </c>
      <c r="C5997" t="s">
        <v>25</v>
      </c>
      <c r="D5997" t="s">
        <v>26</v>
      </c>
      <c r="E5997" t="s">
        <v>13</v>
      </c>
      <c r="F5997" t="s">
        <v>22</v>
      </c>
      <c r="G5997" t="s">
        <v>23</v>
      </c>
      <c r="K5997" cm="1">
        <f t="array" ref="K5997">_xlfn.SWITCH(LeadsData[[#This Row],[Funnel Stage Reached]],"Lead",1,"MQL",2,"SQL",3,"Customer",4)</f>
        <v>2</v>
      </c>
      <c r="L5997" t="str">
        <f>TEXT(LeadsData[[#This Row],[Signup Date]],"mmm-yyyy")</f>
        <v>May-2024</v>
      </c>
      <c r="M5997">
        <f>IF(LeadsData[[#This Row],[Stage Number]]&gt;=2,1,0)</f>
        <v>1</v>
      </c>
      <c r="N5997" s="2">
        <f>IF(LeadsData[[#This Row],[Stage Number]]&gt;=3,1,0)</f>
        <v>0</v>
      </c>
      <c r="O5997" s="2">
        <f>IF(LeadsData[[#This Row],[Stage Number]]&gt;=4,1,0)</f>
        <v>0</v>
      </c>
    </row>
    <row r="5998" spans="1:15" x14ac:dyDescent="0.25">
      <c r="A5998" t="s">
        <v>6038</v>
      </c>
      <c r="B5998" s="1">
        <v>45573</v>
      </c>
      <c r="C5998" t="s">
        <v>31</v>
      </c>
      <c r="D5998" t="s">
        <v>34</v>
      </c>
      <c r="E5998" t="s">
        <v>21</v>
      </c>
      <c r="F5998" t="s">
        <v>22</v>
      </c>
      <c r="G5998" t="s">
        <v>15</v>
      </c>
      <c r="K5998" cm="1">
        <f t="array" ref="K5998">_xlfn.SWITCH(LeadsData[[#This Row],[Funnel Stage Reached]],"Lead",1,"MQL",2,"SQL",3,"Customer",4)</f>
        <v>1</v>
      </c>
      <c r="L5998" t="str">
        <f>TEXT(LeadsData[[#This Row],[Signup Date]],"mmm-yyyy")</f>
        <v>Oct-2024</v>
      </c>
      <c r="M5998">
        <f>IF(LeadsData[[#This Row],[Stage Number]]&gt;=2,1,0)</f>
        <v>0</v>
      </c>
      <c r="N5998" s="2">
        <f>IF(LeadsData[[#This Row],[Stage Number]]&gt;=3,1,0)</f>
        <v>0</v>
      </c>
      <c r="O5998" s="2">
        <f>IF(LeadsData[[#This Row],[Stage Number]]&gt;=4,1,0)</f>
        <v>0</v>
      </c>
    </row>
    <row r="5999" spans="1:15" x14ac:dyDescent="0.25">
      <c r="A5999" t="s">
        <v>6039</v>
      </c>
      <c r="B5999" s="1">
        <v>45574</v>
      </c>
      <c r="C5999" t="s">
        <v>25</v>
      </c>
      <c r="D5999" t="s">
        <v>26</v>
      </c>
      <c r="E5999" t="s">
        <v>21</v>
      </c>
      <c r="F5999" t="s">
        <v>22</v>
      </c>
      <c r="G5999" t="s">
        <v>23</v>
      </c>
      <c r="K5999" cm="1">
        <f t="array" ref="K5999">_xlfn.SWITCH(LeadsData[[#This Row],[Funnel Stage Reached]],"Lead",1,"MQL",2,"SQL",3,"Customer",4)</f>
        <v>2</v>
      </c>
      <c r="L5999" t="str">
        <f>TEXT(LeadsData[[#This Row],[Signup Date]],"mmm-yyyy")</f>
        <v>Oct-2024</v>
      </c>
      <c r="M5999">
        <f>IF(LeadsData[[#This Row],[Stage Number]]&gt;=2,1,0)</f>
        <v>1</v>
      </c>
      <c r="N5999" s="2">
        <f>IF(LeadsData[[#This Row],[Stage Number]]&gt;=3,1,0)</f>
        <v>0</v>
      </c>
      <c r="O5999" s="2">
        <f>IF(LeadsData[[#This Row],[Stage Number]]&gt;=4,1,0)</f>
        <v>0</v>
      </c>
    </row>
    <row r="6000" spans="1:15" x14ac:dyDescent="0.25">
      <c r="A6000" t="s">
        <v>6040</v>
      </c>
      <c r="B6000" s="1">
        <v>45519</v>
      </c>
      <c r="C6000" t="s">
        <v>31</v>
      </c>
      <c r="D6000" t="s">
        <v>34</v>
      </c>
      <c r="E6000" t="s">
        <v>13</v>
      </c>
      <c r="F6000" t="s">
        <v>22</v>
      </c>
      <c r="G6000" t="s">
        <v>23</v>
      </c>
      <c r="K6000" cm="1">
        <f t="array" ref="K6000">_xlfn.SWITCH(LeadsData[[#This Row],[Funnel Stage Reached]],"Lead",1,"MQL",2,"SQL",3,"Customer",4)</f>
        <v>2</v>
      </c>
      <c r="L6000" t="str">
        <f>TEXT(LeadsData[[#This Row],[Signup Date]],"mmm-yyyy")</f>
        <v>Aug-2024</v>
      </c>
      <c r="M6000">
        <f>IF(LeadsData[[#This Row],[Stage Number]]&gt;=2,1,0)</f>
        <v>1</v>
      </c>
      <c r="N6000" s="2">
        <f>IF(LeadsData[[#This Row],[Stage Number]]&gt;=3,1,0)</f>
        <v>0</v>
      </c>
      <c r="O6000" s="2">
        <f>IF(LeadsData[[#This Row],[Stage Number]]&gt;=4,1,0)</f>
        <v>0</v>
      </c>
    </row>
    <row r="6001" spans="1:15" x14ac:dyDescent="0.25">
      <c r="A6001" t="s">
        <v>6041</v>
      </c>
      <c r="B6001" s="1">
        <v>45589</v>
      </c>
      <c r="C6001" t="s">
        <v>17</v>
      </c>
      <c r="D6001" t="s">
        <v>53</v>
      </c>
      <c r="E6001" t="s">
        <v>13</v>
      </c>
      <c r="F6001" t="s">
        <v>19</v>
      </c>
      <c r="G6001" t="s">
        <v>23</v>
      </c>
      <c r="K6001" cm="1">
        <f t="array" ref="K6001">_xlfn.SWITCH(LeadsData[[#This Row],[Funnel Stage Reached]],"Lead",1,"MQL",2,"SQL",3,"Customer",4)</f>
        <v>2</v>
      </c>
      <c r="L6001" t="str">
        <f>TEXT(LeadsData[[#This Row],[Signup Date]],"mmm-yyyy")</f>
        <v>Oct-2024</v>
      </c>
      <c r="M6001">
        <f>IF(LeadsData[[#This Row],[Stage Number]]&gt;=2,1,0)</f>
        <v>1</v>
      </c>
      <c r="N6001" s="2">
        <f>IF(LeadsData[[#This Row],[Stage Number]]&gt;=3,1,0)</f>
        <v>0</v>
      </c>
      <c r="O6001" s="2">
        <f>IF(LeadsData[[#This Row],[Stage Number]]&gt;=4,1,0)</f>
        <v>0</v>
      </c>
    </row>
    <row r="6002" spans="1:15" x14ac:dyDescent="0.25">
      <c r="A6002" t="s">
        <v>6042</v>
      </c>
      <c r="B6002" s="1">
        <v>45554</v>
      </c>
      <c r="C6002" t="s">
        <v>17</v>
      </c>
      <c r="D6002" t="s">
        <v>18</v>
      </c>
      <c r="E6002" t="s">
        <v>13</v>
      </c>
      <c r="F6002" t="s">
        <v>22</v>
      </c>
      <c r="G6002" t="s">
        <v>29</v>
      </c>
      <c r="K6002" cm="1">
        <f t="array" ref="K6002">_xlfn.SWITCH(LeadsData[[#This Row],[Funnel Stage Reached]],"Lead",1,"MQL",2,"SQL",3,"Customer",4)</f>
        <v>3</v>
      </c>
      <c r="L6002" t="str">
        <f>TEXT(LeadsData[[#This Row],[Signup Date]],"mmm-yyyy")</f>
        <v>Sep-2024</v>
      </c>
      <c r="M6002">
        <f>IF(LeadsData[[#This Row],[Stage Number]]&gt;=2,1,0)</f>
        <v>1</v>
      </c>
      <c r="N6002" s="2">
        <f>IF(LeadsData[[#This Row],[Stage Number]]&gt;=3,1,0)</f>
        <v>1</v>
      </c>
      <c r="O6002" s="2">
        <f>IF(LeadsData[[#This Row],[Stage Number]]&gt;=4,1,0)</f>
        <v>0</v>
      </c>
    </row>
    <row r="6003" spans="1:15" x14ac:dyDescent="0.25">
      <c r="A6003" t="s">
        <v>6043</v>
      </c>
      <c r="B6003" s="1">
        <v>45571</v>
      </c>
      <c r="C6003" t="s">
        <v>31</v>
      </c>
      <c r="D6003" t="s">
        <v>34</v>
      </c>
      <c r="E6003" t="s">
        <v>21</v>
      </c>
      <c r="F6003" t="s">
        <v>19</v>
      </c>
      <c r="G6003" t="s">
        <v>42</v>
      </c>
      <c r="H6003">
        <v>11</v>
      </c>
      <c r="I6003" t="s">
        <v>43</v>
      </c>
      <c r="J6003">
        <v>914.07</v>
      </c>
      <c r="K6003" cm="1">
        <f t="array" ref="K6003">_xlfn.SWITCH(LeadsData[[#This Row],[Funnel Stage Reached]],"Lead",1,"MQL",2,"SQL",3,"Customer",4)</f>
        <v>4</v>
      </c>
      <c r="L6003" t="str">
        <f>TEXT(LeadsData[[#This Row],[Signup Date]],"mmm-yyyy")</f>
        <v>Oct-2024</v>
      </c>
      <c r="M6003">
        <f>IF(LeadsData[[#This Row],[Stage Number]]&gt;=2,1,0)</f>
        <v>1</v>
      </c>
      <c r="N6003" s="2">
        <f>IF(LeadsData[[#This Row],[Stage Number]]&gt;=3,1,0)</f>
        <v>1</v>
      </c>
      <c r="O6003" s="2">
        <f>IF(LeadsData[[#This Row],[Stage Number]]&gt;=4,1,0)</f>
        <v>1</v>
      </c>
    </row>
    <row r="6004" spans="1:15" x14ac:dyDescent="0.25">
      <c r="A6004" t="s">
        <v>6044</v>
      </c>
      <c r="B6004" s="1">
        <v>45471</v>
      </c>
      <c r="C6004" t="s">
        <v>11</v>
      </c>
      <c r="D6004" t="s">
        <v>68</v>
      </c>
      <c r="E6004" t="s">
        <v>13</v>
      </c>
      <c r="F6004" t="s">
        <v>14</v>
      </c>
      <c r="G6004" t="s">
        <v>15</v>
      </c>
      <c r="K6004" cm="1">
        <f t="array" ref="K6004">_xlfn.SWITCH(LeadsData[[#This Row],[Funnel Stage Reached]],"Lead",1,"MQL",2,"SQL",3,"Customer",4)</f>
        <v>1</v>
      </c>
      <c r="L6004" t="str">
        <f>TEXT(LeadsData[[#This Row],[Signup Date]],"mmm-yyyy")</f>
        <v>Jun-2024</v>
      </c>
      <c r="M6004">
        <f>IF(LeadsData[[#This Row],[Stage Number]]&gt;=2,1,0)</f>
        <v>0</v>
      </c>
      <c r="N6004" s="2">
        <f>IF(LeadsData[[#This Row],[Stage Number]]&gt;=3,1,0)</f>
        <v>0</v>
      </c>
      <c r="O6004" s="2">
        <f>IF(LeadsData[[#This Row],[Stage Number]]&gt;=4,1,0)</f>
        <v>0</v>
      </c>
    </row>
    <row r="6005" spans="1:15" x14ac:dyDescent="0.25">
      <c r="A6005" t="s">
        <v>6045</v>
      </c>
      <c r="B6005" s="1">
        <v>45346</v>
      </c>
      <c r="C6005" t="s">
        <v>46</v>
      </c>
      <c r="D6005" t="s">
        <v>56</v>
      </c>
      <c r="E6005" t="s">
        <v>21</v>
      </c>
      <c r="F6005" t="s">
        <v>28</v>
      </c>
      <c r="G6005" t="s">
        <v>15</v>
      </c>
      <c r="K6005" cm="1">
        <f t="array" ref="K6005">_xlfn.SWITCH(LeadsData[[#This Row],[Funnel Stage Reached]],"Lead",1,"MQL",2,"SQL",3,"Customer",4)</f>
        <v>1</v>
      </c>
      <c r="L6005" t="str">
        <f>TEXT(LeadsData[[#This Row],[Signup Date]],"mmm-yyyy")</f>
        <v>Feb-2024</v>
      </c>
      <c r="M6005">
        <f>IF(LeadsData[[#This Row],[Stage Number]]&gt;=2,1,0)</f>
        <v>0</v>
      </c>
      <c r="N6005" s="2">
        <f>IF(LeadsData[[#This Row],[Stage Number]]&gt;=3,1,0)</f>
        <v>0</v>
      </c>
      <c r="O6005" s="2">
        <f>IF(LeadsData[[#This Row],[Stage Number]]&gt;=4,1,0)</f>
        <v>0</v>
      </c>
    </row>
    <row r="6006" spans="1:15" x14ac:dyDescent="0.25">
      <c r="A6006" t="s">
        <v>6046</v>
      </c>
      <c r="B6006" s="1">
        <v>45466</v>
      </c>
      <c r="C6006" t="s">
        <v>11</v>
      </c>
      <c r="D6006" t="s">
        <v>79</v>
      </c>
      <c r="E6006" t="s">
        <v>21</v>
      </c>
      <c r="F6006" t="s">
        <v>19</v>
      </c>
      <c r="G6006" t="s">
        <v>15</v>
      </c>
      <c r="K6006" cm="1">
        <f t="array" ref="K6006">_xlfn.SWITCH(LeadsData[[#This Row],[Funnel Stage Reached]],"Lead",1,"MQL",2,"SQL",3,"Customer",4)</f>
        <v>1</v>
      </c>
      <c r="L6006" t="str">
        <f>TEXT(LeadsData[[#This Row],[Signup Date]],"mmm-yyyy")</f>
        <v>Jun-2024</v>
      </c>
      <c r="M6006">
        <f>IF(LeadsData[[#This Row],[Stage Number]]&gt;=2,1,0)</f>
        <v>0</v>
      </c>
      <c r="N6006" s="2">
        <f>IF(LeadsData[[#This Row],[Stage Number]]&gt;=3,1,0)</f>
        <v>0</v>
      </c>
      <c r="O6006" s="2">
        <f>IF(LeadsData[[#This Row],[Stage Number]]&gt;=4,1,0)</f>
        <v>0</v>
      </c>
    </row>
    <row r="6007" spans="1:15" x14ac:dyDescent="0.25">
      <c r="A6007" t="s">
        <v>6047</v>
      </c>
      <c r="B6007" s="1">
        <v>45631</v>
      </c>
      <c r="C6007" t="s">
        <v>46</v>
      </c>
      <c r="D6007" t="s">
        <v>56</v>
      </c>
      <c r="E6007" t="s">
        <v>13</v>
      </c>
      <c r="F6007" t="s">
        <v>22</v>
      </c>
      <c r="G6007" t="s">
        <v>42</v>
      </c>
      <c r="H6007">
        <v>57</v>
      </c>
      <c r="I6007" t="s">
        <v>43</v>
      </c>
      <c r="J6007">
        <v>627.27</v>
      </c>
      <c r="K6007" cm="1">
        <f t="array" ref="K6007">_xlfn.SWITCH(LeadsData[[#This Row],[Funnel Stage Reached]],"Lead",1,"MQL",2,"SQL",3,"Customer",4)</f>
        <v>4</v>
      </c>
      <c r="L6007" t="str">
        <f>TEXT(LeadsData[[#This Row],[Signup Date]],"mmm-yyyy")</f>
        <v>Dec-2024</v>
      </c>
      <c r="M6007">
        <f>IF(LeadsData[[#This Row],[Stage Number]]&gt;=2,1,0)</f>
        <v>1</v>
      </c>
      <c r="N6007" s="2">
        <f>IF(LeadsData[[#This Row],[Stage Number]]&gt;=3,1,0)</f>
        <v>1</v>
      </c>
      <c r="O6007" s="2">
        <f>IF(LeadsData[[#This Row],[Stage Number]]&gt;=4,1,0)</f>
        <v>1</v>
      </c>
    </row>
    <row r="6008" spans="1:15" x14ac:dyDescent="0.25">
      <c r="A6008" t="s">
        <v>6048</v>
      </c>
      <c r="B6008" s="1">
        <v>45634</v>
      </c>
      <c r="C6008" t="s">
        <v>46</v>
      </c>
      <c r="D6008" t="s">
        <v>47</v>
      </c>
      <c r="E6008" t="s">
        <v>13</v>
      </c>
      <c r="F6008" t="s">
        <v>22</v>
      </c>
      <c r="G6008" t="s">
        <v>23</v>
      </c>
      <c r="K6008" cm="1">
        <f t="array" ref="K6008">_xlfn.SWITCH(LeadsData[[#This Row],[Funnel Stage Reached]],"Lead",1,"MQL",2,"SQL",3,"Customer",4)</f>
        <v>2</v>
      </c>
      <c r="L6008" t="str">
        <f>TEXT(LeadsData[[#This Row],[Signup Date]],"mmm-yyyy")</f>
        <v>Dec-2024</v>
      </c>
      <c r="M6008">
        <f>IF(LeadsData[[#This Row],[Stage Number]]&gt;=2,1,0)</f>
        <v>1</v>
      </c>
      <c r="N6008" s="2">
        <f>IF(LeadsData[[#This Row],[Stage Number]]&gt;=3,1,0)</f>
        <v>0</v>
      </c>
      <c r="O6008" s="2">
        <f>IF(LeadsData[[#This Row],[Stage Number]]&gt;=4,1,0)</f>
        <v>0</v>
      </c>
    </row>
    <row r="6009" spans="1:15" x14ac:dyDescent="0.25">
      <c r="A6009" t="s">
        <v>6049</v>
      </c>
      <c r="B6009" s="1">
        <v>45623</v>
      </c>
      <c r="C6009" t="s">
        <v>46</v>
      </c>
      <c r="D6009" t="s">
        <v>56</v>
      </c>
      <c r="E6009" t="s">
        <v>48</v>
      </c>
      <c r="F6009" t="s">
        <v>19</v>
      </c>
      <c r="G6009" t="s">
        <v>42</v>
      </c>
      <c r="H6009">
        <v>62</v>
      </c>
      <c r="I6009" t="s">
        <v>43</v>
      </c>
      <c r="J6009">
        <v>1143.22</v>
      </c>
      <c r="K6009" cm="1">
        <f t="array" ref="K6009">_xlfn.SWITCH(LeadsData[[#This Row],[Funnel Stage Reached]],"Lead",1,"MQL",2,"SQL",3,"Customer",4)</f>
        <v>4</v>
      </c>
      <c r="L6009" t="str">
        <f>TEXT(LeadsData[[#This Row],[Signup Date]],"mmm-yyyy")</f>
        <v>Nov-2024</v>
      </c>
      <c r="M6009">
        <f>IF(LeadsData[[#This Row],[Stage Number]]&gt;=2,1,0)</f>
        <v>1</v>
      </c>
      <c r="N6009" s="2">
        <f>IF(LeadsData[[#This Row],[Stage Number]]&gt;=3,1,0)</f>
        <v>1</v>
      </c>
      <c r="O6009" s="2">
        <f>IF(LeadsData[[#This Row],[Stage Number]]&gt;=4,1,0)</f>
        <v>1</v>
      </c>
    </row>
    <row r="6010" spans="1:15" x14ac:dyDescent="0.25">
      <c r="A6010" t="s">
        <v>6050</v>
      </c>
      <c r="B6010" s="1">
        <v>45364</v>
      </c>
      <c r="C6010" t="s">
        <v>11</v>
      </c>
      <c r="D6010" t="s">
        <v>79</v>
      </c>
      <c r="E6010" t="s">
        <v>13</v>
      </c>
      <c r="F6010" t="s">
        <v>28</v>
      </c>
      <c r="G6010" t="s">
        <v>15</v>
      </c>
      <c r="K6010" cm="1">
        <f t="array" ref="K6010">_xlfn.SWITCH(LeadsData[[#This Row],[Funnel Stage Reached]],"Lead",1,"MQL",2,"SQL",3,"Customer",4)</f>
        <v>1</v>
      </c>
      <c r="L6010" t="str">
        <f>TEXT(LeadsData[[#This Row],[Signup Date]],"mmm-yyyy")</f>
        <v>Mar-2024</v>
      </c>
      <c r="M6010">
        <f>IF(LeadsData[[#This Row],[Stage Number]]&gt;=2,1,0)</f>
        <v>0</v>
      </c>
      <c r="N6010" s="2">
        <f>IF(LeadsData[[#This Row],[Stage Number]]&gt;=3,1,0)</f>
        <v>0</v>
      </c>
      <c r="O6010" s="2">
        <f>IF(LeadsData[[#This Row],[Stage Number]]&gt;=4,1,0)</f>
        <v>0</v>
      </c>
    </row>
    <row r="6011" spans="1:15" x14ac:dyDescent="0.25">
      <c r="A6011" t="s">
        <v>6051</v>
      </c>
      <c r="B6011" s="1">
        <v>45581</v>
      </c>
      <c r="C6011" t="s">
        <v>31</v>
      </c>
      <c r="D6011" t="s">
        <v>34</v>
      </c>
      <c r="E6011" t="s">
        <v>21</v>
      </c>
      <c r="F6011" t="s">
        <v>19</v>
      </c>
      <c r="G6011" t="s">
        <v>15</v>
      </c>
      <c r="K6011" cm="1">
        <f t="array" ref="K6011">_xlfn.SWITCH(LeadsData[[#This Row],[Funnel Stage Reached]],"Lead",1,"MQL",2,"SQL",3,"Customer",4)</f>
        <v>1</v>
      </c>
      <c r="L6011" t="str">
        <f>TEXT(LeadsData[[#This Row],[Signup Date]],"mmm-yyyy")</f>
        <v>Oct-2024</v>
      </c>
      <c r="M6011">
        <f>IF(LeadsData[[#This Row],[Stage Number]]&gt;=2,1,0)</f>
        <v>0</v>
      </c>
      <c r="N6011" s="2">
        <f>IF(LeadsData[[#This Row],[Stage Number]]&gt;=3,1,0)</f>
        <v>0</v>
      </c>
      <c r="O6011" s="2">
        <f>IF(LeadsData[[#This Row],[Stage Number]]&gt;=4,1,0)</f>
        <v>0</v>
      </c>
    </row>
    <row r="6012" spans="1:15" x14ac:dyDescent="0.25">
      <c r="A6012" t="s">
        <v>6052</v>
      </c>
      <c r="B6012" s="1">
        <v>45536</v>
      </c>
      <c r="C6012" t="s">
        <v>36</v>
      </c>
      <c r="D6012" t="s">
        <v>37</v>
      </c>
      <c r="E6012" t="s">
        <v>13</v>
      </c>
      <c r="F6012" t="s">
        <v>19</v>
      </c>
      <c r="G6012" t="s">
        <v>15</v>
      </c>
      <c r="K6012" cm="1">
        <f t="array" ref="K6012">_xlfn.SWITCH(LeadsData[[#This Row],[Funnel Stage Reached]],"Lead",1,"MQL",2,"SQL",3,"Customer",4)</f>
        <v>1</v>
      </c>
      <c r="L6012" t="str">
        <f>TEXT(LeadsData[[#This Row],[Signup Date]],"mmm-yyyy")</f>
        <v>Sep-2024</v>
      </c>
      <c r="M6012">
        <f>IF(LeadsData[[#This Row],[Stage Number]]&gt;=2,1,0)</f>
        <v>0</v>
      </c>
      <c r="N6012" s="2">
        <f>IF(LeadsData[[#This Row],[Stage Number]]&gt;=3,1,0)</f>
        <v>0</v>
      </c>
      <c r="O6012" s="2">
        <f>IF(LeadsData[[#This Row],[Stage Number]]&gt;=4,1,0)</f>
        <v>0</v>
      </c>
    </row>
    <row r="6013" spans="1:15" x14ac:dyDescent="0.25">
      <c r="A6013" t="s">
        <v>6053</v>
      </c>
      <c r="B6013" s="1">
        <v>45345</v>
      </c>
      <c r="C6013" t="s">
        <v>11</v>
      </c>
      <c r="D6013" t="s">
        <v>12</v>
      </c>
      <c r="E6013" t="s">
        <v>13</v>
      </c>
      <c r="F6013" t="s">
        <v>22</v>
      </c>
      <c r="G6013" t="s">
        <v>15</v>
      </c>
      <c r="K6013" cm="1">
        <f t="array" ref="K6013">_xlfn.SWITCH(LeadsData[[#This Row],[Funnel Stage Reached]],"Lead",1,"MQL",2,"SQL",3,"Customer",4)</f>
        <v>1</v>
      </c>
      <c r="L6013" t="str">
        <f>TEXT(LeadsData[[#This Row],[Signup Date]],"mmm-yyyy")</f>
        <v>Feb-2024</v>
      </c>
      <c r="M6013">
        <f>IF(LeadsData[[#This Row],[Stage Number]]&gt;=2,1,0)</f>
        <v>0</v>
      </c>
      <c r="N6013" s="2">
        <f>IF(LeadsData[[#This Row],[Stage Number]]&gt;=3,1,0)</f>
        <v>0</v>
      </c>
      <c r="O6013" s="2">
        <f>IF(LeadsData[[#This Row],[Stage Number]]&gt;=4,1,0)</f>
        <v>0</v>
      </c>
    </row>
    <row r="6014" spans="1:15" x14ac:dyDescent="0.25">
      <c r="A6014" t="s">
        <v>6054</v>
      </c>
      <c r="B6014" s="1">
        <v>45447</v>
      </c>
      <c r="C6014" t="s">
        <v>25</v>
      </c>
      <c r="D6014" t="s">
        <v>26</v>
      </c>
      <c r="E6014" t="s">
        <v>48</v>
      </c>
      <c r="F6014" t="s">
        <v>19</v>
      </c>
      <c r="G6014" t="s">
        <v>15</v>
      </c>
      <c r="K6014" cm="1">
        <f t="array" ref="K6014">_xlfn.SWITCH(LeadsData[[#This Row],[Funnel Stage Reached]],"Lead",1,"MQL",2,"SQL",3,"Customer",4)</f>
        <v>1</v>
      </c>
      <c r="L6014" t="str">
        <f>TEXT(LeadsData[[#This Row],[Signup Date]],"mmm-yyyy")</f>
        <v>Jun-2024</v>
      </c>
      <c r="M6014">
        <f>IF(LeadsData[[#This Row],[Stage Number]]&gt;=2,1,0)</f>
        <v>0</v>
      </c>
      <c r="N6014" s="2">
        <f>IF(LeadsData[[#This Row],[Stage Number]]&gt;=3,1,0)</f>
        <v>0</v>
      </c>
      <c r="O6014" s="2">
        <f>IF(LeadsData[[#This Row],[Stage Number]]&gt;=4,1,0)</f>
        <v>0</v>
      </c>
    </row>
    <row r="6015" spans="1:15" x14ac:dyDescent="0.25">
      <c r="A6015" t="s">
        <v>6055</v>
      </c>
      <c r="B6015" s="1">
        <v>45306</v>
      </c>
      <c r="C6015" t="s">
        <v>36</v>
      </c>
      <c r="D6015" t="s">
        <v>50</v>
      </c>
      <c r="E6015" t="s">
        <v>13</v>
      </c>
      <c r="F6015" t="s">
        <v>22</v>
      </c>
      <c r="G6015" t="s">
        <v>29</v>
      </c>
      <c r="K6015" cm="1">
        <f t="array" ref="K6015">_xlfn.SWITCH(LeadsData[[#This Row],[Funnel Stage Reached]],"Lead",1,"MQL",2,"SQL",3,"Customer",4)</f>
        <v>3</v>
      </c>
      <c r="L6015" t="str">
        <f>TEXT(LeadsData[[#This Row],[Signup Date]],"mmm-yyyy")</f>
        <v>Jan-2024</v>
      </c>
      <c r="M6015">
        <f>IF(LeadsData[[#This Row],[Stage Number]]&gt;=2,1,0)</f>
        <v>1</v>
      </c>
      <c r="N6015" s="2">
        <f>IF(LeadsData[[#This Row],[Stage Number]]&gt;=3,1,0)</f>
        <v>1</v>
      </c>
      <c r="O6015" s="2">
        <f>IF(LeadsData[[#This Row],[Stage Number]]&gt;=4,1,0)</f>
        <v>0</v>
      </c>
    </row>
    <row r="6016" spans="1:15" x14ac:dyDescent="0.25">
      <c r="A6016" t="s">
        <v>6056</v>
      </c>
      <c r="B6016" s="1">
        <v>45583</v>
      </c>
      <c r="C6016" t="s">
        <v>31</v>
      </c>
      <c r="D6016" t="s">
        <v>32</v>
      </c>
      <c r="E6016" t="s">
        <v>13</v>
      </c>
      <c r="F6016" t="s">
        <v>22</v>
      </c>
      <c r="G6016" t="s">
        <v>42</v>
      </c>
      <c r="H6016">
        <v>59</v>
      </c>
      <c r="I6016" t="s">
        <v>87</v>
      </c>
      <c r="J6016">
        <v>2094.85</v>
      </c>
      <c r="K6016" cm="1">
        <f t="array" ref="K6016">_xlfn.SWITCH(LeadsData[[#This Row],[Funnel Stage Reached]],"Lead",1,"MQL",2,"SQL",3,"Customer",4)</f>
        <v>4</v>
      </c>
      <c r="L6016" t="str">
        <f>TEXT(LeadsData[[#This Row],[Signup Date]],"mmm-yyyy")</f>
        <v>Oct-2024</v>
      </c>
      <c r="M6016">
        <f>IF(LeadsData[[#This Row],[Stage Number]]&gt;=2,1,0)</f>
        <v>1</v>
      </c>
      <c r="N6016" s="2">
        <f>IF(LeadsData[[#This Row],[Stage Number]]&gt;=3,1,0)</f>
        <v>1</v>
      </c>
      <c r="O6016" s="2">
        <f>IF(LeadsData[[#This Row],[Stage Number]]&gt;=4,1,0)</f>
        <v>1</v>
      </c>
    </row>
    <row r="6017" spans="1:15" x14ac:dyDescent="0.25">
      <c r="A6017" t="s">
        <v>6057</v>
      </c>
      <c r="B6017" s="1">
        <v>45453</v>
      </c>
      <c r="C6017" t="s">
        <v>31</v>
      </c>
      <c r="D6017" t="s">
        <v>32</v>
      </c>
      <c r="E6017" t="s">
        <v>21</v>
      </c>
      <c r="F6017" t="s">
        <v>22</v>
      </c>
      <c r="G6017" t="s">
        <v>23</v>
      </c>
      <c r="K6017" cm="1">
        <f t="array" ref="K6017">_xlfn.SWITCH(LeadsData[[#This Row],[Funnel Stage Reached]],"Lead",1,"MQL",2,"SQL",3,"Customer",4)</f>
        <v>2</v>
      </c>
      <c r="L6017" t="str">
        <f>TEXT(LeadsData[[#This Row],[Signup Date]],"mmm-yyyy")</f>
        <v>Jun-2024</v>
      </c>
      <c r="M6017">
        <f>IF(LeadsData[[#This Row],[Stage Number]]&gt;=2,1,0)</f>
        <v>1</v>
      </c>
      <c r="N6017" s="2">
        <f>IF(LeadsData[[#This Row],[Stage Number]]&gt;=3,1,0)</f>
        <v>0</v>
      </c>
      <c r="O6017" s="2">
        <f>IF(LeadsData[[#This Row],[Stage Number]]&gt;=4,1,0)</f>
        <v>0</v>
      </c>
    </row>
    <row r="6018" spans="1:15" x14ac:dyDescent="0.25">
      <c r="A6018" t="s">
        <v>6058</v>
      </c>
      <c r="B6018" s="1">
        <v>45448</v>
      </c>
      <c r="C6018" t="s">
        <v>11</v>
      </c>
      <c r="D6018" t="s">
        <v>68</v>
      </c>
      <c r="E6018" t="s">
        <v>13</v>
      </c>
      <c r="F6018" t="s">
        <v>14</v>
      </c>
      <c r="G6018" t="s">
        <v>15</v>
      </c>
      <c r="K6018" cm="1">
        <f t="array" ref="K6018">_xlfn.SWITCH(LeadsData[[#This Row],[Funnel Stage Reached]],"Lead",1,"MQL",2,"SQL",3,"Customer",4)</f>
        <v>1</v>
      </c>
      <c r="L6018" t="str">
        <f>TEXT(LeadsData[[#This Row],[Signup Date]],"mmm-yyyy")</f>
        <v>Jun-2024</v>
      </c>
      <c r="M6018">
        <f>IF(LeadsData[[#This Row],[Stage Number]]&gt;=2,1,0)</f>
        <v>0</v>
      </c>
      <c r="N6018" s="2">
        <f>IF(LeadsData[[#This Row],[Stage Number]]&gt;=3,1,0)</f>
        <v>0</v>
      </c>
      <c r="O6018" s="2">
        <f>IF(LeadsData[[#This Row],[Stage Number]]&gt;=4,1,0)</f>
        <v>0</v>
      </c>
    </row>
    <row r="6019" spans="1:15" x14ac:dyDescent="0.25">
      <c r="A6019" t="s">
        <v>6059</v>
      </c>
      <c r="B6019" s="1">
        <v>45366</v>
      </c>
      <c r="C6019" t="s">
        <v>36</v>
      </c>
      <c r="D6019" t="s">
        <v>50</v>
      </c>
      <c r="E6019" t="s">
        <v>13</v>
      </c>
      <c r="F6019" t="s">
        <v>14</v>
      </c>
      <c r="G6019" t="s">
        <v>29</v>
      </c>
      <c r="K6019" cm="1">
        <f t="array" ref="K6019">_xlfn.SWITCH(LeadsData[[#This Row],[Funnel Stage Reached]],"Lead",1,"MQL",2,"SQL",3,"Customer",4)</f>
        <v>3</v>
      </c>
      <c r="L6019" t="str">
        <f>TEXT(LeadsData[[#This Row],[Signup Date]],"mmm-yyyy")</f>
        <v>Mar-2024</v>
      </c>
      <c r="M6019">
        <f>IF(LeadsData[[#This Row],[Stage Number]]&gt;=2,1,0)</f>
        <v>1</v>
      </c>
      <c r="N6019" s="2">
        <f>IF(LeadsData[[#This Row],[Stage Number]]&gt;=3,1,0)</f>
        <v>1</v>
      </c>
      <c r="O6019" s="2">
        <f>IF(LeadsData[[#This Row],[Stage Number]]&gt;=4,1,0)</f>
        <v>0</v>
      </c>
    </row>
    <row r="6020" spans="1:15" x14ac:dyDescent="0.25">
      <c r="A6020" t="s">
        <v>6060</v>
      </c>
      <c r="B6020" s="1">
        <v>45566</v>
      </c>
      <c r="C6020" t="s">
        <v>36</v>
      </c>
      <c r="D6020" t="s">
        <v>50</v>
      </c>
      <c r="E6020" t="s">
        <v>48</v>
      </c>
      <c r="F6020" t="s">
        <v>19</v>
      </c>
      <c r="G6020" t="s">
        <v>29</v>
      </c>
      <c r="K6020" cm="1">
        <f t="array" ref="K6020">_xlfn.SWITCH(LeadsData[[#This Row],[Funnel Stage Reached]],"Lead",1,"MQL",2,"SQL",3,"Customer",4)</f>
        <v>3</v>
      </c>
      <c r="L6020" t="str">
        <f>TEXT(LeadsData[[#This Row],[Signup Date]],"mmm-yyyy")</f>
        <v>Oct-2024</v>
      </c>
      <c r="M6020">
        <f>IF(LeadsData[[#This Row],[Stage Number]]&gt;=2,1,0)</f>
        <v>1</v>
      </c>
      <c r="N6020" s="2">
        <f>IF(LeadsData[[#This Row],[Stage Number]]&gt;=3,1,0)</f>
        <v>1</v>
      </c>
      <c r="O6020" s="2">
        <f>IF(LeadsData[[#This Row],[Stage Number]]&gt;=4,1,0)</f>
        <v>0</v>
      </c>
    </row>
    <row r="6021" spans="1:15" x14ac:dyDescent="0.25">
      <c r="A6021" t="s">
        <v>6061</v>
      </c>
      <c r="B6021" s="1">
        <v>45296</v>
      </c>
      <c r="C6021" t="s">
        <v>25</v>
      </c>
      <c r="D6021" t="s">
        <v>26</v>
      </c>
      <c r="E6021" t="s">
        <v>21</v>
      </c>
      <c r="F6021" t="s">
        <v>19</v>
      </c>
      <c r="G6021" t="s">
        <v>23</v>
      </c>
      <c r="K6021" cm="1">
        <f t="array" ref="K6021">_xlfn.SWITCH(LeadsData[[#This Row],[Funnel Stage Reached]],"Lead",1,"MQL",2,"SQL",3,"Customer",4)</f>
        <v>2</v>
      </c>
      <c r="L6021" t="str">
        <f>TEXT(LeadsData[[#This Row],[Signup Date]],"mmm-yyyy")</f>
        <v>Jan-2024</v>
      </c>
      <c r="M6021">
        <f>IF(LeadsData[[#This Row],[Stage Number]]&gt;=2,1,0)</f>
        <v>1</v>
      </c>
      <c r="N6021" s="2">
        <f>IF(LeadsData[[#This Row],[Stage Number]]&gt;=3,1,0)</f>
        <v>0</v>
      </c>
      <c r="O6021" s="2">
        <f>IF(LeadsData[[#This Row],[Stage Number]]&gt;=4,1,0)</f>
        <v>0</v>
      </c>
    </row>
    <row r="6022" spans="1:15" x14ac:dyDescent="0.25">
      <c r="A6022" t="s">
        <v>6062</v>
      </c>
      <c r="B6022" s="1">
        <v>45468</v>
      </c>
      <c r="C6022" t="s">
        <v>17</v>
      </c>
      <c r="D6022" t="s">
        <v>53</v>
      </c>
      <c r="E6022" t="s">
        <v>21</v>
      </c>
      <c r="F6022" t="s">
        <v>14</v>
      </c>
      <c r="G6022" t="s">
        <v>23</v>
      </c>
      <c r="K6022" cm="1">
        <f t="array" ref="K6022">_xlfn.SWITCH(LeadsData[[#This Row],[Funnel Stage Reached]],"Lead",1,"MQL",2,"SQL",3,"Customer",4)</f>
        <v>2</v>
      </c>
      <c r="L6022" t="str">
        <f>TEXT(LeadsData[[#This Row],[Signup Date]],"mmm-yyyy")</f>
        <v>Jun-2024</v>
      </c>
      <c r="M6022">
        <f>IF(LeadsData[[#This Row],[Stage Number]]&gt;=2,1,0)</f>
        <v>1</v>
      </c>
      <c r="N6022" s="2">
        <f>IF(LeadsData[[#This Row],[Stage Number]]&gt;=3,1,0)</f>
        <v>0</v>
      </c>
      <c r="O6022" s="2">
        <f>IF(LeadsData[[#This Row],[Stage Number]]&gt;=4,1,0)</f>
        <v>0</v>
      </c>
    </row>
    <row r="6023" spans="1:15" x14ac:dyDescent="0.25">
      <c r="A6023" t="s">
        <v>6063</v>
      </c>
      <c r="B6023" s="1">
        <v>45488</v>
      </c>
      <c r="C6023" t="s">
        <v>31</v>
      </c>
      <c r="D6023" t="s">
        <v>32</v>
      </c>
      <c r="E6023" t="s">
        <v>21</v>
      </c>
      <c r="F6023" t="s">
        <v>19</v>
      </c>
      <c r="G6023" t="s">
        <v>23</v>
      </c>
      <c r="K6023" cm="1">
        <f t="array" ref="K6023">_xlfn.SWITCH(LeadsData[[#This Row],[Funnel Stage Reached]],"Lead",1,"MQL",2,"SQL",3,"Customer",4)</f>
        <v>2</v>
      </c>
      <c r="L6023" t="str">
        <f>TEXT(LeadsData[[#This Row],[Signup Date]],"mmm-yyyy")</f>
        <v>Jul-2024</v>
      </c>
      <c r="M6023">
        <f>IF(LeadsData[[#This Row],[Stage Number]]&gt;=2,1,0)</f>
        <v>1</v>
      </c>
      <c r="N6023" s="2">
        <f>IF(LeadsData[[#This Row],[Stage Number]]&gt;=3,1,0)</f>
        <v>0</v>
      </c>
      <c r="O6023" s="2">
        <f>IF(LeadsData[[#This Row],[Stage Number]]&gt;=4,1,0)</f>
        <v>0</v>
      </c>
    </row>
    <row r="6024" spans="1:15" x14ac:dyDescent="0.25">
      <c r="A6024" t="s">
        <v>6064</v>
      </c>
      <c r="B6024" s="1">
        <v>45519</v>
      </c>
      <c r="C6024" t="s">
        <v>17</v>
      </c>
      <c r="D6024" t="s">
        <v>18</v>
      </c>
      <c r="E6024" t="s">
        <v>13</v>
      </c>
      <c r="F6024" t="s">
        <v>14</v>
      </c>
      <c r="G6024" t="s">
        <v>15</v>
      </c>
      <c r="K6024" cm="1">
        <f t="array" ref="K6024">_xlfn.SWITCH(LeadsData[[#This Row],[Funnel Stage Reached]],"Lead",1,"MQL",2,"SQL",3,"Customer",4)</f>
        <v>1</v>
      </c>
      <c r="L6024" t="str">
        <f>TEXT(LeadsData[[#This Row],[Signup Date]],"mmm-yyyy")</f>
        <v>Aug-2024</v>
      </c>
      <c r="M6024">
        <f>IF(LeadsData[[#This Row],[Stage Number]]&gt;=2,1,0)</f>
        <v>0</v>
      </c>
      <c r="N6024" s="2">
        <f>IF(LeadsData[[#This Row],[Stage Number]]&gt;=3,1,0)</f>
        <v>0</v>
      </c>
      <c r="O6024" s="2">
        <f>IF(LeadsData[[#This Row],[Stage Number]]&gt;=4,1,0)</f>
        <v>0</v>
      </c>
    </row>
    <row r="6025" spans="1:15" x14ac:dyDescent="0.25">
      <c r="A6025" t="s">
        <v>6065</v>
      </c>
      <c r="B6025" s="1">
        <v>45357</v>
      </c>
      <c r="C6025" t="s">
        <v>36</v>
      </c>
      <c r="D6025" t="s">
        <v>37</v>
      </c>
      <c r="E6025" t="s">
        <v>21</v>
      </c>
      <c r="F6025" t="s">
        <v>19</v>
      </c>
      <c r="G6025" t="s">
        <v>29</v>
      </c>
      <c r="K6025" cm="1">
        <f t="array" ref="K6025">_xlfn.SWITCH(LeadsData[[#This Row],[Funnel Stage Reached]],"Lead",1,"MQL",2,"SQL",3,"Customer",4)</f>
        <v>3</v>
      </c>
      <c r="L6025" t="str">
        <f>TEXT(LeadsData[[#This Row],[Signup Date]],"mmm-yyyy")</f>
        <v>Mar-2024</v>
      </c>
      <c r="M6025">
        <f>IF(LeadsData[[#This Row],[Stage Number]]&gt;=2,1,0)</f>
        <v>1</v>
      </c>
      <c r="N6025" s="2">
        <f>IF(LeadsData[[#This Row],[Stage Number]]&gt;=3,1,0)</f>
        <v>1</v>
      </c>
      <c r="O6025" s="2">
        <f>IF(LeadsData[[#This Row],[Stage Number]]&gt;=4,1,0)</f>
        <v>0</v>
      </c>
    </row>
    <row r="6026" spans="1:15" x14ac:dyDescent="0.25">
      <c r="A6026" t="s">
        <v>6066</v>
      </c>
      <c r="B6026" s="1">
        <v>45511</v>
      </c>
      <c r="C6026" t="s">
        <v>17</v>
      </c>
      <c r="D6026" t="s">
        <v>18</v>
      </c>
      <c r="E6026" t="s">
        <v>13</v>
      </c>
      <c r="F6026" t="s">
        <v>22</v>
      </c>
      <c r="G6026" t="s">
        <v>23</v>
      </c>
      <c r="K6026" cm="1">
        <f t="array" ref="K6026">_xlfn.SWITCH(LeadsData[[#This Row],[Funnel Stage Reached]],"Lead",1,"MQL",2,"SQL",3,"Customer",4)</f>
        <v>2</v>
      </c>
      <c r="L6026" t="str">
        <f>TEXT(LeadsData[[#This Row],[Signup Date]],"mmm-yyyy")</f>
        <v>Aug-2024</v>
      </c>
      <c r="M6026">
        <f>IF(LeadsData[[#This Row],[Stage Number]]&gt;=2,1,0)</f>
        <v>1</v>
      </c>
      <c r="N6026" s="2">
        <f>IF(LeadsData[[#This Row],[Stage Number]]&gt;=3,1,0)</f>
        <v>0</v>
      </c>
      <c r="O6026" s="2">
        <f>IF(LeadsData[[#This Row],[Stage Number]]&gt;=4,1,0)</f>
        <v>0</v>
      </c>
    </row>
    <row r="6027" spans="1:15" x14ac:dyDescent="0.25">
      <c r="A6027" t="s">
        <v>6067</v>
      </c>
      <c r="B6027" s="1">
        <v>45600</v>
      </c>
      <c r="C6027" t="s">
        <v>25</v>
      </c>
      <c r="D6027" t="s">
        <v>26</v>
      </c>
      <c r="E6027" t="s">
        <v>13</v>
      </c>
      <c r="F6027" t="s">
        <v>14</v>
      </c>
      <c r="G6027" t="s">
        <v>42</v>
      </c>
      <c r="H6027">
        <v>42</v>
      </c>
      <c r="I6027" t="s">
        <v>87</v>
      </c>
      <c r="J6027">
        <v>4058.53</v>
      </c>
      <c r="K6027" cm="1">
        <f t="array" ref="K6027">_xlfn.SWITCH(LeadsData[[#This Row],[Funnel Stage Reached]],"Lead",1,"MQL",2,"SQL",3,"Customer",4)</f>
        <v>4</v>
      </c>
      <c r="L6027" t="str">
        <f>TEXT(LeadsData[[#This Row],[Signup Date]],"mmm-yyyy")</f>
        <v>Nov-2024</v>
      </c>
      <c r="M6027">
        <f>IF(LeadsData[[#This Row],[Stage Number]]&gt;=2,1,0)</f>
        <v>1</v>
      </c>
      <c r="N6027" s="2">
        <f>IF(LeadsData[[#This Row],[Stage Number]]&gt;=3,1,0)</f>
        <v>1</v>
      </c>
      <c r="O6027" s="2">
        <f>IF(LeadsData[[#This Row],[Stage Number]]&gt;=4,1,0)</f>
        <v>1</v>
      </c>
    </row>
    <row r="6028" spans="1:15" x14ac:dyDescent="0.25">
      <c r="A6028" t="s">
        <v>6068</v>
      </c>
      <c r="B6028" s="1">
        <v>45567</v>
      </c>
      <c r="C6028" t="s">
        <v>25</v>
      </c>
      <c r="D6028" t="s">
        <v>26</v>
      </c>
      <c r="E6028" t="s">
        <v>13</v>
      </c>
      <c r="F6028" t="s">
        <v>19</v>
      </c>
      <c r="G6028" t="s">
        <v>15</v>
      </c>
      <c r="K6028" cm="1">
        <f t="array" ref="K6028">_xlfn.SWITCH(LeadsData[[#This Row],[Funnel Stage Reached]],"Lead",1,"MQL",2,"SQL",3,"Customer",4)</f>
        <v>1</v>
      </c>
      <c r="L6028" t="str">
        <f>TEXT(LeadsData[[#This Row],[Signup Date]],"mmm-yyyy")</f>
        <v>Oct-2024</v>
      </c>
      <c r="M6028">
        <f>IF(LeadsData[[#This Row],[Stage Number]]&gt;=2,1,0)</f>
        <v>0</v>
      </c>
      <c r="N6028" s="2">
        <f>IF(LeadsData[[#This Row],[Stage Number]]&gt;=3,1,0)</f>
        <v>0</v>
      </c>
      <c r="O6028" s="2">
        <f>IF(LeadsData[[#This Row],[Stage Number]]&gt;=4,1,0)</f>
        <v>0</v>
      </c>
    </row>
    <row r="6029" spans="1:15" x14ac:dyDescent="0.25">
      <c r="A6029" t="s">
        <v>6069</v>
      </c>
      <c r="B6029" s="1">
        <v>45607</v>
      </c>
      <c r="C6029" t="s">
        <v>11</v>
      </c>
      <c r="D6029" t="s">
        <v>79</v>
      </c>
      <c r="E6029" t="s">
        <v>13</v>
      </c>
      <c r="F6029" t="s">
        <v>22</v>
      </c>
      <c r="G6029" t="s">
        <v>23</v>
      </c>
      <c r="K6029" cm="1">
        <f t="array" ref="K6029">_xlfn.SWITCH(LeadsData[[#This Row],[Funnel Stage Reached]],"Lead",1,"MQL",2,"SQL",3,"Customer",4)</f>
        <v>2</v>
      </c>
      <c r="L6029" t="str">
        <f>TEXT(LeadsData[[#This Row],[Signup Date]],"mmm-yyyy")</f>
        <v>Nov-2024</v>
      </c>
      <c r="M6029">
        <f>IF(LeadsData[[#This Row],[Stage Number]]&gt;=2,1,0)</f>
        <v>1</v>
      </c>
      <c r="N6029" s="2">
        <f>IF(LeadsData[[#This Row],[Stage Number]]&gt;=3,1,0)</f>
        <v>0</v>
      </c>
      <c r="O6029" s="2">
        <f>IF(LeadsData[[#This Row],[Stage Number]]&gt;=4,1,0)</f>
        <v>0</v>
      </c>
    </row>
    <row r="6030" spans="1:15" x14ac:dyDescent="0.25">
      <c r="A6030" t="s">
        <v>6070</v>
      </c>
      <c r="B6030" s="1">
        <v>45501</v>
      </c>
      <c r="C6030" t="s">
        <v>36</v>
      </c>
      <c r="D6030" t="s">
        <v>37</v>
      </c>
      <c r="E6030" t="s">
        <v>21</v>
      </c>
      <c r="F6030" t="s">
        <v>14</v>
      </c>
      <c r="G6030" t="s">
        <v>23</v>
      </c>
      <c r="K6030" cm="1">
        <f t="array" ref="K6030">_xlfn.SWITCH(LeadsData[[#This Row],[Funnel Stage Reached]],"Lead",1,"MQL",2,"SQL",3,"Customer",4)</f>
        <v>2</v>
      </c>
      <c r="L6030" t="str">
        <f>TEXT(LeadsData[[#This Row],[Signup Date]],"mmm-yyyy")</f>
        <v>Jul-2024</v>
      </c>
      <c r="M6030">
        <f>IF(LeadsData[[#This Row],[Stage Number]]&gt;=2,1,0)</f>
        <v>1</v>
      </c>
      <c r="N6030" s="2">
        <f>IF(LeadsData[[#This Row],[Stage Number]]&gt;=3,1,0)</f>
        <v>0</v>
      </c>
      <c r="O6030" s="2">
        <f>IF(LeadsData[[#This Row],[Stage Number]]&gt;=4,1,0)</f>
        <v>0</v>
      </c>
    </row>
    <row r="6031" spans="1:15" x14ac:dyDescent="0.25">
      <c r="A6031" t="s">
        <v>6071</v>
      </c>
      <c r="B6031" s="1">
        <v>45365</v>
      </c>
      <c r="C6031" t="s">
        <v>31</v>
      </c>
      <c r="D6031" t="s">
        <v>34</v>
      </c>
      <c r="E6031" t="s">
        <v>21</v>
      </c>
      <c r="F6031" t="s">
        <v>14</v>
      </c>
      <c r="G6031" t="s">
        <v>15</v>
      </c>
      <c r="K6031" cm="1">
        <f t="array" ref="K6031">_xlfn.SWITCH(LeadsData[[#This Row],[Funnel Stage Reached]],"Lead",1,"MQL",2,"SQL",3,"Customer",4)</f>
        <v>1</v>
      </c>
      <c r="L6031" t="str">
        <f>TEXT(LeadsData[[#This Row],[Signup Date]],"mmm-yyyy")</f>
        <v>Mar-2024</v>
      </c>
      <c r="M6031">
        <f>IF(LeadsData[[#This Row],[Stage Number]]&gt;=2,1,0)</f>
        <v>0</v>
      </c>
      <c r="N6031" s="2">
        <f>IF(LeadsData[[#This Row],[Stage Number]]&gt;=3,1,0)</f>
        <v>0</v>
      </c>
      <c r="O6031" s="2">
        <f>IF(LeadsData[[#This Row],[Stage Number]]&gt;=4,1,0)</f>
        <v>0</v>
      </c>
    </row>
    <row r="6032" spans="1:15" x14ac:dyDescent="0.25">
      <c r="A6032" t="s">
        <v>6072</v>
      </c>
      <c r="B6032" s="1">
        <v>45510</v>
      </c>
      <c r="C6032" t="s">
        <v>46</v>
      </c>
      <c r="D6032" t="s">
        <v>47</v>
      </c>
      <c r="E6032" t="s">
        <v>13</v>
      </c>
      <c r="F6032" t="s">
        <v>22</v>
      </c>
      <c r="G6032" t="s">
        <v>29</v>
      </c>
      <c r="K6032" cm="1">
        <f t="array" ref="K6032">_xlfn.SWITCH(LeadsData[[#This Row],[Funnel Stage Reached]],"Lead",1,"MQL",2,"SQL",3,"Customer",4)</f>
        <v>3</v>
      </c>
      <c r="L6032" t="str">
        <f>TEXT(LeadsData[[#This Row],[Signup Date]],"mmm-yyyy")</f>
        <v>Aug-2024</v>
      </c>
      <c r="M6032">
        <f>IF(LeadsData[[#This Row],[Stage Number]]&gt;=2,1,0)</f>
        <v>1</v>
      </c>
      <c r="N6032" s="2">
        <f>IF(LeadsData[[#This Row],[Stage Number]]&gt;=3,1,0)</f>
        <v>1</v>
      </c>
      <c r="O6032" s="2">
        <f>IF(LeadsData[[#This Row],[Stage Number]]&gt;=4,1,0)</f>
        <v>0</v>
      </c>
    </row>
    <row r="6033" spans="1:15" x14ac:dyDescent="0.25">
      <c r="A6033" t="s">
        <v>6073</v>
      </c>
      <c r="B6033" s="1">
        <v>45602</v>
      </c>
      <c r="C6033" t="s">
        <v>11</v>
      </c>
      <c r="D6033" t="s">
        <v>79</v>
      </c>
      <c r="E6033" t="s">
        <v>13</v>
      </c>
      <c r="F6033" t="s">
        <v>14</v>
      </c>
      <c r="G6033" t="s">
        <v>15</v>
      </c>
      <c r="K6033" cm="1">
        <f t="array" ref="K6033">_xlfn.SWITCH(LeadsData[[#This Row],[Funnel Stage Reached]],"Lead",1,"MQL",2,"SQL",3,"Customer",4)</f>
        <v>1</v>
      </c>
      <c r="L6033" t="str">
        <f>TEXT(LeadsData[[#This Row],[Signup Date]],"mmm-yyyy")</f>
        <v>Nov-2024</v>
      </c>
      <c r="M6033">
        <f>IF(LeadsData[[#This Row],[Stage Number]]&gt;=2,1,0)</f>
        <v>0</v>
      </c>
      <c r="N6033" s="2">
        <f>IF(LeadsData[[#This Row],[Stage Number]]&gt;=3,1,0)</f>
        <v>0</v>
      </c>
      <c r="O6033" s="2">
        <f>IF(LeadsData[[#This Row],[Stage Number]]&gt;=4,1,0)</f>
        <v>0</v>
      </c>
    </row>
    <row r="6034" spans="1:15" x14ac:dyDescent="0.25">
      <c r="A6034" t="s">
        <v>6074</v>
      </c>
      <c r="B6034" s="1">
        <v>45623</v>
      </c>
      <c r="C6034" t="s">
        <v>31</v>
      </c>
      <c r="D6034" t="s">
        <v>34</v>
      </c>
      <c r="E6034" t="s">
        <v>21</v>
      </c>
      <c r="F6034" t="s">
        <v>14</v>
      </c>
      <c r="G6034" t="s">
        <v>23</v>
      </c>
      <c r="K6034" cm="1">
        <f t="array" ref="K6034">_xlfn.SWITCH(LeadsData[[#This Row],[Funnel Stage Reached]],"Lead",1,"MQL",2,"SQL",3,"Customer",4)</f>
        <v>2</v>
      </c>
      <c r="L6034" t="str">
        <f>TEXT(LeadsData[[#This Row],[Signup Date]],"mmm-yyyy")</f>
        <v>Nov-2024</v>
      </c>
      <c r="M6034">
        <f>IF(LeadsData[[#This Row],[Stage Number]]&gt;=2,1,0)</f>
        <v>1</v>
      </c>
      <c r="N6034" s="2">
        <f>IF(LeadsData[[#This Row],[Stage Number]]&gt;=3,1,0)</f>
        <v>0</v>
      </c>
      <c r="O6034" s="2">
        <f>IF(LeadsData[[#This Row],[Stage Number]]&gt;=4,1,0)</f>
        <v>0</v>
      </c>
    </row>
    <row r="6035" spans="1:15" x14ac:dyDescent="0.25">
      <c r="A6035" t="s">
        <v>6075</v>
      </c>
      <c r="B6035" s="1">
        <v>45361</v>
      </c>
      <c r="C6035" t="s">
        <v>31</v>
      </c>
      <c r="D6035" t="s">
        <v>32</v>
      </c>
      <c r="E6035" t="s">
        <v>13</v>
      </c>
      <c r="F6035" t="s">
        <v>22</v>
      </c>
      <c r="G6035" t="s">
        <v>23</v>
      </c>
      <c r="K6035" cm="1">
        <f t="array" ref="K6035">_xlfn.SWITCH(LeadsData[[#This Row],[Funnel Stage Reached]],"Lead",1,"MQL",2,"SQL",3,"Customer",4)</f>
        <v>2</v>
      </c>
      <c r="L6035" t="str">
        <f>TEXT(LeadsData[[#This Row],[Signup Date]],"mmm-yyyy")</f>
        <v>Mar-2024</v>
      </c>
      <c r="M6035">
        <f>IF(LeadsData[[#This Row],[Stage Number]]&gt;=2,1,0)</f>
        <v>1</v>
      </c>
      <c r="N6035" s="2">
        <f>IF(LeadsData[[#This Row],[Stage Number]]&gt;=3,1,0)</f>
        <v>0</v>
      </c>
      <c r="O6035" s="2">
        <f>IF(LeadsData[[#This Row],[Stage Number]]&gt;=4,1,0)</f>
        <v>0</v>
      </c>
    </row>
    <row r="6036" spans="1:15" x14ac:dyDescent="0.25">
      <c r="A6036" t="s">
        <v>6076</v>
      </c>
      <c r="B6036" s="1">
        <v>45605</v>
      </c>
      <c r="C6036" t="s">
        <v>31</v>
      </c>
      <c r="D6036" t="s">
        <v>34</v>
      </c>
      <c r="E6036" t="s">
        <v>21</v>
      </c>
      <c r="F6036" t="s">
        <v>19</v>
      </c>
      <c r="G6036" t="s">
        <v>29</v>
      </c>
      <c r="K6036" cm="1">
        <f t="array" ref="K6036">_xlfn.SWITCH(LeadsData[[#This Row],[Funnel Stage Reached]],"Lead",1,"MQL",2,"SQL",3,"Customer",4)</f>
        <v>3</v>
      </c>
      <c r="L6036" t="str">
        <f>TEXT(LeadsData[[#This Row],[Signup Date]],"mmm-yyyy")</f>
        <v>Nov-2024</v>
      </c>
      <c r="M6036">
        <f>IF(LeadsData[[#This Row],[Stage Number]]&gt;=2,1,0)</f>
        <v>1</v>
      </c>
      <c r="N6036" s="2">
        <f>IF(LeadsData[[#This Row],[Stage Number]]&gt;=3,1,0)</f>
        <v>1</v>
      </c>
      <c r="O6036" s="2">
        <f>IF(LeadsData[[#This Row],[Stage Number]]&gt;=4,1,0)</f>
        <v>0</v>
      </c>
    </row>
    <row r="6037" spans="1:15" x14ac:dyDescent="0.25">
      <c r="A6037" t="s">
        <v>6077</v>
      </c>
      <c r="B6037" s="1">
        <v>45623</v>
      </c>
      <c r="C6037" t="s">
        <v>46</v>
      </c>
      <c r="D6037" t="s">
        <v>47</v>
      </c>
      <c r="E6037" t="s">
        <v>21</v>
      </c>
      <c r="F6037" t="s">
        <v>22</v>
      </c>
      <c r="G6037" t="s">
        <v>15</v>
      </c>
      <c r="K6037" cm="1">
        <f t="array" ref="K6037">_xlfn.SWITCH(LeadsData[[#This Row],[Funnel Stage Reached]],"Lead",1,"MQL",2,"SQL",3,"Customer",4)</f>
        <v>1</v>
      </c>
      <c r="L6037" t="str">
        <f>TEXT(LeadsData[[#This Row],[Signup Date]],"mmm-yyyy")</f>
        <v>Nov-2024</v>
      </c>
      <c r="M6037">
        <f>IF(LeadsData[[#This Row],[Stage Number]]&gt;=2,1,0)</f>
        <v>0</v>
      </c>
      <c r="N6037" s="2">
        <f>IF(LeadsData[[#This Row],[Stage Number]]&gt;=3,1,0)</f>
        <v>0</v>
      </c>
      <c r="O6037" s="2">
        <f>IF(LeadsData[[#This Row],[Stage Number]]&gt;=4,1,0)</f>
        <v>0</v>
      </c>
    </row>
    <row r="6038" spans="1:15" x14ac:dyDescent="0.25">
      <c r="A6038" t="s">
        <v>6078</v>
      </c>
      <c r="B6038" s="1">
        <v>45627</v>
      </c>
      <c r="C6038" t="s">
        <v>31</v>
      </c>
      <c r="D6038" t="s">
        <v>32</v>
      </c>
      <c r="E6038" t="s">
        <v>21</v>
      </c>
      <c r="F6038" t="s">
        <v>19</v>
      </c>
      <c r="G6038" t="s">
        <v>23</v>
      </c>
      <c r="K6038" cm="1">
        <f t="array" ref="K6038">_xlfn.SWITCH(LeadsData[[#This Row],[Funnel Stage Reached]],"Lead",1,"MQL",2,"SQL",3,"Customer",4)</f>
        <v>2</v>
      </c>
      <c r="L6038" t="str">
        <f>TEXT(LeadsData[[#This Row],[Signup Date]],"mmm-yyyy")</f>
        <v>Dec-2024</v>
      </c>
      <c r="M6038">
        <f>IF(LeadsData[[#This Row],[Stage Number]]&gt;=2,1,0)</f>
        <v>1</v>
      </c>
      <c r="N6038" s="2">
        <f>IF(LeadsData[[#This Row],[Stage Number]]&gt;=3,1,0)</f>
        <v>0</v>
      </c>
      <c r="O6038" s="2">
        <f>IF(LeadsData[[#This Row],[Stage Number]]&gt;=4,1,0)</f>
        <v>0</v>
      </c>
    </row>
    <row r="6039" spans="1:15" x14ac:dyDescent="0.25">
      <c r="A6039" t="s">
        <v>6079</v>
      </c>
      <c r="B6039" s="1">
        <v>45560</v>
      </c>
      <c r="C6039" t="s">
        <v>11</v>
      </c>
      <c r="D6039" t="s">
        <v>79</v>
      </c>
      <c r="E6039" t="s">
        <v>21</v>
      </c>
      <c r="F6039" t="s">
        <v>22</v>
      </c>
      <c r="G6039" t="s">
        <v>23</v>
      </c>
      <c r="K6039" cm="1">
        <f t="array" ref="K6039">_xlfn.SWITCH(LeadsData[[#This Row],[Funnel Stage Reached]],"Lead",1,"MQL",2,"SQL",3,"Customer",4)</f>
        <v>2</v>
      </c>
      <c r="L6039" t="str">
        <f>TEXT(LeadsData[[#This Row],[Signup Date]],"mmm-yyyy")</f>
        <v>Sep-2024</v>
      </c>
      <c r="M6039">
        <f>IF(LeadsData[[#This Row],[Stage Number]]&gt;=2,1,0)</f>
        <v>1</v>
      </c>
      <c r="N6039" s="2">
        <f>IF(LeadsData[[#This Row],[Stage Number]]&gt;=3,1,0)</f>
        <v>0</v>
      </c>
      <c r="O6039" s="2">
        <f>IF(LeadsData[[#This Row],[Stage Number]]&gt;=4,1,0)</f>
        <v>0</v>
      </c>
    </row>
    <row r="6040" spans="1:15" x14ac:dyDescent="0.25">
      <c r="A6040" t="s">
        <v>6080</v>
      </c>
      <c r="B6040" s="1">
        <v>45493</v>
      </c>
      <c r="C6040" t="s">
        <v>31</v>
      </c>
      <c r="D6040" t="s">
        <v>32</v>
      </c>
      <c r="E6040" t="s">
        <v>13</v>
      </c>
      <c r="F6040" t="s">
        <v>14</v>
      </c>
      <c r="G6040" t="s">
        <v>23</v>
      </c>
      <c r="K6040" cm="1">
        <f t="array" ref="K6040">_xlfn.SWITCH(LeadsData[[#This Row],[Funnel Stage Reached]],"Lead",1,"MQL",2,"SQL",3,"Customer",4)</f>
        <v>2</v>
      </c>
      <c r="L6040" t="str">
        <f>TEXT(LeadsData[[#This Row],[Signup Date]],"mmm-yyyy")</f>
        <v>Jul-2024</v>
      </c>
      <c r="M6040">
        <f>IF(LeadsData[[#This Row],[Stage Number]]&gt;=2,1,0)</f>
        <v>1</v>
      </c>
      <c r="N6040" s="2">
        <f>IF(LeadsData[[#This Row],[Stage Number]]&gt;=3,1,0)</f>
        <v>0</v>
      </c>
      <c r="O6040" s="2">
        <f>IF(LeadsData[[#This Row],[Stage Number]]&gt;=4,1,0)</f>
        <v>0</v>
      </c>
    </row>
    <row r="6041" spans="1:15" x14ac:dyDescent="0.25">
      <c r="A6041" t="s">
        <v>6081</v>
      </c>
      <c r="B6041" s="1">
        <v>45461</v>
      </c>
      <c r="C6041" t="s">
        <v>36</v>
      </c>
      <c r="D6041" t="s">
        <v>50</v>
      </c>
      <c r="E6041" t="s">
        <v>21</v>
      </c>
      <c r="F6041" t="s">
        <v>22</v>
      </c>
      <c r="G6041" t="s">
        <v>15</v>
      </c>
      <c r="K6041" cm="1">
        <f t="array" ref="K6041">_xlfn.SWITCH(LeadsData[[#This Row],[Funnel Stage Reached]],"Lead",1,"MQL",2,"SQL",3,"Customer",4)</f>
        <v>1</v>
      </c>
      <c r="L6041" t="str">
        <f>TEXT(LeadsData[[#This Row],[Signup Date]],"mmm-yyyy")</f>
        <v>Jun-2024</v>
      </c>
      <c r="M6041">
        <f>IF(LeadsData[[#This Row],[Stage Number]]&gt;=2,1,0)</f>
        <v>0</v>
      </c>
      <c r="N6041" s="2">
        <f>IF(LeadsData[[#This Row],[Stage Number]]&gt;=3,1,0)</f>
        <v>0</v>
      </c>
      <c r="O6041" s="2">
        <f>IF(LeadsData[[#This Row],[Stage Number]]&gt;=4,1,0)</f>
        <v>0</v>
      </c>
    </row>
    <row r="6042" spans="1:15" x14ac:dyDescent="0.25">
      <c r="A6042" t="s">
        <v>6082</v>
      </c>
      <c r="B6042" s="1">
        <v>45556</v>
      </c>
      <c r="C6042" t="s">
        <v>17</v>
      </c>
      <c r="D6042" t="s">
        <v>53</v>
      </c>
      <c r="E6042" t="s">
        <v>13</v>
      </c>
      <c r="F6042" t="s">
        <v>22</v>
      </c>
      <c r="G6042" t="s">
        <v>15</v>
      </c>
      <c r="K6042" cm="1">
        <f t="array" ref="K6042">_xlfn.SWITCH(LeadsData[[#This Row],[Funnel Stage Reached]],"Lead",1,"MQL",2,"SQL",3,"Customer",4)</f>
        <v>1</v>
      </c>
      <c r="L6042" t="str">
        <f>TEXT(LeadsData[[#This Row],[Signup Date]],"mmm-yyyy")</f>
        <v>Sep-2024</v>
      </c>
      <c r="M6042">
        <f>IF(LeadsData[[#This Row],[Stage Number]]&gt;=2,1,0)</f>
        <v>0</v>
      </c>
      <c r="N6042" s="2">
        <f>IF(LeadsData[[#This Row],[Stage Number]]&gt;=3,1,0)</f>
        <v>0</v>
      </c>
      <c r="O6042" s="2">
        <f>IF(LeadsData[[#This Row],[Stage Number]]&gt;=4,1,0)</f>
        <v>0</v>
      </c>
    </row>
    <row r="6043" spans="1:15" x14ac:dyDescent="0.25">
      <c r="A6043" t="s">
        <v>6083</v>
      </c>
      <c r="B6043" s="1">
        <v>45591</v>
      </c>
      <c r="C6043" t="s">
        <v>25</v>
      </c>
      <c r="D6043" t="s">
        <v>26</v>
      </c>
      <c r="E6043" t="s">
        <v>21</v>
      </c>
      <c r="F6043" t="s">
        <v>19</v>
      </c>
      <c r="G6043" t="s">
        <v>15</v>
      </c>
      <c r="K6043" cm="1">
        <f t="array" ref="K6043">_xlfn.SWITCH(LeadsData[[#This Row],[Funnel Stage Reached]],"Lead",1,"MQL",2,"SQL",3,"Customer",4)</f>
        <v>1</v>
      </c>
      <c r="L6043" t="str">
        <f>TEXT(LeadsData[[#This Row],[Signup Date]],"mmm-yyyy")</f>
        <v>Oct-2024</v>
      </c>
      <c r="M6043">
        <f>IF(LeadsData[[#This Row],[Stage Number]]&gt;=2,1,0)</f>
        <v>0</v>
      </c>
      <c r="N6043" s="2">
        <f>IF(LeadsData[[#This Row],[Stage Number]]&gt;=3,1,0)</f>
        <v>0</v>
      </c>
      <c r="O6043" s="2">
        <f>IF(LeadsData[[#This Row],[Stage Number]]&gt;=4,1,0)</f>
        <v>0</v>
      </c>
    </row>
    <row r="6044" spans="1:15" x14ac:dyDescent="0.25">
      <c r="A6044" t="s">
        <v>6084</v>
      </c>
      <c r="B6044" s="1">
        <v>45578</v>
      </c>
      <c r="C6044" t="s">
        <v>11</v>
      </c>
      <c r="D6044" t="s">
        <v>68</v>
      </c>
      <c r="E6044" t="s">
        <v>13</v>
      </c>
      <c r="F6044" t="s">
        <v>28</v>
      </c>
      <c r="G6044" t="s">
        <v>15</v>
      </c>
      <c r="K6044" cm="1">
        <f t="array" ref="K6044">_xlfn.SWITCH(LeadsData[[#This Row],[Funnel Stage Reached]],"Lead",1,"MQL",2,"SQL",3,"Customer",4)</f>
        <v>1</v>
      </c>
      <c r="L6044" t="str">
        <f>TEXT(LeadsData[[#This Row],[Signup Date]],"mmm-yyyy")</f>
        <v>Oct-2024</v>
      </c>
      <c r="M6044">
        <f>IF(LeadsData[[#This Row],[Stage Number]]&gt;=2,1,0)</f>
        <v>0</v>
      </c>
      <c r="N6044" s="2">
        <f>IF(LeadsData[[#This Row],[Stage Number]]&gt;=3,1,0)</f>
        <v>0</v>
      </c>
      <c r="O6044" s="2">
        <f>IF(LeadsData[[#This Row],[Stage Number]]&gt;=4,1,0)</f>
        <v>0</v>
      </c>
    </row>
    <row r="6045" spans="1:15" x14ac:dyDescent="0.25">
      <c r="A6045" t="s">
        <v>6085</v>
      </c>
      <c r="B6045" s="1">
        <v>45410</v>
      </c>
      <c r="C6045" t="s">
        <v>31</v>
      </c>
      <c r="D6045" t="s">
        <v>32</v>
      </c>
      <c r="E6045" t="s">
        <v>13</v>
      </c>
      <c r="F6045" t="s">
        <v>19</v>
      </c>
      <c r="G6045" t="s">
        <v>23</v>
      </c>
      <c r="K6045" cm="1">
        <f t="array" ref="K6045">_xlfn.SWITCH(LeadsData[[#This Row],[Funnel Stage Reached]],"Lead",1,"MQL",2,"SQL",3,"Customer",4)</f>
        <v>2</v>
      </c>
      <c r="L6045" t="str">
        <f>TEXT(LeadsData[[#This Row],[Signup Date]],"mmm-yyyy")</f>
        <v>Apr-2024</v>
      </c>
      <c r="M6045">
        <f>IF(LeadsData[[#This Row],[Stage Number]]&gt;=2,1,0)</f>
        <v>1</v>
      </c>
      <c r="N6045" s="2">
        <f>IF(LeadsData[[#This Row],[Stage Number]]&gt;=3,1,0)</f>
        <v>0</v>
      </c>
      <c r="O6045" s="2">
        <f>IF(LeadsData[[#This Row],[Stage Number]]&gt;=4,1,0)</f>
        <v>0</v>
      </c>
    </row>
    <row r="6046" spans="1:15" x14ac:dyDescent="0.25">
      <c r="A6046" t="s">
        <v>6086</v>
      </c>
      <c r="B6046" s="1">
        <v>45643</v>
      </c>
      <c r="C6046" t="s">
        <v>11</v>
      </c>
      <c r="D6046" t="s">
        <v>68</v>
      </c>
      <c r="E6046" t="s">
        <v>21</v>
      </c>
      <c r="F6046" t="s">
        <v>19</v>
      </c>
      <c r="G6046" t="s">
        <v>23</v>
      </c>
      <c r="K6046" cm="1">
        <f t="array" ref="K6046">_xlfn.SWITCH(LeadsData[[#This Row],[Funnel Stage Reached]],"Lead",1,"MQL",2,"SQL",3,"Customer",4)</f>
        <v>2</v>
      </c>
      <c r="L6046" t="str">
        <f>TEXT(LeadsData[[#This Row],[Signup Date]],"mmm-yyyy")</f>
        <v>Dec-2024</v>
      </c>
      <c r="M6046">
        <f>IF(LeadsData[[#This Row],[Stage Number]]&gt;=2,1,0)</f>
        <v>1</v>
      </c>
      <c r="N6046" s="2">
        <f>IF(LeadsData[[#This Row],[Stage Number]]&gt;=3,1,0)</f>
        <v>0</v>
      </c>
      <c r="O6046" s="2">
        <f>IF(LeadsData[[#This Row],[Stage Number]]&gt;=4,1,0)</f>
        <v>0</v>
      </c>
    </row>
    <row r="6047" spans="1:15" x14ac:dyDescent="0.25">
      <c r="A6047" t="s">
        <v>6087</v>
      </c>
      <c r="B6047" s="1">
        <v>45637</v>
      </c>
      <c r="C6047" t="s">
        <v>36</v>
      </c>
      <c r="D6047" t="s">
        <v>50</v>
      </c>
      <c r="E6047" t="s">
        <v>21</v>
      </c>
      <c r="F6047" t="s">
        <v>22</v>
      </c>
      <c r="G6047" t="s">
        <v>15</v>
      </c>
      <c r="K6047" cm="1">
        <f t="array" ref="K6047">_xlfn.SWITCH(LeadsData[[#This Row],[Funnel Stage Reached]],"Lead",1,"MQL",2,"SQL",3,"Customer",4)</f>
        <v>1</v>
      </c>
      <c r="L6047" t="str">
        <f>TEXT(LeadsData[[#This Row],[Signup Date]],"mmm-yyyy")</f>
        <v>Dec-2024</v>
      </c>
      <c r="M6047">
        <f>IF(LeadsData[[#This Row],[Stage Number]]&gt;=2,1,0)</f>
        <v>0</v>
      </c>
      <c r="N6047" s="2">
        <f>IF(LeadsData[[#This Row],[Stage Number]]&gt;=3,1,0)</f>
        <v>0</v>
      </c>
      <c r="O6047" s="2">
        <f>IF(LeadsData[[#This Row],[Stage Number]]&gt;=4,1,0)</f>
        <v>0</v>
      </c>
    </row>
    <row r="6048" spans="1:15" x14ac:dyDescent="0.25">
      <c r="A6048" t="s">
        <v>6088</v>
      </c>
      <c r="B6048" s="1">
        <v>45430</v>
      </c>
      <c r="C6048" t="s">
        <v>17</v>
      </c>
      <c r="D6048" t="s">
        <v>18</v>
      </c>
      <c r="E6048" t="s">
        <v>13</v>
      </c>
      <c r="F6048" t="s">
        <v>19</v>
      </c>
      <c r="G6048" t="s">
        <v>29</v>
      </c>
      <c r="K6048" cm="1">
        <f t="array" ref="K6048">_xlfn.SWITCH(LeadsData[[#This Row],[Funnel Stage Reached]],"Lead",1,"MQL",2,"SQL",3,"Customer",4)</f>
        <v>3</v>
      </c>
      <c r="L6048" t="str">
        <f>TEXT(LeadsData[[#This Row],[Signup Date]],"mmm-yyyy")</f>
        <v>May-2024</v>
      </c>
      <c r="M6048">
        <f>IF(LeadsData[[#This Row],[Stage Number]]&gt;=2,1,0)</f>
        <v>1</v>
      </c>
      <c r="N6048" s="2">
        <f>IF(LeadsData[[#This Row],[Stage Number]]&gt;=3,1,0)</f>
        <v>1</v>
      </c>
      <c r="O6048" s="2">
        <f>IF(LeadsData[[#This Row],[Stage Number]]&gt;=4,1,0)</f>
        <v>0</v>
      </c>
    </row>
    <row r="6049" spans="1:15" x14ac:dyDescent="0.25">
      <c r="A6049" t="s">
        <v>6089</v>
      </c>
      <c r="B6049" s="1">
        <v>45315</v>
      </c>
      <c r="C6049" t="s">
        <v>17</v>
      </c>
      <c r="D6049" t="s">
        <v>53</v>
      </c>
      <c r="E6049" t="s">
        <v>21</v>
      </c>
      <c r="F6049" t="s">
        <v>19</v>
      </c>
      <c r="G6049" t="s">
        <v>23</v>
      </c>
      <c r="K6049" cm="1">
        <f t="array" ref="K6049">_xlfn.SWITCH(LeadsData[[#This Row],[Funnel Stage Reached]],"Lead",1,"MQL",2,"SQL",3,"Customer",4)</f>
        <v>2</v>
      </c>
      <c r="L6049" t="str">
        <f>TEXT(LeadsData[[#This Row],[Signup Date]],"mmm-yyyy")</f>
        <v>Jan-2024</v>
      </c>
      <c r="M6049">
        <f>IF(LeadsData[[#This Row],[Stage Number]]&gt;=2,1,0)</f>
        <v>1</v>
      </c>
      <c r="N6049" s="2">
        <f>IF(LeadsData[[#This Row],[Stage Number]]&gt;=3,1,0)</f>
        <v>0</v>
      </c>
      <c r="O6049" s="2">
        <f>IF(LeadsData[[#This Row],[Stage Number]]&gt;=4,1,0)</f>
        <v>0</v>
      </c>
    </row>
    <row r="6050" spans="1:15" x14ac:dyDescent="0.25">
      <c r="A6050" t="s">
        <v>6090</v>
      </c>
      <c r="B6050" s="1">
        <v>45583</v>
      </c>
      <c r="C6050" t="s">
        <v>25</v>
      </c>
      <c r="D6050" t="s">
        <v>26</v>
      </c>
      <c r="E6050" t="s">
        <v>13</v>
      </c>
      <c r="F6050" t="s">
        <v>22</v>
      </c>
      <c r="G6050" t="s">
        <v>15</v>
      </c>
      <c r="K6050" cm="1">
        <f t="array" ref="K6050">_xlfn.SWITCH(LeadsData[[#This Row],[Funnel Stage Reached]],"Lead",1,"MQL",2,"SQL",3,"Customer",4)</f>
        <v>1</v>
      </c>
      <c r="L6050" t="str">
        <f>TEXT(LeadsData[[#This Row],[Signup Date]],"mmm-yyyy")</f>
        <v>Oct-2024</v>
      </c>
      <c r="M6050">
        <f>IF(LeadsData[[#This Row],[Stage Number]]&gt;=2,1,0)</f>
        <v>0</v>
      </c>
      <c r="N6050" s="2">
        <f>IF(LeadsData[[#This Row],[Stage Number]]&gt;=3,1,0)</f>
        <v>0</v>
      </c>
      <c r="O6050" s="2">
        <f>IF(LeadsData[[#This Row],[Stage Number]]&gt;=4,1,0)</f>
        <v>0</v>
      </c>
    </row>
    <row r="6051" spans="1:15" x14ac:dyDescent="0.25">
      <c r="A6051" t="s">
        <v>6091</v>
      </c>
      <c r="B6051" s="1">
        <v>45581</v>
      </c>
      <c r="C6051" t="s">
        <v>31</v>
      </c>
      <c r="D6051" t="s">
        <v>32</v>
      </c>
      <c r="E6051" t="s">
        <v>21</v>
      </c>
      <c r="F6051" t="s">
        <v>19</v>
      </c>
      <c r="G6051" t="s">
        <v>23</v>
      </c>
      <c r="K6051" cm="1">
        <f t="array" ref="K6051">_xlfn.SWITCH(LeadsData[[#This Row],[Funnel Stage Reached]],"Lead",1,"MQL",2,"SQL",3,"Customer",4)</f>
        <v>2</v>
      </c>
      <c r="L6051" t="str">
        <f>TEXT(LeadsData[[#This Row],[Signup Date]],"mmm-yyyy")</f>
        <v>Oct-2024</v>
      </c>
      <c r="M6051">
        <f>IF(LeadsData[[#This Row],[Stage Number]]&gt;=2,1,0)</f>
        <v>1</v>
      </c>
      <c r="N6051" s="2">
        <f>IF(LeadsData[[#This Row],[Stage Number]]&gt;=3,1,0)</f>
        <v>0</v>
      </c>
      <c r="O6051" s="2">
        <f>IF(LeadsData[[#This Row],[Stage Number]]&gt;=4,1,0)</f>
        <v>0</v>
      </c>
    </row>
    <row r="6052" spans="1:15" x14ac:dyDescent="0.25">
      <c r="A6052" t="s">
        <v>6092</v>
      </c>
      <c r="B6052" s="1">
        <v>45350</v>
      </c>
      <c r="C6052" t="s">
        <v>25</v>
      </c>
      <c r="D6052" t="s">
        <v>26</v>
      </c>
      <c r="E6052" t="s">
        <v>21</v>
      </c>
      <c r="F6052" t="s">
        <v>19</v>
      </c>
      <c r="G6052" t="s">
        <v>15</v>
      </c>
      <c r="K6052" cm="1">
        <f t="array" ref="K6052">_xlfn.SWITCH(LeadsData[[#This Row],[Funnel Stage Reached]],"Lead",1,"MQL",2,"SQL",3,"Customer",4)</f>
        <v>1</v>
      </c>
      <c r="L6052" t="str">
        <f>TEXT(LeadsData[[#This Row],[Signup Date]],"mmm-yyyy")</f>
        <v>Feb-2024</v>
      </c>
      <c r="M6052">
        <f>IF(LeadsData[[#This Row],[Stage Number]]&gt;=2,1,0)</f>
        <v>0</v>
      </c>
      <c r="N6052" s="2">
        <f>IF(LeadsData[[#This Row],[Stage Number]]&gt;=3,1,0)</f>
        <v>0</v>
      </c>
      <c r="O6052" s="2">
        <f>IF(LeadsData[[#This Row],[Stage Number]]&gt;=4,1,0)</f>
        <v>0</v>
      </c>
    </row>
    <row r="6053" spans="1:15" x14ac:dyDescent="0.25">
      <c r="A6053" t="s">
        <v>6093</v>
      </c>
      <c r="B6053" s="1">
        <v>45333</v>
      </c>
      <c r="C6053" t="s">
        <v>36</v>
      </c>
      <c r="D6053" t="s">
        <v>50</v>
      </c>
      <c r="E6053" t="s">
        <v>21</v>
      </c>
      <c r="F6053" t="s">
        <v>22</v>
      </c>
      <c r="G6053" t="s">
        <v>29</v>
      </c>
      <c r="K6053" cm="1">
        <f t="array" ref="K6053">_xlfn.SWITCH(LeadsData[[#This Row],[Funnel Stage Reached]],"Lead",1,"MQL",2,"SQL",3,"Customer",4)</f>
        <v>3</v>
      </c>
      <c r="L6053" t="str">
        <f>TEXT(LeadsData[[#This Row],[Signup Date]],"mmm-yyyy")</f>
        <v>Feb-2024</v>
      </c>
      <c r="M6053">
        <f>IF(LeadsData[[#This Row],[Stage Number]]&gt;=2,1,0)</f>
        <v>1</v>
      </c>
      <c r="N6053" s="2">
        <f>IF(LeadsData[[#This Row],[Stage Number]]&gt;=3,1,0)</f>
        <v>1</v>
      </c>
      <c r="O6053" s="2">
        <f>IF(LeadsData[[#This Row],[Stage Number]]&gt;=4,1,0)</f>
        <v>0</v>
      </c>
    </row>
    <row r="6054" spans="1:15" x14ac:dyDescent="0.25">
      <c r="A6054" t="s">
        <v>6094</v>
      </c>
      <c r="B6054" s="1">
        <v>45632</v>
      </c>
      <c r="C6054" t="s">
        <v>46</v>
      </c>
      <c r="D6054" t="s">
        <v>47</v>
      </c>
      <c r="E6054" t="s">
        <v>13</v>
      </c>
      <c r="F6054" t="s">
        <v>19</v>
      </c>
      <c r="G6054" t="s">
        <v>15</v>
      </c>
      <c r="K6054" cm="1">
        <f t="array" ref="K6054">_xlfn.SWITCH(LeadsData[[#This Row],[Funnel Stage Reached]],"Lead",1,"MQL",2,"SQL",3,"Customer",4)</f>
        <v>1</v>
      </c>
      <c r="L6054" t="str">
        <f>TEXT(LeadsData[[#This Row],[Signup Date]],"mmm-yyyy")</f>
        <v>Dec-2024</v>
      </c>
      <c r="M6054">
        <f>IF(LeadsData[[#This Row],[Stage Number]]&gt;=2,1,0)</f>
        <v>0</v>
      </c>
      <c r="N6054" s="2">
        <f>IF(LeadsData[[#This Row],[Stage Number]]&gt;=3,1,0)</f>
        <v>0</v>
      </c>
      <c r="O6054" s="2">
        <f>IF(LeadsData[[#This Row],[Stage Number]]&gt;=4,1,0)</f>
        <v>0</v>
      </c>
    </row>
    <row r="6055" spans="1:15" x14ac:dyDescent="0.25">
      <c r="A6055" t="s">
        <v>6095</v>
      </c>
      <c r="B6055" s="1">
        <v>45398</v>
      </c>
      <c r="C6055" t="s">
        <v>46</v>
      </c>
      <c r="D6055" t="s">
        <v>47</v>
      </c>
      <c r="E6055" t="s">
        <v>13</v>
      </c>
      <c r="F6055" t="s">
        <v>22</v>
      </c>
      <c r="G6055" t="s">
        <v>15</v>
      </c>
      <c r="K6055" cm="1">
        <f t="array" ref="K6055">_xlfn.SWITCH(LeadsData[[#This Row],[Funnel Stage Reached]],"Lead",1,"MQL",2,"SQL",3,"Customer",4)</f>
        <v>1</v>
      </c>
      <c r="L6055" t="str">
        <f>TEXT(LeadsData[[#This Row],[Signup Date]],"mmm-yyyy")</f>
        <v>Apr-2024</v>
      </c>
      <c r="M6055">
        <f>IF(LeadsData[[#This Row],[Stage Number]]&gt;=2,1,0)</f>
        <v>0</v>
      </c>
      <c r="N6055" s="2">
        <f>IF(LeadsData[[#This Row],[Stage Number]]&gt;=3,1,0)</f>
        <v>0</v>
      </c>
      <c r="O6055" s="2">
        <f>IF(LeadsData[[#This Row],[Stage Number]]&gt;=4,1,0)</f>
        <v>0</v>
      </c>
    </row>
    <row r="6056" spans="1:15" x14ac:dyDescent="0.25">
      <c r="A6056" t="s">
        <v>6096</v>
      </c>
      <c r="B6056" s="1">
        <v>45367</v>
      </c>
      <c r="C6056" t="s">
        <v>31</v>
      </c>
      <c r="D6056" t="s">
        <v>32</v>
      </c>
      <c r="E6056" t="s">
        <v>21</v>
      </c>
      <c r="F6056" t="s">
        <v>14</v>
      </c>
      <c r="G6056" t="s">
        <v>15</v>
      </c>
      <c r="K6056" cm="1">
        <f t="array" ref="K6056">_xlfn.SWITCH(LeadsData[[#This Row],[Funnel Stage Reached]],"Lead",1,"MQL",2,"SQL",3,"Customer",4)</f>
        <v>1</v>
      </c>
      <c r="L6056" t="str">
        <f>TEXT(LeadsData[[#This Row],[Signup Date]],"mmm-yyyy")</f>
        <v>Mar-2024</v>
      </c>
      <c r="M6056">
        <f>IF(LeadsData[[#This Row],[Stage Number]]&gt;=2,1,0)</f>
        <v>0</v>
      </c>
      <c r="N6056" s="2">
        <f>IF(LeadsData[[#This Row],[Stage Number]]&gt;=3,1,0)</f>
        <v>0</v>
      </c>
      <c r="O6056" s="2">
        <f>IF(LeadsData[[#This Row],[Stage Number]]&gt;=4,1,0)</f>
        <v>0</v>
      </c>
    </row>
    <row r="6057" spans="1:15" x14ac:dyDescent="0.25">
      <c r="A6057" t="s">
        <v>6097</v>
      </c>
      <c r="B6057" s="1">
        <v>45324</v>
      </c>
      <c r="C6057" t="s">
        <v>46</v>
      </c>
      <c r="D6057" t="s">
        <v>47</v>
      </c>
      <c r="E6057" t="s">
        <v>21</v>
      </c>
      <c r="F6057" t="s">
        <v>19</v>
      </c>
      <c r="G6057" t="s">
        <v>15</v>
      </c>
      <c r="K6057" cm="1">
        <f t="array" ref="K6057">_xlfn.SWITCH(LeadsData[[#This Row],[Funnel Stage Reached]],"Lead",1,"MQL",2,"SQL",3,"Customer",4)</f>
        <v>1</v>
      </c>
      <c r="L6057" t="str">
        <f>TEXT(LeadsData[[#This Row],[Signup Date]],"mmm-yyyy")</f>
        <v>Feb-2024</v>
      </c>
      <c r="M6057">
        <f>IF(LeadsData[[#This Row],[Stage Number]]&gt;=2,1,0)</f>
        <v>0</v>
      </c>
      <c r="N6057" s="2">
        <f>IF(LeadsData[[#This Row],[Stage Number]]&gt;=3,1,0)</f>
        <v>0</v>
      </c>
      <c r="O6057" s="2">
        <f>IF(LeadsData[[#This Row],[Stage Number]]&gt;=4,1,0)</f>
        <v>0</v>
      </c>
    </row>
    <row r="6058" spans="1:15" x14ac:dyDescent="0.25">
      <c r="A6058" t="s">
        <v>6098</v>
      </c>
      <c r="B6058" s="1">
        <v>45553</v>
      </c>
      <c r="C6058" t="s">
        <v>11</v>
      </c>
      <c r="D6058" t="s">
        <v>79</v>
      </c>
      <c r="E6058" t="s">
        <v>21</v>
      </c>
      <c r="F6058" t="s">
        <v>19</v>
      </c>
      <c r="G6058" t="s">
        <v>15</v>
      </c>
      <c r="K6058" cm="1">
        <f t="array" ref="K6058">_xlfn.SWITCH(LeadsData[[#This Row],[Funnel Stage Reached]],"Lead",1,"MQL",2,"SQL",3,"Customer",4)</f>
        <v>1</v>
      </c>
      <c r="L6058" t="str">
        <f>TEXT(LeadsData[[#This Row],[Signup Date]],"mmm-yyyy")</f>
        <v>Sep-2024</v>
      </c>
      <c r="M6058">
        <f>IF(LeadsData[[#This Row],[Stage Number]]&gt;=2,1,0)</f>
        <v>0</v>
      </c>
      <c r="N6058" s="2">
        <f>IF(LeadsData[[#This Row],[Stage Number]]&gt;=3,1,0)</f>
        <v>0</v>
      </c>
      <c r="O6058" s="2">
        <f>IF(LeadsData[[#This Row],[Stage Number]]&gt;=4,1,0)</f>
        <v>0</v>
      </c>
    </row>
    <row r="6059" spans="1:15" x14ac:dyDescent="0.25">
      <c r="A6059" t="s">
        <v>6099</v>
      </c>
      <c r="B6059" s="1">
        <v>45394</v>
      </c>
      <c r="C6059" t="s">
        <v>25</v>
      </c>
      <c r="D6059" t="s">
        <v>26</v>
      </c>
      <c r="E6059" t="s">
        <v>21</v>
      </c>
      <c r="F6059" t="s">
        <v>22</v>
      </c>
      <c r="G6059" t="s">
        <v>23</v>
      </c>
      <c r="K6059" cm="1">
        <f t="array" ref="K6059">_xlfn.SWITCH(LeadsData[[#This Row],[Funnel Stage Reached]],"Lead",1,"MQL",2,"SQL",3,"Customer",4)</f>
        <v>2</v>
      </c>
      <c r="L6059" t="str">
        <f>TEXT(LeadsData[[#This Row],[Signup Date]],"mmm-yyyy")</f>
        <v>Apr-2024</v>
      </c>
      <c r="M6059">
        <f>IF(LeadsData[[#This Row],[Stage Number]]&gt;=2,1,0)</f>
        <v>1</v>
      </c>
      <c r="N6059" s="2">
        <f>IF(LeadsData[[#This Row],[Stage Number]]&gt;=3,1,0)</f>
        <v>0</v>
      </c>
      <c r="O6059" s="2">
        <f>IF(LeadsData[[#This Row],[Stage Number]]&gt;=4,1,0)</f>
        <v>0</v>
      </c>
    </row>
    <row r="6060" spans="1:15" x14ac:dyDescent="0.25">
      <c r="A6060" t="s">
        <v>6100</v>
      </c>
      <c r="B6060" s="1">
        <v>45478</v>
      </c>
      <c r="C6060" t="s">
        <v>46</v>
      </c>
      <c r="D6060" t="s">
        <v>56</v>
      </c>
      <c r="E6060" t="s">
        <v>13</v>
      </c>
      <c r="F6060" t="s">
        <v>19</v>
      </c>
      <c r="G6060" t="s">
        <v>15</v>
      </c>
      <c r="K6060" cm="1">
        <f t="array" ref="K6060">_xlfn.SWITCH(LeadsData[[#This Row],[Funnel Stage Reached]],"Lead",1,"MQL",2,"SQL",3,"Customer",4)</f>
        <v>1</v>
      </c>
      <c r="L6060" t="str">
        <f>TEXT(LeadsData[[#This Row],[Signup Date]],"mmm-yyyy")</f>
        <v>Jul-2024</v>
      </c>
      <c r="M6060">
        <f>IF(LeadsData[[#This Row],[Stage Number]]&gt;=2,1,0)</f>
        <v>0</v>
      </c>
      <c r="N6060" s="2">
        <f>IF(LeadsData[[#This Row],[Stage Number]]&gt;=3,1,0)</f>
        <v>0</v>
      </c>
      <c r="O6060" s="2">
        <f>IF(LeadsData[[#This Row],[Stage Number]]&gt;=4,1,0)</f>
        <v>0</v>
      </c>
    </row>
    <row r="6061" spans="1:15" x14ac:dyDescent="0.25">
      <c r="A6061" t="s">
        <v>6101</v>
      </c>
      <c r="B6061" s="1">
        <v>45393</v>
      </c>
      <c r="C6061" t="s">
        <v>25</v>
      </c>
      <c r="D6061" t="s">
        <v>26</v>
      </c>
      <c r="E6061" t="s">
        <v>13</v>
      </c>
      <c r="F6061" t="s">
        <v>22</v>
      </c>
      <c r="G6061" t="s">
        <v>15</v>
      </c>
      <c r="K6061" cm="1">
        <f t="array" ref="K6061">_xlfn.SWITCH(LeadsData[[#This Row],[Funnel Stage Reached]],"Lead",1,"MQL",2,"SQL",3,"Customer",4)</f>
        <v>1</v>
      </c>
      <c r="L6061" t="str">
        <f>TEXT(LeadsData[[#This Row],[Signup Date]],"mmm-yyyy")</f>
        <v>Apr-2024</v>
      </c>
      <c r="M6061">
        <f>IF(LeadsData[[#This Row],[Stage Number]]&gt;=2,1,0)</f>
        <v>0</v>
      </c>
      <c r="N6061" s="2">
        <f>IF(LeadsData[[#This Row],[Stage Number]]&gt;=3,1,0)</f>
        <v>0</v>
      </c>
      <c r="O6061" s="2">
        <f>IF(LeadsData[[#This Row],[Stage Number]]&gt;=4,1,0)</f>
        <v>0</v>
      </c>
    </row>
    <row r="6062" spans="1:15" x14ac:dyDescent="0.25">
      <c r="A6062" t="s">
        <v>6102</v>
      </c>
      <c r="B6062" s="1">
        <v>45352</v>
      </c>
      <c r="C6062" t="s">
        <v>36</v>
      </c>
      <c r="D6062" t="s">
        <v>37</v>
      </c>
      <c r="E6062" t="s">
        <v>21</v>
      </c>
      <c r="F6062" t="s">
        <v>28</v>
      </c>
      <c r="G6062" t="s">
        <v>15</v>
      </c>
      <c r="K6062" cm="1">
        <f t="array" ref="K6062">_xlfn.SWITCH(LeadsData[[#This Row],[Funnel Stage Reached]],"Lead",1,"MQL",2,"SQL",3,"Customer",4)</f>
        <v>1</v>
      </c>
      <c r="L6062" t="str">
        <f>TEXT(LeadsData[[#This Row],[Signup Date]],"mmm-yyyy")</f>
        <v>Mar-2024</v>
      </c>
      <c r="M6062">
        <f>IF(LeadsData[[#This Row],[Stage Number]]&gt;=2,1,0)</f>
        <v>0</v>
      </c>
      <c r="N6062" s="2">
        <f>IF(LeadsData[[#This Row],[Stage Number]]&gt;=3,1,0)</f>
        <v>0</v>
      </c>
      <c r="O6062" s="2">
        <f>IF(LeadsData[[#This Row],[Stage Number]]&gt;=4,1,0)</f>
        <v>0</v>
      </c>
    </row>
    <row r="6063" spans="1:15" x14ac:dyDescent="0.25">
      <c r="A6063" t="s">
        <v>6103</v>
      </c>
      <c r="B6063" s="1">
        <v>45324</v>
      </c>
      <c r="C6063" t="s">
        <v>25</v>
      </c>
      <c r="D6063" t="s">
        <v>26</v>
      </c>
      <c r="E6063" t="s">
        <v>13</v>
      </c>
      <c r="F6063" t="s">
        <v>22</v>
      </c>
      <c r="G6063" t="s">
        <v>15</v>
      </c>
      <c r="K6063" cm="1">
        <f t="array" ref="K6063">_xlfn.SWITCH(LeadsData[[#This Row],[Funnel Stage Reached]],"Lead",1,"MQL",2,"SQL",3,"Customer",4)</f>
        <v>1</v>
      </c>
      <c r="L6063" t="str">
        <f>TEXT(LeadsData[[#This Row],[Signup Date]],"mmm-yyyy")</f>
        <v>Feb-2024</v>
      </c>
      <c r="M6063">
        <f>IF(LeadsData[[#This Row],[Stage Number]]&gt;=2,1,0)</f>
        <v>0</v>
      </c>
      <c r="N6063" s="2">
        <f>IF(LeadsData[[#This Row],[Stage Number]]&gt;=3,1,0)</f>
        <v>0</v>
      </c>
      <c r="O6063" s="2">
        <f>IF(LeadsData[[#This Row],[Stage Number]]&gt;=4,1,0)</f>
        <v>0</v>
      </c>
    </row>
    <row r="6064" spans="1:15" x14ac:dyDescent="0.25">
      <c r="A6064" t="s">
        <v>6104</v>
      </c>
      <c r="B6064" s="1">
        <v>45589</v>
      </c>
      <c r="C6064" t="s">
        <v>11</v>
      </c>
      <c r="D6064" t="s">
        <v>12</v>
      </c>
      <c r="E6064" t="s">
        <v>13</v>
      </c>
      <c r="F6064" t="s">
        <v>19</v>
      </c>
      <c r="G6064" t="s">
        <v>15</v>
      </c>
      <c r="K6064" cm="1">
        <f t="array" ref="K6064">_xlfn.SWITCH(LeadsData[[#This Row],[Funnel Stage Reached]],"Lead",1,"MQL",2,"SQL",3,"Customer",4)</f>
        <v>1</v>
      </c>
      <c r="L6064" t="str">
        <f>TEXT(LeadsData[[#This Row],[Signup Date]],"mmm-yyyy")</f>
        <v>Oct-2024</v>
      </c>
      <c r="M6064">
        <f>IF(LeadsData[[#This Row],[Stage Number]]&gt;=2,1,0)</f>
        <v>0</v>
      </c>
      <c r="N6064" s="2">
        <f>IF(LeadsData[[#This Row],[Stage Number]]&gt;=3,1,0)</f>
        <v>0</v>
      </c>
      <c r="O6064" s="2">
        <f>IF(LeadsData[[#This Row],[Stage Number]]&gt;=4,1,0)</f>
        <v>0</v>
      </c>
    </row>
    <row r="6065" spans="1:15" x14ac:dyDescent="0.25">
      <c r="A6065" t="s">
        <v>6105</v>
      </c>
      <c r="B6065" s="1">
        <v>45316</v>
      </c>
      <c r="C6065" t="s">
        <v>25</v>
      </c>
      <c r="D6065" t="s">
        <v>26</v>
      </c>
      <c r="E6065" t="s">
        <v>13</v>
      </c>
      <c r="F6065" t="s">
        <v>22</v>
      </c>
      <c r="G6065" t="s">
        <v>15</v>
      </c>
      <c r="K6065" cm="1">
        <f t="array" ref="K6065">_xlfn.SWITCH(LeadsData[[#This Row],[Funnel Stage Reached]],"Lead",1,"MQL",2,"SQL",3,"Customer",4)</f>
        <v>1</v>
      </c>
      <c r="L6065" t="str">
        <f>TEXT(LeadsData[[#This Row],[Signup Date]],"mmm-yyyy")</f>
        <v>Jan-2024</v>
      </c>
      <c r="M6065">
        <f>IF(LeadsData[[#This Row],[Stage Number]]&gt;=2,1,0)</f>
        <v>0</v>
      </c>
      <c r="N6065" s="2">
        <f>IF(LeadsData[[#This Row],[Stage Number]]&gt;=3,1,0)</f>
        <v>0</v>
      </c>
      <c r="O6065" s="2">
        <f>IF(LeadsData[[#This Row],[Stage Number]]&gt;=4,1,0)</f>
        <v>0</v>
      </c>
    </row>
    <row r="6066" spans="1:15" x14ac:dyDescent="0.25">
      <c r="A6066" t="s">
        <v>6106</v>
      </c>
      <c r="B6066" s="1">
        <v>45613</v>
      </c>
      <c r="C6066" t="s">
        <v>31</v>
      </c>
      <c r="D6066" t="s">
        <v>32</v>
      </c>
      <c r="E6066" t="s">
        <v>21</v>
      </c>
      <c r="F6066" t="s">
        <v>19</v>
      </c>
      <c r="G6066" t="s">
        <v>15</v>
      </c>
      <c r="K6066" cm="1">
        <f t="array" ref="K6066">_xlfn.SWITCH(LeadsData[[#This Row],[Funnel Stage Reached]],"Lead",1,"MQL",2,"SQL",3,"Customer",4)</f>
        <v>1</v>
      </c>
      <c r="L6066" t="str">
        <f>TEXT(LeadsData[[#This Row],[Signup Date]],"mmm-yyyy")</f>
        <v>Nov-2024</v>
      </c>
      <c r="M6066">
        <f>IF(LeadsData[[#This Row],[Stage Number]]&gt;=2,1,0)</f>
        <v>0</v>
      </c>
      <c r="N6066" s="2">
        <f>IF(LeadsData[[#This Row],[Stage Number]]&gt;=3,1,0)</f>
        <v>0</v>
      </c>
      <c r="O6066" s="2">
        <f>IF(LeadsData[[#This Row],[Stage Number]]&gt;=4,1,0)</f>
        <v>0</v>
      </c>
    </row>
    <row r="6067" spans="1:15" x14ac:dyDescent="0.25">
      <c r="A6067" t="s">
        <v>6107</v>
      </c>
      <c r="B6067" s="1">
        <v>45637</v>
      </c>
      <c r="C6067" t="s">
        <v>17</v>
      </c>
      <c r="D6067" t="s">
        <v>53</v>
      </c>
      <c r="E6067" t="s">
        <v>13</v>
      </c>
      <c r="F6067" t="s">
        <v>19</v>
      </c>
      <c r="G6067" t="s">
        <v>15</v>
      </c>
      <c r="K6067" cm="1">
        <f t="array" ref="K6067">_xlfn.SWITCH(LeadsData[[#This Row],[Funnel Stage Reached]],"Lead",1,"MQL",2,"SQL",3,"Customer",4)</f>
        <v>1</v>
      </c>
      <c r="L6067" t="str">
        <f>TEXT(LeadsData[[#This Row],[Signup Date]],"mmm-yyyy")</f>
        <v>Dec-2024</v>
      </c>
      <c r="M6067">
        <f>IF(LeadsData[[#This Row],[Stage Number]]&gt;=2,1,0)</f>
        <v>0</v>
      </c>
      <c r="N6067" s="2">
        <f>IF(LeadsData[[#This Row],[Stage Number]]&gt;=3,1,0)</f>
        <v>0</v>
      </c>
      <c r="O6067" s="2">
        <f>IF(LeadsData[[#This Row],[Stage Number]]&gt;=4,1,0)</f>
        <v>0</v>
      </c>
    </row>
    <row r="6068" spans="1:15" x14ac:dyDescent="0.25">
      <c r="A6068" t="s">
        <v>6108</v>
      </c>
      <c r="B6068" s="1">
        <v>45516</v>
      </c>
      <c r="C6068" t="s">
        <v>11</v>
      </c>
      <c r="D6068" t="s">
        <v>79</v>
      </c>
      <c r="E6068" t="s">
        <v>13</v>
      </c>
      <c r="F6068" t="s">
        <v>19</v>
      </c>
      <c r="G6068" t="s">
        <v>15</v>
      </c>
      <c r="K6068" cm="1">
        <f t="array" ref="K6068">_xlfn.SWITCH(LeadsData[[#This Row],[Funnel Stage Reached]],"Lead",1,"MQL",2,"SQL",3,"Customer",4)</f>
        <v>1</v>
      </c>
      <c r="L6068" t="str">
        <f>TEXT(LeadsData[[#This Row],[Signup Date]],"mmm-yyyy")</f>
        <v>Aug-2024</v>
      </c>
      <c r="M6068">
        <f>IF(LeadsData[[#This Row],[Stage Number]]&gt;=2,1,0)</f>
        <v>0</v>
      </c>
      <c r="N6068" s="2">
        <f>IF(LeadsData[[#This Row],[Stage Number]]&gt;=3,1,0)</f>
        <v>0</v>
      </c>
      <c r="O6068" s="2">
        <f>IF(LeadsData[[#This Row],[Stage Number]]&gt;=4,1,0)</f>
        <v>0</v>
      </c>
    </row>
    <row r="6069" spans="1:15" x14ac:dyDescent="0.25">
      <c r="A6069" t="s">
        <v>6109</v>
      </c>
      <c r="B6069" s="1">
        <v>45649</v>
      </c>
      <c r="C6069" t="s">
        <v>17</v>
      </c>
      <c r="D6069" t="s">
        <v>53</v>
      </c>
      <c r="E6069" t="s">
        <v>21</v>
      </c>
      <c r="F6069" t="s">
        <v>19</v>
      </c>
      <c r="G6069" t="s">
        <v>15</v>
      </c>
      <c r="K6069" cm="1">
        <f t="array" ref="K6069">_xlfn.SWITCH(LeadsData[[#This Row],[Funnel Stage Reached]],"Lead",1,"MQL",2,"SQL",3,"Customer",4)</f>
        <v>1</v>
      </c>
      <c r="L6069" t="str">
        <f>TEXT(LeadsData[[#This Row],[Signup Date]],"mmm-yyyy")</f>
        <v>Dec-2024</v>
      </c>
      <c r="M6069">
        <f>IF(LeadsData[[#This Row],[Stage Number]]&gt;=2,1,0)</f>
        <v>0</v>
      </c>
      <c r="N6069" s="2">
        <f>IF(LeadsData[[#This Row],[Stage Number]]&gt;=3,1,0)</f>
        <v>0</v>
      </c>
      <c r="O6069" s="2">
        <f>IF(LeadsData[[#This Row],[Stage Number]]&gt;=4,1,0)</f>
        <v>0</v>
      </c>
    </row>
    <row r="6070" spans="1:15" x14ac:dyDescent="0.25">
      <c r="A6070" t="s">
        <v>6110</v>
      </c>
      <c r="B6070" s="1">
        <v>45585</v>
      </c>
      <c r="C6070" t="s">
        <v>11</v>
      </c>
      <c r="D6070" t="s">
        <v>12</v>
      </c>
      <c r="E6070" t="s">
        <v>13</v>
      </c>
      <c r="F6070" t="s">
        <v>19</v>
      </c>
      <c r="G6070" t="s">
        <v>15</v>
      </c>
      <c r="K6070" cm="1">
        <f t="array" ref="K6070">_xlfn.SWITCH(LeadsData[[#This Row],[Funnel Stage Reached]],"Lead",1,"MQL",2,"SQL",3,"Customer",4)</f>
        <v>1</v>
      </c>
      <c r="L6070" t="str">
        <f>TEXT(LeadsData[[#This Row],[Signup Date]],"mmm-yyyy")</f>
        <v>Oct-2024</v>
      </c>
      <c r="M6070">
        <f>IF(LeadsData[[#This Row],[Stage Number]]&gt;=2,1,0)</f>
        <v>0</v>
      </c>
      <c r="N6070" s="2">
        <f>IF(LeadsData[[#This Row],[Stage Number]]&gt;=3,1,0)</f>
        <v>0</v>
      </c>
      <c r="O6070" s="2">
        <f>IF(LeadsData[[#This Row],[Stage Number]]&gt;=4,1,0)</f>
        <v>0</v>
      </c>
    </row>
    <row r="6071" spans="1:15" x14ac:dyDescent="0.25">
      <c r="A6071" t="s">
        <v>6111</v>
      </c>
      <c r="B6071" s="1">
        <v>45584</v>
      </c>
      <c r="C6071" t="s">
        <v>17</v>
      </c>
      <c r="D6071" t="s">
        <v>18</v>
      </c>
      <c r="E6071" t="s">
        <v>13</v>
      </c>
      <c r="F6071" t="s">
        <v>14</v>
      </c>
      <c r="G6071" t="s">
        <v>15</v>
      </c>
      <c r="K6071" cm="1">
        <f t="array" ref="K6071">_xlfn.SWITCH(LeadsData[[#This Row],[Funnel Stage Reached]],"Lead",1,"MQL",2,"SQL",3,"Customer",4)</f>
        <v>1</v>
      </c>
      <c r="L6071" t="str">
        <f>TEXT(LeadsData[[#This Row],[Signup Date]],"mmm-yyyy")</f>
        <v>Oct-2024</v>
      </c>
      <c r="M6071">
        <f>IF(LeadsData[[#This Row],[Stage Number]]&gt;=2,1,0)</f>
        <v>0</v>
      </c>
      <c r="N6071" s="2">
        <f>IF(LeadsData[[#This Row],[Stage Number]]&gt;=3,1,0)</f>
        <v>0</v>
      </c>
      <c r="O6071" s="2">
        <f>IF(LeadsData[[#This Row],[Stage Number]]&gt;=4,1,0)</f>
        <v>0</v>
      </c>
    </row>
    <row r="6072" spans="1:15" x14ac:dyDescent="0.25">
      <c r="A6072" t="s">
        <v>6112</v>
      </c>
      <c r="B6072" s="1">
        <v>45558</v>
      </c>
      <c r="C6072" t="s">
        <v>11</v>
      </c>
      <c r="D6072" t="s">
        <v>68</v>
      </c>
      <c r="E6072" t="s">
        <v>21</v>
      </c>
      <c r="F6072" t="s">
        <v>22</v>
      </c>
      <c r="G6072" t="s">
        <v>15</v>
      </c>
      <c r="K6072" cm="1">
        <f t="array" ref="K6072">_xlfn.SWITCH(LeadsData[[#This Row],[Funnel Stage Reached]],"Lead",1,"MQL",2,"SQL",3,"Customer",4)</f>
        <v>1</v>
      </c>
      <c r="L6072" t="str">
        <f>TEXT(LeadsData[[#This Row],[Signup Date]],"mmm-yyyy")</f>
        <v>Sep-2024</v>
      </c>
      <c r="M6072">
        <f>IF(LeadsData[[#This Row],[Stage Number]]&gt;=2,1,0)</f>
        <v>0</v>
      </c>
      <c r="N6072" s="2">
        <f>IF(LeadsData[[#This Row],[Stage Number]]&gt;=3,1,0)</f>
        <v>0</v>
      </c>
      <c r="O6072" s="2">
        <f>IF(LeadsData[[#This Row],[Stage Number]]&gt;=4,1,0)</f>
        <v>0</v>
      </c>
    </row>
    <row r="6073" spans="1:15" x14ac:dyDescent="0.25">
      <c r="A6073" t="s">
        <v>6113</v>
      </c>
      <c r="B6073" s="1">
        <v>45524</v>
      </c>
      <c r="C6073" t="s">
        <v>46</v>
      </c>
      <c r="D6073" t="s">
        <v>56</v>
      </c>
      <c r="E6073" t="s">
        <v>21</v>
      </c>
      <c r="F6073" t="s">
        <v>19</v>
      </c>
      <c r="G6073" t="s">
        <v>15</v>
      </c>
      <c r="K6073" cm="1">
        <f t="array" ref="K6073">_xlfn.SWITCH(LeadsData[[#This Row],[Funnel Stage Reached]],"Lead",1,"MQL",2,"SQL",3,"Customer",4)</f>
        <v>1</v>
      </c>
      <c r="L6073" t="str">
        <f>TEXT(LeadsData[[#This Row],[Signup Date]],"mmm-yyyy")</f>
        <v>Aug-2024</v>
      </c>
      <c r="M6073">
        <f>IF(LeadsData[[#This Row],[Stage Number]]&gt;=2,1,0)</f>
        <v>0</v>
      </c>
      <c r="N6073" s="2">
        <f>IF(LeadsData[[#This Row],[Stage Number]]&gt;=3,1,0)</f>
        <v>0</v>
      </c>
      <c r="O6073" s="2">
        <f>IF(LeadsData[[#This Row],[Stage Number]]&gt;=4,1,0)</f>
        <v>0</v>
      </c>
    </row>
    <row r="6074" spans="1:15" x14ac:dyDescent="0.25">
      <c r="A6074" t="s">
        <v>6114</v>
      </c>
      <c r="B6074" s="1">
        <v>45545</v>
      </c>
      <c r="C6074" t="s">
        <v>17</v>
      </c>
      <c r="D6074" t="s">
        <v>53</v>
      </c>
      <c r="E6074" t="s">
        <v>21</v>
      </c>
      <c r="F6074" t="s">
        <v>28</v>
      </c>
      <c r="G6074" t="s">
        <v>29</v>
      </c>
      <c r="K6074" cm="1">
        <f t="array" ref="K6074">_xlfn.SWITCH(LeadsData[[#This Row],[Funnel Stage Reached]],"Lead",1,"MQL",2,"SQL",3,"Customer",4)</f>
        <v>3</v>
      </c>
      <c r="L6074" t="str">
        <f>TEXT(LeadsData[[#This Row],[Signup Date]],"mmm-yyyy")</f>
        <v>Sep-2024</v>
      </c>
      <c r="M6074">
        <f>IF(LeadsData[[#This Row],[Stage Number]]&gt;=2,1,0)</f>
        <v>1</v>
      </c>
      <c r="N6074" s="2">
        <f>IF(LeadsData[[#This Row],[Stage Number]]&gt;=3,1,0)</f>
        <v>1</v>
      </c>
      <c r="O6074" s="2">
        <f>IF(LeadsData[[#This Row],[Stage Number]]&gt;=4,1,0)</f>
        <v>0</v>
      </c>
    </row>
    <row r="6075" spans="1:15" x14ac:dyDescent="0.25">
      <c r="A6075" t="s">
        <v>6115</v>
      </c>
      <c r="B6075" s="1">
        <v>45522</v>
      </c>
      <c r="C6075" t="s">
        <v>17</v>
      </c>
      <c r="D6075" t="s">
        <v>53</v>
      </c>
      <c r="E6075" t="s">
        <v>13</v>
      </c>
      <c r="F6075" t="s">
        <v>19</v>
      </c>
      <c r="G6075" t="s">
        <v>23</v>
      </c>
      <c r="K6075" cm="1">
        <f t="array" ref="K6075">_xlfn.SWITCH(LeadsData[[#This Row],[Funnel Stage Reached]],"Lead",1,"MQL",2,"SQL",3,"Customer",4)</f>
        <v>2</v>
      </c>
      <c r="L6075" t="str">
        <f>TEXT(LeadsData[[#This Row],[Signup Date]],"mmm-yyyy")</f>
        <v>Aug-2024</v>
      </c>
      <c r="M6075">
        <f>IF(LeadsData[[#This Row],[Stage Number]]&gt;=2,1,0)</f>
        <v>1</v>
      </c>
      <c r="N6075" s="2">
        <f>IF(LeadsData[[#This Row],[Stage Number]]&gt;=3,1,0)</f>
        <v>0</v>
      </c>
      <c r="O6075" s="2">
        <f>IF(LeadsData[[#This Row],[Stage Number]]&gt;=4,1,0)</f>
        <v>0</v>
      </c>
    </row>
    <row r="6076" spans="1:15" x14ac:dyDescent="0.25">
      <c r="A6076" t="s">
        <v>6116</v>
      </c>
      <c r="B6076" s="1">
        <v>45642</v>
      </c>
      <c r="C6076" t="s">
        <v>36</v>
      </c>
      <c r="D6076" t="s">
        <v>50</v>
      </c>
      <c r="E6076" t="s">
        <v>21</v>
      </c>
      <c r="F6076" t="s">
        <v>19</v>
      </c>
      <c r="G6076" t="s">
        <v>29</v>
      </c>
      <c r="K6076" cm="1">
        <f t="array" ref="K6076">_xlfn.SWITCH(LeadsData[[#This Row],[Funnel Stage Reached]],"Lead",1,"MQL",2,"SQL",3,"Customer",4)</f>
        <v>3</v>
      </c>
      <c r="L6076" t="str">
        <f>TEXT(LeadsData[[#This Row],[Signup Date]],"mmm-yyyy")</f>
        <v>Dec-2024</v>
      </c>
      <c r="M6076">
        <f>IF(LeadsData[[#This Row],[Stage Number]]&gt;=2,1,0)</f>
        <v>1</v>
      </c>
      <c r="N6076" s="2">
        <f>IF(LeadsData[[#This Row],[Stage Number]]&gt;=3,1,0)</f>
        <v>1</v>
      </c>
      <c r="O6076" s="2">
        <f>IF(LeadsData[[#This Row],[Stage Number]]&gt;=4,1,0)</f>
        <v>0</v>
      </c>
    </row>
    <row r="6077" spans="1:15" x14ac:dyDescent="0.25">
      <c r="A6077" t="s">
        <v>6117</v>
      </c>
      <c r="B6077" s="1">
        <v>45343</v>
      </c>
      <c r="C6077" t="s">
        <v>31</v>
      </c>
      <c r="D6077" t="s">
        <v>32</v>
      </c>
      <c r="E6077" t="s">
        <v>21</v>
      </c>
      <c r="F6077" t="s">
        <v>22</v>
      </c>
      <c r="G6077" t="s">
        <v>15</v>
      </c>
      <c r="K6077" cm="1">
        <f t="array" ref="K6077">_xlfn.SWITCH(LeadsData[[#This Row],[Funnel Stage Reached]],"Lead",1,"MQL",2,"SQL",3,"Customer",4)</f>
        <v>1</v>
      </c>
      <c r="L6077" t="str">
        <f>TEXT(LeadsData[[#This Row],[Signup Date]],"mmm-yyyy")</f>
        <v>Feb-2024</v>
      </c>
      <c r="M6077">
        <f>IF(LeadsData[[#This Row],[Stage Number]]&gt;=2,1,0)</f>
        <v>0</v>
      </c>
      <c r="N6077" s="2">
        <f>IF(LeadsData[[#This Row],[Stage Number]]&gt;=3,1,0)</f>
        <v>0</v>
      </c>
      <c r="O6077" s="2">
        <f>IF(LeadsData[[#This Row],[Stage Number]]&gt;=4,1,0)</f>
        <v>0</v>
      </c>
    </row>
    <row r="6078" spans="1:15" x14ac:dyDescent="0.25">
      <c r="A6078" t="s">
        <v>6118</v>
      </c>
      <c r="B6078" s="1">
        <v>45543</v>
      </c>
      <c r="C6078" t="s">
        <v>17</v>
      </c>
      <c r="D6078" t="s">
        <v>53</v>
      </c>
      <c r="E6078" t="s">
        <v>21</v>
      </c>
      <c r="F6078" t="s">
        <v>19</v>
      </c>
      <c r="G6078" t="s">
        <v>15</v>
      </c>
      <c r="K6078" cm="1">
        <f t="array" ref="K6078">_xlfn.SWITCH(LeadsData[[#This Row],[Funnel Stage Reached]],"Lead",1,"MQL",2,"SQL",3,"Customer",4)</f>
        <v>1</v>
      </c>
      <c r="L6078" t="str">
        <f>TEXT(LeadsData[[#This Row],[Signup Date]],"mmm-yyyy")</f>
        <v>Sep-2024</v>
      </c>
      <c r="M6078">
        <f>IF(LeadsData[[#This Row],[Stage Number]]&gt;=2,1,0)</f>
        <v>0</v>
      </c>
      <c r="N6078" s="2">
        <f>IF(LeadsData[[#This Row],[Stage Number]]&gt;=3,1,0)</f>
        <v>0</v>
      </c>
      <c r="O6078" s="2">
        <f>IF(LeadsData[[#This Row],[Stage Number]]&gt;=4,1,0)</f>
        <v>0</v>
      </c>
    </row>
    <row r="6079" spans="1:15" x14ac:dyDescent="0.25">
      <c r="A6079" t="s">
        <v>6119</v>
      </c>
      <c r="B6079" s="1">
        <v>45423</v>
      </c>
      <c r="C6079" t="s">
        <v>11</v>
      </c>
      <c r="D6079" t="s">
        <v>12</v>
      </c>
      <c r="E6079" t="s">
        <v>21</v>
      </c>
      <c r="F6079" t="s">
        <v>22</v>
      </c>
      <c r="G6079" t="s">
        <v>15</v>
      </c>
      <c r="K6079" cm="1">
        <f t="array" ref="K6079">_xlfn.SWITCH(LeadsData[[#This Row],[Funnel Stage Reached]],"Lead",1,"MQL",2,"SQL",3,"Customer",4)</f>
        <v>1</v>
      </c>
      <c r="L6079" t="str">
        <f>TEXT(LeadsData[[#This Row],[Signup Date]],"mmm-yyyy")</f>
        <v>May-2024</v>
      </c>
      <c r="M6079">
        <f>IF(LeadsData[[#This Row],[Stage Number]]&gt;=2,1,0)</f>
        <v>0</v>
      </c>
      <c r="N6079" s="2">
        <f>IF(LeadsData[[#This Row],[Stage Number]]&gt;=3,1,0)</f>
        <v>0</v>
      </c>
      <c r="O6079" s="2">
        <f>IF(LeadsData[[#This Row],[Stage Number]]&gt;=4,1,0)</f>
        <v>0</v>
      </c>
    </row>
    <row r="6080" spans="1:15" x14ac:dyDescent="0.25">
      <c r="A6080" t="s">
        <v>6120</v>
      </c>
      <c r="B6080" s="1">
        <v>45593</v>
      </c>
      <c r="C6080" t="s">
        <v>25</v>
      </c>
      <c r="D6080" t="s">
        <v>26</v>
      </c>
      <c r="E6080" t="s">
        <v>21</v>
      </c>
      <c r="F6080" t="s">
        <v>19</v>
      </c>
      <c r="G6080" t="s">
        <v>15</v>
      </c>
      <c r="K6080" cm="1">
        <f t="array" ref="K6080">_xlfn.SWITCH(LeadsData[[#This Row],[Funnel Stage Reached]],"Lead",1,"MQL",2,"SQL",3,"Customer",4)</f>
        <v>1</v>
      </c>
      <c r="L6080" t="str">
        <f>TEXT(LeadsData[[#This Row],[Signup Date]],"mmm-yyyy")</f>
        <v>Oct-2024</v>
      </c>
      <c r="M6080">
        <f>IF(LeadsData[[#This Row],[Stage Number]]&gt;=2,1,0)</f>
        <v>0</v>
      </c>
      <c r="N6080" s="2">
        <f>IF(LeadsData[[#This Row],[Stage Number]]&gt;=3,1,0)</f>
        <v>0</v>
      </c>
      <c r="O6080" s="2">
        <f>IF(LeadsData[[#This Row],[Stage Number]]&gt;=4,1,0)</f>
        <v>0</v>
      </c>
    </row>
    <row r="6081" spans="1:15" x14ac:dyDescent="0.25">
      <c r="A6081" t="s">
        <v>6121</v>
      </c>
      <c r="B6081" s="1">
        <v>45465</v>
      </c>
      <c r="C6081" t="s">
        <v>36</v>
      </c>
      <c r="D6081" t="s">
        <v>37</v>
      </c>
      <c r="E6081" t="s">
        <v>13</v>
      </c>
      <c r="F6081" t="s">
        <v>19</v>
      </c>
      <c r="G6081" t="s">
        <v>23</v>
      </c>
      <c r="K6081" cm="1">
        <f t="array" ref="K6081">_xlfn.SWITCH(LeadsData[[#This Row],[Funnel Stage Reached]],"Lead",1,"MQL",2,"SQL",3,"Customer",4)</f>
        <v>2</v>
      </c>
      <c r="L6081" t="str">
        <f>TEXT(LeadsData[[#This Row],[Signup Date]],"mmm-yyyy")</f>
        <v>Jun-2024</v>
      </c>
      <c r="M6081">
        <f>IF(LeadsData[[#This Row],[Stage Number]]&gt;=2,1,0)</f>
        <v>1</v>
      </c>
      <c r="N6081" s="2">
        <f>IF(LeadsData[[#This Row],[Stage Number]]&gt;=3,1,0)</f>
        <v>0</v>
      </c>
      <c r="O6081" s="2">
        <f>IF(LeadsData[[#This Row],[Stage Number]]&gt;=4,1,0)</f>
        <v>0</v>
      </c>
    </row>
    <row r="6082" spans="1:15" x14ac:dyDescent="0.25">
      <c r="A6082" t="s">
        <v>6122</v>
      </c>
      <c r="B6082" s="1">
        <v>45401</v>
      </c>
      <c r="C6082" t="s">
        <v>31</v>
      </c>
      <c r="D6082" t="s">
        <v>34</v>
      </c>
      <c r="E6082" t="s">
        <v>13</v>
      </c>
      <c r="F6082" t="s">
        <v>22</v>
      </c>
      <c r="G6082" t="s">
        <v>15</v>
      </c>
      <c r="K6082" cm="1">
        <f t="array" ref="K6082">_xlfn.SWITCH(LeadsData[[#This Row],[Funnel Stage Reached]],"Lead",1,"MQL",2,"SQL",3,"Customer",4)</f>
        <v>1</v>
      </c>
      <c r="L6082" t="str">
        <f>TEXT(LeadsData[[#This Row],[Signup Date]],"mmm-yyyy")</f>
        <v>Apr-2024</v>
      </c>
      <c r="M6082">
        <f>IF(LeadsData[[#This Row],[Stage Number]]&gt;=2,1,0)</f>
        <v>0</v>
      </c>
      <c r="N6082" s="2">
        <f>IF(LeadsData[[#This Row],[Stage Number]]&gt;=3,1,0)</f>
        <v>0</v>
      </c>
      <c r="O6082" s="2">
        <f>IF(LeadsData[[#This Row],[Stage Number]]&gt;=4,1,0)</f>
        <v>0</v>
      </c>
    </row>
    <row r="6083" spans="1:15" x14ac:dyDescent="0.25">
      <c r="A6083" t="s">
        <v>6123</v>
      </c>
      <c r="B6083" s="1">
        <v>45488</v>
      </c>
      <c r="C6083" t="s">
        <v>25</v>
      </c>
      <c r="D6083" t="s">
        <v>26</v>
      </c>
      <c r="E6083" t="s">
        <v>21</v>
      </c>
      <c r="F6083" t="s">
        <v>19</v>
      </c>
      <c r="G6083" t="s">
        <v>15</v>
      </c>
      <c r="K6083" cm="1">
        <f t="array" ref="K6083">_xlfn.SWITCH(LeadsData[[#This Row],[Funnel Stage Reached]],"Lead",1,"MQL",2,"SQL",3,"Customer",4)</f>
        <v>1</v>
      </c>
      <c r="L6083" t="str">
        <f>TEXT(LeadsData[[#This Row],[Signup Date]],"mmm-yyyy")</f>
        <v>Jul-2024</v>
      </c>
      <c r="M6083">
        <f>IF(LeadsData[[#This Row],[Stage Number]]&gt;=2,1,0)</f>
        <v>0</v>
      </c>
      <c r="N6083" s="2">
        <f>IF(LeadsData[[#This Row],[Stage Number]]&gt;=3,1,0)</f>
        <v>0</v>
      </c>
      <c r="O6083" s="2">
        <f>IF(LeadsData[[#This Row],[Stage Number]]&gt;=4,1,0)</f>
        <v>0</v>
      </c>
    </row>
    <row r="6084" spans="1:15" x14ac:dyDescent="0.25">
      <c r="A6084" t="s">
        <v>6124</v>
      </c>
      <c r="B6084" s="1">
        <v>45487</v>
      </c>
      <c r="C6084" t="s">
        <v>17</v>
      </c>
      <c r="D6084" t="s">
        <v>18</v>
      </c>
      <c r="E6084" t="s">
        <v>21</v>
      </c>
      <c r="F6084" t="s">
        <v>14</v>
      </c>
      <c r="G6084" t="s">
        <v>23</v>
      </c>
      <c r="K6084" cm="1">
        <f t="array" ref="K6084">_xlfn.SWITCH(LeadsData[[#This Row],[Funnel Stage Reached]],"Lead",1,"MQL",2,"SQL",3,"Customer",4)</f>
        <v>2</v>
      </c>
      <c r="L6084" t="str">
        <f>TEXT(LeadsData[[#This Row],[Signup Date]],"mmm-yyyy")</f>
        <v>Jul-2024</v>
      </c>
      <c r="M6084">
        <f>IF(LeadsData[[#This Row],[Stage Number]]&gt;=2,1,0)</f>
        <v>1</v>
      </c>
      <c r="N6084" s="2">
        <f>IF(LeadsData[[#This Row],[Stage Number]]&gt;=3,1,0)</f>
        <v>0</v>
      </c>
      <c r="O6084" s="2">
        <f>IF(LeadsData[[#This Row],[Stage Number]]&gt;=4,1,0)</f>
        <v>0</v>
      </c>
    </row>
    <row r="6085" spans="1:15" x14ac:dyDescent="0.25">
      <c r="A6085" t="s">
        <v>6125</v>
      </c>
      <c r="B6085" s="1">
        <v>45383</v>
      </c>
      <c r="C6085" t="s">
        <v>31</v>
      </c>
      <c r="D6085" t="s">
        <v>34</v>
      </c>
      <c r="E6085" t="s">
        <v>21</v>
      </c>
      <c r="F6085" t="s">
        <v>22</v>
      </c>
      <c r="G6085" t="s">
        <v>15</v>
      </c>
      <c r="K6085" cm="1">
        <f t="array" ref="K6085">_xlfn.SWITCH(LeadsData[[#This Row],[Funnel Stage Reached]],"Lead",1,"MQL",2,"SQL",3,"Customer",4)</f>
        <v>1</v>
      </c>
      <c r="L6085" t="str">
        <f>TEXT(LeadsData[[#This Row],[Signup Date]],"mmm-yyyy")</f>
        <v>Apr-2024</v>
      </c>
      <c r="M6085">
        <f>IF(LeadsData[[#This Row],[Stage Number]]&gt;=2,1,0)</f>
        <v>0</v>
      </c>
      <c r="N6085" s="2">
        <f>IF(LeadsData[[#This Row],[Stage Number]]&gt;=3,1,0)</f>
        <v>0</v>
      </c>
      <c r="O6085" s="2">
        <f>IF(LeadsData[[#This Row],[Stage Number]]&gt;=4,1,0)</f>
        <v>0</v>
      </c>
    </row>
    <row r="6086" spans="1:15" x14ac:dyDescent="0.25">
      <c r="A6086" t="s">
        <v>6126</v>
      </c>
      <c r="B6086" s="1">
        <v>45377</v>
      </c>
      <c r="C6086" t="s">
        <v>11</v>
      </c>
      <c r="D6086" t="s">
        <v>79</v>
      </c>
      <c r="E6086" t="s">
        <v>21</v>
      </c>
      <c r="F6086" t="s">
        <v>28</v>
      </c>
      <c r="G6086" t="s">
        <v>15</v>
      </c>
      <c r="K6086" cm="1">
        <f t="array" ref="K6086">_xlfn.SWITCH(LeadsData[[#This Row],[Funnel Stage Reached]],"Lead",1,"MQL",2,"SQL",3,"Customer",4)</f>
        <v>1</v>
      </c>
      <c r="L6086" t="str">
        <f>TEXT(LeadsData[[#This Row],[Signup Date]],"mmm-yyyy")</f>
        <v>Mar-2024</v>
      </c>
      <c r="M6086">
        <f>IF(LeadsData[[#This Row],[Stage Number]]&gt;=2,1,0)</f>
        <v>0</v>
      </c>
      <c r="N6086" s="2">
        <f>IF(LeadsData[[#This Row],[Stage Number]]&gt;=3,1,0)</f>
        <v>0</v>
      </c>
      <c r="O6086" s="2">
        <f>IF(LeadsData[[#This Row],[Stage Number]]&gt;=4,1,0)</f>
        <v>0</v>
      </c>
    </row>
    <row r="6087" spans="1:15" x14ac:dyDescent="0.25">
      <c r="A6087" t="s">
        <v>6127</v>
      </c>
      <c r="B6087" s="1">
        <v>45362</v>
      </c>
      <c r="C6087" t="s">
        <v>36</v>
      </c>
      <c r="D6087" t="s">
        <v>50</v>
      </c>
      <c r="E6087" t="s">
        <v>21</v>
      </c>
      <c r="F6087" t="s">
        <v>19</v>
      </c>
      <c r="G6087" t="s">
        <v>15</v>
      </c>
      <c r="K6087" cm="1">
        <f t="array" ref="K6087">_xlfn.SWITCH(LeadsData[[#This Row],[Funnel Stage Reached]],"Lead",1,"MQL",2,"SQL",3,"Customer",4)</f>
        <v>1</v>
      </c>
      <c r="L6087" t="str">
        <f>TEXT(LeadsData[[#This Row],[Signup Date]],"mmm-yyyy")</f>
        <v>Mar-2024</v>
      </c>
      <c r="M6087">
        <f>IF(LeadsData[[#This Row],[Stage Number]]&gt;=2,1,0)</f>
        <v>0</v>
      </c>
      <c r="N6087" s="2">
        <f>IF(LeadsData[[#This Row],[Stage Number]]&gt;=3,1,0)</f>
        <v>0</v>
      </c>
      <c r="O6087" s="2">
        <f>IF(LeadsData[[#This Row],[Stage Number]]&gt;=4,1,0)</f>
        <v>0</v>
      </c>
    </row>
    <row r="6088" spans="1:15" x14ac:dyDescent="0.25">
      <c r="A6088" t="s">
        <v>6128</v>
      </c>
      <c r="B6088" s="1">
        <v>45540</v>
      </c>
      <c r="C6088" t="s">
        <v>31</v>
      </c>
      <c r="D6088" t="s">
        <v>32</v>
      </c>
      <c r="E6088" t="s">
        <v>21</v>
      </c>
      <c r="F6088" t="s">
        <v>14</v>
      </c>
      <c r="G6088" t="s">
        <v>23</v>
      </c>
      <c r="K6088" cm="1">
        <f t="array" ref="K6088">_xlfn.SWITCH(LeadsData[[#This Row],[Funnel Stage Reached]],"Lead",1,"MQL",2,"SQL",3,"Customer",4)</f>
        <v>2</v>
      </c>
      <c r="L6088" t="str">
        <f>TEXT(LeadsData[[#This Row],[Signup Date]],"mmm-yyyy")</f>
        <v>Sep-2024</v>
      </c>
      <c r="M6088">
        <f>IF(LeadsData[[#This Row],[Stage Number]]&gt;=2,1,0)</f>
        <v>1</v>
      </c>
      <c r="N6088" s="2">
        <f>IF(LeadsData[[#This Row],[Stage Number]]&gt;=3,1,0)</f>
        <v>0</v>
      </c>
      <c r="O6088" s="2">
        <f>IF(LeadsData[[#This Row],[Stage Number]]&gt;=4,1,0)</f>
        <v>0</v>
      </c>
    </row>
    <row r="6089" spans="1:15" x14ac:dyDescent="0.25">
      <c r="A6089" t="s">
        <v>6129</v>
      </c>
      <c r="B6089" s="1">
        <v>45347</v>
      </c>
      <c r="C6089" t="s">
        <v>46</v>
      </c>
      <c r="D6089" t="s">
        <v>47</v>
      </c>
      <c r="E6089" t="s">
        <v>13</v>
      </c>
      <c r="F6089" t="s">
        <v>22</v>
      </c>
      <c r="G6089" t="s">
        <v>15</v>
      </c>
      <c r="K6089" cm="1">
        <f t="array" ref="K6089">_xlfn.SWITCH(LeadsData[[#This Row],[Funnel Stage Reached]],"Lead",1,"MQL",2,"SQL",3,"Customer",4)</f>
        <v>1</v>
      </c>
      <c r="L6089" t="str">
        <f>TEXT(LeadsData[[#This Row],[Signup Date]],"mmm-yyyy")</f>
        <v>Feb-2024</v>
      </c>
      <c r="M6089">
        <f>IF(LeadsData[[#This Row],[Stage Number]]&gt;=2,1,0)</f>
        <v>0</v>
      </c>
      <c r="N6089" s="2">
        <f>IF(LeadsData[[#This Row],[Stage Number]]&gt;=3,1,0)</f>
        <v>0</v>
      </c>
      <c r="O6089" s="2">
        <f>IF(LeadsData[[#This Row],[Stage Number]]&gt;=4,1,0)</f>
        <v>0</v>
      </c>
    </row>
    <row r="6090" spans="1:15" x14ac:dyDescent="0.25">
      <c r="A6090" t="s">
        <v>6130</v>
      </c>
      <c r="B6090" s="1">
        <v>45389</v>
      </c>
      <c r="C6090" t="s">
        <v>11</v>
      </c>
      <c r="D6090" t="s">
        <v>79</v>
      </c>
      <c r="E6090" t="s">
        <v>21</v>
      </c>
      <c r="F6090" t="s">
        <v>22</v>
      </c>
      <c r="G6090" t="s">
        <v>23</v>
      </c>
      <c r="K6090" cm="1">
        <f t="array" ref="K6090">_xlfn.SWITCH(LeadsData[[#This Row],[Funnel Stage Reached]],"Lead",1,"MQL",2,"SQL",3,"Customer",4)</f>
        <v>2</v>
      </c>
      <c r="L6090" t="str">
        <f>TEXT(LeadsData[[#This Row],[Signup Date]],"mmm-yyyy")</f>
        <v>Apr-2024</v>
      </c>
      <c r="M6090">
        <f>IF(LeadsData[[#This Row],[Stage Number]]&gt;=2,1,0)</f>
        <v>1</v>
      </c>
      <c r="N6090" s="2">
        <f>IF(LeadsData[[#This Row],[Stage Number]]&gt;=3,1,0)</f>
        <v>0</v>
      </c>
      <c r="O6090" s="2">
        <f>IF(LeadsData[[#This Row],[Stage Number]]&gt;=4,1,0)</f>
        <v>0</v>
      </c>
    </row>
    <row r="6091" spans="1:15" x14ac:dyDescent="0.25">
      <c r="A6091" t="s">
        <v>6131</v>
      </c>
      <c r="B6091" s="1">
        <v>45330</v>
      </c>
      <c r="C6091" t="s">
        <v>46</v>
      </c>
      <c r="D6091" t="s">
        <v>56</v>
      </c>
      <c r="E6091" t="s">
        <v>13</v>
      </c>
      <c r="F6091" t="s">
        <v>28</v>
      </c>
      <c r="G6091" t="s">
        <v>15</v>
      </c>
      <c r="K6091" cm="1">
        <f t="array" ref="K6091">_xlfn.SWITCH(LeadsData[[#This Row],[Funnel Stage Reached]],"Lead",1,"MQL",2,"SQL",3,"Customer",4)</f>
        <v>1</v>
      </c>
      <c r="L6091" t="str">
        <f>TEXT(LeadsData[[#This Row],[Signup Date]],"mmm-yyyy")</f>
        <v>Feb-2024</v>
      </c>
      <c r="M6091">
        <f>IF(LeadsData[[#This Row],[Stage Number]]&gt;=2,1,0)</f>
        <v>0</v>
      </c>
      <c r="N6091" s="2">
        <f>IF(LeadsData[[#This Row],[Stage Number]]&gt;=3,1,0)</f>
        <v>0</v>
      </c>
      <c r="O6091" s="2">
        <f>IF(LeadsData[[#This Row],[Stage Number]]&gt;=4,1,0)</f>
        <v>0</v>
      </c>
    </row>
    <row r="6092" spans="1:15" x14ac:dyDescent="0.25">
      <c r="A6092" t="s">
        <v>6132</v>
      </c>
      <c r="B6092" s="1">
        <v>45640</v>
      </c>
      <c r="C6092" t="s">
        <v>46</v>
      </c>
      <c r="D6092" t="s">
        <v>56</v>
      </c>
      <c r="E6092" t="s">
        <v>13</v>
      </c>
      <c r="F6092" t="s">
        <v>19</v>
      </c>
      <c r="G6092" t="s">
        <v>23</v>
      </c>
      <c r="K6092" cm="1">
        <f t="array" ref="K6092">_xlfn.SWITCH(LeadsData[[#This Row],[Funnel Stage Reached]],"Lead",1,"MQL",2,"SQL",3,"Customer",4)</f>
        <v>2</v>
      </c>
      <c r="L6092" t="str">
        <f>TEXT(LeadsData[[#This Row],[Signup Date]],"mmm-yyyy")</f>
        <v>Dec-2024</v>
      </c>
      <c r="M6092">
        <f>IF(LeadsData[[#This Row],[Stage Number]]&gt;=2,1,0)</f>
        <v>1</v>
      </c>
      <c r="N6092" s="2">
        <f>IF(LeadsData[[#This Row],[Stage Number]]&gt;=3,1,0)</f>
        <v>0</v>
      </c>
      <c r="O6092" s="2">
        <f>IF(LeadsData[[#This Row],[Stage Number]]&gt;=4,1,0)</f>
        <v>0</v>
      </c>
    </row>
    <row r="6093" spans="1:15" x14ac:dyDescent="0.25">
      <c r="A6093" t="s">
        <v>6133</v>
      </c>
      <c r="B6093" s="1">
        <v>45390</v>
      </c>
      <c r="C6093" t="s">
        <v>31</v>
      </c>
      <c r="D6093" t="s">
        <v>34</v>
      </c>
      <c r="E6093" t="s">
        <v>21</v>
      </c>
      <c r="F6093" t="s">
        <v>19</v>
      </c>
      <c r="G6093" t="s">
        <v>23</v>
      </c>
      <c r="K6093" cm="1">
        <f t="array" ref="K6093">_xlfn.SWITCH(LeadsData[[#This Row],[Funnel Stage Reached]],"Lead",1,"MQL",2,"SQL",3,"Customer",4)</f>
        <v>2</v>
      </c>
      <c r="L6093" t="str">
        <f>TEXT(LeadsData[[#This Row],[Signup Date]],"mmm-yyyy")</f>
        <v>Apr-2024</v>
      </c>
      <c r="M6093">
        <f>IF(LeadsData[[#This Row],[Stage Number]]&gt;=2,1,0)</f>
        <v>1</v>
      </c>
      <c r="N6093" s="2">
        <f>IF(LeadsData[[#This Row],[Stage Number]]&gt;=3,1,0)</f>
        <v>0</v>
      </c>
      <c r="O6093" s="2">
        <f>IF(LeadsData[[#This Row],[Stage Number]]&gt;=4,1,0)</f>
        <v>0</v>
      </c>
    </row>
    <row r="6094" spans="1:15" x14ac:dyDescent="0.25">
      <c r="A6094" t="s">
        <v>6134</v>
      </c>
      <c r="B6094" s="1">
        <v>45352</v>
      </c>
      <c r="C6094" t="s">
        <v>36</v>
      </c>
      <c r="D6094" t="s">
        <v>37</v>
      </c>
      <c r="E6094" t="s">
        <v>13</v>
      </c>
      <c r="F6094" t="s">
        <v>14</v>
      </c>
      <c r="G6094" t="s">
        <v>23</v>
      </c>
      <c r="K6094" cm="1">
        <f t="array" ref="K6094">_xlfn.SWITCH(LeadsData[[#This Row],[Funnel Stage Reached]],"Lead",1,"MQL",2,"SQL",3,"Customer",4)</f>
        <v>2</v>
      </c>
      <c r="L6094" t="str">
        <f>TEXT(LeadsData[[#This Row],[Signup Date]],"mmm-yyyy")</f>
        <v>Mar-2024</v>
      </c>
      <c r="M6094">
        <f>IF(LeadsData[[#This Row],[Stage Number]]&gt;=2,1,0)</f>
        <v>1</v>
      </c>
      <c r="N6094" s="2">
        <f>IF(LeadsData[[#This Row],[Stage Number]]&gt;=3,1,0)</f>
        <v>0</v>
      </c>
      <c r="O6094" s="2">
        <f>IF(LeadsData[[#This Row],[Stage Number]]&gt;=4,1,0)</f>
        <v>0</v>
      </c>
    </row>
    <row r="6095" spans="1:15" x14ac:dyDescent="0.25">
      <c r="A6095" t="s">
        <v>6135</v>
      </c>
      <c r="B6095" s="1">
        <v>45605</v>
      </c>
      <c r="C6095" t="s">
        <v>11</v>
      </c>
      <c r="D6095" t="s">
        <v>79</v>
      </c>
      <c r="E6095" t="s">
        <v>13</v>
      </c>
      <c r="F6095" t="s">
        <v>19</v>
      </c>
      <c r="G6095" t="s">
        <v>23</v>
      </c>
      <c r="K6095" cm="1">
        <f t="array" ref="K6095">_xlfn.SWITCH(LeadsData[[#This Row],[Funnel Stage Reached]],"Lead",1,"MQL",2,"SQL",3,"Customer",4)</f>
        <v>2</v>
      </c>
      <c r="L6095" t="str">
        <f>TEXT(LeadsData[[#This Row],[Signup Date]],"mmm-yyyy")</f>
        <v>Nov-2024</v>
      </c>
      <c r="M6095">
        <f>IF(LeadsData[[#This Row],[Stage Number]]&gt;=2,1,0)</f>
        <v>1</v>
      </c>
      <c r="N6095" s="2">
        <f>IF(LeadsData[[#This Row],[Stage Number]]&gt;=3,1,0)</f>
        <v>0</v>
      </c>
      <c r="O6095" s="2">
        <f>IF(LeadsData[[#This Row],[Stage Number]]&gt;=4,1,0)</f>
        <v>0</v>
      </c>
    </row>
    <row r="6096" spans="1:15" x14ac:dyDescent="0.25">
      <c r="A6096" t="s">
        <v>6136</v>
      </c>
      <c r="B6096" s="1">
        <v>45506</v>
      </c>
      <c r="C6096" t="s">
        <v>11</v>
      </c>
      <c r="D6096" t="s">
        <v>79</v>
      </c>
      <c r="E6096" t="s">
        <v>13</v>
      </c>
      <c r="F6096" t="s">
        <v>22</v>
      </c>
      <c r="G6096" t="s">
        <v>15</v>
      </c>
      <c r="K6096" cm="1">
        <f t="array" ref="K6096">_xlfn.SWITCH(LeadsData[[#This Row],[Funnel Stage Reached]],"Lead",1,"MQL",2,"SQL",3,"Customer",4)</f>
        <v>1</v>
      </c>
      <c r="L6096" t="str">
        <f>TEXT(LeadsData[[#This Row],[Signup Date]],"mmm-yyyy")</f>
        <v>Aug-2024</v>
      </c>
      <c r="M6096">
        <f>IF(LeadsData[[#This Row],[Stage Number]]&gt;=2,1,0)</f>
        <v>0</v>
      </c>
      <c r="N6096" s="2">
        <f>IF(LeadsData[[#This Row],[Stage Number]]&gt;=3,1,0)</f>
        <v>0</v>
      </c>
      <c r="O6096" s="2">
        <f>IF(LeadsData[[#This Row],[Stage Number]]&gt;=4,1,0)</f>
        <v>0</v>
      </c>
    </row>
    <row r="6097" spans="1:15" x14ac:dyDescent="0.25">
      <c r="A6097" t="s">
        <v>6137</v>
      </c>
      <c r="B6097" s="1">
        <v>45435</v>
      </c>
      <c r="C6097" t="s">
        <v>31</v>
      </c>
      <c r="D6097" t="s">
        <v>32</v>
      </c>
      <c r="E6097" t="s">
        <v>13</v>
      </c>
      <c r="F6097" t="s">
        <v>19</v>
      </c>
      <c r="G6097" t="s">
        <v>42</v>
      </c>
      <c r="H6097">
        <v>15</v>
      </c>
      <c r="I6097" t="s">
        <v>43</v>
      </c>
      <c r="J6097">
        <v>1045.1099999999999</v>
      </c>
      <c r="K6097" cm="1">
        <f t="array" ref="K6097">_xlfn.SWITCH(LeadsData[[#This Row],[Funnel Stage Reached]],"Lead",1,"MQL",2,"SQL",3,"Customer",4)</f>
        <v>4</v>
      </c>
      <c r="L6097" t="str">
        <f>TEXT(LeadsData[[#This Row],[Signup Date]],"mmm-yyyy")</f>
        <v>May-2024</v>
      </c>
      <c r="M6097">
        <f>IF(LeadsData[[#This Row],[Stage Number]]&gt;=2,1,0)</f>
        <v>1</v>
      </c>
      <c r="N6097" s="2">
        <f>IF(LeadsData[[#This Row],[Stage Number]]&gt;=3,1,0)</f>
        <v>1</v>
      </c>
      <c r="O6097" s="2">
        <f>IF(LeadsData[[#This Row],[Stage Number]]&gt;=4,1,0)</f>
        <v>1</v>
      </c>
    </row>
    <row r="6098" spans="1:15" x14ac:dyDescent="0.25">
      <c r="A6098" t="s">
        <v>6138</v>
      </c>
      <c r="B6098" s="1">
        <v>45603</v>
      </c>
      <c r="C6098" t="s">
        <v>17</v>
      </c>
      <c r="D6098" t="s">
        <v>53</v>
      </c>
      <c r="E6098" t="s">
        <v>13</v>
      </c>
      <c r="F6098" t="s">
        <v>14</v>
      </c>
      <c r="G6098" t="s">
        <v>15</v>
      </c>
      <c r="K6098" cm="1">
        <f t="array" ref="K6098">_xlfn.SWITCH(LeadsData[[#This Row],[Funnel Stage Reached]],"Lead",1,"MQL",2,"SQL",3,"Customer",4)</f>
        <v>1</v>
      </c>
      <c r="L6098" t="str">
        <f>TEXT(LeadsData[[#This Row],[Signup Date]],"mmm-yyyy")</f>
        <v>Nov-2024</v>
      </c>
      <c r="M6098">
        <f>IF(LeadsData[[#This Row],[Stage Number]]&gt;=2,1,0)</f>
        <v>0</v>
      </c>
      <c r="N6098" s="2">
        <f>IF(LeadsData[[#This Row],[Stage Number]]&gt;=3,1,0)</f>
        <v>0</v>
      </c>
      <c r="O6098" s="2">
        <f>IF(LeadsData[[#This Row],[Stage Number]]&gt;=4,1,0)</f>
        <v>0</v>
      </c>
    </row>
    <row r="6099" spans="1:15" x14ac:dyDescent="0.25">
      <c r="A6099" t="s">
        <v>6139</v>
      </c>
      <c r="B6099" s="1">
        <v>45499</v>
      </c>
      <c r="C6099" t="s">
        <v>11</v>
      </c>
      <c r="D6099" t="s">
        <v>68</v>
      </c>
      <c r="E6099" t="s">
        <v>13</v>
      </c>
      <c r="F6099" t="s">
        <v>22</v>
      </c>
      <c r="G6099" t="s">
        <v>23</v>
      </c>
      <c r="K6099" cm="1">
        <f t="array" ref="K6099">_xlfn.SWITCH(LeadsData[[#This Row],[Funnel Stage Reached]],"Lead",1,"MQL",2,"SQL",3,"Customer",4)</f>
        <v>2</v>
      </c>
      <c r="L6099" t="str">
        <f>TEXT(LeadsData[[#This Row],[Signup Date]],"mmm-yyyy")</f>
        <v>Jul-2024</v>
      </c>
      <c r="M6099">
        <f>IF(LeadsData[[#This Row],[Stage Number]]&gt;=2,1,0)</f>
        <v>1</v>
      </c>
      <c r="N6099" s="2">
        <f>IF(LeadsData[[#This Row],[Stage Number]]&gt;=3,1,0)</f>
        <v>0</v>
      </c>
      <c r="O6099" s="2">
        <f>IF(LeadsData[[#This Row],[Stage Number]]&gt;=4,1,0)</f>
        <v>0</v>
      </c>
    </row>
    <row r="6100" spans="1:15" x14ac:dyDescent="0.25">
      <c r="A6100" t="s">
        <v>6140</v>
      </c>
      <c r="B6100" s="1">
        <v>45396</v>
      </c>
      <c r="C6100" t="s">
        <v>46</v>
      </c>
      <c r="D6100" t="s">
        <v>56</v>
      </c>
      <c r="E6100" t="s">
        <v>21</v>
      </c>
      <c r="F6100" t="s">
        <v>22</v>
      </c>
      <c r="G6100" t="s">
        <v>42</v>
      </c>
      <c r="H6100">
        <v>14</v>
      </c>
      <c r="I6100" t="s">
        <v>43</v>
      </c>
      <c r="J6100">
        <v>785.85</v>
      </c>
      <c r="K6100" cm="1">
        <f t="array" ref="K6100">_xlfn.SWITCH(LeadsData[[#This Row],[Funnel Stage Reached]],"Lead",1,"MQL",2,"SQL",3,"Customer",4)</f>
        <v>4</v>
      </c>
      <c r="L6100" t="str">
        <f>TEXT(LeadsData[[#This Row],[Signup Date]],"mmm-yyyy")</f>
        <v>Apr-2024</v>
      </c>
      <c r="M6100">
        <f>IF(LeadsData[[#This Row],[Stage Number]]&gt;=2,1,0)</f>
        <v>1</v>
      </c>
      <c r="N6100" s="2">
        <f>IF(LeadsData[[#This Row],[Stage Number]]&gt;=3,1,0)</f>
        <v>1</v>
      </c>
      <c r="O6100" s="2">
        <f>IF(LeadsData[[#This Row],[Stage Number]]&gt;=4,1,0)</f>
        <v>1</v>
      </c>
    </row>
    <row r="6101" spans="1:15" x14ac:dyDescent="0.25">
      <c r="A6101" t="s">
        <v>6141</v>
      </c>
      <c r="B6101" s="1">
        <v>45379</v>
      </c>
      <c r="C6101" t="s">
        <v>31</v>
      </c>
      <c r="D6101" t="s">
        <v>34</v>
      </c>
      <c r="E6101" t="s">
        <v>13</v>
      </c>
      <c r="F6101" t="s">
        <v>19</v>
      </c>
      <c r="G6101" t="s">
        <v>29</v>
      </c>
      <c r="K6101" cm="1">
        <f t="array" ref="K6101">_xlfn.SWITCH(LeadsData[[#This Row],[Funnel Stage Reached]],"Lead",1,"MQL",2,"SQL",3,"Customer",4)</f>
        <v>3</v>
      </c>
      <c r="L6101" t="str">
        <f>TEXT(LeadsData[[#This Row],[Signup Date]],"mmm-yyyy")</f>
        <v>Mar-2024</v>
      </c>
      <c r="M6101">
        <f>IF(LeadsData[[#This Row],[Stage Number]]&gt;=2,1,0)</f>
        <v>1</v>
      </c>
      <c r="N6101" s="2">
        <f>IF(LeadsData[[#This Row],[Stage Number]]&gt;=3,1,0)</f>
        <v>1</v>
      </c>
      <c r="O6101" s="2">
        <f>IF(LeadsData[[#This Row],[Stage Number]]&gt;=4,1,0)</f>
        <v>0</v>
      </c>
    </row>
    <row r="6102" spans="1:15" x14ac:dyDescent="0.25">
      <c r="A6102" t="s">
        <v>6142</v>
      </c>
      <c r="B6102" s="1">
        <v>45469</v>
      </c>
      <c r="C6102" t="s">
        <v>17</v>
      </c>
      <c r="D6102" t="s">
        <v>53</v>
      </c>
      <c r="E6102" t="s">
        <v>21</v>
      </c>
      <c r="F6102" t="s">
        <v>19</v>
      </c>
      <c r="G6102" t="s">
        <v>23</v>
      </c>
      <c r="K6102" cm="1">
        <f t="array" ref="K6102">_xlfn.SWITCH(LeadsData[[#This Row],[Funnel Stage Reached]],"Lead",1,"MQL",2,"SQL",3,"Customer",4)</f>
        <v>2</v>
      </c>
      <c r="L6102" t="str">
        <f>TEXT(LeadsData[[#This Row],[Signup Date]],"mmm-yyyy")</f>
        <v>Jun-2024</v>
      </c>
      <c r="M6102">
        <f>IF(LeadsData[[#This Row],[Stage Number]]&gt;=2,1,0)</f>
        <v>1</v>
      </c>
      <c r="N6102" s="2">
        <f>IF(LeadsData[[#This Row],[Stage Number]]&gt;=3,1,0)</f>
        <v>0</v>
      </c>
      <c r="O6102" s="2">
        <f>IF(LeadsData[[#This Row],[Stage Number]]&gt;=4,1,0)</f>
        <v>0</v>
      </c>
    </row>
    <row r="6103" spans="1:15" x14ac:dyDescent="0.25">
      <c r="A6103" t="s">
        <v>6143</v>
      </c>
      <c r="B6103" s="1">
        <v>45469</v>
      </c>
      <c r="C6103" t="s">
        <v>25</v>
      </c>
      <c r="D6103" t="s">
        <v>26</v>
      </c>
      <c r="E6103" t="s">
        <v>13</v>
      </c>
      <c r="F6103" t="s">
        <v>19</v>
      </c>
      <c r="G6103" t="s">
        <v>23</v>
      </c>
      <c r="K6103" cm="1">
        <f t="array" ref="K6103">_xlfn.SWITCH(LeadsData[[#This Row],[Funnel Stage Reached]],"Lead",1,"MQL",2,"SQL",3,"Customer",4)</f>
        <v>2</v>
      </c>
      <c r="L6103" t="str">
        <f>TEXT(LeadsData[[#This Row],[Signup Date]],"mmm-yyyy")</f>
        <v>Jun-2024</v>
      </c>
      <c r="M6103">
        <f>IF(LeadsData[[#This Row],[Stage Number]]&gt;=2,1,0)</f>
        <v>1</v>
      </c>
      <c r="N6103" s="2">
        <f>IF(LeadsData[[#This Row],[Stage Number]]&gt;=3,1,0)</f>
        <v>0</v>
      </c>
      <c r="O6103" s="2">
        <f>IF(LeadsData[[#This Row],[Stage Number]]&gt;=4,1,0)</f>
        <v>0</v>
      </c>
    </row>
    <row r="6104" spans="1:15" x14ac:dyDescent="0.25">
      <c r="A6104" t="s">
        <v>6144</v>
      </c>
      <c r="B6104" s="1">
        <v>45600</v>
      </c>
      <c r="C6104" t="s">
        <v>17</v>
      </c>
      <c r="D6104" t="s">
        <v>18</v>
      </c>
      <c r="E6104" t="s">
        <v>13</v>
      </c>
      <c r="F6104" t="s">
        <v>22</v>
      </c>
      <c r="G6104" t="s">
        <v>29</v>
      </c>
      <c r="K6104" cm="1">
        <f t="array" ref="K6104">_xlfn.SWITCH(LeadsData[[#This Row],[Funnel Stage Reached]],"Lead",1,"MQL",2,"SQL",3,"Customer",4)</f>
        <v>3</v>
      </c>
      <c r="L6104" t="str">
        <f>TEXT(LeadsData[[#This Row],[Signup Date]],"mmm-yyyy")</f>
        <v>Nov-2024</v>
      </c>
      <c r="M6104">
        <f>IF(LeadsData[[#This Row],[Stage Number]]&gt;=2,1,0)</f>
        <v>1</v>
      </c>
      <c r="N6104" s="2">
        <f>IF(LeadsData[[#This Row],[Stage Number]]&gt;=3,1,0)</f>
        <v>1</v>
      </c>
      <c r="O6104" s="2">
        <f>IF(LeadsData[[#This Row],[Stage Number]]&gt;=4,1,0)</f>
        <v>0</v>
      </c>
    </row>
    <row r="6105" spans="1:15" x14ac:dyDescent="0.25">
      <c r="A6105" t="s">
        <v>6145</v>
      </c>
      <c r="B6105" s="1">
        <v>45372</v>
      </c>
      <c r="C6105" t="s">
        <v>11</v>
      </c>
      <c r="D6105" t="s">
        <v>12</v>
      </c>
      <c r="E6105" t="s">
        <v>21</v>
      </c>
      <c r="F6105" t="s">
        <v>19</v>
      </c>
      <c r="G6105" t="s">
        <v>15</v>
      </c>
      <c r="K6105" cm="1">
        <f t="array" ref="K6105">_xlfn.SWITCH(LeadsData[[#This Row],[Funnel Stage Reached]],"Lead",1,"MQL",2,"SQL",3,"Customer",4)</f>
        <v>1</v>
      </c>
      <c r="L6105" t="str">
        <f>TEXT(LeadsData[[#This Row],[Signup Date]],"mmm-yyyy")</f>
        <v>Mar-2024</v>
      </c>
      <c r="M6105">
        <f>IF(LeadsData[[#This Row],[Stage Number]]&gt;=2,1,0)</f>
        <v>0</v>
      </c>
      <c r="N6105" s="2">
        <f>IF(LeadsData[[#This Row],[Stage Number]]&gt;=3,1,0)</f>
        <v>0</v>
      </c>
      <c r="O6105" s="2">
        <f>IF(LeadsData[[#This Row],[Stage Number]]&gt;=4,1,0)</f>
        <v>0</v>
      </c>
    </row>
    <row r="6106" spans="1:15" x14ac:dyDescent="0.25">
      <c r="A6106" t="s">
        <v>6146</v>
      </c>
      <c r="B6106" s="1">
        <v>45620</v>
      </c>
      <c r="C6106" t="s">
        <v>31</v>
      </c>
      <c r="D6106" t="s">
        <v>34</v>
      </c>
      <c r="E6106" t="s">
        <v>13</v>
      </c>
      <c r="F6106" t="s">
        <v>19</v>
      </c>
      <c r="G6106" t="s">
        <v>15</v>
      </c>
      <c r="K6106" cm="1">
        <f t="array" ref="K6106">_xlfn.SWITCH(LeadsData[[#This Row],[Funnel Stage Reached]],"Lead",1,"MQL",2,"SQL",3,"Customer",4)</f>
        <v>1</v>
      </c>
      <c r="L6106" t="str">
        <f>TEXT(LeadsData[[#This Row],[Signup Date]],"mmm-yyyy")</f>
        <v>Nov-2024</v>
      </c>
      <c r="M6106">
        <f>IF(LeadsData[[#This Row],[Stage Number]]&gt;=2,1,0)</f>
        <v>0</v>
      </c>
      <c r="N6106" s="2">
        <f>IF(LeadsData[[#This Row],[Stage Number]]&gt;=3,1,0)</f>
        <v>0</v>
      </c>
      <c r="O6106" s="2">
        <f>IF(LeadsData[[#This Row],[Stage Number]]&gt;=4,1,0)</f>
        <v>0</v>
      </c>
    </row>
    <row r="6107" spans="1:15" x14ac:dyDescent="0.25">
      <c r="A6107" t="s">
        <v>6147</v>
      </c>
      <c r="B6107" s="1">
        <v>45590</v>
      </c>
      <c r="C6107" t="s">
        <v>25</v>
      </c>
      <c r="D6107" t="s">
        <v>26</v>
      </c>
      <c r="E6107" t="s">
        <v>13</v>
      </c>
      <c r="F6107" t="s">
        <v>14</v>
      </c>
      <c r="G6107" t="s">
        <v>15</v>
      </c>
      <c r="K6107" cm="1">
        <f t="array" ref="K6107">_xlfn.SWITCH(LeadsData[[#This Row],[Funnel Stage Reached]],"Lead",1,"MQL",2,"SQL",3,"Customer",4)</f>
        <v>1</v>
      </c>
      <c r="L6107" t="str">
        <f>TEXT(LeadsData[[#This Row],[Signup Date]],"mmm-yyyy")</f>
        <v>Oct-2024</v>
      </c>
      <c r="M6107">
        <f>IF(LeadsData[[#This Row],[Stage Number]]&gt;=2,1,0)</f>
        <v>0</v>
      </c>
      <c r="N6107" s="2">
        <f>IF(LeadsData[[#This Row],[Stage Number]]&gt;=3,1,0)</f>
        <v>0</v>
      </c>
      <c r="O6107" s="2">
        <f>IF(LeadsData[[#This Row],[Stage Number]]&gt;=4,1,0)</f>
        <v>0</v>
      </c>
    </row>
    <row r="6108" spans="1:15" x14ac:dyDescent="0.25">
      <c r="A6108" t="s">
        <v>6148</v>
      </c>
      <c r="B6108" s="1">
        <v>45398</v>
      </c>
      <c r="C6108" t="s">
        <v>46</v>
      </c>
      <c r="D6108" t="s">
        <v>56</v>
      </c>
      <c r="E6108" t="s">
        <v>13</v>
      </c>
      <c r="F6108" t="s">
        <v>28</v>
      </c>
      <c r="G6108" t="s">
        <v>15</v>
      </c>
      <c r="K6108" cm="1">
        <f t="array" ref="K6108">_xlfn.SWITCH(LeadsData[[#This Row],[Funnel Stage Reached]],"Lead",1,"MQL",2,"SQL",3,"Customer",4)</f>
        <v>1</v>
      </c>
      <c r="L6108" t="str">
        <f>TEXT(LeadsData[[#This Row],[Signup Date]],"mmm-yyyy")</f>
        <v>Apr-2024</v>
      </c>
      <c r="M6108">
        <f>IF(LeadsData[[#This Row],[Stage Number]]&gt;=2,1,0)</f>
        <v>0</v>
      </c>
      <c r="N6108" s="2">
        <f>IF(LeadsData[[#This Row],[Stage Number]]&gt;=3,1,0)</f>
        <v>0</v>
      </c>
      <c r="O6108" s="2">
        <f>IF(LeadsData[[#This Row],[Stage Number]]&gt;=4,1,0)</f>
        <v>0</v>
      </c>
    </row>
    <row r="6109" spans="1:15" x14ac:dyDescent="0.25">
      <c r="A6109" t="s">
        <v>6149</v>
      </c>
      <c r="B6109" s="1">
        <v>45480</v>
      </c>
      <c r="C6109" t="s">
        <v>31</v>
      </c>
      <c r="D6109" t="s">
        <v>34</v>
      </c>
      <c r="E6109" t="s">
        <v>13</v>
      </c>
      <c r="F6109" t="s">
        <v>22</v>
      </c>
      <c r="G6109" t="s">
        <v>23</v>
      </c>
      <c r="K6109" cm="1">
        <f t="array" ref="K6109">_xlfn.SWITCH(LeadsData[[#This Row],[Funnel Stage Reached]],"Lead",1,"MQL",2,"SQL",3,"Customer",4)</f>
        <v>2</v>
      </c>
      <c r="L6109" t="str">
        <f>TEXT(LeadsData[[#This Row],[Signup Date]],"mmm-yyyy")</f>
        <v>Jul-2024</v>
      </c>
      <c r="M6109">
        <f>IF(LeadsData[[#This Row],[Stage Number]]&gt;=2,1,0)</f>
        <v>1</v>
      </c>
      <c r="N6109" s="2">
        <f>IF(LeadsData[[#This Row],[Stage Number]]&gt;=3,1,0)</f>
        <v>0</v>
      </c>
      <c r="O6109" s="2">
        <f>IF(LeadsData[[#This Row],[Stage Number]]&gt;=4,1,0)</f>
        <v>0</v>
      </c>
    </row>
    <row r="6110" spans="1:15" x14ac:dyDescent="0.25">
      <c r="A6110" t="s">
        <v>6150</v>
      </c>
      <c r="B6110" s="1">
        <v>45489</v>
      </c>
      <c r="C6110" t="s">
        <v>31</v>
      </c>
      <c r="D6110" t="s">
        <v>34</v>
      </c>
      <c r="E6110" t="s">
        <v>21</v>
      </c>
      <c r="F6110" t="s">
        <v>19</v>
      </c>
      <c r="G6110" t="s">
        <v>15</v>
      </c>
      <c r="K6110" cm="1">
        <f t="array" ref="K6110">_xlfn.SWITCH(LeadsData[[#This Row],[Funnel Stage Reached]],"Lead",1,"MQL",2,"SQL",3,"Customer",4)</f>
        <v>1</v>
      </c>
      <c r="L6110" t="str">
        <f>TEXT(LeadsData[[#This Row],[Signup Date]],"mmm-yyyy")</f>
        <v>Jul-2024</v>
      </c>
      <c r="M6110">
        <f>IF(LeadsData[[#This Row],[Stage Number]]&gt;=2,1,0)</f>
        <v>0</v>
      </c>
      <c r="N6110" s="2">
        <f>IF(LeadsData[[#This Row],[Stage Number]]&gt;=3,1,0)</f>
        <v>0</v>
      </c>
      <c r="O6110" s="2">
        <f>IF(LeadsData[[#This Row],[Stage Number]]&gt;=4,1,0)</f>
        <v>0</v>
      </c>
    </row>
    <row r="6111" spans="1:15" x14ac:dyDescent="0.25">
      <c r="A6111" t="s">
        <v>6151</v>
      </c>
      <c r="B6111" s="1">
        <v>45416</v>
      </c>
      <c r="C6111" t="s">
        <v>25</v>
      </c>
      <c r="D6111" t="s">
        <v>26</v>
      </c>
      <c r="E6111" t="s">
        <v>21</v>
      </c>
      <c r="F6111" t="s">
        <v>14</v>
      </c>
      <c r="G6111" t="s">
        <v>23</v>
      </c>
      <c r="K6111" cm="1">
        <f t="array" ref="K6111">_xlfn.SWITCH(LeadsData[[#This Row],[Funnel Stage Reached]],"Lead",1,"MQL",2,"SQL",3,"Customer",4)</f>
        <v>2</v>
      </c>
      <c r="L6111" t="str">
        <f>TEXT(LeadsData[[#This Row],[Signup Date]],"mmm-yyyy")</f>
        <v>May-2024</v>
      </c>
      <c r="M6111">
        <f>IF(LeadsData[[#This Row],[Stage Number]]&gt;=2,1,0)</f>
        <v>1</v>
      </c>
      <c r="N6111" s="2">
        <f>IF(LeadsData[[#This Row],[Stage Number]]&gt;=3,1,0)</f>
        <v>0</v>
      </c>
      <c r="O6111" s="2">
        <f>IF(LeadsData[[#This Row],[Stage Number]]&gt;=4,1,0)</f>
        <v>0</v>
      </c>
    </row>
    <row r="6112" spans="1:15" x14ac:dyDescent="0.25">
      <c r="A6112" t="s">
        <v>6152</v>
      </c>
      <c r="B6112" s="1">
        <v>45376</v>
      </c>
      <c r="C6112" t="s">
        <v>46</v>
      </c>
      <c r="D6112" t="s">
        <v>56</v>
      </c>
      <c r="E6112" t="s">
        <v>13</v>
      </c>
      <c r="F6112" t="s">
        <v>22</v>
      </c>
      <c r="G6112" t="s">
        <v>42</v>
      </c>
      <c r="H6112">
        <v>7</v>
      </c>
      <c r="I6112" t="s">
        <v>87</v>
      </c>
      <c r="J6112">
        <v>3813.08</v>
      </c>
      <c r="K6112" cm="1">
        <f t="array" ref="K6112">_xlfn.SWITCH(LeadsData[[#This Row],[Funnel Stage Reached]],"Lead",1,"MQL",2,"SQL",3,"Customer",4)</f>
        <v>4</v>
      </c>
      <c r="L6112" t="str">
        <f>TEXT(LeadsData[[#This Row],[Signup Date]],"mmm-yyyy")</f>
        <v>Mar-2024</v>
      </c>
      <c r="M6112">
        <f>IF(LeadsData[[#This Row],[Stage Number]]&gt;=2,1,0)</f>
        <v>1</v>
      </c>
      <c r="N6112" s="2">
        <f>IF(LeadsData[[#This Row],[Stage Number]]&gt;=3,1,0)</f>
        <v>1</v>
      </c>
      <c r="O6112" s="2">
        <f>IF(LeadsData[[#This Row],[Stage Number]]&gt;=4,1,0)</f>
        <v>1</v>
      </c>
    </row>
    <row r="6113" spans="1:15" x14ac:dyDescent="0.25">
      <c r="A6113" t="s">
        <v>6153</v>
      </c>
      <c r="B6113" s="1">
        <v>45579</v>
      </c>
      <c r="C6113" t="s">
        <v>11</v>
      </c>
      <c r="D6113" t="s">
        <v>68</v>
      </c>
      <c r="E6113" t="s">
        <v>21</v>
      </c>
      <c r="F6113" t="s">
        <v>22</v>
      </c>
      <c r="G6113" t="s">
        <v>15</v>
      </c>
      <c r="K6113" cm="1">
        <f t="array" ref="K6113">_xlfn.SWITCH(LeadsData[[#This Row],[Funnel Stage Reached]],"Lead",1,"MQL",2,"SQL",3,"Customer",4)</f>
        <v>1</v>
      </c>
      <c r="L6113" t="str">
        <f>TEXT(LeadsData[[#This Row],[Signup Date]],"mmm-yyyy")</f>
        <v>Oct-2024</v>
      </c>
      <c r="M6113">
        <f>IF(LeadsData[[#This Row],[Stage Number]]&gt;=2,1,0)</f>
        <v>0</v>
      </c>
      <c r="N6113" s="2">
        <f>IF(LeadsData[[#This Row],[Stage Number]]&gt;=3,1,0)</f>
        <v>0</v>
      </c>
      <c r="O6113" s="2">
        <f>IF(LeadsData[[#This Row],[Stage Number]]&gt;=4,1,0)</f>
        <v>0</v>
      </c>
    </row>
    <row r="6114" spans="1:15" x14ac:dyDescent="0.25">
      <c r="A6114" t="s">
        <v>6154</v>
      </c>
      <c r="B6114" s="1">
        <v>45554</v>
      </c>
      <c r="C6114" t="s">
        <v>31</v>
      </c>
      <c r="D6114" t="s">
        <v>32</v>
      </c>
      <c r="E6114" t="s">
        <v>13</v>
      </c>
      <c r="F6114" t="s">
        <v>22</v>
      </c>
      <c r="G6114" t="s">
        <v>23</v>
      </c>
      <c r="K6114" cm="1">
        <f t="array" ref="K6114">_xlfn.SWITCH(LeadsData[[#This Row],[Funnel Stage Reached]],"Lead",1,"MQL",2,"SQL",3,"Customer",4)</f>
        <v>2</v>
      </c>
      <c r="L6114" t="str">
        <f>TEXT(LeadsData[[#This Row],[Signup Date]],"mmm-yyyy")</f>
        <v>Sep-2024</v>
      </c>
      <c r="M6114">
        <f>IF(LeadsData[[#This Row],[Stage Number]]&gt;=2,1,0)</f>
        <v>1</v>
      </c>
      <c r="N6114" s="2">
        <f>IF(LeadsData[[#This Row],[Stage Number]]&gt;=3,1,0)</f>
        <v>0</v>
      </c>
      <c r="O6114" s="2">
        <f>IF(LeadsData[[#This Row],[Stage Number]]&gt;=4,1,0)</f>
        <v>0</v>
      </c>
    </row>
    <row r="6115" spans="1:15" x14ac:dyDescent="0.25">
      <c r="A6115" t="s">
        <v>6155</v>
      </c>
      <c r="B6115" s="1">
        <v>45349</v>
      </c>
      <c r="C6115" t="s">
        <v>31</v>
      </c>
      <c r="D6115" t="s">
        <v>32</v>
      </c>
      <c r="E6115" t="s">
        <v>21</v>
      </c>
      <c r="F6115" t="s">
        <v>22</v>
      </c>
      <c r="G6115" t="s">
        <v>23</v>
      </c>
      <c r="K6115" cm="1">
        <f t="array" ref="K6115">_xlfn.SWITCH(LeadsData[[#This Row],[Funnel Stage Reached]],"Lead",1,"MQL",2,"SQL",3,"Customer",4)</f>
        <v>2</v>
      </c>
      <c r="L6115" t="str">
        <f>TEXT(LeadsData[[#This Row],[Signup Date]],"mmm-yyyy")</f>
        <v>Feb-2024</v>
      </c>
      <c r="M6115">
        <f>IF(LeadsData[[#This Row],[Stage Number]]&gt;=2,1,0)</f>
        <v>1</v>
      </c>
      <c r="N6115" s="2">
        <f>IF(LeadsData[[#This Row],[Stage Number]]&gt;=3,1,0)</f>
        <v>0</v>
      </c>
      <c r="O6115" s="2">
        <f>IF(LeadsData[[#This Row],[Stage Number]]&gt;=4,1,0)</f>
        <v>0</v>
      </c>
    </row>
    <row r="6116" spans="1:15" x14ac:dyDescent="0.25">
      <c r="A6116" t="s">
        <v>6156</v>
      </c>
      <c r="B6116" s="1">
        <v>45644</v>
      </c>
      <c r="C6116" t="s">
        <v>25</v>
      </c>
      <c r="D6116" t="s">
        <v>26</v>
      </c>
      <c r="E6116" t="s">
        <v>13</v>
      </c>
      <c r="F6116" t="s">
        <v>22</v>
      </c>
      <c r="G6116" t="s">
        <v>29</v>
      </c>
      <c r="K6116" cm="1">
        <f t="array" ref="K6116">_xlfn.SWITCH(LeadsData[[#This Row],[Funnel Stage Reached]],"Lead",1,"MQL",2,"SQL",3,"Customer",4)</f>
        <v>3</v>
      </c>
      <c r="L6116" t="str">
        <f>TEXT(LeadsData[[#This Row],[Signup Date]],"mmm-yyyy")</f>
        <v>Dec-2024</v>
      </c>
      <c r="M6116">
        <f>IF(LeadsData[[#This Row],[Stage Number]]&gt;=2,1,0)</f>
        <v>1</v>
      </c>
      <c r="N6116" s="2">
        <f>IF(LeadsData[[#This Row],[Stage Number]]&gt;=3,1,0)</f>
        <v>1</v>
      </c>
      <c r="O6116" s="2">
        <f>IF(LeadsData[[#This Row],[Stage Number]]&gt;=4,1,0)</f>
        <v>0</v>
      </c>
    </row>
    <row r="6117" spans="1:15" x14ac:dyDescent="0.25">
      <c r="A6117" t="s">
        <v>6157</v>
      </c>
      <c r="B6117" s="1">
        <v>45370</v>
      </c>
      <c r="C6117" t="s">
        <v>11</v>
      </c>
      <c r="D6117" t="s">
        <v>79</v>
      </c>
      <c r="E6117" t="s">
        <v>21</v>
      </c>
      <c r="F6117" t="s">
        <v>19</v>
      </c>
      <c r="G6117" t="s">
        <v>15</v>
      </c>
      <c r="K6117" cm="1">
        <f t="array" ref="K6117">_xlfn.SWITCH(LeadsData[[#This Row],[Funnel Stage Reached]],"Lead",1,"MQL",2,"SQL",3,"Customer",4)</f>
        <v>1</v>
      </c>
      <c r="L6117" t="str">
        <f>TEXT(LeadsData[[#This Row],[Signup Date]],"mmm-yyyy")</f>
        <v>Mar-2024</v>
      </c>
      <c r="M6117">
        <f>IF(LeadsData[[#This Row],[Stage Number]]&gt;=2,1,0)</f>
        <v>0</v>
      </c>
      <c r="N6117" s="2">
        <f>IF(LeadsData[[#This Row],[Stage Number]]&gt;=3,1,0)</f>
        <v>0</v>
      </c>
      <c r="O6117" s="2">
        <f>IF(LeadsData[[#This Row],[Stage Number]]&gt;=4,1,0)</f>
        <v>0</v>
      </c>
    </row>
    <row r="6118" spans="1:15" x14ac:dyDescent="0.25">
      <c r="A6118" t="s">
        <v>6158</v>
      </c>
      <c r="B6118" s="1">
        <v>45629</v>
      </c>
      <c r="C6118" t="s">
        <v>36</v>
      </c>
      <c r="D6118" t="s">
        <v>50</v>
      </c>
      <c r="E6118" t="s">
        <v>21</v>
      </c>
      <c r="F6118" t="s">
        <v>19</v>
      </c>
      <c r="G6118" t="s">
        <v>29</v>
      </c>
      <c r="K6118" cm="1">
        <f t="array" ref="K6118">_xlfn.SWITCH(LeadsData[[#This Row],[Funnel Stage Reached]],"Lead",1,"MQL",2,"SQL",3,"Customer",4)</f>
        <v>3</v>
      </c>
      <c r="L6118" t="str">
        <f>TEXT(LeadsData[[#This Row],[Signup Date]],"mmm-yyyy")</f>
        <v>Dec-2024</v>
      </c>
      <c r="M6118">
        <f>IF(LeadsData[[#This Row],[Stage Number]]&gt;=2,1,0)</f>
        <v>1</v>
      </c>
      <c r="N6118" s="2">
        <f>IF(LeadsData[[#This Row],[Stage Number]]&gt;=3,1,0)</f>
        <v>1</v>
      </c>
      <c r="O6118" s="2">
        <f>IF(LeadsData[[#This Row],[Stage Number]]&gt;=4,1,0)</f>
        <v>0</v>
      </c>
    </row>
    <row r="6119" spans="1:15" x14ac:dyDescent="0.25">
      <c r="A6119" t="s">
        <v>6159</v>
      </c>
      <c r="B6119" s="1">
        <v>45481</v>
      </c>
      <c r="C6119" t="s">
        <v>31</v>
      </c>
      <c r="D6119" t="s">
        <v>32</v>
      </c>
      <c r="E6119" t="s">
        <v>21</v>
      </c>
      <c r="F6119" t="s">
        <v>19</v>
      </c>
      <c r="G6119" t="s">
        <v>15</v>
      </c>
      <c r="K6119" cm="1">
        <f t="array" ref="K6119">_xlfn.SWITCH(LeadsData[[#This Row],[Funnel Stage Reached]],"Lead",1,"MQL",2,"SQL",3,"Customer",4)</f>
        <v>1</v>
      </c>
      <c r="L6119" t="str">
        <f>TEXT(LeadsData[[#This Row],[Signup Date]],"mmm-yyyy")</f>
        <v>Jul-2024</v>
      </c>
      <c r="M6119">
        <f>IF(LeadsData[[#This Row],[Stage Number]]&gt;=2,1,0)</f>
        <v>0</v>
      </c>
      <c r="N6119" s="2">
        <f>IF(LeadsData[[#This Row],[Stage Number]]&gt;=3,1,0)</f>
        <v>0</v>
      </c>
      <c r="O6119" s="2">
        <f>IF(LeadsData[[#This Row],[Stage Number]]&gt;=4,1,0)</f>
        <v>0</v>
      </c>
    </row>
    <row r="6120" spans="1:15" x14ac:dyDescent="0.25">
      <c r="A6120" t="s">
        <v>6160</v>
      </c>
      <c r="B6120" s="1">
        <v>45451</v>
      </c>
      <c r="C6120" t="s">
        <v>36</v>
      </c>
      <c r="D6120" t="s">
        <v>37</v>
      </c>
      <c r="E6120" t="s">
        <v>21</v>
      </c>
      <c r="F6120" t="s">
        <v>22</v>
      </c>
      <c r="G6120" t="s">
        <v>29</v>
      </c>
      <c r="K6120" cm="1">
        <f t="array" ref="K6120">_xlfn.SWITCH(LeadsData[[#This Row],[Funnel Stage Reached]],"Lead",1,"MQL",2,"SQL",3,"Customer",4)</f>
        <v>3</v>
      </c>
      <c r="L6120" t="str">
        <f>TEXT(LeadsData[[#This Row],[Signup Date]],"mmm-yyyy")</f>
        <v>Jun-2024</v>
      </c>
      <c r="M6120">
        <f>IF(LeadsData[[#This Row],[Stage Number]]&gt;=2,1,0)</f>
        <v>1</v>
      </c>
      <c r="N6120" s="2">
        <f>IF(LeadsData[[#This Row],[Stage Number]]&gt;=3,1,0)</f>
        <v>1</v>
      </c>
      <c r="O6120" s="2">
        <f>IF(LeadsData[[#This Row],[Stage Number]]&gt;=4,1,0)</f>
        <v>0</v>
      </c>
    </row>
    <row r="6121" spans="1:15" x14ac:dyDescent="0.25">
      <c r="A6121" t="s">
        <v>6161</v>
      </c>
      <c r="B6121" s="1">
        <v>45583</v>
      </c>
      <c r="C6121" t="s">
        <v>25</v>
      </c>
      <c r="D6121" t="s">
        <v>26</v>
      </c>
      <c r="E6121" t="s">
        <v>21</v>
      </c>
      <c r="F6121" t="s">
        <v>22</v>
      </c>
      <c r="G6121" t="s">
        <v>29</v>
      </c>
      <c r="K6121" cm="1">
        <f t="array" ref="K6121">_xlfn.SWITCH(LeadsData[[#This Row],[Funnel Stage Reached]],"Lead",1,"MQL",2,"SQL",3,"Customer",4)</f>
        <v>3</v>
      </c>
      <c r="L6121" t="str">
        <f>TEXT(LeadsData[[#This Row],[Signup Date]],"mmm-yyyy")</f>
        <v>Oct-2024</v>
      </c>
      <c r="M6121">
        <f>IF(LeadsData[[#This Row],[Stage Number]]&gt;=2,1,0)</f>
        <v>1</v>
      </c>
      <c r="N6121" s="2">
        <f>IF(LeadsData[[#This Row],[Stage Number]]&gt;=3,1,0)</f>
        <v>1</v>
      </c>
      <c r="O6121" s="2">
        <f>IF(LeadsData[[#This Row],[Stage Number]]&gt;=4,1,0)</f>
        <v>0</v>
      </c>
    </row>
    <row r="6122" spans="1:15" x14ac:dyDescent="0.25">
      <c r="A6122" t="s">
        <v>6162</v>
      </c>
      <c r="B6122" s="1">
        <v>45581</v>
      </c>
      <c r="C6122" t="s">
        <v>36</v>
      </c>
      <c r="D6122" t="s">
        <v>50</v>
      </c>
      <c r="E6122" t="s">
        <v>21</v>
      </c>
      <c r="F6122" t="s">
        <v>14</v>
      </c>
      <c r="G6122" t="s">
        <v>15</v>
      </c>
      <c r="K6122" cm="1">
        <f t="array" ref="K6122">_xlfn.SWITCH(LeadsData[[#This Row],[Funnel Stage Reached]],"Lead",1,"MQL",2,"SQL",3,"Customer",4)</f>
        <v>1</v>
      </c>
      <c r="L6122" t="str">
        <f>TEXT(LeadsData[[#This Row],[Signup Date]],"mmm-yyyy")</f>
        <v>Oct-2024</v>
      </c>
      <c r="M6122">
        <f>IF(LeadsData[[#This Row],[Stage Number]]&gt;=2,1,0)</f>
        <v>0</v>
      </c>
      <c r="N6122" s="2">
        <f>IF(LeadsData[[#This Row],[Stage Number]]&gt;=3,1,0)</f>
        <v>0</v>
      </c>
      <c r="O6122" s="2">
        <f>IF(LeadsData[[#This Row],[Stage Number]]&gt;=4,1,0)</f>
        <v>0</v>
      </c>
    </row>
    <row r="6123" spans="1:15" x14ac:dyDescent="0.25">
      <c r="A6123" t="s">
        <v>6163</v>
      </c>
      <c r="B6123" s="1">
        <v>45417</v>
      </c>
      <c r="C6123" t="s">
        <v>17</v>
      </c>
      <c r="D6123" t="s">
        <v>18</v>
      </c>
      <c r="E6123" t="s">
        <v>13</v>
      </c>
      <c r="F6123" t="s">
        <v>14</v>
      </c>
      <c r="G6123" t="s">
        <v>15</v>
      </c>
      <c r="K6123" cm="1">
        <f t="array" ref="K6123">_xlfn.SWITCH(LeadsData[[#This Row],[Funnel Stage Reached]],"Lead",1,"MQL",2,"SQL",3,"Customer",4)</f>
        <v>1</v>
      </c>
      <c r="L6123" t="str">
        <f>TEXT(LeadsData[[#This Row],[Signup Date]],"mmm-yyyy")</f>
        <v>May-2024</v>
      </c>
      <c r="M6123">
        <f>IF(LeadsData[[#This Row],[Stage Number]]&gt;=2,1,0)</f>
        <v>0</v>
      </c>
      <c r="N6123" s="2">
        <f>IF(LeadsData[[#This Row],[Stage Number]]&gt;=3,1,0)</f>
        <v>0</v>
      </c>
      <c r="O6123" s="2">
        <f>IF(LeadsData[[#This Row],[Stage Number]]&gt;=4,1,0)</f>
        <v>0</v>
      </c>
    </row>
    <row r="6124" spans="1:15" x14ac:dyDescent="0.25">
      <c r="A6124" t="s">
        <v>6164</v>
      </c>
      <c r="B6124" s="1">
        <v>45356</v>
      </c>
      <c r="C6124" t="s">
        <v>17</v>
      </c>
      <c r="D6124" t="s">
        <v>53</v>
      </c>
      <c r="E6124" t="s">
        <v>13</v>
      </c>
      <c r="F6124" t="s">
        <v>19</v>
      </c>
      <c r="G6124" t="s">
        <v>15</v>
      </c>
      <c r="K6124" cm="1">
        <f t="array" ref="K6124">_xlfn.SWITCH(LeadsData[[#This Row],[Funnel Stage Reached]],"Lead",1,"MQL",2,"SQL",3,"Customer",4)</f>
        <v>1</v>
      </c>
      <c r="L6124" t="str">
        <f>TEXT(LeadsData[[#This Row],[Signup Date]],"mmm-yyyy")</f>
        <v>Mar-2024</v>
      </c>
      <c r="M6124">
        <f>IF(LeadsData[[#This Row],[Stage Number]]&gt;=2,1,0)</f>
        <v>0</v>
      </c>
      <c r="N6124" s="2">
        <f>IF(LeadsData[[#This Row],[Stage Number]]&gt;=3,1,0)</f>
        <v>0</v>
      </c>
      <c r="O6124" s="2">
        <f>IF(LeadsData[[#This Row],[Stage Number]]&gt;=4,1,0)</f>
        <v>0</v>
      </c>
    </row>
    <row r="6125" spans="1:15" x14ac:dyDescent="0.25">
      <c r="A6125" t="s">
        <v>6165</v>
      </c>
      <c r="B6125" s="1">
        <v>45462</v>
      </c>
      <c r="C6125" t="s">
        <v>46</v>
      </c>
      <c r="D6125" t="s">
        <v>47</v>
      </c>
      <c r="E6125" t="s">
        <v>21</v>
      </c>
      <c r="F6125" t="s">
        <v>19</v>
      </c>
      <c r="G6125" t="s">
        <v>23</v>
      </c>
      <c r="K6125" cm="1">
        <f t="array" ref="K6125">_xlfn.SWITCH(LeadsData[[#This Row],[Funnel Stage Reached]],"Lead",1,"MQL",2,"SQL",3,"Customer",4)</f>
        <v>2</v>
      </c>
      <c r="L6125" t="str">
        <f>TEXT(LeadsData[[#This Row],[Signup Date]],"mmm-yyyy")</f>
        <v>Jun-2024</v>
      </c>
      <c r="M6125">
        <f>IF(LeadsData[[#This Row],[Stage Number]]&gt;=2,1,0)</f>
        <v>1</v>
      </c>
      <c r="N6125" s="2">
        <f>IF(LeadsData[[#This Row],[Stage Number]]&gt;=3,1,0)</f>
        <v>0</v>
      </c>
      <c r="O6125" s="2">
        <f>IF(LeadsData[[#This Row],[Stage Number]]&gt;=4,1,0)</f>
        <v>0</v>
      </c>
    </row>
    <row r="6126" spans="1:15" x14ac:dyDescent="0.25">
      <c r="A6126" t="s">
        <v>6166</v>
      </c>
      <c r="B6126" s="1">
        <v>45361</v>
      </c>
      <c r="C6126" t="s">
        <v>11</v>
      </c>
      <c r="D6126" t="s">
        <v>12</v>
      </c>
      <c r="E6126" t="s">
        <v>13</v>
      </c>
      <c r="F6126" t="s">
        <v>28</v>
      </c>
      <c r="G6126" t="s">
        <v>15</v>
      </c>
      <c r="K6126" cm="1">
        <f t="array" ref="K6126">_xlfn.SWITCH(LeadsData[[#This Row],[Funnel Stage Reached]],"Lead",1,"MQL",2,"SQL",3,"Customer",4)</f>
        <v>1</v>
      </c>
      <c r="L6126" t="str">
        <f>TEXT(LeadsData[[#This Row],[Signup Date]],"mmm-yyyy")</f>
        <v>Mar-2024</v>
      </c>
      <c r="M6126">
        <f>IF(LeadsData[[#This Row],[Stage Number]]&gt;=2,1,0)</f>
        <v>0</v>
      </c>
      <c r="N6126" s="2">
        <f>IF(LeadsData[[#This Row],[Stage Number]]&gt;=3,1,0)</f>
        <v>0</v>
      </c>
      <c r="O6126" s="2">
        <f>IF(LeadsData[[#This Row],[Stage Number]]&gt;=4,1,0)</f>
        <v>0</v>
      </c>
    </row>
    <row r="6127" spans="1:15" x14ac:dyDescent="0.25">
      <c r="A6127" t="s">
        <v>6167</v>
      </c>
      <c r="B6127" s="1">
        <v>45499</v>
      </c>
      <c r="C6127" t="s">
        <v>11</v>
      </c>
      <c r="D6127" t="s">
        <v>68</v>
      </c>
      <c r="E6127" t="s">
        <v>21</v>
      </c>
      <c r="F6127" t="s">
        <v>22</v>
      </c>
      <c r="G6127" t="s">
        <v>42</v>
      </c>
      <c r="H6127">
        <v>55</v>
      </c>
      <c r="I6127" t="s">
        <v>87</v>
      </c>
      <c r="J6127">
        <v>2728.73</v>
      </c>
      <c r="K6127" cm="1">
        <f t="array" ref="K6127">_xlfn.SWITCH(LeadsData[[#This Row],[Funnel Stage Reached]],"Lead",1,"MQL",2,"SQL",3,"Customer",4)</f>
        <v>4</v>
      </c>
      <c r="L6127" t="str">
        <f>TEXT(LeadsData[[#This Row],[Signup Date]],"mmm-yyyy")</f>
        <v>Jul-2024</v>
      </c>
      <c r="M6127">
        <f>IF(LeadsData[[#This Row],[Stage Number]]&gt;=2,1,0)</f>
        <v>1</v>
      </c>
      <c r="N6127" s="2">
        <f>IF(LeadsData[[#This Row],[Stage Number]]&gt;=3,1,0)</f>
        <v>1</v>
      </c>
      <c r="O6127" s="2">
        <f>IF(LeadsData[[#This Row],[Stage Number]]&gt;=4,1,0)</f>
        <v>1</v>
      </c>
    </row>
    <row r="6128" spans="1:15" x14ac:dyDescent="0.25">
      <c r="A6128" t="s">
        <v>6168</v>
      </c>
      <c r="B6128" s="1">
        <v>45509</v>
      </c>
      <c r="C6128" t="s">
        <v>17</v>
      </c>
      <c r="D6128" t="s">
        <v>18</v>
      </c>
      <c r="E6128" t="s">
        <v>13</v>
      </c>
      <c r="F6128" t="s">
        <v>19</v>
      </c>
      <c r="G6128" t="s">
        <v>29</v>
      </c>
      <c r="K6128" cm="1">
        <f t="array" ref="K6128">_xlfn.SWITCH(LeadsData[[#This Row],[Funnel Stage Reached]],"Lead",1,"MQL",2,"SQL",3,"Customer",4)</f>
        <v>3</v>
      </c>
      <c r="L6128" t="str">
        <f>TEXT(LeadsData[[#This Row],[Signup Date]],"mmm-yyyy")</f>
        <v>Aug-2024</v>
      </c>
      <c r="M6128">
        <f>IF(LeadsData[[#This Row],[Stage Number]]&gt;=2,1,0)</f>
        <v>1</v>
      </c>
      <c r="N6128" s="2">
        <f>IF(LeadsData[[#This Row],[Stage Number]]&gt;=3,1,0)</f>
        <v>1</v>
      </c>
      <c r="O6128" s="2">
        <f>IF(LeadsData[[#This Row],[Stage Number]]&gt;=4,1,0)</f>
        <v>0</v>
      </c>
    </row>
    <row r="6129" spans="1:15" x14ac:dyDescent="0.25">
      <c r="A6129" t="s">
        <v>6169</v>
      </c>
      <c r="B6129" s="1">
        <v>45607</v>
      </c>
      <c r="C6129" t="s">
        <v>17</v>
      </c>
      <c r="D6129" t="s">
        <v>53</v>
      </c>
      <c r="E6129" t="s">
        <v>13</v>
      </c>
      <c r="F6129" t="s">
        <v>22</v>
      </c>
      <c r="G6129" t="s">
        <v>15</v>
      </c>
      <c r="K6129" cm="1">
        <f t="array" ref="K6129">_xlfn.SWITCH(LeadsData[[#This Row],[Funnel Stage Reached]],"Lead",1,"MQL",2,"SQL",3,"Customer",4)</f>
        <v>1</v>
      </c>
      <c r="L6129" t="str">
        <f>TEXT(LeadsData[[#This Row],[Signup Date]],"mmm-yyyy")</f>
        <v>Nov-2024</v>
      </c>
      <c r="M6129">
        <f>IF(LeadsData[[#This Row],[Stage Number]]&gt;=2,1,0)</f>
        <v>0</v>
      </c>
      <c r="N6129" s="2">
        <f>IF(LeadsData[[#This Row],[Stage Number]]&gt;=3,1,0)</f>
        <v>0</v>
      </c>
      <c r="O6129" s="2">
        <f>IF(LeadsData[[#This Row],[Stage Number]]&gt;=4,1,0)</f>
        <v>0</v>
      </c>
    </row>
    <row r="6130" spans="1:15" x14ac:dyDescent="0.25">
      <c r="A6130" t="s">
        <v>6170</v>
      </c>
      <c r="B6130" s="1">
        <v>45465</v>
      </c>
      <c r="C6130" t="s">
        <v>36</v>
      </c>
      <c r="D6130" t="s">
        <v>50</v>
      </c>
      <c r="E6130" t="s">
        <v>21</v>
      </c>
      <c r="F6130" t="s">
        <v>19</v>
      </c>
      <c r="G6130" t="s">
        <v>29</v>
      </c>
      <c r="K6130" cm="1">
        <f t="array" ref="K6130">_xlfn.SWITCH(LeadsData[[#This Row],[Funnel Stage Reached]],"Lead",1,"MQL",2,"SQL",3,"Customer",4)</f>
        <v>3</v>
      </c>
      <c r="L6130" t="str">
        <f>TEXT(LeadsData[[#This Row],[Signup Date]],"mmm-yyyy")</f>
        <v>Jun-2024</v>
      </c>
      <c r="M6130">
        <f>IF(LeadsData[[#This Row],[Stage Number]]&gt;=2,1,0)</f>
        <v>1</v>
      </c>
      <c r="N6130" s="2">
        <f>IF(LeadsData[[#This Row],[Stage Number]]&gt;=3,1,0)</f>
        <v>1</v>
      </c>
      <c r="O6130" s="2">
        <f>IF(LeadsData[[#This Row],[Stage Number]]&gt;=4,1,0)</f>
        <v>0</v>
      </c>
    </row>
    <row r="6131" spans="1:15" x14ac:dyDescent="0.25">
      <c r="A6131" t="s">
        <v>6171</v>
      </c>
      <c r="B6131" s="1">
        <v>45547</v>
      </c>
      <c r="C6131" t="s">
        <v>36</v>
      </c>
      <c r="D6131" t="s">
        <v>37</v>
      </c>
      <c r="E6131" t="s">
        <v>13</v>
      </c>
      <c r="F6131" t="s">
        <v>19</v>
      </c>
      <c r="G6131" t="s">
        <v>15</v>
      </c>
      <c r="K6131" cm="1">
        <f t="array" ref="K6131">_xlfn.SWITCH(LeadsData[[#This Row],[Funnel Stage Reached]],"Lead",1,"MQL",2,"SQL",3,"Customer",4)</f>
        <v>1</v>
      </c>
      <c r="L6131" t="str">
        <f>TEXT(LeadsData[[#This Row],[Signup Date]],"mmm-yyyy")</f>
        <v>Sep-2024</v>
      </c>
      <c r="M6131">
        <f>IF(LeadsData[[#This Row],[Stage Number]]&gt;=2,1,0)</f>
        <v>0</v>
      </c>
      <c r="N6131" s="2">
        <f>IF(LeadsData[[#This Row],[Stage Number]]&gt;=3,1,0)</f>
        <v>0</v>
      </c>
      <c r="O6131" s="2">
        <f>IF(LeadsData[[#This Row],[Stage Number]]&gt;=4,1,0)</f>
        <v>0</v>
      </c>
    </row>
    <row r="6132" spans="1:15" x14ac:dyDescent="0.25">
      <c r="A6132" t="s">
        <v>6172</v>
      </c>
      <c r="B6132" s="1">
        <v>45498</v>
      </c>
      <c r="C6132" t="s">
        <v>17</v>
      </c>
      <c r="D6132" t="s">
        <v>53</v>
      </c>
      <c r="E6132" t="s">
        <v>13</v>
      </c>
      <c r="F6132" t="s">
        <v>19</v>
      </c>
      <c r="G6132" t="s">
        <v>23</v>
      </c>
      <c r="K6132" cm="1">
        <f t="array" ref="K6132">_xlfn.SWITCH(LeadsData[[#This Row],[Funnel Stage Reached]],"Lead",1,"MQL",2,"SQL",3,"Customer",4)</f>
        <v>2</v>
      </c>
      <c r="L6132" t="str">
        <f>TEXT(LeadsData[[#This Row],[Signup Date]],"mmm-yyyy")</f>
        <v>Jul-2024</v>
      </c>
      <c r="M6132">
        <f>IF(LeadsData[[#This Row],[Stage Number]]&gt;=2,1,0)</f>
        <v>1</v>
      </c>
      <c r="N6132" s="2">
        <f>IF(LeadsData[[#This Row],[Stage Number]]&gt;=3,1,0)</f>
        <v>0</v>
      </c>
      <c r="O6132" s="2">
        <f>IF(LeadsData[[#This Row],[Stage Number]]&gt;=4,1,0)</f>
        <v>0</v>
      </c>
    </row>
    <row r="6133" spans="1:15" x14ac:dyDescent="0.25">
      <c r="A6133" t="s">
        <v>6173</v>
      </c>
      <c r="B6133" s="1">
        <v>45591</v>
      </c>
      <c r="C6133" t="s">
        <v>31</v>
      </c>
      <c r="D6133" t="s">
        <v>34</v>
      </c>
      <c r="E6133" t="s">
        <v>13</v>
      </c>
      <c r="F6133" t="s">
        <v>19</v>
      </c>
      <c r="G6133" t="s">
        <v>23</v>
      </c>
      <c r="K6133" cm="1">
        <f t="array" ref="K6133">_xlfn.SWITCH(LeadsData[[#This Row],[Funnel Stage Reached]],"Lead",1,"MQL",2,"SQL",3,"Customer",4)</f>
        <v>2</v>
      </c>
      <c r="L6133" t="str">
        <f>TEXT(LeadsData[[#This Row],[Signup Date]],"mmm-yyyy")</f>
        <v>Oct-2024</v>
      </c>
      <c r="M6133">
        <f>IF(LeadsData[[#This Row],[Stage Number]]&gt;=2,1,0)</f>
        <v>1</v>
      </c>
      <c r="N6133" s="2">
        <f>IF(LeadsData[[#This Row],[Stage Number]]&gt;=3,1,0)</f>
        <v>0</v>
      </c>
      <c r="O6133" s="2">
        <f>IF(LeadsData[[#This Row],[Stage Number]]&gt;=4,1,0)</f>
        <v>0</v>
      </c>
    </row>
    <row r="6134" spans="1:15" x14ac:dyDescent="0.25">
      <c r="A6134" t="s">
        <v>6174</v>
      </c>
      <c r="B6134" s="1">
        <v>45307</v>
      </c>
      <c r="C6134" t="s">
        <v>17</v>
      </c>
      <c r="D6134" t="s">
        <v>18</v>
      </c>
      <c r="E6134" t="s">
        <v>13</v>
      </c>
      <c r="F6134" t="s">
        <v>22</v>
      </c>
      <c r="G6134" t="s">
        <v>15</v>
      </c>
      <c r="K6134" cm="1">
        <f t="array" ref="K6134">_xlfn.SWITCH(LeadsData[[#This Row],[Funnel Stage Reached]],"Lead",1,"MQL",2,"SQL",3,"Customer",4)</f>
        <v>1</v>
      </c>
      <c r="L6134" t="str">
        <f>TEXT(LeadsData[[#This Row],[Signup Date]],"mmm-yyyy")</f>
        <v>Jan-2024</v>
      </c>
      <c r="M6134">
        <f>IF(LeadsData[[#This Row],[Stage Number]]&gt;=2,1,0)</f>
        <v>0</v>
      </c>
      <c r="N6134" s="2">
        <f>IF(LeadsData[[#This Row],[Stage Number]]&gt;=3,1,0)</f>
        <v>0</v>
      </c>
      <c r="O6134" s="2">
        <f>IF(LeadsData[[#This Row],[Stage Number]]&gt;=4,1,0)</f>
        <v>0</v>
      </c>
    </row>
    <row r="6135" spans="1:15" x14ac:dyDescent="0.25">
      <c r="A6135" t="s">
        <v>6175</v>
      </c>
      <c r="B6135" s="1">
        <v>45630</v>
      </c>
      <c r="C6135" t="s">
        <v>25</v>
      </c>
      <c r="D6135" t="s">
        <v>26</v>
      </c>
      <c r="E6135" t="s">
        <v>13</v>
      </c>
      <c r="F6135" t="s">
        <v>14</v>
      </c>
      <c r="G6135" t="s">
        <v>23</v>
      </c>
      <c r="K6135" cm="1">
        <f t="array" ref="K6135">_xlfn.SWITCH(LeadsData[[#This Row],[Funnel Stage Reached]],"Lead",1,"MQL",2,"SQL",3,"Customer",4)</f>
        <v>2</v>
      </c>
      <c r="L6135" t="str">
        <f>TEXT(LeadsData[[#This Row],[Signup Date]],"mmm-yyyy")</f>
        <v>Dec-2024</v>
      </c>
      <c r="M6135">
        <f>IF(LeadsData[[#This Row],[Stage Number]]&gt;=2,1,0)</f>
        <v>1</v>
      </c>
      <c r="N6135" s="2">
        <f>IF(LeadsData[[#This Row],[Stage Number]]&gt;=3,1,0)</f>
        <v>0</v>
      </c>
      <c r="O6135" s="2">
        <f>IF(LeadsData[[#This Row],[Stage Number]]&gt;=4,1,0)</f>
        <v>0</v>
      </c>
    </row>
    <row r="6136" spans="1:15" x14ac:dyDescent="0.25">
      <c r="A6136" t="s">
        <v>6176</v>
      </c>
      <c r="B6136" s="1">
        <v>45523</v>
      </c>
      <c r="C6136" t="s">
        <v>46</v>
      </c>
      <c r="D6136" t="s">
        <v>47</v>
      </c>
      <c r="E6136" t="s">
        <v>21</v>
      </c>
      <c r="F6136" t="s">
        <v>19</v>
      </c>
      <c r="G6136" t="s">
        <v>23</v>
      </c>
      <c r="K6136" cm="1">
        <f t="array" ref="K6136">_xlfn.SWITCH(LeadsData[[#This Row],[Funnel Stage Reached]],"Lead",1,"MQL",2,"SQL",3,"Customer",4)</f>
        <v>2</v>
      </c>
      <c r="L6136" t="str">
        <f>TEXT(LeadsData[[#This Row],[Signup Date]],"mmm-yyyy")</f>
        <v>Aug-2024</v>
      </c>
      <c r="M6136">
        <f>IF(LeadsData[[#This Row],[Stage Number]]&gt;=2,1,0)</f>
        <v>1</v>
      </c>
      <c r="N6136" s="2">
        <f>IF(LeadsData[[#This Row],[Stage Number]]&gt;=3,1,0)</f>
        <v>0</v>
      </c>
      <c r="O6136" s="2">
        <f>IF(LeadsData[[#This Row],[Stage Number]]&gt;=4,1,0)</f>
        <v>0</v>
      </c>
    </row>
    <row r="6137" spans="1:15" x14ac:dyDescent="0.25">
      <c r="A6137" t="s">
        <v>6177</v>
      </c>
      <c r="B6137" s="1">
        <v>45576</v>
      </c>
      <c r="C6137" t="s">
        <v>31</v>
      </c>
      <c r="D6137" t="s">
        <v>34</v>
      </c>
      <c r="E6137" t="s">
        <v>13</v>
      </c>
      <c r="F6137" t="s">
        <v>19</v>
      </c>
      <c r="G6137" t="s">
        <v>29</v>
      </c>
      <c r="K6137" cm="1">
        <f t="array" ref="K6137">_xlfn.SWITCH(LeadsData[[#This Row],[Funnel Stage Reached]],"Lead",1,"MQL",2,"SQL",3,"Customer",4)</f>
        <v>3</v>
      </c>
      <c r="L6137" t="str">
        <f>TEXT(LeadsData[[#This Row],[Signup Date]],"mmm-yyyy")</f>
        <v>Oct-2024</v>
      </c>
      <c r="M6137">
        <f>IF(LeadsData[[#This Row],[Stage Number]]&gt;=2,1,0)</f>
        <v>1</v>
      </c>
      <c r="N6137" s="2">
        <f>IF(LeadsData[[#This Row],[Stage Number]]&gt;=3,1,0)</f>
        <v>1</v>
      </c>
      <c r="O6137" s="2">
        <f>IF(LeadsData[[#This Row],[Stage Number]]&gt;=4,1,0)</f>
        <v>0</v>
      </c>
    </row>
    <row r="6138" spans="1:15" x14ac:dyDescent="0.25">
      <c r="A6138" t="s">
        <v>6178</v>
      </c>
      <c r="B6138" s="1">
        <v>45463</v>
      </c>
      <c r="C6138" t="s">
        <v>11</v>
      </c>
      <c r="D6138" t="s">
        <v>12</v>
      </c>
      <c r="E6138" t="s">
        <v>13</v>
      </c>
      <c r="F6138" t="s">
        <v>19</v>
      </c>
      <c r="G6138" t="s">
        <v>15</v>
      </c>
      <c r="K6138" cm="1">
        <f t="array" ref="K6138">_xlfn.SWITCH(LeadsData[[#This Row],[Funnel Stage Reached]],"Lead",1,"MQL",2,"SQL",3,"Customer",4)</f>
        <v>1</v>
      </c>
      <c r="L6138" t="str">
        <f>TEXT(LeadsData[[#This Row],[Signup Date]],"mmm-yyyy")</f>
        <v>Jun-2024</v>
      </c>
      <c r="M6138">
        <f>IF(LeadsData[[#This Row],[Stage Number]]&gt;=2,1,0)</f>
        <v>0</v>
      </c>
      <c r="N6138" s="2">
        <f>IF(LeadsData[[#This Row],[Stage Number]]&gt;=3,1,0)</f>
        <v>0</v>
      </c>
      <c r="O6138" s="2">
        <f>IF(LeadsData[[#This Row],[Stage Number]]&gt;=4,1,0)</f>
        <v>0</v>
      </c>
    </row>
    <row r="6139" spans="1:15" x14ac:dyDescent="0.25">
      <c r="A6139" t="s">
        <v>6179</v>
      </c>
      <c r="B6139" s="1">
        <v>45342</v>
      </c>
      <c r="C6139" t="s">
        <v>31</v>
      </c>
      <c r="D6139" t="s">
        <v>32</v>
      </c>
      <c r="E6139" t="s">
        <v>21</v>
      </c>
      <c r="F6139" t="s">
        <v>19</v>
      </c>
      <c r="G6139" t="s">
        <v>23</v>
      </c>
      <c r="K6139" cm="1">
        <f t="array" ref="K6139">_xlfn.SWITCH(LeadsData[[#This Row],[Funnel Stage Reached]],"Lead",1,"MQL",2,"SQL",3,"Customer",4)</f>
        <v>2</v>
      </c>
      <c r="L6139" t="str">
        <f>TEXT(LeadsData[[#This Row],[Signup Date]],"mmm-yyyy")</f>
        <v>Feb-2024</v>
      </c>
      <c r="M6139">
        <f>IF(LeadsData[[#This Row],[Stage Number]]&gt;=2,1,0)</f>
        <v>1</v>
      </c>
      <c r="N6139" s="2">
        <f>IF(LeadsData[[#This Row],[Stage Number]]&gt;=3,1,0)</f>
        <v>0</v>
      </c>
      <c r="O6139" s="2">
        <f>IF(LeadsData[[#This Row],[Stage Number]]&gt;=4,1,0)</f>
        <v>0</v>
      </c>
    </row>
    <row r="6140" spans="1:15" x14ac:dyDescent="0.25">
      <c r="A6140" t="s">
        <v>6180</v>
      </c>
      <c r="B6140" s="1">
        <v>45393</v>
      </c>
      <c r="C6140" t="s">
        <v>31</v>
      </c>
      <c r="D6140" t="s">
        <v>32</v>
      </c>
      <c r="E6140" t="s">
        <v>48</v>
      </c>
      <c r="F6140" t="s">
        <v>14</v>
      </c>
      <c r="G6140" t="s">
        <v>15</v>
      </c>
      <c r="K6140" cm="1">
        <f t="array" ref="K6140">_xlfn.SWITCH(LeadsData[[#This Row],[Funnel Stage Reached]],"Lead",1,"MQL",2,"SQL",3,"Customer",4)</f>
        <v>1</v>
      </c>
      <c r="L6140" t="str">
        <f>TEXT(LeadsData[[#This Row],[Signup Date]],"mmm-yyyy")</f>
        <v>Apr-2024</v>
      </c>
      <c r="M6140">
        <f>IF(LeadsData[[#This Row],[Stage Number]]&gt;=2,1,0)</f>
        <v>0</v>
      </c>
      <c r="N6140" s="2">
        <f>IF(LeadsData[[#This Row],[Stage Number]]&gt;=3,1,0)</f>
        <v>0</v>
      </c>
      <c r="O6140" s="2">
        <f>IF(LeadsData[[#This Row],[Stage Number]]&gt;=4,1,0)</f>
        <v>0</v>
      </c>
    </row>
    <row r="6141" spans="1:15" x14ac:dyDescent="0.25">
      <c r="A6141" t="s">
        <v>6181</v>
      </c>
      <c r="B6141" s="1">
        <v>45420</v>
      </c>
      <c r="C6141" t="s">
        <v>36</v>
      </c>
      <c r="D6141" t="s">
        <v>37</v>
      </c>
      <c r="E6141" t="s">
        <v>13</v>
      </c>
      <c r="F6141" t="s">
        <v>22</v>
      </c>
      <c r="G6141" t="s">
        <v>42</v>
      </c>
      <c r="H6141">
        <v>29</v>
      </c>
      <c r="I6141" t="s">
        <v>43</v>
      </c>
      <c r="J6141">
        <v>970.25</v>
      </c>
      <c r="K6141" cm="1">
        <f t="array" ref="K6141">_xlfn.SWITCH(LeadsData[[#This Row],[Funnel Stage Reached]],"Lead",1,"MQL",2,"SQL",3,"Customer",4)</f>
        <v>4</v>
      </c>
      <c r="L6141" t="str">
        <f>TEXT(LeadsData[[#This Row],[Signup Date]],"mmm-yyyy")</f>
        <v>May-2024</v>
      </c>
      <c r="M6141">
        <f>IF(LeadsData[[#This Row],[Stage Number]]&gt;=2,1,0)</f>
        <v>1</v>
      </c>
      <c r="N6141" s="2">
        <f>IF(LeadsData[[#This Row],[Stage Number]]&gt;=3,1,0)</f>
        <v>1</v>
      </c>
      <c r="O6141" s="2">
        <f>IF(LeadsData[[#This Row],[Stage Number]]&gt;=4,1,0)</f>
        <v>1</v>
      </c>
    </row>
    <row r="6142" spans="1:15" x14ac:dyDescent="0.25">
      <c r="A6142" t="s">
        <v>6182</v>
      </c>
      <c r="B6142" s="1">
        <v>45556</v>
      </c>
      <c r="C6142" t="s">
        <v>31</v>
      </c>
      <c r="D6142" t="s">
        <v>32</v>
      </c>
      <c r="E6142" t="s">
        <v>13</v>
      </c>
      <c r="F6142" t="s">
        <v>19</v>
      </c>
      <c r="G6142" t="s">
        <v>15</v>
      </c>
      <c r="K6142" cm="1">
        <f t="array" ref="K6142">_xlfn.SWITCH(LeadsData[[#This Row],[Funnel Stage Reached]],"Lead",1,"MQL",2,"SQL",3,"Customer",4)</f>
        <v>1</v>
      </c>
      <c r="L6142" t="str">
        <f>TEXT(LeadsData[[#This Row],[Signup Date]],"mmm-yyyy")</f>
        <v>Sep-2024</v>
      </c>
      <c r="M6142">
        <f>IF(LeadsData[[#This Row],[Stage Number]]&gt;=2,1,0)</f>
        <v>0</v>
      </c>
      <c r="N6142" s="2">
        <f>IF(LeadsData[[#This Row],[Stage Number]]&gt;=3,1,0)</f>
        <v>0</v>
      </c>
      <c r="O6142" s="2">
        <f>IF(LeadsData[[#This Row],[Stage Number]]&gt;=4,1,0)</f>
        <v>0</v>
      </c>
    </row>
    <row r="6143" spans="1:15" x14ac:dyDescent="0.25">
      <c r="A6143" t="s">
        <v>6183</v>
      </c>
      <c r="B6143" s="1">
        <v>45547</v>
      </c>
      <c r="C6143" t="s">
        <v>17</v>
      </c>
      <c r="D6143" t="s">
        <v>53</v>
      </c>
      <c r="E6143" t="s">
        <v>21</v>
      </c>
      <c r="F6143" t="s">
        <v>19</v>
      </c>
      <c r="G6143" t="s">
        <v>15</v>
      </c>
      <c r="K6143" cm="1">
        <f t="array" ref="K6143">_xlfn.SWITCH(LeadsData[[#This Row],[Funnel Stage Reached]],"Lead",1,"MQL",2,"SQL",3,"Customer",4)</f>
        <v>1</v>
      </c>
      <c r="L6143" t="str">
        <f>TEXT(LeadsData[[#This Row],[Signup Date]],"mmm-yyyy")</f>
        <v>Sep-2024</v>
      </c>
      <c r="M6143">
        <f>IF(LeadsData[[#This Row],[Stage Number]]&gt;=2,1,0)</f>
        <v>0</v>
      </c>
      <c r="N6143" s="2">
        <f>IF(LeadsData[[#This Row],[Stage Number]]&gt;=3,1,0)</f>
        <v>0</v>
      </c>
      <c r="O6143" s="2">
        <f>IF(LeadsData[[#This Row],[Stage Number]]&gt;=4,1,0)</f>
        <v>0</v>
      </c>
    </row>
    <row r="6144" spans="1:15" x14ac:dyDescent="0.25">
      <c r="A6144" t="s">
        <v>6184</v>
      </c>
      <c r="B6144" s="1">
        <v>45302</v>
      </c>
      <c r="C6144" t="s">
        <v>36</v>
      </c>
      <c r="D6144" t="s">
        <v>50</v>
      </c>
      <c r="E6144" t="s">
        <v>21</v>
      </c>
      <c r="F6144" t="s">
        <v>14</v>
      </c>
      <c r="G6144" t="s">
        <v>23</v>
      </c>
      <c r="K6144" cm="1">
        <f t="array" ref="K6144">_xlfn.SWITCH(LeadsData[[#This Row],[Funnel Stage Reached]],"Lead",1,"MQL",2,"SQL",3,"Customer",4)</f>
        <v>2</v>
      </c>
      <c r="L6144" t="str">
        <f>TEXT(LeadsData[[#This Row],[Signup Date]],"mmm-yyyy")</f>
        <v>Jan-2024</v>
      </c>
      <c r="M6144">
        <f>IF(LeadsData[[#This Row],[Stage Number]]&gt;=2,1,0)</f>
        <v>1</v>
      </c>
      <c r="N6144" s="2">
        <f>IF(LeadsData[[#This Row],[Stage Number]]&gt;=3,1,0)</f>
        <v>0</v>
      </c>
      <c r="O6144" s="2">
        <f>IF(LeadsData[[#This Row],[Stage Number]]&gt;=4,1,0)</f>
        <v>0</v>
      </c>
    </row>
    <row r="6145" spans="1:15" x14ac:dyDescent="0.25">
      <c r="A6145" t="s">
        <v>6185</v>
      </c>
      <c r="B6145" s="1">
        <v>45602</v>
      </c>
      <c r="C6145" t="s">
        <v>31</v>
      </c>
      <c r="D6145" t="s">
        <v>32</v>
      </c>
      <c r="E6145" t="s">
        <v>21</v>
      </c>
      <c r="F6145" t="s">
        <v>22</v>
      </c>
      <c r="G6145" t="s">
        <v>15</v>
      </c>
      <c r="K6145" cm="1">
        <f t="array" ref="K6145">_xlfn.SWITCH(LeadsData[[#This Row],[Funnel Stage Reached]],"Lead",1,"MQL",2,"SQL",3,"Customer",4)</f>
        <v>1</v>
      </c>
      <c r="L6145" t="str">
        <f>TEXT(LeadsData[[#This Row],[Signup Date]],"mmm-yyyy")</f>
        <v>Nov-2024</v>
      </c>
      <c r="M6145">
        <f>IF(LeadsData[[#This Row],[Stage Number]]&gt;=2,1,0)</f>
        <v>0</v>
      </c>
      <c r="N6145" s="2">
        <f>IF(LeadsData[[#This Row],[Stage Number]]&gt;=3,1,0)</f>
        <v>0</v>
      </c>
      <c r="O6145" s="2">
        <f>IF(LeadsData[[#This Row],[Stage Number]]&gt;=4,1,0)</f>
        <v>0</v>
      </c>
    </row>
    <row r="6146" spans="1:15" x14ac:dyDescent="0.25">
      <c r="A6146" t="s">
        <v>6186</v>
      </c>
      <c r="B6146" s="1">
        <v>45631</v>
      </c>
      <c r="C6146" t="s">
        <v>31</v>
      </c>
      <c r="D6146" t="s">
        <v>34</v>
      </c>
      <c r="E6146" t="s">
        <v>13</v>
      </c>
      <c r="F6146" t="s">
        <v>14</v>
      </c>
      <c r="G6146" t="s">
        <v>15</v>
      </c>
      <c r="K6146" cm="1">
        <f t="array" ref="K6146">_xlfn.SWITCH(LeadsData[[#This Row],[Funnel Stage Reached]],"Lead",1,"MQL",2,"SQL",3,"Customer",4)</f>
        <v>1</v>
      </c>
      <c r="L6146" t="str">
        <f>TEXT(LeadsData[[#This Row],[Signup Date]],"mmm-yyyy")</f>
        <v>Dec-2024</v>
      </c>
      <c r="M6146">
        <f>IF(LeadsData[[#This Row],[Stage Number]]&gt;=2,1,0)</f>
        <v>0</v>
      </c>
      <c r="N6146" s="2">
        <f>IF(LeadsData[[#This Row],[Stage Number]]&gt;=3,1,0)</f>
        <v>0</v>
      </c>
      <c r="O6146" s="2">
        <f>IF(LeadsData[[#This Row],[Stage Number]]&gt;=4,1,0)</f>
        <v>0</v>
      </c>
    </row>
    <row r="6147" spans="1:15" x14ac:dyDescent="0.25">
      <c r="A6147" t="s">
        <v>6187</v>
      </c>
      <c r="B6147" s="1">
        <v>45553</v>
      </c>
      <c r="C6147" t="s">
        <v>36</v>
      </c>
      <c r="D6147" t="s">
        <v>50</v>
      </c>
      <c r="E6147" t="s">
        <v>21</v>
      </c>
      <c r="F6147" t="s">
        <v>22</v>
      </c>
      <c r="G6147" t="s">
        <v>23</v>
      </c>
      <c r="K6147" cm="1">
        <f t="array" ref="K6147">_xlfn.SWITCH(LeadsData[[#This Row],[Funnel Stage Reached]],"Lead",1,"MQL",2,"SQL",3,"Customer",4)</f>
        <v>2</v>
      </c>
      <c r="L6147" t="str">
        <f>TEXT(LeadsData[[#This Row],[Signup Date]],"mmm-yyyy")</f>
        <v>Sep-2024</v>
      </c>
      <c r="M6147">
        <f>IF(LeadsData[[#This Row],[Stage Number]]&gt;=2,1,0)</f>
        <v>1</v>
      </c>
      <c r="N6147" s="2">
        <f>IF(LeadsData[[#This Row],[Stage Number]]&gt;=3,1,0)</f>
        <v>0</v>
      </c>
      <c r="O6147" s="2">
        <f>IF(LeadsData[[#This Row],[Stage Number]]&gt;=4,1,0)</f>
        <v>0</v>
      </c>
    </row>
    <row r="6148" spans="1:15" x14ac:dyDescent="0.25">
      <c r="A6148" t="s">
        <v>6188</v>
      </c>
      <c r="B6148" s="1">
        <v>45355</v>
      </c>
      <c r="C6148" t="s">
        <v>36</v>
      </c>
      <c r="D6148" t="s">
        <v>50</v>
      </c>
      <c r="E6148" t="s">
        <v>21</v>
      </c>
      <c r="F6148" t="s">
        <v>19</v>
      </c>
      <c r="G6148" t="s">
        <v>15</v>
      </c>
      <c r="K6148" cm="1">
        <f t="array" ref="K6148">_xlfn.SWITCH(LeadsData[[#This Row],[Funnel Stage Reached]],"Lead",1,"MQL",2,"SQL",3,"Customer",4)</f>
        <v>1</v>
      </c>
      <c r="L6148" t="str">
        <f>TEXT(LeadsData[[#This Row],[Signup Date]],"mmm-yyyy")</f>
        <v>Mar-2024</v>
      </c>
      <c r="M6148">
        <f>IF(LeadsData[[#This Row],[Stage Number]]&gt;=2,1,0)</f>
        <v>0</v>
      </c>
      <c r="N6148" s="2">
        <f>IF(LeadsData[[#This Row],[Stage Number]]&gt;=3,1,0)</f>
        <v>0</v>
      </c>
      <c r="O6148" s="2">
        <f>IF(LeadsData[[#This Row],[Stage Number]]&gt;=4,1,0)</f>
        <v>0</v>
      </c>
    </row>
    <row r="6149" spans="1:15" x14ac:dyDescent="0.25">
      <c r="A6149" t="s">
        <v>6189</v>
      </c>
      <c r="B6149" s="1">
        <v>45650</v>
      </c>
      <c r="C6149" t="s">
        <v>46</v>
      </c>
      <c r="D6149" t="s">
        <v>56</v>
      </c>
      <c r="E6149" t="s">
        <v>13</v>
      </c>
      <c r="F6149" t="s">
        <v>28</v>
      </c>
      <c r="G6149" t="s">
        <v>15</v>
      </c>
      <c r="K6149" cm="1">
        <f t="array" ref="K6149">_xlfn.SWITCH(LeadsData[[#This Row],[Funnel Stage Reached]],"Lead",1,"MQL",2,"SQL",3,"Customer",4)</f>
        <v>1</v>
      </c>
      <c r="L6149" t="str">
        <f>TEXT(LeadsData[[#This Row],[Signup Date]],"mmm-yyyy")</f>
        <v>Dec-2024</v>
      </c>
      <c r="M6149">
        <f>IF(LeadsData[[#This Row],[Stage Number]]&gt;=2,1,0)</f>
        <v>0</v>
      </c>
      <c r="N6149" s="2">
        <f>IF(LeadsData[[#This Row],[Stage Number]]&gt;=3,1,0)</f>
        <v>0</v>
      </c>
      <c r="O6149" s="2">
        <f>IF(LeadsData[[#This Row],[Stage Number]]&gt;=4,1,0)</f>
        <v>0</v>
      </c>
    </row>
    <row r="6150" spans="1:15" x14ac:dyDescent="0.25">
      <c r="A6150" t="s">
        <v>6190</v>
      </c>
      <c r="B6150" s="1">
        <v>45620</v>
      </c>
      <c r="C6150" t="s">
        <v>36</v>
      </c>
      <c r="D6150" t="s">
        <v>37</v>
      </c>
      <c r="E6150" t="s">
        <v>13</v>
      </c>
      <c r="F6150" t="s">
        <v>19</v>
      </c>
      <c r="G6150" t="s">
        <v>29</v>
      </c>
      <c r="K6150" cm="1">
        <f t="array" ref="K6150">_xlfn.SWITCH(LeadsData[[#This Row],[Funnel Stage Reached]],"Lead",1,"MQL",2,"SQL",3,"Customer",4)</f>
        <v>3</v>
      </c>
      <c r="L6150" t="str">
        <f>TEXT(LeadsData[[#This Row],[Signup Date]],"mmm-yyyy")</f>
        <v>Nov-2024</v>
      </c>
      <c r="M6150">
        <f>IF(LeadsData[[#This Row],[Stage Number]]&gt;=2,1,0)</f>
        <v>1</v>
      </c>
      <c r="N6150" s="2">
        <f>IF(LeadsData[[#This Row],[Stage Number]]&gt;=3,1,0)</f>
        <v>1</v>
      </c>
      <c r="O6150" s="2">
        <f>IF(LeadsData[[#This Row],[Stage Number]]&gt;=4,1,0)</f>
        <v>0</v>
      </c>
    </row>
    <row r="6151" spans="1:15" x14ac:dyDescent="0.25">
      <c r="A6151" t="s">
        <v>6191</v>
      </c>
      <c r="B6151" s="1">
        <v>45333</v>
      </c>
      <c r="C6151" t="s">
        <v>17</v>
      </c>
      <c r="D6151" t="s">
        <v>53</v>
      </c>
      <c r="E6151" t="s">
        <v>13</v>
      </c>
      <c r="F6151" t="s">
        <v>19</v>
      </c>
      <c r="G6151" t="s">
        <v>15</v>
      </c>
      <c r="K6151" cm="1">
        <f t="array" ref="K6151">_xlfn.SWITCH(LeadsData[[#This Row],[Funnel Stage Reached]],"Lead",1,"MQL",2,"SQL",3,"Customer",4)</f>
        <v>1</v>
      </c>
      <c r="L6151" t="str">
        <f>TEXT(LeadsData[[#This Row],[Signup Date]],"mmm-yyyy")</f>
        <v>Feb-2024</v>
      </c>
      <c r="M6151">
        <f>IF(LeadsData[[#This Row],[Stage Number]]&gt;=2,1,0)</f>
        <v>0</v>
      </c>
      <c r="N6151" s="2">
        <f>IF(LeadsData[[#This Row],[Stage Number]]&gt;=3,1,0)</f>
        <v>0</v>
      </c>
      <c r="O6151" s="2">
        <f>IF(LeadsData[[#This Row],[Stage Number]]&gt;=4,1,0)</f>
        <v>0</v>
      </c>
    </row>
    <row r="6152" spans="1:15" x14ac:dyDescent="0.25">
      <c r="A6152" t="s">
        <v>6192</v>
      </c>
      <c r="B6152" s="1">
        <v>45521</v>
      </c>
      <c r="C6152" t="s">
        <v>36</v>
      </c>
      <c r="D6152" t="s">
        <v>37</v>
      </c>
      <c r="E6152" t="s">
        <v>21</v>
      </c>
      <c r="F6152" t="s">
        <v>14</v>
      </c>
      <c r="G6152" t="s">
        <v>42</v>
      </c>
      <c r="H6152">
        <v>55</v>
      </c>
      <c r="I6152" t="s">
        <v>43</v>
      </c>
      <c r="J6152">
        <v>825.1</v>
      </c>
      <c r="K6152" cm="1">
        <f t="array" ref="K6152">_xlfn.SWITCH(LeadsData[[#This Row],[Funnel Stage Reached]],"Lead",1,"MQL",2,"SQL",3,"Customer",4)</f>
        <v>4</v>
      </c>
      <c r="L6152" t="str">
        <f>TEXT(LeadsData[[#This Row],[Signup Date]],"mmm-yyyy")</f>
        <v>Aug-2024</v>
      </c>
      <c r="M6152">
        <f>IF(LeadsData[[#This Row],[Stage Number]]&gt;=2,1,0)</f>
        <v>1</v>
      </c>
      <c r="N6152" s="2">
        <f>IF(LeadsData[[#This Row],[Stage Number]]&gt;=3,1,0)</f>
        <v>1</v>
      </c>
      <c r="O6152" s="2">
        <f>IF(LeadsData[[#This Row],[Stage Number]]&gt;=4,1,0)</f>
        <v>1</v>
      </c>
    </row>
    <row r="6153" spans="1:15" x14ac:dyDescent="0.25">
      <c r="A6153" t="s">
        <v>6193</v>
      </c>
      <c r="B6153" s="1">
        <v>45605</v>
      </c>
      <c r="C6153" t="s">
        <v>46</v>
      </c>
      <c r="D6153" t="s">
        <v>47</v>
      </c>
      <c r="E6153" t="s">
        <v>13</v>
      </c>
      <c r="F6153" t="s">
        <v>19</v>
      </c>
      <c r="G6153" t="s">
        <v>29</v>
      </c>
      <c r="K6153" cm="1">
        <f t="array" ref="K6153">_xlfn.SWITCH(LeadsData[[#This Row],[Funnel Stage Reached]],"Lead",1,"MQL",2,"SQL",3,"Customer",4)</f>
        <v>3</v>
      </c>
      <c r="L6153" t="str">
        <f>TEXT(LeadsData[[#This Row],[Signup Date]],"mmm-yyyy")</f>
        <v>Nov-2024</v>
      </c>
      <c r="M6153">
        <f>IF(LeadsData[[#This Row],[Stage Number]]&gt;=2,1,0)</f>
        <v>1</v>
      </c>
      <c r="N6153" s="2">
        <f>IF(LeadsData[[#This Row],[Stage Number]]&gt;=3,1,0)</f>
        <v>1</v>
      </c>
      <c r="O6153" s="2">
        <f>IF(LeadsData[[#This Row],[Stage Number]]&gt;=4,1,0)</f>
        <v>0</v>
      </c>
    </row>
    <row r="6154" spans="1:15" x14ac:dyDescent="0.25">
      <c r="A6154" t="s">
        <v>6194</v>
      </c>
      <c r="B6154" s="1">
        <v>45614</v>
      </c>
      <c r="C6154" t="s">
        <v>36</v>
      </c>
      <c r="D6154" t="s">
        <v>50</v>
      </c>
      <c r="E6154" t="s">
        <v>21</v>
      </c>
      <c r="F6154" t="s">
        <v>14</v>
      </c>
      <c r="G6154" t="s">
        <v>23</v>
      </c>
      <c r="K6154" cm="1">
        <f t="array" ref="K6154">_xlfn.SWITCH(LeadsData[[#This Row],[Funnel Stage Reached]],"Lead",1,"MQL",2,"SQL",3,"Customer",4)</f>
        <v>2</v>
      </c>
      <c r="L6154" t="str">
        <f>TEXT(LeadsData[[#This Row],[Signup Date]],"mmm-yyyy")</f>
        <v>Nov-2024</v>
      </c>
      <c r="M6154">
        <f>IF(LeadsData[[#This Row],[Stage Number]]&gt;=2,1,0)</f>
        <v>1</v>
      </c>
      <c r="N6154" s="2">
        <f>IF(LeadsData[[#This Row],[Stage Number]]&gt;=3,1,0)</f>
        <v>0</v>
      </c>
      <c r="O6154" s="2">
        <f>IF(LeadsData[[#This Row],[Stage Number]]&gt;=4,1,0)</f>
        <v>0</v>
      </c>
    </row>
    <row r="6155" spans="1:15" x14ac:dyDescent="0.25">
      <c r="A6155" t="s">
        <v>6195</v>
      </c>
      <c r="B6155" s="1">
        <v>45570</v>
      </c>
      <c r="C6155" t="s">
        <v>31</v>
      </c>
      <c r="D6155" t="s">
        <v>34</v>
      </c>
      <c r="E6155" t="s">
        <v>13</v>
      </c>
      <c r="F6155" t="s">
        <v>28</v>
      </c>
      <c r="G6155" t="s">
        <v>23</v>
      </c>
      <c r="K6155" cm="1">
        <f t="array" ref="K6155">_xlfn.SWITCH(LeadsData[[#This Row],[Funnel Stage Reached]],"Lead",1,"MQL",2,"SQL",3,"Customer",4)</f>
        <v>2</v>
      </c>
      <c r="L6155" t="str">
        <f>TEXT(LeadsData[[#This Row],[Signup Date]],"mmm-yyyy")</f>
        <v>Oct-2024</v>
      </c>
      <c r="M6155">
        <f>IF(LeadsData[[#This Row],[Stage Number]]&gt;=2,1,0)</f>
        <v>1</v>
      </c>
      <c r="N6155" s="2">
        <f>IF(LeadsData[[#This Row],[Stage Number]]&gt;=3,1,0)</f>
        <v>0</v>
      </c>
      <c r="O6155" s="2">
        <f>IF(LeadsData[[#This Row],[Stage Number]]&gt;=4,1,0)</f>
        <v>0</v>
      </c>
    </row>
    <row r="6156" spans="1:15" x14ac:dyDescent="0.25">
      <c r="A6156" t="s">
        <v>6196</v>
      </c>
      <c r="B6156" s="1">
        <v>45458</v>
      </c>
      <c r="C6156" t="s">
        <v>36</v>
      </c>
      <c r="D6156" t="s">
        <v>50</v>
      </c>
      <c r="E6156" t="s">
        <v>13</v>
      </c>
      <c r="F6156" t="s">
        <v>14</v>
      </c>
      <c r="G6156" t="s">
        <v>42</v>
      </c>
      <c r="H6156">
        <v>43</v>
      </c>
      <c r="I6156" t="s">
        <v>43</v>
      </c>
      <c r="J6156">
        <v>1445.15</v>
      </c>
      <c r="K6156" cm="1">
        <f t="array" ref="K6156">_xlfn.SWITCH(LeadsData[[#This Row],[Funnel Stage Reached]],"Lead",1,"MQL",2,"SQL",3,"Customer",4)</f>
        <v>4</v>
      </c>
      <c r="L6156" t="str">
        <f>TEXT(LeadsData[[#This Row],[Signup Date]],"mmm-yyyy")</f>
        <v>Jun-2024</v>
      </c>
      <c r="M6156">
        <f>IF(LeadsData[[#This Row],[Stage Number]]&gt;=2,1,0)</f>
        <v>1</v>
      </c>
      <c r="N6156" s="2">
        <f>IF(LeadsData[[#This Row],[Stage Number]]&gt;=3,1,0)</f>
        <v>1</v>
      </c>
      <c r="O6156" s="2">
        <f>IF(LeadsData[[#This Row],[Stage Number]]&gt;=4,1,0)</f>
        <v>1</v>
      </c>
    </row>
    <row r="6157" spans="1:15" x14ac:dyDescent="0.25">
      <c r="A6157" t="s">
        <v>6197</v>
      </c>
      <c r="B6157" s="1">
        <v>45431</v>
      </c>
      <c r="C6157" t="s">
        <v>31</v>
      </c>
      <c r="D6157" t="s">
        <v>34</v>
      </c>
      <c r="E6157" t="s">
        <v>48</v>
      </c>
      <c r="F6157" t="s">
        <v>22</v>
      </c>
      <c r="G6157" t="s">
        <v>23</v>
      </c>
      <c r="K6157" cm="1">
        <f t="array" ref="K6157">_xlfn.SWITCH(LeadsData[[#This Row],[Funnel Stage Reached]],"Lead",1,"MQL",2,"SQL",3,"Customer",4)</f>
        <v>2</v>
      </c>
      <c r="L6157" t="str">
        <f>TEXT(LeadsData[[#This Row],[Signup Date]],"mmm-yyyy")</f>
        <v>May-2024</v>
      </c>
      <c r="M6157">
        <f>IF(LeadsData[[#This Row],[Stage Number]]&gt;=2,1,0)</f>
        <v>1</v>
      </c>
      <c r="N6157" s="2">
        <f>IF(LeadsData[[#This Row],[Stage Number]]&gt;=3,1,0)</f>
        <v>0</v>
      </c>
      <c r="O6157" s="2">
        <f>IF(LeadsData[[#This Row],[Stage Number]]&gt;=4,1,0)</f>
        <v>0</v>
      </c>
    </row>
    <row r="6158" spans="1:15" x14ac:dyDescent="0.25">
      <c r="A6158" t="s">
        <v>6198</v>
      </c>
      <c r="B6158" s="1">
        <v>45598</v>
      </c>
      <c r="C6158" t="s">
        <v>11</v>
      </c>
      <c r="D6158" t="s">
        <v>12</v>
      </c>
      <c r="E6158" t="s">
        <v>21</v>
      </c>
      <c r="F6158" t="s">
        <v>19</v>
      </c>
      <c r="G6158" t="s">
        <v>23</v>
      </c>
      <c r="K6158" cm="1">
        <f t="array" ref="K6158">_xlfn.SWITCH(LeadsData[[#This Row],[Funnel Stage Reached]],"Lead",1,"MQL",2,"SQL",3,"Customer",4)</f>
        <v>2</v>
      </c>
      <c r="L6158" t="str">
        <f>TEXT(LeadsData[[#This Row],[Signup Date]],"mmm-yyyy")</f>
        <v>Nov-2024</v>
      </c>
      <c r="M6158">
        <f>IF(LeadsData[[#This Row],[Stage Number]]&gt;=2,1,0)</f>
        <v>1</v>
      </c>
      <c r="N6158" s="2">
        <f>IF(LeadsData[[#This Row],[Stage Number]]&gt;=3,1,0)</f>
        <v>0</v>
      </c>
      <c r="O6158" s="2">
        <f>IF(LeadsData[[#This Row],[Stage Number]]&gt;=4,1,0)</f>
        <v>0</v>
      </c>
    </row>
    <row r="6159" spans="1:15" x14ac:dyDescent="0.25">
      <c r="A6159" t="s">
        <v>6199</v>
      </c>
      <c r="B6159" s="1">
        <v>45521</v>
      </c>
      <c r="C6159" t="s">
        <v>31</v>
      </c>
      <c r="D6159" t="s">
        <v>34</v>
      </c>
      <c r="E6159" t="s">
        <v>21</v>
      </c>
      <c r="F6159" t="s">
        <v>22</v>
      </c>
      <c r="G6159" t="s">
        <v>23</v>
      </c>
      <c r="K6159" cm="1">
        <f t="array" ref="K6159">_xlfn.SWITCH(LeadsData[[#This Row],[Funnel Stage Reached]],"Lead",1,"MQL",2,"SQL",3,"Customer",4)</f>
        <v>2</v>
      </c>
      <c r="L6159" t="str">
        <f>TEXT(LeadsData[[#This Row],[Signup Date]],"mmm-yyyy")</f>
        <v>Aug-2024</v>
      </c>
      <c r="M6159">
        <f>IF(LeadsData[[#This Row],[Stage Number]]&gt;=2,1,0)</f>
        <v>1</v>
      </c>
      <c r="N6159" s="2">
        <f>IF(LeadsData[[#This Row],[Stage Number]]&gt;=3,1,0)</f>
        <v>0</v>
      </c>
      <c r="O6159" s="2">
        <f>IF(LeadsData[[#This Row],[Stage Number]]&gt;=4,1,0)</f>
        <v>0</v>
      </c>
    </row>
    <row r="6160" spans="1:15" x14ac:dyDescent="0.25">
      <c r="A6160" t="s">
        <v>6200</v>
      </c>
      <c r="B6160" s="1">
        <v>45496</v>
      </c>
      <c r="C6160" t="s">
        <v>36</v>
      </c>
      <c r="D6160" t="s">
        <v>37</v>
      </c>
      <c r="E6160" t="s">
        <v>13</v>
      </c>
      <c r="F6160" t="s">
        <v>22</v>
      </c>
      <c r="G6160" t="s">
        <v>29</v>
      </c>
      <c r="K6160" cm="1">
        <f t="array" ref="K6160">_xlfn.SWITCH(LeadsData[[#This Row],[Funnel Stage Reached]],"Lead",1,"MQL",2,"SQL",3,"Customer",4)</f>
        <v>3</v>
      </c>
      <c r="L6160" t="str">
        <f>TEXT(LeadsData[[#This Row],[Signup Date]],"mmm-yyyy")</f>
        <v>Jul-2024</v>
      </c>
      <c r="M6160">
        <f>IF(LeadsData[[#This Row],[Stage Number]]&gt;=2,1,0)</f>
        <v>1</v>
      </c>
      <c r="N6160" s="2">
        <f>IF(LeadsData[[#This Row],[Stage Number]]&gt;=3,1,0)</f>
        <v>1</v>
      </c>
      <c r="O6160" s="2">
        <f>IF(LeadsData[[#This Row],[Stage Number]]&gt;=4,1,0)</f>
        <v>0</v>
      </c>
    </row>
    <row r="6161" spans="1:15" x14ac:dyDescent="0.25">
      <c r="A6161" t="s">
        <v>6201</v>
      </c>
      <c r="B6161" s="1">
        <v>45522</v>
      </c>
      <c r="C6161" t="s">
        <v>31</v>
      </c>
      <c r="D6161" t="s">
        <v>34</v>
      </c>
      <c r="E6161" t="s">
        <v>21</v>
      </c>
      <c r="F6161" t="s">
        <v>14</v>
      </c>
      <c r="G6161" t="s">
        <v>29</v>
      </c>
      <c r="K6161" cm="1">
        <f t="array" ref="K6161">_xlfn.SWITCH(LeadsData[[#This Row],[Funnel Stage Reached]],"Lead",1,"MQL",2,"SQL",3,"Customer",4)</f>
        <v>3</v>
      </c>
      <c r="L6161" t="str">
        <f>TEXT(LeadsData[[#This Row],[Signup Date]],"mmm-yyyy")</f>
        <v>Aug-2024</v>
      </c>
      <c r="M6161">
        <f>IF(LeadsData[[#This Row],[Stage Number]]&gt;=2,1,0)</f>
        <v>1</v>
      </c>
      <c r="N6161" s="2">
        <f>IF(LeadsData[[#This Row],[Stage Number]]&gt;=3,1,0)</f>
        <v>1</v>
      </c>
      <c r="O6161" s="2">
        <f>IF(LeadsData[[#This Row],[Stage Number]]&gt;=4,1,0)</f>
        <v>0</v>
      </c>
    </row>
    <row r="6162" spans="1:15" x14ac:dyDescent="0.25">
      <c r="A6162" t="s">
        <v>6202</v>
      </c>
      <c r="B6162" s="1">
        <v>45537</v>
      </c>
      <c r="C6162" t="s">
        <v>17</v>
      </c>
      <c r="D6162" t="s">
        <v>18</v>
      </c>
      <c r="E6162" t="s">
        <v>21</v>
      </c>
      <c r="F6162" t="s">
        <v>22</v>
      </c>
      <c r="G6162" t="s">
        <v>29</v>
      </c>
      <c r="K6162" cm="1">
        <f t="array" ref="K6162">_xlfn.SWITCH(LeadsData[[#This Row],[Funnel Stage Reached]],"Lead",1,"MQL",2,"SQL",3,"Customer",4)</f>
        <v>3</v>
      </c>
      <c r="L6162" t="str">
        <f>TEXT(LeadsData[[#This Row],[Signup Date]],"mmm-yyyy")</f>
        <v>Sep-2024</v>
      </c>
      <c r="M6162">
        <f>IF(LeadsData[[#This Row],[Stage Number]]&gt;=2,1,0)</f>
        <v>1</v>
      </c>
      <c r="N6162" s="2">
        <f>IF(LeadsData[[#This Row],[Stage Number]]&gt;=3,1,0)</f>
        <v>1</v>
      </c>
      <c r="O6162" s="2">
        <f>IF(LeadsData[[#This Row],[Stage Number]]&gt;=4,1,0)</f>
        <v>0</v>
      </c>
    </row>
    <row r="6163" spans="1:15" x14ac:dyDescent="0.25">
      <c r="A6163" t="s">
        <v>6203</v>
      </c>
      <c r="B6163" s="1">
        <v>45631</v>
      </c>
      <c r="C6163" t="s">
        <v>17</v>
      </c>
      <c r="D6163" t="s">
        <v>53</v>
      </c>
      <c r="E6163" t="s">
        <v>13</v>
      </c>
      <c r="F6163" t="s">
        <v>28</v>
      </c>
      <c r="G6163" t="s">
        <v>15</v>
      </c>
      <c r="K6163" cm="1">
        <f t="array" ref="K6163">_xlfn.SWITCH(LeadsData[[#This Row],[Funnel Stage Reached]],"Lead",1,"MQL",2,"SQL",3,"Customer",4)</f>
        <v>1</v>
      </c>
      <c r="L6163" t="str">
        <f>TEXT(LeadsData[[#This Row],[Signup Date]],"mmm-yyyy")</f>
        <v>Dec-2024</v>
      </c>
      <c r="M6163">
        <f>IF(LeadsData[[#This Row],[Stage Number]]&gt;=2,1,0)</f>
        <v>0</v>
      </c>
      <c r="N6163" s="2">
        <f>IF(LeadsData[[#This Row],[Stage Number]]&gt;=3,1,0)</f>
        <v>0</v>
      </c>
      <c r="O6163" s="2">
        <f>IF(LeadsData[[#This Row],[Stage Number]]&gt;=4,1,0)</f>
        <v>0</v>
      </c>
    </row>
    <row r="6164" spans="1:15" x14ac:dyDescent="0.25">
      <c r="A6164" t="s">
        <v>6204</v>
      </c>
      <c r="B6164" s="1">
        <v>45427</v>
      </c>
      <c r="C6164" t="s">
        <v>17</v>
      </c>
      <c r="D6164" t="s">
        <v>18</v>
      </c>
      <c r="E6164" t="s">
        <v>21</v>
      </c>
      <c r="F6164" t="s">
        <v>19</v>
      </c>
      <c r="G6164" t="s">
        <v>15</v>
      </c>
      <c r="K6164" cm="1">
        <f t="array" ref="K6164">_xlfn.SWITCH(LeadsData[[#This Row],[Funnel Stage Reached]],"Lead",1,"MQL",2,"SQL",3,"Customer",4)</f>
        <v>1</v>
      </c>
      <c r="L6164" t="str">
        <f>TEXT(LeadsData[[#This Row],[Signup Date]],"mmm-yyyy")</f>
        <v>May-2024</v>
      </c>
      <c r="M6164">
        <f>IF(LeadsData[[#This Row],[Stage Number]]&gt;=2,1,0)</f>
        <v>0</v>
      </c>
      <c r="N6164" s="2">
        <f>IF(LeadsData[[#This Row],[Stage Number]]&gt;=3,1,0)</f>
        <v>0</v>
      </c>
      <c r="O6164" s="2">
        <f>IF(LeadsData[[#This Row],[Stage Number]]&gt;=4,1,0)</f>
        <v>0</v>
      </c>
    </row>
    <row r="6165" spans="1:15" x14ac:dyDescent="0.25">
      <c r="A6165" t="s">
        <v>6205</v>
      </c>
      <c r="B6165" s="1">
        <v>45653</v>
      </c>
      <c r="C6165" t="s">
        <v>17</v>
      </c>
      <c r="D6165" t="s">
        <v>53</v>
      </c>
      <c r="E6165" t="s">
        <v>13</v>
      </c>
      <c r="F6165" t="s">
        <v>19</v>
      </c>
      <c r="G6165" t="s">
        <v>42</v>
      </c>
      <c r="H6165">
        <v>17</v>
      </c>
      <c r="I6165" t="s">
        <v>43</v>
      </c>
      <c r="J6165">
        <v>769.69</v>
      </c>
      <c r="K6165" cm="1">
        <f t="array" ref="K6165">_xlfn.SWITCH(LeadsData[[#This Row],[Funnel Stage Reached]],"Lead",1,"MQL",2,"SQL",3,"Customer",4)</f>
        <v>4</v>
      </c>
      <c r="L6165" t="str">
        <f>TEXT(LeadsData[[#This Row],[Signup Date]],"mmm-yyyy")</f>
        <v>Dec-2024</v>
      </c>
      <c r="M6165">
        <f>IF(LeadsData[[#This Row],[Stage Number]]&gt;=2,1,0)</f>
        <v>1</v>
      </c>
      <c r="N6165" s="2">
        <f>IF(LeadsData[[#This Row],[Stage Number]]&gt;=3,1,0)</f>
        <v>1</v>
      </c>
      <c r="O6165" s="2">
        <f>IF(LeadsData[[#This Row],[Stage Number]]&gt;=4,1,0)</f>
        <v>1</v>
      </c>
    </row>
    <row r="6166" spans="1:15" x14ac:dyDescent="0.25">
      <c r="A6166" t="s">
        <v>6206</v>
      </c>
      <c r="B6166" s="1">
        <v>45583</v>
      </c>
      <c r="C6166" t="s">
        <v>31</v>
      </c>
      <c r="D6166" t="s">
        <v>32</v>
      </c>
      <c r="E6166" t="s">
        <v>13</v>
      </c>
      <c r="F6166" t="s">
        <v>19</v>
      </c>
      <c r="G6166" t="s">
        <v>15</v>
      </c>
      <c r="K6166" cm="1">
        <f t="array" ref="K6166">_xlfn.SWITCH(LeadsData[[#This Row],[Funnel Stage Reached]],"Lead",1,"MQL",2,"SQL",3,"Customer",4)</f>
        <v>1</v>
      </c>
      <c r="L6166" t="str">
        <f>TEXT(LeadsData[[#This Row],[Signup Date]],"mmm-yyyy")</f>
        <v>Oct-2024</v>
      </c>
      <c r="M6166">
        <f>IF(LeadsData[[#This Row],[Stage Number]]&gt;=2,1,0)</f>
        <v>0</v>
      </c>
      <c r="N6166" s="2">
        <f>IF(LeadsData[[#This Row],[Stage Number]]&gt;=3,1,0)</f>
        <v>0</v>
      </c>
      <c r="O6166" s="2">
        <f>IF(LeadsData[[#This Row],[Stage Number]]&gt;=4,1,0)</f>
        <v>0</v>
      </c>
    </row>
    <row r="6167" spans="1:15" x14ac:dyDescent="0.25">
      <c r="A6167" t="s">
        <v>6207</v>
      </c>
      <c r="B6167" s="1">
        <v>45384</v>
      </c>
      <c r="C6167" t="s">
        <v>17</v>
      </c>
      <c r="D6167" t="s">
        <v>53</v>
      </c>
      <c r="E6167" t="s">
        <v>13</v>
      </c>
      <c r="F6167" t="s">
        <v>19</v>
      </c>
      <c r="G6167" t="s">
        <v>15</v>
      </c>
      <c r="K6167" cm="1">
        <f t="array" ref="K6167">_xlfn.SWITCH(LeadsData[[#This Row],[Funnel Stage Reached]],"Lead",1,"MQL",2,"SQL",3,"Customer",4)</f>
        <v>1</v>
      </c>
      <c r="L6167" t="str">
        <f>TEXT(LeadsData[[#This Row],[Signup Date]],"mmm-yyyy")</f>
        <v>Apr-2024</v>
      </c>
      <c r="M6167">
        <f>IF(LeadsData[[#This Row],[Stage Number]]&gt;=2,1,0)</f>
        <v>0</v>
      </c>
      <c r="N6167" s="2">
        <f>IF(LeadsData[[#This Row],[Stage Number]]&gt;=3,1,0)</f>
        <v>0</v>
      </c>
      <c r="O6167" s="2">
        <f>IF(LeadsData[[#This Row],[Stage Number]]&gt;=4,1,0)</f>
        <v>0</v>
      </c>
    </row>
    <row r="6168" spans="1:15" x14ac:dyDescent="0.25">
      <c r="A6168" t="s">
        <v>6208</v>
      </c>
      <c r="B6168" s="1">
        <v>45536</v>
      </c>
      <c r="C6168" t="s">
        <v>46</v>
      </c>
      <c r="D6168" t="s">
        <v>56</v>
      </c>
      <c r="E6168" t="s">
        <v>13</v>
      </c>
      <c r="F6168" t="s">
        <v>19</v>
      </c>
      <c r="G6168" t="s">
        <v>23</v>
      </c>
      <c r="K6168" cm="1">
        <f t="array" ref="K6168">_xlfn.SWITCH(LeadsData[[#This Row],[Funnel Stage Reached]],"Lead",1,"MQL",2,"SQL",3,"Customer",4)</f>
        <v>2</v>
      </c>
      <c r="L6168" t="str">
        <f>TEXT(LeadsData[[#This Row],[Signup Date]],"mmm-yyyy")</f>
        <v>Sep-2024</v>
      </c>
      <c r="M6168">
        <f>IF(LeadsData[[#This Row],[Stage Number]]&gt;=2,1,0)</f>
        <v>1</v>
      </c>
      <c r="N6168" s="2">
        <f>IF(LeadsData[[#This Row],[Stage Number]]&gt;=3,1,0)</f>
        <v>0</v>
      </c>
      <c r="O6168" s="2">
        <f>IF(LeadsData[[#This Row],[Stage Number]]&gt;=4,1,0)</f>
        <v>0</v>
      </c>
    </row>
    <row r="6169" spans="1:15" x14ac:dyDescent="0.25">
      <c r="A6169" t="s">
        <v>6209</v>
      </c>
      <c r="B6169" s="1">
        <v>45379</v>
      </c>
      <c r="C6169" t="s">
        <v>17</v>
      </c>
      <c r="D6169" t="s">
        <v>53</v>
      </c>
      <c r="E6169" t="s">
        <v>13</v>
      </c>
      <c r="F6169" t="s">
        <v>19</v>
      </c>
      <c r="G6169" t="s">
        <v>15</v>
      </c>
      <c r="K6169" cm="1">
        <f t="array" ref="K6169">_xlfn.SWITCH(LeadsData[[#This Row],[Funnel Stage Reached]],"Lead",1,"MQL",2,"SQL",3,"Customer",4)</f>
        <v>1</v>
      </c>
      <c r="L6169" t="str">
        <f>TEXT(LeadsData[[#This Row],[Signup Date]],"mmm-yyyy")</f>
        <v>Mar-2024</v>
      </c>
      <c r="M6169">
        <f>IF(LeadsData[[#This Row],[Stage Number]]&gt;=2,1,0)</f>
        <v>0</v>
      </c>
      <c r="N6169" s="2">
        <f>IF(LeadsData[[#This Row],[Stage Number]]&gt;=3,1,0)</f>
        <v>0</v>
      </c>
      <c r="O6169" s="2">
        <f>IF(LeadsData[[#This Row],[Stage Number]]&gt;=4,1,0)</f>
        <v>0</v>
      </c>
    </row>
    <row r="6170" spans="1:15" x14ac:dyDescent="0.25">
      <c r="A6170" t="s">
        <v>6210</v>
      </c>
      <c r="B6170" s="1">
        <v>45449</v>
      </c>
      <c r="C6170" t="s">
        <v>11</v>
      </c>
      <c r="D6170" t="s">
        <v>68</v>
      </c>
      <c r="E6170" t="s">
        <v>21</v>
      </c>
      <c r="F6170" t="s">
        <v>22</v>
      </c>
      <c r="G6170" t="s">
        <v>15</v>
      </c>
      <c r="K6170" cm="1">
        <f t="array" ref="K6170">_xlfn.SWITCH(LeadsData[[#This Row],[Funnel Stage Reached]],"Lead",1,"MQL",2,"SQL",3,"Customer",4)</f>
        <v>1</v>
      </c>
      <c r="L6170" t="str">
        <f>TEXT(LeadsData[[#This Row],[Signup Date]],"mmm-yyyy")</f>
        <v>Jun-2024</v>
      </c>
      <c r="M6170">
        <f>IF(LeadsData[[#This Row],[Stage Number]]&gt;=2,1,0)</f>
        <v>0</v>
      </c>
      <c r="N6170" s="2">
        <f>IF(LeadsData[[#This Row],[Stage Number]]&gt;=3,1,0)</f>
        <v>0</v>
      </c>
      <c r="O6170" s="2">
        <f>IF(LeadsData[[#This Row],[Stage Number]]&gt;=4,1,0)</f>
        <v>0</v>
      </c>
    </row>
    <row r="6171" spans="1:15" x14ac:dyDescent="0.25">
      <c r="A6171" t="s">
        <v>6211</v>
      </c>
      <c r="B6171" s="1">
        <v>45451</v>
      </c>
      <c r="C6171" t="s">
        <v>36</v>
      </c>
      <c r="D6171" t="s">
        <v>50</v>
      </c>
      <c r="E6171" t="s">
        <v>21</v>
      </c>
      <c r="F6171" t="s">
        <v>19</v>
      </c>
      <c r="G6171" t="s">
        <v>29</v>
      </c>
      <c r="K6171" cm="1">
        <f t="array" ref="K6171">_xlfn.SWITCH(LeadsData[[#This Row],[Funnel Stage Reached]],"Lead",1,"MQL",2,"SQL",3,"Customer",4)</f>
        <v>3</v>
      </c>
      <c r="L6171" t="str">
        <f>TEXT(LeadsData[[#This Row],[Signup Date]],"mmm-yyyy")</f>
        <v>Jun-2024</v>
      </c>
      <c r="M6171">
        <f>IF(LeadsData[[#This Row],[Stage Number]]&gt;=2,1,0)</f>
        <v>1</v>
      </c>
      <c r="N6171" s="2">
        <f>IF(LeadsData[[#This Row],[Stage Number]]&gt;=3,1,0)</f>
        <v>1</v>
      </c>
      <c r="O6171" s="2">
        <f>IF(LeadsData[[#This Row],[Stage Number]]&gt;=4,1,0)</f>
        <v>0</v>
      </c>
    </row>
    <row r="6172" spans="1:15" x14ac:dyDescent="0.25">
      <c r="A6172" t="s">
        <v>6212</v>
      </c>
      <c r="B6172" s="1">
        <v>45415</v>
      </c>
      <c r="C6172" t="s">
        <v>36</v>
      </c>
      <c r="D6172" t="s">
        <v>50</v>
      </c>
      <c r="E6172" t="s">
        <v>13</v>
      </c>
      <c r="F6172" t="s">
        <v>14</v>
      </c>
      <c r="G6172" t="s">
        <v>23</v>
      </c>
      <c r="K6172" cm="1">
        <f t="array" ref="K6172">_xlfn.SWITCH(LeadsData[[#This Row],[Funnel Stage Reached]],"Lead",1,"MQL",2,"SQL",3,"Customer",4)</f>
        <v>2</v>
      </c>
      <c r="L6172" t="str">
        <f>TEXT(LeadsData[[#This Row],[Signup Date]],"mmm-yyyy")</f>
        <v>May-2024</v>
      </c>
      <c r="M6172">
        <f>IF(LeadsData[[#This Row],[Stage Number]]&gt;=2,1,0)</f>
        <v>1</v>
      </c>
      <c r="N6172" s="2">
        <f>IF(LeadsData[[#This Row],[Stage Number]]&gt;=3,1,0)</f>
        <v>0</v>
      </c>
      <c r="O6172" s="2">
        <f>IF(LeadsData[[#This Row],[Stage Number]]&gt;=4,1,0)</f>
        <v>0</v>
      </c>
    </row>
    <row r="6173" spans="1:15" x14ac:dyDescent="0.25">
      <c r="A6173" t="s">
        <v>6213</v>
      </c>
      <c r="B6173" s="1">
        <v>45603</v>
      </c>
      <c r="C6173" t="s">
        <v>36</v>
      </c>
      <c r="D6173" t="s">
        <v>37</v>
      </c>
      <c r="E6173" t="s">
        <v>48</v>
      </c>
      <c r="F6173" t="s">
        <v>22</v>
      </c>
      <c r="G6173" t="s">
        <v>29</v>
      </c>
      <c r="K6173" cm="1">
        <f t="array" ref="K6173">_xlfn.SWITCH(LeadsData[[#This Row],[Funnel Stage Reached]],"Lead",1,"MQL",2,"SQL",3,"Customer",4)</f>
        <v>3</v>
      </c>
      <c r="L6173" t="str">
        <f>TEXT(LeadsData[[#This Row],[Signup Date]],"mmm-yyyy")</f>
        <v>Nov-2024</v>
      </c>
      <c r="M6173">
        <f>IF(LeadsData[[#This Row],[Stage Number]]&gt;=2,1,0)</f>
        <v>1</v>
      </c>
      <c r="N6173" s="2">
        <f>IF(LeadsData[[#This Row],[Stage Number]]&gt;=3,1,0)</f>
        <v>1</v>
      </c>
      <c r="O6173" s="2">
        <f>IF(LeadsData[[#This Row],[Stage Number]]&gt;=4,1,0)</f>
        <v>0</v>
      </c>
    </row>
    <row r="6174" spans="1:15" x14ac:dyDescent="0.25">
      <c r="A6174" t="s">
        <v>6214</v>
      </c>
      <c r="B6174" s="1">
        <v>45480</v>
      </c>
      <c r="C6174" t="s">
        <v>25</v>
      </c>
      <c r="D6174" t="s">
        <v>26</v>
      </c>
      <c r="E6174" t="s">
        <v>13</v>
      </c>
      <c r="F6174" t="s">
        <v>22</v>
      </c>
      <c r="G6174" t="s">
        <v>15</v>
      </c>
      <c r="K6174" cm="1">
        <f t="array" ref="K6174">_xlfn.SWITCH(LeadsData[[#This Row],[Funnel Stage Reached]],"Lead",1,"MQL",2,"SQL",3,"Customer",4)</f>
        <v>1</v>
      </c>
      <c r="L6174" t="str">
        <f>TEXT(LeadsData[[#This Row],[Signup Date]],"mmm-yyyy")</f>
        <v>Jul-2024</v>
      </c>
      <c r="M6174">
        <f>IF(LeadsData[[#This Row],[Stage Number]]&gt;=2,1,0)</f>
        <v>0</v>
      </c>
      <c r="N6174" s="2">
        <f>IF(LeadsData[[#This Row],[Stage Number]]&gt;=3,1,0)</f>
        <v>0</v>
      </c>
      <c r="O6174" s="2">
        <f>IF(LeadsData[[#This Row],[Stage Number]]&gt;=4,1,0)</f>
        <v>0</v>
      </c>
    </row>
    <row r="6175" spans="1:15" x14ac:dyDescent="0.25">
      <c r="A6175" t="s">
        <v>6215</v>
      </c>
      <c r="B6175" s="1">
        <v>45347</v>
      </c>
      <c r="C6175" t="s">
        <v>11</v>
      </c>
      <c r="D6175" t="s">
        <v>68</v>
      </c>
      <c r="E6175" t="s">
        <v>48</v>
      </c>
      <c r="F6175" t="s">
        <v>19</v>
      </c>
      <c r="G6175" t="s">
        <v>23</v>
      </c>
      <c r="K6175" cm="1">
        <f t="array" ref="K6175">_xlfn.SWITCH(LeadsData[[#This Row],[Funnel Stage Reached]],"Lead",1,"MQL",2,"SQL",3,"Customer",4)</f>
        <v>2</v>
      </c>
      <c r="L6175" t="str">
        <f>TEXT(LeadsData[[#This Row],[Signup Date]],"mmm-yyyy")</f>
        <v>Feb-2024</v>
      </c>
      <c r="M6175">
        <f>IF(LeadsData[[#This Row],[Stage Number]]&gt;=2,1,0)</f>
        <v>1</v>
      </c>
      <c r="N6175" s="2">
        <f>IF(LeadsData[[#This Row],[Stage Number]]&gt;=3,1,0)</f>
        <v>0</v>
      </c>
      <c r="O6175" s="2">
        <f>IF(LeadsData[[#This Row],[Stage Number]]&gt;=4,1,0)</f>
        <v>0</v>
      </c>
    </row>
    <row r="6176" spans="1:15" x14ac:dyDescent="0.25">
      <c r="A6176" t="s">
        <v>6216</v>
      </c>
      <c r="B6176" s="1">
        <v>45449</v>
      </c>
      <c r="C6176" t="s">
        <v>31</v>
      </c>
      <c r="D6176" t="s">
        <v>32</v>
      </c>
      <c r="E6176" t="s">
        <v>13</v>
      </c>
      <c r="F6176" t="s">
        <v>19</v>
      </c>
      <c r="G6176" t="s">
        <v>15</v>
      </c>
      <c r="K6176" cm="1">
        <f t="array" ref="K6176">_xlfn.SWITCH(LeadsData[[#This Row],[Funnel Stage Reached]],"Lead",1,"MQL",2,"SQL",3,"Customer",4)</f>
        <v>1</v>
      </c>
      <c r="L6176" t="str">
        <f>TEXT(LeadsData[[#This Row],[Signup Date]],"mmm-yyyy")</f>
        <v>Jun-2024</v>
      </c>
      <c r="M6176">
        <f>IF(LeadsData[[#This Row],[Stage Number]]&gt;=2,1,0)</f>
        <v>0</v>
      </c>
      <c r="N6176" s="2">
        <f>IF(LeadsData[[#This Row],[Stage Number]]&gt;=3,1,0)</f>
        <v>0</v>
      </c>
      <c r="O6176" s="2">
        <f>IF(LeadsData[[#This Row],[Stage Number]]&gt;=4,1,0)</f>
        <v>0</v>
      </c>
    </row>
    <row r="6177" spans="1:15" x14ac:dyDescent="0.25">
      <c r="A6177" t="s">
        <v>6217</v>
      </c>
      <c r="B6177" s="1">
        <v>45478</v>
      </c>
      <c r="C6177" t="s">
        <v>31</v>
      </c>
      <c r="D6177" t="s">
        <v>32</v>
      </c>
      <c r="E6177" t="s">
        <v>21</v>
      </c>
      <c r="F6177" t="s">
        <v>22</v>
      </c>
      <c r="G6177" t="s">
        <v>15</v>
      </c>
      <c r="K6177" cm="1">
        <f t="array" ref="K6177">_xlfn.SWITCH(LeadsData[[#This Row],[Funnel Stage Reached]],"Lead",1,"MQL",2,"SQL",3,"Customer",4)</f>
        <v>1</v>
      </c>
      <c r="L6177" t="str">
        <f>TEXT(LeadsData[[#This Row],[Signup Date]],"mmm-yyyy")</f>
        <v>Jul-2024</v>
      </c>
      <c r="M6177">
        <f>IF(LeadsData[[#This Row],[Stage Number]]&gt;=2,1,0)</f>
        <v>0</v>
      </c>
      <c r="N6177" s="2">
        <f>IF(LeadsData[[#This Row],[Stage Number]]&gt;=3,1,0)</f>
        <v>0</v>
      </c>
      <c r="O6177" s="2">
        <f>IF(LeadsData[[#This Row],[Stage Number]]&gt;=4,1,0)</f>
        <v>0</v>
      </c>
    </row>
    <row r="6178" spans="1:15" x14ac:dyDescent="0.25">
      <c r="A6178" t="s">
        <v>6218</v>
      </c>
      <c r="B6178" s="1">
        <v>45341</v>
      </c>
      <c r="C6178" t="s">
        <v>31</v>
      </c>
      <c r="D6178" t="s">
        <v>32</v>
      </c>
      <c r="E6178" t="s">
        <v>13</v>
      </c>
      <c r="F6178" t="s">
        <v>19</v>
      </c>
      <c r="G6178" t="s">
        <v>23</v>
      </c>
      <c r="K6178" cm="1">
        <f t="array" ref="K6178">_xlfn.SWITCH(LeadsData[[#This Row],[Funnel Stage Reached]],"Lead",1,"MQL",2,"SQL",3,"Customer",4)</f>
        <v>2</v>
      </c>
      <c r="L6178" t="str">
        <f>TEXT(LeadsData[[#This Row],[Signup Date]],"mmm-yyyy")</f>
        <v>Feb-2024</v>
      </c>
      <c r="M6178">
        <f>IF(LeadsData[[#This Row],[Stage Number]]&gt;=2,1,0)</f>
        <v>1</v>
      </c>
      <c r="N6178" s="2">
        <f>IF(LeadsData[[#This Row],[Stage Number]]&gt;=3,1,0)</f>
        <v>0</v>
      </c>
      <c r="O6178" s="2">
        <f>IF(LeadsData[[#This Row],[Stage Number]]&gt;=4,1,0)</f>
        <v>0</v>
      </c>
    </row>
    <row r="6179" spans="1:15" x14ac:dyDescent="0.25">
      <c r="A6179" t="s">
        <v>6219</v>
      </c>
      <c r="B6179" s="1">
        <v>45307</v>
      </c>
      <c r="C6179" t="s">
        <v>36</v>
      </c>
      <c r="D6179" t="s">
        <v>37</v>
      </c>
      <c r="E6179" t="s">
        <v>13</v>
      </c>
      <c r="F6179" t="s">
        <v>19</v>
      </c>
      <c r="G6179" t="s">
        <v>23</v>
      </c>
      <c r="K6179" cm="1">
        <f t="array" ref="K6179">_xlfn.SWITCH(LeadsData[[#This Row],[Funnel Stage Reached]],"Lead",1,"MQL",2,"SQL",3,"Customer",4)</f>
        <v>2</v>
      </c>
      <c r="L6179" t="str">
        <f>TEXT(LeadsData[[#This Row],[Signup Date]],"mmm-yyyy")</f>
        <v>Jan-2024</v>
      </c>
      <c r="M6179">
        <f>IF(LeadsData[[#This Row],[Stage Number]]&gt;=2,1,0)</f>
        <v>1</v>
      </c>
      <c r="N6179" s="2">
        <f>IF(LeadsData[[#This Row],[Stage Number]]&gt;=3,1,0)</f>
        <v>0</v>
      </c>
      <c r="O6179" s="2">
        <f>IF(LeadsData[[#This Row],[Stage Number]]&gt;=4,1,0)</f>
        <v>0</v>
      </c>
    </row>
    <row r="6180" spans="1:15" x14ac:dyDescent="0.25">
      <c r="A6180" t="s">
        <v>6220</v>
      </c>
      <c r="B6180" s="1">
        <v>45489</v>
      </c>
      <c r="C6180" t="s">
        <v>17</v>
      </c>
      <c r="D6180" t="s">
        <v>18</v>
      </c>
      <c r="E6180" t="s">
        <v>21</v>
      </c>
      <c r="F6180" t="s">
        <v>22</v>
      </c>
      <c r="G6180" t="s">
        <v>15</v>
      </c>
      <c r="K6180" cm="1">
        <f t="array" ref="K6180">_xlfn.SWITCH(LeadsData[[#This Row],[Funnel Stage Reached]],"Lead",1,"MQL",2,"SQL",3,"Customer",4)</f>
        <v>1</v>
      </c>
      <c r="L6180" t="str">
        <f>TEXT(LeadsData[[#This Row],[Signup Date]],"mmm-yyyy")</f>
        <v>Jul-2024</v>
      </c>
      <c r="M6180">
        <f>IF(LeadsData[[#This Row],[Stage Number]]&gt;=2,1,0)</f>
        <v>0</v>
      </c>
      <c r="N6180" s="2">
        <f>IF(LeadsData[[#This Row],[Stage Number]]&gt;=3,1,0)</f>
        <v>0</v>
      </c>
      <c r="O6180" s="2">
        <f>IF(LeadsData[[#This Row],[Stage Number]]&gt;=4,1,0)</f>
        <v>0</v>
      </c>
    </row>
    <row r="6181" spans="1:15" x14ac:dyDescent="0.25">
      <c r="A6181" t="s">
        <v>6221</v>
      </c>
      <c r="B6181" s="1">
        <v>45386</v>
      </c>
      <c r="C6181" t="s">
        <v>46</v>
      </c>
      <c r="D6181" t="s">
        <v>47</v>
      </c>
      <c r="E6181" t="s">
        <v>21</v>
      </c>
      <c r="F6181" t="s">
        <v>22</v>
      </c>
      <c r="G6181" t="s">
        <v>29</v>
      </c>
      <c r="K6181" cm="1">
        <f t="array" ref="K6181">_xlfn.SWITCH(LeadsData[[#This Row],[Funnel Stage Reached]],"Lead",1,"MQL",2,"SQL",3,"Customer",4)</f>
        <v>3</v>
      </c>
      <c r="L6181" t="str">
        <f>TEXT(LeadsData[[#This Row],[Signup Date]],"mmm-yyyy")</f>
        <v>Apr-2024</v>
      </c>
      <c r="M6181">
        <f>IF(LeadsData[[#This Row],[Stage Number]]&gt;=2,1,0)</f>
        <v>1</v>
      </c>
      <c r="N6181" s="2">
        <f>IF(LeadsData[[#This Row],[Stage Number]]&gt;=3,1,0)</f>
        <v>1</v>
      </c>
      <c r="O6181" s="2">
        <f>IF(LeadsData[[#This Row],[Stage Number]]&gt;=4,1,0)</f>
        <v>0</v>
      </c>
    </row>
    <row r="6182" spans="1:15" x14ac:dyDescent="0.25">
      <c r="A6182" t="s">
        <v>6222</v>
      </c>
      <c r="B6182" s="1">
        <v>45613</v>
      </c>
      <c r="C6182" t="s">
        <v>31</v>
      </c>
      <c r="D6182" t="s">
        <v>32</v>
      </c>
      <c r="E6182" t="s">
        <v>13</v>
      </c>
      <c r="F6182" t="s">
        <v>19</v>
      </c>
      <c r="G6182" t="s">
        <v>42</v>
      </c>
      <c r="H6182">
        <v>65</v>
      </c>
      <c r="I6182" t="s">
        <v>183</v>
      </c>
      <c r="J6182">
        <v>18413.71</v>
      </c>
      <c r="K6182" cm="1">
        <f t="array" ref="K6182">_xlfn.SWITCH(LeadsData[[#This Row],[Funnel Stage Reached]],"Lead",1,"MQL",2,"SQL",3,"Customer",4)</f>
        <v>4</v>
      </c>
      <c r="L6182" t="str">
        <f>TEXT(LeadsData[[#This Row],[Signup Date]],"mmm-yyyy")</f>
        <v>Nov-2024</v>
      </c>
      <c r="M6182">
        <f>IF(LeadsData[[#This Row],[Stage Number]]&gt;=2,1,0)</f>
        <v>1</v>
      </c>
      <c r="N6182" s="2">
        <f>IF(LeadsData[[#This Row],[Stage Number]]&gt;=3,1,0)</f>
        <v>1</v>
      </c>
      <c r="O6182" s="2">
        <f>IF(LeadsData[[#This Row],[Stage Number]]&gt;=4,1,0)</f>
        <v>1</v>
      </c>
    </row>
    <row r="6183" spans="1:15" x14ac:dyDescent="0.25">
      <c r="A6183" t="s">
        <v>6223</v>
      </c>
      <c r="B6183" s="1">
        <v>45325</v>
      </c>
      <c r="C6183" t="s">
        <v>36</v>
      </c>
      <c r="D6183" t="s">
        <v>50</v>
      </c>
      <c r="E6183" t="s">
        <v>21</v>
      </c>
      <c r="F6183" t="s">
        <v>19</v>
      </c>
      <c r="G6183" t="s">
        <v>15</v>
      </c>
      <c r="K6183" cm="1">
        <f t="array" ref="K6183">_xlfn.SWITCH(LeadsData[[#This Row],[Funnel Stage Reached]],"Lead",1,"MQL",2,"SQL",3,"Customer",4)</f>
        <v>1</v>
      </c>
      <c r="L6183" t="str">
        <f>TEXT(LeadsData[[#This Row],[Signup Date]],"mmm-yyyy")</f>
        <v>Feb-2024</v>
      </c>
      <c r="M6183">
        <f>IF(LeadsData[[#This Row],[Stage Number]]&gt;=2,1,0)</f>
        <v>0</v>
      </c>
      <c r="N6183" s="2">
        <f>IF(LeadsData[[#This Row],[Stage Number]]&gt;=3,1,0)</f>
        <v>0</v>
      </c>
      <c r="O6183" s="2">
        <f>IF(LeadsData[[#This Row],[Stage Number]]&gt;=4,1,0)</f>
        <v>0</v>
      </c>
    </row>
    <row r="6184" spans="1:15" x14ac:dyDescent="0.25">
      <c r="A6184" t="s">
        <v>6224</v>
      </c>
      <c r="B6184" s="1">
        <v>45481</v>
      </c>
      <c r="C6184" t="s">
        <v>11</v>
      </c>
      <c r="D6184" t="s">
        <v>68</v>
      </c>
      <c r="E6184" t="s">
        <v>48</v>
      </c>
      <c r="F6184" t="s">
        <v>28</v>
      </c>
      <c r="G6184" t="s">
        <v>15</v>
      </c>
      <c r="K6184" cm="1">
        <f t="array" ref="K6184">_xlfn.SWITCH(LeadsData[[#This Row],[Funnel Stage Reached]],"Lead",1,"MQL",2,"SQL",3,"Customer",4)</f>
        <v>1</v>
      </c>
      <c r="L6184" t="str">
        <f>TEXT(LeadsData[[#This Row],[Signup Date]],"mmm-yyyy")</f>
        <v>Jul-2024</v>
      </c>
      <c r="M6184">
        <f>IF(LeadsData[[#This Row],[Stage Number]]&gt;=2,1,0)</f>
        <v>0</v>
      </c>
      <c r="N6184" s="2">
        <f>IF(LeadsData[[#This Row],[Stage Number]]&gt;=3,1,0)</f>
        <v>0</v>
      </c>
      <c r="O6184" s="2">
        <f>IF(LeadsData[[#This Row],[Stage Number]]&gt;=4,1,0)</f>
        <v>0</v>
      </c>
    </row>
    <row r="6185" spans="1:15" x14ac:dyDescent="0.25">
      <c r="A6185" t="s">
        <v>6225</v>
      </c>
      <c r="B6185" s="1">
        <v>45524</v>
      </c>
      <c r="C6185" t="s">
        <v>25</v>
      </c>
      <c r="D6185" t="s">
        <v>26</v>
      </c>
      <c r="E6185" t="s">
        <v>48</v>
      </c>
      <c r="F6185" t="s">
        <v>19</v>
      </c>
      <c r="G6185" t="s">
        <v>23</v>
      </c>
      <c r="K6185" cm="1">
        <f t="array" ref="K6185">_xlfn.SWITCH(LeadsData[[#This Row],[Funnel Stage Reached]],"Lead",1,"MQL",2,"SQL",3,"Customer",4)</f>
        <v>2</v>
      </c>
      <c r="L6185" t="str">
        <f>TEXT(LeadsData[[#This Row],[Signup Date]],"mmm-yyyy")</f>
        <v>Aug-2024</v>
      </c>
      <c r="M6185">
        <f>IF(LeadsData[[#This Row],[Stage Number]]&gt;=2,1,0)</f>
        <v>1</v>
      </c>
      <c r="N6185" s="2">
        <f>IF(LeadsData[[#This Row],[Stage Number]]&gt;=3,1,0)</f>
        <v>0</v>
      </c>
      <c r="O6185" s="2">
        <f>IF(LeadsData[[#This Row],[Stage Number]]&gt;=4,1,0)</f>
        <v>0</v>
      </c>
    </row>
    <row r="6186" spans="1:15" x14ac:dyDescent="0.25">
      <c r="A6186" t="s">
        <v>6226</v>
      </c>
      <c r="B6186" s="1">
        <v>45326</v>
      </c>
      <c r="C6186" t="s">
        <v>17</v>
      </c>
      <c r="D6186" t="s">
        <v>18</v>
      </c>
      <c r="E6186" t="s">
        <v>13</v>
      </c>
      <c r="F6186" t="s">
        <v>14</v>
      </c>
      <c r="G6186" t="s">
        <v>15</v>
      </c>
      <c r="K6186" cm="1">
        <f t="array" ref="K6186">_xlfn.SWITCH(LeadsData[[#This Row],[Funnel Stage Reached]],"Lead",1,"MQL",2,"SQL",3,"Customer",4)</f>
        <v>1</v>
      </c>
      <c r="L6186" t="str">
        <f>TEXT(LeadsData[[#This Row],[Signup Date]],"mmm-yyyy")</f>
        <v>Feb-2024</v>
      </c>
      <c r="M6186">
        <f>IF(LeadsData[[#This Row],[Stage Number]]&gt;=2,1,0)</f>
        <v>0</v>
      </c>
      <c r="N6186" s="2">
        <f>IF(LeadsData[[#This Row],[Stage Number]]&gt;=3,1,0)</f>
        <v>0</v>
      </c>
      <c r="O6186" s="2">
        <f>IF(LeadsData[[#This Row],[Stage Number]]&gt;=4,1,0)</f>
        <v>0</v>
      </c>
    </row>
    <row r="6187" spans="1:15" x14ac:dyDescent="0.25">
      <c r="A6187" t="s">
        <v>6227</v>
      </c>
      <c r="B6187" s="1">
        <v>45302</v>
      </c>
      <c r="C6187" t="s">
        <v>17</v>
      </c>
      <c r="D6187" t="s">
        <v>18</v>
      </c>
      <c r="E6187" t="s">
        <v>21</v>
      </c>
      <c r="F6187" t="s">
        <v>28</v>
      </c>
      <c r="G6187" t="s">
        <v>15</v>
      </c>
      <c r="K6187" cm="1">
        <f t="array" ref="K6187">_xlfn.SWITCH(LeadsData[[#This Row],[Funnel Stage Reached]],"Lead",1,"MQL",2,"SQL",3,"Customer",4)</f>
        <v>1</v>
      </c>
      <c r="L6187" t="str">
        <f>TEXT(LeadsData[[#This Row],[Signup Date]],"mmm-yyyy")</f>
        <v>Jan-2024</v>
      </c>
      <c r="M6187">
        <f>IF(LeadsData[[#This Row],[Stage Number]]&gt;=2,1,0)</f>
        <v>0</v>
      </c>
      <c r="N6187" s="2">
        <f>IF(LeadsData[[#This Row],[Stage Number]]&gt;=3,1,0)</f>
        <v>0</v>
      </c>
      <c r="O6187" s="2">
        <f>IF(LeadsData[[#This Row],[Stage Number]]&gt;=4,1,0)</f>
        <v>0</v>
      </c>
    </row>
    <row r="6188" spans="1:15" x14ac:dyDescent="0.25">
      <c r="A6188" t="s">
        <v>6228</v>
      </c>
      <c r="B6188" s="1">
        <v>45317</v>
      </c>
      <c r="C6188" t="s">
        <v>36</v>
      </c>
      <c r="D6188" t="s">
        <v>37</v>
      </c>
      <c r="E6188" t="s">
        <v>21</v>
      </c>
      <c r="F6188" t="s">
        <v>19</v>
      </c>
      <c r="G6188" t="s">
        <v>42</v>
      </c>
      <c r="H6188">
        <v>61</v>
      </c>
      <c r="I6188" t="s">
        <v>87</v>
      </c>
      <c r="J6188">
        <v>1758.88</v>
      </c>
      <c r="K6188" cm="1">
        <f t="array" ref="K6188">_xlfn.SWITCH(LeadsData[[#This Row],[Funnel Stage Reached]],"Lead",1,"MQL",2,"SQL",3,"Customer",4)</f>
        <v>4</v>
      </c>
      <c r="L6188" t="str">
        <f>TEXT(LeadsData[[#This Row],[Signup Date]],"mmm-yyyy")</f>
        <v>Jan-2024</v>
      </c>
      <c r="M6188">
        <f>IF(LeadsData[[#This Row],[Stage Number]]&gt;=2,1,0)</f>
        <v>1</v>
      </c>
      <c r="N6188" s="2">
        <f>IF(LeadsData[[#This Row],[Stage Number]]&gt;=3,1,0)</f>
        <v>1</v>
      </c>
      <c r="O6188" s="2">
        <f>IF(LeadsData[[#This Row],[Stage Number]]&gt;=4,1,0)</f>
        <v>1</v>
      </c>
    </row>
    <row r="6189" spans="1:15" x14ac:dyDescent="0.25">
      <c r="A6189" t="s">
        <v>6229</v>
      </c>
      <c r="B6189" s="1">
        <v>45483</v>
      </c>
      <c r="C6189" t="s">
        <v>46</v>
      </c>
      <c r="D6189" t="s">
        <v>47</v>
      </c>
      <c r="E6189" t="s">
        <v>21</v>
      </c>
      <c r="F6189" t="s">
        <v>19</v>
      </c>
      <c r="G6189" t="s">
        <v>23</v>
      </c>
      <c r="K6189" cm="1">
        <f t="array" ref="K6189">_xlfn.SWITCH(LeadsData[[#This Row],[Funnel Stage Reached]],"Lead",1,"MQL",2,"SQL",3,"Customer",4)</f>
        <v>2</v>
      </c>
      <c r="L6189" t="str">
        <f>TEXT(LeadsData[[#This Row],[Signup Date]],"mmm-yyyy")</f>
        <v>Jul-2024</v>
      </c>
      <c r="M6189">
        <f>IF(LeadsData[[#This Row],[Stage Number]]&gt;=2,1,0)</f>
        <v>1</v>
      </c>
      <c r="N6189" s="2">
        <f>IF(LeadsData[[#This Row],[Stage Number]]&gt;=3,1,0)</f>
        <v>0</v>
      </c>
      <c r="O6189" s="2">
        <f>IF(LeadsData[[#This Row],[Stage Number]]&gt;=4,1,0)</f>
        <v>0</v>
      </c>
    </row>
    <row r="6190" spans="1:15" x14ac:dyDescent="0.25">
      <c r="A6190" t="s">
        <v>6230</v>
      </c>
      <c r="B6190" s="1">
        <v>45401</v>
      </c>
      <c r="C6190" t="s">
        <v>17</v>
      </c>
      <c r="D6190" t="s">
        <v>18</v>
      </c>
      <c r="E6190" t="s">
        <v>21</v>
      </c>
      <c r="F6190" t="s">
        <v>19</v>
      </c>
      <c r="G6190" t="s">
        <v>23</v>
      </c>
      <c r="K6190" cm="1">
        <f t="array" ref="K6190">_xlfn.SWITCH(LeadsData[[#This Row],[Funnel Stage Reached]],"Lead",1,"MQL",2,"SQL",3,"Customer",4)</f>
        <v>2</v>
      </c>
      <c r="L6190" t="str">
        <f>TEXT(LeadsData[[#This Row],[Signup Date]],"mmm-yyyy")</f>
        <v>Apr-2024</v>
      </c>
      <c r="M6190">
        <f>IF(LeadsData[[#This Row],[Stage Number]]&gt;=2,1,0)</f>
        <v>1</v>
      </c>
      <c r="N6190" s="2">
        <f>IF(LeadsData[[#This Row],[Stage Number]]&gt;=3,1,0)</f>
        <v>0</v>
      </c>
      <c r="O6190" s="2">
        <f>IF(LeadsData[[#This Row],[Stage Number]]&gt;=4,1,0)</f>
        <v>0</v>
      </c>
    </row>
    <row r="6191" spans="1:15" x14ac:dyDescent="0.25">
      <c r="A6191" t="s">
        <v>6231</v>
      </c>
      <c r="B6191" s="1">
        <v>45654</v>
      </c>
      <c r="C6191" t="s">
        <v>25</v>
      </c>
      <c r="D6191" t="s">
        <v>26</v>
      </c>
      <c r="E6191" t="s">
        <v>13</v>
      </c>
      <c r="F6191" t="s">
        <v>14</v>
      </c>
      <c r="G6191" t="s">
        <v>15</v>
      </c>
      <c r="K6191" cm="1">
        <f t="array" ref="K6191">_xlfn.SWITCH(LeadsData[[#This Row],[Funnel Stage Reached]],"Lead",1,"MQL",2,"SQL",3,"Customer",4)</f>
        <v>1</v>
      </c>
      <c r="L6191" t="str">
        <f>TEXT(LeadsData[[#This Row],[Signup Date]],"mmm-yyyy")</f>
        <v>Dec-2024</v>
      </c>
      <c r="M6191">
        <f>IF(LeadsData[[#This Row],[Stage Number]]&gt;=2,1,0)</f>
        <v>0</v>
      </c>
      <c r="N6191" s="2">
        <f>IF(LeadsData[[#This Row],[Stage Number]]&gt;=3,1,0)</f>
        <v>0</v>
      </c>
      <c r="O6191" s="2">
        <f>IF(LeadsData[[#This Row],[Stage Number]]&gt;=4,1,0)</f>
        <v>0</v>
      </c>
    </row>
    <row r="6192" spans="1:15" x14ac:dyDescent="0.25">
      <c r="A6192" t="s">
        <v>6232</v>
      </c>
      <c r="B6192" s="1">
        <v>45553</v>
      </c>
      <c r="C6192" t="s">
        <v>17</v>
      </c>
      <c r="D6192" t="s">
        <v>53</v>
      </c>
      <c r="E6192" t="s">
        <v>13</v>
      </c>
      <c r="F6192" t="s">
        <v>19</v>
      </c>
      <c r="G6192" t="s">
        <v>29</v>
      </c>
      <c r="K6192" cm="1">
        <f t="array" ref="K6192">_xlfn.SWITCH(LeadsData[[#This Row],[Funnel Stage Reached]],"Lead",1,"MQL",2,"SQL",3,"Customer",4)</f>
        <v>3</v>
      </c>
      <c r="L6192" t="str">
        <f>TEXT(LeadsData[[#This Row],[Signup Date]],"mmm-yyyy")</f>
        <v>Sep-2024</v>
      </c>
      <c r="M6192">
        <f>IF(LeadsData[[#This Row],[Stage Number]]&gt;=2,1,0)</f>
        <v>1</v>
      </c>
      <c r="N6192" s="2">
        <f>IF(LeadsData[[#This Row],[Stage Number]]&gt;=3,1,0)</f>
        <v>1</v>
      </c>
      <c r="O6192" s="2">
        <f>IF(LeadsData[[#This Row],[Stage Number]]&gt;=4,1,0)</f>
        <v>0</v>
      </c>
    </row>
    <row r="6193" spans="1:15" x14ac:dyDescent="0.25">
      <c r="A6193" t="s">
        <v>6233</v>
      </c>
      <c r="B6193" s="1">
        <v>45459</v>
      </c>
      <c r="C6193" t="s">
        <v>31</v>
      </c>
      <c r="D6193" t="s">
        <v>32</v>
      </c>
      <c r="E6193" t="s">
        <v>21</v>
      </c>
      <c r="F6193" t="s">
        <v>19</v>
      </c>
      <c r="G6193" t="s">
        <v>23</v>
      </c>
      <c r="K6193" cm="1">
        <f t="array" ref="K6193">_xlfn.SWITCH(LeadsData[[#This Row],[Funnel Stage Reached]],"Lead",1,"MQL",2,"SQL",3,"Customer",4)</f>
        <v>2</v>
      </c>
      <c r="L6193" t="str">
        <f>TEXT(LeadsData[[#This Row],[Signup Date]],"mmm-yyyy")</f>
        <v>Jun-2024</v>
      </c>
      <c r="M6193">
        <f>IF(LeadsData[[#This Row],[Stage Number]]&gt;=2,1,0)</f>
        <v>1</v>
      </c>
      <c r="N6193" s="2">
        <f>IF(LeadsData[[#This Row],[Stage Number]]&gt;=3,1,0)</f>
        <v>0</v>
      </c>
      <c r="O6193" s="2">
        <f>IF(LeadsData[[#This Row],[Stage Number]]&gt;=4,1,0)</f>
        <v>0</v>
      </c>
    </row>
    <row r="6194" spans="1:15" x14ac:dyDescent="0.25">
      <c r="A6194" t="s">
        <v>6234</v>
      </c>
      <c r="B6194" s="1">
        <v>45643</v>
      </c>
      <c r="C6194" t="s">
        <v>11</v>
      </c>
      <c r="D6194" t="s">
        <v>12</v>
      </c>
      <c r="E6194" t="s">
        <v>21</v>
      </c>
      <c r="F6194" t="s">
        <v>28</v>
      </c>
      <c r="G6194" t="s">
        <v>15</v>
      </c>
      <c r="K6194" cm="1">
        <f t="array" ref="K6194">_xlfn.SWITCH(LeadsData[[#This Row],[Funnel Stage Reached]],"Lead",1,"MQL",2,"SQL",3,"Customer",4)</f>
        <v>1</v>
      </c>
      <c r="L6194" t="str">
        <f>TEXT(LeadsData[[#This Row],[Signup Date]],"mmm-yyyy")</f>
        <v>Dec-2024</v>
      </c>
      <c r="M6194">
        <f>IF(LeadsData[[#This Row],[Stage Number]]&gt;=2,1,0)</f>
        <v>0</v>
      </c>
      <c r="N6194" s="2">
        <f>IF(LeadsData[[#This Row],[Stage Number]]&gt;=3,1,0)</f>
        <v>0</v>
      </c>
      <c r="O6194" s="2">
        <f>IF(LeadsData[[#This Row],[Stage Number]]&gt;=4,1,0)</f>
        <v>0</v>
      </c>
    </row>
    <row r="6195" spans="1:15" x14ac:dyDescent="0.25">
      <c r="A6195" t="s">
        <v>6235</v>
      </c>
      <c r="B6195" s="1">
        <v>45431</v>
      </c>
      <c r="C6195" t="s">
        <v>46</v>
      </c>
      <c r="D6195" t="s">
        <v>56</v>
      </c>
      <c r="E6195" t="s">
        <v>13</v>
      </c>
      <c r="F6195" t="s">
        <v>19</v>
      </c>
      <c r="G6195" t="s">
        <v>23</v>
      </c>
      <c r="K6195" cm="1">
        <f t="array" ref="K6195">_xlfn.SWITCH(LeadsData[[#This Row],[Funnel Stage Reached]],"Lead",1,"MQL",2,"SQL",3,"Customer",4)</f>
        <v>2</v>
      </c>
      <c r="L6195" t="str">
        <f>TEXT(LeadsData[[#This Row],[Signup Date]],"mmm-yyyy")</f>
        <v>May-2024</v>
      </c>
      <c r="M6195">
        <f>IF(LeadsData[[#This Row],[Stage Number]]&gt;=2,1,0)</f>
        <v>1</v>
      </c>
      <c r="N6195" s="2">
        <f>IF(LeadsData[[#This Row],[Stage Number]]&gt;=3,1,0)</f>
        <v>0</v>
      </c>
      <c r="O6195" s="2">
        <f>IF(LeadsData[[#This Row],[Stage Number]]&gt;=4,1,0)</f>
        <v>0</v>
      </c>
    </row>
    <row r="6196" spans="1:15" x14ac:dyDescent="0.25">
      <c r="A6196" t="s">
        <v>6236</v>
      </c>
      <c r="B6196" s="1">
        <v>45328</v>
      </c>
      <c r="C6196" t="s">
        <v>31</v>
      </c>
      <c r="D6196" t="s">
        <v>32</v>
      </c>
      <c r="E6196" t="s">
        <v>48</v>
      </c>
      <c r="F6196" t="s">
        <v>14</v>
      </c>
      <c r="G6196" t="s">
        <v>29</v>
      </c>
      <c r="K6196" cm="1">
        <f t="array" ref="K6196">_xlfn.SWITCH(LeadsData[[#This Row],[Funnel Stage Reached]],"Lead",1,"MQL",2,"SQL",3,"Customer",4)</f>
        <v>3</v>
      </c>
      <c r="L6196" t="str">
        <f>TEXT(LeadsData[[#This Row],[Signup Date]],"mmm-yyyy")</f>
        <v>Feb-2024</v>
      </c>
      <c r="M6196">
        <f>IF(LeadsData[[#This Row],[Stage Number]]&gt;=2,1,0)</f>
        <v>1</v>
      </c>
      <c r="N6196" s="2">
        <f>IF(LeadsData[[#This Row],[Stage Number]]&gt;=3,1,0)</f>
        <v>1</v>
      </c>
      <c r="O6196" s="2">
        <f>IF(LeadsData[[#This Row],[Stage Number]]&gt;=4,1,0)</f>
        <v>0</v>
      </c>
    </row>
    <row r="6197" spans="1:15" x14ac:dyDescent="0.25">
      <c r="A6197" t="s">
        <v>6237</v>
      </c>
      <c r="B6197" s="1">
        <v>45431</v>
      </c>
      <c r="C6197" t="s">
        <v>25</v>
      </c>
      <c r="D6197" t="s">
        <v>26</v>
      </c>
      <c r="E6197" t="s">
        <v>21</v>
      </c>
      <c r="F6197" t="s">
        <v>19</v>
      </c>
      <c r="G6197" t="s">
        <v>23</v>
      </c>
      <c r="K6197" cm="1">
        <f t="array" ref="K6197">_xlfn.SWITCH(LeadsData[[#This Row],[Funnel Stage Reached]],"Lead",1,"MQL",2,"SQL",3,"Customer",4)</f>
        <v>2</v>
      </c>
      <c r="L6197" t="str">
        <f>TEXT(LeadsData[[#This Row],[Signup Date]],"mmm-yyyy")</f>
        <v>May-2024</v>
      </c>
      <c r="M6197">
        <f>IF(LeadsData[[#This Row],[Stage Number]]&gt;=2,1,0)</f>
        <v>1</v>
      </c>
      <c r="N6197" s="2">
        <f>IF(LeadsData[[#This Row],[Stage Number]]&gt;=3,1,0)</f>
        <v>0</v>
      </c>
      <c r="O6197" s="2">
        <f>IF(LeadsData[[#This Row],[Stage Number]]&gt;=4,1,0)</f>
        <v>0</v>
      </c>
    </row>
    <row r="6198" spans="1:15" x14ac:dyDescent="0.25">
      <c r="A6198" t="s">
        <v>6238</v>
      </c>
      <c r="B6198" s="1">
        <v>45513</v>
      </c>
      <c r="C6198" t="s">
        <v>25</v>
      </c>
      <c r="D6198" t="s">
        <v>26</v>
      </c>
      <c r="E6198" t="s">
        <v>13</v>
      </c>
      <c r="F6198" t="s">
        <v>14</v>
      </c>
      <c r="G6198" t="s">
        <v>15</v>
      </c>
      <c r="K6198" cm="1">
        <f t="array" ref="K6198">_xlfn.SWITCH(LeadsData[[#This Row],[Funnel Stage Reached]],"Lead",1,"MQL",2,"SQL",3,"Customer",4)</f>
        <v>1</v>
      </c>
      <c r="L6198" t="str">
        <f>TEXT(LeadsData[[#This Row],[Signup Date]],"mmm-yyyy")</f>
        <v>Aug-2024</v>
      </c>
      <c r="M6198">
        <f>IF(LeadsData[[#This Row],[Stage Number]]&gt;=2,1,0)</f>
        <v>0</v>
      </c>
      <c r="N6198" s="2">
        <f>IF(LeadsData[[#This Row],[Stage Number]]&gt;=3,1,0)</f>
        <v>0</v>
      </c>
      <c r="O6198" s="2">
        <f>IF(LeadsData[[#This Row],[Stage Number]]&gt;=4,1,0)</f>
        <v>0</v>
      </c>
    </row>
    <row r="6199" spans="1:15" x14ac:dyDescent="0.25">
      <c r="A6199" t="s">
        <v>6239</v>
      </c>
      <c r="B6199" s="1">
        <v>45482</v>
      </c>
      <c r="C6199" t="s">
        <v>36</v>
      </c>
      <c r="D6199" t="s">
        <v>50</v>
      </c>
      <c r="E6199" t="s">
        <v>21</v>
      </c>
      <c r="F6199" t="s">
        <v>14</v>
      </c>
      <c r="G6199" t="s">
        <v>42</v>
      </c>
      <c r="H6199">
        <v>27</v>
      </c>
      <c r="I6199" t="s">
        <v>183</v>
      </c>
      <c r="J6199">
        <v>17636.77</v>
      </c>
      <c r="K6199" cm="1">
        <f t="array" ref="K6199">_xlfn.SWITCH(LeadsData[[#This Row],[Funnel Stage Reached]],"Lead",1,"MQL",2,"SQL",3,"Customer",4)</f>
        <v>4</v>
      </c>
      <c r="L6199" t="str">
        <f>TEXT(LeadsData[[#This Row],[Signup Date]],"mmm-yyyy")</f>
        <v>Jul-2024</v>
      </c>
      <c r="M6199">
        <f>IF(LeadsData[[#This Row],[Stage Number]]&gt;=2,1,0)</f>
        <v>1</v>
      </c>
      <c r="N6199" s="2">
        <f>IF(LeadsData[[#This Row],[Stage Number]]&gt;=3,1,0)</f>
        <v>1</v>
      </c>
      <c r="O6199" s="2">
        <f>IF(LeadsData[[#This Row],[Stage Number]]&gt;=4,1,0)</f>
        <v>1</v>
      </c>
    </row>
    <row r="6200" spans="1:15" x14ac:dyDescent="0.25">
      <c r="A6200" t="s">
        <v>6240</v>
      </c>
      <c r="B6200" s="1">
        <v>45622</v>
      </c>
      <c r="C6200" t="s">
        <v>31</v>
      </c>
      <c r="D6200" t="s">
        <v>34</v>
      </c>
      <c r="E6200" t="s">
        <v>13</v>
      </c>
      <c r="F6200" t="s">
        <v>19</v>
      </c>
      <c r="G6200" t="s">
        <v>23</v>
      </c>
      <c r="K6200" cm="1">
        <f t="array" ref="K6200">_xlfn.SWITCH(LeadsData[[#This Row],[Funnel Stage Reached]],"Lead",1,"MQL",2,"SQL",3,"Customer",4)</f>
        <v>2</v>
      </c>
      <c r="L6200" t="str">
        <f>TEXT(LeadsData[[#This Row],[Signup Date]],"mmm-yyyy")</f>
        <v>Nov-2024</v>
      </c>
      <c r="M6200">
        <f>IF(LeadsData[[#This Row],[Stage Number]]&gt;=2,1,0)</f>
        <v>1</v>
      </c>
      <c r="N6200" s="2">
        <f>IF(LeadsData[[#This Row],[Stage Number]]&gt;=3,1,0)</f>
        <v>0</v>
      </c>
      <c r="O6200" s="2">
        <f>IF(LeadsData[[#This Row],[Stage Number]]&gt;=4,1,0)</f>
        <v>0</v>
      </c>
    </row>
    <row r="6201" spans="1:15" x14ac:dyDescent="0.25">
      <c r="A6201" t="s">
        <v>6241</v>
      </c>
      <c r="B6201" s="1">
        <v>45556</v>
      </c>
      <c r="C6201" t="s">
        <v>46</v>
      </c>
      <c r="D6201" t="s">
        <v>47</v>
      </c>
      <c r="E6201" t="s">
        <v>21</v>
      </c>
      <c r="F6201" t="s">
        <v>14</v>
      </c>
      <c r="G6201" t="s">
        <v>15</v>
      </c>
      <c r="K6201" cm="1">
        <f t="array" ref="K6201">_xlfn.SWITCH(LeadsData[[#This Row],[Funnel Stage Reached]],"Lead",1,"MQL",2,"SQL",3,"Customer",4)</f>
        <v>1</v>
      </c>
      <c r="L6201" t="str">
        <f>TEXT(LeadsData[[#This Row],[Signup Date]],"mmm-yyyy")</f>
        <v>Sep-2024</v>
      </c>
      <c r="M6201">
        <f>IF(LeadsData[[#This Row],[Stage Number]]&gt;=2,1,0)</f>
        <v>0</v>
      </c>
      <c r="N6201" s="2">
        <f>IF(LeadsData[[#This Row],[Stage Number]]&gt;=3,1,0)</f>
        <v>0</v>
      </c>
      <c r="O6201" s="2">
        <f>IF(LeadsData[[#This Row],[Stage Number]]&gt;=4,1,0)</f>
        <v>0</v>
      </c>
    </row>
    <row r="6202" spans="1:15" x14ac:dyDescent="0.25">
      <c r="A6202" t="s">
        <v>6242</v>
      </c>
      <c r="B6202" s="1">
        <v>45440</v>
      </c>
      <c r="C6202" t="s">
        <v>36</v>
      </c>
      <c r="D6202" t="s">
        <v>50</v>
      </c>
      <c r="E6202" t="s">
        <v>13</v>
      </c>
      <c r="F6202" t="s">
        <v>22</v>
      </c>
      <c r="G6202" t="s">
        <v>23</v>
      </c>
      <c r="K6202" cm="1">
        <f t="array" ref="K6202">_xlfn.SWITCH(LeadsData[[#This Row],[Funnel Stage Reached]],"Lead",1,"MQL",2,"SQL",3,"Customer",4)</f>
        <v>2</v>
      </c>
      <c r="L6202" t="str">
        <f>TEXT(LeadsData[[#This Row],[Signup Date]],"mmm-yyyy")</f>
        <v>May-2024</v>
      </c>
      <c r="M6202">
        <f>IF(LeadsData[[#This Row],[Stage Number]]&gt;=2,1,0)</f>
        <v>1</v>
      </c>
      <c r="N6202" s="2">
        <f>IF(LeadsData[[#This Row],[Stage Number]]&gt;=3,1,0)</f>
        <v>0</v>
      </c>
      <c r="O6202" s="2">
        <f>IF(LeadsData[[#This Row],[Stage Number]]&gt;=4,1,0)</f>
        <v>0</v>
      </c>
    </row>
    <row r="6203" spans="1:15" x14ac:dyDescent="0.25">
      <c r="A6203" t="s">
        <v>6243</v>
      </c>
      <c r="B6203" s="1">
        <v>45555</v>
      </c>
      <c r="C6203" t="s">
        <v>31</v>
      </c>
      <c r="D6203" t="s">
        <v>34</v>
      </c>
      <c r="E6203" t="s">
        <v>13</v>
      </c>
      <c r="F6203" t="s">
        <v>14</v>
      </c>
      <c r="G6203" t="s">
        <v>15</v>
      </c>
      <c r="K6203" cm="1">
        <f t="array" ref="K6203">_xlfn.SWITCH(LeadsData[[#This Row],[Funnel Stage Reached]],"Lead",1,"MQL",2,"SQL",3,"Customer",4)</f>
        <v>1</v>
      </c>
      <c r="L6203" t="str">
        <f>TEXT(LeadsData[[#This Row],[Signup Date]],"mmm-yyyy")</f>
        <v>Sep-2024</v>
      </c>
      <c r="M6203">
        <f>IF(LeadsData[[#This Row],[Stage Number]]&gt;=2,1,0)</f>
        <v>0</v>
      </c>
      <c r="N6203" s="2">
        <f>IF(LeadsData[[#This Row],[Stage Number]]&gt;=3,1,0)</f>
        <v>0</v>
      </c>
      <c r="O6203" s="2">
        <f>IF(LeadsData[[#This Row],[Stage Number]]&gt;=4,1,0)</f>
        <v>0</v>
      </c>
    </row>
    <row r="6204" spans="1:15" x14ac:dyDescent="0.25">
      <c r="A6204" t="s">
        <v>6244</v>
      </c>
      <c r="B6204" s="1">
        <v>45366</v>
      </c>
      <c r="C6204" t="s">
        <v>17</v>
      </c>
      <c r="D6204" t="s">
        <v>53</v>
      </c>
      <c r="E6204" t="s">
        <v>13</v>
      </c>
      <c r="F6204" t="s">
        <v>19</v>
      </c>
      <c r="G6204" t="s">
        <v>15</v>
      </c>
      <c r="K6204" cm="1">
        <f t="array" ref="K6204">_xlfn.SWITCH(LeadsData[[#This Row],[Funnel Stage Reached]],"Lead",1,"MQL",2,"SQL",3,"Customer",4)</f>
        <v>1</v>
      </c>
      <c r="L6204" t="str">
        <f>TEXT(LeadsData[[#This Row],[Signup Date]],"mmm-yyyy")</f>
        <v>Mar-2024</v>
      </c>
      <c r="M6204">
        <f>IF(LeadsData[[#This Row],[Stage Number]]&gt;=2,1,0)</f>
        <v>0</v>
      </c>
      <c r="N6204" s="2">
        <f>IF(LeadsData[[#This Row],[Stage Number]]&gt;=3,1,0)</f>
        <v>0</v>
      </c>
      <c r="O6204" s="2">
        <f>IF(LeadsData[[#This Row],[Stage Number]]&gt;=4,1,0)</f>
        <v>0</v>
      </c>
    </row>
    <row r="6205" spans="1:15" x14ac:dyDescent="0.25">
      <c r="A6205" t="s">
        <v>6245</v>
      </c>
      <c r="B6205" s="1">
        <v>45512</v>
      </c>
      <c r="C6205" t="s">
        <v>36</v>
      </c>
      <c r="D6205" t="s">
        <v>50</v>
      </c>
      <c r="E6205" t="s">
        <v>13</v>
      </c>
      <c r="F6205" t="s">
        <v>22</v>
      </c>
      <c r="G6205" t="s">
        <v>42</v>
      </c>
      <c r="H6205">
        <v>30</v>
      </c>
      <c r="I6205" t="s">
        <v>43</v>
      </c>
      <c r="J6205">
        <v>593.91999999999996</v>
      </c>
      <c r="K6205" cm="1">
        <f t="array" ref="K6205">_xlfn.SWITCH(LeadsData[[#This Row],[Funnel Stage Reached]],"Lead",1,"MQL",2,"SQL",3,"Customer",4)</f>
        <v>4</v>
      </c>
      <c r="L6205" t="str">
        <f>TEXT(LeadsData[[#This Row],[Signup Date]],"mmm-yyyy")</f>
        <v>Aug-2024</v>
      </c>
      <c r="M6205">
        <f>IF(LeadsData[[#This Row],[Stage Number]]&gt;=2,1,0)</f>
        <v>1</v>
      </c>
      <c r="N6205" s="2">
        <f>IF(LeadsData[[#This Row],[Stage Number]]&gt;=3,1,0)</f>
        <v>1</v>
      </c>
      <c r="O6205" s="2">
        <f>IF(LeadsData[[#This Row],[Stage Number]]&gt;=4,1,0)</f>
        <v>1</v>
      </c>
    </row>
    <row r="6206" spans="1:15" x14ac:dyDescent="0.25">
      <c r="A6206" t="s">
        <v>6246</v>
      </c>
      <c r="B6206" s="1">
        <v>45573</v>
      </c>
      <c r="C6206" t="s">
        <v>25</v>
      </c>
      <c r="D6206" t="s">
        <v>26</v>
      </c>
      <c r="E6206" t="s">
        <v>48</v>
      </c>
      <c r="F6206" t="s">
        <v>19</v>
      </c>
      <c r="G6206" t="s">
        <v>29</v>
      </c>
      <c r="K6206" cm="1">
        <f t="array" ref="K6206">_xlfn.SWITCH(LeadsData[[#This Row],[Funnel Stage Reached]],"Lead",1,"MQL",2,"SQL",3,"Customer",4)</f>
        <v>3</v>
      </c>
      <c r="L6206" t="str">
        <f>TEXT(LeadsData[[#This Row],[Signup Date]],"mmm-yyyy")</f>
        <v>Oct-2024</v>
      </c>
      <c r="M6206">
        <f>IF(LeadsData[[#This Row],[Stage Number]]&gt;=2,1,0)</f>
        <v>1</v>
      </c>
      <c r="N6206" s="2">
        <f>IF(LeadsData[[#This Row],[Stage Number]]&gt;=3,1,0)</f>
        <v>1</v>
      </c>
      <c r="O6206" s="2">
        <f>IF(LeadsData[[#This Row],[Stage Number]]&gt;=4,1,0)</f>
        <v>0</v>
      </c>
    </row>
    <row r="6207" spans="1:15" x14ac:dyDescent="0.25">
      <c r="A6207" t="s">
        <v>6247</v>
      </c>
      <c r="B6207" s="1">
        <v>45597</v>
      </c>
      <c r="C6207" t="s">
        <v>17</v>
      </c>
      <c r="D6207" t="s">
        <v>18</v>
      </c>
      <c r="E6207" t="s">
        <v>13</v>
      </c>
      <c r="F6207" t="s">
        <v>19</v>
      </c>
      <c r="G6207" t="s">
        <v>23</v>
      </c>
      <c r="K6207" cm="1">
        <f t="array" ref="K6207">_xlfn.SWITCH(LeadsData[[#This Row],[Funnel Stage Reached]],"Lead",1,"MQL",2,"SQL",3,"Customer",4)</f>
        <v>2</v>
      </c>
      <c r="L6207" t="str">
        <f>TEXT(LeadsData[[#This Row],[Signup Date]],"mmm-yyyy")</f>
        <v>Nov-2024</v>
      </c>
      <c r="M6207">
        <f>IF(LeadsData[[#This Row],[Stage Number]]&gt;=2,1,0)</f>
        <v>1</v>
      </c>
      <c r="N6207" s="2">
        <f>IF(LeadsData[[#This Row],[Stage Number]]&gt;=3,1,0)</f>
        <v>0</v>
      </c>
      <c r="O6207" s="2">
        <f>IF(LeadsData[[#This Row],[Stage Number]]&gt;=4,1,0)</f>
        <v>0</v>
      </c>
    </row>
    <row r="6208" spans="1:15" x14ac:dyDescent="0.25">
      <c r="A6208" t="s">
        <v>6248</v>
      </c>
      <c r="B6208" s="1">
        <v>45603</v>
      </c>
      <c r="C6208" t="s">
        <v>46</v>
      </c>
      <c r="D6208" t="s">
        <v>47</v>
      </c>
      <c r="E6208" t="s">
        <v>13</v>
      </c>
      <c r="F6208" t="s">
        <v>19</v>
      </c>
      <c r="G6208" t="s">
        <v>42</v>
      </c>
      <c r="H6208">
        <v>52</v>
      </c>
      <c r="I6208" t="s">
        <v>87</v>
      </c>
      <c r="J6208">
        <v>2057.69</v>
      </c>
      <c r="K6208" cm="1">
        <f t="array" ref="K6208">_xlfn.SWITCH(LeadsData[[#This Row],[Funnel Stage Reached]],"Lead",1,"MQL",2,"SQL",3,"Customer",4)</f>
        <v>4</v>
      </c>
      <c r="L6208" t="str">
        <f>TEXT(LeadsData[[#This Row],[Signup Date]],"mmm-yyyy")</f>
        <v>Nov-2024</v>
      </c>
      <c r="M6208">
        <f>IF(LeadsData[[#This Row],[Stage Number]]&gt;=2,1,0)</f>
        <v>1</v>
      </c>
      <c r="N6208" s="2">
        <f>IF(LeadsData[[#This Row],[Stage Number]]&gt;=3,1,0)</f>
        <v>1</v>
      </c>
      <c r="O6208" s="2">
        <f>IF(LeadsData[[#This Row],[Stage Number]]&gt;=4,1,0)</f>
        <v>1</v>
      </c>
    </row>
    <row r="6209" spans="1:15" x14ac:dyDescent="0.25">
      <c r="A6209" t="s">
        <v>6249</v>
      </c>
      <c r="B6209" s="1">
        <v>45610</v>
      </c>
      <c r="C6209" t="s">
        <v>31</v>
      </c>
      <c r="D6209" t="s">
        <v>34</v>
      </c>
      <c r="E6209" t="s">
        <v>21</v>
      </c>
      <c r="F6209" t="s">
        <v>19</v>
      </c>
      <c r="G6209" t="s">
        <v>15</v>
      </c>
      <c r="K6209" cm="1">
        <f t="array" ref="K6209">_xlfn.SWITCH(LeadsData[[#This Row],[Funnel Stage Reached]],"Lead",1,"MQL",2,"SQL",3,"Customer",4)</f>
        <v>1</v>
      </c>
      <c r="L6209" t="str">
        <f>TEXT(LeadsData[[#This Row],[Signup Date]],"mmm-yyyy")</f>
        <v>Nov-2024</v>
      </c>
      <c r="M6209">
        <f>IF(LeadsData[[#This Row],[Stage Number]]&gt;=2,1,0)</f>
        <v>0</v>
      </c>
      <c r="N6209" s="2">
        <f>IF(LeadsData[[#This Row],[Stage Number]]&gt;=3,1,0)</f>
        <v>0</v>
      </c>
      <c r="O6209" s="2">
        <f>IF(LeadsData[[#This Row],[Stage Number]]&gt;=4,1,0)</f>
        <v>0</v>
      </c>
    </row>
    <row r="6210" spans="1:15" x14ac:dyDescent="0.25">
      <c r="A6210" t="s">
        <v>6250</v>
      </c>
      <c r="B6210" s="1">
        <v>45531</v>
      </c>
      <c r="C6210" t="s">
        <v>46</v>
      </c>
      <c r="D6210" t="s">
        <v>56</v>
      </c>
      <c r="E6210" t="s">
        <v>13</v>
      </c>
      <c r="F6210" t="s">
        <v>19</v>
      </c>
      <c r="G6210" t="s">
        <v>23</v>
      </c>
      <c r="K6210" cm="1">
        <f t="array" ref="K6210">_xlfn.SWITCH(LeadsData[[#This Row],[Funnel Stage Reached]],"Lead",1,"MQL",2,"SQL",3,"Customer",4)</f>
        <v>2</v>
      </c>
      <c r="L6210" t="str">
        <f>TEXT(LeadsData[[#This Row],[Signup Date]],"mmm-yyyy")</f>
        <v>Aug-2024</v>
      </c>
      <c r="M6210">
        <f>IF(LeadsData[[#This Row],[Stage Number]]&gt;=2,1,0)</f>
        <v>1</v>
      </c>
      <c r="N6210" s="2">
        <f>IF(LeadsData[[#This Row],[Stage Number]]&gt;=3,1,0)</f>
        <v>0</v>
      </c>
      <c r="O6210" s="2">
        <f>IF(LeadsData[[#This Row],[Stage Number]]&gt;=4,1,0)</f>
        <v>0</v>
      </c>
    </row>
    <row r="6211" spans="1:15" x14ac:dyDescent="0.25">
      <c r="A6211" t="s">
        <v>6251</v>
      </c>
      <c r="B6211" s="1">
        <v>45468</v>
      </c>
      <c r="C6211" t="s">
        <v>11</v>
      </c>
      <c r="D6211" t="s">
        <v>79</v>
      </c>
      <c r="E6211" t="s">
        <v>13</v>
      </c>
      <c r="F6211" t="s">
        <v>19</v>
      </c>
      <c r="G6211" t="s">
        <v>23</v>
      </c>
      <c r="K6211" cm="1">
        <f t="array" ref="K6211">_xlfn.SWITCH(LeadsData[[#This Row],[Funnel Stage Reached]],"Lead",1,"MQL",2,"SQL",3,"Customer",4)</f>
        <v>2</v>
      </c>
      <c r="L6211" t="str">
        <f>TEXT(LeadsData[[#This Row],[Signup Date]],"mmm-yyyy")</f>
        <v>Jun-2024</v>
      </c>
      <c r="M6211">
        <f>IF(LeadsData[[#This Row],[Stage Number]]&gt;=2,1,0)</f>
        <v>1</v>
      </c>
      <c r="N6211" s="2">
        <f>IF(LeadsData[[#This Row],[Stage Number]]&gt;=3,1,0)</f>
        <v>0</v>
      </c>
      <c r="O6211" s="2">
        <f>IF(LeadsData[[#This Row],[Stage Number]]&gt;=4,1,0)</f>
        <v>0</v>
      </c>
    </row>
    <row r="6212" spans="1:15" x14ac:dyDescent="0.25">
      <c r="A6212" t="s">
        <v>6252</v>
      </c>
      <c r="B6212" s="1">
        <v>45568</v>
      </c>
      <c r="C6212" t="s">
        <v>31</v>
      </c>
      <c r="D6212" t="s">
        <v>32</v>
      </c>
      <c r="E6212" t="s">
        <v>13</v>
      </c>
      <c r="F6212" t="s">
        <v>22</v>
      </c>
      <c r="G6212" t="s">
        <v>15</v>
      </c>
      <c r="K6212" cm="1">
        <f t="array" ref="K6212">_xlfn.SWITCH(LeadsData[[#This Row],[Funnel Stage Reached]],"Lead",1,"MQL",2,"SQL",3,"Customer",4)</f>
        <v>1</v>
      </c>
      <c r="L6212" t="str">
        <f>TEXT(LeadsData[[#This Row],[Signup Date]],"mmm-yyyy")</f>
        <v>Oct-2024</v>
      </c>
      <c r="M6212">
        <f>IF(LeadsData[[#This Row],[Stage Number]]&gt;=2,1,0)</f>
        <v>0</v>
      </c>
      <c r="N6212" s="2">
        <f>IF(LeadsData[[#This Row],[Stage Number]]&gt;=3,1,0)</f>
        <v>0</v>
      </c>
      <c r="O6212" s="2">
        <f>IF(LeadsData[[#This Row],[Stage Number]]&gt;=4,1,0)</f>
        <v>0</v>
      </c>
    </row>
    <row r="6213" spans="1:15" x14ac:dyDescent="0.25">
      <c r="A6213" t="s">
        <v>6253</v>
      </c>
      <c r="B6213" s="1">
        <v>45526</v>
      </c>
      <c r="C6213" t="s">
        <v>25</v>
      </c>
      <c r="D6213" t="s">
        <v>26</v>
      </c>
      <c r="E6213" t="s">
        <v>13</v>
      </c>
      <c r="F6213" t="s">
        <v>28</v>
      </c>
      <c r="G6213" t="s">
        <v>15</v>
      </c>
      <c r="K6213" cm="1">
        <f t="array" ref="K6213">_xlfn.SWITCH(LeadsData[[#This Row],[Funnel Stage Reached]],"Lead",1,"MQL",2,"SQL",3,"Customer",4)</f>
        <v>1</v>
      </c>
      <c r="L6213" t="str">
        <f>TEXT(LeadsData[[#This Row],[Signup Date]],"mmm-yyyy")</f>
        <v>Aug-2024</v>
      </c>
      <c r="M6213">
        <f>IF(LeadsData[[#This Row],[Stage Number]]&gt;=2,1,0)</f>
        <v>0</v>
      </c>
      <c r="N6213" s="2">
        <f>IF(LeadsData[[#This Row],[Stage Number]]&gt;=3,1,0)</f>
        <v>0</v>
      </c>
      <c r="O6213" s="2">
        <f>IF(LeadsData[[#This Row],[Stage Number]]&gt;=4,1,0)</f>
        <v>0</v>
      </c>
    </row>
    <row r="6214" spans="1:15" x14ac:dyDescent="0.25">
      <c r="A6214" t="s">
        <v>6254</v>
      </c>
      <c r="B6214" s="1">
        <v>45387</v>
      </c>
      <c r="C6214" t="s">
        <v>17</v>
      </c>
      <c r="D6214" t="s">
        <v>53</v>
      </c>
      <c r="E6214" t="s">
        <v>13</v>
      </c>
      <c r="F6214" t="s">
        <v>19</v>
      </c>
      <c r="G6214" t="s">
        <v>15</v>
      </c>
      <c r="K6214" cm="1">
        <f t="array" ref="K6214">_xlfn.SWITCH(LeadsData[[#This Row],[Funnel Stage Reached]],"Lead",1,"MQL",2,"SQL",3,"Customer",4)</f>
        <v>1</v>
      </c>
      <c r="L6214" t="str">
        <f>TEXT(LeadsData[[#This Row],[Signup Date]],"mmm-yyyy")</f>
        <v>Apr-2024</v>
      </c>
      <c r="M6214">
        <f>IF(LeadsData[[#This Row],[Stage Number]]&gt;=2,1,0)</f>
        <v>0</v>
      </c>
      <c r="N6214" s="2">
        <f>IF(LeadsData[[#This Row],[Stage Number]]&gt;=3,1,0)</f>
        <v>0</v>
      </c>
      <c r="O6214" s="2">
        <f>IF(LeadsData[[#This Row],[Stage Number]]&gt;=4,1,0)</f>
        <v>0</v>
      </c>
    </row>
    <row r="6215" spans="1:15" x14ac:dyDescent="0.25">
      <c r="A6215" t="s">
        <v>6255</v>
      </c>
      <c r="B6215" s="1">
        <v>45424</v>
      </c>
      <c r="C6215" t="s">
        <v>31</v>
      </c>
      <c r="D6215" t="s">
        <v>34</v>
      </c>
      <c r="E6215" t="s">
        <v>13</v>
      </c>
      <c r="F6215" t="s">
        <v>14</v>
      </c>
      <c r="G6215" t="s">
        <v>29</v>
      </c>
      <c r="K6215" cm="1">
        <f t="array" ref="K6215">_xlfn.SWITCH(LeadsData[[#This Row],[Funnel Stage Reached]],"Lead",1,"MQL",2,"SQL",3,"Customer",4)</f>
        <v>3</v>
      </c>
      <c r="L6215" t="str">
        <f>TEXT(LeadsData[[#This Row],[Signup Date]],"mmm-yyyy")</f>
        <v>May-2024</v>
      </c>
      <c r="M6215">
        <f>IF(LeadsData[[#This Row],[Stage Number]]&gt;=2,1,0)</f>
        <v>1</v>
      </c>
      <c r="N6215" s="2">
        <f>IF(LeadsData[[#This Row],[Stage Number]]&gt;=3,1,0)</f>
        <v>1</v>
      </c>
      <c r="O6215" s="2">
        <f>IF(LeadsData[[#This Row],[Stage Number]]&gt;=4,1,0)</f>
        <v>0</v>
      </c>
    </row>
    <row r="6216" spans="1:15" x14ac:dyDescent="0.25">
      <c r="A6216" t="s">
        <v>6256</v>
      </c>
      <c r="B6216" s="1">
        <v>45508</v>
      </c>
      <c r="C6216" t="s">
        <v>11</v>
      </c>
      <c r="D6216" t="s">
        <v>68</v>
      </c>
      <c r="E6216" t="s">
        <v>13</v>
      </c>
      <c r="F6216" t="s">
        <v>19</v>
      </c>
      <c r="G6216" t="s">
        <v>15</v>
      </c>
      <c r="K6216" cm="1">
        <f t="array" ref="K6216">_xlfn.SWITCH(LeadsData[[#This Row],[Funnel Stage Reached]],"Lead",1,"MQL",2,"SQL",3,"Customer",4)</f>
        <v>1</v>
      </c>
      <c r="L6216" t="str">
        <f>TEXT(LeadsData[[#This Row],[Signup Date]],"mmm-yyyy")</f>
        <v>Aug-2024</v>
      </c>
      <c r="M6216">
        <f>IF(LeadsData[[#This Row],[Stage Number]]&gt;=2,1,0)</f>
        <v>0</v>
      </c>
      <c r="N6216" s="2">
        <f>IF(LeadsData[[#This Row],[Stage Number]]&gt;=3,1,0)</f>
        <v>0</v>
      </c>
      <c r="O6216" s="2">
        <f>IF(LeadsData[[#This Row],[Stage Number]]&gt;=4,1,0)</f>
        <v>0</v>
      </c>
    </row>
    <row r="6217" spans="1:15" x14ac:dyDescent="0.25">
      <c r="A6217" t="s">
        <v>6257</v>
      </c>
      <c r="B6217" s="1">
        <v>45637</v>
      </c>
      <c r="C6217" t="s">
        <v>17</v>
      </c>
      <c r="D6217" t="s">
        <v>18</v>
      </c>
      <c r="E6217" t="s">
        <v>21</v>
      </c>
      <c r="F6217" t="s">
        <v>22</v>
      </c>
      <c r="G6217" t="s">
        <v>23</v>
      </c>
      <c r="K6217" cm="1">
        <f t="array" ref="K6217">_xlfn.SWITCH(LeadsData[[#This Row],[Funnel Stage Reached]],"Lead",1,"MQL",2,"SQL",3,"Customer",4)</f>
        <v>2</v>
      </c>
      <c r="L6217" t="str">
        <f>TEXT(LeadsData[[#This Row],[Signup Date]],"mmm-yyyy")</f>
        <v>Dec-2024</v>
      </c>
      <c r="M6217">
        <f>IF(LeadsData[[#This Row],[Stage Number]]&gt;=2,1,0)</f>
        <v>1</v>
      </c>
      <c r="N6217" s="2">
        <f>IF(LeadsData[[#This Row],[Stage Number]]&gt;=3,1,0)</f>
        <v>0</v>
      </c>
      <c r="O6217" s="2">
        <f>IF(LeadsData[[#This Row],[Stage Number]]&gt;=4,1,0)</f>
        <v>0</v>
      </c>
    </row>
    <row r="6218" spans="1:15" x14ac:dyDescent="0.25">
      <c r="A6218" t="s">
        <v>6258</v>
      </c>
      <c r="B6218" s="1">
        <v>45383</v>
      </c>
      <c r="C6218" t="s">
        <v>11</v>
      </c>
      <c r="D6218" t="s">
        <v>12</v>
      </c>
      <c r="E6218" t="s">
        <v>21</v>
      </c>
      <c r="F6218" t="s">
        <v>19</v>
      </c>
      <c r="G6218" t="s">
        <v>15</v>
      </c>
      <c r="K6218" cm="1">
        <f t="array" ref="K6218">_xlfn.SWITCH(LeadsData[[#This Row],[Funnel Stage Reached]],"Lead",1,"MQL",2,"SQL",3,"Customer",4)</f>
        <v>1</v>
      </c>
      <c r="L6218" t="str">
        <f>TEXT(LeadsData[[#This Row],[Signup Date]],"mmm-yyyy")</f>
        <v>Apr-2024</v>
      </c>
      <c r="M6218">
        <f>IF(LeadsData[[#This Row],[Stage Number]]&gt;=2,1,0)</f>
        <v>0</v>
      </c>
      <c r="N6218" s="2">
        <f>IF(LeadsData[[#This Row],[Stage Number]]&gt;=3,1,0)</f>
        <v>0</v>
      </c>
      <c r="O6218" s="2">
        <f>IF(LeadsData[[#This Row],[Stage Number]]&gt;=4,1,0)</f>
        <v>0</v>
      </c>
    </row>
    <row r="6219" spans="1:15" x14ac:dyDescent="0.25">
      <c r="A6219" t="s">
        <v>6259</v>
      </c>
      <c r="B6219" s="1">
        <v>45330</v>
      </c>
      <c r="C6219" t="s">
        <v>36</v>
      </c>
      <c r="D6219" t="s">
        <v>50</v>
      </c>
      <c r="E6219" t="s">
        <v>13</v>
      </c>
      <c r="F6219" t="s">
        <v>14</v>
      </c>
      <c r="G6219" t="s">
        <v>23</v>
      </c>
      <c r="K6219" cm="1">
        <f t="array" ref="K6219">_xlfn.SWITCH(LeadsData[[#This Row],[Funnel Stage Reached]],"Lead",1,"MQL",2,"SQL",3,"Customer",4)</f>
        <v>2</v>
      </c>
      <c r="L6219" t="str">
        <f>TEXT(LeadsData[[#This Row],[Signup Date]],"mmm-yyyy")</f>
        <v>Feb-2024</v>
      </c>
      <c r="M6219">
        <f>IF(LeadsData[[#This Row],[Stage Number]]&gt;=2,1,0)</f>
        <v>1</v>
      </c>
      <c r="N6219" s="2">
        <f>IF(LeadsData[[#This Row],[Stage Number]]&gt;=3,1,0)</f>
        <v>0</v>
      </c>
      <c r="O6219" s="2">
        <f>IF(LeadsData[[#This Row],[Stage Number]]&gt;=4,1,0)</f>
        <v>0</v>
      </c>
    </row>
    <row r="6220" spans="1:15" x14ac:dyDescent="0.25">
      <c r="A6220" t="s">
        <v>6260</v>
      </c>
      <c r="B6220" s="1">
        <v>45531</v>
      </c>
      <c r="C6220" t="s">
        <v>46</v>
      </c>
      <c r="D6220" t="s">
        <v>56</v>
      </c>
      <c r="E6220" t="s">
        <v>21</v>
      </c>
      <c r="F6220" t="s">
        <v>19</v>
      </c>
      <c r="G6220" t="s">
        <v>29</v>
      </c>
      <c r="K6220" cm="1">
        <f t="array" ref="K6220">_xlfn.SWITCH(LeadsData[[#This Row],[Funnel Stage Reached]],"Lead",1,"MQL",2,"SQL",3,"Customer",4)</f>
        <v>3</v>
      </c>
      <c r="L6220" t="str">
        <f>TEXT(LeadsData[[#This Row],[Signup Date]],"mmm-yyyy")</f>
        <v>Aug-2024</v>
      </c>
      <c r="M6220">
        <f>IF(LeadsData[[#This Row],[Stage Number]]&gt;=2,1,0)</f>
        <v>1</v>
      </c>
      <c r="N6220" s="2">
        <f>IF(LeadsData[[#This Row],[Stage Number]]&gt;=3,1,0)</f>
        <v>1</v>
      </c>
      <c r="O6220" s="2">
        <f>IF(LeadsData[[#This Row],[Stage Number]]&gt;=4,1,0)</f>
        <v>0</v>
      </c>
    </row>
    <row r="6221" spans="1:15" x14ac:dyDescent="0.25">
      <c r="A6221" t="s">
        <v>6261</v>
      </c>
      <c r="B6221" s="1">
        <v>45332</v>
      </c>
      <c r="C6221" t="s">
        <v>25</v>
      </c>
      <c r="D6221" t="s">
        <v>26</v>
      </c>
      <c r="E6221" t="s">
        <v>13</v>
      </c>
      <c r="F6221" t="s">
        <v>19</v>
      </c>
      <c r="G6221" t="s">
        <v>23</v>
      </c>
      <c r="K6221" cm="1">
        <f t="array" ref="K6221">_xlfn.SWITCH(LeadsData[[#This Row],[Funnel Stage Reached]],"Lead",1,"MQL",2,"SQL",3,"Customer",4)</f>
        <v>2</v>
      </c>
      <c r="L6221" t="str">
        <f>TEXT(LeadsData[[#This Row],[Signup Date]],"mmm-yyyy")</f>
        <v>Feb-2024</v>
      </c>
      <c r="M6221">
        <f>IF(LeadsData[[#This Row],[Stage Number]]&gt;=2,1,0)</f>
        <v>1</v>
      </c>
      <c r="N6221" s="2">
        <f>IF(LeadsData[[#This Row],[Stage Number]]&gt;=3,1,0)</f>
        <v>0</v>
      </c>
      <c r="O6221" s="2">
        <f>IF(LeadsData[[#This Row],[Stage Number]]&gt;=4,1,0)</f>
        <v>0</v>
      </c>
    </row>
    <row r="6222" spans="1:15" x14ac:dyDescent="0.25">
      <c r="A6222" t="s">
        <v>6262</v>
      </c>
      <c r="B6222" s="1">
        <v>45555</v>
      </c>
      <c r="C6222" t="s">
        <v>25</v>
      </c>
      <c r="D6222" t="s">
        <v>26</v>
      </c>
      <c r="E6222" t="s">
        <v>13</v>
      </c>
      <c r="F6222" t="s">
        <v>22</v>
      </c>
      <c r="G6222" t="s">
        <v>15</v>
      </c>
      <c r="K6222" cm="1">
        <f t="array" ref="K6222">_xlfn.SWITCH(LeadsData[[#This Row],[Funnel Stage Reached]],"Lead",1,"MQL",2,"SQL",3,"Customer",4)</f>
        <v>1</v>
      </c>
      <c r="L6222" t="str">
        <f>TEXT(LeadsData[[#This Row],[Signup Date]],"mmm-yyyy")</f>
        <v>Sep-2024</v>
      </c>
      <c r="M6222">
        <f>IF(LeadsData[[#This Row],[Stage Number]]&gt;=2,1,0)</f>
        <v>0</v>
      </c>
      <c r="N6222" s="2">
        <f>IF(LeadsData[[#This Row],[Stage Number]]&gt;=3,1,0)</f>
        <v>0</v>
      </c>
      <c r="O6222" s="2">
        <f>IF(LeadsData[[#This Row],[Stage Number]]&gt;=4,1,0)</f>
        <v>0</v>
      </c>
    </row>
    <row r="6223" spans="1:15" x14ac:dyDescent="0.25">
      <c r="A6223" t="s">
        <v>6263</v>
      </c>
      <c r="B6223" s="1">
        <v>45597</v>
      </c>
      <c r="C6223" t="s">
        <v>31</v>
      </c>
      <c r="D6223" t="s">
        <v>34</v>
      </c>
      <c r="E6223" t="s">
        <v>21</v>
      </c>
      <c r="F6223" t="s">
        <v>19</v>
      </c>
      <c r="G6223" t="s">
        <v>29</v>
      </c>
      <c r="K6223" cm="1">
        <f t="array" ref="K6223">_xlfn.SWITCH(LeadsData[[#This Row],[Funnel Stage Reached]],"Lead",1,"MQL",2,"SQL",3,"Customer",4)</f>
        <v>3</v>
      </c>
      <c r="L6223" t="str">
        <f>TEXT(LeadsData[[#This Row],[Signup Date]],"mmm-yyyy")</f>
        <v>Nov-2024</v>
      </c>
      <c r="M6223">
        <f>IF(LeadsData[[#This Row],[Stage Number]]&gt;=2,1,0)</f>
        <v>1</v>
      </c>
      <c r="N6223" s="2">
        <f>IF(LeadsData[[#This Row],[Stage Number]]&gt;=3,1,0)</f>
        <v>1</v>
      </c>
      <c r="O6223" s="2">
        <f>IF(LeadsData[[#This Row],[Stage Number]]&gt;=4,1,0)</f>
        <v>0</v>
      </c>
    </row>
    <row r="6224" spans="1:15" x14ac:dyDescent="0.25">
      <c r="A6224" t="s">
        <v>6264</v>
      </c>
      <c r="B6224" s="1">
        <v>45303</v>
      </c>
      <c r="C6224" t="s">
        <v>31</v>
      </c>
      <c r="D6224" t="s">
        <v>34</v>
      </c>
      <c r="E6224" t="s">
        <v>21</v>
      </c>
      <c r="F6224" t="s">
        <v>22</v>
      </c>
      <c r="G6224" t="s">
        <v>23</v>
      </c>
      <c r="K6224" cm="1">
        <f t="array" ref="K6224">_xlfn.SWITCH(LeadsData[[#This Row],[Funnel Stage Reached]],"Lead",1,"MQL",2,"SQL",3,"Customer",4)</f>
        <v>2</v>
      </c>
      <c r="L6224" t="str">
        <f>TEXT(LeadsData[[#This Row],[Signup Date]],"mmm-yyyy")</f>
        <v>Jan-2024</v>
      </c>
      <c r="M6224">
        <f>IF(LeadsData[[#This Row],[Stage Number]]&gt;=2,1,0)</f>
        <v>1</v>
      </c>
      <c r="N6224" s="2">
        <f>IF(LeadsData[[#This Row],[Stage Number]]&gt;=3,1,0)</f>
        <v>0</v>
      </c>
      <c r="O6224" s="2">
        <f>IF(LeadsData[[#This Row],[Stage Number]]&gt;=4,1,0)</f>
        <v>0</v>
      </c>
    </row>
    <row r="6225" spans="1:15" x14ac:dyDescent="0.25">
      <c r="A6225" t="s">
        <v>6265</v>
      </c>
      <c r="B6225" s="1">
        <v>45471</v>
      </c>
      <c r="C6225" t="s">
        <v>31</v>
      </c>
      <c r="D6225" t="s">
        <v>34</v>
      </c>
      <c r="E6225" t="s">
        <v>13</v>
      </c>
      <c r="F6225" t="s">
        <v>19</v>
      </c>
      <c r="G6225" t="s">
        <v>23</v>
      </c>
      <c r="K6225" cm="1">
        <f t="array" ref="K6225">_xlfn.SWITCH(LeadsData[[#This Row],[Funnel Stage Reached]],"Lead",1,"MQL",2,"SQL",3,"Customer",4)</f>
        <v>2</v>
      </c>
      <c r="L6225" t="str">
        <f>TEXT(LeadsData[[#This Row],[Signup Date]],"mmm-yyyy")</f>
        <v>Jun-2024</v>
      </c>
      <c r="M6225">
        <f>IF(LeadsData[[#This Row],[Stage Number]]&gt;=2,1,0)</f>
        <v>1</v>
      </c>
      <c r="N6225" s="2">
        <f>IF(LeadsData[[#This Row],[Stage Number]]&gt;=3,1,0)</f>
        <v>0</v>
      </c>
      <c r="O6225" s="2">
        <f>IF(LeadsData[[#This Row],[Stage Number]]&gt;=4,1,0)</f>
        <v>0</v>
      </c>
    </row>
    <row r="6226" spans="1:15" x14ac:dyDescent="0.25">
      <c r="A6226" t="s">
        <v>6266</v>
      </c>
      <c r="B6226" s="1">
        <v>45497</v>
      </c>
      <c r="C6226" t="s">
        <v>46</v>
      </c>
      <c r="D6226" t="s">
        <v>56</v>
      </c>
      <c r="E6226" t="s">
        <v>13</v>
      </c>
      <c r="F6226" t="s">
        <v>14</v>
      </c>
      <c r="G6226" t="s">
        <v>15</v>
      </c>
      <c r="K6226" cm="1">
        <f t="array" ref="K6226">_xlfn.SWITCH(LeadsData[[#This Row],[Funnel Stage Reached]],"Lead",1,"MQL",2,"SQL",3,"Customer",4)</f>
        <v>1</v>
      </c>
      <c r="L6226" t="str">
        <f>TEXT(LeadsData[[#This Row],[Signup Date]],"mmm-yyyy")</f>
        <v>Jul-2024</v>
      </c>
      <c r="M6226">
        <f>IF(LeadsData[[#This Row],[Stage Number]]&gt;=2,1,0)</f>
        <v>0</v>
      </c>
      <c r="N6226" s="2">
        <f>IF(LeadsData[[#This Row],[Stage Number]]&gt;=3,1,0)</f>
        <v>0</v>
      </c>
      <c r="O6226" s="2">
        <f>IF(LeadsData[[#This Row],[Stage Number]]&gt;=4,1,0)</f>
        <v>0</v>
      </c>
    </row>
    <row r="6227" spans="1:15" x14ac:dyDescent="0.25">
      <c r="A6227" t="s">
        <v>6267</v>
      </c>
      <c r="B6227" s="1">
        <v>45559</v>
      </c>
      <c r="C6227" t="s">
        <v>25</v>
      </c>
      <c r="D6227" t="s">
        <v>26</v>
      </c>
      <c r="E6227" t="s">
        <v>13</v>
      </c>
      <c r="F6227" t="s">
        <v>28</v>
      </c>
      <c r="G6227" t="s">
        <v>15</v>
      </c>
      <c r="K6227" cm="1">
        <f t="array" ref="K6227">_xlfn.SWITCH(LeadsData[[#This Row],[Funnel Stage Reached]],"Lead",1,"MQL",2,"SQL",3,"Customer",4)</f>
        <v>1</v>
      </c>
      <c r="L6227" t="str">
        <f>TEXT(LeadsData[[#This Row],[Signup Date]],"mmm-yyyy")</f>
        <v>Sep-2024</v>
      </c>
      <c r="M6227">
        <f>IF(LeadsData[[#This Row],[Stage Number]]&gt;=2,1,0)</f>
        <v>0</v>
      </c>
      <c r="N6227" s="2">
        <f>IF(LeadsData[[#This Row],[Stage Number]]&gt;=3,1,0)</f>
        <v>0</v>
      </c>
      <c r="O6227" s="2">
        <f>IF(LeadsData[[#This Row],[Stage Number]]&gt;=4,1,0)</f>
        <v>0</v>
      </c>
    </row>
    <row r="6228" spans="1:15" x14ac:dyDescent="0.25">
      <c r="A6228" t="s">
        <v>6268</v>
      </c>
      <c r="B6228" s="1">
        <v>45364</v>
      </c>
      <c r="C6228" t="s">
        <v>36</v>
      </c>
      <c r="D6228" t="s">
        <v>50</v>
      </c>
      <c r="E6228" t="s">
        <v>21</v>
      </c>
      <c r="F6228" t="s">
        <v>19</v>
      </c>
      <c r="G6228" t="s">
        <v>15</v>
      </c>
      <c r="K6228" cm="1">
        <f t="array" ref="K6228">_xlfn.SWITCH(LeadsData[[#This Row],[Funnel Stage Reached]],"Lead",1,"MQL",2,"SQL",3,"Customer",4)</f>
        <v>1</v>
      </c>
      <c r="L6228" t="str">
        <f>TEXT(LeadsData[[#This Row],[Signup Date]],"mmm-yyyy")</f>
        <v>Mar-2024</v>
      </c>
      <c r="M6228">
        <f>IF(LeadsData[[#This Row],[Stage Number]]&gt;=2,1,0)</f>
        <v>0</v>
      </c>
      <c r="N6228" s="2">
        <f>IF(LeadsData[[#This Row],[Stage Number]]&gt;=3,1,0)</f>
        <v>0</v>
      </c>
      <c r="O6228" s="2">
        <f>IF(LeadsData[[#This Row],[Stage Number]]&gt;=4,1,0)</f>
        <v>0</v>
      </c>
    </row>
    <row r="6229" spans="1:15" x14ac:dyDescent="0.25">
      <c r="A6229" t="s">
        <v>6269</v>
      </c>
      <c r="B6229" s="1">
        <v>45356</v>
      </c>
      <c r="C6229" t="s">
        <v>46</v>
      </c>
      <c r="D6229" t="s">
        <v>47</v>
      </c>
      <c r="E6229" t="s">
        <v>13</v>
      </c>
      <c r="F6229" t="s">
        <v>19</v>
      </c>
      <c r="G6229" t="s">
        <v>23</v>
      </c>
      <c r="K6229" cm="1">
        <f t="array" ref="K6229">_xlfn.SWITCH(LeadsData[[#This Row],[Funnel Stage Reached]],"Lead",1,"MQL",2,"SQL",3,"Customer",4)</f>
        <v>2</v>
      </c>
      <c r="L6229" t="str">
        <f>TEXT(LeadsData[[#This Row],[Signup Date]],"mmm-yyyy")</f>
        <v>Mar-2024</v>
      </c>
      <c r="M6229">
        <f>IF(LeadsData[[#This Row],[Stage Number]]&gt;=2,1,0)</f>
        <v>1</v>
      </c>
      <c r="N6229" s="2">
        <f>IF(LeadsData[[#This Row],[Stage Number]]&gt;=3,1,0)</f>
        <v>0</v>
      </c>
      <c r="O6229" s="2">
        <f>IF(LeadsData[[#This Row],[Stage Number]]&gt;=4,1,0)</f>
        <v>0</v>
      </c>
    </row>
    <row r="6230" spans="1:15" x14ac:dyDescent="0.25">
      <c r="A6230" t="s">
        <v>6270</v>
      </c>
      <c r="B6230" s="1">
        <v>45451</v>
      </c>
      <c r="C6230" t="s">
        <v>31</v>
      </c>
      <c r="D6230" t="s">
        <v>34</v>
      </c>
      <c r="E6230" t="s">
        <v>48</v>
      </c>
      <c r="F6230" t="s">
        <v>22</v>
      </c>
      <c r="G6230" t="s">
        <v>15</v>
      </c>
      <c r="K6230" cm="1">
        <f t="array" ref="K6230">_xlfn.SWITCH(LeadsData[[#This Row],[Funnel Stage Reached]],"Lead",1,"MQL",2,"SQL",3,"Customer",4)</f>
        <v>1</v>
      </c>
      <c r="L6230" t="str">
        <f>TEXT(LeadsData[[#This Row],[Signup Date]],"mmm-yyyy")</f>
        <v>Jun-2024</v>
      </c>
      <c r="M6230">
        <f>IF(LeadsData[[#This Row],[Stage Number]]&gt;=2,1,0)</f>
        <v>0</v>
      </c>
      <c r="N6230" s="2">
        <f>IF(LeadsData[[#This Row],[Stage Number]]&gt;=3,1,0)</f>
        <v>0</v>
      </c>
      <c r="O6230" s="2">
        <f>IF(LeadsData[[#This Row],[Stage Number]]&gt;=4,1,0)</f>
        <v>0</v>
      </c>
    </row>
    <row r="6231" spans="1:15" x14ac:dyDescent="0.25">
      <c r="A6231" t="s">
        <v>6271</v>
      </c>
      <c r="B6231" s="1">
        <v>45394</v>
      </c>
      <c r="C6231" t="s">
        <v>17</v>
      </c>
      <c r="D6231" t="s">
        <v>18</v>
      </c>
      <c r="E6231" t="s">
        <v>21</v>
      </c>
      <c r="F6231" t="s">
        <v>22</v>
      </c>
      <c r="G6231" t="s">
        <v>23</v>
      </c>
      <c r="K6231" cm="1">
        <f t="array" ref="K6231">_xlfn.SWITCH(LeadsData[[#This Row],[Funnel Stage Reached]],"Lead",1,"MQL",2,"SQL",3,"Customer",4)</f>
        <v>2</v>
      </c>
      <c r="L6231" t="str">
        <f>TEXT(LeadsData[[#This Row],[Signup Date]],"mmm-yyyy")</f>
        <v>Apr-2024</v>
      </c>
      <c r="M6231">
        <f>IF(LeadsData[[#This Row],[Stage Number]]&gt;=2,1,0)</f>
        <v>1</v>
      </c>
      <c r="N6231" s="2">
        <f>IF(LeadsData[[#This Row],[Stage Number]]&gt;=3,1,0)</f>
        <v>0</v>
      </c>
      <c r="O6231" s="2">
        <f>IF(LeadsData[[#This Row],[Stage Number]]&gt;=4,1,0)</f>
        <v>0</v>
      </c>
    </row>
    <row r="6232" spans="1:15" x14ac:dyDescent="0.25">
      <c r="A6232" t="s">
        <v>6272</v>
      </c>
      <c r="B6232" s="1">
        <v>45426</v>
      </c>
      <c r="C6232" t="s">
        <v>36</v>
      </c>
      <c r="D6232" t="s">
        <v>37</v>
      </c>
      <c r="E6232" t="s">
        <v>13</v>
      </c>
      <c r="F6232" t="s">
        <v>19</v>
      </c>
      <c r="G6232" t="s">
        <v>15</v>
      </c>
      <c r="K6232" cm="1">
        <f t="array" ref="K6232">_xlfn.SWITCH(LeadsData[[#This Row],[Funnel Stage Reached]],"Lead",1,"MQL",2,"SQL",3,"Customer",4)</f>
        <v>1</v>
      </c>
      <c r="L6232" t="str">
        <f>TEXT(LeadsData[[#This Row],[Signup Date]],"mmm-yyyy")</f>
        <v>May-2024</v>
      </c>
      <c r="M6232">
        <f>IF(LeadsData[[#This Row],[Stage Number]]&gt;=2,1,0)</f>
        <v>0</v>
      </c>
      <c r="N6232" s="2">
        <f>IF(LeadsData[[#This Row],[Stage Number]]&gt;=3,1,0)</f>
        <v>0</v>
      </c>
      <c r="O6232" s="2">
        <f>IF(LeadsData[[#This Row],[Stage Number]]&gt;=4,1,0)</f>
        <v>0</v>
      </c>
    </row>
    <row r="6233" spans="1:15" x14ac:dyDescent="0.25">
      <c r="A6233" t="s">
        <v>6273</v>
      </c>
      <c r="B6233" s="1">
        <v>45530</v>
      </c>
      <c r="C6233" t="s">
        <v>11</v>
      </c>
      <c r="D6233" t="s">
        <v>79</v>
      </c>
      <c r="E6233" t="s">
        <v>13</v>
      </c>
      <c r="F6233" t="s">
        <v>19</v>
      </c>
      <c r="G6233" t="s">
        <v>23</v>
      </c>
      <c r="K6233" cm="1">
        <f t="array" ref="K6233">_xlfn.SWITCH(LeadsData[[#This Row],[Funnel Stage Reached]],"Lead",1,"MQL",2,"SQL",3,"Customer",4)</f>
        <v>2</v>
      </c>
      <c r="L6233" t="str">
        <f>TEXT(LeadsData[[#This Row],[Signup Date]],"mmm-yyyy")</f>
        <v>Aug-2024</v>
      </c>
      <c r="M6233">
        <f>IF(LeadsData[[#This Row],[Stage Number]]&gt;=2,1,0)</f>
        <v>1</v>
      </c>
      <c r="N6233" s="2">
        <f>IF(LeadsData[[#This Row],[Stage Number]]&gt;=3,1,0)</f>
        <v>0</v>
      </c>
      <c r="O6233" s="2">
        <f>IF(LeadsData[[#This Row],[Stage Number]]&gt;=4,1,0)</f>
        <v>0</v>
      </c>
    </row>
    <row r="6234" spans="1:15" x14ac:dyDescent="0.25">
      <c r="A6234" t="s">
        <v>6274</v>
      </c>
      <c r="B6234" s="1">
        <v>45481</v>
      </c>
      <c r="C6234" t="s">
        <v>11</v>
      </c>
      <c r="D6234" t="s">
        <v>68</v>
      </c>
      <c r="E6234" t="s">
        <v>21</v>
      </c>
      <c r="F6234" t="s">
        <v>22</v>
      </c>
      <c r="G6234" t="s">
        <v>15</v>
      </c>
      <c r="K6234" cm="1">
        <f t="array" ref="K6234">_xlfn.SWITCH(LeadsData[[#This Row],[Funnel Stage Reached]],"Lead",1,"MQL",2,"SQL",3,"Customer",4)</f>
        <v>1</v>
      </c>
      <c r="L6234" t="str">
        <f>TEXT(LeadsData[[#This Row],[Signup Date]],"mmm-yyyy")</f>
        <v>Jul-2024</v>
      </c>
      <c r="M6234">
        <f>IF(LeadsData[[#This Row],[Stage Number]]&gt;=2,1,0)</f>
        <v>0</v>
      </c>
      <c r="N6234" s="2">
        <f>IF(LeadsData[[#This Row],[Stage Number]]&gt;=3,1,0)</f>
        <v>0</v>
      </c>
      <c r="O6234" s="2">
        <f>IF(LeadsData[[#This Row],[Stage Number]]&gt;=4,1,0)</f>
        <v>0</v>
      </c>
    </row>
    <row r="6235" spans="1:15" x14ac:dyDescent="0.25">
      <c r="A6235" t="s">
        <v>6275</v>
      </c>
      <c r="B6235" s="1">
        <v>45632</v>
      </c>
      <c r="C6235" t="s">
        <v>17</v>
      </c>
      <c r="D6235" t="s">
        <v>53</v>
      </c>
      <c r="E6235" t="s">
        <v>21</v>
      </c>
      <c r="F6235" t="s">
        <v>14</v>
      </c>
      <c r="G6235" t="s">
        <v>15</v>
      </c>
      <c r="K6235" cm="1">
        <f t="array" ref="K6235">_xlfn.SWITCH(LeadsData[[#This Row],[Funnel Stage Reached]],"Lead",1,"MQL",2,"SQL",3,"Customer",4)</f>
        <v>1</v>
      </c>
      <c r="L6235" t="str">
        <f>TEXT(LeadsData[[#This Row],[Signup Date]],"mmm-yyyy")</f>
        <v>Dec-2024</v>
      </c>
      <c r="M6235">
        <f>IF(LeadsData[[#This Row],[Stage Number]]&gt;=2,1,0)</f>
        <v>0</v>
      </c>
      <c r="N6235" s="2">
        <f>IF(LeadsData[[#This Row],[Stage Number]]&gt;=3,1,0)</f>
        <v>0</v>
      </c>
      <c r="O6235" s="2">
        <f>IF(LeadsData[[#This Row],[Stage Number]]&gt;=4,1,0)</f>
        <v>0</v>
      </c>
    </row>
    <row r="6236" spans="1:15" x14ac:dyDescent="0.25">
      <c r="A6236" t="s">
        <v>6276</v>
      </c>
      <c r="B6236" s="1">
        <v>45624</v>
      </c>
      <c r="C6236" t="s">
        <v>31</v>
      </c>
      <c r="D6236" t="s">
        <v>34</v>
      </c>
      <c r="E6236" t="s">
        <v>13</v>
      </c>
      <c r="F6236" t="s">
        <v>14</v>
      </c>
      <c r="G6236" t="s">
        <v>15</v>
      </c>
      <c r="K6236" cm="1">
        <f t="array" ref="K6236">_xlfn.SWITCH(LeadsData[[#This Row],[Funnel Stage Reached]],"Lead",1,"MQL",2,"SQL",3,"Customer",4)</f>
        <v>1</v>
      </c>
      <c r="L6236" t="str">
        <f>TEXT(LeadsData[[#This Row],[Signup Date]],"mmm-yyyy")</f>
        <v>Nov-2024</v>
      </c>
      <c r="M6236">
        <f>IF(LeadsData[[#This Row],[Stage Number]]&gt;=2,1,0)</f>
        <v>0</v>
      </c>
      <c r="N6236" s="2">
        <f>IF(LeadsData[[#This Row],[Stage Number]]&gt;=3,1,0)</f>
        <v>0</v>
      </c>
      <c r="O6236" s="2">
        <f>IF(LeadsData[[#This Row],[Stage Number]]&gt;=4,1,0)</f>
        <v>0</v>
      </c>
    </row>
    <row r="6237" spans="1:15" x14ac:dyDescent="0.25">
      <c r="A6237" t="s">
        <v>6277</v>
      </c>
      <c r="B6237" s="1">
        <v>45603</v>
      </c>
      <c r="C6237" t="s">
        <v>31</v>
      </c>
      <c r="D6237" t="s">
        <v>32</v>
      </c>
      <c r="E6237" t="s">
        <v>13</v>
      </c>
      <c r="F6237" t="s">
        <v>14</v>
      </c>
      <c r="G6237" t="s">
        <v>23</v>
      </c>
      <c r="K6237" cm="1">
        <f t="array" ref="K6237">_xlfn.SWITCH(LeadsData[[#This Row],[Funnel Stage Reached]],"Lead",1,"MQL",2,"SQL",3,"Customer",4)</f>
        <v>2</v>
      </c>
      <c r="L6237" t="str">
        <f>TEXT(LeadsData[[#This Row],[Signup Date]],"mmm-yyyy")</f>
        <v>Nov-2024</v>
      </c>
      <c r="M6237">
        <f>IF(LeadsData[[#This Row],[Stage Number]]&gt;=2,1,0)</f>
        <v>1</v>
      </c>
      <c r="N6237" s="2">
        <f>IF(LeadsData[[#This Row],[Stage Number]]&gt;=3,1,0)</f>
        <v>0</v>
      </c>
      <c r="O6237" s="2">
        <f>IF(LeadsData[[#This Row],[Stage Number]]&gt;=4,1,0)</f>
        <v>0</v>
      </c>
    </row>
    <row r="6238" spans="1:15" x14ac:dyDescent="0.25">
      <c r="A6238" t="s">
        <v>6278</v>
      </c>
      <c r="B6238" s="1">
        <v>45415</v>
      </c>
      <c r="C6238" t="s">
        <v>46</v>
      </c>
      <c r="D6238" t="s">
        <v>47</v>
      </c>
      <c r="E6238" t="s">
        <v>21</v>
      </c>
      <c r="F6238" t="s">
        <v>22</v>
      </c>
      <c r="G6238" t="s">
        <v>23</v>
      </c>
      <c r="K6238" cm="1">
        <f t="array" ref="K6238">_xlfn.SWITCH(LeadsData[[#This Row],[Funnel Stage Reached]],"Lead",1,"MQL",2,"SQL",3,"Customer",4)</f>
        <v>2</v>
      </c>
      <c r="L6238" t="str">
        <f>TEXT(LeadsData[[#This Row],[Signup Date]],"mmm-yyyy")</f>
        <v>May-2024</v>
      </c>
      <c r="M6238">
        <f>IF(LeadsData[[#This Row],[Stage Number]]&gt;=2,1,0)</f>
        <v>1</v>
      </c>
      <c r="N6238" s="2">
        <f>IF(LeadsData[[#This Row],[Stage Number]]&gt;=3,1,0)</f>
        <v>0</v>
      </c>
      <c r="O6238" s="2">
        <f>IF(LeadsData[[#This Row],[Stage Number]]&gt;=4,1,0)</f>
        <v>0</v>
      </c>
    </row>
    <row r="6239" spans="1:15" x14ac:dyDescent="0.25">
      <c r="A6239" t="s">
        <v>6279</v>
      </c>
      <c r="B6239" s="1">
        <v>45548</v>
      </c>
      <c r="C6239" t="s">
        <v>36</v>
      </c>
      <c r="D6239" t="s">
        <v>50</v>
      </c>
      <c r="E6239" t="s">
        <v>13</v>
      </c>
      <c r="F6239" t="s">
        <v>19</v>
      </c>
      <c r="G6239" t="s">
        <v>29</v>
      </c>
      <c r="K6239" cm="1">
        <f t="array" ref="K6239">_xlfn.SWITCH(LeadsData[[#This Row],[Funnel Stage Reached]],"Lead",1,"MQL",2,"SQL",3,"Customer",4)</f>
        <v>3</v>
      </c>
      <c r="L6239" t="str">
        <f>TEXT(LeadsData[[#This Row],[Signup Date]],"mmm-yyyy")</f>
        <v>Sep-2024</v>
      </c>
      <c r="M6239">
        <f>IF(LeadsData[[#This Row],[Stage Number]]&gt;=2,1,0)</f>
        <v>1</v>
      </c>
      <c r="N6239" s="2">
        <f>IF(LeadsData[[#This Row],[Stage Number]]&gt;=3,1,0)</f>
        <v>1</v>
      </c>
      <c r="O6239" s="2">
        <f>IF(LeadsData[[#This Row],[Stage Number]]&gt;=4,1,0)</f>
        <v>0</v>
      </c>
    </row>
    <row r="6240" spans="1:15" x14ac:dyDescent="0.25">
      <c r="A6240" t="s">
        <v>6280</v>
      </c>
      <c r="B6240" s="1">
        <v>45653</v>
      </c>
      <c r="C6240" t="s">
        <v>36</v>
      </c>
      <c r="D6240" t="s">
        <v>50</v>
      </c>
      <c r="E6240" t="s">
        <v>21</v>
      </c>
      <c r="F6240" t="s">
        <v>22</v>
      </c>
      <c r="G6240" t="s">
        <v>23</v>
      </c>
      <c r="K6240" cm="1">
        <f t="array" ref="K6240">_xlfn.SWITCH(LeadsData[[#This Row],[Funnel Stage Reached]],"Lead",1,"MQL",2,"SQL",3,"Customer",4)</f>
        <v>2</v>
      </c>
      <c r="L6240" t="str">
        <f>TEXT(LeadsData[[#This Row],[Signup Date]],"mmm-yyyy")</f>
        <v>Dec-2024</v>
      </c>
      <c r="M6240">
        <f>IF(LeadsData[[#This Row],[Stage Number]]&gt;=2,1,0)</f>
        <v>1</v>
      </c>
      <c r="N6240" s="2">
        <f>IF(LeadsData[[#This Row],[Stage Number]]&gt;=3,1,0)</f>
        <v>0</v>
      </c>
      <c r="O6240" s="2">
        <f>IF(LeadsData[[#This Row],[Stage Number]]&gt;=4,1,0)</f>
        <v>0</v>
      </c>
    </row>
    <row r="6241" spans="1:15" x14ac:dyDescent="0.25">
      <c r="A6241" t="s">
        <v>6281</v>
      </c>
      <c r="B6241" s="1">
        <v>45606</v>
      </c>
      <c r="C6241" t="s">
        <v>46</v>
      </c>
      <c r="D6241" t="s">
        <v>56</v>
      </c>
      <c r="E6241" t="s">
        <v>13</v>
      </c>
      <c r="F6241" t="s">
        <v>19</v>
      </c>
      <c r="G6241" t="s">
        <v>23</v>
      </c>
      <c r="K6241" cm="1">
        <f t="array" ref="K6241">_xlfn.SWITCH(LeadsData[[#This Row],[Funnel Stage Reached]],"Lead",1,"MQL",2,"SQL",3,"Customer",4)</f>
        <v>2</v>
      </c>
      <c r="L6241" t="str">
        <f>TEXT(LeadsData[[#This Row],[Signup Date]],"mmm-yyyy")</f>
        <v>Nov-2024</v>
      </c>
      <c r="M6241">
        <f>IF(LeadsData[[#This Row],[Stage Number]]&gt;=2,1,0)</f>
        <v>1</v>
      </c>
      <c r="N6241" s="2">
        <f>IF(LeadsData[[#This Row],[Stage Number]]&gt;=3,1,0)</f>
        <v>0</v>
      </c>
      <c r="O6241" s="2">
        <f>IF(LeadsData[[#This Row],[Stage Number]]&gt;=4,1,0)</f>
        <v>0</v>
      </c>
    </row>
    <row r="6242" spans="1:15" x14ac:dyDescent="0.25">
      <c r="A6242" t="s">
        <v>6282</v>
      </c>
      <c r="B6242" s="1">
        <v>45403</v>
      </c>
      <c r="C6242" t="s">
        <v>17</v>
      </c>
      <c r="D6242" t="s">
        <v>18</v>
      </c>
      <c r="E6242" t="s">
        <v>13</v>
      </c>
      <c r="F6242" t="s">
        <v>19</v>
      </c>
      <c r="G6242" t="s">
        <v>15</v>
      </c>
      <c r="K6242" cm="1">
        <f t="array" ref="K6242">_xlfn.SWITCH(LeadsData[[#This Row],[Funnel Stage Reached]],"Lead",1,"MQL",2,"SQL",3,"Customer",4)</f>
        <v>1</v>
      </c>
      <c r="L6242" t="str">
        <f>TEXT(LeadsData[[#This Row],[Signup Date]],"mmm-yyyy")</f>
        <v>Apr-2024</v>
      </c>
      <c r="M6242">
        <f>IF(LeadsData[[#This Row],[Stage Number]]&gt;=2,1,0)</f>
        <v>0</v>
      </c>
      <c r="N6242" s="2">
        <f>IF(LeadsData[[#This Row],[Stage Number]]&gt;=3,1,0)</f>
        <v>0</v>
      </c>
      <c r="O6242" s="2">
        <f>IF(LeadsData[[#This Row],[Stage Number]]&gt;=4,1,0)</f>
        <v>0</v>
      </c>
    </row>
    <row r="6243" spans="1:15" x14ac:dyDescent="0.25">
      <c r="A6243" t="s">
        <v>6283</v>
      </c>
      <c r="B6243" s="1">
        <v>45574</v>
      </c>
      <c r="C6243" t="s">
        <v>46</v>
      </c>
      <c r="D6243" t="s">
        <v>56</v>
      </c>
      <c r="E6243" t="s">
        <v>21</v>
      </c>
      <c r="F6243" t="s">
        <v>22</v>
      </c>
      <c r="G6243" t="s">
        <v>15</v>
      </c>
      <c r="K6243" cm="1">
        <f t="array" ref="K6243">_xlfn.SWITCH(LeadsData[[#This Row],[Funnel Stage Reached]],"Lead",1,"MQL",2,"SQL",3,"Customer",4)</f>
        <v>1</v>
      </c>
      <c r="L6243" t="str">
        <f>TEXT(LeadsData[[#This Row],[Signup Date]],"mmm-yyyy")</f>
        <v>Oct-2024</v>
      </c>
      <c r="M6243">
        <f>IF(LeadsData[[#This Row],[Stage Number]]&gt;=2,1,0)</f>
        <v>0</v>
      </c>
      <c r="N6243" s="2">
        <f>IF(LeadsData[[#This Row],[Stage Number]]&gt;=3,1,0)</f>
        <v>0</v>
      </c>
      <c r="O6243" s="2">
        <f>IF(LeadsData[[#This Row],[Stage Number]]&gt;=4,1,0)</f>
        <v>0</v>
      </c>
    </row>
    <row r="6244" spans="1:15" x14ac:dyDescent="0.25">
      <c r="A6244" t="s">
        <v>6284</v>
      </c>
      <c r="B6244" s="1">
        <v>45428</v>
      </c>
      <c r="C6244" t="s">
        <v>36</v>
      </c>
      <c r="D6244" t="s">
        <v>37</v>
      </c>
      <c r="E6244" t="s">
        <v>48</v>
      </c>
      <c r="F6244" t="s">
        <v>22</v>
      </c>
      <c r="G6244" t="s">
        <v>15</v>
      </c>
      <c r="K6244" cm="1">
        <f t="array" ref="K6244">_xlfn.SWITCH(LeadsData[[#This Row],[Funnel Stage Reached]],"Lead",1,"MQL",2,"SQL",3,"Customer",4)</f>
        <v>1</v>
      </c>
      <c r="L6244" t="str">
        <f>TEXT(LeadsData[[#This Row],[Signup Date]],"mmm-yyyy")</f>
        <v>May-2024</v>
      </c>
      <c r="M6244">
        <f>IF(LeadsData[[#This Row],[Stage Number]]&gt;=2,1,0)</f>
        <v>0</v>
      </c>
      <c r="N6244" s="2">
        <f>IF(LeadsData[[#This Row],[Stage Number]]&gt;=3,1,0)</f>
        <v>0</v>
      </c>
      <c r="O6244" s="2">
        <f>IF(LeadsData[[#This Row],[Stage Number]]&gt;=4,1,0)</f>
        <v>0</v>
      </c>
    </row>
    <row r="6245" spans="1:15" x14ac:dyDescent="0.25">
      <c r="A6245" t="s">
        <v>6285</v>
      </c>
      <c r="B6245" s="1">
        <v>45427</v>
      </c>
      <c r="C6245" t="s">
        <v>11</v>
      </c>
      <c r="D6245" t="s">
        <v>79</v>
      </c>
      <c r="E6245" t="s">
        <v>21</v>
      </c>
      <c r="F6245" t="s">
        <v>19</v>
      </c>
      <c r="G6245" t="s">
        <v>29</v>
      </c>
      <c r="K6245" cm="1">
        <f t="array" ref="K6245">_xlfn.SWITCH(LeadsData[[#This Row],[Funnel Stage Reached]],"Lead",1,"MQL",2,"SQL",3,"Customer",4)</f>
        <v>3</v>
      </c>
      <c r="L6245" t="str">
        <f>TEXT(LeadsData[[#This Row],[Signup Date]],"mmm-yyyy")</f>
        <v>May-2024</v>
      </c>
      <c r="M6245">
        <f>IF(LeadsData[[#This Row],[Stage Number]]&gt;=2,1,0)</f>
        <v>1</v>
      </c>
      <c r="N6245" s="2">
        <f>IF(LeadsData[[#This Row],[Stage Number]]&gt;=3,1,0)</f>
        <v>1</v>
      </c>
      <c r="O6245" s="2">
        <f>IF(LeadsData[[#This Row],[Stage Number]]&gt;=4,1,0)</f>
        <v>0</v>
      </c>
    </row>
    <row r="6246" spans="1:15" x14ac:dyDescent="0.25">
      <c r="A6246" t="s">
        <v>6286</v>
      </c>
      <c r="B6246" s="1">
        <v>45452</v>
      </c>
      <c r="C6246" t="s">
        <v>36</v>
      </c>
      <c r="D6246" t="s">
        <v>50</v>
      </c>
      <c r="E6246" t="s">
        <v>21</v>
      </c>
      <c r="F6246" t="s">
        <v>19</v>
      </c>
      <c r="G6246" t="s">
        <v>29</v>
      </c>
      <c r="K6246" cm="1">
        <f t="array" ref="K6246">_xlfn.SWITCH(LeadsData[[#This Row],[Funnel Stage Reached]],"Lead",1,"MQL",2,"SQL",3,"Customer",4)</f>
        <v>3</v>
      </c>
      <c r="L6246" t="str">
        <f>TEXT(LeadsData[[#This Row],[Signup Date]],"mmm-yyyy")</f>
        <v>Jun-2024</v>
      </c>
      <c r="M6246">
        <f>IF(LeadsData[[#This Row],[Stage Number]]&gt;=2,1,0)</f>
        <v>1</v>
      </c>
      <c r="N6246" s="2">
        <f>IF(LeadsData[[#This Row],[Stage Number]]&gt;=3,1,0)</f>
        <v>1</v>
      </c>
      <c r="O6246" s="2">
        <f>IF(LeadsData[[#This Row],[Stage Number]]&gt;=4,1,0)</f>
        <v>0</v>
      </c>
    </row>
    <row r="6247" spans="1:15" x14ac:dyDescent="0.25">
      <c r="A6247" t="s">
        <v>6287</v>
      </c>
      <c r="B6247" s="1">
        <v>45624</v>
      </c>
      <c r="C6247" t="s">
        <v>46</v>
      </c>
      <c r="D6247" t="s">
        <v>56</v>
      </c>
      <c r="E6247" t="s">
        <v>21</v>
      </c>
      <c r="F6247" t="s">
        <v>14</v>
      </c>
      <c r="G6247" t="s">
        <v>42</v>
      </c>
      <c r="H6247">
        <v>18</v>
      </c>
      <c r="I6247" t="s">
        <v>43</v>
      </c>
      <c r="J6247">
        <v>1455.28</v>
      </c>
      <c r="K6247" cm="1">
        <f t="array" ref="K6247">_xlfn.SWITCH(LeadsData[[#This Row],[Funnel Stage Reached]],"Lead",1,"MQL",2,"SQL",3,"Customer",4)</f>
        <v>4</v>
      </c>
      <c r="L6247" t="str">
        <f>TEXT(LeadsData[[#This Row],[Signup Date]],"mmm-yyyy")</f>
        <v>Nov-2024</v>
      </c>
      <c r="M6247">
        <f>IF(LeadsData[[#This Row],[Stage Number]]&gt;=2,1,0)</f>
        <v>1</v>
      </c>
      <c r="N6247" s="2">
        <f>IF(LeadsData[[#This Row],[Stage Number]]&gt;=3,1,0)</f>
        <v>1</v>
      </c>
      <c r="O6247" s="2">
        <f>IF(LeadsData[[#This Row],[Stage Number]]&gt;=4,1,0)</f>
        <v>1</v>
      </c>
    </row>
    <row r="6248" spans="1:15" x14ac:dyDescent="0.25">
      <c r="A6248" t="s">
        <v>6288</v>
      </c>
      <c r="B6248" s="1">
        <v>45643</v>
      </c>
      <c r="C6248" t="s">
        <v>11</v>
      </c>
      <c r="D6248" t="s">
        <v>79</v>
      </c>
      <c r="E6248" t="s">
        <v>13</v>
      </c>
      <c r="F6248" t="s">
        <v>14</v>
      </c>
      <c r="G6248" t="s">
        <v>15</v>
      </c>
      <c r="K6248" cm="1">
        <f t="array" ref="K6248">_xlfn.SWITCH(LeadsData[[#This Row],[Funnel Stage Reached]],"Lead",1,"MQL",2,"SQL",3,"Customer",4)</f>
        <v>1</v>
      </c>
      <c r="L6248" t="str">
        <f>TEXT(LeadsData[[#This Row],[Signup Date]],"mmm-yyyy")</f>
        <v>Dec-2024</v>
      </c>
      <c r="M6248">
        <f>IF(LeadsData[[#This Row],[Stage Number]]&gt;=2,1,0)</f>
        <v>0</v>
      </c>
      <c r="N6248" s="2">
        <f>IF(LeadsData[[#This Row],[Stage Number]]&gt;=3,1,0)</f>
        <v>0</v>
      </c>
      <c r="O6248" s="2">
        <f>IF(LeadsData[[#This Row],[Stage Number]]&gt;=4,1,0)</f>
        <v>0</v>
      </c>
    </row>
    <row r="6249" spans="1:15" x14ac:dyDescent="0.25">
      <c r="A6249" t="s">
        <v>6289</v>
      </c>
      <c r="B6249" s="1">
        <v>45492</v>
      </c>
      <c r="C6249" t="s">
        <v>46</v>
      </c>
      <c r="D6249" t="s">
        <v>56</v>
      </c>
      <c r="E6249" t="s">
        <v>13</v>
      </c>
      <c r="F6249" t="s">
        <v>22</v>
      </c>
      <c r="G6249" t="s">
        <v>15</v>
      </c>
      <c r="K6249" cm="1">
        <f t="array" ref="K6249">_xlfn.SWITCH(LeadsData[[#This Row],[Funnel Stage Reached]],"Lead",1,"MQL",2,"SQL",3,"Customer",4)</f>
        <v>1</v>
      </c>
      <c r="L6249" t="str">
        <f>TEXT(LeadsData[[#This Row],[Signup Date]],"mmm-yyyy")</f>
        <v>Jul-2024</v>
      </c>
      <c r="M6249">
        <f>IF(LeadsData[[#This Row],[Stage Number]]&gt;=2,1,0)</f>
        <v>0</v>
      </c>
      <c r="N6249" s="2">
        <f>IF(LeadsData[[#This Row],[Stage Number]]&gt;=3,1,0)</f>
        <v>0</v>
      </c>
      <c r="O6249" s="2">
        <f>IF(LeadsData[[#This Row],[Stage Number]]&gt;=4,1,0)</f>
        <v>0</v>
      </c>
    </row>
    <row r="6250" spans="1:15" x14ac:dyDescent="0.25">
      <c r="A6250" t="s">
        <v>6290</v>
      </c>
      <c r="B6250" s="1">
        <v>45590</v>
      </c>
      <c r="C6250" t="s">
        <v>31</v>
      </c>
      <c r="D6250" t="s">
        <v>34</v>
      </c>
      <c r="E6250" t="s">
        <v>21</v>
      </c>
      <c r="F6250" t="s">
        <v>19</v>
      </c>
      <c r="G6250" t="s">
        <v>15</v>
      </c>
      <c r="K6250" cm="1">
        <f t="array" ref="K6250">_xlfn.SWITCH(LeadsData[[#This Row],[Funnel Stage Reached]],"Lead",1,"MQL",2,"SQL",3,"Customer",4)</f>
        <v>1</v>
      </c>
      <c r="L6250" t="str">
        <f>TEXT(LeadsData[[#This Row],[Signup Date]],"mmm-yyyy")</f>
        <v>Oct-2024</v>
      </c>
      <c r="M6250">
        <f>IF(LeadsData[[#This Row],[Stage Number]]&gt;=2,1,0)</f>
        <v>0</v>
      </c>
      <c r="N6250" s="2">
        <f>IF(LeadsData[[#This Row],[Stage Number]]&gt;=3,1,0)</f>
        <v>0</v>
      </c>
      <c r="O6250" s="2">
        <f>IF(LeadsData[[#This Row],[Stage Number]]&gt;=4,1,0)</f>
        <v>0</v>
      </c>
    </row>
    <row r="6251" spans="1:15" x14ac:dyDescent="0.25">
      <c r="A6251" t="s">
        <v>6291</v>
      </c>
      <c r="B6251" s="1">
        <v>45609</v>
      </c>
      <c r="C6251" t="s">
        <v>31</v>
      </c>
      <c r="D6251" t="s">
        <v>32</v>
      </c>
      <c r="E6251" t="s">
        <v>21</v>
      </c>
      <c r="F6251" t="s">
        <v>22</v>
      </c>
      <c r="G6251" t="s">
        <v>23</v>
      </c>
      <c r="K6251" cm="1">
        <f t="array" ref="K6251">_xlfn.SWITCH(LeadsData[[#This Row],[Funnel Stage Reached]],"Lead",1,"MQL",2,"SQL",3,"Customer",4)</f>
        <v>2</v>
      </c>
      <c r="L6251" t="str">
        <f>TEXT(LeadsData[[#This Row],[Signup Date]],"mmm-yyyy")</f>
        <v>Nov-2024</v>
      </c>
      <c r="M6251">
        <f>IF(LeadsData[[#This Row],[Stage Number]]&gt;=2,1,0)</f>
        <v>1</v>
      </c>
      <c r="N6251" s="2">
        <f>IF(LeadsData[[#This Row],[Stage Number]]&gt;=3,1,0)</f>
        <v>0</v>
      </c>
      <c r="O6251" s="2">
        <f>IF(LeadsData[[#This Row],[Stage Number]]&gt;=4,1,0)</f>
        <v>0</v>
      </c>
    </row>
    <row r="6252" spans="1:15" x14ac:dyDescent="0.25">
      <c r="A6252" t="s">
        <v>6292</v>
      </c>
      <c r="B6252" s="1">
        <v>45423</v>
      </c>
      <c r="C6252" t="s">
        <v>17</v>
      </c>
      <c r="D6252" t="s">
        <v>53</v>
      </c>
      <c r="E6252" t="s">
        <v>21</v>
      </c>
      <c r="F6252" t="s">
        <v>22</v>
      </c>
      <c r="G6252" t="s">
        <v>29</v>
      </c>
      <c r="K6252" cm="1">
        <f t="array" ref="K6252">_xlfn.SWITCH(LeadsData[[#This Row],[Funnel Stage Reached]],"Lead",1,"MQL",2,"SQL",3,"Customer",4)</f>
        <v>3</v>
      </c>
      <c r="L6252" t="str">
        <f>TEXT(LeadsData[[#This Row],[Signup Date]],"mmm-yyyy")</f>
        <v>May-2024</v>
      </c>
      <c r="M6252">
        <f>IF(LeadsData[[#This Row],[Stage Number]]&gt;=2,1,0)</f>
        <v>1</v>
      </c>
      <c r="N6252" s="2">
        <f>IF(LeadsData[[#This Row],[Stage Number]]&gt;=3,1,0)</f>
        <v>1</v>
      </c>
      <c r="O6252" s="2">
        <f>IF(LeadsData[[#This Row],[Stage Number]]&gt;=4,1,0)</f>
        <v>0</v>
      </c>
    </row>
    <row r="6253" spans="1:15" x14ac:dyDescent="0.25">
      <c r="A6253" t="s">
        <v>6293</v>
      </c>
      <c r="B6253" s="1">
        <v>45576</v>
      </c>
      <c r="C6253" t="s">
        <v>31</v>
      </c>
      <c r="D6253" t="s">
        <v>34</v>
      </c>
      <c r="E6253" t="s">
        <v>21</v>
      </c>
      <c r="F6253" t="s">
        <v>14</v>
      </c>
      <c r="G6253" t="s">
        <v>42</v>
      </c>
      <c r="H6253">
        <v>34</v>
      </c>
      <c r="I6253" t="s">
        <v>183</v>
      </c>
      <c r="J6253">
        <v>15157.86</v>
      </c>
      <c r="K6253" cm="1">
        <f t="array" ref="K6253">_xlfn.SWITCH(LeadsData[[#This Row],[Funnel Stage Reached]],"Lead",1,"MQL",2,"SQL",3,"Customer",4)</f>
        <v>4</v>
      </c>
      <c r="L6253" t="str">
        <f>TEXT(LeadsData[[#This Row],[Signup Date]],"mmm-yyyy")</f>
        <v>Oct-2024</v>
      </c>
      <c r="M6253">
        <f>IF(LeadsData[[#This Row],[Stage Number]]&gt;=2,1,0)</f>
        <v>1</v>
      </c>
      <c r="N6253" s="2">
        <f>IF(LeadsData[[#This Row],[Stage Number]]&gt;=3,1,0)</f>
        <v>1</v>
      </c>
      <c r="O6253" s="2">
        <f>IF(LeadsData[[#This Row],[Stage Number]]&gt;=4,1,0)</f>
        <v>1</v>
      </c>
    </row>
    <row r="6254" spans="1:15" x14ac:dyDescent="0.25">
      <c r="A6254" t="s">
        <v>6294</v>
      </c>
      <c r="B6254" s="1">
        <v>45480</v>
      </c>
      <c r="C6254" t="s">
        <v>46</v>
      </c>
      <c r="D6254" t="s">
        <v>56</v>
      </c>
      <c r="E6254" t="s">
        <v>21</v>
      </c>
      <c r="F6254" t="s">
        <v>19</v>
      </c>
      <c r="G6254" t="s">
        <v>15</v>
      </c>
      <c r="K6254" cm="1">
        <f t="array" ref="K6254">_xlfn.SWITCH(LeadsData[[#This Row],[Funnel Stage Reached]],"Lead",1,"MQL",2,"SQL",3,"Customer",4)</f>
        <v>1</v>
      </c>
      <c r="L6254" t="str">
        <f>TEXT(LeadsData[[#This Row],[Signup Date]],"mmm-yyyy")</f>
        <v>Jul-2024</v>
      </c>
      <c r="M6254">
        <f>IF(LeadsData[[#This Row],[Stage Number]]&gt;=2,1,0)</f>
        <v>0</v>
      </c>
      <c r="N6254" s="2">
        <f>IF(LeadsData[[#This Row],[Stage Number]]&gt;=3,1,0)</f>
        <v>0</v>
      </c>
      <c r="O6254" s="2">
        <f>IF(LeadsData[[#This Row],[Stage Number]]&gt;=4,1,0)</f>
        <v>0</v>
      </c>
    </row>
    <row r="6255" spans="1:15" x14ac:dyDescent="0.25">
      <c r="A6255" t="s">
        <v>6295</v>
      </c>
      <c r="B6255" s="1">
        <v>45572</v>
      </c>
      <c r="C6255" t="s">
        <v>36</v>
      </c>
      <c r="D6255" t="s">
        <v>37</v>
      </c>
      <c r="E6255" t="s">
        <v>21</v>
      </c>
      <c r="F6255" t="s">
        <v>14</v>
      </c>
      <c r="G6255" t="s">
        <v>23</v>
      </c>
      <c r="K6255" cm="1">
        <f t="array" ref="K6255">_xlfn.SWITCH(LeadsData[[#This Row],[Funnel Stage Reached]],"Lead",1,"MQL",2,"SQL",3,"Customer",4)</f>
        <v>2</v>
      </c>
      <c r="L6255" t="str">
        <f>TEXT(LeadsData[[#This Row],[Signup Date]],"mmm-yyyy")</f>
        <v>Oct-2024</v>
      </c>
      <c r="M6255">
        <f>IF(LeadsData[[#This Row],[Stage Number]]&gt;=2,1,0)</f>
        <v>1</v>
      </c>
      <c r="N6255" s="2">
        <f>IF(LeadsData[[#This Row],[Stage Number]]&gt;=3,1,0)</f>
        <v>0</v>
      </c>
      <c r="O6255" s="2">
        <f>IF(LeadsData[[#This Row],[Stage Number]]&gt;=4,1,0)</f>
        <v>0</v>
      </c>
    </row>
    <row r="6256" spans="1:15" x14ac:dyDescent="0.25">
      <c r="A6256" t="s">
        <v>6296</v>
      </c>
      <c r="B6256" s="1">
        <v>45645</v>
      </c>
      <c r="C6256" t="s">
        <v>11</v>
      </c>
      <c r="D6256" t="s">
        <v>12</v>
      </c>
      <c r="E6256" t="s">
        <v>13</v>
      </c>
      <c r="F6256" t="s">
        <v>19</v>
      </c>
      <c r="G6256" t="s">
        <v>23</v>
      </c>
      <c r="K6256" cm="1">
        <f t="array" ref="K6256">_xlfn.SWITCH(LeadsData[[#This Row],[Funnel Stage Reached]],"Lead",1,"MQL",2,"SQL",3,"Customer",4)</f>
        <v>2</v>
      </c>
      <c r="L6256" t="str">
        <f>TEXT(LeadsData[[#This Row],[Signup Date]],"mmm-yyyy")</f>
        <v>Dec-2024</v>
      </c>
      <c r="M6256">
        <f>IF(LeadsData[[#This Row],[Stage Number]]&gt;=2,1,0)</f>
        <v>1</v>
      </c>
      <c r="N6256" s="2">
        <f>IF(LeadsData[[#This Row],[Stage Number]]&gt;=3,1,0)</f>
        <v>0</v>
      </c>
      <c r="O6256" s="2">
        <f>IF(LeadsData[[#This Row],[Stage Number]]&gt;=4,1,0)</f>
        <v>0</v>
      </c>
    </row>
    <row r="6257" spans="1:15" x14ac:dyDescent="0.25">
      <c r="A6257" t="s">
        <v>6297</v>
      </c>
      <c r="B6257" s="1">
        <v>45542</v>
      </c>
      <c r="C6257" t="s">
        <v>46</v>
      </c>
      <c r="D6257" t="s">
        <v>56</v>
      </c>
      <c r="E6257" t="s">
        <v>13</v>
      </c>
      <c r="F6257" t="s">
        <v>22</v>
      </c>
      <c r="G6257" t="s">
        <v>15</v>
      </c>
      <c r="K6257" cm="1">
        <f t="array" ref="K6257">_xlfn.SWITCH(LeadsData[[#This Row],[Funnel Stage Reached]],"Lead",1,"MQL",2,"SQL",3,"Customer",4)</f>
        <v>1</v>
      </c>
      <c r="L6257" t="str">
        <f>TEXT(LeadsData[[#This Row],[Signup Date]],"mmm-yyyy")</f>
        <v>Sep-2024</v>
      </c>
      <c r="M6257">
        <f>IF(LeadsData[[#This Row],[Stage Number]]&gt;=2,1,0)</f>
        <v>0</v>
      </c>
      <c r="N6257" s="2">
        <f>IF(LeadsData[[#This Row],[Stage Number]]&gt;=3,1,0)</f>
        <v>0</v>
      </c>
      <c r="O6257" s="2">
        <f>IF(LeadsData[[#This Row],[Stage Number]]&gt;=4,1,0)</f>
        <v>0</v>
      </c>
    </row>
    <row r="6258" spans="1:15" x14ac:dyDescent="0.25">
      <c r="A6258" t="s">
        <v>6298</v>
      </c>
      <c r="B6258" s="1">
        <v>45481</v>
      </c>
      <c r="C6258" t="s">
        <v>31</v>
      </c>
      <c r="D6258" t="s">
        <v>32</v>
      </c>
      <c r="E6258" t="s">
        <v>13</v>
      </c>
      <c r="F6258" t="s">
        <v>22</v>
      </c>
      <c r="G6258" t="s">
        <v>29</v>
      </c>
      <c r="K6258" cm="1">
        <f t="array" ref="K6258">_xlfn.SWITCH(LeadsData[[#This Row],[Funnel Stage Reached]],"Lead",1,"MQL",2,"SQL",3,"Customer",4)</f>
        <v>3</v>
      </c>
      <c r="L6258" t="str">
        <f>TEXT(LeadsData[[#This Row],[Signup Date]],"mmm-yyyy")</f>
        <v>Jul-2024</v>
      </c>
      <c r="M6258">
        <f>IF(LeadsData[[#This Row],[Stage Number]]&gt;=2,1,0)</f>
        <v>1</v>
      </c>
      <c r="N6258" s="2">
        <f>IF(LeadsData[[#This Row],[Stage Number]]&gt;=3,1,0)</f>
        <v>1</v>
      </c>
      <c r="O6258" s="2">
        <f>IF(LeadsData[[#This Row],[Stage Number]]&gt;=4,1,0)</f>
        <v>0</v>
      </c>
    </row>
    <row r="6259" spans="1:15" x14ac:dyDescent="0.25">
      <c r="A6259" t="s">
        <v>6299</v>
      </c>
      <c r="B6259" s="1">
        <v>45467</v>
      </c>
      <c r="C6259" t="s">
        <v>11</v>
      </c>
      <c r="D6259" t="s">
        <v>79</v>
      </c>
      <c r="E6259" t="s">
        <v>13</v>
      </c>
      <c r="F6259" t="s">
        <v>22</v>
      </c>
      <c r="G6259" t="s">
        <v>15</v>
      </c>
      <c r="K6259" cm="1">
        <f t="array" ref="K6259">_xlfn.SWITCH(LeadsData[[#This Row],[Funnel Stage Reached]],"Lead",1,"MQL",2,"SQL",3,"Customer",4)</f>
        <v>1</v>
      </c>
      <c r="L6259" t="str">
        <f>TEXT(LeadsData[[#This Row],[Signup Date]],"mmm-yyyy")</f>
        <v>Jun-2024</v>
      </c>
      <c r="M6259">
        <f>IF(LeadsData[[#This Row],[Stage Number]]&gt;=2,1,0)</f>
        <v>0</v>
      </c>
      <c r="N6259" s="2">
        <f>IF(LeadsData[[#This Row],[Stage Number]]&gt;=3,1,0)</f>
        <v>0</v>
      </c>
      <c r="O6259" s="2">
        <f>IF(LeadsData[[#This Row],[Stage Number]]&gt;=4,1,0)</f>
        <v>0</v>
      </c>
    </row>
    <row r="6260" spans="1:15" x14ac:dyDescent="0.25">
      <c r="A6260" t="s">
        <v>6300</v>
      </c>
      <c r="B6260" s="1">
        <v>45583</v>
      </c>
      <c r="C6260" t="s">
        <v>31</v>
      </c>
      <c r="D6260" t="s">
        <v>34</v>
      </c>
      <c r="E6260" t="s">
        <v>13</v>
      </c>
      <c r="F6260" t="s">
        <v>19</v>
      </c>
      <c r="G6260" t="s">
        <v>15</v>
      </c>
      <c r="K6260" cm="1">
        <f t="array" ref="K6260">_xlfn.SWITCH(LeadsData[[#This Row],[Funnel Stage Reached]],"Lead",1,"MQL",2,"SQL",3,"Customer",4)</f>
        <v>1</v>
      </c>
      <c r="L6260" t="str">
        <f>TEXT(LeadsData[[#This Row],[Signup Date]],"mmm-yyyy")</f>
        <v>Oct-2024</v>
      </c>
      <c r="M6260">
        <f>IF(LeadsData[[#This Row],[Stage Number]]&gt;=2,1,0)</f>
        <v>0</v>
      </c>
      <c r="N6260" s="2">
        <f>IF(LeadsData[[#This Row],[Stage Number]]&gt;=3,1,0)</f>
        <v>0</v>
      </c>
      <c r="O6260" s="2">
        <f>IF(LeadsData[[#This Row],[Stage Number]]&gt;=4,1,0)</f>
        <v>0</v>
      </c>
    </row>
    <row r="6261" spans="1:15" x14ac:dyDescent="0.25">
      <c r="A6261" t="s">
        <v>6301</v>
      </c>
      <c r="B6261" s="1">
        <v>45527</v>
      </c>
      <c r="C6261" t="s">
        <v>46</v>
      </c>
      <c r="D6261" t="s">
        <v>47</v>
      </c>
      <c r="E6261" t="s">
        <v>13</v>
      </c>
      <c r="F6261" t="s">
        <v>14</v>
      </c>
      <c r="G6261" t="s">
        <v>15</v>
      </c>
      <c r="K6261" cm="1">
        <f t="array" ref="K6261">_xlfn.SWITCH(LeadsData[[#This Row],[Funnel Stage Reached]],"Lead",1,"MQL",2,"SQL",3,"Customer",4)</f>
        <v>1</v>
      </c>
      <c r="L6261" t="str">
        <f>TEXT(LeadsData[[#This Row],[Signup Date]],"mmm-yyyy")</f>
        <v>Aug-2024</v>
      </c>
      <c r="M6261">
        <f>IF(LeadsData[[#This Row],[Stage Number]]&gt;=2,1,0)</f>
        <v>0</v>
      </c>
      <c r="N6261" s="2">
        <f>IF(LeadsData[[#This Row],[Stage Number]]&gt;=3,1,0)</f>
        <v>0</v>
      </c>
      <c r="O6261" s="2">
        <f>IF(LeadsData[[#This Row],[Stage Number]]&gt;=4,1,0)</f>
        <v>0</v>
      </c>
    </row>
    <row r="6262" spans="1:15" x14ac:dyDescent="0.25">
      <c r="A6262" t="s">
        <v>6302</v>
      </c>
      <c r="B6262" s="1">
        <v>45401</v>
      </c>
      <c r="C6262" t="s">
        <v>11</v>
      </c>
      <c r="D6262" t="s">
        <v>12</v>
      </c>
      <c r="E6262" t="s">
        <v>21</v>
      </c>
      <c r="F6262" t="s">
        <v>22</v>
      </c>
      <c r="G6262" t="s">
        <v>15</v>
      </c>
      <c r="K6262" cm="1">
        <f t="array" ref="K6262">_xlfn.SWITCH(LeadsData[[#This Row],[Funnel Stage Reached]],"Lead",1,"MQL",2,"SQL",3,"Customer",4)</f>
        <v>1</v>
      </c>
      <c r="L6262" t="str">
        <f>TEXT(LeadsData[[#This Row],[Signup Date]],"mmm-yyyy")</f>
        <v>Apr-2024</v>
      </c>
      <c r="M6262">
        <f>IF(LeadsData[[#This Row],[Stage Number]]&gt;=2,1,0)</f>
        <v>0</v>
      </c>
      <c r="N6262" s="2">
        <f>IF(LeadsData[[#This Row],[Stage Number]]&gt;=3,1,0)</f>
        <v>0</v>
      </c>
      <c r="O6262" s="2">
        <f>IF(LeadsData[[#This Row],[Stage Number]]&gt;=4,1,0)</f>
        <v>0</v>
      </c>
    </row>
    <row r="6263" spans="1:15" x14ac:dyDescent="0.25">
      <c r="A6263" t="s">
        <v>6303</v>
      </c>
      <c r="B6263" s="1">
        <v>45558</v>
      </c>
      <c r="C6263" t="s">
        <v>11</v>
      </c>
      <c r="D6263" t="s">
        <v>68</v>
      </c>
      <c r="E6263" t="s">
        <v>13</v>
      </c>
      <c r="F6263" t="s">
        <v>19</v>
      </c>
      <c r="G6263" t="s">
        <v>23</v>
      </c>
      <c r="K6263" cm="1">
        <f t="array" ref="K6263">_xlfn.SWITCH(LeadsData[[#This Row],[Funnel Stage Reached]],"Lead",1,"MQL",2,"SQL",3,"Customer",4)</f>
        <v>2</v>
      </c>
      <c r="L6263" t="str">
        <f>TEXT(LeadsData[[#This Row],[Signup Date]],"mmm-yyyy")</f>
        <v>Sep-2024</v>
      </c>
      <c r="M6263">
        <f>IF(LeadsData[[#This Row],[Stage Number]]&gt;=2,1,0)</f>
        <v>1</v>
      </c>
      <c r="N6263" s="2">
        <f>IF(LeadsData[[#This Row],[Stage Number]]&gt;=3,1,0)</f>
        <v>0</v>
      </c>
      <c r="O6263" s="2">
        <f>IF(LeadsData[[#This Row],[Stage Number]]&gt;=4,1,0)</f>
        <v>0</v>
      </c>
    </row>
    <row r="6264" spans="1:15" x14ac:dyDescent="0.25">
      <c r="A6264" t="s">
        <v>6304</v>
      </c>
      <c r="B6264" s="1">
        <v>45498</v>
      </c>
      <c r="C6264" t="s">
        <v>17</v>
      </c>
      <c r="D6264" t="s">
        <v>18</v>
      </c>
      <c r="E6264" t="s">
        <v>13</v>
      </c>
      <c r="F6264" t="s">
        <v>19</v>
      </c>
      <c r="G6264" t="s">
        <v>23</v>
      </c>
      <c r="K6264" cm="1">
        <f t="array" ref="K6264">_xlfn.SWITCH(LeadsData[[#This Row],[Funnel Stage Reached]],"Lead",1,"MQL",2,"SQL",3,"Customer",4)</f>
        <v>2</v>
      </c>
      <c r="L6264" t="str">
        <f>TEXT(LeadsData[[#This Row],[Signup Date]],"mmm-yyyy")</f>
        <v>Jul-2024</v>
      </c>
      <c r="M6264">
        <f>IF(LeadsData[[#This Row],[Stage Number]]&gt;=2,1,0)</f>
        <v>1</v>
      </c>
      <c r="N6264" s="2">
        <f>IF(LeadsData[[#This Row],[Stage Number]]&gt;=3,1,0)</f>
        <v>0</v>
      </c>
      <c r="O6264" s="2">
        <f>IF(LeadsData[[#This Row],[Stage Number]]&gt;=4,1,0)</f>
        <v>0</v>
      </c>
    </row>
    <row r="6265" spans="1:15" x14ac:dyDescent="0.25">
      <c r="A6265" t="s">
        <v>6305</v>
      </c>
      <c r="B6265" s="1">
        <v>45418</v>
      </c>
      <c r="C6265" t="s">
        <v>31</v>
      </c>
      <c r="D6265" t="s">
        <v>32</v>
      </c>
      <c r="E6265" t="s">
        <v>21</v>
      </c>
      <c r="F6265" t="s">
        <v>14</v>
      </c>
      <c r="G6265" t="s">
        <v>23</v>
      </c>
      <c r="K6265" cm="1">
        <f t="array" ref="K6265">_xlfn.SWITCH(LeadsData[[#This Row],[Funnel Stage Reached]],"Lead",1,"MQL",2,"SQL",3,"Customer",4)</f>
        <v>2</v>
      </c>
      <c r="L6265" t="str">
        <f>TEXT(LeadsData[[#This Row],[Signup Date]],"mmm-yyyy")</f>
        <v>May-2024</v>
      </c>
      <c r="M6265">
        <f>IF(LeadsData[[#This Row],[Stage Number]]&gt;=2,1,0)</f>
        <v>1</v>
      </c>
      <c r="N6265" s="2">
        <f>IF(LeadsData[[#This Row],[Stage Number]]&gt;=3,1,0)</f>
        <v>0</v>
      </c>
      <c r="O6265" s="2">
        <f>IF(LeadsData[[#This Row],[Stage Number]]&gt;=4,1,0)</f>
        <v>0</v>
      </c>
    </row>
    <row r="6266" spans="1:15" x14ac:dyDescent="0.25">
      <c r="A6266" t="s">
        <v>6306</v>
      </c>
      <c r="B6266" s="1">
        <v>45323</v>
      </c>
      <c r="C6266" t="s">
        <v>17</v>
      </c>
      <c r="D6266" t="s">
        <v>18</v>
      </c>
      <c r="E6266" t="s">
        <v>13</v>
      </c>
      <c r="F6266" t="s">
        <v>19</v>
      </c>
      <c r="G6266" t="s">
        <v>23</v>
      </c>
      <c r="K6266" cm="1">
        <f t="array" ref="K6266">_xlfn.SWITCH(LeadsData[[#This Row],[Funnel Stage Reached]],"Lead",1,"MQL",2,"SQL",3,"Customer",4)</f>
        <v>2</v>
      </c>
      <c r="L6266" t="str">
        <f>TEXT(LeadsData[[#This Row],[Signup Date]],"mmm-yyyy")</f>
        <v>Feb-2024</v>
      </c>
      <c r="M6266">
        <f>IF(LeadsData[[#This Row],[Stage Number]]&gt;=2,1,0)</f>
        <v>1</v>
      </c>
      <c r="N6266" s="2">
        <f>IF(LeadsData[[#This Row],[Stage Number]]&gt;=3,1,0)</f>
        <v>0</v>
      </c>
      <c r="O6266" s="2">
        <f>IF(LeadsData[[#This Row],[Stage Number]]&gt;=4,1,0)</f>
        <v>0</v>
      </c>
    </row>
    <row r="6267" spans="1:15" x14ac:dyDescent="0.25">
      <c r="A6267" t="s">
        <v>6307</v>
      </c>
      <c r="B6267" s="1">
        <v>45373</v>
      </c>
      <c r="C6267" t="s">
        <v>25</v>
      </c>
      <c r="D6267" t="s">
        <v>26</v>
      </c>
      <c r="E6267" t="s">
        <v>13</v>
      </c>
      <c r="F6267" t="s">
        <v>19</v>
      </c>
      <c r="G6267" t="s">
        <v>42</v>
      </c>
      <c r="H6267">
        <v>65</v>
      </c>
      <c r="I6267" t="s">
        <v>87</v>
      </c>
      <c r="J6267">
        <v>2906.33</v>
      </c>
      <c r="K6267" cm="1">
        <f t="array" ref="K6267">_xlfn.SWITCH(LeadsData[[#This Row],[Funnel Stage Reached]],"Lead",1,"MQL",2,"SQL",3,"Customer",4)</f>
        <v>4</v>
      </c>
      <c r="L6267" t="str">
        <f>TEXT(LeadsData[[#This Row],[Signup Date]],"mmm-yyyy")</f>
        <v>Mar-2024</v>
      </c>
      <c r="M6267">
        <f>IF(LeadsData[[#This Row],[Stage Number]]&gt;=2,1,0)</f>
        <v>1</v>
      </c>
      <c r="N6267" s="2">
        <f>IF(LeadsData[[#This Row],[Stage Number]]&gt;=3,1,0)</f>
        <v>1</v>
      </c>
      <c r="O6267" s="2">
        <f>IF(LeadsData[[#This Row],[Stage Number]]&gt;=4,1,0)</f>
        <v>1</v>
      </c>
    </row>
    <row r="6268" spans="1:15" x14ac:dyDescent="0.25">
      <c r="A6268" t="s">
        <v>6308</v>
      </c>
      <c r="B6268" s="1">
        <v>45573</v>
      </c>
      <c r="C6268" t="s">
        <v>17</v>
      </c>
      <c r="D6268" t="s">
        <v>53</v>
      </c>
      <c r="E6268" t="s">
        <v>13</v>
      </c>
      <c r="F6268" t="s">
        <v>19</v>
      </c>
      <c r="G6268" t="s">
        <v>15</v>
      </c>
      <c r="K6268" cm="1">
        <f t="array" ref="K6268">_xlfn.SWITCH(LeadsData[[#This Row],[Funnel Stage Reached]],"Lead",1,"MQL",2,"SQL",3,"Customer",4)</f>
        <v>1</v>
      </c>
      <c r="L6268" t="str">
        <f>TEXT(LeadsData[[#This Row],[Signup Date]],"mmm-yyyy")</f>
        <v>Oct-2024</v>
      </c>
      <c r="M6268">
        <f>IF(LeadsData[[#This Row],[Stage Number]]&gt;=2,1,0)</f>
        <v>0</v>
      </c>
      <c r="N6268" s="2">
        <f>IF(LeadsData[[#This Row],[Stage Number]]&gt;=3,1,0)</f>
        <v>0</v>
      </c>
      <c r="O6268" s="2">
        <f>IF(LeadsData[[#This Row],[Stage Number]]&gt;=4,1,0)</f>
        <v>0</v>
      </c>
    </row>
    <row r="6269" spans="1:15" x14ac:dyDescent="0.25">
      <c r="A6269" t="s">
        <v>6309</v>
      </c>
      <c r="B6269" s="1">
        <v>45545</v>
      </c>
      <c r="C6269" t="s">
        <v>46</v>
      </c>
      <c r="D6269" t="s">
        <v>47</v>
      </c>
      <c r="E6269" t="s">
        <v>13</v>
      </c>
      <c r="F6269" t="s">
        <v>22</v>
      </c>
      <c r="G6269" t="s">
        <v>23</v>
      </c>
      <c r="K6269" cm="1">
        <f t="array" ref="K6269">_xlfn.SWITCH(LeadsData[[#This Row],[Funnel Stage Reached]],"Lead",1,"MQL",2,"SQL",3,"Customer",4)</f>
        <v>2</v>
      </c>
      <c r="L6269" t="str">
        <f>TEXT(LeadsData[[#This Row],[Signup Date]],"mmm-yyyy")</f>
        <v>Sep-2024</v>
      </c>
      <c r="M6269">
        <f>IF(LeadsData[[#This Row],[Stage Number]]&gt;=2,1,0)</f>
        <v>1</v>
      </c>
      <c r="N6269" s="2">
        <f>IF(LeadsData[[#This Row],[Stage Number]]&gt;=3,1,0)</f>
        <v>0</v>
      </c>
      <c r="O6269" s="2">
        <f>IF(LeadsData[[#This Row],[Stage Number]]&gt;=4,1,0)</f>
        <v>0</v>
      </c>
    </row>
    <row r="6270" spans="1:15" x14ac:dyDescent="0.25">
      <c r="A6270" t="s">
        <v>6310</v>
      </c>
      <c r="B6270" s="1">
        <v>45571</v>
      </c>
      <c r="C6270" t="s">
        <v>25</v>
      </c>
      <c r="D6270" t="s">
        <v>26</v>
      </c>
      <c r="E6270" t="s">
        <v>13</v>
      </c>
      <c r="F6270" t="s">
        <v>22</v>
      </c>
      <c r="G6270" t="s">
        <v>15</v>
      </c>
      <c r="K6270" cm="1">
        <f t="array" ref="K6270">_xlfn.SWITCH(LeadsData[[#This Row],[Funnel Stage Reached]],"Lead",1,"MQL",2,"SQL",3,"Customer",4)</f>
        <v>1</v>
      </c>
      <c r="L6270" t="str">
        <f>TEXT(LeadsData[[#This Row],[Signup Date]],"mmm-yyyy")</f>
        <v>Oct-2024</v>
      </c>
      <c r="M6270">
        <f>IF(LeadsData[[#This Row],[Stage Number]]&gt;=2,1,0)</f>
        <v>0</v>
      </c>
      <c r="N6270" s="2">
        <f>IF(LeadsData[[#This Row],[Stage Number]]&gt;=3,1,0)</f>
        <v>0</v>
      </c>
      <c r="O6270" s="2">
        <f>IF(LeadsData[[#This Row],[Stage Number]]&gt;=4,1,0)</f>
        <v>0</v>
      </c>
    </row>
    <row r="6271" spans="1:15" x14ac:dyDescent="0.25">
      <c r="A6271" t="s">
        <v>6311</v>
      </c>
      <c r="B6271" s="1">
        <v>45493</v>
      </c>
      <c r="C6271" t="s">
        <v>31</v>
      </c>
      <c r="D6271" t="s">
        <v>34</v>
      </c>
      <c r="E6271" t="s">
        <v>21</v>
      </c>
      <c r="F6271" t="s">
        <v>22</v>
      </c>
      <c r="G6271" t="s">
        <v>23</v>
      </c>
      <c r="K6271" cm="1">
        <f t="array" ref="K6271">_xlfn.SWITCH(LeadsData[[#This Row],[Funnel Stage Reached]],"Lead",1,"MQL",2,"SQL",3,"Customer",4)</f>
        <v>2</v>
      </c>
      <c r="L6271" t="str">
        <f>TEXT(LeadsData[[#This Row],[Signup Date]],"mmm-yyyy")</f>
        <v>Jul-2024</v>
      </c>
      <c r="M6271">
        <f>IF(LeadsData[[#This Row],[Stage Number]]&gt;=2,1,0)</f>
        <v>1</v>
      </c>
      <c r="N6271" s="2">
        <f>IF(LeadsData[[#This Row],[Stage Number]]&gt;=3,1,0)</f>
        <v>0</v>
      </c>
      <c r="O6271" s="2">
        <f>IF(LeadsData[[#This Row],[Stage Number]]&gt;=4,1,0)</f>
        <v>0</v>
      </c>
    </row>
    <row r="6272" spans="1:15" x14ac:dyDescent="0.25">
      <c r="A6272" t="s">
        <v>6312</v>
      </c>
      <c r="B6272" s="1">
        <v>45593</v>
      </c>
      <c r="C6272" t="s">
        <v>31</v>
      </c>
      <c r="D6272" t="s">
        <v>34</v>
      </c>
      <c r="E6272" t="s">
        <v>21</v>
      </c>
      <c r="F6272" t="s">
        <v>22</v>
      </c>
      <c r="G6272" t="s">
        <v>23</v>
      </c>
      <c r="K6272" cm="1">
        <f t="array" ref="K6272">_xlfn.SWITCH(LeadsData[[#This Row],[Funnel Stage Reached]],"Lead",1,"MQL",2,"SQL",3,"Customer",4)</f>
        <v>2</v>
      </c>
      <c r="L6272" t="str">
        <f>TEXT(LeadsData[[#This Row],[Signup Date]],"mmm-yyyy")</f>
        <v>Oct-2024</v>
      </c>
      <c r="M6272">
        <f>IF(LeadsData[[#This Row],[Stage Number]]&gt;=2,1,0)</f>
        <v>1</v>
      </c>
      <c r="N6272" s="2">
        <f>IF(LeadsData[[#This Row],[Stage Number]]&gt;=3,1,0)</f>
        <v>0</v>
      </c>
      <c r="O6272" s="2">
        <f>IF(LeadsData[[#This Row],[Stage Number]]&gt;=4,1,0)</f>
        <v>0</v>
      </c>
    </row>
    <row r="6273" spans="1:15" x14ac:dyDescent="0.25">
      <c r="A6273" t="s">
        <v>6313</v>
      </c>
      <c r="B6273" s="1">
        <v>45541</v>
      </c>
      <c r="C6273" t="s">
        <v>25</v>
      </c>
      <c r="D6273" t="s">
        <v>26</v>
      </c>
      <c r="E6273" t="s">
        <v>13</v>
      </c>
      <c r="F6273" t="s">
        <v>14</v>
      </c>
      <c r="G6273" t="s">
        <v>15</v>
      </c>
      <c r="K6273" cm="1">
        <f t="array" ref="K6273">_xlfn.SWITCH(LeadsData[[#This Row],[Funnel Stage Reached]],"Lead",1,"MQL",2,"SQL",3,"Customer",4)</f>
        <v>1</v>
      </c>
      <c r="L6273" t="str">
        <f>TEXT(LeadsData[[#This Row],[Signup Date]],"mmm-yyyy")</f>
        <v>Sep-2024</v>
      </c>
      <c r="M6273">
        <f>IF(LeadsData[[#This Row],[Stage Number]]&gt;=2,1,0)</f>
        <v>0</v>
      </c>
      <c r="N6273" s="2">
        <f>IF(LeadsData[[#This Row],[Stage Number]]&gt;=3,1,0)</f>
        <v>0</v>
      </c>
      <c r="O6273" s="2">
        <f>IF(LeadsData[[#This Row],[Stage Number]]&gt;=4,1,0)</f>
        <v>0</v>
      </c>
    </row>
    <row r="6274" spans="1:15" x14ac:dyDescent="0.25">
      <c r="A6274" t="s">
        <v>6314</v>
      </c>
      <c r="B6274" s="1">
        <v>45513</v>
      </c>
      <c r="C6274" t="s">
        <v>17</v>
      </c>
      <c r="D6274" t="s">
        <v>18</v>
      </c>
      <c r="E6274" t="s">
        <v>13</v>
      </c>
      <c r="F6274" t="s">
        <v>19</v>
      </c>
      <c r="G6274" t="s">
        <v>15</v>
      </c>
      <c r="K6274" cm="1">
        <f t="array" ref="K6274">_xlfn.SWITCH(LeadsData[[#This Row],[Funnel Stage Reached]],"Lead",1,"MQL",2,"SQL",3,"Customer",4)</f>
        <v>1</v>
      </c>
      <c r="L6274" t="str">
        <f>TEXT(LeadsData[[#This Row],[Signup Date]],"mmm-yyyy")</f>
        <v>Aug-2024</v>
      </c>
      <c r="M6274">
        <f>IF(LeadsData[[#This Row],[Stage Number]]&gt;=2,1,0)</f>
        <v>0</v>
      </c>
      <c r="N6274" s="2">
        <f>IF(LeadsData[[#This Row],[Stage Number]]&gt;=3,1,0)</f>
        <v>0</v>
      </c>
      <c r="O6274" s="2">
        <f>IF(LeadsData[[#This Row],[Stage Number]]&gt;=4,1,0)</f>
        <v>0</v>
      </c>
    </row>
    <row r="6275" spans="1:15" x14ac:dyDescent="0.25">
      <c r="A6275" t="s">
        <v>6315</v>
      </c>
      <c r="B6275" s="1">
        <v>45324</v>
      </c>
      <c r="C6275" t="s">
        <v>46</v>
      </c>
      <c r="D6275" t="s">
        <v>47</v>
      </c>
      <c r="E6275" t="s">
        <v>13</v>
      </c>
      <c r="F6275" t="s">
        <v>14</v>
      </c>
      <c r="G6275" t="s">
        <v>23</v>
      </c>
      <c r="K6275" cm="1">
        <f t="array" ref="K6275">_xlfn.SWITCH(LeadsData[[#This Row],[Funnel Stage Reached]],"Lead",1,"MQL",2,"SQL",3,"Customer",4)</f>
        <v>2</v>
      </c>
      <c r="L6275" t="str">
        <f>TEXT(LeadsData[[#This Row],[Signup Date]],"mmm-yyyy")</f>
        <v>Feb-2024</v>
      </c>
      <c r="M6275">
        <f>IF(LeadsData[[#This Row],[Stage Number]]&gt;=2,1,0)</f>
        <v>1</v>
      </c>
      <c r="N6275" s="2">
        <f>IF(LeadsData[[#This Row],[Stage Number]]&gt;=3,1,0)</f>
        <v>0</v>
      </c>
      <c r="O6275" s="2">
        <f>IF(LeadsData[[#This Row],[Stage Number]]&gt;=4,1,0)</f>
        <v>0</v>
      </c>
    </row>
    <row r="6276" spans="1:15" x14ac:dyDescent="0.25">
      <c r="A6276" t="s">
        <v>6316</v>
      </c>
      <c r="B6276" s="1">
        <v>45593</v>
      </c>
      <c r="C6276" t="s">
        <v>25</v>
      </c>
      <c r="D6276" t="s">
        <v>26</v>
      </c>
      <c r="E6276" t="s">
        <v>13</v>
      </c>
      <c r="F6276" t="s">
        <v>22</v>
      </c>
      <c r="G6276" t="s">
        <v>29</v>
      </c>
      <c r="K6276" cm="1">
        <f t="array" ref="K6276">_xlfn.SWITCH(LeadsData[[#This Row],[Funnel Stage Reached]],"Lead",1,"MQL",2,"SQL",3,"Customer",4)</f>
        <v>3</v>
      </c>
      <c r="L6276" t="str">
        <f>TEXT(LeadsData[[#This Row],[Signup Date]],"mmm-yyyy")</f>
        <v>Oct-2024</v>
      </c>
      <c r="M6276">
        <f>IF(LeadsData[[#This Row],[Stage Number]]&gt;=2,1,0)</f>
        <v>1</v>
      </c>
      <c r="N6276" s="2">
        <f>IF(LeadsData[[#This Row],[Stage Number]]&gt;=3,1,0)</f>
        <v>1</v>
      </c>
      <c r="O6276" s="2">
        <f>IF(LeadsData[[#This Row],[Stage Number]]&gt;=4,1,0)</f>
        <v>0</v>
      </c>
    </row>
    <row r="6277" spans="1:15" x14ac:dyDescent="0.25">
      <c r="A6277" t="s">
        <v>6317</v>
      </c>
      <c r="B6277" s="1">
        <v>45568</v>
      </c>
      <c r="C6277" t="s">
        <v>36</v>
      </c>
      <c r="D6277" t="s">
        <v>50</v>
      </c>
      <c r="E6277" t="s">
        <v>13</v>
      </c>
      <c r="F6277" t="s">
        <v>14</v>
      </c>
      <c r="G6277" t="s">
        <v>15</v>
      </c>
      <c r="K6277" cm="1">
        <f t="array" ref="K6277">_xlfn.SWITCH(LeadsData[[#This Row],[Funnel Stage Reached]],"Lead",1,"MQL",2,"SQL",3,"Customer",4)</f>
        <v>1</v>
      </c>
      <c r="L6277" t="str">
        <f>TEXT(LeadsData[[#This Row],[Signup Date]],"mmm-yyyy")</f>
        <v>Oct-2024</v>
      </c>
      <c r="M6277">
        <f>IF(LeadsData[[#This Row],[Stage Number]]&gt;=2,1,0)</f>
        <v>0</v>
      </c>
      <c r="N6277" s="2">
        <f>IF(LeadsData[[#This Row],[Stage Number]]&gt;=3,1,0)</f>
        <v>0</v>
      </c>
      <c r="O6277" s="2">
        <f>IF(LeadsData[[#This Row],[Stage Number]]&gt;=4,1,0)</f>
        <v>0</v>
      </c>
    </row>
    <row r="6278" spans="1:15" x14ac:dyDescent="0.25">
      <c r="A6278" t="s">
        <v>6318</v>
      </c>
      <c r="B6278" s="1">
        <v>45468</v>
      </c>
      <c r="C6278" t="s">
        <v>31</v>
      </c>
      <c r="D6278" t="s">
        <v>34</v>
      </c>
      <c r="E6278" t="s">
        <v>13</v>
      </c>
      <c r="F6278" t="s">
        <v>19</v>
      </c>
      <c r="G6278" t="s">
        <v>23</v>
      </c>
      <c r="K6278" cm="1">
        <f t="array" ref="K6278">_xlfn.SWITCH(LeadsData[[#This Row],[Funnel Stage Reached]],"Lead",1,"MQL",2,"SQL",3,"Customer",4)</f>
        <v>2</v>
      </c>
      <c r="L6278" t="str">
        <f>TEXT(LeadsData[[#This Row],[Signup Date]],"mmm-yyyy")</f>
        <v>Jun-2024</v>
      </c>
      <c r="M6278">
        <f>IF(LeadsData[[#This Row],[Stage Number]]&gt;=2,1,0)</f>
        <v>1</v>
      </c>
      <c r="N6278" s="2">
        <f>IF(LeadsData[[#This Row],[Stage Number]]&gt;=3,1,0)</f>
        <v>0</v>
      </c>
      <c r="O6278" s="2">
        <f>IF(LeadsData[[#This Row],[Stage Number]]&gt;=4,1,0)</f>
        <v>0</v>
      </c>
    </row>
    <row r="6279" spans="1:15" x14ac:dyDescent="0.25">
      <c r="A6279" t="s">
        <v>6319</v>
      </c>
      <c r="B6279" s="1">
        <v>45342</v>
      </c>
      <c r="C6279" t="s">
        <v>46</v>
      </c>
      <c r="D6279" t="s">
        <v>47</v>
      </c>
      <c r="E6279" t="s">
        <v>13</v>
      </c>
      <c r="F6279" t="s">
        <v>14</v>
      </c>
      <c r="G6279" t="s">
        <v>23</v>
      </c>
      <c r="K6279" cm="1">
        <f t="array" ref="K6279">_xlfn.SWITCH(LeadsData[[#This Row],[Funnel Stage Reached]],"Lead",1,"MQL",2,"SQL",3,"Customer",4)</f>
        <v>2</v>
      </c>
      <c r="L6279" t="str">
        <f>TEXT(LeadsData[[#This Row],[Signup Date]],"mmm-yyyy")</f>
        <v>Feb-2024</v>
      </c>
      <c r="M6279">
        <f>IF(LeadsData[[#This Row],[Stage Number]]&gt;=2,1,0)</f>
        <v>1</v>
      </c>
      <c r="N6279" s="2">
        <f>IF(LeadsData[[#This Row],[Stage Number]]&gt;=3,1,0)</f>
        <v>0</v>
      </c>
      <c r="O6279" s="2">
        <f>IF(LeadsData[[#This Row],[Stage Number]]&gt;=4,1,0)</f>
        <v>0</v>
      </c>
    </row>
    <row r="6280" spans="1:15" x14ac:dyDescent="0.25">
      <c r="A6280" t="s">
        <v>6320</v>
      </c>
      <c r="B6280" s="1">
        <v>45576</v>
      </c>
      <c r="C6280" t="s">
        <v>17</v>
      </c>
      <c r="D6280" t="s">
        <v>18</v>
      </c>
      <c r="E6280" t="s">
        <v>21</v>
      </c>
      <c r="F6280" t="s">
        <v>19</v>
      </c>
      <c r="G6280" t="s">
        <v>23</v>
      </c>
      <c r="K6280" cm="1">
        <f t="array" ref="K6280">_xlfn.SWITCH(LeadsData[[#This Row],[Funnel Stage Reached]],"Lead",1,"MQL",2,"SQL",3,"Customer",4)</f>
        <v>2</v>
      </c>
      <c r="L6280" t="str">
        <f>TEXT(LeadsData[[#This Row],[Signup Date]],"mmm-yyyy")</f>
        <v>Oct-2024</v>
      </c>
      <c r="M6280">
        <f>IF(LeadsData[[#This Row],[Stage Number]]&gt;=2,1,0)</f>
        <v>1</v>
      </c>
      <c r="N6280" s="2">
        <f>IF(LeadsData[[#This Row],[Stage Number]]&gt;=3,1,0)</f>
        <v>0</v>
      </c>
      <c r="O6280" s="2">
        <f>IF(LeadsData[[#This Row],[Stage Number]]&gt;=4,1,0)</f>
        <v>0</v>
      </c>
    </row>
    <row r="6281" spans="1:15" x14ac:dyDescent="0.25">
      <c r="A6281" t="s">
        <v>6321</v>
      </c>
      <c r="B6281" s="1">
        <v>45373</v>
      </c>
      <c r="C6281" t="s">
        <v>17</v>
      </c>
      <c r="D6281" t="s">
        <v>18</v>
      </c>
      <c r="E6281" t="s">
        <v>48</v>
      </c>
      <c r="F6281" t="s">
        <v>19</v>
      </c>
      <c r="G6281" t="s">
        <v>15</v>
      </c>
      <c r="K6281" cm="1">
        <f t="array" ref="K6281">_xlfn.SWITCH(LeadsData[[#This Row],[Funnel Stage Reached]],"Lead",1,"MQL",2,"SQL",3,"Customer",4)</f>
        <v>1</v>
      </c>
      <c r="L6281" t="str">
        <f>TEXT(LeadsData[[#This Row],[Signup Date]],"mmm-yyyy")</f>
        <v>Mar-2024</v>
      </c>
      <c r="M6281">
        <f>IF(LeadsData[[#This Row],[Stage Number]]&gt;=2,1,0)</f>
        <v>0</v>
      </c>
      <c r="N6281" s="2">
        <f>IF(LeadsData[[#This Row],[Stage Number]]&gt;=3,1,0)</f>
        <v>0</v>
      </c>
      <c r="O6281" s="2">
        <f>IF(LeadsData[[#This Row],[Stage Number]]&gt;=4,1,0)</f>
        <v>0</v>
      </c>
    </row>
    <row r="6282" spans="1:15" x14ac:dyDescent="0.25">
      <c r="A6282" t="s">
        <v>6322</v>
      </c>
      <c r="B6282" s="1">
        <v>45404</v>
      </c>
      <c r="C6282" t="s">
        <v>11</v>
      </c>
      <c r="D6282" t="s">
        <v>79</v>
      </c>
      <c r="E6282" t="s">
        <v>21</v>
      </c>
      <c r="F6282" t="s">
        <v>22</v>
      </c>
      <c r="G6282" t="s">
        <v>15</v>
      </c>
      <c r="K6282" cm="1">
        <f t="array" ref="K6282">_xlfn.SWITCH(LeadsData[[#This Row],[Funnel Stage Reached]],"Lead",1,"MQL",2,"SQL",3,"Customer",4)</f>
        <v>1</v>
      </c>
      <c r="L6282" t="str">
        <f>TEXT(LeadsData[[#This Row],[Signup Date]],"mmm-yyyy")</f>
        <v>Apr-2024</v>
      </c>
      <c r="M6282">
        <f>IF(LeadsData[[#This Row],[Stage Number]]&gt;=2,1,0)</f>
        <v>0</v>
      </c>
      <c r="N6282" s="2">
        <f>IF(LeadsData[[#This Row],[Stage Number]]&gt;=3,1,0)</f>
        <v>0</v>
      </c>
      <c r="O6282" s="2">
        <f>IF(LeadsData[[#This Row],[Stage Number]]&gt;=4,1,0)</f>
        <v>0</v>
      </c>
    </row>
    <row r="6283" spans="1:15" x14ac:dyDescent="0.25">
      <c r="A6283" t="s">
        <v>6323</v>
      </c>
      <c r="B6283" s="1">
        <v>45364</v>
      </c>
      <c r="C6283" t="s">
        <v>46</v>
      </c>
      <c r="D6283" t="s">
        <v>47</v>
      </c>
      <c r="E6283" t="s">
        <v>13</v>
      </c>
      <c r="F6283" t="s">
        <v>22</v>
      </c>
      <c r="G6283" t="s">
        <v>23</v>
      </c>
      <c r="K6283" cm="1">
        <f t="array" ref="K6283">_xlfn.SWITCH(LeadsData[[#This Row],[Funnel Stage Reached]],"Lead",1,"MQL",2,"SQL",3,"Customer",4)</f>
        <v>2</v>
      </c>
      <c r="L6283" t="str">
        <f>TEXT(LeadsData[[#This Row],[Signup Date]],"mmm-yyyy")</f>
        <v>Mar-2024</v>
      </c>
      <c r="M6283">
        <f>IF(LeadsData[[#This Row],[Stage Number]]&gt;=2,1,0)</f>
        <v>1</v>
      </c>
      <c r="N6283" s="2">
        <f>IF(LeadsData[[#This Row],[Stage Number]]&gt;=3,1,0)</f>
        <v>0</v>
      </c>
      <c r="O6283" s="2">
        <f>IF(LeadsData[[#This Row],[Stage Number]]&gt;=4,1,0)</f>
        <v>0</v>
      </c>
    </row>
    <row r="6284" spans="1:15" x14ac:dyDescent="0.25">
      <c r="A6284" t="s">
        <v>6324</v>
      </c>
      <c r="B6284" s="1">
        <v>45383</v>
      </c>
      <c r="C6284" t="s">
        <v>36</v>
      </c>
      <c r="D6284" t="s">
        <v>37</v>
      </c>
      <c r="E6284" t="s">
        <v>13</v>
      </c>
      <c r="F6284" t="s">
        <v>22</v>
      </c>
      <c r="G6284" t="s">
        <v>15</v>
      </c>
      <c r="K6284" cm="1">
        <f t="array" ref="K6284">_xlfn.SWITCH(LeadsData[[#This Row],[Funnel Stage Reached]],"Lead",1,"MQL",2,"SQL",3,"Customer",4)</f>
        <v>1</v>
      </c>
      <c r="L6284" t="str">
        <f>TEXT(LeadsData[[#This Row],[Signup Date]],"mmm-yyyy")</f>
        <v>Apr-2024</v>
      </c>
      <c r="M6284">
        <f>IF(LeadsData[[#This Row],[Stage Number]]&gt;=2,1,0)</f>
        <v>0</v>
      </c>
      <c r="N6284" s="2">
        <f>IF(LeadsData[[#This Row],[Stage Number]]&gt;=3,1,0)</f>
        <v>0</v>
      </c>
      <c r="O6284" s="2">
        <f>IF(LeadsData[[#This Row],[Stage Number]]&gt;=4,1,0)</f>
        <v>0</v>
      </c>
    </row>
    <row r="6285" spans="1:15" x14ac:dyDescent="0.25">
      <c r="A6285" t="s">
        <v>6325</v>
      </c>
      <c r="B6285" s="1">
        <v>45370</v>
      </c>
      <c r="C6285" t="s">
        <v>11</v>
      </c>
      <c r="D6285" t="s">
        <v>12</v>
      </c>
      <c r="E6285" t="s">
        <v>13</v>
      </c>
      <c r="F6285" t="s">
        <v>19</v>
      </c>
      <c r="G6285" t="s">
        <v>15</v>
      </c>
      <c r="K6285" cm="1">
        <f t="array" ref="K6285">_xlfn.SWITCH(LeadsData[[#This Row],[Funnel Stage Reached]],"Lead",1,"MQL",2,"SQL",3,"Customer",4)</f>
        <v>1</v>
      </c>
      <c r="L6285" t="str">
        <f>TEXT(LeadsData[[#This Row],[Signup Date]],"mmm-yyyy")</f>
        <v>Mar-2024</v>
      </c>
      <c r="M6285">
        <f>IF(LeadsData[[#This Row],[Stage Number]]&gt;=2,1,0)</f>
        <v>0</v>
      </c>
      <c r="N6285" s="2">
        <f>IF(LeadsData[[#This Row],[Stage Number]]&gt;=3,1,0)</f>
        <v>0</v>
      </c>
      <c r="O6285" s="2">
        <f>IF(LeadsData[[#This Row],[Stage Number]]&gt;=4,1,0)</f>
        <v>0</v>
      </c>
    </row>
    <row r="6286" spans="1:15" x14ac:dyDescent="0.25">
      <c r="A6286" t="s">
        <v>6326</v>
      </c>
      <c r="B6286" s="1">
        <v>45456</v>
      </c>
      <c r="C6286" t="s">
        <v>31</v>
      </c>
      <c r="D6286" t="s">
        <v>34</v>
      </c>
      <c r="E6286" t="s">
        <v>13</v>
      </c>
      <c r="F6286" t="s">
        <v>28</v>
      </c>
      <c r="G6286" t="s">
        <v>29</v>
      </c>
      <c r="K6286" cm="1">
        <f t="array" ref="K6286">_xlfn.SWITCH(LeadsData[[#This Row],[Funnel Stage Reached]],"Lead",1,"MQL",2,"SQL",3,"Customer",4)</f>
        <v>3</v>
      </c>
      <c r="L6286" t="str">
        <f>TEXT(LeadsData[[#This Row],[Signup Date]],"mmm-yyyy")</f>
        <v>Jun-2024</v>
      </c>
      <c r="M6286">
        <f>IF(LeadsData[[#This Row],[Stage Number]]&gt;=2,1,0)</f>
        <v>1</v>
      </c>
      <c r="N6286" s="2">
        <f>IF(LeadsData[[#This Row],[Stage Number]]&gt;=3,1,0)</f>
        <v>1</v>
      </c>
      <c r="O6286" s="2">
        <f>IF(LeadsData[[#This Row],[Stage Number]]&gt;=4,1,0)</f>
        <v>0</v>
      </c>
    </row>
    <row r="6287" spans="1:15" x14ac:dyDescent="0.25">
      <c r="A6287" t="s">
        <v>6327</v>
      </c>
      <c r="B6287" s="1">
        <v>45615</v>
      </c>
      <c r="C6287" t="s">
        <v>36</v>
      </c>
      <c r="D6287" t="s">
        <v>50</v>
      </c>
      <c r="E6287" t="s">
        <v>21</v>
      </c>
      <c r="F6287" t="s">
        <v>22</v>
      </c>
      <c r="G6287" t="s">
        <v>15</v>
      </c>
      <c r="K6287" cm="1">
        <f t="array" ref="K6287">_xlfn.SWITCH(LeadsData[[#This Row],[Funnel Stage Reached]],"Lead",1,"MQL",2,"SQL",3,"Customer",4)</f>
        <v>1</v>
      </c>
      <c r="L6287" t="str">
        <f>TEXT(LeadsData[[#This Row],[Signup Date]],"mmm-yyyy")</f>
        <v>Nov-2024</v>
      </c>
      <c r="M6287">
        <f>IF(LeadsData[[#This Row],[Stage Number]]&gt;=2,1,0)</f>
        <v>0</v>
      </c>
      <c r="N6287" s="2">
        <f>IF(LeadsData[[#This Row],[Stage Number]]&gt;=3,1,0)</f>
        <v>0</v>
      </c>
      <c r="O6287" s="2">
        <f>IF(LeadsData[[#This Row],[Stage Number]]&gt;=4,1,0)</f>
        <v>0</v>
      </c>
    </row>
    <row r="6288" spans="1:15" x14ac:dyDescent="0.25">
      <c r="A6288" t="s">
        <v>6328</v>
      </c>
      <c r="B6288" s="1">
        <v>45316</v>
      </c>
      <c r="C6288" t="s">
        <v>17</v>
      </c>
      <c r="D6288" t="s">
        <v>53</v>
      </c>
      <c r="E6288" t="s">
        <v>48</v>
      </c>
      <c r="F6288" t="s">
        <v>14</v>
      </c>
      <c r="G6288" t="s">
        <v>23</v>
      </c>
      <c r="K6288" cm="1">
        <f t="array" ref="K6288">_xlfn.SWITCH(LeadsData[[#This Row],[Funnel Stage Reached]],"Lead",1,"MQL",2,"SQL",3,"Customer",4)</f>
        <v>2</v>
      </c>
      <c r="L6288" t="str">
        <f>TEXT(LeadsData[[#This Row],[Signup Date]],"mmm-yyyy")</f>
        <v>Jan-2024</v>
      </c>
      <c r="M6288">
        <f>IF(LeadsData[[#This Row],[Stage Number]]&gt;=2,1,0)</f>
        <v>1</v>
      </c>
      <c r="N6288" s="2">
        <f>IF(LeadsData[[#This Row],[Stage Number]]&gt;=3,1,0)</f>
        <v>0</v>
      </c>
      <c r="O6288" s="2">
        <f>IF(LeadsData[[#This Row],[Stage Number]]&gt;=4,1,0)</f>
        <v>0</v>
      </c>
    </row>
    <row r="6289" spans="1:15" x14ac:dyDescent="0.25">
      <c r="A6289" t="s">
        <v>6329</v>
      </c>
      <c r="B6289" s="1">
        <v>45350</v>
      </c>
      <c r="C6289" t="s">
        <v>31</v>
      </c>
      <c r="D6289" t="s">
        <v>32</v>
      </c>
      <c r="E6289" t="s">
        <v>13</v>
      </c>
      <c r="F6289" t="s">
        <v>14</v>
      </c>
      <c r="G6289" t="s">
        <v>29</v>
      </c>
      <c r="K6289" cm="1">
        <f t="array" ref="K6289">_xlfn.SWITCH(LeadsData[[#This Row],[Funnel Stage Reached]],"Lead",1,"MQL",2,"SQL",3,"Customer",4)</f>
        <v>3</v>
      </c>
      <c r="L6289" t="str">
        <f>TEXT(LeadsData[[#This Row],[Signup Date]],"mmm-yyyy")</f>
        <v>Feb-2024</v>
      </c>
      <c r="M6289">
        <f>IF(LeadsData[[#This Row],[Stage Number]]&gt;=2,1,0)</f>
        <v>1</v>
      </c>
      <c r="N6289" s="2">
        <f>IF(LeadsData[[#This Row],[Stage Number]]&gt;=3,1,0)</f>
        <v>1</v>
      </c>
      <c r="O6289" s="2">
        <f>IF(LeadsData[[#This Row],[Stage Number]]&gt;=4,1,0)</f>
        <v>0</v>
      </c>
    </row>
    <row r="6290" spans="1:15" x14ac:dyDescent="0.25">
      <c r="A6290" t="s">
        <v>6330</v>
      </c>
      <c r="B6290" s="1">
        <v>45642</v>
      </c>
      <c r="C6290" t="s">
        <v>31</v>
      </c>
      <c r="D6290" t="s">
        <v>34</v>
      </c>
      <c r="E6290" t="s">
        <v>13</v>
      </c>
      <c r="F6290" t="s">
        <v>22</v>
      </c>
      <c r="G6290" t="s">
        <v>15</v>
      </c>
      <c r="K6290" cm="1">
        <f t="array" ref="K6290">_xlfn.SWITCH(LeadsData[[#This Row],[Funnel Stage Reached]],"Lead",1,"MQL",2,"SQL",3,"Customer",4)</f>
        <v>1</v>
      </c>
      <c r="L6290" t="str">
        <f>TEXT(LeadsData[[#This Row],[Signup Date]],"mmm-yyyy")</f>
        <v>Dec-2024</v>
      </c>
      <c r="M6290">
        <f>IF(LeadsData[[#This Row],[Stage Number]]&gt;=2,1,0)</f>
        <v>0</v>
      </c>
      <c r="N6290" s="2">
        <f>IF(LeadsData[[#This Row],[Stage Number]]&gt;=3,1,0)</f>
        <v>0</v>
      </c>
      <c r="O6290" s="2">
        <f>IF(LeadsData[[#This Row],[Stage Number]]&gt;=4,1,0)</f>
        <v>0</v>
      </c>
    </row>
    <row r="6291" spans="1:15" x14ac:dyDescent="0.25">
      <c r="A6291" t="s">
        <v>6331</v>
      </c>
      <c r="B6291" s="1">
        <v>45622</v>
      </c>
      <c r="C6291" t="s">
        <v>25</v>
      </c>
      <c r="D6291" t="s">
        <v>26</v>
      </c>
      <c r="E6291" t="s">
        <v>21</v>
      </c>
      <c r="F6291" t="s">
        <v>22</v>
      </c>
      <c r="G6291" t="s">
        <v>29</v>
      </c>
      <c r="K6291" cm="1">
        <f t="array" ref="K6291">_xlfn.SWITCH(LeadsData[[#This Row],[Funnel Stage Reached]],"Lead",1,"MQL",2,"SQL",3,"Customer",4)</f>
        <v>3</v>
      </c>
      <c r="L6291" t="str">
        <f>TEXT(LeadsData[[#This Row],[Signup Date]],"mmm-yyyy")</f>
        <v>Nov-2024</v>
      </c>
      <c r="M6291">
        <f>IF(LeadsData[[#This Row],[Stage Number]]&gt;=2,1,0)</f>
        <v>1</v>
      </c>
      <c r="N6291" s="2">
        <f>IF(LeadsData[[#This Row],[Stage Number]]&gt;=3,1,0)</f>
        <v>1</v>
      </c>
      <c r="O6291" s="2">
        <f>IF(LeadsData[[#This Row],[Stage Number]]&gt;=4,1,0)</f>
        <v>0</v>
      </c>
    </row>
    <row r="6292" spans="1:15" x14ac:dyDescent="0.25">
      <c r="A6292" t="s">
        <v>6332</v>
      </c>
      <c r="B6292" s="1">
        <v>45578</v>
      </c>
      <c r="C6292" t="s">
        <v>36</v>
      </c>
      <c r="D6292" t="s">
        <v>50</v>
      </c>
      <c r="E6292" t="s">
        <v>21</v>
      </c>
      <c r="F6292" t="s">
        <v>19</v>
      </c>
      <c r="G6292" t="s">
        <v>29</v>
      </c>
      <c r="K6292" cm="1">
        <f t="array" ref="K6292">_xlfn.SWITCH(LeadsData[[#This Row],[Funnel Stage Reached]],"Lead",1,"MQL",2,"SQL",3,"Customer",4)</f>
        <v>3</v>
      </c>
      <c r="L6292" t="str">
        <f>TEXT(LeadsData[[#This Row],[Signup Date]],"mmm-yyyy")</f>
        <v>Oct-2024</v>
      </c>
      <c r="M6292">
        <f>IF(LeadsData[[#This Row],[Stage Number]]&gt;=2,1,0)</f>
        <v>1</v>
      </c>
      <c r="N6292" s="2">
        <f>IF(LeadsData[[#This Row],[Stage Number]]&gt;=3,1,0)</f>
        <v>1</v>
      </c>
      <c r="O6292" s="2">
        <f>IF(LeadsData[[#This Row],[Stage Number]]&gt;=4,1,0)</f>
        <v>0</v>
      </c>
    </row>
    <row r="6293" spans="1:15" x14ac:dyDescent="0.25">
      <c r="A6293" t="s">
        <v>6333</v>
      </c>
      <c r="B6293" s="1">
        <v>45510</v>
      </c>
      <c r="C6293" t="s">
        <v>17</v>
      </c>
      <c r="D6293" t="s">
        <v>18</v>
      </c>
      <c r="E6293" t="s">
        <v>13</v>
      </c>
      <c r="F6293" t="s">
        <v>22</v>
      </c>
      <c r="G6293" t="s">
        <v>15</v>
      </c>
      <c r="K6293" cm="1">
        <f t="array" ref="K6293">_xlfn.SWITCH(LeadsData[[#This Row],[Funnel Stage Reached]],"Lead",1,"MQL",2,"SQL",3,"Customer",4)</f>
        <v>1</v>
      </c>
      <c r="L6293" t="str">
        <f>TEXT(LeadsData[[#This Row],[Signup Date]],"mmm-yyyy")</f>
        <v>Aug-2024</v>
      </c>
      <c r="M6293">
        <f>IF(LeadsData[[#This Row],[Stage Number]]&gt;=2,1,0)</f>
        <v>0</v>
      </c>
      <c r="N6293" s="2">
        <f>IF(LeadsData[[#This Row],[Stage Number]]&gt;=3,1,0)</f>
        <v>0</v>
      </c>
      <c r="O6293" s="2">
        <f>IF(LeadsData[[#This Row],[Stage Number]]&gt;=4,1,0)</f>
        <v>0</v>
      </c>
    </row>
    <row r="6294" spans="1:15" x14ac:dyDescent="0.25">
      <c r="A6294" t="s">
        <v>6334</v>
      </c>
      <c r="B6294" s="1">
        <v>45618</v>
      </c>
      <c r="C6294" t="s">
        <v>36</v>
      </c>
      <c r="D6294" t="s">
        <v>50</v>
      </c>
      <c r="E6294" t="s">
        <v>13</v>
      </c>
      <c r="F6294" t="s">
        <v>28</v>
      </c>
      <c r="G6294" t="s">
        <v>15</v>
      </c>
      <c r="K6294" cm="1">
        <f t="array" ref="K6294">_xlfn.SWITCH(LeadsData[[#This Row],[Funnel Stage Reached]],"Lead",1,"MQL",2,"SQL",3,"Customer",4)</f>
        <v>1</v>
      </c>
      <c r="L6294" t="str">
        <f>TEXT(LeadsData[[#This Row],[Signup Date]],"mmm-yyyy")</f>
        <v>Nov-2024</v>
      </c>
      <c r="M6294">
        <f>IF(LeadsData[[#This Row],[Stage Number]]&gt;=2,1,0)</f>
        <v>0</v>
      </c>
      <c r="N6294" s="2">
        <f>IF(LeadsData[[#This Row],[Stage Number]]&gt;=3,1,0)</f>
        <v>0</v>
      </c>
      <c r="O6294" s="2">
        <f>IF(LeadsData[[#This Row],[Stage Number]]&gt;=4,1,0)</f>
        <v>0</v>
      </c>
    </row>
    <row r="6295" spans="1:15" x14ac:dyDescent="0.25">
      <c r="A6295" t="s">
        <v>6335</v>
      </c>
      <c r="B6295" s="1">
        <v>45336</v>
      </c>
      <c r="C6295" t="s">
        <v>36</v>
      </c>
      <c r="D6295" t="s">
        <v>37</v>
      </c>
      <c r="E6295" t="s">
        <v>21</v>
      </c>
      <c r="F6295" t="s">
        <v>19</v>
      </c>
      <c r="G6295" t="s">
        <v>29</v>
      </c>
      <c r="K6295" cm="1">
        <f t="array" ref="K6295">_xlfn.SWITCH(LeadsData[[#This Row],[Funnel Stage Reached]],"Lead",1,"MQL",2,"SQL",3,"Customer",4)</f>
        <v>3</v>
      </c>
      <c r="L6295" t="str">
        <f>TEXT(LeadsData[[#This Row],[Signup Date]],"mmm-yyyy")</f>
        <v>Feb-2024</v>
      </c>
      <c r="M6295">
        <f>IF(LeadsData[[#This Row],[Stage Number]]&gt;=2,1,0)</f>
        <v>1</v>
      </c>
      <c r="N6295" s="2">
        <f>IF(LeadsData[[#This Row],[Stage Number]]&gt;=3,1,0)</f>
        <v>1</v>
      </c>
      <c r="O6295" s="2">
        <f>IF(LeadsData[[#This Row],[Stage Number]]&gt;=4,1,0)</f>
        <v>0</v>
      </c>
    </row>
    <row r="6296" spans="1:15" x14ac:dyDescent="0.25">
      <c r="A6296" t="s">
        <v>6336</v>
      </c>
      <c r="B6296" s="1">
        <v>45302</v>
      </c>
      <c r="C6296" t="s">
        <v>17</v>
      </c>
      <c r="D6296" t="s">
        <v>18</v>
      </c>
      <c r="E6296" t="s">
        <v>48</v>
      </c>
      <c r="F6296" t="s">
        <v>19</v>
      </c>
      <c r="G6296" t="s">
        <v>15</v>
      </c>
      <c r="K6296" cm="1">
        <f t="array" ref="K6296">_xlfn.SWITCH(LeadsData[[#This Row],[Funnel Stage Reached]],"Lead",1,"MQL",2,"SQL",3,"Customer",4)</f>
        <v>1</v>
      </c>
      <c r="L6296" t="str">
        <f>TEXT(LeadsData[[#This Row],[Signup Date]],"mmm-yyyy")</f>
        <v>Jan-2024</v>
      </c>
      <c r="M6296">
        <f>IF(LeadsData[[#This Row],[Stage Number]]&gt;=2,1,0)</f>
        <v>0</v>
      </c>
      <c r="N6296" s="2">
        <f>IF(LeadsData[[#This Row],[Stage Number]]&gt;=3,1,0)</f>
        <v>0</v>
      </c>
      <c r="O6296" s="2">
        <f>IF(LeadsData[[#This Row],[Stage Number]]&gt;=4,1,0)</f>
        <v>0</v>
      </c>
    </row>
    <row r="6297" spans="1:15" x14ac:dyDescent="0.25">
      <c r="A6297" t="s">
        <v>6337</v>
      </c>
      <c r="B6297" s="1">
        <v>45574</v>
      </c>
      <c r="C6297" t="s">
        <v>17</v>
      </c>
      <c r="D6297" t="s">
        <v>18</v>
      </c>
      <c r="E6297" t="s">
        <v>48</v>
      </c>
      <c r="F6297" t="s">
        <v>22</v>
      </c>
      <c r="G6297" t="s">
        <v>15</v>
      </c>
      <c r="K6297" cm="1">
        <f t="array" ref="K6297">_xlfn.SWITCH(LeadsData[[#This Row],[Funnel Stage Reached]],"Lead",1,"MQL",2,"SQL",3,"Customer",4)</f>
        <v>1</v>
      </c>
      <c r="L6297" t="str">
        <f>TEXT(LeadsData[[#This Row],[Signup Date]],"mmm-yyyy")</f>
        <v>Oct-2024</v>
      </c>
      <c r="M6297">
        <f>IF(LeadsData[[#This Row],[Stage Number]]&gt;=2,1,0)</f>
        <v>0</v>
      </c>
      <c r="N6297" s="2">
        <f>IF(LeadsData[[#This Row],[Stage Number]]&gt;=3,1,0)</f>
        <v>0</v>
      </c>
      <c r="O6297" s="2">
        <f>IF(LeadsData[[#This Row],[Stage Number]]&gt;=4,1,0)</f>
        <v>0</v>
      </c>
    </row>
    <row r="6298" spans="1:15" x14ac:dyDescent="0.25">
      <c r="A6298" t="s">
        <v>6338</v>
      </c>
      <c r="B6298" s="1">
        <v>45644</v>
      </c>
      <c r="C6298" t="s">
        <v>31</v>
      </c>
      <c r="D6298" t="s">
        <v>34</v>
      </c>
      <c r="E6298" t="s">
        <v>13</v>
      </c>
      <c r="F6298" t="s">
        <v>22</v>
      </c>
      <c r="G6298" t="s">
        <v>15</v>
      </c>
      <c r="K6298" cm="1">
        <f t="array" ref="K6298">_xlfn.SWITCH(LeadsData[[#This Row],[Funnel Stage Reached]],"Lead",1,"MQL",2,"SQL",3,"Customer",4)</f>
        <v>1</v>
      </c>
      <c r="L6298" t="str">
        <f>TEXT(LeadsData[[#This Row],[Signup Date]],"mmm-yyyy")</f>
        <v>Dec-2024</v>
      </c>
      <c r="M6298">
        <f>IF(LeadsData[[#This Row],[Stage Number]]&gt;=2,1,0)</f>
        <v>0</v>
      </c>
      <c r="N6298" s="2">
        <f>IF(LeadsData[[#This Row],[Stage Number]]&gt;=3,1,0)</f>
        <v>0</v>
      </c>
      <c r="O6298" s="2">
        <f>IF(LeadsData[[#This Row],[Stage Number]]&gt;=4,1,0)</f>
        <v>0</v>
      </c>
    </row>
    <row r="6299" spans="1:15" x14ac:dyDescent="0.25">
      <c r="A6299" t="s">
        <v>6339</v>
      </c>
      <c r="B6299" s="1">
        <v>45628</v>
      </c>
      <c r="C6299" t="s">
        <v>25</v>
      </c>
      <c r="D6299" t="s">
        <v>26</v>
      </c>
      <c r="E6299" t="s">
        <v>21</v>
      </c>
      <c r="F6299" t="s">
        <v>28</v>
      </c>
      <c r="G6299" t="s">
        <v>23</v>
      </c>
      <c r="K6299" cm="1">
        <f t="array" ref="K6299">_xlfn.SWITCH(LeadsData[[#This Row],[Funnel Stage Reached]],"Lead",1,"MQL",2,"SQL",3,"Customer",4)</f>
        <v>2</v>
      </c>
      <c r="L6299" t="str">
        <f>TEXT(LeadsData[[#This Row],[Signup Date]],"mmm-yyyy")</f>
        <v>Dec-2024</v>
      </c>
      <c r="M6299">
        <f>IF(LeadsData[[#This Row],[Stage Number]]&gt;=2,1,0)</f>
        <v>1</v>
      </c>
      <c r="N6299" s="2">
        <f>IF(LeadsData[[#This Row],[Stage Number]]&gt;=3,1,0)</f>
        <v>0</v>
      </c>
      <c r="O6299" s="2">
        <f>IF(LeadsData[[#This Row],[Stage Number]]&gt;=4,1,0)</f>
        <v>0</v>
      </c>
    </row>
    <row r="6300" spans="1:15" x14ac:dyDescent="0.25">
      <c r="A6300" t="s">
        <v>6340</v>
      </c>
      <c r="B6300" s="1">
        <v>45638</v>
      </c>
      <c r="C6300" t="s">
        <v>25</v>
      </c>
      <c r="D6300" t="s">
        <v>26</v>
      </c>
      <c r="E6300" t="s">
        <v>13</v>
      </c>
      <c r="F6300" t="s">
        <v>28</v>
      </c>
      <c r="G6300" t="s">
        <v>23</v>
      </c>
      <c r="K6300" cm="1">
        <f t="array" ref="K6300">_xlfn.SWITCH(LeadsData[[#This Row],[Funnel Stage Reached]],"Lead",1,"MQL",2,"SQL",3,"Customer",4)</f>
        <v>2</v>
      </c>
      <c r="L6300" t="str">
        <f>TEXT(LeadsData[[#This Row],[Signup Date]],"mmm-yyyy")</f>
        <v>Dec-2024</v>
      </c>
      <c r="M6300">
        <f>IF(LeadsData[[#This Row],[Stage Number]]&gt;=2,1,0)</f>
        <v>1</v>
      </c>
      <c r="N6300" s="2">
        <f>IF(LeadsData[[#This Row],[Stage Number]]&gt;=3,1,0)</f>
        <v>0</v>
      </c>
      <c r="O6300" s="2">
        <f>IF(LeadsData[[#This Row],[Stage Number]]&gt;=4,1,0)</f>
        <v>0</v>
      </c>
    </row>
    <row r="6301" spans="1:15" x14ac:dyDescent="0.25">
      <c r="A6301" t="s">
        <v>6341</v>
      </c>
      <c r="B6301" s="1">
        <v>45344</v>
      </c>
      <c r="C6301" t="s">
        <v>17</v>
      </c>
      <c r="D6301" t="s">
        <v>53</v>
      </c>
      <c r="E6301" t="s">
        <v>13</v>
      </c>
      <c r="F6301" t="s">
        <v>14</v>
      </c>
      <c r="G6301" t="s">
        <v>15</v>
      </c>
      <c r="K6301" cm="1">
        <f t="array" ref="K6301">_xlfn.SWITCH(LeadsData[[#This Row],[Funnel Stage Reached]],"Lead",1,"MQL",2,"SQL",3,"Customer",4)</f>
        <v>1</v>
      </c>
      <c r="L6301" t="str">
        <f>TEXT(LeadsData[[#This Row],[Signup Date]],"mmm-yyyy")</f>
        <v>Feb-2024</v>
      </c>
      <c r="M6301">
        <f>IF(LeadsData[[#This Row],[Stage Number]]&gt;=2,1,0)</f>
        <v>0</v>
      </c>
      <c r="N6301" s="2">
        <f>IF(LeadsData[[#This Row],[Stage Number]]&gt;=3,1,0)</f>
        <v>0</v>
      </c>
      <c r="O6301" s="2">
        <f>IF(LeadsData[[#This Row],[Stage Number]]&gt;=4,1,0)</f>
        <v>0</v>
      </c>
    </row>
    <row r="6302" spans="1:15" x14ac:dyDescent="0.25">
      <c r="A6302" t="s">
        <v>6342</v>
      </c>
      <c r="B6302" s="1">
        <v>45552</v>
      </c>
      <c r="C6302" t="s">
        <v>36</v>
      </c>
      <c r="D6302" t="s">
        <v>37</v>
      </c>
      <c r="E6302" t="s">
        <v>21</v>
      </c>
      <c r="F6302" t="s">
        <v>22</v>
      </c>
      <c r="G6302" t="s">
        <v>23</v>
      </c>
      <c r="K6302" cm="1">
        <f t="array" ref="K6302">_xlfn.SWITCH(LeadsData[[#This Row],[Funnel Stage Reached]],"Lead",1,"MQL",2,"SQL",3,"Customer",4)</f>
        <v>2</v>
      </c>
      <c r="L6302" t="str">
        <f>TEXT(LeadsData[[#This Row],[Signup Date]],"mmm-yyyy")</f>
        <v>Sep-2024</v>
      </c>
      <c r="M6302">
        <f>IF(LeadsData[[#This Row],[Stage Number]]&gt;=2,1,0)</f>
        <v>1</v>
      </c>
      <c r="N6302" s="2">
        <f>IF(LeadsData[[#This Row],[Stage Number]]&gt;=3,1,0)</f>
        <v>0</v>
      </c>
      <c r="O6302" s="2">
        <f>IF(LeadsData[[#This Row],[Stage Number]]&gt;=4,1,0)</f>
        <v>0</v>
      </c>
    </row>
    <row r="6303" spans="1:15" x14ac:dyDescent="0.25">
      <c r="A6303" t="s">
        <v>6343</v>
      </c>
      <c r="B6303" s="1">
        <v>45537</v>
      </c>
      <c r="C6303" t="s">
        <v>31</v>
      </c>
      <c r="D6303" t="s">
        <v>34</v>
      </c>
      <c r="E6303" t="s">
        <v>13</v>
      </c>
      <c r="F6303" t="s">
        <v>22</v>
      </c>
      <c r="G6303" t="s">
        <v>15</v>
      </c>
      <c r="K6303" cm="1">
        <f t="array" ref="K6303">_xlfn.SWITCH(LeadsData[[#This Row],[Funnel Stage Reached]],"Lead",1,"MQL",2,"SQL",3,"Customer",4)</f>
        <v>1</v>
      </c>
      <c r="L6303" t="str">
        <f>TEXT(LeadsData[[#This Row],[Signup Date]],"mmm-yyyy")</f>
        <v>Sep-2024</v>
      </c>
      <c r="M6303">
        <f>IF(LeadsData[[#This Row],[Stage Number]]&gt;=2,1,0)</f>
        <v>0</v>
      </c>
      <c r="N6303" s="2">
        <f>IF(LeadsData[[#This Row],[Stage Number]]&gt;=3,1,0)</f>
        <v>0</v>
      </c>
      <c r="O6303" s="2">
        <f>IF(LeadsData[[#This Row],[Stage Number]]&gt;=4,1,0)</f>
        <v>0</v>
      </c>
    </row>
    <row r="6304" spans="1:15" x14ac:dyDescent="0.25">
      <c r="A6304" t="s">
        <v>6344</v>
      </c>
      <c r="B6304" s="1">
        <v>45538</v>
      </c>
      <c r="C6304" t="s">
        <v>17</v>
      </c>
      <c r="D6304" t="s">
        <v>18</v>
      </c>
      <c r="E6304" t="s">
        <v>48</v>
      </c>
      <c r="F6304" t="s">
        <v>22</v>
      </c>
      <c r="G6304" t="s">
        <v>15</v>
      </c>
      <c r="K6304" cm="1">
        <f t="array" ref="K6304">_xlfn.SWITCH(LeadsData[[#This Row],[Funnel Stage Reached]],"Lead",1,"MQL",2,"SQL",3,"Customer",4)</f>
        <v>1</v>
      </c>
      <c r="L6304" t="str">
        <f>TEXT(LeadsData[[#This Row],[Signup Date]],"mmm-yyyy")</f>
        <v>Sep-2024</v>
      </c>
      <c r="M6304">
        <f>IF(LeadsData[[#This Row],[Stage Number]]&gt;=2,1,0)</f>
        <v>0</v>
      </c>
      <c r="N6304" s="2">
        <f>IF(LeadsData[[#This Row],[Stage Number]]&gt;=3,1,0)</f>
        <v>0</v>
      </c>
      <c r="O6304" s="2">
        <f>IF(LeadsData[[#This Row],[Stage Number]]&gt;=4,1,0)</f>
        <v>0</v>
      </c>
    </row>
    <row r="6305" spans="1:15" x14ac:dyDescent="0.25">
      <c r="A6305" t="s">
        <v>6345</v>
      </c>
      <c r="B6305" s="1">
        <v>45360</v>
      </c>
      <c r="C6305" t="s">
        <v>46</v>
      </c>
      <c r="D6305" t="s">
        <v>47</v>
      </c>
      <c r="E6305" t="s">
        <v>13</v>
      </c>
      <c r="F6305" t="s">
        <v>22</v>
      </c>
      <c r="G6305" t="s">
        <v>23</v>
      </c>
      <c r="K6305" cm="1">
        <f t="array" ref="K6305">_xlfn.SWITCH(LeadsData[[#This Row],[Funnel Stage Reached]],"Lead",1,"MQL",2,"SQL",3,"Customer",4)</f>
        <v>2</v>
      </c>
      <c r="L6305" t="str">
        <f>TEXT(LeadsData[[#This Row],[Signup Date]],"mmm-yyyy")</f>
        <v>Mar-2024</v>
      </c>
      <c r="M6305">
        <f>IF(LeadsData[[#This Row],[Stage Number]]&gt;=2,1,0)</f>
        <v>1</v>
      </c>
      <c r="N6305" s="2">
        <f>IF(LeadsData[[#This Row],[Stage Number]]&gt;=3,1,0)</f>
        <v>0</v>
      </c>
      <c r="O6305" s="2">
        <f>IF(LeadsData[[#This Row],[Stage Number]]&gt;=4,1,0)</f>
        <v>0</v>
      </c>
    </row>
    <row r="6306" spans="1:15" x14ac:dyDescent="0.25">
      <c r="A6306" t="s">
        <v>6346</v>
      </c>
      <c r="B6306" s="1">
        <v>45338</v>
      </c>
      <c r="C6306" t="s">
        <v>36</v>
      </c>
      <c r="D6306" t="s">
        <v>37</v>
      </c>
      <c r="E6306" t="s">
        <v>13</v>
      </c>
      <c r="F6306" t="s">
        <v>19</v>
      </c>
      <c r="G6306" t="s">
        <v>23</v>
      </c>
      <c r="K6306" cm="1">
        <f t="array" ref="K6306">_xlfn.SWITCH(LeadsData[[#This Row],[Funnel Stage Reached]],"Lead",1,"MQL",2,"SQL",3,"Customer",4)</f>
        <v>2</v>
      </c>
      <c r="L6306" t="str">
        <f>TEXT(LeadsData[[#This Row],[Signup Date]],"mmm-yyyy")</f>
        <v>Feb-2024</v>
      </c>
      <c r="M6306">
        <f>IF(LeadsData[[#This Row],[Stage Number]]&gt;=2,1,0)</f>
        <v>1</v>
      </c>
      <c r="N6306" s="2">
        <f>IF(LeadsData[[#This Row],[Stage Number]]&gt;=3,1,0)</f>
        <v>0</v>
      </c>
      <c r="O6306" s="2">
        <f>IF(LeadsData[[#This Row],[Stage Number]]&gt;=4,1,0)</f>
        <v>0</v>
      </c>
    </row>
    <row r="6307" spans="1:15" x14ac:dyDescent="0.25">
      <c r="A6307" t="s">
        <v>6347</v>
      </c>
      <c r="B6307" s="1">
        <v>45593</v>
      </c>
      <c r="C6307" t="s">
        <v>11</v>
      </c>
      <c r="D6307" t="s">
        <v>68</v>
      </c>
      <c r="E6307" t="s">
        <v>13</v>
      </c>
      <c r="F6307" t="s">
        <v>19</v>
      </c>
      <c r="G6307" t="s">
        <v>15</v>
      </c>
      <c r="K6307" cm="1">
        <f t="array" ref="K6307">_xlfn.SWITCH(LeadsData[[#This Row],[Funnel Stage Reached]],"Lead",1,"MQL",2,"SQL",3,"Customer",4)</f>
        <v>1</v>
      </c>
      <c r="L6307" t="str">
        <f>TEXT(LeadsData[[#This Row],[Signup Date]],"mmm-yyyy")</f>
        <v>Oct-2024</v>
      </c>
      <c r="M6307">
        <f>IF(LeadsData[[#This Row],[Stage Number]]&gt;=2,1,0)</f>
        <v>0</v>
      </c>
      <c r="N6307" s="2">
        <f>IF(LeadsData[[#This Row],[Stage Number]]&gt;=3,1,0)</f>
        <v>0</v>
      </c>
      <c r="O6307" s="2">
        <f>IF(LeadsData[[#This Row],[Stage Number]]&gt;=4,1,0)</f>
        <v>0</v>
      </c>
    </row>
    <row r="6308" spans="1:15" x14ac:dyDescent="0.25">
      <c r="A6308" t="s">
        <v>6348</v>
      </c>
      <c r="B6308" s="1">
        <v>45566</v>
      </c>
      <c r="C6308" t="s">
        <v>25</v>
      </c>
      <c r="D6308" t="s">
        <v>26</v>
      </c>
      <c r="E6308" t="s">
        <v>13</v>
      </c>
      <c r="F6308" t="s">
        <v>14</v>
      </c>
      <c r="G6308" t="s">
        <v>29</v>
      </c>
      <c r="K6308" cm="1">
        <f t="array" ref="K6308">_xlfn.SWITCH(LeadsData[[#This Row],[Funnel Stage Reached]],"Lead",1,"MQL",2,"SQL",3,"Customer",4)</f>
        <v>3</v>
      </c>
      <c r="L6308" t="str">
        <f>TEXT(LeadsData[[#This Row],[Signup Date]],"mmm-yyyy")</f>
        <v>Oct-2024</v>
      </c>
      <c r="M6308">
        <f>IF(LeadsData[[#This Row],[Stage Number]]&gt;=2,1,0)</f>
        <v>1</v>
      </c>
      <c r="N6308" s="2">
        <f>IF(LeadsData[[#This Row],[Stage Number]]&gt;=3,1,0)</f>
        <v>1</v>
      </c>
      <c r="O6308" s="2">
        <f>IF(LeadsData[[#This Row],[Stage Number]]&gt;=4,1,0)</f>
        <v>0</v>
      </c>
    </row>
    <row r="6309" spans="1:15" x14ac:dyDescent="0.25">
      <c r="A6309" t="s">
        <v>6349</v>
      </c>
      <c r="B6309" s="1">
        <v>45572</v>
      </c>
      <c r="C6309" t="s">
        <v>36</v>
      </c>
      <c r="D6309" t="s">
        <v>50</v>
      </c>
      <c r="E6309" t="s">
        <v>21</v>
      </c>
      <c r="F6309" t="s">
        <v>19</v>
      </c>
      <c r="G6309" t="s">
        <v>29</v>
      </c>
      <c r="K6309" cm="1">
        <f t="array" ref="K6309">_xlfn.SWITCH(LeadsData[[#This Row],[Funnel Stage Reached]],"Lead",1,"MQL",2,"SQL",3,"Customer",4)</f>
        <v>3</v>
      </c>
      <c r="L6309" t="str">
        <f>TEXT(LeadsData[[#This Row],[Signup Date]],"mmm-yyyy")</f>
        <v>Oct-2024</v>
      </c>
      <c r="M6309">
        <f>IF(LeadsData[[#This Row],[Stage Number]]&gt;=2,1,0)</f>
        <v>1</v>
      </c>
      <c r="N6309" s="2">
        <f>IF(LeadsData[[#This Row],[Stage Number]]&gt;=3,1,0)</f>
        <v>1</v>
      </c>
      <c r="O6309" s="2">
        <f>IF(LeadsData[[#This Row],[Stage Number]]&gt;=4,1,0)</f>
        <v>0</v>
      </c>
    </row>
    <row r="6310" spans="1:15" x14ac:dyDescent="0.25">
      <c r="A6310" t="s">
        <v>6350</v>
      </c>
      <c r="B6310" s="1">
        <v>45295</v>
      </c>
      <c r="C6310" t="s">
        <v>46</v>
      </c>
      <c r="D6310" t="s">
        <v>47</v>
      </c>
      <c r="E6310" t="s">
        <v>13</v>
      </c>
      <c r="F6310" t="s">
        <v>19</v>
      </c>
      <c r="G6310" t="s">
        <v>42</v>
      </c>
      <c r="H6310">
        <v>65</v>
      </c>
      <c r="I6310" t="s">
        <v>43</v>
      </c>
      <c r="J6310">
        <v>1473.12</v>
      </c>
      <c r="K6310" cm="1">
        <f t="array" ref="K6310">_xlfn.SWITCH(LeadsData[[#This Row],[Funnel Stage Reached]],"Lead",1,"MQL",2,"SQL",3,"Customer",4)</f>
        <v>4</v>
      </c>
      <c r="L6310" t="str">
        <f>TEXT(LeadsData[[#This Row],[Signup Date]],"mmm-yyyy")</f>
        <v>Jan-2024</v>
      </c>
      <c r="M6310">
        <f>IF(LeadsData[[#This Row],[Stage Number]]&gt;=2,1,0)</f>
        <v>1</v>
      </c>
      <c r="N6310" s="2">
        <f>IF(LeadsData[[#This Row],[Stage Number]]&gt;=3,1,0)</f>
        <v>1</v>
      </c>
      <c r="O6310" s="2">
        <f>IF(LeadsData[[#This Row],[Stage Number]]&gt;=4,1,0)</f>
        <v>1</v>
      </c>
    </row>
    <row r="6311" spans="1:15" x14ac:dyDescent="0.25">
      <c r="A6311" t="s">
        <v>6351</v>
      </c>
      <c r="B6311" s="1">
        <v>45492</v>
      </c>
      <c r="C6311" t="s">
        <v>46</v>
      </c>
      <c r="D6311" t="s">
        <v>56</v>
      </c>
      <c r="E6311" t="s">
        <v>21</v>
      </c>
      <c r="F6311" t="s">
        <v>14</v>
      </c>
      <c r="G6311" t="s">
        <v>29</v>
      </c>
      <c r="K6311" cm="1">
        <f t="array" ref="K6311">_xlfn.SWITCH(LeadsData[[#This Row],[Funnel Stage Reached]],"Lead",1,"MQL",2,"SQL",3,"Customer",4)</f>
        <v>3</v>
      </c>
      <c r="L6311" t="str">
        <f>TEXT(LeadsData[[#This Row],[Signup Date]],"mmm-yyyy")</f>
        <v>Jul-2024</v>
      </c>
      <c r="M6311">
        <f>IF(LeadsData[[#This Row],[Stage Number]]&gt;=2,1,0)</f>
        <v>1</v>
      </c>
      <c r="N6311" s="2">
        <f>IF(LeadsData[[#This Row],[Stage Number]]&gt;=3,1,0)</f>
        <v>1</v>
      </c>
      <c r="O6311" s="2">
        <f>IF(LeadsData[[#This Row],[Stage Number]]&gt;=4,1,0)</f>
        <v>0</v>
      </c>
    </row>
    <row r="6312" spans="1:15" x14ac:dyDescent="0.25">
      <c r="A6312" t="s">
        <v>6352</v>
      </c>
      <c r="B6312" s="1">
        <v>45613</v>
      </c>
      <c r="C6312" t="s">
        <v>11</v>
      </c>
      <c r="D6312" t="s">
        <v>79</v>
      </c>
      <c r="E6312" t="s">
        <v>21</v>
      </c>
      <c r="F6312" t="s">
        <v>14</v>
      </c>
      <c r="G6312" t="s">
        <v>15</v>
      </c>
      <c r="K6312" cm="1">
        <f t="array" ref="K6312">_xlfn.SWITCH(LeadsData[[#This Row],[Funnel Stage Reached]],"Lead",1,"MQL",2,"SQL",3,"Customer",4)</f>
        <v>1</v>
      </c>
      <c r="L6312" t="str">
        <f>TEXT(LeadsData[[#This Row],[Signup Date]],"mmm-yyyy")</f>
        <v>Nov-2024</v>
      </c>
      <c r="M6312">
        <f>IF(LeadsData[[#This Row],[Stage Number]]&gt;=2,1,0)</f>
        <v>0</v>
      </c>
      <c r="N6312" s="2">
        <f>IF(LeadsData[[#This Row],[Stage Number]]&gt;=3,1,0)</f>
        <v>0</v>
      </c>
      <c r="O6312" s="2">
        <f>IF(LeadsData[[#This Row],[Stage Number]]&gt;=4,1,0)</f>
        <v>0</v>
      </c>
    </row>
    <row r="6313" spans="1:15" x14ac:dyDescent="0.25">
      <c r="A6313" t="s">
        <v>6353</v>
      </c>
      <c r="B6313" s="1">
        <v>45495</v>
      </c>
      <c r="C6313" t="s">
        <v>17</v>
      </c>
      <c r="D6313" t="s">
        <v>53</v>
      </c>
      <c r="E6313" t="s">
        <v>13</v>
      </c>
      <c r="F6313" t="s">
        <v>19</v>
      </c>
      <c r="G6313" t="s">
        <v>29</v>
      </c>
      <c r="K6313" cm="1">
        <f t="array" ref="K6313">_xlfn.SWITCH(LeadsData[[#This Row],[Funnel Stage Reached]],"Lead",1,"MQL",2,"SQL",3,"Customer",4)</f>
        <v>3</v>
      </c>
      <c r="L6313" t="str">
        <f>TEXT(LeadsData[[#This Row],[Signup Date]],"mmm-yyyy")</f>
        <v>Jul-2024</v>
      </c>
      <c r="M6313">
        <f>IF(LeadsData[[#This Row],[Stage Number]]&gt;=2,1,0)</f>
        <v>1</v>
      </c>
      <c r="N6313" s="2">
        <f>IF(LeadsData[[#This Row],[Stage Number]]&gt;=3,1,0)</f>
        <v>1</v>
      </c>
      <c r="O6313" s="2">
        <f>IF(LeadsData[[#This Row],[Stage Number]]&gt;=4,1,0)</f>
        <v>0</v>
      </c>
    </row>
    <row r="6314" spans="1:15" x14ac:dyDescent="0.25">
      <c r="A6314" t="s">
        <v>6354</v>
      </c>
      <c r="B6314" s="1">
        <v>45447</v>
      </c>
      <c r="C6314" t="s">
        <v>17</v>
      </c>
      <c r="D6314" t="s">
        <v>18</v>
      </c>
      <c r="E6314" t="s">
        <v>21</v>
      </c>
      <c r="F6314" t="s">
        <v>19</v>
      </c>
      <c r="G6314" t="s">
        <v>29</v>
      </c>
      <c r="K6314" cm="1">
        <f t="array" ref="K6314">_xlfn.SWITCH(LeadsData[[#This Row],[Funnel Stage Reached]],"Lead",1,"MQL",2,"SQL",3,"Customer",4)</f>
        <v>3</v>
      </c>
      <c r="L6314" t="str">
        <f>TEXT(LeadsData[[#This Row],[Signup Date]],"mmm-yyyy")</f>
        <v>Jun-2024</v>
      </c>
      <c r="M6314">
        <f>IF(LeadsData[[#This Row],[Stage Number]]&gt;=2,1,0)</f>
        <v>1</v>
      </c>
      <c r="N6314" s="2">
        <f>IF(LeadsData[[#This Row],[Stage Number]]&gt;=3,1,0)</f>
        <v>1</v>
      </c>
      <c r="O6314" s="2">
        <f>IF(LeadsData[[#This Row],[Stage Number]]&gt;=4,1,0)</f>
        <v>0</v>
      </c>
    </row>
    <row r="6315" spans="1:15" x14ac:dyDescent="0.25">
      <c r="A6315" t="s">
        <v>6355</v>
      </c>
      <c r="B6315" s="1">
        <v>45425</v>
      </c>
      <c r="C6315" t="s">
        <v>36</v>
      </c>
      <c r="D6315" t="s">
        <v>50</v>
      </c>
      <c r="E6315" t="s">
        <v>13</v>
      </c>
      <c r="F6315" t="s">
        <v>19</v>
      </c>
      <c r="G6315" t="s">
        <v>15</v>
      </c>
      <c r="K6315" cm="1">
        <f t="array" ref="K6315">_xlfn.SWITCH(LeadsData[[#This Row],[Funnel Stage Reached]],"Lead",1,"MQL",2,"SQL",3,"Customer",4)</f>
        <v>1</v>
      </c>
      <c r="L6315" t="str">
        <f>TEXT(LeadsData[[#This Row],[Signup Date]],"mmm-yyyy")</f>
        <v>May-2024</v>
      </c>
      <c r="M6315">
        <f>IF(LeadsData[[#This Row],[Stage Number]]&gt;=2,1,0)</f>
        <v>0</v>
      </c>
      <c r="N6315" s="2">
        <f>IF(LeadsData[[#This Row],[Stage Number]]&gt;=3,1,0)</f>
        <v>0</v>
      </c>
      <c r="O6315" s="2">
        <f>IF(LeadsData[[#This Row],[Stage Number]]&gt;=4,1,0)</f>
        <v>0</v>
      </c>
    </row>
    <row r="6316" spans="1:15" x14ac:dyDescent="0.25">
      <c r="A6316" t="s">
        <v>6356</v>
      </c>
      <c r="B6316" s="1">
        <v>45580</v>
      </c>
      <c r="C6316" t="s">
        <v>36</v>
      </c>
      <c r="D6316" t="s">
        <v>37</v>
      </c>
      <c r="E6316" t="s">
        <v>13</v>
      </c>
      <c r="F6316" t="s">
        <v>14</v>
      </c>
      <c r="G6316" t="s">
        <v>15</v>
      </c>
      <c r="K6316" cm="1">
        <f t="array" ref="K6316">_xlfn.SWITCH(LeadsData[[#This Row],[Funnel Stage Reached]],"Lead",1,"MQL",2,"SQL",3,"Customer",4)</f>
        <v>1</v>
      </c>
      <c r="L6316" t="str">
        <f>TEXT(LeadsData[[#This Row],[Signup Date]],"mmm-yyyy")</f>
        <v>Oct-2024</v>
      </c>
      <c r="M6316">
        <f>IF(LeadsData[[#This Row],[Stage Number]]&gt;=2,1,0)</f>
        <v>0</v>
      </c>
      <c r="N6316" s="2">
        <f>IF(LeadsData[[#This Row],[Stage Number]]&gt;=3,1,0)</f>
        <v>0</v>
      </c>
      <c r="O6316" s="2">
        <f>IF(LeadsData[[#This Row],[Stage Number]]&gt;=4,1,0)</f>
        <v>0</v>
      </c>
    </row>
    <row r="6317" spans="1:15" x14ac:dyDescent="0.25">
      <c r="A6317" t="s">
        <v>6357</v>
      </c>
      <c r="B6317" s="1">
        <v>45532</v>
      </c>
      <c r="C6317" t="s">
        <v>31</v>
      </c>
      <c r="D6317" t="s">
        <v>34</v>
      </c>
      <c r="E6317" t="s">
        <v>13</v>
      </c>
      <c r="F6317" t="s">
        <v>22</v>
      </c>
      <c r="G6317" t="s">
        <v>15</v>
      </c>
      <c r="K6317" cm="1">
        <f t="array" ref="K6317">_xlfn.SWITCH(LeadsData[[#This Row],[Funnel Stage Reached]],"Lead",1,"MQL",2,"SQL",3,"Customer",4)</f>
        <v>1</v>
      </c>
      <c r="L6317" t="str">
        <f>TEXT(LeadsData[[#This Row],[Signup Date]],"mmm-yyyy")</f>
        <v>Aug-2024</v>
      </c>
      <c r="M6317">
        <f>IF(LeadsData[[#This Row],[Stage Number]]&gt;=2,1,0)</f>
        <v>0</v>
      </c>
      <c r="N6317" s="2">
        <f>IF(LeadsData[[#This Row],[Stage Number]]&gt;=3,1,0)</f>
        <v>0</v>
      </c>
      <c r="O6317" s="2">
        <f>IF(LeadsData[[#This Row],[Stage Number]]&gt;=4,1,0)</f>
        <v>0</v>
      </c>
    </row>
    <row r="6318" spans="1:15" x14ac:dyDescent="0.25">
      <c r="A6318" t="s">
        <v>6358</v>
      </c>
      <c r="B6318" s="1">
        <v>45577</v>
      </c>
      <c r="C6318" t="s">
        <v>11</v>
      </c>
      <c r="D6318" t="s">
        <v>12</v>
      </c>
      <c r="E6318" t="s">
        <v>13</v>
      </c>
      <c r="F6318" t="s">
        <v>22</v>
      </c>
      <c r="G6318" t="s">
        <v>29</v>
      </c>
      <c r="K6318" cm="1">
        <f t="array" ref="K6318">_xlfn.SWITCH(LeadsData[[#This Row],[Funnel Stage Reached]],"Lead",1,"MQL",2,"SQL",3,"Customer",4)</f>
        <v>3</v>
      </c>
      <c r="L6318" t="str">
        <f>TEXT(LeadsData[[#This Row],[Signup Date]],"mmm-yyyy")</f>
        <v>Oct-2024</v>
      </c>
      <c r="M6318">
        <f>IF(LeadsData[[#This Row],[Stage Number]]&gt;=2,1,0)</f>
        <v>1</v>
      </c>
      <c r="N6318" s="2">
        <f>IF(LeadsData[[#This Row],[Stage Number]]&gt;=3,1,0)</f>
        <v>1</v>
      </c>
      <c r="O6318" s="2">
        <f>IF(LeadsData[[#This Row],[Stage Number]]&gt;=4,1,0)</f>
        <v>0</v>
      </c>
    </row>
    <row r="6319" spans="1:15" x14ac:dyDescent="0.25">
      <c r="A6319" t="s">
        <v>6359</v>
      </c>
      <c r="B6319" s="1">
        <v>45589</v>
      </c>
      <c r="C6319" t="s">
        <v>17</v>
      </c>
      <c r="D6319" t="s">
        <v>53</v>
      </c>
      <c r="E6319" t="s">
        <v>13</v>
      </c>
      <c r="F6319" t="s">
        <v>14</v>
      </c>
      <c r="G6319" t="s">
        <v>15</v>
      </c>
      <c r="K6319" cm="1">
        <f t="array" ref="K6319">_xlfn.SWITCH(LeadsData[[#This Row],[Funnel Stage Reached]],"Lead",1,"MQL",2,"SQL",3,"Customer",4)</f>
        <v>1</v>
      </c>
      <c r="L6319" t="str">
        <f>TEXT(LeadsData[[#This Row],[Signup Date]],"mmm-yyyy")</f>
        <v>Oct-2024</v>
      </c>
      <c r="M6319">
        <f>IF(LeadsData[[#This Row],[Stage Number]]&gt;=2,1,0)</f>
        <v>0</v>
      </c>
      <c r="N6319" s="2">
        <f>IF(LeadsData[[#This Row],[Stage Number]]&gt;=3,1,0)</f>
        <v>0</v>
      </c>
      <c r="O6319" s="2">
        <f>IF(LeadsData[[#This Row],[Stage Number]]&gt;=4,1,0)</f>
        <v>0</v>
      </c>
    </row>
    <row r="6320" spans="1:15" x14ac:dyDescent="0.25">
      <c r="A6320" t="s">
        <v>6360</v>
      </c>
      <c r="B6320" s="1">
        <v>45402</v>
      </c>
      <c r="C6320" t="s">
        <v>11</v>
      </c>
      <c r="D6320" t="s">
        <v>79</v>
      </c>
      <c r="E6320" t="s">
        <v>13</v>
      </c>
      <c r="F6320" t="s">
        <v>19</v>
      </c>
      <c r="G6320" t="s">
        <v>15</v>
      </c>
      <c r="K6320" cm="1">
        <f t="array" ref="K6320">_xlfn.SWITCH(LeadsData[[#This Row],[Funnel Stage Reached]],"Lead",1,"MQL",2,"SQL",3,"Customer",4)</f>
        <v>1</v>
      </c>
      <c r="L6320" t="str">
        <f>TEXT(LeadsData[[#This Row],[Signup Date]],"mmm-yyyy")</f>
        <v>Apr-2024</v>
      </c>
      <c r="M6320">
        <f>IF(LeadsData[[#This Row],[Stage Number]]&gt;=2,1,0)</f>
        <v>0</v>
      </c>
      <c r="N6320" s="2">
        <f>IF(LeadsData[[#This Row],[Stage Number]]&gt;=3,1,0)</f>
        <v>0</v>
      </c>
      <c r="O6320" s="2">
        <f>IF(LeadsData[[#This Row],[Stage Number]]&gt;=4,1,0)</f>
        <v>0</v>
      </c>
    </row>
    <row r="6321" spans="1:15" x14ac:dyDescent="0.25">
      <c r="A6321" t="s">
        <v>6361</v>
      </c>
      <c r="B6321" s="1">
        <v>45641</v>
      </c>
      <c r="C6321" t="s">
        <v>17</v>
      </c>
      <c r="D6321" t="s">
        <v>53</v>
      </c>
      <c r="E6321" t="s">
        <v>13</v>
      </c>
      <c r="F6321" t="s">
        <v>14</v>
      </c>
      <c r="G6321" t="s">
        <v>23</v>
      </c>
      <c r="K6321" cm="1">
        <f t="array" ref="K6321">_xlfn.SWITCH(LeadsData[[#This Row],[Funnel Stage Reached]],"Lead",1,"MQL",2,"SQL",3,"Customer",4)</f>
        <v>2</v>
      </c>
      <c r="L6321" t="str">
        <f>TEXT(LeadsData[[#This Row],[Signup Date]],"mmm-yyyy")</f>
        <v>Dec-2024</v>
      </c>
      <c r="M6321">
        <f>IF(LeadsData[[#This Row],[Stage Number]]&gt;=2,1,0)</f>
        <v>1</v>
      </c>
      <c r="N6321" s="2">
        <f>IF(LeadsData[[#This Row],[Stage Number]]&gt;=3,1,0)</f>
        <v>0</v>
      </c>
      <c r="O6321" s="2">
        <f>IF(LeadsData[[#This Row],[Stage Number]]&gt;=4,1,0)</f>
        <v>0</v>
      </c>
    </row>
    <row r="6322" spans="1:15" x14ac:dyDescent="0.25">
      <c r="A6322" t="s">
        <v>6362</v>
      </c>
      <c r="B6322" s="1">
        <v>45353</v>
      </c>
      <c r="C6322" t="s">
        <v>11</v>
      </c>
      <c r="D6322" t="s">
        <v>12</v>
      </c>
      <c r="E6322" t="s">
        <v>21</v>
      </c>
      <c r="F6322" t="s">
        <v>19</v>
      </c>
      <c r="G6322" t="s">
        <v>15</v>
      </c>
      <c r="K6322" cm="1">
        <f t="array" ref="K6322">_xlfn.SWITCH(LeadsData[[#This Row],[Funnel Stage Reached]],"Lead",1,"MQL",2,"SQL",3,"Customer",4)</f>
        <v>1</v>
      </c>
      <c r="L6322" t="str">
        <f>TEXT(LeadsData[[#This Row],[Signup Date]],"mmm-yyyy")</f>
        <v>Mar-2024</v>
      </c>
      <c r="M6322">
        <f>IF(LeadsData[[#This Row],[Stage Number]]&gt;=2,1,0)</f>
        <v>0</v>
      </c>
      <c r="N6322" s="2">
        <f>IF(LeadsData[[#This Row],[Stage Number]]&gt;=3,1,0)</f>
        <v>0</v>
      </c>
      <c r="O6322" s="2">
        <f>IF(LeadsData[[#This Row],[Stage Number]]&gt;=4,1,0)</f>
        <v>0</v>
      </c>
    </row>
    <row r="6323" spans="1:15" x14ac:dyDescent="0.25">
      <c r="A6323" t="s">
        <v>6363</v>
      </c>
      <c r="B6323" s="1">
        <v>45496</v>
      </c>
      <c r="C6323" t="s">
        <v>11</v>
      </c>
      <c r="D6323" t="s">
        <v>12</v>
      </c>
      <c r="E6323" t="s">
        <v>21</v>
      </c>
      <c r="F6323" t="s">
        <v>22</v>
      </c>
      <c r="G6323" t="s">
        <v>15</v>
      </c>
      <c r="K6323" cm="1">
        <f t="array" ref="K6323">_xlfn.SWITCH(LeadsData[[#This Row],[Funnel Stage Reached]],"Lead",1,"MQL",2,"SQL",3,"Customer",4)</f>
        <v>1</v>
      </c>
      <c r="L6323" t="str">
        <f>TEXT(LeadsData[[#This Row],[Signup Date]],"mmm-yyyy")</f>
        <v>Jul-2024</v>
      </c>
      <c r="M6323">
        <f>IF(LeadsData[[#This Row],[Stage Number]]&gt;=2,1,0)</f>
        <v>0</v>
      </c>
      <c r="N6323" s="2">
        <f>IF(LeadsData[[#This Row],[Stage Number]]&gt;=3,1,0)</f>
        <v>0</v>
      </c>
      <c r="O6323" s="2">
        <f>IF(LeadsData[[#This Row],[Stage Number]]&gt;=4,1,0)</f>
        <v>0</v>
      </c>
    </row>
    <row r="6324" spans="1:15" x14ac:dyDescent="0.25">
      <c r="A6324" t="s">
        <v>6364</v>
      </c>
      <c r="B6324" s="1">
        <v>45327</v>
      </c>
      <c r="C6324" t="s">
        <v>17</v>
      </c>
      <c r="D6324" t="s">
        <v>18</v>
      </c>
      <c r="E6324" t="s">
        <v>13</v>
      </c>
      <c r="F6324" t="s">
        <v>14</v>
      </c>
      <c r="G6324" t="s">
        <v>42</v>
      </c>
      <c r="H6324">
        <v>13</v>
      </c>
      <c r="I6324" t="s">
        <v>183</v>
      </c>
      <c r="J6324">
        <v>15569.51</v>
      </c>
      <c r="K6324" cm="1">
        <f t="array" ref="K6324">_xlfn.SWITCH(LeadsData[[#This Row],[Funnel Stage Reached]],"Lead",1,"MQL",2,"SQL",3,"Customer",4)</f>
        <v>4</v>
      </c>
      <c r="L6324" t="str">
        <f>TEXT(LeadsData[[#This Row],[Signup Date]],"mmm-yyyy")</f>
        <v>Feb-2024</v>
      </c>
      <c r="M6324">
        <f>IF(LeadsData[[#This Row],[Stage Number]]&gt;=2,1,0)</f>
        <v>1</v>
      </c>
      <c r="N6324" s="2">
        <f>IF(LeadsData[[#This Row],[Stage Number]]&gt;=3,1,0)</f>
        <v>1</v>
      </c>
      <c r="O6324" s="2">
        <f>IF(LeadsData[[#This Row],[Stage Number]]&gt;=4,1,0)</f>
        <v>1</v>
      </c>
    </row>
    <row r="6325" spans="1:15" x14ac:dyDescent="0.25">
      <c r="A6325" t="s">
        <v>6365</v>
      </c>
      <c r="B6325" s="1">
        <v>45522</v>
      </c>
      <c r="C6325" t="s">
        <v>31</v>
      </c>
      <c r="D6325" t="s">
        <v>34</v>
      </c>
      <c r="E6325" t="s">
        <v>13</v>
      </c>
      <c r="F6325" t="s">
        <v>28</v>
      </c>
      <c r="G6325" t="s">
        <v>23</v>
      </c>
      <c r="K6325" cm="1">
        <f t="array" ref="K6325">_xlfn.SWITCH(LeadsData[[#This Row],[Funnel Stage Reached]],"Lead",1,"MQL",2,"SQL",3,"Customer",4)</f>
        <v>2</v>
      </c>
      <c r="L6325" t="str">
        <f>TEXT(LeadsData[[#This Row],[Signup Date]],"mmm-yyyy")</f>
        <v>Aug-2024</v>
      </c>
      <c r="M6325">
        <f>IF(LeadsData[[#This Row],[Stage Number]]&gt;=2,1,0)</f>
        <v>1</v>
      </c>
      <c r="N6325" s="2">
        <f>IF(LeadsData[[#This Row],[Stage Number]]&gt;=3,1,0)</f>
        <v>0</v>
      </c>
      <c r="O6325" s="2">
        <f>IF(LeadsData[[#This Row],[Stage Number]]&gt;=4,1,0)</f>
        <v>0</v>
      </c>
    </row>
    <row r="6326" spans="1:15" x14ac:dyDescent="0.25">
      <c r="A6326" t="s">
        <v>6366</v>
      </c>
      <c r="B6326" s="1">
        <v>45512</v>
      </c>
      <c r="C6326" t="s">
        <v>11</v>
      </c>
      <c r="D6326" t="s">
        <v>12</v>
      </c>
      <c r="E6326" t="s">
        <v>21</v>
      </c>
      <c r="F6326" t="s">
        <v>22</v>
      </c>
      <c r="G6326" t="s">
        <v>29</v>
      </c>
      <c r="K6326" cm="1">
        <f t="array" ref="K6326">_xlfn.SWITCH(LeadsData[[#This Row],[Funnel Stage Reached]],"Lead",1,"MQL",2,"SQL",3,"Customer",4)</f>
        <v>3</v>
      </c>
      <c r="L6326" t="str">
        <f>TEXT(LeadsData[[#This Row],[Signup Date]],"mmm-yyyy")</f>
        <v>Aug-2024</v>
      </c>
      <c r="M6326">
        <f>IF(LeadsData[[#This Row],[Stage Number]]&gt;=2,1,0)</f>
        <v>1</v>
      </c>
      <c r="N6326" s="2">
        <f>IF(LeadsData[[#This Row],[Stage Number]]&gt;=3,1,0)</f>
        <v>1</v>
      </c>
      <c r="O6326" s="2">
        <f>IF(LeadsData[[#This Row],[Stage Number]]&gt;=4,1,0)</f>
        <v>0</v>
      </c>
    </row>
    <row r="6327" spans="1:15" x14ac:dyDescent="0.25">
      <c r="A6327" t="s">
        <v>6367</v>
      </c>
      <c r="B6327" s="1">
        <v>45558</v>
      </c>
      <c r="C6327" t="s">
        <v>17</v>
      </c>
      <c r="D6327" t="s">
        <v>18</v>
      </c>
      <c r="E6327" t="s">
        <v>13</v>
      </c>
      <c r="F6327" t="s">
        <v>19</v>
      </c>
      <c r="G6327" t="s">
        <v>23</v>
      </c>
      <c r="K6327" cm="1">
        <f t="array" ref="K6327">_xlfn.SWITCH(LeadsData[[#This Row],[Funnel Stage Reached]],"Lead",1,"MQL",2,"SQL",3,"Customer",4)</f>
        <v>2</v>
      </c>
      <c r="L6327" t="str">
        <f>TEXT(LeadsData[[#This Row],[Signup Date]],"mmm-yyyy")</f>
        <v>Sep-2024</v>
      </c>
      <c r="M6327">
        <f>IF(LeadsData[[#This Row],[Stage Number]]&gt;=2,1,0)</f>
        <v>1</v>
      </c>
      <c r="N6327" s="2">
        <f>IF(LeadsData[[#This Row],[Stage Number]]&gt;=3,1,0)</f>
        <v>0</v>
      </c>
      <c r="O6327" s="2">
        <f>IF(LeadsData[[#This Row],[Stage Number]]&gt;=4,1,0)</f>
        <v>0</v>
      </c>
    </row>
    <row r="6328" spans="1:15" x14ac:dyDescent="0.25">
      <c r="A6328" t="s">
        <v>6368</v>
      </c>
      <c r="B6328" s="1">
        <v>45323</v>
      </c>
      <c r="C6328" t="s">
        <v>36</v>
      </c>
      <c r="D6328" t="s">
        <v>37</v>
      </c>
      <c r="E6328" t="s">
        <v>13</v>
      </c>
      <c r="F6328" t="s">
        <v>19</v>
      </c>
      <c r="G6328" t="s">
        <v>15</v>
      </c>
      <c r="K6328" cm="1">
        <f t="array" ref="K6328">_xlfn.SWITCH(LeadsData[[#This Row],[Funnel Stage Reached]],"Lead",1,"MQL",2,"SQL",3,"Customer",4)</f>
        <v>1</v>
      </c>
      <c r="L6328" t="str">
        <f>TEXT(LeadsData[[#This Row],[Signup Date]],"mmm-yyyy")</f>
        <v>Feb-2024</v>
      </c>
      <c r="M6328">
        <f>IF(LeadsData[[#This Row],[Stage Number]]&gt;=2,1,0)</f>
        <v>0</v>
      </c>
      <c r="N6328" s="2">
        <f>IF(LeadsData[[#This Row],[Stage Number]]&gt;=3,1,0)</f>
        <v>0</v>
      </c>
      <c r="O6328" s="2">
        <f>IF(LeadsData[[#This Row],[Stage Number]]&gt;=4,1,0)</f>
        <v>0</v>
      </c>
    </row>
    <row r="6329" spans="1:15" x14ac:dyDescent="0.25">
      <c r="A6329" t="s">
        <v>6369</v>
      </c>
      <c r="B6329" s="1">
        <v>45384</v>
      </c>
      <c r="C6329" t="s">
        <v>25</v>
      </c>
      <c r="D6329" t="s">
        <v>26</v>
      </c>
      <c r="E6329" t="s">
        <v>21</v>
      </c>
      <c r="F6329" t="s">
        <v>19</v>
      </c>
      <c r="G6329" t="s">
        <v>23</v>
      </c>
      <c r="K6329" cm="1">
        <f t="array" ref="K6329">_xlfn.SWITCH(LeadsData[[#This Row],[Funnel Stage Reached]],"Lead",1,"MQL",2,"SQL",3,"Customer",4)</f>
        <v>2</v>
      </c>
      <c r="L6329" t="str">
        <f>TEXT(LeadsData[[#This Row],[Signup Date]],"mmm-yyyy")</f>
        <v>Apr-2024</v>
      </c>
      <c r="M6329">
        <f>IF(LeadsData[[#This Row],[Stage Number]]&gt;=2,1,0)</f>
        <v>1</v>
      </c>
      <c r="N6329" s="2">
        <f>IF(LeadsData[[#This Row],[Stage Number]]&gt;=3,1,0)</f>
        <v>0</v>
      </c>
      <c r="O6329" s="2">
        <f>IF(LeadsData[[#This Row],[Stage Number]]&gt;=4,1,0)</f>
        <v>0</v>
      </c>
    </row>
    <row r="6330" spans="1:15" x14ac:dyDescent="0.25">
      <c r="A6330" t="s">
        <v>6370</v>
      </c>
      <c r="B6330" s="1">
        <v>45456</v>
      </c>
      <c r="C6330" t="s">
        <v>11</v>
      </c>
      <c r="D6330" t="s">
        <v>79</v>
      </c>
      <c r="E6330" t="s">
        <v>48</v>
      </c>
      <c r="F6330" t="s">
        <v>19</v>
      </c>
      <c r="G6330" t="s">
        <v>15</v>
      </c>
      <c r="K6330" cm="1">
        <f t="array" ref="K6330">_xlfn.SWITCH(LeadsData[[#This Row],[Funnel Stage Reached]],"Lead",1,"MQL",2,"SQL",3,"Customer",4)</f>
        <v>1</v>
      </c>
      <c r="L6330" t="str">
        <f>TEXT(LeadsData[[#This Row],[Signup Date]],"mmm-yyyy")</f>
        <v>Jun-2024</v>
      </c>
      <c r="M6330">
        <f>IF(LeadsData[[#This Row],[Stage Number]]&gt;=2,1,0)</f>
        <v>0</v>
      </c>
      <c r="N6330" s="2">
        <f>IF(LeadsData[[#This Row],[Stage Number]]&gt;=3,1,0)</f>
        <v>0</v>
      </c>
      <c r="O6330" s="2">
        <f>IF(LeadsData[[#This Row],[Stage Number]]&gt;=4,1,0)</f>
        <v>0</v>
      </c>
    </row>
    <row r="6331" spans="1:15" x14ac:dyDescent="0.25">
      <c r="A6331" t="s">
        <v>6371</v>
      </c>
      <c r="B6331" s="1">
        <v>45605</v>
      </c>
      <c r="C6331" t="s">
        <v>36</v>
      </c>
      <c r="D6331" t="s">
        <v>50</v>
      </c>
      <c r="E6331" t="s">
        <v>21</v>
      </c>
      <c r="F6331" t="s">
        <v>22</v>
      </c>
      <c r="G6331" t="s">
        <v>23</v>
      </c>
      <c r="K6331" cm="1">
        <f t="array" ref="K6331">_xlfn.SWITCH(LeadsData[[#This Row],[Funnel Stage Reached]],"Lead",1,"MQL",2,"SQL",3,"Customer",4)</f>
        <v>2</v>
      </c>
      <c r="L6331" t="str">
        <f>TEXT(LeadsData[[#This Row],[Signup Date]],"mmm-yyyy")</f>
        <v>Nov-2024</v>
      </c>
      <c r="M6331">
        <f>IF(LeadsData[[#This Row],[Stage Number]]&gt;=2,1,0)</f>
        <v>1</v>
      </c>
      <c r="N6331" s="2">
        <f>IF(LeadsData[[#This Row],[Stage Number]]&gt;=3,1,0)</f>
        <v>0</v>
      </c>
      <c r="O6331" s="2">
        <f>IF(LeadsData[[#This Row],[Stage Number]]&gt;=4,1,0)</f>
        <v>0</v>
      </c>
    </row>
    <row r="6332" spans="1:15" x14ac:dyDescent="0.25">
      <c r="A6332" t="s">
        <v>6372</v>
      </c>
      <c r="B6332" s="1">
        <v>45570</v>
      </c>
      <c r="C6332" t="s">
        <v>11</v>
      </c>
      <c r="D6332" t="s">
        <v>12</v>
      </c>
      <c r="E6332" t="s">
        <v>13</v>
      </c>
      <c r="F6332" t="s">
        <v>28</v>
      </c>
      <c r="G6332" t="s">
        <v>15</v>
      </c>
      <c r="K6332" cm="1">
        <f t="array" ref="K6332">_xlfn.SWITCH(LeadsData[[#This Row],[Funnel Stage Reached]],"Lead",1,"MQL",2,"SQL",3,"Customer",4)</f>
        <v>1</v>
      </c>
      <c r="L6332" t="str">
        <f>TEXT(LeadsData[[#This Row],[Signup Date]],"mmm-yyyy")</f>
        <v>Oct-2024</v>
      </c>
      <c r="M6332">
        <f>IF(LeadsData[[#This Row],[Stage Number]]&gt;=2,1,0)</f>
        <v>0</v>
      </c>
      <c r="N6332" s="2">
        <f>IF(LeadsData[[#This Row],[Stage Number]]&gt;=3,1,0)</f>
        <v>0</v>
      </c>
      <c r="O6332" s="2">
        <f>IF(LeadsData[[#This Row],[Stage Number]]&gt;=4,1,0)</f>
        <v>0</v>
      </c>
    </row>
    <row r="6333" spans="1:15" x14ac:dyDescent="0.25">
      <c r="A6333" t="s">
        <v>6373</v>
      </c>
      <c r="B6333" s="1">
        <v>45569</v>
      </c>
      <c r="C6333" t="s">
        <v>36</v>
      </c>
      <c r="D6333" t="s">
        <v>50</v>
      </c>
      <c r="E6333" t="s">
        <v>21</v>
      </c>
      <c r="F6333" t="s">
        <v>19</v>
      </c>
      <c r="G6333" t="s">
        <v>15</v>
      </c>
      <c r="K6333" cm="1">
        <f t="array" ref="K6333">_xlfn.SWITCH(LeadsData[[#This Row],[Funnel Stage Reached]],"Lead",1,"MQL",2,"SQL",3,"Customer",4)</f>
        <v>1</v>
      </c>
      <c r="L6333" t="str">
        <f>TEXT(LeadsData[[#This Row],[Signup Date]],"mmm-yyyy")</f>
        <v>Oct-2024</v>
      </c>
      <c r="M6333">
        <f>IF(LeadsData[[#This Row],[Stage Number]]&gt;=2,1,0)</f>
        <v>0</v>
      </c>
      <c r="N6333" s="2">
        <f>IF(LeadsData[[#This Row],[Stage Number]]&gt;=3,1,0)</f>
        <v>0</v>
      </c>
      <c r="O6333" s="2">
        <f>IF(LeadsData[[#This Row],[Stage Number]]&gt;=4,1,0)</f>
        <v>0</v>
      </c>
    </row>
    <row r="6334" spans="1:15" x14ac:dyDescent="0.25">
      <c r="A6334" t="s">
        <v>6374</v>
      </c>
      <c r="B6334" s="1">
        <v>45359</v>
      </c>
      <c r="C6334" t="s">
        <v>11</v>
      </c>
      <c r="D6334" t="s">
        <v>12</v>
      </c>
      <c r="E6334" t="s">
        <v>13</v>
      </c>
      <c r="F6334" t="s">
        <v>19</v>
      </c>
      <c r="G6334" t="s">
        <v>23</v>
      </c>
      <c r="K6334" cm="1">
        <f t="array" ref="K6334">_xlfn.SWITCH(LeadsData[[#This Row],[Funnel Stage Reached]],"Lead",1,"MQL",2,"SQL",3,"Customer",4)</f>
        <v>2</v>
      </c>
      <c r="L6334" t="str">
        <f>TEXT(LeadsData[[#This Row],[Signup Date]],"mmm-yyyy")</f>
        <v>Mar-2024</v>
      </c>
      <c r="M6334">
        <f>IF(LeadsData[[#This Row],[Stage Number]]&gt;=2,1,0)</f>
        <v>1</v>
      </c>
      <c r="N6334" s="2">
        <f>IF(LeadsData[[#This Row],[Stage Number]]&gt;=3,1,0)</f>
        <v>0</v>
      </c>
      <c r="O6334" s="2">
        <f>IF(LeadsData[[#This Row],[Stage Number]]&gt;=4,1,0)</f>
        <v>0</v>
      </c>
    </row>
    <row r="6335" spans="1:15" x14ac:dyDescent="0.25">
      <c r="A6335" t="s">
        <v>6375</v>
      </c>
      <c r="B6335" s="1">
        <v>45615</v>
      </c>
      <c r="C6335" t="s">
        <v>36</v>
      </c>
      <c r="D6335" t="s">
        <v>37</v>
      </c>
      <c r="E6335" t="s">
        <v>21</v>
      </c>
      <c r="F6335" t="s">
        <v>19</v>
      </c>
      <c r="G6335" t="s">
        <v>29</v>
      </c>
      <c r="K6335" cm="1">
        <f t="array" ref="K6335">_xlfn.SWITCH(LeadsData[[#This Row],[Funnel Stage Reached]],"Lead",1,"MQL",2,"SQL",3,"Customer",4)</f>
        <v>3</v>
      </c>
      <c r="L6335" t="str">
        <f>TEXT(LeadsData[[#This Row],[Signup Date]],"mmm-yyyy")</f>
        <v>Nov-2024</v>
      </c>
      <c r="M6335">
        <f>IF(LeadsData[[#This Row],[Stage Number]]&gt;=2,1,0)</f>
        <v>1</v>
      </c>
      <c r="N6335" s="2">
        <f>IF(LeadsData[[#This Row],[Stage Number]]&gt;=3,1,0)</f>
        <v>1</v>
      </c>
      <c r="O6335" s="2">
        <f>IF(LeadsData[[#This Row],[Stage Number]]&gt;=4,1,0)</f>
        <v>0</v>
      </c>
    </row>
    <row r="6336" spans="1:15" x14ac:dyDescent="0.25">
      <c r="A6336" t="s">
        <v>6376</v>
      </c>
      <c r="B6336" s="1">
        <v>45354</v>
      </c>
      <c r="C6336" t="s">
        <v>46</v>
      </c>
      <c r="D6336" t="s">
        <v>47</v>
      </c>
      <c r="E6336" t="s">
        <v>13</v>
      </c>
      <c r="F6336" t="s">
        <v>22</v>
      </c>
      <c r="G6336" t="s">
        <v>15</v>
      </c>
      <c r="K6336" cm="1">
        <f t="array" ref="K6336">_xlfn.SWITCH(LeadsData[[#This Row],[Funnel Stage Reached]],"Lead",1,"MQL",2,"SQL",3,"Customer",4)</f>
        <v>1</v>
      </c>
      <c r="L6336" t="str">
        <f>TEXT(LeadsData[[#This Row],[Signup Date]],"mmm-yyyy")</f>
        <v>Mar-2024</v>
      </c>
      <c r="M6336">
        <f>IF(LeadsData[[#This Row],[Stage Number]]&gt;=2,1,0)</f>
        <v>0</v>
      </c>
      <c r="N6336" s="2">
        <f>IF(LeadsData[[#This Row],[Stage Number]]&gt;=3,1,0)</f>
        <v>0</v>
      </c>
      <c r="O6336" s="2">
        <f>IF(LeadsData[[#This Row],[Stage Number]]&gt;=4,1,0)</f>
        <v>0</v>
      </c>
    </row>
    <row r="6337" spans="1:15" x14ac:dyDescent="0.25">
      <c r="A6337" t="s">
        <v>6377</v>
      </c>
      <c r="B6337" s="1">
        <v>45450</v>
      </c>
      <c r="C6337" t="s">
        <v>17</v>
      </c>
      <c r="D6337" t="s">
        <v>18</v>
      </c>
      <c r="E6337" t="s">
        <v>13</v>
      </c>
      <c r="F6337" t="s">
        <v>14</v>
      </c>
      <c r="G6337" t="s">
        <v>23</v>
      </c>
      <c r="K6337" cm="1">
        <f t="array" ref="K6337">_xlfn.SWITCH(LeadsData[[#This Row],[Funnel Stage Reached]],"Lead",1,"MQL",2,"SQL",3,"Customer",4)</f>
        <v>2</v>
      </c>
      <c r="L6337" t="str">
        <f>TEXT(LeadsData[[#This Row],[Signup Date]],"mmm-yyyy")</f>
        <v>Jun-2024</v>
      </c>
      <c r="M6337">
        <f>IF(LeadsData[[#This Row],[Stage Number]]&gt;=2,1,0)</f>
        <v>1</v>
      </c>
      <c r="N6337" s="2">
        <f>IF(LeadsData[[#This Row],[Stage Number]]&gt;=3,1,0)</f>
        <v>0</v>
      </c>
      <c r="O6337" s="2">
        <f>IF(LeadsData[[#This Row],[Stage Number]]&gt;=4,1,0)</f>
        <v>0</v>
      </c>
    </row>
    <row r="6338" spans="1:15" x14ac:dyDescent="0.25">
      <c r="A6338" t="s">
        <v>6378</v>
      </c>
      <c r="B6338" s="1">
        <v>45543</v>
      </c>
      <c r="C6338" t="s">
        <v>36</v>
      </c>
      <c r="D6338" t="s">
        <v>37</v>
      </c>
      <c r="E6338" t="s">
        <v>48</v>
      </c>
      <c r="F6338" t="s">
        <v>22</v>
      </c>
      <c r="G6338" t="s">
        <v>42</v>
      </c>
      <c r="H6338">
        <v>28</v>
      </c>
      <c r="I6338" t="s">
        <v>87</v>
      </c>
      <c r="J6338">
        <v>4807.84</v>
      </c>
      <c r="K6338" cm="1">
        <f t="array" ref="K6338">_xlfn.SWITCH(LeadsData[[#This Row],[Funnel Stage Reached]],"Lead",1,"MQL",2,"SQL",3,"Customer",4)</f>
        <v>4</v>
      </c>
      <c r="L6338" t="str">
        <f>TEXT(LeadsData[[#This Row],[Signup Date]],"mmm-yyyy")</f>
        <v>Sep-2024</v>
      </c>
      <c r="M6338">
        <f>IF(LeadsData[[#This Row],[Stage Number]]&gt;=2,1,0)</f>
        <v>1</v>
      </c>
      <c r="N6338" s="2">
        <f>IF(LeadsData[[#This Row],[Stage Number]]&gt;=3,1,0)</f>
        <v>1</v>
      </c>
      <c r="O6338" s="2">
        <f>IF(LeadsData[[#This Row],[Stage Number]]&gt;=4,1,0)</f>
        <v>1</v>
      </c>
    </row>
    <row r="6339" spans="1:15" x14ac:dyDescent="0.25">
      <c r="A6339" t="s">
        <v>6379</v>
      </c>
      <c r="B6339" s="1">
        <v>45510</v>
      </c>
      <c r="C6339" t="s">
        <v>31</v>
      </c>
      <c r="D6339" t="s">
        <v>32</v>
      </c>
      <c r="E6339" t="s">
        <v>13</v>
      </c>
      <c r="F6339" t="s">
        <v>19</v>
      </c>
      <c r="G6339" t="s">
        <v>15</v>
      </c>
      <c r="K6339" cm="1">
        <f t="array" ref="K6339">_xlfn.SWITCH(LeadsData[[#This Row],[Funnel Stage Reached]],"Lead",1,"MQL",2,"SQL",3,"Customer",4)</f>
        <v>1</v>
      </c>
      <c r="L6339" t="str">
        <f>TEXT(LeadsData[[#This Row],[Signup Date]],"mmm-yyyy")</f>
        <v>Aug-2024</v>
      </c>
      <c r="M6339">
        <f>IF(LeadsData[[#This Row],[Stage Number]]&gt;=2,1,0)</f>
        <v>0</v>
      </c>
      <c r="N6339" s="2">
        <f>IF(LeadsData[[#This Row],[Stage Number]]&gt;=3,1,0)</f>
        <v>0</v>
      </c>
      <c r="O6339" s="2">
        <f>IF(LeadsData[[#This Row],[Stage Number]]&gt;=4,1,0)</f>
        <v>0</v>
      </c>
    </row>
    <row r="6340" spans="1:15" x14ac:dyDescent="0.25">
      <c r="A6340" t="s">
        <v>6380</v>
      </c>
      <c r="B6340" s="1">
        <v>45423</v>
      </c>
      <c r="C6340" t="s">
        <v>31</v>
      </c>
      <c r="D6340" t="s">
        <v>34</v>
      </c>
      <c r="E6340" t="s">
        <v>21</v>
      </c>
      <c r="F6340" t="s">
        <v>22</v>
      </c>
      <c r="G6340" t="s">
        <v>42</v>
      </c>
      <c r="H6340">
        <v>23</v>
      </c>
      <c r="I6340" t="s">
        <v>183</v>
      </c>
      <c r="J6340">
        <v>16723.93</v>
      </c>
      <c r="K6340" cm="1">
        <f t="array" ref="K6340">_xlfn.SWITCH(LeadsData[[#This Row],[Funnel Stage Reached]],"Lead",1,"MQL",2,"SQL",3,"Customer",4)</f>
        <v>4</v>
      </c>
      <c r="L6340" t="str">
        <f>TEXT(LeadsData[[#This Row],[Signup Date]],"mmm-yyyy")</f>
        <v>May-2024</v>
      </c>
      <c r="M6340">
        <f>IF(LeadsData[[#This Row],[Stage Number]]&gt;=2,1,0)</f>
        <v>1</v>
      </c>
      <c r="N6340" s="2">
        <f>IF(LeadsData[[#This Row],[Stage Number]]&gt;=3,1,0)</f>
        <v>1</v>
      </c>
      <c r="O6340" s="2">
        <f>IF(LeadsData[[#This Row],[Stage Number]]&gt;=4,1,0)</f>
        <v>1</v>
      </c>
    </row>
    <row r="6341" spans="1:15" x14ac:dyDescent="0.25">
      <c r="A6341" t="s">
        <v>6381</v>
      </c>
      <c r="B6341" s="1">
        <v>45548</v>
      </c>
      <c r="C6341" t="s">
        <v>46</v>
      </c>
      <c r="D6341" t="s">
        <v>47</v>
      </c>
      <c r="E6341" t="s">
        <v>13</v>
      </c>
      <c r="F6341" t="s">
        <v>19</v>
      </c>
      <c r="G6341" t="s">
        <v>23</v>
      </c>
      <c r="K6341" cm="1">
        <f t="array" ref="K6341">_xlfn.SWITCH(LeadsData[[#This Row],[Funnel Stage Reached]],"Lead",1,"MQL",2,"SQL",3,"Customer",4)</f>
        <v>2</v>
      </c>
      <c r="L6341" t="str">
        <f>TEXT(LeadsData[[#This Row],[Signup Date]],"mmm-yyyy")</f>
        <v>Sep-2024</v>
      </c>
      <c r="M6341">
        <f>IF(LeadsData[[#This Row],[Stage Number]]&gt;=2,1,0)</f>
        <v>1</v>
      </c>
      <c r="N6341" s="2">
        <f>IF(LeadsData[[#This Row],[Stage Number]]&gt;=3,1,0)</f>
        <v>0</v>
      </c>
      <c r="O6341" s="2">
        <f>IF(LeadsData[[#This Row],[Stage Number]]&gt;=4,1,0)</f>
        <v>0</v>
      </c>
    </row>
    <row r="6342" spans="1:15" x14ac:dyDescent="0.25">
      <c r="A6342" t="s">
        <v>6382</v>
      </c>
      <c r="B6342" s="1">
        <v>45589</v>
      </c>
      <c r="C6342" t="s">
        <v>17</v>
      </c>
      <c r="D6342" t="s">
        <v>18</v>
      </c>
      <c r="E6342" t="s">
        <v>21</v>
      </c>
      <c r="F6342" t="s">
        <v>22</v>
      </c>
      <c r="G6342" t="s">
        <v>15</v>
      </c>
      <c r="K6342" cm="1">
        <f t="array" ref="K6342">_xlfn.SWITCH(LeadsData[[#This Row],[Funnel Stage Reached]],"Lead",1,"MQL",2,"SQL",3,"Customer",4)</f>
        <v>1</v>
      </c>
      <c r="L6342" t="str">
        <f>TEXT(LeadsData[[#This Row],[Signup Date]],"mmm-yyyy")</f>
        <v>Oct-2024</v>
      </c>
      <c r="M6342">
        <f>IF(LeadsData[[#This Row],[Stage Number]]&gt;=2,1,0)</f>
        <v>0</v>
      </c>
      <c r="N6342" s="2">
        <f>IF(LeadsData[[#This Row],[Stage Number]]&gt;=3,1,0)</f>
        <v>0</v>
      </c>
      <c r="O6342" s="2">
        <f>IF(LeadsData[[#This Row],[Stage Number]]&gt;=4,1,0)</f>
        <v>0</v>
      </c>
    </row>
    <row r="6343" spans="1:15" x14ac:dyDescent="0.25">
      <c r="A6343" t="s">
        <v>6383</v>
      </c>
      <c r="B6343" s="1">
        <v>45563</v>
      </c>
      <c r="C6343" t="s">
        <v>17</v>
      </c>
      <c r="D6343" t="s">
        <v>53</v>
      </c>
      <c r="E6343" t="s">
        <v>21</v>
      </c>
      <c r="F6343" t="s">
        <v>19</v>
      </c>
      <c r="G6343" t="s">
        <v>15</v>
      </c>
      <c r="K6343" cm="1">
        <f t="array" ref="K6343">_xlfn.SWITCH(LeadsData[[#This Row],[Funnel Stage Reached]],"Lead",1,"MQL",2,"SQL",3,"Customer",4)</f>
        <v>1</v>
      </c>
      <c r="L6343" t="str">
        <f>TEXT(LeadsData[[#This Row],[Signup Date]],"mmm-yyyy")</f>
        <v>Sep-2024</v>
      </c>
      <c r="M6343">
        <f>IF(LeadsData[[#This Row],[Stage Number]]&gt;=2,1,0)</f>
        <v>0</v>
      </c>
      <c r="N6343" s="2">
        <f>IF(LeadsData[[#This Row],[Stage Number]]&gt;=3,1,0)</f>
        <v>0</v>
      </c>
      <c r="O6343" s="2">
        <f>IF(LeadsData[[#This Row],[Stage Number]]&gt;=4,1,0)</f>
        <v>0</v>
      </c>
    </row>
    <row r="6344" spans="1:15" x14ac:dyDescent="0.25">
      <c r="A6344" t="s">
        <v>6384</v>
      </c>
      <c r="B6344" s="1">
        <v>45456</v>
      </c>
      <c r="C6344" t="s">
        <v>36</v>
      </c>
      <c r="D6344" t="s">
        <v>37</v>
      </c>
      <c r="E6344" t="s">
        <v>13</v>
      </c>
      <c r="F6344" t="s">
        <v>19</v>
      </c>
      <c r="G6344" t="s">
        <v>15</v>
      </c>
      <c r="K6344" cm="1">
        <f t="array" ref="K6344">_xlfn.SWITCH(LeadsData[[#This Row],[Funnel Stage Reached]],"Lead",1,"MQL",2,"SQL",3,"Customer",4)</f>
        <v>1</v>
      </c>
      <c r="L6344" t="str">
        <f>TEXT(LeadsData[[#This Row],[Signup Date]],"mmm-yyyy")</f>
        <v>Jun-2024</v>
      </c>
      <c r="M6344">
        <f>IF(LeadsData[[#This Row],[Stage Number]]&gt;=2,1,0)</f>
        <v>0</v>
      </c>
      <c r="N6344" s="2">
        <f>IF(LeadsData[[#This Row],[Stage Number]]&gt;=3,1,0)</f>
        <v>0</v>
      </c>
      <c r="O6344" s="2">
        <f>IF(LeadsData[[#This Row],[Stage Number]]&gt;=4,1,0)</f>
        <v>0</v>
      </c>
    </row>
    <row r="6345" spans="1:15" x14ac:dyDescent="0.25">
      <c r="A6345" t="s">
        <v>6385</v>
      </c>
      <c r="B6345" s="1">
        <v>45598</v>
      </c>
      <c r="C6345" t="s">
        <v>11</v>
      </c>
      <c r="D6345" t="s">
        <v>12</v>
      </c>
      <c r="E6345" t="s">
        <v>13</v>
      </c>
      <c r="F6345" t="s">
        <v>14</v>
      </c>
      <c r="G6345" t="s">
        <v>15</v>
      </c>
      <c r="K6345" cm="1">
        <f t="array" ref="K6345">_xlfn.SWITCH(LeadsData[[#This Row],[Funnel Stage Reached]],"Lead",1,"MQL",2,"SQL",3,"Customer",4)</f>
        <v>1</v>
      </c>
      <c r="L6345" t="str">
        <f>TEXT(LeadsData[[#This Row],[Signup Date]],"mmm-yyyy")</f>
        <v>Nov-2024</v>
      </c>
      <c r="M6345">
        <f>IF(LeadsData[[#This Row],[Stage Number]]&gt;=2,1,0)</f>
        <v>0</v>
      </c>
      <c r="N6345" s="2">
        <f>IF(LeadsData[[#This Row],[Stage Number]]&gt;=3,1,0)</f>
        <v>0</v>
      </c>
      <c r="O6345" s="2">
        <f>IF(LeadsData[[#This Row],[Stage Number]]&gt;=4,1,0)</f>
        <v>0</v>
      </c>
    </row>
    <row r="6346" spans="1:15" x14ac:dyDescent="0.25">
      <c r="A6346" t="s">
        <v>6386</v>
      </c>
      <c r="B6346" s="1">
        <v>45348</v>
      </c>
      <c r="C6346" t="s">
        <v>46</v>
      </c>
      <c r="D6346" t="s">
        <v>47</v>
      </c>
      <c r="E6346" t="s">
        <v>21</v>
      </c>
      <c r="F6346" t="s">
        <v>14</v>
      </c>
      <c r="G6346" t="s">
        <v>15</v>
      </c>
      <c r="K6346" cm="1">
        <f t="array" ref="K6346">_xlfn.SWITCH(LeadsData[[#This Row],[Funnel Stage Reached]],"Lead",1,"MQL",2,"SQL",3,"Customer",4)</f>
        <v>1</v>
      </c>
      <c r="L6346" t="str">
        <f>TEXT(LeadsData[[#This Row],[Signup Date]],"mmm-yyyy")</f>
        <v>Feb-2024</v>
      </c>
      <c r="M6346">
        <f>IF(LeadsData[[#This Row],[Stage Number]]&gt;=2,1,0)</f>
        <v>0</v>
      </c>
      <c r="N6346" s="2">
        <f>IF(LeadsData[[#This Row],[Stage Number]]&gt;=3,1,0)</f>
        <v>0</v>
      </c>
      <c r="O6346" s="2">
        <f>IF(LeadsData[[#This Row],[Stage Number]]&gt;=4,1,0)</f>
        <v>0</v>
      </c>
    </row>
    <row r="6347" spans="1:15" x14ac:dyDescent="0.25">
      <c r="A6347" t="s">
        <v>6387</v>
      </c>
      <c r="B6347" s="1">
        <v>45434</v>
      </c>
      <c r="C6347" t="s">
        <v>36</v>
      </c>
      <c r="D6347" t="s">
        <v>50</v>
      </c>
      <c r="E6347" t="s">
        <v>21</v>
      </c>
      <c r="F6347" t="s">
        <v>19</v>
      </c>
      <c r="G6347" t="s">
        <v>42</v>
      </c>
      <c r="H6347">
        <v>57</v>
      </c>
      <c r="I6347" t="s">
        <v>43</v>
      </c>
      <c r="J6347">
        <v>559.99</v>
      </c>
      <c r="K6347" cm="1">
        <f t="array" ref="K6347">_xlfn.SWITCH(LeadsData[[#This Row],[Funnel Stage Reached]],"Lead",1,"MQL",2,"SQL",3,"Customer",4)</f>
        <v>4</v>
      </c>
      <c r="L6347" t="str">
        <f>TEXT(LeadsData[[#This Row],[Signup Date]],"mmm-yyyy")</f>
        <v>May-2024</v>
      </c>
      <c r="M6347">
        <f>IF(LeadsData[[#This Row],[Stage Number]]&gt;=2,1,0)</f>
        <v>1</v>
      </c>
      <c r="N6347" s="2">
        <f>IF(LeadsData[[#This Row],[Stage Number]]&gt;=3,1,0)</f>
        <v>1</v>
      </c>
      <c r="O6347" s="2">
        <f>IF(LeadsData[[#This Row],[Stage Number]]&gt;=4,1,0)</f>
        <v>1</v>
      </c>
    </row>
    <row r="6348" spans="1:15" x14ac:dyDescent="0.25">
      <c r="A6348" t="s">
        <v>6388</v>
      </c>
      <c r="B6348" s="1">
        <v>45590</v>
      </c>
      <c r="C6348" t="s">
        <v>31</v>
      </c>
      <c r="D6348" t="s">
        <v>32</v>
      </c>
      <c r="E6348" t="s">
        <v>21</v>
      </c>
      <c r="F6348" t="s">
        <v>19</v>
      </c>
      <c r="G6348" t="s">
        <v>29</v>
      </c>
      <c r="K6348" cm="1">
        <f t="array" ref="K6348">_xlfn.SWITCH(LeadsData[[#This Row],[Funnel Stage Reached]],"Lead",1,"MQL",2,"SQL",3,"Customer",4)</f>
        <v>3</v>
      </c>
      <c r="L6348" t="str">
        <f>TEXT(LeadsData[[#This Row],[Signup Date]],"mmm-yyyy")</f>
        <v>Oct-2024</v>
      </c>
      <c r="M6348">
        <f>IF(LeadsData[[#This Row],[Stage Number]]&gt;=2,1,0)</f>
        <v>1</v>
      </c>
      <c r="N6348" s="2">
        <f>IF(LeadsData[[#This Row],[Stage Number]]&gt;=3,1,0)</f>
        <v>1</v>
      </c>
      <c r="O6348" s="2">
        <f>IF(LeadsData[[#This Row],[Stage Number]]&gt;=4,1,0)</f>
        <v>0</v>
      </c>
    </row>
    <row r="6349" spans="1:15" x14ac:dyDescent="0.25">
      <c r="A6349" t="s">
        <v>6389</v>
      </c>
      <c r="B6349" s="1">
        <v>45385</v>
      </c>
      <c r="C6349" t="s">
        <v>31</v>
      </c>
      <c r="D6349" t="s">
        <v>34</v>
      </c>
      <c r="E6349" t="s">
        <v>48</v>
      </c>
      <c r="F6349" t="s">
        <v>19</v>
      </c>
      <c r="G6349" t="s">
        <v>29</v>
      </c>
      <c r="K6349" cm="1">
        <f t="array" ref="K6349">_xlfn.SWITCH(LeadsData[[#This Row],[Funnel Stage Reached]],"Lead",1,"MQL",2,"SQL",3,"Customer",4)</f>
        <v>3</v>
      </c>
      <c r="L6349" t="str">
        <f>TEXT(LeadsData[[#This Row],[Signup Date]],"mmm-yyyy")</f>
        <v>Apr-2024</v>
      </c>
      <c r="M6349">
        <f>IF(LeadsData[[#This Row],[Stage Number]]&gt;=2,1,0)</f>
        <v>1</v>
      </c>
      <c r="N6349" s="2">
        <f>IF(LeadsData[[#This Row],[Stage Number]]&gt;=3,1,0)</f>
        <v>1</v>
      </c>
      <c r="O6349" s="2">
        <f>IF(LeadsData[[#This Row],[Stage Number]]&gt;=4,1,0)</f>
        <v>0</v>
      </c>
    </row>
    <row r="6350" spans="1:15" x14ac:dyDescent="0.25">
      <c r="A6350" t="s">
        <v>6390</v>
      </c>
      <c r="B6350" s="1">
        <v>45597</v>
      </c>
      <c r="C6350" t="s">
        <v>36</v>
      </c>
      <c r="D6350" t="s">
        <v>37</v>
      </c>
      <c r="E6350" t="s">
        <v>13</v>
      </c>
      <c r="F6350" t="s">
        <v>22</v>
      </c>
      <c r="G6350" t="s">
        <v>15</v>
      </c>
      <c r="K6350" cm="1">
        <f t="array" ref="K6350">_xlfn.SWITCH(LeadsData[[#This Row],[Funnel Stage Reached]],"Lead",1,"MQL",2,"SQL",3,"Customer",4)</f>
        <v>1</v>
      </c>
      <c r="L6350" t="str">
        <f>TEXT(LeadsData[[#This Row],[Signup Date]],"mmm-yyyy")</f>
        <v>Nov-2024</v>
      </c>
      <c r="M6350">
        <f>IF(LeadsData[[#This Row],[Stage Number]]&gt;=2,1,0)</f>
        <v>0</v>
      </c>
      <c r="N6350" s="2">
        <f>IF(LeadsData[[#This Row],[Stage Number]]&gt;=3,1,0)</f>
        <v>0</v>
      </c>
      <c r="O6350" s="2">
        <f>IF(LeadsData[[#This Row],[Stage Number]]&gt;=4,1,0)</f>
        <v>0</v>
      </c>
    </row>
    <row r="6351" spans="1:15" x14ac:dyDescent="0.25">
      <c r="A6351" t="s">
        <v>6391</v>
      </c>
      <c r="B6351" s="1">
        <v>45327</v>
      </c>
      <c r="C6351" t="s">
        <v>46</v>
      </c>
      <c r="D6351" t="s">
        <v>47</v>
      </c>
      <c r="E6351" t="s">
        <v>21</v>
      </c>
      <c r="F6351" t="s">
        <v>14</v>
      </c>
      <c r="G6351" t="s">
        <v>15</v>
      </c>
      <c r="K6351" cm="1">
        <f t="array" ref="K6351">_xlfn.SWITCH(LeadsData[[#This Row],[Funnel Stage Reached]],"Lead",1,"MQL",2,"SQL",3,"Customer",4)</f>
        <v>1</v>
      </c>
      <c r="L6351" t="str">
        <f>TEXT(LeadsData[[#This Row],[Signup Date]],"mmm-yyyy")</f>
        <v>Feb-2024</v>
      </c>
      <c r="M6351">
        <f>IF(LeadsData[[#This Row],[Stage Number]]&gt;=2,1,0)</f>
        <v>0</v>
      </c>
      <c r="N6351" s="2">
        <f>IF(LeadsData[[#This Row],[Stage Number]]&gt;=3,1,0)</f>
        <v>0</v>
      </c>
      <c r="O6351" s="2">
        <f>IF(LeadsData[[#This Row],[Stage Number]]&gt;=4,1,0)</f>
        <v>0</v>
      </c>
    </row>
    <row r="6352" spans="1:15" x14ac:dyDescent="0.25">
      <c r="A6352" t="s">
        <v>6392</v>
      </c>
      <c r="B6352" s="1">
        <v>45451</v>
      </c>
      <c r="C6352" t="s">
        <v>31</v>
      </c>
      <c r="D6352" t="s">
        <v>34</v>
      </c>
      <c r="E6352" t="s">
        <v>13</v>
      </c>
      <c r="F6352" t="s">
        <v>14</v>
      </c>
      <c r="G6352" t="s">
        <v>15</v>
      </c>
      <c r="K6352" cm="1">
        <f t="array" ref="K6352">_xlfn.SWITCH(LeadsData[[#This Row],[Funnel Stage Reached]],"Lead",1,"MQL",2,"SQL",3,"Customer",4)</f>
        <v>1</v>
      </c>
      <c r="L6352" t="str">
        <f>TEXT(LeadsData[[#This Row],[Signup Date]],"mmm-yyyy")</f>
        <v>Jun-2024</v>
      </c>
      <c r="M6352">
        <f>IF(LeadsData[[#This Row],[Stage Number]]&gt;=2,1,0)</f>
        <v>0</v>
      </c>
      <c r="N6352" s="2">
        <f>IF(LeadsData[[#This Row],[Stage Number]]&gt;=3,1,0)</f>
        <v>0</v>
      </c>
      <c r="O6352" s="2">
        <f>IF(LeadsData[[#This Row],[Stage Number]]&gt;=4,1,0)</f>
        <v>0</v>
      </c>
    </row>
    <row r="6353" spans="1:15" x14ac:dyDescent="0.25">
      <c r="A6353" t="s">
        <v>6393</v>
      </c>
      <c r="B6353" s="1">
        <v>45618</v>
      </c>
      <c r="C6353" t="s">
        <v>31</v>
      </c>
      <c r="D6353" t="s">
        <v>32</v>
      </c>
      <c r="E6353" t="s">
        <v>13</v>
      </c>
      <c r="F6353" t="s">
        <v>19</v>
      </c>
      <c r="G6353" t="s">
        <v>23</v>
      </c>
      <c r="K6353" cm="1">
        <f t="array" ref="K6353">_xlfn.SWITCH(LeadsData[[#This Row],[Funnel Stage Reached]],"Lead",1,"MQL",2,"SQL",3,"Customer",4)</f>
        <v>2</v>
      </c>
      <c r="L6353" t="str">
        <f>TEXT(LeadsData[[#This Row],[Signup Date]],"mmm-yyyy")</f>
        <v>Nov-2024</v>
      </c>
      <c r="M6353">
        <f>IF(LeadsData[[#This Row],[Stage Number]]&gt;=2,1,0)</f>
        <v>1</v>
      </c>
      <c r="N6353" s="2">
        <f>IF(LeadsData[[#This Row],[Stage Number]]&gt;=3,1,0)</f>
        <v>0</v>
      </c>
      <c r="O6353" s="2">
        <f>IF(LeadsData[[#This Row],[Stage Number]]&gt;=4,1,0)</f>
        <v>0</v>
      </c>
    </row>
    <row r="6354" spans="1:15" x14ac:dyDescent="0.25">
      <c r="A6354" t="s">
        <v>6394</v>
      </c>
      <c r="B6354" s="1">
        <v>45616</v>
      </c>
      <c r="C6354" t="s">
        <v>11</v>
      </c>
      <c r="D6354" t="s">
        <v>12</v>
      </c>
      <c r="E6354" t="s">
        <v>21</v>
      </c>
      <c r="F6354" t="s">
        <v>22</v>
      </c>
      <c r="G6354" t="s">
        <v>15</v>
      </c>
      <c r="K6354" cm="1">
        <f t="array" ref="K6354">_xlfn.SWITCH(LeadsData[[#This Row],[Funnel Stage Reached]],"Lead",1,"MQL",2,"SQL",3,"Customer",4)</f>
        <v>1</v>
      </c>
      <c r="L6354" t="str">
        <f>TEXT(LeadsData[[#This Row],[Signup Date]],"mmm-yyyy")</f>
        <v>Nov-2024</v>
      </c>
      <c r="M6354">
        <f>IF(LeadsData[[#This Row],[Stage Number]]&gt;=2,1,0)</f>
        <v>0</v>
      </c>
      <c r="N6354" s="2">
        <f>IF(LeadsData[[#This Row],[Stage Number]]&gt;=3,1,0)</f>
        <v>0</v>
      </c>
      <c r="O6354" s="2">
        <f>IF(LeadsData[[#This Row],[Stage Number]]&gt;=4,1,0)</f>
        <v>0</v>
      </c>
    </row>
    <row r="6355" spans="1:15" x14ac:dyDescent="0.25">
      <c r="A6355" t="s">
        <v>6395</v>
      </c>
      <c r="B6355" s="1">
        <v>45557</v>
      </c>
      <c r="C6355" t="s">
        <v>31</v>
      </c>
      <c r="D6355" t="s">
        <v>32</v>
      </c>
      <c r="E6355" t="s">
        <v>21</v>
      </c>
      <c r="F6355" t="s">
        <v>22</v>
      </c>
      <c r="G6355" t="s">
        <v>23</v>
      </c>
      <c r="K6355" cm="1">
        <f t="array" ref="K6355">_xlfn.SWITCH(LeadsData[[#This Row],[Funnel Stage Reached]],"Lead",1,"MQL",2,"SQL",3,"Customer",4)</f>
        <v>2</v>
      </c>
      <c r="L6355" t="str">
        <f>TEXT(LeadsData[[#This Row],[Signup Date]],"mmm-yyyy")</f>
        <v>Sep-2024</v>
      </c>
      <c r="M6355">
        <f>IF(LeadsData[[#This Row],[Stage Number]]&gt;=2,1,0)</f>
        <v>1</v>
      </c>
      <c r="N6355" s="2">
        <f>IF(LeadsData[[#This Row],[Stage Number]]&gt;=3,1,0)</f>
        <v>0</v>
      </c>
      <c r="O6355" s="2">
        <f>IF(LeadsData[[#This Row],[Stage Number]]&gt;=4,1,0)</f>
        <v>0</v>
      </c>
    </row>
    <row r="6356" spans="1:15" x14ac:dyDescent="0.25">
      <c r="A6356" t="s">
        <v>6396</v>
      </c>
      <c r="B6356" s="1">
        <v>45476</v>
      </c>
      <c r="C6356" t="s">
        <v>17</v>
      </c>
      <c r="D6356" t="s">
        <v>53</v>
      </c>
      <c r="E6356" t="s">
        <v>13</v>
      </c>
      <c r="F6356" t="s">
        <v>19</v>
      </c>
      <c r="G6356" t="s">
        <v>15</v>
      </c>
      <c r="K6356" cm="1">
        <f t="array" ref="K6356">_xlfn.SWITCH(LeadsData[[#This Row],[Funnel Stage Reached]],"Lead",1,"MQL",2,"SQL",3,"Customer",4)</f>
        <v>1</v>
      </c>
      <c r="L6356" t="str">
        <f>TEXT(LeadsData[[#This Row],[Signup Date]],"mmm-yyyy")</f>
        <v>Jul-2024</v>
      </c>
      <c r="M6356">
        <f>IF(LeadsData[[#This Row],[Stage Number]]&gt;=2,1,0)</f>
        <v>0</v>
      </c>
      <c r="N6356" s="2">
        <f>IF(LeadsData[[#This Row],[Stage Number]]&gt;=3,1,0)</f>
        <v>0</v>
      </c>
      <c r="O6356" s="2">
        <f>IF(LeadsData[[#This Row],[Stage Number]]&gt;=4,1,0)</f>
        <v>0</v>
      </c>
    </row>
    <row r="6357" spans="1:15" x14ac:dyDescent="0.25">
      <c r="A6357" t="s">
        <v>6397</v>
      </c>
      <c r="B6357" s="1">
        <v>45327</v>
      </c>
      <c r="C6357" t="s">
        <v>31</v>
      </c>
      <c r="D6357" t="s">
        <v>32</v>
      </c>
      <c r="E6357" t="s">
        <v>21</v>
      </c>
      <c r="F6357" t="s">
        <v>14</v>
      </c>
      <c r="G6357" t="s">
        <v>23</v>
      </c>
      <c r="K6357" cm="1">
        <f t="array" ref="K6357">_xlfn.SWITCH(LeadsData[[#This Row],[Funnel Stage Reached]],"Lead",1,"MQL",2,"SQL",3,"Customer",4)</f>
        <v>2</v>
      </c>
      <c r="L6357" t="str">
        <f>TEXT(LeadsData[[#This Row],[Signup Date]],"mmm-yyyy")</f>
        <v>Feb-2024</v>
      </c>
      <c r="M6357">
        <f>IF(LeadsData[[#This Row],[Stage Number]]&gt;=2,1,0)</f>
        <v>1</v>
      </c>
      <c r="N6357" s="2">
        <f>IF(LeadsData[[#This Row],[Stage Number]]&gt;=3,1,0)</f>
        <v>0</v>
      </c>
      <c r="O6357" s="2">
        <f>IF(LeadsData[[#This Row],[Stage Number]]&gt;=4,1,0)</f>
        <v>0</v>
      </c>
    </row>
    <row r="6358" spans="1:15" x14ac:dyDescent="0.25">
      <c r="A6358" t="s">
        <v>6398</v>
      </c>
      <c r="B6358" s="1">
        <v>45560</v>
      </c>
      <c r="C6358" t="s">
        <v>46</v>
      </c>
      <c r="D6358" t="s">
        <v>56</v>
      </c>
      <c r="E6358" t="s">
        <v>21</v>
      </c>
      <c r="F6358" t="s">
        <v>22</v>
      </c>
      <c r="G6358" t="s">
        <v>15</v>
      </c>
      <c r="K6358" cm="1">
        <f t="array" ref="K6358">_xlfn.SWITCH(LeadsData[[#This Row],[Funnel Stage Reached]],"Lead",1,"MQL",2,"SQL",3,"Customer",4)</f>
        <v>1</v>
      </c>
      <c r="L6358" t="str">
        <f>TEXT(LeadsData[[#This Row],[Signup Date]],"mmm-yyyy")</f>
        <v>Sep-2024</v>
      </c>
      <c r="M6358">
        <f>IF(LeadsData[[#This Row],[Stage Number]]&gt;=2,1,0)</f>
        <v>0</v>
      </c>
      <c r="N6358" s="2">
        <f>IF(LeadsData[[#This Row],[Stage Number]]&gt;=3,1,0)</f>
        <v>0</v>
      </c>
      <c r="O6358" s="2">
        <f>IF(LeadsData[[#This Row],[Stage Number]]&gt;=4,1,0)</f>
        <v>0</v>
      </c>
    </row>
    <row r="6359" spans="1:15" x14ac:dyDescent="0.25">
      <c r="A6359" t="s">
        <v>6399</v>
      </c>
      <c r="B6359" s="1">
        <v>45362</v>
      </c>
      <c r="C6359" t="s">
        <v>25</v>
      </c>
      <c r="D6359" t="s">
        <v>26</v>
      </c>
      <c r="E6359" t="s">
        <v>13</v>
      </c>
      <c r="F6359" t="s">
        <v>19</v>
      </c>
      <c r="G6359" t="s">
        <v>15</v>
      </c>
      <c r="K6359" cm="1">
        <f t="array" ref="K6359">_xlfn.SWITCH(LeadsData[[#This Row],[Funnel Stage Reached]],"Lead",1,"MQL",2,"SQL",3,"Customer",4)</f>
        <v>1</v>
      </c>
      <c r="L6359" t="str">
        <f>TEXT(LeadsData[[#This Row],[Signup Date]],"mmm-yyyy")</f>
        <v>Mar-2024</v>
      </c>
      <c r="M6359">
        <f>IF(LeadsData[[#This Row],[Stage Number]]&gt;=2,1,0)</f>
        <v>0</v>
      </c>
      <c r="N6359" s="2">
        <f>IF(LeadsData[[#This Row],[Stage Number]]&gt;=3,1,0)</f>
        <v>0</v>
      </c>
      <c r="O6359" s="2">
        <f>IF(LeadsData[[#This Row],[Stage Number]]&gt;=4,1,0)</f>
        <v>0</v>
      </c>
    </row>
    <row r="6360" spans="1:15" x14ac:dyDescent="0.25">
      <c r="A6360" t="s">
        <v>6400</v>
      </c>
      <c r="B6360" s="1">
        <v>45426</v>
      </c>
      <c r="C6360" t="s">
        <v>25</v>
      </c>
      <c r="D6360" t="s">
        <v>26</v>
      </c>
      <c r="E6360" t="s">
        <v>13</v>
      </c>
      <c r="F6360" t="s">
        <v>28</v>
      </c>
      <c r="G6360" t="s">
        <v>23</v>
      </c>
      <c r="K6360" cm="1">
        <f t="array" ref="K6360">_xlfn.SWITCH(LeadsData[[#This Row],[Funnel Stage Reached]],"Lead",1,"MQL",2,"SQL",3,"Customer",4)</f>
        <v>2</v>
      </c>
      <c r="L6360" t="str">
        <f>TEXT(LeadsData[[#This Row],[Signup Date]],"mmm-yyyy")</f>
        <v>May-2024</v>
      </c>
      <c r="M6360">
        <f>IF(LeadsData[[#This Row],[Stage Number]]&gt;=2,1,0)</f>
        <v>1</v>
      </c>
      <c r="N6360" s="2">
        <f>IF(LeadsData[[#This Row],[Stage Number]]&gt;=3,1,0)</f>
        <v>0</v>
      </c>
      <c r="O6360" s="2">
        <f>IF(LeadsData[[#This Row],[Stage Number]]&gt;=4,1,0)</f>
        <v>0</v>
      </c>
    </row>
    <row r="6361" spans="1:15" x14ac:dyDescent="0.25">
      <c r="A6361" t="s">
        <v>6401</v>
      </c>
      <c r="B6361" s="1">
        <v>45314</v>
      </c>
      <c r="C6361" t="s">
        <v>17</v>
      </c>
      <c r="D6361" t="s">
        <v>53</v>
      </c>
      <c r="E6361" t="s">
        <v>13</v>
      </c>
      <c r="F6361" t="s">
        <v>22</v>
      </c>
      <c r="G6361" t="s">
        <v>15</v>
      </c>
      <c r="K6361" cm="1">
        <f t="array" ref="K6361">_xlfn.SWITCH(LeadsData[[#This Row],[Funnel Stage Reached]],"Lead",1,"MQL",2,"SQL",3,"Customer",4)</f>
        <v>1</v>
      </c>
      <c r="L6361" t="str">
        <f>TEXT(LeadsData[[#This Row],[Signup Date]],"mmm-yyyy")</f>
        <v>Jan-2024</v>
      </c>
      <c r="M6361">
        <f>IF(LeadsData[[#This Row],[Stage Number]]&gt;=2,1,0)</f>
        <v>0</v>
      </c>
      <c r="N6361" s="2">
        <f>IF(LeadsData[[#This Row],[Stage Number]]&gt;=3,1,0)</f>
        <v>0</v>
      </c>
      <c r="O6361" s="2">
        <f>IF(LeadsData[[#This Row],[Stage Number]]&gt;=4,1,0)</f>
        <v>0</v>
      </c>
    </row>
    <row r="6362" spans="1:15" x14ac:dyDescent="0.25">
      <c r="A6362" t="s">
        <v>6402</v>
      </c>
      <c r="B6362" s="1">
        <v>45449</v>
      </c>
      <c r="C6362" t="s">
        <v>25</v>
      </c>
      <c r="D6362" t="s">
        <v>26</v>
      </c>
      <c r="E6362" t="s">
        <v>13</v>
      </c>
      <c r="F6362" t="s">
        <v>14</v>
      </c>
      <c r="G6362" t="s">
        <v>23</v>
      </c>
      <c r="K6362" cm="1">
        <f t="array" ref="K6362">_xlfn.SWITCH(LeadsData[[#This Row],[Funnel Stage Reached]],"Lead",1,"MQL",2,"SQL",3,"Customer",4)</f>
        <v>2</v>
      </c>
      <c r="L6362" t="str">
        <f>TEXT(LeadsData[[#This Row],[Signup Date]],"mmm-yyyy")</f>
        <v>Jun-2024</v>
      </c>
      <c r="M6362">
        <f>IF(LeadsData[[#This Row],[Stage Number]]&gt;=2,1,0)</f>
        <v>1</v>
      </c>
      <c r="N6362" s="2">
        <f>IF(LeadsData[[#This Row],[Stage Number]]&gt;=3,1,0)</f>
        <v>0</v>
      </c>
      <c r="O6362" s="2">
        <f>IF(LeadsData[[#This Row],[Stage Number]]&gt;=4,1,0)</f>
        <v>0</v>
      </c>
    </row>
    <row r="6363" spans="1:15" x14ac:dyDescent="0.25">
      <c r="A6363" t="s">
        <v>6403</v>
      </c>
      <c r="B6363" s="1">
        <v>45407</v>
      </c>
      <c r="C6363" t="s">
        <v>11</v>
      </c>
      <c r="D6363" t="s">
        <v>79</v>
      </c>
      <c r="E6363" t="s">
        <v>21</v>
      </c>
      <c r="F6363" t="s">
        <v>19</v>
      </c>
      <c r="G6363" t="s">
        <v>29</v>
      </c>
      <c r="K6363" cm="1">
        <f t="array" ref="K6363">_xlfn.SWITCH(LeadsData[[#This Row],[Funnel Stage Reached]],"Lead",1,"MQL",2,"SQL",3,"Customer",4)</f>
        <v>3</v>
      </c>
      <c r="L6363" t="str">
        <f>TEXT(LeadsData[[#This Row],[Signup Date]],"mmm-yyyy")</f>
        <v>Apr-2024</v>
      </c>
      <c r="M6363">
        <f>IF(LeadsData[[#This Row],[Stage Number]]&gt;=2,1,0)</f>
        <v>1</v>
      </c>
      <c r="N6363" s="2">
        <f>IF(LeadsData[[#This Row],[Stage Number]]&gt;=3,1,0)</f>
        <v>1</v>
      </c>
      <c r="O6363" s="2">
        <f>IF(LeadsData[[#This Row],[Stage Number]]&gt;=4,1,0)</f>
        <v>0</v>
      </c>
    </row>
    <row r="6364" spans="1:15" x14ac:dyDescent="0.25">
      <c r="A6364" t="s">
        <v>6404</v>
      </c>
      <c r="B6364" s="1">
        <v>45460</v>
      </c>
      <c r="C6364" t="s">
        <v>31</v>
      </c>
      <c r="D6364" t="s">
        <v>34</v>
      </c>
      <c r="E6364" t="s">
        <v>48</v>
      </c>
      <c r="F6364" t="s">
        <v>19</v>
      </c>
      <c r="G6364" t="s">
        <v>15</v>
      </c>
      <c r="K6364" cm="1">
        <f t="array" ref="K6364">_xlfn.SWITCH(LeadsData[[#This Row],[Funnel Stage Reached]],"Lead",1,"MQL",2,"SQL",3,"Customer",4)</f>
        <v>1</v>
      </c>
      <c r="L6364" t="str">
        <f>TEXT(LeadsData[[#This Row],[Signup Date]],"mmm-yyyy")</f>
        <v>Jun-2024</v>
      </c>
      <c r="M6364">
        <f>IF(LeadsData[[#This Row],[Stage Number]]&gt;=2,1,0)</f>
        <v>0</v>
      </c>
      <c r="N6364" s="2">
        <f>IF(LeadsData[[#This Row],[Stage Number]]&gt;=3,1,0)</f>
        <v>0</v>
      </c>
      <c r="O6364" s="2">
        <f>IF(LeadsData[[#This Row],[Stage Number]]&gt;=4,1,0)</f>
        <v>0</v>
      </c>
    </row>
    <row r="6365" spans="1:15" x14ac:dyDescent="0.25">
      <c r="A6365" t="s">
        <v>6405</v>
      </c>
      <c r="B6365" s="1">
        <v>45635</v>
      </c>
      <c r="C6365" t="s">
        <v>25</v>
      </c>
      <c r="D6365" t="s">
        <v>26</v>
      </c>
      <c r="E6365" t="s">
        <v>48</v>
      </c>
      <c r="F6365" t="s">
        <v>19</v>
      </c>
      <c r="G6365" t="s">
        <v>15</v>
      </c>
      <c r="K6365" cm="1">
        <f t="array" ref="K6365">_xlfn.SWITCH(LeadsData[[#This Row],[Funnel Stage Reached]],"Lead",1,"MQL",2,"SQL",3,"Customer",4)</f>
        <v>1</v>
      </c>
      <c r="L6365" t="str">
        <f>TEXT(LeadsData[[#This Row],[Signup Date]],"mmm-yyyy")</f>
        <v>Dec-2024</v>
      </c>
      <c r="M6365">
        <f>IF(LeadsData[[#This Row],[Stage Number]]&gt;=2,1,0)</f>
        <v>0</v>
      </c>
      <c r="N6365" s="2">
        <f>IF(LeadsData[[#This Row],[Stage Number]]&gt;=3,1,0)</f>
        <v>0</v>
      </c>
      <c r="O6365" s="2">
        <f>IF(LeadsData[[#This Row],[Stage Number]]&gt;=4,1,0)</f>
        <v>0</v>
      </c>
    </row>
    <row r="6366" spans="1:15" x14ac:dyDescent="0.25">
      <c r="A6366" t="s">
        <v>6406</v>
      </c>
      <c r="B6366" s="1">
        <v>45568</v>
      </c>
      <c r="C6366" t="s">
        <v>46</v>
      </c>
      <c r="D6366" t="s">
        <v>56</v>
      </c>
      <c r="E6366" t="s">
        <v>13</v>
      </c>
      <c r="F6366" t="s">
        <v>19</v>
      </c>
      <c r="G6366" t="s">
        <v>15</v>
      </c>
      <c r="K6366" cm="1">
        <f t="array" ref="K6366">_xlfn.SWITCH(LeadsData[[#This Row],[Funnel Stage Reached]],"Lead",1,"MQL",2,"SQL",3,"Customer",4)</f>
        <v>1</v>
      </c>
      <c r="L6366" t="str">
        <f>TEXT(LeadsData[[#This Row],[Signup Date]],"mmm-yyyy")</f>
        <v>Oct-2024</v>
      </c>
      <c r="M6366">
        <f>IF(LeadsData[[#This Row],[Stage Number]]&gt;=2,1,0)</f>
        <v>0</v>
      </c>
      <c r="N6366" s="2">
        <f>IF(LeadsData[[#This Row],[Stage Number]]&gt;=3,1,0)</f>
        <v>0</v>
      </c>
      <c r="O6366" s="2">
        <f>IF(LeadsData[[#This Row],[Stage Number]]&gt;=4,1,0)</f>
        <v>0</v>
      </c>
    </row>
    <row r="6367" spans="1:15" x14ac:dyDescent="0.25">
      <c r="A6367" t="s">
        <v>6407</v>
      </c>
      <c r="B6367" s="1">
        <v>45528</v>
      </c>
      <c r="C6367" t="s">
        <v>31</v>
      </c>
      <c r="D6367" t="s">
        <v>32</v>
      </c>
      <c r="E6367" t="s">
        <v>13</v>
      </c>
      <c r="F6367" t="s">
        <v>19</v>
      </c>
      <c r="G6367" t="s">
        <v>15</v>
      </c>
      <c r="K6367" cm="1">
        <f t="array" ref="K6367">_xlfn.SWITCH(LeadsData[[#This Row],[Funnel Stage Reached]],"Lead",1,"MQL",2,"SQL",3,"Customer",4)</f>
        <v>1</v>
      </c>
      <c r="L6367" t="str">
        <f>TEXT(LeadsData[[#This Row],[Signup Date]],"mmm-yyyy")</f>
        <v>Aug-2024</v>
      </c>
      <c r="M6367">
        <f>IF(LeadsData[[#This Row],[Stage Number]]&gt;=2,1,0)</f>
        <v>0</v>
      </c>
      <c r="N6367" s="2">
        <f>IF(LeadsData[[#This Row],[Stage Number]]&gt;=3,1,0)</f>
        <v>0</v>
      </c>
      <c r="O6367" s="2">
        <f>IF(LeadsData[[#This Row],[Stage Number]]&gt;=4,1,0)</f>
        <v>0</v>
      </c>
    </row>
    <row r="6368" spans="1:15" x14ac:dyDescent="0.25">
      <c r="A6368" t="s">
        <v>6408</v>
      </c>
      <c r="B6368" s="1">
        <v>45456</v>
      </c>
      <c r="C6368" t="s">
        <v>11</v>
      </c>
      <c r="D6368" t="s">
        <v>12</v>
      </c>
      <c r="E6368" t="s">
        <v>13</v>
      </c>
      <c r="F6368" t="s">
        <v>14</v>
      </c>
      <c r="G6368" t="s">
        <v>23</v>
      </c>
      <c r="K6368" cm="1">
        <f t="array" ref="K6368">_xlfn.SWITCH(LeadsData[[#This Row],[Funnel Stage Reached]],"Lead",1,"MQL",2,"SQL",3,"Customer",4)</f>
        <v>2</v>
      </c>
      <c r="L6368" t="str">
        <f>TEXT(LeadsData[[#This Row],[Signup Date]],"mmm-yyyy")</f>
        <v>Jun-2024</v>
      </c>
      <c r="M6368">
        <f>IF(LeadsData[[#This Row],[Stage Number]]&gt;=2,1,0)</f>
        <v>1</v>
      </c>
      <c r="N6368" s="2">
        <f>IF(LeadsData[[#This Row],[Stage Number]]&gt;=3,1,0)</f>
        <v>0</v>
      </c>
      <c r="O6368" s="2">
        <f>IF(LeadsData[[#This Row],[Stage Number]]&gt;=4,1,0)</f>
        <v>0</v>
      </c>
    </row>
    <row r="6369" spans="1:15" x14ac:dyDescent="0.25">
      <c r="A6369" t="s">
        <v>6409</v>
      </c>
      <c r="B6369" s="1">
        <v>45398</v>
      </c>
      <c r="C6369" t="s">
        <v>36</v>
      </c>
      <c r="D6369" t="s">
        <v>50</v>
      </c>
      <c r="E6369" t="s">
        <v>13</v>
      </c>
      <c r="F6369" t="s">
        <v>19</v>
      </c>
      <c r="G6369" t="s">
        <v>23</v>
      </c>
      <c r="K6369" cm="1">
        <f t="array" ref="K6369">_xlfn.SWITCH(LeadsData[[#This Row],[Funnel Stage Reached]],"Lead",1,"MQL",2,"SQL",3,"Customer",4)</f>
        <v>2</v>
      </c>
      <c r="L6369" t="str">
        <f>TEXT(LeadsData[[#This Row],[Signup Date]],"mmm-yyyy")</f>
        <v>Apr-2024</v>
      </c>
      <c r="M6369">
        <f>IF(LeadsData[[#This Row],[Stage Number]]&gt;=2,1,0)</f>
        <v>1</v>
      </c>
      <c r="N6369" s="2">
        <f>IF(LeadsData[[#This Row],[Stage Number]]&gt;=3,1,0)</f>
        <v>0</v>
      </c>
      <c r="O6369" s="2">
        <f>IF(LeadsData[[#This Row],[Stage Number]]&gt;=4,1,0)</f>
        <v>0</v>
      </c>
    </row>
    <row r="6370" spans="1:15" x14ac:dyDescent="0.25">
      <c r="A6370" t="s">
        <v>6410</v>
      </c>
      <c r="B6370" s="1">
        <v>45609</v>
      </c>
      <c r="C6370" t="s">
        <v>46</v>
      </c>
      <c r="D6370" t="s">
        <v>56</v>
      </c>
      <c r="E6370" t="s">
        <v>13</v>
      </c>
      <c r="F6370" t="s">
        <v>19</v>
      </c>
      <c r="G6370" t="s">
        <v>15</v>
      </c>
      <c r="K6370" cm="1">
        <f t="array" ref="K6370">_xlfn.SWITCH(LeadsData[[#This Row],[Funnel Stage Reached]],"Lead",1,"MQL",2,"SQL",3,"Customer",4)</f>
        <v>1</v>
      </c>
      <c r="L6370" t="str">
        <f>TEXT(LeadsData[[#This Row],[Signup Date]],"mmm-yyyy")</f>
        <v>Nov-2024</v>
      </c>
      <c r="M6370">
        <f>IF(LeadsData[[#This Row],[Stage Number]]&gt;=2,1,0)</f>
        <v>0</v>
      </c>
      <c r="N6370" s="2">
        <f>IF(LeadsData[[#This Row],[Stage Number]]&gt;=3,1,0)</f>
        <v>0</v>
      </c>
      <c r="O6370" s="2">
        <f>IF(LeadsData[[#This Row],[Stage Number]]&gt;=4,1,0)</f>
        <v>0</v>
      </c>
    </row>
    <row r="6371" spans="1:15" x14ac:dyDescent="0.25">
      <c r="A6371" t="s">
        <v>6411</v>
      </c>
      <c r="B6371" s="1">
        <v>45331</v>
      </c>
      <c r="C6371" t="s">
        <v>17</v>
      </c>
      <c r="D6371" t="s">
        <v>53</v>
      </c>
      <c r="E6371" t="s">
        <v>13</v>
      </c>
      <c r="F6371" t="s">
        <v>14</v>
      </c>
      <c r="G6371" t="s">
        <v>29</v>
      </c>
      <c r="K6371" cm="1">
        <f t="array" ref="K6371">_xlfn.SWITCH(LeadsData[[#This Row],[Funnel Stage Reached]],"Lead",1,"MQL",2,"SQL",3,"Customer",4)</f>
        <v>3</v>
      </c>
      <c r="L6371" t="str">
        <f>TEXT(LeadsData[[#This Row],[Signup Date]],"mmm-yyyy")</f>
        <v>Feb-2024</v>
      </c>
      <c r="M6371">
        <f>IF(LeadsData[[#This Row],[Stage Number]]&gt;=2,1,0)</f>
        <v>1</v>
      </c>
      <c r="N6371" s="2">
        <f>IF(LeadsData[[#This Row],[Stage Number]]&gt;=3,1,0)</f>
        <v>1</v>
      </c>
      <c r="O6371" s="2">
        <f>IF(LeadsData[[#This Row],[Stage Number]]&gt;=4,1,0)</f>
        <v>0</v>
      </c>
    </row>
    <row r="6372" spans="1:15" x14ac:dyDescent="0.25">
      <c r="A6372" t="s">
        <v>6412</v>
      </c>
      <c r="B6372" s="1">
        <v>45617</v>
      </c>
      <c r="C6372" t="s">
        <v>31</v>
      </c>
      <c r="D6372" t="s">
        <v>34</v>
      </c>
      <c r="E6372" t="s">
        <v>21</v>
      </c>
      <c r="F6372" t="s">
        <v>14</v>
      </c>
      <c r="G6372" t="s">
        <v>29</v>
      </c>
      <c r="K6372" cm="1">
        <f t="array" ref="K6372">_xlfn.SWITCH(LeadsData[[#This Row],[Funnel Stage Reached]],"Lead",1,"MQL",2,"SQL",3,"Customer",4)</f>
        <v>3</v>
      </c>
      <c r="L6372" t="str">
        <f>TEXT(LeadsData[[#This Row],[Signup Date]],"mmm-yyyy")</f>
        <v>Nov-2024</v>
      </c>
      <c r="M6372">
        <f>IF(LeadsData[[#This Row],[Stage Number]]&gt;=2,1,0)</f>
        <v>1</v>
      </c>
      <c r="N6372" s="2">
        <f>IF(LeadsData[[#This Row],[Stage Number]]&gt;=3,1,0)</f>
        <v>1</v>
      </c>
      <c r="O6372" s="2">
        <f>IF(LeadsData[[#This Row],[Stage Number]]&gt;=4,1,0)</f>
        <v>0</v>
      </c>
    </row>
    <row r="6373" spans="1:15" x14ac:dyDescent="0.25">
      <c r="A6373" t="s">
        <v>6413</v>
      </c>
      <c r="B6373" s="1">
        <v>45401</v>
      </c>
      <c r="C6373" t="s">
        <v>31</v>
      </c>
      <c r="D6373" t="s">
        <v>34</v>
      </c>
      <c r="E6373" t="s">
        <v>13</v>
      </c>
      <c r="F6373" t="s">
        <v>19</v>
      </c>
      <c r="G6373" t="s">
        <v>15</v>
      </c>
      <c r="K6373" cm="1">
        <f t="array" ref="K6373">_xlfn.SWITCH(LeadsData[[#This Row],[Funnel Stage Reached]],"Lead",1,"MQL",2,"SQL",3,"Customer",4)</f>
        <v>1</v>
      </c>
      <c r="L6373" t="str">
        <f>TEXT(LeadsData[[#This Row],[Signup Date]],"mmm-yyyy")</f>
        <v>Apr-2024</v>
      </c>
      <c r="M6373">
        <f>IF(LeadsData[[#This Row],[Stage Number]]&gt;=2,1,0)</f>
        <v>0</v>
      </c>
      <c r="N6373" s="2">
        <f>IF(LeadsData[[#This Row],[Stage Number]]&gt;=3,1,0)</f>
        <v>0</v>
      </c>
      <c r="O6373" s="2">
        <f>IF(LeadsData[[#This Row],[Stage Number]]&gt;=4,1,0)</f>
        <v>0</v>
      </c>
    </row>
    <row r="6374" spans="1:15" x14ac:dyDescent="0.25">
      <c r="A6374" t="s">
        <v>6414</v>
      </c>
      <c r="B6374" s="1">
        <v>45424</v>
      </c>
      <c r="C6374" t="s">
        <v>46</v>
      </c>
      <c r="D6374" t="s">
        <v>47</v>
      </c>
      <c r="E6374" t="s">
        <v>21</v>
      </c>
      <c r="F6374" t="s">
        <v>14</v>
      </c>
      <c r="G6374" t="s">
        <v>15</v>
      </c>
      <c r="K6374" cm="1">
        <f t="array" ref="K6374">_xlfn.SWITCH(LeadsData[[#This Row],[Funnel Stage Reached]],"Lead",1,"MQL",2,"SQL",3,"Customer",4)</f>
        <v>1</v>
      </c>
      <c r="L6374" t="str">
        <f>TEXT(LeadsData[[#This Row],[Signup Date]],"mmm-yyyy")</f>
        <v>May-2024</v>
      </c>
      <c r="M6374">
        <f>IF(LeadsData[[#This Row],[Stage Number]]&gt;=2,1,0)</f>
        <v>0</v>
      </c>
      <c r="N6374" s="2">
        <f>IF(LeadsData[[#This Row],[Stage Number]]&gt;=3,1,0)</f>
        <v>0</v>
      </c>
      <c r="O6374" s="2">
        <f>IF(LeadsData[[#This Row],[Stage Number]]&gt;=4,1,0)</f>
        <v>0</v>
      </c>
    </row>
    <row r="6375" spans="1:15" x14ac:dyDescent="0.25">
      <c r="A6375" t="s">
        <v>6415</v>
      </c>
      <c r="B6375" s="1">
        <v>45293</v>
      </c>
      <c r="C6375" t="s">
        <v>17</v>
      </c>
      <c r="D6375" t="s">
        <v>18</v>
      </c>
      <c r="E6375" t="s">
        <v>13</v>
      </c>
      <c r="F6375" t="s">
        <v>19</v>
      </c>
      <c r="G6375" t="s">
        <v>15</v>
      </c>
      <c r="K6375" cm="1">
        <f t="array" ref="K6375">_xlfn.SWITCH(LeadsData[[#This Row],[Funnel Stage Reached]],"Lead",1,"MQL",2,"SQL",3,"Customer",4)</f>
        <v>1</v>
      </c>
      <c r="L6375" t="str">
        <f>TEXT(LeadsData[[#This Row],[Signup Date]],"mmm-yyyy")</f>
        <v>Jan-2024</v>
      </c>
      <c r="M6375">
        <f>IF(LeadsData[[#This Row],[Stage Number]]&gt;=2,1,0)</f>
        <v>0</v>
      </c>
      <c r="N6375" s="2">
        <f>IF(LeadsData[[#This Row],[Stage Number]]&gt;=3,1,0)</f>
        <v>0</v>
      </c>
      <c r="O6375" s="2">
        <f>IF(LeadsData[[#This Row],[Stage Number]]&gt;=4,1,0)</f>
        <v>0</v>
      </c>
    </row>
    <row r="6376" spans="1:15" x14ac:dyDescent="0.25">
      <c r="A6376" t="s">
        <v>6416</v>
      </c>
      <c r="B6376" s="1">
        <v>45477</v>
      </c>
      <c r="C6376" t="s">
        <v>36</v>
      </c>
      <c r="D6376" t="s">
        <v>37</v>
      </c>
      <c r="E6376" t="s">
        <v>13</v>
      </c>
      <c r="F6376" t="s">
        <v>22</v>
      </c>
      <c r="G6376" t="s">
        <v>42</v>
      </c>
      <c r="H6376">
        <v>28</v>
      </c>
      <c r="I6376" t="s">
        <v>87</v>
      </c>
      <c r="J6376">
        <v>3301.69</v>
      </c>
      <c r="K6376" cm="1">
        <f t="array" ref="K6376">_xlfn.SWITCH(LeadsData[[#This Row],[Funnel Stage Reached]],"Lead",1,"MQL",2,"SQL",3,"Customer",4)</f>
        <v>4</v>
      </c>
      <c r="L6376" t="str">
        <f>TEXT(LeadsData[[#This Row],[Signup Date]],"mmm-yyyy")</f>
        <v>Jul-2024</v>
      </c>
      <c r="M6376">
        <f>IF(LeadsData[[#This Row],[Stage Number]]&gt;=2,1,0)</f>
        <v>1</v>
      </c>
      <c r="N6376" s="2">
        <f>IF(LeadsData[[#This Row],[Stage Number]]&gt;=3,1,0)</f>
        <v>1</v>
      </c>
      <c r="O6376" s="2">
        <f>IF(LeadsData[[#This Row],[Stage Number]]&gt;=4,1,0)</f>
        <v>1</v>
      </c>
    </row>
    <row r="6377" spans="1:15" x14ac:dyDescent="0.25">
      <c r="A6377" t="s">
        <v>6417</v>
      </c>
      <c r="B6377" s="1">
        <v>45484</v>
      </c>
      <c r="C6377" t="s">
        <v>31</v>
      </c>
      <c r="D6377" t="s">
        <v>32</v>
      </c>
      <c r="E6377" t="s">
        <v>13</v>
      </c>
      <c r="F6377" t="s">
        <v>19</v>
      </c>
      <c r="G6377" t="s">
        <v>23</v>
      </c>
      <c r="K6377" cm="1">
        <f t="array" ref="K6377">_xlfn.SWITCH(LeadsData[[#This Row],[Funnel Stage Reached]],"Lead",1,"MQL",2,"SQL",3,"Customer",4)</f>
        <v>2</v>
      </c>
      <c r="L6377" t="str">
        <f>TEXT(LeadsData[[#This Row],[Signup Date]],"mmm-yyyy")</f>
        <v>Jul-2024</v>
      </c>
      <c r="M6377">
        <f>IF(LeadsData[[#This Row],[Stage Number]]&gt;=2,1,0)</f>
        <v>1</v>
      </c>
      <c r="N6377" s="2">
        <f>IF(LeadsData[[#This Row],[Stage Number]]&gt;=3,1,0)</f>
        <v>0</v>
      </c>
      <c r="O6377" s="2">
        <f>IF(LeadsData[[#This Row],[Stage Number]]&gt;=4,1,0)</f>
        <v>0</v>
      </c>
    </row>
    <row r="6378" spans="1:15" x14ac:dyDescent="0.25">
      <c r="A6378" t="s">
        <v>6418</v>
      </c>
      <c r="B6378" s="1">
        <v>45631</v>
      </c>
      <c r="C6378" t="s">
        <v>25</v>
      </c>
      <c r="D6378" t="s">
        <v>26</v>
      </c>
      <c r="E6378" t="s">
        <v>13</v>
      </c>
      <c r="F6378" t="s">
        <v>14</v>
      </c>
      <c r="G6378" t="s">
        <v>15</v>
      </c>
      <c r="K6378" cm="1">
        <f t="array" ref="K6378">_xlfn.SWITCH(LeadsData[[#This Row],[Funnel Stage Reached]],"Lead",1,"MQL",2,"SQL",3,"Customer",4)</f>
        <v>1</v>
      </c>
      <c r="L6378" t="str">
        <f>TEXT(LeadsData[[#This Row],[Signup Date]],"mmm-yyyy")</f>
        <v>Dec-2024</v>
      </c>
      <c r="M6378">
        <f>IF(LeadsData[[#This Row],[Stage Number]]&gt;=2,1,0)</f>
        <v>0</v>
      </c>
      <c r="N6378" s="2">
        <f>IF(LeadsData[[#This Row],[Stage Number]]&gt;=3,1,0)</f>
        <v>0</v>
      </c>
      <c r="O6378" s="2">
        <f>IF(LeadsData[[#This Row],[Stage Number]]&gt;=4,1,0)</f>
        <v>0</v>
      </c>
    </row>
    <row r="6379" spans="1:15" x14ac:dyDescent="0.25">
      <c r="A6379" t="s">
        <v>6419</v>
      </c>
      <c r="B6379" s="1">
        <v>45642</v>
      </c>
      <c r="C6379" t="s">
        <v>46</v>
      </c>
      <c r="D6379" t="s">
        <v>47</v>
      </c>
      <c r="E6379" t="s">
        <v>13</v>
      </c>
      <c r="F6379" t="s">
        <v>14</v>
      </c>
      <c r="G6379" t="s">
        <v>15</v>
      </c>
      <c r="K6379" cm="1">
        <f t="array" ref="K6379">_xlfn.SWITCH(LeadsData[[#This Row],[Funnel Stage Reached]],"Lead",1,"MQL",2,"SQL",3,"Customer",4)</f>
        <v>1</v>
      </c>
      <c r="L6379" t="str">
        <f>TEXT(LeadsData[[#This Row],[Signup Date]],"mmm-yyyy")</f>
        <v>Dec-2024</v>
      </c>
      <c r="M6379">
        <f>IF(LeadsData[[#This Row],[Stage Number]]&gt;=2,1,0)</f>
        <v>0</v>
      </c>
      <c r="N6379" s="2">
        <f>IF(LeadsData[[#This Row],[Stage Number]]&gt;=3,1,0)</f>
        <v>0</v>
      </c>
      <c r="O6379" s="2">
        <f>IF(LeadsData[[#This Row],[Stage Number]]&gt;=4,1,0)</f>
        <v>0</v>
      </c>
    </row>
    <row r="6380" spans="1:15" x14ac:dyDescent="0.25">
      <c r="A6380" t="s">
        <v>6420</v>
      </c>
      <c r="B6380" s="1">
        <v>45471</v>
      </c>
      <c r="C6380" t="s">
        <v>36</v>
      </c>
      <c r="D6380" t="s">
        <v>50</v>
      </c>
      <c r="E6380" t="s">
        <v>21</v>
      </c>
      <c r="F6380" t="s">
        <v>19</v>
      </c>
      <c r="G6380" t="s">
        <v>15</v>
      </c>
      <c r="K6380" cm="1">
        <f t="array" ref="K6380">_xlfn.SWITCH(LeadsData[[#This Row],[Funnel Stage Reached]],"Lead",1,"MQL",2,"SQL",3,"Customer",4)</f>
        <v>1</v>
      </c>
      <c r="L6380" t="str">
        <f>TEXT(LeadsData[[#This Row],[Signup Date]],"mmm-yyyy")</f>
        <v>Jun-2024</v>
      </c>
      <c r="M6380">
        <f>IF(LeadsData[[#This Row],[Stage Number]]&gt;=2,1,0)</f>
        <v>0</v>
      </c>
      <c r="N6380" s="2">
        <f>IF(LeadsData[[#This Row],[Stage Number]]&gt;=3,1,0)</f>
        <v>0</v>
      </c>
      <c r="O6380" s="2">
        <f>IF(LeadsData[[#This Row],[Stage Number]]&gt;=4,1,0)</f>
        <v>0</v>
      </c>
    </row>
    <row r="6381" spans="1:15" x14ac:dyDescent="0.25">
      <c r="A6381" t="s">
        <v>6421</v>
      </c>
      <c r="B6381" s="1">
        <v>45359</v>
      </c>
      <c r="C6381" t="s">
        <v>46</v>
      </c>
      <c r="D6381" t="s">
        <v>56</v>
      </c>
      <c r="E6381" t="s">
        <v>13</v>
      </c>
      <c r="F6381" t="s">
        <v>22</v>
      </c>
      <c r="G6381" t="s">
        <v>23</v>
      </c>
      <c r="K6381" cm="1">
        <f t="array" ref="K6381">_xlfn.SWITCH(LeadsData[[#This Row],[Funnel Stage Reached]],"Lead",1,"MQL",2,"SQL",3,"Customer",4)</f>
        <v>2</v>
      </c>
      <c r="L6381" t="str">
        <f>TEXT(LeadsData[[#This Row],[Signup Date]],"mmm-yyyy")</f>
        <v>Mar-2024</v>
      </c>
      <c r="M6381">
        <f>IF(LeadsData[[#This Row],[Stage Number]]&gt;=2,1,0)</f>
        <v>1</v>
      </c>
      <c r="N6381" s="2">
        <f>IF(LeadsData[[#This Row],[Stage Number]]&gt;=3,1,0)</f>
        <v>0</v>
      </c>
      <c r="O6381" s="2">
        <f>IF(LeadsData[[#This Row],[Stage Number]]&gt;=4,1,0)</f>
        <v>0</v>
      </c>
    </row>
    <row r="6382" spans="1:15" x14ac:dyDescent="0.25">
      <c r="A6382" t="s">
        <v>6422</v>
      </c>
      <c r="B6382" s="1">
        <v>45432</v>
      </c>
      <c r="C6382" t="s">
        <v>31</v>
      </c>
      <c r="D6382" t="s">
        <v>32</v>
      </c>
      <c r="E6382" t="s">
        <v>21</v>
      </c>
      <c r="F6382" t="s">
        <v>19</v>
      </c>
      <c r="G6382" t="s">
        <v>23</v>
      </c>
      <c r="K6382" cm="1">
        <f t="array" ref="K6382">_xlfn.SWITCH(LeadsData[[#This Row],[Funnel Stage Reached]],"Lead",1,"MQL",2,"SQL",3,"Customer",4)</f>
        <v>2</v>
      </c>
      <c r="L6382" t="str">
        <f>TEXT(LeadsData[[#This Row],[Signup Date]],"mmm-yyyy")</f>
        <v>May-2024</v>
      </c>
      <c r="M6382">
        <f>IF(LeadsData[[#This Row],[Stage Number]]&gt;=2,1,0)</f>
        <v>1</v>
      </c>
      <c r="N6382" s="2">
        <f>IF(LeadsData[[#This Row],[Stage Number]]&gt;=3,1,0)</f>
        <v>0</v>
      </c>
      <c r="O6382" s="2">
        <f>IF(LeadsData[[#This Row],[Stage Number]]&gt;=4,1,0)</f>
        <v>0</v>
      </c>
    </row>
    <row r="6383" spans="1:15" x14ac:dyDescent="0.25">
      <c r="A6383" t="s">
        <v>6423</v>
      </c>
      <c r="B6383" s="1">
        <v>45298</v>
      </c>
      <c r="C6383" t="s">
        <v>11</v>
      </c>
      <c r="D6383" t="s">
        <v>12</v>
      </c>
      <c r="E6383" t="s">
        <v>13</v>
      </c>
      <c r="F6383" t="s">
        <v>19</v>
      </c>
      <c r="G6383" t="s">
        <v>15</v>
      </c>
      <c r="K6383" cm="1">
        <f t="array" ref="K6383">_xlfn.SWITCH(LeadsData[[#This Row],[Funnel Stage Reached]],"Lead",1,"MQL",2,"SQL",3,"Customer",4)</f>
        <v>1</v>
      </c>
      <c r="L6383" t="str">
        <f>TEXT(LeadsData[[#This Row],[Signup Date]],"mmm-yyyy")</f>
        <v>Jan-2024</v>
      </c>
      <c r="M6383">
        <f>IF(LeadsData[[#This Row],[Stage Number]]&gt;=2,1,0)</f>
        <v>0</v>
      </c>
      <c r="N6383" s="2">
        <f>IF(LeadsData[[#This Row],[Stage Number]]&gt;=3,1,0)</f>
        <v>0</v>
      </c>
      <c r="O6383" s="2">
        <f>IF(LeadsData[[#This Row],[Stage Number]]&gt;=4,1,0)</f>
        <v>0</v>
      </c>
    </row>
    <row r="6384" spans="1:15" x14ac:dyDescent="0.25">
      <c r="A6384" t="s">
        <v>6424</v>
      </c>
      <c r="B6384" s="1">
        <v>45374</v>
      </c>
      <c r="C6384" t="s">
        <v>11</v>
      </c>
      <c r="D6384" t="s">
        <v>79</v>
      </c>
      <c r="E6384" t="s">
        <v>13</v>
      </c>
      <c r="F6384" t="s">
        <v>19</v>
      </c>
      <c r="G6384" t="s">
        <v>15</v>
      </c>
      <c r="K6384" cm="1">
        <f t="array" ref="K6384">_xlfn.SWITCH(LeadsData[[#This Row],[Funnel Stage Reached]],"Lead",1,"MQL",2,"SQL",3,"Customer",4)</f>
        <v>1</v>
      </c>
      <c r="L6384" t="str">
        <f>TEXT(LeadsData[[#This Row],[Signup Date]],"mmm-yyyy")</f>
        <v>Mar-2024</v>
      </c>
      <c r="M6384">
        <f>IF(LeadsData[[#This Row],[Stage Number]]&gt;=2,1,0)</f>
        <v>0</v>
      </c>
      <c r="N6384" s="2">
        <f>IF(LeadsData[[#This Row],[Stage Number]]&gt;=3,1,0)</f>
        <v>0</v>
      </c>
      <c r="O6384" s="2">
        <f>IF(LeadsData[[#This Row],[Stage Number]]&gt;=4,1,0)</f>
        <v>0</v>
      </c>
    </row>
    <row r="6385" spans="1:15" x14ac:dyDescent="0.25">
      <c r="A6385" t="s">
        <v>6425</v>
      </c>
      <c r="B6385" s="1">
        <v>45584</v>
      </c>
      <c r="C6385" t="s">
        <v>31</v>
      </c>
      <c r="D6385" t="s">
        <v>34</v>
      </c>
      <c r="E6385" t="s">
        <v>21</v>
      </c>
      <c r="F6385" t="s">
        <v>14</v>
      </c>
      <c r="G6385" t="s">
        <v>29</v>
      </c>
      <c r="K6385" cm="1">
        <f t="array" ref="K6385">_xlfn.SWITCH(LeadsData[[#This Row],[Funnel Stage Reached]],"Lead",1,"MQL",2,"SQL",3,"Customer",4)</f>
        <v>3</v>
      </c>
      <c r="L6385" t="str">
        <f>TEXT(LeadsData[[#This Row],[Signup Date]],"mmm-yyyy")</f>
        <v>Oct-2024</v>
      </c>
      <c r="M6385">
        <f>IF(LeadsData[[#This Row],[Stage Number]]&gt;=2,1,0)</f>
        <v>1</v>
      </c>
      <c r="N6385" s="2">
        <f>IF(LeadsData[[#This Row],[Stage Number]]&gt;=3,1,0)</f>
        <v>1</v>
      </c>
      <c r="O6385" s="2">
        <f>IF(LeadsData[[#This Row],[Stage Number]]&gt;=4,1,0)</f>
        <v>0</v>
      </c>
    </row>
    <row r="6386" spans="1:15" x14ac:dyDescent="0.25">
      <c r="A6386" t="s">
        <v>6426</v>
      </c>
      <c r="B6386" s="1">
        <v>45348</v>
      </c>
      <c r="C6386" t="s">
        <v>11</v>
      </c>
      <c r="D6386" t="s">
        <v>68</v>
      </c>
      <c r="E6386" t="s">
        <v>21</v>
      </c>
      <c r="F6386" t="s">
        <v>28</v>
      </c>
      <c r="G6386" t="s">
        <v>23</v>
      </c>
      <c r="K6386" cm="1">
        <f t="array" ref="K6386">_xlfn.SWITCH(LeadsData[[#This Row],[Funnel Stage Reached]],"Lead",1,"MQL",2,"SQL",3,"Customer",4)</f>
        <v>2</v>
      </c>
      <c r="L6386" t="str">
        <f>TEXT(LeadsData[[#This Row],[Signup Date]],"mmm-yyyy")</f>
        <v>Feb-2024</v>
      </c>
      <c r="M6386">
        <f>IF(LeadsData[[#This Row],[Stage Number]]&gt;=2,1,0)</f>
        <v>1</v>
      </c>
      <c r="N6386" s="2">
        <f>IF(LeadsData[[#This Row],[Stage Number]]&gt;=3,1,0)</f>
        <v>0</v>
      </c>
      <c r="O6386" s="2">
        <f>IF(LeadsData[[#This Row],[Stage Number]]&gt;=4,1,0)</f>
        <v>0</v>
      </c>
    </row>
    <row r="6387" spans="1:15" x14ac:dyDescent="0.25">
      <c r="A6387" t="s">
        <v>6427</v>
      </c>
      <c r="B6387" s="1">
        <v>45636</v>
      </c>
      <c r="C6387" t="s">
        <v>31</v>
      </c>
      <c r="D6387" t="s">
        <v>34</v>
      </c>
      <c r="E6387" t="s">
        <v>13</v>
      </c>
      <c r="F6387" t="s">
        <v>14</v>
      </c>
      <c r="G6387" t="s">
        <v>29</v>
      </c>
      <c r="K6387" cm="1">
        <f t="array" ref="K6387">_xlfn.SWITCH(LeadsData[[#This Row],[Funnel Stage Reached]],"Lead",1,"MQL",2,"SQL",3,"Customer",4)</f>
        <v>3</v>
      </c>
      <c r="L6387" t="str">
        <f>TEXT(LeadsData[[#This Row],[Signup Date]],"mmm-yyyy")</f>
        <v>Dec-2024</v>
      </c>
      <c r="M6387">
        <f>IF(LeadsData[[#This Row],[Stage Number]]&gt;=2,1,0)</f>
        <v>1</v>
      </c>
      <c r="N6387" s="2">
        <f>IF(LeadsData[[#This Row],[Stage Number]]&gt;=3,1,0)</f>
        <v>1</v>
      </c>
      <c r="O6387" s="2">
        <f>IF(LeadsData[[#This Row],[Stage Number]]&gt;=4,1,0)</f>
        <v>0</v>
      </c>
    </row>
    <row r="6388" spans="1:15" x14ac:dyDescent="0.25">
      <c r="A6388" t="s">
        <v>6428</v>
      </c>
      <c r="B6388" s="1">
        <v>45332</v>
      </c>
      <c r="C6388" t="s">
        <v>17</v>
      </c>
      <c r="D6388" t="s">
        <v>18</v>
      </c>
      <c r="E6388" t="s">
        <v>13</v>
      </c>
      <c r="F6388" t="s">
        <v>19</v>
      </c>
      <c r="G6388" t="s">
        <v>15</v>
      </c>
      <c r="K6388" cm="1">
        <f t="array" ref="K6388">_xlfn.SWITCH(LeadsData[[#This Row],[Funnel Stage Reached]],"Lead",1,"MQL",2,"SQL",3,"Customer",4)</f>
        <v>1</v>
      </c>
      <c r="L6388" t="str">
        <f>TEXT(LeadsData[[#This Row],[Signup Date]],"mmm-yyyy")</f>
        <v>Feb-2024</v>
      </c>
      <c r="M6388">
        <f>IF(LeadsData[[#This Row],[Stage Number]]&gt;=2,1,0)</f>
        <v>0</v>
      </c>
      <c r="N6388" s="2">
        <f>IF(LeadsData[[#This Row],[Stage Number]]&gt;=3,1,0)</f>
        <v>0</v>
      </c>
      <c r="O6388" s="2">
        <f>IF(LeadsData[[#This Row],[Stage Number]]&gt;=4,1,0)</f>
        <v>0</v>
      </c>
    </row>
    <row r="6389" spans="1:15" x14ac:dyDescent="0.25">
      <c r="A6389" t="s">
        <v>6429</v>
      </c>
      <c r="B6389" s="1">
        <v>45550</v>
      </c>
      <c r="C6389" t="s">
        <v>11</v>
      </c>
      <c r="D6389" t="s">
        <v>68</v>
      </c>
      <c r="E6389" t="s">
        <v>13</v>
      </c>
      <c r="F6389" t="s">
        <v>19</v>
      </c>
      <c r="G6389" t="s">
        <v>15</v>
      </c>
      <c r="K6389" cm="1">
        <f t="array" ref="K6389">_xlfn.SWITCH(LeadsData[[#This Row],[Funnel Stage Reached]],"Lead",1,"MQL",2,"SQL",3,"Customer",4)</f>
        <v>1</v>
      </c>
      <c r="L6389" t="str">
        <f>TEXT(LeadsData[[#This Row],[Signup Date]],"mmm-yyyy")</f>
        <v>Sep-2024</v>
      </c>
      <c r="M6389">
        <f>IF(LeadsData[[#This Row],[Stage Number]]&gt;=2,1,0)</f>
        <v>0</v>
      </c>
      <c r="N6389" s="2">
        <f>IF(LeadsData[[#This Row],[Stage Number]]&gt;=3,1,0)</f>
        <v>0</v>
      </c>
      <c r="O6389" s="2">
        <f>IF(LeadsData[[#This Row],[Stage Number]]&gt;=4,1,0)</f>
        <v>0</v>
      </c>
    </row>
    <row r="6390" spans="1:15" x14ac:dyDescent="0.25">
      <c r="A6390" t="s">
        <v>6430</v>
      </c>
      <c r="B6390" s="1">
        <v>45318</v>
      </c>
      <c r="C6390" t="s">
        <v>31</v>
      </c>
      <c r="D6390" t="s">
        <v>32</v>
      </c>
      <c r="E6390" t="s">
        <v>13</v>
      </c>
      <c r="F6390" t="s">
        <v>19</v>
      </c>
      <c r="G6390" t="s">
        <v>23</v>
      </c>
      <c r="K6390" cm="1">
        <f t="array" ref="K6390">_xlfn.SWITCH(LeadsData[[#This Row],[Funnel Stage Reached]],"Lead",1,"MQL",2,"SQL",3,"Customer",4)</f>
        <v>2</v>
      </c>
      <c r="L6390" t="str">
        <f>TEXT(LeadsData[[#This Row],[Signup Date]],"mmm-yyyy")</f>
        <v>Jan-2024</v>
      </c>
      <c r="M6390">
        <f>IF(LeadsData[[#This Row],[Stage Number]]&gt;=2,1,0)</f>
        <v>1</v>
      </c>
      <c r="N6390" s="2">
        <f>IF(LeadsData[[#This Row],[Stage Number]]&gt;=3,1,0)</f>
        <v>0</v>
      </c>
      <c r="O6390" s="2">
        <f>IF(LeadsData[[#This Row],[Stage Number]]&gt;=4,1,0)</f>
        <v>0</v>
      </c>
    </row>
    <row r="6391" spans="1:15" x14ac:dyDescent="0.25">
      <c r="A6391" t="s">
        <v>6431</v>
      </c>
      <c r="B6391" s="1">
        <v>45481</v>
      </c>
      <c r="C6391" t="s">
        <v>36</v>
      </c>
      <c r="D6391" t="s">
        <v>50</v>
      </c>
      <c r="E6391" t="s">
        <v>21</v>
      </c>
      <c r="F6391" t="s">
        <v>22</v>
      </c>
      <c r="G6391" t="s">
        <v>23</v>
      </c>
      <c r="K6391" cm="1">
        <f t="array" ref="K6391">_xlfn.SWITCH(LeadsData[[#This Row],[Funnel Stage Reached]],"Lead",1,"MQL",2,"SQL",3,"Customer",4)</f>
        <v>2</v>
      </c>
      <c r="L6391" t="str">
        <f>TEXT(LeadsData[[#This Row],[Signup Date]],"mmm-yyyy")</f>
        <v>Jul-2024</v>
      </c>
      <c r="M6391">
        <f>IF(LeadsData[[#This Row],[Stage Number]]&gt;=2,1,0)</f>
        <v>1</v>
      </c>
      <c r="N6391" s="2">
        <f>IF(LeadsData[[#This Row],[Stage Number]]&gt;=3,1,0)</f>
        <v>0</v>
      </c>
      <c r="O6391" s="2">
        <f>IF(LeadsData[[#This Row],[Stage Number]]&gt;=4,1,0)</f>
        <v>0</v>
      </c>
    </row>
    <row r="6392" spans="1:15" x14ac:dyDescent="0.25">
      <c r="A6392" t="s">
        <v>6432</v>
      </c>
      <c r="B6392" s="1">
        <v>45627</v>
      </c>
      <c r="C6392" t="s">
        <v>31</v>
      </c>
      <c r="D6392" t="s">
        <v>32</v>
      </c>
      <c r="E6392" t="s">
        <v>13</v>
      </c>
      <c r="F6392" t="s">
        <v>22</v>
      </c>
      <c r="G6392" t="s">
        <v>15</v>
      </c>
      <c r="K6392" cm="1">
        <f t="array" ref="K6392">_xlfn.SWITCH(LeadsData[[#This Row],[Funnel Stage Reached]],"Lead",1,"MQL",2,"SQL",3,"Customer",4)</f>
        <v>1</v>
      </c>
      <c r="L6392" t="str">
        <f>TEXT(LeadsData[[#This Row],[Signup Date]],"mmm-yyyy")</f>
        <v>Dec-2024</v>
      </c>
      <c r="M6392">
        <f>IF(LeadsData[[#This Row],[Stage Number]]&gt;=2,1,0)</f>
        <v>0</v>
      </c>
      <c r="N6392" s="2">
        <f>IF(LeadsData[[#This Row],[Stage Number]]&gt;=3,1,0)</f>
        <v>0</v>
      </c>
      <c r="O6392" s="2">
        <f>IF(LeadsData[[#This Row],[Stage Number]]&gt;=4,1,0)</f>
        <v>0</v>
      </c>
    </row>
    <row r="6393" spans="1:15" x14ac:dyDescent="0.25">
      <c r="A6393" t="s">
        <v>6433</v>
      </c>
      <c r="B6393" s="1">
        <v>45357</v>
      </c>
      <c r="C6393" t="s">
        <v>17</v>
      </c>
      <c r="D6393" t="s">
        <v>53</v>
      </c>
      <c r="E6393" t="s">
        <v>48</v>
      </c>
      <c r="F6393" t="s">
        <v>19</v>
      </c>
      <c r="G6393" t="s">
        <v>42</v>
      </c>
      <c r="H6393">
        <v>26</v>
      </c>
      <c r="I6393" t="s">
        <v>87</v>
      </c>
      <c r="J6393">
        <v>3322.41</v>
      </c>
      <c r="K6393" cm="1">
        <f t="array" ref="K6393">_xlfn.SWITCH(LeadsData[[#This Row],[Funnel Stage Reached]],"Lead",1,"MQL",2,"SQL",3,"Customer",4)</f>
        <v>4</v>
      </c>
      <c r="L6393" t="str">
        <f>TEXT(LeadsData[[#This Row],[Signup Date]],"mmm-yyyy")</f>
        <v>Mar-2024</v>
      </c>
      <c r="M6393">
        <f>IF(LeadsData[[#This Row],[Stage Number]]&gt;=2,1,0)</f>
        <v>1</v>
      </c>
      <c r="N6393" s="2">
        <f>IF(LeadsData[[#This Row],[Stage Number]]&gt;=3,1,0)</f>
        <v>1</v>
      </c>
      <c r="O6393" s="2">
        <f>IF(LeadsData[[#This Row],[Stage Number]]&gt;=4,1,0)</f>
        <v>1</v>
      </c>
    </row>
    <row r="6394" spans="1:15" x14ac:dyDescent="0.25">
      <c r="A6394" t="s">
        <v>6434</v>
      </c>
      <c r="B6394" s="1">
        <v>45645</v>
      </c>
      <c r="C6394" t="s">
        <v>31</v>
      </c>
      <c r="D6394" t="s">
        <v>34</v>
      </c>
      <c r="E6394" t="s">
        <v>21</v>
      </c>
      <c r="F6394" t="s">
        <v>28</v>
      </c>
      <c r="G6394" t="s">
        <v>42</v>
      </c>
      <c r="H6394">
        <v>58</v>
      </c>
      <c r="I6394" t="s">
        <v>43</v>
      </c>
      <c r="J6394">
        <v>930.89</v>
      </c>
      <c r="K6394" cm="1">
        <f t="array" ref="K6394">_xlfn.SWITCH(LeadsData[[#This Row],[Funnel Stage Reached]],"Lead",1,"MQL",2,"SQL",3,"Customer",4)</f>
        <v>4</v>
      </c>
      <c r="L6394" t="str">
        <f>TEXT(LeadsData[[#This Row],[Signup Date]],"mmm-yyyy")</f>
        <v>Dec-2024</v>
      </c>
      <c r="M6394">
        <f>IF(LeadsData[[#This Row],[Stage Number]]&gt;=2,1,0)</f>
        <v>1</v>
      </c>
      <c r="N6394" s="2">
        <f>IF(LeadsData[[#This Row],[Stage Number]]&gt;=3,1,0)</f>
        <v>1</v>
      </c>
      <c r="O6394" s="2">
        <f>IF(LeadsData[[#This Row],[Stage Number]]&gt;=4,1,0)</f>
        <v>1</v>
      </c>
    </row>
    <row r="6395" spans="1:15" x14ac:dyDescent="0.25">
      <c r="A6395" t="s">
        <v>6435</v>
      </c>
      <c r="B6395" s="1">
        <v>45642</v>
      </c>
      <c r="C6395" t="s">
        <v>36</v>
      </c>
      <c r="D6395" t="s">
        <v>37</v>
      </c>
      <c r="E6395" t="s">
        <v>13</v>
      </c>
      <c r="F6395" t="s">
        <v>14</v>
      </c>
      <c r="G6395" t="s">
        <v>15</v>
      </c>
      <c r="K6395" cm="1">
        <f t="array" ref="K6395">_xlfn.SWITCH(LeadsData[[#This Row],[Funnel Stage Reached]],"Lead",1,"MQL",2,"SQL",3,"Customer",4)</f>
        <v>1</v>
      </c>
      <c r="L6395" t="str">
        <f>TEXT(LeadsData[[#This Row],[Signup Date]],"mmm-yyyy")</f>
        <v>Dec-2024</v>
      </c>
      <c r="M6395">
        <f>IF(LeadsData[[#This Row],[Stage Number]]&gt;=2,1,0)</f>
        <v>0</v>
      </c>
      <c r="N6395" s="2">
        <f>IF(LeadsData[[#This Row],[Stage Number]]&gt;=3,1,0)</f>
        <v>0</v>
      </c>
      <c r="O6395" s="2">
        <f>IF(LeadsData[[#This Row],[Stage Number]]&gt;=4,1,0)</f>
        <v>0</v>
      </c>
    </row>
    <row r="6396" spans="1:15" x14ac:dyDescent="0.25">
      <c r="A6396" t="s">
        <v>6436</v>
      </c>
      <c r="B6396" s="1">
        <v>45466</v>
      </c>
      <c r="C6396" t="s">
        <v>46</v>
      </c>
      <c r="D6396" t="s">
        <v>56</v>
      </c>
      <c r="E6396" t="s">
        <v>21</v>
      </c>
      <c r="F6396" t="s">
        <v>28</v>
      </c>
      <c r="G6396" t="s">
        <v>15</v>
      </c>
      <c r="K6396" cm="1">
        <f t="array" ref="K6396">_xlfn.SWITCH(LeadsData[[#This Row],[Funnel Stage Reached]],"Lead",1,"MQL",2,"SQL",3,"Customer",4)</f>
        <v>1</v>
      </c>
      <c r="L6396" t="str">
        <f>TEXT(LeadsData[[#This Row],[Signup Date]],"mmm-yyyy")</f>
        <v>Jun-2024</v>
      </c>
      <c r="M6396">
        <f>IF(LeadsData[[#This Row],[Stage Number]]&gt;=2,1,0)</f>
        <v>0</v>
      </c>
      <c r="N6396" s="2">
        <f>IF(LeadsData[[#This Row],[Stage Number]]&gt;=3,1,0)</f>
        <v>0</v>
      </c>
      <c r="O6396" s="2">
        <f>IF(LeadsData[[#This Row],[Stage Number]]&gt;=4,1,0)</f>
        <v>0</v>
      </c>
    </row>
    <row r="6397" spans="1:15" x14ac:dyDescent="0.25">
      <c r="A6397" t="s">
        <v>6437</v>
      </c>
      <c r="B6397" s="1">
        <v>45640</v>
      </c>
      <c r="C6397" t="s">
        <v>25</v>
      </c>
      <c r="D6397" t="s">
        <v>26</v>
      </c>
      <c r="E6397" t="s">
        <v>21</v>
      </c>
      <c r="F6397" t="s">
        <v>19</v>
      </c>
      <c r="G6397" t="s">
        <v>23</v>
      </c>
      <c r="K6397" cm="1">
        <f t="array" ref="K6397">_xlfn.SWITCH(LeadsData[[#This Row],[Funnel Stage Reached]],"Lead",1,"MQL",2,"SQL",3,"Customer",4)</f>
        <v>2</v>
      </c>
      <c r="L6397" t="str">
        <f>TEXT(LeadsData[[#This Row],[Signup Date]],"mmm-yyyy")</f>
        <v>Dec-2024</v>
      </c>
      <c r="M6397">
        <f>IF(LeadsData[[#This Row],[Stage Number]]&gt;=2,1,0)</f>
        <v>1</v>
      </c>
      <c r="N6397" s="2">
        <f>IF(LeadsData[[#This Row],[Stage Number]]&gt;=3,1,0)</f>
        <v>0</v>
      </c>
      <c r="O6397" s="2">
        <f>IF(LeadsData[[#This Row],[Stage Number]]&gt;=4,1,0)</f>
        <v>0</v>
      </c>
    </row>
    <row r="6398" spans="1:15" x14ac:dyDescent="0.25">
      <c r="A6398" t="s">
        <v>6438</v>
      </c>
      <c r="B6398" s="1">
        <v>45357</v>
      </c>
      <c r="C6398" t="s">
        <v>17</v>
      </c>
      <c r="D6398" t="s">
        <v>53</v>
      </c>
      <c r="E6398" t="s">
        <v>13</v>
      </c>
      <c r="F6398" t="s">
        <v>19</v>
      </c>
      <c r="G6398" t="s">
        <v>15</v>
      </c>
      <c r="K6398" cm="1">
        <f t="array" ref="K6398">_xlfn.SWITCH(LeadsData[[#This Row],[Funnel Stage Reached]],"Lead",1,"MQL",2,"SQL",3,"Customer",4)</f>
        <v>1</v>
      </c>
      <c r="L6398" t="str">
        <f>TEXT(LeadsData[[#This Row],[Signup Date]],"mmm-yyyy")</f>
        <v>Mar-2024</v>
      </c>
      <c r="M6398">
        <f>IF(LeadsData[[#This Row],[Stage Number]]&gt;=2,1,0)</f>
        <v>0</v>
      </c>
      <c r="N6398" s="2">
        <f>IF(LeadsData[[#This Row],[Stage Number]]&gt;=3,1,0)</f>
        <v>0</v>
      </c>
      <c r="O6398" s="2">
        <f>IF(LeadsData[[#This Row],[Stage Number]]&gt;=4,1,0)</f>
        <v>0</v>
      </c>
    </row>
    <row r="6399" spans="1:15" x14ac:dyDescent="0.25">
      <c r="A6399" t="s">
        <v>6439</v>
      </c>
      <c r="B6399" s="1">
        <v>45413</v>
      </c>
      <c r="C6399" t="s">
        <v>25</v>
      </c>
      <c r="D6399" t="s">
        <v>26</v>
      </c>
      <c r="E6399" t="s">
        <v>13</v>
      </c>
      <c r="F6399" t="s">
        <v>22</v>
      </c>
      <c r="G6399" t="s">
        <v>42</v>
      </c>
      <c r="H6399">
        <v>73</v>
      </c>
      <c r="I6399" t="s">
        <v>43</v>
      </c>
      <c r="J6399">
        <v>948.36</v>
      </c>
      <c r="K6399" cm="1">
        <f t="array" ref="K6399">_xlfn.SWITCH(LeadsData[[#This Row],[Funnel Stage Reached]],"Lead",1,"MQL",2,"SQL",3,"Customer",4)</f>
        <v>4</v>
      </c>
      <c r="L6399" t="str">
        <f>TEXT(LeadsData[[#This Row],[Signup Date]],"mmm-yyyy")</f>
        <v>May-2024</v>
      </c>
      <c r="M6399">
        <f>IF(LeadsData[[#This Row],[Stage Number]]&gt;=2,1,0)</f>
        <v>1</v>
      </c>
      <c r="N6399" s="2">
        <f>IF(LeadsData[[#This Row],[Stage Number]]&gt;=3,1,0)</f>
        <v>1</v>
      </c>
      <c r="O6399" s="2">
        <f>IF(LeadsData[[#This Row],[Stage Number]]&gt;=4,1,0)</f>
        <v>1</v>
      </c>
    </row>
    <row r="6400" spans="1:15" x14ac:dyDescent="0.25">
      <c r="A6400" t="s">
        <v>6440</v>
      </c>
      <c r="B6400" s="1">
        <v>45439</v>
      </c>
      <c r="C6400" t="s">
        <v>17</v>
      </c>
      <c r="D6400" t="s">
        <v>53</v>
      </c>
      <c r="E6400" t="s">
        <v>21</v>
      </c>
      <c r="F6400" t="s">
        <v>14</v>
      </c>
      <c r="G6400" t="s">
        <v>23</v>
      </c>
      <c r="K6400" cm="1">
        <f t="array" ref="K6400">_xlfn.SWITCH(LeadsData[[#This Row],[Funnel Stage Reached]],"Lead",1,"MQL",2,"SQL",3,"Customer",4)</f>
        <v>2</v>
      </c>
      <c r="L6400" t="str">
        <f>TEXT(LeadsData[[#This Row],[Signup Date]],"mmm-yyyy")</f>
        <v>May-2024</v>
      </c>
      <c r="M6400">
        <f>IF(LeadsData[[#This Row],[Stage Number]]&gt;=2,1,0)</f>
        <v>1</v>
      </c>
      <c r="N6400" s="2">
        <f>IF(LeadsData[[#This Row],[Stage Number]]&gt;=3,1,0)</f>
        <v>0</v>
      </c>
      <c r="O6400" s="2">
        <f>IF(LeadsData[[#This Row],[Stage Number]]&gt;=4,1,0)</f>
        <v>0</v>
      </c>
    </row>
    <row r="6401" spans="1:15" x14ac:dyDescent="0.25">
      <c r="A6401" t="s">
        <v>6441</v>
      </c>
      <c r="B6401" s="1">
        <v>45374</v>
      </c>
      <c r="C6401" t="s">
        <v>31</v>
      </c>
      <c r="D6401" t="s">
        <v>34</v>
      </c>
      <c r="E6401" t="s">
        <v>21</v>
      </c>
      <c r="F6401" t="s">
        <v>19</v>
      </c>
      <c r="G6401" t="s">
        <v>29</v>
      </c>
      <c r="K6401" cm="1">
        <f t="array" ref="K6401">_xlfn.SWITCH(LeadsData[[#This Row],[Funnel Stage Reached]],"Lead",1,"MQL",2,"SQL",3,"Customer",4)</f>
        <v>3</v>
      </c>
      <c r="L6401" t="str">
        <f>TEXT(LeadsData[[#This Row],[Signup Date]],"mmm-yyyy")</f>
        <v>Mar-2024</v>
      </c>
      <c r="M6401">
        <f>IF(LeadsData[[#This Row],[Stage Number]]&gt;=2,1,0)</f>
        <v>1</v>
      </c>
      <c r="N6401" s="2">
        <f>IF(LeadsData[[#This Row],[Stage Number]]&gt;=3,1,0)</f>
        <v>1</v>
      </c>
      <c r="O6401" s="2">
        <f>IF(LeadsData[[#This Row],[Stage Number]]&gt;=4,1,0)</f>
        <v>0</v>
      </c>
    </row>
    <row r="6402" spans="1:15" x14ac:dyDescent="0.25">
      <c r="A6402" t="s">
        <v>6442</v>
      </c>
      <c r="B6402" s="1">
        <v>45319</v>
      </c>
      <c r="C6402" t="s">
        <v>46</v>
      </c>
      <c r="D6402" t="s">
        <v>47</v>
      </c>
      <c r="E6402" t="s">
        <v>13</v>
      </c>
      <c r="F6402" t="s">
        <v>19</v>
      </c>
      <c r="G6402" t="s">
        <v>15</v>
      </c>
      <c r="K6402" cm="1">
        <f t="array" ref="K6402">_xlfn.SWITCH(LeadsData[[#This Row],[Funnel Stage Reached]],"Lead",1,"MQL",2,"SQL",3,"Customer",4)</f>
        <v>1</v>
      </c>
      <c r="L6402" t="str">
        <f>TEXT(LeadsData[[#This Row],[Signup Date]],"mmm-yyyy")</f>
        <v>Jan-2024</v>
      </c>
      <c r="M6402">
        <f>IF(LeadsData[[#This Row],[Stage Number]]&gt;=2,1,0)</f>
        <v>0</v>
      </c>
      <c r="N6402" s="2">
        <f>IF(LeadsData[[#This Row],[Stage Number]]&gt;=3,1,0)</f>
        <v>0</v>
      </c>
      <c r="O6402" s="2">
        <f>IF(LeadsData[[#This Row],[Stage Number]]&gt;=4,1,0)</f>
        <v>0</v>
      </c>
    </row>
    <row r="6403" spans="1:15" x14ac:dyDescent="0.25">
      <c r="A6403" t="s">
        <v>6443</v>
      </c>
      <c r="B6403" s="1">
        <v>45480</v>
      </c>
      <c r="C6403" t="s">
        <v>17</v>
      </c>
      <c r="D6403" t="s">
        <v>53</v>
      </c>
      <c r="E6403" t="s">
        <v>13</v>
      </c>
      <c r="F6403" t="s">
        <v>22</v>
      </c>
      <c r="G6403" t="s">
        <v>15</v>
      </c>
      <c r="K6403" cm="1">
        <f t="array" ref="K6403">_xlfn.SWITCH(LeadsData[[#This Row],[Funnel Stage Reached]],"Lead",1,"MQL",2,"SQL",3,"Customer",4)</f>
        <v>1</v>
      </c>
      <c r="L6403" t="str">
        <f>TEXT(LeadsData[[#This Row],[Signup Date]],"mmm-yyyy")</f>
        <v>Jul-2024</v>
      </c>
      <c r="M6403">
        <f>IF(LeadsData[[#This Row],[Stage Number]]&gt;=2,1,0)</f>
        <v>0</v>
      </c>
      <c r="N6403" s="2">
        <f>IF(LeadsData[[#This Row],[Stage Number]]&gt;=3,1,0)</f>
        <v>0</v>
      </c>
      <c r="O6403" s="2">
        <f>IF(LeadsData[[#This Row],[Stage Number]]&gt;=4,1,0)</f>
        <v>0</v>
      </c>
    </row>
    <row r="6404" spans="1:15" x14ac:dyDescent="0.25">
      <c r="A6404" t="s">
        <v>6444</v>
      </c>
      <c r="B6404" s="1">
        <v>45644</v>
      </c>
      <c r="C6404" t="s">
        <v>25</v>
      </c>
      <c r="D6404" t="s">
        <v>26</v>
      </c>
      <c r="E6404" t="s">
        <v>13</v>
      </c>
      <c r="F6404" t="s">
        <v>22</v>
      </c>
      <c r="G6404" t="s">
        <v>15</v>
      </c>
      <c r="K6404" cm="1">
        <f t="array" ref="K6404">_xlfn.SWITCH(LeadsData[[#This Row],[Funnel Stage Reached]],"Lead",1,"MQL",2,"SQL",3,"Customer",4)</f>
        <v>1</v>
      </c>
      <c r="L6404" t="str">
        <f>TEXT(LeadsData[[#This Row],[Signup Date]],"mmm-yyyy")</f>
        <v>Dec-2024</v>
      </c>
      <c r="M6404">
        <f>IF(LeadsData[[#This Row],[Stage Number]]&gt;=2,1,0)</f>
        <v>0</v>
      </c>
      <c r="N6404" s="2">
        <f>IF(LeadsData[[#This Row],[Stage Number]]&gt;=3,1,0)</f>
        <v>0</v>
      </c>
      <c r="O6404" s="2">
        <f>IF(LeadsData[[#This Row],[Stage Number]]&gt;=4,1,0)</f>
        <v>0</v>
      </c>
    </row>
    <row r="6405" spans="1:15" x14ac:dyDescent="0.25">
      <c r="A6405" t="s">
        <v>6445</v>
      </c>
      <c r="B6405" s="1">
        <v>45574</v>
      </c>
      <c r="C6405" t="s">
        <v>46</v>
      </c>
      <c r="D6405" t="s">
        <v>56</v>
      </c>
      <c r="E6405" t="s">
        <v>21</v>
      </c>
      <c r="F6405" t="s">
        <v>22</v>
      </c>
      <c r="G6405" t="s">
        <v>15</v>
      </c>
      <c r="K6405" cm="1">
        <f t="array" ref="K6405">_xlfn.SWITCH(LeadsData[[#This Row],[Funnel Stage Reached]],"Lead",1,"MQL",2,"SQL",3,"Customer",4)</f>
        <v>1</v>
      </c>
      <c r="L6405" t="str">
        <f>TEXT(LeadsData[[#This Row],[Signup Date]],"mmm-yyyy")</f>
        <v>Oct-2024</v>
      </c>
      <c r="M6405">
        <f>IF(LeadsData[[#This Row],[Stage Number]]&gt;=2,1,0)</f>
        <v>0</v>
      </c>
      <c r="N6405" s="2">
        <f>IF(LeadsData[[#This Row],[Stage Number]]&gt;=3,1,0)</f>
        <v>0</v>
      </c>
      <c r="O6405" s="2">
        <f>IF(LeadsData[[#This Row],[Stage Number]]&gt;=4,1,0)</f>
        <v>0</v>
      </c>
    </row>
    <row r="6406" spans="1:15" x14ac:dyDescent="0.25">
      <c r="A6406" t="s">
        <v>6446</v>
      </c>
      <c r="B6406" s="1">
        <v>45569</v>
      </c>
      <c r="C6406" t="s">
        <v>17</v>
      </c>
      <c r="D6406" t="s">
        <v>53</v>
      </c>
      <c r="E6406" t="s">
        <v>21</v>
      </c>
      <c r="F6406" t="s">
        <v>19</v>
      </c>
      <c r="G6406" t="s">
        <v>23</v>
      </c>
      <c r="K6406" cm="1">
        <f t="array" ref="K6406">_xlfn.SWITCH(LeadsData[[#This Row],[Funnel Stage Reached]],"Lead",1,"MQL",2,"SQL",3,"Customer",4)</f>
        <v>2</v>
      </c>
      <c r="L6406" t="str">
        <f>TEXT(LeadsData[[#This Row],[Signup Date]],"mmm-yyyy")</f>
        <v>Oct-2024</v>
      </c>
      <c r="M6406">
        <f>IF(LeadsData[[#This Row],[Stage Number]]&gt;=2,1,0)</f>
        <v>1</v>
      </c>
      <c r="N6406" s="2">
        <f>IF(LeadsData[[#This Row],[Stage Number]]&gt;=3,1,0)</f>
        <v>0</v>
      </c>
      <c r="O6406" s="2">
        <f>IF(LeadsData[[#This Row],[Stage Number]]&gt;=4,1,0)</f>
        <v>0</v>
      </c>
    </row>
    <row r="6407" spans="1:15" x14ac:dyDescent="0.25">
      <c r="A6407" t="s">
        <v>6447</v>
      </c>
      <c r="B6407" s="1">
        <v>45347</v>
      </c>
      <c r="C6407" t="s">
        <v>31</v>
      </c>
      <c r="D6407" t="s">
        <v>32</v>
      </c>
      <c r="E6407" t="s">
        <v>13</v>
      </c>
      <c r="F6407" t="s">
        <v>22</v>
      </c>
      <c r="G6407" t="s">
        <v>15</v>
      </c>
      <c r="K6407" cm="1">
        <f t="array" ref="K6407">_xlfn.SWITCH(LeadsData[[#This Row],[Funnel Stage Reached]],"Lead",1,"MQL",2,"SQL",3,"Customer",4)</f>
        <v>1</v>
      </c>
      <c r="L6407" t="str">
        <f>TEXT(LeadsData[[#This Row],[Signup Date]],"mmm-yyyy")</f>
        <v>Feb-2024</v>
      </c>
      <c r="M6407">
        <f>IF(LeadsData[[#This Row],[Stage Number]]&gt;=2,1,0)</f>
        <v>0</v>
      </c>
      <c r="N6407" s="2">
        <f>IF(LeadsData[[#This Row],[Stage Number]]&gt;=3,1,0)</f>
        <v>0</v>
      </c>
      <c r="O6407" s="2">
        <f>IF(LeadsData[[#This Row],[Stage Number]]&gt;=4,1,0)</f>
        <v>0</v>
      </c>
    </row>
    <row r="6408" spans="1:15" x14ac:dyDescent="0.25">
      <c r="A6408" t="s">
        <v>6448</v>
      </c>
      <c r="B6408" s="1">
        <v>45498</v>
      </c>
      <c r="C6408" t="s">
        <v>46</v>
      </c>
      <c r="D6408" t="s">
        <v>56</v>
      </c>
      <c r="E6408" t="s">
        <v>48</v>
      </c>
      <c r="F6408" t="s">
        <v>28</v>
      </c>
      <c r="G6408" t="s">
        <v>15</v>
      </c>
      <c r="K6408" cm="1">
        <f t="array" ref="K6408">_xlfn.SWITCH(LeadsData[[#This Row],[Funnel Stage Reached]],"Lead",1,"MQL",2,"SQL",3,"Customer",4)</f>
        <v>1</v>
      </c>
      <c r="L6408" t="str">
        <f>TEXT(LeadsData[[#This Row],[Signup Date]],"mmm-yyyy")</f>
        <v>Jul-2024</v>
      </c>
      <c r="M6408">
        <f>IF(LeadsData[[#This Row],[Stage Number]]&gt;=2,1,0)</f>
        <v>0</v>
      </c>
      <c r="N6408" s="2">
        <f>IF(LeadsData[[#This Row],[Stage Number]]&gt;=3,1,0)</f>
        <v>0</v>
      </c>
      <c r="O6408" s="2">
        <f>IF(LeadsData[[#This Row],[Stage Number]]&gt;=4,1,0)</f>
        <v>0</v>
      </c>
    </row>
    <row r="6409" spans="1:15" x14ac:dyDescent="0.25">
      <c r="A6409" t="s">
        <v>6449</v>
      </c>
      <c r="B6409" s="1">
        <v>45634</v>
      </c>
      <c r="C6409" t="s">
        <v>31</v>
      </c>
      <c r="D6409" t="s">
        <v>34</v>
      </c>
      <c r="E6409" t="s">
        <v>21</v>
      </c>
      <c r="F6409" t="s">
        <v>22</v>
      </c>
      <c r="G6409" t="s">
        <v>15</v>
      </c>
      <c r="K6409" cm="1">
        <f t="array" ref="K6409">_xlfn.SWITCH(LeadsData[[#This Row],[Funnel Stage Reached]],"Lead",1,"MQL",2,"SQL",3,"Customer",4)</f>
        <v>1</v>
      </c>
      <c r="L6409" t="str">
        <f>TEXT(LeadsData[[#This Row],[Signup Date]],"mmm-yyyy")</f>
        <v>Dec-2024</v>
      </c>
      <c r="M6409">
        <f>IF(LeadsData[[#This Row],[Stage Number]]&gt;=2,1,0)</f>
        <v>0</v>
      </c>
      <c r="N6409" s="2">
        <f>IF(LeadsData[[#This Row],[Stage Number]]&gt;=3,1,0)</f>
        <v>0</v>
      </c>
      <c r="O6409" s="2">
        <f>IF(LeadsData[[#This Row],[Stage Number]]&gt;=4,1,0)</f>
        <v>0</v>
      </c>
    </row>
    <row r="6410" spans="1:15" x14ac:dyDescent="0.25">
      <c r="A6410" t="s">
        <v>6450</v>
      </c>
      <c r="B6410" s="1">
        <v>45611</v>
      </c>
      <c r="C6410" t="s">
        <v>11</v>
      </c>
      <c r="D6410" t="s">
        <v>12</v>
      </c>
      <c r="E6410" t="s">
        <v>13</v>
      </c>
      <c r="F6410" t="s">
        <v>22</v>
      </c>
      <c r="G6410" t="s">
        <v>15</v>
      </c>
      <c r="K6410" cm="1">
        <f t="array" ref="K6410">_xlfn.SWITCH(LeadsData[[#This Row],[Funnel Stage Reached]],"Lead",1,"MQL",2,"SQL",3,"Customer",4)</f>
        <v>1</v>
      </c>
      <c r="L6410" t="str">
        <f>TEXT(LeadsData[[#This Row],[Signup Date]],"mmm-yyyy")</f>
        <v>Nov-2024</v>
      </c>
      <c r="M6410">
        <f>IF(LeadsData[[#This Row],[Stage Number]]&gt;=2,1,0)</f>
        <v>0</v>
      </c>
      <c r="N6410" s="2">
        <f>IF(LeadsData[[#This Row],[Stage Number]]&gt;=3,1,0)</f>
        <v>0</v>
      </c>
      <c r="O6410" s="2">
        <f>IF(LeadsData[[#This Row],[Stage Number]]&gt;=4,1,0)</f>
        <v>0</v>
      </c>
    </row>
    <row r="6411" spans="1:15" x14ac:dyDescent="0.25">
      <c r="A6411" t="s">
        <v>6451</v>
      </c>
      <c r="B6411" s="1">
        <v>45379</v>
      </c>
      <c r="C6411" t="s">
        <v>46</v>
      </c>
      <c r="D6411" t="s">
        <v>47</v>
      </c>
      <c r="E6411" t="s">
        <v>13</v>
      </c>
      <c r="F6411" t="s">
        <v>22</v>
      </c>
      <c r="G6411" t="s">
        <v>29</v>
      </c>
      <c r="K6411" cm="1">
        <f t="array" ref="K6411">_xlfn.SWITCH(LeadsData[[#This Row],[Funnel Stage Reached]],"Lead",1,"MQL",2,"SQL",3,"Customer",4)</f>
        <v>3</v>
      </c>
      <c r="L6411" t="str">
        <f>TEXT(LeadsData[[#This Row],[Signup Date]],"mmm-yyyy")</f>
        <v>Mar-2024</v>
      </c>
      <c r="M6411">
        <f>IF(LeadsData[[#This Row],[Stage Number]]&gt;=2,1,0)</f>
        <v>1</v>
      </c>
      <c r="N6411" s="2">
        <f>IF(LeadsData[[#This Row],[Stage Number]]&gt;=3,1,0)</f>
        <v>1</v>
      </c>
      <c r="O6411" s="2">
        <f>IF(LeadsData[[#This Row],[Stage Number]]&gt;=4,1,0)</f>
        <v>0</v>
      </c>
    </row>
    <row r="6412" spans="1:15" x14ac:dyDescent="0.25">
      <c r="A6412" t="s">
        <v>6452</v>
      </c>
      <c r="B6412" s="1">
        <v>45567</v>
      </c>
      <c r="C6412" t="s">
        <v>11</v>
      </c>
      <c r="D6412" t="s">
        <v>12</v>
      </c>
      <c r="E6412" t="s">
        <v>21</v>
      </c>
      <c r="F6412" t="s">
        <v>19</v>
      </c>
      <c r="G6412" t="s">
        <v>29</v>
      </c>
      <c r="K6412" cm="1">
        <f t="array" ref="K6412">_xlfn.SWITCH(LeadsData[[#This Row],[Funnel Stage Reached]],"Lead",1,"MQL",2,"SQL",3,"Customer",4)</f>
        <v>3</v>
      </c>
      <c r="L6412" t="str">
        <f>TEXT(LeadsData[[#This Row],[Signup Date]],"mmm-yyyy")</f>
        <v>Oct-2024</v>
      </c>
      <c r="M6412">
        <f>IF(LeadsData[[#This Row],[Stage Number]]&gt;=2,1,0)</f>
        <v>1</v>
      </c>
      <c r="N6412" s="2">
        <f>IF(LeadsData[[#This Row],[Stage Number]]&gt;=3,1,0)</f>
        <v>1</v>
      </c>
      <c r="O6412" s="2">
        <f>IF(LeadsData[[#This Row],[Stage Number]]&gt;=4,1,0)</f>
        <v>0</v>
      </c>
    </row>
    <row r="6413" spans="1:15" x14ac:dyDescent="0.25">
      <c r="A6413" t="s">
        <v>6453</v>
      </c>
      <c r="B6413" s="1">
        <v>45295</v>
      </c>
      <c r="C6413" t="s">
        <v>11</v>
      </c>
      <c r="D6413" t="s">
        <v>12</v>
      </c>
      <c r="E6413" t="s">
        <v>13</v>
      </c>
      <c r="F6413" t="s">
        <v>19</v>
      </c>
      <c r="G6413" t="s">
        <v>15</v>
      </c>
      <c r="K6413" cm="1">
        <f t="array" ref="K6413">_xlfn.SWITCH(LeadsData[[#This Row],[Funnel Stage Reached]],"Lead",1,"MQL",2,"SQL",3,"Customer",4)</f>
        <v>1</v>
      </c>
      <c r="L6413" t="str">
        <f>TEXT(LeadsData[[#This Row],[Signup Date]],"mmm-yyyy")</f>
        <v>Jan-2024</v>
      </c>
      <c r="M6413">
        <f>IF(LeadsData[[#This Row],[Stage Number]]&gt;=2,1,0)</f>
        <v>0</v>
      </c>
      <c r="N6413" s="2">
        <f>IF(LeadsData[[#This Row],[Stage Number]]&gt;=3,1,0)</f>
        <v>0</v>
      </c>
      <c r="O6413" s="2">
        <f>IF(LeadsData[[#This Row],[Stage Number]]&gt;=4,1,0)</f>
        <v>0</v>
      </c>
    </row>
    <row r="6414" spans="1:15" x14ac:dyDescent="0.25">
      <c r="A6414" t="s">
        <v>6454</v>
      </c>
      <c r="B6414" s="1">
        <v>45648</v>
      </c>
      <c r="C6414" t="s">
        <v>46</v>
      </c>
      <c r="D6414" t="s">
        <v>47</v>
      </c>
      <c r="E6414" t="s">
        <v>21</v>
      </c>
      <c r="F6414" t="s">
        <v>22</v>
      </c>
      <c r="G6414" t="s">
        <v>15</v>
      </c>
      <c r="K6414" cm="1">
        <f t="array" ref="K6414">_xlfn.SWITCH(LeadsData[[#This Row],[Funnel Stage Reached]],"Lead",1,"MQL",2,"SQL",3,"Customer",4)</f>
        <v>1</v>
      </c>
      <c r="L6414" t="str">
        <f>TEXT(LeadsData[[#This Row],[Signup Date]],"mmm-yyyy")</f>
        <v>Dec-2024</v>
      </c>
      <c r="M6414">
        <f>IF(LeadsData[[#This Row],[Stage Number]]&gt;=2,1,0)</f>
        <v>0</v>
      </c>
      <c r="N6414" s="2">
        <f>IF(LeadsData[[#This Row],[Stage Number]]&gt;=3,1,0)</f>
        <v>0</v>
      </c>
      <c r="O6414" s="2">
        <f>IF(LeadsData[[#This Row],[Stage Number]]&gt;=4,1,0)</f>
        <v>0</v>
      </c>
    </row>
    <row r="6415" spans="1:15" x14ac:dyDescent="0.25">
      <c r="A6415" t="s">
        <v>6455</v>
      </c>
      <c r="B6415" s="1">
        <v>45494</v>
      </c>
      <c r="C6415" t="s">
        <v>31</v>
      </c>
      <c r="D6415" t="s">
        <v>34</v>
      </c>
      <c r="E6415" t="s">
        <v>13</v>
      </c>
      <c r="F6415" t="s">
        <v>19</v>
      </c>
      <c r="G6415" t="s">
        <v>23</v>
      </c>
      <c r="K6415" cm="1">
        <f t="array" ref="K6415">_xlfn.SWITCH(LeadsData[[#This Row],[Funnel Stage Reached]],"Lead",1,"MQL",2,"SQL",3,"Customer",4)</f>
        <v>2</v>
      </c>
      <c r="L6415" t="str">
        <f>TEXT(LeadsData[[#This Row],[Signup Date]],"mmm-yyyy")</f>
        <v>Jul-2024</v>
      </c>
      <c r="M6415">
        <f>IF(LeadsData[[#This Row],[Stage Number]]&gt;=2,1,0)</f>
        <v>1</v>
      </c>
      <c r="N6415" s="2">
        <f>IF(LeadsData[[#This Row],[Stage Number]]&gt;=3,1,0)</f>
        <v>0</v>
      </c>
      <c r="O6415" s="2">
        <f>IF(LeadsData[[#This Row],[Stage Number]]&gt;=4,1,0)</f>
        <v>0</v>
      </c>
    </row>
    <row r="6416" spans="1:15" x14ac:dyDescent="0.25">
      <c r="A6416" t="s">
        <v>6456</v>
      </c>
      <c r="B6416" s="1">
        <v>45618</v>
      </c>
      <c r="C6416" t="s">
        <v>31</v>
      </c>
      <c r="D6416" t="s">
        <v>34</v>
      </c>
      <c r="E6416" t="s">
        <v>13</v>
      </c>
      <c r="F6416" t="s">
        <v>22</v>
      </c>
      <c r="G6416" t="s">
        <v>42</v>
      </c>
      <c r="H6416">
        <v>53</v>
      </c>
      <c r="I6416" t="s">
        <v>43</v>
      </c>
      <c r="J6416">
        <v>544.98</v>
      </c>
      <c r="K6416" cm="1">
        <f t="array" ref="K6416">_xlfn.SWITCH(LeadsData[[#This Row],[Funnel Stage Reached]],"Lead",1,"MQL",2,"SQL",3,"Customer",4)</f>
        <v>4</v>
      </c>
      <c r="L6416" t="str">
        <f>TEXT(LeadsData[[#This Row],[Signup Date]],"mmm-yyyy")</f>
        <v>Nov-2024</v>
      </c>
      <c r="M6416">
        <f>IF(LeadsData[[#This Row],[Stage Number]]&gt;=2,1,0)</f>
        <v>1</v>
      </c>
      <c r="N6416" s="2">
        <f>IF(LeadsData[[#This Row],[Stage Number]]&gt;=3,1,0)</f>
        <v>1</v>
      </c>
      <c r="O6416" s="2">
        <f>IF(LeadsData[[#This Row],[Stage Number]]&gt;=4,1,0)</f>
        <v>1</v>
      </c>
    </row>
    <row r="6417" spans="1:15" x14ac:dyDescent="0.25">
      <c r="A6417" t="s">
        <v>6457</v>
      </c>
      <c r="B6417" s="1">
        <v>45437</v>
      </c>
      <c r="C6417" t="s">
        <v>36</v>
      </c>
      <c r="D6417" t="s">
        <v>37</v>
      </c>
      <c r="E6417" t="s">
        <v>21</v>
      </c>
      <c r="F6417" t="s">
        <v>19</v>
      </c>
      <c r="G6417" t="s">
        <v>29</v>
      </c>
      <c r="K6417" cm="1">
        <f t="array" ref="K6417">_xlfn.SWITCH(LeadsData[[#This Row],[Funnel Stage Reached]],"Lead",1,"MQL",2,"SQL",3,"Customer",4)</f>
        <v>3</v>
      </c>
      <c r="L6417" t="str">
        <f>TEXT(LeadsData[[#This Row],[Signup Date]],"mmm-yyyy")</f>
        <v>May-2024</v>
      </c>
      <c r="M6417">
        <f>IF(LeadsData[[#This Row],[Stage Number]]&gt;=2,1,0)</f>
        <v>1</v>
      </c>
      <c r="N6417" s="2">
        <f>IF(LeadsData[[#This Row],[Stage Number]]&gt;=3,1,0)</f>
        <v>1</v>
      </c>
      <c r="O6417" s="2">
        <f>IF(LeadsData[[#This Row],[Stage Number]]&gt;=4,1,0)</f>
        <v>0</v>
      </c>
    </row>
    <row r="6418" spans="1:15" x14ac:dyDescent="0.25">
      <c r="A6418" t="s">
        <v>6458</v>
      </c>
      <c r="B6418" s="1">
        <v>45331</v>
      </c>
      <c r="C6418" t="s">
        <v>46</v>
      </c>
      <c r="D6418" t="s">
        <v>56</v>
      </c>
      <c r="E6418" t="s">
        <v>21</v>
      </c>
      <c r="F6418" t="s">
        <v>14</v>
      </c>
      <c r="G6418" t="s">
        <v>29</v>
      </c>
      <c r="K6418" cm="1">
        <f t="array" ref="K6418">_xlfn.SWITCH(LeadsData[[#This Row],[Funnel Stage Reached]],"Lead",1,"MQL",2,"SQL",3,"Customer",4)</f>
        <v>3</v>
      </c>
      <c r="L6418" t="str">
        <f>TEXT(LeadsData[[#This Row],[Signup Date]],"mmm-yyyy")</f>
        <v>Feb-2024</v>
      </c>
      <c r="M6418">
        <f>IF(LeadsData[[#This Row],[Stage Number]]&gt;=2,1,0)</f>
        <v>1</v>
      </c>
      <c r="N6418" s="2">
        <f>IF(LeadsData[[#This Row],[Stage Number]]&gt;=3,1,0)</f>
        <v>1</v>
      </c>
      <c r="O6418" s="2">
        <f>IF(LeadsData[[#This Row],[Stage Number]]&gt;=4,1,0)</f>
        <v>0</v>
      </c>
    </row>
    <row r="6419" spans="1:15" x14ac:dyDescent="0.25">
      <c r="A6419" t="s">
        <v>6459</v>
      </c>
      <c r="B6419" s="1">
        <v>45483</v>
      </c>
      <c r="C6419" t="s">
        <v>36</v>
      </c>
      <c r="D6419" t="s">
        <v>50</v>
      </c>
      <c r="E6419" t="s">
        <v>13</v>
      </c>
      <c r="F6419" t="s">
        <v>19</v>
      </c>
      <c r="G6419" t="s">
        <v>23</v>
      </c>
      <c r="K6419" cm="1">
        <f t="array" ref="K6419">_xlfn.SWITCH(LeadsData[[#This Row],[Funnel Stage Reached]],"Lead",1,"MQL",2,"SQL",3,"Customer",4)</f>
        <v>2</v>
      </c>
      <c r="L6419" t="str">
        <f>TEXT(LeadsData[[#This Row],[Signup Date]],"mmm-yyyy")</f>
        <v>Jul-2024</v>
      </c>
      <c r="M6419">
        <f>IF(LeadsData[[#This Row],[Stage Number]]&gt;=2,1,0)</f>
        <v>1</v>
      </c>
      <c r="N6419" s="2">
        <f>IF(LeadsData[[#This Row],[Stage Number]]&gt;=3,1,0)</f>
        <v>0</v>
      </c>
      <c r="O6419" s="2">
        <f>IF(LeadsData[[#This Row],[Stage Number]]&gt;=4,1,0)</f>
        <v>0</v>
      </c>
    </row>
    <row r="6420" spans="1:15" x14ac:dyDescent="0.25">
      <c r="A6420" t="s">
        <v>6460</v>
      </c>
      <c r="B6420" s="1">
        <v>45643</v>
      </c>
      <c r="C6420" t="s">
        <v>11</v>
      </c>
      <c r="D6420" t="s">
        <v>79</v>
      </c>
      <c r="E6420" t="s">
        <v>13</v>
      </c>
      <c r="F6420" t="s">
        <v>14</v>
      </c>
      <c r="G6420" t="s">
        <v>15</v>
      </c>
      <c r="K6420" cm="1">
        <f t="array" ref="K6420">_xlfn.SWITCH(LeadsData[[#This Row],[Funnel Stage Reached]],"Lead",1,"MQL",2,"SQL",3,"Customer",4)</f>
        <v>1</v>
      </c>
      <c r="L6420" t="str">
        <f>TEXT(LeadsData[[#This Row],[Signup Date]],"mmm-yyyy")</f>
        <v>Dec-2024</v>
      </c>
      <c r="M6420">
        <f>IF(LeadsData[[#This Row],[Stage Number]]&gt;=2,1,0)</f>
        <v>0</v>
      </c>
      <c r="N6420" s="2">
        <f>IF(LeadsData[[#This Row],[Stage Number]]&gt;=3,1,0)</f>
        <v>0</v>
      </c>
      <c r="O6420" s="2">
        <f>IF(LeadsData[[#This Row],[Stage Number]]&gt;=4,1,0)</f>
        <v>0</v>
      </c>
    </row>
    <row r="6421" spans="1:15" x14ac:dyDescent="0.25">
      <c r="A6421" t="s">
        <v>6461</v>
      </c>
      <c r="B6421" s="1">
        <v>45629</v>
      </c>
      <c r="C6421" t="s">
        <v>46</v>
      </c>
      <c r="D6421" t="s">
        <v>56</v>
      </c>
      <c r="E6421" t="s">
        <v>21</v>
      </c>
      <c r="F6421" t="s">
        <v>28</v>
      </c>
      <c r="G6421" t="s">
        <v>23</v>
      </c>
      <c r="K6421" cm="1">
        <f t="array" ref="K6421">_xlfn.SWITCH(LeadsData[[#This Row],[Funnel Stage Reached]],"Lead",1,"MQL",2,"SQL",3,"Customer",4)</f>
        <v>2</v>
      </c>
      <c r="L6421" t="str">
        <f>TEXT(LeadsData[[#This Row],[Signup Date]],"mmm-yyyy")</f>
        <v>Dec-2024</v>
      </c>
      <c r="M6421">
        <f>IF(LeadsData[[#This Row],[Stage Number]]&gt;=2,1,0)</f>
        <v>1</v>
      </c>
      <c r="N6421" s="2">
        <f>IF(LeadsData[[#This Row],[Stage Number]]&gt;=3,1,0)</f>
        <v>0</v>
      </c>
      <c r="O6421" s="2">
        <f>IF(LeadsData[[#This Row],[Stage Number]]&gt;=4,1,0)</f>
        <v>0</v>
      </c>
    </row>
    <row r="6422" spans="1:15" x14ac:dyDescent="0.25">
      <c r="A6422" t="s">
        <v>6462</v>
      </c>
      <c r="B6422" s="1">
        <v>45410</v>
      </c>
      <c r="C6422" t="s">
        <v>11</v>
      </c>
      <c r="D6422" t="s">
        <v>79</v>
      </c>
      <c r="E6422" t="s">
        <v>48</v>
      </c>
      <c r="F6422" t="s">
        <v>14</v>
      </c>
      <c r="G6422" t="s">
        <v>23</v>
      </c>
      <c r="K6422" cm="1">
        <f t="array" ref="K6422">_xlfn.SWITCH(LeadsData[[#This Row],[Funnel Stage Reached]],"Lead",1,"MQL",2,"SQL",3,"Customer",4)</f>
        <v>2</v>
      </c>
      <c r="L6422" t="str">
        <f>TEXT(LeadsData[[#This Row],[Signup Date]],"mmm-yyyy")</f>
        <v>Apr-2024</v>
      </c>
      <c r="M6422">
        <f>IF(LeadsData[[#This Row],[Stage Number]]&gt;=2,1,0)</f>
        <v>1</v>
      </c>
      <c r="N6422" s="2">
        <f>IF(LeadsData[[#This Row],[Stage Number]]&gt;=3,1,0)</f>
        <v>0</v>
      </c>
      <c r="O6422" s="2">
        <f>IF(LeadsData[[#This Row],[Stage Number]]&gt;=4,1,0)</f>
        <v>0</v>
      </c>
    </row>
    <row r="6423" spans="1:15" x14ac:dyDescent="0.25">
      <c r="A6423" t="s">
        <v>6463</v>
      </c>
      <c r="B6423" s="1">
        <v>45352</v>
      </c>
      <c r="C6423" t="s">
        <v>17</v>
      </c>
      <c r="D6423" t="s">
        <v>53</v>
      </c>
      <c r="E6423" t="s">
        <v>48</v>
      </c>
      <c r="F6423" t="s">
        <v>19</v>
      </c>
      <c r="G6423" t="s">
        <v>23</v>
      </c>
      <c r="K6423" cm="1">
        <f t="array" ref="K6423">_xlfn.SWITCH(LeadsData[[#This Row],[Funnel Stage Reached]],"Lead",1,"MQL",2,"SQL",3,"Customer",4)</f>
        <v>2</v>
      </c>
      <c r="L6423" t="str">
        <f>TEXT(LeadsData[[#This Row],[Signup Date]],"mmm-yyyy")</f>
        <v>Mar-2024</v>
      </c>
      <c r="M6423">
        <f>IF(LeadsData[[#This Row],[Stage Number]]&gt;=2,1,0)</f>
        <v>1</v>
      </c>
      <c r="N6423" s="2">
        <f>IF(LeadsData[[#This Row],[Stage Number]]&gt;=3,1,0)</f>
        <v>0</v>
      </c>
      <c r="O6423" s="2">
        <f>IF(LeadsData[[#This Row],[Stage Number]]&gt;=4,1,0)</f>
        <v>0</v>
      </c>
    </row>
    <row r="6424" spans="1:15" x14ac:dyDescent="0.25">
      <c r="A6424" t="s">
        <v>6464</v>
      </c>
      <c r="B6424" s="1">
        <v>45492</v>
      </c>
      <c r="C6424" t="s">
        <v>25</v>
      </c>
      <c r="D6424" t="s">
        <v>26</v>
      </c>
      <c r="E6424" t="s">
        <v>21</v>
      </c>
      <c r="F6424" t="s">
        <v>22</v>
      </c>
      <c r="G6424" t="s">
        <v>15</v>
      </c>
      <c r="K6424" cm="1">
        <f t="array" ref="K6424">_xlfn.SWITCH(LeadsData[[#This Row],[Funnel Stage Reached]],"Lead",1,"MQL",2,"SQL",3,"Customer",4)</f>
        <v>1</v>
      </c>
      <c r="L6424" t="str">
        <f>TEXT(LeadsData[[#This Row],[Signup Date]],"mmm-yyyy")</f>
        <v>Jul-2024</v>
      </c>
      <c r="M6424">
        <f>IF(LeadsData[[#This Row],[Stage Number]]&gt;=2,1,0)</f>
        <v>0</v>
      </c>
      <c r="N6424" s="2">
        <f>IF(LeadsData[[#This Row],[Stage Number]]&gt;=3,1,0)</f>
        <v>0</v>
      </c>
      <c r="O6424" s="2">
        <f>IF(LeadsData[[#This Row],[Stage Number]]&gt;=4,1,0)</f>
        <v>0</v>
      </c>
    </row>
    <row r="6425" spans="1:15" x14ac:dyDescent="0.25">
      <c r="A6425" t="s">
        <v>6465</v>
      </c>
      <c r="B6425" s="1">
        <v>45561</v>
      </c>
      <c r="C6425" t="s">
        <v>25</v>
      </c>
      <c r="D6425" t="s">
        <v>26</v>
      </c>
      <c r="E6425" t="s">
        <v>21</v>
      </c>
      <c r="F6425" t="s">
        <v>19</v>
      </c>
      <c r="G6425" t="s">
        <v>23</v>
      </c>
      <c r="K6425" cm="1">
        <f t="array" ref="K6425">_xlfn.SWITCH(LeadsData[[#This Row],[Funnel Stage Reached]],"Lead",1,"MQL",2,"SQL",3,"Customer",4)</f>
        <v>2</v>
      </c>
      <c r="L6425" t="str">
        <f>TEXT(LeadsData[[#This Row],[Signup Date]],"mmm-yyyy")</f>
        <v>Sep-2024</v>
      </c>
      <c r="M6425">
        <f>IF(LeadsData[[#This Row],[Stage Number]]&gt;=2,1,0)</f>
        <v>1</v>
      </c>
      <c r="N6425" s="2">
        <f>IF(LeadsData[[#This Row],[Stage Number]]&gt;=3,1,0)</f>
        <v>0</v>
      </c>
      <c r="O6425" s="2">
        <f>IF(LeadsData[[#This Row],[Stage Number]]&gt;=4,1,0)</f>
        <v>0</v>
      </c>
    </row>
    <row r="6426" spans="1:15" x14ac:dyDescent="0.25">
      <c r="A6426" t="s">
        <v>6466</v>
      </c>
      <c r="B6426" s="1">
        <v>45366</v>
      </c>
      <c r="C6426" t="s">
        <v>46</v>
      </c>
      <c r="D6426" t="s">
        <v>56</v>
      </c>
      <c r="E6426" t="s">
        <v>13</v>
      </c>
      <c r="F6426" t="s">
        <v>22</v>
      </c>
      <c r="G6426" t="s">
        <v>23</v>
      </c>
      <c r="K6426" cm="1">
        <f t="array" ref="K6426">_xlfn.SWITCH(LeadsData[[#This Row],[Funnel Stage Reached]],"Lead",1,"MQL",2,"SQL",3,"Customer",4)</f>
        <v>2</v>
      </c>
      <c r="L6426" t="str">
        <f>TEXT(LeadsData[[#This Row],[Signup Date]],"mmm-yyyy")</f>
        <v>Mar-2024</v>
      </c>
      <c r="M6426">
        <f>IF(LeadsData[[#This Row],[Stage Number]]&gt;=2,1,0)</f>
        <v>1</v>
      </c>
      <c r="N6426" s="2">
        <f>IF(LeadsData[[#This Row],[Stage Number]]&gt;=3,1,0)</f>
        <v>0</v>
      </c>
      <c r="O6426" s="2">
        <f>IF(LeadsData[[#This Row],[Stage Number]]&gt;=4,1,0)</f>
        <v>0</v>
      </c>
    </row>
    <row r="6427" spans="1:15" x14ac:dyDescent="0.25">
      <c r="A6427" t="s">
        <v>6467</v>
      </c>
      <c r="B6427" s="1">
        <v>45649</v>
      </c>
      <c r="C6427" t="s">
        <v>25</v>
      </c>
      <c r="D6427" t="s">
        <v>26</v>
      </c>
      <c r="E6427" t="s">
        <v>13</v>
      </c>
      <c r="F6427" t="s">
        <v>22</v>
      </c>
      <c r="G6427" t="s">
        <v>23</v>
      </c>
      <c r="K6427" cm="1">
        <f t="array" ref="K6427">_xlfn.SWITCH(LeadsData[[#This Row],[Funnel Stage Reached]],"Lead",1,"MQL",2,"SQL",3,"Customer",4)</f>
        <v>2</v>
      </c>
      <c r="L6427" t="str">
        <f>TEXT(LeadsData[[#This Row],[Signup Date]],"mmm-yyyy")</f>
        <v>Dec-2024</v>
      </c>
      <c r="M6427">
        <f>IF(LeadsData[[#This Row],[Stage Number]]&gt;=2,1,0)</f>
        <v>1</v>
      </c>
      <c r="N6427" s="2">
        <f>IF(LeadsData[[#This Row],[Stage Number]]&gt;=3,1,0)</f>
        <v>0</v>
      </c>
      <c r="O6427" s="2">
        <f>IF(LeadsData[[#This Row],[Stage Number]]&gt;=4,1,0)</f>
        <v>0</v>
      </c>
    </row>
    <row r="6428" spans="1:15" x14ac:dyDescent="0.25">
      <c r="A6428" t="s">
        <v>6468</v>
      </c>
      <c r="B6428" s="1">
        <v>45445</v>
      </c>
      <c r="C6428" t="s">
        <v>11</v>
      </c>
      <c r="D6428" t="s">
        <v>68</v>
      </c>
      <c r="E6428" t="s">
        <v>21</v>
      </c>
      <c r="F6428" t="s">
        <v>19</v>
      </c>
      <c r="G6428" t="s">
        <v>15</v>
      </c>
      <c r="K6428" cm="1">
        <f t="array" ref="K6428">_xlfn.SWITCH(LeadsData[[#This Row],[Funnel Stage Reached]],"Lead",1,"MQL",2,"SQL",3,"Customer",4)</f>
        <v>1</v>
      </c>
      <c r="L6428" t="str">
        <f>TEXT(LeadsData[[#This Row],[Signup Date]],"mmm-yyyy")</f>
        <v>Jun-2024</v>
      </c>
      <c r="M6428">
        <f>IF(LeadsData[[#This Row],[Stage Number]]&gt;=2,1,0)</f>
        <v>0</v>
      </c>
      <c r="N6428" s="2">
        <f>IF(LeadsData[[#This Row],[Stage Number]]&gt;=3,1,0)</f>
        <v>0</v>
      </c>
      <c r="O6428" s="2">
        <f>IF(LeadsData[[#This Row],[Stage Number]]&gt;=4,1,0)</f>
        <v>0</v>
      </c>
    </row>
    <row r="6429" spans="1:15" x14ac:dyDescent="0.25">
      <c r="A6429" t="s">
        <v>6469</v>
      </c>
      <c r="B6429" s="1">
        <v>45641</v>
      </c>
      <c r="C6429" t="s">
        <v>36</v>
      </c>
      <c r="D6429" t="s">
        <v>37</v>
      </c>
      <c r="E6429" t="s">
        <v>13</v>
      </c>
      <c r="F6429" t="s">
        <v>14</v>
      </c>
      <c r="G6429" t="s">
        <v>23</v>
      </c>
      <c r="K6429" cm="1">
        <f t="array" ref="K6429">_xlfn.SWITCH(LeadsData[[#This Row],[Funnel Stage Reached]],"Lead",1,"MQL",2,"SQL",3,"Customer",4)</f>
        <v>2</v>
      </c>
      <c r="L6429" t="str">
        <f>TEXT(LeadsData[[#This Row],[Signup Date]],"mmm-yyyy")</f>
        <v>Dec-2024</v>
      </c>
      <c r="M6429">
        <f>IF(LeadsData[[#This Row],[Stage Number]]&gt;=2,1,0)</f>
        <v>1</v>
      </c>
      <c r="N6429" s="2">
        <f>IF(LeadsData[[#This Row],[Stage Number]]&gt;=3,1,0)</f>
        <v>0</v>
      </c>
      <c r="O6429" s="2">
        <f>IF(LeadsData[[#This Row],[Stage Number]]&gt;=4,1,0)</f>
        <v>0</v>
      </c>
    </row>
    <row r="6430" spans="1:15" x14ac:dyDescent="0.25">
      <c r="A6430" t="s">
        <v>6470</v>
      </c>
      <c r="B6430" s="1">
        <v>45582</v>
      </c>
      <c r="C6430" t="s">
        <v>17</v>
      </c>
      <c r="D6430" t="s">
        <v>18</v>
      </c>
      <c r="E6430" t="s">
        <v>21</v>
      </c>
      <c r="F6430" t="s">
        <v>19</v>
      </c>
      <c r="G6430" t="s">
        <v>23</v>
      </c>
      <c r="K6430" cm="1">
        <f t="array" ref="K6430">_xlfn.SWITCH(LeadsData[[#This Row],[Funnel Stage Reached]],"Lead",1,"MQL",2,"SQL",3,"Customer",4)</f>
        <v>2</v>
      </c>
      <c r="L6430" t="str">
        <f>TEXT(LeadsData[[#This Row],[Signup Date]],"mmm-yyyy")</f>
        <v>Oct-2024</v>
      </c>
      <c r="M6430">
        <f>IF(LeadsData[[#This Row],[Stage Number]]&gt;=2,1,0)</f>
        <v>1</v>
      </c>
      <c r="N6430" s="2">
        <f>IF(LeadsData[[#This Row],[Stage Number]]&gt;=3,1,0)</f>
        <v>0</v>
      </c>
      <c r="O6430" s="2">
        <f>IF(LeadsData[[#This Row],[Stage Number]]&gt;=4,1,0)</f>
        <v>0</v>
      </c>
    </row>
    <row r="6431" spans="1:15" x14ac:dyDescent="0.25">
      <c r="A6431" t="s">
        <v>6471</v>
      </c>
      <c r="B6431" s="1">
        <v>45646</v>
      </c>
      <c r="C6431" t="s">
        <v>31</v>
      </c>
      <c r="D6431" t="s">
        <v>32</v>
      </c>
      <c r="E6431" t="s">
        <v>21</v>
      </c>
      <c r="F6431" t="s">
        <v>19</v>
      </c>
      <c r="G6431" t="s">
        <v>23</v>
      </c>
      <c r="K6431" cm="1">
        <f t="array" ref="K6431">_xlfn.SWITCH(LeadsData[[#This Row],[Funnel Stage Reached]],"Lead",1,"MQL",2,"SQL",3,"Customer",4)</f>
        <v>2</v>
      </c>
      <c r="L6431" t="str">
        <f>TEXT(LeadsData[[#This Row],[Signup Date]],"mmm-yyyy")</f>
        <v>Dec-2024</v>
      </c>
      <c r="M6431">
        <f>IF(LeadsData[[#This Row],[Stage Number]]&gt;=2,1,0)</f>
        <v>1</v>
      </c>
      <c r="N6431" s="2">
        <f>IF(LeadsData[[#This Row],[Stage Number]]&gt;=3,1,0)</f>
        <v>0</v>
      </c>
      <c r="O6431" s="2">
        <f>IF(LeadsData[[#This Row],[Stage Number]]&gt;=4,1,0)</f>
        <v>0</v>
      </c>
    </row>
    <row r="6432" spans="1:15" x14ac:dyDescent="0.25">
      <c r="A6432" t="s">
        <v>6472</v>
      </c>
      <c r="B6432" s="1">
        <v>45370</v>
      </c>
      <c r="C6432" t="s">
        <v>31</v>
      </c>
      <c r="D6432" t="s">
        <v>32</v>
      </c>
      <c r="E6432" t="s">
        <v>21</v>
      </c>
      <c r="F6432" t="s">
        <v>28</v>
      </c>
      <c r="G6432" t="s">
        <v>23</v>
      </c>
      <c r="K6432" cm="1">
        <f t="array" ref="K6432">_xlfn.SWITCH(LeadsData[[#This Row],[Funnel Stage Reached]],"Lead",1,"MQL",2,"SQL",3,"Customer",4)</f>
        <v>2</v>
      </c>
      <c r="L6432" t="str">
        <f>TEXT(LeadsData[[#This Row],[Signup Date]],"mmm-yyyy")</f>
        <v>Mar-2024</v>
      </c>
      <c r="M6432">
        <f>IF(LeadsData[[#This Row],[Stage Number]]&gt;=2,1,0)</f>
        <v>1</v>
      </c>
      <c r="N6432" s="2">
        <f>IF(LeadsData[[#This Row],[Stage Number]]&gt;=3,1,0)</f>
        <v>0</v>
      </c>
      <c r="O6432" s="2">
        <f>IF(LeadsData[[#This Row],[Stage Number]]&gt;=4,1,0)</f>
        <v>0</v>
      </c>
    </row>
    <row r="6433" spans="1:15" x14ac:dyDescent="0.25">
      <c r="A6433" t="s">
        <v>6473</v>
      </c>
      <c r="B6433" s="1">
        <v>45585</v>
      </c>
      <c r="C6433" t="s">
        <v>25</v>
      </c>
      <c r="D6433" t="s">
        <v>26</v>
      </c>
      <c r="E6433" t="s">
        <v>48</v>
      </c>
      <c r="F6433" t="s">
        <v>19</v>
      </c>
      <c r="G6433" t="s">
        <v>23</v>
      </c>
      <c r="K6433" cm="1">
        <f t="array" ref="K6433">_xlfn.SWITCH(LeadsData[[#This Row],[Funnel Stage Reached]],"Lead",1,"MQL",2,"SQL",3,"Customer",4)</f>
        <v>2</v>
      </c>
      <c r="L6433" t="str">
        <f>TEXT(LeadsData[[#This Row],[Signup Date]],"mmm-yyyy")</f>
        <v>Oct-2024</v>
      </c>
      <c r="M6433">
        <f>IF(LeadsData[[#This Row],[Stage Number]]&gt;=2,1,0)</f>
        <v>1</v>
      </c>
      <c r="N6433" s="2">
        <f>IF(LeadsData[[#This Row],[Stage Number]]&gt;=3,1,0)</f>
        <v>0</v>
      </c>
      <c r="O6433" s="2">
        <f>IF(LeadsData[[#This Row],[Stage Number]]&gt;=4,1,0)</f>
        <v>0</v>
      </c>
    </row>
    <row r="6434" spans="1:15" x14ac:dyDescent="0.25">
      <c r="A6434" t="s">
        <v>6474</v>
      </c>
      <c r="B6434" s="1">
        <v>45612</v>
      </c>
      <c r="C6434" t="s">
        <v>17</v>
      </c>
      <c r="D6434" t="s">
        <v>18</v>
      </c>
      <c r="E6434" t="s">
        <v>21</v>
      </c>
      <c r="F6434" t="s">
        <v>19</v>
      </c>
      <c r="G6434" t="s">
        <v>15</v>
      </c>
      <c r="K6434" cm="1">
        <f t="array" ref="K6434">_xlfn.SWITCH(LeadsData[[#This Row],[Funnel Stage Reached]],"Lead",1,"MQL",2,"SQL",3,"Customer",4)</f>
        <v>1</v>
      </c>
      <c r="L6434" t="str">
        <f>TEXT(LeadsData[[#This Row],[Signup Date]],"mmm-yyyy")</f>
        <v>Nov-2024</v>
      </c>
      <c r="M6434">
        <f>IF(LeadsData[[#This Row],[Stage Number]]&gt;=2,1,0)</f>
        <v>0</v>
      </c>
      <c r="N6434" s="2">
        <f>IF(LeadsData[[#This Row],[Stage Number]]&gt;=3,1,0)</f>
        <v>0</v>
      </c>
      <c r="O6434" s="2">
        <f>IF(LeadsData[[#This Row],[Stage Number]]&gt;=4,1,0)</f>
        <v>0</v>
      </c>
    </row>
    <row r="6435" spans="1:15" x14ac:dyDescent="0.25">
      <c r="A6435" t="s">
        <v>6475</v>
      </c>
      <c r="B6435" s="1">
        <v>45631</v>
      </c>
      <c r="C6435" t="s">
        <v>31</v>
      </c>
      <c r="D6435" t="s">
        <v>32</v>
      </c>
      <c r="E6435" t="s">
        <v>13</v>
      </c>
      <c r="F6435" t="s">
        <v>28</v>
      </c>
      <c r="G6435" t="s">
        <v>42</v>
      </c>
      <c r="H6435">
        <v>13</v>
      </c>
      <c r="I6435" t="s">
        <v>43</v>
      </c>
      <c r="J6435">
        <v>816.79</v>
      </c>
      <c r="K6435" cm="1">
        <f t="array" ref="K6435">_xlfn.SWITCH(LeadsData[[#This Row],[Funnel Stage Reached]],"Lead",1,"MQL",2,"SQL",3,"Customer",4)</f>
        <v>4</v>
      </c>
      <c r="L6435" t="str">
        <f>TEXT(LeadsData[[#This Row],[Signup Date]],"mmm-yyyy")</f>
        <v>Dec-2024</v>
      </c>
      <c r="M6435">
        <f>IF(LeadsData[[#This Row],[Stage Number]]&gt;=2,1,0)</f>
        <v>1</v>
      </c>
      <c r="N6435" s="2">
        <f>IF(LeadsData[[#This Row],[Stage Number]]&gt;=3,1,0)</f>
        <v>1</v>
      </c>
      <c r="O6435" s="2">
        <f>IF(LeadsData[[#This Row],[Stage Number]]&gt;=4,1,0)</f>
        <v>1</v>
      </c>
    </row>
    <row r="6436" spans="1:15" x14ac:dyDescent="0.25">
      <c r="A6436" t="s">
        <v>6476</v>
      </c>
      <c r="B6436" s="1">
        <v>45396</v>
      </c>
      <c r="C6436" t="s">
        <v>46</v>
      </c>
      <c r="D6436" t="s">
        <v>56</v>
      </c>
      <c r="E6436" t="s">
        <v>13</v>
      </c>
      <c r="F6436" t="s">
        <v>22</v>
      </c>
      <c r="G6436" t="s">
        <v>42</v>
      </c>
      <c r="H6436">
        <v>59</v>
      </c>
      <c r="I6436" t="s">
        <v>43</v>
      </c>
      <c r="J6436">
        <v>1140.18</v>
      </c>
      <c r="K6436" cm="1">
        <f t="array" ref="K6436">_xlfn.SWITCH(LeadsData[[#This Row],[Funnel Stage Reached]],"Lead",1,"MQL",2,"SQL",3,"Customer",4)</f>
        <v>4</v>
      </c>
      <c r="L6436" t="str">
        <f>TEXT(LeadsData[[#This Row],[Signup Date]],"mmm-yyyy")</f>
        <v>Apr-2024</v>
      </c>
      <c r="M6436">
        <f>IF(LeadsData[[#This Row],[Stage Number]]&gt;=2,1,0)</f>
        <v>1</v>
      </c>
      <c r="N6436" s="2">
        <f>IF(LeadsData[[#This Row],[Stage Number]]&gt;=3,1,0)</f>
        <v>1</v>
      </c>
      <c r="O6436" s="2">
        <f>IF(LeadsData[[#This Row],[Stage Number]]&gt;=4,1,0)</f>
        <v>1</v>
      </c>
    </row>
    <row r="6437" spans="1:15" x14ac:dyDescent="0.25">
      <c r="A6437" t="s">
        <v>6477</v>
      </c>
      <c r="B6437" s="1">
        <v>45509</v>
      </c>
      <c r="C6437" t="s">
        <v>25</v>
      </c>
      <c r="D6437" t="s">
        <v>26</v>
      </c>
      <c r="E6437" t="s">
        <v>21</v>
      </c>
      <c r="F6437" t="s">
        <v>19</v>
      </c>
      <c r="G6437" t="s">
        <v>15</v>
      </c>
      <c r="K6437" cm="1">
        <f t="array" ref="K6437">_xlfn.SWITCH(LeadsData[[#This Row],[Funnel Stage Reached]],"Lead",1,"MQL",2,"SQL",3,"Customer",4)</f>
        <v>1</v>
      </c>
      <c r="L6437" t="str">
        <f>TEXT(LeadsData[[#This Row],[Signup Date]],"mmm-yyyy")</f>
        <v>Aug-2024</v>
      </c>
      <c r="M6437">
        <f>IF(LeadsData[[#This Row],[Stage Number]]&gt;=2,1,0)</f>
        <v>0</v>
      </c>
      <c r="N6437" s="2">
        <f>IF(LeadsData[[#This Row],[Stage Number]]&gt;=3,1,0)</f>
        <v>0</v>
      </c>
      <c r="O6437" s="2">
        <f>IF(LeadsData[[#This Row],[Stage Number]]&gt;=4,1,0)</f>
        <v>0</v>
      </c>
    </row>
    <row r="6438" spans="1:15" x14ac:dyDescent="0.25">
      <c r="A6438" t="s">
        <v>6478</v>
      </c>
      <c r="B6438" s="1">
        <v>45646</v>
      </c>
      <c r="C6438" t="s">
        <v>36</v>
      </c>
      <c r="D6438" t="s">
        <v>37</v>
      </c>
      <c r="E6438" t="s">
        <v>21</v>
      </c>
      <c r="F6438" t="s">
        <v>22</v>
      </c>
      <c r="G6438" t="s">
        <v>29</v>
      </c>
      <c r="K6438" cm="1">
        <f t="array" ref="K6438">_xlfn.SWITCH(LeadsData[[#This Row],[Funnel Stage Reached]],"Lead",1,"MQL",2,"SQL",3,"Customer",4)</f>
        <v>3</v>
      </c>
      <c r="L6438" t="str">
        <f>TEXT(LeadsData[[#This Row],[Signup Date]],"mmm-yyyy")</f>
        <v>Dec-2024</v>
      </c>
      <c r="M6438">
        <f>IF(LeadsData[[#This Row],[Stage Number]]&gt;=2,1,0)</f>
        <v>1</v>
      </c>
      <c r="N6438" s="2">
        <f>IF(LeadsData[[#This Row],[Stage Number]]&gt;=3,1,0)</f>
        <v>1</v>
      </c>
      <c r="O6438" s="2">
        <f>IF(LeadsData[[#This Row],[Stage Number]]&gt;=4,1,0)</f>
        <v>0</v>
      </c>
    </row>
    <row r="6439" spans="1:15" x14ac:dyDescent="0.25">
      <c r="A6439" t="s">
        <v>6479</v>
      </c>
      <c r="B6439" s="1">
        <v>45362</v>
      </c>
      <c r="C6439" t="s">
        <v>31</v>
      </c>
      <c r="D6439" t="s">
        <v>32</v>
      </c>
      <c r="E6439" t="s">
        <v>21</v>
      </c>
      <c r="F6439" t="s">
        <v>22</v>
      </c>
      <c r="G6439" t="s">
        <v>29</v>
      </c>
      <c r="K6439" cm="1">
        <f t="array" ref="K6439">_xlfn.SWITCH(LeadsData[[#This Row],[Funnel Stage Reached]],"Lead",1,"MQL",2,"SQL",3,"Customer",4)</f>
        <v>3</v>
      </c>
      <c r="L6439" t="str">
        <f>TEXT(LeadsData[[#This Row],[Signup Date]],"mmm-yyyy")</f>
        <v>Mar-2024</v>
      </c>
      <c r="M6439">
        <f>IF(LeadsData[[#This Row],[Stage Number]]&gt;=2,1,0)</f>
        <v>1</v>
      </c>
      <c r="N6439" s="2">
        <f>IF(LeadsData[[#This Row],[Stage Number]]&gt;=3,1,0)</f>
        <v>1</v>
      </c>
      <c r="O6439" s="2">
        <f>IF(LeadsData[[#This Row],[Stage Number]]&gt;=4,1,0)</f>
        <v>0</v>
      </c>
    </row>
    <row r="6440" spans="1:15" x14ac:dyDescent="0.25">
      <c r="A6440" t="s">
        <v>6480</v>
      </c>
      <c r="B6440" s="1">
        <v>45640</v>
      </c>
      <c r="C6440" t="s">
        <v>36</v>
      </c>
      <c r="D6440" t="s">
        <v>37</v>
      </c>
      <c r="E6440" t="s">
        <v>48</v>
      </c>
      <c r="F6440" t="s">
        <v>19</v>
      </c>
      <c r="G6440" t="s">
        <v>23</v>
      </c>
      <c r="K6440" cm="1">
        <f t="array" ref="K6440">_xlfn.SWITCH(LeadsData[[#This Row],[Funnel Stage Reached]],"Lead",1,"MQL",2,"SQL",3,"Customer",4)</f>
        <v>2</v>
      </c>
      <c r="L6440" t="str">
        <f>TEXT(LeadsData[[#This Row],[Signup Date]],"mmm-yyyy")</f>
        <v>Dec-2024</v>
      </c>
      <c r="M6440">
        <f>IF(LeadsData[[#This Row],[Stage Number]]&gt;=2,1,0)</f>
        <v>1</v>
      </c>
      <c r="N6440" s="2">
        <f>IF(LeadsData[[#This Row],[Stage Number]]&gt;=3,1,0)</f>
        <v>0</v>
      </c>
      <c r="O6440" s="2">
        <f>IF(LeadsData[[#This Row],[Stage Number]]&gt;=4,1,0)</f>
        <v>0</v>
      </c>
    </row>
    <row r="6441" spans="1:15" x14ac:dyDescent="0.25">
      <c r="A6441" t="s">
        <v>6481</v>
      </c>
      <c r="B6441" s="1">
        <v>45619</v>
      </c>
      <c r="C6441" t="s">
        <v>31</v>
      </c>
      <c r="D6441" t="s">
        <v>32</v>
      </c>
      <c r="E6441" t="s">
        <v>21</v>
      </c>
      <c r="F6441" t="s">
        <v>22</v>
      </c>
      <c r="G6441" t="s">
        <v>15</v>
      </c>
      <c r="K6441" cm="1">
        <f t="array" ref="K6441">_xlfn.SWITCH(LeadsData[[#This Row],[Funnel Stage Reached]],"Lead",1,"MQL",2,"SQL",3,"Customer",4)</f>
        <v>1</v>
      </c>
      <c r="L6441" t="str">
        <f>TEXT(LeadsData[[#This Row],[Signup Date]],"mmm-yyyy")</f>
        <v>Nov-2024</v>
      </c>
      <c r="M6441">
        <f>IF(LeadsData[[#This Row],[Stage Number]]&gt;=2,1,0)</f>
        <v>0</v>
      </c>
      <c r="N6441" s="2">
        <f>IF(LeadsData[[#This Row],[Stage Number]]&gt;=3,1,0)</f>
        <v>0</v>
      </c>
      <c r="O6441" s="2">
        <f>IF(LeadsData[[#This Row],[Stage Number]]&gt;=4,1,0)</f>
        <v>0</v>
      </c>
    </row>
    <row r="6442" spans="1:15" x14ac:dyDescent="0.25">
      <c r="A6442" t="s">
        <v>6482</v>
      </c>
      <c r="B6442" s="1">
        <v>45304</v>
      </c>
      <c r="C6442" t="s">
        <v>17</v>
      </c>
      <c r="D6442" t="s">
        <v>53</v>
      </c>
      <c r="E6442" t="s">
        <v>21</v>
      </c>
      <c r="F6442" t="s">
        <v>14</v>
      </c>
      <c r="G6442" t="s">
        <v>15</v>
      </c>
      <c r="K6442" cm="1">
        <f t="array" ref="K6442">_xlfn.SWITCH(LeadsData[[#This Row],[Funnel Stage Reached]],"Lead",1,"MQL",2,"SQL",3,"Customer",4)</f>
        <v>1</v>
      </c>
      <c r="L6442" t="str">
        <f>TEXT(LeadsData[[#This Row],[Signup Date]],"mmm-yyyy")</f>
        <v>Jan-2024</v>
      </c>
      <c r="M6442">
        <f>IF(LeadsData[[#This Row],[Stage Number]]&gt;=2,1,0)</f>
        <v>0</v>
      </c>
      <c r="N6442" s="2">
        <f>IF(LeadsData[[#This Row],[Stage Number]]&gt;=3,1,0)</f>
        <v>0</v>
      </c>
      <c r="O6442" s="2">
        <f>IF(LeadsData[[#This Row],[Stage Number]]&gt;=4,1,0)</f>
        <v>0</v>
      </c>
    </row>
    <row r="6443" spans="1:15" x14ac:dyDescent="0.25">
      <c r="A6443" t="s">
        <v>6483</v>
      </c>
      <c r="B6443" s="1">
        <v>45542</v>
      </c>
      <c r="C6443" t="s">
        <v>46</v>
      </c>
      <c r="D6443" t="s">
        <v>47</v>
      </c>
      <c r="E6443" t="s">
        <v>13</v>
      </c>
      <c r="F6443" t="s">
        <v>19</v>
      </c>
      <c r="G6443" t="s">
        <v>15</v>
      </c>
      <c r="K6443" cm="1">
        <f t="array" ref="K6443">_xlfn.SWITCH(LeadsData[[#This Row],[Funnel Stage Reached]],"Lead",1,"MQL",2,"SQL",3,"Customer",4)</f>
        <v>1</v>
      </c>
      <c r="L6443" t="str">
        <f>TEXT(LeadsData[[#This Row],[Signup Date]],"mmm-yyyy")</f>
        <v>Sep-2024</v>
      </c>
      <c r="M6443">
        <f>IF(LeadsData[[#This Row],[Stage Number]]&gt;=2,1,0)</f>
        <v>0</v>
      </c>
      <c r="N6443" s="2">
        <f>IF(LeadsData[[#This Row],[Stage Number]]&gt;=3,1,0)</f>
        <v>0</v>
      </c>
      <c r="O6443" s="2">
        <f>IF(LeadsData[[#This Row],[Stage Number]]&gt;=4,1,0)</f>
        <v>0</v>
      </c>
    </row>
    <row r="6444" spans="1:15" x14ac:dyDescent="0.25">
      <c r="A6444" t="s">
        <v>6484</v>
      </c>
      <c r="B6444" s="1">
        <v>45612</v>
      </c>
      <c r="C6444" t="s">
        <v>31</v>
      </c>
      <c r="D6444" t="s">
        <v>34</v>
      </c>
      <c r="E6444" t="s">
        <v>13</v>
      </c>
      <c r="F6444" t="s">
        <v>19</v>
      </c>
      <c r="G6444" t="s">
        <v>29</v>
      </c>
      <c r="K6444" cm="1">
        <f t="array" ref="K6444">_xlfn.SWITCH(LeadsData[[#This Row],[Funnel Stage Reached]],"Lead",1,"MQL",2,"SQL",3,"Customer",4)</f>
        <v>3</v>
      </c>
      <c r="L6444" t="str">
        <f>TEXT(LeadsData[[#This Row],[Signup Date]],"mmm-yyyy")</f>
        <v>Nov-2024</v>
      </c>
      <c r="M6444">
        <f>IF(LeadsData[[#This Row],[Stage Number]]&gt;=2,1,0)</f>
        <v>1</v>
      </c>
      <c r="N6444" s="2">
        <f>IF(LeadsData[[#This Row],[Stage Number]]&gt;=3,1,0)</f>
        <v>1</v>
      </c>
      <c r="O6444" s="2">
        <f>IF(LeadsData[[#This Row],[Stage Number]]&gt;=4,1,0)</f>
        <v>0</v>
      </c>
    </row>
    <row r="6445" spans="1:15" x14ac:dyDescent="0.25">
      <c r="A6445" t="s">
        <v>6485</v>
      </c>
      <c r="B6445" s="1">
        <v>45365</v>
      </c>
      <c r="C6445" t="s">
        <v>46</v>
      </c>
      <c r="D6445" t="s">
        <v>56</v>
      </c>
      <c r="E6445" t="s">
        <v>48</v>
      </c>
      <c r="F6445" t="s">
        <v>22</v>
      </c>
      <c r="G6445" t="s">
        <v>15</v>
      </c>
      <c r="K6445" cm="1">
        <f t="array" ref="K6445">_xlfn.SWITCH(LeadsData[[#This Row],[Funnel Stage Reached]],"Lead",1,"MQL",2,"SQL",3,"Customer",4)</f>
        <v>1</v>
      </c>
      <c r="L6445" t="str">
        <f>TEXT(LeadsData[[#This Row],[Signup Date]],"mmm-yyyy")</f>
        <v>Mar-2024</v>
      </c>
      <c r="M6445">
        <f>IF(LeadsData[[#This Row],[Stage Number]]&gt;=2,1,0)</f>
        <v>0</v>
      </c>
      <c r="N6445" s="2">
        <f>IF(LeadsData[[#This Row],[Stage Number]]&gt;=3,1,0)</f>
        <v>0</v>
      </c>
      <c r="O6445" s="2">
        <f>IF(LeadsData[[#This Row],[Stage Number]]&gt;=4,1,0)</f>
        <v>0</v>
      </c>
    </row>
    <row r="6446" spans="1:15" x14ac:dyDescent="0.25">
      <c r="A6446" t="s">
        <v>6486</v>
      </c>
      <c r="B6446" s="1">
        <v>45513</v>
      </c>
      <c r="C6446" t="s">
        <v>31</v>
      </c>
      <c r="D6446" t="s">
        <v>32</v>
      </c>
      <c r="E6446" t="s">
        <v>21</v>
      </c>
      <c r="F6446" t="s">
        <v>22</v>
      </c>
      <c r="G6446" t="s">
        <v>15</v>
      </c>
      <c r="K6446" cm="1">
        <f t="array" ref="K6446">_xlfn.SWITCH(LeadsData[[#This Row],[Funnel Stage Reached]],"Lead",1,"MQL",2,"SQL",3,"Customer",4)</f>
        <v>1</v>
      </c>
      <c r="L6446" t="str">
        <f>TEXT(LeadsData[[#This Row],[Signup Date]],"mmm-yyyy")</f>
        <v>Aug-2024</v>
      </c>
      <c r="M6446">
        <f>IF(LeadsData[[#This Row],[Stage Number]]&gt;=2,1,0)</f>
        <v>0</v>
      </c>
      <c r="N6446" s="2">
        <f>IF(LeadsData[[#This Row],[Stage Number]]&gt;=3,1,0)</f>
        <v>0</v>
      </c>
      <c r="O6446" s="2">
        <f>IF(LeadsData[[#This Row],[Stage Number]]&gt;=4,1,0)</f>
        <v>0</v>
      </c>
    </row>
    <row r="6447" spans="1:15" x14ac:dyDescent="0.25">
      <c r="A6447" t="s">
        <v>6487</v>
      </c>
      <c r="B6447" s="1">
        <v>45494</v>
      </c>
      <c r="C6447" t="s">
        <v>11</v>
      </c>
      <c r="D6447" t="s">
        <v>68</v>
      </c>
      <c r="E6447" t="s">
        <v>13</v>
      </c>
      <c r="F6447" t="s">
        <v>28</v>
      </c>
      <c r="G6447" t="s">
        <v>15</v>
      </c>
      <c r="K6447" cm="1">
        <f t="array" ref="K6447">_xlfn.SWITCH(LeadsData[[#This Row],[Funnel Stage Reached]],"Lead",1,"MQL",2,"SQL",3,"Customer",4)</f>
        <v>1</v>
      </c>
      <c r="L6447" t="str">
        <f>TEXT(LeadsData[[#This Row],[Signup Date]],"mmm-yyyy")</f>
        <v>Jul-2024</v>
      </c>
      <c r="M6447">
        <f>IF(LeadsData[[#This Row],[Stage Number]]&gt;=2,1,0)</f>
        <v>0</v>
      </c>
      <c r="N6447" s="2">
        <f>IF(LeadsData[[#This Row],[Stage Number]]&gt;=3,1,0)</f>
        <v>0</v>
      </c>
      <c r="O6447" s="2">
        <f>IF(LeadsData[[#This Row],[Stage Number]]&gt;=4,1,0)</f>
        <v>0</v>
      </c>
    </row>
    <row r="6448" spans="1:15" x14ac:dyDescent="0.25">
      <c r="A6448" t="s">
        <v>6488</v>
      </c>
      <c r="B6448" s="1">
        <v>45455</v>
      </c>
      <c r="C6448" t="s">
        <v>31</v>
      </c>
      <c r="D6448" t="s">
        <v>32</v>
      </c>
      <c r="E6448" t="s">
        <v>13</v>
      </c>
      <c r="F6448" t="s">
        <v>14</v>
      </c>
      <c r="G6448" t="s">
        <v>23</v>
      </c>
      <c r="K6448" cm="1">
        <f t="array" ref="K6448">_xlfn.SWITCH(LeadsData[[#This Row],[Funnel Stage Reached]],"Lead",1,"MQL",2,"SQL",3,"Customer",4)</f>
        <v>2</v>
      </c>
      <c r="L6448" t="str">
        <f>TEXT(LeadsData[[#This Row],[Signup Date]],"mmm-yyyy")</f>
        <v>Jun-2024</v>
      </c>
      <c r="M6448">
        <f>IF(LeadsData[[#This Row],[Stage Number]]&gt;=2,1,0)</f>
        <v>1</v>
      </c>
      <c r="N6448" s="2">
        <f>IF(LeadsData[[#This Row],[Stage Number]]&gt;=3,1,0)</f>
        <v>0</v>
      </c>
      <c r="O6448" s="2">
        <f>IF(LeadsData[[#This Row],[Stage Number]]&gt;=4,1,0)</f>
        <v>0</v>
      </c>
    </row>
    <row r="6449" spans="1:15" x14ac:dyDescent="0.25">
      <c r="A6449" t="s">
        <v>6489</v>
      </c>
      <c r="B6449" s="1">
        <v>45510</v>
      </c>
      <c r="C6449" t="s">
        <v>31</v>
      </c>
      <c r="D6449" t="s">
        <v>34</v>
      </c>
      <c r="E6449" t="s">
        <v>48</v>
      </c>
      <c r="F6449" t="s">
        <v>19</v>
      </c>
      <c r="G6449" t="s">
        <v>15</v>
      </c>
      <c r="K6449" cm="1">
        <f t="array" ref="K6449">_xlfn.SWITCH(LeadsData[[#This Row],[Funnel Stage Reached]],"Lead",1,"MQL",2,"SQL",3,"Customer",4)</f>
        <v>1</v>
      </c>
      <c r="L6449" t="str">
        <f>TEXT(LeadsData[[#This Row],[Signup Date]],"mmm-yyyy")</f>
        <v>Aug-2024</v>
      </c>
      <c r="M6449">
        <f>IF(LeadsData[[#This Row],[Stage Number]]&gt;=2,1,0)</f>
        <v>0</v>
      </c>
      <c r="N6449" s="2">
        <f>IF(LeadsData[[#This Row],[Stage Number]]&gt;=3,1,0)</f>
        <v>0</v>
      </c>
      <c r="O6449" s="2">
        <f>IF(LeadsData[[#This Row],[Stage Number]]&gt;=4,1,0)</f>
        <v>0</v>
      </c>
    </row>
    <row r="6450" spans="1:15" x14ac:dyDescent="0.25">
      <c r="A6450" t="s">
        <v>6490</v>
      </c>
      <c r="B6450" s="1">
        <v>45553</v>
      </c>
      <c r="C6450" t="s">
        <v>31</v>
      </c>
      <c r="D6450" t="s">
        <v>32</v>
      </c>
      <c r="E6450" t="s">
        <v>13</v>
      </c>
      <c r="F6450" t="s">
        <v>19</v>
      </c>
      <c r="G6450" t="s">
        <v>29</v>
      </c>
      <c r="K6450" cm="1">
        <f t="array" ref="K6450">_xlfn.SWITCH(LeadsData[[#This Row],[Funnel Stage Reached]],"Lead",1,"MQL",2,"SQL",3,"Customer",4)</f>
        <v>3</v>
      </c>
      <c r="L6450" t="str">
        <f>TEXT(LeadsData[[#This Row],[Signup Date]],"mmm-yyyy")</f>
        <v>Sep-2024</v>
      </c>
      <c r="M6450">
        <f>IF(LeadsData[[#This Row],[Stage Number]]&gt;=2,1,0)</f>
        <v>1</v>
      </c>
      <c r="N6450" s="2">
        <f>IF(LeadsData[[#This Row],[Stage Number]]&gt;=3,1,0)</f>
        <v>1</v>
      </c>
      <c r="O6450" s="2">
        <f>IF(LeadsData[[#This Row],[Stage Number]]&gt;=4,1,0)</f>
        <v>0</v>
      </c>
    </row>
    <row r="6451" spans="1:15" x14ac:dyDescent="0.25">
      <c r="A6451" t="s">
        <v>6491</v>
      </c>
      <c r="B6451" s="1">
        <v>45580</v>
      </c>
      <c r="C6451" t="s">
        <v>31</v>
      </c>
      <c r="D6451" t="s">
        <v>34</v>
      </c>
      <c r="E6451" t="s">
        <v>13</v>
      </c>
      <c r="F6451" t="s">
        <v>19</v>
      </c>
      <c r="G6451" t="s">
        <v>15</v>
      </c>
      <c r="K6451" cm="1">
        <f t="array" ref="K6451">_xlfn.SWITCH(LeadsData[[#This Row],[Funnel Stage Reached]],"Lead",1,"MQL",2,"SQL",3,"Customer",4)</f>
        <v>1</v>
      </c>
      <c r="L6451" t="str">
        <f>TEXT(LeadsData[[#This Row],[Signup Date]],"mmm-yyyy")</f>
        <v>Oct-2024</v>
      </c>
      <c r="M6451">
        <f>IF(LeadsData[[#This Row],[Stage Number]]&gt;=2,1,0)</f>
        <v>0</v>
      </c>
      <c r="N6451" s="2">
        <f>IF(LeadsData[[#This Row],[Stage Number]]&gt;=3,1,0)</f>
        <v>0</v>
      </c>
      <c r="O6451" s="2">
        <f>IF(LeadsData[[#This Row],[Stage Number]]&gt;=4,1,0)</f>
        <v>0</v>
      </c>
    </row>
    <row r="6452" spans="1:15" x14ac:dyDescent="0.25">
      <c r="A6452" t="s">
        <v>6492</v>
      </c>
      <c r="B6452" s="1">
        <v>45610</v>
      </c>
      <c r="C6452" t="s">
        <v>25</v>
      </c>
      <c r="D6452" t="s">
        <v>26</v>
      </c>
      <c r="E6452" t="s">
        <v>13</v>
      </c>
      <c r="F6452" t="s">
        <v>22</v>
      </c>
      <c r="G6452" t="s">
        <v>15</v>
      </c>
      <c r="K6452" cm="1">
        <f t="array" ref="K6452">_xlfn.SWITCH(LeadsData[[#This Row],[Funnel Stage Reached]],"Lead",1,"MQL",2,"SQL",3,"Customer",4)</f>
        <v>1</v>
      </c>
      <c r="L6452" t="str">
        <f>TEXT(LeadsData[[#This Row],[Signup Date]],"mmm-yyyy")</f>
        <v>Nov-2024</v>
      </c>
      <c r="M6452">
        <f>IF(LeadsData[[#This Row],[Stage Number]]&gt;=2,1,0)</f>
        <v>0</v>
      </c>
      <c r="N6452" s="2">
        <f>IF(LeadsData[[#This Row],[Stage Number]]&gt;=3,1,0)</f>
        <v>0</v>
      </c>
      <c r="O6452" s="2">
        <f>IF(LeadsData[[#This Row],[Stage Number]]&gt;=4,1,0)</f>
        <v>0</v>
      </c>
    </row>
    <row r="6453" spans="1:15" x14ac:dyDescent="0.25">
      <c r="A6453" t="s">
        <v>6493</v>
      </c>
      <c r="B6453" s="1">
        <v>45466</v>
      </c>
      <c r="C6453" t="s">
        <v>36</v>
      </c>
      <c r="D6453" t="s">
        <v>50</v>
      </c>
      <c r="E6453" t="s">
        <v>13</v>
      </c>
      <c r="F6453" t="s">
        <v>19</v>
      </c>
      <c r="G6453" t="s">
        <v>23</v>
      </c>
      <c r="K6453" cm="1">
        <f t="array" ref="K6453">_xlfn.SWITCH(LeadsData[[#This Row],[Funnel Stage Reached]],"Lead",1,"MQL",2,"SQL",3,"Customer",4)</f>
        <v>2</v>
      </c>
      <c r="L6453" t="str">
        <f>TEXT(LeadsData[[#This Row],[Signup Date]],"mmm-yyyy")</f>
        <v>Jun-2024</v>
      </c>
      <c r="M6453">
        <f>IF(LeadsData[[#This Row],[Stage Number]]&gt;=2,1,0)</f>
        <v>1</v>
      </c>
      <c r="N6453" s="2">
        <f>IF(LeadsData[[#This Row],[Stage Number]]&gt;=3,1,0)</f>
        <v>0</v>
      </c>
      <c r="O6453" s="2">
        <f>IF(LeadsData[[#This Row],[Stage Number]]&gt;=4,1,0)</f>
        <v>0</v>
      </c>
    </row>
    <row r="6454" spans="1:15" x14ac:dyDescent="0.25">
      <c r="A6454" t="s">
        <v>6494</v>
      </c>
      <c r="B6454" s="1">
        <v>45605</v>
      </c>
      <c r="C6454" t="s">
        <v>36</v>
      </c>
      <c r="D6454" t="s">
        <v>50</v>
      </c>
      <c r="E6454" t="s">
        <v>21</v>
      </c>
      <c r="F6454" t="s">
        <v>19</v>
      </c>
      <c r="G6454" t="s">
        <v>23</v>
      </c>
      <c r="K6454" cm="1">
        <f t="array" ref="K6454">_xlfn.SWITCH(LeadsData[[#This Row],[Funnel Stage Reached]],"Lead",1,"MQL",2,"SQL",3,"Customer",4)</f>
        <v>2</v>
      </c>
      <c r="L6454" t="str">
        <f>TEXT(LeadsData[[#This Row],[Signup Date]],"mmm-yyyy")</f>
        <v>Nov-2024</v>
      </c>
      <c r="M6454">
        <f>IF(LeadsData[[#This Row],[Stage Number]]&gt;=2,1,0)</f>
        <v>1</v>
      </c>
      <c r="N6454" s="2">
        <f>IF(LeadsData[[#This Row],[Stage Number]]&gt;=3,1,0)</f>
        <v>0</v>
      </c>
      <c r="O6454" s="2">
        <f>IF(LeadsData[[#This Row],[Stage Number]]&gt;=4,1,0)</f>
        <v>0</v>
      </c>
    </row>
    <row r="6455" spans="1:15" x14ac:dyDescent="0.25">
      <c r="A6455" t="s">
        <v>6495</v>
      </c>
      <c r="B6455" s="1">
        <v>45432</v>
      </c>
      <c r="C6455" t="s">
        <v>17</v>
      </c>
      <c r="D6455" t="s">
        <v>53</v>
      </c>
      <c r="E6455" t="s">
        <v>13</v>
      </c>
      <c r="F6455" t="s">
        <v>14</v>
      </c>
      <c r="G6455" t="s">
        <v>15</v>
      </c>
      <c r="K6455" cm="1">
        <f t="array" ref="K6455">_xlfn.SWITCH(LeadsData[[#This Row],[Funnel Stage Reached]],"Lead",1,"MQL",2,"SQL",3,"Customer",4)</f>
        <v>1</v>
      </c>
      <c r="L6455" t="str">
        <f>TEXT(LeadsData[[#This Row],[Signup Date]],"mmm-yyyy")</f>
        <v>May-2024</v>
      </c>
      <c r="M6455">
        <f>IF(LeadsData[[#This Row],[Stage Number]]&gt;=2,1,0)</f>
        <v>0</v>
      </c>
      <c r="N6455" s="2">
        <f>IF(LeadsData[[#This Row],[Stage Number]]&gt;=3,1,0)</f>
        <v>0</v>
      </c>
      <c r="O6455" s="2">
        <f>IF(LeadsData[[#This Row],[Stage Number]]&gt;=4,1,0)</f>
        <v>0</v>
      </c>
    </row>
    <row r="6456" spans="1:15" x14ac:dyDescent="0.25">
      <c r="A6456" t="s">
        <v>6496</v>
      </c>
      <c r="B6456" s="1">
        <v>45315</v>
      </c>
      <c r="C6456" t="s">
        <v>17</v>
      </c>
      <c r="D6456" t="s">
        <v>18</v>
      </c>
      <c r="E6456" t="s">
        <v>21</v>
      </c>
      <c r="F6456" t="s">
        <v>19</v>
      </c>
      <c r="G6456" t="s">
        <v>23</v>
      </c>
      <c r="K6456" cm="1">
        <f t="array" ref="K6456">_xlfn.SWITCH(LeadsData[[#This Row],[Funnel Stage Reached]],"Lead",1,"MQL",2,"SQL",3,"Customer",4)</f>
        <v>2</v>
      </c>
      <c r="L6456" t="str">
        <f>TEXT(LeadsData[[#This Row],[Signup Date]],"mmm-yyyy")</f>
        <v>Jan-2024</v>
      </c>
      <c r="M6456">
        <f>IF(LeadsData[[#This Row],[Stage Number]]&gt;=2,1,0)</f>
        <v>1</v>
      </c>
      <c r="N6456" s="2">
        <f>IF(LeadsData[[#This Row],[Stage Number]]&gt;=3,1,0)</f>
        <v>0</v>
      </c>
      <c r="O6456" s="2">
        <f>IF(LeadsData[[#This Row],[Stage Number]]&gt;=4,1,0)</f>
        <v>0</v>
      </c>
    </row>
    <row r="6457" spans="1:15" x14ac:dyDescent="0.25">
      <c r="A6457" t="s">
        <v>6497</v>
      </c>
      <c r="B6457" s="1">
        <v>45630</v>
      </c>
      <c r="C6457" t="s">
        <v>31</v>
      </c>
      <c r="D6457" t="s">
        <v>34</v>
      </c>
      <c r="E6457" t="s">
        <v>13</v>
      </c>
      <c r="F6457" t="s">
        <v>19</v>
      </c>
      <c r="G6457" t="s">
        <v>29</v>
      </c>
      <c r="K6457" cm="1">
        <f t="array" ref="K6457">_xlfn.SWITCH(LeadsData[[#This Row],[Funnel Stage Reached]],"Lead",1,"MQL",2,"SQL",3,"Customer",4)</f>
        <v>3</v>
      </c>
      <c r="L6457" t="str">
        <f>TEXT(LeadsData[[#This Row],[Signup Date]],"mmm-yyyy")</f>
        <v>Dec-2024</v>
      </c>
      <c r="M6457">
        <f>IF(LeadsData[[#This Row],[Stage Number]]&gt;=2,1,0)</f>
        <v>1</v>
      </c>
      <c r="N6457" s="2">
        <f>IF(LeadsData[[#This Row],[Stage Number]]&gt;=3,1,0)</f>
        <v>1</v>
      </c>
      <c r="O6457" s="2">
        <f>IF(LeadsData[[#This Row],[Stage Number]]&gt;=4,1,0)</f>
        <v>0</v>
      </c>
    </row>
    <row r="6458" spans="1:15" x14ac:dyDescent="0.25">
      <c r="A6458" t="s">
        <v>6498</v>
      </c>
      <c r="B6458" s="1">
        <v>45435</v>
      </c>
      <c r="C6458" t="s">
        <v>25</v>
      </c>
      <c r="D6458" t="s">
        <v>26</v>
      </c>
      <c r="E6458" t="s">
        <v>13</v>
      </c>
      <c r="F6458" t="s">
        <v>19</v>
      </c>
      <c r="G6458" t="s">
        <v>15</v>
      </c>
      <c r="K6458" cm="1">
        <f t="array" ref="K6458">_xlfn.SWITCH(LeadsData[[#This Row],[Funnel Stage Reached]],"Lead",1,"MQL",2,"SQL",3,"Customer",4)</f>
        <v>1</v>
      </c>
      <c r="L6458" t="str">
        <f>TEXT(LeadsData[[#This Row],[Signup Date]],"mmm-yyyy")</f>
        <v>May-2024</v>
      </c>
      <c r="M6458">
        <f>IF(LeadsData[[#This Row],[Stage Number]]&gt;=2,1,0)</f>
        <v>0</v>
      </c>
      <c r="N6458" s="2">
        <f>IF(LeadsData[[#This Row],[Stage Number]]&gt;=3,1,0)</f>
        <v>0</v>
      </c>
      <c r="O6458" s="2">
        <f>IF(LeadsData[[#This Row],[Stage Number]]&gt;=4,1,0)</f>
        <v>0</v>
      </c>
    </row>
    <row r="6459" spans="1:15" x14ac:dyDescent="0.25">
      <c r="A6459" t="s">
        <v>6499</v>
      </c>
      <c r="B6459" s="1">
        <v>45501</v>
      </c>
      <c r="C6459" t="s">
        <v>17</v>
      </c>
      <c r="D6459" t="s">
        <v>18</v>
      </c>
      <c r="E6459" t="s">
        <v>13</v>
      </c>
      <c r="F6459" t="s">
        <v>22</v>
      </c>
      <c r="G6459" t="s">
        <v>15</v>
      </c>
      <c r="K6459" cm="1">
        <f t="array" ref="K6459">_xlfn.SWITCH(LeadsData[[#This Row],[Funnel Stage Reached]],"Lead",1,"MQL",2,"SQL",3,"Customer",4)</f>
        <v>1</v>
      </c>
      <c r="L6459" t="str">
        <f>TEXT(LeadsData[[#This Row],[Signup Date]],"mmm-yyyy")</f>
        <v>Jul-2024</v>
      </c>
      <c r="M6459">
        <f>IF(LeadsData[[#This Row],[Stage Number]]&gt;=2,1,0)</f>
        <v>0</v>
      </c>
      <c r="N6459" s="2">
        <f>IF(LeadsData[[#This Row],[Stage Number]]&gt;=3,1,0)</f>
        <v>0</v>
      </c>
      <c r="O6459" s="2">
        <f>IF(LeadsData[[#This Row],[Stage Number]]&gt;=4,1,0)</f>
        <v>0</v>
      </c>
    </row>
    <row r="6460" spans="1:15" x14ac:dyDescent="0.25">
      <c r="A6460" t="s">
        <v>6500</v>
      </c>
      <c r="B6460" s="1">
        <v>45298</v>
      </c>
      <c r="C6460" t="s">
        <v>31</v>
      </c>
      <c r="D6460" t="s">
        <v>32</v>
      </c>
      <c r="E6460" t="s">
        <v>48</v>
      </c>
      <c r="F6460" t="s">
        <v>19</v>
      </c>
      <c r="G6460" t="s">
        <v>23</v>
      </c>
      <c r="K6460" cm="1">
        <f t="array" ref="K6460">_xlfn.SWITCH(LeadsData[[#This Row],[Funnel Stage Reached]],"Lead",1,"MQL",2,"SQL",3,"Customer",4)</f>
        <v>2</v>
      </c>
      <c r="L6460" t="str">
        <f>TEXT(LeadsData[[#This Row],[Signup Date]],"mmm-yyyy")</f>
        <v>Jan-2024</v>
      </c>
      <c r="M6460">
        <f>IF(LeadsData[[#This Row],[Stage Number]]&gt;=2,1,0)</f>
        <v>1</v>
      </c>
      <c r="N6460" s="2">
        <f>IF(LeadsData[[#This Row],[Stage Number]]&gt;=3,1,0)</f>
        <v>0</v>
      </c>
      <c r="O6460" s="2">
        <f>IF(LeadsData[[#This Row],[Stage Number]]&gt;=4,1,0)</f>
        <v>0</v>
      </c>
    </row>
    <row r="6461" spans="1:15" x14ac:dyDescent="0.25">
      <c r="A6461" t="s">
        <v>6501</v>
      </c>
      <c r="B6461" s="1">
        <v>45515</v>
      </c>
      <c r="C6461" t="s">
        <v>36</v>
      </c>
      <c r="D6461" t="s">
        <v>37</v>
      </c>
      <c r="E6461" t="s">
        <v>13</v>
      </c>
      <c r="F6461" t="s">
        <v>22</v>
      </c>
      <c r="G6461" t="s">
        <v>23</v>
      </c>
      <c r="K6461" cm="1">
        <f t="array" ref="K6461">_xlfn.SWITCH(LeadsData[[#This Row],[Funnel Stage Reached]],"Lead",1,"MQL",2,"SQL",3,"Customer",4)</f>
        <v>2</v>
      </c>
      <c r="L6461" t="str">
        <f>TEXT(LeadsData[[#This Row],[Signup Date]],"mmm-yyyy")</f>
        <v>Aug-2024</v>
      </c>
      <c r="M6461">
        <f>IF(LeadsData[[#This Row],[Stage Number]]&gt;=2,1,0)</f>
        <v>1</v>
      </c>
      <c r="N6461" s="2">
        <f>IF(LeadsData[[#This Row],[Stage Number]]&gt;=3,1,0)</f>
        <v>0</v>
      </c>
      <c r="O6461" s="2">
        <f>IF(LeadsData[[#This Row],[Stage Number]]&gt;=4,1,0)</f>
        <v>0</v>
      </c>
    </row>
    <row r="6462" spans="1:15" x14ac:dyDescent="0.25">
      <c r="A6462" t="s">
        <v>6502</v>
      </c>
      <c r="B6462" s="1">
        <v>45540</v>
      </c>
      <c r="C6462" t="s">
        <v>17</v>
      </c>
      <c r="D6462" t="s">
        <v>53</v>
      </c>
      <c r="E6462" t="s">
        <v>13</v>
      </c>
      <c r="F6462" t="s">
        <v>14</v>
      </c>
      <c r="G6462" t="s">
        <v>15</v>
      </c>
      <c r="K6462" cm="1">
        <f t="array" ref="K6462">_xlfn.SWITCH(LeadsData[[#This Row],[Funnel Stage Reached]],"Lead",1,"MQL",2,"SQL",3,"Customer",4)</f>
        <v>1</v>
      </c>
      <c r="L6462" t="str">
        <f>TEXT(LeadsData[[#This Row],[Signup Date]],"mmm-yyyy")</f>
        <v>Sep-2024</v>
      </c>
      <c r="M6462">
        <f>IF(LeadsData[[#This Row],[Stage Number]]&gt;=2,1,0)</f>
        <v>0</v>
      </c>
      <c r="N6462" s="2">
        <f>IF(LeadsData[[#This Row],[Stage Number]]&gt;=3,1,0)</f>
        <v>0</v>
      </c>
      <c r="O6462" s="2">
        <f>IF(LeadsData[[#This Row],[Stage Number]]&gt;=4,1,0)</f>
        <v>0</v>
      </c>
    </row>
    <row r="6463" spans="1:15" x14ac:dyDescent="0.25">
      <c r="A6463" t="s">
        <v>6503</v>
      </c>
      <c r="B6463" s="1">
        <v>45356</v>
      </c>
      <c r="C6463" t="s">
        <v>25</v>
      </c>
      <c r="D6463" t="s">
        <v>26</v>
      </c>
      <c r="E6463" t="s">
        <v>13</v>
      </c>
      <c r="F6463" t="s">
        <v>14</v>
      </c>
      <c r="G6463" t="s">
        <v>15</v>
      </c>
      <c r="K6463" cm="1">
        <f t="array" ref="K6463">_xlfn.SWITCH(LeadsData[[#This Row],[Funnel Stage Reached]],"Lead",1,"MQL",2,"SQL",3,"Customer",4)</f>
        <v>1</v>
      </c>
      <c r="L6463" t="str">
        <f>TEXT(LeadsData[[#This Row],[Signup Date]],"mmm-yyyy")</f>
        <v>Mar-2024</v>
      </c>
      <c r="M6463">
        <f>IF(LeadsData[[#This Row],[Stage Number]]&gt;=2,1,0)</f>
        <v>0</v>
      </c>
      <c r="N6463" s="2">
        <f>IF(LeadsData[[#This Row],[Stage Number]]&gt;=3,1,0)</f>
        <v>0</v>
      </c>
      <c r="O6463" s="2">
        <f>IF(LeadsData[[#This Row],[Stage Number]]&gt;=4,1,0)</f>
        <v>0</v>
      </c>
    </row>
    <row r="6464" spans="1:15" x14ac:dyDescent="0.25">
      <c r="A6464" t="s">
        <v>6504</v>
      </c>
      <c r="B6464" s="1">
        <v>45620</v>
      </c>
      <c r="C6464" t="s">
        <v>17</v>
      </c>
      <c r="D6464" t="s">
        <v>18</v>
      </c>
      <c r="E6464" t="s">
        <v>21</v>
      </c>
      <c r="F6464" t="s">
        <v>22</v>
      </c>
      <c r="G6464" t="s">
        <v>15</v>
      </c>
      <c r="K6464" cm="1">
        <f t="array" ref="K6464">_xlfn.SWITCH(LeadsData[[#This Row],[Funnel Stage Reached]],"Lead",1,"MQL",2,"SQL",3,"Customer",4)</f>
        <v>1</v>
      </c>
      <c r="L6464" t="str">
        <f>TEXT(LeadsData[[#This Row],[Signup Date]],"mmm-yyyy")</f>
        <v>Nov-2024</v>
      </c>
      <c r="M6464">
        <f>IF(LeadsData[[#This Row],[Stage Number]]&gt;=2,1,0)</f>
        <v>0</v>
      </c>
      <c r="N6464" s="2">
        <f>IF(LeadsData[[#This Row],[Stage Number]]&gt;=3,1,0)</f>
        <v>0</v>
      </c>
      <c r="O6464" s="2">
        <f>IF(LeadsData[[#This Row],[Stage Number]]&gt;=4,1,0)</f>
        <v>0</v>
      </c>
    </row>
    <row r="6465" spans="1:15" x14ac:dyDescent="0.25">
      <c r="A6465" t="s">
        <v>6505</v>
      </c>
      <c r="B6465" s="1">
        <v>45383</v>
      </c>
      <c r="C6465" t="s">
        <v>17</v>
      </c>
      <c r="D6465" t="s">
        <v>53</v>
      </c>
      <c r="E6465" t="s">
        <v>21</v>
      </c>
      <c r="F6465" t="s">
        <v>28</v>
      </c>
      <c r="G6465" t="s">
        <v>15</v>
      </c>
      <c r="K6465" cm="1">
        <f t="array" ref="K6465">_xlfn.SWITCH(LeadsData[[#This Row],[Funnel Stage Reached]],"Lead",1,"MQL",2,"SQL",3,"Customer",4)</f>
        <v>1</v>
      </c>
      <c r="L6465" t="str">
        <f>TEXT(LeadsData[[#This Row],[Signup Date]],"mmm-yyyy")</f>
        <v>Apr-2024</v>
      </c>
      <c r="M6465">
        <f>IF(LeadsData[[#This Row],[Stage Number]]&gt;=2,1,0)</f>
        <v>0</v>
      </c>
      <c r="N6465" s="2">
        <f>IF(LeadsData[[#This Row],[Stage Number]]&gt;=3,1,0)</f>
        <v>0</v>
      </c>
      <c r="O6465" s="2">
        <f>IF(LeadsData[[#This Row],[Stage Number]]&gt;=4,1,0)</f>
        <v>0</v>
      </c>
    </row>
    <row r="6466" spans="1:15" x14ac:dyDescent="0.25">
      <c r="A6466" t="s">
        <v>6506</v>
      </c>
      <c r="B6466" s="1">
        <v>45576</v>
      </c>
      <c r="C6466" t="s">
        <v>46</v>
      </c>
      <c r="D6466" t="s">
        <v>47</v>
      </c>
      <c r="E6466" t="s">
        <v>21</v>
      </c>
      <c r="F6466" t="s">
        <v>14</v>
      </c>
      <c r="G6466" t="s">
        <v>15</v>
      </c>
      <c r="K6466" cm="1">
        <f t="array" ref="K6466">_xlfn.SWITCH(LeadsData[[#This Row],[Funnel Stage Reached]],"Lead",1,"MQL",2,"SQL",3,"Customer",4)</f>
        <v>1</v>
      </c>
      <c r="L6466" t="str">
        <f>TEXT(LeadsData[[#This Row],[Signup Date]],"mmm-yyyy")</f>
        <v>Oct-2024</v>
      </c>
      <c r="M6466">
        <f>IF(LeadsData[[#This Row],[Stage Number]]&gt;=2,1,0)</f>
        <v>0</v>
      </c>
      <c r="N6466" s="2">
        <f>IF(LeadsData[[#This Row],[Stage Number]]&gt;=3,1,0)</f>
        <v>0</v>
      </c>
      <c r="O6466" s="2">
        <f>IF(LeadsData[[#This Row],[Stage Number]]&gt;=4,1,0)</f>
        <v>0</v>
      </c>
    </row>
    <row r="6467" spans="1:15" x14ac:dyDescent="0.25">
      <c r="A6467" t="s">
        <v>6507</v>
      </c>
      <c r="B6467" s="1">
        <v>45573</v>
      </c>
      <c r="C6467" t="s">
        <v>46</v>
      </c>
      <c r="D6467" t="s">
        <v>56</v>
      </c>
      <c r="E6467" t="s">
        <v>21</v>
      </c>
      <c r="F6467" t="s">
        <v>19</v>
      </c>
      <c r="G6467" t="s">
        <v>23</v>
      </c>
      <c r="K6467" cm="1">
        <f t="array" ref="K6467">_xlfn.SWITCH(LeadsData[[#This Row],[Funnel Stage Reached]],"Lead",1,"MQL",2,"SQL",3,"Customer",4)</f>
        <v>2</v>
      </c>
      <c r="L6467" t="str">
        <f>TEXT(LeadsData[[#This Row],[Signup Date]],"mmm-yyyy")</f>
        <v>Oct-2024</v>
      </c>
      <c r="M6467">
        <f>IF(LeadsData[[#This Row],[Stage Number]]&gt;=2,1,0)</f>
        <v>1</v>
      </c>
      <c r="N6467" s="2">
        <f>IF(LeadsData[[#This Row],[Stage Number]]&gt;=3,1,0)</f>
        <v>0</v>
      </c>
      <c r="O6467" s="2">
        <f>IF(LeadsData[[#This Row],[Stage Number]]&gt;=4,1,0)</f>
        <v>0</v>
      </c>
    </row>
    <row r="6468" spans="1:15" x14ac:dyDescent="0.25">
      <c r="A6468" t="s">
        <v>6508</v>
      </c>
      <c r="B6468" s="1">
        <v>45525</v>
      </c>
      <c r="C6468" t="s">
        <v>25</v>
      </c>
      <c r="D6468" t="s">
        <v>26</v>
      </c>
      <c r="E6468" t="s">
        <v>13</v>
      </c>
      <c r="F6468" t="s">
        <v>14</v>
      </c>
      <c r="G6468" t="s">
        <v>23</v>
      </c>
      <c r="K6468" cm="1">
        <f t="array" ref="K6468">_xlfn.SWITCH(LeadsData[[#This Row],[Funnel Stage Reached]],"Lead",1,"MQL",2,"SQL",3,"Customer",4)</f>
        <v>2</v>
      </c>
      <c r="L6468" t="str">
        <f>TEXT(LeadsData[[#This Row],[Signup Date]],"mmm-yyyy")</f>
        <v>Aug-2024</v>
      </c>
      <c r="M6468">
        <f>IF(LeadsData[[#This Row],[Stage Number]]&gt;=2,1,0)</f>
        <v>1</v>
      </c>
      <c r="N6468" s="2">
        <f>IF(LeadsData[[#This Row],[Stage Number]]&gt;=3,1,0)</f>
        <v>0</v>
      </c>
      <c r="O6468" s="2">
        <f>IF(LeadsData[[#This Row],[Stage Number]]&gt;=4,1,0)</f>
        <v>0</v>
      </c>
    </row>
    <row r="6469" spans="1:15" x14ac:dyDescent="0.25">
      <c r="A6469" t="s">
        <v>6509</v>
      </c>
      <c r="B6469" s="1">
        <v>45404</v>
      </c>
      <c r="C6469" t="s">
        <v>11</v>
      </c>
      <c r="D6469" t="s">
        <v>12</v>
      </c>
      <c r="E6469" t="s">
        <v>21</v>
      </c>
      <c r="F6469" t="s">
        <v>19</v>
      </c>
      <c r="G6469" t="s">
        <v>15</v>
      </c>
      <c r="K6469" cm="1">
        <f t="array" ref="K6469">_xlfn.SWITCH(LeadsData[[#This Row],[Funnel Stage Reached]],"Lead",1,"MQL",2,"SQL",3,"Customer",4)</f>
        <v>1</v>
      </c>
      <c r="L6469" t="str">
        <f>TEXT(LeadsData[[#This Row],[Signup Date]],"mmm-yyyy")</f>
        <v>Apr-2024</v>
      </c>
      <c r="M6469">
        <f>IF(LeadsData[[#This Row],[Stage Number]]&gt;=2,1,0)</f>
        <v>0</v>
      </c>
      <c r="N6469" s="2">
        <f>IF(LeadsData[[#This Row],[Stage Number]]&gt;=3,1,0)</f>
        <v>0</v>
      </c>
      <c r="O6469" s="2">
        <f>IF(LeadsData[[#This Row],[Stage Number]]&gt;=4,1,0)</f>
        <v>0</v>
      </c>
    </row>
    <row r="6470" spans="1:15" x14ac:dyDescent="0.25">
      <c r="A6470" t="s">
        <v>6510</v>
      </c>
      <c r="B6470" s="1">
        <v>45498</v>
      </c>
      <c r="C6470" t="s">
        <v>17</v>
      </c>
      <c r="D6470" t="s">
        <v>53</v>
      </c>
      <c r="E6470" t="s">
        <v>21</v>
      </c>
      <c r="F6470" t="s">
        <v>22</v>
      </c>
      <c r="G6470" t="s">
        <v>29</v>
      </c>
      <c r="K6470" cm="1">
        <f t="array" ref="K6470">_xlfn.SWITCH(LeadsData[[#This Row],[Funnel Stage Reached]],"Lead",1,"MQL",2,"SQL",3,"Customer",4)</f>
        <v>3</v>
      </c>
      <c r="L6470" t="str">
        <f>TEXT(LeadsData[[#This Row],[Signup Date]],"mmm-yyyy")</f>
        <v>Jul-2024</v>
      </c>
      <c r="M6470">
        <f>IF(LeadsData[[#This Row],[Stage Number]]&gt;=2,1,0)</f>
        <v>1</v>
      </c>
      <c r="N6470" s="2">
        <f>IF(LeadsData[[#This Row],[Stage Number]]&gt;=3,1,0)</f>
        <v>1</v>
      </c>
      <c r="O6470" s="2">
        <f>IF(LeadsData[[#This Row],[Stage Number]]&gt;=4,1,0)</f>
        <v>0</v>
      </c>
    </row>
    <row r="6471" spans="1:15" x14ac:dyDescent="0.25">
      <c r="A6471" t="s">
        <v>6511</v>
      </c>
      <c r="B6471" s="1">
        <v>45652</v>
      </c>
      <c r="C6471" t="s">
        <v>46</v>
      </c>
      <c r="D6471" t="s">
        <v>56</v>
      </c>
      <c r="E6471" t="s">
        <v>21</v>
      </c>
      <c r="F6471" t="s">
        <v>19</v>
      </c>
      <c r="G6471" t="s">
        <v>15</v>
      </c>
      <c r="K6471" cm="1">
        <f t="array" ref="K6471">_xlfn.SWITCH(LeadsData[[#This Row],[Funnel Stage Reached]],"Lead",1,"MQL",2,"SQL",3,"Customer",4)</f>
        <v>1</v>
      </c>
      <c r="L6471" t="str">
        <f>TEXT(LeadsData[[#This Row],[Signup Date]],"mmm-yyyy")</f>
        <v>Dec-2024</v>
      </c>
      <c r="M6471">
        <f>IF(LeadsData[[#This Row],[Stage Number]]&gt;=2,1,0)</f>
        <v>0</v>
      </c>
      <c r="N6471" s="2">
        <f>IF(LeadsData[[#This Row],[Stage Number]]&gt;=3,1,0)</f>
        <v>0</v>
      </c>
      <c r="O6471" s="2">
        <f>IF(LeadsData[[#This Row],[Stage Number]]&gt;=4,1,0)</f>
        <v>0</v>
      </c>
    </row>
    <row r="6472" spans="1:15" x14ac:dyDescent="0.25">
      <c r="A6472" t="s">
        <v>6512</v>
      </c>
      <c r="B6472" s="1">
        <v>45628</v>
      </c>
      <c r="C6472" t="s">
        <v>17</v>
      </c>
      <c r="D6472" t="s">
        <v>18</v>
      </c>
      <c r="E6472" t="s">
        <v>13</v>
      </c>
      <c r="F6472" t="s">
        <v>28</v>
      </c>
      <c r="G6472" t="s">
        <v>29</v>
      </c>
      <c r="K6472" cm="1">
        <f t="array" ref="K6472">_xlfn.SWITCH(LeadsData[[#This Row],[Funnel Stage Reached]],"Lead",1,"MQL",2,"SQL",3,"Customer",4)</f>
        <v>3</v>
      </c>
      <c r="L6472" t="str">
        <f>TEXT(LeadsData[[#This Row],[Signup Date]],"mmm-yyyy")</f>
        <v>Dec-2024</v>
      </c>
      <c r="M6472">
        <f>IF(LeadsData[[#This Row],[Stage Number]]&gt;=2,1,0)</f>
        <v>1</v>
      </c>
      <c r="N6472" s="2">
        <f>IF(LeadsData[[#This Row],[Stage Number]]&gt;=3,1,0)</f>
        <v>1</v>
      </c>
      <c r="O6472" s="2">
        <f>IF(LeadsData[[#This Row],[Stage Number]]&gt;=4,1,0)</f>
        <v>0</v>
      </c>
    </row>
    <row r="6473" spans="1:15" x14ac:dyDescent="0.25">
      <c r="A6473" t="s">
        <v>6513</v>
      </c>
      <c r="B6473" s="1">
        <v>45553</v>
      </c>
      <c r="C6473" t="s">
        <v>36</v>
      </c>
      <c r="D6473" t="s">
        <v>37</v>
      </c>
      <c r="E6473" t="s">
        <v>13</v>
      </c>
      <c r="F6473" t="s">
        <v>28</v>
      </c>
      <c r="G6473" t="s">
        <v>23</v>
      </c>
      <c r="K6473" cm="1">
        <f t="array" ref="K6473">_xlfn.SWITCH(LeadsData[[#This Row],[Funnel Stage Reached]],"Lead",1,"MQL",2,"SQL",3,"Customer",4)</f>
        <v>2</v>
      </c>
      <c r="L6473" t="str">
        <f>TEXT(LeadsData[[#This Row],[Signup Date]],"mmm-yyyy")</f>
        <v>Sep-2024</v>
      </c>
      <c r="M6473">
        <f>IF(LeadsData[[#This Row],[Stage Number]]&gt;=2,1,0)</f>
        <v>1</v>
      </c>
      <c r="N6473" s="2">
        <f>IF(LeadsData[[#This Row],[Stage Number]]&gt;=3,1,0)</f>
        <v>0</v>
      </c>
      <c r="O6473" s="2">
        <f>IF(LeadsData[[#This Row],[Stage Number]]&gt;=4,1,0)</f>
        <v>0</v>
      </c>
    </row>
    <row r="6474" spans="1:15" x14ac:dyDescent="0.25">
      <c r="A6474" t="s">
        <v>6514</v>
      </c>
      <c r="B6474" s="1">
        <v>45358</v>
      </c>
      <c r="C6474" t="s">
        <v>11</v>
      </c>
      <c r="D6474" t="s">
        <v>12</v>
      </c>
      <c r="E6474" t="s">
        <v>13</v>
      </c>
      <c r="F6474" t="s">
        <v>19</v>
      </c>
      <c r="G6474" t="s">
        <v>15</v>
      </c>
      <c r="K6474" cm="1">
        <f t="array" ref="K6474">_xlfn.SWITCH(LeadsData[[#This Row],[Funnel Stage Reached]],"Lead",1,"MQL",2,"SQL",3,"Customer",4)</f>
        <v>1</v>
      </c>
      <c r="L6474" t="str">
        <f>TEXT(LeadsData[[#This Row],[Signup Date]],"mmm-yyyy")</f>
        <v>Mar-2024</v>
      </c>
      <c r="M6474">
        <f>IF(LeadsData[[#This Row],[Stage Number]]&gt;=2,1,0)</f>
        <v>0</v>
      </c>
      <c r="N6474" s="2">
        <f>IF(LeadsData[[#This Row],[Stage Number]]&gt;=3,1,0)</f>
        <v>0</v>
      </c>
      <c r="O6474" s="2">
        <f>IF(LeadsData[[#This Row],[Stage Number]]&gt;=4,1,0)</f>
        <v>0</v>
      </c>
    </row>
    <row r="6475" spans="1:15" x14ac:dyDescent="0.25">
      <c r="A6475" t="s">
        <v>6515</v>
      </c>
      <c r="B6475" s="1">
        <v>45414</v>
      </c>
      <c r="C6475" t="s">
        <v>11</v>
      </c>
      <c r="D6475" t="s">
        <v>68</v>
      </c>
      <c r="E6475" t="s">
        <v>13</v>
      </c>
      <c r="F6475" t="s">
        <v>19</v>
      </c>
      <c r="G6475" t="s">
        <v>23</v>
      </c>
      <c r="K6475" cm="1">
        <f t="array" ref="K6475">_xlfn.SWITCH(LeadsData[[#This Row],[Funnel Stage Reached]],"Lead",1,"MQL",2,"SQL",3,"Customer",4)</f>
        <v>2</v>
      </c>
      <c r="L6475" t="str">
        <f>TEXT(LeadsData[[#This Row],[Signup Date]],"mmm-yyyy")</f>
        <v>May-2024</v>
      </c>
      <c r="M6475">
        <f>IF(LeadsData[[#This Row],[Stage Number]]&gt;=2,1,0)</f>
        <v>1</v>
      </c>
      <c r="N6475" s="2">
        <f>IF(LeadsData[[#This Row],[Stage Number]]&gt;=3,1,0)</f>
        <v>0</v>
      </c>
      <c r="O6475" s="2">
        <f>IF(LeadsData[[#This Row],[Stage Number]]&gt;=4,1,0)</f>
        <v>0</v>
      </c>
    </row>
    <row r="6476" spans="1:15" x14ac:dyDescent="0.25">
      <c r="A6476" t="s">
        <v>6516</v>
      </c>
      <c r="B6476" s="1">
        <v>45387</v>
      </c>
      <c r="C6476" t="s">
        <v>11</v>
      </c>
      <c r="D6476" t="s">
        <v>12</v>
      </c>
      <c r="E6476" t="s">
        <v>21</v>
      </c>
      <c r="F6476" t="s">
        <v>19</v>
      </c>
      <c r="G6476" t="s">
        <v>15</v>
      </c>
      <c r="K6476" cm="1">
        <f t="array" ref="K6476">_xlfn.SWITCH(LeadsData[[#This Row],[Funnel Stage Reached]],"Lead",1,"MQL",2,"SQL",3,"Customer",4)</f>
        <v>1</v>
      </c>
      <c r="L6476" t="str">
        <f>TEXT(LeadsData[[#This Row],[Signup Date]],"mmm-yyyy")</f>
        <v>Apr-2024</v>
      </c>
      <c r="M6476">
        <f>IF(LeadsData[[#This Row],[Stage Number]]&gt;=2,1,0)</f>
        <v>0</v>
      </c>
      <c r="N6476" s="2">
        <f>IF(LeadsData[[#This Row],[Stage Number]]&gt;=3,1,0)</f>
        <v>0</v>
      </c>
      <c r="O6476" s="2">
        <f>IF(LeadsData[[#This Row],[Stage Number]]&gt;=4,1,0)</f>
        <v>0</v>
      </c>
    </row>
    <row r="6477" spans="1:15" x14ac:dyDescent="0.25">
      <c r="A6477" t="s">
        <v>6517</v>
      </c>
      <c r="B6477" s="1">
        <v>45474</v>
      </c>
      <c r="C6477" t="s">
        <v>17</v>
      </c>
      <c r="D6477" t="s">
        <v>53</v>
      </c>
      <c r="E6477" t="s">
        <v>13</v>
      </c>
      <c r="F6477" t="s">
        <v>28</v>
      </c>
      <c r="G6477" t="s">
        <v>15</v>
      </c>
      <c r="K6477" cm="1">
        <f t="array" ref="K6477">_xlfn.SWITCH(LeadsData[[#This Row],[Funnel Stage Reached]],"Lead",1,"MQL",2,"SQL",3,"Customer",4)</f>
        <v>1</v>
      </c>
      <c r="L6477" t="str">
        <f>TEXT(LeadsData[[#This Row],[Signup Date]],"mmm-yyyy")</f>
        <v>Jul-2024</v>
      </c>
      <c r="M6477">
        <f>IF(LeadsData[[#This Row],[Stage Number]]&gt;=2,1,0)</f>
        <v>0</v>
      </c>
      <c r="N6477" s="2">
        <f>IF(LeadsData[[#This Row],[Stage Number]]&gt;=3,1,0)</f>
        <v>0</v>
      </c>
      <c r="O6477" s="2">
        <f>IF(LeadsData[[#This Row],[Stage Number]]&gt;=4,1,0)</f>
        <v>0</v>
      </c>
    </row>
    <row r="6478" spans="1:15" x14ac:dyDescent="0.25">
      <c r="A6478" t="s">
        <v>6518</v>
      </c>
      <c r="B6478" s="1">
        <v>45431</v>
      </c>
      <c r="C6478" t="s">
        <v>46</v>
      </c>
      <c r="D6478" t="s">
        <v>56</v>
      </c>
      <c r="E6478" t="s">
        <v>13</v>
      </c>
      <c r="F6478" t="s">
        <v>19</v>
      </c>
      <c r="G6478" t="s">
        <v>15</v>
      </c>
      <c r="K6478" cm="1">
        <f t="array" ref="K6478">_xlfn.SWITCH(LeadsData[[#This Row],[Funnel Stage Reached]],"Lead",1,"MQL",2,"SQL",3,"Customer",4)</f>
        <v>1</v>
      </c>
      <c r="L6478" t="str">
        <f>TEXT(LeadsData[[#This Row],[Signup Date]],"mmm-yyyy")</f>
        <v>May-2024</v>
      </c>
      <c r="M6478">
        <f>IF(LeadsData[[#This Row],[Stage Number]]&gt;=2,1,0)</f>
        <v>0</v>
      </c>
      <c r="N6478" s="2">
        <f>IF(LeadsData[[#This Row],[Stage Number]]&gt;=3,1,0)</f>
        <v>0</v>
      </c>
      <c r="O6478" s="2">
        <f>IF(LeadsData[[#This Row],[Stage Number]]&gt;=4,1,0)</f>
        <v>0</v>
      </c>
    </row>
    <row r="6479" spans="1:15" x14ac:dyDescent="0.25">
      <c r="A6479" t="s">
        <v>6519</v>
      </c>
      <c r="B6479" s="1">
        <v>45545</v>
      </c>
      <c r="C6479" t="s">
        <v>46</v>
      </c>
      <c r="D6479" t="s">
        <v>56</v>
      </c>
      <c r="E6479" t="s">
        <v>13</v>
      </c>
      <c r="F6479" t="s">
        <v>19</v>
      </c>
      <c r="G6479" t="s">
        <v>23</v>
      </c>
      <c r="K6479" cm="1">
        <f t="array" ref="K6479">_xlfn.SWITCH(LeadsData[[#This Row],[Funnel Stage Reached]],"Lead",1,"MQL",2,"SQL",3,"Customer",4)</f>
        <v>2</v>
      </c>
      <c r="L6479" t="str">
        <f>TEXT(LeadsData[[#This Row],[Signup Date]],"mmm-yyyy")</f>
        <v>Sep-2024</v>
      </c>
      <c r="M6479">
        <f>IF(LeadsData[[#This Row],[Stage Number]]&gt;=2,1,0)</f>
        <v>1</v>
      </c>
      <c r="N6479" s="2">
        <f>IF(LeadsData[[#This Row],[Stage Number]]&gt;=3,1,0)</f>
        <v>0</v>
      </c>
      <c r="O6479" s="2">
        <f>IF(LeadsData[[#This Row],[Stage Number]]&gt;=4,1,0)</f>
        <v>0</v>
      </c>
    </row>
    <row r="6480" spans="1:15" x14ac:dyDescent="0.25">
      <c r="A6480" t="s">
        <v>6520</v>
      </c>
      <c r="B6480" s="1">
        <v>45651</v>
      </c>
      <c r="C6480" t="s">
        <v>36</v>
      </c>
      <c r="D6480" t="s">
        <v>37</v>
      </c>
      <c r="E6480" t="s">
        <v>13</v>
      </c>
      <c r="F6480" t="s">
        <v>19</v>
      </c>
      <c r="G6480" t="s">
        <v>42</v>
      </c>
      <c r="H6480">
        <v>48</v>
      </c>
      <c r="I6480" t="s">
        <v>43</v>
      </c>
      <c r="J6480">
        <v>1387.69</v>
      </c>
      <c r="K6480" cm="1">
        <f t="array" ref="K6480">_xlfn.SWITCH(LeadsData[[#This Row],[Funnel Stage Reached]],"Lead",1,"MQL",2,"SQL",3,"Customer",4)</f>
        <v>4</v>
      </c>
      <c r="L6480" t="str">
        <f>TEXT(LeadsData[[#This Row],[Signup Date]],"mmm-yyyy")</f>
        <v>Dec-2024</v>
      </c>
      <c r="M6480">
        <f>IF(LeadsData[[#This Row],[Stage Number]]&gt;=2,1,0)</f>
        <v>1</v>
      </c>
      <c r="N6480" s="2">
        <f>IF(LeadsData[[#This Row],[Stage Number]]&gt;=3,1,0)</f>
        <v>1</v>
      </c>
      <c r="O6480" s="2">
        <f>IF(LeadsData[[#This Row],[Stage Number]]&gt;=4,1,0)</f>
        <v>1</v>
      </c>
    </row>
    <row r="6481" spans="1:15" x14ac:dyDescent="0.25">
      <c r="A6481" t="s">
        <v>6521</v>
      </c>
      <c r="B6481" s="1">
        <v>45479</v>
      </c>
      <c r="C6481" t="s">
        <v>46</v>
      </c>
      <c r="D6481" t="s">
        <v>47</v>
      </c>
      <c r="E6481" t="s">
        <v>13</v>
      </c>
      <c r="F6481" t="s">
        <v>22</v>
      </c>
      <c r="G6481" t="s">
        <v>15</v>
      </c>
      <c r="K6481" cm="1">
        <f t="array" ref="K6481">_xlfn.SWITCH(LeadsData[[#This Row],[Funnel Stage Reached]],"Lead",1,"MQL",2,"SQL",3,"Customer",4)</f>
        <v>1</v>
      </c>
      <c r="L6481" t="str">
        <f>TEXT(LeadsData[[#This Row],[Signup Date]],"mmm-yyyy")</f>
        <v>Jul-2024</v>
      </c>
      <c r="M6481">
        <f>IF(LeadsData[[#This Row],[Stage Number]]&gt;=2,1,0)</f>
        <v>0</v>
      </c>
      <c r="N6481" s="2">
        <f>IF(LeadsData[[#This Row],[Stage Number]]&gt;=3,1,0)</f>
        <v>0</v>
      </c>
      <c r="O6481" s="2">
        <f>IF(LeadsData[[#This Row],[Stage Number]]&gt;=4,1,0)</f>
        <v>0</v>
      </c>
    </row>
    <row r="6482" spans="1:15" x14ac:dyDescent="0.25">
      <c r="A6482" t="s">
        <v>6522</v>
      </c>
      <c r="B6482" s="1">
        <v>45542</v>
      </c>
      <c r="C6482" t="s">
        <v>25</v>
      </c>
      <c r="D6482" t="s">
        <v>26</v>
      </c>
      <c r="E6482" t="s">
        <v>13</v>
      </c>
      <c r="F6482" t="s">
        <v>22</v>
      </c>
      <c r="G6482" t="s">
        <v>23</v>
      </c>
      <c r="K6482" cm="1">
        <f t="array" ref="K6482">_xlfn.SWITCH(LeadsData[[#This Row],[Funnel Stage Reached]],"Lead",1,"MQL",2,"SQL",3,"Customer",4)</f>
        <v>2</v>
      </c>
      <c r="L6482" t="str">
        <f>TEXT(LeadsData[[#This Row],[Signup Date]],"mmm-yyyy")</f>
        <v>Sep-2024</v>
      </c>
      <c r="M6482">
        <f>IF(LeadsData[[#This Row],[Stage Number]]&gt;=2,1,0)</f>
        <v>1</v>
      </c>
      <c r="N6482" s="2">
        <f>IF(LeadsData[[#This Row],[Stage Number]]&gt;=3,1,0)</f>
        <v>0</v>
      </c>
      <c r="O6482" s="2">
        <f>IF(LeadsData[[#This Row],[Stage Number]]&gt;=4,1,0)</f>
        <v>0</v>
      </c>
    </row>
    <row r="6483" spans="1:15" x14ac:dyDescent="0.25">
      <c r="A6483" t="s">
        <v>6523</v>
      </c>
      <c r="B6483" s="1">
        <v>45530</v>
      </c>
      <c r="C6483" t="s">
        <v>11</v>
      </c>
      <c r="D6483" t="s">
        <v>12</v>
      </c>
      <c r="E6483" t="s">
        <v>13</v>
      </c>
      <c r="F6483" t="s">
        <v>14</v>
      </c>
      <c r="G6483" t="s">
        <v>23</v>
      </c>
      <c r="K6483" cm="1">
        <f t="array" ref="K6483">_xlfn.SWITCH(LeadsData[[#This Row],[Funnel Stage Reached]],"Lead",1,"MQL",2,"SQL",3,"Customer",4)</f>
        <v>2</v>
      </c>
      <c r="L6483" t="str">
        <f>TEXT(LeadsData[[#This Row],[Signup Date]],"mmm-yyyy")</f>
        <v>Aug-2024</v>
      </c>
      <c r="M6483">
        <f>IF(LeadsData[[#This Row],[Stage Number]]&gt;=2,1,0)</f>
        <v>1</v>
      </c>
      <c r="N6483" s="2">
        <f>IF(LeadsData[[#This Row],[Stage Number]]&gt;=3,1,0)</f>
        <v>0</v>
      </c>
      <c r="O6483" s="2">
        <f>IF(LeadsData[[#This Row],[Stage Number]]&gt;=4,1,0)</f>
        <v>0</v>
      </c>
    </row>
    <row r="6484" spans="1:15" x14ac:dyDescent="0.25">
      <c r="A6484" t="s">
        <v>6524</v>
      </c>
      <c r="B6484" s="1">
        <v>45645</v>
      </c>
      <c r="C6484" t="s">
        <v>11</v>
      </c>
      <c r="D6484" t="s">
        <v>68</v>
      </c>
      <c r="E6484" t="s">
        <v>21</v>
      </c>
      <c r="F6484" t="s">
        <v>19</v>
      </c>
      <c r="G6484" t="s">
        <v>15</v>
      </c>
      <c r="K6484" cm="1">
        <f t="array" ref="K6484">_xlfn.SWITCH(LeadsData[[#This Row],[Funnel Stage Reached]],"Lead",1,"MQL",2,"SQL",3,"Customer",4)</f>
        <v>1</v>
      </c>
      <c r="L6484" t="str">
        <f>TEXT(LeadsData[[#This Row],[Signup Date]],"mmm-yyyy")</f>
        <v>Dec-2024</v>
      </c>
      <c r="M6484">
        <f>IF(LeadsData[[#This Row],[Stage Number]]&gt;=2,1,0)</f>
        <v>0</v>
      </c>
      <c r="N6484" s="2">
        <f>IF(LeadsData[[#This Row],[Stage Number]]&gt;=3,1,0)</f>
        <v>0</v>
      </c>
      <c r="O6484" s="2">
        <f>IF(LeadsData[[#This Row],[Stage Number]]&gt;=4,1,0)</f>
        <v>0</v>
      </c>
    </row>
    <row r="6485" spans="1:15" x14ac:dyDescent="0.25">
      <c r="A6485" t="s">
        <v>6525</v>
      </c>
      <c r="B6485" s="1">
        <v>45610</v>
      </c>
      <c r="C6485" t="s">
        <v>46</v>
      </c>
      <c r="D6485" t="s">
        <v>56</v>
      </c>
      <c r="E6485" t="s">
        <v>21</v>
      </c>
      <c r="F6485" t="s">
        <v>22</v>
      </c>
      <c r="G6485" t="s">
        <v>15</v>
      </c>
      <c r="K6485" cm="1">
        <f t="array" ref="K6485">_xlfn.SWITCH(LeadsData[[#This Row],[Funnel Stage Reached]],"Lead",1,"MQL",2,"SQL",3,"Customer",4)</f>
        <v>1</v>
      </c>
      <c r="L6485" t="str">
        <f>TEXT(LeadsData[[#This Row],[Signup Date]],"mmm-yyyy")</f>
        <v>Nov-2024</v>
      </c>
      <c r="M6485">
        <f>IF(LeadsData[[#This Row],[Stage Number]]&gt;=2,1,0)</f>
        <v>0</v>
      </c>
      <c r="N6485" s="2">
        <f>IF(LeadsData[[#This Row],[Stage Number]]&gt;=3,1,0)</f>
        <v>0</v>
      </c>
      <c r="O6485" s="2">
        <f>IF(LeadsData[[#This Row],[Stage Number]]&gt;=4,1,0)</f>
        <v>0</v>
      </c>
    </row>
    <row r="6486" spans="1:15" x14ac:dyDescent="0.25">
      <c r="A6486" t="s">
        <v>6526</v>
      </c>
      <c r="B6486" s="1">
        <v>45436</v>
      </c>
      <c r="C6486" t="s">
        <v>46</v>
      </c>
      <c r="D6486" t="s">
        <v>56</v>
      </c>
      <c r="E6486" t="s">
        <v>13</v>
      </c>
      <c r="F6486" t="s">
        <v>22</v>
      </c>
      <c r="G6486" t="s">
        <v>15</v>
      </c>
      <c r="K6486" cm="1">
        <f t="array" ref="K6486">_xlfn.SWITCH(LeadsData[[#This Row],[Funnel Stage Reached]],"Lead",1,"MQL",2,"SQL",3,"Customer",4)</f>
        <v>1</v>
      </c>
      <c r="L6486" t="str">
        <f>TEXT(LeadsData[[#This Row],[Signup Date]],"mmm-yyyy")</f>
        <v>May-2024</v>
      </c>
      <c r="M6486">
        <f>IF(LeadsData[[#This Row],[Stage Number]]&gt;=2,1,0)</f>
        <v>0</v>
      </c>
      <c r="N6486" s="2">
        <f>IF(LeadsData[[#This Row],[Stage Number]]&gt;=3,1,0)</f>
        <v>0</v>
      </c>
      <c r="O6486" s="2">
        <f>IF(LeadsData[[#This Row],[Stage Number]]&gt;=4,1,0)</f>
        <v>0</v>
      </c>
    </row>
    <row r="6487" spans="1:15" x14ac:dyDescent="0.25">
      <c r="A6487" t="s">
        <v>6527</v>
      </c>
      <c r="B6487" s="1">
        <v>45569</v>
      </c>
      <c r="C6487" t="s">
        <v>31</v>
      </c>
      <c r="D6487" t="s">
        <v>32</v>
      </c>
      <c r="E6487" t="s">
        <v>13</v>
      </c>
      <c r="F6487" t="s">
        <v>19</v>
      </c>
      <c r="G6487" t="s">
        <v>42</v>
      </c>
      <c r="H6487">
        <v>63</v>
      </c>
      <c r="I6487" t="s">
        <v>43</v>
      </c>
      <c r="J6487">
        <v>1021.05</v>
      </c>
      <c r="K6487" cm="1">
        <f t="array" ref="K6487">_xlfn.SWITCH(LeadsData[[#This Row],[Funnel Stage Reached]],"Lead",1,"MQL",2,"SQL",3,"Customer",4)</f>
        <v>4</v>
      </c>
      <c r="L6487" t="str">
        <f>TEXT(LeadsData[[#This Row],[Signup Date]],"mmm-yyyy")</f>
        <v>Oct-2024</v>
      </c>
      <c r="M6487">
        <f>IF(LeadsData[[#This Row],[Stage Number]]&gt;=2,1,0)</f>
        <v>1</v>
      </c>
      <c r="N6487" s="2">
        <f>IF(LeadsData[[#This Row],[Stage Number]]&gt;=3,1,0)</f>
        <v>1</v>
      </c>
      <c r="O6487" s="2">
        <f>IF(LeadsData[[#This Row],[Stage Number]]&gt;=4,1,0)</f>
        <v>1</v>
      </c>
    </row>
    <row r="6488" spans="1:15" x14ac:dyDescent="0.25">
      <c r="A6488" t="s">
        <v>6528</v>
      </c>
      <c r="B6488" s="1">
        <v>45514</v>
      </c>
      <c r="C6488" t="s">
        <v>17</v>
      </c>
      <c r="D6488" t="s">
        <v>18</v>
      </c>
      <c r="E6488" t="s">
        <v>13</v>
      </c>
      <c r="F6488" t="s">
        <v>19</v>
      </c>
      <c r="G6488" t="s">
        <v>23</v>
      </c>
      <c r="K6488" cm="1">
        <f t="array" ref="K6488">_xlfn.SWITCH(LeadsData[[#This Row],[Funnel Stage Reached]],"Lead",1,"MQL",2,"SQL",3,"Customer",4)</f>
        <v>2</v>
      </c>
      <c r="L6488" t="str">
        <f>TEXT(LeadsData[[#This Row],[Signup Date]],"mmm-yyyy")</f>
        <v>Aug-2024</v>
      </c>
      <c r="M6488">
        <f>IF(LeadsData[[#This Row],[Stage Number]]&gt;=2,1,0)</f>
        <v>1</v>
      </c>
      <c r="N6488" s="2">
        <f>IF(LeadsData[[#This Row],[Stage Number]]&gt;=3,1,0)</f>
        <v>0</v>
      </c>
      <c r="O6488" s="2">
        <f>IF(LeadsData[[#This Row],[Stage Number]]&gt;=4,1,0)</f>
        <v>0</v>
      </c>
    </row>
    <row r="6489" spans="1:15" x14ac:dyDescent="0.25">
      <c r="A6489" t="s">
        <v>6529</v>
      </c>
      <c r="B6489" s="1">
        <v>45650</v>
      </c>
      <c r="C6489" t="s">
        <v>36</v>
      </c>
      <c r="D6489" t="s">
        <v>50</v>
      </c>
      <c r="E6489" t="s">
        <v>21</v>
      </c>
      <c r="F6489" t="s">
        <v>14</v>
      </c>
      <c r="G6489" t="s">
        <v>29</v>
      </c>
      <c r="K6489" cm="1">
        <f t="array" ref="K6489">_xlfn.SWITCH(LeadsData[[#This Row],[Funnel Stage Reached]],"Lead",1,"MQL",2,"SQL",3,"Customer",4)</f>
        <v>3</v>
      </c>
      <c r="L6489" t="str">
        <f>TEXT(LeadsData[[#This Row],[Signup Date]],"mmm-yyyy")</f>
        <v>Dec-2024</v>
      </c>
      <c r="M6489">
        <f>IF(LeadsData[[#This Row],[Stage Number]]&gt;=2,1,0)</f>
        <v>1</v>
      </c>
      <c r="N6489" s="2">
        <f>IF(LeadsData[[#This Row],[Stage Number]]&gt;=3,1,0)</f>
        <v>1</v>
      </c>
      <c r="O6489" s="2">
        <f>IF(LeadsData[[#This Row],[Stage Number]]&gt;=4,1,0)</f>
        <v>0</v>
      </c>
    </row>
    <row r="6490" spans="1:15" x14ac:dyDescent="0.25">
      <c r="A6490" t="s">
        <v>6530</v>
      </c>
      <c r="B6490" s="1">
        <v>45348</v>
      </c>
      <c r="C6490" t="s">
        <v>17</v>
      </c>
      <c r="D6490" t="s">
        <v>53</v>
      </c>
      <c r="E6490" t="s">
        <v>13</v>
      </c>
      <c r="F6490" t="s">
        <v>19</v>
      </c>
      <c r="G6490" t="s">
        <v>15</v>
      </c>
      <c r="K6490" cm="1">
        <f t="array" ref="K6490">_xlfn.SWITCH(LeadsData[[#This Row],[Funnel Stage Reached]],"Lead",1,"MQL",2,"SQL",3,"Customer",4)</f>
        <v>1</v>
      </c>
      <c r="L6490" t="str">
        <f>TEXT(LeadsData[[#This Row],[Signup Date]],"mmm-yyyy")</f>
        <v>Feb-2024</v>
      </c>
      <c r="M6490">
        <f>IF(LeadsData[[#This Row],[Stage Number]]&gt;=2,1,0)</f>
        <v>0</v>
      </c>
      <c r="N6490" s="2">
        <f>IF(LeadsData[[#This Row],[Stage Number]]&gt;=3,1,0)</f>
        <v>0</v>
      </c>
      <c r="O6490" s="2">
        <f>IF(LeadsData[[#This Row],[Stage Number]]&gt;=4,1,0)</f>
        <v>0</v>
      </c>
    </row>
    <row r="6491" spans="1:15" x14ac:dyDescent="0.25">
      <c r="A6491" t="s">
        <v>6531</v>
      </c>
      <c r="B6491" s="1">
        <v>45641</v>
      </c>
      <c r="C6491" t="s">
        <v>31</v>
      </c>
      <c r="D6491" t="s">
        <v>34</v>
      </c>
      <c r="E6491" t="s">
        <v>13</v>
      </c>
      <c r="F6491" t="s">
        <v>14</v>
      </c>
      <c r="G6491" t="s">
        <v>42</v>
      </c>
      <c r="H6491">
        <v>56</v>
      </c>
      <c r="I6491" t="s">
        <v>87</v>
      </c>
      <c r="J6491">
        <v>2048.56</v>
      </c>
      <c r="K6491" cm="1">
        <f t="array" ref="K6491">_xlfn.SWITCH(LeadsData[[#This Row],[Funnel Stage Reached]],"Lead",1,"MQL",2,"SQL",3,"Customer",4)</f>
        <v>4</v>
      </c>
      <c r="L6491" t="str">
        <f>TEXT(LeadsData[[#This Row],[Signup Date]],"mmm-yyyy")</f>
        <v>Dec-2024</v>
      </c>
      <c r="M6491">
        <f>IF(LeadsData[[#This Row],[Stage Number]]&gt;=2,1,0)</f>
        <v>1</v>
      </c>
      <c r="N6491" s="2">
        <f>IF(LeadsData[[#This Row],[Stage Number]]&gt;=3,1,0)</f>
        <v>1</v>
      </c>
      <c r="O6491" s="2">
        <f>IF(LeadsData[[#This Row],[Stage Number]]&gt;=4,1,0)</f>
        <v>1</v>
      </c>
    </row>
    <row r="6492" spans="1:15" x14ac:dyDescent="0.25">
      <c r="A6492" t="s">
        <v>6532</v>
      </c>
      <c r="B6492" s="1">
        <v>45617</v>
      </c>
      <c r="C6492" t="s">
        <v>31</v>
      </c>
      <c r="D6492" t="s">
        <v>32</v>
      </c>
      <c r="E6492" t="s">
        <v>13</v>
      </c>
      <c r="F6492" t="s">
        <v>14</v>
      </c>
      <c r="G6492" t="s">
        <v>15</v>
      </c>
      <c r="K6492" cm="1">
        <f t="array" ref="K6492">_xlfn.SWITCH(LeadsData[[#This Row],[Funnel Stage Reached]],"Lead",1,"MQL",2,"SQL",3,"Customer",4)</f>
        <v>1</v>
      </c>
      <c r="L6492" t="str">
        <f>TEXT(LeadsData[[#This Row],[Signup Date]],"mmm-yyyy")</f>
        <v>Nov-2024</v>
      </c>
      <c r="M6492">
        <f>IF(LeadsData[[#This Row],[Stage Number]]&gt;=2,1,0)</f>
        <v>0</v>
      </c>
      <c r="N6492" s="2">
        <f>IF(LeadsData[[#This Row],[Stage Number]]&gt;=3,1,0)</f>
        <v>0</v>
      </c>
      <c r="O6492" s="2">
        <f>IF(LeadsData[[#This Row],[Stage Number]]&gt;=4,1,0)</f>
        <v>0</v>
      </c>
    </row>
    <row r="6493" spans="1:15" x14ac:dyDescent="0.25">
      <c r="A6493" t="s">
        <v>6533</v>
      </c>
      <c r="B6493" s="1">
        <v>45319</v>
      </c>
      <c r="C6493" t="s">
        <v>31</v>
      </c>
      <c r="D6493" t="s">
        <v>32</v>
      </c>
      <c r="E6493" t="s">
        <v>13</v>
      </c>
      <c r="F6493" t="s">
        <v>14</v>
      </c>
      <c r="G6493" t="s">
        <v>23</v>
      </c>
      <c r="K6493" cm="1">
        <f t="array" ref="K6493">_xlfn.SWITCH(LeadsData[[#This Row],[Funnel Stage Reached]],"Lead",1,"MQL",2,"SQL",3,"Customer",4)</f>
        <v>2</v>
      </c>
      <c r="L6493" t="str">
        <f>TEXT(LeadsData[[#This Row],[Signup Date]],"mmm-yyyy")</f>
        <v>Jan-2024</v>
      </c>
      <c r="M6493">
        <f>IF(LeadsData[[#This Row],[Stage Number]]&gt;=2,1,0)</f>
        <v>1</v>
      </c>
      <c r="N6493" s="2">
        <f>IF(LeadsData[[#This Row],[Stage Number]]&gt;=3,1,0)</f>
        <v>0</v>
      </c>
      <c r="O6493" s="2">
        <f>IF(LeadsData[[#This Row],[Stage Number]]&gt;=4,1,0)</f>
        <v>0</v>
      </c>
    </row>
    <row r="6494" spans="1:15" x14ac:dyDescent="0.25">
      <c r="A6494" t="s">
        <v>6534</v>
      </c>
      <c r="B6494" s="1">
        <v>45607</v>
      </c>
      <c r="C6494" t="s">
        <v>31</v>
      </c>
      <c r="D6494" t="s">
        <v>32</v>
      </c>
      <c r="E6494" t="s">
        <v>13</v>
      </c>
      <c r="F6494" t="s">
        <v>22</v>
      </c>
      <c r="G6494" t="s">
        <v>15</v>
      </c>
      <c r="K6494" cm="1">
        <f t="array" ref="K6494">_xlfn.SWITCH(LeadsData[[#This Row],[Funnel Stage Reached]],"Lead",1,"MQL",2,"SQL",3,"Customer",4)</f>
        <v>1</v>
      </c>
      <c r="L6494" t="str">
        <f>TEXT(LeadsData[[#This Row],[Signup Date]],"mmm-yyyy")</f>
        <v>Nov-2024</v>
      </c>
      <c r="M6494">
        <f>IF(LeadsData[[#This Row],[Stage Number]]&gt;=2,1,0)</f>
        <v>0</v>
      </c>
      <c r="N6494" s="2">
        <f>IF(LeadsData[[#This Row],[Stage Number]]&gt;=3,1,0)</f>
        <v>0</v>
      </c>
      <c r="O6494" s="2">
        <f>IF(LeadsData[[#This Row],[Stage Number]]&gt;=4,1,0)</f>
        <v>0</v>
      </c>
    </row>
    <row r="6495" spans="1:15" x14ac:dyDescent="0.25">
      <c r="A6495" t="s">
        <v>6535</v>
      </c>
      <c r="B6495" s="1">
        <v>45487</v>
      </c>
      <c r="C6495" t="s">
        <v>31</v>
      </c>
      <c r="D6495" t="s">
        <v>34</v>
      </c>
      <c r="E6495" t="s">
        <v>21</v>
      </c>
      <c r="F6495" t="s">
        <v>22</v>
      </c>
      <c r="G6495" t="s">
        <v>15</v>
      </c>
      <c r="K6495" cm="1">
        <f t="array" ref="K6495">_xlfn.SWITCH(LeadsData[[#This Row],[Funnel Stage Reached]],"Lead",1,"MQL",2,"SQL",3,"Customer",4)</f>
        <v>1</v>
      </c>
      <c r="L6495" t="str">
        <f>TEXT(LeadsData[[#This Row],[Signup Date]],"mmm-yyyy")</f>
        <v>Jul-2024</v>
      </c>
      <c r="M6495">
        <f>IF(LeadsData[[#This Row],[Stage Number]]&gt;=2,1,0)</f>
        <v>0</v>
      </c>
      <c r="N6495" s="2">
        <f>IF(LeadsData[[#This Row],[Stage Number]]&gt;=3,1,0)</f>
        <v>0</v>
      </c>
      <c r="O6495" s="2">
        <f>IF(LeadsData[[#This Row],[Stage Number]]&gt;=4,1,0)</f>
        <v>0</v>
      </c>
    </row>
    <row r="6496" spans="1:15" x14ac:dyDescent="0.25">
      <c r="A6496" t="s">
        <v>6536</v>
      </c>
      <c r="B6496" s="1">
        <v>45562</v>
      </c>
      <c r="C6496" t="s">
        <v>46</v>
      </c>
      <c r="D6496" t="s">
        <v>56</v>
      </c>
      <c r="E6496" t="s">
        <v>13</v>
      </c>
      <c r="F6496" t="s">
        <v>19</v>
      </c>
      <c r="G6496" t="s">
        <v>15</v>
      </c>
      <c r="K6496" cm="1">
        <f t="array" ref="K6496">_xlfn.SWITCH(LeadsData[[#This Row],[Funnel Stage Reached]],"Lead",1,"MQL",2,"SQL",3,"Customer",4)</f>
        <v>1</v>
      </c>
      <c r="L6496" t="str">
        <f>TEXT(LeadsData[[#This Row],[Signup Date]],"mmm-yyyy")</f>
        <v>Sep-2024</v>
      </c>
      <c r="M6496">
        <f>IF(LeadsData[[#This Row],[Stage Number]]&gt;=2,1,0)</f>
        <v>0</v>
      </c>
      <c r="N6496" s="2">
        <f>IF(LeadsData[[#This Row],[Stage Number]]&gt;=3,1,0)</f>
        <v>0</v>
      </c>
      <c r="O6496" s="2">
        <f>IF(LeadsData[[#This Row],[Stage Number]]&gt;=4,1,0)</f>
        <v>0</v>
      </c>
    </row>
    <row r="6497" spans="1:15" x14ac:dyDescent="0.25">
      <c r="A6497" t="s">
        <v>6537</v>
      </c>
      <c r="B6497" s="1">
        <v>45612</v>
      </c>
      <c r="C6497" t="s">
        <v>17</v>
      </c>
      <c r="D6497" t="s">
        <v>18</v>
      </c>
      <c r="E6497" t="s">
        <v>21</v>
      </c>
      <c r="F6497" t="s">
        <v>22</v>
      </c>
      <c r="G6497" t="s">
        <v>29</v>
      </c>
      <c r="K6497" cm="1">
        <f t="array" ref="K6497">_xlfn.SWITCH(LeadsData[[#This Row],[Funnel Stage Reached]],"Lead",1,"MQL",2,"SQL",3,"Customer",4)</f>
        <v>3</v>
      </c>
      <c r="L6497" t="str">
        <f>TEXT(LeadsData[[#This Row],[Signup Date]],"mmm-yyyy")</f>
        <v>Nov-2024</v>
      </c>
      <c r="M6497">
        <f>IF(LeadsData[[#This Row],[Stage Number]]&gt;=2,1,0)</f>
        <v>1</v>
      </c>
      <c r="N6497" s="2">
        <f>IF(LeadsData[[#This Row],[Stage Number]]&gt;=3,1,0)</f>
        <v>1</v>
      </c>
      <c r="O6497" s="2">
        <f>IF(LeadsData[[#This Row],[Stage Number]]&gt;=4,1,0)</f>
        <v>0</v>
      </c>
    </row>
    <row r="6498" spans="1:15" x14ac:dyDescent="0.25">
      <c r="A6498" t="s">
        <v>6538</v>
      </c>
      <c r="B6498" s="1">
        <v>45639</v>
      </c>
      <c r="C6498" t="s">
        <v>17</v>
      </c>
      <c r="D6498" t="s">
        <v>53</v>
      </c>
      <c r="E6498" t="s">
        <v>13</v>
      </c>
      <c r="F6498" t="s">
        <v>19</v>
      </c>
      <c r="G6498" t="s">
        <v>15</v>
      </c>
      <c r="K6498" cm="1">
        <f t="array" ref="K6498">_xlfn.SWITCH(LeadsData[[#This Row],[Funnel Stage Reached]],"Lead",1,"MQL",2,"SQL",3,"Customer",4)</f>
        <v>1</v>
      </c>
      <c r="L6498" t="str">
        <f>TEXT(LeadsData[[#This Row],[Signup Date]],"mmm-yyyy")</f>
        <v>Dec-2024</v>
      </c>
      <c r="M6498">
        <f>IF(LeadsData[[#This Row],[Stage Number]]&gt;=2,1,0)</f>
        <v>0</v>
      </c>
      <c r="N6498" s="2">
        <f>IF(LeadsData[[#This Row],[Stage Number]]&gt;=3,1,0)</f>
        <v>0</v>
      </c>
      <c r="O6498" s="2">
        <f>IF(LeadsData[[#This Row],[Stage Number]]&gt;=4,1,0)</f>
        <v>0</v>
      </c>
    </row>
    <row r="6499" spans="1:15" x14ac:dyDescent="0.25">
      <c r="A6499" t="s">
        <v>6539</v>
      </c>
      <c r="B6499" s="1">
        <v>45607</v>
      </c>
      <c r="C6499" t="s">
        <v>25</v>
      </c>
      <c r="D6499" t="s">
        <v>26</v>
      </c>
      <c r="E6499" t="s">
        <v>13</v>
      </c>
      <c r="F6499" t="s">
        <v>19</v>
      </c>
      <c r="G6499" t="s">
        <v>15</v>
      </c>
      <c r="K6499" cm="1">
        <f t="array" ref="K6499">_xlfn.SWITCH(LeadsData[[#This Row],[Funnel Stage Reached]],"Lead",1,"MQL",2,"SQL",3,"Customer",4)</f>
        <v>1</v>
      </c>
      <c r="L6499" t="str">
        <f>TEXT(LeadsData[[#This Row],[Signup Date]],"mmm-yyyy")</f>
        <v>Nov-2024</v>
      </c>
      <c r="M6499">
        <f>IF(LeadsData[[#This Row],[Stage Number]]&gt;=2,1,0)</f>
        <v>0</v>
      </c>
      <c r="N6499" s="2">
        <f>IF(LeadsData[[#This Row],[Stage Number]]&gt;=3,1,0)</f>
        <v>0</v>
      </c>
      <c r="O6499" s="2">
        <f>IF(LeadsData[[#This Row],[Stage Number]]&gt;=4,1,0)</f>
        <v>0</v>
      </c>
    </row>
    <row r="6500" spans="1:15" x14ac:dyDescent="0.25">
      <c r="A6500" t="s">
        <v>6540</v>
      </c>
      <c r="B6500" s="1">
        <v>45406</v>
      </c>
      <c r="C6500" t="s">
        <v>31</v>
      </c>
      <c r="D6500" t="s">
        <v>32</v>
      </c>
      <c r="E6500" t="s">
        <v>21</v>
      </c>
      <c r="F6500" t="s">
        <v>22</v>
      </c>
      <c r="G6500" t="s">
        <v>42</v>
      </c>
      <c r="H6500">
        <v>22</v>
      </c>
      <c r="I6500" t="s">
        <v>43</v>
      </c>
      <c r="J6500">
        <v>747.21</v>
      </c>
      <c r="K6500" cm="1">
        <f t="array" ref="K6500">_xlfn.SWITCH(LeadsData[[#This Row],[Funnel Stage Reached]],"Lead",1,"MQL",2,"SQL",3,"Customer",4)</f>
        <v>4</v>
      </c>
      <c r="L6500" t="str">
        <f>TEXT(LeadsData[[#This Row],[Signup Date]],"mmm-yyyy")</f>
        <v>Apr-2024</v>
      </c>
      <c r="M6500">
        <f>IF(LeadsData[[#This Row],[Stage Number]]&gt;=2,1,0)</f>
        <v>1</v>
      </c>
      <c r="N6500" s="2">
        <f>IF(LeadsData[[#This Row],[Stage Number]]&gt;=3,1,0)</f>
        <v>1</v>
      </c>
      <c r="O6500" s="2">
        <f>IF(LeadsData[[#This Row],[Stage Number]]&gt;=4,1,0)</f>
        <v>1</v>
      </c>
    </row>
    <row r="6501" spans="1:15" x14ac:dyDescent="0.25">
      <c r="A6501" t="s">
        <v>6541</v>
      </c>
      <c r="B6501" s="1">
        <v>45586</v>
      </c>
      <c r="C6501" t="s">
        <v>17</v>
      </c>
      <c r="D6501" t="s">
        <v>18</v>
      </c>
      <c r="E6501" t="s">
        <v>21</v>
      </c>
      <c r="F6501" t="s">
        <v>19</v>
      </c>
      <c r="G6501" t="s">
        <v>15</v>
      </c>
      <c r="K6501" cm="1">
        <f t="array" ref="K6501">_xlfn.SWITCH(LeadsData[[#This Row],[Funnel Stage Reached]],"Lead",1,"MQL",2,"SQL",3,"Customer",4)</f>
        <v>1</v>
      </c>
      <c r="L6501" t="str">
        <f>TEXT(LeadsData[[#This Row],[Signup Date]],"mmm-yyyy")</f>
        <v>Oct-2024</v>
      </c>
      <c r="M6501">
        <f>IF(LeadsData[[#This Row],[Stage Number]]&gt;=2,1,0)</f>
        <v>0</v>
      </c>
      <c r="N6501" s="2">
        <f>IF(LeadsData[[#This Row],[Stage Number]]&gt;=3,1,0)</f>
        <v>0</v>
      </c>
      <c r="O6501" s="2">
        <f>IF(LeadsData[[#This Row],[Stage Number]]&gt;=4,1,0)</f>
        <v>0</v>
      </c>
    </row>
    <row r="6502" spans="1:15" x14ac:dyDescent="0.25">
      <c r="A6502" t="s">
        <v>6542</v>
      </c>
      <c r="B6502" s="1">
        <v>45648</v>
      </c>
      <c r="C6502" t="s">
        <v>25</v>
      </c>
      <c r="D6502" t="s">
        <v>26</v>
      </c>
      <c r="E6502" t="s">
        <v>48</v>
      </c>
      <c r="F6502" t="s">
        <v>19</v>
      </c>
      <c r="G6502" t="s">
        <v>15</v>
      </c>
      <c r="K6502" cm="1">
        <f t="array" ref="K6502">_xlfn.SWITCH(LeadsData[[#This Row],[Funnel Stage Reached]],"Lead",1,"MQL",2,"SQL",3,"Customer",4)</f>
        <v>1</v>
      </c>
      <c r="L6502" t="str">
        <f>TEXT(LeadsData[[#This Row],[Signup Date]],"mmm-yyyy")</f>
        <v>Dec-2024</v>
      </c>
      <c r="M6502">
        <f>IF(LeadsData[[#This Row],[Stage Number]]&gt;=2,1,0)</f>
        <v>0</v>
      </c>
      <c r="N6502" s="2">
        <f>IF(LeadsData[[#This Row],[Stage Number]]&gt;=3,1,0)</f>
        <v>0</v>
      </c>
      <c r="O6502" s="2">
        <f>IF(LeadsData[[#This Row],[Stage Number]]&gt;=4,1,0)</f>
        <v>0</v>
      </c>
    </row>
    <row r="6503" spans="1:15" x14ac:dyDescent="0.25">
      <c r="A6503" t="s">
        <v>6543</v>
      </c>
      <c r="B6503" s="1">
        <v>45417</v>
      </c>
      <c r="C6503" t="s">
        <v>31</v>
      </c>
      <c r="D6503" t="s">
        <v>34</v>
      </c>
      <c r="E6503" t="s">
        <v>13</v>
      </c>
      <c r="F6503" t="s">
        <v>19</v>
      </c>
      <c r="G6503" t="s">
        <v>23</v>
      </c>
      <c r="K6503" cm="1">
        <f t="array" ref="K6503">_xlfn.SWITCH(LeadsData[[#This Row],[Funnel Stage Reached]],"Lead",1,"MQL",2,"SQL",3,"Customer",4)</f>
        <v>2</v>
      </c>
      <c r="L6503" t="str">
        <f>TEXT(LeadsData[[#This Row],[Signup Date]],"mmm-yyyy")</f>
        <v>May-2024</v>
      </c>
      <c r="M6503">
        <f>IF(LeadsData[[#This Row],[Stage Number]]&gt;=2,1,0)</f>
        <v>1</v>
      </c>
      <c r="N6503" s="2">
        <f>IF(LeadsData[[#This Row],[Stage Number]]&gt;=3,1,0)</f>
        <v>0</v>
      </c>
      <c r="O6503" s="2">
        <f>IF(LeadsData[[#This Row],[Stage Number]]&gt;=4,1,0)</f>
        <v>0</v>
      </c>
    </row>
    <row r="6504" spans="1:15" x14ac:dyDescent="0.25">
      <c r="A6504" t="s">
        <v>6544</v>
      </c>
      <c r="B6504" s="1">
        <v>45608</v>
      </c>
      <c r="C6504" t="s">
        <v>31</v>
      </c>
      <c r="D6504" t="s">
        <v>32</v>
      </c>
      <c r="E6504" t="s">
        <v>13</v>
      </c>
      <c r="F6504" t="s">
        <v>19</v>
      </c>
      <c r="G6504" t="s">
        <v>15</v>
      </c>
      <c r="K6504" cm="1">
        <f t="array" ref="K6504">_xlfn.SWITCH(LeadsData[[#This Row],[Funnel Stage Reached]],"Lead",1,"MQL",2,"SQL",3,"Customer",4)</f>
        <v>1</v>
      </c>
      <c r="L6504" t="str">
        <f>TEXT(LeadsData[[#This Row],[Signup Date]],"mmm-yyyy")</f>
        <v>Nov-2024</v>
      </c>
      <c r="M6504">
        <f>IF(LeadsData[[#This Row],[Stage Number]]&gt;=2,1,0)</f>
        <v>0</v>
      </c>
      <c r="N6504" s="2">
        <f>IF(LeadsData[[#This Row],[Stage Number]]&gt;=3,1,0)</f>
        <v>0</v>
      </c>
      <c r="O6504" s="2">
        <f>IF(LeadsData[[#This Row],[Stage Number]]&gt;=4,1,0)</f>
        <v>0</v>
      </c>
    </row>
    <row r="6505" spans="1:15" x14ac:dyDescent="0.25">
      <c r="A6505" t="s">
        <v>6545</v>
      </c>
      <c r="B6505" s="1">
        <v>45383</v>
      </c>
      <c r="C6505" t="s">
        <v>25</v>
      </c>
      <c r="D6505" t="s">
        <v>26</v>
      </c>
      <c r="E6505" t="s">
        <v>21</v>
      </c>
      <c r="F6505" t="s">
        <v>19</v>
      </c>
      <c r="G6505" t="s">
        <v>23</v>
      </c>
      <c r="K6505" cm="1">
        <f t="array" ref="K6505">_xlfn.SWITCH(LeadsData[[#This Row],[Funnel Stage Reached]],"Lead",1,"MQL",2,"SQL",3,"Customer",4)</f>
        <v>2</v>
      </c>
      <c r="L6505" t="str">
        <f>TEXT(LeadsData[[#This Row],[Signup Date]],"mmm-yyyy")</f>
        <v>Apr-2024</v>
      </c>
      <c r="M6505">
        <f>IF(LeadsData[[#This Row],[Stage Number]]&gt;=2,1,0)</f>
        <v>1</v>
      </c>
      <c r="N6505" s="2">
        <f>IF(LeadsData[[#This Row],[Stage Number]]&gt;=3,1,0)</f>
        <v>0</v>
      </c>
      <c r="O6505" s="2">
        <f>IF(LeadsData[[#This Row],[Stage Number]]&gt;=4,1,0)</f>
        <v>0</v>
      </c>
    </row>
    <row r="6506" spans="1:15" x14ac:dyDescent="0.25">
      <c r="A6506" t="s">
        <v>6546</v>
      </c>
      <c r="B6506" s="1">
        <v>45457</v>
      </c>
      <c r="C6506" t="s">
        <v>36</v>
      </c>
      <c r="D6506" t="s">
        <v>37</v>
      </c>
      <c r="E6506" t="s">
        <v>21</v>
      </c>
      <c r="F6506" t="s">
        <v>22</v>
      </c>
      <c r="G6506" t="s">
        <v>15</v>
      </c>
      <c r="K6506" cm="1">
        <f t="array" ref="K6506">_xlfn.SWITCH(LeadsData[[#This Row],[Funnel Stage Reached]],"Lead",1,"MQL",2,"SQL",3,"Customer",4)</f>
        <v>1</v>
      </c>
      <c r="L6506" t="str">
        <f>TEXT(LeadsData[[#This Row],[Signup Date]],"mmm-yyyy")</f>
        <v>Jun-2024</v>
      </c>
      <c r="M6506">
        <f>IF(LeadsData[[#This Row],[Stage Number]]&gt;=2,1,0)</f>
        <v>0</v>
      </c>
      <c r="N6506" s="2">
        <f>IF(LeadsData[[#This Row],[Stage Number]]&gt;=3,1,0)</f>
        <v>0</v>
      </c>
      <c r="O6506" s="2">
        <f>IF(LeadsData[[#This Row],[Stage Number]]&gt;=4,1,0)</f>
        <v>0</v>
      </c>
    </row>
    <row r="6507" spans="1:15" x14ac:dyDescent="0.25">
      <c r="A6507" t="s">
        <v>6547</v>
      </c>
      <c r="B6507" s="1">
        <v>45331</v>
      </c>
      <c r="C6507" t="s">
        <v>46</v>
      </c>
      <c r="D6507" t="s">
        <v>47</v>
      </c>
      <c r="E6507" t="s">
        <v>13</v>
      </c>
      <c r="F6507" t="s">
        <v>28</v>
      </c>
      <c r="G6507" t="s">
        <v>15</v>
      </c>
      <c r="K6507" cm="1">
        <f t="array" ref="K6507">_xlfn.SWITCH(LeadsData[[#This Row],[Funnel Stage Reached]],"Lead",1,"MQL",2,"SQL",3,"Customer",4)</f>
        <v>1</v>
      </c>
      <c r="L6507" t="str">
        <f>TEXT(LeadsData[[#This Row],[Signup Date]],"mmm-yyyy")</f>
        <v>Feb-2024</v>
      </c>
      <c r="M6507">
        <f>IF(LeadsData[[#This Row],[Stage Number]]&gt;=2,1,0)</f>
        <v>0</v>
      </c>
      <c r="N6507" s="2">
        <f>IF(LeadsData[[#This Row],[Stage Number]]&gt;=3,1,0)</f>
        <v>0</v>
      </c>
      <c r="O6507" s="2">
        <f>IF(LeadsData[[#This Row],[Stage Number]]&gt;=4,1,0)</f>
        <v>0</v>
      </c>
    </row>
    <row r="6508" spans="1:15" x14ac:dyDescent="0.25">
      <c r="A6508" t="s">
        <v>6548</v>
      </c>
      <c r="B6508" s="1">
        <v>45390</v>
      </c>
      <c r="C6508" t="s">
        <v>31</v>
      </c>
      <c r="D6508" t="s">
        <v>32</v>
      </c>
      <c r="E6508" t="s">
        <v>48</v>
      </c>
      <c r="F6508" t="s">
        <v>19</v>
      </c>
      <c r="G6508" t="s">
        <v>15</v>
      </c>
      <c r="K6508" cm="1">
        <f t="array" ref="K6508">_xlfn.SWITCH(LeadsData[[#This Row],[Funnel Stage Reached]],"Lead",1,"MQL",2,"SQL",3,"Customer",4)</f>
        <v>1</v>
      </c>
      <c r="L6508" t="str">
        <f>TEXT(LeadsData[[#This Row],[Signup Date]],"mmm-yyyy")</f>
        <v>Apr-2024</v>
      </c>
      <c r="M6508">
        <f>IF(LeadsData[[#This Row],[Stage Number]]&gt;=2,1,0)</f>
        <v>0</v>
      </c>
      <c r="N6508" s="2">
        <f>IF(LeadsData[[#This Row],[Stage Number]]&gt;=3,1,0)</f>
        <v>0</v>
      </c>
      <c r="O6508" s="2">
        <f>IF(LeadsData[[#This Row],[Stage Number]]&gt;=4,1,0)</f>
        <v>0</v>
      </c>
    </row>
    <row r="6509" spans="1:15" x14ac:dyDescent="0.25">
      <c r="A6509" t="s">
        <v>6549</v>
      </c>
      <c r="B6509" s="1">
        <v>45408</v>
      </c>
      <c r="C6509" t="s">
        <v>31</v>
      </c>
      <c r="D6509" t="s">
        <v>32</v>
      </c>
      <c r="E6509" t="s">
        <v>13</v>
      </c>
      <c r="F6509" t="s">
        <v>19</v>
      </c>
      <c r="G6509" t="s">
        <v>15</v>
      </c>
      <c r="K6509" cm="1">
        <f t="array" ref="K6509">_xlfn.SWITCH(LeadsData[[#This Row],[Funnel Stage Reached]],"Lead",1,"MQL",2,"SQL",3,"Customer",4)</f>
        <v>1</v>
      </c>
      <c r="L6509" t="str">
        <f>TEXT(LeadsData[[#This Row],[Signup Date]],"mmm-yyyy")</f>
        <v>Apr-2024</v>
      </c>
      <c r="M6509">
        <f>IF(LeadsData[[#This Row],[Stage Number]]&gt;=2,1,0)</f>
        <v>0</v>
      </c>
      <c r="N6509" s="2">
        <f>IF(LeadsData[[#This Row],[Stage Number]]&gt;=3,1,0)</f>
        <v>0</v>
      </c>
      <c r="O6509" s="2">
        <f>IF(LeadsData[[#This Row],[Stage Number]]&gt;=4,1,0)</f>
        <v>0</v>
      </c>
    </row>
    <row r="6510" spans="1:15" x14ac:dyDescent="0.25">
      <c r="A6510" t="s">
        <v>6550</v>
      </c>
      <c r="B6510" s="1">
        <v>45448</v>
      </c>
      <c r="C6510" t="s">
        <v>36</v>
      </c>
      <c r="D6510" t="s">
        <v>50</v>
      </c>
      <c r="E6510" t="s">
        <v>21</v>
      </c>
      <c r="F6510" t="s">
        <v>19</v>
      </c>
      <c r="G6510" t="s">
        <v>23</v>
      </c>
      <c r="K6510" cm="1">
        <f t="array" ref="K6510">_xlfn.SWITCH(LeadsData[[#This Row],[Funnel Stage Reached]],"Lead",1,"MQL",2,"SQL",3,"Customer",4)</f>
        <v>2</v>
      </c>
      <c r="L6510" t="str">
        <f>TEXT(LeadsData[[#This Row],[Signup Date]],"mmm-yyyy")</f>
        <v>Jun-2024</v>
      </c>
      <c r="M6510">
        <f>IF(LeadsData[[#This Row],[Stage Number]]&gt;=2,1,0)</f>
        <v>1</v>
      </c>
      <c r="N6510" s="2">
        <f>IF(LeadsData[[#This Row],[Stage Number]]&gt;=3,1,0)</f>
        <v>0</v>
      </c>
      <c r="O6510" s="2">
        <f>IF(LeadsData[[#This Row],[Stage Number]]&gt;=4,1,0)</f>
        <v>0</v>
      </c>
    </row>
    <row r="6511" spans="1:15" x14ac:dyDescent="0.25">
      <c r="A6511" t="s">
        <v>6551</v>
      </c>
      <c r="B6511" s="1">
        <v>45495</v>
      </c>
      <c r="C6511" t="s">
        <v>11</v>
      </c>
      <c r="D6511" t="s">
        <v>79</v>
      </c>
      <c r="E6511" t="s">
        <v>21</v>
      </c>
      <c r="F6511" t="s">
        <v>19</v>
      </c>
      <c r="G6511" t="s">
        <v>23</v>
      </c>
      <c r="K6511" cm="1">
        <f t="array" ref="K6511">_xlfn.SWITCH(LeadsData[[#This Row],[Funnel Stage Reached]],"Lead",1,"MQL",2,"SQL",3,"Customer",4)</f>
        <v>2</v>
      </c>
      <c r="L6511" t="str">
        <f>TEXT(LeadsData[[#This Row],[Signup Date]],"mmm-yyyy")</f>
        <v>Jul-2024</v>
      </c>
      <c r="M6511">
        <f>IF(LeadsData[[#This Row],[Stage Number]]&gt;=2,1,0)</f>
        <v>1</v>
      </c>
      <c r="N6511" s="2">
        <f>IF(LeadsData[[#This Row],[Stage Number]]&gt;=3,1,0)</f>
        <v>0</v>
      </c>
      <c r="O6511" s="2">
        <f>IF(LeadsData[[#This Row],[Stage Number]]&gt;=4,1,0)</f>
        <v>0</v>
      </c>
    </row>
    <row r="6512" spans="1:15" x14ac:dyDescent="0.25">
      <c r="A6512" t="s">
        <v>6552</v>
      </c>
      <c r="B6512" s="1">
        <v>45307</v>
      </c>
      <c r="C6512" t="s">
        <v>17</v>
      </c>
      <c r="D6512" t="s">
        <v>53</v>
      </c>
      <c r="E6512" t="s">
        <v>13</v>
      </c>
      <c r="F6512" t="s">
        <v>19</v>
      </c>
      <c r="G6512" t="s">
        <v>15</v>
      </c>
      <c r="K6512" cm="1">
        <f t="array" ref="K6512">_xlfn.SWITCH(LeadsData[[#This Row],[Funnel Stage Reached]],"Lead",1,"MQL",2,"SQL",3,"Customer",4)</f>
        <v>1</v>
      </c>
      <c r="L6512" t="str">
        <f>TEXT(LeadsData[[#This Row],[Signup Date]],"mmm-yyyy")</f>
        <v>Jan-2024</v>
      </c>
      <c r="M6512">
        <f>IF(LeadsData[[#This Row],[Stage Number]]&gt;=2,1,0)</f>
        <v>0</v>
      </c>
      <c r="N6512" s="2">
        <f>IF(LeadsData[[#This Row],[Stage Number]]&gt;=3,1,0)</f>
        <v>0</v>
      </c>
      <c r="O6512" s="2">
        <f>IF(LeadsData[[#This Row],[Stage Number]]&gt;=4,1,0)</f>
        <v>0</v>
      </c>
    </row>
    <row r="6513" spans="1:15" x14ac:dyDescent="0.25">
      <c r="A6513" t="s">
        <v>6553</v>
      </c>
      <c r="B6513" s="1">
        <v>45604</v>
      </c>
      <c r="C6513" t="s">
        <v>11</v>
      </c>
      <c r="D6513" t="s">
        <v>12</v>
      </c>
      <c r="E6513" t="s">
        <v>13</v>
      </c>
      <c r="F6513" t="s">
        <v>22</v>
      </c>
      <c r="G6513" t="s">
        <v>23</v>
      </c>
      <c r="K6513" cm="1">
        <f t="array" ref="K6513">_xlfn.SWITCH(LeadsData[[#This Row],[Funnel Stage Reached]],"Lead",1,"MQL",2,"SQL",3,"Customer",4)</f>
        <v>2</v>
      </c>
      <c r="L6513" t="str">
        <f>TEXT(LeadsData[[#This Row],[Signup Date]],"mmm-yyyy")</f>
        <v>Nov-2024</v>
      </c>
      <c r="M6513">
        <f>IF(LeadsData[[#This Row],[Stage Number]]&gt;=2,1,0)</f>
        <v>1</v>
      </c>
      <c r="N6513" s="2">
        <f>IF(LeadsData[[#This Row],[Stage Number]]&gt;=3,1,0)</f>
        <v>0</v>
      </c>
      <c r="O6513" s="2">
        <f>IF(LeadsData[[#This Row],[Stage Number]]&gt;=4,1,0)</f>
        <v>0</v>
      </c>
    </row>
    <row r="6514" spans="1:15" x14ac:dyDescent="0.25">
      <c r="A6514" t="s">
        <v>6554</v>
      </c>
      <c r="B6514" s="1">
        <v>45404</v>
      </c>
      <c r="C6514" t="s">
        <v>25</v>
      </c>
      <c r="D6514" t="s">
        <v>26</v>
      </c>
      <c r="E6514" t="s">
        <v>13</v>
      </c>
      <c r="F6514" t="s">
        <v>14</v>
      </c>
      <c r="G6514" t="s">
        <v>15</v>
      </c>
      <c r="K6514" cm="1">
        <f t="array" ref="K6514">_xlfn.SWITCH(LeadsData[[#This Row],[Funnel Stage Reached]],"Lead",1,"MQL",2,"SQL",3,"Customer",4)</f>
        <v>1</v>
      </c>
      <c r="L6514" t="str">
        <f>TEXT(LeadsData[[#This Row],[Signup Date]],"mmm-yyyy")</f>
        <v>Apr-2024</v>
      </c>
      <c r="M6514">
        <f>IF(LeadsData[[#This Row],[Stage Number]]&gt;=2,1,0)</f>
        <v>0</v>
      </c>
      <c r="N6514" s="2">
        <f>IF(LeadsData[[#This Row],[Stage Number]]&gt;=3,1,0)</f>
        <v>0</v>
      </c>
      <c r="O6514" s="2">
        <f>IF(LeadsData[[#This Row],[Stage Number]]&gt;=4,1,0)</f>
        <v>0</v>
      </c>
    </row>
    <row r="6515" spans="1:15" x14ac:dyDescent="0.25">
      <c r="A6515" t="s">
        <v>6555</v>
      </c>
      <c r="B6515" s="1">
        <v>45374</v>
      </c>
      <c r="C6515" t="s">
        <v>36</v>
      </c>
      <c r="D6515" t="s">
        <v>37</v>
      </c>
      <c r="E6515" t="s">
        <v>13</v>
      </c>
      <c r="F6515" t="s">
        <v>19</v>
      </c>
      <c r="G6515" t="s">
        <v>23</v>
      </c>
      <c r="K6515" cm="1">
        <f t="array" ref="K6515">_xlfn.SWITCH(LeadsData[[#This Row],[Funnel Stage Reached]],"Lead",1,"MQL",2,"SQL",3,"Customer",4)</f>
        <v>2</v>
      </c>
      <c r="L6515" t="str">
        <f>TEXT(LeadsData[[#This Row],[Signup Date]],"mmm-yyyy")</f>
        <v>Mar-2024</v>
      </c>
      <c r="M6515">
        <f>IF(LeadsData[[#This Row],[Stage Number]]&gt;=2,1,0)</f>
        <v>1</v>
      </c>
      <c r="N6515" s="2">
        <f>IF(LeadsData[[#This Row],[Stage Number]]&gt;=3,1,0)</f>
        <v>0</v>
      </c>
      <c r="O6515" s="2">
        <f>IF(LeadsData[[#This Row],[Stage Number]]&gt;=4,1,0)</f>
        <v>0</v>
      </c>
    </row>
    <row r="6516" spans="1:15" x14ac:dyDescent="0.25">
      <c r="A6516" t="s">
        <v>6556</v>
      </c>
      <c r="B6516" s="1">
        <v>45623</v>
      </c>
      <c r="C6516" t="s">
        <v>25</v>
      </c>
      <c r="D6516" t="s">
        <v>26</v>
      </c>
      <c r="E6516" t="s">
        <v>21</v>
      </c>
      <c r="F6516" t="s">
        <v>19</v>
      </c>
      <c r="G6516" t="s">
        <v>23</v>
      </c>
      <c r="K6516" cm="1">
        <f t="array" ref="K6516">_xlfn.SWITCH(LeadsData[[#This Row],[Funnel Stage Reached]],"Lead",1,"MQL",2,"SQL",3,"Customer",4)</f>
        <v>2</v>
      </c>
      <c r="L6516" t="str">
        <f>TEXT(LeadsData[[#This Row],[Signup Date]],"mmm-yyyy")</f>
        <v>Nov-2024</v>
      </c>
      <c r="M6516">
        <f>IF(LeadsData[[#This Row],[Stage Number]]&gt;=2,1,0)</f>
        <v>1</v>
      </c>
      <c r="N6516" s="2">
        <f>IF(LeadsData[[#This Row],[Stage Number]]&gt;=3,1,0)</f>
        <v>0</v>
      </c>
      <c r="O6516" s="2">
        <f>IF(LeadsData[[#This Row],[Stage Number]]&gt;=4,1,0)</f>
        <v>0</v>
      </c>
    </row>
    <row r="6517" spans="1:15" x14ac:dyDescent="0.25">
      <c r="A6517" t="s">
        <v>6557</v>
      </c>
      <c r="B6517" s="1">
        <v>45449</v>
      </c>
      <c r="C6517" t="s">
        <v>31</v>
      </c>
      <c r="D6517" t="s">
        <v>32</v>
      </c>
      <c r="E6517" t="s">
        <v>48</v>
      </c>
      <c r="F6517" t="s">
        <v>19</v>
      </c>
      <c r="G6517" t="s">
        <v>23</v>
      </c>
      <c r="K6517" cm="1">
        <f t="array" ref="K6517">_xlfn.SWITCH(LeadsData[[#This Row],[Funnel Stage Reached]],"Lead",1,"MQL",2,"SQL",3,"Customer",4)</f>
        <v>2</v>
      </c>
      <c r="L6517" t="str">
        <f>TEXT(LeadsData[[#This Row],[Signup Date]],"mmm-yyyy")</f>
        <v>Jun-2024</v>
      </c>
      <c r="M6517">
        <f>IF(LeadsData[[#This Row],[Stage Number]]&gt;=2,1,0)</f>
        <v>1</v>
      </c>
      <c r="N6517" s="2">
        <f>IF(LeadsData[[#This Row],[Stage Number]]&gt;=3,1,0)</f>
        <v>0</v>
      </c>
      <c r="O6517" s="2">
        <f>IF(LeadsData[[#This Row],[Stage Number]]&gt;=4,1,0)</f>
        <v>0</v>
      </c>
    </row>
    <row r="6518" spans="1:15" x14ac:dyDescent="0.25">
      <c r="A6518" t="s">
        <v>6558</v>
      </c>
      <c r="B6518" s="1">
        <v>45339</v>
      </c>
      <c r="C6518" t="s">
        <v>11</v>
      </c>
      <c r="D6518" t="s">
        <v>12</v>
      </c>
      <c r="E6518" t="s">
        <v>21</v>
      </c>
      <c r="F6518" t="s">
        <v>22</v>
      </c>
      <c r="G6518" t="s">
        <v>23</v>
      </c>
      <c r="K6518" cm="1">
        <f t="array" ref="K6518">_xlfn.SWITCH(LeadsData[[#This Row],[Funnel Stage Reached]],"Lead",1,"MQL",2,"SQL",3,"Customer",4)</f>
        <v>2</v>
      </c>
      <c r="L6518" t="str">
        <f>TEXT(LeadsData[[#This Row],[Signup Date]],"mmm-yyyy")</f>
        <v>Feb-2024</v>
      </c>
      <c r="M6518">
        <f>IF(LeadsData[[#This Row],[Stage Number]]&gt;=2,1,0)</f>
        <v>1</v>
      </c>
      <c r="N6518" s="2">
        <f>IF(LeadsData[[#This Row],[Stage Number]]&gt;=3,1,0)</f>
        <v>0</v>
      </c>
      <c r="O6518" s="2">
        <f>IF(LeadsData[[#This Row],[Stage Number]]&gt;=4,1,0)</f>
        <v>0</v>
      </c>
    </row>
    <row r="6519" spans="1:15" x14ac:dyDescent="0.25">
      <c r="A6519" t="s">
        <v>6559</v>
      </c>
      <c r="B6519" s="1">
        <v>45393</v>
      </c>
      <c r="C6519" t="s">
        <v>31</v>
      </c>
      <c r="D6519" t="s">
        <v>34</v>
      </c>
      <c r="E6519" t="s">
        <v>13</v>
      </c>
      <c r="F6519" t="s">
        <v>19</v>
      </c>
      <c r="G6519" t="s">
        <v>42</v>
      </c>
      <c r="H6519">
        <v>10</v>
      </c>
      <c r="I6519" t="s">
        <v>183</v>
      </c>
      <c r="J6519">
        <v>11313.78</v>
      </c>
      <c r="K6519" cm="1">
        <f t="array" ref="K6519">_xlfn.SWITCH(LeadsData[[#This Row],[Funnel Stage Reached]],"Lead",1,"MQL",2,"SQL",3,"Customer",4)</f>
        <v>4</v>
      </c>
      <c r="L6519" t="str">
        <f>TEXT(LeadsData[[#This Row],[Signup Date]],"mmm-yyyy")</f>
        <v>Apr-2024</v>
      </c>
      <c r="M6519">
        <f>IF(LeadsData[[#This Row],[Stage Number]]&gt;=2,1,0)</f>
        <v>1</v>
      </c>
      <c r="N6519" s="2">
        <f>IF(LeadsData[[#This Row],[Stage Number]]&gt;=3,1,0)</f>
        <v>1</v>
      </c>
      <c r="O6519" s="2">
        <f>IF(LeadsData[[#This Row],[Stage Number]]&gt;=4,1,0)</f>
        <v>1</v>
      </c>
    </row>
    <row r="6520" spans="1:15" x14ac:dyDescent="0.25">
      <c r="A6520" t="s">
        <v>6560</v>
      </c>
      <c r="B6520" s="1">
        <v>45438</v>
      </c>
      <c r="C6520" t="s">
        <v>25</v>
      </c>
      <c r="D6520" t="s">
        <v>26</v>
      </c>
      <c r="E6520" t="s">
        <v>21</v>
      </c>
      <c r="F6520" t="s">
        <v>19</v>
      </c>
      <c r="G6520" t="s">
        <v>15</v>
      </c>
      <c r="K6520" cm="1">
        <f t="array" ref="K6520">_xlfn.SWITCH(LeadsData[[#This Row],[Funnel Stage Reached]],"Lead",1,"MQL",2,"SQL",3,"Customer",4)</f>
        <v>1</v>
      </c>
      <c r="L6520" t="str">
        <f>TEXT(LeadsData[[#This Row],[Signup Date]],"mmm-yyyy")</f>
        <v>May-2024</v>
      </c>
      <c r="M6520">
        <f>IF(LeadsData[[#This Row],[Stage Number]]&gt;=2,1,0)</f>
        <v>0</v>
      </c>
      <c r="N6520" s="2">
        <f>IF(LeadsData[[#This Row],[Stage Number]]&gt;=3,1,0)</f>
        <v>0</v>
      </c>
      <c r="O6520" s="2">
        <f>IF(LeadsData[[#This Row],[Stage Number]]&gt;=4,1,0)</f>
        <v>0</v>
      </c>
    </row>
    <row r="6521" spans="1:15" x14ac:dyDescent="0.25">
      <c r="A6521" t="s">
        <v>6561</v>
      </c>
      <c r="B6521" s="1">
        <v>45475</v>
      </c>
      <c r="C6521" t="s">
        <v>36</v>
      </c>
      <c r="D6521" t="s">
        <v>50</v>
      </c>
      <c r="E6521" t="s">
        <v>21</v>
      </c>
      <c r="F6521" t="s">
        <v>19</v>
      </c>
      <c r="G6521" t="s">
        <v>29</v>
      </c>
      <c r="K6521" cm="1">
        <f t="array" ref="K6521">_xlfn.SWITCH(LeadsData[[#This Row],[Funnel Stage Reached]],"Lead",1,"MQL",2,"SQL",3,"Customer",4)</f>
        <v>3</v>
      </c>
      <c r="L6521" t="str">
        <f>TEXT(LeadsData[[#This Row],[Signup Date]],"mmm-yyyy")</f>
        <v>Jul-2024</v>
      </c>
      <c r="M6521">
        <f>IF(LeadsData[[#This Row],[Stage Number]]&gt;=2,1,0)</f>
        <v>1</v>
      </c>
      <c r="N6521" s="2">
        <f>IF(LeadsData[[#This Row],[Stage Number]]&gt;=3,1,0)</f>
        <v>1</v>
      </c>
      <c r="O6521" s="2">
        <f>IF(LeadsData[[#This Row],[Stage Number]]&gt;=4,1,0)</f>
        <v>0</v>
      </c>
    </row>
    <row r="6522" spans="1:15" x14ac:dyDescent="0.25">
      <c r="A6522" t="s">
        <v>6562</v>
      </c>
      <c r="B6522" s="1">
        <v>45547</v>
      </c>
      <c r="C6522" t="s">
        <v>11</v>
      </c>
      <c r="D6522" t="s">
        <v>68</v>
      </c>
      <c r="E6522" t="s">
        <v>21</v>
      </c>
      <c r="F6522" t="s">
        <v>22</v>
      </c>
      <c r="G6522" t="s">
        <v>15</v>
      </c>
      <c r="K6522" cm="1">
        <f t="array" ref="K6522">_xlfn.SWITCH(LeadsData[[#This Row],[Funnel Stage Reached]],"Lead",1,"MQL",2,"SQL",3,"Customer",4)</f>
        <v>1</v>
      </c>
      <c r="L6522" t="str">
        <f>TEXT(LeadsData[[#This Row],[Signup Date]],"mmm-yyyy")</f>
        <v>Sep-2024</v>
      </c>
      <c r="M6522">
        <f>IF(LeadsData[[#This Row],[Stage Number]]&gt;=2,1,0)</f>
        <v>0</v>
      </c>
      <c r="N6522" s="2">
        <f>IF(LeadsData[[#This Row],[Stage Number]]&gt;=3,1,0)</f>
        <v>0</v>
      </c>
      <c r="O6522" s="2">
        <f>IF(LeadsData[[#This Row],[Stage Number]]&gt;=4,1,0)</f>
        <v>0</v>
      </c>
    </row>
    <row r="6523" spans="1:15" x14ac:dyDescent="0.25">
      <c r="A6523" t="s">
        <v>6563</v>
      </c>
      <c r="B6523" s="1">
        <v>45379</v>
      </c>
      <c r="C6523" t="s">
        <v>11</v>
      </c>
      <c r="D6523" t="s">
        <v>12</v>
      </c>
      <c r="E6523" t="s">
        <v>13</v>
      </c>
      <c r="F6523" t="s">
        <v>19</v>
      </c>
      <c r="G6523" t="s">
        <v>15</v>
      </c>
      <c r="K6523" cm="1">
        <f t="array" ref="K6523">_xlfn.SWITCH(LeadsData[[#This Row],[Funnel Stage Reached]],"Lead",1,"MQL",2,"SQL",3,"Customer",4)</f>
        <v>1</v>
      </c>
      <c r="L6523" t="str">
        <f>TEXT(LeadsData[[#This Row],[Signup Date]],"mmm-yyyy")</f>
        <v>Mar-2024</v>
      </c>
      <c r="M6523">
        <f>IF(LeadsData[[#This Row],[Stage Number]]&gt;=2,1,0)</f>
        <v>0</v>
      </c>
      <c r="N6523" s="2">
        <f>IF(LeadsData[[#This Row],[Stage Number]]&gt;=3,1,0)</f>
        <v>0</v>
      </c>
      <c r="O6523" s="2">
        <f>IF(LeadsData[[#This Row],[Stage Number]]&gt;=4,1,0)</f>
        <v>0</v>
      </c>
    </row>
    <row r="6524" spans="1:15" x14ac:dyDescent="0.25">
      <c r="A6524" t="s">
        <v>6564</v>
      </c>
      <c r="B6524" s="1">
        <v>45489</v>
      </c>
      <c r="C6524" t="s">
        <v>31</v>
      </c>
      <c r="D6524" t="s">
        <v>32</v>
      </c>
      <c r="E6524" t="s">
        <v>21</v>
      </c>
      <c r="F6524" t="s">
        <v>19</v>
      </c>
      <c r="G6524" t="s">
        <v>23</v>
      </c>
      <c r="K6524" cm="1">
        <f t="array" ref="K6524">_xlfn.SWITCH(LeadsData[[#This Row],[Funnel Stage Reached]],"Lead",1,"MQL",2,"SQL",3,"Customer",4)</f>
        <v>2</v>
      </c>
      <c r="L6524" t="str">
        <f>TEXT(LeadsData[[#This Row],[Signup Date]],"mmm-yyyy")</f>
        <v>Jul-2024</v>
      </c>
      <c r="M6524">
        <f>IF(LeadsData[[#This Row],[Stage Number]]&gt;=2,1,0)</f>
        <v>1</v>
      </c>
      <c r="N6524" s="2">
        <f>IF(LeadsData[[#This Row],[Stage Number]]&gt;=3,1,0)</f>
        <v>0</v>
      </c>
      <c r="O6524" s="2">
        <f>IF(LeadsData[[#This Row],[Stage Number]]&gt;=4,1,0)</f>
        <v>0</v>
      </c>
    </row>
    <row r="6525" spans="1:15" x14ac:dyDescent="0.25">
      <c r="A6525" t="s">
        <v>6565</v>
      </c>
      <c r="B6525" s="1">
        <v>45338</v>
      </c>
      <c r="C6525" t="s">
        <v>17</v>
      </c>
      <c r="D6525" t="s">
        <v>53</v>
      </c>
      <c r="E6525" t="s">
        <v>21</v>
      </c>
      <c r="F6525" t="s">
        <v>19</v>
      </c>
      <c r="G6525" t="s">
        <v>15</v>
      </c>
      <c r="K6525" cm="1">
        <f t="array" ref="K6525">_xlfn.SWITCH(LeadsData[[#This Row],[Funnel Stage Reached]],"Lead",1,"MQL",2,"SQL",3,"Customer",4)</f>
        <v>1</v>
      </c>
      <c r="L6525" t="str">
        <f>TEXT(LeadsData[[#This Row],[Signup Date]],"mmm-yyyy")</f>
        <v>Feb-2024</v>
      </c>
      <c r="M6525">
        <f>IF(LeadsData[[#This Row],[Stage Number]]&gt;=2,1,0)</f>
        <v>0</v>
      </c>
      <c r="N6525" s="2">
        <f>IF(LeadsData[[#This Row],[Stage Number]]&gt;=3,1,0)</f>
        <v>0</v>
      </c>
      <c r="O6525" s="2">
        <f>IF(LeadsData[[#This Row],[Stage Number]]&gt;=4,1,0)</f>
        <v>0</v>
      </c>
    </row>
    <row r="6526" spans="1:15" x14ac:dyDescent="0.25">
      <c r="A6526" t="s">
        <v>6566</v>
      </c>
      <c r="B6526" s="1">
        <v>45638</v>
      </c>
      <c r="C6526" t="s">
        <v>17</v>
      </c>
      <c r="D6526" t="s">
        <v>18</v>
      </c>
      <c r="E6526" t="s">
        <v>21</v>
      </c>
      <c r="F6526" t="s">
        <v>22</v>
      </c>
      <c r="G6526" t="s">
        <v>29</v>
      </c>
      <c r="K6526" cm="1">
        <f t="array" ref="K6526">_xlfn.SWITCH(LeadsData[[#This Row],[Funnel Stage Reached]],"Lead",1,"MQL",2,"SQL",3,"Customer",4)</f>
        <v>3</v>
      </c>
      <c r="L6526" t="str">
        <f>TEXT(LeadsData[[#This Row],[Signup Date]],"mmm-yyyy")</f>
        <v>Dec-2024</v>
      </c>
      <c r="M6526">
        <f>IF(LeadsData[[#This Row],[Stage Number]]&gt;=2,1,0)</f>
        <v>1</v>
      </c>
      <c r="N6526" s="2">
        <f>IF(LeadsData[[#This Row],[Stage Number]]&gt;=3,1,0)</f>
        <v>1</v>
      </c>
      <c r="O6526" s="2">
        <f>IF(LeadsData[[#This Row],[Stage Number]]&gt;=4,1,0)</f>
        <v>0</v>
      </c>
    </row>
    <row r="6527" spans="1:15" x14ac:dyDescent="0.25">
      <c r="A6527" t="s">
        <v>6567</v>
      </c>
      <c r="B6527" s="1">
        <v>45505</v>
      </c>
      <c r="C6527" t="s">
        <v>17</v>
      </c>
      <c r="D6527" t="s">
        <v>53</v>
      </c>
      <c r="E6527" t="s">
        <v>21</v>
      </c>
      <c r="F6527" t="s">
        <v>19</v>
      </c>
      <c r="G6527" t="s">
        <v>23</v>
      </c>
      <c r="K6527" cm="1">
        <f t="array" ref="K6527">_xlfn.SWITCH(LeadsData[[#This Row],[Funnel Stage Reached]],"Lead",1,"MQL",2,"SQL",3,"Customer",4)</f>
        <v>2</v>
      </c>
      <c r="L6527" t="str">
        <f>TEXT(LeadsData[[#This Row],[Signup Date]],"mmm-yyyy")</f>
        <v>Aug-2024</v>
      </c>
      <c r="M6527">
        <f>IF(LeadsData[[#This Row],[Stage Number]]&gt;=2,1,0)</f>
        <v>1</v>
      </c>
      <c r="N6527" s="2">
        <f>IF(LeadsData[[#This Row],[Stage Number]]&gt;=3,1,0)</f>
        <v>0</v>
      </c>
      <c r="O6527" s="2">
        <f>IF(LeadsData[[#This Row],[Stage Number]]&gt;=4,1,0)</f>
        <v>0</v>
      </c>
    </row>
    <row r="6528" spans="1:15" x14ac:dyDescent="0.25">
      <c r="A6528" t="s">
        <v>6568</v>
      </c>
      <c r="B6528" s="1">
        <v>45402</v>
      </c>
      <c r="C6528" t="s">
        <v>36</v>
      </c>
      <c r="D6528" t="s">
        <v>37</v>
      </c>
      <c r="E6528" t="s">
        <v>13</v>
      </c>
      <c r="F6528" t="s">
        <v>22</v>
      </c>
      <c r="G6528" t="s">
        <v>15</v>
      </c>
      <c r="K6528" cm="1">
        <f t="array" ref="K6528">_xlfn.SWITCH(LeadsData[[#This Row],[Funnel Stage Reached]],"Lead",1,"MQL",2,"SQL",3,"Customer",4)</f>
        <v>1</v>
      </c>
      <c r="L6528" t="str">
        <f>TEXT(LeadsData[[#This Row],[Signup Date]],"mmm-yyyy")</f>
        <v>Apr-2024</v>
      </c>
      <c r="M6528">
        <f>IF(LeadsData[[#This Row],[Stage Number]]&gt;=2,1,0)</f>
        <v>0</v>
      </c>
      <c r="N6528" s="2">
        <f>IF(LeadsData[[#This Row],[Stage Number]]&gt;=3,1,0)</f>
        <v>0</v>
      </c>
      <c r="O6528" s="2">
        <f>IF(LeadsData[[#This Row],[Stage Number]]&gt;=4,1,0)</f>
        <v>0</v>
      </c>
    </row>
    <row r="6529" spans="1:15" x14ac:dyDescent="0.25">
      <c r="A6529" t="s">
        <v>6569</v>
      </c>
      <c r="B6529" s="1">
        <v>45296</v>
      </c>
      <c r="C6529" t="s">
        <v>11</v>
      </c>
      <c r="D6529" t="s">
        <v>68</v>
      </c>
      <c r="E6529" t="s">
        <v>13</v>
      </c>
      <c r="F6529" t="s">
        <v>19</v>
      </c>
      <c r="G6529" t="s">
        <v>15</v>
      </c>
      <c r="K6529" cm="1">
        <f t="array" ref="K6529">_xlfn.SWITCH(LeadsData[[#This Row],[Funnel Stage Reached]],"Lead",1,"MQL",2,"SQL",3,"Customer",4)</f>
        <v>1</v>
      </c>
      <c r="L6529" t="str">
        <f>TEXT(LeadsData[[#This Row],[Signup Date]],"mmm-yyyy")</f>
        <v>Jan-2024</v>
      </c>
      <c r="M6529">
        <f>IF(LeadsData[[#This Row],[Stage Number]]&gt;=2,1,0)</f>
        <v>0</v>
      </c>
      <c r="N6529" s="2">
        <f>IF(LeadsData[[#This Row],[Stage Number]]&gt;=3,1,0)</f>
        <v>0</v>
      </c>
      <c r="O6529" s="2">
        <f>IF(LeadsData[[#This Row],[Stage Number]]&gt;=4,1,0)</f>
        <v>0</v>
      </c>
    </row>
    <row r="6530" spans="1:15" x14ac:dyDescent="0.25">
      <c r="A6530" t="s">
        <v>6570</v>
      </c>
      <c r="B6530" s="1">
        <v>45446</v>
      </c>
      <c r="C6530" t="s">
        <v>36</v>
      </c>
      <c r="D6530" t="s">
        <v>50</v>
      </c>
      <c r="E6530" t="s">
        <v>13</v>
      </c>
      <c r="F6530" t="s">
        <v>22</v>
      </c>
      <c r="G6530" t="s">
        <v>15</v>
      </c>
      <c r="K6530" cm="1">
        <f t="array" ref="K6530">_xlfn.SWITCH(LeadsData[[#This Row],[Funnel Stage Reached]],"Lead",1,"MQL",2,"SQL",3,"Customer",4)</f>
        <v>1</v>
      </c>
      <c r="L6530" t="str">
        <f>TEXT(LeadsData[[#This Row],[Signup Date]],"mmm-yyyy")</f>
        <v>Jun-2024</v>
      </c>
      <c r="M6530">
        <f>IF(LeadsData[[#This Row],[Stage Number]]&gt;=2,1,0)</f>
        <v>0</v>
      </c>
      <c r="N6530" s="2">
        <f>IF(LeadsData[[#This Row],[Stage Number]]&gt;=3,1,0)</f>
        <v>0</v>
      </c>
      <c r="O6530" s="2">
        <f>IF(LeadsData[[#This Row],[Stage Number]]&gt;=4,1,0)</f>
        <v>0</v>
      </c>
    </row>
    <row r="6531" spans="1:15" x14ac:dyDescent="0.25">
      <c r="A6531" t="s">
        <v>6571</v>
      </c>
      <c r="B6531" s="1">
        <v>45428</v>
      </c>
      <c r="C6531" t="s">
        <v>31</v>
      </c>
      <c r="D6531" t="s">
        <v>34</v>
      </c>
      <c r="E6531" t="s">
        <v>21</v>
      </c>
      <c r="F6531" t="s">
        <v>28</v>
      </c>
      <c r="G6531" t="s">
        <v>15</v>
      </c>
      <c r="K6531" cm="1">
        <f t="array" ref="K6531">_xlfn.SWITCH(LeadsData[[#This Row],[Funnel Stage Reached]],"Lead",1,"MQL",2,"SQL",3,"Customer",4)</f>
        <v>1</v>
      </c>
      <c r="L6531" t="str">
        <f>TEXT(LeadsData[[#This Row],[Signup Date]],"mmm-yyyy")</f>
        <v>May-2024</v>
      </c>
      <c r="M6531">
        <f>IF(LeadsData[[#This Row],[Stage Number]]&gt;=2,1,0)</f>
        <v>0</v>
      </c>
      <c r="N6531" s="2">
        <f>IF(LeadsData[[#This Row],[Stage Number]]&gt;=3,1,0)</f>
        <v>0</v>
      </c>
      <c r="O6531" s="2">
        <f>IF(LeadsData[[#This Row],[Stage Number]]&gt;=4,1,0)</f>
        <v>0</v>
      </c>
    </row>
    <row r="6532" spans="1:15" x14ac:dyDescent="0.25">
      <c r="A6532" t="s">
        <v>6572</v>
      </c>
      <c r="B6532" s="1">
        <v>45547</v>
      </c>
      <c r="C6532" t="s">
        <v>31</v>
      </c>
      <c r="D6532" t="s">
        <v>32</v>
      </c>
      <c r="E6532" t="s">
        <v>13</v>
      </c>
      <c r="F6532" t="s">
        <v>22</v>
      </c>
      <c r="G6532" t="s">
        <v>15</v>
      </c>
      <c r="K6532" cm="1">
        <f t="array" ref="K6532">_xlfn.SWITCH(LeadsData[[#This Row],[Funnel Stage Reached]],"Lead",1,"MQL",2,"SQL",3,"Customer",4)</f>
        <v>1</v>
      </c>
      <c r="L6532" t="str">
        <f>TEXT(LeadsData[[#This Row],[Signup Date]],"mmm-yyyy")</f>
        <v>Sep-2024</v>
      </c>
      <c r="M6532">
        <f>IF(LeadsData[[#This Row],[Stage Number]]&gt;=2,1,0)</f>
        <v>0</v>
      </c>
      <c r="N6532" s="2">
        <f>IF(LeadsData[[#This Row],[Stage Number]]&gt;=3,1,0)</f>
        <v>0</v>
      </c>
      <c r="O6532" s="2">
        <f>IF(LeadsData[[#This Row],[Stage Number]]&gt;=4,1,0)</f>
        <v>0</v>
      </c>
    </row>
    <row r="6533" spans="1:15" x14ac:dyDescent="0.25">
      <c r="A6533" t="s">
        <v>6573</v>
      </c>
      <c r="B6533" s="1">
        <v>45338</v>
      </c>
      <c r="C6533" t="s">
        <v>31</v>
      </c>
      <c r="D6533" t="s">
        <v>32</v>
      </c>
      <c r="E6533" t="s">
        <v>21</v>
      </c>
      <c r="F6533" t="s">
        <v>22</v>
      </c>
      <c r="G6533" t="s">
        <v>29</v>
      </c>
      <c r="K6533" cm="1">
        <f t="array" ref="K6533">_xlfn.SWITCH(LeadsData[[#This Row],[Funnel Stage Reached]],"Lead",1,"MQL",2,"SQL",3,"Customer",4)</f>
        <v>3</v>
      </c>
      <c r="L6533" t="str">
        <f>TEXT(LeadsData[[#This Row],[Signup Date]],"mmm-yyyy")</f>
        <v>Feb-2024</v>
      </c>
      <c r="M6533">
        <f>IF(LeadsData[[#This Row],[Stage Number]]&gt;=2,1,0)</f>
        <v>1</v>
      </c>
      <c r="N6533" s="2">
        <f>IF(LeadsData[[#This Row],[Stage Number]]&gt;=3,1,0)</f>
        <v>1</v>
      </c>
      <c r="O6533" s="2">
        <f>IF(LeadsData[[#This Row],[Stage Number]]&gt;=4,1,0)</f>
        <v>0</v>
      </c>
    </row>
    <row r="6534" spans="1:15" x14ac:dyDescent="0.25">
      <c r="A6534" t="s">
        <v>6574</v>
      </c>
      <c r="B6534" s="1">
        <v>45539</v>
      </c>
      <c r="C6534" t="s">
        <v>36</v>
      </c>
      <c r="D6534" t="s">
        <v>50</v>
      </c>
      <c r="E6534" t="s">
        <v>21</v>
      </c>
      <c r="F6534" t="s">
        <v>19</v>
      </c>
      <c r="G6534" t="s">
        <v>15</v>
      </c>
      <c r="K6534" cm="1">
        <f t="array" ref="K6534">_xlfn.SWITCH(LeadsData[[#This Row],[Funnel Stage Reached]],"Lead",1,"MQL",2,"SQL",3,"Customer",4)</f>
        <v>1</v>
      </c>
      <c r="L6534" t="str">
        <f>TEXT(LeadsData[[#This Row],[Signup Date]],"mmm-yyyy")</f>
        <v>Sep-2024</v>
      </c>
      <c r="M6534">
        <f>IF(LeadsData[[#This Row],[Stage Number]]&gt;=2,1,0)</f>
        <v>0</v>
      </c>
      <c r="N6534" s="2">
        <f>IF(LeadsData[[#This Row],[Stage Number]]&gt;=3,1,0)</f>
        <v>0</v>
      </c>
      <c r="O6534" s="2">
        <f>IF(LeadsData[[#This Row],[Stage Number]]&gt;=4,1,0)</f>
        <v>0</v>
      </c>
    </row>
    <row r="6535" spans="1:15" x14ac:dyDescent="0.25">
      <c r="A6535" t="s">
        <v>6575</v>
      </c>
      <c r="B6535" s="1">
        <v>45540</v>
      </c>
      <c r="C6535" t="s">
        <v>17</v>
      </c>
      <c r="D6535" t="s">
        <v>18</v>
      </c>
      <c r="E6535" t="s">
        <v>13</v>
      </c>
      <c r="F6535" t="s">
        <v>22</v>
      </c>
      <c r="G6535" t="s">
        <v>23</v>
      </c>
      <c r="K6535" cm="1">
        <f t="array" ref="K6535">_xlfn.SWITCH(LeadsData[[#This Row],[Funnel Stage Reached]],"Lead",1,"MQL",2,"SQL",3,"Customer",4)</f>
        <v>2</v>
      </c>
      <c r="L6535" t="str">
        <f>TEXT(LeadsData[[#This Row],[Signup Date]],"mmm-yyyy")</f>
        <v>Sep-2024</v>
      </c>
      <c r="M6535">
        <f>IF(LeadsData[[#This Row],[Stage Number]]&gt;=2,1,0)</f>
        <v>1</v>
      </c>
      <c r="N6535" s="2">
        <f>IF(LeadsData[[#This Row],[Stage Number]]&gt;=3,1,0)</f>
        <v>0</v>
      </c>
      <c r="O6535" s="2">
        <f>IF(LeadsData[[#This Row],[Stage Number]]&gt;=4,1,0)</f>
        <v>0</v>
      </c>
    </row>
    <row r="6536" spans="1:15" x14ac:dyDescent="0.25">
      <c r="A6536" t="s">
        <v>6576</v>
      </c>
      <c r="B6536" s="1">
        <v>45495</v>
      </c>
      <c r="C6536" t="s">
        <v>11</v>
      </c>
      <c r="D6536" t="s">
        <v>12</v>
      </c>
      <c r="E6536" t="s">
        <v>13</v>
      </c>
      <c r="F6536" t="s">
        <v>19</v>
      </c>
      <c r="G6536" t="s">
        <v>15</v>
      </c>
      <c r="K6536" cm="1">
        <f t="array" ref="K6536">_xlfn.SWITCH(LeadsData[[#This Row],[Funnel Stage Reached]],"Lead",1,"MQL",2,"SQL",3,"Customer",4)</f>
        <v>1</v>
      </c>
      <c r="L6536" t="str">
        <f>TEXT(LeadsData[[#This Row],[Signup Date]],"mmm-yyyy")</f>
        <v>Jul-2024</v>
      </c>
      <c r="M6536">
        <f>IF(LeadsData[[#This Row],[Stage Number]]&gt;=2,1,0)</f>
        <v>0</v>
      </c>
      <c r="N6536" s="2">
        <f>IF(LeadsData[[#This Row],[Stage Number]]&gt;=3,1,0)</f>
        <v>0</v>
      </c>
      <c r="O6536" s="2">
        <f>IF(LeadsData[[#This Row],[Stage Number]]&gt;=4,1,0)</f>
        <v>0</v>
      </c>
    </row>
    <row r="6537" spans="1:15" x14ac:dyDescent="0.25">
      <c r="A6537" t="s">
        <v>6577</v>
      </c>
      <c r="B6537" s="1">
        <v>45319</v>
      </c>
      <c r="C6537" t="s">
        <v>11</v>
      </c>
      <c r="D6537" t="s">
        <v>68</v>
      </c>
      <c r="E6537" t="s">
        <v>13</v>
      </c>
      <c r="F6537" t="s">
        <v>22</v>
      </c>
      <c r="G6537" t="s">
        <v>15</v>
      </c>
      <c r="K6537" cm="1">
        <f t="array" ref="K6537">_xlfn.SWITCH(LeadsData[[#This Row],[Funnel Stage Reached]],"Lead",1,"MQL",2,"SQL",3,"Customer",4)</f>
        <v>1</v>
      </c>
      <c r="L6537" t="str">
        <f>TEXT(LeadsData[[#This Row],[Signup Date]],"mmm-yyyy")</f>
        <v>Jan-2024</v>
      </c>
      <c r="M6537">
        <f>IF(LeadsData[[#This Row],[Stage Number]]&gt;=2,1,0)</f>
        <v>0</v>
      </c>
      <c r="N6537" s="2">
        <f>IF(LeadsData[[#This Row],[Stage Number]]&gt;=3,1,0)</f>
        <v>0</v>
      </c>
      <c r="O6537" s="2">
        <f>IF(LeadsData[[#This Row],[Stage Number]]&gt;=4,1,0)</f>
        <v>0</v>
      </c>
    </row>
    <row r="6538" spans="1:15" x14ac:dyDescent="0.25">
      <c r="A6538" t="s">
        <v>6578</v>
      </c>
      <c r="B6538" s="1">
        <v>45509</v>
      </c>
      <c r="C6538" t="s">
        <v>46</v>
      </c>
      <c r="D6538" t="s">
        <v>56</v>
      </c>
      <c r="E6538" t="s">
        <v>48</v>
      </c>
      <c r="F6538" t="s">
        <v>22</v>
      </c>
      <c r="G6538" t="s">
        <v>23</v>
      </c>
      <c r="K6538" cm="1">
        <f t="array" ref="K6538">_xlfn.SWITCH(LeadsData[[#This Row],[Funnel Stage Reached]],"Lead",1,"MQL",2,"SQL",3,"Customer",4)</f>
        <v>2</v>
      </c>
      <c r="L6538" t="str">
        <f>TEXT(LeadsData[[#This Row],[Signup Date]],"mmm-yyyy")</f>
        <v>Aug-2024</v>
      </c>
      <c r="M6538">
        <f>IF(LeadsData[[#This Row],[Stage Number]]&gt;=2,1,0)</f>
        <v>1</v>
      </c>
      <c r="N6538" s="2">
        <f>IF(LeadsData[[#This Row],[Stage Number]]&gt;=3,1,0)</f>
        <v>0</v>
      </c>
      <c r="O6538" s="2">
        <f>IF(LeadsData[[#This Row],[Stage Number]]&gt;=4,1,0)</f>
        <v>0</v>
      </c>
    </row>
    <row r="6539" spans="1:15" x14ac:dyDescent="0.25">
      <c r="A6539" t="s">
        <v>6579</v>
      </c>
      <c r="B6539" s="1">
        <v>45591</v>
      </c>
      <c r="C6539" t="s">
        <v>11</v>
      </c>
      <c r="D6539" t="s">
        <v>79</v>
      </c>
      <c r="E6539" t="s">
        <v>13</v>
      </c>
      <c r="F6539" t="s">
        <v>19</v>
      </c>
      <c r="G6539" t="s">
        <v>15</v>
      </c>
      <c r="K6539" cm="1">
        <f t="array" ref="K6539">_xlfn.SWITCH(LeadsData[[#This Row],[Funnel Stage Reached]],"Lead",1,"MQL",2,"SQL",3,"Customer",4)</f>
        <v>1</v>
      </c>
      <c r="L6539" t="str">
        <f>TEXT(LeadsData[[#This Row],[Signup Date]],"mmm-yyyy")</f>
        <v>Oct-2024</v>
      </c>
      <c r="M6539">
        <f>IF(LeadsData[[#This Row],[Stage Number]]&gt;=2,1,0)</f>
        <v>0</v>
      </c>
      <c r="N6539" s="2">
        <f>IF(LeadsData[[#This Row],[Stage Number]]&gt;=3,1,0)</f>
        <v>0</v>
      </c>
      <c r="O6539" s="2">
        <f>IF(LeadsData[[#This Row],[Stage Number]]&gt;=4,1,0)</f>
        <v>0</v>
      </c>
    </row>
    <row r="6540" spans="1:15" x14ac:dyDescent="0.25">
      <c r="A6540" t="s">
        <v>6580</v>
      </c>
      <c r="B6540" s="1">
        <v>45640</v>
      </c>
      <c r="C6540" t="s">
        <v>11</v>
      </c>
      <c r="D6540" t="s">
        <v>79</v>
      </c>
      <c r="E6540" t="s">
        <v>21</v>
      </c>
      <c r="F6540" t="s">
        <v>22</v>
      </c>
      <c r="G6540" t="s">
        <v>23</v>
      </c>
      <c r="K6540" cm="1">
        <f t="array" ref="K6540">_xlfn.SWITCH(LeadsData[[#This Row],[Funnel Stage Reached]],"Lead",1,"MQL",2,"SQL",3,"Customer",4)</f>
        <v>2</v>
      </c>
      <c r="L6540" t="str">
        <f>TEXT(LeadsData[[#This Row],[Signup Date]],"mmm-yyyy")</f>
        <v>Dec-2024</v>
      </c>
      <c r="M6540">
        <f>IF(LeadsData[[#This Row],[Stage Number]]&gt;=2,1,0)</f>
        <v>1</v>
      </c>
      <c r="N6540" s="2">
        <f>IF(LeadsData[[#This Row],[Stage Number]]&gt;=3,1,0)</f>
        <v>0</v>
      </c>
      <c r="O6540" s="2">
        <f>IF(LeadsData[[#This Row],[Stage Number]]&gt;=4,1,0)</f>
        <v>0</v>
      </c>
    </row>
    <row r="6541" spans="1:15" x14ac:dyDescent="0.25">
      <c r="A6541" t="s">
        <v>6581</v>
      </c>
      <c r="B6541" s="1">
        <v>45605</v>
      </c>
      <c r="C6541" t="s">
        <v>17</v>
      </c>
      <c r="D6541" t="s">
        <v>53</v>
      </c>
      <c r="E6541" t="s">
        <v>13</v>
      </c>
      <c r="F6541" t="s">
        <v>19</v>
      </c>
      <c r="G6541" t="s">
        <v>15</v>
      </c>
      <c r="K6541" cm="1">
        <f t="array" ref="K6541">_xlfn.SWITCH(LeadsData[[#This Row],[Funnel Stage Reached]],"Lead",1,"MQL",2,"SQL",3,"Customer",4)</f>
        <v>1</v>
      </c>
      <c r="L6541" t="str">
        <f>TEXT(LeadsData[[#This Row],[Signup Date]],"mmm-yyyy")</f>
        <v>Nov-2024</v>
      </c>
      <c r="M6541">
        <f>IF(LeadsData[[#This Row],[Stage Number]]&gt;=2,1,0)</f>
        <v>0</v>
      </c>
      <c r="N6541" s="2">
        <f>IF(LeadsData[[#This Row],[Stage Number]]&gt;=3,1,0)</f>
        <v>0</v>
      </c>
      <c r="O6541" s="2">
        <f>IF(LeadsData[[#This Row],[Stage Number]]&gt;=4,1,0)</f>
        <v>0</v>
      </c>
    </row>
    <row r="6542" spans="1:15" x14ac:dyDescent="0.25">
      <c r="A6542" t="s">
        <v>6582</v>
      </c>
      <c r="B6542" s="1">
        <v>45403</v>
      </c>
      <c r="C6542" t="s">
        <v>11</v>
      </c>
      <c r="D6542" t="s">
        <v>68</v>
      </c>
      <c r="E6542" t="s">
        <v>13</v>
      </c>
      <c r="F6542" t="s">
        <v>19</v>
      </c>
      <c r="G6542" t="s">
        <v>23</v>
      </c>
      <c r="K6542" cm="1">
        <f t="array" ref="K6542">_xlfn.SWITCH(LeadsData[[#This Row],[Funnel Stage Reached]],"Lead",1,"MQL",2,"SQL",3,"Customer",4)</f>
        <v>2</v>
      </c>
      <c r="L6542" t="str">
        <f>TEXT(LeadsData[[#This Row],[Signup Date]],"mmm-yyyy")</f>
        <v>Apr-2024</v>
      </c>
      <c r="M6542">
        <f>IF(LeadsData[[#This Row],[Stage Number]]&gt;=2,1,0)</f>
        <v>1</v>
      </c>
      <c r="N6542" s="2">
        <f>IF(LeadsData[[#This Row],[Stage Number]]&gt;=3,1,0)</f>
        <v>0</v>
      </c>
      <c r="O6542" s="2">
        <f>IF(LeadsData[[#This Row],[Stage Number]]&gt;=4,1,0)</f>
        <v>0</v>
      </c>
    </row>
    <row r="6543" spans="1:15" x14ac:dyDescent="0.25">
      <c r="A6543" t="s">
        <v>6583</v>
      </c>
      <c r="B6543" s="1">
        <v>45620</v>
      </c>
      <c r="C6543" t="s">
        <v>31</v>
      </c>
      <c r="D6543" t="s">
        <v>32</v>
      </c>
      <c r="E6543" t="s">
        <v>13</v>
      </c>
      <c r="F6543" t="s">
        <v>22</v>
      </c>
      <c r="G6543" t="s">
        <v>23</v>
      </c>
      <c r="K6543" cm="1">
        <f t="array" ref="K6543">_xlfn.SWITCH(LeadsData[[#This Row],[Funnel Stage Reached]],"Lead",1,"MQL",2,"SQL",3,"Customer",4)</f>
        <v>2</v>
      </c>
      <c r="L6543" t="str">
        <f>TEXT(LeadsData[[#This Row],[Signup Date]],"mmm-yyyy")</f>
        <v>Nov-2024</v>
      </c>
      <c r="M6543">
        <f>IF(LeadsData[[#This Row],[Stage Number]]&gt;=2,1,0)</f>
        <v>1</v>
      </c>
      <c r="N6543" s="2">
        <f>IF(LeadsData[[#This Row],[Stage Number]]&gt;=3,1,0)</f>
        <v>0</v>
      </c>
      <c r="O6543" s="2">
        <f>IF(LeadsData[[#This Row],[Stage Number]]&gt;=4,1,0)</f>
        <v>0</v>
      </c>
    </row>
    <row r="6544" spans="1:15" x14ac:dyDescent="0.25">
      <c r="A6544" t="s">
        <v>6584</v>
      </c>
      <c r="B6544" s="1">
        <v>45463</v>
      </c>
      <c r="C6544" t="s">
        <v>11</v>
      </c>
      <c r="D6544" t="s">
        <v>68</v>
      </c>
      <c r="E6544" t="s">
        <v>13</v>
      </c>
      <c r="F6544" t="s">
        <v>19</v>
      </c>
      <c r="G6544" t="s">
        <v>15</v>
      </c>
      <c r="K6544" cm="1">
        <f t="array" ref="K6544">_xlfn.SWITCH(LeadsData[[#This Row],[Funnel Stage Reached]],"Lead",1,"MQL",2,"SQL",3,"Customer",4)</f>
        <v>1</v>
      </c>
      <c r="L6544" t="str">
        <f>TEXT(LeadsData[[#This Row],[Signup Date]],"mmm-yyyy")</f>
        <v>Jun-2024</v>
      </c>
      <c r="M6544">
        <f>IF(LeadsData[[#This Row],[Stage Number]]&gt;=2,1,0)</f>
        <v>0</v>
      </c>
      <c r="N6544" s="2">
        <f>IF(LeadsData[[#This Row],[Stage Number]]&gt;=3,1,0)</f>
        <v>0</v>
      </c>
      <c r="O6544" s="2">
        <f>IF(LeadsData[[#This Row],[Stage Number]]&gt;=4,1,0)</f>
        <v>0</v>
      </c>
    </row>
    <row r="6545" spans="1:15" x14ac:dyDescent="0.25">
      <c r="A6545" t="s">
        <v>6585</v>
      </c>
      <c r="B6545" s="1">
        <v>45407</v>
      </c>
      <c r="C6545" t="s">
        <v>11</v>
      </c>
      <c r="D6545" t="s">
        <v>68</v>
      </c>
      <c r="E6545" t="s">
        <v>21</v>
      </c>
      <c r="F6545" t="s">
        <v>14</v>
      </c>
      <c r="G6545" t="s">
        <v>23</v>
      </c>
      <c r="K6545" cm="1">
        <f t="array" ref="K6545">_xlfn.SWITCH(LeadsData[[#This Row],[Funnel Stage Reached]],"Lead",1,"MQL",2,"SQL",3,"Customer",4)</f>
        <v>2</v>
      </c>
      <c r="L6545" t="str">
        <f>TEXT(LeadsData[[#This Row],[Signup Date]],"mmm-yyyy")</f>
        <v>Apr-2024</v>
      </c>
      <c r="M6545">
        <f>IF(LeadsData[[#This Row],[Stage Number]]&gt;=2,1,0)</f>
        <v>1</v>
      </c>
      <c r="N6545" s="2">
        <f>IF(LeadsData[[#This Row],[Stage Number]]&gt;=3,1,0)</f>
        <v>0</v>
      </c>
      <c r="O6545" s="2">
        <f>IF(LeadsData[[#This Row],[Stage Number]]&gt;=4,1,0)</f>
        <v>0</v>
      </c>
    </row>
    <row r="6546" spans="1:15" x14ac:dyDescent="0.25">
      <c r="A6546" t="s">
        <v>6586</v>
      </c>
      <c r="B6546" s="1">
        <v>45587</v>
      </c>
      <c r="C6546" t="s">
        <v>36</v>
      </c>
      <c r="D6546" t="s">
        <v>50</v>
      </c>
      <c r="E6546" t="s">
        <v>13</v>
      </c>
      <c r="F6546" t="s">
        <v>19</v>
      </c>
      <c r="G6546" t="s">
        <v>29</v>
      </c>
      <c r="K6546" cm="1">
        <f t="array" ref="K6546">_xlfn.SWITCH(LeadsData[[#This Row],[Funnel Stage Reached]],"Lead",1,"MQL",2,"SQL",3,"Customer",4)</f>
        <v>3</v>
      </c>
      <c r="L6546" t="str">
        <f>TEXT(LeadsData[[#This Row],[Signup Date]],"mmm-yyyy")</f>
        <v>Oct-2024</v>
      </c>
      <c r="M6546">
        <f>IF(LeadsData[[#This Row],[Stage Number]]&gt;=2,1,0)</f>
        <v>1</v>
      </c>
      <c r="N6546" s="2">
        <f>IF(LeadsData[[#This Row],[Stage Number]]&gt;=3,1,0)</f>
        <v>1</v>
      </c>
      <c r="O6546" s="2">
        <f>IF(LeadsData[[#This Row],[Stage Number]]&gt;=4,1,0)</f>
        <v>0</v>
      </c>
    </row>
    <row r="6547" spans="1:15" x14ac:dyDescent="0.25">
      <c r="A6547" t="s">
        <v>6587</v>
      </c>
      <c r="B6547" s="1">
        <v>45568</v>
      </c>
      <c r="C6547" t="s">
        <v>25</v>
      </c>
      <c r="D6547" t="s">
        <v>26</v>
      </c>
      <c r="E6547" t="s">
        <v>13</v>
      </c>
      <c r="F6547" t="s">
        <v>19</v>
      </c>
      <c r="G6547" t="s">
        <v>23</v>
      </c>
      <c r="K6547" cm="1">
        <f t="array" ref="K6547">_xlfn.SWITCH(LeadsData[[#This Row],[Funnel Stage Reached]],"Lead",1,"MQL",2,"SQL",3,"Customer",4)</f>
        <v>2</v>
      </c>
      <c r="L6547" t="str">
        <f>TEXT(LeadsData[[#This Row],[Signup Date]],"mmm-yyyy")</f>
        <v>Oct-2024</v>
      </c>
      <c r="M6547">
        <f>IF(LeadsData[[#This Row],[Stage Number]]&gt;=2,1,0)</f>
        <v>1</v>
      </c>
      <c r="N6547" s="2">
        <f>IF(LeadsData[[#This Row],[Stage Number]]&gt;=3,1,0)</f>
        <v>0</v>
      </c>
      <c r="O6547" s="2">
        <f>IF(LeadsData[[#This Row],[Stage Number]]&gt;=4,1,0)</f>
        <v>0</v>
      </c>
    </row>
    <row r="6548" spans="1:15" x14ac:dyDescent="0.25">
      <c r="A6548" t="s">
        <v>6588</v>
      </c>
      <c r="B6548" s="1">
        <v>45615</v>
      </c>
      <c r="C6548" t="s">
        <v>31</v>
      </c>
      <c r="D6548" t="s">
        <v>32</v>
      </c>
      <c r="E6548" t="s">
        <v>13</v>
      </c>
      <c r="F6548" t="s">
        <v>19</v>
      </c>
      <c r="G6548" t="s">
        <v>23</v>
      </c>
      <c r="K6548" cm="1">
        <f t="array" ref="K6548">_xlfn.SWITCH(LeadsData[[#This Row],[Funnel Stage Reached]],"Lead",1,"MQL",2,"SQL",3,"Customer",4)</f>
        <v>2</v>
      </c>
      <c r="L6548" t="str">
        <f>TEXT(LeadsData[[#This Row],[Signup Date]],"mmm-yyyy")</f>
        <v>Nov-2024</v>
      </c>
      <c r="M6548">
        <f>IF(LeadsData[[#This Row],[Stage Number]]&gt;=2,1,0)</f>
        <v>1</v>
      </c>
      <c r="N6548" s="2">
        <f>IF(LeadsData[[#This Row],[Stage Number]]&gt;=3,1,0)</f>
        <v>0</v>
      </c>
      <c r="O6548" s="2">
        <f>IF(LeadsData[[#This Row],[Stage Number]]&gt;=4,1,0)</f>
        <v>0</v>
      </c>
    </row>
    <row r="6549" spans="1:15" x14ac:dyDescent="0.25">
      <c r="A6549" t="s">
        <v>6589</v>
      </c>
      <c r="B6549" s="1">
        <v>45495</v>
      </c>
      <c r="C6549" t="s">
        <v>25</v>
      </c>
      <c r="D6549" t="s">
        <v>26</v>
      </c>
      <c r="E6549" t="s">
        <v>13</v>
      </c>
      <c r="F6549" t="s">
        <v>14</v>
      </c>
      <c r="G6549" t="s">
        <v>15</v>
      </c>
      <c r="K6549" cm="1">
        <f t="array" ref="K6549">_xlfn.SWITCH(LeadsData[[#This Row],[Funnel Stage Reached]],"Lead",1,"MQL",2,"SQL",3,"Customer",4)</f>
        <v>1</v>
      </c>
      <c r="L6549" t="str">
        <f>TEXT(LeadsData[[#This Row],[Signup Date]],"mmm-yyyy")</f>
        <v>Jul-2024</v>
      </c>
      <c r="M6549">
        <f>IF(LeadsData[[#This Row],[Stage Number]]&gt;=2,1,0)</f>
        <v>0</v>
      </c>
      <c r="N6549" s="2">
        <f>IF(LeadsData[[#This Row],[Stage Number]]&gt;=3,1,0)</f>
        <v>0</v>
      </c>
      <c r="O6549" s="2">
        <f>IF(LeadsData[[#This Row],[Stage Number]]&gt;=4,1,0)</f>
        <v>0</v>
      </c>
    </row>
    <row r="6550" spans="1:15" x14ac:dyDescent="0.25">
      <c r="A6550" t="s">
        <v>6590</v>
      </c>
      <c r="B6550" s="1">
        <v>45633</v>
      </c>
      <c r="C6550" t="s">
        <v>31</v>
      </c>
      <c r="D6550" t="s">
        <v>32</v>
      </c>
      <c r="E6550" t="s">
        <v>21</v>
      </c>
      <c r="F6550" t="s">
        <v>22</v>
      </c>
      <c r="G6550" t="s">
        <v>29</v>
      </c>
      <c r="K6550" cm="1">
        <f t="array" ref="K6550">_xlfn.SWITCH(LeadsData[[#This Row],[Funnel Stage Reached]],"Lead",1,"MQL",2,"SQL",3,"Customer",4)</f>
        <v>3</v>
      </c>
      <c r="L6550" t="str">
        <f>TEXT(LeadsData[[#This Row],[Signup Date]],"mmm-yyyy")</f>
        <v>Dec-2024</v>
      </c>
      <c r="M6550">
        <f>IF(LeadsData[[#This Row],[Stage Number]]&gt;=2,1,0)</f>
        <v>1</v>
      </c>
      <c r="N6550" s="2">
        <f>IF(LeadsData[[#This Row],[Stage Number]]&gt;=3,1,0)</f>
        <v>1</v>
      </c>
      <c r="O6550" s="2">
        <f>IF(LeadsData[[#This Row],[Stage Number]]&gt;=4,1,0)</f>
        <v>0</v>
      </c>
    </row>
    <row r="6551" spans="1:15" x14ac:dyDescent="0.25">
      <c r="A6551" t="s">
        <v>6591</v>
      </c>
      <c r="B6551" s="1">
        <v>45598</v>
      </c>
      <c r="C6551" t="s">
        <v>31</v>
      </c>
      <c r="D6551" t="s">
        <v>34</v>
      </c>
      <c r="E6551" t="s">
        <v>13</v>
      </c>
      <c r="F6551" t="s">
        <v>19</v>
      </c>
      <c r="G6551" t="s">
        <v>23</v>
      </c>
      <c r="K6551" cm="1">
        <f t="array" ref="K6551">_xlfn.SWITCH(LeadsData[[#This Row],[Funnel Stage Reached]],"Lead",1,"MQL",2,"SQL",3,"Customer",4)</f>
        <v>2</v>
      </c>
      <c r="L6551" t="str">
        <f>TEXT(LeadsData[[#This Row],[Signup Date]],"mmm-yyyy")</f>
        <v>Nov-2024</v>
      </c>
      <c r="M6551">
        <f>IF(LeadsData[[#This Row],[Stage Number]]&gt;=2,1,0)</f>
        <v>1</v>
      </c>
      <c r="N6551" s="2">
        <f>IF(LeadsData[[#This Row],[Stage Number]]&gt;=3,1,0)</f>
        <v>0</v>
      </c>
      <c r="O6551" s="2">
        <f>IF(LeadsData[[#This Row],[Stage Number]]&gt;=4,1,0)</f>
        <v>0</v>
      </c>
    </row>
    <row r="6552" spans="1:15" x14ac:dyDescent="0.25">
      <c r="A6552" t="s">
        <v>6592</v>
      </c>
      <c r="B6552" s="1">
        <v>45348</v>
      </c>
      <c r="C6552" t="s">
        <v>36</v>
      </c>
      <c r="D6552" t="s">
        <v>37</v>
      </c>
      <c r="E6552" t="s">
        <v>21</v>
      </c>
      <c r="F6552" t="s">
        <v>19</v>
      </c>
      <c r="G6552" t="s">
        <v>15</v>
      </c>
      <c r="K6552" cm="1">
        <f t="array" ref="K6552">_xlfn.SWITCH(LeadsData[[#This Row],[Funnel Stage Reached]],"Lead",1,"MQL",2,"SQL",3,"Customer",4)</f>
        <v>1</v>
      </c>
      <c r="L6552" t="str">
        <f>TEXT(LeadsData[[#This Row],[Signup Date]],"mmm-yyyy")</f>
        <v>Feb-2024</v>
      </c>
      <c r="M6552">
        <f>IF(LeadsData[[#This Row],[Stage Number]]&gt;=2,1,0)</f>
        <v>0</v>
      </c>
      <c r="N6552" s="2">
        <f>IF(LeadsData[[#This Row],[Stage Number]]&gt;=3,1,0)</f>
        <v>0</v>
      </c>
      <c r="O6552" s="2">
        <f>IF(LeadsData[[#This Row],[Stage Number]]&gt;=4,1,0)</f>
        <v>0</v>
      </c>
    </row>
    <row r="6553" spans="1:15" x14ac:dyDescent="0.25">
      <c r="A6553" t="s">
        <v>6593</v>
      </c>
      <c r="B6553" s="1">
        <v>45600</v>
      </c>
      <c r="C6553" t="s">
        <v>11</v>
      </c>
      <c r="D6553" t="s">
        <v>68</v>
      </c>
      <c r="E6553" t="s">
        <v>21</v>
      </c>
      <c r="F6553" t="s">
        <v>19</v>
      </c>
      <c r="G6553" t="s">
        <v>15</v>
      </c>
      <c r="K6553" cm="1">
        <f t="array" ref="K6553">_xlfn.SWITCH(LeadsData[[#This Row],[Funnel Stage Reached]],"Lead",1,"MQL",2,"SQL",3,"Customer",4)</f>
        <v>1</v>
      </c>
      <c r="L6553" t="str">
        <f>TEXT(LeadsData[[#This Row],[Signup Date]],"mmm-yyyy")</f>
        <v>Nov-2024</v>
      </c>
      <c r="M6553">
        <f>IF(LeadsData[[#This Row],[Stage Number]]&gt;=2,1,0)</f>
        <v>0</v>
      </c>
      <c r="N6553" s="2">
        <f>IF(LeadsData[[#This Row],[Stage Number]]&gt;=3,1,0)</f>
        <v>0</v>
      </c>
      <c r="O6553" s="2">
        <f>IF(LeadsData[[#This Row],[Stage Number]]&gt;=4,1,0)</f>
        <v>0</v>
      </c>
    </row>
    <row r="6554" spans="1:15" x14ac:dyDescent="0.25">
      <c r="A6554" t="s">
        <v>6594</v>
      </c>
      <c r="B6554" s="1">
        <v>45654</v>
      </c>
      <c r="C6554" t="s">
        <v>11</v>
      </c>
      <c r="D6554" t="s">
        <v>12</v>
      </c>
      <c r="E6554" t="s">
        <v>21</v>
      </c>
      <c r="F6554" t="s">
        <v>19</v>
      </c>
      <c r="G6554" t="s">
        <v>29</v>
      </c>
      <c r="K6554" cm="1">
        <f t="array" ref="K6554">_xlfn.SWITCH(LeadsData[[#This Row],[Funnel Stage Reached]],"Lead",1,"MQL",2,"SQL",3,"Customer",4)</f>
        <v>3</v>
      </c>
      <c r="L6554" t="str">
        <f>TEXT(LeadsData[[#This Row],[Signup Date]],"mmm-yyyy")</f>
        <v>Dec-2024</v>
      </c>
      <c r="M6554">
        <f>IF(LeadsData[[#This Row],[Stage Number]]&gt;=2,1,0)</f>
        <v>1</v>
      </c>
      <c r="N6554" s="2">
        <f>IF(LeadsData[[#This Row],[Stage Number]]&gt;=3,1,0)</f>
        <v>1</v>
      </c>
      <c r="O6554" s="2">
        <f>IF(LeadsData[[#This Row],[Stage Number]]&gt;=4,1,0)</f>
        <v>0</v>
      </c>
    </row>
    <row r="6555" spans="1:15" x14ac:dyDescent="0.25">
      <c r="A6555" t="s">
        <v>6595</v>
      </c>
      <c r="B6555" s="1">
        <v>45589</v>
      </c>
      <c r="C6555" t="s">
        <v>17</v>
      </c>
      <c r="D6555" t="s">
        <v>53</v>
      </c>
      <c r="E6555" t="s">
        <v>13</v>
      </c>
      <c r="F6555" t="s">
        <v>14</v>
      </c>
      <c r="G6555" t="s">
        <v>15</v>
      </c>
      <c r="K6555" cm="1">
        <f t="array" ref="K6555">_xlfn.SWITCH(LeadsData[[#This Row],[Funnel Stage Reached]],"Lead",1,"MQL",2,"SQL",3,"Customer",4)</f>
        <v>1</v>
      </c>
      <c r="L6555" t="str">
        <f>TEXT(LeadsData[[#This Row],[Signup Date]],"mmm-yyyy")</f>
        <v>Oct-2024</v>
      </c>
      <c r="M6555">
        <f>IF(LeadsData[[#This Row],[Stage Number]]&gt;=2,1,0)</f>
        <v>0</v>
      </c>
      <c r="N6555" s="2">
        <f>IF(LeadsData[[#This Row],[Stage Number]]&gt;=3,1,0)</f>
        <v>0</v>
      </c>
      <c r="O6555" s="2">
        <f>IF(LeadsData[[#This Row],[Stage Number]]&gt;=4,1,0)</f>
        <v>0</v>
      </c>
    </row>
    <row r="6556" spans="1:15" x14ac:dyDescent="0.25">
      <c r="A6556" t="s">
        <v>6596</v>
      </c>
      <c r="B6556" s="1">
        <v>45548</v>
      </c>
      <c r="C6556" t="s">
        <v>46</v>
      </c>
      <c r="D6556" t="s">
        <v>47</v>
      </c>
      <c r="E6556" t="s">
        <v>13</v>
      </c>
      <c r="F6556" t="s">
        <v>19</v>
      </c>
      <c r="G6556" t="s">
        <v>15</v>
      </c>
      <c r="K6556" cm="1">
        <f t="array" ref="K6556">_xlfn.SWITCH(LeadsData[[#This Row],[Funnel Stage Reached]],"Lead",1,"MQL",2,"SQL",3,"Customer",4)</f>
        <v>1</v>
      </c>
      <c r="L6556" t="str">
        <f>TEXT(LeadsData[[#This Row],[Signup Date]],"mmm-yyyy")</f>
        <v>Sep-2024</v>
      </c>
      <c r="M6556">
        <f>IF(LeadsData[[#This Row],[Stage Number]]&gt;=2,1,0)</f>
        <v>0</v>
      </c>
      <c r="N6556" s="2">
        <f>IF(LeadsData[[#This Row],[Stage Number]]&gt;=3,1,0)</f>
        <v>0</v>
      </c>
      <c r="O6556" s="2">
        <f>IF(LeadsData[[#This Row],[Stage Number]]&gt;=4,1,0)</f>
        <v>0</v>
      </c>
    </row>
    <row r="6557" spans="1:15" x14ac:dyDescent="0.25">
      <c r="A6557" t="s">
        <v>6597</v>
      </c>
      <c r="B6557" s="1">
        <v>45429</v>
      </c>
      <c r="C6557" t="s">
        <v>17</v>
      </c>
      <c r="D6557" t="s">
        <v>18</v>
      </c>
      <c r="E6557" t="s">
        <v>13</v>
      </c>
      <c r="F6557" t="s">
        <v>19</v>
      </c>
      <c r="G6557" t="s">
        <v>15</v>
      </c>
      <c r="K6557" cm="1">
        <f t="array" ref="K6557">_xlfn.SWITCH(LeadsData[[#This Row],[Funnel Stage Reached]],"Lead",1,"MQL",2,"SQL",3,"Customer",4)</f>
        <v>1</v>
      </c>
      <c r="L6557" t="str">
        <f>TEXT(LeadsData[[#This Row],[Signup Date]],"mmm-yyyy")</f>
        <v>May-2024</v>
      </c>
      <c r="M6557">
        <f>IF(LeadsData[[#This Row],[Stage Number]]&gt;=2,1,0)</f>
        <v>0</v>
      </c>
      <c r="N6557" s="2">
        <f>IF(LeadsData[[#This Row],[Stage Number]]&gt;=3,1,0)</f>
        <v>0</v>
      </c>
      <c r="O6557" s="2">
        <f>IF(LeadsData[[#This Row],[Stage Number]]&gt;=4,1,0)</f>
        <v>0</v>
      </c>
    </row>
    <row r="6558" spans="1:15" x14ac:dyDescent="0.25">
      <c r="A6558" t="s">
        <v>6598</v>
      </c>
      <c r="B6558" s="1">
        <v>45340</v>
      </c>
      <c r="C6558" t="s">
        <v>11</v>
      </c>
      <c r="D6558" t="s">
        <v>12</v>
      </c>
      <c r="E6558" t="s">
        <v>48</v>
      </c>
      <c r="F6558" t="s">
        <v>19</v>
      </c>
      <c r="G6558" t="s">
        <v>15</v>
      </c>
      <c r="K6558" cm="1">
        <f t="array" ref="K6558">_xlfn.SWITCH(LeadsData[[#This Row],[Funnel Stage Reached]],"Lead",1,"MQL",2,"SQL",3,"Customer",4)</f>
        <v>1</v>
      </c>
      <c r="L6558" t="str">
        <f>TEXT(LeadsData[[#This Row],[Signup Date]],"mmm-yyyy")</f>
        <v>Feb-2024</v>
      </c>
      <c r="M6558">
        <f>IF(LeadsData[[#This Row],[Stage Number]]&gt;=2,1,0)</f>
        <v>0</v>
      </c>
      <c r="N6558" s="2">
        <f>IF(LeadsData[[#This Row],[Stage Number]]&gt;=3,1,0)</f>
        <v>0</v>
      </c>
      <c r="O6558" s="2">
        <f>IF(LeadsData[[#This Row],[Stage Number]]&gt;=4,1,0)</f>
        <v>0</v>
      </c>
    </row>
    <row r="6559" spans="1:15" x14ac:dyDescent="0.25">
      <c r="A6559" t="s">
        <v>6599</v>
      </c>
      <c r="B6559" s="1">
        <v>45635</v>
      </c>
      <c r="C6559" t="s">
        <v>25</v>
      </c>
      <c r="D6559" t="s">
        <v>26</v>
      </c>
      <c r="E6559" t="s">
        <v>13</v>
      </c>
      <c r="F6559" t="s">
        <v>22</v>
      </c>
      <c r="G6559" t="s">
        <v>23</v>
      </c>
      <c r="K6559" cm="1">
        <f t="array" ref="K6559">_xlfn.SWITCH(LeadsData[[#This Row],[Funnel Stage Reached]],"Lead",1,"MQL",2,"SQL",3,"Customer",4)</f>
        <v>2</v>
      </c>
      <c r="L6559" t="str">
        <f>TEXT(LeadsData[[#This Row],[Signup Date]],"mmm-yyyy")</f>
        <v>Dec-2024</v>
      </c>
      <c r="M6559">
        <f>IF(LeadsData[[#This Row],[Stage Number]]&gt;=2,1,0)</f>
        <v>1</v>
      </c>
      <c r="N6559" s="2">
        <f>IF(LeadsData[[#This Row],[Stage Number]]&gt;=3,1,0)</f>
        <v>0</v>
      </c>
      <c r="O6559" s="2">
        <f>IF(LeadsData[[#This Row],[Stage Number]]&gt;=4,1,0)</f>
        <v>0</v>
      </c>
    </row>
    <row r="6560" spans="1:15" x14ac:dyDescent="0.25">
      <c r="A6560" t="s">
        <v>6600</v>
      </c>
      <c r="B6560" s="1">
        <v>45449</v>
      </c>
      <c r="C6560" t="s">
        <v>25</v>
      </c>
      <c r="D6560" t="s">
        <v>26</v>
      </c>
      <c r="E6560" t="s">
        <v>13</v>
      </c>
      <c r="F6560" t="s">
        <v>19</v>
      </c>
      <c r="G6560" t="s">
        <v>23</v>
      </c>
      <c r="K6560" cm="1">
        <f t="array" ref="K6560">_xlfn.SWITCH(LeadsData[[#This Row],[Funnel Stage Reached]],"Lead",1,"MQL",2,"SQL",3,"Customer",4)</f>
        <v>2</v>
      </c>
      <c r="L6560" t="str">
        <f>TEXT(LeadsData[[#This Row],[Signup Date]],"mmm-yyyy")</f>
        <v>Jun-2024</v>
      </c>
      <c r="M6560">
        <f>IF(LeadsData[[#This Row],[Stage Number]]&gt;=2,1,0)</f>
        <v>1</v>
      </c>
      <c r="N6560" s="2">
        <f>IF(LeadsData[[#This Row],[Stage Number]]&gt;=3,1,0)</f>
        <v>0</v>
      </c>
      <c r="O6560" s="2">
        <f>IF(LeadsData[[#This Row],[Stage Number]]&gt;=4,1,0)</f>
        <v>0</v>
      </c>
    </row>
    <row r="6561" spans="1:15" x14ac:dyDescent="0.25">
      <c r="A6561" t="s">
        <v>6601</v>
      </c>
      <c r="B6561" s="1">
        <v>45512</v>
      </c>
      <c r="C6561" t="s">
        <v>11</v>
      </c>
      <c r="D6561" t="s">
        <v>79</v>
      </c>
      <c r="E6561" t="s">
        <v>13</v>
      </c>
      <c r="F6561" t="s">
        <v>28</v>
      </c>
      <c r="G6561" t="s">
        <v>29</v>
      </c>
      <c r="K6561" cm="1">
        <f t="array" ref="K6561">_xlfn.SWITCH(LeadsData[[#This Row],[Funnel Stage Reached]],"Lead",1,"MQL",2,"SQL",3,"Customer",4)</f>
        <v>3</v>
      </c>
      <c r="L6561" t="str">
        <f>TEXT(LeadsData[[#This Row],[Signup Date]],"mmm-yyyy")</f>
        <v>Aug-2024</v>
      </c>
      <c r="M6561">
        <f>IF(LeadsData[[#This Row],[Stage Number]]&gt;=2,1,0)</f>
        <v>1</v>
      </c>
      <c r="N6561" s="2">
        <f>IF(LeadsData[[#This Row],[Stage Number]]&gt;=3,1,0)</f>
        <v>1</v>
      </c>
      <c r="O6561" s="2">
        <f>IF(LeadsData[[#This Row],[Stage Number]]&gt;=4,1,0)</f>
        <v>0</v>
      </c>
    </row>
    <row r="6562" spans="1:15" x14ac:dyDescent="0.25">
      <c r="A6562" t="s">
        <v>6602</v>
      </c>
      <c r="B6562" s="1">
        <v>45384</v>
      </c>
      <c r="C6562" t="s">
        <v>17</v>
      </c>
      <c r="D6562" t="s">
        <v>18</v>
      </c>
      <c r="E6562" t="s">
        <v>13</v>
      </c>
      <c r="F6562" t="s">
        <v>19</v>
      </c>
      <c r="G6562" t="s">
        <v>15</v>
      </c>
      <c r="K6562" cm="1">
        <f t="array" ref="K6562">_xlfn.SWITCH(LeadsData[[#This Row],[Funnel Stage Reached]],"Lead",1,"MQL",2,"SQL",3,"Customer",4)</f>
        <v>1</v>
      </c>
      <c r="L6562" t="str">
        <f>TEXT(LeadsData[[#This Row],[Signup Date]],"mmm-yyyy")</f>
        <v>Apr-2024</v>
      </c>
      <c r="M6562">
        <f>IF(LeadsData[[#This Row],[Stage Number]]&gt;=2,1,0)</f>
        <v>0</v>
      </c>
      <c r="N6562" s="2">
        <f>IF(LeadsData[[#This Row],[Stage Number]]&gt;=3,1,0)</f>
        <v>0</v>
      </c>
      <c r="O6562" s="2">
        <f>IF(LeadsData[[#This Row],[Stage Number]]&gt;=4,1,0)</f>
        <v>0</v>
      </c>
    </row>
    <row r="6563" spans="1:15" x14ac:dyDescent="0.25">
      <c r="A6563" t="s">
        <v>6603</v>
      </c>
      <c r="B6563" s="1">
        <v>45484</v>
      </c>
      <c r="C6563" t="s">
        <v>25</v>
      </c>
      <c r="D6563" t="s">
        <v>26</v>
      </c>
      <c r="E6563" t="s">
        <v>21</v>
      </c>
      <c r="F6563" t="s">
        <v>22</v>
      </c>
      <c r="G6563" t="s">
        <v>15</v>
      </c>
      <c r="K6563" cm="1">
        <f t="array" ref="K6563">_xlfn.SWITCH(LeadsData[[#This Row],[Funnel Stage Reached]],"Lead",1,"MQL",2,"SQL",3,"Customer",4)</f>
        <v>1</v>
      </c>
      <c r="L6563" t="str">
        <f>TEXT(LeadsData[[#This Row],[Signup Date]],"mmm-yyyy")</f>
        <v>Jul-2024</v>
      </c>
      <c r="M6563">
        <f>IF(LeadsData[[#This Row],[Stage Number]]&gt;=2,1,0)</f>
        <v>0</v>
      </c>
      <c r="N6563" s="2">
        <f>IF(LeadsData[[#This Row],[Stage Number]]&gt;=3,1,0)</f>
        <v>0</v>
      </c>
      <c r="O6563" s="2">
        <f>IF(LeadsData[[#This Row],[Stage Number]]&gt;=4,1,0)</f>
        <v>0</v>
      </c>
    </row>
    <row r="6564" spans="1:15" x14ac:dyDescent="0.25">
      <c r="A6564" t="s">
        <v>6604</v>
      </c>
      <c r="B6564" s="1">
        <v>45531</v>
      </c>
      <c r="C6564" t="s">
        <v>17</v>
      </c>
      <c r="D6564" t="s">
        <v>53</v>
      </c>
      <c r="E6564" t="s">
        <v>21</v>
      </c>
      <c r="F6564" t="s">
        <v>14</v>
      </c>
      <c r="G6564" t="s">
        <v>29</v>
      </c>
      <c r="K6564" cm="1">
        <f t="array" ref="K6564">_xlfn.SWITCH(LeadsData[[#This Row],[Funnel Stage Reached]],"Lead",1,"MQL",2,"SQL",3,"Customer",4)</f>
        <v>3</v>
      </c>
      <c r="L6564" t="str">
        <f>TEXT(LeadsData[[#This Row],[Signup Date]],"mmm-yyyy")</f>
        <v>Aug-2024</v>
      </c>
      <c r="M6564">
        <f>IF(LeadsData[[#This Row],[Stage Number]]&gt;=2,1,0)</f>
        <v>1</v>
      </c>
      <c r="N6564" s="2">
        <f>IF(LeadsData[[#This Row],[Stage Number]]&gt;=3,1,0)</f>
        <v>1</v>
      </c>
      <c r="O6564" s="2">
        <f>IF(LeadsData[[#This Row],[Stage Number]]&gt;=4,1,0)</f>
        <v>0</v>
      </c>
    </row>
    <row r="6565" spans="1:15" x14ac:dyDescent="0.25">
      <c r="A6565" t="s">
        <v>6605</v>
      </c>
      <c r="B6565" s="1">
        <v>45374</v>
      </c>
      <c r="C6565" t="s">
        <v>31</v>
      </c>
      <c r="D6565" t="s">
        <v>34</v>
      </c>
      <c r="E6565" t="s">
        <v>21</v>
      </c>
      <c r="F6565" t="s">
        <v>19</v>
      </c>
      <c r="G6565" t="s">
        <v>23</v>
      </c>
      <c r="K6565" cm="1">
        <f t="array" ref="K6565">_xlfn.SWITCH(LeadsData[[#This Row],[Funnel Stage Reached]],"Lead",1,"MQL",2,"SQL",3,"Customer",4)</f>
        <v>2</v>
      </c>
      <c r="L6565" t="str">
        <f>TEXT(LeadsData[[#This Row],[Signup Date]],"mmm-yyyy")</f>
        <v>Mar-2024</v>
      </c>
      <c r="M6565">
        <f>IF(LeadsData[[#This Row],[Stage Number]]&gt;=2,1,0)</f>
        <v>1</v>
      </c>
      <c r="N6565" s="2">
        <f>IF(LeadsData[[#This Row],[Stage Number]]&gt;=3,1,0)</f>
        <v>0</v>
      </c>
      <c r="O6565" s="2">
        <f>IF(LeadsData[[#This Row],[Stage Number]]&gt;=4,1,0)</f>
        <v>0</v>
      </c>
    </row>
    <row r="6566" spans="1:15" x14ac:dyDescent="0.25">
      <c r="A6566" t="s">
        <v>6606</v>
      </c>
      <c r="B6566" s="1">
        <v>45586</v>
      </c>
      <c r="C6566" t="s">
        <v>46</v>
      </c>
      <c r="D6566" t="s">
        <v>47</v>
      </c>
      <c r="E6566" t="s">
        <v>21</v>
      </c>
      <c r="F6566" t="s">
        <v>22</v>
      </c>
      <c r="G6566" t="s">
        <v>42</v>
      </c>
      <c r="H6566">
        <v>59</v>
      </c>
      <c r="I6566" t="s">
        <v>43</v>
      </c>
      <c r="J6566">
        <v>818.29</v>
      </c>
      <c r="K6566" cm="1">
        <f t="array" ref="K6566">_xlfn.SWITCH(LeadsData[[#This Row],[Funnel Stage Reached]],"Lead",1,"MQL",2,"SQL",3,"Customer",4)</f>
        <v>4</v>
      </c>
      <c r="L6566" t="str">
        <f>TEXT(LeadsData[[#This Row],[Signup Date]],"mmm-yyyy")</f>
        <v>Oct-2024</v>
      </c>
      <c r="M6566">
        <f>IF(LeadsData[[#This Row],[Stage Number]]&gt;=2,1,0)</f>
        <v>1</v>
      </c>
      <c r="N6566" s="2">
        <f>IF(LeadsData[[#This Row],[Stage Number]]&gt;=3,1,0)</f>
        <v>1</v>
      </c>
      <c r="O6566" s="2">
        <f>IF(LeadsData[[#This Row],[Stage Number]]&gt;=4,1,0)</f>
        <v>1</v>
      </c>
    </row>
    <row r="6567" spans="1:15" x14ac:dyDescent="0.25">
      <c r="A6567" t="s">
        <v>6607</v>
      </c>
      <c r="B6567" s="1">
        <v>45615</v>
      </c>
      <c r="C6567" t="s">
        <v>11</v>
      </c>
      <c r="D6567" t="s">
        <v>12</v>
      </c>
      <c r="E6567" t="s">
        <v>21</v>
      </c>
      <c r="F6567" t="s">
        <v>19</v>
      </c>
      <c r="G6567" t="s">
        <v>15</v>
      </c>
      <c r="K6567" cm="1">
        <f t="array" ref="K6567">_xlfn.SWITCH(LeadsData[[#This Row],[Funnel Stage Reached]],"Lead",1,"MQL",2,"SQL",3,"Customer",4)</f>
        <v>1</v>
      </c>
      <c r="L6567" t="str">
        <f>TEXT(LeadsData[[#This Row],[Signup Date]],"mmm-yyyy")</f>
        <v>Nov-2024</v>
      </c>
      <c r="M6567">
        <f>IF(LeadsData[[#This Row],[Stage Number]]&gt;=2,1,0)</f>
        <v>0</v>
      </c>
      <c r="N6567" s="2">
        <f>IF(LeadsData[[#This Row],[Stage Number]]&gt;=3,1,0)</f>
        <v>0</v>
      </c>
      <c r="O6567" s="2">
        <f>IF(LeadsData[[#This Row],[Stage Number]]&gt;=4,1,0)</f>
        <v>0</v>
      </c>
    </row>
    <row r="6568" spans="1:15" x14ac:dyDescent="0.25">
      <c r="A6568" t="s">
        <v>6608</v>
      </c>
      <c r="B6568" s="1">
        <v>45410</v>
      </c>
      <c r="C6568" t="s">
        <v>31</v>
      </c>
      <c r="D6568" t="s">
        <v>32</v>
      </c>
      <c r="E6568" t="s">
        <v>13</v>
      </c>
      <c r="F6568" t="s">
        <v>19</v>
      </c>
      <c r="G6568" t="s">
        <v>15</v>
      </c>
      <c r="K6568" cm="1">
        <f t="array" ref="K6568">_xlfn.SWITCH(LeadsData[[#This Row],[Funnel Stage Reached]],"Lead",1,"MQL",2,"SQL",3,"Customer",4)</f>
        <v>1</v>
      </c>
      <c r="L6568" t="str">
        <f>TEXT(LeadsData[[#This Row],[Signup Date]],"mmm-yyyy")</f>
        <v>Apr-2024</v>
      </c>
      <c r="M6568">
        <f>IF(LeadsData[[#This Row],[Stage Number]]&gt;=2,1,0)</f>
        <v>0</v>
      </c>
      <c r="N6568" s="2">
        <f>IF(LeadsData[[#This Row],[Stage Number]]&gt;=3,1,0)</f>
        <v>0</v>
      </c>
      <c r="O6568" s="2">
        <f>IF(LeadsData[[#This Row],[Stage Number]]&gt;=4,1,0)</f>
        <v>0</v>
      </c>
    </row>
    <row r="6569" spans="1:15" x14ac:dyDescent="0.25">
      <c r="A6569" t="s">
        <v>6609</v>
      </c>
      <c r="B6569" s="1">
        <v>45580</v>
      </c>
      <c r="C6569" t="s">
        <v>25</v>
      </c>
      <c r="D6569" t="s">
        <v>26</v>
      </c>
      <c r="E6569" t="s">
        <v>13</v>
      </c>
      <c r="F6569" t="s">
        <v>19</v>
      </c>
      <c r="G6569" t="s">
        <v>23</v>
      </c>
      <c r="K6569" cm="1">
        <f t="array" ref="K6569">_xlfn.SWITCH(LeadsData[[#This Row],[Funnel Stage Reached]],"Lead",1,"MQL",2,"SQL",3,"Customer",4)</f>
        <v>2</v>
      </c>
      <c r="L6569" t="str">
        <f>TEXT(LeadsData[[#This Row],[Signup Date]],"mmm-yyyy")</f>
        <v>Oct-2024</v>
      </c>
      <c r="M6569">
        <f>IF(LeadsData[[#This Row],[Stage Number]]&gt;=2,1,0)</f>
        <v>1</v>
      </c>
      <c r="N6569" s="2">
        <f>IF(LeadsData[[#This Row],[Stage Number]]&gt;=3,1,0)</f>
        <v>0</v>
      </c>
      <c r="O6569" s="2">
        <f>IF(LeadsData[[#This Row],[Stage Number]]&gt;=4,1,0)</f>
        <v>0</v>
      </c>
    </row>
    <row r="6570" spans="1:15" x14ac:dyDescent="0.25">
      <c r="A6570" t="s">
        <v>6610</v>
      </c>
      <c r="B6570" s="1">
        <v>45532</v>
      </c>
      <c r="C6570" t="s">
        <v>31</v>
      </c>
      <c r="D6570" t="s">
        <v>34</v>
      </c>
      <c r="E6570" t="s">
        <v>21</v>
      </c>
      <c r="F6570" t="s">
        <v>19</v>
      </c>
      <c r="G6570" t="s">
        <v>29</v>
      </c>
      <c r="K6570" cm="1">
        <f t="array" ref="K6570">_xlfn.SWITCH(LeadsData[[#This Row],[Funnel Stage Reached]],"Lead",1,"MQL",2,"SQL",3,"Customer",4)</f>
        <v>3</v>
      </c>
      <c r="L6570" t="str">
        <f>TEXT(LeadsData[[#This Row],[Signup Date]],"mmm-yyyy")</f>
        <v>Aug-2024</v>
      </c>
      <c r="M6570">
        <f>IF(LeadsData[[#This Row],[Stage Number]]&gt;=2,1,0)</f>
        <v>1</v>
      </c>
      <c r="N6570" s="2">
        <f>IF(LeadsData[[#This Row],[Stage Number]]&gt;=3,1,0)</f>
        <v>1</v>
      </c>
      <c r="O6570" s="2">
        <f>IF(LeadsData[[#This Row],[Stage Number]]&gt;=4,1,0)</f>
        <v>0</v>
      </c>
    </row>
    <row r="6571" spans="1:15" x14ac:dyDescent="0.25">
      <c r="A6571" t="s">
        <v>6611</v>
      </c>
      <c r="B6571" s="1">
        <v>45496</v>
      </c>
      <c r="C6571" t="s">
        <v>31</v>
      </c>
      <c r="D6571" t="s">
        <v>34</v>
      </c>
      <c r="E6571" t="s">
        <v>21</v>
      </c>
      <c r="F6571" t="s">
        <v>22</v>
      </c>
      <c r="G6571" t="s">
        <v>23</v>
      </c>
      <c r="K6571" cm="1">
        <f t="array" ref="K6571">_xlfn.SWITCH(LeadsData[[#This Row],[Funnel Stage Reached]],"Lead",1,"MQL",2,"SQL",3,"Customer",4)</f>
        <v>2</v>
      </c>
      <c r="L6571" t="str">
        <f>TEXT(LeadsData[[#This Row],[Signup Date]],"mmm-yyyy")</f>
        <v>Jul-2024</v>
      </c>
      <c r="M6571">
        <f>IF(LeadsData[[#This Row],[Stage Number]]&gt;=2,1,0)</f>
        <v>1</v>
      </c>
      <c r="N6571" s="2">
        <f>IF(LeadsData[[#This Row],[Stage Number]]&gt;=3,1,0)</f>
        <v>0</v>
      </c>
      <c r="O6571" s="2">
        <f>IF(LeadsData[[#This Row],[Stage Number]]&gt;=4,1,0)</f>
        <v>0</v>
      </c>
    </row>
    <row r="6572" spans="1:15" x14ac:dyDescent="0.25">
      <c r="A6572" t="s">
        <v>6612</v>
      </c>
      <c r="B6572" s="1">
        <v>45635</v>
      </c>
      <c r="C6572" t="s">
        <v>36</v>
      </c>
      <c r="D6572" t="s">
        <v>50</v>
      </c>
      <c r="E6572" t="s">
        <v>21</v>
      </c>
      <c r="F6572" t="s">
        <v>19</v>
      </c>
      <c r="G6572" t="s">
        <v>42</v>
      </c>
      <c r="H6572">
        <v>64</v>
      </c>
      <c r="I6572" t="s">
        <v>87</v>
      </c>
      <c r="J6572">
        <v>3241.97</v>
      </c>
      <c r="K6572" cm="1">
        <f t="array" ref="K6572">_xlfn.SWITCH(LeadsData[[#This Row],[Funnel Stage Reached]],"Lead",1,"MQL",2,"SQL",3,"Customer",4)</f>
        <v>4</v>
      </c>
      <c r="L6572" t="str">
        <f>TEXT(LeadsData[[#This Row],[Signup Date]],"mmm-yyyy")</f>
        <v>Dec-2024</v>
      </c>
      <c r="M6572">
        <f>IF(LeadsData[[#This Row],[Stage Number]]&gt;=2,1,0)</f>
        <v>1</v>
      </c>
      <c r="N6572" s="2">
        <f>IF(LeadsData[[#This Row],[Stage Number]]&gt;=3,1,0)</f>
        <v>1</v>
      </c>
      <c r="O6572" s="2">
        <f>IF(LeadsData[[#This Row],[Stage Number]]&gt;=4,1,0)</f>
        <v>1</v>
      </c>
    </row>
    <row r="6573" spans="1:15" x14ac:dyDescent="0.25">
      <c r="A6573" t="s">
        <v>6613</v>
      </c>
      <c r="B6573" s="1">
        <v>45613</v>
      </c>
      <c r="C6573" t="s">
        <v>31</v>
      </c>
      <c r="D6573" t="s">
        <v>34</v>
      </c>
      <c r="E6573" t="s">
        <v>13</v>
      </c>
      <c r="F6573" t="s">
        <v>22</v>
      </c>
      <c r="G6573" t="s">
        <v>42</v>
      </c>
      <c r="H6573">
        <v>48</v>
      </c>
      <c r="I6573" t="s">
        <v>43</v>
      </c>
      <c r="J6573">
        <v>1074.44</v>
      </c>
      <c r="K6573" cm="1">
        <f t="array" ref="K6573">_xlfn.SWITCH(LeadsData[[#This Row],[Funnel Stage Reached]],"Lead",1,"MQL",2,"SQL",3,"Customer",4)</f>
        <v>4</v>
      </c>
      <c r="L6573" t="str">
        <f>TEXT(LeadsData[[#This Row],[Signup Date]],"mmm-yyyy")</f>
        <v>Nov-2024</v>
      </c>
      <c r="M6573">
        <f>IF(LeadsData[[#This Row],[Stage Number]]&gt;=2,1,0)</f>
        <v>1</v>
      </c>
      <c r="N6573" s="2">
        <f>IF(LeadsData[[#This Row],[Stage Number]]&gt;=3,1,0)</f>
        <v>1</v>
      </c>
      <c r="O6573" s="2">
        <f>IF(LeadsData[[#This Row],[Stage Number]]&gt;=4,1,0)</f>
        <v>1</v>
      </c>
    </row>
    <row r="6574" spans="1:15" x14ac:dyDescent="0.25">
      <c r="A6574" t="s">
        <v>6614</v>
      </c>
      <c r="B6574" s="1">
        <v>45526</v>
      </c>
      <c r="C6574" t="s">
        <v>11</v>
      </c>
      <c r="D6574" t="s">
        <v>79</v>
      </c>
      <c r="E6574" t="s">
        <v>13</v>
      </c>
      <c r="F6574" t="s">
        <v>14</v>
      </c>
      <c r="G6574" t="s">
        <v>23</v>
      </c>
      <c r="K6574" cm="1">
        <f t="array" ref="K6574">_xlfn.SWITCH(LeadsData[[#This Row],[Funnel Stage Reached]],"Lead",1,"MQL",2,"SQL",3,"Customer",4)</f>
        <v>2</v>
      </c>
      <c r="L6574" t="str">
        <f>TEXT(LeadsData[[#This Row],[Signup Date]],"mmm-yyyy")</f>
        <v>Aug-2024</v>
      </c>
      <c r="M6574">
        <f>IF(LeadsData[[#This Row],[Stage Number]]&gt;=2,1,0)</f>
        <v>1</v>
      </c>
      <c r="N6574" s="2">
        <f>IF(LeadsData[[#This Row],[Stage Number]]&gt;=3,1,0)</f>
        <v>0</v>
      </c>
      <c r="O6574" s="2">
        <f>IF(LeadsData[[#This Row],[Stage Number]]&gt;=4,1,0)</f>
        <v>0</v>
      </c>
    </row>
    <row r="6575" spans="1:15" x14ac:dyDescent="0.25">
      <c r="A6575" t="s">
        <v>6615</v>
      </c>
      <c r="B6575" s="1">
        <v>45497</v>
      </c>
      <c r="C6575" t="s">
        <v>25</v>
      </c>
      <c r="D6575" t="s">
        <v>26</v>
      </c>
      <c r="E6575" t="s">
        <v>21</v>
      </c>
      <c r="F6575" t="s">
        <v>19</v>
      </c>
      <c r="G6575" t="s">
        <v>23</v>
      </c>
      <c r="K6575" cm="1">
        <f t="array" ref="K6575">_xlfn.SWITCH(LeadsData[[#This Row],[Funnel Stage Reached]],"Lead",1,"MQL",2,"SQL",3,"Customer",4)</f>
        <v>2</v>
      </c>
      <c r="L6575" t="str">
        <f>TEXT(LeadsData[[#This Row],[Signup Date]],"mmm-yyyy")</f>
        <v>Jul-2024</v>
      </c>
      <c r="M6575">
        <f>IF(LeadsData[[#This Row],[Stage Number]]&gt;=2,1,0)</f>
        <v>1</v>
      </c>
      <c r="N6575" s="2">
        <f>IF(LeadsData[[#This Row],[Stage Number]]&gt;=3,1,0)</f>
        <v>0</v>
      </c>
      <c r="O6575" s="2">
        <f>IF(LeadsData[[#This Row],[Stage Number]]&gt;=4,1,0)</f>
        <v>0</v>
      </c>
    </row>
    <row r="6576" spans="1:15" x14ac:dyDescent="0.25">
      <c r="A6576" t="s">
        <v>6616</v>
      </c>
      <c r="B6576" s="1">
        <v>45396</v>
      </c>
      <c r="C6576" t="s">
        <v>25</v>
      </c>
      <c r="D6576" t="s">
        <v>26</v>
      </c>
      <c r="E6576" t="s">
        <v>21</v>
      </c>
      <c r="F6576" t="s">
        <v>22</v>
      </c>
      <c r="G6576" t="s">
        <v>29</v>
      </c>
      <c r="K6576" cm="1">
        <f t="array" ref="K6576">_xlfn.SWITCH(LeadsData[[#This Row],[Funnel Stage Reached]],"Lead",1,"MQL",2,"SQL",3,"Customer",4)</f>
        <v>3</v>
      </c>
      <c r="L6576" t="str">
        <f>TEXT(LeadsData[[#This Row],[Signup Date]],"mmm-yyyy")</f>
        <v>Apr-2024</v>
      </c>
      <c r="M6576">
        <f>IF(LeadsData[[#This Row],[Stage Number]]&gt;=2,1,0)</f>
        <v>1</v>
      </c>
      <c r="N6576" s="2">
        <f>IF(LeadsData[[#This Row],[Stage Number]]&gt;=3,1,0)</f>
        <v>1</v>
      </c>
      <c r="O6576" s="2">
        <f>IF(LeadsData[[#This Row],[Stage Number]]&gt;=4,1,0)</f>
        <v>0</v>
      </c>
    </row>
    <row r="6577" spans="1:15" x14ac:dyDescent="0.25">
      <c r="A6577" t="s">
        <v>6617</v>
      </c>
      <c r="B6577" s="1">
        <v>45347</v>
      </c>
      <c r="C6577" t="s">
        <v>11</v>
      </c>
      <c r="D6577" t="s">
        <v>12</v>
      </c>
      <c r="E6577" t="s">
        <v>21</v>
      </c>
      <c r="F6577" t="s">
        <v>22</v>
      </c>
      <c r="G6577" t="s">
        <v>15</v>
      </c>
      <c r="K6577" cm="1">
        <f t="array" ref="K6577">_xlfn.SWITCH(LeadsData[[#This Row],[Funnel Stage Reached]],"Lead",1,"MQL",2,"SQL",3,"Customer",4)</f>
        <v>1</v>
      </c>
      <c r="L6577" t="str">
        <f>TEXT(LeadsData[[#This Row],[Signup Date]],"mmm-yyyy")</f>
        <v>Feb-2024</v>
      </c>
      <c r="M6577">
        <f>IF(LeadsData[[#This Row],[Stage Number]]&gt;=2,1,0)</f>
        <v>0</v>
      </c>
      <c r="N6577" s="2">
        <f>IF(LeadsData[[#This Row],[Stage Number]]&gt;=3,1,0)</f>
        <v>0</v>
      </c>
      <c r="O6577" s="2">
        <f>IF(LeadsData[[#This Row],[Stage Number]]&gt;=4,1,0)</f>
        <v>0</v>
      </c>
    </row>
    <row r="6578" spans="1:15" x14ac:dyDescent="0.25">
      <c r="A6578" t="s">
        <v>6618</v>
      </c>
      <c r="B6578" s="1">
        <v>45583</v>
      </c>
      <c r="C6578" t="s">
        <v>17</v>
      </c>
      <c r="D6578" t="s">
        <v>18</v>
      </c>
      <c r="E6578" t="s">
        <v>21</v>
      </c>
      <c r="F6578" t="s">
        <v>22</v>
      </c>
      <c r="G6578" t="s">
        <v>15</v>
      </c>
      <c r="K6578" cm="1">
        <f t="array" ref="K6578">_xlfn.SWITCH(LeadsData[[#This Row],[Funnel Stage Reached]],"Lead",1,"MQL",2,"SQL",3,"Customer",4)</f>
        <v>1</v>
      </c>
      <c r="L6578" t="str">
        <f>TEXT(LeadsData[[#This Row],[Signup Date]],"mmm-yyyy")</f>
        <v>Oct-2024</v>
      </c>
      <c r="M6578">
        <f>IF(LeadsData[[#This Row],[Stage Number]]&gt;=2,1,0)</f>
        <v>0</v>
      </c>
      <c r="N6578" s="2">
        <f>IF(LeadsData[[#This Row],[Stage Number]]&gt;=3,1,0)</f>
        <v>0</v>
      </c>
      <c r="O6578" s="2">
        <f>IF(LeadsData[[#This Row],[Stage Number]]&gt;=4,1,0)</f>
        <v>0</v>
      </c>
    </row>
    <row r="6579" spans="1:15" x14ac:dyDescent="0.25">
      <c r="A6579" t="s">
        <v>6619</v>
      </c>
      <c r="B6579" s="1">
        <v>45611</v>
      </c>
      <c r="C6579" t="s">
        <v>46</v>
      </c>
      <c r="D6579" t="s">
        <v>47</v>
      </c>
      <c r="E6579" t="s">
        <v>21</v>
      </c>
      <c r="F6579" t="s">
        <v>22</v>
      </c>
      <c r="G6579" t="s">
        <v>15</v>
      </c>
      <c r="K6579" cm="1">
        <f t="array" ref="K6579">_xlfn.SWITCH(LeadsData[[#This Row],[Funnel Stage Reached]],"Lead",1,"MQL",2,"SQL",3,"Customer",4)</f>
        <v>1</v>
      </c>
      <c r="L6579" t="str">
        <f>TEXT(LeadsData[[#This Row],[Signup Date]],"mmm-yyyy")</f>
        <v>Nov-2024</v>
      </c>
      <c r="M6579">
        <f>IF(LeadsData[[#This Row],[Stage Number]]&gt;=2,1,0)</f>
        <v>0</v>
      </c>
      <c r="N6579" s="2">
        <f>IF(LeadsData[[#This Row],[Stage Number]]&gt;=3,1,0)</f>
        <v>0</v>
      </c>
      <c r="O6579" s="2">
        <f>IF(LeadsData[[#This Row],[Stage Number]]&gt;=4,1,0)</f>
        <v>0</v>
      </c>
    </row>
    <row r="6580" spans="1:15" x14ac:dyDescent="0.25">
      <c r="A6580" t="s">
        <v>6620</v>
      </c>
      <c r="B6580" s="1">
        <v>45529</v>
      </c>
      <c r="C6580" t="s">
        <v>11</v>
      </c>
      <c r="D6580" t="s">
        <v>79</v>
      </c>
      <c r="E6580" t="s">
        <v>13</v>
      </c>
      <c r="F6580" t="s">
        <v>22</v>
      </c>
      <c r="G6580" t="s">
        <v>15</v>
      </c>
      <c r="K6580" cm="1">
        <f t="array" ref="K6580">_xlfn.SWITCH(LeadsData[[#This Row],[Funnel Stage Reached]],"Lead",1,"MQL",2,"SQL",3,"Customer",4)</f>
        <v>1</v>
      </c>
      <c r="L6580" t="str">
        <f>TEXT(LeadsData[[#This Row],[Signup Date]],"mmm-yyyy")</f>
        <v>Aug-2024</v>
      </c>
      <c r="M6580">
        <f>IF(LeadsData[[#This Row],[Stage Number]]&gt;=2,1,0)</f>
        <v>0</v>
      </c>
      <c r="N6580" s="2">
        <f>IF(LeadsData[[#This Row],[Stage Number]]&gt;=3,1,0)</f>
        <v>0</v>
      </c>
      <c r="O6580" s="2">
        <f>IF(LeadsData[[#This Row],[Stage Number]]&gt;=4,1,0)</f>
        <v>0</v>
      </c>
    </row>
    <row r="6581" spans="1:15" x14ac:dyDescent="0.25">
      <c r="A6581" t="s">
        <v>6621</v>
      </c>
      <c r="B6581" s="1">
        <v>45544</v>
      </c>
      <c r="C6581" t="s">
        <v>31</v>
      </c>
      <c r="D6581" t="s">
        <v>32</v>
      </c>
      <c r="E6581" t="s">
        <v>21</v>
      </c>
      <c r="F6581" t="s">
        <v>22</v>
      </c>
      <c r="G6581" t="s">
        <v>23</v>
      </c>
      <c r="K6581" cm="1">
        <f t="array" ref="K6581">_xlfn.SWITCH(LeadsData[[#This Row],[Funnel Stage Reached]],"Lead",1,"MQL",2,"SQL",3,"Customer",4)</f>
        <v>2</v>
      </c>
      <c r="L6581" t="str">
        <f>TEXT(LeadsData[[#This Row],[Signup Date]],"mmm-yyyy")</f>
        <v>Sep-2024</v>
      </c>
      <c r="M6581">
        <f>IF(LeadsData[[#This Row],[Stage Number]]&gt;=2,1,0)</f>
        <v>1</v>
      </c>
      <c r="N6581" s="2">
        <f>IF(LeadsData[[#This Row],[Stage Number]]&gt;=3,1,0)</f>
        <v>0</v>
      </c>
      <c r="O6581" s="2">
        <f>IF(LeadsData[[#This Row],[Stage Number]]&gt;=4,1,0)</f>
        <v>0</v>
      </c>
    </row>
    <row r="6582" spans="1:15" x14ac:dyDescent="0.25">
      <c r="A6582" t="s">
        <v>6622</v>
      </c>
      <c r="B6582" s="1">
        <v>45579</v>
      </c>
      <c r="C6582" t="s">
        <v>17</v>
      </c>
      <c r="D6582" t="s">
        <v>53</v>
      </c>
      <c r="E6582" t="s">
        <v>13</v>
      </c>
      <c r="F6582" t="s">
        <v>28</v>
      </c>
      <c r="G6582" t="s">
        <v>23</v>
      </c>
      <c r="K6582" cm="1">
        <f t="array" ref="K6582">_xlfn.SWITCH(LeadsData[[#This Row],[Funnel Stage Reached]],"Lead",1,"MQL",2,"SQL",3,"Customer",4)</f>
        <v>2</v>
      </c>
      <c r="L6582" t="str">
        <f>TEXT(LeadsData[[#This Row],[Signup Date]],"mmm-yyyy")</f>
        <v>Oct-2024</v>
      </c>
      <c r="M6582">
        <f>IF(LeadsData[[#This Row],[Stage Number]]&gt;=2,1,0)</f>
        <v>1</v>
      </c>
      <c r="N6582" s="2">
        <f>IF(LeadsData[[#This Row],[Stage Number]]&gt;=3,1,0)</f>
        <v>0</v>
      </c>
      <c r="O6582" s="2">
        <f>IF(LeadsData[[#This Row],[Stage Number]]&gt;=4,1,0)</f>
        <v>0</v>
      </c>
    </row>
    <row r="6583" spans="1:15" x14ac:dyDescent="0.25">
      <c r="A6583" t="s">
        <v>6623</v>
      </c>
      <c r="B6583" s="1">
        <v>45604</v>
      </c>
      <c r="C6583" t="s">
        <v>17</v>
      </c>
      <c r="D6583" t="s">
        <v>18</v>
      </c>
      <c r="E6583" t="s">
        <v>21</v>
      </c>
      <c r="F6583" t="s">
        <v>19</v>
      </c>
      <c r="G6583" t="s">
        <v>15</v>
      </c>
      <c r="K6583" cm="1">
        <f t="array" ref="K6583">_xlfn.SWITCH(LeadsData[[#This Row],[Funnel Stage Reached]],"Lead",1,"MQL",2,"SQL",3,"Customer",4)</f>
        <v>1</v>
      </c>
      <c r="L6583" t="str">
        <f>TEXT(LeadsData[[#This Row],[Signup Date]],"mmm-yyyy")</f>
        <v>Nov-2024</v>
      </c>
      <c r="M6583">
        <f>IF(LeadsData[[#This Row],[Stage Number]]&gt;=2,1,0)</f>
        <v>0</v>
      </c>
      <c r="N6583" s="2">
        <f>IF(LeadsData[[#This Row],[Stage Number]]&gt;=3,1,0)</f>
        <v>0</v>
      </c>
      <c r="O6583" s="2">
        <f>IF(LeadsData[[#This Row],[Stage Number]]&gt;=4,1,0)</f>
        <v>0</v>
      </c>
    </row>
    <row r="6584" spans="1:15" x14ac:dyDescent="0.25">
      <c r="A6584" t="s">
        <v>6624</v>
      </c>
      <c r="B6584" s="1">
        <v>45600</v>
      </c>
      <c r="C6584" t="s">
        <v>17</v>
      </c>
      <c r="D6584" t="s">
        <v>53</v>
      </c>
      <c r="E6584" t="s">
        <v>21</v>
      </c>
      <c r="F6584" t="s">
        <v>14</v>
      </c>
      <c r="G6584" t="s">
        <v>23</v>
      </c>
      <c r="K6584" cm="1">
        <f t="array" ref="K6584">_xlfn.SWITCH(LeadsData[[#This Row],[Funnel Stage Reached]],"Lead",1,"MQL",2,"SQL",3,"Customer",4)</f>
        <v>2</v>
      </c>
      <c r="L6584" t="str">
        <f>TEXT(LeadsData[[#This Row],[Signup Date]],"mmm-yyyy")</f>
        <v>Nov-2024</v>
      </c>
      <c r="M6584">
        <f>IF(LeadsData[[#This Row],[Stage Number]]&gt;=2,1,0)</f>
        <v>1</v>
      </c>
      <c r="N6584" s="2">
        <f>IF(LeadsData[[#This Row],[Stage Number]]&gt;=3,1,0)</f>
        <v>0</v>
      </c>
      <c r="O6584" s="2">
        <f>IF(LeadsData[[#This Row],[Stage Number]]&gt;=4,1,0)</f>
        <v>0</v>
      </c>
    </row>
    <row r="6585" spans="1:15" x14ac:dyDescent="0.25">
      <c r="A6585" t="s">
        <v>6625</v>
      </c>
      <c r="B6585" s="1">
        <v>45345</v>
      </c>
      <c r="C6585" t="s">
        <v>31</v>
      </c>
      <c r="D6585" t="s">
        <v>34</v>
      </c>
      <c r="E6585" t="s">
        <v>13</v>
      </c>
      <c r="F6585" t="s">
        <v>19</v>
      </c>
      <c r="G6585" t="s">
        <v>15</v>
      </c>
      <c r="K6585" cm="1">
        <f t="array" ref="K6585">_xlfn.SWITCH(LeadsData[[#This Row],[Funnel Stage Reached]],"Lead",1,"MQL",2,"SQL",3,"Customer",4)</f>
        <v>1</v>
      </c>
      <c r="L6585" t="str">
        <f>TEXT(LeadsData[[#This Row],[Signup Date]],"mmm-yyyy")</f>
        <v>Feb-2024</v>
      </c>
      <c r="M6585">
        <f>IF(LeadsData[[#This Row],[Stage Number]]&gt;=2,1,0)</f>
        <v>0</v>
      </c>
      <c r="N6585" s="2">
        <f>IF(LeadsData[[#This Row],[Stage Number]]&gt;=3,1,0)</f>
        <v>0</v>
      </c>
      <c r="O6585" s="2">
        <f>IF(LeadsData[[#This Row],[Stage Number]]&gt;=4,1,0)</f>
        <v>0</v>
      </c>
    </row>
    <row r="6586" spans="1:15" x14ac:dyDescent="0.25">
      <c r="A6586" t="s">
        <v>6626</v>
      </c>
      <c r="B6586" s="1">
        <v>45352</v>
      </c>
      <c r="C6586" t="s">
        <v>31</v>
      </c>
      <c r="D6586" t="s">
        <v>32</v>
      </c>
      <c r="E6586" t="s">
        <v>21</v>
      </c>
      <c r="F6586" t="s">
        <v>22</v>
      </c>
      <c r="G6586" t="s">
        <v>23</v>
      </c>
      <c r="K6586" cm="1">
        <f t="array" ref="K6586">_xlfn.SWITCH(LeadsData[[#This Row],[Funnel Stage Reached]],"Lead",1,"MQL",2,"SQL",3,"Customer",4)</f>
        <v>2</v>
      </c>
      <c r="L6586" t="str">
        <f>TEXT(LeadsData[[#This Row],[Signup Date]],"mmm-yyyy")</f>
        <v>Mar-2024</v>
      </c>
      <c r="M6586">
        <f>IF(LeadsData[[#This Row],[Stage Number]]&gt;=2,1,0)</f>
        <v>1</v>
      </c>
      <c r="N6586" s="2">
        <f>IF(LeadsData[[#This Row],[Stage Number]]&gt;=3,1,0)</f>
        <v>0</v>
      </c>
      <c r="O6586" s="2">
        <f>IF(LeadsData[[#This Row],[Stage Number]]&gt;=4,1,0)</f>
        <v>0</v>
      </c>
    </row>
    <row r="6587" spans="1:15" x14ac:dyDescent="0.25">
      <c r="A6587" t="s">
        <v>6627</v>
      </c>
      <c r="B6587" s="1">
        <v>45621</v>
      </c>
      <c r="C6587" t="s">
        <v>31</v>
      </c>
      <c r="D6587" t="s">
        <v>32</v>
      </c>
      <c r="E6587" t="s">
        <v>13</v>
      </c>
      <c r="F6587" t="s">
        <v>22</v>
      </c>
      <c r="G6587" t="s">
        <v>29</v>
      </c>
      <c r="K6587" cm="1">
        <f t="array" ref="K6587">_xlfn.SWITCH(LeadsData[[#This Row],[Funnel Stage Reached]],"Lead",1,"MQL",2,"SQL",3,"Customer",4)</f>
        <v>3</v>
      </c>
      <c r="L6587" t="str">
        <f>TEXT(LeadsData[[#This Row],[Signup Date]],"mmm-yyyy")</f>
        <v>Nov-2024</v>
      </c>
      <c r="M6587">
        <f>IF(LeadsData[[#This Row],[Stage Number]]&gt;=2,1,0)</f>
        <v>1</v>
      </c>
      <c r="N6587" s="2">
        <f>IF(LeadsData[[#This Row],[Stage Number]]&gt;=3,1,0)</f>
        <v>1</v>
      </c>
      <c r="O6587" s="2">
        <f>IF(LeadsData[[#This Row],[Stage Number]]&gt;=4,1,0)</f>
        <v>0</v>
      </c>
    </row>
    <row r="6588" spans="1:15" x14ac:dyDescent="0.25">
      <c r="A6588" t="s">
        <v>6628</v>
      </c>
      <c r="B6588" s="1">
        <v>45583</v>
      </c>
      <c r="C6588" t="s">
        <v>31</v>
      </c>
      <c r="D6588" t="s">
        <v>32</v>
      </c>
      <c r="E6588" t="s">
        <v>13</v>
      </c>
      <c r="F6588" t="s">
        <v>14</v>
      </c>
      <c r="G6588" t="s">
        <v>29</v>
      </c>
      <c r="K6588" cm="1">
        <f t="array" ref="K6588">_xlfn.SWITCH(LeadsData[[#This Row],[Funnel Stage Reached]],"Lead",1,"MQL",2,"SQL",3,"Customer",4)</f>
        <v>3</v>
      </c>
      <c r="L6588" t="str">
        <f>TEXT(LeadsData[[#This Row],[Signup Date]],"mmm-yyyy")</f>
        <v>Oct-2024</v>
      </c>
      <c r="M6588">
        <f>IF(LeadsData[[#This Row],[Stage Number]]&gt;=2,1,0)</f>
        <v>1</v>
      </c>
      <c r="N6588" s="2">
        <f>IF(LeadsData[[#This Row],[Stage Number]]&gt;=3,1,0)</f>
        <v>1</v>
      </c>
      <c r="O6588" s="2">
        <f>IF(LeadsData[[#This Row],[Stage Number]]&gt;=4,1,0)</f>
        <v>0</v>
      </c>
    </row>
    <row r="6589" spans="1:15" x14ac:dyDescent="0.25">
      <c r="A6589" t="s">
        <v>6629</v>
      </c>
      <c r="B6589" s="1">
        <v>45461</v>
      </c>
      <c r="C6589" t="s">
        <v>17</v>
      </c>
      <c r="D6589" t="s">
        <v>18</v>
      </c>
      <c r="E6589" t="s">
        <v>21</v>
      </c>
      <c r="F6589" t="s">
        <v>19</v>
      </c>
      <c r="G6589" t="s">
        <v>29</v>
      </c>
      <c r="K6589" cm="1">
        <f t="array" ref="K6589">_xlfn.SWITCH(LeadsData[[#This Row],[Funnel Stage Reached]],"Lead",1,"MQL",2,"SQL",3,"Customer",4)</f>
        <v>3</v>
      </c>
      <c r="L6589" t="str">
        <f>TEXT(LeadsData[[#This Row],[Signup Date]],"mmm-yyyy")</f>
        <v>Jun-2024</v>
      </c>
      <c r="M6589">
        <f>IF(LeadsData[[#This Row],[Stage Number]]&gt;=2,1,0)</f>
        <v>1</v>
      </c>
      <c r="N6589" s="2">
        <f>IF(LeadsData[[#This Row],[Stage Number]]&gt;=3,1,0)</f>
        <v>1</v>
      </c>
      <c r="O6589" s="2">
        <f>IF(LeadsData[[#This Row],[Stage Number]]&gt;=4,1,0)</f>
        <v>0</v>
      </c>
    </row>
    <row r="6590" spans="1:15" x14ac:dyDescent="0.25">
      <c r="A6590" t="s">
        <v>6630</v>
      </c>
      <c r="B6590" s="1">
        <v>45560</v>
      </c>
      <c r="C6590" t="s">
        <v>46</v>
      </c>
      <c r="D6590" t="s">
        <v>47</v>
      </c>
      <c r="E6590" t="s">
        <v>21</v>
      </c>
      <c r="F6590" t="s">
        <v>19</v>
      </c>
      <c r="G6590" t="s">
        <v>15</v>
      </c>
      <c r="K6590" cm="1">
        <f t="array" ref="K6590">_xlfn.SWITCH(LeadsData[[#This Row],[Funnel Stage Reached]],"Lead",1,"MQL",2,"SQL",3,"Customer",4)</f>
        <v>1</v>
      </c>
      <c r="L6590" t="str">
        <f>TEXT(LeadsData[[#This Row],[Signup Date]],"mmm-yyyy")</f>
        <v>Sep-2024</v>
      </c>
      <c r="M6590">
        <f>IF(LeadsData[[#This Row],[Stage Number]]&gt;=2,1,0)</f>
        <v>0</v>
      </c>
      <c r="N6590" s="2">
        <f>IF(LeadsData[[#This Row],[Stage Number]]&gt;=3,1,0)</f>
        <v>0</v>
      </c>
      <c r="O6590" s="2">
        <f>IF(LeadsData[[#This Row],[Stage Number]]&gt;=4,1,0)</f>
        <v>0</v>
      </c>
    </row>
    <row r="6591" spans="1:15" x14ac:dyDescent="0.25">
      <c r="A6591" t="s">
        <v>6631</v>
      </c>
      <c r="B6591" s="1">
        <v>45359</v>
      </c>
      <c r="C6591" t="s">
        <v>31</v>
      </c>
      <c r="D6591" t="s">
        <v>34</v>
      </c>
      <c r="E6591" t="s">
        <v>13</v>
      </c>
      <c r="F6591" t="s">
        <v>22</v>
      </c>
      <c r="G6591" t="s">
        <v>23</v>
      </c>
      <c r="K6591" cm="1">
        <f t="array" ref="K6591">_xlfn.SWITCH(LeadsData[[#This Row],[Funnel Stage Reached]],"Lead",1,"MQL",2,"SQL",3,"Customer",4)</f>
        <v>2</v>
      </c>
      <c r="L6591" t="str">
        <f>TEXT(LeadsData[[#This Row],[Signup Date]],"mmm-yyyy")</f>
        <v>Mar-2024</v>
      </c>
      <c r="M6591">
        <f>IF(LeadsData[[#This Row],[Stage Number]]&gt;=2,1,0)</f>
        <v>1</v>
      </c>
      <c r="N6591" s="2">
        <f>IF(LeadsData[[#This Row],[Stage Number]]&gt;=3,1,0)</f>
        <v>0</v>
      </c>
      <c r="O6591" s="2">
        <f>IF(LeadsData[[#This Row],[Stage Number]]&gt;=4,1,0)</f>
        <v>0</v>
      </c>
    </row>
    <row r="6592" spans="1:15" x14ac:dyDescent="0.25">
      <c r="A6592" t="s">
        <v>6632</v>
      </c>
      <c r="B6592" s="1">
        <v>45614</v>
      </c>
      <c r="C6592" t="s">
        <v>17</v>
      </c>
      <c r="D6592" t="s">
        <v>53</v>
      </c>
      <c r="E6592" t="s">
        <v>13</v>
      </c>
      <c r="F6592" t="s">
        <v>19</v>
      </c>
      <c r="G6592" t="s">
        <v>23</v>
      </c>
      <c r="K6592" cm="1">
        <f t="array" ref="K6592">_xlfn.SWITCH(LeadsData[[#This Row],[Funnel Stage Reached]],"Lead",1,"MQL",2,"SQL",3,"Customer",4)</f>
        <v>2</v>
      </c>
      <c r="L6592" t="str">
        <f>TEXT(LeadsData[[#This Row],[Signup Date]],"mmm-yyyy")</f>
        <v>Nov-2024</v>
      </c>
      <c r="M6592">
        <f>IF(LeadsData[[#This Row],[Stage Number]]&gt;=2,1,0)</f>
        <v>1</v>
      </c>
      <c r="N6592" s="2">
        <f>IF(LeadsData[[#This Row],[Stage Number]]&gt;=3,1,0)</f>
        <v>0</v>
      </c>
      <c r="O6592" s="2">
        <f>IF(LeadsData[[#This Row],[Stage Number]]&gt;=4,1,0)</f>
        <v>0</v>
      </c>
    </row>
    <row r="6593" spans="1:15" x14ac:dyDescent="0.25">
      <c r="A6593" t="s">
        <v>6633</v>
      </c>
      <c r="B6593" s="1">
        <v>45603</v>
      </c>
      <c r="C6593" t="s">
        <v>17</v>
      </c>
      <c r="D6593" t="s">
        <v>18</v>
      </c>
      <c r="E6593" t="s">
        <v>13</v>
      </c>
      <c r="F6593" t="s">
        <v>19</v>
      </c>
      <c r="G6593" t="s">
        <v>15</v>
      </c>
      <c r="K6593" cm="1">
        <f t="array" ref="K6593">_xlfn.SWITCH(LeadsData[[#This Row],[Funnel Stage Reached]],"Lead",1,"MQL",2,"SQL",3,"Customer",4)</f>
        <v>1</v>
      </c>
      <c r="L6593" t="str">
        <f>TEXT(LeadsData[[#This Row],[Signup Date]],"mmm-yyyy")</f>
        <v>Nov-2024</v>
      </c>
      <c r="M6593">
        <f>IF(LeadsData[[#This Row],[Stage Number]]&gt;=2,1,0)</f>
        <v>0</v>
      </c>
      <c r="N6593" s="2">
        <f>IF(LeadsData[[#This Row],[Stage Number]]&gt;=3,1,0)</f>
        <v>0</v>
      </c>
      <c r="O6593" s="2">
        <f>IF(LeadsData[[#This Row],[Stage Number]]&gt;=4,1,0)</f>
        <v>0</v>
      </c>
    </row>
    <row r="6594" spans="1:15" x14ac:dyDescent="0.25">
      <c r="A6594" t="s">
        <v>6634</v>
      </c>
      <c r="B6594" s="1">
        <v>45420</v>
      </c>
      <c r="C6594" t="s">
        <v>11</v>
      </c>
      <c r="D6594" t="s">
        <v>68</v>
      </c>
      <c r="E6594" t="s">
        <v>13</v>
      </c>
      <c r="F6594" t="s">
        <v>22</v>
      </c>
      <c r="G6594" t="s">
        <v>15</v>
      </c>
      <c r="K6594" cm="1">
        <f t="array" ref="K6594">_xlfn.SWITCH(LeadsData[[#This Row],[Funnel Stage Reached]],"Lead",1,"MQL",2,"SQL",3,"Customer",4)</f>
        <v>1</v>
      </c>
      <c r="L6594" t="str">
        <f>TEXT(LeadsData[[#This Row],[Signup Date]],"mmm-yyyy")</f>
        <v>May-2024</v>
      </c>
      <c r="M6594">
        <f>IF(LeadsData[[#This Row],[Stage Number]]&gt;=2,1,0)</f>
        <v>0</v>
      </c>
      <c r="N6594" s="2">
        <f>IF(LeadsData[[#This Row],[Stage Number]]&gt;=3,1,0)</f>
        <v>0</v>
      </c>
      <c r="O6594" s="2">
        <f>IF(LeadsData[[#This Row],[Stage Number]]&gt;=4,1,0)</f>
        <v>0</v>
      </c>
    </row>
    <row r="6595" spans="1:15" x14ac:dyDescent="0.25">
      <c r="A6595" t="s">
        <v>6635</v>
      </c>
      <c r="B6595" s="1">
        <v>45480</v>
      </c>
      <c r="C6595" t="s">
        <v>31</v>
      </c>
      <c r="D6595" t="s">
        <v>34</v>
      </c>
      <c r="E6595" t="s">
        <v>13</v>
      </c>
      <c r="F6595" t="s">
        <v>19</v>
      </c>
      <c r="G6595" t="s">
        <v>23</v>
      </c>
      <c r="K6595" cm="1">
        <f t="array" ref="K6595">_xlfn.SWITCH(LeadsData[[#This Row],[Funnel Stage Reached]],"Lead",1,"MQL",2,"SQL",3,"Customer",4)</f>
        <v>2</v>
      </c>
      <c r="L6595" t="str">
        <f>TEXT(LeadsData[[#This Row],[Signup Date]],"mmm-yyyy")</f>
        <v>Jul-2024</v>
      </c>
      <c r="M6595">
        <f>IF(LeadsData[[#This Row],[Stage Number]]&gt;=2,1,0)</f>
        <v>1</v>
      </c>
      <c r="N6595" s="2">
        <f>IF(LeadsData[[#This Row],[Stage Number]]&gt;=3,1,0)</f>
        <v>0</v>
      </c>
      <c r="O6595" s="2">
        <f>IF(LeadsData[[#This Row],[Stage Number]]&gt;=4,1,0)</f>
        <v>0</v>
      </c>
    </row>
    <row r="6596" spans="1:15" x14ac:dyDescent="0.25">
      <c r="A6596" t="s">
        <v>6636</v>
      </c>
      <c r="B6596" s="1">
        <v>45624</v>
      </c>
      <c r="C6596" t="s">
        <v>17</v>
      </c>
      <c r="D6596" t="s">
        <v>53</v>
      </c>
      <c r="E6596" t="s">
        <v>13</v>
      </c>
      <c r="F6596" t="s">
        <v>14</v>
      </c>
      <c r="G6596" t="s">
        <v>23</v>
      </c>
      <c r="K6596" cm="1">
        <f t="array" ref="K6596">_xlfn.SWITCH(LeadsData[[#This Row],[Funnel Stage Reached]],"Lead",1,"MQL",2,"SQL",3,"Customer",4)</f>
        <v>2</v>
      </c>
      <c r="L6596" t="str">
        <f>TEXT(LeadsData[[#This Row],[Signup Date]],"mmm-yyyy")</f>
        <v>Nov-2024</v>
      </c>
      <c r="M6596">
        <f>IF(LeadsData[[#This Row],[Stage Number]]&gt;=2,1,0)</f>
        <v>1</v>
      </c>
      <c r="N6596" s="2">
        <f>IF(LeadsData[[#This Row],[Stage Number]]&gt;=3,1,0)</f>
        <v>0</v>
      </c>
      <c r="O6596" s="2">
        <f>IF(LeadsData[[#This Row],[Stage Number]]&gt;=4,1,0)</f>
        <v>0</v>
      </c>
    </row>
    <row r="6597" spans="1:15" x14ac:dyDescent="0.25">
      <c r="A6597" t="s">
        <v>6637</v>
      </c>
      <c r="B6597" s="1">
        <v>45439</v>
      </c>
      <c r="C6597" t="s">
        <v>46</v>
      </c>
      <c r="D6597" t="s">
        <v>56</v>
      </c>
      <c r="E6597" t="s">
        <v>13</v>
      </c>
      <c r="F6597" t="s">
        <v>19</v>
      </c>
      <c r="G6597" t="s">
        <v>23</v>
      </c>
      <c r="K6597" cm="1">
        <f t="array" ref="K6597">_xlfn.SWITCH(LeadsData[[#This Row],[Funnel Stage Reached]],"Lead",1,"MQL",2,"SQL",3,"Customer",4)</f>
        <v>2</v>
      </c>
      <c r="L6597" t="str">
        <f>TEXT(LeadsData[[#This Row],[Signup Date]],"mmm-yyyy")</f>
        <v>May-2024</v>
      </c>
      <c r="M6597">
        <f>IF(LeadsData[[#This Row],[Stage Number]]&gt;=2,1,0)</f>
        <v>1</v>
      </c>
      <c r="N6597" s="2">
        <f>IF(LeadsData[[#This Row],[Stage Number]]&gt;=3,1,0)</f>
        <v>0</v>
      </c>
      <c r="O6597" s="2">
        <f>IF(LeadsData[[#This Row],[Stage Number]]&gt;=4,1,0)</f>
        <v>0</v>
      </c>
    </row>
    <row r="6598" spans="1:15" x14ac:dyDescent="0.25">
      <c r="A6598" t="s">
        <v>6638</v>
      </c>
      <c r="B6598" s="1">
        <v>45391</v>
      </c>
      <c r="C6598" t="s">
        <v>46</v>
      </c>
      <c r="D6598" t="s">
        <v>47</v>
      </c>
      <c r="E6598" t="s">
        <v>13</v>
      </c>
      <c r="F6598" t="s">
        <v>28</v>
      </c>
      <c r="G6598" t="s">
        <v>23</v>
      </c>
      <c r="K6598" cm="1">
        <f t="array" ref="K6598">_xlfn.SWITCH(LeadsData[[#This Row],[Funnel Stage Reached]],"Lead",1,"MQL",2,"SQL",3,"Customer",4)</f>
        <v>2</v>
      </c>
      <c r="L6598" t="str">
        <f>TEXT(LeadsData[[#This Row],[Signup Date]],"mmm-yyyy")</f>
        <v>Apr-2024</v>
      </c>
      <c r="M6598">
        <f>IF(LeadsData[[#This Row],[Stage Number]]&gt;=2,1,0)</f>
        <v>1</v>
      </c>
      <c r="N6598" s="2">
        <f>IF(LeadsData[[#This Row],[Stage Number]]&gt;=3,1,0)</f>
        <v>0</v>
      </c>
      <c r="O6598" s="2">
        <f>IF(LeadsData[[#This Row],[Stage Number]]&gt;=4,1,0)</f>
        <v>0</v>
      </c>
    </row>
    <row r="6599" spans="1:15" x14ac:dyDescent="0.25">
      <c r="A6599" t="s">
        <v>6639</v>
      </c>
      <c r="B6599" s="1">
        <v>45394</v>
      </c>
      <c r="C6599" t="s">
        <v>17</v>
      </c>
      <c r="D6599" t="s">
        <v>18</v>
      </c>
      <c r="E6599" t="s">
        <v>21</v>
      </c>
      <c r="F6599" t="s">
        <v>22</v>
      </c>
      <c r="G6599" t="s">
        <v>23</v>
      </c>
      <c r="K6599" cm="1">
        <f t="array" ref="K6599">_xlfn.SWITCH(LeadsData[[#This Row],[Funnel Stage Reached]],"Lead",1,"MQL",2,"SQL",3,"Customer",4)</f>
        <v>2</v>
      </c>
      <c r="L6599" t="str">
        <f>TEXT(LeadsData[[#This Row],[Signup Date]],"mmm-yyyy")</f>
        <v>Apr-2024</v>
      </c>
      <c r="M6599">
        <f>IF(LeadsData[[#This Row],[Stage Number]]&gt;=2,1,0)</f>
        <v>1</v>
      </c>
      <c r="N6599" s="2">
        <f>IF(LeadsData[[#This Row],[Stage Number]]&gt;=3,1,0)</f>
        <v>0</v>
      </c>
      <c r="O6599" s="2">
        <f>IF(LeadsData[[#This Row],[Stage Number]]&gt;=4,1,0)</f>
        <v>0</v>
      </c>
    </row>
    <row r="6600" spans="1:15" x14ac:dyDescent="0.25">
      <c r="A6600" t="s">
        <v>6640</v>
      </c>
      <c r="B6600" s="1">
        <v>45597</v>
      </c>
      <c r="C6600" t="s">
        <v>46</v>
      </c>
      <c r="D6600" t="s">
        <v>47</v>
      </c>
      <c r="E6600" t="s">
        <v>13</v>
      </c>
      <c r="F6600" t="s">
        <v>19</v>
      </c>
      <c r="G6600" t="s">
        <v>23</v>
      </c>
      <c r="K6600" cm="1">
        <f t="array" ref="K6600">_xlfn.SWITCH(LeadsData[[#This Row],[Funnel Stage Reached]],"Lead",1,"MQL",2,"SQL",3,"Customer",4)</f>
        <v>2</v>
      </c>
      <c r="L6600" t="str">
        <f>TEXT(LeadsData[[#This Row],[Signup Date]],"mmm-yyyy")</f>
        <v>Nov-2024</v>
      </c>
      <c r="M6600">
        <f>IF(LeadsData[[#This Row],[Stage Number]]&gt;=2,1,0)</f>
        <v>1</v>
      </c>
      <c r="N6600" s="2">
        <f>IF(LeadsData[[#This Row],[Stage Number]]&gt;=3,1,0)</f>
        <v>0</v>
      </c>
      <c r="O6600" s="2">
        <f>IF(LeadsData[[#This Row],[Stage Number]]&gt;=4,1,0)</f>
        <v>0</v>
      </c>
    </row>
    <row r="6601" spans="1:15" x14ac:dyDescent="0.25">
      <c r="A6601" t="s">
        <v>6641</v>
      </c>
      <c r="B6601" s="1">
        <v>45651</v>
      </c>
      <c r="C6601" t="s">
        <v>36</v>
      </c>
      <c r="D6601" t="s">
        <v>37</v>
      </c>
      <c r="E6601" t="s">
        <v>13</v>
      </c>
      <c r="F6601" t="s">
        <v>22</v>
      </c>
      <c r="G6601" t="s">
        <v>29</v>
      </c>
      <c r="K6601" cm="1">
        <f t="array" ref="K6601">_xlfn.SWITCH(LeadsData[[#This Row],[Funnel Stage Reached]],"Lead",1,"MQL",2,"SQL",3,"Customer",4)</f>
        <v>3</v>
      </c>
      <c r="L6601" t="str">
        <f>TEXT(LeadsData[[#This Row],[Signup Date]],"mmm-yyyy")</f>
        <v>Dec-2024</v>
      </c>
      <c r="M6601">
        <f>IF(LeadsData[[#This Row],[Stage Number]]&gt;=2,1,0)</f>
        <v>1</v>
      </c>
      <c r="N6601" s="2">
        <f>IF(LeadsData[[#This Row],[Stage Number]]&gt;=3,1,0)</f>
        <v>1</v>
      </c>
      <c r="O6601" s="2">
        <f>IF(LeadsData[[#This Row],[Stage Number]]&gt;=4,1,0)</f>
        <v>0</v>
      </c>
    </row>
    <row r="6602" spans="1:15" x14ac:dyDescent="0.25">
      <c r="A6602" t="s">
        <v>6642</v>
      </c>
      <c r="B6602" s="1">
        <v>45645</v>
      </c>
      <c r="C6602" t="s">
        <v>25</v>
      </c>
      <c r="D6602" t="s">
        <v>26</v>
      </c>
      <c r="E6602" t="s">
        <v>13</v>
      </c>
      <c r="F6602" t="s">
        <v>19</v>
      </c>
      <c r="G6602" t="s">
        <v>23</v>
      </c>
      <c r="K6602" cm="1">
        <f t="array" ref="K6602">_xlfn.SWITCH(LeadsData[[#This Row],[Funnel Stage Reached]],"Lead",1,"MQL",2,"SQL",3,"Customer",4)</f>
        <v>2</v>
      </c>
      <c r="L6602" t="str">
        <f>TEXT(LeadsData[[#This Row],[Signup Date]],"mmm-yyyy")</f>
        <v>Dec-2024</v>
      </c>
      <c r="M6602">
        <f>IF(LeadsData[[#This Row],[Stage Number]]&gt;=2,1,0)</f>
        <v>1</v>
      </c>
      <c r="N6602" s="2">
        <f>IF(LeadsData[[#This Row],[Stage Number]]&gt;=3,1,0)</f>
        <v>0</v>
      </c>
      <c r="O6602" s="2">
        <f>IF(LeadsData[[#This Row],[Stage Number]]&gt;=4,1,0)</f>
        <v>0</v>
      </c>
    </row>
    <row r="6603" spans="1:15" x14ac:dyDescent="0.25">
      <c r="A6603" t="s">
        <v>6643</v>
      </c>
      <c r="B6603" s="1">
        <v>45529</v>
      </c>
      <c r="C6603" t="s">
        <v>17</v>
      </c>
      <c r="D6603" t="s">
        <v>53</v>
      </c>
      <c r="E6603" t="s">
        <v>21</v>
      </c>
      <c r="F6603" t="s">
        <v>19</v>
      </c>
      <c r="G6603" t="s">
        <v>15</v>
      </c>
      <c r="K6603" cm="1">
        <f t="array" ref="K6603">_xlfn.SWITCH(LeadsData[[#This Row],[Funnel Stage Reached]],"Lead",1,"MQL",2,"SQL",3,"Customer",4)</f>
        <v>1</v>
      </c>
      <c r="L6603" t="str">
        <f>TEXT(LeadsData[[#This Row],[Signup Date]],"mmm-yyyy")</f>
        <v>Aug-2024</v>
      </c>
      <c r="M6603">
        <f>IF(LeadsData[[#This Row],[Stage Number]]&gt;=2,1,0)</f>
        <v>0</v>
      </c>
      <c r="N6603" s="2">
        <f>IF(LeadsData[[#This Row],[Stage Number]]&gt;=3,1,0)</f>
        <v>0</v>
      </c>
      <c r="O6603" s="2">
        <f>IF(LeadsData[[#This Row],[Stage Number]]&gt;=4,1,0)</f>
        <v>0</v>
      </c>
    </row>
    <row r="6604" spans="1:15" x14ac:dyDescent="0.25">
      <c r="A6604" t="s">
        <v>6644</v>
      </c>
      <c r="B6604" s="1">
        <v>45613</v>
      </c>
      <c r="C6604" t="s">
        <v>31</v>
      </c>
      <c r="D6604" t="s">
        <v>32</v>
      </c>
      <c r="E6604" t="s">
        <v>13</v>
      </c>
      <c r="F6604" t="s">
        <v>28</v>
      </c>
      <c r="G6604" t="s">
        <v>29</v>
      </c>
      <c r="K6604" cm="1">
        <f t="array" ref="K6604">_xlfn.SWITCH(LeadsData[[#This Row],[Funnel Stage Reached]],"Lead",1,"MQL",2,"SQL",3,"Customer",4)</f>
        <v>3</v>
      </c>
      <c r="L6604" t="str">
        <f>TEXT(LeadsData[[#This Row],[Signup Date]],"mmm-yyyy")</f>
        <v>Nov-2024</v>
      </c>
      <c r="M6604">
        <f>IF(LeadsData[[#This Row],[Stage Number]]&gt;=2,1,0)</f>
        <v>1</v>
      </c>
      <c r="N6604" s="2">
        <f>IF(LeadsData[[#This Row],[Stage Number]]&gt;=3,1,0)</f>
        <v>1</v>
      </c>
      <c r="O6604" s="2">
        <f>IF(LeadsData[[#This Row],[Stage Number]]&gt;=4,1,0)</f>
        <v>0</v>
      </c>
    </row>
    <row r="6605" spans="1:15" x14ac:dyDescent="0.25">
      <c r="A6605" t="s">
        <v>6645</v>
      </c>
      <c r="B6605" s="1">
        <v>45576</v>
      </c>
      <c r="C6605" t="s">
        <v>36</v>
      </c>
      <c r="D6605" t="s">
        <v>50</v>
      </c>
      <c r="E6605" t="s">
        <v>13</v>
      </c>
      <c r="F6605" t="s">
        <v>19</v>
      </c>
      <c r="G6605" t="s">
        <v>23</v>
      </c>
      <c r="K6605" cm="1">
        <f t="array" ref="K6605">_xlfn.SWITCH(LeadsData[[#This Row],[Funnel Stage Reached]],"Lead",1,"MQL",2,"SQL",3,"Customer",4)</f>
        <v>2</v>
      </c>
      <c r="L6605" t="str">
        <f>TEXT(LeadsData[[#This Row],[Signup Date]],"mmm-yyyy")</f>
        <v>Oct-2024</v>
      </c>
      <c r="M6605">
        <f>IF(LeadsData[[#This Row],[Stage Number]]&gt;=2,1,0)</f>
        <v>1</v>
      </c>
      <c r="N6605" s="2">
        <f>IF(LeadsData[[#This Row],[Stage Number]]&gt;=3,1,0)</f>
        <v>0</v>
      </c>
      <c r="O6605" s="2">
        <f>IF(LeadsData[[#This Row],[Stage Number]]&gt;=4,1,0)</f>
        <v>0</v>
      </c>
    </row>
    <row r="6606" spans="1:15" x14ac:dyDescent="0.25">
      <c r="A6606" t="s">
        <v>6646</v>
      </c>
      <c r="B6606" s="1">
        <v>45568</v>
      </c>
      <c r="C6606" t="s">
        <v>11</v>
      </c>
      <c r="D6606" t="s">
        <v>79</v>
      </c>
      <c r="E6606" t="s">
        <v>21</v>
      </c>
      <c r="F6606" t="s">
        <v>19</v>
      </c>
      <c r="G6606" t="s">
        <v>15</v>
      </c>
      <c r="K6606" cm="1">
        <f t="array" ref="K6606">_xlfn.SWITCH(LeadsData[[#This Row],[Funnel Stage Reached]],"Lead",1,"MQL",2,"SQL",3,"Customer",4)</f>
        <v>1</v>
      </c>
      <c r="L6606" t="str">
        <f>TEXT(LeadsData[[#This Row],[Signup Date]],"mmm-yyyy")</f>
        <v>Oct-2024</v>
      </c>
      <c r="M6606">
        <f>IF(LeadsData[[#This Row],[Stage Number]]&gt;=2,1,0)</f>
        <v>0</v>
      </c>
      <c r="N6606" s="2">
        <f>IF(LeadsData[[#This Row],[Stage Number]]&gt;=3,1,0)</f>
        <v>0</v>
      </c>
      <c r="O6606" s="2">
        <f>IF(LeadsData[[#This Row],[Stage Number]]&gt;=4,1,0)</f>
        <v>0</v>
      </c>
    </row>
    <row r="6607" spans="1:15" x14ac:dyDescent="0.25">
      <c r="A6607" t="s">
        <v>6647</v>
      </c>
      <c r="B6607" s="1">
        <v>45447</v>
      </c>
      <c r="C6607" t="s">
        <v>17</v>
      </c>
      <c r="D6607" t="s">
        <v>53</v>
      </c>
      <c r="E6607" t="s">
        <v>13</v>
      </c>
      <c r="F6607" t="s">
        <v>22</v>
      </c>
      <c r="G6607" t="s">
        <v>15</v>
      </c>
      <c r="K6607" cm="1">
        <f t="array" ref="K6607">_xlfn.SWITCH(LeadsData[[#This Row],[Funnel Stage Reached]],"Lead",1,"MQL",2,"SQL",3,"Customer",4)</f>
        <v>1</v>
      </c>
      <c r="L6607" t="str">
        <f>TEXT(LeadsData[[#This Row],[Signup Date]],"mmm-yyyy")</f>
        <v>Jun-2024</v>
      </c>
      <c r="M6607">
        <f>IF(LeadsData[[#This Row],[Stage Number]]&gt;=2,1,0)</f>
        <v>0</v>
      </c>
      <c r="N6607" s="2">
        <f>IF(LeadsData[[#This Row],[Stage Number]]&gt;=3,1,0)</f>
        <v>0</v>
      </c>
      <c r="O6607" s="2">
        <f>IF(LeadsData[[#This Row],[Stage Number]]&gt;=4,1,0)</f>
        <v>0</v>
      </c>
    </row>
    <row r="6608" spans="1:15" x14ac:dyDescent="0.25">
      <c r="A6608" t="s">
        <v>6648</v>
      </c>
      <c r="B6608" s="1">
        <v>45490</v>
      </c>
      <c r="C6608" t="s">
        <v>46</v>
      </c>
      <c r="D6608" t="s">
        <v>47</v>
      </c>
      <c r="E6608" t="s">
        <v>13</v>
      </c>
      <c r="F6608" t="s">
        <v>22</v>
      </c>
      <c r="G6608" t="s">
        <v>23</v>
      </c>
      <c r="K6608" cm="1">
        <f t="array" ref="K6608">_xlfn.SWITCH(LeadsData[[#This Row],[Funnel Stage Reached]],"Lead",1,"MQL",2,"SQL",3,"Customer",4)</f>
        <v>2</v>
      </c>
      <c r="L6608" t="str">
        <f>TEXT(LeadsData[[#This Row],[Signup Date]],"mmm-yyyy")</f>
        <v>Jul-2024</v>
      </c>
      <c r="M6608">
        <f>IF(LeadsData[[#This Row],[Stage Number]]&gt;=2,1,0)</f>
        <v>1</v>
      </c>
      <c r="N6608" s="2">
        <f>IF(LeadsData[[#This Row],[Stage Number]]&gt;=3,1,0)</f>
        <v>0</v>
      </c>
      <c r="O6608" s="2">
        <f>IF(LeadsData[[#This Row],[Stage Number]]&gt;=4,1,0)</f>
        <v>0</v>
      </c>
    </row>
    <row r="6609" spans="1:15" x14ac:dyDescent="0.25">
      <c r="A6609" t="s">
        <v>6649</v>
      </c>
      <c r="B6609" s="1">
        <v>45391</v>
      </c>
      <c r="C6609" t="s">
        <v>17</v>
      </c>
      <c r="D6609" t="s">
        <v>18</v>
      </c>
      <c r="E6609" t="s">
        <v>21</v>
      </c>
      <c r="F6609" t="s">
        <v>19</v>
      </c>
      <c r="G6609" t="s">
        <v>23</v>
      </c>
      <c r="K6609" cm="1">
        <f t="array" ref="K6609">_xlfn.SWITCH(LeadsData[[#This Row],[Funnel Stage Reached]],"Lead",1,"MQL",2,"SQL",3,"Customer",4)</f>
        <v>2</v>
      </c>
      <c r="L6609" t="str">
        <f>TEXT(LeadsData[[#This Row],[Signup Date]],"mmm-yyyy")</f>
        <v>Apr-2024</v>
      </c>
      <c r="M6609">
        <f>IF(LeadsData[[#This Row],[Stage Number]]&gt;=2,1,0)</f>
        <v>1</v>
      </c>
      <c r="N6609" s="2">
        <f>IF(LeadsData[[#This Row],[Stage Number]]&gt;=3,1,0)</f>
        <v>0</v>
      </c>
      <c r="O6609" s="2">
        <f>IF(LeadsData[[#This Row],[Stage Number]]&gt;=4,1,0)</f>
        <v>0</v>
      </c>
    </row>
    <row r="6610" spans="1:15" x14ac:dyDescent="0.25">
      <c r="A6610" t="s">
        <v>6650</v>
      </c>
      <c r="B6610" s="1">
        <v>45446</v>
      </c>
      <c r="C6610" t="s">
        <v>17</v>
      </c>
      <c r="D6610" t="s">
        <v>18</v>
      </c>
      <c r="E6610" t="s">
        <v>13</v>
      </c>
      <c r="F6610" t="s">
        <v>19</v>
      </c>
      <c r="G6610" t="s">
        <v>15</v>
      </c>
      <c r="K6610" cm="1">
        <f t="array" ref="K6610">_xlfn.SWITCH(LeadsData[[#This Row],[Funnel Stage Reached]],"Lead",1,"MQL",2,"SQL",3,"Customer",4)</f>
        <v>1</v>
      </c>
      <c r="L6610" t="str">
        <f>TEXT(LeadsData[[#This Row],[Signup Date]],"mmm-yyyy")</f>
        <v>Jun-2024</v>
      </c>
      <c r="M6610">
        <f>IF(LeadsData[[#This Row],[Stage Number]]&gt;=2,1,0)</f>
        <v>0</v>
      </c>
      <c r="N6610" s="2">
        <f>IF(LeadsData[[#This Row],[Stage Number]]&gt;=3,1,0)</f>
        <v>0</v>
      </c>
      <c r="O6610" s="2">
        <f>IF(LeadsData[[#This Row],[Stage Number]]&gt;=4,1,0)</f>
        <v>0</v>
      </c>
    </row>
    <row r="6611" spans="1:15" x14ac:dyDescent="0.25">
      <c r="A6611" t="s">
        <v>6651</v>
      </c>
      <c r="B6611" s="1">
        <v>45448</v>
      </c>
      <c r="C6611" t="s">
        <v>46</v>
      </c>
      <c r="D6611" t="s">
        <v>47</v>
      </c>
      <c r="E6611" t="s">
        <v>13</v>
      </c>
      <c r="F6611" t="s">
        <v>19</v>
      </c>
      <c r="G6611" t="s">
        <v>42</v>
      </c>
      <c r="H6611">
        <v>8</v>
      </c>
      <c r="I6611" t="s">
        <v>43</v>
      </c>
      <c r="J6611">
        <v>841.36</v>
      </c>
      <c r="K6611" cm="1">
        <f t="array" ref="K6611">_xlfn.SWITCH(LeadsData[[#This Row],[Funnel Stage Reached]],"Lead",1,"MQL",2,"SQL",3,"Customer",4)</f>
        <v>4</v>
      </c>
      <c r="L6611" t="str">
        <f>TEXT(LeadsData[[#This Row],[Signup Date]],"mmm-yyyy")</f>
        <v>Jun-2024</v>
      </c>
      <c r="M6611">
        <f>IF(LeadsData[[#This Row],[Stage Number]]&gt;=2,1,0)</f>
        <v>1</v>
      </c>
      <c r="N6611" s="2">
        <f>IF(LeadsData[[#This Row],[Stage Number]]&gt;=3,1,0)</f>
        <v>1</v>
      </c>
      <c r="O6611" s="2">
        <f>IF(LeadsData[[#This Row],[Stage Number]]&gt;=4,1,0)</f>
        <v>1</v>
      </c>
    </row>
    <row r="6612" spans="1:15" x14ac:dyDescent="0.25">
      <c r="A6612" t="s">
        <v>6652</v>
      </c>
      <c r="B6612" s="1">
        <v>45624</v>
      </c>
      <c r="C6612" t="s">
        <v>36</v>
      </c>
      <c r="D6612" t="s">
        <v>50</v>
      </c>
      <c r="E6612" t="s">
        <v>13</v>
      </c>
      <c r="F6612" t="s">
        <v>28</v>
      </c>
      <c r="G6612" t="s">
        <v>23</v>
      </c>
      <c r="K6612" cm="1">
        <f t="array" ref="K6612">_xlfn.SWITCH(LeadsData[[#This Row],[Funnel Stage Reached]],"Lead",1,"MQL",2,"SQL",3,"Customer",4)</f>
        <v>2</v>
      </c>
      <c r="L6612" t="str">
        <f>TEXT(LeadsData[[#This Row],[Signup Date]],"mmm-yyyy")</f>
        <v>Nov-2024</v>
      </c>
      <c r="M6612">
        <f>IF(LeadsData[[#This Row],[Stage Number]]&gt;=2,1,0)</f>
        <v>1</v>
      </c>
      <c r="N6612" s="2">
        <f>IF(LeadsData[[#This Row],[Stage Number]]&gt;=3,1,0)</f>
        <v>0</v>
      </c>
      <c r="O6612" s="2">
        <f>IF(LeadsData[[#This Row],[Stage Number]]&gt;=4,1,0)</f>
        <v>0</v>
      </c>
    </row>
    <row r="6613" spans="1:15" x14ac:dyDescent="0.25">
      <c r="A6613" t="s">
        <v>6653</v>
      </c>
      <c r="B6613" s="1">
        <v>45497</v>
      </c>
      <c r="C6613" t="s">
        <v>17</v>
      </c>
      <c r="D6613" t="s">
        <v>18</v>
      </c>
      <c r="E6613" t="s">
        <v>13</v>
      </c>
      <c r="F6613" t="s">
        <v>28</v>
      </c>
      <c r="G6613" t="s">
        <v>15</v>
      </c>
      <c r="K6613" cm="1">
        <f t="array" ref="K6613">_xlfn.SWITCH(LeadsData[[#This Row],[Funnel Stage Reached]],"Lead",1,"MQL",2,"SQL",3,"Customer",4)</f>
        <v>1</v>
      </c>
      <c r="L6613" t="str">
        <f>TEXT(LeadsData[[#This Row],[Signup Date]],"mmm-yyyy")</f>
        <v>Jul-2024</v>
      </c>
      <c r="M6613">
        <f>IF(LeadsData[[#This Row],[Stage Number]]&gt;=2,1,0)</f>
        <v>0</v>
      </c>
      <c r="N6613" s="2">
        <f>IF(LeadsData[[#This Row],[Stage Number]]&gt;=3,1,0)</f>
        <v>0</v>
      </c>
      <c r="O6613" s="2">
        <f>IF(LeadsData[[#This Row],[Stage Number]]&gt;=4,1,0)</f>
        <v>0</v>
      </c>
    </row>
    <row r="6614" spans="1:15" x14ac:dyDescent="0.25">
      <c r="A6614" t="s">
        <v>6654</v>
      </c>
      <c r="B6614" s="1">
        <v>45488</v>
      </c>
      <c r="C6614" t="s">
        <v>31</v>
      </c>
      <c r="D6614" t="s">
        <v>32</v>
      </c>
      <c r="E6614" t="s">
        <v>21</v>
      </c>
      <c r="F6614" t="s">
        <v>19</v>
      </c>
      <c r="G6614" t="s">
        <v>15</v>
      </c>
      <c r="K6614" cm="1">
        <f t="array" ref="K6614">_xlfn.SWITCH(LeadsData[[#This Row],[Funnel Stage Reached]],"Lead",1,"MQL",2,"SQL",3,"Customer",4)</f>
        <v>1</v>
      </c>
      <c r="L6614" t="str">
        <f>TEXT(LeadsData[[#This Row],[Signup Date]],"mmm-yyyy")</f>
        <v>Jul-2024</v>
      </c>
      <c r="M6614">
        <f>IF(LeadsData[[#This Row],[Stage Number]]&gt;=2,1,0)</f>
        <v>0</v>
      </c>
      <c r="N6614" s="2">
        <f>IF(LeadsData[[#This Row],[Stage Number]]&gt;=3,1,0)</f>
        <v>0</v>
      </c>
      <c r="O6614" s="2">
        <f>IF(LeadsData[[#This Row],[Stage Number]]&gt;=4,1,0)</f>
        <v>0</v>
      </c>
    </row>
    <row r="6615" spans="1:15" x14ac:dyDescent="0.25">
      <c r="A6615" t="s">
        <v>6655</v>
      </c>
      <c r="B6615" s="1">
        <v>45400</v>
      </c>
      <c r="C6615" t="s">
        <v>11</v>
      </c>
      <c r="D6615" t="s">
        <v>79</v>
      </c>
      <c r="E6615" t="s">
        <v>13</v>
      </c>
      <c r="F6615" t="s">
        <v>14</v>
      </c>
      <c r="G6615" t="s">
        <v>23</v>
      </c>
      <c r="K6615" cm="1">
        <f t="array" ref="K6615">_xlfn.SWITCH(LeadsData[[#This Row],[Funnel Stage Reached]],"Lead",1,"MQL",2,"SQL",3,"Customer",4)</f>
        <v>2</v>
      </c>
      <c r="L6615" t="str">
        <f>TEXT(LeadsData[[#This Row],[Signup Date]],"mmm-yyyy")</f>
        <v>Apr-2024</v>
      </c>
      <c r="M6615">
        <f>IF(LeadsData[[#This Row],[Stage Number]]&gt;=2,1,0)</f>
        <v>1</v>
      </c>
      <c r="N6615" s="2">
        <f>IF(LeadsData[[#This Row],[Stage Number]]&gt;=3,1,0)</f>
        <v>0</v>
      </c>
      <c r="O6615" s="2">
        <f>IF(LeadsData[[#This Row],[Stage Number]]&gt;=4,1,0)</f>
        <v>0</v>
      </c>
    </row>
    <row r="6616" spans="1:15" x14ac:dyDescent="0.25">
      <c r="A6616" t="s">
        <v>6656</v>
      </c>
      <c r="B6616" s="1">
        <v>45583</v>
      </c>
      <c r="C6616" t="s">
        <v>25</v>
      </c>
      <c r="D6616" t="s">
        <v>26</v>
      </c>
      <c r="E6616" t="s">
        <v>13</v>
      </c>
      <c r="F6616" t="s">
        <v>22</v>
      </c>
      <c r="G6616" t="s">
        <v>15</v>
      </c>
      <c r="K6616" cm="1">
        <f t="array" ref="K6616">_xlfn.SWITCH(LeadsData[[#This Row],[Funnel Stage Reached]],"Lead",1,"MQL",2,"SQL",3,"Customer",4)</f>
        <v>1</v>
      </c>
      <c r="L6616" t="str">
        <f>TEXT(LeadsData[[#This Row],[Signup Date]],"mmm-yyyy")</f>
        <v>Oct-2024</v>
      </c>
      <c r="M6616">
        <f>IF(LeadsData[[#This Row],[Stage Number]]&gt;=2,1,0)</f>
        <v>0</v>
      </c>
      <c r="N6616" s="2">
        <f>IF(LeadsData[[#This Row],[Stage Number]]&gt;=3,1,0)</f>
        <v>0</v>
      </c>
      <c r="O6616" s="2">
        <f>IF(LeadsData[[#This Row],[Stage Number]]&gt;=4,1,0)</f>
        <v>0</v>
      </c>
    </row>
    <row r="6617" spans="1:15" x14ac:dyDescent="0.25">
      <c r="A6617" t="s">
        <v>6657</v>
      </c>
      <c r="B6617" s="1">
        <v>45377</v>
      </c>
      <c r="C6617" t="s">
        <v>17</v>
      </c>
      <c r="D6617" t="s">
        <v>18</v>
      </c>
      <c r="E6617" t="s">
        <v>13</v>
      </c>
      <c r="F6617" t="s">
        <v>14</v>
      </c>
      <c r="G6617" t="s">
        <v>23</v>
      </c>
      <c r="K6617" cm="1">
        <f t="array" ref="K6617">_xlfn.SWITCH(LeadsData[[#This Row],[Funnel Stage Reached]],"Lead",1,"MQL",2,"SQL",3,"Customer",4)</f>
        <v>2</v>
      </c>
      <c r="L6617" t="str">
        <f>TEXT(LeadsData[[#This Row],[Signup Date]],"mmm-yyyy")</f>
        <v>Mar-2024</v>
      </c>
      <c r="M6617">
        <f>IF(LeadsData[[#This Row],[Stage Number]]&gt;=2,1,0)</f>
        <v>1</v>
      </c>
      <c r="N6617" s="2">
        <f>IF(LeadsData[[#This Row],[Stage Number]]&gt;=3,1,0)</f>
        <v>0</v>
      </c>
      <c r="O6617" s="2">
        <f>IF(LeadsData[[#This Row],[Stage Number]]&gt;=4,1,0)</f>
        <v>0</v>
      </c>
    </row>
    <row r="6618" spans="1:15" x14ac:dyDescent="0.25">
      <c r="A6618" t="s">
        <v>6658</v>
      </c>
      <c r="B6618" s="1">
        <v>45568</v>
      </c>
      <c r="C6618" t="s">
        <v>46</v>
      </c>
      <c r="D6618" t="s">
        <v>47</v>
      </c>
      <c r="E6618" t="s">
        <v>21</v>
      </c>
      <c r="F6618" t="s">
        <v>14</v>
      </c>
      <c r="G6618" t="s">
        <v>15</v>
      </c>
      <c r="K6618" cm="1">
        <f t="array" ref="K6618">_xlfn.SWITCH(LeadsData[[#This Row],[Funnel Stage Reached]],"Lead",1,"MQL",2,"SQL",3,"Customer",4)</f>
        <v>1</v>
      </c>
      <c r="L6618" t="str">
        <f>TEXT(LeadsData[[#This Row],[Signup Date]],"mmm-yyyy")</f>
        <v>Oct-2024</v>
      </c>
      <c r="M6618">
        <f>IF(LeadsData[[#This Row],[Stage Number]]&gt;=2,1,0)</f>
        <v>0</v>
      </c>
      <c r="N6618" s="2">
        <f>IF(LeadsData[[#This Row],[Stage Number]]&gt;=3,1,0)</f>
        <v>0</v>
      </c>
      <c r="O6618" s="2">
        <f>IF(LeadsData[[#This Row],[Stage Number]]&gt;=4,1,0)</f>
        <v>0</v>
      </c>
    </row>
    <row r="6619" spans="1:15" x14ac:dyDescent="0.25">
      <c r="A6619" t="s">
        <v>6659</v>
      </c>
      <c r="B6619" s="1">
        <v>45496</v>
      </c>
      <c r="C6619" t="s">
        <v>11</v>
      </c>
      <c r="D6619" t="s">
        <v>68</v>
      </c>
      <c r="E6619" t="s">
        <v>48</v>
      </c>
      <c r="F6619" t="s">
        <v>22</v>
      </c>
      <c r="G6619" t="s">
        <v>23</v>
      </c>
      <c r="K6619" cm="1">
        <f t="array" ref="K6619">_xlfn.SWITCH(LeadsData[[#This Row],[Funnel Stage Reached]],"Lead",1,"MQL",2,"SQL",3,"Customer",4)</f>
        <v>2</v>
      </c>
      <c r="L6619" t="str">
        <f>TEXT(LeadsData[[#This Row],[Signup Date]],"mmm-yyyy")</f>
        <v>Jul-2024</v>
      </c>
      <c r="M6619">
        <f>IF(LeadsData[[#This Row],[Stage Number]]&gt;=2,1,0)</f>
        <v>1</v>
      </c>
      <c r="N6619" s="2">
        <f>IF(LeadsData[[#This Row],[Stage Number]]&gt;=3,1,0)</f>
        <v>0</v>
      </c>
      <c r="O6619" s="2">
        <f>IF(LeadsData[[#This Row],[Stage Number]]&gt;=4,1,0)</f>
        <v>0</v>
      </c>
    </row>
    <row r="6620" spans="1:15" x14ac:dyDescent="0.25">
      <c r="A6620" t="s">
        <v>6660</v>
      </c>
      <c r="B6620" s="1">
        <v>45405</v>
      </c>
      <c r="C6620" t="s">
        <v>11</v>
      </c>
      <c r="D6620" t="s">
        <v>79</v>
      </c>
      <c r="E6620" t="s">
        <v>48</v>
      </c>
      <c r="F6620" t="s">
        <v>19</v>
      </c>
      <c r="G6620" t="s">
        <v>15</v>
      </c>
      <c r="K6620" cm="1">
        <f t="array" ref="K6620">_xlfn.SWITCH(LeadsData[[#This Row],[Funnel Stage Reached]],"Lead",1,"MQL",2,"SQL",3,"Customer",4)</f>
        <v>1</v>
      </c>
      <c r="L6620" t="str">
        <f>TEXT(LeadsData[[#This Row],[Signup Date]],"mmm-yyyy")</f>
        <v>Apr-2024</v>
      </c>
      <c r="M6620">
        <f>IF(LeadsData[[#This Row],[Stage Number]]&gt;=2,1,0)</f>
        <v>0</v>
      </c>
      <c r="N6620" s="2">
        <f>IF(LeadsData[[#This Row],[Stage Number]]&gt;=3,1,0)</f>
        <v>0</v>
      </c>
      <c r="O6620" s="2">
        <f>IF(LeadsData[[#This Row],[Stage Number]]&gt;=4,1,0)</f>
        <v>0</v>
      </c>
    </row>
    <row r="6621" spans="1:15" x14ac:dyDescent="0.25">
      <c r="A6621" t="s">
        <v>6661</v>
      </c>
      <c r="B6621" s="1">
        <v>45649</v>
      </c>
      <c r="C6621" t="s">
        <v>11</v>
      </c>
      <c r="D6621" t="s">
        <v>79</v>
      </c>
      <c r="E6621" t="s">
        <v>13</v>
      </c>
      <c r="F6621" t="s">
        <v>19</v>
      </c>
      <c r="G6621" t="s">
        <v>15</v>
      </c>
      <c r="K6621" cm="1">
        <f t="array" ref="K6621">_xlfn.SWITCH(LeadsData[[#This Row],[Funnel Stage Reached]],"Lead",1,"MQL",2,"SQL",3,"Customer",4)</f>
        <v>1</v>
      </c>
      <c r="L6621" t="str">
        <f>TEXT(LeadsData[[#This Row],[Signup Date]],"mmm-yyyy")</f>
        <v>Dec-2024</v>
      </c>
      <c r="M6621">
        <f>IF(LeadsData[[#This Row],[Stage Number]]&gt;=2,1,0)</f>
        <v>0</v>
      </c>
      <c r="N6621" s="2">
        <f>IF(LeadsData[[#This Row],[Stage Number]]&gt;=3,1,0)</f>
        <v>0</v>
      </c>
      <c r="O6621" s="2">
        <f>IF(LeadsData[[#This Row],[Stage Number]]&gt;=4,1,0)</f>
        <v>0</v>
      </c>
    </row>
    <row r="6622" spans="1:15" x14ac:dyDescent="0.25">
      <c r="A6622" t="s">
        <v>6662</v>
      </c>
      <c r="B6622" s="1">
        <v>45389</v>
      </c>
      <c r="C6622" t="s">
        <v>31</v>
      </c>
      <c r="D6622" t="s">
        <v>34</v>
      </c>
      <c r="E6622" t="s">
        <v>13</v>
      </c>
      <c r="F6622" t="s">
        <v>19</v>
      </c>
      <c r="G6622" t="s">
        <v>29</v>
      </c>
      <c r="K6622" cm="1">
        <f t="array" ref="K6622">_xlfn.SWITCH(LeadsData[[#This Row],[Funnel Stage Reached]],"Lead",1,"MQL",2,"SQL",3,"Customer",4)</f>
        <v>3</v>
      </c>
      <c r="L6622" t="str">
        <f>TEXT(LeadsData[[#This Row],[Signup Date]],"mmm-yyyy")</f>
        <v>Apr-2024</v>
      </c>
      <c r="M6622">
        <f>IF(LeadsData[[#This Row],[Stage Number]]&gt;=2,1,0)</f>
        <v>1</v>
      </c>
      <c r="N6622" s="2">
        <f>IF(LeadsData[[#This Row],[Stage Number]]&gt;=3,1,0)</f>
        <v>1</v>
      </c>
      <c r="O6622" s="2">
        <f>IF(LeadsData[[#This Row],[Stage Number]]&gt;=4,1,0)</f>
        <v>0</v>
      </c>
    </row>
    <row r="6623" spans="1:15" x14ac:dyDescent="0.25">
      <c r="A6623" t="s">
        <v>6663</v>
      </c>
      <c r="B6623" s="1">
        <v>45619</v>
      </c>
      <c r="C6623" t="s">
        <v>25</v>
      </c>
      <c r="D6623" t="s">
        <v>26</v>
      </c>
      <c r="E6623" t="s">
        <v>21</v>
      </c>
      <c r="F6623" t="s">
        <v>14</v>
      </c>
      <c r="G6623" t="s">
        <v>15</v>
      </c>
      <c r="K6623" cm="1">
        <f t="array" ref="K6623">_xlfn.SWITCH(LeadsData[[#This Row],[Funnel Stage Reached]],"Lead",1,"MQL",2,"SQL",3,"Customer",4)</f>
        <v>1</v>
      </c>
      <c r="L6623" t="str">
        <f>TEXT(LeadsData[[#This Row],[Signup Date]],"mmm-yyyy")</f>
        <v>Nov-2024</v>
      </c>
      <c r="M6623">
        <f>IF(LeadsData[[#This Row],[Stage Number]]&gt;=2,1,0)</f>
        <v>0</v>
      </c>
      <c r="N6623" s="2">
        <f>IF(LeadsData[[#This Row],[Stage Number]]&gt;=3,1,0)</f>
        <v>0</v>
      </c>
      <c r="O6623" s="2">
        <f>IF(LeadsData[[#This Row],[Stage Number]]&gt;=4,1,0)</f>
        <v>0</v>
      </c>
    </row>
    <row r="6624" spans="1:15" x14ac:dyDescent="0.25">
      <c r="A6624" t="s">
        <v>6664</v>
      </c>
      <c r="B6624" s="1">
        <v>45545</v>
      </c>
      <c r="C6624" t="s">
        <v>17</v>
      </c>
      <c r="D6624" t="s">
        <v>18</v>
      </c>
      <c r="E6624" t="s">
        <v>21</v>
      </c>
      <c r="F6624" t="s">
        <v>19</v>
      </c>
      <c r="G6624" t="s">
        <v>15</v>
      </c>
      <c r="K6624" cm="1">
        <f t="array" ref="K6624">_xlfn.SWITCH(LeadsData[[#This Row],[Funnel Stage Reached]],"Lead",1,"MQL",2,"SQL",3,"Customer",4)</f>
        <v>1</v>
      </c>
      <c r="L6624" t="str">
        <f>TEXT(LeadsData[[#This Row],[Signup Date]],"mmm-yyyy")</f>
        <v>Sep-2024</v>
      </c>
      <c r="M6624">
        <f>IF(LeadsData[[#This Row],[Stage Number]]&gt;=2,1,0)</f>
        <v>0</v>
      </c>
      <c r="N6624" s="2">
        <f>IF(LeadsData[[#This Row],[Stage Number]]&gt;=3,1,0)</f>
        <v>0</v>
      </c>
      <c r="O6624" s="2">
        <f>IF(LeadsData[[#This Row],[Stage Number]]&gt;=4,1,0)</f>
        <v>0</v>
      </c>
    </row>
    <row r="6625" spans="1:15" x14ac:dyDescent="0.25">
      <c r="A6625" t="s">
        <v>6665</v>
      </c>
      <c r="B6625" s="1">
        <v>45576</v>
      </c>
      <c r="C6625" t="s">
        <v>31</v>
      </c>
      <c r="D6625" t="s">
        <v>34</v>
      </c>
      <c r="E6625" t="s">
        <v>13</v>
      </c>
      <c r="F6625" t="s">
        <v>22</v>
      </c>
      <c r="G6625" t="s">
        <v>15</v>
      </c>
      <c r="K6625" cm="1">
        <f t="array" ref="K6625">_xlfn.SWITCH(LeadsData[[#This Row],[Funnel Stage Reached]],"Lead",1,"MQL",2,"SQL",3,"Customer",4)</f>
        <v>1</v>
      </c>
      <c r="L6625" t="str">
        <f>TEXT(LeadsData[[#This Row],[Signup Date]],"mmm-yyyy")</f>
        <v>Oct-2024</v>
      </c>
      <c r="M6625">
        <f>IF(LeadsData[[#This Row],[Stage Number]]&gt;=2,1,0)</f>
        <v>0</v>
      </c>
      <c r="N6625" s="2">
        <f>IF(LeadsData[[#This Row],[Stage Number]]&gt;=3,1,0)</f>
        <v>0</v>
      </c>
      <c r="O6625" s="2">
        <f>IF(LeadsData[[#This Row],[Stage Number]]&gt;=4,1,0)</f>
        <v>0</v>
      </c>
    </row>
    <row r="6626" spans="1:15" x14ac:dyDescent="0.25">
      <c r="A6626" t="s">
        <v>6666</v>
      </c>
      <c r="B6626" s="1">
        <v>45333</v>
      </c>
      <c r="C6626" t="s">
        <v>46</v>
      </c>
      <c r="D6626" t="s">
        <v>56</v>
      </c>
      <c r="E6626" t="s">
        <v>13</v>
      </c>
      <c r="F6626" t="s">
        <v>14</v>
      </c>
      <c r="G6626" t="s">
        <v>23</v>
      </c>
      <c r="K6626" cm="1">
        <f t="array" ref="K6626">_xlfn.SWITCH(LeadsData[[#This Row],[Funnel Stage Reached]],"Lead",1,"MQL",2,"SQL",3,"Customer",4)</f>
        <v>2</v>
      </c>
      <c r="L6626" t="str">
        <f>TEXT(LeadsData[[#This Row],[Signup Date]],"mmm-yyyy")</f>
        <v>Feb-2024</v>
      </c>
      <c r="M6626">
        <f>IF(LeadsData[[#This Row],[Stage Number]]&gt;=2,1,0)</f>
        <v>1</v>
      </c>
      <c r="N6626" s="2">
        <f>IF(LeadsData[[#This Row],[Stage Number]]&gt;=3,1,0)</f>
        <v>0</v>
      </c>
      <c r="O6626" s="2">
        <f>IF(LeadsData[[#This Row],[Stage Number]]&gt;=4,1,0)</f>
        <v>0</v>
      </c>
    </row>
    <row r="6627" spans="1:15" x14ac:dyDescent="0.25">
      <c r="A6627" t="s">
        <v>6667</v>
      </c>
      <c r="B6627" s="1">
        <v>45456</v>
      </c>
      <c r="C6627" t="s">
        <v>11</v>
      </c>
      <c r="D6627" t="s">
        <v>79</v>
      </c>
      <c r="E6627" t="s">
        <v>13</v>
      </c>
      <c r="F6627" t="s">
        <v>14</v>
      </c>
      <c r="G6627" t="s">
        <v>15</v>
      </c>
      <c r="K6627" cm="1">
        <f t="array" ref="K6627">_xlfn.SWITCH(LeadsData[[#This Row],[Funnel Stage Reached]],"Lead",1,"MQL",2,"SQL",3,"Customer",4)</f>
        <v>1</v>
      </c>
      <c r="L6627" t="str">
        <f>TEXT(LeadsData[[#This Row],[Signup Date]],"mmm-yyyy")</f>
        <v>Jun-2024</v>
      </c>
      <c r="M6627">
        <f>IF(LeadsData[[#This Row],[Stage Number]]&gt;=2,1,0)</f>
        <v>0</v>
      </c>
      <c r="N6627" s="2">
        <f>IF(LeadsData[[#This Row],[Stage Number]]&gt;=3,1,0)</f>
        <v>0</v>
      </c>
      <c r="O6627" s="2">
        <f>IF(LeadsData[[#This Row],[Stage Number]]&gt;=4,1,0)</f>
        <v>0</v>
      </c>
    </row>
    <row r="6628" spans="1:15" x14ac:dyDescent="0.25">
      <c r="A6628" t="s">
        <v>6668</v>
      </c>
      <c r="B6628" s="1">
        <v>45326</v>
      </c>
      <c r="C6628" t="s">
        <v>36</v>
      </c>
      <c r="D6628" t="s">
        <v>37</v>
      </c>
      <c r="E6628" t="s">
        <v>13</v>
      </c>
      <c r="F6628" t="s">
        <v>22</v>
      </c>
      <c r="G6628" t="s">
        <v>29</v>
      </c>
      <c r="K6628" cm="1">
        <f t="array" ref="K6628">_xlfn.SWITCH(LeadsData[[#This Row],[Funnel Stage Reached]],"Lead",1,"MQL",2,"SQL",3,"Customer",4)</f>
        <v>3</v>
      </c>
      <c r="L6628" t="str">
        <f>TEXT(LeadsData[[#This Row],[Signup Date]],"mmm-yyyy")</f>
        <v>Feb-2024</v>
      </c>
      <c r="M6628">
        <f>IF(LeadsData[[#This Row],[Stage Number]]&gt;=2,1,0)</f>
        <v>1</v>
      </c>
      <c r="N6628" s="2">
        <f>IF(LeadsData[[#This Row],[Stage Number]]&gt;=3,1,0)</f>
        <v>1</v>
      </c>
      <c r="O6628" s="2">
        <f>IF(LeadsData[[#This Row],[Stage Number]]&gt;=4,1,0)</f>
        <v>0</v>
      </c>
    </row>
    <row r="6629" spans="1:15" x14ac:dyDescent="0.25">
      <c r="A6629" t="s">
        <v>6669</v>
      </c>
      <c r="B6629" s="1">
        <v>45393</v>
      </c>
      <c r="C6629" t="s">
        <v>46</v>
      </c>
      <c r="D6629" t="s">
        <v>47</v>
      </c>
      <c r="E6629" t="s">
        <v>48</v>
      </c>
      <c r="F6629" t="s">
        <v>14</v>
      </c>
      <c r="G6629" t="s">
        <v>15</v>
      </c>
      <c r="K6629" cm="1">
        <f t="array" ref="K6629">_xlfn.SWITCH(LeadsData[[#This Row],[Funnel Stage Reached]],"Lead",1,"MQL",2,"SQL",3,"Customer",4)</f>
        <v>1</v>
      </c>
      <c r="L6629" t="str">
        <f>TEXT(LeadsData[[#This Row],[Signup Date]],"mmm-yyyy")</f>
        <v>Apr-2024</v>
      </c>
      <c r="M6629">
        <f>IF(LeadsData[[#This Row],[Stage Number]]&gt;=2,1,0)</f>
        <v>0</v>
      </c>
      <c r="N6629" s="2">
        <f>IF(LeadsData[[#This Row],[Stage Number]]&gt;=3,1,0)</f>
        <v>0</v>
      </c>
      <c r="O6629" s="2">
        <f>IF(LeadsData[[#This Row],[Stage Number]]&gt;=4,1,0)</f>
        <v>0</v>
      </c>
    </row>
    <row r="6630" spans="1:15" x14ac:dyDescent="0.25">
      <c r="A6630" t="s">
        <v>6670</v>
      </c>
      <c r="B6630" s="1">
        <v>45622</v>
      </c>
      <c r="C6630" t="s">
        <v>36</v>
      </c>
      <c r="D6630" t="s">
        <v>50</v>
      </c>
      <c r="E6630" t="s">
        <v>13</v>
      </c>
      <c r="F6630" t="s">
        <v>22</v>
      </c>
      <c r="G6630" t="s">
        <v>23</v>
      </c>
      <c r="K6630" cm="1">
        <f t="array" ref="K6630">_xlfn.SWITCH(LeadsData[[#This Row],[Funnel Stage Reached]],"Lead",1,"MQL",2,"SQL",3,"Customer",4)</f>
        <v>2</v>
      </c>
      <c r="L6630" t="str">
        <f>TEXT(LeadsData[[#This Row],[Signup Date]],"mmm-yyyy")</f>
        <v>Nov-2024</v>
      </c>
      <c r="M6630">
        <f>IF(LeadsData[[#This Row],[Stage Number]]&gt;=2,1,0)</f>
        <v>1</v>
      </c>
      <c r="N6630" s="2">
        <f>IF(LeadsData[[#This Row],[Stage Number]]&gt;=3,1,0)</f>
        <v>0</v>
      </c>
      <c r="O6630" s="2">
        <f>IF(LeadsData[[#This Row],[Stage Number]]&gt;=4,1,0)</f>
        <v>0</v>
      </c>
    </row>
    <row r="6631" spans="1:15" x14ac:dyDescent="0.25">
      <c r="A6631" t="s">
        <v>6671</v>
      </c>
      <c r="B6631" s="1">
        <v>45575</v>
      </c>
      <c r="C6631" t="s">
        <v>36</v>
      </c>
      <c r="D6631" t="s">
        <v>50</v>
      </c>
      <c r="E6631" t="s">
        <v>13</v>
      </c>
      <c r="F6631" t="s">
        <v>22</v>
      </c>
      <c r="G6631" t="s">
        <v>15</v>
      </c>
      <c r="K6631" cm="1">
        <f t="array" ref="K6631">_xlfn.SWITCH(LeadsData[[#This Row],[Funnel Stage Reached]],"Lead",1,"MQL",2,"SQL",3,"Customer",4)</f>
        <v>1</v>
      </c>
      <c r="L6631" t="str">
        <f>TEXT(LeadsData[[#This Row],[Signup Date]],"mmm-yyyy")</f>
        <v>Oct-2024</v>
      </c>
      <c r="M6631">
        <f>IF(LeadsData[[#This Row],[Stage Number]]&gt;=2,1,0)</f>
        <v>0</v>
      </c>
      <c r="N6631" s="2">
        <f>IF(LeadsData[[#This Row],[Stage Number]]&gt;=3,1,0)</f>
        <v>0</v>
      </c>
      <c r="O6631" s="2">
        <f>IF(LeadsData[[#This Row],[Stage Number]]&gt;=4,1,0)</f>
        <v>0</v>
      </c>
    </row>
    <row r="6632" spans="1:15" x14ac:dyDescent="0.25">
      <c r="A6632" t="s">
        <v>6672</v>
      </c>
      <c r="B6632" s="1">
        <v>45301</v>
      </c>
      <c r="C6632" t="s">
        <v>11</v>
      </c>
      <c r="D6632" t="s">
        <v>12</v>
      </c>
      <c r="E6632" t="s">
        <v>13</v>
      </c>
      <c r="F6632" t="s">
        <v>19</v>
      </c>
      <c r="G6632" t="s">
        <v>15</v>
      </c>
      <c r="K6632" cm="1">
        <f t="array" ref="K6632">_xlfn.SWITCH(LeadsData[[#This Row],[Funnel Stage Reached]],"Lead",1,"MQL",2,"SQL",3,"Customer",4)</f>
        <v>1</v>
      </c>
      <c r="L6632" t="str">
        <f>TEXT(LeadsData[[#This Row],[Signup Date]],"mmm-yyyy")</f>
        <v>Jan-2024</v>
      </c>
      <c r="M6632">
        <f>IF(LeadsData[[#This Row],[Stage Number]]&gt;=2,1,0)</f>
        <v>0</v>
      </c>
      <c r="N6632" s="2">
        <f>IF(LeadsData[[#This Row],[Stage Number]]&gt;=3,1,0)</f>
        <v>0</v>
      </c>
      <c r="O6632" s="2">
        <f>IF(LeadsData[[#This Row],[Stage Number]]&gt;=4,1,0)</f>
        <v>0</v>
      </c>
    </row>
    <row r="6633" spans="1:15" x14ac:dyDescent="0.25">
      <c r="A6633" t="s">
        <v>6673</v>
      </c>
      <c r="B6633" s="1">
        <v>45559</v>
      </c>
      <c r="C6633" t="s">
        <v>36</v>
      </c>
      <c r="D6633" t="s">
        <v>37</v>
      </c>
      <c r="E6633" t="s">
        <v>13</v>
      </c>
      <c r="F6633" t="s">
        <v>19</v>
      </c>
      <c r="G6633" t="s">
        <v>23</v>
      </c>
      <c r="K6633" cm="1">
        <f t="array" ref="K6633">_xlfn.SWITCH(LeadsData[[#This Row],[Funnel Stage Reached]],"Lead",1,"MQL",2,"SQL",3,"Customer",4)</f>
        <v>2</v>
      </c>
      <c r="L6633" t="str">
        <f>TEXT(LeadsData[[#This Row],[Signup Date]],"mmm-yyyy")</f>
        <v>Sep-2024</v>
      </c>
      <c r="M6633">
        <f>IF(LeadsData[[#This Row],[Stage Number]]&gt;=2,1,0)</f>
        <v>1</v>
      </c>
      <c r="N6633" s="2">
        <f>IF(LeadsData[[#This Row],[Stage Number]]&gt;=3,1,0)</f>
        <v>0</v>
      </c>
      <c r="O6633" s="2">
        <f>IF(LeadsData[[#This Row],[Stage Number]]&gt;=4,1,0)</f>
        <v>0</v>
      </c>
    </row>
    <row r="6634" spans="1:15" x14ac:dyDescent="0.25">
      <c r="A6634" t="s">
        <v>6674</v>
      </c>
      <c r="B6634" s="1">
        <v>45350</v>
      </c>
      <c r="C6634" t="s">
        <v>36</v>
      </c>
      <c r="D6634" t="s">
        <v>50</v>
      </c>
      <c r="E6634" t="s">
        <v>13</v>
      </c>
      <c r="F6634" t="s">
        <v>22</v>
      </c>
      <c r="G6634" t="s">
        <v>29</v>
      </c>
      <c r="K6634" cm="1">
        <f t="array" ref="K6634">_xlfn.SWITCH(LeadsData[[#This Row],[Funnel Stage Reached]],"Lead",1,"MQL",2,"SQL",3,"Customer",4)</f>
        <v>3</v>
      </c>
      <c r="L6634" t="str">
        <f>TEXT(LeadsData[[#This Row],[Signup Date]],"mmm-yyyy")</f>
        <v>Feb-2024</v>
      </c>
      <c r="M6634">
        <f>IF(LeadsData[[#This Row],[Stage Number]]&gt;=2,1,0)</f>
        <v>1</v>
      </c>
      <c r="N6634" s="2">
        <f>IF(LeadsData[[#This Row],[Stage Number]]&gt;=3,1,0)</f>
        <v>1</v>
      </c>
      <c r="O6634" s="2">
        <f>IF(LeadsData[[#This Row],[Stage Number]]&gt;=4,1,0)</f>
        <v>0</v>
      </c>
    </row>
    <row r="6635" spans="1:15" x14ac:dyDescent="0.25">
      <c r="A6635" t="s">
        <v>6675</v>
      </c>
      <c r="B6635" s="1">
        <v>45546</v>
      </c>
      <c r="C6635" t="s">
        <v>36</v>
      </c>
      <c r="D6635" t="s">
        <v>50</v>
      </c>
      <c r="E6635" t="s">
        <v>13</v>
      </c>
      <c r="F6635" t="s">
        <v>22</v>
      </c>
      <c r="G6635" t="s">
        <v>29</v>
      </c>
      <c r="K6635" cm="1">
        <f t="array" ref="K6635">_xlfn.SWITCH(LeadsData[[#This Row],[Funnel Stage Reached]],"Lead",1,"MQL",2,"SQL",3,"Customer",4)</f>
        <v>3</v>
      </c>
      <c r="L6635" t="str">
        <f>TEXT(LeadsData[[#This Row],[Signup Date]],"mmm-yyyy")</f>
        <v>Sep-2024</v>
      </c>
      <c r="M6635">
        <f>IF(LeadsData[[#This Row],[Stage Number]]&gt;=2,1,0)</f>
        <v>1</v>
      </c>
      <c r="N6635" s="2">
        <f>IF(LeadsData[[#This Row],[Stage Number]]&gt;=3,1,0)</f>
        <v>1</v>
      </c>
      <c r="O6635" s="2">
        <f>IF(LeadsData[[#This Row],[Stage Number]]&gt;=4,1,0)</f>
        <v>0</v>
      </c>
    </row>
    <row r="6636" spans="1:15" x14ac:dyDescent="0.25">
      <c r="A6636" t="s">
        <v>6676</v>
      </c>
      <c r="B6636" s="1">
        <v>45345</v>
      </c>
      <c r="C6636" t="s">
        <v>46</v>
      </c>
      <c r="D6636" t="s">
        <v>47</v>
      </c>
      <c r="E6636" t="s">
        <v>48</v>
      </c>
      <c r="F6636" t="s">
        <v>19</v>
      </c>
      <c r="G6636" t="s">
        <v>15</v>
      </c>
      <c r="K6636" cm="1">
        <f t="array" ref="K6636">_xlfn.SWITCH(LeadsData[[#This Row],[Funnel Stage Reached]],"Lead",1,"MQL",2,"SQL",3,"Customer",4)</f>
        <v>1</v>
      </c>
      <c r="L6636" t="str">
        <f>TEXT(LeadsData[[#This Row],[Signup Date]],"mmm-yyyy")</f>
        <v>Feb-2024</v>
      </c>
      <c r="M6636">
        <f>IF(LeadsData[[#This Row],[Stage Number]]&gt;=2,1,0)</f>
        <v>0</v>
      </c>
      <c r="N6636" s="2">
        <f>IF(LeadsData[[#This Row],[Stage Number]]&gt;=3,1,0)</f>
        <v>0</v>
      </c>
      <c r="O6636" s="2">
        <f>IF(LeadsData[[#This Row],[Stage Number]]&gt;=4,1,0)</f>
        <v>0</v>
      </c>
    </row>
    <row r="6637" spans="1:15" x14ac:dyDescent="0.25">
      <c r="A6637" t="s">
        <v>6677</v>
      </c>
      <c r="B6637" s="1">
        <v>45373</v>
      </c>
      <c r="C6637" t="s">
        <v>46</v>
      </c>
      <c r="D6637" t="s">
        <v>56</v>
      </c>
      <c r="E6637" t="s">
        <v>13</v>
      </c>
      <c r="F6637" t="s">
        <v>19</v>
      </c>
      <c r="G6637" t="s">
        <v>15</v>
      </c>
      <c r="K6637" cm="1">
        <f t="array" ref="K6637">_xlfn.SWITCH(LeadsData[[#This Row],[Funnel Stage Reached]],"Lead",1,"MQL",2,"SQL",3,"Customer",4)</f>
        <v>1</v>
      </c>
      <c r="L6637" t="str">
        <f>TEXT(LeadsData[[#This Row],[Signup Date]],"mmm-yyyy")</f>
        <v>Mar-2024</v>
      </c>
      <c r="M6637">
        <f>IF(LeadsData[[#This Row],[Stage Number]]&gt;=2,1,0)</f>
        <v>0</v>
      </c>
      <c r="N6637" s="2">
        <f>IF(LeadsData[[#This Row],[Stage Number]]&gt;=3,1,0)</f>
        <v>0</v>
      </c>
      <c r="O6637" s="2">
        <f>IF(LeadsData[[#This Row],[Stage Number]]&gt;=4,1,0)</f>
        <v>0</v>
      </c>
    </row>
    <row r="6638" spans="1:15" x14ac:dyDescent="0.25">
      <c r="A6638" t="s">
        <v>6678</v>
      </c>
      <c r="B6638" s="1">
        <v>45531</v>
      </c>
      <c r="C6638" t="s">
        <v>31</v>
      </c>
      <c r="D6638" t="s">
        <v>32</v>
      </c>
      <c r="E6638" t="s">
        <v>21</v>
      </c>
      <c r="F6638" t="s">
        <v>14</v>
      </c>
      <c r="G6638" t="s">
        <v>42</v>
      </c>
      <c r="H6638">
        <v>67</v>
      </c>
      <c r="I6638" t="s">
        <v>87</v>
      </c>
      <c r="J6638">
        <v>2361.02</v>
      </c>
      <c r="K6638" cm="1">
        <f t="array" ref="K6638">_xlfn.SWITCH(LeadsData[[#This Row],[Funnel Stage Reached]],"Lead",1,"MQL",2,"SQL",3,"Customer",4)</f>
        <v>4</v>
      </c>
      <c r="L6638" t="str">
        <f>TEXT(LeadsData[[#This Row],[Signup Date]],"mmm-yyyy")</f>
        <v>Aug-2024</v>
      </c>
      <c r="M6638">
        <f>IF(LeadsData[[#This Row],[Stage Number]]&gt;=2,1,0)</f>
        <v>1</v>
      </c>
      <c r="N6638" s="2">
        <f>IF(LeadsData[[#This Row],[Stage Number]]&gt;=3,1,0)</f>
        <v>1</v>
      </c>
      <c r="O6638" s="2">
        <f>IF(LeadsData[[#This Row],[Stage Number]]&gt;=4,1,0)</f>
        <v>1</v>
      </c>
    </row>
    <row r="6639" spans="1:15" x14ac:dyDescent="0.25">
      <c r="A6639" t="s">
        <v>6679</v>
      </c>
      <c r="B6639" s="1">
        <v>45457</v>
      </c>
      <c r="C6639" t="s">
        <v>17</v>
      </c>
      <c r="D6639" t="s">
        <v>18</v>
      </c>
      <c r="E6639" t="s">
        <v>13</v>
      </c>
      <c r="F6639" t="s">
        <v>22</v>
      </c>
      <c r="G6639" t="s">
        <v>15</v>
      </c>
      <c r="K6639" cm="1">
        <f t="array" ref="K6639">_xlfn.SWITCH(LeadsData[[#This Row],[Funnel Stage Reached]],"Lead",1,"MQL",2,"SQL",3,"Customer",4)</f>
        <v>1</v>
      </c>
      <c r="L6639" t="str">
        <f>TEXT(LeadsData[[#This Row],[Signup Date]],"mmm-yyyy")</f>
        <v>Jun-2024</v>
      </c>
      <c r="M6639">
        <f>IF(LeadsData[[#This Row],[Stage Number]]&gt;=2,1,0)</f>
        <v>0</v>
      </c>
      <c r="N6639" s="2">
        <f>IF(LeadsData[[#This Row],[Stage Number]]&gt;=3,1,0)</f>
        <v>0</v>
      </c>
      <c r="O6639" s="2">
        <f>IF(LeadsData[[#This Row],[Stage Number]]&gt;=4,1,0)</f>
        <v>0</v>
      </c>
    </row>
    <row r="6640" spans="1:15" x14ac:dyDescent="0.25">
      <c r="A6640" t="s">
        <v>6680</v>
      </c>
      <c r="B6640" s="1">
        <v>45610</v>
      </c>
      <c r="C6640" t="s">
        <v>17</v>
      </c>
      <c r="D6640" t="s">
        <v>53</v>
      </c>
      <c r="E6640" t="s">
        <v>13</v>
      </c>
      <c r="F6640" t="s">
        <v>19</v>
      </c>
      <c r="G6640" t="s">
        <v>23</v>
      </c>
      <c r="K6640" cm="1">
        <f t="array" ref="K6640">_xlfn.SWITCH(LeadsData[[#This Row],[Funnel Stage Reached]],"Lead",1,"MQL",2,"SQL",3,"Customer",4)</f>
        <v>2</v>
      </c>
      <c r="L6640" t="str">
        <f>TEXT(LeadsData[[#This Row],[Signup Date]],"mmm-yyyy")</f>
        <v>Nov-2024</v>
      </c>
      <c r="M6640">
        <f>IF(LeadsData[[#This Row],[Stage Number]]&gt;=2,1,0)</f>
        <v>1</v>
      </c>
      <c r="N6640" s="2">
        <f>IF(LeadsData[[#This Row],[Stage Number]]&gt;=3,1,0)</f>
        <v>0</v>
      </c>
      <c r="O6640" s="2">
        <f>IF(LeadsData[[#This Row],[Stage Number]]&gt;=4,1,0)</f>
        <v>0</v>
      </c>
    </row>
    <row r="6641" spans="1:15" x14ac:dyDescent="0.25">
      <c r="A6641" t="s">
        <v>6681</v>
      </c>
      <c r="B6641" s="1">
        <v>45582</v>
      </c>
      <c r="C6641" t="s">
        <v>31</v>
      </c>
      <c r="D6641" t="s">
        <v>32</v>
      </c>
      <c r="E6641" t="s">
        <v>13</v>
      </c>
      <c r="F6641" t="s">
        <v>14</v>
      </c>
      <c r="G6641" t="s">
        <v>15</v>
      </c>
      <c r="K6641" cm="1">
        <f t="array" ref="K6641">_xlfn.SWITCH(LeadsData[[#This Row],[Funnel Stage Reached]],"Lead",1,"MQL",2,"SQL",3,"Customer",4)</f>
        <v>1</v>
      </c>
      <c r="L6641" t="str">
        <f>TEXT(LeadsData[[#This Row],[Signup Date]],"mmm-yyyy")</f>
        <v>Oct-2024</v>
      </c>
      <c r="M6641">
        <f>IF(LeadsData[[#This Row],[Stage Number]]&gt;=2,1,0)</f>
        <v>0</v>
      </c>
      <c r="N6641" s="2">
        <f>IF(LeadsData[[#This Row],[Stage Number]]&gt;=3,1,0)</f>
        <v>0</v>
      </c>
      <c r="O6641" s="2">
        <f>IF(LeadsData[[#This Row],[Stage Number]]&gt;=4,1,0)</f>
        <v>0</v>
      </c>
    </row>
    <row r="6642" spans="1:15" x14ac:dyDescent="0.25">
      <c r="A6642" t="s">
        <v>6682</v>
      </c>
      <c r="B6642" s="1">
        <v>45390</v>
      </c>
      <c r="C6642" t="s">
        <v>17</v>
      </c>
      <c r="D6642" t="s">
        <v>53</v>
      </c>
      <c r="E6642" t="s">
        <v>13</v>
      </c>
      <c r="F6642" t="s">
        <v>19</v>
      </c>
      <c r="G6642" t="s">
        <v>15</v>
      </c>
      <c r="K6642" cm="1">
        <f t="array" ref="K6642">_xlfn.SWITCH(LeadsData[[#This Row],[Funnel Stage Reached]],"Lead",1,"MQL",2,"SQL",3,"Customer",4)</f>
        <v>1</v>
      </c>
      <c r="L6642" t="str">
        <f>TEXT(LeadsData[[#This Row],[Signup Date]],"mmm-yyyy")</f>
        <v>Apr-2024</v>
      </c>
      <c r="M6642">
        <f>IF(LeadsData[[#This Row],[Stage Number]]&gt;=2,1,0)</f>
        <v>0</v>
      </c>
      <c r="N6642" s="2">
        <f>IF(LeadsData[[#This Row],[Stage Number]]&gt;=3,1,0)</f>
        <v>0</v>
      </c>
      <c r="O6642" s="2">
        <f>IF(LeadsData[[#This Row],[Stage Number]]&gt;=4,1,0)</f>
        <v>0</v>
      </c>
    </row>
    <row r="6643" spans="1:15" x14ac:dyDescent="0.25">
      <c r="A6643" t="s">
        <v>6683</v>
      </c>
      <c r="B6643" s="1">
        <v>45444</v>
      </c>
      <c r="C6643" t="s">
        <v>11</v>
      </c>
      <c r="D6643" t="s">
        <v>79</v>
      </c>
      <c r="E6643" t="s">
        <v>21</v>
      </c>
      <c r="F6643" t="s">
        <v>22</v>
      </c>
      <c r="G6643" t="s">
        <v>15</v>
      </c>
      <c r="K6643" cm="1">
        <f t="array" ref="K6643">_xlfn.SWITCH(LeadsData[[#This Row],[Funnel Stage Reached]],"Lead",1,"MQL",2,"SQL",3,"Customer",4)</f>
        <v>1</v>
      </c>
      <c r="L6643" t="str">
        <f>TEXT(LeadsData[[#This Row],[Signup Date]],"mmm-yyyy")</f>
        <v>Jun-2024</v>
      </c>
      <c r="M6643">
        <f>IF(LeadsData[[#This Row],[Stage Number]]&gt;=2,1,0)</f>
        <v>0</v>
      </c>
      <c r="N6643" s="2">
        <f>IF(LeadsData[[#This Row],[Stage Number]]&gt;=3,1,0)</f>
        <v>0</v>
      </c>
      <c r="O6643" s="2">
        <f>IF(LeadsData[[#This Row],[Stage Number]]&gt;=4,1,0)</f>
        <v>0</v>
      </c>
    </row>
    <row r="6644" spans="1:15" x14ac:dyDescent="0.25">
      <c r="A6644" t="s">
        <v>6684</v>
      </c>
      <c r="B6644" s="1">
        <v>45597</v>
      </c>
      <c r="C6644" t="s">
        <v>36</v>
      </c>
      <c r="D6644" t="s">
        <v>50</v>
      </c>
      <c r="E6644" t="s">
        <v>13</v>
      </c>
      <c r="F6644" t="s">
        <v>19</v>
      </c>
      <c r="G6644" t="s">
        <v>23</v>
      </c>
      <c r="K6644" cm="1">
        <f t="array" ref="K6644">_xlfn.SWITCH(LeadsData[[#This Row],[Funnel Stage Reached]],"Lead",1,"MQL",2,"SQL",3,"Customer",4)</f>
        <v>2</v>
      </c>
      <c r="L6644" t="str">
        <f>TEXT(LeadsData[[#This Row],[Signup Date]],"mmm-yyyy")</f>
        <v>Nov-2024</v>
      </c>
      <c r="M6644">
        <f>IF(LeadsData[[#This Row],[Stage Number]]&gt;=2,1,0)</f>
        <v>1</v>
      </c>
      <c r="N6644" s="2">
        <f>IF(LeadsData[[#This Row],[Stage Number]]&gt;=3,1,0)</f>
        <v>0</v>
      </c>
      <c r="O6644" s="2">
        <f>IF(LeadsData[[#This Row],[Stage Number]]&gt;=4,1,0)</f>
        <v>0</v>
      </c>
    </row>
    <row r="6645" spans="1:15" x14ac:dyDescent="0.25">
      <c r="A6645" t="s">
        <v>6685</v>
      </c>
      <c r="B6645" s="1">
        <v>45453</v>
      </c>
      <c r="C6645" t="s">
        <v>11</v>
      </c>
      <c r="D6645" t="s">
        <v>79</v>
      </c>
      <c r="E6645" t="s">
        <v>13</v>
      </c>
      <c r="F6645" t="s">
        <v>19</v>
      </c>
      <c r="G6645" t="s">
        <v>15</v>
      </c>
      <c r="K6645" cm="1">
        <f t="array" ref="K6645">_xlfn.SWITCH(LeadsData[[#This Row],[Funnel Stage Reached]],"Lead",1,"MQL",2,"SQL",3,"Customer",4)</f>
        <v>1</v>
      </c>
      <c r="L6645" t="str">
        <f>TEXT(LeadsData[[#This Row],[Signup Date]],"mmm-yyyy")</f>
        <v>Jun-2024</v>
      </c>
      <c r="M6645">
        <f>IF(LeadsData[[#This Row],[Stage Number]]&gt;=2,1,0)</f>
        <v>0</v>
      </c>
      <c r="N6645" s="2">
        <f>IF(LeadsData[[#This Row],[Stage Number]]&gt;=3,1,0)</f>
        <v>0</v>
      </c>
      <c r="O6645" s="2">
        <f>IF(LeadsData[[#This Row],[Stage Number]]&gt;=4,1,0)</f>
        <v>0</v>
      </c>
    </row>
    <row r="6646" spans="1:15" x14ac:dyDescent="0.25">
      <c r="A6646" t="s">
        <v>6686</v>
      </c>
      <c r="B6646" s="1">
        <v>45646</v>
      </c>
      <c r="C6646" t="s">
        <v>17</v>
      </c>
      <c r="D6646" t="s">
        <v>53</v>
      </c>
      <c r="E6646" t="s">
        <v>13</v>
      </c>
      <c r="F6646" t="s">
        <v>19</v>
      </c>
      <c r="G6646" t="s">
        <v>29</v>
      </c>
      <c r="K6646" cm="1">
        <f t="array" ref="K6646">_xlfn.SWITCH(LeadsData[[#This Row],[Funnel Stage Reached]],"Lead",1,"MQL",2,"SQL",3,"Customer",4)</f>
        <v>3</v>
      </c>
      <c r="L6646" t="str">
        <f>TEXT(LeadsData[[#This Row],[Signup Date]],"mmm-yyyy")</f>
        <v>Dec-2024</v>
      </c>
      <c r="M6646">
        <f>IF(LeadsData[[#This Row],[Stage Number]]&gt;=2,1,0)</f>
        <v>1</v>
      </c>
      <c r="N6646" s="2">
        <f>IF(LeadsData[[#This Row],[Stage Number]]&gt;=3,1,0)</f>
        <v>1</v>
      </c>
      <c r="O6646" s="2">
        <f>IF(LeadsData[[#This Row],[Stage Number]]&gt;=4,1,0)</f>
        <v>0</v>
      </c>
    </row>
    <row r="6647" spans="1:15" x14ac:dyDescent="0.25">
      <c r="A6647" t="s">
        <v>6687</v>
      </c>
      <c r="B6647" s="1">
        <v>45332</v>
      </c>
      <c r="C6647" t="s">
        <v>31</v>
      </c>
      <c r="D6647" t="s">
        <v>34</v>
      </c>
      <c r="E6647" t="s">
        <v>13</v>
      </c>
      <c r="F6647" t="s">
        <v>19</v>
      </c>
      <c r="G6647" t="s">
        <v>42</v>
      </c>
      <c r="H6647">
        <v>34</v>
      </c>
      <c r="I6647" t="s">
        <v>43</v>
      </c>
      <c r="J6647">
        <v>811.58</v>
      </c>
      <c r="K6647" cm="1">
        <f t="array" ref="K6647">_xlfn.SWITCH(LeadsData[[#This Row],[Funnel Stage Reached]],"Lead",1,"MQL",2,"SQL",3,"Customer",4)</f>
        <v>4</v>
      </c>
      <c r="L6647" t="str">
        <f>TEXT(LeadsData[[#This Row],[Signup Date]],"mmm-yyyy")</f>
        <v>Feb-2024</v>
      </c>
      <c r="M6647">
        <f>IF(LeadsData[[#This Row],[Stage Number]]&gt;=2,1,0)</f>
        <v>1</v>
      </c>
      <c r="N6647" s="2">
        <f>IF(LeadsData[[#This Row],[Stage Number]]&gt;=3,1,0)</f>
        <v>1</v>
      </c>
      <c r="O6647" s="2">
        <f>IF(LeadsData[[#This Row],[Stage Number]]&gt;=4,1,0)</f>
        <v>1</v>
      </c>
    </row>
    <row r="6648" spans="1:15" x14ac:dyDescent="0.25">
      <c r="A6648" t="s">
        <v>6688</v>
      </c>
      <c r="B6648" s="1">
        <v>45621</v>
      </c>
      <c r="C6648" t="s">
        <v>31</v>
      </c>
      <c r="D6648" t="s">
        <v>32</v>
      </c>
      <c r="E6648" t="s">
        <v>21</v>
      </c>
      <c r="F6648" t="s">
        <v>19</v>
      </c>
      <c r="G6648" t="s">
        <v>29</v>
      </c>
      <c r="K6648" cm="1">
        <f t="array" ref="K6648">_xlfn.SWITCH(LeadsData[[#This Row],[Funnel Stage Reached]],"Lead",1,"MQL",2,"SQL",3,"Customer",4)</f>
        <v>3</v>
      </c>
      <c r="L6648" t="str">
        <f>TEXT(LeadsData[[#This Row],[Signup Date]],"mmm-yyyy")</f>
        <v>Nov-2024</v>
      </c>
      <c r="M6648">
        <f>IF(LeadsData[[#This Row],[Stage Number]]&gt;=2,1,0)</f>
        <v>1</v>
      </c>
      <c r="N6648" s="2">
        <f>IF(LeadsData[[#This Row],[Stage Number]]&gt;=3,1,0)</f>
        <v>1</v>
      </c>
      <c r="O6648" s="2">
        <f>IF(LeadsData[[#This Row],[Stage Number]]&gt;=4,1,0)</f>
        <v>0</v>
      </c>
    </row>
    <row r="6649" spans="1:15" x14ac:dyDescent="0.25">
      <c r="A6649" t="s">
        <v>6689</v>
      </c>
      <c r="B6649" s="1">
        <v>45527</v>
      </c>
      <c r="C6649" t="s">
        <v>17</v>
      </c>
      <c r="D6649" t="s">
        <v>18</v>
      </c>
      <c r="E6649" t="s">
        <v>48</v>
      </c>
      <c r="F6649" t="s">
        <v>19</v>
      </c>
      <c r="G6649" t="s">
        <v>15</v>
      </c>
      <c r="K6649" cm="1">
        <f t="array" ref="K6649">_xlfn.SWITCH(LeadsData[[#This Row],[Funnel Stage Reached]],"Lead",1,"MQL",2,"SQL",3,"Customer",4)</f>
        <v>1</v>
      </c>
      <c r="L6649" t="str">
        <f>TEXT(LeadsData[[#This Row],[Signup Date]],"mmm-yyyy")</f>
        <v>Aug-2024</v>
      </c>
      <c r="M6649">
        <f>IF(LeadsData[[#This Row],[Stage Number]]&gt;=2,1,0)</f>
        <v>0</v>
      </c>
      <c r="N6649" s="2">
        <f>IF(LeadsData[[#This Row],[Stage Number]]&gt;=3,1,0)</f>
        <v>0</v>
      </c>
      <c r="O6649" s="2">
        <f>IF(LeadsData[[#This Row],[Stage Number]]&gt;=4,1,0)</f>
        <v>0</v>
      </c>
    </row>
    <row r="6650" spans="1:15" x14ac:dyDescent="0.25">
      <c r="A6650" t="s">
        <v>6690</v>
      </c>
      <c r="B6650" s="1">
        <v>45430</v>
      </c>
      <c r="C6650" t="s">
        <v>36</v>
      </c>
      <c r="D6650" t="s">
        <v>37</v>
      </c>
      <c r="E6650" t="s">
        <v>21</v>
      </c>
      <c r="F6650" t="s">
        <v>22</v>
      </c>
      <c r="G6650" t="s">
        <v>15</v>
      </c>
      <c r="K6650" cm="1">
        <f t="array" ref="K6650">_xlfn.SWITCH(LeadsData[[#This Row],[Funnel Stage Reached]],"Lead",1,"MQL",2,"SQL",3,"Customer",4)</f>
        <v>1</v>
      </c>
      <c r="L6650" t="str">
        <f>TEXT(LeadsData[[#This Row],[Signup Date]],"mmm-yyyy")</f>
        <v>May-2024</v>
      </c>
      <c r="M6650">
        <f>IF(LeadsData[[#This Row],[Stage Number]]&gt;=2,1,0)</f>
        <v>0</v>
      </c>
      <c r="N6650" s="2">
        <f>IF(LeadsData[[#This Row],[Stage Number]]&gt;=3,1,0)</f>
        <v>0</v>
      </c>
      <c r="O6650" s="2">
        <f>IF(LeadsData[[#This Row],[Stage Number]]&gt;=4,1,0)</f>
        <v>0</v>
      </c>
    </row>
    <row r="6651" spans="1:15" x14ac:dyDescent="0.25">
      <c r="A6651" t="s">
        <v>6691</v>
      </c>
      <c r="B6651" s="1">
        <v>45548</v>
      </c>
      <c r="C6651" t="s">
        <v>25</v>
      </c>
      <c r="D6651" t="s">
        <v>26</v>
      </c>
      <c r="E6651" t="s">
        <v>13</v>
      </c>
      <c r="F6651" t="s">
        <v>22</v>
      </c>
      <c r="G6651" t="s">
        <v>15</v>
      </c>
      <c r="K6651" cm="1">
        <f t="array" ref="K6651">_xlfn.SWITCH(LeadsData[[#This Row],[Funnel Stage Reached]],"Lead",1,"MQL",2,"SQL",3,"Customer",4)</f>
        <v>1</v>
      </c>
      <c r="L6651" t="str">
        <f>TEXT(LeadsData[[#This Row],[Signup Date]],"mmm-yyyy")</f>
        <v>Sep-2024</v>
      </c>
      <c r="M6651">
        <f>IF(LeadsData[[#This Row],[Stage Number]]&gt;=2,1,0)</f>
        <v>0</v>
      </c>
      <c r="N6651" s="2">
        <f>IF(LeadsData[[#This Row],[Stage Number]]&gt;=3,1,0)</f>
        <v>0</v>
      </c>
      <c r="O6651" s="2">
        <f>IF(LeadsData[[#This Row],[Stage Number]]&gt;=4,1,0)</f>
        <v>0</v>
      </c>
    </row>
    <row r="6652" spans="1:15" x14ac:dyDescent="0.25">
      <c r="A6652" t="s">
        <v>6692</v>
      </c>
      <c r="B6652" s="1">
        <v>45477</v>
      </c>
      <c r="C6652" t="s">
        <v>46</v>
      </c>
      <c r="D6652" t="s">
        <v>47</v>
      </c>
      <c r="E6652" t="s">
        <v>13</v>
      </c>
      <c r="F6652" t="s">
        <v>22</v>
      </c>
      <c r="G6652" t="s">
        <v>15</v>
      </c>
      <c r="K6652" cm="1">
        <f t="array" ref="K6652">_xlfn.SWITCH(LeadsData[[#This Row],[Funnel Stage Reached]],"Lead",1,"MQL",2,"SQL",3,"Customer",4)</f>
        <v>1</v>
      </c>
      <c r="L6652" t="str">
        <f>TEXT(LeadsData[[#This Row],[Signup Date]],"mmm-yyyy")</f>
        <v>Jul-2024</v>
      </c>
      <c r="M6652">
        <f>IF(LeadsData[[#This Row],[Stage Number]]&gt;=2,1,0)</f>
        <v>0</v>
      </c>
      <c r="N6652" s="2">
        <f>IF(LeadsData[[#This Row],[Stage Number]]&gt;=3,1,0)</f>
        <v>0</v>
      </c>
      <c r="O6652" s="2">
        <f>IF(LeadsData[[#This Row],[Stage Number]]&gt;=4,1,0)</f>
        <v>0</v>
      </c>
    </row>
    <row r="6653" spans="1:15" x14ac:dyDescent="0.25">
      <c r="A6653" t="s">
        <v>6693</v>
      </c>
      <c r="B6653" s="1">
        <v>45575</v>
      </c>
      <c r="C6653" t="s">
        <v>11</v>
      </c>
      <c r="D6653" t="s">
        <v>79</v>
      </c>
      <c r="E6653" t="s">
        <v>21</v>
      </c>
      <c r="F6653" t="s">
        <v>19</v>
      </c>
      <c r="G6653" t="s">
        <v>15</v>
      </c>
      <c r="K6653" cm="1">
        <f t="array" ref="K6653">_xlfn.SWITCH(LeadsData[[#This Row],[Funnel Stage Reached]],"Lead",1,"MQL",2,"SQL",3,"Customer",4)</f>
        <v>1</v>
      </c>
      <c r="L6653" t="str">
        <f>TEXT(LeadsData[[#This Row],[Signup Date]],"mmm-yyyy")</f>
        <v>Oct-2024</v>
      </c>
      <c r="M6653">
        <f>IF(LeadsData[[#This Row],[Stage Number]]&gt;=2,1,0)</f>
        <v>0</v>
      </c>
      <c r="N6653" s="2">
        <f>IF(LeadsData[[#This Row],[Stage Number]]&gt;=3,1,0)</f>
        <v>0</v>
      </c>
      <c r="O6653" s="2">
        <f>IF(LeadsData[[#This Row],[Stage Number]]&gt;=4,1,0)</f>
        <v>0</v>
      </c>
    </row>
    <row r="6654" spans="1:15" x14ac:dyDescent="0.25">
      <c r="A6654" t="s">
        <v>6694</v>
      </c>
      <c r="B6654" s="1">
        <v>45617</v>
      </c>
      <c r="C6654" t="s">
        <v>36</v>
      </c>
      <c r="D6654" t="s">
        <v>37</v>
      </c>
      <c r="E6654" t="s">
        <v>13</v>
      </c>
      <c r="F6654" t="s">
        <v>19</v>
      </c>
      <c r="G6654" t="s">
        <v>23</v>
      </c>
      <c r="K6654" cm="1">
        <f t="array" ref="K6654">_xlfn.SWITCH(LeadsData[[#This Row],[Funnel Stage Reached]],"Lead",1,"MQL",2,"SQL",3,"Customer",4)</f>
        <v>2</v>
      </c>
      <c r="L6654" t="str">
        <f>TEXT(LeadsData[[#This Row],[Signup Date]],"mmm-yyyy")</f>
        <v>Nov-2024</v>
      </c>
      <c r="M6654">
        <f>IF(LeadsData[[#This Row],[Stage Number]]&gt;=2,1,0)</f>
        <v>1</v>
      </c>
      <c r="N6654" s="2">
        <f>IF(LeadsData[[#This Row],[Stage Number]]&gt;=3,1,0)</f>
        <v>0</v>
      </c>
      <c r="O6654" s="2">
        <f>IF(LeadsData[[#This Row],[Stage Number]]&gt;=4,1,0)</f>
        <v>0</v>
      </c>
    </row>
    <row r="6655" spans="1:15" x14ac:dyDescent="0.25">
      <c r="A6655" t="s">
        <v>6695</v>
      </c>
      <c r="B6655" s="1">
        <v>45315</v>
      </c>
      <c r="C6655" t="s">
        <v>11</v>
      </c>
      <c r="D6655" t="s">
        <v>79</v>
      </c>
      <c r="E6655" t="s">
        <v>13</v>
      </c>
      <c r="F6655" t="s">
        <v>14</v>
      </c>
      <c r="G6655" t="s">
        <v>15</v>
      </c>
      <c r="K6655" cm="1">
        <f t="array" ref="K6655">_xlfn.SWITCH(LeadsData[[#This Row],[Funnel Stage Reached]],"Lead",1,"MQL",2,"SQL",3,"Customer",4)</f>
        <v>1</v>
      </c>
      <c r="L6655" t="str">
        <f>TEXT(LeadsData[[#This Row],[Signup Date]],"mmm-yyyy")</f>
        <v>Jan-2024</v>
      </c>
      <c r="M6655">
        <f>IF(LeadsData[[#This Row],[Stage Number]]&gt;=2,1,0)</f>
        <v>0</v>
      </c>
      <c r="N6655" s="2">
        <f>IF(LeadsData[[#This Row],[Stage Number]]&gt;=3,1,0)</f>
        <v>0</v>
      </c>
      <c r="O6655" s="2">
        <f>IF(LeadsData[[#This Row],[Stage Number]]&gt;=4,1,0)</f>
        <v>0</v>
      </c>
    </row>
    <row r="6656" spans="1:15" x14ac:dyDescent="0.25">
      <c r="A6656" t="s">
        <v>6696</v>
      </c>
      <c r="B6656" s="1">
        <v>45648</v>
      </c>
      <c r="C6656" t="s">
        <v>17</v>
      </c>
      <c r="D6656" t="s">
        <v>18</v>
      </c>
      <c r="E6656" t="s">
        <v>13</v>
      </c>
      <c r="F6656" t="s">
        <v>14</v>
      </c>
      <c r="G6656" t="s">
        <v>15</v>
      </c>
      <c r="K6656" cm="1">
        <f t="array" ref="K6656">_xlfn.SWITCH(LeadsData[[#This Row],[Funnel Stage Reached]],"Lead",1,"MQL",2,"SQL",3,"Customer",4)</f>
        <v>1</v>
      </c>
      <c r="L6656" t="str">
        <f>TEXT(LeadsData[[#This Row],[Signup Date]],"mmm-yyyy")</f>
        <v>Dec-2024</v>
      </c>
      <c r="M6656">
        <f>IF(LeadsData[[#This Row],[Stage Number]]&gt;=2,1,0)</f>
        <v>0</v>
      </c>
      <c r="N6656" s="2">
        <f>IF(LeadsData[[#This Row],[Stage Number]]&gt;=3,1,0)</f>
        <v>0</v>
      </c>
      <c r="O6656" s="2">
        <f>IF(LeadsData[[#This Row],[Stage Number]]&gt;=4,1,0)</f>
        <v>0</v>
      </c>
    </row>
    <row r="6657" spans="1:15" x14ac:dyDescent="0.25">
      <c r="A6657" t="s">
        <v>6697</v>
      </c>
      <c r="B6657" s="1">
        <v>45480</v>
      </c>
      <c r="C6657" t="s">
        <v>46</v>
      </c>
      <c r="D6657" t="s">
        <v>47</v>
      </c>
      <c r="E6657" t="s">
        <v>48</v>
      </c>
      <c r="F6657" t="s">
        <v>28</v>
      </c>
      <c r="G6657" t="s">
        <v>15</v>
      </c>
      <c r="K6657" cm="1">
        <f t="array" ref="K6657">_xlfn.SWITCH(LeadsData[[#This Row],[Funnel Stage Reached]],"Lead",1,"MQL",2,"SQL",3,"Customer",4)</f>
        <v>1</v>
      </c>
      <c r="L6657" t="str">
        <f>TEXT(LeadsData[[#This Row],[Signup Date]],"mmm-yyyy")</f>
        <v>Jul-2024</v>
      </c>
      <c r="M6657">
        <f>IF(LeadsData[[#This Row],[Stage Number]]&gt;=2,1,0)</f>
        <v>0</v>
      </c>
      <c r="N6657" s="2">
        <f>IF(LeadsData[[#This Row],[Stage Number]]&gt;=3,1,0)</f>
        <v>0</v>
      </c>
      <c r="O6657" s="2">
        <f>IF(LeadsData[[#This Row],[Stage Number]]&gt;=4,1,0)</f>
        <v>0</v>
      </c>
    </row>
    <row r="6658" spans="1:15" x14ac:dyDescent="0.25">
      <c r="A6658" t="s">
        <v>6698</v>
      </c>
      <c r="B6658" s="1">
        <v>45627</v>
      </c>
      <c r="C6658" t="s">
        <v>46</v>
      </c>
      <c r="D6658" t="s">
        <v>56</v>
      </c>
      <c r="E6658" t="s">
        <v>13</v>
      </c>
      <c r="F6658" t="s">
        <v>19</v>
      </c>
      <c r="G6658" t="s">
        <v>23</v>
      </c>
      <c r="K6658" cm="1">
        <f t="array" ref="K6658">_xlfn.SWITCH(LeadsData[[#This Row],[Funnel Stage Reached]],"Lead",1,"MQL",2,"SQL",3,"Customer",4)</f>
        <v>2</v>
      </c>
      <c r="L6658" t="str">
        <f>TEXT(LeadsData[[#This Row],[Signup Date]],"mmm-yyyy")</f>
        <v>Dec-2024</v>
      </c>
      <c r="M6658">
        <f>IF(LeadsData[[#This Row],[Stage Number]]&gt;=2,1,0)</f>
        <v>1</v>
      </c>
      <c r="N6658" s="2">
        <f>IF(LeadsData[[#This Row],[Stage Number]]&gt;=3,1,0)</f>
        <v>0</v>
      </c>
      <c r="O6658" s="2">
        <f>IF(LeadsData[[#This Row],[Stage Number]]&gt;=4,1,0)</f>
        <v>0</v>
      </c>
    </row>
    <row r="6659" spans="1:15" x14ac:dyDescent="0.25">
      <c r="A6659" t="s">
        <v>6699</v>
      </c>
      <c r="B6659" s="1">
        <v>45416</v>
      </c>
      <c r="C6659" t="s">
        <v>11</v>
      </c>
      <c r="D6659" t="s">
        <v>12</v>
      </c>
      <c r="E6659" t="s">
        <v>48</v>
      </c>
      <c r="F6659" t="s">
        <v>14</v>
      </c>
      <c r="G6659" t="s">
        <v>15</v>
      </c>
      <c r="K6659" cm="1">
        <f t="array" ref="K6659">_xlfn.SWITCH(LeadsData[[#This Row],[Funnel Stage Reached]],"Lead",1,"MQL",2,"SQL",3,"Customer",4)</f>
        <v>1</v>
      </c>
      <c r="L6659" t="str">
        <f>TEXT(LeadsData[[#This Row],[Signup Date]],"mmm-yyyy")</f>
        <v>May-2024</v>
      </c>
      <c r="M6659">
        <f>IF(LeadsData[[#This Row],[Stage Number]]&gt;=2,1,0)</f>
        <v>0</v>
      </c>
      <c r="N6659" s="2">
        <f>IF(LeadsData[[#This Row],[Stage Number]]&gt;=3,1,0)</f>
        <v>0</v>
      </c>
      <c r="O6659" s="2">
        <f>IF(LeadsData[[#This Row],[Stage Number]]&gt;=4,1,0)</f>
        <v>0</v>
      </c>
    </row>
    <row r="6660" spans="1:15" x14ac:dyDescent="0.25">
      <c r="A6660" t="s">
        <v>6700</v>
      </c>
      <c r="B6660" s="1">
        <v>45526</v>
      </c>
      <c r="C6660" t="s">
        <v>46</v>
      </c>
      <c r="D6660" t="s">
        <v>56</v>
      </c>
      <c r="E6660" t="s">
        <v>13</v>
      </c>
      <c r="F6660" t="s">
        <v>19</v>
      </c>
      <c r="G6660" t="s">
        <v>42</v>
      </c>
      <c r="H6660">
        <v>61</v>
      </c>
      <c r="I6660" t="s">
        <v>43</v>
      </c>
      <c r="J6660">
        <v>553.78</v>
      </c>
      <c r="K6660" cm="1">
        <f t="array" ref="K6660">_xlfn.SWITCH(LeadsData[[#This Row],[Funnel Stage Reached]],"Lead",1,"MQL",2,"SQL",3,"Customer",4)</f>
        <v>4</v>
      </c>
      <c r="L6660" t="str">
        <f>TEXT(LeadsData[[#This Row],[Signup Date]],"mmm-yyyy")</f>
        <v>Aug-2024</v>
      </c>
      <c r="M6660">
        <f>IF(LeadsData[[#This Row],[Stage Number]]&gt;=2,1,0)</f>
        <v>1</v>
      </c>
      <c r="N6660" s="2">
        <f>IF(LeadsData[[#This Row],[Stage Number]]&gt;=3,1,0)</f>
        <v>1</v>
      </c>
      <c r="O6660" s="2">
        <f>IF(LeadsData[[#This Row],[Stage Number]]&gt;=4,1,0)</f>
        <v>1</v>
      </c>
    </row>
    <row r="6661" spans="1:15" x14ac:dyDescent="0.25">
      <c r="A6661" t="s">
        <v>6701</v>
      </c>
      <c r="B6661" s="1">
        <v>45610</v>
      </c>
      <c r="C6661" t="s">
        <v>31</v>
      </c>
      <c r="D6661" t="s">
        <v>34</v>
      </c>
      <c r="E6661" t="s">
        <v>13</v>
      </c>
      <c r="F6661" t="s">
        <v>22</v>
      </c>
      <c r="G6661" t="s">
        <v>15</v>
      </c>
      <c r="K6661" cm="1">
        <f t="array" ref="K6661">_xlfn.SWITCH(LeadsData[[#This Row],[Funnel Stage Reached]],"Lead",1,"MQL",2,"SQL",3,"Customer",4)</f>
        <v>1</v>
      </c>
      <c r="L6661" t="str">
        <f>TEXT(LeadsData[[#This Row],[Signup Date]],"mmm-yyyy")</f>
        <v>Nov-2024</v>
      </c>
      <c r="M6661">
        <f>IF(LeadsData[[#This Row],[Stage Number]]&gt;=2,1,0)</f>
        <v>0</v>
      </c>
      <c r="N6661" s="2">
        <f>IF(LeadsData[[#This Row],[Stage Number]]&gt;=3,1,0)</f>
        <v>0</v>
      </c>
      <c r="O6661" s="2">
        <f>IF(LeadsData[[#This Row],[Stage Number]]&gt;=4,1,0)</f>
        <v>0</v>
      </c>
    </row>
    <row r="6662" spans="1:15" x14ac:dyDescent="0.25">
      <c r="A6662" t="s">
        <v>6702</v>
      </c>
      <c r="B6662" s="1">
        <v>45554</v>
      </c>
      <c r="C6662" t="s">
        <v>36</v>
      </c>
      <c r="D6662" t="s">
        <v>50</v>
      </c>
      <c r="E6662" t="s">
        <v>13</v>
      </c>
      <c r="F6662" t="s">
        <v>28</v>
      </c>
      <c r="G6662" t="s">
        <v>29</v>
      </c>
      <c r="K6662" cm="1">
        <f t="array" ref="K6662">_xlfn.SWITCH(LeadsData[[#This Row],[Funnel Stage Reached]],"Lead",1,"MQL",2,"SQL",3,"Customer",4)</f>
        <v>3</v>
      </c>
      <c r="L6662" t="str">
        <f>TEXT(LeadsData[[#This Row],[Signup Date]],"mmm-yyyy")</f>
        <v>Sep-2024</v>
      </c>
      <c r="M6662">
        <f>IF(LeadsData[[#This Row],[Stage Number]]&gt;=2,1,0)</f>
        <v>1</v>
      </c>
      <c r="N6662" s="2">
        <f>IF(LeadsData[[#This Row],[Stage Number]]&gt;=3,1,0)</f>
        <v>1</v>
      </c>
      <c r="O6662" s="2">
        <f>IF(LeadsData[[#This Row],[Stage Number]]&gt;=4,1,0)</f>
        <v>0</v>
      </c>
    </row>
    <row r="6663" spans="1:15" x14ac:dyDescent="0.25">
      <c r="A6663" t="s">
        <v>6703</v>
      </c>
      <c r="B6663" s="1">
        <v>45642</v>
      </c>
      <c r="C6663" t="s">
        <v>31</v>
      </c>
      <c r="D6663" t="s">
        <v>32</v>
      </c>
      <c r="E6663" t="s">
        <v>21</v>
      </c>
      <c r="F6663" t="s">
        <v>28</v>
      </c>
      <c r="G6663" t="s">
        <v>15</v>
      </c>
      <c r="K6663" cm="1">
        <f t="array" ref="K6663">_xlfn.SWITCH(LeadsData[[#This Row],[Funnel Stage Reached]],"Lead",1,"MQL",2,"SQL",3,"Customer",4)</f>
        <v>1</v>
      </c>
      <c r="L6663" t="str">
        <f>TEXT(LeadsData[[#This Row],[Signup Date]],"mmm-yyyy")</f>
        <v>Dec-2024</v>
      </c>
      <c r="M6663">
        <f>IF(LeadsData[[#This Row],[Stage Number]]&gt;=2,1,0)</f>
        <v>0</v>
      </c>
      <c r="N6663" s="2">
        <f>IF(LeadsData[[#This Row],[Stage Number]]&gt;=3,1,0)</f>
        <v>0</v>
      </c>
      <c r="O6663" s="2">
        <f>IF(LeadsData[[#This Row],[Stage Number]]&gt;=4,1,0)</f>
        <v>0</v>
      </c>
    </row>
    <row r="6664" spans="1:15" x14ac:dyDescent="0.25">
      <c r="A6664" t="s">
        <v>6704</v>
      </c>
      <c r="B6664" s="1">
        <v>45552</v>
      </c>
      <c r="C6664" t="s">
        <v>36</v>
      </c>
      <c r="D6664" t="s">
        <v>37</v>
      </c>
      <c r="E6664" t="s">
        <v>13</v>
      </c>
      <c r="F6664" t="s">
        <v>22</v>
      </c>
      <c r="G6664" t="s">
        <v>15</v>
      </c>
      <c r="K6664" cm="1">
        <f t="array" ref="K6664">_xlfn.SWITCH(LeadsData[[#This Row],[Funnel Stage Reached]],"Lead",1,"MQL",2,"SQL",3,"Customer",4)</f>
        <v>1</v>
      </c>
      <c r="L6664" t="str">
        <f>TEXT(LeadsData[[#This Row],[Signup Date]],"mmm-yyyy")</f>
        <v>Sep-2024</v>
      </c>
      <c r="M6664">
        <f>IF(LeadsData[[#This Row],[Stage Number]]&gt;=2,1,0)</f>
        <v>0</v>
      </c>
      <c r="N6664" s="2">
        <f>IF(LeadsData[[#This Row],[Stage Number]]&gt;=3,1,0)</f>
        <v>0</v>
      </c>
      <c r="O6664" s="2">
        <f>IF(LeadsData[[#This Row],[Stage Number]]&gt;=4,1,0)</f>
        <v>0</v>
      </c>
    </row>
    <row r="6665" spans="1:15" x14ac:dyDescent="0.25">
      <c r="A6665" t="s">
        <v>6705</v>
      </c>
      <c r="B6665" s="1">
        <v>45615</v>
      </c>
      <c r="C6665" t="s">
        <v>31</v>
      </c>
      <c r="D6665" t="s">
        <v>34</v>
      </c>
      <c r="E6665" t="s">
        <v>21</v>
      </c>
      <c r="F6665" t="s">
        <v>19</v>
      </c>
      <c r="G6665" t="s">
        <v>42</v>
      </c>
      <c r="H6665">
        <v>32</v>
      </c>
      <c r="I6665" t="s">
        <v>43</v>
      </c>
      <c r="J6665">
        <v>879.97</v>
      </c>
      <c r="K6665" cm="1">
        <f t="array" ref="K6665">_xlfn.SWITCH(LeadsData[[#This Row],[Funnel Stage Reached]],"Lead",1,"MQL",2,"SQL",3,"Customer",4)</f>
        <v>4</v>
      </c>
      <c r="L6665" t="str">
        <f>TEXT(LeadsData[[#This Row],[Signup Date]],"mmm-yyyy")</f>
        <v>Nov-2024</v>
      </c>
      <c r="M6665">
        <f>IF(LeadsData[[#This Row],[Stage Number]]&gt;=2,1,0)</f>
        <v>1</v>
      </c>
      <c r="N6665" s="2">
        <f>IF(LeadsData[[#This Row],[Stage Number]]&gt;=3,1,0)</f>
        <v>1</v>
      </c>
      <c r="O6665" s="2">
        <f>IF(LeadsData[[#This Row],[Stage Number]]&gt;=4,1,0)</f>
        <v>1</v>
      </c>
    </row>
    <row r="6666" spans="1:15" x14ac:dyDescent="0.25">
      <c r="A6666" t="s">
        <v>6706</v>
      </c>
      <c r="B6666" s="1">
        <v>45303</v>
      </c>
      <c r="C6666" t="s">
        <v>36</v>
      </c>
      <c r="D6666" t="s">
        <v>37</v>
      </c>
      <c r="E6666" t="s">
        <v>21</v>
      </c>
      <c r="F6666" t="s">
        <v>19</v>
      </c>
      <c r="G6666" t="s">
        <v>15</v>
      </c>
      <c r="K6666" cm="1">
        <f t="array" ref="K6666">_xlfn.SWITCH(LeadsData[[#This Row],[Funnel Stage Reached]],"Lead",1,"MQL",2,"SQL",3,"Customer",4)</f>
        <v>1</v>
      </c>
      <c r="L6666" t="str">
        <f>TEXT(LeadsData[[#This Row],[Signup Date]],"mmm-yyyy")</f>
        <v>Jan-2024</v>
      </c>
      <c r="M6666">
        <f>IF(LeadsData[[#This Row],[Stage Number]]&gt;=2,1,0)</f>
        <v>0</v>
      </c>
      <c r="N6666" s="2">
        <f>IF(LeadsData[[#This Row],[Stage Number]]&gt;=3,1,0)</f>
        <v>0</v>
      </c>
      <c r="O6666" s="2">
        <f>IF(LeadsData[[#This Row],[Stage Number]]&gt;=4,1,0)</f>
        <v>0</v>
      </c>
    </row>
    <row r="6667" spans="1:15" x14ac:dyDescent="0.25">
      <c r="A6667" t="s">
        <v>6707</v>
      </c>
      <c r="B6667" s="1">
        <v>45614</v>
      </c>
      <c r="C6667" t="s">
        <v>11</v>
      </c>
      <c r="D6667" t="s">
        <v>79</v>
      </c>
      <c r="E6667" t="s">
        <v>21</v>
      </c>
      <c r="F6667" t="s">
        <v>22</v>
      </c>
      <c r="G6667" t="s">
        <v>29</v>
      </c>
      <c r="K6667" cm="1">
        <f t="array" ref="K6667">_xlfn.SWITCH(LeadsData[[#This Row],[Funnel Stage Reached]],"Lead",1,"MQL",2,"SQL",3,"Customer",4)</f>
        <v>3</v>
      </c>
      <c r="L6667" t="str">
        <f>TEXT(LeadsData[[#This Row],[Signup Date]],"mmm-yyyy")</f>
        <v>Nov-2024</v>
      </c>
      <c r="M6667">
        <f>IF(LeadsData[[#This Row],[Stage Number]]&gt;=2,1,0)</f>
        <v>1</v>
      </c>
      <c r="N6667" s="2">
        <f>IF(LeadsData[[#This Row],[Stage Number]]&gt;=3,1,0)</f>
        <v>1</v>
      </c>
      <c r="O6667" s="2">
        <f>IF(LeadsData[[#This Row],[Stage Number]]&gt;=4,1,0)</f>
        <v>0</v>
      </c>
    </row>
    <row r="6668" spans="1:15" x14ac:dyDescent="0.25">
      <c r="A6668" t="s">
        <v>6708</v>
      </c>
      <c r="B6668" s="1">
        <v>45570</v>
      </c>
      <c r="C6668" t="s">
        <v>25</v>
      </c>
      <c r="D6668" t="s">
        <v>26</v>
      </c>
      <c r="E6668" t="s">
        <v>48</v>
      </c>
      <c r="F6668" t="s">
        <v>14</v>
      </c>
      <c r="G6668" t="s">
        <v>15</v>
      </c>
      <c r="K6668" cm="1">
        <f t="array" ref="K6668">_xlfn.SWITCH(LeadsData[[#This Row],[Funnel Stage Reached]],"Lead",1,"MQL",2,"SQL",3,"Customer",4)</f>
        <v>1</v>
      </c>
      <c r="L6668" t="str">
        <f>TEXT(LeadsData[[#This Row],[Signup Date]],"mmm-yyyy")</f>
        <v>Oct-2024</v>
      </c>
      <c r="M6668">
        <f>IF(LeadsData[[#This Row],[Stage Number]]&gt;=2,1,0)</f>
        <v>0</v>
      </c>
      <c r="N6668" s="2">
        <f>IF(LeadsData[[#This Row],[Stage Number]]&gt;=3,1,0)</f>
        <v>0</v>
      </c>
      <c r="O6668" s="2">
        <f>IF(LeadsData[[#This Row],[Stage Number]]&gt;=4,1,0)</f>
        <v>0</v>
      </c>
    </row>
    <row r="6669" spans="1:15" x14ac:dyDescent="0.25">
      <c r="A6669" t="s">
        <v>6709</v>
      </c>
      <c r="B6669" s="1">
        <v>45398</v>
      </c>
      <c r="C6669" t="s">
        <v>46</v>
      </c>
      <c r="D6669" t="s">
        <v>56</v>
      </c>
      <c r="E6669" t="s">
        <v>21</v>
      </c>
      <c r="F6669" t="s">
        <v>19</v>
      </c>
      <c r="G6669" t="s">
        <v>15</v>
      </c>
      <c r="K6669" cm="1">
        <f t="array" ref="K6669">_xlfn.SWITCH(LeadsData[[#This Row],[Funnel Stage Reached]],"Lead",1,"MQL",2,"SQL",3,"Customer",4)</f>
        <v>1</v>
      </c>
      <c r="L6669" t="str">
        <f>TEXT(LeadsData[[#This Row],[Signup Date]],"mmm-yyyy")</f>
        <v>Apr-2024</v>
      </c>
      <c r="M6669">
        <f>IF(LeadsData[[#This Row],[Stage Number]]&gt;=2,1,0)</f>
        <v>0</v>
      </c>
      <c r="N6669" s="2">
        <f>IF(LeadsData[[#This Row],[Stage Number]]&gt;=3,1,0)</f>
        <v>0</v>
      </c>
      <c r="O6669" s="2">
        <f>IF(LeadsData[[#This Row],[Stage Number]]&gt;=4,1,0)</f>
        <v>0</v>
      </c>
    </row>
    <row r="6670" spans="1:15" x14ac:dyDescent="0.25">
      <c r="A6670" t="s">
        <v>6710</v>
      </c>
      <c r="B6670" s="1">
        <v>45464</v>
      </c>
      <c r="C6670" t="s">
        <v>17</v>
      </c>
      <c r="D6670" t="s">
        <v>18</v>
      </c>
      <c r="E6670" t="s">
        <v>13</v>
      </c>
      <c r="F6670" t="s">
        <v>22</v>
      </c>
      <c r="G6670" t="s">
        <v>15</v>
      </c>
      <c r="K6670" cm="1">
        <f t="array" ref="K6670">_xlfn.SWITCH(LeadsData[[#This Row],[Funnel Stage Reached]],"Lead",1,"MQL",2,"SQL",3,"Customer",4)</f>
        <v>1</v>
      </c>
      <c r="L6670" t="str">
        <f>TEXT(LeadsData[[#This Row],[Signup Date]],"mmm-yyyy")</f>
        <v>Jun-2024</v>
      </c>
      <c r="M6670">
        <f>IF(LeadsData[[#This Row],[Stage Number]]&gt;=2,1,0)</f>
        <v>0</v>
      </c>
      <c r="N6670" s="2">
        <f>IF(LeadsData[[#This Row],[Stage Number]]&gt;=3,1,0)</f>
        <v>0</v>
      </c>
      <c r="O6670" s="2">
        <f>IF(LeadsData[[#This Row],[Stage Number]]&gt;=4,1,0)</f>
        <v>0</v>
      </c>
    </row>
    <row r="6671" spans="1:15" x14ac:dyDescent="0.25">
      <c r="A6671" t="s">
        <v>6711</v>
      </c>
      <c r="B6671" s="1">
        <v>45432</v>
      </c>
      <c r="C6671" t="s">
        <v>46</v>
      </c>
      <c r="D6671" t="s">
        <v>56</v>
      </c>
      <c r="E6671" t="s">
        <v>13</v>
      </c>
      <c r="F6671" t="s">
        <v>14</v>
      </c>
      <c r="G6671" t="s">
        <v>15</v>
      </c>
      <c r="K6671" cm="1">
        <f t="array" ref="K6671">_xlfn.SWITCH(LeadsData[[#This Row],[Funnel Stage Reached]],"Lead",1,"MQL",2,"SQL",3,"Customer",4)</f>
        <v>1</v>
      </c>
      <c r="L6671" t="str">
        <f>TEXT(LeadsData[[#This Row],[Signup Date]],"mmm-yyyy")</f>
        <v>May-2024</v>
      </c>
      <c r="M6671">
        <f>IF(LeadsData[[#This Row],[Stage Number]]&gt;=2,1,0)</f>
        <v>0</v>
      </c>
      <c r="N6671" s="2">
        <f>IF(LeadsData[[#This Row],[Stage Number]]&gt;=3,1,0)</f>
        <v>0</v>
      </c>
      <c r="O6671" s="2">
        <f>IF(LeadsData[[#This Row],[Stage Number]]&gt;=4,1,0)</f>
        <v>0</v>
      </c>
    </row>
    <row r="6672" spans="1:15" x14ac:dyDescent="0.25">
      <c r="A6672" t="s">
        <v>6712</v>
      </c>
      <c r="B6672" s="1">
        <v>45583</v>
      </c>
      <c r="C6672" t="s">
        <v>25</v>
      </c>
      <c r="D6672" t="s">
        <v>26</v>
      </c>
      <c r="E6672" t="s">
        <v>13</v>
      </c>
      <c r="F6672" t="s">
        <v>14</v>
      </c>
      <c r="G6672" t="s">
        <v>15</v>
      </c>
      <c r="K6672" cm="1">
        <f t="array" ref="K6672">_xlfn.SWITCH(LeadsData[[#This Row],[Funnel Stage Reached]],"Lead",1,"MQL",2,"SQL",3,"Customer",4)</f>
        <v>1</v>
      </c>
      <c r="L6672" t="str">
        <f>TEXT(LeadsData[[#This Row],[Signup Date]],"mmm-yyyy")</f>
        <v>Oct-2024</v>
      </c>
      <c r="M6672">
        <f>IF(LeadsData[[#This Row],[Stage Number]]&gt;=2,1,0)</f>
        <v>0</v>
      </c>
      <c r="N6672" s="2">
        <f>IF(LeadsData[[#This Row],[Stage Number]]&gt;=3,1,0)</f>
        <v>0</v>
      </c>
      <c r="O6672" s="2">
        <f>IF(LeadsData[[#This Row],[Stage Number]]&gt;=4,1,0)</f>
        <v>0</v>
      </c>
    </row>
    <row r="6673" spans="1:15" x14ac:dyDescent="0.25">
      <c r="A6673" t="s">
        <v>6713</v>
      </c>
      <c r="B6673" s="1">
        <v>45612</v>
      </c>
      <c r="C6673" t="s">
        <v>46</v>
      </c>
      <c r="D6673" t="s">
        <v>56</v>
      </c>
      <c r="E6673" t="s">
        <v>13</v>
      </c>
      <c r="F6673" t="s">
        <v>19</v>
      </c>
      <c r="G6673" t="s">
        <v>29</v>
      </c>
      <c r="K6673" cm="1">
        <f t="array" ref="K6673">_xlfn.SWITCH(LeadsData[[#This Row],[Funnel Stage Reached]],"Lead",1,"MQL",2,"SQL",3,"Customer",4)</f>
        <v>3</v>
      </c>
      <c r="L6673" t="str">
        <f>TEXT(LeadsData[[#This Row],[Signup Date]],"mmm-yyyy")</f>
        <v>Nov-2024</v>
      </c>
      <c r="M6673">
        <f>IF(LeadsData[[#This Row],[Stage Number]]&gt;=2,1,0)</f>
        <v>1</v>
      </c>
      <c r="N6673" s="2">
        <f>IF(LeadsData[[#This Row],[Stage Number]]&gt;=3,1,0)</f>
        <v>1</v>
      </c>
      <c r="O6673" s="2">
        <f>IF(LeadsData[[#This Row],[Stage Number]]&gt;=4,1,0)</f>
        <v>0</v>
      </c>
    </row>
    <row r="6674" spans="1:15" x14ac:dyDescent="0.25">
      <c r="A6674" t="s">
        <v>6714</v>
      </c>
      <c r="B6674" s="1">
        <v>45451</v>
      </c>
      <c r="C6674" t="s">
        <v>46</v>
      </c>
      <c r="D6674" t="s">
        <v>56</v>
      </c>
      <c r="E6674" t="s">
        <v>48</v>
      </c>
      <c r="F6674" t="s">
        <v>14</v>
      </c>
      <c r="G6674" t="s">
        <v>15</v>
      </c>
      <c r="K6674" cm="1">
        <f t="array" ref="K6674">_xlfn.SWITCH(LeadsData[[#This Row],[Funnel Stage Reached]],"Lead",1,"MQL",2,"SQL",3,"Customer",4)</f>
        <v>1</v>
      </c>
      <c r="L6674" t="str">
        <f>TEXT(LeadsData[[#This Row],[Signup Date]],"mmm-yyyy")</f>
        <v>Jun-2024</v>
      </c>
      <c r="M6674">
        <f>IF(LeadsData[[#This Row],[Stage Number]]&gt;=2,1,0)</f>
        <v>0</v>
      </c>
      <c r="N6674" s="2">
        <f>IF(LeadsData[[#This Row],[Stage Number]]&gt;=3,1,0)</f>
        <v>0</v>
      </c>
      <c r="O6674" s="2">
        <f>IF(LeadsData[[#This Row],[Stage Number]]&gt;=4,1,0)</f>
        <v>0</v>
      </c>
    </row>
    <row r="6675" spans="1:15" x14ac:dyDescent="0.25">
      <c r="A6675" t="s">
        <v>6715</v>
      </c>
      <c r="B6675" s="1">
        <v>45297</v>
      </c>
      <c r="C6675" t="s">
        <v>46</v>
      </c>
      <c r="D6675" t="s">
        <v>56</v>
      </c>
      <c r="E6675" t="s">
        <v>13</v>
      </c>
      <c r="F6675" t="s">
        <v>22</v>
      </c>
      <c r="G6675" t="s">
        <v>23</v>
      </c>
      <c r="K6675" cm="1">
        <f t="array" ref="K6675">_xlfn.SWITCH(LeadsData[[#This Row],[Funnel Stage Reached]],"Lead",1,"MQL",2,"SQL",3,"Customer",4)</f>
        <v>2</v>
      </c>
      <c r="L6675" t="str">
        <f>TEXT(LeadsData[[#This Row],[Signup Date]],"mmm-yyyy")</f>
        <v>Jan-2024</v>
      </c>
      <c r="M6675">
        <f>IF(LeadsData[[#This Row],[Stage Number]]&gt;=2,1,0)</f>
        <v>1</v>
      </c>
      <c r="N6675" s="2">
        <f>IF(LeadsData[[#This Row],[Stage Number]]&gt;=3,1,0)</f>
        <v>0</v>
      </c>
      <c r="O6675" s="2">
        <f>IF(LeadsData[[#This Row],[Stage Number]]&gt;=4,1,0)</f>
        <v>0</v>
      </c>
    </row>
    <row r="6676" spans="1:15" x14ac:dyDescent="0.25">
      <c r="A6676" t="s">
        <v>6716</v>
      </c>
      <c r="B6676" s="1">
        <v>45531</v>
      </c>
      <c r="C6676" t="s">
        <v>36</v>
      </c>
      <c r="D6676" t="s">
        <v>50</v>
      </c>
      <c r="E6676" t="s">
        <v>13</v>
      </c>
      <c r="F6676" t="s">
        <v>19</v>
      </c>
      <c r="G6676" t="s">
        <v>42</v>
      </c>
      <c r="H6676">
        <v>12</v>
      </c>
      <c r="I6676" t="s">
        <v>43</v>
      </c>
      <c r="J6676">
        <v>1030.9000000000001</v>
      </c>
      <c r="K6676" cm="1">
        <f t="array" ref="K6676">_xlfn.SWITCH(LeadsData[[#This Row],[Funnel Stage Reached]],"Lead",1,"MQL",2,"SQL",3,"Customer",4)</f>
        <v>4</v>
      </c>
      <c r="L6676" t="str">
        <f>TEXT(LeadsData[[#This Row],[Signup Date]],"mmm-yyyy")</f>
        <v>Aug-2024</v>
      </c>
      <c r="M6676">
        <f>IF(LeadsData[[#This Row],[Stage Number]]&gt;=2,1,0)</f>
        <v>1</v>
      </c>
      <c r="N6676" s="2">
        <f>IF(LeadsData[[#This Row],[Stage Number]]&gt;=3,1,0)</f>
        <v>1</v>
      </c>
      <c r="O6676" s="2">
        <f>IF(LeadsData[[#This Row],[Stage Number]]&gt;=4,1,0)</f>
        <v>1</v>
      </c>
    </row>
    <row r="6677" spans="1:15" x14ac:dyDescent="0.25">
      <c r="A6677" t="s">
        <v>6717</v>
      </c>
      <c r="B6677" s="1">
        <v>45426</v>
      </c>
      <c r="C6677" t="s">
        <v>46</v>
      </c>
      <c r="D6677" t="s">
        <v>56</v>
      </c>
      <c r="E6677" t="s">
        <v>13</v>
      </c>
      <c r="F6677" t="s">
        <v>22</v>
      </c>
      <c r="G6677" t="s">
        <v>15</v>
      </c>
      <c r="K6677" cm="1">
        <f t="array" ref="K6677">_xlfn.SWITCH(LeadsData[[#This Row],[Funnel Stage Reached]],"Lead",1,"MQL",2,"SQL",3,"Customer",4)</f>
        <v>1</v>
      </c>
      <c r="L6677" t="str">
        <f>TEXT(LeadsData[[#This Row],[Signup Date]],"mmm-yyyy")</f>
        <v>May-2024</v>
      </c>
      <c r="M6677">
        <f>IF(LeadsData[[#This Row],[Stage Number]]&gt;=2,1,0)</f>
        <v>0</v>
      </c>
      <c r="N6677" s="2">
        <f>IF(LeadsData[[#This Row],[Stage Number]]&gt;=3,1,0)</f>
        <v>0</v>
      </c>
      <c r="O6677" s="2">
        <f>IF(LeadsData[[#This Row],[Stage Number]]&gt;=4,1,0)</f>
        <v>0</v>
      </c>
    </row>
    <row r="6678" spans="1:15" x14ac:dyDescent="0.25">
      <c r="A6678" t="s">
        <v>6718</v>
      </c>
      <c r="B6678" s="1">
        <v>45583</v>
      </c>
      <c r="C6678" t="s">
        <v>25</v>
      </c>
      <c r="D6678" t="s">
        <v>26</v>
      </c>
      <c r="E6678" t="s">
        <v>13</v>
      </c>
      <c r="F6678" t="s">
        <v>22</v>
      </c>
      <c r="G6678" t="s">
        <v>29</v>
      </c>
      <c r="K6678" cm="1">
        <f t="array" ref="K6678">_xlfn.SWITCH(LeadsData[[#This Row],[Funnel Stage Reached]],"Lead",1,"MQL",2,"SQL",3,"Customer",4)</f>
        <v>3</v>
      </c>
      <c r="L6678" t="str">
        <f>TEXT(LeadsData[[#This Row],[Signup Date]],"mmm-yyyy")</f>
        <v>Oct-2024</v>
      </c>
      <c r="M6678">
        <f>IF(LeadsData[[#This Row],[Stage Number]]&gt;=2,1,0)</f>
        <v>1</v>
      </c>
      <c r="N6678" s="2">
        <f>IF(LeadsData[[#This Row],[Stage Number]]&gt;=3,1,0)</f>
        <v>1</v>
      </c>
      <c r="O6678" s="2">
        <f>IF(LeadsData[[#This Row],[Stage Number]]&gt;=4,1,0)</f>
        <v>0</v>
      </c>
    </row>
    <row r="6679" spans="1:15" x14ac:dyDescent="0.25">
      <c r="A6679" t="s">
        <v>6719</v>
      </c>
      <c r="B6679" s="1">
        <v>45330</v>
      </c>
      <c r="C6679" t="s">
        <v>46</v>
      </c>
      <c r="D6679" t="s">
        <v>47</v>
      </c>
      <c r="E6679" t="s">
        <v>13</v>
      </c>
      <c r="F6679" t="s">
        <v>19</v>
      </c>
      <c r="G6679" t="s">
        <v>23</v>
      </c>
      <c r="K6679" cm="1">
        <f t="array" ref="K6679">_xlfn.SWITCH(LeadsData[[#This Row],[Funnel Stage Reached]],"Lead",1,"MQL",2,"SQL",3,"Customer",4)</f>
        <v>2</v>
      </c>
      <c r="L6679" t="str">
        <f>TEXT(LeadsData[[#This Row],[Signup Date]],"mmm-yyyy")</f>
        <v>Feb-2024</v>
      </c>
      <c r="M6679">
        <f>IF(LeadsData[[#This Row],[Stage Number]]&gt;=2,1,0)</f>
        <v>1</v>
      </c>
      <c r="N6679" s="2">
        <f>IF(LeadsData[[#This Row],[Stage Number]]&gt;=3,1,0)</f>
        <v>0</v>
      </c>
      <c r="O6679" s="2">
        <f>IF(LeadsData[[#This Row],[Stage Number]]&gt;=4,1,0)</f>
        <v>0</v>
      </c>
    </row>
    <row r="6680" spans="1:15" x14ac:dyDescent="0.25">
      <c r="A6680" t="s">
        <v>6720</v>
      </c>
      <c r="B6680" s="1">
        <v>45314</v>
      </c>
      <c r="C6680" t="s">
        <v>36</v>
      </c>
      <c r="D6680" t="s">
        <v>50</v>
      </c>
      <c r="E6680" t="s">
        <v>13</v>
      </c>
      <c r="F6680" t="s">
        <v>19</v>
      </c>
      <c r="G6680" t="s">
        <v>29</v>
      </c>
      <c r="K6680" cm="1">
        <f t="array" ref="K6680">_xlfn.SWITCH(LeadsData[[#This Row],[Funnel Stage Reached]],"Lead",1,"MQL",2,"SQL",3,"Customer",4)</f>
        <v>3</v>
      </c>
      <c r="L6680" t="str">
        <f>TEXT(LeadsData[[#This Row],[Signup Date]],"mmm-yyyy")</f>
        <v>Jan-2024</v>
      </c>
      <c r="M6680">
        <f>IF(LeadsData[[#This Row],[Stage Number]]&gt;=2,1,0)</f>
        <v>1</v>
      </c>
      <c r="N6680" s="2">
        <f>IF(LeadsData[[#This Row],[Stage Number]]&gt;=3,1,0)</f>
        <v>1</v>
      </c>
      <c r="O6680" s="2">
        <f>IF(LeadsData[[#This Row],[Stage Number]]&gt;=4,1,0)</f>
        <v>0</v>
      </c>
    </row>
    <row r="6681" spans="1:15" x14ac:dyDescent="0.25">
      <c r="A6681" t="s">
        <v>6721</v>
      </c>
      <c r="B6681" s="1">
        <v>45629</v>
      </c>
      <c r="C6681" t="s">
        <v>11</v>
      </c>
      <c r="D6681" t="s">
        <v>12</v>
      </c>
      <c r="E6681" t="s">
        <v>13</v>
      </c>
      <c r="F6681" t="s">
        <v>28</v>
      </c>
      <c r="G6681" t="s">
        <v>15</v>
      </c>
      <c r="K6681" cm="1">
        <f t="array" ref="K6681">_xlfn.SWITCH(LeadsData[[#This Row],[Funnel Stage Reached]],"Lead",1,"MQL",2,"SQL",3,"Customer",4)</f>
        <v>1</v>
      </c>
      <c r="L6681" t="str">
        <f>TEXT(LeadsData[[#This Row],[Signup Date]],"mmm-yyyy")</f>
        <v>Dec-2024</v>
      </c>
      <c r="M6681">
        <f>IF(LeadsData[[#This Row],[Stage Number]]&gt;=2,1,0)</f>
        <v>0</v>
      </c>
      <c r="N6681" s="2">
        <f>IF(LeadsData[[#This Row],[Stage Number]]&gt;=3,1,0)</f>
        <v>0</v>
      </c>
      <c r="O6681" s="2">
        <f>IF(LeadsData[[#This Row],[Stage Number]]&gt;=4,1,0)</f>
        <v>0</v>
      </c>
    </row>
    <row r="6682" spans="1:15" x14ac:dyDescent="0.25">
      <c r="A6682" t="s">
        <v>6722</v>
      </c>
      <c r="B6682" s="1">
        <v>45574</v>
      </c>
      <c r="C6682" t="s">
        <v>11</v>
      </c>
      <c r="D6682" t="s">
        <v>68</v>
      </c>
      <c r="E6682" t="s">
        <v>48</v>
      </c>
      <c r="F6682" t="s">
        <v>14</v>
      </c>
      <c r="G6682" t="s">
        <v>15</v>
      </c>
      <c r="K6682" cm="1">
        <f t="array" ref="K6682">_xlfn.SWITCH(LeadsData[[#This Row],[Funnel Stage Reached]],"Lead",1,"MQL",2,"SQL",3,"Customer",4)</f>
        <v>1</v>
      </c>
      <c r="L6682" t="str">
        <f>TEXT(LeadsData[[#This Row],[Signup Date]],"mmm-yyyy")</f>
        <v>Oct-2024</v>
      </c>
      <c r="M6682">
        <f>IF(LeadsData[[#This Row],[Stage Number]]&gt;=2,1,0)</f>
        <v>0</v>
      </c>
      <c r="N6682" s="2">
        <f>IF(LeadsData[[#This Row],[Stage Number]]&gt;=3,1,0)</f>
        <v>0</v>
      </c>
      <c r="O6682" s="2">
        <f>IF(LeadsData[[#This Row],[Stage Number]]&gt;=4,1,0)</f>
        <v>0</v>
      </c>
    </row>
    <row r="6683" spans="1:15" x14ac:dyDescent="0.25">
      <c r="A6683" t="s">
        <v>6723</v>
      </c>
      <c r="B6683" s="1">
        <v>45643</v>
      </c>
      <c r="C6683" t="s">
        <v>11</v>
      </c>
      <c r="D6683" t="s">
        <v>79</v>
      </c>
      <c r="E6683" t="s">
        <v>13</v>
      </c>
      <c r="F6683" t="s">
        <v>14</v>
      </c>
      <c r="G6683" t="s">
        <v>23</v>
      </c>
      <c r="K6683" cm="1">
        <f t="array" ref="K6683">_xlfn.SWITCH(LeadsData[[#This Row],[Funnel Stage Reached]],"Lead",1,"MQL",2,"SQL",3,"Customer",4)</f>
        <v>2</v>
      </c>
      <c r="L6683" t="str">
        <f>TEXT(LeadsData[[#This Row],[Signup Date]],"mmm-yyyy")</f>
        <v>Dec-2024</v>
      </c>
      <c r="M6683">
        <f>IF(LeadsData[[#This Row],[Stage Number]]&gt;=2,1,0)</f>
        <v>1</v>
      </c>
      <c r="N6683" s="2">
        <f>IF(LeadsData[[#This Row],[Stage Number]]&gt;=3,1,0)</f>
        <v>0</v>
      </c>
      <c r="O6683" s="2">
        <f>IF(LeadsData[[#This Row],[Stage Number]]&gt;=4,1,0)</f>
        <v>0</v>
      </c>
    </row>
    <row r="6684" spans="1:15" x14ac:dyDescent="0.25">
      <c r="A6684" t="s">
        <v>6724</v>
      </c>
      <c r="B6684" s="1">
        <v>45518</v>
      </c>
      <c r="C6684" t="s">
        <v>25</v>
      </c>
      <c r="D6684" t="s">
        <v>26</v>
      </c>
      <c r="E6684" t="s">
        <v>13</v>
      </c>
      <c r="F6684" t="s">
        <v>19</v>
      </c>
      <c r="G6684" t="s">
        <v>15</v>
      </c>
      <c r="K6684" cm="1">
        <f t="array" ref="K6684">_xlfn.SWITCH(LeadsData[[#This Row],[Funnel Stage Reached]],"Lead",1,"MQL",2,"SQL",3,"Customer",4)</f>
        <v>1</v>
      </c>
      <c r="L6684" t="str">
        <f>TEXT(LeadsData[[#This Row],[Signup Date]],"mmm-yyyy")</f>
        <v>Aug-2024</v>
      </c>
      <c r="M6684">
        <f>IF(LeadsData[[#This Row],[Stage Number]]&gt;=2,1,0)</f>
        <v>0</v>
      </c>
      <c r="N6684" s="2">
        <f>IF(LeadsData[[#This Row],[Stage Number]]&gt;=3,1,0)</f>
        <v>0</v>
      </c>
      <c r="O6684" s="2">
        <f>IF(LeadsData[[#This Row],[Stage Number]]&gt;=4,1,0)</f>
        <v>0</v>
      </c>
    </row>
    <row r="6685" spans="1:15" x14ac:dyDescent="0.25">
      <c r="A6685" t="s">
        <v>6725</v>
      </c>
      <c r="B6685" s="1">
        <v>45568</v>
      </c>
      <c r="C6685" t="s">
        <v>11</v>
      </c>
      <c r="D6685" t="s">
        <v>12</v>
      </c>
      <c r="E6685" t="s">
        <v>13</v>
      </c>
      <c r="F6685" t="s">
        <v>19</v>
      </c>
      <c r="G6685" t="s">
        <v>42</v>
      </c>
      <c r="H6685">
        <v>18</v>
      </c>
      <c r="I6685" t="s">
        <v>43</v>
      </c>
      <c r="J6685">
        <v>856.49</v>
      </c>
      <c r="K6685" cm="1">
        <f t="array" ref="K6685">_xlfn.SWITCH(LeadsData[[#This Row],[Funnel Stage Reached]],"Lead",1,"MQL",2,"SQL",3,"Customer",4)</f>
        <v>4</v>
      </c>
      <c r="L6685" t="str">
        <f>TEXT(LeadsData[[#This Row],[Signup Date]],"mmm-yyyy")</f>
        <v>Oct-2024</v>
      </c>
      <c r="M6685">
        <f>IF(LeadsData[[#This Row],[Stage Number]]&gt;=2,1,0)</f>
        <v>1</v>
      </c>
      <c r="N6685" s="2">
        <f>IF(LeadsData[[#This Row],[Stage Number]]&gt;=3,1,0)</f>
        <v>1</v>
      </c>
      <c r="O6685" s="2">
        <f>IF(LeadsData[[#This Row],[Stage Number]]&gt;=4,1,0)</f>
        <v>1</v>
      </c>
    </row>
    <row r="6686" spans="1:15" x14ac:dyDescent="0.25">
      <c r="A6686" t="s">
        <v>6726</v>
      </c>
      <c r="B6686" s="1">
        <v>45376</v>
      </c>
      <c r="C6686" t="s">
        <v>17</v>
      </c>
      <c r="D6686" t="s">
        <v>18</v>
      </c>
      <c r="E6686" t="s">
        <v>21</v>
      </c>
      <c r="F6686" t="s">
        <v>22</v>
      </c>
      <c r="G6686" t="s">
        <v>15</v>
      </c>
      <c r="K6686" cm="1">
        <f t="array" ref="K6686">_xlfn.SWITCH(LeadsData[[#This Row],[Funnel Stage Reached]],"Lead",1,"MQL",2,"SQL",3,"Customer",4)</f>
        <v>1</v>
      </c>
      <c r="L6686" t="str">
        <f>TEXT(LeadsData[[#This Row],[Signup Date]],"mmm-yyyy")</f>
        <v>Mar-2024</v>
      </c>
      <c r="M6686">
        <f>IF(LeadsData[[#This Row],[Stage Number]]&gt;=2,1,0)</f>
        <v>0</v>
      </c>
      <c r="N6686" s="2">
        <f>IF(LeadsData[[#This Row],[Stage Number]]&gt;=3,1,0)</f>
        <v>0</v>
      </c>
      <c r="O6686" s="2">
        <f>IF(LeadsData[[#This Row],[Stage Number]]&gt;=4,1,0)</f>
        <v>0</v>
      </c>
    </row>
    <row r="6687" spans="1:15" x14ac:dyDescent="0.25">
      <c r="A6687" t="s">
        <v>6727</v>
      </c>
      <c r="B6687" s="1">
        <v>45329</v>
      </c>
      <c r="C6687" t="s">
        <v>36</v>
      </c>
      <c r="D6687" t="s">
        <v>50</v>
      </c>
      <c r="E6687" t="s">
        <v>13</v>
      </c>
      <c r="F6687" t="s">
        <v>14</v>
      </c>
      <c r="G6687" t="s">
        <v>15</v>
      </c>
      <c r="K6687" cm="1">
        <f t="array" ref="K6687">_xlfn.SWITCH(LeadsData[[#This Row],[Funnel Stage Reached]],"Lead",1,"MQL",2,"SQL",3,"Customer",4)</f>
        <v>1</v>
      </c>
      <c r="L6687" t="str">
        <f>TEXT(LeadsData[[#This Row],[Signup Date]],"mmm-yyyy")</f>
        <v>Feb-2024</v>
      </c>
      <c r="M6687">
        <f>IF(LeadsData[[#This Row],[Stage Number]]&gt;=2,1,0)</f>
        <v>0</v>
      </c>
      <c r="N6687" s="2">
        <f>IF(LeadsData[[#This Row],[Stage Number]]&gt;=3,1,0)</f>
        <v>0</v>
      </c>
      <c r="O6687" s="2">
        <f>IF(LeadsData[[#This Row],[Stage Number]]&gt;=4,1,0)</f>
        <v>0</v>
      </c>
    </row>
    <row r="6688" spans="1:15" x14ac:dyDescent="0.25">
      <c r="A6688" t="s">
        <v>6728</v>
      </c>
      <c r="B6688" s="1">
        <v>45308</v>
      </c>
      <c r="C6688" t="s">
        <v>31</v>
      </c>
      <c r="D6688" t="s">
        <v>32</v>
      </c>
      <c r="E6688" t="s">
        <v>21</v>
      </c>
      <c r="F6688" t="s">
        <v>19</v>
      </c>
      <c r="G6688" t="s">
        <v>23</v>
      </c>
      <c r="K6688" cm="1">
        <f t="array" ref="K6688">_xlfn.SWITCH(LeadsData[[#This Row],[Funnel Stage Reached]],"Lead",1,"MQL",2,"SQL",3,"Customer",4)</f>
        <v>2</v>
      </c>
      <c r="L6688" t="str">
        <f>TEXT(LeadsData[[#This Row],[Signup Date]],"mmm-yyyy")</f>
        <v>Jan-2024</v>
      </c>
      <c r="M6688">
        <f>IF(LeadsData[[#This Row],[Stage Number]]&gt;=2,1,0)</f>
        <v>1</v>
      </c>
      <c r="N6688" s="2">
        <f>IF(LeadsData[[#This Row],[Stage Number]]&gt;=3,1,0)</f>
        <v>0</v>
      </c>
      <c r="O6688" s="2">
        <f>IF(LeadsData[[#This Row],[Stage Number]]&gt;=4,1,0)</f>
        <v>0</v>
      </c>
    </row>
    <row r="6689" spans="1:15" x14ac:dyDescent="0.25">
      <c r="A6689" t="s">
        <v>6729</v>
      </c>
      <c r="B6689" s="1">
        <v>45642</v>
      </c>
      <c r="C6689" t="s">
        <v>31</v>
      </c>
      <c r="D6689" t="s">
        <v>34</v>
      </c>
      <c r="E6689" t="s">
        <v>21</v>
      </c>
      <c r="F6689" t="s">
        <v>19</v>
      </c>
      <c r="G6689" t="s">
        <v>15</v>
      </c>
      <c r="K6689" cm="1">
        <f t="array" ref="K6689">_xlfn.SWITCH(LeadsData[[#This Row],[Funnel Stage Reached]],"Lead",1,"MQL",2,"SQL",3,"Customer",4)</f>
        <v>1</v>
      </c>
      <c r="L6689" t="str">
        <f>TEXT(LeadsData[[#This Row],[Signup Date]],"mmm-yyyy")</f>
        <v>Dec-2024</v>
      </c>
      <c r="M6689">
        <f>IF(LeadsData[[#This Row],[Stage Number]]&gt;=2,1,0)</f>
        <v>0</v>
      </c>
      <c r="N6689" s="2">
        <f>IF(LeadsData[[#This Row],[Stage Number]]&gt;=3,1,0)</f>
        <v>0</v>
      </c>
      <c r="O6689" s="2">
        <f>IF(LeadsData[[#This Row],[Stage Number]]&gt;=4,1,0)</f>
        <v>0</v>
      </c>
    </row>
    <row r="6690" spans="1:15" x14ac:dyDescent="0.25">
      <c r="A6690" t="s">
        <v>6730</v>
      </c>
      <c r="B6690" s="1">
        <v>45366</v>
      </c>
      <c r="C6690" t="s">
        <v>46</v>
      </c>
      <c r="D6690" t="s">
        <v>47</v>
      </c>
      <c r="E6690" t="s">
        <v>21</v>
      </c>
      <c r="F6690" t="s">
        <v>19</v>
      </c>
      <c r="G6690" t="s">
        <v>15</v>
      </c>
      <c r="K6690" cm="1">
        <f t="array" ref="K6690">_xlfn.SWITCH(LeadsData[[#This Row],[Funnel Stage Reached]],"Lead",1,"MQL",2,"SQL",3,"Customer",4)</f>
        <v>1</v>
      </c>
      <c r="L6690" t="str">
        <f>TEXT(LeadsData[[#This Row],[Signup Date]],"mmm-yyyy")</f>
        <v>Mar-2024</v>
      </c>
      <c r="M6690">
        <f>IF(LeadsData[[#This Row],[Stage Number]]&gt;=2,1,0)</f>
        <v>0</v>
      </c>
      <c r="N6690" s="2">
        <f>IF(LeadsData[[#This Row],[Stage Number]]&gt;=3,1,0)</f>
        <v>0</v>
      </c>
      <c r="O6690" s="2">
        <f>IF(LeadsData[[#This Row],[Stage Number]]&gt;=4,1,0)</f>
        <v>0</v>
      </c>
    </row>
    <row r="6691" spans="1:15" x14ac:dyDescent="0.25">
      <c r="A6691" t="s">
        <v>6731</v>
      </c>
      <c r="B6691" s="1">
        <v>45372</v>
      </c>
      <c r="C6691" t="s">
        <v>31</v>
      </c>
      <c r="D6691" t="s">
        <v>32</v>
      </c>
      <c r="E6691" t="s">
        <v>21</v>
      </c>
      <c r="F6691" t="s">
        <v>19</v>
      </c>
      <c r="G6691" t="s">
        <v>15</v>
      </c>
      <c r="K6691" cm="1">
        <f t="array" ref="K6691">_xlfn.SWITCH(LeadsData[[#This Row],[Funnel Stage Reached]],"Lead",1,"MQL",2,"SQL",3,"Customer",4)</f>
        <v>1</v>
      </c>
      <c r="L6691" t="str">
        <f>TEXT(LeadsData[[#This Row],[Signup Date]],"mmm-yyyy")</f>
        <v>Mar-2024</v>
      </c>
      <c r="M6691">
        <f>IF(LeadsData[[#This Row],[Stage Number]]&gt;=2,1,0)</f>
        <v>0</v>
      </c>
      <c r="N6691" s="2">
        <f>IF(LeadsData[[#This Row],[Stage Number]]&gt;=3,1,0)</f>
        <v>0</v>
      </c>
      <c r="O6691" s="2">
        <f>IF(LeadsData[[#This Row],[Stage Number]]&gt;=4,1,0)</f>
        <v>0</v>
      </c>
    </row>
    <row r="6692" spans="1:15" x14ac:dyDescent="0.25">
      <c r="A6692" t="s">
        <v>6732</v>
      </c>
      <c r="B6692" s="1">
        <v>45506</v>
      </c>
      <c r="C6692" t="s">
        <v>31</v>
      </c>
      <c r="D6692" t="s">
        <v>34</v>
      </c>
      <c r="E6692" t="s">
        <v>21</v>
      </c>
      <c r="F6692" t="s">
        <v>19</v>
      </c>
      <c r="G6692" t="s">
        <v>23</v>
      </c>
      <c r="K6692" cm="1">
        <f t="array" ref="K6692">_xlfn.SWITCH(LeadsData[[#This Row],[Funnel Stage Reached]],"Lead",1,"MQL",2,"SQL",3,"Customer",4)</f>
        <v>2</v>
      </c>
      <c r="L6692" t="str">
        <f>TEXT(LeadsData[[#This Row],[Signup Date]],"mmm-yyyy")</f>
        <v>Aug-2024</v>
      </c>
      <c r="M6692">
        <f>IF(LeadsData[[#This Row],[Stage Number]]&gt;=2,1,0)</f>
        <v>1</v>
      </c>
      <c r="N6692" s="2">
        <f>IF(LeadsData[[#This Row],[Stage Number]]&gt;=3,1,0)</f>
        <v>0</v>
      </c>
      <c r="O6692" s="2">
        <f>IF(LeadsData[[#This Row],[Stage Number]]&gt;=4,1,0)</f>
        <v>0</v>
      </c>
    </row>
    <row r="6693" spans="1:15" x14ac:dyDescent="0.25">
      <c r="A6693" t="s">
        <v>6733</v>
      </c>
      <c r="B6693" s="1">
        <v>45540</v>
      </c>
      <c r="C6693" t="s">
        <v>25</v>
      </c>
      <c r="D6693" t="s">
        <v>26</v>
      </c>
      <c r="E6693" t="s">
        <v>13</v>
      </c>
      <c r="F6693" t="s">
        <v>19</v>
      </c>
      <c r="G6693" t="s">
        <v>15</v>
      </c>
      <c r="K6693" cm="1">
        <f t="array" ref="K6693">_xlfn.SWITCH(LeadsData[[#This Row],[Funnel Stage Reached]],"Lead",1,"MQL",2,"SQL",3,"Customer",4)</f>
        <v>1</v>
      </c>
      <c r="L6693" t="str">
        <f>TEXT(LeadsData[[#This Row],[Signup Date]],"mmm-yyyy")</f>
        <v>Sep-2024</v>
      </c>
      <c r="M6693">
        <f>IF(LeadsData[[#This Row],[Stage Number]]&gt;=2,1,0)</f>
        <v>0</v>
      </c>
      <c r="N6693" s="2">
        <f>IF(LeadsData[[#This Row],[Stage Number]]&gt;=3,1,0)</f>
        <v>0</v>
      </c>
      <c r="O6693" s="2">
        <f>IF(LeadsData[[#This Row],[Stage Number]]&gt;=4,1,0)</f>
        <v>0</v>
      </c>
    </row>
    <row r="6694" spans="1:15" x14ac:dyDescent="0.25">
      <c r="A6694" t="s">
        <v>6734</v>
      </c>
      <c r="B6694" s="1">
        <v>45484</v>
      </c>
      <c r="C6694" t="s">
        <v>31</v>
      </c>
      <c r="D6694" t="s">
        <v>32</v>
      </c>
      <c r="E6694" t="s">
        <v>13</v>
      </c>
      <c r="F6694" t="s">
        <v>19</v>
      </c>
      <c r="G6694" t="s">
        <v>23</v>
      </c>
      <c r="K6694" cm="1">
        <f t="array" ref="K6694">_xlfn.SWITCH(LeadsData[[#This Row],[Funnel Stage Reached]],"Lead",1,"MQL",2,"SQL",3,"Customer",4)</f>
        <v>2</v>
      </c>
      <c r="L6694" t="str">
        <f>TEXT(LeadsData[[#This Row],[Signup Date]],"mmm-yyyy")</f>
        <v>Jul-2024</v>
      </c>
      <c r="M6694">
        <f>IF(LeadsData[[#This Row],[Stage Number]]&gt;=2,1,0)</f>
        <v>1</v>
      </c>
      <c r="N6694" s="2">
        <f>IF(LeadsData[[#This Row],[Stage Number]]&gt;=3,1,0)</f>
        <v>0</v>
      </c>
      <c r="O6694" s="2">
        <f>IF(LeadsData[[#This Row],[Stage Number]]&gt;=4,1,0)</f>
        <v>0</v>
      </c>
    </row>
    <row r="6695" spans="1:15" x14ac:dyDescent="0.25">
      <c r="A6695" t="s">
        <v>6735</v>
      </c>
      <c r="B6695" s="1">
        <v>45569</v>
      </c>
      <c r="C6695" t="s">
        <v>11</v>
      </c>
      <c r="D6695" t="s">
        <v>12</v>
      </c>
      <c r="E6695" t="s">
        <v>48</v>
      </c>
      <c r="F6695" t="s">
        <v>22</v>
      </c>
      <c r="G6695" t="s">
        <v>15</v>
      </c>
      <c r="K6695" cm="1">
        <f t="array" ref="K6695">_xlfn.SWITCH(LeadsData[[#This Row],[Funnel Stage Reached]],"Lead",1,"MQL",2,"SQL",3,"Customer",4)</f>
        <v>1</v>
      </c>
      <c r="L6695" t="str">
        <f>TEXT(LeadsData[[#This Row],[Signup Date]],"mmm-yyyy")</f>
        <v>Oct-2024</v>
      </c>
      <c r="M6695">
        <f>IF(LeadsData[[#This Row],[Stage Number]]&gt;=2,1,0)</f>
        <v>0</v>
      </c>
      <c r="N6695" s="2">
        <f>IF(LeadsData[[#This Row],[Stage Number]]&gt;=3,1,0)</f>
        <v>0</v>
      </c>
      <c r="O6695" s="2">
        <f>IF(LeadsData[[#This Row],[Stage Number]]&gt;=4,1,0)</f>
        <v>0</v>
      </c>
    </row>
    <row r="6696" spans="1:15" x14ac:dyDescent="0.25">
      <c r="A6696" t="s">
        <v>6736</v>
      </c>
      <c r="B6696" s="1">
        <v>45653</v>
      </c>
      <c r="C6696" t="s">
        <v>11</v>
      </c>
      <c r="D6696" t="s">
        <v>68</v>
      </c>
      <c r="E6696" t="s">
        <v>21</v>
      </c>
      <c r="F6696" t="s">
        <v>19</v>
      </c>
      <c r="G6696" t="s">
        <v>15</v>
      </c>
      <c r="K6696" cm="1">
        <f t="array" ref="K6696">_xlfn.SWITCH(LeadsData[[#This Row],[Funnel Stage Reached]],"Lead",1,"MQL",2,"SQL",3,"Customer",4)</f>
        <v>1</v>
      </c>
      <c r="L6696" t="str">
        <f>TEXT(LeadsData[[#This Row],[Signup Date]],"mmm-yyyy")</f>
        <v>Dec-2024</v>
      </c>
      <c r="M6696">
        <f>IF(LeadsData[[#This Row],[Stage Number]]&gt;=2,1,0)</f>
        <v>0</v>
      </c>
      <c r="N6696" s="2">
        <f>IF(LeadsData[[#This Row],[Stage Number]]&gt;=3,1,0)</f>
        <v>0</v>
      </c>
      <c r="O6696" s="2">
        <f>IF(LeadsData[[#This Row],[Stage Number]]&gt;=4,1,0)</f>
        <v>0</v>
      </c>
    </row>
    <row r="6697" spans="1:15" x14ac:dyDescent="0.25">
      <c r="A6697" t="s">
        <v>6737</v>
      </c>
      <c r="B6697" s="1">
        <v>45354</v>
      </c>
      <c r="C6697" t="s">
        <v>46</v>
      </c>
      <c r="D6697" t="s">
        <v>56</v>
      </c>
      <c r="E6697" t="s">
        <v>21</v>
      </c>
      <c r="F6697" t="s">
        <v>19</v>
      </c>
      <c r="G6697" t="s">
        <v>23</v>
      </c>
      <c r="K6697" cm="1">
        <f t="array" ref="K6697">_xlfn.SWITCH(LeadsData[[#This Row],[Funnel Stage Reached]],"Lead",1,"MQL",2,"SQL",3,"Customer",4)</f>
        <v>2</v>
      </c>
      <c r="L6697" t="str">
        <f>TEXT(LeadsData[[#This Row],[Signup Date]],"mmm-yyyy")</f>
        <v>Mar-2024</v>
      </c>
      <c r="M6697">
        <f>IF(LeadsData[[#This Row],[Stage Number]]&gt;=2,1,0)</f>
        <v>1</v>
      </c>
      <c r="N6697" s="2">
        <f>IF(LeadsData[[#This Row],[Stage Number]]&gt;=3,1,0)</f>
        <v>0</v>
      </c>
      <c r="O6697" s="2">
        <f>IF(LeadsData[[#This Row],[Stage Number]]&gt;=4,1,0)</f>
        <v>0</v>
      </c>
    </row>
    <row r="6698" spans="1:15" x14ac:dyDescent="0.25">
      <c r="A6698" t="s">
        <v>6738</v>
      </c>
      <c r="B6698" s="1">
        <v>45387</v>
      </c>
      <c r="C6698" t="s">
        <v>25</v>
      </c>
      <c r="D6698" t="s">
        <v>26</v>
      </c>
      <c r="E6698" t="s">
        <v>21</v>
      </c>
      <c r="F6698" t="s">
        <v>19</v>
      </c>
      <c r="G6698" t="s">
        <v>23</v>
      </c>
      <c r="K6698" cm="1">
        <f t="array" ref="K6698">_xlfn.SWITCH(LeadsData[[#This Row],[Funnel Stage Reached]],"Lead",1,"MQL",2,"SQL",3,"Customer",4)</f>
        <v>2</v>
      </c>
      <c r="L6698" t="str">
        <f>TEXT(LeadsData[[#This Row],[Signup Date]],"mmm-yyyy")</f>
        <v>Apr-2024</v>
      </c>
      <c r="M6698">
        <f>IF(LeadsData[[#This Row],[Stage Number]]&gt;=2,1,0)</f>
        <v>1</v>
      </c>
      <c r="N6698" s="2">
        <f>IF(LeadsData[[#This Row],[Stage Number]]&gt;=3,1,0)</f>
        <v>0</v>
      </c>
      <c r="O6698" s="2">
        <f>IF(LeadsData[[#This Row],[Stage Number]]&gt;=4,1,0)</f>
        <v>0</v>
      </c>
    </row>
    <row r="6699" spans="1:15" x14ac:dyDescent="0.25">
      <c r="A6699" t="s">
        <v>6739</v>
      </c>
      <c r="B6699" s="1">
        <v>45551</v>
      </c>
      <c r="C6699" t="s">
        <v>11</v>
      </c>
      <c r="D6699" t="s">
        <v>79</v>
      </c>
      <c r="E6699" t="s">
        <v>21</v>
      </c>
      <c r="F6699" t="s">
        <v>14</v>
      </c>
      <c r="G6699" t="s">
        <v>15</v>
      </c>
      <c r="K6699" cm="1">
        <f t="array" ref="K6699">_xlfn.SWITCH(LeadsData[[#This Row],[Funnel Stage Reached]],"Lead",1,"MQL",2,"SQL",3,"Customer",4)</f>
        <v>1</v>
      </c>
      <c r="L6699" t="str">
        <f>TEXT(LeadsData[[#This Row],[Signup Date]],"mmm-yyyy")</f>
        <v>Sep-2024</v>
      </c>
      <c r="M6699">
        <f>IF(LeadsData[[#This Row],[Stage Number]]&gt;=2,1,0)</f>
        <v>0</v>
      </c>
      <c r="N6699" s="2">
        <f>IF(LeadsData[[#This Row],[Stage Number]]&gt;=3,1,0)</f>
        <v>0</v>
      </c>
      <c r="O6699" s="2">
        <f>IF(LeadsData[[#This Row],[Stage Number]]&gt;=4,1,0)</f>
        <v>0</v>
      </c>
    </row>
    <row r="6700" spans="1:15" x14ac:dyDescent="0.25">
      <c r="A6700" t="s">
        <v>6740</v>
      </c>
      <c r="B6700" s="1">
        <v>45309</v>
      </c>
      <c r="C6700" t="s">
        <v>17</v>
      </c>
      <c r="D6700" t="s">
        <v>18</v>
      </c>
      <c r="E6700" t="s">
        <v>21</v>
      </c>
      <c r="F6700" t="s">
        <v>19</v>
      </c>
      <c r="G6700" t="s">
        <v>15</v>
      </c>
      <c r="K6700" cm="1">
        <f t="array" ref="K6700">_xlfn.SWITCH(LeadsData[[#This Row],[Funnel Stage Reached]],"Lead",1,"MQL",2,"SQL",3,"Customer",4)</f>
        <v>1</v>
      </c>
      <c r="L6700" t="str">
        <f>TEXT(LeadsData[[#This Row],[Signup Date]],"mmm-yyyy")</f>
        <v>Jan-2024</v>
      </c>
      <c r="M6700">
        <f>IF(LeadsData[[#This Row],[Stage Number]]&gt;=2,1,0)</f>
        <v>0</v>
      </c>
      <c r="N6700" s="2">
        <f>IF(LeadsData[[#This Row],[Stage Number]]&gt;=3,1,0)</f>
        <v>0</v>
      </c>
      <c r="O6700" s="2">
        <f>IF(LeadsData[[#This Row],[Stage Number]]&gt;=4,1,0)</f>
        <v>0</v>
      </c>
    </row>
    <row r="6701" spans="1:15" x14ac:dyDescent="0.25">
      <c r="A6701" t="s">
        <v>6741</v>
      </c>
      <c r="B6701" s="1">
        <v>45601</v>
      </c>
      <c r="C6701" t="s">
        <v>11</v>
      </c>
      <c r="D6701" t="s">
        <v>12</v>
      </c>
      <c r="E6701" t="s">
        <v>21</v>
      </c>
      <c r="F6701" t="s">
        <v>14</v>
      </c>
      <c r="G6701" t="s">
        <v>23</v>
      </c>
      <c r="K6701" cm="1">
        <f t="array" ref="K6701">_xlfn.SWITCH(LeadsData[[#This Row],[Funnel Stage Reached]],"Lead",1,"MQL",2,"SQL",3,"Customer",4)</f>
        <v>2</v>
      </c>
      <c r="L6701" t="str">
        <f>TEXT(LeadsData[[#This Row],[Signup Date]],"mmm-yyyy")</f>
        <v>Nov-2024</v>
      </c>
      <c r="M6701">
        <f>IF(LeadsData[[#This Row],[Stage Number]]&gt;=2,1,0)</f>
        <v>1</v>
      </c>
      <c r="N6701" s="2">
        <f>IF(LeadsData[[#This Row],[Stage Number]]&gt;=3,1,0)</f>
        <v>0</v>
      </c>
      <c r="O6701" s="2">
        <f>IF(LeadsData[[#This Row],[Stage Number]]&gt;=4,1,0)</f>
        <v>0</v>
      </c>
    </row>
    <row r="6702" spans="1:15" x14ac:dyDescent="0.25">
      <c r="A6702" t="s">
        <v>6742</v>
      </c>
      <c r="B6702" s="1">
        <v>45644</v>
      </c>
      <c r="C6702" t="s">
        <v>31</v>
      </c>
      <c r="D6702" t="s">
        <v>34</v>
      </c>
      <c r="E6702" t="s">
        <v>21</v>
      </c>
      <c r="F6702" t="s">
        <v>19</v>
      </c>
      <c r="G6702" t="s">
        <v>23</v>
      </c>
      <c r="K6702" cm="1">
        <f t="array" ref="K6702">_xlfn.SWITCH(LeadsData[[#This Row],[Funnel Stage Reached]],"Lead",1,"MQL",2,"SQL",3,"Customer",4)</f>
        <v>2</v>
      </c>
      <c r="L6702" t="str">
        <f>TEXT(LeadsData[[#This Row],[Signup Date]],"mmm-yyyy")</f>
        <v>Dec-2024</v>
      </c>
      <c r="M6702">
        <f>IF(LeadsData[[#This Row],[Stage Number]]&gt;=2,1,0)</f>
        <v>1</v>
      </c>
      <c r="N6702" s="2">
        <f>IF(LeadsData[[#This Row],[Stage Number]]&gt;=3,1,0)</f>
        <v>0</v>
      </c>
      <c r="O6702" s="2">
        <f>IF(LeadsData[[#This Row],[Stage Number]]&gt;=4,1,0)</f>
        <v>0</v>
      </c>
    </row>
    <row r="6703" spans="1:15" x14ac:dyDescent="0.25">
      <c r="A6703" t="s">
        <v>6743</v>
      </c>
      <c r="B6703" s="1">
        <v>45590</v>
      </c>
      <c r="C6703" t="s">
        <v>17</v>
      </c>
      <c r="D6703" t="s">
        <v>18</v>
      </c>
      <c r="E6703" t="s">
        <v>13</v>
      </c>
      <c r="F6703" t="s">
        <v>19</v>
      </c>
      <c r="G6703" t="s">
        <v>15</v>
      </c>
      <c r="K6703" cm="1">
        <f t="array" ref="K6703">_xlfn.SWITCH(LeadsData[[#This Row],[Funnel Stage Reached]],"Lead",1,"MQL",2,"SQL",3,"Customer",4)</f>
        <v>1</v>
      </c>
      <c r="L6703" t="str">
        <f>TEXT(LeadsData[[#This Row],[Signup Date]],"mmm-yyyy")</f>
        <v>Oct-2024</v>
      </c>
      <c r="M6703">
        <f>IF(LeadsData[[#This Row],[Stage Number]]&gt;=2,1,0)</f>
        <v>0</v>
      </c>
      <c r="N6703" s="2">
        <f>IF(LeadsData[[#This Row],[Stage Number]]&gt;=3,1,0)</f>
        <v>0</v>
      </c>
      <c r="O6703" s="2">
        <f>IF(LeadsData[[#This Row],[Stage Number]]&gt;=4,1,0)</f>
        <v>0</v>
      </c>
    </row>
    <row r="6704" spans="1:15" x14ac:dyDescent="0.25">
      <c r="A6704" t="s">
        <v>6744</v>
      </c>
      <c r="B6704" s="1">
        <v>45394</v>
      </c>
      <c r="C6704" t="s">
        <v>46</v>
      </c>
      <c r="D6704" t="s">
        <v>56</v>
      </c>
      <c r="E6704" t="s">
        <v>13</v>
      </c>
      <c r="F6704" t="s">
        <v>22</v>
      </c>
      <c r="G6704" t="s">
        <v>23</v>
      </c>
      <c r="K6704" cm="1">
        <f t="array" ref="K6704">_xlfn.SWITCH(LeadsData[[#This Row],[Funnel Stage Reached]],"Lead",1,"MQL",2,"SQL",3,"Customer",4)</f>
        <v>2</v>
      </c>
      <c r="L6704" t="str">
        <f>TEXT(LeadsData[[#This Row],[Signup Date]],"mmm-yyyy")</f>
        <v>Apr-2024</v>
      </c>
      <c r="M6704">
        <f>IF(LeadsData[[#This Row],[Stage Number]]&gt;=2,1,0)</f>
        <v>1</v>
      </c>
      <c r="N6704" s="2">
        <f>IF(LeadsData[[#This Row],[Stage Number]]&gt;=3,1,0)</f>
        <v>0</v>
      </c>
      <c r="O6704" s="2">
        <f>IF(LeadsData[[#This Row],[Stage Number]]&gt;=4,1,0)</f>
        <v>0</v>
      </c>
    </row>
    <row r="6705" spans="1:15" x14ac:dyDescent="0.25">
      <c r="A6705" t="s">
        <v>6745</v>
      </c>
      <c r="B6705" s="1">
        <v>45528</v>
      </c>
      <c r="C6705" t="s">
        <v>31</v>
      </c>
      <c r="D6705" t="s">
        <v>34</v>
      </c>
      <c r="E6705" t="s">
        <v>21</v>
      </c>
      <c r="F6705" t="s">
        <v>19</v>
      </c>
      <c r="G6705" t="s">
        <v>23</v>
      </c>
      <c r="K6705" cm="1">
        <f t="array" ref="K6705">_xlfn.SWITCH(LeadsData[[#This Row],[Funnel Stage Reached]],"Lead",1,"MQL",2,"SQL",3,"Customer",4)</f>
        <v>2</v>
      </c>
      <c r="L6705" t="str">
        <f>TEXT(LeadsData[[#This Row],[Signup Date]],"mmm-yyyy")</f>
        <v>Aug-2024</v>
      </c>
      <c r="M6705">
        <f>IF(LeadsData[[#This Row],[Stage Number]]&gt;=2,1,0)</f>
        <v>1</v>
      </c>
      <c r="N6705" s="2">
        <f>IF(LeadsData[[#This Row],[Stage Number]]&gt;=3,1,0)</f>
        <v>0</v>
      </c>
      <c r="O6705" s="2">
        <f>IF(LeadsData[[#This Row],[Stage Number]]&gt;=4,1,0)</f>
        <v>0</v>
      </c>
    </row>
    <row r="6706" spans="1:15" x14ac:dyDescent="0.25">
      <c r="A6706" t="s">
        <v>6746</v>
      </c>
      <c r="B6706" s="1">
        <v>45590</v>
      </c>
      <c r="C6706" t="s">
        <v>36</v>
      </c>
      <c r="D6706" t="s">
        <v>37</v>
      </c>
      <c r="E6706" t="s">
        <v>13</v>
      </c>
      <c r="F6706" t="s">
        <v>19</v>
      </c>
      <c r="G6706" t="s">
        <v>42</v>
      </c>
      <c r="H6706">
        <v>38</v>
      </c>
      <c r="I6706" t="s">
        <v>43</v>
      </c>
      <c r="J6706">
        <v>1005.82</v>
      </c>
      <c r="K6706" cm="1">
        <f t="array" ref="K6706">_xlfn.SWITCH(LeadsData[[#This Row],[Funnel Stage Reached]],"Lead",1,"MQL",2,"SQL",3,"Customer",4)</f>
        <v>4</v>
      </c>
      <c r="L6706" t="str">
        <f>TEXT(LeadsData[[#This Row],[Signup Date]],"mmm-yyyy")</f>
        <v>Oct-2024</v>
      </c>
      <c r="M6706">
        <f>IF(LeadsData[[#This Row],[Stage Number]]&gt;=2,1,0)</f>
        <v>1</v>
      </c>
      <c r="N6706" s="2">
        <f>IF(LeadsData[[#This Row],[Stage Number]]&gt;=3,1,0)</f>
        <v>1</v>
      </c>
      <c r="O6706" s="2">
        <f>IF(LeadsData[[#This Row],[Stage Number]]&gt;=4,1,0)</f>
        <v>1</v>
      </c>
    </row>
    <row r="6707" spans="1:15" x14ac:dyDescent="0.25">
      <c r="A6707" t="s">
        <v>6747</v>
      </c>
      <c r="B6707" s="1">
        <v>45448</v>
      </c>
      <c r="C6707" t="s">
        <v>46</v>
      </c>
      <c r="D6707" t="s">
        <v>47</v>
      </c>
      <c r="E6707" t="s">
        <v>13</v>
      </c>
      <c r="F6707" t="s">
        <v>28</v>
      </c>
      <c r="G6707" t="s">
        <v>23</v>
      </c>
      <c r="K6707" cm="1">
        <f t="array" ref="K6707">_xlfn.SWITCH(LeadsData[[#This Row],[Funnel Stage Reached]],"Lead",1,"MQL",2,"SQL",3,"Customer",4)</f>
        <v>2</v>
      </c>
      <c r="L6707" t="str">
        <f>TEXT(LeadsData[[#This Row],[Signup Date]],"mmm-yyyy")</f>
        <v>Jun-2024</v>
      </c>
      <c r="M6707">
        <f>IF(LeadsData[[#This Row],[Stage Number]]&gt;=2,1,0)</f>
        <v>1</v>
      </c>
      <c r="N6707" s="2">
        <f>IF(LeadsData[[#This Row],[Stage Number]]&gt;=3,1,0)</f>
        <v>0</v>
      </c>
      <c r="O6707" s="2">
        <f>IF(LeadsData[[#This Row],[Stage Number]]&gt;=4,1,0)</f>
        <v>0</v>
      </c>
    </row>
    <row r="6708" spans="1:15" x14ac:dyDescent="0.25">
      <c r="A6708" t="s">
        <v>6748</v>
      </c>
      <c r="B6708" s="1">
        <v>45475</v>
      </c>
      <c r="C6708" t="s">
        <v>25</v>
      </c>
      <c r="D6708" t="s">
        <v>26</v>
      </c>
      <c r="E6708" t="s">
        <v>21</v>
      </c>
      <c r="F6708" t="s">
        <v>19</v>
      </c>
      <c r="G6708" t="s">
        <v>15</v>
      </c>
      <c r="K6708" cm="1">
        <f t="array" ref="K6708">_xlfn.SWITCH(LeadsData[[#This Row],[Funnel Stage Reached]],"Lead",1,"MQL",2,"SQL",3,"Customer",4)</f>
        <v>1</v>
      </c>
      <c r="L6708" t="str">
        <f>TEXT(LeadsData[[#This Row],[Signup Date]],"mmm-yyyy")</f>
        <v>Jul-2024</v>
      </c>
      <c r="M6708">
        <f>IF(LeadsData[[#This Row],[Stage Number]]&gt;=2,1,0)</f>
        <v>0</v>
      </c>
      <c r="N6708" s="2">
        <f>IF(LeadsData[[#This Row],[Stage Number]]&gt;=3,1,0)</f>
        <v>0</v>
      </c>
      <c r="O6708" s="2">
        <f>IF(LeadsData[[#This Row],[Stage Number]]&gt;=4,1,0)</f>
        <v>0</v>
      </c>
    </row>
    <row r="6709" spans="1:15" x14ac:dyDescent="0.25">
      <c r="A6709" t="s">
        <v>6749</v>
      </c>
      <c r="B6709" s="1">
        <v>45369</v>
      </c>
      <c r="C6709" t="s">
        <v>46</v>
      </c>
      <c r="D6709" t="s">
        <v>47</v>
      </c>
      <c r="E6709" t="s">
        <v>13</v>
      </c>
      <c r="F6709" t="s">
        <v>14</v>
      </c>
      <c r="G6709" t="s">
        <v>29</v>
      </c>
      <c r="K6709" cm="1">
        <f t="array" ref="K6709">_xlfn.SWITCH(LeadsData[[#This Row],[Funnel Stage Reached]],"Lead",1,"MQL",2,"SQL",3,"Customer",4)</f>
        <v>3</v>
      </c>
      <c r="L6709" t="str">
        <f>TEXT(LeadsData[[#This Row],[Signup Date]],"mmm-yyyy")</f>
        <v>Mar-2024</v>
      </c>
      <c r="M6709">
        <f>IF(LeadsData[[#This Row],[Stage Number]]&gt;=2,1,0)</f>
        <v>1</v>
      </c>
      <c r="N6709" s="2">
        <f>IF(LeadsData[[#This Row],[Stage Number]]&gt;=3,1,0)</f>
        <v>1</v>
      </c>
      <c r="O6709" s="2">
        <f>IF(LeadsData[[#This Row],[Stage Number]]&gt;=4,1,0)</f>
        <v>0</v>
      </c>
    </row>
    <row r="6710" spans="1:15" x14ac:dyDescent="0.25">
      <c r="A6710" t="s">
        <v>6750</v>
      </c>
      <c r="B6710" s="1">
        <v>45489</v>
      </c>
      <c r="C6710" t="s">
        <v>46</v>
      </c>
      <c r="D6710" t="s">
        <v>56</v>
      </c>
      <c r="E6710" t="s">
        <v>13</v>
      </c>
      <c r="F6710" t="s">
        <v>19</v>
      </c>
      <c r="G6710" t="s">
        <v>23</v>
      </c>
      <c r="K6710" cm="1">
        <f t="array" ref="K6710">_xlfn.SWITCH(LeadsData[[#This Row],[Funnel Stage Reached]],"Lead",1,"MQL",2,"SQL",3,"Customer",4)</f>
        <v>2</v>
      </c>
      <c r="L6710" t="str">
        <f>TEXT(LeadsData[[#This Row],[Signup Date]],"mmm-yyyy")</f>
        <v>Jul-2024</v>
      </c>
      <c r="M6710">
        <f>IF(LeadsData[[#This Row],[Stage Number]]&gt;=2,1,0)</f>
        <v>1</v>
      </c>
      <c r="N6710" s="2">
        <f>IF(LeadsData[[#This Row],[Stage Number]]&gt;=3,1,0)</f>
        <v>0</v>
      </c>
      <c r="O6710" s="2">
        <f>IF(LeadsData[[#This Row],[Stage Number]]&gt;=4,1,0)</f>
        <v>0</v>
      </c>
    </row>
    <row r="6711" spans="1:15" x14ac:dyDescent="0.25">
      <c r="A6711" t="s">
        <v>6751</v>
      </c>
      <c r="B6711" s="1">
        <v>45511</v>
      </c>
      <c r="C6711" t="s">
        <v>36</v>
      </c>
      <c r="D6711" t="s">
        <v>37</v>
      </c>
      <c r="E6711" t="s">
        <v>13</v>
      </c>
      <c r="F6711" t="s">
        <v>22</v>
      </c>
      <c r="G6711" t="s">
        <v>29</v>
      </c>
      <c r="K6711" cm="1">
        <f t="array" ref="K6711">_xlfn.SWITCH(LeadsData[[#This Row],[Funnel Stage Reached]],"Lead",1,"MQL",2,"SQL",3,"Customer",4)</f>
        <v>3</v>
      </c>
      <c r="L6711" t="str">
        <f>TEXT(LeadsData[[#This Row],[Signup Date]],"mmm-yyyy")</f>
        <v>Aug-2024</v>
      </c>
      <c r="M6711">
        <f>IF(LeadsData[[#This Row],[Stage Number]]&gt;=2,1,0)</f>
        <v>1</v>
      </c>
      <c r="N6711" s="2">
        <f>IF(LeadsData[[#This Row],[Stage Number]]&gt;=3,1,0)</f>
        <v>1</v>
      </c>
      <c r="O6711" s="2">
        <f>IF(LeadsData[[#This Row],[Stage Number]]&gt;=4,1,0)</f>
        <v>0</v>
      </c>
    </row>
    <row r="6712" spans="1:15" x14ac:dyDescent="0.25">
      <c r="A6712" t="s">
        <v>6752</v>
      </c>
      <c r="B6712" s="1">
        <v>45389</v>
      </c>
      <c r="C6712" t="s">
        <v>17</v>
      </c>
      <c r="D6712" t="s">
        <v>53</v>
      </c>
      <c r="E6712" t="s">
        <v>13</v>
      </c>
      <c r="F6712" t="s">
        <v>22</v>
      </c>
      <c r="G6712" t="s">
        <v>15</v>
      </c>
      <c r="K6712" cm="1">
        <f t="array" ref="K6712">_xlfn.SWITCH(LeadsData[[#This Row],[Funnel Stage Reached]],"Lead",1,"MQL",2,"SQL",3,"Customer",4)</f>
        <v>1</v>
      </c>
      <c r="L6712" t="str">
        <f>TEXT(LeadsData[[#This Row],[Signup Date]],"mmm-yyyy")</f>
        <v>Apr-2024</v>
      </c>
      <c r="M6712">
        <f>IF(LeadsData[[#This Row],[Stage Number]]&gt;=2,1,0)</f>
        <v>0</v>
      </c>
      <c r="N6712" s="2">
        <f>IF(LeadsData[[#This Row],[Stage Number]]&gt;=3,1,0)</f>
        <v>0</v>
      </c>
      <c r="O6712" s="2">
        <f>IF(LeadsData[[#This Row],[Stage Number]]&gt;=4,1,0)</f>
        <v>0</v>
      </c>
    </row>
    <row r="6713" spans="1:15" x14ac:dyDescent="0.25">
      <c r="A6713" t="s">
        <v>6753</v>
      </c>
      <c r="B6713" s="1">
        <v>45387</v>
      </c>
      <c r="C6713" t="s">
        <v>25</v>
      </c>
      <c r="D6713" t="s">
        <v>26</v>
      </c>
      <c r="E6713" t="s">
        <v>13</v>
      </c>
      <c r="F6713" t="s">
        <v>19</v>
      </c>
      <c r="G6713" t="s">
        <v>15</v>
      </c>
      <c r="K6713" cm="1">
        <f t="array" ref="K6713">_xlfn.SWITCH(LeadsData[[#This Row],[Funnel Stage Reached]],"Lead",1,"MQL",2,"SQL",3,"Customer",4)</f>
        <v>1</v>
      </c>
      <c r="L6713" t="str">
        <f>TEXT(LeadsData[[#This Row],[Signup Date]],"mmm-yyyy")</f>
        <v>Apr-2024</v>
      </c>
      <c r="M6713">
        <f>IF(LeadsData[[#This Row],[Stage Number]]&gt;=2,1,0)</f>
        <v>0</v>
      </c>
      <c r="N6713" s="2">
        <f>IF(LeadsData[[#This Row],[Stage Number]]&gt;=3,1,0)</f>
        <v>0</v>
      </c>
      <c r="O6713" s="2">
        <f>IF(LeadsData[[#This Row],[Stage Number]]&gt;=4,1,0)</f>
        <v>0</v>
      </c>
    </row>
    <row r="6714" spans="1:15" x14ac:dyDescent="0.25">
      <c r="A6714" t="s">
        <v>6754</v>
      </c>
      <c r="B6714" s="1">
        <v>45478</v>
      </c>
      <c r="C6714" t="s">
        <v>17</v>
      </c>
      <c r="D6714" t="s">
        <v>53</v>
      </c>
      <c r="E6714" t="s">
        <v>21</v>
      </c>
      <c r="F6714" t="s">
        <v>14</v>
      </c>
      <c r="G6714" t="s">
        <v>23</v>
      </c>
      <c r="K6714" cm="1">
        <f t="array" ref="K6714">_xlfn.SWITCH(LeadsData[[#This Row],[Funnel Stage Reached]],"Lead",1,"MQL",2,"SQL",3,"Customer",4)</f>
        <v>2</v>
      </c>
      <c r="L6714" t="str">
        <f>TEXT(LeadsData[[#This Row],[Signup Date]],"mmm-yyyy")</f>
        <v>Jul-2024</v>
      </c>
      <c r="M6714">
        <f>IF(LeadsData[[#This Row],[Stage Number]]&gt;=2,1,0)</f>
        <v>1</v>
      </c>
      <c r="N6714" s="2">
        <f>IF(LeadsData[[#This Row],[Stage Number]]&gt;=3,1,0)</f>
        <v>0</v>
      </c>
      <c r="O6714" s="2">
        <f>IF(LeadsData[[#This Row],[Stage Number]]&gt;=4,1,0)</f>
        <v>0</v>
      </c>
    </row>
    <row r="6715" spans="1:15" x14ac:dyDescent="0.25">
      <c r="A6715" t="s">
        <v>6755</v>
      </c>
      <c r="B6715" s="1">
        <v>45633</v>
      </c>
      <c r="C6715" t="s">
        <v>11</v>
      </c>
      <c r="D6715" t="s">
        <v>68</v>
      </c>
      <c r="E6715" t="s">
        <v>21</v>
      </c>
      <c r="F6715" t="s">
        <v>22</v>
      </c>
      <c r="G6715" t="s">
        <v>15</v>
      </c>
      <c r="K6715" cm="1">
        <f t="array" ref="K6715">_xlfn.SWITCH(LeadsData[[#This Row],[Funnel Stage Reached]],"Lead",1,"MQL",2,"SQL",3,"Customer",4)</f>
        <v>1</v>
      </c>
      <c r="L6715" t="str">
        <f>TEXT(LeadsData[[#This Row],[Signup Date]],"mmm-yyyy")</f>
        <v>Dec-2024</v>
      </c>
      <c r="M6715">
        <f>IF(LeadsData[[#This Row],[Stage Number]]&gt;=2,1,0)</f>
        <v>0</v>
      </c>
      <c r="N6715" s="2">
        <f>IF(LeadsData[[#This Row],[Stage Number]]&gt;=3,1,0)</f>
        <v>0</v>
      </c>
      <c r="O6715" s="2">
        <f>IF(LeadsData[[#This Row],[Stage Number]]&gt;=4,1,0)</f>
        <v>0</v>
      </c>
    </row>
    <row r="6716" spans="1:15" x14ac:dyDescent="0.25">
      <c r="A6716" t="s">
        <v>6756</v>
      </c>
      <c r="B6716" s="1">
        <v>45295</v>
      </c>
      <c r="C6716" t="s">
        <v>46</v>
      </c>
      <c r="D6716" t="s">
        <v>47</v>
      </c>
      <c r="E6716" t="s">
        <v>13</v>
      </c>
      <c r="F6716" t="s">
        <v>22</v>
      </c>
      <c r="G6716" t="s">
        <v>29</v>
      </c>
      <c r="K6716" cm="1">
        <f t="array" ref="K6716">_xlfn.SWITCH(LeadsData[[#This Row],[Funnel Stage Reached]],"Lead",1,"MQL",2,"SQL",3,"Customer",4)</f>
        <v>3</v>
      </c>
      <c r="L6716" t="str">
        <f>TEXT(LeadsData[[#This Row],[Signup Date]],"mmm-yyyy")</f>
        <v>Jan-2024</v>
      </c>
      <c r="M6716">
        <f>IF(LeadsData[[#This Row],[Stage Number]]&gt;=2,1,0)</f>
        <v>1</v>
      </c>
      <c r="N6716" s="2">
        <f>IF(LeadsData[[#This Row],[Stage Number]]&gt;=3,1,0)</f>
        <v>1</v>
      </c>
      <c r="O6716" s="2">
        <f>IF(LeadsData[[#This Row],[Stage Number]]&gt;=4,1,0)</f>
        <v>0</v>
      </c>
    </row>
    <row r="6717" spans="1:15" x14ac:dyDescent="0.25">
      <c r="A6717" t="s">
        <v>6757</v>
      </c>
      <c r="B6717" s="1">
        <v>45526</v>
      </c>
      <c r="C6717" t="s">
        <v>25</v>
      </c>
      <c r="D6717" t="s">
        <v>26</v>
      </c>
      <c r="E6717" t="s">
        <v>13</v>
      </c>
      <c r="F6717" t="s">
        <v>14</v>
      </c>
      <c r="G6717" t="s">
        <v>23</v>
      </c>
      <c r="K6717" cm="1">
        <f t="array" ref="K6717">_xlfn.SWITCH(LeadsData[[#This Row],[Funnel Stage Reached]],"Lead",1,"MQL",2,"SQL",3,"Customer",4)</f>
        <v>2</v>
      </c>
      <c r="L6717" t="str">
        <f>TEXT(LeadsData[[#This Row],[Signup Date]],"mmm-yyyy")</f>
        <v>Aug-2024</v>
      </c>
      <c r="M6717">
        <f>IF(LeadsData[[#This Row],[Stage Number]]&gt;=2,1,0)</f>
        <v>1</v>
      </c>
      <c r="N6717" s="2">
        <f>IF(LeadsData[[#This Row],[Stage Number]]&gt;=3,1,0)</f>
        <v>0</v>
      </c>
      <c r="O6717" s="2">
        <f>IF(LeadsData[[#This Row],[Stage Number]]&gt;=4,1,0)</f>
        <v>0</v>
      </c>
    </row>
    <row r="6718" spans="1:15" x14ac:dyDescent="0.25">
      <c r="A6718" t="s">
        <v>6758</v>
      </c>
      <c r="B6718" s="1">
        <v>45330</v>
      </c>
      <c r="C6718" t="s">
        <v>31</v>
      </c>
      <c r="D6718" t="s">
        <v>32</v>
      </c>
      <c r="E6718" t="s">
        <v>21</v>
      </c>
      <c r="F6718" t="s">
        <v>14</v>
      </c>
      <c r="G6718" t="s">
        <v>23</v>
      </c>
      <c r="K6718" cm="1">
        <f t="array" ref="K6718">_xlfn.SWITCH(LeadsData[[#This Row],[Funnel Stage Reached]],"Lead",1,"MQL",2,"SQL",3,"Customer",4)</f>
        <v>2</v>
      </c>
      <c r="L6718" t="str">
        <f>TEXT(LeadsData[[#This Row],[Signup Date]],"mmm-yyyy")</f>
        <v>Feb-2024</v>
      </c>
      <c r="M6718">
        <f>IF(LeadsData[[#This Row],[Stage Number]]&gt;=2,1,0)</f>
        <v>1</v>
      </c>
      <c r="N6718" s="2">
        <f>IF(LeadsData[[#This Row],[Stage Number]]&gt;=3,1,0)</f>
        <v>0</v>
      </c>
      <c r="O6718" s="2">
        <f>IF(LeadsData[[#This Row],[Stage Number]]&gt;=4,1,0)</f>
        <v>0</v>
      </c>
    </row>
    <row r="6719" spans="1:15" x14ac:dyDescent="0.25">
      <c r="A6719" t="s">
        <v>6759</v>
      </c>
      <c r="B6719" s="1">
        <v>45440</v>
      </c>
      <c r="C6719" t="s">
        <v>25</v>
      </c>
      <c r="D6719" t="s">
        <v>26</v>
      </c>
      <c r="E6719" t="s">
        <v>21</v>
      </c>
      <c r="F6719" t="s">
        <v>19</v>
      </c>
      <c r="G6719" t="s">
        <v>15</v>
      </c>
      <c r="K6719" cm="1">
        <f t="array" ref="K6719">_xlfn.SWITCH(LeadsData[[#This Row],[Funnel Stage Reached]],"Lead",1,"MQL",2,"SQL",3,"Customer",4)</f>
        <v>1</v>
      </c>
      <c r="L6719" t="str">
        <f>TEXT(LeadsData[[#This Row],[Signup Date]],"mmm-yyyy")</f>
        <v>May-2024</v>
      </c>
      <c r="M6719">
        <f>IF(LeadsData[[#This Row],[Stage Number]]&gt;=2,1,0)</f>
        <v>0</v>
      </c>
      <c r="N6719" s="2">
        <f>IF(LeadsData[[#This Row],[Stage Number]]&gt;=3,1,0)</f>
        <v>0</v>
      </c>
      <c r="O6719" s="2">
        <f>IF(LeadsData[[#This Row],[Stage Number]]&gt;=4,1,0)</f>
        <v>0</v>
      </c>
    </row>
    <row r="6720" spans="1:15" x14ac:dyDescent="0.25">
      <c r="A6720" t="s">
        <v>6760</v>
      </c>
      <c r="B6720" s="1">
        <v>45401</v>
      </c>
      <c r="C6720" t="s">
        <v>46</v>
      </c>
      <c r="D6720" t="s">
        <v>47</v>
      </c>
      <c r="E6720" t="s">
        <v>13</v>
      </c>
      <c r="F6720" t="s">
        <v>14</v>
      </c>
      <c r="G6720" t="s">
        <v>23</v>
      </c>
      <c r="K6720" cm="1">
        <f t="array" ref="K6720">_xlfn.SWITCH(LeadsData[[#This Row],[Funnel Stage Reached]],"Lead",1,"MQL",2,"SQL",3,"Customer",4)</f>
        <v>2</v>
      </c>
      <c r="L6720" t="str">
        <f>TEXT(LeadsData[[#This Row],[Signup Date]],"mmm-yyyy")</f>
        <v>Apr-2024</v>
      </c>
      <c r="M6720">
        <f>IF(LeadsData[[#This Row],[Stage Number]]&gt;=2,1,0)</f>
        <v>1</v>
      </c>
      <c r="N6720" s="2">
        <f>IF(LeadsData[[#This Row],[Stage Number]]&gt;=3,1,0)</f>
        <v>0</v>
      </c>
      <c r="O6720" s="2">
        <f>IF(LeadsData[[#This Row],[Stage Number]]&gt;=4,1,0)</f>
        <v>0</v>
      </c>
    </row>
    <row r="6721" spans="1:15" x14ac:dyDescent="0.25">
      <c r="A6721" t="s">
        <v>6761</v>
      </c>
      <c r="B6721" s="1">
        <v>45606</v>
      </c>
      <c r="C6721" t="s">
        <v>17</v>
      </c>
      <c r="D6721" t="s">
        <v>53</v>
      </c>
      <c r="E6721" t="s">
        <v>13</v>
      </c>
      <c r="F6721" t="s">
        <v>14</v>
      </c>
      <c r="G6721" t="s">
        <v>15</v>
      </c>
      <c r="K6721" cm="1">
        <f t="array" ref="K6721">_xlfn.SWITCH(LeadsData[[#This Row],[Funnel Stage Reached]],"Lead",1,"MQL",2,"SQL",3,"Customer",4)</f>
        <v>1</v>
      </c>
      <c r="L6721" t="str">
        <f>TEXT(LeadsData[[#This Row],[Signup Date]],"mmm-yyyy")</f>
        <v>Nov-2024</v>
      </c>
      <c r="M6721">
        <f>IF(LeadsData[[#This Row],[Stage Number]]&gt;=2,1,0)</f>
        <v>0</v>
      </c>
      <c r="N6721" s="2">
        <f>IF(LeadsData[[#This Row],[Stage Number]]&gt;=3,1,0)</f>
        <v>0</v>
      </c>
      <c r="O6721" s="2">
        <f>IF(LeadsData[[#This Row],[Stage Number]]&gt;=4,1,0)</f>
        <v>0</v>
      </c>
    </row>
    <row r="6722" spans="1:15" x14ac:dyDescent="0.25">
      <c r="A6722" t="s">
        <v>6762</v>
      </c>
      <c r="B6722" s="1">
        <v>45632</v>
      </c>
      <c r="C6722" t="s">
        <v>17</v>
      </c>
      <c r="D6722" t="s">
        <v>18</v>
      </c>
      <c r="E6722" t="s">
        <v>13</v>
      </c>
      <c r="F6722" t="s">
        <v>28</v>
      </c>
      <c r="G6722" t="s">
        <v>15</v>
      </c>
      <c r="K6722" cm="1">
        <f t="array" ref="K6722">_xlfn.SWITCH(LeadsData[[#This Row],[Funnel Stage Reached]],"Lead",1,"MQL",2,"SQL",3,"Customer",4)</f>
        <v>1</v>
      </c>
      <c r="L6722" t="str">
        <f>TEXT(LeadsData[[#This Row],[Signup Date]],"mmm-yyyy")</f>
        <v>Dec-2024</v>
      </c>
      <c r="M6722">
        <f>IF(LeadsData[[#This Row],[Stage Number]]&gt;=2,1,0)</f>
        <v>0</v>
      </c>
      <c r="N6722" s="2">
        <f>IF(LeadsData[[#This Row],[Stage Number]]&gt;=3,1,0)</f>
        <v>0</v>
      </c>
      <c r="O6722" s="2">
        <f>IF(LeadsData[[#This Row],[Stage Number]]&gt;=4,1,0)</f>
        <v>0</v>
      </c>
    </row>
    <row r="6723" spans="1:15" x14ac:dyDescent="0.25">
      <c r="A6723" t="s">
        <v>6763</v>
      </c>
      <c r="B6723" s="1">
        <v>45372</v>
      </c>
      <c r="C6723" t="s">
        <v>36</v>
      </c>
      <c r="D6723" t="s">
        <v>37</v>
      </c>
      <c r="E6723" t="s">
        <v>13</v>
      </c>
      <c r="F6723" t="s">
        <v>19</v>
      </c>
      <c r="G6723" t="s">
        <v>29</v>
      </c>
      <c r="K6723" cm="1">
        <f t="array" ref="K6723">_xlfn.SWITCH(LeadsData[[#This Row],[Funnel Stage Reached]],"Lead",1,"MQL",2,"SQL",3,"Customer",4)</f>
        <v>3</v>
      </c>
      <c r="L6723" t="str">
        <f>TEXT(LeadsData[[#This Row],[Signup Date]],"mmm-yyyy")</f>
        <v>Mar-2024</v>
      </c>
      <c r="M6723">
        <f>IF(LeadsData[[#This Row],[Stage Number]]&gt;=2,1,0)</f>
        <v>1</v>
      </c>
      <c r="N6723" s="2">
        <f>IF(LeadsData[[#This Row],[Stage Number]]&gt;=3,1,0)</f>
        <v>1</v>
      </c>
      <c r="O6723" s="2">
        <f>IF(LeadsData[[#This Row],[Stage Number]]&gt;=4,1,0)</f>
        <v>0</v>
      </c>
    </row>
    <row r="6724" spans="1:15" x14ac:dyDescent="0.25">
      <c r="A6724" t="s">
        <v>6764</v>
      </c>
      <c r="B6724" s="1">
        <v>45453</v>
      </c>
      <c r="C6724" t="s">
        <v>46</v>
      </c>
      <c r="D6724" t="s">
        <v>56</v>
      </c>
      <c r="E6724" t="s">
        <v>13</v>
      </c>
      <c r="F6724" t="s">
        <v>19</v>
      </c>
      <c r="G6724" t="s">
        <v>15</v>
      </c>
      <c r="K6724" cm="1">
        <f t="array" ref="K6724">_xlfn.SWITCH(LeadsData[[#This Row],[Funnel Stage Reached]],"Lead",1,"MQL",2,"SQL",3,"Customer",4)</f>
        <v>1</v>
      </c>
      <c r="L6724" t="str">
        <f>TEXT(LeadsData[[#This Row],[Signup Date]],"mmm-yyyy")</f>
        <v>Jun-2024</v>
      </c>
      <c r="M6724">
        <f>IF(LeadsData[[#This Row],[Stage Number]]&gt;=2,1,0)</f>
        <v>0</v>
      </c>
      <c r="N6724" s="2">
        <f>IF(LeadsData[[#This Row],[Stage Number]]&gt;=3,1,0)</f>
        <v>0</v>
      </c>
      <c r="O6724" s="2">
        <f>IF(LeadsData[[#This Row],[Stage Number]]&gt;=4,1,0)</f>
        <v>0</v>
      </c>
    </row>
    <row r="6725" spans="1:15" x14ac:dyDescent="0.25">
      <c r="A6725" t="s">
        <v>6765</v>
      </c>
      <c r="B6725" s="1">
        <v>45471</v>
      </c>
      <c r="C6725" t="s">
        <v>31</v>
      </c>
      <c r="D6725" t="s">
        <v>32</v>
      </c>
      <c r="E6725" t="s">
        <v>21</v>
      </c>
      <c r="F6725" t="s">
        <v>19</v>
      </c>
      <c r="G6725" t="s">
        <v>29</v>
      </c>
      <c r="K6725" cm="1">
        <f t="array" ref="K6725">_xlfn.SWITCH(LeadsData[[#This Row],[Funnel Stage Reached]],"Lead",1,"MQL",2,"SQL",3,"Customer",4)</f>
        <v>3</v>
      </c>
      <c r="L6725" t="str">
        <f>TEXT(LeadsData[[#This Row],[Signup Date]],"mmm-yyyy")</f>
        <v>Jun-2024</v>
      </c>
      <c r="M6725">
        <f>IF(LeadsData[[#This Row],[Stage Number]]&gt;=2,1,0)</f>
        <v>1</v>
      </c>
      <c r="N6725" s="2">
        <f>IF(LeadsData[[#This Row],[Stage Number]]&gt;=3,1,0)</f>
        <v>1</v>
      </c>
      <c r="O6725" s="2">
        <f>IF(LeadsData[[#This Row],[Stage Number]]&gt;=4,1,0)</f>
        <v>0</v>
      </c>
    </row>
    <row r="6726" spans="1:15" x14ac:dyDescent="0.25">
      <c r="A6726" t="s">
        <v>6766</v>
      </c>
      <c r="B6726" s="1">
        <v>45421</v>
      </c>
      <c r="C6726" t="s">
        <v>46</v>
      </c>
      <c r="D6726" t="s">
        <v>47</v>
      </c>
      <c r="E6726" t="s">
        <v>21</v>
      </c>
      <c r="F6726" t="s">
        <v>19</v>
      </c>
      <c r="G6726" t="s">
        <v>42</v>
      </c>
      <c r="H6726">
        <v>45</v>
      </c>
      <c r="I6726" t="s">
        <v>87</v>
      </c>
      <c r="J6726">
        <v>3387.05</v>
      </c>
      <c r="K6726" cm="1">
        <f t="array" ref="K6726">_xlfn.SWITCH(LeadsData[[#This Row],[Funnel Stage Reached]],"Lead",1,"MQL",2,"SQL",3,"Customer",4)</f>
        <v>4</v>
      </c>
      <c r="L6726" t="str">
        <f>TEXT(LeadsData[[#This Row],[Signup Date]],"mmm-yyyy")</f>
        <v>May-2024</v>
      </c>
      <c r="M6726">
        <f>IF(LeadsData[[#This Row],[Stage Number]]&gt;=2,1,0)</f>
        <v>1</v>
      </c>
      <c r="N6726" s="2">
        <f>IF(LeadsData[[#This Row],[Stage Number]]&gt;=3,1,0)</f>
        <v>1</v>
      </c>
      <c r="O6726" s="2">
        <f>IF(LeadsData[[#This Row],[Stage Number]]&gt;=4,1,0)</f>
        <v>1</v>
      </c>
    </row>
    <row r="6727" spans="1:15" x14ac:dyDescent="0.25">
      <c r="A6727" t="s">
        <v>6767</v>
      </c>
      <c r="B6727" s="1">
        <v>45319</v>
      </c>
      <c r="C6727" t="s">
        <v>31</v>
      </c>
      <c r="D6727" t="s">
        <v>32</v>
      </c>
      <c r="E6727" t="s">
        <v>21</v>
      </c>
      <c r="F6727" t="s">
        <v>22</v>
      </c>
      <c r="G6727" t="s">
        <v>23</v>
      </c>
      <c r="K6727" cm="1">
        <f t="array" ref="K6727">_xlfn.SWITCH(LeadsData[[#This Row],[Funnel Stage Reached]],"Lead",1,"MQL",2,"SQL",3,"Customer",4)</f>
        <v>2</v>
      </c>
      <c r="L6727" t="str">
        <f>TEXT(LeadsData[[#This Row],[Signup Date]],"mmm-yyyy")</f>
        <v>Jan-2024</v>
      </c>
      <c r="M6727">
        <f>IF(LeadsData[[#This Row],[Stage Number]]&gt;=2,1,0)</f>
        <v>1</v>
      </c>
      <c r="N6727" s="2">
        <f>IF(LeadsData[[#This Row],[Stage Number]]&gt;=3,1,0)</f>
        <v>0</v>
      </c>
      <c r="O6727" s="2">
        <f>IF(LeadsData[[#This Row],[Stage Number]]&gt;=4,1,0)</f>
        <v>0</v>
      </c>
    </row>
    <row r="6728" spans="1:15" x14ac:dyDescent="0.25">
      <c r="A6728" t="s">
        <v>6768</v>
      </c>
      <c r="B6728" s="1">
        <v>45437</v>
      </c>
      <c r="C6728" t="s">
        <v>46</v>
      </c>
      <c r="D6728" t="s">
        <v>56</v>
      </c>
      <c r="E6728" t="s">
        <v>21</v>
      </c>
      <c r="F6728" t="s">
        <v>22</v>
      </c>
      <c r="G6728" t="s">
        <v>23</v>
      </c>
      <c r="K6728" cm="1">
        <f t="array" ref="K6728">_xlfn.SWITCH(LeadsData[[#This Row],[Funnel Stage Reached]],"Lead",1,"MQL",2,"SQL",3,"Customer",4)</f>
        <v>2</v>
      </c>
      <c r="L6728" t="str">
        <f>TEXT(LeadsData[[#This Row],[Signup Date]],"mmm-yyyy")</f>
        <v>May-2024</v>
      </c>
      <c r="M6728">
        <f>IF(LeadsData[[#This Row],[Stage Number]]&gt;=2,1,0)</f>
        <v>1</v>
      </c>
      <c r="N6728" s="2">
        <f>IF(LeadsData[[#This Row],[Stage Number]]&gt;=3,1,0)</f>
        <v>0</v>
      </c>
      <c r="O6728" s="2">
        <f>IF(LeadsData[[#This Row],[Stage Number]]&gt;=4,1,0)</f>
        <v>0</v>
      </c>
    </row>
    <row r="6729" spans="1:15" x14ac:dyDescent="0.25">
      <c r="A6729" t="s">
        <v>6769</v>
      </c>
      <c r="B6729" s="1">
        <v>45428</v>
      </c>
      <c r="C6729" t="s">
        <v>31</v>
      </c>
      <c r="D6729" t="s">
        <v>34</v>
      </c>
      <c r="E6729" t="s">
        <v>13</v>
      </c>
      <c r="F6729" t="s">
        <v>14</v>
      </c>
      <c r="G6729" t="s">
        <v>23</v>
      </c>
      <c r="K6729" cm="1">
        <f t="array" ref="K6729">_xlfn.SWITCH(LeadsData[[#This Row],[Funnel Stage Reached]],"Lead",1,"MQL",2,"SQL",3,"Customer",4)</f>
        <v>2</v>
      </c>
      <c r="L6729" t="str">
        <f>TEXT(LeadsData[[#This Row],[Signup Date]],"mmm-yyyy")</f>
        <v>May-2024</v>
      </c>
      <c r="M6729">
        <f>IF(LeadsData[[#This Row],[Stage Number]]&gt;=2,1,0)</f>
        <v>1</v>
      </c>
      <c r="N6729" s="2">
        <f>IF(LeadsData[[#This Row],[Stage Number]]&gt;=3,1,0)</f>
        <v>0</v>
      </c>
      <c r="O6729" s="2">
        <f>IF(LeadsData[[#This Row],[Stage Number]]&gt;=4,1,0)</f>
        <v>0</v>
      </c>
    </row>
    <row r="6730" spans="1:15" x14ac:dyDescent="0.25">
      <c r="A6730" t="s">
        <v>6770</v>
      </c>
      <c r="B6730" s="1">
        <v>45327</v>
      </c>
      <c r="C6730" t="s">
        <v>17</v>
      </c>
      <c r="D6730" t="s">
        <v>53</v>
      </c>
      <c r="E6730" t="s">
        <v>21</v>
      </c>
      <c r="F6730" t="s">
        <v>19</v>
      </c>
      <c r="G6730" t="s">
        <v>29</v>
      </c>
      <c r="K6730" cm="1">
        <f t="array" ref="K6730">_xlfn.SWITCH(LeadsData[[#This Row],[Funnel Stage Reached]],"Lead",1,"MQL",2,"SQL",3,"Customer",4)</f>
        <v>3</v>
      </c>
      <c r="L6730" t="str">
        <f>TEXT(LeadsData[[#This Row],[Signup Date]],"mmm-yyyy")</f>
        <v>Feb-2024</v>
      </c>
      <c r="M6730">
        <f>IF(LeadsData[[#This Row],[Stage Number]]&gt;=2,1,0)</f>
        <v>1</v>
      </c>
      <c r="N6730" s="2">
        <f>IF(LeadsData[[#This Row],[Stage Number]]&gt;=3,1,0)</f>
        <v>1</v>
      </c>
      <c r="O6730" s="2">
        <f>IF(LeadsData[[#This Row],[Stage Number]]&gt;=4,1,0)</f>
        <v>0</v>
      </c>
    </row>
    <row r="6731" spans="1:15" x14ac:dyDescent="0.25">
      <c r="A6731" t="s">
        <v>6771</v>
      </c>
      <c r="B6731" s="1">
        <v>45428</v>
      </c>
      <c r="C6731" t="s">
        <v>31</v>
      </c>
      <c r="D6731" t="s">
        <v>32</v>
      </c>
      <c r="E6731" t="s">
        <v>21</v>
      </c>
      <c r="F6731" t="s">
        <v>28</v>
      </c>
      <c r="G6731" t="s">
        <v>42</v>
      </c>
      <c r="H6731">
        <v>67</v>
      </c>
      <c r="I6731" t="s">
        <v>87</v>
      </c>
      <c r="J6731">
        <v>2843.14</v>
      </c>
      <c r="K6731" cm="1">
        <f t="array" ref="K6731">_xlfn.SWITCH(LeadsData[[#This Row],[Funnel Stage Reached]],"Lead",1,"MQL",2,"SQL",3,"Customer",4)</f>
        <v>4</v>
      </c>
      <c r="L6731" t="str">
        <f>TEXT(LeadsData[[#This Row],[Signup Date]],"mmm-yyyy")</f>
        <v>May-2024</v>
      </c>
      <c r="M6731">
        <f>IF(LeadsData[[#This Row],[Stage Number]]&gt;=2,1,0)</f>
        <v>1</v>
      </c>
      <c r="N6731" s="2">
        <f>IF(LeadsData[[#This Row],[Stage Number]]&gt;=3,1,0)</f>
        <v>1</v>
      </c>
      <c r="O6731" s="2">
        <f>IF(LeadsData[[#This Row],[Stage Number]]&gt;=4,1,0)</f>
        <v>1</v>
      </c>
    </row>
    <row r="6732" spans="1:15" x14ac:dyDescent="0.25">
      <c r="A6732" t="s">
        <v>6772</v>
      </c>
      <c r="B6732" s="1">
        <v>45603</v>
      </c>
      <c r="C6732" t="s">
        <v>46</v>
      </c>
      <c r="D6732" t="s">
        <v>47</v>
      </c>
      <c r="E6732" t="s">
        <v>21</v>
      </c>
      <c r="F6732" t="s">
        <v>22</v>
      </c>
      <c r="G6732" t="s">
        <v>15</v>
      </c>
      <c r="K6732" cm="1">
        <f t="array" ref="K6732">_xlfn.SWITCH(LeadsData[[#This Row],[Funnel Stage Reached]],"Lead",1,"MQL",2,"SQL",3,"Customer",4)</f>
        <v>1</v>
      </c>
      <c r="L6732" t="str">
        <f>TEXT(LeadsData[[#This Row],[Signup Date]],"mmm-yyyy")</f>
        <v>Nov-2024</v>
      </c>
      <c r="M6732">
        <f>IF(LeadsData[[#This Row],[Stage Number]]&gt;=2,1,0)</f>
        <v>0</v>
      </c>
      <c r="N6732" s="2">
        <f>IF(LeadsData[[#This Row],[Stage Number]]&gt;=3,1,0)</f>
        <v>0</v>
      </c>
      <c r="O6732" s="2">
        <f>IF(LeadsData[[#This Row],[Stage Number]]&gt;=4,1,0)</f>
        <v>0</v>
      </c>
    </row>
    <row r="6733" spans="1:15" x14ac:dyDescent="0.25">
      <c r="A6733" t="s">
        <v>6773</v>
      </c>
      <c r="B6733" s="1">
        <v>45629</v>
      </c>
      <c r="C6733" t="s">
        <v>17</v>
      </c>
      <c r="D6733" t="s">
        <v>53</v>
      </c>
      <c r="E6733" t="s">
        <v>21</v>
      </c>
      <c r="F6733" t="s">
        <v>19</v>
      </c>
      <c r="G6733" t="s">
        <v>23</v>
      </c>
      <c r="K6733" cm="1">
        <f t="array" ref="K6733">_xlfn.SWITCH(LeadsData[[#This Row],[Funnel Stage Reached]],"Lead",1,"MQL",2,"SQL",3,"Customer",4)</f>
        <v>2</v>
      </c>
      <c r="L6733" t="str">
        <f>TEXT(LeadsData[[#This Row],[Signup Date]],"mmm-yyyy")</f>
        <v>Dec-2024</v>
      </c>
      <c r="M6733">
        <f>IF(LeadsData[[#This Row],[Stage Number]]&gt;=2,1,0)</f>
        <v>1</v>
      </c>
      <c r="N6733" s="2">
        <f>IF(LeadsData[[#This Row],[Stage Number]]&gt;=3,1,0)</f>
        <v>0</v>
      </c>
      <c r="O6733" s="2">
        <f>IF(LeadsData[[#This Row],[Stage Number]]&gt;=4,1,0)</f>
        <v>0</v>
      </c>
    </row>
    <row r="6734" spans="1:15" x14ac:dyDescent="0.25">
      <c r="A6734" t="s">
        <v>6774</v>
      </c>
      <c r="B6734" s="1">
        <v>45460</v>
      </c>
      <c r="C6734" t="s">
        <v>31</v>
      </c>
      <c r="D6734" t="s">
        <v>34</v>
      </c>
      <c r="E6734" t="s">
        <v>13</v>
      </c>
      <c r="F6734" t="s">
        <v>19</v>
      </c>
      <c r="G6734" t="s">
        <v>15</v>
      </c>
      <c r="K6734" cm="1">
        <f t="array" ref="K6734">_xlfn.SWITCH(LeadsData[[#This Row],[Funnel Stage Reached]],"Lead",1,"MQL",2,"SQL",3,"Customer",4)</f>
        <v>1</v>
      </c>
      <c r="L6734" t="str">
        <f>TEXT(LeadsData[[#This Row],[Signup Date]],"mmm-yyyy")</f>
        <v>Jun-2024</v>
      </c>
      <c r="M6734">
        <f>IF(LeadsData[[#This Row],[Stage Number]]&gt;=2,1,0)</f>
        <v>0</v>
      </c>
      <c r="N6734" s="2">
        <f>IF(LeadsData[[#This Row],[Stage Number]]&gt;=3,1,0)</f>
        <v>0</v>
      </c>
      <c r="O6734" s="2">
        <f>IF(LeadsData[[#This Row],[Stage Number]]&gt;=4,1,0)</f>
        <v>0</v>
      </c>
    </row>
    <row r="6735" spans="1:15" x14ac:dyDescent="0.25">
      <c r="A6735" t="s">
        <v>6775</v>
      </c>
      <c r="B6735" s="1">
        <v>45627</v>
      </c>
      <c r="C6735" t="s">
        <v>46</v>
      </c>
      <c r="D6735" t="s">
        <v>47</v>
      </c>
      <c r="E6735" t="s">
        <v>21</v>
      </c>
      <c r="F6735" t="s">
        <v>22</v>
      </c>
      <c r="G6735" t="s">
        <v>15</v>
      </c>
      <c r="K6735" cm="1">
        <f t="array" ref="K6735">_xlfn.SWITCH(LeadsData[[#This Row],[Funnel Stage Reached]],"Lead",1,"MQL",2,"SQL",3,"Customer",4)</f>
        <v>1</v>
      </c>
      <c r="L6735" t="str">
        <f>TEXT(LeadsData[[#This Row],[Signup Date]],"mmm-yyyy")</f>
        <v>Dec-2024</v>
      </c>
      <c r="M6735">
        <f>IF(LeadsData[[#This Row],[Stage Number]]&gt;=2,1,0)</f>
        <v>0</v>
      </c>
      <c r="N6735" s="2">
        <f>IF(LeadsData[[#This Row],[Stage Number]]&gt;=3,1,0)</f>
        <v>0</v>
      </c>
      <c r="O6735" s="2">
        <f>IF(LeadsData[[#This Row],[Stage Number]]&gt;=4,1,0)</f>
        <v>0</v>
      </c>
    </row>
    <row r="6736" spans="1:15" x14ac:dyDescent="0.25">
      <c r="A6736" t="s">
        <v>6776</v>
      </c>
      <c r="B6736" s="1">
        <v>45326</v>
      </c>
      <c r="C6736" t="s">
        <v>11</v>
      </c>
      <c r="D6736" t="s">
        <v>68</v>
      </c>
      <c r="E6736" t="s">
        <v>13</v>
      </c>
      <c r="F6736" t="s">
        <v>19</v>
      </c>
      <c r="G6736" t="s">
        <v>15</v>
      </c>
      <c r="K6736" cm="1">
        <f t="array" ref="K6736">_xlfn.SWITCH(LeadsData[[#This Row],[Funnel Stage Reached]],"Lead",1,"MQL",2,"SQL",3,"Customer",4)</f>
        <v>1</v>
      </c>
      <c r="L6736" t="str">
        <f>TEXT(LeadsData[[#This Row],[Signup Date]],"mmm-yyyy")</f>
        <v>Feb-2024</v>
      </c>
      <c r="M6736">
        <f>IF(LeadsData[[#This Row],[Stage Number]]&gt;=2,1,0)</f>
        <v>0</v>
      </c>
      <c r="N6736" s="2">
        <f>IF(LeadsData[[#This Row],[Stage Number]]&gt;=3,1,0)</f>
        <v>0</v>
      </c>
      <c r="O6736" s="2">
        <f>IF(LeadsData[[#This Row],[Stage Number]]&gt;=4,1,0)</f>
        <v>0</v>
      </c>
    </row>
    <row r="6737" spans="1:15" x14ac:dyDescent="0.25">
      <c r="A6737" t="s">
        <v>6777</v>
      </c>
      <c r="B6737" s="1">
        <v>45517</v>
      </c>
      <c r="C6737" t="s">
        <v>36</v>
      </c>
      <c r="D6737" t="s">
        <v>50</v>
      </c>
      <c r="E6737" t="s">
        <v>13</v>
      </c>
      <c r="F6737" t="s">
        <v>22</v>
      </c>
      <c r="G6737" t="s">
        <v>29</v>
      </c>
      <c r="K6737" cm="1">
        <f t="array" ref="K6737">_xlfn.SWITCH(LeadsData[[#This Row],[Funnel Stage Reached]],"Lead",1,"MQL",2,"SQL",3,"Customer",4)</f>
        <v>3</v>
      </c>
      <c r="L6737" t="str">
        <f>TEXT(LeadsData[[#This Row],[Signup Date]],"mmm-yyyy")</f>
        <v>Aug-2024</v>
      </c>
      <c r="M6737">
        <f>IF(LeadsData[[#This Row],[Stage Number]]&gt;=2,1,0)</f>
        <v>1</v>
      </c>
      <c r="N6737" s="2">
        <f>IF(LeadsData[[#This Row],[Stage Number]]&gt;=3,1,0)</f>
        <v>1</v>
      </c>
      <c r="O6737" s="2">
        <f>IF(LeadsData[[#This Row],[Stage Number]]&gt;=4,1,0)</f>
        <v>0</v>
      </c>
    </row>
    <row r="6738" spans="1:15" x14ac:dyDescent="0.25">
      <c r="A6738" t="s">
        <v>6778</v>
      </c>
      <c r="B6738" s="1">
        <v>45505</v>
      </c>
      <c r="C6738" t="s">
        <v>46</v>
      </c>
      <c r="D6738" t="s">
        <v>47</v>
      </c>
      <c r="E6738" t="s">
        <v>48</v>
      </c>
      <c r="F6738" t="s">
        <v>19</v>
      </c>
      <c r="G6738" t="s">
        <v>29</v>
      </c>
      <c r="K6738" cm="1">
        <f t="array" ref="K6738">_xlfn.SWITCH(LeadsData[[#This Row],[Funnel Stage Reached]],"Lead",1,"MQL",2,"SQL",3,"Customer",4)</f>
        <v>3</v>
      </c>
      <c r="L6738" t="str">
        <f>TEXT(LeadsData[[#This Row],[Signup Date]],"mmm-yyyy")</f>
        <v>Aug-2024</v>
      </c>
      <c r="M6738">
        <f>IF(LeadsData[[#This Row],[Stage Number]]&gt;=2,1,0)</f>
        <v>1</v>
      </c>
      <c r="N6738" s="2">
        <f>IF(LeadsData[[#This Row],[Stage Number]]&gt;=3,1,0)</f>
        <v>1</v>
      </c>
      <c r="O6738" s="2">
        <f>IF(LeadsData[[#This Row],[Stage Number]]&gt;=4,1,0)</f>
        <v>0</v>
      </c>
    </row>
    <row r="6739" spans="1:15" x14ac:dyDescent="0.25">
      <c r="A6739" t="s">
        <v>6779</v>
      </c>
      <c r="B6739" s="1">
        <v>45492</v>
      </c>
      <c r="C6739" t="s">
        <v>17</v>
      </c>
      <c r="D6739" t="s">
        <v>18</v>
      </c>
      <c r="E6739" t="s">
        <v>13</v>
      </c>
      <c r="F6739" t="s">
        <v>14</v>
      </c>
      <c r="G6739" t="s">
        <v>15</v>
      </c>
      <c r="K6739" cm="1">
        <f t="array" ref="K6739">_xlfn.SWITCH(LeadsData[[#This Row],[Funnel Stage Reached]],"Lead",1,"MQL",2,"SQL",3,"Customer",4)</f>
        <v>1</v>
      </c>
      <c r="L6739" t="str">
        <f>TEXT(LeadsData[[#This Row],[Signup Date]],"mmm-yyyy")</f>
        <v>Jul-2024</v>
      </c>
      <c r="M6739">
        <f>IF(LeadsData[[#This Row],[Stage Number]]&gt;=2,1,0)</f>
        <v>0</v>
      </c>
      <c r="N6739" s="2">
        <f>IF(LeadsData[[#This Row],[Stage Number]]&gt;=3,1,0)</f>
        <v>0</v>
      </c>
      <c r="O6739" s="2">
        <f>IF(LeadsData[[#This Row],[Stage Number]]&gt;=4,1,0)</f>
        <v>0</v>
      </c>
    </row>
    <row r="6740" spans="1:15" x14ac:dyDescent="0.25">
      <c r="A6740" t="s">
        <v>6780</v>
      </c>
      <c r="B6740" s="1">
        <v>45394</v>
      </c>
      <c r="C6740" t="s">
        <v>46</v>
      </c>
      <c r="D6740" t="s">
        <v>56</v>
      </c>
      <c r="E6740" t="s">
        <v>21</v>
      </c>
      <c r="F6740" t="s">
        <v>19</v>
      </c>
      <c r="G6740" t="s">
        <v>15</v>
      </c>
      <c r="K6740" cm="1">
        <f t="array" ref="K6740">_xlfn.SWITCH(LeadsData[[#This Row],[Funnel Stage Reached]],"Lead",1,"MQL",2,"SQL",3,"Customer",4)</f>
        <v>1</v>
      </c>
      <c r="L6740" t="str">
        <f>TEXT(LeadsData[[#This Row],[Signup Date]],"mmm-yyyy")</f>
        <v>Apr-2024</v>
      </c>
      <c r="M6740">
        <f>IF(LeadsData[[#This Row],[Stage Number]]&gt;=2,1,0)</f>
        <v>0</v>
      </c>
      <c r="N6740" s="2">
        <f>IF(LeadsData[[#This Row],[Stage Number]]&gt;=3,1,0)</f>
        <v>0</v>
      </c>
      <c r="O6740" s="2">
        <f>IF(LeadsData[[#This Row],[Stage Number]]&gt;=4,1,0)</f>
        <v>0</v>
      </c>
    </row>
    <row r="6741" spans="1:15" x14ac:dyDescent="0.25">
      <c r="A6741" t="s">
        <v>6781</v>
      </c>
      <c r="B6741" s="1">
        <v>45356</v>
      </c>
      <c r="C6741" t="s">
        <v>31</v>
      </c>
      <c r="D6741" t="s">
        <v>34</v>
      </c>
      <c r="E6741" t="s">
        <v>13</v>
      </c>
      <c r="F6741" t="s">
        <v>19</v>
      </c>
      <c r="G6741" t="s">
        <v>15</v>
      </c>
      <c r="K6741" cm="1">
        <f t="array" ref="K6741">_xlfn.SWITCH(LeadsData[[#This Row],[Funnel Stage Reached]],"Lead",1,"MQL",2,"SQL",3,"Customer",4)</f>
        <v>1</v>
      </c>
      <c r="L6741" t="str">
        <f>TEXT(LeadsData[[#This Row],[Signup Date]],"mmm-yyyy")</f>
        <v>Mar-2024</v>
      </c>
      <c r="M6741">
        <f>IF(LeadsData[[#This Row],[Stage Number]]&gt;=2,1,0)</f>
        <v>0</v>
      </c>
      <c r="N6741" s="2">
        <f>IF(LeadsData[[#This Row],[Stage Number]]&gt;=3,1,0)</f>
        <v>0</v>
      </c>
      <c r="O6741" s="2">
        <f>IF(LeadsData[[#This Row],[Stage Number]]&gt;=4,1,0)</f>
        <v>0</v>
      </c>
    </row>
    <row r="6742" spans="1:15" x14ac:dyDescent="0.25">
      <c r="A6742" t="s">
        <v>6782</v>
      </c>
      <c r="B6742" s="1">
        <v>45409</v>
      </c>
      <c r="C6742" t="s">
        <v>36</v>
      </c>
      <c r="D6742" t="s">
        <v>37</v>
      </c>
      <c r="E6742" t="s">
        <v>13</v>
      </c>
      <c r="F6742" t="s">
        <v>22</v>
      </c>
      <c r="G6742" t="s">
        <v>29</v>
      </c>
      <c r="K6742" cm="1">
        <f t="array" ref="K6742">_xlfn.SWITCH(LeadsData[[#This Row],[Funnel Stage Reached]],"Lead",1,"MQL",2,"SQL",3,"Customer",4)</f>
        <v>3</v>
      </c>
      <c r="L6742" t="str">
        <f>TEXT(LeadsData[[#This Row],[Signup Date]],"mmm-yyyy")</f>
        <v>Apr-2024</v>
      </c>
      <c r="M6742">
        <f>IF(LeadsData[[#This Row],[Stage Number]]&gt;=2,1,0)</f>
        <v>1</v>
      </c>
      <c r="N6742" s="2">
        <f>IF(LeadsData[[#This Row],[Stage Number]]&gt;=3,1,0)</f>
        <v>1</v>
      </c>
      <c r="O6742" s="2">
        <f>IF(LeadsData[[#This Row],[Stage Number]]&gt;=4,1,0)</f>
        <v>0</v>
      </c>
    </row>
    <row r="6743" spans="1:15" x14ac:dyDescent="0.25">
      <c r="A6743" t="s">
        <v>6783</v>
      </c>
      <c r="B6743" s="1">
        <v>45571</v>
      </c>
      <c r="C6743" t="s">
        <v>46</v>
      </c>
      <c r="D6743" t="s">
        <v>56</v>
      </c>
      <c r="E6743" t="s">
        <v>13</v>
      </c>
      <c r="F6743" t="s">
        <v>14</v>
      </c>
      <c r="G6743" t="s">
        <v>15</v>
      </c>
      <c r="K6743" cm="1">
        <f t="array" ref="K6743">_xlfn.SWITCH(LeadsData[[#This Row],[Funnel Stage Reached]],"Lead",1,"MQL",2,"SQL",3,"Customer",4)</f>
        <v>1</v>
      </c>
      <c r="L6743" t="str">
        <f>TEXT(LeadsData[[#This Row],[Signup Date]],"mmm-yyyy")</f>
        <v>Oct-2024</v>
      </c>
      <c r="M6743">
        <f>IF(LeadsData[[#This Row],[Stage Number]]&gt;=2,1,0)</f>
        <v>0</v>
      </c>
      <c r="N6743" s="2">
        <f>IF(LeadsData[[#This Row],[Stage Number]]&gt;=3,1,0)</f>
        <v>0</v>
      </c>
      <c r="O6743" s="2">
        <f>IF(LeadsData[[#This Row],[Stage Number]]&gt;=4,1,0)</f>
        <v>0</v>
      </c>
    </row>
    <row r="6744" spans="1:15" x14ac:dyDescent="0.25">
      <c r="A6744" t="s">
        <v>6784</v>
      </c>
      <c r="B6744" s="1">
        <v>45447</v>
      </c>
      <c r="C6744" t="s">
        <v>25</v>
      </c>
      <c r="D6744" t="s">
        <v>26</v>
      </c>
      <c r="E6744" t="s">
        <v>13</v>
      </c>
      <c r="F6744" t="s">
        <v>28</v>
      </c>
      <c r="G6744" t="s">
        <v>15</v>
      </c>
      <c r="K6744" cm="1">
        <f t="array" ref="K6744">_xlfn.SWITCH(LeadsData[[#This Row],[Funnel Stage Reached]],"Lead",1,"MQL",2,"SQL",3,"Customer",4)</f>
        <v>1</v>
      </c>
      <c r="L6744" t="str">
        <f>TEXT(LeadsData[[#This Row],[Signup Date]],"mmm-yyyy")</f>
        <v>Jun-2024</v>
      </c>
      <c r="M6744">
        <f>IF(LeadsData[[#This Row],[Stage Number]]&gt;=2,1,0)</f>
        <v>0</v>
      </c>
      <c r="N6744" s="2">
        <f>IF(LeadsData[[#This Row],[Stage Number]]&gt;=3,1,0)</f>
        <v>0</v>
      </c>
      <c r="O6744" s="2">
        <f>IF(LeadsData[[#This Row],[Stage Number]]&gt;=4,1,0)</f>
        <v>0</v>
      </c>
    </row>
    <row r="6745" spans="1:15" x14ac:dyDescent="0.25">
      <c r="A6745" t="s">
        <v>6785</v>
      </c>
      <c r="B6745" s="1">
        <v>45447</v>
      </c>
      <c r="C6745" t="s">
        <v>11</v>
      </c>
      <c r="D6745" t="s">
        <v>68</v>
      </c>
      <c r="E6745" t="s">
        <v>13</v>
      </c>
      <c r="F6745" t="s">
        <v>14</v>
      </c>
      <c r="G6745" t="s">
        <v>29</v>
      </c>
      <c r="K6745" cm="1">
        <f t="array" ref="K6745">_xlfn.SWITCH(LeadsData[[#This Row],[Funnel Stage Reached]],"Lead",1,"MQL",2,"SQL",3,"Customer",4)</f>
        <v>3</v>
      </c>
      <c r="L6745" t="str">
        <f>TEXT(LeadsData[[#This Row],[Signup Date]],"mmm-yyyy")</f>
        <v>Jun-2024</v>
      </c>
      <c r="M6745">
        <f>IF(LeadsData[[#This Row],[Stage Number]]&gt;=2,1,0)</f>
        <v>1</v>
      </c>
      <c r="N6745" s="2">
        <f>IF(LeadsData[[#This Row],[Stage Number]]&gt;=3,1,0)</f>
        <v>1</v>
      </c>
      <c r="O6745" s="2">
        <f>IF(LeadsData[[#This Row],[Stage Number]]&gt;=4,1,0)</f>
        <v>0</v>
      </c>
    </row>
    <row r="6746" spans="1:15" x14ac:dyDescent="0.25">
      <c r="A6746" t="s">
        <v>6786</v>
      </c>
      <c r="B6746" s="1">
        <v>45318</v>
      </c>
      <c r="C6746" t="s">
        <v>11</v>
      </c>
      <c r="D6746" t="s">
        <v>12</v>
      </c>
      <c r="E6746" t="s">
        <v>21</v>
      </c>
      <c r="F6746" t="s">
        <v>28</v>
      </c>
      <c r="G6746" t="s">
        <v>23</v>
      </c>
      <c r="K6746" cm="1">
        <f t="array" ref="K6746">_xlfn.SWITCH(LeadsData[[#This Row],[Funnel Stage Reached]],"Lead",1,"MQL",2,"SQL",3,"Customer",4)</f>
        <v>2</v>
      </c>
      <c r="L6746" t="str">
        <f>TEXT(LeadsData[[#This Row],[Signup Date]],"mmm-yyyy")</f>
        <v>Jan-2024</v>
      </c>
      <c r="M6746">
        <f>IF(LeadsData[[#This Row],[Stage Number]]&gt;=2,1,0)</f>
        <v>1</v>
      </c>
      <c r="N6746" s="2">
        <f>IF(LeadsData[[#This Row],[Stage Number]]&gt;=3,1,0)</f>
        <v>0</v>
      </c>
      <c r="O6746" s="2">
        <f>IF(LeadsData[[#This Row],[Stage Number]]&gt;=4,1,0)</f>
        <v>0</v>
      </c>
    </row>
    <row r="6747" spans="1:15" x14ac:dyDescent="0.25">
      <c r="A6747" t="s">
        <v>6787</v>
      </c>
      <c r="B6747" s="1">
        <v>45388</v>
      </c>
      <c r="C6747" t="s">
        <v>31</v>
      </c>
      <c r="D6747" t="s">
        <v>32</v>
      </c>
      <c r="E6747" t="s">
        <v>21</v>
      </c>
      <c r="F6747" t="s">
        <v>22</v>
      </c>
      <c r="G6747" t="s">
        <v>23</v>
      </c>
      <c r="K6747" cm="1">
        <f t="array" ref="K6747">_xlfn.SWITCH(LeadsData[[#This Row],[Funnel Stage Reached]],"Lead",1,"MQL",2,"SQL",3,"Customer",4)</f>
        <v>2</v>
      </c>
      <c r="L6747" t="str">
        <f>TEXT(LeadsData[[#This Row],[Signup Date]],"mmm-yyyy")</f>
        <v>Apr-2024</v>
      </c>
      <c r="M6747">
        <f>IF(LeadsData[[#This Row],[Stage Number]]&gt;=2,1,0)</f>
        <v>1</v>
      </c>
      <c r="N6747" s="2">
        <f>IF(LeadsData[[#This Row],[Stage Number]]&gt;=3,1,0)</f>
        <v>0</v>
      </c>
      <c r="O6747" s="2">
        <f>IF(LeadsData[[#This Row],[Stage Number]]&gt;=4,1,0)</f>
        <v>0</v>
      </c>
    </row>
    <row r="6748" spans="1:15" x14ac:dyDescent="0.25">
      <c r="A6748" t="s">
        <v>6788</v>
      </c>
      <c r="B6748" s="1">
        <v>45375</v>
      </c>
      <c r="C6748" t="s">
        <v>46</v>
      </c>
      <c r="D6748" t="s">
        <v>56</v>
      </c>
      <c r="E6748" t="s">
        <v>13</v>
      </c>
      <c r="F6748" t="s">
        <v>22</v>
      </c>
      <c r="G6748" t="s">
        <v>29</v>
      </c>
      <c r="K6748" cm="1">
        <f t="array" ref="K6748">_xlfn.SWITCH(LeadsData[[#This Row],[Funnel Stage Reached]],"Lead",1,"MQL",2,"SQL",3,"Customer",4)</f>
        <v>3</v>
      </c>
      <c r="L6748" t="str">
        <f>TEXT(LeadsData[[#This Row],[Signup Date]],"mmm-yyyy")</f>
        <v>Mar-2024</v>
      </c>
      <c r="M6748">
        <f>IF(LeadsData[[#This Row],[Stage Number]]&gt;=2,1,0)</f>
        <v>1</v>
      </c>
      <c r="N6748" s="2">
        <f>IF(LeadsData[[#This Row],[Stage Number]]&gt;=3,1,0)</f>
        <v>1</v>
      </c>
      <c r="O6748" s="2">
        <f>IF(LeadsData[[#This Row],[Stage Number]]&gt;=4,1,0)</f>
        <v>0</v>
      </c>
    </row>
    <row r="6749" spans="1:15" x14ac:dyDescent="0.25">
      <c r="A6749" t="s">
        <v>6789</v>
      </c>
      <c r="B6749" s="1">
        <v>45449</v>
      </c>
      <c r="C6749" t="s">
        <v>11</v>
      </c>
      <c r="D6749" t="s">
        <v>12</v>
      </c>
      <c r="E6749" t="s">
        <v>21</v>
      </c>
      <c r="F6749" t="s">
        <v>22</v>
      </c>
      <c r="G6749" t="s">
        <v>15</v>
      </c>
      <c r="K6749" cm="1">
        <f t="array" ref="K6749">_xlfn.SWITCH(LeadsData[[#This Row],[Funnel Stage Reached]],"Lead",1,"MQL",2,"SQL",3,"Customer",4)</f>
        <v>1</v>
      </c>
      <c r="L6749" t="str">
        <f>TEXT(LeadsData[[#This Row],[Signup Date]],"mmm-yyyy")</f>
        <v>Jun-2024</v>
      </c>
      <c r="M6749">
        <f>IF(LeadsData[[#This Row],[Stage Number]]&gt;=2,1,0)</f>
        <v>0</v>
      </c>
      <c r="N6749" s="2">
        <f>IF(LeadsData[[#This Row],[Stage Number]]&gt;=3,1,0)</f>
        <v>0</v>
      </c>
      <c r="O6749" s="2">
        <f>IF(LeadsData[[#This Row],[Stage Number]]&gt;=4,1,0)</f>
        <v>0</v>
      </c>
    </row>
    <row r="6750" spans="1:15" x14ac:dyDescent="0.25">
      <c r="A6750" t="s">
        <v>6790</v>
      </c>
      <c r="B6750" s="1">
        <v>45427</v>
      </c>
      <c r="C6750" t="s">
        <v>46</v>
      </c>
      <c r="D6750" t="s">
        <v>56</v>
      </c>
      <c r="E6750" t="s">
        <v>21</v>
      </c>
      <c r="F6750" t="s">
        <v>19</v>
      </c>
      <c r="G6750" t="s">
        <v>23</v>
      </c>
      <c r="K6750" cm="1">
        <f t="array" ref="K6750">_xlfn.SWITCH(LeadsData[[#This Row],[Funnel Stage Reached]],"Lead",1,"MQL",2,"SQL",3,"Customer",4)</f>
        <v>2</v>
      </c>
      <c r="L6750" t="str">
        <f>TEXT(LeadsData[[#This Row],[Signup Date]],"mmm-yyyy")</f>
        <v>May-2024</v>
      </c>
      <c r="M6750">
        <f>IF(LeadsData[[#This Row],[Stage Number]]&gt;=2,1,0)</f>
        <v>1</v>
      </c>
      <c r="N6750" s="2">
        <f>IF(LeadsData[[#This Row],[Stage Number]]&gt;=3,1,0)</f>
        <v>0</v>
      </c>
      <c r="O6750" s="2">
        <f>IF(LeadsData[[#This Row],[Stage Number]]&gt;=4,1,0)</f>
        <v>0</v>
      </c>
    </row>
    <row r="6751" spans="1:15" x14ac:dyDescent="0.25">
      <c r="A6751" t="s">
        <v>6791</v>
      </c>
      <c r="B6751" s="1">
        <v>45417</v>
      </c>
      <c r="C6751" t="s">
        <v>25</v>
      </c>
      <c r="D6751" t="s">
        <v>26</v>
      </c>
      <c r="E6751" t="s">
        <v>48</v>
      </c>
      <c r="F6751" t="s">
        <v>19</v>
      </c>
      <c r="G6751" t="s">
        <v>15</v>
      </c>
      <c r="K6751" cm="1">
        <f t="array" ref="K6751">_xlfn.SWITCH(LeadsData[[#This Row],[Funnel Stage Reached]],"Lead",1,"MQL",2,"SQL",3,"Customer",4)</f>
        <v>1</v>
      </c>
      <c r="L6751" t="str">
        <f>TEXT(LeadsData[[#This Row],[Signup Date]],"mmm-yyyy")</f>
        <v>May-2024</v>
      </c>
      <c r="M6751">
        <f>IF(LeadsData[[#This Row],[Stage Number]]&gt;=2,1,0)</f>
        <v>0</v>
      </c>
      <c r="N6751" s="2">
        <f>IF(LeadsData[[#This Row],[Stage Number]]&gt;=3,1,0)</f>
        <v>0</v>
      </c>
      <c r="O6751" s="2">
        <f>IF(LeadsData[[#This Row],[Stage Number]]&gt;=4,1,0)</f>
        <v>0</v>
      </c>
    </row>
    <row r="6752" spans="1:15" x14ac:dyDescent="0.25">
      <c r="A6752" t="s">
        <v>6792</v>
      </c>
      <c r="B6752" s="1">
        <v>45371</v>
      </c>
      <c r="C6752" t="s">
        <v>17</v>
      </c>
      <c r="D6752" t="s">
        <v>18</v>
      </c>
      <c r="E6752" t="s">
        <v>21</v>
      </c>
      <c r="F6752" t="s">
        <v>19</v>
      </c>
      <c r="G6752" t="s">
        <v>23</v>
      </c>
      <c r="K6752" cm="1">
        <f t="array" ref="K6752">_xlfn.SWITCH(LeadsData[[#This Row],[Funnel Stage Reached]],"Lead",1,"MQL",2,"SQL",3,"Customer",4)</f>
        <v>2</v>
      </c>
      <c r="L6752" t="str">
        <f>TEXT(LeadsData[[#This Row],[Signup Date]],"mmm-yyyy")</f>
        <v>Mar-2024</v>
      </c>
      <c r="M6752">
        <f>IF(LeadsData[[#This Row],[Stage Number]]&gt;=2,1,0)</f>
        <v>1</v>
      </c>
      <c r="N6752" s="2">
        <f>IF(LeadsData[[#This Row],[Stage Number]]&gt;=3,1,0)</f>
        <v>0</v>
      </c>
      <c r="O6752" s="2">
        <f>IF(LeadsData[[#This Row],[Stage Number]]&gt;=4,1,0)</f>
        <v>0</v>
      </c>
    </row>
    <row r="6753" spans="1:15" x14ac:dyDescent="0.25">
      <c r="A6753" t="s">
        <v>6793</v>
      </c>
      <c r="B6753" s="1">
        <v>45313</v>
      </c>
      <c r="C6753" t="s">
        <v>25</v>
      </c>
      <c r="D6753" t="s">
        <v>26</v>
      </c>
      <c r="E6753" t="s">
        <v>13</v>
      </c>
      <c r="F6753" t="s">
        <v>22</v>
      </c>
      <c r="G6753" t="s">
        <v>29</v>
      </c>
      <c r="K6753" cm="1">
        <f t="array" ref="K6753">_xlfn.SWITCH(LeadsData[[#This Row],[Funnel Stage Reached]],"Lead",1,"MQL",2,"SQL",3,"Customer",4)</f>
        <v>3</v>
      </c>
      <c r="L6753" t="str">
        <f>TEXT(LeadsData[[#This Row],[Signup Date]],"mmm-yyyy")</f>
        <v>Jan-2024</v>
      </c>
      <c r="M6753">
        <f>IF(LeadsData[[#This Row],[Stage Number]]&gt;=2,1,0)</f>
        <v>1</v>
      </c>
      <c r="N6753" s="2">
        <f>IF(LeadsData[[#This Row],[Stage Number]]&gt;=3,1,0)</f>
        <v>1</v>
      </c>
      <c r="O6753" s="2">
        <f>IF(LeadsData[[#This Row],[Stage Number]]&gt;=4,1,0)</f>
        <v>0</v>
      </c>
    </row>
    <row r="6754" spans="1:15" x14ac:dyDescent="0.25">
      <c r="A6754" t="s">
        <v>6794</v>
      </c>
      <c r="B6754" s="1">
        <v>45468</v>
      </c>
      <c r="C6754" t="s">
        <v>31</v>
      </c>
      <c r="D6754" t="s">
        <v>32</v>
      </c>
      <c r="E6754" t="s">
        <v>13</v>
      </c>
      <c r="F6754" t="s">
        <v>14</v>
      </c>
      <c r="G6754" t="s">
        <v>42</v>
      </c>
      <c r="H6754">
        <v>57</v>
      </c>
      <c r="I6754" t="s">
        <v>87</v>
      </c>
      <c r="J6754">
        <v>1992.14</v>
      </c>
      <c r="K6754" cm="1">
        <f t="array" ref="K6754">_xlfn.SWITCH(LeadsData[[#This Row],[Funnel Stage Reached]],"Lead",1,"MQL",2,"SQL",3,"Customer",4)</f>
        <v>4</v>
      </c>
      <c r="L6754" t="str">
        <f>TEXT(LeadsData[[#This Row],[Signup Date]],"mmm-yyyy")</f>
        <v>Jun-2024</v>
      </c>
      <c r="M6754">
        <f>IF(LeadsData[[#This Row],[Stage Number]]&gt;=2,1,0)</f>
        <v>1</v>
      </c>
      <c r="N6754" s="2">
        <f>IF(LeadsData[[#This Row],[Stage Number]]&gt;=3,1,0)</f>
        <v>1</v>
      </c>
      <c r="O6754" s="2">
        <f>IF(LeadsData[[#This Row],[Stage Number]]&gt;=4,1,0)</f>
        <v>1</v>
      </c>
    </row>
    <row r="6755" spans="1:15" x14ac:dyDescent="0.25">
      <c r="A6755" t="s">
        <v>6795</v>
      </c>
      <c r="B6755" s="1">
        <v>45592</v>
      </c>
      <c r="C6755" t="s">
        <v>11</v>
      </c>
      <c r="D6755" t="s">
        <v>79</v>
      </c>
      <c r="E6755" t="s">
        <v>21</v>
      </c>
      <c r="F6755" t="s">
        <v>19</v>
      </c>
      <c r="G6755" t="s">
        <v>23</v>
      </c>
      <c r="K6755" cm="1">
        <f t="array" ref="K6755">_xlfn.SWITCH(LeadsData[[#This Row],[Funnel Stage Reached]],"Lead",1,"MQL",2,"SQL",3,"Customer",4)</f>
        <v>2</v>
      </c>
      <c r="L6755" t="str">
        <f>TEXT(LeadsData[[#This Row],[Signup Date]],"mmm-yyyy")</f>
        <v>Oct-2024</v>
      </c>
      <c r="M6755">
        <f>IF(LeadsData[[#This Row],[Stage Number]]&gt;=2,1,0)</f>
        <v>1</v>
      </c>
      <c r="N6755" s="2">
        <f>IF(LeadsData[[#This Row],[Stage Number]]&gt;=3,1,0)</f>
        <v>0</v>
      </c>
      <c r="O6755" s="2">
        <f>IF(LeadsData[[#This Row],[Stage Number]]&gt;=4,1,0)</f>
        <v>0</v>
      </c>
    </row>
    <row r="6756" spans="1:15" x14ac:dyDescent="0.25">
      <c r="A6756" t="s">
        <v>6796</v>
      </c>
      <c r="B6756" s="1">
        <v>45639</v>
      </c>
      <c r="C6756" t="s">
        <v>11</v>
      </c>
      <c r="D6756" t="s">
        <v>12</v>
      </c>
      <c r="E6756" t="s">
        <v>13</v>
      </c>
      <c r="F6756" t="s">
        <v>19</v>
      </c>
      <c r="G6756" t="s">
        <v>15</v>
      </c>
      <c r="K6756" cm="1">
        <f t="array" ref="K6756">_xlfn.SWITCH(LeadsData[[#This Row],[Funnel Stage Reached]],"Lead",1,"MQL",2,"SQL",3,"Customer",4)</f>
        <v>1</v>
      </c>
      <c r="L6756" t="str">
        <f>TEXT(LeadsData[[#This Row],[Signup Date]],"mmm-yyyy")</f>
        <v>Dec-2024</v>
      </c>
      <c r="M6756">
        <f>IF(LeadsData[[#This Row],[Stage Number]]&gt;=2,1,0)</f>
        <v>0</v>
      </c>
      <c r="N6756" s="2">
        <f>IF(LeadsData[[#This Row],[Stage Number]]&gt;=3,1,0)</f>
        <v>0</v>
      </c>
      <c r="O6756" s="2">
        <f>IF(LeadsData[[#This Row],[Stage Number]]&gt;=4,1,0)</f>
        <v>0</v>
      </c>
    </row>
    <row r="6757" spans="1:15" x14ac:dyDescent="0.25">
      <c r="A6757" t="s">
        <v>6797</v>
      </c>
      <c r="B6757" s="1">
        <v>45542</v>
      </c>
      <c r="C6757" t="s">
        <v>46</v>
      </c>
      <c r="D6757" t="s">
        <v>47</v>
      </c>
      <c r="E6757" t="s">
        <v>13</v>
      </c>
      <c r="F6757" t="s">
        <v>22</v>
      </c>
      <c r="G6757" t="s">
        <v>15</v>
      </c>
      <c r="K6757" cm="1">
        <f t="array" ref="K6757">_xlfn.SWITCH(LeadsData[[#This Row],[Funnel Stage Reached]],"Lead",1,"MQL",2,"SQL",3,"Customer",4)</f>
        <v>1</v>
      </c>
      <c r="L6757" t="str">
        <f>TEXT(LeadsData[[#This Row],[Signup Date]],"mmm-yyyy")</f>
        <v>Sep-2024</v>
      </c>
      <c r="M6757">
        <f>IF(LeadsData[[#This Row],[Stage Number]]&gt;=2,1,0)</f>
        <v>0</v>
      </c>
      <c r="N6757" s="2">
        <f>IF(LeadsData[[#This Row],[Stage Number]]&gt;=3,1,0)</f>
        <v>0</v>
      </c>
      <c r="O6757" s="2">
        <f>IF(LeadsData[[#This Row],[Stage Number]]&gt;=4,1,0)</f>
        <v>0</v>
      </c>
    </row>
    <row r="6758" spans="1:15" x14ac:dyDescent="0.25">
      <c r="A6758" t="s">
        <v>6798</v>
      </c>
      <c r="B6758" s="1">
        <v>45497</v>
      </c>
      <c r="C6758" t="s">
        <v>36</v>
      </c>
      <c r="D6758" t="s">
        <v>50</v>
      </c>
      <c r="E6758" t="s">
        <v>48</v>
      </c>
      <c r="F6758" t="s">
        <v>14</v>
      </c>
      <c r="G6758" t="s">
        <v>42</v>
      </c>
      <c r="H6758">
        <v>58</v>
      </c>
      <c r="I6758" t="s">
        <v>43</v>
      </c>
      <c r="J6758">
        <v>1263.72</v>
      </c>
      <c r="K6758" cm="1">
        <f t="array" ref="K6758">_xlfn.SWITCH(LeadsData[[#This Row],[Funnel Stage Reached]],"Lead",1,"MQL",2,"SQL",3,"Customer",4)</f>
        <v>4</v>
      </c>
      <c r="L6758" t="str">
        <f>TEXT(LeadsData[[#This Row],[Signup Date]],"mmm-yyyy")</f>
        <v>Jul-2024</v>
      </c>
      <c r="M6758">
        <f>IF(LeadsData[[#This Row],[Stage Number]]&gt;=2,1,0)</f>
        <v>1</v>
      </c>
      <c r="N6758" s="2">
        <f>IF(LeadsData[[#This Row],[Stage Number]]&gt;=3,1,0)</f>
        <v>1</v>
      </c>
      <c r="O6758" s="2">
        <f>IF(LeadsData[[#This Row],[Stage Number]]&gt;=4,1,0)</f>
        <v>1</v>
      </c>
    </row>
    <row r="6759" spans="1:15" x14ac:dyDescent="0.25">
      <c r="A6759" t="s">
        <v>6799</v>
      </c>
      <c r="B6759" s="1">
        <v>45545</v>
      </c>
      <c r="C6759" t="s">
        <v>25</v>
      </c>
      <c r="D6759" t="s">
        <v>26</v>
      </c>
      <c r="E6759" t="s">
        <v>13</v>
      </c>
      <c r="F6759" t="s">
        <v>19</v>
      </c>
      <c r="G6759" t="s">
        <v>23</v>
      </c>
      <c r="K6759" cm="1">
        <f t="array" ref="K6759">_xlfn.SWITCH(LeadsData[[#This Row],[Funnel Stage Reached]],"Lead",1,"MQL",2,"SQL",3,"Customer",4)</f>
        <v>2</v>
      </c>
      <c r="L6759" t="str">
        <f>TEXT(LeadsData[[#This Row],[Signup Date]],"mmm-yyyy")</f>
        <v>Sep-2024</v>
      </c>
      <c r="M6759">
        <f>IF(LeadsData[[#This Row],[Stage Number]]&gt;=2,1,0)</f>
        <v>1</v>
      </c>
      <c r="N6759" s="2">
        <f>IF(LeadsData[[#This Row],[Stage Number]]&gt;=3,1,0)</f>
        <v>0</v>
      </c>
      <c r="O6759" s="2">
        <f>IF(LeadsData[[#This Row],[Stage Number]]&gt;=4,1,0)</f>
        <v>0</v>
      </c>
    </row>
    <row r="6760" spans="1:15" x14ac:dyDescent="0.25">
      <c r="A6760" t="s">
        <v>6800</v>
      </c>
      <c r="B6760" s="1">
        <v>45360</v>
      </c>
      <c r="C6760" t="s">
        <v>11</v>
      </c>
      <c r="D6760" t="s">
        <v>12</v>
      </c>
      <c r="E6760" t="s">
        <v>13</v>
      </c>
      <c r="F6760" t="s">
        <v>14</v>
      </c>
      <c r="G6760" t="s">
        <v>29</v>
      </c>
      <c r="K6760" cm="1">
        <f t="array" ref="K6760">_xlfn.SWITCH(LeadsData[[#This Row],[Funnel Stage Reached]],"Lead",1,"MQL",2,"SQL",3,"Customer",4)</f>
        <v>3</v>
      </c>
      <c r="L6760" t="str">
        <f>TEXT(LeadsData[[#This Row],[Signup Date]],"mmm-yyyy")</f>
        <v>Mar-2024</v>
      </c>
      <c r="M6760">
        <f>IF(LeadsData[[#This Row],[Stage Number]]&gt;=2,1,0)</f>
        <v>1</v>
      </c>
      <c r="N6760" s="2">
        <f>IF(LeadsData[[#This Row],[Stage Number]]&gt;=3,1,0)</f>
        <v>1</v>
      </c>
      <c r="O6760" s="2">
        <f>IF(LeadsData[[#This Row],[Stage Number]]&gt;=4,1,0)</f>
        <v>0</v>
      </c>
    </row>
    <row r="6761" spans="1:15" x14ac:dyDescent="0.25">
      <c r="A6761" t="s">
        <v>6801</v>
      </c>
      <c r="B6761" s="1">
        <v>45636</v>
      </c>
      <c r="C6761" t="s">
        <v>11</v>
      </c>
      <c r="D6761" t="s">
        <v>79</v>
      </c>
      <c r="E6761" t="s">
        <v>21</v>
      </c>
      <c r="F6761" t="s">
        <v>19</v>
      </c>
      <c r="G6761" t="s">
        <v>15</v>
      </c>
      <c r="K6761" cm="1">
        <f t="array" ref="K6761">_xlfn.SWITCH(LeadsData[[#This Row],[Funnel Stage Reached]],"Lead",1,"MQL",2,"SQL",3,"Customer",4)</f>
        <v>1</v>
      </c>
      <c r="L6761" t="str">
        <f>TEXT(LeadsData[[#This Row],[Signup Date]],"mmm-yyyy")</f>
        <v>Dec-2024</v>
      </c>
      <c r="M6761">
        <f>IF(LeadsData[[#This Row],[Stage Number]]&gt;=2,1,0)</f>
        <v>0</v>
      </c>
      <c r="N6761" s="2">
        <f>IF(LeadsData[[#This Row],[Stage Number]]&gt;=3,1,0)</f>
        <v>0</v>
      </c>
      <c r="O6761" s="2">
        <f>IF(LeadsData[[#This Row],[Stage Number]]&gt;=4,1,0)</f>
        <v>0</v>
      </c>
    </row>
    <row r="6762" spans="1:15" x14ac:dyDescent="0.25">
      <c r="A6762" t="s">
        <v>6802</v>
      </c>
      <c r="B6762" s="1">
        <v>45576</v>
      </c>
      <c r="C6762" t="s">
        <v>31</v>
      </c>
      <c r="D6762" t="s">
        <v>34</v>
      </c>
      <c r="E6762" t="s">
        <v>13</v>
      </c>
      <c r="F6762" t="s">
        <v>22</v>
      </c>
      <c r="G6762" t="s">
        <v>23</v>
      </c>
      <c r="K6762" cm="1">
        <f t="array" ref="K6762">_xlfn.SWITCH(LeadsData[[#This Row],[Funnel Stage Reached]],"Lead",1,"MQL",2,"SQL",3,"Customer",4)</f>
        <v>2</v>
      </c>
      <c r="L6762" t="str">
        <f>TEXT(LeadsData[[#This Row],[Signup Date]],"mmm-yyyy")</f>
        <v>Oct-2024</v>
      </c>
      <c r="M6762">
        <f>IF(LeadsData[[#This Row],[Stage Number]]&gt;=2,1,0)</f>
        <v>1</v>
      </c>
      <c r="N6762" s="2">
        <f>IF(LeadsData[[#This Row],[Stage Number]]&gt;=3,1,0)</f>
        <v>0</v>
      </c>
      <c r="O6762" s="2">
        <f>IF(LeadsData[[#This Row],[Stage Number]]&gt;=4,1,0)</f>
        <v>0</v>
      </c>
    </row>
    <row r="6763" spans="1:15" x14ac:dyDescent="0.25">
      <c r="A6763" t="s">
        <v>6803</v>
      </c>
      <c r="B6763" s="1">
        <v>45579</v>
      </c>
      <c r="C6763" t="s">
        <v>25</v>
      </c>
      <c r="D6763" t="s">
        <v>26</v>
      </c>
      <c r="E6763" t="s">
        <v>13</v>
      </c>
      <c r="F6763" t="s">
        <v>22</v>
      </c>
      <c r="G6763" t="s">
        <v>23</v>
      </c>
      <c r="K6763" cm="1">
        <f t="array" ref="K6763">_xlfn.SWITCH(LeadsData[[#This Row],[Funnel Stage Reached]],"Lead",1,"MQL",2,"SQL",3,"Customer",4)</f>
        <v>2</v>
      </c>
      <c r="L6763" t="str">
        <f>TEXT(LeadsData[[#This Row],[Signup Date]],"mmm-yyyy")</f>
        <v>Oct-2024</v>
      </c>
      <c r="M6763">
        <f>IF(LeadsData[[#This Row],[Stage Number]]&gt;=2,1,0)</f>
        <v>1</v>
      </c>
      <c r="N6763" s="2">
        <f>IF(LeadsData[[#This Row],[Stage Number]]&gt;=3,1,0)</f>
        <v>0</v>
      </c>
      <c r="O6763" s="2">
        <f>IF(LeadsData[[#This Row],[Stage Number]]&gt;=4,1,0)</f>
        <v>0</v>
      </c>
    </row>
    <row r="6764" spans="1:15" x14ac:dyDescent="0.25">
      <c r="A6764" t="s">
        <v>6804</v>
      </c>
      <c r="B6764" s="1">
        <v>45415</v>
      </c>
      <c r="C6764" t="s">
        <v>31</v>
      </c>
      <c r="D6764" t="s">
        <v>32</v>
      </c>
      <c r="E6764" t="s">
        <v>13</v>
      </c>
      <c r="F6764" t="s">
        <v>28</v>
      </c>
      <c r="G6764" t="s">
        <v>29</v>
      </c>
      <c r="K6764" cm="1">
        <f t="array" ref="K6764">_xlfn.SWITCH(LeadsData[[#This Row],[Funnel Stage Reached]],"Lead",1,"MQL",2,"SQL",3,"Customer",4)</f>
        <v>3</v>
      </c>
      <c r="L6764" t="str">
        <f>TEXT(LeadsData[[#This Row],[Signup Date]],"mmm-yyyy")</f>
        <v>May-2024</v>
      </c>
      <c r="M6764">
        <f>IF(LeadsData[[#This Row],[Stage Number]]&gt;=2,1,0)</f>
        <v>1</v>
      </c>
      <c r="N6764" s="2">
        <f>IF(LeadsData[[#This Row],[Stage Number]]&gt;=3,1,0)</f>
        <v>1</v>
      </c>
      <c r="O6764" s="2">
        <f>IF(LeadsData[[#This Row],[Stage Number]]&gt;=4,1,0)</f>
        <v>0</v>
      </c>
    </row>
    <row r="6765" spans="1:15" x14ac:dyDescent="0.25">
      <c r="A6765" t="s">
        <v>6805</v>
      </c>
      <c r="B6765" s="1">
        <v>45617</v>
      </c>
      <c r="C6765" t="s">
        <v>11</v>
      </c>
      <c r="D6765" t="s">
        <v>68</v>
      </c>
      <c r="E6765" t="s">
        <v>13</v>
      </c>
      <c r="F6765" t="s">
        <v>19</v>
      </c>
      <c r="G6765" t="s">
        <v>23</v>
      </c>
      <c r="K6765" cm="1">
        <f t="array" ref="K6765">_xlfn.SWITCH(LeadsData[[#This Row],[Funnel Stage Reached]],"Lead",1,"MQL",2,"SQL",3,"Customer",4)</f>
        <v>2</v>
      </c>
      <c r="L6765" t="str">
        <f>TEXT(LeadsData[[#This Row],[Signup Date]],"mmm-yyyy")</f>
        <v>Nov-2024</v>
      </c>
      <c r="M6765">
        <f>IF(LeadsData[[#This Row],[Stage Number]]&gt;=2,1,0)</f>
        <v>1</v>
      </c>
      <c r="N6765" s="2">
        <f>IF(LeadsData[[#This Row],[Stage Number]]&gt;=3,1,0)</f>
        <v>0</v>
      </c>
      <c r="O6765" s="2">
        <f>IF(LeadsData[[#This Row],[Stage Number]]&gt;=4,1,0)</f>
        <v>0</v>
      </c>
    </row>
    <row r="6766" spans="1:15" x14ac:dyDescent="0.25">
      <c r="A6766" t="s">
        <v>6806</v>
      </c>
      <c r="B6766" s="1">
        <v>45429</v>
      </c>
      <c r="C6766" t="s">
        <v>31</v>
      </c>
      <c r="D6766" t="s">
        <v>34</v>
      </c>
      <c r="E6766" t="s">
        <v>13</v>
      </c>
      <c r="F6766" t="s">
        <v>14</v>
      </c>
      <c r="G6766" t="s">
        <v>15</v>
      </c>
      <c r="K6766" cm="1">
        <f t="array" ref="K6766">_xlfn.SWITCH(LeadsData[[#This Row],[Funnel Stage Reached]],"Lead",1,"MQL",2,"SQL",3,"Customer",4)</f>
        <v>1</v>
      </c>
      <c r="L6766" t="str">
        <f>TEXT(LeadsData[[#This Row],[Signup Date]],"mmm-yyyy")</f>
        <v>May-2024</v>
      </c>
      <c r="M6766">
        <f>IF(LeadsData[[#This Row],[Stage Number]]&gt;=2,1,0)</f>
        <v>0</v>
      </c>
      <c r="N6766" s="2">
        <f>IF(LeadsData[[#This Row],[Stage Number]]&gt;=3,1,0)</f>
        <v>0</v>
      </c>
      <c r="O6766" s="2">
        <f>IF(LeadsData[[#This Row],[Stage Number]]&gt;=4,1,0)</f>
        <v>0</v>
      </c>
    </row>
    <row r="6767" spans="1:15" x14ac:dyDescent="0.25">
      <c r="A6767" t="s">
        <v>6807</v>
      </c>
      <c r="B6767" s="1">
        <v>45338</v>
      </c>
      <c r="C6767" t="s">
        <v>31</v>
      </c>
      <c r="D6767" t="s">
        <v>32</v>
      </c>
      <c r="E6767" t="s">
        <v>13</v>
      </c>
      <c r="F6767" t="s">
        <v>19</v>
      </c>
      <c r="G6767" t="s">
        <v>15</v>
      </c>
      <c r="K6767" cm="1">
        <f t="array" ref="K6767">_xlfn.SWITCH(LeadsData[[#This Row],[Funnel Stage Reached]],"Lead",1,"MQL",2,"SQL",3,"Customer",4)</f>
        <v>1</v>
      </c>
      <c r="L6767" t="str">
        <f>TEXT(LeadsData[[#This Row],[Signup Date]],"mmm-yyyy")</f>
        <v>Feb-2024</v>
      </c>
      <c r="M6767">
        <f>IF(LeadsData[[#This Row],[Stage Number]]&gt;=2,1,0)</f>
        <v>0</v>
      </c>
      <c r="N6767" s="2">
        <f>IF(LeadsData[[#This Row],[Stage Number]]&gt;=3,1,0)</f>
        <v>0</v>
      </c>
      <c r="O6767" s="2">
        <f>IF(LeadsData[[#This Row],[Stage Number]]&gt;=4,1,0)</f>
        <v>0</v>
      </c>
    </row>
    <row r="6768" spans="1:15" x14ac:dyDescent="0.25">
      <c r="A6768" t="s">
        <v>6808</v>
      </c>
      <c r="B6768" s="1">
        <v>45384</v>
      </c>
      <c r="C6768" t="s">
        <v>11</v>
      </c>
      <c r="D6768" t="s">
        <v>79</v>
      </c>
      <c r="E6768" t="s">
        <v>21</v>
      </c>
      <c r="F6768" t="s">
        <v>19</v>
      </c>
      <c r="G6768" t="s">
        <v>15</v>
      </c>
      <c r="K6768" cm="1">
        <f t="array" ref="K6768">_xlfn.SWITCH(LeadsData[[#This Row],[Funnel Stage Reached]],"Lead",1,"MQL",2,"SQL",3,"Customer",4)</f>
        <v>1</v>
      </c>
      <c r="L6768" t="str">
        <f>TEXT(LeadsData[[#This Row],[Signup Date]],"mmm-yyyy")</f>
        <v>Apr-2024</v>
      </c>
      <c r="M6768">
        <f>IF(LeadsData[[#This Row],[Stage Number]]&gt;=2,1,0)</f>
        <v>0</v>
      </c>
      <c r="N6768" s="2">
        <f>IF(LeadsData[[#This Row],[Stage Number]]&gt;=3,1,0)</f>
        <v>0</v>
      </c>
      <c r="O6768" s="2">
        <f>IF(LeadsData[[#This Row],[Stage Number]]&gt;=4,1,0)</f>
        <v>0</v>
      </c>
    </row>
    <row r="6769" spans="1:15" x14ac:dyDescent="0.25">
      <c r="A6769" t="s">
        <v>6809</v>
      </c>
      <c r="B6769" s="1">
        <v>45300</v>
      </c>
      <c r="C6769" t="s">
        <v>17</v>
      </c>
      <c r="D6769" t="s">
        <v>18</v>
      </c>
      <c r="E6769" t="s">
        <v>13</v>
      </c>
      <c r="F6769" t="s">
        <v>19</v>
      </c>
      <c r="G6769" t="s">
        <v>23</v>
      </c>
      <c r="K6769" cm="1">
        <f t="array" ref="K6769">_xlfn.SWITCH(LeadsData[[#This Row],[Funnel Stage Reached]],"Lead",1,"MQL",2,"SQL",3,"Customer",4)</f>
        <v>2</v>
      </c>
      <c r="L6769" t="str">
        <f>TEXT(LeadsData[[#This Row],[Signup Date]],"mmm-yyyy")</f>
        <v>Jan-2024</v>
      </c>
      <c r="M6769">
        <f>IF(LeadsData[[#This Row],[Stage Number]]&gt;=2,1,0)</f>
        <v>1</v>
      </c>
      <c r="N6769" s="2">
        <f>IF(LeadsData[[#This Row],[Stage Number]]&gt;=3,1,0)</f>
        <v>0</v>
      </c>
      <c r="O6769" s="2">
        <f>IF(LeadsData[[#This Row],[Stage Number]]&gt;=4,1,0)</f>
        <v>0</v>
      </c>
    </row>
    <row r="6770" spans="1:15" x14ac:dyDescent="0.25">
      <c r="A6770" t="s">
        <v>6810</v>
      </c>
      <c r="B6770" s="1">
        <v>45447</v>
      </c>
      <c r="C6770" t="s">
        <v>36</v>
      </c>
      <c r="D6770" t="s">
        <v>50</v>
      </c>
      <c r="E6770" t="s">
        <v>21</v>
      </c>
      <c r="F6770" t="s">
        <v>19</v>
      </c>
      <c r="G6770" t="s">
        <v>29</v>
      </c>
      <c r="K6770" cm="1">
        <f t="array" ref="K6770">_xlfn.SWITCH(LeadsData[[#This Row],[Funnel Stage Reached]],"Lead",1,"MQL",2,"SQL",3,"Customer",4)</f>
        <v>3</v>
      </c>
      <c r="L6770" t="str">
        <f>TEXT(LeadsData[[#This Row],[Signup Date]],"mmm-yyyy")</f>
        <v>Jun-2024</v>
      </c>
      <c r="M6770">
        <f>IF(LeadsData[[#This Row],[Stage Number]]&gt;=2,1,0)</f>
        <v>1</v>
      </c>
      <c r="N6770" s="2">
        <f>IF(LeadsData[[#This Row],[Stage Number]]&gt;=3,1,0)</f>
        <v>1</v>
      </c>
      <c r="O6770" s="2">
        <f>IF(LeadsData[[#This Row],[Stage Number]]&gt;=4,1,0)</f>
        <v>0</v>
      </c>
    </row>
    <row r="6771" spans="1:15" x14ac:dyDescent="0.25">
      <c r="A6771" t="s">
        <v>6811</v>
      </c>
      <c r="B6771" s="1">
        <v>45482</v>
      </c>
      <c r="C6771" t="s">
        <v>17</v>
      </c>
      <c r="D6771" t="s">
        <v>18</v>
      </c>
      <c r="E6771" t="s">
        <v>21</v>
      </c>
      <c r="F6771" t="s">
        <v>19</v>
      </c>
      <c r="G6771" t="s">
        <v>29</v>
      </c>
      <c r="K6771" cm="1">
        <f t="array" ref="K6771">_xlfn.SWITCH(LeadsData[[#This Row],[Funnel Stage Reached]],"Lead",1,"MQL",2,"SQL",3,"Customer",4)</f>
        <v>3</v>
      </c>
      <c r="L6771" t="str">
        <f>TEXT(LeadsData[[#This Row],[Signup Date]],"mmm-yyyy")</f>
        <v>Jul-2024</v>
      </c>
      <c r="M6771">
        <f>IF(LeadsData[[#This Row],[Stage Number]]&gt;=2,1,0)</f>
        <v>1</v>
      </c>
      <c r="N6771" s="2">
        <f>IF(LeadsData[[#This Row],[Stage Number]]&gt;=3,1,0)</f>
        <v>1</v>
      </c>
      <c r="O6771" s="2">
        <f>IF(LeadsData[[#This Row],[Stage Number]]&gt;=4,1,0)</f>
        <v>0</v>
      </c>
    </row>
    <row r="6772" spans="1:15" x14ac:dyDescent="0.25">
      <c r="A6772" t="s">
        <v>6812</v>
      </c>
      <c r="B6772" s="1">
        <v>45500</v>
      </c>
      <c r="C6772" t="s">
        <v>36</v>
      </c>
      <c r="D6772" t="s">
        <v>37</v>
      </c>
      <c r="E6772" t="s">
        <v>13</v>
      </c>
      <c r="F6772" t="s">
        <v>22</v>
      </c>
      <c r="G6772" t="s">
        <v>29</v>
      </c>
      <c r="K6772" cm="1">
        <f t="array" ref="K6772">_xlfn.SWITCH(LeadsData[[#This Row],[Funnel Stage Reached]],"Lead",1,"MQL",2,"SQL",3,"Customer",4)</f>
        <v>3</v>
      </c>
      <c r="L6772" t="str">
        <f>TEXT(LeadsData[[#This Row],[Signup Date]],"mmm-yyyy")</f>
        <v>Jul-2024</v>
      </c>
      <c r="M6772">
        <f>IF(LeadsData[[#This Row],[Stage Number]]&gt;=2,1,0)</f>
        <v>1</v>
      </c>
      <c r="N6772" s="2">
        <f>IF(LeadsData[[#This Row],[Stage Number]]&gt;=3,1,0)</f>
        <v>1</v>
      </c>
      <c r="O6772" s="2">
        <f>IF(LeadsData[[#This Row],[Stage Number]]&gt;=4,1,0)</f>
        <v>0</v>
      </c>
    </row>
    <row r="6773" spans="1:15" x14ac:dyDescent="0.25">
      <c r="A6773" t="s">
        <v>6813</v>
      </c>
      <c r="B6773" s="1">
        <v>45632</v>
      </c>
      <c r="C6773" t="s">
        <v>17</v>
      </c>
      <c r="D6773" t="s">
        <v>53</v>
      </c>
      <c r="E6773" t="s">
        <v>13</v>
      </c>
      <c r="F6773" t="s">
        <v>19</v>
      </c>
      <c r="G6773" t="s">
        <v>29</v>
      </c>
      <c r="K6773" cm="1">
        <f t="array" ref="K6773">_xlfn.SWITCH(LeadsData[[#This Row],[Funnel Stage Reached]],"Lead",1,"MQL",2,"SQL",3,"Customer",4)</f>
        <v>3</v>
      </c>
      <c r="L6773" t="str">
        <f>TEXT(LeadsData[[#This Row],[Signup Date]],"mmm-yyyy")</f>
        <v>Dec-2024</v>
      </c>
      <c r="M6773">
        <f>IF(LeadsData[[#This Row],[Stage Number]]&gt;=2,1,0)</f>
        <v>1</v>
      </c>
      <c r="N6773" s="2">
        <f>IF(LeadsData[[#This Row],[Stage Number]]&gt;=3,1,0)</f>
        <v>1</v>
      </c>
      <c r="O6773" s="2">
        <f>IF(LeadsData[[#This Row],[Stage Number]]&gt;=4,1,0)</f>
        <v>0</v>
      </c>
    </row>
    <row r="6774" spans="1:15" x14ac:dyDescent="0.25">
      <c r="A6774" t="s">
        <v>6814</v>
      </c>
      <c r="B6774" s="1">
        <v>45597</v>
      </c>
      <c r="C6774" t="s">
        <v>17</v>
      </c>
      <c r="D6774" t="s">
        <v>53</v>
      </c>
      <c r="E6774" t="s">
        <v>13</v>
      </c>
      <c r="F6774" t="s">
        <v>28</v>
      </c>
      <c r="G6774" t="s">
        <v>23</v>
      </c>
      <c r="K6774" cm="1">
        <f t="array" ref="K6774">_xlfn.SWITCH(LeadsData[[#This Row],[Funnel Stage Reached]],"Lead",1,"MQL",2,"SQL",3,"Customer",4)</f>
        <v>2</v>
      </c>
      <c r="L6774" t="str">
        <f>TEXT(LeadsData[[#This Row],[Signup Date]],"mmm-yyyy")</f>
        <v>Nov-2024</v>
      </c>
      <c r="M6774">
        <f>IF(LeadsData[[#This Row],[Stage Number]]&gt;=2,1,0)</f>
        <v>1</v>
      </c>
      <c r="N6774" s="2">
        <f>IF(LeadsData[[#This Row],[Stage Number]]&gt;=3,1,0)</f>
        <v>0</v>
      </c>
      <c r="O6774" s="2">
        <f>IF(LeadsData[[#This Row],[Stage Number]]&gt;=4,1,0)</f>
        <v>0</v>
      </c>
    </row>
    <row r="6775" spans="1:15" x14ac:dyDescent="0.25">
      <c r="A6775" t="s">
        <v>6815</v>
      </c>
      <c r="B6775" s="1">
        <v>45547</v>
      </c>
      <c r="C6775" t="s">
        <v>31</v>
      </c>
      <c r="D6775" t="s">
        <v>32</v>
      </c>
      <c r="E6775" t="s">
        <v>21</v>
      </c>
      <c r="F6775" t="s">
        <v>22</v>
      </c>
      <c r="G6775" t="s">
        <v>42</v>
      </c>
      <c r="H6775">
        <v>17</v>
      </c>
      <c r="I6775" t="s">
        <v>43</v>
      </c>
      <c r="J6775">
        <v>696.5</v>
      </c>
      <c r="K6775" cm="1">
        <f t="array" ref="K6775">_xlfn.SWITCH(LeadsData[[#This Row],[Funnel Stage Reached]],"Lead",1,"MQL",2,"SQL",3,"Customer",4)</f>
        <v>4</v>
      </c>
      <c r="L6775" t="str">
        <f>TEXT(LeadsData[[#This Row],[Signup Date]],"mmm-yyyy")</f>
        <v>Sep-2024</v>
      </c>
      <c r="M6775">
        <f>IF(LeadsData[[#This Row],[Stage Number]]&gt;=2,1,0)</f>
        <v>1</v>
      </c>
      <c r="N6775" s="2">
        <f>IF(LeadsData[[#This Row],[Stage Number]]&gt;=3,1,0)</f>
        <v>1</v>
      </c>
      <c r="O6775" s="2">
        <f>IF(LeadsData[[#This Row],[Stage Number]]&gt;=4,1,0)</f>
        <v>1</v>
      </c>
    </row>
    <row r="6776" spans="1:15" x14ac:dyDescent="0.25">
      <c r="A6776" t="s">
        <v>6816</v>
      </c>
      <c r="B6776" s="1">
        <v>45607</v>
      </c>
      <c r="C6776" t="s">
        <v>46</v>
      </c>
      <c r="D6776" t="s">
        <v>47</v>
      </c>
      <c r="E6776" t="s">
        <v>13</v>
      </c>
      <c r="F6776" t="s">
        <v>19</v>
      </c>
      <c r="G6776" t="s">
        <v>15</v>
      </c>
      <c r="K6776" cm="1">
        <f t="array" ref="K6776">_xlfn.SWITCH(LeadsData[[#This Row],[Funnel Stage Reached]],"Lead",1,"MQL",2,"SQL",3,"Customer",4)</f>
        <v>1</v>
      </c>
      <c r="L6776" t="str">
        <f>TEXT(LeadsData[[#This Row],[Signup Date]],"mmm-yyyy")</f>
        <v>Nov-2024</v>
      </c>
      <c r="M6776">
        <f>IF(LeadsData[[#This Row],[Stage Number]]&gt;=2,1,0)</f>
        <v>0</v>
      </c>
      <c r="N6776" s="2">
        <f>IF(LeadsData[[#This Row],[Stage Number]]&gt;=3,1,0)</f>
        <v>0</v>
      </c>
      <c r="O6776" s="2">
        <f>IF(LeadsData[[#This Row],[Stage Number]]&gt;=4,1,0)</f>
        <v>0</v>
      </c>
    </row>
    <row r="6777" spans="1:15" x14ac:dyDescent="0.25">
      <c r="A6777" t="s">
        <v>6817</v>
      </c>
      <c r="B6777" s="1">
        <v>45292</v>
      </c>
      <c r="C6777" t="s">
        <v>25</v>
      </c>
      <c r="D6777" t="s">
        <v>26</v>
      </c>
      <c r="E6777" t="s">
        <v>21</v>
      </c>
      <c r="F6777" t="s">
        <v>28</v>
      </c>
      <c r="G6777" t="s">
        <v>42</v>
      </c>
      <c r="H6777">
        <v>56</v>
      </c>
      <c r="I6777" t="s">
        <v>43</v>
      </c>
      <c r="J6777">
        <v>1305.96</v>
      </c>
      <c r="K6777" cm="1">
        <f t="array" ref="K6777">_xlfn.SWITCH(LeadsData[[#This Row],[Funnel Stage Reached]],"Lead",1,"MQL",2,"SQL",3,"Customer",4)</f>
        <v>4</v>
      </c>
      <c r="L6777" t="str">
        <f>TEXT(LeadsData[[#This Row],[Signup Date]],"mmm-yyyy")</f>
        <v>Jan-2024</v>
      </c>
      <c r="M6777">
        <f>IF(LeadsData[[#This Row],[Stage Number]]&gt;=2,1,0)</f>
        <v>1</v>
      </c>
      <c r="N6777" s="2">
        <f>IF(LeadsData[[#This Row],[Stage Number]]&gt;=3,1,0)</f>
        <v>1</v>
      </c>
      <c r="O6777" s="2">
        <f>IF(LeadsData[[#This Row],[Stage Number]]&gt;=4,1,0)</f>
        <v>1</v>
      </c>
    </row>
    <row r="6778" spans="1:15" x14ac:dyDescent="0.25">
      <c r="A6778" t="s">
        <v>6818</v>
      </c>
      <c r="B6778" s="1">
        <v>45639</v>
      </c>
      <c r="C6778" t="s">
        <v>17</v>
      </c>
      <c r="D6778" t="s">
        <v>18</v>
      </c>
      <c r="E6778" t="s">
        <v>21</v>
      </c>
      <c r="F6778" t="s">
        <v>19</v>
      </c>
      <c r="G6778" t="s">
        <v>42</v>
      </c>
      <c r="H6778">
        <v>71</v>
      </c>
      <c r="I6778" t="s">
        <v>43</v>
      </c>
      <c r="J6778">
        <v>889.42</v>
      </c>
      <c r="K6778" cm="1">
        <f t="array" ref="K6778">_xlfn.SWITCH(LeadsData[[#This Row],[Funnel Stage Reached]],"Lead",1,"MQL",2,"SQL",3,"Customer",4)</f>
        <v>4</v>
      </c>
      <c r="L6778" t="str">
        <f>TEXT(LeadsData[[#This Row],[Signup Date]],"mmm-yyyy")</f>
        <v>Dec-2024</v>
      </c>
      <c r="M6778">
        <f>IF(LeadsData[[#This Row],[Stage Number]]&gt;=2,1,0)</f>
        <v>1</v>
      </c>
      <c r="N6778" s="2">
        <f>IF(LeadsData[[#This Row],[Stage Number]]&gt;=3,1,0)</f>
        <v>1</v>
      </c>
      <c r="O6778" s="2">
        <f>IF(LeadsData[[#This Row],[Stage Number]]&gt;=4,1,0)</f>
        <v>1</v>
      </c>
    </row>
    <row r="6779" spans="1:15" x14ac:dyDescent="0.25">
      <c r="A6779" t="s">
        <v>6819</v>
      </c>
      <c r="B6779" s="1">
        <v>45620</v>
      </c>
      <c r="C6779" t="s">
        <v>31</v>
      </c>
      <c r="D6779" t="s">
        <v>32</v>
      </c>
      <c r="E6779" t="s">
        <v>21</v>
      </c>
      <c r="F6779" t="s">
        <v>22</v>
      </c>
      <c r="G6779" t="s">
        <v>29</v>
      </c>
      <c r="K6779" cm="1">
        <f t="array" ref="K6779">_xlfn.SWITCH(LeadsData[[#This Row],[Funnel Stage Reached]],"Lead",1,"MQL",2,"SQL",3,"Customer",4)</f>
        <v>3</v>
      </c>
      <c r="L6779" t="str">
        <f>TEXT(LeadsData[[#This Row],[Signup Date]],"mmm-yyyy")</f>
        <v>Nov-2024</v>
      </c>
      <c r="M6779">
        <f>IF(LeadsData[[#This Row],[Stage Number]]&gt;=2,1,0)</f>
        <v>1</v>
      </c>
      <c r="N6779" s="2">
        <f>IF(LeadsData[[#This Row],[Stage Number]]&gt;=3,1,0)</f>
        <v>1</v>
      </c>
      <c r="O6779" s="2">
        <f>IF(LeadsData[[#This Row],[Stage Number]]&gt;=4,1,0)</f>
        <v>0</v>
      </c>
    </row>
    <row r="6780" spans="1:15" x14ac:dyDescent="0.25">
      <c r="A6780" t="s">
        <v>6820</v>
      </c>
      <c r="B6780" s="1">
        <v>45490</v>
      </c>
      <c r="C6780" t="s">
        <v>46</v>
      </c>
      <c r="D6780" t="s">
        <v>56</v>
      </c>
      <c r="E6780" t="s">
        <v>13</v>
      </c>
      <c r="F6780" t="s">
        <v>22</v>
      </c>
      <c r="G6780" t="s">
        <v>23</v>
      </c>
      <c r="K6780" cm="1">
        <f t="array" ref="K6780">_xlfn.SWITCH(LeadsData[[#This Row],[Funnel Stage Reached]],"Lead",1,"MQL",2,"SQL",3,"Customer",4)</f>
        <v>2</v>
      </c>
      <c r="L6780" t="str">
        <f>TEXT(LeadsData[[#This Row],[Signup Date]],"mmm-yyyy")</f>
        <v>Jul-2024</v>
      </c>
      <c r="M6780">
        <f>IF(LeadsData[[#This Row],[Stage Number]]&gt;=2,1,0)</f>
        <v>1</v>
      </c>
      <c r="N6780" s="2">
        <f>IF(LeadsData[[#This Row],[Stage Number]]&gt;=3,1,0)</f>
        <v>0</v>
      </c>
      <c r="O6780" s="2">
        <f>IF(LeadsData[[#This Row],[Stage Number]]&gt;=4,1,0)</f>
        <v>0</v>
      </c>
    </row>
    <row r="6781" spans="1:15" x14ac:dyDescent="0.25">
      <c r="A6781" t="s">
        <v>6821</v>
      </c>
      <c r="B6781" s="1">
        <v>45519</v>
      </c>
      <c r="C6781" t="s">
        <v>31</v>
      </c>
      <c r="D6781" t="s">
        <v>32</v>
      </c>
      <c r="E6781" t="s">
        <v>13</v>
      </c>
      <c r="F6781" t="s">
        <v>19</v>
      </c>
      <c r="G6781" t="s">
        <v>15</v>
      </c>
      <c r="K6781" cm="1">
        <f t="array" ref="K6781">_xlfn.SWITCH(LeadsData[[#This Row],[Funnel Stage Reached]],"Lead",1,"MQL",2,"SQL",3,"Customer",4)</f>
        <v>1</v>
      </c>
      <c r="L6781" t="str">
        <f>TEXT(LeadsData[[#This Row],[Signup Date]],"mmm-yyyy")</f>
        <v>Aug-2024</v>
      </c>
      <c r="M6781">
        <f>IF(LeadsData[[#This Row],[Stage Number]]&gt;=2,1,0)</f>
        <v>0</v>
      </c>
      <c r="N6781" s="2">
        <f>IF(LeadsData[[#This Row],[Stage Number]]&gt;=3,1,0)</f>
        <v>0</v>
      </c>
      <c r="O6781" s="2">
        <f>IF(LeadsData[[#This Row],[Stage Number]]&gt;=4,1,0)</f>
        <v>0</v>
      </c>
    </row>
    <row r="6782" spans="1:15" x14ac:dyDescent="0.25">
      <c r="A6782" t="s">
        <v>6822</v>
      </c>
      <c r="B6782" s="1">
        <v>45592</v>
      </c>
      <c r="C6782" t="s">
        <v>36</v>
      </c>
      <c r="D6782" t="s">
        <v>37</v>
      </c>
      <c r="E6782" t="s">
        <v>21</v>
      </c>
      <c r="F6782" t="s">
        <v>22</v>
      </c>
      <c r="G6782" t="s">
        <v>23</v>
      </c>
      <c r="K6782" cm="1">
        <f t="array" ref="K6782">_xlfn.SWITCH(LeadsData[[#This Row],[Funnel Stage Reached]],"Lead",1,"MQL",2,"SQL",3,"Customer",4)</f>
        <v>2</v>
      </c>
      <c r="L6782" t="str">
        <f>TEXT(LeadsData[[#This Row],[Signup Date]],"mmm-yyyy")</f>
        <v>Oct-2024</v>
      </c>
      <c r="M6782">
        <f>IF(LeadsData[[#This Row],[Stage Number]]&gt;=2,1,0)</f>
        <v>1</v>
      </c>
      <c r="N6782" s="2">
        <f>IF(LeadsData[[#This Row],[Stage Number]]&gt;=3,1,0)</f>
        <v>0</v>
      </c>
      <c r="O6782" s="2">
        <f>IF(LeadsData[[#This Row],[Stage Number]]&gt;=4,1,0)</f>
        <v>0</v>
      </c>
    </row>
    <row r="6783" spans="1:15" x14ac:dyDescent="0.25">
      <c r="A6783" t="s">
        <v>6823</v>
      </c>
      <c r="B6783" s="1">
        <v>45581</v>
      </c>
      <c r="C6783" t="s">
        <v>36</v>
      </c>
      <c r="D6783" t="s">
        <v>37</v>
      </c>
      <c r="E6783" t="s">
        <v>21</v>
      </c>
      <c r="F6783" t="s">
        <v>14</v>
      </c>
      <c r="G6783" t="s">
        <v>29</v>
      </c>
      <c r="K6783" cm="1">
        <f t="array" ref="K6783">_xlfn.SWITCH(LeadsData[[#This Row],[Funnel Stage Reached]],"Lead",1,"MQL",2,"SQL",3,"Customer",4)</f>
        <v>3</v>
      </c>
      <c r="L6783" t="str">
        <f>TEXT(LeadsData[[#This Row],[Signup Date]],"mmm-yyyy")</f>
        <v>Oct-2024</v>
      </c>
      <c r="M6783">
        <f>IF(LeadsData[[#This Row],[Stage Number]]&gt;=2,1,0)</f>
        <v>1</v>
      </c>
      <c r="N6783" s="2">
        <f>IF(LeadsData[[#This Row],[Stage Number]]&gt;=3,1,0)</f>
        <v>1</v>
      </c>
      <c r="O6783" s="2">
        <f>IF(LeadsData[[#This Row],[Stage Number]]&gt;=4,1,0)</f>
        <v>0</v>
      </c>
    </row>
    <row r="6784" spans="1:15" x14ac:dyDescent="0.25">
      <c r="A6784" t="s">
        <v>6824</v>
      </c>
      <c r="B6784" s="1">
        <v>45600</v>
      </c>
      <c r="C6784" t="s">
        <v>46</v>
      </c>
      <c r="D6784" t="s">
        <v>47</v>
      </c>
      <c r="E6784" t="s">
        <v>13</v>
      </c>
      <c r="F6784" t="s">
        <v>19</v>
      </c>
      <c r="G6784" t="s">
        <v>23</v>
      </c>
      <c r="K6784" cm="1">
        <f t="array" ref="K6784">_xlfn.SWITCH(LeadsData[[#This Row],[Funnel Stage Reached]],"Lead",1,"MQL",2,"SQL",3,"Customer",4)</f>
        <v>2</v>
      </c>
      <c r="L6784" t="str">
        <f>TEXT(LeadsData[[#This Row],[Signup Date]],"mmm-yyyy")</f>
        <v>Nov-2024</v>
      </c>
      <c r="M6784">
        <f>IF(LeadsData[[#This Row],[Stage Number]]&gt;=2,1,0)</f>
        <v>1</v>
      </c>
      <c r="N6784" s="2">
        <f>IF(LeadsData[[#This Row],[Stage Number]]&gt;=3,1,0)</f>
        <v>0</v>
      </c>
      <c r="O6784" s="2">
        <f>IF(LeadsData[[#This Row],[Stage Number]]&gt;=4,1,0)</f>
        <v>0</v>
      </c>
    </row>
    <row r="6785" spans="1:15" x14ac:dyDescent="0.25">
      <c r="A6785" t="s">
        <v>6825</v>
      </c>
      <c r="B6785" s="1">
        <v>45324</v>
      </c>
      <c r="C6785" t="s">
        <v>36</v>
      </c>
      <c r="D6785" t="s">
        <v>37</v>
      </c>
      <c r="E6785" t="s">
        <v>21</v>
      </c>
      <c r="F6785" t="s">
        <v>19</v>
      </c>
      <c r="G6785" t="s">
        <v>29</v>
      </c>
      <c r="K6785" cm="1">
        <f t="array" ref="K6785">_xlfn.SWITCH(LeadsData[[#This Row],[Funnel Stage Reached]],"Lead",1,"MQL",2,"SQL",3,"Customer",4)</f>
        <v>3</v>
      </c>
      <c r="L6785" t="str">
        <f>TEXT(LeadsData[[#This Row],[Signup Date]],"mmm-yyyy")</f>
        <v>Feb-2024</v>
      </c>
      <c r="M6785">
        <f>IF(LeadsData[[#This Row],[Stage Number]]&gt;=2,1,0)</f>
        <v>1</v>
      </c>
      <c r="N6785" s="2">
        <f>IF(LeadsData[[#This Row],[Stage Number]]&gt;=3,1,0)</f>
        <v>1</v>
      </c>
      <c r="O6785" s="2">
        <f>IF(LeadsData[[#This Row],[Stage Number]]&gt;=4,1,0)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1E289-5692-4C95-B9C6-D196D24E4806}">
  <dimension ref="A3:G4"/>
  <sheetViews>
    <sheetView workbookViewId="0">
      <selection activeCell="G5" sqref="G5"/>
    </sheetView>
  </sheetViews>
  <sheetFormatPr defaultRowHeight="15" x14ac:dyDescent="0.25"/>
  <cols>
    <col min="1" max="1" width="16.140625" bestFit="1" customWidth="1"/>
    <col min="2" max="2" width="21.85546875" bestFit="1" customWidth="1"/>
    <col min="3" max="3" width="21.42578125" bestFit="1" customWidth="1"/>
    <col min="4" max="4" width="25.5703125" bestFit="1" customWidth="1"/>
  </cols>
  <sheetData>
    <row r="3" spans="1:7" x14ac:dyDescent="0.25">
      <c r="A3" t="s">
        <v>6831</v>
      </c>
      <c r="B3" t="s">
        <v>6832</v>
      </c>
      <c r="C3" t="s">
        <v>6833</v>
      </c>
      <c r="D3" t="s">
        <v>6834</v>
      </c>
      <c r="E3" t="s">
        <v>6835</v>
      </c>
      <c r="F3" t="s">
        <v>6836</v>
      </c>
      <c r="G3" t="s">
        <v>6837</v>
      </c>
    </row>
    <row r="4" spans="1:7" x14ac:dyDescent="0.25">
      <c r="A4" s="2">
        <v>6784</v>
      </c>
      <c r="B4" s="2">
        <v>3479</v>
      </c>
      <c r="C4" s="2">
        <v>1524</v>
      </c>
      <c r="D4" s="2">
        <v>485</v>
      </c>
      <c r="E4">
        <f>GETPIVOTDATA("Sum of Reached MQL +",$A$3)/GETPIVOTDATA("Count of Lead ID",$A$3)</f>
        <v>0.51282429245283023</v>
      </c>
      <c r="F4">
        <f>GETPIVOTDATA("Sum of Reached SQL +",$A$3)/GETPIVOTDATA("Sum of Reached MQL +",$A$3)</f>
        <v>0.43805691290600746</v>
      </c>
      <c r="G4">
        <f>GETPIVOTDATA("Sum of Reached Customer",$A$3)/GETPIVOTDATA("Sum of Reached SQL +",$A$3)</f>
        <v>0.31824146981627299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E90E-6A4A-49E2-A37F-364DA7D8CE56}">
  <dimension ref="A3:I10"/>
  <sheetViews>
    <sheetView workbookViewId="0">
      <selection activeCell="D16" sqref="D16"/>
    </sheetView>
  </sheetViews>
  <sheetFormatPr defaultRowHeight="15" x14ac:dyDescent="0.25"/>
  <cols>
    <col min="1" max="1" width="15.28515625" bestFit="1" customWidth="1"/>
    <col min="2" max="2" width="16.140625" bestFit="1" customWidth="1"/>
    <col min="3" max="3" width="21.85546875" bestFit="1" customWidth="1"/>
    <col min="4" max="4" width="21.42578125" bestFit="1" customWidth="1"/>
    <col min="5" max="5" width="25.5703125" bestFit="1" customWidth="1"/>
  </cols>
  <sheetData>
    <row r="3" spans="1:9" x14ac:dyDescent="0.25">
      <c r="A3" s="3" t="s">
        <v>6838</v>
      </c>
      <c r="B3" t="s">
        <v>6831</v>
      </c>
      <c r="C3" t="s">
        <v>6832</v>
      </c>
      <c r="D3" t="s">
        <v>6833</v>
      </c>
      <c r="E3" t="s">
        <v>6834</v>
      </c>
      <c r="F3" t="s">
        <v>6835</v>
      </c>
      <c r="G3" t="s">
        <v>6836</v>
      </c>
      <c r="H3" t="s">
        <v>6837</v>
      </c>
      <c r="I3" t="s">
        <v>6840</v>
      </c>
    </row>
    <row r="4" spans="1:9" x14ac:dyDescent="0.25">
      <c r="A4" s="4" t="s">
        <v>25</v>
      </c>
      <c r="B4" s="2">
        <v>827</v>
      </c>
      <c r="C4" s="2">
        <v>357</v>
      </c>
      <c r="D4" s="2">
        <v>140</v>
      </c>
      <c r="E4" s="2">
        <v>33</v>
      </c>
      <c r="F4">
        <f>GETPIVOTDATA("Sum of Reached MQL +",$A$3,"Channel","Direct")/GETPIVOTDATA("Count of Lead ID",$A$3,"Channel","Direct")</f>
        <v>0.43168077388149939</v>
      </c>
      <c r="G4">
        <f>GETPIVOTDATA("Sum of Reached SQL +",$A$3,"Channel","Direct")/GETPIVOTDATA("Sum of Reached MQL +",$A$3,"Channel","Direct")</f>
        <v>0.39215686274509803</v>
      </c>
      <c r="H4">
        <f>GETPIVOTDATA("Sum of Reached Customer",$A$3,"Channel","Direct")/GETPIVOTDATA("Sum of Reached SQL +",$A$3,"Channel","Direct")</f>
        <v>0.23571428571428571</v>
      </c>
      <c r="I4">
        <f>GETPIVOTDATA("Sum of Reached Customer",$A$3,"Channel","Direct")/GETPIVOTDATA("Count of Lead ID",$A$3,"Channel","Direct")</f>
        <v>3.9903264812575577E-2</v>
      </c>
    </row>
    <row r="5" spans="1:9" x14ac:dyDescent="0.25">
      <c r="A5" s="4" t="s">
        <v>31</v>
      </c>
      <c r="B5" s="2">
        <v>1684</v>
      </c>
      <c r="C5" s="2">
        <v>1040</v>
      </c>
      <c r="D5" s="2">
        <v>503</v>
      </c>
      <c r="E5" s="2">
        <v>176</v>
      </c>
      <c r="F5">
        <f>GETPIVOTDATA("Sum of Reached MQL +",$A$3,"Channel","Email Marketing")/GETPIVOTDATA("Count of Lead ID",$A$3,"Channel","Email Marketing")</f>
        <v>0.61757719714964365</v>
      </c>
      <c r="G5">
        <f>GETPIVOTDATA("Sum of Reached SQL +",$A$3,"Channel","Email Marketing")/GETPIVOTDATA("Sum of Reached MQL +",$A$3,"Channel","Email Marketing")</f>
        <v>0.48365384615384616</v>
      </c>
      <c r="H5">
        <f>GETPIVOTDATA("Sum of Reached Customer",$A$3,"Channel","Email Marketing")/GETPIVOTDATA("Sum of Reached SQL +",$A$3,"Channel","Email Marketing")</f>
        <v>0.3499005964214712</v>
      </c>
      <c r="I5">
        <f>GETPIVOTDATA("Sum of Reached Customer",$A$3,"Channel","Email Marketing")/GETPIVOTDATA("Count of Lead ID",$A$3,"Channel","Email Marketing")</f>
        <v>0.10451306413301663</v>
      </c>
    </row>
    <row r="6" spans="1:9" x14ac:dyDescent="0.25">
      <c r="A6" s="4" t="s">
        <v>46</v>
      </c>
      <c r="B6" s="2">
        <v>1144</v>
      </c>
      <c r="C6" s="2">
        <v>601</v>
      </c>
      <c r="D6" s="2">
        <v>257</v>
      </c>
      <c r="E6" s="2">
        <v>87</v>
      </c>
      <c r="F6">
        <f>GETPIVOTDATA("Sum of Reached MQL +",$A$3,"Channel","Organic Search")/GETPIVOTDATA("Count of Lead ID",$A$3,"Channel","Organic Search")</f>
        <v>0.52534965034965031</v>
      </c>
      <c r="G6">
        <f>GETPIVOTDATA("Sum of Reached SQL +",$A$3,"Channel","Organic Search")/GETPIVOTDATA("Sum of Reached MQL +",$A$3,"Channel","Organic Search")</f>
        <v>0.42762063227953412</v>
      </c>
      <c r="H6">
        <f>GETPIVOTDATA("Sum of Reached Customer",$A$3,"Channel","Organic Search")/GETPIVOTDATA("Sum of Reached SQL +",$A$3,"Channel","Organic Search")</f>
        <v>0.33852140077821014</v>
      </c>
      <c r="I6">
        <f>GETPIVOTDATA("Sum of Reached Customer",$A$3,"Channel","Organic Search")/GETPIVOTDATA("Count of Lead ID",$A$3,"Channel","Organic Search")</f>
        <v>7.6048951048951055E-2</v>
      </c>
    </row>
    <row r="7" spans="1:9" x14ac:dyDescent="0.25">
      <c r="A7" s="4" t="s">
        <v>17</v>
      </c>
      <c r="B7" s="2">
        <v>1205</v>
      </c>
      <c r="C7" s="2">
        <v>471</v>
      </c>
      <c r="D7" s="2">
        <v>146</v>
      </c>
      <c r="E7" s="2">
        <v>39</v>
      </c>
      <c r="F7">
        <f>GETPIVOTDATA("Sum of Reached MQL +",$A$3,"Channel","Paid Search")/GETPIVOTDATA("Count of Lead ID",$A$3,"Channel","Paid Search")</f>
        <v>0.39087136929460581</v>
      </c>
      <c r="G7">
        <f>GETPIVOTDATA("Sum of Reached SQL +",$A$3,"Channel","Paid Search")/GETPIVOTDATA("Sum of Reached MQL +",$A$3,"Channel","Paid Search")</f>
        <v>0.30997876857749468</v>
      </c>
      <c r="H7">
        <f>GETPIVOTDATA("Sum of Reached Customer",$A$3,"Channel","Paid Search")/GETPIVOTDATA("Sum of Reached SQL +",$A$3,"Channel","Paid Search")</f>
        <v>0.26712328767123289</v>
      </c>
      <c r="I7">
        <f>GETPIVOTDATA("Sum of Reached Customer",$A$3,"Channel","Paid Search")/GETPIVOTDATA("Count of Lead ID",$A$3,"Channel","Paid Search")</f>
        <v>3.2365145228215771E-2</v>
      </c>
    </row>
    <row r="8" spans="1:9" x14ac:dyDescent="0.25">
      <c r="A8" s="4" t="s">
        <v>36</v>
      </c>
      <c r="B8" s="2">
        <v>1000</v>
      </c>
      <c r="C8" s="2">
        <v>659</v>
      </c>
      <c r="D8" s="2">
        <v>372</v>
      </c>
      <c r="E8" s="2">
        <v>138</v>
      </c>
      <c r="F8">
        <f>GETPIVOTDATA("Sum of Reached MQL +",$A$3,"Channel","Referral")/GETPIVOTDATA("Count of Lead ID",$A$3,"Channel","Referral")</f>
        <v>0.65900000000000003</v>
      </c>
      <c r="G8">
        <f>GETPIVOTDATA("Sum of Reached SQL +",$A$3,"Channel","Referral")/GETPIVOTDATA("Sum of Reached MQL +",$A$3,"Channel","Referral")</f>
        <v>0.56449165402124435</v>
      </c>
      <c r="H8">
        <f>GETPIVOTDATA("Sum of Reached Customer",$A$3,"Channel","Referral")/GETPIVOTDATA("Sum of Reached SQL +",$A$3,"Channel","Referral")</f>
        <v>0.37096774193548387</v>
      </c>
      <c r="I8">
        <f>GETPIVOTDATA("Sum of Reached Customer",$A$3,"Channel","Referral")/GETPIVOTDATA("Count of Lead ID",$A$3,"Channel","Referral")</f>
        <v>0.13800000000000001</v>
      </c>
    </row>
    <row r="9" spans="1:9" x14ac:dyDescent="0.25">
      <c r="A9" s="4" t="s">
        <v>11</v>
      </c>
      <c r="B9" s="2">
        <v>924</v>
      </c>
      <c r="C9" s="2">
        <v>351</v>
      </c>
      <c r="D9" s="2">
        <v>106</v>
      </c>
      <c r="E9" s="2">
        <v>12</v>
      </c>
      <c r="F9">
        <f>GETPIVOTDATA("Sum of Reached MQL +",$A$3,"Channel","Social Media")/GETPIVOTDATA("Count of Lead ID",$A$3,"Channel","Social Media")</f>
        <v>0.37987012987012986</v>
      </c>
      <c r="G9">
        <f>GETPIVOTDATA("Sum of Reached SQL +",$A$3,"Channel","Social Media")/GETPIVOTDATA("Sum of Reached MQL +",$A$3,"Channel","Social Media")</f>
        <v>0.30199430199430199</v>
      </c>
      <c r="H9">
        <f>GETPIVOTDATA("Sum of Reached Customer",$A$3,"Channel","Social Media")/GETPIVOTDATA("Sum of Reached SQL +",$A$3,"Channel","Social Media")</f>
        <v>0.11320754716981132</v>
      </c>
      <c r="I9">
        <f>GETPIVOTDATA("Sum of Reached Customer",$A$3,"Channel","Social Media")/GETPIVOTDATA("Count of Lead ID",$A$3,"Channel","Social Media")</f>
        <v>1.2987012987012988E-2</v>
      </c>
    </row>
    <row r="10" spans="1:9" x14ac:dyDescent="0.25">
      <c r="A10" s="4" t="s">
        <v>6839</v>
      </c>
      <c r="B10" s="2">
        <v>6784</v>
      </c>
      <c r="C10" s="2">
        <v>3479</v>
      </c>
      <c r="D10" s="2">
        <v>1524</v>
      </c>
      <c r="E10" s="2">
        <v>485</v>
      </c>
      <c r="F10">
        <f>GETPIVOTDATA("Sum of Reached MQL +",$A$3)/GETPIVOTDATA("Count of Lead ID",$A$3)</f>
        <v>0.51282429245283023</v>
      </c>
      <c r="G10">
        <f>GETPIVOTDATA("Sum of Reached SQL +",$A$3)/GETPIVOTDATA("Sum of Reached MQL +",$A$3)</f>
        <v>0.43805691290600746</v>
      </c>
      <c r="H10">
        <f>GETPIVOTDATA("Sum of Reached Customer",$A$3)/GETPIVOTDATA("Sum of Reached SQL +",$A$3)</f>
        <v>0.31824146981627299</v>
      </c>
      <c r="I10">
        <f>GETPIVOTDATA("Sum of Reached Customer",$A$3)/GETPIVOTDATA("Count of Lead ID",$A$3)</f>
        <v>7.1491745283018868E-2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67496-51EA-4A2A-AAEF-9CE5F068D489}">
  <dimension ref="A3:I16"/>
  <sheetViews>
    <sheetView workbookViewId="0">
      <selection activeCell="I17" sqref="I17"/>
    </sheetView>
  </sheetViews>
  <sheetFormatPr defaultRowHeight="15" x14ac:dyDescent="0.25"/>
  <cols>
    <col min="1" max="1" width="13.42578125" bestFit="1" customWidth="1"/>
    <col min="2" max="2" width="16.140625" bestFit="1" customWidth="1"/>
    <col min="3" max="3" width="21.85546875" bestFit="1" customWidth="1"/>
    <col min="4" max="4" width="21.42578125" bestFit="1" customWidth="1"/>
    <col min="5" max="5" width="25.5703125" bestFit="1" customWidth="1"/>
  </cols>
  <sheetData>
    <row r="3" spans="1:9" x14ac:dyDescent="0.25">
      <c r="A3" s="3" t="s">
        <v>6838</v>
      </c>
      <c r="B3" t="s">
        <v>6831</v>
      </c>
      <c r="C3" t="s">
        <v>6832</v>
      </c>
      <c r="D3" t="s">
        <v>6833</v>
      </c>
      <c r="E3" t="s">
        <v>6834</v>
      </c>
      <c r="F3" t="s">
        <v>6835</v>
      </c>
      <c r="G3" t="s">
        <v>6836</v>
      </c>
      <c r="H3" t="s">
        <v>6837</v>
      </c>
      <c r="I3" t="s">
        <v>6840</v>
      </c>
    </row>
    <row r="4" spans="1:9" x14ac:dyDescent="0.25">
      <c r="A4" s="4" t="s">
        <v>6845</v>
      </c>
      <c r="B4" s="2">
        <v>481</v>
      </c>
      <c r="C4" s="2">
        <v>258</v>
      </c>
      <c r="D4" s="2">
        <v>110</v>
      </c>
      <c r="E4" s="2">
        <v>39</v>
      </c>
      <c r="F4">
        <f>GETPIVOTDATA("Sum of Reached MQL +",$A$3,"SignupMonth","Jan-2024")/GETPIVOTDATA("Count of Lead ID",$A$3,"SignupMonth","Jan-2024")</f>
        <v>0.53638253638253641</v>
      </c>
      <c r="G4">
        <f>GETPIVOTDATA("Sum of Reached SQL +",$A$3,"SignupMonth","Jan-2024")/GETPIVOTDATA("Sum of Reached MQL +",$A$3,"SignupMonth","Jan-2024")</f>
        <v>0.4263565891472868</v>
      </c>
      <c r="H4">
        <f>GETPIVOTDATA("Sum of Reached Customer",$A$3,"SignupMonth","Jan-2024")/GETPIVOTDATA("Sum of Reached SQL +",$A$3,"SignupMonth","Jan-2024")</f>
        <v>0.35454545454545455</v>
      </c>
      <c r="I4">
        <f>GETPIVOTDATA("Sum of Reached Customer",$A$3,"SignupMonth","Jan-2024")/GETPIVOTDATA("Count of Lead ID",$A$3,"SignupMonth","Jan-2024")</f>
        <v>8.1081081081081086E-2</v>
      </c>
    </row>
    <row r="5" spans="1:9" x14ac:dyDescent="0.25">
      <c r="A5" s="4" t="s">
        <v>6844</v>
      </c>
      <c r="B5" s="2">
        <v>465</v>
      </c>
      <c r="C5" s="2">
        <v>234</v>
      </c>
      <c r="D5" s="2">
        <v>108</v>
      </c>
      <c r="E5" s="2">
        <v>34</v>
      </c>
      <c r="F5">
        <f>GETPIVOTDATA("Sum of Reached MQL +",$A$3,"SignupMonth","Feb-2024")/GETPIVOTDATA("Count of Lead ID",$A$3,"SignupMonth","Feb-2024")</f>
        <v>0.50322580645161286</v>
      </c>
      <c r="G5">
        <f>GETPIVOTDATA("Sum of Reached SQL +",$A$3,"SignupMonth","Feb-2024")/GETPIVOTDATA("Sum of Reached MQL +",$A$3,"SignupMonth","Feb-2024")</f>
        <v>0.46153846153846156</v>
      </c>
      <c r="H5">
        <f>GETPIVOTDATA("Sum of Reached Customer",$A$3,"SignupMonth","Feb-2024")/GETPIVOTDATA("Sum of Reached SQL +",$A$3,"SignupMonth","Feb-2024")</f>
        <v>0.31481481481481483</v>
      </c>
      <c r="I5">
        <f>GETPIVOTDATA("Sum of Reached Customer",$A$3,"SignupMonth","Feb-2024")/GETPIVOTDATA("Count of Lead ID",$A$3,"SignupMonth","Feb-2024")</f>
        <v>7.3118279569892475E-2</v>
      </c>
    </row>
    <row r="6" spans="1:9" x14ac:dyDescent="0.25">
      <c r="A6" s="4" t="s">
        <v>6848</v>
      </c>
      <c r="B6" s="2">
        <v>532</v>
      </c>
      <c r="C6" s="2">
        <v>272</v>
      </c>
      <c r="D6" s="2">
        <v>125</v>
      </c>
      <c r="E6" s="2">
        <v>38</v>
      </c>
      <c r="F6">
        <f>GETPIVOTDATA("Sum of Reached MQL +",$A$3,"SignupMonth","Mar-2024")/GETPIVOTDATA("Count of Lead ID",$A$3,"SignupMonth","Mar-2024")</f>
        <v>0.51127819548872178</v>
      </c>
      <c r="G6">
        <f>GETPIVOTDATA("Sum of Reached SQL +",$A$3,"SignupMonth","Mar-2024")/GETPIVOTDATA("Sum of Reached MQL +",$A$3,"SignupMonth","Mar-2024")</f>
        <v>0.45955882352941174</v>
      </c>
      <c r="H6">
        <f>GETPIVOTDATA("Sum of Reached Customer",$A$3,"SignupMonth","Mar-2024")/GETPIVOTDATA("Sum of Reached SQL +",$A$3,"SignupMonth","Mar-2024")</f>
        <v>0.30399999999999999</v>
      </c>
      <c r="I6">
        <f>GETPIVOTDATA("Sum of Reached Customer",$A$3,"SignupMonth","Mar-2024")/GETPIVOTDATA("Count of Lead ID",$A$3,"SignupMonth","Mar-2024")</f>
        <v>7.1428571428571425E-2</v>
      </c>
    </row>
    <row r="7" spans="1:9" x14ac:dyDescent="0.25">
      <c r="A7" s="4" t="s">
        <v>6841</v>
      </c>
      <c r="B7" s="2">
        <v>537</v>
      </c>
      <c r="C7" s="2">
        <v>268</v>
      </c>
      <c r="D7" s="2">
        <v>99</v>
      </c>
      <c r="E7" s="2">
        <v>36</v>
      </c>
      <c r="F7">
        <f>GETPIVOTDATA("Sum of Reached MQL +",$A$3,"SignupMonth","Apr-2024")/GETPIVOTDATA("Count of Lead ID",$A$3,"SignupMonth","Apr-2024")</f>
        <v>0.49906890130353815</v>
      </c>
      <c r="G7">
        <f>GETPIVOTDATA("Sum of Reached SQL +",$A$3,"SignupMonth","Apr-2024")/GETPIVOTDATA("Sum of Reached MQL +",$A$3,"SignupMonth","Apr-2024")</f>
        <v>0.36940298507462688</v>
      </c>
      <c r="H7">
        <f>GETPIVOTDATA("Sum of Reached Customer",$A$3,"SignupMonth","Apr-2024")/GETPIVOTDATA("Sum of Reached SQL +",$A$3,"SignupMonth","Apr-2024")</f>
        <v>0.36363636363636365</v>
      </c>
      <c r="I7">
        <f>GETPIVOTDATA("Sum of Reached Customer",$A$3,"SignupMonth","Apr-2024")/GETPIVOTDATA("Count of Lead ID",$A$3,"SignupMonth","Apr-2024")</f>
        <v>6.7039106145251395E-2</v>
      </c>
    </row>
    <row r="8" spans="1:9" x14ac:dyDescent="0.25">
      <c r="A8" s="4" t="s">
        <v>6849</v>
      </c>
      <c r="B8" s="2">
        <v>548</v>
      </c>
      <c r="C8" s="2">
        <v>294</v>
      </c>
      <c r="D8" s="2">
        <v>122</v>
      </c>
      <c r="E8" s="2">
        <v>36</v>
      </c>
      <c r="F8">
        <f>GETPIVOTDATA("Sum of Reached MQL +",$A$3,"SignupMonth","May-2024")/GETPIVOTDATA("Count of Lead ID",$A$3,"SignupMonth","May-2024")</f>
        <v>0.53649635036496346</v>
      </c>
      <c r="G8">
        <f>GETPIVOTDATA("Sum of Reached SQL +",$A$3,"SignupMonth","May-2024")/GETPIVOTDATA("Sum of Reached MQL +",$A$3,"SignupMonth","May-2024")</f>
        <v>0.41496598639455784</v>
      </c>
      <c r="H8">
        <f>GETPIVOTDATA("Sum of Reached Customer",$A$3,"SignupMonth","May-2024")/GETPIVOTDATA("Sum of Reached SQL +",$A$3,"SignupMonth","May-2024")</f>
        <v>0.29508196721311475</v>
      </c>
      <c r="I8">
        <f>GETPIVOTDATA("Sum of Reached Customer",$A$3,"SignupMonth","May-2024")/GETPIVOTDATA("Count of Lead ID",$A$3,"SignupMonth","May-2024")</f>
        <v>6.569343065693431E-2</v>
      </c>
    </row>
    <row r="9" spans="1:9" x14ac:dyDescent="0.25">
      <c r="A9" s="4" t="s">
        <v>6847</v>
      </c>
      <c r="B9" s="2">
        <v>479</v>
      </c>
      <c r="C9" s="2">
        <v>234</v>
      </c>
      <c r="D9" s="2">
        <v>98</v>
      </c>
      <c r="E9" s="2">
        <v>31</v>
      </c>
      <c r="F9">
        <f>GETPIVOTDATA("Sum of Reached MQL +",$A$3,"SignupMonth","Jun-2024")/GETPIVOTDATA("Count of Lead ID",$A$3,"SignupMonth","Jun-2024")</f>
        <v>0.48851774530271397</v>
      </c>
      <c r="G9">
        <f>GETPIVOTDATA("Sum of Reached SQL +",$A$3,"SignupMonth","Jun-2024")/GETPIVOTDATA("Sum of Reached MQL +",$A$3,"SignupMonth","Jun-2024")</f>
        <v>0.41880341880341881</v>
      </c>
      <c r="H9">
        <f>GETPIVOTDATA("Sum of Reached Customer",$A$3,"SignupMonth","Jun-2024")/GETPIVOTDATA("Sum of Reached SQL +",$A$3,"SignupMonth","Jun-2024")</f>
        <v>0.31632653061224492</v>
      </c>
      <c r="I9">
        <f>GETPIVOTDATA("Sum of Reached Customer",$A$3,"SignupMonth","Jun-2024")/GETPIVOTDATA("Count of Lead ID",$A$3,"SignupMonth","Jun-2024")</f>
        <v>6.471816283924843E-2</v>
      </c>
    </row>
    <row r="10" spans="1:9" x14ac:dyDescent="0.25">
      <c r="A10" s="4" t="s">
        <v>6846</v>
      </c>
      <c r="B10" s="2">
        <v>453</v>
      </c>
      <c r="C10" s="2">
        <v>241</v>
      </c>
      <c r="D10" s="2">
        <v>112</v>
      </c>
      <c r="E10" s="2">
        <v>42</v>
      </c>
      <c r="F10">
        <f>GETPIVOTDATA("Sum of Reached MQL +",$A$3,"SignupMonth","Jul-2024")/GETPIVOTDATA("Count of Lead ID",$A$3,"SignupMonth","Jul-2024")</f>
        <v>0.53200883002207511</v>
      </c>
      <c r="G10">
        <f>GETPIVOTDATA("Sum of Reached SQL +",$A$3,"SignupMonth","Jul-2024")/GETPIVOTDATA("Sum of Reached MQL +",$A$3,"SignupMonth","Jul-2024")</f>
        <v>0.46473029045643155</v>
      </c>
      <c r="H10">
        <f>GETPIVOTDATA("Sum of Reached Customer",$A$3,"SignupMonth","Jul-2024")/GETPIVOTDATA("Sum of Reached SQL +",$A$3,"SignupMonth","Jul-2024")</f>
        <v>0.375</v>
      </c>
      <c r="I10">
        <f>GETPIVOTDATA("Sum of Reached Customer",$A$3,"SignupMonth","Jul-2024")/GETPIVOTDATA("Count of Lead ID",$A$3,"SignupMonth","Jul-2024")</f>
        <v>9.2715231788079472E-2</v>
      </c>
    </row>
    <row r="11" spans="1:9" x14ac:dyDescent="0.25">
      <c r="A11" s="4" t="s">
        <v>6842</v>
      </c>
      <c r="B11" s="2">
        <v>524</v>
      </c>
      <c r="C11" s="2">
        <v>271</v>
      </c>
      <c r="D11" s="2">
        <v>137</v>
      </c>
      <c r="E11" s="2">
        <v>37</v>
      </c>
      <c r="F11">
        <f>GETPIVOTDATA("Sum of Reached MQL +",$A$3,"SignupMonth","Aug-2024")/GETPIVOTDATA("Count of Lead ID",$A$3,"SignupMonth","Aug-2024")</f>
        <v>0.51717557251908397</v>
      </c>
      <c r="G11">
        <f>GETPIVOTDATA("Sum of Reached SQL +",$A$3,"SignupMonth","Aug-2024")/GETPIVOTDATA("Sum of Reached MQL +",$A$3,"SignupMonth","Aug-2024")</f>
        <v>0.50553505535055354</v>
      </c>
      <c r="H11">
        <f>GETPIVOTDATA("Sum of Reached Customer",$A$3,"SignupMonth","Aug-2024")/GETPIVOTDATA("Sum of Reached SQL +",$A$3,"SignupMonth","Aug-2024")</f>
        <v>0.27007299270072993</v>
      </c>
      <c r="I11">
        <f>GETPIVOTDATA("Sum of Reached Customer",$A$3,"SignupMonth","Aug-2024")/GETPIVOTDATA("Count of Lead ID",$A$3,"SignupMonth","Aug-2024")</f>
        <v>7.061068702290077E-2</v>
      </c>
    </row>
    <row r="12" spans="1:9" x14ac:dyDescent="0.25">
      <c r="A12" s="4" t="s">
        <v>6852</v>
      </c>
      <c r="B12" s="2">
        <v>602</v>
      </c>
      <c r="C12" s="2">
        <v>318</v>
      </c>
      <c r="D12" s="2">
        <v>142</v>
      </c>
      <c r="E12" s="2">
        <v>40</v>
      </c>
      <c r="F12">
        <f>GETPIVOTDATA("Sum of Reached MQL +",$A$3,"SignupMonth","Sep-2024")/GETPIVOTDATA("Count of Lead ID",$A$3,"SignupMonth","Sep-2024")</f>
        <v>0.52823920265780733</v>
      </c>
      <c r="G12">
        <f>GETPIVOTDATA("Sum of Reached SQL +",$A$3,"SignupMonth","Sep-2024")/GETPIVOTDATA("Sum of Reached MQL +",$A$3,"SignupMonth","Sep-2024")</f>
        <v>0.44654088050314467</v>
      </c>
      <c r="H12">
        <f>GETPIVOTDATA("Sum of Reached Customer",$A$3,"SignupMonth","Sep-2024")/GETPIVOTDATA("Sum of Reached SQL +",$A$3,"SignupMonth","Sep-2024")</f>
        <v>0.28169014084507044</v>
      </c>
      <c r="I12">
        <f>GETPIVOTDATA("Sum of Reached Customer",$A$3,"SignupMonth","Sep-2024")/GETPIVOTDATA("Count of Lead ID",$A$3,"SignupMonth","Sep-2024")</f>
        <v>6.6445182724252497E-2</v>
      </c>
    </row>
    <row r="13" spans="1:9" x14ac:dyDescent="0.25">
      <c r="A13" s="4" t="s">
        <v>6851</v>
      </c>
      <c r="B13" s="2">
        <v>701</v>
      </c>
      <c r="C13" s="2">
        <v>329</v>
      </c>
      <c r="D13" s="2">
        <v>141</v>
      </c>
      <c r="E13" s="2">
        <v>43</v>
      </c>
      <c r="F13">
        <f>GETPIVOTDATA("Sum of Reached MQL +",$A$3,"SignupMonth","Oct-2024")/GETPIVOTDATA("Count of Lead ID",$A$3,"SignupMonth","Oct-2024")</f>
        <v>0.46932952924393723</v>
      </c>
      <c r="G13">
        <f>GETPIVOTDATA("Sum of Reached SQL +",$A$3,"SignupMonth","Oct-2024")/GETPIVOTDATA("Sum of Reached MQL +",$A$3,"SignupMonth","Oct-2024")</f>
        <v>0.42857142857142855</v>
      </c>
      <c r="H13">
        <f>GETPIVOTDATA("Sum of Reached Customer",$A$3,"SignupMonth","Oct-2024")/GETPIVOTDATA("Sum of Reached SQL +",$A$3,"SignupMonth","Oct-2024")</f>
        <v>0.30496453900709219</v>
      </c>
      <c r="I13">
        <f>GETPIVOTDATA("Sum of Reached Customer",$A$3,"SignupMonth","Oct-2024")/GETPIVOTDATA("Count of Lead ID",$A$3,"SignupMonth","Oct-2024")</f>
        <v>6.1340941512125532E-2</v>
      </c>
    </row>
    <row r="14" spans="1:9" x14ac:dyDescent="0.25">
      <c r="A14" s="4" t="s">
        <v>6850</v>
      </c>
      <c r="B14" s="2">
        <v>771</v>
      </c>
      <c r="C14" s="2">
        <v>401</v>
      </c>
      <c r="D14" s="2">
        <v>165</v>
      </c>
      <c r="E14" s="2">
        <v>57</v>
      </c>
      <c r="F14">
        <f>GETPIVOTDATA("Sum of Reached MQL +",$A$3,"SignupMonth","Nov-2024")/GETPIVOTDATA("Count of Lead ID",$A$3,"SignupMonth","Nov-2024")</f>
        <v>0.52010376134889758</v>
      </c>
      <c r="G14">
        <f>GETPIVOTDATA("Sum of Reached SQL +",$A$3,"SignupMonth","Nov-2024")/GETPIVOTDATA("Sum of Reached MQL +",$A$3,"SignupMonth","Nov-2024")</f>
        <v>0.41147132169576062</v>
      </c>
      <c r="H14">
        <f>GETPIVOTDATA("Sum of Reached Customer",$A$3,"SignupMonth","Nov-2024")/GETPIVOTDATA("Sum of Reached SQL +",$A$3,"SignupMonth","Nov-2024")</f>
        <v>0.34545454545454546</v>
      </c>
      <c r="I14">
        <f>GETPIVOTDATA("Sum of Reached Customer",$A$3,"SignupMonth","Nov-2024")/GETPIVOTDATA("Count of Lead ID",$A$3,"SignupMonth","Nov-2024")</f>
        <v>7.3929961089494164E-2</v>
      </c>
    </row>
    <row r="15" spans="1:9" x14ac:dyDescent="0.25">
      <c r="A15" s="4" t="s">
        <v>6843</v>
      </c>
      <c r="B15" s="2">
        <v>691</v>
      </c>
      <c r="C15" s="2">
        <v>359</v>
      </c>
      <c r="D15" s="2">
        <v>165</v>
      </c>
      <c r="E15" s="2">
        <v>52</v>
      </c>
      <c r="F15">
        <f>GETPIVOTDATA("Sum of Reached MQL +",$A$3,"SignupMonth","Dec-2024")/GETPIVOTDATA("Count of Lead ID",$A$3,"SignupMonth","Dec-2024")</f>
        <v>0.51953690303907385</v>
      </c>
      <c r="G15">
        <f>GETPIVOTDATA("Sum of Reached SQL +",$A$3,"SignupMonth","Dec-2024")/GETPIVOTDATA("Sum of Reached MQL +",$A$3,"SignupMonth","Dec-2024")</f>
        <v>0.4596100278551532</v>
      </c>
      <c r="H15">
        <f>GETPIVOTDATA("Sum of Reached Customer",$A$3,"SignupMonth","Dec-2024")/GETPIVOTDATA("Sum of Reached SQL +",$A$3,"SignupMonth","Dec-2024")</f>
        <v>0.31515151515151513</v>
      </c>
      <c r="I15">
        <f>GETPIVOTDATA("Sum of Reached Customer",$A$3,"SignupMonth","Dec-2024")/GETPIVOTDATA("Count of Lead ID",$A$3,"SignupMonth","Dec-2024")</f>
        <v>7.5253256150506515E-2</v>
      </c>
    </row>
    <row r="16" spans="1:9" x14ac:dyDescent="0.25">
      <c r="A16" s="4" t="s">
        <v>6839</v>
      </c>
      <c r="B16" s="2">
        <v>6784</v>
      </c>
      <c r="C16" s="2">
        <v>3479</v>
      </c>
      <c r="D16" s="2">
        <v>1524</v>
      </c>
      <c r="E16" s="2">
        <v>485</v>
      </c>
      <c r="F16">
        <f>GETPIVOTDATA("Sum of Reached MQL +",$A$3)/GETPIVOTDATA("Count of Lead ID",$A$3)</f>
        <v>0.51282429245283023</v>
      </c>
      <c r="G16">
        <f>GETPIVOTDATA("Sum of Reached SQL +",$A$3)/GETPIVOTDATA("Sum of Reached MQL +",$A$3)</f>
        <v>0.43805691290600746</v>
      </c>
      <c r="H16">
        <f>GETPIVOTDATA("Sum of Reached Customer",$A$3)/GETPIVOTDATA("Sum of Reached SQL +",$A$3)</f>
        <v>0.31824146981627299</v>
      </c>
      <c r="I16">
        <f>GETPIVOTDATA("Sum of Reached Customer",$A$3)/GETPIVOTDATA("Count of Lead ID",$A$3)</f>
        <v>7.1491745283018868E-2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AA06-A283-4C4C-835A-4B36F8D766B5}">
  <dimension ref="A3:E10"/>
  <sheetViews>
    <sheetView tabSelected="1" workbookViewId="0">
      <selection activeCell="B3" sqref="B3"/>
    </sheetView>
  </sheetViews>
  <sheetFormatPr defaultRowHeight="15" x14ac:dyDescent="0.25"/>
  <cols>
    <col min="1" max="1" width="15.28515625" bestFit="1" customWidth="1"/>
    <col min="2" max="2" width="13.28515625" bestFit="1" customWidth="1"/>
    <col min="3" max="3" width="17.5703125" bestFit="1" customWidth="1"/>
    <col min="4" max="4" width="20.7109375" bestFit="1" customWidth="1"/>
    <col min="5" max="5" width="16.140625" bestFit="1" customWidth="1"/>
  </cols>
  <sheetData>
    <row r="3" spans="1:5" x14ac:dyDescent="0.25">
      <c r="A3" s="3" t="s">
        <v>6838</v>
      </c>
      <c r="B3" t="s">
        <v>6853</v>
      </c>
      <c r="C3" t="s">
        <v>6854</v>
      </c>
      <c r="D3" t="s">
        <v>6855</v>
      </c>
      <c r="E3" t="s">
        <v>6831</v>
      </c>
    </row>
    <row r="4" spans="1:5" x14ac:dyDescent="0.25">
      <c r="A4" s="4" t="s">
        <v>25</v>
      </c>
      <c r="B4" s="2">
        <v>33</v>
      </c>
      <c r="C4" s="2">
        <v>77581.170000000013</v>
      </c>
      <c r="D4" s="2">
        <v>2350.9445454545457</v>
      </c>
      <c r="E4" s="2">
        <v>827</v>
      </c>
    </row>
    <row r="5" spans="1:5" x14ac:dyDescent="0.25">
      <c r="A5" s="4" t="s">
        <v>31</v>
      </c>
      <c r="B5" s="2">
        <v>176</v>
      </c>
      <c r="C5" s="2">
        <v>581837.89000000013</v>
      </c>
      <c r="D5" s="2">
        <v>3305.8971022727278</v>
      </c>
      <c r="E5" s="2">
        <v>1684</v>
      </c>
    </row>
    <row r="6" spans="1:5" x14ac:dyDescent="0.25">
      <c r="A6" s="4" t="s">
        <v>46</v>
      </c>
      <c r="B6" s="2">
        <v>87</v>
      </c>
      <c r="C6" s="2">
        <v>212862.50999999995</v>
      </c>
      <c r="D6" s="2">
        <v>2446.6955172413786</v>
      </c>
      <c r="E6" s="2">
        <v>1144</v>
      </c>
    </row>
    <row r="7" spans="1:5" x14ac:dyDescent="0.25">
      <c r="A7" s="4" t="s">
        <v>17</v>
      </c>
      <c r="B7" s="2">
        <v>39</v>
      </c>
      <c r="C7" s="2">
        <v>145021.76000000001</v>
      </c>
      <c r="D7" s="2">
        <v>3718.5066666666671</v>
      </c>
      <c r="E7" s="2">
        <v>1205</v>
      </c>
    </row>
    <row r="8" spans="1:5" x14ac:dyDescent="0.25">
      <c r="A8" s="4" t="s">
        <v>36</v>
      </c>
      <c r="B8" s="2">
        <v>138</v>
      </c>
      <c r="C8" s="2">
        <v>401143.95000000007</v>
      </c>
      <c r="D8" s="2">
        <v>2906.840217391305</v>
      </c>
      <c r="E8" s="2">
        <v>1000</v>
      </c>
    </row>
    <row r="9" spans="1:5" x14ac:dyDescent="0.25">
      <c r="A9" s="4" t="s">
        <v>11</v>
      </c>
      <c r="B9" s="2">
        <v>12</v>
      </c>
      <c r="C9" s="2">
        <v>40718.539999999994</v>
      </c>
      <c r="D9" s="2">
        <v>3393.2116666666661</v>
      </c>
      <c r="E9" s="2">
        <v>924</v>
      </c>
    </row>
    <row r="10" spans="1:5" x14ac:dyDescent="0.25">
      <c r="A10" s="4" t="s">
        <v>6839</v>
      </c>
      <c r="B10" s="2">
        <v>485</v>
      </c>
      <c r="C10" s="2">
        <v>1459165.8199999994</v>
      </c>
      <c r="D10" s="2">
        <v>3008.5893195876274</v>
      </c>
      <c r="E10" s="2">
        <v>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leads</vt:lpstr>
      <vt:lpstr>The Core Funnel</vt:lpstr>
      <vt:lpstr>Funnel By Channel</vt:lpstr>
      <vt:lpstr>Funnel trend Over Time</vt:lpstr>
      <vt:lpstr>Revenue By Channel &amp;Plan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joseph zachariah</cp:lastModifiedBy>
  <dcterms:created xsi:type="dcterms:W3CDTF">2026-07-12T17:46:07Z</dcterms:created>
  <dcterms:modified xsi:type="dcterms:W3CDTF">2026-07-12T21:03:59Z</dcterms:modified>
</cp:coreProperties>
</file>